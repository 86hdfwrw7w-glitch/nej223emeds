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defaultThemeVersion="166925"/>
  <mc:AlternateContent xmlns:mc="http://schemas.openxmlformats.org/markup-compatibility/2006">
    <mc:Choice Requires="x15">
      <x15ac:absPath xmlns:x15ac="http://schemas.microsoft.com/office/spreadsheetml/2010/11/ac" url="/Users/felixla/Desktop/"/>
    </mc:Choice>
  </mc:AlternateContent>
  <xr:revisionPtr revIDLastSave="0" documentId="13_ncr:1_{27E34855-C1FD-2B47-970C-E1B4422E74DD}" xr6:coauthVersionLast="47" xr6:coauthVersionMax="47" xr10:uidLastSave="{00000000-0000-0000-0000-000000000000}"/>
  <bookViews>
    <workbookView xWindow="0" yWindow="860" windowWidth="38400" windowHeight="22720" activeTab="1" xr2:uid="{50F29292-BE80-0C47-A0D2-DD086CB3D310}"/>
  </bookViews>
  <sheets>
    <sheet name="ANLEITUNG" sheetId="10" r:id="rId1"/>
    <sheet name="Semesterplan" sheetId="7" r:id="rId2"/>
    <sheet name="Best-Practices" sheetId="2" r:id="rId3"/>
    <sheet name="COMMITTMENT" sheetId="9" r:id="rId4"/>
    <sheet name="Wochenplan KW 38"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15" i="7" l="1" a="1"/>
  <c r="J15" i="7" s="1"/>
  <c r="J14" i="7" a="1"/>
  <c r="J14" i="7" s="1"/>
  <c r="J13" i="7"/>
  <c r="J13" i="7" a="1"/>
  <c r="BY4" i="7"/>
  <c r="K10" i="7" a="1"/>
  <c r="K10" i="7" s="1"/>
  <c r="I26" i="10"/>
  <c r="G6" i="7"/>
  <c r="G7" i="7"/>
  <c r="G8" i="7"/>
  <c r="G9" i="7"/>
  <c r="G10" i="7"/>
  <c r="G11" i="7"/>
  <c r="G12" i="7"/>
  <c r="G13" i="7"/>
  <c r="G14" i="7"/>
  <c r="G15" i="7"/>
  <c r="G5" i="7"/>
  <c r="E26" i="10"/>
  <c r="G26" i="10"/>
  <c r="H26" i="10"/>
  <c r="K14" i="7" a="1"/>
  <c r="K14" i="7" s="1"/>
  <c r="I14" i="7"/>
  <c r="I15" i="7"/>
  <c r="K15" i="7" a="1"/>
  <c r="K15" i="7" s="1"/>
  <c r="K13" i="7" a="1"/>
  <c r="K13" i="7" s="1"/>
  <c r="I13" i="7"/>
  <c r="J10" i="7" a="1"/>
  <c r="J10" i="7" s="1"/>
  <c r="I10" i="7"/>
  <c r="CT41" i="7"/>
  <c r="CT30" i="7"/>
  <c r="CT17" i="7"/>
  <c r="CT4" i="7"/>
  <c r="CM41" i="7"/>
  <c r="CM30" i="7"/>
  <c r="CM17" i="7"/>
  <c r="CM4" i="7"/>
  <c r="CF41" i="7"/>
  <c r="CF30" i="7"/>
  <c r="CF17" i="7"/>
  <c r="CF4" i="7"/>
  <c r="BY41" i="7"/>
  <c r="BY30" i="7"/>
  <c r="BY17" i="7"/>
  <c r="BR41" i="7"/>
  <c r="BR30" i="7"/>
  <c r="BR17" i="7"/>
  <c r="BR4" i="7"/>
  <c r="BK41" i="7"/>
  <c r="BK30" i="7"/>
  <c r="BK17" i="7"/>
  <c r="BK4" i="7"/>
  <c r="BD41" i="7"/>
  <c r="BD30" i="7"/>
  <c r="BD17" i="7"/>
  <c r="BD4" i="7"/>
  <c r="AW41" i="7"/>
  <c r="AW30" i="7"/>
  <c r="AW17" i="7"/>
  <c r="AW4" i="7"/>
  <c r="AP41" i="7"/>
  <c r="AP30" i="7"/>
  <c r="AP17" i="7"/>
  <c r="AP4" i="7"/>
  <c r="AI41" i="7"/>
  <c r="AI30" i="7"/>
  <c r="AI17" i="7"/>
  <c r="AI4" i="7"/>
  <c r="I22" i="10"/>
  <c r="I24" i="10"/>
  <c r="I25" i="10"/>
  <c r="I23" i="10"/>
  <c r="K33" i="7" a="1"/>
  <c r="K33" i="7" s="1"/>
  <c r="J33" i="7" a="1"/>
  <c r="J33" i="7" s="1"/>
  <c r="I33" i="7"/>
  <c r="K32" i="7" a="1"/>
  <c r="K32" i="7" s="1"/>
  <c r="J32" i="7" a="1"/>
  <c r="J32" i="7" s="1"/>
  <c r="I32" i="7"/>
  <c r="K34" i="7" a="1"/>
  <c r="K34" i="7" s="1"/>
  <c r="J34" i="7" a="1"/>
  <c r="J34" i="7" s="1"/>
  <c r="I34" i="7"/>
  <c r="C11" i="10"/>
  <c r="C12" i="10" s="1"/>
  <c r="K26" i="7" a="1"/>
  <c r="K26" i="7" s="1"/>
  <c r="J26" i="7" a="1"/>
  <c r="J26" i="7" s="1"/>
  <c r="I26" i="7"/>
  <c r="K25" i="7" a="1"/>
  <c r="K25" i="7" s="1"/>
  <c r="J25" i="7" a="1"/>
  <c r="J25" i="7" s="1"/>
  <c r="I25" i="7"/>
  <c r="DA4" i="7"/>
  <c r="K12" i="7" a="1"/>
  <c r="K12" i="7" s="1"/>
  <c r="J12" i="7" a="1"/>
  <c r="J12" i="7" s="1"/>
  <c r="I12" i="7"/>
  <c r="F25" i="10"/>
  <c r="F24" i="10"/>
  <c r="F22" i="10"/>
  <c r="F23" i="10"/>
  <c r="DA17" i="7"/>
  <c r="DA41" i="7"/>
  <c r="DA30" i="7"/>
  <c r="DH17" i="7"/>
  <c r="DH41" i="7"/>
  <c r="DH30" i="7"/>
  <c r="FE4" i="7"/>
  <c r="EX4" i="7"/>
  <c r="EQ4" i="7"/>
  <c r="EJ4" i="7"/>
  <c r="EC4" i="7"/>
  <c r="DV4" i="7"/>
  <c r="DO4" i="7"/>
  <c r="DH4" i="7"/>
  <c r="K24" i="7" a="1"/>
  <c r="K24" i="7" s="1"/>
  <c r="J24" i="7" a="1"/>
  <c r="J24" i="7" s="1"/>
  <c r="I24" i="7"/>
  <c r="I23" i="7"/>
  <c r="J23" i="7" a="1"/>
  <c r="J23" i="7" s="1"/>
  <c r="K23" i="7" a="1"/>
  <c r="K23" i="7" s="1"/>
  <c r="K27" i="7" a="1"/>
  <c r="K27" i="7" s="1"/>
  <c r="J27" i="7" a="1"/>
  <c r="J27" i="7" s="1"/>
  <c r="I27" i="7"/>
  <c r="I11" i="7"/>
  <c r="J11" i="7" a="1"/>
  <c r="J11" i="7" s="1"/>
  <c r="K11" i="7" a="1"/>
  <c r="K11" i="7" s="1"/>
  <c r="K19" i="7" a="1"/>
  <c r="K19" i="7" s="1"/>
  <c r="J19" i="7" a="1"/>
  <c r="J19" i="7" s="1"/>
  <c r="I19" i="7"/>
  <c r="K18" i="7" a="1"/>
  <c r="K18" i="7" s="1"/>
  <c r="J18" i="7" a="1"/>
  <c r="J18" i="7" s="1"/>
  <c r="I18" i="7"/>
  <c r="K50" i="7" a="1"/>
  <c r="K50" i="7" s="1"/>
  <c r="J50" i="7" a="1"/>
  <c r="J50" i="7" s="1"/>
  <c r="I50" i="7"/>
  <c r="K49" i="7" a="1"/>
  <c r="K49" i="7" s="1"/>
  <c r="J49" i="7" a="1"/>
  <c r="J49" i="7" s="1"/>
  <c r="I49" i="7"/>
  <c r="K48" i="7" a="1"/>
  <c r="K48" i="7" s="1"/>
  <c r="J48" i="7" a="1"/>
  <c r="J48" i="7" s="1"/>
  <c r="I48" i="7"/>
  <c r="K47" i="7" a="1"/>
  <c r="K47" i="7" s="1"/>
  <c r="J47" i="7" a="1"/>
  <c r="J47" i="7" s="1"/>
  <c r="I47" i="7"/>
  <c r="K46" i="7" a="1"/>
  <c r="K46" i="7" s="1"/>
  <c r="J46" i="7" a="1"/>
  <c r="J46" i="7" s="1"/>
  <c r="I46" i="7"/>
  <c r="K45" i="7" a="1"/>
  <c r="K45" i="7" s="1"/>
  <c r="J45" i="7" a="1"/>
  <c r="J45" i="7" s="1"/>
  <c r="I45" i="7"/>
  <c r="K44" i="7" a="1"/>
  <c r="K44" i="7" s="1"/>
  <c r="J44" i="7" a="1"/>
  <c r="J44" i="7" s="1"/>
  <c r="I44" i="7"/>
  <c r="K43" i="7" a="1"/>
  <c r="K43" i="7" s="1"/>
  <c r="J43" i="7" a="1"/>
  <c r="J43" i="7" s="1"/>
  <c r="I43" i="7"/>
  <c r="K42" i="7" a="1"/>
  <c r="K42" i="7" s="1"/>
  <c r="J42" i="7" a="1"/>
  <c r="J42" i="7" s="1"/>
  <c r="I42" i="7"/>
  <c r="AB41" i="7"/>
  <c r="U41" i="7"/>
  <c r="N41" i="7"/>
  <c r="G41" i="7"/>
  <c r="K28" i="7" a="1"/>
  <c r="K28" i="7" s="1"/>
  <c r="J28" i="7" a="1"/>
  <c r="J28" i="7" s="1"/>
  <c r="K22" i="7" a="1"/>
  <c r="K22" i="7" s="1"/>
  <c r="J22" i="7" a="1"/>
  <c r="J22" i="7" s="1"/>
  <c r="K21" i="7" a="1"/>
  <c r="K21" i="7" s="1"/>
  <c r="J21" i="7" a="1"/>
  <c r="J21" i="7" s="1"/>
  <c r="K20" i="7" a="1"/>
  <c r="K20" i="7" s="1"/>
  <c r="J20" i="7" a="1"/>
  <c r="J20" i="7" s="1"/>
  <c r="K39" i="7" a="1"/>
  <c r="K39" i="7" s="1"/>
  <c r="J39" i="7" a="1"/>
  <c r="J39" i="7" s="1"/>
  <c r="K38" i="7" a="1"/>
  <c r="K38" i="7" s="1"/>
  <c r="J38" i="7" a="1"/>
  <c r="J38" i="7" s="1"/>
  <c r="K37" i="7" a="1"/>
  <c r="K37" i="7" s="1"/>
  <c r="J37" i="7" a="1"/>
  <c r="J37" i="7" s="1"/>
  <c r="K36" i="7" a="1"/>
  <c r="K36" i="7" s="1"/>
  <c r="J36" i="7" a="1"/>
  <c r="J36" i="7" s="1"/>
  <c r="K35" i="7" a="1"/>
  <c r="K35" i="7" s="1"/>
  <c r="J35" i="7" a="1"/>
  <c r="J35" i="7" s="1"/>
  <c r="K31" i="7" a="1"/>
  <c r="K31" i="7" s="1"/>
  <c r="J31" i="7" a="1"/>
  <c r="J31" i="7" s="1"/>
  <c r="K9" i="7" a="1"/>
  <c r="K9" i="7" s="1"/>
  <c r="J9" i="7" a="1"/>
  <c r="J9" i="7" s="1"/>
  <c r="K8" i="7" a="1"/>
  <c r="K8" i="7" s="1"/>
  <c r="J8" i="7" a="1"/>
  <c r="J8" i="7" s="1"/>
  <c r="K7" i="7" a="1"/>
  <c r="K7" i="7" s="1"/>
  <c r="J7" i="7" a="1"/>
  <c r="J7" i="7" s="1"/>
  <c r="K6" i="7" a="1"/>
  <c r="K6" i="7" s="1"/>
  <c r="J6" i="7" a="1"/>
  <c r="J6" i="7" s="1"/>
  <c r="K5" i="7" a="1"/>
  <c r="K5" i="7" s="1"/>
  <c r="J5" i="7" a="1"/>
  <c r="J5" i="7" s="1"/>
  <c r="AB17" i="7"/>
  <c r="U17" i="7"/>
  <c r="AB4" i="7"/>
  <c r="U4" i="7"/>
  <c r="N4" i="7"/>
  <c r="N17" i="7"/>
  <c r="AB30" i="7"/>
  <c r="U30" i="7"/>
  <c r="I39" i="7"/>
  <c r="I38" i="7"/>
  <c r="I37" i="7"/>
  <c r="I36" i="7"/>
  <c r="I35" i="7"/>
  <c r="I31" i="7"/>
  <c r="I28" i="7"/>
  <c r="I22" i="7"/>
  <c r="I21" i="7"/>
  <c r="I20" i="7"/>
  <c r="I6" i="7"/>
  <c r="I7" i="7"/>
  <c r="I8" i="7"/>
  <c r="I9" i="7"/>
  <c r="I5" i="7"/>
  <c r="N30" i="7"/>
  <c r="G30" i="7"/>
  <c r="G17" i="7"/>
  <c r="K4" i="7" l="1"/>
  <c r="J4" i="7"/>
  <c r="G4" i="7"/>
  <c r="I41" i="7"/>
  <c r="J41" i="7"/>
  <c r="K41" i="7"/>
  <c r="I30" i="7"/>
  <c r="J30" i="7"/>
  <c r="K30" i="7"/>
  <c r="I17" i="7"/>
  <c r="J17" i="7"/>
  <c r="K17" i="7"/>
  <c r="I4"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<sst xmlns="http://schemas.openxmlformats.org/spreadsheetml/2006/main" count="391" uniqueCount="165">
  <si>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</si>
  <si>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</si>
  <si>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</si>
  <si>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</si>
  <si>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</si>
  <si>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</si>
  <si>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</si>
  <si>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</si>
  <si>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</si>
  <si>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</si>
  <si>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</si>
  <si>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</si>
  <si>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</si>
  <si>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</si>
  <si>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</si>
  <si>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</si>
  <si>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</si>
  <si>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</si>
  <si>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</si>
  <si>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</si>
  <si>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</si>
  <si>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</si>
  <si>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</si>
  <si>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</si>
  <si>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</si>
  <si>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</si>
  <si>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</si>
  <si>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</si>
  <si>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</si>
  <si>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</si>
  <si>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</si>
  <si>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</si>
  <si>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</si>
  <si>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</si>
  <si>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</si>
  <si>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</si>
  <si>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</si>
  <si>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</si>
  <si>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</si>
  <si>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</si>
  <si>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</si>
  <si>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</si>
  <si>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</si>
  <si>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</si>
  <si>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</si>
  <si>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</si>
  <si>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</si>
  <si>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</si>
  <si>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</si>
  <si>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</si>
  <si>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</si>
  <si>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</si>
  <si>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</si>
  <si>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</si>
  <si>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</si>
  <si>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</si>
  <si>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</si>
  <si>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</si>
  <si>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</si>
  <si>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</si>
  <si>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</si>
  <si>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</si>
  <si>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</si>
  <si>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</si>
  <si>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</si>
  <si>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</si>
  <si>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</si>
  <si>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</si>
  <si>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</si>
  <si>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</si>
  <si>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</si>
  <si>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</si>
  <si>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</si>
  <si>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</si>
  <si>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</si>
  <si>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</si>
  <si>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</si>
  <si>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</si>
  <si>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</si>
  <si>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</si>
  <si>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</si>
  <si>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</si>
  <si>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</si>
  <si>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</si>
  <si>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</si>
  <si>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</si>
  <si>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</si>
  <si>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Accounting</t>
  </si>
  <si>
    <t>KW 42</t>
  </si>
  <si>
    <t>KW 43</t>
  </si>
  <si>
    <t>KW 44</t>
  </si>
  <si>
    <t>KW 45</t>
  </si>
  <si>
    <t>VWL</t>
  </si>
  <si>
    <t>Statistik</t>
  </si>
  <si>
    <t>Mathematik</t>
  </si>
  <si>
    <t>1) Matrizen</t>
  </si>
  <si>
    <t>2) Lineare Gleichungssysteme</t>
  </si>
  <si>
    <t>3) Vektoren</t>
  </si>
  <si>
    <t>4) Determinanten</t>
  </si>
  <si>
    <t>5) Inversen</t>
  </si>
  <si>
    <t>1) Kosten- und Erlösrechnung als Teilbereich der Unternehmensrechnung</t>
  </si>
  <si>
    <t>4) Kostenstellenrechung</t>
  </si>
  <si>
    <t>2) Grundbegriffe der Kosten- und Erlösrechnung</t>
  </si>
  <si>
    <t>3) Kostenartenrechnung</t>
  </si>
  <si>
    <t>5) Kalkulation</t>
  </si>
  <si>
    <t>6) Activity-based-Costing</t>
  </si>
  <si>
    <t>7) Erfolgsrechung</t>
  </si>
  <si>
    <t>8) Break-Even-Analyse</t>
  </si>
  <si>
    <t>9) Kosten- und Erlösinformationen für operative Entscheidungen</t>
  </si>
  <si>
    <t>1)  Grundlagen</t>
  </si>
  <si>
    <t>KW 46</t>
  </si>
  <si>
    <t>KW 47</t>
  </si>
  <si>
    <t>KW 48</t>
  </si>
  <si>
    <t>KW 49</t>
  </si>
  <si>
    <t>KW 50</t>
  </si>
  <si>
    <t>KW 51</t>
  </si>
  <si>
    <t>KW 1</t>
  </si>
  <si>
    <t>KW 2</t>
  </si>
  <si>
    <t>KW 4</t>
  </si>
  <si>
    <t>KW 5</t>
  </si>
  <si>
    <t>KW 6</t>
  </si>
  <si>
    <t>KLAUSUREN!!!!</t>
  </si>
  <si>
    <t>KW 52 (70% des Semesters)</t>
  </si>
  <si>
    <t>KW 3 (70% wenn Semesterstart in KW 42)</t>
  </si>
  <si>
    <t>KW 38 Halbe Woche</t>
  </si>
  <si>
    <t>Notizen</t>
  </si>
  <si>
    <t>1. Alle Angeben zu den Prozenten in der Klausur sind geschätzt.</t>
  </si>
  <si>
    <t>Zeit pro Fach pro woche (abhänging von ECTS)</t>
  </si>
  <si>
    <t>OSTA</t>
  </si>
  <si>
    <t>OMAT</t>
  </si>
  <si>
    <t>OVWL</t>
  </si>
  <si>
    <t>OACC</t>
  </si>
  <si>
    <t>Annahme 40h pro Woche lernen</t>
  </si>
  <si>
    <t>7) Folgen und Reihen</t>
  </si>
  <si>
    <t>6) Analysis</t>
  </si>
  <si>
    <t>Die Stunden pro Level-Up sollten immer in Relation zur Gewichtung des jeweiligen Kapitels betrachtet werden</t>
  </si>
  <si>
    <t>3) Wahrscheinlichkeitsrechung</t>
  </si>
  <si>
    <t>6) Summen und Mittel von Stichprobenvariablen</t>
  </si>
  <si>
    <t>1) Beschreibende Methoden unvarierter Datenanalyse</t>
  </si>
  <si>
    <t>2) Weiterführende Methoden und Zusammenfassung</t>
  </si>
  <si>
    <t>4) Zufallsvariablen</t>
  </si>
  <si>
    <t>5) Verteilungsmodelle</t>
  </si>
  <si>
    <t>7) Parameterschätzung</t>
  </si>
  <si>
    <t>8) Konfidenzintervalle</t>
  </si>
  <si>
    <t>9) Statistische Tests</t>
  </si>
  <si>
    <t>10) Weitere spezielle Testprobleme</t>
  </si>
  <si>
    <t>11) Das lineare Regressionsmodell</t>
  </si>
  <si>
    <t>Level-Ups pro Woche</t>
  </si>
  <si>
    <t>2) Makroökonomische Daten</t>
  </si>
  <si>
    <t>3) Angebot und Nachfrage</t>
  </si>
  <si>
    <t>4) Unternehmen im Wettbewerbsmarkt</t>
  </si>
  <si>
    <t>5) Theorie der Konsumentenentscheidungen</t>
  </si>
  <si>
    <t>6) Markt und Wohlfahrt</t>
  </si>
  <si>
    <t>7) Öknonomik des öffentlichen Staates</t>
  </si>
  <si>
    <t>8) Faktormärkte</t>
  </si>
  <si>
    <t>9) Ungleichheit</t>
  </si>
  <si>
    <t>KW 40 (Mathe Vorkurs)</t>
  </si>
  <si>
    <t>KW 41 (Mathe Vorkurs)</t>
  </si>
  <si>
    <t>KW 39 (Einführungswoche)</t>
  </si>
  <si>
    <t>Kapitel</t>
  </si>
  <si>
    <t>Zeit pro Woche [h]</t>
  </si>
  <si>
    <t>8) Eigenschaften und Ableitung von Funktionen</t>
  </si>
  <si>
    <t>9) Approximation</t>
  </si>
  <si>
    <t>10) Univariate und Bivariate Funktionen</t>
  </si>
  <si>
    <t>11) Optimierung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</si>
</sst>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
      <b/>
      <sz val="12"/>
      <color rgb="FF3F3F3F"/>
      <name val="Calibri"/>
      <family val="2"/>
      <scheme val="minor"/>
    </font>
    <font>
      <b/>
      <sz val="12"/>
      <color rgb="FFFA7D00"/>
      <name val="Calibri"/>
      <family val="2"/>
      <scheme val="minor"/>
    </font>
    <font>
      <sz val="12"/>
      <color theme="0" tint="-0.34998626667073579"/>
      <name val="Calibri"/>
      <family val="2"/>
      <scheme val="minor"/>
    </font>
  </fonts>
  <fills count="8">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
      <patternFill patternType="solid">
        <fgColor rgb="FFF2F2F2"/>
      </patternFill>
    </fill>
  </fills>
  <borders count="4">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indexed="64"/>
      </top>
      <bottom/>
      <diagonal/>
    </border>
  </borders>
  <cellStyleXfs count="3">
    <xf numFmtId="0" fontId="0" fillId="0" borderId="0"/>
    <xf numFmtId="0" fontId="6" fillId="7" borderId="2" applyNumberFormat="0" applyAlignment="0" applyProtection="0"/>
    <xf numFmtId="0" fontId="7" fillId="7" borderId="1" applyNumberFormat="0" applyAlignment="0" applyProtection="0"/>
  </cellStyleXfs>
  <cellXfs count="30">
    <xf numFmtId="0" fontId="0" fillId="0" borderId="0" xfId="0"/>
    <xf numFmtId="0" fontId="0" fillId="0" borderId="0" xfId="0" applyAlignment="1">
      <alignment wrapText="1"/>
    </xf>
    <xf numFmtId="0" fontId="1" fillId="0" borderId="0" xfId="0" applyFont="1"/>
    <xf numFmtId="0" fontId="2"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0" fontId="0" fillId="0" borderId="3" xfId="0" applyBorder="1"/>
    <xf numFmtId="14" fontId="0" fillId="0" borderId="3" xfId="0" applyNumberFormat="1" applyBorder="1"/>
    <xf numFmtId="0" fontId="0" fillId="0" borderId="3" xfId="0" applyBorder="1" applyAlignment="1">
      <alignment horizontal="center"/>
    </xf>
    <xf numFmtId="9" fontId="0" fillId="0" borderId="3" xfId="0" applyNumberFormat="1" applyBorder="1"/>
    <xf numFmtId="1" fontId="0" fillId="0" borderId="3" xfId="0" applyNumberFormat="1" applyBorder="1" applyAlignment="1">
      <alignment horizontal="center"/>
    </xf>
    <xf numFmtId="9" fontId="0" fillId="0" borderId="3" xfId="0" applyNumberFormat="1" applyBorder="1" applyAlignment="1">
      <alignment horizontal="center"/>
    </xf>
    <xf numFmtId="0" fontId="6" fillId="7" borderId="2" xfId="1"/>
    <xf numFmtId="2" fontId="7" fillId="7" borderId="1" xfId="2" applyNumberFormat="1"/>
    <xf numFmtId="2" fontId="8" fillId="0" borderId="0" xfId="0" applyNumberFormat="1" applyFont="1"/>
    <xf numFmtId="2" fontId="1" fillId="0" borderId="0" xfId="0" applyNumberFormat="1" applyFont="1"/>
    <xf numFmtId="0" fontId="0" fillId="0" borderId="0" xfId="0" applyAlignment="1">
      <alignment horizontal="center"/>
    </xf>
    <xf numFmtId="0" fontId="3" fillId="0" borderId="0" xfId="0" applyFont="1" applyAlignment="1">
      <alignment horizontal="center"/>
    </xf>
    <xf numFmtId="0" fontId="1" fillId="2" borderId="0" xfId="0" applyFont="1" applyFill="1" applyAlignment="1">
      <alignment horizontal="center"/>
    </xf>
  </cellXfs>
  <cellStyles count="3">
    <cellStyle name="Ausgabe" xfId="1" builtinId="21"/>
    <cellStyle name="Berechnung" xfId="2" builtinId="22"/>
    <cellStyle name="Standard" xfId="0" builtinId="0"/>
  </cellStyles>
  <dxfs count="37">
    <dxf>
      <fill>
        <patternFill>
          <bgColor rgb="FFC4FF87"/>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56FF5E"/>
        </patternFill>
      </fill>
    </dxf>
    <dxf>
      <font>
        <b/>
        <i val="0"/>
        <u/>
      </font>
      <fill>
        <patternFill>
          <bgColor rgb="FF00FF29"/>
        </patternFill>
      </fill>
    </dxf>
    <dxf>
      <font>
        <color rgb="FF006100"/>
      </font>
      <fill>
        <patternFill>
          <bgColor rgb="FFC6EFCE"/>
        </patternFill>
      </fill>
    </dxf>
    <dxf>
      <font>
        <color rgb="FF9C0006"/>
      </font>
      <fill>
        <patternFill>
          <bgColor rgb="FFFFC7CE"/>
        </patternFill>
      </fill>
    </dxf>
    <dxf>
      <font>
        <b/>
        <i val="0"/>
        <u/>
      </font>
      <fill>
        <patternFill>
          <bgColor rgb="FF00FF29"/>
        </patternFill>
      </fill>
    </dxf>
    <dxf>
      <font>
        <color rgb="FF006100"/>
      </font>
      <fill>
        <patternFill>
          <bgColor rgb="FFC6EFCE"/>
        </patternFill>
      </fill>
    </dxf>
    <dxf>
      <font>
        <color rgb="FF9C0006"/>
      </font>
      <fill>
        <patternFill>
          <bgColor rgb="FFFFC7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10FF07"/>
        </patternFill>
      </fill>
    </dxf>
    <dxf>
      <fill>
        <patternFill>
          <bgColor rgb="FFFF0000"/>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36">
  <autoFilter ref="A1:K46" xr:uid="{6E266E34-2786-2747-BCE7-51B74867A564}"/>
  <tableColumns count="11">
    <tableColumn id="1" xr3:uid="{95FD92F7-3DC8-704D-A103-A7EDDAB255AB}" name="Datum" dataDxfId="35"/>
    <tableColumn id="2" xr3:uid="{F464D510-8166-E740-A343-FB84BDEF877F}" name="Lerneinheiten durchgezogen" dataDxfId="34"/>
    <tableColumn id="3" xr3:uid="{75F52B08-1A00-0848-BBE6-1EDF7B31B1AD}" name="Tagesplan erstellt" dataDxfId="33"/>
    <tableColumn id="4" xr3:uid="{E6B18D89-E799-AD48-9DAA-37AEE1D29011}" name="Konzentrationslevel" dataDxfId="32"/>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I28"/>
  <sheetViews>
    <sheetView topLeftCell="A5" zoomScale="164" workbookViewId="0">
      <selection activeCell="E34" sqref="E34"/>
    </sheetView>
  </sheetViews>
  <sheetFormatPr baseColWidth="10" defaultRowHeight="16" x14ac:dyDescent="0.2"/>
  <cols>
    <col min="1" max="1" width="11.83203125" customWidth="1"/>
    <col min="2" max="2" width="62.6640625" customWidth="1"/>
    <col min="6" max="6" width="12.1640625" bestFit="1" customWidth="1"/>
    <col min="9" max="9" width="19" bestFit="1" customWidth="1"/>
  </cols>
  <sheetData>
    <row r="2" spans="1:4" x14ac:dyDescent="0.2">
      <c r="C2" s="16" t="s">
        <v>71</v>
      </c>
    </row>
    <row r="3" spans="1:4" x14ac:dyDescent="0.2">
      <c r="C3" s="15" t="s">
        <v>56</v>
      </c>
    </row>
    <row r="4" spans="1:4" x14ac:dyDescent="0.2">
      <c r="C4" s="14" t="s">
        <v>70</v>
      </c>
    </row>
    <row r="5" spans="1:4" x14ac:dyDescent="0.2">
      <c r="A5" s="2" t="s">
        <v>53</v>
      </c>
      <c r="B5" s="2" t="s">
        <v>54</v>
      </c>
      <c r="C5" s="2" t="s">
        <v>55</v>
      </c>
      <c r="D5" s="2" t="s">
        <v>57</v>
      </c>
    </row>
    <row r="6" spans="1:4" x14ac:dyDescent="0.2">
      <c r="A6" t="s">
        <v>49</v>
      </c>
      <c r="B6" s="16" t="s">
        <v>52</v>
      </c>
      <c r="D6" t="s">
        <v>86</v>
      </c>
    </row>
    <row r="7" spans="1:4" x14ac:dyDescent="0.2">
      <c r="A7" t="s">
        <v>60</v>
      </c>
      <c r="B7" t="s">
        <v>61</v>
      </c>
      <c r="C7" s="14">
        <v>40</v>
      </c>
    </row>
    <row r="8" spans="1:4" x14ac:dyDescent="0.2">
      <c r="A8" t="s">
        <v>51</v>
      </c>
      <c r="B8" s="16" t="s">
        <v>50</v>
      </c>
      <c r="D8" t="s">
        <v>74</v>
      </c>
    </row>
    <row r="9" spans="1:4" x14ac:dyDescent="0.2">
      <c r="A9" t="s">
        <v>59</v>
      </c>
      <c r="B9" s="16" t="s">
        <v>72</v>
      </c>
      <c r="D9" t="s">
        <v>75</v>
      </c>
    </row>
    <row r="10" spans="1:4" x14ac:dyDescent="0.2">
      <c r="A10" t="s">
        <v>63</v>
      </c>
      <c r="B10" t="s">
        <v>62</v>
      </c>
      <c r="C10" s="14">
        <v>13</v>
      </c>
      <c r="D10" t="s">
        <v>58</v>
      </c>
    </row>
    <row r="11" spans="1:4" x14ac:dyDescent="0.2">
      <c r="A11" t="s">
        <v>64</v>
      </c>
      <c r="B11" t="s">
        <v>66</v>
      </c>
      <c r="C11" s="14">
        <f>C7*3</f>
        <v>120</v>
      </c>
      <c r="D11" t="s">
        <v>65</v>
      </c>
    </row>
    <row r="12" spans="1:4" x14ac:dyDescent="0.2">
      <c r="A12" t="s">
        <v>68</v>
      </c>
      <c r="B12" t="s">
        <v>67</v>
      </c>
      <c r="C12" s="15">
        <f>C11/C10</f>
        <v>9.2307692307692299</v>
      </c>
    </row>
    <row r="13" spans="1:4" x14ac:dyDescent="0.2">
      <c r="A13" t="s">
        <v>73</v>
      </c>
      <c r="B13" t="s">
        <v>69</v>
      </c>
      <c r="D13" t="s">
        <v>76</v>
      </c>
    </row>
    <row r="14" spans="1:4" x14ac:dyDescent="0.2">
      <c r="A14" t="s">
        <v>77</v>
      </c>
      <c r="B14" t="s">
        <v>78</v>
      </c>
      <c r="D14" t="s">
        <v>79</v>
      </c>
    </row>
    <row r="15" spans="1:4" x14ac:dyDescent="0.2">
      <c r="A15" t="s">
        <v>80</v>
      </c>
      <c r="B15" s="16" t="s">
        <v>81</v>
      </c>
    </row>
    <row r="16" spans="1:4" x14ac:dyDescent="0.2">
      <c r="A16" t="s">
        <v>84</v>
      </c>
      <c r="B16" s="16" t="s">
        <v>82</v>
      </c>
    </row>
    <row r="17" spans="1:9" x14ac:dyDescent="0.2">
      <c r="A17" t="s">
        <v>85</v>
      </c>
      <c r="B17" t="s">
        <v>83</v>
      </c>
    </row>
    <row r="20" spans="1:9" x14ac:dyDescent="0.2">
      <c r="A20" s="2" t="s">
        <v>125</v>
      </c>
      <c r="B20" t="s">
        <v>126</v>
      </c>
    </row>
    <row r="21" spans="1:9" x14ac:dyDescent="0.2">
      <c r="E21" s="8" t="s">
        <v>30</v>
      </c>
      <c r="F21" s="27" t="s">
        <v>160</v>
      </c>
      <c r="G21" s="27"/>
      <c r="H21" s="8" t="s">
        <v>159</v>
      </c>
      <c r="I21" t="s">
        <v>147</v>
      </c>
    </row>
    <row r="22" spans="1:9" x14ac:dyDescent="0.2">
      <c r="B22" t="s">
        <v>127</v>
      </c>
      <c r="D22" t="s">
        <v>129</v>
      </c>
      <c r="E22">
        <v>10</v>
      </c>
      <c r="F22" s="25">
        <f t="shared" ref="F22" si="0">(1/3)*F$26</f>
        <v>13.333333333333332</v>
      </c>
      <c r="G22">
        <v>14</v>
      </c>
      <c r="H22">
        <v>11</v>
      </c>
      <c r="I22" s="26">
        <f>(H22*3)/$C$10</f>
        <v>2.5384615384615383</v>
      </c>
    </row>
    <row r="23" spans="1:9" x14ac:dyDescent="0.2">
      <c r="B23" t="s">
        <v>132</v>
      </c>
      <c r="D23" t="s">
        <v>128</v>
      </c>
      <c r="E23">
        <v>10</v>
      </c>
      <c r="F23" s="25">
        <f>(1/3)*F$26</f>
        <v>13.333333333333332</v>
      </c>
      <c r="G23">
        <v>14</v>
      </c>
      <c r="H23">
        <v>11</v>
      </c>
      <c r="I23" s="26">
        <f>(H23*3)/$C$10</f>
        <v>2.5384615384615383</v>
      </c>
    </row>
    <row r="24" spans="1:9" x14ac:dyDescent="0.2">
      <c r="D24" t="s">
        <v>130</v>
      </c>
      <c r="E24">
        <v>5</v>
      </c>
      <c r="F24" s="25">
        <f>(1/6)*F$26</f>
        <v>6.6666666666666661</v>
      </c>
      <c r="G24">
        <v>7</v>
      </c>
      <c r="H24">
        <v>9</v>
      </c>
      <c r="I24" s="26">
        <f t="shared" ref="I24:I25" si="1">(H24*3)/$C$10</f>
        <v>2.0769230769230771</v>
      </c>
    </row>
    <row r="25" spans="1:9" x14ac:dyDescent="0.2">
      <c r="D25" t="s">
        <v>131</v>
      </c>
      <c r="E25">
        <v>5</v>
      </c>
      <c r="F25" s="25">
        <f>(1/6)*F$26</f>
        <v>6.6666666666666661</v>
      </c>
      <c r="G25">
        <v>7</v>
      </c>
      <c r="H25">
        <v>9</v>
      </c>
      <c r="I25" s="26">
        <f t="shared" si="1"/>
        <v>2.0769230769230771</v>
      </c>
    </row>
    <row r="26" spans="1:9" x14ac:dyDescent="0.2">
      <c r="E26" s="23">
        <f>SUM(E22:E25)</f>
        <v>30</v>
      </c>
      <c r="F26" s="23">
        <v>40</v>
      </c>
      <c r="G26" s="23">
        <f>SUM(G22:G25)</f>
        <v>42</v>
      </c>
      <c r="H26" s="14">
        <f>SUM(H22:H25)</f>
        <v>40</v>
      </c>
      <c r="I26" s="24">
        <f>SUM(I22:I25)</f>
        <v>9.2307692307692299</v>
      </c>
    </row>
    <row r="28" spans="1:9" x14ac:dyDescent="0.2">
      <c r="D28" t="s">
        <v>135</v>
      </c>
    </row>
  </sheetData>
  <mergeCells count="1">
    <mergeCell ref="F21:G21"/>
  </mergeCells>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FJ50"/>
  <sheetViews>
    <sheetView showGridLines="0" tabSelected="1" zoomScale="93" zoomScaleNormal="83" workbookViewId="0">
      <pane xSplit="12" topLeftCell="M1" activePane="topRight" state="frozen"/>
      <selection pane="topRight" activeCell="G8" sqref="G8"/>
    </sheetView>
  </sheetViews>
  <sheetFormatPr baseColWidth="10" defaultColWidth="8.83203125" defaultRowHeight="16" outlineLevelRow="1" x14ac:dyDescent="0.2"/>
  <cols>
    <col min="3" max="3" width="11.6640625" bestFit="1" customWidth="1"/>
    <col min="4" max="4" width="13" bestFit="1" customWidth="1"/>
    <col min="5" max="5" width="4.83203125" bestFit="1" customWidth="1"/>
    <col min="6" max="6" width="44.1640625" customWidth="1"/>
    <col min="7" max="7" width="15.5" bestFit="1" customWidth="1"/>
    <col min="8" max="8" width="2.5" customWidth="1"/>
    <col min="10" max="10" width="12.5" bestFit="1" customWidth="1"/>
    <col min="11" max="11" width="14.83203125" bestFit="1" customWidth="1"/>
    <col min="12" max="12" width="2" customWidth="1"/>
    <col min="13" max="13" width="1.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 min="111" max="111" width="2.5" customWidth="1"/>
    <col min="113" max="113" width="12.5" bestFit="1" customWidth="1"/>
    <col min="114" max="114" width="6.33203125" customWidth="1"/>
    <col min="115" max="115" width="14.83203125" bestFit="1" customWidth="1"/>
    <col min="116" max="116" width="6" customWidth="1"/>
    <col min="117" max="117" width="12.6640625" bestFit="1" customWidth="1"/>
    <col min="118" max="118" width="2.5" customWidth="1"/>
    <col min="120" max="120" width="12.5" bestFit="1" customWidth="1"/>
    <col min="121" max="121" width="6.33203125" customWidth="1"/>
    <col min="122" max="122" width="14.83203125" bestFit="1" customWidth="1"/>
    <col min="123" max="123" width="6" customWidth="1"/>
    <col min="124" max="124" width="12.6640625" bestFit="1" customWidth="1"/>
    <col min="125" max="125" width="2.5" customWidth="1"/>
    <col min="127" max="127" width="12.5" bestFit="1" customWidth="1"/>
    <col min="128" max="128" width="6.33203125" customWidth="1"/>
    <col min="129" max="129" width="14.83203125" bestFit="1" customWidth="1"/>
    <col min="130" max="130" width="6" customWidth="1"/>
    <col min="131" max="131" width="12.6640625" bestFit="1" customWidth="1"/>
    <col min="132" max="132" width="2.5" customWidth="1"/>
    <col min="134" max="134" width="12.5" bestFit="1" customWidth="1"/>
    <col min="135" max="135" width="6.33203125" customWidth="1"/>
    <col min="136" max="136" width="14.83203125" bestFit="1" customWidth="1"/>
    <col min="137" max="137" width="6" customWidth="1"/>
    <col min="138" max="138" width="12.6640625" bestFit="1" customWidth="1"/>
    <col min="139" max="139" width="2.5" customWidth="1"/>
    <col min="141" max="141" width="12.5" bestFit="1" customWidth="1"/>
    <col min="142" max="142" width="6.33203125" customWidth="1"/>
    <col min="143" max="143" width="14.83203125" bestFit="1" customWidth="1"/>
    <col min="144" max="144" width="6" customWidth="1"/>
    <col min="145" max="145" width="12.6640625" bestFit="1" customWidth="1"/>
    <col min="146" max="146" width="2.5" customWidth="1"/>
    <col min="148" max="148" width="12.5" bestFit="1" customWidth="1"/>
    <col min="149" max="149" width="6.33203125" customWidth="1"/>
    <col min="150" max="150" width="14.83203125" bestFit="1" customWidth="1"/>
    <col min="151" max="151" width="6" customWidth="1"/>
    <col min="152" max="152" width="12.6640625" bestFit="1" customWidth="1"/>
    <col min="153" max="153" width="2.5" customWidth="1"/>
    <col min="155" max="155" width="12.5" bestFit="1" customWidth="1"/>
    <col min="156" max="156" width="6.33203125" customWidth="1"/>
    <col min="157" max="157" width="14.83203125" bestFit="1" customWidth="1"/>
    <col min="158" max="158" width="6" customWidth="1"/>
    <col min="159" max="159" width="12.6640625" bestFit="1" customWidth="1"/>
    <col min="160" max="160" width="2.5" customWidth="1"/>
    <col min="162" max="162" width="12.5" bestFit="1" customWidth="1"/>
    <col min="163" max="163" width="6.33203125" customWidth="1"/>
    <col min="164" max="164" width="14.83203125" bestFit="1" customWidth="1"/>
    <col min="165" max="165" width="6" customWidth="1"/>
    <col min="166" max="166" width="12.6640625" bestFit="1" customWidth="1"/>
  </cols>
  <sheetData>
    <row r="1" spans="2:166" ht="34" x14ac:dyDescent="0.4">
      <c r="B1" s="28" t="s">
        <v>0</v>
      </c>
      <c r="C1" s="28"/>
      <c r="D1" s="28"/>
      <c r="G1" s="11" t="s">
        <v>33</v>
      </c>
      <c r="I1" s="11" t="s">
        <v>33</v>
      </c>
      <c r="J1" s="11" t="s">
        <v>33</v>
      </c>
      <c r="K1" s="11" t="s">
        <v>33</v>
      </c>
    </row>
    <row r="2" spans="2:166" x14ac:dyDescent="0.2">
      <c r="I2" s="29" t="s">
        <v>27</v>
      </c>
      <c r="J2" s="29"/>
      <c r="K2" s="29"/>
      <c r="L2" s="29"/>
      <c r="N2" s="29" t="s">
        <v>124</v>
      </c>
      <c r="O2" s="29"/>
      <c r="P2" s="29"/>
      <c r="Q2" s="29"/>
      <c r="R2" s="29"/>
      <c r="S2" s="29"/>
      <c r="U2" s="29" t="s">
        <v>158</v>
      </c>
      <c r="V2" s="29"/>
      <c r="W2" s="29"/>
      <c r="X2" s="29"/>
      <c r="Y2" s="29"/>
      <c r="Z2" s="29"/>
      <c r="AB2" s="29" t="s">
        <v>156</v>
      </c>
      <c r="AC2" s="29"/>
      <c r="AD2" s="29"/>
      <c r="AE2" s="29"/>
      <c r="AF2" s="29"/>
      <c r="AG2" s="29"/>
      <c r="AI2" s="29" t="s">
        <v>157</v>
      </c>
      <c r="AJ2" s="29"/>
      <c r="AK2" s="29"/>
      <c r="AL2" s="29"/>
      <c r="AM2" s="29"/>
      <c r="AN2" s="29"/>
      <c r="AP2" s="29" t="s">
        <v>88</v>
      </c>
      <c r="AQ2" s="29"/>
      <c r="AR2" s="29"/>
      <c r="AS2" s="29"/>
      <c r="AT2" s="29"/>
      <c r="AU2" s="29"/>
      <c r="AW2" s="29" t="s">
        <v>89</v>
      </c>
      <c r="AX2" s="29"/>
      <c r="AY2" s="29"/>
      <c r="AZ2" s="29"/>
      <c r="BA2" s="29"/>
      <c r="BB2" s="29"/>
      <c r="BD2" s="29" t="s">
        <v>90</v>
      </c>
      <c r="BE2" s="29"/>
      <c r="BF2" s="29"/>
      <c r="BG2" s="29"/>
      <c r="BH2" s="29"/>
      <c r="BI2" s="29"/>
      <c r="BK2" s="29" t="s">
        <v>91</v>
      </c>
      <c r="BL2" s="29"/>
      <c r="BM2" s="29"/>
      <c r="BN2" s="29"/>
      <c r="BO2" s="29"/>
      <c r="BP2" s="29"/>
      <c r="BR2" s="29" t="s">
        <v>110</v>
      </c>
      <c r="BS2" s="29"/>
      <c r="BT2" s="29"/>
      <c r="BU2" s="29"/>
      <c r="BV2" s="29"/>
      <c r="BW2" s="29"/>
      <c r="BY2" s="29" t="s">
        <v>111</v>
      </c>
      <c r="BZ2" s="29"/>
      <c r="CA2" s="29"/>
      <c r="CB2" s="29"/>
      <c r="CC2" s="29"/>
      <c r="CD2" s="29"/>
      <c r="CF2" s="29" t="s">
        <v>112</v>
      </c>
      <c r="CG2" s="29"/>
      <c r="CH2" s="29"/>
      <c r="CI2" s="29"/>
      <c r="CJ2" s="29"/>
      <c r="CK2" s="29"/>
      <c r="CM2" s="29" t="s">
        <v>113</v>
      </c>
      <c r="CN2" s="29"/>
      <c r="CO2" s="29"/>
      <c r="CP2" s="29"/>
      <c r="CQ2" s="29"/>
      <c r="CR2" s="29"/>
      <c r="CT2" s="29" t="s">
        <v>114</v>
      </c>
      <c r="CU2" s="29"/>
      <c r="CV2" s="29"/>
      <c r="CW2" s="29"/>
      <c r="CX2" s="29"/>
      <c r="CY2" s="29"/>
      <c r="DA2" s="29" t="s">
        <v>115</v>
      </c>
      <c r="DB2" s="29"/>
      <c r="DC2" s="29"/>
      <c r="DD2" s="29"/>
      <c r="DE2" s="29"/>
      <c r="DF2" s="29"/>
      <c r="DH2" s="29" t="s">
        <v>122</v>
      </c>
      <c r="DI2" s="29"/>
      <c r="DJ2" s="29"/>
      <c r="DK2" s="29"/>
      <c r="DL2" s="29"/>
      <c r="DM2" s="29"/>
      <c r="DO2" s="29" t="s">
        <v>116</v>
      </c>
      <c r="DP2" s="29"/>
      <c r="DQ2" s="29"/>
      <c r="DR2" s="29"/>
      <c r="DS2" s="29"/>
      <c r="DT2" s="29"/>
      <c r="DV2" s="29" t="s">
        <v>117</v>
      </c>
      <c r="DW2" s="29"/>
      <c r="DX2" s="29"/>
      <c r="DY2" s="29"/>
      <c r="DZ2" s="29"/>
      <c r="EA2" s="29"/>
      <c r="EC2" s="29" t="s">
        <v>123</v>
      </c>
      <c r="ED2" s="29"/>
      <c r="EE2" s="29"/>
      <c r="EF2" s="29"/>
      <c r="EG2" s="29"/>
      <c r="EH2" s="29"/>
      <c r="EJ2" s="29" t="s">
        <v>118</v>
      </c>
      <c r="EK2" s="29"/>
      <c r="EL2" s="29"/>
      <c r="EM2" s="29"/>
      <c r="EN2" s="29"/>
      <c r="EO2" s="29"/>
      <c r="EQ2" s="29" t="s">
        <v>119</v>
      </c>
      <c r="ER2" s="29"/>
      <c r="ES2" s="29"/>
      <c r="ET2" s="29"/>
      <c r="EU2" s="29"/>
      <c r="EV2" s="29"/>
      <c r="EX2" s="29" t="s">
        <v>120</v>
      </c>
      <c r="EY2" s="29"/>
      <c r="EZ2" s="29"/>
      <c r="FA2" s="29"/>
      <c r="FB2" s="29"/>
      <c r="FC2" s="29"/>
      <c r="FE2" s="29" t="s">
        <v>121</v>
      </c>
      <c r="FF2" s="29"/>
      <c r="FG2" s="29"/>
      <c r="FH2" s="29"/>
      <c r="FI2" s="29"/>
      <c r="FJ2" s="29"/>
    </row>
    <row r="3" spans="2:166" x14ac:dyDescent="0.2">
      <c r="B3" s="4" t="s">
        <v>26</v>
      </c>
      <c r="C3" s="4" t="s">
        <v>1</v>
      </c>
      <c r="D3" s="4" t="s">
        <v>24</v>
      </c>
      <c r="E3" s="5" t="s">
        <v>30</v>
      </c>
      <c r="F3" s="4" t="s">
        <v>29</v>
      </c>
      <c r="G3" s="4" t="s">
        <v>31</v>
      </c>
      <c r="I3" s="5" t="s">
        <v>11</v>
      </c>
      <c r="J3" s="5" t="s">
        <v>2</v>
      </c>
      <c r="K3" s="5" t="s">
        <v>3</v>
      </c>
      <c r="L3" s="5" t="s">
        <v>12</v>
      </c>
      <c r="N3" s="4" t="s">
        <v>11</v>
      </c>
      <c r="O3" s="4" t="s">
        <v>2</v>
      </c>
      <c r="P3" s="4" t="s">
        <v>32</v>
      </c>
      <c r="Q3" s="4" t="s">
        <v>3</v>
      </c>
      <c r="R3" s="4" t="s">
        <v>32</v>
      </c>
      <c r="S3" s="4" t="s">
        <v>12</v>
      </c>
      <c r="U3" s="4" t="s">
        <v>11</v>
      </c>
      <c r="V3" s="4" t="s">
        <v>2</v>
      </c>
      <c r="W3" s="4" t="s">
        <v>32</v>
      </c>
      <c r="X3" s="4" t="s">
        <v>3</v>
      </c>
      <c r="Y3" s="4" t="s">
        <v>32</v>
      </c>
      <c r="Z3" s="4" t="s">
        <v>12</v>
      </c>
      <c r="AB3" s="4" t="s">
        <v>11</v>
      </c>
      <c r="AC3" s="4" t="s">
        <v>2</v>
      </c>
      <c r="AD3" s="4" t="s">
        <v>32</v>
      </c>
      <c r="AE3" s="4" t="s">
        <v>3</v>
      </c>
      <c r="AF3" s="4" t="s">
        <v>32</v>
      </c>
      <c r="AG3" s="4" t="s">
        <v>12</v>
      </c>
      <c r="AI3" s="4" t="s">
        <v>11</v>
      </c>
      <c r="AJ3" s="4" t="s">
        <v>2</v>
      </c>
      <c r="AK3" s="4" t="s">
        <v>32</v>
      </c>
      <c r="AL3" s="4" t="s">
        <v>3</v>
      </c>
      <c r="AM3" s="4" t="s">
        <v>32</v>
      </c>
      <c r="AN3" s="4" t="s">
        <v>12</v>
      </c>
      <c r="AP3" s="4" t="s">
        <v>11</v>
      </c>
      <c r="AQ3" s="4" t="s">
        <v>2</v>
      </c>
      <c r="AR3" s="4" t="s">
        <v>32</v>
      </c>
      <c r="AS3" s="4" t="s">
        <v>3</v>
      </c>
      <c r="AT3" s="4" t="s">
        <v>32</v>
      </c>
      <c r="AU3" s="4" t="s">
        <v>12</v>
      </c>
      <c r="AW3" s="4" t="s">
        <v>11</v>
      </c>
      <c r="AX3" s="4" t="s">
        <v>2</v>
      </c>
      <c r="AY3" s="4" t="s">
        <v>32</v>
      </c>
      <c r="AZ3" s="4" t="s">
        <v>3</v>
      </c>
      <c r="BA3" s="4" t="s">
        <v>32</v>
      </c>
      <c r="BB3" s="4" t="s">
        <v>12</v>
      </c>
      <c r="BD3" s="4" t="s">
        <v>11</v>
      </c>
      <c r="BE3" s="4" t="s">
        <v>2</v>
      </c>
      <c r="BF3" s="4" t="s">
        <v>32</v>
      </c>
      <c r="BG3" s="4" t="s">
        <v>3</v>
      </c>
      <c r="BH3" s="4" t="s">
        <v>32</v>
      </c>
      <c r="BI3" s="4" t="s">
        <v>12</v>
      </c>
      <c r="BK3" s="4" t="s">
        <v>11</v>
      </c>
      <c r="BL3" s="4" t="s">
        <v>2</v>
      </c>
      <c r="BM3" s="4" t="s">
        <v>32</v>
      </c>
      <c r="BN3" s="4" t="s">
        <v>3</v>
      </c>
      <c r="BO3" s="4" t="s">
        <v>32</v>
      </c>
      <c r="BP3" s="4" t="s">
        <v>12</v>
      </c>
      <c r="BR3" s="4" t="s">
        <v>11</v>
      </c>
      <c r="BS3" s="4" t="s">
        <v>2</v>
      </c>
      <c r="BT3" s="4" t="s">
        <v>32</v>
      </c>
      <c r="BU3" s="4" t="s">
        <v>3</v>
      </c>
      <c r="BV3" s="4" t="s">
        <v>32</v>
      </c>
      <c r="BW3" s="4" t="s">
        <v>12</v>
      </c>
      <c r="BY3" s="4" t="s">
        <v>11</v>
      </c>
      <c r="BZ3" s="4" t="s">
        <v>2</v>
      </c>
      <c r="CA3" s="4" t="s">
        <v>32</v>
      </c>
      <c r="CB3" s="4" t="s">
        <v>3</v>
      </c>
      <c r="CC3" s="4" t="s">
        <v>32</v>
      </c>
      <c r="CD3" s="4" t="s">
        <v>12</v>
      </c>
      <c r="CF3" s="4" t="s">
        <v>11</v>
      </c>
      <c r="CG3" s="4" t="s">
        <v>2</v>
      </c>
      <c r="CH3" s="4" t="s">
        <v>32</v>
      </c>
      <c r="CI3" s="4" t="s">
        <v>3</v>
      </c>
      <c r="CJ3" s="4" t="s">
        <v>32</v>
      </c>
      <c r="CK3" s="4" t="s">
        <v>12</v>
      </c>
      <c r="CM3" s="4" t="s">
        <v>11</v>
      </c>
      <c r="CN3" s="4" t="s">
        <v>2</v>
      </c>
      <c r="CO3" s="4" t="s">
        <v>32</v>
      </c>
      <c r="CP3" s="4" t="s">
        <v>3</v>
      </c>
      <c r="CQ3" s="4" t="s">
        <v>32</v>
      </c>
      <c r="CR3" s="4" t="s">
        <v>12</v>
      </c>
      <c r="CT3" s="4" t="s">
        <v>11</v>
      </c>
      <c r="CU3" s="4" t="s">
        <v>2</v>
      </c>
      <c r="CV3" s="4" t="s">
        <v>32</v>
      </c>
      <c r="CW3" s="4" t="s">
        <v>3</v>
      </c>
      <c r="CX3" s="4" t="s">
        <v>32</v>
      </c>
      <c r="CY3" s="4" t="s">
        <v>12</v>
      </c>
      <c r="DA3" s="4" t="s">
        <v>11</v>
      </c>
      <c r="DB3" s="4" t="s">
        <v>2</v>
      </c>
      <c r="DC3" s="4" t="s">
        <v>32</v>
      </c>
      <c r="DD3" s="4" t="s">
        <v>3</v>
      </c>
      <c r="DE3" s="4" t="s">
        <v>32</v>
      </c>
      <c r="DF3" s="4" t="s">
        <v>12</v>
      </c>
      <c r="DH3" s="4" t="s">
        <v>11</v>
      </c>
      <c r="DI3" s="4" t="s">
        <v>2</v>
      </c>
      <c r="DJ3" s="4" t="s">
        <v>32</v>
      </c>
      <c r="DK3" s="4" t="s">
        <v>3</v>
      </c>
      <c r="DL3" s="4" t="s">
        <v>32</v>
      </c>
      <c r="DM3" s="4" t="s">
        <v>12</v>
      </c>
      <c r="DO3" s="4" t="s">
        <v>11</v>
      </c>
      <c r="DP3" s="4" t="s">
        <v>2</v>
      </c>
      <c r="DQ3" s="4" t="s">
        <v>32</v>
      </c>
      <c r="DR3" s="4" t="s">
        <v>3</v>
      </c>
      <c r="DS3" s="4" t="s">
        <v>32</v>
      </c>
      <c r="DT3" s="4" t="s">
        <v>12</v>
      </c>
      <c r="DV3" s="4" t="s">
        <v>11</v>
      </c>
      <c r="DW3" s="4" t="s">
        <v>2</v>
      </c>
      <c r="DX3" s="4" t="s">
        <v>32</v>
      </c>
      <c r="DY3" s="4" t="s">
        <v>3</v>
      </c>
      <c r="DZ3" s="4" t="s">
        <v>32</v>
      </c>
      <c r="EA3" s="4" t="s">
        <v>12</v>
      </c>
      <c r="EC3" s="4" t="s">
        <v>11</v>
      </c>
      <c r="ED3" s="4" t="s">
        <v>2</v>
      </c>
      <c r="EE3" s="4" t="s">
        <v>32</v>
      </c>
      <c r="EF3" s="4" t="s">
        <v>3</v>
      </c>
      <c r="EG3" s="4" t="s">
        <v>32</v>
      </c>
      <c r="EH3" s="4" t="s">
        <v>12</v>
      </c>
      <c r="EJ3" s="4" t="s">
        <v>11</v>
      </c>
      <c r="EK3" s="4" t="s">
        <v>2</v>
      </c>
      <c r="EL3" s="4" t="s">
        <v>32</v>
      </c>
      <c r="EM3" s="4" t="s">
        <v>3</v>
      </c>
      <c r="EN3" s="4" t="s">
        <v>32</v>
      </c>
      <c r="EO3" s="4" t="s">
        <v>12</v>
      </c>
      <c r="EQ3" s="4" t="s">
        <v>11</v>
      </c>
      <c r="ER3" s="4" t="s">
        <v>2</v>
      </c>
      <c r="ES3" s="4" t="s">
        <v>32</v>
      </c>
      <c r="ET3" s="4" t="s">
        <v>3</v>
      </c>
      <c r="EU3" s="4" t="s">
        <v>32</v>
      </c>
      <c r="EV3" s="4" t="s">
        <v>12</v>
      </c>
      <c r="EX3" s="4" t="s">
        <v>11</v>
      </c>
      <c r="EY3" s="4" t="s">
        <v>2</v>
      </c>
      <c r="EZ3" s="4" t="s">
        <v>32</v>
      </c>
      <c r="FA3" s="4" t="s">
        <v>3</v>
      </c>
      <c r="FB3" s="4" t="s">
        <v>32</v>
      </c>
      <c r="FC3" s="4" t="s">
        <v>12</v>
      </c>
      <c r="FE3" s="4" t="s">
        <v>11</v>
      </c>
      <c r="FF3" s="4" t="s">
        <v>2</v>
      </c>
      <c r="FG3" s="4" t="s">
        <v>32</v>
      </c>
      <c r="FH3" s="4" t="s">
        <v>3</v>
      </c>
      <c r="FI3" s="4" t="s">
        <v>32</v>
      </c>
      <c r="FJ3" s="4" t="s">
        <v>12</v>
      </c>
    </row>
    <row r="4" spans="2:166" s="17" customFormat="1" x14ac:dyDescent="0.2">
      <c r="B4" s="17" t="s">
        <v>27</v>
      </c>
      <c r="C4" s="17" t="s">
        <v>94</v>
      </c>
      <c r="D4" s="18">
        <v>45335</v>
      </c>
      <c r="E4" s="19">
        <v>10</v>
      </c>
      <c r="G4" s="20">
        <f>+SUM(G5:G15)</f>
        <v>1.0000000000000002</v>
      </c>
      <c r="I4" s="21">
        <f>+SUM(I5:I11)</f>
        <v>3</v>
      </c>
      <c r="J4" s="22">
        <f>+SUMPRODUCT(G5:G15,J5:J15)</f>
        <v>4.5454545454545456E-2</v>
      </c>
      <c r="K4" s="22">
        <f>+SUMPRODUCT(G5:G15,K5:K15)</f>
        <v>4.5454545454545456E-2</v>
      </c>
      <c r="L4" s="19"/>
      <c r="N4" s="21">
        <f>+SUM(N5:N11)</f>
        <v>3</v>
      </c>
      <c r="U4" s="21">
        <f>+SUM(U5:U11)</f>
        <v>0</v>
      </c>
      <c r="AB4" s="21">
        <f>+SUM(AB5:AB11)</f>
        <v>0</v>
      </c>
      <c r="AI4" s="21">
        <f>+SUM(AI5:AI11)</f>
        <v>0</v>
      </c>
      <c r="AP4" s="21">
        <f>+SUM(AP5:AP11)</f>
        <v>0</v>
      </c>
      <c r="AW4" s="21">
        <f>+SUM(AW5:AW11)</f>
        <v>0</v>
      </c>
      <c r="BD4" s="21">
        <f>+SUM(BD5:BD11)</f>
        <v>0</v>
      </c>
      <c r="BK4" s="21">
        <f>+SUM(BK5:BK11)</f>
        <v>0</v>
      </c>
      <c r="BR4" s="21">
        <f>+SUM(BR5:BR11)</f>
        <v>0</v>
      </c>
      <c r="BY4" s="21">
        <f>+SUM(BY5:BY11)</f>
        <v>0</v>
      </c>
      <c r="CF4" s="21">
        <f>+SUM(CF5:CF11)</f>
        <v>0</v>
      </c>
      <c r="CM4" s="21">
        <f>+SUM(CM5:CM11)</f>
        <v>0</v>
      </c>
      <c r="CT4" s="21">
        <f>+SUM(CT5:CT11)</f>
        <v>0</v>
      </c>
      <c r="DA4" s="21">
        <f>+SUM(DA5:DA11)</f>
        <v>0</v>
      </c>
      <c r="DH4" s="21">
        <f>+SUM(DH5:DH11)</f>
        <v>0</v>
      </c>
      <c r="DO4" s="21">
        <f>+SUM(DO5:DO11)</f>
        <v>0</v>
      </c>
      <c r="DV4" s="21">
        <f>+SUM(DV5:DV11)</f>
        <v>0</v>
      </c>
      <c r="EC4" s="21">
        <f>+SUM(EC5:EC11)</f>
        <v>0</v>
      </c>
      <c r="EJ4" s="21">
        <f>+SUM(EJ5:EJ11)</f>
        <v>0</v>
      </c>
      <c r="EQ4" s="21">
        <f>+SUM(EQ5:EQ11)</f>
        <v>0</v>
      </c>
      <c r="EX4" s="21">
        <f>+SUM(EX5:EX11)</f>
        <v>0</v>
      </c>
      <c r="FE4" s="21">
        <f>+SUM(FE5:FE11)</f>
        <v>0</v>
      </c>
    </row>
    <row r="5" spans="2:166" outlineLevel="1" x14ac:dyDescent="0.2">
      <c r="B5" t="s">
        <v>28</v>
      </c>
      <c r="C5" t="s">
        <v>94</v>
      </c>
      <c r="E5" s="8"/>
      <c r="F5" t="s">
        <v>95</v>
      </c>
      <c r="G5" s="9">
        <f>1/11</f>
        <v>9.0909090909090912E-2</v>
      </c>
      <c r="I5" s="8">
        <f t="shared" ref="I5:I9" si="0">+SUMIF($N$3:$YX$3,I$3,$N5:$YX5)</f>
        <v>3</v>
      </c>
      <c r="J5" s="10" cm="1">
        <f t="array" ref="J5">MAX(IF($N$3:$DM$3=$J$3,N5:DM5))</f>
        <v>0.5</v>
      </c>
      <c r="K5" s="10" cm="1">
        <f t="array" ref="K5">MAX(IF($N$3:$DM$3=$J$3,N5:DM5))</f>
        <v>0.5</v>
      </c>
      <c r="L5" s="8"/>
      <c r="N5">
        <v>3</v>
      </c>
      <c r="O5" s="9">
        <v>0.5</v>
      </c>
      <c r="P5" s="9">
        <v>0.5</v>
      </c>
      <c r="Q5" s="9">
        <v>0.3</v>
      </c>
      <c r="R5" s="9">
        <v>0.5</v>
      </c>
      <c r="V5" s="9"/>
      <c r="W5" s="9">
        <v>0.5</v>
      </c>
      <c r="X5" s="9"/>
      <c r="Y5" s="9">
        <v>0.5</v>
      </c>
      <c r="AC5" s="9"/>
      <c r="AD5" s="9">
        <v>0.5</v>
      </c>
      <c r="AE5" s="9"/>
      <c r="AF5" s="9">
        <v>0.5</v>
      </c>
      <c r="AJ5" s="9"/>
      <c r="AK5" s="9">
        <v>0.8</v>
      </c>
      <c r="AL5" s="9"/>
      <c r="AM5" s="9">
        <v>0.8</v>
      </c>
      <c r="AQ5" s="9"/>
      <c r="AR5" s="9">
        <v>0.8</v>
      </c>
      <c r="AS5" s="9"/>
      <c r="AT5" s="9">
        <v>0.8</v>
      </c>
      <c r="AX5" s="9"/>
      <c r="AY5" s="9">
        <v>0.8</v>
      </c>
      <c r="AZ5" s="9"/>
      <c r="BA5" s="9">
        <v>0.8</v>
      </c>
      <c r="BE5" s="9"/>
      <c r="BF5" s="9">
        <v>0.8</v>
      </c>
      <c r="BG5" s="9"/>
      <c r="BH5" s="9">
        <v>0.8</v>
      </c>
      <c r="BL5" s="9"/>
      <c r="BM5" s="9">
        <v>0.8</v>
      </c>
      <c r="BN5" s="9"/>
      <c r="BO5" s="9">
        <v>0.8</v>
      </c>
      <c r="BS5" s="9"/>
      <c r="BT5" s="9">
        <v>1</v>
      </c>
      <c r="BU5" s="9"/>
      <c r="BV5" s="9">
        <v>1</v>
      </c>
      <c r="BZ5" s="9"/>
      <c r="CA5" s="9">
        <v>1</v>
      </c>
      <c r="CB5" s="9"/>
      <c r="CC5" s="9">
        <v>1</v>
      </c>
      <c r="CG5" s="9"/>
      <c r="CH5" s="9">
        <v>1</v>
      </c>
      <c r="CI5" s="9"/>
      <c r="CJ5" s="9">
        <v>1</v>
      </c>
      <c r="CN5" s="9"/>
      <c r="CO5" s="9">
        <v>1</v>
      </c>
      <c r="CP5" s="9"/>
      <c r="CQ5" s="9">
        <v>1</v>
      </c>
      <c r="CU5" s="9"/>
      <c r="CV5" s="9">
        <v>1</v>
      </c>
      <c r="CW5" s="9"/>
      <c r="CX5" s="9">
        <v>1</v>
      </c>
      <c r="DB5" s="9"/>
      <c r="DC5" s="9">
        <v>1</v>
      </c>
      <c r="DD5" s="9"/>
      <c r="DE5" s="9">
        <v>1</v>
      </c>
      <c r="DI5" s="9"/>
      <c r="DJ5" s="9">
        <v>1</v>
      </c>
      <c r="DK5" s="9"/>
      <c r="DL5" s="9">
        <v>1</v>
      </c>
      <c r="DP5" s="9"/>
      <c r="DQ5" s="9"/>
      <c r="DR5" s="9"/>
      <c r="DS5" s="9"/>
      <c r="DW5" s="9"/>
      <c r="DX5" s="9"/>
      <c r="DY5" s="9"/>
      <c r="DZ5" s="9"/>
      <c r="ED5" s="9"/>
      <c r="EE5" s="9"/>
      <c r="EF5" s="9"/>
      <c r="EG5" s="9"/>
      <c r="EK5" s="9"/>
      <c r="EL5" s="9"/>
      <c r="EM5" s="9"/>
      <c r="EN5" s="9"/>
      <c r="ER5" s="9"/>
      <c r="ES5" s="9"/>
      <c r="ET5" s="9"/>
      <c r="EU5" s="9"/>
      <c r="EY5" s="9"/>
      <c r="EZ5" s="9"/>
      <c r="FA5" s="9"/>
      <c r="FB5" s="9"/>
      <c r="FF5" s="9"/>
      <c r="FG5" s="9"/>
      <c r="FH5" s="9"/>
      <c r="FI5" s="9"/>
    </row>
    <row r="6" spans="2:166" outlineLevel="1" x14ac:dyDescent="0.2">
      <c r="B6" t="s">
        <v>28</v>
      </c>
      <c r="C6" t="s">
        <v>94</v>
      </c>
      <c r="E6" s="8"/>
      <c r="F6" t="s">
        <v>96</v>
      </c>
      <c r="G6" s="9">
        <f t="shared" ref="G6:G15" si="1">1/11</f>
        <v>9.0909090909090912E-2</v>
      </c>
      <c r="I6" s="8">
        <f t="shared" si="0"/>
        <v>0</v>
      </c>
      <c r="J6" s="10" cm="1">
        <f t="array" ref="J6">MAX(IF($N$3:$DM$3=$J$3,N6:DM6))</f>
        <v>0</v>
      </c>
      <c r="K6" s="10" cm="1">
        <f t="array" ref="K6">MAX(IF($N$3:$DM$3=$J$3,N6:DM6))</f>
        <v>0</v>
      </c>
      <c r="L6" s="8"/>
      <c r="O6" s="9"/>
      <c r="P6" s="9"/>
      <c r="Q6" s="9"/>
      <c r="R6" s="9"/>
      <c r="V6" s="9"/>
      <c r="W6" s="9">
        <v>0.5</v>
      </c>
      <c r="X6" s="9"/>
      <c r="Y6" s="9">
        <v>0.5</v>
      </c>
      <c r="AC6" s="9"/>
      <c r="AD6" s="9">
        <v>0.5</v>
      </c>
      <c r="AE6" s="9"/>
      <c r="AF6" s="9">
        <v>0.5</v>
      </c>
      <c r="AJ6" s="9"/>
      <c r="AK6" s="9">
        <v>0.5</v>
      </c>
      <c r="AL6" s="9"/>
      <c r="AM6" s="9">
        <v>0.5</v>
      </c>
      <c r="AQ6" s="9"/>
      <c r="AR6" s="9">
        <v>0.8</v>
      </c>
      <c r="AS6" s="9"/>
      <c r="AT6" s="9">
        <v>0.8</v>
      </c>
      <c r="AX6" s="9"/>
      <c r="AY6" s="9">
        <v>0.8</v>
      </c>
      <c r="AZ6" s="9"/>
      <c r="BA6" s="9">
        <v>0.8</v>
      </c>
      <c r="BE6" s="9"/>
      <c r="BF6" s="9">
        <v>0.8</v>
      </c>
      <c r="BG6" s="9"/>
      <c r="BH6" s="9">
        <v>0.8</v>
      </c>
      <c r="BL6" s="9"/>
      <c r="BM6" s="9">
        <v>0.8</v>
      </c>
      <c r="BN6" s="9"/>
      <c r="BO6" s="9">
        <v>0.8</v>
      </c>
      <c r="BS6" s="9"/>
      <c r="BT6" s="9">
        <v>0.8</v>
      </c>
      <c r="BU6" s="9"/>
      <c r="BV6" s="9">
        <v>0.8</v>
      </c>
      <c r="BZ6" s="9"/>
      <c r="CA6" s="9">
        <v>1</v>
      </c>
      <c r="CB6" s="9"/>
      <c r="CC6" s="9">
        <v>1</v>
      </c>
      <c r="CG6" s="9"/>
      <c r="CH6" s="9">
        <v>1</v>
      </c>
      <c r="CI6" s="9"/>
      <c r="CJ6" s="9">
        <v>1</v>
      </c>
      <c r="CN6" s="9"/>
      <c r="CO6" s="9">
        <v>1</v>
      </c>
      <c r="CP6" s="9"/>
      <c r="CQ6" s="9">
        <v>1</v>
      </c>
      <c r="CU6" s="9"/>
      <c r="CV6" s="9">
        <v>1</v>
      </c>
      <c r="CW6" s="9"/>
      <c r="CX6" s="9">
        <v>1</v>
      </c>
      <c r="DB6" s="9"/>
      <c r="DC6" s="9">
        <v>1</v>
      </c>
      <c r="DD6" s="9"/>
      <c r="DE6" s="9">
        <v>1</v>
      </c>
      <c r="DI6" s="9"/>
      <c r="DJ6" s="9">
        <v>1</v>
      </c>
      <c r="DK6" s="9"/>
      <c r="DL6" s="9">
        <v>1</v>
      </c>
      <c r="DP6" s="9"/>
      <c r="DQ6" s="9"/>
      <c r="DR6" s="9"/>
      <c r="DS6" s="9"/>
      <c r="DW6" s="9"/>
      <c r="DX6" s="9"/>
      <c r="DY6" s="9"/>
      <c r="DZ6" s="9"/>
      <c r="ED6" s="9"/>
      <c r="EE6" s="9"/>
      <c r="EF6" s="9"/>
      <c r="EG6" s="9"/>
      <c r="EK6" s="9"/>
      <c r="EL6" s="9"/>
      <c r="EM6" s="9"/>
      <c r="EN6" s="9"/>
      <c r="ER6" s="9"/>
      <c r="ES6" s="9"/>
      <c r="ET6" s="9"/>
      <c r="EU6" s="9"/>
      <c r="EY6" s="9"/>
      <c r="EZ6" s="9"/>
      <c r="FA6" s="9"/>
      <c r="FB6" s="9"/>
      <c r="FF6" s="9"/>
      <c r="FG6" s="9"/>
      <c r="FH6" s="9"/>
      <c r="FI6" s="9"/>
    </row>
    <row r="7" spans="2:166" outlineLevel="1" x14ac:dyDescent="0.2">
      <c r="B7" t="s">
        <v>28</v>
      </c>
      <c r="C7" t="s">
        <v>94</v>
      </c>
      <c r="E7" s="8"/>
      <c r="F7" t="s">
        <v>97</v>
      </c>
      <c r="G7" s="9">
        <f t="shared" si="1"/>
        <v>9.0909090909090912E-2</v>
      </c>
      <c r="I7" s="8">
        <f t="shared" si="0"/>
        <v>0</v>
      </c>
      <c r="J7" s="10" cm="1">
        <f t="array" ref="J7">MAX(IF($N$3:$DM$3=$J$3,N7:DM7))</f>
        <v>0</v>
      </c>
      <c r="K7" s="10" cm="1">
        <f t="array" ref="K7">MAX(IF($N$3:$DM$3=$J$3,N7:DM7))</f>
        <v>0</v>
      </c>
      <c r="L7" s="8"/>
      <c r="O7" s="9"/>
      <c r="P7" s="9"/>
      <c r="Q7" s="9"/>
      <c r="R7" s="9"/>
      <c r="V7" s="9"/>
      <c r="W7" s="9"/>
      <c r="X7" s="9"/>
      <c r="Y7" s="9"/>
      <c r="AC7" s="9"/>
      <c r="AD7" s="9">
        <v>0.5</v>
      </c>
      <c r="AE7" s="9"/>
      <c r="AF7" s="9">
        <v>0.5</v>
      </c>
      <c r="AJ7" s="9"/>
      <c r="AK7" s="9">
        <v>0.5</v>
      </c>
      <c r="AL7" s="9"/>
      <c r="AM7" s="9">
        <v>0.5</v>
      </c>
      <c r="AQ7" s="9"/>
      <c r="AR7" s="9">
        <v>0.5</v>
      </c>
      <c r="AS7" s="9"/>
      <c r="AT7" s="9">
        <v>0.5</v>
      </c>
      <c r="AX7" s="9"/>
      <c r="AY7" s="9">
        <v>0.8</v>
      </c>
      <c r="AZ7" s="9"/>
      <c r="BA7" s="9">
        <v>0.8</v>
      </c>
      <c r="BE7" s="9"/>
      <c r="BF7" s="9">
        <v>0.8</v>
      </c>
      <c r="BG7" s="9"/>
      <c r="BH7" s="9">
        <v>0.8</v>
      </c>
      <c r="BL7" s="9"/>
      <c r="BM7" s="9">
        <v>0.8</v>
      </c>
      <c r="BN7" s="9"/>
      <c r="BO7" s="9">
        <v>0.8</v>
      </c>
      <c r="BS7" s="9"/>
      <c r="BT7" s="9">
        <v>0.8</v>
      </c>
      <c r="BU7" s="9"/>
      <c r="BV7" s="9">
        <v>0.8</v>
      </c>
      <c r="BZ7" s="9"/>
      <c r="CA7" s="9">
        <v>0.8</v>
      </c>
      <c r="CB7" s="9"/>
      <c r="CC7" s="9">
        <v>0.8</v>
      </c>
      <c r="CG7" s="9"/>
      <c r="CH7" s="9">
        <v>1</v>
      </c>
      <c r="CI7" s="9"/>
      <c r="CJ7" s="9">
        <v>1</v>
      </c>
      <c r="CN7" s="9"/>
      <c r="CO7" s="9">
        <v>1</v>
      </c>
      <c r="CP7" s="9"/>
      <c r="CQ7" s="9">
        <v>1</v>
      </c>
      <c r="CU7" s="9"/>
      <c r="CV7" s="9">
        <v>1</v>
      </c>
      <c r="CW7" s="9"/>
      <c r="CX7" s="9">
        <v>1</v>
      </c>
      <c r="DB7" s="9"/>
      <c r="DC7" s="9">
        <v>1</v>
      </c>
      <c r="DD7" s="9"/>
      <c r="DE7" s="9">
        <v>1</v>
      </c>
      <c r="DI7" s="9"/>
      <c r="DJ7" s="9">
        <v>1</v>
      </c>
      <c r="DK7" s="9"/>
      <c r="DL7" s="9">
        <v>1</v>
      </c>
      <c r="DP7" s="9"/>
      <c r="DQ7" s="9"/>
      <c r="DR7" s="9"/>
      <c r="DS7" s="9"/>
      <c r="DW7" s="9"/>
      <c r="DX7" s="9"/>
      <c r="DY7" s="9"/>
      <c r="DZ7" s="9"/>
      <c r="ED7" s="9"/>
      <c r="EE7" s="9"/>
      <c r="EF7" s="9"/>
      <c r="EG7" s="9"/>
      <c r="EK7" s="9"/>
      <c r="EL7" s="9"/>
      <c r="EM7" s="9"/>
      <c r="EN7" s="9"/>
      <c r="ER7" s="9"/>
      <c r="ES7" s="9"/>
      <c r="ET7" s="9"/>
      <c r="EU7" s="9"/>
      <c r="EY7" s="9"/>
      <c r="EZ7" s="9"/>
      <c r="FA7" s="9"/>
      <c r="FB7" s="9"/>
      <c r="FF7" s="9"/>
      <c r="FG7" s="9"/>
      <c r="FH7" s="9"/>
      <c r="FI7" s="9"/>
    </row>
    <row r="8" spans="2:166" outlineLevel="1" x14ac:dyDescent="0.2">
      <c r="B8" t="s">
        <v>28</v>
      </c>
      <c r="C8" t="s">
        <v>94</v>
      </c>
      <c r="E8" s="8"/>
      <c r="F8" t="s">
        <v>98</v>
      </c>
      <c r="G8" s="9">
        <f t="shared" si="1"/>
        <v>9.0909090909090912E-2</v>
      </c>
      <c r="I8" s="8">
        <f t="shared" si="0"/>
        <v>0</v>
      </c>
      <c r="J8" s="10" cm="1">
        <f t="array" ref="J8">MAX(IF($N$3:$DM$3=$J$3,N8:DM8))</f>
        <v>0</v>
      </c>
      <c r="K8" s="10" cm="1">
        <f t="array" ref="K8">MAX(IF($N$3:$DM$3=$J$3,N8:DM8))</f>
        <v>0</v>
      </c>
      <c r="L8" s="8"/>
      <c r="O8" s="9"/>
      <c r="P8" s="9"/>
      <c r="Q8" s="9"/>
      <c r="R8" s="9"/>
      <c r="V8" s="9"/>
      <c r="W8" s="9"/>
      <c r="X8" s="9"/>
      <c r="Y8" s="9"/>
      <c r="AC8" s="9"/>
      <c r="AD8" s="9">
        <v>0.5</v>
      </c>
      <c r="AE8" s="9"/>
      <c r="AF8" s="9">
        <v>0.5</v>
      </c>
      <c r="AJ8" s="9"/>
      <c r="AK8" s="9">
        <v>0.5</v>
      </c>
      <c r="AL8" s="9"/>
      <c r="AM8" s="9">
        <v>0.5</v>
      </c>
      <c r="AQ8" s="9"/>
      <c r="AR8" s="9">
        <v>0.5</v>
      </c>
      <c r="AS8" s="9"/>
      <c r="AT8" s="9">
        <v>0.5</v>
      </c>
      <c r="AX8" s="9"/>
      <c r="AY8" s="9">
        <v>0.5</v>
      </c>
      <c r="AZ8" s="9"/>
      <c r="BA8" s="9">
        <v>0.5</v>
      </c>
      <c r="BE8" s="9"/>
      <c r="BF8" s="9">
        <v>0.8</v>
      </c>
      <c r="BG8" s="9"/>
      <c r="BH8" s="9">
        <v>0.8</v>
      </c>
      <c r="BL8" s="9"/>
      <c r="BM8" s="9">
        <v>0.8</v>
      </c>
      <c r="BN8" s="9"/>
      <c r="BO8" s="9">
        <v>0.8</v>
      </c>
      <c r="BS8" s="9"/>
      <c r="BT8" s="9">
        <v>0.8</v>
      </c>
      <c r="BU8" s="9"/>
      <c r="BV8" s="9">
        <v>0.8</v>
      </c>
      <c r="BZ8" s="9"/>
      <c r="CA8" s="9">
        <v>0.8</v>
      </c>
      <c r="CB8" s="9"/>
      <c r="CC8" s="9">
        <v>0.8</v>
      </c>
      <c r="CG8" s="9"/>
      <c r="CH8" s="9">
        <v>1</v>
      </c>
      <c r="CI8" s="9"/>
      <c r="CJ8" s="9">
        <v>1</v>
      </c>
      <c r="CN8" s="9"/>
      <c r="CO8" s="9">
        <v>1</v>
      </c>
      <c r="CP8" s="9"/>
      <c r="CQ8" s="9">
        <v>1</v>
      </c>
      <c r="CU8" s="9"/>
      <c r="CV8" s="9">
        <v>1</v>
      </c>
      <c r="CW8" s="9"/>
      <c r="CX8" s="9">
        <v>1</v>
      </c>
      <c r="DB8" s="9"/>
      <c r="DC8" s="9">
        <v>1</v>
      </c>
      <c r="DD8" s="9"/>
      <c r="DE8" s="9">
        <v>1</v>
      </c>
      <c r="DI8" s="9"/>
      <c r="DJ8" s="9">
        <v>1</v>
      </c>
      <c r="DK8" s="9"/>
      <c r="DL8" s="9">
        <v>1</v>
      </c>
      <c r="DP8" s="9"/>
      <c r="DQ8" s="9"/>
      <c r="DR8" s="9"/>
      <c r="DS8" s="9"/>
      <c r="DW8" s="9"/>
      <c r="DX8" s="9"/>
      <c r="DY8" s="9"/>
      <c r="DZ8" s="9"/>
      <c r="ED8" s="9"/>
      <c r="EE8" s="9"/>
      <c r="EF8" s="9"/>
      <c r="EG8" s="9"/>
      <c r="EK8" s="9"/>
      <c r="EL8" s="9"/>
      <c r="EM8" s="9"/>
      <c r="EN8" s="9"/>
      <c r="ER8" s="9"/>
      <c r="ES8" s="9"/>
      <c r="ET8" s="9"/>
      <c r="EU8" s="9"/>
      <c r="EY8" s="9"/>
      <c r="EZ8" s="9"/>
      <c r="FA8" s="9"/>
      <c r="FB8" s="9"/>
      <c r="FF8" s="9"/>
      <c r="FG8" s="9"/>
      <c r="FH8" s="9"/>
      <c r="FI8" s="9"/>
    </row>
    <row r="9" spans="2:166" outlineLevel="1" x14ac:dyDescent="0.2">
      <c r="B9" t="s">
        <v>28</v>
      </c>
      <c r="C9" t="s">
        <v>94</v>
      </c>
      <c r="E9" s="8"/>
      <c r="F9" t="s">
        <v>99</v>
      </c>
      <c r="G9" s="9">
        <f t="shared" si="1"/>
        <v>9.0909090909090912E-2</v>
      </c>
      <c r="I9" s="8">
        <f t="shared" si="0"/>
        <v>0</v>
      </c>
      <c r="J9" s="10" cm="1">
        <f t="array" ref="J9">MAX(IF($N$3:$DM$3=$J$3,N9:DM9))</f>
        <v>0</v>
      </c>
      <c r="K9" s="10" cm="1">
        <f t="array" ref="K9">MAX(IF($N$3:$DM$3=$J$3,N9:DM9))</f>
        <v>0</v>
      </c>
      <c r="L9" s="8"/>
      <c r="O9" s="9"/>
      <c r="P9" s="9"/>
      <c r="Q9" s="9"/>
      <c r="R9" s="9"/>
      <c r="V9" s="9"/>
      <c r="W9" s="9"/>
      <c r="X9" s="9"/>
      <c r="Y9" s="9"/>
      <c r="AC9" s="9"/>
      <c r="AD9" s="9">
        <v>0.5</v>
      </c>
      <c r="AE9" s="9"/>
      <c r="AF9" s="9">
        <v>0.5</v>
      </c>
      <c r="AJ9" s="9"/>
      <c r="AK9" s="9">
        <v>0.5</v>
      </c>
      <c r="AL9" s="9"/>
      <c r="AM9" s="9">
        <v>0.5</v>
      </c>
      <c r="AQ9" s="9"/>
      <c r="AR9" s="9">
        <v>0.5</v>
      </c>
      <c r="AS9" s="9"/>
      <c r="AT9" s="9">
        <v>0.5</v>
      </c>
      <c r="AX9" s="9"/>
      <c r="AY9" s="9">
        <v>0.5</v>
      </c>
      <c r="AZ9" s="9"/>
      <c r="BA9" s="9">
        <v>0.5</v>
      </c>
      <c r="BE9" s="9"/>
      <c r="BF9" s="9">
        <v>0.8</v>
      </c>
      <c r="BG9" s="9"/>
      <c r="BH9" s="9">
        <v>0.8</v>
      </c>
      <c r="BL9" s="9"/>
      <c r="BM9" s="9">
        <v>0.8</v>
      </c>
      <c r="BN9" s="9"/>
      <c r="BO9" s="9">
        <v>0.8</v>
      </c>
      <c r="BS9" s="9"/>
      <c r="BT9" s="9">
        <v>0.8</v>
      </c>
      <c r="BU9" s="9"/>
      <c r="BV9" s="9">
        <v>0.8</v>
      </c>
      <c r="BZ9" s="9"/>
      <c r="CA9" s="9">
        <v>0.8</v>
      </c>
      <c r="CB9" s="9"/>
      <c r="CC9" s="9">
        <v>0.8</v>
      </c>
      <c r="CG9" s="9"/>
      <c r="CH9" s="9">
        <v>0.8</v>
      </c>
      <c r="CI9" s="9"/>
      <c r="CJ9" s="9">
        <v>0.8</v>
      </c>
      <c r="CN9" s="9"/>
      <c r="CO9" s="9">
        <v>1</v>
      </c>
      <c r="CP9" s="9"/>
      <c r="CQ9" s="9">
        <v>1</v>
      </c>
      <c r="CU9" s="9"/>
      <c r="CV9" s="9">
        <v>1</v>
      </c>
      <c r="CW9" s="9"/>
      <c r="CX9" s="9">
        <v>1</v>
      </c>
      <c r="DB9" s="9"/>
      <c r="DC9" s="9">
        <v>1</v>
      </c>
      <c r="DD9" s="9"/>
      <c r="DE9" s="9">
        <v>1</v>
      </c>
      <c r="DI9" s="9"/>
      <c r="DJ9" s="9">
        <v>1</v>
      </c>
      <c r="DK9" s="9"/>
      <c r="DL9" s="9">
        <v>1</v>
      </c>
      <c r="DP9" s="9"/>
      <c r="DQ9" s="9"/>
      <c r="DR9" s="9"/>
      <c r="DS9" s="9"/>
      <c r="DW9" s="9"/>
      <c r="DX9" s="9"/>
      <c r="DY9" s="9"/>
      <c r="DZ9" s="9"/>
      <c r="ED9" s="9"/>
      <c r="EE9" s="9"/>
      <c r="EF9" s="9"/>
      <c r="EG9" s="9"/>
      <c r="EK9" s="9"/>
      <c r="EL9" s="9"/>
      <c r="EM9" s="9"/>
      <c r="EN9" s="9"/>
      <c r="ER9" s="9"/>
      <c r="ES9" s="9"/>
      <c r="ET9" s="9"/>
      <c r="EU9" s="9"/>
      <c r="EY9" s="9"/>
      <c r="EZ9" s="9"/>
      <c r="FA9" s="9"/>
      <c r="FB9" s="9"/>
      <c r="FF9" s="9"/>
      <c r="FG9" s="9"/>
      <c r="FH9" s="9"/>
      <c r="FI9" s="9"/>
    </row>
    <row r="10" spans="2:166" outlineLevel="1" x14ac:dyDescent="0.2">
      <c r="B10" t="s">
        <v>28</v>
      </c>
      <c r="C10" t="s">
        <v>94</v>
      </c>
      <c r="E10" s="8"/>
      <c r="F10" t="s">
        <v>134</v>
      </c>
      <c r="G10" s="9">
        <f t="shared" si="1"/>
        <v>9.0909090909090912E-2</v>
      </c>
      <c r="I10" s="8">
        <f t="shared" ref="I10:I15" si="2">+SUMIF($N$3:$YX$3,I$3,$N10:$YX10)</f>
        <v>0</v>
      </c>
      <c r="J10" s="10" cm="1">
        <f t="array" ref="J10">MAX(IF($N$3:$DM$3=$J$3,N10:DM10))</f>
        <v>0</v>
      </c>
      <c r="K10" s="10" cm="1">
        <f t="array" ref="K10">MAX(IF($N$3:$DM$3=$J$3,N10:DM10))</f>
        <v>0</v>
      </c>
      <c r="L10" s="8"/>
      <c r="O10" s="9"/>
      <c r="P10" s="9"/>
      <c r="Q10" s="9"/>
      <c r="R10" s="9"/>
      <c r="V10" s="9"/>
      <c r="W10" s="9"/>
      <c r="X10" s="9"/>
      <c r="Y10" s="9"/>
      <c r="AC10" s="9"/>
      <c r="AD10" s="9"/>
      <c r="AE10" s="9"/>
      <c r="AF10" s="9"/>
      <c r="AJ10" s="9"/>
      <c r="AK10" s="9">
        <v>0.5</v>
      </c>
      <c r="AL10" s="9"/>
      <c r="AM10" s="9">
        <v>0.5</v>
      </c>
      <c r="AQ10" s="9"/>
      <c r="AR10" s="9">
        <v>0.5</v>
      </c>
      <c r="AS10" s="9"/>
      <c r="AT10" s="9">
        <v>0.5</v>
      </c>
      <c r="AX10" s="9"/>
      <c r="AY10" s="9">
        <v>0.5</v>
      </c>
      <c r="AZ10" s="9"/>
      <c r="BA10" s="9">
        <v>0.5</v>
      </c>
      <c r="BE10" s="9"/>
      <c r="BF10" s="9">
        <v>0.5</v>
      </c>
      <c r="BG10" s="9"/>
      <c r="BH10" s="9">
        <v>0.5</v>
      </c>
      <c r="BL10" s="9"/>
      <c r="BM10" s="9">
        <v>0.8</v>
      </c>
      <c r="BN10" s="9"/>
      <c r="BO10" s="9">
        <v>0.8</v>
      </c>
      <c r="BS10" s="9"/>
      <c r="BT10" s="9">
        <v>0.8</v>
      </c>
      <c r="BU10" s="9"/>
      <c r="BV10" s="9">
        <v>0.8</v>
      </c>
      <c r="BZ10" s="9"/>
      <c r="CA10" s="9">
        <v>0.8</v>
      </c>
      <c r="CB10" s="9"/>
      <c r="CC10" s="9">
        <v>0.8</v>
      </c>
      <c r="CG10" s="9"/>
      <c r="CH10" s="9">
        <v>0.8</v>
      </c>
      <c r="CI10" s="9"/>
      <c r="CJ10" s="9">
        <v>0.8</v>
      </c>
      <c r="CN10" s="9"/>
      <c r="CO10" s="9">
        <v>0.8</v>
      </c>
      <c r="CP10" s="9"/>
      <c r="CQ10" s="9">
        <v>0.8</v>
      </c>
      <c r="CU10" s="9"/>
      <c r="CV10" s="9">
        <v>1</v>
      </c>
      <c r="CW10" s="9"/>
      <c r="CX10" s="9">
        <v>1</v>
      </c>
      <c r="DB10" s="9"/>
      <c r="DC10" s="9">
        <v>1</v>
      </c>
      <c r="DD10" s="9"/>
      <c r="DE10" s="9">
        <v>1</v>
      </c>
      <c r="DI10" s="9"/>
      <c r="DJ10" s="9">
        <v>1</v>
      </c>
      <c r="DK10" s="9"/>
      <c r="DL10" s="9">
        <v>1</v>
      </c>
      <c r="DP10" s="9"/>
      <c r="DQ10" s="9"/>
      <c r="DR10" s="9"/>
      <c r="DS10" s="9"/>
      <c r="DW10" s="9"/>
      <c r="DX10" s="9"/>
      <c r="DY10" s="9"/>
      <c r="DZ10" s="9"/>
      <c r="ED10" s="9"/>
      <c r="EE10" s="9"/>
      <c r="EF10" s="9"/>
      <c r="EG10" s="9"/>
      <c r="EK10" s="9"/>
      <c r="EL10" s="9"/>
      <c r="EM10" s="9"/>
      <c r="EN10" s="9"/>
      <c r="ER10" s="9"/>
      <c r="ES10" s="9"/>
      <c r="ET10" s="9"/>
      <c r="EU10" s="9"/>
      <c r="EY10" s="9"/>
      <c r="EZ10" s="9"/>
      <c r="FA10" s="9"/>
      <c r="FB10" s="9"/>
      <c r="FF10" s="9"/>
      <c r="FG10" s="9"/>
      <c r="FH10" s="9"/>
      <c r="FI10" s="9"/>
    </row>
    <row r="11" spans="2:166" outlineLevel="1" x14ac:dyDescent="0.2">
      <c r="B11" t="s">
        <v>28</v>
      </c>
      <c r="C11" t="s">
        <v>94</v>
      </c>
      <c r="E11" s="8"/>
      <c r="F11" t="s">
        <v>133</v>
      </c>
      <c r="G11" s="9">
        <f t="shared" si="1"/>
        <v>9.0909090909090912E-2</v>
      </c>
      <c r="I11" s="8">
        <f t="shared" si="2"/>
        <v>0</v>
      </c>
      <c r="J11" s="10" cm="1">
        <f t="array" ref="J11">MAX(IF($N$3:$DM$3=$J$3,N11:DM11))</f>
        <v>0</v>
      </c>
      <c r="K11" s="10" cm="1">
        <f t="array" ref="K11">MAX(IF($N$3:$DM$3=$J$3,N11:DM11))</f>
        <v>0</v>
      </c>
      <c r="L11" s="8"/>
      <c r="O11" s="9"/>
      <c r="P11" s="9"/>
      <c r="Q11" s="9"/>
      <c r="R11" s="9"/>
      <c r="V11" s="9"/>
      <c r="W11" s="9"/>
      <c r="X11" s="9"/>
      <c r="Y11" s="9"/>
      <c r="AC11" s="9"/>
      <c r="AD11" s="9"/>
      <c r="AE11" s="9"/>
      <c r="AF11" s="9"/>
      <c r="AJ11" s="9"/>
      <c r="AK11" s="9"/>
      <c r="AL11" s="9"/>
      <c r="AM11" s="9"/>
      <c r="AQ11" s="9"/>
      <c r="AR11" s="9">
        <v>0.5</v>
      </c>
      <c r="AS11" s="9"/>
      <c r="AT11" s="9">
        <v>0.5</v>
      </c>
      <c r="AX11" s="9"/>
      <c r="AY11" s="9">
        <v>0.5</v>
      </c>
      <c r="AZ11" s="9"/>
      <c r="BA11" s="9">
        <v>0.5</v>
      </c>
      <c r="BE11" s="9"/>
      <c r="BF11" s="9">
        <v>0.5</v>
      </c>
      <c r="BG11" s="9"/>
      <c r="BH11" s="9">
        <v>0.5</v>
      </c>
      <c r="BL11" s="9"/>
      <c r="BM11" s="9">
        <v>0.5</v>
      </c>
      <c r="BN11" s="9"/>
      <c r="BO11" s="9">
        <v>0.5</v>
      </c>
      <c r="BS11" s="9"/>
      <c r="BT11" s="9">
        <v>0.8</v>
      </c>
      <c r="BU11" s="9"/>
      <c r="BV11" s="9">
        <v>0.8</v>
      </c>
      <c r="BZ11" s="9"/>
      <c r="CA11" s="9">
        <v>0.8</v>
      </c>
      <c r="CB11" s="9"/>
      <c r="CC11" s="9">
        <v>0.8</v>
      </c>
      <c r="CG11" s="9"/>
      <c r="CH11" s="9">
        <v>0.8</v>
      </c>
      <c r="CI11" s="9"/>
      <c r="CJ11" s="9">
        <v>0.8</v>
      </c>
      <c r="CN11" s="9"/>
      <c r="CO11" s="9">
        <v>0.8</v>
      </c>
      <c r="CP11" s="9"/>
      <c r="CQ11" s="9">
        <v>0.8</v>
      </c>
      <c r="CU11" s="9"/>
      <c r="CV11" s="9">
        <v>1</v>
      </c>
      <c r="CW11" s="9"/>
      <c r="CX11" s="9">
        <v>1</v>
      </c>
      <c r="DB11" s="9"/>
      <c r="DC11" s="9">
        <v>1</v>
      </c>
      <c r="DD11" s="9"/>
      <c r="DE11" s="9">
        <v>1</v>
      </c>
      <c r="DI11" s="9"/>
      <c r="DJ11" s="9">
        <v>1</v>
      </c>
      <c r="DK11" s="9"/>
      <c r="DL11" s="9">
        <v>1</v>
      </c>
      <c r="DP11" s="9"/>
      <c r="DQ11" s="9"/>
      <c r="DR11" s="9"/>
      <c r="DS11" s="9"/>
      <c r="DW11" s="9"/>
      <c r="DX11" s="9"/>
      <c r="DY11" s="9"/>
      <c r="DZ11" s="9"/>
      <c r="ED11" s="9"/>
      <c r="EE11" s="9"/>
      <c r="EF11" s="9"/>
      <c r="EG11" s="9"/>
      <c r="EK11" s="9"/>
      <c r="EL11" s="9"/>
      <c r="EM11" s="9"/>
      <c r="EN11" s="9"/>
      <c r="ER11" s="9"/>
      <c r="ES11" s="9"/>
      <c r="ET11" s="9"/>
      <c r="EU11" s="9"/>
      <c r="EY11" s="9"/>
      <c r="EZ11" s="9"/>
      <c r="FA11" s="9"/>
      <c r="FB11" s="9"/>
      <c r="FF11" s="9"/>
      <c r="FG11" s="9"/>
      <c r="FH11" s="9"/>
      <c r="FI11" s="9"/>
    </row>
    <row r="12" spans="2:166" outlineLevel="1" x14ac:dyDescent="0.2">
      <c r="B12" t="s">
        <v>28</v>
      </c>
      <c r="C12" t="s">
        <v>94</v>
      </c>
      <c r="E12" s="8"/>
      <c r="F12" t="s">
        <v>161</v>
      </c>
      <c r="G12" s="9">
        <f t="shared" si="1"/>
        <v>9.0909090909090912E-2</v>
      </c>
      <c r="I12" s="8">
        <f t="shared" si="2"/>
        <v>0</v>
      </c>
      <c r="J12" s="10" cm="1">
        <f t="array" ref="J12">MAX(IF($N$3:$DM$3=$J$3,N12:DM12))</f>
        <v>0</v>
      </c>
      <c r="K12" s="10" cm="1">
        <f t="array" ref="K12">MAX(IF($N$3:$DM$3=$J$3,N12:DM12))</f>
        <v>0</v>
      </c>
      <c r="L12" s="8"/>
      <c r="O12" s="9"/>
      <c r="P12" s="9"/>
      <c r="Q12" s="9"/>
      <c r="R12" s="9"/>
      <c r="V12" s="9"/>
      <c r="W12" s="9"/>
      <c r="X12" s="9"/>
      <c r="Y12" s="9"/>
      <c r="AC12" s="9"/>
      <c r="AD12" s="9"/>
      <c r="AE12" s="9"/>
      <c r="AF12" s="9"/>
      <c r="AJ12" s="9"/>
      <c r="AK12" s="9"/>
      <c r="AL12" s="9"/>
      <c r="AM12" s="9"/>
      <c r="AQ12" s="9"/>
      <c r="AR12" s="9">
        <v>0.5</v>
      </c>
      <c r="AS12" s="9"/>
      <c r="AT12" s="9">
        <v>0.5</v>
      </c>
      <c r="AX12" s="9"/>
      <c r="AY12" s="9">
        <v>0.5</v>
      </c>
      <c r="AZ12" s="9"/>
      <c r="BA12" s="9">
        <v>0.5</v>
      </c>
      <c r="BE12" s="9"/>
      <c r="BF12" s="9">
        <v>0.5</v>
      </c>
      <c r="BG12" s="9"/>
      <c r="BH12" s="9">
        <v>0.5</v>
      </c>
      <c r="BL12" s="9"/>
      <c r="BM12" s="9">
        <v>0.5</v>
      </c>
      <c r="BN12" s="9"/>
      <c r="BO12" s="9">
        <v>0.5</v>
      </c>
      <c r="BS12" s="9"/>
      <c r="BT12" s="9">
        <v>0.8</v>
      </c>
      <c r="BU12" s="9"/>
      <c r="BV12" s="9">
        <v>0.8</v>
      </c>
      <c r="BZ12" s="9"/>
      <c r="CA12" s="9">
        <v>0.8</v>
      </c>
      <c r="CB12" s="9"/>
      <c r="CC12" s="9">
        <v>0.8</v>
      </c>
      <c r="CG12" s="9"/>
      <c r="CH12" s="9">
        <v>0.8</v>
      </c>
      <c r="CI12" s="9"/>
      <c r="CJ12" s="9">
        <v>0.8</v>
      </c>
      <c r="CN12" s="9"/>
      <c r="CO12" s="9">
        <v>0.8</v>
      </c>
      <c r="CP12" s="9"/>
      <c r="CQ12" s="9">
        <v>0.8</v>
      </c>
      <c r="CU12" s="9"/>
      <c r="CV12" s="9">
        <v>0.8</v>
      </c>
      <c r="CW12" s="9"/>
      <c r="CX12" s="9">
        <v>0.8</v>
      </c>
      <c r="DB12" s="9"/>
      <c r="DC12" s="9">
        <v>1</v>
      </c>
      <c r="DD12" s="9"/>
      <c r="DE12" s="9">
        <v>1</v>
      </c>
      <c r="DI12" s="9"/>
      <c r="DJ12" s="9">
        <v>1</v>
      </c>
      <c r="DK12" s="9"/>
      <c r="DL12" s="9">
        <v>1</v>
      </c>
      <c r="DP12" s="9"/>
      <c r="DQ12" s="9"/>
      <c r="DR12" s="9"/>
      <c r="DS12" s="9"/>
      <c r="DW12" s="9"/>
      <c r="DX12" s="9"/>
      <c r="DY12" s="9"/>
      <c r="DZ12" s="9"/>
      <c r="ED12" s="9"/>
      <c r="EE12" s="9"/>
      <c r="EF12" s="9"/>
      <c r="EG12" s="9"/>
      <c r="EK12" s="9"/>
      <c r="EL12" s="9"/>
      <c r="EM12" s="9"/>
      <c r="EN12" s="9"/>
      <c r="ER12" s="9"/>
      <c r="ES12" s="9"/>
      <c r="ET12" s="9"/>
      <c r="EU12" s="9"/>
      <c r="EY12" s="9"/>
      <c r="EZ12" s="9"/>
      <c r="FA12" s="9"/>
      <c r="FB12" s="9"/>
      <c r="FF12" s="9"/>
      <c r="FG12" s="9"/>
      <c r="FH12" s="9"/>
      <c r="FI12" s="9"/>
    </row>
    <row r="13" spans="2:166" outlineLevel="1" x14ac:dyDescent="0.2">
      <c r="B13" t="s">
        <v>28</v>
      </c>
      <c r="C13" t="s">
        <v>94</v>
      </c>
      <c r="E13" s="8"/>
      <c r="F13" t="s">
        <v>162</v>
      </c>
      <c r="G13" s="9">
        <f t="shared" si="1"/>
        <v>9.0909090909090912E-2</v>
      </c>
      <c r="I13" s="8">
        <f t="shared" si="2"/>
        <v>0</v>
      </c>
      <c r="J13" s="10" cm="1">
        <f t="array" ref="J13">MAX(IF($N$3:$DM$3=$J$3,N13:DM13))</f>
        <v>0</v>
      </c>
      <c r="K13" s="10" cm="1">
        <f t="array" ref="K13">MAX(IF($N$3:$DM$3=$J$3,N13:DM13))</f>
        <v>0</v>
      </c>
      <c r="L13" s="8"/>
      <c r="O13" s="9"/>
      <c r="P13" s="9"/>
      <c r="Q13" s="9"/>
      <c r="R13" s="9"/>
      <c r="V13" s="9"/>
      <c r="W13" s="9"/>
      <c r="X13" s="9"/>
      <c r="Y13" s="9"/>
      <c r="AC13" s="9"/>
      <c r="AD13" s="9"/>
      <c r="AE13" s="9"/>
      <c r="AF13" s="9"/>
      <c r="AJ13" s="9"/>
      <c r="AK13" s="9"/>
      <c r="AL13" s="9"/>
      <c r="AM13" s="9"/>
      <c r="AQ13" s="9"/>
      <c r="AR13" s="9"/>
      <c r="AS13" s="9"/>
      <c r="AT13" s="9"/>
      <c r="AX13" s="9"/>
      <c r="AY13" s="9">
        <v>0.5</v>
      </c>
      <c r="AZ13" s="9"/>
      <c r="BA13" s="9">
        <v>0.5</v>
      </c>
      <c r="BE13" s="9"/>
      <c r="BF13" s="9">
        <v>0.5</v>
      </c>
      <c r="BG13" s="9"/>
      <c r="BH13" s="9">
        <v>0.5</v>
      </c>
      <c r="BL13" s="9"/>
      <c r="BM13" s="9">
        <v>0.5</v>
      </c>
      <c r="BN13" s="9"/>
      <c r="BO13" s="9">
        <v>0.5</v>
      </c>
      <c r="BS13" s="9"/>
      <c r="BT13" s="9">
        <v>0.5</v>
      </c>
      <c r="BU13" s="9"/>
      <c r="BV13" s="9">
        <v>0.5</v>
      </c>
      <c r="BZ13" s="9"/>
      <c r="CA13" s="9">
        <v>0.5</v>
      </c>
      <c r="CB13" s="9"/>
      <c r="CC13" s="9">
        <v>0.5</v>
      </c>
      <c r="CG13" s="9"/>
      <c r="CH13" s="9">
        <v>0.8</v>
      </c>
      <c r="CI13" s="9"/>
      <c r="CJ13" s="9">
        <v>0.8</v>
      </c>
      <c r="CN13" s="9"/>
      <c r="CO13" s="9">
        <v>0.8</v>
      </c>
      <c r="CP13" s="9"/>
      <c r="CQ13" s="9">
        <v>0.8</v>
      </c>
      <c r="CU13" s="9"/>
      <c r="CV13" s="9">
        <v>0.8</v>
      </c>
      <c r="CW13" s="9"/>
      <c r="CX13" s="9">
        <v>0.8</v>
      </c>
      <c r="DB13" s="9"/>
      <c r="DC13" s="9">
        <v>1</v>
      </c>
      <c r="DD13" s="9"/>
      <c r="DE13" s="9">
        <v>1</v>
      </c>
      <c r="DI13" s="9"/>
      <c r="DJ13" s="9">
        <v>1</v>
      </c>
      <c r="DK13" s="9"/>
      <c r="DL13" s="9">
        <v>1</v>
      </c>
      <c r="DP13" s="9"/>
      <c r="DQ13" s="9"/>
      <c r="DR13" s="9"/>
      <c r="DS13" s="9"/>
      <c r="DW13" s="9"/>
      <c r="DX13" s="9"/>
      <c r="DY13" s="9"/>
      <c r="DZ13" s="9"/>
      <c r="ED13" s="9"/>
      <c r="EE13" s="9"/>
      <c r="EF13" s="9"/>
      <c r="EG13" s="9"/>
      <c r="EK13" s="9"/>
      <c r="EL13" s="9"/>
      <c r="EM13" s="9"/>
      <c r="EN13" s="9"/>
      <c r="ER13" s="9"/>
      <c r="ES13" s="9"/>
      <c r="ET13" s="9"/>
      <c r="EU13" s="9"/>
      <c r="EY13" s="9"/>
      <c r="EZ13" s="9"/>
      <c r="FA13" s="9"/>
      <c r="FB13" s="9"/>
      <c r="FF13" s="9"/>
      <c r="FG13" s="9"/>
      <c r="FH13" s="9"/>
      <c r="FI13" s="9"/>
    </row>
    <row r="14" spans="2:166" outlineLevel="1" x14ac:dyDescent="0.2">
      <c r="B14" t="s">
        <v>28</v>
      </c>
      <c r="C14" t="s">
        <v>94</v>
      </c>
      <c r="E14" s="8"/>
      <c r="F14" t="s">
        <v>163</v>
      </c>
      <c r="G14" s="9">
        <f t="shared" si="1"/>
        <v>9.0909090909090912E-2</v>
      </c>
      <c r="I14" s="8">
        <f t="shared" si="2"/>
        <v>0</v>
      </c>
      <c r="J14" s="10" cm="1">
        <f t="array" ref="J14">MAX(IF($N$3:$DM$3=$J$3,N14:DM14))</f>
        <v>0</v>
      </c>
      <c r="K14" s="10" cm="1">
        <f t="array" ref="K14">MAX(IF($N$3:$DM$3=$J$3,N14:DM14))</f>
        <v>0</v>
      </c>
      <c r="L14" s="8"/>
      <c r="O14" s="9"/>
      <c r="P14" s="9"/>
      <c r="Q14" s="9"/>
      <c r="R14" s="9"/>
      <c r="V14" s="9"/>
      <c r="W14" s="9"/>
      <c r="X14" s="9"/>
      <c r="Y14" s="9"/>
      <c r="AC14" s="9"/>
      <c r="AD14" s="9"/>
      <c r="AE14" s="9"/>
      <c r="AF14" s="9"/>
      <c r="AJ14" s="9"/>
      <c r="AK14" s="9"/>
      <c r="AL14" s="9"/>
      <c r="AM14" s="9"/>
      <c r="AQ14" s="9"/>
      <c r="AR14" s="9"/>
      <c r="AS14" s="9"/>
      <c r="AT14" s="9"/>
      <c r="AX14" s="9"/>
      <c r="AY14" s="9"/>
      <c r="AZ14" s="9"/>
      <c r="BA14" s="9"/>
      <c r="BE14" s="9"/>
      <c r="BF14" s="9">
        <v>0.5</v>
      </c>
      <c r="BG14" s="9"/>
      <c r="BH14" s="9">
        <v>0.5</v>
      </c>
      <c r="BL14" s="9"/>
      <c r="BM14" s="9">
        <v>0.5</v>
      </c>
      <c r="BN14" s="9"/>
      <c r="BO14" s="9">
        <v>0.5</v>
      </c>
      <c r="BS14" s="9"/>
      <c r="BT14" s="9">
        <v>0.5</v>
      </c>
      <c r="BU14" s="9"/>
      <c r="BV14" s="9">
        <v>0.5</v>
      </c>
      <c r="BZ14" s="9"/>
      <c r="CA14" s="9">
        <v>0.5</v>
      </c>
      <c r="CB14" s="9"/>
      <c r="CC14" s="9">
        <v>0.5</v>
      </c>
      <c r="CG14" s="9"/>
      <c r="CH14" s="9">
        <v>0.5</v>
      </c>
      <c r="CI14" s="9"/>
      <c r="CJ14" s="9">
        <v>0.5</v>
      </c>
      <c r="CN14" s="9"/>
      <c r="CO14" s="9">
        <v>0.8</v>
      </c>
      <c r="CP14" s="9"/>
      <c r="CQ14" s="9">
        <v>0.8</v>
      </c>
      <c r="CU14" s="9"/>
      <c r="CV14" s="9">
        <v>0.8</v>
      </c>
      <c r="CW14" s="9"/>
      <c r="CX14" s="9">
        <v>0.8</v>
      </c>
      <c r="DB14" s="9"/>
      <c r="DC14" s="9">
        <v>0.8</v>
      </c>
      <c r="DD14" s="9"/>
      <c r="DE14" s="9">
        <v>0.8</v>
      </c>
      <c r="DI14" s="9"/>
      <c r="DJ14" s="9">
        <v>1</v>
      </c>
      <c r="DK14" s="9"/>
      <c r="DL14" s="9">
        <v>1</v>
      </c>
      <c r="DP14" s="9"/>
      <c r="DQ14" s="9"/>
      <c r="DR14" s="9"/>
      <c r="DS14" s="9"/>
      <c r="DW14" s="9"/>
      <c r="DX14" s="9"/>
      <c r="DY14" s="9"/>
      <c r="DZ14" s="9"/>
      <c r="ED14" s="9"/>
      <c r="EE14" s="9"/>
      <c r="EF14" s="9"/>
      <c r="EG14" s="9"/>
      <c r="EK14" s="9"/>
      <c r="EL14" s="9"/>
      <c r="EM14" s="9"/>
      <c r="EN14" s="9"/>
      <c r="ER14" s="9"/>
      <c r="ES14" s="9"/>
      <c r="ET14" s="9"/>
      <c r="EU14" s="9"/>
      <c r="EY14" s="9"/>
      <c r="EZ14" s="9"/>
      <c r="FA14" s="9"/>
      <c r="FB14" s="9"/>
      <c r="FF14" s="9"/>
      <c r="FG14" s="9"/>
      <c r="FH14" s="9"/>
      <c r="FI14" s="9"/>
    </row>
    <row r="15" spans="2:166" outlineLevel="1" x14ac:dyDescent="0.2">
      <c r="B15" t="s">
        <v>28</v>
      </c>
      <c r="C15" t="s">
        <v>94</v>
      </c>
      <c r="E15" s="8"/>
      <c r="F15" t="s">
        <v>164</v>
      </c>
      <c r="G15" s="9">
        <f t="shared" si="1"/>
        <v>9.0909090909090912E-2</v>
      </c>
      <c r="I15" s="8">
        <f t="shared" si="2"/>
        <v>0</v>
      </c>
      <c r="J15" s="10" cm="1">
        <f t="array" ref="J15">MAX(IF($N$3:$DM$3=$J$3,N15:DM15))</f>
        <v>0</v>
      </c>
      <c r="K15" s="10" cm="1">
        <f t="array" ref="K15">MAX(IF($N$3:$DM$3=$J$3,N15:DM15))</f>
        <v>0</v>
      </c>
      <c r="L15" s="8"/>
      <c r="O15" s="9"/>
      <c r="P15" s="9"/>
      <c r="Q15" s="9"/>
      <c r="R15" s="9"/>
      <c r="V15" s="9"/>
      <c r="W15" s="9"/>
      <c r="X15" s="9"/>
      <c r="Y15" s="9"/>
      <c r="AC15" s="9"/>
      <c r="AD15" s="9"/>
      <c r="AE15" s="9"/>
      <c r="AF15" s="9"/>
      <c r="AJ15" s="9"/>
      <c r="AK15" s="9"/>
      <c r="AL15" s="9"/>
      <c r="AM15" s="9"/>
      <c r="AQ15" s="9"/>
      <c r="AR15" s="9"/>
      <c r="AS15" s="9"/>
      <c r="AT15" s="9"/>
      <c r="AX15" s="9"/>
      <c r="AY15" s="9"/>
      <c r="AZ15" s="9"/>
      <c r="BA15" s="9"/>
      <c r="BE15" s="9"/>
      <c r="BF15" s="9"/>
      <c r="BG15" s="9"/>
      <c r="BH15" s="9"/>
      <c r="BL15" s="9"/>
      <c r="BM15" s="9">
        <v>0.5</v>
      </c>
      <c r="BN15" s="9"/>
      <c r="BO15" s="9">
        <v>0.5</v>
      </c>
      <c r="BS15" s="9"/>
      <c r="BT15" s="9">
        <v>0.5</v>
      </c>
      <c r="BU15" s="9"/>
      <c r="BV15" s="9">
        <v>0.5</v>
      </c>
      <c r="BZ15" s="9"/>
      <c r="CA15" s="9">
        <v>0.5</v>
      </c>
      <c r="CB15" s="9"/>
      <c r="CC15" s="9">
        <v>0.5</v>
      </c>
      <c r="CG15" s="9"/>
      <c r="CH15" s="9">
        <v>0.5</v>
      </c>
      <c r="CI15" s="9"/>
      <c r="CJ15" s="9">
        <v>0.5</v>
      </c>
      <c r="CN15" s="9"/>
      <c r="CO15" s="9">
        <v>0.5</v>
      </c>
      <c r="CP15" s="9"/>
      <c r="CQ15" s="9">
        <v>0.5</v>
      </c>
      <c r="CU15" s="9"/>
      <c r="CV15" s="9">
        <v>0.8</v>
      </c>
      <c r="CW15" s="9"/>
      <c r="CX15" s="9">
        <v>0.8</v>
      </c>
      <c r="DB15" s="9"/>
      <c r="DC15" s="9">
        <v>0.8</v>
      </c>
      <c r="DD15" s="9"/>
      <c r="DE15" s="9">
        <v>0.8</v>
      </c>
      <c r="DI15" s="9"/>
      <c r="DJ15" s="9">
        <v>1</v>
      </c>
      <c r="DK15" s="9"/>
      <c r="DL15" s="9">
        <v>1</v>
      </c>
      <c r="DP15" s="9"/>
      <c r="DQ15" s="9"/>
      <c r="DR15" s="9"/>
      <c r="DS15" s="9"/>
      <c r="DW15" s="9"/>
      <c r="DX15" s="9"/>
      <c r="DY15" s="9"/>
      <c r="DZ15" s="9"/>
      <c r="ED15" s="9"/>
      <c r="EE15" s="9"/>
      <c r="EF15" s="9"/>
      <c r="EG15" s="9"/>
      <c r="EK15" s="9"/>
      <c r="EL15" s="9"/>
      <c r="EM15" s="9"/>
      <c r="EN15" s="9"/>
      <c r="ER15" s="9"/>
      <c r="ES15" s="9"/>
      <c r="ET15" s="9"/>
      <c r="EU15" s="9"/>
      <c r="EY15" s="9"/>
      <c r="EZ15" s="9"/>
      <c r="FA15" s="9"/>
      <c r="FB15" s="9"/>
      <c r="FF15" s="9"/>
      <c r="FG15" s="9"/>
      <c r="FH15" s="9"/>
      <c r="FI15" s="9"/>
    </row>
    <row r="16" spans="2:166" x14ac:dyDescent="0.2">
      <c r="BM16" s="9"/>
      <c r="BO16" s="9"/>
      <c r="BT16" s="9"/>
      <c r="BV16" s="9"/>
      <c r="CA16" s="9"/>
      <c r="CC16" s="9"/>
      <c r="CH16" s="9"/>
      <c r="CJ16" s="9"/>
      <c r="CO16" s="9"/>
      <c r="CQ16" s="9"/>
      <c r="CV16" s="9"/>
      <c r="CX16" s="9"/>
    </row>
    <row r="17" spans="2:165" s="17" customFormat="1" x14ac:dyDescent="0.2">
      <c r="B17" s="17" t="s">
        <v>27</v>
      </c>
      <c r="C17" s="17" t="s">
        <v>93</v>
      </c>
      <c r="D17" s="18">
        <v>45336</v>
      </c>
      <c r="E17" s="19">
        <v>10</v>
      </c>
      <c r="G17" s="20">
        <f>+SUM(G18:G28)</f>
        <v>0.99999999999999978</v>
      </c>
      <c r="I17" s="21">
        <f>+SUM(I18:I28)</f>
        <v>0</v>
      </c>
      <c r="J17" s="22">
        <f>+SUMPRODUCT(G18:G28,J18:J28)</f>
        <v>0</v>
      </c>
      <c r="K17" s="22">
        <f>+SUMPRODUCT(G18:G28,K18:K28)</f>
        <v>0</v>
      </c>
      <c r="L17" s="19"/>
      <c r="N17" s="21">
        <f>+SUM(N18:N28)</f>
        <v>0</v>
      </c>
      <c r="U17" s="21">
        <f>+SUM(U18:U28)</f>
        <v>0</v>
      </c>
      <c r="AB17" s="21">
        <f>+SUM(AB18:AB28)</f>
        <v>0</v>
      </c>
      <c r="AI17" s="21">
        <f>+SUM(AI18:AI28)</f>
        <v>0</v>
      </c>
      <c r="AP17" s="21">
        <f>+SUM(AP18:AP28)</f>
        <v>0</v>
      </c>
      <c r="AW17" s="21">
        <f>+SUM(AW18:AW28)</f>
        <v>0</v>
      </c>
      <c r="BD17" s="21">
        <f>+SUM(BD18:BD28)</f>
        <v>0</v>
      </c>
      <c r="BK17" s="21">
        <f>+SUM(BK18:BK28)</f>
        <v>0</v>
      </c>
      <c r="BR17" s="21">
        <f>+SUM(BR18:BR28)</f>
        <v>0</v>
      </c>
      <c r="BY17" s="21">
        <f>+SUM(BY18:BY28)</f>
        <v>0</v>
      </c>
      <c r="CF17" s="21">
        <f>+SUM(CF18:CF28)</f>
        <v>0</v>
      </c>
      <c r="CM17" s="21">
        <f>+SUM(CM18:CM28)</f>
        <v>0</v>
      </c>
      <c r="CT17" s="21">
        <f>+SUM(CT18:CT28)</f>
        <v>0</v>
      </c>
      <c r="DA17" s="21">
        <f>+SUM(DA18:DA28)</f>
        <v>0</v>
      </c>
      <c r="DH17" s="21">
        <f>+SUM(DH18:DH22)</f>
        <v>0</v>
      </c>
    </row>
    <row r="18" spans="2:165" outlineLevel="1" x14ac:dyDescent="0.2">
      <c r="B18" t="s">
        <v>28</v>
      </c>
      <c r="C18" t="s">
        <v>93</v>
      </c>
      <c r="E18" s="8"/>
      <c r="F18" t="s">
        <v>138</v>
      </c>
      <c r="G18" s="9">
        <v>0.09</v>
      </c>
      <c r="I18" s="8">
        <f t="shared" ref="I18:I28" si="3">+SUMIF($N$3:$YX$3,I$3,$N18:$YX18)</f>
        <v>0</v>
      </c>
      <c r="J18" s="10" cm="1">
        <f t="array" ref="J18">MAX(IF($N$3:$DM$3=$J$3,N18:DM18))</f>
        <v>0</v>
      </c>
      <c r="K18" s="10" cm="1">
        <f t="array" ref="K18">MAX(IF($N$3:$DM$3=$J$3,N18:DM18))</f>
        <v>0</v>
      </c>
      <c r="L18" s="8"/>
      <c r="O18" s="9"/>
      <c r="P18" s="9">
        <v>0.5</v>
      </c>
      <c r="Q18" s="9"/>
      <c r="R18" s="9">
        <v>0.5</v>
      </c>
      <c r="V18" s="9"/>
      <c r="W18" s="9">
        <v>0.5</v>
      </c>
      <c r="X18" s="9"/>
      <c r="Y18" s="9">
        <v>0.5</v>
      </c>
      <c r="AC18" s="9"/>
      <c r="AD18" s="9">
        <v>0.5</v>
      </c>
      <c r="AE18" s="9"/>
      <c r="AF18" s="9">
        <v>0.5</v>
      </c>
      <c r="AJ18" s="9"/>
      <c r="AK18" s="9">
        <v>0.8</v>
      </c>
      <c r="AL18" s="9"/>
      <c r="AM18" s="9">
        <v>0.8</v>
      </c>
      <c r="AQ18" s="9"/>
      <c r="AR18" s="9">
        <v>0.8</v>
      </c>
      <c r="AS18" s="9"/>
      <c r="AT18" s="9">
        <v>0.8</v>
      </c>
      <c r="AX18" s="9"/>
      <c r="AY18" s="9">
        <v>0.8</v>
      </c>
      <c r="AZ18" s="9"/>
      <c r="BA18" s="9">
        <v>0.8</v>
      </c>
      <c r="BE18" s="9"/>
      <c r="BF18" s="9">
        <v>0.8</v>
      </c>
      <c r="BG18" s="9"/>
      <c r="BH18" s="9">
        <v>0.8</v>
      </c>
      <c r="BL18" s="9"/>
      <c r="BM18" s="9">
        <v>0.8</v>
      </c>
      <c r="BN18" s="9"/>
      <c r="BO18" s="9">
        <v>0.8</v>
      </c>
      <c r="BS18" s="9"/>
      <c r="BT18" s="9">
        <v>1</v>
      </c>
      <c r="BU18" s="9"/>
      <c r="BV18" s="9">
        <v>1</v>
      </c>
      <c r="BZ18" s="9"/>
      <c r="CA18" s="9">
        <v>1</v>
      </c>
      <c r="CB18" s="9"/>
      <c r="CC18" s="9">
        <v>1</v>
      </c>
      <c r="CG18" s="9"/>
      <c r="CH18" s="9">
        <v>1</v>
      </c>
      <c r="CI18" s="9"/>
      <c r="CJ18" s="9">
        <v>1</v>
      </c>
      <c r="CN18" s="9"/>
      <c r="CO18" s="9">
        <v>1</v>
      </c>
      <c r="CP18" s="9"/>
      <c r="CQ18" s="9">
        <v>1</v>
      </c>
      <c r="CU18" s="9"/>
      <c r="CV18" s="9">
        <v>1</v>
      </c>
      <c r="CW18" s="9"/>
      <c r="CX18" s="9">
        <v>1</v>
      </c>
      <c r="DB18" s="9"/>
      <c r="DC18" s="9">
        <v>1</v>
      </c>
      <c r="DD18" s="9"/>
      <c r="DE18" s="9">
        <v>1</v>
      </c>
      <c r="DI18" s="9"/>
      <c r="DJ18" s="9">
        <v>1</v>
      </c>
      <c r="DK18" s="9"/>
      <c r="DL18" s="9">
        <v>1</v>
      </c>
      <c r="DP18" s="9"/>
      <c r="DQ18" s="9"/>
      <c r="DR18" s="9"/>
      <c r="DS18" s="9"/>
      <c r="DW18" s="9"/>
      <c r="DX18" s="9"/>
      <c r="DY18" s="9"/>
      <c r="DZ18" s="9"/>
      <c r="ED18" s="9"/>
      <c r="EE18" s="9"/>
      <c r="EF18" s="9"/>
      <c r="EG18" s="9"/>
      <c r="EK18" s="9"/>
      <c r="EL18" s="9"/>
      <c r="EM18" s="9"/>
      <c r="EN18" s="9"/>
      <c r="ER18" s="9"/>
      <c r="ES18" s="9"/>
      <c r="ET18" s="9"/>
      <c r="EU18" s="9"/>
      <c r="EY18" s="9"/>
      <c r="EZ18" s="9"/>
      <c r="FA18" s="9"/>
      <c r="FB18" s="9"/>
      <c r="FF18" s="9"/>
      <c r="FG18" s="9"/>
      <c r="FH18" s="9"/>
      <c r="FI18" s="9"/>
    </row>
    <row r="19" spans="2:165" outlineLevel="1" x14ac:dyDescent="0.2">
      <c r="B19" t="s">
        <v>28</v>
      </c>
      <c r="C19" t="s">
        <v>93</v>
      </c>
      <c r="E19" s="8"/>
      <c r="F19" t="s">
        <v>139</v>
      </c>
      <c r="G19" s="9">
        <v>0.09</v>
      </c>
      <c r="I19" s="8">
        <f t="shared" si="3"/>
        <v>0</v>
      </c>
      <c r="J19" s="10" cm="1">
        <f t="array" ref="J19">MAX(IF($N$3:$DM$3=$J$3,N19:DM19))</f>
        <v>0</v>
      </c>
      <c r="K19" s="10" cm="1">
        <f t="array" ref="K19">MAX(IF($N$3:$DM$3=$J$3,N19:DM19))</f>
        <v>0</v>
      </c>
      <c r="L19" s="8"/>
      <c r="O19" s="9"/>
      <c r="P19" s="9"/>
      <c r="Q19" s="9"/>
      <c r="R19" s="9"/>
      <c r="V19" s="9"/>
      <c r="W19" s="9">
        <v>0.5</v>
      </c>
      <c r="X19" s="9"/>
      <c r="Y19" s="9">
        <v>0.5</v>
      </c>
      <c r="AC19" s="9"/>
      <c r="AD19" s="9">
        <v>0.5</v>
      </c>
      <c r="AE19" s="9"/>
      <c r="AF19" s="9">
        <v>0.5</v>
      </c>
      <c r="AJ19" s="9"/>
      <c r="AK19" s="9">
        <v>0.5</v>
      </c>
      <c r="AL19" s="9"/>
      <c r="AM19" s="9">
        <v>0.5</v>
      </c>
      <c r="AQ19" s="9"/>
      <c r="AR19" s="9">
        <v>0.8</v>
      </c>
      <c r="AS19" s="9"/>
      <c r="AT19" s="9">
        <v>0.8</v>
      </c>
      <c r="AX19" s="9"/>
      <c r="AY19" s="9">
        <v>0.8</v>
      </c>
      <c r="AZ19" s="9"/>
      <c r="BA19" s="9">
        <v>0.8</v>
      </c>
      <c r="BE19" s="9"/>
      <c r="BF19" s="9">
        <v>0.8</v>
      </c>
      <c r="BG19" s="9"/>
      <c r="BH19" s="9">
        <v>0.8</v>
      </c>
      <c r="BL19" s="9"/>
      <c r="BM19" s="9">
        <v>0.8</v>
      </c>
      <c r="BN19" s="9"/>
      <c r="BO19" s="9">
        <v>0.8</v>
      </c>
      <c r="BS19" s="9"/>
      <c r="BT19" s="9">
        <v>0.8</v>
      </c>
      <c r="BU19" s="9"/>
      <c r="BV19" s="9">
        <v>0.8</v>
      </c>
      <c r="BZ19" s="9"/>
      <c r="CA19" s="9">
        <v>1</v>
      </c>
      <c r="CB19" s="9"/>
      <c r="CC19" s="9">
        <v>1</v>
      </c>
      <c r="CG19" s="9"/>
      <c r="CH19" s="9">
        <v>1</v>
      </c>
      <c r="CI19" s="9"/>
      <c r="CJ19" s="9">
        <v>1</v>
      </c>
      <c r="CN19" s="9"/>
      <c r="CO19" s="9">
        <v>1</v>
      </c>
      <c r="CP19" s="9"/>
      <c r="CQ19" s="9">
        <v>1</v>
      </c>
      <c r="CU19" s="9"/>
      <c r="CV19" s="9">
        <v>1</v>
      </c>
      <c r="CW19" s="9"/>
      <c r="CX19" s="9">
        <v>1</v>
      </c>
      <c r="DB19" s="9"/>
      <c r="DC19" s="9">
        <v>1</v>
      </c>
      <c r="DD19" s="9"/>
      <c r="DE19" s="9">
        <v>1</v>
      </c>
      <c r="DI19" s="9"/>
      <c r="DJ19" s="9">
        <v>1</v>
      </c>
      <c r="DK19" s="9"/>
      <c r="DL19" s="9">
        <v>1</v>
      </c>
      <c r="DP19" s="9"/>
      <c r="DQ19" s="9"/>
      <c r="DR19" s="9"/>
      <c r="DS19" s="9"/>
      <c r="DW19" s="9"/>
      <c r="DX19" s="9"/>
      <c r="DY19" s="9"/>
      <c r="DZ19" s="9"/>
      <c r="ED19" s="9"/>
      <c r="EE19" s="9"/>
      <c r="EF19" s="9"/>
      <c r="EG19" s="9"/>
      <c r="EK19" s="9"/>
      <c r="EL19" s="9"/>
      <c r="EM19" s="9"/>
      <c r="EN19" s="9"/>
      <c r="ER19" s="9"/>
      <c r="ES19" s="9"/>
      <c r="ET19" s="9"/>
      <c r="EU19" s="9"/>
      <c r="EY19" s="9"/>
      <c r="EZ19" s="9"/>
      <c r="FA19" s="9"/>
      <c r="FB19" s="9"/>
      <c r="FF19" s="9"/>
      <c r="FG19" s="9"/>
      <c r="FH19" s="9"/>
      <c r="FI19" s="9"/>
    </row>
    <row r="20" spans="2:165" outlineLevel="1" x14ac:dyDescent="0.2">
      <c r="B20" t="s">
        <v>28</v>
      </c>
      <c r="C20" t="s">
        <v>93</v>
      </c>
      <c r="E20" s="8"/>
      <c r="F20" t="s">
        <v>136</v>
      </c>
      <c r="G20" s="9">
        <v>0.09</v>
      </c>
      <c r="I20" s="8">
        <f t="shared" si="3"/>
        <v>0</v>
      </c>
      <c r="J20" s="10" cm="1">
        <f t="array" ref="J20">MAX(IF($N$3:$DM$3=$J$3,N20:DM20))</f>
        <v>0</v>
      </c>
      <c r="K20" s="10" cm="1">
        <f t="array" ref="K20">MAX(IF($N$3:$DM$3=$J$3,N20:DM20))</f>
        <v>0</v>
      </c>
      <c r="L20" s="8"/>
      <c r="O20" s="9"/>
      <c r="P20" s="9"/>
      <c r="Q20" s="9"/>
      <c r="R20" s="9"/>
      <c r="V20" s="9"/>
      <c r="W20" s="9"/>
      <c r="X20" s="9"/>
      <c r="Y20" s="9"/>
      <c r="AC20" s="9"/>
      <c r="AD20" s="9">
        <v>0.5</v>
      </c>
      <c r="AE20" s="9"/>
      <c r="AF20" s="9">
        <v>0.5</v>
      </c>
      <c r="AJ20" s="9"/>
      <c r="AK20" s="9">
        <v>0.5</v>
      </c>
      <c r="AL20" s="9"/>
      <c r="AM20" s="9">
        <v>0.5</v>
      </c>
      <c r="AQ20" s="9"/>
      <c r="AR20" s="9">
        <v>0.5</v>
      </c>
      <c r="AS20" s="9"/>
      <c r="AT20" s="9">
        <v>0.5</v>
      </c>
      <c r="AX20" s="9"/>
      <c r="AY20" s="9">
        <v>0.8</v>
      </c>
      <c r="AZ20" s="9"/>
      <c r="BA20" s="9">
        <v>0.8</v>
      </c>
      <c r="BE20" s="9"/>
      <c r="BF20" s="9">
        <v>0.8</v>
      </c>
      <c r="BG20" s="9"/>
      <c r="BH20" s="9">
        <v>0.8</v>
      </c>
      <c r="BL20" s="9"/>
      <c r="BM20" s="9">
        <v>0.8</v>
      </c>
      <c r="BN20" s="9"/>
      <c r="BO20" s="9">
        <v>0.8</v>
      </c>
      <c r="BS20" s="9"/>
      <c r="BT20" s="9">
        <v>0.8</v>
      </c>
      <c r="BU20" s="9"/>
      <c r="BV20" s="9">
        <v>0.8</v>
      </c>
      <c r="BZ20" s="9"/>
      <c r="CA20" s="9">
        <v>1</v>
      </c>
      <c r="CB20" s="9"/>
      <c r="CC20" s="9">
        <v>1</v>
      </c>
      <c r="CG20" s="9"/>
      <c r="CH20" s="9">
        <v>1</v>
      </c>
      <c r="CI20" s="9"/>
      <c r="CJ20" s="9">
        <v>1</v>
      </c>
      <c r="CN20" s="9"/>
      <c r="CO20" s="9">
        <v>1</v>
      </c>
      <c r="CP20" s="9"/>
      <c r="CQ20" s="9">
        <v>1</v>
      </c>
      <c r="CU20" s="9"/>
      <c r="CV20" s="9">
        <v>1</v>
      </c>
      <c r="CW20" s="9"/>
      <c r="CX20" s="9">
        <v>1</v>
      </c>
      <c r="DB20" s="9"/>
      <c r="DC20" s="9">
        <v>1</v>
      </c>
      <c r="DD20" s="9"/>
      <c r="DE20" s="9">
        <v>1</v>
      </c>
      <c r="DI20" s="9"/>
      <c r="DJ20" s="9">
        <v>1</v>
      </c>
      <c r="DK20" s="9"/>
      <c r="DL20" s="9">
        <v>1</v>
      </c>
      <c r="DP20" s="9"/>
      <c r="DQ20" s="9"/>
      <c r="DR20" s="9"/>
      <c r="DS20" s="9"/>
      <c r="DW20" s="9"/>
      <c r="DX20" s="9"/>
      <c r="DY20" s="9"/>
      <c r="DZ20" s="9"/>
      <c r="ED20" s="9"/>
      <c r="EE20" s="9"/>
      <c r="EF20" s="9"/>
      <c r="EG20" s="9"/>
      <c r="EK20" s="9"/>
      <c r="EL20" s="9"/>
      <c r="EM20" s="9"/>
      <c r="EN20" s="9"/>
      <c r="ER20" s="9"/>
      <c r="ES20" s="9"/>
      <c r="ET20" s="9"/>
      <c r="EU20" s="9"/>
      <c r="EY20" s="9"/>
      <c r="EZ20" s="9"/>
      <c r="FA20" s="9"/>
      <c r="FB20" s="9"/>
      <c r="FF20" s="9"/>
      <c r="FG20" s="9"/>
      <c r="FH20" s="9"/>
      <c r="FI20" s="9"/>
    </row>
    <row r="21" spans="2:165" outlineLevel="1" x14ac:dyDescent="0.2">
      <c r="B21" t="s">
        <v>28</v>
      </c>
      <c r="C21" t="s">
        <v>93</v>
      </c>
      <c r="E21" s="8"/>
      <c r="F21" t="s">
        <v>140</v>
      </c>
      <c r="G21" s="9">
        <v>0.09</v>
      </c>
      <c r="I21" s="8">
        <f t="shared" si="3"/>
        <v>0</v>
      </c>
      <c r="J21" s="10" cm="1">
        <f t="array" ref="J21">MAX(IF($N$3:$DM$3=$J$3,N21:DM21))</f>
        <v>0</v>
      </c>
      <c r="K21" s="10" cm="1">
        <f t="array" ref="K21">MAX(IF($N$3:$DM$3=$J$3,N21:DM21))</f>
        <v>0</v>
      </c>
      <c r="L21" s="8"/>
      <c r="O21" s="9"/>
      <c r="P21" s="9"/>
      <c r="Q21" s="9"/>
      <c r="R21" s="9"/>
      <c r="V21" s="9"/>
      <c r="W21" s="9"/>
      <c r="X21" s="9"/>
      <c r="Y21" s="9"/>
      <c r="AC21" s="9"/>
      <c r="AD21" s="9">
        <v>0.5</v>
      </c>
      <c r="AE21" s="9"/>
      <c r="AF21" s="9">
        <v>0.5</v>
      </c>
      <c r="AJ21" s="9"/>
      <c r="AK21" s="9">
        <v>0.5</v>
      </c>
      <c r="AL21" s="9"/>
      <c r="AM21" s="9">
        <v>0.5</v>
      </c>
      <c r="AQ21" s="9"/>
      <c r="AR21" s="9">
        <v>0.5</v>
      </c>
      <c r="AS21" s="9"/>
      <c r="AT21" s="9">
        <v>0.5</v>
      </c>
      <c r="AX21" s="9"/>
      <c r="AY21" s="9">
        <v>0.5</v>
      </c>
      <c r="AZ21" s="9"/>
      <c r="BA21" s="9">
        <v>0.5</v>
      </c>
      <c r="BE21" s="9"/>
      <c r="BF21" s="9">
        <v>0.8</v>
      </c>
      <c r="BG21" s="9"/>
      <c r="BH21" s="9">
        <v>0.8</v>
      </c>
      <c r="BL21" s="9"/>
      <c r="BM21" s="9">
        <v>0.8</v>
      </c>
      <c r="BN21" s="9"/>
      <c r="BO21" s="9">
        <v>0.8</v>
      </c>
      <c r="BS21" s="9"/>
      <c r="BT21" s="9">
        <v>0.8</v>
      </c>
      <c r="BU21" s="9"/>
      <c r="BV21" s="9">
        <v>0.8</v>
      </c>
      <c r="BZ21" s="9"/>
      <c r="CA21" s="9">
        <v>0.8</v>
      </c>
      <c r="CB21" s="9"/>
      <c r="CC21" s="9">
        <v>0.8</v>
      </c>
      <c r="CG21" s="9"/>
      <c r="CH21" s="9">
        <v>1</v>
      </c>
      <c r="CI21" s="9"/>
      <c r="CJ21" s="9">
        <v>1</v>
      </c>
      <c r="CN21" s="9"/>
      <c r="CO21" s="9">
        <v>1</v>
      </c>
      <c r="CP21" s="9"/>
      <c r="CQ21" s="9">
        <v>1</v>
      </c>
      <c r="CU21" s="9"/>
      <c r="CV21" s="9">
        <v>1</v>
      </c>
      <c r="CW21" s="9"/>
      <c r="CX21" s="9">
        <v>1</v>
      </c>
      <c r="DB21" s="9"/>
      <c r="DC21" s="9">
        <v>1</v>
      </c>
      <c r="DD21" s="9"/>
      <c r="DE21" s="9">
        <v>1</v>
      </c>
      <c r="DI21" s="9"/>
      <c r="DJ21" s="9">
        <v>1</v>
      </c>
      <c r="DK21" s="9"/>
      <c r="DL21" s="9">
        <v>1</v>
      </c>
      <c r="DP21" s="9"/>
      <c r="DQ21" s="9"/>
      <c r="DR21" s="9"/>
      <c r="DS21" s="9"/>
      <c r="DW21" s="9"/>
      <c r="DX21" s="9"/>
      <c r="DY21" s="9"/>
      <c r="DZ21" s="9"/>
      <c r="ED21" s="9"/>
      <c r="EE21" s="9"/>
      <c r="EF21" s="9"/>
      <c r="EG21" s="9"/>
      <c r="EK21" s="9"/>
      <c r="EL21" s="9"/>
      <c r="EM21" s="9"/>
      <c r="EN21" s="9"/>
      <c r="ER21" s="9"/>
      <c r="ES21" s="9"/>
      <c r="ET21" s="9"/>
      <c r="EU21" s="9"/>
      <c r="EY21" s="9"/>
      <c r="EZ21" s="9"/>
      <c r="FA21" s="9"/>
      <c r="FB21" s="9"/>
      <c r="FF21" s="9"/>
      <c r="FG21" s="9"/>
      <c r="FH21" s="9"/>
      <c r="FI21" s="9"/>
    </row>
    <row r="22" spans="2:165" outlineLevel="1" x14ac:dyDescent="0.2">
      <c r="B22" t="s">
        <v>28</v>
      </c>
      <c r="C22" t="s">
        <v>93</v>
      </c>
      <c r="E22" s="8"/>
      <c r="F22" t="s">
        <v>141</v>
      </c>
      <c r="G22" s="9">
        <v>0.1</v>
      </c>
      <c r="I22" s="8">
        <f t="shared" si="3"/>
        <v>0</v>
      </c>
      <c r="J22" s="10" cm="1">
        <f t="array" ref="J22">MAX(IF($N$3:$DM$3=$J$3,N22:DM22))</f>
        <v>0</v>
      </c>
      <c r="K22" s="10" cm="1">
        <f t="array" ref="K22">MAX(IF($N$3:$DM$3=$J$3,N22:DM22))</f>
        <v>0</v>
      </c>
      <c r="L22" s="8"/>
      <c r="O22" s="9"/>
      <c r="P22" s="9"/>
      <c r="Q22" s="9"/>
      <c r="R22" s="9"/>
      <c r="V22" s="9"/>
      <c r="W22" s="9"/>
      <c r="X22" s="9"/>
      <c r="Y22" s="9"/>
      <c r="AC22" s="9"/>
      <c r="AD22" s="9"/>
      <c r="AE22" s="9"/>
      <c r="AF22" s="9"/>
      <c r="AJ22" s="9"/>
      <c r="AK22" s="9">
        <v>0.5</v>
      </c>
      <c r="AL22" s="9"/>
      <c r="AM22" s="9">
        <v>0.5</v>
      </c>
      <c r="AQ22" s="9"/>
      <c r="AR22" s="9">
        <v>0.5</v>
      </c>
      <c r="AS22" s="9"/>
      <c r="AT22" s="9">
        <v>0.5</v>
      </c>
      <c r="AX22" s="9"/>
      <c r="AY22" s="9">
        <v>0.5</v>
      </c>
      <c r="AZ22" s="9"/>
      <c r="BA22" s="9">
        <v>0.5</v>
      </c>
      <c r="BE22" s="9"/>
      <c r="BF22" s="9">
        <v>0.5</v>
      </c>
      <c r="BG22" s="9"/>
      <c r="BH22" s="9">
        <v>0.5</v>
      </c>
      <c r="BL22" s="9"/>
      <c r="BM22" s="9">
        <v>0.8</v>
      </c>
      <c r="BN22" s="9"/>
      <c r="BO22" s="9">
        <v>0.8</v>
      </c>
      <c r="BS22" s="9"/>
      <c r="BT22" s="9">
        <v>0.8</v>
      </c>
      <c r="BU22" s="9"/>
      <c r="BV22" s="9">
        <v>0.8</v>
      </c>
      <c r="BZ22" s="9"/>
      <c r="CA22" s="9">
        <v>0.8</v>
      </c>
      <c r="CB22" s="9"/>
      <c r="CC22" s="9">
        <v>0.8</v>
      </c>
      <c r="CG22" s="9"/>
      <c r="CH22" s="9">
        <v>0.8</v>
      </c>
      <c r="CI22" s="9"/>
      <c r="CJ22" s="9">
        <v>0.8</v>
      </c>
      <c r="CN22" s="9"/>
      <c r="CO22" s="9">
        <v>1</v>
      </c>
      <c r="CP22" s="9"/>
      <c r="CQ22" s="9">
        <v>1</v>
      </c>
      <c r="CU22" s="9"/>
      <c r="CV22" s="9">
        <v>1</v>
      </c>
      <c r="CW22" s="9"/>
      <c r="CX22" s="9">
        <v>1</v>
      </c>
      <c r="DB22" s="9"/>
      <c r="DC22" s="9">
        <v>1</v>
      </c>
      <c r="DD22" s="9"/>
      <c r="DE22" s="9">
        <v>1</v>
      </c>
      <c r="DI22" s="9"/>
      <c r="DJ22" s="9">
        <v>1</v>
      </c>
      <c r="DK22" s="9"/>
      <c r="DL22" s="9">
        <v>1</v>
      </c>
      <c r="DP22" s="9"/>
      <c r="DQ22" s="9"/>
      <c r="DR22" s="9"/>
      <c r="DS22" s="9"/>
      <c r="DW22" s="9"/>
      <c r="DX22" s="9"/>
      <c r="DY22" s="9"/>
      <c r="DZ22" s="9"/>
      <c r="ED22" s="9"/>
      <c r="EE22" s="9"/>
      <c r="EF22" s="9"/>
      <c r="EG22" s="9"/>
      <c r="EK22" s="9"/>
      <c r="EL22" s="9"/>
      <c r="EM22" s="9"/>
      <c r="EN22" s="9"/>
      <c r="ER22" s="9"/>
      <c r="ES22" s="9"/>
      <c r="ET22" s="9"/>
      <c r="EU22" s="9"/>
      <c r="EY22" s="9"/>
      <c r="EZ22" s="9"/>
      <c r="FA22" s="9"/>
      <c r="FB22" s="9"/>
      <c r="FF22" s="9"/>
      <c r="FG22" s="9"/>
      <c r="FH22" s="9"/>
      <c r="FI22" s="9"/>
    </row>
    <row r="23" spans="2:165" outlineLevel="1" x14ac:dyDescent="0.2">
      <c r="B23" t="s">
        <v>28</v>
      </c>
      <c r="C23" t="s">
        <v>93</v>
      </c>
      <c r="E23" s="8"/>
      <c r="F23" t="s">
        <v>137</v>
      </c>
      <c r="G23" s="9">
        <v>0.09</v>
      </c>
      <c r="I23" s="8">
        <f t="shared" si="3"/>
        <v>0</v>
      </c>
      <c r="J23" s="10" cm="1">
        <f t="array" ref="J23">MAX(IF($N$3:$DM$3=$J$3,N23:DM23))</f>
        <v>0</v>
      </c>
      <c r="K23" s="10" cm="1">
        <f t="array" ref="K23">MAX(IF($N$3:$DM$3=$J$3,N23:DM23))</f>
        <v>0</v>
      </c>
      <c r="L23" s="8"/>
      <c r="O23" s="9"/>
      <c r="P23" s="9"/>
      <c r="Q23" s="9"/>
      <c r="R23" s="9"/>
      <c r="V23" s="9"/>
      <c r="W23" s="9"/>
      <c r="X23" s="9"/>
      <c r="Y23" s="9"/>
      <c r="AC23" s="9"/>
      <c r="AD23" s="9"/>
      <c r="AE23" s="9"/>
      <c r="AF23" s="9"/>
      <c r="AJ23" s="9"/>
      <c r="AK23" s="9">
        <v>0.5</v>
      </c>
      <c r="AL23" s="9"/>
      <c r="AM23" s="9">
        <v>0.5</v>
      </c>
      <c r="AQ23" s="9"/>
      <c r="AR23" s="9">
        <v>0.5</v>
      </c>
      <c r="AS23" s="9"/>
      <c r="AT23" s="9">
        <v>0.5</v>
      </c>
      <c r="AX23" s="9"/>
      <c r="AY23" s="9">
        <v>0.5</v>
      </c>
      <c r="AZ23" s="9"/>
      <c r="BA23" s="9">
        <v>0.5</v>
      </c>
      <c r="BE23" s="9"/>
      <c r="BF23" s="9">
        <v>0.5</v>
      </c>
      <c r="BG23" s="9"/>
      <c r="BH23" s="9">
        <v>0.5</v>
      </c>
      <c r="BL23" s="9"/>
      <c r="BM23" s="9">
        <v>0.8</v>
      </c>
      <c r="BN23" s="9"/>
      <c r="BO23" s="9">
        <v>0.8</v>
      </c>
      <c r="BS23" s="9"/>
      <c r="BT23" s="9">
        <v>0.8</v>
      </c>
      <c r="BU23" s="9"/>
      <c r="BV23" s="9">
        <v>0.8</v>
      </c>
      <c r="BZ23" s="9"/>
      <c r="CA23" s="9">
        <v>0.8</v>
      </c>
      <c r="CB23" s="9"/>
      <c r="CC23" s="9">
        <v>0.8</v>
      </c>
      <c r="CG23" s="9"/>
      <c r="CH23" s="9">
        <v>0.8</v>
      </c>
      <c r="CI23" s="9"/>
      <c r="CJ23" s="9">
        <v>0.8</v>
      </c>
      <c r="CN23" s="9"/>
      <c r="CO23" s="9">
        <v>1</v>
      </c>
      <c r="CP23" s="9"/>
      <c r="CQ23" s="9">
        <v>1</v>
      </c>
      <c r="CU23" s="9"/>
      <c r="CV23" s="9">
        <v>1</v>
      </c>
      <c r="CW23" s="9"/>
      <c r="CX23" s="9">
        <v>1</v>
      </c>
      <c r="DB23" s="9"/>
      <c r="DC23" s="9">
        <v>1</v>
      </c>
      <c r="DD23" s="9"/>
      <c r="DE23" s="9">
        <v>1</v>
      </c>
      <c r="DI23" s="9"/>
      <c r="DJ23" s="9">
        <v>1</v>
      </c>
      <c r="DK23" s="9"/>
      <c r="DL23" s="9">
        <v>1</v>
      </c>
      <c r="DP23" s="9"/>
      <c r="DQ23" s="9"/>
      <c r="DR23" s="9"/>
      <c r="DS23" s="9"/>
      <c r="DW23" s="9"/>
      <c r="DX23" s="9"/>
      <c r="DY23" s="9"/>
      <c r="DZ23" s="9"/>
      <c r="ED23" s="9"/>
      <c r="EE23" s="9"/>
      <c r="EF23" s="9"/>
      <c r="EG23" s="9"/>
      <c r="EK23" s="9"/>
      <c r="EL23" s="9"/>
      <c r="EM23" s="9"/>
      <c r="EN23" s="9"/>
      <c r="ER23" s="9"/>
      <c r="ES23" s="9"/>
      <c r="ET23" s="9"/>
      <c r="EU23" s="9"/>
      <c r="EY23" s="9"/>
      <c r="EZ23" s="9"/>
      <c r="FA23" s="9"/>
      <c r="FB23" s="9"/>
      <c r="FF23" s="9"/>
      <c r="FG23" s="9"/>
      <c r="FH23" s="9"/>
      <c r="FI23" s="9"/>
    </row>
    <row r="24" spans="2:165" outlineLevel="1" x14ac:dyDescent="0.2">
      <c r="B24" t="s">
        <v>28</v>
      </c>
      <c r="C24" t="s">
        <v>93</v>
      </c>
      <c r="E24" s="8"/>
      <c r="F24" t="s">
        <v>142</v>
      </c>
      <c r="G24" s="9">
        <v>0.09</v>
      </c>
      <c r="I24" s="8">
        <f t="shared" si="3"/>
        <v>0</v>
      </c>
      <c r="J24" s="10" cm="1">
        <f t="array" ref="J24">MAX(IF($N$3:$DM$3=$J$3,N24:DM24))</f>
        <v>0</v>
      </c>
      <c r="K24" s="10" cm="1">
        <f t="array" ref="K24">MAX(IF($N$3:$DM$3=$J$3,N24:DM24))</f>
        <v>0</v>
      </c>
      <c r="L24" s="8"/>
      <c r="O24" s="9"/>
      <c r="P24" s="9"/>
      <c r="Q24" s="9"/>
      <c r="R24" s="9"/>
      <c r="V24" s="9"/>
      <c r="W24" s="9"/>
      <c r="X24" s="9"/>
      <c r="Y24" s="9"/>
      <c r="AC24" s="9"/>
      <c r="AD24" s="9"/>
      <c r="AE24" s="9"/>
      <c r="AF24" s="9"/>
      <c r="AJ24" s="9"/>
      <c r="AK24" s="9"/>
      <c r="AL24" s="9"/>
      <c r="AM24" s="9"/>
      <c r="AQ24" s="9"/>
      <c r="AR24" s="9">
        <v>0.5</v>
      </c>
      <c r="AS24" s="9"/>
      <c r="AT24" s="9">
        <v>0.5</v>
      </c>
      <c r="AX24" s="9"/>
      <c r="AY24" s="9">
        <v>0.5</v>
      </c>
      <c r="AZ24" s="9"/>
      <c r="BA24" s="9">
        <v>0.5</v>
      </c>
      <c r="BE24" s="9"/>
      <c r="BF24" s="9">
        <v>0.5</v>
      </c>
      <c r="BG24" s="9"/>
      <c r="BH24" s="9">
        <v>0.5</v>
      </c>
      <c r="BL24" s="9"/>
      <c r="BM24" s="9">
        <v>0.5</v>
      </c>
      <c r="BN24" s="9"/>
      <c r="BO24" s="9">
        <v>0.5</v>
      </c>
      <c r="BS24" s="9"/>
      <c r="BT24" s="9">
        <v>0.8</v>
      </c>
      <c r="BU24" s="9"/>
      <c r="BV24" s="9">
        <v>0.8</v>
      </c>
      <c r="BZ24" s="9"/>
      <c r="CA24" s="9">
        <v>0.8</v>
      </c>
      <c r="CB24" s="9"/>
      <c r="CC24" s="9">
        <v>0.8</v>
      </c>
      <c r="CG24" s="9"/>
      <c r="CH24" s="9">
        <v>0.8</v>
      </c>
      <c r="CI24" s="9"/>
      <c r="CJ24" s="9">
        <v>0.8</v>
      </c>
      <c r="CN24" s="9"/>
      <c r="CO24" s="9">
        <v>0.8</v>
      </c>
      <c r="CP24" s="9"/>
      <c r="CQ24" s="9">
        <v>0.8</v>
      </c>
      <c r="CU24" s="9"/>
      <c r="CV24" s="9">
        <v>1</v>
      </c>
      <c r="CW24" s="9"/>
      <c r="CX24" s="9">
        <v>1</v>
      </c>
      <c r="DB24" s="9"/>
      <c r="DC24" s="9">
        <v>1</v>
      </c>
      <c r="DD24" s="9"/>
      <c r="DE24" s="9">
        <v>1</v>
      </c>
      <c r="DI24" s="9"/>
      <c r="DJ24" s="9">
        <v>1</v>
      </c>
      <c r="DK24" s="9"/>
      <c r="DL24" s="9">
        <v>1</v>
      </c>
      <c r="DP24" s="9"/>
      <c r="DQ24" s="9"/>
      <c r="DR24" s="9"/>
      <c r="DS24" s="9"/>
      <c r="DW24" s="9"/>
      <c r="DX24" s="9"/>
      <c r="DY24" s="9"/>
      <c r="DZ24" s="9"/>
      <c r="ED24" s="9"/>
      <c r="EE24" s="9"/>
      <c r="EF24" s="9"/>
      <c r="EG24" s="9"/>
      <c r="EK24" s="9"/>
      <c r="EL24" s="9"/>
      <c r="EM24" s="9"/>
      <c r="EN24" s="9"/>
      <c r="ER24" s="9"/>
      <c r="ES24" s="9"/>
      <c r="ET24" s="9"/>
      <c r="EU24" s="9"/>
      <c r="EY24" s="9"/>
      <c r="EZ24" s="9"/>
      <c r="FA24" s="9"/>
      <c r="FB24" s="9"/>
      <c r="FF24" s="9"/>
      <c r="FG24" s="9"/>
      <c r="FH24" s="9"/>
      <c r="FI24" s="9"/>
    </row>
    <row r="25" spans="2:165" outlineLevel="1" x14ac:dyDescent="0.2">
      <c r="B25" t="s">
        <v>28</v>
      </c>
      <c r="C25" t="s">
        <v>93</v>
      </c>
      <c r="E25" s="8"/>
      <c r="F25" t="s">
        <v>143</v>
      </c>
      <c r="G25" s="9">
        <v>0.09</v>
      </c>
      <c r="I25" s="8">
        <f t="shared" si="3"/>
        <v>0</v>
      </c>
      <c r="J25" s="10" cm="1">
        <f t="array" ref="J25">MAX(IF($N$3:$DM$3=$J$3,N25:DM25))</f>
        <v>0</v>
      </c>
      <c r="K25" s="10" cm="1">
        <f t="array" ref="K25">MAX(IF($N$3:$DM$3=$J$3,N25:DM25))</f>
        <v>0</v>
      </c>
      <c r="L25" s="8"/>
      <c r="O25" s="9"/>
      <c r="P25" s="9"/>
      <c r="Q25" s="9"/>
      <c r="R25" s="9"/>
      <c r="V25" s="9"/>
      <c r="W25" s="9"/>
      <c r="X25" s="9"/>
      <c r="Y25" s="9"/>
      <c r="AC25" s="9"/>
      <c r="AD25" s="9"/>
      <c r="AE25" s="9"/>
      <c r="AF25" s="9"/>
      <c r="AJ25" s="9"/>
      <c r="AK25" s="9"/>
      <c r="AL25" s="9"/>
      <c r="AM25" s="9"/>
      <c r="AQ25" s="9"/>
      <c r="AR25" s="9"/>
      <c r="AS25" s="9"/>
      <c r="AT25" s="9"/>
      <c r="AX25" s="9"/>
      <c r="AY25" s="9">
        <v>0.5</v>
      </c>
      <c r="AZ25" s="9"/>
      <c r="BA25" s="9">
        <v>0.5</v>
      </c>
      <c r="BE25" s="9"/>
      <c r="BF25" s="9">
        <v>0.5</v>
      </c>
      <c r="BG25" s="9"/>
      <c r="BH25" s="9">
        <v>0.5</v>
      </c>
      <c r="BL25" s="9"/>
      <c r="BM25" s="9">
        <v>0.5</v>
      </c>
      <c r="BN25" s="9"/>
      <c r="BO25" s="9">
        <v>0.5</v>
      </c>
      <c r="BS25" s="9"/>
      <c r="BT25" s="9">
        <v>0.5</v>
      </c>
      <c r="BU25" s="9"/>
      <c r="BV25" s="9">
        <v>0.5</v>
      </c>
      <c r="BZ25" s="9"/>
      <c r="CA25" s="9">
        <v>0.8</v>
      </c>
      <c r="CB25" s="9"/>
      <c r="CC25" s="9">
        <v>0.8</v>
      </c>
      <c r="CG25" s="9"/>
      <c r="CH25" s="9">
        <v>0.8</v>
      </c>
      <c r="CI25" s="9"/>
      <c r="CJ25" s="9">
        <v>0.8</v>
      </c>
      <c r="CN25" s="9"/>
      <c r="CO25" s="9">
        <v>0.8</v>
      </c>
      <c r="CP25" s="9"/>
      <c r="CQ25" s="9">
        <v>0.8</v>
      </c>
      <c r="CU25" s="9"/>
      <c r="CV25" s="9">
        <v>0.8</v>
      </c>
      <c r="CW25" s="9"/>
      <c r="CX25" s="9">
        <v>0.8</v>
      </c>
      <c r="DB25" s="9"/>
      <c r="DC25" s="9">
        <v>1</v>
      </c>
      <c r="DD25" s="9"/>
      <c r="DE25" s="9">
        <v>1</v>
      </c>
      <c r="DI25" s="9"/>
      <c r="DJ25" s="9">
        <v>1</v>
      </c>
      <c r="DK25" s="9"/>
      <c r="DL25" s="9">
        <v>1</v>
      </c>
      <c r="DP25" s="9"/>
      <c r="DQ25" s="9"/>
      <c r="DR25" s="9"/>
      <c r="DS25" s="9"/>
      <c r="DW25" s="9"/>
      <c r="DX25" s="9"/>
      <c r="DY25" s="9"/>
      <c r="DZ25" s="9"/>
      <c r="ED25" s="9"/>
      <c r="EE25" s="9"/>
      <c r="EF25" s="9"/>
      <c r="EG25" s="9"/>
      <c r="EK25" s="9"/>
      <c r="EL25" s="9"/>
      <c r="EM25" s="9"/>
      <c r="EN25" s="9"/>
      <c r="ER25" s="9"/>
      <c r="ES25" s="9"/>
      <c r="ET25" s="9"/>
      <c r="EU25" s="9"/>
      <c r="EY25" s="9"/>
      <c r="EZ25" s="9"/>
      <c r="FA25" s="9"/>
      <c r="FB25" s="9"/>
      <c r="FF25" s="9"/>
      <c r="FG25" s="9"/>
      <c r="FH25" s="9"/>
      <c r="FI25" s="9"/>
    </row>
    <row r="26" spans="2:165" outlineLevel="1" x14ac:dyDescent="0.2">
      <c r="B26" t="s">
        <v>28</v>
      </c>
      <c r="C26" t="s">
        <v>93</v>
      </c>
      <c r="E26" s="8"/>
      <c r="F26" t="s">
        <v>144</v>
      </c>
      <c r="G26" s="9">
        <v>0.09</v>
      </c>
      <c r="I26" s="8">
        <f t="shared" si="3"/>
        <v>0</v>
      </c>
      <c r="J26" s="10" cm="1">
        <f t="array" ref="J26">MAX(IF($N$3:$DM$3=$J$3,N26:DM26))</f>
        <v>0</v>
      </c>
      <c r="K26" s="10" cm="1">
        <f t="array" ref="K26">MAX(IF($N$3:$DM$3=$J$3,N26:DM26))</f>
        <v>0</v>
      </c>
      <c r="L26" s="8"/>
      <c r="O26" s="9"/>
      <c r="P26" s="9"/>
      <c r="Q26" s="9"/>
      <c r="R26" s="9"/>
      <c r="V26" s="9"/>
      <c r="W26" s="9"/>
      <c r="X26" s="9"/>
      <c r="Y26" s="9"/>
      <c r="AC26" s="9"/>
      <c r="AD26" s="9"/>
      <c r="AE26" s="9"/>
      <c r="AF26" s="9"/>
      <c r="AJ26" s="9"/>
      <c r="AK26" s="9"/>
      <c r="AL26" s="9"/>
      <c r="AM26" s="9"/>
      <c r="AQ26" s="9"/>
      <c r="AR26" s="9"/>
      <c r="AS26" s="9"/>
      <c r="AT26" s="9"/>
      <c r="AX26" s="9"/>
      <c r="AY26" s="9">
        <v>0.5</v>
      </c>
      <c r="AZ26" s="9"/>
      <c r="BA26" s="9">
        <v>0.5</v>
      </c>
      <c r="BE26" s="9"/>
      <c r="BF26" s="9">
        <v>0.5</v>
      </c>
      <c r="BG26" s="9"/>
      <c r="BH26" s="9">
        <v>0.5</v>
      </c>
      <c r="BL26" s="9"/>
      <c r="BM26" s="9">
        <v>0.5</v>
      </c>
      <c r="BN26" s="9"/>
      <c r="BO26" s="9">
        <v>0.5</v>
      </c>
      <c r="BS26" s="9"/>
      <c r="BT26" s="9">
        <v>0.5</v>
      </c>
      <c r="BU26" s="9"/>
      <c r="BV26" s="9">
        <v>0.5</v>
      </c>
      <c r="BZ26" s="9"/>
      <c r="CA26" s="9">
        <v>0.5</v>
      </c>
      <c r="CB26" s="9"/>
      <c r="CC26" s="9">
        <v>0.5</v>
      </c>
      <c r="CG26" s="9"/>
      <c r="CH26" s="9">
        <v>0.8</v>
      </c>
      <c r="CI26" s="9"/>
      <c r="CJ26" s="9">
        <v>0.8</v>
      </c>
      <c r="CN26" s="9"/>
      <c r="CO26" s="9">
        <v>0.8</v>
      </c>
      <c r="CP26" s="9"/>
      <c r="CQ26" s="9">
        <v>0.8</v>
      </c>
      <c r="CU26" s="9"/>
      <c r="CV26" s="9">
        <v>0.8</v>
      </c>
      <c r="CW26" s="9"/>
      <c r="CX26" s="9">
        <v>0.8</v>
      </c>
      <c r="DB26" s="9"/>
      <c r="DC26" s="9">
        <v>1</v>
      </c>
      <c r="DD26" s="9"/>
      <c r="DE26" s="9">
        <v>1</v>
      </c>
      <c r="DI26" s="9"/>
      <c r="DJ26" s="9">
        <v>1</v>
      </c>
      <c r="DK26" s="9"/>
      <c r="DL26" s="9">
        <v>1</v>
      </c>
      <c r="DP26" s="9"/>
      <c r="DQ26" s="9"/>
      <c r="DR26" s="9"/>
      <c r="DS26" s="9"/>
      <c r="DW26" s="9"/>
      <c r="DX26" s="9"/>
      <c r="DY26" s="9"/>
      <c r="DZ26" s="9"/>
      <c r="ED26" s="9"/>
      <c r="EE26" s="9"/>
      <c r="EF26" s="9"/>
      <c r="EG26" s="9"/>
      <c r="EK26" s="9"/>
      <c r="EL26" s="9"/>
      <c r="EM26" s="9"/>
      <c r="EN26" s="9"/>
      <c r="ER26" s="9"/>
      <c r="ES26" s="9"/>
      <c r="ET26" s="9"/>
      <c r="EU26" s="9"/>
      <c r="EY26" s="9"/>
      <c r="EZ26" s="9"/>
      <c r="FA26" s="9"/>
      <c r="FB26" s="9"/>
      <c r="FF26" s="9"/>
      <c r="FG26" s="9"/>
      <c r="FH26" s="9"/>
      <c r="FI26" s="9"/>
    </row>
    <row r="27" spans="2:165" outlineLevel="1" x14ac:dyDescent="0.2">
      <c r="B27" t="s">
        <v>28</v>
      </c>
      <c r="C27" t="s">
        <v>93</v>
      </c>
      <c r="E27" s="8"/>
      <c r="F27" t="s">
        <v>145</v>
      </c>
      <c r="G27" s="9">
        <v>0.09</v>
      </c>
      <c r="I27" s="8">
        <f t="shared" si="3"/>
        <v>0</v>
      </c>
      <c r="J27" s="10" cm="1">
        <f t="array" ref="J27">MAX(IF($N$3:$DM$3=$J$3,N27:DM27))</f>
        <v>0</v>
      </c>
      <c r="K27" s="10" cm="1">
        <f t="array" ref="K27">MAX(IF($N$3:$DM$3=$J$3,N27:DM27))</f>
        <v>0</v>
      </c>
      <c r="L27" s="8"/>
      <c r="O27" s="9"/>
      <c r="P27" s="9"/>
      <c r="Q27" s="9"/>
      <c r="R27" s="9"/>
      <c r="V27" s="9"/>
      <c r="W27" s="9"/>
      <c r="X27" s="9"/>
      <c r="Y27" s="9"/>
      <c r="AC27" s="9"/>
      <c r="AD27" s="9"/>
      <c r="AE27" s="9"/>
      <c r="AF27" s="9"/>
      <c r="AJ27" s="9"/>
      <c r="AK27" s="9"/>
      <c r="AL27" s="9"/>
      <c r="AM27" s="9"/>
      <c r="AQ27" s="9"/>
      <c r="AR27" s="9"/>
      <c r="AS27" s="9"/>
      <c r="AT27" s="9"/>
      <c r="AX27" s="9"/>
      <c r="AY27" s="9"/>
      <c r="AZ27" s="9"/>
      <c r="BA27" s="9"/>
      <c r="BE27" s="9"/>
      <c r="BF27" s="9">
        <v>0.5</v>
      </c>
      <c r="BG27" s="9"/>
      <c r="BH27" s="9">
        <v>0.5</v>
      </c>
      <c r="BL27" s="9"/>
      <c r="BM27" s="9">
        <v>0.5</v>
      </c>
      <c r="BN27" s="9"/>
      <c r="BO27" s="9">
        <v>0.5</v>
      </c>
      <c r="BS27" s="9"/>
      <c r="BT27" s="9">
        <v>0.5</v>
      </c>
      <c r="BU27" s="9"/>
      <c r="BV27" s="9">
        <v>0.5</v>
      </c>
      <c r="BZ27" s="9"/>
      <c r="CA27" s="9">
        <v>0.5</v>
      </c>
      <c r="CB27" s="9"/>
      <c r="CC27" s="9">
        <v>0.5</v>
      </c>
      <c r="CG27" s="9"/>
      <c r="CH27" s="9">
        <v>0.5</v>
      </c>
      <c r="CI27" s="9"/>
      <c r="CJ27" s="9">
        <v>0.5</v>
      </c>
      <c r="CN27" s="9"/>
      <c r="CO27" s="9">
        <v>0.8</v>
      </c>
      <c r="CP27" s="9"/>
      <c r="CQ27" s="9">
        <v>0.8</v>
      </c>
      <c r="CU27" s="9"/>
      <c r="CV27" s="9">
        <v>0.8</v>
      </c>
      <c r="CW27" s="9"/>
      <c r="CX27" s="9">
        <v>0.8</v>
      </c>
      <c r="DB27" s="9"/>
      <c r="DC27" s="9">
        <v>0.8</v>
      </c>
      <c r="DD27" s="9"/>
      <c r="DE27" s="9">
        <v>0.8</v>
      </c>
      <c r="DI27" s="9"/>
      <c r="DJ27" s="9">
        <v>1</v>
      </c>
      <c r="DK27" s="9"/>
      <c r="DL27" s="9">
        <v>1</v>
      </c>
      <c r="DP27" s="9"/>
      <c r="DQ27" s="9"/>
      <c r="DR27" s="9"/>
      <c r="DS27" s="9"/>
      <c r="DW27" s="9"/>
      <c r="DX27" s="9"/>
      <c r="DY27" s="9"/>
      <c r="DZ27" s="9"/>
      <c r="ED27" s="9"/>
      <c r="EE27" s="9"/>
      <c r="EF27" s="9"/>
      <c r="EG27" s="9"/>
      <c r="EK27" s="9"/>
      <c r="EL27" s="9"/>
      <c r="EM27" s="9"/>
      <c r="EN27" s="9"/>
      <c r="ER27" s="9"/>
      <c r="ES27" s="9"/>
      <c r="ET27" s="9"/>
      <c r="EU27" s="9"/>
      <c r="EY27" s="9"/>
      <c r="EZ27" s="9"/>
      <c r="FA27" s="9"/>
      <c r="FB27" s="9"/>
      <c r="FF27" s="9"/>
      <c r="FG27" s="9"/>
      <c r="FH27" s="9"/>
      <c r="FI27" s="9"/>
    </row>
    <row r="28" spans="2:165" outlineLevel="1" x14ac:dyDescent="0.2">
      <c r="B28" t="s">
        <v>28</v>
      </c>
      <c r="C28" t="s">
        <v>93</v>
      </c>
      <c r="E28" s="8"/>
      <c r="F28" t="s">
        <v>146</v>
      </c>
      <c r="G28" s="9">
        <v>0.09</v>
      </c>
      <c r="I28" s="8">
        <f t="shared" si="3"/>
        <v>0</v>
      </c>
      <c r="J28" s="10" cm="1">
        <f t="array" ref="J28">MAX(IF($N$3:$DM$3=$J$3,N28:DM28))</f>
        <v>0</v>
      </c>
      <c r="K28" s="10" cm="1">
        <f t="array" ref="K28">MAX(IF($N$3:$DM$3=$J$3,N28:DM28))</f>
        <v>0</v>
      </c>
      <c r="L28" s="8"/>
      <c r="O28" s="9"/>
      <c r="P28" s="9"/>
      <c r="Q28" s="9"/>
      <c r="R28" s="9"/>
      <c r="V28" s="9"/>
      <c r="W28" s="9"/>
      <c r="X28" s="9"/>
      <c r="Y28" s="9"/>
      <c r="AC28" s="9"/>
      <c r="AD28" s="9"/>
      <c r="AE28" s="9"/>
      <c r="AF28" s="9"/>
      <c r="AJ28" s="9"/>
      <c r="AK28" s="9"/>
      <c r="AL28" s="9"/>
      <c r="AM28" s="9"/>
      <c r="AQ28" s="9"/>
      <c r="AR28" s="9"/>
      <c r="AS28" s="9"/>
      <c r="AT28" s="9"/>
      <c r="AX28" s="9"/>
      <c r="AY28" s="9"/>
      <c r="AZ28" s="9"/>
      <c r="BA28" s="9"/>
      <c r="BE28" s="9"/>
      <c r="BF28" s="9"/>
      <c r="BG28" s="9"/>
      <c r="BH28" s="9"/>
      <c r="BL28" s="9"/>
      <c r="BM28" s="9">
        <v>0.5</v>
      </c>
      <c r="BN28" s="9"/>
      <c r="BO28" s="9">
        <v>0.5</v>
      </c>
      <c r="BS28" s="9"/>
      <c r="BT28" s="9">
        <v>0.5</v>
      </c>
      <c r="BU28" s="9"/>
      <c r="BV28" s="9">
        <v>0.5</v>
      </c>
      <c r="BZ28" s="9"/>
      <c r="CA28" s="9">
        <v>0.5</v>
      </c>
      <c r="CB28" s="9"/>
      <c r="CC28" s="9">
        <v>0.5</v>
      </c>
      <c r="CG28" s="9"/>
      <c r="CH28" s="9">
        <v>0.5</v>
      </c>
      <c r="CI28" s="9"/>
      <c r="CJ28" s="9">
        <v>0.5</v>
      </c>
      <c r="CN28" s="9"/>
      <c r="CO28" s="9">
        <v>0.5</v>
      </c>
      <c r="CP28" s="9"/>
      <c r="CQ28" s="9">
        <v>0.5</v>
      </c>
      <c r="CU28" s="9"/>
      <c r="CV28" s="9">
        <v>0.8</v>
      </c>
      <c r="CW28" s="9"/>
      <c r="CX28" s="9">
        <v>0.8</v>
      </c>
      <c r="DB28" s="9"/>
      <c r="DC28" s="9">
        <v>0.8</v>
      </c>
      <c r="DD28" s="9"/>
      <c r="DE28" s="9">
        <v>0.8</v>
      </c>
      <c r="DI28" s="9"/>
      <c r="DJ28" s="9">
        <v>1</v>
      </c>
      <c r="DK28" s="9"/>
      <c r="DL28" s="9">
        <v>1</v>
      </c>
      <c r="DP28" s="9"/>
      <c r="DQ28" s="9"/>
      <c r="DR28" s="9"/>
      <c r="DS28" s="9"/>
      <c r="DW28" s="9"/>
      <c r="DX28" s="9"/>
      <c r="DY28" s="9"/>
      <c r="DZ28" s="9"/>
      <c r="ED28" s="9"/>
      <c r="EE28" s="9"/>
      <c r="EF28" s="9"/>
      <c r="EG28" s="9"/>
      <c r="EK28" s="9"/>
      <c r="EL28" s="9"/>
      <c r="EM28" s="9"/>
      <c r="EN28" s="9"/>
      <c r="ER28" s="9"/>
      <c r="ES28" s="9"/>
      <c r="ET28" s="9"/>
      <c r="EU28" s="9"/>
      <c r="EY28" s="9"/>
      <c r="EZ28" s="9"/>
      <c r="FA28" s="9"/>
      <c r="FB28" s="9"/>
      <c r="FF28" s="9"/>
      <c r="FG28" s="9"/>
      <c r="FH28" s="9"/>
      <c r="FI28" s="9"/>
    </row>
    <row r="30" spans="2:165" s="17" customFormat="1" x14ac:dyDescent="0.2">
      <c r="B30" s="17" t="s">
        <v>27</v>
      </c>
      <c r="C30" s="17" t="s">
        <v>92</v>
      </c>
      <c r="D30" s="18">
        <v>45337</v>
      </c>
      <c r="E30" s="19">
        <v>5</v>
      </c>
      <c r="G30" s="20">
        <f>+SUM(G31:G39)</f>
        <v>1</v>
      </c>
      <c r="I30" s="21">
        <f>+SUM(I31:I39)</f>
        <v>3</v>
      </c>
      <c r="J30" s="22">
        <f>+SUMPRODUCT(G31:G39,J31:J39)</f>
        <v>2.5000000000000001E-2</v>
      </c>
      <c r="K30" s="22">
        <f>+SUMPRODUCT(G31:G39,K31:K39)</f>
        <v>2.5000000000000001E-2</v>
      </c>
      <c r="L30" s="19"/>
      <c r="N30" s="21">
        <f>+SUM(N31:N39)</f>
        <v>3</v>
      </c>
      <c r="U30" s="21">
        <f>+SUM(U31:U39)</f>
        <v>0</v>
      </c>
      <c r="AB30" s="21">
        <f>+SUM(AB31:AB39)</f>
        <v>0</v>
      </c>
      <c r="AI30" s="21">
        <f>+SUM(AI31:AI39)</f>
        <v>0</v>
      </c>
      <c r="AP30" s="21">
        <f>+SUM(AP31:AP39)</f>
        <v>0</v>
      </c>
      <c r="AW30" s="21">
        <f>+SUM(AW31:AW39)</f>
        <v>0</v>
      </c>
      <c r="BD30" s="21">
        <f>+SUM(BD31:BD39)</f>
        <v>0</v>
      </c>
      <c r="BK30" s="21">
        <f>+SUM(BK31:BK39)</f>
        <v>0</v>
      </c>
      <c r="BR30" s="21">
        <f>+SUM(BR31:BR39)</f>
        <v>0</v>
      </c>
      <c r="BY30" s="21">
        <f>+SUM(BY31:BY39)</f>
        <v>0</v>
      </c>
      <c r="CF30" s="21">
        <f>+SUM(CF31:CF39)</f>
        <v>0</v>
      </c>
      <c r="CM30" s="21">
        <f>+SUM(CM31:CM39)</f>
        <v>0</v>
      </c>
      <c r="CT30" s="21">
        <f>+SUM(CT31:CT39)</f>
        <v>0</v>
      </c>
      <c r="DA30" s="21">
        <f>+SUM(DA31:DA39)</f>
        <v>0</v>
      </c>
      <c r="DH30" s="21">
        <f>+SUM(DH31:DH39)</f>
        <v>0</v>
      </c>
    </row>
    <row r="31" spans="2:165" outlineLevel="1" x14ac:dyDescent="0.2">
      <c r="B31" t="s">
        <v>28</v>
      </c>
      <c r="C31" t="s">
        <v>92</v>
      </c>
      <c r="E31" s="8"/>
      <c r="F31" t="s">
        <v>109</v>
      </c>
      <c r="G31" s="9">
        <v>0.05</v>
      </c>
      <c r="I31" s="8">
        <f t="shared" ref="I31:I39" si="4">+SUMIF($N$3:$YX$3,I$3,$N31:$YX31)</f>
        <v>3</v>
      </c>
      <c r="J31" s="10" cm="1">
        <f t="array" ref="J31">MAX(IF($N$3:$DM$3=$J$3,N31:DM31))</f>
        <v>0.5</v>
      </c>
      <c r="K31" s="10" cm="1">
        <f t="array" ref="K31">MAX(IF($N$3:$DM$3=$J$3,N31:DM31))</f>
        <v>0.5</v>
      </c>
      <c r="L31" s="8"/>
      <c r="N31">
        <v>3</v>
      </c>
      <c r="O31" s="9">
        <v>0.5</v>
      </c>
      <c r="P31" s="9">
        <v>0.5</v>
      </c>
      <c r="Q31" s="9">
        <v>0.5</v>
      </c>
      <c r="R31" s="9">
        <v>0.5</v>
      </c>
      <c r="V31" s="9"/>
      <c r="W31" s="9">
        <v>0.5</v>
      </c>
      <c r="X31" s="9"/>
      <c r="Y31" s="9">
        <v>0.5</v>
      </c>
      <c r="AC31" s="9"/>
      <c r="AD31" s="9">
        <v>0.5</v>
      </c>
      <c r="AE31" s="9"/>
      <c r="AF31" s="9">
        <v>0.5</v>
      </c>
      <c r="AJ31" s="9"/>
      <c r="AK31" s="9">
        <v>0.8</v>
      </c>
      <c r="AL31" s="9"/>
      <c r="AM31" s="9">
        <v>0.8</v>
      </c>
      <c r="AQ31" s="9"/>
      <c r="AR31" s="9">
        <v>0.8</v>
      </c>
      <c r="AS31" s="9"/>
      <c r="AT31" s="9">
        <v>0.8</v>
      </c>
      <c r="AX31" s="9"/>
      <c r="AY31" s="9">
        <v>0.8</v>
      </c>
      <c r="AZ31" s="9"/>
      <c r="BA31" s="9">
        <v>0.8</v>
      </c>
      <c r="BE31" s="9"/>
      <c r="BF31" s="9">
        <v>0.8</v>
      </c>
      <c r="BG31" s="9"/>
      <c r="BH31" s="9">
        <v>0.8</v>
      </c>
      <c r="BL31" s="9"/>
      <c r="BM31" s="9">
        <v>0.8</v>
      </c>
      <c r="BN31" s="9"/>
      <c r="BO31" s="9">
        <v>0.8</v>
      </c>
      <c r="BS31" s="9"/>
      <c r="BT31" s="9">
        <v>1</v>
      </c>
      <c r="BU31" s="9"/>
      <c r="BV31" s="9">
        <v>1</v>
      </c>
      <c r="BZ31" s="9"/>
      <c r="CA31" s="9">
        <v>1</v>
      </c>
      <c r="CB31" s="9"/>
      <c r="CC31" s="9">
        <v>1</v>
      </c>
      <c r="CG31" s="9"/>
      <c r="CH31" s="9">
        <v>1</v>
      </c>
      <c r="CI31" s="9"/>
      <c r="CJ31" s="9">
        <v>1</v>
      </c>
      <c r="CN31" s="9"/>
      <c r="CO31" s="9">
        <v>1</v>
      </c>
      <c r="CP31" s="9"/>
      <c r="CQ31" s="9">
        <v>1</v>
      </c>
      <c r="CU31" s="9"/>
      <c r="CV31" s="9">
        <v>1</v>
      </c>
      <c r="CW31" s="9"/>
      <c r="CX31" s="9">
        <v>1</v>
      </c>
      <c r="DB31" s="9"/>
      <c r="DC31" s="9">
        <v>1</v>
      </c>
      <c r="DD31" s="9"/>
      <c r="DE31" s="9">
        <v>1</v>
      </c>
      <c r="DI31" s="9"/>
      <c r="DJ31" s="9">
        <v>1</v>
      </c>
      <c r="DK31" s="9"/>
      <c r="DL31" s="9">
        <v>1</v>
      </c>
      <c r="DP31" s="9"/>
      <c r="DQ31" s="9"/>
      <c r="DR31" s="9"/>
      <c r="DS31" s="9"/>
      <c r="DW31" s="9"/>
      <c r="DX31" s="9"/>
      <c r="DY31" s="9"/>
      <c r="DZ31" s="9"/>
      <c r="ED31" s="9"/>
      <c r="EE31" s="9"/>
      <c r="EF31" s="9"/>
      <c r="EG31" s="9"/>
      <c r="EK31" s="9"/>
      <c r="EL31" s="9"/>
      <c r="EM31" s="9"/>
      <c r="EN31" s="9"/>
      <c r="ER31" s="9"/>
      <c r="ES31" s="9"/>
      <c r="ET31" s="9"/>
      <c r="EU31" s="9"/>
      <c r="EY31" s="9"/>
      <c r="EZ31" s="9"/>
      <c r="FA31" s="9"/>
      <c r="FB31" s="9"/>
      <c r="FF31" s="9"/>
      <c r="FG31" s="9"/>
      <c r="FH31" s="9"/>
      <c r="FI31" s="9"/>
    </row>
    <row r="32" spans="2:165" outlineLevel="1" x14ac:dyDescent="0.2">
      <c r="B32" t="s">
        <v>28</v>
      </c>
      <c r="C32" t="s">
        <v>92</v>
      </c>
      <c r="E32" s="8"/>
      <c r="F32" t="s">
        <v>148</v>
      </c>
      <c r="G32" s="9">
        <v>0.05</v>
      </c>
      <c r="I32" s="8">
        <f t="shared" si="4"/>
        <v>0</v>
      </c>
      <c r="J32" s="10" cm="1">
        <f t="array" ref="J32">MAX(IF($N$3:$DM$3=$J$3,N32:DM32))</f>
        <v>0</v>
      </c>
      <c r="K32" s="10" cm="1">
        <f t="array" ref="K32">MAX(IF($N$3:$DM$3=$J$3,N32:DM32))</f>
        <v>0</v>
      </c>
      <c r="L32" s="8"/>
      <c r="O32" s="9"/>
      <c r="P32" s="9"/>
      <c r="Q32" s="9"/>
      <c r="R32" s="9"/>
      <c r="V32" s="9"/>
      <c r="W32" s="9">
        <v>0.5</v>
      </c>
      <c r="X32" s="9"/>
      <c r="Y32" s="9">
        <v>0.5</v>
      </c>
      <c r="AC32" s="9"/>
      <c r="AD32" s="9">
        <v>0.5</v>
      </c>
      <c r="AE32" s="9"/>
      <c r="AF32" s="9">
        <v>0.5</v>
      </c>
      <c r="AJ32" s="9"/>
      <c r="AK32" s="9">
        <v>0.5</v>
      </c>
      <c r="AL32" s="9"/>
      <c r="AM32" s="9">
        <v>0.5</v>
      </c>
      <c r="AQ32" s="9"/>
      <c r="AR32" s="9">
        <v>0.8</v>
      </c>
      <c r="AS32" s="9"/>
      <c r="AT32" s="9">
        <v>0.8</v>
      </c>
      <c r="AX32" s="9"/>
      <c r="AY32" s="9">
        <v>0.8</v>
      </c>
      <c r="AZ32" s="9"/>
      <c r="BA32" s="9">
        <v>0.8</v>
      </c>
      <c r="BE32" s="9"/>
      <c r="BF32" s="9">
        <v>0.8</v>
      </c>
      <c r="BG32" s="9"/>
      <c r="BH32" s="9">
        <v>0.8</v>
      </c>
      <c r="BL32" s="9"/>
      <c r="BM32" s="9">
        <v>0.8</v>
      </c>
      <c r="BN32" s="9"/>
      <c r="BO32" s="9">
        <v>0.8</v>
      </c>
      <c r="BS32" s="9"/>
      <c r="BT32" s="9">
        <v>0.8</v>
      </c>
      <c r="BU32" s="9"/>
      <c r="BV32" s="9">
        <v>0.8</v>
      </c>
      <c r="BZ32" s="9"/>
      <c r="CA32" s="9">
        <v>1</v>
      </c>
      <c r="CB32" s="9"/>
      <c r="CC32" s="9">
        <v>1</v>
      </c>
      <c r="CG32" s="9"/>
      <c r="CH32" s="9">
        <v>1</v>
      </c>
      <c r="CI32" s="9"/>
      <c r="CJ32" s="9">
        <v>1</v>
      </c>
      <c r="CN32" s="9"/>
      <c r="CO32" s="9">
        <v>1</v>
      </c>
      <c r="CP32" s="9"/>
      <c r="CQ32" s="9">
        <v>1</v>
      </c>
      <c r="CU32" s="9"/>
      <c r="CV32" s="9">
        <v>1</v>
      </c>
      <c r="CW32" s="9"/>
      <c r="CX32" s="9">
        <v>1</v>
      </c>
      <c r="DB32" s="9"/>
      <c r="DC32" s="9">
        <v>1</v>
      </c>
      <c r="DD32" s="9"/>
      <c r="DE32" s="9">
        <v>1</v>
      </c>
      <c r="DI32" s="9"/>
      <c r="DJ32" s="9">
        <v>1</v>
      </c>
      <c r="DK32" s="9"/>
      <c r="DL32" s="9">
        <v>1</v>
      </c>
      <c r="DP32" s="9"/>
      <c r="DQ32" s="9"/>
      <c r="DR32" s="9"/>
      <c r="DS32" s="9"/>
      <c r="DW32" s="9"/>
      <c r="DX32" s="9"/>
      <c r="DY32" s="9"/>
      <c r="DZ32" s="9"/>
      <c r="ED32" s="9"/>
      <c r="EE32" s="9"/>
      <c r="EF32" s="9"/>
      <c r="EG32" s="9"/>
      <c r="EK32" s="9"/>
      <c r="EL32" s="9"/>
      <c r="EM32" s="9"/>
      <c r="EN32" s="9"/>
      <c r="ER32" s="9"/>
      <c r="ES32" s="9"/>
      <c r="ET32" s="9"/>
      <c r="EU32" s="9"/>
      <c r="EY32" s="9"/>
      <c r="EZ32" s="9"/>
      <c r="FA32" s="9"/>
      <c r="FB32" s="9"/>
      <c r="FF32" s="9"/>
      <c r="FG32" s="9"/>
      <c r="FH32" s="9"/>
      <c r="FI32" s="9"/>
    </row>
    <row r="33" spans="2:165" outlineLevel="1" x14ac:dyDescent="0.2">
      <c r="B33" t="s">
        <v>28</v>
      </c>
      <c r="C33" t="s">
        <v>92</v>
      </c>
      <c r="E33" s="8"/>
      <c r="F33" t="s">
        <v>149</v>
      </c>
      <c r="G33" s="9">
        <v>0.15</v>
      </c>
      <c r="I33" s="8">
        <f t="shared" si="4"/>
        <v>0</v>
      </c>
      <c r="J33" s="10" cm="1">
        <f t="array" ref="J33">MAX(IF($N$3:$DM$3=$J$3,N33:DM33))</f>
        <v>0</v>
      </c>
      <c r="K33" s="10" cm="1">
        <f t="array" ref="K33">MAX(IF($N$3:$DM$3=$J$3,N33:DM33))</f>
        <v>0</v>
      </c>
      <c r="L33" s="8"/>
      <c r="O33" s="9"/>
      <c r="P33" s="9"/>
      <c r="Q33" s="9"/>
      <c r="R33" s="9"/>
      <c r="V33" s="9"/>
      <c r="W33" s="9"/>
      <c r="X33" s="9"/>
      <c r="Y33" s="9"/>
      <c r="AC33" s="9"/>
      <c r="AD33" s="9">
        <v>0.5</v>
      </c>
      <c r="AE33" s="9"/>
      <c r="AF33" s="9">
        <v>0.5</v>
      </c>
      <c r="AJ33" s="9"/>
      <c r="AK33" s="9">
        <v>0.5</v>
      </c>
      <c r="AL33" s="9"/>
      <c r="AM33" s="9">
        <v>0.5</v>
      </c>
      <c r="AQ33" s="9"/>
      <c r="AR33" s="9">
        <v>0.5</v>
      </c>
      <c r="AS33" s="9"/>
      <c r="AT33" s="9">
        <v>0.5</v>
      </c>
      <c r="AX33" s="9"/>
      <c r="AY33" s="9">
        <v>0.8</v>
      </c>
      <c r="AZ33" s="9"/>
      <c r="BA33" s="9">
        <v>0.8</v>
      </c>
      <c r="BE33" s="9"/>
      <c r="BF33" s="9">
        <v>0.8</v>
      </c>
      <c r="BG33" s="9"/>
      <c r="BH33" s="9">
        <v>0.8</v>
      </c>
      <c r="BL33" s="9"/>
      <c r="BM33" s="9">
        <v>0.8</v>
      </c>
      <c r="BN33" s="9"/>
      <c r="BO33" s="9">
        <v>0.8</v>
      </c>
      <c r="BS33" s="9"/>
      <c r="BT33" s="9">
        <v>0.8</v>
      </c>
      <c r="BU33" s="9"/>
      <c r="BV33" s="9">
        <v>0.8</v>
      </c>
      <c r="BZ33" s="9"/>
      <c r="CA33" s="9">
        <v>0.8</v>
      </c>
      <c r="CB33" s="9"/>
      <c r="CC33" s="9">
        <v>0.8</v>
      </c>
      <c r="CG33" s="9"/>
      <c r="CH33" s="9">
        <v>1</v>
      </c>
      <c r="CI33" s="9"/>
      <c r="CJ33" s="9">
        <v>1</v>
      </c>
      <c r="CN33" s="9"/>
      <c r="CO33" s="9">
        <v>1</v>
      </c>
      <c r="CP33" s="9"/>
      <c r="CQ33" s="9">
        <v>1</v>
      </c>
      <c r="CU33" s="9"/>
      <c r="CV33" s="9">
        <v>1</v>
      </c>
      <c r="CW33" s="9"/>
      <c r="CX33" s="9">
        <v>1</v>
      </c>
      <c r="DB33" s="9"/>
      <c r="DC33" s="9">
        <v>1</v>
      </c>
      <c r="DD33" s="9"/>
      <c r="DE33" s="9">
        <v>1</v>
      </c>
      <c r="DI33" s="9"/>
      <c r="DJ33" s="9">
        <v>1</v>
      </c>
      <c r="DK33" s="9"/>
      <c r="DL33" s="9">
        <v>1</v>
      </c>
      <c r="DP33" s="9"/>
      <c r="DQ33" s="9"/>
      <c r="DR33" s="9"/>
      <c r="DS33" s="9"/>
      <c r="DW33" s="9"/>
      <c r="DX33" s="9"/>
      <c r="DY33" s="9"/>
      <c r="DZ33" s="9"/>
      <c r="ED33" s="9"/>
      <c r="EE33" s="9"/>
      <c r="EF33" s="9"/>
      <c r="EG33" s="9"/>
      <c r="EK33" s="9"/>
      <c r="EL33" s="9"/>
      <c r="EM33" s="9"/>
      <c r="EN33" s="9"/>
      <c r="ER33" s="9"/>
      <c r="ES33" s="9"/>
      <c r="ET33" s="9"/>
      <c r="EU33" s="9"/>
      <c r="EY33" s="9"/>
      <c r="EZ33" s="9"/>
      <c r="FA33" s="9"/>
      <c r="FB33" s="9"/>
      <c r="FF33" s="9"/>
      <c r="FG33" s="9"/>
      <c r="FH33" s="9"/>
      <c r="FI33" s="9"/>
    </row>
    <row r="34" spans="2:165" outlineLevel="1" x14ac:dyDescent="0.2">
      <c r="B34" t="s">
        <v>28</v>
      </c>
      <c r="C34" t="s">
        <v>92</v>
      </c>
      <c r="E34" s="8"/>
      <c r="F34" t="s">
        <v>150</v>
      </c>
      <c r="G34" s="9">
        <v>0.05</v>
      </c>
      <c r="I34" s="8">
        <f t="shared" si="4"/>
        <v>0</v>
      </c>
      <c r="J34" s="10" cm="1">
        <f t="array" ref="J34">MAX(IF($N$3:$DM$3=$J$3,N34:DM34))</f>
        <v>0</v>
      </c>
      <c r="K34" s="10" cm="1">
        <f t="array" ref="K34">MAX(IF($N$3:$DM$3=$J$3,N34:DM34))</f>
        <v>0</v>
      </c>
      <c r="L34" s="8"/>
      <c r="O34" s="9"/>
      <c r="P34" s="9"/>
      <c r="Q34" s="9"/>
      <c r="R34" s="9"/>
      <c r="V34" s="9"/>
      <c r="W34" s="9"/>
      <c r="X34" s="9"/>
      <c r="Y34" s="9"/>
      <c r="AC34" s="9"/>
      <c r="AD34" s="9">
        <v>0.5</v>
      </c>
      <c r="AE34" s="9"/>
      <c r="AF34" s="9">
        <v>0.5</v>
      </c>
      <c r="AJ34" s="9"/>
      <c r="AK34" s="9">
        <v>0.5</v>
      </c>
      <c r="AL34" s="9"/>
      <c r="AM34" s="9">
        <v>0.5</v>
      </c>
      <c r="AQ34" s="9"/>
      <c r="AR34" s="9">
        <v>0.5</v>
      </c>
      <c r="AS34" s="9"/>
      <c r="AT34" s="9">
        <v>0.5</v>
      </c>
      <c r="AX34" s="9"/>
      <c r="AY34" s="9">
        <v>0.5</v>
      </c>
      <c r="AZ34" s="9"/>
      <c r="BA34" s="9">
        <v>0.5</v>
      </c>
      <c r="BE34" s="9"/>
      <c r="BF34" s="9">
        <v>0.8</v>
      </c>
      <c r="BG34" s="9"/>
      <c r="BH34" s="9">
        <v>0.8</v>
      </c>
      <c r="BL34" s="9"/>
      <c r="BM34" s="9">
        <v>0.8</v>
      </c>
      <c r="BN34" s="9"/>
      <c r="BO34" s="9">
        <v>0.8</v>
      </c>
      <c r="BS34" s="9"/>
      <c r="BT34" s="9">
        <v>0.8</v>
      </c>
      <c r="BU34" s="9"/>
      <c r="BV34" s="9">
        <v>0.8</v>
      </c>
      <c r="BZ34" s="9"/>
      <c r="CA34" s="9">
        <v>0.8</v>
      </c>
      <c r="CB34" s="9"/>
      <c r="CC34" s="9">
        <v>0.8</v>
      </c>
      <c r="CG34" s="9"/>
      <c r="CH34" s="9">
        <v>0.8</v>
      </c>
      <c r="CI34" s="9"/>
      <c r="CJ34" s="9">
        <v>0.8</v>
      </c>
      <c r="CN34" s="9"/>
      <c r="CO34" s="9">
        <v>1</v>
      </c>
      <c r="CP34" s="9"/>
      <c r="CQ34" s="9">
        <v>1</v>
      </c>
      <c r="CU34" s="9"/>
      <c r="CV34" s="9">
        <v>1</v>
      </c>
      <c r="CW34" s="9"/>
      <c r="CX34" s="9">
        <v>1</v>
      </c>
      <c r="DB34" s="9"/>
      <c r="DC34" s="9">
        <v>1</v>
      </c>
      <c r="DD34" s="9"/>
      <c r="DE34" s="9">
        <v>1</v>
      </c>
      <c r="DI34" s="9"/>
      <c r="DJ34" s="9">
        <v>1</v>
      </c>
      <c r="DK34" s="9"/>
      <c r="DL34" s="9">
        <v>1</v>
      </c>
      <c r="DP34" s="9"/>
      <c r="DQ34" s="9"/>
      <c r="DR34" s="9"/>
      <c r="DS34" s="9"/>
      <c r="DW34" s="9"/>
      <c r="DX34" s="9"/>
      <c r="DY34" s="9"/>
      <c r="DZ34" s="9"/>
      <c r="ED34" s="9"/>
      <c r="EE34" s="9"/>
      <c r="EF34" s="9"/>
      <c r="EG34" s="9"/>
      <c r="EK34" s="9"/>
      <c r="EL34" s="9"/>
      <c r="EM34" s="9"/>
      <c r="EN34" s="9"/>
      <c r="ER34" s="9"/>
      <c r="ES34" s="9"/>
      <c r="ET34" s="9"/>
      <c r="EU34" s="9"/>
      <c r="EY34" s="9"/>
      <c r="EZ34" s="9"/>
      <c r="FA34" s="9"/>
      <c r="FB34" s="9"/>
      <c r="FF34" s="9"/>
      <c r="FG34" s="9"/>
      <c r="FH34" s="9"/>
      <c r="FI34" s="9"/>
    </row>
    <row r="35" spans="2:165" outlineLevel="1" x14ac:dyDescent="0.2">
      <c r="B35" t="s">
        <v>28</v>
      </c>
      <c r="C35" t="s">
        <v>92</v>
      </c>
      <c r="E35" s="8"/>
      <c r="F35" t="s">
        <v>151</v>
      </c>
      <c r="G35" s="9">
        <v>0.15</v>
      </c>
      <c r="I35" s="8">
        <f t="shared" si="4"/>
        <v>0</v>
      </c>
      <c r="J35" s="10" cm="1">
        <f t="array" ref="J35">MAX(IF($N$3:$DM$3=$J$3,N35:DM35))</f>
        <v>0</v>
      </c>
      <c r="K35" s="10" cm="1">
        <f t="array" ref="K35">MAX(IF($N$3:$DM$3=$J$3,N35:DM35))</f>
        <v>0</v>
      </c>
      <c r="L35" s="8"/>
      <c r="O35" s="9"/>
      <c r="P35" s="9"/>
      <c r="Q35" s="9"/>
      <c r="R35" s="9"/>
      <c r="V35" s="9"/>
      <c r="W35" s="9"/>
      <c r="X35" s="9"/>
      <c r="Y35" s="9"/>
      <c r="AC35" s="9"/>
      <c r="AD35" s="9"/>
      <c r="AE35" s="9"/>
      <c r="AF35" s="9"/>
      <c r="AJ35" s="9"/>
      <c r="AK35" s="9">
        <v>0.5</v>
      </c>
      <c r="AL35" s="9"/>
      <c r="AM35" s="9">
        <v>0.5</v>
      </c>
      <c r="AQ35" s="9"/>
      <c r="AR35" s="9">
        <v>0.5</v>
      </c>
      <c r="AS35" s="9"/>
      <c r="AT35" s="9">
        <v>0.5</v>
      </c>
      <c r="AX35" s="9"/>
      <c r="AY35" s="9">
        <v>0.5</v>
      </c>
      <c r="AZ35" s="9"/>
      <c r="BA35" s="9">
        <v>0.5</v>
      </c>
      <c r="BE35" s="9"/>
      <c r="BF35" s="9">
        <v>0.5</v>
      </c>
      <c r="BG35" s="9"/>
      <c r="BH35" s="9">
        <v>0.5</v>
      </c>
      <c r="BL35" s="9"/>
      <c r="BM35" s="9">
        <v>0.8</v>
      </c>
      <c r="BN35" s="9"/>
      <c r="BO35" s="9">
        <v>0.8</v>
      </c>
      <c r="BS35" s="9"/>
      <c r="BT35" s="9">
        <v>0.8</v>
      </c>
      <c r="BU35" s="9"/>
      <c r="BV35" s="9">
        <v>0.8</v>
      </c>
      <c r="BZ35" s="9"/>
      <c r="CA35" s="9">
        <v>0.8</v>
      </c>
      <c r="CB35" s="9"/>
      <c r="CC35" s="9">
        <v>0.8</v>
      </c>
      <c r="CG35" s="9"/>
      <c r="CH35" s="9">
        <v>0.8</v>
      </c>
      <c r="CI35" s="9"/>
      <c r="CJ35" s="9">
        <v>0.8</v>
      </c>
      <c r="CN35" s="9"/>
      <c r="CO35" s="9">
        <v>0.8</v>
      </c>
      <c r="CP35" s="9"/>
      <c r="CQ35" s="9">
        <v>0.8</v>
      </c>
      <c r="CU35" s="9"/>
      <c r="CV35" s="9">
        <v>1</v>
      </c>
      <c r="CW35" s="9"/>
      <c r="CX35" s="9">
        <v>1</v>
      </c>
      <c r="DB35" s="9"/>
      <c r="DC35" s="9">
        <v>1</v>
      </c>
      <c r="DD35" s="9"/>
      <c r="DE35" s="9">
        <v>1</v>
      </c>
      <c r="DI35" s="9"/>
      <c r="DJ35" s="9">
        <v>1</v>
      </c>
      <c r="DK35" s="9"/>
      <c r="DL35" s="9">
        <v>1</v>
      </c>
      <c r="DP35" s="9"/>
      <c r="DQ35" s="9"/>
      <c r="DR35" s="9"/>
      <c r="DS35" s="9"/>
      <c r="DW35" s="9"/>
      <c r="DX35" s="9"/>
      <c r="DY35" s="9"/>
      <c r="DZ35" s="9"/>
      <c r="ED35" s="9"/>
      <c r="EE35" s="9"/>
      <c r="EF35" s="9"/>
      <c r="EG35" s="9"/>
      <c r="EK35" s="9"/>
      <c r="EL35" s="9"/>
      <c r="EM35" s="9"/>
      <c r="EN35" s="9"/>
      <c r="ER35" s="9"/>
      <c r="ES35" s="9"/>
      <c r="ET35" s="9"/>
      <c r="EU35" s="9"/>
      <c r="EY35" s="9"/>
      <c r="EZ35" s="9"/>
      <c r="FA35" s="9"/>
      <c r="FB35" s="9"/>
      <c r="FF35" s="9"/>
      <c r="FG35" s="9"/>
      <c r="FH35" s="9"/>
      <c r="FI35" s="9"/>
    </row>
    <row r="36" spans="2:165" outlineLevel="1" x14ac:dyDescent="0.2">
      <c r="B36" t="s">
        <v>28</v>
      </c>
      <c r="C36" t="s">
        <v>92</v>
      </c>
      <c r="E36" s="8"/>
      <c r="F36" t="s">
        <v>152</v>
      </c>
      <c r="G36" s="9">
        <v>0.1</v>
      </c>
      <c r="I36" s="8">
        <f t="shared" si="4"/>
        <v>0</v>
      </c>
      <c r="J36" s="10" cm="1">
        <f t="array" ref="J36">MAX(IF($N$3:$DM$3=$J$3,N36:DM36))</f>
        <v>0</v>
      </c>
      <c r="K36" s="10" cm="1">
        <f t="array" ref="K36">MAX(IF($N$3:$DM$3=$J$3,N36:DM36))</f>
        <v>0</v>
      </c>
      <c r="L36" s="8"/>
      <c r="O36" s="9"/>
      <c r="P36" s="9"/>
      <c r="Q36" s="9"/>
      <c r="R36" s="9"/>
      <c r="V36" s="9"/>
      <c r="W36" s="9"/>
      <c r="X36" s="9"/>
      <c r="Y36" s="9"/>
      <c r="AC36" s="9"/>
      <c r="AD36" s="9"/>
      <c r="AE36" s="9"/>
      <c r="AF36" s="9"/>
      <c r="AJ36" s="9"/>
      <c r="AK36" s="9"/>
      <c r="AL36" s="9"/>
      <c r="AM36" s="9"/>
      <c r="AQ36" s="9"/>
      <c r="AR36" s="9">
        <v>0.5</v>
      </c>
      <c r="AS36" s="9"/>
      <c r="AT36" s="9">
        <v>0.5</v>
      </c>
      <c r="AX36" s="9"/>
      <c r="AY36" s="9">
        <v>0.5</v>
      </c>
      <c r="AZ36" s="9"/>
      <c r="BA36" s="9">
        <v>0.5</v>
      </c>
      <c r="BE36" s="9"/>
      <c r="BF36" s="9">
        <v>0.5</v>
      </c>
      <c r="BG36" s="9"/>
      <c r="BH36" s="9">
        <v>0.5</v>
      </c>
      <c r="BL36" s="9"/>
      <c r="BM36" s="9">
        <v>0.5</v>
      </c>
      <c r="BN36" s="9"/>
      <c r="BO36" s="9">
        <v>0.5</v>
      </c>
      <c r="BS36" s="9"/>
      <c r="BT36" s="9">
        <v>0.8</v>
      </c>
      <c r="BU36" s="9"/>
      <c r="BV36" s="9">
        <v>0.8</v>
      </c>
      <c r="BZ36" s="9"/>
      <c r="CA36" s="9">
        <v>0.8</v>
      </c>
      <c r="CB36" s="9"/>
      <c r="CC36" s="9">
        <v>0.8</v>
      </c>
      <c r="CG36" s="9"/>
      <c r="CH36" s="9">
        <v>0.8</v>
      </c>
      <c r="CI36" s="9"/>
      <c r="CJ36" s="9">
        <v>0.8</v>
      </c>
      <c r="CN36" s="9"/>
      <c r="CO36" s="9">
        <v>0.8</v>
      </c>
      <c r="CP36" s="9"/>
      <c r="CQ36" s="9">
        <v>0.8</v>
      </c>
      <c r="CU36" s="9"/>
      <c r="CV36" s="9">
        <v>1</v>
      </c>
      <c r="CW36" s="9"/>
      <c r="CX36" s="9">
        <v>1</v>
      </c>
      <c r="DB36" s="9"/>
      <c r="DC36" s="9">
        <v>1</v>
      </c>
      <c r="DD36" s="9"/>
      <c r="DE36" s="9">
        <v>1</v>
      </c>
      <c r="DI36" s="9"/>
      <c r="DJ36" s="9">
        <v>1</v>
      </c>
      <c r="DK36" s="9"/>
      <c r="DL36" s="9">
        <v>1</v>
      </c>
      <c r="DP36" s="9"/>
      <c r="DQ36" s="9"/>
      <c r="DR36" s="9"/>
      <c r="DS36" s="9"/>
      <c r="DW36" s="9"/>
      <c r="DX36" s="9"/>
      <c r="DY36" s="9"/>
      <c r="DZ36" s="9"/>
      <c r="ED36" s="9"/>
      <c r="EE36" s="9"/>
      <c r="EF36" s="9"/>
      <c r="EG36" s="9"/>
      <c r="EK36" s="9"/>
      <c r="EL36" s="9"/>
      <c r="EM36" s="9"/>
      <c r="EN36" s="9"/>
      <c r="ER36" s="9"/>
      <c r="ES36" s="9"/>
      <c r="ET36" s="9"/>
      <c r="EU36" s="9"/>
      <c r="EY36" s="9"/>
      <c r="EZ36" s="9"/>
      <c r="FA36" s="9"/>
      <c r="FB36" s="9"/>
      <c r="FF36" s="9"/>
      <c r="FG36" s="9"/>
      <c r="FH36" s="9"/>
      <c r="FI36" s="9"/>
    </row>
    <row r="37" spans="2:165" outlineLevel="1" x14ac:dyDescent="0.2">
      <c r="B37" t="s">
        <v>28</v>
      </c>
      <c r="C37" t="s">
        <v>92</v>
      </c>
      <c r="E37" s="8"/>
      <c r="F37" t="s">
        <v>153</v>
      </c>
      <c r="G37" s="9">
        <v>0.05</v>
      </c>
      <c r="I37" s="8">
        <f t="shared" si="4"/>
        <v>0</v>
      </c>
      <c r="J37" s="10" cm="1">
        <f t="array" ref="J37">MAX(IF($N$3:$DM$3=$J$3,N37:DM37))</f>
        <v>0</v>
      </c>
      <c r="K37" s="10" cm="1">
        <f t="array" ref="K37">MAX(IF($N$3:$DM$3=$J$3,N37:DM37))</f>
        <v>0</v>
      </c>
      <c r="L37" s="8"/>
      <c r="O37" s="9"/>
      <c r="P37" s="9"/>
      <c r="Q37" s="9"/>
      <c r="R37" s="9"/>
      <c r="V37" s="9"/>
      <c r="W37" s="9"/>
      <c r="X37" s="9"/>
      <c r="Y37" s="9"/>
      <c r="AC37" s="9"/>
      <c r="AD37" s="9"/>
      <c r="AE37" s="9"/>
      <c r="AF37" s="9"/>
      <c r="AJ37" s="9"/>
      <c r="AK37" s="9"/>
      <c r="AL37" s="9"/>
      <c r="AM37" s="9"/>
      <c r="AQ37" s="9"/>
      <c r="AR37" s="9"/>
      <c r="AS37" s="9"/>
      <c r="AT37" s="9"/>
      <c r="AX37" s="9"/>
      <c r="AY37" s="9">
        <v>0.5</v>
      </c>
      <c r="AZ37" s="9"/>
      <c r="BA37" s="9">
        <v>0.5</v>
      </c>
      <c r="BE37" s="9"/>
      <c r="BF37" s="9">
        <v>0.5</v>
      </c>
      <c r="BG37" s="9"/>
      <c r="BH37" s="9">
        <v>0.5</v>
      </c>
      <c r="BL37" s="9"/>
      <c r="BM37" s="9">
        <v>0.5</v>
      </c>
      <c r="BN37" s="9"/>
      <c r="BO37" s="9">
        <v>0.5</v>
      </c>
      <c r="BS37" s="9"/>
      <c r="BT37" s="9">
        <v>0.5</v>
      </c>
      <c r="BU37" s="9"/>
      <c r="BV37" s="9">
        <v>0.5</v>
      </c>
      <c r="BZ37" s="9"/>
      <c r="CA37" s="9">
        <v>0.8</v>
      </c>
      <c r="CB37" s="9"/>
      <c r="CC37" s="9">
        <v>0.8</v>
      </c>
      <c r="CG37" s="9"/>
      <c r="CH37" s="9">
        <v>0.8</v>
      </c>
      <c r="CI37" s="9"/>
      <c r="CJ37" s="9">
        <v>0.8</v>
      </c>
      <c r="CN37" s="9"/>
      <c r="CO37" s="9">
        <v>0.8</v>
      </c>
      <c r="CP37" s="9"/>
      <c r="CQ37" s="9">
        <v>0.8</v>
      </c>
      <c r="CU37" s="9"/>
      <c r="CV37" s="9">
        <v>0.8</v>
      </c>
      <c r="CW37" s="9"/>
      <c r="CX37" s="9">
        <v>0.8</v>
      </c>
      <c r="DB37" s="9"/>
      <c r="DC37" s="9">
        <v>1</v>
      </c>
      <c r="DD37" s="9"/>
      <c r="DE37" s="9">
        <v>1</v>
      </c>
      <c r="DI37" s="9"/>
      <c r="DJ37" s="9">
        <v>1</v>
      </c>
      <c r="DK37" s="9"/>
      <c r="DL37" s="9">
        <v>1</v>
      </c>
      <c r="DP37" s="9"/>
      <c r="DQ37" s="9"/>
      <c r="DR37" s="9"/>
      <c r="DS37" s="9"/>
      <c r="DW37" s="9"/>
      <c r="DX37" s="9"/>
      <c r="DY37" s="9"/>
      <c r="DZ37" s="9"/>
      <c r="ED37" s="9"/>
      <c r="EE37" s="9"/>
      <c r="EF37" s="9"/>
      <c r="EG37" s="9"/>
      <c r="EK37" s="9"/>
      <c r="EL37" s="9"/>
      <c r="EM37" s="9"/>
      <c r="EN37" s="9"/>
      <c r="ER37" s="9"/>
      <c r="ES37" s="9"/>
      <c r="ET37" s="9"/>
      <c r="EU37" s="9"/>
      <c r="EY37" s="9"/>
      <c r="EZ37" s="9"/>
      <c r="FA37" s="9"/>
      <c r="FB37" s="9"/>
      <c r="FF37" s="9"/>
      <c r="FG37" s="9"/>
      <c r="FH37" s="9"/>
      <c r="FI37" s="9"/>
    </row>
    <row r="38" spans="2:165" outlineLevel="1" x14ac:dyDescent="0.2">
      <c r="B38" t="s">
        <v>28</v>
      </c>
      <c r="C38" t="s">
        <v>92</v>
      </c>
      <c r="E38" s="8"/>
      <c r="F38" t="s">
        <v>154</v>
      </c>
      <c r="G38" s="9">
        <v>0.2</v>
      </c>
      <c r="I38" s="8">
        <f t="shared" si="4"/>
        <v>0</v>
      </c>
      <c r="J38" s="10" cm="1">
        <f t="array" ref="J38">MAX(IF($N$3:$DM$3=$J$3,N38:DM38))</f>
        <v>0</v>
      </c>
      <c r="K38" s="10" cm="1">
        <f t="array" ref="K38">MAX(IF($N$3:$DM$3=$J$3,N38:DM38))</f>
        <v>0</v>
      </c>
      <c r="L38" s="8"/>
      <c r="O38" s="9"/>
      <c r="P38" s="9"/>
      <c r="Q38" s="9"/>
      <c r="R38" s="9"/>
      <c r="V38" s="9"/>
      <c r="W38" s="9"/>
      <c r="X38" s="9"/>
      <c r="Y38" s="9"/>
      <c r="AC38" s="9"/>
      <c r="AD38" s="9"/>
      <c r="AE38" s="9"/>
      <c r="AF38" s="9"/>
      <c r="AJ38" s="9"/>
      <c r="AK38" s="9"/>
      <c r="AL38" s="9"/>
      <c r="AM38" s="9"/>
      <c r="AQ38" s="9"/>
      <c r="AR38" s="9"/>
      <c r="AS38" s="9"/>
      <c r="AT38" s="9"/>
      <c r="AX38" s="9"/>
      <c r="AY38" s="9"/>
      <c r="AZ38" s="9"/>
      <c r="BA38" s="9"/>
      <c r="BE38" s="9"/>
      <c r="BF38" s="9">
        <v>0.5</v>
      </c>
      <c r="BG38" s="9"/>
      <c r="BH38" s="9">
        <v>0.5</v>
      </c>
      <c r="BL38" s="9"/>
      <c r="BM38" s="9">
        <v>0.5</v>
      </c>
      <c r="BN38" s="9"/>
      <c r="BO38" s="9">
        <v>0.5</v>
      </c>
      <c r="BS38" s="9"/>
      <c r="BT38" s="9">
        <v>0.5</v>
      </c>
      <c r="BU38" s="9"/>
      <c r="BV38" s="9">
        <v>0.5</v>
      </c>
      <c r="BZ38" s="9"/>
      <c r="CA38" s="9">
        <v>0.5</v>
      </c>
      <c r="CB38" s="9"/>
      <c r="CC38" s="9">
        <v>0.5</v>
      </c>
      <c r="CG38" s="9"/>
      <c r="CH38" s="9">
        <v>0.8</v>
      </c>
      <c r="CI38" s="9"/>
      <c r="CJ38" s="9">
        <v>0.8</v>
      </c>
      <c r="CN38" s="9"/>
      <c r="CO38" s="9">
        <v>0.8</v>
      </c>
      <c r="CP38" s="9"/>
      <c r="CQ38" s="9">
        <v>0.8</v>
      </c>
      <c r="CU38" s="9"/>
      <c r="CV38" s="9">
        <v>0.8</v>
      </c>
      <c r="CW38" s="9"/>
      <c r="CX38" s="9">
        <v>0.8</v>
      </c>
      <c r="DB38" s="9"/>
      <c r="DC38" s="9">
        <v>0.8</v>
      </c>
      <c r="DD38" s="9"/>
      <c r="DE38" s="9">
        <v>0.8</v>
      </c>
      <c r="DI38" s="9"/>
      <c r="DJ38" s="9">
        <v>1</v>
      </c>
      <c r="DK38" s="9"/>
      <c r="DL38" s="9">
        <v>1</v>
      </c>
      <c r="DP38" s="9"/>
      <c r="DQ38" s="9"/>
      <c r="DR38" s="9"/>
      <c r="DS38" s="9"/>
      <c r="DW38" s="9"/>
      <c r="DX38" s="9"/>
      <c r="DY38" s="9"/>
      <c r="DZ38" s="9"/>
      <c r="ED38" s="9"/>
      <c r="EE38" s="9"/>
      <c r="EF38" s="9"/>
      <c r="EG38" s="9"/>
      <c r="EK38" s="9"/>
      <c r="EL38" s="9"/>
      <c r="EM38" s="9"/>
      <c r="EN38" s="9"/>
      <c r="ER38" s="9"/>
      <c r="ES38" s="9"/>
      <c r="ET38" s="9"/>
      <c r="EU38" s="9"/>
      <c r="EY38" s="9"/>
      <c r="EZ38" s="9"/>
      <c r="FA38" s="9"/>
      <c r="FB38" s="9"/>
      <c r="FF38" s="9"/>
      <c r="FG38" s="9"/>
      <c r="FH38" s="9"/>
      <c r="FI38" s="9"/>
    </row>
    <row r="39" spans="2:165" outlineLevel="1" x14ac:dyDescent="0.2">
      <c r="B39" t="s">
        <v>28</v>
      </c>
      <c r="C39" t="s">
        <v>92</v>
      </c>
      <c r="E39" s="8"/>
      <c r="F39" t="s">
        <v>155</v>
      </c>
      <c r="G39" s="9">
        <v>0.2</v>
      </c>
      <c r="I39" s="8">
        <f t="shared" si="4"/>
        <v>0</v>
      </c>
      <c r="J39" s="10" cm="1">
        <f t="array" ref="J39">MAX(IF($N$3:$DM$3=$J$3,N39:DM39))</f>
        <v>0</v>
      </c>
      <c r="K39" s="10" cm="1">
        <f t="array" ref="K39">MAX(IF($N$3:$DM$3=$J$3,N39:DM39))</f>
        <v>0</v>
      </c>
      <c r="L39" s="8"/>
      <c r="O39" s="9"/>
      <c r="P39" s="9"/>
      <c r="Q39" s="9"/>
      <c r="R39" s="9"/>
      <c r="V39" s="9"/>
      <c r="W39" s="9"/>
      <c r="X39" s="9"/>
      <c r="Y39" s="9"/>
      <c r="AC39" s="9"/>
      <c r="AD39" s="9"/>
      <c r="AE39" s="9"/>
      <c r="AF39" s="9"/>
      <c r="AJ39" s="9"/>
      <c r="AK39" s="9"/>
      <c r="AL39" s="9"/>
      <c r="AM39" s="9"/>
      <c r="AQ39" s="9"/>
      <c r="AR39" s="9"/>
      <c r="AS39" s="9"/>
      <c r="AT39" s="9"/>
      <c r="AX39" s="9"/>
      <c r="AY39" s="9"/>
      <c r="AZ39" s="9"/>
      <c r="BA39" s="9"/>
      <c r="BE39" s="9"/>
      <c r="BF39" s="9"/>
      <c r="BG39" s="9"/>
      <c r="BH39" s="9"/>
      <c r="BL39" s="9"/>
      <c r="BM39" s="9">
        <v>0.5</v>
      </c>
      <c r="BN39" s="9"/>
      <c r="BO39" s="9">
        <v>0.5</v>
      </c>
      <c r="BS39" s="9"/>
      <c r="BT39" s="9">
        <v>0.5</v>
      </c>
      <c r="BU39" s="9"/>
      <c r="BV39" s="9">
        <v>0.5</v>
      </c>
      <c r="BZ39" s="9"/>
      <c r="CA39" s="9">
        <v>0.5</v>
      </c>
      <c r="CB39" s="9"/>
      <c r="CC39" s="9">
        <v>0.5</v>
      </c>
      <c r="CG39" s="9"/>
      <c r="CH39" s="9">
        <v>0.5</v>
      </c>
      <c r="CI39" s="9"/>
      <c r="CJ39" s="9">
        <v>0.5</v>
      </c>
      <c r="CN39" s="9"/>
      <c r="CO39" s="9">
        <v>0.8</v>
      </c>
      <c r="CP39" s="9"/>
      <c r="CQ39" s="9">
        <v>0.8</v>
      </c>
      <c r="CU39" s="9"/>
      <c r="CV39" s="9">
        <v>0.8</v>
      </c>
      <c r="CW39" s="9"/>
      <c r="CX39" s="9">
        <v>0.8</v>
      </c>
      <c r="DB39" s="9"/>
      <c r="DC39" s="9">
        <v>0.8</v>
      </c>
      <c r="DD39" s="9"/>
      <c r="DE39" s="9">
        <v>0.8</v>
      </c>
      <c r="DI39" s="9"/>
      <c r="DJ39" s="9">
        <v>1</v>
      </c>
      <c r="DK39" s="9"/>
      <c r="DL39" s="9">
        <v>1</v>
      </c>
      <c r="DP39" s="9"/>
      <c r="DQ39" s="9"/>
      <c r="DR39" s="9"/>
      <c r="DS39" s="9"/>
      <c r="DW39" s="9"/>
      <c r="DX39" s="9"/>
      <c r="DY39" s="9"/>
      <c r="DZ39" s="9"/>
      <c r="ED39" s="9"/>
      <c r="EE39" s="9"/>
      <c r="EF39" s="9"/>
      <c r="EG39" s="9"/>
      <c r="EK39" s="9"/>
      <c r="EL39" s="9"/>
      <c r="EM39" s="9"/>
      <c r="EN39" s="9"/>
      <c r="ER39" s="9"/>
      <c r="ES39" s="9"/>
      <c r="ET39" s="9"/>
      <c r="EU39" s="9"/>
      <c r="EY39" s="9"/>
      <c r="EZ39" s="9"/>
      <c r="FA39" s="9"/>
      <c r="FB39" s="9"/>
      <c r="FF39" s="9"/>
      <c r="FG39" s="9"/>
      <c r="FH39" s="9"/>
      <c r="FI39" s="9"/>
    </row>
    <row r="41" spans="2:165" s="17" customFormat="1" x14ac:dyDescent="0.2">
      <c r="B41" s="17" t="s">
        <v>27</v>
      </c>
      <c r="C41" s="17" t="s">
        <v>87</v>
      </c>
      <c r="D41" s="18">
        <v>45338</v>
      </c>
      <c r="E41" s="19">
        <v>5</v>
      </c>
      <c r="G41" s="20">
        <f>+SUM(G42:G50)</f>
        <v>1</v>
      </c>
      <c r="I41" s="21">
        <f>+SUM(I42:I50)</f>
        <v>0</v>
      </c>
      <c r="J41" s="22">
        <f>+SUMPRODUCT(G42:G50,J42:J50)</f>
        <v>0</v>
      </c>
      <c r="K41" s="22">
        <f>+SUMPRODUCT(G42:G50,K42:K50)</f>
        <v>0</v>
      </c>
      <c r="L41" s="19"/>
      <c r="N41" s="21">
        <f>+SUM(N42:N50)</f>
        <v>0</v>
      </c>
      <c r="U41" s="21">
        <f>+SUM(U42:U50)</f>
        <v>0</v>
      </c>
      <c r="AB41" s="21">
        <f>+SUM(AB42:AB50)</f>
        <v>0</v>
      </c>
      <c r="AI41" s="21">
        <f>+SUM(AI42:AI50)</f>
        <v>0</v>
      </c>
      <c r="AP41" s="21">
        <f>+SUM(AP42:AP50)</f>
        <v>0</v>
      </c>
      <c r="AW41" s="21">
        <f>+SUM(AW42:AW50)</f>
        <v>0</v>
      </c>
      <c r="BD41" s="21">
        <f>+SUM(BD42:BD50)</f>
        <v>0</v>
      </c>
      <c r="BK41" s="21">
        <f>+SUM(BK42:BK50)</f>
        <v>0</v>
      </c>
      <c r="BR41" s="21">
        <f>+SUM(BR42:BR50)</f>
        <v>0</v>
      </c>
      <c r="BY41" s="21">
        <f>+SUM(BY42:BY50)</f>
        <v>0</v>
      </c>
      <c r="CF41" s="21">
        <f>+SUM(CF42:CF50)</f>
        <v>0</v>
      </c>
      <c r="CM41" s="21">
        <f>+SUM(CM42:CM50)</f>
        <v>0</v>
      </c>
      <c r="CT41" s="21">
        <f>+SUM(CT42:CT50)</f>
        <v>0</v>
      </c>
      <c r="DA41" s="21">
        <f>+SUM(DA42:DA50)</f>
        <v>0</v>
      </c>
      <c r="DH41" s="21">
        <f>+SUM(DH42:DH50)</f>
        <v>0</v>
      </c>
    </row>
    <row r="42" spans="2:165" outlineLevel="1" x14ac:dyDescent="0.2">
      <c r="B42" t="s">
        <v>28</v>
      </c>
      <c r="C42" t="s">
        <v>87</v>
      </c>
      <c r="E42" s="8"/>
      <c r="F42" t="s">
        <v>100</v>
      </c>
      <c r="G42" s="9">
        <v>0.1</v>
      </c>
      <c r="I42" s="8">
        <f t="shared" ref="I42:I50" si="5">+SUMIF($N$3:$YX$3,I$3,$N42:$YX42)</f>
        <v>0</v>
      </c>
      <c r="J42" s="10" cm="1">
        <f t="array" ref="J42">MAX(IF($N$3:$DM$3=$J$3,N42:DM42))</f>
        <v>0</v>
      </c>
      <c r="K42" s="10" cm="1">
        <f t="array" ref="K42">MAX(IF($N$3:$DM$3=$J$3,N42:DM42))</f>
        <v>0</v>
      </c>
      <c r="L42" s="8"/>
      <c r="O42" s="9"/>
      <c r="P42" s="9">
        <v>0.5</v>
      </c>
      <c r="Q42" s="9"/>
      <c r="R42" s="9">
        <v>0.5</v>
      </c>
      <c r="V42" s="9"/>
      <c r="W42" s="9">
        <v>0.5</v>
      </c>
      <c r="X42" s="9"/>
      <c r="Y42" s="9">
        <v>0.5</v>
      </c>
      <c r="AC42" s="9"/>
      <c r="AD42" s="9">
        <v>0.5</v>
      </c>
      <c r="AE42" s="9"/>
      <c r="AF42" s="9">
        <v>0.5</v>
      </c>
      <c r="AJ42" s="9"/>
      <c r="AK42" s="9">
        <v>0.8</v>
      </c>
      <c r="AL42" s="9"/>
      <c r="AM42" s="9">
        <v>0.8</v>
      </c>
      <c r="AQ42" s="9"/>
      <c r="AR42" s="9">
        <v>0.8</v>
      </c>
      <c r="AS42" s="9"/>
      <c r="AT42" s="9">
        <v>0.8</v>
      </c>
      <c r="AX42" s="9"/>
      <c r="AY42" s="9">
        <v>0.8</v>
      </c>
      <c r="AZ42" s="9"/>
      <c r="BA42" s="9">
        <v>0.8</v>
      </c>
      <c r="BE42" s="9"/>
      <c r="BF42" s="9">
        <v>0.8</v>
      </c>
      <c r="BG42" s="9"/>
      <c r="BH42" s="9">
        <v>0.8</v>
      </c>
      <c r="BL42" s="9"/>
      <c r="BM42" s="9">
        <v>0.8</v>
      </c>
      <c r="BN42" s="9"/>
      <c r="BO42" s="9">
        <v>0.8</v>
      </c>
      <c r="BS42" s="9"/>
      <c r="BT42" s="9">
        <v>1</v>
      </c>
      <c r="BU42" s="9"/>
      <c r="BV42" s="9">
        <v>1</v>
      </c>
      <c r="BZ42" s="9"/>
      <c r="CA42" s="9">
        <v>1</v>
      </c>
      <c r="CB42" s="9"/>
      <c r="CC42" s="9">
        <v>1</v>
      </c>
      <c r="CG42" s="9"/>
      <c r="CH42" s="9">
        <v>1</v>
      </c>
      <c r="CI42" s="9"/>
      <c r="CJ42" s="9">
        <v>1</v>
      </c>
      <c r="CN42" s="9"/>
      <c r="CO42" s="9">
        <v>1</v>
      </c>
      <c r="CP42" s="9"/>
      <c r="CQ42" s="9">
        <v>1</v>
      </c>
      <c r="CU42" s="9"/>
      <c r="CV42" s="9">
        <v>1</v>
      </c>
      <c r="CW42" s="9"/>
      <c r="CX42" s="9">
        <v>1</v>
      </c>
      <c r="DB42" s="9"/>
      <c r="DC42" s="9">
        <v>1</v>
      </c>
      <c r="DD42" s="9"/>
      <c r="DE42" s="9">
        <v>1</v>
      </c>
      <c r="DI42" s="9"/>
      <c r="DJ42" s="9">
        <v>1</v>
      </c>
      <c r="DK42" s="9"/>
      <c r="DL42" s="9">
        <v>1</v>
      </c>
      <c r="DP42" s="9"/>
      <c r="DQ42" s="9"/>
      <c r="DR42" s="9"/>
      <c r="DS42" s="9"/>
      <c r="DW42" s="9"/>
      <c r="DX42" s="9"/>
      <c r="DY42" s="9"/>
      <c r="DZ42" s="9"/>
      <c r="ED42" s="9"/>
      <c r="EE42" s="9"/>
      <c r="EF42" s="9"/>
      <c r="EG42" s="9"/>
      <c r="EK42" s="9"/>
      <c r="EL42" s="9"/>
      <c r="EM42" s="9"/>
      <c r="EN42" s="9"/>
      <c r="ER42" s="9"/>
      <c r="ES42" s="9"/>
      <c r="ET42" s="9"/>
      <c r="EU42" s="9"/>
      <c r="EY42" s="9"/>
      <c r="EZ42" s="9"/>
      <c r="FA42" s="9"/>
      <c r="FB42" s="9"/>
      <c r="FF42" s="9"/>
      <c r="FG42" s="9"/>
      <c r="FH42" s="9"/>
      <c r="FI42" s="9"/>
    </row>
    <row r="43" spans="2:165" outlineLevel="1" x14ac:dyDescent="0.2">
      <c r="B43" t="s">
        <v>28</v>
      </c>
      <c r="C43" t="s">
        <v>87</v>
      </c>
      <c r="E43" s="8"/>
      <c r="F43" t="s">
        <v>102</v>
      </c>
      <c r="G43" s="9">
        <v>0.1</v>
      </c>
      <c r="I43" s="8">
        <f t="shared" si="5"/>
        <v>0</v>
      </c>
      <c r="J43" s="10" cm="1">
        <f t="array" ref="J43">MAX(IF($N$3:$DM$3=$J$3,N43:DM43))</f>
        <v>0</v>
      </c>
      <c r="K43" s="10" cm="1">
        <f t="array" ref="K43">MAX(IF($N$3:$DM$3=$J$3,N43:DM43))</f>
        <v>0</v>
      </c>
      <c r="L43" s="8"/>
      <c r="O43" s="9"/>
      <c r="P43" s="9"/>
      <c r="Q43" s="9"/>
      <c r="R43" s="9"/>
      <c r="V43" s="9"/>
      <c r="W43" s="9">
        <v>0.5</v>
      </c>
      <c r="X43" s="9"/>
      <c r="Y43" s="9">
        <v>0.5</v>
      </c>
      <c r="AC43" s="9"/>
      <c r="AD43" s="9">
        <v>0.5</v>
      </c>
      <c r="AE43" s="9"/>
      <c r="AF43" s="9">
        <v>0.5</v>
      </c>
      <c r="AJ43" s="9"/>
      <c r="AK43" s="9">
        <v>0.5</v>
      </c>
      <c r="AL43" s="9"/>
      <c r="AM43" s="9">
        <v>0.5</v>
      </c>
      <c r="AQ43" s="9"/>
      <c r="AR43" s="9">
        <v>0.8</v>
      </c>
      <c r="AS43" s="9"/>
      <c r="AT43" s="9">
        <v>0.8</v>
      </c>
      <c r="AX43" s="9"/>
      <c r="AY43" s="9">
        <v>0.8</v>
      </c>
      <c r="AZ43" s="9"/>
      <c r="BA43" s="9">
        <v>0.8</v>
      </c>
      <c r="BE43" s="9"/>
      <c r="BF43" s="9">
        <v>0.8</v>
      </c>
      <c r="BG43" s="9"/>
      <c r="BH43" s="9">
        <v>0.8</v>
      </c>
      <c r="BL43" s="9"/>
      <c r="BM43" s="9">
        <v>0.8</v>
      </c>
      <c r="BN43" s="9"/>
      <c r="BO43" s="9">
        <v>0.8</v>
      </c>
      <c r="BS43" s="9"/>
      <c r="BT43" s="9">
        <v>0.8</v>
      </c>
      <c r="BU43" s="9"/>
      <c r="BV43" s="9">
        <v>0.8</v>
      </c>
      <c r="BZ43" s="9"/>
      <c r="CA43" s="9">
        <v>1</v>
      </c>
      <c r="CB43" s="9"/>
      <c r="CC43" s="9">
        <v>1</v>
      </c>
      <c r="CG43" s="9"/>
      <c r="CH43" s="9">
        <v>1</v>
      </c>
      <c r="CI43" s="9"/>
      <c r="CJ43" s="9">
        <v>1</v>
      </c>
      <c r="CN43" s="9"/>
      <c r="CO43" s="9">
        <v>1</v>
      </c>
      <c r="CP43" s="9"/>
      <c r="CQ43" s="9">
        <v>1</v>
      </c>
      <c r="CU43" s="9"/>
      <c r="CV43" s="9">
        <v>1</v>
      </c>
      <c r="CW43" s="9"/>
      <c r="CX43" s="9">
        <v>1</v>
      </c>
      <c r="DB43" s="9"/>
      <c r="DC43" s="9">
        <v>1</v>
      </c>
      <c r="DD43" s="9"/>
      <c r="DE43" s="9">
        <v>1</v>
      </c>
      <c r="DI43" s="9"/>
      <c r="DJ43" s="9">
        <v>1</v>
      </c>
      <c r="DK43" s="9"/>
      <c r="DL43" s="9">
        <v>1</v>
      </c>
      <c r="DP43" s="9"/>
      <c r="DQ43" s="9"/>
      <c r="DR43" s="9"/>
      <c r="DS43" s="9"/>
      <c r="DW43" s="9"/>
      <c r="DX43" s="9"/>
      <c r="DY43" s="9"/>
      <c r="DZ43" s="9"/>
      <c r="ED43" s="9"/>
      <c r="EE43" s="9"/>
      <c r="EF43" s="9"/>
      <c r="EG43" s="9"/>
      <c r="EK43" s="9"/>
      <c r="EL43" s="9"/>
      <c r="EM43" s="9"/>
      <c r="EN43" s="9"/>
      <c r="ER43" s="9"/>
      <c r="ES43" s="9"/>
      <c r="ET43" s="9"/>
      <c r="EU43" s="9"/>
      <c r="EY43" s="9"/>
      <c r="EZ43" s="9"/>
      <c r="FA43" s="9"/>
      <c r="FB43" s="9"/>
      <c r="FF43" s="9"/>
      <c r="FG43" s="9"/>
      <c r="FH43" s="9"/>
      <c r="FI43" s="9"/>
    </row>
    <row r="44" spans="2:165" outlineLevel="1" x14ac:dyDescent="0.2">
      <c r="B44" t="s">
        <v>28</v>
      </c>
      <c r="C44" t="s">
        <v>87</v>
      </c>
      <c r="E44" s="8"/>
      <c r="F44" t="s">
        <v>103</v>
      </c>
      <c r="G44" s="9">
        <v>0.1</v>
      </c>
      <c r="I44" s="8">
        <f t="shared" si="5"/>
        <v>0</v>
      </c>
      <c r="J44" s="10" cm="1">
        <f t="array" ref="J44">MAX(IF($N$3:$DM$3=$J$3,N44:DM44))</f>
        <v>0</v>
      </c>
      <c r="K44" s="10" cm="1">
        <f t="array" ref="K44">MAX(IF($N$3:$DM$3=$J$3,N44:DM44))</f>
        <v>0</v>
      </c>
      <c r="L44" s="8"/>
      <c r="O44" s="9"/>
      <c r="P44" s="9"/>
      <c r="Q44" s="9"/>
      <c r="R44" s="9"/>
      <c r="V44" s="9"/>
      <c r="W44" s="9"/>
      <c r="X44" s="9"/>
      <c r="Y44" s="9"/>
      <c r="AC44" s="9"/>
      <c r="AD44" s="9">
        <v>0.5</v>
      </c>
      <c r="AE44" s="9"/>
      <c r="AF44" s="9">
        <v>0.5</v>
      </c>
      <c r="AJ44" s="9"/>
      <c r="AK44" s="9">
        <v>0.5</v>
      </c>
      <c r="AL44" s="9"/>
      <c r="AM44" s="9">
        <v>0.5</v>
      </c>
      <c r="AQ44" s="9"/>
      <c r="AR44" s="9">
        <v>0.5</v>
      </c>
      <c r="AS44" s="9"/>
      <c r="AT44" s="9">
        <v>0.5</v>
      </c>
      <c r="AX44" s="9"/>
      <c r="AY44" s="9">
        <v>0.8</v>
      </c>
      <c r="AZ44" s="9"/>
      <c r="BA44" s="9">
        <v>0.8</v>
      </c>
      <c r="BE44" s="9"/>
      <c r="BF44" s="9">
        <v>0.8</v>
      </c>
      <c r="BG44" s="9"/>
      <c r="BH44" s="9">
        <v>0.8</v>
      </c>
      <c r="BL44" s="9"/>
      <c r="BM44" s="9">
        <v>0.8</v>
      </c>
      <c r="BN44" s="9"/>
      <c r="BO44" s="9">
        <v>0.8</v>
      </c>
      <c r="BS44" s="9"/>
      <c r="BT44" s="9">
        <v>0.8</v>
      </c>
      <c r="BU44" s="9"/>
      <c r="BV44" s="9">
        <v>0.8</v>
      </c>
      <c r="BZ44" s="9"/>
      <c r="CA44" s="9">
        <v>0.8</v>
      </c>
      <c r="CB44" s="9"/>
      <c r="CC44" s="9">
        <v>0.8</v>
      </c>
      <c r="CG44" s="9"/>
      <c r="CH44" s="9">
        <v>1</v>
      </c>
      <c r="CI44" s="9"/>
      <c r="CJ44" s="9">
        <v>1</v>
      </c>
      <c r="CN44" s="9"/>
      <c r="CO44" s="9">
        <v>1</v>
      </c>
      <c r="CP44" s="9"/>
      <c r="CQ44" s="9">
        <v>1</v>
      </c>
      <c r="CU44" s="9"/>
      <c r="CV44" s="9">
        <v>1</v>
      </c>
      <c r="CW44" s="9"/>
      <c r="CX44" s="9">
        <v>1</v>
      </c>
      <c r="DB44" s="9"/>
      <c r="DC44" s="9">
        <v>1</v>
      </c>
      <c r="DD44" s="9"/>
      <c r="DE44" s="9">
        <v>1</v>
      </c>
      <c r="DI44" s="9"/>
      <c r="DJ44" s="9">
        <v>1</v>
      </c>
      <c r="DK44" s="9"/>
      <c r="DL44" s="9">
        <v>1</v>
      </c>
      <c r="DP44" s="9"/>
      <c r="DQ44" s="9"/>
      <c r="DR44" s="9"/>
      <c r="DS44" s="9"/>
      <c r="DW44" s="9"/>
      <c r="DX44" s="9"/>
      <c r="DY44" s="9"/>
      <c r="DZ44" s="9"/>
      <c r="ED44" s="9"/>
      <c r="EE44" s="9"/>
      <c r="EF44" s="9"/>
      <c r="EG44" s="9"/>
      <c r="EK44" s="9"/>
      <c r="EL44" s="9"/>
      <c r="EM44" s="9"/>
      <c r="EN44" s="9"/>
      <c r="ER44" s="9"/>
      <c r="ES44" s="9"/>
      <c r="ET44" s="9"/>
      <c r="EU44" s="9"/>
      <c r="EY44" s="9"/>
      <c r="EZ44" s="9"/>
      <c r="FA44" s="9"/>
      <c r="FB44" s="9"/>
      <c r="FF44" s="9"/>
      <c r="FG44" s="9"/>
      <c r="FH44" s="9"/>
      <c r="FI44" s="9"/>
    </row>
    <row r="45" spans="2:165" outlineLevel="1" x14ac:dyDescent="0.2">
      <c r="B45" t="s">
        <v>28</v>
      </c>
      <c r="C45" t="s">
        <v>87</v>
      </c>
      <c r="E45" s="8"/>
      <c r="F45" t="s">
        <v>101</v>
      </c>
      <c r="G45" s="9">
        <v>0.1</v>
      </c>
      <c r="I45" s="8">
        <f t="shared" si="5"/>
        <v>0</v>
      </c>
      <c r="J45" s="10" cm="1">
        <f t="array" ref="J45">MAX(IF($N$3:$DM$3=$J$3,N45:DM45))</f>
        <v>0</v>
      </c>
      <c r="K45" s="10" cm="1">
        <f t="array" ref="K45">MAX(IF($N$3:$DM$3=$J$3,N45:DM45))</f>
        <v>0</v>
      </c>
      <c r="L45" s="8"/>
      <c r="O45" s="9"/>
      <c r="P45" s="9"/>
      <c r="Q45" s="9"/>
      <c r="R45" s="9"/>
      <c r="V45" s="9"/>
      <c r="W45" s="9"/>
      <c r="X45" s="9"/>
      <c r="Y45" s="9"/>
      <c r="AC45" s="9"/>
      <c r="AD45" s="9">
        <v>0.5</v>
      </c>
      <c r="AE45" s="9"/>
      <c r="AF45" s="9">
        <v>0.5</v>
      </c>
      <c r="AJ45" s="9"/>
      <c r="AK45" s="9">
        <v>0.5</v>
      </c>
      <c r="AL45" s="9"/>
      <c r="AM45" s="9">
        <v>0.5</v>
      </c>
      <c r="AQ45" s="9"/>
      <c r="AR45" s="9">
        <v>0.5</v>
      </c>
      <c r="AS45" s="9"/>
      <c r="AT45" s="9">
        <v>0.5</v>
      </c>
      <c r="AX45" s="9"/>
      <c r="AY45" s="9">
        <v>0.5</v>
      </c>
      <c r="AZ45" s="9"/>
      <c r="BA45" s="9">
        <v>0.5</v>
      </c>
      <c r="BE45" s="9"/>
      <c r="BF45" s="9">
        <v>0.8</v>
      </c>
      <c r="BG45" s="9"/>
      <c r="BH45" s="9">
        <v>0.8</v>
      </c>
      <c r="BL45" s="9"/>
      <c r="BM45" s="9">
        <v>0.8</v>
      </c>
      <c r="BN45" s="9"/>
      <c r="BO45" s="9">
        <v>0.8</v>
      </c>
      <c r="BS45" s="9"/>
      <c r="BT45" s="9">
        <v>0.8</v>
      </c>
      <c r="BU45" s="9"/>
      <c r="BV45" s="9">
        <v>0.8</v>
      </c>
      <c r="BZ45" s="9"/>
      <c r="CA45" s="9">
        <v>0.8</v>
      </c>
      <c r="CB45" s="9"/>
      <c r="CC45" s="9">
        <v>0.8</v>
      </c>
      <c r="CG45" s="9"/>
      <c r="CH45" s="9">
        <v>0.8</v>
      </c>
      <c r="CI45" s="9"/>
      <c r="CJ45" s="9">
        <v>0.8</v>
      </c>
      <c r="CN45" s="9"/>
      <c r="CO45" s="9">
        <v>1</v>
      </c>
      <c r="CP45" s="9"/>
      <c r="CQ45" s="9">
        <v>1</v>
      </c>
      <c r="CU45" s="9"/>
      <c r="CV45" s="9">
        <v>1</v>
      </c>
      <c r="CW45" s="9"/>
      <c r="CX45" s="9">
        <v>1</v>
      </c>
      <c r="DB45" s="9"/>
      <c r="DC45" s="9">
        <v>1</v>
      </c>
      <c r="DD45" s="9"/>
      <c r="DE45" s="9">
        <v>1</v>
      </c>
      <c r="DI45" s="9"/>
      <c r="DJ45" s="9">
        <v>1</v>
      </c>
      <c r="DK45" s="9"/>
      <c r="DL45" s="9">
        <v>1</v>
      </c>
      <c r="DP45" s="9"/>
      <c r="DQ45" s="9"/>
      <c r="DR45" s="9"/>
      <c r="DS45" s="9"/>
      <c r="DW45" s="9"/>
      <c r="DX45" s="9"/>
      <c r="DY45" s="9"/>
      <c r="DZ45" s="9"/>
      <c r="ED45" s="9"/>
      <c r="EE45" s="9"/>
      <c r="EF45" s="9"/>
      <c r="EG45" s="9"/>
      <c r="EK45" s="9"/>
      <c r="EL45" s="9"/>
      <c r="EM45" s="9"/>
      <c r="EN45" s="9"/>
      <c r="ER45" s="9"/>
      <c r="ES45" s="9"/>
      <c r="ET45" s="9"/>
      <c r="EU45" s="9"/>
      <c r="EY45" s="9"/>
      <c r="EZ45" s="9"/>
      <c r="FA45" s="9"/>
      <c r="FB45" s="9"/>
      <c r="FF45" s="9"/>
      <c r="FG45" s="9"/>
      <c r="FH45" s="9"/>
      <c r="FI45" s="9"/>
    </row>
    <row r="46" spans="2:165" outlineLevel="1" x14ac:dyDescent="0.2">
      <c r="B46" t="s">
        <v>28</v>
      </c>
      <c r="C46" t="s">
        <v>87</v>
      </c>
      <c r="E46" s="8"/>
      <c r="F46" t="s">
        <v>104</v>
      </c>
      <c r="G46" s="9">
        <v>0.2</v>
      </c>
      <c r="I46" s="8">
        <f t="shared" si="5"/>
        <v>0</v>
      </c>
      <c r="J46" s="10" cm="1">
        <f t="array" ref="J46">MAX(IF($N$3:$DM$3=$J$3,N46:DM46))</f>
        <v>0</v>
      </c>
      <c r="K46" s="10" cm="1">
        <f t="array" ref="K46">MAX(IF($N$3:$DM$3=$J$3,N46:DM46))</f>
        <v>0</v>
      </c>
      <c r="L46" s="8"/>
      <c r="O46" s="9"/>
      <c r="P46" s="9"/>
      <c r="Q46" s="9"/>
      <c r="R46" s="9"/>
      <c r="V46" s="9"/>
      <c r="W46" s="9"/>
      <c r="X46" s="9"/>
      <c r="Y46" s="9"/>
      <c r="AC46" s="9"/>
      <c r="AD46" s="9"/>
      <c r="AE46" s="9"/>
      <c r="AF46" s="9"/>
      <c r="AJ46" s="9"/>
      <c r="AK46" s="9">
        <v>0.5</v>
      </c>
      <c r="AL46" s="9"/>
      <c r="AM46" s="9">
        <v>0.5</v>
      </c>
      <c r="AQ46" s="9"/>
      <c r="AR46" s="9">
        <v>0.5</v>
      </c>
      <c r="AS46" s="9"/>
      <c r="AT46" s="9">
        <v>0.5</v>
      </c>
      <c r="AX46" s="9"/>
      <c r="AY46" s="9">
        <v>0.5</v>
      </c>
      <c r="AZ46" s="9"/>
      <c r="BA46" s="9">
        <v>0.5</v>
      </c>
      <c r="BE46" s="9"/>
      <c r="BF46" s="9">
        <v>0.5</v>
      </c>
      <c r="BG46" s="9"/>
      <c r="BH46" s="9">
        <v>0.5</v>
      </c>
      <c r="BL46" s="9"/>
      <c r="BM46" s="9">
        <v>0.8</v>
      </c>
      <c r="BN46" s="9"/>
      <c r="BO46" s="9">
        <v>0.8</v>
      </c>
      <c r="BS46" s="9"/>
      <c r="BT46" s="9">
        <v>0.8</v>
      </c>
      <c r="BU46" s="9"/>
      <c r="BV46" s="9">
        <v>0.8</v>
      </c>
      <c r="BZ46" s="9"/>
      <c r="CA46" s="9">
        <v>0.8</v>
      </c>
      <c r="CB46" s="9"/>
      <c r="CC46" s="9">
        <v>0.8</v>
      </c>
      <c r="CG46" s="9"/>
      <c r="CH46" s="9">
        <v>0.8</v>
      </c>
      <c r="CI46" s="9"/>
      <c r="CJ46" s="9">
        <v>0.8</v>
      </c>
      <c r="CN46" s="9"/>
      <c r="CO46" s="9">
        <v>0.8</v>
      </c>
      <c r="CP46" s="9"/>
      <c r="CQ46" s="9">
        <v>0.8</v>
      </c>
      <c r="CU46" s="9"/>
      <c r="CV46" s="9">
        <v>1</v>
      </c>
      <c r="CW46" s="9"/>
      <c r="CX46" s="9">
        <v>1</v>
      </c>
      <c r="DB46" s="9"/>
      <c r="DC46" s="9">
        <v>1</v>
      </c>
      <c r="DD46" s="9"/>
      <c r="DE46" s="9">
        <v>1</v>
      </c>
      <c r="DI46" s="9"/>
      <c r="DJ46" s="9">
        <v>1</v>
      </c>
      <c r="DK46" s="9"/>
      <c r="DL46" s="9">
        <v>1</v>
      </c>
      <c r="DP46" s="9"/>
      <c r="DQ46" s="9"/>
      <c r="DR46" s="9"/>
      <c r="DS46" s="9"/>
      <c r="DW46" s="9"/>
      <c r="DX46" s="9"/>
      <c r="DY46" s="9"/>
      <c r="DZ46" s="9"/>
      <c r="ED46" s="9"/>
      <c r="EE46" s="9"/>
      <c r="EF46" s="9"/>
      <c r="EG46" s="9"/>
      <c r="EK46" s="9"/>
      <c r="EL46" s="9"/>
      <c r="EM46" s="9"/>
      <c r="EN46" s="9"/>
      <c r="ER46" s="9"/>
      <c r="ES46" s="9"/>
      <c r="ET46" s="9"/>
      <c r="EU46" s="9"/>
      <c r="EY46" s="9"/>
      <c r="EZ46" s="9"/>
      <c r="FA46" s="9"/>
      <c r="FB46" s="9"/>
      <c r="FF46" s="9"/>
      <c r="FG46" s="9"/>
      <c r="FH46" s="9"/>
      <c r="FI46" s="9"/>
    </row>
    <row r="47" spans="2:165" outlineLevel="1" x14ac:dyDescent="0.2">
      <c r="B47" t="s">
        <v>28</v>
      </c>
      <c r="C47" t="s">
        <v>87</v>
      </c>
      <c r="E47" s="8"/>
      <c r="F47" t="s">
        <v>105</v>
      </c>
      <c r="G47" s="9">
        <v>0.1</v>
      </c>
      <c r="I47" s="8">
        <f t="shared" si="5"/>
        <v>0</v>
      </c>
      <c r="J47" s="10" cm="1">
        <f t="array" ref="J47">MAX(IF($N$3:$DM$3=$J$3,N47:DM47))</f>
        <v>0</v>
      </c>
      <c r="K47" s="10" cm="1">
        <f t="array" ref="K47">MAX(IF($N$3:$DM$3=$J$3,N47:DM47))</f>
        <v>0</v>
      </c>
      <c r="L47" s="8"/>
      <c r="O47" s="9"/>
      <c r="P47" s="9"/>
      <c r="Q47" s="9"/>
      <c r="R47" s="9"/>
      <c r="V47" s="9"/>
      <c r="W47" s="9"/>
      <c r="X47" s="9"/>
      <c r="Y47" s="9"/>
      <c r="AC47" s="9"/>
      <c r="AD47" s="9"/>
      <c r="AE47" s="9"/>
      <c r="AF47" s="9"/>
      <c r="AJ47" s="9"/>
      <c r="AK47" s="9"/>
      <c r="AL47" s="9"/>
      <c r="AM47" s="9"/>
      <c r="AQ47" s="9"/>
      <c r="AR47" s="9">
        <v>0.5</v>
      </c>
      <c r="AS47" s="9"/>
      <c r="AT47" s="9">
        <v>0.5</v>
      </c>
      <c r="AX47" s="9"/>
      <c r="AY47" s="9">
        <v>0.5</v>
      </c>
      <c r="AZ47" s="9"/>
      <c r="BA47" s="9">
        <v>0.5</v>
      </c>
      <c r="BE47" s="9"/>
      <c r="BF47" s="9">
        <v>0.5</v>
      </c>
      <c r="BG47" s="9"/>
      <c r="BH47" s="9">
        <v>0.5</v>
      </c>
      <c r="BL47" s="9"/>
      <c r="BM47" s="9">
        <v>0.5</v>
      </c>
      <c r="BN47" s="9"/>
      <c r="BO47" s="9">
        <v>0.5</v>
      </c>
      <c r="BS47" s="9"/>
      <c r="BT47" s="9">
        <v>0.8</v>
      </c>
      <c r="BU47" s="9"/>
      <c r="BV47" s="9">
        <v>0.8</v>
      </c>
      <c r="BZ47" s="9"/>
      <c r="CA47" s="9">
        <v>0.8</v>
      </c>
      <c r="CB47" s="9"/>
      <c r="CC47" s="9">
        <v>0.8</v>
      </c>
      <c r="CG47" s="9"/>
      <c r="CH47" s="9">
        <v>0.8</v>
      </c>
      <c r="CI47" s="9"/>
      <c r="CJ47" s="9">
        <v>0.8</v>
      </c>
      <c r="CN47" s="9"/>
      <c r="CO47" s="9">
        <v>0.8</v>
      </c>
      <c r="CP47" s="9"/>
      <c r="CQ47" s="9">
        <v>0.8</v>
      </c>
      <c r="CU47" s="9"/>
      <c r="CV47" s="9">
        <v>1</v>
      </c>
      <c r="CW47" s="9"/>
      <c r="CX47" s="9">
        <v>1</v>
      </c>
      <c r="DB47" s="9"/>
      <c r="DC47" s="9">
        <v>1</v>
      </c>
      <c r="DD47" s="9"/>
      <c r="DE47" s="9">
        <v>1</v>
      </c>
      <c r="DI47" s="9"/>
      <c r="DJ47" s="9">
        <v>1</v>
      </c>
      <c r="DK47" s="9"/>
      <c r="DL47" s="9">
        <v>1</v>
      </c>
      <c r="DP47" s="9"/>
      <c r="DQ47" s="9"/>
      <c r="DR47" s="9"/>
      <c r="DS47" s="9"/>
      <c r="DW47" s="9"/>
      <c r="DX47" s="9"/>
      <c r="DY47" s="9"/>
      <c r="DZ47" s="9"/>
      <c r="ED47" s="9"/>
      <c r="EE47" s="9"/>
      <c r="EF47" s="9"/>
      <c r="EG47" s="9"/>
      <c r="EK47" s="9"/>
      <c r="EL47" s="9"/>
      <c r="EM47" s="9"/>
      <c r="EN47" s="9"/>
      <c r="ER47" s="9"/>
      <c r="ES47" s="9"/>
      <c r="ET47" s="9"/>
      <c r="EU47" s="9"/>
      <c r="EY47" s="9"/>
      <c r="EZ47" s="9"/>
      <c r="FA47" s="9"/>
      <c r="FB47" s="9"/>
      <c r="FF47" s="9"/>
      <c r="FG47" s="9"/>
      <c r="FH47" s="9"/>
      <c r="FI47" s="9"/>
    </row>
    <row r="48" spans="2:165" outlineLevel="1" x14ac:dyDescent="0.2">
      <c r="B48" t="s">
        <v>28</v>
      </c>
      <c r="C48" t="s">
        <v>87</v>
      </c>
      <c r="E48" s="8"/>
      <c r="F48" t="s">
        <v>106</v>
      </c>
      <c r="G48" s="9">
        <v>0.1</v>
      </c>
      <c r="I48" s="8">
        <f t="shared" si="5"/>
        <v>0</v>
      </c>
      <c r="J48" s="10" cm="1">
        <f t="array" ref="J48">MAX(IF($N$3:$DM$3=$J$3,N48:DM48))</f>
        <v>0</v>
      </c>
      <c r="K48" s="10" cm="1">
        <f t="array" ref="K48">MAX(IF($N$3:$DM$3=$J$3,N48:DM48))</f>
        <v>0</v>
      </c>
      <c r="L48" s="8"/>
      <c r="O48" s="9"/>
      <c r="P48" s="9"/>
      <c r="Q48" s="9"/>
      <c r="R48" s="9"/>
      <c r="V48" s="9"/>
      <c r="W48" s="9"/>
      <c r="X48" s="9"/>
      <c r="Y48" s="9"/>
      <c r="AC48" s="9"/>
      <c r="AD48" s="9"/>
      <c r="AE48" s="9"/>
      <c r="AF48" s="9"/>
      <c r="AJ48" s="9"/>
      <c r="AK48" s="9"/>
      <c r="AL48" s="9"/>
      <c r="AM48" s="9"/>
      <c r="AQ48" s="9"/>
      <c r="AR48" s="9"/>
      <c r="AS48" s="9"/>
      <c r="AT48" s="9"/>
      <c r="AX48" s="9"/>
      <c r="AY48" s="9">
        <v>0.5</v>
      </c>
      <c r="AZ48" s="9"/>
      <c r="BA48" s="9">
        <v>0.5</v>
      </c>
      <c r="BE48" s="9"/>
      <c r="BF48" s="9">
        <v>0.5</v>
      </c>
      <c r="BG48" s="9"/>
      <c r="BH48" s="9">
        <v>0.5</v>
      </c>
      <c r="BL48" s="9"/>
      <c r="BM48" s="9">
        <v>0.5</v>
      </c>
      <c r="BN48" s="9"/>
      <c r="BO48" s="9">
        <v>0.5</v>
      </c>
      <c r="BS48" s="9"/>
      <c r="BT48" s="9">
        <v>0.5</v>
      </c>
      <c r="BU48" s="9"/>
      <c r="BV48" s="9">
        <v>0.5</v>
      </c>
      <c r="BZ48" s="9"/>
      <c r="CA48" s="9">
        <v>0.8</v>
      </c>
      <c r="CB48" s="9"/>
      <c r="CC48" s="9">
        <v>0.8</v>
      </c>
      <c r="CG48" s="9"/>
      <c r="CH48" s="9">
        <v>0.8</v>
      </c>
      <c r="CI48" s="9"/>
      <c r="CJ48" s="9">
        <v>0.8</v>
      </c>
      <c r="CN48" s="9"/>
      <c r="CO48" s="9">
        <v>0.8</v>
      </c>
      <c r="CP48" s="9"/>
      <c r="CQ48" s="9">
        <v>0.8</v>
      </c>
      <c r="CU48" s="9"/>
      <c r="CV48" s="9">
        <v>0.8</v>
      </c>
      <c r="CW48" s="9"/>
      <c r="CX48" s="9">
        <v>0.8</v>
      </c>
      <c r="DB48" s="9"/>
      <c r="DC48" s="9">
        <v>1</v>
      </c>
      <c r="DD48" s="9"/>
      <c r="DE48" s="9">
        <v>1</v>
      </c>
      <c r="DI48" s="9"/>
      <c r="DJ48" s="9">
        <v>1</v>
      </c>
      <c r="DK48" s="9"/>
      <c r="DL48" s="9">
        <v>1</v>
      </c>
      <c r="DP48" s="9"/>
      <c r="DQ48" s="9"/>
      <c r="DR48" s="9"/>
      <c r="DS48" s="9"/>
      <c r="DW48" s="9"/>
      <c r="DX48" s="9"/>
      <c r="DY48" s="9"/>
      <c r="DZ48" s="9"/>
      <c r="ED48" s="9"/>
      <c r="EE48" s="9"/>
      <c r="EF48" s="9"/>
      <c r="EG48" s="9"/>
      <c r="EK48" s="9"/>
      <c r="EL48" s="9"/>
      <c r="EM48" s="9"/>
      <c r="EN48" s="9"/>
      <c r="ER48" s="9"/>
      <c r="ES48" s="9"/>
      <c r="ET48" s="9"/>
      <c r="EU48" s="9"/>
      <c r="EY48" s="9"/>
      <c r="EZ48" s="9"/>
      <c r="FA48" s="9"/>
      <c r="FB48" s="9"/>
      <c r="FF48" s="9"/>
      <c r="FG48" s="9"/>
      <c r="FH48" s="9"/>
      <c r="FI48" s="9"/>
    </row>
    <row r="49" spans="2:165" outlineLevel="1" x14ac:dyDescent="0.2">
      <c r="B49" t="s">
        <v>28</v>
      </c>
      <c r="C49" t="s">
        <v>87</v>
      </c>
      <c r="E49" s="8"/>
      <c r="F49" t="s">
        <v>107</v>
      </c>
      <c r="G49" s="9">
        <v>0.1</v>
      </c>
      <c r="I49" s="8">
        <f t="shared" si="5"/>
        <v>0</v>
      </c>
      <c r="J49" s="10" cm="1">
        <f t="array" ref="J49">MAX(IF($N$3:$DM$3=$J$3,N49:DM49))</f>
        <v>0</v>
      </c>
      <c r="K49" s="10" cm="1">
        <f t="array" ref="K49">MAX(IF($N$3:$DM$3=$J$3,N49:DM49))</f>
        <v>0</v>
      </c>
      <c r="L49" s="8"/>
      <c r="O49" s="9"/>
      <c r="P49" s="9"/>
      <c r="Q49" s="9"/>
      <c r="R49" s="9"/>
      <c r="V49" s="9"/>
      <c r="W49" s="9"/>
      <c r="X49" s="9"/>
      <c r="Y49" s="9"/>
      <c r="AC49" s="9"/>
      <c r="AD49" s="9"/>
      <c r="AE49" s="9"/>
      <c r="AF49" s="9"/>
      <c r="AJ49" s="9"/>
      <c r="AK49" s="9"/>
      <c r="AL49" s="9"/>
      <c r="AM49" s="9"/>
      <c r="AQ49" s="9"/>
      <c r="AR49" s="9"/>
      <c r="AS49" s="9"/>
      <c r="AT49" s="9"/>
      <c r="AX49" s="9"/>
      <c r="AY49" s="9"/>
      <c r="AZ49" s="9"/>
      <c r="BA49" s="9"/>
      <c r="BE49" s="9"/>
      <c r="BF49" s="9">
        <v>0.5</v>
      </c>
      <c r="BG49" s="9"/>
      <c r="BH49" s="9">
        <v>0.5</v>
      </c>
      <c r="BL49" s="9"/>
      <c r="BM49" s="9">
        <v>0.5</v>
      </c>
      <c r="BN49" s="9"/>
      <c r="BO49" s="9">
        <v>0.5</v>
      </c>
      <c r="BS49" s="9"/>
      <c r="BT49" s="9">
        <v>0.5</v>
      </c>
      <c r="BU49" s="9"/>
      <c r="BV49" s="9">
        <v>0.5</v>
      </c>
      <c r="BZ49" s="9"/>
      <c r="CA49" s="9">
        <v>0.5</v>
      </c>
      <c r="CB49" s="9"/>
      <c r="CC49" s="9">
        <v>0.5</v>
      </c>
      <c r="CG49" s="9"/>
      <c r="CH49" s="9">
        <v>0.8</v>
      </c>
      <c r="CI49" s="9"/>
      <c r="CJ49" s="9">
        <v>0.8</v>
      </c>
      <c r="CN49" s="9"/>
      <c r="CO49" s="9">
        <v>0.8</v>
      </c>
      <c r="CP49" s="9"/>
      <c r="CQ49" s="9">
        <v>0.8</v>
      </c>
      <c r="CU49" s="9"/>
      <c r="CV49" s="9">
        <v>0.8</v>
      </c>
      <c r="CW49" s="9"/>
      <c r="CX49" s="9">
        <v>0.8</v>
      </c>
      <c r="DB49" s="9"/>
      <c r="DC49" s="9">
        <v>0.8</v>
      </c>
      <c r="DD49" s="9"/>
      <c r="DE49" s="9">
        <v>0.8</v>
      </c>
      <c r="DI49" s="9"/>
      <c r="DJ49" s="9">
        <v>1</v>
      </c>
      <c r="DK49" s="9"/>
      <c r="DL49" s="9">
        <v>1</v>
      </c>
      <c r="DP49" s="9"/>
      <c r="DQ49" s="9"/>
      <c r="DR49" s="9"/>
      <c r="DS49" s="9"/>
      <c r="DW49" s="9"/>
      <c r="DX49" s="9"/>
      <c r="DY49" s="9"/>
      <c r="DZ49" s="9"/>
      <c r="ED49" s="9"/>
      <c r="EE49" s="9"/>
      <c r="EF49" s="9"/>
      <c r="EG49" s="9"/>
      <c r="EK49" s="9"/>
      <c r="EL49" s="9"/>
      <c r="EM49" s="9"/>
      <c r="EN49" s="9"/>
      <c r="ER49" s="9"/>
      <c r="ES49" s="9"/>
      <c r="ET49" s="9"/>
      <c r="EU49" s="9"/>
      <c r="EY49" s="9"/>
      <c r="EZ49" s="9"/>
      <c r="FA49" s="9"/>
      <c r="FB49" s="9"/>
      <c r="FF49" s="9"/>
      <c r="FG49" s="9"/>
      <c r="FH49" s="9"/>
      <c r="FI49" s="9"/>
    </row>
    <row r="50" spans="2:165" outlineLevel="1" x14ac:dyDescent="0.2">
      <c r="B50" t="s">
        <v>28</v>
      </c>
      <c r="C50" t="s">
        <v>87</v>
      </c>
      <c r="E50" s="8"/>
      <c r="F50" t="s">
        <v>108</v>
      </c>
      <c r="G50" s="9">
        <v>0.1</v>
      </c>
      <c r="I50" s="8">
        <f t="shared" si="5"/>
        <v>0</v>
      </c>
      <c r="J50" s="10" cm="1">
        <f t="array" ref="J50">MAX(IF($N$3:$DM$3=$J$3,N50:DM50))</f>
        <v>0</v>
      </c>
      <c r="K50" s="10" cm="1">
        <f t="array" ref="K50">MAX(IF($N$3:$DM$3=$J$3,N50:DM50))</f>
        <v>0</v>
      </c>
      <c r="L50" s="8"/>
      <c r="O50" s="9"/>
      <c r="P50" s="9"/>
      <c r="Q50" s="9"/>
      <c r="R50" s="9"/>
      <c r="V50" s="9"/>
      <c r="W50" s="9"/>
      <c r="X50" s="9"/>
      <c r="Y50" s="9"/>
      <c r="AC50" s="9"/>
      <c r="AD50" s="9"/>
      <c r="AE50" s="9"/>
      <c r="AF50" s="9"/>
      <c r="AJ50" s="9"/>
      <c r="AK50" s="9"/>
      <c r="AL50" s="9"/>
      <c r="AM50" s="9"/>
      <c r="AQ50" s="9"/>
      <c r="AR50" s="9"/>
      <c r="AS50" s="9"/>
      <c r="AT50" s="9"/>
      <c r="AX50" s="9"/>
      <c r="AY50" s="9"/>
      <c r="AZ50" s="9"/>
      <c r="BA50" s="9"/>
      <c r="BE50" s="9"/>
      <c r="BF50" s="9"/>
      <c r="BG50" s="9"/>
      <c r="BH50" s="9"/>
      <c r="BL50" s="9"/>
      <c r="BM50" s="9">
        <v>0.5</v>
      </c>
      <c r="BN50" s="9"/>
      <c r="BO50" s="9">
        <v>0.5</v>
      </c>
      <c r="BS50" s="9"/>
      <c r="BT50" s="9">
        <v>0.5</v>
      </c>
      <c r="BU50" s="9"/>
      <c r="BV50" s="9">
        <v>0.5</v>
      </c>
      <c r="BZ50" s="9"/>
      <c r="CA50" s="9">
        <v>0.5</v>
      </c>
      <c r="CB50" s="9"/>
      <c r="CC50" s="9">
        <v>0.5</v>
      </c>
      <c r="CG50" s="9"/>
      <c r="CH50" s="9">
        <v>0.5</v>
      </c>
      <c r="CI50" s="9"/>
      <c r="CJ50" s="9">
        <v>0.5</v>
      </c>
      <c r="CN50" s="9"/>
      <c r="CO50" s="9">
        <v>0.8</v>
      </c>
      <c r="CP50" s="9"/>
      <c r="CQ50" s="9">
        <v>0.8</v>
      </c>
      <c r="CU50" s="9"/>
      <c r="CV50" s="9">
        <v>0.8</v>
      </c>
      <c r="CW50" s="9"/>
      <c r="CX50" s="9">
        <v>0.8</v>
      </c>
      <c r="DB50" s="9"/>
      <c r="DC50" s="9">
        <v>0.8</v>
      </c>
      <c r="DD50" s="9"/>
      <c r="DE50" s="9">
        <v>0.8</v>
      </c>
      <c r="DI50" s="9"/>
      <c r="DJ50" s="9">
        <v>1</v>
      </c>
      <c r="DK50" s="9"/>
      <c r="DL50" s="9">
        <v>1</v>
      </c>
      <c r="DP50" s="9"/>
      <c r="DQ50" s="9"/>
      <c r="DR50" s="9"/>
      <c r="DS50" s="9"/>
      <c r="DW50" s="9"/>
      <c r="DX50" s="9"/>
      <c r="DY50" s="9"/>
      <c r="DZ50" s="9"/>
      <c r="ED50" s="9"/>
      <c r="EE50" s="9"/>
      <c r="EF50" s="9"/>
      <c r="EG50" s="9"/>
      <c r="EK50" s="9"/>
      <c r="EL50" s="9"/>
      <c r="EM50" s="9"/>
      <c r="EN50" s="9"/>
      <c r="ER50" s="9"/>
      <c r="ES50" s="9"/>
      <c r="ET50" s="9"/>
      <c r="EU50" s="9"/>
      <c r="EY50" s="9"/>
      <c r="EZ50" s="9"/>
      <c r="FA50" s="9"/>
      <c r="FB50" s="9"/>
      <c r="FF50" s="9"/>
      <c r="FG50" s="9"/>
      <c r="FH50" s="9"/>
      <c r="FI50" s="9"/>
    </row>
  </sheetData>
  <mergeCells count="24">
    <mergeCell ref="BR2:BW2"/>
    <mergeCell ref="EX2:FC2"/>
    <mergeCell ref="FE2:FJ2"/>
    <mergeCell ref="DO2:DT2"/>
    <mergeCell ref="DV2:EA2"/>
    <mergeCell ref="EC2:EH2"/>
    <mergeCell ref="EJ2:EO2"/>
    <mergeCell ref="EQ2:EV2"/>
    <mergeCell ref="B1:D1"/>
    <mergeCell ref="CM2:CR2"/>
    <mergeCell ref="CT2:CY2"/>
    <mergeCell ref="DA2:DF2"/>
    <mergeCell ref="DH2:DM2"/>
    <mergeCell ref="I2:L2"/>
    <mergeCell ref="N2:S2"/>
    <mergeCell ref="BD2:BI2"/>
    <mergeCell ref="U2:Z2"/>
    <mergeCell ref="AB2:AG2"/>
    <mergeCell ref="AI2:AN2"/>
    <mergeCell ref="AP2:AU2"/>
    <mergeCell ref="AW2:BB2"/>
    <mergeCell ref="BY2:CD2"/>
    <mergeCell ref="CF2:CK2"/>
    <mergeCell ref="BK2:BP2"/>
  </mergeCells>
  <phoneticPr fontId="5" type="noConversion"/>
  <conditionalFormatting sqref="J5:J15">
    <cfRule type="colorScale" priority="1104">
      <colorScale>
        <cfvo type="percent" val="0"/>
        <cfvo type="percent" val="100"/>
        <color rgb="FFFF231B"/>
        <color rgb="FF10FF07"/>
      </colorScale>
    </cfRule>
  </conditionalFormatting>
  <conditionalFormatting sqref="J13:J15">
    <cfRule type="colorScale" priority="1">
      <colorScale>
        <cfvo type="percent" val="0"/>
        <cfvo type="percent" val="100"/>
        <color rgb="FFFF231B"/>
        <color rgb="FF10FF07"/>
      </colorScale>
    </cfRule>
  </conditionalFormatting>
  <conditionalFormatting sqref="J18">
    <cfRule type="colorScale" priority="307">
      <colorScale>
        <cfvo type="percent" val="0"/>
        <cfvo type="percent" val="100"/>
        <color rgb="FFFF231B"/>
        <color rgb="FF10FF07"/>
      </colorScale>
    </cfRule>
  </conditionalFormatting>
  <conditionalFormatting sqref="J19">
    <cfRule type="colorScale" priority="288">
      <colorScale>
        <cfvo type="percent" val="0"/>
        <cfvo type="percent" val="100"/>
        <color rgb="FFFF231B"/>
        <color rgb="FF10FF07"/>
      </colorScale>
    </cfRule>
  </conditionalFormatting>
  <conditionalFormatting sqref="J20:J28">
    <cfRule type="colorScale" priority="541">
      <colorScale>
        <cfvo type="percent" val="0"/>
        <cfvo type="percent" val="100"/>
        <color rgb="FFFF231B"/>
        <color rgb="FF10FF07"/>
      </colorScale>
    </cfRule>
  </conditionalFormatting>
  <conditionalFormatting sqref="J31:J39">
    <cfRule type="colorScale" priority="918">
      <colorScale>
        <cfvo type="percent" val="0"/>
        <cfvo type="percent" val="100"/>
        <color rgb="FFFF231B"/>
        <color rgb="FF10FF07"/>
      </colorScale>
    </cfRule>
  </conditionalFormatting>
  <conditionalFormatting sqref="J42:J50">
    <cfRule type="colorScale" priority="915">
      <colorScale>
        <cfvo type="percent" val="0"/>
        <cfvo type="percent" val="100"/>
        <color rgb="FFFF231B"/>
        <color rgb="FF10FF07"/>
      </colorScale>
    </cfRule>
  </conditionalFormatting>
  <conditionalFormatting sqref="J6:K12">
    <cfRule type="colorScale" priority="1107">
      <colorScale>
        <cfvo type="percent" val="0"/>
        <cfvo type="percent" val="100"/>
        <color rgb="FFFF231B"/>
        <color rgb="FF10FF07"/>
      </colorScale>
    </cfRule>
  </conditionalFormatting>
  <conditionalFormatting sqref="J13:K13">
    <cfRule type="colorScale" priority="4">
      <colorScale>
        <cfvo type="percent" val="0"/>
        <cfvo type="percent" val="100"/>
        <color rgb="FFFF231B"/>
        <color rgb="FF10FF07"/>
      </colorScale>
    </cfRule>
  </conditionalFormatting>
  <conditionalFormatting sqref="J14:K14">
    <cfRule type="colorScale" priority="2">
      <colorScale>
        <cfvo type="percent" val="0"/>
        <cfvo type="percent" val="100"/>
        <color rgb="FFFF231B"/>
        <color rgb="FF10FF07"/>
      </colorScale>
    </cfRule>
  </conditionalFormatting>
  <conditionalFormatting sqref="J15:K15">
    <cfRule type="colorScale" priority="3">
      <colorScale>
        <cfvo type="percent" val="0"/>
        <cfvo type="percent" val="100"/>
        <color rgb="FFFF231B"/>
        <color rgb="FF10FF07"/>
      </colorScale>
    </cfRule>
  </conditionalFormatting>
  <conditionalFormatting sqref="J18:K18">
    <cfRule type="colorScale" priority="308">
      <colorScale>
        <cfvo type="percent" val="0"/>
        <cfvo type="percent" val="100"/>
        <color rgb="FFFF231B"/>
        <color rgb="FF10FF07"/>
      </colorScale>
    </cfRule>
  </conditionalFormatting>
  <conditionalFormatting sqref="J19:K19">
    <cfRule type="colorScale" priority="289">
      <colorScale>
        <cfvo type="percent" val="0"/>
        <cfvo type="percent" val="100"/>
        <color rgb="FFFF231B"/>
        <color rgb="FF10FF07"/>
      </colorScale>
    </cfRule>
  </conditionalFormatting>
  <conditionalFormatting sqref="J20:K28">
    <cfRule type="colorScale" priority="542">
      <colorScale>
        <cfvo type="percent" val="0"/>
        <cfvo type="percent" val="100"/>
        <color rgb="FFFF231B"/>
        <color rgb="FF10FF07"/>
      </colorScale>
    </cfRule>
  </conditionalFormatting>
  <conditionalFormatting sqref="J32:K32">
    <cfRule type="colorScale" priority="7">
      <colorScale>
        <cfvo type="percent" val="0"/>
        <cfvo type="percent" val="100"/>
        <color rgb="FFFF231B"/>
        <color rgb="FF10FF07"/>
      </colorScale>
    </cfRule>
  </conditionalFormatting>
  <conditionalFormatting sqref="J33:K33">
    <cfRule type="colorScale" priority="6">
      <colorScale>
        <cfvo type="percent" val="0"/>
        <cfvo type="percent" val="100"/>
        <color rgb="FFFF231B"/>
        <color rgb="FF10FF07"/>
      </colorScale>
    </cfRule>
  </conditionalFormatting>
  <conditionalFormatting sqref="J34:K34">
    <cfRule type="colorScale" priority="8">
      <colorScale>
        <cfvo type="percent" val="0"/>
        <cfvo type="percent" val="100"/>
        <color rgb="FFFF231B"/>
        <color rgb="FF10FF07"/>
      </colorScale>
    </cfRule>
  </conditionalFormatting>
  <conditionalFormatting sqref="J35:K39">
    <cfRule type="colorScale" priority="919">
      <colorScale>
        <cfvo type="percent" val="0"/>
        <cfvo type="percent" val="100"/>
        <color rgb="FFFF231B"/>
        <color rgb="FF10FF07"/>
      </colorScale>
    </cfRule>
  </conditionalFormatting>
  <conditionalFormatting sqref="J43:K50">
    <cfRule type="colorScale" priority="916">
      <colorScale>
        <cfvo type="percent" val="0"/>
        <cfvo type="percent" val="100"/>
        <color rgb="FFFF231B"/>
        <color rgb="FF10FF07"/>
      </colorScale>
    </cfRule>
  </conditionalFormatting>
  <conditionalFormatting sqref="K5:K15">
    <cfRule type="colorScale" priority="1110">
      <colorScale>
        <cfvo type="percent" val="0"/>
        <cfvo type="percent" val="100"/>
        <color rgb="FFFF231B"/>
        <color rgb="FF10FF07"/>
      </colorScale>
    </cfRule>
  </conditionalFormatting>
  <conditionalFormatting sqref="K18">
    <cfRule type="colorScale" priority="306">
      <colorScale>
        <cfvo type="percent" val="0"/>
        <cfvo type="percent" val="100"/>
        <color rgb="FFFF231B"/>
        <color rgb="FF10FF07"/>
      </colorScale>
    </cfRule>
  </conditionalFormatting>
  <conditionalFormatting sqref="K19">
    <cfRule type="colorScale" priority="287">
      <colorScale>
        <cfvo type="percent" val="0"/>
        <cfvo type="percent" val="100"/>
        <color rgb="FFFF231B"/>
        <color rgb="FF10FF07"/>
      </colorScale>
    </cfRule>
  </conditionalFormatting>
  <conditionalFormatting sqref="K20:K28">
    <cfRule type="colorScale" priority="540">
      <colorScale>
        <cfvo type="percent" val="0"/>
        <cfvo type="percent" val="100"/>
        <color rgb="FFFF231B"/>
        <color rgb="FF10FF07"/>
      </colorScale>
    </cfRule>
  </conditionalFormatting>
  <conditionalFormatting sqref="K31:K39">
    <cfRule type="colorScale" priority="920">
      <colorScale>
        <cfvo type="percent" val="0"/>
        <cfvo type="percent" val="100"/>
        <color rgb="FFFF231B"/>
        <color rgb="FF10FF07"/>
      </colorScale>
    </cfRule>
  </conditionalFormatting>
  <conditionalFormatting sqref="K42:K50">
    <cfRule type="colorScale" priority="917">
      <colorScale>
        <cfvo type="percent" val="0"/>
        <cfvo type="percent" val="100"/>
        <color rgb="FFFF231B"/>
        <color rgb="FF10FF07"/>
      </colorScale>
    </cfRule>
  </conditionalFormatting>
  <conditionalFormatting sqref="O5:O15 Q5:Q15 V5:V15 X5:X15 AC5:AC15 AE5:AE15 AJ5:AJ15 AL5:AL15 AQ5:AQ15 AS5:AS15 AX5:AX15 AZ5:AZ15 BE5:BE15 BG5:BG15 BL5:BL15 BN5:BN15 BS5:BS15 BU5:BU15 BZ5:BZ15 CB5:CB15 CG5:CG15 CI5:CI15 CN5:CN15 CP5:CP15 CU5:CU15 CW5:CW15 DB5:DB15 DD5:DD15 DI5:DI15 DK5:DK15 DP5:DP15 DR5:DR15 DW5:DW15 DY5:DY15 ED5:ED15 EF5:EF15 EK5:EK15 EM5:EM15 ER5:ER15 ET5:ET15 EY5:EY15 FA5:FA15 FF5:FF15 FH5:FH15 O18:O28 Q18:Q28 V18:V28 X18:X28 AC18:AC28 AE18:AE28 AJ18:AJ28 AL18:AL28 AQ18:AQ28 AS18:AS28 AX18:AX28 AZ18:AZ28 BE18:BE28 BG18:BG28 BL18:BL28 BN18:BN28 BS18:BS28 BU18:BU28 BZ18:BZ28 CB18:CB28 CG18:CG28 CI18:CI28 CN18:CN28 CP18:CP28 CU18:CU28 CW18:CW28 DB18:DB28 DD18:DD28 DI18:DI28 DK18:DK28 DP18:DP28 DR18:DR28 DW18:DW28 DY18:DY28 ED18:ED28 EF18:EF28 EK18:EK28 EM18:EM28 ER18:ER28 ET18:ET28 EY18:EY28 FA18:FA28 FF18:FF28 FH18:FH28 O31:O39 Q31:Q39 V31:V39 X31:X39 AC31:AC39 AE31:AE39 AJ31:AJ39 AL31:AL39 AQ31:AQ39 AS31:AS39 AX31:AX39 AZ31:AZ39 BE31:BE39 BG31:BG39 BL31:BL39 BN31:BN39 BS31:BS39 BU31:BU39 BZ31:BZ39 CB31:CB39 CG31:CG39 CI31:CI39 CN31:CN39 CP31:CP39 CU31:CU39 CW31:CW39 O42:O50 Q42:Q50 V42:V50 X42:X50 AC42:AC50 AE42:AE50 AJ42:AJ50 AL42:AL50 AQ42:AQ50 AS42:AS50 AX42:AX50 AZ42:AZ50 BE42:BE50 BG42:BG50 BL42:BL50 BN42:BN50 BS42:BS50 BU42:BU50 BZ42:BZ50 CB42:CB50 CG42:CG50 CI42:CI50 CN42:CN50 CP42:CP50 CU42:CU50 CW42:CW50">
    <cfRule type="expression" dxfId="31" priority="728">
      <formula>IF(O5&gt;=P5,IF(O5="",FALSE,TRUE))</formula>
    </cfRule>
    <cfRule type="expression" dxfId="30" priority="727">
      <formula>OR(IF(O5&lt;P5,TRUE),IF(AND(P5="",O5&lt;&gt;""),TRUE))</formula>
    </cfRule>
  </conditionalFormatting>
  <conditionalFormatting sqref="DB31:DB39 DD31:DD39 DB42:DB50 DD42:DD50">
    <cfRule type="expression" dxfId="29" priority="12">
      <formula>IF(DB31&gt;=DC31,IF(DB31="",FALSE,TRUE))</formula>
    </cfRule>
    <cfRule type="expression" dxfId="28" priority="11">
      <formula>OR(IF(DB31&lt;DC31,TRUE),IF(AND(DC31="",DB31&lt;&gt;""),TRUE))</formula>
    </cfRule>
  </conditionalFormatting>
  <conditionalFormatting sqref="DI31:DI39 DK31:DK39 DI42:DI50 DK42:DK50">
    <cfRule type="expression" dxfId="27" priority="132">
      <formula>IF(DI31&gt;=DJ31,IF(DI31="",FALSE,TRUE))</formula>
    </cfRule>
    <cfRule type="expression" dxfId="26" priority="131">
      <formula>OR(IF(DI31&lt;DJ31,TRUE),IF(AND(DJ31="",DI31&lt;&gt;""),TRUE))</formula>
    </cfRule>
  </conditionalFormatting>
  <conditionalFormatting sqref="DP31:DP39 DR31:DR39 DP42:DP50 DR42:DR50">
    <cfRule type="expression" dxfId="25" priority="125">
      <formula>OR(IF(DP31&lt;DQ31,TRUE),IF(AND(DQ31="",DP31&lt;&gt;""),TRUE))</formula>
    </cfRule>
    <cfRule type="expression" dxfId="24" priority="126">
      <formula>IF(DP31&gt;=DQ31,IF(DP31="",FALSE,TRUE))</formula>
    </cfRule>
  </conditionalFormatting>
  <conditionalFormatting sqref="DW31:DW39 DY31:DY39 DW42:DW50 DY42:DY50">
    <cfRule type="expression" dxfId="23" priority="120">
      <formula>IF(DW31&gt;=DX31,IF(DW31="",FALSE,TRUE))</formula>
    </cfRule>
    <cfRule type="expression" dxfId="22" priority="119">
      <formula>OR(IF(DW31&lt;DX31,TRUE),IF(AND(DX31="",DW31&lt;&gt;""),TRUE))</formula>
    </cfRule>
  </conditionalFormatting>
  <conditionalFormatting sqref="ED31:ED39 EF31:EF39 ED42:ED50 EF42:EF50">
    <cfRule type="expression" dxfId="21" priority="114">
      <formula>IF(ED31&gt;=EE31,IF(ED31="",FALSE,TRUE))</formula>
    </cfRule>
    <cfRule type="expression" dxfId="20" priority="113">
      <formula>OR(IF(ED31&lt;EE31,TRUE),IF(AND(EE31="",ED31&lt;&gt;""),TRUE))</formula>
    </cfRule>
  </conditionalFormatting>
  <conditionalFormatting sqref="EK31:EK39 EM31:EM39 EK42:EK50 EM42:EM50">
    <cfRule type="expression" dxfId="19" priority="107">
      <formula>OR(IF(EK31&lt;EL31,TRUE),IF(AND(EL31="",EK31&lt;&gt;""),TRUE))</formula>
    </cfRule>
    <cfRule type="expression" dxfId="18" priority="108">
      <formula>IF(EK31&gt;=EL31,IF(EK31="",FALSE,TRUE))</formula>
    </cfRule>
  </conditionalFormatting>
  <conditionalFormatting sqref="ER31:ER39 ET31:ET39 ER42:ER50 ET42:ET50">
    <cfRule type="expression" dxfId="17" priority="102">
      <formula>IF(ER31&gt;=ES31,IF(ER31="",FALSE,TRUE))</formula>
    </cfRule>
    <cfRule type="expression" dxfId="16" priority="101">
      <formula>OR(IF(ER31&lt;ES31,TRUE),IF(AND(ES31="",ER31&lt;&gt;""),TRUE))</formula>
    </cfRule>
  </conditionalFormatting>
  <conditionalFormatting sqref="EY31:EY39 FA31:FA39 EY42:EY50 FA42:FA50">
    <cfRule type="expression" dxfId="15" priority="95">
      <formula>OR(IF(EY31&lt;EZ31,TRUE),IF(AND(EZ31="",EY31&lt;&gt;""),TRUE))</formula>
    </cfRule>
    <cfRule type="expression" dxfId="14" priority="96">
      <formula>IF(EY31&gt;=EZ31,IF(EY31="",FALSE,TRUE))</formula>
    </cfRule>
  </conditionalFormatting>
  <conditionalFormatting sqref="FF31:FF39 FH31:FH39 FF42:FF50 FH42:FH50">
    <cfRule type="expression" dxfId="13" priority="89">
      <formula>OR(IF(FF31&lt;FG31,TRUE),IF(AND(FG31="",FF31&lt;&gt;""),TRUE))</formula>
    </cfRule>
    <cfRule type="expression" dxfId="12" priority="90">
      <formula>IF(FF31&gt;=FG31,IF(FF31="",FALSE,TRUE))</formula>
    </cfRule>
  </conditionalFormatting>
  <dataValidations count="1">
    <dataValidation type="list" allowBlank="1" showInputMessage="1" showErrorMessage="1" sqref="V42:Y50 AJ18:AM28 O18:R28 BL18:BO28 FF42:FI50 DB42:DE50 DI42:DL50 DP42:DS50 DW42:DZ50 ED42:EG50 EK42:EN50 ER42:EU50 EY42:FB50 AJ42:AM50 CN18:CQ28 CG18:CJ28 BZ18:CC28 AC18:AF28 BS18:BV28 BS42:BV50 BL42:BO50 BE18:BH28 AX18:BA28 AQ18:AT28 BZ42:CC50 CN42:CQ50 DB18:DE28 BZ31:CC39 EY18:FB28 ER18:EU28 EK18:EN28 ED18:EG28 DW18:DZ28 DP18:DS28 DI18:DL28 FF18:FI28 CG42:CJ50 O42:R50 O31:R39 AJ31:AM39 AQ42:AT50 AX42:BA50 BE42:BH50 V18:Y28 AC42:AF50 AC31:AF39 V31:Y39 DB31:DE39 EY31:FB39 ER31:EU39 EK31:EN39 ED31:EG39 DW31:DZ39 DP31:DS39 DI31:DL39 CN31:CQ39 FF31:FI39 CG31:CJ39 BL31:BO39 BS31:BV39 BE31:BH39 AQ31:AT39 AX31:BA39 CU42:CX50 CU18:CX28 CU31:CX39 AC5:AF15 CN5:CQ15 V5:Y15 O5:R15 FF5:FI15 AQ5:AT15 DP5:DS15 DW5:DZ15 ED5:EG15 EK5:EN15 ER5:EU15 EY5:FB15 CU5:CX15 CG5:CJ15 BZ5:CC15 BL5:BO15 AJ5:AM15 AX5:BA15 BE5:BH15 DI5:DL15 BS5:BV15 DB5:DE15"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2" sqref="B2"/>
    </sheetView>
  </sheetViews>
  <sheetFormatPr baseColWidth="10" defaultColWidth="10.6640625" defaultRowHeight="16" x14ac:dyDescent="0.2"/>
  <cols>
    <col min="2" max="2" width="161" customWidth="1"/>
    <col min="3" max="3" width="10.83203125"/>
  </cols>
  <sheetData>
    <row r="4" spans="2:2" ht="21" x14ac:dyDescent="0.25">
      <c r="B4" s="3" t="s">
        <v>16</v>
      </c>
    </row>
    <row r="6" spans="2:2" x14ac:dyDescent="0.2">
      <c r="B6" s="2" t="s">
        <v>13</v>
      </c>
    </row>
    <row r="7" spans="2:2" ht="51" x14ac:dyDescent="0.2">
      <c r="B7" s="1" t="s">
        <v>14</v>
      </c>
    </row>
    <row r="9" spans="2:2" x14ac:dyDescent="0.2">
      <c r="B9" s="2" t="s">
        <v>15</v>
      </c>
    </row>
    <row r="10" spans="2:2" ht="68" x14ac:dyDescent="0.2">
      <c r="B10" s="1" t="s">
        <v>35</v>
      </c>
    </row>
    <row r="12" spans="2:2" x14ac:dyDescent="0.2">
      <c r="B12" s="2" t="s">
        <v>17</v>
      </c>
    </row>
    <row r="13" spans="2:2" ht="153" x14ac:dyDescent="0.2">
      <c r="B13" s="1" t="s">
        <v>18</v>
      </c>
    </row>
    <row r="15" spans="2:2" x14ac:dyDescent="0.2">
      <c r="B15" s="2" t="s">
        <v>19</v>
      </c>
    </row>
    <row r="16" spans="2:2" ht="119" x14ac:dyDescent="0.2">
      <c r="B16" s="1" t="s">
        <v>20</v>
      </c>
    </row>
    <row r="17" spans="2:2" x14ac:dyDescent="0.2">
      <c r="B17" s="1"/>
    </row>
    <row r="18" spans="2:2" x14ac:dyDescent="0.2">
      <c r="B18" s="2" t="s">
        <v>34</v>
      </c>
    </row>
    <row r="19" spans="2:2" ht="153" x14ac:dyDescent="0.2">
      <c r="B19" s="1" t="s">
        <v>36</v>
      </c>
    </row>
    <row r="21" spans="2:2" x14ac:dyDescent="0.2">
      <c r="B21" s="2" t="s">
        <v>21</v>
      </c>
    </row>
    <row r="22" spans="2:2" ht="136" x14ac:dyDescent="0.2">
      <c r="B22" s="1" t="s">
        <v>37</v>
      </c>
    </row>
    <row r="24" spans="2:2" x14ac:dyDescent="0.2">
      <c r="B24" s="2" t="s">
        <v>22</v>
      </c>
    </row>
    <row r="25" spans="2:2" ht="136" x14ac:dyDescent="0.2">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zoomScale="125" workbookViewId="0">
      <selection activeCell="C9" sqref="C9"/>
    </sheetView>
  </sheetViews>
  <sheetFormatPr baseColWidth="10" defaultColWidth="10.6640625" defaultRowHeight="16" x14ac:dyDescent="0.2"/>
  <cols>
    <col min="1" max="1" width="16.83203125" style="8" customWidth="1"/>
    <col min="2" max="2" width="19.1640625" style="8" customWidth="1"/>
    <col min="3" max="3" width="18.1640625" style="8" customWidth="1"/>
    <col min="4" max="4" width="19.5" style="8" customWidth="1"/>
    <col min="8" max="8" width="15.1640625" customWidth="1"/>
    <col min="10" max="10" width="42" customWidth="1"/>
    <col min="11" max="11" width="28.5" customWidth="1"/>
  </cols>
  <sheetData>
    <row r="1" spans="1:11" ht="34" x14ac:dyDescent="0.2">
      <c r="A1" s="8" t="s">
        <v>41</v>
      </c>
      <c r="B1" s="13" t="s">
        <v>38</v>
      </c>
      <c r="C1" s="13" t="s">
        <v>39</v>
      </c>
      <c r="D1" s="13" t="s">
        <v>40</v>
      </c>
      <c r="E1" s="1" t="s">
        <v>42</v>
      </c>
      <c r="F1" s="1" t="s">
        <v>43</v>
      </c>
      <c r="G1" s="1" t="s">
        <v>44</v>
      </c>
      <c r="H1" s="1" t="s">
        <v>45</v>
      </c>
      <c r="I1" s="1" t="s">
        <v>46</v>
      </c>
      <c r="J1" s="1" t="s">
        <v>47</v>
      </c>
      <c r="K1" s="1" t="s">
        <v>48</v>
      </c>
    </row>
    <row r="2" spans="1:11" x14ac:dyDescent="0.2">
      <c r="A2" s="12">
        <v>44118</v>
      </c>
      <c r="D2" s="10">
        <v>1</v>
      </c>
    </row>
    <row r="3" spans="1:11" x14ac:dyDescent="0.2">
      <c r="A3" s="12">
        <v>44119</v>
      </c>
    </row>
    <row r="4" spans="1:11" x14ac:dyDescent="0.2">
      <c r="A4" s="12">
        <v>44120</v>
      </c>
    </row>
    <row r="5" spans="1:11" x14ac:dyDescent="0.2">
      <c r="A5" s="12">
        <v>44121</v>
      </c>
    </row>
    <row r="6" spans="1:11" x14ac:dyDescent="0.2">
      <c r="A6" s="12">
        <v>44122</v>
      </c>
    </row>
    <row r="7" spans="1:11" x14ac:dyDescent="0.2">
      <c r="A7" s="12">
        <v>44123</v>
      </c>
    </row>
    <row r="8" spans="1:11" x14ac:dyDescent="0.2">
      <c r="A8" s="12">
        <v>44124</v>
      </c>
    </row>
    <row r="9" spans="1:11" x14ac:dyDescent="0.2">
      <c r="A9" s="12">
        <v>44125</v>
      </c>
    </row>
    <row r="10" spans="1:11" x14ac:dyDescent="0.2">
      <c r="A10" s="12">
        <v>44126</v>
      </c>
    </row>
    <row r="11" spans="1:11" x14ac:dyDescent="0.2">
      <c r="A11" s="12">
        <v>44127</v>
      </c>
    </row>
    <row r="12" spans="1:11" x14ac:dyDescent="0.2">
      <c r="A12" s="12">
        <v>44128</v>
      </c>
    </row>
    <row r="13" spans="1:11" x14ac:dyDescent="0.2">
      <c r="A13" s="12">
        <v>44129</v>
      </c>
    </row>
    <row r="14" spans="1:11" x14ac:dyDescent="0.2">
      <c r="A14" s="12">
        <v>44130</v>
      </c>
    </row>
    <row r="15" spans="1:11" x14ac:dyDescent="0.2">
      <c r="A15" s="12">
        <v>44131</v>
      </c>
    </row>
    <row r="16" spans="1:11" x14ac:dyDescent="0.2">
      <c r="A16" s="12">
        <v>44132</v>
      </c>
    </row>
    <row r="17" spans="1:1" x14ac:dyDescent="0.2">
      <c r="A17" s="12">
        <v>44133</v>
      </c>
    </row>
    <row r="18" spans="1:1" x14ac:dyDescent="0.2">
      <c r="A18" s="12">
        <v>44134</v>
      </c>
    </row>
    <row r="19" spans="1:1" x14ac:dyDescent="0.2">
      <c r="A19" s="12">
        <v>44135</v>
      </c>
    </row>
    <row r="20" spans="1:1" x14ac:dyDescent="0.2">
      <c r="A20" s="12">
        <v>44136</v>
      </c>
    </row>
    <row r="21" spans="1:1" x14ac:dyDescent="0.2">
      <c r="A21" s="12">
        <v>44137</v>
      </c>
    </row>
    <row r="22" spans="1:1" x14ac:dyDescent="0.2">
      <c r="A22" s="12">
        <v>44138</v>
      </c>
    </row>
    <row r="23" spans="1:1" x14ac:dyDescent="0.2">
      <c r="A23" s="12">
        <v>44139</v>
      </c>
    </row>
    <row r="24" spans="1:1" x14ac:dyDescent="0.2">
      <c r="A24" s="12">
        <v>44140</v>
      </c>
    </row>
    <row r="25" spans="1:1" x14ac:dyDescent="0.2">
      <c r="A25" s="12">
        <v>44141</v>
      </c>
    </row>
    <row r="26" spans="1:1" x14ac:dyDescent="0.2">
      <c r="A26" s="12">
        <v>44142</v>
      </c>
    </row>
    <row r="27" spans="1:1" x14ac:dyDescent="0.2">
      <c r="A27" s="12">
        <v>44143</v>
      </c>
    </row>
    <row r="28" spans="1:1" x14ac:dyDescent="0.2">
      <c r="A28" s="12">
        <v>44144</v>
      </c>
    </row>
    <row r="29" spans="1:1" x14ac:dyDescent="0.2">
      <c r="A29" s="12">
        <v>44145</v>
      </c>
    </row>
    <row r="30" spans="1:1" x14ac:dyDescent="0.2">
      <c r="A30" s="12">
        <v>44146</v>
      </c>
    </row>
    <row r="31" spans="1:1" x14ac:dyDescent="0.2">
      <c r="A31" s="12">
        <v>44147</v>
      </c>
    </row>
    <row r="32" spans="1:1" x14ac:dyDescent="0.2">
      <c r="A32" s="12">
        <v>44148</v>
      </c>
    </row>
    <row r="33" spans="1:1" x14ac:dyDescent="0.2">
      <c r="A33" s="12">
        <v>44149</v>
      </c>
    </row>
    <row r="34" spans="1:1" x14ac:dyDescent="0.2">
      <c r="A34" s="12">
        <v>44150</v>
      </c>
    </row>
    <row r="35" spans="1:1" x14ac:dyDescent="0.2">
      <c r="A35" s="12">
        <v>44151</v>
      </c>
    </row>
    <row r="36" spans="1:1" x14ac:dyDescent="0.2">
      <c r="A36" s="12">
        <v>44152</v>
      </c>
    </row>
    <row r="37" spans="1:1" x14ac:dyDescent="0.2">
      <c r="A37" s="12">
        <v>44153</v>
      </c>
    </row>
    <row r="38" spans="1:1" x14ac:dyDescent="0.2">
      <c r="A38" s="12">
        <v>44154</v>
      </c>
    </row>
    <row r="39" spans="1:1" x14ac:dyDescent="0.2">
      <c r="A39" s="12">
        <v>44155</v>
      </c>
    </row>
    <row r="40" spans="1:1" x14ac:dyDescent="0.2">
      <c r="A40" s="12">
        <v>44156</v>
      </c>
    </row>
    <row r="41" spans="1:1" x14ac:dyDescent="0.2">
      <c r="A41" s="12">
        <v>44157</v>
      </c>
    </row>
    <row r="42" spans="1:1" x14ac:dyDescent="0.2">
      <c r="A42" s="12">
        <v>44158</v>
      </c>
    </row>
    <row r="43" spans="1:1" x14ac:dyDescent="0.2">
      <c r="A43" s="12">
        <v>44159</v>
      </c>
    </row>
    <row r="44" spans="1:1" x14ac:dyDescent="0.2">
      <c r="A44" s="12">
        <v>44160</v>
      </c>
    </row>
    <row r="45" spans="1:1" x14ac:dyDescent="0.2">
      <c r="A45" s="12">
        <v>44161</v>
      </c>
    </row>
    <row r="46" spans="1:1" x14ac:dyDescent="0.2">
      <c r="A46" s="12">
        <v>44162</v>
      </c>
    </row>
  </sheetData>
  <conditionalFormatting sqref="B2:B46">
    <cfRule type="cellIs" dxfId="11" priority="15" operator="equal">
      <formula>"Nein"</formula>
    </cfRule>
    <cfRule type="cellIs" dxfId="10" priority="14" operator="equal">
      <formula>"Ja"</formula>
    </cfRule>
    <cfRule type="cellIs" dxfId="9" priority="4" operator="equal">
      <formula>"Ja"</formula>
    </cfRule>
  </conditionalFormatting>
  <conditionalFormatting sqref="C2:C46">
    <cfRule type="cellIs" dxfId="8" priority="3" operator="equal">
      <formula>"Nein"</formula>
    </cfRule>
    <cfRule type="cellIs" dxfId="7" priority="2" operator="equal">
      <formula>"Ja"</formula>
    </cfRule>
    <cfRule type="cellIs" dxfId="6" priority="1" operator="equal">
      <formula>"Ja"</formula>
    </cfRule>
  </conditionalFormatting>
  <conditionalFormatting sqref="D2">
    <cfRule type="cellIs" dxfId="5" priority="7" operator="equal">
      <formula>0.8</formula>
    </cfRule>
    <cfRule type="cellIs" dxfId="4" priority="9" operator="equal">
      <formula>0.4</formula>
    </cfRule>
    <cfRule type="cellIs" dxfId="3" priority="10" operator="equal">
      <formula>0.2</formula>
    </cfRule>
    <cfRule type="cellIs" dxfId="2" priority="11" operator="equal">
      <formula>0</formula>
    </cfRule>
    <cfRule type="cellIs" dxfId="1" priority="6" operator="equal">
      <formula>1</formula>
    </cfRule>
    <cfRule type="cellIs" dxfId="0" priority="8" operator="equal">
      <formula>0.6</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G27" sqref="G27"/>
    </sheetView>
  </sheetViews>
  <sheetFormatPr baseColWidth="10" defaultColWidth="10.6640625" defaultRowHeight="16" x14ac:dyDescent="0.2"/>
  <sheetData>
    <row r="1" spans="1:8" ht="26" x14ac:dyDescent="0.3">
      <c r="B1" s="6" t="s">
        <v>25</v>
      </c>
    </row>
    <row r="4" spans="1:8" x14ac:dyDescent="0.2">
      <c r="B4" s="2" t="s">
        <v>4</v>
      </c>
      <c r="C4" s="2" t="s">
        <v>5</v>
      </c>
      <c r="D4" s="2" t="s">
        <v>6</v>
      </c>
      <c r="E4" s="2" t="s">
        <v>7</v>
      </c>
      <c r="F4" s="2" t="s">
        <v>10</v>
      </c>
      <c r="G4" s="2" t="s">
        <v>8</v>
      </c>
      <c r="H4" s="2" t="s">
        <v>9</v>
      </c>
    </row>
    <row r="5" spans="1:8" x14ac:dyDescent="0.2">
      <c r="A5" s="7">
        <v>0.16666666666666666</v>
      </c>
    </row>
    <row r="6" spans="1:8" x14ac:dyDescent="0.2">
      <c r="A6" s="7">
        <v>0.1875</v>
      </c>
    </row>
    <row r="7" spans="1:8" x14ac:dyDescent="0.2">
      <c r="A7" s="7">
        <v>0.20833333333333301</v>
      </c>
    </row>
    <row r="8" spans="1:8" x14ac:dyDescent="0.2">
      <c r="A8" s="7">
        <v>0.22916666666666699</v>
      </c>
    </row>
    <row r="9" spans="1:8" x14ac:dyDescent="0.2">
      <c r="A9" s="7">
        <v>0.25</v>
      </c>
    </row>
    <row r="10" spans="1:8" x14ac:dyDescent="0.2">
      <c r="A10" s="7">
        <v>0.27083333333333398</v>
      </c>
    </row>
    <row r="11" spans="1:8" x14ac:dyDescent="0.2">
      <c r="A11" s="7">
        <v>0.29166666666666702</v>
      </c>
    </row>
    <row r="12" spans="1:8" x14ac:dyDescent="0.2">
      <c r="A12" s="7">
        <v>0.3125</v>
      </c>
    </row>
    <row r="13" spans="1:8" x14ac:dyDescent="0.2">
      <c r="A13" s="7">
        <v>0.33333333333333398</v>
      </c>
    </row>
    <row r="14" spans="1:8" x14ac:dyDescent="0.2">
      <c r="A14" s="7">
        <v>0.35416666666666702</v>
      </c>
    </row>
    <row r="15" spans="1:8" x14ac:dyDescent="0.2">
      <c r="A15" s="7">
        <v>0.375</v>
      </c>
    </row>
    <row r="16" spans="1:8" x14ac:dyDescent="0.2">
      <c r="A16" s="7">
        <v>0.39583333333333398</v>
      </c>
    </row>
    <row r="17" spans="1:1" x14ac:dyDescent="0.2">
      <c r="A17" s="7">
        <v>0.41666666666666702</v>
      </c>
    </row>
    <row r="18" spans="1:1" x14ac:dyDescent="0.2">
      <c r="A18" s="7">
        <v>0.4375</v>
      </c>
    </row>
    <row r="19" spans="1:1" x14ac:dyDescent="0.2">
      <c r="A19" s="7">
        <v>0.45833333333333398</v>
      </c>
    </row>
    <row r="20" spans="1:1" x14ac:dyDescent="0.2">
      <c r="A20" s="7">
        <v>0.47916666666666702</v>
      </c>
    </row>
    <row r="21" spans="1:1" x14ac:dyDescent="0.2">
      <c r="A21" s="7">
        <v>0.5</v>
      </c>
    </row>
    <row r="22" spans="1:1" x14ac:dyDescent="0.2">
      <c r="A22" s="7">
        <v>0.52083333333333404</v>
      </c>
    </row>
    <row r="23" spans="1:1" x14ac:dyDescent="0.2">
      <c r="A23" s="7">
        <v>0.54166666666666696</v>
      </c>
    </row>
    <row r="24" spans="1:1" x14ac:dyDescent="0.2">
      <c r="A24" s="7">
        <v>0.5625</v>
      </c>
    </row>
    <row r="25" spans="1:1" x14ac:dyDescent="0.2">
      <c r="A25" s="7">
        <v>0.58333333333333404</v>
      </c>
    </row>
    <row r="26" spans="1:1" x14ac:dyDescent="0.2">
      <c r="A26" s="7">
        <v>0.60416666666666696</v>
      </c>
    </row>
    <row r="27" spans="1:1" x14ac:dyDescent="0.2">
      <c r="A27" s="7">
        <v>0.625000000000001</v>
      </c>
    </row>
    <row r="28" spans="1:1" x14ac:dyDescent="0.2">
      <c r="A28" s="7">
        <v>0.64583333333333404</v>
      </c>
    </row>
    <row r="29" spans="1:1" x14ac:dyDescent="0.2">
      <c r="A29" s="7">
        <v>0.66666666666666696</v>
      </c>
    </row>
    <row r="30" spans="1:1" x14ac:dyDescent="0.2">
      <c r="A30" s="7">
        <v>0.687500000000001</v>
      </c>
    </row>
    <row r="31" spans="1:1" x14ac:dyDescent="0.2">
      <c r="A31" s="7">
        <v>0.70833333333333404</v>
      </c>
    </row>
    <row r="32" spans="1:1" x14ac:dyDescent="0.2">
      <c r="A32" s="7">
        <v>0.72916666666666696</v>
      </c>
    </row>
    <row r="33" spans="1:1" x14ac:dyDescent="0.2">
      <c r="A33" s="7">
        <v>0.750000000000001</v>
      </c>
    </row>
    <row r="34" spans="1:1" x14ac:dyDescent="0.2">
      <c r="A34" s="7">
        <v>0.77083333333333404</v>
      </c>
    </row>
    <row r="35" spans="1:1" x14ac:dyDescent="0.2">
      <c r="A35" s="7">
        <v>0.79166666666666696</v>
      </c>
    </row>
    <row r="36" spans="1:1" x14ac:dyDescent="0.2">
      <c r="A36" s="7">
        <v>0.812500000000001</v>
      </c>
    </row>
    <row r="37" spans="1:1" x14ac:dyDescent="0.2">
      <c r="A37" s="7">
        <v>0.83333333333333404</v>
      </c>
    </row>
    <row r="38" spans="1:1" x14ac:dyDescent="0.2">
      <c r="A38" s="7">
        <v>0.85416666666666696</v>
      </c>
    </row>
    <row r="39" spans="1:1" x14ac:dyDescent="0.2">
      <c r="A39" s="7">
        <v>0.875000000000001</v>
      </c>
    </row>
    <row r="40" spans="1:1" x14ac:dyDescent="0.2">
      <c r="A40" s="7">
        <v>0.89583333333333404</v>
      </c>
    </row>
    <row r="41" spans="1:1" x14ac:dyDescent="0.2">
      <c r="A41" s="7">
        <v>0.91666666666666696</v>
      </c>
    </row>
    <row r="42" spans="1:1" x14ac:dyDescent="0.2">
      <c r="A42" s="7">
        <v>0.937500000000001</v>
      </c>
    </row>
    <row r="43" spans="1:1" x14ac:dyDescent="0.2">
      <c r="A43" s="7">
        <v>0.95833333333333404</v>
      </c>
    </row>
    <row r="44" spans="1:1" x14ac:dyDescent="0.2">
      <c r="A44" s="7">
        <v>0.97916666666666696</v>
      </c>
    </row>
    <row r="45" spans="1:1" x14ac:dyDescent="0.2">
      <c r="A45" s="7">
        <v>1</v>
      </c>
    </row>
    <row r="46" spans="1:1" x14ac:dyDescent="0.2">
      <c r="A46" s="7">
        <v>1.0208333333333299</v>
      </c>
    </row>
    <row r="47" spans="1:1" x14ac:dyDescent="0.2">
      <c r="A47" s="7">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A6" sqref="A6"/>
    </sheetView>
  </sheetViews>
  <sheetFormatPr baseColWidth="10" defaultColWidth="10.6640625" defaultRowHeight="16" x14ac:dyDescent="0.2"/>
  <sheetData>
    <row r="1" spans="1:8" ht="26" x14ac:dyDescent="0.3">
      <c r="B1" s="6" t="s">
        <v>25</v>
      </c>
    </row>
    <row r="4" spans="1:8" x14ac:dyDescent="0.2">
      <c r="B4" s="2" t="s">
        <v>4</v>
      </c>
      <c r="C4" s="2" t="s">
        <v>5</v>
      </c>
      <c r="D4" s="2" t="s">
        <v>6</v>
      </c>
      <c r="E4" s="2" t="s">
        <v>7</v>
      </c>
      <c r="F4" s="2" t="s">
        <v>10</v>
      </c>
      <c r="G4" s="2" t="s">
        <v>8</v>
      </c>
      <c r="H4" s="2" t="s">
        <v>9</v>
      </c>
    </row>
    <row r="5" spans="1:8" x14ac:dyDescent="0.2">
      <c r="A5" s="7">
        <v>0.16666666666666666</v>
      </c>
    </row>
    <row r="6" spans="1:8" x14ac:dyDescent="0.2">
      <c r="A6" s="7">
        <v>0.1875</v>
      </c>
    </row>
    <row r="7" spans="1:8" x14ac:dyDescent="0.2">
      <c r="A7" s="7">
        <v>0.20833333333333301</v>
      </c>
    </row>
    <row r="8" spans="1:8" x14ac:dyDescent="0.2">
      <c r="A8" s="7">
        <v>0.22916666666666699</v>
      </c>
    </row>
    <row r="9" spans="1:8" x14ac:dyDescent="0.2">
      <c r="A9" s="7">
        <v>0.25</v>
      </c>
    </row>
    <row r="10" spans="1:8" x14ac:dyDescent="0.2">
      <c r="A10" s="7">
        <v>0.27083333333333398</v>
      </c>
    </row>
    <row r="11" spans="1:8" x14ac:dyDescent="0.2">
      <c r="A11" s="7">
        <v>0.29166666666666702</v>
      </c>
    </row>
    <row r="12" spans="1:8" x14ac:dyDescent="0.2">
      <c r="A12" s="7">
        <v>0.3125</v>
      </c>
    </row>
    <row r="13" spans="1:8" x14ac:dyDescent="0.2">
      <c r="A13" s="7">
        <v>0.33333333333333398</v>
      </c>
    </row>
    <row r="14" spans="1:8" x14ac:dyDescent="0.2">
      <c r="A14" s="7">
        <v>0.35416666666666702</v>
      </c>
    </row>
    <row r="15" spans="1:8" x14ac:dyDescent="0.2">
      <c r="A15" s="7">
        <v>0.375</v>
      </c>
    </row>
    <row r="16" spans="1:8" x14ac:dyDescent="0.2">
      <c r="A16" s="7">
        <v>0.39583333333333398</v>
      </c>
    </row>
    <row r="17" spans="1:1" x14ac:dyDescent="0.2">
      <c r="A17" s="7">
        <v>0.41666666666666702</v>
      </c>
    </row>
    <row r="18" spans="1:1" x14ac:dyDescent="0.2">
      <c r="A18" s="7">
        <v>0.4375</v>
      </c>
    </row>
    <row r="19" spans="1:1" x14ac:dyDescent="0.2">
      <c r="A19" s="7">
        <v>0.45833333333333398</v>
      </c>
    </row>
    <row r="20" spans="1:1" x14ac:dyDescent="0.2">
      <c r="A20" s="7">
        <v>0.47916666666666702</v>
      </c>
    </row>
    <row r="21" spans="1:1" x14ac:dyDescent="0.2">
      <c r="A21" s="7">
        <v>0.5</v>
      </c>
    </row>
    <row r="22" spans="1:1" x14ac:dyDescent="0.2">
      <c r="A22" s="7">
        <v>0.52083333333333404</v>
      </c>
    </row>
    <row r="23" spans="1:1" x14ac:dyDescent="0.2">
      <c r="A23" s="7">
        <v>0.54166666666666696</v>
      </c>
    </row>
    <row r="24" spans="1:1" x14ac:dyDescent="0.2">
      <c r="A24" s="7">
        <v>0.5625</v>
      </c>
    </row>
    <row r="25" spans="1:1" x14ac:dyDescent="0.2">
      <c r="A25" s="7">
        <v>0.58333333333333404</v>
      </c>
    </row>
    <row r="26" spans="1:1" x14ac:dyDescent="0.2">
      <c r="A26" s="7">
        <v>0.60416666666666696</v>
      </c>
    </row>
    <row r="27" spans="1:1" x14ac:dyDescent="0.2">
      <c r="A27" s="7">
        <v>0.625000000000001</v>
      </c>
    </row>
    <row r="28" spans="1:1" x14ac:dyDescent="0.2">
      <c r="A28" s="7">
        <v>0.64583333333333404</v>
      </c>
    </row>
    <row r="29" spans="1:1" x14ac:dyDescent="0.2">
      <c r="A29" s="7">
        <v>0.66666666666666696</v>
      </c>
    </row>
    <row r="30" spans="1:1" x14ac:dyDescent="0.2">
      <c r="A30" s="7">
        <v>0.687500000000001</v>
      </c>
    </row>
    <row r="31" spans="1:1" x14ac:dyDescent="0.2">
      <c r="A31" s="7">
        <v>0.70833333333333404</v>
      </c>
    </row>
    <row r="32" spans="1:1" x14ac:dyDescent="0.2">
      <c r="A32" s="7">
        <v>0.72916666666666696</v>
      </c>
    </row>
    <row r="33" spans="1:1" x14ac:dyDescent="0.2">
      <c r="A33" s="7">
        <v>0.750000000000001</v>
      </c>
    </row>
    <row r="34" spans="1:1" x14ac:dyDescent="0.2">
      <c r="A34" s="7">
        <v>0.77083333333333404</v>
      </c>
    </row>
    <row r="35" spans="1:1" x14ac:dyDescent="0.2">
      <c r="A35" s="7">
        <v>0.79166666666666696</v>
      </c>
    </row>
    <row r="36" spans="1:1" x14ac:dyDescent="0.2">
      <c r="A36" s="7">
        <v>0.812500000000001</v>
      </c>
    </row>
    <row r="37" spans="1:1" x14ac:dyDescent="0.2">
      <c r="A37" s="7">
        <v>0.83333333333333404</v>
      </c>
    </row>
    <row r="38" spans="1:1" x14ac:dyDescent="0.2">
      <c r="A38" s="7">
        <v>0.85416666666666696</v>
      </c>
    </row>
    <row r="39" spans="1:1" x14ac:dyDescent="0.2">
      <c r="A39" s="7">
        <v>0.875000000000001</v>
      </c>
    </row>
    <row r="40" spans="1:1" x14ac:dyDescent="0.2">
      <c r="A40" s="7">
        <v>0.89583333333333404</v>
      </c>
    </row>
    <row r="41" spans="1:1" x14ac:dyDescent="0.2">
      <c r="A41" s="7">
        <v>0.91666666666666696</v>
      </c>
    </row>
    <row r="42" spans="1:1" x14ac:dyDescent="0.2">
      <c r="A42" s="7">
        <v>0.937500000000001</v>
      </c>
    </row>
    <row r="43" spans="1:1" x14ac:dyDescent="0.2">
      <c r="A43" s="7">
        <v>0.95833333333333404</v>
      </c>
    </row>
    <row r="44" spans="1:1" x14ac:dyDescent="0.2">
      <c r="A44" s="7">
        <v>0.97916666666666696</v>
      </c>
    </row>
    <row r="45" spans="1:1" x14ac:dyDescent="0.2">
      <c r="A45" s="7">
        <v>1</v>
      </c>
    </row>
    <row r="46" spans="1:1" x14ac:dyDescent="0.2">
      <c r="A46" s="7">
        <v>1.0208333333333299</v>
      </c>
    </row>
    <row r="47" spans="1:1" x14ac:dyDescent="0.2">
      <c r="A47" s="7">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6</vt:i4>
      </vt:variant>
    </vt:vector>
  </HeadingPairs>
  <TitlesOfParts>
    <vt:vector size="6" baseType="lpstr">
      <vt:lpstr>ANLEITUNG</vt:lpstr>
      <vt:lpstr>Semesterplan</vt:lpstr>
      <vt:lpstr>Best-Practices</vt:lpstr>
      <vt:lpstr>COMMITTMENT</vt:lpstr>
      <vt:lpstr>Wochenplan KW 38</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0_03btc8r_@goetheuniversitaet.onmicrosoft.com</cp:lastModifiedBy>
  <dcterms:created xsi:type="dcterms:W3CDTF">2020-04-19T13:33:28Z</dcterms:created>
  <dcterms:modified xsi:type="dcterms:W3CDTF">2023-09-21T17:01:46Z</dcterms:modified>
</cp:coreProperties>
</file>