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https://d.docs.live.net/771f3cd7d6e9c598/Desktop/Studium/"/>
    </mc:Choice>
  </mc:AlternateContent>
  <xr:revisionPtr revIDLastSave="1393" documentId="11_4C9E1A6379E51CC9B5AAB3899D905489DB7C2812" xr6:coauthVersionLast="47" xr6:coauthVersionMax="47" xr10:uidLastSave="{F484D07D-0491-4239-8EA6-787BC04807CF}"/>
  <bookViews>
    <workbookView xWindow="-120" yWindow="-120" windowWidth="29040" windowHeight="16440" activeTab="1" xr2:uid="{00000000-000D-0000-FFFF-FFFF00000000}"/>
  </bookViews>
  <sheets>
    <sheet name="ANLEITUNG" sheetId="1" r:id="rId1"/>
    <sheet name="Semesterplan" sheetId="2" r:id="rId2"/>
    <sheet name="Stundenplan" sheetId="3" r:id="rId3"/>
    <sheet name="Wochenplan KW 40" sheetId="4" r:id="rId4"/>
    <sheet name="Wochenplan KW 41" sheetId="5" r:id="rId5"/>
    <sheet name="Best-Practices" sheetId="6" r:id="rId6"/>
    <sheet name="COMMITTMEN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wOWdiz3MLJGpgYFkFaeiSDTulqB7tRALlTk72Zc+phw="/>
    </ext>
  </extLst>
</workbook>
</file>

<file path=xl/calcChain.xml><?xml version="1.0" encoding="utf-8"?>
<calcChain xmlns="http://schemas.openxmlformats.org/spreadsheetml/2006/main">
  <c r="CF56" i="2" l="1"/>
  <c r="BY56" i="2"/>
  <c r="BR56" i="2"/>
  <c r="BK56" i="2"/>
  <c r="BD56" i="2"/>
  <c r="AW56" i="2"/>
  <c r="CM26" i="2"/>
  <c r="BY26" i="2"/>
  <c r="AW26" i="2"/>
  <c r="G26" i="2"/>
  <c r="K33" i="2" a="1"/>
  <c r="K33" i="2" s="1"/>
  <c r="J33" i="2" a="1"/>
  <c r="J33" i="2" s="1"/>
  <c r="I33" i="2"/>
  <c r="CF44" i="2"/>
  <c r="BY44" i="2"/>
  <c r="BR44" i="2"/>
  <c r="BK44" i="2"/>
  <c r="BD44" i="2"/>
  <c r="AW44" i="2"/>
  <c r="K53" i="2" a="1"/>
  <c r="K53" i="2" s="1"/>
  <c r="J53" i="2" a="1"/>
  <c r="J53" i="2" s="1"/>
  <c r="I53" i="2"/>
  <c r="K52" i="2" a="1"/>
  <c r="K52" i="2" s="1"/>
  <c r="J52" i="2" a="1"/>
  <c r="J52" i="2" s="1"/>
  <c r="I52" i="2"/>
  <c r="K49" i="2" a="1"/>
  <c r="K49" i="2" s="1"/>
  <c r="J49" i="2" a="1"/>
  <c r="J49" i="2" s="1"/>
  <c r="I49" i="2"/>
  <c r="K48" i="2" a="1"/>
  <c r="K48" i="2" s="1"/>
  <c r="J48" i="2" a="1"/>
  <c r="J48" i="2" s="1"/>
  <c r="I48" i="2"/>
  <c r="K46" i="2" a="1"/>
  <c r="K46" i="2" s="1"/>
  <c r="J46" i="2" a="1"/>
  <c r="J46" i="2" s="1"/>
  <c r="I46" i="2"/>
  <c r="N13" i="2"/>
  <c r="U13" i="2"/>
  <c r="AB13" i="2"/>
  <c r="AI13" i="2"/>
  <c r="AP13" i="2"/>
  <c r="AW13" i="2"/>
  <c r="BD13" i="2"/>
  <c r="BK13" i="2"/>
  <c r="BR13" i="2"/>
  <c r="BY13" i="2"/>
  <c r="CF13" i="2"/>
  <c r="G13" i="2"/>
  <c r="K24" i="2" a="1"/>
  <c r="K24" i="2" s="1"/>
  <c r="J24" i="2" a="1"/>
  <c r="J24" i="2" s="1"/>
  <c r="I24" i="2"/>
  <c r="K16" i="2" a="1"/>
  <c r="K16" i="2" s="1"/>
  <c r="J16" i="2" a="1"/>
  <c r="J16" i="2" s="1"/>
  <c r="I16" i="2"/>
  <c r="BR4" i="2"/>
  <c r="AP4" i="2"/>
  <c r="AI4" i="2"/>
  <c r="AB4" i="2"/>
  <c r="G56" i="2"/>
  <c r="K67" i="2" a="1"/>
  <c r="K67" i="2" s="1"/>
  <c r="J67" i="2" a="1"/>
  <c r="J67" i="2" s="1"/>
  <c r="I67" i="2"/>
  <c r="K66" i="2" a="1"/>
  <c r="K66" i="2" s="1"/>
  <c r="J66" i="2" a="1"/>
  <c r="J66" i="2" s="1"/>
  <c r="I66" i="2"/>
  <c r="K65" i="2" a="1"/>
  <c r="K65" i="2" s="1"/>
  <c r="J65" i="2" a="1"/>
  <c r="J65" i="2" s="1"/>
  <c r="I65" i="2"/>
  <c r="K64" i="2" a="1"/>
  <c r="K64" i="2" s="1"/>
  <c r="J64" i="2" a="1"/>
  <c r="J64" i="2" s="1"/>
  <c r="I64" i="2"/>
  <c r="K63" i="2" a="1"/>
  <c r="K63" i="2" s="1"/>
  <c r="J63" i="2" a="1"/>
  <c r="J63" i="2" s="1"/>
  <c r="I63" i="2"/>
  <c r="K62" i="2" a="1"/>
  <c r="K62" i="2" s="1"/>
  <c r="J62" i="2" a="1"/>
  <c r="J62" i="2" s="1"/>
  <c r="I62" i="2"/>
  <c r="CF26" i="2"/>
  <c r="BR26" i="2"/>
  <c r="BK26" i="2"/>
  <c r="BD26" i="2"/>
  <c r="CM35" i="2"/>
  <c r="CF35" i="2"/>
  <c r="BY35" i="2"/>
  <c r="BR35" i="2"/>
  <c r="BK35" i="2"/>
  <c r="BD35" i="2"/>
  <c r="AW35" i="2"/>
  <c r="CF4" i="2"/>
  <c r="BY4" i="2"/>
  <c r="BK4" i="2"/>
  <c r="BD4" i="2"/>
  <c r="K61" i="2" a="1"/>
  <c r="K61" i="2" s="1"/>
  <c r="J61" i="2" a="1"/>
  <c r="J61" i="2" s="1"/>
  <c r="I61" i="2"/>
  <c r="K60" i="2" a="1"/>
  <c r="K60" i="2" s="1"/>
  <c r="J60" i="2" a="1"/>
  <c r="J60" i="2" s="1"/>
  <c r="I60" i="2"/>
  <c r="K59" i="2" a="1"/>
  <c r="K59" i="2" s="1"/>
  <c r="J59" i="2" a="1"/>
  <c r="J59" i="2" s="1"/>
  <c r="I59" i="2"/>
  <c r="K58" i="2" a="1"/>
  <c r="K58" i="2" s="1"/>
  <c r="J58" i="2" a="1"/>
  <c r="J58" i="2" s="1"/>
  <c r="I58" i="2"/>
  <c r="K57" i="2" a="1"/>
  <c r="K57" i="2" s="1"/>
  <c r="J57" i="2" a="1"/>
  <c r="J57" i="2" s="1"/>
  <c r="I57" i="2"/>
  <c r="AP56" i="2"/>
  <c r="AI56" i="2"/>
  <c r="AB56" i="2"/>
  <c r="U56" i="2"/>
  <c r="N56" i="2"/>
  <c r="K54" i="2" a="1"/>
  <c r="K54" i="2" s="1"/>
  <c r="J54" i="2" a="1"/>
  <c r="J54" i="2" s="1"/>
  <c r="I54" i="2"/>
  <c r="K51" i="2" a="1"/>
  <c r="K51" i="2" s="1"/>
  <c r="J51" i="2" a="1"/>
  <c r="J51" i="2" s="1"/>
  <c r="I51" i="2"/>
  <c r="K50" i="2" a="1"/>
  <c r="K50" i="2" s="1"/>
  <c r="J50" i="2" a="1"/>
  <c r="J50" i="2" s="1"/>
  <c r="I50" i="2"/>
  <c r="K47" i="2" a="1"/>
  <c r="K47" i="2" s="1"/>
  <c r="J47" i="2" a="1"/>
  <c r="J47" i="2" s="1"/>
  <c r="I47" i="2"/>
  <c r="K45" i="2" a="1"/>
  <c r="K45" i="2" s="1"/>
  <c r="J45" i="2" a="1"/>
  <c r="J45" i="2" s="1"/>
  <c r="I45" i="2"/>
  <c r="AP44" i="2"/>
  <c r="AI44" i="2"/>
  <c r="AB44" i="2"/>
  <c r="U44" i="2"/>
  <c r="N44" i="2"/>
  <c r="G44" i="2"/>
  <c r="K42" i="2" a="1"/>
  <c r="K42" i="2" s="1"/>
  <c r="J42" i="2" a="1"/>
  <c r="J42" i="2" s="1"/>
  <c r="I42" i="2"/>
  <c r="K41" i="2" a="1"/>
  <c r="K41" i="2" s="1"/>
  <c r="J41" i="2" a="1"/>
  <c r="J41" i="2" s="1"/>
  <c r="I41" i="2"/>
  <c r="K40" i="2" a="1"/>
  <c r="K40" i="2" s="1"/>
  <c r="J40" i="2" a="1"/>
  <c r="J40" i="2" s="1"/>
  <c r="I40" i="2"/>
  <c r="K39" i="2" a="1"/>
  <c r="K39" i="2" s="1"/>
  <c r="J39" i="2" a="1"/>
  <c r="J39" i="2" s="1"/>
  <c r="I39" i="2"/>
  <c r="K38" i="2" a="1"/>
  <c r="K38" i="2" s="1"/>
  <c r="J38" i="2" a="1"/>
  <c r="J38" i="2" s="1"/>
  <c r="I38" i="2"/>
  <c r="K37" i="2" a="1"/>
  <c r="K37" i="2" s="1"/>
  <c r="J37" i="2" a="1"/>
  <c r="J37" i="2" s="1"/>
  <c r="I37" i="2"/>
  <c r="K36" i="2" a="1"/>
  <c r="K36" i="2" s="1"/>
  <c r="J36" i="2" a="1"/>
  <c r="J36" i="2" s="1"/>
  <c r="I36" i="2"/>
  <c r="AP35" i="2"/>
  <c r="AI35" i="2"/>
  <c r="AB35" i="2"/>
  <c r="U35" i="2"/>
  <c r="N35" i="2"/>
  <c r="G35" i="2"/>
  <c r="K32" i="2" a="1"/>
  <c r="K32" i="2" s="1"/>
  <c r="J32" i="2" a="1"/>
  <c r="J32" i="2" s="1"/>
  <c r="I32" i="2"/>
  <c r="K31" i="2" a="1"/>
  <c r="K31" i="2" s="1"/>
  <c r="J31" i="2" a="1"/>
  <c r="J31" i="2" s="1"/>
  <c r="I31" i="2"/>
  <c r="K30" i="2" a="1"/>
  <c r="K30" i="2" s="1"/>
  <c r="J30" i="2" a="1"/>
  <c r="J30" i="2" s="1"/>
  <c r="I30" i="2"/>
  <c r="K29" i="2" a="1"/>
  <c r="K29" i="2" s="1"/>
  <c r="J29" i="2" a="1"/>
  <c r="J29" i="2" s="1"/>
  <c r="I29" i="2"/>
  <c r="K28" i="2" a="1"/>
  <c r="K28" i="2" s="1"/>
  <c r="J28" i="2" a="1"/>
  <c r="J28" i="2" s="1"/>
  <c r="I28" i="2"/>
  <c r="K27" i="2" a="1"/>
  <c r="K27" i="2" s="1"/>
  <c r="J27" i="2" a="1"/>
  <c r="J27" i="2" s="1"/>
  <c r="I27" i="2"/>
  <c r="AP26" i="2"/>
  <c r="AI26" i="2"/>
  <c r="AB26" i="2"/>
  <c r="U26" i="2"/>
  <c r="N26" i="2"/>
  <c r="K23" i="2" a="1"/>
  <c r="K23" i="2" s="1"/>
  <c r="J23" i="2" a="1"/>
  <c r="J23" i="2" s="1"/>
  <c r="I23" i="2"/>
  <c r="K22" i="2" a="1"/>
  <c r="K22" i="2" s="1"/>
  <c r="J22" i="2" a="1"/>
  <c r="J22" i="2" s="1"/>
  <c r="I22" i="2"/>
  <c r="K21" i="2" a="1"/>
  <c r="K21" i="2" s="1"/>
  <c r="J21" i="2" a="1"/>
  <c r="J21" i="2" s="1"/>
  <c r="I21" i="2"/>
  <c r="K20" i="2" a="1"/>
  <c r="K20" i="2" s="1"/>
  <c r="J20" i="2" a="1"/>
  <c r="J20" i="2" s="1"/>
  <c r="I20" i="2"/>
  <c r="K19" i="2" a="1"/>
  <c r="K19" i="2" s="1"/>
  <c r="J19" i="2" a="1"/>
  <c r="J19" i="2" s="1"/>
  <c r="I19" i="2"/>
  <c r="K18" i="2" a="1"/>
  <c r="K18" i="2" s="1"/>
  <c r="J18" i="2" a="1"/>
  <c r="J18" i="2" s="1"/>
  <c r="I18" i="2"/>
  <c r="K17" i="2" a="1"/>
  <c r="K17" i="2" s="1"/>
  <c r="J17" i="2" a="1"/>
  <c r="J17" i="2" s="1"/>
  <c r="I17" i="2"/>
  <c r="K15" i="2" a="1"/>
  <c r="K15" i="2" s="1"/>
  <c r="J15" i="2" a="1"/>
  <c r="J15" i="2" s="1"/>
  <c r="I15" i="2"/>
  <c r="K14" i="2" a="1"/>
  <c r="K14" i="2" s="1"/>
  <c r="J14" i="2" a="1"/>
  <c r="J14" i="2" s="1"/>
  <c r="I14" i="2"/>
  <c r="DV13" i="2"/>
  <c r="DO13" i="2"/>
  <c r="DH13" i="2"/>
  <c r="DA13" i="2"/>
  <c r="CT13" i="2"/>
  <c r="CM13" i="2"/>
  <c r="K11" i="2" a="1"/>
  <c r="K11" i="2" s="1"/>
  <c r="J11" i="2" a="1"/>
  <c r="J11" i="2" s="1"/>
  <c r="I11" i="2"/>
  <c r="K10" i="2" a="1"/>
  <c r="K10" i="2" s="1"/>
  <c r="J10" i="2" a="1"/>
  <c r="J10" i="2" s="1"/>
  <c r="I10" i="2"/>
  <c r="K9" i="2" a="1"/>
  <c r="K9" i="2" s="1"/>
  <c r="J9" i="2" a="1"/>
  <c r="J9" i="2" s="1"/>
  <c r="I9" i="2"/>
  <c r="K8" i="2" a="1"/>
  <c r="K8" i="2" s="1"/>
  <c r="J8" i="2" a="1"/>
  <c r="J8" i="2" s="1"/>
  <c r="I8" i="2"/>
  <c r="K7" i="2" a="1"/>
  <c r="K7" i="2" s="1"/>
  <c r="J7" i="2" a="1"/>
  <c r="J7" i="2" s="1"/>
  <c r="I7" i="2"/>
  <c r="K6" i="2" a="1"/>
  <c r="K6" i="2" s="1"/>
  <c r="J6" i="2" a="1"/>
  <c r="J6" i="2" s="1"/>
  <c r="I6" i="2"/>
  <c r="K5" i="2" a="1"/>
  <c r="K5" i="2" s="1"/>
  <c r="J5" i="2" a="1"/>
  <c r="J5" i="2" s="1"/>
  <c r="I5" i="2"/>
  <c r="DV4" i="2"/>
  <c r="DO4" i="2"/>
  <c r="DH4" i="2"/>
  <c r="DA4" i="2"/>
  <c r="CT4" i="2"/>
  <c r="CM4" i="2"/>
  <c r="AW4" i="2"/>
  <c r="U4" i="2"/>
  <c r="N4" i="2"/>
  <c r="G4" i="2"/>
  <c r="C12" i="1"/>
  <c r="J26" i="2" l="1"/>
  <c r="K26" i="2"/>
  <c r="I44" i="2"/>
  <c r="I56" i="2"/>
  <c r="I26" i="2"/>
  <c r="J44" i="2"/>
  <c r="I4" i="2"/>
  <c r="I35" i="2"/>
  <c r="I13" i="2"/>
  <c r="K13" i="2"/>
  <c r="J56" i="2"/>
  <c r="K35" i="2"/>
  <c r="K56" i="2"/>
  <c r="J35" i="2"/>
  <c r="K44" i="2"/>
  <c r="J13" i="2"/>
  <c r="J4" i="2"/>
  <c r="K4" i="2"/>
</calcChain>
</file>

<file path=xl/sharedStrings.xml><?xml version="1.0" encoding="utf-8"?>
<sst xmlns="http://schemas.openxmlformats.org/spreadsheetml/2006/main" count="404" uniqueCount="176">
  <si>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</si>
  <si>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</si>
  <si>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</si>
  <si>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</si>
  <si>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</si>
  <si>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</si>
  <si>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</si>
  <si>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</si>
  <si>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</si>
  <si>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</si>
  <si>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</si>
  <si>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</si>
  <si>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</si>
  <si>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</si>
  <si>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</si>
  <si>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</si>
  <si>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</si>
  <si>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</si>
  <si>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</si>
  <si>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</si>
  <si>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</si>
  <si>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</si>
  <si>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</si>
  <si>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</si>
  <si>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</si>
  <si>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</si>
  <si>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</si>
  <si>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</si>
  <si>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</si>
  <si>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</si>
  <si>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</si>
  <si>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</si>
  <si>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</si>
  <si>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</si>
  <si>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</si>
  <si>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</si>
  <si>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</si>
  <si>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</si>
  <si>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Semesterplan</t>
  </si>
  <si>
    <t>Übersicht</t>
  </si>
  <si>
    <t>KW 42</t>
  </si>
  <si>
    <t>KW 43</t>
  </si>
  <si>
    <t>KW 44</t>
  </si>
  <si>
    <t>KW 45</t>
  </si>
  <si>
    <t>KW 46</t>
  </si>
  <si>
    <t>KW 47</t>
  </si>
  <si>
    <t>KW 48</t>
  </si>
  <si>
    <t>KW 49</t>
  </si>
  <si>
    <t>KW 50</t>
  </si>
  <si>
    <t>KW 51</t>
  </si>
  <si>
    <t>KW 02</t>
  </si>
  <si>
    <t>KW 03</t>
  </si>
  <si>
    <t>KW 04</t>
  </si>
  <si>
    <t>KW 05 - KLAUSUREN</t>
  </si>
  <si>
    <t>Typ</t>
  </si>
  <si>
    <t>Fach</t>
  </si>
  <si>
    <t>Klausurdatum</t>
  </si>
  <si>
    <t>ECTS</t>
  </si>
  <si>
    <t>Fachgebiet</t>
  </si>
  <si>
    <t>Anteil an Klausur</t>
  </si>
  <si>
    <t>Stunden</t>
  </si>
  <si>
    <t>Skript Niveau</t>
  </si>
  <si>
    <t>Rechnen Niveau</t>
  </si>
  <si>
    <t>Bemerkungen</t>
  </si>
  <si>
    <t>Ziel</t>
  </si>
  <si>
    <t>BWL I</t>
  </si>
  <si>
    <t>Thema</t>
  </si>
  <si>
    <t>1) Einstieg</t>
  </si>
  <si>
    <t>2) Fragen und Modelle der BWL</t>
  </si>
  <si>
    <t>3) Planung und Entscheidung</t>
  </si>
  <si>
    <t>4) Absatz</t>
  </si>
  <si>
    <t>5) Produktion</t>
  </si>
  <si>
    <t>6) Information und Finanzierung</t>
  </si>
  <si>
    <t>7) Rechnungswesen</t>
  </si>
  <si>
    <t>Unternehmensführung und -gründung</t>
  </si>
  <si>
    <t>VWL I</t>
  </si>
  <si>
    <t>1) Die kapitalistische Revolution</t>
  </si>
  <si>
    <t>2) Knappheit, Arbeit und Entscheidungen</t>
  </si>
  <si>
    <t xml:space="preserve">3) Besitz und Macht: Gegenseitiger Nutzen und Konflikte </t>
  </si>
  <si>
    <t xml:space="preserve">4) Firmen und Nachfrager </t>
  </si>
  <si>
    <t>5) Angebot und Nachfrage: Preisnehmerverhalten und Wettbewerbsmärkte</t>
  </si>
  <si>
    <t>6) Wirtschaftspolitik und Stabilität</t>
  </si>
  <si>
    <t>Mathematik I</t>
  </si>
  <si>
    <t>1) Lineare Gleichungssysteme und Matrizen</t>
  </si>
  <si>
    <t>Öffentliches Recht</t>
  </si>
  <si>
    <t>1) Einführung</t>
  </si>
  <si>
    <t>Beschreibende Statistik</t>
  </si>
  <si>
    <t>2) Empirische Verteilungen</t>
  </si>
  <si>
    <t>Montag</t>
  </si>
  <si>
    <t>Dienstag</t>
  </si>
  <si>
    <t>Mittwoch</t>
  </si>
  <si>
    <t>Donnerstag</t>
  </si>
  <si>
    <t>Freitag</t>
  </si>
  <si>
    <t>Samstag</t>
  </si>
  <si>
    <t>Sonntag</t>
  </si>
  <si>
    <t>Übung: Einführung in die VWL
(Online)
(14-tägig)</t>
  </si>
  <si>
    <t>Vorlesung: Beschreibende Statistik
(VII-002)</t>
  </si>
  <si>
    <t xml:space="preserve">Tutorium: Einführung in die VWL
</t>
  </si>
  <si>
    <t>Vorlesung: Beschreibende Statistik</t>
  </si>
  <si>
    <t xml:space="preserve">Tutorium: Mathematik 
(Alternativ)
</t>
  </si>
  <si>
    <t>Vorlesung: Einführung in die VWL
(VII-201)</t>
  </si>
  <si>
    <t>Tutorium: Mathematik
(Gruppe 21: VII-005)</t>
  </si>
  <si>
    <t xml:space="preserve">Tutorium: Unternehmensführung und -gründung
</t>
  </si>
  <si>
    <t>Zentralübung: Mathematik I
(Audimax)</t>
  </si>
  <si>
    <t>Tutorium: Beschreibende Statistik
(Gruppe 21: VII-005)</t>
  </si>
  <si>
    <t>Vorlesung: Öffentliches Recht 
(VII-002)</t>
  </si>
  <si>
    <t>Vorlesung: Mathematik I
(Audimax)</t>
  </si>
  <si>
    <t>Vorlesung: Einführung in die BWL
(Audimax)</t>
  </si>
  <si>
    <t>Übung: Einführung in die BWL
(VII-201)
Später Start: 43. KW</t>
  </si>
  <si>
    <t>Vorlesung: Unternehmensführung und -gründung
(VII-201)</t>
  </si>
  <si>
    <t>Wochenplan</t>
  </si>
  <si>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</si>
  <si>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</si>
  <si>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</si>
  <si>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</si>
  <si>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</si>
  <si>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</si>
  <si>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</si>
  <si>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</si>
  <si>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</si>
  <si>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</si>
  <si>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</si>
  <si>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</si>
  <si>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</si>
  <si>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</si>
  <si>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</si>
  <si>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Datum</t>
  </si>
  <si>
    <t>Lerneinheiten durchgezogen</t>
  </si>
  <si>
    <t>Tagesplan erstellt</t>
  </si>
  <si>
    <t>Konzentrationslevel</t>
  </si>
  <si>
    <t>Kcal</t>
  </si>
  <si>
    <t>Fette</t>
  </si>
  <si>
    <t>Eiweiss</t>
  </si>
  <si>
    <t>Kohlenhydrate</t>
  </si>
  <si>
    <t>Gewicht</t>
  </si>
  <si>
    <t>Sonstiges Gefühl</t>
  </si>
  <si>
    <t>Optimierungen</t>
  </si>
  <si>
    <t>2) Vektoren, Geraden und Ebenen; Lineare Unabhängigkeit, Basis und Dimension; Funktionen und Differenzierbarkeit in den reellen Zahlen</t>
  </si>
  <si>
    <t>3) Ableitungsregeln, Monotonie, Konvexität, Umkehrfunktionen</t>
  </si>
  <si>
    <t>4) Extremwerte</t>
  </si>
  <si>
    <t>5) Integralrechnung</t>
  </si>
  <si>
    <t>6) Funktionen von mehreren reellen Veränderlichen</t>
  </si>
  <si>
    <t>7) Differentialrechnung der Funktionen mehrerer Veränderlicher, Extremstellen.</t>
  </si>
  <si>
    <t>KW 52 - 70%</t>
  </si>
  <si>
    <t>KW 01 - 70%</t>
  </si>
  <si>
    <t>3) Empirische Verteilungsfunktion</t>
  </si>
  <si>
    <t>4) Lagemaße</t>
  </si>
  <si>
    <t>5) Streuungsmaße</t>
  </si>
  <si>
    <t>6) Korrelationsrechnung</t>
  </si>
  <si>
    <t>7) Wahrscheinlichkeitsrechnung</t>
  </si>
  <si>
    <t>8) Die Wahrscheinlichkeit</t>
  </si>
  <si>
    <t>9) Bedingte Wahrscheinlichkeiten</t>
  </si>
  <si>
    <t>10) Unabhängigkeit von Ereignissen</t>
  </si>
  <si>
    <t>11) Theoretische Verteilungen</t>
  </si>
  <si>
    <t>2) Management</t>
  </si>
  <si>
    <t>3) Management &amp; Ethik</t>
  </si>
  <si>
    <t>4) Strategische Planung I</t>
  </si>
  <si>
    <t>5) Strategische Planung II</t>
  </si>
  <si>
    <t>6) Operative Planung &amp; Kontrolle</t>
  </si>
  <si>
    <t>7) Wissensmanagement</t>
  </si>
  <si>
    <t>8) Innovation &amp; Change Management</t>
  </si>
  <si>
    <t>9) Organisationsstrukturen</t>
  </si>
  <si>
    <t>10) Motivation &amp; Führung</t>
  </si>
  <si>
    <t>11) Gruppe &amp; Gruppenverhalten</t>
  </si>
  <si>
    <t>1) Staatsorganisationsrecht I</t>
  </si>
  <si>
    <t>2) Staatsorganisationsrecht II</t>
  </si>
  <si>
    <t>3) Grundrechte I</t>
  </si>
  <si>
    <t>4) Grundrechte II</t>
  </si>
  <si>
    <t xml:space="preserve">5) Europarecht I </t>
  </si>
  <si>
    <t>6) Europarecht II</t>
  </si>
  <si>
    <t>7) Verwaltungsrecht I</t>
  </si>
  <si>
    <t>8) Verwaltungsrecht II</t>
  </si>
  <si>
    <t>9) Verwaltungsrecht III</t>
  </si>
  <si>
    <t>10) VerwaltungsprozessR</t>
  </si>
  <si>
    <t>7) Preisniveaustabilität und außenwirtschaftliches Gleichgewicht</t>
  </si>
  <si>
    <t>KW 06 - KLAUSUREN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</si>
</sst>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2"/>
      <color theme="1"/>
      <name val="Calibri"/>
      <scheme val="minor"/>
    </font>
    <font>
      <sz val="12"/>
      <color theme="1"/>
      <name val="Calibri"/>
    </font>
    <font>
      <b/>
      <sz val="12"/>
      <color theme="1"/>
      <name val="Calibri"/>
    </font>
    <font>
      <b/>
      <sz val="26"/>
      <color theme="1"/>
      <name val="Calibri"/>
    </font>
    <font>
      <sz val="12"/>
      <name val="Calibri"/>
    </font>
    <font>
      <sz val="12"/>
      <color theme="1"/>
      <name val="Calibri"/>
      <scheme val="minor"/>
    </font>
    <font>
      <b/>
      <sz val="14"/>
      <color theme="1"/>
      <name val="Calibri"/>
    </font>
    <font>
      <sz val="14"/>
      <color theme="1"/>
      <name val="Calibri"/>
    </font>
    <font>
      <b/>
      <sz val="20"/>
      <color theme="1"/>
      <name val="Calibri"/>
    </font>
    <font>
      <b/>
      <i/>
      <u/>
      <sz val="16"/>
      <color theme="1"/>
      <name val="Calibri"/>
    </font>
    <font>
      <sz val="12"/>
      <color theme="1"/>
      <name val="Calibri"/>
      <family val="2"/>
    </font>
  </fonts>
  <fills count="9">
    <fill>
      <patternFill patternType="none"/>
    </fill>
    <fill>
      <patternFill patternType="gray125"/>
    </fill>
    <fill>
      <patternFill patternType="solid">
        <fgColor rgb="FFD9E2F3"/>
        <bgColor rgb="FFD9E2F3"/>
      </patternFill>
    </fill>
    <fill>
      <patternFill patternType="solid">
        <fgColor rgb="FF00FF29"/>
        <bgColor rgb="FF00FF29"/>
      </patternFill>
    </fill>
    <fill>
      <patternFill patternType="solid">
        <fgColor rgb="FFFFFF00"/>
        <bgColor rgb="FFFFFF00"/>
      </patternFill>
    </fill>
    <fill>
      <patternFill patternType="solid">
        <fgColor rgb="FFE0E0E0"/>
        <bgColor rgb="FFE0E0E0"/>
      </patternFill>
    </fill>
    <fill>
      <patternFill patternType="solid">
        <fgColor rgb="FFFFE598"/>
        <bgColor rgb="FFFFE598"/>
      </patternFill>
    </fill>
    <fill>
      <patternFill patternType="solid">
        <fgColor rgb="FFB4C6E7"/>
        <bgColor rgb="FFB4C6E7"/>
      </patternFill>
    </fill>
    <fill>
      <patternFill patternType="solid">
        <fgColor rgb="FFF7CAAC"/>
        <bgColor rgb="FFF7CAAC"/>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1" fillId="2" borderId="1" xfId="0" applyFont="1" applyFill="1" applyBorder="1"/>
    <xf numFmtId="0" fontId="1" fillId="3" borderId="1" xfId="0" applyFont="1" applyFill="1" applyBorder="1"/>
    <xf numFmtId="0" fontId="1" fillId="4" borderId="1" xfId="0" applyFont="1" applyFill="1" applyBorder="1"/>
    <xf numFmtId="0" fontId="2" fillId="0" borderId="0" xfId="0" applyFont="1"/>
    <xf numFmtId="0" fontId="1" fillId="0" borderId="0" xfId="0" applyFont="1"/>
    <xf numFmtId="0" fontId="3" fillId="0" borderId="0" xfId="0" applyFont="1"/>
    <xf numFmtId="0" fontId="5" fillId="0" borderId="0" xfId="0" applyFont="1"/>
    <xf numFmtId="0" fontId="2" fillId="5" borderId="1" xfId="0" applyFont="1" applyFill="1" applyBorder="1"/>
    <xf numFmtId="0" fontId="2" fillId="5" borderId="1" xfId="0" applyFont="1" applyFill="1" applyBorder="1" applyAlignment="1">
      <alignment horizontal="center"/>
    </xf>
    <xf numFmtId="0" fontId="1" fillId="0" borderId="0" xfId="0" applyFont="1" applyAlignment="1">
      <alignment horizontal="center"/>
    </xf>
    <xf numFmtId="9" fontId="1" fillId="0" borderId="0" xfId="0" applyNumberFormat="1" applyFont="1"/>
    <xf numFmtId="1" fontId="1" fillId="0" borderId="0" xfId="0" applyNumberFormat="1" applyFont="1" applyAlignment="1">
      <alignment horizontal="center"/>
    </xf>
    <xf numFmtId="9" fontId="1" fillId="0" borderId="0" xfId="0" applyNumberFormat="1" applyFont="1" applyAlignment="1">
      <alignment horizontal="center"/>
    </xf>
    <xf numFmtId="9" fontId="1" fillId="0" borderId="0" xfId="0" applyNumberFormat="1" applyFont="1" applyAlignment="1">
      <alignment shrinkToFit="1"/>
    </xf>
    <xf numFmtId="0" fontId="1" fillId="0" borderId="0" xfId="0" applyFont="1" applyAlignment="1">
      <alignment shrinkToFit="1"/>
    </xf>
    <xf numFmtId="0" fontId="6" fillId="0" borderId="0" xfId="0" applyFont="1" applyAlignment="1">
      <alignment horizontal="center"/>
    </xf>
    <xf numFmtId="20" fontId="7" fillId="0" borderId="0" xfId="0" applyNumberFormat="1" applyFont="1"/>
    <xf numFmtId="0" fontId="6" fillId="0" borderId="0" xfId="0" applyFont="1"/>
    <xf numFmtId="0" fontId="8" fillId="0" borderId="0" xfId="0" applyFont="1"/>
    <xf numFmtId="0" fontId="2" fillId="0" borderId="0" xfId="0" applyFont="1" applyAlignment="1">
      <alignment horizontal="center"/>
    </xf>
    <xf numFmtId="20" fontId="1" fillId="0" borderId="0" xfId="0" applyNumberFormat="1" applyFont="1"/>
    <xf numFmtId="0" fontId="9" fillId="0" borderId="0" xfId="0" applyFont="1"/>
    <xf numFmtId="0" fontId="1" fillId="0" borderId="0" xfId="0" applyFont="1" applyAlignment="1">
      <alignment wrapText="1"/>
    </xf>
    <xf numFmtId="0" fontId="1" fillId="0" borderId="0" xfId="0" applyFont="1" applyAlignment="1">
      <alignment horizontal="center" wrapText="1"/>
    </xf>
    <xf numFmtId="14" fontId="1" fillId="0" borderId="0" xfId="0" applyNumberFormat="1" applyFont="1" applyAlignment="1">
      <alignment horizontal="center"/>
    </xf>
    <xf numFmtId="14" fontId="1" fillId="0" borderId="0" xfId="0" applyNumberFormat="1" applyFont="1" applyAlignment="1">
      <alignment shrinkToFit="1"/>
    </xf>
    <xf numFmtId="0" fontId="0" fillId="0" borderId="0" xfId="0" applyAlignment="1">
      <alignment shrinkToFit="1"/>
    </xf>
    <xf numFmtId="0" fontId="10" fillId="0" borderId="0" xfId="0" applyFont="1"/>
    <xf numFmtId="0" fontId="2" fillId="5" borderId="2" xfId="0" applyFont="1" applyFill="1" applyBorder="1" applyAlignment="1">
      <alignment horizontal="center"/>
    </xf>
    <xf numFmtId="0" fontId="4" fillId="0" borderId="3" xfId="0" applyFont="1" applyBorder="1"/>
    <xf numFmtId="0" fontId="4" fillId="0" borderId="4" xfId="0" applyFont="1" applyBorder="1"/>
    <xf numFmtId="0" fontId="1" fillId="7" borderId="5" xfId="0" applyFont="1" applyFill="1" applyBorder="1" applyAlignment="1">
      <alignment horizontal="center" vertical="top" wrapText="1"/>
    </xf>
    <xf numFmtId="0" fontId="4" fillId="0" borderId="6" xfId="0" applyFont="1" applyBorder="1"/>
    <xf numFmtId="0" fontId="4" fillId="0" borderId="7" xfId="0" applyFont="1" applyBorder="1"/>
    <xf numFmtId="0" fontId="1" fillId="8" borderId="5" xfId="0" applyFont="1" applyFill="1" applyBorder="1" applyAlignment="1">
      <alignment horizontal="center" vertical="top" wrapText="1"/>
    </xf>
    <xf numFmtId="0" fontId="1" fillId="6" borderId="5" xfId="0" applyFont="1" applyFill="1" applyBorder="1" applyAlignment="1">
      <alignment horizontal="center" vertical="top" wrapText="1"/>
    </xf>
  </cellXfs>
  <cellStyles count="1">
    <cellStyle name="Standard" xfId="0" builtinId="0"/>
  </cellStyles>
  <dxfs count="57">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5"/>
          <bgColor theme="5"/>
        </patternFill>
      </fill>
    </dxf>
  </dxfs>
  <tableStyles count="1">
    <tableStyle name="COMMITTMENT-style" pivot="0" count="3" xr9:uid="{00000000-0011-0000-FFFF-FFFF00000000}">
      <tableStyleElement type="headerRow" dxfId="56"/>
      <tableStyleElement type="firstRowStripe" dxfId="55"/>
      <tableStyleElement type="secondRowStrip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baseColWidth="10" defaultColWidth="11.25" defaultRowHeight="15" customHeight="1" x14ac:dyDescent="0.25"/>
  <cols>
    <col min="1" max="1" width="7.125" customWidth="1"/>
    <col min="2" max="2" width="37.875" customWidth="1"/>
    <col min="3" max="26" width="6.5" customWidth="1"/>
  </cols>
  <sheetData>
    <row r="1" spans="1:4" ht="15.75" customHeight="1" x14ac:dyDescent="0.25"/>
    <row r="2" spans="1:4" ht="15.75" customHeight="1" x14ac:dyDescent="0.25">
      <c r="C2" s="1" t="s">
        <v>0</v>
      </c>
    </row>
    <row r="3" spans="1:4" ht="15.75" customHeight="1" x14ac:dyDescent="0.25">
      <c r="C3" s="2" t="s">
        <v>1</v>
      </c>
    </row>
    <row r="4" spans="1:4" ht="15.75" customHeight="1" x14ac:dyDescent="0.25">
      <c r="C4" s="3" t="s">
        <v>2</v>
      </c>
    </row>
    <row r="5" spans="1:4" ht="15.75" customHeight="1" x14ac:dyDescent="0.25">
      <c r="A5" s="4" t="s">
        <v>3</v>
      </c>
      <c r="B5" s="4" t="s">
        <v>4</v>
      </c>
      <c r="C5" s="4" t="s">
        <v>5</v>
      </c>
      <c r="D5" s="4" t="s">
        <v>6</v>
      </c>
    </row>
    <row r="6" spans="1:4" ht="15.75" customHeight="1" x14ac:dyDescent="0.25">
      <c r="A6" s="5" t="s">
        <v>7</v>
      </c>
      <c r="B6" s="1" t="s">
        <v>8</v>
      </c>
      <c r="D6" s="5" t="s">
        <v>9</v>
      </c>
    </row>
    <row r="7" spans="1:4" ht="15.75" customHeight="1" x14ac:dyDescent="0.25">
      <c r="A7" s="5" t="s">
        <v>10</v>
      </c>
      <c r="B7" s="5" t="s">
        <v>11</v>
      </c>
      <c r="C7" s="3">
        <v>47</v>
      </c>
    </row>
    <row r="8" spans="1:4" ht="15.75" customHeight="1" x14ac:dyDescent="0.25">
      <c r="A8" s="5" t="s">
        <v>12</v>
      </c>
      <c r="B8" s="1" t="s">
        <v>13</v>
      </c>
      <c r="D8" s="5" t="s">
        <v>14</v>
      </c>
    </row>
    <row r="9" spans="1:4" ht="15.75" customHeight="1" x14ac:dyDescent="0.25">
      <c r="A9" s="5" t="s">
        <v>15</v>
      </c>
      <c r="B9" s="1" t="s">
        <v>16</v>
      </c>
      <c r="D9" s="5" t="s">
        <v>17</v>
      </c>
    </row>
    <row r="10" spans="1:4" ht="15.75" customHeight="1" x14ac:dyDescent="0.25">
      <c r="A10" s="5" t="s">
        <v>18</v>
      </c>
      <c r="B10" s="5" t="s">
        <v>19</v>
      </c>
      <c r="C10" s="3">
        <v>11</v>
      </c>
      <c r="D10" s="5" t="s">
        <v>20</v>
      </c>
    </row>
    <row r="11" spans="1:4" ht="15.75" customHeight="1" x14ac:dyDescent="0.25">
      <c r="A11" s="5" t="s">
        <v>21</v>
      </c>
      <c r="B11" s="5" t="s">
        <v>22</v>
      </c>
      <c r="C11" s="3">
        <v>141</v>
      </c>
      <c r="D11" s="5" t="s">
        <v>23</v>
      </c>
    </row>
    <row r="12" spans="1:4" ht="15.75" customHeight="1" x14ac:dyDescent="0.25">
      <c r="A12" s="5" t="s">
        <v>24</v>
      </c>
      <c r="B12" s="5" t="s">
        <v>25</v>
      </c>
      <c r="C12" s="2">
        <f>C11/C10</f>
        <v>12.818181818181818</v>
      </c>
    </row>
    <row r="13" spans="1:4" ht="15.75" customHeight="1" x14ac:dyDescent="0.25">
      <c r="A13" s="5" t="s">
        <v>26</v>
      </c>
      <c r="B13" s="5" t="s">
        <v>27</v>
      </c>
      <c r="D13" s="5" t="s">
        <v>28</v>
      </c>
    </row>
    <row r="14" spans="1:4" ht="15.75" customHeight="1" x14ac:dyDescent="0.25">
      <c r="A14" s="5" t="s">
        <v>29</v>
      </c>
      <c r="B14" s="5" t="s">
        <v>30</v>
      </c>
      <c r="D14" s="5" t="s">
        <v>31</v>
      </c>
    </row>
    <row r="15" spans="1:4" ht="15.75" customHeight="1" x14ac:dyDescent="0.25">
      <c r="A15" s="5" t="s">
        <v>32</v>
      </c>
      <c r="B15" s="1" t="s">
        <v>33</v>
      </c>
    </row>
    <row r="16" spans="1:4" ht="15.75" customHeight="1" x14ac:dyDescent="0.25">
      <c r="A16" s="5" t="s">
        <v>34</v>
      </c>
      <c r="B16" s="1" t="s">
        <v>35</v>
      </c>
    </row>
    <row r="17" spans="1:2" ht="15.75" customHeight="1" x14ac:dyDescent="0.25">
      <c r="A17" s="5" t="s">
        <v>36</v>
      </c>
      <c r="B17" s="5" t="s">
        <v>37</v>
      </c>
    </row>
    <row r="18" spans="1:2" ht="15.75" customHeight="1" x14ac:dyDescent="0.25"/>
    <row r="19" spans="1:2" ht="15.75" customHeight="1" x14ac:dyDescent="0.25"/>
    <row r="20" spans="1:2" ht="15.75" customHeight="1" x14ac:dyDescent="0.25"/>
    <row r="21" spans="1:2" ht="15.75" customHeight="1" x14ac:dyDescent="0.25"/>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C1003"/>
  <sheetViews>
    <sheetView showGridLines="0" tabSelected="1" zoomScale="85" zoomScaleNormal="85" workbookViewId="0">
      <pane xSplit="12" topLeftCell="DA1" activePane="topRight" state="frozen"/>
      <selection pane="topRight" activeCell="DL27" sqref="DL27"/>
    </sheetView>
  </sheetViews>
  <sheetFormatPr baseColWidth="10" defaultColWidth="11.25" defaultRowHeight="15" customHeight="1" outlineLevelRow="1" x14ac:dyDescent="0.25"/>
  <cols>
    <col min="1" max="1" width="5.375" customWidth="1"/>
    <col min="2" max="2" width="9" customWidth="1"/>
    <col min="3" max="3" width="5.625" customWidth="1"/>
    <col min="4" max="4" width="13.125" customWidth="1"/>
    <col min="5" max="5" width="4.5" customWidth="1"/>
    <col min="6" max="6" width="24.875" customWidth="1"/>
    <col min="7" max="7" width="15.25" customWidth="1"/>
    <col min="8" max="8" width="0.75" customWidth="1"/>
    <col min="9" max="9" width="7.875" customWidth="1"/>
    <col min="10" max="10" width="13" customWidth="1"/>
    <col min="11" max="11" width="14.875" customWidth="1"/>
    <col min="12" max="12" width="0.125" customWidth="1"/>
    <col min="13" max="13" width="1.375" customWidth="1"/>
    <col min="14" max="14" width="8.5" bestFit="1" customWidth="1"/>
    <col min="15" max="15" width="12.625" bestFit="1" customWidth="1"/>
    <col min="16" max="16" width="5.625" bestFit="1" customWidth="1"/>
    <col min="17" max="17" width="15.125" bestFit="1" customWidth="1"/>
    <col min="18" max="18" width="5.625" bestFit="1" customWidth="1"/>
    <col min="19" max="19" width="13.25" bestFit="1" customWidth="1"/>
    <col min="20" max="20" width="1.5" customWidth="1"/>
    <col min="21" max="21" width="8.5" bestFit="1" customWidth="1"/>
    <col min="22" max="22" width="12.625" bestFit="1" customWidth="1"/>
    <col min="23" max="23" width="5.625" bestFit="1" customWidth="1"/>
    <col min="24" max="24" width="15.125" bestFit="1" customWidth="1"/>
    <col min="25" max="25" width="5.625" bestFit="1" customWidth="1"/>
    <col min="26" max="26" width="13.25" bestFit="1" customWidth="1"/>
    <col min="27" max="27" width="1.5" customWidth="1"/>
    <col min="28" max="28" width="8.5" bestFit="1" customWidth="1"/>
    <col min="29" max="29" width="12.625" bestFit="1" customWidth="1"/>
    <col min="30" max="30" width="5.625" bestFit="1" customWidth="1"/>
    <col min="31" max="31" width="15.125" bestFit="1" customWidth="1"/>
    <col min="32" max="32" width="5.625" bestFit="1" customWidth="1"/>
    <col min="33" max="33" width="13.25" bestFit="1" customWidth="1"/>
    <col min="34" max="34" width="1.5" customWidth="1"/>
    <col min="35" max="35" width="8.5" bestFit="1" customWidth="1"/>
    <col min="36" max="36" width="12.625" bestFit="1" customWidth="1"/>
    <col min="37" max="37" width="5.625" bestFit="1" customWidth="1"/>
    <col min="38" max="38" width="15.125" bestFit="1" customWidth="1"/>
    <col min="39" max="39" width="5.625" bestFit="1" customWidth="1"/>
    <col min="40" max="40" width="13.25" bestFit="1" customWidth="1"/>
    <col min="41" max="41" width="1.5" customWidth="1"/>
    <col min="42" max="42" width="8.5" bestFit="1" customWidth="1"/>
    <col min="43" max="43" width="12.625" bestFit="1" customWidth="1"/>
    <col min="44" max="44" width="5.625" bestFit="1" customWidth="1"/>
    <col min="45" max="45" width="15.125" bestFit="1" customWidth="1"/>
    <col min="46" max="46" width="5.625" bestFit="1" customWidth="1"/>
    <col min="47" max="47" width="13.25" bestFit="1" customWidth="1"/>
    <col min="48" max="48" width="1.5" customWidth="1"/>
    <col min="49" max="49" width="8.5" bestFit="1" customWidth="1"/>
    <col min="50" max="50" width="12.625" bestFit="1" customWidth="1"/>
    <col min="51" max="51" width="5.625" bestFit="1" customWidth="1"/>
    <col min="52" max="52" width="15.125" bestFit="1" customWidth="1"/>
    <col min="53" max="53" width="5.625" bestFit="1" customWidth="1"/>
    <col min="54" max="54" width="13.25" bestFit="1" customWidth="1"/>
    <col min="55" max="55" width="1.5" customWidth="1"/>
    <col min="56" max="56" width="8.5" bestFit="1" customWidth="1"/>
    <col min="57" max="57" width="12.625" bestFit="1" customWidth="1"/>
    <col min="58" max="58" width="5.625" bestFit="1" customWidth="1"/>
    <col min="59" max="59" width="15.125" bestFit="1" customWidth="1"/>
    <col min="60" max="60" width="5.625" bestFit="1" customWidth="1"/>
    <col min="61" max="61" width="13.25" bestFit="1" customWidth="1"/>
    <col min="62" max="62" width="1.5" customWidth="1"/>
    <col min="63" max="63" width="8.5" bestFit="1" customWidth="1"/>
    <col min="64" max="64" width="12.625" bestFit="1" customWidth="1"/>
    <col min="65" max="65" width="5.625" bestFit="1" customWidth="1"/>
    <col min="66" max="66" width="15.125" bestFit="1" customWidth="1"/>
    <col min="67" max="67" width="5.625" bestFit="1" customWidth="1"/>
    <col min="68" max="68" width="13.25" bestFit="1" customWidth="1"/>
    <col min="69" max="69" width="1.5" customWidth="1"/>
    <col min="70" max="70" width="8.5" bestFit="1" customWidth="1"/>
    <col min="71" max="71" width="12.625" bestFit="1" customWidth="1"/>
    <col min="72" max="72" width="5.625" bestFit="1" customWidth="1"/>
    <col min="73" max="73" width="15.125" bestFit="1" customWidth="1"/>
    <col min="74" max="74" width="5.625" bestFit="1" customWidth="1"/>
    <col min="75" max="75" width="13.25" bestFit="1" customWidth="1"/>
    <col min="76" max="76" width="1.5" customWidth="1"/>
    <col min="77" max="77" width="8.5" bestFit="1" customWidth="1"/>
    <col min="78" max="78" width="12.625" bestFit="1" customWidth="1"/>
    <col min="79" max="79" width="5.625" bestFit="1" customWidth="1"/>
    <col min="80" max="80" width="15.125" bestFit="1" customWidth="1"/>
    <col min="81" max="81" width="5.625" bestFit="1" customWidth="1"/>
    <col min="82" max="82" width="13.25" bestFit="1" customWidth="1"/>
    <col min="83" max="83" width="1.5" customWidth="1"/>
    <col min="84" max="84" width="8.5" bestFit="1" customWidth="1"/>
    <col min="85" max="85" width="12.625" bestFit="1" customWidth="1"/>
    <col min="86" max="86" width="5.625" bestFit="1" customWidth="1"/>
    <col min="87" max="87" width="15.125" bestFit="1" customWidth="1"/>
    <col min="88" max="88" width="5.625" bestFit="1" customWidth="1"/>
    <col min="89" max="89" width="13.25" bestFit="1" customWidth="1"/>
    <col min="90" max="90" width="1.5" customWidth="1"/>
    <col min="91" max="91" width="8.5" bestFit="1" customWidth="1"/>
    <col min="92" max="92" width="12.625" bestFit="1" customWidth="1"/>
    <col min="93" max="93" width="5.625" bestFit="1" customWidth="1"/>
    <col min="94" max="94" width="15.125" bestFit="1" customWidth="1"/>
    <col min="95" max="95" width="5.625" bestFit="1" customWidth="1"/>
    <col min="96" max="96" width="12.75" bestFit="1" customWidth="1"/>
    <col min="97" max="97" width="1.5" customWidth="1"/>
    <col min="98" max="98" width="8.125" bestFit="1" customWidth="1"/>
    <col min="99" max="99" width="12.5" bestFit="1" customWidth="1"/>
    <col min="100" max="100" width="3.875" customWidth="1"/>
    <col min="101" max="101" width="14.75" bestFit="1" customWidth="1"/>
    <col min="102" max="102" width="3.875" bestFit="1" customWidth="1"/>
    <col min="103" max="103" width="12.75" bestFit="1" customWidth="1"/>
    <col min="104" max="104" width="1.5" customWidth="1"/>
    <col min="105" max="105" width="8.125" bestFit="1" customWidth="1"/>
    <col min="106" max="106" width="12.5" bestFit="1" customWidth="1"/>
    <col min="107" max="107" width="3.875" customWidth="1"/>
    <col min="108" max="108" width="14.75" bestFit="1" customWidth="1"/>
    <col min="109" max="109" width="3.875" bestFit="1" customWidth="1"/>
    <col min="110" max="110" width="12.75" bestFit="1" customWidth="1"/>
    <col min="111" max="111" width="1.5" customWidth="1"/>
    <col min="112" max="112" width="8.125" bestFit="1" customWidth="1"/>
    <col min="113" max="113" width="12.5" bestFit="1" customWidth="1"/>
    <col min="114" max="114" width="3.875" customWidth="1"/>
    <col min="115" max="115" width="14.75" bestFit="1" customWidth="1"/>
    <col min="116" max="116" width="3.875" bestFit="1" customWidth="1"/>
    <col min="117" max="117" width="12.75" bestFit="1" customWidth="1"/>
    <col min="118" max="118" width="1.5" customWidth="1"/>
    <col min="119" max="119" width="8.125" bestFit="1" customWidth="1"/>
    <col min="120" max="120" width="12.5" bestFit="1" customWidth="1"/>
    <col min="121" max="121" width="5.25" bestFit="1" customWidth="1"/>
    <col min="122" max="122" width="14.75" bestFit="1" customWidth="1"/>
    <col min="123" max="123" width="5.25" bestFit="1" customWidth="1"/>
    <col min="124" max="124" width="12.75" bestFit="1" customWidth="1"/>
    <col min="125" max="125" width="1.5" customWidth="1"/>
    <col min="126" max="126" width="8.125" bestFit="1" customWidth="1"/>
    <col min="127" max="127" width="12.5" bestFit="1" customWidth="1"/>
    <col min="128" max="128" width="5.25" bestFit="1" customWidth="1"/>
    <col min="129" max="129" width="14.75" bestFit="1" customWidth="1"/>
    <col min="130" max="130" width="5.25" bestFit="1" customWidth="1"/>
    <col min="131" max="131" width="12.75" bestFit="1" customWidth="1"/>
    <col min="132" max="133" width="8.625" customWidth="1"/>
  </cols>
  <sheetData>
    <row r="1" spans="2:133" ht="15.75" customHeight="1" x14ac:dyDescent="0.5">
      <c r="B1" s="6" t="s">
        <v>38</v>
      </c>
      <c r="D1" s="6"/>
    </row>
    <row r="2" spans="2:133" ht="15.75" customHeight="1" x14ac:dyDescent="0.25">
      <c r="I2" s="29" t="s">
        <v>39</v>
      </c>
      <c r="J2" s="30"/>
      <c r="K2" s="30"/>
      <c r="L2" s="31"/>
      <c r="N2" s="29" t="s">
        <v>40</v>
      </c>
      <c r="O2" s="30"/>
      <c r="P2" s="30"/>
      <c r="Q2" s="30"/>
      <c r="R2" s="30"/>
      <c r="S2" s="31"/>
      <c r="U2" s="29" t="s">
        <v>41</v>
      </c>
      <c r="V2" s="30"/>
      <c r="W2" s="30"/>
      <c r="X2" s="30"/>
      <c r="Y2" s="30"/>
      <c r="Z2" s="31"/>
      <c r="AB2" s="29" t="s">
        <v>42</v>
      </c>
      <c r="AC2" s="30"/>
      <c r="AD2" s="30"/>
      <c r="AE2" s="30"/>
      <c r="AF2" s="30"/>
      <c r="AG2" s="31"/>
      <c r="AI2" s="29" t="s">
        <v>43</v>
      </c>
      <c r="AJ2" s="30"/>
      <c r="AK2" s="30"/>
      <c r="AL2" s="30"/>
      <c r="AM2" s="30"/>
      <c r="AN2" s="31"/>
      <c r="AP2" s="29" t="s">
        <v>44</v>
      </c>
      <c r="AQ2" s="30"/>
      <c r="AR2" s="30"/>
      <c r="AS2" s="30"/>
      <c r="AT2" s="30"/>
      <c r="AU2" s="31"/>
      <c r="AW2" s="29" t="s">
        <v>45</v>
      </c>
      <c r="AX2" s="30"/>
      <c r="AY2" s="30"/>
      <c r="AZ2" s="30"/>
      <c r="BA2" s="30"/>
      <c r="BB2" s="31"/>
      <c r="BD2" s="29" t="s">
        <v>46</v>
      </c>
      <c r="BE2" s="30"/>
      <c r="BF2" s="30"/>
      <c r="BG2" s="30"/>
      <c r="BH2" s="30"/>
      <c r="BI2" s="31"/>
      <c r="BK2" s="29" t="s">
        <v>47</v>
      </c>
      <c r="BL2" s="30"/>
      <c r="BM2" s="30"/>
      <c r="BN2" s="30"/>
      <c r="BO2" s="30"/>
      <c r="BP2" s="31"/>
      <c r="BR2" s="29" t="s">
        <v>48</v>
      </c>
      <c r="BS2" s="30"/>
      <c r="BT2" s="30"/>
      <c r="BU2" s="30"/>
      <c r="BV2" s="30"/>
      <c r="BW2" s="31"/>
      <c r="BY2" s="29" t="s">
        <v>49</v>
      </c>
      <c r="BZ2" s="30"/>
      <c r="CA2" s="30"/>
      <c r="CB2" s="30"/>
      <c r="CC2" s="30"/>
      <c r="CD2" s="31"/>
      <c r="CF2" s="29" t="s">
        <v>143</v>
      </c>
      <c r="CG2" s="30"/>
      <c r="CH2" s="30"/>
      <c r="CI2" s="30"/>
      <c r="CJ2" s="30"/>
      <c r="CK2" s="31"/>
      <c r="CM2" s="29" t="s">
        <v>144</v>
      </c>
      <c r="CN2" s="30"/>
      <c r="CO2" s="30"/>
      <c r="CP2" s="30"/>
      <c r="CQ2" s="30"/>
      <c r="CR2" s="31"/>
      <c r="CT2" s="29" t="s">
        <v>50</v>
      </c>
      <c r="CU2" s="30"/>
      <c r="CV2" s="30"/>
      <c r="CW2" s="30"/>
      <c r="CX2" s="30"/>
      <c r="CY2" s="31"/>
      <c r="DA2" s="29" t="s">
        <v>51</v>
      </c>
      <c r="DB2" s="30"/>
      <c r="DC2" s="30"/>
      <c r="DD2" s="30"/>
      <c r="DE2" s="30"/>
      <c r="DF2" s="31"/>
      <c r="DH2" s="29" t="s">
        <v>52</v>
      </c>
      <c r="DI2" s="30"/>
      <c r="DJ2" s="30"/>
      <c r="DK2" s="30"/>
      <c r="DL2" s="30"/>
      <c r="DM2" s="31"/>
      <c r="DO2" s="29" t="s">
        <v>53</v>
      </c>
      <c r="DP2" s="30"/>
      <c r="DQ2" s="30"/>
      <c r="DR2" s="30"/>
      <c r="DS2" s="30"/>
      <c r="DT2" s="31"/>
      <c r="DV2" s="29" t="s">
        <v>175</v>
      </c>
      <c r="DW2" s="30"/>
      <c r="DX2" s="30"/>
      <c r="DY2" s="30"/>
      <c r="DZ2" s="30"/>
      <c r="EA2" s="31"/>
      <c r="EB2" s="7">
        <v>16</v>
      </c>
      <c r="EC2" s="7">
        <v>17</v>
      </c>
    </row>
    <row r="3" spans="2:133" ht="15.75" customHeight="1" x14ac:dyDescent="0.25">
      <c r="B3" s="8" t="s">
        <v>54</v>
      </c>
      <c r="C3" s="8" t="s">
        <v>55</v>
      </c>
      <c r="D3" s="8" t="s">
        <v>56</v>
      </c>
      <c r="E3" s="9" t="s">
        <v>57</v>
      </c>
      <c r="F3" s="8" t="s">
        <v>58</v>
      </c>
      <c r="G3" s="8" t="s">
        <v>59</v>
      </c>
      <c r="I3" s="9" t="s">
        <v>60</v>
      </c>
      <c r="J3" s="9" t="s">
        <v>61</v>
      </c>
      <c r="K3" s="9" t="s">
        <v>62</v>
      </c>
      <c r="L3" s="9" t="s">
        <v>63</v>
      </c>
      <c r="N3" s="8" t="s">
        <v>60</v>
      </c>
      <c r="O3" s="8" t="s">
        <v>61</v>
      </c>
      <c r="P3" s="8" t="s">
        <v>64</v>
      </c>
      <c r="Q3" s="8" t="s">
        <v>62</v>
      </c>
      <c r="R3" s="8" t="s">
        <v>64</v>
      </c>
      <c r="S3" s="8" t="s">
        <v>63</v>
      </c>
      <c r="U3" s="8" t="s">
        <v>60</v>
      </c>
      <c r="V3" s="8" t="s">
        <v>61</v>
      </c>
      <c r="W3" s="8" t="s">
        <v>64</v>
      </c>
      <c r="X3" s="8" t="s">
        <v>62</v>
      </c>
      <c r="Y3" s="8" t="s">
        <v>64</v>
      </c>
      <c r="Z3" s="8" t="s">
        <v>63</v>
      </c>
      <c r="AB3" s="8" t="s">
        <v>60</v>
      </c>
      <c r="AC3" s="8" t="s">
        <v>61</v>
      </c>
      <c r="AD3" s="8" t="s">
        <v>64</v>
      </c>
      <c r="AE3" s="8" t="s">
        <v>62</v>
      </c>
      <c r="AF3" s="8" t="s">
        <v>64</v>
      </c>
      <c r="AG3" s="8" t="s">
        <v>63</v>
      </c>
      <c r="AI3" s="8" t="s">
        <v>60</v>
      </c>
      <c r="AJ3" s="8" t="s">
        <v>61</v>
      </c>
      <c r="AK3" s="8" t="s">
        <v>64</v>
      </c>
      <c r="AL3" s="8" t="s">
        <v>62</v>
      </c>
      <c r="AM3" s="8" t="s">
        <v>64</v>
      </c>
      <c r="AN3" s="8" t="s">
        <v>63</v>
      </c>
      <c r="AP3" s="8" t="s">
        <v>60</v>
      </c>
      <c r="AQ3" s="8" t="s">
        <v>61</v>
      </c>
      <c r="AR3" s="8" t="s">
        <v>64</v>
      </c>
      <c r="AS3" s="8" t="s">
        <v>62</v>
      </c>
      <c r="AT3" s="8" t="s">
        <v>64</v>
      </c>
      <c r="AU3" s="8" t="s">
        <v>63</v>
      </c>
      <c r="AW3" s="8" t="s">
        <v>60</v>
      </c>
      <c r="AX3" s="8" t="s">
        <v>61</v>
      </c>
      <c r="AY3" s="8" t="s">
        <v>64</v>
      </c>
      <c r="AZ3" s="8" t="s">
        <v>62</v>
      </c>
      <c r="BA3" s="8" t="s">
        <v>64</v>
      </c>
      <c r="BB3" s="8" t="s">
        <v>63</v>
      </c>
      <c r="BD3" s="8" t="s">
        <v>60</v>
      </c>
      <c r="BE3" s="8" t="s">
        <v>61</v>
      </c>
      <c r="BF3" s="8" t="s">
        <v>64</v>
      </c>
      <c r="BG3" s="8" t="s">
        <v>62</v>
      </c>
      <c r="BH3" s="8" t="s">
        <v>64</v>
      </c>
      <c r="BI3" s="8" t="s">
        <v>63</v>
      </c>
      <c r="BK3" s="8" t="s">
        <v>60</v>
      </c>
      <c r="BL3" s="8" t="s">
        <v>61</v>
      </c>
      <c r="BM3" s="8" t="s">
        <v>64</v>
      </c>
      <c r="BN3" s="8" t="s">
        <v>62</v>
      </c>
      <c r="BO3" s="8" t="s">
        <v>64</v>
      </c>
      <c r="BP3" s="8" t="s">
        <v>63</v>
      </c>
      <c r="BR3" s="8" t="s">
        <v>60</v>
      </c>
      <c r="BS3" s="8" t="s">
        <v>61</v>
      </c>
      <c r="BT3" s="8" t="s">
        <v>64</v>
      </c>
      <c r="BU3" s="8" t="s">
        <v>62</v>
      </c>
      <c r="BV3" s="8" t="s">
        <v>64</v>
      </c>
      <c r="BW3" s="8" t="s">
        <v>63</v>
      </c>
      <c r="BY3" s="8" t="s">
        <v>60</v>
      </c>
      <c r="BZ3" s="8" t="s">
        <v>61</v>
      </c>
      <c r="CA3" s="8" t="s">
        <v>64</v>
      </c>
      <c r="CB3" s="8" t="s">
        <v>62</v>
      </c>
      <c r="CC3" s="8" t="s">
        <v>64</v>
      </c>
      <c r="CD3" s="8" t="s">
        <v>63</v>
      </c>
      <c r="CF3" s="8" t="s">
        <v>60</v>
      </c>
      <c r="CG3" s="8" t="s">
        <v>61</v>
      </c>
      <c r="CH3" s="8" t="s">
        <v>64</v>
      </c>
      <c r="CI3" s="8" t="s">
        <v>62</v>
      </c>
      <c r="CJ3" s="8" t="s">
        <v>64</v>
      </c>
      <c r="CK3" s="8" t="s">
        <v>63</v>
      </c>
      <c r="CM3" s="8" t="s">
        <v>60</v>
      </c>
      <c r="CN3" s="8" t="s">
        <v>61</v>
      </c>
      <c r="CO3" s="8" t="s">
        <v>64</v>
      </c>
      <c r="CP3" s="8" t="s">
        <v>62</v>
      </c>
      <c r="CQ3" s="8" t="s">
        <v>64</v>
      </c>
      <c r="CR3" s="8" t="s">
        <v>63</v>
      </c>
      <c r="CT3" s="8" t="s">
        <v>60</v>
      </c>
      <c r="CU3" s="8" t="s">
        <v>61</v>
      </c>
      <c r="CV3" s="8" t="s">
        <v>64</v>
      </c>
      <c r="CW3" s="8" t="s">
        <v>62</v>
      </c>
      <c r="CX3" s="8" t="s">
        <v>64</v>
      </c>
      <c r="CY3" s="8" t="s">
        <v>63</v>
      </c>
      <c r="DA3" s="8" t="s">
        <v>60</v>
      </c>
      <c r="DB3" s="8" t="s">
        <v>61</v>
      </c>
      <c r="DC3" s="8" t="s">
        <v>64</v>
      </c>
      <c r="DD3" s="8" t="s">
        <v>62</v>
      </c>
      <c r="DE3" s="8" t="s">
        <v>64</v>
      </c>
      <c r="DF3" s="8" t="s">
        <v>63</v>
      </c>
      <c r="DH3" s="8" t="s">
        <v>60</v>
      </c>
      <c r="DI3" s="8" t="s">
        <v>61</v>
      </c>
      <c r="DJ3" s="8" t="s">
        <v>64</v>
      </c>
      <c r="DK3" s="8" t="s">
        <v>62</v>
      </c>
      <c r="DL3" s="8" t="s">
        <v>64</v>
      </c>
      <c r="DM3" s="8" t="s">
        <v>63</v>
      </c>
      <c r="DO3" s="8" t="s">
        <v>60</v>
      </c>
      <c r="DP3" s="8" t="s">
        <v>61</v>
      </c>
      <c r="DQ3" s="8" t="s">
        <v>64</v>
      </c>
      <c r="DR3" s="8" t="s">
        <v>62</v>
      </c>
      <c r="DS3" s="8" t="s">
        <v>64</v>
      </c>
      <c r="DT3" s="8" t="s">
        <v>63</v>
      </c>
      <c r="DV3" s="8" t="s">
        <v>60</v>
      </c>
      <c r="DW3" s="8" t="s">
        <v>61</v>
      </c>
      <c r="DX3" s="8" t="s">
        <v>64</v>
      </c>
      <c r="DY3" s="8" t="s">
        <v>62</v>
      </c>
      <c r="DZ3" s="8" t="s">
        <v>64</v>
      </c>
      <c r="EA3" s="8" t="s">
        <v>63</v>
      </c>
    </row>
    <row r="4" spans="2:133" ht="15.75" customHeight="1" x14ac:dyDescent="0.25">
      <c r="B4" s="5" t="s">
        <v>39</v>
      </c>
      <c r="C4" s="5" t="s">
        <v>65</v>
      </c>
      <c r="D4" s="26">
        <v>45320</v>
      </c>
      <c r="E4" s="10">
        <v>6</v>
      </c>
      <c r="G4" s="11">
        <f>+SUM(G5:G11)</f>
        <v>1</v>
      </c>
      <c r="I4" s="12">
        <f>+SUM(I5:I8)</f>
        <v>24</v>
      </c>
      <c r="J4" s="13">
        <f>+SUMPRODUCT(G5:G8,J5:J8)</f>
        <v>0</v>
      </c>
      <c r="K4" s="13">
        <f>+SUMPRODUCT(G5:G8,K5:K8)</f>
        <v>0</v>
      </c>
      <c r="L4" s="10"/>
      <c r="N4" s="12">
        <f>+SUM(N5:N8)</f>
        <v>4</v>
      </c>
      <c r="U4" s="12">
        <f>+SUM(U5:U8)</f>
        <v>4</v>
      </c>
      <c r="AB4" s="12">
        <f>+SUM(AB5:AB9)</f>
        <v>6</v>
      </c>
      <c r="AI4" s="12">
        <f>+SUM(AI5:AI10)</f>
        <v>4</v>
      </c>
      <c r="AP4" s="12">
        <f>+SUM(AP5:AP11)</f>
        <v>4</v>
      </c>
      <c r="AW4" s="12">
        <f>+SUM(AW5:AW8)</f>
        <v>4</v>
      </c>
      <c r="BD4" s="12">
        <f>+SUM(BD5:BD9)</f>
        <v>6</v>
      </c>
      <c r="BF4" s="27"/>
      <c r="BH4" s="27"/>
      <c r="BK4" s="12">
        <f>+SUM(BK5:BK10)</f>
        <v>4</v>
      </c>
      <c r="BR4" s="12">
        <f>+SUM(BR5:BR11)</f>
        <v>4</v>
      </c>
      <c r="BY4" s="12">
        <f>+SUM(BY5:BY11)</f>
        <v>6</v>
      </c>
      <c r="CF4" s="12">
        <f>+SUM(CF5:CF11)</f>
        <v>2</v>
      </c>
      <c r="CM4" s="12">
        <f>+SUM(CM5:CM8)</f>
        <v>0</v>
      </c>
      <c r="CT4" s="12">
        <f>+SUM(CT5:CT8)</f>
        <v>0</v>
      </c>
      <c r="DA4" s="12">
        <f>+SUM(DA5:DA8)</f>
        <v>0</v>
      </c>
      <c r="DH4" s="12">
        <f>+SUM(DH5:DH8)</f>
        <v>0</v>
      </c>
      <c r="DO4" s="12">
        <f>+SUM(DO5:DO8)</f>
        <v>0</v>
      </c>
      <c r="DV4" s="12">
        <f>+SUM(DV5:DV8)</f>
        <v>0</v>
      </c>
    </row>
    <row r="5" spans="2:133" ht="15.75" customHeight="1" outlineLevel="1" x14ac:dyDescent="0.25">
      <c r="B5" s="5" t="s">
        <v>66</v>
      </c>
      <c r="C5" s="5" t="s">
        <v>65</v>
      </c>
      <c r="E5" s="10"/>
      <c r="F5" s="5" t="s">
        <v>67</v>
      </c>
      <c r="G5" s="11">
        <v>0.15</v>
      </c>
      <c r="I5" s="10">
        <f t="shared" ref="I5:I11" si="0">+SUMIF($N$3:$ZS$3,I$3,$N5:$ZS5)</f>
        <v>6</v>
      </c>
      <c r="J5" s="13">
        <f t="array" ref="J5">MAX(IF($N$3:$EA$3=$J$3,N5:EA5))</f>
        <v>0</v>
      </c>
      <c r="K5" s="13">
        <f t="array" ref="K5">MAX(IF($N$3:$EA$3=$J$3,N5:EA5))</f>
        <v>0</v>
      </c>
      <c r="L5" s="10"/>
      <c r="N5" s="5">
        <v>2</v>
      </c>
      <c r="O5" s="11"/>
      <c r="P5" s="14">
        <v>0.5</v>
      </c>
      <c r="Q5" s="11"/>
      <c r="R5" s="14">
        <v>0.5</v>
      </c>
      <c r="V5" s="11"/>
      <c r="W5" s="14">
        <v>0.5</v>
      </c>
      <c r="X5" s="11"/>
      <c r="Y5" s="14">
        <v>0.5</v>
      </c>
      <c r="AB5">
        <v>2</v>
      </c>
      <c r="AC5" s="11"/>
      <c r="AD5" s="14">
        <v>0.8</v>
      </c>
      <c r="AE5" s="11"/>
      <c r="AF5" s="14">
        <v>0.8</v>
      </c>
      <c r="AJ5" s="11"/>
      <c r="AK5" s="14">
        <v>0.8</v>
      </c>
      <c r="AL5" s="11"/>
      <c r="AM5" s="14">
        <v>0.8</v>
      </c>
      <c r="AQ5" s="11"/>
      <c r="AR5" s="14">
        <v>0.8</v>
      </c>
      <c r="AS5" s="11"/>
      <c r="AT5" s="14">
        <v>0.8</v>
      </c>
      <c r="AW5">
        <v>2</v>
      </c>
      <c r="AX5" s="11"/>
      <c r="AY5" s="14">
        <v>1</v>
      </c>
      <c r="AZ5" s="11"/>
      <c r="BA5" s="14">
        <v>1</v>
      </c>
      <c r="BE5" s="11"/>
      <c r="BF5" s="14">
        <v>1</v>
      </c>
      <c r="BG5" s="11"/>
      <c r="BH5" s="14">
        <v>1</v>
      </c>
      <c r="BL5" s="11"/>
      <c r="BM5" s="14">
        <v>1</v>
      </c>
      <c r="BN5" s="11"/>
      <c r="BO5" s="14">
        <v>1</v>
      </c>
      <c r="BS5" s="11"/>
      <c r="BT5" s="14">
        <v>1</v>
      </c>
      <c r="BU5" s="11"/>
      <c r="BV5" s="14">
        <v>1</v>
      </c>
      <c r="BZ5" s="11"/>
      <c r="CA5" s="14">
        <v>1</v>
      </c>
      <c r="CB5" s="11"/>
      <c r="CC5" s="14">
        <v>1</v>
      </c>
      <c r="CG5" s="11"/>
      <c r="CH5" s="14">
        <v>1</v>
      </c>
      <c r="CI5" s="11"/>
      <c r="CJ5" s="14">
        <v>1</v>
      </c>
      <c r="CN5" s="11"/>
      <c r="CO5" s="14"/>
      <c r="CP5" s="11"/>
      <c r="CQ5" s="14"/>
      <c r="CU5" s="11"/>
      <c r="CV5" s="14"/>
      <c r="CW5" s="11"/>
      <c r="CX5" s="14"/>
      <c r="DB5" s="11"/>
      <c r="DC5" s="14"/>
      <c r="DD5" s="11"/>
      <c r="DE5" s="14"/>
      <c r="DI5" s="11"/>
      <c r="DJ5" s="14"/>
      <c r="DK5" s="11"/>
      <c r="DL5" s="14"/>
      <c r="DP5" s="11"/>
      <c r="DQ5" s="14"/>
      <c r="DR5" s="11"/>
      <c r="DS5" s="14"/>
      <c r="DW5" s="7"/>
      <c r="DX5" s="14"/>
      <c r="DY5" s="11"/>
      <c r="DZ5" s="14"/>
    </row>
    <row r="6" spans="2:133" ht="15.75" customHeight="1" outlineLevel="1" x14ac:dyDescent="0.25">
      <c r="B6" s="5" t="s">
        <v>66</v>
      </c>
      <c r="C6" s="5" t="s">
        <v>65</v>
      </c>
      <c r="E6" s="10"/>
      <c r="F6" s="5" t="s">
        <v>68</v>
      </c>
      <c r="G6" s="11">
        <v>0.1</v>
      </c>
      <c r="I6" s="10">
        <f t="shared" si="0"/>
        <v>6</v>
      </c>
      <c r="J6" s="13">
        <f t="array" ref="J6">MAX(IF($N$3:$EA$3=$J$3,N6:EA6))</f>
        <v>0</v>
      </c>
      <c r="K6" s="13">
        <f t="array" ref="K6">MAX(IF($N$3:$EA$3=$J$3,N6:EA6))</f>
        <v>0</v>
      </c>
      <c r="L6" s="10"/>
      <c r="N6" s="5">
        <v>2</v>
      </c>
      <c r="O6" s="11"/>
      <c r="P6" s="14">
        <v>0.5</v>
      </c>
      <c r="Q6" s="11"/>
      <c r="R6" s="14">
        <v>0.5</v>
      </c>
      <c r="V6" s="11"/>
      <c r="W6" s="14">
        <v>0.5</v>
      </c>
      <c r="X6" s="11"/>
      <c r="Y6" s="14">
        <v>0.5</v>
      </c>
      <c r="AC6" s="11"/>
      <c r="AD6" s="14">
        <v>0.5</v>
      </c>
      <c r="AE6" s="11"/>
      <c r="AF6" s="14">
        <v>0.5</v>
      </c>
      <c r="AI6">
        <v>2</v>
      </c>
      <c r="AJ6" s="11"/>
      <c r="AK6" s="14">
        <v>0.8</v>
      </c>
      <c r="AL6" s="11"/>
      <c r="AM6" s="14">
        <v>0.8</v>
      </c>
      <c r="AQ6" s="11"/>
      <c r="AR6" s="14">
        <v>0.8</v>
      </c>
      <c r="AS6" s="11"/>
      <c r="AT6" s="14">
        <v>0.8</v>
      </c>
      <c r="AX6" s="11"/>
      <c r="AY6" s="14">
        <v>0.8</v>
      </c>
      <c r="AZ6" s="11"/>
      <c r="BA6" s="14">
        <v>0.8</v>
      </c>
      <c r="BD6">
        <v>2</v>
      </c>
      <c r="BE6" s="11"/>
      <c r="BF6" s="14">
        <v>1</v>
      </c>
      <c r="BG6" s="11"/>
      <c r="BH6" s="14">
        <v>1</v>
      </c>
      <c r="BL6" s="11"/>
      <c r="BM6" s="14">
        <v>1</v>
      </c>
      <c r="BN6" s="11"/>
      <c r="BO6" s="14">
        <v>1</v>
      </c>
      <c r="BS6" s="11"/>
      <c r="BT6" s="14">
        <v>1</v>
      </c>
      <c r="BU6" s="11"/>
      <c r="BV6" s="14">
        <v>1</v>
      </c>
      <c r="BZ6" s="11"/>
      <c r="CA6" s="14">
        <v>1</v>
      </c>
      <c r="CB6" s="11"/>
      <c r="CC6" s="14">
        <v>1</v>
      </c>
      <c r="CG6" s="11"/>
      <c r="CH6" s="14">
        <v>1</v>
      </c>
      <c r="CI6" s="11"/>
      <c r="CJ6" s="14">
        <v>1</v>
      </c>
      <c r="CN6" s="11"/>
      <c r="CO6" s="14"/>
      <c r="CP6" s="11"/>
      <c r="CQ6" s="14"/>
      <c r="CU6" s="11"/>
      <c r="CV6" s="14"/>
      <c r="CW6" s="11"/>
      <c r="CX6" s="14"/>
      <c r="DB6" s="11"/>
      <c r="DC6" s="14"/>
      <c r="DD6" s="11"/>
      <c r="DE6" s="14"/>
      <c r="DI6" s="11"/>
      <c r="DJ6" s="14"/>
      <c r="DK6" s="11"/>
      <c r="DL6" s="14"/>
      <c r="DP6" s="11"/>
      <c r="DQ6" s="14"/>
      <c r="DR6" s="11"/>
      <c r="DS6" s="14"/>
      <c r="DW6" s="11"/>
      <c r="DX6" s="14"/>
      <c r="DY6" s="11"/>
      <c r="DZ6" s="14"/>
    </row>
    <row r="7" spans="2:133" ht="15.75" customHeight="1" outlineLevel="1" x14ac:dyDescent="0.25">
      <c r="B7" s="5" t="s">
        <v>66</v>
      </c>
      <c r="C7" s="5" t="s">
        <v>65</v>
      </c>
      <c r="E7" s="10"/>
      <c r="F7" s="5" t="s">
        <v>69</v>
      </c>
      <c r="G7" s="11">
        <v>0.1</v>
      </c>
      <c r="I7" s="10">
        <f t="shared" si="0"/>
        <v>6</v>
      </c>
      <c r="J7" s="13">
        <f t="array" ref="J7">MAX(IF($N$3:$EA$3=$J$3,N7:EA7))</f>
        <v>0</v>
      </c>
      <c r="K7" s="13">
        <f t="array" ref="K7">MAX(IF($N$3:$EA$3=$J$3,N7:EA7))</f>
        <v>0</v>
      </c>
      <c r="L7" s="10"/>
      <c r="N7" s="5"/>
      <c r="O7" s="11"/>
      <c r="P7" s="14"/>
      <c r="Q7" s="11"/>
      <c r="R7" s="14"/>
      <c r="U7">
        <v>2</v>
      </c>
      <c r="V7" s="11"/>
      <c r="W7" s="14">
        <v>0.5</v>
      </c>
      <c r="X7" s="11"/>
      <c r="Y7" s="14">
        <v>0.5</v>
      </c>
      <c r="AC7" s="11"/>
      <c r="AD7" s="14">
        <v>0.5</v>
      </c>
      <c r="AE7" s="11"/>
      <c r="AF7" s="14">
        <v>0.5</v>
      </c>
      <c r="AJ7" s="11"/>
      <c r="AK7" s="14">
        <v>0.5</v>
      </c>
      <c r="AL7" s="11"/>
      <c r="AM7" s="14">
        <v>0.5</v>
      </c>
      <c r="AP7">
        <v>2</v>
      </c>
      <c r="AQ7" s="11"/>
      <c r="AR7" s="14">
        <v>0.8</v>
      </c>
      <c r="AS7" s="11"/>
      <c r="AT7" s="14">
        <v>0.8</v>
      </c>
      <c r="AX7" s="11"/>
      <c r="AY7" s="14">
        <v>0.8</v>
      </c>
      <c r="AZ7" s="11"/>
      <c r="BA7" s="14">
        <v>0.8</v>
      </c>
      <c r="BE7" s="11"/>
      <c r="BF7" s="14">
        <v>0.8</v>
      </c>
      <c r="BG7" s="11"/>
      <c r="BH7" s="14">
        <v>0.8</v>
      </c>
      <c r="BK7">
        <v>2</v>
      </c>
      <c r="BL7" s="11"/>
      <c r="BM7" s="14">
        <v>1</v>
      </c>
      <c r="BN7" s="11"/>
      <c r="BO7" s="14">
        <v>1</v>
      </c>
      <c r="BS7" s="11"/>
      <c r="BT7" s="14">
        <v>1</v>
      </c>
      <c r="BU7" s="11"/>
      <c r="BV7" s="14">
        <v>1</v>
      </c>
      <c r="BZ7" s="11"/>
      <c r="CA7" s="14">
        <v>1</v>
      </c>
      <c r="CB7" s="11"/>
      <c r="CC7" s="14">
        <v>1</v>
      </c>
      <c r="CG7" s="11"/>
      <c r="CH7" s="14">
        <v>1</v>
      </c>
      <c r="CI7" s="11"/>
      <c r="CJ7" s="14">
        <v>1</v>
      </c>
      <c r="CN7" s="11"/>
      <c r="CO7" s="14"/>
      <c r="CP7" s="11"/>
      <c r="CQ7" s="14"/>
      <c r="CU7" s="11"/>
      <c r="CV7" s="14"/>
      <c r="CW7" s="11"/>
      <c r="CX7" s="14"/>
      <c r="DB7" s="11"/>
      <c r="DC7" s="14"/>
      <c r="DD7" s="11"/>
      <c r="DE7" s="14"/>
      <c r="DI7" s="11"/>
      <c r="DJ7" s="14"/>
      <c r="DK7" s="11"/>
      <c r="DL7" s="14"/>
      <c r="DP7" s="11"/>
      <c r="DQ7" s="14"/>
      <c r="DR7" s="11"/>
      <c r="DS7" s="14"/>
      <c r="DW7" s="11"/>
      <c r="DX7" s="14"/>
      <c r="DY7" s="11"/>
      <c r="DZ7" s="14"/>
    </row>
    <row r="8" spans="2:133" ht="15.75" customHeight="1" outlineLevel="1" x14ac:dyDescent="0.25">
      <c r="B8" s="5" t="s">
        <v>66</v>
      </c>
      <c r="C8" s="5" t="s">
        <v>65</v>
      </c>
      <c r="E8" s="10"/>
      <c r="F8" s="5" t="s">
        <v>70</v>
      </c>
      <c r="G8" s="11">
        <v>0.15</v>
      </c>
      <c r="I8" s="10">
        <f t="shared" si="0"/>
        <v>6</v>
      </c>
      <c r="J8" s="13">
        <f t="array" ref="J8">MAX(IF($N$3:$EA$3=$J$3,N8:EA8))</f>
        <v>0</v>
      </c>
      <c r="K8" s="13">
        <f t="array" ref="K8">MAX(IF($N$3:$EA$3=$J$3,N8:EA8))</f>
        <v>0</v>
      </c>
      <c r="L8" s="10"/>
      <c r="N8" s="5"/>
      <c r="O8" s="11"/>
      <c r="P8" s="14"/>
      <c r="Q8" s="11"/>
      <c r="R8" s="14"/>
      <c r="U8">
        <v>2</v>
      </c>
      <c r="V8" s="11"/>
      <c r="W8" s="14">
        <v>0.5</v>
      </c>
      <c r="X8" s="11"/>
      <c r="Y8" s="14">
        <v>0.5</v>
      </c>
      <c r="AC8" s="11"/>
      <c r="AD8" s="14">
        <v>0.5</v>
      </c>
      <c r="AE8" s="11"/>
      <c r="AF8" s="14">
        <v>0.5</v>
      </c>
      <c r="AJ8" s="11"/>
      <c r="AK8" s="14">
        <v>0.5</v>
      </c>
      <c r="AL8" s="11"/>
      <c r="AM8" s="14">
        <v>0.5</v>
      </c>
      <c r="AQ8" s="11"/>
      <c r="AR8" s="14">
        <v>0.5</v>
      </c>
      <c r="AS8" s="11"/>
      <c r="AT8" s="14">
        <v>0.5</v>
      </c>
      <c r="AW8">
        <v>2</v>
      </c>
      <c r="AX8" s="11"/>
      <c r="AY8" s="14">
        <v>0.8</v>
      </c>
      <c r="AZ8" s="11"/>
      <c r="BA8" s="14">
        <v>0.8</v>
      </c>
      <c r="BE8" s="11"/>
      <c r="BF8" s="14">
        <v>0.8</v>
      </c>
      <c r="BG8" s="11"/>
      <c r="BH8" s="14">
        <v>0.8</v>
      </c>
      <c r="BL8" s="11"/>
      <c r="BM8" s="14">
        <v>0.8</v>
      </c>
      <c r="BN8" s="11"/>
      <c r="BO8" s="14">
        <v>0.8</v>
      </c>
      <c r="BR8">
        <v>2</v>
      </c>
      <c r="BS8" s="11"/>
      <c r="BT8" s="14">
        <v>1</v>
      </c>
      <c r="BU8" s="11"/>
      <c r="BV8" s="14">
        <v>1</v>
      </c>
      <c r="BZ8" s="11"/>
      <c r="CA8" s="14">
        <v>1</v>
      </c>
      <c r="CB8" s="11"/>
      <c r="CC8" s="14">
        <v>1</v>
      </c>
      <c r="CG8" s="11"/>
      <c r="CH8" s="14">
        <v>1</v>
      </c>
      <c r="CI8" s="11"/>
      <c r="CJ8" s="14">
        <v>1</v>
      </c>
      <c r="CN8" s="11"/>
      <c r="CO8" s="14"/>
      <c r="CP8" s="11"/>
      <c r="CQ8" s="14"/>
      <c r="CU8" s="11"/>
      <c r="CV8" s="14"/>
      <c r="CW8" s="11"/>
      <c r="CX8" s="14"/>
      <c r="DB8" s="11"/>
      <c r="DC8" s="14"/>
      <c r="DD8" s="11"/>
      <c r="DE8" s="14"/>
      <c r="DI8" s="11"/>
      <c r="DJ8" s="14"/>
      <c r="DK8" s="11"/>
      <c r="DL8" s="14"/>
      <c r="DP8" s="11"/>
      <c r="DQ8" s="14"/>
      <c r="DR8" s="11"/>
      <c r="DS8" s="14"/>
      <c r="DW8" s="11"/>
      <c r="DX8" s="14"/>
      <c r="DY8" s="11"/>
      <c r="DZ8" s="14"/>
    </row>
    <row r="9" spans="2:133" ht="15.75" customHeight="1" outlineLevel="1" x14ac:dyDescent="0.25">
      <c r="B9" s="5" t="s">
        <v>66</v>
      </c>
      <c r="C9" s="5" t="s">
        <v>65</v>
      </c>
      <c r="E9" s="10"/>
      <c r="F9" s="5" t="s">
        <v>71</v>
      </c>
      <c r="G9" s="11">
        <v>0.3</v>
      </c>
      <c r="I9" s="10">
        <f t="shared" si="0"/>
        <v>12</v>
      </c>
      <c r="J9" s="13">
        <f t="array" ref="J9">MAX(IF($N$3:$EA$3=$J$3,N9:EA9))</f>
        <v>0</v>
      </c>
      <c r="K9" s="13">
        <f t="array" ref="K9">MAX(IF($N$3:$EA$3=$J$3,N9:EA9))</f>
        <v>0</v>
      </c>
      <c r="L9" s="10"/>
      <c r="N9" s="5"/>
      <c r="O9" s="11"/>
      <c r="P9" s="14"/>
      <c r="Q9" s="11"/>
      <c r="R9" s="14"/>
      <c r="V9" s="11"/>
      <c r="W9" s="14"/>
      <c r="X9" s="11"/>
      <c r="Y9" s="14"/>
      <c r="AB9">
        <v>4</v>
      </c>
      <c r="AC9" s="11"/>
      <c r="AD9" s="14">
        <v>0.5</v>
      </c>
      <c r="AE9" s="11"/>
      <c r="AF9" s="14">
        <v>0.5</v>
      </c>
      <c r="AJ9" s="11"/>
      <c r="AK9" s="14">
        <v>0.5</v>
      </c>
      <c r="AL9" s="11"/>
      <c r="AM9" s="14">
        <v>0.5</v>
      </c>
      <c r="AQ9" s="11"/>
      <c r="AR9" s="14">
        <v>0.5</v>
      </c>
      <c r="AS9" s="11"/>
      <c r="AT9" s="14">
        <v>0.5</v>
      </c>
      <c r="AX9" s="11"/>
      <c r="AY9" s="14">
        <v>0.5</v>
      </c>
      <c r="AZ9" s="11"/>
      <c r="BA9" s="14">
        <v>0.5</v>
      </c>
      <c r="BD9">
        <v>4</v>
      </c>
      <c r="BE9" s="11"/>
      <c r="BF9" s="14">
        <v>0.8</v>
      </c>
      <c r="BG9" s="11"/>
      <c r="BH9" s="14">
        <v>0.8</v>
      </c>
      <c r="BL9" s="11"/>
      <c r="BM9" s="14">
        <v>0.8</v>
      </c>
      <c r="BN9" s="11"/>
      <c r="BO9" s="14">
        <v>0.8</v>
      </c>
      <c r="BS9" s="11"/>
      <c r="BT9" s="14">
        <v>0.8</v>
      </c>
      <c r="BU9" s="11"/>
      <c r="BV9" s="14">
        <v>0.8</v>
      </c>
      <c r="BY9">
        <v>4</v>
      </c>
      <c r="BZ9" s="11"/>
      <c r="CA9" s="14">
        <v>1</v>
      </c>
      <c r="CB9" s="11"/>
      <c r="CC9" s="14">
        <v>1</v>
      </c>
      <c r="CG9" s="11"/>
      <c r="CH9" s="14">
        <v>1</v>
      </c>
      <c r="CI9" s="11"/>
      <c r="CJ9" s="14">
        <v>1</v>
      </c>
      <c r="CN9" s="11"/>
      <c r="CO9" s="14"/>
      <c r="CP9" s="11"/>
      <c r="CQ9" s="14"/>
      <c r="CU9" s="11"/>
      <c r="CV9" s="14"/>
      <c r="CW9" s="11"/>
      <c r="CX9" s="14"/>
      <c r="DB9" s="11"/>
      <c r="DC9" s="14"/>
      <c r="DD9" s="11"/>
      <c r="DE9" s="14"/>
      <c r="DI9" s="11"/>
      <c r="DJ9" s="14"/>
      <c r="DK9" s="11"/>
      <c r="DL9" s="14"/>
      <c r="DP9" s="11"/>
      <c r="DQ9" s="14"/>
      <c r="DR9" s="11"/>
      <c r="DS9" s="14"/>
      <c r="DW9" s="11"/>
      <c r="DX9" s="14"/>
      <c r="DY9" s="11"/>
      <c r="DZ9" s="14"/>
    </row>
    <row r="10" spans="2:133" ht="15.75" customHeight="1" outlineLevel="1" x14ac:dyDescent="0.25">
      <c r="B10" s="5" t="s">
        <v>66</v>
      </c>
      <c r="C10" s="5" t="s">
        <v>65</v>
      </c>
      <c r="E10" s="10"/>
      <c r="F10" s="5" t="s">
        <v>72</v>
      </c>
      <c r="G10" s="11">
        <v>0.1</v>
      </c>
      <c r="I10" s="10">
        <f t="shared" si="0"/>
        <v>6</v>
      </c>
      <c r="J10" s="13">
        <f t="array" ref="J10">MAX(IF($N$3:$EA$3=$J$3,N10:EA10))</f>
        <v>0</v>
      </c>
      <c r="K10" s="13">
        <f t="array" ref="K10">MAX(IF($N$3:$EA$3=$J$3,N10:EA10))</f>
        <v>0</v>
      </c>
      <c r="L10" s="10"/>
      <c r="N10" s="5"/>
      <c r="O10" s="11"/>
      <c r="P10" s="14"/>
      <c r="Q10" s="11"/>
      <c r="R10" s="14"/>
      <c r="V10" s="11"/>
      <c r="W10" s="14"/>
      <c r="X10" s="11"/>
      <c r="Y10" s="14"/>
      <c r="AC10" s="11"/>
      <c r="AD10" s="14"/>
      <c r="AE10" s="11"/>
      <c r="AF10" s="14"/>
      <c r="AI10">
        <v>2</v>
      </c>
      <c r="AJ10" s="11"/>
      <c r="AK10" s="14">
        <v>0.5</v>
      </c>
      <c r="AL10" s="11"/>
      <c r="AM10" s="14">
        <v>0.5</v>
      </c>
      <c r="AQ10" s="11"/>
      <c r="AR10" s="14">
        <v>0.5</v>
      </c>
      <c r="AS10" s="11"/>
      <c r="AT10" s="14">
        <v>0.5</v>
      </c>
      <c r="AX10" s="11"/>
      <c r="AY10" s="14">
        <v>0.5</v>
      </c>
      <c r="AZ10" s="11"/>
      <c r="BA10" s="14">
        <v>0.5</v>
      </c>
      <c r="BE10" s="11"/>
      <c r="BF10" s="14">
        <v>0.5</v>
      </c>
      <c r="BG10" s="11"/>
      <c r="BH10" s="14">
        <v>0.5</v>
      </c>
      <c r="BK10">
        <v>2</v>
      </c>
      <c r="BL10" s="11"/>
      <c r="BM10" s="14">
        <v>0.8</v>
      </c>
      <c r="BN10" s="11"/>
      <c r="BO10" s="14">
        <v>0.8</v>
      </c>
      <c r="BS10" s="11"/>
      <c r="BT10" s="14">
        <v>0.8</v>
      </c>
      <c r="BU10" s="11"/>
      <c r="BV10" s="14">
        <v>0.8</v>
      </c>
      <c r="BY10">
        <v>2</v>
      </c>
      <c r="BZ10" s="11"/>
      <c r="CA10" s="14">
        <v>1</v>
      </c>
      <c r="CB10" s="11"/>
      <c r="CC10" s="14">
        <v>1</v>
      </c>
      <c r="CG10" s="11"/>
      <c r="CH10" s="14">
        <v>1</v>
      </c>
      <c r="CI10" s="11"/>
      <c r="CJ10" s="14">
        <v>1</v>
      </c>
      <c r="CN10" s="11"/>
      <c r="CO10" s="14"/>
      <c r="CP10" s="11"/>
      <c r="CQ10" s="14"/>
      <c r="CU10" s="11"/>
      <c r="CV10" s="14"/>
      <c r="CW10" s="11"/>
      <c r="CX10" s="14"/>
      <c r="DB10" s="11"/>
      <c r="DC10" s="14"/>
      <c r="DD10" s="11"/>
      <c r="DE10" s="14"/>
      <c r="DI10" s="11"/>
      <c r="DJ10" s="14"/>
      <c r="DK10" s="11"/>
      <c r="DL10" s="14"/>
      <c r="DP10" s="11"/>
      <c r="DQ10" s="14"/>
      <c r="DR10" s="11"/>
      <c r="DS10" s="14"/>
      <c r="DW10" s="11"/>
      <c r="DX10" s="14"/>
      <c r="DY10" s="11"/>
      <c r="DZ10" s="14"/>
    </row>
    <row r="11" spans="2:133" ht="15.75" customHeight="1" outlineLevel="1" x14ac:dyDescent="0.25">
      <c r="B11" s="5" t="s">
        <v>66</v>
      </c>
      <c r="C11" s="5" t="s">
        <v>65</v>
      </c>
      <c r="E11" s="10"/>
      <c r="F11" s="5" t="s">
        <v>73</v>
      </c>
      <c r="G11" s="11">
        <v>0.1</v>
      </c>
      <c r="I11" s="10">
        <f t="shared" si="0"/>
        <v>6</v>
      </c>
      <c r="J11" s="13">
        <f t="array" ref="J11">MAX(IF($N$3:$EA$3=$J$3,N11:EA11))</f>
        <v>0</v>
      </c>
      <c r="K11" s="13">
        <f t="array" ref="K11">MAX(IF($N$3:$EA$3=$J$3,N11:EA11))</f>
        <v>0</v>
      </c>
      <c r="L11" s="10"/>
      <c r="N11" s="5"/>
      <c r="O11" s="11"/>
      <c r="P11" s="14"/>
      <c r="Q11" s="11"/>
      <c r="R11" s="14"/>
      <c r="V11" s="11"/>
      <c r="W11" s="14"/>
      <c r="X11" s="11"/>
      <c r="Y11" s="14"/>
      <c r="AC11" s="11"/>
      <c r="AD11" s="14"/>
      <c r="AE11" s="11"/>
      <c r="AF11" s="14"/>
      <c r="AJ11" s="11"/>
      <c r="AK11" s="14"/>
      <c r="AL11" s="11"/>
      <c r="AM11" s="14"/>
      <c r="AP11">
        <v>2</v>
      </c>
      <c r="AQ11" s="11"/>
      <c r="AR11" s="14">
        <v>0.5</v>
      </c>
      <c r="AS11" s="11"/>
      <c r="AT11" s="14">
        <v>0.5</v>
      </c>
      <c r="AX11" s="11"/>
      <c r="AY11" s="14">
        <v>0.5</v>
      </c>
      <c r="AZ11" s="11"/>
      <c r="BA11" s="14">
        <v>0.5</v>
      </c>
      <c r="BE11" s="11"/>
      <c r="BF11" s="14">
        <v>0.5</v>
      </c>
      <c r="BG11" s="11"/>
      <c r="BH11" s="14">
        <v>0.5</v>
      </c>
      <c r="BL11" s="11"/>
      <c r="BM11" s="14">
        <v>0.5</v>
      </c>
      <c r="BN11" s="11"/>
      <c r="BO11" s="14">
        <v>0.5</v>
      </c>
      <c r="BR11">
        <v>2</v>
      </c>
      <c r="BS11" s="11"/>
      <c r="BT11" s="14">
        <v>0.8</v>
      </c>
      <c r="BU11" s="11"/>
      <c r="BV11" s="14">
        <v>0.8</v>
      </c>
      <c r="BZ11" s="11"/>
      <c r="CA11" s="14">
        <v>0.8</v>
      </c>
      <c r="CB11" s="11"/>
      <c r="CC11" s="14">
        <v>0.8</v>
      </c>
      <c r="CF11">
        <v>2</v>
      </c>
      <c r="CG11" s="11"/>
      <c r="CH11" s="14">
        <v>1</v>
      </c>
      <c r="CI11" s="11"/>
      <c r="CJ11" s="14">
        <v>1</v>
      </c>
      <c r="CN11" s="11"/>
      <c r="CO11" s="14"/>
      <c r="CP11" s="11"/>
      <c r="CQ11" s="14"/>
      <c r="CU11" s="11"/>
      <c r="CV11" s="14"/>
      <c r="CW11" s="11"/>
      <c r="CX11" s="14"/>
      <c r="DB11" s="11"/>
      <c r="DC11" s="14"/>
      <c r="DD11" s="11"/>
      <c r="DE11" s="14"/>
      <c r="DI11" s="11"/>
      <c r="DJ11" s="14"/>
      <c r="DK11" s="11"/>
      <c r="DL11" s="14"/>
      <c r="DP11" s="11"/>
      <c r="DQ11" s="14"/>
      <c r="DR11" s="11"/>
      <c r="DS11" s="14"/>
      <c r="DW11" s="11"/>
      <c r="DX11" s="14"/>
      <c r="DY11" s="11"/>
      <c r="DZ11" s="14"/>
    </row>
    <row r="12" spans="2:133" ht="15.75" customHeight="1" outlineLevel="1" x14ac:dyDescent="0.25">
      <c r="E12" s="10"/>
      <c r="G12" s="11"/>
      <c r="I12" s="10"/>
      <c r="J12" s="13"/>
      <c r="K12" s="13"/>
      <c r="L12" s="10"/>
      <c r="O12" s="11"/>
      <c r="P12" s="14"/>
      <c r="Q12" s="11"/>
      <c r="R12" s="14"/>
      <c r="V12" s="11"/>
      <c r="W12" s="14"/>
      <c r="X12" s="11"/>
      <c r="Y12" s="14"/>
      <c r="AC12" s="11"/>
      <c r="AD12" s="14"/>
      <c r="AE12" s="11"/>
      <c r="AF12" s="14"/>
      <c r="AJ12" s="11"/>
      <c r="AK12" s="14"/>
      <c r="AL12" s="11"/>
      <c r="AM12" s="14"/>
      <c r="AQ12" s="11"/>
      <c r="AR12" s="14"/>
      <c r="AS12" s="11"/>
      <c r="AT12" s="14"/>
      <c r="AX12" s="11"/>
      <c r="AY12" s="14"/>
      <c r="AZ12" s="11"/>
      <c r="BA12" s="14"/>
      <c r="BE12" s="11"/>
      <c r="BF12" s="14"/>
      <c r="BG12" s="11"/>
      <c r="BH12" s="14"/>
      <c r="BL12" s="11"/>
      <c r="BM12" s="14"/>
      <c r="BN12" s="11"/>
      <c r="BO12" s="14"/>
      <c r="BS12" s="11"/>
      <c r="BT12" s="14"/>
      <c r="BU12" s="11"/>
      <c r="BV12" s="14"/>
      <c r="BZ12" s="11"/>
      <c r="CA12" s="14"/>
      <c r="CB12" s="11"/>
      <c r="CC12" s="14"/>
      <c r="CG12" s="11"/>
      <c r="CH12" s="14"/>
      <c r="CI12" s="11"/>
      <c r="CJ12" s="14"/>
      <c r="CN12" s="11"/>
      <c r="CO12" s="14"/>
      <c r="CP12" s="11"/>
      <c r="CQ12" s="14"/>
      <c r="CU12" s="11"/>
      <c r="CV12" s="14"/>
      <c r="CW12" s="11"/>
      <c r="CX12" s="14"/>
      <c r="DB12" s="11"/>
      <c r="DC12" s="14"/>
      <c r="DD12" s="11"/>
      <c r="DE12" s="14"/>
      <c r="DI12" s="11"/>
      <c r="DJ12" s="14"/>
      <c r="DK12" s="11"/>
      <c r="DL12" s="14"/>
      <c r="DP12" s="11"/>
      <c r="DQ12" s="14"/>
      <c r="DR12" s="11"/>
      <c r="DS12" s="14"/>
      <c r="DW12" s="11"/>
      <c r="DX12" s="14"/>
      <c r="DY12" s="11"/>
      <c r="DZ12" s="14"/>
    </row>
    <row r="13" spans="2:133" ht="15.75" customHeight="1" x14ac:dyDescent="0.25">
      <c r="B13" s="5" t="s">
        <v>39</v>
      </c>
      <c r="C13" s="5" t="s">
        <v>74</v>
      </c>
      <c r="D13" s="26">
        <v>45320</v>
      </c>
      <c r="E13" s="10">
        <v>6</v>
      </c>
      <c r="G13" s="11">
        <f>+SUM(G14:G24)</f>
        <v>1</v>
      </c>
      <c r="I13" s="12">
        <f>+SUM(I14:I20)</f>
        <v>48</v>
      </c>
      <c r="J13" s="13">
        <f>+SUMPRODUCT(G14:G20,J14:J20)</f>
        <v>0</v>
      </c>
      <c r="K13" s="13">
        <f>+SUMPRODUCT(G14:G20,K14:K20)</f>
        <v>0</v>
      </c>
      <c r="L13" s="10"/>
      <c r="N13" s="12">
        <f>+SUM(N14:N24)</f>
        <v>6</v>
      </c>
      <c r="P13" s="15"/>
      <c r="R13" s="15"/>
      <c r="U13" s="12">
        <f>+SUM(U14:U24)</f>
        <v>8</v>
      </c>
      <c r="W13" s="15"/>
      <c r="Y13" s="15"/>
      <c r="AB13" s="12">
        <f>+SUM(AB14:AB24)</f>
        <v>6</v>
      </c>
      <c r="AD13" s="15"/>
      <c r="AF13" s="15"/>
      <c r="AI13" s="12">
        <f>+SUM(AI14:AI24)</f>
        <v>6</v>
      </c>
      <c r="AK13" s="15"/>
      <c r="AM13" s="15"/>
      <c r="AP13" s="12">
        <f>+SUM(AP14:AP24)</f>
        <v>8</v>
      </c>
      <c r="AR13" s="15"/>
      <c r="AT13" s="15"/>
      <c r="AW13" s="12">
        <f>+SUM(AW14:AW24)</f>
        <v>6</v>
      </c>
      <c r="AY13" s="15"/>
      <c r="BA13" s="15"/>
      <c r="BD13" s="12">
        <f>+SUM(BD14:BD24)</f>
        <v>6</v>
      </c>
      <c r="BF13" s="15"/>
      <c r="BH13" s="15"/>
      <c r="BK13" s="12">
        <f>+SUM(BK14:BK24)</f>
        <v>6</v>
      </c>
      <c r="BM13" s="15"/>
      <c r="BO13" s="15"/>
      <c r="BR13" s="12">
        <f>+SUM(BR14:BR24)</f>
        <v>8</v>
      </c>
      <c r="BT13" s="15"/>
      <c r="BV13" s="15"/>
      <c r="BY13" s="12">
        <f>+SUM(BY14:BY24)</f>
        <v>6</v>
      </c>
      <c r="CA13" s="15"/>
      <c r="CC13" s="15"/>
      <c r="CF13" s="12">
        <f>+SUM(CF14:CF24)</f>
        <v>6</v>
      </c>
      <c r="CH13" s="15"/>
      <c r="CJ13" s="14"/>
      <c r="CM13" s="12">
        <f>+SUM(CM14:CM20)</f>
        <v>0</v>
      </c>
      <c r="CO13" s="15"/>
      <c r="CQ13" s="15"/>
      <c r="CT13" s="12">
        <f>+SUM(CT14:CT20)</f>
        <v>0</v>
      </c>
      <c r="CV13" s="15"/>
      <c r="CX13" s="15"/>
      <c r="DA13" s="12">
        <f>+SUM(DA14:DA20)</f>
        <v>0</v>
      </c>
      <c r="DC13" s="15"/>
      <c r="DE13" s="15"/>
      <c r="DH13" s="12">
        <f>+SUM(DH14:DH20)</f>
        <v>0</v>
      </c>
      <c r="DJ13" s="15"/>
      <c r="DL13" s="15"/>
      <c r="DO13" s="12">
        <f>+SUM(DO14:DO20)</f>
        <v>0</v>
      </c>
      <c r="DQ13" s="15"/>
      <c r="DS13" s="15"/>
      <c r="DV13" s="12">
        <f>+SUM(DV14:DV20)</f>
        <v>0</v>
      </c>
      <c r="DX13" s="15"/>
      <c r="DZ13" s="15"/>
    </row>
    <row r="14" spans="2:133" ht="15.75" customHeight="1" outlineLevel="1" x14ac:dyDescent="0.25">
      <c r="B14" s="5" t="s">
        <v>66</v>
      </c>
      <c r="C14" s="5" t="s">
        <v>74</v>
      </c>
      <c r="E14" s="10"/>
      <c r="F14" s="5" t="s">
        <v>85</v>
      </c>
      <c r="G14" s="11">
        <v>0.05</v>
      </c>
      <c r="I14" s="10">
        <f t="shared" ref="I14:I24" si="1">+SUMIF($N$3:$ZS$3,I$3,$N14:$ZS14)</f>
        <v>6</v>
      </c>
      <c r="J14" s="13">
        <f t="array" ref="J14">MAX(IF($N$3:$EA$3=$J$3,N14:EA14))</f>
        <v>0</v>
      </c>
      <c r="K14" s="13">
        <f t="array" ref="K14">MAX(IF($N$3:$EA$3=$J$3,N14:EA14))</f>
        <v>0</v>
      </c>
      <c r="L14" s="10"/>
      <c r="N14" s="5">
        <v>2</v>
      </c>
      <c r="O14" s="11"/>
      <c r="P14" s="14">
        <v>0.5</v>
      </c>
      <c r="Q14" s="11"/>
      <c r="R14" s="14">
        <v>0.5</v>
      </c>
      <c r="V14" s="11"/>
      <c r="W14" s="14">
        <v>0.5</v>
      </c>
      <c r="X14" s="11"/>
      <c r="Y14" s="14">
        <v>0.5</v>
      </c>
      <c r="AB14">
        <v>2</v>
      </c>
      <c r="AC14" s="11"/>
      <c r="AD14" s="14">
        <v>0.8</v>
      </c>
      <c r="AE14" s="11"/>
      <c r="AF14" s="14">
        <v>0.8</v>
      </c>
      <c r="AJ14" s="11"/>
      <c r="AK14" s="14">
        <v>0.8</v>
      </c>
      <c r="AL14" s="11"/>
      <c r="AM14" s="14">
        <v>0.8</v>
      </c>
      <c r="AQ14" s="11"/>
      <c r="AR14" s="14">
        <v>0.8</v>
      </c>
      <c r="AS14" s="11"/>
      <c r="AT14" s="14">
        <v>0.8</v>
      </c>
      <c r="AW14">
        <v>2</v>
      </c>
      <c r="AX14" s="11"/>
      <c r="AY14" s="14">
        <v>1</v>
      </c>
      <c r="AZ14" s="11"/>
      <c r="BA14" s="14">
        <v>1</v>
      </c>
      <c r="BE14" s="11"/>
      <c r="BF14" s="14">
        <v>1</v>
      </c>
      <c r="BG14" s="11"/>
      <c r="BH14" s="14">
        <v>1</v>
      </c>
      <c r="BL14" s="11"/>
      <c r="BM14" s="14">
        <v>1</v>
      </c>
      <c r="BN14" s="11"/>
      <c r="BO14" s="14">
        <v>1</v>
      </c>
      <c r="BS14" s="11"/>
      <c r="BT14" s="14">
        <v>1</v>
      </c>
      <c r="BU14" s="11"/>
      <c r="BV14" s="14">
        <v>1</v>
      </c>
      <c r="BZ14" s="11"/>
      <c r="CA14" s="14">
        <v>1</v>
      </c>
      <c r="CB14" s="11"/>
      <c r="CC14" s="14">
        <v>1</v>
      </c>
      <c r="CG14" s="11"/>
      <c r="CH14" s="14">
        <v>1</v>
      </c>
      <c r="CI14" s="11"/>
      <c r="CJ14" s="14">
        <v>1</v>
      </c>
      <c r="CN14" s="11"/>
      <c r="CO14" s="14"/>
      <c r="CP14" s="11"/>
      <c r="CQ14" s="14"/>
      <c r="CU14" s="11"/>
      <c r="CV14" s="14"/>
      <c r="CW14" s="11"/>
      <c r="CX14" s="14"/>
      <c r="DB14" s="11"/>
      <c r="DC14" s="14"/>
      <c r="DD14" s="11"/>
      <c r="DE14" s="14"/>
      <c r="DI14" s="11"/>
      <c r="DJ14" s="14"/>
      <c r="DK14" s="11"/>
      <c r="DL14" s="14"/>
      <c r="DP14" s="11"/>
      <c r="DQ14" s="14"/>
      <c r="DR14" s="11"/>
      <c r="DS14" s="14"/>
      <c r="DW14" s="11"/>
      <c r="DX14" s="14"/>
      <c r="DY14" s="11"/>
      <c r="DZ14" s="14"/>
    </row>
    <row r="15" spans="2:133" ht="15.75" customHeight="1" outlineLevel="1" x14ac:dyDescent="0.25">
      <c r="B15" s="5" t="s">
        <v>66</v>
      </c>
      <c r="C15" s="5" t="s">
        <v>74</v>
      </c>
      <c r="E15" s="10"/>
      <c r="F15" s="5" t="s">
        <v>154</v>
      </c>
      <c r="G15" s="11">
        <v>0.05</v>
      </c>
      <c r="I15" s="10">
        <f t="shared" si="1"/>
        <v>6</v>
      </c>
      <c r="J15" s="13">
        <f t="array" ref="J15">MAX(IF($N$3:$EA$3=$J$3,N15:EA15))</f>
        <v>0</v>
      </c>
      <c r="K15" s="13">
        <f t="array" ref="K15">MAX(IF($N$3:$EA$3=$J$3,N15:EA15))</f>
        <v>0</v>
      </c>
      <c r="L15" s="10"/>
      <c r="N15" s="5">
        <v>2</v>
      </c>
      <c r="O15" s="11"/>
      <c r="P15" s="14">
        <v>0.5</v>
      </c>
      <c r="Q15" s="11"/>
      <c r="R15" s="14">
        <v>0.5</v>
      </c>
      <c r="V15" s="11"/>
      <c r="W15" s="14">
        <v>0.5</v>
      </c>
      <c r="X15" s="11"/>
      <c r="Y15" s="14">
        <v>0.5</v>
      </c>
      <c r="AB15">
        <v>2</v>
      </c>
      <c r="AC15" s="11"/>
      <c r="AD15" s="14">
        <v>0.8</v>
      </c>
      <c r="AE15" s="11"/>
      <c r="AF15" s="14">
        <v>0.8</v>
      </c>
      <c r="AJ15" s="11"/>
      <c r="AK15" s="14">
        <v>0.8</v>
      </c>
      <c r="AL15" s="11"/>
      <c r="AM15" s="14">
        <v>0.8</v>
      </c>
      <c r="AQ15" s="11"/>
      <c r="AR15" s="14">
        <v>0.8</v>
      </c>
      <c r="AS15" s="11"/>
      <c r="AT15" s="14">
        <v>0.8</v>
      </c>
      <c r="AX15" s="11"/>
      <c r="AY15" s="14">
        <v>0.8</v>
      </c>
      <c r="AZ15" s="11"/>
      <c r="BA15" s="14">
        <v>0.8</v>
      </c>
      <c r="BD15">
        <v>2</v>
      </c>
      <c r="BE15" s="11"/>
      <c r="BF15" s="14">
        <v>1</v>
      </c>
      <c r="BG15" s="11"/>
      <c r="BH15" s="14">
        <v>1</v>
      </c>
      <c r="BL15" s="11"/>
      <c r="BM15" s="14">
        <v>1</v>
      </c>
      <c r="BN15" s="11"/>
      <c r="BO15" s="14">
        <v>1</v>
      </c>
      <c r="BS15" s="11"/>
      <c r="BT15" s="14">
        <v>1</v>
      </c>
      <c r="BU15" s="11"/>
      <c r="BV15" s="14">
        <v>1</v>
      </c>
      <c r="BZ15" s="11"/>
      <c r="CA15" s="14">
        <v>1</v>
      </c>
      <c r="CB15" s="11"/>
      <c r="CC15" s="14">
        <v>1</v>
      </c>
      <c r="CG15" s="11"/>
      <c r="CH15" s="14">
        <v>1</v>
      </c>
      <c r="CI15" s="11"/>
      <c r="CJ15" s="14">
        <v>1</v>
      </c>
      <c r="CN15" s="11"/>
      <c r="CO15" s="14"/>
      <c r="CP15" s="11"/>
      <c r="CQ15" s="14"/>
      <c r="CU15" s="11"/>
      <c r="CV15" s="14"/>
      <c r="CW15" s="11"/>
      <c r="CX15" s="14"/>
      <c r="DB15" s="11"/>
      <c r="DC15" s="14"/>
      <c r="DD15" s="11"/>
      <c r="DE15" s="14"/>
      <c r="DI15" s="11"/>
      <c r="DJ15" s="14"/>
      <c r="DK15" s="11"/>
      <c r="DL15" s="14"/>
      <c r="DP15" s="11"/>
      <c r="DQ15" s="14"/>
      <c r="DR15" s="11"/>
      <c r="DS15" s="14"/>
      <c r="DW15" s="11"/>
      <c r="DX15" s="14"/>
      <c r="DY15" s="11"/>
      <c r="DZ15" s="14"/>
    </row>
    <row r="16" spans="2:133" ht="15.75" customHeight="1" outlineLevel="1" x14ac:dyDescent="0.25">
      <c r="B16" s="5" t="s">
        <v>66</v>
      </c>
      <c r="C16" s="5" t="s">
        <v>74</v>
      </c>
      <c r="E16" s="10"/>
      <c r="F16" s="5" t="s">
        <v>155</v>
      </c>
      <c r="G16" s="11">
        <v>0.1</v>
      </c>
      <c r="I16" s="10">
        <f t="shared" si="1"/>
        <v>6</v>
      </c>
      <c r="J16" s="13">
        <f t="array" ref="J16">MAX(IF($N$3:$EA$3=$J$3,N16:EA16))</f>
        <v>0</v>
      </c>
      <c r="K16" s="13">
        <f t="array" ref="K16">MAX(IF($N$3:$EA$3=$J$3,N16:EA16))</f>
        <v>0</v>
      </c>
      <c r="L16" s="10"/>
      <c r="N16" s="5">
        <v>2</v>
      </c>
      <c r="O16" s="11"/>
      <c r="P16" s="14">
        <v>0.5</v>
      </c>
      <c r="Q16" s="11"/>
      <c r="R16" s="14">
        <v>0.5</v>
      </c>
      <c r="V16" s="11"/>
      <c r="W16" s="14">
        <v>0.5</v>
      </c>
      <c r="X16" s="11"/>
      <c r="Y16" s="14">
        <v>0.5</v>
      </c>
      <c r="AC16" s="11"/>
      <c r="AD16" s="14">
        <v>0.5</v>
      </c>
      <c r="AE16" s="11"/>
      <c r="AF16" s="14">
        <v>0.5</v>
      </c>
      <c r="AI16">
        <v>2</v>
      </c>
      <c r="AJ16" s="11"/>
      <c r="AK16" s="14">
        <v>0.8</v>
      </c>
      <c r="AL16" s="11"/>
      <c r="AM16" s="14">
        <v>0.8</v>
      </c>
      <c r="AQ16" s="11"/>
      <c r="AR16" s="14">
        <v>0.8</v>
      </c>
      <c r="AS16" s="11"/>
      <c r="AT16" s="14">
        <v>0.8</v>
      </c>
      <c r="AX16" s="11"/>
      <c r="AY16" s="14">
        <v>0.8</v>
      </c>
      <c r="AZ16" s="11"/>
      <c r="BA16" s="14">
        <v>0.8</v>
      </c>
      <c r="BE16" s="11"/>
      <c r="BF16" s="14">
        <v>0.8</v>
      </c>
      <c r="BG16" s="11"/>
      <c r="BH16" s="14">
        <v>0.8</v>
      </c>
      <c r="BK16">
        <v>2</v>
      </c>
      <c r="BL16" s="11"/>
      <c r="BM16" s="14">
        <v>1</v>
      </c>
      <c r="BN16" s="11"/>
      <c r="BO16" s="14">
        <v>1</v>
      </c>
      <c r="BS16" s="11"/>
      <c r="BT16" s="14">
        <v>1</v>
      </c>
      <c r="BU16" s="11"/>
      <c r="BV16" s="14">
        <v>1</v>
      </c>
      <c r="BZ16" s="11"/>
      <c r="CA16" s="14">
        <v>1</v>
      </c>
      <c r="CB16" s="11"/>
      <c r="CC16" s="14">
        <v>1</v>
      </c>
      <c r="CG16" s="11"/>
      <c r="CH16" s="14">
        <v>1</v>
      </c>
      <c r="CI16" s="11"/>
      <c r="CJ16" s="14">
        <v>1</v>
      </c>
      <c r="CN16" s="11"/>
      <c r="CO16" s="14"/>
      <c r="CP16" s="11"/>
      <c r="CQ16" s="14"/>
      <c r="CU16" s="11"/>
      <c r="CV16" s="14"/>
      <c r="CW16" s="11"/>
      <c r="CX16" s="14"/>
      <c r="DB16" s="11"/>
      <c r="DC16" s="14"/>
      <c r="DD16" s="11"/>
      <c r="DE16" s="14"/>
      <c r="DI16" s="11"/>
      <c r="DJ16" s="14"/>
      <c r="DK16" s="11"/>
      <c r="DL16" s="14"/>
      <c r="DP16" s="11"/>
      <c r="DQ16" s="14"/>
      <c r="DR16" s="11"/>
      <c r="DS16" s="14"/>
      <c r="DW16" s="11"/>
      <c r="DX16" s="14"/>
      <c r="DY16" s="11"/>
      <c r="DZ16" s="14"/>
    </row>
    <row r="17" spans="2:130" ht="15.75" customHeight="1" outlineLevel="1" x14ac:dyDescent="0.25">
      <c r="B17" s="5" t="s">
        <v>66</v>
      </c>
      <c r="C17" s="5" t="s">
        <v>74</v>
      </c>
      <c r="E17" s="10"/>
      <c r="F17" s="5" t="s">
        <v>156</v>
      </c>
      <c r="G17" s="11">
        <v>0.1</v>
      </c>
      <c r="I17" s="10">
        <f t="shared" si="1"/>
        <v>6</v>
      </c>
      <c r="J17" s="13">
        <f t="array" ref="J17">MAX(IF($N$3:$EA$3=$J$3,N17:EA17))</f>
        <v>0</v>
      </c>
      <c r="K17" s="13">
        <f t="array" ref="K17">MAX(IF($N$3:$EA$3=$J$3,N17:EA17))</f>
        <v>0</v>
      </c>
      <c r="L17" s="10"/>
      <c r="N17" s="5"/>
      <c r="O17" s="11"/>
      <c r="P17" s="14"/>
      <c r="Q17" s="11"/>
      <c r="R17" s="14"/>
      <c r="U17">
        <v>2</v>
      </c>
      <c r="V17" s="11"/>
      <c r="W17" s="14">
        <v>0.5</v>
      </c>
      <c r="X17" s="11"/>
      <c r="Y17" s="14">
        <v>0.5</v>
      </c>
      <c r="AC17" s="11"/>
      <c r="AD17" s="14">
        <v>0.5</v>
      </c>
      <c r="AE17" s="11"/>
      <c r="AF17" s="14">
        <v>0.5</v>
      </c>
      <c r="AJ17" s="11"/>
      <c r="AK17" s="14">
        <v>0.5</v>
      </c>
      <c r="AL17" s="11"/>
      <c r="AM17" s="14">
        <v>0.5</v>
      </c>
      <c r="AP17">
        <v>2</v>
      </c>
      <c r="AQ17" s="11"/>
      <c r="AR17" s="14">
        <v>0.8</v>
      </c>
      <c r="AS17" s="11"/>
      <c r="AT17" s="14">
        <v>0.8</v>
      </c>
      <c r="AX17" s="11"/>
      <c r="AY17" s="14">
        <v>0.8</v>
      </c>
      <c r="AZ17" s="11"/>
      <c r="BA17" s="14">
        <v>0.8</v>
      </c>
      <c r="BE17" s="11"/>
      <c r="BF17" s="14">
        <v>0.8</v>
      </c>
      <c r="BG17" s="11"/>
      <c r="BH17" s="14">
        <v>0.8</v>
      </c>
      <c r="BK17">
        <v>2</v>
      </c>
      <c r="BL17" s="11"/>
      <c r="BM17" s="14">
        <v>1</v>
      </c>
      <c r="BN17" s="11"/>
      <c r="BO17" s="14">
        <v>1</v>
      </c>
      <c r="BS17" s="11"/>
      <c r="BT17" s="14">
        <v>1</v>
      </c>
      <c r="BU17" s="11"/>
      <c r="BV17" s="14">
        <v>1</v>
      </c>
      <c r="BZ17" s="11"/>
      <c r="CA17" s="14">
        <v>1</v>
      </c>
      <c r="CB17" s="11"/>
      <c r="CC17" s="14">
        <v>1</v>
      </c>
      <c r="CG17" s="11"/>
      <c r="CH17" s="14">
        <v>1</v>
      </c>
      <c r="CI17" s="11"/>
      <c r="CJ17" s="14">
        <v>1</v>
      </c>
      <c r="CN17" s="11"/>
      <c r="CO17" s="14"/>
      <c r="CP17" s="11"/>
      <c r="CQ17" s="14"/>
      <c r="CU17" s="11"/>
      <c r="CV17" s="14"/>
      <c r="CW17" s="11"/>
      <c r="CX17" s="14"/>
      <c r="DB17" s="11"/>
      <c r="DC17" s="14"/>
      <c r="DD17" s="11"/>
      <c r="DE17" s="14"/>
      <c r="DI17" s="11"/>
      <c r="DJ17" s="14"/>
      <c r="DK17" s="11"/>
      <c r="DL17" s="14"/>
      <c r="DP17" s="11"/>
      <c r="DQ17" s="14"/>
      <c r="DR17" s="11"/>
      <c r="DS17" s="14"/>
      <c r="DW17" s="11"/>
      <c r="DX17" s="14"/>
      <c r="DY17" s="11"/>
      <c r="DZ17" s="14"/>
    </row>
    <row r="18" spans="2:130" ht="15.75" customHeight="1" outlineLevel="1" x14ac:dyDescent="0.25">
      <c r="B18" s="5" t="s">
        <v>66</v>
      </c>
      <c r="C18" s="5" t="s">
        <v>74</v>
      </c>
      <c r="E18" s="10"/>
      <c r="F18" s="5" t="s">
        <v>157</v>
      </c>
      <c r="G18" s="11">
        <v>0.2</v>
      </c>
      <c r="I18" s="10">
        <f t="shared" si="1"/>
        <v>12</v>
      </c>
      <c r="J18" s="13">
        <f t="array" ref="J18">MAX(IF($N$3:$EA$3=$J$3,N18:EA18))</f>
        <v>0</v>
      </c>
      <c r="K18" s="13">
        <f t="array" ref="K18">MAX(IF($N$3:$EA$3=$J$3,N18:EA18))</f>
        <v>0</v>
      </c>
      <c r="L18" s="10"/>
      <c r="N18" s="5"/>
      <c r="O18" s="11"/>
      <c r="P18" s="14"/>
      <c r="Q18" s="11"/>
      <c r="R18" s="14"/>
      <c r="U18">
        <v>4</v>
      </c>
      <c r="V18" s="11"/>
      <c r="W18" s="14">
        <v>0.5</v>
      </c>
      <c r="X18" s="11"/>
      <c r="Y18" s="14">
        <v>0.5</v>
      </c>
      <c r="AC18" s="11"/>
      <c r="AD18" s="14">
        <v>0.5</v>
      </c>
      <c r="AE18" s="11"/>
      <c r="AF18" s="14">
        <v>0.5</v>
      </c>
      <c r="AJ18" s="11"/>
      <c r="AK18" s="14">
        <v>0.5</v>
      </c>
      <c r="AL18" s="11"/>
      <c r="AM18" s="14">
        <v>0.5</v>
      </c>
      <c r="AP18">
        <v>4</v>
      </c>
      <c r="AQ18" s="11"/>
      <c r="AR18" s="14">
        <v>0.8</v>
      </c>
      <c r="AS18" s="11"/>
      <c r="AT18" s="14">
        <v>0.8</v>
      </c>
      <c r="AX18" s="11"/>
      <c r="AY18" s="14">
        <v>0.8</v>
      </c>
      <c r="AZ18" s="11"/>
      <c r="BA18" s="14">
        <v>0.8</v>
      </c>
      <c r="BE18" s="11"/>
      <c r="BF18" s="14">
        <v>0.8</v>
      </c>
      <c r="BG18" s="11"/>
      <c r="BH18" s="14">
        <v>0.8</v>
      </c>
      <c r="BL18" s="11"/>
      <c r="BM18" s="14">
        <v>0.8</v>
      </c>
      <c r="BN18" s="11"/>
      <c r="BO18" s="14">
        <v>0.8</v>
      </c>
      <c r="BR18">
        <v>4</v>
      </c>
      <c r="BS18" s="11"/>
      <c r="BT18" s="14">
        <v>1</v>
      </c>
      <c r="BU18" s="11"/>
      <c r="BV18" s="14">
        <v>1</v>
      </c>
      <c r="BZ18" s="11"/>
      <c r="CA18" s="14">
        <v>1</v>
      </c>
      <c r="CB18" s="11"/>
      <c r="CC18" s="14">
        <v>1</v>
      </c>
      <c r="CG18" s="11"/>
      <c r="CH18" s="14">
        <v>1</v>
      </c>
      <c r="CI18" s="11"/>
      <c r="CJ18" s="14">
        <v>1</v>
      </c>
      <c r="CN18" s="11"/>
      <c r="CO18" s="14"/>
      <c r="CP18" s="11"/>
      <c r="CQ18" s="14"/>
      <c r="CU18" s="11"/>
      <c r="CV18" s="14"/>
      <c r="CW18" s="11"/>
      <c r="CX18" s="14"/>
      <c r="DB18" s="11"/>
      <c r="DC18" s="14"/>
      <c r="DD18" s="11"/>
      <c r="DE18" s="14"/>
      <c r="DI18" s="11"/>
      <c r="DJ18" s="14"/>
      <c r="DK18" s="11"/>
      <c r="DL18" s="14"/>
      <c r="DP18" s="11"/>
      <c r="DQ18" s="14"/>
      <c r="DR18" s="11"/>
      <c r="DS18" s="14"/>
      <c r="DW18" s="11"/>
      <c r="DX18" s="14"/>
      <c r="DY18" s="11"/>
      <c r="DZ18" s="14"/>
    </row>
    <row r="19" spans="2:130" ht="15.75" customHeight="1" outlineLevel="1" x14ac:dyDescent="0.25">
      <c r="B19" s="5" t="s">
        <v>66</v>
      </c>
      <c r="C19" s="5" t="s">
        <v>74</v>
      </c>
      <c r="E19" s="10"/>
      <c r="F19" s="5" t="s">
        <v>158</v>
      </c>
      <c r="G19" s="11">
        <v>0.05</v>
      </c>
      <c r="I19" s="10">
        <f t="shared" si="1"/>
        <v>6</v>
      </c>
      <c r="J19" s="13">
        <f t="array" ref="J19">MAX(IF($N$3:$EA$3=$J$3,N19:EA19))</f>
        <v>0</v>
      </c>
      <c r="K19" s="13">
        <f t="array" ref="K19">MAX(IF($N$3:$EA$3=$J$3,N19:EA19))</f>
        <v>0</v>
      </c>
      <c r="L19" s="10"/>
      <c r="O19" s="11"/>
      <c r="P19" s="14"/>
      <c r="Q19" s="11"/>
      <c r="R19" s="14"/>
      <c r="U19">
        <v>2</v>
      </c>
      <c r="V19" s="11"/>
      <c r="W19" s="14">
        <v>0.5</v>
      </c>
      <c r="X19" s="11"/>
      <c r="Y19" s="14">
        <v>0.5</v>
      </c>
      <c r="AC19" s="11"/>
      <c r="AD19" s="14">
        <v>0.5</v>
      </c>
      <c r="AE19" s="11"/>
      <c r="AF19" s="14">
        <v>0.5</v>
      </c>
      <c r="AJ19" s="11"/>
      <c r="AK19" s="14">
        <v>0.5</v>
      </c>
      <c r="AL19" s="11"/>
      <c r="AM19" s="14">
        <v>0.5</v>
      </c>
      <c r="AQ19" s="11"/>
      <c r="AR19" s="14">
        <v>0.5</v>
      </c>
      <c r="AS19" s="11"/>
      <c r="AT19" s="14">
        <v>0.5</v>
      </c>
      <c r="AW19">
        <v>2</v>
      </c>
      <c r="AX19" s="11"/>
      <c r="AY19" s="14">
        <v>0.8</v>
      </c>
      <c r="AZ19" s="11"/>
      <c r="BA19" s="14">
        <v>0.8</v>
      </c>
      <c r="BE19" s="11"/>
      <c r="BF19" s="14">
        <v>0.8</v>
      </c>
      <c r="BG19" s="11"/>
      <c r="BH19" s="14">
        <v>0.8</v>
      </c>
      <c r="BL19" s="11"/>
      <c r="BM19" s="14">
        <v>0.8</v>
      </c>
      <c r="BN19" s="11"/>
      <c r="BO19" s="14">
        <v>0.8</v>
      </c>
      <c r="BS19" s="11"/>
      <c r="BT19" s="14">
        <v>0.8</v>
      </c>
      <c r="BU19" s="11"/>
      <c r="BV19" s="14">
        <v>0.8</v>
      </c>
      <c r="BY19">
        <v>2</v>
      </c>
      <c r="BZ19" s="11"/>
      <c r="CA19" s="14">
        <v>1</v>
      </c>
      <c r="CB19" s="11"/>
      <c r="CC19" s="14">
        <v>1</v>
      </c>
      <c r="CG19" s="11"/>
      <c r="CH19" s="14">
        <v>1</v>
      </c>
      <c r="CI19" s="11"/>
      <c r="CJ19" s="14">
        <v>1</v>
      </c>
      <c r="CN19" s="11"/>
      <c r="CO19" s="14"/>
      <c r="CP19" s="11"/>
      <c r="CQ19" s="14"/>
      <c r="CU19" s="11"/>
      <c r="CV19" s="14"/>
      <c r="CW19" s="11"/>
      <c r="CX19" s="14"/>
      <c r="DB19" s="11"/>
      <c r="DC19" s="14"/>
      <c r="DD19" s="11"/>
      <c r="DE19" s="14"/>
      <c r="DI19" s="11"/>
      <c r="DJ19" s="14"/>
      <c r="DK19" s="11"/>
      <c r="DL19" s="14"/>
      <c r="DP19" s="11"/>
      <c r="DQ19" s="14"/>
      <c r="DR19" s="11"/>
      <c r="DS19" s="14"/>
      <c r="DW19" s="11"/>
      <c r="DX19" s="14"/>
      <c r="DY19" s="11"/>
      <c r="DZ19" s="14"/>
    </row>
    <row r="20" spans="2:130" ht="15.75" customHeight="1" outlineLevel="1" x14ac:dyDescent="0.25">
      <c r="B20" s="5" t="s">
        <v>66</v>
      </c>
      <c r="C20" s="5" t="s">
        <v>74</v>
      </c>
      <c r="E20" s="10"/>
      <c r="F20" s="5" t="s">
        <v>159</v>
      </c>
      <c r="G20" s="11">
        <v>0.1</v>
      </c>
      <c r="I20" s="10">
        <f t="shared" si="1"/>
        <v>6</v>
      </c>
      <c r="J20" s="13">
        <f t="array" ref="J20">MAX(IF($N$3:$EA$3=$J$3,N20:EA20))</f>
        <v>0</v>
      </c>
      <c r="K20" s="13">
        <f t="array" ref="K20">MAX(IF($N$3:$EA$3=$J$3,N20:EA20))</f>
        <v>0</v>
      </c>
      <c r="L20" s="10"/>
      <c r="O20" s="11"/>
      <c r="P20" s="14"/>
      <c r="Q20" s="11"/>
      <c r="R20" s="14"/>
      <c r="V20" s="11"/>
      <c r="W20" s="14"/>
      <c r="X20" s="11"/>
      <c r="Y20" s="14"/>
      <c r="AB20">
        <v>2</v>
      </c>
      <c r="AC20" s="11"/>
      <c r="AD20" s="14">
        <v>0.5</v>
      </c>
      <c r="AE20" s="11"/>
      <c r="AF20" s="14">
        <v>0.5</v>
      </c>
      <c r="AJ20" s="11"/>
      <c r="AK20" s="14">
        <v>0.5</v>
      </c>
      <c r="AL20" s="11"/>
      <c r="AM20" s="14">
        <v>0.5</v>
      </c>
      <c r="AQ20" s="11"/>
      <c r="AR20" s="14">
        <v>0.5</v>
      </c>
      <c r="AS20" s="11"/>
      <c r="AT20" s="14">
        <v>0.5</v>
      </c>
      <c r="AX20" s="11"/>
      <c r="AY20" s="14">
        <v>0.5</v>
      </c>
      <c r="AZ20" s="11"/>
      <c r="BA20" s="14">
        <v>0.5</v>
      </c>
      <c r="BD20">
        <v>2</v>
      </c>
      <c r="BE20" s="11"/>
      <c r="BF20" s="14">
        <v>0.8</v>
      </c>
      <c r="BG20" s="11"/>
      <c r="BH20" s="14">
        <v>0.8</v>
      </c>
      <c r="BL20" s="11"/>
      <c r="BM20" s="14">
        <v>0.8</v>
      </c>
      <c r="BN20" s="11"/>
      <c r="BO20" s="14">
        <v>0.8</v>
      </c>
      <c r="BS20" s="11"/>
      <c r="BT20" s="14">
        <v>0.8</v>
      </c>
      <c r="BU20" s="11"/>
      <c r="BV20" s="14">
        <v>0.8</v>
      </c>
      <c r="BY20">
        <v>2</v>
      </c>
      <c r="BZ20" s="11"/>
      <c r="CA20" s="14">
        <v>1</v>
      </c>
      <c r="CB20" s="11"/>
      <c r="CC20" s="14">
        <v>1</v>
      </c>
      <c r="CG20" s="11"/>
      <c r="CH20" s="14">
        <v>1</v>
      </c>
      <c r="CI20" s="11"/>
      <c r="CJ20" s="14">
        <v>1</v>
      </c>
      <c r="CN20" s="11"/>
      <c r="CO20" s="14"/>
      <c r="CP20" s="11"/>
      <c r="CQ20" s="14"/>
      <c r="CU20" s="11"/>
      <c r="CV20" s="14"/>
      <c r="CW20" s="11"/>
      <c r="CX20" s="14"/>
      <c r="DB20" s="11"/>
      <c r="DC20" s="14"/>
      <c r="DD20" s="11"/>
      <c r="DE20" s="14"/>
      <c r="DI20" s="11"/>
      <c r="DJ20" s="14"/>
      <c r="DK20" s="11"/>
      <c r="DL20" s="14"/>
      <c r="DP20" s="11"/>
      <c r="DQ20" s="14"/>
      <c r="DR20" s="11"/>
      <c r="DS20" s="14"/>
      <c r="DW20" s="11"/>
      <c r="DX20" s="14"/>
      <c r="DY20" s="11"/>
      <c r="DZ20" s="14"/>
    </row>
    <row r="21" spans="2:130" ht="15.75" customHeight="1" outlineLevel="1" x14ac:dyDescent="0.25">
      <c r="B21" s="5" t="s">
        <v>66</v>
      </c>
      <c r="C21" s="5" t="s">
        <v>74</v>
      </c>
      <c r="E21" s="10"/>
      <c r="F21" s="5" t="s">
        <v>160</v>
      </c>
      <c r="G21" s="11">
        <v>0.05</v>
      </c>
      <c r="I21" s="10">
        <f t="shared" si="1"/>
        <v>6</v>
      </c>
      <c r="J21" s="13">
        <f t="array" ref="J21">MAX(IF($N$3:$EA$3=$J$3,N21:EA21))</f>
        <v>0</v>
      </c>
      <c r="K21" s="13">
        <f t="array" ref="K21">MAX(IF($N$3:$EA$3=$J$3,N21:EA21))</f>
        <v>0</v>
      </c>
      <c r="L21" s="10"/>
      <c r="O21" s="11"/>
      <c r="P21" s="14"/>
      <c r="Q21" s="11"/>
      <c r="R21" s="14"/>
      <c r="V21" s="11"/>
      <c r="W21" s="14"/>
      <c r="X21" s="11"/>
      <c r="Y21" s="14"/>
      <c r="AC21" s="11"/>
      <c r="AD21" s="14"/>
      <c r="AE21" s="11"/>
      <c r="AF21" s="14"/>
      <c r="AI21">
        <v>2</v>
      </c>
      <c r="AJ21" s="11"/>
      <c r="AK21" s="14">
        <v>0.5</v>
      </c>
      <c r="AL21" s="11"/>
      <c r="AM21" s="14">
        <v>0.5</v>
      </c>
      <c r="AQ21" s="11"/>
      <c r="AR21" s="14">
        <v>0.5</v>
      </c>
      <c r="AS21" s="11"/>
      <c r="AT21" s="14">
        <v>0.5</v>
      </c>
      <c r="AX21" s="11"/>
      <c r="AY21" s="14">
        <v>0.5</v>
      </c>
      <c r="AZ21" s="11"/>
      <c r="BA21" s="14">
        <v>0.5</v>
      </c>
      <c r="BD21">
        <v>2</v>
      </c>
      <c r="BE21" s="11"/>
      <c r="BF21" s="14">
        <v>0.8</v>
      </c>
      <c r="BG21" s="11"/>
      <c r="BH21" s="14">
        <v>0.8</v>
      </c>
      <c r="BL21" s="11"/>
      <c r="BM21" s="14">
        <v>0.8</v>
      </c>
      <c r="BN21" s="11"/>
      <c r="BO21" s="14">
        <v>0.8</v>
      </c>
      <c r="BS21" s="11"/>
      <c r="BT21" s="14">
        <v>0.8</v>
      </c>
      <c r="BU21" s="11"/>
      <c r="BV21" s="14">
        <v>0.8</v>
      </c>
      <c r="BY21">
        <v>2</v>
      </c>
      <c r="BZ21" s="11"/>
      <c r="CA21" s="14">
        <v>1</v>
      </c>
      <c r="CB21" s="11"/>
      <c r="CC21" s="14">
        <v>1</v>
      </c>
      <c r="CG21" s="11"/>
      <c r="CH21" s="14">
        <v>1</v>
      </c>
      <c r="CI21" s="11"/>
      <c r="CJ21" s="14">
        <v>1</v>
      </c>
      <c r="CN21" s="11"/>
      <c r="CO21" s="14"/>
      <c r="CP21" s="11"/>
      <c r="CQ21" s="14"/>
      <c r="CU21" s="11"/>
      <c r="CV21" s="14"/>
      <c r="CW21" s="11"/>
      <c r="CX21" s="14"/>
      <c r="DB21" s="11"/>
      <c r="DC21" s="14"/>
      <c r="DD21" s="11"/>
      <c r="DE21" s="14"/>
      <c r="DI21" s="11"/>
      <c r="DJ21" s="14"/>
      <c r="DK21" s="11"/>
      <c r="DL21" s="14"/>
      <c r="DP21" s="11"/>
      <c r="DQ21" s="14"/>
      <c r="DR21" s="11"/>
      <c r="DS21" s="14"/>
      <c r="DW21" s="11"/>
      <c r="DX21" s="14"/>
      <c r="DY21" s="11"/>
      <c r="DZ21" s="14"/>
    </row>
    <row r="22" spans="2:130" ht="15.75" customHeight="1" outlineLevel="1" x14ac:dyDescent="0.25">
      <c r="B22" s="5" t="s">
        <v>66</v>
      </c>
      <c r="C22" s="5" t="s">
        <v>74</v>
      </c>
      <c r="E22" s="10"/>
      <c r="F22" s="5" t="s">
        <v>161</v>
      </c>
      <c r="G22" s="11">
        <v>0.1</v>
      </c>
      <c r="I22" s="10">
        <f t="shared" si="1"/>
        <v>6</v>
      </c>
      <c r="J22" s="13">
        <f t="array" ref="J22">MAX(IF($N$3:$EA$3=$J$3,N22:EA22))</f>
        <v>0</v>
      </c>
      <c r="K22" s="13">
        <f t="array" ref="K22">MAX(IF($N$3:$EA$3=$J$3,N22:EA22))</f>
        <v>0</v>
      </c>
      <c r="L22" s="10"/>
      <c r="O22" s="11"/>
      <c r="P22" s="14"/>
      <c r="Q22" s="11"/>
      <c r="R22" s="14"/>
      <c r="V22" s="11"/>
      <c r="W22" s="14"/>
      <c r="X22" s="11"/>
      <c r="Y22" s="14"/>
      <c r="AC22" s="11"/>
      <c r="AD22" s="14"/>
      <c r="AE22" s="11"/>
      <c r="AF22" s="14"/>
      <c r="AI22">
        <v>2</v>
      </c>
      <c r="AJ22" s="11"/>
      <c r="AK22" s="14">
        <v>0.5</v>
      </c>
      <c r="AL22" s="11"/>
      <c r="AM22" s="14">
        <v>0.5</v>
      </c>
      <c r="AQ22" s="11"/>
      <c r="AR22" s="14">
        <v>0.5</v>
      </c>
      <c r="AS22" s="11"/>
      <c r="AT22" s="14">
        <v>0.5</v>
      </c>
      <c r="AX22" s="11"/>
      <c r="AY22" s="14">
        <v>0.5</v>
      </c>
      <c r="AZ22" s="11"/>
      <c r="BA22" s="14">
        <v>0.5</v>
      </c>
      <c r="BE22" s="11"/>
      <c r="BF22" s="14">
        <v>0.5</v>
      </c>
      <c r="BG22" s="11"/>
      <c r="BH22" s="14">
        <v>0.5</v>
      </c>
      <c r="BK22">
        <v>2</v>
      </c>
      <c r="BL22" s="11"/>
      <c r="BM22" s="14">
        <v>0.8</v>
      </c>
      <c r="BN22" s="11"/>
      <c r="BO22" s="14">
        <v>0.8</v>
      </c>
      <c r="BS22" s="11"/>
      <c r="BT22" s="14">
        <v>0.8</v>
      </c>
      <c r="BU22" s="11"/>
      <c r="BV22" s="14">
        <v>0.8</v>
      </c>
      <c r="BZ22" s="11"/>
      <c r="CA22" s="14">
        <v>0.8</v>
      </c>
      <c r="CB22" s="11"/>
      <c r="CC22" s="14">
        <v>0.8</v>
      </c>
      <c r="CF22">
        <v>2</v>
      </c>
      <c r="CG22" s="11"/>
      <c r="CH22" s="14">
        <v>1</v>
      </c>
      <c r="CI22" s="11"/>
      <c r="CJ22" s="14">
        <v>1</v>
      </c>
      <c r="CN22" s="11"/>
      <c r="CO22" s="14"/>
      <c r="CP22" s="11"/>
      <c r="CQ22" s="14"/>
      <c r="CU22" s="11"/>
      <c r="CV22" s="14"/>
      <c r="CW22" s="11"/>
      <c r="CX22" s="14"/>
      <c r="DB22" s="11"/>
      <c r="DC22" s="14"/>
      <c r="DD22" s="11"/>
      <c r="DE22" s="14"/>
      <c r="DI22" s="11"/>
      <c r="DJ22" s="14"/>
      <c r="DK22" s="11"/>
      <c r="DL22" s="14"/>
      <c r="DP22" s="11"/>
      <c r="DQ22" s="14"/>
      <c r="DR22" s="11"/>
      <c r="DS22" s="14"/>
      <c r="DW22" s="11"/>
      <c r="DX22" s="14"/>
      <c r="DY22" s="11"/>
      <c r="DZ22" s="14"/>
    </row>
    <row r="23" spans="2:130" ht="15.75" customHeight="1" outlineLevel="1" x14ac:dyDescent="0.25">
      <c r="B23" s="5" t="s">
        <v>66</v>
      </c>
      <c r="C23" s="5" t="s">
        <v>74</v>
      </c>
      <c r="E23" s="10"/>
      <c r="F23" s="5" t="s">
        <v>162</v>
      </c>
      <c r="G23" s="11">
        <v>0.1</v>
      </c>
      <c r="I23" s="10">
        <f t="shared" si="1"/>
        <v>6</v>
      </c>
      <c r="J23" s="13">
        <f t="array" ref="J23">MAX(IF($N$3:$EA$3=$J$3,N23:EA23))</f>
        <v>0</v>
      </c>
      <c r="K23" s="13">
        <f t="array" ref="K23">MAX(IF($N$3:$EA$3=$J$3,N23:EA23))</f>
        <v>0</v>
      </c>
      <c r="L23" s="10"/>
      <c r="O23" s="11"/>
      <c r="P23" s="14"/>
      <c r="Q23" s="11"/>
      <c r="R23" s="14"/>
      <c r="V23" s="11"/>
      <c r="W23" s="14"/>
      <c r="X23" s="11"/>
      <c r="Y23" s="14"/>
      <c r="AC23" s="11"/>
      <c r="AD23" s="14"/>
      <c r="AE23" s="11"/>
      <c r="AF23" s="14"/>
      <c r="AJ23" s="11"/>
      <c r="AK23" s="14"/>
      <c r="AL23" s="11"/>
      <c r="AM23" s="14"/>
      <c r="AP23">
        <v>2</v>
      </c>
      <c r="AQ23" s="11"/>
      <c r="AR23" s="14">
        <v>0.5</v>
      </c>
      <c r="AS23" s="11"/>
      <c r="AT23" s="14">
        <v>0.5</v>
      </c>
      <c r="AX23" s="11"/>
      <c r="AY23" s="14">
        <v>0.5</v>
      </c>
      <c r="AZ23" s="11"/>
      <c r="BA23" s="14">
        <v>0.5</v>
      </c>
      <c r="BE23" s="11"/>
      <c r="BF23" s="14">
        <v>0.5</v>
      </c>
      <c r="BG23" s="11"/>
      <c r="BH23" s="14">
        <v>0.5</v>
      </c>
      <c r="BL23" s="11"/>
      <c r="BM23" s="14">
        <v>0.5</v>
      </c>
      <c r="BN23" s="11"/>
      <c r="BO23" s="14">
        <v>0.5</v>
      </c>
      <c r="BR23">
        <v>2</v>
      </c>
      <c r="BS23" s="11"/>
      <c r="BT23" s="14">
        <v>0.8</v>
      </c>
      <c r="BU23" s="11"/>
      <c r="BV23" s="14">
        <v>0.8</v>
      </c>
      <c r="BZ23" s="11"/>
      <c r="CA23" s="14">
        <v>0.8</v>
      </c>
      <c r="CB23" s="11"/>
      <c r="CC23" s="14">
        <v>0.8</v>
      </c>
      <c r="CF23">
        <v>2</v>
      </c>
      <c r="CG23" s="11"/>
      <c r="CH23" s="14">
        <v>1</v>
      </c>
      <c r="CI23" s="11"/>
      <c r="CJ23" s="14">
        <v>1</v>
      </c>
      <c r="CN23" s="11"/>
      <c r="CO23" s="14"/>
      <c r="CP23" s="11"/>
      <c r="CQ23" s="14"/>
      <c r="CU23" s="11"/>
      <c r="CV23" s="14"/>
      <c r="CW23" s="11"/>
      <c r="CX23" s="14"/>
      <c r="DB23" s="11"/>
      <c r="DC23" s="14"/>
      <c r="DD23" s="11"/>
      <c r="DE23" s="14"/>
      <c r="DI23" s="11"/>
      <c r="DJ23" s="14"/>
      <c r="DK23" s="11"/>
      <c r="DL23" s="14"/>
      <c r="DP23" s="11"/>
      <c r="DQ23" s="14"/>
      <c r="DR23" s="11"/>
      <c r="DS23" s="14"/>
      <c r="DW23" s="11"/>
      <c r="DX23" s="14"/>
      <c r="DY23" s="11"/>
      <c r="DZ23" s="14"/>
    </row>
    <row r="24" spans="2:130" ht="15.75" customHeight="1" outlineLevel="1" x14ac:dyDescent="0.25">
      <c r="B24" s="5" t="s">
        <v>66</v>
      </c>
      <c r="C24" s="5" t="s">
        <v>74</v>
      </c>
      <c r="E24" s="10"/>
      <c r="F24" s="5" t="s">
        <v>163</v>
      </c>
      <c r="G24" s="11">
        <v>0.1</v>
      </c>
      <c r="I24" s="10">
        <f t="shared" si="1"/>
        <v>6</v>
      </c>
      <c r="J24" s="13">
        <f t="array" ref="J24">MAX(IF($N$3:$EA$3=$J$3,N24:EA24))</f>
        <v>0</v>
      </c>
      <c r="K24" s="13">
        <f t="array" ref="K24">MAX(IF($N$3:$EA$3=$J$3,N24:EA24))</f>
        <v>0</v>
      </c>
      <c r="L24" s="10"/>
      <c r="O24" s="11"/>
      <c r="P24" s="14"/>
      <c r="Q24" s="11"/>
      <c r="R24" s="14"/>
      <c r="V24" s="11"/>
      <c r="W24" s="14"/>
      <c r="X24" s="11"/>
      <c r="Y24" s="14"/>
      <c r="AC24" s="11"/>
      <c r="AD24" s="14"/>
      <c r="AE24" s="11"/>
      <c r="AF24" s="14"/>
      <c r="AJ24" s="11"/>
      <c r="AK24" s="14"/>
      <c r="AL24" s="11"/>
      <c r="AM24" s="14"/>
      <c r="AQ24" s="11"/>
      <c r="AR24" s="14"/>
      <c r="AS24" s="11"/>
      <c r="AT24" s="14"/>
      <c r="AW24">
        <v>2</v>
      </c>
      <c r="AX24" s="11"/>
      <c r="AY24" s="14">
        <v>0.5</v>
      </c>
      <c r="AZ24" s="11"/>
      <c r="BA24" s="14">
        <v>0.5</v>
      </c>
      <c r="BE24" s="11"/>
      <c r="BF24" s="14">
        <v>0.5</v>
      </c>
      <c r="BG24" s="11"/>
      <c r="BH24" s="14">
        <v>0.5</v>
      </c>
      <c r="BL24" s="11"/>
      <c r="BM24" s="14">
        <v>0.5</v>
      </c>
      <c r="BN24" s="11"/>
      <c r="BO24" s="14">
        <v>0.5</v>
      </c>
      <c r="BR24">
        <v>2</v>
      </c>
      <c r="BS24" s="11"/>
      <c r="BT24" s="14">
        <v>0.8</v>
      </c>
      <c r="BU24" s="11"/>
      <c r="BV24" s="14">
        <v>0.8</v>
      </c>
      <c r="BZ24" s="11"/>
      <c r="CA24" s="14">
        <v>0.8</v>
      </c>
      <c r="CB24" s="11"/>
      <c r="CC24" s="14">
        <v>0.8</v>
      </c>
      <c r="CF24">
        <v>2</v>
      </c>
      <c r="CG24" s="11"/>
      <c r="CH24" s="14">
        <v>1</v>
      </c>
      <c r="CI24" s="11"/>
      <c r="CJ24" s="14">
        <v>1</v>
      </c>
      <c r="CN24" s="11"/>
      <c r="CO24" s="14"/>
      <c r="CP24" s="11"/>
      <c r="CQ24" s="14"/>
      <c r="CU24" s="11"/>
      <c r="CV24" s="14"/>
      <c r="CW24" s="11"/>
      <c r="CX24" s="14"/>
      <c r="DB24" s="11"/>
      <c r="DC24" s="14"/>
      <c r="DD24" s="11"/>
      <c r="DE24" s="14"/>
      <c r="DI24" s="11"/>
      <c r="DJ24" s="14"/>
      <c r="DK24" s="11"/>
      <c r="DL24" s="14"/>
      <c r="DP24" s="11"/>
      <c r="DQ24" s="14"/>
      <c r="DR24" s="11"/>
      <c r="DS24" s="14"/>
      <c r="DW24" s="11"/>
      <c r="DX24" s="14"/>
      <c r="DY24" s="11"/>
      <c r="DZ24" s="14"/>
    </row>
    <row r="25" spans="2:130" ht="15.75" customHeight="1" x14ac:dyDescent="0.25">
      <c r="P25" s="15"/>
      <c r="R25" s="15"/>
      <c r="W25" s="15"/>
      <c r="Y25" s="15"/>
      <c r="AD25" s="15"/>
      <c r="AF25" s="15"/>
      <c r="AK25" s="15"/>
      <c r="AM25" s="15"/>
      <c r="AR25" s="15"/>
      <c r="AT25" s="15"/>
      <c r="AY25" s="15"/>
      <c r="BA25" s="15"/>
      <c r="BF25" s="15"/>
      <c r="BH25" s="15"/>
      <c r="BM25" s="15"/>
      <c r="BO25" s="15"/>
      <c r="BT25" s="15"/>
      <c r="BV25" s="15"/>
      <c r="CA25" s="15"/>
      <c r="CC25" s="15"/>
      <c r="CH25" s="15"/>
      <c r="CJ25" s="15"/>
      <c r="CO25" s="15"/>
      <c r="CQ25" s="15"/>
      <c r="CV25" s="15"/>
      <c r="CX25" s="15"/>
      <c r="DC25" s="15"/>
      <c r="DE25" s="15"/>
      <c r="DJ25" s="15"/>
      <c r="DL25" s="15"/>
      <c r="DQ25" s="15"/>
      <c r="DS25" s="15"/>
      <c r="DX25" s="15"/>
      <c r="DZ25" s="15"/>
    </row>
    <row r="26" spans="2:130" ht="15.75" customHeight="1" x14ac:dyDescent="0.25">
      <c r="B26" s="5" t="s">
        <v>39</v>
      </c>
      <c r="C26" s="5" t="s">
        <v>75</v>
      </c>
      <c r="D26" s="26">
        <v>45330</v>
      </c>
      <c r="E26" s="10">
        <v>6</v>
      </c>
      <c r="G26" s="11">
        <f>+SUM(G27:G33)</f>
        <v>1</v>
      </c>
      <c r="I26" s="12">
        <f>+SUM(I27:I32)</f>
        <v>72</v>
      </c>
      <c r="J26" s="13">
        <f>+SUMPRODUCT(G27:G32,J27:J32)</f>
        <v>0</v>
      </c>
      <c r="K26" s="13">
        <f>+SUMPRODUCT(G27:G32,K27:K32)</f>
        <v>0</v>
      </c>
      <c r="L26" s="10"/>
      <c r="N26" s="12">
        <f>+SUM(N27:N32)</f>
        <v>8</v>
      </c>
      <c r="P26" s="15"/>
      <c r="R26" s="15"/>
      <c r="U26" s="12">
        <f>+SUM(U27:U32)</f>
        <v>8</v>
      </c>
      <c r="W26" s="15"/>
      <c r="Y26" s="15"/>
      <c r="AB26" s="12">
        <f>+SUM(AB27:AB32)</f>
        <v>8</v>
      </c>
      <c r="AD26" s="15"/>
      <c r="AF26" s="15"/>
      <c r="AI26" s="12">
        <f>+SUM(AI27:AI32)</f>
        <v>4</v>
      </c>
      <c r="AK26" s="15"/>
      <c r="AM26" s="15"/>
      <c r="AP26" s="12">
        <f>+SUM(AP27:AP32)</f>
        <v>8</v>
      </c>
      <c r="AR26" s="15"/>
      <c r="AT26" s="15"/>
      <c r="AW26" s="12">
        <f>+SUM(AW27:AW33)</f>
        <v>8</v>
      </c>
      <c r="AY26" s="15"/>
      <c r="BA26" s="15"/>
      <c r="BD26" s="12">
        <f>+SUM(BD27:BD32)</f>
        <v>8</v>
      </c>
      <c r="BF26" s="15"/>
      <c r="BH26" s="15"/>
      <c r="BK26" s="12">
        <f>+SUM(BK27:BK32)</f>
        <v>4</v>
      </c>
      <c r="BM26" s="15"/>
      <c r="BO26" s="15"/>
      <c r="BR26" s="12">
        <f>+SUM(BR27:BR32)</f>
        <v>8</v>
      </c>
      <c r="BT26" s="15"/>
      <c r="BV26" s="15"/>
      <c r="BY26" s="12">
        <f>+SUM(BY27:BY33)</f>
        <v>8</v>
      </c>
      <c r="CA26" s="15"/>
      <c r="CC26" s="15"/>
      <c r="CF26" s="12">
        <f>+SUM(CF27:CF32)</f>
        <v>8</v>
      </c>
      <c r="CH26" s="15"/>
      <c r="CJ26" s="15"/>
      <c r="CM26" s="12">
        <f>+SUM(CM27:CM33)</f>
        <v>4</v>
      </c>
      <c r="CO26" s="15"/>
      <c r="CQ26" s="15"/>
      <c r="CV26" s="15"/>
      <c r="CX26" s="15"/>
      <c r="DC26" s="15"/>
      <c r="DE26" s="15"/>
      <c r="DJ26" s="15"/>
      <c r="DL26" s="15"/>
      <c r="DQ26" s="15"/>
      <c r="DS26" s="15"/>
      <c r="DX26" s="15"/>
      <c r="DZ26" s="15"/>
    </row>
    <row r="27" spans="2:130" ht="15.75" customHeight="1" outlineLevel="1" x14ac:dyDescent="0.25">
      <c r="B27" s="5" t="s">
        <v>66</v>
      </c>
      <c r="C27" s="5" t="s">
        <v>75</v>
      </c>
      <c r="E27" s="10"/>
      <c r="F27" s="5" t="s">
        <v>76</v>
      </c>
      <c r="G27" s="11">
        <v>0.1</v>
      </c>
      <c r="I27" s="10">
        <f t="shared" ref="I27:I33" si="2">+SUMIF($N$3:$ZS$3,I$3,$N27:$ZS27)</f>
        <v>12</v>
      </c>
      <c r="J27" s="13">
        <f t="array" ref="J27">MAX(IF($N$3:$EA$3=$J$3,N27:EA27))</f>
        <v>0</v>
      </c>
      <c r="K27" s="13">
        <f t="array" ref="K27">MAX(IF($N$3:$EA$3=$J$3,N27:EA27))</f>
        <v>0</v>
      </c>
      <c r="L27" s="10"/>
      <c r="N27" s="5">
        <v>4</v>
      </c>
      <c r="O27" s="11"/>
      <c r="P27" s="14">
        <v>0.5</v>
      </c>
      <c r="Q27" s="11"/>
      <c r="R27" s="14">
        <v>0.5</v>
      </c>
      <c r="V27" s="11"/>
      <c r="W27" s="14">
        <v>0.5</v>
      </c>
      <c r="X27" s="11"/>
      <c r="Y27" s="14">
        <v>0.5</v>
      </c>
      <c r="AB27">
        <v>4</v>
      </c>
      <c r="AC27" s="11"/>
      <c r="AD27" s="14">
        <v>0.8</v>
      </c>
      <c r="AE27" s="11"/>
      <c r="AF27" s="14">
        <v>0.8</v>
      </c>
      <c r="AJ27" s="11"/>
      <c r="AK27" s="14">
        <v>0.8</v>
      </c>
      <c r="AL27" s="11"/>
      <c r="AM27" s="14">
        <v>0.8</v>
      </c>
      <c r="AQ27" s="11"/>
      <c r="AR27" s="14">
        <v>0.8</v>
      </c>
      <c r="AS27" s="11"/>
      <c r="AT27" s="14">
        <v>0.8</v>
      </c>
      <c r="AX27" s="11"/>
      <c r="AY27" s="14">
        <v>0.8</v>
      </c>
      <c r="AZ27" s="11"/>
      <c r="BA27" s="14">
        <v>0.8</v>
      </c>
      <c r="BD27">
        <v>4</v>
      </c>
      <c r="BE27" s="11"/>
      <c r="BF27" s="14">
        <v>1</v>
      </c>
      <c r="BG27" s="11"/>
      <c r="BH27" s="14">
        <v>1</v>
      </c>
      <c r="BL27" s="11"/>
      <c r="BM27" s="14">
        <v>1</v>
      </c>
      <c r="BN27" s="11"/>
      <c r="BO27" s="14">
        <v>1</v>
      </c>
      <c r="BS27" s="11"/>
      <c r="BT27" s="14">
        <v>1</v>
      </c>
      <c r="BU27" s="11"/>
      <c r="BV27" s="14">
        <v>1</v>
      </c>
      <c r="BZ27" s="11"/>
      <c r="CA27" s="14">
        <v>1</v>
      </c>
      <c r="CB27" s="11"/>
      <c r="CC27" s="14">
        <v>1</v>
      </c>
      <c r="CG27" s="11"/>
      <c r="CH27" s="14">
        <v>1</v>
      </c>
      <c r="CI27" s="11"/>
      <c r="CJ27" s="14">
        <v>1</v>
      </c>
      <c r="CN27" s="11"/>
      <c r="CO27" s="14">
        <v>1</v>
      </c>
      <c r="CP27" s="11"/>
      <c r="CQ27" s="14">
        <v>1</v>
      </c>
      <c r="CU27" s="11"/>
      <c r="CV27" s="14"/>
      <c r="CW27" s="11"/>
      <c r="CX27" s="14"/>
      <c r="DB27" s="11"/>
      <c r="DC27" s="14"/>
      <c r="DD27" s="11"/>
      <c r="DE27" s="14"/>
      <c r="DI27" s="11"/>
      <c r="DJ27" s="14"/>
      <c r="DK27" s="11"/>
      <c r="DL27" s="14"/>
      <c r="DP27" s="11"/>
      <c r="DQ27" s="14"/>
      <c r="DR27" s="11"/>
      <c r="DS27" s="14"/>
      <c r="DW27" s="11"/>
      <c r="DX27" s="14"/>
      <c r="DY27" s="11"/>
      <c r="DZ27" s="14"/>
    </row>
    <row r="28" spans="2:130" ht="15.75" customHeight="1" outlineLevel="1" x14ac:dyDescent="0.25">
      <c r="B28" s="5" t="s">
        <v>66</v>
      </c>
      <c r="C28" s="5" t="s">
        <v>75</v>
      </c>
      <c r="E28" s="10"/>
      <c r="F28" s="5" t="s">
        <v>77</v>
      </c>
      <c r="G28" s="11">
        <v>0.1</v>
      </c>
      <c r="I28" s="10">
        <f t="shared" si="2"/>
        <v>12</v>
      </c>
      <c r="J28" s="13">
        <f t="array" ref="J28">MAX(IF($N$3:$EA$3=$J$3,N28:EA28))</f>
        <v>0</v>
      </c>
      <c r="K28" s="13">
        <f t="array" ref="K28">MAX(IF($N$3:$EA$3=$J$3,N28:EA28))</f>
        <v>0</v>
      </c>
      <c r="L28" s="10"/>
      <c r="N28" s="5">
        <v>4</v>
      </c>
      <c r="O28" s="11"/>
      <c r="P28" s="14">
        <v>0.5</v>
      </c>
      <c r="Q28" s="11"/>
      <c r="R28" s="14">
        <v>0.5</v>
      </c>
      <c r="V28" s="11"/>
      <c r="W28" s="14">
        <v>0.5</v>
      </c>
      <c r="X28" s="11"/>
      <c r="Y28" s="14">
        <v>0.5</v>
      </c>
      <c r="AC28" s="11"/>
      <c r="AD28" s="14">
        <v>0.5</v>
      </c>
      <c r="AE28" s="11"/>
      <c r="AF28" s="14">
        <v>0.5</v>
      </c>
      <c r="AI28">
        <v>4</v>
      </c>
      <c r="AJ28" s="11"/>
      <c r="AK28" s="14">
        <v>0.8</v>
      </c>
      <c r="AL28" s="11"/>
      <c r="AM28" s="14">
        <v>0.8</v>
      </c>
      <c r="AQ28" s="11"/>
      <c r="AR28" s="14">
        <v>0.8</v>
      </c>
      <c r="AS28" s="11"/>
      <c r="AT28" s="14">
        <v>0.8</v>
      </c>
      <c r="AX28" s="11"/>
      <c r="AY28" s="14">
        <v>0.8</v>
      </c>
      <c r="AZ28" s="11"/>
      <c r="BA28" s="14">
        <v>0.8</v>
      </c>
      <c r="BE28" s="11"/>
      <c r="BF28" s="14">
        <v>0.8</v>
      </c>
      <c r="BG28" s="11"/>
      <c r="BH28" s="14">
        <v>0.8</v>
      </c>
      <c r="BK28">
        <v>4</v>
      </c>
      <c r="BL28" s="11"/>
      <c r="BM28" s="14">
        <v>1</v>
      </c>
      <c r="BN28" s="11"/>
      <c r="BO28" s="14">
        <v>1</v>
      </c>
      <c r="BS28" s="11"/>
      <c r="BT28" s="14">
        <v>1</v>
      </c>
      <c r="BU28" s="11"/>
      <c r="BV28" s="14">
        <v>1</v>
      </c>
      <c r="BZ28" s="11"/>
      <c r="CA28" s="14">
        <v>1</v>
      </c>
      <c r="CB28" s="11"/>
      <c r="CC28" s="14">
        <v>1</v>
      </c>
      <c r="CG28" s="11"/>
      <c r="CH28" s="14">
        <v>1</v>
      </c>
      <c r="CI28" s="11"/>
      <c r="CJ28" s="14">
        <v>1</v>
      </c>
      <c r="CN28" s="11"/>
      <c r="CO28" s="14">
        <v>1</v>
      </c>
      <c r="CP28" s="11"/>
      <c r="CQ28" s="14">
        <v>1</v>
      </c>
      <c r="CU28" s="11"/>
      <c r="CV28" s="14"/>
      <c r="CW28" s="11"/>
      <c r="CX28" s="14"/>
      <c r="DB28" s="11"/>
      <c r="DC28" s="14"/>
      <c r="DD28" s="11"/>
      <c r="DE28" s="14"/>
      <c r="DI28" s="11"/>
      <c r="DJ28" s="14"/>
      <c r="DK28" s="11"/>
      <c r="DL28" s="14"/>
      <c r="DP28" s="11"/>
      <c r="DQ28" s="14"/>
      <c r="DR28" s="11"/>
      <c r="DS28" s="14"/>
      <c r="DW28" s="11"/>
      <c r="DX28" s="14"/>
      <c r="DY28" s="11"/>
      <c r="DZ28" s="14"/>
    </row>
    <row r="29" spans="2:130" ht="15.75" customHeight="1" outlineLevel="1" x14ac:dyDescent="0.25">
      <c r="B29" s="5" t="s">
        <v>66</v>
      </c>
      <c r="C29" s="5" t="s">
        <v>75</v>
      </c>
      <c r="E29" s="10"/>
      <c r="F29" s="5" t="s">
        <v>78</v>
      </c>
      <c r="G29" s="11">
        <v>0.15</v>
      </c>
      <c r="I29" s="10">
        <f t="shared" si="2"/>
        <v>12</v>
      </c>
      <c r="J29" s="13">
        <f t="array" ref="J29">MAX(IF($N$3:$EA$3=$J$3,N29:EA29))</f>
        <v>0</v>
      </c>
      <c r="K29" s="13">
        <f t="array" ref="K29">MAX(IF($N$3:$EA$3=$J$3,N29:EA29))</f>
        <v>0</v>
      </c>
      <c r="L29" s="10"/>
      <c r="O29" s="11"/>
      <c r="P29" s="14"/>
      <c r="Q29" s="11"/>
      <c r="R29" s="14"/>
      <c r="U29">
        <v>4</v>
      </c>
      <c r="V29" s="11"/>
      <c r="W29" s="14">
        <v>0.5</v>
      </c>
      <c r="X29" s="11"/>
      <c r="Y29" s="14">
        <v>0.5</v>
      </c>
      <c r="AC29" s="11"/>
      <c r="AD29" s="14">
        <v>0.5</v>
      </c>
      <c r="AE29" s="11"/>
      <c r="AF29" s="14">
        <v>0.5</v>
      </c>
      <c r="AJ29" s="11"/>
      <c r="AK29" s="14">
        <v>0.5</v>
      </c>
      <c r="AL29" s="11"/>
      <c r="AM29" s="14">
        <v>0.5</v>
      </c>
      <c r="AP29">
        <v>4</v>
      </c>
      <c r="AQ29" s="11"/>
      <c r="AR29" s="14">
        <v>0.8</v>
      </c>
      <c r="AS29" s="11"/>
      <c r="AT29" s="14">
        <v>0.8</v>
      </c>
      <c r="AX29" s="11"/>
      <c r="AY29" s="14">
        <v>0.8</v>
      </c>
      <c r="AZ29" s="11"/>
      <c r="BA29" s="14">
        <v>0.8</v>
      </c>
      <c r="BE29" s="11"/>
      <c r="BF29" s="14">
        <v>0.8</v>
      </c>
      <c r="BG29" s="11"/>
      <c r="BH29" s="14">
        <v>0.8</v>
      </c>
      <c r="BL29" s="11"/>
      <c r="BM29" s="14">
        <v>0.8</v>
      </c>
      <c r="BN29" s="11"/>
      <c r="BO29" s="14">
        <v>0.8</v>
      </c>
      <c r="BR29">
        <v>4</v>
      </c>
      <c r="BS29" s="11"/>
      <c r="BT29" s="14">
        <v>1</v>
      </c>
      <c r="BU29" s="11"/>
      <c r="BV29" s="14">
        <v>1</v>
      </c>
      <c r="BZ29" s="11"/>
      <c r="CA29" s="14">
        <v>1</v>
      </c>
      <c r="CB29" s="11"/>
      <c r="CC29" s="14">
        <v>1</v>
      </c>
      <c r="CG29" s="11"/>
      <c r="CH29" s="14">
        <v>1</v>
      </c>
      <c r="CI29" s="11"/>
      <c r="CJ29" s="14">
        <v>1</v>
      </c>
      <c r="CN29" s="11"/>
      <c r="CO29" s="14">
        <v>1</v>
      </c>
      <c r="CP29" s="11"/>
      <c r="CQ29" s="14">
        <v>1</v>
      </c>
      <c r="CU29" s="11"/>
      <c r="CV29" s="14"/>
      <c r="CW29" s="11"/>
      <c r="CX29" s="14"/>
      <c r="DB29" s="11"/>
      <c r="DC29" s="14"/>
      <c r="DD29" s="11"/>
      <c r="DE29" s="14"/>
      <c r="DI29" s="11"/>
      <c r="DJ29" s="14"/>
      <c r="DK29" s="11"/>
      <c r="DL29" s="14"/>
      <c r="DP29" s="11"/>
      <c r="DQ29" s="14"/>
      <c r="DR29" s="11"/>
      <c r="DS29" s="14"/>
      <c r="DW29" s="11"/>
      <c r="DX29" s="14"/>
      <c r="DY29" s="11"/>
      <c r="DZ29" s="14"/>
    </row>
    <row r="30" spans="2:130" ht="15.75" customHeight="1" outlineLevel="1" x14ac:dyDescent="0.25">
      <c r="B30" s="5" t="s">
        <v>66</v>
      </c>
      <c r="C30" s="5" t="s">
        <v>75</v>
      </c>
      <c r="E30" s="10"/>
      <c r="F30" s="5" t="s">
        <v>79</v>
      </c>
      <c r="G30" s="11">
        <v>0.2</v>
      </c>
      <c r="I30" s="10">
        <f t="shared" si="2"/>
        <v>12</v>
      </c>
      <c r="J30" s="13">
        <f t="array" ref="J30">MAX(IF($N$3:$EA$3=$J$3,N30:EA30))</f>
        <v>0</v>
      </c>
      <c r="K30" s="13">
        <f t="array" ref="K30">MAX(IF($N$3:$EA$3=$J$3,N30:EA30))</f>
        <v>0</v>
      </c>
      <c r="L30" s="10"/>
      <c r="O30" s="11"/>
      <c r="P30" s="14"/>
      <c r="Q30" s="11"/>
      <c r="R30" s="14"/>
      <c r="U30">
        <v>4</v>
      </c>
      <c r="V30" s="11"/>
      <c r="W30" s="14">
        <v>0.5</v>
      </c>
      <c r="X30" s="11"/>
      <c r="Y30" s="14">
        <v>0.5</v>
      </c>
      <c r="AC30" s="11"/>
      <c r="AD30" s="14">
        <v>0.5</v>
      </c>
      <c r="AE30" s="11"/>
      <c r="AF30" s="14">
        <v>0.5</v>
      </c>
      <c r="AJ30" s="11"/>
      <c r="AK30" s="14">
        <v>0.5</v>
      </c>
      <c r="AL30" s="11"/>
      <c r="AM30" s="14">
        <v>0.5</v>
      </c>
      <c r="AQ30" s="11"/>
      <c r="AR30" s="14">
        <v>0.5</v>
      </c>
      <c r="AS30" s="11"/>
      <c r="AT30" s="14">
        <v>0.5</v>
      </c>
      <c r="AW30">
        <v>4</v>
      </c>
      <c r="AX30" s="11"/>
      <c r="AY30" s="14">
        <v>0.8</v>
      </c>
      <c r="AZ30" s="11"/>
      <c r="BA30" s="14">
        <v>0.8</v>
      </c>
      <c r="BE30" s="11"/>
      <c r="BF30" s="14">
        <v>0.8</v>
      </c>
      <c r="BG30" s="11"/>
      <c r="BH30" s="14">
        <v>0.8</v>
      </c>
      <c r="BL30" s="11"/>
      <c r="BM30" s="14">
        <v>0.8</v>
      </c>
      <c r="BN30" s="11"/>
      <c r="BO30" s="14">
        <v>0.8</v>
      </c>
      <c r="BS30" s="11"/>
      <c r="BT30" s="14">
        <v>0.8</v>
      </c>
      <c r="BU30" s="11"/>
      <c r="BV30" s="14">
        <v>0.8</v>
      </c>
      <c r="BY30">
        <v>4</v>
      </c>
      <c r="BZ30" s="11"/>
      <c r="CA30" s="14">
        <v>1</v>
      </c>
      <c r="CB30" s="11"/>
      <c r="CC30" s="14">
        <v>1</v>
      </c>
      <c r="CG30" s="11"/>
      <c r="CH30" s="14">
        <v>1</v>
      </c>
      <c r="CI30" s="11"/>
      <c r="CJ30" s="14">
        <v>1</v>
      </c>
      <c r="CN30" s="11"/>
      <c r="CO30" s="14">
        <v>1</v>
      </c>
      <c r="CP30" s="11"/>
      <c r="CQ30" s="14">
        <v>1</v>
      </c>
      <c r="CU30" s="11"/>
      <c r="CV30" s="14"/>
      <c r="CW30" s="11"/>
      <c r="CX30" s="14"/>
      <c r="DB30" s="11"/>
      <c r="DC30" s="14"/>
      <c r="DD30" s="11"/>
      <c r="DE30" s="14"/>
      <c r="DI30" s="11"/>
      <c r="DJ30" s="14"/>
      <c r="DK30" s="11"/>
      <c r="DL30" s="14"/>
      <c r="DP30" s="11"/>
      <c r="DQ30" s="14"/>
      <c r="DR30" s="11"/>
      <c r="DS30" s="14"/>
      <c r="DW30" s="11"/>
      <c r="DX30" s="14"/>
      <c r="DY30" s="11"/>
      <c r="DZ30" s="14"/>
    </row>
    <row r="31" spans="2:130" ht="15.75" customHeight="1" outlineLevel="1" x14ac:dyDescent="0.25">
      <c r="B31" s="5" t="s">
        <v>66</v>
      </c>
      <c r="C31" s="5" t="s">
        <v>75</v>
      </c>
      <c r="E31" s="10"/>
      <c r="F31" s="5" t="s">
        <v>80</v>
      </c>
      <c r="G31" s="11">
        <v>0.15</v>
      </c>
      <c r="I31" s="10">
        <f t="shared" si="2"/>
        <v>12</v>
      </c>
      <c r="J31" s="13">
        <f t="array" ref="J31">MAX(IF($N$3:$EA$3=$J$3,N31:EA31))</f>
        <v>0</v>
      </c>
      <c r="K31" s="13">
        <f t="array" ref="K31">MAX(IF($N$3:$EA$3=$J$3,N31:EA31))</f>
        <v>0</v>
      </c>
      <c r="L31" s="10"/>
      <c r="O31" s="11"/>
      <c r="P31" s="14"/>
      <c r="Q31" s="11"/>
      <c r="R31" s="14"/>
      <c r="V31" s="11"/>
      <c r="W31" s="14"/>
      <c r="X31" s="11"/>
      <c r="Y31" s="14"/>
      <c r="AB31">
        <v>4</v>
      </c>
      <c r="AC31" s="11"/>
      <c r="AD31" s="14">
        <v>0.5</v>
      </c>
      <c r="AE31" s="11"/>
      <c r="AF31" s="14">
        <v>0.5</v>
      </c>
      <c r="AJ31" s="11"/>
      <c r="AK31" s="14">
        <v>0.5</v>
      </c>
      <c r="AL31" s="11"/>
      <c r="AM31" s="14">
        <v>0.5</v>
      </c>
      <c r="AQ31" s="11"/>
      <c r="AR31" s="14">
        <v>0.5</v>
      </c>
      <c r="AS31" s="11"/>
      <c r="AT31" s="14">
        <v>0.5</v>
      </c>
      <c r="AX31" s="11"/>
      <c r="AY31" s="14">
        <v>0.5</v>
      </c>
      <c r="AZ31" s="11"/>
      <c r="BA31" s="14">
        <v>0.5</v>
      </c>
      <c r="BD31">
        <v>4</v>
      </c>
      <c r="BE31" s="11"/>
      <c r="BF31" s="14">
        <v>0.8</v>
      </c>
      <c r="BG31" s="11"/>
      <c r="BH31" s="14">
        <v>0.8</v>
      </c>
      <c r="BL31" s="11"/>
      <c r="BM31" s="14">
        <v>0.8</v>
      </c>
      <c r="BN31" s="11"/>
      <c r="BO31" s="14">
        <v>0.8</v>
      </c>
      <c r="BS31" s="11"/>
      <c r="BT31" s="14">
        <v>0.8</v>
      </c>
      <c r="BU31" s="11"/>
      <c r="BV31" s="14">
        <v>0.8</v>
      </c>
      <c r="BZ31" s="11"/>
      <c r="CA31" s="14">
        <v>0.8</v>
      </c>
      <c r="CB31" s="11"/>
      <c r="CC31" s="14">
        <v>0.8</v>
      </c>
      <c r="CF31">
        <v>4</v>
      </c>
      <c r="CG31" s="11"/>
      <c r="CH31" s="14">
        <v>1</v>
      </c>
      <c r="CI31" s="11"/>
      <c r="CJ31" s="14">
        <v>1</v>
      </c>
      <c r="CN31" s="11"/>
      <c r="CO31" s="14">
        <v>1</v>
      </c>
      <c r="CP31" s="11"/>
      <c r="CQ31" s="14">
        <v>1</v>
      </c>
      <c r="CU31" s="11"/>
      <c r="CV31" s="14"/>
      <c r="CW31" s="11"/>
      <c r="CX31" s="14"/>
      <c r="DB31" s="11"/>
      <c r="DC31" s="14"/>
      <c r="DD31" s="11"/>
      <c r="DE31" s="14"/>
      <c r="DI31" s="11"/>
      <c r="DJ31" s="14"/>
      <c r="DK31" s="11"/>
      <c r="DL31" s="14"/>
      <c r="DP31" s="11"/>
      <c r="DQ31" s="14"/>
      <c r="DR31" s="11"/>
      <c r="DS31" s="14"/>
      <c r="DW31" s="11"/>
      <c r="DX31" s="14"/>
      <c r="DY31" s="11"/>
      <c r="DZ31" s="14"/>
    </row>
    <row r="32" spans="2:130" ht="15.75" customHeight="1" outlineLevel="1" x14ac:dyDescent="0.25">
      <c r="B32" s="5" t="s">
        <v>66</v>
      </c>
      <c r="C32" s="5" t="s">
        <v>75</v>
      </c>
      <c r="E32" s="10"/>
      <c r="F32" s="5" t="s">
        <v>81</v>
      </c>
      <c r="G32" s="11">
        <v>0.15</v>
      </c>
      <c r="I32" s="10">
        <f t="shared" si="2"/>
        <v>12</v>
      </c>
      <c r="J32" s="13">
        <f t="array" ref="J32">MAX(IF($N$3:$EA$3=$J$3,N32:EA32))</f>
        <v>0</v>
      </c>
      <c r="K32" s="13">
        <f t="array" ref="K32">MAX(IF($N$3:$EA$3=$J$3,N32:EA32))</f>
        <v>0</v>
      </c>
      <c r="L32" s="10"/>
      <c r="O32" s="11"/>
      <c r="P32" s="14"/>
      <c r="Q32" s="11"/>
      <c r="R32" s="14"/>
      <c r="V32" s="11"/>
      <c r="W32" s="14"/>
      <c r="X32" s="11"/>
      <c r="Y32" s="14"/>
      <c r="AC32" s="11"/>
      <c r="AD32" s="14"/>
      <c r="AE32" s="11"/>
      <c r="AF32" s="14"/>
      <c r="AJ32" s="11"/>
      <c r="AK32" s="14"/>
      <c r="AL32" s="11"/>
      <c r="AM32" s="14"/>
      <c r="AP32">
        <v>4</v>
      </c>
      <c r="AQ32" s="11"/>
      <c r="AR32" s="14">
        <v>0.5</v>
      </c>
      <c r="AS32" s="11"/>
      <c r="AT32" s="14">
        <v>0.5</v>
      </c>
      <c r="AX32" s="11"/>
      <c r="AY32" s="14">
        <v>0.5</v>
      </c>
      <c r="AZ32" s="11"/>
      <c r="BA32" s="14">
        <v>0.5</v>
      </c>
      <c r="BE32" s="11"/>
      <c r="BF32" s="14">
        <v>0.5</v>
      </c>
      <c r="BG32" s="11"/>
      <c r="BH32" s="14">
        <v>0.5</v>
      </c>
      <c r="BL32" s="11"/>
      <c r="BM32" s="14">
        <v>0.5</v>
      </c>
      <c r="BN32" s="11"/>
      <c r="BO32" s="14">
        <v>0.5</v>
      </c>
      <c r="BR32">
        <v>4</v>
      </c>
      <c r="BS32" s="11"/>
      <c r="BT32" s="14">
        <v>0.8</v>
      </c>
      <c r="BU32" s="11"/>
      <c r="BV32" s="14">
        <v>0.8</v>
      </c>
      <c r="BZ32" s="11"/>
      <c r="CA32" s="14">
        <v>0.8</v>
      </c>
      <c r="CB32" s="11"/>
      <c r="CC32" s="14">
        <v>0.8</v>
      </c>
      <c r="CF32">
        <v>4</v>
      </c>
      <c r="CG32" s="11"/>
      <c r="CH32" s="14">
        <v>1</v>
      </c>
      <c r="CI32" s="11"/>
      <c r="CJ32" s="14">
        <v>1</v>
      </c>
      <c r="CN32" s="11"/>
      <c r="CO32" s="14">
        <v>1</v>
      </c>
      <c r="CP32" s="11"/>
      <c r="CQ32" s="14">
        <v>1</v>
      </c>
      <c r="CU32" s="11"/>
      <c r="CV32" s="14"/>
      <c r="CW32" s="11"/>
      <c r="CX32" s="14"/>
      <c r="DB32" s="11"/>
      <c r="DC32" s="14"/>
      <c r="DD32" s="11"/>
      <c r="DE32" s="14"/>
      <c r="DI32" s="11"/>
      <c r="DJ32" s="14"/>
      <c r="DK32" s="11"/>
      <c r="DL32" s="14"/>
      <c r="DP32" s="11"/>
      <c r="DQ32" s="14"/>
      <c r="DR32" s="11"/>
      <c r="DS32" s="14"/>
      <c r="DW32" s="11"/>
      <c r="DX32" s="14"/>
      <c r="DY32" s="11"/>
      <c r="DZ32" s="14"/>
    </row>
    <row r="33" spans="2:130" ht="15.75" customHeight="1" outlineLevel="1" x14ac:dyDescent="0.25">
      <c r="B33" s="5" t="s">
        <v>66</v>
      </c>
      <c r="C33" s="5" t="s">
        <v>75</v>
      </c>
      <c r="E33" s="10"/>
      <c r="F33" s="5" t="s">
        <v>174</v>
      </c>
      <c r="G33" s="11">
        <v>0.15</v>
      </c>
      <c r="I33" s="10">
        <f t="shared" si="2"/>
        <v>12</v>
      </c>
      <c r="J33" s="13">
        <f t="array" ref="J33">MAX(IF($N$3:$EA$3=$J$3,N33:EA33))</f>
        <v>0</v>
      </c>
      <c r="K33" s="13">
        <f t="array" ref="K33">MAX(IF($N$3:$EA$3=$J$3,N33:EA33))</f>
        <v>0</v>
      </c>
      <c r="L33" s="10"/>
      <c r="O33" s="11"/>
      <c r="P33" s="14"/>
      <c r="Q33" s="11"/>
      <c r="R33" s="14"/>
      <c r="V33" s="11"/>
      <c r="W33" s="14"/>
      <c r="X33" s="11"/>
      <c r="Y33" s="14"/>
      <c r="AC33" s="11"/>
      <c r="AD33" s="14"/>
      <c r="AE33" s="11"/>
      <c r="AF33" s="14"/>
      <c r="AJ33" s="11"/>
      <c r="AK33" s="14"/>
      <c r="AL33" s="11"/>
      <c r="AM33" s="14"/>
      <c r="AQ33" s="11"/>
      <c r="AR33" s="14"/>
      <c r="AS33" s="11"/>
      <c r="AT33" s="14"/>
      <c r="AW33">
        <v>4</v>
      </c>
      <c r="AX33" s="11"/>
      <c r="AY33" s="14">
        <v>0.5</v>
      </c>
      <c r="AZ33" s="11"/>
      <c r="BA33" s="14">
        <v>0.5</v>
      </c>
      <c r="BE33" s="11"/>
      <c r="BF33" s="14">
        <v>0.5</v>
      </c>
      <c r="BG33" s="11"/>
      <c r="BH33" s="14">
        <v>0.5</v>
      </c>
      <c r="BL33" s="11"/>
      <c r="BM33" s="14">
        <v>0.5</v>
      </c>
      <c r="BN33" s="11"/>
      <c r="BO33" s="14">
        <v>0.5</v>
      </c>
      <c r="BS33" s="11"/>
      <c r="BT33" s="14">
        <v>0.5</v>
      </c>
      <c r="BU33" s="11"/>
      <c r="BV33" s="14">
        <v>0.5</v>
      </c>
      <c r="BY33">
        <v>4</v>
      </c>
      <c r="BZ33" s="11"/>
      <c r="CA33" s="14">
        <v>0.8</v>
      </c>
      <c r="CB33" s="11"/>
      <c r="CC33" s="14">
        <v>0.8</v>
      </c>
      <c r="CG33" s="11"/>
      <c r="CH33" s="14">
        <v>0.8</v>
      </c>
      <c r="CI33" s="11"/>
      <c r="CJ33" s="14">
        <v>0.8</v>
      </c>
      <c r="CM33">
        <v>4</v>
      </c>
      <c r="CN33" s="11"/>
      <c r="CO33" s="14">
        <v>1</v>
      </c>
      <c r="CP33" s="11"/>
      <c r="CQ33" s="14">
        <v>1</v>
      </c>
      <c r="CU33" s="11"/>
      <c r="CV33" s="14"/>
      <c r="CW33" s="11"/>
      <c r="CX33" s="14"/>
      <c r="DB33" s="11"/>
      <c r="DC33" s="14"/>
      <c r="DD33" s="11"/>
      <c r="DE33" s="14"/>
      <c r="DI33" s="11"/>
      <c r="DJ33" s="14"/>
      <c r="DK33" s="11"/>
      <c r="DL33" s="14"/>
      <c r="DP33" s="11"/>
      <c r="DQ33" s="14"/>
      <c r="DR33" s="11"/>
      <c r="DS33" s="14"/>
      <c r="DW33" s="11"/>
      <c r="DX33" s="14"/>
      <c r="DY33" s="11"/>
      <c r="DZ33" s="14"/>
    </row>
    <row r="34" spans="2:130" ht="15.75" customHeight="1" x14ac:dyDescent="0.25">
      <c r="P34" s="15"/>
      <c r="R34" s="15"/>
      <c r="W34" s="15"/>
      <c r="Y34" s="15"/>
      <c r="AD34" s="15"/>
      <c r="AF34" s="15"/>
      <c r="AK34" s="15"/>
      <c r="AM34" s="15"/>
      <c r="AR34" s="15"/>
      <c r="AT34" s="15"/>
      <c r="AY34" s="15"/>
      <c r="BA34" s="15"/>
      <c r="BF34" s="15"/>
      <c r="BH34" s="15"/>
      <c r="BM34" s="15"/>
      <c r="BO34" s="15"/>
      <c r="BT34" s="15"/>
      <c r="BV34" s="15"/>
      <c r="CA34" s="15"/>
      <c r="CC34" s="15"/>
      <c r="CH34" s="15"/>
      <c r="CJ34" s="15"/>
      <c r="CO34" s="15"/>
      <c r="CQ34" s="15"/>
      <c r="CV34" s="15"/>
      <c r="CX34" s="15"/>
      <c r="DC34" s="15"/>
      <c r="DE34" s="15"/>
      <c r="DJ34" s="15"/>
      <c r="DL34" s="15"/>
      <c r="DQ34" s="15"/>
      <c r="DS34" s="15"/>
      <c r="DX34" s="15"/>
      <c r="DZ34" s="15"/>
    </row>
    <row r="35" spans="2:130" ht="15.75" customHeight="1" x14ac:dyDescent="0.25">
      <c r="B35" s="5" t="s">
        <v>39</v>
      </c>
      <c r="C35" s="5" t="s">
        <v>82</v>
      </c>
      <c r="D35" s="26">
        <v>45328</v>
      </c>
      <c r="E35" s="10">
        <v>8</v>
      </c>
      <c r="G35" s="11">
        <f>+SUM(G36:G42)</f>
        <v>1</v>
      </c>
      <c r="I35" s="12">
        <f>+SUM(I36:I42)</f>
        <v>110.25</v>
      </c>
      <c r="J35" s="13">
        <f>+SUMPRODUCT(G36:G42,J36:J42)</f>
        <v>0</v>
      </c>
      <c r="K35" s="13">
        <f>+SUMPRODUCT(G36:G42,K36:K42)</f>
        <v>0</v>
      </c>
      <c r="L35" s="10"/>
      <c r="N35" s="12">
        <f>+SUM(N36:N42)</f>
        <v>10.5</v>
      </c>
      <c r="P35" s="15"/>
      <c r="R35" s="15"/>
      <c r="U35" s="12">
        <f>+SUM(U36:U42)</f>
        <v>10.5</v>
      </c>
      <c r="W35" s="15"/>
      <c r="Y35" s="15"/>
      <c r="AB35" s="12">
        <f>+SUM(AB36:AB42)</f>
        <v>10.5</v>
      </c>
      <c r="AD35" s="15"/>
      <c r="AF35" s="15"/>
      <c r="AI35" s="12">
        <f>+SUM(AI36:AI42)</f>
        <v>5.25</v>
      </c>
      <c r="AK35" s="15"/>
      <c r="AM35" s="15"/>
      <c r="AP35" s="12">
        <f>+SUM(AP36:AP42)</f>
        <v>10.5</v>
      </c>
      <c r="AR35" s="15"/>
      <c r="AT35" s="15"/>
      <c r="AW35" s="12">
        <f>+SUM(AW36:AW42)</f>
        <v>10.5</v>
      </c>
      <c r="AY35" s="15"/>
      <c r="BA35" s="15"/>
      <c r="BD35" s="12">
        <f>+SUM(BD36:BD42)</f>
        <v>10.5</v>
      </c>
      <c r="BF35" s="15"/>
      <c r="BH35" s="15"/>
      <c r="BK35" s="12">
        <f>+SUM(BK36:BK42)</f>
        <v>5.25</v>
      </c>
      <c r="BM35" s="15"/>
      <c r="BO35" s="15"/>
      <c r="BR35" s="12">
        <f>+SUM(BR36:BR42)</f>
        <v>10.5</v>
      </c>
      <c r="BT35" s="15"/>
      <c r="BV35" s="15"/>
      <c r="BY35" s="12">
        <f>+SUM(BY36:BY42)</f>
        <v>10.5</v>
      </c>
      <c r="CA35" s="15"/>
      <c r="CC35" s="15"/>
      <c r="CF35" s="12">
        <f>+SUM(CF36:CF42)</f>
        <v>10.5</v>
      </c>
      <c r="CH35" s="15"/>
      <c r="CJ35" s="15"/>
      <c r="CM35" s="12">
        <f>+SUM(CM36:CM42)</f>
        <v>5.25</v>
      </c>
      <c r="CO35" s="15"/>
      <c r="CQ35" s="15"/>
      <c r="CV35" s="15"/>
      <c r="CX35" s="15"/>
      <c r="DC35" s="15"/>
      <c r="DE35" s="15"/>
      <c r="DJ35" s="15"/>
      <c r="DL35" s="15"/>
      <c r="DQ35" s="15"/>
      <c r="DS35" s="15"/>
      <c r="DX35" s="15"/>
      <c r="DZ35" s="15"/>
    </row>
    <row r="36" spans="2:130" ht="15.75" customHeight="1" outlineLevel="1" x14ac:dyDescent="0.25">
      <c r="B36" s="5" t="s">
        <v>66</v>
      </c>
      <c r="C36" s="5" t="s">
        <v>82</v>
      </c>
      <c r="E36" s="10"/>
      <c r="F36" s="5" t="s">
        <v>83</v>
      </c>
      <c r="G36" s="11">
        <v>0.25</v>
      </c>
      <c r="I36" s="10">
        <f t="shared" ref="I36:I42" si="3">+SUMIF($N$3:$ZS$3,I$3,$N36:$ZS36)</f>
        <v>15.75</v>
      </c>
      <c r="J36" s="13">
        <f t="array" ref="J36">MAX(IF($N$3:$EA$3=$J$3,N36:EA36))</f>
        <v>0</v>
      </c>
      <c r="K36" s="13">
        <f t="array" ref="K36">MAX(IF($N$3:$EA$3=$J$3,N36:EA36))</f>
        <v>0</v>
      </c>
      <c r="L36" s="10"/>
      <c r="N36">
        <v>5.25</v>
      </c>
      <c r="O36" s="11"/>
      <c r="P36" s="14">
        <v>0.5</v>
      </c>
      <c r="Q36" s="11"/>
      <c r="R36" s="14">
        <v>0.5</v>
      </c>
      <c r="V36" s="11"/>
      <c r="W36" s="14">
        <v>0.5</v>
      </c>
      <c r="X36" s="11"/>
      <c r="Y36" s="14">
        <v>0.5</v>
      </c>
      <c r="AB36">
        <v>5.25</v>
      </c>
      <c r="AC36" s="11"/>
      <c r="AD36" s="14">
        <v>0.8</v>
      </c>
      <c r="AE36" s="11"/>
      <c r="AF36" s="14">
        <v>0.8</v>
      </c>
      <c r="AJ36" s="11"/>
      <c r="AK36" s="14">
        <v>0.8</v>
      </c>
      <c r="AL36" s="11"/>
      <c r="AM36" s="14">
        <v>0.8</v>
      </c>
      <c r="AQ36" s="11"/>
      <c r="AR36" s="14">
        <v>0.8</v>
      </c>
      <c r="AS36" s="11"/>
      <c r="AT36" s="14">
        <v>0.8</v>
      </c>
      <c r="AX36" s="11"/>
      <c r="AY36" s="14">
        <v>0.8</v>
      </c>
      <c r="AZ36" s="11"/>
      <c r="BA36" s="14">
        <v>0.8</v>
      </c>
      <c r="BD36">
        <v>5.25</v>
      </c>
      <c r="BE36" s="11"/>
      <c r="BF36" s="14">
        <v>1</v>
      </c>
      <c r="BG36" s="11"/>
      <c r="BH36" s="14">
        <v>1</v>
      </c>
      <c r="BL36" s="11"/>
      <c r="BM36" s="14">
        <v>1</v>
      </c>
      <c r="BN36" s="11"/>
      <c r="BO36" s="14">
        <v>1</v>
      </c>
      <c r="BS36" s="11"/>
      <c r="BT36" s="14">
        <v>1</v>
      </c>
      <c r="BU36" s="11"/>
      <c r="BV36" s="14">
        <v>1</v>
      </c>
      <c r="BZ36" s="11"/>
      <c r="CA36" s="14">
        <v>1</v>
      </c>
      <c r="CB36" s="11"/>
      <c r="CC36" s="14">
        <v>1</v>
      </c>
      <c r="CG36" s="11"/>
      <c r="CH36" s="14">
        <v>1</v>
      </c>
      <c r="CI36" s="11"/>
      <c r="CJ36" s="14">
        <v>1</v>
      </c>
      <c r="CN36" s="11"/>
      <c r="CO36" s="14">
        <v>1</v>
      </c>
      <c r="CP36" s="11"/>
      <c r="CQ36" s="14">
        <v>1</v>
      </c>
      <c r="CU36" s="11"/>
      <c r="CV36" s="14"/>
      <c r="CW36" s="11"/>
      <c r="CX36" s="14"/>
      <c r="DB36" s="11"/>
      <c r="DC36" s="14"/>
      <c r="DD36" s="11"/>
      <c r="DE36" s="14"/>
      <c r="DI36" s="11"/>
      <c r="DJ36" s="14"/>
      <c r="DK36" s="11"/>
      <c r="DL36" s="14"/>
      <c r="DP36" s="11"/>
      <c r="DQ36" s="14"/>
      <c r="DR36" s="11"/>
      <c r="DS36" s="14"/>
      <c r="DW36" s="11"/>
      <c r="DX36" s="14"/>
      <c r="DY36" s="11"/>
      <c r="DZ36" s="14"/>
    </row>
    <row r="37" spans="2:130" ht="15.75" customHeight="1" outlineLevel="1" x14ac:dyDescent="0.25">
      <c r="B37" s="5" t="s">
        <v>66</v>
      </c>
      <c r="C37" s="5" t="s">
        <v>82</v>
      </c>
      <c r="E37" s="10"/>
      <c r="F37" s="28" t="s">
        <v>137</v>
      </c>
      <c r="G37" s="11">
        <v>0.1</v>
      </c>
      <c r="I37" s="10">
        <f t="shared" si="3"/>
        <v>15.75</v>
      </c>
      <c r="J37" s="13">
        <f t="array" ref="J37">MAX(IF($N$3:$EA$3=$J$3,N37:EA37))</f>
        <v>0</v>
      </c>
      <c r="K37" s="13">
        <f t="array" ref="K37">MAX(IF($N$3:$EA$3=$J$3,N37:EA37))</f>
        <v>0</v>
      </c>
      <c r="L37" s="10"/>
      <c r="N37">
        <v>5.25</v>
      </c>
      <c r="O37" s="11"/>
      <c r="P37" s="14">
        <v>0.5</v>
      </c>
      <c r="Q37" s="11"/>
      <c r="R37" s="14">
        <v>0.5</v>
      </c>
      <c r="V37" s="11"/>
      <c r="W37" s="14">
        <v>0.5</v>
      </c>
      <c r="X37" s="11"/>
      <c r="Y37" s="14">
        <v>0.5</v>
      </c>
      <c r="AC37" s="11"/>
      <c r="AD37" s="14">
        <v>0.5</v>
      </c>
      <c r="AE37" s="11"/>
      <c r="AF37" s="14">
        <v>0.5</v>
      </c>
      <c r="AI37">
        <v>5.25</v>
      </c>
      <c r="AJ37" s="11"/>
      <c r="AK37" s="14">
        <v>0.8</v>
      </c>
      <c r="AL37" s="11"/>
      <c r="AM37" s="14">
        <v>0.8</v>
      </c>
      <c r="AQ37" s="11"/>
      <c r="AR37" s="14">
        <v>0.8</v>
      </c>
      <c r="AS37" s="11"/>
      <c r="AT37" s="14">
        <v>0.8</v>
      </c>
      <c r="AX37" s="11"/>
      <c r="AY37" s="14">
        <v>0.8</v>
      </c>
      <c r="AZ37" s="11"/>
      <c r="BA37" s="14">
        <v>0.8</v>
      </c>
      <c r="BE37" s="11"/>
      <c r="BF37" s="14">
        <v>0.8</v>
      </c>
      <c r="BG37" s="11"/>
      <c r="BH37" s="14">
        <v>0.8</v>
      </c>
      <c r="BK37">
        <v>5.25</v>
      </c>
      <c r="BL37" s="11"/>
      <c r="BM37" s="14">
        <v>1</v>
      </c>
      <c r="BN37" s="11"/>
      <c r="BO37" s="14">
        <v>1</v>
      </c>
      <c r="BS37" s="11"/>
      <c r="BT37" s="14">
        <v>1</v>
      </c>
      <c r="BU37" s="11"/>
      <c r="BV37" s="14">
        <v>1</v>
      </c>
      <c r="BZ37" s="11"/>
      <c r="CA37" s="14">
        <v>1</v>
      </c>
      <c r="CB37" s="11"/>
      <c r="CC37" s="14">
        <v>1</v>
      </c>
      <c r="CG37" s="11"/>
      <c r="CH37" s="14">
        <v>1</v>
      </c>
      <c r="CI37" s="11"/>
      <c r="CJ37" s="14">
        <v>1</v>
      </c>
      <c r="CN37" s="11"/>
      <c r="CO37" s="14">
        <v>1</v>
      </c>
      <c r="CP37" s="11"/>
      <c r="CQ37" s="14">
        <v>1</v>
      </c>
      <c r="CU37" s="11"/>
      <c r="CV37" s="14"/>
      <c r="CW37" s="11"/>
      <c r="CX37" s="14"/>
      <c r="DB37" s="11"/>
      <c r="DC37" s="14"/>
      <c r="DD37" s="11"/>
      <c r="DE37" s="14"/>
      <c r="DI37" s="11"/>
      <c r="DJ37" s="14"/>
      <c r="DK37" s="11"/>
      <c r="DL37" s="14"/>
      <c r="DP37" s="11"/>
      <c r="DQ37" s="14"/>
      <c r="DR37" s="11"/>
      <c r="DS37" s="14"/>
      <c r="DW37" s="11"/>
      <c r="DX37" s="14"/>
      <c r="DY37" s="11"/>
      <c r="DZ37" s="14"/>
    </row>
    <row r="38" spans="2:130" ht="15.75" customHeight="1" outlineLevel="1" x14ac:dyDescent="0.25">
      <c r="B38" s="5" t="s">
        <v>66</v>
      </c>
      <c r="C38" s="5" t="s">
        <v>82</v>
      </c>
      <c r="E38" s="10"/>
      <c r="F38" s="28" t="s">
        <v>138</v>
      </c>
      <c r="G38" s="11">
        <v>0.1</v>
      </c>
      <c r="I38" s="10">
        <f t="shared" si="3"/>
        <v>15.75</v>
      </c>
      <c r="J38" s="13">
        <f t="array" ref="J38">MAX(IF($N$3:$EA$3=$J$3,N38:EA38))</f>
        <v>0</v>
      </c>
      <c r="K38" s="13">
        <f t="array" ref="K38">MAX(IF($N$3:$EA$3=$J$3,N38:EA38))</f>
        <v>0</v>
      </c>
      <c r="L38" s="10"/>
      <c r="O38" s="11"/>
      <c r="P38" s="14"/>
      <c r="Q38" s="11"/>
      <c r="R38" s="14"/>
      <c r="U38">
        <v>5.25</v>
      </c>
      <c r="V38" s="11"/>
      <c r="W38" s="14">
        <v>0.5</v>
      </c>
      <c r="X38" s="11"/>
      <c r="Y38" s="14">
        <v>0.5</v>
      </c>
      <c r="AC38" s="11"/>
      <c r="AD38" s="14">
        <v>0.5</v>
      </c>
      <c r="AE38" s="11"/>
      <c r="AF38" s="14">
        <v>0.5</v>
      </c>
      <c r="AJ38" s="11"/>
      <c r="AK38" s="14">
        <v>0.5</v>
      </c>
      <c r="AL38" s="11"/>
      <c r="AM38" s="14">
        <v>0.5</v>
      </c>
      <c r="AP38">
        <v>5.25</v>
      </c>
      <c r="AQ38" s="11"/>
      <c r="AR38" s="14">
        <v>0.8</v>
      </c>
      <c r="AS38" s="11"/>
      <c r="AT38" s="14">
        <v>0.8</v>
      </c>
      <c r="AX38" s="11"/>
      <c r="AY38" s="14">
        <v>0.8</v>
      </c>
      <c r="AZ38" s="11"/>
      <c r="BA38" s="14">
        <v>0.8</v>
      </c>
      <c r="BE38" s="11"/>
      <c r="BF38" s="14">
        <v>0.8</v>
      </c>
      <c r="BG38" s="11"/>
      <c r="BH38" s="14">
        <v>0.8</v>
      </c>
      <c r="BL38" s="11"/>
      <c r="BM38" s="14">
        <v>0.8</v>
      </c>
      <c r="BN38" s="11"/>
      <c r="BO38" s="14">
        <v>0.8</v>
      </c>
      <c r="BR38">
        <v>5.25</v>
      </c>
      <c r="BS38" s="11"/>
      <c r="BT38" s="14">
        <v>1</v>
      </c>
      <c r="BU38" s="11"/>
      <c r="BV38" s="14">
        <v>1</v>
      </c>
      <c r="BZ38" s="11"/>
      <c r="CA38" s="14">
        <v>1</v>
      </c>
      <c r="CB38" s="11"/>
      <c r="CC38" s="14">
        <v>1</v>
      </c>
      <c r="CG38" s="11"/>
      <c r="CH38" s="14">
        <v>1</v>
      </c>
      <c r="CI38" s="11"/>
      <c r="CJ38" s="14">
        <v>1</v>
      </c>
      <c r="CN38" s="11"/>
      <c r="CO38" s="14">
        <v>1</v>
      </c>
      <c r="CP38" s="11"/>
      <c r="CQ38" s="14">
        <v>1</v>
      </c>
      <c r="CU38" s="11"/>
      <c r="CV38" s="14"/>
      <c r="CW38" s="11"/>
      <c r="CX38" s="14"/>
      <c r="DB38" s="11"/>
      <c r="DC38" s="14"/>
      <c r="DD38" s="11"/>
      <c r="DE38" s="14"/>
      <c r="DI38" s="11"/>
      <c r="DJ38" s="14"/>
      <c r="DK38" s="11"/>
      <c r="DL38" s="14"/>
      <c r="DP38" s="11"/>
      <c r="DQ38" s="14"/>
      <c r="DR38" s="11"/>
      <c r="DS38" s="14"/>
      <c r="DW38" s="11"/>
      <c r="DX38" s="14"/>
      <c r="DY38" s="11"/>
      <c r="DZ38" s="14"/>
    </row>
    <row r="39" spans="2:130" ht="15.75" customHeight="1" outlineLevel="1" x14ac:dyDescent="0.25">
      <c r="B39" s="5" t="s">
        <v>66</v>
      </c>
      <c r="C39" s="5" t="s">
        <v>82</v>
      </c>
      <c r="E39" s="10"/>
      <c r="F39" s="28" t="s">
        <v>139</v>
      </c>
      <c r="G39" s="11">
        <v>0.1</v>
      </c>
      <c r="I39" s="10">
        <f t="shared" si="3"/>
        <v>15.75</v>
      </c>
      <c r="J39" s="13">
        <f t="array" ref="J39">MAX(IF($N$3:$EA$3=$J$3,N39:EA39))</f>
        <v>0</v>
      </c>
      <c r="K39" s="13">
        <f t="array" ref="K39">MAX(IF($N$3:$EA$3=$J$3,N39:EA39))</f>
        <v>0</v>
      </c>
      <c r="L39" s="10"/>
      <c r="O39" s="11"/>
      <c r="P39" s="14"/>
      <c r="Q39" s="11"/>
      <c r="R39" s="14"/>
      <c r="U39">
        <v>5.25</v>
      </c>
      <c r="V39" s="11"/>
      <c r="W39" s="14">
        <v>0.5</v>
      </c>
      <c r="X39" s="11"/>
      <c r="Y39" s="14">
        <v>0.5</v>
      </c>
      <c r="AC39" s="11"/>
      <c r="AD39" s="14">
        <v>0.5</v>
      </c>
      <c r="AE39" s="11"/>
      <c r="AF39" s="14">
        <v>0.5</v>
      </c>
      <c r="AJ39" s="11"/>
      <c r="AK39" s="14">
        <v>0.5</v>
      </c>
      <c r="AL39" s="11"/>
      <c r="AM39" s="14">
        <v>0.5</v>
      </c>
      <c r="AQ39" s="11"/>
      <c r="AR39" s="14">
        <v>0.5</v>
      </c>
      <c r="AS39" s="11"/>
      <c r="AT39" s="14">
        <v>0.5</v>
      </c>
      <c r="AW39">
        <v>5.25</v>
      </c>
      <c r="AX39" s="11"/>
      <c r="AY39" s="14">
        <v>0.8</v>
      </c>
      <c r="AZ39" s="11"/>
      <c r="BA39" s="14">
        <v>0.8</v>
      </c>
      <c r="BE39" s="11"/>
      <c r="BF39" s="14">
        <v>0.8</v>
      </c>
      <c r="BG39" s="11"/>
      <c r="BH39" s="14">
        <v>0.8</v>
      </c>
      <c r="BL39" s="11"/>
      <c r="BM39" s="14">
        <v>0.8</v>
      </c>
      <c r="BN39" s="11"/>
      <c r="BO39" s="14">
        <v>0.8</v>
      </c>
      <c r="BS39" s="11"/>
      <c r="BT39" s="14">
        <v>0.8</v>
      </c>
      <c r="BU39" s="11"/>
      <c r="BV39" s="14">
        <v>0.8</v>
      </c>
      <c r="BY39">
        <v>5.25</v>
      </c>
      <c r="BZ39" s="11"/>
      <c r="CA39" s="14">
        <v>1</v>
      </c>
      <c r="CB39" s="11"/>
      <c r="CC39" s="14">
        <v>1</v>
      </c>
      <c r="CG39" s="11"/>
      <c r="CH39" s="14">
        <v>1</v>
      </c>
      <c r="CI39" s="11"/>
      <c r="CJ39" s="14">
        <v>1</v>
      </c>
      <c r="CN39" s="11"/>
      <c r="CO39" s="14">
        <v>1</v>
      </c>
      <c r="CP39" s="11"/>
      <c r="CQ39" s="14">
        <v>1</v>
      </c>
      <c r="CU39" s="11"/>
      <c r="CV39" s="14"/>
      <c r="CW39" s="11"/>
      <c r="CX39" s="14"/>
      <c r="DB39" s="11"/>
      <c r="DC39" s="14"/>
      <c r="DD39" s="11"/>
      <c r="DE39" s="14"/>
      <c r="DI39" s="11"/>
      <c r="DJ39" s="14"/>
      <c r="DK39" s="11"/>
      <c r="DL39" s="14"/>
      <c r="DP39" s="11"/>
      <c r="DQ39" s="14"/>
      <c r="DR39" s="11"/>
      <c r="DS39" s="14"/>
      <c r="DW39" s="11"/>
      <c r="DX39" s="14"/>
      <c r="DY39" s="11"/>
      <c r="DZ39" s="14"/>
    </row>
    <row r="40" spans="2:130" ht="15.75" customHeight="1" outlineLevel="1" x14ac:dyDescent="0.25">
      <c r="B40" s="5" t="s">
        <v>66</v>
      </c>
      <c r="C40" s="5" t="s">
        <v>82</v>
      </c>
      <c r="E40" s="10"/>
      <c r="F40" s="28" t="s">
        <v>140</v>
      </c>
      <c r="G40" s="11">
        <v>0.2</v>
      </c>
      <c r="I40" s="10">
        <f t="shared" si="3"/>
        <v>15.75</v>
      </c>
      <c r="J40" s="13">
        <f t="array" ref="J40">MAX(IF($N$3:$EA$3=$J$3,N40:EA40))</f>
        <v>0</v>
      </c>
      <c r="K40" s="13">
        <f t="array" ref="K40">MAX(IF($N$3:$EA$3=$J$3,N40:EA40))</f>
        <v>0</v>
      </c>
      <c r="L40" s="10"/>
      <c r="O40" s="11"/>
      <c r="P40" s="14"/>
      <c r="Q40" s="11"/>
      <c r="R40" s="14"/>
      <c r="V40" s="11"/>
      <c r="W40" s="14"/>
      <c r="X40" s="11"/>
      <c r="Y40" s="14"/>
      <c r="AB40">
        <v>5.25</v>
      </c>
      <c r="AC40" s="11"/>
      <c r="AD40" s="14">
        <v>0.5</v>
      </c>
      <c r="AE40" s="11"/>
      <c r="AF40" s="14">
        <v>0.5</v>
      </c>
      <c r="AJ40" s="11"/>
      <c r="AK40" s="14">
        <v>0.5</v>
      </c>
      <c r="AL40" s="11"/>
      <c r="AM40" s="14">
        <v>0.5</v>
      </c>
      <c r="AQ40" s="11"/>
      <c r="AR40" s="14">
        <v>0.5</v>
      </c>
      <c r="AS40" s="11"/>
      <c r="AT40" s="14">
        <v>0.5</v>
      </c>
      <c r="AX40" s="11"/>
      <c r="AY40" s="14">
        <v>0.5</v>
      </c>
      <c r="AZ40" s="11"/>
      <c r="BA40" s="14">
        <v>0.5</v>
      </c>
      <c r="BD40">
        <v>5.25</v>
      </c>
      <c r="BE40" s="11"/>
      <c r="BF40" s="14">
        <v>0.8</v>
      </c>
      <c r="BG40" s="11"/>
      <c r="BH40" s="14">
        <v>0.8</v>
      </c>
      <c r="BL40" s="11"/>
      <c r="BM40" s="14">
        <v>0.8</v>
      </c>
      <c r="BN40" s="11"/>
      <c r="BO40" s="14">
        <v>0.8</v>
      </c>
      <c r="BS40" s="11"/>
      <c r="BT40" s="14">
        <v>0.8</v>
      </c>
      <c r="BU40" s="11"/>
      <c r="BV40" s="14">
        <v>0.8</v>
      </c>
      <c r="BZ40" s="11"/>
      <c r="CA40" s="14">
        <v>0.8</v>
      </c>
      <c r="CB40" s="11"/>
      <c r="CC40" s="14">
        <v>0.8</v>
      </c>
      <c r="CF40">
        <v>5.25</v>
      </c>
      <c r="CG40" s="11"/>
      <c r="CH40" s="14">
        <v>1</v>
      </c>
      <c r="CI40" s="11"/>
      <c r="CJ40" s="14">
        <v>1</v>
      </c>
      <c r="CN40" s="11"/>
      <c r="CO40" s="14">
        <v>1</v>
      </c>
      <c r="CP40" s="11"/>
      <c r="CQ40" s="14">
        <v>1</v>
      </c>
      <c r="CU40" s="11"/>
      <c r="CV40" s="14"/>
      <c r="CW40" s="11"/>
      <c r="CX40" s="14"/>
      <c r="DB40" s="11"/>
      <c r="DC40" s="14"/>
      <c r="DD40" s="11"/>
      <c r="DE40" s="14"/>
      <c r="DI40" s="11"/>
      <c r="DJ40" s="14"/>
      <c r="DK40" s="11"/>
      <c r="DL40" s="14"/>
      <c r="DP40" s="11"/>
      <c r="DQ40" s="14"/>
      <c r="DR40" s="11"/>
      <c r="DS40" s="14"/>
      <c r="DW40" s="11"/>
      <c r="DX40" s="14"/>
      <c r="DY40" s="11"/>
      <c r="DZ40" s="14"/>
    </row>
    <row r="41" spans="2:130" ht="15.75" customHeight="1" outlineLevel="1" x14ac:dyDescent="0.25">
      <c r="B41" s="5" t="s">
        <v>66</v>
      </c>
      <c r="C41" s="5" t="s">
        <v>82</v>
      </c>
      <c r="E41" s="10"/>
      <c r="F41" s="28" t="s">
        <v>141</v>
      </c>
      <c r="G41" s="11">
        <v>0.15</v>
      </c>
      <c r="I41" s="10">
        <f t="shared" si="3"/>
        <v>15.75</v>
      </c>
      <c r="J41" s="13">
        <f t="array" ref="J41">MAX(IF($N$3:$EA$3=$J$3,N41:EA41))</f>
        <v>0</v>
      </c>
      <c r="K41" s="13">
        <f t="array" ref="K41">MAX(IF($N$3:$EA$3=$J$3,N41:EA41))</f>
        <v>0</v>
      </c>
      <c r="L41" s="10"/>
      <c r="O41" s="11"/>
      <c r="P41" s="14"/>
      <c r="Q41" s="11"/>
      <c r="R41" s="14"/>
      <c r="V41" s="11"/>
      <c r="W41" s="14"/>
      <c r="X41" s="11"/>
      <c r="Y41" s="14"/>
      <c r="AC41" s="11"/>
      <c r="AD41" s="14"/>
      <c r="AE41" s="11"/>
      <c r="AF41" s="14"/>
      <c r="AJ41" s="11"/>
      <c r="AK41" s="14"/>
      <c r="AL41" s="11"/>
      <c r="AM41" s="14"/>
      <c r="AP41">
        <v>5.25</v>
      </c>
      <c r="AQ41" s="11"/>
      <c r="AR41" s="14">
        <v>0.5</v>
      </c>
      <c r="AS41" s="11"/>
      <c r="AT41" s="14">
        <v>0.5</v>
      </c>
      <c r="AX41" s="11"/>
      <c r="AY41" s="14">
        <v>0.5</v>
      </c>
      <c r="AZ41" s="11"/>
      <c r="BA41" s="14">
        <v>0.5</v>
      </c>
      <c r="BE41" s="11"/>
      <c r="BF41" s="14">
        <v>0.5</v>
      </c>
      <c r="BG41" s="11"/>
      <c r="BH41" s="14">
        <v>0.5</v>
      </c>
      <c r="BL41" s="11"/>
      <c r="BM41" s="14">
        <v>0.5</v>
      </c>
      <c r="BN41" s="11"/>
      <c r="BO41" s="14">
        <v>0.5</v>
      </c>
      <c r="BR41">
        <v>5.25</v>
      </c>
      <c r="BS41" s="11"/>
      <c r="BT41" s="14">
        <v>0.8</v>
      </c>
      <c r="BU41" s="11"/>
      <c r="BV41" s="14">
        <v>0.8</v>
      </c>
      <c r="BZ41" s="11"/>
      <c r="CA41" s="14">
        <v>0.8</v>
      </c>
      <c r="CB41" s="11"/>
      <c r="CC41" s="14">
        <v>0.8</v>
      </c>
      <c r="CF41">
        <v>5.25</v>
      </c>
      <c r="CG41" s="11"/>
      <c r="CH41" s="14">
        <v>1</v>
      </c>
      <c r="CI41" s="11"/>
      <c r="CJ41" s="14">
        <v>1</v>
      </c>
      <c r="CN41" s="11"/>
      <c r="CO41" s="14">
        <v>1</v>
      </c>
      <c r="CP41" s="11"/>
      <c r="CQ41" s="14">
        <v>1</v>
      </c>
      <c r="CU41" s="11"/>
      <c r="CV41" s="14"/>
      <c r="CW41" s="11"/>
      <c r="CX41" s="14"/>
      <c r="DB41" s="11"/>
      <c r="DC41" s="14"/>
      <c r="DD41" s="11"/>
      <c r="DE41" s="14"/>
      <c r="DI41" s="11"/>
      <c r="DJ41" s="14"/>
      <c r="DK41" s="11"/>
      <c r="DL41" s="14"/>
      <c r="DP41" s="11"/>
      <c r="DQ41" s="14"/>
      <c r="DR41" s="11"/>
      <c r="DS41" s="14"/>
      <c r="DW41" s="11"/>
      <c r="DX41" s="14"/>
      <c r="DY41" s="11"/>
      <c r="DZ41" s="14"/>
    </row>
    <row r="42" spans="2:130" ht="15.75" customHeight="1" outlineLevel="1" x14ac:dyDescent="0.25">
      <c r="B42" s="5" t="s">
        <v>66</v>
      </c>
      <c r="C42" s="5" t="s">
        <v>82</v>
      </c>
      <c r="E42" s="10"/>
      <c r="F42" s="28" t="s">
        <v>142</v>
      </c>
      <c r="G42" s="11">
        <v>0.1</v>
      </c>
      <c r="I42" s="10">
        <f t="shared" si="3"/>
        <v>15.75</v>
      </c>
      <c r="J42" s="13">
        <f t="array" ref="J42">MAX(IF($N$3:$EA$3=$J$3,N42:EA42))</f>
        <v>0</v>
      </c>
      <c r="K42" s="13">
        <f t="array" ref="K42">MAX(IF($N$3:$EA$3=$J$3,N42:EA42))</f>
        <v>0</v>
      </c>
      <c r="L42" s="10"/>
      <c r="O42" s="11"/>
      <c r="P42" s="14"/>
      <c r="Q42" s="11"/>
      <c r="R42" s="14"/>
      <c r="V42" s="11"/>
      <c r="W42" s="14"/>
      <c r="X42" s="11"/>
      <c r="Y42" s="14"/>
      <c r="AC42" s="11"/>
      <c r="AD42" s="14"/>
      <c r="AE42" s="11"/>
      <c r="AF42" s="14"/>
      <c r="AJ42" s="11"/>
      <c r="AK42" s="14"/>
      <c r="AL42" s="11"/>
      <c r="AM42" s="14"/>
      <c r="AQ42" s="11"/>
      <c r="AR42" s="14"/>
      <c r="AS42" s="11"/>
      <c r="AT42" s="14"/>
      <c r="AW42">
        <v>5.25</v>
      </c>
      <c r="AX42" s="11"/>
      <c r="AY42" s="14">
        <v>0.5</v>
      </c>
      <c r="AZ42" s="11"/>
      <c r="BA42" s="14">
        <v>0.5</v>
      </c>
      <c r="BE42" s="11"/>
      <c r="BF42" s="14">
        <v>0.5</v>
      </c>
      <c r="BG42" s="11"/>
      <c r="BH42" s="14">
        <v>0.5</v>
      </c>
      <c r="BL42" s="11"/>
      <c r="BM42" s="14">
        <v>0.5</v>
      </c>
      <c r="BN42" s="11"/>
      <c r="BO42" s="14">
        <v>0.5</v>
      </c>
      <c r="BS42" s="11"/>
      <c r="BT42" s="14">
        <v>0.5</v>
      </c>
      <c r="BU42" s="11"/>
      <c r="BV42" s="14">
        <v>0.5</v>
      </c>
      <c r="BY42">
        <v>5.25</v>
      </c>
      <c r="BZ42" s="11"/>
      <c r="CA42" s="14">
        <v>0.8</v>
      </c>
      <c r="CB42" s="11"/>
      <c r="CC42" s="14">
        <v>0.8</v>
      </c>
      <c r="CG42" s="11"/>
      <c r="CH42" s="14">
        <v>0.8</v>
      </c>
      <c r="CI42" s="11"/>
      <c r="CJ42" s="14">
        <v>0.8</v>
      </c>
      <c r="CM42">
        <v>5.25</v>
      </c>
      <c r="CN42" s="11"/>
      <c r="CO42" s="14">
        <v>1</v>
      </c>
      <c r="CP42" s="11"/>
      <c r="CQ42" s="14">
        <v>1</v>
      </c>
      <c r="CU42" s="11"/>
      <c r="CV42" s="14"/>
      <c r="CW42" s="11"/>
      <c r="CX42" s="14"/>
      <c r="DB42" s="11"/>
      <c r="DC42" s="14"/>
      <c r="DD42" s="11"/>
      <c r="DE42" s="14"/>
      <c r="DI42" s="11"/>
      <c r="DJ42" s="14"/>
      <c r="DK42" s="11"/>
      <c r="DL42" s="14"/>
      <c r="DP42" s="11"/>
      <c r="DQ42" s="14"/>
      <c r="DR42" s="11"/>
      <c r="DS42" s="14"/>
      <c r="DW42" s="11"/>
      <c r="DX42" s="14"/>
      <c r="DY42" s="11"/>
      <c r="DZ42" s="14"/>
    </row>
    <row r="43" spans="2:130" ht="15.75" customHeight="1" x14ac:dyDescent="0.25">
      <c r="P43" s="15"/>
      <c r="R43" s="15"/>
      <c r="W43" s="15"/>
      <c r="Y43" s="15"/>
      <c r="AD43" s="15"/>
      <c r="AF43" s="15"/>
      <c r="AK43" s="15"/>
      <c r="AM43" s="15"/>
      <c r="AR43" s="15"/>
      <c r="AT43" s="15"/>
      <c r="AY43" s="15"/>
      <c r="BA43" s="15"/>
      <c r="BF43" s="15"/>
      <c r="BH43" s="15"/>
      <c r="BM43" s="15"/>
      <c r="BO43" s="15"/>
      <c r="BT43" s="15"/>
      <c r="BV43" s="15"/>
      <c r="CA43" s="15"/>
      <c r="CC43" s="15"/>
      <c r="CH43" s="15"/>
      <c r="CJ43" s="15"/>
      <c r="CO43" s="15"/>
      <c r="CQ43" s="15"/>
      <c r="CV43" s="15"/>
      <c r="CX43" s="15"/>
      <c r="DC43" s="15"/>
      <c r="DE43" s="15"/>
      <c r="DJ43" s="15"/>
      <c r="DL43" s="15"/>
      <c r="DQ43" s="15"/>
      <c r="DS43" s="15"/>
      <c r="DX43" s="15"/>
      <c r="DZ43" s="15"/>
    </row>
    <row r="44" spans="2:130" ht="15.75" customHeight="1" x14ac:dyDescent="0.25">
      <c r="B44" s="5" t="s">
        <v>39</v>
      </c>
      <c r="C44" s="5" t="s">
        <v>84</v>
      </c>
      <c r="D44" s="26">
        <v>45322</v>
      </c>
      <c r="E44" s="10">
        <v>4</v>
      </c>
      <c r="G44" s="11">
        <f>+SUM(G45:G54)</f>
        <v>1</v>
      </c>
      <c r="I44" s="12">
        <f>+SUM(I45:I54)</f>
        <v>60</v>
      </c>
      <c r="J44" s="13">
        <f>+SUMPRODUCT(G45:G54,J45:J54)</f>
        <v>0</v>
      </c>
      <c r="K44" s="13">
        <f>+SUMPRODUCT(G45:G54,K45:K54)</f>
        <v>0</v>
      </c>
      <c r="L44" s="10"/>
      <c r="N44" s="12">
        <f>+SUM(N45:N54)</f>
        <v>6</v>
      </c>
      <c r="P44" s="15"/>
      <c r="R44" s="15"/>
      <c r="U44" s="12">
        <f>+SUM(U45:U54)</f>
        <v>6</v>
      </c>
      <c r="W44" s="15"/>
      <c r="Y44" s="15"/>
      <c r="AB44" s="12">
        <f>+SUM(AB45:AB54)</f>
        <v>6</v>
      </c>
      <c r="AD44" s="15"/>
      <c r="AF44" s="15"/>
      <c r="AI44" s="12">
        <f>+SUM(AI45:AI54)</f>
        <v>4</v>
      </c>
      <c r="AK44" s="15"/>
      <c r="AM44" s="15"/>
      <c r="AP44" s="12">
        <f>+SUM(AP45:AP54)</f>
        <v>6</v>
      </c>
      <c r="AR44" s="15"/>
      <c r="AT44" s="15"/>
      <c r="AW44" s="12">
        <f>+SUM(AW45:AW54)</f>
        <v>6</v>
      </c>
      <c r="AY44" s="15"/>
      <c r="BA44" s="15"/>
      <c r="BD44" s="12">
        <f>+SUM(BD45:BD54)</f>
        <v>6</v>
      </c>
      <c r="BF44" s="15"/>
      <c r="BH44" s="15"/>
      <c r="BK44" s="12">
        <f>+SUM(BK45:BK54)</f>
        <v>4</v>
      </c>
      <c r="BM44" s="15"/>
      <c r="BO44" s="15"/>
      <c r="BR44" s="12">
        <f>+SUM(BR45:BR54)</f>
        <v>6</v>
      </c>
      <c r="BT44" s="15"/>
      <c r="BV44" s="15"/>
      <c r="BY44" s="12">
        <f>+SUM(BY45:BY54)</f>
        <v>6</v>
      </c>
      <c r="CA44" s="15"/>
      <c r="CC44" s="15"/>
      <c r="CF44" s="12">
        <f>+SUM(CF45:CF54)</f>
        <v>4</v>
      </c>
      <c r="CH44" s="15"/>
      <c r="CJ44" s="15"/>
      <c r="CO44" s="15"/>
      <c r="CQ44" s="15"/>
      <c r="CV44" s="15"/>
      <c r="CX44" s="15"/>
      <c r="DC44" s="15"/>
      <c r="DE44" s="15"/>
      <c r="DJ44" s="15"/>
      <c r="DL44" s="15"/>
      <c r="DQ44" s="15"/>
      <c r="DS44" s="15"/>
      <c r="DX44" s="15"/>
      <c r="DZ44" s="15"/>
    </row>
    <row r="45" spans="2:130" ht="15.75" customHeight="1" outlineLevel="1" x14ac:dyDescent="0.25">
      <c r="B45" s="5" t="s">
        <v>66</v>
      </c>
      <c r="C45" s="5" t="s">
        <v>84</v>
      </c>
      <c r="E45" s="10"/>
      <c r="F45" s="5" t="s">
        <v>164</v>
      </c>
      <c r="G45" s="11">
        <v>0.15</v>
      </c>
      <c r="I45" s="10">
        <f t="shared" ref="I45:I54" si="4">+SUMIF($N$3:$ZS$3,I$3,$N45:$ZS45)</f>
        <v>6</v>
      </c>
      <c r="J45" s="13">
        <f t="array" ref="J45">MAX(IF($N$3:$EA$3=$J$3,N45:EA45))</f>
        <v>0</v>
      </c>
      <c r="K45" s="13">
        <f t="array" ref="K45">MAX(IF($N$3:$EA$3=$J$3,N45:EA45))</f>
        <v>0</v>
      </c>
      <c r="L45" s="10"/>
      <c r="N45">
        <v>2</v>
      </c>
      <c r="O45" s="11"/>
      <c r="P45" s="14">
        <v>0.5</v>
      </c>
      <c r="Q45" s="11"/>
      <c r="R45" s="14">
        <v>0.5</v>
      </c>
      <c r="U45">
        <v>2</v>
      </c>
      <c r="V45" s="11"/>
      <c r="W45" s="14">
        <v>0.8</v>
      </c>
      <c r="X45" s="11"/>
      <c r="Y45" s="14">
        <v>0.8</v>
      </c>
      <c r="AC45" s="11"/>
      <c r="AD45" s="14">
        <v>0.8</v>
      </c>
      <c r="AE45" s="11"/>
      <c r="AF45" s="14">
        <v>0.8</v>
      </c>
      <c r="AJ45" s="11"/>
      <c r="AK45" s="14">
        <v>0.8</v>
      </c>
      <c r="AL45" s="11"/>
      <c r="AM45" s="14">
        <v>0.8</v>
      </c>
      <c r="AQ45" s="11"/>
      <c r="AR45" s="14">
        <v>0.8</v>
      </c>
      <c r="AS45" s="11"/>
      <c r="AT45" s="14">
        <v>0.8</v>
      </c>
      <c r="AW45">
        <v>2</v>
      </c>
      <c r="AX45" s="11"/>
      <c r="AY45" s="14">
        <v>1</v>
      </c>
      <c r="AZ45" s="11"/>
      <c r="BA45" s="14">
        <v>1</v>
      </c>
      <c r="BE45" s="11"/>
      <c r="BF45" s="14">
        <v>1</v>
      </c>
      <c r="BG45" s="11"/>
      <c r="BH45" s="14">
        <v>1</v>
      </c>
      <c r="BL45" s="11"/>
      <c r="BM45" s="14">
        <v>1</v>
      </c>
      <c r="BN45" s="11"/>
      <c r="BO45" s="14">
        <v>1</v>
      </c>
      <c r="BS45" s="11"/>
      <c r="BT45" s="14">
        <v>1</v>
      </c>
      <c r="BU45" s="11"/>
      <c r="BV45" s="14">
        <v>1</v>
      </c>
      <c r="BZ45" s="11"/>
      <c r="CA45" s="14">
        <v>1</v>
      </c>
      <c r="CB45" s="11"/>
      <c r="CC45" s="14">
        <v>1</v>
      </c>
      <c r="CG45" s="11"/>
      <c r="CH45" s="14">
        <v>1</v>
      </c>
      <c r="CI45" s="11"/>
      <c r="CJ45" s="14">
        <v>1</v>
      </c>
      <c r="CN45" s="11"/>
      <c r="CO45" s="14"/>
      <c r="CP45" s="11"/>
      <c r="CQ45" s="14"/>
      <c r="CU45" s="11"/>
      <c r="CV45" s="14"/>
      <c r="CW45" s="11"/>
      <c r="CX45" s="14"/>
      <c r="DB45" s="11"/>
      <c r="DC45" s="14"/>
      <c r="DD45" s="11"/>
      <c r="DE45" s="14"/>
      <c r="DI45" s="11"/>
      <c r="DJ45" s="14"/>
      <c r="DK45" s="11"/>
      <c r="DL45" s="14"/>
      <c r="DP45" s="11"/>
      <c r="DQ45" s="14"/>
      <c r="DR45" s="11"/>
      <c r="DS45" s="14"/>
      <c r="DW45" s="11"/>
      <c r="DX45" s="14"/>
      <c r="DY45" s="11"/>
      <c r="DZ45" s="14"/>
    </row>
    <row r="46" spans="2:130" ht="15.75" customHeight="1" outlineLevel="1" x14ac:dyDescent="0.25">
      <c r="B46" s="5" t="s">
        <v>66</v>
      </c>
      <c r="C46" s="5" t="s">
        <v>84</v>
      </c>
      <c r="E46" s="10"/>
      <c r="F46" s="5" t="s">
        <v>165</v>
      </c>
      <c r="G46" s="11">
        <v>0.1</v>
      </c>
      <c r="I46" s="10">
        <f t="shared" si="4"/>
        <v>6</v>
      </c>
      <c r="J46" s="13">
        <f t="array" ref="J46">MAX(IF($N$3:$EA$3=$J$3,N46:EA46))</f>
        <v>0</v>
      </c>
      <c r="K46" s="13">
        <f t="array" ref="K46">MAX(IF($N$3:$EA$3=$J$3,N46:EA46))</f>
        <v>0</v>
      </c>
      <c r="L46" s="10"/>
      <c r="N46">
        <v>2</v>
      </c>
      <c r="O46" s="11"/>
      <c r="P46" s="14">
        <v>0.5</v>
      </c>
      <c r="Q46" s="11"/>
      <c r="R46" s="14">
        <v>0.5</v>
      </c>
      <c r="V46" s="11"/>
      <c r="W46" s="14">
        <v>0.5</v>
      </c>
      <c r="X46" s="11"/>
      <c r="Y46" s="14">
        <v>0.5</v>
      </c>
      <c r="AB46">
        <v>2</v>
      </c>
      <c r="AC46" s="11"/>
      <c r="AD46" s="14">
        <v>0.8</v>
      </c>
      <c r="AE46" s="11"/>
      <c r="AF46" s="14">
        <v>0.8</v>
      </c>
      <c r="AJ46" s="11"/>
      <c r="AK46" s="14">
        <v>0.8</v>
      </c>
      <c r="AL46" s="11"/>
      <c r="AM46" s="14">
        <v>0.8</v>
      </c>
      <c r="AQ46" s="11"/>
      <c r="AR46" s="14">
        <v>0.8</v>
      </c>
      <c r="AS46" s="11"/>
      <c r="AT46" s="14">
        <v>0.8</v>
      </c>
      <c r="AX46" s="11"/>
      <c r="AY46" s="14">
        <v>0.8</v>
      </c>
      <c r="AZ46" s="11"/>
      <c r="BA46" s="14">
        <v>0.8</v>
      </c>
      <c r="BD46">
        <v>2</v>
      </c>
      <c r="BE46" s="11"/>
      <c r="BF46" s="14">
        <v>1</v>
      </c>
      <c r="BG46" s="11"/>
      <c r="BH46" s="14">
        <v>1</v>
      </c>
      <c r="BL46" s="11"/>
      <c r="BM46" s="14">
        <v>1</v>
      </c>
      <c r="BN46" s="11"/>
      <c r="BO46" s="14">
        <v>1</v>
      </c>
      <c r="BS46" s="11"/>
      <c r="BT46" s="14">
        <v>1</v>
      </c>
      <c r="BU46" s="11"/>
      <c r="BV46" s="14">
        <v>1</v>
      </c>
      <c r="BZ46" s="11"/>
      <c r="CA46" s="14">
        <v>1</v>
      </c>
      <c r="CB46" s="11"/>
      <c r="CC46" s="14">
        <v>1</v>
      </c>
      <c r="CG46" s="11"/>
      <c r="CH46" s="14">
        <v>1</v>
      </c>
      <c r="CI46" s="11"/>
      <c r="CJ46" s="14">
        <v>1</v>
      </c>
      <c r="CN46" s="11"/>
      <c r="CO46" s="14"/>
      <c r="CP46" s="11"/>
      <c r="CQ46" s="14"/>
      <c r="CU46" s="11"/>
      <c r="CV46" s="14"/>
      <c r="CW46" s="11"/>
      <c r="CX46" s="14"/>
      <c r="DB46" s="11"/>
      <c r="DC46" s="14"/>
      <c r="DD46" s="11"/>
      <c r="DE46" s="14"/>
      <c r="DI46" s="11"/>
      <c r="DJ46" s="14"/>
      <c r="DK46" s="11"/>
      <c r="DL46" s="14"/>
      <c r="DP46" s="11"/>
      <c r="DQ46" s="14"/>
      <c r="DR46" s="11"/>
      <c r="DS46" s="14"/>
      <c r="DW46" s="11"/>
      <c r="DX46" s="14"/>
      <c r="DY46" s="11"/>
      <c r="DZ46" s="14"/>
    </row>
    <row r="47" spans="2:130" ht="15.75" customHeight="1" outlineLevel="1" x14ac:dyDescent="0.25">
      <c r="B47" s="5" t="s">
        <v>66</v>
      </c>
      <c r="C47" s="5" t="s">
        <v>84</v>
      </c>
      <c r="E47" s="10"/>
      <c r="F47" s="5" t="s">
        <v>166</v>
      </c>
      <c r="G47" s="11">
        <v>0.1</v>
      </c>
      <c r="I47" s="10">
        <f t="shared" si="4"/>
        <v>6</v>
      </c>
      <c r="J47" s="13">
        <f t="array" ref="J47">MAX(IF($N$3:$EA$3=$J$3,N47:EA47))</f>
        <v>0</v>
      </c>
      <c r="K47" s="13">
        <f t="array" ref="K47">MAX(IF($N$3:$EA$3=$J$3,N47:EA47))</f>
        <v>0</v>
      </c>
      <c r="L47" s="10"/>
      <c r="N47">
        <v>2</v>
      </c>
      <c r="O47" s="11"/>
      <c r="P47" s="14">
        <v>0.5</v>
      </c>
      <c r="Q47" s="11"/>
      <c r="R47" s="14">
        <v>0.5</v>
      </c>
      <c r="V47" s="11"/>
      <c r="W47" s="14">
        <v>0.5</v>
      </c>
      <c r="X47" s="11"/>
      <c r="Y47" s="14">
        <v>0.5</v>
      </c>
      <c r="AC47" s="11"/>
      <c r="AD47" s="14">
        <v>0.5</v>
      </c>
      <c r="AE47" s="11"/>
      <c r="AF47" s="14">
        <v>0.5</v>
      </c>
      <c r="AI47">
        <v>2</v>
      </c>
      <c r="AJ47" s="11"/>
      <c r="AK47" s="14">
        <v>0.8</v>
      </c>
      <c r="AL47" s="11"/>
      <c r="AM47" s="14">
        <v>0.8</v>
      </c>
      <c r="AQ47" s="11"/>
      <c r="AR47" s="14">
        <v>0.8</v>
      </c>
      <c r="AS47" s="11"/>
      <c r="AT47" s="14">
        <v>0.8</v>
      </c>
      <c r="AX47" s="11"/>
      <c r="AY47" s="14">
        <v>0.8</v>
      </c>
      <c r="AZ47" s="11"/>
      <c r="BA47" s="14">
        <v>0.8</v>
      </c>
      <c r="BE47" s="11"/>
      <c r="BF47" s="14">
        <v>0.8</v>
      </c>
      <c r="BG47" s="11"/>
      <c r="BH47" s="14">
        <v>0.8</v>
      </c>
      <c r="BK47">
        <v>2</v>
      </c>
      <c r="BL47" s="11"/>
      <c r="BM47" s="14">
        <v>1</v>
      </c>
      <c r="BN47" s="11"/>
      <c r="BO47" s="14">
        <v>1</v>
      </c>
      <c r="BS47" s="11"/>
      <c r="BT47" s="14">
        <v>1</v>
      </c>
      <c r="BU47" s="11"/>
      <c r="BV47" s="14">
        <v>1</v>
      </c>
      <c r="BZ47" s="11"/>
      <c r="CA47" s="14">
        <v>1</v>
      </c>
      <c r="CB47" s="11"/>
      <c r="CC47" s="14">
        <v>1</v>
      </c>
      <c r="CG47" s="11"/>
      <c r="CH47" s="14">
        <v>1</v>
      </c>
      <c r="CI47" s="11"/>
      <c r="CJ47" s="14">
        <v>1</v>
      </c>
      <c r="CN47" s="11"/>
      <c r="CO47" s="14"/>
      <c r="CP47" s="11"/>
      <c r="CQ47" s="14"/>
      <c r="CU47" s="11"/>
      <c r="CV47" s="14"/>
      <c r="CW47" s="11"/>
      <c r="CX47" s="14"/>
      <c r="DB47" s="11"/>
      <c r="DC47" s="14"/>
      <c r="DD47" s="11"/>
      <c r="DE47" s="14"/>
      <c r="DI47" s="11"/>
      <c r="DJ47" s="14"/>
      <c r="DK47" s="11"/>
      <c r="DL47" s="14"/>
      <c r="DP47" s="11"/>
      <c r="DQ47" s="14"/>
      <c r="DR47" s="11"/>
      <c r="DS47" s="14"/>
      <c r="DW47" s="11"/>
      <c r="DX47" s="14"/>
      <c r="DY47" s="11"/>
      <c r="DZ47" s="14"/>
    </row>
    <row r="48" spans="2:130" ht="15.75" customHeight="1" outlineLevel="1" x14ac:dyDescent="0.25">
      <c r="B48" s="5" t="s">
        <v>66</v>
      </c>
      <c r="C48" s="5" t="s">
        <v>84</v>
      </c>
      <c r="E48" s="10"/>
      <c r="F48" s="5" t="s">
        <v>167</v>
      </c>
      <c r="G48" s="11">
        <v>0.15</v>
      </c>
      <c r="I48" s="10">
        <f t="shared" si="4"/>
        <v>6</v>
      </c>
      <c r="J48" s="13">
        <f t="array" ref="J48">MAX(IF($N$3:$EA$3=$J$3,N48:EA48))</f>
        <v>0</v>
      </c>
      <c r="K48" s="13">
        <f t="array" ref="K48">MAX(IF($N$3:$EA$3=$J$3,N48:EA48))</f>
        <v>0</v>
      </c>
      <c r="L48" s="10"/>
      <c r="O48" s="11"/>
      <c r="P48" s="14"/>
      <c r="Q48" s="11"/>
      <c r="R48" s="14"/>
      <c r="U48">
        <v>2</v>
      </c>
      <c r="V48" s="11"/>
      <c r="W48" s="14">
        <v>0.5</v>
      </c>
      <c r="X48" s="11"/>
      <c r="Y48" s="14">
        <v>0.5</v>
      </c>
      <c r="AC48" s="11"/>
      <c r="AD48" s="14">
        <v>0.5</v>
      </c>
      <c r="AE48" s="11"/>
      <c r="AF48" s="14">
        <v>0.5</v>
      </c>
      <c r="AJ48" s="11"/>
      <c r="AK48" s="14">
        <v>0.5</v>
      </c>
      <c r="AL48" s="11"/>
      <c r="AM48" s="14">
        <v>0.5</v>
      </c>
      <c r="AP48">
        <v>2</v>
      </c>
      <c r="AQ48" s="11"/>
      <c r="AR48" s="14">
        <v>0.8</v>
      </c>
      <c r="AS48" s="11"/>
      <c r="AT48" s="14">
        <v>0.8</v>
      </c>
      <c r="AX48" s="11"/>
      <c r="AY48" s="14">
        <v>0.8</v>
      </c>
      <c r="AZ48" s="11"/>
      <c r="BA48" s="14">
        <v>0.8</v>
      </c>
      <c r="BE48" s="11"/>
      <c r="BF48" s="14">
        <v>0.8</v>
      </c>
      <c r="BG48" s="11"/>
      <c r="BH48" s="14">
        <v>0.8</v>
      </c>
      <c r="BL48" s="11"/>
      <c r="BM48" s="14">
        <v>0.8</v>
      </c>
      <c r="BN48" s="11"/>
      <c r="BO48" s="14">
        <v>0.8</v>
      </c>
      <c r="BR48">
        <v>2</v>
      </c>
      <c r="BS48" s="11"/>
      <c r="BT48" s="14">
        <v>1</v>
      </c>
      <c r="BU48" s="11"/>
      <c r="BV48" s="14">
        <v>1</v>
      </c>
      <c r="BZ48" s="11"/>
      <c r="CA48" s="14">
        <v>1</v>
      </c>
      <c r="CB48" s="11"/>
      <c r="CC48" s="14">
        <v>1</v>
      </c>
      <c r="CG48" s="11"/>
      <c r="CH48" s="14">
        <v>1</v>
      </c>
      <c r="CI48" s="11"/>
      <c r="CJ48" s="14">
        <v>1</v>
      </c>
      <c r="CN48" s="11"/>
      <c r="CO48" s="14"/>
      <c r="CP48" s="11"/>
      <c r="CQ48" s="14"/>
      <c r="CU48" s="11"/>
      <c r="CV48" s="14"/>
      <c r="CW48" s="11"/>
      <c r="CX48" s="14"/>
      <c r="DB48" s="11"/>
      <c r="DC48" s="14"/>
      <c r="DD48" s="11"/>
      <c r="DE48" s="14"/>
      <c r="DI48" s="11"/>
      <c r="DJ48" s="14"/>
      <c r="DK48" s="11"/>
      <c r="DL48" s="14"/>
      <c r="DP48" s="11"/>
      <c r="DQ48" s="14"/>
      <c r="DR48" s="11"/>
      <c r="DS48" s="14"/>
      <c r="DW48" s="11"/>
      <c r="DX48" s="14"/>
      <c r="DY48" s="11"/>
      <c r="DZ48" s="14"/>
    </row>
    <row r="49" spans="2:130" ht="15.75" customHeight="1" outlineLevel="1" x14ac:dyDescent="0.25">
      <c r="B49" s="5" t="s">
        <v>66</v>
      </c>
      <c r="C49" s="5" t="s">
        <v>84</v>
      </c>
      <c r="E49" s="10"/>
      <c r="F49" s="5" t="s">
        <v>168</v>
      </c>
      <c r="G49" s="11">
        <v>0.1</v>
      </c>
      <c r="I49" s="10">
        <f t="shared" si="4"/>
        <v>6</v>
      </c>
      <c r="J49" s="13">
        <f t="array" ref="J49">MAX(IF($N$3:$EA$3=$J$3,N49:EA49))</f>
        <v>0</v>
      </c>
      <c r="K49" s="13">
        <f t="array" ref="K49">MAX(IF($N$3:$EA$3=$J$3,N49:EA49))</f>
        <v>0</v>
      </c>
      <c r="L49" s="10"/>
      <c r="O49" s="11"/>
      <c r="P49" s="14"/>
      <c r="Q49" s="11"/>
      <c r="R49" s="14"/>
      <c r="U49">
        <v>2</v>
      </c>
      <c r="V49" s="11"/>
      <c r="W49" s="14">
        <v>0.5</v>
      </c>
      <c r="X49" s="11"/>
      <c r="Y49" s="14">
        <v>0.5</v>
      </c>
      <c r="AC49" s="11"/>
      <c r="AD49" s="14">
        <v>0.5</v>
      </c>
      <c r="AE49" s="11"/>
      <c r="AF49" s="14">
        <v>0.5</v>
      </c>
      <c r="AJ49" s="11"/>
      <c r="AK49" s="14">
        <v>0.5</v>
      </c>
      <c r="AL49" s="11"/>
      <c r="AM49" s="14">
        <v>0.5</v>
      </c>
      <c r="AP49">
        <v>2</v>
      </c>
      <c r="AQ49" s="11"/>
      <c r="AR49" s="14">
        <v>0.8</v>
      </c>
      <c r="AS49" s="11"/>
      <c r="AT49" s="14">
        <v>0.8</v>
      </c>
      <c r="AX49" s="11"/>
      <c r="AY49" s="14">
        <v>0.8</v>
      </c>
      <c r="AZ49" s="11"/>
      <c r="BA49" s="14">
        <v>0.8</v>
      </c>
      <c r="BE49" s="11"/>
      <c r="BF49" s="14">
        <v>0.8</v>
      </c>
      <c r="BG49" s="11"/>
      <c r="BH49" s="14">
        <v>0.8</v>
      </c>
      <c r="BL49" s="11"/>
      <c r="BM49" s="14">
        <v>0.8</v>
      </c>
      <c r="BN49" s="11"/>
      <c r="BO49" s="14">
        <v>0.8</v>
      </c>
      <c r="BR49">
        <v>2</v>
      </c>
      <c r="BS49" s="11"/>
      <c r="BT49" s="14">
        <v>1</v>
      </c>
      <c r="BU49" s="11"/>
      <c r="BV49" s="14">
        <v>1</v>
      </c>
      <c r="BZ49" s="11"/>
      <c r="CA49" s="14">
        <v>1</v>
      </c>
      <c r="CB49" s="11"/>
      <c r="CC49" s="14">
        <v>1</v>
      </c>
      <c r="CG49" s="11"/>
      <c r="CH49" s="14">
        <v>1</v>
      </c>
      <c r="CI49" s="11"/>
      <c r="CJ49" s="14">
        <v>1</v>
      </c>
      <c r="CN49" s="11"/>
      <c r="CO49" s="14"/>
      <c r="CP49" s="11"/>
      <c r="CQ49" s="14"/>
      <c r="CU49" s="11"/>
      <c r="CV49" s="14"/>
      <c r="CW49" s="11"/>
      <c r="CX49" s="14"/>
      <c r="DB49" s="11"/>
      <c r="DC49" s="14"/>
      <c r="DD49" s="11"/>
      <c r="DE49" s="14"/>
      <c r="DI49" s="11"/>
      <c r="DJ49" s="14"/>
      <c r="DK49" s="11"/>
      <c r="DL49" s="14"/>
      <c r="DP49" s="11"/>
      <c r="DQ49" s="14"/>
      <c r="DR49" s="11"/>
      <c r="DS49" s="14"/>
      <c r="DW49" s="11"/>
      <c r="DX49" s="14"/>
      <c r="DY49" s="11"/>
      <c r="DZ49" s="14"/>
    </row>
    <row r="50" spans="2:130" ht="15.75" customHeight="1" outlineLevel="1" x14ac:dyDescent="0.25">
      <c r="B50" s="5" t="s">
        <v>66</v>
      </c>
      <c r="C50" s="5" t="s">
        <v>84</v>
      </c>
      <c r="E50" s="10"/>
      <c r="F50" s="5" t="s">
        <v>169</v>
      </c>
      <c r="G50" s="11">
        <v>0.1</v>
      </c>
      <c r="I50" s="10">
        <f t="shared" si="4"/>
        <v>6</v>
      </c>
      <c r="J50" s="13">
        <f t="array" ref="J50">MAX(IF($N$3:$EA$3=$J$3,N50:EA50))</f>
        <v>0</v>
      </c>
      <c r="K50" s="13">
        <f t="array" ref="K50">MAX(IF($N$3:$EA$3=$J$3,N50:EA50))</f>
        <v>0</v>
      </c>
      <c r="L50" s="10"/>
      <c r="O50" s="11"/>
      <c r="P50" s="14"/>
      <c r="Q50" s="11"/>
      <c r="R50" s="14"/>
      <c r="V50" s="11"/>
      <c r="W50" s="14"/>
      <c r="X50" s="11"/>
      <c r="Y50" s="14"/>
      <c r="AB50">
        <v>2</v>
      </c>
      <c r="AC50" s="11"/>
      <c r="AD50" s="14">
        <v>0.5</v>
      </c>
      <c r="AE50" s="11"/>
      <c r="AF50" s="14">
        <v>0.5</v>
      </c>
      <c r="AJ50" s="11"/>
      <c r="AK50" s="14">
        <v>0.5</v>
      </c>
      <c r="AL50" s="11"/>
      <c r="AM50" s="14">
        <v>0.5</v>
      </c>
      <c r="AQ50" s="11"/>
      <c r="AR50" s="14">
        <v>0.5</v>
      </c>
      <c r="AS50" s="11"/>
      <c r="AT50" s="14">
        <v>0.5</v>
      </c>
      <c r="AW50">
        <v>2</v>
      </c>
      <c r="AX50" s="11"/>
      <c r="AY50" s="14">
        <v>0.8</v>
      </c>
      <c r="AZ50" s="11"/>
      <c r="BA50" s="14">
        <v>0.8</v>
      </c>
      <c r="BE50" s="11"/>
      <c r="BF50" s="14">
        <v>0.8</v>
      </c>
      <c r="BG50" s="11"/>
      <c r="BH50" s="14">
        <v>0.8</v>
      </c>
      <c r="BL50" s="11"/>
      <c r="BM50" s="14">
        <v>0.8</v>
      </c>
      <c r="BN50" s="11"/>
      <c r="BO50" s="14">
        <v>0.8</v>
      </c>
      <c r="BS50" s="11"/>
      <c r="BT50" s="14">
        <v>0.8</v>
      </c>
      <c r="BU50" s="11"/>
      <c r="BV50" s="14">
        <v>0.8</v>
      </c>
      <c r="BY50">
        <v>2</v>
      </c>
      <c r="BZ50" s="11"/>
      <c r="CA50" s="14">
        <v>1</v>
      </c>
      <c r="CB50" s="11"/>
      <c r="CC50" s="14">
        <v>1</v>
      </c>
      <c r="CG50" s="11"/>
      <c r="CH50" s="14">
        <v>1</v>
      </c>
      <c r="CI50" s="11"/>
      <c r="CJ50" s="14">
        <v>1</v>
      </c>
      <c r="CN50" s="11"/>
      <c r="CO50" s="14"/>
      <c r="CP50" s="11"/>
      <c r="CQ50" s="14"/>
      <c r="CU50" s="11"/>
      <c r="CV50" s="14"/>
      <c r="CW50" s="11"/>
      <c r="CX50" s="14"/>
      <c r="DB50" s="11"/>
      <c r="DC50" s="14"/>
      <c r="DD50" s="11"/>
      <c r="DE50" s="14"/>
      <c r="DI50" s="11"/>
      <c r="DJ50" s="14"/>
      <c r="DK50" s="11"/>
      <c r="DL50" s="14"/>
      <c r="DP50" s="11"/>
      <c r="DQ50" s="14"/>
      <c r="DR50" s="11"/>
      <c r="DS50" s="14"/>
      <c r="DW50" s="11"/>
      <c r="DX50" s="14"/>
      <c r="DY50" s="11"/>
      <c r="DZ50" s="14"/>
    </row>
    <row r="51" spans="2:130" ht="15.75" customHeight="1" outlineLevel="1" x14ac:dyDescent="0.25">
      <c r="B51" s="5" t="s">
        <v>66</v>
      </c>
      <c r="C51" s="5" t="s">
        <v>84</v>
      </c>
      <c r="E51" s="10"/>
      <c r="F51" s="5" t="s">
        <v>170</v>
      </c>
      <c r="G51" s="11">
        <v>0.1</v>
      </c>
      <c r="I51" s="10">
        <f t="shared" si="4"/>
        <v>6</v>
      </c>
      <c r="J51" s="13">
        <f t="array" ref="J51">MAX(IF($N$3:$EA$3=$J$3,N51:EA51))</f>
        <v>0</v>
      </c>
      <c r="K51" s="13">
        <f t="array" ref="K51">MAX(IF($N$3:$EA$3=$J$3,N51:EA51))</f>
        <v>0</v>
      </c>
      <c r="L51" s="10"/>
      <c r="O51" s="11"/>
      <c r="P51" s="14"/>
      <c r="Q51" s="11"/>
      <c r="R51" s="14"/>
      <c r="V51" s="11"/>
      <c r="W51" s="14"/>
      <c r="X51" s="11"/>
      <c r="Y51" s="14"/>
      <c r="AB51">
        <v>2</v>
      </c>
      <c r="AC51" s="11"/>
      <c r="AD51" s="14">
        <v>0.5</v>
      </c>
      <c r="AE51" s="11"/>
      <c r="AF51" s="14">
        <v>0.5</v>
      </c>
      <c r="AJ51" s="11"/>
      <c r="AK51" s="14">
        <v>0.5</v>
      </c>
      <c r="AL51" s="11"/>
      <c r="AM51" s="14">
        <v>0.5</v>
      </c>
      <c r="AQ51" s="11"/>
      <c r="AR51" s="14">
        <v>0.5</v>
      </c>
      <c r="AS51" s="11"/>
      <c r="AT51" s="14">
        <v>0.5</v>
      </c>
      <c r="AX51" s="11"/>
      <c r="AY51" s="14">
        <v>0.5</v>
      </c>
      <c r="AZ51" s="11"/>
      <c r="BA51" s="14">
        <v>0.5</v>
      </c>
      <c r="BD51">
        <v>2</v>
      </c>
      <c r="BE51" s="11"/>
      <c r="BF51" s="14">
        <v>0.8</v>
      </c>
      <c r="BG51" s="11"/>
      <c r="BH51" s="14">
        <v>0.8</v>
      </c>
      <c r="BL51" s="11"/>
      <c r="BM51" s="14">
        <v>0.8</v>
      </c>
      <c r="BN51" s="11"/>
      <c r="BO51" s="14">
        <v>0.8</v>
      </c>
      <c r="BS51" s="11"/>
      <c r="BT51" s="14">
        <v>0.8</v>
      </c>
      <c r="BU51" s="11"/>
      <c r="BV51" s="14">
        <v>0.8</v>
      </c>
      <c r="BY51">
        <v>2</v>
      </c>
      <c r="BZ51" s="11"/>
      <c r="CA51" s="14">
        <v>1</v>
      </c>
      <c r="CB51" s="11"/>
      <c r="CC51" s="14">
        <v>1</v>
      </c>
      <c r="CG51" s="11"/>
      <c r="CH51" s="14">
        <v>1</v>
      </c>
      <c r="CI51" s="11"/>
      <c r="CJ51" s="14">
        <v>1</v>
      </c>
      <c r="CN51" s="11"/>
      <c r="CO51" s="14"/>
      <c r="CP51" s="11"/>
      <c r="CQ51" s="14"/>
      <c r="CU51" s="11"/>
      <c r="CV51" s="14"/>
      <c r="CW51" s="11"/>
      <c r="CX51" s="14"/>
      <c r="DB51" s="11"/>
      <c r="DC51" s="14"/>
      <c r="DD51" s="11"/>
      <c r="DE51" s="14"/>
      <c r="DI51" s="11"/>
      <c r="DJ51" s="14"/>
      <c r="DK51" s="11"/>
      <c r="DL51" s="14"/>
      <c r="DP51" s="11"/>
      <c r="DQ51" s="14"/>
      <c r="DR51" s="11"/>
      <c r="DS51" s="14"/>
      <c r="DW51" s="11"/>
      <c r="DX51" s="14"/>
      <c r="DY51" s="11"/>
      <c r="DZ51" s="14"/>
    </row>
    <row r="52" spans="2:130" ht="15.75" customHeight="1" outlineLevel="1" x14ac:dyDescent="0.25">
      <c r="B52" s="5" t="s">
        <v>66</v>
      </c>
      <c r="C52" s="5" t="s">
        <v>84</v>
      </c>
      <c r="E52" s="10"/>
      <c r="F52" s="5" t="s">
        <v>171</v>
      </c>
      <c r="G52" s="11">
        <v>0.1</v>
      </c>
      <c r="I52" s="10">
        <f t="shared" si="4"/>
        <v>6</v>
      </c>
      <c r="J52" s="13">
        <f t="array" ref="J52">MAX(IF($N$3:$EA$3=$J$3,N52:EA52))</f>
        <v>0</v>
      </c>
      <c r="K52" s="13">
        <f t="array" ref="K52">MAX(IF($N$3:$EA$3=$J$3,N52:EA52))</f>
        <v>0</v>
      </c>
      <c r="L52" s="10"/>
      <c r="O52" s="11"/>
      <c r="P52" s="14"/>
      <c r="Q52" s="11"/>
      <c r="R52" s="14"/>
      <c r="V52" s="11"/>
      <c r="W52" s="14"/>
      <c r="X52" s="11"/>
      <c r="Y52" s="14"/>
      <c r="AC52" s="11"/>
      <c r="AD52" s="14"/>
      <c r="AE52" s="11"/>
      <c r="AF52" s="14"/>
      <c r="AI52">
        <v>2</v>
      </c>
      <c r="AJ52" s="11"/>
      <c r="AK52" s="14">
        <v>0.5</v>
      </c>
      <c r="AL52" s="11"/>
      <c r="AM52" s="14">
        <v>0.5</v>
      </c>
      <c r="AQ52" s="11"/>
      <c r="AR52" s="14">
        <v>0.5</v>
      </c>
      <c r="AS52" s="11"/>
      <c r="AT52" s="14">
        <v>0.5</v>
      </c>
      <c r="AX52" s="11"/>
      <c r="AY52" s="14">
        <v>0.5</v>
      </c>
      <c r="AZ52" s="11"/>
      <c r="BA52" s="14">
        <v>0.5</v>
      </c>
      <c r="BD52">
        <v>2</v>
      </c>
      <c r="BE52" s="11"/>
      <c r="BF52" s="14">
        <v>0.8</v>
      </c>
      <c r="BG52" s="11"/>
      <c r="BH52" s="14">
        <v>0.8</v>
      </c>
      <c r="BL52" s="11"/>
      <c r="BM52" s="14">
        <v>0.8</v>
      </c>
      <c r="BN52" s="11"/>
      <c r="BO52" s="14">
        <v>0.8</v>
      </c>
      <c r="BS52" s="11"/>
      <c r="BT52" s="14">
        <v>0.8</v>
      </c>
      <c r="BU52" s="11"/>
      <c r="BV52" s="14">
        <v>0.8</v>
      </c>
      <c r="BY52">
        <v>2</v>
      </c>
      <c r="BZ52" s="11"/>
      <c r="CA52" s="14">
        <v>1</v>
      </c>
      <c r="CB52" s="11"/>
      <c r="CC52" s="14">
        <v>1</v>
      </c>
      <c r="CG52" s="11"/>
      <c r="CH52" s="14">
        <v>1</v>
      </c>
      <c r="CI52" s="11"/>
      <c r="CJ52" s="14">
        <v>1</v>
      </c>
      <c r="CN52" s="11"/>
      <c r="CO52" s="14"/>
      <c r="CP52" s="11"/>
      <c r="CQ52" s="14"/>
      <c r="CU52" s="11"/>
      <c r="CV52" s="14"/>
      <c r="CW52" s="11"/>
      <c r="CX52" s="14"/>
      <c r="DB52" s="11"/>
      <c r="DC52" s="14"/>
      <c r="DD52" s="11"/>
      <c r="DE52" s="14"/>
      <c r="DI52" s="11"/>
      <c r="DJ52" s="14"/>
      <c r="DK52" s="11"/>
      <c r="DL52" s="14"/>
      <c r="DP52" s="11"/>
      <c r="DQ52" s="14"/>
      <c r="DR52" s="11"/>
      <c r="DS52" s="14"/>
      <c r="DW52" s="11"/>
      <c r="DX52" s="14"/>
      <c r="DY52" s="11"/>
      <c r="DZ52" s="14"/>
    </row>
    <row r="53" spans="2:130" ht="15.75" customHeight="1" outlineLevel="1" x14ac:dyDescent="0.25">
      <c r="B53" s="5" t="s">
        <v>66</v>
      </c>
      <c r="C53" s="5" t="s">
        <v>84</v>
      </c>
      <c r="E53" s="10"/>
      <c r="F53" s="5" t="s">
        <v>172</v>
      </c>
      <c r="G53" s="11">
        <v>0.05</v>
      </c>
      <c r="I53" s="10">
        <f t="shared" si="4"/>
        <v>6</v>
      </c>
      <c r="J53" s="13">
        <f t="array" ref="J53">MAX(IF($N$3:$EA$3=$J$3,N53:EA53))</f>
        <v>0</v>
      </c>
      <c r="K53" s="13">
        <f t="array" ref="K53">MAX(IF($N$3:$EA$3=$J$3,N53:EA53))</f>
        <v>0</v>
      </c>
      <c r="L53" s="10"/>
      <c r="O53" s="11"/>
      <c r="P53" s="14"/>
      <c r="Q53" s="11"/>
      <c r="R53" s="14"/>
      <c r="V53" s="11"/>
      <c r="W53" s="14"/>
      <c r="X53" s="11"/>
      <c r="Y53" s="14"/>
      <c r="AC53" s="11"/>
      <c r="AD53" s="14"/>
      <c r="AE53" s="11"/>
      <c r="AF53" s="14"/>
      <c r="AJ53" s="11"/>
      <c r="AK53" s="14"/>
      <c r="AL53" s="11"/>
      <c r="AM53" s="14"/>
      <c r="AP53">
        <v>2</v>
      </c>
      <c r="AQ53" s="11"/>
      <c r="AR53" s="14">
        <v>0.5</v>
      </c>
      <c r="AS53" s="11"/>
      <c r="AT53" s="14">
        <v>0.5</v>
      </c>
      <c r="AX53" s="11"/>
      <c r="AY53" s="14">
        <v>0.5</v>
      </c>
      <c r="AZ53" s="11"/>
      <c r="BA53" s="14">
        <v>0.5</v>
      </c>
      <c r="BE53" s="11"/>
      <c r="BF53" s="14">
        <v>0.5</v>
      </c>
      <c r="BG53" s="11"/>
      <c r="BH53" s="14">
        <v>0.5</v>
      </c>
      <c r="BK53">
        <v>2</v>
      </c>
      <c r="BL53" s="11"/>
      <c r="BM53" s="14">
        <v>0.8</v>
      </c>
      <c r="BN53" s="11"/>
      <c r="BO53" s="14">
        <v>0.8</v>
      </c>
      <c r="BS53" s="11"/>
      <c r="BT53" s="14">
        <v>0.8</v>
      </c>
      <c r="BU53" s="11"/>
      <c r="BV53" s="14">
        <v>0.8</v>
      </c>
      <c r="BZ53" s="11"/>
      <c r="CA53" s="14">
        <v>0.8</v>
      </c>
      <c r="CB53" s="11"/>
      <c r="CC53" s="14">
        <v>0.8</v>
      </c>
      <c r="CF53">
        <v>2</v>
      </c>
      <c r="CG53" s="11"/>
      <c r="CH53" s="14">
        <v>1</v>
      </c>
      <c r="CI53" s="11"/>
      <c r="CJ53" s="14">
        <v>1</v>
      </c>
      <c r="CN53" s="11"/>
      <c r="CO53" s="14"/>
      <c r="CP53" s="11"/>
      <c r="CQ53" s="14"/>
      <c r="CU53" s="11"/>
      <c r="CV53" s="14"/>
      <c r="CW53" s="11"/>
      <c r="CX53" s="14"/>
      <c r="DB53" s="11"/>
      <c r="DC53" s="14"/>
      <c r="DD53" s="11"/>
      <c r="DE53" s="14"/>
      <c r="DI53" s="11"/>
      <c r="DJ53" s="14"/>
      <c r="DK53" s="11"/>
      <c r="DL53" s="14"/>
      <c r="DP53" s="11"/>
      <c r="DQ53" s="14"/>
      <c r="DR53" s="11"/>
      <c r="DS53" s="14"/>
      <c r="DW53" s="11"/>
      <c r="DX53" s="14"/>
      <c r="DY53" s="11"/>
      <c r="DZ53" s="14"/>
    </row>
    <row r="54" spans="2:130" ht="15.75" customHeight="1" outlineLevel="1" x14ac:dyDescent="0.25">
      <c r="B54" s="5" t="s">
        <v>66</v>
      </c>
      <c r="C54" s="5" t="s">
        <v>84</v>
      </c>
      <c r="E54" s="10"/>
      <c r="F54" s="5" t="s">
        <v>173</v>
      </c>
      <c r="G54" s="11">
        <v>0.05</v>
      </c>
      <c r="I54" s="10">
        <f t="shared" si="4"/>
        <v>6</v>
      </c>
      <c r="J54" s="13">
        <f t="array" ref="J54">MAX(IF($N$3:$EA$3=$J$3,N54:EA54))</f>
        <v>0</v>
      </c>
      <c r="K54" s="13">
        <f t="array" ref="K54">MAX(IF($N$3:$EA$3=$J$3,N54:EA54))</f>
        <v>0</v>
      </c>
      <c r="L54" s="10"/>
      <c r="O54" s="11"/>
      <c r="P54" s="14"/>
      <c r="Q54" s="11"/>
      <c r="R54" s="14"/>
      <c r="V54" s="11"/>
      <c r="W54" s="14"/>
      <c r="X54" s="11"/>
      <c r="Y54" s="14"/>
      <c r="AC54" s="11"/>
      <c r="AD54" s="14"/>
      <c r="AE54" s="11"/>
      <c r="AF54" s="14"/>
      <c r="AJ54" s="11"/>
      <c r="AK54" s="14"/>
      <c r="AL54" s="11"/>
      <c r="AM54" s="14"/>
      <c r="AQ54" s="11"/>
      <c r="AR54" s="14"/>
      <c r="AS54" s="11"/>
      <c r="AT54" s="14"/>
      <c r="AW54">
        <v>2</v>
      </c>
      <c r="AX54" s="11"/>
      <c r="AY54" s="14">
        <v>0.5</v>
      </c>
      <c r="AZ54" s="11"/>
      <c r="BA54" s="14">
        <v>0.5</v>
      </c>
      <c r="BE54" s="11"/>
      <c r="BF54" s="14">
        <v>0.5</v>
      </c>
      <c r="BG54" s="11"/>
      <c r="BH54" s="14">
        <v>0.5</v>
      </c>
      <c r="BL54" s="11"/>
      <c r="BM54" s="14">
        <v>0.5</v>
      </c>
      <c r="BN54" s="11"/>
      <c r="BO54" s="14">
        <v>0.5</v>
      </c>
      <c r="BR54">
        <v>2</v>
      </c>
      <c r="BS54" s="11"/>
      <c r="BT54" s="14">
        <v>0.8</v>
      </c>
      <c r="BU54" s="11"/>
      <c r="BV54" s="14">
        <v>0.8</v>
      </c>
      <c r="BZ54" s="11"/>
      <c r="CA54" s="14">
        <v>0.8</v>
      </c>
      <c r="CB54" s="11"/>
      <c r="CC54" s="14">
        <v>0.8</v>
      </c>
      <c r="CF54">
        <v>2</v>
      </c>
      <c r="CG54" s="11"/>
      <c r="CH54" s="14">
        <v>1</v>
      </c>
      <c r="CI54" s="11"/>
      <c r="CJ54" s="14">
        <v>1</v>
      </c>
      <c r="CN54" s="11"/>
      <c r="CO54" s="14"/>
      <c r="CP54" s="11"/>
      <c r="CQ54" s="14"/>
      <c r="CU54" s="11"/>
      <c r="CV54" s="14"/>
      <c r="CW54" s="11"/>
      <c r="CX54" s="14"/>
      <c r="DB54" s="11"/>
      <c r="DC54" s="14"/>
      <c r="DD54" s="11"/>
      <c r="DE54" s="14"/>
      <c r="DI54" s="11"/>
      <c r="DJ54" s="14"/>
      <c r="DK54" s="11"/>
      <c r="DL54" s="14"/>
      <c r="DP54" s="11"/>
      <c r="DQ54" s="14"/>
      <c r="DR54" s="11"/>
      <c r="DS54" s="14"/>
      <c r="DW54" s="11"/>
      <c r="DX54" s="14"/>
      <c r="DY54" s="11"/>
      <c r="DZ54" s="14"/>
    </row>
    <row r="55" spans="2:130" ht="15.75" customHeight="1" x14ac:dyDescent="0.25">
      <c r="P55" s="15"/>
      <c r="R55" s="15"/>
      <c r="W55" s="15"/>
      <c r="Y55" s="15"/>
      <c r="AD55" s="15"/>
      <c r="AF55" s="15"/>
      <c r="AK55" s="15"/>
      <c r="AM55" s="15"/>
      <c r="AR55" s="15"/>
      <c r="AT55" s="15"/>
      <c r="AY55" s="15"/>
      <c r="BA55" s="15"/>
      <c r="BF55" s="15"/>
      <c r="BH55" s="15"/>
      <c r="BM55" s="15"/>
      <c r="BO55" s="15"/>
      <c r="BT55" s="15"/>
      <c r="BV55" s="15"/>
      <c r="CA55" s="15"/>
      <c r="CC55" s="15"/>
      <c r="CH55" s="15"/>
      <c r="CJ55" s="15"/>
      <c r="CO55" s="15"/>
      <c r="CQ55" s="15"/>
      <c r="CV55" s="15"/>
      <c r="CX55" s="15"/>
      <c r="DC55" s="15"/>
      <c r="DE55" s="15"/>
      <c r="DJ55" s="15"/>
      <c r="DL55" s="15"/>
      <c r="DQ55" s="15"/>
      <c r="DS55" s="15"/>
      <c r="DX55" s="15"/>
      <c r="DZ55" s="15"/>
    </row>
    <row r="56" spans="2:130" ht="15.75" customHeight="1" x14ac:dyDescent="0.25">
      <c r="B56" s="5" t="s">
        <v>39</v>
      </c>
      <c r="C56" s="5" t="s">
        <v>86</v>
      </c>
      <c r="D56" s="26">
        <v>45324</v>
      </c>
      <c r="E56" s="10">
        <v>6</v>
      </c>
      <c r="G56" s="11">
        <f>+SUM(G57:G67)</f>
        <v>0.9998999999999999</v>
      </c>
      <c r="I56" s="12">
        <f>+SUM(I57:I61)</f>
        <v>40</v>
      </c>
      <c r="J56" s="13">
        <f>+SUMPRODUCT(G57:G61,J57:J61)</f>
        <v>0</v>
      </c>
      <c r="K56" s="13">
        <f>+SUMPRODUCT(G57:G61,K57:K61)</f>
        <v>0</v>
      </c>
      <c r="L56" s="10"/>
      <c r="N56" s="12">
        <f>+SUM(N57:N61)</f>
        <v>8</v>
      </c>
      <c r="P56" s="15"/>
      <c r="R56" s="15"/>
      <c r="U56" s="12">
        <f>+SUM(U57:U61)</f>
        <v>8</v>
      </c>
      <c r="W56" s="15"/>
      <c r="Y56" s="15"/>
      <c r="AB56" s="12">
        <f>+SUM(AB57:AB61)</f>
        <v>8</v>
      </c>
      <c r="AD56" s="15"/>
      <c r="AF56" s="15"/>
      <c r="AI56" s="12">
        <f>+SUM(AI57:AI61)</f>
        <v>8</v>
      </c>
      <c r="AK56" s="15"/>
      <c r="AM56" s="15"/>
      <c r="AP56" s="12">
        <f>+SUM(AP57:AP61)</f>
        <v>8</v>
      </c>
      <c r="AR56" s="15"/>
      <c r="AT56" s="15"/>
      <c r="AW56" s="12">
        <f>+SUM(AW57:AW67)</f>
        <v>8</v>
      </c>
      <c r="AY56" s="15"/>
      <c r="BA56" s="15"/>
      <c r="BD56" s="12">
        <f>+SUM(BD57:BD67)</f>
        <v>8</v>
      </c>
      <c r="BF56" s="15"/>
      <c r="BH56" s="15"/>
      <c r="BK56" s="12">
        <f>+SUM(BK57:BK67)</f>
        <v>8</v>
      </c>
      <c r="BM56" s="15"/>
      <c r="BO56" s="15"/>
      <c r="BR56" s="12">
        <f>+SUM(BR57:BR67)</f>
        <v>8</v>
      </c>
      <c r="BT56" s="15"/>
      <c r="BV56" s="15"/>
      <c r="BY56" s="12">
        <f>+SUM(BY57:BY67)</f>
        <v>8</v>
      </c>
      <c r="CA56" s="15"/>
      <c r="CC56" s="15"/>
      <c r="CF56" s="12">
        <f>+SUM(CF57:CF67)</f>
        <v>8</v>
      </c>
      <c r="CH56" s="15"/>
      <c r="CJ56" s="15"/>
      <c r="CO56" s="15"/>
      <c r="CQ56" s="15"/>
      <c r="CV56" s="15"/>
      <c r="CX56" s="15"/>
      <c r="DC56" s="15"/>
      <c r="DE56" s="15"/>
      <c r="DJ56" s="15"/>
      <c r="DL56" s="15"/>
      <c r="DQ56" s="15"/>
      <c r="DS56" s="15"/>
      <c r="DX56" s="15"/>
      <c r="DZ56" s="15"/>
    </row>
    <row r="57" spans="2:130" ht="15.75" customHeight="1" outlineLevel="1" x14ac:dyDescent="0.25">
      <c r="B57" s="5" t="s">
        <v>66</v>
      </c>
      <c r="C57" s="5" t="s">
        <v>86</v>
      </c>
      <c r="E57" s="10"/>
      <c r="F57" s="5" t="s">
        <v>85</v>
      </c>
      <c r="G57" s="11">
        <v>9.0899999999999995E-2</v>
      </c>
      <c r="I57" s="10">
        <f t="shared" ref="I57:I67" si="5">+SUMIF($N$3:$ZS$3,I$3,$N57:$ZS57)</f>
        <v>8</v>
      </c>
      <c r="J57" s="13">
        <f t="array" ref="J57">MAX(IF($N$3:$EA$3=$J$3,N57:EA57))</f>
        <v>0</v>
      </c>
      <c r="K57" s="13">
        <f t="array" ref="K57">MAX(IF($N$3:$EA$3=$J$3,N57:EA57))</f>
        <v>0</v>
      </c>
      <c r="L57" s="10"/>
      <c r="N57">
        <v>8</v>
      </c>
      <c r="O57" s="11"/>
      <c r="P57" s="14">
        <v>1</v>
      </c>
      <c r="Q57" s="11"/>
      <c r="R57" s="14">
        <v>1</v>
      </c>
      <c r="V57" s="11"/>
      <c r="W57" s="14">
        <v>1</v>
      </c>
      <c r="X57" s="11"/>
      <c r="Y57" s="14">
        <v>1</v>
      </c>
      <c r="AC57" s="11"/>
      <c r="AD57" s="14">
        <v>1</v>
      </c>
      <c r="AE57" s="11"/>
      <c r="AF57" s="14">
        <v>1</v>
      </c>
      <c r="AJ57" s="11"/>
      <c r="AK57" s="14">
        <v>1</v>
      </c>
      <c r="AL57" s="11"/>
      <c r="AM57" s="14">
        <v>1</v>
      </c>
      <c r="AQ57" s="11"/>
      <c r="AR57" s="14">
        <v>1</v>
      </c>
      <c r="AS57" s="11"/>
      <c r="AT57" s="14">
        <v>1</v>
      </c>
      <c r="AX57" s="11"/>
      <c r="AY57" s="14">
        <v>1</v>
      </c>
      <c r="AZ57" s="11"/>
      <c r="BA57" s="14">
        <v>1</v>
      </c>
      <c r="BE57" s="11"/>
      <c r="BF57" s="14">
        <v>1</v>
      </c>
      <c r="BG57" s="11"/>
      <c r="BH57" s="14">
        <v>1</v>
      </c>
      <c r="BL57" s="11"/>
      <c r="BM57" s="14">
        <v>1</v>
      </c>
      <c r="BN57" s="11"/>
      <c r="BO57" s="14">
        <v>1</v>
      </c>
      <c r="BS57" s="11"/>
      <c r="BT57" s="14">
        <v>1</v>
      </c>
      <c r="BU57" s="11"/>
      <c r="BV57" s="14">
        <v>1</v>
      </c>
      <c r="BZ57" s="11"/>
      <c r="CA57" s="14">
        <v>1</v>
      </c>
      <c r="CB57" s="11"/>
      <c r="CC57" s="14">
        <v>1</v>
      </c>
      <c r="CG57" s="11"/>
      <c r="CH57" s="14">
        <v>1</v>
      </c>
      <c r="CI57" s="11"/>
      <c r="CJ57" s="14">
        <v>1</v>
      </c>
      <c r="CN57" s="11"/>
      <c r="CO57" s="14"/>
      <c r="CP57" s="11"/>
      <c r="CQ57" s="14"/>
      <c r="CU57" s="11"/>
      <c r="CV57" s="14"/>
      <c r="CW57" s="11"/>
      <c r="CX57" s="14"/>
      <c r="DB57" s="11"/>
      <c r="DC57" s="14"/>
      <c r="DD57" s="11"/>
      <c r="DE57" s="14"/>
      <c r="DI57" s="11"/>
      <c r="DJ57" s="14"/>
      <c r="DK57" s="11"/>
      <c r="DL57" s="14"/>
      <c r="DP57" s="11"/>
      <c r="DQ57" s="14"/>
      <c r="DR57" s="11"/>
      <c r="DS57" s="14"/>
      <c r="DW57" s="11"/>
      <c r="DX57" s="14"/>
      <c r="DY57" s="11"/>
      <c r="DZ57" s="14"/>
    </row>
    <row r="58" spans="2:130" ht="15.75" customHeight="1" outlineLevel="1" x14ac:dyDescent="0.25">
      <c r="B58" s="5" t="s">
        <v>66</v>
      </c>
      <c r="C58" s="5" t="s">
        <v>86</v>
      </c>
      <c r="E58" s="10"/>
      <c r="F58" s="5" t="s">
        <v>87</v>
      </c>
      <c r="G58" s="11">
        <v>9.0899999999999995E-2</v>
      </c>
      <c r="I58" s="10">
        <f t="shared" si="5"/>
        <v>8</v>
      </c>
      <c r="J58" s="13">
        <f t="array" ref="J58">MAX(IF($N$3:$EA$3=$J$3,N58:EA58))</f>
        <v>0</v>
      </c>
      <c r="K58" s="13">
        <f t="array" ref="K58">MAX(IF($N$3:$EA$3=$J$3,N58:EA58))</f>
        <v>0</v>
      </c>
      <c r="L58" s="10"/>
      <c r="O58" s="11"/>
      <c r="P58" s="14"/>
      <c r="Q58" s="11"/>
      <c r="R58" s="14"/>
      <c r="U58">
        <v>8</v>
      </c>
      <c r="V58" s="11"/>
      <c r="W58" s="14">
        <v>1</v>
      </c>
      <c r="X58" s="11"/>
      <c r="Y58" s="14">
        <v>1</v>
      </c>
      <c r="AC58" s="11"/>
      <c r="AD58" s="14">
        <v>1</v>
      </c>
      <c r="AE58" s="11"/>
      <c r="AF58" s="14">
        <v>1</v>
      </c>
      <c r="AJ58" s="11"/>
      <c r="AK58" s="14">
        <v>1</v>
      </c>
      <c r="AL58" s="11"/>
      <c r="AM58" s="14">
        <v>1</v>
      </c>
      <c r="AQ58" s="11"/>
      <c r="AR58" s="14">
        <v>1</v>
      </c>
      <c r="AS58" s="11"/>
      <c r="AT58" s="14">
        <v>1</v>
      </c>
      <c r="AX58" s="11"/>
      <c r="AY58" s="14">
        <v>1</v>
      </c>
      <c r="AZ58" s="11"/>
      <c r="BA58" s="14">
        <v>1</v>
      </c>
      <c r="BE58" s="11"/>
      <c r="BF58" s="14">
        <v>1</v>
      </c>
      <c r="BG58" s="11"/>
      <c r="BH58" s="14">
        <v>1</v>
      </c>
      <c r="BL58" s="11"/>
      <c r="BM58" s="14">
        <v>1</v>
      </c>
      <c r="BN58" s="11"/>
      <c r="BO58" s="14">
        <v>1</v>
      </c>
      <c r="BS58" s="11"/>
      <c r="BT58" s="14">
        <v>1</v>
      </c>
      <c r="BU58" s="11"/>
      <c r="BV58" s="14">
        <v>1</v>
      </c>
      <c r="BZ58" s="11"/>
      <c r="CA58" s="14">
        <v>1</v>
      </c>
      <c r="CB58" s="11"/>
      <c r="CC58" s="14">
        <v>1</v>
      </c>
      <c r="CG58" s="11"/>
      <c r="CH58" s="14">
        <v>1</v>
      </c>
      <c r="CI58" s="11"/>
      <c r="CJ58" s="14">
        <v>1</v>
      </c>
      <c r="CN58" s="11"/>
      <c r="CO58" s="14"/>
      <c r="CP58" s="11"/>
      <c r="CQ58" s="14"/>
      <c r="CU58" s="11"/>
      <c r="CV58" s="14"/>
      <c r="CW58" s="11"/>
      <c r="CX58" s="14"/>
      <c r="DB58" s="11"/>
      <c r="DC58" s="14"/>
      <c r="DD58" s="11"/>
      <c r="DE58" s="14"/>
      <c r="DI58" s="11"/>
      <c r="DJ58" s="14"/>
      <c r="DK58" s="11"/>
      <c r="DL58" s="14"/>
      <c r="DP58" s="11"/>
      <c r="DQ58" s="14"/>
      <c r="DR58" s="11"/>
      <c r="DS58" s="14"/>
      <c r="DW58" s="11"/>
      <c r="DX58" s="14"/>
      <c r="DY58" s="11"/>
      <c r="DZ58" s="14"/>
    </row>
    <row r="59" spans="2:130" ht="15.75" customHeight="1" outlineLevel="1" x14ac:dyDescent="0.25">
      <c r="B59" s="5" t="s">
        <v>66</v>
      </c>
      <c r="C59" s="5" t="s">
        <v>86</v>
      </c>
      <c r="E59" s="10"/>
      <c r="F59" s="5" t="s">
        <v>145</v>
      </c>
      <c r="G59" s="11">
        <v>9.0899999999999995E-2</v>
      </c>
      <c r="I59" s="10">
        <f t="shared" si="5"/>
        <v>8</v>
      </c>
      <c r="J59" s="13">
        <f t="array" ref="J59">MAX(IF($N$3:$EA$3=$J$3,N59:EA59))</f>
        <v>0</v>
      </c>
      <c r="K59" s="13">
        <f t="array" ref="K59">MAX(IF($N$3:$EA$3=$J$3,N59:EA59))</f>
        <v>0</v>
      </c>
      <c r="L59" s="10"/>
      <c r="O59" s="11"/>
      <c r="P59" s="14"/>
      <c r="Q59" s="11"/>
      <c r="R59" s="14"/>
      <c r="V59" s="11"/>
      <c r="W59" s="14"/>
      <c r="X59" s="11"/>
      <c r="Y59" s="14"/>
      <c r="AB59">
        <v>8</v>
      </c>
      <c r="AC59" s="11"/>
      <c r="AD59" s="14">
        <v>1</v>
      </c>
      <c r="AE59" s="11"/>
      <c r="AF59" s="14">
        <v>1</v>
      </c>
      <c r="AJ59" s="11"/>
      <c r="AK59" s="14">
        <v>1</v>
      </c>
      <c r="AL59" s="11"/>
      <c r="AM59" s="14">
        <v>1</v>
      </c>
      <c r="AQ59" s="11"/>
      <c r="AR59" s="14">
        <v>1</v>
      </c>
      <c r="AS59" s="11"/>
      <c r="AT59" s="14">
        <v>1</v>
      </c>
      <c r="AX59" s="11"/>
      <c r="AY59" s="14">
        <v>1</v>
      </c>
      <c r="AZ59" s="11"/>
      <c r="BA59" s="14">
        <v>1</v>
      </c>
      <c r="BE59" s="11"/>
      <c r="BF59" s="14">
        <v>1</v>
      </c>
      <c r="BG59" s="11"/>
      <c r="BH59" s="14">
        <v>1</v>
      </c>
      <c r="BL59" s="11"/>
      <c r="BM59" s="14">
        <v>1</v>
      </c>
      <c r="BN59" s="11"/>
      <c r="BO59" s="14">
        <v>1</v>
      </c>
      <c r="BS59" s="11"/>
      <c r="BT59" s="14">
        <v>1</v>
      </c>
      <c r="BU59" s="11"/>
      <c r="BV59" s="14">
        <v>1</v>
      </c>
      <c r="BZ59" s="11"/>
      <c r="CA59" s="14">
        <v>1</v>
      </c>
      <c r="CB59" s="11"/>
      <c r="CC59" s="14">
        <v>1</v>
      </c>
      <c r="CG59" s="11"/>
      <c r="CH59" s="14">
        <v>1</v>
      </c>
      <c r="CI59" s="11"/>
      <c r="CJ59" s="14">
        <v>1</v>
      </c>
      <c r="CN59" s="11"/>
      <c r="CO59" s="14"/>
      <c r="CP59" s="11"/>
      <c r="CQ59" s="14"/>
      <c r="CU59" s="11"/>
      <c r="CV59" s="14"/>
      <c r="CW59" s="11"/>
      <c r="CX59" s="14"/>
      <c r="DB59" s="11"/>
      <c r="DC59" s="14"/>
      <c r="DD59" s="11"/>
      <c r="DE59" s="14"/>
      <c r="DI59" s="11"/>
      <c r="DJ59" s="14"/>
      <c r="DK59" s="11"/>
      <c r="DL59" s="14"/>
      <c r="DP59" s="11"/>
      <c r="DQ59" s="14"/>
      <c r="DR59" s="11"/>
      <c r="DS59" s="14"/>
      <c r="DW59" s="11"/>
      <c r="DX59" s="14"/>
      <c r="DY59" s="11"/>
      <c r="DZ59" s="14"/>
    </row>
    <row r="60" spans="2:130" ht="15.75" customHeight="1" outlineLevel="1" x14ac:dyDescent="0.25">
      <c r="B60" s="5" t="s">
        <v>66</v>
      </c>
      <c r="C60" s="5" t="s">
        <v>86</v>
      </c>
      <c r="E60" s="10"/>
      <c r="F60" s="5" t="s">
        <v>146</v>
      </c>
      <c r="G60" s="11">
        <v>9.0899999999999995E-2</v>
      </c>
      <c r="I60" s="10">
        <f t="shared" si="5"/>
        <v>8</v>
      </c>
      <c r="J60" s="13">
        <f t="array" ref="J60">MAX(IF($N$3:$EA$3=$J$3,N60:EA60))</f>
        <v>0</v>
      </c>
      <c r="K60" s="13">
        <f t="array" ref="K60">MAX(IF($N$3:$EA$3=$J$3,N60:EA60))</f>
        <v>0</v>
      </c>
      <c r="L60" s="10"/>
      <c r="O60" s="11"/>
      <c r="P60" s="14"/>
      <c r="Q60" s="11"/>
      <c r="R60" s="14"/>
      <c r="V60" s="11"/>
      <c r="W60" s="14"/>
      <c r="X60" s="11"/>
      <c r="Y60" s="14"/>
      <c r="AC60" s="11"/>
      <c r="AD60" s="14"/>
      <c r="AE60" s="11"/>
      <c r="AF60" s="14"/>
      <c r="AI60">
        <v>8</v>
      </c>
      <c r="AJ60" s="11"/>
      <c r="AK60" s="14">
        <v>1</v>
      </c>
      <c r="AL60" s="11"/>
      <c r="AM60" s="14">
        <v>1</v>
      </c>
      <c r="AQ60" s="11"/>
      <c r="AR60" s="14">
        <v>1</v>
      </c>
      <c r="AS60" s="11"/>
      <c r="AT60" s="14">
        <v>1</v>
      </c>
      <c r="AX60" s="11"/>
      <c r="AY60" s="14">
        <v>1</v>
      </c>
      <c r="AZ60" s="11"/>
      <c r="BA60" s="14">
        <v>1</v>
      </c>
      <c r="BE60" s="11"/>
      <c r="BF60" s="14">
        <v>1</v>
      </c>
      <c r="BG60" s="11"/>
      <c r="BH60" s="14">
        <v>1</v>
      </c>
      <c r="BL60" s="11"/>
      <c r="BM60" s="14">
        <v>1</v>
      </c>
      <c r="BN60" s="11"/>
      <c r="BO60" s="14">
        <v>1</v>
      </c>
      <c r="BS60" s="11"/>
      <c r="BT60" s="14">
        <v>1</v>
      </c>
      <c r="BU60" s="11"/>
      <c r="BV60" s="14">
        <v>1</v>
      </c>
      <c r="BZ60" s="11"/>
      <c r="CA60" s="14">
        <v>1</v>
      </c>
      <c r="CB60" s="11"/>
      <c r="CC60" s="14">
        <v>1</v>
      </c>
      <c r="CG60" s="11"/>
      <c r="CH60" s="14">
        <v>1</v>
      </c>
      <c r="CI60" s="11"/>
      <c r="CJ60" s="14">
        <v>1</v>
      </c>
      <c r="CN60" s="11"/>
      <c r="CO60" s="14"/>
      <c r="CP60" s="11"/>
      <c r="CQ60" s="14"/>
      <c r="CU60" s="11"/>
      <c r="CV60" s="14"/>
      <c r="CW60" s="11"/>
      <c r="CX60" s="14"/>
      <c r="DB60" s="11"/>
      <c r="DC60" s="14"/>
      <c r="DD60" s="11"/>
      <c r="DE60" s="14"/>
      <c r="DI60" s="11"/>
      <c r="DJ60" s="14"/>
      <c r="DK60" s="11"/>
      <c r="DL60" s="14"/>
      <c r="DP60" s="11"/>
      <c r="DQ60" s="14"/>
      <c r="DR60" s="11"/>
      <c r="DS60" s="14"/>
      <c r="DW60" s="11"/>
      <c r="DX60" s="14"/>
      <c r="DY60" s="11"/>
      <c r="DZ60" s="14"/>
    </row>
    <row r="61" spans="2:130" ht="15.75" customHeight="1" outlineLevel="1" x14ac:dyDescent="0.25">
      <c r="B61" s="5" t="s">
        <v>66</v>
      </c>
      <c r="C61" s="5" t="s">
        <v>86</v>
      </c>
      <c r="E61" s="10"/>
      <c r="F61" s="5" t="s">
        <v>147</v>
      </c>
      <c r="G61" s="11">
        <v>9.0899999999999995E-2</v>
      </c>
      <c r="I61" s="10">
        <f t="shared" si="5"/>
        <v>8</v>
      </c>
      <c r="J61" s="13">
        <f t="array" ref="J61">MAX(IF($N$3:$EA$3=$J$3,N61:EA61))</f>
        <v>0</v>
      </c>
      <c r="K61" s="13">
        <f t="array" ref="K61">MAX(IF($N$3:$EA$3=$J$3,N61:EA61))</f>
        <v>0</v>
      </c>
      <c r="L61" s="10"/>
      <c r="O61" s="11"/>
      <c r="P61" s="14"/>
      <c r="Q61" s="11"/>
      <c r="R61" s="14"/>
      <c r="V61" s="11"/>
      <c r="W61" s="14"/>
      <c r="X61" s="11"/>
      <c r="Y61" s="14"/>
      <c r="AC61" s="11"/>
      <c r="AD61" s="14"/>
      <c r="AE61" s="11"/>
      <c r="AF61" s="14"/>
      <c r="AJ61" s="11"/>
      <c r="AK61" s="14"/>
      <c r="AL61" s="11"/>
      <c r="AM61" s="14"/>
      <c r="AP61">
        <v>8</v>
      </c>
      <c r="AQ61" s="11"/>
      <c r="AR61" s="14">
        <v>1</v>
      </c>
      <c r="AS61" s="11"/>
      <c r="AT61" s="14">
        <v>1</v>
      </c>
      <c r="AX61" s="11"/>
      <c r="AY61" s="14">
        <v>1</v>
      </c>
      <c r="AZ61" s="11"/>
      <c r="BA61" s="14">
        <v>1</v>
      </c>
      <c r="BE61" s="11"/>
      <c r="BF61" s="14">
        <v>1</v>
      </c>
      <c r="BG61" s="11"/>
      <c r="BH61" s="14">
        <v>1</v>
      </c>
      <c r="BL61" s="11"/>
      <c r="BM61" s="14">
        <v>1</v>
      </c>
      <c r="BN61" s="11"/>
      <c r="BO61" s="14">
        <v>1</v>
      </c>
      <c r="BS61" s="11"/>
      <c r="BT61" s="14">
        <v>1</v>
      </c>
      <c r="BU61" s="11"/>
      <c r="BV61" s="14">
        <v>1</v>
      </c>
      <c r="BZ61" s="11"/>
      <c r="CA61" s="14">
        <v>1</v>
      </c>
      <c r="CB61" s="11"/>
      <c r="CC61" s="14">
        <v>1</v>
      </c>
      <c r="CG61" s="11"/>
      <c r="CH61" s="14">
        <v>1</v>
      </c>
      <c r="CI61" s="11"/>
      <c r="CJ61" s="14">
        <v>1</v>
      </c>
      <c r="CN61" s="11"/>
      <c r="CO61" s="14"/>
      <c r="CP61" s="11"/>
      <c r="CQ61" s="14"/>
      <c r="CU61" s="11"/>
      <c r="CV61" s="14"/>
      <c r="CW61" s="11"/>
      <c r="CX61" s="14"/>
      <c r="DB61" s="11"/>
      <c r="DC61" s="14"/>
      <c r="DD61" s="11"/>
      <c r="DE61" s="14"/>
      <c r="DI61" s="11"/>
      <c r="DJ61" s="14"/>
      <c r="DK61" s="11"/>
      <c r="DL61" s="14"/>
      <c r="DP61" s="11"/>
      <c r="DQ61" s="14"/>
      <c r="DR61" s="11"/>
      <c r="DS61" s="14"/>
      <c r="DW61" s="11"/>
      <c r="DX61" s="14"/>
      <c r="DY61" s="11"/>
      <c r="DZ61" s="14"/>
    </row>
    <row r="62" spans="2:130" ht="15.75" customHeight="1" outlineLevel="1" x14ac:dyDescent="0.25">
      <c r="B62" s="5" t="s">
        <v>66</v>
      </c>
      <c r="C62" s="5" t="s">
        <v>86</v>
      </c>
      <c r="E62" s="10"/>
      <c r="F62" s="5" t="s">
        <v>148</v>
      </c>
      <c r="G62" s="11">
        <v>9.0899999999999995E-2</v>
      </c>
      <c r="I62" s="10">
        <f t="shared" si="5"/>
        <v>8</v>
      </c>
      <c r="J62" s="13">
        <f t="array" ref="J62">MAX(IF($N$3:$EA$3=$J$3,N62:EA62))</f>
        <v>0</v>
      </c>
      <c r="K62" s="13">
        <f t="array" ref="K62">MAX(IF($N$3:$EA$3=$J$3,N62:EA62))</f>
        <v>0</v>
      </c>
      <c r="L62" s="10"/>
      <c r="O62" s="11"/>
      <c r="P62" s="14"/>
      <c r="Q62" s="11"/>
      <c r="R62" s="14"/>
      <c r="V62" s="11"/>
      <c r="W62" s="14"/>
      <c r="X62" s="11"/>
      <c r="Y62" s="14"/>
      <c r="AC62" s="11"/>
      <c r="AD62" s="14"/>
      <c r="AE62" s="11"/>
      <c r="AF62" s="14"/>
      <c r="AJ62" s="11"/>
      <c r="AK62" s="14"/>
      <c r="AL62" s="11"/>
      <c r="AM62" s="14"/>
      <c r="AQ62" s="11"/>
      <c r="AR62" s="14"/>
      <c r="AS62" s="11"/>
      <c r="AT62" s="14"/>
      <c r="AW62">
        <v>8</v>
      </c>
      <c r="AX62" s="11"/>
      <c r="AY62" s="14">
        <v>1</v>
      </c>
      <c r="AZ62" s="11"/>
      <c r="BA62" s="14">
        <v>1</v>
      </c>
      <c r="BE62" s="11"/>
      <c r="BF62" s="14">
        <v>1</v>
      </c>
      <c r="BG62" s="11"/>
      <c r="BH62" s="14">
        <v>1</v>
      </c>
      <c r="BL62" s="11"/>
      <c r="BM62" s="14">
        <v>1</v>
      </c>
      <c r="BN62" s="11"/>
      <c r="BO62" s="14">
        <v>1</v>
      </c>
      <c r="BS62" s="11"/>
      <c r="BT62" s="14">
        <v>1</v>
      </c>
      <c r="BU62" s="11"/>
      <c r="BV62" s="14">
        <v>1</v>
      </c>
      <c r="BZ62" s="11"/>
      <c r="CA62" s="14">
        <v>1</v>
      </c>
      <c r="CB62" s="11"/>
      <c r="CC62" s="14">
        <v>1</v>
      </c>
      <c r="CG62" s="11"/>
      <c r="CH62" s="14">
        <v>1</v>
      </c>
      <c r="CI62" s="11"/>
      <c r="CJ62" s="14">
        <v>1</v>
      </c>
      <c r="CN62" s="11"/>
      <c r="CO62" s="14"/>
      <c r="CP62" s="11"/>
      <c r="CQ62" s="14"/>
      <c r="CU62" s="11"/>
      <c r="CV62" s="14"/>
      <c r="CW62" s="11"/>
      <c r="CX62" s="14"/>
      <c r="DB62" s="11"/>
      <c r="DC62" s="14"/>
      <c r="DD62" s="11"/>
      <c r="DE62" s="14"/>
      <c r="DI62" s="11"/>
      <c r="DJ62" s="14"/>
      <c r="DK62" s="11"/>
      <c r="DL62" s="14"/>
      <c r="DP62" s="11"/>
      <c r="DQ62" s="14"/>
      <c r="DR62" s="11"/>
      <c r="DS62" s="14"/>
      <c r="DW62" s="11"/>
      <c r="DX62" s="14"/>
      <c r="DY62" s="11"/>
      <c r="DZ62" s="14"/>
    </row>
    <row r="63" spans="2:130" ht="15.75" customHeight="1" outlineLevel="1" x14ac:dyDescent="0.25">
      <c r="B63" s="5" t="s">
        <v>66</v>
      </c>
      <c r="C63" s="5" t="s">
        <v>86</v>
      </c>
      <c r="E63" s="10"/>
      <c r="F63" s="5" t="s">
        <v>149</v>
      </c>
      <c r="G63" s="11">
        <v>9.0899999999999995E-2</v>
      </c>
      <c r="I63" s="10">
        <f t="shared" si="5"/>
        <v>8</v>
      </c>
      <c r="J63" s="13">
        <f t="array" ref="J63">MAX(IF($N$3:$EA$3=$J$3,N63:EA63))</f>
        <v>0</v>
      </c>
      <c r="K63" s="13">
        <f t="array" ref="K63">MAX(IF($N$3:$EA$3=$J$3,N63:EA63))</f>
        <v>0</v>
      </c>
      <c r="L63" s="10"/>
      <c r="O63" s="11"/>
      <c r="P63" s="14"/>
      <c r="Q63" s="11"/>
      <c r="R63" s="14"/>
      <c r="V63" s="11"/>
      <c r="W63" s="14"/>
      <c r="X63" s="11"/>
      <c r="Y63" s="14"/>
      <c r="AC63" s="11"/>
      <c r="AD63" s="14"/>
      <c r="AE63" s="11"/>
      <c r="AF63" s="14"/>
      <c r="AJ63" s="11"/>
      <c r="AK63" s="14"/>
      <c r="AL63" s="11"/>
      <c r="AM63" s="14"/>
      <c r="AQ63" s="11"/>
      <c r="AR63" s="14"/>
      <c r="AS63" s="11"/>
      <c r="AT63" s="14"/>
      <c r="AX63" s="11"/>
      <c r="AY63" s="14"/>
      <c r="AZ63" s="11"/>
      <c r="BA63" s="14"/>
      <c r="BD63">
        <v>8</v>
      </c>
      <c r="BE63" s="11"/>
      <c r="BF63" s="14">
        <v>1</v>
      </c>
      <c r="BG63" s="11"/>
      <c r="BH63" s="14">
        <v>1</v>
      </c>
      <c r="BL63" s="11"/>
      <c r="BM63" s="14">
        <v>1</v>
      </c>
      <c r="BN63" s="11"/>
      <c r="BO63" s="14">
        <v>1</v>
      </c>
      <c r="BS63" s="11"/>
      <c r="BT63" s="14">
        <v>1</v>
      </c>
      <c r="BU63" s="11"/>
      <c r="BV63" s="14">
        <v>1</v>
      </c>
      <c r="BZ63" s="11"/>
      <c r="CA63" s="14">
        <v>1</v>
      </c>
      <c r="CB63" s="11"/>
      <c r="CC63" s="14">
        <v>1</v>
      </c>
      <c r="CG63" s="11"/>
      <c r="CH63" s="14">
        <v>1</v>
      </c>
      <c r="CI63" s="11"/>
      <c r="CJ63" s="14">
        <v>1</v>
      </c>
      <c r="CN63" s="11"/>
      <c r="CO63" s="14"/>
      <c r="CP63" s="11"/>
      <c r="CQ63" s="14"/>
      <c r="CU63" s="11"/>
      <c r="CV63" s="14"/>
      <c r="CW63" s="11"/>
      <c r="CX63" s="14"/>
      <c r="DB63" s="11"/>
      <c r="DC63" s="14"/>
      <c r="DD63" s="11"/>
      <c r="DE63" s="14"/>
      <c r="DI63" s="11"/>
      <c r="DJ63" s="14"/>
      <c r="DK63" s="11"/>
      <c r="DL63" s="14"/>
      <c r="DP63" s="11"/>
      <c r="DQ63" s="14"/>
      <c r="DR63" s="11"/>
      <c r="DS63" s="14"/>
      <c r="DW63" s="11"/>
      <c r="DX63" s="14"/>
      <c r="DY63" s="11"/>
      <c r="DZ63" s="14"/>
    </row>
    <row r="64" spans="2:130" ht="15.75" customHeight="1" outlineLevel="1" x14ac:dyDescent="0.25">
      <c r="B64" s="5" t="s">
        <v>66</v>
      </c>
      <c r="C64" s="5" t="s">
        <v>86</v>
      </c>
      <c r="E64" s="10"/>
      <c r="F64" s="5" t="s">
        <v>150</v>
      </c>
      <c r="G64" s="11">
        <v>9.0899999999999995E-2</v>
      </c>
      <c r="I64" s="10">
        <f t="shared" si="5"/>
        <v>8</v>
      </c>
      <c r="J64" s="13">
        <f t="array" ref="J64">MAX(IF($N$3:$EA$3=$J$3,N64:EA64))</f>
        <v>0</v>
      </c>
      <c r="K64" s="13">
        <f t="array" ref="K64">MAX(IF($N$3:$EA$3=$J$3,N64:EA64))</f>
        <v>0</v>
      </c>
      <c r="L64" s="10"/>
      <c r="O64" s="11"/>
      <c r="P64" s="14"/>
      <c r="Q64" s="11"/>
      <c r="R64" s="14"/>
      <c r="V64" s="11"/>
      <c r="W64" s="14"/>
      <c r="X64" s="11"/>
      <c r="Y64" s="14"/>
      <c r="AC64" s="11"/>
      <c r="AD64" s="14"/>
      <c r="AE64" s="11"/>
      <c r="AF64" s="14"/>
      <c r="AJ64" s="11"/>
      <c r="AK64" s="14"/>
      <c r="AL64" s="11"/>
      <c r="AM64" s="14"/>
      <c r="AQ64" s="11"/>
      <c r="AR64" s="14"/>
      <c r="AS64" s="11"/>
      <c r="AT64" s="14"/>
      <c r="AX64" s="11"/>
      <c r="AY64" s="14"/>
      <c r="AZ64" s="11"/>
      <c r="BA64" s="14"/>
      <c r="BE64" s="11"/>
      <c r="BF64" s="14"/>
      <c r="BG64" s="11"/>
      <c r="BH64" s="14"/>
      <c r="BK64">
        <v>8</v>
      </c>
      <c r="BL64" s="11"/>
      <c r="BM64" s="14">
        <v>1</v>
      </c>
      <c r="BN64" s="11"/>
      <c r="BO64" s="14">
        <v>1</v>
      </c>
      <c r="BS64" s="11"/>
      <c r="BT64" s="14">
        <v>1</v>
      </c>
      <c r="BU64" s="11"/>
      <c r="BV64" s="14">
        <v>1</v>
      </c>
      <c r="BZ64" s="11"/>
      <c r="CA64" s="14">
        <v>1</v>
      </c>
      <c r="CB64" s="11"/>
      <c r="CC64" s="14">
        <v>1</v>
      </c>
      <c r="CG64" s="11"/>
      <c r="CH64" s="14">
        <v>1</v>
      </c>
      <c r="CI64" s="11"/>
      <c r="CJ64" s="14">
        <v>1</v>
      </c>
      <c r="CN64" s="11"/>
      <c r="CO64" s="14"/>
      <c r="CP64" s="11"/>
      <c r="CQ64" s="14"/>
      <c r="CU64" s="11"/>
      <c r="CV64" s="14"/>
      <c r="CW64" s="11"/>
      <c r="CX64" s="14"/>
      <c r="DB64" s="11"/>
      <c r="DC64" s="14"/>
      <c r="DD64" s="11"/>
      <c r="DE64" s="14"/>
      <c r="DI64" s="11"/>
      <c r="DJ64" s="14"/>
      <c r="DK64" s="11"/>
      <c r="DL64" s="14"/>
      <c r="DP64" s="11"/>
      <c r="DQ64" s="14"/>
      <c r="DR64" s="11"/>
      <c r="DS64" s="14"/>
      <c r="DW64" s="11"/>
      <c r="DX64" s="14"/>
      <c r="DY64" s="11"/>
      <c r="DZ64" s="14"/>
    </row>
    <row r="65" spans="2:130" ht="15.75" customHeight="1" outlineLevel="1" x14ac:dyDescent="0.25">
      <c r="B65" s="5" t="s">
        <v>66</v>
      </c>
      <c r="C65" s="5" t="s">
        <v>86</v>
      </c>
      <c r="E65" s="10"/>
      <c r="F65" s="5" t="s">
        <v>151</v>
      </c>
      <c r="G65" s="11">
        <v>9.0899999999999995E-2</v>
      </c>
      <c r="I65" s="10">
        <f t="shared" si="5"/>
        <v>8</v>
      </c>
      <c r="J65" s="13">
        <f t="array" ref="J65">MAX(IF($N$3:$EA$3=$J$3,N65:EA65))</f>
        <v>0</v>
      </c>
      <c r="K65" s="13">
        <f t="array" ref="K65">MAX(IF($N$3:$EA$3=$J$3,N65:EA65))</f>
        <v>0</v>
      </c>
      <c r="L65" s="10"/>
      <c r="O65" s="11"/>
      <c r="P65" s="14"/>
      <c r="Q65" s="11"/>
      <c r="R65" s="14"/>
      <c r="V65" s="11"/>
      <c r="W65" s="14"/>
      <c r="X65" s="11"/>
      <c r="Y65" s="14"/>
      <c r="AC65" s="11"/>
      <c r="AD65" s="14"/>
      <c r="AE65" s="11"/>
      <c r="AF65" s="14"/>
      <c r="AJ65" s="11"/>
      <c r="AK65" s="14"/>
      <c r="AL65" s="11"/>
      <c r="AM65" s="14"/>
      <c r="AQ65" s="11"/>
      <c r="AR65" s="14"/>
      <c r="AS65" s="11"/>
      <c r="AT65" s="14"/>
      <c r="AX65" s="11"/>
      <c r="AY65" s="14"/>
      <c r="AZ65" s="11"/>
      <c r="BA65" s="14"/>
      <c r="BE65" s="11"/>
      <c r="BF65" s="14"/>
      <c r="BG65" s="11"/>
      <c r="BH65" s="14"/>
      <c r="BL65" s="11"/>
      <c r="BM65" s="14"/>
      <c r="BN65" s="11"/>
      <c r="BO65" s="14"/>
      <c r="BR65">
        <v>8</v>
      </c>
      <c r="BS65" s="11"/>
      <c r="BT65" s="14">
        <v>1</v>
      </c>
      <c r="BU65" s="11"/>
      <c r="BV65" s="14">
        <v>1</v>
      </c>
      <c r="BZ65" s="11"/>
      <c r="CA65" s="14">
        <v>1</v>
      </c>
      <c r="CB65" s="11"/>
      <c r="CC65" s="14">
        <v>1</v>
      </c>
      <c r="CG65" s="11"/>
      <c r="CH65" s="14">
        <v>1</v>
      </c>
      <c r="CI65" s="11"/>
      <c r="CJ65" s="14">
        <v>1</v>
      </c>
      <c r="CN65" s="11"/>
      <c r="CO65" s="14"/>
      <c r="CP65" s="11"/>
      <c r="CQ65" s="14"/>
      <c r="CU65" s="11"/>
      <c r="CV65" s="14"/>
      <c r="CW65" s="11"/>
      <c r="CX65" s="14"/>
      <c r="DB65" s="11"/>
      <c r="DC65" s="14"/>
      <c r="DD65" s="11"/>
      <c r="DE65" s="14"/>
      <c r="DI65" s="11"/>
      <c r="DJ65" s="14"/>
      <c r="DK65" s="11"/>
      <c r="DL65" s="14"/>
      <c r="DP65" s="11"/>
      <c r="DQ65" s="14"/>
      <c r="DR65" s="11"/>
      <c r="DS65" s="14"/>
      <c r="DW65" s="11"/>
      <c r="DX65" s="14"/>
      <c r="DY65" s="11"/>
      <c r="DZ65" s="14"/>
    </row>
    <row r="66" spans="2:130" ht="15.75" customHeight="1" outlineLevel="1" x14ac:dyDescent="0.25">
      <c r="B66" s="5" t="s">
        <v>66</v>
      </c>
      <c r="C66" s="5" t="s">
        <v>86</v>
      </c>
      <c r="E66" s="10"/>
      <c r="F66" s="5" t="s">
        <v>152</v>
      </c>
      <c r="G66" s="11">
        <v>9.0899999999999995E-2</v>
      </c>
      <c r="I66" s="10">
        <f t="shared" si="5"/>
        <v>8</v>
      </c>
      <c r="J66" s="13">
        <f t="array" ref="J66">MAX(IF($N$3:$EA$3=$J$3,N66:EA66))</f>
        <v>0</v>
      </c>
      <c r="K66" s="13">
        <f t="array" ref="K66">MAX(IF($N$3:$EA$3=$J$3,N66:EA66))</f>
        <v>0</v>
      </c>
      <c r="L66" s="10"/>
      <c r="O66" s="11"/>
      <c r="P66" s="14"/>
      <c r="Q66" s="11"/>
      <c r="R66" s="14"/>
      <c r="V66" s="11"/>
      <c r="W66" s="14"/>
      <c r="X66" s="11"/>
      <c r="Y66" s="14"/>
      <c r="AC66" s="11"/>
      <c r="AD66" s="14"/>
      <c r="AE66" s="11"/>
      <c r="AF66" s="14"/>
      <c r="AJ66" s="11"/>
      <c r="AK66" s="14"/>
      <c r="AL66" s="11"/>
      <c r="AM66" s="14"/>
      <c r="AQ66" s="11"/>
      <c r="AR66" s="14"/>
      <c r="AS66" s="11"/>
      <c r="AT66" s="14"/>
      <c r="AX66" s="11"/>
      <c r="AY66" s="14"/>
      <c r="AZ66" s="11"/>
      <c r="BA66" s="14"/>
      <c r="BE66" s="11"/>
      <c r="BF66" s="14"/>
      <c r="BG66" s="11"/>
      <c r="BH66" s="14"/>
      <c r="BL66" s="11"/>
      <c r="BM66" s="14"/>
      <c r="BN66" s="11"/>
      <c r="BO66" s="14"/>
      <c r="BS66" s="11"/>
      <c r="BT66" s="14"/>
      <c r="BU66" s="11"/>
      <c r="BV66" s="14"/>
      <c r="BY66">
        <v>8</v>
      </c>
      <c r="BZ66" s="11"/>
      <c r="CA66" s="14">
        <v>1</v>
      </c>
      <c r="CB66" s="11"/>
      <c r="CC66" s="14">
        <v>1</v>
      </c>
      <c r="CG66" s="11"/>
      <c r="CH66" s="14">
        <v>1</v>
      </c>
      <c r="CI66" s="11"/>
      <c r="CJ66" s="14">
        <v>1</v>
      </c>
      <c r="CN66" s="11"/>
      <c r="CO66" s="14"/>
      <c r="CP66" s="11"/>
      <c r="CQ66" s="14"/>
      <c r="CU66" s="11"/>
      <c r="CV66" s="14"/>
      <c r="CW66" s="11"/>
      <c r="CX66" s="14"/>
      <c r="DB66" s="11"/>
      <c r="DC66" s="14"/>
      <c r="DD66" s="11"/>
      <c r="DE66" s="14"/>
      <c r="DI66" s="11"/>
      <c r="DJ66" s="14"/>
      <c r="DK66" s="11"/>
      <c r="DL66" s="14"/>
      <c r="DP66" s="11"/>
      <c r="DQ66" s="14"/>
      <c r="DR66" s="11"/>
      <c r="DS66" s="14"/>
      <c r="DW66" s="11"/>
      <c r="DX66" s="14"/>
      <c r="DY66" s="11"/>
      <c r="DZ66" s="14"/>
    </row>
    <row r="67" spans="2:130" ht="15.75" customHeight="1" outlineLevel="1" x14ac:dyDescent="0.25">
      <c r="B67" s="5" t="s">
        <v>66</v>
      </c>
      <c r="C67" s="5" t="s">
        <v>86</v>
      </c>
      <c r="E67" s="10"/>
      <c r="F67" s="5" t="s">
        <v>153</v>
      </c>
      <c r="G67" s="11">
        <v>9.0899999999999995E-2</v>
      </c>
      <c r="I67" s="10">
        <f t="shared" si="5"/>
        <v>8</v>
      </c>
      <c r="J67" s="13">
        <f t="array" ref="J67">MAX(IF($N$3:$EA$3=$J$3,N67:EA67))</f>
        <v>0</v>
      </c>
      <c r="K67" s="13">
        <f t="array" ref="K67">MAX(IF($N$3:$EA$3=$J$3,N67:EA67))</f>
        <v>0</v>
      </c>
      <c r="L67" s="10"/>
      <c r="O67" s="11"/>
      <c r="P67" s="14"/>
      <c r="Q67" s="11"/>
      <c r="R67" s="14"/>
      <c r="V67" s="11"/>
      <c r="W67" s="14"/>
      <c r="X67" s="11"/>
      <c r="Y67" s="14"/>
      <c r="AC67" s="11"/>
      <c r="AD67" s="14"/>
      <c r="AE67" s="11"/>
      <c r="AF67" s="14"/>
      <c r="AJ67" s="11"/>
      <c r="AK67" s="14"/>
      <c r="AL67" s="11"/>
      <c r="AM67" s="14"/>
      <c r="AQ67" s="11"/>
      <c r="AR67" s="14"/>
      <c r="AS67" s="11"/>
      <c r="AT67" s="14"/>
      <c r="AX67" s="11"/>
      <c r="AY67" s="14"/>
      <c r="AZ67" s="11"/>
      <c r="BA67" s="14"/>
      <c r="BE67" s="11"/>
      <c r="BF67" s="14"/>
      <c r="BG67" s="11"/>
      <c r="BH67" s="14"/>
      <c r="BL67" s="11"/>
      <c r="BM67" s="14"/>
      <c r="BN67" s="11"/>
      <c r="BO67" s="14"/>
      <c r="BS67" s="11"/>
      <c r="BT67" s="14"/>
      <c r="BU67" s="11"/>
      <c r="BV67" s="14"/>
      <c r="BZ67" s="11"/>
      <c r="CA67" s="14"/>
      <c r="CB67" s="11"/>
      <c r="CC67" s="14"/>
      <c r="CF67">
        <v>8</v>
      </c>
      <c r="CG67" s="11"/>
      <c r="CH67" s="14">
        <v>1</v>
      </c>
      <c r="CI67" s="11"/>
      <c r="CJ67" s="14">
        <v>1</v>
      </c>
      <c r="CN67" s="11"/>
      <c r="CO67" s="14"/>
      <c r="CP67" s="11"/>
      <c r="CQ67" s="14"/>
      <c r="CU67" s="11"/>
      <c r="CV67" s="14"/>
      <c r="CW67" s="11"/>
      <c r="CX67" s="14"/>
      <c r="DB67" s="11"/>
      <c r="DC67" s="14"/>
      <c r="DD67" s="11"/>
      <c r="DE67" s="14"/>
      <c r="DI67" s="11"/>
      <c r="DJ67" s="14"/>
      <c r="DK67" s="11"/>
      <c r="DL67" s="14"/>
      <c r="DP67" s="11"/>
      <c r="DQ67" s="14"/>
      <c r="DR67" s="11"/>
      <c r="DS67" s="14"/>
      <c r="DW67" s="11"/>
      <c r="DX67" s="14"/>
      <c r="DY67" s="11"/>
      <c r="DZ67" s="14"/>
    </row>
    <row r="68" spans="2:130" ht="15.75" customHeight="1" x14ac:dyDescent="0.25"/>
    <row r="69" spans="2:130" ht="15.75" customHeight="1" x14ac:dyDescent="0.25"/>
    <row r="70" spans="2:130" ht="15.75" customHeight="1" x14ac:dyDescent="0.25"/>
    <row r="71" spans="2:130" ht="15.75" customHeight="1" x14ac:dyDescent="0.25"/>
    <row r="72" spans="2:130" ht="15.75" customHeight="1" x14ac:dyDescent="0.25"/>
    <row r="73" spans="2:130" ht="15.75" customHeight="1" x14ac:dyDescent="0.25"/>
    <row r="74" spans="2:130" ht="15.75" customHeight="1" x14ac:dyDescent="0.25"/>
    <row r="75" spans="2:130" ht="15.75" customHeight="1" x14ac:dyDescent="0.25"/>
    <row r="76" spans="2:130" ht="15.75" customHeight="1" x14ac:dyDescent="0.25"/>
    <row r="77" spans="2:130" ht="15.75" customHeight="1" x14ac:dyDescent="0.25"/>
    <row r="78" spans="2:130" ht="15.75" customHeight="1" x14ac:dyDescent="0.25"/>
    <row r="79" spans="2:130" ht="15.75" customHeight="1" x14ac:dyDescent="0.25"/>
    <row r="80" spans="2:13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5:J12 J14:J24">
    <cfRule type="colorScale" priority="307">
      <colorScale>
        <cfvo type="percent" val="0"/>
        <cfvo type="percent" val="100"/>
        <color rgb="FFFF231B"/>
        <color rgb="FF10FF07"/>
      </colorScale>
    </cfRule>
  </conditionalFormatting>
  <conditionalFormatting sqref="J28">
    <cfRule type="colorScale" priority="8">
      <colorScale>
        <cfvo type="percent" val="0"/>
        <cfvo type="percent" val="100"/>
        <color rgb="FFFF231B"/>
        <color rgb="FF10FF07"/>
      </colorScale>
    </cfRule>
  </conditionalFormatting>
  <conditionalFormatting sqref="J29">
    <cfRule type="colorScale" priority="9">
      <colorScale>
        <cfvo type="percent" val="0"/>
        <cfvo type="percent" val="100"/>
        <color rgb="FFFF231B"/>
        <color rgb="FF10FF07"/>
      </colorScale>
    </cfRule>
  </conditionalFormatting>
  <conditionalFormatting sqref="J30:J33 J27">
    <cfRule type="colorScale" priority="10">
      <colorScale>
        <cfvo type="percent" val="0"/>
        <cfvo type="percent" val="100"/>
        <color rgb="FFFF231B"/>
        <color rgb="FF10FF07"/>
      </colorScale>
    </cfRule>
  </conditionalFormatting>
  <conditionalFormatting sqref="J36:J42">
    <cfRule type="colorScale" priority="158">
      <colorScale>
        <cfvo type="percent" val="0"/>
        <cfvo type="percent" val="100"/>
        <color rgb="FFFF231B"/>
        <color rgb="FF10FF07"/>
      </colorScale>
    </cfRule>
  </conditionalFormatting>
  <conditionalFormatting sqref="J45:J54">
    <cfRule type="colorScale" priority="385">
      <colorScale>
        <cfvo type="percent" val="0"/>
        <cfvo type="percent" val="100"/>
        <color rgb="FFFF231B"/>
        <color rgb="FF10FF07"/>
      </colorScale>
    </cfRule>
  </conditionalFormatting>
  <conditionalFormatting sqref="J57:J67">
    <cfRule type="colorScale" priority="13">
      <colorScale>
        <cfvo type="percent" val="0"/>
        <cfvo type="percent" val="100"/>
        <color rgb="FFFF231B"/>
        <color rgb="FF10FF07"/>
      </colorScale>
    </cfRule>
  </conditionalFormatting>
  <conditionalFormatting sqref="J6:K12 J15:K24">
    <cfRule type="colorScale" priority="310">
      <colorScale>
        <cfvo type="percent" val="0"/>
        <cfvo type="percent" val="100"/>
        <color rgb="FFFF231B"/>
        <color rgb="FF10FF07"/>
      </colorScale>
    </cfRule>
  </conditionalFormatting>
  <conditionalFormatting sqref="J28:K28">
    <cfRule type="colorScale" priority="15">
      <colorScale>
        <cfvo type="percent" val="0"/>
        <cfvo type="percent" val="100"/>
        <color rgb="FFFF231B"/>
        <color rgb="FF10FF07"/>
      </colorScale>
    </cfRule>
  </conditionalFormatting>
  <conditionalFormatting sqref="J29:K29">
    <cfRule type="colorScale" priority="16">
      <colorScale>
        <cfvo type="percent" val="0"/>
        <cfvo type="percent" val="100"/>
        <color rgb="FFFF231B"/>
        <color rgb="FF10FF07"/>
      </colorScale>
    </cfRule>
  </conditionalFormatting>
  <conditionalFormatting sqref="J30:K33">
    <cfRule type="colorScale" priority="17">
      <colorScale>
        <cfvo type="percent" val="0"/>
        <cfvo type="percent" val="100"/>
        <color rgb="FFFF231B"/>
        <color rgb="FF10FF07"/>
      </colorScale>
    </cfRule>
  </conditionalFormatting>
  <conditionalFormatting sqref="J37:K42">
    <cfRule type="colorScale" priority="160">
      <colorScale>
        <cfvo type="percent" val="0"/>
        <cfvo type="percent" val="100"/>
        <color rgb="FFFF231B"/>
        <color rgb="FF10FF07"/>
      </colorScale>
    </cfRule>
  </conditionalFormatting>
  <conditionalFormatting sqref="J45:K54">
    <cfRule type="colorScale" priority="316">
      <colorScale>
        <cfvo type="percent" val="0"/>
        <cfvo type="percent" val="100"/>
        <color rgb="FFFF231B"/>
        <color rgb="FF10FF07"/>
      </colorScale>
    </cfRule>
  </conditionalFormatting>
  <conditionalFormatting sqref="J58:K61">
    <cfRule type="colorScale" priority="20">
      <colorScale>
        <cfvo type="percent" val="0"/>
        <cfvo type="percent" val="100"/>
        <color rgb="FFFF231B"/>
        <color rgb="FF10FF07"/>
      </colorScale>
    </cfRule>
  </conditionalFormatting>
  <conditionalFormatting sqref="J62:K62">
    <cfRule type="colorScale" priority="6">
      <colorScale>
        <cfvo type="percent" val="0"/>
        <cfvo type="percent" val="100"/>
        <color rgb="FFFF231B"/>
        <color rgb="FF10FF07"/>
      </colorScale>
    </cfRule>
  </conditionalFormatting>
  <conditionalFormatting sqref="J63:K63">
    <cfRule type="colorScale" priority="5">
      <colorScale>
        <cfvo type="percent" val="0"/>
        <cfvo type="percent" val="100"/>
        <color rgb="FFFF231B"/>
        <color rgb="FF10FF07"/>
      </colorScale>
    </cfRule>
  </conditionalFormatting>
  <conditionalFormatting sqref="J64:K64">
    <cfRule type="colorScale" priority="4">
      <colorScale>
        <cfvo type="percent" val="0"/>
        <cfvo type="percent" val="100"/>
        <color rgb="FFFF231B"/>
        <color rgb="FF10FF07"/>
      </colorScale>
    </cfRule>
  </conditionalFormatting>
  <conditionalFormatting sqref="J65:K65">
    <cfRule type="colorScale" priority="3">
      <colorScale>
        <cfvo type="percent" val="0"/>
        <cfvo type="percent" val="100"/>
        <color rgb="FFFF231B"/>
        <color rgb="FF10FF07"/>
      </colorScale>
    </cfRule>
  </conditionalFormatting>
  <conditionalFormatting sqref="J66:K66">
    <cfRule type="colorScale" priority="2">
      <colorScale>
        <cfvo type="percent" val="0"/>
        <cfvo type="percent" val="100"/>
        <color rgb="FFFF231B"/>
        <color rgb="FF10FF07"/>
      </colorScale>
    </cfRule>
  </conditionalFormatting>
  <conditionalFormatting sqref="J67:K67">
    <cfRule type="colorScale" priority="1">
      <colorScale>
        <cfvo type="percent" val="0"/>
        <cfvo type="percent" val="100"/>
        <color rgb="FFFF231B"/>
        <color rgb="FF10FF07"/>
      </colorScale>
    </cfRule>
  </conditionalFormatting>
  <conditionalFormatting sqref="K5:K12 K14:K24">
    <cfRule type="colorScale" priority="313">
      <colorScale>
        <cfvo type="percent" val="0"/>
        <cfvo type="percent" val="100"/>
        <color rgb="FFFF231B"/>
        <color rgb="FF10FF07"/>
      </colorScale>
    </cfRule>
  </conditionalFormatting>
  <conditionalFormatting sqref="K28">
    <cfRule type="colorScale" priority="22">
      <colorScale>
        <cfvo type="percent" val="0"/>
        <cfvo type="percent" val="100"/>
        <color rgb="FFFF231B"/>
        <color rgb="FF10FF07"/>
      </colorScale>
    </cfRule>
  </conditionalFormatting>
  <conditionalFormatting sqref="K29">
    <cfRule type="colorScale" priority="23">
      <colorScale>
        <cfvo type="percent" val="0"/>
        <cfvo type="percent" val="100"/>
        <color rgb="FFFF231B"/>
        <color rgb="FF10FF07"/>
      </colorScale>
    </cfRule>
  </conditionalFormatting>
  <conditionalFormatting sqref="K30:K33 K27">
    <cfRule type="colorScale" priority="24">
      <colorScale>
        <cfvo type="percent" val="0"/>
        <cfvo type="percent" val="100"/>
        <color rgb="FFFF231B"/>
        <color rgb="FF10FF07"/>
      </colorScale>
    </cfRule>
  </conditionalFormatting>
  <conditionalFormatting sqref="K36:K42">
    <cfRule type="colorScale" priority="162">
      <colorScale>
        <cfvo type="percent" val="0"/>
        <cfvo type="percent" val="100"/>
        <color rgb="FFFF231B"/>
        <color rgb="FF10FF07"/>
      </colorScale>
    </cfRule>
  </conditionalFormatting>
  <conditionalFormatting sqref="K45:K54">
    <cfRule type="colorScale" priority="386">
      <colorScale>
        <cfvo type="percent" val="0"/>
        <cfvo type="percent" val="100"/>
        <color rgb="FFFF231B"/>
        <color rgb="FF10FF07"/>
      </colorScale>
    </cfRule>
  </conditionalFormatting>
  <conditionalFormatting sqref="K57:K67">
    <cfRule type="colorScale" priority="27">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BS5:BS12 BU5:BU12 BZ5:BZ12 CB5:CB12 CG5:CG12 CI5:CI12 CN5:CN12 CP5:CP12 CU5:CU12 CW5:CW12 DB5:DB12 DD5:DD12 O14:O24 Q14:Q24 V14:V24 X14:X24 AC14:AC24 AE14:AE24 AJ14:AJ24 AL14:AL24 AQ14:AQ24 AS14:AS24 AX14:AX24 AZ14:AZ24 BE14:BE24 BG14:BG24 BL14:BL24 BN14:BN24 BS14:BS24 BU14:BU24 BZ14:BZ24 CB14:CB24 CG14:CG24 CI14:CI24 CN14:CN24 CP14:CP24 CU14:CU24 CW14:CW24 DB14:DB24 DD14:DD24 DI14:DI24 DK14:DK24 DP14:DP24 DR14:DR24 DW14:DW24 DY14:DY24 O36:O42 Q36:Q42 V36:V42 X36:X42 AC36:AC42 AE36:AE42 AJ36:AJ42 AL36:AL42 AQ36:AQ42 AS36:AS42 AX36:AX42 AZ36:AZ42 BE36:BE42 BG36:BG42 BL36:BL42 BN36:BN42 BS36:BS42 BU36:BU42 BZ36:BZ42 CB36:CB42 CG36:CG42 CI36:CI42 CN36:CN42 CP36:CP42 CU36:CU42 CW36:CW42 DB36:DB42 DD36:DD42 DI36:DI42 DK36:DK42 DP36:DP42 DR36:DR42 DW36:DW42 DY36:DY42 O45:O54 Q45:Q54 V45:V54 X45:X54 AC45:AC54 AE45:AE54 AJ45:AJ54 AL45:AL54 AQ45:AQ54 AS45:AS54 AX45:AX54 AZ45:AZ54 BE45:BE54 BG45:BG54 BL45:BL54 BN45:BN54 BS45:BS54 BU45:BU54 BZ45:BZ54 CB45:CB54 CG45:CG54 CI45:CI54 CN45:CN54 CP45:CP54 CU45:CU54 CW45:CW54 DB45:DB54 DD45:DD54 DI45:DI54 DK45:DK54 DP45:DP54 DR45:DR54 DW45:DW54 DY45:DY54 O57:O67 Q57:Q67 V57:V67 X57:X67 AC57:AC67 AE57:AE67 AJ57:AJ67 AL57:AL67 AQ57:AQ67 AS57:AS67 AX57:AX67 AZ57:AZ67 BE57:BE67 BG57:BG67 BL57:BL67 BN57:BN67 BS57:BS67 BU57:BU67 BZ57:BZ67 CB57:CB67 CG57:CG67 CI57:CI67 CN57:CN67 CP57:CP67 CU57:CU67 CW57:CW67 DB57:DB67 DD57:DD67">
    <cfRule type="expression" dxfId="53" priority="28">
      <formula>OR(IF(O5&lt;P5,TRUE),IF(AND(P5="",O5&lt;&gt;""),TRUE))</formula>
    </cfRule>
    <cfRule type="expression" dxfId="52" priority="29">
      <formula>IF(O5&gt;=P5,IF(O5="",FALSE,TRUE))</formula>
    </cfRule>
  </conditionalFormatting>
  <conditionalFormatting sqref="O27:O33 Q27:Q33">
    <cfRule type="expression" dxfId="51" priority="30">
      <formula>OR(IF(O27&lt;P27,TRUE),IF(AND(P27="",O27&lt;&gt;""),TRUE))</formula>
    </cfRule>
    <cfRule type="expression" dxfId="50" priority="31">
      <formula>IF(O27&gt;=P27,IF(O27="",FALSE,TRUE))</formula>
    </cfRule>
  </conditionalFormatting>
  <conditionalFormatting sqref="V27:V33 X27:X33">
    <cfRule type="expression" dxfId="49" priority="36">
      <formula>OR(IF(V27&lt;W27,TRUE),IF(AND(W27="",V27&lt;&gt;""),TRUE))</formula>
    </cfRule>
    <cfRule type="expression" dxfId="48" priority="37">
      <formula>IF(V27&gt;=W27,IF(V27="",FALSE,TRUE))</formula>
    </cfRule>
  </conditionalFormatting>
  <conditionalFormatting sqref="AC27:AC33 AE27:AE33">
    <cfRule type="expression" dxfId="47" priority="42">
      <formula>OR(IF(AC27&lt;AD27,TRUE),IF(AND(AD27="",AC27&lt;&gt;""),TRUE))</formula>
    </cfRule>
    <cfRule type="expression" dxfId="46" priority="43">
      <formula>IF(AC27&gt;=AD27,IF(AC27="",FALSE,TRUE))</formula>
    </cfRule>
  </conditionalFormatting>
  <conditionalFormatting sqref="AJ27:AJ33 AL27:AL33">
    <cfRule type="expression" dxfId="45" priority="49">
      <formula>IF(AJ27&gt;=AK27,IF(AJ27="",FALSE,TRUE))</formula>
    </cfRule>
    <cfRule type="expression" dxfId="44" priority="48">
      <formula>OR(IF(AJ27&lt;AK27,TRUE),IF(AND(AK27="",AJ27&lt;&gt;""),TRUE))</formula>
    </cfRule>
  </conditionalFormatting>
  <conditionalFormatting sqref="AQ27:AQ33 AS27:AS33">
    <cfRule type="expression" dxfId="43" priority="55">
      <formula>IF(AQ27&gt;=AR27,IF(AQ27="",FALSE,TRUE))</formula>
    </cfRule>
    <cfRule type="expression" dxfId="42" priority="54">
      <formula>OR(IF(AQ27&lt;AR27,TRUE),IF(AND(AR27="",AQ27&lt;&gt;""),TRUE))</formula>
    </cfRule>
  </conditionalFormatting>
  <conditionalFormatting sqref="AX27:AX33 AZ27:AZ33">
    <cfRule type="expression" dxfId="41" priority="60">
      <formula>OR(IF(AX27&lt;AY27,TRUE),IF(AND(AY27="",AX27&lt;&gt;""),TRUE))</formula>
    </cfRule>
    <cfRule type="expression" dxfId="40" priority="61">
      <formula>IF(AX27&gt;=AY27,IF(AX27="",FALSE,TRUE))</formula>
    </cfRule>
  </conditionalFormatting>
  <conditionalFormatting sqref="BE27:BE33 BG27:BG33">
    <cfRule type="expression" dxfId="39" priority="67">
      <formula>IF(BE27&gt;=BF27,IF(BE27="",FALSE,TRUE))</formula>
    </cfRule>
    <cfRule type="expression" dxfId="38" priority="66">
      <formula>OR(IF(BE27&lt;BF27,TRUE),IF(AND(BF27="",BE27&lt;&gt;""),TRUE))</formula>
    </cfRule>
  </conditionalFormatting>
  <conditionalFormatting sqref="BL27:BL33 BN27:BN33">
    <cfRule type="expression" dxfId="37" priority="73">
      <formula>IF(BL27&gt;=BM27,IF(BL27="",FALSE,TRUE))</formula>
    </cfRule>
    <cfRule type="expression" dxfId="36" priority="72">
      <formula>OR(IF(BL27&lt;BM27,TRUE),IF(AND(BM27="",BL27&lt;&gt;""),TRUE))</formula>
    </cfRule>
  </conditionalFormatting>
  <conditionalFormatting sqref="BS27:BS33 BU27:BU33">
    <cfRule type="expression" dxfId="35" priority="80">
      <formula>OR(IF(BS27&lt;BT27,TRUE),IF(AND(BT27="",BS27&lt;&gt;""),TRUE))</formula>
    </cfRule>
    <cfRule type="expression" dxfId="34" priority="81">
      <formula>IF(BS27&gt;=BT27,IF(BS27="",FALSE,TRUE))</formula>
    </cfRule>
  </conditionalFormatting>
  <conditionalFormatting sqref="BZ27:BZ33 CB27:CB33">
    <cfRule type="expression" dxfId="33" priority="88">
      <formula>OR(IF(BZ27&lt;CA27,TRUE),IF(AND(CA27="",BZ27&lt;&gt;""),TRUE))</formula>
    </cfRule>
    <cfRule type="expression" dxfId="32" priority="89">
      <formula>IF(BZ27&gt;=CA27,IF(BZ27="",FALSE,TRUE))</formula>
    </cfRule>
  </conditionalFormatting>
  <conditionalFormatting sqref="CG27:CG33 CI27:CI33">
    <cfRule type="expression" dxfId="31" priority="98">
      <formula>OR(IF(CG27&lt;CH27,TRUE),IF(AND(CH27="",CG27&lt;&gt;""),TRUE))</formula>
    </cfRule>
    <cfRule type="expression" dxfId="30" priority="99">
      <formula>IF(CG27&gt;=CH27,IF(CG27="",FALSE,TRUE))</formula>
    </cfRule>
  </conditionalFormatting>
  <conditionalFormatting sqref="CN27:CN33 CP27:CP33">
    <cfRule type="expression" dxfId="29" priority="106">
      <formula>OR(IF(CN27&lt;CO27,TRUE),IF(AND(CO27="",CN27&lt;&gt;""),TRUE))</formula>
    </cfRule>
    <cfRule type="expression" dxfId="28" priority="107">
      <formula>IF(CN27&gt;=CO27,IF(CN27="",FALSE,TRUE))</formula>
    </cfRule>
  </conditionalFormatting>
  <conditionalFormatting sqref="CU27:CU33 CW27:CW33">
    <cfRule type="expression" dxfId="27" priority="115">
      <formula>IF(CU27&gt;=CV27,IF(CU27="",FALSE,TRUE))</formula>
    </cfRule>
    <cfRule type="expression" dxfId="26" priority="114">
      <formula>OR(IF(CU27&lt;CV27,TRUE),IF(AND(CV27="",CU27&lt;&gt;""),TRUE))</formula>
    </cfRule>
  </conditionalFormatting>
  <conditionalFormatting sqref="DB27:DB33 DD27:DD33">
    <cfRule type="expression" dxfId="25" priority="122">
      <formula>OR(IF(DB27&lt;DC27,TRUE),IF(AND(DC27="",DB27&lt;&gt;""),TRUE))</formula>
    </cfRule>
    <cfRule type="expression" dxfId="24" priority="123">
      <formula>IF(DB27&gt;=DC27,IF(DB27="",FALSE,TRUE))</formula>
    </cfRule>
  </conditionalFormatting>
  <conditionalFormatting sqref="DI5:DI12 DK5:DK12 DI57:DI67 DK57:DK67">
    <cfRule type="expression" dxfId="23" priority="128">
      <formula>OR(IF(DI5&lt;DJ5,TRUE),IF(AND(DJ5="",DI5&lt;&gt;""),TRUE))</formula>
    </cfRule>
    <cfRule type="expression" dxfId="22" priority="129">
      <formula>IF(DI5&gt;=DJ5,IF(DI5="",FALSE,TRUE))</formula>
    </cfRule>
  </conditionalFormatting>
  <conditionalFormatting sqref="DI27:DI33 DK27:DK33">
    <cfRule type="expression" dxfId="21" priority="132">
      <formula>OR(IF(DI27&lt;DJ27,TRUE),IF(AND(DJ27="",DI27&lt;&gt;""),TRUE))</formula>
    </cfRule>
    <cfRule type="expression" dxfId="20" priority="133">
      <formula>IF(DI27&gt;=DJ27,IF(DI27="",FALSE,TRUE))</formula>
    </cfRule>
  </conditionalFormatting>
  <conditionalFormatting sqref="DP5:DP12 DR5:DR12 DP57:DP67 DR57:DR67">
    <cfRule type="expression" dxfId="19" priority="139">
      <formula>IF(DP5&gt;=DQ5,IF(DP5="",FALSE,TRUE))</formula>
    </cfRule>
    <cfRule type="expression" dxfId="18" priority="138">
      <formula>OR(IF(DP5&lt;DQ5,TRUE),IF(AND(DQ5="",DP5&lt;&gt;""),TRUE))</formula>
    </cfRule>
  </conditionalFormatting>
  <conditionalFormatting sqref="DP27:DP33 DR27:DR33">
    <cfRule type="expression" dxfId="17" priority="142">
      <formula>OR(IF(DP27&lt;DQ27,TRUE),IF(AND(DQ27="",DP27&lt;&gt;""),TRUE))</formula>
    </cfRule>
    <cfRule type="expression" dxfId="16" priority="143">
      <formula>IF(DP27&gt;=DQ27,IF(DP27="",FALSE,TRUE))</formula>
    </cfRule>
  </conditionalFormatting>
  <conditionalFormatting sqref="DW5:DW12 DY5:DY12 DW57:DW67 DY57:DY67">
    <cfRule type="expression" dxfId="15" priority="148">
      <formula>OR(IF(DW5&lt;DX5,TRUE),IF(AND(DX5="",DW5&lt;&gt;""),TRUE))</formula>
    </cfRule>
    <cfRule type="expression" dxfId="14" priority="149">
      <formula>IF(DW5&gt;=DX5,IF(DW5="",FALSE,TRUE))</formula>
    </cfRule>
  </conditionalFormatting>
  <conditionalFormatting sqref="DW27:DW33 DY27:DY33">
    <cfRule type="expression" dxfId="13" priority="153">
      <formula>IF(DW27&gt;=DX27,IF(DW27="",FALSE,TRUE))</formula>
    </cfRule>
    <cfRule type="expression" dxfId="12" priority="152">
      <formula>OR(IF(DW27&lt;DX27,TRUE),IF(AND(DX27="",DW27&lt;&gt;""),TRUE))</formula>
    </cfRule>
  </conditionalFormatting>
  <dataValidations count="1">
    <dataValidation type="list" allowBlank="1" showErrorMessage="1" sqref="O5:R12 BZ57:CC67 BE36:BH42 V5:Y12 AC5:AF12 AJ5:AM12 AX5:BA12 BE5:BH12 BL5:BO12 CG5:CJ12 CN5:CQ12 CU5:CX12 DB5:DE12 DI5:DL12 DP5:DS12 DW5:DZ12 O27:R33 BZ5:CC12 CN27:CQ33 BS5:BV12 V27:Y33 AC27:AF33 AJ27:AM33 AX27:BA33 BE27:BH33 BL27:BO33 BS27:BV33 AQ27:AT33 CU27:CX33 DB27:DE33 DI27:DL33 DP27:DS33 DW27:DZ33 BZ27:CC33 DW57:DZ67 AX57:BA67 O57:R67 V57:Y67 BZ45:CC54 AC57:AF67 AJ57:AM67 AQ57:AT67 AQ5:AT12 BE57:BH67 BL57:BO67 BS57:BV67 CG57:CJ67 CN57:CQ67 CU57:CX67 DB57:DE67 DI57:DL67 DP57:DS67 V36:Y42 DW36:DZ42 DP36:DS42 DI36:DL42 DB36:DE42 CU36:CX42 CN36:CQ42 BZ36:CC42 BS36:BV42 BL36:BO42 AX36:BA42 AQ36:AT42 AJ36:AM42 AC36:AF42 CG36:CJ42 O36:R42 AX14:BA24 DW14:DZ24 DP14:DS24 DI14:DL24 DB14:DE24 CU14:CX24 CN14:CQ24 CG14:CJ24 BS14:BV24 BL14:BO24 BE14:BH24 AQ14:AT24 AJ14:AM24 AC14:AF24 V14:Y24 O14:R24 BZ14:CC24 AX45:BA54 DW45:DZ54 O45:R54 V45:Y54 AC45:AF54 AJ45:AM54 AQ45:AT54 BE45:BH54 BL45:BO54 BS45:BV54 CG45:CJ54 CN45:CQ54 CU45:CX54 DB45:DE54 DI45:DL54 DP45:DS54 CG27:CJ33" xr:uid="{00000000-0002-0000-0100-000000000000}">
      <formula1>"10%,20%,30%,40%,50%,60%,70%,80%,90%,100%"</formula1>
    </dataValidation>
  </dataValidation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activeCell="E32" sqref="E32"/>
    </sheetView>
  </sheetViews>
  <sheetFormatPr baseColWidth="10" defaultColWidth="11.25" defaultRowHeight="15" customHeight="1" x14ac:dyDescent="0.25"/>
  <cols>
    <col min="1" max="1" width="6.5" customWidth="1"/>
    <col min="2" max="2" width="17.25" customWidth="1"/>
    <col min="3" max="3" width="16.75" customWidth="1"/>
    <col min="4" max="4" width="15.5" customWidth="1"/>
    <col min="5" max="5" width="16" customWidth="1"/>
    <col min="6" max="6" width="13.375" customWidth="1"/>
    <col min="7" max="26" width="6.5" customWidth="1"/>
  </cols>
  <sheetData>
    <row r="1" spans="1:8" ht="15.75" customHeight="1" x14ac:dyDescent="0.25"/>
    <row r="2" spans="1:8" ht="15.75" customHeight="1" x14ac:dyDescent="0.25"/>
    <row r="3" spans="1:8" ht="15.75" customHeight="1" x14ac:dyDescent="0.25"/>
    <row r="4" spans="1:8" ht="15.75" customHeight="1" x14ac:dyDescent="0.3">
      <c r="B4" s="16" t="s">
        <v>88</v>
      </c>
      <c r="C4" s="16" t="s">
        <v>89</v>
      </c>
      <c r="D4" s="16" t="s">
        <v>90</v>
      </c>
      <c r="E4" s="16" t="s">
        <v>91</v>
      </c>
      <c r="F4" s="16" t="s">
        <v>92</v>
      </c>
      <c r="G4" s="16" t="s">
        <v>93</v>
      </c>
      <c r="H4" s="16" t="s">
        <v>94</v>
      </c>
    </row>
    <row r="5" spans="1:8" ht="15.75" customHeight="1" x14ac:dyDescent="0.3">
      <c r="A5" s="17">
        <v>0.3125</v>
      </c>
      <c r="B5" s="36" t="s">
        <v>95</v>
      </c>
      <c r="C5" s="18"/>
      <c r="E5" s="18"/>
      <c r="F5" s="18"/>
      <c r="G5" s="18"/>
      <c r="H5" s="18"/>
    </row>
    <row r="6" spans="1:8" ht="15.75" customHeight="1" x14ac:dyDescent="0.3">
      <c r="A6" s="17">
        <v>0.33333333333333398</v>
      </c>
      <c r="B6" s="33"/>
    </row>
    <row r="7" spans="1:8" ht="15.75" customHeight="1" x14ac:dyDescent="0.3">
      <c r="A7" s="17">
        <v>0.35416666666666702</v>
      </c>
      <c r="B7" s="33"/>
    </row>
    <row r="8" spans="1:8" ht="15.75" customHeight="1" x14ac:dyDescent="0.3">
      <c r="A8" s="17">
        <v>0.375</v>
      </c>
      <c r="B8" s="34"/>
    </row>
    <row r="9" spans="1:8" ht="15.75" customHeight="1" x14ac:dyDescent="0.3">
      <c r="A9" s="17">
        <v>0.38541666666666669</v>
      </c>
      <c r="B9" s="32" t="s">
        <v>96</v>
      </c>
      <c r="C9" s="35" t="s">
        <v>97</v>
      </c>
      <c r="E9" s="32" t="s">
        <v>98</v>
      </c>
      <c r="F9" s="35" t="s">
        <v>99</v>
      </c>
    </row>
    <row r="10" spans="1:8" ht="15.75" customHeight="1" x14ac:dyDescent="0.3">
      <c r="A10" s="17">
        <v>0.39583333333333398</v>
      </c>
      <c r="B10" s="33"/>
      <c r="C10" s="33"/>
      <c r="E10" s="33"/>
      <c r="F10" s="33"/>
    </row>
    <row r="11" spans="1:8" ht="15.75" customHeight="1" x14ac:dyDescent="0.3">
      <c r="A11" s="17">
        <v>0.41666666666666702</v>
      </c>
      <c r="B11" s="33"/>
      <c r="C11" s="33"/>
      <c r="E11" s="33"/>
      <c r="F11" s="33"/>
    </row>
    <row r="12" spans="1:8" ht="15.75" customHeight="1" x14ac:dyDescent="0.3">
      <c r="A12" s="17">
        <v>0.4375</v>
      </c>
      <c r="B12" s="33"/>
      <c r="C12" s="33"/>
      <c r="E12" s="33"/>
      <c r="F12" s="33"/>
    </row>
    <row r="13" spans="1:8" ht="15.75" customHeight="1" x14ac:dyDescent="0.3">
      <c r="A13" s="17">
        <v>0.44791666666666669</v>
      </c>
      <c r="B13" s="34"/>
      <c r="C13" s="34"/>
      <c r="E13" s="34"/>
      <c r="F13" s="34"/>
    </row>
    <row r="14" spans="1:8" ht="15.75" customHeight="1" x14ac:dyDescent="0.3">
      <c r="A14" s="17">
        <v>0.45833333333333398</v>
      </c>
      <c r="B14" s="32" t="s">
        <v>100</v>
      </c>
      <c r="E14" s="35" t="s">
        <v>101</v>
      </c>
      <c r="F14" s="35" t="s">
        <v>102</v>
      </c>
    </row>
    <row r="15" spans="1:8" ht="15.75" customHeight="1" x14ac:dyDescent="0.3">
      <c r="A15" s="17">
        <v>0.47916666666666702</v>
      </c>
      <c r="B15" s="33"/>
      <c r="E15" s="33"/>
      <c r="F15" s="33"/>
    </row>
    <row r="16" spans="1:8" ht="15.75" customHeight="1" x14ac:dyDescent="0.3">
      <c r="A16" s="17">
        <v>0.5</v>
      </c>
      <c r="B16" s="33"/>
      <c r="E16" s="33"/>
      <c r="F16" s="33"/>
    </row>
    <row r="17" spans="1:6" ht="15.75" customHeight="1" x14ac:dyDescent="0.3">
      <c r="A17" s="17">
        <v>0.52083333333333404</v>
      </c>
      <c r="B17" s="34"/>
      <c r="E17" s="34"/>
      <c r="F17" s="34"/>
    </row>
    <row r="18" spans="1:6" ht="18.75" customHeight="1" x14ac:dyDescent="0.3">
      <c r="A18" s="17">
        <v>0.53125</v>
      </c>
      <c r="C18" s="36" t="s">
        <v>103</v>
      </c>
      <c r="D18" s="35" t="s">
        <v>104</v>
      </c>
      <c r="F18" s="32" t="s">
        <v>105</v>
      </c>
    </row>
    <row r="19" spans="1:6" ht="15.75" customHeight="1" x14ac:dyDescent="0.3">
      <c r="A19" s="17">
        <v>0.54166666666666696</v>
      </c>
      <c r="C19" s="33"/>
      <c r="D19" s="33"/>
      <c r="F19" s="33"/>
    </row>
    <row r="20" spans="1:6" ht="18.75" customHeight="1" x14ac:dyDescent="0.3">
      <c r="A20" s="17">
        <v>0.5625</v>
      </c>
      <c r="C20" s="33"/>
      <c r="D20" s="33"/>
      <c r="F20" s="33"/>
    </row>
    <row r="21" spans="1:6" ht="18.75" customHeight="1" x14ac:dyDescent="0.3">
      <c r="A21" s="17">
        <v>0.58333333333333404</v>
      </c>
      <c r="C21" s="33"/>
      <c r="D21" s="33"/>
      <c r="F21" s="33"/>
    </row>
    <row r="22" spans="1:6" ht="18.75" customHeight="1" x14ac:dyDescent="0.3">
      <c r="A22" s="17">
        <v>0.59375</v>
      </c>
      <c r="C22" s="34"/>
      <c r="D22" s="34"/>
      <c r="F22" s="34"/>
    </row>
    <row r="23" spans="1:6" ht="18.75" customHeight="1" x14ac:dyDescent="0.3">
      <c r="A23" s="17">
        <v>0.60416666666666696</v>
      </c>
      <c r="B23" s="32" t="s">
        <v>106</v>
      </c>
      <c r="C23" s="32" t="s">
        <v>107</v>
      </c>
      <c r="D23" s="36" t="s">
        <v>108</v>
      </c>
    </row>
    <row r="24" spans="1:6" ht="18.75" customHeight="1" x14ac:dyDescent="0.3">
      <c r="A24" s="17">
        <v>0.625000000000001</v>
      </c>
      <c r="B24" s="33"/>
      <c r="C24" s="33"/>
      <c r="D24" s="33"/>
    </row>
    <row r="25" spans="1:6" ht="15.75" customHeight="1" x14ac:dyDescent="0.3">
      <c r="A25" s="17">
        <v>0.64583333333333404</v>
      </c>
      <c r="B25" s="33"/>
      <c r="C25" s="33"/>
      <c r="D25" s="33"/>
    </row>
    <row r="26" spans="1:6" ht="15.75" customHeight="1" x14ac:dyDescent="0.3">
      <c r="A26" s="17">
        <v>0.66666666666666696</v>
      </c>
      <c r="B26" s="34"/>
      <c r="C26" s="34"/>
      <c r="D26" s="34"/>
    </row>
    <row r="27" spans="1:6" ht="18.75" customHeight="1" x14ac:dyDescent="0.3">
      <c r="A27" s="17">
        <v>0.67708333333333337</v>
      </c>
      <c r="D27" s="32" t="s">
        <v>109</v>
      </c>
    </row>
    <row r="28" spans="1:6" ht="15.75" customHeight="1" x14ac:dyDescent="0.3">
      <c r="A28" s="17">
        <v>0.687500000000001</v>
      </c>
      <c r="D28" s="33"/>
    </row>
    <row r="29" spans="1:6" ht="15.75" customHeight="1" x14ac:dyDescent="0.3">
      <c r="A29" s="17">
        <v>0.70833333333333404</v>
      </c>
      <c r="D29" s="33"/>
    </row>
    <row r="30" spans="1:6" ht="15.75" customHeight="1" x14ac:dyDescent="0.3">
      <c r="A30" s="17">
        <v>0.72916666666666696</v>
      </c>
      <c r="D30" s="33"/>
    </row>
    <row r="31" spans="1:6" ht="15.75" customHeight="1" x14ac:dyDescent="0.3">
      <c r="A31" s="17">
        <v>0.73958333333333337</v>
      </c>
      <c r="D31" s="34"/>
    </row>
    <row r="32" spans="1:6" ht="15.75" customHeight="1" x14ac:dyDescent="0.3">
      <c r="A32" s="17"/>
    </row>
    <row r="33" spans="1:1" ht="15.75" customHeight="1" x14ac:dyDescent="0.3">
      <c r="A33" s="17"/>
    </row>
    <row r="34" spans="1:1" ht="15.75" customHeight="1" x14ac:dyDescent="0.3">
      <c r="A34" s="17"/>
    </row>
    <row r="35" spans="1:1" ht="15.75" customHeight="1" x14ac:dyDescent="0.3">
      <c r="A35" s="17"/>
    </row>
    <row r="36" spans="1:1" ht="15.75" customHeight="1" x14ac:dyDescent="0.3">
      <c r="A36" s="17"/>
    </row>
    <row r="37" spans="1:1" ht="15.75" customHeight="1" x14ac:dyDescent="0.25"/>
    <row r="38" spans="1:1" ht="15.75" customHeight="1" x14ac:dyDescent="0.25"/>
    <row r="39" spans="1:1" ht="15.75" customHeight="1" x14ac:dyDescent="0.25"/>
    <row r="40" spans="1:1" ht="15.75" customHeight="1" x14ac:dyDescent="0.25"/>
    <row r="41" spans="1:1" ht="15.75" customHeight="1" x14ac:dyDescent="0.25"/>
    <row r="42" spans="1:1" ht="15.75" customHeight="1" x14ac:dyDescent="0.25"/>
    <row r="43" spans="1:1" ht="15.75" customHeight="1" x14ac:dyDescent="0.25"/>
    <row r="44" spans="1:1" ht="15.75" customHeight="1" x14ac:dyDescent="0.25"/>
    <row r="45" spans="1:1" ht="15.75" customHeight="1" x14ac:dyDescent="0.25"/>
    <row r="46" spans="1:1" ht="15.75" customHeight="1" x14ac:dyDescent="0.25"/>
    <row r="47" spans="1:1" ht="15.75" customHeight="1" x14ac:dyDescent="0.25"/>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D27:D31"/>
    <mergeCell ref="B14:B17"/>
    <mergeCell ref="B23:B26"/>
    <mergeCell ref="B5:B8"/>
    <mergeCell ref="B9:B13"/>
    <mergeCell ref="C9:C13"/>
    <mergeCell ref="C18:C22"/>
    <mergeCell ref="D18:D22"/>
    <mergeCell ref="C23:C26"/>
    <mergeCell ref="D23:D26"/>
    <mergeCell ref="E9:E13"/>
    <mergeCell ref="F9:F13"/>
    <mergeCell ref="E14:E17"/>
    <mergeCell ref="F14:F17"/>
    <mergeCell ref="F18:F22"/>
  </mergeCells>
  <pageMargins left="0.7" right="0.7" top="0.78740157499999996" bottom="0.78740157499999996"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25" defaultRowHeight="15" customHeight="1" x14ac:dyDescent="0.25"/>
  <cols>
    <col min="1" max="7" width="6.375" customWidth="1"/>
    <col min="8" max="8" width="17.75" customWidth="1"/>
    <col min="9" max="26" width="6.375" customWidth="1"/>
  </cols>
  <sheetData>
    <row r="1" spans="1:8" ht="15.75" customHeight="1" x14ac:dyDescent="0.4">
      <c r="B1" s="19" t="s">
        <v>110</v>
      </c>
    </row>
    <row r="2" spans="1:8" ht="15.75" customHeight="1" x14ac:dyDescent="0.25"/>
    <row r="3" spans="1:8" ht="15.75" customHeight="1" x14ac:dyDescent="0.25"/>
    <row r="4" spans="1:8" ht="15.75" customHeight="1" x14ac:dyDescent="0.25">
      <c r="B4" s="20" t="s">
        <v>88</v>
      </c>
      <c r="C4" s="20" t="s">
        <v>89</v>
      </c>
      <c r="D4" s="20" t="s">
        <v>90</v>
      </c>
      <c r="E4" s="20" t="s">
        <v>91</v>
      </c>
      <c r="F4" s="20" t="s">
        <v>92</v>
      </c>
      <c r="G4" s="20" t="s">
        <v>93</v>
      </c>
      <c r="H4" s="20" t="s">
        <v>94</v>
      </c>
    </row>
    <row r="5" spans="1:8" ht="15.75" customHeight="1" x14ac:dyDescent="0.25">
      <c r="A5" s="21">
        <v>0.16666666666666666</v>
      </c>
    </row>
    <row r="6" spans="1:8" ht="15.75" customHeight="1" x14ac:dyDescent="0.25">
      <c r="A6" s="21">
        <v>0.1875</v>
      </c>
    </row>
    <row r="7" spans="1:8" ht="15.75" customHeight="1" x14ac:dyDescent="0.25">
      <c r="A7" s="21">
        <v>0.20833333333333301</v>
      </c>
    </row>
    <row r="8" spans="1:8" ht="15.75" customHeight="1" x14ac:dyDescent="0.25">
      <c r="A8" s="21">
        <v>0.22916666666666699</v>
      </c>
    </row>
    <row r="9" spans="1:8" ht="15.75" customHeight="1" x14ac:dyDescent="0.25">
      <c r="A9" s="21">
        <v>0.25</v>
      </c>
    </row>
    <row r="10" spans="1:8" ht="15.75" customHeight="1" x14ac:dyDescent="0.25">
      <c r="A10" s="21">
        <v>0.27083333333333398</v>
      </c>
    </row>
    <row r="11" spans="1:8" ht="15.75" customHeight="1" x14ac:dyDescent="0.25">
      <c r="A11" s="21">
        <v>0.29166666666666702</v>
      </c>
    </row>
    <row r="12" spans="1:8" ht="15.75" customHeight="1" x14ac:dyDescent="0.25">
      <c r="A12" s="21">
        <v>0.3125</v>
      </c>
    </row>
    <row r="13" spans="1:8" ht="15.75" customHeight="1" x14ac:dyDescent="0.25">
      <c r="A13" s="21">
        <v>0.33333333333333398</v>
      </c>
    </row>
    <row r="14" spans="1:8" ht="15.75" customHeight="1" x14ac:dyDescent="0.25">
      <c r="A14" s="21">
        <v>0.35416666666666702</v>
      </c>
    </row>
    <row r="15" spans="1:8" ht="15.75" customHeight="1" x14ac:dyDescent="0.25">
      <c r="A15" s="21">
        <v>0.375</v>
      </c>
    </row>
    <row r="16" spans="1:8" ht="15.75" customHeight="1" x14ac:dyDescent="0.25">
      <c r="A16" s="21">
        <v>0.39583333333333398</v>
      </c>
    </row>
    <row r="17" spans="1:1" ht="15.75" customHeight="1" x14ac:dyDescent="0.25">
      <c r="A17" s="21">
        <v>0.41666666666666702</v>
      </c>
    </row>
    <row r="18" spans="1:1" ht="15.75" customHeight="1" x14ac:dyDescent="0.25">
      <c r="A18" s="21">
        <v>0.4375</v>
      </c>
    </row>
    <row r="19" spans="1:1" ht="15.75" customHeight="1" x14ac:dyDescent="0.25">
      <c r="A19" s="21">
        <v>0.45833333333333398</v>
      </c>
    </row>
    <row r="20" spans="1:1" ht="15.75" customHeight="1" x14ac:dyDescent="0.25">
      <c r="A20" s="21">
        <v>0.47916666666666702</v>
      </c>
    </row>
    <row r="21" spans="1:1" ht="15.75" customHeight="1" x14ac:dyDescent="0.25">
      <c r="A21" s="21">
        <v>0.5</v>
      </c>
    </row>
    <row r="22" spans="1:1" ht="15.75" customHeight="1" x14ac:dyDescent="0.25">
      <c r="A22" s="21">
        <v>0.52083333333333404</v>
      </c>
    </row>
    <row r="23" spans="1:1" ht="15.75" customHeight="1" x14ac:dyDescent="0.25">
      <c r="A23" s="21">
        <v>0.54166666666666696</v>
      </c>
    </row>
    <row r="24" spans="1:1" ht="15.75" customHeight="1" x14ac:dyDescent="0.25">
      <c r="A24" s="21">
        <v>0.5625</v>
      </c>
    </row>
    <row r="25" spans="1:1" ht="15.75" customHeight="1" x14ac:dyDescent="0.25">
      <c r="A25" s="21">
        <v>0.58333333333333404</v>
      </c>
    </row>
    <row r="26" spans="1:1" ht="15.75" customHeight="1" x14ac:dyDescent="0.25">
      <c r="A26" s="21">
        <v>0.60416666666666696</v>
      </c>
    </row>
    <row r="27" spans="1:1" ht="15.75" customHeight="1" x14ac:dyDescent="0.25">
      <c r="A27" s="21">
        <v>0.625000000000001</v>
      </c>
    </row>
    <row r="28" spans="1:1" ht="15.75" customHeight="1" x14ac:dyDescent="0.25">
      <c r="A28" s="21">
        <v>0.63541666666666663</v>
      </c>
    </row>
    <row r="29" spans="1:1" ht="15.75" customHeight="1" x14ac:dyDescent="0.25">
      <c r="A29" s="21">
        <v>0.64583333333333404</v>
      </c>
    </row>
    <row r="30" spans="1:1" ht="15.75" customHeight="1" x14ac:dyDescent="0.25">
      <c r="A30" s="21">
        <v>0.66666666666666696</v>
      </c>
    </row>
    <row r="31" spans="1:1" ht="15.75" customHeight="1" x14ac:dyDescent="0.25">
      <c r="A31" s="21">
        <v>0.687500000000001</v>
      </c>
    </row>
    <row r="32" spans="1:1" ht="15.75" customHeight="1" x14ac:dyDescent="0.25">
      <c r="A32" s="21">
        <v>0.70833333333333404</v>
      </c>
    </row>
    <row r="33" spans="1:1" ht="15.75" customHeight="1" x14ac:dyDescent="0.25">
      <c r="A33" s="21">
        <v>0.72916666666666696</v>
      </c>
    </row>
    <row r="34" spans="1:1" ht="15.75" customHeight="1" x14ac:dyDescent="0.25">
      <c r="A34" s="21">
        <v>0.750000000000001</v>
      </c>
    </row>
    <row r="35" spans="1:1" ht="15.75" customHeight="1" x14ac:dyDescent="0.25">
      <c r="A35" s="21">
        <v>0.77083333333333404</v>
      </c>
    </row>
    <row r="36" spans="1:1" ht="15.75" customHeight="1" x14ac:dyDescent="0.25">
      <c r="A36" s="21">
        <v>0.79166666666666696</v>
      </c>
    </row>
    <row r="37" spans="1:1" ht="15.75" customHeight="1" x14ac:dyDescent="0.25">
      <c r="A37" s="21">
        <v>0.812500000000001</v>
      </c>
    </row>
    <row r="38" spans="1:1" ht="15.75" customHeight="1" x14ac:dyDescent="0.25">
      <c r="A38" s="21">
        <v>0.83333333333333404</v>
      </c>
    </row>
    <row r="39" spans="1:1" ht="15.75" customHeight="1" x14ac:dyDescent="0.25">
      <c r="A39" s="21">
        <v>0.85416666666666696</v>
      </c>
    </row>
    <row r="40" spans="1:1" ht="15.75" customHeight="1" x14ac:dyDescent="0.25">
      <c r="A40" s="21">
        <v>0.875000000000001</v>
      </c>
    </row>
    <row r="41" spans="1:1" ht="15.75" customHeight="1" x14ac:dyDescent="0.25">
      <c r="A41" s="21">
        <v>0.89583333333333404</v>
      </c>
    </row>
    <row r="42" spans="1:1" ht="15.75" customHeight="1" x14ac:dyDescent="0.25">
      <c r="A42" s="21">
        <v>0.91666666666666696</v>
      </c>
    </row>
    <row r="43" spans="1:1" ht="15.75" customHeight="1" x14ac:dyDescent="0.25">
      <c r="A43" s="21">
        <v>0.937500000000001</v>
      </c>
    </row>
    <row r="44" spans="1:1" ht="15.75" customHeight="1" x14ac:dyDescent="0.25">
      <c r="A44" s="21">
        <v>0.95833333333333404</v>
      </c>
    </row>
    <row r="45" spans="1:1" ht="15.75" customHeight="1" x14ac:dyDescent="0.25">
      <c r="A45" s="21">
        <v>0.97916666666666696</v>
      </c>
    </row>
    <row r="46" spans="1:1" ht="15.75" customHeight="1" x14ac:dyDescent="0.25">
      <c r="A46" s="21">
        <v>1</v>
      </c>
    </row>
    <row r="47" spans="1:1" ht="15.75" customHeight="1" x14ac:dyDescent="0.25">
      <c r="A47" s="21">
        <v>1.0208333333333299</v>
      </c>
    </row>
    <row r="48" spans="1:1" ht="15.75" customHeight="1" x14ac:dyDescent="0.25">
      <c r="A48" s="21">
        <v>1.0416666666666701</v>
      </c>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baseColWidth="10" defaultColWidth="11.25" defaultRowHeight="15" customHeight="1" x14ac:dyDescent="0.25"/>
  <cols>
    <col min="1" max="26" width="6.375" customWidth="1"/>
  </cols>
  <sheetData>
    <row r="1" spans="1:8" ht="15.75" customHeight="1" x14ac:dyDescent="0.4">
      <c r="B1" s="19" t="s">
        <v>110</v>
      </c>
    </row>
    <row r="2" spans="1:8" ht="15.75" customHeight="1" x14ac:dyDescent="0.25"/>
    <row r="3" spans="1:8" ht="15.75" customHeight="1" x14ac:dyDescent="0.25"/>
    <row r="4" spans="1:8" ht="15.75" customHeight="1" x14ac:dyDescent="0.25">
      <c r="B4" s="4" t="s">
        <v>88</v>
      </c>
      <c r="C4" s="4" t="s">
        <v>89</v>
      </c>
      <c r="D4" s="4" t="s">
        <v>90</v>
      </c>
      <c r="E4" s="4" t="s">
        <v>91</v>
      </c>
      <c r="F4" s="4" t="s">
        <v>92</v>
      </c>
      <c r="G4" s="4" t="s">
        <v>93</v>
      </c>
      <c r="H4" s="4" t="s">
        <v>94</v>
      </c>
    </row>
    <row r="5" spans="1:8" ht="15.75" customHeight="1" x14ac:dyDescent="0.25">
      <c r="A5" s="21">
        <v>0.16666666666666666</v>
      </c>
    </row>
    <row r="6" spans="1:8" ht="15.75" customHeight="1" x14ac:dyDescent="0.25">
      <c r="A6" s="21">
        <v>0.1875</v>
      </c>
    </row>
    <row r="7" spans="1:8" ht="15.75" customHeight="1" x14ac:dyDescent="0.25">
      <c r="A7" s="21">
        <v>0.20833333333333301</v>
      </c>
    </row>
    <row r="8" spans="1:8" ht="15.75" customHeight="1" x14ac:dyDescent="0.25">
      <c r="A8" s="21">
        <v>0.22916666666666699</v>
      </c>
    </row>
    <row r="9" spans="1:8" ht="15.75" customHeight="1" x14ac:dyDescent="0.25">
      <c r="A9" s="21">
        <v>0.25</v>
      </c>
    </row>
    <row r="10" spans="1:8" ht="15.75" customHeight="1" x14ac:dyDescent="0.25">
      <c r="A10" s="21">
        <v>0.27083333333333398</v>
      </c>
    </row>
    <row r="11" spans="1:8" ht="15.75" customHeight="1" x14ac:dyDescent="0.25">
      <c r="A11" s="21">
        <v>0.29166666666666702</v>
      </c>
    </row>
    <row r="12" spans="1:8" ht="15.75" customHeight="1" x14ac:dyDescent="0.25">
      <c r="A12" s="21">
        <v>0.3125</v>
      </c>
    </row>
    <row r="13" spans="1:8" ht="15.75" customHeight="1" x14ac:dyDescent="0.25">
      <c r="A13" s="21">
        <v>0.33333333333333398</v>
      </c>
    </row>
    <row r="14" spans="1:8" ht="15.75" customHeight="1" x14ac:dyDescent="0.25">
      <c r="A14" s="21">
        <v>0.35416666666666702</v>
      </c>
    </row>
    <row r="15" spans="1:8" ht="15.75" customHeight="1" x14ac:dyDescent="0.25">
      <c r="A15" s="21">
        <v>0.375</v>
      </c>
    </row>
    <row r="16" spans="1:8" ht="15.75" customHeight="1" x14ac:dyDescent="0.25">
      <c r="A16" s="21">
        <v>0.39583333333333398</v>
      </c>
    </row>
    <row r="17" spans="1:1" ht="15.75" customHeight="1" x14ac:dyDescent="0.25">
      <c r="A17" s="21">
        <v>0.41666666666666702</v>
      </c>
    </row>
    <row r="18" spans="1:1" ht="15.75" customHeight="1" x14ac:dyDescent="0.25">
      <c r="A18" s="21">
        <v>0.4375</v>
      </c>
    </row>
    <row r="19" spans="1:1" ht="15.75" customHeight="1" x14ac:dyDescent="0.25">
      <c r="A19" s="21">
        <v>0.45833333333333398</v>
      </c>
    </row>
    <row r="20" spans="1:1" ht="15.75" customHeight="1" x14ac:dyDescent="0.25">
      <c r="A20" s="21">
        <v>0.47916666666666702</v>
      </c>
    </row>
    <row r="21" spans="1:1" ht="15.75" customHeight="1" x14ac:dyDescent="0.25">
      <c r="A21" s="21">
        <v>0.5</v>
      </c>
    </row>
    <row r="22" spans="1:1" ht="15.75" customHeight="1" x14ac:dyDescent="0.25">
      <c r="A22" s="21">
        <v>0.52083333333333404</v>
      </c>
    </row>
    <row r="23" spans="1:1" ht="15.75" customHeight="1" x14ac:dyDescent="0.25">
      <c r="A23" s="21">
        <v>0.54166666666666696</v>
      </c>
    </row>
    <row r="24" spans="1:1" ht="15.75" customHeight="1" x14ac:dyDescent="0.25">
      <c r="A24" s="21">
        <v>0.5625</v>
      </c>
    </row>
    <row r="25" spans="1:1" ht="15.75" customHeight="1" x14ac:dyDescent="0.25">
      <c r="A25" s="21">
        <v>0.58333333333333404</v>
      </c>
    </row>
    <row r="26" spans="1:1" ht="15.75" customHeight="1" x14ac:dyDescent="0.25">
      <c r="A26" s="21">
        <v>0.60416666666666696</v>
      </c>
    </row>
    <row r="27" spans="1:1" ht="15.75" customHeight="1" x14ac:dyDescent="0.25">
      <c r="A27" s="21">
        <v>0.625000000000001</v>
      </c>
    </row>
    <row r="28" spans="1:1" ht="15.75" customHeight="1" x14ac:dyDescent="0.25">
      <c r="A28" s="21">
        <v>0.64583333333333404</v>
      </c>
    </row>
    <row r="29" spans="1:1" ht="15.75" customHeight="1" x14ac:dyDescent="0.25">
      <c r="A29" s="21">
        <v>0.66666666666666696</v>
      </c>
    </row>
    <row r="30" spans="1:1" ht="15.75" customHeight="1" x14ac:dyDescent="0.25">
      <c r="A30" s="21">
        <v>0.687500000000001</v>
      </c>
    </row>
    <row r="31" spans="1:1" ht="15.75" customHeight="1" x14ac:dyDescent="0.25">
      <c r="A31" s="21">
        <v>0.70833333333333404</v>
      </c>
    </row>
    <row r="32" spans="1:1" ht="15.75" customHeight="1" x14ac:dyDescent="0.25">
      <c r="A32" s="21">
        <v>0.72916666666666696</v>
      </c>
    </row>
    <row r="33" spans="1:1" ht="15.75" customHeight="1" x14ac:dyDescent="0.25">
      <c r="A33" s="21">
        <v>0.750000000000001</v>
      </c>
    </row>
    <row r="34" spans="1:1" ht="15.75" customHeight="1" x14ac:dyDescent="0.25">
      <c r="A34" s="21">
        <v>0.77083333333333404</v>
      </c>
    </row>
    <row r="35" spans="1:1" ht="15.75" customHeight="1" x14ac:dyDescent="0.25">
      <c r="A35" s="21">
        <v>0.79166666666666696</v>
      </c>
    </row>
    <row r="36" spans="1:1" ht="15.75" customHeight="1" x14ac:dyDescent="0.25">
      <c r="A36" s="21">
        <v>0.812500000000001</v>
      </c>
    </row>
    <row r="37" spans="1:1" ht="15.75" customHeight="1" x14ac:dyDescent="0.25">
      <c r="A37" s="21">
        <v>0.83333333333333404</v>
      </c>
    </row>
    <row r="38" spans="1:1" ht="15.75" customHeight="1" x14ac:dyDescent="0.25">
      <c r="A38" s="21">
        <v>0.85416666666666696</v>
      </c>
    </row>
    <row r="39" spans="1:1" ht="15.75" customHeight="1" x14ac:dyDescent="0.25">
      <c r="A39" s="21">
        <v>0.875000000000001</v>
      </c>
    </row>
    <row r="40" spans="1:1" ht="15.75" customHeight="1" x14ac:dyDescent="0.25">
      <c r="A40" s="21">
        <v>0.89583333333333404</v>
      </c>
    </row>
    <row r="41" spans="1:1" ht="15.75" customHeight="1" x14ac:dyDescent="0.25">
      <c r="A41" s="21">
        <v>0.91666666666666696</v>
      </c>
    </row>
    <row r="42" spans="1:1" ht="15.75" customHeight="1" x14ac:dyDescent="0.25">
      <c r="A42" s="21">
        <v>0.937500000000001</v>
      </c>
    </row>
    <row r="43" spans="1:1" ht="15.75" customHeight="1" x14ac:dyDescent="0.25">
      <c r="A43" s="21">
        <v>0.95833333333333404</v>
      </c>
    </row>
    <row r="44" spans="1:1" ht="15.75" customHeight="1" x14ac:dyDescent="0.25">
      <c r="A44" s="21">
        <v>0.97916666666666696</v>
      </c>
    </row>
    <row r="45" spans="1:1" ht="15.75" customHeight="1" x14ac:dyDescent="0.25">
      <c r="A45" s="21">
        <v>1</v>
      </c>
    </row>
    <row r="46" spans="1:1" ht="15.75" customHeight="1" x14ac:dyDescent="0.25">
      <c r="A46" s="21">
        <v>1.0208333333333299</v>
      </c>
    </row>
    <row r="47" spans="1:1" ht="15.75" customHeight="1" x14ac:dyDescent="0.25">
      <c r="A47" s="21">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1000"/>
  <sheetViews>
    <sheetView workbookViewId="0"/>
  </sheetViews>
  <sheetFormatPr baseColWidth="10" defaultColWidth="11.25" defaultRowHeight="15" customHeight="1" x14ac:dyDescent="0.25"/>
  <cols>
    <col min="1" max="1" width="6.375" customWidth="1"/>
    <col min="2" max="2" width="97.375" customWidth="1"/>
    <col min="3" max="3" width="6.5" customWidth="1"/>
    <col min="4" max="26" width="6.375" customWidth="1"/>
  </cols>
  <sheetData>
    <row r="1" spans="2:2" ht="15.75" customHeight="1" x14ac:dyDescent="0.25"/>
    <row r="2" spans="2:2" ht="15.75" customHeight="1" x14ac:dyDescent="0.25"/>
    <row r="3" spans="2:2" ht="15.75" customHeight="1" x14ac:dyDescent="0.25"/>
    <row r="4" spans="2:2" ht="15.75" customHeight="1" x14ac:dyDescent="0.35">
      <c r="B4" s="22" t="s">
        <v>111</v>
      </c>
    </row>
    <row r="5" spans="2:2" ht="15.75" customHeight="1" x14ac:dyDescent="0.25"/>
    <row r="6" spans="2:2" ht="15.75" customHeight="1" x14ac:dyDescent="0.25">
      <c r="B6" s="4" t="s">
        <v>112</v>
      </c>
    </row>
    <row r="7" spans="2:2" ht="15.75" customHeight="1" x14ac:dyDescent="0.25">
      <c r="B7" s="23" t="s">
        <v>113</v>
      </c>
    </row>
    <row r="8" spans="2:2" ht="15.75" customHeight="1" x14ac:dyDescent="0.25"/>
    <row r="9" spans="2:2" ht="15.75" customHeight="1" x14ac:dyDescent="0.25">
      <c r="B9" s="4" t="s">
        <v>114</v>
      </c>
    </row>
    <row r="10" spans="2:2" ht="15.75" customHeight="1" x14ac:dyDescent="0.25">
      <c r="B10" s="23" t="s">
        <v>115</v>
      </c>
    </row>
    <row r="11" spans="2:2" ht="15.75" customHeight="1" x14ac:dyDescent="0.25"/>
    <row r="12" spans="2:2" ht="15.75" customHeight="1" x14ac:dyDescent="0.25">
      <c r="B12" s="4" t="s">
        <v>116</v>
      </c>
    </row>
    <row r="13" spans="2:2" ht="15.75" customHeight="1" x14ac:dyDescent="0.25">
      <c r="B13" s="23" t="s">
        <v>117</v>
      </c>
    </row>
    <row r="14" spans="2:2" ht="15.75" customHeight="1" x14ac:dyDescent="0.25"/>
    <row r="15" spans="2:2" ht="15.75" customHeight="1" x14ac:dyDescent="0.25">
      <c r="B15" s="4" t="s">
        <v>118</v>
      </c>
    </row>
    <row r="16" spans="2:2" ht="15.75" customHeight="1" x14ac:dyDescent="0.25">
      <c r="B16" s="23" t="s">
        <v>119</v>
      </c>
    </row>
    <row r="17" spans="2:2" ht="15.75" customHeight="1" x14ac:dyDescent="0.25">
      <c r="B17" s="23"/>
    </row>
    <row r="18" spans="2:2" ht="15.75" customHeight="1" x14ac:dyDescent="0.25">
      <c r="B18" s="4" t="s">
        <v>120</v>
      </c>
    </row>
    <row r="19" spans="2:2" ht="15.75" customHeight="1" x14ac:dyDescent="0.25">
      <c r="B19" s="23" t="s">
        <v>121</v>
      </c>
    </row>
    <row r="20" spans="2:2" ht="15.75" customHeight="1" x14ac:dyDescent="0.25"/>
    <row r="21" spans="2:2" ht="15.75" customHeight="1" x14ac:dyDescent="0.25">
      <c r="B21" s="4" t="s">
        <v>122</v>
      </c>
    </row>
    <row r="22" spans="2:2" ht="15.75" customHeight="1" x14ac:dyDescent="0.25">
      <c r="B22" s="23" t="s">
        <v>123</v>
      </c>
    </row>
    <row r="23" spans="2:2" ht="15.75" customHeight="1" x14ac:dyDescent="0.25"/>
    <row r="24" spans="2:2" ht="15.75" customHeight="1" x14ac:dyDescent="0.25">
      <c r="B24" s="4" t="s">
        <v>124</v>
      </c>
    </row>
    <row r="25" spans="2:2" ht="15.75" customHeight="1" x14ac:dyDescent="0.25">
      <c r="B25" s="23" t="s">
        <v>125</v>
      </c>
    </row>
    <row r="26" spans="2:2" ht="15.75" customHeight="1" x14ac:dyDescent="0.25"/>
    <row r="27" spans="2:2" ht="15.75" customHeight="1" x14ac:dyDescent="0.25"/>
    <row r="28" spans="2:2" ht="15.75" customHeight="1" x14ac:dyDescent="0.25"/>
    <row r="29" spans="2:2" ht="15.75" customHeight="1" x14ac:dyDescent="0.25"/>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baseColWidth="10" defaultColWidth="11.25" defaultRowHeight="15" customHeight="1" x14ac:dyDescent="0.25"/>
  <cols>
    <col min="1" max="1" width="10.25" customWidth="1"/>
    <col min="2" max="2" width="11.5" customWidth="1"/>
    <col min="3" max="3" width="11" customWidth="1"/>
    <col min="4" max="4" width="11.75" customWidth="1"/>
    <col min="5" max="7" width="6.375" customWidth="1"/>
    <col min="8" max="8" width="9.25" customWidth="1"/>
    <col min="9" max="9" width="6.375" customWidth="1"/>
    <col min="10" max="10" width="25.5" customWidth="1"/>
    <col min="11" max="11" width="17.25" customWidth="1"/>
    <col min="12" max="26" width="6.375" customWidth="1"/>
  </cols>
  <sheetData>
    <row r="1" spans="1:11" ht="15.75" customHeight="1" x14ac:dyDescent="0.25">
      <c r="A1" s="10" t="s">
        <v>126</v>
      </c>
      <c r="B1" s="24" t="s">
        <v>127</v>
      </c>
      <c r="C1" s="24" t="s">
        <v>128</v>
      </c>
      <c r="D1" s="24" t="s">
        <v>129</v>
      </c>
      <c r="E1" s="23" t="s">
        <v>130</v>
      </c>
      <c r="F1" s="23" t="s">
        <v>131</v>
      </c>
      <c r="G1" s="23" t="s">
        <v>132</v>
      </c>
      <c r="H1" s="23" t="s">
        <v>133</v>
      </c>
      <c r="I1" s="23" t="s">
        <v>134</v>
      </c>
      <c r="J1" s="23" t="s">
        <v>135</v>
      </c>
      <c r="K1" s="23" t="s">
        <v>136</v>
      </c>
    </row>
    <row r="2" spans="1:11" ht="15.75" customHeight="1" x14ac:dyDescent="0.25">
      <c r="A2" s="25"/>
      <c r="B2" s="10"/>
      <c r="C2" s="10"/>
      <c r="D2" s="13">
        <v>1</v>
      </c>
      <c r="E2" s="5"/>
      <c r="F2" s="5"/>
      <c r="G2" s="5"/>
      <c r="H2" s="5"/>
      <c r="I2" s="5"/>
      <c r="J2" s="5"/>
      <c r="K2" s="5"/>
    </row>
    <row r="3" spans="1:11" ht="15.75" customHeight="1" x14ac:dyDescent="0.25">
      <c r="A3" s="25">
        <v>44119</v>
      </c>
      <c r="B3" s="10"/>
      <c r="C3" s="10"/>
      <c r="D3" s="10"/>
      <c r="E3" s="5"/>
      <c r="F3" s="5"/>
      <c r="G3" s="5"/>
      <c r="H3" s="5"/>
      <c r="I3" s="5"/>
      <c r="J3" s="5"/>
      <c r="K3" s="5"/>
    </row>
    <row r="4" spans="1:11" ht="15.75" customHeight="1" x14ac:dyDescent="0.25">
      <c r="A4" s="25">
        <v>44120</v>
      </c>
      <c r="B4" s="10"/>
      <c r="C4" s="10"/>
      <c r="D4" s="10"/>
      <c r="E4" s="5"/>
      <c r="F4" s="5"/>
      <c r="G4" s="5"/>
      <c r="H4" s="5"/>
      <c r="I4" s="5"/>
      <c r="J4" s="5"/>
      <c r="K4" s="5"/>
    </row>
    <row r="5" spans="1:11" ht="15.75" customHeight="1" x14ac:dyDescent="0.25">
      <c r="A5" s="25">
        <v>44121</v>
      </c>
      <c r="B5" s="10"/>
      <c r="C5" s="10"/>
      <c r="D5" s="10"/>
      <c r="E5" s="5"/>
      <c r="F5" s="5"/>
      <c r="G5" s="5"/>
      <c r="H5" s="5"/>
      <c r="I5" s="5"/>
      <c r="J5" s="5"/>
      <c r="K5" s="5"/>
    </row>
    <row r="6" spans="1:11" ht="15.75" customHeight="1" x14ac:dyDescent="0.25">
      <c r="A6" s="25">
        <v>44122</v>
      </c>
      <c r="B6" s="10"/>
      <c r="C6" s="10"/>
      <c r="D6" s="10"/>
      <c r="E6" s="5"/>
      <c r="F6" s="5"/>
      <c r="G6" s="5"/>
      <c r="H6" s="5"/>
      <c r="I6" s="5"/>
      <c r="J6" s="5"/>
      <c r="K6" s="5"/>
    </row>
    <row r="7" spans="1:11" ht="15.75" customHeight="1" x14ac:dyDescent="0.25">
      <c r="A7" s="25">
        <v>44123</v>
      </c>
      <c r="B7" s="10"/>
      <c r="C7" s="10"/>
      <c r="D7" s="10"/>
      <c r="E7" s="5"/>
      <c r="F7" s="5"/>
      <c r="G7" s="5"/>
      <c r="H7" s="5"/>
      <c r="I7" s="5"/>
      <c r="J7" s="5"/>
      <c r="K7" s="5"/>
    </row>
    <row r="8" spans="1:11" ht="15.75" customHeight="1" x14ac:dyDescent="0.25">
      <c r="A8" s="25">
        <v>44124</v>
      </c>
      <c r="B8" s="10"/>
      <c r="C8" s="10"/>
      <c r="D8" s="10"/>
      <c r="E8" s="5"/>
      <c r="F8" s="5"/>
      <c r="G8" s="5"/>
      <c r="H8" s="5"/>
      <c r="I8" s="5"/>
      <c r="J8" s="5"/>
      <c r="K8" s="5"/>
    </row>
    <row r="9" spans="1:11" ht="15.75" customHeight="1" x14ac:dyDescent="0.25">
      <c r="A9" s="25">
        <v>44125</v>
      </c>
      <c r="B9" s="10"/>
      <c r="C9" s="10"/>
      <c r="D9" s="10"/>
      <c r="E9" s="5"/>
      <c r="F9" s="5"/>
      <c r="G9" s="5"/>
      <c r="H9" s="5"/>
      <c r="I9" s="5"/>
      <c r="J9" s="5"/>
      <c r="K9" s="5"/>
    </row>
    <row r="10" spans="1:11" ht="15.75" customHeight="1" x14ac:dyDescent="0.25">
      <c r="A10" s="25">
        <v>44126</v>
      </c>
      <c r="B10" s="10"/>
      <c r="C10" s="10"/>
      <c r="D10" s="10"/>
      <c r="E10" s="5"/>
      <c r="F10" s="5"/>
      <c r="G10" s="5"/>
      <c r="H10" s="5"/>
      <c r="I10" s="5"/>
      <c r="J10" s="5"/>
      <c r="K10" s="5"/>
    </row>
    <row r="11" spans="1:11" ht="15.75" customHeight="1" x14ac:dyDescent="0.25">
      <c r="A11" s="25">
        <v>44127</v>
      </c>
      <c r="B11" s="10"/>
      <c r="C11" s="10"/>
      <c r="D11" s="10"/>
      <c r="E11" s="5"/>
      <c r="F11" s="5"/>
      <c r="G11" s="5"/>
      <c r="H11" s="5"/>
      <c r="I11" s="5"/>
      <c r="J11" s="5"/>
      <c r="K11" s="5"/>
    </row>
    <row r="12" spans="1:11" ht="15.75" customHeight="1" x14ac:dyDescent="0.25">
      <c r="A12" s="25">
        <v>44128</v>
      </c>
      <c r="B12" s="10"/>
      <c r="C12" s="10"/>
      <c r="D12" s="10"/>
      <c r="E12" s="5"/>
      <c r="F12" s="5"/>
      <c r="G12" s="5"/>
      <c r="H12" s="5"/>
      <c r="I12" s="5"/>
      <c r="J12" s="5"/>
      <c r="K12" s="5"/>
    </row>
    <row r="13" spans="1:11" ht="15.75" customHeight="1" x14ac:dyDescent="0.25">
      <c r="A13" s="25">
        <v>44129</v>
      </c>
      <c r="B13" s="10"/>
      <c r="C13" s="10"/>
      <c r="D13" s="10"/>
      <c r="E13" s="5"/>
      <c r="F13" s="5"/>
      <c r="G13" s="5"/>
      <c r="H13" s="5"/>
      <c r="I13" s="5"/>
      <c r="J13" s="5"/>
      <c r="K13" s="5"/>
    </row>
    <row r="14" spans="1:11" ht="15.75" customHeight="1" x14ac:dyDescent="0.25">
      <c r="A14" s="25">
        <v>44130</v>
      </c>
      <c r="B14" s="10"/>
      <c r="C14" s="10"/>
      <c r="D14" s="10"/>
      <c r="E14" s="5"/>
      <c r="F14" s="5"/>
      <c r="G14" s="5"/>
      <c r="H14" s="5"/>
      <c r="I14" s="5"/>
      <c r="J14" s="5"/>
      <c r="K14" s="5"/>
    </row>
    <row r="15" spans="1:11" ht="15.75" customHeight="1" x14ac:dyDescent="0.25">
      <c r="A15" s="25">
        <v>44131</v>
      </c>
      <c r="B15" s="10"/>
      <c r="C15" s="10"/>
      <c r="D15" s="10"/>
      <c r="E15" s="5"/>
      <c r="F15" s="5"/>
      <c r="G15" s="5"/>
      <c r="H15" s="5"/>
      <c r="I15" s="5"/>
      <c r="J15" s="5"/>
      <c r="K15" s="5"/>
    </row>
    <row r="16" spans="1:11" ht="15.75" customHeight="1" x14ac:dyDescent="0.25">
      <c r="A16" s="25">
        <v>44132</v>
      </c>
      <c r="B16" s="10"/>
      <c r="C16" s="10"/>
      <c r="D16" s="10"/>
      <c r="E16" s="5"/>
      <c r="F16" s="5"/>
      <c r="G16" s="5"/>
      <c r="H16" s="5"/>
      <c r="I16" s="5"/>
      <c r="J16" s="5"/>
      <c r="K16" s="5"/>
    </row>
    <row r="17" spans="1:11" ht="15.75" customHeight="1" x14ac:dyDescent="0.25">
      <c r="A17" s="25">
        <v>44133</v>
      </c>
      <c r="B17" s="10"/>
      <c r="C17" s="10"/>
      <c r="D17" s="10"/>
      <c r="E17" s="5"/>
      <c r="F17" s="5"/>
      <c r="G17" s="5"/>
      <c r="H17" s="5"/>
      <c r="I17" s="5"/>
      <c r="J17" s="5"/>
      <c r="K17" s="5"/>
    </row>
    <row r="18" spans="1:11" ht="15.75" customHeight="1" x14ac:dyDescent="0.25">
      <c r="A18" s="25">
        <v>44134</v>
      </c>
      <c r="B18" s="10"/>
      <c r="C18" s="10"/>
      <c r="D18" s="10"/>
      <c r="E18" s="5"/>
      <c r="F18" s="5"/>
      <c r="G18" s="5"/>
      <c r="H18" s="5"/>
      <c r="I18" s="5"/>
      <c r="J18" s="5"/>
      <c r="K18" s="5"/>
    </row>
    <row r="19" spans="1:11" ht="15.75" customHeight="1" x14ac:dyDescent="0.25">
      <c r="A19" s="25">
        <v>44135</v>
      </c>
      <c r="B19" s="10"/>
      <c r="C19" s="10"/>
      <c r="D19" s="10"/>
      <c r="E19" s="5"/>
      <c r="F19" s="5"/>
      <c r="G19" s="5"/>
      <c r="H19" s="5"/>
      <c r="I19" s="5"/>
      <c r="J19" s="5"/>
      <c r="K19" s="5"/>
    </row>
    <row r="20" spans="1:11" ht="15.75" customHeight="1" x14ac:dyDescent="0.25">
      <c r="A20" s="25">
        <v>44136</v>
      </c>
      <c r="B20" s="10"/>
      <c r="C20" s="10"/>
      <c r="D20" s="10"/>
      <c r="E20" s="5"/>
      <c r="F20" s="5"/>
      <c r="G20" s="5"/>
      <c r="H20" s="5"/>
      <c r="I20" s="5"/>
      <c r="J20" s="5"/>
      <c r="K20" s="5"/>
    </row>
    <row r="21" spans="1:11" ht="15.75" customHeight="1" x14ac:dyDescent="0.25">
      <c r="A21" s="25">
        <v>44137</v>
      </c>
      <c r="B21" s="10"/>
      <c r="C21" s="10"/>
      <c r="D21" s="10"/>
      <c r="E21" s="5"/>
      <c r="F21" s="5"/>
      <c r="G21" s="5"/>
      <c r="H21" s="5"/>
      <c r="I21" s="5"/>
      <c r="J21" s="5"/>
      <c r="K21" s="5"/>
    </row>
    <row r="22" spans="1:11" ht="15.75" customHeight="1" x14ac:dyDescent="0.25">
      <c r="A22" s="25">
        <v>44138</v>
      </c>
      <c r="B22" s="10"/>
      <c r="C22" s="10"/>
      <c r="D22" s="10"/>
      <c r="E22" s="5"/>
      <c r="F22" s="5"/>
      <c r="G22" s="5"/>
      <c r="H22" s="5"/>
      <c r="I22" s="5"/>
      <c r="J22" s="5"/>
      <c r="K22" s="5"/>
    </row>
    <row r="23" spans="1:11" ht="15.75" customHeight="1" x14ac:dyDescent="0.25">
      <c r="A23" s="25">
        <v>44139</v>
      </c>
      <c r="B23" s="10"/>
      <c r="C23" s="10"/>
      <c r="D23" s="10"/>
      <c r="E23" s="5"/>
      <c r="F23" s="5"/>
      <c r="G23" s="5"/>
      <c r="H23" s="5"/>
      <c r="I23" s="5"/>
      <c r="J23" s="5"/>
      <c r="K23" s="5"/>
    </row>
    <row r="24" spans="1:11" ht="15.75" customHeight="1" x14ac:dyDescent="0.25">
      <c r="A24" s="25">
        <v>44140</v>
      </c>
      <c r="B24" s="10"/>
      <c r="C24" s="10"/>
      <c r="D24" s="10"/>
      <c r="E24" s="5"/>
      <c r="F24" s="5"/>
      <c r="G24" s="5"/>
      <c r="H24" s="5"/>
      <c r="I24" s="5"/>
      <c r="J24" s="5"/>
      <c r="K24" s="5"/>
    </row>
    <row r="25" spans="1:11" ht="15.75" customHeight="1" x14ac:dyDescent="0.25">
      <c r="A25" s="25">
        <v>44141</v>
      </c>
      <c r="B25" s="10"/>
      <c r="C25" s="10"/>
      <c r="D25" s="10"/>
      <c r="E25" s="5"/>
      <c r="F25" s="5"/>
      <c r="G25" s="5"/>
      <c r="H25" s="5"/>
      <c r="I25" s="5"/>
      <c r="J25" s="5"/>
      <c r="K25" s="5"/>
    </row>
    <row r="26" spans="1:11" ht="15.75" customHeight="1" x14ac:dyDescent="0.25">
      <c r="A26" s="25">
        <v>44142</v>
      </c>
      <c r="B26" s="10"/>
      <c r="C26" s="10"/>
      <c r="D26" s="10"/>
      <c r="E26" s="5"/>
      <c r="F26" s="5"/>
      <c r="G26" s="5"/>
      <c r="H26" s="5"/>
      <c r="I26" s="5"/>
      <c r="J26" s="5"/>
      <c r="K26" s="5"/>
    </row>
    <row r="27" spans="1:11" ht="15.75" customHeight="1" x14ac:dyDescent="0.25">
      <c r="A27" s="25">
        <v>44143</v>
      </c>
      <c r="B27" s="10"/>
      <c r="C27" s="10"/>
      <c r="D27" s="10"/>
      <c r="E27" s="5"/>
      <c r="F27" s="5"/>
      <c r="G27" s="5"/>
      <c r="H27" s="5"/>
      <c r="I27" s="5"/>
      <c r="J27" s="5"/>
      <c r="K27" s="5"/>
    </row>
    <row r="28" spans="1:11" ht="15.75" customHeight="1" x14ac:dyDescent="0.25">
      <c r="A28" s="25">
        <v>44144</v>
      </c>
      <c r="B28" s="10"/>
      <c r="C28" s="10"/>
      <c r="D28" s="10"/>
      <c r="E28" s="5"/>
      <c r="F28" s="5"/>
      <c r="G28" s="5"/>
      <c r="H28" s="5"/>
      <c r="I28" s="5"/>
      <c r="J28" s="5"/>
      <c r="K28" s="5"/>
    </row>
    <row r="29" spans="1:11" ht="15.75" customHeight="1" x14ac:dyDescent="0.25">
      <c r="A29" s="25">
        <v>44145</v>
      </c>
      <c r="B29" s="10"/>
      <c r="C29" s="10"/>
      <c r="D29" s="10"/>
      <c r="E29" s="5"/>
      <c r="F29" s="5"/>
      <c r="G29" s="5"/>
      <c r="H29" s="5"/>
      <c r="I29" s="5"/>
      <c r="J29" s="5"/>
      <c r="K29" s="5"/>
    </row>
    <row r="30" spans="1:11" ht="15.75" customHeight="1" x14ac:dyDescent="0.25">
      <c r="A30" s="25">
        <v>44146</v>
      </c>
      <c r="B30" s="10"/>
      <c r="C30" s="10"/>
      <c r="D30" s="10"/>
      <c r="E30" s="5"/>
      <c r="F30" s="5"/>
      <c r="G30" s="5"/>
      <c r="H30" s="5"/>
      <c r="I30" s="5"/>
      <c r="J30" s="5"/>
      <c r="K30" s="5"/>
    </row>
    <row r="31" spans="1:11" ht="15.75" customHeight="1" x14ac:dyDescent="0.25">
      <c r="A31" s="25">
        <v>44147</v>
      </c>
      <c r="B31" s="10"/>
      <c r="C31" s="10"/>
      <c r="D31" s="10"/>
      <c r="E31" s="5"/>
      <c r="F31" s="5"/>
      <c r="G31" s="5"/>
      <c r="H31" s="5"/>
      <c r="I31" s="5"/>
      <c r="J31" s="5"/>
      <c r="K31" s="5"/>
    </row>
    <row r="32" spans="1:11" ht="15.75" customHeight="1" x14ac:dyDescent="0.25">
      <c r="A32" s="25">
        <v>44148</v>
      </c>
      <c r="B32" s="10"/>
      <c r="C32" s="10"/>
      <c r="D32" s="10"/>
      <c r="E32" s="5"/>
      <c r="F32" s="5"/>
      <c r="G32" s="5"/>
      <c r="H32" s="5"/>
      <c r="I32" s="5"/>
      <c r="J32" s="5"/>
      <c r="K32" s="5"/>
    </row>
    <row r="33" spans="1:11" ht="15.75" customHeight="1" x14ac:dyDescent="0.25">
      <c r="A33" s="25">
        <v>44149</v>
      </c>
      <c r="B33" s="10"/>
      <c r="C33" s="10"/>
      <c r="D33" s="10"/>
      <c r="E33" s="5"/>
      <c r="F33" s="5"/>
      <c r="G33" s="5"/>
      <c r="H33" s="5"/>
      <c r="I33" s="5"/>
      <c r="J33" s="5"/>
      <c r="K33" s="5"/>
    </row>
    <row r="34" spans="1:11" ht="15.75" customHeight="1" x14ac:dyDescent="0.25">
      <c r="A34" s="25">
        <v>44150</v>
      </c>
      <c r="B34" s="10"/>
      <c r="C34" s="10"/>
      <c r="D34" s="10"/>
      <c r="E34" s="5"/>
      <c r="F34" s="5"/>
      <c r="G34" s="5"/>
      <c r="H34" s="5"/>
      <c r="I34" s="5"/>
      <c r="J34" s="5"/>
      <c r="K34" s="5"/>
    </row>
    <row r="35" spans="1:11" ht="15.75" customHeight="1" x14ac:dyDescent="0.25">
      <c r="A35" s="25">
        <v>44151</v>
      </c>
      <c r="B35" s="10"/>
      <c r="C35" s="10"/>
      <c r="D35" s="10"/>
      <c r="E35" s="5"/>
      <c r="F35" s="5"/>
      <c r="G35" s="5"/>
      <c r="H35" s="5"/>
      <c r="I35" s="5"/>
      <c r="J35" s="5"/>
      <c r="K35" s="5"/>
    </row>
    <row r="36" spans="1:11" ht="15.75" customHeight="1" x14ac:dyDescent="0.25">
      <c r="A36" s="25">
        <v>44152</v>
      </c>
      <c r="B36" s="10"/>
      <c r="C36" s="10"/>
      <c r="D36" s="10"/>
      <c r="E36" s="5"/>
      <c r="F36" s="5"/>
      <c r="G36" s="5"/>
      <c r="H36" s="5"/>
      <c r="I36" s="5"/>
      <c r="J36" s="5"/>
      <c r="K36" s="5"/>
    </row>
    <row r="37" spans="1:11" ht="15.75" customHeight="1" x14ac:dyDescent="0.25">
      <c r="A37" s="25">
        <v>44153</v>
      </c>
      <c r="B37" s="10"/>
      <c r="C37" s="10"/>
      <c r="D37" s="10"/>
      <c r="E37" s="5"/>
      <c r="F37" s="5"/>
      <c r="G37" s="5"/>
      <c r="H37" s="5"/>
      <c r="I37" s="5"/>
      <c r="J37" s="5"/>
      <c r="K37" s="5"/>
    </row>
    <row r="38" spans="1:11" ht="15.75" customHeight="1" x14ac:dyDescent="0.25">
      <c r="A38" s="25">
        <v>44154</v>
      </c>
      <c r="B38" s="10"/>
      <c r="C38" s="10"/>
      <c r="D38" s="10"/>
      <c r="E38" s="5"/>
      <c r="F38" s="5"/>
      <c r="G38" s="5"/>
      <c r="H38" s="5"/>
      <c r="I38" s="5"/>
      <c r="J38" s="5"/>
      <c r="K38" s="5"/>
    </row>
    <row r="39" spans="1:11" ht="15.75" customHeight="1" x14ac:dyDescent="0.25">
      <c r="A39" s="25">
        <v>44155</v>
      </c>
      <c r="B39" s="10"/>
      <c r="C39" s="10"/>
      <c r="D39" s="10"/>
      <c r="E39" s="5"/>
      <c r="F39" s="5"/>
      <c r="G39" s="5"/>
      <c r="H39" s="5"/>
      <c r="I39" s="5"/>
      <c r="J39" s="5"/>
      <c r="K39" s="5"/>
    </row>
    <row r="40" spans="1:11" ht="15.75" customHeight="1" x14ac:dyDescent="0.25">
      <c r="A40" s="25">
        <v>44156</v>
      </c>
      <c r="B40" s="10"/>
      <c r="C40" s="10"/>
      <c r="D40" s="10"/>
      <c r="E40" s="5"/>
      <c r="F40" s="5"/>
      <c r="G40" s="5"/>
      <c r="H40" s="5"/>
      <c r="I40" s="5"/>
      <c r="J40" s="5"/>
      <c r="K40" s="5"/>
    </row>
    <row r="41" spans="1:11" ht="15.75" customHeight="1" x14ac:dyDescent="0.25">
      <c r="A41" s="25">
        <v>44157</v>
      </c>
      <c r="B41" s="10"/>
      <c r="C41" s="10"/>
      <c r="D41" s="10"/>
      <c r="E41" s="5"/>
      <c r="F41" s="5"/>
      <c r="G41" s="5"/>
      <c r="H41" s="5"/>
      <c r="I41" s="5"/>
      <c r="J41" s="5"/>
      <c r="K41" s="5"/>
    </row>
    <row r="42" spans="1:11" ht="15.75" customHeight="1" x14ac:dyDescent="0.25">
      <c r="A42" s="25">
        <v>44158</v>
      </c>
      <c r="B42" s="10"/>
      <c r="C42" s="10"/>
      <c r="D42" s="10"/>
      <c r="E42" s="5"/>
      <c r="F42" s="5"/>
      <c r="G42" s="5"/>
      <c r="H42" s="5"/>
      <c r="I42" s="5"/>
      <c r="J42" s="5"/>
      <c r="K42" s="5"/>
    </row>
    <row r="43" spans="1:11" ht="15.75" customHeight="1" x14ac:dyDescent="0.25">
      <c r="A43" s="25">
        <v>44159</v>
      </c>
      <c r="B43" s="10"/>
      <c r="C43" s="10"/>
      <c r="D43" s="10"/>
      <c r="E43" s="5"/>
      <c r="F43" s="5"/>
      <c r="G43" s="5"/>
      <c r="H43" s="5"/>
      <c r="I43" s="5"/>
      <c r="J43" s="5"/>
      <c r="K43" s="5"/>
    </row>
    <row r="44" spans="1:11" ht="15.75" customHeight="1" x14ac:dyDescent="0.25">
      <c r="A44" s="25">
        <v>44160</v>
      </c>
      <c r="B44" s="10"/>
      <c r="C44" s="10"/>
      <c r="D44" s="10"/>
      <c r="E44" s="5"/>
      <c r="F44" s="5"/>
      <c r="G44" s="5"/>
      <c r="H44" s="5"/>
      <c r="I44" s="5"/>
      <c r="J44" s="5"/>
      <c r="K44" s="5"/>
    </row>
    <row r="45" spans="1:11" ht="15.75" customHeight="1" x14ac:dyDescent="0.25">
      <c r="A45" s="25">
        <v>44161</v>
      </c>
      <c r="B45" s="10"/>
      <c r="C45" s="10"/>
      <c r="D45" s="10"/>
      <c r="E45" s="5"/>
      <c r="F45" s="5"/>
      <c r="G45" s="5"/>
      <c r="H45" s="5"/>
      <c r="I45" s="5"/>
      <c r="J45" s="5"/>
      <c r="K45" s="5"/>
    </row>
    <row r="46" spans="1:11" ht="15.75" customHeight="1" x14ac:dyDescent="0.25">
      <c r="A46" s="25">
        <v>44162</v>
      </c>
      <c r="B46" s="10"/>
      <c r="C46" s="10"/>
      <c r="D46" s="10"/>
      <c r="E46" s="5"/>
      <c r="F46" s="5"/>
      <c r="G46" s="5"/>
      <c r="H46" s="5"/>
      <c r="I46" s="5"/>
      <c r="J46" s="5"/>
      <c r="K46" s="5"/>
    </row>
    <row r="47" spans="1:11" ht="15.75" customHeight="1" x14ac:dyDescent="0.25">
      <c r="A47" s="10"/>
      <c r="B47" s="10"/>
      <c r="C47" s="10"/>
      <c r="D47" s="10"/>
    </row>
    <row r="48" spans="1:11" ht="15.75" customHeight="1" x14ac:dyDescent="0.25">
      <c r="A48" s="10"/>
      <c r="B48" s="10"/>
      <c r="C48" s="10"/>
      <c r="D48" s="10"/>
    </row>
    <row r="49" spans="1:4" ht="15.75" customHeight="1" x14ac:dyDescent="0.25">
      <c r="A49" s="10"/>
      <c r="B49" s="10"/>
      <c r="C49" s="10"/>
      <c r="D49" s="10"/>
    </row>
    <row r="50" spans="1:4" ht="15.75" customHeight="1" x14ac:dyDescent="0.25">
      <c r="A50" s="10"/>
      <c r="B50" s="10"/>
      <c r="C50" s="10"/>
      <c r="D50" s="10"/>
    </row>
    <row r="51" spans="1:4" ht="15.75" customHeight="1" x14ac:dyDescent="0.25">
      <c r="A51" s="10"/>
      <c r="B51" s="10"/>
      <c r="C51" s="10"/>
      <c r="D51" s="10"/>
    </row>
    <row r="52" spans="1:4" ht="15.75" customHeight="1" x14ac:dyDescent="0.25">
      <c r="A52" s="10"/>
      <c r="B52" s="10"/>
      <c r="C52" s="10"/>
      <c r="D52" s="10"/>
    </row>
    <row r="53" spans="1:4" ht="15.75" customHeight="1" x14ac:dyDescent="0.25">
      <c r="A53" s="10"/>
      <c r="B53" s="10"/>
      <c r="C53" s="10"/>
      <c r="D53" s="10"/>
    </row>
    <row r="54" spans="1:4" ht="15.75" customHeight="1" x14ac:dyDescent="0.25">
      <c r="A54" s="10"/>
      <c r="B54" s="10"/>
      <c r="C54" s="10"/>
      <c r="D54" s="10"/>
    </row>
    <row r="55" spans="1:4" ht="15.75" customHeight="1" x14ac:dyDescent="0.25">
      <c r="A55" s="10"/>
      <c r="B55" s="10"/>
      <c r="C55" s="10"/>
      <c r="D55" s="10"/>
    </row>
    <row r="56" spans="1:4" ht="15.75" customHeight="1" x14ac:dyDescent="0.25">
      <c r="A56" s="10"/>
      <c r="B56" s="10"/>
      <c r="C56" s="10"/>
      <c r="D56" s="10"/>
    </row>
    <row r="57" spans="1:4" ht="15.75" customHeight="1" x14ac:dyDescent="0.25">
      <c r="A57" s="10"/>
      <c r="B57" s="10"/>
      <c r="C57" s="10"/>
      <c r="D57" s="10"/>
    </row>
    <row r="58" spans="1:4" ht="15.75" customHeight="1" x14ac:dyDescent="0.25">
      <c r="A58" s="10"/>
      <c r="B58" s="10"/>
      <c r="C58" s="10"/>
      <c r="D58" s="10"/>
    </row>
    <row r="59" spans="1:4" ht="15.75" customHeight="1" x14ac:dyDescent="0.25">
      <c r="A59" s="10"/>
      <c r="B59" s="10"/>
      <c r="C59" s="10"/>
      <c r="D59" s="10"/>
    </row>
    <row r="60" spans="1:4" ht="15.75" customHeight="1" x14ac:dyDescent="0.25">
      <c r="A60" s="10"/>
      <c r="B60" s="10"/>
      <c r="C60" s="10"/>
      <c r="D60" s="10"/>
    </row>
    <row r="61" spans="1:4" ht="15.75" customHeight="1" x14ac:dyDescent="0.25">
      <c r="A61" s="10"/>
      <c r="B61" s="10"/>
      <c r="C61" s="10"/>
      <c r="D61" s="10"/>
    </row>
    <row r="62" spans="1:4" ht="15.75" customHeight="1" x14ac:dyDescent="0.25">
      <c r="A62" s="10"/>
      <c r="B62" s="10"/>
      <c r="C62" s="10"/>
      <c r="D62" s="10"/>
    </row>
    <row r="63" spans="1:4" ht="15.75" customHeight="1" x14ac:dyDescent="0.25">
      <c r="A63" s="10"/>
      <c r="B63" s="10"/>
      <c r="C63" s="10"/>
      <c r="D63" s="10"/>
    </row>
    <row r="64" spans="1:4" ht="15.75" customHeight="1" x14ac:dyDescent="0.25">
      <c r="A64" s="10"/>
      <c r="B64" s="10"/>
      <c r="C64" s="10"/>
      <c r="D64" s="10"/>
    </row>
    <row r="65" spans="1:4" ht="15.75" customHeight="1" x14ac:dyDescent="0.25">
      <c r="A65" s="10"/>
      <c r="B65" s="10"/>
      <c r="C65" s="10"/>
      <c r="D65" s="10"/>
    </row>
    <row r="66" spans="1:4" ht="15.75" customHeight="1" x14ac:dyDescent="0.25">
      <c r="A66" s="10"/>
      <c r="B66" s="10"/>
      <c r="C66" s="10"/>
      <c r="D66" s="10"/>
    </row>
    <row r="67" spans="1:4" ht="15.75" customHeight="1" x14ac:dyDescent="0.25">
      <c r="A67" s="10"/>
      <c r="B67" s="10"/>
      <c r="C67" s="10"/>
      <c r="D67" s="10"/>
    </row>
    <row r="68" spans="1:4" ht="15.75" customHeight="1" x14ac:dyDescent="0.25">
      <c r="A68" s="10"/>
      <c r="B68" s="10"/>
      <c r="C68" s="10"/>
      <c r="D68" s="10"/>
    </row>
    <row r="69" spans="1:4" ht="15.75" customHeight="1" x14ac:dyDescent="0.25">
      <c r="A69" s="10"/>
      <c r="B69" s="10"/>
      <c r="C69" s="10"/>
      <c r="D69" s="10"/>
    </row>
    <row r="70" spans="1:4" ht="15.75" customHeight="1" x14ac:dyDescent="0.25">
      <c r="A70" s="10"/>
      <c r="B70" s="10"/>
      <c r="C70" s="10"/>
      <c r="D70" s="10"/>
    </row>
    <row r="71" spans="1:4" ht="15.75" customHeight="1" x14ac:dyDescent="0.25">
      <c r="A71" s="10"/>
      <c r="B71" s="10"/>
      <c r="C71" s="10"/>
      <c r="D71" s="10"/>
    </row>
    <row r="72" spans="1:4" ht="15.75" customHeight="1" x14ac:dyDescent="0.25">
      <c r="A72" s="10"/>
      <c r="B72" s="10"/>
      <c r="C72" s="10"/>
      <c r="D72" s="10"/>
    </row>
    <row r="73" spans="1:4" ht="15.75" customHeight="1" x14ac:dyDescent="0.25">
      <c r="A73" s="10"/>
      <c r="B73" s="10"/>
      <c r="C73" s="10"/>
      <c r="D73" s="10"/>
    </row>
    <row r="74" spans="1:4" ht="15.75" customHeight="1" x14ac:dyDescent="0.25">
      <c r="A74" s="10"/>
      <c r="B74" s="10"/>
      <c r="C74" s="10"/>
      <c r="D74" s="10"/>
    </row>
    <row r="75" spans="1:4" ht="15.75" customHeight="1" x14ac:dyDescent="0.25">
      <c r="A75" s="10"/>
      <c r="B75" s="10"/>
      <c r="C75" s="10"/>
      <c r="D75" s="10"/>
    </row>
    <row r="76" spans="1:4" ht="15.75" customHeight="1" x14ac:dyDescent="0.25">
      <c r="A76" s="10"/>
      <c r="B76" s="10"/>
      <c r="C76" s="10"/>
      <c r="D76" s="10"/>
    </row>
    <row r="77" spans="1:4" ht="15.75" customHeight="1" x14ac:dyDescent="0.25">
      <c r="A77" s="10"/>
      <c r="B77" s="10"/>
      <c r="C77" s="10"/>
      <c r="D77" s="10"/>
    </row>
    <row r="78" spans="1:4" ht="15.75" customHeight="1" x14ac:dyDescent="0.25">
      <c r="A78" s="10"/>
      <c r="B78" s="10"/>
      <c r="C78" s="10"/>
      <c r="D78" s="10"/>
    </row>
    <row r="79" spans="1:4" ht="15.75" customHeight="1" x14ac:dyDescent="0.25">
      <c r="A79" s="10"/>
      <c r="B79" s="10"/>
      <c r="C79" s="10"/>
      <c r="D79" s="10"/>
    </row>
    <row r="80" spans="1:4" ht="15.75" customHeight="1" x14ac:dyDescent="0.25">
      <c r="A80" s="10"/>
      <c r="B80" s="10"/>
      <c r="C80" s="10"/>
      <c r="D80" s="10"/>
    </row>
    <row r="81" spans="1:4" ht="15.75" customHeight="1" x14ac:dyDescent="0.25">
      <c r="A81" s="10"/>
      <c r="B81" s="10"/>
      <c r="C81" s="10"/>
      <c r="D81" s="10"/>
    </row>
    <row r="82" spans="1:4" ht="15.75" customHeight="1" x14ac:dyDescent="0.25">
      <c r="A82" s="10"/>
      <c r="B82" s="10"/>
      <c r="C82" s="10"/>
      <c r="D82" s="10"/>
    </row>
    <row r="83" spans="1:4" ht="15.75" customHeight="1" x14ac:dyDescent="0.25">
      <c r="A83" s="10"/>
      <c r="B83" s="10"/>
      <c r="C83" s="10"/>
      <c r="D83" s="10"/>
    </row>
    <row r="84" spans="1:4" ht="15.75" customHeight="1" x14ac:dyDescent="0.25">
      <c r="A84" s="10"/>
      <c r="B84" s="10"/>
      <c r="C84" s="10"/>
      <c r="D84" s="10"/>
    </row>
    <row r="85" spans="1:4" ht="15.75" customHeight="1" x14ac:dyDescent="0.25">
      <c r="A85" s="10"/>
      <c r="B85" s="10"/>
      <c r="C85" s="10"/>
      <c r="D85" s="10"/>
    </row>
    <row r="86" spans="1:4" ht="15.75" customHeight="1" x14ac:dyDescent="0.25">
      <c r="A86" s="10"/>
      <c r="B86" s="10"/>
      <c r="C86" s="10"/>
      <c r="D86" s="10"/>
    </row>
    <row r="87" spans="1:4" ht="15.75" customHeight="1" x14ac:dyDescent="0.25">
      <c r="A87" s="10"/>
      <c r="B87" s="10"/>
      <c r="C87" s="10"/>
      <c r="D87" s="10"/>
    </row>
    <row r="88" spans="1:4" ht="15.75" customHeight="1" x14ac:dyDescent="0.25">
      <c r="A88" s="10"/>
      <c r="B88" s="10"/>
      <c r="C88" s="10"/>
      <c r="D88" s="10"/>
    </row>
    <row r="89" spans="1:4" ht="15.75" customHeight="1" x14ac:dyDescent="0.25">
      <c r="A89" s="10"/>
      <c r="B89" s="10"/>
      <c r="C89" s="10"/>
      <c r="D89" s="10"/>
    </row>
    <row r="90" spans="1:4" ht="15.75" customHeight="1" x14ac:dyDescent="0.25">
      <c r="A90" s="10"/>
      <c r="B90" s="10"/>
      <c r="C90" s="10"/>
      <c r="D90" s="10"/>
    </row>
    <row r="91" spans="1:4" ht="15.75" customHeight="1" x14ac:dyDescent="0.25">
      <c r="A91" s="10"/>
      <c r="B91" s="10"/>
      <c r="C91" s="10"/>
      <c r="D91" s="10"/>
    </row>
    <row r="92" spans="1:4" ht="15.75" customHeight="1" x14ac:dyDescent="0.25">
      <c r="A92" s="10"/>
      <c r="B92" s="10"/>
      <c r="C92" s="10"/>
      <c r="D92" s="10"/>
    </row>
    <row r="93" spans="1:4" ht="15.75" customHeight="1" x14ac:dyDescent="0.25">
      <c r="A93" s="10"/>
      <c r="B93" s="10"/>
      <c r="C93" s="10"/>
      <c r="D93" s="10"/>
    </row>
    <row r="94" spans="1:4" ht="15.75" customHeight="1" x14ac:dyDescent="0.25">
      <c r="A94" s="10"/>
      <c r="B94" s="10"/>
      <c r="C94" s="10"/>
      <c r="D94" s="10"/>
    </row>
    <row r="95" spans="1:4" ht="15.75" customHeight="1" x14ac:dyDescent="0.25">
      <c r="A95" s="10"/>
      <c r="B95" s="10"/>
      <c r="C95" s="10"/>
      <c r="D95" s="10"/>
    </row>
    <row r="96" spans="1:4" ht="15.75" customHeight="1" x14ac:dyDescent="0.25">
      <c r="A96" s="10"/>
      <c r="B96" s="10"/>
      <c r="C96" s="10"/>
      <c r="D96" s="10"/>
    </row>
    <row r="97" spans="1:4" ht="15.75" customHeight="1" x14ac:dyDescent="0.25">
      <c r="A97" s="10"/>
      <c r="B97" s="10"/>
      <c r="C97" s="10"/>
      <c r="D97" s="10"/>
    </row>
    <row r="98" spans="1:4" ht="15.75" customHeight="1" x14ac:dyDescent="0.25">
      <c r="A98" s="10"/>
      <c r="B98" s="10"/>
      <c r="C98" s="10"/>
      <c r="D98" s="10"/>
    </row>
    <row r="99" spans="1:4" ht="15.75" customHeight="1" x14ac:dyDescent="0.25">
      <c r="A99" s="10"/>
      <c r="B99" s="10"/>
      <c r="C99" s="10"/>
      <c r="D99" s="10"/>
    </row>
    <row r="100" spans="1:4" ht="15.75" customHeight="1" x14ac:dyDescent="0.25">
      <c r="A100" s="10"/>
      <c r="B100" s="10"/>
      <c r="C100" s="10"/>
      <c r="D100" s="10"/>
    </row>
    <row r="101" spans="1:4" ht="15.75" customHeight="1" x14ac:dyDescent="0.25">
      <c r="A101" s="10"/>
      <c r="B101" s="10"/>
      <c r="C101" s="10"/>
      <c r="D101" s="10"/>
    </row>
    <row r="102" spans="1:4" ht="15.75" customHeight="1" x14ac:dyDescent="0.25">
      <c r="A102" s="10"/>
      <c r="B102" s="10"/>
      <c r="C102" s="10"/>
      <c r="D102" s="10"/>
    </row>
    <row r="103" spans="1:4" ht="15.75" customHeight="1" x14ac:dyDescent="0.25">
      <c r="A103" s="10"/>
      <c r="B103" s="10"/>
      <c r="C103" s="10"/>
      <c r="D103" s="10"/>
    </row>
    <row r="104" spans="1:4" ht="15.75" customHeight="1" x14ac:dyDescent="0.25">
      <c r="A104" s="10"/>
      <c r="B104" s="10"/>
      <c r="C104" s="10"/>
      <c r="D104" s="10"/>
    </row>
    <row r="105" spans="1:4" ht="15.75" customHeight="1" x14ac:dyDescent="0.25">
      <c r="A105" s="10"/>
      <c r="B105" s="10"/>
      <c r="C105" s="10"/>
      <c r="D105" s="10"/>
    </row>
    <row r="106" spans="1:4" ht="15.75" customHeight="1" x14ac:dyDescent="0.25">
      <c r="A106" s="10"/>
      <c r="B106" s="10"/>
      <c r="C106" s="10"/>
      <c r="D106" s="10"/>
    </row>
    <row r="107" spans="1:4" ht="15.75" customHeight="1" x14ac:dyDescent="0.25">
      <c r="A107" s="10"/>
      <c r="B107" s="10"/>
      <c r="C107" s="10"/>
      <c r="D107" s="10"/>
    </row>
    <row r="108" spans="1:4" ht="15.75" customHeight="1" x14ac:dyDescent="0.25">
      <c r="A108" s="10"/>
      <c r="B108" s="10"/>
      <c r="C108" s="10"/>
      <c r="D108" s="10"/>
    </row>
    <row r="109" spans="1:4" ht="15.75" customHeight="1" x14ac:dyDescent="0.25">
      <c r="A109" s="10"/>
      <c r="B109" s="10"/>
      <c r="C109" s="10"/>
      <c r="D109" s="10"/>
    </row>
    <row r="110" spans="1:4" ht="15.75" customHeight="1" x14ac:dyDescent="0.25">
      <c r="A110" s="10"/>
      <c r="B110" s="10"/>
      <c r="C110" s="10"/>
      <c r="D110" s="10"/>
    </row>
    <row r="111" spans="1:4" ht="15.75" customHeight="1" x14ac:dyDescent="0.25">
      <c r="A111" s="10"/>
      <c r="B111" s="10"/>
      <c r="C111" s="10"/>
      <c r="D111" s="10"/>
    </row>
    <row r="112" spans="1:4" ht="15.75" customHeight="1" x14ac:dyDescent="0.25">
      <c r="A112" s="10"/>
      <c r="B112" s="10"/>
      <c r="C112" s="10"/>
      <c r="D112" s="10"/>
    </row>
    <row r="113" spans="1:4" ht="15.75" customHeight="1" x14ac:dyDescent="0.25">
      <c r="A113" s="10"/>
      <c r="B113" s="10"/>
      <c r="C113" s="10"/>
      <c r="D113" s="10"/>
    </row>
    <row r="114" spans="1:4" ht="15.75" customHeight="1" x14ac:dyDescent="0.25">
      <c r="A114" s="10"/>
      <c r="B114" s="10"/>
      <c r="C114" s="10"/>
      <c r="D114" s="10"/>
    </row>
    <row r="115" spans="1:4" ht="15.75" customHeight="1" x14ac:dyDescent="0.25">
      <c r="A115" s="10"/>
      <c r="B115" s="10"/>
      <c r="C115" s="10"/>
      <c r="D115" s="10"/>
    </row>
    <row r="116" spans="1:4" ht="15.75" customHeight="1" x14ac:dyDescent="0.25">
      <c r="A116" s="10"/>
      <c r="B116" s="10"/>
      <c r="C116" s="10"/>
      <c r="D116" s="10"/>
    </row>
    <row r="117" spans="1:4" ht="15.75" customHeight="1" x14ac:dyDescent="0.25">
      <c r="A117" s="10"/>
      <c r="B117" s="10"/>
      <c r="C117" s="10"/>
      <c r="D117" s="10"/>
    </row>
    <row r="118" spans="1:4" ht="15.75" customHeight="1" x14ac:dyDescent="0.25">
      <c r="A118" s="10"/>
      <c r="B118" s="10"/>
      <c r="C118" s="10"/>
      <c r="D118" s="10"/>
    </row>
    <row r="119" spans="1:4" ht="15.75" customHeight="1" x14ac:dyDescent="0.25">
      <c r="A119" s="10"/>
      <c r="B119" s="10"/>
      <c r="C119" s="10"/>
      <c r="D119" s="10"/>
    </row>
    <row r="120" spans="1:4" ht="15.75" customHeight="1" x14ac:dyDescent="0.25">
      <c r="A120" s="10"/>
      <c r="B120" s="10"/>
      <c r="C120" s="10"/>
      <c r="D120" s="10"/>
    </row>
    <row r="121" spans="1:4" ht="15.75" customHeight="1" x14ac:dyDescent="0.25">
      <c r="A121" s="10"/>
      <c r="B121" s="10"/>
      <c r="C121" s="10"/>
      <c r="D121" s="10"/>
    </row>
    <row r="122" spans="1:4" ht="15.75" customHeight="1" x14ac:dyDescent="0.25">
      <c r="A122" s="10"/>
      <c r="B122" s="10"/>
      <c r="C122" s="10"/>
      <c r="D122" s="10"/>
    </row>
    <row r="123" spans="1:4" ht="15.75" customHeight="1" x14ac:dyDescent="0.25">
      <c r="A123" s="10"/>
      <c r="B123" s="10"/>
      <c r="C123" s="10"/>
      <c r="D123" s="10"/>
    </row>
    <row r="124" spans="1:4" ht="15.75" customHeight="1" x14ac:dyDescent="0.25">
      <c r="A124" s="10"/>
      <c r="B124" s="10"/>
      <c r="C124" s="10"/>
      <c r="D124" s="10"/>
    </row>
    <row r="125" spans="1:4" ht="15.75" customHeight="1" x14ac:dyDescent="0.25">
      <c r="A125" s="10"/>
      <c r="B125" s="10"/>
      <c r="C125" s="10"/>
      <c r="D125" s="10"/>
    </row>
    <row r="126" spans="1:4" ht="15.75" customHeight="1" x14ac:dyDescent="0.25">
      <c r="A126" s="10"/>
      <c r="B126" s="10"/>
      <c r="C126" s="10"/>
      <c r="D126" s="10"/>
    </row>
    <row r="127" spans="1:4" ht="15.75" customHeight="1" x14ac:dyDescent="0.25">
      <c r="A127" s="10"/>
      <c r="B127" s="10"/>
      <c r="C127" s="10"/>
      <c r="D127" s="10"/>
    </row>
    <row r="128" spans="1:4" ht="15.75" customHeight="1" x14ac:dyDescent="0.25">
      <c r="A128" s="10"/>
      <c r="B128" s="10"/>
      <c r="C128" s="10"/>
      <c r="D128" s="10"/>
    </row>
    <row r="129" spans="1:4" ht="15.75" customHeight="1" x14ac:dyDescent="0.25">
      <c r="A129" s="10"/>
      <c r="B129" s="10"/>
      <c r="C129" s="10"/>
      <c r="D129" s="10"/>
    </row>
    <row r="130" spans="1:4" ht="15.75" customHeight="1" x14ac:dyDescent="0.25">
      <c r="A130" s="10"/>
      <c r="B130" s="10"/>
      <c r="C130" s="10"/>
      <c r="D130" s="10"/>
    </row>
    <row r="131" spans="1:4" ht="15.75" customHeight="1" x14ac:dyDescent="0.25">
      <c r="A131" s="10"/>
      <c r="B131" s="10"/>
      <c r="C131" s="10"/>
      <c r="D131" s="10"/>
    </row>
    <row r="132" spans="1:4" ht="15.75" customHeight="1" x14ac:dyDescent="0.25">
      <c r="A132" s="10"/>
      <c r="B132" s="10"/>
      <c r="C132" s="10"/>
      <c r="D132" s="10"/>
    </row>
    <row r="133" spans="1:4" ht="15.75" customHeight="1" x14ac:dyDescent="0.25">
      <c r="A133" s="10"/>
      <c r="B133" s="10"/>
      <c r="C133" s="10"/>
      <c r="D133" s="10"/>
    </row>
    <row r="134" spans="1:4" ht="15.75" customHeight="1" x14ac:dyDescent="0.25">
      <c r="A134" s="10"/>
      <c r="B134" s="10"/>
      <c r="C134" s="10"/>
      <c r="D134" s="10"/>
    </row>
    <row r="135" spans="1:4" ht="15.75" customHeight="1" x14ac:dyDescent="0.25">
      <c r="A135" s="10"/>
      <c r="B135" s="10"/>
      <c r="C135" s="10"/>
      <c r="D135" s="10"/>
    </row>
    <row r="136" spans="1:4" ht="15.75" customHeight="1" x14ac:dyDescent="0.25">
      <c r="A136" s="10"/>
      <c r="B136" s="10"/>
      <c r="C136" s="10"/>
      <c r="D136" s="10"/>
    </row>
    <row r="137" spans="1:4" ht="15.75" customHeight="1" x14ac:dyDescent="0.25">
      <c r="A137" s="10"/>
      <c r="B137" s="10"/>
      <c r="C137" s="10"/>
      <c r="D137" s="10"/>
    </row>
    <row r="138" spans="1:4" ht="15.75" customHeight="1" x14ac:dyDescent="0.25">
      <c r="A138" s="10"/>
      <c r="B138" s="10"/>
      <c r="C138" s="10"/>
      <c r="D138" s="10"/>
    </row>
    <row r="139" spans="1:4" ht="15.75" customHeight="1" x14ac:dyDescent="0.25">
      <c r="A139" s="10"/>
      <c r="B139" s="10"/>
      <c r="C139" s="10"/>
      <c r="D139" s="10"/>
    </row>
    <row r="140" spans="1:4" ht="15.75" customHeight="1" x14ac:dyDescent="0.25">
      <c r="A140" s="10"/>
      <c r="B140" s="10"/>
      <c r="C140" s="10"/>
      <c r="D140" s="10"/>
    </row>
    <row r="141" spans="1:4" ht="15.75" customHeight="1" x14ac:dyDescent="0.25">
      <c r="A141" s="10"/>
      <c r="B141" s="10"/>
      <c r="C141" s="10"/>
      <c r="D141" s="10"/>
    </row>
    <row r="142" spans="1:4" ht="15.75" customHeight="1" x14ac:dyDescent="0.25">
      <c r="A142" s="10"/>
      <c r="B142" s="10"/>
      <c r="C142" s="10"/>
      <c r="D142" s="10"/>
    </row>
    <row r="143" spans="1:4" ht="15.75" customHeight="1" x14ac:dyDescent="0.25">
      <c r="A143" s="10"/>
      <c r="B143" s="10"/>
      <c r="C143" s="10"/>
      <c r="D143" s="10"/>
    </row>
    <row r="144" spans="1:4" ht="15.75" customHeight="1" x14ac:dyDescent="0.25">
      <c r="A144" s="10"/>
      <c r="B144" s="10"/>
      <c r="C144" s="10"/>
      <c r="D144" s="10"/>
    </row>
    <row r="145" spans="1:4" ht="15.75" customHeight="1" x14ac:dyDescent="0.25">
      <c r="A145" s="10"/>
      <c r="B145" s="10"/>
      <c r="C145" s="10"/>
      <c r="D145" s="10"/>
    </row>
    <row r="146" spans="1:4" ht="15.75" customHeight="1" x14ac:dyDescent="0.25">
      <c r="A146" s="10"/>
      <c r="B146" s="10"/>
      <c r="C146" s="10"/>
      <c r="D146" s="10"/>
    </row>
    <row r="147" spans="1:4" ht="15.75" customHeight="1" x14ac:dyDescent="0.25">
      <c r="A147" s="10"/>
      <c r="B147" s="10"/>
      <c r="C147" s="10"/>
      <c r="D147" s="10"/>
    </row>
    <row r="148" spans="1:4" ht="15.75" customHeight="1" x14ac:dyDescent="0.25">
      <c r="A148" s="10"/>
      <c r="B148" s="10"/>
      <c r="C148" s="10"/>
      <c r="D148" s="10"/>
    </row>
    <row r="149" spans="1:4" ht="15.75" customHeight="1" x14ac:dyDescent="0.25">
      <c r="A149" s="10"/>
      <c r="B149" s="10"/>
      <c r="C149" s="10"/>
      <c r="D149" s="10"/>
    </row>
    <row r="150" spans="1:4" ht="15.75" customHeight="1" x14ac:dyDescent="0.25">
      <c r="A150" s="10"/>
      <c r="B150" s="10"/>
      <c r="C150" s="10"/>
      <c r="D150" s="10"/>
    </row>
    <row r="151" spans="1:4" ht="15.75" customHeight="1" x14ac:dyDescent="0.25">
      <c r="A151" s="10"/>
      <c r="B151" s="10"/>
      <c r="C151" s="10"/>
      <c r="D151" s="10"/>
    </row>
    <row r="152" spans="1:4" ht="15.75" customHeight="1" x14ac:dyDescent="0.25">
      <c r="A152" s="10"/>
      <c r="B152" s="10"/>
      <c r="C152" s="10"/>
      <c r="D152" s="10"/>
    </row>
    <row r="153" spans="1:4" ht="15.75" customHeight="1" x14ac:dyDescent="0.25">
      <c r="A153" s="10"/>
      <c r="B153" s="10"/>
      <c r="C153" s="10"/>
      <c r="D153" s="10"/>
    </row>
    <row r="154" spans="1:4" ht="15.75" customHeight="1" x14ac:dyDescent="0.25">
      <c r="A154" s="10"/>
      <c r="B154" s="10"/>
      <c r="C154" s="10"/>
      <c r="D154" s="10"/>
    </row>
    <row r="155" spans="1:4" ht="15.75" customHeight="1" x14ac:dyDescent="0.25">
      <c r="A155" s="10"/>
      <c r="B155" s="10"/>
      <c r="C155" s="10"/>
      <c r="D155" s="10"/>
    </row>
    <row r="156" spans="1:4" ht="15.75" customHeight="1" x14ac:dyDescent="0.25">
      <c r="A156" s="10"/>
      <c r="B156" s="10"/>
      <c r="C156" s="10"/>
      <c r="D156" s="10"/>
    </row>
    <row r="157" spans="1:4" ht="15.75" customHeight="1" x14ac:dyDescent="0.25">
      <c r="A157" s="10"/>
      <c r="B157" s="10"/>
      <c r="C157" s="10"/>
      <c r="D157" s="10"/>
    </row>
    <row r="158" spans="1:4" ht="15.75" customHeight="1" x14ac:dyDescent="0.25">
      <c r="A158" s="10"/>
      <c r="B158" s="10"/>
      <c r="C158" s="10"/>
      <c r="D158" s="10"/>
    </row>
    <row r="159" spans="1:4" ht="15.75" customHeight="1" x14ac:dyDescent="0.25">
      <c r="A159" s="10"/>
      <c r="B159" s="10"/>
      <c r="C159" s="10"/>
      <c r="D159" s="10"/>
    </row>
    <row r="160" spans="1:4" ht="15.75" customHeight="1" x14ac:dyDescent="0.25">
      <c r="A160" s="10"/>
      <c r="B160" s="10"/>
      <c r="C160" s="10"/>
      <c r="D160" s="10"/>
    </row>
    <row r="161" spans="1:4" ht="15.75" customHeight="1" x14ac:dyDescent="0.25">
      <c r="A161" s="10"/>
      <c r="B161" s="10"/>
      <c r="C161" s="10"/>
      <c r="D161" s="10"/>
    </row>
    <row r="162" spans="1:4" ht="15.75" customHeight="1" x14ac:dyDescent="0.25">
      <c r="A162" s="10"/>
      <c r="B162" s="10"/>
      <c r="C162" s="10"/>
      <c r="D162" s="10"/>
    </row>
    <row r="163" spans="1:4" ht="15.75" customHeight="1" x14ac:dyDescent="0.25">
      <c r="A163" s="10"/>
      <c r="B163" s="10"/>
      <c r="C163" s="10"/>
      <c r="D163" s="10"/>
    </row>
    <row r="164" spans="1:4" ht="15.75" customHeight="1" x14ac:dyDescent="0.25">
      <c r="A164" s="10"/>
      <c r="B164" s="10"/>
      <c r="C164" s="10"/>
      <c r="D164" s="10"/>
    </row>
    <row r="165" spans="1:4" ht="15.75" customHeight="1" x14ac:dyDescent="0.25">
      <c r="A165" s="10"/>
      <c r="B165" s="10"/>
      <c r="C165" s="10"/>
      <c r="D165" s="10"/>
    </row>
    <row r="166" spans="1:4" ht="15.75" customHeight="1" x14ac:dyDescent="0.25">
      <c r="A166" s="10"/>
      <c r="B166" s="10"/>
      <c r="C166" s="10"/>
      <c r="D166" s="10"/>
    </row>
    <row r="167" spans="1:4" ht="15.75" customHeight="1" x14ac:dyDescent="0.25">
      <c r="A167" s="10"/>
      <c r="B167" s="10"/>
      <c r="C167" s="10"/>
      <c r="D167" s="10"/>
    </row>
    <row r="168" spans="1:4" ht="15.75" customHeight="1" x14ac:dyDescent="0.25">
      <c r="A168" s="10"/>
      <c r="B168" s="10"/>
      <c r="C168" s="10"/>
      <c r="D168" s="10"/>
    </row>
    <row r="169" spans="1:4" ht="15.75" customHeight="1" x14ac:dyDescent="0.25">
      <c r="A169" s="10"/>
      <c r="B169" s="10"/>
      <c r="C169" s="10"/>
      <c r="D169" s="10"/>
    </row>
    <row r="170" spans="1:4" ht="15.75" customHeight="1" x14ac:dyDescent="0.25">
      <c r="A170" s="10"/>
      <c r="B170" s="10"/>
      <c r="C170" s="10"/>
      <c r="D170" s="10"/>
    </row>
    <row r="171" spans="1:4" ht="15.75" customHeight="1" x14ac:dyDescent="0.25">
      <c r="A171" s="10"/>
      <c r="B171" s="10"/>
      <c r="C171" s="10"/>
      <c r="D171" s="10"/>
    </row>
    <row r="172" spans="1:4" ht="15.75" customHeight="1" x14ac:dyDescent="0.25">
      <c r="A172" s="10"/>
      <c r="B172" s="10"/>
      <c r="C172" s="10"/>
      <c r="D172" s="10"/>
    </row>
    <row r="173" spans="1:4" ht="15.75" customHeight="1" x14ac:dyDescent="0.25">
      <c r="A173" s="10"/>
      <c r="B173" s="10"/>
      <c r="C173" s="10"/>
      <c r="D173" s="10"/>
    </row>
    <row r="174" spans="1:4" ht="15.75" customHeight="1" x14ac:dyDescent="0.25">
      <c r="A174" s="10"/>
      <c r="B174" s="10"/>
      <c r="C174" s="10"/>
      <c r="D174" s="10"/>
    </row>
    <row r="175" spans="1:4" ht="15.75" customHeight="1" x14ac:dyDescent="0.25">
      <c r="A175" s="10"/>
      <c r="B175" s="10"/>
      <c r="C175" s="10"/>
      <c r="D175" s="10"/>
    </row>
    <row r="176" spans="1:4" ht="15.75" customHeight="1" x14ac:dyDescent="0.25">
      <c r="A176" s="10"/>
      <c r="B176" s="10"/>
      <c r="C176" s="10"/>
      <c r="D176" s="10"/>
    </row>
    <row r="177" spans="1:4" ht="15.75" customHeight="1" x14ac:dyDescent="0.25">
      <c r="A177" s="10"/>
      <c r="B177" s="10"/>
      <c r="C177" s="10"/>
      <c r="D177" s="10"/>
    </row>
    <row r="178" spans="1:4" ht="15.75" customHeight="1" x14ac:dyDescent="0.25">
      <c r="A178" s="10"/>
      <c r="B178" s="10"/>
      <c r="C178" s="10"/>
      <c r="D178" s="10"/>
    </row>
    <row r="179" spans="1:4" ht="15.75" customHeight="1" x14ac:dyDescent="0.25">
      <c r="A179" s="10"/>
      <c r="B179" s="10"/>
      <c r="C179" s="10"/>
      <c r="D179" s="10"/>
    </row>
    <row r="180" spans="1:4" ht="15.75" customHeight="1" x14ac:dyDescent="0.25">
      <c r="A180" s="10"/>
      <c r="B180" s="10"/>
      <c r="C180" s="10"/>
      <c r="D180" s="10"/>
    </row>
    <row r="181" spans="1:4" ht="15.75" customHeight="1" x14ac:dyDescent="0.25">
      <c r="A181" s="10"/>
      <c r="B181" s="10"/>
      <c r="C181" s="10"/>
      <c r="D181" s="10"/>
    </row>
    <row r="182" spans="1:4" ht="15.75" customHeight="1" x14ac:dyDescent="0.25">
      <c r="A182" s="10"/>
      <c r="B182" s="10"/>
      <c r="C182" s="10"/>
      <c r="D182" s="10"/>
    </row>
    <row r="183" spans="1:4" ht="15.75" customHeight="1" x14ac:dyDescent="0.25">
      <c r="A183" s="10"/>
      <c r="B183" s="10"/>
      <c r="C183" s="10"/>
      <c r="D183" s="10"/>
    </row>
    <row r="184" spans="1:4" ht="15.75" customHeight="1" x14ac:dyDescent="0.25">
      <c r="A184" s="10"/>
      <c r="B184" s="10"/>
      <c r="C184" s="10"/>
      <c r="D184" s="10"/>
    </row>
    <row r="185" spans="1:4" ht="15.75" customHeight="1" x14ac:dyDescent="0.25">
      <c r="A185" s="10"/>
      <c r="B185" s="10"/>
      <c r="C185" s="10"/>
      <c r="D185" s="10"/>
    </row>
    <row r="186" spans="1:4" ht="15.75" customHeight="1" x14ac:dyDescent="0.25">
      <c r="A186" s="10"/>
      <c r="B186" s="10"/>
      <c r="C186" s="10"/>
      <c r="D186" s="10"/>
    </row>
    <row r="187" spans="1:4" ht="15.75" customHeight="1" x14ac:dyDescent="0.25">
      <c r="A187" s="10"/>
      <c r="B187" s="10"/>
      <c r="C187" s="10"/>
      <c r="D187" s="10"/>
    </row>
    <row r="188" spans="1:4" ht="15.75" customHeight="1" x14ac:dyDescent="0.25">
      <c r="A188" s="10"/>
      <c r="B188" s="10"/>
      <c r="C188" s="10"/>
      <c r="D188" s="10"/>
    </row>
    <row r="189" spans="1:4" ht="15.75" customHeight="1" x14ac:dyDescent="0.25">
      <c r="A189" s="10"/>
      <c r="B189" s="10"/>
      <c r="C189" s="10"/>
      <c r="D189" s="10"/>
    </row>
    <row r="190" spans="1:4" ht="15.75" customHeight="1" x14ac:dyDescent="0.25">
      <c r="A190" s="10"/>
      <c r="B190" s="10"/>
      <c r="C190" s="10"/>
      <c r="D190" s="10"/>
    </row>
    <row r="191" spans="1:4" ht="15.75" customHeight="1" x14ac:dyDescent="0.25">
      <c r="A191" s="10"/>
      <c r="B191" s="10"/>
      <c r="C191" s="10"/>
      <c r="D191" s="10"/>
    </row>
    <row r="192" spans="1:4" ht="15.75" customHeight="1" x14ac:dyDescent="0.25">
      <c r="A192" s="10"/>
      <c r="B192" s="10"/>
      <c r="C192" s="10"/>
      <c r="D192" s="10"/>
    </row>
    <row r="193" spans="1:4" ht="15.75" customHeight="1" x14ac:dyDescent="0.25">
      <c r="A193" s="10"/>
      <c r="B193" s="10"/>
      <c r="C193" s="10"/>
      <c r="D193" s="10"/>
    </row>
    <row r="194" spans="1:4" ht="15.75" customHeight="1" x14ac:dyDescent="0.25">
      <c r="A194" s="10"/>
      <c r="B194" s="10"/>
      <c r="C194" s="10"/>
      <c r="D194" s="10"/>
    </row>
    <row r="195" spans="1:4" ht="15.75" customHeight="1" x14ac:dyDescent="0.25">
      <c r="A195" s="10"/>
      <c r="B195" s="10"/>
      <c r="C195" s="10"/>
      <c r="D195" s="10"/>
    </row>
    <row r="196" spans="1:4" ht="15.75" customHeight="1" x14ac:dyDescent="0.25">
      <c r="A196" s="10"/>
      <c r="B196" s="10"/>
      <c r="C196" s="10"/>
      <c r="D196" s="10"/>
    </row>
    <row r="197" spans="1:4" ht="15.75" customHeight="1" x14ac:dyDescent="0.25">
      <c r="A197" s="10"/>
      <c r="B197" s="10"/>
      <c r="C197" s="10"/>
      <c r="D197" s="10"/>
    </row>
    <row r="198" spans="1:4" ht="15.75" customHeight="1" x14ac:dyDescent="0.25">
      <c r="A198" s="10"/>
      <c r="B198" s="10"/>
      <c r="C198" s="10"/>
      <c r="D198" s="10"/>
    </row>
    <row r="199" spans="1:4" ht="15.75" customHeight="1" x14ac:dyDescent="0.25">
      <c r="A199" s="10"/>
      <c r="B199" s="10"/>
      <c r="C199" s="10"/>
      <c r="D199" s="10"/>
    </row>
    <row r="200" spans="1:4" ht="15.75" customHeight="1" x14ac:dyDescent="0.25">
      <c r="A200" s="10"/>
      <c r="B200" s="10"/>
      <c r="C200" s="10"/>
      <c r="D200" s="10"/>
    </row>
    <row r="201" spans="1:4" ht="15.75" customHeight="1" x14ac:dyDescent="0.25">
      <c r="A201" s="10"/>
      <c r="B201" s="10"/>
      <c r="C201" s="10"/>
      <c r="D201" s="10"/>
    </row>
    <row r="202" spans="1:4" ht="15.75" customHeight="1" x14ac:dyDescent="0.25">
      <c r="A202" s="10"/>
      <c r="B202" s="10"/>
      <c r="C202" s="10"/>
      <c r="D202" s="10"/>
    </row>
    <row r="203" spans="1:4" ht="15.75" customHeight="1" x14ac:dyDescent="0.25">
      <c r="A203" s="10"/>
      <c r="B203" s="10"/>
      <c r="C203" s="10"/>
      <c r="D203" s="10"/>
    </row>
    <row r="204" spans="1:4" ht="15.75" customHeight="1" x14ac:dyDescent="0.25">
      <c r="A204" s="10"/>
      <c r="B204" s="10"/>
      <c r="C204" s="10"/>
      <c r="D204" s="10"/>
    </row>
    <row r="205" spans="1:4" ht="15.75" customHeight="1" x14ac:dyDescent="0.25">
      <c r="A205" s="10"/>
      <c r="B205" s="10"/>
      <c r="C205" s="10"/>
      <c r="D205" s="10"/>
    </row>
    <row r="206" spans="1:4" ht="15.75" customHeight="1" x14ac:dyDescent="0.25">
      <c r="A206" s="10"/>
      <c r="B206" s="10"/>
      <c r="C206" s="10"/>
      <c r="D206" s="10"/>
    </row>
    <row r="207" spans="1:4" ht="15.75" customHeight="1" x14ac:dyDescent="0.25">
      <c r="A207" s="10"/>
      <c r="B207" s="10"/>
      <c r="C207" s="10"/>
      <c r="D207" s="10"/>
    </row>
    <row r="208" spans="1:4" ht="15.75" customHeight="1" x14ac:dyDescent="0.25">
      <c r="A208" s="10"/>
      <c r="B208" s="10"/>
      <c r="C208" s="10"/>
      <c r="D208" s="10"/>
    </row>
    <row r="209" spans="1:4" ht="15.75" customHeight="1" x14ac:dyDescent="0.25">
      <c r="A209" s="10"/>
      <c r="B209" s="10"/>
      <c r="C209" s="10"/>
      <c r="D209" s="10"/>
    </row>
    <row r="210" spans="1:4" ht="15.75" customHeight="1" x14ac:dyDescent="0.25">
      <c r="A210" s="10"/>
      <c r="B210" s="10"/>
      <c r="C210" s="10"/>
      <c r="D210" s="10"/>
    </row>
    <row r="211" spans="1:4" ht="15.75" customHeight="1" x14ac:dyDescent="0.25">
      <c r="A211" s="10"/>
      <c r="B211" s="10"/>
      <c r="C211" s="10"/>
      <c r="D211" s="10"/>
    </row>
    <row r="212" spans="1:4" ht="15.75" customHeight="1" x14ac:dyDescent="0.25">
      <c r="A212" s="10"/>
      <c r="B212" s="10"/>
      <c r="C212" s="10"/>
      <c r="D212" s="10"/>
    </row>
    <row r="213" spans="1:4" ht="15.75" customHeight="1" x14ac:dyDescent="0.25">
      <c r="A213" s="10"/>
      <c r="B213" s="10"/>
      <c r="C213" s="10"/>
      <c r="D213" s="10"/>
    </row>
    <row r="214" spans="1:4" ht="15.75" customHeight="1" x14ac:dyDescent="0.25">
      <c r="A214" s="10"/>
      <c r="B214" s="10"/>
      <c r="C214" s="10"/>
      <c r="D214" s="10"/>
    </row>
    <row r="215" spans="1:4" ht="15.75" customHeight="1" x14ac:dyDescent="0.25">
      <c r="A215" s="10"/>
      <c r="B215" s="10"/>
      <c r="C215" s="10"/>
      <c r="D215" s="10"/>
    </row>
    <row r="216" spans="1:4" ht="15.75" customHeight="1" x14ac:dyDescent="0.25">
      <c r="A216" s="10"/>
      <c r="B216" s="10"/>
      <c r="C216" s="10"/>
      <c r="D216" s="10"/>
    </row>
    <row r="217" spans="1:4" ht="15.75" customHeight="1" x14ac:dyDescent="0.25">
      <c r="A217" s="10"/>
      <c r="B217" s="10"/>
      <c r="C217" s="10"/>
      <c r="D217" s="10"/>
    </row>
    <row r="218" spans="1:4" ht="15.75" customHeight="1" x14ac:dyDescent="0.25">
      <c r="A218" s="10"/>
      <c r="B218" s="10"/>
      <c r="C218" s="10"/>
      <c r="D218" s="10"/>
    </row>
    <row r="219" spans="1:4" ht="15.75" customHeight="1" x14ac:dyDescent="0.25">
      <c r="A219" s="10"/>
      <c r="B219" s="10"/>
      <c r="C219" s="10"/>
      <c r="D219" s="10"/>
    </row>
    <row r="220" spans="1:4" ht="15.75" customHeight="1" x14ac:dyDescent="0.25">
      <c r="A220" s="10"/>
      <c r="B220" s="10"/>
      <c r="C220" s="10"/>
      <c r="D220" s="10"/>
    </row>
    <row r="221" spans="1:4" ht="15.75" customHeight="1" x14ac:dyDescent="0.25">
      <c r="A221" s="10"/>
      <c r="B221" s="10"/>
      <c r="C221" s="10"/>
      <c r="D221" s="10"/>
    </row>
    <row r="222" spans="1:4" ht="15.75" customHeight="1" x14ac:dyDescent="0.25">
      <c r="A222" s="10"/>
      <c r="B222" s="10"/>
      <c r="C222" s="10"/>
      <c r="D222" s="10"/>
    </row>
    <row r="223" spans="1:4" ht="15.75" customHeight="1" x14ac:dyDescent="0.25">
      <c r="A223" s="10"/>
      <c r="B223" s="10"/>
      <c r="C223" s="10"/>
      <c r="D223" s="10"/>
    </row>
    <row r="224" spans="1:4" ht="15.75" customHeight="1" x14ac:dyDescent="0.25">
      <c r="A224" s="10"/>
      <c r="B224" s="10"/>
      <c r="C224" s="10"/>
      <c r="D224" s="10"/>
    </row>
    <row r="225" spans="1:4" ht="15.75" customHeight="1" x14ac:dyDescent="0.25">
      <c r="A225" s="10"/>
      <c r="B225" s="10"/>
      <c r="C225" s="10"/>
      <c r="D225" s="10"/>
    </row>
    <row r="226" spans="1:4" ht="15.75" customHeight="1" x14ac:dyDescent="0.25">
      <c r="A226" s="10"/>
      <c r="B226" s="10"/>
      <c r="C226" s="10"/>
      <c r="D226" s="10"/>
    </row>
    <row r="227" spans="1:4" ht="15.75" customHeight="1" x14ac:dyDescent="0.25">
      <c r="A227" s="10"/>
      <c r="B227" s="10"/>
      <c r="C227" s="10"/>
      <c r="D227" s="10"/>
    </row>
    <row r="228" spans="1:4" ht="15.75" customHeight="1" x14ac:dyDescent="0.25">
      <c r="A228" s="10"/>
      <c r="B228" s="10"/>
      <c r="C228" s="10"/>
      <c r="D228" s="10"/>
    </row>
    <row r="229" spans="1:4" ht="15.75" customHeight="1" x14ac:dyDescent="0.25">
      <c r="A229" s="10"/>
      <c r="B229" s="10"/>
      <c r="C229" s="10"/>
      <c r="D229" s="10"/>
    </row>
    <row r="230" spans="1:4" ht="15.75" customHeight="1" x14ac:dyDescent="0.25">
      <c r="A230" s="10"/>
      <c r="B230" s="10"/>
      <c r="C230" s="10"/>
      <c r="D230" s="10"/>
    </row>
    <row r="231" spans="1:4" ht="15.75" customHeight="1" x14ac:dyDescent="0.25">
      <c r="A231" s="10"/>
      <c r="B231" s="10"/>
      <c r="C231" s="10"/>
      <c r="D231" s="10"/>
    </row>
    <row r="232" spans="1:4" ht="15.75" customHeight="1" x14ac:dyDescent="0.25">
      <c r="A232" s="10"/>
      <c r="B232" s="10"/>
      <c r="C232" s="10"/>
      <c r="D232" s="10"/>
    </row>
    <row r="233" spans="1:4" ht="15.75" customHeight="1" x14ac:dyDescent="0.25">
      <c r="A233" s="10"/>
      <c r="B233" s="10"/>
      <c r="C233" s="10"/>
      <c r="D233" s="10"/>
    </row>
    <row r="234" spans="1:4" ht="15.75" customHeight="1" x14ac:dyDescent="0.25">
      <c r="A234" s="10"/>
      <c r="B234" s="10"/>
      <c r="C234" s="10"/>
      <c r="D234" s="10"/>
    </row>
    <row r="235" spans="1:4" ht="15.75" customHeight="1" x14ac:dyDescent="0.25">
      <c r="A235" s="10"/>
      <c r="B235" s="10"/>
      <c r="C235" s="10"/>
      <c r="D235" s="10"/>
    </row>
    <row r="236" spans="1:4" ht="15.75" customHeight="1" x14ac:dyDescent="0.25">
      <c r="A236" s="10"/>
      <c r="B236" s="10"/>
      <c r="C236" s="10"/>
      <c r="D236" s="10"/>
    </row>
    <row r="237" spans="1:4" ht="15.75" customHeight="1" x14ac:dyDescent="0.25">
      <c r="A237" s="10"/>
      <c r="B237" s="10"/>
      <c r="C237" s="10"/>
      <c r="D237" s="10"/>
    </row>
    <row r="238" spans="1:4" ht="15.75" customHeight="1" x14ac:dyDescent="0.25">
      <c r="A238" s="10"/>
      <c r="B238" s="10"/>
      <c r="C238" s="10"/>
      <c r="D238" s="10"/>
    </row>
    <row r="239" spans="1:4" ht="15.75" customHeight="1" x14ac:dyDescent="0.25">
      <c r="A239" s="10"/>
      <c r="B239" s="10"/>
      <c r="C239" s="10"/>
      <c r="D239" s="10"/>
    </row>
    <row r="240" spans="1:4" ht="15.75" customHeight="1" x14ac:dyDescent="0.25">
      <c r="A240" s="10"/>
      <c r="B240" s="10"/>
      <c r="C240" s="10"/>
      <c r="D240" s="10"/>
    </row>
    <row r="241" spans="1:4" ht="15.75" customHeight="1" x14ac:dyDescent="0.25">
      <c r="A241" s="10"/>
      <c r="B241" s="10"/>
      <c r="C241" s="10"/>
      <c r="D241" s="10"/>
    </row>
    <row r="242" spans="1:4" ht="15.75" customHeight="1" x14ac:dyDescent="0.25">
      <c r="A242" s="10"/>
      <c r="B242" s="10"/>
      <c r="C242" s="10"/>
      <c r="D242" s="10"/>
    </row>
    <row r="243" spans="1:4" ht="15.75" customHeight="1" x14ac:dyDescent="0.25">
      <c r="A243" s="10"/>
      <c r="B243" s="10"/>
      <c r="C243" s="10"/>
      <c r="D243" s="10"/>
    </row>
    <row r="244" spans="1:4" ht="15.75" customHeight="1" x14ac:dyDescent="0.25">
      <c r="A244" s="10"/>
      <c r="B244" s="10"/>
      <c r="C244" s="10"/>
      <c r="D244" s="10"/>
    </row>
    <row r="245" spans="1:4" ht="15.75" customHeight="1" x14ac:dyDescent="0.25">
      <c r="A245" s="10"/>
      <c r="B245" s="10"/>
      <c r="C245" s="10"/>
      <c r="D245" s="10"/>
    </row>
    <row r="246" spans="1:4" ht="15.75" customHeight="1" x14ac:dyDescent="0.25">
      <c r="A246" s="10"/>
      <c r="B246" s="10"/>
      <c r="C246" s="10"/>
      <c r="D246" s="10"/>
    </row>
    <row r="247" spans="1:4" ht="15.75" customHeight="1" x14ac:dyDescent="0.25">
      <c r="A247" s="10"/>
      <c r="B247" s="10"/>
      <c r="C247" s="10"/>
      <c r="D247" s="10"/>
    </row>
    <row r="248" spans="1:4" ht="15.75" customHeight="1" x14ac:dyDescent="0.25">
      <c r="A248" s="10"/>
      <c r="B248" s="10"/>
      <c r="C248" s="10"/>
      <c r="D248" s="10"/>
    </row>
    <row r="249" spans="1:4" ht="15.75" customHeight="1" x14ac:dyDescent="0.25">
      <c r="A249" s="10"/>
      <c r="B249" s="10"/>
      <c r="C249" s="10"/>
      <c r="D249" s="10"/>
    </row>
    <row r="250" spans="1:4" ht="15.75" customHeight="1" x14ac:dyDescent="0.25">
      <c r="A250" s="10"/>
      <c r="B250" s="10"/>
      <c r="C250" s="10"/>
      <c r="D250" s="10"/>
    </row>
    <row r="251" spans="1:4" ht="15.75" customHeight="1" x14ac:dyDescent="0.25">
      <c r="A251" s="10"/>
      <c r="B251" s="10"/>
      <c r="C251" s="10"/>
      <c r="D251" s="10"/>
    </row>
    <row r="252" spans="1:4" ht="15.75" customHeight="1" x14ac:dyDescent="0.25">
      <c r="A252" s="10"/>
      <c r="B252" s="10"/>
      <c r="C252" s="10"/>
      <c r="D252" s="10"/>
    </row>
    <row r="253" spans="1:4" ht="15.75" customHeight="1" x14ac:dyDescent="0.25">
      <c r="A253" s="10"/>
      <c r="B253" s="10"/>
      <c r="C253" s="10"/>
      <c r="D253" s="10"/>
    </row>
    <row r="254" spans="1:4" ht="15.75" customHeight="1" x14ac:dyDescent="0.25">
      <c r="A254" s="10"/>
      <c r="B254" s="10"/>
      <c r="C254" s="10"/>
      <c r="D254" s="10"/>
    </row>
    <row r="255" spans="1:4" ht="15.75" customHeight="1" x14ac:dyDescent="0.25">
      <c r="A255" s="10"/>
      <c r="B255" s="10"/>
      <c r="C255" s="10"/>
      <c r="D255" s="10"/>
    </row>
    <row r="256" spans="1:4" ht="15.75" customHeight="1" x14ac:dyDescent="0.25">
      <c r="A256" s="10"/>
      <c r="B256" s="10"/>
      <c r="C256" s="10"/>
      <c r="D256" s="10"/>
    </row>
    <row r="257" spans="1:4" ht="15.75" customHeight="1" x14ac:dyDescent="0.25">
      <c r="A257" s="10"/>
      <c r="B257" s="10"/>
      <c r="C257" s="10"/>
      <c r="D257" s="10"/>
    </row>
    <row r="258" spans="1:4" ht="15.75" customHeight="1" x14ac:dyDescent="0.25">
      <c r="A258" s="10"/>
      <c r="B258" s="10"/>
      <c r="C258" s="10"/>
      <c r="D258" s="10"/>
    </row>
    <row r="259" spans="1:4" ht="15.75" customHeight="1" x14ac:dyDescent="0.25">
      <c r="A259" s="10"/>
      <c r="B259" s="10"/>
      <c r="C259" s="10"/>
      <c r="D259" s="10"/>
    </row>
    <row r="260" spans="1:4" ht="15.75" customHeight="1" x14ac:dyDescent="0.25">
      <c r="A260" s="10"/>
      <c r="B260" s="10"/>
      <c r="C260" s="10"/>
      <c r="D260" s="10"/>
    </row>
    <row r="261" spans="1:4" ht="15.75" customHeight="1" x14ac:dyDescent="0.25">
      <c r="A261" s="10"/>
      <c r="B261" s="10"/>
      <c r="C261" s="10"/>
      <c r="D261" s="10"/>
    </row>
    <row r="262" spans="1:4" ht="15.75" customHeight="1" x14ac:dyDescent="0.25">
      <c r="A262" s="10"/>
      <c r="B262" s="10"/>
      <c r="C262" s="10"/>
      <c r="D262" s="10"/>
    </row>
    <row r="263" spans="1:4" ht="15.75" customHeight="1" x14ac:dyDescent="0.25">
      <c r="A263" s="10"/>
      <c r="B263" s="10"/>
      <c r="C263" s="10"/>
      <c r="D263" s="10"/>
    </row>
    <row r="264" spans="1:4" ht="15.75" customHeight="1" x14ac:dyDescent="0.25">
      <c r="A264" s="10"/>
      <c r="B264" s="10"/>
      <c r="C264" s="10"/>
      <c r="D264" s="10"/>
    </row>
    <row r="265" spans="1:4" ht="15.75" customHeight="1" x14ac:dyDescent="0.25">
      <c r="A265" s="10"/>
      <c r="B265" s="10"/>
      <c r="C265" s="10"/>
      <c r="D265" s="10"/>
    </row>
    <row r="266" spans="1:4" ht="15.75" customHeight="1" x14ac:dyDescent="0.25">
      <c r="A266" s="10"/>
      <c r="B266" s="10"/>
      <c r="C266" s="10"/>
      <c r="D266" s="10"/>
    </row>
    <row r="267" spans="1:4" ht="15.75" customHeight="1" x14ac:dyDescent="0.25">
      <c r="A267" s="10"/>
      <c r="B267" s="10"/>
      <c r="C267" s="10"/>
      <c r="D267" s="10"/>
    </row>
    <row r="268" spans="1:4" ht="15.75" customHeight="1" x14ac:dyDescent="0.25">
      <c r="A268" s="10"/>
      <c r="B268" s="10"/>
      <c r="C268" s="10"/>
      <c r="D268" s="10"/>
    </row>
    <row r="269" spans="1:4" ht="15.75" customHeight="1" x14ac:dyDescent="0.25">
      <c r="A269" s="10"/>
      <c r="B269" s="10"/>
      <c r="C269" s="10"/>
      <c r="D269" s="10"/>
    </row>
    <row r="270" spans="1:4" ht="15.75" customHeight="1" x14ac:dyDescent="0.25">
      <c r="A270" s="10"/>
      <c r="B270" s="10"/>
      <c r="C270" s="10"/>
      <c r="D270" s="10"/>
    </row>
    <row r="271" spans="1:4" ht="15.75" customHeight="1" x14ac:dyDescent="0.25">
      <c r="A271" s="10"/>
      <c r="B271" s="10"/>
      <c r="C271" s="10"/>
      <c r="D271" s="10"/>
    </row>
    <row r="272" spans="1:4" ht="15.75" customHeight="1" x14ac:dyDescent="0.25">
      <c r="A272" s="10"/>
      <c r="B272" s="10"/>
      <c r="C272" s="10"/>
      <c r="D272" s="10"/>
    </row>
    <row r="273" spans="1:4" ht="15.75" customHeight="1" x14ac:dyDescent="0.25">
      <c r="A273" s="10"/>
      <c r="B273" s="10"/>
      <c r="C273" s="10"/>
      <c r="D273" s="10"/>
    </row>
    <row r="274" spans="1:4" ht="15.75" customHeight="1" x14ac:dyDescent="0.25">
      <c r="A274" s="10"/>
      <c r="B274" s="10"/>
      <c r="C274" s="10"/>
      <c r="D274" s="10"/>
    </row>
    <row r="275" spans="1:4" ht="15.75" customHeight="1" x14ac:dyDescent="0.25">
      <c r="A275" s="10"/>
      <c r="B275" s="10"/>
      <c r="C275" s="10"/>
      <c r="D275" s="10"/>
    </row>
    <row r="276" spans="1:4" ht="15.75" customHeight="1" x14ac:dyDescent="0.25">
      <c r="A276" s="10"/>
      <c r="B276" s="10"/>
      <c r="C276" s="10"/>
      <c r="D276" s="10"/>
    </row>
    <row r="277" spans="1:4" ht="15.75" customHeight="1" x14ac:dyDescent="0.25">
      <c r="A277" s="10"/>
      <c r="B277" s="10"/>
      <c r="C277" s="10"/>
      <c r="D277" s="10"/>
    </row>
    <row r="278" spans="1:4" ht="15.75" customHeight="1" x14ac:dyDescent="0.25">
      <c r="A278" s="10"/>
      <c r="B278" s="10"/>
      <c r="C278" s="10"/>
      <c r="D278" s="10"/>
    </row>
    <row r="279" spans="1:4" ht="15.75" customHeight="1" x14ac:dyDescent="0.25">
      <c r="A279" s="10"/>
      <c r="B279" s="10"/>
      <c r="C279" s="10"/>
      <c r="D279" s="10"/>
    </row>
    <row r="280" spans="1:4" ht="15.75" customHeight="1" x14ac:dyDescent="0.25">
      <c r="A280" s="10"/>
      <c r="B280" s="10"/>
      <c r="C280" s="10"/>
      <c r="D280" s="10"/>
    </row>
    <row r="281" spans="1:4" ht="15.75" customHeight="1" x14ac:dyDescent="0.25">
      <c r="A281" s="10"/>
      <c r="B281" s="10"/>
      <c r="C281" s="10"/>
      <c r="D281" s="10"/>
    </row>
    <row r="282" spans="1:4" ht="15.75" customHeight="1" x14ac:dyDescent="0.25">
      <c r="A282" s="10"/>
      <c r="B282" s="10"/>
      <c r="C282" s="10"/>
      <c r="D282" s="10"/>
    </row>
    <row r="283" spans="1:4" ht="15.75" customHeight="1" x14ac:dyDescent="0.25">
      <c r="A283" s="10"/>
      <c r="B283" s="10"/>
      <c r="C283" s="10"/>
      <c r="D283" s="10"/>
    </row>
    <row r="284" spans="1:4" ht="15.75" customHeight="1" x14ac:dyDescent="0.25">
      <c r="A284" s="10"/>
      <c r="B284" s="10"/>
      <c r="C284" s="10"/>
      <c r="D284" s="10"/>
    </row>
    <row r="285" spans="1:4" ht="15.75" customHeight="1" x14ac:dyDescent="0.25">
      <c r="A285" s="10"/>
      <c r="B285" s="10"/>
      <c r="C285" s="10"/>
      <c r="D285" s="10"/>
    </row>
    <row r="286" spans="1:4" ht="15.75" customHeight="1" x14ac:dyDescent="0.25">
      <c r="A286" s="10"/>
      <c r="B286" s="10"/>
      <c r="C286" s="10"/>
      <c r="D286" s="10"/>
    </row>
    <row r="287" spans="1:4" ht="15.75" customHeight="1" x14ac:dyDescent="0.25">
      <c r="A287" s="10"/>
      <c r="B287" s="10"/>
      <c r="C287" s="10"/>
      <c r="D287" s="10"/>
    </row>
    <row r="288" spans="1:4" ht="15.75" customHeight="1" x14ac:dyDescent="0.25">
      <c r="A288" s="10"/>
      <c r="B288" s="10"/>
      <c r="C288" s="10"/>
      <c r="D288" s="10"/>
    </row>
    <row r="289" spans="1:4" ht="15.75" customHeight="1" x14ac:dyDescent="0.25">
      <c r="A289" s="10"/>
      <c r="B289" s="10"/>
      <c r="C289" s="10"/>
      <c r="D289" s="10"/>
    </row>
    <row r="290" spans="1:4" ht="15.75" customHeight="1" x14ac:dyDescent="0.25">
      <c r="A290" s="10"/>
      <c r="B290" s="10"/>
      <c r="C290" s="10"/>
      <c r="D290" s="10"/>
    </row>
    <row r="291" spans="1:4" ht="15.75" customHeight="1" x14ac:dyDescent="0.25">
      <c r="A291" s="10"/>
      <c r="B291" s="10"/>
      <c r="C291" s="10"/>
      <c r="D291" s="10"/>
    </row>
    <row r="292" spans="1:4" ht="15.75" customHeight="1" x14ac:dyDescent="0.25">
      <c r="A292" s="10"/>
      <c r="B292" s="10"/>
      <c r="C292" s="10"/>
      <c r="D292" s="10"/>
    </row>
    <row r="293" spans="1:4" ht="15.75" customHeight="1" x14ac:dyDescent="0.25">
      <c r="A293" s="10"/>
      <c r="B293" s="10"/>
      <c r="C293" s="10"/>
      <c r="D293" s="10"/>
    </row>
    <row r="294" spans="1:4" ht="15.75" customHeight="1" x14ac:dyDescent="0.25">
      <c r="A294" s="10"/>
      <c r="B294" s="10"/>
      <c r="C294" s="10"/>
      <c r="D294" s="10"/>
    </row>
    <row r="295" spans="1:4" ht="15.75" customHeight="1" x14ac:dyDescent="0.25">
      <c r="A295" s="10"/>
      <c r="B295" s="10"/>
      <c r="C295" s="10"/>
      <c r="D295" s="10"/>
    </row>
    <row r="296" spans="1:4" ht="15.75" customHeight="1" x14ac:dyDescent="0.25">
      <c r="A296" s="10"/>
      <c r="B296" s="10"/>
      <c r="C296" s="10"/>
      <c r="D296" s="10"/>
    </row>
    <row r="297" spans="1:4" ht="15.75" customHeight="1" x14ac:dyDescent="0.25">
      <c r="A297" s="10"/>
      <c r="B297" s="10"/>
      <c r="C297" s="10"/>
      <c r="D297" s="10"/>
    </row>
    <row r="298" spans="1:4" ht="15.75" customHeight="1" x14ac:dyDescent="0.25">
      <c r="A298" s="10"/>
      <c r="B298" s="10"/>
      <c r="C298" s="10"/>
      <c r="D298" s="10"/>
    </row>
    <row r="299" spans="1:4" ht="15.75" customHeight="1" x14ac:dyDescent="0.25">
      <c r="A299" s="10"/>
      <c r="B299" s="10"/>
      <c r="C299" s="10"/>
      <c r="D299" s="10"/>
    </row>
    <row r="300" spans="1:4" ht="15.75" customHeight="1" x14ac:dyDescent="0.25">
      <c r="A300" s="10"/>
      <c r="B300" s="10"/>
      <c r="C300" s="10"/>
      <c r="D300" s="10"/>
    </row>
    <row r="301" spans="1:4" ht="15.75" customHeight="1" x14ac:dyDescent="0.25">
      <c r="A301" s="10"/>
      <c r="B301" s="10"/>
      <c r="C301" s="10"/>
      <c r="D301" s="10"/>
    </row>
    <row r="302" spans="1:4" ht="15.75" customHeight="1" x14ac:dyDescent="0.25">
      <c r="A302" s="10"/>
      <c r="B302" s="10"/>
      <c r="C302" s="10"/>
      <c r="D302" s="10"/>
    </row>
    <row r="303" spans="1:4" ht="15.75" customHeight="1" x14ac:dyDescent="0.25">
      <c r="A303" s="10"/>
      <c r="B303" s="10"/>
      <c r="C303" s="10"/>
      <c r="D303" s="10"/>
    </row>
    <row r="304" spans="1:4" ht="15.75" customHeight="1" x14ac:dyDescent="0.25">
      <c r="A304" s="10"/>
      <c r="B304" s="10"/>
      <c r="C304" s="10"/>
      <c r="D304" s="10"/>
    </row>
    <row r="305" spans="1:4" ht="15.75" customHeight="1" x14ac:dyDescent="0.25">
      <c r="A305" s="10"/>
      <c r="B305" s="10"/>
      <c r="C305" s="10"/>
      <c r="D305" s="10"/>
    </row>
    <row r="306" spans="1:4" ht="15.75" customHeight="1" x14ac:dyDescent="0.25">
      <c r="A306" s="10"/>
      <c r="B306" s="10"/>
      <c r="C306" s="10"/>
      <c r="D306" s="10"/>
    </row>
    <row r="307" spans="1:4" ht="15.75" customHeight="1" x14ac:dyDescent="0.25">
      <c r="A307" s="10"/>
      <c r="B307" s="10"/>
      <c r="C307" s="10"/>
      <c r="D307" s="10"/>
    </row>
    <row r="308" spans="1:4" ht="15.75" customHeight="1" x14ac:dyDescent="0.25">
      <c r="A308" s="10"/>
      <c r="B308" s="10"/>
      <c r="C308" s="10"/>
      <c r="D308" s="10"/>
    </row>
    <row r="309" spans="1:4" ht="15.75" customHeight="1" x14ac:dyDescent="0.25">
      <c r="A309" s="10"/>
      <c r="B309" s="10"/>
      <c r="C309" s="10"/>
      <c r="D309" s="10"/>
    </row>
    <row r="310" spans="1:4" ht="15.75" customHeight="1" x14ac:dyDescent="0.25">
      <c r="A310" s="10"/>
      <c r="B310" s="10"/>
      <c r="C310" s="10"/>
      <c r="D310" s="10"/>
    </row>
    <row r="311" spans="1:4" ht="15.75" customHeight="1" x14ac:dyDescent="0.25">
      <c r="A311" s="10"/>
      <c r="B311" s="10"/>
      <c r="C311" s="10"/>
      <c r="D311" s="10"/>
    </row>
    <row r="312" spans="1:4" ht="15.75" customHeight="1" x14ac:dyDescent="0.25">
      <c r="A312" s="10"/>
      <c r="B312" s="10"/>
      <c r="C312" s="10"/>
      <c r="D312" s="10"/>
    </row>
    <row r="313" spans="1:4" ht="15.75" customHeight="1" x14ac:dyDescent="0.25">
      <c r="A313" s="10"/>
      <c r="B313" s="10"/>
      <c r="C313" s="10"/>
      <c r="D313" s="10"/>
    </row>
    <row r="314" spans="1:4" ht="15.75" customHeight="1" x14ac:dyDescent="0.25">
      <c r="A314" s="10"/>
      <c r="B314" s="10"/>
      <c r="C314" s="10"/>
      <c r="D314" s="10"/>
    </row>
    <row r="315" spans="1:4" ht="15.75" customHeight="1" x14ac:dyDescent="0.25">
      <c r="A315" s="10"/>
      <c r="B315" s="10"/>
      <c r="C315" s="10"/>
      <c r="D315" s="10"/>
    </row>
    <row r="316" spans="1:4" ht="15.75" customHeight="1" x14ac:dyDescent="0.25">
      <c r="A316" s="10"/>
      <c r="B316" s="10"/>
      <c r="C316" s="10"/>
      <c r="D316" s="10"/>
    </row>
    <row r="317" spans="1:4" ht="15.75" customHeight="1" x14ac:dyDescent="0.25">
      <c r="A317" s="10"/>
      <c r="B317" s="10"/>
      <c r="C317" s="10"/>
      <c r="D317" s="10"/>
    </row>
    <row r="318" spans="1:4" ht="15.75" customHeight="1" x14ac:dyDescent="0.25">
      <c r="A318" s="10"/>
      <c r="B318" s="10"/>
      <c r="C318" s="10"/>
      <c r="D318" s="10"/>
    </row>
    <row r="319" spans="1:4" ht="15.75" customHeight="1" x14ac:dyDescent="0.25">
      <c r="A319" s="10"/>
      <c r="B319" s="10"/>
      <c r="C319" s="10"/>
      <c r="D319" s="10"/>
    </row>
    <row r="320" spans="1:4" ht="15.75" customHeight="1" x14ac:dyDescent="0.25">
      <c r="A320" s="10"/>
      <c r="B320" s="10"/>
      <c r="C320" s="10"/>
      <c r="D320" s="10"/>
    </row>
    <row r="321" spans="1:4" ht="15.75" customHeight="1" x14ac:dyDescent="0.25">
      <c r="A321" s="10"/>
      <c r="B321" s="10"/>
      <c r="C321" s="10"/>
      <c r="D321" s="10"/>
    </row>
    <row r="322" spans="1:4" ht="15.75" customHeight="1" x14ac:dyDescent="0.25">
      <c r="A322" s="10"/>
      <c r="B322" s="10"/>
      <c r="C322" s="10"/>
      <c r="D322" s="10"/>
    </row>
    <row r="323" spans="1:4" ht="15.75" customHeight="1" x14ac:dyDescent="0.25">
      <c r="A323" s="10"/>
      <c r="B323" s="10"/>
      <c r="C323" s="10"/>
      <c r="D323" s="10"/>
    </row>
    <row r="324" spans="1:4" ht="15.75" customHeight="1" x14ac:dyDescent="0.25">
      <c r="A324" s="10"/>
      <c r="B324" s="10"/>
      <c r="C324" s="10"/>
      <c r="D324" s="10"/>
    </row>
    <row r="325" spans="1:4" ht="15.75" customHeight="1" x14ac:dyDescent="0.25">
      <c r="A325" s="10"/>
      <c r="B325" s="10"/>
      <c r="C325" s="10"/>
      <c r="D325" s="10"/>
    </row>
    <row r="326" spans="1:4" ht="15.75" customHeight="1" x14ac:dyDescent="0.25">
      <c r="A326" s="10"/>
      <c r="B326" s="10"/>
      <c r="C326" s="10"/>
      <c r="D326" s="10"/>
    </row>
    <row r="327" spans="1:4" ht="15.75" customHeight="1" x14ac:dyDescent="0.25">
      <c r="A327" s="10"/>
      <c r="B327" s="10"/>
      <c r="C327" s="10"/>
      <c r="D327" s="10"/>
    </row>
    <row r="328" spans="1:4" ht="15.75" customHeight="1" x14ac:dyDescent="0.25">
      <c r="A328" s="10"/>
      <c r="B328" s="10"/>
      <c r="C328" s="10"/>
      <c r="D328" s="10"/>
    </row>
    <row r="329" spans="1:4" ht="15.75" customHeight="1" x14ac:dyDescent="0.25">
      <c r="A329" s="10"/>
      <c r="B329" s="10"/>
      <c r="C329" s="10"/>
      <c r="D329" s="10"/>
    </row>
    <row r="330" spans="1:4" ht="15.75" customHeight="1" x14ac:dyDescent="0.25">
      <c r="A330" s="10"/>
      <c r="B330" s="10"/>
      <c r="C330" s="10"/>
      <c r="D330" s="10"/>
    </row>
    <row r="331" spans="1:4" ht="15.75" customHeight="1" x14ac:dyDescent="0.25">
      <c r="A331" s="10"/>
      <c r="B331" s="10"/>
      <c r="C331" s="10"/>
      <c r="D331" s="10"/>
    </row>
    <row r="332" spans="1:4" ht="15.75" customHeight="1" x14ac:dyDescent="0.25">
      <c r="A332" s="10"/>
      <c r="B332" s="10"/>
      <c r="C332" s="10"/>
      <c r="D332" s="10"/>
    </row>
    <row r="333" spans="1:4" ht="15.75" customHeight="1" x14ac:dyDescent="0.25">
      <c r="A333" s="10"/>
      <c r="B333" s="10"/>
      <c r="C333" s="10"/>
      <c r="D333" s="10"/>
    </row>
    <row r="334" spans="1:4" ht="15.75" customHeight="1" x14ac:dyDescent="0.25">
      <c r="A334" s="10"/>
      <c r="B334" s="10"/>
      <c r="C334" s="10"/>
      <c r="D334" s="10"/>
    </row>
    <row r="335" spans="1:4" ht="15.75" customHeight="1" x14ac:dyDescent="0.25">
      <c r="A335" s="10"/>
      <c r="B335" s="10"/>
      <c r="C335" s="10"/>
      <c r="D335" s="10"/>
    </row>
    <row r="336" spans="1:4" ht="15.75" customHeight="1" x14ac:dyDescent="0.25">
      <c r="A336" s="10"/>
      <c r="B336" s="10"/>
      <c r="C336" s="10"/>
      <c r="D336" s="10"/>
    </row>
    <row r="337" spans="1:4" ht="15.75" customHeight="1" x14ac:dyDescent="0.25">
      <c r="A337" s="10"/>
      <c r="B337" s="10"/>
      <c r="C337" s="10"/>
      <c r="D337" s="10"/>
    </row>
    <row r="338" spans="1:4" ht="15.75" customHeight="1" x14ac:dyDescent="0.25">
      <c r="A338" s="10"/>
      <c r="B338" s="10"/>
      <c r="C338" s="10"/>
      <c r="D338" s="10"/>
    </row>
    <row r="339" spans="1:4" ht="15.75" customHeight="1" x14ac:dyDescent="0.25">
      <c r="A339" s="10"/>
      <c r="B339" s="10"/>
      <c r="C339" s="10"/>
      <c r="D339" s="10"/>
    </row>
    <row r="340" spans="1:4" ht="15.75" customHeight="1" x14ac:dyDescent="0.25">
      <c r="A340" s="10"/>
      <c r="B340" s="10"/>
      <c r="C340" s="10"/>
      <c r="D340" s="10"/>
    </row>
    <row r="341" spans="1:4" ht="15.75" customHeight="1" x14ac:dyDescent="0.25">
      <c r="A341" s="10"/>
      <c r="B341" s="10"/>
      <c r="C341" s="10"/>
      <c r="D341" s="10"/>
    </row>
    <row r="342" spans="1:4" ht="15.75" customHeight="1" x14ac:dyDescent="0.25">
      <c r="A342" s="10"/>
      <c r="B342" s="10"/>
      <c r="C342" s="10"/>
      <c r="D342" s="10"/>
    </row>
    <row r="343" spans="1:4" ht="15.75" customHeight="1" x14ac:dyDescent="0.25">
      <c r="A343" s="10"/>
      <c r="B343" s="10"/>
      <c r="C343" s="10"/>
      <c r="D343" s="10"/>
    </row>
    <row r="344" spans="1:4" ht="15.75" customHeight="1" x14ac:dyDescent="0.25">
      <c r="A344" s="10"/>
      <c r="B344" s="10"/>
      <c r="C344" s="10"/>
      <c r="D344" s="10"/>
    </row>
    <row r="345" spans="1:4" ht="15.75" customHeight="1" x14ac:dyDescent="0.25">
      <c r="A345" s="10"/>
      <c r="B345" s="10"/>
      <c r="C345" s="10"/>
      <c r="D345" s="10"/>
    </row>
    <row r="346" spans="1:4" ht="15.75" customHeight="1" x14ac:dyDescent="0.25">
      <c r="A346" s="10"/>
      <c r="B346" s="10"/>
      <c r="C346" s="10"/>
      <c r="D346" s="10"/>
    </row>
    <row r="347" spans="1:4" ht="15.75" customHeight="1" x14ac:dyDescent="0.25">
      <c r="A347" s="10"/>
      <c r="B347" s="10"/>
      <c r="C347" s="10"/>
      <c r="D347" s="10"/>
    </row>
    <row r="348" spans="1:4" ht="15.75" customHeight="1" x14ac:dyDescent="0.25">
      <c r="A348" s="10"/>
      <c r="B348" s="10"/>
      <c r="C348" s="10"/>
      <c r="D348" s="10"/>
    </row>
    <row r="349" spans="1:4" ht="15.75" customHeight="1" x14ac:dyDescent="0.25">
      <c r="A349" s="10"/>
      <c r="B349" s="10"/>
      <c r="C349" s="10"/>
      <c r="D349" s="10"/>
    </row>
    <row r="350" spans="1:4" ht="15.75" customHeight="1" x14ac:dyDescent="0.25">
      <c r="A350" s="10"/>
      <c r="B350" s="10"/>
      <c r="C350" s="10"/>
      <c r="D350" s="10"/>
    </row>
    <row r="351" spans="1:4" ht="15.75" customHeight="1" x14ac:dyDescent="0.25">
      <c r="A351" s="10"/>
      <c r="B351" s="10"/>
      <c r="C351" s="10"/>
      <c r="D351" s="10"/>
    </row>
    <row r="352" spans="1:4" ht="15.75" customHeight="1" x14ac:dyDescent="0.25">
      <c r="A352" s="10"/>
      <c r="B352" s="10"/>
      <c r="C352" s="10"/>
      <c r="D352" s="10"/>
    </row>
    <row r="353" spans="1:4" ht="15.75" customHeight="1" x14ac:dyDescent="0.25">
      <c r="A353" s="10"/>
      <c r="B353" s="10"/>
      <c r="C353" s="10"/>
      <c r="D353" s="10"/>
    </row>
    <row r="354" spans="1:4" ht="15.75" customHeight="1" x14ac:dyDescent="0.25">
      <c r="A354" s="10"/>
      <c r="B354" s="10"/>
      <c r="C354" s="10"/>
      <c r="D354" s="10"/>
    </row>
    <row r="355" spans="1:4" ht="15.75" customHeight="1" x14ac:dyDescent="0.25">
      <c r="A355" s="10"/>
      <c r="B355" s="10"/>
      <c r="C355" s="10"/>
      <c r="D355" s="10"/>
    </row>
    <row r="356" spans="1:4" ht="15.75" customHeight="1" x14ac:dyDescent="0.25">
      <c r="A356" s="10"/>
      <c r="B356" s="10"/>
      <c r="C356" s="10"/>
      <c r="D356" s="10"/>
    </row>
    <row r="357" spans="1:4" ht="15.75" customHeight="1" x14ac:dyDescent="0.25">
      <c r="A357" s="10"/>
      <c r="B357" s="10"/>
      <c r="C357" s="10"/>
      <c r="D357" s="10"/>
    </row>
    <row r="358" spans="1:4" ht="15.75" customHeight="1" x14ac:dyDescent="0.25">
      <c r="A358" s="10"/>
      <c r="B358" s="10"/>
      <c r="C358" s="10"/>
      <c r="D358" s="10"/>
    </row>
    <row r="359" spans="1:4" ht="15.75" customHeight="1" x14ac:dyDescent="0.25">
      <c r="A359" s="10"/>
      <c r="B359" s="10"/>
      <c r="C359" s="10"/>
      <c r="D359" s="10"/>
    </row>
    <row r="360" spans="1:4" ht="15.75" customHeight="1" x14ac:dyDescent="0.25">
      <c r="A360" s="10"/>
      <c r="B360" s="10"/>
      <c r="C360" s="10"/>
      <c r="D360" s="10"/>
    </row>
    <row r="361" spans="1:4" ht="15.75" customHeight="1" x14ac:dyDescent="0.25">
      <c r="A361" s="10"/>
      <c r="B361" s="10"/>
      <c r="C361" s="10"/>
      <c r="D361" s="10"/>
    </row>
    <row r="362" spans="1:4" ht="15.75" customHeight="1" x14ac:dyDescent="0.25">
      <c r="A362" s="10"/>
      <c r="B362" s="10"/>
      <c r="C362" s="10"/>
      <c r="D362" s="10"/>
    </row>
    <row r="363" spans="1:4" ht="15.75" customHeight="1" x14ac:dyDescent="0.25">
      <c r="A363" s="10"/>
      <c r="B363" s="10"/>
      <c r="C363" s="10"/>
      <c r="D363" s="10"/>
    </row>
    <row r="364" spans="1:4" ht="15.75" customHeight="1" x14ac:dyDescent="0.25">
      <c r="A364" s="10"/>
      <c r="B364" s="10"/>
      <c r="C364" s="10"/>
      <c r="D364" s="10"/>
    </row>
    <row r="365" spans="1:4" ht="15.75" customHeight="1" x14ac:dyDescent="0.25">
      <c r="A365" s="10"/>
      <c r="B365" s="10"/>
      <c r="C365" s="10"/>
      <c r="D365" s="10"/>
    </row>
    <row r="366" spans="1:4" ht="15.75" customHeight="1" x14ac:dyDescent="0.25">
      <c r="A366" s="10"/>
      <c r="B366" s="10"/>
      <c r="C366" s="10"/>
      <c r="D366" s="10"/>
    </row>
    <row r="367" spans="1:4" ht="15.75" customHeight="1" x14ac:dyDescent="0.25">
      <c r="A367" s="10"/>
      <c r="B367" s="10"/>
      <c r="C367" s="10"/>
      <c r="D367" s="10"/>
    </row>
    <row r="368" spans="1:4" ht="15.75" customHeight="1" x14ac:dyDescent="0.25">
      <c r="A368" s="10"/>
      <c r="B368" s="10"/>
      <c r="C368" s="10"/>
      <c r="D368" s="10"/>
    </row>
    <row r="369" spans="1:4" ht="15.75" customHeight="1" x14ac:dyDescent="0.25">
      <c r="A369" s="10"/>
      <c r="B369" s="10"/>
      <c r="C369" s="10"/>
      <c r="D369" s="10"/>
    </row>
    <row r="370" spans="1:4" ht="15.75" customHeight="1" x14ac:dyDescent="0.25">
      <c r="A370" s="10"/>
      <c r="B370" s="10"/>
      <c r="C370" s="10"/>
      <c r="D370" s="10"/>
    </row>
    <row r="371" spans="1:4" ht="15.75" customHeight="1" x14ac:dyDescent="0.25">
      <c r="A371" s="10"/>
      <c r="B371" s="10"/>
      <c r="C371" s="10"/>
      <c r="D371" s="10"/>
    </row>
    <row r="372" spans="1:4" ht="15.75" customHeight="1" x14ac:dyDescent="0.25">
      <c r="A372" s="10"/>
      <c r="B372" s="10"/>
      <c r="C372" s="10"/>
      <c r="D372" s="10"/>
    </row>
    <row r="373" spans="1:4" ht="15.75" customHeight="1" x14ac:dyDescent="0.25">
      <c r="A373" s="10"/>
      <c r="B373" s="10"/>
      <c r="C373" s="10"/>
      <c r="D373" s="10"/>
    </row>
    <row r="374" spans="1:4" ht="15.75" customHeight="1" x14ac:dyDescent="0.25">
      <c r="A374" s="10"/>
      <c r="B374" s="10"/>
      <c r="C374" s="10"/>
      <c r="D374" s="10"/>
    </row>
    <row r="375" spans="1:4" ht="15.75" customHeight="1" x14ac:dyDescent="0.25">
      <c r="A375" s="10"/>
      <c r="B375" s="10"/>
      <c r="C375" s="10"/>
      <c r="D375" s="10"/>
    </row>
    <row r="376" spans="1:4" ht="15.75" customHeight="1" x14ac:dyDescent="0.25">
      <c r="A376" s="10"/>
      <c r="B376" s="10"/>
      <c r="C376" s="10"/>
      <c r="D376" s="10"/>
    </row>
    <row r="377" spans="1:4" ht="15.75" customHeight="1" x14ac:dyDescent="0.25">
      <c r="A377" s="10"/>
      <c r="B377" s="10"/>
      <c r="C377" s="10"/>
      <c r="D377" s="10"/>
    </row>
    <row r="378" spans="1:4" ht="15.75" customHeight="1" x14ac:dyDescent="0.25">
      <c r="A378" s="10"/>
      <c r="B378" s="10"/>
      <c r="C378" s="10"/>
      <c r="D378" s="10"/>
    </row>
    <row r="379" spans="1:4" ht="15.75" customHeight="1" x14ac:dyDescent="0.25">
      <c r="A379" s="10"/>
      <c r="B379" s="10"/>
      <c r="C379" s="10"/>
      <c r="D379" s="10"/>
    </row>
    <row r="380" spans="1:4" ht="15.75" customHeight="1" x14ac:dyDescent="0.25">
      <c r="A380" s="10"/>
      <c r="B380" s="10"/>
      <c r="C380" s="10"/>
      <c r="D380" s="10"/>
    </row>
    <row r="381" spans="1:4" ht="15.75" customHeight="1" x14ac:dyDescent="0.25">
      <c r="A381" s="10"/>
      <c r="B381" s="10"/>
      <c r="C381" s="10"/>
      <c r="D381" s="10"/>
    </row>
    <row r="382" spans="1:4" ht="15.75" customHeight="1" x14ac:dyDescent="0.25">
      <c r="A382" s="10"/>
      <c r="B382" s="10"/>
      <c r="C382" s="10"/>
      <c r="D382" s="10"/>
    </row>
    <row r="383" spans="1:4" ht="15.75" customHeight="1" x14ac:dyDescent="0.25">
      <c r="A383" s="10"/>
      <c r="B383" s="10"/>
      <c r="C383" s="10"/>
      <c r="D383" s="10"/>
    </row>
    <row r="384" spans="1:4" ht="15.75" customHeight="1" x14ac:dyDescent="0.25">
      <c r="A384" s="10"/>
      <c r="B384" s="10"/>
      <c r="C384" s="10"/>
      <c r="D384" s="10"/>
    </row>
    <row r="385" spans="1:4" ht="15.75" customHeight="1" x14ac:dyDescent="0.25">
      <c r="A385" s="10"/>
      <c r="B385" s="10"/>
      <c r="C385" s="10"/>
      <c r="D385" s="10"/>
    </row>
    <row r="386" spans="1:4" ht="15.75" customHeight="1" x14ac:dyDescent="0.25">
      <c r="A386" s="10"/>
      <c r="B386" s="10"/>
      <c r="C386" s="10"/>
      <c r="D386" s="10"/>
    </row>
    <row r="387" spans="1:4" ht="15.75" customHeight="1" x14ac:dyDescent="0.25">
      <c r="A387" s="10"/>
      <c r="B387" s="10"/>
      <c r="C387" s="10"/>
      <c r="D387" s="10"/>
    </row>
    <row r="388" spans="1:4" ht="15.75" customHeight="1" x14ac:dyDescent="0.25">
      <c r="A388" s="10"/>
      <c r="B388" s="10"/>
      <c r="C388" s="10"/>
      <c r="D388" s="10"/>
    </row>
    <row r="389" spans="1:4" ht="15.75" customHeight="1" x14ac:dyDescent="0.25">
      <c r="A389" s="10"/>
      <c r="B389" s="10"/>
      <c r="C389" s="10"/>
      <c r="D389" s="10"/>
    </row>
    <row r="390" spans="1:4" ht="15.75" customHeight="1" x14ac:dyDescent="0.25">
      <c r="A390" s="10"/>
      <c r="B390" s="10"/>
      <c r="C390" s="10"/>
      <c r="D390" s="10"/>
    </row>
    <row r="391" spans="1:4" ht="15.75" customHeight="1" x14ac:dyDescent="0.25">
      <c r="A391" s="10"/>
      <c r="B391" s="10"/>
      <c r="C391" s="10"/>
      <c r="D391" s="10"/>
    </row>
    <row r="392" spans="1:4" ht="15.75" customHeight="1" x14ac:dyDescent="0.25">
      <c r="A392" s="10"/>
      <c r="B392" s="10"/>
      <c r="C392" s="10"/>
      <c r="D392" s="10"/>
    </row>
    <row r="393" spans="1:4" ht="15.75" customHeight="1" x14ac:dyDescent="0.25">
      <c r="A393" s="10"/>
      <c r="B393" s="10"/>
      <c r="C393" s="10"/>
      <c r="D393" s="10"/>
    </row>
    <row r="394" spans="1:4" ht="15.75" customHeight="1" x14ac:dyDescent="0.25">
      <c r="A394" s="10"/>
      <c r="B394" s="10"/>
      <c r="C394" s="10"/>
      <c r="D394" s="10"/>
    </row>
    <row r="395" spans="1:4" ht="15.75" customHeight="1" x14ac:dyDescent="0.25">
      <c r="A395" s="10"/>
      <c r="B395" s="10"/>
      <c r="C395" s="10"/>
      <c r="D395" s="10"/>
    </row>
    <row r="396" spans="1:4" ht="15.75" customHeight="1" x14ac:dyDescent="0.25">
      <c r="A396" s="10"/>
      <c r="B396" s="10"/>
      <c r="C396" s="10"/>
      <c r="D396" s="10"/>
    </row>
    <row r="397" spans="1:4" ht="15.75" customHeight="1" x14ac:dyDescent="0.25">
      <c r="A397" s="10"/>
      <c r="B397" s="10"/>
      <c r="C397" s="10"/>
      <c r="D397" s="10"/>
    </row>
    <row r="398" spans="1:4" ht="15.75" customHeight="1" x14ac:dyDescent="0.25">
      <c r="A398" s="10"/>
      <c r="B398" s="10"/>
      <c r="C398" s="10"/>
      <c r="D398" s="10"/>
    </row>
    <row r="399" spans="1:4" ht="15.75" customHeight="1" x14ac:dyDescent="0.25">
      <c r="A399" s="10"/>
      <c r="B399" s="10"/>
      <c r="C399" s="10"/>
      <c r="D399" s="10"/>
    </row>
    <row r="400" spans="1:4" ht="15.75" customHeight="1" x14ac:dyDescent="0.25">
      <c r="A400" s="10"/>
      <c r="B400" s="10"/>
      <c r="C400" s="10"/>
      <c r="D400" s="10"/>
    </row>
    <row r="401" spans="1:4" ht="15.75" customHeight="1" x14ac:dyDescent="0.25">
      <c r="A401" s="10"/>
      <c r="B401" s="10"/>
      <c r="C401" s="10"/>
      <c r="D401" s="10"/>
    </row>
    <row r="402" spans="1:4" ht="15.75" customHeight="1" x14ac:dyDescent="0.25">
      <c r="A402" s="10"/>
      <c r="B402" s="10"/>
      <c r="C402" s="10"/>
      <c r="D402" s="10"/>
    </row>
    <row r="403" spans="1:4" ht="15.75" customHeight="1" x14ac:dyDescent="0.25">
      <c r="A403" s="10"/>
      <c r="B403" s="10"/>
      <c r="C403" s="10"/>
      <c r="D403" s="10"/>
    </row>
    <row r="404" spans="1:4" ht="15.75" customHeight="1" x14ac:dyDescent="0.25">
      <c r="A404" s="10"/>
      <c r="B404" s="10"/>
      <c r="C404" s="10"/>
      <c r="D404" s="10"/>
    </row>
    <row r="405" spans="1:4" ht="15.75" customHeight="1" x14ac:dyDescent="0.25">
      <c r="A405" s="10"/>
      <c r="B405" s="10"/>
      <c r="C405" s="10"/>
      <c r="D405" s="10"/>
    </row>
    <row r="406" spans="1:4" ht="15.75" customHeight="1" x14ac:dyDescent="0.25">
      <c r="A406" s="10"/>
      <c r="B406" s="10"/>
      <c r="C406" s="10"/>
      <c r="D406" s="10"/>
    </row>
    <row r="407" spans="1:4" ht="15.75" customHeight="1" x14ac:dyDescent="0.25">
      <c r="A407" s="10"/>
      <c r="B407" s="10"/>
      <c r="C407" s="10"/>
      <c r="D407" s="10"/>
    </row>
    <row r="408" spans="1:4" ht="15.75" customHeight="1" x14ac:dyDescent="0.25">
      <c r="A408" s="10"/>
      <c r="B408" s="10"/>
      <c r="C408" s="10"/>
      <c r="D408" s="10"/>
    </row>
    <row r="409" spans="1:4" ht="15.75" customHeight="1" x14ac:dyDescent="0.25">
      <c r="A409" s="10"/>
      <c r="B409" s="10"/>
      <c r="C409" s="10"/>
      <c r="D409" s="10"/>
    </row>
    <row r="410" spans="1:4" ht="15.75" customHeight="1" x14ac:dyDescent="0.25">
      <c r="A410" s="10"/>
      <c r="B410" s="10"/>
      <c r="C410" s="10"/>
      <c r="D410" s="10"/>
    </row>
    <row r="411" spans="1:4" ht="15.75" customHeight="1" x14ac:dyDescent="0.25">
      <c r="A411" s="10"/>
      <c r="B411" s="10"/>
      <c r="C411" s="10"/>
      <c r="D411" s="10"/>
    </row>
    <row r="412" spans="1:4" ht="15.75" customHeight="1" x14ac:dyDescent="0.25">
      <c r="A412" s="10"/>
      <c r="B412" s="10"/>
      <c r="C412" s="10"/>
      <c r="D412" s="10"/>
    </row>
    <row r="413" spans="1:4" ht="15.75" customHeight="1" x14ac:dyDescent="0.25">
      <c r="A413" s="10"/>
      <c r="B413" s="10"/>
      <c r="C413" s="10"/>
      <c r="D413" s="10"/>
    </row>
    <row r="414" spans="1:4" ht="15.75" customHeight="1" x14ac:dyDescent="0.25">
      <c r="A414" s="10"/>
      <c r="B414" s="10"/>
      <c r="C414" s="10"/>
      <c r="D414" s="10"/>
    </row>
    <row r="415" spans="1:4" ht="15.75" customHeight="1" x14ac:dyDescent="0.25">
      <c r="A415" s="10"/>
      <c r="B415" s="10"/>
      <c r="C415" s="10"/>
      <c r="D415" s="10"/>
    </row>
    <row r="416" spans="1:4" ht="15.75" customHeight="1" x14ac:dyDescent="0.25">
      <c r="A416" s="10"/>
      <c r="B416" s="10"/>
      <c r="C416" s="10"/>
      <c r="D416" s="10"/>
    </row>
    <row r="417" spans="1:4" ht="15.75" customHeight="1" x14ac:dyDescent="0.25">
      <c r="A417" s="10"/>
      <c r="B417" s="10"/>
      <c r="C417" s="10"/>
      <c r="D417" s="10"/>
    </row>
    <row r="418" spans="1:4" ht="15.75" customHeight="1" x14ac:dyDescent="0.25">
      <c r="A418" s="10"/>
      <c r="B418" s="10"/>
      <c r="C418" s="10"/>
      <c r="D418" s="10"/>
    </row>
    <row r="419" spans="1:4" ht="15.75" customHeight="1" x14ac:dyDescent="0.25">
      <c r="A419" s="10"/>
      <c r="B419" s="10"/>
      <c r="C419" s="10"/>
      <c r="D419" s="10"/>
    </row>
    <row r="420" spans="1:4" ht="15.75" customHeight="1" x14ac:dyDescent="0.25">
      <c r="A420" s="10"/>
      <c r="B420" s="10"/>
      <c r="C420" s="10"/>
      <c r="D420" s="10"/>
    </row>
    <row r="421" spans="1:4" ht="15.75" customHeight="1" x14ac:dyDescent="0.25">
      <c r="A421" s="10"/>
      <c r="B421" s="10"/>
      <c r="C421" s="10"/>
      <c r="D421" s="10"/>
    </row>
    <row r="422" spans="1:4" ht="15.75" customHeight="1" x14ac:dyDescent="0.25">
      <c r="A422" s="10"/>
      <c r="B422" s="10"/>
      <c r="C422" s="10"/>
      <c r="D422" s="10"/>
    </row>
    <row r="423" spans="1:4" ht="15.75" customHeight="1" x14ac:dyDescent="0.25">
      <c r="A423" s="10"/>
      <c r="B423" s="10"/>
      <c r="C423" s="10"/>
      <c r="D423" s="10"/>
    </row>
    <row r="424" spans="1:4" ht="15.75" customHeight="1" x14ac:dyDescent="0.25">
      <c r="A424" s="10"/>
      <c r="B424" s="10"/>
      <c r="C424" s="10"/>
      <c r="D424" s="10"/>
    </row>
    <row r="425" spans="1:4" ht="15.75" customHeight="1" x14ac:dyDescent="0.25">
      <c r="A425" s="10"/>
      <c r="B425" s="10"/>
      <c r="C425" s="10"/>
      <c r="D425" s="10"/>
    </row>
    <row r="426" spans="1:4" ht="15.75" customHeight="1" x14ac:dyDescent="0.25">
      <c r="A426" s="10"/>
      <c r="B426" s="10"/>
      <c r="C426" s="10"/>
      <c r="D426" s="10"/>
    </row>
    <row r="427" spans="1:4" ht="15.75" customHeight="1" x14ac:dyDescent="0.25">
      <c r="A427" s="10"/>
      <c r="B427" s="10"/>
      <c r="C427" s="10"/>
      <c r="D427" s="10"/>
    </row>
    <row r="428" spans="1:4" ht="15.75" customHeight="1" x14ac:dyDescent="0.25">
      <c r="A428" s="10"/>
      <c r="B428" s="10"/>
      <c r="C428" s="10"/>
      <c r="D428" s="10"/>
    </row>
    <row r="429" spans="1:4" ht="15.75" customHeight="1" x14ac:dyDescent="0.25">
      <c r="A429" s="10"/>
      <c r="B429" s="10"/>
      <c r="C429" s="10"/>
      <c r="D429" s="10"/>
    </row>
    <row r="430" spans="1:4" ht="15.75" customHeight="1" x14ac:dyDescent="0.25">
      <c r="A430" s="10"/>
      <c r="B430" s="10"/>
      <c r="C430" s="10"/>
      <c r="D430" s="10"/>
    </row>
    <row r="431" spans="1:4" ht="15.75" customHeight="1" x14ac:dyDescent="0.25">
      <c r="A431" s="10"/>
      <c r="B431" s="10"/>
      <c r="C431" s="10"/>
      <c r="D431" s="10"/>
    </row>
    <row r="432" spans="1:4" ht="15.75" customHeight="1" x14ac:dyDescent="0.25">
      <c r="A432" s="10"/>
      <c r="B432" s="10"/>
      <c r="C432" s="10"/>
      <c r="D432" s="10"/>
    </row>
    <row r="433" spans="1:4" ht="15.75" customHeight="1" x14ac:dyDescent="0.25">
      <c r="A433" s="10"/>
      <c r="B433" s="10"/>
      <c r="C433" s="10"/>
      <c r="D433" s="10"/>
    </row>
    <row r="434" spans="1:4" ht="15.75" customHeight="1" x14ac:dyDescent="0.25">
      <c r="A434" s="10"/>
      <c r="B434" s="10"/>
      <c r="C434" s="10"/>
      <c r="D434" s="10"/>
    </row>
    <row r="435" spans="1:4" ht="15.75" customHeight="1" x14ac:dyDescent="0.25">
      <c r="A435" s="10"/>
      <c r="B435" s="10"/>
      <c r="C435" s="10"/>
      <c r="D435" s="10"/>
    </row>
    <row r="436" spans="1:4" ht="15.75" customHeight="1" x14ac:dyDescent="0.25">
      <c r="A436" s="10"/>
      <c r="B436" s="10"/>
      <c r="C436" s="10"/>
      <c r="D436" s="10"/>
    </row>
    <row r="437" spans="1:4" ht="15.75" customHeight="1" x14ac:dyDescent="0.25">
      <c r="A437" s="10"/>
      <c r="B437" s="10"/>
      <c r="C437" s="10"/>
      <c r="D437" s="10"/>
    </row>
    <row r="438" spans="1:4" ht="15.75" customHeight="1" x14ac:dyDescent="0.25">
      <c r="A438" s="10"/>
      <c r="B438" s="10"/>
      <c r="C438" s="10"/>
      <c r="D438" s="10"/>
    </row>
    <row r="439" spans="1:4" ht="15.75" customHeight="1" x14ac:dyDescent="0.25">
      <c r="A439" s="10"/>
      <c r="B439" s="10"/>
      <c r="C439" s="10"/>
      <c r="D439" s="10"/>
    </row>
    <row r="440" spans="1:4" ht="15.75" customHeight="1" x14ac:dyDescent="0.25">
      <c r="A440" s="10"/>
      <c r="B440" s="10"/>
      <c r="C440" s="10"/>
      <c r="D440" s="10"/>
    </row>
    <row r="441" spans="1:4" ht="15.75" customHeight="1" x14ac:dyDescent="0.25">
      <c r="A441" s="10"/>
      <c r="B441" s="10"/>
      <c r="C441" s="10"/>
      <c r="D441" s="10"/>
    </row>
    <row r="442" spans="1:4" ht="15.75" customHeight="1" x14ac:dyDescent="0.25">
      <c r="A442" s="10"/>
      <c r="B442" s="10"/>
      <c r="C442" s="10"/>
      <c r="D442" s="10"/>
    </row>
    <row r="443" spans="1:4" ht="15.75" customHeight="1" x14ac:dyDescent="0.25">
      <c r="A443" s="10"/>
      <c r="B443" s="10"/>
      <c r="C443" s="10"/>
      <c r="D443" s="10"/>
    </row>
    <row r="444" spans="1:4" ht="15.75" customHeight="1" x14ac:dyDescent="0.25">
      <c r="A444" s="10"/>
      <c r="B444" s="10"/>
      <c r="C444" s="10"/>
      <c r="D444" s="10"/>
    </row>
    <row r="445" spans="1:4" ht="15.75" customHeight="1" x14ac:dyDescent="0.25">
      <c r="A445" s="10"/>
      <c r="B445" s="10"/>
      <c r="C445" s="10"/>
      <c r="D445" s="10"/>
    </row>
    <row r="446" spans="1:4" ht="15.75" customHeight="1" x14ac:dyDescent="0.25">
      <c r="A446" s="10"/>
      <c r="B446" s="10"/>
      <c r="C446" s="10"/>
      <c r="D446" s="10"/>
    </row>
    <row r="447" spans="1:4" ht="15.75" customHeight="1" x14ac:dyDescent="0.25">
      <c r="A447" s="10"/>
      <c r="B447" s="10"/>
      <c r="C447" s="10"/>
      <c r="D447" s="10"/>
    </row>
    <row r="448" spans="1:4" ht="15.75" customHeight="1" x14ac:dyDescent="0.25">
      <c r="A448" s="10"/>
      <c r="B448" s="10"/>
      <c r="C448" s="10"/>
      <c r="D448" s="10"/>
    </row>
    <row r="449" spans="1:4" ht="15.75" customHeight="1" x14ac:dyDescent="0.25">
      <c r="A449" s="10"/>
      <c r="B449" s="10"/>
      <c r="C449" s="10"/>
      <c r="D449" s="10"/>
    </row>
    <row r="450" spans="1:4" ht="15.75" customHeight="1" x14ac:dyDescent="0.25">
      <c r="A450" s="10"/>
      <c r="B450" s="10"/>
      <c r="C450" s="10"/>
      <c r="D450" s="10"/>
    </row>
    <row r="451" spans="1:4" ht="15.75" customHeight="1" x14ac:dyDescent="0.25">
      <c r="A451" s="10"/>
      <c r="B451" s="10"/>
      <c r="C451" s="10"/>
      <c r="D451" s="10"/>
    </row>
    <row r="452" spans="1:4" ht="15.75" customHeight="1" x14ac:dyDescent="0.25">
      <c r="A452" s="10"/>
      <c r="B452" s="10"/>
      <c r="C452" s="10"/>
      <c r="D452" s="10"/>
    </row>
    <row r="453" spans="1:4" ht="15.75" customHeight="1" x14ac:dyDescent="0.25">
      <c r="A453" s="10"/>
      <c r="B453" s="10"/>
      <c r="C453" s="10"/>
      <c r="D453" s="10"/>
    </row>
    <row r="454" spans="1:4" ht="15.75" customHeight="1" x14ac:dyDescent="0.25">
      <c r="A454" s="10"/>
      <c r="B454" s="10"/>
      <c r="C454" s="10"/>
      <c r="D454" s="10"/>
    </row>
    <row r="455" spans="1:4" ht="15.75" customHeight="1" x14ac:dyDescent="0.25">
      <c r="A455" s="10"/>
      <c r="B455" s="10"/>
      <c r="C455" s="10"/>
      <c r="D455" s="10"/>
    </row>
    <row r="456" spans="1:4" ht="15.75" customHeight="1" x14ac:dyDescent="0.25">
      <c r="A456" s="10"/>
      <c r="B456" s="10"/>
      <c r="C456" s="10"/>
      <c r="D456" s="10"/>
    </row>
    <row r="457" spans="1:4" ht="15.75" customHeight="1" x14ac:dyDescent="0.25">
      <c r="A457" s="10"/>
      <c r="B457" s="10"/>
      <c r="C457" s="10"/>
      <c r="D457" s="10"/>
    </row>
    <row r="458" spans="1:4" ht="15.75" customHeight="1" x14ac:dyDescent="0.25">
      <c r="A458" s="10"/>
      <c r="B458" s="10"/>
      <c r="C458" s="10"/>
      <c r="D458" s="10"/>
    </row>
    <row r="459" spans="1:4" ht="15.75" customHeight="1" x14ac:dyDescent="0.25">
      <c r="A459" s="10"/>
      <c r="B459" s="10"/>
      <c r="C459" s="10"/>
      <c r="D459" s="10"/>
    </row>
    <row r="460" spans="1:4" ht="15.75" customHeight="1" x14ac:dyDescent="0.25">
      <c r="A460" s="10"/>
      <c r="B460" s="10"/>
      <c r="C460" s="10"/>
      <c r="D460" s="10"/>
    </row>
    <row r="461" spans="1:4" ht="15.75" customHeight="1" x14ac:dyDescent="0.25">
      <c r="A461" s="10"/>
      <c r="B461" s="10"/>
      <c r="C461" s="10"/>
      <c r="D461" s="10"/>
    </row>
    <row r="462" spans="1:4" ht="15.75" customHeight="1" x14ac:dyDescent="0.25">
      <c r="A462" s="10"/>
      <c r="B462" s="10"/>
      <c r="C462" s="10"/>
      <c r="D462" s="10"/>
    </row>
    <row r="463" spans="1:4" ht="15.75" customHeight="1" x14ac:dyDescent="0.25">
      <c r="A463" s="10"/>
      <c r="B463" s="10"/>
      <c r="C463" s="10"/>
      <c r="D463" s="10"/>
    </row>
    <row r="464" spans="1:4" ht="15.75" customHeight="1" x14ac:dyDescent="0.25">
      <c r="A464" s="10"/>
      <c r="B464" s="10"/>
      <c r="C464" s="10"/>
      <c r="D464" s="10"/>
    </row>
    <row r="465" spans="1:4" ht="15.75" customHeight="1" x14ac:dyDescent="0.25">
      <c r="A465" s="10"/>
      <c r="B465" s="10"/>
      <c r="C465" s="10"/>
      <c r="D465" s="10"/>
    </row>
    <row r="466" spans="1:4" ht="15.75" customHeight="1" x14ac:dyDescent="0.25">
      <c r="A466" s="10"/>
      <c r="B466" s="10"/>
      <c r="C466" s="10"/>
      <c r="D466" s="10"/>
    </row>
    <row r="467" spans="1:4" ht="15.75" customHeight="1" x14ac:dyDescent="0.25">
      <c r="A467" s="10"/>
      <c r="B467" s="10"/>
      <c r="C467" s="10"/>
      <c r="D467" s="10"/>
    </row>
    <row r="468" spans="1:4" ht="15.75" customHeight="1" x14ac:dyDescent="0.25">
      <c r="A468" s="10"/>
      <c r="B468" s="10"/>
      <c r="C468" s="10"/>
      <c r="D468" s="10"/>
    </row>
    <row r="469" spans="1:4" ht="15.75" customHeight="1" x14ac:dyDescent="0.25">
      <c r="A469" s="10"/>
      <c r="B469" s="10"/>
      <c r="C469" s="10"/>
      <c r="D469" s="10"/>
    </row>
    <row r="470" spans="1:4" ht="15.75" customHeight="1" x14ac:dyDescent="0.25">
      <c r="A470" s="10"/>
      <c r="B470" s="10"/>
      <c r="C470" s="10"/>
      <c r="D470" s="10"/>
    </row>
    <row r="471" spans="1:4" ht="15.75" customHeight="1" x14ac:dyDescent="0.25">
      <c r="A471" s="10"/>
      <c r="B471" s="10"/>
      <c r="C471" s="10"/>
      <c r="D471" s="10"/>
    </row>
    <row r="472" spans="1:4" ht="15.75" customHeight="1" x14ac:dyDescent="0.25">
      <c r="A472" s="10"/>
      <c r="B472" s="10"/>
      <c r="C472" s="10"/>
      <c r="D472" s="10"/>
    </row>
    <row r="473" spans="1:4" ht="15.75" customHeight="1" x14ac:dyDescent="0.25">
      <c r="A473" s="10"/>
      <c r="B473" s="10"/>
      <c r="C473" s="10"/>
      <c r="D473" s="10"/>
    </row>
    <row r="474" spans="1:4" ht="15.75" customHeight="1" x14ac:dyDescent="0.25">
      <c r="A474" s="10"/>
      <c r="B474" s="10"/>
      <c r="C474" s="10"/>
      <c r="D474" s="10"/>
    </row>
    <row r="475" spans="1:4" ht="15.75" customHeight="1" x14ac:dyDescent="0.25">
      <c r="A475" s="10"/>
      <c r="B475" s="10"/>
      <c r="C475" s="10"/>
      <c r="D475" s="10"/>
    </row>
    <row r="476" spans="1:4" ht="15.75" customHeight="1" x14ac:dyDescent="0.25">
      <c r="A476" s="10"/>
      <c r="B476" s="10"/>
      <c r="C476" s="10"/>
      <c r="D476" s="10"/>
    </row>
    <row r="477" spans="1:4" ht="15.75" customHeight="1" x14ac:dyDescent="0.25">
      <c r="A477" s="10"/>
      <c r="B477" s="10"/>
      <c r="C477" s="10"/>
      <c r="D477" s="10"/>
    </row>
    <row r="478" spans="1:4" ht="15.75" customHeight="1" x14ac:dyDescent="0.25">
      <c r="A478" s="10"/>
      <c r="B478" s="10"/>
      <c r="C478" s="10"/>
      <c r="D478" s="10"/>
    </row>
    <row r="479" spans="1:4" ht="15.75" customHeight="1" x14ac:dyDescent="0.25">
      <c r="A479" s="10"/>
      <c r="B479" s="10"/>
      <c r="C479" s="10"/>
      <c r="D479" s="10"/>
    </row>
    <row r="480" spans="1:4" ht="15.75" customHeight="1" x14ac:dyDescent="0.25">
      <c r="A480" s="10"/>
      <c r="B480" s="10"/>
      <c r="C480" s="10"/>
      <c r="D480" s="10"/>
    </row>
    <row r="481" spans="1:4" ht="15.75" customHeight="1" x14ac:dyDescent="0.25">
      <c r="A481" s="10"/>
      <c r="B481" s="10"/>
      <c r="C481" s="10"/>
      <c r="D481" s="10"/>
    </row>
    <row r="482" spans="1:4" ht="15.75" customHeight="1" x14ac:dyDescent="0.25">
      <c r="A482" s="10"/>
      <c r="B482" s="10"/>
      <c r="C482" s="10"/>
      <c r="D482" s="10"/>
    </row>
    <row r="483" spans="1:4" ht="15.75" customHeight="1" x14ac:dyDescent="0.25">
      <c r="A483" s="10"/>
      <c r="B483" s="10"/>
      <c r="C483" s="10"/>
      <c r="D483" s="10"/>
    </row>
    <row r="484" spans="1:4" ht="15.75" customHeight="1" x14ac:dyDescent="0.25">
      <c r="A484" s="10"/>
      <c r="B484" s="10"/>
      <c r="C484" s="10"/>
      <c r="D484" s="10"/>
    </row>
    <row r="485" spans="1:4" ht="15.75" customHeight="1" x14ac:dyDescent="0.25">
      <c r="A485" s="10"/>
      <c r="B485" s="10"/>
      <c r="C485" s="10"/>
      <c r="D485" s="10"/>
    </row>
    <row r="486" spans="1:4" ht="15.75" customHeight="1" x14ac:dyDescent="0.25">
      <c r="A486" s="10"/>
      <c r="B486" s="10"/>
      <c r="C486" s="10"/>
      <c r="D486" s="10"/>
    </row>
    <row r="487" spans="1:4" ht="15.75" customHeight="1" x14ac:dyDescent="0.25">
      <c r="A487" s="10"/>
      <c r="B487" s="10"/>
      <c r="C487" s="10"/>
      <c r="D487" s="10"/>
    </row>
    <row r="488" spans="1:4" ht="15.75" customHeight="1" x14ac:dyDescent="0.25">
      <c r="A488" s="10"/>
      <c r="B488" s="10"/>
      <c r="C488" s="10"/>
      <c r="D488" s="10"/>
    </row>
    <row r="489" spans="1:4" ht="15.75" customHeight="1" x14ac:dyDescent="0.25">
      <c r="A489" s="10"/>
      <c r="B489" s="10"/>
      <c r="C489" s="10"/>
      <c r="D489" s="10"/>
    </row>
    <row r="490" spans="1:4" ht="15.75" customHeight="1" x14ac:dyDescent="0.25">
      <c r="A490" s="10"/>
      <c r="B490" s="10"/>
      <c r="C490" s="10"/>
      <c r="D490" s="10"/>
    </row>
    <row r="491" spans="1:4" ht="15.75" customHeight="1" x14ac:dyDescent="0.25">
      <c r="A491" s="10"/>
      <c r="B491" s="10"/>
      <c r="C491" s="10"/>
      <c r="D491" s="10"/>
    </row>
    <row r="492" spans="1:4" ht="15.75" customHeight="1" x14ac:dyDescent="0.25">
      <c r="A492" s="10"/>
      <c r="B492" s="10"/>
      <c r="C492" s="10"/>
      <c r="D492" s="10"/>
    </row>
    <row r="493" spans="1:4" ht="15.75" customHeight="1" x14ac:dyDescent="0.25">
      <c r="A493" s="10"/>
      <c r="B493" s="10"/>
      <c r="C493" s="10"/>
      <c r="D493" s="10"/>
    </row>
    <row r="494" spans="1:4" ht="15.75" customHeight="1" x14ac:dyDescent="0.25">
      <c r="A494" s="10"/>
      <c r="B494" s="10"/>
      <c r="C494" s="10"/>
      <c r="D494" s="10"/>
    </row>
    <row r="495" spans="1:4" ht="15.75" customHeight="1" x14ac:dyDescent="0.25">
      <c r="A495" s="10"/>
      <c r="B495" s="10"/>
      <c r="C495" s="10"/>
      <c r="D495" s="10"/>
    </row>
    <row r="496" spans="1:4" ht="15.75" customHeight="1" x14ac:dyDescent="0.25">
      <c r="A496" s="10"/>
      <c r="B496" s="10"/>
      <c r="C496" s="10"/>
      <c r="D496" s="10"/>
    </row>
    <row r="497" spans="1:4" ht="15.75" customHeight="1" x14ac:dyDescent="0.25">
      <c r="A497" s="10"/>
      <c r="B497" s="10"/>
      <c r="C497" s="10"/>
      <c r="D497" s="10"/>
    </row>
    <row r="498" spans="1:4" ht="15.75" customHeight="1" x14ac:dyDescent="0.25">
      <c r="A498" s="10"/>
      <c r="B498" s="10"/>
      <c r="C498" s="10"/>
      <c r="D498" s="10"/>
    </row>
    <row r="499" spans="1:4" ht="15.75" customHeight="1" x14ac:dyDescent="0.25">
      <c r="A499" s="10"/>
      <c r="B499" s="10"/>
      <c r="C499" s="10"/>
      <c r="D499" s="10"/>
    </row>
    <row r="500" spans="1:4" ht="15.75" customHeight="1" x14ac:dyDescent="0.25">
      <c r="A500" s="10"/>
      <c r="B500" s="10"/>
      <c r="C500" s="10"/>
      <c r="D500" s="10"/>
    </row>
    <row r="501" spans="1:4" ht="15.75" customHeight="1" x14ac:dyDescent="0.25">
      <c r="A501" s="10"/>
      <c r="B501" s="10"/>
      <c r="C501" s="10"/>
      <c r="D501" s="10"/>
    </row>
    <row r="502" spans="1:4" ht="15.75" customHeight="1" x14ac:dyDescent="0.25">
      <c r="A502" s="10"/>
      <c r="B502" s="10"/>
      <c r="C502" s="10"/>
      <c r="D502" s="10"/>
    </row>
    <row r="503" spans="1:4" ht="15.75" customHeight="1" x14ac:dyDescent="0.25">
      <c r="A503" s="10"/>
      <c r="B503" s="10"/>
      <c r="C503" s="10"/>
      <c r="D503" s="10"/>
    </row>
    <row r="504" spans="1:4" ht="15.75" customHeight="1" x14ac:dyDescent="0.25">
      <c r="A504" s="10"/>
      <c r="B504" s="10"/>
      <c r="C504" s="10"/>
      <c r="D504" s="10"/>
    </row>
    <row r="505" spans="1:4" ht="15.75" customHeight="1" x14ac:dyDescent="0.25">
      <c r="A505" s="10"/>
      <c r="B505" s="10"/>
      <c r="C505" s="10"/>
      <c r="D505" s="10"/>
    </row>
    <row r="506" spans="1:4" ht="15.75" customHeight="1" x14ac:dyDescent="0.25">
      <c r="A506" s="10"/>
      <c r="B506" s="10"/>
      <c r="C506" s="10"/>
      <c r="D506" s="10"/>
    </row>
    <row r="507" spans="1:4" ht="15.75" customHeight="1" x14ac:dyDescent="0.25">
      <c r="A507" s="10"/>
      <c r="B507" s="10"/>
      <c r="C507" s="10"/>
      <c r="D507" s="10"/>
    </row>
    <row r="508" spans="1:4" ht="15.75" customHeight="1" x14ac:dyDescent="0.25">
      <c r="A508" s="10"/>
      <c r="B508" s="10"/>
      <c r="C508" s="10"/>
      <c r="D508" s="10"/>
    </row>
    <row r="509" spans="1:4" ht="15.75" customHeight="1" x14ac:dyDescent="0.25">
      <c r="A509" s="10"/>
      <c r="B509" s="10"/>
      <c r="C509" s="10"/>
      <c r="D509" s="10"/>
    </row>
    <row r="510" spans="1:4" ht="15.75" customHeight="1" x14ac:dyDescent="0.25">
      <c r="A510" s="10"/>
      <c r="B510" s="10"/>
      <c r="C510" s="10"/>
      <c r="D510" s="10"/>
    </row>
    <row r="511" spans="1:4" ht="15.75" customHeight="1" x14ac:dyDescent="0.25">
      <c r="A511" s="10"/>
      <c r="B511" s="10"/>
      <c r="C511" s="10"/>
      <c r="D511" s="10"/>
    </row>
    <row r="512" spans="1:4" ht="15.75" customHeight="1" x14ac:dyDescent="0.25">
      <c r="A512" s="10"/>
      <c r="B512" s="10"/>
      <c r="C512" s="10"/>
      <c r="D512" s="10"/>
    </row>
    <row r="513" spans="1:4" ht="15.75" customHeight="1" x14ac:dyDescent="0.25">
      <c r="A513" s="10"/>
      <c r="B513" s="10"/>
      <c r="C513" s="10"/>
      <c r="D513" s="10"/>
    </row>
    <row r="514" spans="1:4" ht="15.75" customHeight="1" x14ac:dyDescent="0.25">
      <c r="A514" s="10"/>
      <c r="B514" s="10"/>
      <c r="C514" s="10"/>
      <c r="D514" s="10"/>
    </row>
    <row r="515" spans="1:4" ht="15.75" customHeight="1" x14ac:dyDescent="0.25">
      <c r="A515" s="10"/>
      <c r="B515" s="10"/>
      <c r="C515" s="10"/>
      <c r="D515" s="10"/>
    </row>
    <row r="516" spans="1:4" ht="15.75" customHeight="1" x14ac:dyDescent="0.25">
      <c r="A516" s="10"/>
      <c r="B516" s="10"/>
      <c r="C516" s="10"/>
      <c r="D516" s="10"/>
    </row>
    <row r="517" spans="1:4" ht="15.75" customHeight="1" x14ac:dyDescent="0.25">
      <c r="A517" s="10"/>
      <c r="B517" s="10"/>
      <c r="C517" s="10"/>
      <c r="D517" s="10"/>
    </row>
    <row r="518" spans="1:4" ht="15.75" customHeight="1" x14ac:dyDescent="0.25">
      <c r="A518" s="10"/>
      <c r="B518" s="10"/>
      <c r="C518" s="10"/>
      <c r="D518" s="10"/>
    </row>
    <row r="519" spans="1:4" ht="15.75" customHeight="1" x14ac:dyDescent="0.25">
      <c r="A519" s="10"/>
      <c r="B519" s="10"/>
      <c r="C519" s="10"/>
      <c r="D519" s="10"/>
    </row>
    <row r="520" spans="1:4" ht="15.75" customHeight="1" x14ac:dyDescent="0.25">
      <c r="A520" s="10"/>
      <c r="B520" s="10"/>
      <c r="C520" s="10"/>
      <c r="D520" s="10"/>
    </row>
    <row r="521" spans="1:4" ht="15.75" customHeight="1" x14ac:dyDescent="0.25">
      <c r="A521" s="10"/>
      <c r="B521" s="10"/>
      <c r="C521" s="10"/>
      <c r="D521" s="10"/>
    </row>
    <row r="522" spans="1:4" ht="15.75" customHeight="1" x14ac:dyDescent="0.25">
      <c r="A522" s="10"/>
      <c r="B522" s="10"/>
      <c r="C522" s="10"/>
      <c r="D522" s="10"/>
    </row>
    <row r="523" spans="1:4" ht="15.75" customHeight="1" x14ac:dyDescent="0.25">
      <c r="A523" s="10"/>
      <c r="B523" s="10"/>
      <c r="C523" s="10"/>
      <c r="D523" s="10"/>
    </row>
    <row r="524" spans="1:4" ht="15.75" customHeight="1" x14ac:dyDescent="0.25">
      <c r="A524" s="10"/>
      <c r="B524" s="10"/>
      <c r="C524" s="10"/>
      <c r="D524" s="10"/>
    </row>
    <row r="525" spans="1:4" ht="15.75" customHeight="1" x14ac:dyDescent="0.25">
      <c r="A525" s="10"/>
      <c r="B525" s="10"/>
      <c r="C525" s="10"/>
      <c r="D525" s="10"/>
    </row>
    <row r="526" spans="1:4" ht="15.75" customHeight="1" x14ac:dyDescent="0.25">
      <c r="A526" s="10"/>
      <c r="B526" s="10"/>
      <c r="C526" s="10"/>
      <c r="D526" s="10"/>
    </row>
    <row r="527" spans="1:4" ht="15.75" customHeight="1" x14ac:dyDescent="0.25">
      <c r="A527" s="10"/>
      <c r="B527" s="10"/>
      <c r="C527" s="10"/>
      <c r="D527" s="10"/>
    </row>
    <row r="528" spans="1:4" ht="15.75" customHeight="1" x14ac:dyDescent="0.25">
      <c r="A528" s="10"/>
      <c r="B528" s="10"/>
      <c r="C528" s="10"/>
      <c r="D528" s="10"/>
    </row>
    <row r="529" spans="1:4" ht="15.75" customHeight="1" x14ac:dyDescent="0.25">
      <c r="A529" s="10"/>
      <c r="B529" s="10"/>
      <c r="C529" s="10"/>
      <c r="D529" s="10"/>
    </row>
    <row r="530" spans="1:4" ht="15.75" customHeight="1" x14ac:dyDescent="0.25">
      <c r="A530" s="10"/>
      <c r="B530" s="10"/>
      <c r="C530" s="10"/>
      <c r="D530" s="10"/>
    </row>
    <row r="531" spans="1:4" ht="15.75" customHeight="1" x14ac:dyDescent="0.25">
      <c r="A531" s="10"/>
      <c r="B531" s="10"/>
      <c r="C531" s="10"/>
      <c r="D531" s="10"/>
    </row>
    <row r="532" spans="1:4" ht="15.75" customHeight="1" x14ac:dyDescent="0.25">
      <c r="A532" s="10"/>
      <c r="B532" s="10"/>
      <c r="C532" s="10"/>
      <c r="D532" s="10"/>
    </row>
    <row r="533" spans="1:4" ht="15.75" customHeight="1" x14ac:dyDescent="0.25">
      <c r="A533" s="10"/>
      <c r="B533" s="10"/>
      <c r="C533" s="10"/>
      <c r="D533" s="10"/>
    </row>
    <row r="534" spans="1:4" ht="15.75" customHeight="1" x14ac:dyDescent="0.25">
      <c r="A534" s="10"/>
      <c r="B534" s="10"/>
      <c r="C534" s="10"/>
      <c r="D534" s="10"/>
    </row>
    <row r="535" spans="1:4" ht="15.75" customHeight="1" x14ac:dyDescent="0.25">
      <c r="A535" s="10"/>
      <c r="B535" s="10"/>
      <c r="C535" s="10"/>
      <c r="D535" s="10"/>
    </row>
    <row r="536" spans="1:4" ht="15.75" customHeight="1" x14ac:dyDescent="0.25">
      <c r="A536" s="10"/>
      <c r="B536" s="10"/>
      <c r="C536" s="10"/>
      <c r="D536" s="10"/>
    </row>
    <row r="537" spans="1:4" ht="15.75" customHeight="1" x14ac:dyDescent="0.25">
      <c r="A537" s="10"/>
      <c r="B537" s="10"/>
      <c r="C537" s="10"/>
      <c r="D537" s="10"/>
    </row>
    <row r="538" spans="1:4" ht="15.75" customHeight="1" x14ac:dyDescent="0.25">
      <c r="A538" s="10"/>
      <c r="B538" s="10"/>
      <c r="C538" s="10"/>
      <c r="D538" s="10"/>
    </row>
    <row r="539" spans="1:4" ht="15.75" customHeight="1" x14ac:dyDescent="0.25">
      <c r="A539" s="10"/>
      <c r="B539" s="10"/>
      <c r="C539" s="10"/>
      <c r="D539" s="10"/>
    </row>
    <row r="540" spans="1:4" ht="15.75" customHeight="1" x14ac:dyDescent="0.25">
      <c r="A540" s="10"/>
      <c r="B540" s="10"/>
      <c r="C540" s="10"/>
      <c r="D540" s="10"/>
    </row>
    <row r="541" spans="1:4" ht="15.75" customHeight="1" x14ac:dyDescent="0.25">
      <c r="A541" s="10"/>
      <c r="B541" s="10"/>
      <c r="C541" s="10"/>
      <c r="D541" s="10"/>
    </row>
    <row r="542" spans="1:4" ht="15.75" customHeight="1" x14ac:dyDescent="0.25">
      <c r="A542" s="10"/>
      <c r="B542" s="10"/>
      <c r="C542" s="10"/>
      <c r="D542" s="10"/>
    </row>
    <row r="543" spans="1:4" ht="15.75" customHeight="1" x14ac:dyDescent="0.25">
      <c r="A543" s="10"/>
      <c r="B543" s="10"/>
      <c r="C543" s="10"/>
      <c r="D543" s="10"/>
    </row>
    <row r="544" spans="1:4" ht="15.75" customHeight="1" x14ac:dyDescent="0.25">
      <c r="A544" s="10"/>
      <c r="B544" s="10"/>
      <c r="C544" s="10"/>
      <c r="D544" s="10"/>
    </row>
    <row r="545" spans="1:4" ht="15.75" customHeight="1" x14ac:dyDescent="0.25">
      <c r="A545" s="10"/>
      <c r="B545" s="10"/>
      <c r="C545" s="10"/>
      <c r="D545" s="10"/>
    </row>
    <row r="546" spans="1:4" ht="15.75" customHeight="1" x14ac:dyDescent="0.25">
      <c r="A546" s="10"/>
      <c r="B546" s="10"/>
      <c r="C546" s="10"/>
      <c r="D546" s="10"/>
    </row>
    <row r="547" spans="1:4" ht="15.75" customHeight="1" x14ac:dyDescent="0.25">
      <c r="A547" s="10"/>
      <c r="B547" s="10"/>
      <c r="C547" s="10"/>
      <c r="D547" s="10"/>
    </row>
    <row r="548" spans="1:4" ht="15.75" customHeight="1" x14ac:dyDescent="0.25">
      <c r="A548" s="10"/>
      <c r="B548" s="10"/>
      <c r="C548" s="10"/>
      <c r="D548" s="10"/>
    </row>
    <row r="549" spans="1:4" ht="15.75" customHeight="1" x14ac:dyDescent="0.25">
      <c r="A549" s="10"/>
      <c r="B549" s="10"/>
      <c r="C549" s="10"/>
      <c r="D549" s="10"/>
    </row>
    <row r="550" spans="1:4" ht="15.75" customHeight="1" x14ac:dyDescent="0.25">
      <c r="A550" s="10"/>
      <c r="B550" s="10"/>
      <c r="C550" s="10"/>
      <c r="D550" s="10"/>
    </row>
    <row r="551" spans="1:4" ht="15.75" customHeight="1" x14ac:dyDescent="0.25">
      <c r="A551" s="10"/>
      <c r="B551" s="10"/>
      <c r="C551" s="10"/>
      <c r="D551" s="10"/>
    </row>
    <row r="552" spans="1:4" ht="15.75" customHeight="1" x14ac:dyDescent="0.25">
      <c r="A552" s="10"/>
      <c r="B552" s="10"/>
      <c r="C552" s="10"/>
      <c r="D552" s="10"/>
    </row>
    <row r="553" spans="1:4" ht="15.75" customHeight="1" x14ac:dyDescent="0.25">
      <c r="A553" s="10"/>
      <c r="B553" s="10"/>
      <c r="C553" s="10"/>
      <c r="D553" s="10"/>
    </row>
    <row r="554" spans="1:4" ht="15.75" customHeight="1" x14ac:dyDescent="0.25">
      <c r="A554" s="10"/>
      <c r="B554" s="10"/>
      <c r="C554" s="10"/>
      <c r="D554" s="10"/>
    </row>
    <row r="555" spans="1:4" ht="15.75" customHeight="1" x14ac:dyDescent="0.25">
      <c r="A555" s="10"/>
      <c r="B555" s="10"/>
      <c r="C555" s="10"/>
      <c r="D555" s="10"/>
    </row>
    <row r="556" spans="1:4" ht="15.75" customHeight="1" x14ac:dyDescent="0.25">
      <c r="A556" s="10"/>
      <c r="B556" s="10"/>
      <c r="C556" s="10"/>
      <c r="D556" s="10"/>
    </row>
    <row r="557" spans="1:4" ht="15.75" customHeight="1" x14ac:dyDescent="0.25">
      <c r="A557" s="10"/>
      <c r="B557" s="10"/>
      <c r="C557" s="10"/>
      <c r="D557" s="10"/>
    </row>
    <row r="558" spans="1:4" ht="15.75" customHeight="1" x14ac:dyDescent="0.25">
      <c r="A558" s="10"/>
      <c r="B558" s="10"/>
      <c r="C558" s="10"/>
      <c r="D558" s="10"/>
    </row>
    <row r="559" spans="1:4" ht="15.75" customHeight="1" x14ac:dyDescent="0.25">
      <c r="A559" s="10"/>
      <c r="B559" s="10"/>
      <c r="C559" s="10"/>
      <c r="D559" s="10"/>
    </row>
    <row r="560" spans="1:4" ht="15.75" customHeight="1" x14ac:dyDescent="0.25">
      <c r="A560" s="10"/>
      <c r="B560" s="10"/>
      <c r="C560" s="10"/>
      <c r="D560" s="10"/>
    </row>
    <row r="561" spans="1:4" ht="15.75" customHeight="1" x14ac:dyDescent="0.25">
      <c r="A561" s="10"/>
      <c r="B561" s="10"/>
      <c r="C561" s="10"/>
      <c r="D561" s="10"/>
    </row>
    <row r="562" spans="1:4" ht="15.75" customHeight="1" x14ac:dyDescent="0.25">
      <c r="A562" s="10"/>
      <c r="B562" s="10"/>
      <c r="C562" s="10"/>
      <c r="D562" s="10"/>
    </row>
    <row r="563" spans="1:4" ht="15.75" customHeight="1" x14ac:dyDescent="0.25">
      <c r="A563" s="10"/>
      <c r="B563" s="10"/>
      <c r="C563" s="10"/>
      <c r="D563" s="10"/>
    </row>
    <row r="564" spans="1:4" ht="15.75" customHeight="1" x14ac:dyDescent="0.25">
      <c r="A564" s="10"/>
      <c r="B564" s="10"/>
      <c r="C564" s="10"/>
      <c r="D564" s="10"/>
    </row>
    <row r="565" spans="1:4" ht="15.75" customHeight="1" x14ac:dyDescent="0.25">
      <c r="A565" s="10"/>
      <c r="B565" s="10"/>
      <c r="C565" s="10"/>
      <c r="D565" s="10"/>
    </row>
    <row r="566" spans="1:4" ht="15.75" customHeight="1" x14ac:dyDescent="0.25">
      <c r="A566" s="10"/>
      <c r="B566" s="10"/>
      <c r="C566" s="10"/>
      <c r="D566" s="10"/>
    </row>
    <row r="567" spans="1:4" ht="15.75" customHeight="1" x14ac:dyDescent="0.25">
      <c r="A567" s="10"/>
      <c r="B567" s="10"/>
      <c r="C567" s="10"/>
      <c r="D567" s="10"/>
    </row>
    <row r="568" spans="1:4" ht="15.75" customHeight="1" x14ac:dyDescent="0.25">
      <c r="A568" s="10"/>
      <c r="B568" s="10"/>
      <c r="C568" s="10"/>
      <c r="D568" s="10"/>
    </row>
    <row r="569" spans="1:4" ht="15.75" customHeight="1" x14ac:dyDescent="0.25">
      <c r="A569" s="10"/>
      <c r="B569" s="10"/>
      <c r="C569" s="10"/>
      <c r="D569" s="10"/>
    </row>
    <row r="570" spans="1:4" ht="15.75" customHeight="1" x14ac:dyDescent="0.25">
      <c r="A570" s="10"/>
      <c r="B570" s="10"/>
      <c r="C570" s="10"/>
      <c r="D570" s="10"/>
    </row>
    <row r="571" spans="1:4" ht="15.75" customHeight="1" x14ac:dyDescent="0.25">
      <c r="A571" s="10"/>
      <c r="B571" s="10"/>
      <c r="C571" s="10"/>
      <c r="D571" s="10"/>
    </row>
    <row r="572" spans="1:4" ht="15.75" customHeight="1" x14ac:dyDescent="0.25">
      <c r="A572" s="10"/>
      <c r="B572" s="10"/>
      <c r="C572" s="10"/>
      <c r="D572" s="10"/>
    </row>
    <row r="573" spans="1:4" ht="15.75" customHeight="1" x14ac:dyDescent="0.25">
      <c r="A573" s="10"/>
      <c r="B573" s="10"/>
      <c r="C573" s="10"/>
      <c r="D573" s="10"/>
    </row>
    <row r="574" spans="1:4" ht="15.75" customHeight="1" x14ac:dyDescent="0.25">
      <c r="A574" s="10"/>
      <c r="B574" s="10"/>
      <c r="C574" s="10"/>
      <c r="D574" s="10"/>
    </row>
    <row r="575" spans="1:4" ht="15.75" customHeight="1" x14ac:dyDescent="0.25">
      <c r="A575" s="10"/>
      <c r="B575" s="10"/>
      <c r="C575" s="10"/>
      <c r="D575" s="10"/>
    </row>
    <row r="576" spans="1:4" ht="15.75" customHeight="1" x14ac:dyDescent="0.25">
      <c r="A576" s="10"/>
      <c r="B576" s="10"/>
      <c r="C576" s="10"/>
      <c r="D576" s="10"/>
    </row>
    <row r="577" spans="1:4" ht="15.75" customHeight="1" x14ac:dyDescent="0.25">
      <c r="A577" s="10"/>
      <c r="B577" s="10"/>
      <c r="C577" s="10"/>
      <c r="D577" s="10"/>
    </row>
    <row r="578" spans="1:4" ht="15.75" customHeight="1" x14ac:dyDescent="0.25">
      <c r="A578" s="10"/>
      <c r="B578" s="10"/>
      <c r="C578" s="10"/>
      <c r="D578" s="10"/>
    </row>
    <row r="579" spans="1:4" ht="15.75" customHeight="1" x14ac:dyDescent="0.25">
      <c r="A579" s="10"/>
      <c r="B579" s="10"/>
      <c r="C579" s="10"/>
      <c r="D579" s="10"/>
    </row>
    <row r="580" spans="1:4" ht="15.75" customHeight="1" x14ac:dyDescent="0.25">
      <c r="A580" s="10"/>
      <c r="B580" s="10"/>
      <c r="C580" s="10"/>
      <c r="D580" s="10"/>
    </row>
    <row r="581" spans="1:4" ht="15.75" customHeight="1" x14ac:dyDescent="0.25">
      <c r="A581" s="10"/>
      <c r="B581" s="10"/>
      <c r="C581" s="10"/>
      <c r="D581" s="10"/>
    </row>
    <row r="582" spans="1:4" ht="15.75" customHeight="1" x14ac:dyDescent="0.25">
      <c r="A582" s="10"/>
      <c r="B582" s="10"/>
      <c r="C582" s="10"/>
      <c r="D582" s="10"/>
    </row>
    <row r="583" spans="1:4" ht="15.75" customHeight="1" x14ac:dyDescent="0.25">
      <c r="A583" s="10"/>
      <c r="B583" s="10"/>
      <c r="C583" s="10"/>
      <c r="D583" s="10"/>
    </row>
    <row r="584" spans="1:4" ht="15.75" customHeight="1" x14ac:dyDescent="0.25">
      <c r="A584" s="10"/>
      <c r="B584" s="10"/>
      <c r="C584" s="10"/>
      <c r="D584" s="10"/>
    </row>
    <row r="585" spans="1:4" ht="15.75" customHeight="1" x14ac:dyDescent="0.25">
      <c r="A585" s="10"/>
      <c r="B585" s="10"/>
      <c r="C585" s="10"/>
      <c r="D585" s="10"/>
    </row>
    <row r="586" spans="1:4" ht="15.75" customHeight="1" x14ac:dyDescent="0.25">
      <c r="A586" s="10"/>
      <c r="B586" s="10"/>
      <c r="C586" s="10"/>
      <c r="D586" s="10"/>
    </row>
    <row r="587" spans="1:4" ht="15.75" customHeight="1" x14ac:dyDescent="0.25">
      <c r="A587" s="10"/>
      <c r="B587" s="10"/>
      <c r="C587" s="10"/>
      <c r="D587" s="10"/>
    </row>
    <row r="588" spans="1:4" ht="15.75" customHeight="1" x14ac:dyDescent="0.25">
      <c r="A588" s="10"/>
      <c r="B588" s="10"/>
      <c r="C588" s="10"/>
      <c r="D588" s="10"/>
    </row>
    <row r="589" spans="1:4" ht="15.75" customHeight="1" x14ac:dyDescent="0.25">
      <c r="A589" s="10"/>
      <c r="B589" s="10"/>
      <c r="C589" s="10"/>
      <c r="D589" s="10"/>
    </row>
    <row r="590" spans="1:4" ht="15.75" customHeight="1" x14ac:dyDescent="0.25">
      <c r="A590" s="10"/>
      <c r="B590" s="10"/>
      <c r="C590" s="10"/>
      <c r="D590" s="10"/>
    </row>
    <row r="591" spans="1:4" ht="15.75" customHeight="1" x14ac:dyDescent="0.25">
      <c r="A591" s="10"/>
      <c r="B591" s="10"/>
      <c r="C591" s="10"/>
      <c r="D591" s="10"/>
    </row>
    <row r="592" spans="1:4" ht="15.75" customHeight="1" x14ac:dyDescent="0.25">
      <c r="A592" s="10"/>
      <c r="B592" s="10"/>
      <c r="C592" s="10"/>
      <c r="D592" s="10"/>
    </row>
    <row r="593" spans="1:4" ht="15.75" customHeight="1" x14ac:dyDescent="0.25">
      <c r="A593" s="10"/>
      <c r="B593" s="10"/>
      <c r="C593" s="10"/>
      <c r="D593" s="10"/>
    </row>
    <row r="594" spans="1:4" ht="15.75" customHeight="1" x14ac:dyDescent="0.25">
      <c r="A594" s="10"/>
      <c r="B594" s="10"/>
      <c r="C594" s="10"/>
      <c r="D594" s="10"/>
    </row>
    <row r="595" spans="1:4" ht="15.75" customHeight="1" x14ac:dyDescent="0.25">
      <c r="A595" s="10"/>
      <c r="B595" s="10"/>
      <c r="C595" s="10"/>
      <c r="D595" s="10"/>
    </row>
    <row r="596" spans="1:4" ht="15.75" customHeight="1" x14ac:dyDescent="0.25">
      <c r="A596" s="10"/>
      <c r="B596" s="10"/>
      <c r="C596" s="10"/>
      <c r="D596" s="10"/>
    </row>
    <row r="597" spans="1:4" ht="15.75" customHeight="1" x14ac:dyDescent="0.25">
      <c r="A597" s="10"/>
      <c r="B597" s="10"/>
      <c r="C597" s="10"/>
      <c r="D597" s="10"/>
    </row>
    <row r="598" spans="1:4" ht="15.75" customHeight="1" x14ac:dyDescent="0.25">
      <c r="A598" s="10"/>
      <c r="B598" s="10"/>
      <c r="C598" s="10"/>
      <c r="D598" s="10"/>
    </row>
    <row r="599" spans="1:4" ht="15.75" customHeight="1" x14ac:dyDescent="0.25">
      <c r="A599" s="10"/>
      <c r="B599" s="10"/>
      <c r="C599" s="10"/>
      <c r="D599" s="10"/>
    </row>
    <row r="600" spans="1:4" ht="15.75" customHeight="1" x14ac:dyDescent="0.25">
      <c r="A600" s="10"/>
      <c r="B600" s="10"/>
      <c r="C600" s="10"/>
      <c r="D600" s="10"/>
    </row>
    <row r="601" spans="1:4" ht="15.75" customHeight="1" x14ac:dyDescent="0.25">
      <c r="A601" s="10"/>
      <c r="B601" s="10"/>
      <c r="C601" s="10"/>
      <c r="D601" s="10"/>
    </row>
    <row r="602" spans="1:4" ht="15.75" customHeight="1" x14ac:dyDescent="0.25">
      <c r="A602" s="10"/>
      <c r="B602" s="10"/>
      <c r="C602" s="10"/>
      <c r="D602" s="10"/>
    </row>
    <row r="603" spans="1:4" ht="15.75" customHeight="1" x14ac:dyDescent="0.25">
      <c r="A603" s="10"/>
      <c r="B603" s="10"/>
      <c r="C603" s="10"/>
      <c r="D603" s="10"/>
    </row>
    <row r="604" spans="1:4" ht="15.75" customHeight="1" x14ac:dyDescent="0.25">
      <c r="A604" s="10"/>
      <c r="B604" s="10"/>
      <c r="C604" s="10"/>
      <c r="D604" s="10"/>
    </row>
    <row r="605" spans="1:4" ht="15.75" customHeight="1" x14ac:dyDescent="0.25">
      <c r="A605" s="10"/>
      <c r="B605" s="10"/>
      <c r="C605" s="10"/>
      <c r="D605" s="10"/>
    </row>
    <row r="606" spans="1:4" ht="15.75" customHeight="1" x14ac:dyDescent="0.25">
      <c r="A606" s="10"/>
      <c r="B606" s="10"/>
      <c r="C606" s="10"/>
      <c r="D606" s="10"/>
    </row>
    <row r="607" spans="1:4" ht="15.75" customHeight="1" x14ac:dyDescent="0.25">
      <c r="A607" s="10"/>
      <c r="B607" s="10"/>
      <c r="C607" s="10"/>
      <c r="D607" s="10"/>
    </row>
    <row r="608" spans="1:4" ht="15.75" customHeight="1" x14ac:dyDescent="0.25">
      <c r="A608" s="10"/>
      <c r="B608" s="10"/>
      <c r="C608" s="10"/>
      <c r="D608" s="10"/>
    </row>
    <row r="609" spans="1:4" ht="15.75" customHeight="1" x14ac:dyDescent="0.25">
      <c r="A609" s="10"/>
      <c r="B609" s="10"/>
      <c r="C609" s="10"/>
      <c r="D609" s="10"/>
    </row>
    <row r="610" spans="1:4" ht="15.75" customHeight="1" x14ac:dyDescent="0.25">
      <c r="A610" s="10"/>
      <c r="B610" s="10"/>
      <c r="C610" s="10"/>
      <c r="D610" s="10"/>
    </row>
    <row r="611" spans="1:4" ht="15.75" customHeight="1" x14ac:dyDescent="0.25">
      <c r="A611" s="10"/>
      <c r="B611" s="10"/>
      <c r="C611" s="10"/>
      <c r="D611" s="10"/>
    </row>
    <row r="612" spans="1:4" ht="15.75" customHeight="1" x14ac:dyDescent="0.25">
      <c r="A612" s="10"/>
      <c r="B612" s="10"/>
      <c r="C612" s="10"/>
      <c r="D612" s="10"/>
    </row>
    <row r="613" spans="1:4" ht="15.75" customHeight="1" x14ac:dyDescent="0.25">
      <c r="A613" s="10"/>
      <c r="B613" s="10"/>
      <c r="C613" s="10"/>
      <c r="D613" s="10"/>
    </row>
    <row r="614" spans="1:4" ht="15.75" customHeight="1" x14ac:dyDescent="0.25">
      <c r="A614" s="10"/>
      <c r="B614" s="10"/>
      <c r="C614" s="10"/>
      <c r="D614" s="10"/>
    </row>
    <row r="615" spans="1:4" ht="15.75" customHeight="1" x14ac:dyDescent="0.25">
      <c r="A615" s="10"/>
      <c r="B615" s="10"/>
      <c r="C615" s="10"/>
      <c r="D615" s="10"/>
    </row>
    <row r="616" spans="1:4" ht="15.75" customHeight="1" x14ac:dyDescent="0.25">
      <c r="A616" s="10"/>
      <c r="B616" s="10"/>
      <c r="C616" s="10"/>
      <c r="D616" s="10"/>
    </row>
    <row r="617" spans="1:4" ht="15.75" customHeight="1" x14ac:dyDescent="0.25">
      <c r="A617" s="10"/>
      <c r="B617" s="10"/>
      <c r="C617" s="10"/>
      <c r="D617" s="10"/>
    </row>
    <row r="618" spans="1:4" ht="15.75" customHeight="1" x14ac:dyDescent="0.25">
      <c r="A618" s="10"/>
      <c r="B618" s="10"/>
      <c r="C618" s="10"/>
      <c r="D618" s="10"/>
    </row>
    <row r="619" spans="1:4" ht="15.75" customHeight="1" x14ac:dyDescent="0.25">
      <c r="A619" s="10"/>
      <c r="B619" s="10"/>
      <c r="C619" s="10"/>
      <c r="D619" s="10"/>
    </row>
    <row r="620" spans="1:4" ht="15.75" customHeight="1" x14ac:dyDescent="0.25">
      <c r="A620" s="10"/>
      <c r="B620" s="10"/>
      <c r="C620" s="10"/>
      <c r="D620" s="10"/>
    </row>
    <row r="621" spans="1:4" ht="15.75" customHeight="1" x14ac:dyDescent="0.25">
      <c r="A621" s="10"/>
      <c r="B621" s="10"/>
      <c r="C621" s="10"/>
      <c r="D621" s="10"/>
    </row>
    <row r="622" spans="1:4" ht="15.75" customHeight="1" x14ac:dyDescent="0.25">
      <c r="A622" s="10"/>
      <c r="B622" s="10"/>
      <c r="C622" s="10"/>
      <c r="D622" s="10"/>
    </row>
    <row r="623" spans="1:4" ht="15.75" customHeight="1" x14ac:dyDescent="0.25">
      <c r="A623" s="10"/>
      <c r="B623" s="10"/>
      <c r="C623" s="10"/>
      <c r="D623" s="10"/>
    </row>
    <row r="624" spans="1:4" ht="15.75" customHeight="1" x14ac:dyDescent="0.25">
      <c r="A624" s="10"/>
      <c r="B624" s="10"/>
      <c r="C624" s="10"/>
      <c r="D624" s="10"/>
    </row>
    <row r="625" spans="1:4" ht="15.75" customHeight="1" x14ac:dyDescent="0.25">
      <c r="A625" s="10"/>
      <c r="B625" s="10"/>
      <c r="C625" s="10"/>
      <c r="D625" s="10"/>
    </row>
    <row r="626" spans="1:4" ht="15.75" customHeight="1" x14ac:dyDescent="0.25">
      <c r="A626" s="10"/>
      <c r="B626" s="10"/>
      <c r="C626" s="10"/>
      <c r="D626" s="10"/>
    </row>
    <row r="627" spans="1:4" ht="15.75" customHeight="1" x14ac:dyDescent="0.25">
      <c r="A627" s="10"/>
      <c r="B627" s="10"/>
      <c r="C627" s="10"/>
      <c r="D627" s="10"/>
    </row>
    <row r="628" spans="1:4" ht="15.75" customHeight="1" x14ac:dyDescent="0.25">
      <c r="A628" s="10"/>
      <c r="B628" s="10"/>
      <c r="C628" s="10"/>
      <c r="D628" s="10"/>
    </row>
    <row r="629" spans="1:4" ht="15.75" customHeight="1" x14ac:dyDescent="0.25">
      <c r="A629" s="10"/>
      <c r="B629" s="10"/>
      <c r="C629" s="10"/>
      <c r="D629" s="10"/>
    </row>
    <row r="630" spans="1:4" ht="15.75" customHeight="1" x14ac:dyDescent="0.25">
      <c r="A630" s="10"/>
      <c r="B630" s="10"/>
      <c r="C630" s="10"/>
      <c r="D630" s="10"/>
    </row>
    <row r="631" spans="1:4" ht="15.75" customHeight="1" x14ac:dyDescent="0.25">
      <c r="A631" s="10"/>
      <c r="B631" s="10"/>
      <c r="C631" s="10"/>
      <c r="D631" s="10"/>
    </row>
    <row r="632" spans="1:4" ht="15.75" customHeight="1" x14ac:dyDescent="0.25">
      <c r="A632" s="10"/>
      <c r="B632" s="10"/>
      <c r="C632" s="10"/>
      <c r="D632" s="10"/>
    </row>
    <row r="633" spans="1:4" ht="15.75" customHeight="1" x14ac:dyDescent="0.25">
      <c r="A633" s="10"/>
      <c r="B633" s="10"/>
      <c r="C633" s="10"/>
      <c r="D633" s="10"/>
    </row>
    <row r="634" spans="1:4" ht="15.75" customHeight="1" x14ac:dyDescent="0.25">
      <c r="A634" s="10"/>
      <c r="B634" s="10"/>
      <c r="C634" s="10"/>
      <c r="D634" s="10"/>
    </row>
    <row r="635" spans="1:4" ht="15.75" customHeight="1" x14ac:dyDescent="0.25">
      <c r="A635" s="10"/>
      <c r="B635" s="10"/>
      <c r="C635" s="10"/>
      <c r="D635" s="10"/>
    </row>
    <row r="636" spans="1:4" ht="15.75" customHeight="1" x14ac:dyDescent="0.25">
      <c r="A636" s="10"/>
      <c r="B636" s="10"/>
      <c r="C636" s="10"/>
      <c r="D636" s="10"/>
    </row>
    <row r="637" spans="1:4" ht="15.75" customHeight="1" x14ac:dyDescent="0.25">
      <c r="A637" s="10"/>
      <c r="B637" s="10"/>
      <c r="C637" s="10"/>
      <c r="D637" s="10"/>
    </row>
    <row r="638" spans="1:4" ht="15.75" customHeight="1" x14ac:dyDescent="0.25">
      <c r="A638" s="10"/>
      <c r="B638" s="10"/>
      <c r="C638" s="10"/>
      <c r="D638" s="10"/>
    </row>
    <row r="639" spans="1:4" ht="15.75" customHeight="1" x14ac:dyDescent="0.25">
      <c r="A639" s="10"/>
      <c r="B639" s="10"/>
      <c r="C639" s="10"/>
      <c r="D639" s="10"/>
    </row>
    <row r="640" spans="1:4" ht="15.75" customHeight="1" x14ac:dyDescent="0.25">
      <c r="A640" s="10"/>
      <c r="B640" s="10"/>
      <c r="C640" s="10"/>
      <c r="D640" s="10"/>
    </row>
    <row r="641" spans="1:4" ht="15.75" customHeight="1" x14ac:dyDescent="0.25">
      <c r="A641" s="10"/>
      <c r="B641" s="10"/>
      <c r="C641" s="10"/>
      <c r="D641" s="10"/>
    </row>
    <row r="642" spans="1:4" ht="15.75" customHeight="1" x14ac:dyDescent="0.25">
      <c r="A642" s="10"/>
      <c r="B642" s="10"/>
      <c r="C642" s="10"/>
      <c r="D642" s="10"/>
    </row>
    <row r="643" spans="1:4" ht="15.75" customHeight="1" x14ac:dyDescent="0.25">
      <c r="A643" s="10"/>
      <c r="B643" s="10"/>
      <c r="C643" s="10"/>
      <c r="D643" s="10"/>
    </row>
    <row r="644" spans="1:4" ht="15.75" customHeight="1" x14ac:dyDescent="0.25">
      <c r="A644" s="10"/>
      <c r="B644" s="10"/>
      <c r="C644" s="10"/>
      <c r="D644" s="10"/>
    </row>
    <row r="645" spans="1:4" ht="15.75" customHeight="1" x14ac:dyDescent="0.25">
      <c r="A645" s="10"/>
      <c r="B645" s="10"/>
      <c r="C645" s="10"/>
      <c r="D645" s="10"/>
    </row>
    <row r="646" spans="1:4" ht="15.75" customHeight="1" x14ac:dyDescent="0.25">
      <c r="A646" s="10"/>
      <c r="B646" s="10"/>
      <c r="C646" s="10"/>
      <c r="D646" s="10"/>
    </row>
    <row r="647" spans="1:4" ht="15.75" customHeight="1" x14ac:dyDescent="0.25">
      <c r="A647" s="10"/>
      <c r="B647" s="10"/>
      <c r="C647" s="10"/>
      <c r="D647" s="10"/>
    </row>
    <row r="648" spans="1:4" ht="15.75" customHeight="1" x14ac:dyDescent="0.25">
      <c r="A648" s="10"/>
      <c r="B648" s="10"/>
      <c r="C648" s="10"/>
      <c r="D648" s="10"/>
    </row>
    <row r="649" spans="1:4" ht="15.75" customHeight="1" x14ac:dyDescent="0.25">
      <c r="A649" s="10"/>
      <c r="B649" s="10"/>
      <c r="C649" s="10"/>
      <c r="D649" s="10"/>
    </row>
    <row r="650" spans="1:4" ht="15.75" customHeight="1" x14ac:dyDescent="0.25">
      <c r="A650" s="10"/>
      <c r="B650" s="10"/>
      <c r="C650" s="10"/>
      <c r="D650" s="10"/>
    </row>
    <row r="651" spans="1:4" ht="15.75" customHeight="1" x14ac:dyDescent="0.25">
      <c r="A651" s="10"/>
      <c r="B651" s="10"/>
      <c r="C651" s="10"/>
      <c r="D651" s="10"/>
    </row>
    <row r="652" spans="1:4" ht="15.75" customHeight="1" x14ac:dyDescent="0.25">
      <c r="A652" s="10"/>
      <c r="B652" s="10"/>
      <c r="C652" s="10"/>
      <c r="D652" s="10"/>
    </row>
    <row r="653" spans="1:4" ht="15.75" customHeight="1" x14ac:dyDescent="0.25">
      <c r="A653" s="10"/>
      <c r="B653" s="10"/>
      <c r="C653" s="10"/>
      <c r="D653" s="10"/>
    </row>
    <row r="654" spans="1:4" ht="15.75" customHeight="1" x14ac:dyDescent="0.25">
      <c r="A654" s="10"/>
      <c r="B654" s="10"/>
      <c r="C654" s="10"/>
      <c r="D654" s="10"/>
    </row>
    <row r="655" spans="1:4" ht="15.75" customHeight="1" x14ac:dyDescent="0.25">
      <c r="A655" s="10"/>
      <c r="B655" s="10"/>
      <c r="C655" s="10"/>
      <c r="D655" s="10"/>
    </row>
    <row r="656" spans="1:4" ht="15.75" customHeight="1" x14ac:dyDescent="0.25">
      <c r="A656" s="10"/>
      <c r="B656" s="10"/>
      <c r="C656" s="10"/>
      <c r="D656" s="10"/>
    </row>
    <row r="657" spans="1:4" ht="15.75" customHeight="1" x14ac:dyDescent="0.25">
      <c r="A657" s="10"/>
      <c r="B657" s="10"/>
      <c r="C657" s="10"/>
      <c r="D657" s="10"/>
    </row>
    <row r="658" spans="1:4" ht="15.75" customHeight="1" x14ac:dyDescent="0.25">
      <c r="A658" s="10"/>
      <c r="B658" s="10"/>
      <c r="C658" s="10"/>
      <c r="D658" s="10"/>
    </row>
    <row r="659" spans="1:4" ht="15.75" customHeight="1" x14ac:dyDescent="0.25">
      <c r="A659" s="10"/>
      <c r="B659" s="10"/>
      <c r="C659" s="10"/>
      <c r="D659" s="10"/>
    </row>
    <row r="660" spans="1:4" ht="15.75" customHeight="1" x14ac:dyDescent="0.25">
      <c r="A660" s="10"/>
      <c r="B660" s="10"/>
      <c r="C660" s="10"/>
      <c r="D660" s="10"/>
    </row>
    <row r="661" spans="1:4" ht="15.75" customHeight="1" x14ac:dyDescent="0.25">
      <c r="A661" s="10"/>
      <c r="B661" s="10"/>
      <c r="C661" s="10"/>
      <c r="D661" s="10"/>
    </row>
    <row r="662" spans="1:4" ht="15.75" customHeight="1" x14ac:dyDescent="0.25">
      <c r="A662" s="10"/>
      <c r="B662" s="10"/>
      <c r="C662" s="10"/>
      <c r="D662" s="10"/>
    </row>
    <row r="663" spans="1:4" ht="15.75" customHeight="1" x14ac:dyDescent="0.25">
      <c r="A663" s="10"/>
      <c r="B663" s="10"/>
      <c r="C663" s="10"/>
      <c r="D663" s="10"/>
    </row>
    <row r="664" spans="1:4" ht="15.75" customHeight="1" x14ac:dyDescent="0.25">
      <c r="A664" s="10"/>
      <c r="B664" s="10"/>
      <c r="C664" s="10"/>
      <c r="D664" s="10"/>
    </row>
    <row r="665" spans="1:4" ht="15.75" customHeight="1" x14ac:dyDescent="0.25">
      <c r="A665" s="10"/>
      <c r="B665" s="10"/>
      <c r="C665" s="10"/>
      <c r="D665" s="10"/>
    </row>
    <row r="666" spans="1:4" ht="15.75" customHeight="1" x14ac:dyDescent="0.25">
      <c r="A666" s="10"/>
      <c r="B666" s="10"/>
      <c r="C666" s="10"/>
      <c r="D666" s="10"/>
    </row>
    <row r="667" spans="1:4" ht="15.75" customHeight="1" x14ac:dyDescent="0.25">
      <c r="A667" s="10"/>
      <c r="B667" s="10"/>
      <c r="C667" s="10"/>
      <c r="D667" s="10"/>
    </row>
    <row r="668" spans="1:4" ht="15.75" customHeight="1" x14ac:dyDescent="0.25">
      <c r="A668" s="10"/>
      <c r="B668" s="10"/>
      <c r="C668" s="10"/>
      <c r="D668" s="10"/>
    </row>
    <row r="669" spans="1:4" ht="15.75" customHeight="1" x14ac:dyDescent="0.25">
      <c r="A669" s="10"/>
      <c r="B669" s="10"/>
      <c r="C669" s="10"/>
      <c r="D669" s="10"/>
    </row>
    <row r="670" spans="1:4" ht="15.75" customHeight="1" x14ac:dyDescent="0.25">
      <c r="A670" s="10"/>
      <c r="B670" s="10"/>
      <c r="C670" s="10"/>
      <c r="D670" s="10"/>
    </row>
    <row r="671" spans="1:4" ht="15.75" customHeight="1" x14ac:dyDescent="0.25">
      <c r="A671" s="10"/>
      <c r="B671" s="10"/>
      <c r="C671" s="10"/>
      <c r="D671" s="10"/>
    </row>
    <row r="672" spans="1:4" ht="15.75" customHeight="1" x14ac:dyDescent="0.25">
      <c r="A672" s="10"/>
      <c r="B672" s="10"/>
      <c r="C672" s="10"/>
      <c r="D672" s="10"/>
    </row>
    <row r="673" spans="1:4" ht="15.75" customHeight="1" x14ac:dyDescent="0.25">
      <c r="A673" s="10"/>
      <c r="B673" s="10"/>
      <c r="C673" s="10"/>
      <c r="D673" s="10"/>
    </row>
    <row r="674" spans="1:4" ht="15.75" customHeight="1" x14ac:dyDescent="0.25">
      <c r="A674" s="10"/>
      <c r="B674" s="10"/>
      <c r="C674" s="10"/>
      <c r="D674" s="10"/>
    </row>
    <row r="675" spans="1:4" ht="15.75" customHeight="1" x14ac:dyDescent="0.25">
      <c r="A675" s="10"/>
      <c r="B675" s="10"/>
      <c r="C675" s="10"/>
      <c r="D675" s="10"/>
    </row>
    <row r="676" spans="1:4" ht="15.75" customHeight="1" x14ac:dyDescent="0.25">
      <c r="A676" s="10"/>
      <c r="B676" s="10"/>
      <c r="C676" s="10"/>
      <c r="D676" s="10"/>
    </row>
    <row r="677" spans="1:4" ht="15.75" customHeight="1" x14ac:dyDescent="0.25">
      <c r="A677" s="10"/>
      <c r="B677" s="10"/>
      <c r="C677" s="10"/>
      <c r="D677" s="10"/>
    </row>
    <row r="678" spans="1:4" ht="15.75" customHeight="1" x14ac:dyDescent="0.25">
      <c r="A678" s="10"/>
      <c r="B678" s="10"/>
      <c r="C678" s="10"/>
      <c r="D678" s="10"/>
    </row>
    <row r="679" spans="1:4" ht="15.75" customHeight="1" x14ac:dyDescent="0.25">
      <c r="A679" s="10"/>
      <c r="B679" s="10"/>
      <c r="C679" s="10"/>
      <c r="D679" s="10"/>
    </row>
    <row r="680" spans="1:4" ht="15.75" customHeight="1" x14ac:dyDescent="0.25">
      <c r="A680" s="10"/>
      <c r="B680" s="10"/>
      <c r="C680" s="10"/>
      <c r="D680" s="10"/>
    </row>
    <row r="681" spans="1:4" ht="15.75" customHeight="1" x14ac:dyDescent="0.25">
      <c r="A681" s="10"/>
      <c r="B681" s="10"/>
      <c r="C681" s="10"/>
      <c r="D681" s="10"/>
    </row>
    <row r="682" spans="1:4" ht="15.75" customHeight="1" x14ac:dyDescent="0.25">
      <c r="A682" s="10"/>
      <c r="B682" s="10"/>
      <c r="C682" s="10"/>
      <c r="D682" s="10"/>
    </row>
    <row r="683" spans="1:4" ht="15.75" customHeight="1" x14ac:dyDescent="0.25">
      <c r="A683" s="10"/>
      <c r="B683" s="10"/>
      <c r="C683" s="10"/>
      <c r="D683" s="10"/>
    </row>
    <row r="684" spans="1:4" ht="15.75" customHeight="1" x14ac:dyDescent="0.25">
      <c r="A684" s="10"/>
      <c r="B684" s="10"/>
      <c r="C684" s="10"/>
      <c r="D684" s="10"/>
    </row>
    <row r="685" spans="1:4" ht="15.75" customHeight="1" x14ac:dyDescent="0.25">
      <c r="A685" s="10"/>
      <c r="B685" s="10"/>
      <c r="C685" s="10"/>
      <c r="D685" s="10"/>
    </row>
    <row r="686" spans="1:4" ht="15.75" customHeight="1" x14ac:dyDescent="0.25">
      <c r="A686" s="10"/>
      <c r="B686" s="10"/>
      <c r="C686" s="10"/>
      <c r="D686" s="10"/>
    </row>
    <row r="687" spans="1:4" ht="15.75" customHeight="1" x14ac:dyDescent="0.25">
      <c r="A687" s="10"/>
      <c r="B687" s="10"/>
      <c r="C687" s="10"/>
      <c r="D687" s="10"/>
    </row>
    <row r="688" spans="1:4" ht="15.75" customHeight="1" x14ac:dyDescent="0.25">
      <c r="A688" s="10"/>
      <c r="B688" s="10"/>
      <c r="C688" s="10"/>
      <c r="D688" s="10"/>
    </row>
    <row r="689" spans="1:4" ht="15.75" customHeight="1" x14ac:dyDescent="0.25">
      <c r="A689" s="10"/>
      <c r="B689" s="10"/>
      <c r="C689" s="10"/>
      <c r="D689" s="10"/>
    </row>
    <row r="690" spans="1:4" ht="15.75" customHeight="1" x14ac:dyDescent="0.25">
      <c r="A690" s="10"/>
      <c r="B690" s="10"/>
      <c r="C690" s="10"/>
      <c r="D690" s="10"/>
    </row>
    <row r="691" spans="1:4" ht="15.75" customHeight="1" x14ac:dyDescent="0.25">
      <c r="A691" s="10"/>
      <c r="B691" s="10"/>
      <c r="C691" s="10"/>
      <c r="D691" s="10"/>
    </row>
    <row r="692" spans="1:4" ht="15.75" customHeight="1" x14ac:dyDescent="0.25">
      <c r="A692" s="10"/>
      <c r="B692" s="10"/>
      <c r="C692" s="10"/>
      <c r="D692" s="10"/>
    </row>
    <row r="693" spans="1:4" ht="15.75" customHeight="1" x14ac:dyDescent="0.25">
      <c r="A693" s="10"/>
      <c r="B693" s="10"/>
      <c r="C693" s="10"/>
      <c r="D693" s="10"/>
    </row>
    <row r="694" spans="1:4" ht="15.75" customHeight="1" x14ac:dyDescent="0.25">
      <c r="A694" s="10"/>
      <c r="B694" s="10"/>
      <c r="C694" s="10"/>
      <c r="D694" s="10"/>
    </row>
    <row r="695" spans="1:4" ht="15.75" customHeight="1" x14ac:dyDescent="0.25">
      <c r="A695" s="10"/>
      <c r="B695" s="10"/>
      <c r="C695" s="10"/>
      <c r="D695" s="10"/>
    </row>
    <row r="696" spans="1:4" ht="15.75" customHeight="1" x14ac:dyDescent="0.25">
      <c r="A696" s="10"/>
      <c r="B696" s="10"/>
      <c r="C696" s="10"/>
      <c r="D696" s="10"/>
    </row>
    <row r="697" spans="1:4" ht="15.75" customHeight="1" x14ac:dyDescent="0.25">
      <c r="A697" s="10"/>
      <c r="B697" s="10"/>
      <c r="C697" s="10"/>
      <c r="D697" s="10"/>
    </row>
    <row r="698" spans="1:4" ht="15.75" customHeight="1" x14ac:dyDescent="0.25">
      <c r="A698" s="10"/>
      <c r="B698" s="10"/>
      <c r="C698" s="10"/>
      <c r="D698" s="10"/>
    </row>
    <row r="699" spans="1:4" ht="15.75" customHeight="1" x14ac:dyDescent="0.25">
      <c r="A699" s="10"/>
      <c r="B699" s="10"/>
      <c r="C699" s="10"/>
      <c r="D699" s="10"/>
    </row>
    <row r="700" spans="1:4" ht="15.75" customHeight="1" x14ac:dyDescent="0.25">
      <c r="A700" s="10"/>
      <c r="B700" s="10"/>
      <c r="C700" s="10"/>
      <c r="D700" s="10"/>
    </row>
    <row r="701" spans="1:4" ht="15.75" customHeight="1" x14ac:dyDescent="0.25">
      <c r="A701" s="10"/>
      <c r="B701" s="10"/>
      <c r="C701" s="10"/>
      <c r="D701" s="10"/>
    </row>
    <row r="702" spans="1:4" ht="15.75" customHeight="1" x14ac:dyDescent="0.25">
      <c r="A702" s="10"/>
      <c r="B702" s="10"/>
      <c r="C702" s="10"/>
      <c r="D702" s="10"/>
    </row>
    <row r="703" spans="1:4" ht="15.75" customHeight="1" x14ac:dyDescent="0.25">
      <c r="A703" s="10"/>
      <c r="B703" s="10"/>
      <c r="C703" s="10"/>
      <c r="D703" s="10"/>
    </row>
    <row r="704" spans="1:4" ht="15.75" customHeight="1" x14ac:dyDescent="0.25">
      <c r="A704" s="10"/>
      <c r="B704" s="10"/>
      <c r="C704" s="10"/>
      <c r="D704" s="10"/>
    </row>
    <row r="705" spans="1:4" ht="15.75" customHeight="1" x14ac:dyDescent="0.25">
      <c r="A705" s="10"/>
      <c r="B705" s="10"/>
      <c r="C705" s="10"/>
      <c r="D705" s="10"/>
    </row>
    <row r="706" spans="1:4" ht="15.75" customHeight="1" x14ac:dyDescent="0.25">
      <c r="A706" s="10"/>
      <c r="B706" s="10"/>
      <c r="C706" s="10"/>
      <c r="D706" s="10"/>
    </row>
    <row r="707" spans="1:4" ht="15.75" customHeight="1" x14ac:dyDescent="0.25">
      <c r="A707" s="10"/>
      <c r="B707" s="10"/>
      <c r="C707" s="10"/>
      <c r="D707" s="10"/>
    </row>
    <row r="708" spans="1:4" ht="15.75" customHeight="1" x14ac:dyDescent="0.25">
      <c r="A708" s="10"/>
      <c r="B708" s="10"/>
      <c r="C708" s="10"/>
      <c r="D708" s="10"/>
    </row>
    <row r="709" spans="1:4" ht="15.75" customHeight="1" x14ac:dyDescent="0.25">
      <c r="A709" s="10"/>
      <c r="B709" s="10"/>
      <c r="C709" s="10"/>
      <c r="D709" s="10"/>
    </row>
    <row r="710" spans="1:4" ht="15.75" customHeight="1" x14ac:dyDescent="0.25">
      <c r="A710" s="10"/>
      <c r="B710" s="10"/>
      <c r="C710" s="10"/>
      <c r="D710" s="10"/>
    </row>
    <row r="711" spans="1:4" ht="15.75" customHeight="1" x14ac:dyDescent="0.25">
      <c r="A711" s="10"/>
      <c r="B711" s="10"/>
      <c r="C711" s="10"/>
      <c r="D711" s="10"/>
    </row>
    <row r="712" spans="1:4" ht="15.75" customHeight="1" x14ac:dyDescent="0.25">
      <c r="A712" s="10"/>
      <c r="B712" s="10"/>
      <c r="C712" s="10"/>
      <c r="D712" s="10"/>
    </row>
    <row r="713" spans="1:4" ht="15.75" customHeight="1" x14ac:dyDescent="0.25">
      <c r="A713" s="10"/>
      <c r="B713" s="10"/>
      <c r="C713" s="10"/>
      <c r="D713" s="10"/>
    </row>
    <row r="714" spans="1:4" ht="15.75" customHeight="1" x14ac:dyDescent="0.25">
      <c r="A714" s="10"/>
      <c r="B714" s="10"/>
      <c r="C714" s="10"/>
      <c r="D714" s="10"/>
    </row>
    <row r="715" spans="1:4" ht="15.75" customHeight="1" x14ac:dyDescent="0.25">
      <c r="A715" s="10"/>
      <c r="B715" s="10"/>
      <c r="C715" s="10"/>
      <c r="D715" s="10"/>
    </row>
    <row r="716" spans="1:4" ht="15.75" customHeight="1" x14ac:dyDescent="0.25">
      <c r="A716" s="10"/>
      <c r="B716" s="10"/>
      <c r="C716" s="10"/>
      <c r="D716" s="10"/>
    </row>
    <row r="717" spans="1:4" ht="15.75" customHeight="1" x14ac:dyDescent="0.25">
      <c r="A717" s="10"/>
      <c r="B717" s="10"/>
      <c r="C717" s="10"/>
      <c r="D717" s="10"/>
    </row>
    <row r="718" spans="1:4" ht="15.75" customHeight="1" x14ac:dyDescent="0.25">
      <c r="A718" s="10"/>
      <c r="B718" s="10"/>
      <c r="C718" s="10"/>
      <c r="D718" s="10"/>
    </row>
    <row r="719" spans="1:4" ht="15.75" customHeight="1" x14ac:dyDescent="0.25">
      <c r="A719" s="10"/>
      <c r="B719" s="10"/>
      <c r="C719" s="10"/>
      <c r="D719" s="10"/>
    </row>
    <row r="720" spans="1:4" ht="15.75" customHeight="1" x14ac:dyDescent="0.25">
      <c r="A720" s="10"/>
      <c r="B720" s="10"/>
      <c r="C720" s="10"/>
      <c r="D720" s="10"/>
    </row>
    <row r="721" spans="1:4" ht="15.75" customHeight="1" x14ac:dyDescent="0.25">
      <c r="A721" s="10"/>
      <c r="B721" s="10"/>
      <c r="C721" s="10"/>
      <c r="D721" s="10"/>
    </row>
    <row r="722" spans="1:4" ht="15.75" customHeight="1" x14ac:dyDescent="0.25">
      <c r="A722" s="10"/>
      <c r="B722" s="10"/>
      <c r="C722" s="10"/>
      <c r="D722" s="10"/>
    </row>
    <row r="723" spans="1:4" ht="15.75" customHeight="1" x14ac:dyDescent="0.25">
      <c r="A723" s="10"/>
      <c r="B723" s="10"/>
      <c r="C723" s="10"/>
      <c r="D723" s="10"/>
    </row>
    <row r="724" spans="1:4" ht="15.75" customHeight="1" x14ac:dyDescent="0.25">
      <c r="A724" s="10"/>
      <c r="B724" s="10"/>
      <c r="C724" s="10"/>
      <c r="D724" s="10"/>
    </row>
    <row r="725" spans="1:4" ht="15.75" customHeight="1" x14ac:dyDescent="0.25">
      <c r="A725" s="10"/>
      <c r="B725" s="10"/>
      <c r="C725" s="10"/>
      <c r="D725" s="10"/>
    </row>
    <row r="726" spans="1:4" ht="15.75" customHeight="1" x14ac:dyDescent="0.25">
      <c r="A726" s="10"/>
      <c r="B726" s="10"/>
      <c r="C726" s="10"/>
      <c r="D726" s="10"/>
    </row>
    <row r="727" spans="1:4" ht="15.75" customHeight="1" x14ac:dyDescent="0.25">
      <c r="A727" s="10"/>
      <c r="B727" s="10"/>
      <c r="C727" s="10"/>
      <c r="D727" s="10"/>
    </row>
    <row r="728" spans="1:4" ht="15.75" customHeight="1" x14ac:dyDescent="0.25">
      <c r="A728" s="10"/>
      <c r="B728" s="10"/>
      <c r="C728" s="10"/>
      <c r="D728" s="10"/>
    </row>
    <row r="729" spans="1:4" ht="15.75" customHeight="1" x14ac:dyDescent="0.25">
      <c r="A729" s="10"/>
      <c r="B729" s="10"/>
      <c r="C729" s="10"/>
      <c r="D729" s="10"/>
    </row>
    <row r="730" spans="1:4" ht="15.75" customHeight="1" x14ac:dyDescent="0.25">
      <c r="A730" s="10"/>
      <c r="B730" s="10"/>
      <c r="C730" s="10"/>
      <c r="D730" s="10"/>
    </row>
    <row r="731" spans="1:4" ht="15.75" customHeight="1" x14ac:dyDescent="0.25">
      <c r="A731" s="10"/>
      <c r="B731" s="10"/>
      <c r="C731" s="10"/>
      <c r="D731" s="10"/>
    </row>
    <row r="732" spans="1:4" ht="15.75" customHeight="1" x14ac:dyDescent="0.25">
      <c r="A732" s="10"/>
      <c r="B732" s="10"/>
      <c r="C732" s="10"/>
      <c r="D732" s="10"/>
    </row>
    <row r="733" spans="1:4" ht="15.75" customHeight="1" x14ac:dyDescent="0.25">
      <c r="A733" s="10"/>
      <c r="B733" s="10"/>
      <c r="C733" s="10"/>
      <c r="D733" s="10"/>
    </row>
    <row r="734" spans="1:4" ht="15.75" customHeight="1" x14ac:dyDescent="0.25">
      <c r="A734" s="10"/>
      <c r="B734" s="10"/>
      <c r="C734" s="10"/>
      <c r="D734" s="10"/>
    </row>
    <row r="735" spans="1:4" ht="15.75" customHeight="1" x14ac:dyDescent="0.25">
      <c r="A735" s="10"/>
      <c r="B735" s="10"/>
      <c r="C735" s="10"/>
      <c r="D735" s="10"/>
    </row>
    <row r="736" spans="1:4" ht="15.75" customHeight="1" x14ac:dyDescent="0.25">
      <c r="A736" s="10"/>
      <c r="B736" s="10"/>
      <c r="C736" s="10"/>
      <c r="D736" s="10"/>
    </row>
    <row r="737" spans="1:4" ht="15.75" customHeight="1" x14ac:dyDescent="0.25">
      <c r="A737" s="10"/>
      <c r="B737" s="10"/>
      <c r="C737" s="10"/>
      <c r="D737" s="10"/>
    </row>
    <row r="738" spans="1:4" ht="15.75" customHeight="1" x14ac:dyDescent="0.25">
      <c r="A738" s="10"/>
      <c r="B738" s="10"/>
      <c r="C738" s="10"/>
      <c r="D738" s="10"/>
    </row>
    <row r="739" spans="1:4" ht="15.75" customHeight="1" x14ac:dyDescent="0.25">
      <c r="A739" s="10"/>
      <c r="B739" s="10"/>
      <c r="C739" s="10"/>
      <c r="D739" s="10"/>
    </row>
    <row r="740" spans="1:4" ht="15.75" customHeight="1" x14ac:dyDescent="0.25">
      <c r="A740" s="10"/>
      <c r="B740" s="10"/>
      <c r="C740" s="10"/>
      <c r="D740" s="10"/>
    </row>
    <row r="741" spans="1:4" ht="15.75" customHeight="1" x14ac:dyDescent="0.25">
      <c r="A741" s="10"/>
      <c r="B741" s="10"/>
      <c r="C741" s="10"/>
      <c r="D741" s="10"/>
    </row>
    <row r="742" spans="1:4" ht="15.75" customHeight="1" x14ac:dyDescent="0.25">
      <c r="A742" s="10"/>
      <c r="B742" s="10"/>
      <c r="C742" s="10"/>
      <c r="D742" s="10"/>
    </row>
    <row r="743" spans="1:4" ht="15.75" customHeight="1" x14ac:dyDescent="0.25">
      <c r="A743" s="10"/>
      <c r="B743" s="10"/>
      <c r="C743" s="10"/>
      <c r="D743" s="10"/>
    </row>
    <row r="744" spans="1:4" ht="15.75" customHeight="1" x14ac:dyDescent="0.25">
      <c r="A744" s="10"/>
      <c r="B744" s="10"/>
      <c r="C744" s="10"/>
      <c r="D744" s="10"/>
    </row>
    <row r="745" spans="1:4" ht="15.75" customHeight="1" x14ac:dyDescent="0.25">
      <c r="A745" s="10"/>
      <c r="B745" s="10"/>
      <c r="C745" s="10"/>
      <c r="D745" s="10"/>
    </row>
    <row r="746" spans="1:4" ht="15.75" customHeight="1" x14ac:dyDescent="0.25">
      <c r="A746" s="10"/>
      <c r="B746" s="10"/>
      <c r="C746" s="10"/>
      <c r="D746" s="10"/>
    </row>
    <row r="747" spans="1:4" ht="15.75" customHeight="1" x14ac:dyDescent="0.25">
      <c r="A747" s="10"/>
      <c r="B747" s="10"/>
      <c r="C747" s="10"/>
      <c r="D747" s="10"/>
    </row>
    <row r="748" spans="1:4" ht="15.75" customHeight="1" x14ac:dyDescent="0.25">
      <c r="A748" s="10"/>
      <c r="B748" s="10"/>
      <c r="C748" s="10"/>
      <c r="D748" s="10"/>
    </row>
    <row r="749" spans="1:4" ht="15.75" customHeight="1" x14ac:dyDescent="0.25">
      <c r="A749" s="10"/>
      <c r="B749" s="10"/>
      <c r="C749" s="10"/>
      <c r="D749" s="10"/>
    </row>
    <row r="750" spans="1:4" ht="15.75" customHeight="1" x14ac:dyDescent="0.25">
      <c r="A750" s="10"/>
      <c r="B750" s="10"/>
      <c r="C750" s="10"/>
      <c r="D750" s="10"/>
    </row>
    <row r="751" spans="1:4" ht="15.75" customHeight="1" x14ac:dyDescent="0.25">
      <c r="A751" s="10"/>
      <c r="B751" s="10"/>
      <c r="C751" s="10"/>
      <c r="D751" s="10"/>
    </row>
    <row r="752" spans="1:4" ht="15.75" customHeight="1" x14ac:dyDescent="0.25">
      <c r="A752" s="10"/>
      <c r="B752" s="10"/>
      <c r="C752" s="10"/>
      <c r="D752" s="10"/>
    </row>
    <row r="753" spans="1:4" ht="15.75" customHeight="1" x14ac:dyDescent="0.25">
      <c r="A753" s="10"/>
      <c r="B753" s="10"/>
      <c r="C753" s="10"/>
      <c r="D753" s="10"/>
    </row>
    <row r="754" spans="1:4" ht="15.75" customHeight="1" x14ac:dyDescent="0.25">
      <c r="A754" s="10"/>
      <c r="B754" s="10"/>
      <c r="C754" s="10"/>
      <c r="D754" s="10"/>
    </row>
    <row r="755" spans="1:4" ht="15.75" customHeight="1" x14ac:dyDescent="0.25">
      <c r="A755" s="10"/>
      <c r="B755" s="10"/>
      <c r="C755" s="10"/>
      <c r="D755" s="10"/>
    </row>
    <row r="756" spans="1:4" ht="15.75" customHeight="1" x14ac:dyDescent="0.25">
      <c r="A756" s="10"/>
      <c r="B756" s="10"/>
      <c r="C756" s="10"/>
      <c r="D756" s="10"/>
    </row>
    <row r="757" spans="1:4" ht="15.75" customHeight="1" x14ac:dyDescent="0.25">
      <c r="A757" s="10"/>
      <c r="B757" s="10"/>
      <c r="C757" s="10"/>
      <c r="D757" s="10"/>
    </row>
    <row r="758" spans="1:4" ht="15.75" customHeight="1" x14ac:dyDescent="0.25">
      <c r="A758" s="10"/>
      <c r="B758" s="10"/>
      <c r="C758" s="10"/>
      <c r="D758" s="10"/>
    </row>
    <row r="759" spans="1:4" ht="15.75" customHeight="1" x14ac:dyDescent="0.25">
      <c r="A759" s="10"/>
      <c r="B759" s="10"/>
      <c r="C759" s="10"/>
      <c r="D759" s="10"/>
    </row>
    <row r="760" spans="1:4" ht="15.75" customHeight="1" x14ac:dyDescent="0.25">
      <c r="A760" s="10"/>
      <c r="B760" s="10"/>
      <c r="C760" s="10"/>
      <c r="D760" s="10"/>
    </row>
    <row r="761" spans="1:4" ht="15.75" customHeight="1" x14ac:dyDescent="0.25">
      <c r="A761" s="10"/>
      <c r="B761" s="10"/>
      <c r="C761" s="10"/>
      <c r="D761" s="10"/>
    </row>
    <row r="762" spans="1:4" ht="15.75" customHeight="1" x14ac:dyDescent="0.25">
      <c r="A762" s="10"/>
      <c r="B762" s="10"/>
      <c r="C762" s="10"/>
      <c r="D762" s="10"/>
    </row>
    <row r="763" spans="1:4" ht="15.75" customHeight="1" x14ac:dyDescent="0.25">
      <c r="A763" s="10"/>
      <c r="B763" s="10"/>
      <c r="C763" s="10"/>
      <c r="D763" s="10"/>
    </row>
    <row r="764" spans="1:4" ht="15.75" customHeight="1" x14ac:dyDescent="0.25">
      <c r="A764" s="10"/>
      <c r="B764" s="10"/>
      <c r="C764" s="10"/>
      <c r="D764" s="10"/>
    </row>
    <row r="765" spans="1:4" ht="15.75" customHeight="1" x14ac:dyDescent="0.25">
      <c r="A765" s="10"/>
      <c r="B765" s="10"/>
      <c r="C765" s="10"/>
      <c r="D765" s="10"/>
    </row>
    <row r="766" spans="1:4" ht="15.75" customHeight="1" x14ac:dyDescent="0.25">
      <c r="A766" s="10"/>
      <c r="B766" s="10"/>
      <c r="C766" s="10"/>
      <c r="D766" s="10"/>
    </row>
    <row r="767" spans="1:4" ht="15.75" customHeight="1" x14ac:dyDescent="0.25">
      <c r="A767" s="10"/>
      <c r="B767" s="10"/>
      <c r="C767" s="10"/>
      <c r="D767" s="10"/>
    </row>
    <row r="768" spans="1:4" ht="15.75" customHeight="1" x14ac:dyDescent="0.25">
      <c r="A768" s="10"/>
      <c r="B768" s="10"/>
      <c r="C768" s="10"/>
      <c r="D768" s="10"/>
    </row>
    <row r="769" spans="1:4" ht="15.75" customHeight="1" x14ac:dyDescent="0.25">
      <c r="A769" s="10"/>
      <c r="B769" s="10"/>
      <c r="C769" s="10"/>
      <c r="D769" s="10"/>
    </row>
    <row r="770" spans="1:4" ht="15.75" customHeight="1" x14ac:dyDescent="0.25">
      <c r="A770" s="10"/>
      <c r="B770" s="10"/>
      <c r="C770" s="10"/>
      <c r="D770" s="10"/>
    </row>
    <row r="771" spans="1:4" ht="15.75" customHeight="1" x14ac:dyDescent="0.25">
      <c r="A771" s="10"/>
      <c r="B771" s="10"/>
      <c r="C771" s="10"/>
      <c r="D771" s="10"/>
    </row>
    <row r="772" spans="1:4" ht="15.75" customHeight="1" x14ac:dyDescent="0.25">
      <c r="A772" s="10"/>
      <c r="B772" s="10"/>
      <c r="C772" s="10"/>
      <c r="D772" s="10"/>
    </row>
    <row r="773" spans="1:4" ht="15.75" customHeight="1" x14ac:dyDescent="0.25">
      <c r="A773" s="10"/>
      <c r="B773" s="10"/>
      <c r="C773" s="10"/>
      <c r="D773" s="10"/>
    </row>
    <row r="774" spans="1:4" ht="15.75" customHeight="1" x14ac:dyDescent="0.25">
      <c r="A774" s="10"/>
      <c r="B774" s="10"/>
      <c r="C774" s="10"/>
      <c r="D774" s="10"/>
    </row>
    <row r="775" spans="1:4" ht="15.75" customHeight="1" x14ac:dyDescent="0.25">
      <c r="A775" s="10"/>
      <c r="B775" s="10"/>
      <c r="C775" s="10"/>
      <c r="D775" s="10"/>
    </row>
    <row r="776" spans="1:4" ht="15.75" customHeight="1" x14ac:dyDescent="0.25">
      <c r="A776" s="10"/>
      <c r="B776" s="10"/>
      <c r="C776" s="10"/>
      <c r="D776" s="10"/>
    </row>
    <row r="777" spans="1:4" ht="15.75" customHeight="1" x14ac:dyDescent="0.25">
      <c r="A777" s="10"/>
      <c r="B777" s="10"/>
      <c r="C777" s="10"/>
      <c r="D777" s="10"/>
    </row>
    <row r="778" spans="1:4" ht="15.75" customHeight="1" x14ac:dyDescent="0.25">
      <c r="A778" s="10"/>
      <c r="B778" s="10"/>
      <c r="C778" s="10"/>
      <c r="D778" s="10"/>
    </row>
    <row r="779" spans="1:4" ht="15.75" customHeight="1" x14ac:dyDescent="0.25">
      <c r="A779" s="10"/>
      <c r="B779" s="10"/>
      <c r="C779" s="10"/>
      <c r="D779" s="10"/>
    </row>
    <row r="780" spans="1:4" ht="15.75" customHeight="1" x14ac:dyDescent="0.25">
      <c r="A780" s="10"/>
      <c r="B780" s="10"/>
      <c r="C780" s="10"/>
      <c r="D780" s="10"/>
    </row>
    <row r="781" spans="1:4" ht="15.75" customHeight="1" x14ac:dyDescent="0.25">
      <c r="A781" s="10"/>
      <c r="B781" s="10"/>
      <c r="C781" s="10"/>
      <c r="D781" s="10"/>
    </row>
    <row r="782" spans="1:4" ht="15.75" customHeight="1" x14ac:dyDescent="0.25">
      <c r="A782" s="10"/>
      <c r="B782" s="10"/>
      <c r="C782" s="10"/>
      <c r="D782" s="10"/>
    </row>
    <row r="783" spans="1:4" ht="15.75" customHeight="1" x14ac:dyDescent="0.25">
      <c r="A783" s="10"/>
      <c r="B783" s="10"/>
      <c r="C783" s="10"/>
      <c r="D783" s="10"/>
    </row>
    <row r="784" spans="1:4" ht="15.75" customHeight="1" x14ac:dyDescent="0.25">
      <c r="A784" s="10"/>
      <c r="B784" s="10"/>
      <c r="C784" s="10"/>
      <c r="D784" s="10"/>
    </row>
    <row r="785" spans="1:4" ht="15.75" customHeight="1" x14ac:dyDescent="0.25">
      <c r="A785" s="10"/>
      <c r="B785" s="10"/>
      <c r="C785" s="10"/>
      <c r="D785" s="10"/>
    </row>
    <row r="786" spans="1:4" ht="15.75" customHeight="1" x14ac:dyDescent="0.25">
      <c r="A786" s="10"/>
      <c r="B786" s="10"/>
      <c r="C786" s="10"/>
      <c r="D786" s="10"/>
    </row>
    <row r="787" spans="1:4" ht="15.75" customHeight="1" x14ac:dyDescent="0.25">
      <c r="A787" s="10"/>
      <c r="B787" s="10"/>
      <c r="C787" s="10"/>
      <c r="D787" s="10"/>
    </row>
    <row r="788" spans="1:4" ht="15.75" customHeight="1" x14ac:dyDescent="0.25">
      <c r="A788" s="10"/>
      <c r="B788" s="10"/>
      <c r="C788" s="10"/>
      <c r="D788" s="10"/>
    </row>
    <row r="789" spans="1:4" ht="15.75" customHeight="1" x14ac:dyDescent="0.25">
      <c r="A789" s="10"/>
      <c r="B789" s="10"/>
      <c r="C789" s="10"/>
      <c r="D789" s="10"/>
    </row>
    <row r="790" spans="1:4" ht="15.75" customHeight="1" x14ac:dyDescent="0.25">
      <c r="A790" s="10"/>
      <c r="B790" s="10"/>
      <c r="C790" s="10"/>
      <c r="D790" s="10"/>
    </row>
    <row r="791" spans="1:4" ht="15.75" customHeight="1" x14ac:dyDescent="0.25">
      <c r="A791" s="10"/>
      <c r="B791" s="10"/>
      <c r="C791" s="10"/>
      <c r="D791" s="10"/>
    </row>
    <row r="792" spans="1:4" ht="15.75" customHeight="1" x14ac:dyDescent="0.25">
      <c r="A792" s="10"/>
      <c r="B792" s="10"/>
      <c r="C792" s="10"/>
      <c r="D792" s="10"/>
    </row>
    <row r="793" spans="1:4" ht="15.75" customHeight="1" x14ac:dyDescent="0.25">
      <c r="A793" s="10"/>
      <c r="B793" s="10"/>
      <c r="C793" s="10"/>
      <c r="D793" s="10"/>
    </row>
    <row r="794" spans="1:4" ht="15.75" customHeight="1" x14ac:dyDescent="0.25">
      <c r="A794" s="10"/>
      <c r="B794" s="10"/>
      <c r="C794" s="10"/>
      <c r="D794" s="10"/>
    </row>
    <row r="795" spans="1:4" ht="15.75" customHeight="1" x14ac:dyDescent="0.25">
      <c r="A795" s="10"/>
      <c r="B795" s="10"/>
      <c r="C795" s="10"/>
      <c r="D795" s="10"/>
    </row>
    <row r="796" spans="1:4" ht="15.75" customHeight="1" x14ac:dyDescent="0.25">
      <c r="A796" s="10"/>
      <c r="B796" s="10"/>
      <c r="C796" s="10"/>
      <c r="D796" s="10"/>
    </row>
    <row r="797" spans="1:4" ht="15.75" customHeight="1" x14ac:dyDescent="0.25">
      <c r="A797" s="10"/>
      <c r="B797" s="10"/>
      <c r="C797" s="10"/>
      <c r="D797" s="10"/>
    </row>
    <row r="798" spans="1:4" ht="15.75" customHeight="1" x14ac:dyDescent="0.25">
      <c r="A798" s="10"/>
      <c r="B798" s="10"/>
      <c r="C798" s="10"/>
      <c r="D798" s="10"/>
    </row>
    <row r="799" spans="1:4" ht="15.75" customHeight="1" x14ac:dyDescent="0.25">
      <c r="A799" s="10"/>
      <c r="B799" s="10"/>
      <c r="C799" s="10"/>
      <c r="D799" s="10"/>
    </row>
    <row r="800" spans="1:4" ht="15.75" customHeight="1" x14ac:dyDescent="0.25">
      <c r="A800" s="10"/>
      <c r="B800" s="10"/>
      <c r="C800" s="10"/>
      <c r="D800" s="10"/>
    </row>
    <row r="801" spans="1:4" ht="15.75" customHeight="1" x14ac:dyDescent="0.25">
      <c r="A801" s="10"/>
      <c r="B801" s="10"/>
      <c r="C801" s="10"/>
      <c r="D801" s="10"/>
    </row>
    <row r="802" spans="1:4" ht="15.75" customHeight="1" x14ac:dyDescent="0.25">
      <c r="A802" s="10"/>
      <c r="B802" s="10"/>
      <c r="C802" s="10"/>
      <c r="D802" s="10"/>
    </row>
    <row r="803" spans="1:4" ht="15.75" customHeight="1" x14ac:dyDescent="0.25">
      <c r="A803" s="10"/>
      <c r="B803" s="10"/>
      <c r="C803" s="10"/>
      <c r="D803" s="10"/>
    </row>
    <row r="804" spans="1:4" ht="15.75" customHeight="1" x14ac:dyDescent="0.25">
      <c r="A804" s="10"/>
      <c r="B804" s="10"/>
      <c r="C804" s="10"/>
      <c r="D804" s="10"/>
    </row>
    <row r="805" spans="1:4" ht="15.75" customHeight="1" x14ac:dyDescent="0.25">
      <c r="A805" s="10"/>
      <c r="B805" s="10"/>
      <c r="C805" s="10"/>
      <c r="D805" s="10"/>
    </row>
    <row r="806" spans="1:4" ht="15.75" customHeight="1" x14ac:dyDescent="0.25">
      <c r="A806" s="10"/>
      <c r="B806" s="10"/>
      <c r="C806" s="10"/>
      <c r="D806" s="10"/>
    </row>
    <row r="807" spans="1:4" ht="15.75" customHeight="1" x14ac:dyDescent="0.25">
      <c r="A807" s="10"/>
      <c r="B807" s="10"/>
      <c r="C807" s="10"/>
      <c r="D807" s="10"/>
    </row>
    <row r="808" spans="1:4" ht="15.75" customHeight="1" x14ac:dyDescent="0.25">
      <c r="A808" s="10"/>
      <c r="B808" s="10"/>
      <c r="C808" s="10"/>
      <c r="D808" s="10"/>
    </row>
    <row r="809" spans="1:4" ht="15.75" customHeight="1" x14ac:dyDescent="0.25">
      <c r="A809" s="10"/>
      <c r="B809" s="10"/>
      <c r="C809" s="10"/>
      <c r="D809" s="10"/>
    </row>
    <row r="810" spans="1:4" ht="15.75" customHeight="1" x14ac:dyDescent="0.25">
      <c r="A810" s="10"/>
      <c r="B810" s="10"/>
      <c r="C810" s="10"/>
      <c r="D810" s="10"/>
    </row>
    <row r="811" spans="1:4" ht="15.75" customHeight="1" x14ac:dyDescent="0.25">
      <c r="A811" s="10"/>
      <c r="B811" s="10"/>
      <c r="C811" s="10"/>
      <c r="D811" s="10"/>
    </row>
    <row r="812" spans="1:4" ht="15.75" customHeight="1" x14ac:dyDescent="0.25">
      <c r="A812" s="10"/>
      <c r="B812" s="10"/>
      <c r="C812" s="10"/>
      <c r="D812" s="10"/>
    </row>
    <row r="813" spans="1:4" ht="15.75" customHeight="1" x14ac:dyDescent="0.25">
      <c r="A813" s="10"/>
      <c r="B813" s="10"/>
      <c r="C813" s="10"/>
      <c r="D813" s="10"/>
    </row>
    <row r="814" spans="1:4" ht="15.75" customHeight="1" x14ac:dyDescent="0.25">
      <c r="A814" s="10"/>
      <c r="B814" s="10"/>
      <c r="C814" s="10"/>
      <c r="D814" s="10"/>
    </row>
    <row r="815" spans="1:4" ht="15.75" customHeight="1" x14ac:dyDescent="0.25">
      <c r="A815" s="10"/>
      <c r="B815" s="10"/>
      <c r="C815" s="10"/>
      <c r="D815" s="10"/>
    </row>
    <row r="816" spans="1:4" ht="15.75" customHeight="1" x14ac:dyDescent="0.25">
      <c r="A816" s="10"/>
      <c r="B816" s="10"/>
      <c r="C816" s="10"/>
      <c r="D816" s="10"/>
    </row>
    <row r="817" spans="1:4" ht="15.75" customHeight="1" x14ac:dyDescent="0.25">
      <c r="A817" s="10"/>
      <c r="B817" s="10"/>
      <c r="C817" s="10"/>
      <c r="D817" s="10"/>
    </row>
    <row r="818" spans="1:4" ht="15.75" customHeight="1" x14ac:dyDescent="0.25">
      <c r="A818" s="10"/>
      <c r="B818" s="10"/>
      <c r="C818" s="10"/>
      <c r="D818" s="10"/>
    </row>
    <row r="819" spans="1:4" ht="15.75" customHeight="1" x14ac:dyDescent="0.25">
      <c r="A819" s="10"/>
      <c r="B819" s="10"/>
      <c r="C819" s="10"/>
      <c r="D819" s="10"/>
    </row>
    <row r="820" spans="1:4" ht="15.75" customHeight="1" x14ac:dyDescent="0.25">
      <c r="A820" s="10"/>
      <c r="B820" s="10"/>
      <c r="C820" s="10"/>
      <c r="D820" s="10"/>
    </row>
    <row r="821" spans="1:4" ht="15.75" customHeight="1" x14ac:dyDescent="0.25">
      <c r="A821" s="10"/>
      <c r="B821" s="10"/>
      <c r="C821" s="10"/>
      <c r="D821" s="10"/>
    </row>
    <row r="822" spans="1:4" ht="15.75" customHeight="1" x14ac:dyDescent="0.25">
      <c r="A822" s="10"/>
      <c r="B822" s="10"/>
      <c r="C822" s="10"/>
      <c r="D822" s="10"/>
    </row>
    <row r="823" spans="1:4" ht="15.75" customHeight="1" x14ac:dyDescent="0.25">
      <c r="A823" s="10"/>
      <c r="B823" s="10"/>
      <c r="C823" s="10"/>
      <c r="D823" s="10"/>
    </row>
    <row r="824" spans="1:4" ht="15.75" customHeight="1" x14ac:dyDescent="0.25">
      <c r="A824" s="10"/>
      <c r="B824" s="10"/>
      <c r="C824" s="10"/>
      <c r="D824" s="10"/>
    </row>
    <row r="825" spans="1:4" ht="15.75" customHeight="1" x14ac:dyDescent="0.25">
      <c r="A825" s="10"/>
      <c r="B825" s="10"/>
      <c r="C825" s="10"/>
      <c r="D825" s="10"/>
    </row>
    <row r="826" spans="1:4" ht="15.75" customHeight="1" x14ac:dyDescent="0.25">
      <c r="A826" s="10"/>
      <c r="B826" s="10"/>
      <c r="C826" s="10"/>
      <c r="D826" s="10"/>
    </row>
    <row r="827" spans="1:4" ht="15.75" customHeight="1" x14ac:dyDescent="0.25">
      <c r="A827" s="10"/>
      <c r="B827" s="10"/>
      <c r="C827" s="10"/>
      <c r="D827" s="10"/>
    </row>
    <row r="828" spans="1:4" ht="15.75" customHeight="1" x14ac:dyDescent="0.25">
      <c r="A828" s="10"/>
      <c r="B828" s="10"/>
      <c r="C828" s="10"/>
      <c r="D828" s="10"/>
    </row>
    <row r="829" spans="1:4" ht="15.75" customHeight="1" x14ac:dyDescent="0.25">
      <c r="A829" s="10"/>
      <c r="B829" s="10"/>
      <c r="C829" s="10"/>
      <c r="D829" s="10"/>
    </row>
    <row r="830" spans="1:4" ht="15.75" customHeight="1" x14ac:dyDescent="0.25">
      <c r="A830" s="10"/>
      <c r="B830" s="10"/>
      <c r="C830" s="10"/>
      <c r="D830" s="10"/>
    </row>
    <row r="831" spans="1:4" ht="15.75" customHeight="1" x14ac:dyDescent="0.25">
      <c r="A831" s="10"/>
      <c r="B831" s="10"/>
      <c r="C831" s="10"/>
      <c r="D831" s="10"/>
    </row>
    <row r="832" spans="1:4" ht="15.75" customHeight="1" x14ac:dyDescent="0.25">
      <c r="A832" s="10"/>
      <c r="B832" s="10"/>
      <c r="C832" s="10"/>
      <c r="D832" s="10"/>
    </row>
    <row r="833" spans="1:4" ht="15.75" customHeight="1" x14ac:dyDescent="0.25">
      <c r="A833" s="10"/>
      <c r="B833" s="10"/>
      <c r="C833" s="10"/>
      <c r="D833" s="10"/>
    </row>
    <row r="834" spans="1:4" ht="15.75" customHeight="1" x14ac:dyDescent="0.25">
      <c r="A834" s="10"/>
      <c r="B834" s="10"/>
      <c r="C834" s="10"/>
      <c r="D834" s="10"/>
    </row>
    <row r="835" spans="1:4" ht="15.75" customHeight="1" x14ac:dyDescent="0.25">
      <c r="A835" s="10"/>
      <c r="B835" s="10"/>
      <c r="C835" s="10"/>
      <c r="D835" s="10"/>
    </row>
    <row r="836" spans="1:4" ht="15.75" customHeight="1" x14ac:dyDescent="0.25">
      <c r="A836" s="10"/>
      <c r="B836" s="10"/>
      <c r="C836" s="10"/>
      <c r="D836" s="10"/>
    </row>
    <row r="837" spans="1:4" ht="15.75" customHeight="1" x14ac:dyDescent="0.25">
      <c r="A837" s="10"/>
      <c r="B837" s="10"/>
      <c r="C837" s="10"/>
      <c r="D837" s="10"/>
    </row>
    <row r="838" spans="1:4" ht="15.75" customHeight="1" x14ac:dyDescent="0.25">
      <c r="A838" s="10"/>
      <c r="B838" s="10"/>
      <c r="C838" s="10"/>
      <c r="D838" s="10"/>
    </row>
    <row r="839" spans="1:4" ht="15.75" customHeight="1" x14ac:dyDescent="0.25">
      <c r="A839" s="10"/>
      <c r="B839" s="10"/>
      <c r="C839" s="10"/>
      <c r="D839" s="10"/>
    </row>
    <row r="840" spans="1:4" ht="15.75" customHeight="1" x14ac:dyDescent="0.25">
      <c r="A840" s="10"/>
      <c r="B840" s="10"/>
      <c r="C840" s="10"/>
      <c r="D840" s="10"/>
    </row>
    <row r="841" spans="1:4" ht="15.75" customHeight="1" x14ac:dyDescent="0.25">
      <c r="A841" s="10"/>
      <c r="B841" s="10"/>
      <c r="C841" s="10"/>
      <c r="D841" s="10"/>
    </row>
    <row r="842" spans="1:4" ht="15.75" customHeight="1" x14ac:dyDescent="0.25">
      <c r="A842" s="10"/>
      <c r="B842" s="10"/>
      <c r="C842" s="10"/>
      <c r="D842" s="10"/>
    </row>
    <row r="843" spans="1:4" ht="15.75" customHeight="1" x14ac:dyDescent="0.25">
      <c r="A843" s="10"/>
      <c r="B843" s="10"/>
      <c r="C843" s="10"/>
      <c r="D843" s="10"/>
    </row>
    <row r="844" spans="1:4" ht="15.75" customHeight="1" x14ac:dyDescent="0.25">
      <c r="A844" s="10"/>
      <c r="B844" s="10"/>
      <c r="C844" s="10"/>
      <c r="D844" s="10"/>
    </row>
    <row r="845" spans="1:4" ht="15.75" customHeight="1" x14ac:dyDescent="0.25">
      <c r="A845" s="10"/>
      <c r="B845" s="10"/>
      <c r="C845" s="10"/>
      <c r="D845" s="10"/>
    </row>
    <row r="846" spans="1:4" ht="15.75" customHeight="1" x14ac:dyDescent="0.25">
      <c r="A846" s="10"/>
      <c r="B846" s="10"/>
      <c r="C846" s="10"/>
      <c r="D846" s="10"/>
    </row>
    <row r="847" spans="1:4" ht="15.75" customHeight="1" x14ac:dyDescent="0.25">
      <c r="A847" s="10"/>
      <c r="B847" s="10"/>
      <c r="C847" s="10"/>
      <c r="D847" s="10"/>
    </row>
    <row r="848" spans="1:4" ht="15.75" customHeight="1" x14ac:dyDescent="0.25">
      <c r="A848" s="10"/>
      <c r="B848" s="10"/>
      <c r="C848" s="10"/>
      <c r="D848" s="10"/>
    </row>
    <row r="849" spans="1:4" ht="15.75" customHeight="1" x14ac:dyDescent="0.25">
      <c r="A849" s="10"/>
      <c r="B849" s="10"/>
      <c r="C849" s="10"/>
      <c r="D849" s="10"/>
    </row>
    <row r="850" spans="1:4" ht="15.75" customHeight="1" x14ac:dyDescent="0.25">
      <c r="A850" s="10"/>
      <c r="B850" s="10"/>
      <c r="C850" s="10"/>
      <c r="D850" s="10"/>
    </row>
    <row r="851" spans="1:4" ht="15.75" customHeight="1" x14ac:dyDescent="0.25">
      <c r="A851" s="10"/>
      <c r="B851" s="10"/>
      <c r="C851" s="10"/>
      <c r="D851" s="10"/>
    </row>
    <row r="852" spans="1:4" ht="15.75" customHeight="1" x14ac:dyDescent="0.25">
      <c r="A852" s="10"/>
      <c r="B852" s="10"/>
      <c r="C852" s="10"/>
      <c r="D852" s="10"/>
    </row>
    <row r="853" spans="1:4" ht="15.75" customHeight="1" x14ac:dyDescent="0.25">
      <c r="A853" s="10"/>
      <c r="B853" s="10"/>
      <c r="C853" s="10"/>
      <c r="D853" s="10"/>
    </row>
    <row r="854" spans="1:4" ht="15.75" customHeight="1" x14ac:dyDescent="0.25">
      <c r="A854" s="10"/>
      <c r="B854" s="10"/>
      <c r="C854" s="10"/>
      <c r="D854" s="10"/>
    </row>
    <row r="855" spans="1:4" ht="15.75" customHeight="1" x14ac:dyDescent="0.25">
      <c r="A855" s="10"/>
      <c r="B855" s="10"/>
      <c r="C855" s="10"/>
      <c r="D855" s="10"/>
    </row>
    <row r="856" spans="1:4" ht="15.75" customHeight="1" x14ac:dyDescent="0.25">
      <c r="A856" s="10"/>
      <c r="B856" s="10"/>
      <c r="C856" s="10"/>
      <c r="D856" s="10"/>
    </row>
    <row r="857" spans="1:4" ht="15.75" customHeight="1" x14ac:dyDescent="0.25">
      <c r="A857" s="10"/>
      <c r="B857" s="10"/>
      <c r="C857" s="10"/>
      <c r="D857" s="10"/>
    </row>
    <row r="858" spans="1:4" ht="15.75" customHeight="1" x14ac:dyDescent="0.25">
      <c r="A858" s="10"/>
      <c r="B858" s="10"/>
      <c r="C858" s="10"/>
      <c r="D858" s="10"/>
    </row>
    <row r="859" spans="1:4" ht="15.75" customHeight="1" x14ac:dyDescent="0.25">
      <c r="A859" s="10"/>
      <c r="B859" s="10"/>
      <c r="C859" s="10"/>
      <c r="D859" s="10"/>
    </row>
    <row r="860" spans="1:4" ht="15.75" customHeight="1" x14ac:dyDescent="0.25">
      <c r="A860" s="10"/>
      <c r="B860" s="10"/>
      <c r="C860" s="10"/>
      <c r="D860" s="10"/>
    </row>
    <row r="861" spans="1:4" ht="15.75" customHeight="1" x14ac:dyDescent="0.25">
      <c r="A861" s="10"/>
      <c r="B861" s="10"/>
      <c r="C861" s="10"/>
      <c r="D861" s="10"/>
    </row>
    <row r="862" spans="1:4" ht="15.75" customHeight="1" x14ac:dyDescent="0.25">
      <c r="A862" s="10"/>
      <c r="B862" s="10"/>
      <c r="C862" s="10"/>
      <c r="D862" s="10"/>
    </row>
    <row r="863" spans="1:4" ht="15.75" customHeight="1" x14ac:dyDescent="0.25">
      <c r="A863" s="10"/>
      <c r="B863" s="10"/>
      <c r="C863" s="10"/>
      <c r="D863" s="10"/>
    </row>
    <row r="864" spans="1:4" ht="15.75" customHeight="1" x14ac:dyDescent="0.25">
      <c r="A864" s="10"/>
      <c r="B864" s="10"/>
      <c r="C864" s="10"/>
      <c r="D864" s="10"/>
    </row>
    <row r="865" spans="1:4" ht="15.75" customHeight="1" x14ac:dyDescent="0.25">
      <c r="A865" s="10"/>
      <c r="B865" s="10"/>
      <c r="C865" s="10"/>
      <c r="D865" s="10"/>
    </row>
    <row r="866" spans="1:4" ht="15.75" customHeight="1" x14ac:dyDescent="0.25">
      <c r="A866" s="10"/>
      <c r="B866" s="10"/>
      <c r="C866" s="10"/>
      <c r="D866" s="10"/>
    </row>
    <row r="867" spans="1:4" ht="15.75" customHeight="1" x14ac:dyDescent="0.25">
      <c r="A867" s="10"/>
      <c r="B867" s="10"/>
      <c r="C867" s="10"/>
      <c r="D867" s="10"/>
    </row>
    <row r="868" spans="1:4" ht="15.75" customHeight="1" x14ac:dyDescent="0.25">
      <c r="A868" s="10"/>
      <c r="B868" s="10"/>
      <c r="C868" s="10"/>
      <c r="D868" s="10"/>
    </row>
    <row r="869" spans="1:4" ht="15.75" customHeight="1" x14ac:dyDescent="0.25">
      <c r="A869" s="10"/>
      <c r="B869" s="10"/>
      <c r="C869" s="10"/>
      <c r="D869" s="10"/>
    </row>
    <row r="870" spans="1:4" ht="15.75" customHeight="1" x14ac:dyDescent="0.25">
      <c r="A870" s="10"/>
      <c r="B870" s="10"/>
      <c r="C870" s="10"/>
      <c r="D870" s="10"/>
    </row>
    <row r="871" spans="1:4" ht="15.75" customHeight="1" x14ac:dyDescent="0.25">
      <c r="A871" s="10"/>
      <c r="B871" s="10"/>
      <c r="C871" s="10"/>
      <c r="D871" s="10"/>
    </row>
    <row r="872" spans="1:4" ht="15.75" customHeight="1" x14ac:dyDescent="0.25">
      <c r="A872" s="10"/>
      <c r="B872" s="10"/>
      <c r="C872" s="10"/>
      <c r="D872" s="10"/>
    </row>
    <row r="873" spans="1:4" ht="15.75" customHeight="1" x14ac:dyDescent="0.25">
      <c r="A873" s="10"/>
      <c r="B873" s="10"/>
      <c r="C873" s="10"/>
      <c r="D873" s="10"/>
    </row>
    <row r="874" spans="1:4" ht="15.75" customHeight="1" x14ac:dyDescent="0.25">
      <c r="A874" s="10"/>
      <c r="B874" s="10"/>
      <c r="C874" s="10"/>
      <c r="D874" s="10"/>
    </row>
    <row r="875" spans="1:4" ht="15.75" customHeight="1" x14ac:dyDescent="0.25">
      <c r="A875" s="10"/>
      <c r="B875" s="10"/>
      <c r="C875" s="10"/>
      <c r="D875" s="10"/>
    </row>
    <row r="876" spans="1:4" ht="15.75" customHeight="1" x14ac:dyDescent="0.25">
      <c r="A876" s="10"/>
      <c r="B876" s="10"/>
      <c r="C876" s="10"/>
      <c r="D876" s="10"/>
    </row>
    <row r="877" spans="1:4" ht="15.75" customHeight="1" x14ac:dyDescent="0.25">
      <c r="A877" s="10"/>
      <c r="B877" s="10"/>
      <c r="C877" s="10"/>
      <c r="D877" s="10"/>
    </row>
    <row r="878" spans="1:4" ht="15.75" customHeight="1" x14ac:dyDescent="0.25">
      <c r="A878" s="10"/>
      <c r="B878" s="10"/>
      <c r="C878" s="10"/>
      <c r="D878" s="10"/>
    </row>
    <row r="879" spans="1:4" ht="15.75" customHeight="1" x14ac:dyDescent="0.25">
      <c r="A879" s="10"/>
      <c r="B879" s="10"/>
      <c r="C879" s="10"/>
      <c r="D879" s="10"/>
    </row>
    <row r="880" spans="1:4" ht="15.75" customHeight="1" x14ac:dyDescent="0.25">
      <c r="A880" s="10"/>
      <c r="B880" s="10"/>
      <c r="C880" s="10"/>
      <c r="D880" s="10"/>
    </row>
    <row r="881" spans="1:4" ht="15.75" customHeight="1" x14ac:dyDescent="0.25">
      <c r="A881" s="10"/>
      <c r="B881" s="10"/>
      <c r="C881" s="10"/>
      <c r="D881" s="10"/>
    </row>
    <row r="882" spans="1:4" ht="15.75" customHeight="1" x14ac:dyDescent="0.25">
      <c r="A882" s="10"/>
      <c r="B882" s="10"/>
      <c r="C882" s="10"/>
      <c r="D882" s="10"/>
    </row>
    <row r="883" spans="1:4" ht="15.75" customHeight="1" x14ac:dyDescent="0.25">
      <c r="A883" s="10"/>
      <c r="B883" s="10"/>
      <c r="C883" s="10"/>
      <c r="D883" s="10"/>
    </row>
    <row r="884" spans="1:4" ht="15.75" customHeight="1" x14ac:dyDescent="0.25">
      <c r="A884" s="10"/>
      <c r="B884" s="10"/>
      <c r="C884" s="10"/>
      <c r="D884" s="10"/>
    </row>
    <row r="885" spans="1:4" ht="15.75" customHeight="1" x14ac:dyDescent="0.25">
      <c r="A885" s="10"/>
      <c r="B885" s="10"/>
      <c r="C885" s="10"/>
      <c r="D885" s="10"/>
    </row>
    <row r="886" spans="1:4" ht="15.75" customHeight="1" x14ac:dyDescent="0.25">
      <c r="A886" s="10"/>
      <c r="B886" s="10"/>
      <c r="C886" s="10"/>
      <c r="D886" s="10"/>
    </row>
    <row r="887" spans="1:4" ht="15.75" customHeight="1" x14ac:dyDescent="0.25">
      <c r="A887" s="10"/>
      <c r="B887" s="10"/>
      <c r="C887" s="10"/>
      <c r="D887" s="10"/>
    </row>
    <row r="888" spans="1:4" ht="15.75" customHeight="1" x14ac:dyDescent="0.25">
      <c r="A888" s="10"/>
      <c r="B888" s="10"/>
      <c r="C888" s="10"/>
      <c r="D888" s="10"/>
    </row>
    <row r="889" spans="1:4" ht="15.75" customHeight="1" x14ac:dyDescent="0.25">
      <c r="A889" s="10"/>
      <c r="B889" s="10"/>
      <c r="C889" s="10"/>
      <c r="D889" s="10"/>
    </row>
    <row r="890" spans="1:4" ht="15.75" customHeight="1" x14ac:dyDescent="0.25">
      <c r="A890" s="10"/>
      <c r="B890" s="10"/>
      <c r="C890" s="10"/>
      <c r="D890" s="10"/>
    </row>
    <row r="891" spans="1:4" ht="15.75" customHeight="1" x14ac:dyDescent="0.25">
      <c r="A891" s="10"/>
      <c r="B891" s="10"/>
      <c r="C891" s="10"/>
      <c r="D891" s="10"/>
    </row>
    <row r="892" spans="1:4" ht="15.75" customHeight="1" x14ac:dyDescent="0.25">
      <c r="A892" s="10"/>
      <c r="B892" s="10"/>
      <c r="C892" s="10"/>
      <c r="D892" s="10"/>
    </row>
    <row r="893" spans="1:4" ht="15.75" customHeight="1" x14ac:dyDescent="0.25">
      <c r="A893" s="10"/>
      <c r="B893" s="10"/>
      <c r="C893" s="10"/>
      <c r="D893" s="10"/>
    </row>
    <row r="894" spans="1:4" ht="15.75" customHeight="1" x14ac:dyDescent="0.25">
      <c r="A894" s="10"/>
      <c r="B894" s="10"/>
      <c r="C894" s="10"/>
      <c r="D894" s="10"/>
    </row>
    <row r="895" spans="1:4" ht="15.75" customHeight="1" x14ac:dyDescent="0.25">
      <c r="A895" s="10"/>
      <c r="B895" s="10"/>
      <c r="C895" s="10"/>
      <c r="D895" s="10"/>
    </row>
    <row r="896" spans="1:4" ht="15.75" customHeight="1" x14ac:dyDescent="0.25">
      <c r="A896" s="10"/>
      <c r="B896" s="10"/>
      <c r="C896" s="10"/>
      <c r="D896" s="10"/>
    </row>
    <row r="897" spans="1:4" ht="15.75" customHeight="1" x14ac:dyDescent="0.25">
      <c r="A897" s="10"/>
      <c r="B897" s="10"/>
      <c r="C897" s="10"/>
      <c r="D897" s="10"/>
    </row>
    <row r="898" spans="1:4" ht="15.75" customHeight="1" x14ac:dyDescent="0.25">
      <c r="A898" s="10"/>
      <c r="B898" s="10"/>
      <c r="C898" s="10"/>
      <c r="D898" s="10"/>
    </row>
    <row r="899" spans="1:4" ht="15.75" customHeight="1" x14ac:dyDescent="0.25">
      <c r="A899" s="10"/>
      <c r="B899" s="10"/>
      <c r="C899" s="10"/>
      <c r="D899" s="10"/>
    </row>
    <row r="900" spans="1:4" ht="15.75" customHeight="1" x14ac:dyDescent="0.25">
      <c r="A900" s="10"/>
      <c r="B900" s="10"/>
      <c r="C900" s="10"/>
      <c r="D900" s="10"/>
    </row>
    <row r="901" spans="1:4" ht="15.75" customHeight="1" x14ac:dyDescent="0.25">
      <c r="A901" s="10"/>
      <c r="B901" s="10"/>
      <c r="C901" s="10"/>
      <c r="D901" s="10"/>
    </row>
    <row r="902" spans="1:4" ht="15.75" customHeight="1" x14ac:dyDescent="0.25">
      <c r="A902" s="10"/>
      <c r="B902" s="10"/>
      <c r="C902" s="10"/>
      <c r="D902" s="10"/>
    </row>
    <row r="903" spans="1:4" ht="15.75" customHeight="1" x14ac:dyDescent="0.25">
      <c r="A903" s="10"/>
      <c r="B903" s="10"/>
      <c r="C903" s="10"/>
      <c r="D903" s="10"/>
    </row>
    <row r="904" spans="1:4" ht="15.75" customHeight="1" x14ac:dyDescent="0.25">
      <c r="A904" s="10"/>
      <c r="B904" s="10"/>
      <c r="C904" s="10"/>
      <c r="D904" s="10"/>
    </row>
    <row r="905" spans="1:4" ht="15.75" customHeight="1" x14ac:dyDescent="0.25">
      <c r="A905" s="10"/>
      <c r="B905" s="10"/>
      <c r="C905" s="10"/>
      <c r="D905" s="10"/>
    </row>
    <row r="906" spans="1:4" ht="15.75" customHeight="1" x14ac:dyDescent="0.25">
      <c r="A906" s="10"/>
      <c r="B906" s="10"/>
      <c r="C906" s="10"/>
      <c r="D906" s="10"/>
    </row>
    <row r="907" spans="1:4" ht="15.75" customHeight="1" x14ac:dyDescent="0.25">
      <c r="A907" s="10"/>
      <c r="B907" s="10"/>
      <c r="C907" s="10"/>
      <c r="D907" s="10"/>
    </row>
    <row r="908" spans="1:4" ht="15.75" customHeight="1" x14ac:dyDescent="0.25">
      <c r="A908" s="10"/>
      <c r="B908" s="10"/>
      <c r="C908" s="10"/>
      <c r="D908" s="10"/>
    </row>
    <row r="909" spans="1:4" ht="15.75" customHeight="1" x14ac:dyDescent="0.25">
      <c r="A909" s="10"/>
      <c r="B909" s="10"/>
      <c r="C909" s="10"/>
      <c r="D909" s="10"/>
    </row>
    <row r="910" spans="1:4" ht="15.75" customHeight="1" x14ac:dyDescent="0.25">
      <c r="A910" s="10"/>
      <c r="B910" s="10"/>
      <c r="C910" s="10"/>
      <c r="D910" s="10"/>
    </row>
    <row r="911" spans="1:4" ht="15.75" customHeight="1" x14ac:dyDescent="0.25">
      <c r="A911" s="10"/>
      <c r="B911" s="10"/>
      <c r="C911" s="10"/>
      <c r="D911" s="10"/>
    </row>
    <row r="912" spans="1:4" ht="15.75" customHeight="1" x14ac:dyDescent="0.25">
      <c r="A912" s="10"/>
      <c r="B912" s="10"/>
      <c r="C912" s="10"/>
      <c r="D912" s="10"/>
    </row>
    <row r="913" spans="1:4" ht="15.75" customHeight="1" x14ac:dyDescent="0.25">
      <c r="A913" s="10"/>
      <c r="B913" s="10"/>
      <c r="C913" s="10"/>
      <c r="D913" s="10"/>
    </row>
    <row r="914" spans="1:4" ht="15.75" customHeight="1" x14ac:dyDescent="0.25">
      <c r="A914" s="10"/>
      <c r="B914" s="10"/>
      <c r="C914" s="10"/>
      <c r="D914" s="10"/>
    </row>
    <row r="915" spans="1:4" ht="15.75" customHeight="1" x14ac:dyDescent="0.25">
      <c r="A915" s="10"/>
      <c r="B915" s="10"/>
      <c r="C915" s="10"/>
      <c r="D915" s="10"/>
    </row>
    <row r="916" spans="1:4" ht="15.75" customHeight="1" x14ac:dyDescent="0.25">
      <c r="A916" s="10"/>
      <c r="B916" s="10"/>
      <c r="C916" s="10"/>
      <c r="D916" s="10"/>
    </row>
    <row r="917" spans="1:4" ht="15.75" customHeight="1" x14ac:dyDescent="0.25">
      <c r="A917" s="10"/>
      <c r="B917" s="10"/>
      <c r="C917" s="10"/>
      <c r="D917" s="10"/>
    </row>
    <row r="918" spans="1:4" ht="15.75" customHeight="1" x14ac:dyDescent="0.25">
      <c r="A918" s="10"/>
      <c r="B918" s="10"/>
      <c r="C918" s="10"/>
      <c r="D918" s="10"/>
    </row>
    <row r="919" spans="1:4" ht="15.75" customHeight="1" x14ac:dyDescent="0.25">
      <c r="A919" s="10"/>
      <c r="B919" s="10"/>
      <c r="C919" s="10"/>
      <c r="D919" s="10"/>
    </row>
    <row r="920" spans="1:4" ht="15.75" customHeight="1" x14ac:dyDescent="0.25">
      <c r="A920" s="10"/>
      <c r="B920" s="10"/>
      <c r="C920" s="10"/>
      <c r="D920" s="10"/>
    </row>
    <row r="921" spans="1:4" ht="15.75" customHeight="1" x14ac:dyDescent="0.25">
      <c r="A921" s="10"/>
      <c r="B921" s="10"/>
      <c r="C921" s="10"/>
      <c r="D921" s="10"/>
    </row>
    <row r="922" spans="1:4" ht="15.75" customHeight="1" x14ac:dyDescent="0.25">
      <c r="A922" s="10"/>
      <c r="B922" s="10"/>
      <c r="C922" s="10"/>
      <c r="D922" s="10"/>
    </row>
    <row r="923" spans="1:4" ht="15.75" customHeight="1" x14ac:dyDescent="0.25">
      <c r="A923" s="10"/>
      <c r="B923" s="10"/>
      <c r="C923" s="10"/>
      <c r="D923" s="10"/>
    </row>
    <row r="924" spans="1:4" ht="15.75" customHeight="1" x14ac:dyDescent="0.25">
      <c r="A924" s="10"/>
      <c r="B924" s="10"/>
      <c r="C924" s="10"/>
      <c r="D924" s="10"/>
    </row>
    <row r="925" spans="1:4" ht="15.75" customHeight="1" x14ac:dyDescent="0.25">
      <c r="A925" s="10"/>
      <c r="B925" s="10"/>
      <c r="C925" s="10"/>
      <c r="D925" s="10"/>
    </row>
    <row r="926" spans="1:4" ht="15.75" customHeight="1" x14ac:dyDescent="0.25">
      <c r="A926" s="10"/>
      <c r="B926" s="10"/>
      <c r="C926" s="10"/>
      <c r="D926" s="10"/>
    </row>
    <row r="927" spans="1:4" ht="15.75" customHeight="1" x14ac:dyDescent="0.25">
      <c r="A927" s="10"/>
      <c r="B927" s="10"/>
      <c r="C927" s="10"/>
      <c r="D927" s="10"/>
    </row>
    <row r="928" spans="1:4" ht="15.75" customHeight="1" x14ac:dyDescent="0.25">
      <c r="A928" s="10"/>
      <c r="B928" s="10"/>
      <c r="C928" s="10"/>
      <c r="D928" s="10"/>
    </row>
    <row r="929" spans="1:4" ht="15.75" customHeight="1" x14ac:dyDescent="0.25">
      <c r="A929" s="10"/>
      <c r="B929" s="10"/>
      <c r="C929" s="10"/>
      <c r="D929" s="10"/>
    </row>
    <row r="930" spans="1:4" ht="15.75" customHeight="1" x14ac:dyDescent="0.25">
      <c r="A930" s="10"/>
      <c r="B930" s="10"/>
      <c r="C930" s="10"/>
      <c r="D930" s="10"/>
    </row>
    <row r="931" spans="1:4" ht="15.75" customHeight="1" x14ac:dyDescent="0.25">
      <c r="A931" s="10"/>
      <c r="B931" s="10"/>
      <c r="C931" s="10"/>
      <c r="D931" s="10"/>
    </row>
    <row r="932" spans="1:4" ht="15.75" customHeight="1" x14ac:dyDescent="0.25">
      <c r="A932" s="10"/>
      <c r="B932" s="10"/>
      <c r="C932" s="10"/>
      <c r="D932" s="10"/>
    </row>
    <row r="933" spans="1:4" ht="15.75" customHeight="1" x14ac:dyDescent="0.25">
      <c r="A933" s="10"/>
      <c r="B933" s="10"/>
      <c r="C933" s="10"/>
      <c r="D933" s="10"/>
    </row>
    <row r="934" spans="1:4" ht="15.75" customHeight="1" x14ac:dyDescent="0.25">
      <c r="A934" s="10"/>
      <c r="B934" s="10"/>
      <c r="C934" s="10"/>
      <c r="D934" s="10"/>
    </row>
    <row r="935" spans="1:4" ht="15.75" customHeight="1" x14ac:dyDescent="0.25">
      <c r="A935" s="10"/>
      <c r="B935" s="10"/>
      <c r="C935" s="10"/>
      <c r="D935" s="10"/>
    </row>
    <row r="936" spans="1:4" ht="15.75" customHeight="1" x14ac:dyDescent="0.25">
      <c r="A936" s="10"/>
      <c r="B936" s="10"/>
      <c r="C936" s="10"/>
      <c r="D936" s="10"/>
    </row>
    <row r="937" spans="1:4" ht="15.75" customHeight="1" x14ac:dyDescent="0.25">
      <c r="A937" s="10"/>
      <c r="B937" s="10"/>
      <c r="C937" s="10"/>
      <c r="D937" s="10"/>
    </row>
    <row r="938" spans="1:4" ht="15.75" customHeight="1" x14ac:dyDescent="0.25">
      <c r="A938" s="10"/>
      <c r="B938" s="10"/>
      <c r="C938" s="10"/>
      <c r="D938" s="10"/>
    </row>
    <row r="939" spans="1:4" ht="15.75" customHeight="1" x14ac:dyDescent="0.25">
      <c r="A939" s="10"/>
      <c r="B939" s="10"/>
      <c r="C939" s="10"/>
      <c r="D939" s="10"/>
    </row>
    <row r="940" spans="1:4" ht="15.75" customHeight="1" x14ac:dyDescent="0.25">
      <c r="A940" s="10"/>
      <c r="B940" s="10"/>
      <c r="C940" s="10"/>
      <c r="D940" s="10"/>
    </row>
    <row r="941" spans="1:4" ht="15.75" customHeight="1" x14ac:dyDescent="0.25">
      <c r="A941" s="10"/>
      <c r="B941" s="10"/>
      <c r="C941" s="10"/>
      <c r="D941" s="10"/>
    </row>
    <row r="942" spans="1:4" ht="15.75" customHeight="1" x14ac:dyDescent="0.25">
      <c r="A942" s="10"/>
      <c r="B942" s="10"/>
      <c r="C942" s="10"/>
      <c r="D942" s="10"/>
    </row>
    <row r="943" spans="1:4" ht="15.75" customHeight="1" x14ac:dyDescent="0.25">
      <c r="A943" s="10"/>
      <c r="B943" s="10"/>
      <c r="C943" s="10"/>
      <c r="D943" s="10"/>
    </row>
    <row r="944" spans="1:4" ht="15.75" customHeight="1" x14ac:dyDescent="0.25">
      <c r="A944" s="10"/>
      <c r="B944" s="10"/>
      <c r="C944" s="10"/>
      <c r="D944" s="10"/>
    </row>
    <row r="945" spans="1:4" ht="15.75" customHeight="1" x14ac:dyDescent="0.25">
      <c r="A945" s="10"/>
      <c r="B945" s="10"/>
      <c r="C945" s="10"/>
      <c r="D945" s="10"/>
    </row>
    <row r="946" spans="1:4" ht="15.75" customHeight="1" x14ac:dyDescent="0.25">
      <c r="A946" s="10"/>
      <c r="B946" s="10"/>
      <c r="C946" s="10"/>
      <c r="D946" s="10"/>
    </row>
    <row r="947" spans="1:4" ht="15.75" customHeight="1" x14ac:dyDescent="0.25">
      <c r="A947" s="10"/>
      <c r="B947" s="10"/>
      <c r="C947" s="10"/>
      <c r="D947" s="10"/>
    </row>
    <row r="948" spans="1:4" ht="15.75" customHeight="1" x14ac:dyDescent="0.25">
      <c r="A948" s="10"/>
      <c r="B948" s="10"/>
      <c r="C948" s="10"/>
      <c r="D948" s="10"/>
    </row>
    <row r="949" spans="1:4" ht="15.75" customHeight="1" x14ac:dyDescent="0.25">
      <c r="A949" s="10"/>
      <c r="B949" s="10"/>
      <c r="C949" s="10"/>
      <c r="D949" s="10"/>
    </row>
    <row r="950" spans="1:4" ht="15.75" customHeight="1" x14ac:dyDescent="0.25">
      <c r="A950" s="10"/>
      <c r="B950" s="10"/>
      <c r="C950" s="10"/>
      <c r="D950" s="10"/>
    </row>
    <row r="951" spans="1:4" ht="15.75" customHeight="1" x14ac:dyDescent="0.25">
      <c r="A951" s="10"/>
      <c r="B951" s="10"/>
      <c r="C951" s="10"/>
      <c r="D951" s="10"/>
    </row>
    <row r="952" spans="1:4" ht="15.75" customHeight="1" x14ac:dyDescent="0.25">
      <c r="A952" s="10"/>
      <c r="B952" s="10"/>
      <c r="C952" s="10"/>
      <c r="D952" s="10"/>
    </row>
    <row r="953" spans="1:4" ht="15.75" customHeight="1" x14ac:dyDescent="0.25">
      <c r="A953" s="10"/>
      <c r="B953" s="10"/>
      <c r="C953" s="10"/>
      <c r="D953" s="10"/>
    </row>
    <row r="954" spans="1:4" ht="15.75" customHeight="1" x14ac:dyDescent="0.25">
      <c r="A954" s="10"/>
      <c r="B954" s="10"/>
      <c r="C954" s="10"/>
      <c r="D954" s="10"/>
    </row>
    <row r="955" spans="1:4" ht="15.75" customHeight="1" x14ac:dyDescent="0.25">
      <c r="A955" s="10"/>
      <c r="B955" s="10"/>
      <c r="C955" s="10"/>
      <c r="D955" s="10"/>
    </row>
    <row r="956" spans="1:4" ht="15.75" customHeight="1" x14ac:dyDescent="0.25">
      <c r="A956" s="10"/>
      <c r="B956" s="10"/>
      <c r="C956" s="10"/>
      <c r="D956" s="10"/>
    </row>
    <row r="957" spans="1:4" ht="15.75" customHeight="1" x14ac:dyDescent="0.25">
      <c r="A957" s="10"/>
      <c r="B957" s="10"/>
      <c r="C957" s="10"/>
      <c r="D957" s="10"/>
    </row>
    <row r="958" spans="1:4" ht="15.75" customHeight="1" x14ac:dyDescent="0.25">
      <c r="A958" s="10"/>
      <c r="B958" s="10"/>
      <c r="C958" s="10"/>
      <c r="D958" s="10"/>
    </row>
    <row r="959" spans="1:4" ht="15.75" customHeight="1" x14ac:dyDescent="0.25">
      <c r="A959" s="10"/>
      <c r="B959" s="10"/>
      <c r="C959" s="10"/>
      <c r="D959" s="10"/>
    </row>
    <row r="960" spans="1:4" ht="15.75" customHeight="1" x14ac:dyDescent="0.25">
      <c r="A960" s="10"/>
      <c r="B960" s="10"/>
      <c r="C960" s="10"/>
      <c r="D960" s="10"/>
    </row>
    <row r="961" spans="1:4" ht="15.75" customHeight="1" x14ac:dyDescent="0.25">
      <c r="A961" s="10"/>
      <c r="B961" s="10"/>
      <c r="C961" s="10"/>
      <c r="D961" s="10"/>
    </row>
    <row r="962" spans="1:4" ht="15.75" customHeight="1" x14ac:dyDescent="0.25">
      <c r="A962" s="10"/>
      <c r="B962" s="10"/>
      <c r="C962" s="10"/>
      <c r="D962" s="10"/>
    </row>
    <row r="963" spans="1:4" ht="15.75" customHeight="1" x14ac:dyDescent="0.25">
      <c r="A963" s="10"/>
      <c r="B963" s="10"/>
      <c r="C963" s="10"/>
      <c r="D963" s="10"/>
    </row>
    <row r="964" spans="1:4" ht="15.75" customHeight="1" x14ac:dyDescent="0.25">
      <c r="A964" s="10"/>
      <c r="B964" s="10"/>
      <c r="C964" s="10"/>
      <c r="D964" s="10"/>
    </row>
    <row r="965" spans="1:4" ht="15.75" customHeight="1" x14ac:dyDescent="0.25">
      <c r="A965" s="10"/>
      <c r="B965" s="10"/>
      <c r="C965" s="10"/>
      <c r="D965" s="10"/>
    </row>
    <row r="966" spans="1:4" ht="15.75" customHeight="1" x14ac:dyDescent="0.25">
      <c r="A966" s="10"/>
      <c r="B966" s="10"/>
      <c r="C966" s="10"/>
      <c r="D966" s="10"/>
    </row>
    <row r="967" spans="1:4" ht="15.75" customHeight="1" x14ac:dyDescent="0.25">
      <c r="A967" s="10"/>
      <c r="B967" s="10"/>
      <c r="C967" s="10"/>
      <c r="D967" s="10"/>
    </row>
    <row r="968" spans="1:4" ht="15.75" customHeight="1" x14ac:dyDescent="0.25">
      <c r="A968" s="10"/>
      <c r="B968" s="10"/>
      <c r="C968" s="10"/>
      <c r="D968" s="10"/>
    </row>
    <row r="969" spans="1:4" ht="15.75" customHeight="1" x14ac:dyDescent="0.25">
      <c r="A969" s="10"/>
      <c r="B969" s="10"/>
      <c r="C969" s="10"/>
      <c r="D969" s="10"/>
    </row>
    <row r="970" spans="1:4" ht="15.75" customHeight="1" x14ac:dyDescent="0.25">
      <c r="A970" s="10"/>
      <c r="B970" s="10"/>
      <c r="C970" s="10"/>
      <c r="D970" s="10"/>
    </row>
    <row r="971" spans="1:4" ht="15.75" customHeight="1" x14ac:dyDescent="0.25">
      <c r="A971" s="10"/>
      <c r="B971" s="10"/>
      <c r="C971" s="10"/>
      <c r="D971" s="10"/>
    </row>
    <row r="972" spans="1:4" ht="15.75" customHeight="1" x14ac:dyDescent="0.25">
      <c r="A972" s="10"/>
      <c r="B972" s="10"/>
      <c r="C972" s="10"/>
      <c r="D972" s="10"/>
    </row>
    <row r="973" spans="1:4" ht="15.75" customHeight="1" x14ac:dyDescent="0.25">
      <c r="A973" s="10"/>
      <c r="B973" s="10"/>
      <c r="C973" s="10"/>
      <c r="D973" s="10"/>
    </row>
    <row r="974" spans="1:4" ht="15.75" customHeight="1" x14ac:dyDescent="0.25">
      <c r="A974" s="10"/>
      <c r="B974" s="10"/>
      <c r="C974" s="10"/>
      <c r="D974" s="10"/>
    </row>
    <row r="975" spans="1:4" ht="15.75" customHeight="1" x14ac:dyDescent="0.25">
      <c r="A975" s="10"/>
      <c r="B975" s="10"/>
      <c r="C975" s="10"/>
      <c r="D975" s="10"/>
    </row>
    <row r="976" spans="1:4" ht="15.75" customHeight="1" x14ac:dyDescent="0.25">
      <c r="A976" s="10"/>
      <c r="B976" s="10"/>
      <c r="C976" s="10"/>
      <c r="D976" s="10"/>
    </row>
    <row r="977" spans="1:4" ht="15.75" customHeight="1" x14ac:dyDescent="0.25">
      <c r="A977" s="10"/>
      <c r="B977" s="10"/>
      <c r="C977" s="10"/>
      <c r="D977" s="10"/>
    </row>
    <row r="978" spans="1:4" ht="15.75" customHeight="1" x14ac:dyDescent="0.25">
      <c r="A978" s="10"/>
      <c r="B978" s="10"/>
      <c r="C978" s="10"/>
      <c r="D978" s="10"/>
    </row>
    <row r="979" spans="1:4" ht="15.75" customHeight="1" x14ac:dyDescent="0.25">
      <c r="A979" s="10"/>
      <c r="B979" s="10"/>
      <c r="C979" s="10"/>
      <c r="D979" s="10"/>
    </row>
    <row r="980" spans="1:4" ht="15.75" customHeight="1" x14ac:dyDescent="0.25">
      <c r="A980" s="10"/>
      <c r="B980" s="10"/>
      <c r="C980" s="10"/>
      <c r="D980" s="10"/>
    </row>
    <row r="981" spans="1:4" ht="15.75" customHeight="1" x14ac:dyDescent="0.25">
      <c r="A981" s="10"/>
      <c r="B981" s="10"/>
      <c r="C981" s="10"/>
      <c r="D981" s="10"/>
    </row>
    <row r="982" spans="1:4" ht="15.75" customHeight="1" x14ac:dyDescent="0.25">
      <c r="A982" s="10"/>
      <c r="B982" s="10"/>
      <c r="C982" s="10"/>
      <c r="D982" s="10"/>
    </row>
    <row r="983" spans="1:4" ht="15.75" customHeight="1" x14ac:dyDescent="0.25">
      <c r="A983" s="10"/>
      <c r="B983" s="10"/>
      <c r="C983" s="10"/>
      <c r="D983" s="10"/>
    </row>
    <row r="984" spans="1:4" ht="15.75" customHeight="1" x14ac:dyDescent="0.25">
      <c r="A984" s="10"/>
      <c r="B984" s="10"/>
      <c r="C984" s="10"/>
      <c r="D984" s="10"/>
    </row>
    <row r="985" spans="1:4" ht="15.75" customHeight="1" x14ac:dyDescent="0.25">
      <c r="A985" s="10"/>
      <c r="B985" s="10"/>
      <c r="C985" s="10"/>
      <c r="D985" s="10"/>
    </row>
    <row r="986" spans="1:4" ht="15.75" customHeight="1" x14ac:dyDescent="0.25">
      <c r="A986" s="10"/>
      <c r="B986" s="10"/>
      <c r="C986" s="10"/>
      <c r="D986" s="10"/>
    </row>
    <row r="987" spans="1:4" ht="15.75" customHeight="1" x14ac:dyDescent="0.25">
      <c r="A987" s="10"/>
      <c r="B987" s="10"/>
      <c r="C987" s="10"/>
      <c r="D987" s="10"/>
    </row>
    <row r="988" spans="1:4" ht="15.75" customHeight="1" x14ac:dyDescent="0.25">
      <c r="A988" s="10"/>
      <c r="B988" s="10"/>
      <c r="C988" s="10"/>
      <c r="D988" s="10"/>
    </row>
    <row r="989" spans="1:4" ht="15.75" customHeight="1" x14ac:dyDescent="0.25">
      <c r="A989" s="10"/>
      <c r="B989" s="10"/>
      <c r="C989" s="10"/>
      <c r="D989" s="10"/>
    </row>
    <row r="990" spans="1:4" ht="15.75" customHeight="1" x14ac:dyDescent="0.25">
      <c r="A990" s="10"/>
      <c r="B990" s="10"/>
      <c r="C990" s="10"/>
      <c r="D990" s="10"/>
    </row>
    <row r="991" spans="1:4" ht="15.75" customHeight="1" x14ac:dyDescent="0.25">
      <c r="A991" s="10"/>
      <c r="B991" s="10"/>
      <c r="C991" s="10"/>
      <c r="D991" s="10"/>
    </row>
    <row r="992" spans="1:4" ht="15.75" customHeight="1" x14ac:dyDescent="0.25">
      <c r="A992" s="10"/>
      <c r="B992" s="10"/>
      <c r="C992" s="10"/>
      <c r="D992" s="10"/>
    </row>
    <row r="993" spans="1:4" ht="15.75" customHeight="1" x14ac:dyDescent="0.25">
      <c r="A993" s="10"/>
      <c r="B993" s="10"/>
      <c r="C993" s="10"/>
      <c r="D993" s="10"/>
    </row>
    <row r="994" spans="1:4" ht="15.75" customHeight="1" x14ac:dyDescent="0.25">
      <c r="A994" s="10"/>
      <c r="B994" s="10"/>
      <c r="C994" s="10"/>
      <c r="D994" s="10"/>
    </row>
    <row r="995" spans="1:4" ht="15.75" customHeight="1" x14ac:dyDescent="0.25">
      <c r="A995" s="10"/>
      <c r="B995" s="10"/>
      <c r="C995" s="10"/>
      <c r="D995" s="10"/>
    </row>
    <row r="996" spans="1:4" ht="15.75" customHeight="1" x14ac:dyDescent="0.25">
      <c r="A996" s="10"/>
      <c r="B996" s="10"/>
      <c r="C996" s="10"/>
      <c r="D996" s="10"/>
    </row>
    <row r="997" spans="1:4" ht="15.75" customHeight="1" x14ac:dyDescent="0.25">
      <c r="A997" s="10"/>
      <c r="B997" s="10"/>
      <c r="C997" s="10"/>
      <c r="D997" s="10"/>
    </row>
    <row r="998" spans="1:4" ht="15.75" customHeight="1" x14ac:dyDescent="0.25">
      <c r="A998" s="10"/>
      <c r="B998" s="10"/>
      <c r="C998" s="10"/>
      <c r="D998" s="10"/>
    </row>
    <row r="999" spans="1:4" ht="15.75" customHeight="1" x14ac:dyDescent="0.25">
      <c r="A999" s="10"/>
      <c r="B999" s="10"/>
      <c r="C999" s="10"/>
      <c r="D999" s="10"/>
    </row>
    <row r="1000" spans="1:4" ht="15.75" customHeight="1" x14ac:dyDescent="0.25">
      <c r="A1000" s="10"/>
      <c r="B1000" s="10"/>
      <c r="C1000" s="10"/>
      <c r="D1000" s="10"/>
    </row>
  </sheetData>
  <conditionalFormatting sqref="B2:B46">
    <cfRule type="cellIs" dxfId="11" priority="1" operator="equal">
      <formula>"Ja"</formula>
    </cfRule>
    <cfRule type="cellIs" dxfId="10" priority="2" operator="equal">
      <formula>"Ja"</formula>
    </cfRule>
    <cfRule type="cellIs" dxfId="9" priority="3" operator="equal">
      <formula>"Nein"</formula>
    </cfRule>
  </conditionalFormatting>
  <conditionalFormatting sqref="C2:C46">
    <cfRule type="cellIs" dxfId="8" priority="4" operator="equal">
      <formula>"Ja"</formula>
    </cfRule>
    <cfRule type="cellIs" dxfId="7" priority="5" operator="equal">
      <formula>"Ja"</formula>
    </cfRule>
    <cfRule type="cellIs" dxfId="6" priority="6" operator="equal">
      <formula>"Nein"</formula>
    </cfRule>
  </conditionalFormatting>
  <conditionalFormatting sqref="D2">
    <cfRule type="cellIs" dxfId="5" priority="7" operator="equal">
      <formula>1</formula>
    </cfRule>
    <cfRule type="cellIs" dxfId="4" priority="8" operator="equal">
      <formula>0.8</formula>
    </cfRule>
    <cfRule type="cellIs" dxfId="3" priority="9" operator="equal">
      <formula>0.6</formula>
    </cfRule>
    <cfRule type="cellIs" dxfId="2" priority="10" operator="equal">
      <formula>0.4</formula>
    </cfRule>
    <cfRule type="cellIs" dxfId="1" priority="11" operator="equal">
      <formula>0.2</formula>
    </cfRule>
    <cfRule type="cellIs" dxfId="0" priority="12" operator="equal">
      <formula>0</formula>
    </cfRule>
  </conditionalFormatting>
  <dataValidations count="2">
    <dataValidation type="list" allowBlank="1" showErrorMessage="1" sqref="B2:C46" xr:uid="{00000000-0002-0000-0600-000000000000}">
      <formula1>"Ja,Nein"</formula1>
    </dataValidation>
    <dataValidation type="list" allowBlank="1" showErrorMessage="1" sqref="D2" xr:uid="{00000000-0002-0000-0600-000001000000}">
      <formula1>"100%,80%,60%,40%,20%,0%"</formula1>
    </dataValidation>
  </dataValidation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Stundenplan</vt:lpstr>
      <vt:lpstr>Wochenplan KW 40</vt:lpstr>
      <vt:lpstr>Wochenplan KW 41</vt:lpstr>
      <vt:lpstr>Best-Practices</vt:lpstr>
      <vt:lpstr>COMMITTMENT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Marlon van Helt</cp:lastModifiedBy>
  <dcterms:created xsi:type="dcterms:W3CDTF">2020-04-19T13:33:28Z</dcterms:created>
  <dcterms:modified xsi:type="dcterms:W3CDTF">2023-10-16T18:04:38Z</dcterms:modified>
</cp:coreProperties>
</file>