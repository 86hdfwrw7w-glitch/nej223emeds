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Kimani Huber\Downloads\"/>
    </mc:Choice>
  </mc:AlternateContent>
  <xr:revisionPtr revIDLastSave="0" documentId="8_{F9D30C14-DB64-4C61-9EF7-F42EE3423994}" xr6:coauthVersionLast="47" xr6:coauthVersionMax="47" xr10:uidLastSave="{00000000-0000-0000-0000-000000000000}"/>
  <bookViews>
    <workbookView xWindow="-98" yWindow="-98" windowWidth="21795" windowHeight="13875" tabRatio="677"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C4" i="7" l="1"/>
  <c r="DV4" i="7"/>
  <c r="DO4" i="7"/>
  <c r="DH4" i="7"/>
  <c r="C11" i="10"/>
  <c r="C7" i="10"/>
  <c r="K71" i="7" a="1"/>
  <c r="K71" i="7" s="1"/>
  <c r="K72" i="7" a="1"/>
  <c r="K72" i="7" s="1"/>
  <c r="J71" i="7" a="1"/>
  <c r="J71" i="7" s="1"/>
  <c r="J72" i="7" a="1"/>
  <c r="J72" i="7" s="1"/>
  <c r="I68" i="7"/>
  <c r="I69" i="7"/>
  <c r="I70" i="7"/>
  <c r="K68" i="7" a="1"/>
  <c r="K68" i="7" s="1"/>
  <c r="K69" i="7" a="1"/>
  <c r="K69" i="7" s="1"/>
  <c r="K70" i="7" a="1"/>
  <c r="K70" i="7" s="1"/>
  <c r="J68" i="7" a="1"/>
  <c r="J68" i="7" s="1"/>
  <c r="J69" i="7" a="1"/>
  <c r="J69" i="7" s="1"/>
  <c r="J70" i="7" a="1"/>
  <c r="J70" i="7" s="1"/>
  <c r="K36" i="7" a="1"/>
  <c r="K36" i="7" s="1"/>
  <c r="K37" i="7" a="1"/>
  <c r="K37" i="7" s="1"/>
  <c r="K38" i="7" a="1"/>
  <c r="K38" i="7" s="1"/>
  <c r="K39" i="7" a="1"/>
  <c r="K39" i="7" s="1"/>
  <c r="K40" i="7" a="1"/>
  <c r="K40" i="7" s="1"/>
  <c r="K41" i="7" a="1"/>
  <c r="K41" i="7" s="1"/>
  <c r="K42" i="7" a="1"/>
  <c r="K42" i="7" s="1"/>
  <c r="J36" i="7" a="1"/>
  <c r="J36" i="7" s="1"/>
  <c r="J37" i="7" a="1"/>
  <c r="J37" i="7" s="1"/>
  <c r="J38" i="7" a="1"/>
  <c r="J38" i="7" s="1"/>
  <c r="J39" i="7" a="1"/>
  <c r="J39" i="7" s="1"/>
  <c r="J40" i="7" a="1"/>
  <c r="J40" i="7" s="1"/>
  <c r="J41" i="7" a="1"/>
  <c r="J41" i="7" s="1"/>
  <c r="J42" i="7" a="1"/>
  <c r="J42" i="7" s="1"/>
  <c r="K11" i="7" a="1"/>
  <c r="K11" i="7" s="1"/>
  <c r="J11" i="7" a="1"/>
  <c r="J11" i="7" s="1"/>
  <c r="K6" i="7" a="1"/>
  <c r="K6" i="7" s="1"/>
  <c r="K7" i="7" a="1"/>
  <c r="K7" i="7" s="1"/>
  <c r="K8" i="7" a="1"/>
  <c r="K8" i="7" s="1"/>
  <c r="K9" i="7" a="1"/>
  <c r="K9" i="7" s="1"/>
  <c r="K10" i="7" a="1"/>
  <c r="K10" i="7" s="1"/>
  <c r="K12" i="7" a="1"/>
  <c r="K12" i="7" s="1"/>
  <c r="J6" i="7" a="1"/>
  <c r="J6" i="7" s="1"/>
  <c r="J7" i="7" a="1"/>
  <c r="J7" i="7" s="1"/>
  <c r="J8" i="7" a="1"/>
  <c r="J8" i="7" s="1"/>
  <c r="J9" i="7" a="1"/>
  <c r="J9" i="7" s="1"/>
  <c r="J10" i="7" a="1"/>
  <c r="J10" i="7" s="1"/>
  <c r="J12" i="7" a="1"/>
  <c r="J12" i="7" s="1"/>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AP58" i="7"/>
  <c r="AI58" i="7"/>
  <c r="AB58" i="7"/>
  <c r="U58" i="7"/>
  <c r="N58" i="7"/>
  <c r="G58" i="7"/>
  <c r="I58" i="7" l="1"/>
  <c r="J58" i="7"/>
  <c r="K58" i="7"/>
  <c r="I5" i="7"/>
  <c r="J5" i="7" a="1"/>
  <c r="J5" i="7" s="1"/>
  <c r="K5" i="7" a="1"/>
  <c r="K5" i="7" s="1"/>
  <c r="I6" i="7"/>
  <c r="I7" i="7"/>
  <c r="I8" i="7"/>
  <c r="I10" i="7"/>
  <c r="I12" i="7"/>
  <c r="AW4" i="7"/>
  <c r="DA4" i="7"/>
  <c r="AB4" i="7"/>
  <c r="AI4" i="7"/>
  <c r="BD4" i="7"/>
  <c r="CF4" i="7"/>
  <c r="CM4" i="7"/>
  <c r="U4" i="7"/>
  <c r="AP4" i="7"/>
  <c r="BK4" i="7"/>
  <c r="BR4" i="7"/>
  <c r="BY4" i="7"/>
  <c r="CT4" i="7"/>
  <c r="K17" i="7" a="1"/>
  <c r="K17" i="7" s="1"/>
  <c r="J17" i="7" a="1"/>
  <c r="J17" i="7" s="1"/>
  <c r="I17" i="7"/>
  <c r="K16" i="7" a="1"/>
  <c r="K16" i="7" s="1"/>
  <c r="J16" i="7" a="1"/>
  <c r="J16" i="7" s="1"/>
  <c r="I1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AP45" i="7"/>
  <c r="AI45" i="7"/>
  <c r="AB45" i="7"/>
  <c r="U45" i="7"/>
  <c r="N45" i="7"/>
  <c r="G45" i="7"/>
  <c r="K43" i="7" a="1"/>
  <c r="K43" i="7" s="1"/>
  <c r="J43" i="7" a="1"/>
  <c r="J43" i="7" s="1"/>
  <c r="I43" i="7"/>
  <c r="I38" i="7"/>
  <c r="I37" i="7"/>
  <c r="K35" i="7" a="1"/>
  <c r="K35" i="7" s="1"/>
  <c r="J35" i="7" a="1"/>
  <c r="J35" i="7" s="1"/>
  <c r="I35" i="7"/>
  <c r="K34" i="7" a="1"/>
  <c r="K34" i="7" s="1"/>
  <c r="J34" i="7" a="1"/>
  <c r="J34" i="7" s="1"/>
  <c r="I34" i="7"/>
  <c r="AP33" i="7"/>
  <c r="AI33" i="7"/>
  <c r="AB33" i="7"/>
  <c r="U33" i="7"/>
  <c r="N33" i="7"/>
  <c r="G33" i="7"/>
  <c r="C12" i="10"/>
  <c r="K15" i="7" a="1"/>
  <c r="K15" i="7" s="1"/>
  <c r="J15" i="7" a="1"/>
  <c r="J15"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4" i="7" a="1"/>
  <c r="K24" i="7" s="1"/>
  <c r="J24" i="7" a="1"/>
  <c r="J24" i="7" s="1"/>
  <c r="K23" i="7" a="1"/>
  <c r="K23" i="7" s="1"/>
  <c r="J23" i="7" a="1"/>
  <c r="J23" i="7" s="1"/>
  <c r="K22" i="7" a="1"/>
  <c r="K22" i="7" s="1"/>
  <c r="J22" i="7" a="1"/>
  <c r="J22" i="7" s="1"/>
  <c r="K21" i="7" a="1"/>
  <c r="K21" i="7" s="1"/>
  <c r="J21" i="7" a="1"/>
  <c r="J21" i="7" s="1"/>
  <c r="K20" i="7" a="1"/>
  <c r="K20" i="7" s="1"/>
  <c r="J20" i="7" a="1"/>
  <c r="J20" i="7" s="1"/>
  <c r="AP14" i="7"/>
  <c r="AI14" i="7"/>
  <c r="AB14" i="7"/>
  <c r="U14" i="7"/>
  <c r="AP19" i="7"/>
  <c r="AI19" i="7"/>
  <c r="AB19" i="7"/>
  <c r="U19" i="7"/>
  <c r="I31" i="7"/>
  <c r="I30" i="7"/>
  <c r="I29" i="7"/>
  <c r="I28" i="7"/>
  <c r="I27" i="7"/>
  <c r="I26" i="7"/>
  <c r="I24" i="7"/>
  <c r="I23" i="7"/>
  <c r="I22" i="7"/>
  <c r="I21" i="7"/>
  <c r="I20" i="7"/>
  <c r="I15" i="7"/>
  <c r="N19" i="7"/>
  <c r="G19" i="7"/>
  <c r="G14" i="7"/>
  <c r="I45" i="7" l="1"/>
  <c r="I33" i="7"/>
  <c r="J45" i="7"/>
  <c r="K45" i="7"/>
  <c r="K33" i="7"/>
  <c r="J33" i="7"/>
  <c r="I19" i="7"/>
  <c r="J19" i="7"/>
  <c r="K19" i="7"/>
  <c r="I14" i="7"/>
  <c r="J14" i="7"/>
  <c r="K14" i="7"/>
  <c r="I4" i="7" l="1"/>
  <c r="G4" i="7" l="1"/>
  <c r="K4" i="7"/>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<sst xmlns="http://schemas.openxmlformats.org/spreadsheetml/2006/main" count="404" uniqueCount="168">
  <si>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</si>
  <si>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</si>
  <si>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</si>
  <si>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</si>
  <si>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</si>
  <si>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</si>
  <si>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</si>
  <si>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</si>
  <si>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</si>
  <si>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</si>
  <si>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</si>
  <si>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</si>
  <si>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</si>
  <si>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</si>
  <si>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</si>
  <si>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</si>
  <si>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</si>
  <si>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</si>
  <si>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</si>
  <si>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</si>
  <si>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</si>
  <si>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</si>
  <si>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</si>
  <si>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</si>
  <si>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</si>
  <si>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</si>
  <si>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</si>
  <si>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</si>
  <si>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</si>
  <si>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</si>
  <si>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</si>
  <si>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</si>
  <si>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</si>
  <si>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</si>
  <si>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</si>
  <si>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</si>
  <si>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</si>
  <si>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</si>
  <si>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</si>
  <si>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</si>
  <si>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</si>
  <si>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</si>
  <si>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</si>
  <si>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</si>
  <si>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</si>
  <si>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</si>
  <si>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</si>
  <si>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</si>
  <si>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</si>
  <si>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</si>
  <si>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</si>
  <si>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</si>
  <si>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</si>
  <si>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</si>
  <si>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</si>
  <si>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</si>
  <si>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</si>
  <si>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</si>
  <si>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</si>
  <si>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</si>
  <si>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</si>
  <si>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</si>
  <si>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</si>
  <si>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</si>
  <si>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</si>
  <si>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</si>
  <si>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</si>
  <si>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</si>
  <si>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</si>
  <si>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</si>
  <si>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</si>
  <si>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</si>
  <si>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</si>
  <si>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</si>
  <si>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</si>
  <si>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</si>
  <si>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</si>
  <si>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</si>
  <si>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</si>
  <si>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</si>
  <si>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</si>
  <si>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</si>
  <si>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</si>
  <si>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</si>
  <si>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</si>
  <si>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</si>
  <si>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</si>
  <si>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Jahresabschluss</t>
  </si>
  <si>
    <t>Einführung in den HGB Einzelabschluss(1/2)</t>
  </si>
  <si>
    <t>Einführung in den HGB Einzelabschluss(2/2)</t>
  </si>
  <si>
    <t>3) Einführung in die Bilanzierung von Vermögengegenständen und Schulden</t>
  </si>
  <si>
    <t>Bilanzierung Aktiva- Anlagevermögen(abnutzbar/nicht abnutzbar)</t>
  </si>
  <si>
    <t>Bilanzierung Aktiva-Umlaufvermögen</t>
  </si>
  <si>
    <t>Bilanzierung Passiva- Eigenkapital</t>
  </si>
  <si>
    <t>Bilanzierung Passiva-Fremdkapital</t>
  </si>
  <si>
    <t>Bilanzierung Passiva- Sonstiges</t>
  </si>
  <si>
    <t>Sonderfall: Leasing-Operative Leasing vs finance Leasing</t>
  </si>
  <si>
    <t>Anhang, Lagebericht,Ausblick..etc</t>
  </si>
  <si>
    <t>Einführung in die Bilanzanalyse</t>
  </si>
  <si>
    <t>Statistik</t>
  </si>
  <si>
    <t>Personalmanagement</t>
  </si>
  <si>
    <t>Spanisch</t>
  </si>
  <si>
    <t>Informational Systems</t>
  </si>
  <si>
    <t>Wirtschaftsrecht</t>
  </si>
  <si>
    <t xml:space="preserve">1)univariate, nominal data </t>
  </si>
  <si>
    <t xml:space="preserve"> 3)univariate, interval data</t>
  </si>
  <si>
    <t>2)univariate, ordinal data ( 2 subclasses)</t>
  </si>
  <si>
    <t>4)trivariate, ratio data</t>
  </si>
  <si>
    <t>5a) bivariate, categorical (mixed ordinal/nominal) data</t>
  </si>
  <si>
    <t xml:space="preserve">5b)bivariate, categorical (ordinal) data </t>
  </si>
  <si>
    <t>ZS)Varianzanalyse mit Levene-Test</t>
  </si>
  <si>
    <t>6)bivariate, interval data</t>
  </si>
  <si>
    <t>1) Einführung in Begriffe und 
Grundlagen</t>
  </si>
  <si>
    <t>2) Datenorganisation / Datenmodellierung</t>
  </si>
  <si>
    <t>3) Relationales Datenbankschema &amp; Tabellen</t>
  </si>
  <si>
    <t>4)SQL – Wiederholung mit Beispielen</t>
  </si>
  <si>
    <t>5) IT gestützte Geschäftsprozesse</t>
  </si>
  <si>
    <t>6a) BPM und BPMN 2.0 – Teil 1</t>
  </si>
  <si>
    <t>6b) BPMN 2.0 – Teil 2: Ereignisse</t>
  </si>
  <si>
    <t>7)Datenaustausch</t>
  </si>
  <si>
    <t>8) XML Abfragen</t>
  </si>
  <si>
    <t>10)  Methoden der Softwareentwicklung</t>
  </si>
  <si>
    <t>3) Strategisches Marketing</t>
  </si>
  <si>
    <t>1) Por la ciudad</t>
  </si>
  <si>
    <t>2)Por la ciudad, ejercicios</t>
  </si>
  <si>
    <t>4) Viajes</t>
  </si>
  <si>
    <t>5) Viajes, ejercicios</t>
  </si>
  <si>
    <t>6) Entorno laboral</t>
  </si>
  <si>
    <t>7) Entorno laboral, ejercicios</t>
  </si>
  <si>
    <t>8)los verbos reflexivo</t>
  </si>
  <si>
    <t>9) estar +gerundio, ir a +infinitivo</t>
  </si>
  <si>
    <t>10)los comparativos</t>
  </si>
  <si>
    <t>11)el perfecto compuesto</t>
  </si>
  <si>
    <t>12)gerundio</t>
  </si>
  <si>
    <t>13)ir+a</t>
  </si>
  <si>
    <t>14)perfecto</t>
  </si>
  <si>
    <t>1) Handelsrecht</t>
  </si>
  <si>
    <t>2) Rechte der Unternehmensformen</t>
  </si>
  <si>
    <t>3) Insolvenzrecht</t>
  </si>
  <si>
    <t>1) Grundlagen</t>
  </si>
  <si>
    <t>2) Organisation</t>
  </si>
  <si>
    <t>3)Personalplanung</t>
  </si>
  <si>
    <t>4)Job Design &amp; Flexi</t>
  </si>
  <si>
    <t>5)Anforderungsanalyse</t>
  </si>
  <si>
    <t>10)/</t>
  </si>
  <si>
    <t>9) /</t>
  </si>
  <si>
    <t>8)/</t>
  </si>
  <si>
    <t>7) /</t>
  </si>
  <si>
    <t>6) /</t>
  </si>
  <si>
    <t>KW 41</t>
  </si>
  <si>
    <t>KW 42</t>
  </si>
  <si>
    <t>KW 43</t>
  </si>
  <si>
    <t>KW 44</t>
  </si>
  <si>
    <t>KW 45</t>
  </si>
  <si>
    <t>KW 46</t>
  </si>
  <si>
    <t>KW 47</t>
  </si>
  <si>
    <t>KW 48</t>
  </si>
  <si>
    <t>KW 50</t>
  </si>
  <si>
    <t>KW 51</t>
  </si>
  <si>
    <t>KW 52</t>
  </si>
  <si>
    <t>KW 53</t>
  </si>
  <si>
    <t>KW  1(2026)</t>
  </si>
  <si>
    <t>KW 2(2026)</t>
  </si>
  <si>
    <t>KW 3(2026)</t>
  </si>
  <si>
    <t>KW 4(2026)</t>
  </si>
  <si>
    <t>KW 5(2026)</t>
  </si>
  <si>
    <t>Klausuren!!!</t>
  </si>
  <si>
    <t>Bilanzierung Aktiva-Sonstiges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</si>
</sst>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212121"/>
      <name val="Arial"/>
      <family val="2"/>
    </font>
    <font>
      <sz val="12"/>
      <color rgb="FF212121"/>
      <name val="Calibri"/>
      <family val="2"/>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applyAlignment="1">
      <alignment horizontal="left" vertical="center" wrapText="1"/>
    </xf>
    <xf numFmtId="0" fontId="6" fillId="0" borderId="0" xfId="0" applyFont="1" applyAlignment="1">
      <alignment horizontal="left" vertical="center" wrapText="1"/>
    </xf>
    <xf numFmtId="0" fontId="1" fillId="2" borderId="0" xfId="0" applyFont="1" applyFill="1" applyAlignment="1">
      <alignment horizontal="center"/>
    </xf>
  </cellXfs>
  <cellStyles count="1">
    <cellStyle name="Standard" xfId="0" builtinId="0"/>
  </cellStyles>
  <dxfs count="123">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22">
  <autoFilter ref="A1:K46" xr:uid="{6E266E34-2786-2747-BCE7-51B74867A564}"/>
  <tableColumns count="11">
    <tableColumn id="1" xr3:uid="{95FD92F7-3DC8-704D-A103-A7EDDAB255AB}" name="Datum" dataDxfId="121"/>
    <tableColumn id="2" xr3:uid="{F464D510-8166-E740-A343-FB84BDEF877F}" name="Lerneinheiten durchgezogen" dataDxfId="120"/>
    <tableColumn id="3" xr3:uid="{75F52B08-1A00-0848-BBE6-1EDF7B31B1AD}" name="Tagesplan erstellt" dataDxfId="119"/>
    <tableColumn id="4" xr3:uid="{E6B18D89-E799-AD48-9DAA-37AEE1D29011}" name="Konzentrationslevel" dataDxfId="11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RowHeight="15.75"/>
  <cols>
    <col min="1" max="1" width="11.8125" customWidth="1"/>
    <col min="2" max="2" width="62.6875" customWidth="1"/>
  </cols>
  <sheetData>
    <row r="2" spans="1:4">
      <c r="C2" s="18" t="s">
        <v>71</v>
      </c>
    </row>
    <row r="3" spans="1:4">
      <c r="C3" s="17" t="s">
        <v>56</v>
      </c>
    </row>
    <row r="4" spans="1:4">
      <c r="C4" s="16" t="s">
        <v>70</v>
      </c>
    </row>
    <row r="5" spans="1:4">
      <c r="A5" s="2" t="s">
        <v>53</v>
      </c>
      <c r="B5" s="2" t="s">
        <v>54</v>
      </c>
      <c r="C5" s="2" t="s">
        <v>55</v>
      </c>
      <c r="D5" s="2" t="s">
        <v>57</v>
      </c>
    </row>
    <row r="6" spans="1:4">
      <c r="A6" t="s">
        <v>49</v>
      </c>
      <c r="B6" s="18" t="s">
        <v>52</v>
      </c>
      <c r="D6" t="s">
        <v>86</v>
      </c>
    </row>
    <row r="7" spans="1:4">
      <c r="A7" t="s">
        <v>60</v>
      </c>
      <c r="B7" t="s">
        <v>61</v>
      </c>
      <c r="C7" s="16">
        <f>6+3+12+10+10+14</f>
        <v>55</v>
      </c>
    </row>
    <row r="8" spans="1:4">
      <c r="A8" t="s">
        <v>51</v>
      </c>
      <c r="B8" s="18" t="s">
        <v>50</v>
      </c>
      <c r="D8" t="s">
        <v>74</v>
      </c>
    </row>
    <row r="9" spans="1:4">
      <c r="A9" t="s">
        <v>59</v>
      </c>
      <c r="B9" s="18" t="s">
        <v>72</v>
      </c>
      <c r="D9" t="s">
        <v>75</v>
      </c>
    </row>
    <row r="10" spans="1:4">
      <c r="A10" t="s">
        <v>63</v>
      </c>
      <c r="B10" t="s">
        <v>62</v>
      </c>
      <c r="C10" s="16">
        <v>12.5</v>
      </c>
      <c r="D10" t="s">
        <v>58</v>
      </c>
    </row>
    <row r="11" spans="1:4">
      <c r="A11" t="s">
        <v>64</v>
      </c>
      <c r="B11" t="s">
        <v>66</v>
      </c>
      <c r="C11" s="16">
        <f>55*3</f>
        <v>165</v>
      </c>
      <c r="D11" t="s">
        <v>65</v>
      </c>
    </row>
    <row r="12" spans="1:4">
      <c r="A12" t="s">
        <v>68</v>
      </c>
      <c r="B12" t="s">
        <v>67</v>
      </c>
      <c r="C12" s="17">
        <f>C11/C10</f>
        <v>13.2</v>
      </c>
    </row>
    <row r="13" spans="1:4">
      <c r="A13" t="s">
        <v>73</v>
      </c>
      <c r="B13" t="s">
        <v>69</v>
      </c>
      <c r="D13" t="s">
        <v>76</v>
      </c>
    </row>
    <row r="14" spans="1:4">
      <c r="A14" t="s">
        <v>77</v>
      </c>
      <c r="B14" t="s">
        <v>78</v>
      </c>
      <c r="D14" t="s">
        <v>79</v>
      </c>
    </row>
    <row r="15" spans="1:4">
      <c r="A15" t="s">
        <v>80</v>
      </c>
      <c r="B15" s="18" t="s">
        <v>81</v>
      </c>
    </row>
    <row r="16" spans="1:4">
      <c r="A16" t="s">
        <v>84</v>
      </c>
      <c r="B16" s="18"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H74"/>
  <sheetViews>
    <sheetView showGridLines="0" tabSelected="1" zoomScale="52" zoomScaleNormal="83" workbookViewId="0">
      <pane xSplit="12" topLeftCell="N1" activePane="topRight" state="frozen"/>
      <selection pane="topRight" activeCell="O45" sqref="O45"/>
    </sheetView>
  </sheetViews>
  <sheetFormatPr baseColWidth="10" defaultColWidth="8.8125" defaultRowHeight="15.75" outlineLevelRow="1"/>
  <cols>
    <col min="3" max="3" width="9.5" bestFit="1" customWidth="1"/>
    <col min="4" max="4" width="13" bestFit="1" customWidth="1"/>
    <col min="5" max="5" width="4.8125" bestFit="1" customWidth="1"/>
    <col min="6" max="6" width="41.1875" bestFit="1" customWidth="1"/>
    <col min="7" max="7" width="15.5" bestFit="1" customWidth="1"/>
    <col min="8" max="8" width="2.5" customWidth="1"/>
    <col min="10" max="10" width="12.5" bestFit="1" customWidth="1"/>
    <col min="11" max="11" width="14.8125" bestFit="1" customWidth="1"/>
    <col min="12" max="12" width="12.6875" bestFit="1" customWidth="1"/>
    <col min="13" max="13" width="2.5" customWidth="1"/>
    <col min="15" max="15" width="12.5" bestFit="1" customWidth="1"/>
    <col min="16" max="16" width="6.3125" customWidth="1"/>
    <col min="17" max="17" width="14.8125" bestFit="1" customWidth="1"/>
    <col min="18" max="18" width="6" customWidth="1"/>
    <col min="19" max="19" width="12.6875" bestFit="1" customWidth="1"/>
    <col min="20" max="20" width="2.5" customWidth="1"/>
    <col min="22" max="22" width="12.5" bestFit="1" customWidth="1"/>
    <col min="23" max="23" width="6.3125" customWidth="1"/>
    <col min="24" max="24" width="14.8125" bestFit="1" customWidth="1"/>
    <col min="25" max="25" width="6" customWidth="1"/>
    <col min="26" max="26" width="12.6875" bestFit="1" customWidth="1"/>
    <col min="27" max="27" width="2.5" customWidth="1"/>
    <col min="29" max="29" width="12.5" bestFit="1" customWidth="1"/>
    <col min="30" max="30" width="6.3125" customWidth="1"/>
    <col min="31" max="31" width="14.8125" bestFit="1" customWidth="1"/>
    <col min="32" max="32" width="6" customWidth="1"/>
    <col min="33" max="33" width="12.6875" bestFit="1" customWidth="1"/>
    <col min="34" max="34" width="2.5" customWidth="1"/>
    <col min="36" max="36" width="12.5" bestFit="1" customWidth="1"/>
    <col min="37" max="37" width="6.3125" customWidth="1"/>
    <col min="38" max="38" width="14.8125" bestFit="1" customWidth="1"/>
    <col min="39" max="39" width="6" customWidth="1"/>
    <col min="40" max="40" width="12.6875" bestFit="1" customWidth="1"/>
    <col min="41" max="41" width="2.5" customWidth="1"/>
    <col min="43" max="43" width="12.5" bestFit="1" customWidth="1"/>
    <col min="44" max="44" width="6.3125" customWidth="1"/>
    <col min="45" max="45" width="14.8125" bestFit="1" customWidth="1"/>
    <col min="46" max="46" width="6" customWidth="1"/>
    <col min="47" max="47" width="12.6875" bestFit="1" customWidth="1"/>
    <col min="48" max="48" width="2.5" customWidth="1"/>
    <col min="50" max="50" width="12.5" bestFit="1" customWidth="1"/>
    <col min="51" max="51" width="6.3125" customWidth="1"/>
    <col min="52" max="52" width="14.8125" bestFit="1" customWidth="1"/>
    <col min="53" max="53" width="6" customWidth="1"/>
    <col min="54" max="54" width="12.6875" bestFit="1" customWidth="1"/>
    <col min="55" max="55" width="2.5" customWidth="1"/>
    <col min="57" max="57" width="12.5" bestFit="1" customWidth="1"/>
    <col min="58" max="58" width="6.3125" customWidth="1"/>
    <col min="59" max="59" width="14.8125" bestFit="1" customWidth="1"/>
    <col min="60" max="60" width="6" customWidth="1"/>
    <col min="61" max="61" width="12.6875" bestFit="1" customWidth="1"/>
    <col min="62" max="62" width="2.5" customWidth="1"/>
    <col min="64" max="64" width="12.5" bestFit="1" customWidth="1"/>
    <col min="65" max="65" width="6.3125" customWidth="1"/>
    <col min="66" max="66" width="14.8125" bestFit="1" customWidth="1"/>
    <col min="67" max="67" width="6" customWidth="1"/>
    <col min="68" max="68" width="12.6875" bestFit="1" customWidth="1"/>
    <col min="69" max="69" width="2.5" customWidth="1"/>
    <col min="71" max="71" width="12.5" bestFit="1" customWidth="1"/>
    <col min="72" max="72" width="6.3125" customWidth="1"/>
    <col min="73" max="73" width="14.8125" bestFit="1" customWidth="1"/>
    <col min="74" max="74" width="6" customWidth="1"/>
    <col min="75" max="75" width="12.6875" bestFit="1" customWidth="1"/>
    <col min="76" max="76" width="2.5" customWidth="1"/>
    <col min="78" max="78" width="12.5" bestFit="1" customWidth="1"/>
    <col min="79" max="79" width="6.3125" customWidth="1"/>
    <col min="80" max="80" width="14.8125" bestFit="1" customWidth="1"/>
    <col min="81" max="81" width="6" customWidth="1"/>
    <col min="82" max="82" width="12.6875" bestFit="1" customWidth="1"/>
    <col min="83" max="83" width="2.5" customWidth="1"/>
    <col min="85" max="85" width="12.5" bestFit="1" customWidth="1"/>
    <col min="86" max="86" width="6.3125" customWidth="1"/>
    <col min="87" max="87" width="14.8125" bestFit="1" customWidth="1"/>
    <col min="88" max="88" width="6" customWidth="1"/>
    <col min="89" max="89" width="12.6875" bestFit="1" customWidth="1"/>
    <col min="90" max="90" width="2.5" customWidth="1"/>
    <col min="92" max="92" width="12.5" bestFit="1" customWidth="1"/>
    <col min="93" max="93" width="6.3125" customWidth="1"/>
    <col min="94" max="94" width="14.8125" bestFit="1" customWidth="1"/>
    <col min="95" max="95" width="6" customWidth="1"/>
    <col min="96" max="96" width="12.6875" bestFit="1" customWidth="1"/>
    <col min="97" max="97" width="2.5" customWidth="1"/>
    <col min="99" max="99" width="12.5" bestFit="1" customWidth="1"/>
    <col min="100" max="100" width="6.3125" customWidth="1"/>
    <col min="101" max="101" width="14.8125" bestFit="1" customWidth="1"/>
    <col min="102" max="102" width="6" customWidth="1"/>
    <col min="103" max="103" width="12.6875" bestFit="1" customWidth="1"/>
    <col min="104" max="104" width="2.5" customWidth="1"/>
    <col min="106" max="106" width="12.5" bestFit="1" customWidth="1"/>
    <col min="107" max="107" width="6.3125" customWidth="1"/>
    <col min="108" max="108" width="14.8125" bestFit="1" customWidth="1"/>
    <col min="109" max="109" width="6" customWidth="1"/>
    <col min="110" max="110" width="12.6875" bestFit="1" customWidth="1"/>
    <col min="111" max="111" width="2.5" customWidth="1"/>
    <col min="113" max="113" width="12.5" bestFit="1" customWidth="1"/>
    <col min="114" max="114" width="6.3125" customWidth="1"/>
    <col min="115" max="115" width="14.8125" bestFit="1" customWidth="1"/>
    <col min="116" max="116" width="6" customWidth="1"/>
    <col min="117" max="117" width="12.6875" bestFit="1" customWidth="1"/>
    <col min="118" max="118" width="2.5" customWidth="1"/>
    <col min="120" max="120" width="12.5" bestFit="1" customWidth="1"/>
    <col min="121" max="121" width="6.3125" customWidth="1"/>
    <col min="122" max="122" width="14.8125" bestFit="1" customWidth="1"/>
    <col min="123" max="123" width="6" customWidth="1"/>
    <col min="124" max="124" width="12.6875" bestFit="1" customWidth="1"/>
    <col min="125" max="125" width="2.5" customWidth="1"/>
    <col min="127" max="127" width="12.5" bestFit="1" customWidth="1"/>
    <col min="128" max="128" width="6.3125" customWidth="1"/>
    <col min="129" max="129" width="14.8125" bestFit="1" customWidth="1"/>
    <col min="130" max="130" width="6" customWidth="1"/>
    <col min="131" max="131" width="12.6875" bestFit="1" customWidth="1"/>
    <col min="132" max="132" width="2.5" customWidth="1"/>
    <col min="134" max="134" width="12.5" bestFit="1" customWidth="1"/>
    <col min="135" max="135" width="6.3125" customWidth="1"/>
    <col min="136" max="136" width="14.8125" bestFit="1" customWidth="1"/>
    <col min="137" max="137" width="6" customWidth="1"/>
    <col min="138" max="138" width="12.6875" bestFit="1" customWidth="1"/>
  </cols>
  <sheetData>
    <row r="1" spans="2:138" ht="33.4">
      <c r="B1" s="4" t="s">
        <v>0</v>
      </c>
      <c r="D1" s="4"/>
      <c r="G1" s="13" t="s">
        <v>33</v>
      </c>
      <c r="I1" s="13" t="s">
        <v>33</v>
      </c>
      <c r="J1" s="13" t="s">
        <v>33</v>
      </c>
      <c r="K1" s="13" t="s">
        <v>33</v>
      </c>
    </row>
    <row r="2" spans="2:138">
      <c r="I2" s="22" t="s">
        <v>27</v>
      </c>
      <c r="J2" s="22"/>
      <c r="K2" s="22"/>
      <c r="L2" s="22"/>
      <c r="N2" s="22" t="s">
        <v>149</v>
      </c>
      <c r="O2" s="22"/>
      <c r="P2" s="22"/>
      <c r="Q2" s="22"/>
      <c r="R2" s="22"/>
      <c r="S2" s="22"/>
      <c r="U2" s="22" t="s">
        <v>150</v>
      </c>
      <c r="V2" s="22"/>
      <c r="W2" s="22"/>
      <c r="X2" s="22"/>
      <c r="Y2" s="22"/>
      <c r="Z2" s="22"/>
      <c r="AB2" s="22" t="s">
        <v>151</v>
      </c>
      <c r="AC2" s="22"/>
      <c r="AD2" s="22"/>
      <c r="AE2" s="22"/>
      <c r="AF2" s="22"/>
      <c r="AG2" s="22"/>
      <c r="AI2" s="22" t="s">
        <v>152</v>
      </c>
      <c r="AJ2" s="22"/>
      <c r="AK2" s="22"/>
      <c r="AL2" s="22"/>
      <c r="AM2" s="22"/>
      <c r="AN2" s="22"/>
      <c r="AP2" s="22" t="s">
        <v>153</v>
      </c>
      <c r="AQ2" s="22"/>
      <c r="AR2" s="22"/>
      <c r="AS2" s="22"/>
      <c r="AT2" s="22"/>
      <c r="AU2" s="22"/>
      <c r="AW2" s="22" t="s">
        <v>154</v>
      </c>
      <c r="AX2" s="22"/>
      <c r="AY2" s="22"/>
      <c r="AZ2" s="22"/>
      <c r="BA2" s="22"/>
      <c r="BB2" s="22"/>
      <c r="BD2" s="22" t="s">
        <v>155</v>
      </c>
      <c r="BE2" s="22"/>
      <c r="BF2" s="22"/>
      <c r="BG2" s="22"/>
      <c r="BH2" s="22"/>
      <c r="BI2" s="22"/>
      <c r="BK2" s="22" t="s">
        <v>156</v>
      </c>
      <c r="BL2" s="22"/>
      <c r="BM2" s="22"/>
      <c r="BN2" s="22"/>
      <c r="BO2" s="22"/>
      <c r="BP2" s="22"/>
      <c r="BR2" s="22" t="s">
        <v>157</v>
      </c>
      <c r="BS2" s="22"/>
      <c r="BT2" s="22"/>
      <c r="BU2" s="22"/>
      <c r="BV2" s="22"/>
      <c r="BW2" s="22"/>
      <c r="BY2" s="22" t="s">
        <v>158</v>
      </c>
      <c r="BZ2" s="22"/>
      <c r="CA2" s="22"/>
      <c r="CB2" s="22"/>
      <c r="CC2" s="22"/>
      <c r="CD2" s="22"/>
      <c r="CF2" s="22" t="s">
        <v>159</v>
      </c>
      <c r="CG2" s="22"/>
      <c r="CH2" s="22"/>
      <c r="CI2" s="22"/>
      <c r="CJ2" s="22"/>
      <c r="CK2" s="22"/>
      <c r="CM2" s="22" t="s">
        <v>160</v>
      </c>
      <c r="CN2" s="22"/>
      <c r="CO2" s="22"/>
      <c r="CP2" s="22"/>
      <c r="CQ2" s="22"/>
      <c r="CR2" s="22"/>
      <c r="CT2" s="22" t="s">
        <v>161</v>
      </c>
      <c r="CU2" s="22"/>
      <c r="CV2" s="22"/>
      <c r="CW2" s="22"/>
      <c r="CX2" s="22"/>
      <c r="CY2" s="22"/>
      <c r="DA2" s="22" t="s">
        <v>162</v>
      </c>
      <c r="DB2" s="22"/>
      <c r="DC2" s="22"/>
      <c r="DD2" s="22"/>
      <c r="DE2" s="22"/>
      <c r="DF2" s="22"/>
      <c r="DH2" s="22" t="s">
        <v>163</v>
      </c>
      <c r="DI2" s="22"/>
      <c r="DJ2" s="22"/>
      <c r="DK2" s="22"/>
      <c r="DL2" s="22"/>
      <c r="DM2" s="22"/>
      <c r="DO2" s="22" t="s">
        <v>164</v>
      </c>
      <c r="DP2" s="22"/>
      <c r="DQ2" s="22"/>
      <c r="DR2" s="22"/>
      <c r="DS2" s="22"/>
      <c r="DT2" s="22"/>
      <c r="DV2" s="22" t="s">
        <v>165</v>
      </c>
      <c r="DW2" s="22"/>
      <c r="DX2" s="22"/>
      <c r="DY2" s="22"/>
      <c r="DZ2" s="22"/>
      <c r="EA2" s="22"/>
      <c r="EC2" s="22" t="s">
        <v>166</v>
      </c>
      <c r="ED2" s="22"/>
      <c r="EE2" s="22"/>
      <c r="EF2" s="22"/>
      <c r="EG2" s="22"/>
      <c r="EH2" s="22"/>
    </row>
    <row r="3" spans="2:138">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row>
    <row r="4" spans="2:138">
      <c r="B4" t="s">
        <v>27</v>
      </c>
      <c r="C4" t="s">
        <v>99</v>
      </c>
      <c r="D4" s="19">
        <v>46055</v>
      </c>
      <c r="E4" s="9">
        <v>5</v>
      </c>
      <c r="G4" s="10">
        <f>+SUM(G5:G12)</f>
        <v>0.79999999999999993</v>
      </c>
      <c r="I4" s="12">
        <f>+SUM(I5:I12)</f>
        <v>0</v>
      </c>
      <c r="J4" s="11">
        <f>+SUMPRODUCT(G5:G12,J5:J12)</f>
        <v>0</v>
      </c>
      <c r="K4" s="11">
        <f>+SUMPRODUCT(G5:G12,K5:K12)</f>
        <v>0</v>
      </c>
      <c r="L4" s="9"/>
      <c r="N4" s="12"/>
      <c r="U4" s="12">
        <f>+SUM(U5:U12)</f>
        <v>0</v>
      </c>
      <c r="AB4" s="12">
        <f>+SUM(AB5:AB12)</f>
        <v>0</v>
      </c>
      <c r="AI4" s="12">
        <f>+SUM(AI5:AI12)</f>
        <v>0</v>
      </c>
      <c r="AP4" s="12">
        <f>+SUM(AP5:AP12)</f>
        <v>0</v>
      </c>
      <c r="AW4" s="12">
        <f>+SUM(AW5:AW12)</f>
        <v>0</v>
      </c>
      <c r="BD4" s="12">
        <f>+SUM(BD5:BD12)</f>
        <v>0</v>
      </c>
      <c r="BK4" s="12">
        <f>+SUM(BK5:BK12)</f>
        <v>0</v>
      </c>
      <c r="BR4" s="12">
        <f>+SUM(BR5:BR12)</f>
        <v>0</v>
      </c>
      <c r="BY4" s="12">
        <f>+SUM(BY5:BY12)</f>
        <v>0</v>
      </c>
      <c r="CF4" s="12">
        <f>+SUM(CF5:CF12)</f>
        <v>0</v>
      </c>
      <c r="CM4" s="12">
        <f>+SUM(CM5:CM12)</f>
        <v>0</v>
      </c>
      <c r="CT4" s="12">
        <f>+SUM(CT5:CT12)</f>
        <v>0</v>
      </c>
      <c r="DA4" s="12">
        <f>+SUM(DA5:DA12)</f>
        <v>0</v>
      </c>
      <c r="DH4" s="12">
        <f>+SUM(DH5:DH12)</f>
        <v>0</v>
      </c>
      <c r="DO4" s="12">
        <f>+SUM(DO5:DO12)</f>
        <v>0</v>
      </c>
      <c r="DV4" s="12">
        <f>+SUM(DV5:DV12)</f>
        <v>0</v>
      </c>
      <c r="EC4" s="12">
        <f>+SUM(EC5:EC12)</f>
        <v>0</v>
      </c>
    </row>
    <row r="5" spans="2:138" outlineLevel="1">
      <c r="B5" t="s">
        <v>28</v>
      </c>
      <c r="C5" t="s">
        <v>99</v>
      </c>
      <c r="E5" s="9"/>
      <c r="F5" s="20" t="s">
        <v>104</v>
      </c>
      <c r="G5" s="10">
        <v>0.1</v>
      </c>
      <c r="I5" s="9">
        <f>+SUMIF($N$3:$ZZ$3,I$3,$N5:$ZZ5)</f>
        <v>0</v>
      </c>
      <c r="J5" s="11" cm="1">
        <f t="array" ref="J5">MAX(IF($N$3:$EH$3=$J$3,N5:EH5))</f>
        <v>0</v>
      </c>
      <c r="K5" s="11" cm="1">
        <f t="array" ref="K5">MAX(IF($N$3:$EH$3=$J$3,N5:EH5))</f>
        <v>0</v>
      </c>
      <c r="L5" s="9"/>
      <c r="O5" s="10"/>
      <c r="P5" s="10"/>
      <c r="Q5" s="10"/>
      <c r="R5" s="10"/>
      <c r="V5" s="10"/>
      <c r="W5" s="10"/>
      <c r="X5" s="10"/>
      <c r="Y5" s="10"/>
      <c r="AC5" s="10"/>
      <c r="AD5" s="10"/>
      <c r="AE5" s="10"/>
      <c r="AF5" s="10"/>
      <c r="AJ5" s="10"/>
      <c r="AK5" s="10"/>
      <c r="AL5" s="10"/>
      <c r="AM5" s="10">
        <v>0.5</v>
      </c>
      <c r="AQ5" s="10"/>
      <c r="AR5" s="10">
        <v>0.5</v>
      </c>
      <c r="AS5" s="10"/>
      <c r="AT5" s="10">
        <v>0.5</v>
      </c>
      <c r="AX5" s="10"/>
      <c r="AY5" s="10">
        <v>0.5</v>
      </c>
      <c r="AZ5" s="10"/>
      <c r="BA5" s="10">
        <v>0.5</v>
      </c>
      <c r="BE5" s="10"/>
      <c r="BF5" s="10">
        <v>0.8</v>
      </c>
      <c r="BG5" s="10"/>
      <c r="BH5" s="10">
        <v>0.8</v>
      </c>
      <c r="BL5" s="10"/>
      <c r="BM5" s="10">
        <v>0.8</v>
      </c>
      <c r="BN5" s="10"/>
      <c r="BO5" s="10">
        <v>0.8</v>
      </c>
      <c r="BS5" s="10"/>
      <c r="BT5" s="10">
        <v>0.8</v>
      </c>
      <c r="BU5" s="10"/>
      <c r="BV5" s="10">
        <v>0.8</v>
      </c>
      <c r="BZ5" s="10"/>
      <c r="CA5" s="10">
        <v>0.8</v>
      </c>
      <c r="CB5" s="10"/>
      <c r="CC5" s="10">
        <v>0.8</v>
      </c>
      <c r="CG5" s="10"/>
      <c r="CH5" s="10">
        <v>1</v>
      </c>
      <c r="CI5" s="10"/>
      <c r="CJ5" s="10">
        <v>1</v>
      </c>
      <c r="CN5" s="10"/>
      <c r="CO5" s="10">
        <v>1</v>
      </c>
      <c r="CP5" s="10"/>
      <c r="CQ5" s="10">
        <v>1</v>
      </c>
      <c r="CU5" s="10"/>
      <c r="CV5" s="10">
        <v>1</v>
      </c>
      <c r="CW5" s="10"/>
      <c r="CX5" s="10">
        <v>1</v>
      </c>
      <c r="DB5" s="10"/>
      <c r="DC5" s="10">
        <v>1</v>
      </c>
      <c r="DD5" s="10"/>
      <c r="DE5" s="10">
        <v>1</v>
      </c>
      <c r="DI5" s="10"/>
      <c r="DJ5" s="10"/>
      <c r="DK5" s="10"/>
      <c r="DL5" s="10"/>
      <c r="DP5" s="10"/>
      <c r="DQ5" s="10"/>
      <c r="DR5" s="10"/>
      <c r="DS5" s="10"/>
      <c r="DW5" s="10"/>
      <c r="DX5" s="10"/>
      <c r="DY5" s="10"/>
      <c r="DZ5" s="10"/>
      <c r="ED5" s="10"/>
      <c r="EE5" s="10"/>
      <c r="EF5" s="10"/>
      <c r="EG5" s="10"/>
    </row>
    <row r="6" spans="2:138" outlineLevel="1">
      <c r="B6" t="s">
        <v>28</v>
      </c>
      <c r="C6" t="s">
        <v>99</v>
      </c>
      <c r="E6" s="9"/>
      <c r="F6" s="21" t="s">
        <v>106</v>
      </c>
      <c r="G6" s="10">
        <v>0.1</v>
      </c>
      <c r="I6" s="9">
        <f>+SUMIF($N$3:$ZZ$3,I$3,$N6:$ZZ6)</f>
        <v>0</v>
      </c>
      <c r="J6" s="11" cm="1">
        <f t="array" ref="J6">MAX(IF($N$3:$EH$3=$J$3,N6:EH6))</f>
        <v>0</v>
      </c>
      <c r="K6" s="11" cm="1">
        <f t="array" ref="K6">MAX(IF($N$3:$EH$3=$J$3,N6:EH6))</f>
        <v>0</v>
      </c>
      <c r="L6" s="9"/>
      <c r="O6" s="10"/>
      <c r="P6" s="10"/>
      <c r="Q6" s="10"/>
      <c r="R6" s="10"/>
      <c r="V6" s="10"/>
      <c r="W6" s="10"/>
      <c r="X6" s="10"/>
      <c r="Y6" s="10"/>
      <c r="AC6" s="10"/>
      <c r="AD6" s="10"/>
      <c r="AE6" s="10"/>
      <c r="AF6" s="10"/>
      <c r="AJ6" s="10"/>
      <c r="AK6" s="10"/>
      <c r="AL6" s="10"/>
      <c r="AM6" s="10">
        <v>0.5</v>
      </c>
      <c r="AQ6" s="10"/>
      <c r="AR6" s="10">
        <v>0.5</v>
      </c>
      <c r="AS6" s="10"/>
      <c r="AT6" s="10">
        <v>0.5</v>
      </c>
      <c r="AX6" s="10"/>
      <c r="AY6" s="10">
        <v>0.5</v>
      </c>
      <c r="AZ6" s="10"/>
      <c r="BA6" s="10">
        <v>0.5</v>
      </c>
      <c r="BE6" s="10"/>
      <c r="BF6" s="10">
        <v>0.8</v>
      </c>
      <c r="BG6" s="10"/>
      <c r="BH6" s="10">
        <v>0.8</v>
      </c>
      <c r="BL6" s="10"/>
      <c r="BM6" s="10">
        <v>0.8</v>
      </c>
      <c r="BN6" s="10"/>
      <c r="BO6" s="10">
        <v>0.8</v>
      </c>
      <c r="BS6" s="10"/>
      <c r="BT6" s="10">
        <v>0.8</v>
      </c>
      <c r="BU6" s="10"/>
      <c r="BV6" s="10">
        <v>0.8</v>
      </c>
      <c r="BZ6" s="10"/>
      <c r="CA6" s="10">
        <v>0.8</v>
      </c>
      <c r="CB6" s="10"/>
      <c r="CC6" s="10">
        <v>0.8</v>
      </c>
      <c r="CG6" s="10"/>
      <c r="CH6" s="10">
        <v>1</v>
      </c>
      <c r="CI6" s="10"/>
      <c r="CJ6" s="10">
        <v>1</v>
      </c>
      <c r="CN6" s="10"/>
      <c r="CO6" s="10">
        <v>1</v>
      </c>
      <c r="CP6" s="10"/>
      <c r="CQ6" s="10">
        <v>1</v>
      </c>
      <c r="CU6" s="10"/>
      <c r="CV6" s="10">
        <v>1</v>
      </c>
      <c r="CW6" s="10"/>
      <c r="CX6" s="10">
        <v>1</v>
      </c>
      <c r="DB6" s="10"/>
      <c r="DC6" s="10">
        <v>1</v>
      </c>
      <c r="DD6" s="10"/>
      <c r="DE6" s="10">
        <v>1</v>
      </c>
      <c r="DI6" s="10"/>
      <c r="DJ6" s="10"/>
      <c r="DK6" s="10"/>
      <c r="DL6" s="10"/>
      <c r="DP6" s="10"/>
      <c r="DQ6" s="10"/>
      <c r="DR6" s="10"/>
      <c r="DS6" s="10"/>
      <c r="DW6" s="10"/>
      <c r="DX6" s="10"/>
      <c r="DY6" s="10"/>
      <c r="DZ6" s="10"/>
      <c r="ED6" s="10"/>
      <c r="EE6" s="10"/>
      <c r="EF6" s="10"/>
      <c r="EG6" s="10"/>
    </row>
    <row r="7" spans="2:138" outlineLevel="1">
      <c r="B7" t="s">
        <v>28</v>
      </c>
      <c r="C7" t="s">
        <v>99</v>
      </c>
      <c r="E7" s="9"/>
      <c r="F7" t="s">
        <v>105</v>
      </c>
      <c r="G7" s="10">
        <v>0.1</v>
      </c>
      <c r="I7" s="9">
        <f>+SUMIF($N$3:$ZZ$3,I$3,$N7:$ZZ7)</f>
        <v>0</v>
      </c>
      <c r="J7" s="11" cm="1">
        <f t="array" ref="J7">MAX(IF($N$3:$EH$3=$J$3,N7:EH7))</f>
        <v>0</v>
      </c>
      <c r="K7" s="11" cm="1">
        <f t="array" ref="K7">MAX(IF($N$3:$EH$3=$J$3,N7:EH7))</f>
        <v>0</v>
      </c>
      <c r="L7" s="9"/>
      <c r="O7" s="10"/>
      <c r="P7" s="10"/>
      <c r="Q7" s="10"/>
      <c r="R7" s="10"/>
      <c r="V7" s="10"/>
      <c r="W7" s="10"/>
      <c r="X7" s="10"/>
      <c r="Y7" s="10"/>
      <c r="AC7" s="10"/>
      <c r="AD7" s="10"/>
      <c r="AE7" s="10"/>
      <c r="AF7" s="10"/>
      <c r="AJ7" s="10"/>
      <c r="AK7" s="10"/>
      <c r="AL7" s="10"/>
      <c r="AM7" s="10"/>
      <c r="AQ7" s="10"/>
      <c r="AR7" s="10">
        <v>0.5</v>
      </c>
      <c r="AS7" s="10"/>
      <c r="AT7" s="10">
        <v>0.5</v>
      </c>
      <c r="AX7" s="10"/>
      <c r="AY7" s="10">
        <v>0.5</v>
      </c>
      <c r="AZ7" s="10"/>
      <c r="BA7" s="10">
        <v>0.5</v>
      </c>
      <c r="BE7" s="10"/>
      <c r="BF7" s="10">
        <v>0.5</v>
      </c>
      <c r="BG7" s="10"/>
      <c r="BH7" s="10">
        <v>0.5</v>
      </c>
      <c r="BL7" s="10"/>
      <c r="BM7" s="10">
        <v>0.8</v>
      </c>
      <c r="BN7" s="10"/>
      <c r="BO7" s="10">
        <v>0.8</v>
      </c>
      <c r="BS7" s="10"/>
      <c r="BT7" s="10">
        <v>0.8</v>
      </c>
      <c r="BU7" s="10"/>
      <c r="BV7" s="10">
        <v>0.8</v>
      </c>
      <c r="BZ7" s="10"/>
      <c r="CA7" s="10">
        <v>0.8</v>
      </c>
      <c r="CB7" s="10"/>
      <c r="CC7" s="10">
        <v>0.8</v>
      </c>
      <c r="CG7" s="10"/>
      <c r="CH7" s="10">
        <v>0.8</v>
      </c>
      <c r="CI7" s="10"/>
      <c r="CJ7" s="10">
        <v>0.8</v>
      </c>
      <c r="CN7" s="10"/>
      <c r="CO7" s="10">
        <v>1</v>
      </c>
      <c r="CP7" s="10"/>
      <c r="CQ7" s="10">
        <v>1</v>
      </c>
      <c r="CU7" s="10"/>
      <c r="CV7" s="10">
        <v>1</v>
      </c>
      <c r="CW7" s="10"/>
      <c r="CX7" s="10">
        <v>1</v>
      </c>
      <c r="DB7" s="10"/>
      <c r="DC7" s="10">
        <v>1</v>
      </c>
      <c r="DD7" s="10"/>
      <c r="DE7" s="10">
        <v>1</v>
      </c>
      <c r="DI7" s="10"/>
      <c r="DJ7" s="10"/>
      <c r="DK7" s="10"/>
      <c r="DL7" s="10"/>
      <c r="DP7" s="10"/>
      <c r="DQ7" s="10"/>
      <c r="DR7" s="10"/>
      <c r="DS7" s="10"/>
      <c r="DW7" s="10"/>
      <c r="DX7" s="10"/>
      <c r="DY7" s="10"/>
      <c r="DZ7" s="10"/>
      <c r="ED7" s="10"/>
      <c r="EE7" s="10"/>
      <c r="EF7" s="10"/>
      <c r="EG7" s="10"/>
    </row>
    <row r="8" spans="2:138" outlineLevel="1">
      <c r="B8" t="s">
        <v>28</v>
      </c>
      <c r="C8" t="s">
        <v>99</v>
      </c>
      <c r="E8" s="9"/>
      <c r="F8" t="s">
        <v>107</v>
      </c>
      <c r="G8" s="10">
        <v>0.1</v>
      </c>
      <c r="I8" s="9">
        <f>+SUMIF($N$3:$ZZ$3,I$3,$N8:$ZZ8)</f>
        <v>0</v>
      </c>
      <c r="J8" s="11" cm="1">
        <f t="array" ref="J8">MAX(IF($N$3:$EH$3=$J$3,N8:EH8))</f>
        <v>0</v>
      </c>
      <c r="K8" s="11" cm="1">
        <f t="array" ref="K8">MAX(IF($N$3:$EH$3=$J$3,N8:EH8))</f>
        <v>0</v>
      </c>
      <c r="L8" s="9"/>
      <c r="O8" s="10"/>
      <c r="P8" s="10"/>
      <c r="Q8" s="10"/>
      <c r="R8" s="10"/>
      <c r="V8" s="10"/>
      <c r="W8" s="10"/>
      <c r="X8" s="10"/>
      <c r="Y8" s="10"/>
      <c r="AC8" s="10"/>
      <c r="AD8" s="10"/>
      <c r="AE8" s="10"/>
      <c r="AF8" s="10"/>
      <c r="AJ8" s="10"/>
      <c r="AK8" s="10"/>
      <c r="AL8" s="10"/>
      <c r="AM8" s="10"/>
      <c r="AQ8" s="10"/>
      <c r="AR8" s="10">
        <v>0.5</v>
      </c>
      <c r="AS8" s="10"/>
      <c r="AT8" s="10">
        <v>0.5</v>
      </c>
      <c r="AX8" s="10"/>
      <c r="AY8" s="10">
        <v>0.5</v>
      </c>
      <c r="AZ8" s="10"/>
      <c r="BA8" s="10">
        <v>0.5</v>
      </c>
      <c r="BE8" s="10"/>
      <c r="BF8" s="10">
        <v>0.5</v>
      </c>
      <c r="BG8" s="10"/>
      <c r="BH8" s="10">
        <v>0.5</v>
      </c>
      <c r="BL8" s="10"/>
      <c r="BM8" s="10">
        <v>0.8</v>
      </c>
      <c r="BN8" s="10"/>
      <c r="BO8" s="10">
        <v>0.8</v>
      </c>
      <c r="BS8" s="10"/>
      <c r="BT8" s="10">
        <v>0.8</v>
      </c>
      <c r="BU8" s="10"/>
      <c r="BV8" s="10">
        <v>0.8</v>
      </c>
      <c r="BZ8" s="10"/>
      <c r="CA8" s="10">
        <v>0.8</v>
      </c>
      <c r="CB8" s="10"/>
      <c r="CC8" s="10">
        <v>0.8</v>
      </c>
      <c r="CG8" s="10"/>
      <c r="CH8" s="10">
        <v>0.8</v>
      </c>
      <c r="CI8" s="10"/>
      <c r="CJ8" s="10">
        <v>0.8</v>
      </c>
      <c r="CN8" s="10"/>
      <c r="CO8" s="10">
        <v>1</v>
      </c>
      <c r="CP8" s="10"/>
      <c r="CQ8" s="10">
        <v>1</v>
      </c>
      <c r="CU8" s="10"/>
      <c r="CV8" s="10">
        <v>1</v>
      </c>
      <c r="CW8" s="10"/>
      <c r="CX8" s="10">
        <v>1</v>
      </c>
      <c r="DB8" s="10"/>
      <c r="DC8" s="10">
        <v>1</v>
      </c>
      <c r="DD8" s="10"/>
      <c r="DE8" s="10">
        <v>1</v>
      </c>
      <c r="DI8" s="10"/>
      <c r="DJ8" s="10"/>
      <c r="DK8" s="10"/>
      <c r="DL8" s="10"/>
      <c r="DP8" s="10"/>
      <c r="DQ8" s="10"/>
      <c r="DR8" s="10"/>
      <c r="DS8" s="10"/>
      <c r="DW8" s="10"/>
      <c r="DX8" s="10"/>
      <c r="DY8" s="10"/>
      <c r="DZ8" s="10"/>
      <c r="ED8" s="10"/>
      <c r="EE8" s="10"/>
      <c r="EF8" s="10"/>
      <c r="EG8" s="10"/>
    </row>
    <row r="9" spans="2:138" outlineLevel="1">
      <c r="B9" t="s">
        <v>28</v>
      </c>
      <c r="C9" t="s">
        <v>99</v>
      </c>
      <c r="E9" s="9"/>
      <c r="F9" t="s">
        <v>108</v>
      </c>
      <c r="G9" s="10">
        <v>0.1</v>
      </c>
      <c r="I9" s="9"/>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v>0.5</v>
      </c>
      <c r="AS9" s="10"/>
      <c r="AT9" s="10">
        <v>0.5</v>
      </c>
      <c r="AX9" s="10"/>
      <c r="AY9" s="10">
        <v>0.5</v>
      </c>
      <c r="AZ9" s="10"/>
      <c r="BA9" s="10">
        <v>0.5</v>
      </c>
      <c r="BE9" s="10"/>
      <c r="BF9" s="10">
        <v>0.5</v>
      </c>
      <c r="BG9" s="10"/>
      <c r="BH9" s="10">
        <v>0.5</v>
      </c>
      <c r="BL9" s="10"/>
      <c r="BM9" s="10">
        <v>0.5</v>
      </c>
      <c r="BN9" s="10"/>
      <c r="BO9" s="10">
        <v>0.5</v>
      </c>
      <c r="BS9" s="10"/>
      <c r="BT9" s="10">
        <v>0.8</v>
      </c>
      <c r="BU9" s="10"/>
      <c r="BV9" s="10">
        <v>0.8</v>
      </c>
      <c r="BZ9" s="10"/>
      <c r="CA9" s="10">
        <v>0.8</v>
      </c>
      <c r="CB9" s="10"/>
      <c r="CC9" s="10">
        <v>0.8</v>
      </c>
      <c r="CG9" s="10"/>
      <c r="CH9" s="10">
        <v>0.8</v>
      </c>
      <c r="CI9" s="10"/>
      <c r="CJ9" s="10">
        <v>0.8</v>
      </c>
      <c r="CN9" s="10"/>
      <c r="CO9" s="10">
        <v>0.8</v>
      </c>
      <c r="CP9" s="10"/>
      <c r="CQ9" s="10">
        <v>0.8</v>
      </c>
      <c r="CU9" s="10"/>
      <c r="CV9" s="10">
        <v>1</v>
      </c>
      <c r="CW9" s="10"/>
      <c r="CX9" s="10">
        <v>1</v>
      </c>
      <c r="DB9" s="10"/>
      <c r="DC9" s="10">
        <v>1</v>
      </c>
      <c r="DD9" s="10"/>
      <c r="DE9" s="10">
        <v>1</v>
      </c>
      <c r="DI9" s="10"/>
      <c r="DJ9" s="10"/>
      <c r="DK9" s="10"/>
      <c r="DL9" s="10"/>
      <c r="DP9" s="10"/>
      <c r="DQ9" s="10"/>
      <c r="DR9" s="10"/>
      <c r="DS9" s="10"/>
      <c r="DW9" s="10"/>
      <c r="DX9" s="10"/>
      <c r="DY9" s="10"/>
      <c r="DZ9" s="10"/>
      <c r="ED9" s="10"/>
      <c r="EE9" s="10"/>
      <c r="EF9" s="10"/>
      <c r="EG9" s="10"/>
    </row>
    <row r="10" spans="2:138" outlineLevel="1">
      <c r="B10" t="s">
        <v>28</v>
      </c>
      <c r="C10" t="s">
        <v>99</v>
      </c>
      <c r="E10" s="9"/>
      <c r="F10" t="s">
        <v>109</v>
      </c>
      <c r="G10" s="10">
        <v>0.1</v>
      </c>
      <c r="I10" s="9">
        <f>+SUMIF($N$3:$ZZ$3,I$3,$N10:$ZZ10)</f>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v>0.5</v>
      </c>
      <c r="AZ10" s="10"/>
      <c r="BA10" s="10">
        <v>0.5</v>
      </c>
      <c r="BE10" s="10"/>
      <c r="BF10" s="10">
        <v>0.5</v>
      </c>
      <c r="BG10" s="10"/>
      <c r="BH10" s="10">
        <v>0.5</v>
      </c>
      <c r="BL10" s="10"/>
      <c r="BM10" s="10">
        <v>0.5</v>
      </c>
      <c r="BN10" s="10"/>
      <c r="BO10" s="10">
        <v>0.5</v>
      </c>
      <c r="BS10" s="10"/>
      <c r="BT10" s="10">
        <v>0.8</v>
      </c>
      <c r="BU10" s="10"/>
      <c r="BV10" s="10">
        <v>0.8</v>
      </c>
      <c r="BZ10" s="10"/>
      <c r="CA10" s="10">
        <v>0.8</v>
      </c>
      <c r="CB10" s="10"/>
      <c r="CC10" s="10">
        <v>0.8</v>
      </c>
      <c r="CG10" s="10"/>
      <c r="CH10" s="10">
        <v>0.8</v>
      </c>
      <c r="CI10" s="10"/>
      <c r="CJ10" s="10">
        <v>0.8</v>
      </c>
      <c r="CN10" s="10"/>
      <c r="CO10" s="10">
        <v>0.8</v>
      </c>
      <c r="CP10" s="10"/>
      <c r="CQ10" s="10">
        <v>0.8</v>
      </c>
      <c r="CU10" s="10"/>
      <c r="CV10" s="10">
        <v>1</v>
      </c>
      <c r="CW10" s="10"/>
      <c r="CX10" s="10">
        <v>1</v>
      </c>
      <c r="DB10" s="10"/>
      <c r="DC10" s="10">
        <v>1</v>
      </c>
      <c r="DD10" s="10"/>
      <c r="DE10" s="10">
        <v>1</v>
      </c>
      <c r="DI10" s="10"/>
      <c r="DJ10" s="10"/>
      <c r="DK10" s="10"/>
      <c r="DL10" s="10"/>
      <c r="DP10" s="10"/>
      <c r="DQ10" s="10"/>
      <c r="DR10" s="10"/>
      <c r="DS10" s="10"/>
      <c r="DW10" s="10"/>
      <c r="DX10" s="10"/>
      <c r="DY10" s="10"/>
      <c r="DZ10" s="10"/>
      <c r="ED10" s="10"/>
      <c r="EE10" s="10"/>
      <c r="EF10" s="10"/>
      <c r="EG10" s="10"/>
    </row>
    <row r="11" spans="2:138" outlineLevel="1">
      <c r="B11" t="s">
        <v>28</v>
      </c>
      <c r="C11" t="s">
        <v>99</v>
      </c>
      <c r="E11" s="9"/>
      <c r="F11" t="s">
        <v>110</v>
      </c>
      <c r="G11" s="10">
        <v>0.1</v>
      </c>
      <c r="I11" s="9"/>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v>0.5</v>
      </c>
      <c r="AZ11" s="10"/>
      <c r="BA11" s="10">
        <v>0.5</v>
      </c>
      <c r="BE11" s="10"/>
      <c r="BF11" s="10">
        <v>0.5</v>
      </c>
      <c r="BG11" s="10"/>
      <c r="BH11" s="10">
        <v>0.5</v>
      </c>
      <c r="BL11" s="10"/>
      <c r="BM11" s="10">
        <v>0.5</v>
      </c>
      <c r="BN11" s="10"/>
      <c r="BO11" s="10">
        <v>0.5</v>
      </c>
      <c r="BS11" s="10"/>
      <c r="BT11" s="10">
        <v>0.5</v>
      </c>
      <c r="BU11" s="10"/>
      <c r="BV11" s="10">
        <v>0.5</v>
      </c>
      <c r="BZ11" s="10"/>
      <c r="CA11" s="10">
        <v>0.8</v>
      </c>
      <c r="CB11" s="10"/>
      <c r="CC11" s="10">
        <v>0.8</v>
      </c>
      <c r="CG11" s="10"/>
      <c r="CH11" s="10">
        <v>0.8</v>
      </c>
      <c r="CI11" s="10"/>
      <c r="CJ11" s="10">
        <v>0.8</v>
      </c>
      <c r="CN11" s="10"/>
      <c r="CO11" s="10">
        <v>0.8</v>
      </c>
      <c r="CP11" s="10"/>
      <c r="CQ11" s="10">
        <v>0.8</v>
      </c>
      <c r="CU11" s="10"/>
      <c r="CV11" s="10">
        <v>0.8</v>
      </c>
      <c r="CW11" s="10"/>
      <c r="CX11" s="10">
        <v>0.8</v>
      </c>
      <c r="DB11" s="10"/>
      <c r="DC11" s="10">
        <v>1</v>
      </c>
      <c r="DD11" s="10"/>
      <c r="DE11" s="10">
        <v>1</v>
      </c>
      <c r="DI11" s="10"/>
      <c r="DJ11" s="10"/>
      <c r="DK11" s="10"/>
      <c r="DL11" s="10"/>
      <c r="DP11" s="10"/>
      <c r="DQ11" s="10"/>
      <c r="DR11" s="10"/>
      <c r="DS11" s="10"/>
      <c r="DW11" s="10"/>
      <c r="DX11" s="10"/>
      <c r="DY11" s="10"/>
      <c r="DZ11" s="10"/>
      <c r="ED11" s="10"/>
      <c r="EE11" s="10"/>
      <c r="EF11" s="10"/>
      <c r="EG11" s="10"/>
    </row>
    <row r="12" spans="2:138" outlineLevel="1">
      <c r="B12" t="s">
        <v>28</v>
      </c>
      <c r="C12" t="s">
        <v>99</v>
      </c>
      <c r="E12" s="9"/>
      <c r="F12" t="s">
        <v>111</v>
      </c>
      <c r="G12" s="10">
        <v>0.1</v>
      </c>
      <c r="I12" s="9">
        <f>+SUMIF($N$3:$ZZ$3,I$3,$N12:$ZZ12)</f>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v>0.5</v>
      </c>
      <c r="AZ12" s="10"/>
      <c r="BA12" s="10">
        <v>0.5</v>
      </c>
      <c r="BE12" s="10"/>
      <c r="BF12" s="10">
        <v>0.5</v>
      </c>
      <c r="BG12" s="10"/>
      <c r="BH12" s="10">
        <v>0.5</v>
      </c>
      <c r="BL12" s="10"/>
      <c r="BM12" s="10">
        <v>0.5</v>
      </c>
      <c r="BN12" s="10"/>
      <c r="BO12" s="10">
        <v>0.5</v>
      </c>
      <c r="BS12" s="10"/>
      <c r="BT12" s="10">
        <v>0.5</v>
      </c>
      <c r="BU12" s="10"/>
      <c r="BV12" s="10">
        <v>0.5</v>
      </c>
      <c r="BZ12" s="10"/>
      <c r="CA12" s="10">
        <v>0.8</v>
      </c>
      <c r="CB12" s="10"/>
      <c r="CC12" s="10">
        <v>0.8</v>
      </c>
      <c r="CG12" s="10"/>
      <c r="CH12" s="10">
        <v>0.8</v>
      </c>
      <c r="CI12" s="10"/>
      <c r="CJ12" s="10">
        <v>0.8</v>
      </c>
      <c r="CN12" s="10"/>
      <c r="CO12" s="10">
        <v>0.8</v>
      </c>
      <c r="CP12" s="10"/>
      <c r="CQ12" s="10">
        <v>0.8</v>
      </c>
      <c r="CU12" s="10"/>
      <c r="CV12" s="10">
        <v>0.8</v>
      </c>
      <c r="CW12" s="10"/>
      <c r="CX12" s="10">
        <v>0.8</v>
      </c>
      <c r="DB12" s="10"/>
      <c r="DC12" s="10">
        <v>1</v>
      </c>
      <c r="DD12" s="10"/>
      <c r="DE12" s="10">
        <v>1</v>
      </c>
      <c r="DI12" s="10"/>
      <c r="DJ12" s="10"/>
      <c r="DK12" s="10"/>
      <c r="DL12" s="10"/>
      <c r="DP12" s="10"/>
      <c r="DQ12" s="10"/>
      <c r="DR12" s="10"/>
      <c r="DS12" s="10"/>
      <c r="DW12" s="10"/>
      <c r="DX12" s="10"/>
      <c r="DY12" s="10"/>
      <c r="DZ12" s="10"/>
      <c r="ED12" s="10"/>
      <c r="EE12" s="10"/>
      <c r="EF12" s="10"/>
      <c r="EG12" s="10"/>
    </row>
    <row r="14" spans="2:138">
      <c r="B14" t="s">
        <v>27</v>
      </c>
      <c r="D14" s="19">
        <v>46055</v>
      </c>
      <c r="E14" s="9">
        <v>5</v>
      </c>
      <c r="G14" s="10">
        <f>+SUM(G15:G17)</f>
        <v>0.30000000000000004</v>
      </c>
      <c r="I14" s="12">
        <f>+SUM(I15:I17)</f>
        <v>0</v>
      </c>
      <c r="J14" s="11">
        <f>+SUMPRODUCT(G15:G17,J15:J17)</f>
        <v>0</v>
      </c>
      <c r="K14" s="11">
        <f>+SUMPRODUCT(G15:G17,K15:K17)</f>
        <v>0</v>
      </c>
      <c r="L14" s="9"/>
      <c r="N14" s="12"/>
      <c r="U14" s="12">
        <f>+SUM(U15:U17)</f>
        <v>0</v>
      </c>
      <c r="AB14" s="12">
        <f>+SUM(AB15:AB17)</f>
        <v>0</v>
      </c>
      <c r="AI14" s="12">
        <f>+SUM(AI15:AI17)</f>
        <v>0</v>
      </c>
      <c r="AP14" s="12">
        <f>+SUM(AP15:AP17)</f>
        <v>0</v>
      </c>
    </row>
    <row r="15" spans="2:138" outlineLevel="1">
      <c r="B15" t="s">
        <v>28</v>
      </c>
      <c r="C15" t="s">
        <v>103</v>
      </c>
      <c r="E15" s="9"/>
      <c r="F15" t="s">
        <v>136</v>
      </c>
      <c r="G15" s="10">
        <v>0.1</v>
      </c>
      <c r="I15" s="9">
        <f>+SUMIF($N$3:$ZZ$3,I$3,$N15:$ZZ15)</f>
        <v>0</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v>0.5</v>
      </c>
      <c r="AZ15" s="10"/>
      <c r="BA15" s="10">
        <v>0.5</v>
      </c>
      <c r="BE15" s="10"/>
      <c r="BF15" s="10">
        <v>0.5</v>
      </c>
      <c r="BG15" s="10"/>
      <c r="BH15" s="10">
        <v>0.5</v>
      </c>
      <c r="BL15" s="10"/>
      <c r="BM15" s="10">
        <v>0.5</v>
      </c>
      <c r="BN15" s="10"/>
      <c r="BO15" s="10">
        <v>0.5</v>
      </c>
      <c r="BS15" s="10"/>
      <c r="BT15" s="10">
        <v>0.8</v>
      </c>
      <c r="BU15" s="10"/>
      <c r="BV15" s="10">
        <v>0.8</v>
      </c>
      <c r="BZ15" s="10"/>
      <c r="CA15" s="10">
        <v>0.8</v>
      </c>
      <c r="CB15" s="10"/>
      <c r="CC15" s="10">
        <v>0.8</v>
      </c>
      <c r="CG15" s="10"/>
      <c r="CH15" s="10">
        <v>0.8</v>
      </c>
      <c r="CI15" s="10"/>
      <c r="CJ15" s="10">
        <v>0.8</v>
      </c>
      <c r="CN15" s="10"/>
      <c r="CO15" s="10">
        <v>1</v>
      </c>
      <c r="CP15" s="10"/>
      <c r="CQ15" s="10">
        <v>1</v>
      </c>
      <c r="CU15" s="10"/>
      <c r="CV15" s="10">
        <v>1</v>
      </c>
      <c r="CW15" s="10"/>
      <c r="CX15" s="10">
        <v>1</v>
      </c>
      <c r="DB15" s="10"/>
      <c r="DC15" s="10">
        <v>1</v>
      </c>
      <c r="DD15" s="10"/>
      <c r="DE15" s="10">
        <v>1</v>
      </c>
      <c r="DI15" s="10"/>
      <c r="DJ15" s="10"/>
      <c r="DK15" s="10"/>
      <c r="DL15" s="10"/>
      <c r="DP15" s="10"/>
      <c r="DQ15" s="10"/>
      <c r="DR15" s="10"/>
      <c r="DS15" s="10"/>
      <c r="DW15" s="10"/>
      <c r="DX15" s="10"/>
      <c r="DY15" s="10"/>
      <c r="DZ15" s="10"/>
      <c r="ED15" s="10"/>
      <c r="EE15" s="10"/>
      <c r="EF15" s="10"/>
      <c r="EG15" s="10"/>
    </row>
    <row r="16" spans="2:138" outlineLevel="1">
      <c r="B16" t="s">
        <v>28</v>
      </c>
      <c r="C16" t="s">
        <v>103</v>
      </c>
      <c r="E16" s="9"/>
      <c r="F16" t="s">
        <v>137</v>
      </c>
      <c r="G16" s="10">
        <v>0.1</v>
      </c>
      <c r="I16" s="9">
        <f>+SUMIF($N$3:$ZZ$3,I$3,$N16:$ZZ16)</f>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v>0.5</v>
      </c>
      <c r="BG16" s="10"/>
      <c r="BH16" s="10">
        <v>0.5</v>
      </c>
      <c r="BL16" s="10"/>
      <c r="BM16" s="10">
        <v>0.5</v>
      </c>
      <c r="BN16" s="10"/>
      <c r="BO16" s="10">
        <v>0.5</v>
      </c>
      <c r="BS16" s="10"/>
      <c r="BT16" s="10">
        <v>0.5</v>
      </c>
      <c r="BU16" s="10"/>
      <c r="BV16" s="10">
        <v>0.5</v>
      </c>
      <c r="BZ16" s="10"/>
      <c r="CA16" s="10">
        <v>0.8</v>
      </c>
      <c r="CB16" s="10"/>
      <c r="CC16" s="10">
        <v>0.8</v>
      </c>
      <c r="CG16" s="10"/>
      <c r="CH16" s="10">
        <v>0.8</v>
      </c>
      <c r="CI16" s="10"/>
      <c r="CJ16" s="10">
        <v>0.8</v>
      </c>
      <c r="CN16" s="10"/>
      <c r="CO16" s="10">
        <v>0.8</v>
      </c>
      <c r="CP16" s="10"/>
      <c r="CQ16" s="10">
        <v>0.8</v>
      </c>
      <c r="CU16" s="10"/>
      <c r="CV16" s="10">
        <v>1</v>
      </c>
      <c r="CW16" s="10"/>
      <c r="CX16" s="10">
        <v>1</v>
      </c>
      <c r="DB16" s="10"/>
      <c r="DC16" s="10">
        <v>1</v>
      </c>
      <c r="DD16" s="10"/>
      <c r="DE16" s="10">
        <v>1</v>
      </c>
      <c r="DI16" s="10"/>
      <c r="DJ16" s="10"/>
      <c r="DK16" s="10"/>
      <c r="DL16" s="10"/>
      <c r="DP16" s="10"/>
      <c r="DQ16" s="10"/>
      <c r="DR16" s="10"/>
      <c r="DS16" s="10"/>
      <c r="DW16" s="10"/>
      <c r="DX16" s="10"/>
      <c r="DY16" s="10"/>
      <c r="DZ16" s="10"/>
      <c r="ED16" s="10"/>
      <c r="EE16" s="10"/>
      <c r="EF16" s="10"/>
      <c r="EG16" s="10"/>
    </row>
    <row r="17" spans="2:137" outlineLevel="1">
      <c r="B17" t="s">
        <v>28</v>
      </c>
      <c r="C17" t="s">
        <v>103</v>
      </c>
      <c r="E17" s="9"/>
      <c r="F17" t="s">
        <v>138</v>
      </c>
      <c r="G17" s="10">
        <v>0.1</v>
      </c>
      <c r="I17" s="9">
        <f>+SUMIF($N$3:$ZZ$3,I$3,$N17:$ZZ17)</f>
        <v>0</v>
      </c>
      <c r="J17" s="11" cm="1">
        <f t="array" ref="J17">MAX(IF($N$3:$EH$3=$J$3,N17:EH17))</f>
        <v>0</v>
      </c>
      <c r="K17" s="11" cm="1">
        <f t="array" ref="K17">MAX(IF($N$3:$EH$3=$J$3,N17:EH17))</f>
        <v>0</v>
      </c>
      <c r="L17" s="9"/>
      <c r="O17" s="10"/>
      <c r="P17" s="10"/>
      <c r="Q17" s="10"/>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v>0.5</v>
      </c>
      <c r="BN17" s="10"/>
      <c r="BO17" s="10">
        <v>0.5</v>
      </c>
      <c r="BS17" s="10"/>
      <c r="BT17" s="10">
        <v>0.5</v>
      </c>
      <c r="BU17" s="10"/>
      <c r="BV17" s="10">
        <v>0.5</v>
      </c>
      <c r="BZ17" s="10"/>
      <c r="CA17" s="10">
        <v>0.5</v>
      </c>
      <c r="CB17" s="10"/>
      <c r="CC17" s="10">
        <v>0.5</v>
      </c>
      <c r="CG17" s="10"/>
      <c r="CH17" s="10">
        <v>0.8</v>
      </c>
      <c r="CI17" s="10"/>
      <c r="CJ17" s="10">
        <v>0.8</v>
      </c>
      <c r="CN17" s="10"/>
      <c r="CO17" s="10">
        <v>0.8</v>
      </c>
      <c r="CP17" s="10"/>
      <c r="CQ17" s="10">
        <v>0.8</v>
      </c>
      <c r="CU17" s="10"/>
      <c r="CV17" s="10">
        <v>0.8</v>
      </c>
      <c r="CW17" s="10"/>
      <c r="CX17" s="10">
        <v>0.8</v>
      </c>
      <c r="DB17" s="10"/>
      <c r="DC17" s="10">
        <v>1</v>
      </c>
      <c r="DD17" s="10"/>
      <c r="DE17" s="10">
        <v>1</v>
      </c>
      <c r="DI17" s="10"/>
      <c r="DJ17" s="10"/>
      <c r="DK17" s="10"/>
      <c r="DL17" s="10"/>
      <c r="DP17" s="10"/>
      <c r="DQ17" s="10"/>
      <c r="DR17" s="10"/>
      <c r="DS17" s="10"/>
      <c r="DW17" s="10"/>
      <c r="DX17" s="10"/>
      <c r="DY17" s="10"/>
      <c r="DZ17" s="10"/>
      <c r="ED17" s="10"/>
      <c r="EE17" s="10"/>
      <c r="EF17" s="10"/>
      <c r="EG17" s="10"/>
    </row>
    <row r="19" spans="2:137">
      <c r="B19" t="s">
        <v>27</v>
      </c>
      <c r="C19" t="s">
        <v>87</v>
      </c>
      <c r="D19" s="19">
        <v>46055</v>
      </c>
      <c r="E19" s="9">
        <v>5</v>
      </c>
      <c r="G19" s="10">
        <f>+SUM(G20:G31)</f>
        <v>1.0999999999999999</v>
      </c>
      <c r="I19" s="12">
        <f>+SUM(I20:I31)</f>
        <v>0</v>
      </c>
      <c r="J19" s="11">
        <f>+SUMPRODUCT(G20:G31,J20:J31)</f>
        <v>0</v>
      </c>
      <c r="K19" s="11">
        <f>+SUMPRODUCT(G20:G31,K20:K31)</f>
        <v>0</v>
      </c>
      <c r="L19" s="9"/>
      <c r="N19" s="12">
        <f>+SUM(N20:N31)</f>
        <v>0</v>
      </c>
      <c r="U19" s="12">
        <f>+SUM(U20:U31)</f>
        <v>0</v>
      </c>
      <c r="AB19" s="12">
        <f>+SUM(AB20:AB31)</f>
        <v>0</v>
      </c>
      <c r="AI19" s="12">
        <f>+SUM(AI20:AI31)</f>
        <v>0</v>
      </c>
      <c r="AP19" s="12">
        <f>+SUM(AP20:AP31)</f>
        <v>0</v>
      </c>
    </row>
    <row r="20" spans="2:137" outlineLevel="1">
      <c r="B20" t="s">
        <v>28</v>
      </c>
      <c r="C20" t="s">
        <v>87</v>
      </c>
      <c r="E20" s="9"/>
      <c r="F20" t="s">
        <v>88</v>
      </c>
      <c r="G20" s="10">
        <v>0.1</v>
      </c>
      <c r="I20" s="9">
        <f>+SUMIF($N$3:$ZZ$3,I$3,$N20:$ZZ20)</f>
        <v>0</v>
      </c>
      <c r="J20" s="11" cm="1">
        <f t="array" ref="J20">MAX(IF($N$3:$EH$3=$J$3,N20:EH20))</f>
        <v>0</v>
      </c>
      <c r="K20" s="11" cm="1">
        <f t="array" ref="K20">MAX(IF($N$3:$EH$3=$J$3,N20:EH20))</f>
        <v>0</v>
      </c>
      <c r="L20" s="9"/>
      <c r="O20" s="10"/>
      <c r="P20" s="10"/>
      <c r="Q20" s="10"/>
      <c r="R20" s="10"/>
      <c r="V20" s="10"/>
      <c r="W20" s="10"/>
      <c r="X20" s="10"/>
      <c r="Y20" s="10"/>
      <c r="AC20" s="10"/>
      <c r="AD20" s="10">
        <v>0.5</v>
      </c>
      <c r="AE20" s="10"/>
      <c r="AF20" s="10">
        <v>0.5</v>
      </c>
      <c r="AJ20" s="10"/>
      <c r="AK20" s="10">
        <v>0.5</v>
      </c>
      <c r="AL20" s="10"/>
      <c r="AM20" s="10">
        <v>0.5</v>
      </c>
      <c r="AQ20" s="10"/>
      <c r="AR20" s="10">
        <v>0.5</v>
      </c>
      <c r="AS20" s="10"/>
      <c r="AT20" s="10">
        <v>0.5</v>
      </c>
      <c r="AX20" s="10"/>
      <c r="AY20" s="10">
        <v>0.5</v>
      </c>
      <c r="AZ20" s="10"/>
      <c r="BA20" s="10">
        <v>0.5</v>
      </c>
      <c r="BE20" s="10"/>
      <c r="BF20" s="10">
        <v>0.8</v>
      </c>
      <c r="BG20" s="10"/>
      <c r="BH20" s="10">
        <v>0.8</v>
      </c>
      <c r="BL20" s="10"/>
      <c r="BM20" s="10">
        <v>0.8</v>
      </c>
      <c r="BN20" s="10"/>
      <c r="BO20" s="10">
        <v>0.8</v>
      </c>
      <c r="BS20" s="10"/>
      <c r="BT20" s="10">
        <v>0.8</v>
      </c>
      <c r="BU20" s="10"/>
      <c r="BV20" s="10">
        <v>0.8</v>
      </c>
      <c r="BZ20" s="10"/>
      <c r="CA20" s="10">
        <v>0.8</v>
      </c>
      <c r="CB20" s="10"/>
      <c r="CC20" s="10">
        <v>0.8</v>
      </c>
      <c r="CG20" s="10"/>
      <c r="CH20" s="10">
        <v>1</v>
      </c>
      <c r="CI20" s="10"/>
      <c r="CJ20" s="10">
        <v>1</v>
      </c>
      <c r="CN20" s="10"/>
      <c r="CO20" s="10">
        <v>1</v>
      </c>
      <c r="CP20" s="10"/>
      <c r="CQ20" s="10">
        <v>1</v>
      </c>
      <c r="CU20" s="10"/>
      <c r="CV20" s="10">
        <v>1</v>
      </c>
      <c r="CW20" s="10"/>
      <c r="CX20" s="10">
        <v>1</v>
      </c>
      <c r="DB20" s="10"/>
      <c r="DC20" s="10">
        <v>1</v>
      </c>
      <c r="DD20" s="10"/>
      <c r="DE20" s="10">
        <v>1</v>
      </c>
      <c r="DI20" s="10"/>
      <c r="DJ20" s="10"/>
      <c r="DK20" s="10"/>
      <c r="DL20" s="10"/>
      <c r="DP20" s="10"/>
      <c r="DQ20" s="10"/>
      <c r="DR20" s="10"/>
      <c r="DS20" s="10"/>
      <c r="DW20" s="10"/>
      <c r="DX20" s="10"/>
      <c r="DY20" s="10"/>
      <c r="DZ20" s="10"/>
      <c r="ED20" s="10"/>
      <c r="EE20" s="10"/>
      <c r="EF20" s="10"/>
      <c r="EG20" s="10"/>
    </row>
    <row r="21" spans="2:137" outlineLevel="1">
      <c r="B21" t="s">
        <v>28</v>
      </c>
      <c r="C21" t="s">
        <v>87</v>
      </c>
      <c r="E21" s="9"/>
      <c r="F21" t="s">
        <v>89</v>
      </c>
      <c r="G21" s="10">
        <v>0.1</v>
      </c>
      <c r="I21" s="9">
        <f>+SUMIF($N$3:$ZZ$3,I$3,$N21:$ZZ21)</f>
        <v>0</v>
      </c>
      <c r="J21" s="11" cm="1">
        <f t="array" ref="J21">MAX(IF($N$3:$EH$3=$J$3,N21:EH21))</f>
        <v>0</v>
      </c>
      <c r="K21" s="11" cm="1">
        <f t="array" ref="K21">MAX(IF($N$3:$EH$3=$J$3,N21:EH21))</f>
        <v>0</v>
      </c>
      <c r="L21" s="9"/>
      <c r="O21" s="10"/>
      <c r="P21" s="10"/>
      <c r="Q21" s="10"/>
      <c r="R21" s="10"/>
      <c r="V21" s="10"/>
      <c r="W21" s="10"/>
      <c r="X21" s="10"/>
      <c r="Y21" s="10"/>
      <c r="AC21" s="10"/>
      <c r="AD21" s="10">
        <v>0.5</v>
      </c>
      <c r="AE21" s="10"/>
      <c r="AF21" s="10">
        <v>0.5</v>
      </c>
      <c r="AJ21" s="10"/>
      <c r="AK21" s="10">
        <v>0.5</v>
      </c>
      <c r="AL21" s="10"/>
      <c r="AM21" s="10">
        <v>0.5</v>
      </c>
      <c r="AQ21" s="10"/>
      <c r="AR21" s="10">
        <v>0.5</v>
      </c>
      <c r="AS21" s="10"/>
      <c r="AT21" s="10">
        <v>0.5</v>
      </c>
      <c r="AX21" s="10"/>
      <c r="AY21" s="10">
        <v>0.5</v>
      </c>
      <c r="AZ21" s="10"/>
      <c r="BA21" s="10">
        <v>0.5</v>
      </c>
      <c r="BE21" s="10"/>
      <c r="BF21" s="10">
        <v>0.8</v>
      </c>
      <c r="BG21" s="10"/>
      <c r="BH21" s="10">
        <v>0.8</v>
      </c>
      <c r="BL21" s="10"/>
      <c r="BM21" s="10">
        <v>0.8</v>
      </c>
      <c r="BN21" s="10"/>
      <c r="BO21" s="10">
        <v>0.8</v>
      </c>
      <c r="BS21" s="10"/>
      <c r="BT21" s="10">
        <v>0.8</v>
      </c>
      <c r="BU21" s="10"/>
      <c r="BV21" s="10">
        <v>0.8</v>
      </c>
      <c r="BZ21" s="10"/>
      <c r="CA21" s="10">
        <v>0.8</v>
      </c>
      <c r="CB21" s="10"/>
      <c r="CC21" s="10">
        <v>0.8</v>
      </c>
      <c r="CG21" s="10"/>
      <c r="CH21" s="10">
        <v>1</v>
      </c>
      <c r="CI21" s="10"/>
      <c r="CJ21" s="10">
        <v>1</v>
      </c>
      <c r="CN21" s="10"/>
      <c r="CO21" s="10">
        <v>1</v>
      </c>
      <c r="CP21" s="10"/>
      <c r="CQ21" s="10">
        <v>1</v>
      </c>
      <c r="CU21" s="10"/>
      <c r="CV21" s="10">
        <v>1</v>
      </c>
      <c r="CW21" s="10"/>
      <c r="CX21" s="10">
        <v>1</v>
      </c>
      <c r="DB21" s="10"/>
      <c r="DC21" s="10">
        <v>1</v>
      </c>
      <c r="DD21" s="10"/>
      <c r="DE21" s="10">
        <v>1</v>
      </c>
      <c r="DI21" s="10"/>
      <c r="DJ21" s="10"/>
      <c r="DK21" s="10"/>
      <c r="DL21" s="10"/>
      <c r="DP21" s="10"/>
      <c r="DQ21" s="10"/>
      <c r="DR21" s="10"/>
      <c r="DS21" s="10"/>
      <c r="DW21" s="10"/>
      <c r="DX21" s="10"/>
      <c r="DY21" s="10"/>
      <c r="DZ21" s="10"/>
      <c r="ED21" s="10"/>
      <c r="EE21" s="10"/>
      <c r="EF21" s="10"/>
      <c r="EG21" s="10"/>
    </row>
    <row r="22" spans="2:137" outlineLevel="1">
      <c r="B22" t="s">
        <v>28</v>
      </c>
      <c r="C22" t="s">
        <v>87</v>
      </c>
      <c r="E22" s="9"/>
      <c r="F22" t="s">
        <v>90</v>
      </c>
      <c r="G22" s="10">
        <v>0.1</v>
      </c>
      <c r="I22" s="9">
        <f>+SUMIF($N$3:$ZZ$3,I$3,$N22:$ZZ22)</f>
        <v>0</v>
      </c>
      <c r="J22" s="11" cm="1">
        <f t="array" ref="J22">MAX(IF($N$3:$EH$3=$J$3,N22:EH22))</f>
        <v>0</v>
      </c>
      <c r="K22" s="11" cm="1">
        <f t="array" ref="K22">MAX(IF($N$3:$EH$3=$J$3,N22:EH22))</f>
        <v>0</v>
      </c>
      <c r="L22" s="9"/>
      <c r="O22" s="10"/>
      <c r="P22" s="10"/>
      <c r="Q22" s="10"/>
      <c r="R22" s="10"/>
      <c r="V22" s="10"/>
      <c r="W22" s="10"/>
      <c r="X22" s="10"/>
      <c r="Y22" s="10"/>
      <c r="AC22" s="10"/>
      <c r="AD22" s="10">
        <v>0.5</v>
      </c>
      <c r="AE22" s="10"/>
      <c r="AF22" s="10">
        <v>0.5</v>
      </c>
      <c r="AJ22" s="10"/>
      <c r="AK22" s="10">
        <v>0.5</v>
      </c>
      <c r="AL22" s="10"/>
      <c r="AM22" s="10">
        <v>0.5</v>
      </c>
      <c r="AQ22" s="10"/>
      <c r="AR22" s="10">
        <v>0.5</v>
      </c>
      <c r="AS22" s="10"/>
      <c r="AT22" s="10">
        <v>0.5</v>
      </c>
      <c r="AX22" s="10"/>
      <c r="AY22" s="10">
        <v>0.5</v>
      </c>
      <c r="AZ22" s="10"/>
      <c r="BA22" s="10">
        <v>0.5</v>
      </c>
      <c r="BE22" s="10"/>
      <c r="BF22" s="10">
        <v>0.8</v>
      </c>
      <c r="BG22" s="10"/>
      <c r="BH22" s="10">
        <v>0.8</v>
      </c>
      <c r="BL22" s="10"/>
      <c r="BM22" s="10">
        <v>0.8</v>
      </c>
      <c r="BN22" s="10"/>
      <c r="BO22" s="10">
        <v>0.8</v>
      </c>
      <c r="BS22" s="10"/>
      <c r="BT22" s="10">
        <v>0.8</v>
      </c>
      <c r="BU22" s="10"/>
      <c r="BV22" s="10">
        <v>0.8</v>
      </c>
      <c r="BZ22" s="10"/>
      <c r="CA22" s="10">
        <v>0.8</v>
      </c>
      <c r="CB22" s="10"/>
      <c r="CC22" s="10">
        <v>0.8</v>
      </c>
      <c r="CG22" s="10"/>
      <c r="CH22" s="10">
        <v>1</v>
      </c>
      <c r="CI22" s="10"/>
      <c r="CJ22" s="10">
        <v>1</v>
      </c>
      <c r="CN22" s="10"/>
      <c r="CO22" s="10">
        <v>1</v>
      </c>
      <c r="CP22" s="10"/>
      <c r="CQ22" s="10">
        <v>1</v>
      </c>
      <c r="CU22" s="10"/>
      <c r="CV22" s="10">
        <v>1</v>
      </c>
      <c r="CW22" s="10"/>
      <c r="CX22" s="10">
        <v>1</v>
      </c>
      <c r="DB22" s="10"/>
      <c r="DC22" s="10">
        <v>1</v>
      </c>
      <c r="DD22" s="10"/>
      <c r="DE22" s="10">
        <v>1</v>
      </c>
      <c r="DI22" s="10"/>
      <c r="DJ22" s="10"/>
      <c r="DK22" s="10"/>
      <c r="DL22" s="10"/>
      <c r="DP22" s="10"/>
      <c r="DQ22" s="10"/>
      <c r="DR22" s="10"/>
      <c r="DS22" s="10"/>
      <c r="DW22" s="10"/>
      <c r="DX22" s="10"/>
      <c r="DY22" s="10"/>
      <c r="DZ22" s="10"/>
      <c r="ED22" s="10"/>
      <c r="EE22" s="10"/>
      <c r="EF22" s="10"/>
      <c r="EG22" s="10"/>
    </row>
    <row r="23" spans="2:137" outlineLevel="1">
      <c r="B23" t="s">
        <v>28</v>
      </c>
      <c r="C23" t="s">
        <v>87</v>
      </c>
      <c r="E23" s="9"/>
      <c r="F23" t="s">
        <v>91</v>
      </c>
      <c r="G23" s="10">
        <v>0.1</v>
      </c>
      <c r="I23" s="9">
        <f>+SUMIF($N$3:$ZZ$3,I$3,$N23:$ZZ23)</f>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v>0.5</v>
      </c>
      <c r="AL23" s="10"/>
      <c r="AM23" s="10">
        <v>0.5</v>
      </c>
      <c r="AQ23" s="10"/>
      <c r="AR23" s="10">
        <v>0.5</v>
      </c>
      <c r="AS23" s="10"/>
      <c r="AT23" s="10">
        <v>0.5</v>
      </c>
      <c r="AX23" s="10"/>
      <c r="AY23" s="10">
        <v>0.5</v>
      </c>
      <c r="AZ23" s="10"/>
      <c r="BA23" s="10">
        <v>0.5</v>
      </c>
      <c r="BE23" s="10"/>
      <c r="BF23" s="10">
        <v>0.5</v>
      </c>
      <c r="BG23" s="10"/>
      <c r="BH23" s="10">
        <v>0.5</v>
      </c>
      <c r="BL23" s="10"/>
      <c r="BM23" s="10">
        <v>0.8</v>
      </c>
      <c r="BN23" s="10"/>
      <c r="BO23" s="10">
        <v>0.8</v>
      </c>
      <c r="BS23" s="10"/>
      <c r="BT23" s="10">
        <v>0.8</v>
      </c>
      <c r="BU23" s="10"/>
      <c r="BV23" s="10">
        <v>0.8</v>
      </c>
      <c r="BZ23" s="10"/>
      <c r="CA23" s="10">
        <v>0.8</v>
      </c>
      <c r="CB23" s="10"/>
      <c r="CC23" s="10">
        <v>0.8</v>
      </c>
      <c r="CG23" s="10"/>
      <c r="CH23" s="10">
        <v>0.8</v>
      </c>
      <c r="CI23" s="10"/>
      <c r="CJ23" s="10">
        <v>0.8</v>
      </c>
      <c r="CN23" s="10"/>
      <c r="CO23" s="10">
        <v>1</v>
      </c>
      <c r="CP23" s="10"/>
      <c r="CQ23" s="10">
        <v>1</v>
      </c>
      <c r="CU23" s="10"/>
      <c r="CV23" s="10">
        <v>1</v>
      </c>
      <c r="CW23" s="10"/>
      <c r="CX23" s="10">
        <v>1</v>
      </c>
      <c r="DB23" s="10"/>
      <c r="DC23" s="10">
        <v>1</v>
      </c>
      <c r="DD23" s="10"/>
      <c r="DE23" s="10">
        <v>1</v>
      </c>
      <c r="DI23" s="10"/>
      <c r="DJ23" s="10"/>
      <c r="DK23" s="10"/>
      <c r="DL23" s="10"/>
      <c r="DP23" s="10"/>
      <c r="DQ23" s="10"/>
      <c r="DR23" s="10"/>
      <c r="DS23" s="10"/>
      <c r="DW23" s="10"/>
      <c r="DX23" s="10"/>
      <c r="DY23" s="10"/>
      <c r="DZ23" s="10"/>
      <c r="ED23" s="10"/>
      <c r="EE23" s="10"/>
      <c r="EF23" s="10"/>
      <c r="EG23" s="10"/>
    </row>
    <row r="24" spans="2:137" outlineLevel="1">
      <c r="B24" t="s">
        <v>28</v>
      </c>
      <c r="C24" t="s">
        <v>87</v>
      </c>
      <c r="E24" s="9"/>
      <c r="F24" t="s">
        <v>92</v>
      </c>
      <c r="G24" s="10">
        <v>0.1</v>
      </c>
      <c r="I24" s="9">
        <f>+SUMIF($N$3:$ZZ$3,I$3,$N24:$ZZ24)</f>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v>0.5</v>
      </c>
      <c r="AL24" s="10"/>
      <c r="AM24" s="10">
        <v>0.5</v>
      </c>
      <c r="AQ24" s="10"/>
      <c r="AR24" s="10">
        <v>0.5</v>
      </c>
      <c r="AS24" s="10"/>
      <c r="AT24" s="10">
        <v>0.5</v>
      </c>
      <c r="AX24" s="10"/>
      <c r="AY24" s="10">
        <v>0.5</v>
      </c>
      <c r="AZ24" s="10"/>
      <c r="BA24" s="10">
        <v>0.5</v>
      </c>
      <c r="BE24" s="10"/>
      <c r="BF24" s="10">
        <v>0.5</v>
      </c>
      <c r="BG24" s="10"/>
      <c r="BH24" s="10">
        <v>0.5</v>
      </c>
      <c r="BL24" s="10"/>
      <c r="BM24" s="10">
        <v>0.8</v>
      </c>
      <c r="BN24" s="10"/>
      <c r="BO24" s="10">
        <v>0.8</v>
      </c>
      <c r="BS24" s="10"/>
      <c r="BT24" s="10">
        <v>0.8</v>
      </c>
      <c r="BU24" s="10"/>
      <c r="BV24" s="10">
        <v>0.8</v>
      </c>
      <c r="BZ24" s="10"/>
      <c r="CA24" s="10">
        <v>0.8</v>
      </c>
      <c r="CB24" s="10"/>
      <c r="CC24" s="10">
        <v>0.8</v>
      </c>
      <c r="CG24" s="10"/>
      <c r="CH24" s="10">
        <v>0.8</v>
      </c>
      <c r="CI24" s="10"/>
      <c r="CJ24" s="10">
        <v>0.8</v>
      </c>
      <c r="CN24" s="10"/>
      <c r="CO24" s="10">
        <v>1</v>
      </c>
      <c r="CP24" s="10"/>
      <c r="CQ24" s="10">
        <v>1</v>
      </c>
      <c r="CU24" s="10"/>
      <c r="CV24" s="10">
        <v>1</v>
      </c>
      <c r="CW24" s="10"/>
      <c r="CX24" s="10">
        <v>1</v>
      </c>
      <c r="DB24" s="10"/>
      <c r="DC24" s="10">
        <v>1</v>
      </c>
      <c r="DD24" s="10"/>
      <c r="DE24" s="10">
        <v>1</v>
      </c>
      <c r="DI24" s="10"/>
      <c r="DJ24" s="10"/>
      <c r="DK24" s="10"/>
      <c r="DL24" s="10"/>
      <c r="DP24" s="10"/>
      <c r="DQ24" s="10"/>
      <c r="DR24" s="10"/>
      <c r="DS24" s="10"/>
      <c r="DW24" s="10"/>
      <c r="DX24" s="10"/>
      <c r="DY24" s="10"/>
      <c r="DZ24" s="10"/>
      <c r="ED24" s="10"/>
      <c r="EE24" s="10"/>
      <c r="EF24" s="10"/>
      <c r="EG24" s="10"/>
    </row>
    <row r="25" spans="2:137" outlineLevel="1">
      <c r="B25" t="s">
        <v>28</v>
      </c>
      <c r="C25" t="s">
        <v>87</v>
      </c>
      <c r="E25" s="9"/>
      <c r="F25" t="s">
        <v>167</v>
      </c>
      <c r="G25" s="10"/>
      <c r="I25" s="9"/>
      <c r="J25" s="11"/>
      <c r="K25" s="11"/>
      <c r="L25" s="9"/>
      <c r="O25" s="10"/>
      <c r="P25" s="10"/>
      <c r="Q25" s="10"/>
      <c r="R25" s="10"/>
      <c r="V25" s="10"/>
      <c r="W25" s="10"/>
      <c r="X25" s="10"/>
      <c r="Y25" s="10"/>
      <c r="AC25" s="10"/>
      <c r="AD25" s="10"/>
      <c r="AE25" s="10"/>
      <c r="AF25" s="10"/>
      <c r="AJ25" s="10"/>
      <c r="AK25" s="10">
        <v>0.5</v>
      </c>
      <c r="AL25" s="10"/>
      <c r="AM25" s="10">
        <v>0.5</v>
      </c>
      <c r="AQ25" s="10"/>
      <c r="AR25" s="10">
        <v>0.5</v>
      </c>
      <c r="AS25" s="10"/>
      <c r="AT25" s="10">
        <v>0.5</v>
      </c>
      <c r="AX25" s="10"/>
      <c r="AY25" s="10">
        <v>0.5</v>
      </c>
      <c r="AZ25" s="10"/>
      <c r="BA25" s="10">
        <v>0.5</v>
      </c>
      <c r="BE25" s="10"/>
      <c r="BF25" s="10">
        <v>0.5</v>
      </c>
      <c r="BG25" s="10"/>
      <c r="BH25" s="10">
        <v>0.5</v>
      </c>
      <c r="BL25" s="10"/>
      <c r="BM25" s="10">
        <v>0.8</v>
      </c>
      <c r="BN25" s="10"/>
      <c r="BO25" s="10">
        <v>0.8</v>
      </c>
      <c r="BS25" s="10"/>
      <c r="BT25" s="10">
        <v>0.8</v>
      </c>
      <c r="BU25" s="10"/>
      <c r="BV25" s="10">
        <v>0.8</v>
      </c>
      <c r="BZ25" s="10"/>
      <c r="CA25" s="10">
        <v>0.8</v>
      </c>
      <c r="CB25" s="10"/>
      <c r="CC25" s="10">
        <v>0.8</v>
      </c>
      <c r="CG25" s="10"/>
      <c r="CH25" s="10">
        <v>0.8</v>
      </c>
      <c r="CI25" s="10"/>
      <c r="CJ25" s="10">
        <v>0.8</v>
      </c>
      <c r="CN25" s="10"/>
      <c r="CO25" s="10">
        <v>1</v>
      </c>
      <c r="CP25" s="10"/>
      <c r="CQ25" s="10">
        <v>1</v>
      </c>
      <c r="CU25" s="10"/>
      <c r="CV25" s="10">
        <v>1</v>
      </c>
      <c r="CW25" s="10"/>
      <c r="CX25" s="10">
        <v>1</v>
      </c>
      <c r="DB25" s="10"/>
      <c r="DC25" s="10">
        <v>1</v>
      </c>
      <c r="DD25" s="10"/>
      <c r="DE25" s="10">
        <v>1</v>
      </c>
      <c r="DI25" s="10"/>
      <c r="DJ25" s="10"/>
      <c r="DK25" s="10"/>
      <c r="DL25" s="10"/>
      <c r="DP25" s="10"/>
      <c r="DQ25" s="10"/>
      <c r="DR25" s="10"/>
      <c r="DS25" s="10"/>
      <c r="DW25" s="10"/>
      <c r="DX25" s="10"/>
      <c r="DY25" s="10"/>
      <c r="DZ25" s="10"/>
      <c r="ED25" s="10"/>
      <c r="EE25" s="10"/>
      <c r="EF25" s="10"/>
      <c r="EG25" s="10"/>
    </row>
    <row r="26" spans="2:137" outlineLevel="1">
      <c r="B26" t="s">
        <v>28</v>
      </c>
      <c r="C26" t="s">
        <v>87</v>
      </c>
      <c r="E26" s="9"/>
      <c r="F26" t="s">
        <v>93</v>
      </c>
      <c r="G26" s="10">
        <v>0.1</v>
      </c>
      <c r="I26" s="9">
        <f>+SUMIF($N$3:$ZZ$3,I$3,$N26:$ZZ26)</f>
        <v>0</v>
      </c>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v>0.5</v>
      </c>
      <c r="AS26" s="10"/>
      <c r="AT26" s="10">
        <v>0.5</v>
      </c>
      <c r="AX26" s="10"/>
      <c r="AY26" s="10">
        <v>0.5</v>
      </c>
      <c r="AZ26" s="10"/>
      <c r="BA26" s="10">
        <v>0.5</v>
      </c>
      <c r="BE26" s="10"/>
      <c r="BF26" s="10">
        <v>0.5</v>
      </c>
      <c r="BG26" s="10"/>
      <c r="BH26" s="10">
        <v>0.5</v>
      </c>
      <c r="BL26" s="10"/>
      <c r="BM26" s="10">
        <v>0.5</v>
      </c>
      <c r="BN26" s="10"/>
      <c r="BO26" s="10">
        <v>0.5</v>
      </c>
      <c r="BS26" s="10"/>
      <c r="BT26" s="10">
        <v>0.8</v>
      </c>
      <c r="BU26" s="10"/>
      <c r="BV26" s="10">
        <v>0.8</v>
      </c>
      <c r="BZ26" s="10"/>
      <c r="CA26" s="10">
        <v>0.8</v>
      </c>
      <c r="CB26" s="10"/>
      <c r="CC26" s="10">
        <v>0.8</v>
      </c>
      <c r="CG26" s="10"/>
      <c r="CH26" s="10">
        <v>0.8</v>
      </c>
      <c r="CI26" s="10"/>
      <c r="CJ26" s="10">
        <v>0.8</v>
      </c>
      <c r="CN26" s="10"/>
      <c r="CO26" s="10">
        <v>0.8</v>
      </c>
      <c r="CP26" s="10"/>
      <c r="CQ26" s="10">
        <v>0.8</v>
      </c>
      <c r="CU26" s="10"/>
      <c r="CV26" s="10">
        <v>1</v>
      </c>
      <c r="CW26" s="10"/>
      <c r="CX26" s="10">
        <v>1</v>
      </c>
      <c r="DB26" s="10"/>
      <c r="DC26" s="10">
        <v>1</v>
      </c>
      <c r="DD26" s="10"/>
      <c r="DE26" s="10">
        <v>1</v>
      </c>
      <c r="DI26" s="10"/>
      <c r="DJ26" s="10"/>
      <c r="DK26" s="10"/>
      <c r="DL26" s="10"/>
      <c r="DP26" s="10"/>
      <c r="DQ26" s="10"/>
      <c r="DR26" s="10"/>
      <c r="DS26" s="10"/>
      <c r="DW26" s="10"/>
      <c r="DX26" s="10"/>
      <c r="DY26" s="10"/>
      <c r="DZ26" s="10"/>
      <c r="ED26" s="10"/>
      <c r="EE26" s="10"/>
      <c r="EF26" s="10"/>
      <c r="EG26" s="10"/>
    </row>
    <row r="27" spans="2:137" outlineLevel="1">
      <c r="B27" t="s">
        <v>28</v>
      </c>
      <c r="C27" t="s">
        <v>87</v>
      </c>
      <c r="E27" s="9"/>
      <c r="F27" t="s">
        <v>94</v>
      </c>
      <c r="G27" s="10">
        <v>0.1</v>
      </c>
      <c r="I27" s="9">
        <f>+SUMIF($N$3:$ZZ$3,I$3,$N27:$ZZ27)</f>
        <v>0</v>
      </c>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v>0.5</v>
      </c>
      <c r="AS27" s="10"/>
      <c r="AT27" s="10">
        <v>0.5</v>
      </c>
      <c r="AX27" s="10"/>
      <c r="AY27" s="10">
        <v>0.5</v>
      </c>
      <c r="AZ27" s="10"/>
      <c r="BA27" s="10">
        <v>0.5</v>
      </c>
      <c r="BE27" s="10"/>
      <c r="BF27" s="10">
        <v>0.5</v>
      </c>
      <c r="BG27" s="10"/>
      <c r="BH27" s="10">
        <v>0.5</v>
      </c>
      <c r="BL27" s="10"/>
      <c r="BM27" s="10">
        <v>0.5</v>
      </c>
      <c r="BN27" s="10"/>
      <c r="BO27" s="10">
        <v>0.5</v>
      </c>
      <c r="BS27" s="10"/>
      <c r="BT27" s="10">
        <v>0.8</v>
      </c>
      <c r="BU27" s="10"/>
      <c r="BV27" s="10">
        <v>0.8</v>
      </c>
      <c r="BZ27" s="10"/>
      <c r="CA27" s="10">
        <v>0.8</v>
      </c>
      <c r="CB27" s="10"/>
      <c r="CC27" s="10">
        <v>0.8</v>
      </c>
      <c r="CG27" s="10"/>
      <c r="CH27" s="10">
        <v>0.8</v>
      </c>
      <c r="CI27" s="10"/>
      <c r="CJ27" s="10">
        <v>0.8</v>
      </c>
      <c r="CN27" s="10"/>
      <c r="CO27" s="10">
        <v>0.8</v>
      </c>
      <c r="CP27" s="10"/>
      <c r="CQ27" s="10">
        <v>0.8</v>
      </c>
      <c r="CU27" s="10"/>
      <c r="CV27" s="10">
        <v>1</v>
      </c>
      <c r="CW27" s="10"/>
      <c r="CX27" s="10">
        <v>1</v>
      </c>
      <c r="DB27" s="10"/>
      <c r="DC27" s="10">
        <v>1</v>
      </c>
      <c r="DD27" s="10"/>
      <c r="DE27" s="10">
        <v>1</v>
      </c>
      <c r="DI27" s="10"/>
      <c r="DJ27" s="10"/>
      <c r="DK27" s="10"/>
      <c r="DL27" s="10"/>
      <c r="DP27" s="10"/>
      <c r="DQ27" s="10"/>
      <c r="DR27" s="10"/>
      <c r="DS27" s="10"/>
      <c r="DW27" s="10"/>
      <c r="DX27" s="10"/>
      <c r="DY27" s="10"/>
      <c r="DZ27" s="10"/>
      <c r="ED27" s="10"/>
      <c r="EE27" s="10"/>
      <c r="EF27" s="10"/>
      <c r="EG27" s="10"/>
    </row>
    <row r="28" spans="2:137" outlineLevel="1">
      <c r="B28" t="s">
        <v>28</v>
      </c>
      <c r="C28" t="s">
        <v>87</v>
      </c>
      <c r="E28" s="9"/>
      <c r="F28" t="s">
        <v>95</v>
      </c>
      <c r="G28" s="10">
        <v>0.1</v>
      </c>
      <c r="I28" s="9">
        <f>+SUMIF($N$3:$ZZ$3,I$3,$N28:$ZZ28)</f>
        <v>0</v>
      </c>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v>0.5</v>
      </c>
      <c r="AS28" s="10"/>
      <c r="AT28" s="10">
        <v>0.5</v>
      </c>
      <c r="AX28" s="10"/>
      <c r="AY28" s="10">
        <v>0.5</v>
      </c>
      <c r="AZ28" s="10"/>
      <c r="BA28" s="10">
        <v>0.5</v>
      </c>
      <c r="BE28" s="10"/>
      <c r="BF28" s="10">
        <v>0.5</v>
      </c>
      <c r="BG28" s="10"/>
      <c r="BH28" s="10">
        <v>0.5</v>
      </c>
      <c r="BL28" s="10"/>
      <c r="BM28" s="10">
        <v>0.5</v>
      </c>
      <c r="BN28" s="10"/>
      <c r="BO28" s="10">
        <v>0.5</v>
      </c>
      <c r="BS28" s="10"/>
      <c r="BT28" s="10">
        <v>0.8</v>
      </c>
      <c r="BU28" s="10"/>
      <c r="BV28" s="10">
        <v>0.8</v>
      </c>
      <c r="BZ28" s="10"/>
      <c r="CA28" s="10">
        <v>0.8</v>
      </c>
      <c r="CB28" s="10"/>
      <c r="CC28" s="10">
        <v>0.8</v>
      </c>
      <c r="CG28" s="10"/>
      <c r="CH28" s="10">
        <v>0.8</v>
      </c>
      <c r="CI28" s="10"/>
      <c r="CJ28" s="10">
        <v>0.8</v>
      </c>
      <c r="CN28" s="10"/>
      <c r="CO28" s="10">
        <v>0.8</v>
      </c>
      <c r="CP28" s="10"/>
      <c r="CQ28" s="10">
        <v>0.8</v>
      </c>
      <c r="CU28" s="10"/>
      <c r="CV28" s="10">
        <v>1</v>
      </c>
      <c r="CW28" s="10"/>
      <c r="CX28" s="10">
        <v>1</v>
      </c>
      <c r="DB28" s="10"/>
      <c r="DC28" s="10">
        <v>1</v>
      </c>
      <c r="DD28" s="10"/>
      <c r="DE28" s="10">
        <v>1</v>
      </c>
      <c r="DI28" s="10"/>
      <c r="DJ28" s="10"/>
      <c r="DK28" s="10"/>
      <c r="DL28" s="10"/>
      <c r="DP28" s="10"/>
      <c r="DQ28" s="10"/>
      <c r="DR28" s="10"/>
      <c r="DS28" s="10"/>
      <c r="DW28" s="10"/>
      <c r="DX28" s="10"/>
      <c r="DY28" s="10"/>
      <c r="DZ28" s="10"/>
      <c r="ED28" s="10"/>
      <c r="EE28" s="10"/>
      <c r="EF28" s="10"/>
      <c r="EG28" s="10"/>
    </row>
    <row r="29" spans="2:137" outlineLevel="1">
      <c r="B29" t="s">
        <v>28</v>
      </c>
      <c r="C29" t="s">
        <v>87</v>
      </c>
      <c r="E29" s="9"/>
      <c r="F29" t="s">
        <v>96</v>
      </c>
      <c r="G29" s="10">
        <v>0.1</v>
      </c>
      <c r="I29" s="9">
        <f>+SUMIF($N$3:$ZZ$3,I$3,$N29:$ZZ29)</f>
        <v>0</v>
      </c>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c r="AS29" s="10"/>
      <c r="AT29" s="10"/>
      <c r="AX29" s="10"/>
      <c r="AY29" s="10">
        <v>0.5</v>
      </c>
      <c r="AZ29" s="10"/>
      <c r="BA29" s="10">
        <v>0.5</v>
      </c>
      <c r="BE29" s="10"/>
      <c r="BF29" s="10">
        <v>0.5</v>
      </c>
      <c r="BG29" s="10"/>
      <c r="BH29" s="10">
        <v>0.5</v>
      </c>
      <c r="BL29" s="10"/>
      <c r="BM29" s="10">
        <v>0.5</v>
      </c>
      <c r="BN29" s="10"/>
      <c r="BO29" s="10">
        <v>0.5</v>
      </c>
      <c r="BS29" s="10"/>
      <c r="BT29" s="10">
        <v>0.5</v>
      </c>
      <c r="BU29" s="10"/>
      <c r="BV29" s="10">
        <v>0.5</v>
      </c>
      <c r="BZ29" s="10"/>
      <c r="CA29" s="10">
        <v>0.8</v>
      </c>
      <c r="CB29" s="10"/>
      <c r="CC29" s="10">
        <v>0.8</v>
      </c>
      <c r="CG29" s="10"/>
      <c r="CH29" s="10">
        <v>0.8</v>
      </c>
      <c r="CI29" s="10"/>
      <c r="CJ29" s="10">
        <v>0.8</v>
      </c>
      <c r="CN29" s="10"/>
      <c r="CO29" s="10">
        <v>0.8</v>
      </c>
      <c r="CP29" s="10"/>
      <c r="CQ29" s="10">
        <v>0.8</v>
      </c>
      <c r="CU29" s="10"/>
      <c r="CV29" s="10">
        <v>0.8</v>
      </c>
      <c r="CW29" s="10"/>
      <c r="CX29" s="10">
        <v>0.8</v>
      </c>
      <c r="DB29" s="10"/>
      <c r="DC29" s="10">
        <v>1</v>
      </c>
      <c r="DD29" s="10"/>
      <c r="DE29" s="10">
        <v>1</v>
      </c>
      <c r="DI29" s="10"/>
      <c r="DJ29" s="10"/>
      <c r="DK29" s="10"/>
      <c r="DL29" s="10"/>
      <c r="DP29" s="10"/>
      <c r="DQ29" s="10"/>
      <c r="DR29" s="10"/>
      <c r="DS29" s="10"/>
      <c r="DW29" s="10"/>
      <c r="DX29" s="10"/>
      <c r="DY29" s="10"/>
      <c r="DZ29" s="10"/>
      <c r="ED29" s="10"/>
      <c r="EE29" s="10"/>
      <c r="EF29" s="10"/>
      <c r="EG29" s="10"/>
    </row>
    <row r="30" spans="2:137" outlineLevel="1">
      <c r="B30" t="s">
        <v>28</v>
      </c>
      <c r="C30" t="s">
        <v>87</v>
      </c>
      <c r="E30" s="9"/>
      <c r="F30" t="s">
        <v>97</v>
      </c>
      <c r="G30" s="10">
        <v>0.1</v>
      </c>
      <c r="I30" s="9">
        <f>+SUMIF($N$3:$ZZ$3,I$3,$N30:$ZZ30)</f>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v>0.5</v>
      </c>
      <c r="AZ30" s="10"/>
      <c r="BA30" s="10">
        <v>0.5</v>
      </c>
      <c r="BE30" s="10"/>
      <c r="BF30" s="10">
        <v>0.5</v>
      </c>
      <c r="BG30" s="10"/>
      <c r="BH30" s="10">
        <v>0.5</v>
      </c>
      <c r="BL30" s="10"/>
      <c r="BM30" s="10">
        <v>0.5</v>
      </c>
      <c r="BN30" s="10"/>
      <c r="BO30" s="10">
        <v>0.5</v>
      </c>
      <c r="BS30" s="10"/>
      <c r="BT30" s="10">
        <v>0.5</v>
      </c>
      <c r="BU30" s="10"/>
      <c r="BV30" s="10">
        <v>0.5</v>
      </c>
      <c r="BZ30" s="10"/>
      <c r="CA30" s="10">
        <v>0.8</v>
      </c>
      <c r="CB30" s="10"/>
      <c r="CC30" s="10">
        <v>0.8</v>
      </c>
      <c r="CG30" s="10"/>
      <c r="CH30" s="10">
        <v>0.8</v>
      </c>
      <c r="CI30" s="10"/>
      <c r="CJ30" s="10">
        <v>0.8</v>
      </c>
      <c r="CN30" s="10"/>
      <c r="CO30" s="10">
        <v>0.8</v>
      </c>
      <c r="CP30" s="10"/>
      <c r="CQ30" s="10">
        <v>0.8</v>
      </c>
      <c r="CU30" s="10"/>
      <c r="CV30" s="10">
        <v>0.8</v>
      </c>
      <c r="CW30" s="10"/>
      <c r="CX30" s="10">
        <v>0.8</v>
      </c>
      <c r="DB30" s="10"/>
      <c r="DC30" s="10">
        <v>1</v>
      </c>
      <c r="DD30" s="10"/>
      <c r="DE30" s="10">
        <v>1</v>
      </c>
      <c r="DI30" s="10"/>
      <c r="DJ30" s="10"/>
      <c r="DK30" s="10"/>
      <c r="DL30" s="10"/>
      <c r="DP30" s="10"/>
      <c r="DQ30" s="10"/>
      <c r="DR30" s="10"/>
      <c r="DS30" s="10"/>
      <c r="DW30" s="10"/>
      <c r="DX30" s="10"/>
      <c r="DY30" s="10"/>
      <c r="DZ30" s="10"/>
      <c r="ED30" s="10"/>
      <c r="EE30" s="10"/>
      <c r="EF30" s="10"/>
      <c r="EG30" s="10"/>
    </row>
    <row r="31" spans="2:137" outlineLevel="1">
      <c r="B31" t="s">
        <v>28</v>
      </c>
      <c r="C31" t="s">
        <v>87</v>
      </c>
      <c r="E31" s="9"/>
      <c r="F31" t="s">
        <v>98</v>
      </c>
      <c r="G31" s="10">
        <v>0.1</v>
      </c>
      <c r="I31" s="9">
        <f>+SUMIF($N$3:$ZZ$3,I$3,$N31:$ZZ31)</f>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v>0.5</v>
      </c>
      <c r="AZ31" s="10"/>
      <c r="BA31" s="10">
        <v>0.5</v>
      </c>
      <c r="BE31" s="10"/>
      <c r="BF31" s="10">
        <v>0.5</v>
      </c>
      <c r="BG31" s="10"/>
      <c r="BH31" s="10">
        <v>0.5</v>
      </c>
      <c r="BL31" s="10"/>
      <c r="BM31" s="10">
        <v>0.5</v>
      </c>
      <c r="BN31" s="10"/>
      <c r="BO31" s="10">
        <v>0.5</v>
      </c>
      <c r="BS31" s="10"/>
      <c r="BT31" s="10">
        <v>0.5</v>
      </c>
      <c r="BU31" s="10"/>
      <c r="BV31" s="10">
        <v>0.5</v>
      </c>
      <c r="BZ31" s="10"/>
      <c r="CA31" s="10">
        <v>0.8</v>
      </c>
      <c r="CB31" s="10"/>
      <c r="CC31" s="10">
        <v>0.8</v>
      </c>
      <c r="CG31" s="10"/>
      <c r="CH31" s="10">
        <v>0.8</v>
      </c>
      <c r="CI31" s="10"/>
      <c r="CJ31" s="10">
        <v>0.8</v>
      </c>
      <c r="CN31" s="10"/>
      <c r="CO31" s="10">
        <v>0.8</v>
      </c>
      <c r="CP31" s="10"/>
      <c r="CQ31" s="10">
        <v>0.8</v>
      </c>
      <c r="CU31" s="10"/>
      <c r="CV31" s="10">
        <v>0.8</v>
      </c>
      <c r="CW31" s="10"/>
      <c r="CX31" s="10">
        <v>0.8</v>
      </c>
      <c r="DB31" s="10"/>
      <c r="DC31" s="10">
        <v>1</v>
      </c>
      <c r="DD31" s="10"/>
      <c r="DE31" s="10">
        <v>1</v>
      </c>
      <c r="DI31" s="10"/>
      <c r="DJ31" s="10"/>
      <c r="DK31" s="10"/>
      <c r="DL31" s="10"/>
      <c r="DP31" s="10"/>
      <c r="DQ31" s="10"/>
      <c r="DR31" s="10"/>
      <c r="DS31" s="10"/>
      <c r="DW31" s="10"/>
      <c r="DX31" s="10"/>
      <c r="DY31" s="10"/>
      <c r="DZ31" s="10"/>
      <c r="ED31" s="10"/>
      <c r="EE31" s="10"/>
      <c r="EF31" s="10"/>
      <c r="EG31" s="10"/>
    </row>
    <row r="33" spans="2:137">
      <c r="B33" t="s">
        <v>27</v>
      </c>
      <c r="C33" t="s">
        <v>102</v>
      </c>
      <c r="D33" s="19">
        <v>46055</v>
      </c>
      <c r="E33" s="9">
        <v>5</v>
      </c>
      <c r="G33" s="10">
        <f>+SUM(G34:G43)</f>
        <v>0.99999999999999989</v>
      </c>
      <c r="I33" s="12">
        <f>+SUM(I34:I43)</f>
        <v>0</v>
      </c>
      <c r="J33" s="11">
        <f>+SUMPRODUCT(G34:G43,J34:J43)</f>
        <v>0</v>
      </c>
      <c r="K33" s="11">
        <f>+SUMPRODUCT(G34:G43,K34:K43)</f>
        <v>0</v>
      </c>
      <c r="L33" s="9"/>
      <c r="N33" s="12">
        <f>+SUM(N34:N43)</f>
        <v>0</v>
      </c>
      <c r="U33" s="12">
        <f>+SUM(U34:U43)</f>
        <v>0</v>
      </c>
      <c r="AB33" s="12">
        <f>+SUM(AB34:AB43)</f>
        <v>0</v>
      </c>
      <c r="AI33" s="12">
        <f>+SUM(AI34:AI43)</f>
        <v>0</v>
      </c>
      <c r="AP33" s="12">
        <f>+SUM(AP34:AP43)</f>
        <v>0</v>
      </c>
    </row>
    <row r="34" spans="2:137" ht="31.5" outlineLevel="1">
      <c r="B34" t="s">
        <v>28</v>
      </c>
      <c r="C34" t="s">
        <v>102</v>
      </c>
      <c r="E34" s="9"/>
      <c r="F34" s="1" t="s">
        <v>112</v>
      </c>
      <c r="G34" s="10">
        <v>0.1</v>
      </c>
      <c r="I34" s="9">
        <f>+SUMIF($N$3:$ZZ$3,I$3,$N34:$ZZ34)</f>
        <v>0</v>
      </c>
      <c r="J34" s="11" cm="1">
        <f t="array" ref="J34">MAX(IF($N$3:$EH$3=$J$3,N34:EH34))</f>
        <v>0</v>
      </c>
      <c r="K34" s="11" cm="1">
        <f t="array" ref="K34">MAX(IF($N$3:$EH$3=$J$3,N34:EH34))</f>
        <v>0</v>
      </c>
      <c r="L34" s="9"/>
      <c r="O34" s="10"/>
      <c r="P34" s="10">
        <v>0.5</v>
      </c>
      <c r="Q34" s="10"/>
      <c r="R34" s="10">
        <v>0.5</v>
      </c>
      <c r="V34" s="10"/>
      <c r="W34" s="10">
        <v>0.5</v>
      </c>
      <c r="X34" s="10"/>
      <c r="Y34" s="10">
        <v>0.5</v>
      </c>
      <c r="AC34" s="10"/>
      <c r="AD34" s="10">
        <v>0.5</v>
      </c>
      <c r="AE34" s="10"/>
      <c r="AF34" s="10">
        <v>0.5</v>
      </c>
      <c r="AJ34" s="10"/>
      <c r="AK34" s="10">
        <v>0.5</v>
      </c>
      <c r="AL34" s="10"/>
      <c r="AM34" s="10">
        <v>0.5</v>
      </c>
      <c r="AQ34" s="10"/>
      <c r="AR34" s="10">
        <v>0.8</v>
      </c>
      <c r="AS34" s="10"/>
      <c r="AT34" s="10">
        <v>0.8</v>
      </c>
      <c r="AX34" s="10"/>
      <c r="AY34" s="10">
        <v>0.8</v>
      </c>
      <c r="AZ34" s="10"/>
      <c r="BA34" s="10">
        <v>0.8</v>
      </c>
      <c r="BE34" s="10"/>
      <c r="BF34" s="10">
        <v>0.8</v>
      </c>
      <c r="BG34" s="10"/>
      <c r="BH34" s="10">
        <v>0.8</v>
      </c>
      <c r="BL34" s="10"/>
      <c r="BM34" s="10">
        <v>0.8</v>
      </c>
      <c r="BN34" s="10"/>
      <c r="BO34" s="10">
        <v>0.8</v>
      </c>
      <c r="BS34" s="10"/>
      <c r="BT34" s="10">
        <v>0.8</v>
      </c>
      <c r="BU34" s="10"/>
      <c r="BV34" s="10">
        <v>0.8</v>
      </c>
      <c r="BZ34" s="10"/>
      <c r="CA34" s="10">
        <v>1</v>
      </c>
      <c r="CB34" s="10"/>
      <c r="CC34" s="10">
        <v>1</v>
      </c>
      <c r="CG34" s="10"/>
      <c r="CH34" s="10">
        <v>1</v>
      </c>
      <c r="CI34" s="10"/>
      <c r="CJ34" s="10">
        <v>1</v>
      </c>
      <c r="CN34" s="10"/>
      <c r="CO34" s="10">
        <v>1</v>
      </c>
      <c r="CP34" s="10"/>
      <c r="CQ34" s="10">
        <v>1</v>
      </c>
      <c r="CU34" s="10"/>
      <c r="CV34" s="10">
        <v>1</v>
      </c>
      <c r="CW34" s="10"/>
      <c r="CX34" s="10">
        <v>1</v>
      </c>
      <c r="DB34" s="10"/>
      <c r="DC34" s="10">
        <v>1</v>
      </c>
      <c r="DD34" s="10"/>
      <c r="DE34" s="10">
        <v>1</v>
      </c>
      <c r="DI34" s="10"/>
      <c r="DJ34" s="10"/>
      <c r="DK34" s="10"/>
      <c r="DL34" s="10"/>
      <c r="DP34" s="10"/>
      <c r="DQ34" s="10"/>
      <c r="DR34" s="10"/>
      <c r="DS34" s="10"/>
      <c r="DW34" s="10"/>
      <c r="DX34" s="10"/>
      <c r="DY34" s="10"/>
      <c r="DZ34" s="10"/>
      <c r="ED34" s="10"/>
      <c r="EE34" s="10"/>
      <c r="EF34" s="10"/>
      <c r="EG34" s="10"/>
    </row>
    <row r="35" spans="2:137" outlineLevel="1">
      <c r="B35" t="s">
        <v>28</v>
      </c>
      <c r="C35" t="s">
        <v>102</v>
      </c>
      <c r="E35" s="9"/>
      <c r="F35" t="s">
        <v>113</v>
      </c>
      <c r="G35" s="10">
        <v>0.1</v>
      </c>
      <c r="I35" s="9">
        <f>+SUMIF($N$3:$ZZ$3,I$3,$N35:$ZZ35)</f>
        <v>0</v>
      </c>
      <c r="J35" s="11" cm="1">
        <f t="array" ref="J35">MAX(IF($N$3:$EH$3=$J$3,N35:EH35))</f>
        <v>0</v>
      </c>
      <c r="K35" s="11" cm="1">
        <f t="array" ref="K35">MAX(IF($N$3:$EH$3=$J$3,N35:EH35))</f>
        <v>0</v>
      </c>
      <c r="L35" s="9"/>
      <c r="O35" s="10"/>
      <c r="P35" s="10">
        <v>0.5</v>
      </c>
      <c r="Q35" s="10"/>
      <c r="R35" s="10">
        <v>0.5</v>
      </c>
      <c r="V35" s="10"/>
      <c r="W35" s="10">
        <v>0.5</v>
      </c>
      <c r="X35" s="10"/>
      <c r="Y35" s="10">
        <v>0.5</v>
      </c>
      <c r="AC35" s="10"/>
      <c r="AD35" s="10">
        <v>0.5</v>
      </c>
      <c r="AE35" s="10"/>
      <c r="AF35" s="10">
        <v>0.5</v>
      </c>
      <c r="AJ35" s="10"/>
      <c r="AK35" s="10">
        <v>0.5</v>
      </c>
      <c r="AL35" s="10"/>
      <c r="AM35" s="10">
        <v>0.5</v>
      </c>
      <c r="AQ35" s="10"/>
      <c r="AR35" s="10">
        <v>0.8</v>
      </c>
      <c r="AS35" s="10"/>
      <c r="AT35" s="10">
        <v>0.8</v>
      </c>
      <c r="AX35" s="10"/>
      <c r="AY35" s="10">
        <v>0.8</v>
      </c>
      <c r="AZ35" s="10"/>
      <c r="BA35" s="10">
        <v>0.8</v>
      </c>
      <c r="BE35" s="10"/>
      <c r="BF35" s="10">
        <v>0.8</v>
      </c>
      <c r="BG35" s="10"/>
      <c r="BH35" s="10">
        <v>0.8</v>
      </c>
      <c r="BL35" s="10"/>
      <c r="BM35" s="10">
        <v>0.8</v>
      </c>
      <c r="BN35" s="10"/>
      <c r="BO35" s="10">
        <v>0.8</v>
      </c>
      <c r="BS35" s="10"/>
      <c r="BT35" s="10">
        <v>0.8</v>
      </c>
      <c r="BU35" s="10"/>
      <c r="BV35" s="10">
        <v>0.8</v>
      </c>
      <c r="BZ35" s="10"/>
      <c r="CA35" s="10">
        <v>1</v>
      </c>
      <c r="CB35" s="10"/>
      <c r="CC35" s="10">
        <v>1</v>
      </c>
      <c r="CG35" s="10"/>
      <c r="CH35" s="10">
        <v>1</v>
      </c>
      <c r="CI35" s="10"/>
      <c r="CJ35" s="10">
        <v>1</v>
      </c>
      <c r="CN35" s="10"/>
      <c r="CO35" s="10">
        <v>1</v>
      </c>
      <c r="CP35" s="10"/>
      <c r="CQ35" s="10">
        <v>1</v>
      </c>
      <c r="CU35" s="10"/>
      <c r="CV35" s="10">
        <v>1</v>
      </c>
      <c r="CW35" s="10"/>
      <c r="CX35" s="10">
        <v>1</v>
      </c>
      <c r="DB35" s="10"/>
      <c r="DC35" s="10">
        <v>1</v>
      </c>
      <c r="DD35" s="10"/>
      <c r="DE35" s="10">
        <v>1</v>
      </c>
      <c r="DI35" s="10"/>
      <c r="DJ35" s="10"/>
      <c r="DK35" s="10"/>
      <c r="DL35" s="10"/>
      <c r="DP35" s="10"/>
      <c r="DQ35" s="10"/>
      <c r="DR35" s="10"/>
      <c r="DS35" s="10"/>
      <c r="DW35" s="10"/>
      <c r="DX35" s="10"/>
      <c r="DY35" s="10"/>
      <c r="DZ35" s="10"/>
      <c r="ED35" s="10"/>
      <c r="EE35" s="10"/>
      <c r="EF35" s="10"/>
      <c r="EG35" s="10"/>
    </row>
    <row r="36" spans="2:137" outlineLevel="1">
      <c r="B36" t="s">
        <v>28</v>
      </c>
      <c r="C36" t="s">
        <v>102</v>
      </c>
      <c r="E36" s="9"/>
      <c r="F36" t="s">
        <v>114</v>
      </c>
      <c r="G36" s="10">
        <v>0.1</v>
      </c>
      <c r="I36" s="9"/>
      <c r="J36" s="11" cm="1">
        <f t="array" ref="J36">MAX(IF($N$3:$EH$3=$J$3,N36:EH36))</f>
        <v>0</v>
      </c>
      <c r="K36" s="11" cm="1">
        <f t="array" ref="K36">MAX(IF($N$3:$EH$3=$J$3,N36:EH36))</f>
        <v>0</v>
      </c>
      <c r="L36" s="9"/>
      <c r="O36" s="10"/>
      <c r="P36" s="10">
        <v>0.5</v>
      </c>
      <c r="Q36" s="10"/>
      <c r="R36" s="10">
        <v>0.5</v>
      </c>
      <c r="V36" s="10"/>
      <c r="W36" s="10">
        <v>0.5</v>
      </c>
      <c r="X36" s="10"/>
      <c r="Y36" s="10">
        <v>0.5</v>
      </c>
      <c r="AC36" s="10"/>
      <c r="AD36" s="10">
        <v>0.5</v>
      </c>
      <c r="AE36" s="10"/>
      <c r="AF36" s="10">
        <v>0.5</v>
      </c>
      <c r="AJ36" s="10"/>
      <c r="AK36" s="10">
        <v>0.5</v>
      </c>
      <c r="AL36" s="10"/>
      <c r="AM36" s="10">
        <v>0.5</v>
      </c>
      <c r="AQ36" s="10"/>
      <c r="AR36" s="10">
        <v>0.5</v>
      </c>
      <c r="AS36" s="10"/>
      <c r="AT36" s="10">
        <v>0.5</v>
      </c>
      <c r="AX36" s="10"/>
      <c r="AY36" s="10">
        <v>0.8</v>
      </c>
      <c r="AZ36" s="10"/>
      <c r="BA36" s="10">
        <v>0.8</v>
      </c>
      <c r="BE36" s="10"/>
      <c r="BF36" s="10">
        <v>0.8</v>
      </c>
      <c r="BG36" s="10"/>
      <c r="BH36" s="10">
        <v>0.8</v>
      </c>
      <c r="BL36" s="10"/>
      <c r="BM36" s="10">
        <v>0.8</v>
      </c>
      <c r="BN36" s="10"/>
      <c r="BO36" s="10">
        <v>0.8</v>
      </c>
      <c r="BS36" s="10"/>
      <c r="BT36" s="10">
        <v>0.8</v>
      </c>
      <c r="BU36" s="10"/>
      <c r="BV36" s="10">
        <v>0.8</v>
      </c>
      <c r="BZ36" s="10"/>
      <c r="CA36" s="10">
        <v>0.8</v>
      </c>
      <c r="CB36" s="10"/>
      <c r="CC36" s="10">
        <v>0.8</v>
      </c>
      <c r="CG36" s="10"/>
      <c r="CH36" s="10">
        <v>1</v>
      </c>
      <c r="CI36" s="10"/>
      <c r="CJ36" s="10">
        <v>1</v>
      </c>
      <c r="CN36" s="10"/>
      <c r="CO36" s="10">
        <v>1</v>
      </c>
      <c r="CP36" s="10"/>
      <c r="CQ36" s="10">
        <v>1</v>
      </c>
      <c r="CU36" s="10"/>
      <c r="CV36" s="10">
        <v>1</v>
      </c>
      <c r="CW36" s="10"/>
      <c r="CX36" s="10">
        <v>1</v>
      </c>
      <c r="DB36" s="10"/>
      <c r="DC36" s="10">
        <v>1</v>
      </c>
      <c r="DD36" s="10"/>
      <c r="DE36" s="10">
        <v>1</v>
      </c>
      <c r="DI36" s="10"/>
      <c r="DJ36" s="10"/>
      <c r="DK36" s="10"/>
      <c r="DL36" s="10"/>
      <c r="DP36" s="10"/>
      <c r="DQ36" s="10"/>
      <c r="DR36" s="10"/>
      <c r="DS36" s="10"/>
      <c r="DW36" s="10"/>
      <c r="DX36" s="10"/>
      <c r="DY36" s="10"/>
      <c r="DZ36" s="10"/>
      <c r="ED36" s="10"/>
      <c r="EE36" s="10"/>
      <c r="EF36" s="10"/>
      <c r="EG36" s="10"/>
    </row>
    <row r="37" spans="2:137" outlineLevel="1">
      <c r="B37" t="s">
        <v>28</v>
      </c>
      <c r="C37" t="s">
        <v>102</v>
      </c>
      <c r="E37" s="9"/>
      <c r="F37" t="s">
        <v>115</v>
      </c>
      <c r="G37" s="10">
        <v>0.1</v>
      </c>
      <c r="I37" s="9">
        <f>+SUMIF($N$3:$ZZ$3,I$3,$N37:$ZZ37)</f>
        <v>0</v>
      </c>
      <c r="J37" s="11" cm="1">
        <f t="array" ref="J37">MAX(IF($N$3:$EH$3=$J$3,N37:EH37))</f>
        <v>0</v>
      </c>
      <c r="K37" s="11" cm="1">
        <f t="array" ref="K37">MAX(IF($N$3:$EH$3=$J$3,N37:EH37))</f>
        <v>0</v>
      </c>
      <c r="L37" s="9"/>
      <c r="O37" s="10"/>
      <c r="P37" s="10">
        <v>0.5</v>
      </c>
      <c r="Q37" s="10"/>
      <c r="R37" s="10">
        <v>0.5</v>
      </c>
      <c r="V37" s="10"/>
      <c r="W37" s="10">
        <v>0.5</v>
      </c>
      <c r="X37" s="10"/>
      <c r="Y37" s="10">
        <v>0.5</v>
      </c>
      <c r="AC37" s="10"/>
      <c r="AD37" s="10">
        <v>0.5</v>
      </c>
      <c r="AE37" s="10"/>
      <c r="AF37" s="10">
        <v>0.5</v>
      </c>
      <c r="AJ37" s="10"/>
      <c r="AK37" s="10">
        <v>0.5</v>
      </c>
      <c r="AL37" s="10"/>
      <c r="AM37" s="10">
        <v>0.5</v>
      </c>
      <c r="AQ37" s="10"/>
      <c r="AR37" s="10">
        <v>0.5</v>
      </c>
      <c r="AS37" s="10"/>
      <c r="AT37" s="10">
        <v>0.5</v>
      </c>
      <c r="AX37" s="10"/>
      <c r="AY37" s="10">
        <v>0.8</v>
      </c>
      <c r="AZ37" s="10"/>
      <c r="BA37" s="10">
        <v>0.8</v>
      </c>
      <c r="BE37" s="10"/>
      <c r="BF37" s="10">
        <v>0.8</v>
      </c>
      <c r="BG37" s="10"/>
      <c r="BH37" s="10">
        <v>0.8</v>
      </c>
      <c r="BL37" s="10"/>
      <c r="BM37" s="10">
        <v>0.8</v>
      </c>
      <c r="BN37" s="10"/>
      <c r="BO37" s="10">
        <v>0.8</v>
      </c>
      <c r="BS37" s="10"/>
      <c r="BT37" s="10">
        <v>0.8</v>
      </c>
      <c r="BU37" s="10"/>
      <c r="BV37" s="10">
        <v>0.8</v>
      </c>
      <c r="BZ37" s="10"/>
      <c r="CA37" s="10">
        <v>0.8</v>
      </c>
      <c r="CB37" s="10"/>
      <c r="CC37" s="10">
        <v>0.8</v>
      </c>
      <c r="CG37" s="10"/>
      <c r="CH37" s="10">
        <v>1</v>
      </c>
      <c r="CI37" s="10"/>
      <c r="CJ37" s="10">
        <v>1</v>
      </c>
      <c r="CN37" s="10"/>
      <c r="CO37" s="10">
        <v>1</v>
      </c>
      <c r="CP37" s="10"/>
      <c r="CQ37" s="10">
        <v>1</v>
      </c>
      <c r="CU37" s="10"/>
      <c r="CV37" s="10">
        <v>1</v>
      </c>
      <c r="CW37" s="10"/>
      <c r="CX37" s="10">
        <v>1</v>
      </c>
      <c r="DB37" s="10"/>
      <c r="DC37" s="10">
        <v>1</v>
      </c>
      <c r="DD37" s="10"/>
      <c r="DE37" s="10">
        <v>1</v>
      </c>
      <c r="DI37" s="10"/>
      <c r="DJ37" s="10"/>
      <c r="DK37" s="10"/>
      <c r="DL37" s="10"/>
      <c r="DP37" s="10"/>
      <c r="DQ37" s="10"/>
      <c r="DR37" s="10"/>
      <c r="DS37" s="10"/>
      <c r="DW37" s="10"/>
      <c r="DX37" s="10"/>
      <c r="DY37" s="10"/>
      <c r="DZ37" s="10"/>
      <c r="ED37" s="10"/>
      <c r="EE37" s="10"/>
      <c r="EF37" s="10"/>
      <c r="EG37" s="10"/>
    </row>
    <row r="38" spans="2:137" outlineLevel="1">
      <c r="B38" t="s">
        <v>28</v>
      </c>
      <c r="C38" t="s">
        <v>102</v>
      </c>
      <c r="E38" s="9"/>
      <c r="F38" t="s">
        <v>116</v>
      </c>
      <c r="G38" s="10">
        <v>0.1</v>
      </c>
      <c r="I38" s="9">
        <f>+SUMIF($N$3:$ZZ$3,I$3,$N38:$ZZ38)</f>
        <v>0</v>
      </c>
      <c r="J38" s="11" cm="1">
        <f t="array" ref="J38">MAX(IF($N$3:$EH$3=$J$3,N38:EH38))</f>
        <v>0</v>
      </c>
      <c r="K38" s="11" cm="1">
        <f t="array" ref="K38">MAX(IF($N$3:$EH$3=$J$3,N38:EH38))</f>
        <v>0</v>
      </c>
      <c r="L38" s="9"/>
      <c r="O38" s="10"/>
      <c r="P38" s="10"/>
      <c r="Q38" s="10"/>
      <c r="R38" s="10"/>
      <c r="V38" s="10"/>
      <c r="W38" s="10">
        <v>0.5</v>
      </c>
      <c r="X38" s="10"/>
      <c r="Y38" s="10">
        <v>0.5</v>
      </c>
      <c r="AC38" s="10"/>
      <c r="AD38" s="10">
        <v>0.5</v>
      </c>
      <c r="AE38" s="10"/>
      <c r="AF38" s="10">
        <v>0.5</v>
      </c>
      <c r="AJ38" s="10"/>
      <c r="AK38" s="10">
        <v>0.5</v>
      </c>
      <c r="AL38" s="10"/>
      <c r="AM38" s="10">
        <v>0.5</v>
      </c>
      <c r="AQ38" s="10"/>
      <c r="AR38" s="10">
        <v>0.5</v>
      </c>
      <c r="AS38" s="10"/>
      <c r="AT38" s="10">
        <v>0.5</v>
      </c>
      <c r="AX38" s="10"/>
      <c r="AY38" s="10">
        <v>0.5</v>
      </c>
      <c r="AZ38" s="10"/>
      <c r="BA38" s="10">
        <v>0.5</v>
      </c>
      <c r="BE38" s="10"/>
      <c r="BF38" s="10">
        <v>0.8</v>
      </c>
      <c r="BG38" s="10"/>
      <c r="BH38" s="10">
        <v>0.8</v>
      </c>
      <c r="BL38" s="10"/>
      <c r="BM38" s="10">
        <v>0.8</v>
      </c>
      <c r="BN38" s="10"/>
      <c r="BO38" s="10">
        <v>0.8</v>
      </c>
      <c r="BS38" s="10"/>
      <c r="BT38" s="10">
        <v>0.8</v>
      </c>
      <c r="BU38" s="10"/>
      <c r="BV38" s="10">
        <v>0.8</v>
      </c>
      <c r="BZ38" s="10"/>
      <c r="CA38" s="10">
        <v>0.8</v>
      </c>
      <c r="CB38" s="10"/>
      <c r="CC38" s="10">
        <v>0.8</v>
      </c>
      <c r="CG38" s="10"/>
      <c r="CH38" s="10">
        <v>0.8</v>
      </c>
      <c r="CI38" s="10"/>
      <c r="CJ38" s="10">
        <v>0.8</v>
      </c>
      <c r="CN38" s="10"/>
      <c r="CO38" s="10">
        <v>1</v>
      </c>
      <c r="CP38" s="10"/>
      <c r="CQ38" s="10">
        <v>1</v>
      </c>
      <c r="CU38" s="10"/>
      <c r="CV38" s="10">
        <v>1</v>
      </c>
      <c r="CW38" s="10"/>
      <c r="CX38" s="10">
        <v>1</v>
      </c>
      <c r="DB38" s="10"/>
      <c r="DC38" s="10">
        <v>1</v>
      </c>
      <c r="DD38" s="10"/>
      <c r="DE38" s="10">
        <v>1</v>
      </c>
      <c r="DI38" s="10"/>
      <c r="DJ38" s="10"/>
      <c r="DK38" s="10"/>
      <c r="DL38" s="10"/>
      <c r="DP38" s="10"/>
      <c r="DQ38" s="10"/>
      <c r="DR38" s="10"/>
      <c r="DS38" s="10"/>
      <c r="DW38" s="10"/>
      <c r="DX38" s="10"/>
      <c r="DY38" s="10"/>
      <c r="DZ38" s="10"/>
      <c r="ED38" s="10"/>
      <c r="EE38" s="10"/>
      <c r="EF38" s="10"/>
      <c r="EG38" s="10"/>
    </row>
    <row r="39" spans="2:137" outlineLevel="1">
      <c r="B39" t="s">
        <v>28</v>
      </c>
      <c r="C39" t="s">
        <v>102</v>
      </c>
      <c r="E39" s="9"/>
      <c r="F39" t="s">
        <v>117</v>
      </c>
      <c r="G39" s="10">
        <v>0.1</v>
      </c>
      <c r="I39" s="9"/>
      <c r="J39" s="11" cm="1">
        <f t="array" ref="J39">MAX(IF($N$3:$EH$3=$J$3,N39:EH39))</f>
        <v>0</v>
      </c>
      <c r="K39" s="11" cm="1">
        <f t="array" ref="K39">MAX(IF($N$3:$EH$3=$J$3,N39:EH39))</f>
        <v>0</v>
      </c>
      <c r="L39" s="9"/>
      <c r="O39" s="10"/>
      <c r="P39" s="10"/>
      <c r="Q39" s="10"/>
      <c r="R39" s="10"/>
      <c r="V39" s="10"/>
      <c r="W39" s="10">
        <v>0.5</v>
      </c>
      <c r="X39" s="10"/>
      <c r="Y39" s="10">
        <v>0.5</v>
      </c>
      <c r="AC39" s="10"/>
      <c r="AD39" s="10">
        <v>0.5</v>
      </c>
      <c r="AE39" s="10"/>
      <c r="AF39" s="10">
        <v>0.5</v>
      </c>
      <c r="AJ39" s="10"/>
      <c r="AK39" s="10">
        <v>0.5</v>
      </c>
      <c r="AL39" s="10"/>
      <c r="AM39" s="10">
        <v>0.5</v>
      </c>
      <c r="AQ39" s="10"/>
      <c r="AR39" s="10">
        <v>0.5</v>
      </c>
      <c r="AS39" s="10"/>
      <c r="AT39" s="10">
        <v>0.5</v>
      </c>
      <c r="AX39" s="10"/>
      <c r="AY39" s="10">
        <v>0.5</v>
      </c>
      <c r="AZ39" s="10"/>
      <c r="BA39" s="10">
        <v>0.5</v>
      </c>
      <c r="BE39" s="10"/>
      <c r="BF39" s="10">
        <v>0.8</v>
      </c>
      <c r="BG39" s="10"/>
      <c r="BH39" s="10">
        <v>0.8</v>
      </c>
      <c r="BL39" s="10"/>
      <c r="BM39" s="10">
        <v>0.8</v>
      </c>
      <c r="BN39" s="10"/>
      <c r="BO39" s="10">
        <v>0.8</v>
      </c>
      <c r="BS39" s="10"/>
      <c r="BT39" s="10">
        <v>0.8</v>
      </c>
      <c r="BU39" s="10"/>
      <c r="BV39" s="10">
        <v>0.8</v>
      </c>
      <c r="BZ39" s="10"/>
      <c r="CA39" s="10">
        <v>0.8</v>
      </c>
      <c r="CB39" s="10"/>
      <c r="CC39" s="10">
        <v>0.8</v>
      </c>
      <c r="CG39" s="10"/>
      <c r="CH39" s="10">
        <v>0.8</v>
      </c>
      <c r="CI39" s="10"/>
      <c r="CJ39" s="10">
        <v>0.8</v>
      </c>
      <c r="CN39" s="10"/>
      <c r="CO39" s="10">
        <v>1</v>
      </c>
      <c r="CP39" s="10"/>
      <c r="CQ39" s="10">
        <v>1</v>
      </c>
      <c r="CU39" s="10"/>
      <c r="CV39" s="10">
        <v>1</v>
      </c>
      <c r="CW39" s="10"/>
      <c r="CX39" s="10">
        <v>1</v>
      </c>
      <c r="DB39" s="10"/>
      <c r="DC39" s="10">
        <v>1</v>
      </c>
      <c r="DD39" s="10"/>
      <c r="DE39" s="10">
        <v>1</v>
      </c>
      <c r="DI39" s="10"/>
      <c r="DJ39" s="10"/>
      <c r="DK39" s="10"/>
      <c r="DL39" s="10"/>
      <c r="DP39" s="10"/>
      <c r="DQ39" s="10"/>
      <c r="DR39" s="10"/>
      <c r="DS39" s="10"/>
      <c r="DW39" s="10"/>
      <c r="DX39" s="10"/>
      <c r="DY39" s="10"/>
      <c r="DZ39" s="10"/>
      <c r="ED39" s="10"/>
      <c r="EE39" s="10"/>
      <c r="EF39" s="10"/>
      <c r="EG39" s="10"/>
    </row>
    <row r="40" spans="2:137" outlineLevel="1">
      <c r="B40" t="s">
        <v>28</v>
      </c>
      <c r="C40" t="s">
        <v>102</v>
      </c>
      <c r="E40" s="9"/>
      <c r="F40" t="s">
        <v>118</v>
      </c>
      <c r="G40" s="10">
        <v>0.1</v>
      </c>
      <c r="I40" s="9"/>
      <c r="J40" s="11" cm="1">
        <f t="array" ref="J40">MAX(IF($N$3:$EH$3=$J$3,N40:EH40))</f>
        <v>0</v>
      </c>
      <c r="K40" s="11" cm="1">
        <f t="array" ref="K40">MAX(IF($N$3:$EH$3=$J$3,N40:EH40))</f>
        <v>0</v>
      </c>
      <c r="L40" s="9"/>
      <c r="O40" s="10"/>
      <c r="P40" s="10"/>
      <c r="Q40" s="10"/>
      <c r="R40" s="10"/>
      <c r="V40" s="10"/>
      <c r="W40" s="10"/>
      <c r="X40" s="10"/>
      <c r="Y40" s="10"/>
      <c r="AC40" s="10"/>
      <c r="AD40" s="10">
        <v>0.5</v>
      </c>
      <c r="AE40" s="10"/>
      <c r="AF40" s="10">
        <v>0.5</v>
      </c>
      <c r="AJ40" s="10"/>
      <c r="AK40" s="10">
        <v>0.5</v>
      </c>
      <c r="AL40" s="10"/>
      <c r="AM40" s="10">
        <v>0.5</v>
      </c>
      <c r="AQ40" s="10"/>
      <c r="AR40" s="10">
        <v>0.5</v>
      </c>
      <c r="AS40" s="10"/>
      <c r="AT40" s="10">
        <v>0.5</v>
      </c>
      <c r="AX40" s="10"/>
      <c r="AY40" s="10">
        <v>0.5</v>
      </c>
      <c r="AZ40" s="10"/>
      <c r="BA40" s="10">
        <v>0.5</v>
      </c>
      <c r="BE40" s="10"/>
      <c r="BF40" s="10">
        <v>0.5</v>
      </c>
      <c r="BG40" s="10"/>
      <c r="BH40" s="10">
        <v>0.5</v>
      </c>
      <c r="BL40" s="10"/>
      <c r="BM40" s="10">
        <v>0.8</v>
      </c>
      <c r="BN40" s="10"/>
      <c r="BO40" s="10">
        <v>0.8</v>
      </c>
      <c r="BS40" s="10"/>
      <c r="BT40" s="10">
        <v>0.8</v>
      </c>
      <c r="BU40" s="10"/>
      <c r="BV40" s="10">
        <v>0.8</v>
      </c>
      <c r="BZ40" s="10"/>
      <c r="CA40" s="10">
        <v>0.8</v>
      </c>
      <c r="CB40" s="10"/>
      <c r="CC40" s="10">
        <v>0.8</v>
      </c>
      <c r="CG40" s="10"/>
      <c r="CH40" s="10">
        <v>0.8</v>
      </c>
      <c r="CI40" s="10"/>
      <c r="CJ40" s="10">
        <v>0.8</v>
      </c>
      <c r="CN40" s="10"/>
      <c r="CO40" s="10">
        <v>0.8</v>
      </c>
      <c r="CP40" s="10"/>
      <c r="CQ40" s="10">
        <v>0.8</v>
      </c>
      <c r="CU40" s="10"/>
      <c r="CV40" s="10">
        <v>1</v>
      </c>
      <c r="CW40" s="10"/>
      <c r="CX40" s="10">
        <v>1</v>
      </c>
      <c r="DB40" s="10"/>
      <c r="DC40" s="10">
        <v>1</v>
      </c>
      <c r="DD40" s="10"/>
      <c r="DE40" s="10">
        <v>1</v>
      </c>
      <c r="DI40" s="10"/>
      <c r="DJ40" s="10"/>
      <c r="DK40" s="10"/>
      <c r="DL40" s="10"/>
      <c r="DP40" s="10"/>
      <c r="DQ40" s="10"/>
      <c r="DR40" s="10"/>
      <c r="DS40" s="10"/>
      <c r="DW40" s="10"/>
      <c r="DX40" s="10"/>
      <c r="DY40" s="10"/>
      <c r="DZ40" s="10"/>
      <c r="ED40" s="10"/>
      <c r="EE40" s="10"/>
      <c r="EF40" s="10"/>
      <c r="EG40" s="10"/>
    </row>
    <row r="41" spans="2:137" outlineLevel="1">
      <c r="B41" t="s">
        <v>28</v>
      </c>
      <c r="C41" t="s">
        <v>102</v>
      </c>
      <c r="E41" s="9"/>
      <c r="F41" t="s">
        <v>119</v>
      </c>
      <c r="G41" s="10">
        <v>0.1</v>
      </c>
      <c r="I41" s="9"/>
      <c r="J41" s="11" cm="1">
        <f t="array" ref="J41">MAX(IF($N$3:$EH$3=$J$3,N41:EH41))</f>
        <v>0</v>
      </c>
      <c r="K41" s="11" cm="1">
        <f t="array" ref="K41">MAX(IF($N$3:$EH$3=$J$3,N41:EH41))</f>
        <v>0</v>
      </c>
      <c r="L41" s="9"/>
      <c r="O41" s="10"/>
      <c r="P41" s="10"/>
      <c r="Q41" s="10"/>
      <c r="R41" s="10"/>
      <c r="V41" s="10"/>
      <c r="W41" s="10"/>
      <c r="X41" s="10"/>
      <c r="Y41" s="10"/>
      <c r="AC41" s="10"/>
      <c r="AD41" s="10">
        <v>0.5</v>
      </c>
      <c r="AE41" s="10"/>
      <c r="AF41" s="10">
        <v>0.5</v>
      </c>
      <c r="AJ41" s="10"/>
      <c r="AK41" s="10">
        <v>0.5</v>
      </c>
      <c r="AL41" s="10"/>
      <c r="AM41" s="10">
        <v>0.5</v>
      </c>
      <c r="AQ41" s="10"/>
      <c r="AR41" s="10">
        <v>0.5</v>
      </c>
      <c r="AS41" s="10"/>
      <c r="AT41" s="10">
        <v>0.5</v>
      </c>
      <c r="AX41" s="10"/>
      <c r="AY41" s="10">
        <v>0.5</v>
      </c>
      <c r="AZ41" s="10"/>
      <c r="BA41" s="10">
        <v>0.5</v>
      </c>
      <c r="BE41" s="10"/>
      <c r="BF41" s="10">
        <v>0.5</v>
      </c>
      <c r="BG41" s="10"/>
      <c r="BH41" s="10">
        <v>0.5</v>
      </c>
      <c r="BL41" s="10"/>
      <c r="BM41" s="10">
        <v>0.8</v>
      </c>
      <c r="BN41" s="10"/>
      <c r="BO41" s="10">
        <v>0.8</v>
      </c>
      <c r="BS41" s="10"/>
      <c r="BT41" s="10">
        <v>0.8</v>
      </c>
      <c r="BU41" s="10"/>
      <c r="BV41" s="10">
        <v>0.8</v>
      </c>
      <c r="BZ41" s="10"/>
      <c r="CA41" s="10">
        <v>0.8</v>
      </c>
      <c r="CB41" s="10"/>
      <c r="CC41" s="10">
        <v>0.8</v>
      </c>
      <c r="CG41" s="10"/>
      <c r="CH41" s="10">
        <v>0.8</v>
      </c>
      <c r="CI41" s="10"/>
      <c r="CJ41" s="10">
        <v>0.8</v>
      </c>
      <c r="CN41" s="10"/>
      <c r="CO41" s="10">
        <v>0.8</v>
      </c>
      <c r="CP41" s="10"/>
      <c r="CQ41" s="10">
        <v>0.8</v>
      </c>
      <c r="CU41" s="10"/>
      <c r="CV41" s="10">
        <v>1</v>
      </c>
      <c r="CW41" s="10"/>
      <c r="CX41" s="10">
        <v>1</v>
      </c>
      <c r="DB41" s="10"/>
      <c r="DC41" s="10">
        <v>1</v>
      </c>
      <c r="DD41" s="10"/>
      <c r="DE41" s="10">
        <v>1</v>
      </c>
      <c r="DI41" s="10"/>
      <c r="DJ41" s="10"/>
      <c r="DK41" s="10"/>
      <c r="DL41" s="10"/>
      <c r="DP41" s="10"/>
      <c r="DQ41" s="10"/>
      <c r="DR41" s="10"/>
      <c r="DS41" s="10"/>
      <c r="DW41" s="10"/>
      <c r="DX41" s="10"/>
      <c r="DY41" s="10"/>
      <c r="DZ41" s="10"/>
      <c r="ED41" s="10"/>
      <c r="EE41" s="10"/>
      <c r="EF41" s="10"/>
      <c r="EG41" s="10"/>
    </row>
    <row r="42" spans="2:137" outlineLevel="1">
      <c r="B42" t="s">
        <v>28</v>
      </c>
      <c r="C42" t="s">
        <v>102</v>
      </c>
      <c r="E42" s="9"/>
      <c r="F42" t="s">
        <v>120</v>
      </c>
      <c r="G42" s="10">
        <v>0.1</v>
      </c>
      <c r="I42" s="9"/>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v>0.5</v>
      </c>
      <c r="AL42" s="10"/>
      <c r="AM42" s="10">
        <v>0.5</v>
      </c>
      <c r="AQ42" s="10"/>
      <c r="AR42" s="10">
        <v>0.5</v>
      </c>
      <c r="AS42" s="10"/>
      <c r="AT42" s="10">
        <v>0.5</v>
      </c>
      <c r="AX42" s="10"/>
      <c r="AY42" s="10">
        <v>0.5</v>
      </c>
      <c r="AZ42" s="10"/>
      <c r="BA42" s="10">
        <v>0.5</v>
      </c>
      <c r="BE42" s="10"/>
      <c r="BF42" s="10">
        <v>0.5</v>
      </c>
      <c r="BG42" s="10"/>
      <c r="BH42" s="10">
        <v>0.5</v>
      </c>
      <c r="BL42" s="10"/>
      <c r="BM42" s="10">
        <v>0.5</v>
      </c>
      <c r="BN42" s="10"/>
      <c r="BO42" s="10">
        <v>0.5</v>
      </c>
      <c r="BS42" s="10"/>
      <c r="BT42" s="10">
        <v>0.8</v>
      </c>
      <c r="BU42" s="10"/>
      <c r="BV42" s="10">
        <v>0.8</v>
      </c>
      <c r="BZ42" s="10"/>
      <c r="CA42" s="10">
        <v>0.8</v>
      </c>
      <c r="CB42" s="10"/>
      <c r="CC42" s="10">
        <v>0.8</v>
      </c>
      <c r="CG42" s="10"/>
      <c r="CH42" s="10">
        <v>0.8</v>
      </c>
      <c r="CI42" s="10"/>
      <c r="CJ42" s="10">
        <v>0.8</v>
      </c>
      <c r="CN42" s="10"/>
      <c r="CO42" s="10">
        <v>0.8</v>
      </c>
      <c r="CP42" s="10"/>
      <c r="CQ42" s="10">
        <v>0.8</v>
      </c>
      <c r="CU42" s="10"/>
      <c r="CV42" s="10">
        <v>0.8</v>
      </c>
      <c r="CW42" s="10"/>
      <c r="CX42" s="10">
        <v>0.8</v>
      </c>
      <c r="DB42" s="10"/>
      <c r="DC42" s="10">
        <v>1</v>
      </c>
      <c r="DD42" s="10"/>
      <c r="DE42" s="10">
        <v>1</v>
      </c>
      <c r="DI42" s="10"/>
      <c r="DJ42" s="10"/>
      <c r="DK42" s="10"/>
      <c r="DL42" s="10"/>
      <c r="DP42" s="10"/>
      <c r="DQ42" s="10"/>
      <c r="DR42" s="10"/>
      <c r="DS42" s="10"/>
      <c r="DW42" s="10"/>
      <c r="DX42" s="10"/>
      <c r="DY42" s="10"/>
      <c r="DZ42" s="10"/>
      <c r="ED42" s="10"/>
      <c r="EE42" s="10"/>
      <c r="EF42" s="10"/>
      <c r="EG42" s="10"/>
    </row>
    <row r="43" spans="2:137" outlineLevel="1">
      <c r="B43" t="s">
        <v>28</v>
      </c>
      <c r="C43" t="s">
        <v>102</v>
      </c>
      <c r="E43" s="9"/>
      <c r="F43" t="s">
        <v>121</v>
      </c>
      <c r="G43" s="10">
        <v>0.1</v>
      </c>
      <c r="I43" s="9">
        <f>+SUMIF($N$3:$ZZ$3,I$3,$N43:$ZZ43)</f>
        <v>0</v>
      </c>
      <c r="J43" s="11" cm="1">
        <f t="array" ref="J43">MAX(IF($N$3:$EH$3=$J$3,N43:EH43))</f>
        <v>0</v>
      </c>
      <c r="K43" s="11" cm="1">
        <f t="array" ref="K43">MAX(IF($N$3:$EH$3=$J$3,N43:EH43))</f>
        <v>0</v>
      </c>
      <c r="L43" s="9"/>
      <c r="O43" s="10"/>
      <c r="P43" s="10"/>
      <c r="Q43" s="10"/>
      <c r="R43" s="10"/>
      <c r="V43" s="10"/>
      <c r="W43" s="10"/>
      <c r="X43" s="10"/>
      <c r="Y43" s="10"/>
      <c r="AC43" s="10"/>
      <c r="AD43" s="10"/>
      <c r="AE43" s="10"/>
      <c r="AF43" s="10"/>
      <c r="AJ43" s="10"/>
      <c r="AK43" s="10">
        <v>0.5</v>
      </c>
      <c r="AL43" s="10"/>
      <c r="AM43" s="10">
        <v>0.5</v>
      </c>
      <c r="AQ43" s="10"/>
      <c r="AR43" s="10">
        <v>0.5</v>
      </c>
      <c r="AS43" s="10"/>
      <c r="AT43" s="10">
        <v>0.5</v>
      </c>
      <c r="AX43" s="10"/>
      <c r="AY43" s="10">
        <v>0.5</v>
      </c>
      <c r="AZ43" s="10"/>
      <c r="BA43" s="10">
        <v>0.5</v>
      </c>
      <c r="BE43" s="10"/>
      <c r="BF43" s="10">
        <v>0.5</v>
      </c>
      <c r="BG43" s="10"/>
      <c r="BH43" s="10">
        <v>0.5</v>
      </c>
      <c r="BL43" s="10"/>
      <c r="BM43" s="10">
        <v>0.5</v>
      </c>
      <c r="BN43" s="10"/>
      <c r="BO43" s="10">
        <v>0.5</v>
      </c>
      <c r="BS43" s="10"/>
      <c r="BT43" s="10">
        <v>0.8</v>
      </c>
      <c r="BU43" s="10"/>
      <c r="BV43" s="10">
        <v>0.8</v>
      </c>
      <c r="BZ43" s="10"/>
      <c r="CA43" s="10">
        <v>0.8</v>
      </c>
      <c r="CB43" s="10"/>
      <c r="CC43" s="10">
        <v>0.8</v>
      </c>
      <c r="CG43" s="10"/>
      <c r="CH43" s="10">
        <v>0.8</v>
      </c>
      <c r="CI43" s="10"/>
      <c r="CJ43" s="10">
        <v>0.8</v>
      </c>
      <c r="CN43" s="10"/>
      <c r="CO43" s="10">
        <v>0.8</v>
      </c>
      <c r="CP43" s="10"/>
      <c r="CQ43" s="10">
        <v>0.8</v>
      </c>
      <c r="CU43" s="10"/>
      <c r="CV43" s="10">
        <v>0.8</v>
      </c>
      <c r="CW43" s="10"/>
      <c r="CX43" s="10">
        <v>0.8</v>
      </c>
      <c r="DB43" s="10"/>
      <c r="DC43" s="10">
        <v>1</v>
      </c>
      <c r="DD43" s="10"/>
      <c r="DE43" s="10">
        <v>1</v>
      </c>
      <c r="DI43" s="10"/>
      <c r="DJ43" s="10"/>
      <c r="DK43" s="10"/>
      <c r="DL43" s="10"/>
      <c r="DP43" s="10"/>
      <c r="DQ43" s="10"/>
      <c r="DR43" s="10"/>
      <c r="DS43" s="10"/>
      <c r="DW43" s="10"/>
      <c r="DX43" s="10"/>
      <c r="DY43" s="10"/>
      <c r="DZ43" s="10"/>
      <c r="ED43" s="10"/>
      <c r="EE43" s="10"/>
      <c r="EF43" s="10"/>
      <c r="EG43" s="10"/>
    </row>
    <row r="45" spans="2:137">
      <c r="B45" t="s">
        <v>27</v>
      </c>
      <c r="C45" t="s">
        <v>100</v>
      </c>
      <c r="D45" s="19">
        <v>46055</v>
      </c>
      <c r="E45" s="9">
        <v>5</v>
      </c>
      <c r="G45" s="10">
        <f>+SUM(G46:G55)</f>
        <v>0.99999999999999989</v>
      </c>
      <c r="I45" s="12">
        <f>+SUM(I46:I55)</f>
        <v>0</v>
      </c>
      <c r="J45" s="11">
        <f>+SUMPRODUCT(G46:G55,J46:J55)</f>
        <v>0</v>
      </c>
      <c r="K45" s="11">
        <f>+SUMPRODUCT(G46:G55,K46:K55)</f>
        <v>0</v>
      </c>
      <c r="L45" s="9"/>
      <c r="N45" s="12">
        <f>+SUM(N46:N55)</f>
        <v>0</v>
      </c>
      <c r="U45" s="12">
        <f>+SUM(U46:U55)</f>
        <v>0</v>
      </c>
      <c r="AB45" s="12">
        <f>+SUM(AB46:AB55)</f>
        <v>0</v>
      </c>
      <c r="AI45" s="12">
        <f>+SUM(AI46:AI55)</f>
        <v>0</v>
      </c>
      <c r="AP45" s="12">
        <f>+SUM(AP46:AP55)</f>
        <v>0</v>
      </c>
    </row>
    <row r="46" spans="2:137" outlineLevel="1">
      <c r="B46" t="s">
        <v>28</v>
      </c>
      <c r="C46" t="s">
        <v>100</v>
      </c>
      <c r="E46" s="9"/>
      <c r="F46" t="s">
        <v>139</v>
      </c>
      <c r="G46" s="10">
        <v>0.1</v>
      </c>
      <c r="I46" s="9">
        <f>+SUMIF($N$3:$ZZ$3,I$3,$N46:$ZZ46)</f>
        <v>0</v>
      </c>
      <c r="J46" s="11" cm="1">
        <f t="array" ref="J46">MAX(IF($N$3:$EH$3=$J$3,N46:EH46))</f>
        <v>0</v>
      </c>
      <c r="K46" s="11" cm="1">
        <f t="array" ref="K46">MAX(IF($N$3:$EH$3=$J$3,N46:EH46))</f>
        <v>0</v>
      </c>
      <c r="L46" s="9"/>
      <c r="O46" s="10"/>
      <c r="P46" s="10"/>
      <c r="Q46" s="10"/>
      <c r="R46" s="10"/>
      <c r="V46" s="10"/>
      <c r="W46" s="10">
        <v>0.5</v>
      </c>
      <c r="X46" s="10"/>
      <c r="Y46" s="10">
        <v>0.5</v>
      </c>
      <c r="AC46" s="10"/>
      <c r="AD46" s="10">
        <v>0.5</v>
      </c>
      <c r="AE46" s="10"/>
      <c r="AF46" s="10">
        <v>0.5</v>
      </c>
      <c r="AJ46" s="10"/>
      <c r="AK46" s="10">
        <v>0.5</v>
      </c>
      <c r="AL46" s="10"/>
      <c r="AM46" s="10">
        <v>0.5</v>
      </c>
      <c r="AQ46" s="10"/>
      <c r="AR46" s="10">
        <v>0.8</v>
      </c>
      <c r="AS46" s="10"/>
      <c r="AT46" s="10">
        <v>0.8</v>
      </c>
      <c r="AX46" s="10"/>
      <c r="AY46" s="10">
        <v>0.8</v>
      </c>
      <c r="AZ46" s="10"/>
      <c r="BA46" s="10">
        <v>0.8</v>
      </c>
      <c r="BE46" s="10"/>
      <c r="BF46" s="10">
        <v>0.8</v>
      </c>
      <c r="BG46" s="10"/>
      <c r="BH46" s="10">
        <v>0.8</v>
      </c>
      <c r="BL46" s="10"/>
      <c r="BM46" s="10">
        <v>0.8</v>
      </c>
      <c r="BN46" s="10"/>
      <c r="BO46" s="10">
        <v>0.8</v>
      </c>
      <c r="BS46" s="10"/>
      <c r="BT46" s="10">
        <v>0.8</v>
      </c>
      <c r="BU46" s="10"/>
      <c r="BV46" s="10">
        <v>0.8</v>
      </c>
      <c r="BZ46" s="10"/>
      <c r="CA46" s="10">
        <v>1</v>
      </c>
      <c r="CB46" s="10"/>
      <c r="CC46" s="10">
        <v>1</v>
      </c>
      <c r="CG46" s="10"/>
      <c r="CH46" s="10">
        <v>1</v>
      </c>
      <c r="CI46" s="10"/>
      <c r="CJ46" s="10">
        <v>1</v>
      </c>
      <c r="CN46" s="10"/>
      <c r="CO46" s="10">
        <v>1</v>
      </c>
      <c r="CP46" s="10"/>
      <c r="CQ46" s="10">
        <v>1</v>
      </c>
      <c r="CU46" s="10"/>
      <c r="CV46" s="10">
        <v>1</v>
      </c>
      <c r="CW46" s="10"/>
      <c r="CX46" s="10">
        <v>1</v>
      </c>
      <c r="DB46" s="10"/>
      <c r="DC46" s="10">
        <v>1</v>
      </c>
      <c r="DD46" s="10"/>
      <c r="DE46" s="10">
        <v>1</v>
      </c>
      <c r="DI46" s="10"/>
      <c r="DJ46" s="10"/>
      <c r="DK46" s="10"/>
      <c r="DL46" s="10"/>
      <c r="DP46" s="10"/>
      <c r="DQ46" s="10"/>
      <c r="DR46" s="10"/>
      <c r="DS46" s="10"/>
      <c r="DW46" s="10"/>
      <c r="DX46" s="10"/>
      <c r="DY46" s="10"/>
      <c r="DZ46" s="10"/>
      <c r="ED46" s="10"/>
      <c r="EE46" s="10"/>
      <c r="EF46" s="10"/>
      <c r="EG46" s="10"/>
    </row>
    <row r="47" spans="2:137" outlineLevel="1">
      <c r="B47" t="s">
        <v>28</v>
      </c>
      <c r="C47" t="s">
        <v>100</v>
      </c>
      <c r="E47" s="9"/>
      <c r="F47" t="s">
        <v>140</v>
      </c>
      <c r="G47" s="10">
        <v>0.1</v>
      </c>
      <c r="I47" s="9">
        <f>+SUMIF($N$3:$ZZ$3,I$3,$N47:$ZZ47)</f>
        <v>0</v>
      </c>
      <c r="J47" s="11" cm="1">
        <f t="array" ref="J47">MAX(IF($N$3:$EH$3=$J$3,N47:EH47))</f>
        <v>0</v>
      </c>
      <c r="K47" s="11" cm="1">
        <f t="array" ref="K47">MAX(IF($N$3:$EH$3=$J$3,N47:EH47))</f>
        <v>0</v>
      </c>
      <c r="L47" s="9"/>
      <c r="O47" s="10"/>
      <c r="P47" s="10"/>
      <c r="Q47" s="10"/>
      <c r="R47" s="10"/>
      <c r="V47" s="10"/>
      <c r="W47" s="10">
        <v>0.5</v>
      </c>
      <c r="X47" s="10"/>
      <c r="Y47" s="10">
        <v>0.5</v>
      </c>
      <c r="AC47" s="10"/>
      <c r="AD47" s="10">
        <v>0.5</v>
      </c>
      <c r="AE47" s="10"/>
      <c r="AF47" s="10">
        <v>0.5</v>
      </c>
      <c r="AJ47" s="10"/>
      <c r="AK47" s="10">
        <v>0.5</v>
      </c>
      <c r="AL47" s="10"/>
      <c r="AM47" s="10">
        <v>0.5</v>
      </c>
      <c r="AQ47" s="10"/>
      <c r="AR47" s="10">
        <v>0.8</v>
      </c>
      <c r="AS47" s="10"/>
      <c r="AT47" s="10">
        <v>0.8</v>
      </c>
      <c r="AX47" s="10"/>
      <c r="AY47" s="10">
        <v>0.8</v>
      </c>
      <c r="AZ47" s="10"/>
      <c r="BA47" s="10">
        <v>0.8</v>
      </c>
      <c r="BE47" s="10"/>
      <c r="BF47" s="10">
        <v>0.8</v>
      </c>
      <c r="BG47" s="10"/>
      <c r="BH47" s="10">
        <v>0.8</v>
      </c>
      <c r="BL47" s="10"/>
      <c r="BM47" s="10">
        <v>0.8</v>
      </c>
      <c r="BN47" s="10"/>
      <c r="BO47" s="10">
        <v>0.8</v>
      </c>
      <c r="BS47" s="10"/>
      <c r="BT47" s="10">
        <v>0.8</v>
      </c>
      <c r="BU47" s="10"/>
      <c r="BV47" s="10">
        <v>0.8</v>
      </c>
      <c r="BZ47" s="10"/>
      <c r="CA47" s="10">
        <v>1</v>
      </c>
      <c r="CB47" s="10"/>
      <c r="CC47" s="10">
        <v>1</v>
      </c>
      <c r="CG47" s="10"/>
      <c r="CH47" s="10">
        <v>1</v>
      </c>
      <c r="CI47" s="10"/>
      <c r="CJ47" s="10">
        <v>1</v>
      </c>
      <c r="CN47" s="10"/>
      <c r="CO47" s="10">
        <v>1</v>
      </c>
      <c r="CP47" s="10"/>
      <c r="CQ47" s="10">
        <v>1</v>
      </c>
      <c r="CU47" s="10"/>
      <c r="CV47" s="10">
        <v>1</v>
      </c>
      <c r="CW47" s="10"/>
      <c r="CX47" s="10">
        <v>1</v>
      </c>
      <c r="DB47" s="10"/>
      <c r="DC47" s="10">
        <v>1</v>
      </c>
      <c r="DD47" s="10"/>
      <c r="DE47" s="10">
        <v>1</v>
      </c>
      <c r="DI47" s="10"/>
      <c r="DJ47" s="10"/>
      <c r="DK47" s="10"/>
      <c r="DL47" s="10"/>
      <c r="DP47" s="10"/>
      <c r="DQ47" s="10"/>
      <c r="DR47" s="10"/>
      <c r="DS47" s="10"/>
      <c r="DW47" s="10"/>
      <c r="DX47" s="10"/>
      <c r="DY47" s="10"/>
      <c r="DZ47" s="10"/>
      <c r="ED47" s="10"/>
      <c r="EE47" s="10"/>
      <c r="EF47" s="10"/>
      <c r="EG47" s="10"/>
    </row>
    <row r="48" spans="2:137" outlineLevel="1">
      <c r="B48" t="s">
        <v>28</v>
      </c>
      <c r="C48" t="s">
        <v>100</v>
      </c>
      <c r="E48" s="9"/>
      <c r="F48" t="s">
        <v>141</v>
      </c>
      <c r="G48" s="10">
        <v>0.1</v>
      </c>
      <c r="I48" s="9">
        <f>+SUMIF($N$3:$ZZ$3,I$3,$N48:$ZZ48)</f>
        <v>0</v>
      </c>
      <c r="J48" s="11" cm="1">
        <f t="array" ref="J48">MAX(IF($N$3:$EH$3=$J$3,N48:EH48))</f>
        <v>0</v>
      </c>
      <c r="K48" s="11" cm="1">
        <f t="array" ref="K48">MAX(IF($N$3:$EH$3=$J$3,N48:EH48))</f>
        <v>0</v>
      </c>
      <c r="L48" s="9"/>
      <c r="O48" s="10"/>
      <c r="P48" s="10"/>
      <c r="Q48" s="10"/>
      <c r="R48" s="10"/>
      <c r="V48" s="10"/>
      <c r="W48" s="10">
        <v>0.5</v>
      </c>
      <c r="X48" s="10"/>
      <c r="Y48" s="10">
        <v>0.5</v>
      </c>
      <c r="AC48" s="10"/>
      <c r="AD48" s="10">
        <v>0.5</v>
      </c>
      <c r="AE48" s="10"/>
      <c r="AF48" s="10">
        <v>0.5</v>
      </c>
      <c r="AJ48" s="10"/>
      <c r="AK48" s="10">
        <v>0.5</v>
      </c>
      <c r="AL48" s="10"/>
      <c r="AM48" s="10">
        <v>0.5</v>
      </c>
      <c r="AQ48" s="10"/>
      <c r="AR48" s="10">
        <v>0.5</v>
      </c>
      <c r="AS48" s="10"/>
      <c r="AT48" s="10">
        <v>0.5</v>
      </c>
      <c r="AX48" s="10"/>
      <c r="AY48" s="10">
        <v>0.8</v>
      </c>
      <c r="AZ48" s="10"/>
      <c r="BA48" s="10">
        <v>0.8</v>
      </c>
      <c r="BE48" s="10"/>
      <c r="BF48" s="10">
        <v>0.8</v>
      </c>
      <c r="BG48" s="10"/>
      <c r="BH48" s="10">
        <v>0.8</v>
      </c>
      <c r="BL48" s="10"/>
      <c r="BM48" s="10">
        <v>0.8</v>
      </c>
      <c r="BN48" s="10"/>
      <c r="BO48" s="10">
        <v>0.8</v>
      </c>
      <c r="BS48" s="10"/>
      <c r="BT48" s="10">
        <v>0.8</v>
      </c>
      <c r="BU48" s="10"/>
      <c r="BV48" s="10">
        <v>0.8</v>
      </c>
      <c r="BZ48" s="10"/>
      <c r="CA48" s="10">
        <v>0.8</v>
      </c>
      <c r="CB48" s="10"/>
      <c r="CC48" s="10">
        <v>0.8</v>
      </c>
      <c r="CG48" s="10"/>
      <c r="CH48" s="10">
        <v>1</v>
      </c>
      <c r="CI48" s="10"/>
      <c r="CJ48" s="10">
        <v>1</v>
      </c>
      <c r="CN48" s="10"/>
      <c r="CO48" s="10">
        <v>1</v>
      </c>
      <c r="CP48" s="10"/>
      <c r="CQ48" s="10">
        <v>1</v>
      </c>
      <c r="CU48" s="10"/>
      <c r="CV48" s="10">
        <v>1</v>
      </c>
      <c r="CW48" s="10"/>
      <c r="CX48" s="10">
        <v>1</v>
      </c>
      <c r="DB48" s="10"/>
      <c r="DC48" s="10">
        <v>1</v>
      </c>
      <c r="DD48" s="10"/>
      <c r="DE48" s="10">
        <v>1</v>
      </c>
      <c r="DI48" s="10"/>
      <c r="DJ48" s="10"/>
      <c r="DK48" s="10"/>
      <c r="DL48" s="10"/>
      <c r="DP48" s="10"/>
      <c r="DQ48" s="10"/>
      <c r="DR48" s="10"/>
      <c r="DS48" s="10"/>
      <c r="DW48" s="10"/>
      <c r="DX48" s="10"/>
      <c r="DY48" s="10"/>
      <c r="DZ48" s="10"/>
      <c r="ED48" s="10"/>
      <c r="EE48" s="10"/>
      <c r="EF48" s="10"/>
      <c r="EG48" s="10"/>
    </row>
    <row r="49" spans="2:137" outlineLevel="1">
      <c r="B49" t="s">
        <v>28</v>
      </c>
      <c r="C49" t="s">
        <v>100</v>
      </c>
      <c r="E49" s="9"/>
      <c r="F49" t="s">
        <v>142</v>
      </c>
      <c r="G49" s="10">
        <v>0.1</v>
      </c>
      <c r="I49" s="9">
        <f>+SUMIF($N$3:$ZZ$3,I$3,$N49:$ZZ49)</f>
        <v>0</v>
      </c>
      <c r="J49" s="11" cm="1">
        <f t="array" ref="J49">MAX(IF($N$3:$EH$3=$J$3,N49:EH49))</f>
        <v>0</v>
      </c>
      <c r="K49" s="11" cm="1">
        <f t="array" ref="K49">MAX(IF($N$3:$EH$3=$J$3,N49:EH49))</f>
        <v>0</v>
      </c>
      <c r="L49" s="9"/>
      <c r="O49" s="10"/>
      <c r="P49" s="10"/>
      <c r="Q49" s="10"/>
      <c r="R49" s="10"/>
      <c r="V49" s="10"/>
      <c r="W49" s="10"/>
      <c r="X49" s="10"/>
      <c r="Y49" s="10"/>
      <c r="AC49" s="10"/>
      <c r="AD49" s="10">
        <v>0.5</v>
      </c>
      <c r="AE49" s="10"/>
      <c r="AF49" s="10">
        <v>0.5</v>
      </c>
      <c r="AJ49" s="10"/>
      <c r="AK49" s="10">
        <v>0.5</v>
      </c>
      <c r="AL49" s="10"/>
      <c r="AM49" s="10">
        <v>0.5</v>
      </c>
      <c r="AQ49" s="10"/>
      <c r="AR49" s="10">
        <v>0.5</v>
      </c>
      <c r="AS49" s="10"/>
      <c r="AT49" s="10">
        <v>0.5</v>
      </c>
      <c r="AX49" s="10"/>
      <c r="AY49" s="10">
        <v>0.8</v>
      </c>
      <c r="AZ49" s="10"/>
      <c r="BA49" s="10">
        <v>0.8</v>
      </c>
      <c r="BE49" s="10"/>
      <c r="BF49" s="10">
        <v>0.8</v>
      </c>
      <c r="BG49" s="10"/>
      <c r="BH49" s="10">
        <v>0.8</v>
      </c>
      <c r="BL49" s="10"/>
      <c r="BM49" s="10">
        <v>0.8</v>
      </c>
      <c r="BN49" s="10"/>
      <c r="BO49" s="10">
        <v>0.8</v>
      </c>
      <c r="BS49" s="10"/>
      <c r="BT49" s="10">
        <v>0.8</v>
      </c>
      <c r="BU49" s="10"/>
      <c r="BV49" s="10">
        <v>0.8</v>
      </c>
      <c r="BZ49" s="10"/>
      <c r="CA49" s="10">
        <v>0.8</v>
      </c>
      <c r="CB49" s="10"/>
      <c r="CC49" s="10">
        <v>0.8</v>
      </c>
      <c r="CG49" s="10"/>
      <c r="CH49" s="10">
        <v>1</v>
      </c>
      <c r="CI49" s="10"/>
      <c r="CJ49" s="10">
        <v>1</v>
      </c>
      <c r="CN49" s="10"/>
      <c r="CO49" s="10">
        <v>1</v>
      </c>
      <c r="CP49" s="10"/>
      <c r="CQ49" s="10">
        <v>1</v>
      </c>
      <c r="CU49" s="10"/>
      <c r="CV49" s="10">
        <v>1</v>
      </c>
      <c r="CW49" s="10"/>
      <c r="CX49" s="10">
        <v>1</v>
      </c>
      <c r="DB49" s="10"/>
      <c r="DC49" s="10">
        <v>1</v>
      </c>
      <c r="DD49" s="10"/>
      <c r="DE49" s="10">
        <v>1</v>
      </c>
      <c r="DI49" s="10"/>
      <c r="DJ49" s="10"/>
      <c r="DK49" s="10"/>
      <c r="DL49" s="10"/>
      <c r="DP49" s="10"/>
      <c r="DQ49" s="10"/>
      <c r="DR49" s="10"/>
      <c r="DS49" s="10"/>
      <c r="DW49" s="10"/>
      <c r="DX49" s="10"/>
      <c r="DY49" s="10"/>
      <c r="DZ49" s="10"/>
      <c r="ED49" s="10"/>
      <c r="EE49" s="10"/>
      <c r="EF49" s="10"/>
      <c r="EG49" s="10"/>
    </row>
    <row r="50" spans="2:137" outlineLevel="1">
      <c r="B50" t="s">
        <v>28</v>
      </c>
      <c r="C50" t="s">
        <v>100</v>
      </c>
      <c r="E50" s="9"/>
      <c r="F50" t="s">
        <v>143</v>
      </c>
      <c r="G50" s="10">
        <v>0.1</v>
      </c>
      <c r="I50" s="9">
        <f>+SUMIF($N$3:$ZZ$3,I$3,$N50:$ZZ50)</f>
        <v>0</v>
      </c>
      <c r="J50" s="11" cm="1">
        <f t="array" ref="J50">MAX(IF($N$3:$EH$3=$J$3,N50:EH50))</f>
        <v>0</v>
      </c>
      <c r="K50" s="11" cm="1">
        <f t="array" ref="K50">MAX(IF($N$3:$EH$3=$J$3,N50:EH50))</f>
        <v>0</v>
      </c>
      <c r="L50" s="9"/>
      <c r="O50" s="10"/>
      <c r="P50" s="10"/>
      <c r="Q50" s="10"/>
      <c r="R50" s="10"/>
      <c r="V50" s="10"/>
      <c r="W50" s="10"/>
      <c r="X50" s="10"/>
      <c r="Y50" s="10"/>
      <c r="AC50" s="10"/>
      <c r="AD50" s="10">
        <v>0.5</v>
      </c>
      <c r="AE50" s="10"/>
      <c r="AF50" s="10">
        <v>0.5</v>
      </c>
      <c r="AJ50" s="10"/>
      <c r="AK50" s="10">
        <v>0.5</v>
      </c>
      <c r="AL50" s="10"/>
      <c r="AM50" s="10">
        <v>0.5</v>
      </c>
      <c r="AQ50" s="10"/>
      <c r="AR50" s="10">
        <v>0.5</v>
      </c>
      <c r="AS50" s="10"/>
      <c r="AT50" s="10">
        <v>0.5</v>
      </c>
      <c r="AX50" s="10"/>
      <c r="AY50" s="10">
        <v>0.5</v>
      </c>
      <c r="AZ50" s="10"/>
      <c r="BA50" s="10">
        <v>0.5</v>
      </c>
      <c r="BE50" s="10"/>
      <c r="BF50" s="10">
        <v>0.8</v>
      </c>
      <c r="BG50" s="10"/>
      <c r="BH50" s="10">
        <v>0.8</v>
      </c>
      <c r="BL50" s="10"/>
      <c r="BM50" s="10">
        <v>0.8</v>
      </c>
      <c r="BN50" s="10"/>
      <c r="BO50" s="10">
        <v>0.8</v>
      </c>
      <c r="BS50" s="10"/>
      <c r="BT50" s="10">
        <v>0.8</v>
      </c>
      <c r="BU50" s="10"/>
      <c r="BV50" s="10">
        <v>0.8</v>
      </c>
      <c r="BZ50" s="10"/>
      <c r="CA50" s="10">
        <v>0.8</v>
      </c>
      <c r="CB50" s="10"/>
      <c r="CC50" s="10">
        <v>0.8</v>
      </c>
      <c r="CG50" s="10"/>
      <c r="CH50" s="10">
        <v>0.8</v>
      </c>
      <c r="CI50" s="10"/>
      <c r="CJ50" s="10">
        <v>0.8</v>
      </c>
      <c r="CN50" s="10"/>
      <c r="CO50" s="10">
        <v>1</v>
      </c>
      <c r="CP50" s="10"/>
      <c r="CQ50" s="10">
        <v>1</v>
      </c>
      <c r="CU50" s="10"/>
      <c r="CV50" s="10">
        <v>1</v>
      </c>
      <c r="CW50" s="10"/>
      <c r="CX50" s="10">
        <v>1</v>
      </c>
      <c r="DB50" s="10"/>
      <c r="DC50" s="10">
        <v>1</v>
      </c>
      <c r="DD50" s="10"/>
      <c r="DE50" s="10">
        <v>1</v>
      </c>
      <c r="DI50" s="10"/>
      <c r="DJ50" s="10"/>
      <c r="DK50" s="10"/>
      <c r="DL50" s="10"/>
      <c r="DP50" s="10"/>
      <c r="DQ50" s="10"/>
      <c r="DR50" s="10"/>
      <c r="DS50" s="10"/>
      <c r="DW50" s="10"/>
      <c r="DX50" s="10"/>
      <c r="DY50" s="10"/>
      <c r="DZ50" s="10"/>
      <c r="ED50" s="10"/>
      <c r="EE50" s="10"/>
      <c r="EF50" s="10"/>
      <c r="EG50" s="10"/>
    </row>
    <row r="51" spans="2:137" outlineLevel="1">
      <c r="B51" t="s">
        <v>28</v>
      </c>
      <c r="C51" t="s">
        <v>100</v>
      </c>
      <c r="E51" s="9"/>
      <c r="F51" t="s">
        <v>148</v>
      </c>
      <c r="G51" s="10">
        <v>0.1</v>
      </c>
      <c r="I51" s="9">
        <f>+SUMIF($N$3:$ZZ$3,I$3,$N51:$ZZ51)</f>
        <v>0</v>
      </c>
      <c r="J51" s="11" cm="1">
        <f t="array" ref="J51">MAX(IF($N$3:$EH$3=$J$3,N51:EH51))</f>
        <v>0</v>
      </c>
      <c r="K51" s="11" cm="1">
        <f t="array" ref="K51">MAX(IF($N$3:$EH$3=$J$3,N51:EH51))</f>
        <v>0</v>
      </c>
      <c r="L51" s="9"/>
      <c r="O51" s="10"/>
      <c r="P51" s="10"/>
      <c r="Q51" s="10"/>
      <c r="R51" s="10"/>
      <c r="V51" s="10"/>
      <c r="W51" s="10"/>
      <c r="X51" s="10"/>
      <c r="Y51" s="10"/>
      <c r="AC51" s="10"/>
      <c r="AD51" s="10">
        <v>0.5</v>
      </c>
      <c r="AE51" s="10"/>
      <c r="AF51" s="10">
        <v>0.5</v>
      </c>
      <c r="AJ51" s="10"/>
      <c r="AK51" s="10">
        <v>0.5</v>
      </c>
      <c r="AL51" s="10"/>
      <c r="AM51" s="10">
        <v>0.5</v>
      </c>
      <c r="AQ51" s="10"/>
      <c r="AR51" s="10">
        <v>0.5</v>
      </c>
      <c r="AS51" s="10"/>
      <c r="AT51" s="10">
        <v>0.5</v>
      </c>
      <c r="AX51" s="10"/>
      <c r="AY51" s="10">
        <v>0.5</v>
      </c>
      <c r="AZ51" s="10"/>
      <c r="BA51" s="10">
        <v>0.5</v>
      </c>
      <c r="BE51" s="10"/>
      <c r="BF51" s="10">
        <v>0.8</v>
      </c>
      <c r="BG51" s="10"/>
      <c r="BH51" s="10">
        <v>0.8</v>
      </c>
      <c r="BL51" s="10"/>
      <c r="BM51" s="10">
        <v>0.8</v>
      </c>
      <c r="BN51" s="10"/>
      <c r="BO51" s="10">
        <v>0.8</v>
      </c>
      <c r="BS51" s="10"/>
      <c r="BT51" s="10">
        <v>0.8</v>
      </c>
      <c r="BU51" s="10"/>
      <c r="BV51" s="10">
        <v>0.8</v>
      </c>
      <c r="BZ51" s="10"/>
      <c r="CA51" s="10">
        <v>0.8</v>
      </c>
      <c r="CB51" s="10"/>
      <c r="CC51" s="10">
        <v>0.8</v>
      </c>
      <c r="CG51" s="10"/>
      <c r="CH51" s="10">
        <v>0.8</v>
      </c>
      <c r="CI51" s="10"/>
      <c r="CJ51" s="10">
        <v>0.8</v>
      </c>
      <c r="CN51" s="10"/>
      <c r="CO51" s="10">
        <v>1</v>
      </c>
      <c r="CP51" s="10"/>
      <c r="CQ51" s="10">
        <v>1</v>
      </c>
      <c r="CU51" s="10"/>
      <c r="CV51" s="10">
        <v>1</v>
      </c>
      <c r="CW51" s="10"/>
      <c r="CX51" s="10">
        <v>1</v>
      </c>
      <c r="DB51" s="10"/>
      <c r="DC51" s="10">
        <v>1</v>
      </c>
      <c r="DD51" s="10"/>
      <c r="DE51" s="10">
        <v>1</v>
      </c>
      <c r="DI51" s="10"/>
      <c r="DJ51" s="10"/>
      <c r="DK51" s="10"/>
      <c r="DL51" s="10"/>
      <c r="DP51" s="10"/>
      <c r="DQ51" s="10"/>
      <c r="DR51" s="10"/>
      <c r="DS51" s="10"/>
      <c r="DW51" s="10"/>
      <c r="DX51" s="10"/>
      <c r="DY51" s="10"/>
      <c r="DZ51" s="10"/>
      <c r="ED51" s="10"/>
      <c r="EE51" s="10"/>
      <c r="EF51" s="10"/>
      <c r="EG51" s="10"/>
    </row>
    <row r="52" spans="2:137" outlineLevel="1">
      <c r="B52" t="s">
        <v>28</v>
      </c>
      <c r="C52" t="s">
        <v>100</v>
      </c>
      <c r="E52" s="9"/>
      <c r="F52" t="s">
        <v>147</v>
      </c>
      <c r="G52" s="10">
        <v>0.1</v>
      </c>
      <c r="I52" s="9">
        <f>+SUMIF($N$3:$ZZ$3,I$3,$N52:$ZZ52)</f>
        <v>0</v>
      </c>
      <c r="J52" s="11" cm="1">
        <f t="array" ref="J52">MAX(IF($N$3:$EH$3=$J$3,N52:EH52))</f>
        <v>0</v>
      </c>
      <c r="K52" s="11" cm="1">
        <f t="array" ref="K52">MAX(IF($N$3:$EH$3=$J$3,N52:EH52))</f>
        <v>0</v>
      </c>
      <c r="L52" s="9"/>
      <c r="O52" s="10"/>
      <c r="P52" s="10"/>
      <c r="Q52" s="10"/>
      <c r="R52" s="10"/>
      <c r="V52" s="10"/>
      <c r="W52" s="10"/>
      <c r="X52" s="10"/>
      <c r="Y52" s="10"/>
      <c r="AC52" s="10"/>
      <c r="AD52" s="10">
        <v>0.5</v>
      </c>
      <c r="AE52" s="10"/>
      <c r="AF52" s="10">
        <v>0.5</v>
      </c>
      <c r="AJ52" s="10"/>
      <c r="AK52" s="10">
        <v>0.5</v>
      </c>
      <c r="AL52" s="10"/>
      <c r="AM52" s="10">
        <v>0.5</v>
      </c>
      <c r="AQ52" s="10"/>
      <c r="AR52" s="10">
        <v>0.5</v>
      </c>
      <c r="AS52" s="10"/>
      <c r="AT52" s="10">
        <v>0.5</v>
      </c>
      <c r="AX52" s="10"/>
      <c r="AY52" s="10">
        <v>0.5</v>
      </c>
      <c r="AZ52" s="10"/>
      <c r="BA52" s="10">
        <v>0.5</v>
      </c>
      <c r="BE52" s="10"/>
      <c r="BF52" s="10">
        <v>0.5</v>
      </c>
      <c r="BG52" s="10"/>
      <c r="BH52" s="10">
        <v>0.5</v>
      </c>
      <c r="BL52" s="10"/>
      <c r="BM52" s="10">
        <v>0.8</v>
      </c>
      <c r="BN52" s="10"/>
      <c r="BO52" s="10">
        <v>0.8</v>
      </c>
      <c r="BS52" s="10"/>
      <c r="BT52" s="10">
        <v>0.8</v>
      </c>
      <c r="BU52" s="10"/>
      <c r="BV52" s="10">
        <v>0.8</v>
      </c>
      <c r="BZ52" s="10"/>
      <c r="CA52" s="10">
        <v>0.8</v>
      </c>
      <c r="CB52" s="10"/>
      <c r="CC52" s="10">
        <v>0.8</v>
      </c>
      <c r="CG52" s="10"/>
      <c r="CH52" s="10">
        <v>0.8</v>
      </c>
      <c r="CI52" s="10"/>
      <c r="CJ52" s="10">
        <v>0.8</v>
      </c>
      <c r="CN52" s="10"/>
      <c r="CO52" s="10">
        <v>0.8</v>
      </c>
      <c r="CP52" s="10"/>
      <c r="CQ52" s="10">
        <v>0.8</v>
      </c>
      <c r="CU52" s="10"/>
      <c r="CV52" s="10">
        <v>1</v>
      </c>
      <c r="CW52" s="10"/>
      <c r="CX52" s="10">
        <v>1</v>
      </c>
      <c r="DB52" s="10"/>
      <c r="DC52" s="10">
        <v>1</v>
      </c>
      <c r="DD52" s="10"/>
      <c r="DE52" s="10">
        <v>1</v>
      </c>
      <c r="DI52" s="10"/>
      <c r="DJ52" s="10"/>
      <c r="DK52" s="10"/>
      <c r="DL52" s="10"/>
      <c r="DP52" s="10"/>
      <c r="DQ52" s="10"/>
      <c r="DR52" s="10"/>
      <c r="DS52" s="10"/>
      <c r="DW52" s="10"/>
      <c r="DX52" s="10"/>
      <c r="DY52" s="10"/>
      <c r="DZ52" s="10"/>
      <c r="ED52" s="10"/>
      <c r="EE52" s="10"/>
      <c r="EF52" s="10"/>
      <c r="EG52" s="10"/>
    </row>
    <row r="53" spans="2:137" outlineLevel="1">
      <c r="B53" t="s">
        <v>28</v>
      </c>
      <c r="C53" t="s">
        <v>100</v>
      </c>
      <c r="E53" s="9"/>
      <c r="F53" t="s">
        <v>146</v>
      </c>
      <c r="G53" s="10">
        <v>0.1</v>
      </c>
      <c r="I53" s="9">
        <f>+SUMIF($N$3:$ZZ$3,I$3,$N53:$ZZ53)</f>
        <v>0</v>
      </c>
      <c r="J53" s="11" cm="1">
        <f t="array" ref="J53">MAX(IF($N$3:$EH$3=$J$3,N53:EH53))</f>
        <v>0</v>
      </c>
      <c r="K53" s="11" cm="1">
        <f t="array" ref="K53">MAX(IF($N$3:$EH$3=$J$3,N53:EH53))</f>
        <v>0</v>
      </c>
      <c r="L53" s="9"/>
      <c r="O53" s="10"/>
      <c r="P53" s="10"/>
      <c r="Q53" s="10"/>
      <c r="R53" s="10"/>
      <c r="V53" s="10"/>
      <c r="W53" s="10"/>
      <c r="X53" s="10"/>
      <c r="Y53" s="10"/>
      <c r="AC53" s="10"/>
      <c r="AD53" s="10">
        <v>0.5</v>
      </c>
      <c r="AE53" s="10"/>
      <c r="AF53" s="10">
        <v>0.5</v>
      </c>
      <c r="AJ53" s="10"/>
      <c r="AK53" s="10">
        <v>0.5</v>
      </c>
      <c r="AL53" s="10"/>
      <c r="AM53" s="10">
        <v>0.5</v>
      </c>
      <c r="AQ53" s="10"/>
      <c r="AR53" s="10">
        <v>0.5</v>
      </c>
      <c r="AS53" s="10"/>
      <c r="AT53" s="10">
        <v>0.5</v>
      </c>
      <c r="AX53" s="10"/>
      <c r="AY53" s="10">
        <v>0.5</v>
      </c>
      <c r="AZ53" s="10"/>
      <c r="BA53" s="10">
        <v>0.5</v>
      </c>
      <c r="BE53" s="10"/>
      <c r="BF53" s="10">
        <v>0.5</v>
      </c>
      <c r="BG53" s="10"/>
      <c r="BH53" s="10">
        <v>0.5</v>
      </c>
      <c r="BL53" s="10"/>
      <c r="BM53" s="10">
        <v>0.8</v>
      </c>
      <c r="BN53" s="10"/>
      <c r="BO53" s="10">
        <v>0.8</v>
      </c>
      <c r="BS53" s="10"/>
      <c r="BT53" s="10">
        <v>0.8</v>
      </c>
      <c r="BU53" s="10"/>
      <c r="BV53" s="10">
        <v>0.8</v>
      </c>
      <c r="BZ53" s="10"/>
      <c r="CA53" s="10">
        <v>0.8</v>
      </c>
      <c r="CB53" s="10"/>
      <c r="CC53" s="10">
        <v>0.8</v>
      </c>
      <c r="CG53" s="10"/>
      <c r="CH53" s="10">
        <v>0.8</v>
      </c>
      <c r="CI53" s="10"/>
      <c r="CJ53" s="10">
        <v>0.8</v>
      </c>
      <c r="CN53" s="10"/>
      <c r="CO53" s="10">
        <v>0.8</v>
      </c>
      <c r="CP53" s="10"/>
      <c r="CQ53" s="10">
        <v>0.8</v>
      </c>
      <c r="CU53" s="10"/>
      <c r="CV53" s="10">
        <v>1</v>
      </c>
      <c r="CW53" s="10"/>
      <c r="CX53" s="10">
        <v>1</v>
      </c>
      <c r="DB53" s="10"/>
      <c r="DC53" s="10">
        <v>1</v>
      </c>
      <c r="DD53" s="10"/>
      <c r="DE53" s="10">
        <v>1</v>
      </c>
      <c r="DI53" s="10"/>
      <c r="DJ53" s="10"/>
      <c r="DK53" s="10"/>
      <c r="DL53" s="10"/>
      <c r="DP53" s="10"/>
      <c r="DQ53" s="10"/>
      <c r="DR53" s="10"/>
      <c r="DS53" s="10"/>
      <c r="DW53" s="10"/>
      <c r="DX53" s="10"/>
      <c r="DY53" s="10"/>
      <c r="DZ53" s="10"/>
      <c r="ED53" s="10"/>
      <c r="EE53" s="10"/>
      <c r="EF53" s="10"/>
      <c r="EG53" s="10"/>
    </row>
    <row r="54" spans="2:137" outlineLevel="1">
      <c r="B54" t="s">
        <v>28</v>
      </c>
      <c r="C54" t="s">
        <v>100</v>
      </c>
      <c r="E54" s="9"/>
      <c r="F54" t="s">
        <v>145</v>
      </c>
      <c r="G54" s="10">
        <v>0.1</v>
      </c>
      <c r="I54" s="9">
        <f>+SUMIF($N$3:$ZZ$3,I$3,$N54:$ZZ54)</f>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v>0.5</v>
      </c>
      <c r="AL54" s="10"/>
      <c r="AM54" s="10">
        <v>0.5</v>
      </c>
      <c r="AQ54" s="10"/>
      <c r="AR54" s="10">
        <v>0.5</v>
      </c>
      <c r="AS54" s="10"/>
      <c r="AT54" s="10">
        <v>0.5</v>
      </c>
      <c r="AX54" s="10"/>
      <c r="AY54" s="10">
        <v>0.5</v>
      </c>
      <c r="AZ54" s="10"/>
      <c r="BA54" s="10">
        <v>0.5</v>
      </c>
      <c r="BE54" s="10"/>
      <c r="BF54" s="10">
        <v>0.5</v>
      </c>
      <c r="BG54" s="10"/>
      <c r="BH54" s="10">
        <v>0.5</v>
      </c>
      <c r="BL54" s="10"/>
      <c r="BM54" s="10">
        <v>0.5</v>
      </c>
      <c r="BN54" s="10"/>
      <c r="BO54" s="10">
        <v>0.5</v>
      </c>
      <c r="BS54" s="10"/>
      <c r="BT54" s="10">
        <v>0.8</v>
      </c>
      <c r="BU54" s="10"/>
      <c r="BV54" s="10">
        <v>0.8</v>
      </c>
      <c r="BZ54" s="10"/>
      <c r="CA54" s="10">
        <v>0.8</v>
      </c>
      <c r="CB54" s="10"/>
      <c r="CC54" s="10">
        <v>0.8</v>
      </c>
      <c r="CG54" s="10"/>
      <c r="CH54" s="10">
        <v>0.8</v>
      </c>
      <c r="CI54" s="10"/>
      <c r="CJ54" s="10">
        <v>0.8</v>
      </c>
      <c r="CN54" s="10"/>
      <c r="CO54" s="10">
        <v>0.8</v>
      </c>
      <c r="CP54" s="10"/>
      <c r="CQ54" s="10">
        <v>0.8</v>
      </c>
      <c r="CU54" s="10"/>
      <c r="CV54" s="10">
        <v>0.8</v>
      </c>
      <c r="CW54" s="10"/>
      <c r="CX54" s="10">
        <v>0.8</v>
      </c>
      <c r="DB54" s="10"/>
      <c r="DC54" s="10">
        <v>1</v>
      </c>
      <c r="DD54" s="10"/>
      <c r="DE54" s="10">
        <v>1</v>
      </c>
      <c r="DI54" s="10"/>
      <c r="DJ54" s="10"/>
      <c r="DK54" s="10"/>
      <c r="DL54" s="10"/>
      <c r="DP54" s="10"/>
      <c r="DQ54" s="10"/>
      <c r="DR54" s="10"/>
      <c r="DS54" s="10"/>
      <c r="DW54" s="10"/>
      <c r="DX54" s="10"/>
      <c r="DY54" s="10"/>
      <c r="DZ54" s="10"/>
      <c r="ED54" s="10"/>
      <c r="EE54" s="10"/>
      <c r="EF54" s="10"/>
      <c r="EG54" s="10"/>
    </row>
    <row r="55" spans="2:137" outlineLevel="1">
      <c r="B55" t="s">
        <v>28</v>
      </c>
      <c r="C55" t="s">
        <v>100</v>
      </c>
      <c r="E55" s="9"/>
      <c r="F55" t="s">
        <v>144</v>
      </c>
      <c r="G55" s="10">
        <v>0.1</v>
      </c>
      <c r="I55" s="9">
        <f>+SUMIF($N$3:$ZZ$3,I$3,$N55:$ZZ55)</f>
        <v>0</v>
      </c>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v>0.5</v>
      </c>
      <c r="AL55" s="10"/>
      <c r="AM55" s="10">
        <v>0.5</v>
      </c>
      <c r="AQ55" s="10"/>
      <c r="AR55" s="10">
        <v>0.5</v>
      </c>
      <c r="AS55" s="10"/>
      <c r="AT55" s="10">
        <v>0.5</v>
      </c>
      <c r="AX55" s="10"/>
      <c r="AY55" s="10">
        <v>0.5</v>
      </c>
      <c r="AZ55" s="10"/>
      <c r="BA55" s="10">
        <v>0.5</v>
      </c>
      <c r="BE55" s="10"/>
      <c r="BF55" s="10">
        <v>0.5</v>
      </c>
      <c r="BG55" s="10"/>
      <c r="BH55" s="10">
        <v>0.5</v>
      </c>
      <c r="BL55" s="10"/>
      <c r="BM55" s="10">
        <v>0.5</v>
      </c>
      <c r="BN55" s="10"/>
      <c r="BO55" s="10">
        <v>0.5</v>
      </c>
      <c r="BS55" s="10"/>
      <c r="BT55" s="10">
        <v>0.8</v>
      </c>
      <c r="BU55" s="10"/>
      <c r="BV55" s="10">
        <v>0.8</v>
      </c>
      <c r="BZ55" s="10"/>
      <c r="CA55" s="10">
        <v>0.8</v>
      </c>
      <c r="CB55" s="10"/>
      <c r="CC55" s="10">
        <v>0.8</v>
      </c>
      <c r="CG55" s="10"/>
      <c r="CH55" s="10">
        <v>0.8</v>
      </c>
      <c r="CI55" s="10"/>
      <c r="CJ55" s="10">
        <v>0.8</v>
      </c>
      <c r="CN55" s="10"/>
      <c r="CO55" s="10">
        <v>0.8</v>
      </c>
      <c r="CP55" s="10"/>
      <c r="CQ55" s="10">
        <v>0.8</v>
      </c>
      <c r="CU55" s="10"/>
      <c r="CV55" s="10">
        <v>0.8</v>
      </c>
      <c r="CW55" s="10"/>
      <c r="CX55" s="10">
        <v>0.8</v>
      </c>
      <c r="DB55" s="10"/>
      <c r="DC55" s="10">
        <v>1</v>
      </c>
      <c r="DD55" s="10"/>
      <c r="DE55" s="10">
        <v>1</v>
      </c>
      <c r="DI55" s="10"/>
      <c r="DJ55" s="10"/>
      <c r="DK55" s="10"/>
      <c r="DL55" s="10"/>
      <c r="DP55" s="10"/>
      <c r="DQ55" s="10"/>
      <c r="DR55" s="10"/>
      <c r="DS55" s="10"/>
      <c r="DW55" s="10"/>
      <c r="DX55" s="10"/>
      <c r="DY55" s="10"/>
      <c r="DZ55" s="10"/>
      <c r="ED55" s="10"/>
      <c r="EE55" s="10"/>
      <c r="EF55" s="10"/>
      <c r="EG55" s="10"/>
    </row>
    <row r="56" spans="2:137">
      <c r="AR56" s="10"/>
    </row>
    <row r="57" spans="2:137">
      <c r="AR57" s="10"/>
    </row>
    <row r="58" spans="2:137">
      <c r="B58" t="s">
        <v>27</v>
      </c>
      <c r="C58" t="s">
        <v>101</v>
      </c>
      <c r="D58" s="19">
        <v>46055</v>
      </c>
      <c r="E58" s="9">
        <v>5</v>
      </c>
      <c r="G58" s="10">
        <f>+SUM(G59:G72)</f>
        <v>1.4000000000000001</v>
      </c>
      <c r="I58" s="12">
        <f>+SUM(I59:I72)</f>
        <v>0</v>
      </c>
      <c r="J58" s="11">
        <f>+SUMPRODUCT(G59:G72,J59:J72)</f>
        <v>0</v>
      </c>
      <c r="K58" s="11">
        <f>+SUMPRODUCT(G59:G72,K59:K72)</f>
        <v>0</v>
      </c>
      <c r="L58" s="9"/>
      <c r="N58" s="12">
        <f>+SUM(N59:N72)</f>
        <v>0</v>
      </c>
      <c r="U58" s="12">
        <f>+SUM(U59:U72)</f>
        <v>0</v>
      </c>
      <c r="AB58" s="12">
        <f>+SUM(AB59:AB72)</f>
        <v>0</v>
      </c>
      <c r="AI58" s="12">
        <f>+SUM(AI59:AI72)</f>
        <v>0</v>
      </c>
      <c r="AP58" s="12">
        <f>+SUM(AP59:AP72)</f>
        <v>0</v>
      </c>
    </row>
    <row r="59" spans="2:137" outlineLevel="1">
      <c r="B59" t="s">
        <v>28</v>
      </c>
      <c r="C59" t="s">
        <v>101</v>
      </c>
      <c r="E59" s="9"/>
      <c r="F59" t="s">
        <v>123</v>
      </c>
      <c r="G59" s="10">
        <v>0.1</v>
      </c>
      <c r="I59" s="9">
        <f>+SUMIF($N$3:$ZZ$3,I$3,$N59:$ZZ59)</f>
        <v>0</v>
      </c>
      <c r="J59" s="11" cm="1">
        <f t="array" ref="J59">MAX(IF($N$3:$EH$3=$J$3,N59:EH59))</f>
        <v>0</v>
      </c>
      <c r="K59" s="11" cm="1">
        <f t="array" ref="K59">MAX(IF($N$3:$EH$3=$J$3,N59:EH59))</f>
        <v>0</v>
      </c>
      <c r="L59" s="9"/>
      <c r="O59" s="10"/>
      <c r="P59" s="10">
        <v>0.5</v>
      </c>
      <c r="Q59" s="10"/>
      <c r="R59" s="10">
        <v>0.5</v>
      </c>
      <c r="V59" s="10"/>
      <c r="W59" s="10">
        <v>0.5</v>
      </c>
      <c r="X59" s="10"/>
      <c r="Y59" s="10">
        <v>0.5</v>
      </c>
      <c r="AC59" s="10"/>
      <c r="AD59" s="10">
        <v>0.5</v>
      </c>
      <c r="AE59" s="10"/>
      <c r="AF59" s="10">
        <v>0.5</v>
      </c>
      <c r="AJ59" s="10"/>
      <c r="AK59" s="10">
        <v>0.5</v>
      </c>
      <c r="AL59" s="10"/>
      <c r="AM59" s="10">
        <v>0.5</v>
      </c>
      <c r="AQ59" s="10"/>
      <c r="AR59" s="10">
        <v>0.8</v>
      </c>
      <c r="AS59" s="10"/>
      <c r="AT59" s="10">
        <v>0.8</v>
      </c>
      <c r="AX59" s="10"/>
      <c r="AY59" s="10">
        <v>0.8</v>
      </c>
      <c r="AZ59" s="10"/>
      <c r="BA59" s="10">
        <v>0.8</v>
      </c>
      <c r="BE59" s="10"/>
      <c r="BF59" s="10">
        <v>0.8</v>
      </c>
      <c r="BG59" s="10"/>
      <c r="BH59" s="10">
        <v>0.8</v>
      </c>
      <c r="BL59" s="10"/>
      <c r="BM59" s="10">
        <v>0.8</v>
      </c>
      <c r="BN59" s="10"/>
      <c r="BO59" s="10">
        <v>0.8</v>
      </c>
      <c r="BS59" s="10"/>
      <c r="BT59" s="10">
        <v>0.8</v>
      </c>
      <c r="BU59" s="10"/>
      <c r="BV59" s="10">
        <v>0.8</v>
      </c>
      <c r="BZ59" s="10"/>
      <c r="CA59" s="10">
        <v>1</v>
      </c>
      <c r="CB59" s="10"/>
      <c r="CC59" s="10">
        <v>1</v>
      </c>
      <c r="CG59" s="10"/>
      <c r="CH59" s="10">
        <v>1</v>
      </c>
      <c r="CI59" s="10"/>
      <c r="CJ59" s="10">
        <v>1</v>
      </c>
      <c r="CN59" s="10"/>
      <c r="CO59" s="10"/>
      <c r="CP59" s="10"/>
      <c r="CQ59" s="10"/>
      <c r="CU59" s="10"/>
      <c r="CV59" s="10"/>
      <c r="CW59" s="10"/>
      <c r="CX59" s="10"/>
      <c r="DB59" s="10"/>
      <c r="DC59" s="10">
        <v>1</v>
      </c>
      <c r="DD59" s="10"/>
      <c r="DE59" s="10">
        <v>1</v>
      </c>
      <c r="DI59" s="10"/>
      <c r="DJ59" s="10"/>
      <c r="DK59" s="10"/>
      <c r="DL59" s="10"/>
      <c r="DP59" s="10"/>
      <c r="DQ59" s="10"/>
      <c r="DR59" s="10"/>
      <c r="DS59" s="10"/>
      <c r="DW59" s="10"/>
      <c r="DX59" s="10"/>
      <c r="DY59" s="10"/>
      <c r="DZ59" s="10"/>
      <c r="ED59" s="10"/>
      <c r="EE59" s="10"/>
      <c r="EF59" s="10"/>
      <c r="EG59" s="10"/>
    </row>
    <row r="60" spans="2:137" outlineLevel="1">
      <c r="B60" t="s">
        <v>28</v>
      </c>
      <c r="C60" t="s">
        <v>101</v>
      </c>
      <c r="E60" s="9"/>
      <c r="F60" t="s">
        <v>124</v>
      </c>
      <c r="G60" s="10">
        <v>0.1</v>
      </c>
      <c r="I60" s="9">
        <f>+SUMIF($N$3:$ZZ$3,I$3,$N60:$ZZ60)</f>
        <v>0</v>
      </c>
      <c r="J60" s="11" cm="1">
        <f t="array" ref="J60">MAX(IF($N$3:$EH$3=$J$3,N60:EH60))</f>
        <v>0</v>
      </c>
      <c r="K60" s="11" cm="1">
        <f t="array" ref="K60">MAX(IF($N$3:$EH$3=$J$3,N60:EH60))</f>
        <v>0</v>
      </c>
      <c r="L60" s="9"/>
      <c r="O60" s="10"/>
      <c r="P60" s="10">
        <v>0.5</v>
      </c>
      <c r="Q60" s="10"/>
      <c r="R60" s="10">
        <v>0.5</v>
      </c>
      <c r="V60" s="10"/>
      <c r="W60" s="10">
        <v>0.5</v>
      </c>
      <c r="X60" s="10"/>
      <c r="Y60" s="10">
        <v>0.5</v>
      </c>
      <c r="AC60" s="10"/>
      <c r="AD60" s="10">
        <v>0.5</v>
      </c>
      <c r="AE60" s="10"/>
      <c r="AF60" s="10">
        <v>0.5</v>
      </c>
      <c r="AJ60" s="10"/>
      <c r="AK60" s="10">
        <v>0.5</v>
      </c>
      <c r="AL60" s="10"/>
      <c r="AM60" s="10">
        <v>0.5</v>
      </c>
      <c r="AQ60" s="10"/>
      <c r="AR60" s="10">
        <v>0.8</v>
      </c>
      <c r="AS60" s="10"/>
      <c r="AT60" s="10">
        <v>0.8</v>
      </c>
      <c r="AX60" s="10"/>
      <c r="AY60" s="10">
        <v>0.8</v>
      </c>
      <c r="AZ60" s="10"/>
      <c r="BA60" s="10">
        <v>0.8</v>
      </c>
      <c r="BE60" s="10"/>
      <c r="BF60" s="10">
        <v>0.8</v>
      </c>
      <c r="BG60" s="10"/>
      <c r="BH60" s="10">
        <v>0.8</v>
      </c>
      <c r="BL60" s="10"/>
      <c r="BM60" s="10">
        <v>0.8</v>
      </c>
      <c r="BN60" s="10"/>
      <c r="BO60" s="10">
        <v>0.8</v>
      </c>
      <c r="BS60" s="10"/>
      <c r="BT60" s="10">
        <v>0.8</v>
      </c>
      <c r="BU60" s="10"/>
      <c r="BV60" s="10">
        <v>0.8</v>
      </c>
      <c r="BZ60" s="10"/>
      <c r="CA60" s="10">
        <v>1</v>
      </c>
      <c r="CB60" s="10"/>
      <c r="CC60" s="10">
        <v>1</v>
      </c>
      <c r="CG60" s="10"/>
      <c r="CH60" s="10">
        <v>1</v>
      </c>
      <c r="CI60" s="10"/>
      <c r="CJ60" s="10">
        <v>1</v>
      </c>
      <c r="CN60" s="10"/>
      <c r="CO60" s="10">
        <v>1</v>
      </c>
      <c r="CP60" s="10"/>
      <c r="CQ60" s="10">
        <v>1</v>
      </c>
      <c r="CU60" s="10"/>
      <c r="CV60" s="10">
        <v>1</v>
      </c>
      <c r="CW60" s="10"/>
      <c r="CX60" s="10">
        <v>1</v>
      </c>
      <c r="DB60" s="10"/>
      <c r="DC60" s="10">
        <v>1</v>
      </c>
      <c r="DD60" s="10"/>
      <c r="DE60" s="10">
        <v>1</v>
      </c>
      <c r="DI60" s="10"/>
      <c r="DJ60" s="10"/>
      <c r="DK60" s="10"/>
      <c r="DL60" s="10"/>
      <c r="DP60" s="10"/>
      <c r="DQ60" s="10"/>
      <c r="DR60" s="10"/>
      <c r="DS60" s="10"/>
      <c r="DW60" s="10"/>
      <c r="DX60" s="10"/>
      <c r="DY60" s="10"/>
      <c r="DZ60" s="10"/>
      <c r="ED60" s="10"/>
      <c r="EE60" s="10"/>
      <c r="EF60" s="10"/>
      <c r="EG60" s="10"/>
    </row>
    <row r="61" spans="2:137" outlineLevel="1">
      <c r="B61" t="s">
        <v>28</v>
      </c>
      <c r="C61" t="s">
        <v>101</v>
      </c>
      <c r="E61" s="9"/>
      <c r="F61" t="s">
        <v>122</v>
      </c>
      <c r="G61" s="10">
        <v>0.1</v>
      </c>
      <c r="I61" s="9">
        <f>+SUMIF($N$3:$ZZ$3,I$3,$N61:$ZZ61)</f>
        <v>0</v>
      </c>
      <c r="J61" s="11" cm="1">
        <f t="array" ref="J61">MAX(IF($N$3:$EH$3=$J$3,N61:EH61))</f>
        <v>0</v>
      </c>
      <c r="K61" s="11" cm="1">
        <f t="array" ref="K61">MAX(IF($N$3:$EH$3=$J$3,N61:EH61))</f>
        <v>0</v>
      </c>
      <c r="L61" s="9"/>
      <c r="O61" s="10"/>
      <c r="P61" s="10">
        <v>0.5</v>
      </c>
      <c r="Q61" s="10"/>
      <c r="R61" s="10">
        <v>0.5</v>
      </c>
      <c r="V61" s="10"/>
      <c r="W61" s="10">
        <v>0.5</v>
      </c>
      <c r="X61" s="10"/>
      <c r="Y61" s="10">
        <v>0.5</v>
      </c>
      <c r="AC61" s="10"/>
      <c r="AD61" s="10">
        <v>0.5</v>
      </c>
      <c r="AE61" s="10"/>
      <c r="AF61" s="10">
        <v>0.5</v>
      </c>
      <c r="AJ61" s="10"/>
      <c r="AK61" s="10">
        <v>0.5</v>
      </c>
      <c r="AL61" s="10"/>
      <c r="AM61" s="10">
        <v>0.5</v>
      </c>
      <c r="AQ61" s="10"/>
      <c r="AR61" s="10">
        <v>0.5</v>
      </c>
      <c r="AS61" s="10"/>
      <c r="AT61" s="10">
        <v>0.5</v>
      </c>
      <c r="AX61" s="10"/>
      <c r="AY61" s="10">
        <v>0.8</v>
      </c>
      <c r="AZ61" s="10"/>
      <c r="BA61" s="10">
        <v>0.8</v>
      </c>
      <c r="BE61" s="10"/>
      <c r="BF61" s="10">
        <v>0.8</v>
      </c>
      <c r="BG61" s="10"/>
      <c r="BH61" s="10">
        <v>0.8</v>
      </c>
      <c r="BL61" s="10"/>
      <c r="BM61" s="10">
        <v>0.8</v>
      </c>
      <c r="BN61" s="10"/>
      <c r="BO61" s="10">
        <v>0.8</v>
      </c>
      <c r="BS61" s="10"/>
      <c r="BT61" s="10">
        <v>0.8</v>
      </c>
      <c r="BU61" s="10"/>
      <c r="BV61" s="10">
        <v>0.8</v>
      </c>
      <c r="BZ61" s="10"/>
      <c r="CA61" s="10">
        <v>0.8</v>
      </c>
      <c r="CB61" s="10"/>
      <c r="CC61" s="10">
        <v>0.8</v>
      </c>
      <c r="CG61" s="10"/>
      <c r="CH61" s="10">
        <v>1</v>
      </c>
      <c r="CI61" s="10"/>
      <c r="CJ61" s="10">
        <v>1</v>
      </c>
      <c r="CN61" s="10"/>
      <c r="CO61" s="10">
        <v>1</v>
      </c>
      <c r="CP61" s="10"/>
      <c r="CQ61" s="10">
        <v>1</v>
      </c>
      <c r="CU61" s="10"/>
      <c r="CV61" s="10">
        <v>1</v>
      </c>
      <c r="CW61" s="10"/>
      <c r="CX61" s="10">
        <v>1</v>
      </c>
      <c r="DB61" s="10"/>
      <c r="DC61" s="10">
        <v>1</v>
      </c>
      <c r="DD61" s="10"/>
      <c r="DE61" s="10">
        <v>1</v>
      </c>
      <c r="DI61" s="10"/>
      <c r="DJ61" s="10"/>
      <c r="DK61" s="10"/>
      <c r="DL61" s="10"/>
      <c r="DP61" s="10"/>
      <c r="DQ61" s="10"/>
      <c r="DR61" s="10"/>
      <c r="DS61" s="10"/>
      <c r="DW61" s="10"/>
      <c r="DX61" s="10"/>
      <c r="DY61" s="10"/>
      <c r="DZ61" s="10"/>
      <c r="ED61" s="10"/>
      <c r="EE61" s="10"/>
      <c r="EF61" s="10"/>
      <c r="EG61" s="10"/>
    </row>
    <row r="62" spans="2:137" outlineLevel="1">
      <c r="B62" t="s">
        <v>28</v>
      </c>
      <c r="C62" t="s">
        <v>101</v>
      </c>
      <c r="E62" s="9"/>
      <c r="F62" t="s">
        <v>125</v>
      </c>
      <c r="G62" s="10">
        <v>0.1</v>
      </c>
      <c r="I62" s="9">
        <f>+SUMIF($N$3:$ZZ$3,I$3,$N62:$ZZ62)</f>
        <v>0</v>
      </c>
      <c r="J62" s="11" cm="1">
        <f t="array" ref="J62">MAX(IF($N$3:$EH$3=$J$3,N62:EH62))</f>
        <v>0</v>
      </c>
      <c r="K62" s="11" cm="1">
        <f t="array" ref="K62">MAX(IF($N$3:$EH$3=$J$3,N62:EH62))</f>
        <v>0</v>
      </c>
      <c r="L62" s="9"/>
      <c r="O62" s="10"/>
      <c r="P62" s="10">
        <v>0.5</v>
      </c>
      <c r="Q62" s="10"/>
      <c r="R62" s="10">
        <v>0.5</v>
      </c>
      <c r="V62" s="10"/>
      <c r="W62" s="10">
        <v>0.5</v>
      </c>
      <c r="X62" s="10"/>
      <c r="Y62" s="10">
        <v>0.5</v>
      </c>
      <c r="AC62" s="10"/>
      <c r="AD62" s="10">
        <v>0.5</v>
      </c>
      <c r="AE62" s="10"/>
      <c r="AF62" s="10">
        <v>0.5</v>
      </c>
      <c r="AJ62" s="10"/>
      <c r="AK62" s="10">
        <v>0.5</v>
      </c>
      <c r="AL62" s="10"/>
      <c r="AM62" s="10">
        <v>0.5</v>
      </c>
      <c r="AQ62" s="10"/>
      <c r="AR62" s="10">
        <v>0.5</v>
      </c>
      <c r="AS62" s="10"/>
      <c r="AT62" s="10">
        <v>0.5</v>
      </c>
      <c r="AX62" s="10"/>
      <c r="AY62" s="10">
        <v>0.8</v>
      </c>
      <c r="AZ62" s="10"/>
      <c r="BA62" s="10">
        <v>0.8</v>
      </c>
      <c r="BE62" s="10"/>
      <c r="BF62" s="10">
        <v>0.8</v>
      </c>
      <c r="BG62" s="10"/>
      <c r="BH62" s="10">
        <v>0.8</v>
      </c>
      <c r="BL62" s="10"/>
      <c r="BM62" s="10">
        <v>0.8</v>
      </c>
      <c r="BN62" s="10"/>
      <c r="BO62" s="10">
        <v>0.8</v>
      </c>
      <c r="BS62" s="10"/>
      <c r="BT62" s="10">
        <v>0.8</v>
      </c>
      <c r="BU62" s="10"/>
      <c r="BV62" s="10">
        <v>0.8</v>
      </c>
      <c r="BZ62" s="10"/>
      <c r="CA62" s="10">
        <v>0.8</v>
      </c>
      <c r="CB62" s="10"/>
      <c r="CC62" s="10">
        <v>0.8</v>
      </c>
      <c r="CG62" s="10"/>
      <c r="CH62" s="10">
        <v>1</v>
      </c>
      <c r="CI62" s="10"/>
      <c r="CJ62" s="10">
        <v>1</v>
      </c>
      <c r="CN62" s="10"/>
      <c r="CO62" s="10">
        <v>1</v>
      </c>
      <c r="CP62" s="10"/>
      <c r="CQ62" s="10">
        <v>1</v>
      </c>
      <c r="CU62" s="10"/>
      <c r="CV62" s="10">
        <v>1</v>
      </c>
      <c r="CW62" s="10"/>
      <c r="CX62" s="10">
        <v>1</v>
      </c>
      <c r="DB62" s="10"/>
      <c r="DC62" s="10">
        <v>1</v>
      </c>
      <c r="DD62" s="10"/>
      <c r="DE62" s="10">
        <v>1</v>
      </c>
      <c r="DI62" s="10"/>
      <c r="DJ62" s="10"/>
      <c r="DK62" s="10"/>
      <c r="DL62" s="10"/>
      <c r="DP62" s="10"/>
      <c r="DQ62" s="10"/>
      <c r="DR62" s="10"/>
      <c r="DS62" s="10"/>
      <c r="DW62" s="10"/>
      <c r="DX62" s="10"/>
      <c r="DY62" s="10"/>
      <c r="DZ62" s="10"/>
      <c r="ED62" s="10"/>
      <c r="EE62" s="10"/>
      <c r="EF62" s="10"/>
      <c r="EG62" s="10"/>
    </row>
    <row r="63" spans="2:137" outlineLevel="1">
      <c r="B63" t="s">
        <v>28</v>
      </c>
      <c r="C63" t="s">
        <v>101</v>
      </c>
      <c r="E63" s="9"/>
      <c r="F63" t="s">
        <v>126</v>
      </c>
      <c r="G63" s="10">
        <v>0.1</v>
      </c>
      <c r="I63" s="9">
        <f>+SUMIF($N$3:$ZZ$3,I$3,$N63:$ZZ63)</f>
        <v>0</v>
      </c>
      <c r="J63" s="11" cm="1">
        <f t="array" ref="J63">MAX(IF($N$3:$EH$3=$J$3,N63:EH63))</f>
        <v>0</v>
      </c>
      <c r="K63" s="11" cm="1">
        <f t="array" ref="K63">MAX(IF($N$3:$EH$3=$J$3,N63:EH63))</f>
        <v>0</v>
      </c>
      <c r="L63" s="9"/>
      <c r="O63" s="10"/>
      <c r="P63" s="10"/>
      <c r="Q63" s="10"/>
      <c r="R63" s="10"/>
      <c r="V63" s="10"/>
      <c r="W63" s="10">
        <v>0.5</v>
      </c>
      <c r="X63" s="10"/>
      <c r="Y63" s="10">
        <v>0.5</v>
      </c>
      <c r="AC63" s="10"/>
      <c r="AD63" s="10">
        <v>0.5</v>
      </c>
      <c r="AE63" s="10"/>
      <c r="AF63" s="10">
        <v>0.5</v>
      </c>
      <c r="AJ63" s="10"/>
      <c r="AK63" s="10">
        <v>0.5</v>
      </c>
      <c r="AL63" s="10"/>
      <c r="AM63" s="10">
        <v>0.5</v>
      </c>
      <c r="AQ63" s="10"/>
      <c r="AR63" s="10">
        <v>0.5</v>
      </c>
      <c r="AS63" s="10"/>
      <c r="AT63" s="10">
        <v>0.5</v>
      </c>
      <c r="AX63" s="10"/>
      <c r="AY63" s="10">
        <v>0.8</v>
      </c>
      <c r="AZ63" s="10"/>
      <c r="BA63" s="10">
        <v>0.8</v>
      </c>
      <c r="BE63" s="10"/>
      <c r="BF63" s="10">
        <v>0.8</v>
      </c>
      <c r="BG63" s="10"/>
      <c r="BH63" s="10">
        <v>0.8</v>
      </c>
      <c r="BL63" s="10"/>
      <c r="BM63" s="10">
        <v>0.8</v>
      </c>
      <c r="BN63" s="10"/>
      <c r="BO63" s="10">
        <v>0.8</v>
      </c>
      <c r="BS63" s="10"/>
      <c r="BT63" s="10">
        <v>0.8</v>
      </c>
      <c r="BU63" s="10"/>
      <c r="BV63" s="10">
        <v>0.8</v>
      </c>
      <c r="BZ63" s="10"/>
      <c r="CA63" s="10">
        <v>0.8</v>
      </c>
      <c r="CB63" s="10"/>
      <c r="CC63" s="10">
        <v>0.8</v>
      </c>
      <c r="CG63" s="10"/>
      <c r="CH63" s="10">
        <v>1</v>
      </c>
      <c r="CI63" s="10"/>
      <c r="CJ63" s="10">
        <v>1</v>
      </c>
      <c r="CN63" s="10"/>
      <c r="CO63" s="10">
        <v>1</v>
      </c>
      <c r="CP63" s="10"/>
      <c r="CQ63" s="10">
        <v>1</v>
      </c>
      <c r="CU63" s="10"/>
      <c r="CV63" s="10">
        <v>1</v>
      </c>
      <c r="CW63" s="10"/>
      <c r="CX63" s="10">
        <v>1</v>
      </c>
      <c r="DB63" s="10"/>
      <c r="DC63" s="10">
        <v>1</v>
      </c>
      <c r="DD63" s="10"/>
      <c r="DE63" s="10">
        <v>1</v>
      </c>
      <c r="DI63" s="10"/>
      <c r="DJ63" s="10"/>
      <c r="DK63" s="10"/>
      <c r="DL63" s="10"/>
      <c r="DP63" s="10"/>
      <c r="DQ63" s="10"/>
      <c r="DR63" s="10"/>
      <c r="DS63" s="10"/>
      <c r="DW63" s="10"/>
      <c r="DX63" s="10"/>
      <c r="DY63" s="10"/>
      <c r="DZ63" s="10"/>
      <c r="ED63" s="10"/>
      <c r="EE63" s="10"/>
      <c r="EF63" s="10"/>
      <c r="EG63" s="10"/>
    </row>
    <row r="64" spans="2:137" outlineLevel="1">
      <c r="B64" t="s">
        <v>28</v>
      </c>
      <c r="C64" t="s">
        <v>101</v>
      </c>
      <c r="E64" s="9"/>
      <c r="F64" t="s">
        <v>127</v>
      </c>
      <c r="G64" s="10">
        <v>0.1</v>
      </c>
      <c r="I64" s="9">
        <f>+SUMIF($N$3:$ZZ$3,I$3,$N64:$ZZ64)</f>
        <v>0</v>
      </c>
      <c r="J64" s="11" cm="1">
        <f t="array" ref="J64">MAX(IF($N$3:$EH$3=$J$3,N64:EH64))</f>
        <v>0</v>
      </c>
      <c r="K64" s="11" cm="1">
        <f t="array" ref="K64">MAX(IF($N$3:$EH$3=$J$3,N64:EH64))</f>
        <v>0</v>
      </c>
      <c r="L64" s="9"/>
      <c r="O64" s="10"/>
      <c r="P64" s="10"/>
      <c r="Q64" s="10"/>
      <c r="R64" s="10"/>
      <c r="V64" s="10"/>
      <c r="W64" s="10">
        <v>0.5</v>
      </c>
      <c r="X64" s="10"/>
      <c r="Y64" s="10">
        <v>0.5</v>
      </c>
      <c r="AC64" s="10"/>
      <c r="AD64" s="10">
        <v>0.5</v>
      </c>
      <c r="AE64" s="10"/>
      <c r="AF64" s="10">
        <v>0.5</v>
      </c>
      <c r="AJ64" s="10"/>
      <c r="AK64" s="10">
        <v>0.5</v>
      </c>
      <c r="AL64" s="10"/>
      <c r="AM64" s="10">
        <v>0.5</v>
      </c>
      <c r="AQ64" s="10"/>
      <c r="AR64" s="10">
        <v>0.5</v>
      </c>
      <c r="AS64" s="10"/>
      <c r="AT64" s="10">
        <v>0.5</v>
      </c>
      <c r="AX64" s="10"/>
      <c r="AY64" s="10">
        <v>0.5</v>
      </c>
      <c r="AZ64" s="10"/>
      <c r="BA64" s="10">
        <v>0.5</v>
      </c>
      <c r="BE64" s="10"/>
      <c r="BF64" s="10">
        <v>0.8</v>
      </c>
      <c r="BG64" s="10"/>
      <c r="BH64" s="10">
        <v>0.8</v>
      </c>
      <c r="BL64" s="10"/>
      <c r="BM64" s="10">
        <v>0.8</v>
      </c>
      <c r="BN64" s="10"/>
      <c r="BO64" s="10">
        <v>0.8</v>
      </c>
      <c r="BS64" s="10"/>
      <c r="BT64" s="10">
        <v>0.8</v>
      </c>
      <c r="BU64" s="10"/>
      <c r="BV64" s="10">
        <v>0.8</v>
      </c>
      <c r="BZ64" s="10"/>
      <c r="CA64" s="10">
        <v>0.8</v>
      </c>
      <c r="CB64" s="10"/>
      <c r="CC64" s="10">
        <v>0.8</v>
      </c>
      <c r="CG64" s="10"/>
      <c r="CH64" s="10">
        <v>0.8</v>
      </c>
      <c r="CI64" s="10"/>
      <c r="CJ64" s="10">
        <v>0.8</v>
      </c>
      <c r="CN64" s="10"/>
      <c r="CO64" s="10">
        <v>1</v>
      </c>
      <c r="CP64" s="10"/>
      <c r="CQ64" s="10">
        <v>1</v>
      </c>
      <c r="CU64" s="10"/>
      <c r="CV64" s="10">
        <v>1</v>
      </c>
      <c r="CW64" s="10"/>
      <c r="CX64" s="10">
        <v>1</v>
      </c>
      <c r="DB64" s="10"/>
      <c r="DC64" s="10">
        <v>1</v>
      </c>
      <c r="DD64" s="10"/>
      <c r="DE64" s="10">
        <v>1</v>
      </c>
      <c r="DI64" s="10"/>
      <c r="DJ64" s="10"/>
      <c r="DK64" s="10"/>
      <c r="DL64" s="10"/>
      <c r="DP64" s="10"/>
      <c r="DQ64" s="10"/>
      <c r="DR64" s="10"/>
      <c r="DS64" s="10"/>
      <c r="DW64" s="10"/>
      <c r="DX64" s="10"/>
      <c r="DY64" s="10"/>
      <c r="DZ64" s="10"/>
      <c r="ED64" s="10"/>
      <c r="EE64" s="10"/>
      <c r="EF64" s="10"/>
      <c r="EG64" s="10"/>
    </row>
    <row r="65" spans="2:137" outlineLevel="1">
      <c r="B65" t="s">
        <v>28</v>
      </c>
      <c r="C65" t="s">
        <v>101</v>
      </c>
      <c r="E65" s="9"/>
      <c r="F65" t="s">
        <v>128</v>
      </c>
      <c r="G65" s="10">
        <v>0.1</v>
      </c>
      <c r="I65" s="9">
        <f>+SUMIF($N$3:$ZZ$3,I$3,$N65:$ZZ65)</f>
        <v>0</v>
      </c>
      <c r="J65" s="11" cm="1">
        <f t="array" ref="J65">MAX(IF($N$3:$EH$3=$J$3,N65:EH65))</f>
        <v>0</v>
      </c>
      <c r="K65" s="11" cm="1">
        <f t="array" ref="K65">MAX(IF($N$3:$EH$3=$J$3,N65:EH65))</f>
        <v>0</v>
      </c>
      <c r="L65" s="9"/>
      <c r="O65" s="10"/>
      <c r="P65" s="10"/>
      <c r="Q65" s="10"/>
      <c r="R65" s="10"/>
      <c r="V65" s="10"/>
      <c r="W65" s="10">
        <v>0.5</v>
      </c>
      <c r="X65" s="10"/>
      <c r="Y65" s="10">
        <v>0.5</v>
      </c>
      <c r="AC65" s="10"/>
      <c r="AD65" s="10">
        <v>0.5</v>
      </c>
      <c r="AE65" s="10"/>
      <c r="AF65" s="10">
        <v>0.5</v>
      </c>
      <c r="AJ65" s="10"/>
      <c r="AK65" s="10">
        <v>0.5</v>
      </c>
      <c r="AL65" s="10"/>
      <c r="AM65" s="10">
        <v>0.5</v>
      </c>
      <c r="AQ65" s="10"/>
      <c r="AR65" s="10">
        <v>0.5</v>
      </c>
      <c r="AS65" s="10"/>
      <c r="AT65" s="10">
        <v>0.5</v>
      </c>
      <c r="AX65" s="10"/>
      <c r="AY65" s="10">
        <v>0.5</v>
      </c>
      <c r="AZ65" s="10"/>
      <c r="BA65" s="10">
        <v>0.5</v>
      </c>
      <c r="BE65" s="10"/>
      <c r="BF65" s="10">
        <v>0.8</v>
      </c>
      <c r="BG65" s="10"/>
      <c r="BH65" s="10">
        <v>0.8</v>
      </c>
      <c r="BL65" s="10"/>
      <c r="BM65" s="10">
        <v>0.8</v>
      </c>
      <c r="BN65" s="10"/>
      <c r="BO65" s="10">
        <v>0.8</v>
      </c>
      <c r="BS65" s="10"/>
      <c r="BT65" s="10">
        <v>0.8</v>
      </c>
      <c r="BU65" s="10"/>
      <c r="BV65" s="10">
        <v>0.8</v>
      </c>
      <c r="BZ65" s="10"/>
      <c r="CA65" s="10">
        <v>0.8</v>
      </c>
      <c r="CB65" s="10"/>
      <c r="CC65" s="10">
        <v>0.8</v>
      </c>
      <c r="CG65" s="10"/>
      <c r="CH65" s="10">
        <v>0.8</v>
      </c>
      <c r="CI65" s="10"/>
      <c r="CJ65" s="10">
        <v>0.8</v>
      </c>
      <c r="CN65" s="10"/>
      <c r="CO65" s="10">
        <v>1</v>
      </c>
      <c r="CP65" s="10"/>
      <c r="CQ65" s="10">
        <v>1</v>
      </c>
      <c r="CU65" s="10"/>
      <c r="CV65" s="10">
        <v>1</v>
      </c>
      <c r="CW65" s="10"/>
      <c r="CX65" s="10">
        <v>1</v>
      </c>
      <c r="DB65" s="10"/>
      <c r="DC65" s="10">
        <v>1</v>
      </c>
      <c r="DD65" s="10"/>
      <c r="DE65" s="10">
        <v>1</v>
      </c>
      <c r="DI65" s="10"/>
      <c r="DJ65" s="10"/>
      <c r="DK65" s="10"/>
      <c r="DL65" s="10"/>
      <c r="DP65" s="10"/>
      <c r="DQ65" s="10"/>
      <c r="DR65" s="10"/>
      <c r="DS65" s="10"/>
      <c r="DW65" s="10"/>
      <c r="DX65" s="10"/>
      <c r="DY65" s="10"/>
      <c r="DZ65" s="10"/>
      <c r="ED65" s="10"/>
      <c r="EE65" s="10"/>
      <c r="EF65" s="10"/>
      <c r="EG65" s="10"/>
    </row>
    <row r="66" spans="2:137" outlineLevel="1">
      <c r="B66" t="s">
        <v>28</v>
      </c>
      <c r="C66" t="s">
        <v>101</v>
      </c>
      <c r="E66" s="9"/>
      <c r="F66" t="s">
        <v>129</v>
      </c>
      <c r="G66" s="10">
        <v>0.1</v>
      </c>
      <c r="I66" s="9">
        <f>+SUMIF($N$3:$ZZ$3,I$3,$N66:$ZZ66)</f>
        <v>0</v>
      </c>
      <c r="J66" s="11" cm="1">
        <f t="array" ref="J66">MAX(IF($N$3:$EH$3=$J$3,N66:EH66))</f>
        <v>0</v>
      </c>
      <c r="K66" s="11" cm="1">
        <f t="array" ref="K66">MAX(IF($N$3:$EH$3=$J$3,N66:EH66))</f>
        <v>0</v>
      </c>
      <c r="L66" s="9"/>
      <c r="O66" s="10"/>
      <c r="P66" s="10"/>
      <c r="Q66" s="10"/>
      <c r="R66" s="10"/>
      <c r="V66" s="10"/>
      <c r="W66" s="10"/>
      <c r="X66" s="10"/>
      <c r="Y66" s="10"/>
      <c r="AC66" s="10"/>
      <c r="AD66" s="10">
        <v>0.5</v>
      </c>
      <c r="AE66" s="10"/>
      <c r="AF66" s="10">
        <v>0.5</v>
      </c>
      <c r="AJ66" s="10"/>
      <c r="AK66" s="10">
        <v>0.5</v>
      </c>
      <c r="AL66" s="10"/>
      <c r="AM66" s="10">
        <v>0.5</v>
      </c>
      <c r="AQ66" s="10"/>
      <c r="AR66" s="10">
        <v>0.5</v>
      </c>
      <c r="AS66" s="10"/>
      <c r="AT66" s="10">
        <v>0.5</v>
      </c>
      <c r="AX66" s="10"/>
      <c r="AY66" s="10">
        <v>0.5</v>
      </c>
      <c r="AZ66" s="10"/>
      <c r="BA66" s="10">
        <v>0.5</v>
      </c>
      <c r="BE66" s="10"/>
      <c r="BF66" s="10">
        <v>0.8</v>
      </c>
      <c r="BG66" s="10"/>
      <c r="BH66" s="10">
        <v>0.8</v>
      </c>
      <c r="BL66" s="10"/>
      <c r="BM66" s="10">
        <v>0.8</v>
      </c>
      <c r="BN66" s="10"/>
      <c r="BO66" s="10">
        <v>0.8</v>
      </c>
      <c r="BS66" s="10"/>
      <c r="BT66" s="10">
        <v>0.8</v>
      </c>
      <c r="BU66" s="10"/>
      <c r="BV66" s="10">
        <v>0.8</v>
      </c>
      <c r="BZ66" s="10"/>
      <c r="CA66" s="10">
        <v>0.8</v>
      </c>
      <c r="CB66" s="10"/>
      <c r="CC66" s="10">
        <v>0.8</v>
      </c>
      <c r="CG66" s="10"/>
      <c r="CH66" s="10">
        <v>0.8</v>
      </c>
      <c r="CI66" s="10"/>
      <c r="CJ66" s="10">
        <v>0.8</v>
      </c>
      <c r="CN66" s="10"/>
      <c r="CO66" s="10">
        <v>1</v>
      </c>
      <c r="CP66" s="10"/>
      <c r="CQ66" s="10">
        <v>1</v>
      </c>
      <c r="CU66" s="10"/>
      <c r="CV66" s="10">
        <v>1</v>
      </c>
      <c r="CW66" s="10"/>
      <c r="CX66" s="10">
        <v>1</v>
      </c>
      <c r="DB66" s="10"/>
      <c r="DC66" s="10">
        <v>1</v>
      </c>
      <c r="DD66" s="10"/>
      <c r="DE66" s="10">
        <v>1</v>
      </c>
      <c r="DI66" s="10"/>
      <c r="DJ66" s="10"/>
      <c r="DK66" s="10"/>
      <c r="DL66" s="10"/>
      <c r="DP66" s="10"/>
      <c r="DQ66" s="10"/>
      <c r="DR66" s="10"/>
      <c r="DS66" s="10"/>
      <c r="DW66" s="10"/>
      <c r="DX66" s="10"/>
      <c r="DY66" s="10"/>
      <c r="DZ66" s="10"/>
      <c r="ED66" s="10"/>
      <c r="EE66" s="10"/>
      <c r="EF66" s="10"/>
      <c r="EG66" s="10"/>
    </row>
    <row r="67" spans="2:137" outlineLevel="1">
      <c r="B67" t="s">
        <v>28</v>
      </c>
      <c r="C67" t="s">
        <v>101</v>
      </c>
      <c r="E67" s="9"/>
      <c r="F67" t="s">
        <v>130</v>
      </c>
      <c r="G67" s="10">
        <v>0.1</v>
      </c>
      <c r="I67" s="9">
        <f>+SUMIF($N$3:$ZZ$3,I$3,$N67:$ZZ67)</f>
        <v>0</v>
      </c>
      <c r="J67" s="11" cm="1">
        <f t="array" ref="J67">MAX(IF($N$3:$EH$3=$J$3,N67:EH67))</f>
        <v>0</v>
      </c>
      <c r="K67" s="11" cm="1">
        <f t="array" ref="K67">MAX(IF($N$3:$EH$3=$J$3,N67:EH67))</f>
        <v>0</v>
      </c>
      <c r="L67" s="9"/>
      <c r="O67" s="10"/>
      <c r="P67" s="10"/>
      <c r="Q67" s="10"/>
      <c r="R67" s="10"/>
      <c r="V67" s="10"/>
      <c r="W67" s="10"/>
      <c r="X67" s="10"/>
      <c r="Y67" s="10"/>
      <c r="AC67" s="10"/>
      <c r="AD67" s="10">
        <v>0.5</v>
      </c>
      <c r="AE67" s="10"/>
      <c r="AF67" s="10">
        <v>0.5</v>
      </c>
      <c r="AJ67" s="10"/>
      <c r="AK67" s="10">
        <v>0.5</v>
      </c>
      <c r="AL67" s="10"/>
      <c r="AM67" s="10">
        <v>0.5</v>
      </c>
      <c r="AQ67" s="10"/>
      <c r="AR67" s="10">
        <v>0.5</v>
      </c>
      <c r="AS67" s="10"/>
      <c r="AT67" s="10">
        <v>0.5</v>
      </c>
      <c r="AX67" s="10"/>
      <c r="AY67" s="10">
        <v>0.5</v>
      </c>
      <c r="AZ67" s="10"/>
      <c r="BA67" s="10">
        <v>0.5</v>
      </c>
      <c r="BE67" s="10"/>
      <c r="BF67" s="10">
        <v>0.5</v>
      </c>
      <c r="BG67" s="10"/>
      <c r="BH67" s="10">
        <v>0.5</v>
      </c>
      <c r="BL67" s="10"/>
      <c r="BM67" s="10">
        <v>0.8</v>
      </c>
      <c r="BN67" s="10"/>
      <c r="BO67" s="10">
        <v>0.8</v>
      </c>
      <c r="BS67" s="10"/>
      <c r="BT67" s="10">
        <v>0.8</v>
      </c>
      <c r="BU67" s="10"/>
      <c r="BV67" s="10">
        <v>0.8</v>
      </c>
      <c r="BZ67" s="10"/>
      <c r="CA67" s="10">
        <v>0.8</v>
      </c>
      <c r="CB67" s="10"/>
      <c r="CC67" s="10">
        <v>0.8</v>
      </c>
      <c r="CG67" s="10"/>
      <c r="CH67" s="10">
        <v>0.8</v>
      </c>
      <c r="CI67" s="10"/>
      <c r="CJ67" s="10">
        <v>0.8</v>
      </c>
      <c r="CN67" s="10"/>
      <c r="CO67" s="10">
        <v>0.8</v>
      </c>
      <c r="CP67" s="10"/>
      <c r="CQ67" s="10">
        <v>0.8</v>
      </c>
      <c r="CU67" s="10"/>
      <c r="CV67" s="10">
        <v>1</v>
      </c>
      <c r="CW67" s="10"/>
      <c r="CX67" s="10">
        <v>1</v>
      </c>
      <c r="DB67" s="10"/>
      <c r="DC67" s="10">
        <v>1</v>
      </c>
      <c r="DD67" s="10"/>
      <c r="DE67" s="10">
        <v>1</v>
      </c>
      <c r="DI67" s="10"/>
      <c r="DJ67" s="10"/>
      <c r="DK67" s="10"/>
      <c r="DL67" s="10"/>
      <c r="DP67" s="10"/>
      <c r="DQ67" s="10"/>
      <c r="DR67" s="10"/>
      <c r="DS67" s="10"/>
      <c r="DW67" s="10"/>
      <c r="DX67" s="10"/>
      <c r="DY67" s="10"/>
      <c r="DZ67" s="10"/>
      <c r="ED67" s="10"/>
      <c r="EE67" s="10"/>
      <c r="EF67" s="10"/>
      <c r="EG67" s="10"/>
    </row>
    <row r="68" spans="2:137" outlineLevel="1">
      <c r="B68" t="s">
        <v>28</v>
      </c>
      <c r="C68" t="s">
        <v>101</v>
      </c>
      <c r="E68" s="9"/>
      <c r="F68" t="s">
        <v>131</v>
      </c>
      <c r="G68" s="10">
        <v>0.1</v>
      </c>
      <c r="I68" s="9">
        <f>+SUMIF($N$3:$ZZ$3,I$3,$N68:$ZZ68)</f>
        <v>0</v>
      </c>
      <c r="J68" s="11" cm="1">
        <f t="array" ref="J68">MAX(IF($N$3:$EH$3=$J$3,N68:EH68))</f>
        <v>0</v>
      </c>
      <c r="K68" s="11" cm="1">
        <f t="array" ref="K68">MAX(IF($N$3:$EH$3=$J$3,N68:EH68))</f>
        <v>0</v>
      </c>
      <c r="L68" s="9"/>
      <c r="O68" s="10"/>
      <c r="P68" s="10"/>
      <c r="Q68" s="10"/>
      <c r="R68" s="10"/>
      <c r="V68" s="10"/>
      <c r="W68" s="10"/>
      <c r="X68" s="10"/>
      <c r="Y68" s="10"/>
      <c r="AC68" s="10"/>
      <c r="AD68" s="10">
        <v>0.5</v>
      </c>
      <c r="AE68" s="10"/>
      <c r="AF68" s="10">
        <v>0.5</v>
      </c>
      <c r="AJ68" s="10"/>
      <c r="AK68" s="10">
        <v>0.5</v>
      </c>
      <c r="AL68" s="10"/>
      <c r="AM68" s="10">
        <v>0.5</v>
      </c>
      <c r="AQ68" s="10"/>
      <c r="AR68" s="10">
        <v>0.5</v>
      </c>
      <c r="AS68" s="10"/>
      <c r="AT68" s="10">
        <v>0.5</v>
      </c>
      <c r="AX68" s="10"/>
      <c r="AY68" s="10">
        <v>0.5</v>
      </c>
      <c r="AZ68" s="10"/>
      <c r="BA68" s="10">
        <v>0.5</v>
      </c>
      <c r="BE68" s="10"/>
      <c r="BF68" s="10">
        <v>0.5</v>
      </c>
      <c r="BG68" s="10"/>
      <c r="BH68" s="10">
        <v>0.5</v>
      </c>
      <c r="BL68" s="10"/>
      <c r="BM68" s="10">
        <v>0.8</v>
      </c>
      <c r="BN68" s="10"/>
      <c r="BO68" s="10">
        <v>0.8</v>
      </c>
      <c r="BS68" s="10"/>
      <c r="BT68" s="10">
        <v>0.8</v>
      </c>
      <c r="BU68" s="10"/>
      <c r="BV68" s="10">
        <v>0.8</v>
      </c>
      <c r="BZ68" s="10"/>
      <c r="CA68" s="10">
        <v>0.8</v>
      </c>
      <c r="CB68" s="10"/>
      <c r="CC68" s="10">
        <v>0.8</v>
      </c>
      <c r="CG68" s="10"/>
      <c r="CH68" s="10">
        <v>0.8</v>
      </c>
      <c r="CI68" s="10"/>
      <c r="CJ68" s="10">
        <v>0.8</v>
      </c>
      <c r="CN68" s="10"/>
      <c r="CO68" s="10">
        <v>0.8</v>
      </c>
      <c r="CP68" s="10"/>
      <c r="CQ68" s="10">
        <v>0.8</v>
      </c>
      <c r="CU68" s="10"/>
      <c r="CV68" s="10">
        <v>1</v>
      </c>
      <c r="CW68" s="10"/>
      <c r="CX68" s="10">
        <v>1</v>
      </c>
      <c r="DB68" s="10"/>
      <c r="DC68" s="10">
        <v>1</v>
      </c>
      <c r="DD68" s="10"/>
      <c r="DE68" s="10">
        <v>1</v>
      </c>
      <c r="DI68" s="10"/>
      <c r="DJ68" s="10"/>
      <c r="DK68" s="10"/>
      <c r="DL68" s="10"/>
      <c r="DP68" s="10"/>
      <c r="DQ68" s="10"/>
      <c r="DR68" s="10"/>
      <c r="DS68" s="10"/>
      <c r="DW68" s="10"/>
      <c r="DX68" s="10"/>
      <c r="DY68" s="10"/>
      <c r="DZ68" s="10"/>
      <c r="ED68" s="10"/>
      <c r="EE68" s="10"/>
      <c r="EF68" s="10"/>
      <c r="EG68" s="10"/>
    </row>
    <row r="69" spans="2:137" outlineLevel="1">
      <c r="B69" t="s">
        <v>28</v>
      </c>
      <c r="C69" t="s">
        <v>101</v>
      </c>
      <c r="E69" s="9"/>
      <c r="F69" t="s">
        <v>132</v>
      </c>
      <c r="G69" s="10">
        <v>0.1</v>
      </c>
      <c r="I69" s="9">
        <f>+SUMIF($N$3:$ZZ$3,I$3,$N69:$ZZ69)</f>
        <v>0</v>
      </c>
      <c r="J69" s="11" cm="1">
        <f t="array" ref="J69">MAX(IF($N$3:$EH$3=$J$3,N69:EH69))</f>
        <v>0</v>
      </c>
      <c r="K69" s="11" cm="1">
        <f t="array" ref="K69">MAX(IF($N$3:$EH$3=$J$3,N69:EH69))</f>
        <v>0</v>
      </c>
      <c r="L69" s="9"/>
      <c r="O69" s="10"/>
      <c r="P69" s="10"/>
      <c r="Q69" s="10"/>
      <c r="R69" s="10"/>
      <c r="V69" s="10"/>
      <c r="W69" s="10"/>
      <c r="X69" s="10"/>
      <c r="Y69" s="10"/>
      <c r="AC69" s="10"/>
      <c r="AD69" s="10"/>
      <c r="AE69" s="10"/>
      <c r="AF69" s="10"/>
      <c r="AJ69" s="10"/>
      <c r="AK69" s="10">
        <v>0.5</v>
      </c>
      <c r="AL69" s="10"/>
      <c r="AM69" s="10">
        <v>0.5</v>
      </c>
      <c r="AQ69" s="10"/>
      <c r="AR69" s="10">
        <v>0.5</v>
      </c>
      <c r="AS69" s="10"/>
      <c r="AT69" s="10">
        <v>0.5</v>
      </c>
      <c r="AX69" s="10"/>
      <c r="AY69" s="10">
        <v>0.5</v>
      </c>
      <c r="AZ69" s="10"/>
      <c r="BA69" s="10">
        <v>0.5</v>
      </c>
      <c r="BE69" s="10"/>
      <c r="BF69" s="10">
        <v>0.5</v>
      </c>
      <c r="BG69" s="10"/>
      <c r="BH69" s="10">
        <v>0.5</v>
      </c>
      <c r="BL69" s="10"/>
      <c r="BM69" s="10">
        <v>0.8</v>
      </c>
      <c r="BN69" s="10"/>
      <c r="BO69" s="10">
        <v>0.8</v>
      </c>
      <c r="BS69" s="10"/>
      <c r="BT69" s="10">
        <v>0.8</v>
      </c>
      <c r="BU69" s="10"/>
      <c r="BV69" s="10">
        <v>0.8</v>
      </c>
      <c r="BZ69" s="10"/>
      <c r="CA69" s="10">
        <v>0.8</v>
      </c>
      <c r="CB69" s="10"/>
      <c r="CC69" s="10">
        <v>0.8</v>
      </c>
      <c r="CG69" s="10"/>
      <c r="CH69" s="10">
        <v>0.8</v>
      </c>
      <c r="CI69" s="10"/>
      <c r="CJ69" s="10">
        <v>0.8</v>
      </c>
      <c r="CN69" s="10"/>
      <c r="CO69" s="10">
        <v>0.8</v>
      </c>
      <c r="CP69" s="10"/>
      <c r="CQ69" s="10">
        <v>0.8</v>
      </c>
      <c r="CU69" s="10"/>
      <c r="CV69" s="10">
        <v>1</v>
      </c>
      <c r="CW69" s="10"/>
      <c r="CX69" s="10">
        <v>1</v>
      </c>
      <c r="DB69" s="10"/>
      <c r="DC69" s="10">
        <v>1</v>
      </c>
      <c r="DD69" s="10"/>
      <c r="DE69" s="10">
        <v>1</v>
      </c>
      <c r="DI69" s="10"/>
      <c r="DJ69" s="10"/>
      <c r="DK69" s="10"/>
      <c r="DL69" s="10"/>
      <c r="DP69" s="10"/>
      <c r="DQ69" s="10"/>
      <c r="DR69" s="10"/>
      <c r="DS69" s="10"/>
      <c r="DW69" s="10"/>
      <c r="DX69" s="10"/>
      <c r="DY69" s="10"/>
      <c r="DZ69" s="10"/>
      <c r="ED69" s="10"/>
      <c r="EE69" s="10"/>
      <c r="EF69" s="10"/>
      <c r="EG69" s="10"/>
    </row>
    <row r="70" spans="2:137" outlineLevel="1">
      <c r="B70" t="s">
        <v>28</v>
      </c>
      <c r="C70" t="s">
        <v>101</v>
      </c>
      <c r="E70" s="9"/>
      <c r="F70" t="s">
        <v>133</v>
      </c>
      <c r="G70" s="10">
        <v>0.1</v>
      </c>
      <c r="I70" s="9">
        <f>+SUMIF($N$3:$ZZ$3,I$3,$N70:$ZZ70)</f>
        <v>0</v>
      </c>
      <c r="J70" s="11" cm="1">
        <f t="array" ref="J70">MAX(IF($N$3:$EH$3=$J$3,N70:EH70))</f>
        <v>0</v>
      </c>
      <c r="K70" s="11" cm="1">
        <f t="array" ref="K70">MAX(IF($N$3:$EH$3=$J$3,N70:EH70))</f>
        <v>0</v>
      </c>
      <c r="L70" s="9"/>
      <c r="O70" s="10"/>
      <c r="P70" s="10"/>
      <c r="Q70" s="10"/>
      <c r="R70" s="10"/>
      <c r="V70" s="10"/>
      <c r="W70" s="10"/>
      <c r="X70" s="10"/>
      <c r="Y70" s="10"/>
      <c r="AC70" s="10"/>
      <c r="AD70" s="10"/>
      <c r="AE70" s="10"/>
      <c r="AF70" s="10"/>
      <c r="AJ70" s="10"/>
      <c r="AK70" s="10">
        <v>0.5</v>
      </c>
      <c r="AL70" s="10"/>
      <c r="AM70" s="10">
        <v>0.5</v>
      </c>
      <c r="AQ70" s="10"/>
      <c r="AR70" s="10">
        <v>0.5</v>
      </c>
      <c r="AS70" s="10"/>
      <c r="AT70" s="10">
        <v>0.5</v>
      </c>
      <c r="AX70" s="10"/>
      <c r="AY70" s="10">
        <v>0.5</v>
      </c>
      <c r="AZ70" s="10"/>
      <c r="BA70" s="10">
        <v>0.5</v>
      </c>
      <c r="BE70" s="10"/>
      <c r="BF70" s="10">
        <v>0.5</v>
      </c>
      <c r="BG70" s="10"/>
      <c r="BH70" s="10">
        <v>0.5</v>
      </c>
      <c r="BL70" s="10"/>
      <c r="BM70" s="10">
        <v>0.5</v>
      </c>
      <c r="BN70" s="10"/>
      <c r="BO70" s="10">
        <v>0.5</v>
      </c>
      <c r="BS70" s="10"/>
      <c r="BT70" s="10">
        <v>0.8</v>
      </c>
      <c r="BU70" s="10"/>
      <c r="BV70" s="10">
        <v>0.8</v>
      </c>
      <c r="BZ70" s="10"/>
      <c r="CA70" s="10">
        <v>0.8</v>
      </c>
      <c r="CB70" s="10"/>
      <c r="CC70" s="10">
        <v>0.8</v>
      </c>
      <c r="CG70" s="10"/>
      <c r="CH70" s="10">
        <v>0.8</v>
      </c>
      <c r="CI70" s="10"/>
      <c r="CJ70" s="10">
        <v>0.8</v>
      </c>
      <c r="CN70" s="10"/>
      <c r="CO70" s="10">
        <v>0.8</v>
      </c>
      <c r="CP70" s="10"/>
      <c r="CQ70" s="10">
        <v>0.8</v>
      </c>
      <c r="CU70" s="10"/>
      <c r="CV70" s="10">
        <v>0.8</v>
      </c>
      <c r="CW70" s="10"/>
      <c r="CX70" s="10">
        <v>0.8</v>
      </c>
      <c r="DB70" s="10"/>
      <c r="DC70" s="10">
        <v>1</v>
      </c>
      <c r="DD70" s="10"/>
      <c r="DE70" s="10">
        <v>1</v>
      </c>
      <c r="DI70" s="10"/>
      <c r="DJ70" s="10"/>
      <c r="DK70" s="10"/>
      <c r="DL70" s="10"/>
      <c r="DP70" s="10"/>
      <c r="DQ70" s="10"/>
      <c r="DR70" s="10"/>
      <c r="DS70" s="10"/>
      <c r="DW70" s="10"/>
      <c r="DX70" s="10"/>
      <c r="DY70" s="10"/>
      <c r="DZ70" s="10"/>
      <c r="ED70" s="10"/>
      <c r="EE70" s="10"/>
      <c r="EF70" s="10"/>
      <c r="EG70" s="10"/>
    </row>
    <row r="71" spans="2:137" outlineLevel="1">
      <c r="B71" t="s">
        <v>28</v>
      </c>
      <c r="C71" t="s">
        <v>101</v>
      </c>
      <c r="E71" s="9"/>
      <c r="F71" t="s">
        <v>134</v>
      </c>
      <c r="G71" s="10">
        <v>0.1</v>
      </c>
      <c r="I71" s="9"/>
      <c r="J71" s="11" cm="1">
        <f t="array" ref="J71">MAX(IF($N$3:$EH$3=$J$3,N71:EH71))</f>
        <v>0</v>
      </c>
      <c r="K71" s="11" cm="1">
        <f t="array" ref="K71">MAX(IF($N$3:$EH$3=$J$3,N71:EH71))</f>
        <v>0</v>
      </c>
      <c r="L71" s="9"/>
      <c r="O71" s="10"/>
      <c r="P71" s="10"/>
      <c r="Q71" s="10"/>
      <c r="R71" s="10"/>
      <c r="V71" s="10"/>
      <c r="W71" s="10"/>
      <c r="X71" s="10"/>
      <c r="Y71" s="10"/>
      <c r="AC71" s="10"/>
      <c r="AD71" s="10"/>
      <c r="AE71" s="10"/>
      <c r="AF71" s="10"/>
      <c r="AJ71" s="10"/>
      <c r="AK71" s="10">
        <v>0.5</v>
      </c>
      <c r="AL71" s="10"/>
      <c r="AM71" s="10">
        <v>0.5</v>
      </c>
      <c r="AQ71" s="10"/>
      <c r="AR71" s="10">
        <v>0.5</v>
      </c>
      <c r="AS71" s="10"/>
      <c r="AT71" s="10">
        <v>0.5</v>
      </c>
      <c r="AX71" s="10"/>
      <c r="AY71" s="10">
        <v>0.5</v>
      </c>
      <c r="AZ71" s="10"/>
      <c r="BA71" s="10">
        <v>0.5</v>
      </c>
      <c r="BE71" s="10"/>
      <c r="BF71" s="10">
        <v>0.5</v>
      </c>
      <c r="BG71" s="10"/>
      <c r="BH71" s="10">
        <v>0.5</v>
      </c>
      <c r="BL71" s="10"/>
      <c r="BM71" s="10">
        <v>0.5</v>
      </c>
      <c r="BN71" s="10"/>
      <c r="BO71" s="10">
        <v>0.5</v>
      </c>
      <c r="BS71" s="10"/>
      <c r="BT71" s="10">
        <v>0.8</v>
      </c>
      <c r="BU71" s="10"/>
      <c r="BV71" s="10">
        <v>0.8</v>
      </c>
      <c r="BZ71" s="10"/>
      <c r="CA71" s="10">
        <v>0.8</v>
      </c>
      <c r="CB71" s="10"/>
      <c r="CC71" s="10">
        <v>0.8</v>
      </c>
      <c r="CG71" s="10"/>
      <c r="CH71" s="10">
        <v>0.8</v>
      </c>
      <c r="CI71" s="10"/>
      <c r="CJ71" s="10">
        <v>0.8</v>
      </c>
      <c r="CN71" s="10"/>
      <c r="CO71" s="10">
        <v>0.8</v>
      </c>
      <c r="CP71" s="10"/>
      <c r="CQ71" s="10">
        <v>0.8</v>
      </c>
      <c r="CU71" s="10"/>
      <c r="CV71" s="10">
        <v>0.8</v>
      </c>
      <c r="CW71" s="10"/>
      <c r="CX71" s="10">
        <v>0.8</v>
      </c>
      <c r="DB71" s="10"/>
      <c r="DC71" s="10">
        <v>1</v>
      </c>
      <c r="DD71" s="10"/>
      <c r="DE71" s="10">
        <v>1</v>
      </c>
      <c r="DI71" s="10"/>
      <c r="DJ71" s="10"/>
      <c r="DK71" s="10"/>
      <c r="DL71" s="10"/>
      <c r="DP71" s="10"/>
      <c r="DQ71" s="10"/>
      <c r="DR71" s="10"/>
      <c r="DS71" s="10"/>
      <c r="DW71" s="10"/>
      <c r="DX71" s="10"/>
      <c r="DY71" s="10"/>
      <c r="DZ71" s="10"/>
      <c r="ED71" s="10"/>
      <c r="EE71" s="10"/>
      <c r="EF71" s="10"/>
      <c r="EG71" s="10"/>
    </row>
    <row r="72" spans="2:137" outlineLevel="1">
      <c r="B72" t="s">
        <v>28</v>
      </c>
      <c r="C72" t="s">
        <v>101</v>
      </c>
      <c r="E72" s="9"/>
      <c r="F72" t="s">
        <v>135</v>
      </c>
      <c r="G72" s="10">
        <v>0.1</v>
      </c>
      <c r="I72" s="9"/>
      <c r="J72" s="11" cm="1">
        <f t="array" ref="J72">MAX(IF($N$3:$EH$3=$J$3,N72:EH72))</f>
        <v>0</v>
      </c>
      <c r="K72" s="11" cm="1">
        <f t="array" ref="K72">MAX(IF($N$3:$EH$3=$J$3,N72:EH72))</f>
        <v>0</v>
      </c>
      <c r="L72" s="9"/>
      <c r="O72" s="10"/>
      <c r="P72" s="10"/>
      <c r="Q72" s="10"/>
      <c r="R72" s="10"/>
      <c r="V72" s="10"/>
      <c r="W72" s="10"/>
      <c r="X72" s="10"/>
      <c r="Y72" s="10"/>
      <c r="AC72" s="10"/>
      <c r="AD72" s="10"/>
      <c r="AE72" s="10"/>
      <c r="AF72" s="10"/>
      <c r="AJ72" s="10"/>
      <c r="AK72" s="10"/>
      <c r="AL72" s="10"/>
      <c r="AM72" s="10"/>
      <c r="AQ72" s="10"/>
      <c r="AR72" s="10">
        <v>0.5</v>
      </c>
      <c r="AS72" s="10"/>
      <c r="AT72" s="10">
        <v>0.5</v>
      </c>
      <c r="AX72" s="10"/>
      <c r="AY72" s="10">
        <v>0.5</v>
      </c>
      <c r="AZ72" s="10"/>
      <c r="BA72" s="10">
        <v>0.5</v>
      </c>
      <c r="BE72" s="10"/>
      <c r="BF72" s="10">
        <v>0.5</v>
      </c>
      <c r="BG72" s="10"/>
      <c r="BH72" s="10">
        <v>0.5</v>
      </c>
      <c r="BL72" s="10"/>
      <c r="BM72" s="10">
        <v>0.5</v>
      </c>
      <c r="BN72" s="10"/>
      <c r="BO72" s="10">
        <v>0.5</v>
      </c>
      <c r="BS72" s="10"/>
      <c r="BT72" s="10">
        <v>0.8</v>
      </c>
      <c r="BU72" s="10"/>
      <c r="BV72" s="10">
        <v>0.8</v>
      </c>
      <c r="BZ72" s="10"/>
      <c r="CA72" s="10">
        <v>0.8</v>
      </c>
      <c r="CB72" s="10"/>
      <c r="CC72" s="10">
        <v>0.8</v>
      </c>
      <c r="CG72" s="10"/>
      <c r="CH72" s="10">
        <v>0.8</v>
      </c>
      <c r="CI72" s="10"/>
      <c r="CJ72" s="10">
        <v>0.8</v>
      </c>
      <c r="CN72" s="10"/>
      <c r="CO72" s="10">
        <v>0.8</v>
      </c>
      <c r="CP72" s="10"/>
      <c r="CQ72" s="10">
        <v>0.8</v>
      </c>
      <c r="CU72" s="10"/>
      <c r="CV72" s="10">
        <v>0.8</v>
      </c>
      <c r="CW72" s="10"/>
      <c r="CX72" s="10">
        <v>0.8</v>
      </c>
      <c r="DB72" s="10"/>
      <c r="DC72" s="10">
        <v>1</v>
      </c>
      <c r="DD72" s="10"/>
      <c r="DE72" s="10">
        <v>1</v>
      </c>
      <c r="DI72" s="10"/>
      <c r="DJ72" s="10"/>
      <c r="DK72" s="10"/>
      <c r="DL72" s="10"/>
      <c r="DP72" s="10"/>
      <c r="DQ72" s="10"/>
      <c r="DR72" s="10"/>
      <c r="DS72" s="10"/>
      <c r="DW72" s="10"/>
      <c r="DX72" s="10"/>
      <c r="DY72" s="10"/>
      <c r="DZ72" s="10"/>
      <c r="ED72" s="10"/>
      <c r="EE72" s="10"/>
      <c r="EF72" s="10"/>
      <c r="EG72" s="10"/>
    </row>
    <row r="73" spans="2:137">
      <c r="CW73" s="10"/>
    </row>
    <row r="74" spans="2:137">
      <c r="CW74" s="10"/>
    </row>
  </sheetData>
  <mergeCells count="19">
    <mergeCell ref="I2:L2"/>
    <mergeCell ref="N2:S2"/>
    <mergeCell ref="BD2:BI2"/>
    <mergeCell ref="U2:Z2"/>
    <mergeCell ref="AB2:AG2"/>
    <mergeCell ref="AI2:AN2"/>
    <mergeCell ref="AP2:AU2"/>
    <mergeCell ref="AW2:BB2"/>
    <mergeCell ref="BK2:BP2"/>
    <mergeCell ref="BR2:BW2"/>
    <mergeCell ref="BY2:CD2"/>
    <mergeCell ref="CF2:CK2"/>
    <mergeCell ref="CM2:CR2"/>
    <mergeCell ref="DH2:DM2"/>
    <mergeCell ref="DO2:DT2"/>
    <mergeCell ref="DV2:EA2"/>
    <mergeCell ref="EC2:EH2"/>
    <mergeCell ref="CT2:CY2"/>
    <mergeCell ref="DA2:DF2"/>
  </mergeCells>
  <conditionalFormatting sqref="J5:J12">
    <cfRule type="colorScale" priority="648">
      <colorScale>
        <cfvo type="percent" val="0"/>
        <cfvo type="percent" val="100"/>
        <color rgb="FFFF231B"/>
        <color rgb="FF10FF07"/>
      </colorScale>
    </cfRule>
  </conditionalFormatting>
  <conditionalFormatting sqref="J15">
    <cfRule type="colorScale" priority="929">
      <colorScale>
        <cfvo type="percent" val="0"/>
        <cfvo type="percent" val="100"/>
        <color rgb="FFFF231B"/>
        <color rgb="FF10FF07"/>
      </colorScale>
    </cfRule>
  </conditionalFormatting>
  <conditionalFormatting sqref="J16">
    <cfRule type="colorScale" priority="196">
      <colorScale>
        <cfvo type="percent" val="0"/>
        <cfvo type="percent" val="100"/>
        <color rgb="FFFF231B"/>
        <color rgb="FF10FF07"/>
      </colorScale>
    </cfRule>
  </conditionalFormatting>
  <conditionalFormatting sqref="J17">
    <cfRule type="colorScale" priority="177">
      <colorScale>
        <cfvo type="percent" val="0"/>
        <cfvo type="percent" val="100"/>
        <color rgb="FFFF231B"/>
        <color rgb="FF10FF07"/>
      </colorScale>
    </cfRule>
  </conditionalFormatting>
  <conditionalFormatting sqref="J20:J31">
    <cfRule type="colorScale" priority="708">
      <colorScale>
        <cfvo type="percent" val="0"/>
        <cfvo type="percent" val="100"/>
        <color rgb="FFFF231B"/>
        <color rgb="FF10FF07"/>
      </colorScale>
    </cfRule>
  </conditionalFormatting>
  <conditionalFormatting sqref="J34:J43">
    <cfRule type="colorScale" priority="863">
      <colorScale>
        <cfvo type="percent" val="0"/>
        <cfvo type="percent" val="100"/>
        <color rgb="FFFF231B"/>
        <color rgb="FF10FF07"/>
      </colorScale>
    </cfRule>
  </conditionalFormatting>
  <conditionalFormatting sqref="J46:J55">
    <cfRule type="colorScale" priority="801">
      <colorScale>
        <cfvo type="percent" val="0"/>
        <cfvo type="percent" val="100"/>
        <color rgb="FFFF231B"/>
        <color rgb="FF10FF07"/>
      </colorScale>
    </cfRule>
  </conditionalFormatting>
  <conditionalFormatting sqref="J59:J72">
    <cfRule type="colorScale" priority="866">
      <colorScale>
        <cfvo type="percent" val="0"/>
        <cfvo type="percent" val="100"/>
        <color rgb="FFFF231B"/>
        <color rgb="FF10FF07"/>
      </colorScale>
    </cfRule>
  </conditionalFormatting>
  <conditionalFormatting sqref="J6:K12">
    <cfRule type="colorScale" priority="619">
      <colorScale>
        <cfvo type="percent" val="0"/>
        <cfvo type="percent" val="100"/>
        <color rgb="FFFF231B"/>
        <color rgb="FF10FF07"/>
      </colorScale>
    </cfRule>
  </conditionalFormatting>
  <conditionalFormatting sqref="J16:K16">
    <cfRule type="colorScale" priority="197">
      <colorScale>
        <cfvo type="percent" val="0"/>
        <cfvo type="percent" val="100"/>
        <color rgb="FFFF231B"/>
        <color rgb="FF10FF07"/>
      </colorScale>
    </cfRule>
  </conditionalFormatting>
  <conditionalFormatting sqref="J17:K17">
    <cfRule type="colorScale" priority="178">
      <colorScale>
        <cfvo type="percent" val="0"/>
        <cfvo type="percent" val="100"/>
        <color rgb="FFFF231B"/>
        <color rgb="FF10FF07"/>
      </colorScale>
    </cfRule>
  </conditionalFormatting>
  <conditionalFormatting sqref="J21:K31">
    <cfRule type="colorScale" priority="706">
      <colorScale>
        <cfvo type="percent" val="0"/>
        <cfvo type="percent" val="100"/>
        <color rgb="FFFF231B"/>
        <color rgb="FF10FF07"/>
      </colorScale>
    </cfRule>
  </conditionalFormatting>
  <conditionalFormatting sqref="J35:K43">
    <cfRule type="colorScale" priority="864">
      <colorScale>
        <cfvo type="percent" val="0"/>
        <cfvo type="percent" val="100"/>
        <color rgb="FFFF231B"/>
        <color rgb="FF10FF07"/>
      </colorScale>
    </cfRule>
  </conditionalFormatting>
  <conditionalFormatting sqref="J47:K55">
    <cfRule type="colorScale" priority="800">
      <colorScale>
        <cfvo type="percent" val="0"/>
        <cfvo type="percent" val="100"/>
        <color rgb="FFFF231B"/>
        <color rgb="FF10FF07"/>
      </colorScale>
    </cfRule>
  </conditionalFormatting>
  <conditionalFormatting sqref="J60:K72">
    <cfRule type="colorScale" priority="867">
      <colorScale>
        <cfvo type="percent" val="0"/>
        <cfvo type="percent" val="100"/>
        <color rgb="FFFF231B"/>
        <color rgb="FF10FF07"/>
      </colorScale>
    </cfRule>
  </conditionalFormatting>
  <conditionalFormatting sqref="K5:K12">
    <cfRule type="colorScale" priority="649">
      <colorScale>
        <cfvo type="percent" val="0"/>
        <cfvo type="percent" val="100"/>
        <color rgb="FFFF231B"/>
        <color rgb="FF10FF07"/>
      </colorScale>
    </cfRule>
  </conditionalFormatting>
  <conditionalFormatting sqref="K15">
    <cfRule type="colorScale" priority="930">
      <colorScale>
        <cfvo type="percent" val="0"/>
        <cfvo type="percent" val="100"/>
        <color rgb="FFFF231B"/>
        <color rgb="FF10FF07"/>
      </colorScale>
    </cfRule>
  </conditionalFormatting>
  <conditionalFormatting sqref="K16">
    <cfRule type="colorScale" priority="195">
      <colorScale>
        <cfvo type="percent" val="0"/>
        <cfvo type="percent" val="100"/>
        <color rgb="FFFF231B"/>
        <color rgb="FF10FF07"/>
      </colorScale>
    </cfRule>
  </conditionalFormatting>
  <conditionalFormatting sqref="K17">
    <cfRule type="colorScale" priority="176">
      <colorScale>
        <cfvo type="percent" val="0"/>
        <cfvo type="percent" val="100"/>
        <color rgb="FFFF231B"/>
        <color rgb="FF10FF07"/>
      </colorScale>
    </cfRule>
  </conditionalFormatting>
  <conditionalFormatting sqref="K20:K31">
    <cfRule type="colorScale" priority="710">
      <colorScale>
        <cfvo type="percent" val="0"/>
        <cfvo type="percent" val="100"/>
        <color rgb="FFFF231B"/>
        <color rgb="FF10FF07"/>
      </colorScale>
    </cfRule>
  </conditionalFormatting>
  <conditionalFormatting sqref="K34:K43">
    <cfRule type="colorScale" priority="865">
      <colorScale>
        <cfvo type="percent" val="0"/>
        <cfvo type="percent" val="100"/>
        <color rgb="FFFF231B"/>
        <color rgb="FF10FF07"/>
      </colorScale>
    </cfRule>
  </conditionalFormatting>
  <conditionalFormatting sqref="K46:K55">
    <cfRule type="colorScale" priority="803">
      <colorScale>
        <cfvo type="percent" val="0"/>
        <cfvo type="percent" val="100"/>
        <color rgb="FFFF231B"/>
        <color rgb="FF10FF07"/>
      </colorScale>
    </cfRule>
  </conditionalFormatting>
  <conditionalFormatting sqref="K59:K72">
    <cfRule type="colorScale" priority="868">
      <colorScale>
        <cfvo type="percent" val="0"/>
        <cfvo type="percent" val="100"/>
        <color rgb="FFFF231B"/>
        <color rgb="FF10FF07"/>
      </colorScale>
    </cfRule>
  </conditionalFormatting>
  <conditionalFormatting sqref="O5:O12 Q5:Q12 V5:V12 X5:X12 AC5:AC12 AE5:AE12 AJ5:AJ12 AL5:AL12 AQ5:AQ12 AS5:AS12 AX5:AX12 AZ5:AZ12 BE5:BE12 BG5:BG12 BL5:BL12 BN5:BN12 DD5:DD12 DC15 CU15:CU16 O15:O17 Q15:Q17 V15:V17 X15:X17 AC15:AC17 AE15:AE17 AJ15:AJ17 AL15:AL17 AQ15:AQ17 AS15:AS17 AX15:AX17 AZ15:AZ17 BE15:BE17 BG15:BG17 BL15:BL17 BN15:BN17 BS15:BS17 BU15:BU17 BZ15:BZ17 CB15:CB17 CG15:CG17 CI15:CI17 CN15:CN17 CP15:CP17 CW15:CW17 DB15:DB17 DD15:DD17 CU17:CV17 O34:O43 Q34:Q43 V34:V43 X34:X43 AC34:AC43 AE34:AE43 AJ34:AJ43 AL34:AL43 AQ34:AQ43 AS34:AS43 AX34:AX43 AZ34:AZ43 BE34:BE43 BG34:BG43 BL34:BL43 BN34:BN43 BS34:BS43 BU34:BU43 BZ34:BZ43 CB34:CB43 CG34:CG43 CI34:CI43 CN34:CN43 CP34:CP43 CU34:CU43 CW34:CW43 DB34:DB43 DD34:DD43 O46:O55 Q46:Q55 V46:V55 X46:X55 AC46:AC55 AE46:AE55 AJ46:AJ55 AL46:AL55 AQ46:AQ55 AS46:AS55 AX46:AX55 AZ46:AZ55 BE46:BE55 BG46:BG55 BL46:BL55 BN46:BN55 CN47:CN55 CP47:CP55 CX59 O59:O72 Q59:Q72 V59:V72 X59:X72 AC59:AC72 AE59:AE72 AJ59:AJ72 AL59:AL72 AQ59:AQ72 AS59:AS72 AX59:AX72 AZ59:AZ72 BE59:BE72 BG59:BG72 BL59:BL72 BN59:BN72 BS59:BS72 BU59:BU72 BZ59:BZ72 CB59:CB72 CG59:CG72 CI59:CI72 CN59:CN72 CP59:CP72 CU59:CU72 DB59:DB72 DD59:DD72 CW59:CW74">
    <cfRule type="expression" dxfId="117" priority="616">
      <formula>OR(IF(O5&lt;P5,TRUE),IF(AND(P5="",O5&lt;&gt;""),TRUE))</formula>
    </cfRule>
    <cfRule type="expression" dxfId="116" priority="617">
      <formula>IF(O5&gt;=P5,IF(O5="",FALSE,TRUE))</formula>
    </cfRule>
  </conditionalFormatting>
  <conditionalFormatting sqref="O20:O31">
    <cfRule type="expression" dxfId="115" priority="557">
      <formula>OR(IF(O20&lt;P20,TRUE),IF(AND(P20="",O20&lt;&gt;""),TRUE))</formula>
    </cfRule>
    <cfRule type="expression" dxfId="114" priority="558">
      <formula>IF(O20&gt;=P20,IF(O20="",FALSE,TRUE))</formula>
    </cfRule>
  </conditionalFormatting>
  <conditionalFormatting sqref="Q20:Q31">
    <cfRule type="expression" dxfId="113" priority="555">
      <formula>OR(IF(Q20&lt;R20,TRUE),IF(AND(R20="",Q20&lt;&gt;""),TRUE))</formula>
    </cfRule>
    <cfRule type="expression" dxfId="112" priority="556">
      <formula>IF(Q20&gt;=R20,IF(Q20="",FALSE,TRUE))</formula>
    </cfRule>
  </conditionalFormatting>
  <conditionalFormatting sqref="V20:V31">
    <cfRule type="expression" dxfId="111" priority="527">
      <formula>OR(IF(V20&lt;W20,TRUE),IF(AND(W20="",V20&lt;&gt;""),TRUE))</formula>
    </cfRule>
    <cfRule type="expression" dxfId="110" priority="528">
      <formula>IF(V20&gt;=W20,IF(V20="",FALSE,TRUE))</formula>
    </cfRule>
  </conditionalFormatting>
  <conditionalFormatting sqref="X20:X31">
    <cfRule type="expression" dxfId="109" priority="525">
      <formula>OR(IF(X20&lt;Y20,TRUE),IF(AND(Y20="",X20&lt;&gt;""),TRUE))</formula>
    </cfRule>
    <cfRule type="expression" dxfId="108" priority="526">
      <formula>IF(X20&gt;=Y20,IF(X20="",FALSE,TRUE))</formula>
    </cfRule>
  </conditionalFormatting>
  <conditionalFormatting sqref="AC20:AC31">
    <cfRule type="expression" dxfId="107" priority="511">
      <formula>OR(IF(AC20&lt;AD20,TRUE),IF(AND(AD20="",AC20&lt;&gt;""),TRUE))</formula>
    </cfRule>
    <cfRule type="expression" dxfId="106" priority="512">
      <formula>IF(AC20&gt;=AD20,IF(AC20="",FALSE,TRUE))</formula>
    </cfRule>
  </conditionalFormatting>
  <conditionalFormatting sqref="AE20:AE31">
    <cfRule type="expression" dxfId="105" priority="509">
      <formula>OR(IF(AE20&lt;AF20,TRUE),IF(AND(AF20="",AE20&lt;&gt;""),TRUE))</formula>
    </cfRule>
    <cfRule type="expression" dxfId="104" priority="510">
      <formula>IF(AE20&gt;=AF20,IF(AE20="",FALSE,TRUE))</formula>
    </cfRule>
  </conditionalFormatting>
  <conditionalFormatting sqref="AJ20:AJ31">
    <cfRule type="expression" dxfId="103" priority="495">
      <formula>OR(IF(AJ20&lt;AK20,TRUE),IF(AND(AK20="",AJ20&lt;&gt;""),TRUE))</formula>
    </cfRule>
    <cfRule type="expression" dxfId="102" priority="496">
      <formula>IF(AJ20&gt;=AK20,IF(AJ20="",FALSE,TRUE))</formula>
    </cfRule>
  </conditionalFormatting>
  <conditionalFormatting sqref="AL20:AL31">
    <cfRule type="expression" dxfId="101" priority="493">
      <formula>OR(IF(AL20&lt;AM20,TRUE),IF(AND(AM20="",AL20&lt;&gt;""),TRUE))</formula>
    </cfRule>
    <cfRule type="expression" dxfId="100" priority="494">
      <formula>IF(AL20&gt;=AM20,IF(AL20="",FALSE,TRUE))</formula>
    </cfRule>
  </conditionalFormatting>
  <conditionalFormatting sqref="AQ20:AQ31">
    <cfRule type="expression" dxfId="99" priority="479">
      <formula>OR(IF(AQ20&lt;AR20,TRUE),IF(AND(AR20="",AQ20&lt;&gt;""),TRUE))</formula>
    </cfRule>
    <cfRule type="expression" dxfId="98" priority="480">
      <formula>IF(AQ20&gt;=AR20,IF(AQ20="",FALSE,TRUE))</formula>
    </cfRule>
  </conditionalFormatting>
  <conditionalFormatting sqref="AS20:AS31">
    <cfRule type="expression" dxfId="97" priority="477">
      <formula>OR(IF(AS20&lt;AT20,TRUE),IF(AND(AT20="",AS20&lt;&gt;""),TRUE))</formula>
    </cfRule>
    <cfRule type="expression" dxfId="96" priority="478">
      <formula>IF(AS20&gt;=AT20,IF(AS20="",FALSE,TRUE))</formula>
    </cfRule>
  </conditionalFormatting>
  <conditionalFormatting sqref="AX20:AX31">
    <cfRule type="expression" dxfId="95" priority="463">
      <formula>OR(IF(AX20&lt;AY20,TRUE),IF(AND(AY20="",AX20&lt;&gt;""),TRUE))</formula>
    </cfRule>
    <cfRule type="expression" dxfId="94" priority="464">
      <formula>IF(AX20&gt;=AY20,IF(AX20="",FALSE,TRUE))</formula>
    </cfRule>
  </conditionalFormatting>
  <conditionalFormatting sqref="AZ20:AZ31">
    <cfRule type="expression" dxfId="93" priority="461">
      <formula>OR(IF(AZ20&lt;BA20,TRUE),IF(AND(BA20="",AZ20&lt;&gt;""),TRUE))</formula>
    </cfRule>
    <cfRule type="expression" dxfId="92" priority="462">
      <formula>IF(AZ20&gt;=BA20,IF(AZ20="",FALSE,TRUE))</formula>
    </cfRule>
  </conditionalFormatting>
  <conditionalFormatting sqref="BE20:BE31">
    <cfRule type="expression" dxfId="91" priority="447">
      <formula>OR(IF(BE20&lt;BF20,TRUE),IF(AND(BF20="",BE20&lt;&gt;""),TRUE))</formula>
    </cfRule>
    <cfRule type="expression" dxfId="90" priority="448">
      <formula>IF(BE20&gt;=BF20,IF(BE20="",FALSE,TRUE))</formula>
    </cfRule>
  </conditionalFormatting>
  <conditionalFormatting sqref="BG20:BG31">
    <cfRule type="expression" dxfId="89" priority="445">
      <formula>OR(IF(BG20&lt;BH20,TRUE),IF(AND(BH20="",BG20&lt;&gt;""),TRUE))</formula>
    </cfRule>
    <cfRule type="expression" dxfId="88" priority="446">
      <formula>IF(BG20&gt;=BH20,IF(BG20="",FALSE,TRUE))</formula>
    </cfRule>
  </conditionalFormatting>
  <conditionalFormatting sqref="BL20:BL31">
    <cfRule type="expression" dxfId="87" priority="423">
      <formula>OR(IF(BL20&lt;BM20,TRUE),IF(AND(BM20="",BL20&lt;&gt;""),TRUE))</formula>
    </cfRule>
    <cfRule type="expression" dxfId="86" priority="424">
      <formula>IF(BL20&gt;=BM20,IF(BL20="",FALSE,TRUE))</formula>
    </cfRule>
  </conditionalFormatting>
  <conditionalFormatting sqref="BN20:BN31">
    <cfRule type="expression" dxfId="85" priority="421">
      <formula>OR(IF(BN20&lt;BO20,TRUE),IF(AND(BO20="",BN20&lt;&gt;""),TRUE))</formula>
    </cfRule>
    <cfRule type="expression" dxfId="84" priority="422">
      <formula>IF(BN20&gt;=BO20,IF(BN20="",FALSE,TRUE))</formula>
    </cfRule>
  </conditionalFormatting>
  <conditionalFormatting sqref="BS5:BS12 BU5:BU12 BS46:BS55 BU46:BU55">
    <cfRule type="expression" dxfId="83" priority="172">
      <formula>OR(IF(BS5&lt;BT5,TRUE),IF(AND(BT5="",BS5&lt;&gt;""),TRUE))</formula>
    </cfRule>
    <cfRule type="expression" dxfId="82" priority="173">
      <formula>IF(BS5&gt;=BT5,IF(BS5="",FALSE,TRUE))</formula>
    </cfRule>
  </conditionalFormatting>
  <conditionalFormatting sqref="BS20:BS31">
    <cfRule type="expression" dxfId="81" priority="168">
      <formula>OR(IF(BS20&lt;BT20,TRUE),IF(AND(BT20="",BS20&lt;&gt;""),TRUE))</formula>
    </cfRule>
    <cfRule type="expression" dxfId="80" priority="169">
      <formula>IF(BS20&gt;=BT20,IF(BS20="",FALSE,TRUE))</formula>
    </cfRule>
  </conditionalFormatting>
  <conditionalFormatting sqref="BU20:BU31">
    <cfRule type="expression" dxfId="79" priority="166">
      <formula>OR(IF(BU20&lt;BV20,TRUE),IF(AND(BV20="",BU20&lt;&gt;""),TRUE))</formula>
    </cfRule>
    <cfRule type="expression" dxfId="78" priority="167">
      <formula>IF(BU20&gt;=BV20,IF(BU20="",FALSE,TRUE))</formula>
    </cfRule>
  </conditionalFormatting>
  <conditionalFormatting sqref="BZ5:BZ12 BZ46:BZ55 CB46:CB55">
    <cfRule type="expression" dxfId="77" priority="152">
      <formula>OR(IF(BZ5&lt;CA5,TRUE),IF(AND(CA5="",BZ5&lt;&gt;""),TRUE))</formula>
    </cfRule>
    <cfRule type="expression" dxfId="76" priority="153">
      <formula>IF(BZ5&gt;=CA5,IF(BZ5="",FALSE,TRUE))</formula>
    </cfRule>
  </conditionalFormatting>
  <conditionalFormatting sqref="BZ20:BZ31">
    <cfRule type="expression" dxfId="75" priority="148">
      <formula>OR(IF(BZ20&lt;CA20,TRUE),IF(AND(CA20="",BZ20&lt;&gt;""),TRUE))</formula>
    </cfRule>
    <cfRule type="expression" dxfId="74" priority="149">
      <formula>IF(BZ20&gt;=CA20,IF(BZ20="",FALSE,TRUE))</formula>
    </cfRule>
  </conditionalFormatting>
  <conditionalFormatting sqref="CB5:CB12">
    <cfRule type="expression" dxfId="73" priority="52">
      <formula>OR(IF(CB5&lt;CC5,TRUE),IF(AND(CC5="",CB5&lt;&gt;""),TRUE))</formula>
    </cfRule>
    <cfRule type="expression" dxfId="72" priority="53">
      <formula>IF(CB5&gt;=CC5,IF(CB5="",FALSE,TRUE))</formula>
    </cfRule>
  </conditionalFormatting>
  <conditionalFormatting sqref="CB20:CB31">
    <cfRule type="expression" dxfId="71" priority="146">
      <formula>OR(IF(CB20&lt;CC20,TRUE),IF(AND(CC20="",CB20&lt;&gt;""),TRUE))</formula>
    </cfRule>
    <cfRule type="expression" dxfId="70" priority="147">
      <formula>IF(CB20&gt;=CC20,IF(CB20="",FALSE,TRUE))</formula>
    </cfRule>
  </conditionalFormatting>
  <conditionalFormatting sqref="CG5:CG12 CI5:CI12 CG46:CG55 CI46:CI55">
    <cfRule type="expression" dxfId="69" priority="132">
      <formula>OR(IF(CG5&lt;CH5,TRUE),IF(AND(CH5="",CG5&lt;&gt;""),TRUE))</formula>
    </cfRule>
    <cfRule type="expression" dxfId="68" priority="133">
      <formula>IF(CG5&gt;=CH5,IF(CG5="",FALSE,TRUE))</formula>
    </cfRule>
  </conditionalFormatting>
  <conditionalFormatting sqref="CG20:CG31">
    <cfRule type="expression" dxfId="67" priority="128">
      <formula>OR(IF(CG20&lt;CH20,TRUE),IF(AND(CH20="",CG20&lt;&gt;""),TRUE))</formula>
    </cfRule>
    <cfRule type="expression" dxfId="66" priority="129">
      <formula>IF(CG20&gt;=CH20,IF(CG20="",FALSE,TRUE))</formula>
    </cfRule>
  </conditionalFormatting>
  <conditionalFormatting sqref="CI20:CI31">
    <cfRule type="expression" dxfId="65" priority="126">
      <formula>OR(IF(CI20&lt;CJ20,TRUE),IF(AND(CJ20="",CI20&lt;&gt;""),TRUE))</formula>
    </cfRule>
    <cfRule type="expression" dxfId="64" priority="127">
      <formula>IF(CI20&gt;=CJ20,IF(CI20="",FALSE,TRUE))</formula>
    </cfRule>
  </conditionalFormatting>
  <conditionalFormatting sqref="CN5:CN12 CP5:CP12">
    <cfRule type="expression" dxfId="63" priority="112">
      <formula>OR(IF(CN5&lt;CO5,TRUE),IF(AND(CO5="",CN5&lt;&gt;""),TRUE))</formula>
    </cfRule>
    <cfRule type="expression" dxfId="62" priority="113">
      <formula>IF(CN5&gt;=CO5,IF(CN5="",FALSE,TRUE))</formula>
    </cfRule>
  </conditionalFormatting>
  <conditionalFormatting sqref="CN20:CN31">
    <cfRule type="expression" dxfId="61" priority="108">
      <formula>OR(IF(CN20&lt;CO20,TRUE),IF(AND(CO20="",CN20&lt;&gt;""),TRUE))</formula>
    </cfRule>
    <cfRule type="expression" dxfId="60" priority="109">
      <formula>IF(CN20&gt;=CO20,IF(CN20="",FALSE,TRUE))</formula>
    </cfRule>
  </conditionalFormatting>
  <conditionalFormatting sqref="CN46">
    <cfRule type="expression" dxfId="59" priority="933">
      <formula>OR(IF(CN46&lt;#REF!,TRUE),IF(AND(#REF!="",CN46&lt;&gt;""),TRUE))</formula>
    </cfRule>
    <cfRule type="expression" dxfId="58" priority="934">
      <formula>IF(CN46&gt;=#REF!,IF(CN46="",FALSE,TRUE))</formula>
    </cfRule>
  </conditionalFormatting>
  <conditionalFormatting sqref="CP20:CP31">
    <cfRule type="expression" dxfId="57" priority="106">
      <formula>OR(IF(CP20&lt;CQ20,TRUE),IF(AND(CQ20="",CP20&lt;&gt;""),TRUE))</formula>
    </cfRule>
    <cfRule type="expression" dxfId="56" priority="107">
      <formula>IF(CP20&gt;=CQ20,IF(CP20="",FALSE,TRUE))</formula>
    </cfRule>
  </conditionalFormatting>
  <conditionalFormatting sqref="CU5:CU12 CW5:CW12 CU46:CU55 CW46:CW55">
    <cfRule type="expression" dxfId="55" priority="92">
      <formula>OR(IF(CU5&lt;CV5,TRUE),IF(AND(CV5="",CU5&lt;&gt;""),TRUE))</formula>
    </cfRule>
    <cfRule type="expression" dxfId="54" priority="93">
      <formula>IF(CU5&gt;=CV5,IF(CU5="",FALSE,TRUE))</formula>
    </cfRule>
  </conditionalFormatting>
  <conditionalFormatting sqref="CU20:CU31">
    <cfRule type="expression" dxfId="53" priority="88">
      <formula>OR(IF(CU20&lt;CV20,TRUE),IF(AND(CV20="",CU20&lt;&gt;""),TRUE))</formula>
    </cfRule>
    <cfRule type="expression" dxfId="52" priority="89">
      <formula>IF(CU20&gt;=CV20,IF(CU20="",FALSE,TRUE))</formula>
    </cfRule>
  </conditionalFormatting>
  <conditionalFormatting sqref="CW20:CW31">
    <cfRule type="expression" dxfId="51" priority="86">
      <formula>OR(IF(CW20&lt;CX20,TRUE),IF(AND(CX20="",CW20&lt;&gt;""),TRUE))</formula>
    </cfRule>
    <cfRule type="expression" dxfId="50" priority="87">
      <formula>IF(CW20&gt;=CX20,IF(CW20="",FALSE,TRUE))</formula>
    </cfRule>
  </conditionalFormatting>
  <conditionalFormatting sqref="DB5:DB12 DB46:DB55 DD46:DD55">
    <cfRule type="expression" dxfId="49" priority="72">
      <formula>OR(IF(DB5&lt;DC5,TRUE),IF(AND(DC5="",DB5&lt;&gt;""),TRUE))</formula>
    </cfRule>
    <cfRule type="expression" dxfId="48" priority="73">
      <formula>IF(DB5&gt;=DC5,IF(DB5="",FALSE,TRUE))</formula>
    </cfRule>
  </conditionalFormatting>
  <conditionalFormatting sqref="DB20:DB31">
    <cfRule type="expression" dxfId="47" priority="68">
      <formula>OR(IF(DB20&lt;DC20,TRUE),IF(AND(DC20="",DB20&lt;&gt;""),TRUE))</formula>
    </cfRule>
    <cfRule type="expression" dxfId="46" priority="69">
      <formula>IF(DB20&gt;=DC20,IF(DB20="",FALSE,TRUE))</formula>
    </cfRule>
  </conditionalFormatting>
  <conditionalFormatting sqref="DD20:DD31">
    <cfRule type="expression" dxfId="45" priority="1">
      <formula>OR(IF(DD20&lt;DE20,TRUE),IF(AND(DE20="",DD20&lt;&gt;""),TRUE))</formula>
    </cfRule>
    <cfRule type="expression" dxfId="44" priority="2">
      <formula>IF(DD20&gt;=DE20,IF(DD20="",FALSE,TRUE))</formula>
    </cfRule>
  </conditionalFormatting>
  <conditionalFormatting sqref="DI5:DI12 DK5:DK12 DI46:DI55 DK46:DK55">
    <cfRule type="expression" dxfId="43" priority="31">
      <formula>OR(IF(DI5&lt;DJ5,TRUE),IF(AND(DJ5="",DI5&lt;&gt;""),TRUE))</formula>
    </cfRule>
    <cfRule type="expression" dxfId="42" priority="32">
      <formula>IF(DI5&gt;=DJ5,IF(DI5="",FALSE,TRUE))</formula>
    </cfRule>
  </conditionalFormatting>
  <conditionalFormatting sqref="DI15:DI17 DK15:DK17 DI34:DI43 DK34:DK43 DI59:DI72 DK59:DK72">
    <cfRule type="expression" dxfId="41" priority="33">
      <formula>OR(IF(DI15&lt;DJ15,TRUE),IF(AND(DJ15="",DI15&lt;&gt;""),TRUE))</formula>
    </cfRule>
    <cfRule type="expression" dxfId="40" priority="34">
      <formula>IF(DI15&gt;=DJ15,IF(DI15="",FALSE,TRUE))</formula>
    </cfRule>
  </conditionalFormatting>
  <conditionalFormatting sqref="DI20:DI31">
    <cfRule type="expression" dxfId="39" priority="29">
      <formula>OR(IF(DI20&lt;DJ20,TRUE),IF(AND(DJ20="",DI20&lt;&gt;""),TRUE))</formula>
    </cfRule>
    <cfRule type="expression" dxfId="38" priority="30">
      <formula>IF(DI20&gt;=DJ20,IF(DI20="",FALSE,TRUE))</formula>
    </cfRule>
  </conditionalFormatting>
  <conditionalFormatting sqref="DK20:DK31">
    <cfRule type="expression" dxfId="37" priority="27">
      <formula>OR(IF(DK20&lt;DL20,TRUE),IF(AND(DL20="",DK20&lt;&gt;""),TRUE))</formula>
    </cfRule>
    <cfRule type="expression" dxfId="36" priority="28">
      <formula>IF(DK20&gt;=DL20,IF(DK20="",FALSE,TRUE))</formula>
    </cfRule>
  </conditionalFormatting>
  <conditionalFormatting sqref="DP5:DP12 DR5:DR12 DP46:DP55 DR46:DR55">
    <cfRule type="expression" dxfId="35" priority="23">
      <formula>OR(IF(DP5&lt;DQ5,TRUE),IF(AND(DQ5="",DP5&lt;&gt;""),TRUE))</formula>
    </cfRule>
    <cfRule type="expression" dxfId="34" priority="24">
      <formula>IF(DP5&gt;=DQ5,IF(DP5="",FALSE,TRUE))</formula>
    </cfRule>
  </conditionalFormatting>
  <conditionalFormatting sqref="DP15:DP17 DR15:DR17 DP34:DP43 DR34:DR43 DP59:DP72 DR59:DR72">
    <cfRule type="expression" dxfId="33" priority="25">
      <formula>OR(IF(DP15&lt;DQ15,TRUE),IF(AND(DQ15="",DP15&lt;&gt;""),TRUE))</formula>
    </cfRule>
    <cfRule type="expression" dxfId="32" priority="26">
      <formula>IF(DP15&gt;=DQ15,IF(DP15="",FALSE,TRUE))</formula>
    </cfRule>
  </conditionalFormatting>
  <conditionalFormatting sqref="DP20:DP31">
    <cfRule type="expression" dxfId="31" priority="21">
      <formula>OR(IF(DP20&lt;DQ20,TRUE),IF(AND(DQ20="",DP20&lt;&gt;""),TRUE))</formula>
    </cfRule>
    <cfRule type="expression" dxfId="30" priority="22">
      <formula>IF(DP20&gt;=DQ20,IF(DP20="",FALSE,TRUE))</formula>
    </cfRule>
  </conditionalFormatting>
  <conditionalFormatting sqref="DR20:DR31">
    <cfRule type="expression" dxfId="29" priority="19">
      <formula>OR(IF(DR20&lt;DS20,TRUE),IF(AND(DS20="",DR20&lt;&gt;""),TRUE))</formula>
    </cfRule>
    <cfRule type="expression" dxfId="28" priority="20">
      <formula>IF(DR20&gt;=DS20,IF(DR20="",FALSE,TRUE))</formula>
    </cfRule>
  </conditionalFormatting>
  <conditionalFormatting sqref="DW5:DW12 DY5:DY12 DW46:DW55 DY46:DY55">
    <cfRule type="expression" dxfId="27" priority="15">
      <formula>OR(IF(DW5&lt;DX5,TRUE),IF(AND(DX5="",DW5&lt;&gt;""),TRUE))</formula>
    </cfRule>
    <cfRule type="expression" dxfId="26" priority="16">
      <formula>IF(DW5&gt;=DX5,IF(DW5="",FALSE,TRUE))</formula>
    </cfRule>
  </conditionalFormatting>
  <conditionalFormatting sqref="DW15:DW17 DY15:DY17 DW34:DW43 DY34:DY43 DW59:DW72 DY59:DY72">
    <cfRule type="expression" dxfId="25" priority="17">
      <formula>OR(IF(DW15&lt;DX15,TRUE),IF(AND(DX15="",DW15&lt;&gt;""),TRUE))</formula>
    </cfRule>
    <cfRule type="expression" dxfId="24" priority="18">
      <formula>IF(DW15&gt;=DX15,IF(DW15="",FALSE,TRUE))</formula>
    </cfRule>
  </conditionalFormatting>
  <conditionalFormatting sqref="DW20:DW31">
    <cfRule type="expression" dxfId="23" priority="13">
      <formula>OR(IF(DW20&lt;DX20,TRUE),IF(AND(DX20="",DW20&lt;&gt;""),TRUE))</formula>
    </cfRule>
    <cfRule type="expression" dxfId="22" priority="14">
      <formula>IF(DW20&gt;=DX20,IF(DW20="",FALSE,TRUE))</formula>
    </cfRule>
  </conditionalFormatting>
  <conditionalFormatting sqref="DY20:DY31">
    <cfRule type="expression" dxfId="21" priority="11">
      <formula>OR(IF(DY20&lt;DZ20,TRUE),IF(AND(DZ20="",DY20&lt;&gt;""),TRUE))</formula>
    </cfRule>
    <cfRule type="expression" dxfId="20" priority="12">
      <formula>IF(DY20&gt;=DZ20,IF(DY20="",FALSE,TRUE))</formula>
    </cfRule>
  </conditionalFormatting>
  <conditionalFormatting sqref="ED5:ED12 EF5:EF12 ED46:ED55 EF46:EF55">
    <cfRule type="expression" dxfId="19" priority="7">
      <formula>OR(IF(ED5&lt;EE5,TRUE),IF(AND(EE5="",ED5&lt;&gt;""),TRUE))</formula>
    </cfRule>
    <cfRule type="expression" dxfId="18" priority="8">
      <formula>IF(ED5&gt;=EE5,IF(ED5="",FALSE,TRUE))</formula>
    </cfRule>
  </conditionalFormatting>
  <conditionalFormatting sqref="ED15:ED17 EF15:EF17 ED34:ED43 EF34:EF43 ED59:ED72 EF59:EF72">
    <cfRule type="expression" dxfId="17" priority="9">
      <formula>OR(IF(ED15&lt;EE15,TRUE),IF(AND(EE15="",ED15&lt;&gt;""),TRUE))</formula>
    </cfRule>
    <cfRule type="expression" dxfId="16" priority="10">
      <formula>IF(ED15&gt;=EE15,IF(ED15="",FALSE,TRUE))</formula>
    </cfRule>
  </conditionalFormatting>
  <conditionalFormatting sqref="ED20:ED31">
    <cfRule type="expression" dxfId="15" priority="5">
      <formula>OR(IF(ED20&lt;EE20,TRUE),IF(AND(EE20="",ED20&lt;&gt;""),TRUE))</formula>
    </cfRule>
    <cfRule type="expression" dxfId="14" priority="6">
      <formula>IF(ED20&gt;=EE20,IF(ED20="",FALSE,TRUE))</formula>
    </cfRule>
  </conditionalFormatting>
  <conditionalFormatting sqref="EF20:EF31">
    <cfRule type="expression" dxfId="13" priority="3">
      <formula>OR(IF(EF20&lt;EG20,TRUE),IF(AND(EG20="",EF20&lt;&gt;""),TRUE))</formula>
    </cfRule>
    <cfRule type="expression" dxfId="12" priority="4">
      <formula>IF(EF20&gt;=EG20,IF(EF20="",FALSE,TRUE))</formula>
    </cfRule>
  </conditionalFormatting>
  <dataValidations count="1">
    <dataValidation type="list" allowBlank="1" showInputMessage="1" showErrorMessage="1" sqref="AJ59:AM72 V5:Y12 AC5:AF12 AJ5:AM12 AX59:BA72 BE59:BH72 BL59:BO72 BS20:BV31 DB59:DE72 V15:Y17 AC15:AF17 AJ15:AM17 AQ15:AT17 AX15:BA17 BE15:BH17 BL5:BO12 BL15:BO17 O20:R31 AX5:BA12 CG34:CJ43 AQ5:AT12 AJ46:AM55 AJ34:AM43 V20:Y31 BL20:BO31 V34:Y43 AX20:BA31 BE20:BH31 AQ20:AT31 AJ20:AM31 AC20:AF31 V59:Y72 BL34:BO43 AX34:BA43 BE34:BH43 AQ34:AT43 AC34:AF43 V46:Y55 O46:R55 BS15:BV17 BZ15:CC17 BZ20:CC31 BS59:BV72 BS46:BV55 BS5:BV12 BZ59:CC72 BZ34:CC43 BZ46:CC55 BE5:BH12 DB15:DE17 CN59:CQ72 CG15:CJ17 CG5:CJ12 CG20:CJ31 CU5:CX12 CN5:CQ12 CN15:CQ17 CN20:CQ31 CU20:CX31 CU34:CX43 CU46:CX55 CU59:CV72 CU15:CX17 DB5:DE12 DB20:DE31 BZ5:CC12 O15:R17 AQ59:AT72 CG46:CJ55 BL46:BO55 AX46:BA55 BE46:BH55 AR46:AR57 AC46:AF55 AC59:AF72 O59:R72 BS34:BV43 CG59:CJ72 DB34:DE43 CN46:CQ55 O5:R12 DI5:DL12 DI15:DL17 DI20:DL31 DI34:DL43 DI46:DL55 DI59:DL72 DP5:DS12 DP15:DS17 DP20:DS31 DP34:DS43 DP46:DS55 DP59:DS72 DW5:DZ12 DW15:DZ17 DW20:DZ31 DW34:DZ43 DW46:DZ55 DW59:DZ72 ED5:EG12 ED15:EG17 ED20:EG31 ED34:EG43 ED46:EG55 ED59:EG72 DB46:DE55 CW59:CW74 CX59:CX72 CN34:CQ43 AQ46:AQ55 AS46:AT55 O34:R4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3" workbookViewId="0">
      <selection activeCell="B2" sqref="B2"/>
    </sheetView>
  </sheetViews>
  <sheetFormatPr baseColWidth="10" defaultColWidth="10.6875" defaultRowHeight="15.75"/>
  <cols>
    <col min="2" max="2" width="161" customWidth="1"/>
    <col min="3" max="3" width="10.8125"/>
  </cols>
  <sheetData>
    <row r="4" spans="2:2" ht="21">
      <c r="B4" s="3" t="s">
        <v>16</v>
      </c>
    </row>
    <row r="6" spans="2:2">
      <c r="B6" s="2" t="s">
        <v>13</v>
      </c>
    </row>
    <row r="7" spans="2:2" ht="47.25">
      <c r="B7" s="1" t="s">
        <v>14</v>
      </c>
    </row>
    <row r="9" spans="2:2">
      <c r="B9" s="2" t="s">
        <v>15</v>
      </c>
    </row>
    <row r="10" spans="2:2" ht="63">
      <c r="B10" s="1" t="s">
        <v>35</v>
      </c>
    </row>
    <row r="12" spans="2:2">
      <c r="B12" s="2" t="s">
        <v>17</v>
      </c>
    </row>
    <row r="13" spans="2:2" ht="126">
      <c r="B13" s="1" t="s">
        <v>18</v>
      </c>
    </row>
    <row r="15" spans="2:2">
      <c r="B15" s="2" t="s">
        <v>19</v>
      </c>
    </row>
    <row r="16" spans="2:2" ht="110.25">
      <c r="B16" s="1" t="s">
        <v>20</v>
      </c>
    </row>
    <row r="17" spans="2:2">
      <c r="B17" s="1"/>
    </row>
    <row r="18" spans="2:2">
      <c r="B18" s="2" t="s">
        <v>34</v>
      </c>
    </row>
    <row r="19" spans="2:2" ht="141.75">
      <c r="B19" s="1" t="s">
        <v>36</v>
      </c>
    </row>
    <row r="21" spans="2:2">
      <c r="B21" s="2" t="s">
        <v>21</v>
      </c>
    </row>
    <row r="22" spans="2:2" ht="110.25">
      <c r="B22" s="1" t="s">
        <v>37</v>
      </c>
    </row>
    <row r="24" spans="2:2">
      <c r="B24" s="2"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875" defaultRowHeight="15.75"/>
  <cols>
    <col min="1" max="1" width="16.8125" style="9" customWidth="1"/>
    <col min="2" max="2" width="19.1875" style="9" customWidth="1"/>
    <col min="3" max="3" width="18.1875" style="9" customWidth="1"/>
    <col min="4" max="4" width="19.5" style="9" customWidth="1"/>
    <col min="8" max="8" width="15.1875" customWidth="1"/>
    <col min="10" max="10" width="42" customWidth="1"/>
    <col min="11" max="11" width="28.5" customWidth="1"/>
  </cols>
  <sheetData>
    <row r="1" spans="1:11" ht="31.5">
      <c r="A1" s="9" t="s">
        <v>41</v>
      </c>
      <c r="B1" s="15" t="s">
        <v>38</v>
      </c>
      <c r="C1" s="15" t="s">
        <v>39</v>
      </c>
      <c r="D1" s="15" t="s">
        <v>40</v>
      </c>
      <c r="E1" s="1" t="s">
        <v>42</v>
      </c>
      <c r="F1" s="1" t="s">
        <v>43</v>
      </c>
      <c r="G1" s="1" t="s">
        <v>44</v>
      </c>
      <c r="H1" s="1" t="s">
        <v>45</v>
      </c>
      <c r="I1" s="1" t="s">
        <v>46</v>
      </c>
      <c r="J1" s="1" t="s">
        <v>47</v>
      </c>
      <c r="K1" s="1" t="s">
        <v>48</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875" defaultRowHeight="15.75"/>
  <sheetData>
    <row r="1" spans="1:8" ht="25.1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875" defaultRowHeight="15.75"/>
  <sheetData>
    <row r="1" spans="1:8" ht="25.1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Kimani Huber</cp:lastModifiedBy>
  <dcterms:created xsi:type="dcterms:W3CDTF">2020-04-19T13:33:28Z</dcterms:created>
  <dcterms:modified xsi:type="dcterms:W3CDTF">2025-10-10T10:21:51Z</dcterms:modified>
</cp:coreProperties>
</file>