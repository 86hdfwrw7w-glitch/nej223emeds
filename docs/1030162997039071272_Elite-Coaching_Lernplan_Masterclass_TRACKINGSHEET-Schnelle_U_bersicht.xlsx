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niklas/Downloads/"/>
    </mc:Choice>
  </mc:AlternateContent>
  <xr:revisionPtr revIDLastSave="0" documentId="13_ncr:1_{E0005E6C-A354-C840-BDE0-906BC3B9C607}" xr6:coauthVersionLast="47" xr6:coauthVersionMax="47" xr10:uidLastSave="{00000000-0000-0000-0000-000000000000}"/>
  <bookViews>
    <workbookView xWindow="0" yWindow="0" windowWidth="28800" windowHeight="18000"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10" l="1"/>
  <c r="C7" i="10"/>
  <c r="G14" i="7"/>
  <c r="EJ4" i="7" l="1"/>
  <c r="EC4" i="7"/>
  <c r="DV4" i="7"/>
  <c r="DO4" i="7"/>
  <c r="DH4" i="7"/>
  <c r="K6" i="7" a="1"/>
  <c r="K6" i="7" s="1"/>
  <c r="J6" i="7" a="1"/>
  <c r="J6" i="7" s="1"/>
  <c r="I6" i="7"/>
  <c r="K7" i="7" a="1"/>
  <c r="K7" i="7" s="1"/>
  <c r="J7" i="7" a="1"/>
  <c r="J7" i="7" s="1"/>
  <c r="I7" i="7"/>
  <c r="K39" i="7" a="1"/>
  <c r="K39" i="7" s="1"/>
  <c r="J39" i="7" a="1"/>
  <c r="J39" i="7" s="1"/>
  <c r="I39" i="7"/>
  <c r="K40" i="7" a="1"/>
  <c r="K40" i="7" s="1"/>
  <c r="J40" i="7" a="1"/>
  <c r="J40" i="7" s="1"/>
  <c r="I40" i="7"/>
  <c r="K41" i="7" a="1"/>
  <c r="K41" i="7" s="1"/>
  <c r="J41" i="7" a="1"/>
  <c r="J41" i="7" s="1"/>
  <c r="I41" i="7"/>
  <c r="K42" i="7" a="1"/>
  <c r="K42" i="7" s="1"/>
  <c r="J42" i="7" a="1"/>
  <c r="J42" i="7" s="1"/>
  <c r="I42" i="7"/>
  <c r="K43" i="7" a="1"/>
  <c r="K43" i="7" s="1"/>
  <c r="J43" i="7" a="1"/>
  <c r="J43" i="7" s="1"/>
  <c r="I43" i="7"/>
  <c r="K44" i="7" a="1"/>
  <c r="K44" i="7" s="1"/>
  <c r="J44" i="7" a="1"/>
  <c r="J44" i="7" s="1"/>
  <c r="I44" i="7"/>
  <c r="K45" i="7" a="1"/>
  <c r="K45" i="7" s="1"/>
  <c r="J45" i="7" a="1"/>
  <c r="J45" i="7" s="1"/>
  <c r="I45" i="7"/>
  <c r="K46" i="7" a="1"/>
  <c r="K46" i="7" s="1"/>
  <c r="J46" i="7" a="1"/>
  <c r="J46" i="7" s="1"/>
  <c r="I46" i="7"/>
  <c r="K47" i="7" a="1"/>
  <c r="K47" i="7" s="1"/>
  <c r="J47" i="7" a="1"/>
  <c r="J47" i="7" s="1"/>
  <c r="I47" i="7"/>
  <c r="K48" i="7" a="1"/>
  <c r="K48" i="7" s="1"/>
  <c r="J48" i="7" a="1"/>
  <c r="J48" i="7" s="1"/>
  <c r="I48" i="7"/>
  <c r="K49" i="7" a="1"/>
  <c r="K49" i="7" s="1"/>
  <c r="J49" i="7" a="1"/>
  <c r="J49" i="7" s="1"/>
  <c r="I49" i="7"/>
  <c r="K23" i="7" a="1"/>
  <c r="K23" i="7" s="1"/>
  <c r="J23" i="7" a="1"/>
  <c r="J23" i="7" s="1"/>
  <c r="I23" i="7"/>
  <c r="K24" i="7" a="1"/>
  <c r="K24" i="7" s="1"/>
  <c r="J24" i="7" a="1"/>
  <c r="J24" i="7" s="1"/>
  <c r="I24" i="7"/>
  <c r="DA4" i="7" l="1"/>
  <c r="CT4" i="7"/>
  <c r="CM4" i="7"/>
  <c r="CF4" i="7"/>
  <c r="BY4" i="7"/>
  <c r="BR4" i="7"/>
  <c r="K16" i="7" a="1"/>
  <c r="K16" i="7" s="1"/>
  <c r="J16" i="7" a="1"/>
  <c r="J16" i="7" s="1"/>
  <c r="I16"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38" i="7" a="1"/>
  <c r="K38" i="7" s="1"/>
  <c r="J38" i="7" a="1"/>
  <c r="J38" i="7" s="1"/>
  <c r="I38" i="7"/>
  <c r="K37" i="7" a="1"/>
  <c r="K37" i="7" s="1"/>
  <c r="J37" i="7" a="1"/>
  <c r="J37" i="7" s="1"/>
  <c r="I37" i="7"/>
  <c r="AP36" i="7"/>
  <c r="AI36" i="7"/>
  <c r="AB36" i="7"/>
  <c r="U36" i="7"/>
  <c r="G36" i="7"/>
  <c r="BK4" i="7"/>
  <c r="C12" i="10"/>
  <c r="K19" i="7" a="1"/>
  <c r="K19" i="7" s="1"/>
  <c r="J19" i="7" a="1"/>
  <c r="J19" i="7" s="1"/>
  <c r="K18" i="7" a="1"/>
  <c r="K18" i="7" s="1"/>
  <c r="J18" i="7" a="1"/>
  <c r="J18" i="7" s="1"/>
  <c r="K17" i="7" a="1"/>
  <c r="K17" i="7" s="1"/>
  <c r="J17" i="7" a="1"/>
  <c r="J17" i="7" s="1"/>
  <c r="K15" i="7" a="1"/>
  <c r="K15" i="7" s="1"/>
  <c r="J15" i="7" a="1"/>
  <c r="J1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2" i="7" a="1"/>
  <c r="K22" i="7" s="1"/>
  <c r="J22" i="7" a="1"/>
  <c r="J22" i="7" s="1"/>
  <c r="K12" i="7" a="1"/>
  <c r="K12" i="7" s="1"/>
  <c r="J12" i="7" a="1"/>
  <c r="J12" i="7" s="1"/>
  <c r="K11" i="7" a="1"/>
  <c r="K11" i="7" s="1"/>
  <c r="J11" i="7" a="1"/>
  <c r="J11" i="7" s="1"/>
  <c r="K10" i="7" a="1"/>
  <c r="K10" i="7" s="1"/>
  <c r="J10" i="7" a="1"/>
  <c r="J10" i="7" s="1"/>
  <c r="K9" i="7" a="1"/>
  <c r="K9" i="7" s="1"/>
  <c r="J9" i="7" a="1"/>
  <c r="J9" i="7" s="1"/>
  <c r="K8" i="7" a="1"/>
  <c r="K8" i="7" s="1"/>
  <c r="J8" i="7" a="1"/>
  <c r="J8" i="7" s="1"/>
  <c r="K5" i="7" a="1"/>
  <c r="K5" i="7" s="1"/>
  <c r="J5" i="7" a="1"/>
  <c r="J5" i="7" s="1"/>
  <c r="AP14" i="7"/>
  <c r="AI14" i="7"/>
  <c r="AB14" i="7"/>
  <c r="U14" i="7"/>
  <c r="BD4" i="7"/>
  <c r="AW4" i="7"/>
  <c r="AP4" i="7"/>
  <c r="AI4" i="7"/>
  <c r="AB4" i="7"/>
  <c r="U4" i="7"/>
  <c r="G4" i="7"/>
  <c r="AP21" i="7"/>
  <c r="AI21" i="7"/>
  <c r="AB21" i="7"/>
  <c r="U21" i="7"/>
  <c r="I34" i="7"/>
  <c r="I33" i="7"/>
  <c r="I32" i="7"/>
  <c r="I31" i="7"/>
  <c r="I30" i="7"/>
  <c r="I29" i="7"/>
  <c r="I28" i="7"/>
  <c r="I27" i="7"/>
  <c r="I26" i="7"/>
  <c r="I25" i="7"/>
  <c r="I22" i="7"/>
  <c r="I19" i="7"/>
  <c r="I18" i="7"/>
  <c r="I17" i="7"/>
  <c r="I15" i="7"/>
  <c r="I8" i="7"/>
  <c r="I9" i="7"/>
  <c r="I10" i="7"/>
  <c r="I11" i="7"/>
  <c r="I12" i="7"/>
  <c r="I5" i="7"/>
  <c r="G21" i="7"/>
  <c r="I36" i="7" l="1"/>
  <c r="K36" i="7"/>
  <c r="J36" i="7"/>
  <c r="I21" i="7"/>
  <c r="J21" i="7"/>
  <c r="K21" i="7"/>
  <c r="I14" i="7"/>
  <c r="J14" i="7"/>
  <c r="K14" i="7"/>
  <c r="K4" i="7"/>
  <c r="I4" i="7" l="1"/>
  <c r="J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<sst xmlns="http://schemas.openxmlformats.org/spreadsheetml/2006/main" count="369" uniqueCount="153">
  <si>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</si>
  <si>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</si>
  <si>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</si>
  <si>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</si>
  <si>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</si>
  <si>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</si>
  <si>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</si>
  <si>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</si>
  <si>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</si>
  <si>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</si>
  <si>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</si>
  <si>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</si>
  <si>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</si>
  <si>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</si>
  <si>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</si>
  <si>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</si>
  <si>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</si>
  <si>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</si>
  <si>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</si>
  <si>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</si>
  <si>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</si>
  <si>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</si>
  <si>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</si>
  <si>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</si>
  <si>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</si>
  <si>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</si>
  <si>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</si>
  <si>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</si>
  <si>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</si>
  <si>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</si>
  <si>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</si>
  <si>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</si>
  <si>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</si>
  <si>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</si>
  <si>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</si>
  <si>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</si>
  <si>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</si>
  <si>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</si>
  <si>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</si>
  <si>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</si>
  <si>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</si>
  <si>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</si>
  <si>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</si>
  <si>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</si>
  <si>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</si>
  <si>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</si>
  <si>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</si>
  <si>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</si>
  <si>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</si>
  <si>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</si>
  <si>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</si>
  <si>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</si>
  <si>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</si>
  <si>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</si>
  <si>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</si>
  <si>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</si>
  <si>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</si>
  <si>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</si>
  <si>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</si>
  <si>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</si>
  <si>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</si>
  <si>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</si>
  <si>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</si>
  <si>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</si>
  <si>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</si>
  <si>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</si>
  <si>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</si>
  <si>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</si>
  <si>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</si>
  <si>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</si>
  <si>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</si>
  <si>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</si>
  <si>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</si>
  <si>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</si>
  <si>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</si>
  <si>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</si>
  <si>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</si>
  <si>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</si>
  <si>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</si>
  <si>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</si>
  <si>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</si>
  <si>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</si>
  <si>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</si>
  <si>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</si>
  <si>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</si>
  <si>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</si>
  <si>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</si>
  <si>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</si>
  <si>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OVWL</t>
  </si>
  <si>
    <t>OACC</t>
  </si>
  <si>
    <t>OSTA</t>
  </si>
  <si>
    <t>OMAT</t>
  </si>
  <si>
    <t>KW 42</t>
  </si>
  <si>
    <t>KW 43</t>
  </si>
  <si>
    <t>KW 44</t>
  </si>
  <si>
    <t>KW 45</t>
  </si>
  <si>
    <t>KW 46</t>
  </si>
  <si>
    <t>KW 47</t>
  </si>
  <si>
    <t>KW 48</t>
  </si>
  <si>
    <t>KW 49</t>
  </si>
  <si>
    <t>KW 50</t>
  </si>
  <si>
    <t>KW 51</t>
  </si>
  <si>
    <t>KW 52</t>
  </si>
  <si>
    <t>KW 01</t>
  </si>
  <si>
    <t>KW 02</t>
  </si>
  <si>
    <t>KW 03</t>
  </si>
  <si>
    <t>KW 04</t>
  </si>
  <si>
    <t>KW 05</t>
  </si>
  <si>
    <t>KW 06</t>
  </si>
  <si>
    <t>Klausuren</t>
  </si>
  <si>
    <t>2) Wettbewerbsmarkt (Vollkommene Konkurrenz)</t>
  </si>
  <si>
    <t>3) Elastizitäten</t>
  </si>
  <si>
    <t>4) Unternehmenstheorie</t>
  </si>
  <si>
    <t>5) Konsumententheorie</t>
  </si>
  <si>
    <t>6) Arbeitsmarkt</t>
  </si>
  <si>
    <t>8) Makroökonomische Daten</t>
  </si>
  <si>
    <t>7) Externalitäten und Gütergruppen</t>
  </si>
  <si>
    <t>1) Die Bedeutung der Buchführung</t>
  </si>
  <si>
    <t>2) Gesetzliche Anforderungen an die Buchführung</t>
  </si>
  <si>
    <t>3) Technik der doppelten Buchführung</t>
  </si>
  <si>
    <t>4) Ausgewählte Buchungsfälle</t>
  </si>
  <si>
    <t>5) Der handelsrechtliche Jahresabschluss</t>
  </si>
  <si>
    <t>1) Mit Rodaten arbeiten</t>
  </si>
  <si>
    <t>2) Arbeiten mit Häufigkeitstabelle</t>
  </si>
  <si>
    <t>3) Wachstumsraten</t>
  </si>
  <si>
    <t>4) Wahrscheinlichkeitsrechnung</t>
  </si>
  <si>
    <t>5) Stetige Zufallsvariablen</t>
  </si>
  <si>
    <t>6) Verteilungsmodelle</t>
  </si>
  <si>
    <t>7) Erwartungswert und Varianz</t>
  </si>
  <si>
    <t>8) Bivariate Zufallsvariablen</t>
  </si>
  <si>
    <t>9) Parameterschätzung</t>
  </si>
  <si>
    <t>10) Konfidenzintervalle</t>
  </si>
  <si>
    <t>11) Statistische Tests</t>
  </si>
  <si>
    <t>12) P-Werte</t>
  </si>
  <si>
    <t>13) Lineares Regressionsmodell</t>
  </si>
  <si>
    <t>1) Grundlagen</t>
  </si>
  <si>
    <t>2) Matrizen und Vektoren</t>
  </si>
  <si>
    <t>3) Lineare Gleichungssysteme</t>
  </si>
  <si>
    <t>4) Determinanten</t>
  </si>
  <si>
    <t>5) Inversen</t>
  </si>
  <si>
    <t>6) Vollständige Induktion</t>
  </si>
  <si>
    <t>7) Folgen</t>
  </si>
  <si>
    <t>8) Reihen</t>
  </si>
  <si>
    <t>9) Ableitungen</t>
  </si>
  <si>
    <t>10) Definitions- und Wertebereiche</t>
  </si>
  <si>
    <t>11) Monotonie</t>
  </si>
  <si>
    <t>12) Umkehrfunktion</t>
  </si>
  <si>
    <t>13) Taylorpolyom/ Approximation</t>
  </si>
  <si>
    <t>14) Totales Differential</t>
  </si>
  <si>
    <t>15) Implizites Differenzieren (implizites Ableiten)</t>
  </si>
  <si>
    <t>16) Maxima/Minima ohne Nebenbedingungen</t>
  </si>
  <si>
    <t>17) Quadratische Form und Definitheit</t>
  </si>
  <si>
    <t>18) Lagrange-Optimierung (Min/Max mit Nebenbedingung)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</si>
</sst>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0" fillId="0" borderId="0" xfId="0" applyNumberFormat="1" applyAlignment="1">
      <alignment horizontal="right"/>
    </xf>
    <xf numFmtId="0" fontId="1" fillId="2" borderId="0" xfId="0" applyFont="1" applyFill="1" applyAlignment="1">
      <alignment horizontal="center"/>
    </xf>
  </cellXfs>
  <cellStyles count="1">
    <cellStyle name="Normal" xfId="0" builtinId="0"/>
  </cellStyles>
  <dxfs count="283">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82">
  <autoFilter ref="A1:K46" xr:uid="{6E266E34-2786-2747-BCE7-51B74867A564}"/>
  <tableColumns count="11">
    <tableColumn id="1" xr3:uid="{95FD92F7-3DC8-704D-A103-A7EDDAB255AB}" name="Datum" dataDxfId="281"/>
    <tableColumn id="2" xr3:uid="{F464D510-8166-E740-A343-FB84BDEF877F}" name="Lerneinheiten durchgezogen" dataDxfId="280"/>
    <tableColumn id="3" xr3:uid="{75F52B08-1A00-0848-BBE6-1EDF7B31B1AD}" name="Tagesplan erstellt" dataDxfId="279"/>
    <tableColumn id="4" xr3:uid="{E6B18D89-E799-AD48-9DAA-37AEE1D29011}" name="Konzentrationslevel" dataDxfId="27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workbookViewId="0">
      <selection activeCell="C26" sqref="C26"/>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8+5+13+18</f>
        <v>44</v>
      </c>
    </row>
    <row r="8" spans="1:4" x14ac:dyDescent="0.2">
      <c r="A8" t="s">
        <v>52</v>
      </c>
      <c r="B8" s="18" t="s">
        <v>51</v>
      </c>
      <c r="D8" t="s">
        <v>75</v>
      </c>
    </row>
    <row r="9" spans="1:4" x14ac:dyDescent="0.2">
      <c r="A9" t="s">
        <v>60</v>
      </c>
      <c r="B9" s="18" t="s">
        <v>73</v>
      </c>
      <c r="D9" t="s">
        <v>76</v>
      </c>
    </row>
    <row r="10" spans="1:4" x14ac:dyDescent="0.2">
      <c r="A10" t="s">
        <v>64</v>
      </c>
      <c r="B10" t="s">
        <v>63</v>
      </c>
      <c r="C10" s="16">
        <v>15</v>
      </c>
      <c r="D10" t="s">
        <v>59</v>
      </c>
    </row>
    <row r="11" spans="1:4" x14ac:dyDescent="0.2">
      <c r="A11" t="s">
        <v>65</v>
      </c>
      <c r="B11" t="s">
        <v>67</v>
      </c>
      <c r="C11" s="16">
        <f>44*3</f>
        <v>132</v>
      </c>
      <c r="D11" t="s">
        <v>66</v>
      </c>
    </row>
    <row r="12" spans="1:4" x14ac:dyDescent="0.2">
      <c r="A12" t="s">
        <v>69</v>
      </c>
      <c r="B12" t="s">
        <v>68</v>
      </c>
      <c r="C12" s="17">
        <f>C11/C10</f>
        <v>8.8000000000000007</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54"/>
  <sheetViews>
    <sheetView showGridLines="0" zoomScale="70" zoomScaleNormal="70" workbookViewId="0">
      <pane xSplit="12" topLeftCell="CY1" activePane="topRight" state="frozen"/>
      <selection pane="topRight" activeCell="CT36" sqref="CT36"/>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s>
  <sheetData>
    <row r="1" spans="2:145" ht="34" x14ac:dyDescent="0.4">
      <c r="B1" s="4" t="s">
        <v>0</v>
      </c>
      <c r="D1" s="4"/>
      <c r="G1" s="13" t="s">
        <v>34</v>
      </c>
      <c r="I1" s="13" t="s">
        <v>34</v>
      </c>
      <c r="J1" s="13" t="s">
        <v>34</v>
      </c>
      <c r="K1" s="13" t="s">
        <v>34</v>
      </c>
    </row>
    <row r="2" spans="2:145" x14ac:dyDescent="0.2">
      <c r="I2" s="21" t="s">
        <v>27</v>
      </c>
      <c r="J2" s="21"/>
      <c r="K2" s="21"/>
      <c r="L2" s="21"/>
      <c r="N2" s="21" t="s">
        <v>92</v>
      </c>
      <c r="O2" s="21"/>
      <c r="P2" s="21"/>
      <c r="Q2" s="21"/>
      <c r="R2" s="21"/>
      <c r="S2" s="21"/>
      <c r="U2" s="21" t="s">
        <v>93</v>
      </c>
      <c r="V2" s="21"/>
      <c r="W2" s="21"/>
      <c r="X2" s="21"/>
      <c r="Y2" s="21"/>
      <c r="Z2" s="21"/>
      <c r="AB2" s="21" t="s">
        <v>94</v>
      </c>
      <c r="AC2" s="21"/>
      <c r="AD2" s="21"/>
      <c r="AE2" s="21"/>
      <c r="AF2" s="21"/>
      <c r="AG2" s="21"/>
      <c r="AI2" s="21" t="s">
        <v>95</v>
      </c>
      <c r="AJ2" s="21"/>
      <c r="AK2" s="21"/>
      <c r="AL2" s="21"/>
      <c r="AM2" s="21"/>
      <c r="AN2" s="21"/>
      <c r="AP2" s="21" t="s">
        <v>96</v>
      </c>
      <c r="AQ2" s="21"/>
      <c r="AR2" s="21"/>
      <c r="AS2" s="21"/>
      <c r="AT2" s="21"/>
      <c r="AU2" s="21"/>
      <c r="AW2" s="21" t="s">
        <v>97</v>
      </c>
      <c r="AX2" s="21"/>
      <c r="AY2" s="21"/>
      <c r="AZ2" s="21"/>
      <c r="BA2" s="21"/>
      <c r="BB2" s="21"/>
      <c r="BD2" s="21" t="s">
        <v>98</v>
      </c>
      <c r="BE2" s="21"/>
      <c r="BF2" s="21"/>
      <c r="BG2" s="21"/>
      <c r="BH2" s="21"/>
      <c r="BI2" s="21"/>
      <c r="BK2" s="21" t="s">
        <v>99</v>
      </c>
      <c r="BL2" s="21"/>
      <c r="BM2" s="21"/>
      <c r="BN2" s="21"/>
      <c r="BO2" s="21"/>
      <c r="BP2" s="21"/>
      <c r="BR2" s="21" t="s">
        <v>100</v>
      </c>
      <c r="BS2" s="21"/>
      <c r="BT2" s="21"/>
      <c r="BU2" s="21"/>
      <c r="BV2" s="21"/>
      <c r="BW2" s="21"/>
      <c r="BY2" s="21" t="s">
        <v>101</v>
      </c>
      <c r="BZ2" s="21"/>
      <c r="CA2" s="21"/>
      <c r="CB2" s="21"/>
      <c r="CC2" s="21"/>
      <c r="CD2" s="21"/>
      <c r="CF2" s="21" t="s">
        <v>102</v>
      </c>
      <c r="CG2" s="21"/>
      <c r="CH2" s="21"/>
      <c r="CI2" s="21"/>
      <c r="CJ2" s="21"/>
      <c r="CK2" s="21"/>
      <c r="CM2" s="21" t="s">
        <v>103</v>
      </c>
      <c r="CN2" s="21"/>
      <c r="CO2" s="21"/>
      <c r="CP2" s="21"/>
      <c r="CQ2" s="21"/>
      <c r="CR2" s="21"/>
      <c r="CT2" s="21" t="s">
        <v>104</v>
      </c>
      <c r="CU2" s="21"/>
      <c r="CV2" s="21"/>
      <c r="CW2" s="21"/>
      <c r="CX2" s="21"/>
      <c r="CY2" s="21"/>
      <c r="DA2" s="21" t="s">
        <v>105</v>
      </c>
      <c r="DB2" s="21"/>
      <c r="DC2" s="21"/>
      <c r="DD2" s="21"/>
      <c r="DE2" s="21"/>
      <c r="DF2" s="21"/>
      <c r="DH2" s="21" t="s">
        <v>106</v>
      </c>
      <c r="DI2" s="21"/>
      <c r="DJ2" s="21"/>
      <c r="DK2" s="21"/>
      <c r="DL2" s="21"/>
      <c r="DM2" s="21"/>
      <c r="DO2" s="21" t="s">
        <v>107</v>
      </c>
      <c r="DP2" s="21"/>
      <c r="DQ2" s="21"/>
      <c r="DR2" s="21"/>
      <c r="DS2" s="21"/>
      <c r="DT2" s="21"/>
      <c r="DV2" s="21" t="s">
        <v>108</v>
      </c>
      <c r="DW2" s="21"/>
      <c r="DX2" s="21"/>
      <c r="DY2" s="21"/>
      <c r="DZ2" s="21"/>
      <c r="EA2" s="21"/>
      <c r="EC2" s="21" t="s">
        <v>109</v>
      </c>
      <c r="ED2" s="21"/>
      <c r="EE2" s="21"/>
      <c r="EF2" s="21"/>
      <c r="EG2" s="21"/>
      <c r="EH2" s="21"/>
      <c r="EJ2" s="21" t="s">
        <v>109</v>
      </c>
      <c r="EK2" s="21"/>
      <c r="EL2" s="21"/>
      <c r="EM2" s="21"/>
      <c r="EN2" s="21"/>
      <c r="EO2" s="21"/>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44980</v>
      </c>
      <c r="E4" s="9">
        <v>5</v>
      </c>
      <c r="G4" s="10">
        <f>+SUM(G5:G12)</f>
        <v>1</v>
      </c>
      <c r="I4" s="12">
        <f>+SUM(I5:I12)</f>
        <v>0</v>
      </c>
      <c r="J4" s="11">
        <f>+SUMPRODUCT(G5:G12,J5:J12)</f>
        <v>0</v>
      </c>
      <c r="K4" s="11">
        <f>+SUMPRODUCT(G5:G12,K5:K12)</f>
        <v>0</v>
      </c>
      <c r="L4" s="9"/>
      <c r="N4" s="12">
        <v>0</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c r="DO4" s="12">
        <f>+SUM(DO5:DO12)</f>
        <v>0</v>
      </c>
      <c r="DV4" s="12">
        <f>+SUM(DV5:DV12)</f>
        <v>0</v>
      </c>
      <c r="EC4" s="12">
        <f>+SUM(EC5:EC12)</f>
        <v>0</v>
      </c>
      <c r="EJ4" s="12">
        <f>+SUM(EJ5:EJ12)</f>
        <v>0</v>
      </c>
    </row>
    <row r="5" spans="2:145" outlineLevel="1" x14ac:dyDescent="0.2">
      <c r="B5" t="s">
        <v>28</v>
      </c>
      <c r="C5" t="s">
        <v>88</v>
      </c>
      <c r="E5" s="9"/>
      <c r="F5" t="s">
        <v>30</v>
      </c>
      <c r="G5" s="10">
        <v>0.05</v>
      </c>
      <c r="I5" s="9">
        <f>+SUMIF($N$3:$ZZ$3,I$3,$N5:$ZZ5)</f>
        <v>0</v>
      </c>
      <c r="J5" s="11" cm="1">
        <f t="array" ref="J5">MAX(IF($N$3:$EH$3=$J$3,N5:EH5))</f>
        <v>0</v>
      </c>
      <c r="K5" s="11" cm="1">
        <f t="array" ref="K5">MAX(IF($N$3:$EH$3=$J$3,N5:EH5))</f>
        <v>0</v>
      </c>
      <c r="L5" s="9"/>
      <c r="O5" s="10"/>
      <c r="P5" s="10"/>
      <c r="Q5" s="10"/>
      <c r="R5" s="10"/>
      <c r="V5" s="10"/>
      <c r="W5" s="10"/>
      <c r="X5" s="10"/>
      <c r="Y5" s="10"/>
      <c r="AC5" s="10"/>
      <c r="AD5" s="10"/>
      <c r="AE5" s="10"/>
      <c r="AF5" s="10"/>
      <c r="AJ5" s="10"/>
      <c r="AK5" s="10"/>
      <c r="AL5" s="10"/>
      <c r="AM5" s="10"/>
      <c r="AQ5" s="10"/>
      <c r="AR5" s="10"/>
      <c r="AS5" s="10"/>
      <c r="AT5" s="10"/>
      <c r="AX5" s="10"/>
      <c r="AY5" s="10"/>
      <c r="AZ5" s="10"/>
      <c r="BA5" s="10"/>
      <c r="BE5" s="10"/>
      <c r="BF5" s="10"/>
      <c r="BG5" s="10"/>
      <c r="BH5" s="10"/>
      <c r="BL5" s="10"/>
      <c r="BM5" s="10"/>
      <c r="BN5" s="10"/>
      <c r="BO5" s="10"/>
      <c r="BS5" s="10"/>
      <c r="BT5" s="10"/>
      <c r="BU5" s="10"/>
      <c r="BV5" s="10"/>
      <c r="BZ5" s="10"/>
      <c r="CA5" s="10"/>
      <c r="CB5" s="10"/>
      <c r="CC5" s="10"/>
      <c r="CG5" s="10"/>
      <c r="CH5" s="10"/>
      <c r="CI5" s="10"/>
      <c r="CJ5" s="10"/>
      <c r="CN5" s="10"/>
      <c r="CO5" s="10"/>
      <c r="CP5" s="10"/>
      <c r="CQ5" s="10"/>
      <c r="CU5" s="10"/>
      <c r="CV5" s="10"/>
      <c r="CW5" s="10"/>
      <c r="CX5" s="10"/>
      <c r="DB5" s="10"/>
      <c r="DC5" s="10"/>
      <c r="DE5" s="10"/>
      <c r="DI5" s="10"/>
      <c r="DJ5" s="20">
        <v>1</v>
      </c>
      <c r="DK5" s="10"/>
      <c r="DL5" s="10">
        <v>1</v>
      </c>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110</v>
      </c>
      <c r="G6" s="10">
        <v>0.1</v>
      </c>
      <c r="I6" s="9">
        <f t="shared" ref="I6:I12" si="0">+SUMIF($N$3:$ZZ$3,I$3,$N6:$ZZ6)</f>
        <v>0</v>
      </c>
      <c r="J6" s="11" cm="1">
        <f t="array" ref="J6">MAX(IF($N$3:$EH$3=$J$3,N6:EH6))</f>
        <v>0</v>
      </c>
      <c r="K6" s="11" cm="1">
        <f t="array" ref="K6">MAX(IF($N$3:$EH$3=$J$3,N6:EH6))</f>
        <v>0</v>
      </c>
      <c r="L6" s="9"/>
      <c r="O6" s="10"/>
      <c r="P6" s="10"/>
      <c r="Q6" s="10"/>
      <c r="R6" s="10"/>
      <c r="V6" s="10"/>
      <c r="W6" s="10"/>
      <c r="X6" s="10"/>
      <c r="Y6" s="10"/>
      <c r="AC6" s="10"/>
      <c r="AD6" s="10"/>
      <c r="AE6" s="10"/>
      <c r="AF6" s="10"/>
      <c r="AJ6" s="10"/>
      <c r="AK6" s="10"/>
      <c r="AL6" s="10"/>
      <c r="AM6" s="10"/>
      <c r="AQ6" s="10"/>
      <c r="AR6" s="10"/>
      <c r="AS6" s="10"/>
      <c r="AT6" s="10"/>
      <c r="AX6" s="10"/>
      <c r="AY6" s="10"/>
      <c r="AZ6" s="10"/>
      <c r="BA6" s="10"/>
      <c r="BE6" s="10"/>
      <c r="BF6" s="10"/>
      <c r="BG6" s="10"/>
      <c r="BH6" s="10"/>
      <c r="BL6" s="10"/>
      <c r="BM6" s="10"/>
      <c r="BN6" s="10"/>
      <c r="BO6" s="10"/>
      <c r="BS6" s="10"/>
      <c r="BT6" s="10"/>
      <c r="BU6" s="10"/>
      <c r="BV6" s="10"/>
      <c r="BZ6" s="10"/>
      <c r="CA6" s="10"/>
      <c r="CB6" s="10"/>
      <c r="CC6" s="10"/>
      <c r="CG6" s="10"/>
      <c r="CH6" s="10"/>
      <c r="CI6" s="10"/>
      <c r="CJ6" s="10"/>
      <c r="CN6" s="10"/>
      <c r="CO6" s="10"/>
      <c r="CP6" s="10"/>
      <c r="CQ6" s="10"/>
      <c r="CU6" s="10"/>
      <c r="CV6" s="10"/>
      <c r="CW6" s="10"/>
      <c r="CX6" s="10"/>
      <c r="DB6" s="10"/>
      <c r="DC6" s="10"/>
      <c r="DD6" s="10"/>
      <c r="DE6" s="10"/>
      <c r="DI6" s="10"/>
      <c r="DJ6" s="20">
        <v>1</v>
      </c>
      <c r="DK6" s="10"/>
      <c r="DL6" s="10">
        <v>1</v>
      </c>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111</v>
      </c>
      <c r="G7" s="10">
        <v>0.1</v>
      </c>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c r="BN7" s="10"/>
      <c r="BO7" s="10"/>
      <c r="BS7" s="10"/>
      <c r="BT7" s="10"/>
      <c r="BU7" s="10"/>
      <c r="BV7" s="10"/>
      <c r="BZ7" s="10"/>
      <c r="CA7" s="10"/>
      <c r="CB7" s="10"/>
      <c r="CC7" s="10"/>
      <c r="CG7" s="10"/>
      <c r="CH7" s="10"/>
      <c r="CI7" s="10"/>
      <c r="CJ7" s="10"/>
      <c r="CN7" s="10"/>
      <c r="CO7" s="10"/>
      <c r="CP7" s="10"/>
      <c r="CQ7" s="10"/>
      <c r="CU7" s="10"/>
      <c r="CV7" s="10"/>
      <c r="CW7" s="10"/>
      <c r="CX7" s="10"/>
      <c r="DB7" s="10"/>
      <c r="DC7" s="10"/>
      <c r="DD7" s="10"/>
      <c r="DE7" s="10"/>
      <c r="DI7" s="10"/>
      <c r="DJ7" s="20">
        <v>1</v>
      </c>
      <c r="DK7" s="10"/>
      <c r="DL7" s="10">
        <v>1</v>
      </c>
      <c r="DP7" s="10"/>
      <c r="DQ7" s="10"/>
      <c r="DS7" s="10"/>
      <c r="DW7" s="10"/>
      <c r="DX7" s="10"/>
      <c r="DY7" s="10"/>
      <c r="DZ7" s="10"/>
      <c r="ED7" s="10"/>
      <c r="EE7" s="10"/>
      <c r="EF7" s="10"/>
      <c r="EG7" s="10"/>
      <c r="EK7" s="10"/>
      <c r="EL7" s="10"/>
      <c r="EM7" s="10"/>
      <c r="EN7" s="10"/>
    </row>
    <row r="8" spans="2:145" outlineLevel="1" x14ac:dyDescent="0.2">
      <c r="B8" t="s">
        <v>28</v>
      </c>
      <c r="C8" t="s">
        <v>88</v>
      </c>
      <c r="E8" s="9"/>
      <c r="F8" t="s">
        <v>112</v>
      </c>
      <c r="G8" s="10">
        <v>0.1</v>
      </c>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c r="BN8" s="10"/>
      <c r="BO8" s="10"/>
      <c r="BS8" s="10"/>
      <c r="BT8" s="10"/>
      <c r="BU8" s="10"/>
      <c r="BV8" s="10"/>
      <c r="BZ8" s="10"/>
      <c r="CA8" s="10"/>
      <c r="CB8" s="10"/>
      <c r="CC8" s="10"/>
      <c r="CG8" s="10"/>
      <c r="CH8" s="10"/>
      <c r="CI8" s="10"/>
      <c r="CJ8" s="10"/>
      <c r="CN8" s="10"/>
      <c r="CO8" s="10"/>
      <c r="CP8" s="10"/>
      <c r="CQ8" s="10"/>
      <c r="CU8" s="10"/>
      <c r="CV8" s="10"/>
      <c r="CW8" s="10"/>
      <c r="CX8" s="10"/>
      <c r="DB8" s="10"/>
      <c r="DC8" s="10"/>
      <c r="DD8" s="10"/>
      <c r="DE8" s="10"/>
      <c r="DI8" s="10"/>
      <c r="DJ8" s="20">
        <v>1</v>
      </c>
      <c r="DK8" s="10"/>
      <c r="DL8" s="10">
        <v>1</v>
      </c>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113</v>
      </c>
      <c r="G9" s="10">
        <v>0.15</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c r="BN9" s="10"/>
      <c r="BO9" s="10"/>
      <c r="BS9" s="10"/>
      <c r="BT9" s="10"/>
      <c r="BU9" s="10"/>
      <c r="BV9" s="10"/>
      <c r="BZ9" s="10"/>
      <c r="CA9" s="10"/>
      <c r="CB9" s="10"/>
      <c r="CC9" s="10"/>
      <c r="CG9" s="10"/>
      <c r="CH9" s="10"/>
      <c r="CI9" s="10"/>
      <c r="CJ9" s="10"/>
      <c r="CN9" s="10"/>
      <c r="CO9" s="10"/>
      <c r="CP9" s="10"/>
      <c r="CQ9" s="10"/>
      <c r="CU9" s="10"/>
      <c r="CV9" s="10"/>
      <c r="CW9" s="10"/>
      <c r="CX9" s="10"/>
      <c r="DB9" s="10"/>
      <c r="DC9" s="10"/>
      <c r="DD9" s="10"/>
      <c r="DE9" s="10"/>
      <c r="DJ9" s="20">
        <v>1</v>
      </c>
      <c r="DK9" s="10"/>
      <c r="DL9" s="10">
        <v>1</v>
      </c>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114</v>
      </c>
      <c r="G10" s="10">
        <v>0.15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c r="BN10" s="10"/>
      <c r="BO10" s="10"/>
      <c r="BS10" s="10"/>
      <c r="BT10" s="10"/>
      <c r="BU10" s="10"/>
      <c r="BV10" s="10"/>
      <c r="BZ10" s="10"/>
      <c r="CA10" s="10"/>
      <c r="CB10" s="10"/>
      <c r="CC10" s="10"/>
      <c r="CG10" s="10"/>
      <c r="CH10" s="10"/>
      <c r="CI10" s="10"/>
      <c r="CJ10" s="10"/>
      <c r="CN10" s="10"/>
      <c r="CO10" s="10"/>
      <c r="CP10" s="10"/>
      <c r="CQ10" s="10"/>
      <c r="CU10" s="10"/>
      <c r="CV10" s="10"/>
      <c r="CW10" s="10"/>
      <c r="CX10" s="10"/>
      <c r="DB10" s="10"/>
      <c r="DC10" s="10"/>
      <c r="DD10" s="10"/>
      <c r="DE10" s="10"/>
      <c r="DI10" s="10"/>
      <c r="DJ10" s="20">
        <v>1</v>
      </c>
      <c r="DK10" s="10"/>
      <c r="DL10" s="10">
        <v>1</v>
      </c>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116</v>
      </c>
      <c r="G11" s="10">
        <v>0.15</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c r="BN11" s="10"/>
      <c r="BO11" s="10"/>
      <c r="BS11" s="10"/>
      <c r="BT11" s="10"/>
      <c r="BU11" s="10"/>
      <c r="BV11" s="10"/>
      <c r="BZ11" s="10"/>
      <c r="CA11" s="10"/>
      <c r="CB11" s="10"/>
      <c r="CC11" s="10"/>
      <c r="CG11" s="10"/>
      <c r="CH11" s="10"/>
      <c r="CI11" s="10"/>
      <c r="CJ11" s="10"/>
      <c r="CN11" s="10"/>
      <c r="CO11" s="10"/>
      <c r="CP11" s="10"/>
      <c r="CQ11" s="10"/>
      <c r="CU11" s="10"/>
      <c r="CV11" s="10"/>
      <c r="CW11" s="10"/>
      <c r="CX11" s="10"/>
      <c r="DB11" s="10"/>
      <c r="DC11" s="10"/>
      <c r="DD11" s="10"/>
      <c r="DE11" s="10"/>
      <c r="DI11" s="10"/>
      <c r="DJ11" s="20">
        <v>1</v>
      </c>
      <c r="DK11" s="10"/>
      <c r="DL11" s="10">
        <v>1</v>
      </c>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115</v>
      </c>
      <c r="G12" s="10">
        <v>0.2</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10"/>
      <c r="BU12" s="10"/>
      <c r="BV12" s="10"/>
      <c r="BZ12" s="10"/>
      <c r="CA12" s="10"/>
      <c r="CB12" s="10"/>
      <c r="CC12" s="10"/>
      <c r="CG12" s="10"/>
      <c r="CH12" s="10"/>
      <c r="CI12" s="10"/>
      <c r="CJ12" s="10"/>
      <c r="CN12" s="10"/>
      <c r="CO12" s="10"/>
      <c r="CP12" s="10"/>
      <c r="CQ12" s="10"/>
      <c r="CU12" s="10"/>
      <c r="CV12" s="10"/>
      <c r="CW12" s="10"/>
      <c r="CX12" s="10"/>
      <c r="DB12" s="10"/>
      <c r="DC12" s="10"/>
      <c r="DD12" s="10"/>
      <c r="DE12" s="10"/>
      <c r="DI12" s="10"/>
      <c r="DJ12" s="20">
        <v>1</v>
      </c>
      <c r="DK12" s="10"/>
      <c r="DL12" s="10">
        <v>1</v>
      </c>
      <c r="DP12" s="10"/>
      <c r="DQ12" s="10"/>
      <c r="DR12" s="10"/>
      <c r="DS12" s="10"/>
      <c r="DW12" s="10"/>
      <c r="DX12" s="10"/>
      <c r="DY12" s="10"/>
      <c r="DZ12" s="10"/>
      <c r="ED12" s="10"/>
      <c r="EE12" s="10"/>
      <c r="EF12" s="10"/>
      <c r="EG12" s="10"/>
      <c r="EK12" s="10"/>
      <c r="EL12" s="10"/>
      <c r="EM12" s="10"/>
      <c r="EN12" s="10"/>
    </row>
    <row r="14" spans="2:145" x14ac:dyDescent="0.2">
      <c r="B14" t="s">
        <v>27</v>
      </c>
      <c r="C14" t="s">
        <v>89</v>
      </c>
      <c r="D14" s="19">
        <v>44971</v>
      </c>
      <c r="E14" s="9">
        <v>5</v>
      </c>
      <c r="G14" s="10">
        <f>+SUM(G15:G19)</f>
        <v>1</v>
      </c>
      <c r="I14" s="12">
        <f>+SUM(I15:I19)</f>
        <v>0</v>
      </c>
      <c r="J14" s="11">
        <f>+SUMPRODUCT(G15:G19,J15:J19)</f>
        <v>0</v>
      </c>
      <c r="K14" s="11">
        <f>+SUMPRODUCT(G15:G19,K15:K19)</f>
        <v>0</v>
      </c>
      <c r="L14" s="9"/>
      <c r="N14" s="12">
        <v>0</v>
      </c>
      <c r="U14" s="12">
        <f>+SUM(U15:U19)</f>
        <v>0</v>
      </c>
      <c r="AB14" s="12">
        <f>+SUM(AB15:AB19)</f>
        <v>0</v>
      </c>
      <c r="AI14" s="12">
        <f>+SUM(AI15:AI19)</f>
        <v>0</v>
      </c>
      <c r="AP14" s="12">
        <f>+SUM(AP15:AP19)</f>
        <v>0</v>
      </c>
    </row>
    <row r="15" spans="2:145" outlineLevel="1" x14ac:dyDescent="0.2">
      <c r="B15" t="s">
        <v>28</v>
      </c>
      <c r="C15" t="s">
        <v>89</v>
      </c>
      <c r="E15" s="9"/>
      <c r="F15" t="s">
        <v>117</v>
      </c>
      <c r="G15" s="10">
        <v>0.1</v>
      </c>
      <c r="I15" s="9">
        <f t="shared" ref="I15:I19" si="1">+SUMIF($N$3:$ZZ$3,I$3,$N15:$ZZ15)</f>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c r="CI15" s="10"/>
      <c r="CJ15" s="10"/>
      <c r="CN15" s="10"/>
      <c r="CO15" s="10"/>
      <c r="CP15" s="10"/>
      <c r="CQ15" s="10"/>
      <c r="CU15" s="10"/>
      <c r="CV15" s="10"/>
      <c r="CW15" s="10"/>
      <c r="CX15" s="10"/>
      <c r="DB15" s="10"/>
      <c r="DC15" s="10"/>
      <c r="DD15" s="10"/>
      <c r="DE15" s="10"/>
      <c r="DI15" s="10"/>
      <c r="DJ15" s="10">
        <v>1</v>
      </c>
      <c r="DK15" s="10"/>
      <c r="DL15" s="10">
        <v>1</v>
      </c>
      <c r="DP15" s="10"/>
      <c r="DQ15" s="10"/>
      <c r="DR15" s="10"/>
      <c r="DS15" s="10"/>
      <c r="DW15" s="10"/>
      <c r="DX15" s="10"/>
      <c r="DY15" s="10"/>
      <c r="DZ15" s="10"/>
      <c r="ED15" s="10"/>
      <c r="EE15" s="10"/>
      <c r="EF15" s="10"/>
      <c r="EG15" s="10"/>
      <c r="EK15" s="10"/>
      <c r="EL15" s="10"/>
      <c r="EM15" s="10"/>
      <c r="EN15" s="10"/>
    </row>
    <row r="16" spans="2:145" outlineLevel="1" x14ac:dyDescent="0.2">
      <c r="B16" t="s">
        <v>28</v>
      </c>
      <c r="C16" t="s">
        <v>89</v>
      </c>
      <c r="E16" s="9"/>
      <c r="F16" t="s">
        <v>118</v>
      </c>
      <c r="G16" s="10">
        <v>0.2</v>
      </c>
      <c r="I16" s="9">
        <f t="shared" si="1"/>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c r="CB16" s="10"/>
      <c r="CC16" s="10"/>
      <c r="CG16" s="10"/>
      <c r="CH16" s="10"/>
      <c r="CI16" s="10"/>
      <c r="CJ16" s="10"/>
      <c r="CN16" s="10"/>
      <c r="CO16" s="10"/>
      <c r="CP16" s="10"/>
      <c r="CQ16" s="10"/>
      <c r="CU16" s="10"/>
      <c r="CV16" s="10"/>
      <c r="CW16" s="10"/>
      <c r="CX16" s="10"/>
      <c r="DB16" s="10"/>
      <c r="DC16" s="10"/>
      <c r="DD16" s="10"/>
      <c r="DE16" s="10"/>
      <c r="DI16" s="10"/>
      <c r="DJ16" s="10">
        <v>1</v>
      </c>
      <c r="DK16" s="10"/>
      <c r="DL16" s="10">
        <v>1</v>
      </c>
      <c r="DP16" s="10"/>
      <c r="DQ16" s="10"/>
      <c r="DR16" s="10"/>
      <c r="DS16" s="10"/>
      <c r="DW16" s="10"/>
      <c r="DX16" s="10"/>
      <c r="DY16" s="10"/>
      <c r="DZ16" s="10"/>
      <c r="ED16" s="10"/>
      <c r="EE16" s="10"/>
      <c r="EF16" s="10"/>
      <c r="EG16" s="10"/>
      <c r="EK16" s="10"/>
      <c r="EL16" s="10"/>
      <c r="EM16" s="10"/>
      <c r="EN16" s="10"/>
    </row>
    <row r="17" spans="2:144" outlineLevel="1" x14ac:dyDescent="0.2">
      <c r="B17" t="s">
        <v>28</v>
      </c>
      <c r="C17" t="s">
        <v>89</v>
      </c>
      <c r="E17" s="9"/>
      <c r="F17" t="s">
        <v>119</v>
      </c>
      <c r="G17" s="10">
        <v>0.2</v>
      </c>
      <c r="I17" s="9">
        <f t="shared" si="1"/>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U17" s="10"/>
      <c r="CV17" s="10"/>
      <c r="CW17" s="10"/>
      <c r="CX17" s="10"/>
      <c r="DB17" s="10"/>
      <c r="DC17" s="10"/>
      <c r="DD17" s="10"/>
      <c r="DE17" s="10"/>
      <c r="DI17" s="10"/>
      <c r="DJ17" s="10">
        <v>1</v>
      </c>
      <c r="DK17" s="10"/>
      <c r="DL17" s="10">
        <v>1</v>
      </c>
      <c r="DP17" s="10"/>
      <c r="DQ17" s="10"/>
      <c r="DR17" s="10"/>
      <c r="DS17" s="10"/>
      <c r="DW17" s="10"/>
      <c r="DX17" s="10"/>
      <c r="DY17" s="10"/>
      <c r="DZ17" s="10"/>
      <c r="ED17" s="10"/>
      <c r="EE17" s="10"/>
      <c r="EF17" s="10"/>
      <c r="EG17" s="10"/>
      <c r="EK17" s="10"/>
      <c r="EL17" s="10"/>
      <c r="EM17" s="10"/>
      <c r="EN17" s="10"/>
    </row>
    <row r="18" spans="2:144" outlineLevel="1" x14ac:dyDescent="0.2">
      <c r="B18" t="s">
        <v>28</v>
      </c>
      <c r="C18" t="s">
        <v>89</v>
      </c>
      <c r="E18" s="9"/>
      <c r="F18" t="s">
        <v>120</v>
      </c>
      <c r="G18" s="10">
        <v>0.25</v>
      </c>
      <c r="I18" s="9">
        <f t="shared" si="1"/>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U18" s="10"/>
      <c r="CV18" s="10"/>
      <c r="CW18" s="10"/>
      <c r="CX18" s="10"/>
      <c r="DB18" s="10"/>
      <c r="DC18" s="10"/>
      <c r="DD18" s="10"/>
      <c r="DE18" s="10"/>
      <c r="DI18" s="10"/>
      <c r="DJ18" s="10">
        <v>1</v>
      </c>
      <c r="DK18" s="10"/>
      <c r="DL18" s="10">
        <v>1</v>
      </c>
      <c r="DP18" s="10"/>
      <c r="DQ18" s="10"/>
      <c r="DR18" s="10"/>
      <c r="DS18" s="10"/>
      <c r="DW18" s="10"/>
      <c r="DX18" s="10"/>
      <c r="DY18" s="10"/>
      <c r="DZ18" s="10"/>
      <c r="ED18" s="10"/>
      <c r="EE18" s="10"/>
      <c r="EF18" s="10"/>
      <c r="EG18" s="10"/>
      <c r="EK18" s="10"/>
      <c r="EL18" s="10"/>
      <c r="EM18" s="10"/>
      <c r="EN18" s="10"/>
    </row>
    <row r="19" spans="2:144" outlineLevel="1" x14ac:dyDescent="0.2">
      <c r="B19" t="s">
        <v>28</v>
      </c>
      <c r="C19" t="s">
        <v>89</v>
      </c>
      <c r="E19" s="9"/>
      <c r="F19" t="s">
        <v>121</v>
      </c>
      <c r="G19" s="10">
        <v>0.25</v>
      </c>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c r="BN19" s="10"/>
      <c r="BO19" s="10"/>
      <c r="BS19" s="10"/>
      <c r="BT19" s="10"/>
      <c r="BU19" s="10"/>
      <c r="BV19" s="10"/>
      <c r="BZ19" s="10"/>
      <c r="CA19" s="10"/>
      <c r="CB19" s="10"/>
      <c r="CC19" s="10"/>
      <c r="CG19" s="10"/>
      <c r="CH19" s="10"/>
      <c r="CI19" s="10"/>
      <c r="CJ19" s="10"/>
      <c r="CN19" s="10"/>
      <c r="CO19" s="10"/>
      <c r="CP19" s="10"/>
      <c r="CQ19" s="10"/>
      <c r="CU19" s="10"/>
      <c r="CV19" s="10"/>
      <c r="CW19" s="10"/>
      <c r="CX19" s="10"/>
      <c r="DB19" s="10"/>
      <c r="DC19" s="10"/>
      <c r="DD19" s="10"/>
      <c r="DE19" s="10"/>
      <c r="DI19" s="10"/>
      <c r="DJ19" s="10">
        <v>1</v>
      </c>
      <c r="DK19" s="10"/>
      <c r="DL19" s="10">
        <v>1</v>
      </c>
      <c r="DP19" s="10"/>
      <c r="DQ19" s="10"/>
      <c r="DR19" s="10"/>
      <c r="DS19" s="10"/>
      <c r="DW19" s="10"/>
      <c r="DX19" s="10"/>
      <c r="DY19" s="10"/>
      <c r="DZ19" s="10"/>
      <c r="ED19" s="10"/>
      <c r="EE19" s="10"/>
      <c r="EF19" s="10"/>
      <c r="EG19" s="10"/>
      <c r="EK19" s="10"/>
      <c r="EL19" s="10"/>
      <c r="EM19" s="10"/>
      <c r="EN19" s="10"/>
    </row>
    <row r="21" spans="2:144" x14ac:dyDescent="0.2">
      <c r="B21" t="s">
        <v>27</v>
      </c>
      <c r="C21" t="s">
        <v>90</v>
      </c>
      <c r="D21" s="19">
        <v>44978</v>
      </c>
      <c r="E21" s="9">
        <v>10</v>
      </c>
      <c r="G21" s="10">
        <f>+SUM(G22:G34)</f>
        <v>0.99999999999999989</v>
      </c>
      <c r="I21" s="12">
        <f>+SUM(I22:I34)</f>
        <v>0</v>
      </c>
      <c r="J21" s="11">
        <f>+SUMPRODUCT(G22:G34,J22:J34)</f>
        <v>0</v>
      </c>
      <c r="K21" s="11">
        <f>+SUMPRODUCT(G22:G34,K22:K34)</f>
        <v>0</v>
      </c>
      <c r="L21" s="9"/>
      <c r="N21" s="12">
        <v>0</v>
      </c>
      <c r="U21" s="12">
        <f>+SUM(U22:U34)</f>
        <v>0</v>
      </c>
      <c r="AB21" s="12">
        <f>+SUM(AB22:AB34)</f>
        <v>0</v>
      </c>
      <c r="AI21" s="12">
        <f>+SUM(AI22:AI34)</f>
        <v>0</v>
      </c>
      <c r="AP21" s="12">
        <f>+SUM(AP22:AP34)</f>
        <v>0</v>
      </c>
    </row>
    <row r="22" spans="2:144" outlineLevel="1" x14ac:dyDescent="0.2">
      <c r="B22" t="s">
        <v>28</v>
      </c>
      <c r="C22" t="s">
        <v>90</v>
      </c>
      <c r="E22" s="9"/>
      <c r="F22" t="s">
        <v>122</v>
      </c>
      <c r="G22" s="10">
        <v>0.1</v>
      </c>
      <c r="I22" s="9">
        <f t="shared" ref="I22:I34" si="2">+SUMIF($N$3:$ZZ$3,I$3,$N22:$ZZ22)</f>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10"/>
      <c r="BU22" s="10"/>
      <c r="BV22" s="10"/>
      <c r="BZ22" s="10"/>
      <c r="CA22" s="10"/>
      <c r="CB22" s="10"/>
      <c r="CC22" s="10"/>
      <c r="CG22" s="10"/>
      <c r="CH22" s="10"/>
      <c r="CI22" s="10"/>
      <c r="CJ22" s="10"/>
      <c r="CN22" s="10"/>
      <c r="CO22" s="10"/>
      <c r="CP22" s="10"/>
      <c r="CQ22" s="10"/>
      <c r="CU22" s="10"/>
      <c r="CV22" s="10"/>
      <c r="CW22" s="10"/>
      <c r="CX22" s="10"/>
      <c r="DB22" s="10"/>
      <c r="DC22" s="10">
        <v>1</v>
      </c>
      <c r="DD22" s="10"/>
      <c r="DE22" s="10">
        <v>1</v>
      </c>
      <c r="DI22" s="10"/>
      <c r="DJ22" s="10">
        <v>1</v>
      </c>
      <c r="DK22" s="10"/>
      <c r="DL22" s="10">
        <v>1</v>
      </c>
      <c r="DP22" s="10"/>
      <c r="DQ22" s="10"/>
      <c r="DR22" s="10"/>
      <c r="DS22" s="10"/>
      <c r="DW22" s="10"/>
      <c r="DX22" s="10"/>
      <c r="DY22" s="10"/>
      <c r="DZ22" s="10"/>
      <c r="ED22" s="10"/>
      <c r="EE22" s="10"/>
      <c r="EF22" s="10"/>
      <c r="EG22" s="10"/>
      <c r="EK22" s="10"/>
      <c r="EL22" s="10"/>
      <c r="EM22" s="10"/>
      <c r="EN22" s="10"/>
    </row>
    <row r="23" spans="2:144" outlineLevel="1" x14ac:dyDescent="0.2">
      <c r="B23" t="s">
        <v>28</v>
      </c>
      <c r="C23" t="s">
        <v>90</v>
      </c>
      <c r="E23" s="9"/>
      <c r="F23" t="s">
        <v>123</v>
      </c>
      <c r="G23" s="10">
        <v>0.05</v>
      </c>
      <c r="I23" s="9">
        <f t="shared" si="2"/>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v>1</v>
      </c>
      <c r="DD23" s="10"/>
      <c r="DE23" s="10">
        <v>1</v>
      </c>
      <c r="DI23" s="10"/>
      <c r="DJ23" s="10">
        <v>1</v>
      </c>
      <c r="DK23" s="10"/>
      <c r="DL23" s="10">
        <v>1</v>
      </c>
      <c r="DP23" s="10"/>
      <c r="DQ23" s="10"/>
      <c r="DR23" s="10"/>
      <c r="DS23" s="10"/>
      <c r="DW23" s="10"/>
      <c r="DX23" s="10"/>
      <c r="DY23" s="10"/>
      <c r="DZ23" s="10"/>
      <c r="ED23" s="10"/>
      <c r="EE23" s="10"/>
      <c r="EF23" s="10"/>
      <c r="EG23" s="10"/>
      <c r="EK23" s="10"/>
      <c r="EL23" s="10"/>
      <c r="EM23" s="10"/>
      <c r="EN23" s="10"/>
    </row>
    <row r="24" spans="2:144" outlineLevel="1" x14ac:dyDescent="0.2">
      <c r="B24" t="s">
        <v>28</v>
      </c>
      <c r="C24" t="s">
        <v>90</v>
      </c>
      <c r="E24" s="9"/>
      <c r="F24" t="s">
        <v>124</v>
      </c>
      <c r="G24" s="10">
        <v>0.05</v>
      </c>
      <c r="I24" s="9">
        <f t="shared" si="2"/>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v>1</v>
      </c>
      <c r="DD24" s="10"/>
      <c r="DE24" s="10">
        <v>1</v>
      </c>
      <c r="DI24" s="10"/>
      <c r="DJ24" s="10">
        <v>1</v>
      </c>
      <c r="DK24" s="10"/>
      <c r="DL24" s="10">
        <v>1</v>
      </c>
      <c r="DP24" s="10"/>
      <c r="DQ24" s="10"/>
      <c r="DR24" s="10"/>
      <c r="DS24" s="10"/>
      <c r="DW24" s="10"/>
      <c r="DX24" s="10"/>
      <c r="DY24" s="10"/>
      <c r="DZ24" s="10"/>
      <c r="ED24" s="10"/>
      <c r="EE24" s="10"/>
      <c r="EF24" s="10"/>
      <c r="EG24" s="10"/>
      <c r="EK24" s="10"/>
      <c r="EL24" s="10"/>
      <c r="EM24" s="10"/>
      <c r="EN24" s="10"/>
    </row>
    <row r="25" spans="2:144" outlineLevel="1" x14ac:dyDescent="0.2">
      <c r="B25" t="s">
        <v>28</v>
      </c>
      <c r="C25" t="s">
        <v>90</v>
      </c>
      <c r="E25" s="9"/>
      <c r="F25" t="s">
        <v>125</v>
      </c>
      <c r="G25" s="10">
        <v>0.05</v>
      </c>
      <c r="I25" s="9">
        <f t="shared" si="2"/>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v>1</v>
      </c>
      <c r="DD25" s="10"/>
      <c r="DE25" s="10">
        <v>1</v>
      </c>
      <c r="DI25" s="10"/>
      <c r="DJ25" s="10">
        <v>1</v>
      </c>
      <c r="DK25" s="10"/>
      <c r="DL25" s="10">
        <v>1</v>
      </c>
      <c r="DP25" s="10"/>
      <c r="DQ25" s="10"/>
      <c r="DR25" s="10"/>
      <c r="DS25" s="10"/>
      <c r="DW25" s="10"/>
      <c r="DX25" s="10"/>
      <c r="DY25" s="10"/>
      <c r="DZ25" s="10"/>
      <c r="ED25" s="10"/>
      <c r="EE25" s="10"/>
      <c r="EF25" s="10"/>
      <c r="EG25" s="10"/>
      <c r="EK25" s="10"/>
      <c r="EL25" s="10"/>
      <c r="EM25" s="10"/>
      <c r="EN25" s="10"/>
    </row>
    <row r="26" spans="2:144" outlineLevel="1" x14ac:dyDescent="0.2">
      <c r="B26" t="s">
        <v>28</v>
      </c>
      <c r="C26" t="s">
        <v>90</v>
      </c>
      <c r="E26" s="9"/>
      <c r="F26" t="s">
        <v>126</v>
      </c>
      <c r="G26" s="10">
        <v>0.05</v>
      </c>
      <c r="I26" s="9">
        <f t="shared" si="2"/>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v>1</v>
      </c>
      <c r="DD26" s="10"/>
      <c r="DE26" s="10">
        <v>1</v>
      </c>
      <c r="DI26" s="10"/>
      <c r="DJ26" s="10">
        <v>1</v>
      </c>
      <c r="DK26" s="10"/>
      <c r="DL26" s="10">
        <v>1</v>
      </c>
      <c r="DP26" s="10"/>
      <c r="DQ26" s="10"/>
      <c r="DR26" s="10"/>
      <c r="DS26" s="10"/>
      <c r="DW26" s="10"/>
      <c r="DX26" s="10"/>
      <c r="DY26" s="10"/>
      <c r="DZ26" s="10"/>
      <c r="ED26" s="10"/>
      <c r="EE26" s="10"/>
      <c r="EF26" s="10"/>
      <c r="EG26" s="10"/>
      <c r="EK26" s="10"/>
      <c r="EL26" s="10"/>
      <c r="EM26" s="10"/>
      <c r="EN26" s="10"/>
    </row>
    <row r="27" spans="2:144" outlineLevel="1" x14ac:dyDescent="0.2">
      <c r="B27" t="s">
        <v>28</v>
      </c>
      <c r="C27" t="s">
        <v>90</v>
      </c>
      <c r="E27" s="9"/>
      <c r="F27" t="s">
        <v>127</v>
      </c>
      <c r="G27" s="10">
        <v>0.05</v>
      </c>
      <c r="I27" s="9">
        <f t="shared" si="2"/>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v>1</v>
      </c>
      <c r="DD27" s="10"/>
      <c r="DE27" s="10">
        <v>1</v>
      </c>
      <c r="DI27" s="10"/>
      <c r="DJ27" s="10">
        <v>1</v>
      </c>
      <c r="DK27" s="10"/>
      <c r="DL27" s="10">
        <v>1</v>
      </c>
      <c r="DP27" s="10"/>
      <c r="DQ27" s="10"/>
      <c r="DR27" s="10"/>
      <c r="DS27" s="10"/>
      <c r="DW27" s="10"/>
      <c r="DX27" s="10"/>
      <c r="DY27" s="10"/>
      <c r="DZ27" s="10"/>
      <c r="ED27" s="10"/>
      <c r="EE27" s="10"/>
      <c r="EF27" s="10"/>
      <c r="EG27" s="10"/>
      <c r="EK27" s="10"/>
      <c r="EL27" s="10"/>
      <c r="EM27" s="10"/>
      <c r="EN27" s="10"/>
    </row>
    <row r="28" spans="2:144" outlineLevel="1" x14ac:dyDescent="0.2">
      <c r="B28" t="s">
        <v>28</v>
      </c>
      <c r="C28" t="s">
        <v>90</v>
      </c>
      <c r="E28" s="9"/>
      <c r="F28" t="s">
        <v>128</v>
      </c>
      <c r="G28" s="10">
        <v>0.05</v>
      </c>
      <c r="I28" s="9">
        <f t="shared" si="2"/>
        <v>0</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v>1</v>
      </c>
      <c r="DD28" s="10"/>
      <c r="DE28" s="10">
        <v>1</v>
      </c>
      <c r="DI28" s="10"/>
      <c r="DJ28" s="10">
        <v>1</v>
      </c>
      <c r="DK28" s="10"/>
      <c r="DL28" s="10">
        <v>1</v>
      </c>
      <c r="DP28" s="10"/>
      <c r="DQ28" s="10"/>
      <c r="DR28" s="10"/>
      <c r="DS28" s="10"/>
      <c r="DW28" s="10"/>
      <c r="DX28" s="10"/>
      <c r="DY28" s="10"/>
      <c r="DZ28" s="10"/>
      <c r="ED28" s="10"/>
      <c r="EE28" s="10"/>
      <c r="EF28" s="10"/>
      <c r="EG28" s="10"/>
      <c r="EK28" s="10"/>
      <c r="EL28" s="10"/>
      <c r="EM28" s="10"/>
      <c r="EN28" s="10"/>
    </row>
    <row r="29" spans="2:144" outlineLevel="1" x14ac:dyDescent="0.2">
      <c r="B29" t="s">
        <v>28</v>
      </c>
      <c r="C29" t="s">
        <v>90</v>
      </c>
      <c r="E29" s="9"/>
      <c r="F29" t="s">
        <v>129</v>
      </c>
      <c r="G29" s="10">
        <v>0.1</v>
      </c>
      <c r="I29" s="9">
        <f t="shared" si="2"/>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v>1</v>
      </c>
      <c r="DD29" s="10"/>
      <c r="DE29" s="10">
        <v>1</v>
      </c>
      <c r="DI29" s="10"/>
      <c r="DJ29" s="10">
        <v>1</v>
      </c>
      <c r="DK29" s="10"/>
      <c r="DL29" s="10">
        <v>1</v>
      </c>
      <c r="DP29" s="10"/>
      <c r="DQ29" s="10"/>
      <c r="DR29" s="10"/>
      <c r="DS29" s="10"/>
      <c r="DW29" s="10"/>
      <c r="DX29" s="10"/>
      <c r="DY29" s="10"/>
      <c r="DZ29" s="10"/>
      <c r="ED29" s="10"/>
      <c r="EE29" s="10"/>
      <c r="EF29" s="10"/>
      <c r="EG29" s="10"/>
      <c r="EK29" s="10"/>
      <c r="EL29" s="10"/>
      <c r="EM29" s="10"/>
      <c r="EN29" s="10"/>
    </row>
    <row r="30" spans="2:144" outlineLevel="1" x14ac:dyDescent="0.2">
      <c r="B30" t="s">
        <v>28</v>
      </c>
      <c r="C30" t="s">
        <v>90</v>
      </c>
      <c r="E30" s="9"/>
      <c r="F30" t="s">
        <v>130</v>
      </c>
      <c r="G30" s="10">
        <v>0.1</v>
      </c>
      <c r="I30" s="9">
        <f t="shared" si="2"/>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v>1</v>
      </c>
      <c r="DD30" s="10"/>
      <c r="DE30" s="10">
        <v>1</v>
      </c>
      <c r="DI30" s="10"/>
      <c r="DJ30" s="10">
        <v>1</v>
      </c>
      <c r="DK30" s="10"/>
      <c r="DL30" s="10">
        <v>1</v>
      </c>
      <c r="DP30" s="10"/>
      <c r="DQ30" s="10"/>
      <c r="DR30" s="10"/>
      <c r="DS30" s="10"/>
      <c r="DW30" s="10"/>
      <c r="DX30" s="10"/>
      <c r="DY30" s="10"/>
      <c r="DZ30" s="10"/>
      <c r="ED30" s="10"/>
      <c r="EE30" s="10"/>
      <c r="EF30" s="10"/>
      <c r="EG30" s="10"/>
      <c r="EK30" s="10"/>
      <c r="EL30" s="10"/>
      <c r="EM30" s="10"/>
      <c r="EN30" s="10"/>
    </row>
    <row r="31" spans="2:144" outlineLevel="1" x14ac:dyDescent="0.2">
      <c r="B31" t="s">
        <v>28</v>
      </c>
      <c r="C31" t="s">
        <v>90</v>
      </c>
      <c r="E31" s="9"/>
      <c r="F31" t="s">
        <v>131</v>
      </c>
      <c r="G31" s="10">
        <v>0.1</v>
      </c>
      <c r="I31" s="9">
        <f t="shared" si="2"/>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v>1</v>
      </c>
      <c r="DD31" s="10"/>
      <c r="DE31" s="10">
        <v>1</v>
      </c>
      <c r="DI31" s="10"/>
      <c r="DJ31" s="10">
        <v>1</v>
      </c>
      <c r="DK31" s="10"/>
      <c r="DL31" s="10">
        <v>1</v>
      </c>
      <c r="DP31" s="10"/>
      <c r="DQ31" s="10"/>
      <c r="DR31" s="10"/>
      <c r="DS31" s="10"/>
      <c r="DW31" s="10"/>
      <c r="DX31" s="10"/>
      <c r="DY31" s="10"/>
      <c r="DZ31" s="10"/>
      <c r="ED31" s="10"/>
      <c r="EE31" s="10"/>
      <c r="EF31" s="10"/>
      <c r="EG31" s="10"/>
      <c r="EK31" s="10"/>
      <c r="EL31" s="10"/>
      <c r="EM31" s="10"/>
      <c r="EN31" s="10"/>
    </row>
    <row r="32" spans="2:144" outlineLevel="1" x14ac:dyDescent="0.2">
      <c r="B32" t="s">
        <v>28</v>
      </c>
      <c r="C32" t="s">
        <v>90</v>
      </c>
      <c r="E32" s="9"/>
      <c r="F32" t="s">
        <v>132</v>
      </c>
      <c r="G32" s="10">
        <v>0.1</v>
      </c>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v>1</v>
      </c>
      <c r="DD32" s="10"/>
      <c r="DE32" s="10">
        <v>1</v>
      </c>
      <c r="DI32" s="10"/>
      <c r="DJ32" s="10">
        <v>1</v>
      </c>
      <c r="DK32" s="10"/>
      <c r="DL32" s="10">
        <v>1</v>
      </c>
      <c r="DP32" s="10"/>
      <c r="DQ32" s="10"/>
      <c r="DR32" s="10"/>
      <c r="DS32" s="10"/>
      <c r="DW32" s="10"/>
      <c r="DX32" s="10"/>
      <c r="DY32" s="10"/>
      <c r="DZ32" s="10"/>
      <c r="ED32" s="10"/>
      <c r="EE32" s="10"/>
      <c r="EF32" s="10"/>
      <c r="EG32" s="10"/>
      <c r="EK32" s="10"/>
      <c r="EL32" s="10"/>
      <c r="EM32" s="10"/>
      <c r="EN32" s="10"/>
    </row>
    <row r="33" spans="2:144" outlineLevel="1" x14ac:dyDescent="0.2">
      <c r="B33" t="s">
        <v>28</v>
      </c>
      <c r="C33" t="s">
        <v>90</v>
      </c>
      <c r="E33" s="9"/>
      <c r="F33" t="s">
        <v>133</v>
      </c>
      <c r="G33" s="10">
        <v>0.1</v>
      </c>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v>0.8</v>
      </c>
      <c r="DD33" s="10"/>
      <c r="DE33" s="10">
        <v>0.8</v>
      </c>
      <c r="DI33" s="10"/>
      <c r="DJ33" s="10">
        <v>1</v>
      </c>
      <c r="DK33" s="10"/>
      <c r="DL33" s="10">
        <v>1</v>
      </c>
      <c r="DP33" s="10"/>
      <c r="DQ33" s="10"/>
      <c r="DR33" s="10"/>
      <c r="DS33" s="10"/>
      <c r="DW33" s="10"/>
      <c r="DX33" s="10"/>
      <c r="DY33" s="10"/>
      <c r="DZ33" s="10"/>
      <c r="ED33" s="10"/>
      <c r="EE33" s="10"/>
      <c r="EF33" s="10"/>
      <c r="EG33" s="10"/>
      <c r="EK33" s="10"/>
      <c r="EL33" s="10"/>
      <c r="EM33" s="10"/>
      <c r="EN33" s="10"/>
    </row>
    <row r="34" spans="2:144" outlineLevel="1" x14ac:dyDescent="0.2">
      <c r="B34" t="s">
        <v>28</v>
      </c>
      <c r="C34" t="s">
        <v>90</v>
      </c>
      <c r="E34" s="9"/>
      <c r="F34" t="s">
        <v>134</v>
      </c>
      <c r="G34" s="10">
        <v>0.1</v>
      </c>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v>0.8</v>
      </c>
      <c r="DD34" s="10"/>
      <c r="DE34" s="10">
        <v>0.8</v>
      </c>
      <c r="DI34" s="10"/>
      <c r="DJ34" s="10">
        <v>1</v>
      </c>
      <c r="DK34" s="10"/>
      <c r="DL34" s="10">
        <v>1</v>
      </c>
      <c r="DP34" s="10"/>
      <c r="DQ34" s="10"/>
      <c r="DR34" s="10"/>
      <c r="DS34" s="10"/>
      <c r="DW34" s="10"/>
      <c r="DX34" s="10"/>
      <c r="DY34" s="10"/>
      <c r="DZ34" s="10"/>
      <c r="ED34" s="10"/>
      <c r="EE34" s="10"/>
      <c r="EF34" s="10"/>
      <c r="EG34" s="10"/>
      <c r="EK34" s="10"/>
      <c r="EL34" s="10"/>
      <c r="EM34" s="10"/>
      <c r="EN34" s="10"/>
    </row>
    <row r="36" spans="2:144" x14ac:dyDescent="0.2">
      <c r="B36" t="s">
        <v>27</v>
      </c>
      <c r="C36" t="s">
        <v>91</v>
      </c>
      <c r="D36" s="19">
        <v>44974</v>
      </c>
      <c r="E36" s="9">
        <v>10</v>
      </c>
      <c r="G36" s="10">
        <f>+SUM(G37:G54)</f>
        <v>1.0000000000000002</v>
      </c>
      <c r="I36" s="12">
        <f>+SUM(I37:I54)</f>
        <v>0</v>
      </c>
      <c r="J36" s="11">
        <f>+SUMPRODUCT(G37:G54,J37:J54)</f>
        <v>0</v>
      </c>
      <c r="K36" s="11">
        <f>+SUMPRODUCT(G37:G54,K37:K54)</f>
        <v>0</v>
      </c>
      <c r="L36" s="9"/>
      <c r="N36" s="12">
        <v>0</v>
      </c>
      <c r="U36" s="12">
        <f>+SUM(U37:U54)</f>
        <v>0</v>
      </c>
      <c r="AB36" s="12">
        <f>+SUM(AB37:AB54)</f>
        <v>0</v>
      </c>
      <c r="AI36" s="12">
        <f>+SUM(AI37:AI54)</f>
        <v>0</v>
      </c>
      <c r="AP36" s="12">
        <f>+SUM(AP37:AP54)</f>
        <v>0</v>
      </c>
    </row>
    <row r="37" spans="2:144" outlineLevel="1" x14ac:dyDescent="0.2">
      <c r="B37" t="s">
        <v>28</v>
      </c>
      <c r="C37" t="s">
        <v>91</v>
      </c>
      <c r="E37" s="9"/>
      <c r="F37" t="s">
        <v>135</v>
      </c>
      <c r="G37" s="10">
        <v>0.05</v>
      </c>
      <c r="I37" s="9">
        <f t="shared" ref="I37:I54" si="3">+SUMIF($N$3:$ZZ$3,I$3,$N37:$ZZ37)</f>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U37" s="10"/>
      <c r="CV37" s="10"/>
      <c r="CW37" s="10"/>
      <c r="CX37" s="10"/>
      <c r="DB37" s="10"/>
      <c r="DC37" s="10">
        <v>1</v>
      </c>
      <c r="DD37" s="10"/>
      <c r="DE37" s="10">
        <v>1</v>
      </c>
      <c r="DI37" s="10"/>
      <c r="DJ37" s="10">
        <v>1</v>
      </c>
      <c r="DK37" s="10"/>
      <c r="DL37" s="10">
        <v>1</v>
      </c>
      <c r="DP37" s="10"/>
      <c r="DQ37" s="10"/>
      <c r="DR37" s="10"/>
      <c r="DS37" s="10"/>
      <c r="DW37" s="10"/>
      <c r="DX37" s="10"/>
      <c r="DY37" s="10"/>
      <c r="DZ37" s="10"/>
      <c r="ED37" s="10"/>
      <c r="EE37" s="10"/>
      <c r="EF37" s="10"/>
      <c r="EG37" s="10"/>
      <c r="EK37" s="10"/>
      <c r="EL37" s="10"/>
      <c r="EM37" s="10"/>
      <c r="EN37" s="10"/>
    </row>
    <row r="38" spans="2:144" outlineLevel="1" x14ac:dyDescent="0.2">
      <c r="B38" t="s">
        <v>28</v>
      </c>
      <c r="C38" t="s">
        <v>91</v>
      </c>
      <c r="E38" s="9"/>
      <c r="F38" t="s">
        <v>136</v>
      </c>
      <c r="G38" s="10">
        <v>0.05</v>
      </c>
      <c r="I38" s="9">
        <f t="shared" si="3"/>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c r="CP38" s="10"/>
      <c r="CQ38" s="10"/>
      <c r="CU38" s="10"/>
      <c r="CV38" s="10"/>
      <c r="CW38" s="10"/>
      <c r="CX38" s="10"/>
      <c r="DB38" s="10"/>
      <c r="DC38" s="10">
        <v>1</v>
      </c>
      <c r="DD38" s="10"/>
      <c r="DE38" s="10">
        <v>1</v>
      </c>
      <c r="DI38" s="10"/>
      <c r="DJ38" s="10">
        <v>1</v>
      </c>
      <c r="DK38" s="10"/>
      <c r="DL38" s="10">
        <v>1</v>
      </c>
      <c r="DP38" s="10"/>
      <c r="DQ38" s="10"/>
      <c r="DR38" s="10"/>
      <c r="DS38" s="10"/>
      <c r="DW38" s="10"/>
      <c r="DX38" s="10"/>
      <c r="DY38" s="10"/>
      <c r="DZ38" s="10"/>
      <c r="ED38" s="10"/>
      <c r="EE38" s="10"/>
      <c r="EF38" s="10"/>
      <c r="EG38" s="10"/>
      <c r="EK38" s="10"/>
      <c r="EL38" s="10"/>
      <c r="EM38" s="10"/>
      <c r="EN38" s="10"/>
    </row>
    <row r="39" spans="2:144" outlineLevel="1" x14ac:dyDescent="0.2">
      <c r="B39" t="s">
        <v>28</v>
      </c>
      <c r="C39" t="s">
        <v>91</v>
      </c>
      <c r="E39" s="9"/>
      <c r="F39" t="s">
        <v>137</v>
      </c>
      <c r="G39" s="10">
        <v>0.05</v>
      </c>
      <c r="I39" s="9">
        <f t="shared" si="3"/>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c r="BZ39" s="10"/>
      <c r="CA39" s="10"/>
      <c r="CB39" s="10"/>
      <c r="CC39" s="10"/>
      <c r="CG39" s="10"/>
      <c r="CH39" s="10"/>
      <c r="CI39" s="10"/>
      <c r="CJ39" s="10"/>
      <c r="CN39" s="10"/>
      <c r="CO39" s="10"/>
      <c r="CP39" s="10"/>
      <c r="CQ39" s="10"/>
      <c r="CU39" s="10"/>
      <c r="CV39" s="10"/>
      <c r="CW39" s="10"/>
      <c r="CX39" s="10"/>
      <c r="DB39" s="10"/>
      <c r="DC39" s="10">
        <v>1</v>
      </c>
      <c r="DD39" s="10"/>
      <c r="DE39" s="10">
        <v>1</v>
      </c>
      <c r="DI39" s="10"/>
      <c r="DJ39" s="10">
        <v>1</v>
      </c>
      <c r="DK39" s="10"/>
      <c r="DL39" s="10">
        <v>1</v>
      </c>
      <c r="DP39" s="10"/>
      <c r="DQ39" s="10"/>
      <c r="DR39" s="10"/>
      <c r="DS39" s="10"/>
      <c r="DW39" s="10"/>
      <c r="DX39" s="10"/>
      <c r="DY39" s="10"/>
      <c r="DZ39" s="10"/>
      <c r="ED39" s="10"/>
      <c r="EE39" s="10"/>
      <c r="EF39" s="10"/>
      <c r="EG39" s="10"/>
      <c r="EK39" s="10"/>
      <c r="EL39" s="10"/>
      <c r="EM39" s="10"/>
      <c r="EN39" s="10"/>
    </row>
    <row r="40" spans="2:144" outlineLevel="1" x14ac:dyDescent="0.2">
      <c r="B40" t="s">
        <v>28</v>
      </c>
      <c r="C40" t="s">
        <v>91</v>
      </c>
      <c r="E40" s="9"/>
      <c r="F40" t="s">
        <v>138</v>
      </c>
      <c r="G40" s="10">
        <v>0.05</v>
      </c>
      <c r="I40" s="9">
        <f t="shared" si="3"/>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c r="CI40" s="10"/>
      <c r="CJ40" s="10"/>
      <c r="CN40" s="10"/>
      <c r="CO40" s="10"/>
      <c r="CP40" s="10"/>
      <c r="CQ40" s="10"/>
      <c r="CU40" s="10"/>
      <c r="CV40" s="10"/>
      <c r="CW40" s="10"/>
      <c r="CX40" s="10"/>
      <c r="DB40" s="10"/>
      <c r="DC40" s="10">
        <v>1</v>
      </c>
      <c r="DD40" s="10"/>
      <c r="DE40" s="10">
        <v>1</v>
      </c>
      <c r="DI40" s="10"/>
      <c r="DJ40" s="10">
        <v>1</v>
      </c>
      <c r="DK40" s="10"/>
      <c r="DL40" s="10">
        <v>1</v>
      </c>
      <c r="DP40" s="10"/>
      <c r="DQ40" s="10"/>
      <c r="DR40" s="10"/>
      <c r="DS40" s="10"/>
      <c r="DW40" s="10"/>
      <c r="DX40" s="10"/>
      <c r="DY40" s="10"/>
      <c r="DZ40" s="10"/>
      <c r="ED40" s="10"/>
      <c r="EE40" s="10"/>
      <c r="EF40" s="10"/>
      <c r="EG40" s="10"/>
      <c r="EK40" s="10"/>
      <c r="EL40" s="10"/>
      <c r="EM40" s="10"/>
      <c r="EN40" s="10"/>
    </row>
    <row r="41" spans="2:144" outlineLevel="1" x14ac:dyDescent="0.2">
      <c r="B41" t="s">
        <v>28</v>
      </c>
      <c r="C41" t="s">
        <v>91</v>
      </c>
      <c r="E41" s="9"/>
      <c r="F41" t="s">
        <v>139</v>
      </c>
      <c r="G41" s="10">
        <v>0.05</v>
      </c>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c r="BN41" s="10"/>
      <c r="BO41" s="10"/>
      <c r="BS41" s="10"/>
      <c r="BT41" s="10"/>
      <c r="BU41" s="10"/>
      <c r="BV41" s="10"/>
      <c r="BZ41" s="10"/>
      <c r="CA41" s="10"/>
      <c r="CB41" s="10"/>
      <c r="CC41" s="10"/>
      <c r="CG41" s="10"/>
      <c r="CH41" s="10"/>
      <c r="CI41" s="10"/>
      <c r="CJ41" s="10"/>
      <c r="CN41" s="10"/>
      <c r="CO41" s="10"/>
      <c r="CP41" s="10"/>
      <c r="CQ41" s="10"/>
      <c r="CU41" s="10"/>
      <c r="CV41" s="10"/>
      <c r="CW41" s="10"/>
      <c r="CX41" s="10"/>
      <c r="DB41" s="10"/>
      <c r="DC41" s="10">
        <v>1</v>
      </c>
      <c r="DD41" s="10"/>
      <c r="DE41" s="10">
        <v>1</v>
      </c>
      <c r="DI41" s="10"/>
      <c r="DJ41" s="10">
        <v>1</v>
      </c>
      <c r="DK41" s="10"/>
      <c r="DL41" s="10">
        <v>1</v>
      </c>
      <c r="DP41" s="10"/>
      <c r="DQ41" s="10"/>
      <c r="DR41" s="10"/>
      <c r="DS41" s="10"/>
      <c r="DW41" s="10"/>
      <c r="DX41" s="10"/>
      <c r="DY41" s="10"/>
      <c r="DZ41" s="10"/>
      <c r="ED41" s="10"/>
      <c r="EE41" s="10"/>
      <c r="EF41" s="10"/>
      <c r="EG41" s="10"/>
      <c r="EK41" s="10"/>
      <c r="EL41" s="10"/>
      <c r="EM41" s="10"/>
      <c r="EN41" s="10"/>
    </row>
    <row r="42" spans="2:144" outlineLevel="1" x14ac:dyDescent="0.2">
      <c r="B42" t="s">
        <v>28</v>
      </c>
      <c r="C42" t="s">
        <v>91</v>
      </c>
      <c r="E42" s="9"/>
      <c r="F42" t="s">
        <v>140</v>
      </c>
      <c r="G42" s="10">
        <v>0.05</v>
      </c>
      <c r="I42" s="9">
        <f t="shared" si="3"/>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c r="AS42" s="10"/>
      <c r="AT42" s="10"/>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v>1</v>
      </c>
      <c r="DD42" s="10"/>
      <c r="DE42" s="10">
        <v>1</v>
      </c>
      <c r="DI42" s="10"/>
      <c r="DJ42" s="10">
        <v>1</v>
      </c>
      <c r="DK42" s="10"/>
      <c r="DL42" s="10">
        <v>1</v>
      </c>
      <c r="DP42" s="10"/>
      <c r="DQ42" s="10"/>
      <c r="DR42" s="10"/>
      <c r="DS42" s="10"/>
      <c r="DW42" s="10"/>
      <c r="DX42" s="10"/>
      <c r="DY42" s="10"/>
      <c r="DZ42" s="10"/>
      <c r="ED42" s="10"/>
      <c r="EE42" s="10"/>
      <c r="EF42" s="10"/>
      <c r="EG42" s="10"/>
      <c r="EK42" s="10"/>
      <c r="EL42" s="10"/>
      <c r="EM42" s="10"/>
      <c r="EN42" s="10"/>
    </row>
    <row r="43" spans="2:144" outlineLevel="1" x14ac:dyDescent="0.2">
      <c r="B43" t="s">
        <v>28</v>
      </c>
      <c r="C43" t="s">
        <v>91</v>
      </c>
      <c r="E43" s="9"/>
      <c r="F43" t="s">
        <v>141</v>
      </c>
      <c r="G43" s="10">
        <v>0.05</v>
      </c>
      <c r="I43" s="9">
        <f t="shared" si="3"/>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v>1</v>
      </c>
      <c r="DD43" s="10"/>
      <c r="DE43" s="10">
        <v>1</v>
      </c>
      <c r="DI43" s="10"/>
      <c r="DJ43" s="10">
        <v>1</v>
      </c>
      <c r="DK43" s="10"/>
      <c r="DL43" s="10">
        <v>1</v>
      </c>
      <c r="DP43" s="10"/>
      <c r="DQ43" s="10"/>
      <c r="DR43" s="10"/>
      <c r="DS43" s="10"/>
      <c r="DW43" s="10"/>
      <c r="DX43" s="10"/>
      <c r="DY43" s="10"/>
      <c r="DZ43" s="10"/>
      <c r="ED43" s="10"/>
      <c r="EE43" s="10"/>
      <c r="EF43" s="10"/>
      <c r="EG43" s="10"/>
      <c r="EK43" s="10"/>
      <c r="EL43" s="10"/>
      <c r="EM43" s="10"/>
      <c r="EN43" s="10"/>
    </row>
    <row r="44" spans="2:144" outlineLevel="1" x14ac:dyDescent="0.2">
      <c r="B44" t="s">
        <v>28</v>
      </c>
      <c r="C44" t="s">
        <v>91</v>
      </c>
      <c r="E44" s="9"/>
      <c r="F44" t="s">
        <v>142</v>
      </c>
      <c r="G44" s="10">
        <v>0.05</v>
      </c>
      <c r="I44" s="9">
        <f t="shared" si="3"/>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v>1</v>
      </c>
      <c r="DD44" s="10"/>
      <c r="DE44" s="10">
        <v>1</v>
      </c>
      <c r="DI44" s="10"/>
      <c r="DJ44" s="10">
        <v>1</v>
      </c>
      <c r="DK44" s="10"/>
      <c r="DL44" s="10">
        <v>1</v>
      </c>
      <c r="DP44" s="10"/>
      <c r="DQ44" s="10"/>
      <c r="DR44" s="10"/>
      <c r="DS44" s="10"/>
      <c r="DW44" s="10"/>
      <c r="DX44" s="10"/>
      <c r="DY44" s="10"/>
      <c r="DZ44" s="10"/>
      <c r="ED44" s="10"/>
      <c r="EE44" s="10"/>
      <c r="EF44" s="10"/>
      <c r="EG44" s="10"/>
      <c r="EK44" s="10"/>
      <c r="EL44" s="10"/>
      <c r="EM44" s="10"/>
      <c r="EN44" s="10"/>
    </row>
    <row r="45" spans="2:144" outlineLevel="1" x14ac:dyDescent="0.2">
      <c r="B45" t="s">
        <v>28</v>
      </c>
      <c r="C45" t="s">
        <v>91</v>
      </c>
      <c r="E45" s="9"/>
      <c r="F45" t="s">
        <v>143</v>
      </c>
      <c r="G45" s="10">
        <v>0.05</v>
      </c>
      <c r="I45" s="9">
        <f t="shared" si="3"/>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v>1</v>
      </c>
      <c r="DD45" s="10"/>
      <c r="DE45" s="10">
        <v>1</v>
      </c>
      <c r="DI45" s="10"/>
      <c r="DJ45" s="10">
        <v>1</v>
      </c>
      <c r="DK45" s="10"/>
      <c r="DL45" s="10">
        <v>1</v>
      </c>
      <c r="DP45" s="10"/>
      <c r="DQ45" s="10"/>
      <c r="DR45" s="10"/>
      <c r="DS45" s="10"/>
      <c r="DW45" s="10"/>
      <c r="DX45" s="10"/>
      <c r="DY45" s="10"/>
      <c r="DZ45" s="10"/>
      <c r="ED45" s="10"/>
      <c r="EE45" s="10"/>
      <c r="EF45" s="10"/>
      <c r="EG45" s="10"/>
      <c r="EK45" s="10"/>
      <c r="EL45" s="10"/>
      <c r="EM45" s="10"/>
      <c r="EN45" s="10"/>
    </row>
    <row r="46" spans="2:144" outlineLevel="1" x14ac:dyDescent="0.2">
      <c r="B46" t="s">
        <v>28</v>
      </c>
      <c r="C46" t="s">
        <v>91</v>
      </c>
      <c r="E46" s="9"/>
      <c r="F46" t="s">
        <v>144</v>
      </c>
      <c r="G46" s="10">
        <v>0.05</v>
      </c>
      <c r="I46" s="9">
        <f t="shared" si="3"/>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c r="CP46" s="10"/>
      <c r="CQ46" s="10"/>
      <c r="CU46" s="10"/>
      <c r="CV46" s="10"/>
      <c r="CW46" s="10"/>
      <c r="CX46" s="10"/>
      <c r="DB46" s="10"/>
      <c r="DC46" s="10">
        <v>1</v>
      </c>
      <c r="DD46" s="10"/>
      <c r="DE46" s="10">
        <v>1</v>
      </c>
      <c r="DI46" s="10"/>
      <c r="DJ46" s="10">
        <v>1</v>
      </c>
      <c r="DK46" s="10"/>
      <c r="DL46" s="10">
        <v>1</v>
      </c>
      <c r="DP46" s="10"/>
      <c r="DQ46" s="10"/>
      <c r="DR46" s="10"/>
      <c r="DS46" s="10"/>
      <c r="DW46" s="10"/>
      <c r="DX46" s="10"/>
      <c r="DY46" s="10"/>
      <c r="DZ46" s="10"/>
      <c r="ED46" s="10"/>
      <c r="EE46" s="10"/>
      <c r="EF46" s="10"/>
      <c r="EG46" s="10"/>
      <c r="EK46" s="10"/>
      <c r="EL46" s="10"/>
      <c r="EM46" s="10"/>
      <c r="EN46" s="10"/>
    </row>
    <row r="47" spans="2:144" outlineLevel="1" x14ac:dyDescent="0.2">
      <c r="B47" t="s">
        <v>28</v>
      </c>
      <c r="C47" t="s">
        <v>91</v>
      </c>
      <c r="E47" s="9"/>
      <c r="F47" t="s">
        <v>145</v>
      </c>
      <c r="G47" s="10">
        <v>0.05</v>
      </c>
      <c r="I47" s="9">
        <f t="shared" si="3"/>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U47" s="10"/>
      <c r="CV47" s="10"/>
      <c r="CW47" s="10"/>
      <c r="CX47" s="10"/>
      <c r="DB47" s="10"/>
      <c r="DC47" s="10">
        <v>1</v>
      </c>
      <c r="DD47" s="10"/>
      <c r="DE47" s="10">
        <v>1</v>
      </c>
      <c r="DI47" s="10"/>
      <c r="DJ47" s="10">
        <v>1</v>
      </c>
      <c r="DK47" s="10"/>
      <c r="DL47" s="10">
        <v>1</v>
      </c>
      <c r="DP47" s="10"/>
      <c r="DQ47" s="10"/>
      <c r="DR47" s="10"/>
      <c r="DS47" s="10"/>
      <c r="DW47" s="10"/>
      <c r="DX47" s="10"/>
      <c r="DY47" s="10"/>
      <c r="DZ47" s="10"/>
      <c r="ED47" s="10"/>
      <c r="EE47" s="10"/>
      <c r="EF47" s="10"/>
      <c r="EG47" s="10"/>
      <c r="EK47" s="10"/>
      <c r="EL47" s="10"/>
      <c r="EM47" s="10"/>
      <c r="EN47" s="10"/>
    </row>
    <row r="48" spans="2:144" outlineLevel="1" x14ac:dyDescent="0.2">
      <c r="B48" t="s">
        <v>28</v>
      </c>
      <c r="C48" t="s">
        <v>91</v>
      </c>
      <c r="E48" s="9"/>
      <c r="F48" t="s">
        <v>146</v>
      </c>
      <c r="G48" s="10">
        <v>0.05</v>
      </c>
      <c r="I48" s="9">
        <f t="shared" si="3"/>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v>1</v>
      </c>
      <c r="DD48" s="10"/>
      <c r="DE48" s="10">
        <v>1</v>
      </c>
      <c r="DI48" s="10"/>
      <c r="DJ48" s="10">
        <v>1</v>
      </c>
      <c r="DK48" s="10"/>
      <c r="DL48" s="10">
        <v>1</v>
      </c>
      <c r="DP48" s="10"/>
      <c r="DQ48" s="10"/>
      <c r="DR48" s="10"/>
      <c r="DS48" s="10"/>
      <c r="DW48" s="10"/>
      <c r="DX48" s="10"/>
      <c r="DY48" s="10"/>
      <c r="DZ48" s="10"/>
      <c r="ED48" s="10"/>
      <c r="EE48" s="10"/>
      <c r="EF48" s="10"/>
      <c r="EG48" s="10"/>
      <c r="EK48" s="10"/>
      <c r="EL48" s="10"/>
      <c r="EM48" s="10"/>
      <c r="EN48" s="10"/>
    </row>
    <row r="49" spans="2:144" outlineLevel="1" x14ac:dyDescent="0.2">
      <c r="B49" t="s">
        <v>28</v>
      </c>
      <c r="C49" t="s">
        <v>91</v>
      </c>
      <c r="E49" s="9"/>
      <c r="F49" t="s">
        <v>147</v>
      </c>
      <c r="G49" s="10">
        <v>0.05</v>
      </c>
      <c r="I49" s="9">
        <f t="shared" si="3"/>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v>1</v>
      </c>
      <c r="DD49" s="10"/>
      <c r="DE49" s="10">
        <v>1</v>
      </c>
      <c r="DI49" s="10"/>
      <c r="DJ49" s="10">
        <v>1</v>
      </c>
      <c r="DK49" s="10"/>
      <c r="DL49" s="10">
        <v>1</v>
      </c>
      <c r="DP49" s="10"/>
      <c r="DQ49" s="10"/>
      <c r="DR49" s="10"/>
      <c r="DS49" s="10"/>
      <c r="DW49" s="10"/>
      <c r="DX49" s="10"/>
      <c r="DY49" s="10"/>
      <c r="DZ49" s="10"/>
      <c r="ED49" s="10"/>
      <c r="EE49" s="10"/>
      <c r="EF49" s="10"/>
      <c r="EG49" s="10"/>
      <c r="EK49" s="10"/>
      <c r="EL49" s="10"/>
      <c r="EM49" s="10"/>
      <c r="EN49" s="10"/>
    </row>
    <row r="50" spans="2:144" outlineLevel="1" x14ac:dyDescent="0.2">
      <c r="B50" t="s">
        <v>28</v>
      </c>
      <c r="C50" t="s">
        <v>91</v>
      </c>
      <c r="E50" s="9"/>
      <c r="F50" t="s">
        <v>148</v>
      </c>
      <c r="G50" s="10">
        <v>0.05</v>
      </c>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c r="BN50" s="10"/>
      <c r="BO50" s="10"/>
      <c r="BS50" s="10"/>
      <c r="BT50" s="10"/>
      <c r="BU50" s="10"/>
      <c r="BV50" s="10"/>
      <c r="BZ50" s="10"/>
      <c r="CA50" s="10"/>
      <c r="CB50" s="10"/>
      <c r="CC50" s="10"/>
      <c r="CG50" s="10"/>
      <c r="CH50" s="10"/>
      <c r="CI50" s="10"/>
      <c r="CJ50" s="10"/>
      <c r="CN50" s="10"/>
      <c r="CO50" s="10"/>
      <c r="CP50" s="10"/>
      <c r="CQ50" s="10"/>
      <c r="CU50" s="10"/>
      <c r="CV50" s="10"/>
      <c r="CW50" s="10"/>
      <c r="CX50" s="10"/>
      <c r="DB50" s="10"/>
      <c r="DC50" s="10">
        <v>1</v>
      </c>
      <c r="DD50" s="10"/>
      <c r="DE50" s="10">
        <v>1</v>
      </c>
      <c r="DI50" s="10"/>
      <c r="DJ50" s="10">
        <v>1</v>
      </c>
      <c r="DK50" s="10"/>
      <c r="DL50" s="10">
        <v>1</v>
      </c>
      <c r="DP50" s="10"/>
      <c r="DQ50" s="10"/>
      <c r="DR50" s="10"/>
      <c r="DS50" s="10"/>
      <c r="DW50" s="10"/>
      <c r="DX50" s="10"/>
      <c r="DY50" s="10"/>
      <c r="DZ50" s="10"/>
      <c r="ED50" s="10"/>
      <c r="EE50" s="10"/>
      <c r="EF50" s="10"/>
      <c r="EG50" s="10"/>
      <c r="EK50" s="10"/>
      <c r="EL50" s="10"/>
      <c r="EM50" s="10"/>
      <c r="EN50" s="10"/>
    </row>
    <row r="51" spans="2:144" outlineLevel="1" x14ac:dyDescent="0.2">
      <c r="B51" t="s">
        <v>28</v>
      </c>
      <c r="C51" t="s">
        <v>91</v>
      </c>
      <c r="E51" s="9"/>
      <c r="F51" t="s">
        <v>149</v>
      </c>
      <c r="G51" s="10">
        <v>0.05</v>
      </c>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10"/>
      <c r="BU51" s="10"/>
      <c r="BV51" s="10"/>
      <c r="BZ51" s="10"/>
      <c r="CA51" s="10"/>
      <c r="CB51" s="10"/>
      <c r="CC51" s="10"/>
      <c r="CG51" s="10"/>
      <c r="CH51" s="10"/>
      <c r="CI51" s="10"/>
      <c r="CJ51" s="10"/>
      <c r="CN51" s="10"/>
      <c r="CO51" s="10"/>
      <c r="CP51" s="10"/>
      <c r="CQ51" s="10"/>
      <c r="CU51" s="10"/>
      <c r="CV51" s="10"/>
      <c r="CW51" s="10"/>
      <c r="CX51" s="10"/>
      <c r="DB51" s="10"/>
      <c r="DC51" s="10">
        <v>1</v>
      </c>
      <c r="DD51" s="10"/>
      <c r="DE51" s="10">
        <v>1</v>
      </c>
      <c r="DI51" s="10"/>
      <c r="DJ51" s="10">
        <v>1</v>
      </c>
      <c r="DK51" s="10"/>
      <c r="DL51" s="10">
        <v>1</v>
      </c>
      <c r="DP51" s="10"/>
      <c r="DQ51" s="10"/>
      <c r="DR51" s="10"/>
      <c r="DS51" s="10"/>
      <c r="DW51" s="10"/>
      <c r="DX51" s="10"/>
      <c r="DY51" s="10"/>
      <c r="DZ51" s="10"/>
      <c r="ED51" s="10"/>
      <c r="EE51" s="10"/>
      <c r="EF51" s="10"/>
      <c r="EG51" s="10"/>
      <c r="EK51" s="10"/>
      <c r="EL51" s="10"/>
      <c r="EM51" s="10"/>
      <c r="EN51" s="10"/>
    </row>
    <row r="52" spans="2:144" outlineLevel="1" x14ac:dyDescent="0.2">
      <c r="B52" t="s">
        <v>28</v>
      </c>
      <c r="C52" t="s">
        <v>91</v>
      </c>
      <c r="E52" s="9"/>
      <c r="F52" t="s">
        <v>150</v>
      </c>
      <c r="G52" s="10">
        <v>0.05</v>
      </c>
      <c r="I52" s="9">
        <f t="shared" si="3"/>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c r="BN52" s="10"/>
      <c r="BO52" s="10"/>
      <c r="BS52" s="10"/>
      <c r="BT52" s="10"/>
      <c r="BU52" s="10"/>
      <c r="BV52" s="10"/>
      <c r="BZ52" s="10"/>
      <c r="CA52" s="10"/>
      <c r="CB52" s="10"/>
      <c r="CC52" s="10"/>
      <c r="CG52" s="10"/>
      <c r="CH52" s="10"/>
      <c r="CI52" s="10"/>
      <c r="CJ52" s="10"/>
      <c r="CN52" s="10"/>
      <c r="CO52" s="10"/>
      <c r="CP52" s="10"/>
      <c r="CQ52" s="10"/>
      <c r="CU52" s="10"/>
      <c r="CV52" s="10"/>
      <c r="CW52" s="10"/>
      <c r="CX52" s="10"/>
      <c r="DB52" s="10"/>
      <c r="DC52" s="10">
        <v>1</v>
      </c>
      <c r="DD52" s="10"/>
      <c r="DE52" s="10">
        <v>1</v>
      </c>
      <c r="DI52" s="10"/>
      <c r="DJ52" s="10">
        <v>1</v>
      </c>
      <c r="DK52" s="10"/>
      <c r="DL52" s="10">
        <v>1</v>
      </c>
      <c r="DP52" s="10"/>
      <c r="DQ52" s="10"/>
      <c r="DR52" s="10"/>
      <c r="DS52" s="10"/>
      <c r="DW52" s="10"/>
      <c r="DX52" s="10"/>
      <c r="DY52" s="10"/>
      <c r="DZ52" s="10"/>
      <c r="ED52" s="10"/>
      <c r="EE52" s="10"/>
      <c r="EF52" s="10"/>
      <c r="EG52" s="10"/>
      <c r="EK52" s="10"/>
      <c r="EL52" s="10"/>
      <c r="EM52" s="10"/>
      <c r="EN52" s="10"/>
    </row>
    <row r="53" spans="2:144" outlineLevel="1" x14ac:dyDescent="0.2">
      <c r="B53" t="s">
        <v>28</v>
      </c>
      <c r="C53" t="s">
        <v>91</v>
      </c>
      <c r="E53" s="9"/>
      <c r="F53" t="s">
        <v>151</v>
      </c>
      <c r="G53" s="10">
        <v>0.1</v>
      </c>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c r="CB53" s="10"/>
      <c r="CC53" s="10"/>
      <c r="CG53" s="10"/>
      <c r="CH53" s="10"/>
      <c r="CI53" s="10"/>
      <c r="CJ53" s="10"/>
      <c r="CN53" s="10"/>
      <c r="CO53" s="10"/>
      <c r="CP53" s="10"/>
      <c r="CQ53" s="10"/>
      <c r="CU53" s="10"/>
      <c r="CV53" s="10"/>
      <c r="CW53" s="10"/>
      <c r="CX53" s="10"/>
      <c r="DB53" s="10"/>
      <c r="DC53" s="10">
        <v>0.8</v>
      </c>
      <c r="DD53" s="10"/>
      <c r="DE53" s="10">
        <v>0.8</v>
      </c>
      <c r="DI53" s="10"/>
      <c r="DJ53" s="10">
        <v>1</v>
      </c>
      <c r="DK53" s="10"/>
      <c r="DL53" s="10">
        <v>1</v>
      </c>
      <c r="DP53" s="10"/>
      <c r="DQ53" s="10"/>
      <c r="DR53" s="10"/>
      <c r="DS53" s="10"/>
      <c r="DW53" s="10"/>
      <c r="DX53" s="10"/>
      <c r="DY53" s="10"/>
      <c r="DZ53" s="10"/>
      <c r="ED53" s="10"/>
      <c r="EE53" s="10"/>
      <c r="EF53" s="10"/>
      <c r="EG53" s="10"/>
      <c r="EK53" s="10"/>
      <c r="EL53" s="10"/>
      <c r="EM53" s="10"/>
      <c r="EN53" s="10"/>
    </row>
    <row r="54" spans="2:144" outlineLevel="1" x14ac:dyDescent="0.2">
      <c r="B54" t="s">
        <v>28</v>
      </c>
      <c r="C54" t="s">
        <v>91</v>
      </c>
      <c r="E54" s="9"/>
      <c r="F54" t="s">
        <v>152</v>
      </c>
      <c r="G54" s="10">
        <v>0.1</v>
      </c>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c r="CP54" s="10"/>
      <c r="CQ54" s="10"/>
      <c r="CU54" s="10"/>
      <c r="CV54" s="10"/>
      <c r="CW54" s="10"/>
      <c r="CX54" s="10"/>
      <c r="DB54" s="10"/>
      <c r="DC54" s="10">
        <v>0.8</v>
      </c>
      <c r="DD54" s="10"/>
      <c r="DE54" s="10">
        <v>0.8</v>
      </c>
      <c r="DI54" s="10"/>
      <c r="DJ54" s="10">
        <v>1</v>
      </c>
      <c r="DK54" s="10"/>
      <c r="DL54" s="10">
        <v>1</v>
      </c>
      <c r="DP54" s="10"/>
      <c r="DQ54" s="10"/>
      <c r="DR54" s="10"/>
      <c r="DS54" s="10"/>
      <c r="DW54" s="10"/>
      <c r="DX54" s="10"/>
      <c r="DY54" s="10"/>
      <c r="DZ54" s="10"/>
      <c r="ED54" s="10"/>
      <c r="EE54" s="10"/>
      <c r="EF54" s="10"/>
      <c r="EG54" s="10"/>
      <c r="EK54" s="10"/>
      <c r="EL54" s="10"/>
      <c r="EM54" s="10"/>
      <c r="EN54" s="10"/>
    </row>
  </sheetData>
  <mergeCells count="20">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DH2:DM2"/>
    <mergeCell ref="DO2:DT2"/>
    <mergeCell ref="DV2:EA2"/>
    <mergeCell ref="EC2:EH2"/>
    <mergeCell ref="EJ2:EO2"/>
  </mergeCells>
  <conditionalFormatting sqref="O15 Q15 AJ26:AJ34 AL26:AL34 AX26:AX34 AZ26:AZ34 Q26:Q34 O26:O34 BG26:BG34 X26:X34 V26:V34 AE26:AE34 AC26:AC34 AS26:AS34 AQ26:AQ34 BE26:BE34 BN26:BN34 BL26:BL34 AJ39:AJ54 AL39:AL54 AX39:AX54 AZ39:AZ54 Q39:Q54 O39:O54 BG39:BG54 X39:X54 V39:V54 AE39:AE54 AC39:AC54 AS39:AS54 AQ39:AQ54 BE39:BE54 BN39:BN54 BL39:BL54 Q17:Q19 O17:O19 AS17:AS19 AQ17:AQ19 BG17:BG19 BE17:BE19 X17:X19 V17:V19 AE17:AE19 AC17:AC19 AL17:AL19 AJ17:AJ19 AZ17:AZ19 AX17:AX19 BN17:BN19 BL17:BL19 BU17:BU19 BS17:BS19 CB17:CB19 BZ17:BZ19 CI17:CI19 CG17:CG19 CP17:CP19 CN17:CN19 CW17:CW19 CU17:CU19 DD17:DD19 DB17:DB19 O5:O12 Q5:Q12 AQ5:AQ12 AS5:AS12 BE5:BE12 BG5:BG12 V5:V12 X5:X12 AC5:AC12 AE5:AE12 AJ5:AJ12 AL5:AL12 AX5:AX12 AZ5:AZ12 BL5:BL12 BN5:BN12 CB5:CB10 DR5:DR6 DR9:DR12 DD7:DD12">
    <cfRule type="expression" dxfId="277" priority="696">
      <formula>OR(IF(O5&lt;P5,TRUE),IF(AND(P5="",O5&lt;&gt;""),TRUE))</formula>
    </cfRule>
    <cfRule type="expression" dxfId="276" priority="697">
      <formula>IF(O5&gt;=P5,IF(O5="",FALSE,TRUE))</formula>
    </cfRule>
  </conditionalFormatting>
  <conditionalFormatting sqref="AQ15 AS15">
    <cfRule type="expression" dxfId="275" priority="563">
      <formula>OR(IF(AQ15&lt;AR15,TRUE),IF(AND(AR15="",AQ15&lt;&gt;""),TRUE))</formula>
    </cfRule>
    <cfRule type="expression" dxfId="274" priority="564">
      <formula>IF(AQ15&gt;=AR15,IF(AQ15="",FALSE,TRUE))</formula>
    </cfRule>
  </conditionalFormatting>
  <conditionalFormatting sqref="O22:O25">
    <cfRule type="expression" dxfId="273" priority="637">
      <formula>OR(IF(O22&lt;P22,TRUE),IF(AND(P22="",O22&lt;&gt;""),TRUE))</formula>
    </cfRule>
    <cfRule type="expression" dxfId="272" priority="638">
      <formula>IF(O22&gt;=P22,IF(O22="",FALSE,TRUE))</formula>
    </cfRule>
  </conditionalFormatting>
  <conditionalFormatting sqref="Q22:Q25">
    <cfRule type="expression" dxfId="271" priority="635">
      <formula>OR(IF(Q22&lt;R22,TRUE),IF(AND(R22="",Q22&lt;&gt;""),TRUE))</formula>
    </cfRule>
    <cfRule type="expression" dxfId="270" priority="636">
      <formula>IF(Q22&gt;=R22,IF(Q22="",FALSE,TRUE))</formula>
    </cfRule>
  </conditionalFormatting>
  <conditionalFormatting sqref="BE15 BG15">
    <cfRule type="expression" dxfId="269" priority="531">
      <formula>OR(IF(BE15&lt;BF15,TRUE),IF(AND(BF15="",BE15&lt;&gt;""),TRUE))</formula>
    </cfRule>
    <cfRule type="expression" dxfId="268" priority="532">
      <formula>IF(BE15&gt;=BF15,IF(BE15="",FALSE,TRUE))</formula>
    </cfRule>
  </conditionalFormatting>
  <conditionalFormatting sqref="BE22:BE25">
    <cfRule type="expression" dxfId="267" priority="527">
      <formula>OR(IF(BE22&lt;BF22,TRUE),IF(AND(BF22="",BE22&lt;&gt;""),TRUE))</formula>
    </cfRule>
    <cfRule type="expression" dxfId="266" priority="528">
      <formula>IF(BE22&gt;=BF22,IF(BE22="",FALSE,TRUE))</formula>
    </cfRule>
  </conditionalFormatting>
  <conditionalFormatting sqref="V15 X15">
    <cfRule type="expression" dxfId="265" priority="611">
      <formula>OR(IF(V15&lt;W15,TRUE),IF(AND(W15="",V15&lt;&gt;""),TRUE))</formula>
    </cfRule>
    <cfRule type="expression" dxfId="264" priority="612">
      <formula>IF(V15&gt;=W15,IF(V15="",FALSE,TRUE))</formula>
    </cfRule>
  </conditionalFormatting>
  <conditionalFormatting sqref="V22:V25">
    <cfRule type="expression" dxfId="263" priority="607">
      <formula>OR(IF(V22&lt;W22,TRUE),IF(AND(W22="",V22&lt;&gt;""),TRUE))</formula>
    </cfRule>
    <cfRule type="expression" dxfId="262" priority="608">
      <formula>IF(V22&gt;=W22,IF(V22="",FALSE,TRUE))</formula>
    </cfRule>
  </conditionalFormatting>
  <conditionalFormatting sqref="X22:X25">
    <cfRule type="expression" dxfId="261" priority="605">
      <formula>OR(IF(X22&lt;Y22,TRUE),IF(AND(Y22="",X22&lt;&gt;""),TRUE))</formula>
    </cfRule>
    <cfRule type="expression" dxfId="260" priority="606">
      <formula>IF(X22&gt;=Y22,IF(X22="",FALSE,TRUE))</formula>
    </cfRule>
  </conditionalFormatting>
  <conditionalFormatting sqref="AC15 AE15">
    <cfRule type="expression" dxfId="259" priority="595">
      <formula>OR(IF(AC15&lt;AD15,TRUE),IF(AND(AD15="",AC15&lt;&gt;""),TRUE))</formula>
    </cfRule>
    <cfRule type="expression" dxfId="258" priority="596">
      <formula>IF(AC15&gt;=AD15,IF(AC15="",FALSE,TRUE))</formula>
    </cfRule>
  </conditionalFormatting>
  <conditionalFormatting sqref="AC22:AC25">
    <cfRule type="expression" dxfId="257" priority="591">
      <formula>OR(IF(AC22&lt;AD22,TRUE),IF(AND(AD22="",AC22&lt;&gt;""),TRUE))</formula>
    </cfRule>
    <cfRule type="expression" dxfId="256" priority="592">
      <formula>IF(AC22&gt;=AD22,IF(AC22="",FALSE,TRUE))</formula>
    </cfRule>
  </conditionalFormatting>
  <conditionalFormatting sqref="AE22:AE25">
    <cfRule type="expression" dxfId="255" priority="589">
      <formula>OR(IF(AE22&lt;AF22,TRUE),IF(AND(AF22="",AE22&lt;&gt;""),TRUE))</formula>
    </cfRule>
    <cfRule type="expression" dxfId="254" priority="590">
      <formula>IF(AE22&gt;=AF22,IF(AE22="",FALSE,TRUE))</formula>
    </cfRule>
  </conditionalFormatting>
  <conditionalFormatting sqref="AJ15 AL15">
    <cfRule type="expression" dxfId="253" priority="579">
      <formula>OR(IF(AJ15&lt;AK15,TRUE),IF(AND(AK15="",AJ15&lt;&gt;""),TRUE))</formula>
    </cfRule>
    <cfRule type="expression" dxfId="252" priority="580">
      <formula>IF(AJ15&gt;=AK15,IF(AJ15="",FALSE,TRUE))</formula>
    </cfRule>
  </conditionalFormatting>
  <conditionalFormatting sqref="AJ22:AJ25">
    <cfRule type="expression" dxfId="251" priority="575">
      <formula>OR(IF(AJ22&lt;AK22,TRUE),IF(AND(AK22="",AJ22&lt;&gt;""),TRUE))</formula>
    </cfRule>
    <cfRule type="expression" dxfId="250" priority="576">
      <formula>IF(AJ22&gt;=AK22,IF(AJ22="",FALSE,TRUE))</formula>
    </cfRule>
  </conditionalFormatting>
  <conditionalFormatting sqref="AL22:AL25">
    <cfRule type="expression" dxfId="249" priority="573">
      <formula>OR(IF(AL22&lt;AM22,TRUE),IF(AND(AM22="",AL22&lt;&gt;""),TRUE))</formula>
    </cfRule>
    <cfRule type="expression" dxfId="248" priority="574">
      <formula>IF(AL22&gt;=AM22,IF(AL22="",FALSE,TRUE))</formula>
    </cfRule>
  </conditionalFormatting>
  <conditionalFormatting sqref="AQ22:AQ25">
    <cfRule type="expression" dxfId="247" priority="559">
      <formula>OR(IF(AQ22&lt;AR22,TRUE),IF(AND(AR22="",AQ22&lt;&gt;""),TRUE))</formula>
    </cfRule>
    <cfRule type="expression" dxfId="246" priority="560">
      <formula>IF(AQ22&gt;=AR22,IF(AQ22="",FALSE,TRUE))</formula>
    </cfRule>
  </conditionalFormatting>
  <conditionalFormatting sqref="AS22:AS25">
    <cfRule type="expression" dxfId="245" priority="557">
      <formula>OR(IF(AS22&lt;AT22,TRUE),IF(AND(AT22="",AS22&lt;&gt;""),TRUE))</formula>
    </cfRule>
    <cfRule type="expression" dxfId="244" priority="558">
      <formula>IF(AS22&gt;=AT22,IF(AS22="",FALSE,TRUE))</formula>
    </cfRule>
  </conditionalFormatting>
  <conditionalFormatting sqref="AX15 AZ15">
    <cfRule type="expression" dxfId="243" priority="547">
      <formula>OR(IF(AX15&lt;AY15,TRUE),IF(AND(AY15="",AX15&lt;&gt;""),TRUE))</formula>
    </cfRule>
    <cfRule type="expression" dxfId="242" priority="548">
      <formula>IF(AX15&gt;=AY15,IF(AX15="",FALSE,TRUE))</formula>
    </cfRule>
  </conditionalFormatting>
  <conditionalFormatting sqref="AX22:AX25">
    <cfRule type="expression" dxfId="241" priority="543">
      <formula>OR(IF(AX22&lt;AY22,TRUE),IF(AND(AY22="",AX22&lt;&gt;""),TRUE))</formula>
    </cfRule>
    <cfRule type="expression" dxfId="240" priority="544">
      <formula>IF(AX22&gt;=AY22,IF(AX22="",FALSE,TRUE))</formula>
    </cfRule>
  </conditionalFormatting>
  <conditionalFormatting sqref="AZ22:AZ25">
    <cfRule type="expression" dxfId="239" priority="541">
      <formula>OR(IF(AZ22&lt;BA22,TRUE),IF(AND(BA22="",AZ22&lt;&gt;""),TRUE))</formula>
    </cfRule>
    <cfRule type="expression" dxfId="238" priority="542">
      <formula>IF(AZ22&gt;=BA22,IF(AZ22="",FALSE,TRUE))</formula>
    </cfRule>
  </conditionalFormatting>
  <conditionalFormatting sqref="BG22:BG25">
    <cfRule type="expression" dxfId="237" priority="525">
      <formula>OR(IF(BG22&lt;BH22,TRUE),IF(AND(BH22="",BG22&lt;&gt;""),TRUE))</formula>
    </cfRule>
    <cfRule type="expression" dxfId="236" priority="526">
      <formula>IF(BG22&gt;=BH22,IF(BG22="",FALSE,TRUE))</formula>
    </cfRule>
  </conditionalFormatting>
  <conditionalFormatting sqref="BL15 BN15">
    <cfRule type="expression" dxfId="235" priority="507">
      <formula>OR(IF(BL15&lt;BM15,TRUE),IF(AND(BM15="",BL15&lt;&gt;""),TRUE))</formula>
    </cfRule>
    <cfRule type="expression" dxfId="234" priority="508">
      <formula>IF(BL15&gt;=BM15,IF(BL15="",FALSE,TRUE))</formula>
    </cfRule>
  </conditionalFormatting>
  <conditionalFormatting sqref="BL22:BL25">
    <cfRule type="expression" dxfId="233" priority="503">
      <formula>OR(IF(BL22&lt;BM22,TRUE),IF(AND(BM22="",BL22&lt;&gt;""),TRUE))</formula>
    </cfRule>
    <cfRule type="expression" dxfId="232" priority="504">
      <formula>IF(BL22&gt;=BM22,IF(BL22="",FALSE,TRUE))</formula>
    </cfRule>
  </conditionalFormatting>
  <conditionalFormatting sqref="BN22:BN25">
    <cfRule type="expression" dxfId="231" priority="501">
      <formula>OR(IF(BN22&lt;BO22,TRUE),IF(AND(BO22="",BN22&lt;&gt;""),TRUE))</formula>
    </cfRule>
    <cfRule type="expression" dxfId="230" priority="502">
      <formula>IF(BN22&gt;=BO22,IF(BN22="",FALSE,TRUE))</formula>
    </cfRule>
  </conditionalFormatting>
  <conditionalFormatting sqref="O37:O38">
    <cfRule type="expression" dxfId="229" priority="424">
      <formula>OR(IF(O37&lt;P37,TRUE),IF(AND(P37="",O37&lt;&gt;""),TRUE))</formula>
    </cfRule>
    <cfRule type="expression" dxfId="228" priority="425">
      <formula>IF(O37&gt;=P37,IF(O37="",FALSE,TRUE))</formula>
    </cfRule>
  </conditionalFormatting>
  <conditionalFormatting sqref="Q37:Q38">
    <cfRule type="expression" dxfId="227" priority="422">
      <formula>OR(IF(Q37&lt;R37,TRUE),IF(AND(R37="",Q37&lt;&gt;""),TRUE))</formula>
    </cfRule>
    <cfRule type="expression" dxfId="226" priority="423">
      <formula>IF(Q37&gt;=R37,IF(Q37="",FALSE,TRUE))</formula>
    </cfRule>
  </conditionalFormatting>
  <conditionalFormatting sqref="BE37:BE38">
    <cfRule type="expression" dxfId="225" priority="376">
      <formula>OR(IF(BE37&lt;BF37,TRUE),IF(AND(BF37="",BE37&lt;&gt;""),TRUE))</formula>
    </cfRule>
    <cfRule type="expression" dxfId="224" priority="377">
      <formula>IF(BE37&gt;=BF37,IF(BE37="",FALSE,TRUE))</formula>
    </cfRule>
  </conditionalFormatting>
  <conditionalFormatting sqref="V37:V38">
    <cfRule type="expression" dxfId="223" priority="416">
      <formula>OR(IF(V37&lt;W37,TRUE),IF(AND(W37="",V37&lt;&gt;""),TRUE))</formula>
    </cfRule>
    <cfRule type="expression" dxfId="222" priority="417">
      <formula>IF(V37&gt;=W37,IF(V37="",FALSE,TRUE))</formula>
    </cfRule>
  </conditionalFormatting>
  <conditionalFormatting sqref="X37:X38">
    <cfRule type="expression" dxfId="221" priority="414">
      <formula>OR(IF(X37&lt;Y37,TRUE),IF(AND(Y37="",X37&lt;&gt;""),TRUE))</formula>
    </cfRule>
    <cfRule type="expression" dxfId="220" priority="415">
      <formula>IF(X37&gt;=Y37,IF(X37="",FALSE,TRUE))</formula>
    </cfRule>
  </conditionalFormatting>
  <conditionalFormatting sqref="AC37:AC38">
    <cfRule type="expression" dxfId="219" priority="408">
      <formula>OR(IF(AC37&lt;AD37,TRUE),IF(AND(AD37="",AC37&lt;&gt;""),TRUE))</formula>
    </cfRule>
    <cfRule type="expression" dxfId="218" priority="409">
      <formula>IF(AC37&gt;=AD37,IF(AC37="",FALSE,TRUE))</formula>
    </cfRule>
  </conditionalFormatting>
  <conditionalFormatting sqref="AE37:AE38">
    <cfRule type="expression" dxfId="217" priority="406">
      <formula>OR(IF(AE37&lt;AF37,TRUE),IF(AND(AF37="",AE37&lt;&gt;""),TRUE))</formula>
    </cfRule>
    <cfRule type="expression" dxfId="216" priority="407">
      <formula>IF(AE37&gt;=AF37,IF(AE37="",FALSE,TRUE))</formula>
    </cfRule>
  </conditionalFormatting>
  <conditionalFormatting sqref="AJ37:AJ38">
    <cfRule type="expression" dxfId="215" priority="400">
      <formula>OR(IF(AJ37&lt;AK37,TRUE),IF(AND(AK37="",AJ37&lt;&gt;""),TRUE))</formula>
    </cfRule>
    <cfRule type="expression" dxfId="214" priority="401">
      <formula>IF(AJ37&gt;=AK37,IF(AJ37="",FALSE,TRUE))</formula>
    </cfRule>
  </conditionalFormatting>
  <conditionalFormatting sqref="AL37:AL38">
    <cfRule type="expression" dxfId="213" priority="398">
      <formula>OR(IF(AL37&lt;AM37,TRUE),IF(AND(AM37="",AL37&lt;&gt;""),TRUE))</formula>
    </cfRule>
    <cfRule type="expression" dxfId="212" priority="399">
      <formula>IF(AL37&gt;=AM37,IF(AL37="",FALSE,TRUE))</formula>
    </cfRule>
  </conditionalFormatting>
  <conditionalFormatting sqref="AQ37:AQ38">
    <cfRule type="expression" dxfId="211" priority="392">
      <formula>OR(IF(AQ37&lt;AR37,TRUE),IF(AND(AR37="",AQ37&lt;&gt;""),TRUE))</formula>
    </cfRule>
    <cfRule type="expression" dxfId="210" priority="393">
      <formula>IF(AQ37&gt;=AR37,IF(AQ37="",FALSE,TRUE))</formula>
    </cfRule>
  </conditionalFormatting>
  <conditionalFormatting sqref="AS37:AS38">
    <cfRule type="expression" dxfId="209" priority="390">
      <formula>OR(IF(AS37&lt;AT37,TRUE),IF(AND(AT37="",AS37&lt;&gt;""),TRUE))</formula>
    </cfRule>
    <cfRule type="expression" dxfId="208" priority="391">
      <formula>IF(AS37&gt;=AT37,IF(AS37="",FALSE,TRUE))</formula>
    </cfRule>
  </conditionalFormatting>
  <conditionalFormatting sqref="AX37:AX38">
    <cfRule type="expression" dxfId="207" priority="384">
      <formula>OR(IF(AX37&lt;AY37,TRUE),IF(AND(AY37="",AX37&lt;&gt;""),TRUE))</formula>
    </cfRule>
    <cfRule type="expression" dxfId="206" priority="385">
      <formula>IF(AX37&gt;=AY37,IF(AX37="",FALSE,TRUE))</formula>
    </cfRule>
  </conditionalFormatting>
  <conditionalFormatting sqref="AZ37:AZ38">
    <cfRule type="expression" dxfId="205" priority="382">
      <formula>OR(IF(AZ37&lt;BA37,TRUE),IF(AND(BA37="",AZ37&lt;&gt;""),TRUE))</formula>
    </cfRule>
    <cfRule type="expression" dxfId="204" priority="383">
      <formula>IF(AZ37&gt;=BA37,IF(AZ37="",FALSE,TRUE))</formula>
    </cfRule>
  </conditionalFormatting>
  <conditionalFormatting sqref="BG37:BG38">
    <cfRule type="expression" dxfId="203" priority="374">
      <formula>OR(IF(BG37&lt;BH37,TRUE),IF(AND(BH37="",BG37&lt;&gt;""),TRUE))</formula>
    </cfRule>
    <cfRule type="expression" dxfId="202" priority="375">
      <formula>IF(BG37&gt;=BH37,IF(BG37="",FALSE,TRUE))</formula>
    </cfRule>
  </conditionalFormatting>
  <conditionalFormatting sqref="BL37:BL38">
    <cfRule type="expression" dxfId="201" priority="365">
      <formula>OR(IF(BL37&lt;BM37,TRUE),IF(AND(BM37="",BL37&lt;&gt;""),TRUE))</formula>
    </cfRule>
    <cfRule type="expression" dxfId="200" priority="366">
      <formula>IF(BL37&gt;=BM37,IF(BL37="",FALSE,TRUE))</formula>
    </cfRule>
  </conditionalFormatting>
  <conditionalFormatting sqref="BN37:BN38">
    <cfRule type="expression" dxfId="199" priority="363">
      <formula>OR(IF(BN37&lt;BO37,TRUE),IF(AND(BO37="",BN37&lt;&gt;""),TRUE))</formula>
    </cfRule>
    <cfRule type="expression" dxfId="198" priority="364">
      <formula>IF(BN37&gt;=BO37,IF(BN37="",FALSE,TRUE))</formula>
    </cfRule>
  </conditionalFormatting>
  <conditionalFormatting sqref="J8:K12">
    <cfRule type="colorScale" priority="699">
      <colorScale>
        <cfvo type="percent" val="0"/>
        <cfvo type="percent" val="100"/>
        <color rgb="FFFF231B"/>
        <color rgb="FF10FF07"/>
      </colorScale>
    </cfRule>
  </conditionalFormatting>
  <conditionalFormatting sqref="J5:J12">
    <cfRule type="colorScale" priority="728">
      <colorScale>
        <cfvo type="percent" val="0"/>
        <cfvo type="percent" val="100"/>
        <color rgb="FFFF231B"/>
        <color rgb="FF10FF07"/>
      </colorScale>
    </cfRule>
  </conditionalFormatting>
  <conditionalFormatting sqref="K5:K12">
    <cfRule type="colorScale" priority="729">
      <colorScale>
        <cfvo type="percent" val="0"/>
        <cfvo type="percent" val="100"/>
        <color rgb="FFFF231B"/>
        <color rgb="FF10FF07"/>
      </colorScale>
    </cfRule>
  </conditionalFormatting>
  <conditionalFormatting sqref="O16 Q16">
    <cfRule type="expression" dxfId="197" priority="290">
      <formula>OR(IF(O16&lt;P16,TRUE),IF(AND(P16="",O16&lt;&gt;""),TRUE))</formula>
    </cfRule>
    <cfRule type="expression" dxfId="196" priority="291">
      <formula>IF(O16&gt;=P16,IF(O16="",FALSE,TRUE))</formula>
    </cfRule>
  </conditionalFormatting>
  <conditionalFormatting sqref="AQ16 AS16">
    <cfRule type="expression" dxfId="195" priority="282">
      <formula>OR(IF(AQ16&lt;AR16,TRUE),IF(AND(AR16="",AQ16&lt;&gt;""),TRUE))</formula>
    </cfRule>
    <cfRule type="expression" dxfId="194" priority="283">
      <formula>IF(AQ16&gt;=AR16,IF(AQ16="",FALSE,TRUE))</formula>
    </cfRule>
  </conditionalFormatting>
  <conditionalFormatting sqref="BE16 BG16">
    <cfRule type="expression" dxfId="193" priority="278">
      <formula>OR(IF(BE16&lt;BF16,TRUE),IF(AND(BF16="",BE16&lt;&gt;""),TRUE))</formula>
    </cfRule>
    <cfRule type="expression" dxfId="192" priority="279">
      <formula>IF(BE16&gt;=BF16,IF(BE16="",FALSE,TRUE))</formula>
    </cfRule>
  </conditionalFormatting>
  <conditionalFormatting sqref="V16 X16">
    <cfRule type="expression" dxfId="191" priority="288">
      <formula>OR(IF(V16&lt;W16,TRUE),IF(AND(W16="",V16&lt;&gt;""),TRUE))</formula>
    </cfRule>
    <cfRule type="expression" dxfId="190" priority="289">
      <formula>IF(V16&gt;=W16,IF(V16="",FALSE,TRUE))</formula>
    </cfRule>
  </conditionalFormatting>
  <conditionalFormatting sqref="AC16 AE16">
    <cfRule type="expression" dxfId="189" priority="286">
      <formula>OR(IF(AC16&lt;AD16,TRUE),IF(AND(AD16="",AC16&lt;&gt;""),TRUE))</formula>
    </cfRule>
    <cfRule type="expression" dxfId="188" priority="287">
      <formula>IF(AC16&gt;=AD16,IF(AC16="",FALSE,TRUE))</formula>
    </cfRule>
  </conditionalFormatting>
  <conditionalFormatting sqref="AJ16 AL16">
    <cfRule type="expression" dxfId="187" priority="284">
      <formula>OR(IF(AJ16&lt;AK16,TRUE),IF(AND(AK16="",AJ16&lt;&gt;""),TRUE))</formula>
    </cfRule>
    <cfRule type="expression" dxfId="186" priority="285">
      <formula>IF(AJ16&gt;=AK16,IF(AJ16="",FALSE,TRUE))</formula>
    </cfRule>
  </conditionalFormatting>
  <conditionalFormatting sqref="AX16 AZ16">
    <cfRule type="expression" dxfId="185" priority="280">
      <formula>OR(IF(AX16&lt;AY16,TRUE),IF(AND(AY16="",AX16&lt;&gt;""),TRUE))</formula>
    </cfRule>
    <cfRule type="expression" dxfId="184" priority="281">
      <formula>IF(AX16&gt;=AY16,IF(AX16="",FALSE,TRUE))</formula>
    </cfRule>
  </conditionalFormatting>
  <conditionalFormatting sqref="J16:K16">
    <cfRule type="colorScale" priority="277">
      <colorScale>
        <cfvo type="percent" val="0"/>
        <cfvo type="percent" val="100"/>
        <color rgb="FFFF231B"/>
        <color rgb="FF10FF07"/>
      </colorScale>
    </cfRule>
  </conditionalFormatting>
  <conditionalFormatting sqref="J16">
    <cfRule type="colorScale" priority="276">
      <colorScale>
        <cfvo type="percent" val="0"/>
        <cfvo type="percent" val="100"/>
        <color rgb="FFFF231B"/>
        <color rgb="FF10FF07"/>
      </colorScale>
    </cfRule>
  </conditionalFormatting>
  <conditionalFormatting sqref="K16">
    <cfRule type="colorScale" priority="275">
      <colorScale>
        <cfvo type="percent" val="0"/>
        <cfvo type="percent" val="100"/>
        <color rgb="FFFF231B"/>
        <color rgb="FF10FF07"/>
      </colorScale>
    </cfRule>
  </conditionalFormatting>
  <conditionalFormatting sqref="BL16 BN16">
    <cfRule type="expression" dxfId="183" priority="273">
      <formula>OR(IF(BL16&lt;BM16,TRUE),IF(AND(BM16="",BL16&lt;&gt;""),TRUE))</formula>
    </cfRule>
    <cfRule type="expression" dxfId="182" priority="274">
      <formula>IF(BL16&gt;=BM16,IF(BL16="",FALSE,TRUE))</formula>
    </cfRule>
  </conditionalFormatting>
  <conditionalFormatting sqref="J25:K34">
    <cfRule type="colorScale" priority="786">
      <colorScale>
        <cfvo type="percent" val="0"/>
        <cfvo type="percent" val="100"/>
        <color rgb="FFFF231B"/>
        <color rgb="FF10FF07"/>
      </colorScale>
    </cfRule>
  </conditionalFormatting>
  <conditionalFormatting sqref="J22:J34">
    <cfRule type="colorScale" priority="788">
      <colorScale>
        <cfvo type="percent" val="0"/>
        <cfvo type="percent" val="100"/>
        <color rgb="FFFF231B"/>
        <color rgb="FF10FF07"/>
      </colorScale>
    </cfRule>
  </conditionalFormatting>
  <conditionalFormatting sqref="K22:K34">
    <cfRule type="colorScale" priority="790">
      <colorScale>
        <cfvo type="percent" val="0"/>
        <cfvo type="percent" val="100"/>
        <color rgb="FFFF231B"/>
        <color rgb="FF10FF07"/>
      </colorScale>
    </cfRule>
  </conditionalFormatting>
  <conditionalFormatting sqref="J38:K54">
    <cfRule type="colorScale" priority="819">
      <colorScale>
        <cfvo type="percent" val="0"/>
        <cfvo type="percent" val="100"/>
        <color rgb="FFFF231B"/>
        <color rgb="FF10FF07"/>
      </colorScale>
    </cfRule>
  </conditionalFormatting>
  <conditionalFormatting sqref="J37:J54">
    <cfRule type="colorScale" priority="821">
      <colorScale>
        <cfvo type="percent" val="0"/>
        <cfvo type="percent" val="100"/>
        <color rgb="FFFF231B"/>
        <color rgb="FF10FF07"/>
      </colorScale>
    </cfRule>
  </conditionalFormatting>
  <conditionalFormatting sqref="K37:K54">
    <cfRule type="colorScale" priority="823">
      <colorScale>
        <cfvo type="percent" val="0"/>
        <cfvo type="percent" val="100"/>
        <color rgb="FFFF231B"/>
        <color rgb="FF10FF07"/>
      </colorScale>
    </cfRule>
  </conditionalFormatting>
  <conditionalFormatting sqref="BU26:BU34 BS26:BS34 BU39:BU54 BS39:BS54 BS5:BS12 BU5:BU12">
    <cfRule type="expression" dxfId="181" priority="252">
      <formula>OR(IF(BS5&lt;BT5,TRUE),IF(AND(BT5="",BS5&lt;&gt;""),TRUE))</formula>
    </cfRule>
    <cfRule type="expression" dxfId="180" priority="253">
      <formula>IF(BS5&gt;=BT5,IF(BS5="",FALSE,TRUE))</formula>
    </cfRule>
  </conditionalFormatting>
  <conditionalFormatting sqref="BS15 BU15">
    <cfRule type="expression" dxfId="179" priority="250">
      <formula>OR(IF(BS15&lt;BT15,TRUE),IF(AND(BT15="",BS15&lt;&gt;""),TRUE))</formula>
    </cfRule>
    <cfRule type="expression" dxfId="178" priority="251">
      <formula>IF(BS15&gt;=BT15,IF(BS15="",FALSE,TRUE))</formula>
    </cfRule>
  </conditionalFormatting>
  <conditionalFormatting sqref="BS22:BS25">
    <cfRule type="expression" dxfId="177" priority="248">
      <formula>OR(IF(BS22&lt;BT22,TRUE),IF(AND(BT22="",BS22&lt;&gt;""),TRUE))</formula>
    </cfRule>
    <cfRule type="expression" dxfId="176" priority="249">
      <formula>IF(BS22&gt;=BT22,IF(BS22="",FALSE,TRUE))</formula>
    </cfRule>
  </conditionalFormatting>
  <conditionalFormatting sqref="BU22:BU25">
    <cfRule type="expression" dxfId="175" priority="246">
      <formula>OR(IF(BU22&lt;BV22,TRUE),IF(AND(BV22="",BU22&lt;&gt;""),TRUE))</formula>
    </cfRule>
    <cfRule type="expression" dxfId="174" priority="247">
      <formula>IF(BU22&gt;=BV22,IF(BU22="",FALSE,TRUE))</formula>
    </cfRule>
  </conditionalFormatting>
  <conditionalFormatting sqref="BS37:BS38">
    <cfRule type="expression" dxfId="173" priority="240">
      <formula>OR(IF(BS37&lt;BT37,TRUE),IF(AND(BT37="",BS37&lt;&gt;""),TRUE))</formula>
    </cfRule>
    <cfRule type="expression" dxfId="172" priority="241">
      <formula>IF(BS37&gt;=BT37,IF(BS37="",FALSE,TRUE))</formula>
    </cfRule>
  </conditionalFormatting>
  <conditionalFormatting sqref="BU37:BU38">
    <cfRule type="expression" dxfId="171" priority="238">
      <formula>OR(IF(BU37&lt;BV37,TRUE),IF(AND(BV37="",BU37&lt;&gt;""),TRUE))</formula>
    </cfRule>
    <cfRule type="expression" dxfId="170" priority="239">
      <formula>IF(BU37&gt;=BV37,IF(BU37="",FALSE,TRUE))</formula>
    </cfRule>
  </conditionalFormatting>
  <conditionalFormatting sqref="BS16 BU16">
    <cfRule type="expression" dxfId="169" priority="236">
      <formula>OR(IF(BS16&lt;BT16,TRUE),IF(AND(BT16="",BS16&lt;&gt;""),TRUE))</formula>
    </cfRule>
    <cfRule type="expression" dxfId="168" priority="237">
      <formula>IF(BS16&gt;=BT16,IF(BS16="",FALSE,TRUE))</formula>
    </cfRule>
  </conditionalFormatting>
  <conditionalFormatting sqref="CB26:CB34 BZ26:BZ34 CB39:CB54 BZ39:BZ54 BZ5:BZ12">
    <cfRule type="expression" dxfId="167" priority="232">
      <formula>OR(IF(BZ5&lt;CA5,TRUE),IF(AND(CA5="",BZ5&lt;&gt;""),TRUE))</formula>
    </cfRule>
    <cfRule type="expression" dxfId="166" priority="233">
      <formula>IF(BZ5&gt;=CA5,IF(BZ5="",FALSE,TRUE))</formula>
    </cfRule>
  </conditionalFormatting>
  <conditionalFormatting sqref="BZ15 CB15">
    <cfRule type="expression" dxfId="165" priority="230">
      <formula>OR(IF(BZ15&lt;CA15,TRUE),IF(AND(CA15="",BZ15&lt;&gt;""),TRUE))</formula>
    </cfRule>
    <cfRule type="expression" dxfId="164" priority="231">
      <formula>IF(BZ15&gt;=CA15,IF(BZ15="",FALSE,TRUE))</formula>
    </cfRule>
  </conditionalFormatting>
  <conditionalFormatting sqref="BZ22:BZ25">
    <cfRule type="expression" dxfId="163" priority="228">
      <formula>OR(IF(BZ22&lt;CA22,TRUE),IF(AND(CA22="",BZ22&lt;&gt;""),TRUE))</formula>
    </cfRule>
    <cfRule type="expression" dxfId="162" priority="229">
      <formula>IF(BZ22&gt;=CA22,IF(BZ22="",FALSE,TRUE))</formula>
    </cfRule>
  </conditionalFormatting>
  <conditionalFormatting sqref="CB22:CB25">
    <cfRule type="expression" dxfId="161" priority="226">
      <formula>OR(IF(CB22&lt;CC22,TRUE),IF(AND(CC22="",CB22&lt;&gt;""),TRUE))</formula>
    </cfRule>
    <cfRule type="expression" dxfId="160" priority="227">
      <formula>IF(CB22&gt;=CC22,IF(CB22="",FALSE,TRUE))</formula>
    </cfRule>
  </conditionalFormatting>
  <conditionalFormatting sqref="BZ37:BZ38">
    <cfRule type="expression" dxfId="159" priority="220">
      <formula>OR(IF(BZ37&lt;CA37,TRUE),IF(AND(CA37="",BZ37&lt;&gt;""),TRUE))</formula>
    </cfRule>
    <cfRule type="expression" dxfId="158" priority="221">
      <formula>IF(BZ37&gt;=CA37,IF(BZ37="",FALSE,TRUE))</formula>
    </cfRule>
  </conditionalFormatting>
  <conditionalFormatting sqref="CB37:CB38">
    <cfRule type="expression" dxfId="157" priority="218">
      <formula>OR(IF(CB37&lt;CC37,TRUE),IF(AND(CC37="",CB37&lt;&gt;""),TRUE))</formula>
    </cfRule>
    <cfRule type="expression" dxfId="156" priority="219">
      <formula>IF(CB37&gt;=CC37,IF(CB37="",FALSE,TRUE))</formula>
    </cfRule>
  </conditionalFormatting>
  <conditionalFormatting sqref="BZ16 CB16">
    <cfRule type="expression" dxfId="155" priority="216">
      <formula>OR(IF(BZ16&lt;CA16,TRUE),IF(AND(CA16="",BZ16&lt;&gt;""),TRUE))</formula>
    </cfRule>
    <cfRule type="expression" dxfId="154" priority="217">
      <formula>IF(BZ16&gt;=CA16,IF(BZ16="",FALSE,TRUE))</formula>
    </cfRule>
  </conditionalFormatting>
  <conditionalFormatting sqref="CI26:CI34 CG26:CG34 CI39:CI54 CG39:CG54 CG5:CG12 CI5:CI12">
    <cfRule type="expression" dxfId="153" priority="212">
      <formula>OR(IF(CG5&lt;CH5,TRUE),IF(AND(CH5="",CG5&lt;&gt;""),TRUE))</formula>
    </cfRule>
    <cfRule type="expression" dxfId="152" priority="213">
      <formula>IF(CG5&gt;=CH5,IF(CG5="",FALSE,TRUE))</formula>
    </cfRule>
  </conditionalFormatting>
  <conditionalFormatting sqref="CG15 CI15">
    <cfRule type="expression" dxfId="151" priority="210">
      <formula>OR(IF(CG15&lt;CH15,TRUE),IF(AND(CH15="",CG15&lt;&gt;""),TRUE))</formula>
    </cfRule>
    <cfRule type="expression" dxfId="150" priority="211">
      <formula>IF(CG15&gt;=CH15,IF(CG15="",FALSE,TRUE))</formula>
    </cfRule>
  </conditionalFormatting>
  <conditionalFormatting sqref="CG22:CG25">
    <cfRule type="expression" dxfId="149" priority="208">
      <formula>OR(IF(CG22&lt;CH22,TRUE),IF(AND(CH22="",CG22&lt;&gt;""),TRUE))</formula>
    </cfRule>
    <cfRule type="expression" dxfId="148" priority="209">
      <formula>IF(CG22&gt;=CH22,IF(CG22="",FALSE,TRUE))</formula>
    </cfRule>
  </conditionalFormatting>
  <conditionalFormatting sqref="CI22:CI25">
    <cfRule type="expression" dxfId="147" priority="206">
      <formula>OR(IF(CI22&lt;CJ22,TRUE),IF(AND(CJ22="",CI22&lt;&gt;""),TRUE))</formula>
    </cfRule>
    <cfRule type="expression" dxfId="146" priority="207">
      <formula>IF(CI22&gt;=CJ22,IF(CI22="",FALSE,TRUE))</formula>
    </cfRule>
  </conditionalFormatting>
  <conditionalFormatting sqref="CG37:CG38">
    <cfRule type="expression" dxfId="145" priority="200">
      <formula>OR(IF(CG37&lt;CH37,TRUE),IF(AND(CH37="",CG37&lt;&gt;""),TRUE))</formula>
    </cfRule>
    <cfRule type="expression" dxfId="144" priority="201">
      <formula>IF(CG37&gt;=CH37,IF(CG37="",FALSE,TRUE))</formula>
    </cfRule>
  </conditionalFormatting>
  <conditionalFormatting sqref="CI37:CI38">
    <cfRule type="expression" dxfId="143" priority="198">
      <formula>OR(IF(CI37&lt;CJ37,TRUE),IF(AND(CJ37="",CI37&lt;&gt;""),TRUE))</formula>
    </cfRule>
    <cfRule type="expression" dxfId="142" priority="199">
      <formula>IF(CI37&gt;=CJ37,IF(CI37="",FALSE,TRUE))</formula>
    </cfRule>
  </conditionalFormatting>
  <conditionalFormatting sqref="CG16 CI16">
    <cfRule type="expression" dxfId="141" priority="196">
      <formula>OR(IF(CG16&lt;CH16,TRUE),IF(AND(CH16="",CG16&lt;&gt;""),TRUE))</formula>
    </cfRule>
    <cfRule type="expression" dxfId="140" priority="197">
      <formula>IF(CG16&gt;=CH16,IF(CG16="",FALSE,TRUE))</formula>
    </cfRule>
  </conditionalFormatting>
  <conditionalFormatting sqref="CP26:CP34 CN26:CN34 CP39:CP54 CN39:CN54 CN5:CN12 CP5:CP12">
    <cfRule type="expression" dxfId="139" priority="192">
      <formula>OR(IF(CN5&lt;CO5,TRUE),IF(AND(CO5="",CN5&lt;&gt;""),TRUE))</formula>
    </cfRule>
    <cfRule type="expression" dxfId="138" priority="193">
      <formula>IF(CN5&gt;=CO5,IF(CN5="",FALSE,TRUE))</formula>
    </cfRule>
  </conditionalFormatting>
  <conditionalFormatting sqref="CN15 CP15">
    <cfRule type="expression" dxfId="137" priority="190">
      <formula>OR(IF(CN15&lt;CO15,TRUE),IF(AND(CO15="",CN15&lt;&gt;""),TRUE))</formula>
    </cfRule>
    <cfRule type="expression" dxfId="136" priority="191">
      <formula>IF(CN15&gt;=CO15,IF(CN15="",FALSE,TRUE))</formula>
    </cfRule>
  </conditionalFormatting>
  <conditionalFormatting sqref="CN22:CN25">
    <cfRule type="expression" dxfId="135" priority="188">
      <formula>OR(IF(CN22&lt;CO22,TRUE),IF(AND(CO22="",CN22&lt;&gt;""),TRUE))</formula>
    </cfRule>
    <cfRule type="expression" dxfId="134" priority="189">
      <formula>IF(CN22&gt;=CO22,IF(CN22="",FALSE,TRUE))</formula>
    </cfRule>
  </conditionalFormatting>
  <conditionalFormatting sqref="CP22:CP25">
    <cfRule type="expression" dxfId="133" priority="186">
      <formula>OR(IF(CP22&lt;CQ22,TRUE),IF(AND(CQ22="",CP22&lt;&gt;""),TRUE))</formula>
    </cfRule>
    <cfRule type="expression" dxfId="132" priority="187">
      <formula>IF(CP22&gt;=CQ22,IF(CP22="",FALSE,TRUE))</formula>
    </cfRule>
  </conditionalFormatting>
  <conditionalFormatting sqref="CN37:CN38">
    <cfRule type="expression" dxfId="131" priority="180">
      <formula>OR(IF(CN37&lt;CO37,TRUE),IF(AND(CO37="",CN37&lt;&gt;""),TRUE))</formula>
    </cfRule>
    <cfRule type="expression" dxfId="130" priority="181">
      <formula>IF(CN37&gt;=CO37,IF(CN37="",FALSE,TRUE))</formula>
    </cfRule>
  </conditionalFormatting>
  <conditionalFormatting sqref="CP37:CP38">
    <cfRule type="expression" dxfId="129" priority="178">
      <formula>OR(IF(CP37&lt;CQ37,TRUE),IF(AND(CQ37="",CP37&lt;&gt;""),TRUE))</formula>
    </cfRule>
    <cfRule type="expression" dxfId="128" priority="179">
      <formula>IF(CP37&gt;=CQ37,IF(CP37="",FALSE,TRUE))</formula>
    </cfRule>
  </conditionalFormatting>
  <conditionalFormatting sqref="CN16 CP16">
    <cfRule type="expression" dxfId="127" priority="176">
      <formula>OR(IF(CN16&lt;CO16,TRUE),IF(AND(CO16="",CN16&lt;&gt;""),TRUE))</formula>
    </cfRule>
    <cfRule type="expression" dxfId="126" priority="177">
      <formula>IF(CN16&gt;=CO16,IF(CN16="",FALSE,TRUE))</formula>
    </cfRule>
  </conditionalFormatting>
  <conditionalFormatting sqref="CW26:CW34 CU26:CU34 CW39:CW54 CU39:CU54 CU5:CU12 CW5:CW12">
    <cfRule type="expression" dxfId="125" priority="172">
      <formula>OR(IF(CU5&lt;CV5,TRUE),IF(AND(CV5="",CU5&lt;&gt;""),TRUE))</formula>
    </cfRule>
    <cfRule type="expression" dxfId="124" priority="173">
      <formula>IF(CU5&gt;=CV5,IF(CU5="",FALSE,TRUE))</formula>
    </cfRule>
  </conditionalFormatting>
  <conditionalFormatting sqref="CU15 CW15">
    <cfRule type="expression" dxfId="123" priority="170">
      <formula>OR(IF(CU15&lt;CV15,TRUE),IF(AND(CV15="",CU15&lt;&gt;""),TRUE))</formula>
    </cfRule>
    <cfRule type="expression" dxfId="122" priority="171">
      <formula>IF(CU15&gt;=CV15,IF(CU15="",FALSE,TRUE))</formula>
    </cfRule>
  </conditionalFormatting>
  <conditionalFormatting sqref="CU22:CU25">
    <cfRule type="expression" dxfId="121" priority="168">
      <formula>OR(IF(CU22&lt;CV22,TRUE),IF(AND(CV22="",CU22&lt;&gt;""),TRUE))</formula>
    </cfRule>
    <cfRule type="expression" dxfId="120" priority="169">
      <formula>IF(CU22&gt;=CV22,IF(CU22="",FALSE,TRUE))</formula>
    </cfRule>
  </conditionalFormatting>
  <conditionalFormatting sqref="CW22:CW25">
    <cfRule type="expression" dxfId="119" priority="166">
      <formula>OR(IF(CW22&lt;CX22,TRUE),IF(AND(CX22="",CW22&lt;&gt;""),TRUE))</formula>
    </cfRule>
    <cfRule type="expression" dxfId="118" priority="167">
      <formula>IF(CW22&gt;=CX22,IF(CW22="",FALSE,TRUE))</formula>
    </cfRule>
  </conditionalFormatting>
  <conditionalFormatting sqref="CU37:CU38">
    <cfRule type="expression" dxfId="117" priority="160">
      <formula>OR(IF(CU37&lt;CV37,TRUE),IF(AND(CV37="",CU37&lt;&gt;""),TRUE))</formula>
    </cfRule>
    <cfRule type="expression" dxfId="116" priority="161">
      <formula>IF(CU37&gt;=CV37,IF(CU37="",FALSE,TRUE))</formula>
    </cfRule>
  </conditionalFormatting>
  <conditionalFormatting sqref="CW37:CW38">
    <cfRule type="expression" dxfId="115" priority="158">
      <formula>OR(IF(CW37&lt;CX37,TRUE),IF(AND(CX37="",CW37&lt;&gt;""),TRUE))</formula>
    </cfRule>
    <cfRule type="expression" dxfId="114" priority="159">
      <formula>IF(CW37&gt;=CX37,IF(CW37="",FALSE,TRUE))</formula>
    </cfRule>
  </conditionalFormatting>
  <conditionalFormatting sqref="CU16 CW16">
    <cfRule type="expression" dxfId="113" priority="156">
      <formula>OR(IF(CU16&lt;CV16,TRUE),IF(AND(CV16="",CU16&lt;&gt;""),TRUE))</formula>
    </cfRule>
    <cfRule type="expression" dxfId="112" priority="157">
      <formula>IF(CU16&gt;=CV16,IF(CU16="",FALSE,TRUE))</formula>
    </cfRule>
  </conditionalFormatting>
  <conditionalFormatting sqref="DD26:DD34 DB26:DB34 DD39:DD54 DB39:DB54 DB5:DB12">
    <cfRule type="expression" dxfId="111" priority="152">
      <formula>OR(IF(DB5&lt;DC5,TRUE),IF(AND(DC5="",DB5&lt;&gt;""),TRUE))</formula>
    </cfRule>
    <cfRule type="expression" dxfId="110" priority="153">
      <formula>IF(DB5&gt;=DC5,IF(DB5="",FALSE,TRUE))</formula>
    </cfRule>
  </conditionalFormatting>
  <conditionalFormatting sqref="DB15 DD15">
    <cfRule type="expression" dxfId="109" priority="150">
      <formula>OR(IF(DB15&lt;DC15,TRUE),IF(AND(DC15="",DB15&lt;&gt;""),TRUE))</formula>
    </cfRule>
    <cfRule type="expression" dxfId="108" priority="151">
      <formula>IF(DB15&gt;=DC15,IF(DB15="",FALSE,TRUE))</formula>
    </cfRule>
  </conditionalFormatting>
  <conditionalFormatting sqref="DB22:DB25">
    <cfRule type="expression" dxfId="107" priority="148">
      <formula>OR(IF(DB22&lt;DC22,TRUE),IF(AND(DC22="",DB22&lt;&gt;""),TRUE))</formula>
    </cfRule>
    <cfRule type="expression" dxfId="106" priority="149">
      <formula>IF(DB22&gt;=DC22,IF(DB22="",FALSE,TRUE))</formula>
    </cfRule>
  </conditionalFormatting>
  <conditionalFormatting sqref="DD22:DD25">
    <cfRule type="expression" dxfId="105" priority="146">
      <formula>OR(IF(DD22&lt;DE22,TRUE),IF(AND(DE22="",DD22&lt;&gt;""),TRUE))</formula>
    </cfRule>
    <cfRule type="expression" dxfId="104" priority="147">
      <formula>IF(DD22&gt;=DE22,IF(DD22="",FALSE,TRUE))</formula>
    </cfRule>
  </conditionalFormatting>
  <conditionalFormatting sqref="DB37:DB38">
    <cfRule type="expression" dxfId="103" priority="140">
      <formula>OR(IF(DB37&lt;DC37,TRUE),IF(AND(DC37="",DB37&lt;&gt;""),TRUE))</formula>
    </cfRule>
    <cfRule type="expression" dxfId="102" priority="141">
      <formula>IF(DB37&gt;=DC37,IF(DB37="",FALSE,TRUE))</formula>
    </cfRule>
  </conditionalFormatting>
  <conditionalFormatting sqref="DD37:DD38">
    <cfRule type="expression" dxfId="101" priority="138">
      <formula>OR(IF(DD37&lt;DE37,TRUE),IF(AND(DE37="",DD37&lt;&gt;""),TRUE))</formula>
    </cfRule>
    <cfRule type="expression" dxfId="100" priority="139">
      <formula>IF(DD37&gt;=DE37,IF(DD37="",FALSE,TRUE))</formula>
    </cfRule>
  </conditionalFormatting>
  <conditionalFormatting sqref="DB16 DD16">
    <cfRule type="expression" dxfId="99" priority="136">
      <formula>OR(IF(DB16&lt;DC16,TRUE),IF(AND(DC16="",DB16&lt;&gt;""),TRUE))</formula>
    </cfRule>
    <cfRule type="expression" dxfId="98" priority="137">
      <formula>IF(DB16&gt;=DC16,IF(DB16="",FALSE,TRUE))</formula>
    </cfRule>
  </conditionalFormatting>
  <conditionalFormatting sqref="CB12">
    <cfRule type="expression" dxfId="97" priority="886">
      <formula>OR(IF(CB12&lt;CC12,TRUE),IF(AND(CC12="",CB12&lt;&gt;""),TRUE))</formula>
    </cfRule>
    <cfRule type="expression" dxfId="96" priority="887">
      <formula>IF(CB12&gt;=CC12,IF(CB12="",FALSE,TRUE))</formula>
    </cfRule>
  </conditionalFormatting>
  <conditionalFormatting sqref="CB11">
    <cfRule type="expression" dxfId="95" priority="132">
      <formula>OR(IF(CB11&lt;CC11,TRUE),IF(AND(CC11="",CB11&lt;&gt;""),TRUE))</formula>
    </cfRule>
    <cfRule type="expression" dxfId="94" priority="133">
      <formula>IF(CB11&gt;=CC11,IF(CB11="",FALSE,TRUE))</formula>
    </cfRule>
  </conditionalFormatting>
  <conditionalFormatting sqref="J24:K24">
    <cfRule type="colorScale" priority="114">
      <colorScale>
        <cfvo type="percent" val="0"/>
        <cfvo type="percent" val="100"/>
        <color rgb="FFFF231B"/>
        <color rgb="FF10FF07"/>
      </colorScale>
    </cfRule>
  </conditionalFormatting>
  <conditionalFormatting sqref="J23:K23">
    <cfRule type="colorScale" priority="113">
      <colorScale>
        <cfvo type="percent" val="0"/>
        <cfvo type="percent" val="100"/>
        <color rgb="FFFF231B"/>
        <color rgb="FF10FF07"/>
      </colorScale>
    </cfRule>
  </conditionalFormatting>
  <conditionalFormatting sqref="J7:K7">
    <cfRule type="colorScale" priority="112">
      <colorScale>
        <cfvo type="percent" val="0"/>
        <cfvo type="percent" val="100"/>
        <color rgb="FFFF231B"/>
        <color rgb="FF10FF07"/>
      </colorScale>
    </cfRule>
  </conditionalFormatting>
  <conditionalFormatting sqref="J6:K6">
    <cfRule type="colorScale" priority="111">
      <colorScale>
        <cfvo type="percent" val="0"/>
        <cfvo type="percent" val="100"/>
        <color rgb="FFFF231B"/>
        <color rgb="FF10FF07"/>
      </colorScale>
    </cfRule>
  </conditionalFormatting>
  <conditionalFormatting sqref="DK17:DK19 DI17:DI19">
    <cfRule type="expression" dxfId="93" priority="109">
      <formula>OR(IF(DI17&lt;DJ17,TRUE),IF(AND(DJ17="",DI17&lt;&gt;""),TRUE))</formula>
    </cfRule>
    <cfRule type="expression" dxfId="92" priority="110">
      <formula>IF(DI17&gt;=DJ17,IF(DI17="",FALSE,TRUE))</formula>
    </cfRule>
  </conditionalFormatting>
  <conditionalFormatting sqref="DK26:DK34 DI26:DI34 DK39:DK54 DI39:DI54 DI5:DI8 DI10:DI12 DJ5:DK12">
    <cfRule type="expression" dxfId="91" priority="107">
      <formula>OR(IF(DI5&lt;DJ5,TRUE),IF(AND(DJ5="",DI5&lt;&gt;""),TRUE))</formula>
    </cfRule>
    <cfRule type="expression" dxfId="90" priority="108">
      <formula>IF(DI5&gt;=DJ5,IF(DI5="",FALSE,TRUE))</formula>
    </cfRule>
  </conditionalFormatting>
  <conditionalFormatting sqref="DI15 DK15">
    <cfRule type="expression" dxfId="89" priority="105">
      <formula>OR(IF(DI15&lt;DJ15,TRUE),IF(AND(DJ15="",DI15&lt;&gt;""),TRUE))</formula>
    </cfRule>
    <cfRule type="expression" dxfId="88" priority="106">
      <formula>IF(DI15&gt;=DJ15,IF(DI15="",FALSE,TRUE))</formula>
    </cfRule>
  </conditionalFormatting>
  <conditionalFormatting sqref="DI22:DI25">
    <cfRule type="expression" dxfId="87" priority="103">
      <formula>OR(IF(DI22&lt;DJ22,TRUE),IF(AND(DJ22="",DI22&lt;&gt;""),TRUE))</formula>
    </cfRule>
    <cfRule type="expression" dxfId="86" priority="104">
      <formula>IF(DI22&gt;=DJ22,IF(DI22="",FALSE,TRUE))</formula>
    </cfRule>
  </conditionalFormatting>
  <conditionalFormatting sqref="DK22:DK25">
    <cfRule type="expression" dxfId="85" priority="101">
      <formula>OR(IF(DK22&lt;DL22,TRUE),IF(AND(DL22="",DK22&lt;&gt;""),TRUE))</formula>
    </cfRule>
    <cfRule type="expression" dxfId="84" priority="102">
      <formula>IF(DK22&gt;=DL22,IF(DK22="",FALSE,TRUE))</formula>
    </cfRule>
  </conditionalFormatting>
  <conditionalFormatting sqref="DI37:DI38">
    <cfRule type="expression" dxfId="83" priority="95">
      <formula>OR(IF(DI37&lt;DJ37,TRUE),IF(AND(DJ37="",DI37&lt;&gt;""),TRUE))</formula>
    </cfRule>
    <cfRule type="expression" dxfId="82" priority="96">
      <formula>IF(DI37&gt;=DJ37,IF(DI37="",FALSE,TRUE))</formula>
    </cfRule>
  </conditionalFormatting>
  <conditionalFormatting sqref="DK37:DK38">
    <cfRule type="expression" dxfId="81" priority="93">
      <formula>OR(IF(DK37&lt;DL37,TRUE),IF(AND(DL37="",DK37&lt;&gt;""),TRUE))</formula>
    </cfRule>
    <cfRule type="expression" dxfId="80" priority="94">
      <formula>IF(DK37&gt;=DL37,IF(DK37="",FALSE,TRUE))</formula>
    </cfRule>
  </conditionalFormatting>
  <conditionalFormatting sqref="DI16 DK16">
    <cfRule type="expression" dxfId="79" priority="91">
      <formula>OR(IF(DI16&lt;DJ16,TRUE),IF(AND(DJ16="",DI16&lt;&gt;""),TRUE))</formula>
    </cfRule>
    <cfRule type="expression" dxfId="78" priority="92">
      <formula>IF(DI16&gt;=DJ16,IF(DI16="",FALSE,TRUE))</formula>
    </cfRule>
  </conditionalFormatting>
  <conditionalFormatting sqref="DR17:DR19 DP17:DP19">
    <cfRule type="expression" dxfId="77" priority="87">
      <formula>OR(IF(DP17&lt;DQ17,TRUE),IF(AND(DQ17="",DP17&lt;&gt;""),TRUE))</formula>
    </cfRule>
    <cfRule type="expression" dxfId="76" priority="88">
      <formula>IF(DP17&gt;=DQ17,IF(DP17="",FALSE,TRUE))</formula>
    </cfRule>
  </conditionalFormatting>
  <conditionalFormatting sqref="DR26:DR34 DP26:DP34 DR39:DR54 DP39:DP54 DP5:DP12">
    <cfRule type="expression" dxfId="75" priority="85">
      <formula>OR(IF(DP5&lt;DQ5,TRUE),IF(AND(DQ5="",DP5&lt;&gt;""),TRUE))</formula>
    </cfRule>
    <cfRule type="expression" dxfId="74" priority="86">
      <formula>IF(DP5&gt;=DQ5,IF(DP5="",FALSE,TRUE))</formula>
    </cfRule>
  </conditionalFormatting>
  <conditionalFormatting sqref="DP15 DR15">
    <cfRule type="expression" dxfId="73" priority="83">
      <formula>OR(IF(DP15&lt;DQ15,TRUE),IF(AND(DQ15="",DP15&lt;&gt;""),TRUE))</formula>
    </cfRule>
    <cfRule type="expression" dxfId="72" priority="84">
      <formula>IF(DP15&gt;=DQ15,IF(DP15="",FALSE,TRUE))</formula>
    </cfRule>
  </conditionalFormatting>
  <conditionalFormatting sqref="DP22:DP25">
    <cfRule type="expression" dxfId="71" priority="81">
      <formula>OR(IF(DP22&lt;DQ22,TRUE),IF(AND(DQ22="",DP22&lt;&gt;""),TRUE))</formula>
    </cfRule>
    <cfRule type="expression" dxfId="70" priority="82">
      <formula>IF(DP22&gt;=DQ22,IF(DP22="",FALSE,TRUE))</formula>
    </cfRule>
  </conditionalFormatting>
  <conditionalFormatting sqref="DR22:DR25">
    <cfRule type="expression" dxfId="69" priority="79">
      <formula>OR(IF(DR22&lt;DS22,TRUE),IF(AND(DS22="",DR22&lt;&gt;""),TRUE))</formula>
    </cfRule>
    <cfRule type="expression" dxfId="68" priority="80">
      <formula>IF(DR22&gt;=DS22,IF(DR22="",FALSE,TRUE))</formula>
    </cfRule>
  </conditionalFormatting>
  <conditionalFormatting sqref="DP37:DP38">
    <cfRule type="expression" dxfId="67" priority="73">
      <formula>OR(IF(DP37&lt;DQ37,TRUE),IF(AND(DQ37="",DP37&lt;&gt;""),TRUE))</formula>
    </cfRule>
    <cfRule type="expression" dxfId="66" priority="74">
      <formula>IF(DP37&gt;=DQ37,IF(DP37="",FALSE,TRUE))</formula>
    </cfRule>
  </conditionalFormatting>
  <conditionalFormatting sqref="DR37:DR38">
    <cfRule type="expression" dxfId="65" priority="71">
      <formula>OR(IF(DR37&lt;DS37,TRUE),IF(AND(DS37="",DR37&lt;&gt;""),TRUE))</formula>
    </cfRule>
    <cfRule type="expression" dxfId="64" priority="72">
      <formula>IF(DR37&gt;=DS37,IF(DR37="",FALSE,TRUE))</formula>
    </cfRule>
  </conditionalFormatting>
  <conditionalFormatting sqref="DP16 DR16">
    <cfRule type="expression" dxfId="63" priority="69">
      <formula>OR(IF(DP16&lt;DQ16,TRUE),IF(AND(DQ16="",DP16&lt;&gt;""),TRUE))</formula>
    </cfRule>
    <cfRule type="expression" dxfId="62" priority="70">
      <formula>IF(DP16&gt;=DQ16,IF(DP16="",FALSE,TRUE))</formula>
    </cfRule>
  </conditionalFormatting>
  <conditionalFormatting sqref="DY17:DY19 DW17:DW19">
    <cfRule type="expression" dxfId="61" priority="65">
      <formula>OR(IF(DW17&lt;DX17,TRUE),IF(AND(DX17="",DW17&lt;&gt;""),TRUE))</formula>
    </cfRule>
    <cfRule type="expression" dxfId="60" priority="66">
      <formula>IF(DW17&gt;=DX17,IF(DW17="",FALSE,TRUE))</formula>
    </cfRule>
  </conditionalFormatting>
  <conditionalFormatting sqref="DY26:DY34 DW26:DW34 DY39:DY54 DW39:DW54 DW5:DW12 DY5:DY12">
    <cfRule type="expression" dxfId="59" priority="63">
      <formula>OR(IF(DW5&lt;DX5,TRUE),IF(AND(DX5="",DW5&lt;&gt;""),TRUE))</formula>
    </cfRule>
    <cfRule type="expression" dxfId="58" priority="64">
      <formula>IF(DW5&gt;=DX5,IF(DW5="",FALSE,TRUE))</formula>
    </cfRule>
  </conditionalFormatting>
  <conditionalFormatting sqref="DW15 DY15">
    <cfRule type="expression" dxfId="57" priority="61">
      <formula>OR(IF(DW15&lt;DX15,TRUE),IF(AND(DX15="",DW15&lt;&gt;""),TRUE))</formula>
    </cfRule>
    <cfRule type="expression" dxfId="56" priority="62">
      <formula>IF(DW15&gt;=DX15,IF(DW15="",FALSE,TRUE))</formula>
    </cfRule>
  </conditionalFormatting>
  <conditionalFormatting sqref="DW22:DW25">
    <cfRule type="expression" dxfId="55" priority="59">
      <formula>OR(IF(DW22&lt;DX22,TRUE),IF(AND(DX22="",DW22&lt;&gt;""),TRUE))</formula>
    </cfRule>
    <cfRule type="expression" dxfId="54" priority="60">
      <formula>IF(DW22&gt;=DX22,IF(DW22="",FALSE,TRUE))</formula>
    </cfRule>
  </conditionalFormatting>
  <conditionalFormatting sqref="DY22:DY25">
    <cfRule type="expression" dxfId="53" priority="57">
      <formula>OR(IF(DY22&lt;DZ22,TRUE),IF(AND(DZ22="",DY22&lt;&gt;""),TRUE))</formula>
    </cfRule>
    <cfRule type="expression" dxfId="52" priority="58">
      <formula>IF(DY22&gt;=DZ22,IF(DY22="",FALSE,TRUE))</formula>
    </cfRule>
  </conditionalFormatting>
  <conditionalFormatting sqref="DW37:DW38">
    <cfRule type="expression" dxfId="51" priority="51">
      <formula>OR(IF(DW37&lt;DX37,TRUE),IF(AND(DX37="",DW37&lt;&gt;""),TRUE))</formula>
    </cfRule>
    <cfRule type="expression" dxfId="50" priority="52">
      <formula>IF(DW37&gt;=DX37,IF(DW37="",FALSE,TRUE))</formula>
    </cfRule>
  </conditionalFormatting>
  <conditionalFormatting sqref="DY37:DY38">
    <cfRule type="expression" dxfId="49" priority="49">
      <formula>OR(IF(DY37&lt;DZ37,TRUE),IF(AND(DZ37="",DY37&lt;&gt;""),TRUE))</formula>
    </cfRule>
    <cfRule type="expression" dxfId="48" priority="50">
      <formula>IF(DY37&gt;=DZ37,IF(DY37="",FALSE,TRUE))</formula>
    </cfRule>
  </conditionalFormatting>
  <conditionalFormatting sqref="DW16 DY16">
    <cfRule type="expression" dxfId="47" priority="47">
      <formula>OR(IF(DW16&lt;DX16,TRUE),IF(AND(DX16="",DW16&lt;&gt;""),TRUE))</formula>
    </cfRule>
    <cfRule type="expression" dxfId="46" priority="48">
      <formula>IF(DW16&gt;=DX16,IF(DW16="",FALSE,TRUE))</formula>
    </cfRule>
  </conditionalFormatting>
  <conditionalFormatting sqref="EF17:EF19 ED17:ED19">
    <cfRule type="expression" dxfId="45" priority="43">
      <formula>OR(IF(ED17&lt;EE17,TRUE),IF(AND(EE17="",ED17&lt;&gt;""),TRUE))</formula>
    </cfRule>
    <cfRule type="expression" dxfId="44" priority="44">
      <formula>IF(ED17&gt;=EE17,IF(ED17="",FALSE,TRUE))</formula>
    </cfRule>
  </conditionalFormatting>
  <conditionalFormatting sqref="EF26:EF34 ED26:ED34 EF39:EF54 ED39:ED54 ED5:ED12 EF5:EF12">
    <cfRule type="expression" dxfId="43" priority="41">
      <formula>OR(IF(ED5&lt;EE5,TRUE),IF(AND(EE5="",ED5&lt;&gt;""),TRUE))</formula>
    </cfRule>
    <cfRule type="expression" dxfId="42" priority="42">
      <formula>IF(ED5&gt;=EE5,IF(ED5="",FALSE,TRUE))</formula>
    </cfRule>
  </conditionalFormatting>
  <conditionalFormatting sqref="ED15 EF15">
    <cfRule type="expression" dxfId="41" priority="39">
      <formula>OR(IF(ED15&lt;EE15,TRUE),IF(AND(EE15="",ED15&lt;&gt;""),TRUE))</formula>
    </cfRule>
    <cfRule type="expression" dxfId="40" priority="40">
      <formula>IF(ED15&gt;=EE15,IF(ED15="",FALSE,TRUE))</formula>
    </cfRule>
  </conditionalFormatting>
  <conditionalFormatting sqref="ED22:ED25">
    <cfRule type="expression" dxfId="39" priority="37">
      <formula>OR(IF(ED22&lt;EE22,TRUE),IF(AND(EE22="",ED22&lt;&gt;""),TRUE))</formula>
    </cfRule>
    <cfRule type="expression" dxfId="38" priority="38">
      <formula>IF(ED22&gt;=EE22,IF(ED22="",FALSE,TRUE))</formula>
    </cfRule>
  </conditionalFormatting>
  <conditionalFormatting sqref="EF22:EF25">
    <cfRule type="expression" dxfId="37" priority="35">
      <formula>OR(IF(EF22&lt;EG22,TRUE),IF(AND(EG22="",EF22&lt;&gt;""),TRUE))</formula>
    </cfRule>
    <cfRule type="expression" dxfId="36" priority="36">
      <formula>IF(EF22&gt;=EG22,IF(EF22="",FALSE,TRUE))</formula>
    </cfRule>
  </conditionalFormatting>
  <conditionalFormatting sqref="ED37:ED38">
    <cfRule type="expression" dxfId="35" priority="29">
      <formula>OR(IF(ED37&lt;EE37,TRUE),IF(AND(EE37="",ED37&lt;&gt;""),TRUE))</formula>
    </cfRule>
    <cfRule type="expression" dxfId="34" priority="30">
      <formula>IF(ED37&gt;=EE37,IF(ED37="",FALSE,TRUE))</formula>
    </cfRule>
  </conditionalFormatting>
  <conditionalFormatting sqref="EF37:EF38">
    <cfRule type="expression" dxfId="33" priority="27">
      <formula>OR(IF(EF37&lt;EG37,TRUE),IF(AND(EG37="",EF37&lt;&gt;""),TRUE))</formula>
    </cfRule>
    <cfRule type="expression" dxfId="32" priority="28">
      <formula>IF(EF37&gt;=EG37,IF(EF37="",FALSE,TRUE))</formula>
    </cfRule>
  </conditionalFormatting>
  <conditionalFormatting sqref="ED16 EF16">
    <cfRule type="expression" dxfId="31" priority="25">
      <formula>OR(IF(ED16&lt;EE16,TRUE),IF(AND(EE16="",ED16&lt;&gt;""),TRUE))</formula>
    </cfRule>
    <cfRule type="expression" dxfId="30" priority="26">
      <formula>IF(ED16&gt;=EE16,IF(ED16="",FALSE,TRUE))</formula>
    </cfRule>
  </conditionalFormatting>
  <conditionalFormatting sqref="EM17:EM19 EK17:EK19">
    <cfRule type="expression" dxfId="29" priority="21">
      <formula>OR(IF(EK17&lt;EL17,TRUE),IF(AND(EL17="",EK17&lt;&gt;""),TRUE))</formula>
    </cfRule>
    <cfRule type="expression" dxfId="28" priority="22">
      <formula>IF(EK17&gt;=EL17,IF(EK17="",FALSE,TRUE))</formula>
    </cfRule>
  </conditionalFormatting>
  <conditionalFormatting sqref="EM26:EM34 EK26:EK34 EM39:EM54 EK39:EK54 EK5:EK12 EM5:EM12">
    <cfRule type="expression" dxfId="27" priority="19">
      <formula>OR(IF(EK5&lt;EL5,TRUE),IF(AND(EL5="",EK5&lt;&gt;""),TRUE))</formula>
    </cfRule>
    <cfRule type="expression" dxfId="26" priority="20">
      <formula>IF(EK5&gt;=EL5,IF(EK5="",FALSE,TRUE))</formula>
    </cfRule>
  </conditionalFormatting>
  <conditionalFormatting sqref="EK15 EM15">
    <cfRule type="expression" dxfId="25" priority="17">
      <formula>OR(IF(EK15&lt;EL15,TRUE),IF(AND(EL15="",EK15&lt;&gt;""),TRUE))</formula>
    </cfRule>
    <cfRule type="expression" dxfId="24" priority="18">
      <formula>IF(EK15&gt;=EL15,IF(EK15="",FALSE,TRUE))</formula>
    </cfRule>
  </conditionalFormatting>
  <conditionalFormatting sqref="EK22:EK25">
    <cfRule type="expression" dxfId="23" priority="15">
      <formula>OR(IF(EK22&lt;EL22,TRUE),IF(AND(EL22="",EK22&lt;&gt;""),TRUE))</formula>
    </cfRule>
    <cfRule type="expression" dxfId="22" priority="16">
      <formula>IF(EK22&gt;=EL22,IF(EK22="",FALSE,TRUE))</formula>
    </cfRule>
  </conditionalFormatting>
  <conditionalFormatting sqref="EM22:EM25">
    <cfRule type="expression" dxfId="21" priority="13">
      <formula>OR(IF(EM22&lt;EN22,TRUE),IF(AND(EN22="",EM22&lt;&gt;""),TRUE))</formula>
    </cfRule>
    <cfRule type="expression" dxfId="20" priority="14">
      <formula>IF(EM22&gt;=EN22,IF(EM22="",FALSE,TRUE))</formula>
    </cfRule>
  </conditionalFormatting>
  <conditionalFormatting sqref="EK37:EK38">
    <cfRule type="expression" dxfId="19" priority="7">
      <formula>OR(IF(EK37&lt;EL37,TRUE),IF(AND(EL37="",EK37&lt;&gt;""),TRUE))</formula>
    </cfRule>
    <cfRule type="expression" dxfId="18" priority="8">
      <formula>IF(EK37&gt;=EL37,IF(EK37="",FALSE,TRUE))</formula>
    </cfRule>
  </conditionalFormatting>
  <conditionalFormatting sqref="EM37:EM38">
    <cfRule type="expression" dxfId="17" priority="5">
      <formula>OR(IF(EM37&lt;EN37,TRUE),IF(AND(EN37="",EM37&lt;&gt;""),TRUE))</formula>
    </cfRule>
    <cfRule type="expression" dxfId="16" priority="6">
      <formula>IF(EM37&gt;=EN37,IF(EM37="",FALSE,TRUE))</formula>
    </cfRule>
  </conditionalFormatting>
  <conditionalFormatting sqref="EK16 EM16">
    <cfRule type="expression" dxfId="15" priority="3">
      <formula>OR(IF(EK16&lt;EL16,TRUE),IF(AND(EL16="",EK16&lt;&gt;""),TRUE))</formula>
    </cfRule>
    <cfRule type="expression" dxfId="14" priority="4">
      <formula>IF(EK16&gt;=EL16,IF(EK16="",FALSE,TRUE))</formula>
    </cfRule>
  </conditionalFormatting>
  <conditionalFormatting sqref="DR8 DD6">
    <cfRule type="expression" dxfId="13" priority="922">
      <formula>OR(IF(DD6&lt;DE5,TRUE),IF(AND(DE5="",DD6&lt;&gt;""),TRUE))</formula>
    </cfRule>
    <cfRule type="expression" dxfId="12" priority="923">
      <formula>IF(DD6&gt;=DE5,IF(DD6="",FALSE,TRUE))</formula>
    </cfRule>
  </conditionalFormatting>
  <conditionalFormatting sqref="J17:K19">
    <cfRule type="colorScale" priority="924">
      <colorScale>
        <cfvo type="percent" val="0"/>
        <cfvo type="percent" val="100"/>
        <color rgb="FFFF231B"/>
        <color rgb="FF10FF07"/>
      </colorScale>
    </cfRule>
  </conditionalFormatting>
  <conditionalFormatting sqref="J17:J19 J15">
    <cfRule type="colorScale" priority="925">
      <colorScale>
        <cfvo type="percent" val="0"/>
        <cfvo type="percent" val="100"/>
        <color rgb="FFFF231B"/>
        <color rgb="FF10FF07"/>
      </colorScale>
    </cfRule>
  </conditionalFormatting>
  <conditionalFormatting sqref="K17:K19 K15">
    <cfRule type="colorScale" priority="927">
      <colorScale>
        <cfvo type="percent" val="0"/>
        <cfvo type="percent" val="100"/>
        <color rgb="FFFF231B"/>
        <color rgb="FF10FF07"/>
      </colorScale>
    </cfRule>
  </conditionalFormatting>
  <dataValidations count="1">
    <dataValidation type="list" allowBlank="1" showInputMessage="1" showErrorMessage="1" sqref="V15:Y19 BL22:BO34 O22:R34 AX22:BA34 AQ22:AT34 AJ22:AM34 AC22:AF34 V22:Y34 BS22:BV34 BZ22:CC34 BE22:BH34 CG22:CJ34 CN22:CQ34 CU22:CX34 DI37:DL54 CU37:CX54 CN37:CQ54 CG37:CJ54 BZ37:CC54 BS37:BV54 V37:Y54 AC37:AF54 AJ37:AM54 AQ37:AT54 BE37:BH54 AX37:BA54 O37:R54 BL37:BO54 V5:Y12 AC5:AF12 AJ5:AM12 AQ5:AT12 AX5:BA12 BE5:BH12 BL5:BO12 DB6:DD12 BZ5:CC12 BS5:BV12 CG5:CJ12 CN5:CQ12 CU5:CX12 DJ5:DL12 O5:R12 DP8:DS12 DP22:DS34 DP37:DS54 DW22:DZ34 DW37:DZ54 DW5:DZ12 ED22:EG34 ED37:EG54 ED5:EG12 EK22:EN34 EK37:EN54 EK5:EN12 DS7 DP5:DS6 DP7:DQ7 DI10:DI12 DE5:DE12 DB5:DC5 DI22:DL34 DI5:DI8 DB37:DE54 EK15:EN19 ED15:EG19 DW15:DZ19 DP15:DS19 DI15:DL19 AC15:AF19 AJ15:AM19 AQ15:AT19 AX15:BA19 BE15:BH19 BL15:BO19 BS15:BV19 CG15:CJ19 CN15:CQ19 CU15:CX19 DB15:DE19 O15:R19 BZ15:CC19 DB22:DE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2022-10-11T16:36:20Z</dcterms:modified>
</cp:coreProperties>
</file>