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gerweishaupt/Desktop/"/>
    </mc:Choice>
  </mc:AlternateContent>
  <xr:revisionPtr revIDLastSave="0" documentId="13_ncr:1_{BD0F8B3E-DF43-9B46-991A-2712F77F0A9C}" xr6:coauthVersionLast="47" xr6:coauthVersionMax="47" xr10:uidLastSave="{00000000-0000-0000-0000-000000000000}"/>
  <bookViews>
    <workbookView xWindow="-20" yWindow="500" windowWidth="25600" windowHeight="14420" xr2:uid="{6AF57804-DDBA-B749-AEEA-BAB49592DC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J4" i="1"/>
  <c r="J3" i="1"/>
  <c r="J2" i="1"/>
  <c r="I8" i="1"/>
  <c r="I7" i="1"/>
  <c r="I6" i="1"/>
  <c r="I5" i="1"/>
  <c r="I4" i="1"/>
  <c r="I3" i="1"/>
  <c r="I2" i="1"/>
  <c r="H3" i="1"/>
  <c r="H2" i="1"/>
  <c r="H8" i="1"/>
  <c r="H7" i="1"/>
  <c r="H6" i="1"/>
  <c r="H5" i="1"/>
  <c r="H4" i="1"/>
  <c r="E2" i="1"/>
  <c r="P28" i="1"/>
  <c r="P32" i="1" s="1"/>
  <c r="Q31" i="1"/>
  <c r="Q30" i="1"/>
  <c r="Q29" i="1"/>
  <c r="Q28" i="1"/>
  <c r="Q27" i="1"/>
  <c r="Q26" i="1"/>
  <c r="Q25" i="1"/>
  <c r="P33" i="1"/>
  <c r="O32" i="1"/>
  <c r="O34" i="1" s="1"/>
  <c r="L32" i="1"/>
  <c r="L34" i="1" s="1"/>
  <c r="M32" i="1"/>
  <c r="M34" i="1" s="1"/>
  <c r="N32" i="1"/>
  <c r="N34" i="1" s="1"/>
  <c r="K32" i="1"/>
  <c r="K34" i="1" s="1"/>
  <c r="I33" i="1"/>
  <c r="E34" i="1"/>
  <c r="C32" i="1"/>
  <c r="C34" i="1" s="1"/>
  <c r="D32" i="1"/>
  <c r="D34" i="1" s="1"/>
  <c r="E32" i="1"/>
  <c r="F32" i="1"/>
  <c r="F34" i="1" s="1"/>
  <c r="G32" i="1"/>
  <c r="G34" i="1" s="1"/>
  <c r="H32" i="1"/>
  <c r="H34" i="1" s="1"/>
  <c r="B32" i="1"/>
  <c r="B34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C8" i="1"/>
  <c r="C7" i="1"/>
  <c r="C6" i="1"/>
  <c r="C5" i="1"/>
  <c r="C4" i="1"/>
  <c r="C3" i="1"/>
  <c r="C2" i="1"/>
  <c r="P26" i="1"/>
  <c r="P27" i="1"/>
  <c r="P29" i="1"/>
  <c r="P30" i="1"/>
  <c r="P31" i="1"/>
  <c r="P25" i="1"/>
  <c r="I26" i="1"/>
  <c r="I27" i="1"/>
  <c r="I28" i="1"/>
  <c r="I29" i="1"/>
  <c r="I30" i="1"/>
  <c r="I31" i="1"/>
  <c r="I25" i="1"/>
  <c r="P34" i="1" l="1"/>
  <c r="I32" i="1"/>
  <c r="S30" i="1" s="1"/>
  <c r="B9" i="1"/>
  <c r="I34" i="1" l="1"/>
  <c r="S29" i="1" s="1"/>
  <c r="Q4" i="1"/>
  <c r="Q6" i="1" s="1"/>
  <c r="P4" i="1"/>
  <c r="P6" i="1" s="1"/>
  <c r="G9" i="1"/>
  <c r="G11" i="1" s="1"/>
  <c r="B11" i="1"/>
  <c r="S31" i="1" l="1"/>
  <c r="T31" i="1" s="1"/>
  <c r="T30" i="1"/>
</calcChain>
</file>

<file path=xl/sharedStrings.xml><?xml version="1.0" encoding="utf-8"?>
<sst xmlns="http://schemas.openxmlformats.org/spreadsheetml/2006/main" count="34" uniqueCount="26">
  <si>
    <t>M/O</t>
  </si>
  <si>
    <t>Summe</t>
  </si>
  <si>
    <t>IntBusMgmt</t>
  </si>
  <si>
    <t>Woche</t>
  </si>
  <si>
    <t>Karten pro Tag</t>
  </si>
  <si>
    <t>oder</t>
  </si>
  <si>
    <t>Kapitel</t>
  </si>
  <si>
    <t>LvlUp</t>
  </si>
  <si>
    <t>LvlUp insgesamt</t>
  </si>
  <si>
    <t>LvlUp pro Tag</t>
  </si>
  <si>
    <t>Mo</t>
  </si>
  <si>
    <t>Di</t>
  </si>
  <si>
    <t>Mi</t>
  </si>
  <si>
    <t>Do</t>
  </si>
  <si>
    <t>Fr</t>
  </si>
  <si>
    <t>Sa</t>
  </si>
  <si>
    <t>So</t>
  </si>
  <si>
    <t>Stapel</t>
  </si>
  <si>
    <t>insg</t>
  </si>
  <si>
    <t>s</t>
  </si>
  <si>
    <t>missing</t>
  </si>
  <si>
    <t>need</t>
  </si>
  <si>
    <t>total learned</t>
  </si>
  <si>
    <t>left at 80</t>
  </si>
  <si>
    <t>all to learn</t>
  </si>
  <si>
    <t>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</si>
</sst>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4" borderId="0" xfId="0" applyFill="1"/>
    <xf numFmtId="0" fontId="0" fillId="3" borderId="2" xfId="0" applyFill="1" applyBorder="1"/>
    <xf numFmtId="0" fontId="0" fillId="3" borderId="4" xfId="0" applyFill="1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5" borderId="0" xfId="0" applyFill="1"/>
    <xf numFmtId="9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0861-5F2F-C444-B9CB-5248E15D1691}">
  <dimension ref="A1:T39"/>
  <sheetViews>
    <sheetView tabSelected="1" zoomScale="87" workbookViewId="0">
      <selection activeCell="F29" sqref="F29"/>
    </sheetView>
  </sheetViews>
  <sheetFormatPr baseColWidth="10" defaultRowHeight="16" x14ac:dyDescent="0.2"/>
  <cols>
    <col min="1" max="1" width="13.1640625" bestFit="1" customWidth="1"/>
    <col min="6" max="6" width="14.6640625" bestFit="1" customWidth="1"/>
  </cols>
  <sheetData>
    <row r="1" spans="1:17" x14ac:dyDescent="0.2">
      <c r="B1" s="7" t="s">
        <v>0</v>
      </c>
      <c r="C1" s="8">
        <v>0.5</v>
      </c>
      <c r="D1" s="8">
        <v>0.8</v>
      </c>
      <c r="E1" s="7" t="s">
        <v>23</v>
      </c>
      <c r="G1" s="7" t="s">
        <v>2</v>
      </c>
      <c r="H1" s="8">
        <v>0.5</v>
      </c>
      <c r="I1" s="8">
        <v>0.8</v>
      </c>
      <c r="J1" s="7" t="s">
        <v>23</v>
      </c>
      <c r="N1" t="s">
        <v>5</v>
      </c>
      <c r="P1" t="s">
        <v>0</v>
      </c>
      <c r="Q1" t="s">
        <v>2</v>
      </c>
    </row>
    <row r="2" spans="1:17" x14ac:dyDescent="0.2">
      <c r="B2" s="1">
        <v>55</v>
      </c>
      <c r="C2">
        <f>B2*C1</f>
        <v>27.5</v>
      </c>
      <c r="D2">
        <f>B2*D1</f>
        <v>44</v>
      </c>
      <c r="E2">
        <f>B2-D2</f>
        <v>11</v>
      </c>
      <c r="G2" s="1">
        <v>6</v>
      </c>
      <c r="H2">
        <f>G2*H1</f>
        <v>3</v>
      </c>
      <c r="I2">
        <f>G2*I1</f>
        <v>4.8000000000000007</v>
      </c>
      <c r="J2">
        <f>G2-I2</f>
        <v>1.1999999999999993</v>
      </c>
      <c r="O2" t="s">
        <v>6</v>
      </c>
      <c r="P2">
        <v>7</v>
      </c>
      <c r="Q2">
        <v>4</v>
      </c>
    </row>
    <row r="3" spans="1:17" x14ac:dyDescent="0.2">
      <c r="B3" s="1">
        <v>34</v>
      </c>
      <c r="C3">
        <f>B3*C1</f>
        <v>17</v>
      </c>
      <c r="D3">
        <f>B3*D1</f>
        <v>27.200000000000003</v>
      </c>
      <c r="E3">
        <f t="shared" ref="E3:E8" si="0">B3-D3</f>
        <v>6.7999999999999972</v>
      </c>
      <c r="G3" s="1">
        <v>18</v>
      </c>
      <c r="H3">
        <f>G3*H1</f>
        <v>9</v>
      </c>
      <c r="I3">
        <f>G3*I1</f>
        <v>14.4</v>
      </c>
      <c r="J3">
        <f t="shared" ref="J3:J8" si="1">G3-I3</f>
        <v>3.5999999999999996</v>
      </c>
      <c r="O3" t="s">
        <v>7</v>
      </c>
      <c r="P3">
        <v>3</v>
      </c>
      <c r="Q3">
        <v>3</v>
      </c>
    </row>
    <row r="4" spans="1:17" x14ac:dyDescent="0.2">
      <c r="B4" s="1">
        <v>33</v>
      </c>
      <c r="C4">
        <f>B4*C1</f>
        <v>16.5</v>
      </c>
      <c r="D4">
        <f>B4*D1</f>
        <v>26.400000000000002</v>
      </c>
      <c r="E4">
        <f t="shared" si="0"/>
        <v>6.5999999999999979</v>
      </c>
      <c r="G4" s="1">
        <v>19</v>
      </c>
      <c r="H4">
        <f>G4*H1</f>
        <v>9.5</v>
      </c>
      <c r="I4">
        <f>G4*I1</f>
        <v>15.200000000000001</v>
      </c>
      <c r="J4">
        <f t="shared" si="1"/>
        <v>3.7999999999999989</v>
      </c>
      <c r="O4" t="s">
        <v>8</v>
      </c>
      <c r="P4">
        <f>P2*P3</f>
        <v>21</v>
      </c>
      <c r="Q4">
        <f>Q2*Q3</f>
        <v>12</v>
      </c>
    </row>
    <row r="5" spans="1:17" x14ac:dyDescent="0.2">
      <c r="B5" s="1">
        <v>13</v>
      </c>
      <c r="C5">
        <f>B5*C1</f>
        <v>6.5</v>
      </c>
      <c r="D5">
        <f>B5*D1</f>
        <v>10.4</v>
      </c>
      <c r="E5">
        <f t="shared" si="0"/>
        <v>2.5999999999999996</v>
      </c>
      <c r="G5" s="1">
        <v>17</v>
      </c>
      <c r="H5">
        <f>G5*H1</f>
        <v>8.5</v>
      </c>
      <c r="I5">
        <f>G5*I1</f>
        <v>13.600000000000001</v>
      </c>
      <c r="J5">
        <f t="shared" si="1"/>
        <v>3.3999999999999986</v>
      </c>
      <c r="O5" t="s">
        <v>3</v>
      </c>
      <c r="P5">
        <v>7</v>
      </c>
      <c r="Q5">
        <v>7</v>
      </c>
    </row>
    <row r="6" spans="1:17" x14ac:dyDescent="0.2">
      <c r="B6" s="1">
        <v>20</v>
      </c>
      <c r="C6">
        <f>B6*C1</f>
        <v>10</v>
      </c>
      <c r="D6">
        <f>B6*D1</f>
        <v>16</v>
      </c>
      <c r="E6">
        <f t="shared" si="0"/>
        <v>4</v>
      </c>
      <c r="G6" s="1">
        <v>10</v>
      </c>
      <c r="H6">
        <f>G6*H1</f>
        <v>5</v>
      </c>
      <c r="I6">
        <f>G6*I1</f>
        <v>8</v>
      </c>
      <c r="J6">
        <f t="shared" si="1"/>
        <v>2</v>
      </c>
      <c r="O6" t="s">
        <v>9</v>
      </c>
      <c r="P6">
        <f>P4/P5</f>
        <v>3</v>
      </c>
      <c r="Q6">
        <f>Q4/Q5</f>
        <v>1.7142857142857142</v>
      </c>
    </row>
    <row r="7" spans="1:17" x14ac:dyDescent="0.2">
      <c r="B7" s="1">
        <v>18</v>
      </c>
      <c r="C7">
        <f>B7*C1</f>
        <v>9</v>
      </c>
      <c r="D7">
        <f>B7*D1</f>
        <v>14.4</v>
      </c>
      <c r="E7">
        <f t="shared" si="0"/>
        <v>3.5999999999999996</v>
      </c>
      <c r="G7" s="1"/>
      <c r="H7">
        <f>G7*H1</f>
        <v>0</v>
      </c>
      <c r="I7">
        <f>G7*I1</f>
        <v>0</v>
      </c>
      <c r="J7">
        <f t="shared" si="1"/>
        <v>0</v>
      </c>
    </row>
    <row r="8" spans="1:17" x14ac:dyDescent="0.2">
      <c r="B8" s="1">
        <v>33</v>
      </c>
      <c r="C8">
        <f>B8*C1</f>
        <v>16.5</v>
      </c>
      <c r="D8">
        <f>B8*D1</f>
        <v>26.400000000000002</v>
      </c>
      <c r="E8">
        <f t="shared" si="0"/>
        <v>6.5999999999999979</v>
      </c>
      <c r="G8" s="1"/>
      <c r="H8">
        <f>G8*H1</f>
        <v>0</v>
      </c>
      <c r="I8">
        <f>G8*I1</f>
        <v>0</v>
      </c>
      <c r="J8">
        <f t="shared" si="1"/>
        <v>0</v>
      </c>
    </row>
    <row r="9" spans="1:17" x14ac:dyDescent="0.2">
      <c r="A9" t="s">
        <v>1</v>
      </c>
      <c r="B9" s="1">
        <f>SUM(B2:B8)</f>
        <v>206</v>
      </c>
      <c r="G9" s="1">
        <f>SUM(G2:G7)</f>
        <v>70</v>
      </c>
    </row>
    <row r="10" spans="1:17" x14ac:dyDescent="0.2">
      <c r="A10" t="s">
        <v>3</v>
      </c>
      <c r="B10" s="1">
        <v>7</v>
      </c>
      <c r="G10" s="1">
        <v>7</v>
      </c>
    </row>
    <row r="11" spans="1:17" x14ac:dyDescent="0.2">
      <c r="A11" t="s">
        <v>4</v>
      </c>
      <c r="B11" s="1">
        <f>B9/B10</f>
        <v>29.428571428571427</v>
      </c>
      <c r="G11" s="1">
        <f>G9/G10</f>
        <v>10</v>
      </c>
    </row>
    <row r="17" spans="1:20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22" spans="1:20" x14ac:dyDescent="0.2">
      <c r="I22">
        <v>29.5</v>
      </c>
      <c r="P22">
        <v>10</v>
      </c>
    </row>
    <row r="23" spans="1:20" x14ac:dyDescent="0.2">
      <c r="B23" s="13" t="s">
        <v>0</v>
      </c>
      <c r="C23" s="13"/>
      <c r="D23" s="13"/>
      <c r="E23" s="13"/>
      <c r="F23" s="13"/>
      <c r="G23" s="13"/>
      <c r="H23" s="13"/>
      <c r="I23" s="13"/>
      <c r="K23" s="14" t="s">
        <v>2</v>
      </c>
      <c r="L23" s="14"/>
      <c r="M23" s="14"/>
      <c r="N23" s="14"/>
      <c r="O23" s="14"/>
      <c r="P23" s="14"/>
    </row>
    <row r="24" spans="1:20" ht="17" thickBot="1" x14ac:dyDescent="0.25">
      <c r="A24" t="s">
        <v>17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3" t="s">
        <v>18</v>
      </c>
      <c r="K24" s="2">
        <v>1</v>
      </c>
      <c r="L24" s="2">
        <v>2</v>
      </c>
      <c r="M24" s="2">
        <v>3</v>
      </c>
      <c r="N24" s="2">
        <v>4</v>
      </c>
      <c r="O24" s="2">
        <v>5</v>
      </c>
      <c r="P24" s="3" t="s">
        <v>18</v>
      </c>
    </row>
    <row r="25" spans="1:20" x14ac:dyDescent="0.2">
      <c r="A25" s="1" t="s">
        <v>10</v>
      </c>
      <c r="B25">
        <v>27</v>
      </c>
      <c r="I25" s="4">
        <f>SUM(B25:H25)</f>
        <v>27</v>
      </c>
      <c r="K25">
        <v>3</v>
      </c>
      <c r="P25" s="4">
        <f t="shared" ref="P25:P31" si="2">SUM(K25:N25)</f>
        <v>3</v>
      </c>
      <c r="Q25" s="15">
        <f>1/7</f>
        <v>0.14285714285714285</v>
      </c>
    </row>
    <row r="26" spans="1:20" x14ac:dyDescent="0.2">
      <c r="A26" s="1" t="s">
        <v>11</v>
      </c>
      <c r="C26">
        <v>17</v>
      </c>
      <c r="D26">
        <v>17</v>
      </c>
      <c r="E26">
        <v>7</v>
      </c>
      <c r="I26" s="4">
        <f t="shared" ref="I26:I31" si="3">SUM(B26:H26)</f>
        <v>41</v>
      </c>
      <c r="P26" s="4">
        <f t="shared" si="2"/>
        <v>0</v>
      </c>
      <c r="Q26" s="15">
        <f>2/7</f>
        <v>0.2857142857142857</v>
      </c>
    </row>
    <row r="27" spans="1:20" x14ac:dyDescent="0.2">
      <c r="A27" s="1" t="s">
        <v>12</v>
      </c>
      <c r="B27">
        <v>17</v>
      </c>
      <c r="C27">
        <v>10</v>
      </c>
      <c r="F27">
        <v>10</v>
      </c>
      <c r="G27">
        <v>9</v>
      </c>
      <c r="H27">
        <v>16</v>
      </c>
      <c r="I27" s="4">
        <f t="shared" si="3"/>
        <v>62</v>
      </c>
      <c r="P27" s="4">
        <f t="shared" si="2"/>
        <v>0</v>
      </c>
      <c r="Q27" s="15">
        <f>3/7</f>
        <v>0.42857142857142855</v>
      </c>
    </row>
    <row r="28" spans="1:20" x14ac:dyDescent="0.2">
      <c r="A28" s="1" t="s">
        <v>13</v>
      </c>
      <c r="D28">
        <v>9</v>
      </c>
      <c r="E28">
        <v>3</v>
      </c>
      <c r="F28">
        <v>6</v>
      </c>
      <c r="I28" s="4">
        <f t="shared" si="3"/>
        <v>18</v>
      </c>
      <c r="K28">
        <v>2</v>
      </c>
      <c r="L28">
        <v>9</v>
      </c>
      <c r="M28">
        <v>9</v>
      </c>
      <c r="N28">
        <v>8</v>
      </c>
      <c r="O28">
        <v>5</v>
      </c>
      <c r="P28" s="4">
        <f>SUM(K28:O28)</f>
        <v>33</v>
      </c>
      <c r="Q28" s="15">
        <f>4/7</f>
        <v>0.5714285714285714</v>
      </c>
    </row>
    <row r="29" spans="1:20" x14ac:dyDescent="0.2">
      <c r="A29" s="1" t="s">
        <v>14</v>
      </c>
      <c r="I29" s="4">
        <f t="shared" si="3"/>
        <v>0</v>
      </c>
      <c r="P29" s="4">
        <f t="shared" si="2"/>
        <v>0</v>
      </c>
      <c r="Q29" s="15">
        <f>5/7</f>
        <v>0.7142857142857143</v>
      </c>
      <c r="R29" s="11" t="s">
        <v>24</v>
      </c>
      <c r="S29" s="10">
        <f>SUM(I32+I34+P32+P34)</f>
        <v>276</v>
      </c>
      <c r="T29" s="15">
        <v>1</v>
      </c>
    </row>
    <row r="30" spans="1:20" x14ac:dyDescent="0.2">
      <c r="A30" s="1" t="s">
        <v>15</v>
      </c>
      <c r="I30" s="4">
        <f t="shared" si="3"/>
        <v>0</v>
      </c>
      <c r="P30" s="4">
        <f t="shared" si="2"/>
        <v>0</v>
      </c>
      <c r="Q30" s="15">
        <f>6/7</f>
        <v>0.8571428571428571</v>
      </c>
      <c r="R30" s="11" t="s">
        <v>25</v>
      </c>
      <c r="S30" s="10">
        <f>SUM(I32+P32)</f>
        <v>184</v>
      </c>
      <c r="T30" s="15">
        <f>S30/S29</f>
        <v>0.66666666666666663</v>
      </c>
    </row>
    <row r="31" spans="1:20" x14ac:dyDescent="0.2">
      <c r="A31" s="1" t="s">
        <v>16</v>
      </c>
      <c r="I31" s="4">
        <f t="shared" si="3"/>
        <v>0</v>
      </c>
      <c r="P31" s="4">
        <f t="shared" si="2"/>
        <v>0</v>
      </c>
      <c r="Q31" s="15">
        <f>7/7</f>
        <v>1</v>
      </c>
      <c r="R31" s="11" t="s">
        <v>20</v>
      </c>
      <c r="S31" s="9">
        <f>S29-S30</f>
        <v>92</v>
      </c>
      <c r="T31" s="15">
        <f>S31/S29</f>
        <v>0.33333333333333331</v>
      </c>
    </row>
    <row r="32" spans="1:20" x14ac:dyDescent="0.2">
      <c r="A32" s="5" t="s">
        <v>22</v>
      </c>
      <c r="B32" s="5">
        <f>SUM(B25:B31)</f>
        <v>44</v>
      </c>
      <c r="C32" s="5">
        <f t="shared" ref="C32:H32" si="4">SUM(C25:C31)</f>
        <v>27</v>
      </c>
      <c r="D32" s="5">
        <f t="shared" si="4"/>
        <v>26</v>
      </c>
      <c r="E32" s="5">
        <f t="shared" si="4"/>
        <v>10</v>
      </c>
      <c r="F32" s="5">
        <f t="shared" si="4"/>
        <v>16</v>
      </c>
      <c r="G32" s="5">
        <f t="shared" si="4"/>
        <v>9</v>
      </c>
      <c r="H32" s="5">
        <f t="shared" si="4"/>
        <v>16</v>
      </c>
      <c r="I32" s="6">
        <f>SUM(I25:I31)</f>
        <v>148</v>
      </c>
      <c r="K32" s="5">
        <f>SUM(K25:K31)</f>
        <v>5</v>
      </c>
      <c r="L32" s="5">
        <f t="shared" ref="L32:N32" si="5">SUM(L25:L31)</f>
        <v>9</v>
      </c>
      <c r="M32" s="5">
        <f t="shared" si="5"/>
        <v>9</v>
      </c>
      <c r="N32" s="5">
        <f t="shared" si="5"/>
        <v>8</v>
      </c>
      <c r="O32" s="5">
        <f>SUM(O25:O31)</f>
        <v>5</v>
      </c>
      <c r="P32" s="6">
        <f>SUM(P25:P31)</f>
        <v>36</v>
      </c>
    </row>
    <row r="33" spans="1:16" hidden="1" x14ac:dyDescent="0.2">
      <c r="A33" s="1" t="s">
        <v>21</v>
      </c>
      <c r="B33">
        <v>55</v>
      </c>
      <c r="C33">
        <v>34</v>
      </c>
      <c r="D33">
        <v>33</v>
      </c>
      <c r="E33">
        <v>13</v>
      </c>
      <c r="F33">
        <v>20</v>
      </c>
      <c r="G33">
        <v>18</v>
      </c>
      <c r="H33">
        <v>33</v>
      </c>
      <c r="I33" s="4">
        <f>SUM(B33:H33)</f>
        <v>206</v>
      </c>
      <c r="K33">
        <v>6</v>
      </c>
      <c r="L33">
        <v>18</v>
      </c>
      <c r="M33">
        <v>19</v>
      </c>
      <c r="N33">
        <v>17</v>
      </c>
      <c r="O33">
        <v>10</v>
      </c>
      <c r="P33" s="4">
        <f>SUM(K33:O33)</f>
        <v>70</v>
      </c>
    </row>
    <row r="34" spans="1:16" x14ac:dyDescent="0.2">
      <c r="A34" s="9" t="s">
        <v>20</v>
      </c>
      <c r="B34" s="9">
        <f>B33-B32</f>
        <v>11</v>
      </c>
      <c r="C34" s="9">
        <f t="shared" ref="C34:I34" si="6">C33-C32</f>
        <v>7</v>
      </c>
      <c r="D34" s="9">
        <f t="shared" si="6"/>
        <v>7</v>
      </c>
      <c r="E34" s="9">
        <f t="shared" si="6"/>
        <v>3</v>
      </c>
      <c r="F34" s="9">
        <f t="shared" si="6"/>
        <v>4</v>
      </c>
      <c r="G34" s="9">
        <f t="shared" si="6"/>
        <v>9</v>
      </c>
      <c r="H34" s="9">
        <f t="shared" si="6"/>
        <v>17</v>
      </c>
      <c r="I34" s="9">
        <f t="shared" si="6"/>
        <v>58</v>
      </c>
      <c r="K34" s="9">
        <f>K33-K32</f>
        <v>1</v>
      </c>
      <c r="L34" s="9">
        <f t="shared" ref="L34:N34" si="7">L33-L32</f>
        <v>9</v>
      </c>
      <c r="M34" s="9">
        <f t="shared" si="7"/>
        <v>10</v>
      </c>
      <c r="N34" s="9">
        <f t="shared" si="7"/>
        <v>9</v>
      </c>
      <c r="O34" s="9">
        <f>O33-O32</f>
        <v>5</v>
      </c>
      <c r="P34" s="9">
        <f>P33-P32</f>
        <v>34</v>
      </c>
    </row>
    <row r="39" spans="1:16" x14ac:dyDescent="0.2">
      <c r="J39" t="s">
        <v>19</v>
      </c>
    </row>
  </sheetData>
  <mergeCells count="2">
    <mergeCell ref="B23:I23"/>
    <mergeCell ref="K23:P2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Holger Weishaupt</dc:creator>
  <cp:lastModifiedBy>Holger Weishaupt</cp:lastModifiedBy>
  <dcterms:created xsi:type="dcterms:W3CDTF">2023-09-18T06:53:33Z</dcterms:created>
  <dcterms:modified xsi:type="dcterms:W3CDTF">2023-09-21T12:52:57Z</dcterms:modified>
</cp:coreProperties>
</file>