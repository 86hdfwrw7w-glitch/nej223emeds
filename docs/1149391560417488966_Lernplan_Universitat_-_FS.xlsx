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daviddobele/Downloads/"/>
    </mc:Choice>
  </mc:AlternateContent>
  <xr:revisionPtr revIDLastSave="0" documentId="8_{27EE159D-53DE-A048-9855-2829EECD6F09}" xr6:coauthVersionLast="47" xr6:coauthVersionMax="47" xr10:uidLastSave="{00000000-0000-0000-0000-000000000000}"/>
  <bookViews>
    <workbookView xWindow="0" yWindow="500" windowWidth="35840" windowHeight="2190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W4" i="7" l="1"/>
  <c r="DO4" i="7"/>
  <c r="DH4" i="7"/>
  <c r="K66" i="7" a="1"/>
  <c r="K66" i="7" s="1"/>
  <c r="J66" i="7" a="1"/>
  <c r="J66" i="7" s="1"/>
  <c r="I66" i="7"/>
  <c r="K65" i="7" a="1"/>
  <c r="K65" i="7" s="1"/>
  <c r="J65" i="7" a="1"/>
  <c r="J65" i="7" s="1"/>
  <c r="I65" i="7"/>
  <c r="I54" i="7"/>
  <c r="J54" i="7" a="1"/>
  <c r="J54" i="7" s="1"/>
  <c r="K54" i="7" a="1"/>
  <c r="K54" i="7" s="1"/>
  <c r="I55" i="7"/>
  <c r="J55" i="7" a="1"/>
  <c r="J55" i="7" s="1"/>
  <c r="K55" i="7" a="1"/>
  <c r="K55" i="7" s="1"/>
  <c r="K23" i="7" a="1"/>
  <c r="K23" i="7" s="1"/>
  <c r="J23" i="7" a="1"/>
  <c r="J23" i="7" s="1"/>
  <c r="I23" i="7"/>
  <c r="K22" i="7" a="1"/>
  <c r="K22" i="7" s="1"/>
  <c r="J22" i="7" a="1"/>
  <c r="J22" i="7" s="1"/>
  <c r="I22" i="7"/>
  <c r="K21" i="7" a="1"/>
  <c r="K21" i="7" s="1"/>
  <c r="J21" i="7" a="1"/>
  <c r="J21" i="7" s="1"/>
  <c r="I21" i="7"/>
  <c r="K20" i="7" a="1"/>
  <c r="K20" i="7" s="1"/>
  <c r="J20" i="7" a="1"/>
  <c r="J20" i="7" s="1"/>
  <c r="I20" i="7"/>
  <c r="K19" i="7" a="1"/>
  <c r="K19" i="7" s="1"/>
  <c r="J19" i="7" a="1"/>
  <c r="J19" i="7" s="1"/>
  <c r="I19" i="7"/>
  <c r="K13" i="7" a="1"/>
  <c r="K13" i="7" s="1"/>
  <c r="J13" i="7" a="1"/>
  <c r="J13" i="7" s="1"/>
  <c r="I13" i="7"/>
  <c r="K10" i="7" a="1"/>
  <c r="K10" i="7" s="1"/>
  <c r="J10" i="7" a="1"/>
  <c r="J10" i="7" s="1"/>
  <c r="I10" i="7"/>
  <c r="K9" i="7" a="1"/>
  <c r="K9" i="7" s="1"/>
  <c r="J9" i="7" a="1"/>
  <c r="J9" i="7" s="1"/>
  <c r="I9" i="7"/>
  <c r="K8" i="7" a="1"/>
  <c r="K8" i="7" s="1"/>
  <c r="J8" i="7" a="1"/>
  <c r="J8" i="7" s="1"/>
  <c r="I8" i="7"/>
  <c r="K72" i="7" a="1"/>
  <c r="K72" i="7" s="1"/>
  <c r="J72" i="7" a="1"/>
  <c r="J72" i="7" s="1"/>
  <c r="I72" i="7"/>
  <c r="K71" i="7" a="1"/>
  <c r="K71" i="7" s="1"/>
  <c r="J71" i="7" a="1"/>
  <c r="J71" i="7" s="1"/>
  <c r="I71" i="7"/>
  <c r="AP70" i="7"/>
  <c r="AI70" i="7"/>
  <c r="AB70" i="7"/>
  <c r="U70" i="7"/>
  <c r="N70" i="7"/>
  <c r="G70" i="7"/>
  <c r="K68" i="7" a="1"/>
  <c r="K68" i="7" s="1"/>
  <c r="J68" i="7" a="1"/>
  <c r="J68" i="7" s="1"/>
  <c r="I68" i="7"/>
  <c r="K67" i="7" a="1"/>
  <c r="K67" i="7" s="1"/>
  <c r="J67" i="7" a="1"/>
  <c r="J67" i="7" s="1"/>
  <c r="I67" i="7"/>
  <c r="K64" i="7" a="1"/>
  <c r="K64" i="7" s="1"/>
  <c r="J64" i="7" a="1"/>
  <c r="J64" i="7" s="1"/>
  <c r="I64" i="7"/>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AP57" i="7"/>
  <c r="AI57" i="7"/>
  <c r="AB57" i="7"/>
  <c r="U57" i="7"/>
  <c r="N57" i="7"/>
  <c r="G57" i="7"/>
  <c r="DA4" i="7"/>
  <c r="CT4" i="7"/>
  <c r="CM4" i="7"/>
  <c r="CF4" i="7"/>
  <c r="BY4" i="7"/>
  <c r="BR4" i="7"/>
  <c r="C7" i="10"/>
  <c r="K24" i="7" a="1"/>
  <c r="K24" i="7" s="1"/>
  <c r="J24" i="7" a="1"/>
  <c r="J24" i="7" s="1"/>
  <c r="I24" i="7"/>
  <c r="K18" i="7" a="1"/>
  <c r="K18" i="7" s="1"/>
  <c r="J18" i="7" a="1"/>
  <c r="J18" i="7" s="1"/>
  <c r="I18"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AP47" i="7"/>
  <c r="AI47" i="7"/>
  <c r="AB47" i="7"/>
  <c r="U47" i="7"/>
  <c r="N47" i="7"/>
  <c r="G47" i="7"/>
  <c r="K45" i="7" a="1"/>
  <c r="K45" i="7" s="1"/>
  <c r="J45" i="7" a="1"/>
  <c r="J45" i="7" s="1"/>
  <c r="I45" i="7"/>
  <c r="K44" i="7" a="1"/>
  <c r="K44" i="7" s="1"/>
  <c r="J44" i="7" a="1"/>
  <c r="J44" i="7" s="1"/>
  <c r="I44" i="7"/>
  <c r="K43" i="7" a="1"/>
  <c r="K43" i="7" s="1"/>
  <c r="J43" i="7" a="1"/>
  <c r="J43" i="7" s="1"/>
  <c r="I43" i="7"/>
  <c r="AP42" i="7"/>
  <c r="AI42" i="7"/>
  <c r="AB42" i="7"/>
  <c r="U42" i="7"/>
  <c r="N42" i="7"/>
  <c r="G42" i="7"/>
  <c r="BK4" i="7"/>
  <c r="C12" i="10"/>
  <c r="K27" i="7" a="1"/>
  <c r="K27" i="7" s="1"/>
  <c r="J27" i="7" a="1"/>
  <c r="J27" i="7" s="1"/>
  <c r="K26" i="7" a="1"/>
  <c r="K26" i="7" s="1"/>
  <c r="J26" i="7" a="1"/>
  <c r="J26" i="7" s="1"/>
  <c r="K25" i="7" a="1"/>
  <c r="K25" i="7" s="1"/>
  <c r="J25" i="7" a="1"/>
  <c r="J25" i="7" s="1"/>
  <c r="K17" i="7" a="1"/>
  <c r="K17" i="7" s="1"/>
  <c r="J17" i="7" a="1"/>
  <c r="J17" i="7" s="1"/>
  <c r="K40" i="7" a="1"/>
  <c r="K40" i="7" s="1"/>
  <c r="J40" i="7" a="1"/>
  <c r="J40" i="7" s="1"/>
  <c r="K39" i="7" a="1"/>
  <c r="K39" i="7" s="1"/>
  <c r="J39" i="7" a="1"/>
  <c r="J39" i="7" s="1"/>
  <c r="K38" i="7" a="1"/>
  <c r="K38" i="7" s="1"/>
  <c r="J38" i="7" a="1"/>
  <c r="J38" i="7" s="1"/>
  <c r="K37" i="7" a="1"/>
  <c r="K37" i="7" s="1"/>
  <c r="J37" i="7" a="1"/>
  <c r="J37"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30" i="7" a="1"/>
  <c r="K30" i="7" s="1"/>
  <c r="J30" i="7" a="1"/>
  <c r="J30" i="7" s="1"/>
  <c r="K14" i="7" a="1"/>
  <c r="K14" i="7" s="1"/>
  <c r="J14" i="7" a="1"/>
  <c r="J14" i="7" s="1"/>
  <c r="K12" i="7" a="1"/>
  <c r="K12" i="7" s="1"/>
  <c r="J12" i="7" a="1"/>
  <c r="J12" i="7" s="1"/>
  <c r="K11" i="7" a="1"/>
  <c r="K11" i="7" s="1"/>
  <c r="J11" i="7" a="1"/>
  <c r="J11" i="7" s="1"/>
  <c r="K7" i="7" a="1"/>
  <c r="K7" i="7" s="1"/>
  <c r="J7" i="7" a="1"/>
  <c r="J7" i="7" s="1"/>
  <c r="K6" i="7" a="1"/>
  <c r="K6" i="7" s="1"/>
  <c r="J6" i="7" a="1"/>
  <c r="J6" i="7" s="1"/>
  <c r="K5" i="7" a="1"/>
  <c r="K5" i="7" s="1"/>
  <c r="J5" i="7" a="1"/>
  <c r="J5" i="7" s="1"/>
  <c r="AP16" i="7"/>
  <c r="AI16" i="7"/>
  <c r="AB16" i="7"/>
  <c r="U16" i="7"/>
  <c r="BD4" i="7"/>
  <c r="AW4" i="7"/>
  <c r="AP4" i="7"/>
  <c r="AI4" i="7"/>
  <c r="AB4" i="7"/>
  <c r="U4" i="7"/>
  <c r="N4" i="7"/>
  <c r="N16" i="7"/>
  <c r="G4" i="7"/>
  <c r="AP29" i="7"/>
  <c r="AI29" i="7"/>
  <c r="AB29" i="7"/>
  <c r="U29" i="7"/>
  <c r="I40" i="7"/>
  <c r="I39" i="7"/>
  <c r="I38" i="7"/>
  <c r="I37" i="7"/>
  <c r="I36" i="7"/>
  <c r="I35" i="7"/>
  <c r="I34" i="7"/>
  <c r="I33" i="7"/>
  <c r="I32" i="7"/>
  <c r="I31" i="7"/>
  <c r="I30" i="7"/>
  <c r="I27" i="7"/>
  <c r="I26" i="7"/>
  <c r="I25" i="7"/>
  <c r="I17" i="7"/>
  <c r="I6" i="7"/>
  <c r="I7" i="7"/>
  <c r="I11" i="7"/>
  <c r="I12" i="7"/>
  <c r="I14" i="7"/>
  <c r="I5" i="7"/>
  <c r="N29" i="7"/>
  <c r="G29" i="7"/>
  <c r="G16" i="7"/>
  <c r="J70" i="7" l="1"/>
  <c r="K70" i="7"/>
  <c r="I70" i="7"/>
  <c r="I57" i="7"/>
  <c r="K57" i="7"/>
  <c r="J57" i="7"/>
  <c r="I47" i="7"/>
  <c r="I42" i="7"/>
  <c r="J47" i="7"/>
  <c r="K47" i="7"/>
  <c r="K42" i="7"/>
  <c r="J42" i="7"/>
  <c r="I29" i="7"/>
  <c r="J29" i="7"/>
  <c r="K29" i="7"/>
  <c r="I16" i="7"/>
  <c r="J16" i="7"/>
  <c r="K16"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<sst xmlns="http://schemas.openxmlformats.org/spreadsheetml/2006/main" count="390" uniqueCount="155">
  <si>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</si>
  <si>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</si>
  <si>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</si>
  <si>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</si>
  <si>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</si>
  <si>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</si>
  <si>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</si>
  <si>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</si>
  <si>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</si>
  <si>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</si>
  <si>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</si>
  <si>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</si>
  <si>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</si>
  <si>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</si>
  <si>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</si>
  <si>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</si>
  <si>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</si>
  <si>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</si>
  <si>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</si>
  <si>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</si>
  <si>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</si>
  <si>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</si>
  <si>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</si>
  <si>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</si>
  <si>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</si>
  <si>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</si>
  <si>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</si>
  <si>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</si>
  <si>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</si>
  <si>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</si>
  <si>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</si>
  <si>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2) Aktuelle Herausforderungen an das Marketing</t>
  </si>
  <si>
    <t>3) Marktforschung</t>
  </si>
  <si>
    <t>4) Marketingziele &amp; -prognosen</t>
  </si>
  <si>
    <t>5) Strategisches Marketing</t>
  </si>
  <si>
    <t>6) Konsumentenorientieres Marketing</t>
  </si>
  <si>
    <t>7) Produkt</t>
  </si>
  <si>
    <t>8) Marke</t>
  </si>
  <si>
    <t>9) Preis</t>
  </si>
  <si>
    <t>10) Kommunikation</t>
  </si>
  <si>
    <t>11) Distribution &amp; E-Commerce</t>
  </si>
  <si>
    <t>12) Implementierung &amp; Controlling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</si>
  <si>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</si>
  <si>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</si>
  <si>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</si>
  <si>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</si>
  <si>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</si>
  <si>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</si>
  <si>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</si>
  <si>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</si>
  <si>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</si>
  <si>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</si>
  <si>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</si>
  <si>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</si>
  <si>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</si>
  <si>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</si>
  <si>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</si>
  <si>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</si>
  <si>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</si>
  <si>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</si>
  <si>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</si>
  <si>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</si>
  <si>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</si>
  <si>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</si>
  <si>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</si>
  <si>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</si>
  <si>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</si>
  <si>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</si>
  <si>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</si>
  <si>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</si>
  <si>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</si>
  <si>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</si>
  <si>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</si>
  <si>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</si>
  <si>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</si>
  <si>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</si>
  <si>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</si>
  <si>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</si>
  <si>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</si>
  <si>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</si>
  <si>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</si>
  <si>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</si>
  <si>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</si>
  <si>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</si>
  <si>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</si>
  <si>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</si>
  <si>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</si>
  <si>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</si>
  <si>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</si>
  <si>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</si>
  <si>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</si>
  <si>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</si>
  <si>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</si>
  <si>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</si>
  <si>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</si>
  <si>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</si>
  <si>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</si>
  <si>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</si>
  <si>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</si>
  <si>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Principles of Management</t>
  </si>
  <si>
    <t>Financial Accounting</t>
  </si>
  <si>
    <t>Introduction to Programming Excel</t>
  </si>
  <si>
    <t xml:space="preserve">Introduction to Programming Phyton </t>
  </si>
  <si>
    <t>Analytical Thinking and critical Thinking</t>
  </si>
  <si>
    <t>14-21.12</t>
  </si>
  <si>
    <t>18-25.10</t>
  </si>
  <si>
    <t>Mathematics</t>
  </si>
  <si>
    <t>Academic Skills</t>
  </si>
  <si>
    <t>Random Assignments</t>
  </si>
  <si>
    <t>1) Introduction to Management</t>
  </si>
  <si>
    <t xml:space="preserve">2) Business Environment </t>
  </si>
  <si>
    <t>3) Decision Making</t>
  </si>
  <si>
    <t>4) Planning and Strategy</t>
  </si>
  <si>
    <t>5) Organization Structure</t>
  </si>
  <si>
    <t>6) Organization Culture</t>
  </si>
  <si>
    <t>7) Motivation</t>
  </si>
  <si>
    <t>8) Leadership</t>
  </si>
  <si>
    <t>9) Teamwork</t>
  </si>
  <si>
    <t>10) Controlling</t>
  </si>
  <si>
    <t xml:space="preserve">1) Financial Statements and Business Decisions </t>
  </si>
  <si>
    <t>2) Investing and Financing Decisions and the Accounting System</t>
  </si>
  <si>
    <t>3) Operating Decisions and the Accounting System</t>
  </si>
  <si>
    <t>4) Adjustments, Financial Statements, and the Quality of Earning</t>
  </si>
  <si>
    <t>5) Reporting and Interpreting Sales Revenue, Receivables, and Cash</t>
  </si>
  <si>
    <t xml:space="preserve">6) Reporting and Interpreting Costs of Goods Sold and Inventory </t>
  </si>
  <si>
    <t xml:space="preserve">7) Reporting and Interpreting Property, Plant, and Equipment; Intangibles </t>
  </si>
  <si>
    <t>8) Reporting and Interpreting Liabilities</t>
  </si>
  <si>
    <t xml:space="preserve">9)Reporting and Interpreting Bond Securities </t>
  </si>
  <si>
    <t xml:space="preserve">10) Statement of Cashflows </t>
  </si>
  <si>
    <t>11) Summary</t>
  </si>
  <si>
    <t>1) Introduction to Excel</t>
  </si>
  <si>
    <t>2) Introduction to Excel</t>
  </si>
  <si>
    <t>3) Introduction to Excel</t>
  </si>
  <si>
    <t>1) Introduction to Python</t>
  </si>
  <si>
    <t>2) Introduction to Python</t>
  </si>
  <si>
    <t xml:space="preserve">3) Introduction to Phyton </t>
  </si>
  <si>
    <t>4) Introduction to Phyton</t>
  </si>
  <si>
    <t>5) Introduction to Phyton</t>
  </si>
  <si>
    <t>7) Introduction to Phyton</t>
  </si>
  <si>
    <t>8) Introduction to Phyton</t>
  </si>
  <si>
    <t>6) Introduction to Phyton</t>
  </si>
  <si>
    <t>1) What is critical thinking?</t>
  </si>
  <si>
    <t xml:space="preserve">2) Reasoning, Arguments, Validity </t>
  </si>
  <si>
    <t>3) Introduction to Truth-Functional Logic</t>
  </si>
  <si>
    <t xml:space="preserve">4) TFL translation and truth tables </t>
  </si>
  <si>
    <t xml:space="preserve">5) Reconstrucing Arguments &amp; Inductive Reasoning </t>
  </si>
  <si>
    <t>6) Arguing with People</t>
  </si>
  <si>
    <t xml:space="preserve">7) Statistic, Methodology and Trust in Science </t>
  </si>
  <si>
    <t>8) Going Normative</t>
  </si>
  <si>
    <t xml:space="preserve">9) Application - Social Justice </t>
  </si>
  <si>
    <t>10) Disagreement, Truth, Experts</t>
  </si>
  <si>
    <t xml:space="preserve">11) Revision </t>
  </si>
  <si>
    <t>50 Klausuren</t>
  </si>
  <si>
    <t>51 Klausuren</t>
  </si>
  <si>
    <t>42 Klausur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</si>
</sst>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10">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7" borderId="0" xfId="0" applyNumberFormat="1" applyFill="1"/>
    <xf numFmtId="14" fontId="0" fillId="8" borderId="0" xfId="0" applyNumberFormat="1" applyFill="1"/>
    <xf numFmtId="14" fontId="0" fillId="9" borderId="0" xfId="0" applyNumberFormat="1" applyFill="1"/>
    <xf numFmtId="0" fontId="1" fillId="2" borderId="0" xfId="0" applyFont="1" applyFill="1" applyAlignment="1">
      <alignment horizontal="center"/>
    </xf>
  </cellXfs>
  <cellStyles count="1">
    <cellStyle name="Standard" xfId="0" builtinId="0"/>
  </cellStyles>
  <dxfs count="141">
    <dxf>
      <fill>
        <patternFill>
          <bgColor rgb="FFC4FF87"/>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56FF5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40">
  <autoFilter ref="A1:K46" xr:uid="{6E266E34-2786-2747-BCE7-51B74867A564}"/>
  <tableColumns count="11">
    <tableColumn id="1" xr3:uid="{95FD92F7-3DC8-704D-A103-A7EDDAB255AB}" name="Datum" dataDxfId="139"/>
    <tableColumn id="2" xr3:uid="{F464D510-8166-E740-A343-FB84BDEF877F}" name="Lerneinheiten durchgezogen" dataDxfId="138"/>
    <tableColumn id="3" xr3:uid="{75F52B08-1A00-0848-BBE6-1EDF7B31B1AD}" name="Tagesplan erstellt" dataDxfId="137"/>
    <tableColumn id="4" xr3:uid="{E6B18D89-E799-AD48-9DAA-37AEE1D29011}" name="Konzentrationslevel" dataDxfId="13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D17" sqref="D17"/>
    </sheetView>
  </sheetViews>
  <sheetFormatPr baseColWidth="10" defaultRowHeight="16" x14ac:dyDescent="0.2"/>
  <cols>
    <col min="1" max="1" width="11.83203125" customWidth="1"/>
    <col min="2" max="2" width="62.6640625" customWidth="1"/>
  </cols>
  <sheetData>
    <row r="2" spans="1:4" x14ac:dyDescent="0.2">
      <c r="C2" s="18" t="s">
        <v>83</v>
      </c>
    </row>
    <row r="3" spans="1:4" x14ac:dyDescent="0.2">
      <c r="C3" s="17" t="s">
        <v>68</v>
      </c>
    </row>
    <row r="4" spans="1:4" x14ac:dyDescent="0.2">
      <c r="C4" s="16" t="s">
        <v>82</v>
      </c>
    </row>
    <row r="5" spans="1:4" x14ac:dyDescent="0.2">
      <c r="A5" s="2" t="s">
        <v>65</v>
      </c>
      <c r="B5" s="2" t="s">
        <v>66</v>
      </c>
      <c r="C5" s="2" t="s">
        <v>67</v>
      </c>
      <c r="D5" s="2" t="s">
        <v>69</v>
      </c>
    </row>
    <row r="6" spans="1:4" x14ac:dyDescent="0.2">
      <c r="A6" t="s">
        <v>61</v>
      </c>
      <c r="B6" s="18" t="s">
        <v>64</v>
      </c>
      <c r="D6" t="s">
        <v>98</v>
      </c>
    </row>
    <row r="7" spans="1:4" x14ac:dyDescent="0.2">
      <c r="A7" t="s">
        <v>72</v>
      </c>
      <c r="B7" t="s">
        <v>73</v>
      </c>
      <c r="C7" s="16">
        <f>6+8+11+7+10</f>
        <v>42</v>
      </c>
    </row>
    <row r="8" spans="1:4" x14ac:dyDescent="0.2">
      <c r="A8" t="s">
        <v>63</v>
      </c>
      <c r="B8" s="18" t="s">
        <v>62</v>
      </c>
      <c r="D8" t="s">
        <v>86</v>
      </c>
    </row>
    <row r="9" spans="1:4" x14ac:dyDescent="0.2">
      <c r="A9" t="s">
        <v>71</v>
      </c>
      <c r="B9" s="18" t="s">
        <v>84</v>
      </c>
      <c r="C9">
        <v>6</v>
      </c>
      <c r="D9" t="s">
        <v>87</v>
      </c>
    </row>
    <row r="10" spans="1:4" x14ac:dyDescent="0.2">
      <c r="A10" t="s">
        <v>75</v>
      </c>
      <c r="B10" t="s">
        <v>74</v>
      </c>
      <c r="C10" s="16">
        <v>5</v>
      </c>
      <c r="D10" t="s">
        <v>70</v>
      </c>
    </row>
    <row r="11" spans="1:4" x14ac:dyDescent="0.2">
      <c r="A11" t="s">
        <v>76</v>
      </c>
      <c r="B11" t="s">
        <v>78</v>
      </c>
      <c r="C11" s="16">
        <v>75</v>
      </c>
      <c r="D11" t="s">
        <v>77</v>
      </c>
    </row>
    <row r="12" spans="1:4" x14ac:dyDescent="0.2">
      <c r="A12" t="s">
        <v>80</v>
      </c>
      <c r="B12" t="s">
        <v>79</v>
      </c>
      <c r="C12" s="17">
        <f>C11/C10</f>
        <v>15</v>
      </c>
    </row>
    <row r="13" spans="1:4" x14ac:dyDescent="0.2">
      <c r="A13" t="s">
        <v>85</v>
      </c>
      <c r="B13" t="s">
        <v>81</v>
      </c>
      <c r="D13" t="s">
        <v>88</v>
      </c>
    </row>
    <row r="14" spans="1:4" x14ac:dyDescent="0.2">
      <c r="A14" t="s">
        <v>89</v>
      </c>
      <c r="B14" t="s">
        <v>90</v>
      </c>
      <c r="D14" t="s">
        <v>91</v>
      </c>
    </row>
    <row r="15" spans="1:4" x14ac:dyDescent="0.2">
      <c r="A15" t="s">
        <v>92</v>
      </c>
      <c r="B15" s="18" t="s">
        <v>93</v>
      </c>
    </row>
    <row r="16" spans="1:4" x14ac:dyDescent="0.2">
      <c r="A16" t="s">
        <v>96</v>
      </c>
      <c r="B16" s="18" t="s">
        <v>94</v>
      </c>
    </row>
    <row r="17" spans="1:2" x14ac:dyDescent="0.2">
      <c r="A17" t="s">
        <v>97</v>
      </c>
      <c r="B17" t="s">
        <v>95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B73"/>
  <sheetViews>
    <sheetView showGridLines="0" tabSelected="1" zoomScale="93" zoomScaleNormal="83" workbookViewId="0">
      <pane xSplit="12" topLeftCell="O1" activePane="topRight" state="frozen"/>
      <selection pane="topRight" activeCell="D4" sqref="D4"/>
    </sheetView>
  </sheetViews>
  <sheetFormatPr baseColWidth="10" defaultColWidth="8.83203125" defaultRowHeight="16" outlineLevelRow="1" x14ac:dyDescent="0.2"/>
  <cols>
    <col min="3" max="3" width="17.33203125" customWidth="1"/>
    <col min="4" max="4" width="9.5" customWidth="1"/>
    <col min="5" max="5" width="4.83203125" bestFit="1" customWidth="1"/>
    <col min="6" max="6" width="24.83203125" customWidth="1"/>
    <col min="7" max="7" width="15.5" bestFit="1" customWidth="1"/>
    <col min="8" max="8" width="2.5" customWidth="1"/>
    <col min="10" max="10" width="12.5" bestFit="1" customWidth="1"/>
    <col min="11" max="11" width="14.83203125" bestFit="1" customWidth="1"/>
    <col min="12" max="12" width="12.6640625"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 min="128" max="128" width="12.5" bestFit="1" customWidth="1"/>
    <col min="129" max="129" width="6.33203125" customWidth="1"/>
    <col min="130" max="130" width="14.83203125" bestFit="1" customWidth="1"/>
    <col min="131" max="131" width="6" customWidth="1"/>
    <col min="132" max="132" width="12.6640625" bestFit="1" customWidth="1"/>
    <col min="133" max="133" width="2.5" customWidth="1"/>
  </cols>
  <sheetData>
    <row r="1" spans="2:132" ht="34" x14ac:dyDescent="0.4">
      <c r="B1" s="4" t="s">
        <v>0</v>
      </c>
      <c r="D1" s="4"/>
      <c r="G1" s="13" t="s">
        <v>45</v>
      </c>
      <c r="I1" s="13" t="s">
        <v>45</v>
      </c>
      <c r="J1" s="13" t="s">
        <v>45</v>
      </c>
      <c r="K1" s="13" t="s">
        <v>45</v>
      </c>
    </row>
    <row r="2" spans="2:132" x14ac:dyDescent="0.2">
      <c r="I2" s="22" t="s">
        <v>27</v>
      </c>
      <c r="J2" s="22"/>
      <c r="K2" s="22"/>
      <c r="L2" s="22"/>
      <c r="N2" s="22">
        <v>36</v>
      </c>
      <c r="O2" s="22"/>
      <c r="P2" s="22"/>
      <c r="Q2" s="22"/>
      <c r="R2" s="22"/>
      <c r="S2" s="22"/>
      <c r="U2" s="22">
        <v>37</v>
      </c>
      <c r="V2" s="22"/>
      <c r="W2" s="22"/>
      <c r="X2" s="22"/>
      <c r="Y2" s="22"/>
      <c r="Z2" s="22"/>
      <c r="AB2" s="22">
        <v>38</v>
      </c>
      <c r="AC2" s="22"/>
      <c r="AD2" s="22"/>
      <c r="AE2" s="22"/>
      <c r="AF2" s="22"/>
      <c r="AG2" s="22"/>
      <c r="AI2" s="22">
        <v>39</v>
      </c>
      <c r="AJ2" s="22"/>
      <c r="AK2" s="22"/>
      <c r="AL2" s="22"/>
      <c r="AM2" s="22"/>
      <c r="AN2" s="22"/>
      <c r="AP2" s="22">
        <v>40</v>
      </c>
      <c r="AQ2" s="22"/>
      <c r="AR2" s="22"/>
      <c r="AS2" s="22"/>
      <c r="AT2" s="22"/>
      <c r="AU2" s="22"/>
      <c r="AW2" s="22">
        <v>41</v>
      </c>
      <c r="AX2" s="22"/>
      <c r="AY2" s="22"/>
      <c r="AZ2" s="22"/>
      <c r="BA2" s="22"/>
      <c r="BB2" s="22"/>
      <c r="BD2" s="22" t="s">
        <v>154</v>
      </c>
      <c r="BE2" s="22"/>
      <c r="BF2" s="22"/>
      <c r="BG2" s="22"/>
      <c r="BH2" s="22"/>
      <c r="BI2" s="22"/>
      <c r="BK2" s="22">
        <v>43</v>
      </c>
      <c r="BL2" s="22"/>
      <c r="BM2" s="22"/>
      <c r="BN2" s="22"/>
      <c r="BO2" s="22"/>
      <c r="BP2" s="22"/>
      <c r="BR2" s="22">
        <v>44</v>
      </c>
      <c r="BS2" s="22"/>
      <c r="BT2" s="22"/>
      <c r="BU2" s="22"/>
      <c r="BV2" s="22"/>
      <c r="BW2" s="22"/>
      <c r="BY2" s="22">
        <v>45</v>
      </c>
      <c r="BZ2" s="22"/>
      <c r="CA2" s="22"/>
      <c r="CB2" s="22"/>
      <c r="CC2" s="22"/>
      <c r="CD2" s="22"/>
      <c r="CF2" s="22">
        <v>46</v>
      </c>
      <c r="CG2" s="22"/>
      <c r="CH2" s="22"/>
      <c r="CI2" s="22"/>
      <c r="CJ2" s="22"/>
      <c r="CK2" s="22"/>
      <c r="CM2" s="22">
        <v>47</v>
      </c>
      <c r="CN2" s="22"/>
      <c r="CO2" s="22"/>
      <c r="CP2" s="22"/>
      <c r="CQ2" s="22"/>
      <c r="CR2" s="22"/>
      <c r="CT2" s="22">
        <v>48</v>
      </c>
      <c r="CU2" s="22"/>
      <c r="CV2" s="22"/>
      <c r="CW2" s="22"/>
      <c r="CX2" s="22"/>
      <c r="CY2" s="22"/>
      <c r="DA2" s="22">
        <v>49</v>
      </c>
      <c r="DB2" s="22"/>
      <c r="DC2" s="22"/>
      <c r="DD2" s="22"/>
      <c r="DE2" s="22"/>
      <c r="DF2" s="22"/>
      <c r="DH2" s="22" t="s">
        <v>152</v>
      </c>
      <c r="DI2" s="22"/>
      <c r="DJ2" s="22"/>
      <c r="DK2" s="22"/>
      <c r="DL2" s="22"/>
      <c r="DM2" s="22"/>
      <c r="DO2" s="22" t="s">
        <v>153</v>
      </c>
      <c r="DP2" s="22"/>
      <c r="DQ2" s="22"/>
      <c r="DR2" s="22"/>
      <c r="DS2" s="22"/>
      <c r="DT2" s="22"/>
      <c r="DW2" s="22">
        <v>52</v>
      </c>
      <c r="DX2" s="22"/>
      <c r="DY2" s="22"/>
      <c r="DZ2" s="22"/>
      <c r="EA2" s="22"/>
      <c r="EB2" s="22"/>
    </row>
    <row r="3" spans="2:132" x14ac:dyDescent="0.2">
      <c r="B3" s="5" t="s">
        <v>26</v>
      </c>
      <c r="C3" s="5" t="s">
        <v>1</v>
      </c>
      <c r="D3" s="5" t="s">
        <v>24</v>
      </c>
      <c r="E3" s="6" t="s">
        <v>42</v>
      </c>
      <c r="F3" s="5" t="s">
        <v>29</v>
      </c>
      <c r="G3" s="5" t="s">
        <v>43</v>
      </c>
      <c r="I3" s="6" t="s">
        <v>11</v>
      </c>
      <c r="J3" s="6" t="s">
        <v>2</v>
      </c>
      <c r="K3" s="6" t="s">
        <v>3</v>
      </c>
      <c r="L3" s="6" t="s">
        <v>12</v>
      </c>
      <c r="N3" s="5" t="s">
        <v>11</v>
      </c>
      <c r="O3" s="5" t="s">
        <v>2</v>
      </c>
      <c r="P3" s="5" t="s">
        <v>44</v>
      </c>
      <c r="Q3" s="5" t="s">
        <v>3</v>
      </c>
      <c r="R3" s="5" t="s">
        <v>44</v>
      </c>
      <c r="S3" s="5" t="s">
        <v>12</v>
      </c>
      <c r="U3" s="5" t="s">
        <v>11</v>
      </c>
      <c r="V3" s="5" t="s">
        <v>2</v>
      </c>
      <c r="W3" s="5" t="s">
        <v>44</v>
      </c>
      <c r="X3" s="5" t="s">
        <v>3</v>
      </c>
      <c r="Y3" s="5" t="s">
        <v>44</v>
      </c>
      <c r="Z3" s="5" t="s">
        <v>12</v>
      </c>
      <c r="AB3" s="5" t="s">
        <v>11</v>
      </c>
      <c r="AC3" s="5" t="s">
        <v>2</v>
      </c>
      <c r="AD3" s="5" t="s">
        <v>44</v>
      </c>
      <c r="AE3" s="5" t="s">
        <v>3</v>
      </c>
      <c r="AF3" s="5" t="s">
        <v>44</v>
      </c>
      <c r="AG3" s="5" t="s">
        <v>12</v>
      </c>
      <c r="AI3" s="5" t="s">
        <v>11</v>
      </c>
      <c r="AJ3" s="5" t="s">
        <v>2</v>
      </c>
      <c r="AK3" s="5" t="s">
        <v>44</v>
      </c>
      <c r="AL3" s="5" t="s">
        <v>3</v>
      </c>
      <c r="AM3" s="5" t="s">
        <v>44</v>
      </c>
      <c r="AN3" s="5" t="s">
        <v>12</v>
      </c>
      <c r="AP3" s="5" t="s">
        <v>11</v>
      </c>
      <c r="AQ3" s="5" t="s">
        <v>2</v>
      </c>
      <c r="AR3" s="5" t="s">
        <v>44</v>
      </c>
      <c r="AS3" s="5" t="s">
        <v>3</v>
      </c>
      <c r="AT3" s="5" t="s">
        <v>44</v>
      </c>
      <c r="AU3" s="5" t="s">
        <v>12</v>
      </c>
      <c r="AW3" s="5" t="s">
        <v>11</v>
      </c>
      <c r="AX3" s="5" t="s">
        <v>2</v>
      </c>
      <c r="AY3" s="5" t="s">
        <v>44</v>
      </c>
      <c r="AZ3" s="5" t="s">
        <v>3</v>
      </c>
      <c r="BA3" s="5" t="s">
        <v>44</v>
      </c>
      <c r="BB3" s="5" t="s">
        <v>12</v>
      </c>
      <c r="BD3" s="5" t="s">
        <v>11</v>
      </c>
      <c r="BE3" s="5" t="s">
        <v>2</v>
      </c>
      <c r="BF3" s="5" t="s">
        <v>44</v>
      </c>
      <c r="BG3" s="5" t="s">
        <v>3</v>
      </c>
      <c r="BH3" s="5" t="s">
        <v>44</v>
      </c>
      <c r="BI3" s="5" t="s">
        <v>12</v>
      </c>
      <c r="BK3" s="5" t="s">
        <v>11</v>
      </c>
      <c r="BL3" s="5" t="s">
        <v>2</v>
      </c>
      <c r="BM3" s="5" t="s">
        <v>44</v>
      </c>
      <c r="BN3" s="5" t="s">
        <v>3</v>
      </c>
      <c r="BO3" s="5" t="s">
        <v>44</v>
      </c>
      <c r="BP3" s="5" t="s">
        <v>12</v>
      </c>
      <c r="BR3" s="5" t="s">
        <v>11</v>
      </c>
      <c r="BS3" s="5" t="s">
        <v>2</v>
      </c>
      <c r="BT3" s="5" t="s">
        <v>44</v>
      </c>
      <c r="BU3" s="5" t="s">
        <v>3</v>
      </c>
      <c r="BV3" s="5" t="s">
        <v>44</v>
      </c>
      <c r="BW3" s="5" t="s">
        <v>12</v>
      </c>
      <c r="BY3" s="5" t="s">
        <v>11</v>
      </c>
      <c r="BZ3" s="5" t="s">
        <v>2</v>
      </c>
      <c r="CA3" s="5" t="s">
        <v>44</v>
      </c>
      <c r="CB3" s="5" t="s">
        <v>3</v>
      </c>
      <c r="CC3" s="5" t="s">
        <v>44</v>
      </c>
      <c r="CD3" s="5" t="s">
        <v>12</v>
      </c>
      <c r="CF3" s="5" t="s">
        <v>11</v>
      </c>
      <c r="CG3" s="5" t="s">
        <v>2</v>
      </c>
      <c r="CH3" s="5" t="s">
        <v>44</v>
      </c>
      <c r="CI3" s="5" t="s">
        <v>3</v>
      </c>
      <c r="CJ3" s="5" t="s">
        <v>44</v>
      </c>
      <c r="CK3" s="5" t="s">
        <v>12</v>
      </c>
      <c r="CM3" s="5" t="s">
        <v>11</v>
      </c>
      <c r="CN3" s="5" t="s">
        <v>2</v>
      </c>
      <c r="CO3" s="5" t="s">
        <v>44</v>
      </c>
      <c r="CP3" s="5" t="s">
        <v>3</v>
      </c>
      <c r="CQ3" s="5" t="s">
        <v>44</v>
      </c>
      <c r="CR3" s="5" t="s">
        <v>12</v>
      </c>
      <c r="CT3" s="5" t="s">
        <v>11</v>
      </c>
      <c r="CU3" s="5" t="s">
        <v>2</v>
      </c>
      <c r="CV3" s="5" t="s">
        <v>44</v>
      </c>
      <c r="CW3" s="5" t="s">
        <v>3</v>
      </c>
      <c r="CX3" s="5" t="s">
        <v>44</v>
      </c>
      <c r="CY3" s="5" t="s">
        <v>12</v>
      </c>
      <c r="DA3" s="5" t="s">
        <v>11</v>
      </c>
      <c r="DB3" s="5" t="s">
        <v>2</v>
      </c>
      <c r="DC3" s="5" t="s">
        <v>44</v>
      </c>
      <c r="DD3" s="5" t="s">
        <v>3</v>
      </c>
      <c r="DE3" s="5" t="s">
        <v>44</v>
      </c>
      <c r="DF3" s="5" t="s">
        <v>12</v>
      </c>
      <c r="DH3" s="5" t="s">
        <v>11</v>
      </c>
      <c r="DI3" s="5" t="s">
        <v>2</v>
      </c>
      <c r="DJ3" s="5" t="s">
        <v>44</v>
      </c>
      <c r="DK3" s="5" t="s">
        <v>3</v>
      </c>
      <c r="DL3" s="5" t="s">
        <v>44</v>
      </c>
      <c r="DM3" s="5" t="s">
        <v>12</v>
      </c>
      <c r="DO3" s="5" t="s">
        <v>11</v>
      </c>
      <c r="DP3" s="5" t="s">
        <v>2</v>
      </c>
      <c r="DQ3" s="5" t="s">
        <v>44</v>
      </c>
      <c r="DR3" s="5" t="s">
        <v>3</v>
      </c>
      <c r="DS3" s="5" t="s">
        <v>44</v>
      </c>
      <c r="DT3" s="5" t="s">
        <v>12</v>
      </c>
      <c r="DW3" s="5" t="s">
        <v>11</v>
      </c>
      <c r="DX3" s="5" t="s">
        <v>2</v>
      </c>
      <c r="DY3" s="5" t="s">
        <v>44</v>
      </c>
      <c r="DZ3" s="5" t="s">
        <v>3</v>
      </c>
      <c r="EA3" s="5" t="s">
        <v>44</v>
      </c>
      <c r="EB3" s="5" t="s">
        <v>12</v>
      </c>
    </row>
    <row r="4" spans="2:132" x14ac:dyDescent="0.2">
      <c r="B4" t="s">
        <v>27</v>
      </c>
      <c r="C4" t="s">
        <v>99</v>
      </c>
      <c r="D4" s="19" t="s">
        <v>104</v>
      </c>
      <c r="E4" s="9">
        <v>6</v>
      </c>
      <c r="G4" s="10">
        <f>+SUM(G5:G14)</f>
        <v>0.99999999999999989</v>
      </c>
      <c r="I4" s="12">
        <f>+SUM(I5:I14)</f>
        <v>0</v>
      </c>
      <c r="J4" s="11">
        <f>+SUMPRODUCT(G5:G14,J5:J14)</f>
        <v>0</v>
      </c>
      <c r="K4" s="11">
        <f>+SUMPRODUCT(G5:G14,K5:K14)</f>
        <v>0</v>
      </c>
      <c r="L4" s="9"/>
      <c r="N4" s="12">
        <f>+SUM(N5:N14)</f>
        <v>0</v>
      </c>
      <c r="U4" s="12">
        <f>+SUM(U5:U14)</f>
        <v>0</v>
      </c>
      <c r="AB4" s="12">
        <f>+SUM(AB5:AB14)</f>
        <v>0</v>
      </c>
      <c r="AI4" s="12">
        <f>+SUM(AI5:AI14)</f>
        <v>0</v>
      </c>
      <c r="AP4" s="12">
        <f>+SUM(AP5:AP14)</f>
        <v>0</v>
      </c>
      <c r="AW4" s="12">
        <f>+SUM(AW5:AW14)</f>
        <v>0</v>
      </c>
      <c r="BD4" s="12">
        <f>+SUM(BD5:BD14)</f>
        <v>0</v>
      </c>
      <c r="BK4" s="12">
        <f>+SUM(BK5:BK14)</f>
        <v>0</v>
      </c>
      <c r="BR4" s="12">
        <f>+SUM(BR5:BR14)</f>
        <v>0</v>
      </c>
      <c r="BY4" s="12">
        <f>+SUM(BY5:BY14)</f>
        <v>0</v>
      </c>
      <c r="CF4" s="12">
        <f>+SUM(CF5:CF14)</f>
        <v>0</v>
      </c>
      <c r="CM4" s="12">
        <f>+SUM(CM5:CM14)</f>
        <v>0</v>
      </c>
      <c r="CT4" s="12">
        <f>+SUM(CT5:CT14)</f>
        <v>0</v>
      </c>
      <c r="DA4" s="12">
        <f>+SUM(DA5:DA14)</f>
        <v>0</v>
      </c>
      <c r="DH4" s="12">
        <f>+SUM(DH5:DH14)</f>
        <v>0</v>
      </c>
      <c r="DO4" s="12">
        <f>+SUM(DO5:DO14)</f>
        <v>0</v>
      </c>
      <c r="DW4" s="12">
        <f>+SUM(DW5:DW14)</f>
        <v>0</v>
      </c>
    </row>
    <row r="5" spans="2:132" outlineLevel="1" x14ac:dyDescent="0.2">
      <c r="B5" t="s">
        <v>28</v>
      </c>
      <c r="C5" t="s">
        <v>99</v>
      </c>
      <c r="E5" s="9"/>
      <c r="F5" t="s">
        <v>109</v>
      </c>
      <c r="G5" s="10">
        <v>0.1</v>
      </c>
      <c r="I5" s="9">
        <f>+SUMIF($N$3:$ZZ$3,I$3,$N5:$ZZ5)</f>
        <v>0</v>
      </c>
      <c r="J5" s="11" cm="1">
        <f t="array" ref="J5">MAX(IF($N$3:$EH$3=$J$3,N5:EH5))</f>
        <v>0</v>
      </c>
      <c r="K5" s="11" cm="1">
        <f t="array" ref="K5">MAX(IF($N$3:$EH$3=$J$3,N5:EH5))</f>
        <v>0</v>
      </c>
      <c r="L5" s="9"/>
      <c r="O5" s="10"/>
      <c r="P5" s="10"/>
      <c r="Q5" s="10"/>
      <c r="R5" s="10"/>
      <c r="V5" s="10"/>
      <c r="W5" s="10"/>
      <c r="X5" s="10"/>
      <c r="Y5" s="10"/>
      <c r="AC5" s="10"/>
      <c r="AD5" s="10"/>
      <c r="AE5" s="10"/>
      <c r="AF5" s="10"/>
      <c r="AJ5" s="10"/>
      <c r="AK5" s="10"/>
      <c r="AL5" s="10"/>
      <c r="AM5" s="10"/>
      <c r="AQ5" s="10"/>
      <c r="AR5" s="10"/>
      <c r="AS5" s="10"/>
      <c r="AT5" s="10"/>
      <c r="AX5" s="10"/>
      <c r="AY5" s="10"/>
      <c r="AZ5" s="10"/>
      <c r="BA5" s="10"/>
      <c r="BE5" s="10"/>
      <c r="BF5" s="10"/>
      <c r="BG5" s="10"/>
      <c r="BH5" s="10"/>
      <c r="BL5" s="10"/>
      <c r="BM5" s="10">
        <v>0.5</v>
      </c>
      <c r="BN5" s="10"/>
      <c r="BO5" s="10">
        <v>0.5</v>
      </c>
      <c r="BS5" s="10"/>
      <c r="BT5" s="10">
        <v>0.5</v>
      </c>
      <c r="BU5" s="10"/>
      <c r="BV5" s="10">
        <v>0.5</v>
      </c>
      <c r="BZ5" s="10"/>
      <c r="CA5" s="10">
        <v>0.8</v>
      </c>
      <c r="CB5" s="10"/>
      <c r="CC5" s="10">
        <v>0.8</v>
      </c>
      <c r="CG5" s="10"/>
      <c r="CH5" s="10">
        <v>0.8</v>
      </c>
      <c r="CI5" s="10"/>
      <c r="CJ5" s="10">
        <v>0.8</v>
      </c>
      <c r="CN5" s="10"/>
      <c r="CO5" s="10">
        <v>1</v>
      </c>
      <c r="CP5" s="10"/>
      <c r="CQ5" s="10">
        <v>1</v>
      </c>
      <c r="CU5" s="10"/>
      <c r="CV5" s="10">
        <v>1</v>
      </c>
      <c r="CW5" s="10"/>
      <c r="CX5" s="10">
        <v>1</v>
      </c>
      <c r="DB5" s="10"/>
      <c r="DC5" s="10"/>
      <c r="DD5" s="10"/>
      <c r="DE5" s="10"/>
      <c r="DI5" s="10"/>
      <c r="DJ5" s="10"/>
      <c r="DK5" s="10"/>
      <c r="DL5" s="10"/>
      <c r="DP5" s="10"/>
      <c r="DQ5" s="10"/>
      <c r="DR5" s="10"/>
      <c r="DS5" s="10"/>
      <c r="DX5" s="10"/>
      <c r="DY5" s="10"/>
      <c r="DZ5" s="10"/>
      <c r="EA5" s="10"/>
    </row>
    <row r="6" spans="2:132" outlineLevel="1" x14ac:dyDescent="0.2">
      <c r="B6" t="s">
        <v>28</v>
      </c>
      <c r="C6" t="s">
        <v>99</v>
      </c>
      <c r="E6" s="9"/>
      <c r="F6" t="s">
        <v>110</v>
      </c>
      <c r="G6" s="10">
        <v>0.1</v>
      </c>
      <c r="I6" s="9">
        <f t="shared" ref="I6:I14" si="0">+SUMIF($N$3:$ZZ$3,I$3,$N6:$ZZ6)</f>
        <v>0</v>
      </c>
      <c r="J6" s="11" cm="1">
        <f t="array" ref="J6">MAX(IF($N$3:$EH$3=$J$3,N6:EH6))</f>
        <v>0</v>
      </c>
      <c r="K6" s="11" cm="1">
        <f t="array" ref="K6">MAX(IF($N$3:$EH$3=$J$3,N6:EH6))</f>
        <v>0</v>
      </c>
      <c r="L6" s="9"/>
      <c r="O6" s="10"/>
      <c r="P6" s="10"/>
      <c r="Q6" s="10"/>
      <c r="R6" s="10"/>
      <c r="V6" s="10"/>
      <c r="W6" s="10"/>
      <c r="X6" s="10"/>
      <c r="Y6" s="10"/>
      <c r="AC6" s="10"/>
      <c r="AD6" s="10"/>
      <c r="AE6" s="10"/>
      <c r="AF6" s="10"/>
      <c r="AJ6" s="10"/>
      <c r="AK6" s="10"/>
      <c r="AL6" s="10"/>
      <c r="AM6" s="10"/>
      <c r="AQ6" s="10"/>
      <c r="AR6" s="10"/>
      <c r="AS6" s="10"/>
      <c r="AT6" s="10"/>
      <c r="AX6" s="10"/>
      <c r="AY6" s="10"/>
      <c r="AZ6" s="10"/>
      <c r="BA6" s="10"/>
      <c r="BE6" s="10"/>
      <c r="BF6" s="10"/>
      <c r="BG6" s="10"/>
      <c r="BH6" s="10"/>
      <c r="BL6" s="10"/>
      <c r="BM6" s="10">
        <v>0.5</v>
      </c>
      <c r="BN6" s="10"/>
      <c r="BO6" s="10">
        <v>0.5</v>
      </c>
      <c r="BS6" s="10"/>
      <c r="BT6" s="10">
        <v>0.5</v>
      </c>
      <c r="BU6" s="10"/>
      <c r="BV6" s="10">
        <v>0.5</v>
      </c>
      <c r="BZ6" s="10"/>
      <c r="CA6" s="10">
        <v>0.8</v>
      </c>
      <c r="CB6" s="10"/>
      <c r="CC6" s="10">
        <v>0.8</v>
      </c>
      <c r="CG6" s="10"/>
      <c r="CH6" s="10">
        <v>0.8</v>
      </c>
      <c r="CI6" s="10"/>
      <c r="CJ6" s="10">
        <v>0.8</v>
      </c>
      <c r="CN6" s="10"/>
      <c r="CO6" s="10">
        <v>1</v>
      </c>
      <c r="CP6" s="10"/>
      <c r="CQ6" s="10">
        <v>1</v>
      </c>
      <c r="CU6" s="10"/>
      <c r="CV6" s="10">
        <v>1</v>
      </c>
      <c r="CW6" s="10"/>
      <c r="CX6" s="10">
        <v>1</v>
      </c>
      <c r="DB6" s="10"/>
      <c r="DC6" s="10"/>
      <c r="DD6" s="10"/>
      <c r="DE6" s="10"/>
      <c r="DI6" s="10"/>
      <c r="DJ6" s="10"/>
      <c r="DK6" s="10"/>
      <c r="DL6" s="10"/>
      <c r="DP6" s="10"/>
      <c r="DQ6" s="10"/>
      <c r="DR6" s="10"/>
      <c r="DS6" s="10"/>
      <c r="DX6" s="10"/>
      <c r="DY6" s="10"/>
      <c r="DZ6" s="10"/>
      <c r="EA6" s="10"/>
    </row>
    <row r="7" spans="2:132" outlineLevel="1" x14ac:dyDescent="0.2">
      <c r="B7" t="s">
        <v>28</v>
      </c>
      <c r="C7" t="s">
        <v>99</v>
      </c>
      <c r="E7" s="9"/>
      <c r="F7" t="s">
        <v>111</v>
      </c>
      <c r="G7" s="10">
        <v>0.1</v>
      </c>
      <c r="I7" s="9">
        <f t="shared" si="0"/>
        <v>0</v>
      </c>
      <c r="J7" s="11" cm="1">
        <f t="array" ref="J7">MAX(IF($N$3:$EH$3=$J$3,N7:EH7))</f>
        <v>0</v>
      </c>
      <c r="K7" s="11" cm="1">
        <f t="array" ref="K7">MAX(IF($N$3:$EH$3=$J$3,N7:EH7))</f>
        <v>0</v>
      </c>
      <c r="L7" s="9"/>
      <c r="O7" s="10"/>
      <c r="P7" s="10"/>
      <c r="Q7" s="10"/>
      <c r="R7" s="10"/>
      <c r="V7" s="10"/>
      <c r="W7" s="10"/>
      <c r="X7" s="10"/>
      <c r="Y7" s="10"/>
      <c r="AC7" s="10"/>
      <c r="AD7" s="10"/>
      <c r="AE7" s="10"/>
      <c r="AF7" s="10"/>
      <c r="AJ7" s="10"/>
      <c r="AK7" s="10"/>
      <c r="AL7" s="10"/>
      <c r="AM7" s="10"/>
      <c r="AQ7" s="10"/>
      <c r="AR7" s="10"/>
      <c r="AS7" s="10"/>
      <c r="AT7" s="10"/>
      <c r="AX7" s="10"/>
      <c r="AY7" s="10"/>
      <c r="AZ7" s="10"/>
      <c r="BA7" s="10"/>
      <c r="BE7" s="10"/>
      <c r="BF7" s="10"/>
      <c r="BG7" s="10"/>
      <c r="BH7" s="10"/>
      <c r="BL7" s="10"/>
      <c r="BM7" s="10">
        <v>0.5</v>
      </c>
      <c r="BN7" s="10"/>
      <c r="BO7" s="10">
        <v>0.5</v>
      </c>
      <c r="BS7" s="10"/>
      <c r="BT7" s="10">
        <v>0.5</v>
      </c>
      <c r="BU7" s="10"/>
      <c r="BV7" s="10">
        <v>0.5</v>
      </c>
      <c r="BZ7" s="10"/>
      <c r="CA7" s="10">
        <v>0.8</v>
      </c>
      <c r="CB7" s="10"/>
      <c r="CC7" s="10">
        <v>0.8</v>
      </c>
      <c r="CG7" s="10"/>
      <c r="CH7" s="10">
        <v>0.8</v>
      </c>
      <c r="CI7" s="10"/>
      <c r="CJ7" s="10">
        <v>0.8</v>
      </c>
      <c r="CN7" s="10"/>
      <c r="CO7" s="10">
        <v>1</v>
      </c>
      <c r="CP7" s="10"/>
      <c r="CQ7" s="10">
        <v>1</v>
      </c>
      <c r="CU7" s="10"/>
      <c r="CV7" s="10">
        <v>1</v>
      </c>
      <c r="CW7" s="10"/>
      <c r="CX7" s="10">
        <v>1</v>
      </c>
      <c r="DB7" s="10"/>
      <c r="DC7" s="10"/>
      <c r="DD7" s="10"/>
      <c r="DE7" s="10"/>
      <c r="DI7" s="10"/>
      <c r="DJ7" s="10"/>
      <c r="DK7" s="10"/>
      <c r="DL7" s="10"/>
      <c r="DP7" s="10"/>
      <c r="DQ7" s="10"/>
      <c r="DR7" s="10"/>
      <c r="DS7" s="10"/>
      <c r="DX7" s="10"/>
      <c r="DY7" s="10"/>
      <c r="DZ7" s="10"/>
      <c r="EA7" s="10"/>
    </row>
    <row r="8" spans="2:132" outlineLevel="1" x14ac:dyDescent="0.2">
      <c r="B8" t="s">
        <v>28</v>
      </c>
      <c r="C8" t="s">
        <v>99</v>
      </c>
      <c r="E8" s="9"/>
      <c r="F8" t="s">
        <v>112</v>
      </c>
      <c r="G8" s="10">
        <v>0.1</v>
      </c>
      <c r="I8" s="9">
        <f t="shared" si="0"/>
        <v>0</v>
      </c>
      <c r="J8" s="11" cm="1">
        <f t="array" ref="J8">MAX(IF($N$3:$EH$3=$J$3,N8:EH8))</f>
        <v>0</v>
      </c>
      <c r="K8" s="11" cm="1">
        <f t="array" ref="K8">MAX(IF($N$3:$EH$3=$J$3,N8:EH8))</f>
        <v>0</v>
      </c>
      <c r="L8" s="9"/>
      <c r="O8" s="10"/>
      <c r="P8" s="10"/>
      <c r="Q8" s="10"/>
      <c r="R8" s="10"/>
      <c r="V8" s="10"/>
      <c r="W8" s="10"/>
      <c r="X8" s="10"/>
      <c r="Y8" s="10"/>
      <c r="AC8" s="10"/>
      <c r="AD8" s="10"/>
      <c r="AE8" s="10"/>
      <c r="AF8" s="10"/>
      <c r="AJ8" s="10"/>
      <c r="AK8" s="10"/>
      <c r="AL8" s="10"/>
      <c r="AM8" s="10"/>
      <c r="AQ8" s="10"/>
      <c r="AR8" s="10"/>
      <c r="AS8" s="10"/>
      <c r="AT8" s="10"/>
      <c r="AX8" s="10"/>
      <c r="AY8" s="10"/>
      <c r="AZ8" s="10"/>
      <c r="BA8" s="10"/>
      <c r="BE8" s="10"/>
      <c r="BF8" s="10"/>
      <c r="BG8" s="10"/>
      <c r="BH8" s="10"/>
      <c r="BL8" s="10"/>
      <c r="BM8" s="10">
        <v>0.5</v>
      </c>
      <c r="BN8" s="10"/>
      <c r="BO8" s="10">
        <v>0.5</v>
      </c>
      <c r="BS8" s="10"/>
      <c r="BT8" s="10">
        <v>0.5</v>
      </c>
      <c r="BU8" s="10"/>
      <c r="BV8" s="10">
        <v>0.5</v>
      </c>
      <c r="BZ8" s="10"/>
      <c r="CA8" s="10">
        <v>0.5</v>
      </c>
      <c r="CB8" s="10"/>
      <c r="CC8" s="10">
        <v>0.5</v>
      </c>
      <c r="CG8" s="10"/>
      <c r="CH8" s="10">
        <v>0.8</v>
      </c>
      <c r="CI8" s="10"/>
      <c r="CJ8" s="10">
        <v>0.8</v>
      </c>
      <c r="CN8" s="10"/>
      <c r="CO8" s="10">
        <v>1</v>
      </c>
      <c r="CP8" s="10"/>
      <c r="CQ8" s="10">
        <v>1</v>
      </c>
      <c r="CU8" s="10"/>
      <c r="CV8" s="10">
        <v>1</v>
      </c>
      <c r="CW8" s="10"/>
      <c r="CX8" s="10">
        <v>1</v>
      </c>
      <c r="DB8" s="10"/>
      <c r="DC8" s="10"/>
      <c r="DD8" s="10"/>
      <c r="DE8" s="10"/>
      <c r="DI8" s="10"/>
      <c r="DJ8" s="10"/>
      <c r="DK8" s="10"/>
      <c r="DL8" s="10"/>
      <c r="DP8" s="10"/>
      <c r="DQ8" s="10"/>
      <c r="DR8" s="10"/>
      <c r="DS8" s="10"/>
      <c r="DX8" s="10"/>
      <c r="DY8" s="10"/>
      <c r="DZ8" s="10"/>
      <c r="EA8" s="10"/>
    </row>
    <row r="9" spans="2:132" outlineLevel="1" x14ac:dyDescent="0.2">
      <c r="B9" t="s">
        <v>28</v>
      </c>
      <c r="C9" t="s">
        <v>99</v>
      </c>
      <c r="E9" s="9"/>
      <c r="F9" t="s">
        <v>113</v>
      </c>
      <c r="G9" s="10">
        <v>0.1</v>
      </c>
      <c r="I9" s="9">
        <f t="shared" si="0"/>
        <v>0</v>
      </c>
      <c r="J9" s="11" cm="1">
        <f t="array" ref="J9">MAX(IF($N$3:$EH$3=$J$3,N9:EH9))</f>
        <v>0</v>
      </c>
      <c r="K9" s="11" cm="1">
        <f t="array" ref="K9">MAX(IF($N$3:$EH$3=$J$3,N9:EH9))</f>
        <v>0</v>
      </c>
      <c r="L9" s="9"/>
      <c r="O9" s="10"/>
      <c r="P9" s="10"/>
      <c r="Q9" s="10"/>
      <c r="R9" s="10"/>
      <c r="V9" s="10"/>
      <c r="W9" s="10"/>
      <c r="X9" s="10"/>
      <c r="Y9" s="10"/>
      <c r="AC9" s="10"/>
      <c r="AD9" s="10"/>
      <c r="AE9" s="10"/>
      <c r="AF9" s="10"/>
      <c r="AJ9" s="10"/>
      <c r="AK9" s="10"/>
      <c r="AL9" s="10"/>
      <c r="AM9" s="10"/>
      <c r="AQ9" s="10"/>
      <c r="AR9" s="10"/>
      <c r="AS9" s="10"/>
      <c r="AT9" s="10"/>
      <c r="AX9" s="10"/>
      <c r="AY9" s="10"/>
      <c r="AZ9" s="10"/>
      <c r="BA9" s="10"/>
      <c r="BE9" s="10"/>
      <c r="BF9" s="10"/>
      <c r="BG9" s="10"/>
      <c r="BH9" s="10"/>
      <c r="BL9" s="10"/>
      <c r="BM9" s="10">
        <v>0.5</v>
      </c>
      <c r="BN9" s="10"/>
      <c r="BO9" s="10">
        <v>0.5</v>
      </c>
      <c r="BS9" s="10"/>
      <c r="BT9" s="10">
        <v>0.5</v>
      </c>
      <c r="BU9" s="10"/>
      <c r="BV9" s="10">
        <v>0.5</v>
      </c>
      <c r="BZ9" s="10"/>
      <c r="CA9" s="10">
        <v>0.5</v>
      </c>
      <c r="CB9" s="10"/>
      <c r="CC9" s="10">
        <v>0.5</v>
      </c>
      <c r="CG9" s="10"/>
      <c r="CH9" s="10">
        <v>0.8</v>
      </c>
      <c r="CI9" s="10"/>
      <c r="CJ9" s="10">
        <v>0.8</v>
      </c>
      <c r="CN9" s="10"/>
      <c r="CO9" s="10">
        <v>1</v>
      </c>
      <c r="CP9" s="10"/>
      <c r="CQ9" s="10">
        <v>1</v>
      </c>
      <c r="CU9" s="10"/>
      <c r="CV9" s="10">
        <v>1</v>
      </c>
      <c r="CW9" s="10"/>
      <c r="CX9" s="10">
        <v>1</v>
      </c>
      <c r="DB9" s="10"/>
      <c r="DC9" s="10"/>
      <c r="DD9" s="10"/>
      <c r="DE9" s="10"/>
      <c r="DI9" s="10"/>
      <c r="DJ9" s="10"/>
      <c r="DK9" s="10"/>
      <c r="DL9" s="10"/>
      <c r="DP9" s="10"/>
      <c r="DQ9" s="10"/>
      <c r="DR9" s="10"/>
      <c r="DS9" s="10"/>
      <c r="DX9" s="10"/>
      <c r="DY9" s="10"/>
      <c r="DZ9" s="10"/>
      <c r="EA9" s="10"/>
    </row>
    <row r="10" spans="2:132" outlineLevel="1" x14ac:dyDescent="0.2">
      <c r="B10" t="s">
        <v>28</v>
      </c>
      <c r="C10" t="s">
        <v>99</v>
      </c>
      <c r="E10" s="9"/>
      <c r="F10" t="s">
        <v>114</v>
      </c>
      <c r="G10" s="10">
        <v>0.1</v>
      </c>
      <c r="I10" s="9">
        <f t="shared" si="0"/>
        <v>0</v>
      </c>
      <c r="J10" s="11" cm="1">
        <f t="array" ref="J10">MAX(IF($N$3:$EH$3=$J$3,N10:EH10))</f>
        <v>0</v>
      </c>
      <c r="K10" s="11" cm="1">
        <f t="array" ref="K10">MAX(IF($N$3:$EH$3=$J$3,N10:EH10))</f>
        <v>0</v>
      </c>
      <c r="L10" s="9"/>
      <c r="O10" s="10"/>
      <c r="P10" s="10"/>
      <c r="Q10" s="10"/>
      <c r="R10" s="10"/>
      <c r="V10" s="10"/>
      <c r="W10" s="10"/>
      <c r="X10" s="10"/>
      <c r="Y10" s="10"/>
      <c r="AC10" s="10"/>
      <c r="AD10" s="10"/>
      <c r="AE10" s="10"/>
      <c r="AF10" s="10"/>
      <c r="AJ10" s="10"/>
      <c r="AK10" s="10"/>
      <c r="AL10" s="10"/>
      <c r="AM10" s="10"/>
      <c r="AQ10" s="10"/>
      <c r="AR10" s="10"/>
      <c r="AS10" s="10"/>
      <c r="AT10" s="10"/>
      <c r="AX10" s="10"/>
      <c r="AY10" s="10"/>
      <c r="AZ10" s="10"/>
      <c r="BA10" s="10"/>
      <c r="BE10" s="10"/>
      <c r="BF10" s="10"/>
      <c r="BG10" s="10"/>
      <c r="BH10" s="10"/>
      <c r="BL10" s="10"/>
      <c r="BM10" s="10">
        <v>0.5</v>
      </c>
      <c r="BN10" s="10"/>
      <c r="BO10" s="10">
        <v>0.5</v>
      </c>
      <c r="BS10" s="10"/>
      <c r="BT10" s="10">
        <v>0.5</v>
      </c>
      <c r="BU10" s="10"/>
      <c r="BV10" s="10">
        <v>0.5</v>
      </c>
      <c r="BZ10" s="10"/>
      <c r="CA10" s="10">
        <v>0.5</v>
      </c>
      <c r="CB10" s="10"/>
      <c r="CC10" s="10">
        <v>0.5</v>
      </c>
      <c r="CG10" s="10"/>
      <c r="CH10" s="10">
        <v>0.8</v>
      </c>
      <c r="CI10" s="10"/>
      <c r="CJ10" s="10">
        <v>0.8</v>
      </c>
      <c r="CN10" s="10"/>
      <c r="CO10" s="10">
        <v>0.8</v>
      </c>
      <c r="CP10" s="10"/>
      <c r="CQ10" s="10">
        <v>0.8</v>
      </c>
      <c r="CU10" s="10"/>
      <c r="CV10" s="10">
        <v>1</v>
      </c>
      <c r="CW10" s="10"/>
      <c r="CX10" s="10">
        <v>1</v>
      </c>
      <c r="DB10" s="10"/>
      <c r="DC10" s="10"/>
      <c r="DD10" s="10"/>
      <c r="DE10" s="10"/>
      <c r="DI10" s="10"/>
      <c r="DJ10" s="10"/>
      <c r="DK10" s="10"/>
      <c r="DL10" s="10"/>
      <c r="DP10" s="10"/>
      <c r="DQ10" s="10"/>
      <c r="DR10" s="10"/>
      <c r="DS10" s="10"/>
      <c r="DX10" s="10"/>
      <c r="DY10" s="10"/>
      <c r="DZ10" s="10"/>
      <c r="EA10" s="10"/>
    </row>
    <row r="11" spans="2:132" outlineLevel="1" x14ac:dyDescent="0.2">
      <c r="B11" t="s">
        <v>28</v>
      </c>
      <c r="C11" t="s">
        <v>99</v>
      </c>
      <c r="E11" s="9"/>
      <c r="F11" t="s">
        <v>115</v>
      </c>
      <c r="G11" s="10">
        <v>0.1</v>
      </c>
      <c r="I11" s="9">
        <f t="shared" si="0"/>
        <v>0</v>
      </c>
      <c r="J11" s="11" cm="1">
        <f t="array" ref="J11">MAX(IF($N$3:$EH$3=$J$3,N11:EH11))</f>
        <v>0</v>
      </c>
      <c r="K11" s="11" cm="1">
        <f t="array" ref="K11">MAX(IF($N$3:$EH$3=$J$3,N11:EH11))</f>
        <v>0</v>
      </c>
      <c r="L11" s="9"/>
      <c r="O11" s="10"/>
      <c r="P11" s="10"/>
      <c r="Q11" s="10"/>
      <c r="R11" s="10"/>
      <c r="V11" s="10"/>
      <c r="W11" s="10"/>
      <c r="X11" s="10"/>
      <c r="Y11" s="10"/>
      <c r="AC11" s="10"/>
      <c r="AD11" s="10"/>
      <c r="AE11" s="10"/>
      <c r="AF11" s="10"/>
      <c r="AJ11" s="10"/>
      <c r="AK11" s="10"/>
      <c r="AL11" s="10"/>
      <c r="AM11" s="10"/>
      <c r="AQ11" s="10"/>
      <c r="AR11" s="10"/>
      <c r="AS11" s="10"/>
      <c r="AT11" s="10"/>
      <c r="AX11" s="10"/>
      <c r="AY11" s="10"/>
      <c r="AZ11" s="10"/>
      <c r="BA11" s="10"/>
      <c r="BE11" s="10"/>
      <c r="BF11" s="10"/>
      <c r="BG11" s="10"/>
      <c r="BH11" s="10"/>
      <c r="BL11" s="10"/>
      <c r="BM11" s="10">
        <v>0.5</v>
      </c>
      <c r="BN11" s="10"/>
      <c r="BO11" s="10">
        <v>0.5</v>
      </c>
      <c r="BS11" s="10"/>
      <c r="BT11" s="10">
        <v>0.5</v>
      </c>
      <c r="BU11" s="10"/>
      <c r="BV11" s="10">
        <v>0.5</v>
      </c>
      <c r="BZ11" s="10"/>
      <c r="CA11" s="10">
        <v>0.5</v>
      </c>
      <c r="CB11" s="10"/>
      <c r="CC11" s="10">
        <v>0.5</v>
      </c>
      <c r="CG11" s="10"/>
      <c r="CH11" s="10">
        <v>0.8</v>
      </c>
      <c r="CI11" s="10"/>
      <c r="CJ11" s="10">
        <v>0.8</v>
      </c>
      <c r="CN11" s="10"/>
      <c r="CO11" s="10">
        <v>0.8</v>
      </c>
      <c r="CP11" s="10"/>
      <c r="CQ11" s="10">
        <v>0.8</v>
      </c>
      <c r="CU11" s="10"/>
      <c r="CV11" s="10">
        <v>1</v>
      </c>
      <c r="CW11" s="10"/>
      <c r="CX11" s="10">
        <v>1</v>
      </c>
      <c r="DB11" s="10"/>
      <c r="DC11" s="10"/>
      <c r="DD11" s="10"/>
      <c r="DE11" s="10"/>
      <c r="DI11" s="10"/>
      <c r="DJ11" s="10"/>
      <c r="DK11" s="10"/>
      <c r="DL11" s="10"/>
      <c r="DP11" s="10"/>
      <c r="DQ11" s="10"/>
      <c r="DR11" s="10"/>
      <c r="DS11" s="10"/>
      <c r="DX11" s="10"/>
      <c r="DY11" s="10"/>
      <c r="DZ11" s="10"/>
      <c r="EA11" s="10"/>
    </row>
    <row r="12" spans="2:132" outlineLevel="1" x14ac:dyDescent="0.2">
      <c r="B12" t="s">
        <v>28</v>
      </c>
      <c r="C12" t="s">
        <v>99</v>
      </c>
      <c r="E12" s="9"/>
      <c r="F12" t="s">
        <v>116</v>
      </c>
      <c r="G12" s="10">
        <v>0.1</v>
      </c>
      <c r="I12" s="9">
        <f t="shared" si="0"/>
        <v>0</v>
      </c>
      <c r="J12" s="11" cm="1">
        <f t="array" ref="J12">MAX(IF($N$3:$EH$3=$J$3,N12:EH12))</f>
        <v>0</v>
      </c>
      <c r="K12" s="11" cm="1">
        <f t="array" ref="K12">MAX(IF($N$3:$EH$3=$J$3,N12:EH12))</f>
        <v>0</v>
      </c>
      <c r="L12" s="9"/>
      <c r="O12" s="10"/>
      <c r="P12" s="10"/>
      <c r="Q12" s="10"/>
      <c r="R12" s="10"/>
      <c r="V12" s="10"/>
      <c r="W12" s="10"/>
      <c r="X12" s="10"/>
      <c r="Y12" s="10"/>
      <c r="AC12" s="10"/>
      <c r="AD12" s="10"/>
      <c r="AE12" s="10"/>
      <c r="AF12" s="10"/>
      <c r="AJ12" s="10"/>
      <c r="AK12" s="10"/>
      <c r="AL12" s="10"/>
      <c r="AM12" s="10"/>
      <c r="AQ12" s="10"/>
      <c r="AR12" s="10"/>
      <c r="AS12" s="10"/>
      <c r="AT12" s="10"/>
      <c r="AX12" s="10"/>
      <c r="AY12" s="10"/>
      <c r="AZ12" s="10"/>
      <c r="BA12" s="10"/>
      <c r="BE12" s="10"/>
      <c r="BF12" s="10"/>
      <c r="BG12" s="10"/>
      <c r="BH12" s="10"/>
      <c r="BL12" s="10"/>
      <c r="BM12" s="10">
        <v>0.5</v>
      </c>
      <c r="BN12" s="10"/>
      <c r="BO12" s="10">
        <v>0.5</v>
      </c>
      <c r="BS12" s="10"/>
      <c r="BT12" s="10">
        <v>0.5</v>
      </c>
      <c r="BU12" s="10"/>
      <c r="BV12" s="10">
        <v>0.5</v>
      </c>
      <c r="BZ12" s="10"/>
      <c r="CA12" s="10">
        <v>0.5</v>
      </c>
      <c r="CB12" s="10"/>
      <c r="CC12" s="10">
        <v>0.5</v>
      </c>
      <c r="CG12" s="10"/>
      <c r="CH12" s="10">
        <v>0.8</v>
      </c>
      <c r="CI12" s="10"/>
      <c r="CJ12" s="10">
        <v>0.8</v>
      </c>
      <c r="CN12" s="10"/>
      <c r="CO12" s="10">
        <v>0.8</v>
      </c>
      <c r="CP12" s="10"/>
      <c r="CQ12" s="10">
        <v>0.8</v>
      </c>
      <c r="CU12" s="10"/>
      <c r="CV12" s="10">
        <v>1</v>
      </c>
      <c r="CW12" s="10"/>
      <c r="CX12" s="10">
        <v>1</v>
      </c>
      <c r="DB12" s="10"/>
      <c r="DC12" s="10"/>
      <c r="DD12" s="10"/>
      <c r="DE12" s="10"/>
      <c r="DI12" s="10"/>
      <c r="DJ12" s="10"/>
      <c r="DK12" s="10"/>
      <c r="DL12" s="10"/>
      <c r="DP12" s="10"/>
      <c r="DQ12" s="10"/>
      <c r="DR12" s="10"/>
      <c r="DS12" s="10"/>
      <c r="DX12" s="10"/>
      <c r="DY12" s="10"/>
      <c r="DZ12" s="10"/>
      <c r="EA12" s="10"/>
    </row>
    <row r="13" spans="2:132" outlineLevel="1" x14ac:dyDescent="0.2">
      <c r="B13" t="s">
        <v>28</v>
      </c>
      <c r="C13" t="s">
        <v>99</v>
      </c>
      <c r="E13" s="9"/>
      <c r="F13" t="s">
        <v>117</v>
      </c>
      <c r="G13" s="10">
        <v>0.1</v>
      </c>
      <c r="I13" s="9">
        <f t="shared" si="0"/>
        <v>0</v>
      </c>
      <c r="J13" s="11" cm="1">
        <f t="array" ref="J13">MAX(IF($N$3:$EH$3=$J$3,N13:EH13))</f>
        <v>0</v>
      </c>
      <c r="K13" s="11" cm="1">
        <f t="array" ref="K13">MAX(IF($N$3:$EH$3=$J$3,N13:EH13))</f>
        <v>0</v>
      </c>
      <c r="L13" s="9"/>
      <c r="O13" s="10"/>
      <c r="P13" s="10"/>
      <c r="Q13" s="10"/>
      <c r="R13" s="10"/>
      <c r="V13" s="10"/>
      <c r="W13" s="10"/>
      <c r="X13" s="10"/>
      <c r="Y13" s="10"/>
      <c r="AC13" s="10"/>
      <c r="AD13" s="10"/>
      <c r="AE13" s="10"/>
      <c r="AF13" s="10"/>
      <c r="AJ13" s="10"/>
      <c r="AK13" s="10"/>
      <c r="AL13" s="10"/>
      <c r="AM13" s="10"/>
      <c r="AQ13" s="10"/>
      <c r="AR13" s="10"/>
      <c r="AS13" s="10"/>
      <c r="AT13" s="10"/>
      <c r="AX13" s="10"/>
      <c r="AY13" s="10"/>
      <c r="AZ13" s="10"/>
      <c r="BA13" s="10"/>
      <c r="BE13" s="10"/>
      <c r="BF13" s="10"/>
      <c r="BG13" s="10"/>
      <c r="BH13" s="10"/>
      <c r="BL13" s="10"/>
      <c r="BM13" s="10"/>
      <c r="BN13" s="10"/>
      <c r="BO13" s="10"/>
      <c r="BS13" s="10"/>
      <c r="BT13" s="10"/>
      <c r="BU13" s="10"/>
      <c r="BV13" s="10"/>
      <c r="BZ13" s="10"/>
      <c r="CA13" s="10">
        <v>0.5</v>
      </c>
      <c r="CB13" s="10"/>
      <c r="CC13" s="10">
        <v>0.5</v>
      </c>
      <c r="CG13" s="10"/>
      <c r="CH13" s="10">
        <v>0.8</v>
      </c>
      <c r="CI13" s="10"/>
      <c r="CJ13" s="10">
        <v>0.8</v>
      </c>
      <c r="CN13" s="10"/>
      <c r="CO13" s="10">
        <v>0.8</v>
      </c>
      <c r="CP13" s="10"/>
      <c r="CQ13" s="10">
        <v>0.8</v>
      </c>
      <c r="CU13" s="10"/>
      <c r="CV13" s="10">
        <v>1</v>
      </c>
      <c r="CW13" s="10"/>
      <c r="CX13" s="10">
        <v>1</v>
      </c>
      <c r="DB13" s="10"/>
      <c r="DC13" s="10"/>
      <c r="DD13" s="10"/>
      <c r="DE13" s="10"/>
      <c r="DI13" s="10"/>
      <c r="DJ13" s="10"/>
      <c r="DK13" s="10"/>
      <c r="DL13" s="10"/>
      <c r="DP13" s="10"/>
      <c r="DQ13" s="10"/>
      <c r="DR13" s="10"/>
      <c r="DS13" s="10"/>
      <c r="DX13" s="10"/>
      <c r="DY13" s="10"/>
      <c r="DZ13" s="10"/>
      <c r="EA13" s="10"/>
    </row>
    <row r="14" spans="2:132" outlineLevel="1" x14ac:dyDescent="0.2">
      <c r="B14" t="s">
        <v>28</v>
      </c>
      <c r="C14" t="s">
        <v>99</v>
      </c>
      <c r="E14" s="9"/>
      <c r="F14" t="s">
        <v>118</v>
      </c>
      <c r="G14" s="10">
        <v>0.1</v>
      </c>
      <c r="I14" s="9">
        <f t="shared" si="0"/>
        <v>0</v>
      </c>
      <c r="J14" s="11" cm="1">
        <f t="array" ref="J14">MAX(IF($N$3:$EH$3=$J$3,N14:EH14))</f>
        <v>0</v>
      </c>
      <c r="K14" s="11" cm="1">
        <f t="array" ref="K14">MAX(IF($N$3:$EH$3=$J$3,N14:EH14))</f>
        <v>0</v>
      </c>
      <c r="L14" s="9"/>
      <c r="O14" s="10"/>
      <c r="P14" s="10"/>
      <c r="Q14" s="10"/>
      <c r="R14" s="10"/>
      <c r="V14" s="10"/>
      <c r="W14" s="10"/>
      <c r="X14" s="10"/>
      <c r="Y14" s="10"/>
      <c r="AC14" s="10"/>
      <c r="AD14" s="10"/>
      <c r="AE14" s="10"/>
      <c r="AF14" s="10"/>
      <c r="AJ14" s="10"/>
      <c r="AK14" s="10"/>
      <c r="AL14" s="10"/>
      <c r="AM14" s="10"/>
      <c r="AQ14" s="10"/>
      <c r="AR14" s="10"/>
      <c r="AS14" s="10"/>
      <c r="AT14" s="10"/>
      <c r="AX14" s="10"/>
      <c r="AY14" s="10"/>
      <c r="AZ14" s="10"/>
      <c r="BA14" s="10"/>
      <c r="BE14" s="10"/>
      <c r="BF14" s="10"/>
      <c r="BG14" s="10"/>
      <c r="BH14" s="10"/>
      <c r="BL14" s="10"/>
      <c r="BM14" s="10"/>
      <c r="BN14" s="10"/>
      <c r="BO14" s="10"/>
      <c r="BS14" s="10"/>
      <c r="BT14" s="10"/>
      <c r="BU14" s="10"/>
      <c r="BV14" s="10"/>
      <c r="BZ14" s="10"/>
      <c r="CA14" s="10">
        <v>0.5</v>
      </c>
      <c r="CB14" s="10"/>
      <c r="CC14" s="10">
        <v>0.5</v>
      </c>
      <c r="CG14" s="10"/>
      <c r="CH14" s="10">
        <v>0.5</v>
      </c>
      <c r="CI14" s="10"/>
      <c r="CJ14" s="10">
        <v>0.5</v>
      </c>
      <c r="CN14" s="10"/>
      <c r="CO14" s="10">
        <v>0.8</v>
      </c>
      <c r="CP14" s="10"/>
      <c r="CQ14" s="10">
        <v>0.8</v>
      </c>
      <c r="CU14" s="10"/>
      <c r="CV14" s="10">
        <v>1</v>
      </c>
      <c r="CW14" s="10"/>
      <c r="CX14" s="10">
        <v>1</v>
      </c>
      <c r="DB14" s="10"/>
      <c r="DC14" s="10"/>
      <c r="DD14" s="10"/>
      <c r="DE14" s="10"/>
      <c r="DI14" s="10"/>
      <c r="DJ14" s="10"/>
      <c r="DK14" s="10"/>
      <c r="DL14" s="10"/>
      <c r="DP14" s="10"/>
      <c r="DQ14" s="10"/>
      <c r="DR14" s="10"/>
      <c r="DS14" s="10"/>
      <c r="DX14" s="10"/>
      <c r="DY14" s="10"/>
      <c r="DZ14" s="10"/>
      <c r="EA14" s="10"/>
    </row>
    <row r="16" spans="2:132" x14ac:dyDescent="0.2">
      <c r="B16" t="s">
        <v>27</v>
      </c>
      <c r="C16" t="s">
        <v>100</v>
      </c>
      <c r="D16" s="20" t="s">
        <v>105</v>
      </c>
      <c r="E16" s="9">
        <v>6</v>
      </c>
      <c r="G16" s="10">
        <f>+SUM(G17:G27)</f>
        <v>0.99999999999999989</v>
      </c>
      <c r="I16" s="12">
        <f>+SUM(I17:I27)</f>
        <v>16</v>
      </c>
      <c r="J16" s="11">
        <f>+SUMPRODUCT(G17:G27,J17:J27)</f>
        <v>0.05</v>
      </c>
      <c r="K16" s="11">
        <f>+SUMPRODUCT(G17:G27,K17:K27)</f>
        <v>0.05</v>
      </c>
      <c r="L16" s="9"/>
      <c r="N16" s="12">
        <f>+SUM(N17:N27)</f>
        <v>11</v>
      </c>
      <c r="U16" s="12">
        <f>+SUM(U17:U27)</f>
        <v>5</v>
      </c>
      <c r="AB16" s="12">
        <f>+SUM(AB17:AB27)</f>
        <v>0</v>
      </c>
      <c r="AI16" s="12">
        <f>+SUM(AI17:AI27)</f>
        <v>0</v>
      </c>
      <c r="AP16" s="12">
        <f>+SUM(AP17:AP27)</f>
        <v>0</v>
      </c>
      <c r="BF16" s="10"/>
      <c r="BG16" s="10"/>
    </row>
    <row r="17" spans="2:131" outlineLevel="1" x14ac:dyDescent="0.2">
      <c r="B17" t="s">
        <v>28</v>
      </c>
      <c r="C17" t="s">
        <v>100</v>
      </c>
      <c r="E17" s="9"/>
      <c r="F17" t="s">
        <v>119</v>
      </c>
      <c r="G17" s="10">
        <v>0.05</v>
      </c>
      <c r="I17" s="9">
        <f t="shared" ref="I17:I27" si="1">+SUMIF($N$3:$ZZ$3,I$3,$N17:$ZZ17)</f>
        <v>7</v>
      </c>
      <c r="J17" s="11" cm="1">
        <f t="array" ref="J17">MAX(IF($N$3:$EH$3=$J$3,N17:EH17))</f>
        <v>0</v>
      </c>
      <c r="K17" s="11" cm="1">
        <f t="array" ref="K17">MAX(IF($N$3:$EH$3=$J$3,N17:EH17))</f>
        <v>0</v>
      </c>
      <c r="L17" s="9"/>
      <c r="N17">
        <v>7</v>
      </c>
      <c r="O17" s="10"/>
      <c r="P17" s="10">
        <v>0.8</v>
      </c>
      <c r="Q17" s="10"/>
      <c r="R17" s="10">
        <v>0.5</v>
      </c>
      <c r="V17" s="10"/>
      <c r="W17" s="10">
        <v>0.8</v>
      </c>
      <c r="X17" s="10"/>
      <c r="Y17" s="10">
        <v>0.8</v>
      </c>
      <c r="AC17" s="10"/>
      <c r="AD17" s="10">
        <v>0.8</v>
      </c>
      <c r="AE17" s="10"/>
      <c r="AF17" s="10">
        <v>0.8</v>
      </c>
      <c r="AJ17" s="10"/>
      <c r="AK17" s="10">
        <v>1</v>
      </c>
      <c r="AL17" s="10"/>
      <c r="AM17" s="10">
        <v>1</v>
      </c>
      <c r="AQ17" s="10"/>
      <c r="AR17" s="10">
        <v>1</v>
      </c>
      <c r="AS17" s="10"/>
      <c r="AT17" s="10">
        <v>1</v>
      </c>
      <c r="AX17" s="10"/>
      <c r="AY17" s="10"/>
      <c r="AZ17" s="10"/>
      <c r="BA17" s="10"/>
      <c r="BE17" s="10"/>
      <c r="BF17" s="10"/>
      <c r="BG17" s="10"/>
      <c r="BH17" s="10"/>
      <c r="BL17" s="10"/>
      <c r="BM17" s="10"/>
      <c r="BN17" s="10"/>
      <c r="BO17" s="10"/>
      <c r="BS17" s="10"/>
      <c r="BT17" s="10"/>
      <c r="BU17" s="10"/>
      <c r="BV17" s="10"/>
      <c r="BZ17" s="10"/>
      <c r="CA17" s="10"/>
      <c r="CB17" s="10"/>
      <c r="CC17" s="10"/>
      <c r="CG17" s="10"/>
      <c r="CH17" s="10"/>
      <c r="CI17" s="10"/>
      <c r="CJ17" s="10"/>
      <c r="CN17" s="10"/>
      <c r="CO17" s="10"/>
      <c r="CP17" s="10"/>
      <c r="CQ17" s="10"/>
      <c r="CU17" s="10"/>
      <c r="CV17" s="10"/>
      <c r="CW17" s="10"/>
      <c r="CX17" s="10"/>
      <c r="DB17" s="10"/>
      <c r="DC17" s="10"/>
      <c r="DD17" s="10"/>
      <c r="DE17" s="10"/>
      <c r="DI17" s="10"/>
      <c r="DJ17" s="10"/>
      <c r="DK17" s="10"/>
      <c r="DL17" s="10"/>
      <c r="DP17" s="10"/>
      <c r="DQ17" s="10"/>
      <c r="DR17" s="10"/>
      <c r="DS17" s="10"/>
      <c r="DX17" s="10"/>
      <c r="DY17" s="10"/>
      <c r="DZ17" s="10"/>
      <c r="EA17" s="10"/>
    </row>
    <row r="18" spans="2:131" outlineLevel="1" x14ac:dyDescent="0.2">
      <c r="B18" t="s">
        <v>28</v>
      </c>
      <c r="C18" t="s">
        <v>100</v>
      </c>
      <c r="E18" s="9"/>
      <c r="F18" t="s">
        <v>120</v>
      </c>
      <c r="G18" s="10">
        <v>0.05</v>
      </c>
      <c r="I18" s="9">
        <f t="shared" si="1"/>
        <v>4</v>
      </c>
      <c r="J18" s="11" cm="1">
        <f t="array" ref="J18">MAX(IF($N$3:$EH$3=$J$3,N18:EH18))</f>
        <v>0</v>
      </c>
      <c r="K18" s="11" cm="1">
        <f t="array" ref="K18">MAX(IF($N$3:$EH$3=$J$3,N18:EH18))</f>
        <v>0</v>
      </c>
      <c r="L18" s="9"/>
      <c r="N18">
        <v>4</v>
      </c>
      <c r="O18" s="10"/>
      <c r="P18" s="10">
        <v>0.5</v>
      </c>
      <c r="Q18" s="10"/>
      <c r="R18" s="10">
        <v>0.5</v>
      </c>
      <c r="V18" s="10"/>
      <c r="W18" s="10">
        <v>0.5</v>
      </c>
      <c r="X18" s="10"/>
      <c r="Y18" s="10">
        <v>0.5</v>
      </c>
      <c r="AC18" s="10"/>
      <c r="AD18" s="10">
        <v>0.8</v>
      </c>
      <c r="AE18" s="10"/>
      <c r="AF18" s="10">
        <v>0.8</v>
      </c>
      <c r="AJ18" s="10"/>
      <c r="AK18" s="10">
        <v>1</v>
      </c>
      <c r="AL18" s="10"/>
      <c r="AM18" s="10">
        <v>1</v>
      </c>
      <c r="AQ18" s="10"/>
      <c r="AR18" s="10">
        <v>1</v>
      </c>
      <c r="AS18" s="10"/>
      <c r="AT18" s="10">
        <v>1</v>
      </c>
      <c r="AX18" s="10"/>
      <c r="AY18" s="10"/>
      <c r="AZ18" s="10"/>
      <c r="BA18" s="10"/>
      <c r="BE18" s="10"/>
      <c r="BF18" s="10"/>
      <c r="BG18" s="10"/>
      <c r="BH18" s="10"/>
      <c r="BL18" s="10"/>
      <c r="BM18" s="10"/>
      <c r="BN18" s="10"/>
      <c r="BO18" s="10"/>
      <c r="BS18" s="10"/>
      <c r="BT18" s="10"/>
      <c r="BU18" s="10"/>
      <c r="BV18" s="10"/>
      <c r="BZ18" s="10"/>
      <c r="CA18" s="10"/>
      <c r="CB18" s="10"/>
      <c r="CC18" s="10"/>
      <c r="CG18" s="10"/>
      <c r="CH18" s="10"/>
      <c r="CI18" s="10"/>
      <c r="CJ18" s="10"/>
      <c r="CN18" s="10"/>
      <c r="CO18" s="10"/>
      <c r="CP18" s="10"/>
      <c r="CQ18" s="10"/>
      <c r="CU18" s="10"/>
      <c r="CV18" s="10"/>
      <c r="CW18" s="10"/>
      <c r="CX18" s="10"/>
      <c r="DB18" s="10"/>
      <c r="DC18" s="10"/>
      <c r="DD18" s="10"/>
      <c r="DE18" s="10"/>
      <c r="DI18" s="10"/>
      <c r="DJ18" s="10"/>
      <c r="DK18" s="10"/>
      <c r="DL18" s="10"/>
      <c r="DP18" s="10"/>
      <c r="DQ18" s="10"/>
      <c r="DR18" s="10"/>
      <c r="DS18" s="10"/>
      <c r="DX18" s="10"/>
      <c r="DY18" s="10"/>
      <c r="DZ18" s="10"/>
      <c r="EA18" s="10"/>
    </row>
    <row r="19" spans="2:131" outlineLevel="1" x14ac:dyDescent="0.2">
      <c r="B19" t="s">
        <v>28</v>
      </c>
      <c r="C19" t="s">
        <v>100</v>
      </c>
      <c r="E19" s="9"/>
      <c r="F19" t="s">
        <v>121</v>
      </c>
      <c r="G19" s="10">
        <v>0.1</v>
      </c>
      <c r="I19" s="9">
        <f t="shared" si="1"/>
        <v>0</v>
      </c>
      <c r="J19" s="11" cm="1">
        <f t="array" ref="J19">MAX(IF($N$3:$EH$3=$J$3,N19:EH19))</f>
        <v>0</v>
      </c>
      <c r="K19" s="11" cm="1">
        <f t="array" ref="K19">MAX(IF($N$3:$EH$3=$J$3,N19:EH19))</f>
        <v>0</v>
      </c>
      <c r="L19" s="9"/>
      <c r="O19" s="10"/>
      <c r="P19" s="10">
        <v>0.5</v>
      </c>
      <c r="Q19" s="10"/>
      <c r="R19" s="10">
        <v>0.5</v>
      </c>
      <c r="V19" s="10"/>
      <c r="W19" s="10">
        <v>0.5</v>
      </c>
      <c r="X19" s="10"/>
      <c r="Y19" s="10">
        <v>0.5</v>
      </c>
      <c r="AC19" s="10"/>
      <c r="AD19" s="10">
        <v>0.8</v>
      </c>
      <c r="AE19" s="10"/>
      <c r="AF19" s="10">
        <v>0.8</v>
      </c>
      <c r="AJ19" s="10"/>
      <c r="AK19" s="10">
        <v>1</v>
      </c>
      <c r="AL19" s="10"/>
      <c r="AM19" s="10">
        <v>1</v>
      </c>
      <c r="AQ19" s="10"/>
      <c r="AR19" s="10">
        <v>1</v>
      </c>
      <c r="AS19" s="10"/>
      <c r="AT19" s="10">
        <v>1</v>
      </c>
      <c r="AX19" s="10"/>
      <c r="AY19" s="10"/>
      <c r="AZ19" s="10"/>
      <c r="BA19" s="10"/>
      <c r="BE19" s="10"/>
      <c r="BF19" s="10"/>
      <c r="BG19" s="10"/>
      <c r="BH19" s="10"/>
      <c r="BL19" s="10"/>
      <c r="BM19" s="10"/>
      <c r="BN19" s="10"/>
      <c r="BO19" s="10"/>
      <c r="BS19" s="10"/>
      <c r="BT19" s="10"/>
      <c r="BU19" s="10"/>
      <c r="BV19" s="10"/>
      <c r="BZ19" s="10"/>
      <c r="CA19" s="10"/>
      <c r="CB19" s="10"/>
      <c r="CC19" s="10"/>
      <c r="CG19" s="10"/>
      <c r="CH19" s="10"/>
      <c r="CI19" s="10"/>
      <c r="CJ19" s="10"/>
      <c r="CN19" s="10"/>
      <c r="CO19" s="10"/>
      <c r="CP19" s="10"/>
      <c r="CQ19" s="10"/>
      <c r="CU19" s="10"/>
      <c r="CV19" s="10"/>
      <c r="CW19" s="10"/>
      <c r="CX19" s="10"/>
      <c r="DB19" s="10"/>
      <c r="DC19" s="10"/>
      <c r="DD19" s="10"/>
      <c r="DE19" s="10"/>
      <c r="DI19" s="10"/>
      <c r="DJ19" s="10"/>
      <c r="DK19" s="10"/>
      <c r="DL19" s="10"/>
      <c r="DP19" s="10"/>
      <c r="DQ19" s="10"/>
      <c r="DR19" s="10"/>
      <c r="DS19" s="10"/>
      <c r="DX19" s="10"/>
      <c r="DY19" s="10"/>
      <c r="DZ19" s="10"/>
      <c r="EA19" s="10"/>
    </row>
    <row r="20" spans="2:131" outlineLevel="1" x14ac:dyDescent="0.2">
      <c r="B20" t="s">
        <v>28</v>
      </c>
      <c r="C20" t="s">
        <v>100</v>
      </c>
      <c r="E20" s="9"/>
      <c r="F20" t="s">
        <v>122</v>
      </c>
      <c r="G20" s="10">
        <v>0.1</v>
      </c>
      <c r="I20" s="9">
        <f t="shared" si="1"/>
        <v>0</v>
      </c>
      <c r="J20" s="11" cm="1">
        <f t="array" ref="J20">MAX(IF($N$3:$EH$3=$J$3,N20:EH20))</f>
        <v>0</v>
      </c>
      <c r="K20" s="11" cm="1">
        <f t="array" ref="K20">MAX(IF($N$3:$EH$3=$J$3,N20:EH20))</f>
        <v>0</v>
      </c>
      <c r="L20" s="9"/>
      <c r="O20" s="10"/>
      <c r="P20" s="10">
        <v>0.5</v>
      </c>
      <c r="Q20" s="10"/>
      <c r="R20" s="10">
        <v>0.5</v>
      </c>
      <c r="V20" s="10"/>
      <c r="W20" s="10">
        <v>0.5</v>
      </c>
      <c r="X20" s="10"/>
      <c r="Y20" s="10">
        <v>0.5</v>
      </c>
      <c r="AC20" s="10"/>
      <c r="AD20" s="10">
        <v>0.8</v>
      </c>
      <c r="AE20" s="10"/>
      <c r="AF20" s="10">
        <v>0.8</v>
      </c>
      <c r="AJ20" s="10"/>
      <c r="AK20" s="10">
        <v>1</v>
      </c>
      <c r="AL20" s="10"/>
      <c r="AM20" s="10">
        <v>1</v>
      </c>
      <c r="AQ20" s="10"/>
      <c r="AR20" s="10">
        <v>1</v>
      </c>
      <c r="AS20" s="10"/>
      <c r="AT20" s="10">
        <v>1</v>
      </c>
      <c r="AX20" s="10"/>
      <c r="AY20" s="10"/>
      <c r="AZ20" s="10"/>
      <c r="BA20" s="10"/>
      <c r="BE20" s="10"/>
      <c r="BF20" s="10"/>
      <c r="BG20" s="10"/>
      <c r="BH20" s="10"/>
      <c r="BL20" s="10"/>
      <c r="BM20" s="10"/>
      <c r="BN20" s="10"/>
      <c r="BO20" s="10"/>
      <c r="BS20" s="10"/>
      <c r="BT20" s="10"/>
      <c r="BU20" s="10"/>
      <c r="BV20" s="10"/>
      <c r="BZ20" s="10"/>
      <c r="CA20" s="10"/>
      <c r="CB20" s="10"/>
      <c r="CC20" s="10"/>
      <c r="CG20" s="10"/>
      <c r="CH20" s="10"/>
      <c r="CI20" s="10"/>
      <c r="CJ20" s="10"/>
      <c r="CN20" s="10"/>
      <c r="CO20" s="10"/>
      <c r="CP20" s="10"/>
      <c r="CQ20" s="10"/>
      <c r="CU20" s="10"/>
      <c r="CV20" s="10"/>
      <c r="CW20" s="10"/>
      <c r="CX20" s="10"/>
      <c r="DB20" s="10"/>
      <c r="DC20" s="10"/>
      <c r="DD20" s="10"/>
      <c r="DE20" s="10"/>
      <c r="DI20" s="10"/>
      <c r="DJ20" s="10"/>
      <c r="DK20" s="10"/>
      <c r="DL20" s="10"/>
      <c r="DP20" s="10"/>
      <c r="DQ20" s="10"/>
      <c r="DR20" s="10"/>
      <c r="DS20" s="10"/>
      <c r="DX20" s="10"/>
      <c r="DY20" s="10"/>
      <c r="DZ20" s="10"/>
      <c r="EA20" s="10"/>
    </row>
    <row r="21" spans="2:131" outlineLevel="1" x14ac:dyDescent="0.2">
      <c r="B21" t="s">
        <v>28</v>
      </c>
      <c r="C21" t="s">
        <v>100</v>
      </c>
      <c r="E21" s="9"/>
      <c r="F21" t="s">
        <v>123</v>
      </c>
      <c r="G21" s="10">
        <v>0.1</v>
      </c>
      <c r="I21" s="9">
        <f t="shared" si="1"/>
        <v>0</v>
      </c>
      <c r="J21" s="11" cm="1">
        <f t="array" ref="J21">MAX(IF($N$3:$EH$3=$J$3,N21:EH21))</f>
        <v>0</v>
      </c>
      <c r="K21" s="11" cm="1">
        <f t="array" ref="K21">MAX(IF($N$3:$EH$3=$J$3,N21:EH21))</f>
        <v>0</v>
      </c>
      <c r="L21" s="9"/>
      <c r="O21" s="10"/>
      <c r="P21" s="10">
        <v>0.5</v>
      </c>
      <c r="Q21" s="10"/>
      <c r="R21" s="10">
        <v>0.5</v>
      </c>
      <c r="V21" s="10"/>
      <c r="W21" s="10">
        <v>0.5</v>
      </c>
      <c r="X21" s="10"/>
      <c r="Y21" s="10">
        <v>0.5</v>
      </c>
      <c r="AC21" s="10"/>
      <c r="AD21" s="10">
        <v>0.8</v>
      </c>
      <c r="AE21" s="10"/>
      <c r="AF21" s="10">
        <v>0.8</v>
      </c>
      <c r="AJ21" s="10"/>
      <c r="AK21" s="10">
        <v>0.8</v>
      </c>
      <c r="AL21" s="10"/>
      <c r="AM21" s="10">
        <v>0.8</v>
      </c>
      <c r="AQ21" s="10"/>
      <c r="AR21" s="10">
        <v>1</v>
      </c>
      <c r="AS21" s="10"/>
      <c r="AT21" s="10">
        <v>1</v>
      </c>
      <c r="AX21" s="10"/>
      <c r="AY21" s="10"/>
      <c r="AZ21" s="10"/>
      <c r="BA21" s="10"/>
      <c r="BE21" s="10"/>
      <c r="BF21" s="10"/>
      <c r="BG21" s="10"/>
      <c r="BH21" s="10"/>
      <c r="BL21" s="10"/>
      <c r="BM21" s="10"/>
      <c r="BN21" s="10"/>
      <c r="BO21" s="10"/>
      <c r="BS21" s="10"/>
      <c r="BT21" s="10"/>
      <c r="BU21" s="10"/>
      <c r="BV21" s="10"/>
      <c r="BZ21" s="10"/>
      <c r="CA21" s="10"/>
      <c r="CB21" s="10"/>
      <c r="CC21" s="10"/>
      <c r="CG21" s="10"/>
      <c r="CH21" s="10"/>
      <c r="CI21" s="10"/>
      <c r="CJ21" s="10"/>
      <c r="CN21" s="10"/>
      <c r="CO21" s="10"/>
      <c r="CP21" s="10"/>
      <c r="CQ21" s="10"/>
      <c r="CU21" s="10"/>
      <c r="CV21" s="10"/>
      <c r="CW21" s="10"/>
      <c r="CX21" s="10"/>
      <c r="DB21" s="10"/>
      <c r="DC21" s="10"/>
      <c r="DD21" s="10"/>
      <c r="DE21" s="10"/>
      <c r="DI21" s="10"/>
      <c r="DJ21" s="10"/>
      <c r="DK21" s="10"/>
      <c r="DL21" s="10"/>
      <c r="DP21" s="10"/>
      <c r="DQ21" s="10"/>
      <c r="DR21" s="10"/>
      <c r="DS21" s="10"/>
      <c r="DX21" s="10"/>
      <c r="DY21" s="10"/>
      <c r="DZ21" s="10"/>
      <c r="EA21" s="10"/>
    </row>
    <row r="22" spans="2:131" outlineLevel="1" x14ac:dyDescent="0.2">
      <c r="B22" t="s">
        <v>28</v>
      </c>
      <c r="C22" t="s">
        <v>100</v>
      </c>
      <c r="E22" s="9"/>
      <c r="F22" t="s">
        <v>124</v>
      </c>
      <c r="G22" s="10">
        <v>0.1</v>
      </c>
      <c r="I22" s="9">
        <f t="shared" si="1"/>
        <v>5</v>
      </c>
      <c r="J22" s="11" cm="1">
        <f t="array" ref="J22">MAX(IF($N$3:$EH$3=$J$3,N22:EH22))</f>
        <v>0.5</v>
      </c>
      <c r="K22" s="11" cm="1">
        <f t="array" ref="K22">MAX(IF($N$3:$EH$3=$J$3,N22:EH22))</f>
        <v>0.5</v>
      </c>
      <c r="L22" s="9"/>
      <c r="O22" s="10"/>
      <c r="P22" s="10"/>
      <c r="Q22" s="10"/>
      <c r="R22" s="10"/>
      <c r="U22">
        <v>5</v>
      </c>
      <c r="V22" s="10">
        <v>0.5</v>
      </c>
      <c r="W22" s="10">
        <v>0.5</v>
      </c>
      <c r="X22" s="10"/>
      <c r="Y22" s="10">
        <v>0.5</v>
      </c>
      <c r="AC22" s="10"/>
      <c r="AD22" s="10">
        <v>0.8</v>
      </c>
      <c r="AE22" s="10"/>
      <c r="AF22" s="10">
        <v>0.8</v>
      </c>
      <c r="AJ22" s="10"/>
      <c r="AK22" s="10">
        <v>0.8</v>
      </c>
      <c r="AL22" s="10"/>
      <c r="AM22" s="10">
        <v>0.8</v>
      </c>
      <c r="AQ22" s="10"/>
      <c r="AR22" s="10">
        <v>1</v>
      </c>
      <c r="AS22" s="10"/>
      <c r="AT22" s="10">
        <v>1</v>
      </c>
      <c r="AX22" s="10"/>
      <c r="AY22" s="10"/>
      <c r="AZ22" s="10"/>
      <c r="BA22" s="10"/>
      <c r="BE22" s="10"/>
      <c r="BF22" s="10"/>
      <c r="BG22" s="10"/>
      <c r="BH22" s="10"/>
      <c r="BL22" s="10"/>
      <c r="BM22" s="10"/>
      <c r="BN22" s="10"/>
      <c r="BO22" s="10"/>
      <c r="BS22" s="10"/>
      <c r="BT22" s="10"/>
      <c r="BU22" s="10"/>
      <c r="BV22" s="10"/>
      <c r="BZ22" s="10"/>
      <c r="CA22" s="10"/>
      <c r="CB22" s="10"/>
      <c r="CC22" s="10"/>
      <c r="CG22" s="10"/>
      <c r="CH22" s="10"/>
      <c r="CI22" s="10"/>
      <c r="CJ22" s="10"/>
      <c r="CN22" s="10"/>
      <c r="CO22" s="10"/>
      <c r="CP22" s="10"/>
      <c r="CQ22" s="10"/>
      <c r="CU22" s="10"/>
      <c r="CV22" s="10"/>
      <c r="CW22" s="10"/>
      <c r="CX22" s="10"/>
      <c r="DB22" s="10"/>
      <c r="DC22" s="10"/>
      <c r="DD22" s="10"/>
      <c r="DE22" s="10"/>
      <c r="DI22" s="10"/>
      <c r="DJ22" s="10"/>
      <c r="DK22" s="10"/>
      <c r="DL22" s="10"/>
      <c r="DP22" s="10"/>
      <c r="DQ22" s="10"/>
      <c r="DR22" s="10"/>
      <c r="DS22" s="10"/>
      <c r="DX22" s="10"/>
      <c r="DY22" s="10"/>
      <c r="DZ22" s="10"/>
      <c r="EA22" s="10"/>
    </row>
    <row r="23" spans="2:131" outlineLevel="1" x14ac:dyDescent="0.2">
      <c r="B23" t="s">
        <v>28</v>
      </c>
      <c r="C23" t="s">
        <v>100</v>
      </c>
      <c r="E23" s="9"/>
      <c r="F23" t="s">
        <v>125</v>
      </c>
      <c r="G23" s="10">
        <v>0.1</v>
      </c>
      <c r="I23" s="9">
        <f t="shared" si="1"/>
        <v>0</v>
      </c>
      <c r="J23" s="11" cm="1">
        <f t="array" ref="J23">MAX(IF($N$3:$EH$3=$J$3,N23:EH23))</f>
        <v>0</v>
      </c>
      <c r="K23" s="11" cm="1">
        <f t="array" ref="K23">MAX(IF($N$3:$EH$3=$J$3,N23:EH23))</f>
        <v>0</v>
      </c>
      <c r="L23" s="9"/>
      <c r="O23" s="10"/>
      <c r="P23" s="10"/>
      <c r="Q23" s="10"/>
      <c r="R23" s="10"/>
      <c r="V23" s="10"/>
      <c r="W23" s="10">
        <v>0.5</v>
      </c>
      <c r="X23" s="10"/>
      <c r="Y23" s="10">
        <v>0.5</v>
      </c>
      <c r="AC23" s="10"/>
      <c r="AD23" s="10">
        <v>0.8</v>
      </c>
      <c r="AE23" s="10"/>
      <c r="AF23" s="10">
        <v>0.8</v>
      </c>
      <c r="AJ23" s="10"/>
      <c r="AK23" s="10">
        <v>0.8</v>
      </c>
      <c r="AL23" s="10"/>
      <c r="AM23" s="10">
        <v>0.8</v>
      </c>
      <c r="AQ23" s="10"/>
      <c r="AR23" s="10">
        <v>1</v>
      </c>
      <c r="AS23" s="10"/>
      <c r="AT23" s="10">
        <v>1</v>
      </c>
      <c r="AX23" s="10"/>
      <c r="AY23" s="10"/>
      <c r="AZ23" s="10"/>
      <c r="BA23" s="10"/>
      <c r="BE23" s="10"/>
      <c r="BF23" s="10"/>
      <c r="BG23" s="10"/>
      <c r="BH23" s="10"/>
      <c r="BL23" s="10"/>
      <c r="BM23" s="10"/>
      <c r="BN23" s="10"/>
      <c r="BO23" s="10"/>
      <c r="BS23" s="10"/>
      <c r="BT23" s="10"/>
      <c r="BU23" s="10"/>
      <c r="BV23" s="10"/>
      <c r="BZ23" s="10"/>
      <c r="CA23" s="10"/>
      <c r="CB23" s="10"/>
      <c r="CC23" s="10"/>
      <c r="CG23" s="10"/>
      <c r="CH23" s="10"/>
      <c r="CI23" s="10"/>
      <c r="CJ23" s="10"/>
      <c r="CN23" s="10"/>
      <c r="CO23" s="10"/>
      <c r="CP23" s="10"/>
      <c r="CQ23" s="10"/>
      <c r="CU23" s="10"/>
      <c r="CV23" s="10"/>
      <c r="CW23" s="10"/>
      <c r="CX23" s="10"/>
      <c r="DB23" s="10"/>
      <c r="DC23" s="10"/>
      <c r="DD23" s="10"/>
      <c r="DE23" s="10"/>
      <c r="DI23" s="10"/>
      <c r="DJ23" s="10"/>
      <c r="DK23" s="10"/>
      <c r="DL23" s="10"/>
      <c r="DP23" s="10"/>
      <c r="DQ23" s="10"/>
      <c r="DR23" s="10"/>
      <c r="DS23" s="10"/>
      <c r="DX23" s="10"/>
      <c r="DY23" s="10"/>
      <c r="DZ23" s="10"/>
      <c r="EA23" s="10"/>
    </row>
    <row r="24" spans="2:131" outlineLevel="1" x14ac:dyDescent="0.2">
      <c r="B24" t="s">
        <v>28</v>
      </c>
      <c r="C24" t="s">
        <v>100</v>
      </c>
      <c r="E24" s="9"/>
      <c r="F24" t="s">
        <v>126</v>
      </c>
      <c r="G24" s="10">
        <v>0.1</v>
      </c>
      <c r="I24" s="9">
        <f t="shared" si="1"/>
        <v>0</v>
      </c>
      <c r="J24" s="11" cm="1">
        <f t="array" ref="J24">MAX(IF($N$3:$EH$3=$J$3,N24:EH24))</f>
        <v>0</v>
      </c>
      <c r="K24" s="11" cm="1">
        <f t="array" ref="K24">MAX(IF($N$3:$EH$3=$J$3,N24:EH24))</f>
        <v>0</v>
      </c>
      <c r="L24" s="9"/>
      <c r="O24" s="10"/>
      <c r="P24" s="10"/>
      <c r="Q24" s="10"/>
      <c r="R24" s="10"/>
      <c r="V24" s="10"/>
      <c r="W24" s="10">
        <v>0.5</v>
      </c>
      <c r="X24" s="10"/>
      <c r="Y24" s="10">
        <v>0.5</v>
      </c>
      <c r="AC24" s="10"/>
      <c r="AD24" s="10">
        <v>0.8</v>
      </c>
      <c r="AE24" s="10"/>
      <c r="AF24" s="10">
        <v>0.8</v>
      </c>
      <c r="AJ24" s="10"/>
      <c r="AK24" s="10">
        <v>0.8</v>
      </c>
      <c r="AL24" s="10"/>
      <c r="AM24" s="10">
        <v>0.8</v>
      </c>
      <c r="AQ24" s="10"/>
      <c r="AR24" s="10">
        <v>1</v>
      </c>
      <c r="AS24" s="10"/>
      <c r="AT24" s="10">
        <v>1</v>
      </c>
      <c r="AX24" s="10"/>
      <c r="AY24" s="10"/>
      <c r="AZ24" s="10"/>
      <c r="BA24" s="10"/>
      <c r="BE24" s="10"/>
      <c r="BF24" s="10"/>
      <c r="BG24" s="10"/>
      <c r="BH24" s="10"/>
      <c r="BL24" s="10"/>
      <c r="BM24" s="10"/>
      <c r="BN24" s="10"/>
      <c r="BO24" s="10"/>
      <c r="BS24" s="10"/>
      <c r="BT24" s="10"/>
      <c r="BU24" s="10"/>
      <c r="BV24" s="10"/>
      <c r="BZ24" s="10"/>
      <c r="CA24" s="10"/>
      <c r="CB24" s="10"/>
      <c r="CC24" s="10"/>
      <c r="CG24" s="10"/>
      <c r="CH24" s="10"/>
      <c r="CI24" s="10"/>
      <c r="CJ24" s="10"/>
      <c r="CN24" s="10"/>
      <c r="CO24" s="10"/>
      <c r="CP24" s="10"/>
      <c r="CQ24" s="10"/>
      <c r="CU24" s="10"/>
      <c r="CV24" s="10"/>
      <c r="CW24" s="10"/>
      <c r="CX24" s="10"/>
      <c r="DB24" s="10"/>
      <c r="DC24" s="10"/>
      <c r="DD24" s="10"/>
      <c r="DE24" s="10"/>
      <c r="DI24" s="10"/>
      <c r="DJ24" s="10"/>
      <c r="DK24" s="10"/>
      <c r="DL24" s="10"/>
      <c r="DP24" s="10"/>
      <c r="DQ24" s="10"/>
      <c r="DR24" s="10"/>
      <c r="DS24" s="10"/>
      <c r="DX24" s="10"/>
      <c r="DY24" s="10"/>
      <c r="DZ24" s="10"/>
      <c r="EA24" s="10"/>
    </row>
    <row r="25" spans="2:131" outlineLevel="1" x14ac:dyDescent="0.2">
      <c r="B25" t="s">
        <v>28</v>
      </c>
      <c r="C25" t="s">
        <v>100</v>
      </c>
      <c r="E25" s="9"/>
      <c r="F25" t="s">
        <v>127</v>
      </c>
      <c r="G25" s="10">
        <v>0.1</v>
      </c>
      <c r="I25" s="9">
        <f t="shared" si="1"/>
        <v>0</v>
      </c>
      <c r="J25" s="11" cm="1">
        <f t="array" ref="J25">MAX(IF($N$3:$EH$3=$J$3,N25:EH25))</f>
        <v>0</v>
      </c>
      <c r="K25" s="11" cm="1">
        <f t="array" ref="K25">MAX(IF($N$3:$EH$3=$J$3,N25:EH25))</f>
        <v>0</v>
      </c>
      <c r="L25" s="9"/>
      <c r="O25" s="10"/>
      <c r="P25" s="10"/>
      <c r="Q25" s="10"/>
      <c r="R25" s="10"/>
      <c r="V25" s="10"/>
      <c r="W25" s="10">
        <v>0.5</v>
      </c>
      <c r="X25" s="10"/>
      <c r="Y25" s="10">
        <v>0.5</v>
      </c>
      <c r="AC25" s="10"/>
      <c r="AD25" s="10">
        <v>0.5</v>
      </c>
      <c r="AE25" s="10"/>
      <c r="AF25" s="10">
        <v>0.5</v>
      </c>
      <c r="AJ25" s="10"/>
      <c r="AK25" s="10">
        <v>0.8</v>
      </c>
      <c r="AL25" s="10"/>
      <c r="AM25" s="10">
        <v>0.8</v>
      </c>
      <c r="AQ25" s="10"/>
      <c r="AR25" s="10">
        <v>1</v>
      </c>
      <c r="AS25" s="10"/>
      <c r="AT25" s="10">
        <v>1</v>
      </c>
      <c r="AX25" s="10"/>
      <c r="AY25" s="10"/>
      <c r="AZ25" s="10"/>
      <c r="BA25" s="10"/>
      <c r="BE25" s="10"/>
      <c r="BF25" s="10"/>
      <c r="BG25" s="10"/>
      <c r="BH25" s="10"/>
      <c r="BL25" s="10"/>
      <c r="BM25" s="10"/>
      <c r="BN25" s="10"/>
      <c r="BO25" s="10"/>
      <c r="BS25" s="10"/>
      <c r="BT25" s="10"/>
      <c r="BU25" s="10"/>
      <c r="BV25" s="10"/>
      <c r="BZ25" s="10"/>
      <c r="CA25" s="10"/>
      <c r="CB25" s="10"/>
      <c r="CC25" s="10"/>
      <c r="CG25" s="10"/>
      <c r="CH25" s="10"/>
      <c r="CI25" s="10"/>
      <c r="CJ25" s="10"/>
      <c r="CN25" s="10"/>
      <c r="CO25" s="10"/>
      <c r="CP25" s="10"/>
      <c r="CQ25" s="10"/>
      <c r="CU25" s="10"/>
      <c r="CV25" s="10"/>
      <c r="CW25" s="10"/>
      <c r="CX25" s="10"/>
      <c r="DB25" s="10"/>
      <c r="DC25" s="10"/>
      <c r="DD25" s="10"/>
      <c r="DE25" s="10"/>
      <c r="DI25" s="10"/>
      <c r="DJ25" s="10"/>
      <c r="DK25" s="10"/>
      <c r="DL25" s="10"/>
      <c r="DP25" s="10"/>
      <c r="DQ25" s="10"/>
      <c r="DR25" s="10"/>
      <c r="DS25" s="10"/>
      <c r="DX25" s="10"/>
      <c r="DY25" s="10"/>
      <c r="DZ25" s="10"/>
      <c r="EA25" s="10"/>
    </row>
    <row r="26" spans="2:131" outlineLevel="1" x14ac:dyDescent="0.2">
      <c r="B26" t="s">
        <v>28</v>
      </c>
      <c r="C26" t="s">
        <v>100</v>
      </c>
      <c r="E26" s="9"/>
      <c r="F26" t="s">
        <v>128</v>
      </c>
      <c r="G26" s="10">
        <v>0.1</v>
      </c>
      <c r="I26" s="9">
        <f t="shared" si="1"/>
        <v>0</v>
      </c>
      <c r="J26" s="11" cm="1">
        <f t="array" ref="J26">MAX(IF($N$3:$EH$3=$J$3,N26:EH26))</f>
        <v>0</v>
      </c>
      <c r="K26" s="11" cm="1">
        <f t="array" ref="K26">MAX(IF($N$3:$EH$3=$J$3,N26:EH26))</f>
        <v>0</v>
      </c>
      <c r="L26" s="9"/>
      <c r="O26" s="10"/>
      <c r="P26" s="10"/>
      <c r="Q26" s="10"/>
      <c r="R26" s="10"/>
      <c r="V26" s="10"/>
      <c r="W26" s="10">
        <v>0.5</v>
      </c>
      <c r="X26" s="10"/>
      <c r="Y26" s="10">
        <v>0.5</v>
      </c>
      <c r="AC26" s="10"/>
      <c r="AD26" s="10">
        <v>0.5</v>
      </c>
      <c r="AE26" s="10"/>
      <c r="AF26" s="10">
        <v>0.5</v>
      </c>
      <c r="AJ26" s="10"/>
      <c r="AK26" s="10">
        <v>0.8</v>
      </c>
      <c r="AL26" s="10"/>
      <c r="AM26" s="10">
        <v>0.8</v>
      </c>
      <c r="AQ26" s="10"/>
      <c r="AR26" s="10">
        <v>1</v>
      </c>
      <c r="AS26" s="10"/>
      <c r="AT26" s="10">
        <v>1</v>
      </c>
      <c r="AX26" s="10"/>
      <c r="AY26" s="10"/>
      <c r="AZ26" s="10"/>
      <c r="BA26" s="10"/>
      <c r="BE26" s="10"/>
      <c r="BF26" s="10"/>
      <c r="BG26" s="10"/>
      <c r="BH26" s="10"/>
      <c r="BL26" s="10"/>
      <c r="BM26" s="10"/>
      <c r="BN26" s="10"/>
      <c r="BO26" s="10"/>
      <c r="BS26" s="10"/>
      <c r="BT26" s="10"/>
      <c r="BU26" s="10"/>
      <c r="BV26" s="10"/>
      <c r="BZ26" s="10"/>
      <c r="CA26" s="10"/>
      <c r="CB26" s="10"/>
      <c r="CC26" s="10"/>
      <c r="CG26" s="10"/>
      <c r="CH26" s="10"/>
      <c r="CI26" s="10"/>
      <c r="CJ26" s="10"/>
      <c r="CN26" s="10"/>
      <c r="CO26" s="10"/>
      <c r="CP26" s="10"/>
      <c r="CQ26" s="10"/>
      <c r="CU26" s="10"/>
      <c r="CV26" s="10"/>
      <c r="CW26" s="10"/>
      <c r="CX26" s="10"/>
      <c r="DB26" s="10"/>
      <c r="DC26" s="10"/>
      <c r="DD26" s="10"/>
      <c r="DE26" s="10"/>
      <c r="DI26" s="10"/>
      <c r="DJ26" s="10"/>
      <c r="DK26" s="10"/>
      <c r="DL26" s="10"/>
      <c r="DP26" s="10"/>
      <c r="DQ26" s="10"/>
      <c r="DR26" s="10"/>
      <c r="DS26" s="10"/>
      <c r="DX26" s="10"/>
      <c r="DY26" s="10"/>
      <c r="DZ26" s="10"/>
      <c r="EA26" s="10"/>
    </row>
    <row r="27" spans="2:131" outlineLevel="1" x14ac:dyDescent="0.2">
      <c r="B27" t="s">
        <v>28</v>
      </c>
      <c r="C27" t="s">
        <v>100</v>
      </c>
      <c r="E27" s="9"/>
      <c r="F27" t="s">
        <v>129</v>
      </c>
      <c r="G27" s="10">
        <v>0.1</v>
      </c>
      <c r="I27" s="9">
        <f t="shared" si="1"/>
        <v>0</v>
      </c>
      <c r="J27" s="11" cm="1">
        <f t="array" ref="J27">MAX(IF($N$3:$EH$3=$J$3,N27:EH27))</f>
        <v>0</v>
      </c>
      <c r="K27" s="11" cm="1">
        <f t="array" ref="K27">MAX(IF($N$3:$EH$3=$J$3,N27:EH27))</f>
        <v>0</v>
      </c>
      <c r="L27" s="9"/>
      <c r="O27" s="10"/>
      <c r="P27" s="10"/>
      <c r="Q27" s="10"/>
      <c r="R27" s="10"/>
      <c r="V27" s="10"/>
      <c r="W27" s="10">
        <v>0.5</v>
      </c>
      <c r="X27" s="10"/>
      <c r="Y27" s="10">
        <v>0.5</v>
      </c>
      <c r="AC27" s="10"/>
      <c r="AD27" s="10">
        <v>0.5</v>
      </c>
      <c r="AE27" s="10"/>
      <c r="AF27" s="10">
        <v>0.5</v>
      </c>
      <c r="AJ27" s="10"/>
      <c r="AK27" s="10">
        <v>0.8</v>
      </c>
      <c r="AL27" s="10"/>
      <c r="AM27" s="10">
        <v>0.8</v>
      </c>
      <c r="AQ27" s="10"/>
      <c r="AR27" s="10">
        <v>1</v>
      </c>
      <c r="AS27" s="10"/>
      <c r="AT27" s="10">
        <v>1</v>
      </c>
      <c r="AX27" s="10"/>
      <c r="AY27" s="10"/>
      <c r="AZ27" s="10"/>
      <c r="BA27" s="10"/>
      <c r="BE27" s="10"/>
      <c r="BF27" s="10"/>
      <c r="BG27" s="10"/>
      <c r="BH27" s="10"/>
      <c r="BL27" s="10"/>
      <c r="BM27" s="10"/>
      <c r="BN27" s="10"/>
      <c r="BO27" s="10"/>
      <c r="BS27" s="10"/>
      <c r="BT27" s="10"/>
      <c r="BU27" s="10"/>
      <c r="BV27" s="10"/>
      <c r="BZ27" s="10"/>
      <c r="CA27" s="10"/>
      <c r="CB27" s="10"/>
      <c r="CC27" s="10"/>
      <c r="CG27" s="10"/>
      <c r="CH27" s="10"/>
      <c r="CI27" s="10"/>
      <c r="CJ27" s="10"/>
      <c r="CN27" s="10"/>
      <c r="CO27" s="10"/>
      <c r="CP27" s="10"/>
      <c r="CQ27" s="10"/>
      <c r="CU27" s="10"/>
      <c r="CV27" s="10"/>
      <c r="CW27" s="10"/>
      <c r="CX27" s="10"/>
      <c r="DB27" s="10"/>
      <c r="DC27" s="10"/>
      <c r="DD27" s="10"/>
      <c r="DE27" s="10"/>
      <c r="DI27" s="10"/>
      <c r="DJ27" s="10"/>
      <c r="DK27" s="10"/>
      <c r="DL27" s="10"/>
      <c r="DP27" s="10"/>
      <c r="DQ27" s="10"/>
      <c r="DR27" s="10"/>
      <c r="DS27" s="10"/>
      <c r="DX27" s="10"/>
      <c r="DY27" s="10"/>
      <c r="DZ27" s="10"/>
      <c r="EA27" s="10"/>
    </row>
    <row r="29" spans="2:131" x14ac:dyDescent="0.2">
      <c r="B29" t="s">
        <v>27</v>
      </c>
      <c r="C29" t="s">
        <v>106</v>
      </c>
      <c r="D29" s="19" t="s">
        <v>104</v>
      </c>
      <c r="E29" s="9">
        <v>6</v>
      </c>
      <c r="G29" s="10">
        <f>+SUM(G30:G40)</f>
        <v>0.94999999999999984</v>
      </c>
      <c r="I29" s="12">
        <f>+SUM(I30:I40)</f>
        <v>0</v>
      </c>
      <c r="J29" s="11">
        <f>+SUMPRODUCT(G30:G40,J30:J40)</f>
        <v>0</v>
      </c>
      <c r="K29" s="11">
        <f>+SUMPRODUCT(G30:G40,K30:K40)</f>
        <v>0</v>
      </c>
      <c r="L29" s="9"/>
      <c r="N29" s="12">
        <f>+SUM(N30:N40)</f>
        <v>0</v>
      </c>
      <c r="U29" s="12">
        <f>+SUM(U30:U40)</f>
        <v>0</v>
      </c>
      <c r="AB29" s="12">
        <f>+SUM(AB30:AB40)</f>
        <v>0</v>
      </c>
      <c r="AI29" s="12">
        <f>+SUM(AI30:AI40)</f>
        <v>0</v>
      </c>
      <c r="AP29" s="12">
        <f>+SUM(AP30:AP40)</f>
        <v>0</v>
      </c>
    </row>
    <row r="30" spans="2:131" outlineLevel="1" x14ac:dyDescent="0.2">
      <c r="B30" t="s">
        <v>28</v>
      </c>
      <c r="C30" t="s">
        <v>106</v>
      </c>
      <c r="E30" s="9"/>
      <c r="F30" t="s">
        <v>30</v>
      </c>
      <c r="G30" s="10">
        <v>0.1</v>
      </c>
      <c r="I30" s="9">
        <f t="shared" ref="I30:I40" si="2">+SUMIF($N$3:$ZZ$3,I$3,$N30:$ZZ30)</f>
        <v>0</v>
      </c>
      <c r="J30" s="11" cm="1">
        <f t="array" ref="J30">MAX(IF($N$3:$EH$3=$J$3,N30:EH30))</f>
        <v>0</v>
      </c>
      <c r="K30" s="11" cm="1">
        <f t="array" ref="K30">MAX(IF($N$3:$EH$3=$J$3,N30:EH30))</f>
        <v>0</v>
      </c>
      <c r="L30" s="9"/>
      <c r="O30" s="10"/>
      <c r="P30" s="10"/>
      <c r="Q30" s="10"/>
      <c r="R30" s="10"/>
      <c r="V30" s="10"/>
      <c r="W30" s="10"/>
      <c r="X30" s="10"/>
      <c r="Y30" s="10"/>
      <c r="AC30" s="10"/>
      <c r="AD30" s="10"/>
      <c r="AE30" s="10"/>
      <c r="AF30" s="10"/>
      <c r="AJ30" s="10"/>
      <c r="AK30" s="10"/>
      <c r="AL30" s="10"/>
      <c r="AM30" s="10"/>
      <c r="AQ30" s="10"/>
      <c r="AR30" s="10"/>
      <c r="AS30" s="10"/>
      <c r="AT30" s="10"/>
      <c r="AX30" s="10"/>
      <c r="AY30" s="10"/>
      <c r="AZ30" s="10"/>
      <c r="BA30" s="10"/>
      <c r="BE30" s="10"/>
      <c r="BF30" s="10"/>
      <c r="BG30" s="10"/>
      <c r="BH30" s="10"/>
      <c r="BL30" s="10"/>
      <c r="BM30" s="10">
        <v>0.5</v>
      </c>
      <c r="BN30" s="10"/>
      <c r="BO30" s="10">
        <v>0.5</v>
      </c>
      <c r="BS30" s="10"/>
      <c r="BT30" s="10">
        <v>0.5</v>
      </c>
      <c r="BU30" s="10"/>
      <c r="BV30" s="10">
        <v>0.5</v>
      </c>
      <c r="BZ30" s="10"/>
      <c r="CA30" s="10">
        <v>0.8</v>
      </c>
      <c r="CB30" s="10"/>
      <c r="CC30" s="10">
        <v>0.8</v>
      </c>
      <c r="CG30" s="10"/>
      <c r="CH30" s="10">
        <v>0.8</v>
      </c>
      <c r="CI30" s="10"/>
      <c r="CJ30" s="10">
        <v>0.8</v>
      </c>
      <c r="CN30" s="10"/>
      <c r="CO30" s="10">
        <v>1</v>
      </c>
      <c r="CP30" s="10"/>
      <c r="CQ30" s="10">
        <v>1</v>
      </c>
      <c r="CU30" s="10"/>
      <c r="CV30" s="10">
        <v>1</v>
      </c>
      <c r="CW30" s="10"/>
      <c r="CX30" s="10">
        <v>1</v>
      </c>
      <c r="DB30" s="10"/>
      <c r="DC30" s="10"/>
      <c r="DD30" s="10"/>
      <c r="DE30" s="10"/>
      <c r="DI30" s="10"/>
      <c r="DJ30" s="10"/>
      <c r="DK30" s="10"/>
      <c r="DL30" s="10"/>
      <c r="DP30" s="10"/>
      <c r="DQ30" s="10"/>
      <c r="DR30" s="10"/>
      <c r="DS30" s="10"/>
      <c r="DX30" s="10"/>
      <c r="DY30" s="10"/>
      <c r="DZ30" s="10"/>
      <c r="EA30" s="10"/>
    </row>
    <row r="31" spans="2:131" outlineLevel="1" x14ac:dyDescent="0.2">
      <c r="B31" t="s">
        <v>28</v>
      </c>
      <c r="C31" t="s">
        <v>106</v>
      </c>
      <c r="E31" s="9"/>
      <c r="F31" t="s">
        <v>31</v>
      </c>
      <c r="G31" s="10">
        <v>0.05</v>
      </c>
      <c r="I31" s="9">
        <f t="shared" si="2"/>
        <v>0</v>
      </c>
      <c r="J31" s="11" cm="1">
        <f t="array" ref="J31">MAX(IF($N$3:$EH$3=$J$3,N31:EH31))</f>
        <v>0</v>
      </c>
      <c r="K31" s="11" cm="1">
        <f t="array" ref="K31">MAX(IF($N$3:$EH$3=$J$3,N31:EH31))</f>
        <v>0</v>
      </c>
      <c r="L31" s="9"/>
      <c r="O31" s="10"/>
      <c r="P31" s="10"/>
      <c r="Q31" s="10"/>
      <c r="R31" s="10"/>
      <c r="V31" s="10"/>
      <c r="W31" s="10"/>
      <c r="X31" s="10"/>
      <c r="Y31" s="10"/>
      <c r="AC31" s="10"/>
      <c r="AD31" s="10"/>
      <c r="AE31" s="10"/>
      <c r="AF31" s="10"/>
      <c r="AJ31" s="10"/>
      <c r="AK31" s="10"/>
      <c r="AL31" s="10"/>
      <c r="AM31" s="10"/>
      <c r="AQ31" s="10"/>
      <c r="AR31" s="10"/>
      <c r="AS31" s="10"/>
      <c r="AT31" s="10"/>
      <c r="AX31" s="10"/>
      <c r="AY31" s="10"/>
      <c r="AZ31" s="10"/>
      <c r="BA31" s="10"/>
      <c r="BE31" s="10"/>
      <c r="BF31" s="10"/>
      <c r="BG31" s="10"/>
      <c r="BH31" s="10"/>
      <c r="BL31" s="10"/>
      <c r="BM31" s="10">
        <v>0.5</v>
      </c>
      <c r="BN31" s="10"/>
      <c r="BO31" s="10">
        <v>0.5</v>
      </c>
      <c r="BS31" s="10"/>
      <c r="BT31" s="10">
        <v>0.5</v>
      </c>
      <c r="BU31" s="10"/>
      <c r="BV31" s="10">
        <v>0.5</v>
      </c>
      <c r="BZ31" s="10"/>
      <c r="CA31" s="10">
        <v>0.8</v>
      </c>
      <c r="CB31" s="10"/>
      <c r="CC31" s="10">
        <v>0.8</v>
      </c>
      <c r="CG31" s="10"/>
      <c r="CH31" s="10">
        <v>0.8</v>
      </c>
      <c r="CI31" s="10"/>
      <c r="CJ31" s="10">
        <v>0.8</v>
      </c>
      <c r="CN31" s="10"/>
      <c r="CO31" s="10">
        <v>1</v>
      </c>
      <c r="CP31" s="10"/>
      <c r="CQ31" s="10">
        <v>1</v>
      </c>
      <c r="CU31" s="10"/>
      <c r="CV31" s="10">
        <v>1</v>
      </c>
      <c r="CW31" s="10"/>
      <c r="CX31" s="10">
        <v>1</v>
      </c>
      <c r="DB31" s="10"/>
      <c r="DC31" s="10"/>
      <c r="DD31" s="10"/>
      <c r="DE31" s="10"/>
      <c r="DI31" s="10"/>
      <c r="DJ31" s="10"/>
      <c r="DK31" s="10"/>
      <c r="DL31" s="10"/>
      <c r="DP31" s="10"/>
      <c r="DQ31" s="10"/>
      <c r="DR31" s="10"/>
      <c r="DS31" s="10"/>
      <c r="DX31" s="10"/>
      <c r="DY31" s="10"/>
      <c r="DZ31" s="10"/>
      <c r="EA31" s="10"/>
    </row>
    <row r="32" spans="2:131" outlineLevel="1" x14ac:dyDescent="0.2">
      <c r="B32" t="s">
        <v>28</v>
      </c>
      <c r="C32" t="s">
        <v>106</v>
      </c>
      <c r="E32" s="9"/>
      <c r="F32" t="s">
        <v>32</v>
      </c>
      <c r="G32" s="10">
        <v>0.05</v>
      </c>
      <c r="I32" s="9">
        <f t="shared" si="2"/>
        <v>0</v>
      </c>
      <c r="J32" s="11" cm="1">
        <f t="array" ref="J32">MAX(IF($N$3:$EH$3=$J$3,N32:EH32))</f>
        <v>0</v>
      </c>
      <c r="K32" s="11" cm="1">
        <f t="array" ref="K32">MAX(IF($N$3:$EH$3=$J$3,N32:EH32))</f>
        <v>0</v>
      </c>
      <c r="L32" s="9"/>
      <c r="O32" s="10"/>
      <c r="P32" s="10"/>
      <c r="Q32" s="10"/>
      <c r="R32" s="10"/>
      <c r="V32" s="10"/>
      <c r="W32" s="10"/>
      <c r="X32" s="10"/>
      <c r="Y32" s="10"/>
      <c r="AC32" s="10"/>
      <c r="AD32" s="10"/>
      <c r="AE32" s="10"/>
      <c r="AF32" s="10"/>
      <c r="AJ32" s="10"/>
      <c r="AK32" s="10"/>
      <c r="AL32" s="10"/>
      <c r="AM32" s="10"/>
      <c r="AQ32" s="10"/>
      <c r="AR32" s="10"/>
      <c r="AS32" s="10"/>
      <c r="AT32" s="10"/>
      <c r="AX32" s="10"/>
      <c r="AY32" s="10"/>
      <c r="AZ32" s="10"/>
      <c r="BA32" s="10"/>
      <c r="BE32" s="10"/>
      <c r="BF32" s="10"/>
      <c r="BG32" s="10"/>
      <c r="BH32" s="10"/>
      <c r="BL32" s="10"/>
      <c r="BM32" s="10">
        <v>0.5</v>
      </c>
      <c r="BN32" s="10"/>
      <c r="BO32" s="10">
        <v>0.5</v>
      </c>
      <c r="BS32" s="10"/>
      <c r="BT32" s="10">
        <v>0.5</v>
      </c>
      <c r="BU32" s="10"/>
      <c r="BV32" s="10">
        <v>0.5</v>
      </c>
      <c r="BZ32" s="10"/>
      <c r="CA32" s="10">
        <v>0.5</v>
      </c>
      <c r="CB32" s="10"/>
      <c r="CC32" s="10">
        <v>0.5</v>
      </c>
      <c r="CG32" s="10"/>
      <c r="CH32" s="10">
        <v>0.8</v>
      </c>
      <c r="CI32" s="10"/>
      <c r="CJ32" s="10">
        <v>0.8</v>
      </c>
      <c r="CN32" s="10"/>
      <c r="CO32" s="10">
        <v>1</v>
      </c>
      <c r="CP32" s="10"/>
      <c r="CQ32" s="10">
        <v>1</v>
      </c>
      <c r="CU32" s="10"/>
      <c r="CV32" s="10">
        <v>1</v>
      </c>
      <c r="CW32" s="10"/>
      <c r="CX32" s="10">
        <v>1</v>
      </c>
      <c r="DB32" s="10"/>
      <c r="DC32" s="10"/>
      <c r="DD32" s="10"/>
      <c r="DE32" s="10"/>
      <c r="DI32" s="10"/>
      <c r="DJ32" s="10"/>
      <c r="DK32" s="10"/>
      <c r="DL32" s="10"/>
      <c r="DP32" s="10"/>
      <c r="DQ32" s="10"/>
      <c r="DR32" s="10"/>
      <c r="DS32" s="10"/>
      <c r="DX32" s="10"/>
      <c r="DY32" s="10"/>
      <c r="DZ32" s="10"/>
      <c r="EA32" s="10"/>
    </row>
    <row r="33" spans="2:131" outlineLevel="1" x14ac:dyDescent="0.2">
      <c r="B33" t="s">
        <v>28</v>
      </c>
      <c r="C33" t="s">
        <v>106</v>
      </c>
      <c r="E33" s="9"/>
      <c r="F33" t="s">
        <v>34</v>
      </c>
      <c r="G33" s="10">
        <v>0.05</v>
      </c>
      <c r="I33" s="9">
        <f t="shared" si="2"/>
        <v>0</v>
      </c>
      <c r="J33" s="11" cm="1">
        <f t="array" ref="J33">MAX(IF($N$3:$EH$3=$J$3,N33:EH33))</f>
        <v>0</v>
      </c>
      <c r="K33" s="11" cm="1">
        <f t="array" ref="K33">MAX(IF($N$3:$EH$3=$J$3,N33:EH33))</f>
        <v>0</v>
      </c>
      <c r="L33" s="9"/>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E33" s="10"/>
      <c r="BF33" s="10"/>
      <c r="BG33" s="10"/>
      <c r="BH33" s="10"/>
      <c r="BL33" s="10"/>
      <c r="BM33" s="10">
        <v>0.5</v>
      </c>
      <c r="BN33" s="10"/>
      <c r="BO33" s="10">
        <v>0.5</v>
      </c>
      <c r="BS33" s="10"/>
      <c r="BT33" s="10">
        <v>0.5</v>
      </c>
      <c r="BU33" s="10"/>
      <c r="BV33" s="10">
        <v>0.5</v>
      </c>
      <c r="BZ33" s="10"/>
      <c r="CA33" s="10">
        <v>0.5</v>
      </c>
      <c r="CB33" s="10"/>
      <c r="CC33" s="10">
        <v>0.5</v>
      </c>
      <c r="CG33" s="10"/>
      <c r="CH33" s="10">
        <v>0.8</v>
      </c>
      <c r="CI33" s="10"/>
      <c r="CJ33" s="10">
        <v>0.8</v>
      </c>
      <c r="CN33" s="10"/>
      <c r="CO33" s="10">
        <v>1</v>
      </c>
      <c r="CP33" s="10"/>
      <c r="CQ33" s="10">
        <v>1</v>
      </c>
      <c r="CU33" s="10"/>
      <c r="CV33" s="10">
        <v>1</v>
      </c>
      <c r="CW33" s="10"/>
      <c r="CX33" s="10">
        <v>1</v>
      </c>
      <c r="DB33" s="10"/>
      <c r="DC33" s="10"/>
      <c r="DD33" s="10"/>
      <c r="DE33" s="10"/>
      <c r="DI33" s="10"/>
      <c r="DJ33" s="10"/>
      <c r="DK33" s="10"/>
      <c r="DL33" s="10"/>
      <c r="DP33" s="10"/>
      <c r="DQ33" s="10"/>
      <c r="DR33" s="10"/>
      <c r="DS33" s="10"/>
      <c r="DX33" s="10"/>
      <c r="DY33" s="10"/>
      <c r="DZ33" s="10"/>
      <c r="EA33" s="10"/>
    </row>
    <row r="34" spans="2:131" outlineLevel="1" x14ac:dyDescent="0.2">
      <c r="B34" t="s">
        <v>28</v>
      </c>
      <c r="C34" t="s">
        <v>106</v>
      </c>
      <c r="E34" s="9"/>
      <c r="F34" t="s">
        <v>35</v>
      </c>
      <c r="G34" s="10">
        <v>0.1</v>
      </c>
      <c r="I34" s="9">
        <f t="shared" si="2"/>
        <v>0</v>
      </c>
      <c r="J34" s="11" cm="1">
        <f t="array" ref="J34">MAX(IF($N$3:$EH$3=$J$3,N34:EH34))</f>
        <v>0</v>
      </c>
      <c r="K34" s="11" cm="1">
        <f t="array" ref="K34">MAX(IF($N$3:$EH$3=$J$3,N34:EH34))</f>
        <v>0</v>
      </c>
      <c r="L34" s="9"/>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v>0.5</v>
      </c>
      <c r="BN34" s="10"/>
      <c r="BO34" s="10">
        <v>0.5</v>
      </c>
      <c r="BS34" s="10"/>
      <c r="BT34" s="10">
        <v>0.5</v>
      </c>
      <c r="BU34" s="10"/>
      <c r="BV34" s="10">
        <v>0.5</v>
      </c>
      <c r="BZ34" s="10"/>
      <c r="CA34" s="10">
        <v>0.5</v>
      </c>
      <c r="CB34" s="10"/>
      <c r="CC34" s="10">
        <v>0.5</v>
      </c>
      <c r="CG34" s="10"/>
      <c r="CH34" s="10">
        <v>0.8</v>
      </c>
      <c r="CI34" s="10"/>
      <c r="CJ34" s="10">
        <v>0.8</v>
      </c>
      <c r="CN34" s="10"/>
      <c r="CO34" s="10">
        <v>1</v>
      </c>
      <c r="CP34" s="10"/>
      <c r="CQ34" s="10">
        <v>1</v>
      </c>
      <c r="CU34" s="10"/>
      <c r="CV34" s="10">
        <v>1</v>
      </c>
      <c r="CW34" s="10"/>
      <c r="CX34" s="10">
        <v>1</v>
      </c>
      <c r="DB34" s="10"/>
      <c r="DC34" s="10"/>
      <c r="DD34" s="10"/>
      <c r="DE34" s="10"/>
      <c r="DI34" s="10"/>
      <c r="DJ34" s="10"/>
      <c r="DK34" s="10"/>
      <c r="DL34" s="10"/>
      <c r="DP34" s="10"/>
      <c r="DQ34" s="10"/>
      <c r="DR34" s="10"/>
      <c r="DS34" s="10"/>
      <c r="DX34" s="10"/>
      <c r="DY34" s="10"/>
      <c r="DZ34" s="10"/>
      <c r="EA34" s="10"/>
    </row>
    <row r="35" spans="2:131" outlineLevel="1" x14ac:dyDescent="0.2">
      <c r="B35" t="s">
        <v>28</v>
      </c>
      <c r="C35" t="s">
        <v>106</v>
      </c>
      <c r="E35" s="9"/>
      <c r="F35" t="s">
        <v>36</v>
      </c>
      <c r="G35" s="10">
        <v>0.1</v>
      </c>
      <c r="I35" s="9">
        <f t="shared" si="2"/>
        <v>0</v>
      </c>
      <c r="J35" s="11" cm="1">
        <f t="array" ref="J35">MAX(IF($N$3:$EH$3=$J$3,N35:EH35))</f>
        <v>0</v>
      </c>
      <c r="K35" s="11" cm="1">
        <f t="array" ref="K35">MAX(IF($N$3:$EH$3=$J$3,N35:EH35))</f>
        <v>0</v>
      </c>
      <c r="L35" s="9"/>
      <c r="O35" s="10"/>
      <c r="P35" s="10"/>
      <c r="Q35" s="10"/>
      <c r="R35" s="10"/>
      <c r="V35" s="10"/>
      <c r="W35" s="10"/>
      <c r="X35" s="10"/>
      <c r="Y35" s="10"/>
      <c r="AC35" s="10"/>
      <c r="AD35" s="10"/>
      <c r="AE35" s="10"/>
      <c r="AF35" s="10"/>
      <c r="AJ35" s="10"/>
      <c r="AK35" s="10"/>
      <c r="AL35" s="10"/>
      <c r="AM35" s="10"/>
      <c r="AQ35" s="10"/>
      <c r="AR35" s="10"/>
      <c r="AS35" s="10"/>
      <c r="AT35" s="10"/>
      <c r="AX35" s="10"/>
      <c r="AY35" s="10"/>
      <c r="AZ35" s="10"/>
      <c r="BA35" s="10"/>
      <c r="BE35" s="10"/>
      <c r="BF35" s="10"/>
      <c r="BG35" s="10"/>
      <c r="BH35" s="10"/>
      <c r="BL35" s="10"/>
      <c r="BM35" s="10">
        <v>0.5</v>
      </c>
      <c r="BN35" s="10"/>
      <c r="BO35" s="10">
        <v>0.5</v>
      </c>
      <c r="BS35" s="10"/>
      <c r="BT35" s="10">
        <v>0.5</v>
      </c>
      <c r="BU35" s="10"/>
      <c r="BV35" s="10">
        <v>0.5</v>
      </c>
      <c r="BZ35" s="10"/>
      <c r="CA35" s="10">
        <v>0.5</v>
      </c>
      <c r="CB35" s="10"/>
      <c r="CC35" s="10">
        <v>0.5</v>
      </c>
      <c r="CG35" s="10"/>
      <c r="CH35" s="10">
        <v>0.8</v>
      </c>
      <c r="CI35" s="10"/>
      <c r="CJ35" s="10">
        <v>0.8</v>
      </c>
      <c r="CN35" s="10"/>
      <c r="CO35" s="10">
        <v>0.8</v>
      </c>
      <c r="CP35" s="10"/>
      <c r="CQ35" s="10">
        <v>0.8</v>
      </c>
      <c r="CU35" s="10"/>
      <c r="CV35" s="10">
        <v>1</v>
      </c>
      <c r="CW35" s="10"/>
      <c r="CX35" s="10">
        <v>1</v>
      </c>
      <c r="DB35" s="10"/>
      <c r="DC35" s="10"/>
      <c r="DD35" s="10"/>
      <c r="DE35" s="10"/>
      <c r="DI35" s="10"/>
      <c r="DJ35" s="10"/>
      <c r="DK35" s="10"/>
      <c r="DL35" s="10"/>
      <c r="DP35" s="10"/>
      <c r="DQ35" s="10"/>
      <c r="DR35" s="10"/>
      <c r="DS35" s="10"/>
      <c r="DX35" s="10"/>
      <c r="DY35" s="10"/>
      <c r="DZ35" s="10"/>
      <c r="EA35" s="10"/>
    </row>
    <row r="36" spans="2:131" outlineLevel="1" x14ac:dyDescent="0.2">
      <c r="B36" t="s">
        <v>28</v>
      </c>
      <c r="C36" t="s">
        <v>106</v>
      </c>
      <c r="E36" s="9"/>
      <c r="F36" t="s">
        <v>37</v>
      </c>
      <c r="G36" s="10">
        <v>0.1</v>
      </c>
      <c r="I36" s="9">
        <f t="shared" si="2"/>
        <v>0</v>
      </c>
      <c r="J36" s="11" cm="1">
        <f t="array" ref="J36">MAX(IF($N$3:$EH$3=$J$3,N36:EH36))</f>
        <v>0</v>
      </c>
      <c r="K36" s="11" cm="1">
        <f t="array" ref="K36">MAX(IF($N$3:$EH$3=$J$3,N36:EH36))</f>
        <v>0</v>
      </c>
      <c r="L36" s="9"/>
      <c r="O36" s="10"/>
      <c r="P36" s="10"/>
      <c r="Q36" s="10"/>
      <c r="R36" s="10"/>
      <c r="V36" s="10"/>
      <c r="W36" s="10"/>
      <c r="X36" s="10"/>
      <c r="Y36" s="10"/>
      <c r="AC36" s="10"/>
      <c r="AD36" s="10"/>
      <c r="AE36" s="10"/>
      <c r="AF36" s="10"/>
      <c r="AJ36" s="10"/>
      <c r="AK36" s="10"/>
      <c r="AL36" s="10"/>
      <c r="AM36" s="10"/>
      <c r="AQ36" s="10"/>
      <c r="AR36" s="10"/>
      <c r="AS36" s="10"/>
      <c r="AT36" s="10"/>
      <c r="AX36" s="10"/>
      <c r="AY36" s="10"/>
      <c r="AZ36" s="10"/>
      <c r="BA36" s="10"/>
      <c r="BE36" s="10"/>
      <c r="BF36" s="10"/>
      <c r="BG36" s="10"/>
      <c r="BH36" s="10"/>
      <c r="BL36" s="10"/>
      <c r="BM36" s="10">
        <v>0.5</v>
      </c>
      <c r="BN36" s="10"/>
      <c r="BO36" s="10">
        <v>0.5</v>
      </c>
      <c r="BS36" s="10"/>
      <c r="BT36" s="10">
        <v>0.5</v>
      </c>
      <c r="BU36" s="10"/>
      <c r="BV36" s="10">
        <v>0.5</v>
      </c>
      <c r="BZ36" s="10"/>
      <c r="CA36" s="10">
        <v>0.5</v>
      </c>
      <c r="CB36" s="10"/>
      <c r="CC36" s="10">
        <v>0.5</v>
      </c>
      <c r="CG36" s="10"/>
      <c r="CH36" s="10">
        <v>0.8</v>
      </c>
      <c r="CI36" s="10"/>
      <c r="CJ36" s="10">
        <v>0.8</v>
      </c>
      <c r="CN36" s="10"/>
      <c r="CO36" s="10">
        <v>0.8</v>
      </c>
      <c r="CP36" s="10"/>
      <c r="CQ36" s="10">
        <v>0.8</v>
      </c>
      <c r="CU36" s="10"/>
      <c r="CV36" s="10">
        <v>1</v>
      </c>
      <c r="CW36" s="10"/>
      <c r="CX36" s="10">
        <v>1</v>
      </c>
      <c r="DB36" s="10"/>
      <c r="DC36" s="10"/>
      <c r="DD36" s="10"/>
      <c r="DE36" s="10"/>
      <c r="DI36" s="10"/>
      <c r="DJ36" s="10"/>
      <c r="DK36" s="10"/>
      <c r="DL36" s="10"/>
      <c r="DP36" s="10"/>
      <c r="DQ36" s="10"/>
      <c r="DR36" s="10"/>
      <c r="DS36" s="10"/>
      <c r="DX36" s="10"/>
      <c r="DY36" s="10"/>
      <c r="DZ36" s="10"/>
      <c r="EA36" s="10"/>
    </row>
    <row r="37" spans="2:131" outlineLevel="1" x14ac:dyDescent="0.2">
      <c r="B37" t="s">
        <v>28</v>
      </c>
      <c r="C37" t="s">
        <v>106</v>
      </c>
      <c r="E37" s="9"/>
      <c r="F37" t="s">
        <v>38</v>
      </c>
      <c r="G37" s="10">
        <v>0.1</v>
      </c>
      <c r="I37" s="9">
        <f t="shared" si="2"/>
        <v>0</v>
      </c>
      <c r="J37" s="11" cm="1">
        <f t="array" ref="J37">MAX(IF($N$3:$EH$3=$J$3,N37:EH37))</f>
        <v>0</v>
      </c>
      <c r="K37" s="11" cm="1">
        <f t="array" ref="K37">MAX(IF($N$3:$EH$3=$J$3,N37:EH37))</f>
        <v>0</v>
      </c>
      <c r="L37" s="9"/>
      <c r="O37" s="10"/>
      <c r="P37" s="10"/>
      <c r="Q37" s="10"/>
      <c r="R37" s="10"/>
      <c r="V37" s="10"/>
      <c r="W37" s="10"/>
      <c r="X37" s="10"/>
      <c r="Y37" s="10"/>
      <c r="AC37" s="10"/>
      <c r="AD37" s="10"/>
      <c r="AE37" s="10"/>
      <c r="AF37" s="10"/>
      <c r="AJ37" s="10"/>
      <c r="AK37" s="10"/>
      <c r="AL37" s="10"/>
      <c r="AM37" s="10"/>
      <c r="AQ37" s="10"/>
      <c r="AR37" s="10"/>
      <c r="AS37" s="10"/>
      <c r="AT37" s="10"/>
      <c r="AX37" s="10"/>
      <c r="AY37" s="10"/>
      <c r="AZ37" s="10"/>
      <c r="BA37" s="10"/>
      <c r="BE37" s="10"/>
      <c r="BF37" s="10"/>
      <c r="BG37" s="10"/>
      <c r="BH37" s="10"/>
      <c r="BL37" s="10"/>
      <c r="BM37" s="10"/>
      <c r="BN37" s="10"/>
      <c r="BO37" s="10"/>
      <c r="BS37" s="10"/>
      <c r="BT37" s="10"/>
      <c r="BU37" s="10"/>
      <c r="BV37" s="10"/>
      <c r="BZ37" s="10"/>
      <c r="CA37" s="10">
        <v>0.5</v>
      </c>
      <c r="CB37" s="10"/>
      <c r="CC37" s="10">
        <v>0.5</v>
      </c>
      <c r="CG37" s="10"/>
      <c r="CH37" s="10">
        <v>0.8</v>
      </c>
      <c r="CI37" s="10"/>
      <c r="CJ37" s="10">
        <v>0.8</v>
      </c>
      <c r="CN37" s="10"/>
      <c r="CO37" s="10">
        <v>0.8</v>
      </c>
      <c r="CP37" s="10"/>
      <c r="CQ37" s="10">
        <v>0.8</v>
      </c>
      <c r="CU37" s="10"/>
      <c r="CV37" s="10">
        <v>1</v>
      </c>
      <c r="CW37" s="10"/>
      <c r="CX37" s="10">
        <v>1</v>
      </c>
      <c r="DB37" s="10"/>
      <c r="DC37" s="10"/>
      <c r="DD37" s="10"/>
      <c r="DE37" s="10"/>
      <c r="DI37" s="10"/>
      <c r="DJ37" s="10"/>
      <c r="DK37" s="10"/>
      <c r="DL37" s="10"/>
      <c r="DP37" s="10"/>
      <c r="DQ37" s="10"/>
      <c r="DR37" s="10"/>
      <c r="DS37" s="10"/>
      <c r="DX37" s="10"/>
      <c r="DY37" s="10"/>
      <c r="DZ37" s="10"/>
      <c r="EA37" s="10"/>
    </row>
    <row r="38" spans="2:131" outlineLevel="1" x14ac:dyDescent="0.2">
      <c r="B38" t="s">
        <v>28</v>
      </c>
      <c r="C38" t="s">
        <v>106</v>
      </c>
      <c r="E38" s="9"/>
      <c r="F38" t="s">
        <v>39</v>
      </c>
      <c r="G38" s="10">
        <v>0.1</v>
      </c>
      <c r="I38" s="9">
        <f t="shared" si="2"/>
        <v>0</v>
      </c>
      <c r="J38" s="11" cm="1">
        <f t="array" ref="J38">MAX(IF($N$3:$EH$3=$J$3,N38:EH38))</f>
        <v>0</v>
      </c>
      <c r="K38" s="11" cm="1">
        <f t="array" ref="K38">MAX(IF($N$3:$EH$3=$J$3,N38:EH38))</f>
        <v>0</v>
      </c>
      <c r="L38" s="9"/>
      <c r="O38" s="10"/>
      <c r="P38" s="10"/>
      <c r="Q38" s="10"/>
      <c r="R38" s="10"/>
      <c r="V38" s="10"/>
      <c r="W38" s="10"/>
      <c r="X38" s="10"/>
      <c r="Y38" s="10"/>
      <c r="AC38" s="10"/>
      <c r="AD38" s="10"/>
      <c r="AE38" s="10"/>
      <c r="AF38" s="10"/>
      <c r="AJ38" s="10"/>
      <c r="AK38" s="10"/>
      <c r="AL38" s="10"/>
      <c r="AM38" s="10"/>
      <c r="AQ38" s="10"/>
      <c r="AR38" s="10"/>
      <c r="AS38" s="10"/>
      <c r="AT38" s="10"/>
      <c r="AX38" s="10"/>
      <c r="AY38" s="10"/>
      <c r="AZ38" s="10"/>
      <c r="BA38" s="10"/>
      <c r="BE38" s="10"/>
      <c r="BF38" s="10"/>
      <c r="BG38" s="10"/>
      <c r="BH38" s="10"/>
      <c r="BL38" s="10"/>
      <c r="BM38" s="10"/>
      <c r="BN38" s="10"/>
      <c r="BO38" s="10"/>
      <c r="BS38" s="10"/>
      <c r="BT38" s="10"/>
      <c r="BU38" s="10"/>
      <c r="BV38" s="10"/>
      <c r="BZ38" s="10"/>
      <c r="CA38" s="10">
        <v>0.5</v>
      </c>
      <c r="CB38" s="10"/>
      <c r="CC38" s="10">
        <v>0.5</v>
      </c>
      <c r="CG38" s="10"/>
      <c r="CH38" s="10">
        <v>0.8</v>
      </c>
      <c r="CI38" s="10"/>
      <c r="CJ38" s="10">
        <v>0.8</v>
      </c>
      <c r="CN38" s="10"/>
      <c r="CO38" s="10">
        <v>0.8</v>
      </c>
      <c r="CP38" s="10"/>
      <c r="CQ38" s="10">
        <v>0.8</v>
      </c>
      <c r="CU38" s="10"/>
      <c r="CV38" s="10">
        <v>1</v>
      </c>
      <c r="CW38" s="10"/>
      <c r="CX38" s="10">
        <v>1</v>
      </c>
      <c r="DB38" s="10"/>
      <c r="DC38" s="10"/>
      <c r="DD38" s="10"/>
      <c r="DE38" s="10"/>
      <c r="DI38" s="10"/>
      <c r="DJ38" s="10"/>
      <c r="DK38" s="10"/>
      <c r="DL38" s="10"/>
      <c r="DP38" s="10"/>
      <c r="DQ38" s="10"/>
      <c r="DR38" s="10"/>
      <c r="DS38" s="10"/>
      <c r="DX38" s="10"/>
      <c r="DY38" s="10"/>
      <c r="DZ38" s="10"/>
      <c r="EA38" s="10"/>
    </row>
    <row r="39" spans="2:131" outlineLevel="1" x14ac:dyDescent="0.2">
      <c r="B39" t="s">
        <v>28</v>
      </c>
      <c r="C39" t="s">
        <v>106</v>
      </c>
      <c r="E39" s="9"/>
      <c r="F39" t="s">
        <v>40</v>
      </c>
      <c r="G39" s="10">
        <v>0.1</v>
      </c>
      <c r="I39" s="9">
        <f t="shared" si="2"/>
        <v>0</v>
      </c>
      <c r="J39" s="11" cm="1">
        <f t="array" ref="J39">MAX(IF($N$3:$EH$3=$J$3,N39:EH39))</f>
        <v>0</v>
      </c>
      <c r="K39" s="11" cm="1">
        <f t="array" ref="K39">MAX(IF($N$3:$EH$3=$J$3,N39:EH39))</f>
        <v>0</v>
      </c>
      <c r="L39" s="9"/>
      <c r="O39" s="10"/>
      <c r="P39" s="10"/>
      <c r="Q39" s="10"/>
      <c r="R39" s="10"/>
      <c r="V39" s="10"/>
      <c r="W39" s="10"/>
      <c r="X39" s="10"/>
      <c r="Y39" s="10"/>
      <c r="AC39" s="10"/>
      <c r="AD39" s="10"/>
      <c r="AE39" s="10"/>
      <c r="AF39" s="10"/>
      <c r="AJ39" s="10"/>
      <c r="AK39" s="10"/>
      <c r="AL39" s="10"/>
      <c r="AM39" s="10"/>
      <c r="AQ39" s="10"/>
      <c r="AR39" s="10"/>
      <c r="AS39" s="10"/>
      <c r="AT39" s="10"/>
      <c r="AX39" s="10"/>
      <c r="AY39" s="10"/>
      <c r="AZ39" s="10"/>
      <c r="BA39" s="10"/>
      <c r="BE39" s="10"/>
      <c r="BF39" s="10"/>
      <c r="BG39" s="10"/>
      <c r="BH39" s="10"/>
      <c r="BL39" s="10"/>
      <c r="BM39" s="10"/>
      <c r="BN39" s="10"/>
      <c r="BO39" s="10"/>
      <c r="BS39" s="10"/>
      <c r="BT39" s="10"/>
      <c r="BU39" s="10"/>
      <c r="BV39" s="10"/>
      <c r="BZ39" s="10"/>
      <c r="CA39" s="10">
        <v>0.5</v>
      </c>
      <c r="CB39" s="10"/>
      <c r="CC39" s="10">
        <v>0.5</v>
      </c>
      <c r="CG39" s="10"/>
      <c r="CH39" s="10">
        <v>0.5</v>
      </c>
      <c r="CI39" s="10"/>
      <c r="CJ39" s="10">
        <v>0.5</v>
      </c>
      <c r="CN39" s="10"/>
      <c r="CO39" s="10">
        <v>0.8</v>
      </c>
      <c r="CP39" s="10"/>
      <c r="CQ39" s="10">
        <v>0.8</v>
      </c>
      <c r="CU39" s="10"/>
      <c r="CV39" s="10">
        <v>1</v>
      </c>
      <c r="CW39" s="10"/>
      <c r="CX39" s="10">
        <v>1</v>
      </c>
      <c r="DB39" s="10"/>
      <c r="DC39" s="10"/>
      <c r="DD39" s="10"/>
      <c r="DE39" s="10"/>
      <c r="DI39" s="10"/>
      <c r="DJ39" s="10"/>
      <c r="DK39" s="10"/>
      <c r="DL39" s="10"/>
      <c r="DP39" s="10"/>
      <c r="DQ39" s="10"/>
      <c r="DR39" s="10"/>
      <c r="DS39" s="10"/>
      <c r="DX39" s="10"/>
      <c r="DY39" s="10"/>
      <c r="DZ39" s="10"/>
      <c r="EA39" s="10"/>
    </row>
    <row r="40" spans="2:131" outlineLevel="1" x14ac:dyDescent="0.2">
      <c r="B40" t="s">
        <v>28</v>
      </c>
      <c r="C40" t="s">
        <v>106</v>
      </c>
      <c r="E40" s="9"/>
      <c r="F40" t="s">
        <v>41</v>
      </c>
      <c r="G40" s="10">
        <v>0.1</v>
      </c>
      <c r="I40" s="9">
        <f t="shared" si="2"/>
        <v>0</v>
      </c>
      <c r="J40" s="11" cm="1">
        <f t="array" ref="J40">MAX(IF($N$3:$EH$3=$J$3,N40:EH40))</f>
        <v>0</v>
      </c>
      <c r="K40" s="11" cm="1">
        <f t="array" ref="K40">MAX(IF($N$3:$EH$3=$J$3,N40:EH40))</f>
        <v>0</v>
      </c>
      <c r="L40" s="9"/>
      <c r="O40" s="10"/>
      <c r="P40" s="10"/>
      <c r="Q40" s="10"/>
      <c r="R40" s="10"/>
      <c r="V40" s="10"/>
      <c r="W40" s="10"/>
      <c r="X40" s="10"/>
      <c r="Y40" s="10"/>
      <c r="AC40" s="10"/>
      <c r="AD40" s="10"/>
      <c r="AE40" s="10"/>
      <c r="AF40" s="10"/>
      <c r="AJ40" s="10"/>
      <c r="AK40" s="10"/>
      <c r="AL40" s="10"/>
      <c r="AM40" s="10"/>
      <c r="AQ40" s="10"/>
      <c r="AR40" s="10"/>
      <c r="AS40" s="10"/>
      <c r="AT40" s="10"/>
      <c r="AX40" s="10"/>
      <c r="AY40" s="10"/>
      <c r="AZ40" s="10"/>
      <c r="BA40" s="10"/>
      <c r="BE40" s="10"/>
      <c r="BF40" s="10"/>
      <c r="BG40" s="10"/>
      <c r="BH40" s="10"/>
      <c r="BL40" s="10"/>
      <c r="BM40" s="10"/>
      <c r="BN40" s="10"/>
      <c r="BO40" s="10"/>
      <c r="BS40" s="10"/>
      <c r="BT40" s="10"/>
      <c r="BU40" s="10"/>
      <c r="BV40" s="10"/>
      <c r="BZ40" s="10"/>
      <c r="CA40" s="10">
        <v>0.5</v>
      </c>
      <c r="CB40" s="10"/>
      <c r="CC40" s="10">
        <v>0.5</v>
      </c>
      <c r="CG40" s="10"/>
      <c r="CH40" s="10">
        <v>0.5</v>
      </c>
      <c r="CI40" s="10"/>
      <c r="CJ40" s="10">
        <v>0.5</v>
      </c>
      <c r="CN40" s="10"/>
      <c r="CO40" s="10">
        <v>0.8</v>
      </c>
      <c r="CP40" s="10"/>
      <c r="CQ40" s="10">
        <v>0.8</v>
      </c>
      <c r="CU40" s="10"/>
      <c r="CV40" s="10">
        <v>1</v>
      </c>
      <c r="CW40" s="10"/>
      <c r="CX40" s="10">
        <v>1</v>
      </c>
      <c r="DB40" s="10"/>
      <c r="DC40" s="10"/>
      <c r="DD40" s="10"/>
      <c r="DE40" s="10"/>
      <c r="DI40" s="10"/>
      <c r="DJ40" s="10"/>
      <c r="DK40" s="10"/>
      <c r="DL40" s="10"/>
      <c r="DP40" s="10"/>
      <c r="DQ40" s="10"/>
      <c r="DR40" s="10"/>
      <c r="DS40" s="10"/>
      <c r="DX40" s="10"/>
      <c r="DY40" s="10"/>
      <c r="DZ40" s="10"/>
      <c r="EA40" s="10"/>
    </row>
    <row r="42" spans="2:131" x14ac:dyDescent="0.2">
      <c r="B42" t="s">
        <v>27</v>
      </c>
      <c r="C42" t="s">
        <v>101</v>
      </c>
      <c r="D42" s="20" t="s">
        <v>105</v>
      </c>
      <c r="E42" s="9">
        <v>6</v>
      </c>
      <c r="G42" s="10">
        <f>+SUM(G43:G45)</f>
        <v>0.99999300000000002</v>
      </c>
      <c r="I42" s="12">
        <f>+SUM(I43:I45)</f>
        <v>0</v>
      </c>
      <c r="J42" s="11">
        <f>+SUMPRODUCT(G43:G45,J43:J45)</f>
        <v>0</v>
      </c>
      <c r="K42" s="11">
        <f>+SUMPRODUCT(G43:G45,K43:K45)</f>
        <v>0</v>
      </c>
      <c r="L42" s="9"/>
      <c r="N42" s="12">
        <f>+SUM(N43:N45)</f>
        <v>0</v>
      </c>
      <c r="U42" s="12">
        <f>+SUM(U43:U45)</f>
        <v>0</v>
      </c>
      <c r="AB42" s="12">
        <f>+SUM(AB43:AB45)</f>
        <v>0</v>
      </c>
      <c r="AI42" s="12">
        <f>+SUM(AI43:AI45)</f>
        <v>0</v>
      </c>
      <c r="AP42" s="12">
        <f>+SUM(AP43:AP45)</f>
        <v>0</v>
      </c>
    </row>
    <row r="43" spans="2:131" outlineLevel="1" x14ac:dyDescent="0.2">
      <c r="B43" t="s">
        <v>28</v>
      </c>
      <c r="C43" t="s">
        <v>101</v>
      </c>
      <c r="E43" s="9"/>
      <c r="F43" t="s">
        <v>130</v>
      </c>
      <c r="G43" s="10">
        <v>0.33333000000000002</v>
      </c>
      <c r="I43" s="9">
        <f t="shared" ref="I43:I55" si="3">+SUMIF($N$3:$ZZ$3,I$3,$N43:$ZZ43)</f>
        <v>0</v>
      </c>
      <c r="J43" s="11" cm="1">
        <f t="array" ref="J43">MAX(IF($N$3:$EH$3=$J$3,N43:EH43))</f>
        <v>0</v>
      </c>
      <c r="K43" s="11" cm="1">
        <f t="array" ref="K43">MAX(IF($N$3:$EH$3=$J$3,N43:EH43))</f>
        <v>0</v>
      </c>
      <c r="L43" s="9"/>
      <c r="O43" s="10"/>
      <c r="P43" s="10">
        <v>0.5</v>
      </c>
      <c r="Q43" s="10"/>
      <c r="R43" s="10">
        <v>0.5</v>
      </c>
      <c r="V43" s="10"/>
      <c r="W43" s="10">
        <v>0.5</v>
      </c>
      <c r="X43" s="10"/>
      <c r="Y43" s="10">
        <v>0.5</v>
      </c>
      <c r="AC43" s="10"/>
      <c r="AD43" s="10">
        <v>0.8</v>
      </c>
      <c r="AE43" s="10"/>
      <c r="AF43" s="10">
        <v>0.8</v>
      </c>
      <c r="AJ43" s="10"/>
      <c r="AK43" s="10">
        <v>1</v>
      </c>
      <c r="AL43" s="10"/>
      <c r="AM43" s="10">
        <v>1</v>
      </c>
      <c r="AQ43" s="10"/>
      <c r="AR43" s="10">
        <v>1</v>
      </c>
      <c r="AS43" s="10"/>
      <c r="AT43" s="10">
        <v>1</v>
      </c>
      <c r="AX43" s="10"/>
      <c r="AY43" s="10"/>
      <c r="AZ43" s="10"/>
      <c r="BA43" s="10"/>
      <c r="BE43" s="10"/>
      <c r="BF43" s="10"/>
      <c r="BG43" s="10"/>
      <c r="BH43" s="10"/>
      <c r="BL43" s="10"/>
      <c r="BM43" s="10"/>
      <c r="BN43" s="10"/>
      <c r="BO43" s="10"/>
      <c r="BS43" s="10"/>
      <c r="BT43" s="10"/>
      <c r="BU43" s="10"/>
      <c r="BV43" s="10"/>
      <c r="BZ43" s="10"/>
      <c r="CA43" s="10"/>
      <c r="CB43" s="10"/>
      <c r="CC43" s="10"/>
      <c r="CG43" s="10"/>
      <c r="CH43" s="10"/>
      <c r="CI43" s="10"/>
      <c r="CJ43" s="10"/>
      <c r="CN43" s="10"/>
      <c r="CO43" s="10"/>
      <c r="CP43" s="10"/>
      <c r="CQ43" s="10"/>
      <c r="CU43" s="10"/>
      <c r="CV43" s="10"/>
      <c r="CW43" s="10"/>
      <c r="CX43" s="10"/>
      <c r="DB43" s="10"/>
      <c r="DC43" s="10"/>
      <c r="DD43" s="10"/>
      <c r="DE43" s="10"/>
      <c r="DI43" s="10"/>
      <c r="DJ43" s="10"/>
      <c r="DK43" s="10"/>
      <c r="DL43" s="10"/>
      <c r="DP43" s="10"/>
      <c r="DQ43" s="10"/>
      <c r="DR43" s="10"/>
      <c r="DS43" s="10"/>
      <c r="DX43" s="10"/>
      <c r="DY43" s="10"/>
      <c r="DZ43" s="10"/>
      <c r="EA43" s="10"/>
    </row>
    <row r="44" spans="2:131" outlineLevel="1" x14ac:dyDescent="0.2">
      <c r="B44" t="s">
        <v>28</v>
      </c>
      <c r="C44" t="s">
        <v>101</v>
      </c>
      <c r="E44" s="9"/>
      <c r="F44" t="s">
        <v>131</v>
      </c>
      <c r="G44" s="10">
        <v>0.33333299999999999</v>
      </c>
      <c r="I44" s="9">
        <f t="shared" si="3"/>
        <v>0</v>
      </c>
      <c r="J44" s="11" cm="1">
        <f t="array" ref="J44">MAX(IF($N$3:$EH$3=$J$3,N44:EH44))</f>
        <v>0</v>
      </c>
      <c r="K44" s="11" cm="1">
        <f t="array" ref="K44">MAX(IF($N$3:$EH$3=$J$3,N44:EH44))</f>
        <v>0</v>
      </c>
      <c r="L44" s="9"/>
      <c r="O44" s="10"/>
      <c r="P44" s="10"/>
      <c r="Q44" s="10"/>
      <c r="R44" s="10"/>
      <c r="V44" s="10"/>
      <c r="W44" s="10">
        <v>0.5</v>
      </c>
      <c r="X44" s="10"/>
      <c r="Y44" s="10">
        <v>0.5</v>
      </c>
      <c r="AC44" s="10"/>
      <c r="AD44" s="10">
        <v>0.8</v>
      </c>
      <c r="AE44" s="10"/>
      <c r="AF44" s="10">
        <v>0.8</v>
      </c>
      <c r="AJ44" s="10"/>
      <c r="AK44" s="10">
        <v>0.8</v>
      </c>
      <c r="AL44" s="10"/>
      <c r="AM44" s="10">
        <v>0.8</v>
      </c>
      <c r="AQ44" s="10"/>
      <c r="AR44" s="10">
        <v>1</v>
      </c>
      <c r="AS44" s="10"/>
      <c r="AT44" s="10">
        <v>1</v>
      </c>
      <c r="AX44" s="10"/>
      <c r="AY44" s="10"/>
      <c r="AZ44" s="10"/>
      <c r="BA44" s="10"/>
      <c r="BE44" s="10"/>
      <c r="BF44" s="10"/>
      <c r="BG44" s="10"/>
      <c r="BH44" s="10"/>
      <c r="BL44" s="10"/>
      <c r="BM44" s="10"/>
      <c r="BN44" s="10"/>
      <c r="BO44" s="10"/>
      <c r="BS44" s="10"/>
      <c r="BT44" s="10"/>
      <c r="BU44" s="10"/>
      <c r="BV44" s="10"/>
      <c r="BZ44" s="10"/>
      <c r="CA44" s="10"/>
      <c r="CB44" s="10"/>
      <c r="CC44" s="10"/>
      <c r="CG44" s="10"/>
      <c r="CH44" s="10"/>
      <c r="CI44" s="10"/>
      <c r="CJ44" s="10"/>
      <c r="CN44" s="10"/>
      <c r="CO44" s="10"/>
      <c r="CP44" s="10"/>
      <c r="CQ44" s="10"/>
      <c r="CU44" s="10"/>
      <c r="CV44" s="10"/>
      <c r="CW44" s="10"/>
      <c r="CX44" s="10"/>
      <c r="DB44" s="10"/>
      <c r="DC44" s="10"/>
      <c r="DD44" s="10"/>
      <c r="DE44" s="10"/>
      <c r="DI44" s="10"/>
      <c r="DJ44" s="10"/>
      <c r="DK44" s="10"/>
      <c r="DL44" s="10"/>
      <c r="DP44" s="10"/>
      <c r="DQ44" s="10"/>
      <c r="DR44" s="10"/>
      <c r="DS44" s="10"/>
      <c r="DX44" s="10"/>
      <c r="DY44" s="10"/>
      <c r="DZ44" s="10"/>
      <c r="EA44" s="10"/>
    </row>
    <row r="45" spans="2:131" outlineLevel="1" x14ac:dyDescent="0.2">
      <c r="B45" t="s">
        <v>28</v>
      </c>
      <c r="C45" t="s">
        <v>101</v>
      </c>
      <c r="E45" s="9"/>
      <c r="F45" t="s">
        <v>132</v>
      </c>
      <c r="G45" s="10">
        <v>0.33333000000000002</v>
      </c>
      <c r="I45" s="9">
        <f t="shared" si="3"/>
        <v>0</v>
      </c>
      <c r="J45" s="11" cm="1">
        <f t="array" ref="J45">MAX(IF($N$3:$EH$3=$J$3,N45:EH45))</f>
        <v>0</v>
      </c>
      <c r="K45" s="11" cm="1">
        <f t="array" ref="K45">MAX(IF($N$3:$EH$3=$J$3,N45:EH45))</f>
        <v>0</v>
      </c>
      <c r="L45" s="9"/>
      <c r="O45" s="10"/>
      <c r="P45" s="10"/>
      <c r="Q45" s="10"/>
      <c r="R45" s="10"/>
      <c r="V45" s="10"/>
      <c r="W45" s="10">
        <v>0.5</v>
      </c>
      <c r="X45" s="10"/>
      <c r="Y45" s="10">
        <v>0.5</v>
      </c>
      <c r="AC45" s="10"/>
      <c r="AD45" s="10">
        <v>0.5</v>
      </c>
      <c r="AE45" s="10"/>
      <c r="AF45" s="10">
        <v>0.5</v>
      </c>
      <c r="AJ45" s="10"/>
      <c r="AK45" s="10">
        <v>0.8</v>
      </c>
      <c r="AL45" s="10"/>
      <c r="AM45" s="10">
        <v>0.8</v>
      </c>
      <c r="AQ45" s="10"/>
      <c r="AR45" s="10">
        <v>1</v>
      </c>
      <c r="AS45" s="10"/>
      <c r="AT45" s="10">
        <v>1</v>
      </c>
      <c r="AX45" s="10"/>
      <c r="AY45" s="10"/>
      <c r="AZ45" s="10"/>
      <c r="BA45" s="10"/>
      <c r="BE45" s="10"/>
      <c r="BF45" s="10"/>
      <c r="BG45" s="10"/>
      <c r="BH45" s="10"/>
      <c r="BL45" s="10"/>
      <c r="BM45" s="10"/>
      <c r="BN45" s="10"/>
      <c r="BO45" s="10"/>
      <c r="BS45" s="10"/>
      <c r="BT45" s="10"/>
      <c r="BU45" s="10"/>
      <c r="BV45" s="10"/>
      <c r="BZ45" s="10"/>
      <c r="CA45" s="10"/>
      <c r="CB45" s="10"/>
      <c r="CC45" s="10"/>
      <c r="CG45" s="10"/>
      <c r="CH45" s="10"/>
      <c r="CI45" s="10"/>
      <c r="CJ45" s="10"/>
      <c r="CN45" s="10"/>
      <c r="CO45" s="10"/>
      <c r="CP45" s="10"/>
      <c r="CQ45" s="10"/>
      <c r="CU45" s="10"/>
      <c r="CV45" s="10"/>
      <c r="CW45" s="10"/>
      <c r="CX45" s="10"/>
      <c r="DB45" s="10"/>
      <c r="DC45" s="10"/>
      <c r="DD45" s="10"/>
      <c r="DE45" s="10"/>
      <c r="DI45" s="10"/>
      <c r="DJ45" s="10"/>
      <c r="DK45" s="10"/>
      <c r="DL45" s="10"/>
      <c r="DP45" s="10"/>
      <c r="DQ45" s="10"/>
      <c r="DR45" s="10"/>
      <c r="DS45" s="10"/>
      <c r="DX45" s="10"/>
      <c r="DY45" s="10"/>
      <c r="DZ45" s="10"/>
      <c r="EA45" s="10"/>
    </row>
    <row r="47" spans="2:131" x14ac:dyDescent="0.2">
      <c r="B47" t="s">
        <v>27</v>
      </c>
      <c r="C47" t="s">
        <v>102</v>
      </c>
      <c r="D47" s="19" t="s">
        <v>104</v>
      </c>
      <c r="E47" s="9">
        <v>6</v>
      </c>
      <c r="G47" s="10">
        <f>+SUM(G48:G55)</f>
        <v>1</v>
      </c>
      <c r="I47" s="12">
        <f>+SUM(I48:I55)</f>
        <v>0</v>
      </c>
      <c r="J47" s="11">
        <f>+SUMPRODUCT(G48:G55,J48:J55)</f>
        <v>0</v>
      </c>
      <c r="K47" s="11">
        <f>+SUMPRODUCT(G48:G55,K48:K55)</f>
        <v>0</v>
      </c>
      <c r="L47" s="9"/>
      <c r="N47" s="12">
        <f>+SUM(N48:N55)</f>
        <v>0</v>
      </c>
      <c r="U47" s="12">
        <f>+SUM(U48:U55)</f>
        <v>0</v>
      </c>
      <c r="AB47" s="12">
        <f>+SUM(AB48:AB55)</f>
        <v>0</v>
      </c>
      <c r="AI47" s="12">
        <f>+SUM(AI48:AI55)</f>
        <v>0</v>
      </c>
      <c r="AP47" s="12">
        <f>+SUM(AP48:AP55)</f>
        <v>0</v>
      </c>
    </row>
    <row r="48" spans="2:131" outlineLevel="1" x14ac:dyDescent="0.2">
      <c r="B48" t="s">
        <v>28</v>
      </c>
      <c r="C48" t="s">
        <v>102</v>
      </c>
      <c r="E48" s="9"/>
      <c r="F48" t="s">
        <v>133</v>
      </c>
      <c r="G48" s="10">
        <v>0.125</v>
      </c>
      <c r="I48" s="9">
        <f t="shared" si="3"/>
        <v>0</v>
      </c>
      <c r="J48" s="11" cm="1">
        <f t="array" ref="J48">MAX(IF($N$3:$EH$3=$J$3,N48:EH48))</f>
        <v>0</v>
      </c>
      <c r="K48" s="11" cm="1">
        <f t="array" ref="K48">MAX(IF($N$3:$EH$3=$J$3,N48:EH48))</f>
        <v>0</v>
      </c>
      <c r="L48" s="9"/>
      <c r="O48" s="10"/>
      <c r="P48" s="10"/>
      <c r="Q48" s="10"/>
      <c r="R48" s="10"/>
      <c r="V48" s="10"/>
      <c r="W48" s="10"/>
      <c r="X48" s="10"/>
      <c r="Y48" s="10"/>
      <c r="AC48" s="10"/>
      <c r="AD48" s="10"/>
      <c r="AE48" s="10"/>
      <c r="AF48" s="10"/>
      <c r="AJ48" s="10"/>
      <c r="AK48" s="10"/>
      <c r="AL48" s="10"/>
      <c r="AM48" s="10"/>
      <c r="AQ48" s="10"/>
      <c r="AR48" s="10"/>
      <c r="AS48" s="10"/>
      <c r="AT48" s="10"/>
      <c r="AX48" s="10"/>
      <c r="AY48" s="10"/>
      <c r="AZ48" s="10"/>
      <c r="BA48" s="10"/>
      <c r="BE48" s="10"/>
      <c r="BF48" s="10"/>
      <c r="BG48" s="10"/>
      <c r="BH48" s="10"/>
      <c r="BL48" s="10"/>
      <c r="BM48" s="10">
        <v>0.5</v>
      </c>
      <c r="BN48" s="10"/>
      <c r="BO48" s="10">
        <v>0.5</v>
      </c>
      <c r="BS48" s="10"/>
      <c r="BT48" s="10">
        <v>0.5</v>
      </c>
      <c r="BU48" s="10"/>
      <c r="BV48" s="10">
        <v>0.5</v>
      </c>
      <c r="BZ48" s="10"/>
      <c r="CA48" s="10">
        <v>0.8</v>
      </c>
      <c r="CB48" s="10"/>
      <c r="CC48" s="10">
        <v>0.8</v>
      </c>
      <c r="CG48" s="10"/>
      <c r="CH48" s="10">
        <v>0.8</v>
      </c>
      <c r="CI48" s="10"/>
      <c r="CJ48" s="10">
        <v>0.8</v>
      </c>
      <c r="CN48" s="10"/>
      <c r="CO48" s="10">
        <v>1</v>
      </c>
      <c r="CP48" s="10"/>
      <c r="CQ48" s="10">
        <v>1</v>
      </c>
      <c r="CU48" s="10"/>
      <c r="CV48" s="10">
        <v>1</v>
      </c>
      <c r="CW48" s="10"/>
      <c r="CX48" s="10">
        <v>1</v>
      </c>
      <c r="DB48" s="10"/>
      <c r="DC48" s="10"/>
      <c r="DD48" s="10"/>
      <c r="DE48" s="10"/>
      <c r="DI48" s="10"/>
      <c r="DJ48" s="10"/>
      <c r="DK48" s="10"/>
      <c r="DL48" s="10"/>
      <c r="DP48" s="10"/>
      <c r="DQ48" s="10"/>
      <c r="DR48" s="10"/>
      <c r="DS48" s="10"/>
      <c r="DX48" s="10"/>
      <c r="DY48" s="10"/>
      <c r="DZ48" s="10"/>
      <c r="EA48" s="10"/>
    </row>
    <row r="49" spans="2:131" outlineLevel="1" x14ac:dyDescent="0.2">
      <c r="B49" t="s">
        <v>28</v>
      </c>
      <c r="C49" t="s">
        <v>102</v>
      </c>
      <c r="E49" s="9"/>
      <c r="F49" t="s">
        <v>134</v>
      </c>
      <c r="G49" s="10">
        <v>0.125</v>
      </c>
      <c r="I49" s="9">
        <f t="shared" si="3"/>
        <v>0</v>
      </c>
      <c r="J49" s="11" cm="1">
        <f t="array" ref="J49">MAX(IF($N$3:$EH$3=$J$3,N49:EH49))</f>
        <v>0</v>
      </c>
      <c r="K49" s="11" cm="1">
        <f t="array" ref="K49">MAX(IF($N$3:$EH$3=$J$3,N49:EH49))</f>
        <v>0</v>
      </c>
      <c r="L49" s="9"/>
      <c r="O49" s="10"/>
      <c r="P49" s="10"/>
      <c r="Q49" s="10"/>
      <c r="R49" s="10"/>
      <c r="V49" s="10"/>
      <c r="W49" s="10"/>
      <c r="X49" s="10"/>
      <c r="Y49" s="10"/>
      <c r="AC49" s="10"/>
      <c r="AD49" s="10"/>
      <c r="AE49" s="10"/>
      <c r="AF49" s="10"/>
      <c r="AJ49" s="10"/>
      <c r="AK49" s="10"/>
      <c r="AL49" s="10"/>
      <c r="AM49" s="10"/>
      <c r="AQ49" s="10"/>
      <c r="AR49" s="10"/>
      <c r="AS49" s="10"/>
      <c r="AT49" s="10"/>
      <c r="AX49" s="10"/>
      <c r="AY49" s="10"/>
      <c r="AZ49" s="10"/>
      <c r="BA49" s="10"/>
      <c r="BE49" s="10"/>
      <c r="BF49" s="10"/>
      <c r="BG49" s="10"/>
      <c r="BH49" s="10"/>
      <c r="BL49" s="10"/>
      <c r="BM49" s="10">
        <v>0.5</v>
      </c>
      <c r="BN49" s="10"/>
      <c r="BO49" s="10">
        <v>0.5</v>
      </c>
      <c r="BS49" s="10"/>
      <c r="BT49" s="10">
        <v>0.5</v>
      </c>
      <c r="BU49" s="10"/>
      <c r="BV49" s="10">
        <v>0.5</v>
      </c>
      <c r="BZ49" s="10"/>
      <c r="CA49" s="10">
        <v>0.8</v>
      </c>
      <c r="CB49" s="10"/>
      <c r="CC49" s="10">
        <v>0.8</v>
      </c>
      <c r="CG49" s="10"/>
      <c r="CH49" s="10">
        <v>0.8</v>
      </c>
      <c r="CI49" s="10"/>
      <c r="CJ49" s="10">
        <v>0.8</v>
      </c>
      <c r="CN49" s="10"/>
      <c r="CO49" s="10">
        <v>1</v>
      </c>
      <c r="CP49" s="10"/>
      <c r="CQ49" s="10">
        <v>1</v>
      </c>
      <c r="CU49" s="10"/>
      <c r="CV49" s="10">
        <v>1</v>
      </c>
      <c r="CW49" s="10"/>
      <c r="CX49" s="10">
        <v>1</v>
      </c>
      <c r="DB49" s="10"/>
      <c r="DC49" s="10"/>
      <c r="DD49" s="10"/>
      <c r="DE49" s="10"/>
      <c r="DI49" s="10"/>
      <c r="DJ49" s="10"/>
      <c r="DK49" s="10"/>
      <c r="DL49" s="10"/>
      <c r="DP49" s="10"/>
      <c r="DQ49" s="10"/>
      <c r="DR49" s="10"/>
      <c r="DS49" s="10"/>
      <c r="DX49" s="10"/>
      <c r="DY49" s="10"/>
      <c r="DZ49" s="10"/>
      <c r="EA49" s="10"/>
    </row>
    <row r="50" spans="2:131" outlineLevel="1" x14ac:dyDescent="0.2">
      <c r="B50" t="s">
        <v>28</v>
      </c>
      <c r="C50" t="s">
        <v>102</v>
      </c>
      <c r="E50" s="9"/>
      <c r="F50" t="s">
        <v>135</v>
      </c>
      <c r="G50" s="10">
        <v>0.125</v>
      </c>
      <c r="I50" s="9">
        <f t="shared" si="3"/>
        <v>0</v>
      </c>
      <c r="J50" s="11" cm="1">
        <f t="array" ref="J50">MAX(IF($N$3:$EH$3=$J$3,N50:EH50))</f>
        <v>0</v>
      </c>
      <c r="K50" s="11" cm="1">
        <f t="array" ref="K50">MAX(IF($N$3:$EH$3=$J$3,N50:EH50))</f>
        <v>0</v>
      </c>
      <c r="L50" s="9"/>
      <c r="O50" s="10"/>
      <c r="P50" s="10"/>
      <c r="Q50" s="10"/>
      <c r="R50" s="10"/>
      <c r="V50" s="10"/>
      <c r="W50" s="10"/>
      <c r="X50" s="10"/>
      <c r="Y50" s="10"/>
      <c r="AC50" s="10"/>
      <c r="AD50" s="10"/>
      <c r="AE50" s="10"/>
      <c r="AF50" s="10"/>
      <c r="AJ50" s="10"/>
      <c r="AK50" s="10"/>
      <c r="AL50" s="10"/>
      <c r="AM50" s="10"/>
      <c r="AQ50" s="10"/>
      <c r="AR50" s="10"/>
      <c r="AS50" s="10"/>
      <c r="AT50" s="10"/>
      <c r="AX50" s="10"/>
      <c r="AY50" s="10"/>
      <c r="AZ50" s="10"/>
      <c r="BA50" s="10"/>
      <c r="BE50" s="10"/>
      <c r="BF50" s="10"/>
      <c r="BG50" s="10"/>
      <c r="BH50" s="10"/>
      <c r="BL50" s="10"/>
      <c r="BM50" s="10">
        <v>0.5</v>
      </c>
      <c r="BN50" s="10"/>
      <c r="BO50" s="10">
        <v>0.5</v>
      </c>
      <c r="BS50" s="10"/>
      <c r="BT50" s="10">
        <v>0.5</v>
      </c>
      <c r="BU50" s="10"/>
      <c r="BV50" s="10">
        <v>0.5</v>
      </c>
      <c r="BZ50" s="10"/>
      <c r="CA50" s="10">
        <v>0.8</v>
      </c>
      <c r="CB50" s="10"/>
      <c r="CC50" s="10">
        <v>0.8</v>
      </c>
      <c r="CG50" s="10"/>
      <c r="CH50" s="10">
        <v>0.8</v>
      </c>
      <c r="CI50" s="10"/>
      <c r="CJ50" s="10">
        <v>0.8</v>
      </c>
      <c r="CN50" s="10"/>
      <c r="CO50" s="10">
        <v>1</v>
      </c>
      <c r="CP50" s="10"/>
      <c r="CQ50" s="10">
        <v>1</v>
      </c>
      <c r="CU50" s="10"/>
      <c r="CV50" s="10">
        <v>1</v>
      </c>
      <c r="CW50" s="10"/>
      <c r="CX50" s="10">
        <v>1</v>
      </c>
      <c r="DB50" s="10"/>
      <c r="DC50" s="10"/>
      <c r="DD50" s="10"/>
      <c r="DE50" s="10"/>
      <c r="DI50" s="10"/>
      <c r="DJ50" s="10"/>
      <c r="DK50" s="10"/>
      <c r="DL50" s="10"/>
      <c r="DP50" s="10"/>
      <c r="DQ50" s="10"/>
      <c r="DR50" s="10"/>
      <c r="DS50" s="10"/>
      <c r="DX50" s="10"/>
      <c r="DY50" s="10"/>
      <c r="DZ50" s="10"/>
      <c r="EA50" s="10"/>
    </row>
    <row r="51" spans="2:131" outlineLevel="1" x14ac:dyDescent="0.2">
      <c r="B51" t="s">
        <v>28</v>
      </c>
      <c r="C51" t="s">
        <v>102</v>
      </c>
      <c r="E51" s="9"/>
      <c r="F51" t="s">
        <v>136</v>
      </c>
      <c r="G51" s="10">
        <v>0.125</v>
      </c>
      <c r="I51" s="9">
        <f t="shared" si="3"/>
        <v>0</v>
      </c>
      <c r="J51" s="11" cm="1">
        <f t="array" ref="J51">MAX(IF($N$3:$EH$3=$J$3,N51:EH51))</f>
        <v>0</v>
      </c>
      <c r="K51" s="11" cm="1">
        <f t="array" ref="K51">MAX(IF($N$3:$EH$3=$J$3,N51:EH51))</f>
        <v>0</v>
      </c>
      <c r="L51" s="9"/>
      <c r="O51" s="10"/>
      <c r="P51" s="10"/>
      <c r="Q51" s="10"/>
      <c r="R51" s="10"/>
      <c r="V51" s="10"/>
      <c r="W51" s="10"/>
      <c r="X51" s="10"/>
      <c r="Y51" s="10"/>
      <c r="AC51" s="10"/>
      <c r="AD51" s="10"/>
      <c r="AE51" s="10"/>
      <c r="AF51" s="10"/>
      <c r="AJ51" s="10"/>
      <c r="AK51" s="10"/>
      <c r="AL51" s="10"/>
      <c r="AM51" s="10"/>
      <c r="AQ51" s="10"/>
      <c r="AR51" s="10"/>
      <c r="AS51" s="10"/>
      <c r="AT51" s="10"/>
      <c r="AX51" s="10"/>
      <c r="AY51" s="10"/>
      <c r="AZ51" s="10"/>
      <c r="BA51" s="10"/>
      <c r="BE51" s="10"/>
      <c r="BF51" s="10"/>
      <c r="BG51" s="10"/>
      <c r="BH51" s="10"/>
      <c r="BL51" s="10"/>
      <c r="BM51" s="10">
        <v>0.5</v>
      </c>
      <c r="BN51" s="10"/>
      <c r="BO51" s="10">
        <v>0.5</v>
      </c>
      <c r="BS51" s="10"/>
      <c r="BT51" s="10">
        <v>0.5</v>
      </c>
      <c r="BU51" s="10"/>
      <c r="BV51" s="10">
        <v>0.5</v>
      </c>
      <c r="BZ51" s="10"/>
      <c r="CA51" s="10">
        <v>0.5</v>
      </c>
      <c r="CB51" s="10"/>
      <c r="CC51" s="10">
        <v>0.5</v>
      </c>
      <c r="CG51" s="10"/>
      <c r="CH51" s="10">
        <v>0.8</v>
      </c>
      <c r="CI51" s="10"/>
      <c r="CJ51" s="10">
        <v>0.8</v>
      </c>
      <c r="CN51" s="10"/>
      <c r="CO51" s="10">
        <v>1</v>
      </c>
      <c r="CP51" s="10"/>
      <c r="CQ51" s="10">
        <v>1</v>
      </c>
      <c r="CU51" s="10"/>
      <c r="CV51" s="10">
        <v>1</v>
      </c>
      <c r="CW51" s="10"/>
      <c r="CX51" s="10">
        <v>1</v>
      </c>
      <c r="DB51" s="10"/>
      <c r="DC51" s="10"/>
      <c r="DD51" s="10"/>
      <c r="DE51" s="10"/>
      <c r="DI51" s="10"/>
      <c r="DJ51" s="10"/>
      <c r="DK51" s="10"/>
      <c r="DL51" s="10"/>
      <c r="DP51" s="10"/>
      <c r="DQ51" s="10"/>
      <c r="DR51" s="10"/>
      <c r="DS51" s="10"/>
      <c r="DX51" s="10"/>
      <c r="DY51" s="10"/>
      <c r="DZ51" s="10"/>
      <c r="EA51" s="10"/>
    </row>
    <row r="52" spans="2:131" outlineLevel="1" x14ac:dyDescent="0.2">
      <c r="B52" t="s">
        <v>28</v>
      </c>
      <c r="C52" t="s">
        <v>102</v>
      </c>
      <c r="E52" s="9"/>
      <c r="F52" t="s">
        <v>137</v>
      </c>
      <c r="G52" s="10">
        <v>0.125</v>
      </c>
      <c r="I52" s="9">
        <f t="shared" si="3"/>
        <v>0</v>
      </c>
      <c r="J52" s="11" cm="1">
        <f t="array" ref="J52">MAX(IF($N$3:$EH$3=$J$3,N52:EH52))</f>
        <v>0</v>
      </c>
      <c r="K52" s="11" cm="1">
        <f t="array" ref="K52">MAX(IF($N$3:$EH$3=$J$3,N52:EH52))</f>
        <v>0</v>
      </c>
      <c r="L52" s="9"/>
      <c r="O52" s="10"/>
      <c r="P52" s="10"/>
      <c r="Q52" s="10"/>
      <c r="R52" s="10"/>
      <c r="V52" s="10"/>
      <c r="W52" s="10"/>
      <c r="X52" s="10"/>
      <c r="Y52" s="10"/>
      <c r="AC52" s="10"/>
      <c r="AD52" s="10"/>
      <c r="AE52" s="10"/>
      <c r="AF52" s="10"/>
      <c r="AJ52" s="10"/>
      <c r="AK52" s="10"/>
      <c r="AL52" s="10"/>
      <c r="AM52" s="10"/>
      <c r="AQ52" s="10"/>
      <c r="AR52" s="10"/>
      <c r="AS52" s="10"/>
      <c r="AT52" s="10"/>
      <c r="AX52" s="10"/>
      <c r="AY52" s="10"/>
      <c r="AZ52" s="10"/>
      <c r="BA52" s="10"/>
      <c r="BE52" s="10"/>
      <c r="BF52" s="10"/>
      <c r="BG52" s="10"/>
      <c r="BH52" s="10"/>
      <c r="BL52" s="10"/>
      <c r="BM52" s="10">
        <v>0.5</v>
      </c>
      <c r="BN52" s="10"/>
      <c r="BO52" s="10">
        <v>0.5</v>
      </c>
      <c r="BS52" s="10"/>
      <c r="BT52" s="10">
        <v>0.5</v>
      </c>
      <c r="BU52" s="10"/>
      <c r="BV52" s="10">
        <v>0.5</v>
      </c>
      <c r="BZ52" s="10"/>
      <c r="CA52" s="10">
        <v>0.5</v>
      </c>
      <c r="CB52" s="10"/>
      <c r="CC52" s="10">
        <v>0.5</v>
      </c>
      <c r="CG52" s="10"/>
      <c r="CH52" s="10">
        <v>0.8</v>
      </c>
      <c r="CI52" s="10"/>
      <c r="CJ52" s="10">
        <v>0.8</v>
      </c>
      <c r="CN52" s="10"/>
      <c r="CO52" s="10">
        <v>0.8</v>
      </c>
      <c r="CP52" s="10"/>
      <c r="CQ52" s="10">
        <v>0.8</v>
      </c>
      <c r="CU52" s="10"/>
      <c r="CV52" s="10">
        <v>1</v>
      </c>
      <c r="CW52" s="10"/>
      <c r="CX52" s="10">
        <v>1</v>
      </c>
      <c r="DB52" s="10"/>
      <c r="DC52" s="10"/>
      <c r="DD52" s="10"/>
      <c r="DE52" s="10"/>
      <c r="DI52" s="10"/>
      <c r="DJ52" s="10"/>
      <c r="DK52" s="10"/>
      <c r="DL52" s="10"/>
      <c r="DP52" s="10"/>
      <c r="DQ52" s="10"/>
      <c r="DR52" s="10"/>
      <c r="DS52" s="10"/>
      <c r="DX52" s="10"/>
      <c r="DY52" s="10"/>
      <c r="DZ52" s="10"/>
      <c r="EA52" s="10"/>
    </row>
    <row r="53" spans="2:131" outlineLevel="1" x14ac:dyDescent="0.2">
      <c r="B53" t="s">
        <v>28</v>
      </c>
      <c r="C53" t="s">
        <v>102</v>
      </c>
      <c r="E53" s="9"/>
      <c r="F53" t="s">
        <v>140</v>
      </c>
      <c r="G53" s="10">
        <v>0.125</v>
      </c>
      <c r="I53" s="9">
        <f t="shared" si="3"/>
        <v>0</v>
      </c>
      <c r="J53" s="11" cm="1">
        <f t="array" ref="J53">MAX(IF($N$3:$EH$3=$J$3,N53:EH53))</f>
        <v>0</v>
      </c>
      <c r="K53" s="11" cm="1">
        <f t="array" ref="K53">MAX(IF($N$3:$EH$3=$J$3,N53:EH53))</f>
        <v>0</v>
      </c>
      <c r="L53" s="9"/>
      <c r="O53" s="10"/>
      <c r="P53" s="10"/>
      <c r="Q53" s="10"/>
      <c r="R53" s="10"/>
      <c r="V53" s="10"/>
      <c r="W53" s="10"/>
      <c r="X53" s="10"/>
      <c r="Y53" s="10"/>
      <c r="AC53" s="10"/>
      <c r="AD53" s="10"/>
      <c r="AE53" s="10"/>
      <c r="AF53" s="10"/>
      <c r="AJ53" s="10"/>
      <c r="AK53" s="10"/>
      <c r="AL53" s="10"/>
      <c r="AM53" s="10"/>
      <c r="AQ53" s="10"/>
      <c r="AR53" s="10"/>
      <c r="AS53" s="10"/>
      <c r="AT53" s="10"/>
      <c r="AX53" s="10"/>
      <c r="AY53" s="10"/>
      <c r="AZ53" s="10"/>
      <c r="BA53" s="10"/>
      <c r="BE53" s="10"/>
      <c r="BF53" s="10"/>
      <c r="BG53" s="10"/>
      <c r="BH53" s="10"/>
      <c r="BL53" s="10"/>
      <c r="BM53" s="10"/>
      <c r="BN53" s="10"/>
      <c r="BO53" s="10"/>
      <c r="BS53" s="10"/>
      <c r="BT53" s="10"/>
      <c r="BU53" s="10"/>
      <c r="BV53" s="10"/>
      <c r="BZ53" s="10"/>
      <c r="CA53" s="10">
        <v>0.5</v>
      </c>
      <c r="CB53" s="10"/>
      <c r="CC53" s="10">
        <v>0.5</v>
      </c>
      <c r="CG53" s="10"/>
      <c r="CH53" s="10">
        <v>0.8</v>
      </c>
      <c r="CI53" s="10"/>
      <c r="CJ53" s="10">
        <v>0.8</v>
      </c>
      <c r="CN53" s="10"/>
      <c r="CO53" s="10">
        <v>0.8</v>
      </c>
      <c r="CP53" s="10"/>
      <c r="CQ53" s="10">
        <v>0.8</v>
      </c>
      <c r="CU53" s="10"/>
      <c r="CV53" s="10">
        <v>1</v>
      </c>
      <c r="CW53" s="10"/>
      <c r="CX53" s="10">
        <v>1</v>
      </c>
      <c r="DB53" s="10"/>
      <c r="DC53" s="10"/>
      <c r="DD53" s="10"/>
      <c r="DE53" s="10"/>
      <c r="DI53" s="10"/>
      <c r="DJ53" s="10"/>
      <c r="DK53" s="10"/>
      <c r="DL53" s="10"/>
      <c r="DP53" s="10"/>
      <c r="DQ53" s="10"/>
      <c r="DR53" s="10"/>
      <c r="DS53" s="10"/>
      <c r="DX53" s="10"/>
      <c r="DY53" s="10"/>
      <c r="DZ53" s="10"/>
      <c r="EA53" s="10"/>
    </row>
    <row r="54" spans="2:131" outlineLevel="1" x14ac:dyDescent="0.2">
      <c r="B54" t="s">
        <v>28</v>
      </c>
      <c r="C54" t="s">
        <v>102</v>
      </c>
      <c r="E54" s="9"/>
      <c r="F54" t="s">
        <v>138</v>
      </c>
      <c r="G54" s="10">
        <v>0.125</v>
      </c>
      <c r="I54" s="9">
        <f t="shared" si="3"/>
        <v>0</v>
      </c>
      <c r="J54" s="11" cm="1">
        <f t="array" ref="J54">MAX(IF($N$3:$EH$3=$J$3,N54:EH54))</f>
        <v>0</v>
      </c>
      <c r="K54" s="11" cm="1">
        <f t="array" ref="K54">MAX(IF($N$3:$EH$3=$J$3,N54:EH54))</f>
        <v>0</v>
      </c>
      <c r="L54" s="9"/>
      <c r="O54" s="10"/>
      <c r="P54" s="10"/>
      <c r="Q54" s="10"/>
      <c r="R54" s="10"/>
      <c r="V54" s="10"/>
      <c r="W54" s="10"/>
      <c r="X54" s="10"/>
      <c r="Y54" s="10"/>
      <c r="AC54" s="10"/>
      <c r="AD54" s="10"/>
      <c r="AE54" s="10"/>
      <c r="AF54" s="10"/>
      <c r="AJ54" s="10"/>
      <c r="AK54" s="10"/>
      <c r="AL54" s="10"/>
      <c r="AM54" s="10"/>
      <c r="AQ54" s="10"/>
      <c r="AR54" s="10"/>
      <c r="AS54" s="10"/>
      <c r="AT54" s="10"/>
      <c r="AX54" s="10"/>
      <c r="AY54" s="10"/>
      <c r="AZ54" s="10"/>
      <c r="BA54" s="10"/>
      <c r="BE54" s="10"/>
      <c r="BF54" s="10"/>
      <c r="BG54" s="10"/>
      <c r="BH54" s="10"/>
      <c r="BL54" s="10"/>
      <c r="BM54" s="10"/>
      <c r="BN54" s="10"/>
      <c r="BO54" s="10"/>
      <c r="BS54" s="10"/>
      <c r="BT54" s="10"/>
      <c r="BU54" s="10"/>
      <c r="BV54" s="10"/>
      <c r="BZ54" s="10"/>
      <c r="CA54" s="10">
        <v>0.5</v>
      </c>
      <c r="CB54" s="10"/>
      <c r="CC54" s="10">
        <v>0.5</v>
      </c>
      <c r="CG54" s="10"/>
      <c r="CH54" s="10">
        <v>0.8</v>
      </c>
      <c r="CI54" s="10"/>
      <c r="CJ54" s="10">
        <v>0.8</v>
      </c>
      <c r="CN54" s="10"/>
      <c r="CO54" s="10">
        <v>0.8</v>
      </c>
      <c r="CP54" s="10"/>
      <c r="CQ54" s="10">
        <v>0.8</v>
      </c>
      <c r="CU54" s="10"/>
      <c r="CV54" s="10">
        <v>1</v>
      </c>
      <c r="CW54" s="10"/>
      <c r="CX54" s="10">
        <v>1</v>
      </c>
      <c r="DB54" s="10"/>
      <c r="DC54" s="10"/>
      <c r="DD54" s="10"/>
      <c r="DE54" s="10"/>
      <c r="DI54" s="10"/>
      <c r="DJ54" s="10"/>
      <c r="DK54" s="10"/>
      <c r="DL54" s="10"/>
      <c r="DP54" s="10"/>
      <c r="DQ54" s="10"/>
      <c r="DR54" s="10"/>
      <c r="DS54" s="10"/>
      <c r="DX54" s="10"/>
      <c r="DY54" s="10"/>
      <c r="DZ54" s="10"/>
      <c r="EA54" s="10"/>
    </row>
    <row r="55" spans="2:131" outlineLevel="1" x14ac:dyDescent="0.2">
      <c r="B55" t="s">
        <v>28</v>
      </c>
      <c r="C55" t="s">
        <v>102</v>
      </c>
      <c r="E55" s="9"/>
      <c r="F55" t="s">
        <v>139</v>
      </c>
      <c r="G55" s="10">
        <v>0.125</v>
      </c>
      <c r="I55" s="9">
        <f t="shared" si="3"/>
        <v>0</v>
      </c>
      <c r="J55" s="11" cm="1">
        <f t="array" ref="J55">MAX(IF($N$3:$EH$3=$J$3,N55:EH55))</f>
        <v>0</v>
      </c>
      <c r="K55" s="11" cm="1">
        <f t="array" ref="K55">MAX(IF($N$3:$EH$3=$J$3,N55:EH55))</f>
        <v>0</v>
      </c>
      <c r="L55" s="9"/>
      <c r="O55" s="10"/>
      <c r="P55" s="10"/>
      <c r="Q55" s="10"/>
      <c r="R55" s="10"/>
      <c r="V55" s="10"/>
      <c r="W55" s="10"/>
      <c r="X55" s="10"/>
      <c r="Y55" s="10"/>
      <c r="AC55" s="10"/>
      <c r="AD55" s="10"/>
      <c r="AE55" s="10"/>
      <c r="AF55" s="10"/>
      <c r="AJ55" s="10"/>
      <c r="AK55" s="10"/>
      <c r="AL55" s="10"/>
      <c r="AM55" s="10"/>
      <c r="AQ55" s="10"/>
      <c r="AR55" s="10"/>
      <c r="AS55" s="10"/>
      <c r="AT55" s="10"/>
      <c r="AX55" s="10"/>
      <c r="AY55" s="10"/>
      <c r="AZ55" s="10"/>
      <c r="BA55" s="10"/>
      <c r="BE55" s="10"/>
      <c r="BF55" s="10"/>
      <c r="BG55" s="10"/>
      <c r="BH55" s="10"/>
      <c r="BL55" s="10"/>
      <c r="BM55" s="10"/>
      <c r="BN55" s="10"/>
      <c r="BO55" s="10"/>
      <c r="BS55" s="10"/>
      <c r="BT55" s="10"/>
      <c r="BU55" s="10"/>
      <c r="BV55" s="10"/>
      <c r="BZ55" s="10"/>
      <c r="CA55" s="10">
        <v>0.5</v>
      </c>
      <c r="CB55" s="10"/>
      <c r="CC55" s="10">
        <v>0.5</v>
      </c>
      <c r="CG55" s="10"/>
      <c r="CH55" s="10">
        <v>0.5</v>
      </c>
      <c r="CI55" s="10"/>
      <c r="CJ55" s="10">
        <v>0.5</v>
      </c>
      <c r="CN55" s="10"/>
      <c r="CO55" s="10">
        <v>0.8</v>
      </c>
      <c r="CP55" s="10"/>
      <c r="CQ55" s="10">
        <v>0.8</v>
      </c>
      <c r="CU55" s="10"/>
      <c r="CV55" s="10">
        <v>1</v>
      </c>
      <c r="CW55" s="10"/>
      <c r="CX55" s="10">
        <v>1</v>
      </c>
      <c r="DB55" s="10"/>
      <c r="DC55" s="10"/>
      <c r="DD55" s="10"/>
      <c r="DE55" s="10"/>
      <c r="DI55" s="10"/>
      <c r="DJ55" s="10"/>
      <c r="DK55" s="10"/>
      <c r="DL55" s="10"/>
      <c r="DP55" s="10"/>
      <c r="DQ55" s="10"/>
      <c r="DR55" s="10"/>
      <c r="DS55" s="10"/>
      <c r="DX55" s="10"/>
      <c r="DY55" s="10"/>
      <c r="DZ55" s="10"/>
      <c r="EA55" s="10"/>
    </row>
    <row r="57" spans="2:131" x14ac:dyDescent="0.2">
      <c r="B57" t="s">
        <v>27</v>
      </c>
      <c r="C57" t="s">
        <v>103</v>
      </c>
      <c r="D57" s="20" t="s">
        <v>105</v>
      </c>
      <c r="E57" s="9">
        <v>6</v>
      </c>
      <c r="G57" s="10">
        <f>+SUM(G58:G68)</f>
        <v>0.99999999999999989</v>
      </c>
      <c r="I57" s="12">
        <f>+SUM(I58:I68)</f>
        <v>0</v>
      </c>
      <c r="J57" s="11">
        <f>+SUMPRODUCT(G58:G68,J58:J68)</f>
        <v>0</v>
      </c>
      <c r="K57" s="11">
        <f>+SUMPRODUCT(G58:G68,K58:K68)</f>
        <v>0</v>
      </c>
      <c r="L57" s="9"/>
      <c r="N57" s="12">
        <f>+SUM(N58:N68)</f>
        <v>0</v>
      </c>
      <c r="U57" s="12">
        <f>+SUM(U58:U68)</f>
        <v>0</v>
      </c>
      <c r="AB57" s="12">
        <f>+SUM(AB58:AB68)</f>
        <v>0</v>
      </c>
      <c r="AI57" s="12">
        <f>+SUM(AI58:AI68)</f>
        <v>0</v>
      </c>
      <c r="AP57" s="12">
        <f>+SUM(AP58:AP68)</f>
        <v>0</v>
      </c>
    </row>
    <row r="58" spans="2:131" outlineLevel="1" x14ac:dyDescent="0.2">
      <c r="B58" t="s">
        <v>28</v>
      </c>
      <c r="C58" t="s">
        <v>103</v>
      </c>
      <c r="E58" s="9"/>
      <c r="F58" t="s">
        <v>141</v>
      </c>
      <c r="G58" s="10">
        <v>0.1</v>
      </c>
      <c r="I58" s="9">
        <f t="shared" ref="I58:I72" si="4">+SUMIF($N$3:$ZZ$3,I$3,$N58:$ZZ58)</f>
        <v>0</v>
      </c>
      <c r="J58" s="11" cm="1">
        <f t="array" ref="J58">MAX(IF($N$3:$EH$3=$J$3,N58:EH58))</f>
        <v>0</v>
      </c>
      <c r="K58" s="11" cm="1">
        <f t="array" ref="K58">MAX(IF($N$3:$EH$3=$J$3,N58:EH58))</f>
        <v>0</v>
      </c>
      <c r="L58" s="9"/>
      <c r="O58" s="10"/>
      <c r="P58" s="10">
        <v>0.5</v>
      </c>
      <c r="Q58" s="10"/>
      <c r="R58" s="10">
        <v>0.5</v>
      </c>
      <c r="V58" s="10"/>
      <c r="W58" s="10">
        <v>0.8</v>
      </c>
      <c r="X58" s="10"/>
      <c r="Y58" s="10">
        <v>0.8</v>
      </c>
      <c r="AC58" s="10"/>
      <c r="AD58" s="10">
        <v>0.8</v>
      </c>
      <c r="AE58" s="10"/>
      <c r="AF58" s="10">
        <v>0.8</v>
      </c>
      <c r="AJ58" s="10"/>
      <c r="AK58" s="10">
        <v>1</v>
      </c>
      <c r="AL58" s="10"/>
      <c r="AM58" s="10">
        <v>1</v>
      </c>
      <c r="AQ58" s="10"/>
      <c r="AR58" s="10">
        <v>1</v>
      </c>
      <c r="AS58" s="10"/>
      <c r="AT58" s="10">
        <v>1</v>
      </c>
      <c r="AX58" s="10"/>
      <c r="AY58" s="10"/>
      <c r="AZ58" s="10"/>
      <c r="BA58" s="10"/>
      <c r="BE58" s="10"/>
      <c r="BF58" s="10"/>
      <c r="BG58" s="10"/>
      <c r="BH58" s="10"/>
      <c r="BL58" s="10"/>
      <c r="BM58" s="10"/>
      <c r="BN58" s="10"/>
      <c r="BO58" s="10"/>
      <c r="BS58" s="10"/>
      <c r="BT58" s="10"/>
      <c r="BU58" s="10"/>
      <c r="BV58" s="10"/>
      <c r="BZ58" s="10"/>
      <c r="CA58" s="10"/>
      <c r="CB58" s="10"/>
      <c r="CC58" s="10"/>
      <c r="CG58" s="10"/>
      <c r="CH58" s="10"/>
      <c r="CI58" s="10"/>
      <c r="CJ58" s="10"/>
      <c r="CN58" s="10"/>
      <c r="CO58" s="10"/>
      <c r="CP58" s="10"/>
      <c r="CQ58" s="10"/>
      <c r="CU58" s="10"/>
      <c r="CV58" s="10"/>
      <c r="CW58" s="10"/>
      <c r="CX58" s="10"/>
      <c r="DB58" s="10"/>
      <c r="DC58" s="10"/>
      <c r="DD58" s="10"/>
      <c r="DE58" s="10"/>
      <c r="DI58" s="10"/>
      <c r="DJ58" s="10"/>
      <c r="DK58" s="10"/>
      <c r="DL58" s="10"/>
      <c r="DP58" s="10"/>
      <c r="DQ58" s="10"/>
      <c r="DR58" s="10"/>
      <c r="DS58" s="10"/>
      <c r="DX58" s="10"/>
      <c r="DY58" s="10"/>
      <c r="DZ58" s="10"/>
      <c r="EA58" s="10"/>
    </row>
    <row r="59" spans="2:131" outlineLevel="1" x14ac:dyDescent="0.2">
      <c r="B59" t="s">
        <v>28</v>
      </c>
      <c r="C59" t="s">
        <v>103</v>
      </c>
      <c r="E59" s="9"/>
      <c r="F59" t="s">
        <v>142</v>
      </c>
      <c r="G59" s="10">
        <v>0.05</v>
      </c>
      <c r="I59" s="9">
        <f t="shared" si="4"/>
        <v>0</v>
      </c>
      <c r="J59" s="11" cm="1">
        <f t="array" ref="J59">MAX(IF($N$3:$EH$3=$J$3,N59:EH59))</f>
        <v>0</v>
      </c>
      <c r="K59" s="11" cm="1">
        <f t="array" ref="K59">MAX(IF($N$3:$EH$3=$J$3,N59:EH59))</f>
        <v>0</v>
      </c>
      <c r="L59" s="9"/>
      <c r="O59" s="10"/>
      <c r="P59" s="10">
        <v>0.5</v>
      </c>
      <c r="Q59" s="10"/>
      <c r="R59" s="10">
        <v>0.5</v>
      </c>
      <c r="V59" s="10"/>
      <c r="W59" s="10">
        <v>0.8</v>
      </c>
      <c r="X59" s="10"/>
      <c r="Y59" s="10">
        <v>0.8</v>
      </c>
      <c r="AC59" s="10"/>
      <c r="AD59" s="10">
        <v>0.8</v>
      </c>
      <c r="AE59" s="10"/>
      <c r="AF59" s="10">
        <v>0.8</v>
      </c>
      <c r="AJ59" s="10"/>
      <c r="AK59" s="10">
        <v>1</v>
      </c>
      <c r="AL59" s="10"/>
      <c r="AM59" s="10">
        <v>1</v>
      </c>
      <c r="AQ59" s="10"/>
      <c r="AR59" s="10">
        <v>1</v>
      </c>
      <c r="AS59" s="10"/>
      <c r="AT59" s="10">
        <v>1</v>
      </c>
      <c r="AX59" s="10"/>
      <c r="AY59" s="10"/>
      <c r="AZ59" s="10"/>
      <c r="BA59" s="10"/>
      <c r="BE59" s="10"/>
      <c r="BF59" s="10"/>
      <c r="BG59" s="10"/>
      <c r="BH59" s="10"/>
      <c r="BL59" s="10"/>
      <c r="BM59" s="10"/>
      <c r="BN59" s="10"/>
      <c r="BO59" s="10"/>
      <c r="BS59" s="10"/>
      <c r="BT59" s="10"/>
      <c r="BU59" s="10"/>
      <c r="BV59" s="10"/>
      <c r="BZ59" s="10"/>
      <c r="CA59" s="10"/>
      <c r="CB59" s="10"/>
      <c r="CC59" s="10"/>
      <c r="CG59" s="10"/>
      <c r="CH59" s="10"/>
      <c r="CI59" s="10"/>
      <c r="CJ59" s="10"/>
      <c r="CN59" s="10"/>
      <c r="CO59" s="10"/>
      <c r="CP59" s="10"/>
      <c r="CQ59" s="10"/>
      <c r="CU59" s="10"/>
      <c r="CV59" s="10"/>
      <c r="CW59" s="10"/>
      <c r="CX59" s="10"/>
      <c r="DB59" s="10"/>
      <c r="DC59" s="10"/>
      <c r="DD59" s="10"/>
      <c r="DE59" s="10"/>
      <c r="DI59" s="10"/>
      <c r="DJ59" s="10"/>
      <c r="DK59" s="10"/>
      <c r="DL59" s="10"/>
      <c r="DP59" s="10"/>
      <c r="DQ59" s="10"/>
      <c r="DR59" s="10"/>
      <c r="DS59" s="10"/>
      <c r="DX59" s="10"/>
      <c r="DY59" s="10"/>
      <c r="DZ59" s="10"/>
      <c r="EA59" s="10"/>
    </row>
    <row r="60" spans="2:131" outlineLevel="1" x14ac:dyDescent="0.2">
      <c r="B60" t="s">
        <v>28</v>
      </c>
      <c r="C60" t="s">
        <v>103</v>
      </c>
      <c r="E60" s="9"/>
      <c r="F60" t="s">
        <v>143</v>
      </c>
      <c r="G60" s="10">
        <v>0.05</v>
      </c>
      <c r="I60" s="9">
        <f t="shared" si="4"/>
        <v>0</v>
      </c>
      <c r="J60" s="11" cm="1">
        <f t="array" ref="J60">MAX(IF($N$3:$EH$3=$J$3,N60:EH60))</f>
        <v>0</v>
      </c>
      <c r="K60" s="11" cm="1">
        <f t="array" ref="K60">MAX(IF($N$3:$EH$3=$J$3,N60:EH60))</f>
        <v>0</v>
      </c>
      <c r="L60" s="9"/>
      <c r="O60" s="10"/>
      <c r="P60" s="10">
        <v>0.5</v>
      </c>
      <c r="Q60" s="10"/>
      <c r="R60" s="10">
        <v>0.5</v>
      </c>
      <c r="V60" s="10"/>
      <c r="W60" s="10">
        <v>0.8</v>
      </c>
      <c r="X60" s="10"/>
      <c r="Y60" s="10">
        <v>0.8</v>
      </c>
      <c r="AC60" s="10"/>
      <c r="AD60" s="10">
        <v>0.8</v>
      </c>
      <c r="AE60" s="10"/>
      <c r="AF60" s="10">
        <v>0.8</v>
      </c>
      <c r="AJ60" s="10"/>
      <c r="AK60" s="10">
        <v>1</v>
      </c>
      <c r="AL60" s="10"/>
      <c r="AM60" s="10">
        <v>1</v>
      </c>
      <c r="AQ60" s="10"/>
      <c r="AR60" s="10">
        <v>1</v>
      </c>
      <c r="AS60" s="10"/>
      <c r="AT60" s="10">
        <v>1</v>
      </c>
      <c r="AX60" s="10"/>
      <c r="AY60" s="10"/>
      <c r="AZ60" s="10"/>
      <c r="BA60" s="10"/>
      <c r="BE60" s="10"/>
      <c r="BF60" s="10"/>
      <c r="BG60" s="10"/>
      <c r="BH60" s="10"/>
      <c r="BL60" s="10"/>
      <c r="BM60" s="10"/>
      <c r="BN60" s="10"/>
      <c r="BO60" s="10"/>
      <c r="BS60" s="10"/>
      <c r="BT60" s="10"/>
      <c r="BU60" s="10"/>
      <c r="BV60" s="10"/>
      <c r="BZ60" s="10"/>
      <c r="CA60" s="10"/>
      <c r="CB60" s="10"/>
      <c r="CC60" s="10"/>
      <c r="CG60" s="10"/>
      <c r="CH60" s="10"/>
      <c r="CI60" s="10"/>
      <c r="CJ60" s="10"/>
      <c r="CN60" s="10"/>
      <c r="CO60" s="10"/>
      <c r="CP60" s="10"/>
      <c r="CQ60" s="10"/>
      <c r="CU60" s="10"/>
      <c r="CV60" s="10"/>
      <c r="CW60" s="10"/>
      <c r="CX60" s="10"/>
      <c r="DB60" s="10"/>
      <c r="DC60" s="10"/>
      <c r="DD60" s="10"/>
      <c r="DE60" s="10"/>
      <c r="DI60" s="10"/>
      <c r="DJ60" s="10"/>
      <c r="DK60" s="10"/>
      <c r="DL60" s="10"/>
      <c r="DP60" s="10"/>
      <c r="DQ60" s="10"/>
      <c r="DR60" s="10"/>
      <c r="DS60" s="10"/>
      <c r="DX60" s="10"/>
      <c r="DY60" s="10"/>
      <c r="DZ60" s="10"/>
      <c r="EA60" s="10"/>
    </row>
    <row r="61" spans="2:131" outlineLevel="1" x14ac:dyDescent="0.2">
      <c r="B61" t="s">
        <v>28</v>
      </c>
      <c r="C61" t="s">
        <v>103</v>
      </c>
      <c r="E61" s="9"/>
      <c r="F61" t="s">
        <v>144</v>
      </c>
      <c r="G61" s="10">
        <v>0.1</v>
      </c>
      <c r="I61" s="9">
        <f t="shared" si="4"/>
        <v>0</v>
      </c>
      <c r="J61" s="11" cm="1">
        <f t="array" ref="J61">MAX(IF($N$3:$EH$3=$J$3,N61:EH61))</f>
        <v>0</v>
      </c>
      <c r="K61" s="11" cm="1">
        <f t="array" ref="K61">MAX(IF($N$3:$EH$3=$J$3,N61:EH61))</f>
        <v>0</v>
      </c>
      <c r="L61" s="9"/>
      <c r="O61" s="10"/>
      <c r="P61" s="10">
        <v>0.5</v>
      </c>
      <c r="Q61" s="10"/>
      <c r="R61" s="10">
        <v>0.5</v>
      </c>
      <c r="V61" s="10"/>
      <c r="W61" s="10">
        <v>0.8</v>
      </c>
      <c r="X61" s="10"/>
      <c r="Y61" s="10">
        <v>0.8</v>
      </c>
      <c r="AC61" s="10"/>
      <c r="AD61" s="10">
        <v>0.8</v>
      </c>
      <c r="AE61" s="10"/>
      <c r="AF61" s="10">
        <v>0.8</v>
      </c>
      <c r="AJ61" s="10"/>
      <c r="AK61" s="10">
        <v>1</v>
      </c>
      <c r="AL61" s="10"/>
      <c r="AM61" s="10">
        <v>1</v>
      </c>
      <c r="AQ61" s="10"/>
      <c r="AR61" s="10">
        <v>1</v>
      </c>
      <c r="AS61" s="10"/>
      <c r="AT61" s="10">
        <v>1</v>
      </c>
      <c r="AX61" s="10"/>
      <c r="AY61" s="10"/>
      <c r="AZ61" s="10"/>
      <c r="BA61" s="10"/>
      <c r="BE61" s="10"/>
      <c r="BF61" s="10"/>
      <c r="BG61" s="10"/>
      <c r="BH61" s="10"/>
      <c r="BL61" s="10"/>
      <c r="BM61" s="10"/>
      <c r="BN61" s="10"/>
      <c r="BO61" s="10"/>
      <c r="BS61" s="10"/>
      <c r="BT61" s="10"/>
      <c r="BU61" s="10"/>
      <c r="BV61" s="10"/>
      <c r="BZ61" s="10"/>
      <c r="CA61" s="10"/>
      <c r="CB61" s="10"/>
      <c r="CC61" s="10"/>
      <c r="CG61" s="10"/>
      <c r="CH61" s="10"/>
      <c r="CI61" s="10"/>
      <c r="CJ61" s="10"/>
      <c r="CN61" s="10"/>
      <c r="CO61" s="10"/>
      <c r="CP61" s="10"/>
      <c r="CQ61" s="10"/>
      <c r="CU61" s="10"/>
      <c r="CV61" s="10"/>
      <c r="CW61" s="10"/>
      <c r="CX61" s="10"/>
      <c r="DB61" s="10"/>
      <c r="DC61" s="10"/>
      <c r="DD61" s="10"/>
      <c r="DE61" s="10"/>
      <c r="DI61" s="10"/>
      <c r="DJ61" s="10"/>
      <c r="DK61" s="10"/>
      <c r="DL61" s="10"/>
      <c r="DP61" s="10"/>
      <c r="DQ61" s="10"/>
      <c r="DR61" s="10"/>
      <c r="DS61" s="10"/>
      <c r="DX61" s="10"/>
      <c r="DY61" s="10"/>
      <c r="DZ61" s="10"/>
      <c r="EA61" s="10"/>
    </row>
    <row r="62" spans="2:131" outlineLevel="1" x14ac:dyDescent="0.2">
      <c r="B62" t="s">
        <v>28</v>
      </c>
      <c r="C62" t="s">
        <v>103</v>
      </c>
      <c r="E62" s="9"/>
      <c r="F62" t="s">
        <v>145</v>
      </c>
      <c r="G62" s="10">
        <v>0.1</v>
      </c>
      <c r="I62" s="9">
        <f t="shared" si="4"/>
        <v>0</v>
      </c>
      <c r="J62" s="11" cm="1">
        <f t="array" ref="J62">MAX(IF($N$3:$EH$3=$J$3,N62:EH62))</f>
        <v>0</v>
      </c>
      <c r="K62" s="11" cm="1">
        <f t="array" ref="K62">MAX(IF($N$3:$EH$3=$J$3,N62:EH62))</f>
        <v>0</v>
      </c>
      <c r="L62" s="9"/>
      <c r="O62" s="10"/>
      <c r="P62" s="10">
        <v>0.5</v>
      </c>
      <c r="Q62" s="10"/>
      <c r="R62" s="10">
        <v>0.5</v>
      </c>
      <c r="V62" s="10"/>
      <c r="W62" s="10">
        <v>0.5</v>
      </c>
      <c r="X62" s="10"/>
      <c r="Y62" s="10">
        <v>0.5</v>
      </c>
      <c r="AC62" s="10"/>
      <c r="AD62" s="10">
        <v>0.8</v>
      </c>
      <c r="AE62" s="10"/>
      <c r="AF62" s="10">
        <v>0.8</v>
      </c>
      <c r="AJ62" s="10"/>
      <c r="AK62" s="10">
        <v>1</v>
      </c>
      <c r="AL62" s="10"/>
      <c r="AM62" s="10">
        <v>1</v>
      </c>
      <c r="AQ62" s="10"/>
      <c r="AR62" s="10">
        <v>1</v>
      </c>
      <c r="AS62" s="10"/>
      <c r="AT62" s="10">
        <v>1</v>
      </c>
      <c r="AX62" s="10"/>
      <c r="AY62" s="10"/>
      <c r="AZ62" s="10"/>
      <c r="BA62" s="10"/>
      <c r="BE62" s="10"/>
      <c r="BF62" s="10"/>
      <c r="BG62" s="10"/>
      <c r="BH62" s="10"/>
      <c r="BL62" s="10"/>
      <c r="BM62" s="10"/>
      <c r="BN62" s="10"/>
      <c r="BO62" s="10"/>
      <c r="BS62" s="10"/>
      <c r="BT62" s="10"/>
      <c r="BU62" s="10"/>
      <c r="BV62" s="10"/>
      <c r="BZ62" s="10"/>
      <c r="CA62" s="10"/>
      <c r="CB62" s="10"/>
      <c r="CC62" s="10"/>
      <c r="CG62" s="10"/>
      <c r="CH62" s="10"/>
      <c r="CI62" s="10"/>
      <c r="CJ62" s="10"/>
      <c r="CN62" s="10"/>
      <c r="CO62" s="10"/>
      <c r="CP62" s="10"/>
      <c r="CQ62" s="10"/>
      <c r="CU62" s="10"/>
      <c r="CV62" s="10"/>
      <c r="CW62" s="10"/>
      <c r="CX62" s="10"/>
      <c r="DB62" s="10"/>
      <c r="DC62" s="10"/>
      <c r="DD62" s="10"/>
      <c r="DE62" s="10"/>
      <c r="DI62" s="10"/>
      <c r="DJ62" s="10"/>
      <c r="DK62" s="10"/>
      <c r="DL62" s="10"/>
      <c r="DP62" s="10"/>
      <c r="DQ62" s="10"/>
      <c r="DR62" s="10"/>
      <c r="DS62" s="10"/>
      <c r="DX62" s="10"/>
      <c r="DY62" s="10"/>
      <c r="DZ62" s="10"/>
      <c r="EA62" s="10"/>
    </row>
    <row r="63" spans="2:131" outlineLevel="1" x14ac:dyDescent="0.2">
      <c r="B63" t="s">
        <v>28</v>
      </c>
      <c r="C63" t="s">
        <v>103</v>
      </c>
      <c r="E63" s="9"/>
      <c r="F63" t="s">
        <v>146</v>
      </c>
      <c r="G63" s="10">
        <v>0.1</v>
      </c>
      <c r="I63" s="9">
        <f t="shared" si="4"/>
        <v>0</v>
      </c>
      <c r="J63" s="11" cm="1">
        <f t="array" ref="J63">MAX(IF($N$3:$EH$3=$J$3,N63:EH63))</f>
        <v>0</v>
      </c>
      <c r="K63" s="11" cm="1">
        <f t="array" ref="K63">MAX(IF($N$3:$EH$3=$J$3,N63:EH63))</f>
        <v>0</v>
      </c>
      <c r="L63" s="9"/>
      <c r="O63" s="10"/>
      <c r="P63" s="10">
        <v>0.5</v>
      </c>
      <c r="Q63" s="10"/>
      <c r="R63" s="10">
        <v>0.5</v>
      </c>
      <c r="V63" s="10"/>
      <c r="W63" s="10">
        <v>0.5</v>
      </c>
      <c r="X63" s="10"/>
      <c r="Y63" s="10">
        <v>0.5</v>
      </c>
      <c r="AC63" s="10"/>
      <c r="AD63" s="10">
        <v>0.8</v>
      </c>
      <c r="AE63" s="10"/>
      <c r="AF63" s="10">
        <v>0.8</v>
      </c>
      <c r="AJ63" s="10"/>
      <c r="AK63" s="10">
        <v>0.8</v>
      </c>
      <c r="AL63" s="10"/>
      <c r="AM63" s="10">
        <v>0.8</v>
      </c>
      <c r="AQ63" s="10"/>
      <c r="AR63" s="10">
        <v>1</v>
      </c>
      <c r="AS63" s="10"/>
      <c r="AT63" s="10">
        <v>1</v>
      </c>
      <c r="AX63" s="10"/>
      <c r="AY63" s="10"/>
      <c r="AZ63" s="10"/>
      <c r="BA63" s="10"/>
      <c r="BE63" s="10"/>
      <c r="BF63" s="10"/>
      <c r="BG63" s="10"/>
      <c r="BH63" s="10"/>
      <c r="BL63" s="10"/>
      <c r="BM63" s="10"/>
      <c r="BN63" s="10"/>
      <c r="BO63" s="10"/>
      <c r="BS63" s="10"/>
      <c r="BT63" s="10"/>
      <c r="BU63" s="10"/>
      <c r="BV63" s="10"/>
      <c r="BZ63" s="10"/>
      <c r="CA63" s="10"/>
      <c r="CB63" s="10"/>
      <c r="CC63" s="10"/>
      <c r="CG63" s="10"/>
      <c r="CH63" s="10"/>
      <c r="CI63" s="10"/>
      <c r="CJ63" s="10"/>
      <c r="CN63" s="10"/>
      <c r="CO63" s="10"/>
      <c r="CP63" s="10"/>
      <c r="CQ63" s="10"/>
      <c r="CU63" s="10"/>
      <c r="CV63" s="10"/>
      <c r="CW63" s="10"/>
      <c r="CX63" s="10"/>
      <c r="DB63" s="10"/>
      <c r="DC63" s="10"/>
      <c r="DD63" s="10"/>
      <c r="DE63" s="10"/>
      <c r="DI63" s="10"/>
      <c r="DJ63" s="10"/>
      <c r="DK63" s="10"/>
      <c r="DL63" s="10"/>
      <c r="DP63" s="10"/>
      <c r="DQ63" s="10"/>
      <c r="DR63" s="10"/>
      <c r="DS63" s="10"/>
      <c r="DX63" s="10"/>
      <c r="DY63" s="10"/>
      <c r="DZ63" s="10"/>
      <c r="EA63" s="10"/>
    </row>
    <row r="64" spans="2:131" outlineLevel="1" x14ac:dyDescent="0.2">
      <c r="B64" t="s">
        <v>28</v>
      </c>
      <c r="C64" t="s">
        <v>103</v>
      </c>
      <c r="E64" s="9"/>
      <c r="F64" t="s">
        <v>147</v>
      </c>
      <c r="G64" s="10">
        <v>0.1</v>
      </c>
      <c r="I64" s="9">
        <f t="shared" si="4"/>
        <v>0</v>
      </c>
      <c r="J64" s="11" cm="1">
        <f t="array" ref="J64">MAX(IF($N$3:$EH$3=$J$3,N64:EH64))</f>
        <v>0</v>
      </c>
      <c r="K64" s="11" cm="1">
        <f t="array" ref="K64">MAX(IF($N$3:$EH$3=$J$3,N64:EH64))</f>
        <v>0</v>
      </c>
      <c r="L64" s="9"/>
      <c r="O64" s="10"/>
      <c r="P64" s="10">
        <v>0.5</v>
      </c>
      <c r="Q64" s="10"/>
      <c r="R64" s="10">
        <v>0.5</v>
      </c>
      <c r="V64" s="10"/>
      <c r="W64" s="10">
        <v>0.5</v>
      </c>
      <c r="X64" s="10"/>
      <c r="Y64" s="10">
        <v>0.5</v>
      </c>
      <c r="AC64" s="10"/>
      <c r="AD64" s="10">
        <v>0.8</v>
      </c>
      <c r="AE64" s="10"/>
      <c r="AF64" s="10">
        <v>0.8</v>
      </c>
      <c r="AJ64" s="10"/>
      <c r="AK64" s="10">
        <v>0.8</v>
      </c>
      <c r="AL64" s="10"/>
      <c r="AM64" s="10">
        <v>0.8</v>
      </c>
      <c r="AQ64" s="10"/>
      <c r="AR64" s="10">
        <v>1</v>
      </c>
      <c r="AS64" s="10"/>
      <c r="AT64" s="10">
        <v>1</v>
      </c>
      <c r="AX64" s="10"/>
      <c r="AY64" s="10"/>
      <c r="AZ64" s="10"/>
      <c r="BA64" s="10"/>
      <c r="BE64" s="10"/>
      <c r="BF64" s="10"/>
      <c r="BG64" s="10"/>
      <c r="BH64" s="10"/>
      <c r="BL64" s="10"/>
      <c r="BM64" s="10"/>
      <c r="BN64" s="10"/>
      <c r="BO64" s="10"/>
      <c r="BS64" s="10"/>
      <c r="BT64" s="10"/>
      <c r="BU64" s="10"/>
      <c r="BV64" s="10"/>
      <c r="BZ64" s="10"/>
      <c r="CA64" s="10"/>
      <c r="CB64" s="10"/>
      <c r="CC64" s="10"/>
      <c r="CG64" s="10"/>
      <c r="CH64" s="10"/>
      <c r="CI64" s="10"/>
      <c r="CJ64" s="10"/>
      <c r="CN64" s="10"/>
      <c r="CO64" s="10"/>
      <c r="CP64" s="10"/>
      <c r="CQ64" s="10"/>
      <c r="CU64" s="10"/>
      <c r="CV64" s="10"/>
      <c r="CW64" s="10"/>
      <c r="CX64" s="10"/>
      <c r="DB64" s="10"/>
      <c r="DC64" s="10"/>
      <c r="DD64" s="10"/>
      <c r="DE64" s="10"/>
      <c r="DI64" s="10"/>
      <c r="DJ64" s="10"/>
      <c r="DK64" s="10"/>
      <c r="DL64" s="10"/>
      <c r="DP64" s="10"/>
      <c r="DQ64" s="10"/>
      <c r="DR64" s="10"/>
      <c r="DS64" s="10"/>
      <c r="DX64" s="10"/>
      <c r="DY64" s="10"/>
      <c r="DZ64" s="10"/>
      <c r="EA64" s="10"/>
    </row>
    <row r="65" spans="2:131" outlineLevel="1" x14ac:dyDescent="0.2">
      <c r="B65" t="s">
        <v>28</v>
      </c>
      <c r="C65" t="s">
        <v>103</v>
      </c>
      <c r="E65" s="9"/>
      <c r="F65" t="s">
        <v>148</v>
      </c>
      <c r="G65" s="10">
        <v>0.1</v>
      </c>
      <c r="I65" s="9">
        <f t="shared" si="4"/>
        <v>0</v>
      </c>
      <c r="J65" s="11" cm="1">
        <f t="array" ref="J65">MAX(IF($N$3:$EH$3=$J$3,N65:EH65))</f>
        <v>0</v>
      </c>
      <c r="K65" s="11" cm="1">
        <f t="array" ref="K65">MAX(IF($N$3:$EH$3=$J$3,N65:EH65))</f>
        <v>0</v>
      </c>
      <c r="L65" s="9"/>
      <c r="O65" s="10"/>
      <c r="P65" s="10">
        <v>0.5</v>
      </c>
      <c r="Q65" s="10"/>
      <c r="R65" s="10">
        <v>0.5</v>
      </c>
      <c r="V65" s="10"/>
      <c r="W65" s="10">
        <v>0.5</v>
      </c>
      <c r="X65" s="10"/>
      <c r="Y65" s="10">
        <v>0.5</v>
      </c>
      <c r="AC65" s="10"/>
      <c r="AD65" s="10">
        <v>0.8</v>
      </c>
      <c r="AE65" s="10"/>
      <c r="AF65" s="10">
        <v>0.8</v>
      </c>
      <c r="AJ65" s="10"/>
      <c r="AK65" s="10">
        <v>0.8</v>
      </c>
      <c r="AL65" s="10"/>
      <c r="AM65" s="10">
        <v>0.8</v>
      </c>
      <c r="AQ65" s="10"/>
      <c r="AR65" s="10">
        <v>1</v>
      </c>
      <c r="AS65" s="10"/>
      <c r="AT65" s="10">
        <v>1</v>
      </c>
      <c r="AX65" s="10"/>
      <c r="AY65" s="10"/>
      <c r="AZ65" s="10"/>
      <c r="BA65" s="10"/>
      <c r="BE65" s="10"/>
      <c r="BF65" s="10"/>
      <c r="BG65" s="10"/>
      <c r="BH65" s="10"/>
      <c r="BL65" s="10"/>
      <c r="BM65" s="10"/>
      <c r="BN65" s="10"/>
      <c r="BO65" s="10"/>
      <c r="BS65" s="10"/>
      <c r="BT65" s="10"/>
      <c r="BU65" s="10"/>
      <c r="BV65" s="10"/>
      <c r="BZ65" s="10"/>
      <c r="CA65" s="10"/>
      <c r="CB65" s="10"/>
      <c r="CC65" s="10"/>
      <c r="CG65" s="10"/>
      <c r="CH65" s="10"/>
      <c r="CI65" s="10"/>
      <c r="CJ65" s="10"/>
      <c r="CN65" s="10"/>
      <c r="CO65" s="10"/>
      <c r="CP65" s="10"/>
      <c r="CQ65" s="10"/>
      <c r="CU65" s="10"/>
      <c r="CV65" s="10"/>
      <c r="CW65" s="10"/>
      <c r="CX65" s="10"/>
      <c r="DB65" s="10"/>
      <c r="DC65" s="10"/>
      <c r="DD65" s="10"/>
      <c r="DE65" s="10"/>
      <c r="DI65" s="10"/>
      <c r="DJ65" s="10"/>
      <c r="DK65" s="10"/>
      <c r="DL65" s="10"/>
      <c r="DP65" s="10"/>
      <c r="DQ65" s="10"/>
      <c r="DR65" s="10"/>
      <c r="DS65" s="10"/>
      <c r="DX65" s="10"/>
      <c r="DY65" s="10"/>
      <c r="DZ65" s="10"/>
      <c r="EA65" s="10"/>
    </row>
    <row r="66" spans="2:131" outlineLevel="1" x14ac:dyDescent="0.2">
      <c r="B66" t="s">
        <v>28</v>
      </c>
      <c r="C66" t="s">
        <v>103</v>
      </c>
      <c r="E66" s="9"/>
      <c r="F66" t="s">
        <v>149</v>
      </c>
      <c r="G66" s="10">
        <v>0.1</v>
      </c>
      <c r="I66" s="9">
        <f t="shared" si="4"/>
        <v>0</v>
      </c>
      <c r="J66" s="11" cm="1">
        <f t="array" ref="J66">MAX(IF($N$3:$EH$3=$J$3,N66:EH66))</f>
        <v>0</v>
      </c>
      <c r="K66" s="11" cm="1">
        <f t="array" ref="K66">MAX(IF($N$3:$EH$3=$J$3,N66:EH66))</f>
        <v>0</v>
      </c>
      <c r="L66" s="9"/>
      <c r="O66" s="10"/>
      <c r="P66" s="10">
        <v>0.5</v>
      </c>
      <c r="Q66" s="10"/>
      <c r="R66" s="10">
        <v>0.5</v>
      </c>
      <c r="V66" s="10"/>
      <c r="W66" s="10">
        <v>0.5</v>
      </c>
      <c r="X66" s="10"/>
      <c r="Y66" s="10">
        <v>0.5</v>
      </c>
      <c r="AC66" s="10"/>
      <c r="AD66" s="10">
        <v>0.8</v>
      </c>
      <c r="AE66" s="10"/>
      <c r="AF66" s="10">
        <v>0.8</v>
      </c>
      <c r="AJ66" s="10"/>
      <c r="AK66" s="10">
        <v>0.8</v>
      </c>
      <c r="AL66" s="10"/>
      <c r="AM66" s="10">
        <v>0.8</v>
      </c>
      <c r="AQ66" s="10"/>
      <c r="AR66" s="10">
        <v>1</v>
      </c>
      <c r="AS66" s="10"/>
      <c r="AT66" s="10">
        <v>1</v>
      </c>
      <c r="AX66" s="10"/>
      <c r="AY66" s="10"/>
      <c r="AZ66" s="10"/>
      <c r="BA66" s="10"/>
      <c r="BE66" s="10"/>
      <c r="BF66" s="10"/>
      <c r="BG66" s="10"/>
      <c r="BH66" s="10"/>
      <c r="BL66" s="10"/>
      <c r="BM66" s="10"/>
      <c r="BN66" s="10"/>
      <c r="BO66" s="10"/>
      <c r="BS66" s="10"/>
      <c r="BT66" s="10"/>
      <c r="BU66" s="10"/>
      <c r="BV66" s="10"/>
      <c r="BZ66" s="10"/>
      <c r="CA66" s="10"/>
      <c r="CB66" s="10"/>
      <c r="CC66" s="10"/>
      <c r="CG66" s="10"/>
      <c r="CH66" s="10"/>
      <c r="CI66" s="10"/>
      <c r="CJ66" s="10"/>
      <c r="CN66" s="10"/>
      <c r="CO66" s="10"/>
      <c r="CP66" s="10"/>
      <c r="CQ66" s="10"/>
      <c r="CU66" s="10"/>
      <c r="CV66" s="10"/>
      <c r="CW66" s="10"/>
      <c r="CX66" s="10"/>
      <c r="DB66" s="10"/>
      <c r="DC66" s="10"/>
      <c r="DD66" s="10"/>
      <c r="DE66" s="10"/>
      <c r="DI66" s="10"/>
      <c r="DJ66" s="10"/>
      <c r="DK66" s="10"/>
      <c r="DL66" s="10"/>
      <c r="DP66" s="10"/>
      <c r="DQ66" s="10"/>
      <c r="DR66" s="10"/>
      <c r="DS66" s="10"/>
      <c r="DX66" s="10"/>
      <c r="DY66" s="10"/>
      <c r="DZ66" s="10"/>
      <c r="EA66" s="10"/>
    </row>
    <row r="67" spans="2:131" outlineLevel="1" x14ac:dyDescent="0.2">
      <c r="B67" t="s">
        <v>28</v>
      </c>
      <c r="C67" t="s">
        <v>103</v>
      </c>
      <c r="E67" s="9"/>
      <c r="F67" t="s">
        <v>150</v>
      </c>
      <c r="G67" s="10">
        <v>0.1</v>
      </c>
      <c r="I67" s="9">
        <f t="shared" si="4"/>
        <v>0</v>
      </c>
      <c r="J67" s="11" cm="1">
        <f t="array" ref="J67">MAX(IF($N$3:$EH$3=$J$3,N67:EH67))</f>
        <v>0</v>
      </c>
      <c r="K67" s="11" cm="1">
        <f t="array" ref="K67">MAX(IF($N$3:$EH$3=$J$3,N67:EH67))</f>
        <v>0</v>
      </c>
      <c r="L67" s="9"/>
      <c r="O67" s="10"/>
      <c r="P67" s="10"/>
      <c r="Q67" s="10"/>
      <c r="R67" s="10"/>
      <c r="V67" s="10"/>
      <c r="W67" s="10">
        <v>0.5</v>
      </c>
      <c r="X67" s="10"/>
      <c r="Y67" s="10">
        <v>0.5</v>
      </c>
      <c r="AC67" s="10"/>
      <c r="AD67" s="10">
        <v>0.8</v>
      </c>
      <c r="AE67" s="10"/>
      <c r="AF67" s="10">
        <v>0.8</v>
      </c>
      <c r="AJ67" s="10"/>
      <c r="AK67" s="10">
        <v>0.8</v>
      </c>
      <c r="AL67" s="10"/>
      <c r="AM67" s="10">
        <v>0.8</v>
      </c>
      <c r="AQ67" s="10"/>
      <c r="AR67" s="10">
        <v>1</v>
      </c>
      <c r="AS67" s="10"/>
      <c r="AT67" s="10">
        <v>1</v>
      </c>
      <c r="AX67" s="10"/>
      <c r="AY67" s="10"/>
      <c r="AZ67" s="10"/>
      <c r="BA67" s="10"/>
      <c r="BE67" s="10"/>
      <c r="BF67" s="10"/>
      <c r="BG67" s="10"/>
      <c r="BH67" s="10"/>
      <c r="BL67" s="10"/>
      <c r="BM67" s="10"/>
      <c r="BN67" s="10"/>
      <c r="BO67" s="10"/>
      <c r="BS67" s="10"/>
      <c r="BT67" s="10"/>
      <c r="BU67" s="10"/>
      <c r="BV67" s="10"/>
      <c r="BZ67" s="10"/>
      <c r="CA67" s="10"/>
      <c r="CB67" s="10"/>
      <c r="CC67" s="10"/>
      <c r="CG67" s="10"/>
      <c r="CH67" s="10"/>
      <c r="CI67" s="10"/>
      <c r="CJ67" s="10"/>
      <c r="CN67" s="10"/>
      <c r="CO67" s="10"/>
      <c r="CP67" s="10"/>
      <c r="CQ67" s="10"/>
      <c r="CU67" s="10"/>
      <c r="CV67" s="10"/>
      <c r="CW67" s="10"/>
      <c r="CX67" s="10"/>
      <c r="DB67" s="10"/>
      <c r="DC67" s="10"/>
      <c r="DD67" s="10"/>
      <c r="DE67" s="10"/>
      <c r="DI67" s="10"/>
      <c r="DJ67" s="10"/>
      <c r="DK67" s="10"/>
      <c r="DL67" s="10"/>
      <c r="DP67" s="10"/>
      <c r="DQ67" s="10"/>
      <c r="DR67" s="10"/>
      <c r="DS67" s="10"/>
      <c r="DX67" s="10"/>
      <c r="DY67" s="10"/>
      <c r="DZ67" s="10"/>
      <c r="EA67" s="10"/>
    </row>
    <row r="68" spans="2:131" outlineLevel="1" x14ac:dyDescent="0.2">
      <c r="B68" t="s">
        <v>28</v>
      </c>
      <c r="C68" t="s">
        <v>103</v>
      </c>
      <c r="E68" s="9"/>
      <c r="F68" t="s">
        <v>151</v>
      </c>
      <c r="G68" s="10">
        <v>0.1</v>
      </c>
      <c r="I68" s="9">
        <f t="shared" si="4"/>
        <v>0</v>
      </c>
      <c r="J68" s="11" cm="1">
        <f t="array" ref="J68">MAX(IF($N$3:$EH$3=$J$3,N68:EH68))</f>
        <v>0</v>
      </c>
      <c r="K68" s="11" cm="1">
        <f t="array" ref="K68">MAX(IF($N$3:$EH$3=$J$3,N68:EH68))</f>
        <v>0</v>
      </c>
      <c r="L68" s="9"/>
      <c r="O68" s="10"/>
      <c r="P68" s="10"/>
      <c r="Q68" s="10"/>
      <c r="R68" s="10"/>
      <c r="V68" s="10"/>
      <c r="W68" s="10">
        <v>0.5</v>
      </c>
      <c r="X68" s="10"/>
      <c r="Y68" s="10">
        <v>0.5</v>
      </c>
      <c r="AC68" s="10"/>
      <c r="AD68" s="10">
        <v>0.5</v>
      </c>
      <c r="AE68" s="10"/>
      <c r="AF68" s="10">
        <v>0.5</v>
      </c>
      <c r="AJ68" s="10"/>
      <c r="AK68" s="10">
        <v>0.8</v>
      </c>
      <c r="AL68" s="10"/>
      <c r="AM68" s="10">
        <v>0.8</v>
      </c>
      <c r="AQ68" s="10"/>
      <c r="AR68" s="10">
        <v>1</v>
      </c>
      <c r="AS68" s="10"/>
      <c r="AT68" s="10">
        <v>1</v>
      </c>
      <c r="AX68" s="10"/>
      <c r="AY68" s="10"/>
      <c r="AZ68" s="10"/>
      <c r="BA68" s="10"/>
      <c r="BE68" s="10"/>
      <c r="BF68" s="10"/>
      <c r="BG68" s="10"/>
      <c r="BH68" s="10"/>
      <c r="BL68" s="10"/>
      <c r="BM68" s="10"/>
      <c r="BN68" s="10"/>
      <c r="BO68" s="10"/>
      <c r="BS68" s="10"/>
      <c r="BT68" s="10"/>
      <c r="BU68" s="10"/>
      <c r="BV68" s="10"/>
      <c r="BZ68" s="10"/>
      <c r="CA68" s="10"/>
      <c r="CB68" s="10"/>
      <c r="CC68" s="10"/>
      <c r="CG68" s="10"/>
      <c r="CH68" s="10"/>
      <c r="CI68" s="10"/>
      <c r="CJ68" s="10"/>
      <c r="CN68" s="10"/>
      <c r="CO68" s="10"/>
      <c r="CP68" s="10"/>
      <c r="CQ68" s="10"/>
      <c r="CU68" s="10"/>
      <c r="CV68" s="10"/>
      <c r="CW68" s="10"/>
      <c r="CX68" s="10"/>
      <c r="DB68" s="10"/>
      <c r="DC68" s="10"/>
      <c r="DD68" s="10"/>
      <c r="DE68" s="10"/>
      <c r="DI68" s="10"/>
      <c r="DJ68" s="10"/>
      <c r="DK68" s="10"/>
      <c r="DL68" s="10"/>
      <c r="DP68" s="10"/>
      <c r="DQ68" s="10"/>
      <c r="DR68" s="10"/>
      <c r="DS68" s="10"/>
      <c r="DX68" s="10"/>
      <c r="DY68" s="10"/>
      <c r="DZ68" s="10"/>
      <c r="EA68" s="10"/>
    </row>
    <row r="70" spans="2:131" x14ac:dyDescent="0.2">
      <c r="B70" t="s">
        <v>27</v>
      </c>
      <c r="C70" t="s">
        <v>107</v>
      </c>
      <c r="D70" s="21" t="s">
        <v>108</v>
      </c>
      <c r="E70" s="9">
        <v>0</v>
      </c>
      <c r="G70" s="10">
        <f>+SUM(G71:G80)</f>
        <v>0.15000000000000002</v>
      </c>
      <c r="I70" s="12">
        <f>+SUM(I71:I80)</f>
        <v>0</v>
      </c>
      <c r="J70" s="11">
        <f>+SUMPRODUCT(G71:G80,J71:J80)</f>
        <v>0</v>
      </c>
      <c r="K70" s="11">
        <f>+SUMPRODUCT(G71:G80,K71:K80)</f>
        <v>0</v>
      </c>
      <c r="L70" s="9"/>
      <c r="N70" s="12">
        <f>+SUM(N71:N80)</f>
        <v>0</v>
      </c>
      <c r="U70" s="12">
        <f>+SUM(U71:U80)</f>
        <v>0</v>
      </c>
      <c r="AB70" s="12">
        <f>+SUM(AB71:AB80)</f>
        <v>0</v>
      </c>
      <c r="AI70" s="12">
        <f>+SUM(AI71:AI80)</f>
        <v>0</v>
      </c>
      <c r="AP70" s="12">
        <f>+SUM(AP71:AP80)</f>
        <v>0</v>
      </c>
    </row>
    <row r="71" spans="2:131" hidden="1" outlineLevel="1" x14ac:dyDescent="0.2">
      <c r="B71" t="s">
        <v>28</v>
      </c>
      <c r="C71" t="s">
        <v>107</v>
      </c>
      <c r="E71" s="9"/>
      <c r="F71" t="s">
        <v>30</v>
      </c>
      <c r="G71" s="10">
        <v>0.1</v>
      </c>
      <c r="I71" s="9">
        <f t="shared" si="4"/>
        <v>0</v>
      </c>
      <c r="J71" s="11" cm="1">
        <f t="array" ref="J71">MAX(IF($N$3:$EH$3=$J$3,N71:EH71))</f>
        <v>0</v>
      </c>
      <c r="K71" s="11" cm="1">
        <f t="array" ref="K71">MAX(IF($N$3:$EH$3=$J$3,N71:EH71))</f>
        <v>0</v>
      </c>
      <c r="L71" s="9"/>
      <c r="O71" s="10"/>
      <c r="P71" s="10">
        <v>0.5</v>
      </c>
      <c r="Q71" s="10"/>
      <c r="R71" s="10">
        <v>0.5</v>
      </c>
      <c r="V71" s="10"/>
      <c r="W71" s="10">
        <v>0.8</v>
      </c>
      <c r="X71" s="10"/>
      <c r="Y71" s="10">
        <v>0.8</v>
      </c>
      <c r="AC71" s="10"/>
      <c r="AD71" s="10">
        <v>0.8</v>
      </c>
      <c r="AE71" s="10"/>
      <c r="AF71" s="10">
        <v>0.8</v>
      </c>
      <c r="AJ71" s="10"/>
      <c r="AK71" s="10">
        <v>1</v>
      </c>
      <c r="AL71" s="10"/>
      <c r="AM71" s="10">
        <v>1</v>
      </c>
      <c r="AQ71" s="10"/>
      <c r="AR71" s="10"/>
      <c r="AS71" s="10"/>
      <c r="AT71" s="10"/>
      <c r="AX71" s="10"/>
      <c r="AY71" s="10"/>
      <c r="AZ71" s="10"/>
      <c r="BA71" s="10"/>
      <c r="BE71" s="10"/>
      <c r="BF71" s="10"/>
      <c r="BG71" s="10"/>
      <c r="BH71" s="10"/>
      <c r="BL71" s="10"/>
      <c r="BM71" s="10"/>
      <c r="BN71" s="10"/>
      <c r="BO71" s="10">
        <v>1</v>
      </c>
      <c r="BS71" s="10"/>
      <c r="BT71" s="10">
        <v>1</v>
      </c>
      <c r="BU71" s="10"/>
      <c r="BV71" s="10">
        <v>1</v>
      </c>
      <c r="BZ71" s="10"/>
      <c r="CA71" s="10">
        <v>1</v>
      </c>
      <c r="CB71" s="10"/>
      <c r="CC71" s="10">
        <v>1</v>
      </c>
      <c r="CG71" s="10"/>
      <c r="CH71" s="10">
        <v>1</v>
      </c>
      <c r="CI71" s="10"/>
      <c r="CJ71" s="10">
        <v>1</v>
      </c>
      <c r="CN71" s="10"/>
      <c r="CO71" s="10"/>
      <c r="CP71" s="10"/>
      <c r="CQ71" s="10"/>
      <c r="CU71" s="10"/>
      <c r="CV71" s="10"/>
      <c r="CW71" s="10"/>
      <c r="CX71" s="10"/>
      <c r="DB71" s="10"/>
      <c r="DC71" s="10"/>
      <c r="DD71" s="10"/>
      <c r="DE71" s="10"/>
      <c r="DI71" s="10"/>
      <c r="DJ71" s="10"/>
      <c r="DK71" s="10"/>
      <c r="DL71" s="10"/>
      <c r="DP71" s="10"/>
      <c r="DQ71" s="10"/>
      <c r="DR71" s="10"/>
      <c r="DS71" s="10"/>
      <c r="DX71" s="10"/>
      <c r="DY71" s="10"/>
      <c r="DZ71" s="10"/>
      <c r="EA71" s="10"/>
    </row>
    <row r="72" spans="2:131" hidden="1" outlineLevel="1" x14ac:dyDescent="0.2">
      <c r="B72" t="s">
        <v>28</v>
      </c>
      <c r="C72" t="s">
        <v>107</v>
      </c>
      <c r="E72" s="9"/>
      <c r="F72" t="s">
        <v>33</v>
      </c>
      <c r="G72" s="10">
        <v>0.05</v>
      </c>
      <c r="I72" s="9">
        <f t="shared" si="4"/>
        <v>0</v>
      </c>
      <c r="J72" s="11" cm="1">
        <f t="array" ref="J72">MAX(IF($N$3:$EH$3=$J$3,N72:EH72))</f>
        <v>0</v>
      </c>
      <c r="K72" s="11" cm="1">
        <f t="array" ref="K72">MAX(IF($N$3:$EH$3=$J$3,N72:EH72))</f>
        <v>0</v>
      </c>
      <c r="L72" s="9"/>
      <c r="O72" s="10"/>
      <c r="P72" s="10">
        <v>0.5</v>
      </c>
      <c r="Q72" s="10"/>
      <c r="R72" s="10">
        <v>0.5</v>
      </c>
      <c r="V72" s="10"/>
      <c r="W72" s="10">
        <v>0.8</v>
      </c>
      <c r="X72" s="10"/>
      <c r="Y72" s="10">
        <v>0.8</v>
      </c>
      <c r="AC72" s="10"/>
      <c r="AD72" s="10">
        <v>0.8</v>
      </c>
      <c r="AE72" s="10"/>
      <c r="AF72" s="10">
        <v>0.8</v>
      </c>
      <c r="AJ72" s="10"/>
      <c r="AK72" s="10">
        <v>1</v>
      </c>
      <c r="AL72" s="10"/>
      <c r="AM72" s="10">
        <v>1</v>
      </c>
      <c r="AQ72" s="10"/>
      <c r="AR72" s="10"/>
      <c r="AS72" s="10"/>
      <c r="AT72" s="10"/>
      <c r="AX72" s="10"/>
      <c r="AY72" s="10"/>
      <c r="AZ72" s="10"/>
      <c r="BA72" s="10"/>
      <c r="BE72" s="10"/>
      <c r="BF72" s="10"/>
      <c r="BG72" s="10"/>
      <c r="BH72" s="10"/>
      <c r="BL72" s="10"/>
      <c r="BM72" s="10"/>
      <c r="BN72" s="10"/>
      <c r="BO72" s="10">
        <v>1</v>
      </c>
      <c r="BS72" s="10"/>
      <c r="BT72" s="10">
        <v>1</v>
      </c>
      <c r="BU72" s="10"/>
      <c r="BV72" s="10">
        <v>1</v>
      </c>
      <c r="BZ72" s="10"/>
      <c r="CA72" s="10">
        <v>1</v>
      </c>
      <c r="CB72" s="10"/>
      <c r="CC72" s="10">
        <v>1</v>
      </c>
      <c r="CG72" s="10"/>
      <c r="CH72" s="10">
        <v>1</v>
      </c>
      <c r="CI72" s="10"/>
      <c r="CJ72" s="10">
        <v>1</v>
      </c>
      <c r="CN72" s="10"/>
      <c r="CO72" s="10"/>
      <c r="CP72" s="10"/>
      <c r="CQ72" s="10"/>
      <c r="CU72" s="10"/>
      <c r="CV72" s="10"/>
      <c r="CW72" s="10"/>
      <c r="CX72" s="10"/>
      <c r="DB72" s="10"/>
      <c r="DC72" s="10"/>
      <c r="DD72" s="10"/>
      <c r="DE72" s="10"/>
      <c r="DI72" s="10"/>
      <c r="DJ72" s="10"/>
      <c r="DK72" s="10"/>
      <c r="DL72" s="10"/>
      <c r="DP72" s="10"/>
      <c r="DQ72" s="10"/>
      <c r="DR72" s="10"/>
      <c r="DS72" s="10"/>
      <c r="DX72" s="10"/>
      <c r="DY72" s="10"/>
      <c r="DZ72" s="10"/>
      <c r="EA72" s="10"/>
    </row>
    <row r="73" spans="2:131" collapsed="1" x14ac:dyDescent="0.2"/>
  </sheetData>
  <mergeCells count="18">
    <mergeCell ref="BK2:BP2"/>
    <mergeCell ref="BR2:BW2"/>
    <mergeCell ref="BY2:CD2"/>
    <mergeCell ref="I2:L2"/>
    <mergeCell ref="N2:S2"/>
    <mergeCell ref="BD2:BI2"/>
    <mergeCell ref="U2:Z2"/>
    <mergeCell ref="AB2:AG2"/>
    <mergeCell ref="AI2:AN2"/>
    <mergeCell ref="AP2:AU2"/>
    <mergeCell ref="AW2:BB2"/>
    <mergeCell ref="CF2:CK2"/>
    <mergeCell ref="CM2:CR2"/>
    <mergeCell ref="DH2:DM2"/>
    <mergeCell ref="DO2:DT2"/>
    <mergeCell ref="DW2:EB2"/>
    <mergeCell ref="CT2:CY2"/>
    <mergeCell ref="DA2:DF2"/>
  </mergeCells>
  <conditionalFormatting sqref="J5:J14">
    <cfRule type="colorScale" priority="695">
      <colorScale>
        <cfvo type="percent" val="0"/>
        <cfvo type="percent" val="100"/>
        <color rgb="FFFF231B"/>
        <color rgb="FF10FF07"/>
      </colorScale>
    </cfRule>
  </conditionalFormatting>
  <conditionalFormatting sqref="J18">
    <cfRule type="colorScale" priority="243">
      <colorScale>
        <cfvo type="percent" val="0"/>
        <cfvo type="percent" val="100"/>
        <color rgb="FFFF231B"/>
        <color rgb="FF10FF07"/>
      </colorScale>
    </cfRule>
  </conditionalFormatting>
  <conditionalFormatting sqref="J19">
    <cfRule type="colorScale" priority="60">
      <colorScale>
        <cfvo type="percent" val="0"/>
        <cfvo type="percent" val="100"/>
        <color rgb="FFFF231B"/>
        <color rgb="FF10FF07"/>
      </colorScale>
    </cfRule>
  </conditionalFormatting>
  <conditionalFormatting sqref="J20:J23">
    <cfRule type="colorScale" priority="63">
      <colorScale>
        <cfvo type="percent" val="0"/>
        <cfvo type="percent" val="100"/>
        <color rgb="FFFF231B"/>
        <color rgb="FF10FF07"/>
      </colorScale>
    </cfRule>
  </conditionalFormatting>
  <conditionalFormatting sqref="J24">
    <cfRule type="colorScale" priority="224">
      <colorScale>
        <cfvo type="percent" val="0"/>
        <cfvo type="percent" val="100"/>
        <color rgb="FFFF231B"/>
        <color rgb="FF10FF07"/>
      </colorScale>
    </cfRule>
  </conditionalFormatting>
  <conditionalFormatting sqref="J25:J27 J17">
    <cfRule type="colorScale" priority="851">
      <colorScale>
        <cfvo type="percent" val="0"/>
        <cfvo type="percent" val="100"/>
        <color rgb="FFFF231B"/>
        <color rgb="FF10FF07"/>
      </colorScale>
    </cfRule>
  </conditionalFormatting>
  <conditionalFormatting sqref="J30:J40">
    <cfRule type="colorScale" priority="755">
      <colorScale>
        <cfvo type="percent" val="0"/>
        <cfvo type="percent" val="100"/>
        <color rgb="FFFF231B"/>
        <color rgb="FF10FF07"/>
      </colorScale>
    </cfRule>
  </conditionalFormatting>
  <conditionalFormatting sqref="J43:J45">
    <cfRule type="colorScale" priority="855">
      <colorScale>
        <cfvo type="percent" val="0"/>
        <cfvo type="percent" val="100"/>
        <color rgb="FFFF231B"/>
        <color rgb="FF10FF07"/>
      </colorScale>
    </cfRule>
  </conditionalFormatting>
  <conditionalFormatting sqref="J48:J55">
    <cfRule type="colorScale" priority="858">
      <colorScale>
        <cfvo type="percent" val="0"/>
        <cfvo type="percent" val="100"/>
        <color rgb="FFFF231B"/>
        <color rgb="FF10FF07"/>
      </colorScale>
    </cfRule>
  </conditionalFormatting>
  <conditionalFormatting sqref="J58:J68">
    <cfRule type="colorScale" priority="861">
      <colorScale>
        <cfvo type="percent" val="0"/>
        <cfvo type="percent" val="100"/>
        <color rgb="FFFF231B"/>
        <color rgb="FF10FF07"/>
      </colorScale>
    </cfRule>
  </conditionalFormatting>
  <conditionalFormatting sqref="J71:J72">
    <cfRule type="colorScale" priority="80">
      <colorScale>
        <cfvo type="percent" val="0"/>
        <cfvo type="percent" val="100"/>
        <color rgb="FFFF231B"/>
        <color rgb="FF10FF07"/>
      </colorScale>
    </cfRule>
  </conditionalFormatting>
  <conditionalFormatting sqref="J6:K14">
    <cfRule type="colorScale" priority="666">
      <colorScale>
        <cfvo type="percent" val="0"/>
        <cfvo type="percent" val="100"/>
        <color rgb="FFFF231B"/>
        <color rgb="FF10FF07"/>
      </colorScale>
    </cfRule>
  </conditionalFormatting>
  <conditionalFormatting sqref="J18:K18">
    <cfRule type="colorScale" priority="244">
      <colorScale>
        <cfvo type="percent" val="0"/>
        <cfvo type="percent" val="100"/>
        <color rgb="FFFF231B"/>
        <color rgb="FF10FF07"/>
      </colorScale>
    </cfRule>
  </conditionalFormatting>
  <conditionalFormatting sqref="J19:K19">
    <cfRule type="colorScale" priority="61">
      <colorScale>
        <cfvo type="percent" val="0"/>
        <cfvo type="percent" val="100"/>
        <color rgb="FFFF231B"/>
        <color rgb="FF10FF07"/>
      </colorScale>
    </cfRule>
  </conditionalFormatting>
  <conditionalFormatting sqref="J20:K23">
    <cfRule type="colorScale" priority="64">
      <colorScale>
        <cfvo type="percent" val="0"/>
        <cfvo type="percent" val="100"/>
        <color rgb="FFFF231B"/>
        <color rgb="FF10FF07"/>
      </colorScale>
    </cfRule>
  </conditionalFormatting>
  <conditionalFormatting sqref="J24:K24">
    <cfRule type="colorScale" priority="225">
      <colorScale>
        <cfvo type="percent" val="0"/>
        <cfvo type="percent" val="100"/>
        <color rgb="FFFF231B"/>
        <color rgb="FF10FF07"/>
      </colorScale>
    </cfRule>
  </conditionalFormatting>
  <conditionalFormatting sqref="J25:K27">
    <cfRule type="colorScale" priority="853">
      <colorScale>
        <cfvo type="percent" val="0"/>
        <cfvo type="percent" val="100"/>
        <color rgb="FFFF231B"/>
        <color rgb="FF10FF07"/>
      </colorScale>
    </cfRule>
  </conditionalFormatting>
  <conditionalFormatting sqref="J31:K40">
    <cfRule type="colorScale" priority="753">
      <colorScale>
        <cfvo type="percent" val="0"/>
        <cfvo type="percent" val="100"/>
        <color rgb="FFFF231B"/>
        <color rgb="FF10FF07"/>
      </colorScale>
    </cfRule>
  </conditionalFormatting>
  <conditionalFormatting sqref="J44:K45">
    <cfRule type="colorScale" priority="856">
      <colorScale>
        <cfvo type="percent" val="0"/>
        <cfvo type="percent" val="100"/>
        <color rgb="FFFF231B"/>
        <color rgb="FF10FF07"/>
      </colorScale>
    </cfRule>
  </conditionalFormatting>
  <conditionalFormatting sqref="J49:K55">
    <cfRule type="colorScale" priority="859">
      <colorScale>
        <cfvo type="percent" val="0"/>
        <cfvo type="percent" val="100"/>
        <color rgb="FFFF231B"/>
        <color rgb="FF10FF07"/>
      </colorScale>
    </cfRule>
  </conditionalFormatting>
  <conditionalFormatting sqref="J59:K68">
    <cfRule type="colorScale" priority="862">
      <colorScale>
        <cfvo type="percent" val="0"/>
        <cfvo type="percent" val="100"/>
        <color rgb="FFFF231B"/>
        <color rgb="FF10FF07"/>
      </colorScale>
    </cfRule>
  </conditionalFormatting>
  <conditionalFormatting sqref="J72:K72">
    <cfRule type="colorScale" priority="79">
      <colorScale>
        <cfvo type="percent" val="0"/>
        <cfvo type="percent" val="100"/>
        <color rgb="FFFF231B"/>
        <color rgb="FF10FF07"/>
      </colorScale>
    </cfRule>
  </conditionalFormatting>
  <conditionalFormatting sqref="K5:K14">
    <cfRule type="colorScale" priority="696">
      <colorScale>
        <cfvo type="percent" val="0"/>
        <cfvo type="percent" val="100"/>
        <color rgb="FFFF231B"/>
        <color rgb="FF10FF07"/>
      </colorScale>
    </cfRule>
  </conditionalFormatting>
  <conditionalFormatting sqref="K18">
    <cfRule type="colorScale" priority="242">
      <colorScale>
        <cfvo type="percent" val="0"/>
        <cfvo type="percent" val="100"/>
        <color rgb="FFFF231B"/>
        <color rgb="FF10FF07"/>
      </colorScale>
    </cfRule>
  </conditionalFormatting>
  <conditionalFormatting sqref="K19">
    <cfRule type="colorScale" priority="59">
      <colorScale>
        <cfvo type="percent" val="0"/>
        <cfvo type="percent" val="100"/>
        <color rgb="FFFF231B"/>
        <color rgb="FF10FF07"/>
      </colorScale>
    </cfRule>
  </conditionalFormatting>
  <conditionalFormatting sqref="K20:K23">
    <cfRule type="colorScale" priority="62">
      <colorScale>
        <cfvo type="percent" val="0"/>
        <cfvo type="percent" val="100"/>
        <color rgb="FFFF231B"/>
        <color rgb="FF10FF07"/>
      </colorScale>
    </cfRule>
  </conditionalFormatting>
  <conditionalFormatting sqref="K24">
    <cfRule type="colorScale" priority="223">
      <colorScale>
        <cfvo type="percent" val="0"/>
        <cfvo type="percent" val="100"/>
        <color rgb="FFFF231B"/>
        <color rgb="FF10FF07"/>
      </colorScale>
    </cfRule>
  </conditionalFormatting>
  <conditionalFormatting sqref="K25:K27 K17">
    <cfRule type="colorScale" priority="854">
      <colorScale>
        <cfvo type="percent" val="0"/>
        <cfvo type="percent" val="100"/>
        <color rgb="FFFF231B"/>
        <color rgb="FF10FF07"/>
      </colorScale>
    </cfRule>
  </conditionalFormatting>
  <conditionalFormatting sqref="K30:K40">
    <cfRule type="colorScale" priority="757">
      <colorScale>
        <cfvo type="percent" val="0"/>
        <cfvo type="percent" val="100"/>
        <color rgb="FFFF231B"/>
        <color rgb="FF10FF07"/>
      </colorScale>
    </cfRule>
  </conditionalFormatting>
  <conditionalFormatting sqref="K43:K45">
    <cfRule type="colorScale" priority="857">
      <colorScale>
        <cfvo type="percent" val="0"/>
        <cfvo type="percent" val="100"/>
        <color rgb="FFFF231B"/>
        <color rgb="FF10FF07"/>
      </colorScale>
    </cfRule>
  </conditionalFormatting>
  <conditionalFormatting sqref="K48:K55">
    <cfRule type="colorScale" priority="860">
      <colorScale>
        <cfvo type="percent" val="0"/>
        <cfvo type="percent" val="100"/>
        <color rgb="FFFF231B"/>
        <color rgb="FF10FF07"/>
      </colorScale>
    </cfRule>
  </conditionalFormatting>
  <conditionalFormatting sqref="K58:K68">
    <cfRule type="colorScale" priority="863">
      <colorScale>
        <cfvo type="percent" val="0"/>
        <cfvo type="percent" val="100"/>
        <color rgb="FFFF231B"/>
        <color rgb="FF10FF07"/>
      </colorScale>
    </cfRule>
  </conditionalFormatting>
  <conditionalFormatting sqref="K71:K72">
    <cfRule type="colorScale" priority="81">
      <colorScale>
        <cfvo type="percent" val="0"/>
        <cfvo type="percent" val="100"/>
        <color rgb="FFFF231B"/>
        <color rgb="FF10FF07"/>
      </colorScale>
    </cfRule>
  </conditionalFormatting>
  <conditionalFormatting sqref="O5:O14 Q5:Q14 V5:V14 X5:X14 AC5:AC14 AE5:AE14 AJ5:AJ14 AL5:AL14 AQ5:AQ14 AS5:AS14 AX5:AX14 AZ5:AZ14 BE5:BE14 BG5:BG14 O17:O27 Q17:Q27 V17:V27 X17:X27 AC17:AC27 AE17:AE27 AJ17:AJ27 AL17:AL27 AQ17:AQ27 AS17:AS27 AX17:AX27 AZ17:AZ27 BE17:BE27 BL17:BL27 BN17:BN27 BS17:BS27 BU17:BU27 BZ17:BZ27 CB17:CB27 CG17:CG27 CI17:CI27 CN17:CN27 CP17:CP27 CU17:CU27 CW17:CW27 DB17:DB27 DD17:DD27 O43:O45 Q43:Q45 V43:V45 X43:X45 AC43:AC45 AE43:AE45 AJ43:AJ45 AL43:AL45 AQ43:AQ45 AS43:AS45 AX43:AX45 AZ43:AZ45 BE43:BE45 BG43:BG45 BL43:BL45 BN43:BN45 BS43:BS45 BU43:BU45 BZ43:BZ45 CB43:CB45 CG43:CG45 CI43:CI45 CN43:CN45 CP43:CP45 CU43:CU45 CW43:CW45 DB43:DB45 DD43:DD45 O48:O55 Q48:Q55 V48:V55 X48:X55 AC48:AC55 AE48:AE55 AJ48:AJ55 AL48:AL55 AQ48:AQ55 AS48:AS55 AX48:AX55 AZ48:AZ55 BE48:BE55 BG48:BG55 BL48:BL55 BN48:BN55 BS48:BS55 BU48:BU55 BZ48:BZ55 CB48:CB55 CG48:CG55 CI48:CI55 CN48:CN55 CP48:CP55 CU48:CU55 CW48:CW55 DB48:DB55 DD48:DD55 O58:O68 Q58:Q68 V58:V68 X58:X68 AC58:AC68 AE58:AE68 AJ58:AJ68 AL58:AL68 AQ58:AQ68 AS58:AS68 AX58:AX68 AZ58:AZ68 BE58:BE68 BG58:BG68 BL58:BL68 BN58:BN68 BS58:BS68 BU58:BU68 BZ58:BZ68 CB58:CB68 CG58:CG68 CI58:CI68 CN58:CN68 CP58:CP68 CU58:CU68 CW58:CW68 DB58:DB68 DD58:DD68">
    <cfRule type="expression" dxfId="135" priority="664">
      <formula>IF(O5&gt;=P5,IF(O5="",FALSE,TRUE))</formula>
    </cfRule>
    <cfRule type="expression" dxfId="134" priority="663">
      <formula>OR(IF(O5&lt;P5,TRUE),IF(AND(P5="",O5&lt;&gt;""),TRUE))</formula>
    </cfRule>
  </conditionalFormatting>
  <conditionalFormatting sqref="O30:O40">
    <cfRule type="expression" dxfId="133" priority="605">
      <formula>IF(O30&gt;=P30,IF(O30="",FALSE,TRUE))</formula>
    </cfRule>
    <cfRule type="expression" dxfId="132" priority="604">
      <formula>OR(IF(O30&lt;P30,TRUE),IF(AND(P30="",O30&lt;&gt;""),TRUE))</formula>
    </cfRule>
  </conditionalFormatting>
  <conditionalFormatting sqref="O71:O72 Q71:Q72 V71:V72 X71:X72 AC71:AC72 AE71:AE72 AJ71:AJ72 AL71:AL72 AQ71:AQ72 AS71:AS72 AX71:AX72 AZ71:AZ72 BE71:BE72 BG71:BG72 BL71:BL72 BN71:BN72">
    <cfRule type="expression" dxfId="131" priority="77">
      <formula>OR(IF(O71&lt;P71,TRUE),IF(AND(P71="",O71&lt;&gt;""),TRUE))</formula>
    </cfRule>
    <cfRule type="expression" dxfId="130" priority="78">
      <formula>IF(O71&gt;=P71,IF(O71="",FALSE,TRUE))</formula>
    </cfRule>
  </conditionalFormatting>
  <conditionalFormatting sqref="Q30:Q40">
    <cfRule type="expression" dxfId="129" priority="603">
      <formula>IF(Q30&gt;=R30,IF(Q30="",FALSE,TRUE))</formula>
    </cfRule>
    <cfRule type="expression" dxfId="128" priority="602">
      <formula>OR(IF(Q30&lt;R30,TRUE),IF(AND(R30="",Q30&lt;&gt;""),TRUE))</formula>
    </cfRule>
  </conditionalFormatting>
  <conditionalFormatting sqref="V30:V40">
    <cfRule type="expression" dxfId="127" priority="574">
      <formula>OR(IF(V30&lt;W30,TRUE),IF(AND(W30="",V30&lt;&gt;""),TRUE))</formula>
    </cfRule>
    <cfRule type="expression" dxfId="126" priority="575">
      <formula>IF(V30&gt;=W30,IF(V30="",FALSE,TRUE))</formula>
    </cfRule>
  </conditionalFormatting>
  <conditionalFormatting sqref="X30:X40">
    <cfRule type="expression" dxfId="125" priority="573">
      <formula>IF(X30&gt;=Y30,IF(X30="",FALSE,TRUE))</formula>
    </cfRule>
    <cfRule type="expression" dxfId="124" priority="572">
      <formula>OR(IF(X30&lt;Y30,TRUE),IF(AND(Y30="",X30&lt;&gt;""),TRUE))</formula>
    </cfRule>
  </conditionalFormatting>
  <conditionalFormatting sqref="AC30:AC40">
    <cfRule type="expression" dxfId="123" priority="558">
      <formula>OR(IF(AC30&lt;AD30,TRUE),IF(AND(AD30="",AC30&lt;&gt;""),TRUE))</formula>
    </cfRule>
    <cfRule type="expression" dxfId="122" priority="559">
      <formula>IF(AC30&gt;=AD30,IF(AC30="",FALSE,TRUE))</formula>
    </cfRule>
  </conditionalFormatting>
  <conditionalFormatting sqref="AE30:AE40">
    <cfRule type="expression" dxfId="121" priority="557">
      <formula>IF(AE30&gt;=AF30,IF(AE30="",FALSE,TRUE))</formula>
    </cfRule>
    <cfRule type="expression" dxfId="120" priority="556">
      <formula>OR(IF(AE30&lt;AF30,TRUE),IF(AND(AF30="",AE30&lt;&gt;""),TRUE))</formula>
    </cfRule>
  </conditionalFormatting>
  <conditionalFormatting sqref="AJ30:AJ40">
    <cfRule type="expression" dxfId="119" priority="542">
      <formula>OR(IF(AJ30&lt;AK30,TRUE),IF(AND(AK30="",AJ30&lt;&gt;""),TRUE))</formula>
    </cfRule>
    <cfRule type="expression" dxfId="118" priority="543">
      <formula>IF(AJ30&gt;=AK30,IF(AJ30="",FALSE,TRUE))</formula>
    </cfRule>
  </conditionalFormatting>
  <conditionalFormatting sqref="AL30:AL40">
    <cfRule type="expression" dxfId="117" priority="541">
      <formula>IF(AL30&gt;=AM30,IF(AL30="",FALSE,TRUE))</formula>
    </cfRule>
    <cfRule type="expression" dxfId="116" priority="540">
      <formula>OR(IF(AL30&lt;AM30,TRUE),IF(AND(AM30="",AL30&lt;&gt;""),TRUE))</formula>
    </cfRule>
  </conditionalFormatting>
  <conditionalFormatting sqref="AQ30:AQ40">
    <cfRule type="expression" dxfId="115" priority="527">
      <formula>IF(AQ30&gt;=AR30,IF(AQ30="",FALSE,TRUE))</formula>
    </cfRule>
    <cfRule type="expression" dxfId="114" priority="526">
      <formula>OR(IF(AQ30&lt;AR30,TRUE),IF(AND(AR30="",AQ30&lt;&gt;""),TRUE))</formula>
    </cfRule>
  </conditionalFormatting>
  <conditionalFormatting sqref="AS30:AS40">
    <cfRule type="expression" dxfId="113" priority="525">
      <formula>IF(AS30&gt;=AT30,IF(AS30="",FALSE,TRUE))</formula>
    </cfRule>
    <cfRule type="expression" dxfId="112" priority="524">
      <formula>OR(IF(AS30&lt;AT30,TRUE),IF(AND(AT30="",AS30&lt;&gt;""),TRUE))</formula>
    </cfRule>
  </conditionalFormatting>
  <conditionalFormatting sqref="AX30:AX40">
    <cfRule type="expression" dxfId="111" priority="510">
      <formula>OR(IF(AX30&lt;AY30,TRUE),IF(AND(AY30="",AX30&lt;&gt;""),TRUE))</formula>
    </cfRule>
    <cfRule type="expression" dxfId="110" priority="511">
      <formula>IF(AX30&gt;=AY30,IF(AX30="",FALSE,TRUE))</formula>
    </cfRule>
  </conditionalFormatting>
  <conditionalFormatting sqref="AZ30:AZ40">
    <cfRule type="expression" dxfId="109" priority="508">
      <formula>OR(IF(AZ30&lt;BA30,TRUE),IF(AND(BA30="",AZ30&lt;&gt;""),TRUE))</formula>
    </cfRule>
    <cfRule type="expression" dxfId="108" priority="509">
      <formula>IF(AZ30&gt;=BA30,IF(AZ30="",FALSE,TRUE))</formula>
    </cfRule>
  </conditionalFormatting>
  <conditionalFormatting sqref="BE30:BE40">
    <cfRule type="expression" dxfId="107" priority="495">
      <formula>IF(BE30&gt;=BF30,IF(BE30="",FALSE,TRUE))</formula>
    </cfRule>
    <cfRule type="expression" dxfId="106" priority="494">
      <formula>OR(IF(BE30&lt;BF30,TRUE),IF(AND(BF30="",BE30&lt;&gt;""),TRUE))</formula>
    </cfRule>
  </conditionalFormatting>
  <conditionalFormatting sqref="BG16:BG27">
    <cfRule type="expression" dxfId="105" priority="867">
      <formula>IF(BG16&gt;=BH17,IF(BG16="",FALSE,TRUE))</formula>
    </cfRule>
    <cfRule type="expression" dxfId="104" priority="866">
      <formula>OR(IF(BG16&lt;BH17,TRUE),IF(AND(BH17="",BG16&lt;&gt;""),TRUE))</formula>
    </cfRule>
  </conditionalFormatting>
  <conditionalFormatting sqref="BG30:BG40">
    <cfRule type="expression" dxfId="103" priority="492">
      <formula>OR(IF(BG30&lt;BH30,TRUE),IF(AND(BH30="",BG30&lt;&gt;""),TRUE))</formula>
    </cfRule>
    <cfRule type="expression" dxfId="102" priority="493">
      <formula>IF(BG30&gt;=BH30,IF(BG30="",FALSE,TRUE))</formula>
    </cfRule>
  </conditionalFormatting>
  <conditionalFormatting sqref="BL5:BL14">
    <cfRule type="expression" dxfId="101" priority="8">
      <formula>IF(BL5&gt;=BM5,IF(BL5="",FALSE,TRUE))</formula>
    </cfRule>
    <cfRule type="expression" dxfId="100" priority="7">
      <formula>OR(IF(BL5&lt;BM5,TRUE),IF(AND(BM5="",BL5&lt;&gt;""),TRUE))</formula>
    </cfRule>
  </conditionalFormatting>
  <conditionalFormatting sqref="BL30:BL40">
    <cfRule type="expression" dxfId="99" priority="3">
      <formula>OR(IF(BL30&lt;BM30,TRUE),IF(AND(BM30="",BL30&lt;&gt;""),TRUE))</formula>
    </cfRule>
    <cfRule type="expression" dxfId="98" priority="4">
      <formula>IF(BL30&gt;=BM30,IF(BL30="",FALSE,TRUE))</formula>
    </cfRule>
  </conditionalFormatting>
  <conditionalFormatting sqref="BN5:BN14">
    <cfRule type="expression" dxfId="97" priority="5">
      <formula>OR(IF(BN5&lt;BO5,TRUE),IF(AND(BO5="",BN5&lt;&gt;""),TRUE))</formula>
    </cfRule>
    <cfRule type="expression" dxfId="96" priority="6">
      <formula>IF(BN5&gt;=BO5,IF(BN5="",FALSE,TRUE))</formula>
    </cfRule>
  </conditionalFormatting>
  <conditionalFormatting sqref="BN30:BN40">
    <cfRule type="expression" dxfId="95" priority="1">
      <formula>OR(IF(BN30&lt;BO30,TRUE),IF(AND(BO30="",BN30&lt;&gt;""),TRUE))</formula>
    </cfRule>
    <cfRule type="expression" dxfId="94" priority="2">
      <formula>IF(BN30&gt;=BO30,IF(BN30="",FALSE,TRUE))</formula>
    </cfRule>
  </conditionalFormatting>
  <conditionalFormatting sqref="BS5:BS14">
    <cfRule type="expression" dxfId="93" priority="23">
      <formula>OR(IF(BS5&lt;BT5,TRUE),IF(AND(BT5="",BS5&lt;&gt;""),TRUE))</formula>
    </cfRule>
    <cfRule type="expression" dxfId="92" priority="24">
      <formula>IF(BS5&gt;=BT5,IF(BS5="",FALSE,TRUE))</formula>
    </cfRule>
  </conditionalFormatting>
  <conditionalFormatting sqref="BS30:BS40">
    <cfRule type="expression" dxfId="91" priority="19">
      <formula>OR(IF(BS30&lt;BT30,TRUE),IF(AND(BT30="",BS30&lt;&gt;""),TRUE))</formula>
    </cfRule>
    <cfRule type="expression" dxfId="90" priority="20">
      <formula>IF(BS30&gt;=BT30,IF(BS30="",FALSE,TRUE))</formula>
    </cfRule>
  </conditionalFormatting>
  <conditionalFormatting sqref="BS71:BS72 BU71:BU72">
    <cfRule type="expression" dxfId="89" priority="76">
      <formula>IF(BS71&gt;=BT71,IF(BS71="",FALSE,TRUE))</formula>
    </cfRule>
    <cfRule type="expression" dxfId="88" priority="75">
      <formula>OR(IF(BS71&lt;BT71,TRUE),IF(AND(BT71="",BS71&lt;&gt;""),TRUE))</formula>
    </cfRule>
  </conditionalFormatting>
  <conditionalFormatting sqref="BU5:BU14">
    <cfRule type="expression" dxfId="87" priority="21">
      <formula>OR(IF(BU5&lt;BV5,TRUE),IF(AND(BV5="",BU5&lt;&gt;""),TRUE))</formula>
    </cfRule>
    <cfRule type="expression" dxfId="86" priority="22">
      <formula>IF(BU5&gt;=BV5,IF(BU5="",FALSE,TRUE))</formula>
    </cfRule>
  </conditionalFormatting>
  <conditionalFormatting sqref="BU30:BU40">
    <cfRule type="expression" dxfId="85" priority="17">
      <formula>OR(IF(BU30&lt;BV30,TRUE),IF(AND(BV30="",BU30&lt;&gt;""),TRUE))</formula>
    </cfRule>
    <cfRule type="expression" dxfId="84" priority="18">
      <formula>IF(BU30&gt;=BV30,IF(BU30="",FALSE,TRUE))</formula>
    </cfRule>
  </conditionalFormatting>
  <conditionalFormatting sqref="BZ5:BZ14">
    <cfRule type="expression" dxfId="83" priority="11">
      <formula>OR(IF(BZ5&lt;CA5,TRUE),IF(AND(CA5="",BZ5&lt;&gt;""),TRUE))</formula>
    </cfRule>
    <cfRule type="expression" dxfId="82" priority="12">
      <formula>IF(BZ5&gt;=CA5,IF(BZ5="",FALSE,TRUE))</formula>
    </cfRule>
  </conditionalFormatting>
  <conditionalFormatting sqref="BZ30:BZ40">
    <cfRule type="expression" dxfId="81" priority="9">
      <formula>OR(IF(BZ30&lt;CA30,TRUE),IF(AND(CA30="",BZ30&lt;&gt;""),TRUE))</formula>
    </cfRule>
    <cfRule type="expression" dxfId="80" priority="10">
      <formula>IF(BZ30&gt;=CA30,IF(BZ30="",FALSE,TRUE))</formula>
    </cfRule>
  </conditionalFormatting>
  <conditionalFormatting sqref="BZ71:BZ72 CB71:CB72">
    <cfRule type="expression" dxfId="79" priority="73">
      <formula>OR(IF(BZ71&lt;CA71,TRUE),IF(AND(CA71="",BZ71&lt;&gt;""),TRUE))</formula>
    </cfRule>
    <cfRule type="expression" dxfId="78" priority="74">
      <formula>IF(BZ71&gt;=CA71,IF(BZ71="",FALSE,TRUE))</formula>
    </cfRule>
  </conditionalFormatting>
  <conditionalFormatting sqref="CB5:CB14">
    <cfRule type="expression" dxfId="77" priority="100">
      <formula>IF(CB5&gt;=CC5,IF(CB5="",FALSE,TRUE))</formula>
    </cfRule>
    <cfRule type="expression" dxfId="76" priority="99">
      <formula>OR(IF(CB5&lt;CC5,TRUE),IF(AND(CC5="",CB5&lt;&gt;""),TRUE))</formula>
    </cfRule>
  </conditionalFormatting>
  <conditionalFormatting sqref="CB30:CB40">
    <cfRule type="expression" dxfId="75" priority="26">
      <formula>IF(CB30&gt;=CC30,IF(CB30="",FALSE,TRUE))</formula>
    </cfRule>
    <cfRule type="expression" dxfId="74" priority="25">
      <formula>OR(IF(CB30&lt;CC30,TRUE),IF(AND(CC30="",CB30&lt;&gt;""),TRUE))</formula>
    </cfRule>
  </conditionalFormatting>
  <conditionalFormatting sqref="CG5:CG14 CI5:CI14">
    <cfRule type="expression" dxfId="73" priority="180">
      <formula>IF(CG5&gt;=CH5,IF(CG5="",FALSE,TRUE))</formula>
    </cfRule>
    <cfRule type="expression" dxfId="72" priority="179">
      <formula>OR(IF(CG5&lt;CH5,TRUE),IF(AND(CH5="",CG5&lt;&gt;""),TRUE))</formula>
    </cfRule>
  </conditionalFormatting>
  <conditionalFormatting sqref="CG30:CG40">
    <cfRule type="expression" dxfId="71" priority="13">
      <formula>OR(IF(CG30&lt;CH30,TRUE),IF(AND(CH30="",CG30&lt;&gt;""),TRUE))</formula>
    </cfRule>
    <cfRule type="expression" dxfId="70" priority="14">
      <formula>IF(CG30&gt;=CH30,IF(CG30="",FALSE,TRUE))</formula>
    </cfRule>
  </conditionalFormatting>
  <conditionalFormatting sqref="CG71:CG72 CI71:CI72">
    <cfRule type="expression" dxfId="69" priority="71">
      <formula>OR(IF(CG71&lt;CH71,TRUE),IF(AND(CH71="",CG71&lt;&gt;""),TRUE))</formula>
    </cfRule>
    <cfRule type="expression" dxfId="68" priority="72">
      <formula>IF(CG71&gt;=CH71,IF(CG71="",FALSE,TRUE))</formula>
    </cfRule>
  </conditionalFormatting>
  <conditionalFormatting sqref="CI30:CI40">
    <cfRule type="expression" dxfId="67" priority="174">
      <formula>IF(CI30&gt;=CJ30,IF(CI30="",FALSE,TRUE))</formula>
    </cfRule>
    <cfRule type="expression" dxfId="66" priority="173">
      <formula>OR(IF(CI30&lt;CJ30,TRUE),IF(AND(CJ30="",CI30&lt;&gt;""),TRUE))</formula>
    </cfRule>
  </conditionalFormatting>
  <conditionalFormatting sqref="CN5:CN14 CP5:CP14">
    <cfRule type="expression" dxfId="65" priority="159">
      <formula>OR(IF(CN5&lt;CO5,TRUE),IF(AND(CO5="",CN5&lt;&gt;""),TRUE))</formula>
    </cfRule>
    <cfRule type="expression" dxfId="64" priority="160">
      <formula>IF(CN5&gt;=CO5,IF(CN5="",FALSE,TRUE))</formula>
    </cfRule>
  </conditionalFormatting>
  <conditionalFormatting sqref="CN30:CN40">
    <cfRule type="expression" dxfId="63" priority="156">
      <formula>IF(CN30&gt;=CO30,IF(CN30="",FALSE,TRUE))</formula>
    </cfRule>
    <cfRule type="expression" dxfId="62" priority="155">
      <formula>OR(IF(CN30&lt;CO30,TRUE),IF(AND(CO30="",CN30&lt;&gt;""),TRUE))</formula>
    </cfRule>
  </conditionalFormatting>
  <conditionalFormatting sqref="CN71:CN72 CP71:CP72">
    <cfRule type="expression" dxfId="61" priority="69">
      <formula>OR(IF(CN71&lt;CO71,TRUE),IF(AND(CO71="",CN71&lt;&gt;""),TRUE))</formula>
    </cfRule>
    <cfRule type="expression" dxfId="60" priority="70">
      <formula>IF(CN71&gt;=CO71,IF(CN71="",FALSE,TRUE))</formula>
    </cfRule>
  </conditionalFormatting>
  <conditionalFormatting sqref="CP30:CP40">
    <cfRule type="expression" dxfId="59" priority="153">
      <formula>OR(IF(CP30&lt;CQ30,TRUE),IF(AND(CQ30="",CP30&lt;&gt;""),TRUE))</formula>
    </cfRule>
    <cfRule type="expression" dxfId="58" priority="154">
      <formula>IF(CP30&gt;=CQ30,IF(CP30="",FALSE,TRUE))</formula>
    </cfRule>
  </conditionalFormatting>
  <conditionalFormatting sqref="CU5:CU14 CW5:CW14">
    <cfRule type="expression" dxfId="57" priority="140">
      <formula>IF(CU5&gt;=CV5,IF(CU5="",FALSE,TRUE))</formula>
    </cfRule>
    <cfRule type="expression" dxfId="56" priority="139">
      <formula>OR(IF(CU5&lt;CV5,TRUE),IF(AND(CV5="",CU5&lt;&gt;""),TRUE))</formula>
    </cfRule>
  </conditionalFormatting>
  <conditionalFormatting sqref="CU30:CU40">
    <cfRule type="expression" dxfId="55" priority="16">
      <formula>IF(CU30&gt;=CV30,IF(CU30="",FALSE,TRUE))</formula>
    </cfRule>
    <cfRule type="expression" dxfId="54" priority="15">
      <formula>OR(IF(CU30&lt;CV30,TRUE),IF(AND(CV30="",CU30&lt;&gt;""),TRUE))</formula>
    </cfRule>
  </conditionalFormatting>
  <conditionalFormatting sqref="CU71:CU72 CW71:CW72">
    <cfRule type="expression" dxfId="53" priority="67">
      <formula>OR(IF(CU71&lt;CV71,TRUE),IF(AND(CV71="",CU71&lt;&gt;""),TRUE))</formula>
    </cfRule>
    <cfRule type="expression" dxfId="52" priority="68">
      <formula>IF(CU71&gt;=CV71,IF(CU71="",FALSE,TRUE))</formula>
    </cfRule>
  </conditionalFormatting>
  <conditionalFormatting sqref="CW30:CW40">
    <cfRule type="expression" dxfId="51" priority="133">
      <formula>OR(IF(CW30&lt;CX30,TRUE),IF(AND(CX30="",CW30&lt;&gt;""),TRUE))</formula>
    </cfRule>
    <cfRule type="expression" dxfId="50" priority="134">
      <formula>IF(CW30&gt;=CX30,IF(CW30="",FALSE,TRUE))</formula>
    </cfRule>
  </conditionalFormatting>
  <conditionalFormatting sqref="DB5:DB14 DD5:DD14">
    <cfRule type="expression" dxfId="49" priority="119">
      <formula>OR(IF(DB5&lt;DC5,TRUE),IF(AND(DC5="",DB5&lt;&gt;""),TRUE))</formula>
    </cfRule>
    <cfRule type="expression" dxfId="48" priority="120">
      <formula>IF(DB5&gt;=DC5,IF(DB5="",FALSE,TRUE))</formula>
    </cfRule>
  </conditionalFormatting>
  <conditionalFormatting sqref="DB30:DB40">
    <cfRule type="expression" dxfId="47" priority="116">
      <formula>IF(DB30&gt;=DC30,IF(DB30="",FALSE,TRUE))</formula>
    </cfRule>
    <cfRule type="expression" dxfId="46" priority="115">
      <formula>OR(IF(DB30&lt;DC30,TRUE),IF(AND(DC30="",DB30&lt;&gt;""),TRUE))</formula>
    </cfRule>
  </conditionalFormatting>
  <conditionalFormatting sqref="DB71:DB72 DD71:DD72">
    <cfRule type="expression" dxfId="45" priority="65">
      <formula>OR(IF(DB71&lt;DC71,TRUE),IF(AND(DC71="",DB71&lt;&gt;""),TRUE))</formula>
    </cfRule>
    <cfRule type="expression" dxfId="44" priority="66">
      <formula>IF(DB71&gt;=DC71,IF(DB71="",FALSE,TRUE))</formula>
    </cfRule>
  </conditionalFormatting>
  <conditionalFormatting sqref="DD30:DD40">
    <cfRule type="expression" dxfId="43" priority="114">
      <formula>IF(DD30&gt;=DE30,IF(DD30="",FALSE,TRUE))</formula>
    </cfRule>
    <cfRule type="expression" dxfId="42" priority="113">
      <formula>OR(IF(DD30&lt;DE30,TRUE),IF(AND(DE30="",DD30&lt;&gt;""),TRUE))</formula>
    </cfRule>
  </conditionalFormatting>
  <conditionalFormatting sqref="DI5:DI14 DK5:DK14">
    <cfRule type="expression" dxfId="41" priority="55">
      <formula>OR(IF(DI5&lt;DJ5,TRUE),IF(AND(DJ5="",DI5&lt;&gt;""),TRUE))</formula>
    </cfRule>
    <cfRule type="expression" dxfId="40" priority="56">
      <formula>IF(DI5&gt;=DJ5,IF(DI5="",FALSE,TRUE))</formula>
    </cfRule>
  </conditionalFormatting>
  <conditionalFormatting sqref="DI17:DI27 DK17:DK27 DI43:DI45 DK43:DK45 DI48:DI55 DK48:DK55 DI58:DI68 DK58:DK68">
    <cfRule type="expression" dxfId="39" priority="58">
      <formula>IF(DI17&gt;=DJ17,IF(DI17="",FALSE,TRUE))</formula>
    </cfRule>
    <cfRule type="expression" dxfId="38" priority="57">
      <formula>OR(IF(DI17&lt;DJ17,TRUE),IF(AND(DJ17="",DI17&lt;&gt;""),TRUE))</formula>
    </cfRule>
  </conditionalFormatting>
  <conditionalFormatting sqref="DI30:DI40">
    <cfRule type="expression" dxfId="37" priority="53">
      <formula>OR(IF(DI30&lt;DJ30,TRUE),IF(AND(DJ30="",DI30&lt;&gt;""),TRUE))</formula>
    </cfRule>
    <cfRule type="expression" dxfId="36" priority="54">
      <formula>IF(DI30&gt;=DJ30,IF(DI30="",FALSE,TRUE))</formula>
    </cfRule>
  </conditionalFormatting>
  <conditionalFormatting sqref="DI71:DI72 DK71:DK72">
    <cfRule type="expression" dxfId="35" priority="50">
      <formula>IF(DI71&gt;=DJ71,IF(DI71="",FALSE,TRUE))</formula>
    </cfRule>
    <cfRule type="expression" dxfId="34" priority="49">
      <formula>OR(IF(DI71&lt;DJ71,TRUE),IF(AND(DJ71="",DI71&lt;&gt;""),TRUE))</formula>
    </cfRule>
  </conditionalFormatting>
  <conditionalFormatting sqref="DK30:DK40">
    <cfRule type="expression" dxfId="33" priority="51">
      <formula>OR(IF(DK30&lt;DL30,TRUE),IF(AND(DL30="",DK30&lt;&gt;""),TRUE))</formula>
    </cfRule>
    <cfRule type="expression" dxfId="32" priority="52">
      <formula>IF(DK30&gt;=DL30,IF(DK30="",FALSE,TRUE))</formula>
    </cfRule>
  </conditionalFormatting>
  <conditionalFormatting sqref="DP5:DP14 DR5:DR14">
    <cfRule type="expression" dxfId="31" priority="45">
      <formula>OR(IF(DP5&lt;DQ5,TRUE),IF(AND(DQ5="",DP5&lt;&gt;""),TRUE))</formula>
    </cfRule>
    <cfRule type="expression" dxfId="30" priority="46">
      <formula>IF(DP5&gt;=DQ5,IF(DP5="",FALSE,TRUE))</formula>
    </cfRule>
  </conditionalFormatting>
  <conditionalFormatting sqref="DP17:DP27 DR17:DR27 DP43:DP45 DR43:DR45 DP48:DP55 DR48:DR55 DP58:DP68 DR58:DR68">
    <cfRule type="expression" dxfId="29" priority="48">
      <formula>IF(DP17&gt;=DQ17,IF(DP17="",FALSE,TRUE))</formula>
    </cfRule>
    <cfRule type="expression" dxfId="28" priority="47">
      <formula>OR(IF(DP17&lt;DQ17,TRUE),IF(AND(DQ17="",DP17&lt;&gt;""),TRUE))</formula>
    </cfRule>
  </conditionalFormatting>
  <conditionalFormatting sqref="DP30:DP40">
    <cfRule type="expression" dxfId="27" priority="43">
      <formula>OR(IF(DP30&lt;DQ30,TRUE),IF(AND(DQ30="",DP30&lt;&gt;""),TRUE))</formula>
    </cfRule>
    <cfRule type="expression" dxfId="26" priority="44">
      <formula>IF(DP30&gt;=DQ30,IF(DP30="",FALSE,TRUE))</formula>
    </cfRule>
  </conditionalFormatting>
  <conditionalFormatting sqref="DP71:DP72 DR71:DR72">
    <cfRule type="expression" dxfId="25" priority="40">
      <formula>IF(DP71&gt;=DQ71,IF(DP71="",FALSE,TRUE))</formula>
    </cfRule>
    <cfRule type="expression" dxfId="24" priority="39">
      <formula>OR(IF(DP71&lt;DQ71,TRUE),IF(AND(DQ71="",DP71&lt;&gt;""),TRUE))</formula>
    </cfRule>
  </conditionalFormatting>
  <conditionalFormatting sqref="DR30:DR40">
    <cfRule type="expression" dxfId="23" priority="42">
      <formula>IF(DR30&gt;=DS30,IF(DR30="",FALSE,TRUE))</formula>
    </cfRule>
    <cfRule type="expression" dxfId="22" priority="41">
      <formula>OR(IF(DR30&lt;DS30,TRUE),IF(AND(DS30="",DR30&lt;&gt;""),TRUE))</formula>
    </cfRule>
  </conditionalFormatting>
  <conditionalFormatting sqref="DX5:DX14 DZ5:DZ14">
    <cfRule type="expression" dxfId="21" priority="35">
      <formula>OR(IF(DX5&lt;DY5,TRUE),IF(AND(DY5="",DX5&lt;&gt;""),TRUE))</formula>
    </cfRule>
    <cfRule type="expression" dxfId="20" priority="36">
      <formula>IF(DX5&gt;=DY5,IF(DX5="",FALSE,TRUE))</formula>
    </cfRule>
  </conditionalFormatting>
  <conditionalFormatting sqref="DX17:DX27 DZ17:DZ27 DX43:DX45 DZ43:DZ45 DX48:DX55 DZ48:DZ55 DX58:DX68 DZ58:DZ68">
    <cfRule type="expression" dxfId="19" priority="37">
      <formula>OR(IF(DX17&lt;DY17,TRUE),IF(AND(DY17="",DX17&lt;&gt;""),TRUE))</formula>
    </cfRule>
    <cfRule type="expression" dxfId="18" priority="38">
      <formula>IF(DX17&gt;=DY17,IF(DX17="",FALSE,TRUE))</formula>
    </cfRule>
  </conditionalFormatting>
  <conditionalFormatting sqref="DX30:DX40">
    <cfRule type="expression" dxfId="17" priority="34">
      <formula>IF(DX30&gt;=DY30,IF(DX30="",FALSE,TRUE))</formula>
    </cfRule>
    <cfRule type="expression" dxfId="16" priority="33">
      <formula>OR(IF(DX30&lt;DY30,TRUE),IF(AND(DY30="",DX30&lt;&gt;""),TRUE))</formula>
    </cfRule>
  </conditionalFormatting>
  <conditionalFormatting sqref="DX71:DX72 DZ71:DZ72">
    <cfRule type="expression" dxfId="15" priority="30">
      <formula>IF(DX71&gt;=DY71,IF(DX71="",FALSE,TRUE))</formula>
    </cfRule>
    <cfRule type="expression" dxfId="14" priority="29">
      <formula>OR(IF(DX71&lt;DY71,TRUE),IF(AND(DY71="",DX71&lt;&gt;""),TRUE))</formula>
    </cfRule>
  </conditionalFormatting>
  <conditionalFormatting sqref="DZ30:DZ40">
    <cfRule type="expression" dxfId="13" priority="31">
      <formula>OR(IF(DZ30&lt;EA30,TRUE),IF(AND(EA30="",DZ30&lt;&gt;""),TRUE))</formula>
    </cfRule>
    <cfRule type="expression" dxfId="12" priority="32">
      <formula>IF(DZ30&gt;=EA30,IF(DZ30="",FALSE,TRUE))</formula>
    </cfRule>
  </conditionalFormatting>
  <dataValidations count="1">
    <dataValidation type="list" allowBlank="1" showInputMessage="1" showErrorMessage="1" sqref="AJ48:AM55 BL5:BO14 O30:R40 AX30:BA40 CN5:CQ14 AQ30:AT40 AJ30:AM40 AC30:AF40 V30:Y40 BL43:BO45 O58:R68 AX43:BA45 BE43:BH45 AQ43:AT45 AJ17:AM27 AC43:AF45 V43:Y45 BL30:BO40 AX48:BA55 BE48:BH55 AQ48:AT55 AC48:AF55 V48:Y55 O48:R55 BS43:BV45 BZ48:CC55 BS48:BV55 BZ43:CC45 BZ5:CC14 CG5:CJ14 BE30:BH40 DB48:DE55 CU48:CX55 CG43:CJ45 CN30:CQ40 CN43:CQ45 CN48:CQ55 CU30:CX40 CU43:CX45 CU5:CX14 CU71:CX72 DB30:DE40 DB43:DE45 DB5:DE14 V58:Y68 AJ71:AM72 CG71:CJ72 BL71:BO72 AX71:BA72 BE71:BH72 AQ71:AT72 AC71:AF72 V71:Y72 O71:R72 BS71:BV72 BZ71:CC72 DB71:DE72 CN71:CQ72 V5:Y14 AC5:AF14 AJ5:AM14 BH17:BH27 AX5:BA14 AJ43:AM45 BS5:BV14 O5:R14 BZ30:CC40 CG48:CJ55 CG30:CJ40 AQ5:AT14 BS30:BV40 V17:Y27 BZ17:CC27 DB17:DE27 CU17:CX27 CN17:CQ27 CG17:CJ27 BS17:BV27 BL17:BO27 AX17:BA27 AQ17:AT27 BL48:BO55 AC17:AF27 CU58:CX68 CN58:CQ68 DB58:DE68 BZ58:CC68 BS58:BV68 O43:R45 AC58:AF68 AJ58:AM68 AQ58:AT68 BE58:BH68 AX58:BA68 BL58:BO68 CG58:CJ68 DX58:EA68 DI30:DL40 DI43:DL45 DI48:DL55 DI71:DL72 DI5:DL14 DI17:DL27 DI58:DL68 DP30:DS40 DP43:DS45 DP48:DS55 DP71:DS72 DP5:DS14 DP17:DS27 DP58:DS68 DX30:EA40 DX43:EA45 DX48:EA55 DX71:EA72 DX5:EA14 DX17:EA27 BE17:BE27 BE5:BH14 BG16:BG27 O17:R27"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47</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46</v>
      </c>
    </row>
    <row r="19" spans="2:2" ht="153" x14ac:dyDescent="0.2">
      <c r="B19" s="1" t="s">
        <v>48</v>
      </c>
    </row>
    <row r="21" spans="2:2" x14ac:dyDescent="0.2">
      <c r="B21" s="2" t="s">
        <v>21</v>
      </c>
    </row>
    <row r="22" spans="2:2" ht="136" x14ac:dyDescent="0.2">
      <c r="B22" s="1" t="s">
        <v>49</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53</v>
      </c>
      <c r="B1" s="15" t="s">
        <v>50</v>
      </c>
      <c r="C1" s="15" t="s">
        <v>51</v>
      </c>
      <c r="D1" s="15" t="s">
        <v>52</v>
      </c>
      <c r="E1" s="1" t="s">
        <v>54</v>
      </c>
      <c r="F1" s="1" t="s">
        <v>55</v>
      </c>
      <c r="G1" s="1" t="s">
        <v>56</v>
      </c>
      <c r="H1" s="1" t="s">
        <v>57</v>
      </c>
      <c r="I1" s="1" t="s">
        <v>58</v>
      </c>
      <c r="J1" s="1" t="s">
        <v>59</v>
      </c>
      <c r="K1" s="1" t="s">
        <v>60</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15" operator="equal">
      <formula>"Nein"</formula>
    </cfRule>
    <cfRule type="cellIs" dxfId="10" priority="14" operator="equal">
      <formula>"Ja"</formula>
    </cfRule>
    <cfRule type="cellIs" dxfId="9" priority="4" operator="equal">
      <formula>"Ja"</formula>
    </cfRule>
  </conditionalFormatting>
  <conditionalFormatting sqref="C2:C46">
    <cfRule type="cellIs" dxfId="8" priority="3" operator="equal">
      <formula>"Nein"</formula>
    </cfRule>
    <cfRule type="cellIs" dxfId="7" priority="2" operator="equal">
      <formula>"Ja"</formula>
    </cfRule>
    <cfRule type="cellIs" dxfId="6" priority="1" operator="equal">
      <formula>"Ja"</formula>
    </cfRule>
  </conditionalFormatting>
  <conditionalFormatting sqref="D2">
    <cfRule type="cellIs" dxfId="5" priority="7" operator="equal">
      <formula>0.8</formula>
    </cfRule>
    <cfRule type="cellIs" dxfId="4" priority="9" operator="equal">
      <formula>0.4</formula>
    </cfRule>
    <cfRule type="cellIs" dxfId="3" priority="10" operator="equal">
      <formula>0.2</formula>
    </cfRule>
    <cfRule type="cellIs" dxfId="2" priority="11" operator="equal">
      <formula>0</formula>
    </cfRule>
    <cfRule type="cellIs" dxfId="1" priority="6" operator="equal">
      <formula>1</formula>
    </cfRule>
    <cfRule type="cellIs" dxfId="0" priority="8" operator="equal">
      <formula>0.6</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2023-09-07T17:11:26Z</dcterms:modified>
</cp:coreProperties>
</file>