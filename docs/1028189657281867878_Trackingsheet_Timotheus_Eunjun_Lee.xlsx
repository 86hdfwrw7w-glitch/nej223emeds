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defaultThemeVersion="166925"/>
  <mc:AlternateContent xmlns:mc="http://schemas.openxmlformats.org/markup-compatibility/2006">
    <mc:Choice Requires="x15">
      <x15ac:absPath xmlns:x15ac="http://schemas.microsoft.com/office/spreadsheetml/2010/11/ac" url="/Users/timlee/Desktop/Mannheim 2025/1. Semester/1. Semester Planung/"/>
    </mc:Choice>
  </mc:AlternateContent>
  <xr:revisionPtr revIDLastSave="0" documentId="13_ncr:1_{1EB40173-CCB6-294F-B5B6-2E29A140DDBA}" xr6:coauthVersionLast="47" xr6:coauthVersionMax="47" xr10:uidLastSave="{00000000-0000-0000-0000-000000000000}"/>
  <bookViews>
    <workbookView xWindow="0" yWindow="0" windowWidth="28800" windowHeight="18000" activeTab="2" xr2:uid="{50F29292-BE80-0C47-A0D2-DD086CB3D310}"/>
  </bookViews>
  <sheets>
    <sheet name="Anleitung 1" sheetId="2" r:id="rId1"/>
    <sheet name="ANLEITUNG" sheetId="11" r:id="rId2"/>
    <sheet name="Semesterplan" sheetId="7"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2" i="11" l="1"/>
  <c r="FL52" i="7" l="1"/>
  <c r="FL51" i="7" s="1"/>
  <c r="FL4" i="7"/>
  <c r="FE51" i="7"/>
  <c r="FE4" i="7"/>
  <c r="EX51" i="7"/>
  <c r="EX4" i="7"/>
  <c r="EQ51" i="7"/>
  <c r="EQ4" i="7"/>
  <c r="EJ51" i="7"/>
  <c r="EJ4" i="7"/>
  <c r="EC51" i="7"/>
  <c r="EC4" i="7"/>
  <c r="DV51" i="7"/>
  <c r="DV4" i="7"/>
  <c r="I52" i="7"/>
  <c r="J52" i="7" a="1"/>
  <c r="J52" i="7" s="1"/>
  <c r="K52" i="7" a="1"/>
  <c r="K52" i="7" s="1"/>
  <c r="K49" i="7" l="1" a="1"/>
  <c r="K49" i="7" s="1"/>
  <c r="J49" i="7" a="1"/>
  <c r="J49" i="7" s="1"/>
  <c r="I49"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DO43" i="7"/>
  <c r="DH43" i="7"/>
  <c r="DA43" i="7"/>
  <c r="CT43" i="7"/>
  <c r="CM43" i="7"/>
  <c r="CF43" i="7"/>
  <c r="BY43" i="7"/>
  <c r="BR43" i="7"/>
  <c r="BK43" i="7"/>
  <c r="AI43" i="7"/>
  <c r="AB43" i="7"/>
  <c r="U43" i="7"/>
  <c r="N43" i="7"/>
  <c r="G43" i="7"/>
  <c r="G51" i="7"/>
  <c r="N51" i="7"/>
  <c r="U51" i="7"/>
  <c r="AB51" i="7"/>
  <c r="AI51" i="7"/>
  <c r="AP51" i="7"/>
  <c r="AW51" i="7"/>
  <c r="BD51" i="7"/>
  <c r="BK51" i="7"/>
  <c r="BR51" i="7"/>
  <c r="BY51" i="7"/>
  <c r="CF51" i="7"/>
  <c r="CM51" i="7"/>
  <c r="CT51" i="7"/>
  <c r="DA51" i="7"/>
  <c r="DH51" i="7"/>
  <c r="DO51" i="7"/>
  <c r="I53" i="7"/>
  <c r="J53" i="7" a="1"/>
  <c r="J53" i="7" s="1"/>
  <c r="K53" i="7" a="1"/>
  <c r="K53" i="7" s="1"/>
  <c r="I54" i="7"/>
  <c r="J54" i="7" a="1"/>
  <c r="J54" i="7" s="1"/>
  <c r="K54" i="7" a="1"/>
  <c r="K54" i="7" s="1"/>
  <c r="I55" i="7"/>
  <c r="J55" i="7" a="1"/>
  <c r="J55" i="7" s="1"/>
  <c r="K55" i="7" a="1"/>
  <c r="K55" i="7" s="1"/>
  <c r="I56" i="7"/>
  <c r="J56" i="7" a="1"/>
  <c r="J56" i="7" s="1"/>
  <c r="K56" i="7" a="1"/>
  <c r="K56" i="7" s="1"/>
  <c r="I57" i="7"/>
  <c r="J57" i="7" a="1"/>
  <c r="J57" i="7" s="1"/>
  <c r="K57" i="7" a="1"/>
  <c r="K57" i="7" s="1"/>
  <c r="I58" i="7"/>
  <c r="J58" i="7" a="1"/>
  <c r="J58" i="7" s="1"/>
  <c r="K58" i="7" a="1"/>
  <c r="K58" i="7" s="1"/>
  <c r="I59" i="7"/>
  <c r="J59" i="7" a="1"/>
  <c r="J59" i="7" s="1"/>
  <c r="K59" i="7" a="1"/>
  <c r="K59" i="7" s="1"/>
  <c r="I60" i="7"/>
  <c r="J60" i="7" a="1"/>
  <c r="J60" i="7" s="1"/>
  <c r="K60" i="7" a="1"/>
  <c r="K60" i="7" s="1"/>
  <c r="I61" i="7"/>
  <c r="J61" i="7" a="1"/>
  <c r="J61" i="7" s="1"/>
  <c r="K61" i="7" a="1"/>
  <c r="K61" i="7" s="1"/>
  <c r="I43" i="7" l="1"/>
  <c r="J43" i="7"/>
  <c r="K43" i="7"/>
  <c r="G16" i="7" l="1"/>
  <c r="DO29" i="7" l="1"/>
  <c r="DO16" i="7"/>
  <c r="DO4" i="7"/>
  <c r="DH29" i="7"/>
  <c r="DH16" i="7"/>
  <c r="DH4" i="7"/>
  <c r="DA29" i="7"/>
  <c r="DA16" i="7"/>
  <c r="DA4" i="7"/>
  <c r="CT29" i="7"/>
  <c r="CT16" i="7"/>
  <c r="CT4" i="7"/>
  <c r="CM29" i="7"/>
  <c r="CM16" i="7"/>
  <c r="CM4" i="7"/>
  <c r="CF29" i="7"/>
  <c r="CF16" i="7"/>
  <c r="CF4" i="7"/>
  <c r="BY29" i="7"/>
  <c r="BY16" i="7"/>
  <c r="BY4" i="7"/>
  <c r="BR29" i="7"/>
  <c r="BR16" i="7"/>
  <c r="BR4" i="7"/>
  <c r="BK29" i="7"/>
  <c r="BK16" i="7"/>
  <c r="BK4" i="7"/>
  <c r="K71" i="7" a="1"/>
  <c r="K71" i="7" s="1"/>
  <c r="J71" i="7" a="1"/>
  <c r="J71" i="7" s="1"/>
  <c r="I71" i="7"/>
  <c r="K70" i="7" a="1"/>
  <c r="K70" i="7" s="1"/>
  <c r="J70" i="7" a="1"/>
  <c r="J70" i="7" s="1"/>
  <c r="I70" i="7"/>
  <c r="K69" i="7" a="1"/>
  <c r="K69" i="7" s="1"/>
  <c r="J69" i="7" a="1"/>
  <c r="J69" i="7" s="1"/>
  <c r="I69" i="7"/>
  <c r="K68" i="7" a="1"/>
  <c r="K68" i="7" s="1"/>
  <c r="J68" i="7" a="1"/>
  <c r="J68" i="7" s="1"/>
  <c r="I68" i="7"/>
  <c r="K67" i="7" a="1"/>
  <c r="K67" i="7" s="1"/>
  <c r="J67" i="7" a="1"/>
  <c r="J67" i="7" s="1"/>
  <c r="I67" i="7"/>
  <c r="K66" i="7" a="1"/>
  <c r="K66" i="7" s="1"/>
  <c r="J66" i="7" a="1"/>
  <c r="J66" i="7" s="1"/>
  <c r="I66" i="7"/>
  <c r="K65" i="7" a="1"/>
  <c r="K65" i="7" s="1"/>
  <c r="J65" i="7" a="1"/>
  <c r="J65" i="7" s="1"/>
  <c r="I65" i="7"/>
  <c r="K64" i="7" a="1"/>
  <c r="K64" i="7" s="1"/>
  <c r="J64" i="7" a="1"/>
  <c r="J64" i="7" s="1"/>
  <c r="I64" i="7"/>
  <c r="K63" i="7" a="1"/>
  <c r="K63" i="7" s="1"/>
  <c r="J63" i="7" a="1"/>
  <c r="J63" i="7" s="1"/>
  <c r="I63" i="7"/>
  <c r="K62" i="7" a="1"/>
  <c r="K62" i="7" s="1"/>
  <c r="J62" i="7" a="1"/>
  <c r="J62" i="7" s="1"/>
  <c r="I62" i="7"/>
  <c r="K41" i="7" a="1"/>
  <c r="K41" i="7" s="1"/>
  <c r="J41" i="7" a="1"/>
  <c r="J41" i="7" s="1"/>
  <c r="I41" i="7"/>
  <c r="K40" i="7" a="1"/>
  <c r="K40" i="7" s="1"/>
  <c r="J40" i="7" a="1"/>
  <c r="J40" i="7" s="1"/>
  <c r="I40" i="7"/>
  <c r="K39" i="7" a="1"/>
  <c r="K39" i="7" s="1"/>
  <c r="J39" i="7" a="1"/>
  <c r="J39" i="7" s="1"/>
  <c r="I39" i="7"/>
  <c r="K38" i="7" a="1"/>
  <c r="K38" i="7" s="1"/>
  <c r="J38" i="7" a="1"/>
  <c r="J38" i="7" s="1"/>
  <c r="I38" i="7"/>
  <c r="K51" i="7" l="1"/>
  <c r="I51" i="7"/>
  <c r="J51" i="7"/>
  <c r="K22" i="7" a="1"/>
  <c r="K22" i="7" s="1"/>
  <c r="J22" i="7" a="1"/>
  <c r="J22" i="7" s="1"/>
  <c r="I22" i="7"/>
  <c r="K21" i="7" a="1"/>
  <c r="K21" i="7" s="1"/>
  <c r="J21" i="7" a="1"/>
  <c r="J21" i="7" s="1"/>
  <c r="I21" i="7"/>
  <c r="K20" i="7" a="1"/>
  <c r="K20" i="7" s="1"/>
  <c r="J20" i="7" a="1"/>
  <c r="J20" i="7" s="1"/>
  <c r="I20" i="7"/>
  <c r="K19" i="7" a="1"/>
  <c r="K19" i="7" s="1"/>
  <c r="J19" i="7" a="1"/>
  <c r="J19" i="7" s="1"/>
  <c r="I19" i="7"/>
  <c r="K18" i="7" a="1"/>
  <c r="K18" i="7" s="1"/>
  <c r="J18" i="7" a="1"/>
  <c r="J18" i="7" s="1"/>
  <c r="I18" i="7"/>
  <c r="K27" i="7" a="1"/>
  <c r="K27" i="7" s="1"/>
  <c r="J27" i="7" a="1"/>
  <c r="J27" i="7" s="1"/>
  <c r="K26" i="7" a="1"/>
  <c r="K26" i="7" s="1"/>
  <c r="J26" i="7" a="1"/>
  <c r="J26" i="7" s="1"/>
  <c r="K25" i="7" a="1"/>
  <c r="K25" i="7" s="1"/>
  <c r="J25" i="7" a="1"/>
  <c r="J25" i="7" s="1"/>
  <c r="K24" i="7" a="1"/>
  <c r="K24" i="7" s="1"/>
  <c r="J24" i="7" a="1"/>
  <c r="J24" i="7" s="1"/>
  <c r="K23" i="7" a="1"/>
  <c r="K23" i="7" s="1"/>
  <c r="J23" i="7" a="1"/>
  <c r="J23" i="7" s="1"/>
  <c r="K17" i="7" a="1"/>
  <c r="K17" i="7" s="1"/>
  <c r="J17" i="7" a="1"/>
  <c r="J17" i="7" s="1"/>
  <c r="K37" i="7" a="1"/>
  <c r="K37" i="7" s="1"/>
  <c r="J37" i="7" a="1"/>
  <c r="J37" i="7" s="1"/>
  <c r="K36" i="7" a="1"/>
  <c r="K36" i="7" s="1"/>
  <c r="J36" i="7" a="1"/>
  <c r="J36" i="7" s="1"/>
  <c r="K35" i="7" a="1"/>
  <c r="K35" i="7" s="1"/>
  <c r="J35" i="7" a="1"/>
  <c r="J35" i="7" s="1"/>
  <c r="K34" i="7" a="1"/>
  <c r="K34" i="7" s="1"/>
  <c r="J34" i="7" a="1"/>
  <c r="J34" i="7" s="1"/>
  <c r="K33" i="7" a="1"/>
  <c r="K33" i="7" s="1"/>
  <c r="J33" i="7" a="1"/>
  <c r="J33" i="7" s="1"/>
  <c r="K32" i="7" a="1"/>
  <c r="K32" i="7" s="1"/>
  <c r="J32" i="7" a="1"/>
  <c r="J32" i="7" s="1"/>
  <c r="K31" i="7" a="1"/>
  <c r="K31" i="7" s="1"/>
  <c r="J31" i="7" a="1"/>
  <c r="J31" i="7" s="1"/>
  <c r="K30" i="7" a="1"/>
  <c r="K30" i="7" s="1"/>
  <c r="J30" i="7" a="1"/>
  <c r="J30" i="7" s="1"/>
  <c r="K14" i="7" a="1"/>
  <c r="K14" i="7" s="1"/>
  <c r="J14" i="7" a="1"/>
  <c r="J14" i="7" s="1"/>
  <c r="K13" i="7" a="1"/>
  <c r="K13" i="7" s="1"/>
  <c r="J13" i="7" a="1"/>
  <c r="J13" i="7" s="1"/>
  <c r="K12" i="7" a="1"/>
  <c r="K12" i="7" s="1"/>
  <c r="J12" i="7" a="1"/>
  <c r="J12" i="7" s="1"/>
  <c r="K11" i="7" a="1"/>
  <c r="K11" i="7" s="1"/>
  <c r="J11" i="7" a="1"/>
  <c r="J11"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AP16" i="7"/>
  <c r="AI16" i="7"/>
  <c r="AB16" i="7"/>
  <c r="U16" i="7"/>
  <c r="BD4" i="7"/>
  <c r="AW4" i="7"/>
  <c r="AP4" i="7"/>
  <c r="AI4" i="7"/>
  <c r="AB4" i="7"/>
  <c r="U4" i="7"/>
  <c r="G4" i="7"/>
  <c r="AI29" i="7"/>
  <c r="AB29" i="7"/>
  <c r="U29" i="7"/>
  <c r="I37" i="7"/>
  <c r="I36" i="7"/>
  <c r="I35" i="7"/>
  <c r="I34" i="7"/>
  <c r="I33" i="7"/>
  <c r="I32" i="7"/>
  <c r="I31" i="7"/>
  <c r="I30" i="7"/>
  <c r="I27" i="7"/>
  <c r="I26" i="7"/>
  <c r="I25" i="7"/>
  <c r="I24" i="7"/>
  <c r="I23" i="7"/>
  <c r="I17" i="7"/>
  <c r="I14" i="7"/>
  <c r="I5" i="7"/>
  <c r="I6" i="7"/>
  <c r="I7" i="7"/>
  <c r="I8" i="7"/>
  <c r="I9" i="7"/>
  <c r="I10" i="7"/>
  <c r="I11" i="7"/>
  <c r="I12" i="7"/>
  <c r="I13" i="7"/>
  <c r="G29" i="7"/>
  <c r="J4" i="7" l="1"/>
  <c r="K4" i="7"/>
  <c r="I29" i="7"/>
  <c r="J29" i="7"/>
  <c r="K29" i="7"/>
  <c r="I16" i="7"/>
  <c r="J16" i="7"/>
  <c r="K16" i="7"/>
  <c r="I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<sst xmlns="http://schemas.openxmlformats.org/spreadsheetml/2006/main" count="621" uniqueCount="196">
  <si>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</si>
  <si>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</si>
  <si>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</si>
  <si>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</si>
  <si>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</si>
  <si>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</si>
  <si>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</si>
  <si>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</si>
  <si>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</si>
  <si>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</si>
  <si>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</si>
  <si>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</si>
  <si>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</si>
  <si>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</si>
  <si>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</si>
  <si>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</si>
  <si>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</si>
  <si>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</si>
  <si>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</si>
  <si>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</si>
  <si>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</si>
  <si>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</si>
  <si>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</si>
  <si>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</si>
  <si>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</si>
  <si>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</si>
  <si>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</si>
  <si>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</si>
  <si>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</si>
  <si>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</si>
  <si>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</si>
  <si>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</si>
  <si>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</si>
  <si>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</si>
  <si>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</si>
  <si>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</si>
  <si>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</si>
  <si>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</si>
  <si>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</si>
  <si>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</si>
  <si>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</si>
  <si>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</si>
  <si>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</si>
  <si>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</si>
  <si>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</si>
  <si>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</si>
  <si>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</si>
  <si>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</si>
  <si>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</si>
  <si>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Management</t>
  </si>
  <si>
    <t>2) Business strategy: Vision, mission, objectives</t>
  </si>
  <si>
    <t>3) Microfoundations of strategy: Biases, heuristics, and self-management</t>
  </si>
  <si>
    <t>4) Evaluating a company’s resources, capabilities and competitiveness; Evaluating a company’s external environment</t>
  </si>
  <si>
    <t>6) The five generic competitive strategies</t>
  </si>
  <si>
    <t>7) Corporate Strategy</t>
  </si>
  <si>
    <t>8)  Global Strategy</t>
  </si>
  <si>
    <t>9) Corporate Transformation</t>
  </si>
  <si>
    <t>10) Digital Strategy</t>
  </si>
  <si>
    <t>11) Strategy Implementation I</t>
  </si>
  <si>
    <t>12) Strategy Implementation II</t>
  </si>
  <si>
    <t>Financial Accounting</t>
  </si>
  <si>
    <t>3) Record keeping basics and income statement</t>
  </si>
  <si>
    <t>4) Balance sheet: presenting and analyzing resources and financing</t>
  </si>
  <si>
    <t>5) Income statement: reporting the results of operating activities</t>
  </si>
  <si>
    <t>6) Cash flow statement</t>
  </si>
  <si>
    <t>7) Revenue recognition, receivables, and advances from customers</t>
  </si>
  <si>
    <t>8) Working capital</t>
  </si>
  <si>
    <t>9) Long-lived tangible and intangible assets</t>
  </si>
  <si>
    <t>10) Notes, bonds, and income taxes</t>
  </si>
  <si>
    <t>11) Shareholders‘ equity: capital contributions and distributions</t>
  </si>
  <si>
    <t>12) Synthesis and extensions</t>
  </si>
  <si>
    <t>Analysis</t>
  </si>
  <si>
    <t>Funktionen mehrer Variablen</t>
  </si>
  <si>
    <t>Mathematisches Handwerkszeug</t>
  </si>
  <si>
    <t>Multivariate Optimierung</t>
  </si>
  <si>
    <t>GVWL</t>
  </si>
  <si>
    <t>Mikroökonomik</t>
  </si>
  <si>
    <t>Makroökonomik</t>
  </si>
  <si>
    <t>KW 1</t>
  </si>
  <si>
    <t>KW 2</t>
  </si>
  <si>
    <t>KW 3</t>
  </si>
  <si>
    <t>KW 4</t>
  </si>
  <si>
    <t>KW 5</t>
  </si>
  <si>
    <t>KW 6</t>
  </si>
  <si>
    <t>KW 7</t>
  </si>
  <si>
    <t>KW 8</t>
  </si>
  <si>
    <t>KW 9</t>
  </si>
  <si>
    <t>KW 13</t>
  </si>
  <si>
    <t>KW 14: KLAUSUR!!! (Management)</t>
  </si>
  <si>
    <t xml:space="preserve">KW 10 </t>
  </si>
  <si>
    <t>4+5</t>
  </si>
  <si>
    <t>6+7</t>
  </si>
  <si>
    <t>8+9+10</t>
  </si>
  <si>
    <t>14+15</t>
  </si>
  <si>
    <t>13+</t>
  </si>
  <si>
    <t>16+</t>
  </si>
  <si>
    <t>17+18</t>
  </si>
  <si>
    <t>21.</t>
  </si>
  <si>
    <t>22.</t>
  </si>
  <si>
    <t>23.</t>
  </si>
  <si>
    <t>24.</t>
  </si>
  <si>
    <t>25.</t>
  </si>
  <si>
    <t>26.</t>
  </si>
  <si>
    <t>27.</t>
  </si>
  <si>
    <t>28.</t>
  </si>
  <si>
    <t>29.</t>
  </si>
  <si>
    <t>40.</t>
  </si>
  <si>
    <t>Mikro: Einführung</t>
  </si>
  <si>
    <t>Mikro: Angebot, Nachfrage und Wettbebwerb</t>
  </si>
  <si>
    <t>Mikro: Unternehmensentscheidungen,Marktstrukturund Marktregulierung</t>
  </si>
  <si>
    <t>QM</t>
  </si>
  <si>
    <t>1-2-3: Einführung</t>
  </si>
  <si>
    <t>19+20</t>
  </si>
  <si>
    <t>11+12</t>
  </si>
  <si>
    <t>1+2) Record keeping basics and balance sheet</t>
  </si>
  <si>
    <t>2. VL</t>
  </si>
  <si>
    <t>3. VL</t>
  </si>
  <si>
    <t>4. VL</t>
  </si>
  <si>
    <t>5. VL</t>
  </si>
  <si>
    <t>6. VL</t>
  </si>
  <si>
    <t>7. VL</t>
  </si>
  <si>
    <t>8. VL</t>
  </si>
  <si>
    <t>9. VL</t>
  </si>
  <si>
    <t>10. VL</t>
  </si>
  <si>
    <t>11. VL</t>
  </si>
  <si>
    <t>12. VL</t>
  </si>
  <si>
    <t>13. VL</t>
  </si>
  <si>
    <t>1. VL</t>
  </si>
  <si>
    <t>KW 16: eventuell komplett frei</t>
  </si>
  <si>
    <t>KW 17</t>
  </si>
  <si>
    <t>KW 18</t>
  </si>
  <si>
    <t>KW 19</t>
  </si>
  <si>
    <t>KW 22: Klausuren - VWL und QM/Analysis</t>
  </si>
  <si>
    <t>KW 21 (Wiederholung)</t>
  </si>
  <si>
    <t>QM 09.02</t>
  </si>
  <si>
    <t>GVWL 11.02.</t>
  </si>
  <si>
    <t>33 Levelups</t>
  </si>
  <si>
    <t>18 Level Ups</t>
  </si>
  <si>
    <t>59 Levelups</t>
  </si>
  <si>
    <t>KW 15: KLAUSUR!!! Accounting)</t>
  </si>
  <si>
    <t>KW 15: KLAUSUR!!! (Analysis)</t>
  </si>
  <si>
    <t>KW 11 (Alles auf 100)</t>
  </si>
  <si>
    <t>KW 12</t>
  </si>
  <si>
    <t>4 Level Ups mehr -  nur VWL, da QM alles vorher schon auf 50</t>
  </si>
  <si>
    <t>Im Trackingsheet hinterlegen</t>
  </si>
  <si>
    <t>Formel</t>
  </si>
  <si>
    <t>Zahl hier hinterlegen</t>
  </si>
  <si>
    <t>Reihenfolge</t>
  </si>
  <si>
    <t>Task</t>
  </si>
  <si>
    <t>Zahl</t>
  </si>
  <si>
    <t>Kommentare</t>
  </si>
  <si>
    <t>Schritt 1:</t>
  </si>
  <si>
    <t>Alle Fächer des Semesters hinterlegen inkl. Kapitel (zur Not Platzhalter)</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</si>
  <si>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</si>
  <si>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Schritt 2:</t>
  </si>
  <si>
    <t>Gesamte Kapitelanzahl hinterlegen</t>
  </si>
  <si>
    <t xml:space="preserve">Schritt 3: </t>
  </si>
  <si>
    <t>Klausurdatum hinterlegen</t>
  </si>
  <si>
    <t>Falls du es schätzen musst, trage einfach eine Schätzung ein. Normalerweise sind die Klausuren 1-3 Wochen nach Vorlesungsschluss.</t>
  </si>
  <si>
    <t xml:space="preserve">Schritt 4: </t>
  </si>
  <si>
    <t>Gesamte benötigte Wochen hinterlegen</t>
  </si>
  <si>
    <t>Um eine neue Woche zu hinterlegen, markierst du einfach die Leerspalte neben der letzten Woche bis zur letzten Spalte der Woche, kopierst sie (strg. +C) und fügst sie in die leerzeile hinter der letzten Woche ein.</t>
  </si>
  <si>
    <t xml:space="preserve">Schritt 5: </t>
  </si>
  <si>
    <t>Anzahl verfügbarer "Lernwochen" ausrechnen und hinterlegen</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</si>
  <si>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</si>
  <si>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6: </t>
  </si>
  <si>
    <t>Anzahl an Gesamt-Levelups ausrechnen und hinterlegen</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</si>
  <si>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</si>
  <si>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 xml:space="preserve">Schritt 7: </t>
  </si>
  <si>
    <t>Anzahl an Levelups pro Woche ausrechnen</t>
  </si>
  <si>
    <t xml:space="preserve">Schritt 8: </t>
  </si>
  <si>
    <t>Levelups von hinten nach vorne verteilen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</si>
  <si>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</si>
  <si>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</si>
  <si>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</si>
  <si>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</si>
  <si>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</si>
  <si>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</si>
  <si>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 xml:space="preserve">Schritt 11: </t>
  </si>
  <si>
    <t>Ende der Woche: Kenntnisstand pro Kapitel eintragen</t>
  </si>
  <si>
    <t xml:space="preserve">Schritt 12: </t>
  </si>
  <si>
    <t>Falls zu viel Zeit oder nicht genug Progress: In den Call kommen</t>
  </si>
  <si>
    <t>QM muss bei 50 sein, da im Semester mitgearbeitet wird. Alles Präsenz! Daher Leveups nur bei VWL</t>
  </si>
  <si>
    <t>4 Leveups QM</t>
  </si>
  <si>
    <t>13 Levelups VWL</t>
  </si>
  <si>
    <t>28 Levelups</t>
  </si>
  <si>
    <t>30 Leveups</t>
  </si>
  <si>
    <t>KW 20 (Alles fertig)</t>
  </si>
  <si>
    <t>^^</t>
  </si>
  <si>
    <t>^^^^</t>
  </si>
  <si>
    <t>17L-1L, da 5. Woche</t>
  </si>
  <si>
    <t>17-1L, da Qm (busy) 3/3</t>
  </si>
  <si>
    <t>17-1L, da Qm (busy) 2/3</t>
  </si>
  <si>
    <t>17-1L, da Qm (busy) 1/3</t>
  </si>
  <si>
    <t>17L normal</t>
  </si>
  <si>
    <t>17-1L (5Woche)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</si>
</sst>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i/>
      <sz val="12"/>
      <color theme="1"/>
      <name val="Calibri"/>
      <family val="2"/>
      <scheme val="minor"/>
    </font>
  </fonts>
  <fills count="9">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231B"/>
        <bgColor indexed="64"/>
      </patternFill>
    </fill>
    <fill>
      <patternFill patternType="solid">
        <fgColor theme="4"/>
        <bgColor indexed="64"/>
      </patternFill>
    </fill>
    <fill>
      <patternFill patternType="solid">
        <fgColor theme="4" tint="0.79998168889431442"/>
        <bgColor indexed="64"/>
      </patternFill>
    </fill>
    <fill>
      <patternFill patternType="solid">
        <fgColor rgb="FF00FF29"/>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14" fontId="0" fillId="4" borderId="0" xfId="0" applyNumberFormat="1" applyFill="1"/>
    <xf numFmtId="14" fontId="0" fillId="5" borderId="0" xfId="0" applyNumberFormat="1" applyFill="1"/>
    <xf numFmtId="0" fontId="0" fillId="6" borderId="0" xfId="0" applyFill="1"/>
    <xf numFmtId="0" fontId="0" fillId="7" borderId="0" xfId="0" applyFill="1"/>
    <xf numFmtId="0" fontId="0" fillId="8" borderId="0" xfId="0" applyFill="1"/>
    <xf numFmtId="0" fontId="6" fillId="7" borderId="0" xfId="0" applyFont="1" applyFill="1"/>
    <xf numFmtId="0" fontId="1" fillId="2" borderId="0" xfId="0" applyFont="1" applyFill="1" applyAlignment="1">
      <alignment horizontal="center"/>
    </xf>
  </cellXfs>
  <cellStyles count="1">
    <cellStyle name="Standard" xfId="0" builtinId="0"/>
  </cellStyles>
  <dxfs count="237">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FF231B"/>
      <color rgb="FF00FF29"/>
      <color rgb="FF56FF5E"/>
      <color rgb="FFC4FF87"/>
      <color rgb="FFFFDE7F"/>
      <color rgb="FFFF755A"/>
      <color rgb="FFFDFF05"/>
      <color rgb="FF10FF07"/>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236">
  <autoFilter ref="A1:K46" xr:uid="{6E266E34-2786-2747-BCE7-51B74867A564}"/>
  <tableColumns count="11">
    <tableColumn id="1" xr3:uid="{95FD92F7-3DC8-704D-A103-A7EDDAB255AB}" name="Datum" dataDxfId="235"/>
    <tableColumn id="2" xr3:uid="{F464D510-8166-E740-A343-FB84BDEF877F}" name="Lerneinheiten durchgezogen" dataDxfId="234"/>
    <tableColumn id="3" xr3:uid="{75F52B08-1A00-0848-BBE6-1EDF7B31B1AD}" name="Tagesplan erstellt" dataDxfId="233"/>
    <tableColumn id="4" xr3:uid="{E6B18D89-E799-AD48-9DAA-37AEE1D29011}" name="Konzentrationslevel" dataDxfId="23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35</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34</v>
      </c>
    </row>
    <row r="19" spans="2:2" ht="153" x14ac:dyDescent="0.2">
      <c r="B19" s="1" t="s">
        <v>36</v>
      </c>
    </row>
    <row r="21" spans="2:2" x14ac:dyDescent="0.2">
      <c r="B21" s="2" t="s">
        <v>21</v>
      </c>
    </row>
    <row r="22" spans="2:2" ht="136" x14ac:dyDescent="0.2">
      <c r="B22" s="1" t="s">
        <v>37</v>
      </c>
    </row>
    <row r="24" spans="2:2" x14ac:dyDescent="0.2">
      <c r="B24" s="2" t="s">
        <v>22</v>
      </c>
    </row>
    <row r="25" spans="2:2" ht="136" x14ac:dyDescent="0.2">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F4770-1141-4D46-945E-28A6983C69F9}">
  <dimension ref="A2:D17"/>
  <sheetViews>
    <sheetView zoomScale="110" zoomScaleNormal="130" workbookViewId="0">
      <selection activeCell="C11" sqref="C11"/>
    </sheetView>
  </sheetViews>
  <sheetFormatPr baseColWidth="10" defaultRowHeight="16" x14ac:dyDescent="0.2"/>
  <cols>
    <col min="1" max="1" width="11.83203125" customWidth="1"/>
    <col min="2" max="2" width="62.6640625" customWidth="1"/>
  </cols>
  <sheetData>
    <row r="2" spans="1:4" x14ac:dyDescent="0.2">
      <c r="C2" s="18" t="s">
        <v>144</v>
      </c>
    </row>
    <row r="3" spans="1:4" x14ac:dyDescent="0.2">
      <c r="C3" s="19" t="s">
        <v>145</v>
      </c>
    </row>
    <row r="4" spans="1:4" x14ac:dyDescent="0.2">
      <c r="C4" s="20" t="s">
        <v>146</v>
      </c>
    </row>
    <row r="5" spans="1:4" x14ac:dyDescent="0.2">
      <c r="A5" s="2" t="s">
        <v>147</v>
      </c>
      <c r="B5" s="2" t="s">
        <v>148</v>
      </c>
      <c r="C5" s="2" t="s">
        <v>149</v>
      </c>
      <c r="D5" s="2" t="s">
        <v>150</v>
      </c>
    </row>
    <row r="6" spans="1:4" x14ac:dyDescent="0.2">
      <c r="A6" t="s">
        <v>151</v>
      </c>
      <c r="B6" s="18" t="s">
        <v>152</v>
      </c>
      <c r="D6" t="s">
        <v>153</v>
      </c>
    </row>
    <row r="7" spans="1:4" x14ac:dyDescent="0.2">
      <c r="A7" t="s">
        <v>154</v>
      </c>
      <c r="B7" t="s">
        <v>155</v>
      </c>
      <c r="C7" s="20">
        <v>59</v>
      </c>
    </row>
    <row r="8" spans="1:4" x14ac:dyDescent="0.2">
      <c r="A8" t="s">
        <v>156</v>
      </c>
      <c r="B8" s="18" t="s">
        <v>157</v>
      </c>
      <c r="D8" t="s">
        <v>158</v>
      </c>
    </row>
    <row r="9" spans="1:4" x14ac:dyDescent="0.2">
      <c r="A9" t="s">
        <v>159</v>
      </c>
      <c r="B9" s="18" t="s">
        <v>160</v>
      </c>
      <c r="D9" t="s">
        <v>161</v>
      </c>
    </row>
    <row r="10" spans="1:4" x14ac:dyDescent="0.2">
      <c r="A10" t="s">
        <v>162</v>
      </c>
      <c r="B10" t="s">
        <v>163</v>
      </c>
      <c r="C10" s="20">
        <v>10</v>
      </c>
      <c r="D10" t="s">
        <v>164</v>
      </c>
    </row>
    <row r="11" spans="1:4" x14ac:dyDescent="0.2">
      <c r="A11" t="s">
        <v>165</v>
      </c>
      <c r="B11" t="s">
        <v>166</v>
      </c>
      <c r="C11" s="20">
        <v>168</v>
      </c>
      <c r="D11" t="s">
        <v>167</v>
      </c>
    </row>
    <row r="12" spans="1:4" x14ac:dyDescent="0.2">
      <c r="A12" t="s">
        <v>168</v>
      </c>
      <c r="B12" t="s">
        <v>169</v>
      </c>
      <c r="C12" s="21">
        <f>C11/C10</f>
        <v>16.8</v>
      </c>
    </row>
    <row r="13" spans="1:4" x14ac:dyDescent="0.2">
      <c r="A13" t="s">
        <v>170</v>
      </c>
      <c r="B13" t="s">
        <v>171</v>
      </c>
      <c r="D13" t="s">
        <v>172</v>
      </c>
    </row>
    <row r="14" spans="1:4" x14ac:dyDescent="0.2">
      <c r="A14" t="s">
        <v>173</v>
      </c>
      <c r="B14" t="s">
        <v>174</v>
      </c>
      <c r="D14" t="s">
        <v>175</v>
      </c>
    </row>
    <row r="15" spans="1:4" x14ac:dyDescent="0.2">
      <c r="A15" t="s">
        <v>176</v>
      </c>
      <c r="B15" s="18" t="s">
        <v>177</v>
      </c>
    </row>
    <row r="16" spans="1:4" x14ac:dyDescent="0.2">
      <c r="A16" t="s">
        <v>178</v>
      </c>
      <c r="B16" s="18" t="s">
        <v>179</v>
      </c>
    </row>
    <row r="17" spans="1:2" x14ac:dyDescent="0.2">
      <c r="A17" t="s">
        <v>180</v>
      </c>
      <c r="B17" t="s">
        <v>181</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FQ71"/>
  <sheetViews>
    <sheetView showGridLines="0" tabSelected="1" zoomScale="60" zoomScaleNormal="60" workbookViewId="0">
      <pane xSplit="7" topLeftCell="AQ1" activePane="topRight" state="frozen"/>
      <selection pane="topRight" activeCell="AW35" sqref="AW35"/>
    </sheetView>
  </sheetViews>
  <sheetFormatPr baseColWidth="10" defaultColWidth="8.83203125" defaultRowHeight="16" outlineLevelRow="1" x14ac:dyDescent="0.2"/>
  <cols>
    <col min="3" max="3" width="27.5"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 min="120" max="120" width="12.5" bestFit="1" customWidth="1"/>
    <col min="121" max="121" width="6.33203125" customWidth="1"/>
    <col min="122" max="122" width="14.83203125" bestFit="1" customWidth="1"/>
    <col min="123" max="123" width="6" customWidth="1"/>
    <col min="124" max="124" width="12.6640625" bestFit="1" customWidth="1"/>
    <col min="125" max="125" width="2.5" customWidth="1"/>
    <col min="127" max="127" width="12.5" bestFit="1" customWidth="1"/>
    <col min="128" max="128" width="6.33203125" customWidth="1"/>
    <col min="129" max="129" width="14.83203125" bestFit="1" customWidth="1"/>
    <col min="130" max="130" width="6" customWidth="1"/>
    <col min="131" max="131" width="12.6640625" bestFit="1" customWidth="1"/>
    <col min="132" max="132" width="2.5" customWidth="1"/>
    <col min="134" max="134" width="12.5" bestFit="1" customWidth="1"/>
    <col min="135" max="135" width="6.33203125" customWidth="1"/>
    <col min="136" max="136" width="14.83203125" bestFit="1" customWidth="1"/>
    <col min="137" max="137" width="6" customWidth="1"/>
    <col min="138" max="138" width="12.6640625" bestFit="1" customWidth="1"/>
    <col min="139" max="139" width="2.5" customWidth="1"/>
    <col min="141" max="141" width="12.5" bestFit="1" customWidth="1"/>
    <col min="142" max="142" width="6.33203125" customWidth="1"/>
    <col min="143" max="143" width="14.83203125" bestFit="1" customWidth="1"/>
    <col min="144" max="144" width="6" customWidth="1"/>
    <col min="145" max="145" width="12.6640625" bestFit="1" customWidth="1"/>
    <col min="146" max="146" width="2.5" customWidth="1"/>
    <col min="148" max="148" width="12.5" bestFit="1" customWidth="1"/>
    <col min="149" max="149" width="6.33203125" customWidth="1"/>
    <col min="150" max="150" width="14.83203125" bestFit="1" customWidth="1"/>
    <col min="151" max="151" width="6" customWidth="1"/>
    <col min="152" max="152" width="12.6640625" bestFit="1" customWidth="1"/>
    <col min="153" max="153" width="2.5" customWidth="1"/>
    <col min="155" max="155" width="12.5" bestFit="1" customWidth="1"/>
    <col min="156" max="156" width="6.33203125" customWidth="1"/>
    <col min="157" max="157" width="14.83203125" bestFit="1" customWidth="1"/>
    <col min="158" max="158" width="6" customWidth="1"/>
    <col min="159" max="159" width="12.6640625" bestFit="1" customWidth="1"/>
    <col min="160" max="160" width="2.5" customWidth="1"/>
    <col min="162" max="162" width="12.5" bestFit="1" customWidth="1"/>
    <col min="163" max="163" width="6.33203125" customWidth="1"/>
    <col min="164" max="164" width="14.83203125" bestFit="1" customWidth="1"/>
    <col min="165" max="165" width="6" customWidth="1"/>
    <col min="166" max="166" width="12.6640625" bestFit="1" customWidth="1"/>
    <col min="167" max="167" width="2.5" customWidth="1"/>
    <col min="169" max="169" width="12.5" bestFit="1" customWidth="1"/>
    <col min="170" max="170" width="6.33203125" customWidth="1"/>
    <col min="171" max="171" width="14.83203125" bestFit="1" customWidth="1"/>
    <col min="172" max="172" width="6" customWidth="1"/>
    <col min="173" max="173" width="12.6640625" bestFit="1" customWidth="1"/>
  </cols>
  <sheetData>
    <row r="1" spans="2:173" ht="34" x14ac:dyDescent="0.4">
      <c r="B1" s="4" t="s">
        <v>0</v>
      </c>
      <c r="D1" s="4"/>
      <c r="G1" s="13" t="s">
        <v>33</v>
      </c>
      <c r="I1" s="13" t="s">
        <v>33</v>
      </c>
      <c r="J1" s="13" t="s">
        <v>33</v>
      </c>
      <c r="K1" s="13" t="s">
        <v>33</v>
      </c>
      <c r="AU1">
        <v>168</v>
      </c>
      <c r="BB1" t="s">
        <v>195</v>
      </c>
      <c r="BI1" t="s">
        <v>194</v>
      </c>
      <c r="BP1" t="s">
        <v>193</v>
      </c>
      <c r="BW1" t="s">
        <v>192</v>
      </c>
      <c r="CD1" t="s">
        <v>191</v>
      </c>
      <c r="CK1" t="s">
        <v>190</v>
      </c>
    </row>
    <row r="2" spans="2:173" x14ac:dyDescent="0.2">
      <c r="I2" s="22" t="s">
        <v>27</v>
      </c>
      <c r="J2" s="22"/>
      <c r="K2" s="22"/>
      <c r="L2" s="22"/>
      <c r="N2" s="22" t="s">
        <v>78</v>
      </c>
      <c r="O2" s="22"/>
      <c r="P2" s="22"/>
      <c r="Q2" s="22"/>
      <c r="R2" s="22"/>
      <c r="S2" s="22"/>
      <c r="U2" s="22" t="s">
        <v>79</v>
      </c>
      <c r="V2" s="22"/>
      <c r="W2" s="22"/>
      <c r="X2" s="22"/>
      <c r="Y2" s="22"/>
      <c r="Z2" s="22"/>
      <c r="AB2" s="22" t="s">
        <v>80</v>
      </c>
      <c r="AC2" s="22"/>
      <c r="AD2" s="22"/>
      <c r="AE2" s="22"/>
      <c r="AF2" s="22"/>
      <c r="AG2" s="22"/>
      <c r="AI2" s="22" t="s">
        <v>81</v>
      </c>
      <c r="AJ2" s="22"/>
      <c r="AK2" s="22"/>
      <c r="AL2" s="22"/>
      <c r="AM2" s="22"/>
      <c r="AN2" s="22"/>
      <c r="AP2" s="22" t="s">
        <v>82</v>
      </c>
      <c r="AQ2" s="22"/>
      <c r="AR2" s="22"/>
      <c r="AS2" s="22"/>
      <c r="AT2" s="22"/>
      <c r="AU2" s="22"/>
      <c r="AW2" s="22" t="s">
        <v>83</v>
      </c>
      <c r="AX2" s="22"/>
      <c r="AY2" s="22"/>
      <c r="AZ2" s="22"/>
      <c r="BA2" s="22"/>
      <c r="BB2" s="22"/>
      <c r="BD2" s="22" t="s">
        <v>84</v>
      </c>
      <c r="BE2" s="22"/>
      <c r="BF2" s="22"/>
      <c r="BG2" s="22"/>
      <c r="BH2" s="22"/>
      <c r="BI2" s="22"/>
      <c r="BK2" s="22" t="s">
        <v>85</v>
      </c>
      <c r="BL2" s="22"/>
      <c r="BM2" s="22"/>
      <c r="BN2" s="22"/>
      <c r="BO2" s="22"/>
      <c r="BP2" s="22"/>
      <c r="BR2" s="22" t="s">
        <v>86</v>
      </c>
      <c r="BS2" s="22"/>
      <c r="BT2" s="22"/>
      <c r="BU2" s="22"/>
      <c r="BV2" s="22"/>
      <c r="BW2" s="22"/>
      <c r="BY2" s="22" t="s">
        <v>89</v>
      </c>
      <c r="BZ2" s="22"/>
      <c r="CA2" s="22"/>
      <c r="CB2" s="22"/>
      <c r="CC2" s="22"/>
      <c r="CD2" s="22"/>
      <c r="CF2" s="22" t="s">
        <v>141</v>
      </c>
      <c r="CG2" s="22"/>
      <c r="CH2" s="22"/>
      <c r="CI2" s="22"/>
      <c r="CJ2" s="22"/>
      <c r="CK2" s="22"/>
      <c r="CM2" s="22" t="s">
        <v>142</v>
      </c>
      <c r="CN2" s="22"/>
      <c r="CO2" s="22"/>
      <c r="CP2" s="22"/>
      <c r="CQ2" s="22"/>
      <c r="CR2" s="22"/>
      <c r="CT2" s="22" t="s">
        <v>87</v>
      </c>
      <c r="CU2" s="22"/>
      <c r="CV2" s="22"/>
      <c r="CW2" s="22"/>
      <c r="CX2" s="22"/>
      <c r="CY2" s="22"/>
      <c r="DA2" s="22" t="s">
        <v>88</v>
      </c>
      <c r="DB2" s="22"/>
      <c r="DC2" s="22"/>
      <c r="DD2" s="22"/>
      <c r="DE2" s="22"/>
      <c r="DF2" s="22"/>
      <c r="DH2" s="22" t="s">
        <v>140</v>
      </c>
      <c r="DI2" s="22"/>
      <c r="DJ2" s="22"/>
      <c r="DK2" s="22"/>
      <c r="DL2" s="22"/>
      <c r="DM2" s="22"/>
      <c r="DO2" s="22" t="s">
        <v>139</v>
      </c>
      <c r="DP2" s="22"/>
      <c r="DQ2" s="22"/>
      <c r="DR2" s="22"/>
      <c r="DS2" s="22"/>
      <c r="DT2" s="22"/>
      <c r="DV2" s="22" t="s">
        <v>128</v>
      </c>
      <c r="DW2" s="22"/>
      <c r="DX2" s="22"/>
      <c r="DY2" s="22"/>
      <c r="DZ2" s="22"/>
      <c r="EA2" s="22"/>
      <c r="EC2" s="22" t="s">
        <v>129</v>
      </c>
      <c r="ED2" s="22"/>
      <c r="EE2" s="22"/>
      <c r="EF2" s="22"/>
      <c r="EG2" s="22"/>
      <c r="EH2" s="22"/>
      <c r="EJ2" s="22" t="s">
        <v>130</v>
      </c>
      <c r="EK2" s="22"/>
      <c r="EL2" s="22"/>
      <c r="EM2" s="22"/>
      <c r="EN2" s="22"/>
      <c r="EO2" s="22"/>
      <c r="EQ2" s="22" t="s">
        <v>131</v>
      </c>
      <c r="ER2" s="22"/>
      <c r="ES2" s="22"/>
      <c r="ET2" s="22"/>
      <c r="EU2" s="22"/>
      <c r="EV2" s="22"/>
      <c r="EX2" s="22" t="s">
        <v>187</v>
      </c>
      <c r="EY2" s="22"/>
      <c r="EZ2" s="22"/>
      <c r="FA2" s="22"/>
      <c r="FB2" s="22"/>
      <c r="FC2" s="22"/>
      <c r="FE2" s="22" t="s">
        <v>133</v>
      </c>
      <c r="FF2" s="22"/>
      <c r="FG2" s="22"/>
      <c r="FH2" s="22"/>
      <c r="FI2" s="22"/>
      <c r="FJ2" s="22"/>
      <c r="FL2" s="22" t="s">
        <v>132</v>
      </c>
      <c r="FM2" s="22"/>
      <c r="FN2" s="22"/>
      <c r="FO2" s="22"/>
      <c r="FP2" s="22"/>
      <c r="FQ2" s="22"/>
    </row>
    <row r="3" spans="2:173" x14ac:dyDescent="0.2">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T3" s="5" t="s">
        <v>11</v>
      </c>
      <c r="CU3" s="5" t="s">
        <v>2</v>
      </c>
      <c r="CV3" s="5" t="s">
        <v>32</v>
      </c>
      <c r="CW3" s="5" t="s">
        <v>3</v>
      </c>
      <c r="CX3" s="5" t="s">
        <v>32</v>
      </c>
      <c r="CY3" s="5" t="s">
        <v>12</v>
      </c>
      <c r="DA3" s="5" t="s">
        <v>11</v>
      </c>
      <c r="DB3" s="5" t="s">
        <v>2</v>
      </c>
      <c r="DC3" s="5" t="s">
        <v>32</v>
      </c>
      <c r="DD3" s="5" t="s">
        <v>3</v>
      </c>
      <c r="DE3" s="5" t="s">
        <v>32</v>
      </c>
      <c r="DF3" s="5" t="s">
        <v>12</v>
      </c>
      <c r="DH3" s="5" t="s">
        <v>11</v>
      </c>
      <c r="DI3" s="5" t="s">
        <v>2</v>
      </c>
      <c r="DJ3" s="5" t="s">
        <v>32</v>
      </c>
      <c r="DK3" s="5" t="s">
        <v>3</v>
      </c>
      <c r="DL3" s="5" t="s">
        <v>32</v>
      </c>
      <c r="DM3" s="5" t="s">
        <v>12</v>
      </c>
      <c r="DO3" s="5" t="s">
        <v>11</v>
      </c>
      <c r="DP3" s="5" t="s">
        <v>2</v>
      </c>
      <c r="DQ3" s="5" t="s">
        <v>32</v>
      </c>
      <c r="DR3" s="5" t="s">
        <v>3</v>
      </c>
      <c r="DS3" s="5" t="s">
        <v>32</v>
      </c>
      <c r="DT3" s="5" t="s">
        <v>12</v>
      </c>
      <c r="DV3" s="5" t="s">
        <v>11</v>
      </c>
      <c r="DW3" s="5" t="s">
        <v>2</v>
      </c>
      <c r="DX3" s="5" t="s">
        <v>32</v>
      </c>
      <c r="DY3" s="5" t="s">
        <v>3</v>
      </c>
      <c r="DZ3" s="5" t="s">
        <v>32</v>
      </c>
      <c r="EA3" s="5" t="s">
        <v>12</v>
      </c>
      <c r="EC3" s="5" t="s">
        <v>11</v>
      </c>
      <c r="ED3" s="5" t="s">
        <v>2</v>
      </c>
      <c r="EE3" s="5" t="s">
        <v>32</v>
      </c>
      <c r="EF3" s="5" t="s">
        <v>3</v>
      </c>
      <c r="EG3" s="5" t="s">
        <v>32</v>
      </c>
      <c r="EH3" s="5" t="s">
        <v>12</v>
      </c>
      <c r="EJ3" s="5" t="s">
        <v>11</v>
      </c>
      <c r="EK3" s="5" t="s">
        <v>2</v>
      </c>
      <c r="EL3" s="5" t="s">
        <v>32</v>
      </c>
      <c r="EM3" s="5" t="s">
        <v>3</v>
      </c>
      <c r="EN3" s="5" t="s">
        <v>32</v>
      </c>
      <c r="EO3" s="5" t="s">
        <v>12</v>
      </c>
      <c r="EQ3" s="5" t="s">
        <v>11</v>
      </c>
      <c r="ER3" s="5" t="s">
        <v>2</v>
      </c>
      <c r="ES3" s="5" t="s">
        <v>32</v>
      </c>
      <c r="ET3" s="5" t="s">
        <v>3</v>
      </c>
      <c r="EU3" s="5" t="s">
        <v>32</v>
      </c>
      <c r="EV3" s="5" t="s">
        <v>12</v>
      </c>
      <c r="EX3" s="5" t="s">
        <v>11</v>
      </c>
      <c r="EY3" s="5" t="s">
        <v>2</v>
      </c>
      <c r="EZ3" s="5" t="s">
        <v>32</v>
      </c>
      <c r="FA3" s="5" t="s">
        <v>3</v>
      </c>
      <c r="FB3" s="5" t="s">
        <v>32</v>
      </c>
      <c r="FC3" s="5" t="s">
        <v>12</v>
      </c>
      <c r="FE3" s="5" t="s">
        <v>11</v>
      </c>
      <c r="FF3" s="5" t="s">
        <v>2</v>
      </c>
      <c r="FG3" s="5" t="s">
        <v>32</v>
      </c>
      <c r="FH3" s="5" t="s">
        <v>3</v>
      </c>
      <c r="FI3" s="5" t="s">
        <v>32</v>
      </c>
      <c r="FJ3" s="5" t="s">
        <v>12</v>
      </c>
      <c r="FL3" s="5" t="s">
        <v>11</v>
      </c>
      <c r="FM3" s="5" t="s">
        <v>2</v>
      </c>
      <c r="FN3" s="5" t="s">
        <v>32</v>
      </c>
      <c r="FO3" s="5" t="s">
        <v>3</v>
      </c>
      <c r="FP3" s="5" t="s">
        <v>32</v>
      </c>
      <c r="FQ3" s="5" t="s">
        <v>12</v>
      </c>
    </row>
    <row r="4" spans="2:173" x14ac:dyDescent="0.2">
      <c r="B4" t="s">
        <v>27</v>
      </c>
      <c r="C4" t="s">
        <v>49</v>
      </c>
      <c r="D4" s="16">
        <v>44905</v>
      </c>
      <c r="E4" s="9">
        <v>6</v>
      </c>
      <c r="G4" s="10">
        <f>+SUM(G5:G14)</f>
        <v>0.99999999999999989</v>
      </c>
      <c r="I4" s="12">
        <f>+SUM(I5:I14)</f>
        <v>0</v>
      </c>
      <c r="J4" s="11">
        <f>+SUMPRODUCT(G5:G15,J5:J15)</f>
        <v>0.1</v>
      </c>
      <c r="K4" s="11">
        <f>+SUMPRODUCT(G5:G15,K5:K15)</f>
        <v>0.1</v>
      </c>
      <c r="L4" s="9"/>
      <c r="N4" s="12">
        <v>9.6</v>
      </c>
      <c r="U4" s="12">
        <f>+SUM(U5:U14)</f>
        <v>0</v>
      </c>
      <c r="AB4" s="12">
        <f>+SUM(AB5:AB14)</f>
        <v>0</v>
      </c>
      <c r="AI4" s="12">
        <f>+SUM(AI5:AI14)</f>
        <v>0</v>
      </c>
      <c r="AP4" s="12">
        <f>+SUM(AP5:AP14)</f>
        <v>0</v>
      </c>
      <c r="AU4" t="s">
        <v>185</v>
      </c>
      <c r="AW4" s="12">
        <f>+SUM(AW5:AW14)</f>
        <v>0</v>
      </c>
      <c r="BD4" s="12">
        <f>+SUM(BD5:BD14)</f>
        <v>0</v>
      </c>
      <c r="BK4" s="12">
        <f>+SUM(BK5:BK14)</f>
        <v>0</v>
      </c>
      <c r="BR4" s="12">
        <f>+SUM(BR5:BR14)</f>
        <v>0</v>
      </c>
      <c r="BY4" s="12">
        <f>+SUM(BY5:BY14)</f>
        <v>0</v>
      </c>
      <c r="CF4" s="12">
        <f>+SUM(CF5:CF14)</f>
        <v>0</v>
      </c>
      <c r="CM4" s="12">
        <f>+SUM(CM5:CM14)</f>
        <v>0</v>
      </c>
      <c r="CT4" s="12">
        <f>+SUM(CT5:CT14)</f>
        <v>0</v>
      </c>
      <c r="DA4" s="12">
        <f>+SUM(DA5:DA14)</f>
        <v>0</v>
      </c>
      <c r="DH4" s="12">
        <f>+SUM(DH5:DH14)</f>
        <v>0</v>
      </c>
      <c r="DO4" s="12">
        <f>+SUM(DO5:DO14)</f>
        <v>0</v>
      </c>
      <c r="DV4" s="12">
        <f>+SUM(DV5:DV14)</f>
        <v>0</v>
      </c>
      <c r="EC4" s="12">
        <f>+SUM(EC5:EC14)</f>
        <v>0</v>
      </c>
      <c r="EJ4" s="12">
        <f>+SUM(EJ5:EJ14)</f>
        <v>0</v>
      </c>
      <c r="EQ4" s="12">
        <f>+SUM(EQ5:EQ14)</f>
        <v>0</v>
      </c>
      <c r="EX4" s="12">
        <f>+SUM(EX5:EX14)</f>
        <v>0</v>
      </c>
      <c r="FE4" s="12">
        <f>+SUM(FE5:FE14)</f>
        <v>0</v>
      </c>
      <c r="FL4" s="12">
        <f>+SUM(FL5:FL14)</f>
        <v>0</v>
      </c>
    </row>
    <row r="5" spans="2:173" outlineLevel="1" x14ac:dyDescent="0.2">
      <c r="B5" t="s">
        <v>28</v>
      </c>
      <c r="C5" t="s">
        <v>49</v>
      </c>
      <c r="E5" s="9"/>
      <c r="F5" t="s">
        <v>50</v>
      </c>
      <c r="G5" s="10">
        <v>0.15</v>
      </c>
      <c r="I5" s="9">
        <f t="shared" ref="I5:I13" si="0">+SUMIF($N$3:$ZZ$3,I$3,$N5:$ZZ5)</f>
        <v>0</v>
      </c>
      <c r="J5" s="11" cm="1">
        <f t="array" ref="J5">MAX(IF($N$3:$EH$3=$J$3,N5:EH5))</f>
        <v>0.5</v>
      </c>
      <c r="K5" s="11" cm="1">
        <f t="array" ref="K5">MAX(IF($N$3:$EH$3=$J$3,N5:EH5))</f>
        <v>0.5</v>
      </c>
      <c r="L5" s="9"/>
      <c r="O5" s="10"/>
      <c r="P5" s="10"/>
      <c r="Q5" s="10"/>
      <c r="R5" s="10"/>
      <c r="V5" s="10"/>
      <c r="W5" s="10"/>
      <c r="X5" s="10"/>
      <c r="Y5" s="10"/>
      <c r="AC5" s="10"/>
      <c r="AD5" s="10"/>
      <c r="AE5" s="10"/>
      <c r="AF5" s="10"/>
      <c r="AJ5" s="10">
        <v>0.5</v>
      </c>
      <c r="AK5" s="10">
        <v>0.5</v>
      </c>
      <c r="AL5" s="10">
        <v>0.5</v>
      </c>
      <c r="AM5" s="10">
        <v>0.5</v>
      </c>
      <c r="AQ5" s="10">
        <v>0.5</v>
      </c>
      <c r="AR5" s="10">
        <v>0.5</v>
      </c>
      <c r="AS5" s="10">
        <v>0.5</v>
      </c>
      <c r="AT5" s="10">
        <v>0.5</v>
      </c>
      <c r="AW5" t="s">
        <v>188</v>
      </c>
      <c r="AX5" s="10">
        <v>0.5</v>
      </c>
      <c r="AY5" s="10">
        <v>0.8</v>
      </c>
      <c r="AZ5" s="10">
        <v>0.5</v>
      </c>
      <c r="BA5" s="10">
        <v>0.8</v>
      </c>
      <c r="BD5" t="s">
        <v>188</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c r="CN5" s="10"/>
      <c r="CO5" s="10">
        <v>1</v>
      </c>
      <c r="CP5" s="10"/>
      <c r="CQ5" s="10">
        <v>1</v>
      </c>
      <c r="CU5" s="10"/>
      <c r="CV5" s="10">
        <v>1</v>
      </c>
      <c r="CW5" s="10"/>
      <c r="CX5" s="10">
        <v>1</v>
      </c>
      <c r="DB5" s="10"/>
      <c r="DC5" s="10">
        <v>1</v>
      </c>
      <c r="DD5" s="10"/>
      <c r="DE5" s="10">
        <v>1</v>
      </c>
      <c r="DI5" s="10"/>
      <c r="DJ5" s="10">
        <v>1</v>
      </c>
      <c r="DK5" s="10"/>
      <c r="DL5" s="10">
        <v>1</v>
      </c>
      <c r="DP5" s="10"/>
      <c r="DQ5" s="10">
        <v>1</v>
      </c>
      <c r="DR5" s="10"/>
      <c r="DS5" s="10">
        <v>1</v>
      </c>
      <c r="DW5" s="10"/>
      <c r="DX5" s="10"/>
      <c r="DY5" s="10"/>
      <c r="DZ5" s="10"/>
      <c r="ED5" s="10"/>
      <c r="EE5" s="10"/>
      <c r="EF5" s="10"/>
      <c r="EG5" s="10"/>
      <c r="EK5" s="10"/>
      <c r="EL5" s="10"/>
      <c r="EM5" s="10"/>
      <c r="EN5" s="10"/>
      <c r="ER5" s="10"/>
      <c r="ES5" s="10"/>
      <c r="ET5" s="10"/>
      <c r="EU5" s="10"/>
      <c r="EY5" s="10"/>
      <c r="EZ5" s="10"/>
      <c r="FA5" s="10"/>
      <c r="FB5" s="10"/>
      <c r="FF5" s="10"/>
      <c r="FG5" s="10"/>
      <c r="FH5" s="10"/>
      <c r="FI5" s="10"/>
      <c r="FM5" s="10"/>
      <c r="FN5" s="10"/>
      <c r="FO5" s="10"/>
      <c r="FP5" s="10"/>
    </row>
    <row r="6" spans="2:173" outlineLevel="1" x14ac:dyDescent="0.2">
      <c r="B6" t="s">
        <v>28</v>
      </c>
      <c r="C6" t="s">
        <v>49</v>
      </c>
      <c r="E6" s="9"/>
      <c r="F6" t="s">
        <v>51</v>
      </c>
      <c r="G6" s="10">
        <v>0.05</v>
      </c>
      <c r="I6" s="9">
        <f t="shared" si="0"/>
        <v>0</v>
      </c>
      <c r="J6" s="11" cm="1">
        <f t="array" ref="J6">MAX(IF($N$3:$EH$3=$J$3,N6:EH6))</f>
        <v>0.5</v>
      </c>
      <c r="K6" s="11" cm="1">
        <f t="array" ref="K6">MAX(IF($N$3:$EH$3=$J$3,N6:EH6))</f>
        <v>0.5</v>
      </c>
      <c r="L6" s="9"/>
      <c r="O6" s="10"/>
      <c r="P6" s="10"/>
      <c r="Q6" s="10"/>
      <c r="R6" s="10"/>
      <c r="V6" s="10"/>
      <c r="W6" s="10"/>
      <c r="X6" s="10"/>
      <c r="Y6" s="10"/>
      <c r="AC6" s="10"/>
      <c r="AD6" s="10"/>
      <c r="AE6" s="10"/>
      <c r="AF6" s="10"/>
      <c r="AJ6" s="10">
        <v>0.5</v>
      </c>
      <c r="AK6" s="10">
        <v>0.5</v>
      </c>
      <c r="AL6" s="10">
        <v>0.5</v>
      </c>
      <c r="AM6" s="10">
        <v>0.5</v>
      </c>
      <c r="AQ6" s="10">
        <v>0.5</v>
      </c>
      <c r="AR6" s="10">
        <v>0.5</v>
      </c>
      <c r="AS6" s="10">
        <v>0.5</v>
      </c>
      <c r="AT6" s="10">
        <v>0.5</v>
      </c>
      <c r="AW6" t="s">
        <v>188</v>
      </c>
      <c r="AX6" s="10">
        <v>0.5</v>
      </c>
      <c r="AY6" s="10">
        <v>0.8</v>
      </c>
      <c r="AZ6" s="10">
        <v>0.5</v>
      </c>
      <c r="BA6" s="10">
        <v>0.8</v>
      </c>
      <c r="BD6" t="s">
        <v>188</v>
      </c>
      <c r="BE6" s="10"/>
      <c r="BF6" s="10">
        <v>1</v>
      </c>
      <c r="BG6" s="10"/>
      <c r="BH6" s="10">
        <v>1</v>
      </c>
      <c r="BL6" s="10"/>
      <c r="BM6" s="10">
        <v>1</v>
      </c>
      <c r="BN6" s="10"/>
      <c r="BO6" s="10">
        <v>1</v>
      </c>
      <c r="BS6" s="10"/>
      <c r="BT6" s="10">
        <v>1</v>
      </c>
      <c r="BU6" s="10"/>
      <c r="BV6" s="10">
        <v>1</v>
      </c>
      <c r="BZ6" s="10"/>
      <c r="CA6" s="10">
        <v>1</v>
      </c>
      <c r="CB6" s="10"/>
      <c r="CC6" s="10">
        <v>1</v>
      </c>
      <c r="CG6" s="10"/>
      <c r="CH6" s="10">
        <v>1</v>
      </c>
      <c r="CI6" s="10"/>
      <c r="CJ6" s="10">
        <v>1</v>
      </c>
      <c r="CN6" s="10"/>
      <c r="CO6" s="10">
        <v>1</v>
      </c>
      <c r="CP6" s="10"/>
      <c r="CQ6" s="10">
        <v>1</v>
      </c>
      <c r="CU6" s="10"/>
      <c r="CV6" s="10">
        <v>1</v>
      </c>
      <c r="CW6" s="10"/>
      <c r="CX6" s="10">
        <v>1</v>
      </c>
      <c r="DB6" s="10"/>
      <c r="DC6" s="10">
        <v>1</v>
      </c>
      <c r="DD6" s="10"/>
      <c r="DE6" s="10">
        <v>1</v>
      </c>
      <c r="DI6" s="10"/>
      <c r="DJ6" s="10">
        <v>1</v>
      </c>
      <c r="DK6" s="10"/>
      <c r="DL6" s="10">
        <v>1</v>
      </c>
      <c r="DP6" s="10"/>
      <c r="DQ6" s="10">
        <v>1</v>
      </c>
      <c r="DR6" s="10"/>
      <c r="DS6" s="10">
        <v>1</v>
      </c>
      <c r="DW6" s="10"/>
      <c r="DX6" s="10"/>
      <c r="DY6" s="10"/>
      <c r="DZ6" s="10"/>
      <c r="ED6" s="10"/>
      <c r="EE6" s="10"/>
      <c r="EF6" s="10"/>
      <c r="EG6" s="10"/>
      <c r="EK6" s="10"/>
      <c r="EL6" s="10"/>
      <c r="EM6" s="10"/>
      <c r="EN6" s="10"/>
      <c r="ER6" s="10"/>
      <c r="ES6" s="10"/>
      <c r="ET6" s="10"/>
      <c r="EU6" s="10"/>
      <c r="EY6" s="10"/>
      <c r="EZ6" s="10"/>
      <c r="FA6" s="10"/>
      <c r="FB6" s="10"/>
      <c r="FF6" s="10"/>
      <c r="FG6" s="10"/>
      <c r="FH6" s="10"/>
      <c r="FI6" s="10"/>
      <c r="FM6" s="10"/>
      <c r="FN6" s="10"/>
      <c r="FO6" s="10"/>
      <c r="FP6" s="10"/>
    </row>
    <row r="7" spans="2:173" outlineLevel="1" x14ac:dyDescent="0.2">
      <c r="B7" t="s">
        <v>28</v>
      </c>
      <c r="C7" t="s">
        <v>49</v>
      </c>
      <c r="E7" s="9"/>
      <c r="F7" t="s">
        <v>52</v>
      </c>
      <c r="G7" s="10">
        <v>0.1</v>
      </c>
      <c r="I7" s="9">
        <f t="shared" si="0"/>
        <v>0</v>
      </c>
      <c r="J7" s="11" cm="1">
        <f t="array" ref="J7">MAX(IF($N$3:$EH$3=$J$3,N7:EH7))</f>
        <v>0</v>
      </c>
      <c r="K7" s="11" cm="1">
        <f t="array" ref="K7">MAX(IF($N$3:$EH$3=$J$3,N7:EH7))</f>
        <v>0</v>
      </c>
      <c r="L7" s="9"/>
      <c r="O7" s="10"/>
      <c r="P7" s="10"/>
      <c r="Q7" s="10"/>
      <c r="R7" s="10"/>
      <c r="V7" s="10"/>
      <c r="W7" s="10"/>
      <c r="X7" s="10"/>
      <c r="Y7" s="10"/>
      <c r="AC7" s="10"/>
      <c r="AD7" s="10"/>
      <c r="AE7" s="10"/>
      <c r="AF7" s="10"/>
      <c r="AJ7" s="10"/>
      <c r="AK7" s="10"/>
      <c r="AL7" s="10"/>
      <c r="AM7" s="10"/>
      <c r="AQ7" s="10"/>
      <c r="AR7" s="10"/>
      <c r="AS7" s="10"/>
      <c r="AT7" s="10"/>
      <c r="AW7" t="s">
        <v>188</v>
      </c>
      <c r="AX7" s="10"/>
      <c r="AY7" s="10">
        <v>0.5</v>
      </c>
      <c r="AZ7" s="10"/>
      <c r="BA7" s="10">
        <v>0.5</v>
      </c>
      <c r="BD7" t="s">
        <v>188</v>
      </c>
      <c r="BE7" s="10"/>
      <c r="BF7" s="10">
        <v>0.8</v>
      </c>
      <c r="BG7" s="10"/>
      <c r="BH7" s="10">
        <v>0.8</v>
      </c>
      <c r="BK7" t="s">
        <v>188</v>
      </c>
      <c r="BL7" s="10"/>
      <c r="BM7" s="10">
        <v>1</v>
      </c>
      <c r="BN7" s="10"/>
      <c r="BO7" s="10">
        <v>1</v>
      </c>
      <c r="BS7" s="10"/>
      <c r="BT7" s="10">
        <v>1</v>
      </c>
      <c r="BU7" s="10"/>
      <c r="BV7" s="10">
        <v>1</v>
      </c>
      <c r="BZ7" s="10"/>
      <c r="CA7" s="10">
        <v>1</v>
      </c>
      <c r="CB7" s="10"/>
      <c r="CC7" s="10">
        <v>1</v>
      </c>
      <c r="CG7" s="10"/>
      <c r="CH7" s="10">
        <v>1</v>
      </c>
      <c r="CI7" s="10"/>
      <c r="CJ7" s="10">
        <v>1</v>
      </c>
      <c r="CN7" s="10"/>
      <c r="CO7" s="10">
        <v>1</v>
      </c>
      <c r="CP7" s="10"/>
      <c r="CQ7" s="10">
        <v>1</v>
      </c>
      <c r="CU7" s="10"/>
      <c r="CV7" s="10">
        <v>1</v>
      </c>
      <c r="CW7" s="10"/>
      <c r="CX7" s="10">
        <v>1</v>
      </c>
      <c r="DB7" s="10"/>
      <c r="DC7" s="10">
        <v>1</v>
      </c>
      <c r="DD7" s="10"/>
      <c r="DE7" s="10">
        <v>1</v>
      </c>
      <c r="DI7" s="10"/>
      <c r="DJ7" s="10">
        <v>1</v>
      </c>
      <c r="DK7" s="10"/>
      <c r="DL7" s="10">
        <v>1</v>
      </c>
      <c r="DP7" s="10"/>
      <c r="DQ7" s="10">
        <v>1</v>
      </c>
      <c r="DR7" s="10"/>
      <c r="DS7" s="10">
        <v>1</v>
      </c>
      <c r="DW7" s="10"/>
      <c r="DX7" s="10"/>
      <c r="DY7" s="10"/>
      <c r="DZ7" s="10"/>
      <c r="ED7" s="10"/>
      <c r="EE7" s="10"/>
      <c r="EF7" s="10"/>
      <c r="EG7" s="10"/>
      <c r="EK7" s="10"/>
      <c r="EL7" s="10"/>
      <c r="EM7" s="10"/>
      <c r="EN7" s="10"/>
      <c r="ER7" s="10"/>
      <c r="ES7" s="10"/>
      <c r="ET7" s="10"/>
      <c r="EU7" s="10"/>
      <c r="EY7" s="10"/>
      <c r="EZ7" s="10"/>
      <c r="FA7" s="10"/>
      <c r="FB7" s="10"/>
      <c r="FF7" s="10"/>
      <c r="FG7" s="10"/>
      <c r="FH7" s="10"/>
      <c r="FI7" s="10"/>
      <c r="FM7" s="10"/>
      <c r="FN7" s="10"/>
      <c r="FO7" s="10"/>
      <c r="FP7" s="10"/>
    </row>
    <row r="8" spans="2:173" outlineLevel="1" x14ac:dyDescent="0.2">
      <c r="B8" t="s">
        <v>28</v>
      </c>
      <c r="C8" t="s">
        <v>49</v>
      </c>
      <c r="E8" s="9"/>
      <c r="F8" t="s">
        <v>53</v>
      </c>
      <c r="G8" s="10">
        <v>0.1</v>
      </c>
      <c r="I8" s="9">
        <f t="shared" si="0"/>
        <v>0</v>
      </c>
      <c r="J8" s="11" cm="1">
        <f t="array" ref="J8">MAX(IF($N$3:$EH$3=$J$3,N8:EH8))</f>
        <v>0</v>
      </c>
      <c r="K8" s="11" cm="1">
        <f t="array" ref="K8">MAX(IF($N$3:$EH$3=$J$3,N8:EH8))</f>
        <v>0</v>
      </c>
      <c r="L8" s="9"/>
      <c r="O8" s="10"/>
      <c r="P8" s="10"/>
      <c r="Q8" s="10"/>
      <c r="R8" s="10"/>
      <c r="V8" s="10"/>
      <c r="W8" s="10"/>
      <c r="X8" s="10"/>
      <c r="Y8" s="10"/>
      <c r="AC8" s="10"/>
      <c r="AD8" s="10"/>
      <c r="AE8" s="10"/>
      <c r="AF8" s="10"/>
      <c r="AJ8" s="10"/>
      <c r="AK8" s="10"/>
      <c r="AL8" s="10"/>
      <c r="AM8" s="10"/>
      <c r="AQ8" s="10"/>
      <c r="AR8" s="10"/>
      <c r="AS8" s="10"/>
      <c r="AT8" s="10"/>
      <c r="AX8" s="10"/>
      <c r="AY8" s="10"/>
      <c r="AZ8" s="10"/>
      <c r="BA8" s="10"/>
      <c r="BD8" t="s">
        <v>188</v>
      </c>
      <c r="BE8" s="10"/>
      <c r="BF8" s="10">
        <v>0.5</v>
      </c>
      <c r="BG8" s="10"/>
      <c r="BH8" s="10">
        <v>0.5</v>
      </c>
      <c r="BK8" t="s">
        <v>188</v>
      </c>
      <c r="BL8" s="10"/>
      <c r="BM8" s="10">
        <v>0.8</v>
      </c>
      <c r="BN8" s="10"/>
      <c r="BO8" s="10">
        <v>0.8</v>
      </c>
      <c r="BS8" s="10"/>
      <c r="BT8" s="10">
        <v>0.8</v>
      </c>
      <c r="BU8" s="10"/>
      <c r="BV8" s="10">
        <v>0.8</v>
      </c>
      <c r="BY8" t="s">
        <v>188</v>
      </c>
      <c r="BZ8" s="10"/>
      <c r="CA8" s="10">
        <v>1</v>
      </c>
      <c r="CB8" s="10"/>
      <c r="CC8" s="10">
        <v>1</v>
      </c>
      <c r="CG8" s="10"/>
      <c r="CH8" s="10">
        <v>1</v>
      </c>
      <c r="CI8" s="10"/>
      <c r="CJ8" s="10">
        <v>1</v>
      </c>
      <c r="CN8" s="10"/>
      <c r="CO8" s="10">
        <v>1</v>
      </c>
      <c r="CP8" s="10"/>
      <c r="CQ8" s="10">
        <v>1</v>
      </c>
      <c r="CU8" s="10"/>
      <c r="CV8" s="10">
        <v>1</v>
      </c>
      <c r="CW8" s="10"/>
      <c r="CX8" s="10">
        <v>1</v>
      </c>
      <c r="DB8" s="10"/>
      <c r="DC8" s="10">
        <v>1</v>
      </c>
      <c r="DD8" s="10"/>
      <c r="DE8" s="10">
        <v>1</v>
      </c>
      <c r="DI8" s="10"/>
      <c r="DJ8" s="10">
        <v>1</v>
      </c>
      <c r="DK8" s="10"/>
      <c r="DL8" s="10">
        <v>1</v>
      </c>
      <c r="DP8" s="10"/>
      <c r="DQ8" s="10">
        <v>1</v>
      </c>
      <c r="DR8" s="10"/>
      <c r="DS8" s="10">
        <v>1</v>
      </c>
      <c r="DW8" s="10"/>
      <c r="DX8" s="10"/>
      <c r="DY8" s="10"/>
      <c r="DZ8" s="10"/>
      <c r="ED8" s="10"/>
      <c r="EE8" s="10"/>
      <c r="EF8" s="10"/>
      <c r="EG8" s="10"/>
      <c r="EK8" s="10"/>
      <c r="EL8" s="10"/>
      <c r="EM8" s="10"/>
      <c r="EN8" s="10"/>
      <c r="ER8" s="10"/>
      <c r="ES8" s="10"/>
      <c r="ET8" s="10"/>
      <c r="EU8" s="10"/>
      <c r="EY8" s="10"/>
      <c r="EZ8" s="10"/>
      <c r="FA8" s="10"/>
      <c r="FB8" s="10"/>
      <c r="FF8" s="10"/>
      <c r="FG8" s="10"/>
      <c r="FH8" s="10"/>
      <c r="FI8" s="10"/>
      <c r="FM8" s="10"/>
      <c r="FN8" s="10"/>
      <c r="FO8" s="10"/>
      <c r="FP8" s="10"/>
    </row>
    <row r="9" spans="2:173" outlineLevel="1" x14ac:dyDescent="0.2">
      <c r="B9" t="s">
        <v>28</v>
      </c>
      <c r="C9" t="s">
        <v>49</v>
      </c>
      <c r="E9" s="9"/>
      <c r="F9" t="s">
        <v>54</v>
      </c>
      <c r="G9" s="10">
        <v>0.1</v>
      </c>
      <c r="I9" s="9">
        <f t="shared" si="0"/>
        <v>0</v>
      </c>
      <c r="J9" s="11" cm="1">
        <f t="array" ref="J9">MAX(IF($N$3:$EH$3=$J$3,N9:EH9))</f>
        <v>0</v>
      </c>
      <c r="K9" s="11" cm="1">
        <f t="array" ref="K9">MAX(IF($N$3:$EH$3=$J$3,N9:EH9))</f>
        <v>0</v>
      </c>
      <c r="L9" s="9"/>
      <c r="O9" s="10"/>
      <c r="P9" s="10"/>
      <c r="Q9" s="10"/>
      <c r="R9" s="10"/>
      <c r="V9" s="10"/>
      <c r="W9" s="10"/>
      <c r="X9" s="10"/>
      <c r="Y9" s="10"/>
      <c r="AC9" s="10"/>
      <c r="AD9" s="10"/>
      <c r="AE9" s="10"/>
      <c r="AF9" s="10"/>
      <c r="AJ9" s="10"/>
      <c r="AK9" s="10"/>
      <c r="AL9" s="10"/>
      <c r="AM9" s="10"/>
      <c r="AQ9" s="10"/>
      <c r="AR9" s="10"/>
      <c r="AS9" s="10"/>
      <c r="AT9" s="10"/>
      <c r="AX9" s="10"/>
      <c r="AY9" s="10"/>
      <c r="AZ9" s="10"/>
      <c r="BA9" s="10"/>
      <c r="BD9" t="s">
        <v>188</v>
      </c>
      <c r="BE9" s="10"/>
      <c r="BF9" s="10">
        <v>0.5</v>
      </c>
      <c r="BG9" s="10"/>
      <c r="BH9" s="10">
        <v>0.5</v>
      </c>
      <c r="BK9" t="s">
        <v>188</v>
      </c>
      <c r="BL9" s="10"/>
      <c r="BM9" s="10">
        <v>0.8</v>
      </c>
      <c r="BN9" s="10"/>
      <c r="BO9" s="10">
        <v>0.8</v>
      </c>
      <c r="BS9" s="10"/>
      <c r="BT9" s="10">
        <v>0.8</v>
      </c>
      <c r="BU9" s="10"/>
      <c r="BV9" s="10">
        <v>0.8</v>
      </c>
      <c r="BY9" t="s">
        <v>188</v>
      </c>
      <c r="BZ9" s="10"/>
      <c r="CA9" s="10">
        <v>1</v>
      </c>
      <c r="CB9" s="10"/>
      <c r="CC9" s="10">
        <v>1</v>
      </c>
      <c r="CG9" s="10"/>
      <c r="CH9" s="10">
        <v>1</v>
      </c>
      <c r="CI9" s="10"/>
      <c r="CJ9" s="10">
        <v>1</v>
      </c>
      <c r="CN9" s="10"/>
      <c r="CO9" s="10">
        <v>1</v>
      </c>
      <c r="CP9" s="10"/>
      <c r="CQ9" s="10">
        <v>1</v>
      </c>
      <c r="CU9" s="10"/>
      <c r="CV9" s="10">
        <v>1</v>
      </c>
      <c r="CW9" s="10"/>
      <c r="CX9" s="10">
        <v>1</v>
      </c>
      <c r="DB9" s="10"/>
      <c r="DC9" s="10">
        <v>1</v>
      </c>
      <c r="DD9" s="10"/>
      <c r="DE9" s="10">
        <v>1</v>
      </c>
      <c r="DI9" s="10"/>
      <c r="DJ9" s="10">
        <v>1</v>
      </c>
      <c r="DK9" s="10"/>
      <c r="DL9" s="10">
        <v>1</v>
      </c>
      <c r="DP9" s="10"/>
      <c r="DQ9" s="10">
        <v>1</v>
      </c>
      <c r="DR9" s="10"/>
      <c r="DS9" s="10">
        <v>1</v>
      </c>
      <c r="DW9" s="10"/>
      <c r="DX9" s="10"/>
      <c r="DY9" s="10"/>
      <c r="DZ9" s="10"/>
      <c r="ED9" s="10"/>
      <c r="EE9" s="10"/>
      <c r="EF9" s="10"/>
      <c r="EG9" s="10"/>
      <c r="EK9" s="10"/>
      <c r="EL9" s="10"/>
      <c r="EM9" s="10"/>
      <c r="EN9" s="10"/>
      <c r="ER9" s="10"/>
      <c r="ES9" s="10"/>
      <c r="ET9" s="10"/>
      <c r="EU9" s="10"/>
      <c r="EY9" s="10"/>
      <c r="EZ9" s="10"/>
      <c r="FA9" s="10"/>
      <c r="FB9" s="10"/>
      <c r="FF9" s="10"/>
      <c r="FG9" s="10"/>
      <c r="FH9" s="10"/>
      <c r="FI9" s="10"/>
      <c r="FM9" s="10"/>
      <c r="FN9" s="10"/>
      <c r="FO9" s="10"/>
      <c r="FP9" s="10"/>
    </row>
    <row r="10" spans="2:173" outlineLevel="1" x14ac:dyDescent="0.2">
      <c r="B10" t="s">
        <v>28</v>
      </c>
      <c r="C10" t="s">
        <v>49</v>
      </c>
      <c r="E10" s="9"/>
      <c r="F10" t="s">
        <v>55</v>
      </c>
      <c r="G10" s="10">
        <v>0.1</v>
      </c>
      <c r="I10" s="9">
        <f t="shared" si="0"/>
        <v>0</v>
      </c>
      <c r="J10" s="11" cm="1">
        <f t="array" ref="J10">MAX(IF($N$3:$EH$3=$J$3,N10:EH10))</f>
        <v>0</v>
      </c>
      <c r="K10" s="11" cm="1">
        <f t="array" ref="K10">MAX(IF($N$3:$EH$3=$J$3,N10:EH10))</f>
        <v>0</v>
      </c>
      <c r="L10" s="9"/>
      <c r="O10" s="10"/>
      <c r="P10" s="10"/>
      <c r="Q10" s="10"/>
      <c r="R10" s="10"/>
      <c r="V10" s="10"/>
      <c r="W10" s="10"/>
      <c r="X10" s="10"/>
      <c r="Y10" s="10"/>
      <c r="AC10" s="10"/>
      <c r="AD10" s="10"/>
      <c r="AE10" s="10"/>
      <c r="AF10" s="10"/>
      <c r="AJ10" s="10"/>
      <c r="AK10" s="10"/>
      <c r="AL10" s="10"/>
      <c r="AM10" s="10"/>
      <c r="AQ10" s="10"/>
      <c r="AR10" s="10"/>
      <c r="AS10" s="10"/>
      <c r="AT10" s="10"/>
      <c r="AX10" s="10"/>
      <c r="AY10" s="10"/>
      <c r="AZ10" s="10"/>
      <c r="BA10" s="10"/>
      <c r="BE10" s="10"/>
      <c r="BF10" s="10"/>
      <c r="BG10" s="10"/>
      <c r="BH10" s="10"/>
      <c r="BK10" t="s">
        <v>188</v>
      </c>
      <c r="BL10" s="10"/>
      <c r="BM10" s="10">
        <v>0.5</v>
      </c>
      <c r="BN10" s="10"/>
      <c r="BO10" s="10">
        <v>0.5</v>
      </c>
      <c r="BR10" t="s">
        <v>188</v>
      </c>
      <c r="BS10" s="10"/>
      <c r="BT10" s="10">
        <v>0.8</v>
      </c>
      <c r="BU10" s="10"/>
      <c r="BV10" s="10">
        <v>0.8</v>
      </c>
      <c r="BZ10" s="10"/>
      <c r="CA10" s="10">
        <v>0.8</v>
      </c>
      <c r="CB10" s="10"/>
      <c r="CC10" s="10">
        <v>0.8</v>
      </c>
      <c r="CF10" t="s">
        <v>188</v>
      </c>
      <c r="CG10" s="10"/>
      <c r="CH10" s="10">
        <v>1</v>
      </c>
      <c r="CI10" s="10"/>
      <c r="CJ10" s="10">
        <v>1</v>
      </c>
      <c r="CN10" s="10"/>
      <c r="CO10" s="10">
        <v>1</v>
      </c>
      <c r="CP10" s="10"/>
      <c r="CQ10" s="10">
        <v>1</v>
      </c>
      <c r="CU10" s="10"/>
      <c r="CV10" s="10">
        <v>1</v>
      </c>
      <c r="CW10" s="10"/>
      <c r="CX10" s="10">
        <v>1</v>
      </c>
      <c r="DB10" s="10"/>
      <c r="DC10" s="10">
        <v>1</v>
      </c>
      <c r="DD10" s="10"/>
      <c r="DE10" s="10">
        <v>1</v>
      </c>
      <c r="DI10" s="10"/>
      <c r="DJ10" s="10">
        <v>1</v>
      </c>
      <c r="DK10" s="10"/>
      <c r="DL10" s="10">
        <v>1</v>
      </c>
      <c r="DP10" s="10"/>
      <c r="DQ10" s="10">
        <v>1</v>
      </c>
      <c r="DR10" s="10"/>
      <c r="DS10" s="10">
        <v>1</v>
      </c>
      <c r="DW10" s="10"/>
      <c r="DX10" s="10"/>
      <c r="DY10" s="10"/>
      <c r="DZ10" s="10"/>
      <c r="ED10" s="10"/>
      <c r="EE10" s="10"/>
      <c r="EF10" s="10"/>
      <c r="EG10" s="10"/>
      <c r="EK10" s="10"/>
      <c r="EL10" s="10"/>
      <c r="EM10" s="10"/>
      <c r="EN10" s="10"/>
      <c r="ER10" s="10"/>
      <c r="ES10" s="10"/>
      <c r="ET10" s="10"/>
      <c r="EU10" s="10"/>
      <c r="EY10" s="10"/>
      <c r="EZ10" s="10"/>
      <c r="FA10" s="10"/>
      <c r="FB10" s="10"/>
      <c r="FF10" s="10"/>
      <c r="FG10" s="10"/>
      <c r="FH10" s="10"/>
      <c r="FI10" s="10"/>
      <c r="FM10" s="10"/>
      <c r="FN10" s="10"/>
      <c r="FO10" s="10"/>
      <c r="FP10" s="10"/>
    </row>
    <row r="11" spans="2:173" outlineLevel="1" x14ac:dyDescent="0.2">
      <c r="B11" t="s">
        <v>28</v>
      </c>
      <c r="C11" t="s">
        <v>49</v>
      </c>
      <c r="E11" s="9"/>
      <c r="F11" t="s">
        <v>56</v>
      </c>
      <c r="G11" s="10">
        <v>0.1</v>
      </c>
      <c r="I11" s="9">
        <f t="shared" si="0"/>
        <v>0</v>
      </c>
      <c r="J11" s="11" cm="1">
        <f t="array" ref="J11">MAX(IF($N$3:$EH$3=$J$3,N11:EH11))</f>
        <v>0</v>
      </c>
      <c r="K11" s="11" cm="1">
        <f t="array" ref="K11">MAX(IF($N$3:$EH$3=$J$3,N11:EH11))</f>
        <v>0</v>
      </c>
      <c r="L11" s="9"/>
      <c r="O11" s="10"/>
      <c r="P11" s="10"/>
      <c r="Q11" s="10"/>
      <c r="R11" s="10"/>
      <c r="V11" s="10"/>
      <c r="W11" s="10"/>
      <c r="X11" s="10"/>
      <c r="Y11" s="10"/>
      <c r="AC11" s="10"/>
      <c r="AD11" s="10"/>
      <c r="AE11" s="10"/>
      <c r="AF11" s="10"/>
      <c r="AJ11" s="10"/>
      <c r="AK11" s="10"/>
      <c r="AL11" s="10"/>
      <c r="AM11" s="10"/>
      <c r="AQ11" s="10"/>
      <c r="AR11" s="10"/>
      <c r="AS11" s="10"/>
      <c r="AT11" s="10"/>
      <c r="AX11" s="10"/>
      <c r="AY11" s="10"/>
      <c r="AZ11" s="10"/>
      <c r="BA11" s="10"/>
      <c r="BE11" s="10"/>
      <c r="BF11" s="10"/>
      <c r="BG11" s="10"/>
      <c r="BH11" s="10"/>
      <c r="BK11" t="s">
        <v>188</v>
      </c>
      <c r="BL11" s="10"/>
      <c r="BM11" s="10">
        <v>0.5</v>
      </c>
      <c r="BN11" s="10"/>
      <c r="BO11" s="10">
        <v>0.5</v>
      </c>
      <c r="BR11" t="s">
        <v>188</v>
      </c>
      <c r="BS11" s="10"/>
      <c r="BT11" s="10">
        <v>0.8</v>
      </c>
      <c r="BU11" s="10"/>
      <c r="BV11" s="10">
        <v>0.8</v>
      </c>
      <c r="BZ11" s="10"/>
      <c r="CA11" s="10">
        <v>0.8</v>
      </c>
      <c r="CB11" s="10"/>
      <c r="CC11" s="10">
        <v>0.8</v>
      </c>
      <c r="CF11" t="s">
        <v>188</v>
      </c>
      <c r="CG11" s="10"/>
      <c r="CH11" s="10">
        <v>1</v>
      </c>
      <c r="CI11" s="10"/>
      <c r="CJ11" s="10">
        <v>1</v>
      </c>
      <c r="CN11" s="10"/>
      <c r="CO11" s="10">
        <v>1</v>
      </c>
      <c r="CP11" s="10"/>
      <c r="CQ11" s="10">
        <v>1</v>
      </c>
      <c r="CU11" s="10"/>
      <c r="CV11" s="10">
        <v>1</v>
      </c>
      <c r="CW11" s="10"/>
      <c r="CX11" s="10">
        <v>1</v>
      </c>
      <c r="DB11" s="10"/>
      <c r="DC11" s="10">
        <v>1</v>
      </c>
      <c r="DD11" s="10"/>
      <c r="DE11" s="10">
        <v>1</v>
      </c>
      <c r="DI11" s="10"/>
      <c r="DJ11" s="10">
        <v>1</v>
      </c>
      <c r="DK11" s="10"/>
      <c r="DL11" s="10">
        <v>1</v>
      </c>
      <c r="DP11" s="10"/>
      <c r="DQ11" s="10">
        <v>1</v>
      </c>
      <c r="DR11" s="10"/>
      <c r="DS11" s="10">
        <v>1</v>
      </c>
      <c r="DW11" s="10"/>
      <c r="DX11" s="10"/>
      <c r="DY11" s="10"/>
      <c r="DZ11" s="10"/>
      <c r="ED11" s="10"/>
      <c r="EE11" s="10"/>
      <c r="EF11" s="10"/>
      <c r="EG11" s="10"/>
      <c r="EK11" s="10"/>
      <c r="EL11" s="10"/>
      <c r="EM11" s="10"/>
      <c r="EN11" s="10"/>
      <c r="ER11" s="10"/>
      <c r="ES11" s="10"/>
      <c r="ET11" s="10"/>
      <c r="EU11" s="10"/>
      <c r="EY11" s="10"/>
      <c r="EZ11" s="10"/>
      <c r="FA11" s="10"/>
      <c r="FB11" s="10"/>
      <c r="FF11" s="10"/>
      <c r="FG11" s="10"/>
      <c r="FH11" s="10"/>
      <c r="FI11" s="10"/>
      <c r="FM11" s="10"/>
      <c r="FN11" s="10"/>
      <c r="FO11" s="10"/>
      <c r="FP11" s="10"/>
    </row>
    <row r="12" spans="2:173" outlineLevel="1" x14ac:dyDescent="0.2">
      <c r="B12" t="s">
        <v>28</v>
      </c>
      <c r="C12" t="s">
        <v>49</v>
      </c>
      <c r="E12" s="9"/>
      <c r="F12" t="s">
        <v>57</v>
      </c>
      <c r="G12" s="10">
        <v>0.1</v>
      </c>
      <c r="I12" s="9">
        <f t="shared" si="0"/>
        <v>0</v>
      </c>
      <c r="J12" s="11" cm="1">
        <f t="array" ref="J12">MAX(IF($N$3:$EH$3=$J$3,N12:EH12))</f>
        <v>0</v>
      </c>
      <c r="K12" s="11" cm="1">
        <f t="array" ref="K12">MAX(IF($N$3:$EH$3=$J$3,N12:EH12))</f>
        <v>0</v>
      </c>
      <c r="L12" s="9"/>
      <c r="O12" s="10"/>
      <c r="P12" s="10"/>
      <c r="Q12" s="10"/>
      <c r="R12" s="10"/>
      <c r="V12" s="10"/>
      <c r="W12" s="10"/>
      <c r="X12" s="10"/>
      <c r="Y12" s="10"/>
      <c r="AC12" s="10"/>
      <c r="AD12" s="10"/>
      <c r="AE12" s="10"/>
      <c r="AF12" s="10"/>
      <c r="AJ12" s="10"/>
      <c r="AK12" s="10"/>
      <c r="AL12" s="10"/>
      <c r="AM12" s="10"/>
      <c r="AQ12" s="10"/>
      <c r="AR12" s="10"/>
      <c r="AS12" s="10"/>
      <c r="AT12" s="10"/>
      <c r="AX12" s="10"/>
      <c r="AY12" s="10"/>
      <c r="AZ12" s="10"/>
      <c r="BA12" s="10"/>
      <c r="BE12" s="10"/>
      <c r="BF12" s="10"/>
      <c r="BG12" s="10"/>
      <c r="BH12" s="10"/>
      <c r="BL12" s="10"/>
      <c r="BM12" s="10"/>
      <c r="BN12" s="10"/>
      <c r="BO12" s="10"/>
      <c r="BR12" t="s">
        <v>188</v>
      </c>
      <c r="BS12" s="10"/>
      <c r="BT12" s="10">
        <v>0.5</v>
      </c>
      <c r="BU12" s="10"/>
      <c r="BV12" s="10">
        <v>0.5</v>
      </c>
      <c r="BY12" t="s">
        <v>188</v>
      </c>
      <c r="BZ12" s="10"/>
      <c r="CA12" s="10">
        <v>0.8</v>
      </c>
      <c r="CB12" s="10"/>
      <c r="CC12" s="10">
        <v>0.8</v>
      </c>
      <c r="CF12" t="s">
        <v>188</v>
      </c>
      <c r="CG12" s="10"/>
      <c r="CH12" s="10">
        <v>1</v>
      </c>
      <c r="CI12" s="10"/>
      <c r="CJ12" s="10">
        <v>1</v>
      </c>
      <c r="CN12" s="10"/>
      <c r="CO12" s="10">
        <v>1</v>
      </c>
      <c r="CP12" s="10"/>
      <c r="CQ12" s="10">
        <v>1</v>
      </c>
      <c r="CU12" s="10"/>
      <c r="CV12" s="10">
        <v>1</v>
      </c>
      <c r="CW12" s="10"/>
      <c r="CX12" s="10">
        <v>1</v>
      </c>
      <c r="DB12" s="10"/>
      <c r="DC12" s="10">
        <v>1</v>
      </c>
      <c r="DD12" s="10"/>
      <c r="DE12" s="10">
        <v>1</v>
      </c>
      <c r="DI12" s="10"/>
      <c r="DJ12" s="10">
        <v>1</v>
      </c>
      <c r="DK12" s="10"/>
      <c r="DL12" s="10">
        <v>1</v>
      </c>
      <c r="DP12" s="10"/>
      <c r="DQ12" s="10">
        <v>1</v>
      </c>
      <c r="DR12" s="10"/>
      <c r="DS12" s="10">
        <v>1</v>
      </c>
      <c r="DW12" s="10"/>
      <c r="DX12" s="10"/>
      <c r="DY12" s="10"/>
      <c r="DZ12" s="10"/>
      <c r="ED12" s="10"/>
      <c r="EE12" s="10"/>
      <c r="EF12" s="10"/>
      <c r="EG12" s="10"/>
      <c r="EK12" s="10"/>
      <c r="EL12" s="10"/>
      <c r="EM12" s="10"/>
      <c r="EN12" s="10"/>
      <c r="ER12" s="10"/>
      <c r="ES12" s="10"/>
      <c r="ET12" s="10"/>
      <c r="EU12" s="10"/>
      <c r="EY12" s="10"/>
      <c r="EZ12" s="10"/>
      <c r="FA12" s="10"/>
      <c r="FB12" s="10"/>
      <c r="FF12" s="10"/>
      <c r="FG12" s="10"/>
      <c r="FH12" s="10"/>
      <c r="FI12" s="10"/>
      <c r="FM12" s="10"/>
      <c r="FN12" s="10"/>
      <c r="FO12" s="10"/>
      <c r="FP12" s="10"/>
    </row>
    <row r="13" spans="2:173" outlineLevel="1" x14ac:dyDescent="0.2">
      <c r="B13" t="s">
        <v>28</v>
      </c>
      <c r="C13" t="s">
        <v>49</v>
      </c>
      <c r="E13" s="9"/>
      <c r="F13" t="s">
        <v>58</v>
      </c>
      <c r="G13" s="10">
        <v>0.1</v>
      </c>
      <c r="I13" s="9">
        <f t="shared" si="0"/>
        <v>0</v>
      </c>
      <c r="J13" s="11" cm="1">
        <f t="array" ref="J13">MAX(IF($N$3:$EH$3=$J$3,N13:EH13))</f>
        <v>0</v>
      </c>
      <c r="K13" s="11" cm="1">
        <f t="array" ref="K13">MAX(IF($N$3:$EH$3=$J$3,N13:EH13))</f>
        <v>0</v>
      </c>
      <c r="L13" s="9"/>
      <c r="O13" s="10"/>
      <c r="P13" s="10"/>
      <c r="Q13" s="10"/>
      <c r="R13" s="10"/>
      <c r="V13" s="10"/>
      <c r="W13" s="10"/>
      <c r="X13" s="10"/>
      <c r="Y13" s="10"/>
      <c r="AC13" s="10"/>
      <c r="AD13" s="10"/>
      <c r="AE13" s="10"/>
      <c r="AF13" s="10"/>
      <c r="AJ13" s="10"/>
      <c r="AK13" s="10"/>
      <c r="AL13" s="10"/>
      <c r="AM13" s="10"/>
      <c r="AQ13" s="10"/>
      <c r="AR13" s="10"/>
      <c r="AS13" s="10"/>
      <c r="AT13" s="10"/>
      <c r="AX13" s="10"/>
      <c r="AY13" s="10"/>
      <c r="AZ13" s="10"/>
      <c r="BA13" s="10"/>
      <c r="BE13" s="10"/>
      <c r="BF13" s="10"/>
      <c r="BG13" s="10"/>
      <c r="BH13" s="10"/>
      <c r="BL13" s="10"/>
      <c r="BM13" s="10"/>
      <c r="BN13" s="10"/>
      <c r="BO13" s="10"/>
      <c r="BR13" t="s">
        <v>188</v>
      </c>
      <c r="BS13" s="10"/>
      <c r="BT13" s="10">
        <v>0.5</v>
      </c>
      <c r="BU13" s="10"/>
      <c r="BV13" s="10">
        <v>0.5</v>
      </c>
      <c r="BY13" t="s">
        <v>188</v>
      </c>
      <c r="BZ13" s="10"/>
      <c r="CA13" s="10">
        <v>0.8</v>
      </c>
      <c r="CB13" s="10"/>
      <c r="CC13" s="10">
        <v>0.8</v>
      </c>
      <c r="CF13" t="s">
        <v>188</v>
      </c>
      <c r="CG13" s="10"/>
      <c r="CH13" s="10">
        <v>1</v>
      </c>
      <c r="CI13" s="10"/>
      <c r="CJ13" s="10">
        <v>1</v>
      </c>
      <c r="CN13" s="10"/>
      <c r="CO13" s="10">
        <v>1</v>
      </c>
      <c r="CP13" s="10"/>
      <c r="CQ13" s="10">
        <v>1</v>
      </c>
      <c r="CU13" s="10"/>
      <c r="CV13" s="10">
        <v>1</v>
      </c>
      <c r="CW13" s="10"/>
      <c r="CX13" s="10">
        <v>1</v>
      </c>
      <c r="DB13" s="10"/>
      <c r="DC13" s="10">
        <v>1</v>
      </c>
      <c r="DD13" s="10"/>
      <c r="DE13" s="10">
        <v>1</v>
      </c>
      <c r="DI13" s="10"/>
      <c r="DJ13" s="10">
        <v>1</v>
      </c>
      <c r="DK13" s="10"/>
      <c r="DL13" s="10">
        <v>1</v>
      </c>
      <c r="DP13" s="10"/>
      <c r="DQ13" s="10">
        <v>1</v>
      </c>
      <c r="DR13" s="10"/>
      <c r="DS13" s="10">
        <v>1</v>
      </c>
      <c r="DW13" s="10"/>
      <c r="DX13" s="10"/>
      <c r="DY13" s="10"/>
      <c r="DZ13" s="10"/>
      <c r="ED13" s="10"/>
      <c r="EE13" s="10"/>
      <c r="EF13" s="10"/>
      <c r="EG13" s="10"/>
      <c r="EK13" s="10"/>
      <c r="EL13" s="10"/>
      <c r="EM13" s="10"/>
      <c r="EN13" s="10"/>
      <c r="ER13" s="10"/>
      <c r="ES13" s="10"/>
      <c r="ET13" s="10"/>
      <c r="EU13" s="10"/>
      <c r="EY13" s="10"/>
      <c r="EZ13" s="10"/>
      <c r="FA13" s="10"/>
      <c r="FB13" s="10"/>
      <c r="FF13" s="10"/>
      <c r="FG13" s="10"/>
      <c r="FH13" s="10"/>
      <c r="FI13" s="10"/>
      <c r="FM13" s="10"/>
      <c r="FN13" s="10"/>
      <c r="FO13" s="10"/>
      <c r="FP13" s="10"/>
    </row>
    <row r="14" spans="2:173" outlineLevel="1" x14ac:dyDescent="0.2">
      <c r="B14" t="s">
        <v>28</v>
      </c>
      <c r="C14" t="s">
        <v>49</v>
      </c>
      <c r="E14" s="9"/>
      <c r="F14" t="s">
        <v>59</v>
      </c>
      <c r="G14" s="10">
        <v>0.1</v>
      </c>
      <c r="I14" s="9">
        <f>+SUMIF($N$3:$ZZ$3,I$3,$N14:$ZZ14)</f>
        <v>0</v>
      </c>
      <c r="J14" s="11" cm="1">
        <f t="array" ref="J14">MAX(IF($N$3:$EH$3=$J$3,N14:EH14))</f>
        <v>0</v>
      </c>
      <c r="K14" s="11" cm="1">
        <f t="array" ref="K14">MAX(IF($N$3:$EH$3=$J$3,N14:EH14))</f>
        <v>0</v>
      </c>
      <c r="L14" s="9"/>
      <c r="O14" s="10"/>
      <c r="P14" s="10"/>
      <c r="Q14" s="10"/>
      <c r="R14" s="10"/>
      <c r="V14" s="10"/>
      <c r="W14" s="10"/>
      <c r="X14" s="10"/>
      <c r="Y14" s="10"/>
      <c r="AC14" s="10"/>
      <c r="AD14" s="10"/>
      <c r="AE14" s="10"/>
      <c r="AF14" s="10"/>
      <c r="AJ14" s="10"/>
      <c r="AK14" s="10"/>
      <c r="AL14" s="10"/>
      <c r="AM14" s="10"/>
      <c r="AQ14" s="10"/>
      <c r="AR14" s="10"/>
      <c r="AS14" s="10"/>
      <c r="AT14" s="10"/>
      <c r="AX14" s="10"/>
      <c r="AY14" s="10"/>
      <c r="AZ14" s="10"/>
      <c r="BA14" s="10"/>
      <c r="BE14" s="10"/>
      <c r="BF14" s="10"/>
      <c r="BG14" s="10"/>
      <c r="BH14" s="10"/>
      <c r="BL14" s="10"/>
      <c r="BM14" s="10"/>
      <c r="BN14" s="10"/>
      <c r="BO14" s="10"/>
      <c r="BR14" t="s">
        <v>188</v>
      </c>
      <c r="BS14" s="10"/>
      <c r="BT14" s="10">
        <v>0.5</v>
      </c>
      <c r="BU14" s="10"/>
      <c r="BV14" s="10">
        <v>0.5</v>
      </c>
      <c r="BY14" t="s">
        <v>188</v>
      </c>
      <c r="BZ14" s="10"/>
      <c r="CA14" s="10">
        <v>0.8</v>
      </c>
      <c r="CB14" s="10"/>
      <c r="CC14" s="10">
        <v>0.8</v>
      </c>
      <c r="CF14" t="s">
        <v>188</v>
      </c>
      <c r="CG14" s="10"/>
      <c r="CH14" s="10">
        <v>1</v>
      </c>
      <c r="CI14" s="10"/>
      <c r="CJ14" s="10">
        <v>1</v>
      </c>
      <c r="CN14" s="10"/>
      <c r="CO14" s="10">
        <v>1</v>
      </c>
      <c r="CP14" s="10"/>
      <c r="CQ14" s="10">
        <v>1</v>
      </c>
      <c r="CU14" s="10"/>
      <c r="CV14" s="10">
        <v>1</v>
      </c>
      <c r="CW14" s="10"/>
      <c r="CX14" s="10">
        <v>1</v>
      </c>
      <c r="DB14" s="10"/>
      <c r="DC14" s="10">
        <v>1</v>
      </c>
      <c r="DD14" s="10"/>
      <c r="DE14" s="10">
        <v>1</v>
      </c>
      <c r="DI14" s="10"/>
      <c r="DJ14" s="10">
        <v>1</v>
      </c>
      <c r="DK14" s="10"/>
      <c r="DL14" s="10">
        <v>1</v>
      </c>
      <c r="DP14" s="10"/>
      <c r="DQ14" s="10">
        <v>1</v>
      </c>
      <c r="DR14" s="10"/>
      <c r="DS14" s="10">
        <v>1</v>
      </c>
      <c r="DW14" s="10"/>
      <c r="DX14" s="10"/>
      <c r="DY14" s="10"/>
      <c r="DZ14" s="10"/>
      <c r="ED14" s="10"/>
      <c r="EE14" s="10"/>
      <c r="EF14" s="10"/>
      <c r="EG14" s="10"/>
      <c r="EK14" s="10"/>
      <c r="EL14" s="10"/>
      <c r="EM14" s="10"/>
      <c r="EN14" s="10"/>
      <c r="ER14" s="10"/>
      <c r="ES14" s="10"/>
      <c r="ET14" s="10"/>
      <c r="EU14" s="10"/>
      <c r="EY14" s="10"/>
      <c r="EZ14" s="10"/>
      <c r="FA14" s="10"/>
      <c r="FB14" s="10"/>
      <c r="FF14" s="10"/>
      <c r="FG14" s="10"/>
      <c r="FH14" s="10"/>
      <c r="FI14" s="10"/>
      <c r="FM14" s="10"/>
      <c r="FN14" s="10"/>
      <c r="FO14" s="10"/>
      <c r="FP14" s="10"/>
    </row>
    <row r="16" spans="2:173" x14ac:dyDescent="0.2">
      <c r="B16" t="s">
        <v>27</v>
      </c>
      <c r="C16" t="s">
        <v>60</v>
      </c>
      <c r="D16" s="16">
        <v>44916</v>
      </c>
      <c r="E16" s="9">
        <v>6</v>
      </c>
      <c r="G16" s="10">
        <f>+SUM(G17:G27)</f>
        <v>1</v>
      </c>
      <c r="I16" s="12">
        <f>+SUM(I17:I27)</f>
        <v>0</v>
      </c>
      <c r="J16" s="11">
        <f>+SUMPRODUCT(G17:G27,J17:J27)</f>
        <v>0.21</v>
      </c>
      <c r="K16" s="11">
        <f>+SUMPRODUCT(G17:G27,K17:K27)</f>
        <v>0.21</v>
      </c>
      <c r="L16" s="9"/>
      <c r="N16" s="12">
        <v>10</v>
      </c>
      <c r="U16" s="12">
        <f>+SUM(U17:U27)</f>
        <v>0</v>
      </c>
      <c r="AB16" s="12">
        <f>+SUM(AB17:AB27)</f>
        <v>0</v>
      </c>
      <c r="AI16" s="12">
        <f>+SUM(AI17:AI27)</f>
        <v>0</v>
      </c>
      <c r="AP16" s="12">
        <f>+SUM(AP17:AP27)</f>
        <v>0</v>
      </c>
      <c r="AU16" t="s">
        <v>186</v>
      </c>
      <c r="BK16" s="12">
        <f>+SUM(BK17:BK27)</f>
        <v>0</v>
      </c>
      <c r="BR16" s="12">
        <f>+SUM(BR17:BR27)</f>
        <v>0</v>
      </c>
      <c r="BY16" s="12">
        <f>+SUM(BY17:BY27)</f>
        <v>0</v>
      </c>
      <c r="CF16" s="12">
        <f>+SUM(CF17:CF27)</f>
        <v>0</v>
      </c>
      <c r="CM16" s="12">
        <f>+SUM(CM17:CM27)</f>
        <v>0</v>
      </c>
      <c r="CT16" s="12">
        <f>+SUM(CT17:CT27)</f>
        <v>0</v>
      </c>
      <c r="DA16" s="12">
        <f>+SUM(DA17:DA27)</f>
        <v>0</v>
      </c>
      <c r="DH16" s="12">
        <f>+SUM(DH17:DH27)</f>
        <v>0</v>
      </c>
      <c r="DO16" s="12">
        <f>+SUM(DO17:DO27)</f>
        <v>0</v>
      </c>
    </row>
    <row r="17" spans="2:172" outlineLevel="1" x14ac:dyDescent="0.2">
      <c r="B17" t="s">
        <v>28</v>
      </c>
      <c r="C17" t="s">
        <v>60</v>
      </c>
      <c r="E17" s="9"/>
      <c r="F17" t="s">
        <v>114</v>
      </c>
      <c r="G17" s="10">
        <v>0.185</v>
      </c>
      <c r="I17" s="9">
        <f>+SUMIF($N$3:$ZZ$3,I$3,$N17:$ZZ17)</f>
        <v>0</v>
      </c>
      <c r="J17" s="11" cm="1">
        <f t="array" ref="J17">MAX(IF($N$3:$EH$3=$J$3,N17:EH17))</f>
        <v>0.5</v>
      </c>
      <c r="K17" s="11" cm="1">
        <f t="array" ref="K17">MAX(IF($N$3:$EH$3=$J$3,N17:EH17))</f>
        <v>0.5</v>
      </c>
      <c r="L17" s="9"/>
      <c r="O17" s="10"/>
      <c r="P17" s="10"/>
      <c r="Q17" s="10"/>
      <c r="R17" s="10"/>
      <c r="V17" s="10"/>
      <c r="W17" s="10"/>
      <c r="X17" s="10"/>
      <c r="Y17" s="10"/>
      <c r="AC17" s="10"/>
      <c r="AD17" s="10"/>
      <c r="AE17" s="10"/>
      <c r="AF17" s="10"/>
      <c r="AJ17" s="10">
        <v>0.5</v>
      </c>
      <c r="AK17" s="10">
        <v>0.5</v>
      </c>
      <c r="AL17" s="10">
        <v>0.5</v>
      </c>
      <c r="AM17" s="10">
        <v>0.5</v>
      </c>
      <c r="AQ17" s="10">
        <v>0.5</v>
      </c>
      <c r="AR17" s="10">
        <v>0.5</v>
      </c>
      <c r="AS17" s="10">
        <v>0.5</v>
      </c>
      <c r="AT17" s="10">
        <v>0.5</v>
      </c>
      <c r="AW17" t="s">
        <v>189</v>
      </c>
      <c r="AX17" s="10">
        <v>0.5</v>
      </c>
      <c r="AY17" s="10">
        <v>1</v>
      </c>
      <c r="AZ17" s="10">
        <v>0.5</v>
      </c>
      <c r="BA17" s="10">
        <v>1</v>
      </c>
      <c r="BE17" s="10"/>
      <c r="BF17" s="10">
        <v>1</v>
      </c>
      <c r="BG17" s="10"/>
      <c r="BH17" s="10">
        <v>1</v>
      </c>
      <c r="BL17" s="10"/>
      <c r="BM17" s="10">
        <v>1</v>
      </c>
      <c r="BN17" s="10"/>
      <c r="BO17" s="10">
        <v>1</v>
      </c>
      <c r="BS17" s="10"/>
      <c r="BT17" s="10">
        <v>1</v>
      </c>
      <c r="BU17" s="10"/>
      <c r="BV17" s="10">
        <v>1</v>
      </c>
      <c r="BZ17" s="10"/>
      <c r="CA17" s="10">
        <v>1</v>
      </c>
      <c r="CB17" s="10"/>
      <c r="CC17" s="10">
        <v>1</v>
      </c>
      <c r="CG17" s="10"/>
      <c r="CH17" s="10">
        <v>1</v>
      </c>
      <c r="CI17" s="10"/>
      <c r="CJ17" s="10">
        <v>1</v>
      </c>
      <c r="CN17" s="10"/>
      <c r="CO17" s="10">
        <v>1</v>
      </c>
      <c r="CP17" s="10"/>
      <c r="CQ17" s="10">
        <v>1</v>
      </c>
      <c r="CU17" s="10"/>
      <c r="CV17" s="10">
        <v>1</v>
      </c>
      <c r="CW17" s="10"/>
      <c r="CX17" s="10">
        <v>1</v>
      </c>
      <c r="DB17" s="10"/>
      <c r="DC17" s="10">
        <v>1</v>
      </c>
      <c r="DD17" s="10"/>
      <c r="DE17" s="10">
        <v>1</v>
      </c>
      <c r="DI17" s="10"/>
      <c r="DJ17" s="10">
        <v>1</v>
      </c>
      <c r="DK17" s="10"/>
      <c r="DL17" s="10">
        <v>1</v>
      </c>
      <c r="DP17" s="10"/>
      <c r="DQ17" s="10">
        <v>1</v>
      </c>
      <c r="DR17" s="10"/>
      <c r="DS17" s="10">
        <v>1</v>
      </c>
      <c r="DW17" s="10"/>
      <c r="DX17" s="10"/>
      <c r="DY17" s="10"/>
      <c r="DZ17" s="10"/>
      <c r="ED17" s="10"/>
      <c r="EE17" s="10"/>
      <c r="EF17" s="10"/>
      <c r="EG17" s="10"/>
      <c r="EK17" s="10"/>
      <c r="EL17" s="10"/>
      <c r="EM17" s="10"/>
      <c r="EN17" s="10"/>
      <c r="ER17" s="10"/>
      <c r="ES17" s="10"/>
      <c r="ET17" s="10"/>
      <c r="EU17" s="10"/>
      <c r="EY17" s="10"/>
      <c r="EZ17" s="10"/>
      <c r="FA17" s="10"/>
      <c r="FB17" s="10"/>
      <c r="FF17" s="10"/>
      <c r="FG17" s="10"/>
      <c r="FH17" s="10"/>
      <c r="FI17" s="10"/>
      <c r="FM17" s="10"/>
      <c r="FN17" s="10"/>
      <c r="FO17" s="10"/>
      <c r="FP17" s="10"/>
    </row>
    <row r="18" spans="2:172" outlineLevel="1" x14ac:dyDescent="0.2">
      <c r="B18" t="s">
        <v>28</v>
      </c>
      <c r="C18" t="s">
        <v>60</v>
      </c>
      <c r="E18" s="9"/>
      <c r="F18" t="s">
        <v>61</v>
      </c>
      <c r="G18" s="10">
        <v>0.185</v>
      </c>
      <c r="I18" s="9">
        <f t="shared" ref="I18:I22" si="1">+SUMIF($N$3:$ZZ$3,I$3,$N18:$ZZ18)</f>
        <v>0</v>
      </c>
      <c r="J18" s="11" cm="1">
        <f t="array" ref="J18">MAX(IF($N$3:$EH$3=$J$3,N18:EH18))</f>
        <v>0.5</v>
      </c>
      <c r="K18" s="11" cm="1">
        <f t="array" ref="K18">MAX(IF($N$3:$EH$3=$J$3,N18:EH18))</f>
        <v>0.5</v>
      </c>
      <c r="L18" s="9"/>
      <c r="O18" s="10"/>
      <c r="P18" s="10"/>
      <c r="Q18" s="10"/>
      <c r="R18" s="10"/>
      <c r="V18" s="10"/>
      <c r="W18" s="10"/>
      <c r="X18" s="10"/>
      <c r="Y18" s="10"/>
      <c r="AC18" s="10"/>
      <c r="AD18" s="10"/>
      <c r="AE18" s="10"/>
      <c r="AF18" s="10"/>
      <c r="AJ18" s="10">
        <v>0.5</v>
      </c>
      <c r="AK18" s="10">
        <v>0.5</v>
      </c>
      <c r="AL18" s="10">
        <v>0.5</v>
      </c>
      <c r="AM18" s="10">
        <v>0.5</v>
      </c>
      <c r="AQ18" s="10">
        <v>0.5</v>
      </c>
      <c r="AR18" s="10">
        <v>0.5</v>
      </c>
      <c r="AS18" s="10">
        <v>0.5</v>
      </c>
      <c r="AT18" s="10">
        <v>0.5</v>
      </c>
      <c r="AW18" t="s">
        <v>188</v>
      </c>
      <c r="AX18" s="10">
        <v>0.5</v>
      </c>
      <c r="AY18" s="10">
        <v>0.8</v>
      </c>
      <c r="AZ18" s="10">
        <v>0.5</v>
      </c>
      <c r="BA18" s="10">
        <v>0.8</v>
      </c>
      <c r="BD18" t="s">
        <v>188</v>
      </c>
      <c r="BE18" s="10"/>
      <c r="BF18" s="10">
        <v>1</v>
      </c>
      <c r="BG18" s="10"/>
      <c r="BH18" s="10">
        <v>1</v>
      </c>
      <c r="BL18" s="10"/>
      <c r="BM18" s="10">
        <v>1</v>
      </c>
      <c r="BN18" s="10"/>
      <c r="BO18" s="10">
        <v>1</v>
      </c>
      <c r="BS18" s="10"/>
      <c r="BT18" s="10">
        <v>1</v>
      </c>
      <c r="BU18" s="10"/>
      <c r="BV18" s="10">
        <v>1</v>
      </c>
      <c r="BZ18" s="10"/>
      <c r="CA18" s="10">
        <v>1</v>
      </c>
      <c r="CB18" s="10"/>
      <c r="CC18" s="10">
        <v>1</v>
      </c>
      <c r="CG18" s="10"/>
      <c r="CH18" s="10">
        <v>1</v>
      </c>
      <c r="CI18" s="10"/>
      <c r="CJ18" s="10">
        <v>1</v>
      </c>
      <c r="CN18" s="10"/>
      <c r="CO18" s="10">
        <v>1</v>
      </c>
      <c r="CP18" s="10"/>
      <c r="CQ18" s="10">
        <v>1</v>
      </c>
      <c r="CU18" s="10"/>
      <c r="CV18" s="10">
        <v>1</v>
      </c>
      <c r="CW18" s="10"/>
      <c r="CX18" s="10">
        <v>1</v>
      </c>
      <c r="DB18" s="10"/>
      <c r="DC18" s="10">
        <v>1</v>
      </c>
      <c r="DD18" s="10"/>
      <c r="DE18" s="10">
        <v>1</v>
      </c>
      <c r="DI18" s="10"/>
      <c r="DJ18" s="10">
        <v>1</v>
      </c>
      <c r="DK18" s="10"/>
      <c r="DL18" s="10">
        <v>1</v>
      </c>
      <c r="DP18" s="10"/>
      <c r="DQ18" s="10">
        <v>1</v>
      </c>
      <c r="DR18" s="10"/>
      <c r="DS18" s="10">
        <v>1</v>
      </c>
      <c r="DW18" s="10"/>
      <c r="DX18" s="10"/>
      <c r="DY18" s="10"/>
      <c r="DZ18" s="10"/>
      <c r="ED18" s="10"/>
      <c r="EE18" s="10"/>
      <c r="EF18" s="10"/>
      <c r="EG18" s="10"/>
      <c r="EK18" s="10"/>
      <c r="EL18" s="10"/>
      <c r="EM18" s="10"/>
      <c r="EN18" s="10"/>
      <c r="ER18" s="10"/>
      <c r="ES18" s="10"/>
      <c r="ET18" s="10"/>
      <c r="EU18" s="10"/>
      <c r="EY18" s="10"/>
      <c r="EZ18" s="10"/>
      <c r="FA18" s="10"/>
      <c r="FB18" s="10"/>
      <c r="FF18" s="10"/>
      <c r="FG18" s="10"/>
      <c r="FH18" s="10"/>
      <c r="FI18" s="10"/>
      <c r="FM18" s="10"/>
      <c r="FN18" s="10"/>
      <c r="FO18" s="10"/>
      <c r="FP18" s="10"/>
    </row>
    <row r="19" spans="2:172" outlineLevel="1" x14ac:dyDescent="0.2">
      <c r="B19" t="s">
        <v>28</v>
      </c>
      <c r="C19" t="s">
        <v>60</v>
      </c>
      <c r="E19" s="9"/>
      <c r="F19" t="s">
        <v>62</v>
      </c>
      <c r="G19" s="10">
        <v>0.05</v>
      </c>
      <c r="I19" s="9">
        <f t="shared" si="1"/>
        <v>0</v>
      </c>
      <c r="J19" s="11" cm="1">
        <f t="array" ref="J19">MAX(IF($N$3:$EH$3=$J$3,N19:EH19))</f>
        <v>0.5</v>
      </c>
      <c r="K19" s="11" cm="1">
        <f t="array" ref="K19">MAX(IF($N$3:$EH$3=$J$3,N19:EH19))</f>
        <v>0.5</v>
      </c>
      <c r="L19" s="9"/>
      <c r="O19" s="10"/>
      <c r="P19" s="10"/>
      <c r="Q19" s="10"/>
      <c r="R19" s="10"/>
      <c r="V19" s="10"/>
      <c r="W19" s="10"/>
      <c r="X19" s="10"/>
      <c r="Y19" s="10"/>
      <c r="AC19" s="10"/>
      <c r="AD19" s="10"/>
      <c r="AE19" s="10"/>
      <c r="AF19" s="10"/>
      <c r="AK19" s="10"/>
      <c r="AL19" s="10"/>
      <c r="AM19" s="10"/>
      <c r="AQ19" s="10">
        <v>0.5</v>
      </c>
      <c r="AR19" s="10">
        <v>0.5</v>
      </c>
      <c r="AS19" s="10">
        <v>0.5</v>
      </c>
      <c r="AT19" s="10">
        <v>0.5</v>
      </c>
      <c r="AW19" t="s">
        <v>188</v>
      </c>
      <c r="AX19" s="10">
        <v>0.5</v>
      </c>
      <c r="AY19" s="10">
        <v>0.8</v>
      </c>
      <c r="AZ19" s="10">
        <v>0.5</v>
      </c>
      <c r="BA19" s="10">
        <v>0.8</v>
      </c>
      <c r="BD19" t="s">
        <v>188</v>
      </c>
      <c r="BE19" s="10"/>
      <c r="BF19" s="10">
        <v>1</v>
      </c>
      <c r="BG19" s="10"/>
      <c r="BH19" s="10">
        <v>1</v>
      </c>
      <c r="BL19" s="10"/>
      <c r="BM19" s="10">
        <v>1</v>
      </c>
      <c r="BN19" s="10"/>
      <c r="BO19" s="10">
        <v>1</v>
      </c>
      <c r="BS19" s="10"/>
      <c r="BT19" s="10">
        <v>1</v>
      </c>
      <c r="BU19" s="10"/>
      <c r="BV19" s="10">
        <v>1</v>
      </c>
      <c r="BZ19" s="10"/>
      <c r="CA19" s="10">
        <v>1</v>
      </c>
      <c r="CB19" s="10"/>
      <c r="CC19" s="10">
        <v>1</v>
      </c>
      <c r="CG19" s="10"/>
      <c r="CH19" s="10">
        <v>1</v>
      </c>
      <c r="CI19" s="10"/>
      <c r="CJ19" s="10">
        <v>1</v>
      </c>
      <c r="CN19" s="10"/>
      <c r="CO19" s="10">
        <v>1</v>
      </c>
      <c r="CP19" s="10"/>
      <c r="CQ19" s="10">
        <v>1</v>
      </c>
      <c r="CU19" s="10"/>
      <c r="CV19" s="10">
        <v>1</v>
      </c>
      <c r="CW19" s="10"/>
      <c r="CX19" s="10">
        <v>1</v>
      </c>
      <c r="DB19" s="10"/>
      <c r="DC19" s="10">
        <v>1</v>
      </c>
      <c r="DD19" s="10"/>
      <c r="DE19" s="10">
        <v>1</v>
      </c>
      <c r="DI19" s="10"/>
      <c r="DJ19" s="10">
        <v>1</v>
      </c>
      <c r="DK19" s="10"/>
      <c r="DL19" s="10">
        <v>1</v>
      </c>
      <c r="DP19" s="10"/>
      <c r="DQ19" s="10">
        <v>1</v>
      </c>
      <c r="DR19" s="10"/>
      <c r="DS19" s="10">
        <v>1</v>
      </c>
      <c r="DW19" s="10"/>
      <c r="DX19" s="10"/>
      <c r="DY19" s="10"/>
      <c r="DZ19" s="10"/>
      <c r="ED19" s="10"/>
      <c r="EE19" s="10"/>
      <c r="EF19" s="10"/>
      <c r="EG19" s="10"/>
      <c r="EK19" s="10"/>
      <c r="EL19" s="10"/>
      <c r="EM19" s="10"/>
      <c r="EN19" s="10"/>
      <c r="ER19" s="10"/>
      <c r="ES19" s="10"/>
      <c r="ET19" s="10"/>
      <c r="EU19" s="10"/>
      <c r="EY19" s="10"/>
      <c r="EZ19" s="10"/>
      <c r="FA19" s="10"/>
      <c r="FB19" s="10"/>
      <c r="FF19" s="10"/>
      <c r="FG19" s="10"/>
      <c r="FH19" s="10"/>
      <c r="FI19" s="10"/>
      <c r="FM19" s="10"/>
      <c r="FN19" s="10"/>
      <c r="FO19" s="10"/>
      <c r="FP19" s="10"/>
    </row>
    <row r="20" spans="2:172" outlineLevel="1" x14ac:dyDescent="0.2">
      <c r="B20" t="s">
        <v>28</v>
      </c>
      <c r="C20" t="s">
        <v>60</v>
      </c>
      <c r="E20" s="9"/>
      <c r="F20" t="s">
        <v>63</v>
      </c>
      <c r="G20" s="10">
        <v>0.08</v>
      </c>
      <c r="I20" s="9">
        <f t="shared" si="1"/>
        <v>0</v>
      </c>
      <c r="J20" s="11" cm="1">
        <f t="array" ref="J20">MAX(IF($N$3:$EH$3=$J$3,N20:EH20))</f>
        <v>0</v>
      </c>
      <c r="K20" s="11" cm="1">
        <f t="array" ref="K20">MAX(IF($N$3:$EH$3=$J$3,N20:EH20))</f>
        <v>0</v>
      </c>
      <c r="L20" s="9"/>
      <c r="O20" s="10"/>
      <c r="P20" s="10"/>
      <c r="Q20" s="10"/>
      <c r="R20" s="10"/>
      <c r="V20" s="10"/>
      <c r="W20" s="10"/>
      <c r="X20" s="10"/>
      <c r="Y20" s="10"/>
      <c r="AC20" s="10"/>
      <c r="AD20" s="10"/>
      <c r="AE20" s="10"/>
      <c r="AF20" s="10"/>
      <c r="AJ20" s="10"/>
      <c r="AK20" s="10"/>
      <c r="AL20" s="10"/>
      <c r="AM20" s="10"/>
      <c r="AQ20" s="10"/>
      <c r="AR20" s="10"/>
      <c r="AS20" s="10"/>
      <c r="AT20" s="10"/>
      <c r="AW20" t="s">
        <v>188</v>
      </c>
      <c r="AX20" s="10"/>
      <c r="AY20" s="10">
        <v>0.5</v>
      </c>
      <c r="AZ20" s="10"/>
      <c r="BA20" s="10">
        <v>0.5</v>
      </c>
      <c r="BD20" t="s">
        <v>188</v>
      </c>
      <c r="BE20" s="10"/>
      <c r="BF20" s="10">
        <v>0.8</v>
      </c>
      <c r="BG20" s="10"/>
      <c r="BH20" s="10">
        <v>0.8</v>
      </c>
      <c r="BK20" t="s">
        <v>188</v>
      </c>
      <c r="BL20" s="10"/>
      <c r="BM20" s="10">
        <v>1</v>
      </c>
      <c r="BN20" s="10"/>
      <c r="BO20" s="10">
        <v>1</v>
      </c>
      <c r="BS20" s="10"/>
      <c r="BT20" s="10">
        <v>1</v>
      </c>
      <c r="BU20" s="10"/>
      <c r="BV20" s="10">
        <v>1</v>
      </c>
      <c r="BZ20" s="10"/>
      <c r="CA20" s="10">
        <v>1</v>
      </c>
      <c r="CB20" s="10"/>
      <c r="CC20" s="10">
        <v>1</v>
      </c>
      <c r="CG20" s="10"/>
      <c r="CH20" s="10">
        <v>1</v>
      </c>
      <c r="CI20" s="10"/>
      <c r="CJ20" s="10">
        <v>1</v>
      </c>
      <c r="CN20" s="10"/>
      <c r="CO20" s="10">
        <v>1</v>
      </c>
      <c r="CP20" s="10"/>
      <c r="CQ20" s="10">
        <v>1</v>
      </c>
      <c r="CU20" s="10"/>
      <c r="CV20" s="10">
        <v>1</v>
      </c>
      <c r="CW20" s="10"/>
      <c r="CX20" s="10">
        <v>1</v>
      </c>
      <c r="DB20" s="10"/>
      <c r="DC20" s="10">
        <v>1</v>
      </c>
      <c r="DD20" s="10"/>
      <c r="DE20" s="10">
        <v>1</v>
      </c>
      <c r="DI20" s="10"/>
      <c r="DJ20" s="10">
        <v>1</v>
      </c>
      <c r="DK20" s="10"/>
      <c r="DL20" s="10">
        <v>1</v>
      </c>
      <c r="DP20" s="10"/>
      <c r="DQ20" s="10">
        <v>1</v>
      </c>
      <c r="DR20" s="10"/>
      <c r="DS20" s="10">
        <v>1</v>
      </c>
      <c r="DW20" s="10"/>
      <c r="DX20" s="10"/>
      <c r="DY20" s="10"/>
      <c r="DZ20" s="10"/>
      <c r="ED20" s="10"/>
      <c r="EE20" s="10"/>
      <c r="EF20" s="10"/>
      <c r="EG20" s="10"/>
      <c r="EK20" s="10"/>
      <c r="EL20" s="10"/>
      <c r="EM20" s="10"/>
      <c r="EN20" s="10"/>
      <c r="ER20" s="10"/>
      <c r="ES20" s="10"/>
      <c r="ET20" s="10"/>
      <c r="EU20" s="10"/>
      <c r="EY20" s="10"/>
      <c r="EZ20" s="10"/>
      <c r="FA20" s="10"/>
      <c r="FB20" s="10"/>
      <c r="FF20" s="10"/>
      <c r="FG20" s="10"/>
      <c r="FH20" s="10"/>
      <c r="FI20" s="10"/>
      <c r="FM20" s="10"/>
      <c r="FN20" s="10"/>
      <c r="FO20" s="10"/>
      <c r="FP20" s="10"/>
    </row>
    <row r="21" spans="2:172" outlineLevel="1" x14ac:dyDescent="0.2">
      <c r="B21" t="s">
        <v>28</v>
      </c>
      <c r="C21" t="s">
        <v>60</v>
      </c>
      <c r="E21" s="9"/>
      <c r="F21" t="s">
        <v>64</v>
      </c>
      <c r="G21" s="10">
        <v>0.1</v>
      </c>
      <c r="I21" s="9">
        <f t="shared" si="1"/>
        <v>0</v>
      </c>
      <c r="J21" s="11" cm="1">
        <f t="array" ref="J21">MAX(IF($N$3:$EH$3=$J$3,N21:EH21))</f>
        <v>0</v>
      </c>
      <c r="K21" s="11" cm="1">
        <f t="array" ref="K21">MAX(IF($N$3:$EH$3=$J$3,N21:EH21))</f>
        <v>0</v>
      </c>
      <c r="L21" s="9"/>
      <c r="O21" s="10"/>
      <c r="P21" s="10"/>
      <c r="Q21" s="10"/>
      <c r="R21" s="10"/>
      <c r="V21" s="10"/>
      <c r="W21" s="10"/>
      <c r="X21" s="10"/>
      <c r="Y21" s="10"/>
      <c r="AC21" s="10"/>
      <c r="AD21" s="10"/>
      <c r="AE21" s="10"/>
      <c r="AF21" s="10"/>
      <c r="AJ21" s="10"/>
      <c r="AK21" s="10"/>
      <c r="AL21" s="10"/>
      <c r="AM21" s="10"/>
      <c r="AQ21" s="10"/>
      <c r="AR21" s="10"/>
      <c r="AS21" s="10"/>
      <c r="AT21" s="10"/>
      <c r="AX21" s="10"/>
      <c r="AY21" s="10"/>
      <c r="AZ21" s="10"/>
      <c r="BA21" s="10"/>
      <c r="BD21" t="s">
        <v>188</v>
      </c>
      <c r="BE21" s="10"/>
      <c r="BF21" s="10">
        <v>0.5</v>
      </c>
      <c r="BG21" s="10"/>
      <c r="BH21" s="10">
        <v>0.5</v>
      </c>
      <c r="BK21" t="s">
        <v>188</v>
      </c>
      <c r="BL21" s="10"/>
      <c r="BM21" s="10">
        <v>0.8</v>
      </c>
      <c r="BN21" s="10"/>
      <c r="BO21" s="10">
        <v>0.8</v>
      </c>
      <c r="BS21" s="10"/>
      <c r="BT21" s="10">
        <v>0.8</v>
      </c>
      <c r="BU21" s="10"/>
      <c r="BV21" s="10">
        <v>0.8</v>
      </c>
      <c r="BY21" t="s">
        <v>188</v>
      </c>
      <c r="BZ21" s="10"/>
      <c r="CA21" s="10">
        <v>1</v>
      </c>
      <c r="CB21" s="10"/>
      <c r="CC21" s="10">
        <v>1</v>
      </c>
      <c r="CG21" s="10"/>
      <c r="CH21" s="10">
        <v>1</v>
      </c>
      <c r="CI21" s="10"/>
      <c r="CJ21" s="10">
        <v>1</v>
      </c>
      <c r="CN21" s="10"/>
      <c r="CO21" s="10">
        <v>1</v>
      </c>
      <c r="CP21" s="10"/>
      <c r="CQ21" s="10">
        <v>1</v>
      </c>
      <c r="CU21" s="10"/>
      <c r="CV21" s="10">
        <v>1</v>
      </c>
      <c r="CW21" s="10"/>
      <c r="CX21" s="10">
        <v>1</v>
      </c>
      <c r="DB21" s="10"/>
      <c r="DC21" s="10">
        <v>1</v>
      </c>
      <c r="DD21" s="10"/>
      <c r="DE21" s="10">
        <v>1</v>
      </c>
      <c r="DI21" s="10"/>
      <c r="DJ21" s="10">
        <v>1</v>
      </c>
      <c r="DK21" s="10"/>
      <c r="DL21" s="10">
        <v>1</v>
      </c>
      <c r="DP21" s="10"/>
      <c r="DQ21" s="10">
        <v>1</v>
      </c>
      <c r="DR21" s="10"/>
      <c r="DS21" s="10">
        <v>1</v>
      </c>
      <c r="DW21" s="10"/>
      <c r="DX21" s="10"/>
      <c r="DY21" s="10"/>
      <c r="DZ21" s="10"/>
      <c r="ED21" s="10"/>
      <c r="EE21" s="10"/>
      <c r="EF21" s="10"/>
      <c r="EG21" s="10"/>
      <c r="EK21" s="10"/>
      <c r="EL21" s="10"/>
      <c r="EM21" s="10"/>
      <c r="EN21" s="10"/>
      <c r="ER21" s="10"/>
      <c r="ES21" s="10"/>
      <c r="ET21" s="10"/>
      <c r="EU21" s="10"/>
      <c r="EY21" s="10"/>
      <c r="EZ21" s="10"/>
      <c r="FA21" s="10"/>
      <c r="FB21" s="10"/>
      <c r="FF21" s="10"/>
      <c r="FG21" s="10"/>
      <c r="FH21" s="10"/>
      <c r="FI21" s="10"/>
      <c r="FM21" s="10"/>
      <c r="FN21" s="10"/>
      <c r="FO21" s="10"/>
      <c r="FP21" s="10"/>
    </row>
    <row r="22" spans="2:172" outlineLevel="1" x14ac:dyDescent="0.2">
      <c r="B22" t="s">
        <v>28</v>
      </c>
      <c r="C22" t="s">
        <v>60</v>
      </c>
      <c r="E22" s="9"/>
      <c r="F22" t="s">
        <v>65</v>
      </c>
      <c r="G22" s="10">
        <v>0.1</v>
      </c>
      <c r="I22" s="9">
        <f t="shared" si="1"/>
        <v>0</v>
      </c>
      <c r="J22" s="11" cm="1">
        <f t="array" ref="J22">MAX(IF($N$3:$EH$3=$J$3,N22:EH22))</f>
        <v>0</v>
      </c>
      <c r="K22" s="11" cm="1">
        <f t="array" ref="K22">MAX(IF($N$3:$EH$3=$J$3,N22:EH22))</f>
        <v>0</v>
      </c>
      <c r="L22" s="9"/>
      <c r="O22" s="10"/>
      <c r="P22" s="10"/>
      <c r="Q22" s="10"/>
      <c r="R22" s="10"/>
      <c r="V22" s="10"/>
      <c r="W22" s="10"/>
      <c r="X22" s="10"/>
      <c r="Y22" s="10"/>
      <c r="AC22" s="10"/>
      <c r="AD22" s="10"/>
      <c r="AE22" s="10"/>
      <c r="AF22" s="10"/>
      <c r="AJ22" s="10"/>
      <c r="AK22" s="10"/>
      <c r="AL22" s="10"/>
      <c r="AM22" s="10"/>
      <c r="AQ22" s="10"/>
      <c r="AR22" s="10"/>
      <c r="AS22" s="10"/>
      <c r="AT22" s="10"/>
      <c r="AX22" s="10"/>
      <c r="AY22" s="10"/>
      <c r="AZ22" s="10"/>
      <c r="BA22" s="10"/>
      <c r="BD22" t="s">
        <v>188</v>
      </c>
      <c r="BE22" s="10"/>
      <c r="BF22" s="10">
        <v>0.5</v>
      </c>
      <c r="BG22" s="10"/>
      <c r="BH22" s="10">
        <v>0.5</v>
      </c>
      <c r="BK22" t="s">
        <v>188</v>
      </c>
      <c r="BL22" s="10"/>
      <c r="BM22" s="10">
        <v>0.8</v>
      </c>
      <c r="BN22" s="10"/>
      <c r="BO22" s="10">
        <v>0.8</v>
      </c>
      <c r="BS22" s="10"/>
      <c r="BT22" s="10">
        <v>0.8</v>
      </c>
      <c r="BU22" s="10"/>
      <c r="BV22" s="10">
        <v>0.8</v>
      </c>
      <c r="BY22" t="s">
        <v>188</v>
      </c>
      <c r="BZ22" s="10"/>
      <c r="CA22" s="10">
        <v>1</v>
      </c>
      <c r="CB22" s="10"/>
      <c r="CC22" s="10">
        <v>1</v>
      </c>
      <c r="CG22" s="10"/>
      <c r="CH22" s="10">
        <v>1</v>
      </c>
      <c r="CI22" s="10"/>
      <c r="CJ22" s="10">
        <v>1</v>
      </c>
      <c r="CN22" s="10"/>
      <c r="CO22" s="10">
        <v>1</v>
      </c>
      <c r="CP22" s="10"/>
      <c r="CQ22" s="10">
        <v>1</v>
      </c>
      <c r="CU22" s="10"/>
      <c r="CV22" s="10">
        <v>1</v>
      </c>
      <c r="CW22" s="10"/>
      <c r="CX22" s="10">
        <v>1</v>
      </c>
      <c r="DB22" s="10"/>
      <c r="DC22" s="10">
        <v>1</v>
      </c>
      <c r="DD22" s="10"/>
      <c r="DE22" s="10">
        <v>1</v>
      </c>
      <c r="DI22" s="10"/>
      <c r="DJ22" s="10">
        <v>1</v>
      </c>
      <c r="DK22" s="10"/>
      <c r="DL22" s="10">
        <v>1</v>
      </c>
      <c r="DP22" s="10"/>
      <c r="DQ22" s="10">
        <v>1</v>
      </c>
      <c r="DR22" s="10"/>
      <c r="DS22" s="10">
        <v>1</v>
      </c>
      <c r="DW22" s="10"/>
      <c r="DX22" s="10"/>
      <c r="DY22" s="10"/>
      <c r="DZ22" s="10"/>
      <c r="ED22" s="10"/>
      <c r="EE22" s="10"/>
      <c r="EF22" s="10"/>
      <c r="EG22" s="10"/>
      <c r="EK22" s="10"/>
      <c r="EL22" s="10"/>
      <c r="EM22" s="10"/>
      <c r="EN22" s="10"/>
      <c r="ER22" s="10"/>
      <c r="ES22" s="10"/>
      <c r="ET22" s="10"/>
      <c r="EU22" s="10"/>
      <c r="EY22" s="10"/>
      <c r="EZ22" s="10"/>
      <c r="FA22" s="10"/>
      <c r="FB22" s="10"/>
      <c r="FF22" s="10"/>
      <c r="FG22" s="10"/>
      <c r="FH22" s="10"/>
      <c r="FI22" s="10"/>
      <c r="FM22" s="10"/>
      <c r="FN22" s="10"/>
      <c r="FO22" s="10"/>
      <c r="FP22" s="10"/>
    </row>
    <row r="23" spans="2:172" outlineLevel="1" x14ac:dyDescent="0.2">
      <c r="B23" t="s">
        <v>28</v>
      </c>
      <c r="C23" t="s">
        <v>60</v>
      </c>
      <c r="E23" s="9"/>
      <c r="F23" t="s">
        <v>66</v>
      </c>
      <c r="G23" s="10">
        <v>0.1</v>
      </c>
      <c r="I23" s="9">
        <f t="shared" ref="I23:I26" si="2">+SUMIF($N$3:$ZZ$3,I$3,$N23:$ZZ23)</f>
        <v>0</v>
      </c>
      <c r="J23" s="11" cm="1">
        <f t="array" ref="J23">MAX(IF($N$3:$EH$3=$J$3,N23:EH23))</f>
        <v>0</v>
      </c>
      <c r="K23" s="11" cm="1">
        <f t="array" ref="K23">MAX(IF($N$3:$EH$3=$J$3,N23:EH23))</f>
        <v>0</v>
      </c>
      <c r="L23" s="9"/>
      <c r="O23" s="10"/>
      <c r="P23" s="10"/>
      <c r="Q23" s="10"/>
      <c r="R23" s="10"/>
      <c r="V23" s="10"/>
      <c r="W23" s="10"/>
      <c r="X23" s="10"/>
      <c r="Y23" s="10"/>
      <c r="AC23" s="10"/>
      <c r="AD23" s="10"/>
      <c r="AE23" s="10"/>
      <c r="AF23" s="10"/>
      <c r="AJ23" s="10"/>
      <c r="AK23" s="10"/>
      <c r="AL23" s="10"/>
      <c r="AM23" s="10"/>
      <c r="AQ23" s="10"/>
      <c r="AR23" s="10"/>
      <c r="AS23" s="10"/>
      <c r="AT23" s="10"/>
      <c r="AX23" s="10"/>
      <c r="AY23" s="10"/>
      <c r="AZ23" s="10"/>
      <c r="BA23" s="10"/>
      <c r="BE23" s="10"/>
      <c r="BF23" s="10"/>
      <c r="BG23" s="10"/>
      <c r="BH23" s="10"/>
      <c r="BK23" t="s">
        <v>188</v>
      </c>
      <c r="BL23" s="10"/>
      <c r="BM23" s="10">
        <v>0.5</v>
      </c>
      <c r="BN23" s="10"/>
      <c r="BO23" s="10">
        <v>0.5</v>
      </c>
      <c r="BR23" t="s">
        <v>188</v>
      </c>
      <c r="BS23" s="10"/>
      <c r="BT23" s="10">
        <v>0.8</v>
      </c>
      <c r="BU23" s="10"/>
      <c r="BV23" s="10">
        <v>0.8</v>
      </c>
      <c r="BZ23" s="10"/>
      <c r="CA23" s="10">
        <v>0.8</v>
      </c>
      <c r="CB23" s="10"/>
      <c r="CC23" s="10">
        <v>0.8</v>
      </c>
      <c r="CF23" t="s">
        <v>188</v>
      </c>
      <c r="CG23" s="10"/>
      <c r="CH23" s="10">
        <v>1</v>
      </c>
      <c r="CI23" s="10"/>
      <c r="CJ23" s="10">
        <v>1</v>
      </c>
      <c r="CN23" s="10"/>
      <c r="CO23" s="10">
        <v>1</v>
      </c>
      <c r="CP23" s="10"/>
      <c r="CQ23" s="10">
        <v>1</v>
      </c>
      <c r="CU23" s="10"/>
      <c r="CV23" s="10">
        <v>1</v>
      </c>
      <c r="CW23" s="10"/>
      <c r="CX23" s="10">
        <v>1</v>
      </c>
      <c r="DB23" s="10"/>
      <c r="DC23" s="10">
        <v>1</v>
      </c>
      <c r="DD23" s="10"/>
      <c r="DE23" s="10">
        <v>1</v>
      </c>
      <c r="DI23" s="10"/>
      <c r="DJ23" s="10">
        <v>1</v>
      </c>
      <c r="DK23" s="10"/>
      <c r="DL23" s="10">
        <v>1</v>
      </c>
      <c r="DP23" s="10"/>
      <c r="DQ23" s="10">
        <v>1</v>
      </c>
      <c r="DR23" s="10"/>
      <c r="DS23" s="10">
        <v>1</v>
      </c>
      <c r="DW23" s="10"/>
      <c r="DX23" s="10"/>
      <c r="DY23" s="10"/>
      <c r="DZ23" s="10"/>
      <c r="ED23" s="10"/>
      <c r="EE23" s="10"/>
      <c r="EF23" s="10"/>
      <c r="EG23" s="10"/>
      <c r="EK23" s="10"/>
      <c r="EL23" s="10"/>
      <c r="EM23" s="10"/>
      <c r="EN23" s="10"/>
      <c r="ER23" s="10"/>
      <c r="ES23" s="10"/>
      <c r="ET23" s="10"/>
      <c r="EU23" s="10"/>
      <c r="EY23" s="10"/>
      <c r="EZ23" s="10"/>
      <c r="FA23" s="10"/>
      <c r="FB23" s="10"/>
      <c r="FF23" s="10"/>
      <c r="FG23" s="10"/>
      <c r="FH23" s="10"/>
      <c r="FI23" s="10"/>
      <c r="FM23" s="10"/>
      <c r="FN23" s="10"/>
      <c r="FO23" s="10"/>
      <c r="FP23" s="10"/>
    </row>
    <row r="24" spans="2:172" outlineLevel="1" x14ac:dyDescent="0.2">
      <c r="B24" t="s">
        <v>28</v>
      </c>
      <c r="C24" t="s">
        <v>60</v>
      </c>
      <c r="E24" s="9"/>
      <c r="F24" t="s">
        <v>67</v>
      </c>
      <c r="G24" s="10">
        <v>0.05</v>
      </c>
      <c r="I24" s="9">
        <f t="shared" si="2"/>
        <v>0</v>
      </c>
      <c r="J24" s="11" cm="1">
        <f t="array" ref="J24">MAX(IF($N$3:$EH$3=$J$3,N24:EH24))</f>
        <v>0</v>
      </c>
      <c r="K24" s="11" cm="1">
        <f t="array" ref="K24">MAX(IF($N$3:$EH$3=$J$3,N24:EH24))</f>
        <v>0</v>
      </c>
      <c r="L24" s="9"/>
      <c r="O24" s="10"/>
      <c r="P24" s="10"/>
      <c r="Q24" s="10"/>
      <c r="R24" s="10"/>
      <c r="V24" s="10"/>
      <c r="W24" s="10"/>
      <c r="X24" s="10"/>
      <c r="Y24" s="10"/>
      <c r="AC24" s="10"/>
      <c r="AD24" s="10"/>
      <c r="AE24" s="10"/>
      <c r="AF24" s="10"/>
      <c r="AJ24" s="10"/>
      <c r="AK24" s="10"/>
      <c r="AL24" s="10"/>
      <c r="AM24" s="10"/>
      <c r="AQ24" s="10"/>
      <c r="AR24" s="10"/>
      <c r="AS24" s="10"/>
      <c r="AT24" s="10"/>
      <c r="AX24" s="10"/>
      <c r="AY24" s="10"/>
      <c r="AZ24" s="10"/>
      <c r="BA24" s="10"/>
      <c r="BE24" s="10"/>
      <c r="BF24" s="10"/>
      <c r="BG24" s="10"/>
      <c r="BH24" s="10"/>
      <c r="BK24" t="s">
        <v>188</v>
      </c>
      <c r="BL24" s="10"/>
      <c r="BM24" s="10">
        <v>0.5</v>
      </c>
      <c r="BN24" s="10"/>
      <c r="BO24" s="10">
        <v>0.5</v>
      </c>
      <c r="BR24" t="s">
        <v>188</v>
      </c>
      <c r="BS24" s="10"/>
      <c r="BT24" s="10">
        <v>0.8</v>
      </c>
      <c r="BU24" s="10"/>
      <c r="BV24" s="10">
        <v>0.8</v>
      </c>
      <c r="BZ24" s="10"/>
      <c r="CA24" s="10">
        <v>0.8</v>
      </c>
      <c r="CB24" s="10"/>
      <c r="CC24" s="10">
        <v>0.8</v>
      </c>
      <c r="CF24" t="s">
        <v>188</v>
      </c>
      <c r="CG24" s="10"/>
      <c r="CH24" s="10">
        <v>1</v>
      </c>
      <c r="CI24" s="10"/>
      <c r="CJ24" s="10">
        <v>1</v>
      </c>
      <c r="CN24" s="10"/>
      <c r="CO24" s="10">
        <v>1</v>
      </c>
      <c r="CP24" s="10"/>
      <c r="CQ24" s="10">
        <v>1</v>
      </c>
      <c r="CU24" s="10"/>
      <c r="CV24" s="10">
        <v>1</v>
      </c>
      <c r="CW24" s="10"/>
      <c r="CX24" s="10">
        <v>1</v>
      </c>
      <c r="DB24" s="10"/>
      <c r="DC24" s="10">
        <v>1</v>
      </c>
      <c r="DD24" s="10"/>
      <c r="DE24" s="10">
        <v>1</v>
      </c>
      <c r="DI24" s="10"/>
      <c r="DJ24" s="10">
        <v>1</v>
      </c>
      <c r="DK24" s="10"/>
      <c r="DL24" s="10">
        <v>1</v>
      </c>
      <c r="DP24" s="10"/>
      <c r="DQ24" s="10">
        <v>1</v>
      </c>
      <c r="DR24" s="10"/>
      <c r="DS24" s="10">
        <v>1</v>
      </c>
      <c r="DW24" s="10"/>
      <c r="DX24" s="10"/>
      <c r="DY24" s="10"/>
      <c r="DZ24" s="10"/>
      <c r="ED24" s="10"/>
      <c r="EE24" s="10"/>
      <c r="EF24" s="10"/>
      <c r="EG24" s="10"/>
      <c r="EK24" s="10"/>
      <c r="EL24" s="10"/>
      <c r="EM24" s="10"/>
      <c r="EN24" s="10"/>
      <c r="ER24" s="10"/>
      <c r="ES24" s="10"/>
      <c r="ET24" s="10"/>
      <c r="EU24" s="10"/>
      <c r="EY24" s="10"/>
      <c r="EZ24" s="10"/>
      <c r="FA24" s="10"/>
      <c r="FB24" s="10"/>
      <c r="FF24" s="10"/>
      <c r="FG24" s="10"/>
      <c r="FH24" s="10"/>
      <c r="FI24" s="10"/>
      <c r="FM24" s="10"/>
      <c r="FN24" s="10"/>
      <c r="FO24" s="10"/>
      <c r="FP24" s="10"/>
    </row>
    <row r="25" spans="2:172" outlineLevel="1" x14ac:dyDescent="0.2">
      <c r="B25" t="s">
        <v>28</v>
      </c>
      <c r="C25" t="s">
        <v>60</v>
      </c>
      <c r="E25" s="9"/>
      <c r="F25" t="s">
        <v>68</v>
      </c>
      <c r="G25" s="10">
        <v>0.05</v>
      </c>
      <c r="I25" s="9">
        <f t="shared" si="2"/>
        <v>0</v>
      </c>
      <c r="J25" s="11" cm="1">
        <f t="array" ref="J25">MAX(IF($N$3:$EH$3=$J$3,N25:EH25))</f>
        <v>0</v>
      </c>
      <c r="K25" s="11" cm="1">
        <f t="array" ref="K25">MAX(IF($N$3:$EH$3=$J$3,N25:EH25))</f>
        <v>0</v>
      </c>
      <c r="L25" s="9"/>
      <c r="O25" s="10"/>
      <c r="P25" s="10"/>
      <c r="Q25" s="10"/>
      <c r="R25" s="10"/>
      <c r="V25" s="10"/>
      <c r="W25" s="10"/>
      <c r="X25" s="10"/>
      <c r="Y25" s="10"/>
      <c r="AC25" s="10"/>
      <c r="AD25" s="10"/>
      <c r="AE25" s="10"/>
      <c r="AF25" s="10"/>
      <c r="AJ25" s="10"/>
      <c r="AK25" s="10"/>
      <c r="AL25" s="10"/>
      <c r="AM25" s="10"/>
      <c r="AQ25" s="10"/>
      <c r="AR25" s="10"/>
      <c r="AS25" s="10"/>
      <c r="AT25" s="10"/>
      <c r="AX25" s="10"/>
      <c r="AY25" s="10"/>
      <c r="AZ25" s="10"/>
      <c r="BA25" s="10"/>
      <c r="BE25" s="10"/>
      <c r="BF25" s="10"/>
      <c r="BG25" s="10"/>
      <c r="BH25" s="10"/>
      <c r="BL25" s="10"/>
      <c r="BN25" s="10"/>
      <c r="BR25" t="s">
        <v>188</v>
      </c>
      <c r="BS25" s="10"/>
      <c r="BT25" s="10">
        <v>0.5</v>
      </c>
      <c r="BU25" s="10"/>
      <c r="BV25" s="10">
        <v>0.5</v>
      </c>
      <c r="BY25" t="s">
        <v>188</v>
      </c>
      <c r="BZ25" s="10"/>
      <c r="CA25" s="10">
        <v>0.8</v>
      </c>
      <c r="CB25" s="10"/>
      <c r="CC25" s="10">
        <v>0.8</v>
      </c>
      <c r="CF25" t="s">
        <v>188</v>
      </c>
      <c r="CG25" s="10"/>
      <c r="CH25" s="10">
        <v>1</v>
      </c>
      <c r="CI25" s="10"/>
      <c r="CJ25" s="10">
        <v>1</v>
      </c>
      <c r="CN25" s="10"/>
      <c r="CO25" s="10">
        <v>1</v>
      </c>
      <c r="CP25" s="10"/>
      <c r="CQ25" s="10">
        <v>1</v>
      </c>
      <c r="CU25" s="10"/>
      <c r="CV25" s="10">
        <v>1</v>
      </c>
      <c r="CW25" s="10"/>
      <c r="CX25" s="10">
        <v>1</v>
      </c>
      <c r="DB25" s="10"/>
      <c r="DC25" s="10">
        <v>1</v>
      </c>
      <c r="DD25" s="10"/>
      <c r="DE25" s="10">
        <v>1</v>
      </c>
      <c r="DI25" s="10"/>
      <c r="DJ25" s="10">
        <v>1</v>
      </c>
      <c r="DK25" s="10"/>
      <c r="DL25" s="10">
        <v>1</v>
      </c>
      <c r="DP25" s="10"/>
      <c r="DQ25" s="10">
        <v>1</v>
      </c>
      <c r="DR25" s="10"/>
      <c r="DS25" s="10">
        <v>1</v>
      </c>
      <c r="DW25" s="10"/>
      <c r="DX25" s="10"/>
      <c r="DY25" s="10"/>
      <c r="DZ25" s="10"/>
      <c r="ED25" s="10"/>
      <c r="EE25" s="10"/>
      <c r="EF25" s="10"/>
      <c r="EG25" s="10"/>
      <c r="EK25" s="10"/>
      <c r="EL25" s="10"/>
      <c r="EM25" s="10"/>
      <c r="EN25" s="10"/>
      <c r="ER25" s="10"/>
      <c r="ES25" s="10"/>
      <c r="ET25" s="10"/>
      <c r="EU25" s="10"/>
      <c r="EY25" s="10"/>
      <c r="EZ25" s="10"/>
      <c r="FA25" s="10"/>
      <c r="FB25" s="10"/>
      <c r="FF25" s="10"/>
      <c r="FG25" s="10"/>
      <c r="FH25" s="10"/>
      <c r="FI25" s="10"/>
      <c r="FM25" s="10"/>
      <c r="FN25" s="10"/>
      <c r="FO25" s="10"/>
      <c r="FP25" s="10"/>
    </row>
    <row r="26" spans="2:172" outlineLevel="1" x14ac:dyDescent="0.2">
      <c r="B26" t="s">
        <v>28</v>
      </c>
      <c r="C26" t="s">
        <v>60</v>
      </c>
      <c r="E26" s="9"/>
      <c r="F26" t="s">
        <v>69</v>
      </c>
      <c r="G26" s="10">
        <v>0.05</v>
      </c>
      <c r="I26" s="9">
        <f t="shared" si="2"/>
        <v>0</v>
      </c>
      <c r="J26" s="11" cm="1">
        <f t="array" ref="J26">MAX(IF($N$3:$EH$3=$J$3,N26:EH26))</f>
        <v>0</v>
      </c>
      <c r="K26" s="11" cm="1">
        <f t="array" ref="K26">MAX(IF($N$3:$EH$3=$J$3,N26:EH26))</f>
        <v>0</v>
      </c>
      <c r="L26" s="9"/>
      <c r="O26" s="10"/>
      <c r="P26" s="10"/>
      <c r="Q26" s="10"/>
      <c r="R26" s="10"/>
      <c r="V26" s="10"/>
      <c r="W26" s="10"/>
      <c r="X26" s="10"/>
      <c r="Y26" s="10"/>
      <c r="AC26" s="10"/>
      <c r="AD26" s="10"/>
      <c r="AE26" s="10"/>
      <c r="AF26" s="10"/>
      <c r="AJ26" s="10"/>
      <c r="AK26" s="10"/>
      <c r="AL26" s="10"/>
      <c r="AM26" s="10"/>
      <c r="AQ26" s="10"/>
      <c r="AR26" s="10"/>
      <c r="AS26" s="10"/>
      <c r="AT26" s="10"/>
      <c r="AX26" s="10"/>
      <c r="AY26" s="10"/>
      <c r="AZ26" s="10"/>
      <c r="BA26" s="10"/>
      <c r="BE26" s="10"/>
      <c r="BF26" s="10"/>
      <c r="BG26" s="10"/>
      <c r="BH26" s="10"/>
      <c r="BL26" s="10"/>
      <c r="BN26" s="10"/>
      <c r="BR26" t="s">
        <v>188</v>
      </c>
      <c r="BS26" s="10"/>
      <c r="BT26" s="10">
        <v>0.5</v>
      </c>
      <c r="BU26" s="10"/>
      <c r="BV26" s="10">
        <v>0.5</v>
      </c>
      <c r="BY26" t="s">
        <v>188</v>
      </c>
      <c r="BZ26" s="10"/>
      <c r="CA26" s="10">
        <v>0.8</v>
      </c>
      <c r="CB26" s="10"/>
      <c r="CC26" s="10">
        <v>0.8</v>
      </c>
      <c r="CF26" t="s">
        <v>188</v>
      </c>
      <c r="CG26" s="10"/>
      <c r="CH26" s="10">
        <v>1</v>
      </c>
      <c r="CI26" s="10"/>
      <c r="CJ26" s="10">
        <v>1</v>
      </c>
      <c r="CN26" s="10"/>
      <c r="CO26" s="10">
        <v>1</v>
      </c>
      <c r="CP26" s="10"/>
      <c r="CQ26" s="10">
        <v>1</v>
      </c>
      <c r="CU26" s="10"/>
      <c r="CV26" s="10">
        <v>1</v>
      </c>
      <c r="CW26" s="10"/>
      <c r="CX26" s="10">
        <v>1</v>
      </c>
      <c r="DB26" s="10"/>
      <c r="DC26" s="10">
        <v>1</v>
      </c>
      <c r="DD26" s="10"/>
      <c r="DE26" s="10">
        <v>1</v>
      </c>
      <c r="DI26" s="10"/>
      <c r="DJ26" s="10">
        <v>1</v>
      </c>
      <c r="DK26" s="10"/>
      <c r="DL26" s="10">
        <v>1</v>
      </c>
      <c r="DP26" s="10"/>
      <c r="DQ26" s="10">
        <v>1</v>
      </c>
      <c r="DR26" s="10"/>
      <c r="DS26" s="10">
        <v>1</v>
      </c>
      <c r="DW26" s="10"/>
      <c r="DX26" s="10"/>
      <c r="DY26" s="10"/>
      <c r="DZ26" s="10"/>
      <c r="ED26" s="10"/>
      <c r="EE26" s="10"/>
      <c r="EF26" s="10"/>
      <c r="EG26" s="10"/>
      <c r="EK26" s="10"/>
      <c r="EL26" s="10"/>
      <c r="EM26" s="10"/>
      <c r="EN26" s="10"/>
      <c r="ER26" s="10"/>
      <c r="ES26" s="10"/>
      <c r="ET26" s="10"/>
      <c r="EU26" s="10"/>
      <c r="EY26" s="10"/>
      <c r="EZ26" s="10"/>
      <c r="FA26" s="10"/>
      <c r="FB26" s="10"/>
      <c r="FF26" s="10"/>
      <c r="FG26" s="10"/>
      <c r="FH26" s="10"/>
      <c r="FI26" s="10"/>
      <c r="FM26" s="10"/>
      <c r="FN26" s="10"/>
      <c r="FO26" s="10"/>
      <c r="FP26" s="10"/>
    </row>
    <row r="27" spans="2:172" outlineLevel="1" x14ac:dyDescent="0.2">
      <c r="B27" t="s">
        <v>28</v>
      </c>
      <c r="C27" t="s">
        <v>60</v>
      </c>
      <c r="E27" s="9"/>
      <c r="F27" t="s">
        <v>70</v>
      </c>
      <c r="G27" s="10">
        <v>0.05</v>
      </c>
      <c r="I27" s="9">
        <f>+SUMIF($N$3:$ZZ$3,I$3,$N27:$ZZ27)</f>
        <v>0</v>
      </c>
      <c r="J27" s="11" cm="1">
        <f t="array" ref="J27">MAX(IF($N$3:$EH$3=$J$3,N27:EH27))</f>
        <v>0</v>
      </c>
      <c r="K27" s="11" cm="1">
        <f t="array" ref="K27">MAX(IF($N$3:$EH$3=$J$3,N27:EH27))</f>
        <v>0</v>
      </c>
      <c r="L27" s="9"/>
      <c r="O27" s="10"/>
      <c r="P27" s="10"/>
      <c r="Q27" s="10"/>
      <c r="R27" s="10"/>
      <c r="V27" s="10"/>
      <c r="W27" s="10"/>
      <c r="X27" s="10"/>
      <c r="Y27" s="10"/>
      <c r="AC27" s="10"/>
      <c r="AD27" s="10"/>
      <c r="AE27" s="10"/>
      <c r="AF27" s="10"/>
      <c r="AJ27" s="10"/>
      <c r="AK27" s="10"/>
      <c r="AL27" s="10"/>
      <c r="AM27" s="10"/>
      <c r="AQ27" s="10"/>
      <c r="AR27" s="10"/>
      <c r="AS27" s="10"/>
      <c r="AT27" s="10"/>
      <c r="AX27" s="10"/>
      <c r="AY27" s="10"/>
      <c r="AZ27" s="10"/>
      <c r="BA27" s="10"/>
      <c r="BE27" s="10"/>
      <c r="BF27" s="10"/>
      <c r="BG27" s="10"/>
      <c r="BH27" s="10"/>
      <c r="BL27" s="10"/>
      <c r="BN27" s="10"/>
      <c r="BR27" t="s">
        <v>188</v>
      </c>
      <c r="BS27" s="10"/>
      <c r="BT27" s="10">
        <v>0.5</v>
      </c>
      <c r="BU27" s="10"/>
      <c r="BV27" s="10">
        <v>0.5</v>
      </c>
      <c r="BY27" t="s">
        <v>188</v>
      </c>
      <c r="BZ27" s="10"/>
      <c r="CA27" s="10">
        <v>0.8</v>
      </c>
      <c r="CB27" s="10"/>
      <c r="CC27" s="10">
        <v>0.8</v>
      </c>
      <c r="CF27" t="s">
        <v>188</v>
      </c>
      <c r="CG27" s="10"/>
      <c r="CH27" s="10">
        <v>1</v>
      </c>
      <c r="CI27" s="10"/>
      <c r="CJ27" s="10">
        <v>1</v>
      </c>
      <c r="CN27" s="10"/>
      <c r="CO27" s="10">
        <v>1</v>
      </c>
      <c r="CP27" s="10"/>
      <c r="CQ27" s="10">
        <v>1</v>
      </c>
      <c r="CU27" s="10"/>
      <c r="CV27" s="10">
        <v>1</v>
      </c>
      <c r="CW27" s="10"/>
      <c r="CX27" s="10">
        <v>1</v>
      </c>
      <c r="DB27" s="10"/>
      <c r="DC27" s="10">
        <v>1</v>
      </c>
      <c r="DD27" s="10"/>
      <c r="DE27" s="10">
        <v>1</v>
      </c>
      <c r="DI27" s="10"/>
      <c r="DJ27" s="10">
        <v>1</v>
      </c>
      <c r="DK27" s="10"/>
      <c r="DL27" s="10">
        <v>1</v>
      </c>
      <c r="DP27" s="10"/>
      <c r="DQ27" s="10">
        <v>1</v>
      </c>
      <c r="DR27" s="10"/>
      <c r="DS27" s="10">
        <v>1</v>
      </c>
      <c r="DW27" s="10"/>
      <c r="DX27" s="10"/>
      <c r="DY27" s="10"/>
      <c r="DZ27" s="10"/>
      <c r="ED27" s="10"/>
      <c r="EE27" s="10"/>
      <c r="EF27" s="10"/>
      <c r="EG27" s="10"/>
      <c r="EK27" s="10"/>
      <c r="EL27" s="10"/>
      <c r="EM27" s="10"/>
      <c r="EN27" s="10"/>
      <c r="ER27" s="10"/>
      <c r="ES27" s="10"/>
      <c r="ET27" s="10"/>
      <c r="EU27" s="10"/>
      <c r="EY27" s="10"/>
      <c r="EZ27" s="10"/>
      <c r="FA27" s="10"/>
      <c r="FB27" s="10"/>
      <c r="FF27" s="10"/>
      <c r="FG27" s="10"/>
      <c r="FH27" s="10"/>
      <c r="FI27" s="10"/>
      <c r="FM27" s="10"/>
      <c r="FN27" s="10"/>
      <c r="FO27" s="10"/>
      <c r="FP27" s="10"/>
    </row>
    <row r="29" spans="2:172" x14ac:dyDescent="0.2">
      <c r="B29" t="s">
        <v>27</v>
      </c>
      <c r="C29" t="s">
        <v>71</v>
      </c>
      <c r="D29" s="16">
        <v>44910</v>
      </c>
      <c r="E29" s="9">
        <v>5</v>
      </c>
      <c r="G29" s="10">
        <f>+SUM(G30:G41)</f>
        <v>1.0000000000000002</v>
      </c>
      <c r="I29" s="12">
        <f>+SUM(I30:I41)</f>
        <v>90</v>
      </c>
      <c r="J29" s="11">
        <f>+SUMPRODUCT(G30:G41,J30:J41)</f>
        <v>0.161</v>
      </c>
      <c r="K29" s="11">
        <f>+SUMPRODUCT(G30:G41,K30:K41)</f>
        <v>0.161</v>
      </c>
      <c r="L29" s="9"/>
      <c r="N29" s="12">
        <v>8</v>
      </c>
      <c r="U29" s="12">
        <f>+SUM(U30:U41)</f>
        <v>0</v>
      </c>
      <c r="AB29" s="12">
        <f>+SUM(AB30:AB41)</f>
        <v>0</v>
      </c>
      <c r="AI29" s="12">
        <f>+SUM(AI30:AI41)</f>
        <v>0</v>
      </c>
      <c r="AP29" s="12"/>
      <c r="AU29" t="s">
        <v>136</v>
      </c>
      <c r="BK29" s="12">
        <f>+SUM(BK30:BK41)</f>
        <v>0</v>
      </c>
      <c r="BR29" s="12">
        <f>+SUM(BR30:BR41)</f>
        <v>0</v>
      </c>
      <c r="BY29" s="12">
        <f>+SUM(BY30:BY41)</f>
        <v>0</v>
      </c>
      <c r="CF29" s="12">
        <f>+SUM(CF30:CF41)</f>
        <v>0</v>
      </c>
      <c r="CM29" s="12">
        <f>+SUM(CM30:CM41)</f>
        <v>16</v>
      </c>
      <c r="CT29" s="12">
        <f>+SUM(CT30:CT41)</f>
        <v>16</v>
      </c>
      <c r="DA29" s="12">
        <f>+SUM(DA30:DA41)</f>
        <v>16</v>
      </c>
      <c r="DH29" s="12">
        <f>+SUM(DH30:DH41)</f>
        <v>16</v>
      </c>
      <c r="DO29" s="12">
        <f>+SUM(DO30:DO41)</f>
        <v>16</v>
      </c>
    </row>
    <row r="30" spans="2:172" outlineLevel="1" x14ac:dyDescent="0.2">
      <c r="B30" t="s">
        <v>28</v>
      </c>
      <c r="C30" t="s">
        <v>71</v>
      </c>
      <c r="E30" s="9"/>
      <c r="F30" t="s">
        <v>115</v>
      </c>
      <c r="G30" s="10">
        <v>0.1</v>
      </c>
      <c r="I30" s="9">
        <f t="shared" ref="I30:I41" si="3">+SUMIF($N$3:$ZZ$3,I$3,$N30:$ZZ30)</f>
        <v>3</v>
      </c>
      <c r="J30" s="11" cm="1">
        <f t="array" ref="J30">MAX(IF($N$3:$EH$3=$J$3,N30:EH30))</f>
        <v>0.5</v>
      </c>
      <c r="K30" s="11" cm="1">
        <f t="array" ref="K30">MAX(IF($N$3:$EH$3=$J$3,N30:EH30))</f>
        <v>0.5</v>
      </c>
      <c r="L30" s="9"/>
      <c r="N30">
        <v>3</v>
      </c>
      <c r="O30" s="10">
        <v>0.5</v>
      </c>
      <c r="P30" s="10">
        <v>0.5</v>
      </c>
      <c r="Q30" s="10">
        <v>0.5</v>
      </c>
      <c r="R30" s="10">
        <v>0.5</v>
      </c>
      <c r="V30" s="10"/>
      <c r="W30" s="10">
        <v>0.8</v>
      </c>
      <c r="X30" s="10"/>
      <c r="Y30" s="10">
        <v>0.8</v>
      </c>
      <c r="AC30" s="10"/>
      <c r="AD30" s="10">
        <v>1</v>
      </c>
      <c r="AE30" s="10"/>
      <c r="AF30" s="10">
        <v>1</v>
      </c>
      <c r="AJ30" s="10">
        <v>0.5</v>
      </c>
      <c r="AK30" s="10">
        <v>0.5</v>
      </c>
      <c r="AL30" s="10">
        <v>0.5</v>
      </c>
      <c r="AM30" s="10">
        <v>0.5</v>
      </c>
      <c r="AQ30" s="10">
        <v>0.5</v>
      </c>
      <c r="AR30" s="10">
        <v>0.5</v>
      </c>
      <c r="AS30" s="10">
        <v>0.5</v>
      </c>
      <c r="AT30" s="10">
        <v>0.5</v>
      </c>
      <c r="AW30" t="s">
        <v>189</v>
      </c>
      <c r="AX30" s="10">
        <v>0.5</v>
      </c>
      <c r="AY30" s="10">
        <v>1</v>
      </c>
      <c r="AZ30" s="10">
        <v>0.5</v>
      </c>
      <c r="BA30" s="10">
        <v>1</v>
      </c>
      <c r="BE30" s="10"/>
      <c r="BF30" s="10">
        <v>1</v>
      </c>
      <c r="BG30" s="10"/>
      <c r="BH30" s="10">
        <v>1</v>
      </c>
      <c r="BL30" s="10"/>
      <c r="BM30" s="10">
        <v>1</v>
      </c>
      <c r="BN30" s="10"/>
      <c r="BO30" s="10">
        <v>1</v>
      </c>
      <c r="BS30" s="10"/>
      <c r="BT30" s="10">
        <v>1</v>
      </c>
      <c r="BU30" s="10"/>
      <c r="BV30" s="10">
        <v>1</v>
      </c>
      <c r="BZ30" s="10"/>
      <c r="CA30" s="10">
        <v>1</v>
      </c>
      <c r="CB30" s="10"/>
      <c r="CC30" s="10">
        <v>1</v>
      </c>
      <c r="CG30" s="10"/>
      <c r="CH30" s="10">
        <v>1</v>
      </c>
      <c r="CI30" s="10"/>
      <c r="CJ30" s="10">
        <v>1</v>
      </c>
      <c r="CM30">
        <v>0</v>
      </c>
      <c r="CN30" s="10"/>
      <c r="CO30" s="10">
        <v>1</v>
      </c>
      <c r="CP30" s="10"/>
      <c r="CQ30" s="10">
        <v>1</v>
      </c>
      <c r="CT30">
        <v>0</v>
      </c>
      <c r="CU30" s="10"/>
      <c r="CV30" s="10">
        <v>1</v>
      </c>
      <c r="CW30" s="10"/>
      <c r="CX30" s="10">
        <v>1</v>
      </c>
      <c r="DA30">
        <v>0</v>
      </c>
      <c r="DB30" s="10"/>
      <c r="DC30" s="10">
        <v>1</v>
      </c>
      <c r="DD30" s="10"/>
      <c r="DE30" s="10">
        <v>1</v>
      </c>
      <c r="DH30">
        <v>0</v>
      </c>
      <c r="DI30" s="10"/>
      <c r="DJ30" s="10">
        <v>1</v>
      </c>
      <c r="DK30" s="10"/>
      <c r="DL30" s="10">
        <v>1</v>
      </c>
      <c r="DO30">
        <v>0</v>
      </c>
      <c r="DP30" s="10"/>
      <c r="DQ30" s="10">
        <v>1</v>
      </c>
      <c r="DR30" s="10"/>
      <c r="DS30" s="10">
        <v>1</v>
      </c>
      <c r="DW30" s="10"/>
      <c r="DX30" s="10"/>
      <c r="DY30" s="10"/>
      <c r="DZ30" s="10"/>
      <c r="ED30" s="10"/>
      <c r="EE30" s="10"/>
      <c r="EF30" s="10"/>
      <c r="EG30" s="10"/>
      <c r="EK30" s="10"/>
      <c r="EL30" s="10"/>
      <c r="EM30" s="10"/>
      <c r="EN30" s="10"/>
      <c r="ER30" s="10"/>
      <c r="ES30" s="10"/>
      <c r="ET30" s="10"/>
      <c r="EU30" s="10"/>
      <c r="EY30" s="10"/>
      <c r="EZ30" s="10"/>
      <c r="FA30" s="10"/>
      <c r="FB30" s="10"/>
      <c r="FF30" s="10"/>
      <c r="FG30" s="10"/>
      <c r="FH30" s="10"/>
      <c r="FI30" s="10"/>
      <c r="FM30" s="10"/>
      <c r="FN30" s="10"/>
      <c r="FO30" s="10"/>
      <c r="FP30" s="10"/>
    </row>
    <row r="31" spans="2:172" outlineLevel="1" x14ac:dyDescent="0.2">
      <c r="B31" t="s">
        <v>28</v>
      </c>
      <c r="C31" t="s">
        <v>72</v>
      </c>
      <c r="E31" s="9"/>
      <c r="F31" t="s">
        <v>116</v>
      </c>
      <c r="G31" s="10">
        <v>0.1</v>
      </c>
      <c r="I31" s="9">
        <f t="shared" si="3"/>
        <v>2</v>
      </c>
      <c r="J31" s="11" cm="1">
        <f t="array" ref="J31">MAX(IF($N$3:$EH$3=$J$3,N31:EH31))</f>
        <v>0.5</v>
      </c>
      <c r="K31" s="11" cm="1">
        <f t="array" ref="K31">MAX(IF($N$3:$EH$3=$J$3,N31:EH31))</f>
        <v>0.5</v>
      </c>
      <c r="L31" s="9"/>
      <c r="N31">
        <v>2</v>
      </c>
      <c r="O31" s="10">
        <v>0.3</v>
      </c>
      <c r="P31" s="10">
        <v>0.3</v>
      </c>
      <c r="Q31" s="10">
        <v>0.3</v>
      </c>
      <c r="R31" s="10">
        <v>0.3</v>
      </c>
      <c r="V31" s="10"/>
      <c r="W31" s="10">
        <v>0.5</v>
      </c>
      <c r="X31" s="10"/>
      <c r="Y31" s="10">
        <v>0.5</v>
      </c>
      <c r="AC31" s="10"/>
      <c r="AD31" s="10">
        <v>0.8</v>
      </c>
      <c r="AE31" s="10"/>
      <c r="AF31" s="10">
        <v>0.8</v>
      </c>
      <c r="AJ31" s="10">
        <v>0.5</v>
      </c>
      <c r="AK31" s="10">
        <v>0.5</v>
      </c>
      <c r="AL31" s="10">
        <v>0.5</v>
      </c>
      <c r="AM31" s="10">
        <v>0.5</v>
      </c>
      <c r="AQ31" s="10">
        <v>0.5</v>
      </c>
      <c r="AR31" s="10">
        <v>0.5</v>
      </c>
      <c r="AS31" s="10">
        <v>0.5</v>
      </c>
      <c r="AT31" s="10">
        <v>0.5</v>
      </c>
      <c r="AW31" t="s">
        <v>188</v>
      </c>
      <c r="AX31" s="10">
        <v>0.5</v>
      </c>
      <c r="AY31" s="10">
        <v>0.8</v>
      </c>
      <c r="AZ31" s="10">
        <v>0.5</v>
      </c>
      <c r="BA31" s="10">
        <v>0.8</v>
      </c>
      <c r="BD31" t="s">
        <v>188</v>
      </c>
      <c r="BE31" s="10"/>
      <c r="BF31" s="10">
        <v>1</v>
      </c>
      <c r="BG31" s="10"/>
      <c r="BH31" s="10">
        <v>1</v>
      </c>
      <c r="BL31" s="10"/>
      <c r="BM31" s="10">
        <v>1</v>
      </c>
      <c r="BN31" s="10"/>
      <c r="BO31" s="10">
        <v>1</v>
      </c>
      <c r="BS31" s="10"/>
      <c r="BT31" s="10">
        <v>1</v>
      </c>
      <c r="BU31" s="10"/>
      <c r="BV31" s="10">
        <v>1</v>
      </c>
      <c r="BZ31" s="10"/>
      <c r="CA31" s="10">
        <v>1</v>
      </c>
      <c r="CB31" s="10"/>
      <c r="CC31" s="10">
        <v>1</v>
      </c>
      <c r="CG31" s="10"/>
      <c r="CH31" s="10">
        <v>1</v>
      </c>
      <c r="CI31" s="10"/>
      <c r="CJ31" s="10">
        <v>1</v>
      </c>
      <c r="CM31">
        <v>0</v>
      </c>
      <c r="CN31" s="10"/>
      <c r="CO31" s="10">
        <v>1</v>
      </c>
      <c r="CP31" s="10"/>
      <c r="CQ31" s="10">
        <v>1</v>
      </c>
      <c r="CT31">
        <v>0</v>
      </c>
      <c r="CU31" s="10"/>
      <c r="CV31" s="10">
        <v>1</v>
      </c>
      <c r="CW31" s="10"/>
      <c r="CX31" s="10">
        <v>1</v>
      </c>
      <c r="DA31">
        <v>0</v>
      </c>
      <c r="DB31" s="10"/>
      <c r="DC31" s="10">
        <v>1</v>
      </c>
      <c r="DD31" s="10"/>
      <c r="DE31" s="10">
        <v>1</v>
      </c>
      <c r="DH31">
        <v>0</v>
      </c>
      <c r="DI31" s="10"/>
      <c r="DJ31" s="10">
        <v>1</v>
      </c>
      <c r="DK31" s="10"/>
      <c r="DL31" s="10">
        <v>1</v>
      </c>
      <c r="DO31">
        <v>0</v>
      </c>
      <c r="DP31" s="10"/>
      <c r="DQ31" s="10">
        <v>1</v>
      </c>
      <c r="DR31" s="10"/>
      <c r="DS31" s="10">
        <v>1</v>
      </c>
      <c r="DW31" s="10"/>
      <c r="DX31" s="10"/>
      <c r="DY31" s="10"/>
      <c r="DZ31" s="10"/>
      <c r="ED31" s="10"/>
      <c r="EE31" s="10"/>
      <c r="EF31" s="10"/>
      <c r="EG31" s="10"/>
      <c r="EK31" s="10"/>
      <c r="EL31" s="10"/>
      <c r="EM31" s="10"/>
      <c r="EN31" s="10"/>
      <c r="ER31" s="10"/>
      <c r="ES31" s="10"/>
      <c r="ET31" s="10"/>
      <c r="EU31" s="10"/>
      <c r="EY31" s="10"/>
      <c r="EZ31" s="10"/>
      <c r="FA31" s="10"/>
      <c r="FB31" s="10"/>
      <c r="FF31" s="10"/>
      <c r="FG31" s="10"/>
      <c r="FH31" s="10"/>
      <c r="FI31" s="10"/>
      <c r="FM31" s="10"/>
      <c r="FN31" s="10"/>
      <c r="FO31" s="10"/>
      <c r="FP31" s="10"/>
    </row>
    <row r="32" spans="2:172" outlineLevel="1" x14ac:dyDescent="0.2">
      <c r="B32" t="s">
        <v>28</v>
      </c>
      <c r="C32" t="s">
        <v>72</v>
      </c>
      <c r="E32" s="9"/>
      <c r="F32" t="s">
        <v>117</v>
      </c>
      <c r="G32" s="10">
        <v>0.08</v>
      </c>
      <c r="I32" s="9">
        <f t="shared" si="3"/>
        <v>2</v>
      </c>
      <c r="J32" s="11" cm="1">
        <f t="array" ref="J32">MAX(IF($N$3:$EH$3=$J$3,N32:EH32))</f>
        <v>0.5</v>
      </c>
      <c r="K32" s="11" cm="1">
        <f t="array" ref="K32">MAX(IF($N$3:$EH$3=$J$3,N32:EH32))</f>
        <v>0.5</v>
      </c>
      <c r="L32" s="9"/>
      <c r="N32">
        <v>2</v>
      </c>
      <c r="O32" s="10">
        <v>0.3</v>
      </c>
      <c r="P32" s="10">
        <v>0.3</v>
      </c>
      <c r="Q32" s="10">
        <v>0.2</v>
      </c>
      <c r="R32" s="10">
        <v>0.3</v>
      </c>
      <c r="V32" s="10"/>
      <c r="W32" s="10">
        <v>0.5</v>
      </c>
      <c r="X32" s="10"/>
      <c r="Y32" s="10">
        <v>0.5</v>
      </c>
      <c r="AC32" s="10"/>
      <c r="AD32" s="10">
        <v>0.8</v>
      </c>
      <c r="AE32" s="10"/>
      <c r="AF32" s="10">
        <v>0.8</v>
      </c>
      <c r="AJ32" s="10">
        <v>0.5</v>
      </c>
      <c r="AK32" s="10">
        <v>0.5</v>
      </c>
      <c r="AL32" s="10">
        <v>0.5</v>
      </c>
      <c r="AM32" s="10">
        <v>0.5</v>
      </c>
      <c r="AQ32" s="10">
        <v>0.5</v>
      </c>
      <c r="AR32" s="10">
        <v>0.5</v>
      </c>
      <c r="AS32" s="10">
        <v>0.5</v>
      </c>
      <c r="AT32" s="10">
        <v>0.5</v>
      </c>
      <c r="AW32" t="s">
        <v>188</v>
      </c>
      <c r="AX32" s="10">
        <v>0.5</v>
      </c>
      <c r="AY32" s="10">
        <v>0.8</v>
      </c>
      <c r="AZ32" s="10">
        <v>0.5</v>
      </c>
      <c r="BA32" s="10">
        <v>0.8</v>
      </c>
      <c r="BD32" t="s">
        <v>188</v>
      </c>
      <c r="BE32" s="10"/>
      <c r="BF32" s="10">
        <v>1</v>
      </c>
      <c r="BG32" s="10"/>
      <c r="BH32" s="10">
        <v>1</v>
      </c>
      <c r="BL32" s="10"/>
      <c r="BM32" s="10">
        <v>1</v>
      </c>
      <c r="BN32" s="10"/>
      <c r="BO32" s="10">
        <v>1</v>
      </c>
      <c r="BS32" s="10"/>
      <c r="BT32" s="10">
        <v>1</v>
      </c>
      <c r="BU32" s="10"/>
      <c r="BV32" s="10">
        <v>1</v>
      </c>
      <c r="BZ32" s="10"/>
      <c r="CA32" s="10">
        <v>1</v>
      </c>
      <c r="CB32" s="10"/>
      <c r="CC32" s="10">
        <v>1</v>
      </c>
      <c r="CG32" s="10"/>
      <c r="CH32" s="10">
        <v>1</v>
      </c>
      <c r="CI32" s="10"/>
      <c r="CJ32" s="10">
        <v>1</v>
      </c>
      <c r="CM32">
        <v>0</v>
      </c>
      <c r="CN32" s="10"/>
      <c r="CO32" s="10">
        <v>1</v>
      </c>
      <c r="CP32" s="10"/>
      <c r="CQ32" s="10">
        <v>1</v>
      </c>
      <c r="CT32">
        <v>0</v>
      </c>
      <c r="CU32" s="10"/>
      <c r="CV32" s="10">
        <v>1</v>
      </c>
      <c r="CW32" s="10"/>
      <c r="CX32" s="10">
        <v>1</v>
      </c>
      <c r="DA32">
        <v>0</v>
      </c>
      <c r="DB32" s="10"/>
      <c r="DC32" s="10">
        <v>1</v>
      </c>
      <c r="DD32" s="10"/>
      <c r="DE32" s="10">
        <v>1</v>
      </c>
      <c r="DH32">
        <v>0</v>
      </c>
      <c r="DI32" s="10"/>
      <c r="DJ32" s="10">
        <v>1</v>
      </c>
      <c r="DK32" s="10"/>
      <c r="DL32" s="10">
        <v>1</v>
      </c>
      <c r="DO32">
        <v>0</v>
      </c>
      <c r="DP32" s="10"/>
      <c r="DQ32" s="10">
        <v>1</v>
      </c>
      <c r="DR32" s="10"/>
      <c r="DS32" s="10">
        <v>1</v>
      </c>
      <c r="DW32" s="10"/>
      <c r="DX32" s="10"/>
      <c r="DY32" s="10"/>
      <c r="DZ32" s="10"/>
      <c r="ED32" s="10"/>
      <c r="EE32" s="10"/>
      <c r="EF32" s="10"/>
      <c r="EG32" s="10"/>
      <c r="EK32" s="10"/>
      <c r="EL32" s="10"/>
      <c r="EM32" s="10"/>
      <c r="EN32" s="10"/>
      <c r="ER32" s="10"/>
      <c r="ES32" s="10"/>
      <c r="ET32" s="10"/>
      <c r="EU32" s="10"/>
      <c r="EY32" s="10"/>
      <c r="EZ32" s="10"/>
      <c r="FA32" s="10"/>
      <c r="FB32" s="10"/>
      <c r="FF32" s="10"/>
      <c r="FG32" s="10"/>
      <c r="FH32" s="10"/>
      <c r="FI32" s="10"/>
      <c r="FM32" s="10"/>
      <c r="FN32" s="10"/>
      <c r="FO32" s="10"/>
      <c r="FP32" s="10"/>
    </row>
    <row r="33" spans="2:172" outlineLevel="1" x14ac:dyDescent="0.2">
      <c r="B33" t="s">
        <v>28</v>
      </c>
      <c r="C33" t="s">
        <v>72</v>
      </c>
      <c r="E33" s="9"/>
      <c r="F33" t="s">
        <v>118</v>
      </c>
      <c r="G33" s="10">
        <v>7.0000000000000007E-2</v>
      </c>
      <c r="I33" s="9">
        <f t="shared" si="3"/>
        <v>3</v>
      </c>
      <c r="J33" s="11" cm="1">
        <f t="array" ref="J33">MAX(IF($N$3:$EH$3=$J$3,N33:EH33))</f>
        <v>0.3</v>
      </c>
      <c r="K33" s="11" cm="1">
        <f t="array" ref="K33">MAX(IF($N$3:$EH$3=$J$3,N33:EH33))</f>
        <v>0.3</v>
      </c>
      <c r="L33" s="9"/>
      <c r="N33">
        <v>3</v>
      </c>
      <c r="O33" s="10">
        <v>0.3</v>
      </c>
      <c r="P33" s="10">
        <v>0.3</v>
      </c>
      <c r="Q33" s="10"/>
      <c r="R33" s="10">
        <v>0.3</v>
      </c>
      <c r="V33" s="10"/>
      <c r="W33" s="10">
        <v>0.5</v>
      </c>
      <c r="X33" s="10"/>
      <c r="Y33" s="10">
        <v>0.5</v>
      </c>
      <c r="AC33" s="10"/>
      <c r="AD33" s="10">
        <v>0.8</v>
      </c>
      <c r="AE33" s="10"/>
      <c r="AF33" s="10">
        <v>0.8</v>
      </c>
      <c r="AJ33" s="10"/>
      <c r="AK33" s="10"/>
      <c r="AL33" s="10"/>
      <c r="AM33" s="10"/>
      <c r="AQ33" s="10"/>
      <c r="AR33" s="10"/>
      <c r="AS33" s="10"/>
      <c r="AT33" s="10"/>
      <c r="AW33" t="s">
        <v>189</v>
      </c>
      <c r="AX33" s="10"/>
      <c r="AY33" s="10">
        <v>0.8</v>
      </c>
      <c r="AZ33" s="10"/>
      <c r="BA33" s="10">
        <v>0.8</v>
      </c>
      <c r="BD33" t="s">
        <v>188</v>
      </c>
      <c r="BE33" s="10"/>
      <c r="BF33" s="10">
        <v>1</v>
      </c>
      <c r="BG33" s="10"/>
      <c r="BH33" s="10">
        <v>1</v>
      </c>
      <c r="BL33" s="10"/>
      <c r="BM33" s="10">
        <v>1</v>
      </c>
      <c r="BN33" s="10"/>
      <c r="BO33" s="10">
        <v>1</v>
      </c>
      <c r="BS33" s="10"/>
      <c r="BT33" s="10">
        <v>1</v>
      </c>
      <c r="BU33" s="10"/>
      <c r="BV33" s="10">
        <v>1</v>
      </c>
      <c r="BZ33" s="10"/>
      <c r="CA33" s="10">
        <v>1</v>
      </c>
      <c r="CB33" s="10"/>
      <c r="CC33" s="10">
        <v>1</v>
      </c>
      <c r="CG33" s="10"/>
      <c r="CH33" s="10">
        <v>1</v>
      </c>
      <c r="CI33" s="10"/>
      <c r="CJ33" s="10">
        <v>1</v>
      </c>
      <c r="CM33">
        <v>0</v>
      </c>
      <c r="CN33" s="10"/>
      <c r="CO33" s="10">
        <v>1</v>
      </c>
      <c r="CP33" s="10"/>
      <c r="CQ33" s="10">
        <v>1</v>
      </c>
      <c r="CT33">
        <v>0</v>
      </c>
      <c r="CU33" s="10"/>
      <c r="CV33" s="10">
        <v>1</v>
      </c>
      <c r="CW33" s="10"/>
      <c r="CX33" s="10">
        <v>1</v>
      </c>
      <c r="DA33">
        <v>0</v>
      </c>
      <c r="DB33" s="10"/>
      <c r="DC33" s="10">
        <v>1</v>
      </c>
      <c r="DD33" s="10"/>
      <c r="DE33" s="10">
        <v>1</v>
      </c>
      <c r="DH33">
        <v>0</v>
      </c>
      <c r="DI33" s="10"/>
      <c r="DJ33" s="10">
        <v>1</v>
      </c>
      <c r="DK33" s="10"/>
      <c r="DL33" s="10">
        <v>1</v>
      </c>
      <c r="DO33">
        <v>0</v>
      </c>
      <c r="DP33" s="10"/>
      <c r="DQ33" s="10">
        <v>1</v>
      </c>
      <c r="DR33" s="10"/>
      <c r="DS33" s="10">
        <v>1</v>
      </c>
      <c r="DW33" s="10"/>
      <c r="DX33" s="10"/>
      <c r="DY33" s="10"/>
      <c r="DZ33" s="10"/>
      <c r="ED33" s="10"/>
      <c r="EE33" s="10"/>
      <c r="EF33" s="10"/>
      <c r="EG33" s="10"/>
      <c r="EK33" s="10"/>
      <c r="EL33" s="10"/>
      <c r="EM33" s="10"/>
      <c r="EN33" s="10"/>
      <c r="ER33" s="10"/>
      <c r="ES33" s="10"/>
      <c r="ET33" s="10"/>
      <c r="EU33" s="10"/>
      <c r="EY33" s="10"/>
      <c r="EZ33" s="10"/>
      <c r="FA33" s="10"/>
      <c r="FB33" s="10"/>
      <c r="FF33" s="10"/>
      <c r="FG33" s="10"/>
      <c r="FH33" s="10"/>
      <c r="FI33" s="10"/>
      <c r="FM33" s="10"/>
      <c r="FN33" s="10"/>
      <c r="FO33" s="10"/>
      <c r="FP33" s="10"/>
    </row>
    <row r="34" spans="2:172" outlineLevel="1" x14ac:dyDescent="0.2">
      <c r="B34" t="s">
        <v>28</v>
      </c>
      <c r="C34" t="s">
        <v>72</v>
      </c>
      <c r="E34" s="9"/>
      <c r="F34" t="s">
        <v>119</v>
      </c>
      <c r="G34" s="10">
        <v>7.0000000000000007E-2</v>
      </c>
      <c r="I34" s="9">
        <f t="shared" si="3"/>
        <v>10</v>
      </c>
      <c r="J34" s="11" cm="1">
        <f t="array" ref="J34">MAX(IF($N$3:$EH$3=$J$3,N34:EH34))</f>
        <v>0</v>
      </c>
      <c r="K34" s="11" cm="1">
        <f t="array" ref="K34">MAX(IF($N$3:$EH$3=$J$3,N34:EH34))</f>
        <v>0</v>
      </c>
      <c r="L34" s="9"/>
      <c r="O34" s="10"/>
      <c r="P34" s="10"/>
      <c r="Q34" s="10"/>
      <c r="R34" s="10"/>
      <c r="V34" s="10"/>
      <c r="W34" s="10">
        <v>0.3</v>
      </c>
      <c r="X34" s="10"/>
      <c r="Y34" s="10">
        <v>0.3</v>
      </c>
      <c r="AC34" s="10"/>
      <c r="AD34" s="10">
        <v>0.5</v>
      </c>
      <c r="AE34" s="10"/>
      <c r="AF34" s="10">
        <v>0.5</v>
      </c>
      <c r="AJ34" s="10"/>
      <c r="AK34" s="10"/>
      <c r="AL34" s="10"/>
      <c r="AM34" s="10"/>
      <c r="AQ34" s="10"/>
      <c r="AR34" s="10"/>
      <c r="AS34" s="10"/>
      <c r="AT34" s="10"/>
      <c r="AW34" t="s">
        <v>188</v>
      </c>
      <c r="AX34" s="10"/>
      <c r="AY34" s="10">
        <v>0.5</v>
      </c>
      <c r="AZ34" s="10"/>
      <c r="BA34" s="10">
        <v>0.5</v>
      </c>
      <c r="BD34" t="s">
        <v>188</v>
      </c>
      <c r="BE34" s="10"/>
      <c r="BF34" s="10">
        <v>0.8</v>
      </c>
      <c r="BG34" s="10"/>
      <c r="BH34" s="10">
        <v>0.8</v>
      </c>
      <c r="BK34" t="s">
        <v>188</v>
      </c>
      <c r="BL34" s="10"/>
      <c r="BM34" s="10">
        <v>1</v>
      </c>
      <c r="BN34" s="10"/>
      <c r="BO34" s="10">
        <v>1</v>
      </c>
      <c r="BS34" s="10"/>
      <c r="BT34" s="10">
        <v>1</v>
      </c>
      <c r="BU34" s="10"/>
      <c r="BV34" s="10">
        <v>1</v>
      </c>
      <c r="BZ34" s="10"/>
      <c r="CA34" s="10">
        <v>1</v>
      </c>
      <c r="CB34" s="10"/>
      <c r="CC34" s="10">
        <v>1</v>
      </c>
      <c r="CG34" s="10"/>
      <c r="CH34" s="10">
        <v>1</v>
      </c>
      <c r="CI34" s="10"/>
      <c r="CJ34" s="10">
        <v>1</v>
      </c>
      <c r="CM34">
        <v>2</v>
      </c>
      <c r="CN34" s="10"/>
      <c r="CO34" s="10">
        <v>1</v>
      </c>
      <c r="CP34" s="10"/>
      <c r="CQ34" s="10">
        <v>1</v>
      </c>
      <c r="CT34">
        <v>2</v>
      </c>
      <c r="CU34" s="10"/>
      <c r="CV34" s="10">
        <v>1</v>
      </c>
      <c r="CW34" s="10"/>
      <c r="CX34" s="10">
        <v>1</v>
      </c>
      <c r="DA34">
        <v>2</v>
      </c>
      <c r="DB34" s="10"/>
      <c r="DC34" s="10">
        <v>1</v>
      </c>
      <c r="DD34" s="10"/>
      <c r="DE34" s="10">
        <v>1</v>
      </c>
      <c r="DH34">
        <v>2</v>
      </c>
      <c r="DI34" s="10"/>
      <c r="DJ34" s="10">
        <v>1</v>
      </c>
      <c r="DK34" s="10"/>
      <c r="DL34" s="10">
        <v>1</v>
      </c>
      <c r="DO34">
        <v>2</v>
      </c>
      <c r="DP34" s="10"/>
      <c r="DQ34" s="10">
        <v>1</v>
      </c>
      <c r="DR34" s="10"/>
      <c r="DS34" s="10">
        <v>1</v>
      </c>
      <c r="DW34" s="10"/>
      <c r="DX34" s="10"/>
      <c r="DY34" s="10"/>
      <c r="DZ34" s="10"/>
      <c r="ED34" s="10"/>
      <c r="EE34" s="10"/>
      <c r="EF34" s="10"/>
      <c r="EG34" s="10"/>
      <c r="EK34" s="10"/>
      <c r="EL34" s="10"/>
      <c r="EM34" s="10"/>
      <c r="EN34" s="10"/>
      <c r="ER34" s="10"/>
      <c r="ES34" s="10"/>
      <c r="ET34" s="10"/>
      <c r="EU34" s="10"/>
      <c r="EY34" s="10"/>
      <c r="EZ34" s="10"/>
      <c r="FA34" s="10"/>
      <c r="FB34" s="10"/>
      <c r="FF34" s="10"/>
      <c r="FG34" s="10"/>
      <c r="FH34" s="10"/>
      <c r="FI34" s="10"/>
      <c r="FM34" s="10"/>
      <c r="FN34" s="10"/>
      <c r="FO34" s="10"/>
      <c r="FP34" s="10"/>
    </row>
    <row r="35" spans="2:172" outlineLevel="1" x14ac:dyDescent="0.2">
      <c r="B35" t="s">
        <v>28</v>
      </c>
      <c r="C35" t="s">
        <v>73</v>
      </c>
      <c r="E35" s="9"/>
      <c r="F35" t="s">
        <v>120</v>
      </c>
      <c r="G35" s="10">
        <v>7.0000000000000007E-2</v>
      </c>
      <c r="I35" s="9">
        <f t="shared" si="3"/>
        <v>10</v>
      </c>
      <c r="J35" s="11" cm="1">
        <f t="array" ref="J35">MAX(IF($N$3:$EH$3=$J$3,N35:EH35))</f>
        <v>0</v>
      </c>
      <c r="K35" s="11" cm="1">
        <f t="array" ref="K35">MAX(IF($N$3:$EH$3=$J$3,N35:EH35))</f>
        <v>0</v>
      </c>
      <c r="L35" s="9"/>
      <c r="O35" s="10"/>
      <c r="P35" s="10"/>
      <c r="Q35" s="10"/>
      <c r="R35" s="10"/>
      <c r="V35" s="10"/>
      <c r="W35" s="10">
        <v>0.3</v>
      </c>
      <c r="X35" s="10"/>
      <c r="Y35" s="10">
        <v>0.3</v>
      </c>
      <c r="AC35" s="10"/>
      <c r="AD35" s="10">
        <v>0.5</v>
      </c>
      <c r="AE35" s="10"/>
      <c r="AF35" s="10">
        <v>0.5</v>
      </c>
      <c r="AJ35" s="10"/>
      <c r="AK35" s="10"/>
      <c r="AL35" s="10"/>
      <c r="AM35" s="10"/>
      <c r="AQ35" s="10"/>
      <c r="AR35" s="10"/>
      <c r="AS35" s="10"/>
      <c r="AT35" s="10"/>
      <c r="AX35" s="10"/>
      <c r="AY35" s="10"/>
      <c r="AZ35" s="10"/>
      <c r="BA35" s="10"/>
      <c r="BD35" t="s">
        <v>188</v>
      </c>
      <c r="BE35" s="10"/>
      <c r="BF35" s="10">
        <v>0.5</v>
      </c>
      <c r="BG35" s="10"/>
      <c r="BH35" s="10">
        <v>0.5</v>
      </c>
      <c r="BK35" t="s">
        <v>188</v>
      </c>
      <c r="BL35" s="10"/>
      <c r="BM35" s="10">
        <v>0.8</v>
      </c>
      <c r="BN35" s="10"/>
      <c r="BO35" s="10">
        <v>0.8</v>
      </c>
      <c r="BS35" s="10"/>
      <c r="BT35" s="10">
        <v>0.8</v>
      </c>
      <c r="BU35" s="10"/>
      <c r="BV35" s="10">
        <v>0.8</v>
      </c>
      <c r="BY35" t="s">
        <v>188</v>
      </c>
      <c r="BZ35" s="10"/>
      <c r="CA35" s="10">
        <v>1</v>
      </c>
      <c r="CB35" s="10"/>
      <c r="CC35" s="10">
        <v>1</v>
      </c>
      <c r="CG35" s="10"/>
      <c r="CH35" s="10">
        <v>1</v>
      </c>
      <c r="CI35" s="10"/>
      <c r="CJ35" s="10">
        <v>1</v>
      </c>
      <c r="CM35">
        <v>2</v>
      </c>
      <c r="CN35" s="10"/>
      <c r="CO35" s="10">
        <v>1</v>
      </c>
      <c r="CP35" s="10"/>
      <c r="CQ35" s="10">
        <v>1</v>
      </c>
      <c r="CT35">
        <v>2</v>
      </c>
      <c r="CU35" s="10"/>
      <c r="CV35" s="10">
        <v>1</v>
      </c>
      <c r="CW35" s="10"/>
      <c r="CX35" s="10">
        <v>1</v>
      </c>
      <c r="DA35">
        <v>2</v>
      </c>
      <c r="DB35" s="10"/>
      <c r="DC35" s="10">
        <v>1</v>
      </c>
      <c r="DD35" s="10"/>
      <c r="DE35" s="10">
        <v>1</v>
      </c>
      <c r="DH35">
        <v>2</v>
      </c>
      <c r="DI35" s="10"/>
      <c r="DJ35" s="10">
        <v>1</v>
      </c>
      <c r="DK35" s="10"/>
      <c r="DL35" s="10">
        <v>1</v>
      </c>
      <c r="DO35">
        <v>2</v>
      </c>
      <c r="DP35" s="10"/>
      <c r="DQ35" s="10">
        <v>1</v>
      </c>
      <c r="DR35" s="10"/>
      <c r="DS35" s="10">
        <v>1</v>
      </c>
      <c r="DW35" s="10"/>
      <c r="DX35" s="10"/>
      <c r="DY35" s="10"/>
      <c r="DZ35" s="10"/>
      <c r="ED35" s="10"/>
      <c r="EE35" s="10"/>
      <c r="EF35" s="10"/>
      <c r="EG35" s="10"/>
      <c r="EK35" s="10"/>
      <c r="EL35" s="10"/>
      <c r="EM35" s="10"/>
      <c r="EN35" s="10"/>
      <c r="ER35" s="10"/>
      <c r="ES35" s="10"/>
      <c r="ET35" s="10"/>
      <c r="EU35" s="10"/>
      <c r="EY35" s="10"/>
      <c r="EZ35" s="10"/>
      <c r="FA35" s="10"/>
      <c r="FB35" s="10"/>
      <c r="FF35" s="10"/>
      <c r="FG35" s="10"/>
      <c r="FH35" s="10"/>
      <c r="FI35" s="10"/>
      <c r="FM35" s="10"/>
      <c r="FN35" s="10"/>
      <c r="FO35" s="10"/>
      <c r="FP35" s="10"/>
    </row>
    <row r="36" spans="2:172" outlineLevel="1" x14ac:dyDescent="0.2">
      <c r="B36" t="s">
        <v>28</v>
      </c>
      <c r="C36" t="s">
        <v>73</v>
      </c>
      <c r="E36" s="9"/>
      <c r="F36" t="s">
        <v>121</v>
      </c>
      <c r="G36" s="10">
        <v>7.0000000000000007E-2</v>
      </c>
      <c r="I36" s="9">
        <f t="shared" si="3"/>
        <v>10</v>
      </c>
      <c r="J36" s="11" cm="1">
        <f t="array" ref="J36">MAX(IF($N$3:$EH$3=$J$3,N36:EH36))</f>
        <v>0</v>
      </c>
      <c r="K36" s="11" cm="1">
        <f t="array" ref="K36">MAX(IF($N$3:$EH$3=$J$3,N36:EH36))</f>
        <v>0</v>
      </c>
      <c r="L36" s="9"/>
      <c r="O36" s="10"/>
      <c r="P36" s="10"/>
      <c r="Q36" s="10"/>
      <c r="R36" s="10"/>
      <c r="V36" s="10"/>
      <c r="W36" s="10"/>
      <c r="X36" s="10"/>
      <c r="Y36" s="10"/>
      <c r="AC36" s="10"/>
      <c r="AD36" s="10">
        <v>0.5</v>
      </c>
      <c r="AE36" s="10"/>
      <c r="AF36" s="10">
        <v>0.5</v>
      </c>
      <c r="AJ36" s="10"/>
      <c r="AK36" s="10"/>
      <c r="AL36" s="10"/>
      <c r="AM36" s="10"/>
      <c r="AQ36" s="10"/>
      <c r="AR36" s="10"/>
      <c r="AS36" s="10"/>
      <c r="AT36" s="10"/>
      <c r="AX36" s="10"/>
      <c r="AY36" s="10"/>
      <c r="AZ36" s="10"/>
      <c r="BA36" s="10"/>
      <c r="BD36" t="s">
        <v>188</v>
      </c>
      <c r="BE36" s="10"/>
      <c r="BF36" s="10">
        <v>0.5</v>
      </c>
      <c r="BG36" s="10"/>
      <c r="BH36" s="10">
        <v>0.5</v>
      </c>
      <c r="BK36" t="s">
        <v>188</v>
      </c>
      <c r="BL36" s="10"/>
      <c r="BM36" s="10">
        <v>0.8</v>
      </c>
      <c r="BN36" s="10"/>
      <c r="BO36" s="10">
        <v>0.8</v>
      </c>
      <c r="BS36" s="10"/>
      <c r="BT36" s="10">
        <v>0.8</v>
      </c>
      <c r="BU36" s="10"/>
      <c r="BV36" s="10">
        <v>0.8</v>
      </c>
      <c r="BY36" t="s">
        <v>188</v>
      </c>
      <c r="BZ36" s="10"/>
      <c r="CA36" s="10">
        <v>1</v>
      </c>
      <c r="CB36" s="10"/>
      <c r="CC36" s="10">
        <v>1</v>
      </c>
      <c r="CG36" s="10"/>
      <c r="CH36" s="10">
        <v>1</v>
      </c>
      <c r="CI36" s="10"/>
      <c r="CJ36" s="10">
        <v>1</v>
      </c>
      <c r="CM36">
        <v>2</v>
      </c>
      <c r="CN36" s="10"/>
      <c r="CO36" s="10">
        <v>1</v>
      </c>
      <c r="CP36" s="10"/>
      <c r="CQ36" s="10">
        <v>1</v>
      </c>
      <c r="CT36">
        <v>2</v>
      </c>
      <c r="CU36" s="10"/>
      <c r="CV36" s="10">
        <v>1</v>
      </c>
      <c r="CW36" s="10"/>
      <c r="CX36" s="10">
        <v>1</v>
      </c>
      <c r="DA36">
        <v>2</v>
      </c>
      <c r="DB36" s="10"/>
      <c r="DC36" s="10">
        <v>1</v>
      </c>
      <c r="DD36" s="10"/>
      <c r="DE36" s="10">
        <v>1</v>
      </c>
      <c r="DH36">
        <v>2</v>
      </c>
      <c r="DI36" s="10"/>
      <c r="DJ36" s="10">
        <v>1</v>
      </c>
      <c r="DK36" s="10"/>
      <c r="DL36" s="10">
        <v>1</v>
      </c>
      <c r="DO36">
        <v>2</v>
      </c>
      <c r="DP36" s="10"/>
      <c r="DQ36" s="10">
        <v>1</v>
      </c>
      <c r="DR36" s="10"/>
      <c r="DS36" s="10">
        <v>1</v>
      </c>
      <c r="DW36" s="10"/>
      <c r="DX36" s="10"/>
      <c r="DY36" s="10"/>
      <c r="DZ36" s="10"/>
      <c r="ED36" s="10"/>
      <c r="EE36" s="10"/>
      <c r="EF36" s="10"/>
      <c r="EG36" s="10"/>
      <c r="EK36" s="10"/>
      <c r="EL36" s="10"/>
      <c r="EM36" s="10"/>
      <c r="EN36" s="10"/>
      <c r="ER36" s="10"/>
      <c r="ES36" s="10"/>
      <c r="ET36" s="10"/>
      <c r="EU36" s="10"/>
      <c r="EY36" s="10"/>
      <c r="EZ36" s="10"/>
      <c r="FA36" s="10"/>
      <c r="FB36" s="10"/>
      <c r="FF36" s="10"/>
      <c r="FG36" s="10"/>
      <c r="FH36" s="10"/>
      <c r="FI36" s="10"/>
      <c r="FM36" s="10"/>
      <c r="FN36" s="10"/>
      <c r="FO36" s="10"/>
      <c r="FP36" s="10"/>
    </row>
    <row r="37" spans="2:172" outlineLevel="1" x14ac:dyDescent="0.2">
      <c r="B37" t="s">
        <v>28</v>
      </c>
      <c r="C37" t="s">
        <v>73</v>
      </c>
      <c r="E37" s="9"/>
      <c r="F37" t="s">
        <v>122</v>
      </c>
      <c r="G37" s="10">
        <v>7.0000000000000007E-2</v>
      </c>
      <c r="I37" s="9">
        <f t="shared" si="3"/>
        <v>10</v>
      </c>
      <c r="J37" s="11" cm="1">
        <f t="array" ref="J37">MAX(IF($N$3:$EH$3=$J$3,N37:EH37))</f>
        <v>0</v>
      </c>
      <c r="K37" s="11" cm="1">
        <f t="array" ref="K37">MAX(IF($N$3:$EH$3=$J$3,N37:EH37))</f>
        <v>0</v>
      </c>
      <c r="L37" s="9"/>
      <c r="O37" s="10"/>
      <c r="P37" s="10"/>
      <c r="Q37" s="10"/>
      <c r="R37" s="10"/>
      <c r="V37" s="10"/>
      <c r="W37" s="10"/>
      <c r="X37" s="10"/>
      <c r="Y37" s="10"/>
      <c r="AC37" s="10"/>
      <c r="AD37" s="10">
        <v>0.5</v>
      </c>
      <c r="AE37" s="10"/>
      <c r="AF37" s="10">
        <v>0.5</v>
      </c>
      <c r="AJ37" s="10"/>
      <c r="AK37" s="10"/>
      <c r="AL37" s="10"/>
      <c r="AM37" s="10"/>
      <c r="AQ37" s="10"/>
      <c r="AR37" s="10"/>
      <c r="AS37" s="10"/>
      <c r="AT37" s="10"/>
      <c r="AX37" s="10"/>
      <c r="AY37" s="10"/>
      <c r="AZ37" s="10"/>
      <c r="BA37" s="10"/>
      <c r="BE37" s="10"/>
      <c r="BF37" s="10"/>
      <c r="BG37" s="10"/>
      <c r="BK37" t="s">
        <v>188</v>
      </c>
      <c r="BL37" s="10"/>
      <c r="BM37" s="10">
        <v>0.5</v>
      </c>
      <c r="BN37" s="10"/>
      <c r="BO37" s="10">
        <v>0.5</v>
      </c>
      <c r="BR37" t="s">
        <v>188</v>
      </c>
      <c r="BS37" s="10"/>
      <c r="BT37" s="10">
        <v>0.8</v>
      </c>
      <c r="BU37" s="10"/>
      <c r="BV37" s="10">
        <v>0.8</v>
      </c>
      <c r="BZ37" s="10"/>
      <c r="CA37" s="10">
        <v>0.8</v>
      </c>
      <c r="CB37" s="10"/>
      <c r="CC37" s="10">
        <v>0.8</v>
      </c>
      <c r="CF37" t="s">
        <v>188</v>
      </c>
      <c r="CG37" s="10"/>
      <c r="CH37" s="10">
        <v>1</v>
      </c>
      <c r="CI37" s="10"/>
      <c r="CJ37" s="10">
        <v>1</v>
      </c>
      <c r="CM37">
        <v>2</v>
      </c>
      <c r="CN37" s="10"/>
      <c r="CO37" s="10">
        <v>1</v>
      </c>
      <c r="CP37" s="10"/>
      <c r="CQ37" s="10">
        <v>1</v>
      </c>
      <c r="CT37">
        <v>2</v>
      </c>
      <c r="CU37" s="10"/>
      <c r="CV37" s="10">
        <v>1</v>
      </c>
      <c r="CW37" s="10"/>
      <c r="CX37" s="10">
        <v>1</v>
      </c>
      <c r="DA37">
        <v>2</v>
      </c>
      <c r="DB37" s="10"/>
      <c r="DC37" s="10">
        <v>1</v>
      </c>
      <c r="DD37" s="10"/>
      <c r="DE37" s="10">
        <v>1</v>
      </c>
      <c r="DH37">
        <v>2</v>
      </c>
      <c r="DI37" s="10"/>
      <c r="DJ37" s="10">
        <v>1</v>
      </c>
      <c r="DK37" s="10"/>
      <c r="DL37" s="10">
        <v>1</v>
      </c>
      <c r="DO37">
        <v>2</v>
      </c>
      <c r="DP37" s="10"/>
      <c r="DQ37" s="10">
        <v>1</v>
      </c>
      <c r="DR37" s="10"/>
      <c r="DS37" s="10">
        <v>1</v>
      </c>
      <c r="DW37" s="10"/>
      <c r="DX37" s="10"/>
      <c r="DY37" s="10"/>
      <c r="DZ37" s="10"/>
      <c r="ED37" s="10"/>
      <c r="EE37" s="10"/>
      <c r="EF37" s="10"/>
      <c r="EG37" s="10"/>
      <c r="EK37" s="10"/>
      <c r="EL37" s="10"/>
      <c r="EM37" s="10"/>
      <c r="EN37" s="10"/>
      <c r="ER37" s="10"/>
      <c r="ES37" s="10"/>
      <c r="ET37" s="10"/>
      <c r="EU37" s="10"/>
      <c r="EY37" s="10"/>
      <c r="EZ37" s="10"/>
      <c r="FA37" s="10"/>
      <c r="FB37" s="10"/>
      <c r="FF37" s="10"/>
      <c r="FG37" s="10"/>
      <c r="FH37" s="10"/>
      <c r="FI37" s="10"/>
      <c r="FM37" s="10"/>
      <c r="FN37" s="10"/>
      <c r="FO37" s="10"/>
      <c r="FP37" s="10"/>
    </row>
    <row r="38" spans="2:172" outlineLevel="1" x14ac:dyDescent="0.2">
      <c r="B38" t="s">
        <v>28</v>
      </c>
      <c r="C38" t="s">
        <v>73</v>
      </c>
      <c r="E38" s="9"/>
      <c r="F38" t="s">
        <v>123</v>
      </c>
      <c r="G38" s="10">
        <v>7.0000000000000007E-2</v>
      </c>
      <c r="I38" s="9">
        <f t="shared" si="3"/>
        <v>10</v>
      </c>
      <c r="J38" s="11" cm="1">
        <f t="array" ref="J38">MAX(IF($N$3:$EH$3=$J$3,N38:EH38))</f>
        <v>0</v>
      </c>
      <c r="K38" s="11" cm="1">
        <f t="array" ref="K38">MAX(IF($N$3:$EH$3=$J$3,N38:EH38))</f>
        <v>0</v>
      </c>
      <c r="L38" s="9"/>
      <c r="O38" s="10"/>
      <c r="P38" s="10"/>
      <c r="Q38" s="10"/>
      <c r="R38" s="10"/>
      <c r="V38" s="10"/>
      <c r="W38" s="10"/>
      <c r="X38" s="10"/>
      <c r="Y38" s="10"/>
      <c r="AC38" s="10"/>
      <c r="AD38" s="10">
        <v>0.5</v>
      </c>
      <c r="AE38" s="10"/>
      <c r="AF38" s="10">
        <v>0.5</v>
      </c>
      <c r="AJ38" s="10"/>
      <c r="AK38" s="10"/>
      <c r="AL38" s="10"/>
      <c r="AM38" s="10"/>
      <c r="AQ38" s="10"/>
      <c r="AR38" s="10"/>
      <c r="AS38" s="10"/>
      <c r="AT38" s="10"/>
      <c r="AX38" s="10"/>
      <c r="AY38" s="10"/>
      <c r="AZ38" s="10"/>
      <c r="BA38" s="10"/>
      <c r="BE38" s="10"/>
      <c r="BF38" s="10"/>
      <c r="BG38" s="10"/>
      <c r="BK38" t="s">
        <v>188</v>
      </c>
      <c r="BL38" s="10"/>
      <c r="BM38" s="10">
        <v>0.5</v>
      </c>
      <c r="BN38" s="10"/>
      <c r="BO38" s="10">
        <v>0.5</v>
      </c>
      <c r="BR38" t="s">
        <v>188</v>
      </c>
      <c r="BS38" s="10"/>
      <c r="BT38" s="10">
        <v>0.8</v>
      </c>
      <c r="BU38" s="10"/>
      <c r="BV38" s="10">
        <v>0.8</v>
      </c>
      <c r="BZ38" s="10"/>
      <c r="CA38" s="10">
        <v>0.8</v>
      </c>
      <c r="CB38" s="10"/>
      <c r="CC38" s="10">
        <v>0.8</v>
      </c>
      <c r="CF38" t="s">
        <v>188</v>
      </c>
      <c r="CG38" s="10"/>
      <c r="CH38" s="10">
        <v>1</v>
      </c>
      <c r="CI38" s="10"/>
      <c r="CJ38" s="10">
        <v>1</v>
      </c>
      <c r="CM38">
        <v>2</v>
      </c>
      <c r="CN38" s="10"/>
      <c r="CO38" s="10">
        <v>1</v>
      </c>
      <c r="CP38" s="10"/>
      <c r="CQ38" s="10">
        <v>1</v>
      </c>
      <c r="CT38">
        <v>2</v>
      </c>
      <c r="CU38" s="10"/>
      <c r="CV38" s="10">
        <v>1</v>
      </c>
      <c r="CW38" s="10"/>
      <c r="CX38" s="10">
        <v>1</v>
      </c>
      <c r="DA38">
        <v>2</v>
      </c>
      <c r="DB38" s="10"/>
      <c r="DC38" s="10">
        <v>1</v>
      </c>
      <c r="DD38" s="10"/>
      <c r="DE38" s="10">
        <v>1</v>
      </c>
      <c r="DH38">
        <v>2</v>
      </c>
      <c r="DI38" s="10"/>
      <c r="DJ38" s="10">
        <v>1</v>
      </c>
      <c r="DK38" s="10"/>
      <c r="DL38" s="10">
        <v>1</v>
      </c>
      <c r="DO38">
        <v>2</v>
      </c>
      <c r="DP38" s="10"/>
      <c r="DQ38" s="10">
        <v>1</v>
      </c>
      <c r="DR38" s="10"/>
      <c r="DS38" s="10">
        <v>1</v>
      </c>
      <c r="DW38" s="10"/>
      <c r="DX38" s="10"/>
      <c r="DY38" s="10"/>
      <c r="DZ38" s="10"/>
      <c r="ED38" s="10"/>
      <c r="EE38" s="10"/>
      <c r="EF38" s="10"/>
      <c r="EG38" s="10"/>
      <c r="EK38" s="10"/>
      <c r="EL38" s="10"/>
      <c r="EM38" s="10"/>
      <c r="EN38" s="10"/>
      <c r="ER38" s="10"/>
      <c r="ES38" s="10"/>
      <c r="ET38" s="10"/>
      <c r="EU38" s="10"/>
      <c r="EY38" s="10"/>
      <c r="EZ38" s="10"/>
      <c r="FA38" s="10"/>
      <c r="FB38" s="10"/>
      <c r="FF38" s="10"/>
      <c r="FG38" s="10"/>
      <c r="FH38" s="10"/>
      <c r="FI38" s="10"/>
      <c r="FM38" s="10"/>
      <c r="FN38" s="10"/>
      <c r="FO38" s="10"/>
      <c r="FP38" s="10"/>
    </row>
    <row r="39" spans="2:172" outlineLevel="1" x14ac:dyDescent="0.2">
      <c r="B39" t="s">
        <v>28</v>
      </c>
      <c r="C39" t="s">
        <v>73</v>
      </c>
      <c r="E39" s="9"/>
      <c r="F39" t="s">
        <v>124</v>
      </c>
      <c r="G39" s="10">
        <v>0.1</v>
      </c>
      <c r="I39" s="9">
        <f t="shared" si="3"/>
        <v>10</v>
      </c>
      <c r="J39" s="11" cm="1">
        <f t="array" ref="J39">MAX(IF($N$3:$EH$3=$J$3,N39:EH39))</f>
        <v>0</v>
      </c>
      <c r="K39" s="11" cm="1">
        <f t="array" ref="K39">MAX(IF($N$3:$EH$3=$J$3,N39:EH39))</f>
        <v>0</v>
      </c>
      <c r="L39" s="9"/>
      <c r="O39" s="10"/>
      <c r="P39" s="10"/>
      <c r="Q39" s="10"/>
      <c r="R39" s="10"/>
      <c r="V39" s="10"/>
      <c r="W39" s="10"/>
      <c r="X39" s="10"/>
      <c r="Y39" s="10"/>
      <c r="AC39" s="10"/>
      <c r="AD39" s="10">
        <v>0.5</v>
      </c>
      <c r="AE39" s="10"/>
      <c r="AF39" s="10">
        <v>0.5</v>
      </c>
      <c r="AJ39" s="10"/>
      <c r="AK39" s="10"/>
      <c r="AL39" s="10"/>
      <c r="AM39" s="10"/>
      <c r="AQ39" s="10"/>
      <c r="AR39" s="10"/>
      <c r="AS39" s="10"/>
      <c r="AT39" s="10"/>
      <c r="AX39" s="10"/>
      <c r="AY39" s="10"/>
      <c r="AZ39" s="10"/>
      <c r="BA39" s="10"/>
      <c r="BE39" s="10"/>
      <c r="BF39" s="10"/>
      <c r="BG39" s="10"/>
      <c r="BL39" s="10"/>
      <c r="BM39" s="10"/>
      <c r="BN39" s="10"/>
      <c r="BO39" s="10"/>
      <c r="BR39" t="s">
        <v>188</v>
      </c>
      <c r="BS39" s="10"/>
      <c r="BT39" s="10">
        <v>0.5</v>
      </c>
      <c r="BU39" s="10"/>
      <c r="BV39" s="10">
        <v>0.5</v>
      </c>
      <c r="BY39" t="s">
        <v>188</v>
      </c>
      <c r="BZ39" s="10"/>
      <c r="CA39" s="10">
        <v>0.8</v>
      </c>
      <c r="CB39" s="10"/>
      <c r="CC39" s="10">
        <v>0.8</v>
      </c>
      <c r="CF39" t="s">
        <v>188</v>
      </c>
      <c r="CG39" s="10"/>
      <c r="CH39" s="10">
        <v>1</v>
      </c>
      <c r="CI39" s="10"/>
      <c r="CJ39" s="10">
        <v>1</v>
      </c>
      <c r="CM39">
        <v>2</v>
      </c>
      <c r="CN39" s="10"/>
      <c r="CO39" s="10">
        <v>1</v>
      </c>
      <c r="CP39" s="10"/>
      <c r="CQ39" s="10">
        <v>1</v>
      </c>
      <c r="CT39">
        <v>2</v>
      </c>
      <c r="CU39" s="10"/>
      <c r="CV39" s="10">
        <v>1</v>
      </c>
      <c r="CW39" s="10"/>
      <c r="CX39" s="10">
        <v>1</v>
      </c>
      <c r="DA39">
        <v>2</v>
      </c>
      <c r="DB39" s="10"/>
      <c r="DC39" s="10">
        <v>1</v>
      </c>
      <c r="DD39" s="10"/>
      <c r="DE39" s="10">
        <v>1</v>
      </c>
      <c r="DH39">
        <v>2</v>
      </c>
      <c r="DI39" s="10"/>
      <c r="DJ39" s="10">
        <v>1</v>
      </c>
      <c r="DK39" s="10"/>
      <c r="DL39" s="10">
        <v>1</v>
      </c>
      <c r="DO39">
        <v>2</v>
      </c>
      <c r="DP39" s="10"/>
      <c r="DQ39" s="10">
        <v>1</v>
      </c>
      <c r="DR39" s="10"/>
      <c r="DS39" s="10">
        <v>1</v>
      </c>
      <c r="DW39" s="10"/>
      <c r="DX39" s="10"/>
      <c r="DY39" s="10"/>
      <c r="DZ39" s="10"/>
      <c r="ED39" s="10"/>
      <c r="EE39" s="10"/>
      <c r="EF39" s="10"/>
      <c r="EG39" s="10"/>
      <c r="EK39" s="10"/>
      <c r="EL39" s="10"/>
      <c r="EM39" s="10"/>
      <c r="EN39" s="10"/>
      <c r="ER39" s="10"/>
      <c r="ES39" s="10"/>
      <c r="ET39" s="10"/>
      <c r="EU39" s="10"/>
      <c r="EY39" s="10"/>
      <c r="EZ39" s="10"/>
      <c r="FA39" s="10"/>
      <c r="FB39" s="10"/>
      <c r="FF39" s="10"/>
      <c r="FG39" s="10"/>
      <c r="FH39" s="10"/>
      <c r="FI39" s="10"/>
      <c r="FM39" s="10"/>
      <c r="FN39" s="10"/>
      <c r="FO39" s="10"/>
      <c r="FP39" s="10"/>
    </row>
    <row r="40" spans="2:172" outlineLevel="1" x14ac:dyDescent="0.2">
      <c r="B40" t="s">
        <v>28</v>
      </c>
      <c r="C40" t="s">
        <v>74</v>
      </c>
      <c r="E40" s="9"/>
      <c r="F40" t="s">
        <v>125</v>
      </c>
      <c r="G40" s="10">
        <v>0.1</v>
      </c>
      <c r="I40" s="9">
        <f t="shared" si="3"/>
        <v>10</v>
      </c>
      <c r="J40" s="11" cm="1">
        <f t="array" ref="J40">MAX(IF($N$3:$EH$3=$J$3,N40:EH40))</f>
        <v>0</v>
      </c>
      <c r="K40" s="11" cm="1">
        <f t="array" ref="K40">MAX(IF($N$3:$EH$3=$J$3,N40:EH40))</f>
        <v>0</v>
      </c>
      <c r="L40" s="9"/>
      <c r="O40" s="10"/>
      <c r="P40" s="10"/>
      <c r="Q40" s="10"/>
      <c r="R40" s="10"/>
      <c r="V40" s="10"/>
      <c r="W40" s="10"/>
      <c r="X40" s="10"/>
      <c r="Y40" s="10"/>
      <c r="AC40" s="10"/>
      <c r="AD40" s="10">
        <v>0.5</v>
      </c>
      <c r="AE40" s="10"/>
      <c r="AF40" s="10">
        <v>0.5</v>
      </c>
      <c r="AJ40" s="10"/>
      <c r="AK40" s="10"/>
      <c r="AL40" s="10"/>
      <c r="AM40" s="10"/>
      <c r="AQ40" s="10"/>
      <c r="AR40" s="10"/>
      <c r="AS40" s="10"/>
      <c r="AT40" s="10"/>
      <c r="AX40" s="10"/>
      <c r="AY40" s="10"/>
      <c r="AZ40" s="10"/>
      <c r="BA40" s="10"/>
      <c r="BE40" s="10"/>
      <c r="BF40" s="10"/>
      <c r="BG40" s="10"/>
      <c r="BH40" s="10"/>
      <c r="BL40" s="10"/>
      <c r="BM40" s="10"/>
      <c r="BN40" s="10"/>
      <c r="BO40" s="10"/>
      <c r="BR40" t="s">
        <v>188</v>
      </c>
      <c r="BS40" s="10"/>
      <c r="BT40" s="10">
        <v>0.5</v>
      </c>
      <c r="BU40" s="10"/>
      <c r="BV40" s="10">
        <v>0.5</v>
      </c>
      <c r="BY40" t="s">
        <v>188</v>
      </c>
      <c r="BZ40" s="10"/>
      <c r="CA40" s="10">
        <v>0.8</v>
      </c>
      <c r="CB40" s="10"/>
      <c r="CC40" s="10">
        <v>0.8</v>
      </c>
      <c r="CF40" t="s">
        <v>188</v>
      </c>
      <c r="CG40" s="10"/>
      <c r="CH40" s="10">
        <v>1</v>
      </c>
      <c r="CI40" s="10"/>
      <c r="CJ40" s="10">
        <v>1</v>
      </c>
      <c r="CM40">
        <v>2</v>
      </c>
      <c r="CN40" s="10"/>
      <c r="CO40" s="10">
        <v>1</v>
      </c>
      <c r="CP40" s="10"/>
      <c r="CQ40" s="10">
        <v>1</v>
      </c>
      <c r="CT40">
        <v>2</v>
      </c>
      <c r="CU40" s="10"/>
      <c r="CV40" s="10">
        <v>1</v>
      </c>
      <c r="CW40" s="10"/>
      <c r="CX40" s="10">
        <v>1</v>
      </c>
      <c r="DA40">
        <v>2</v>
      </c>
      <c r="DB40" s="10"/>
      <c r="DC40" s="10">
        <v>1</v>
      </c>
      <c r="DD40" s="10"/>
      <c r="DE40" s="10">
        <v>1</v>
      </c>
      <c r="DH40">
        <v>2</v>
      </c>
      <c r="DI40" s="10"/>
      <c r="DJ40" s="10">
        <v>1</v>
      </c>
      <c r="DK40" s="10"/>
      <c r="DL40" s="10">
        <v>1</v>
      </c>
      <c r="DO40">
        <v>2</v>
      </c>
      <c r="DP40" s="10"/>
      <c r="DQ40" s="10">
        <v>1</v>
      </c>
      <c r="DR40" s="10"/>
      <c r="DS40" s="10">
        <v>1</v>
      </c>
      <c r="DW40" s="10"/>
      <c r="DX40" s="10"/>
      <c r="DY40" s="10"/>
      <c r="DZ40" s="10"/>
      <c r="ED40" s="10"/>
      <c r="EE40" s="10"/>
      <c r="EF40" s="10"/>
      <c r="EG40" s="10"/>
      <c r="EK40" s="10"/>
      <c r="EL40" s="10"/>
      <c r="EM40" s="10"/>
      <c r="EN40" s="10"/>
      <c r="ER40" s="10"/>
      <c r="ES40" s="10"/>
      <c r="ET40" s="10"/>
      <c r="EU40" s="10"/>
      <c r="EY40" s="10"/>
      <c r="EZ40" s="10"/>
      <c r="FA40" s="10"/>
      <c r="FB40" s="10"/>
      <c r="FF40" s="10"/>
      <c r="FG40" s="10"/>
      <c r="FH40" s="10"/>
      <c r="FI40" s="10"/>
      <c r="FM40" s="10"/>
      <c r="FN40" s="10"/>
      <c r="FO40" s="10"/>
      <c r="FP40" s="10"/>
    </row>
    <row r="41" spans="2:172" outlineLevel="1" x14ac:dyDescent="0.2">
      <c r="B41" t="s">
        <v>28</v>
      </c>
      <c r="C41" t="s">
        <v>74</v>
      </c>
      <c r="E41" s="9"/>
      <c r="F41" t="s">
        <v>126</v>
      </c>
      <c r="G41" s="10">
        <v>0.1</v>
      </c>
      <c r="I41" s="9">
        <f t="shared" si="3"/>
        <v>10</v>
      </c>
      <c r="J41" s="11" cm="1">
        <f t="array" ref="J41">MAX(IF($N$3:$EH$3=$J$3,N41:EH41))</f>
        <v>0</v>
      </c>
      <c r="K41" s="11" cm="1">
        <f t="array" ref="K41">MAX(IF($N$3:$EH$3=$J$3,N41:EH41))</f>
        <v>0</v>
      </c>
      <c r="L41" s="9"/>
      <c r="O41" s="10"/>
      <c r="P41" s="10"/>
      <c r="Q41" s="10"/>
      <c r="R41" s="10"/>
      <c r="V41" s="10"/>
      <c r="W41" s="10"/>
      <c r="X41" s="10"/>
      <c r="Y41" s="10"/>
      <c r="AC41" s="10"/>
      <c r="AD41" s="10">
        <v>0.5</v>
      </c>
      <c r="AE41" s="10"/>
      <c r="AF41" s="10">
        <v>0.5</v>
      </c>
      <c r="AJ41" s="10"/>
      <c r="AK41" s="10"/>
      <c r="AL41" s="10"/>
      <c r="AM41" s="10"/>
      <c r="AQ41" s="10"/>
      <c r="AR41" s="10"/>
      <c r="AS41" s="10"/>
      <c r="AT41" s="10"/>
      <c r="AX41" s="10"/>
      <c r="AY41" s="10"/>
      <c r="AZ41" s="10"/>
      <c r="BA41" s="10"/>
      <c r="BE41" s="10"/>
      <c r="BF41" s="10"/>
      <c r="BG41" s="10"/>
      <c r="BH41" s="10"/>
      <c r="BL41" s="10"/>
      <c r="BM41" s="10"/>
      <c r="BN41" s="10"/>
      <c r="BO41" s="10"/>
      <c r="BR41" t="s">
        <v>188</v>
      </c>
      <c r="BS41" s="10"/>
      <c r="BT41" s="10">
        <v>0.5</v>
      </c>
      <c r="BU41" s="10"/>
      <c r="BV41" s="10">
        <v>0.5</v>
      </c>
      <c r="BY41" t="s">
        <v>188</v>
      </c>
      <c r="BZ41" s="10"/>
      <c r="CA41" s="10">
        <v>0.8</v>
      </c>
      <c r="CB41" s="10"/>
      <c r="CC41" s="10">
        <v>0.8</v>
      </c>
      <c r="CF41" t="s">
        <v>188</v>
      </c>
      <c r="CG41" s="10"/>
      <c r="CH41" s="10">
        <v>1</v>
      </c>
      <c r="CI41" s="10"/>
      <c r="CJ41" s="10">
        <v>1</v>
      </c>
      <c r="CM41">
        <v>2</v>
      </c>
      <c r="CN41" s="10"/>
      <c r="CO41" s="10">
        <v>1</v>
      </c>
      <c r="CP41" s="10"/>
      <c r="CQ41" s="10">
        <v>1</v>
      </c>
      <c r="CT41">
        <v>2</v>
      </c>
      <c r="CU41" s="10"/>
      <c r="CV41" s="10">
        <v>1</v>
      </c>
      <c r="CW41" s="10"/>
      <c r="CX41" s="10">
        <v>1</v>
      </c>
      <c r="DA41">
        <v>2</v>
      </c>
      <c r="DB41" s="10"/>
      <c r="DC41" s="10">
        <v>1</v>
      </c>
      <c r="DD41" s="10"/>
      <c r="DE41" s="10">
        <v>1</v>
      </c>
      <c r="DH41">
        <v>2</v>
      </c>
      <c r="DI41" s="10"/>
      <c r="DJ41" s="10">
        <v>1</v>
      </c>
      <c r="DK41" s="10"/>
      <c r="DL41" s="10">
        <v>1</v>
      </c>
      <c r="DO41">
        <v>2</v>
      </c>
      <c r="DP41" s="10"/>
      <c r="DQ41" s="10">
        <v>1</v>
      </c>
      <c r="DR41" s="10"/>
      <c r="DS41" s="10">
        <v>1</v>
      </c>
      <c r="DW41" s="10"/>
      <c r="DX41" s="10"/>
      <c r="DY41" s="10"/>
      <c r="DZ41" s="10"/>
      <c r="ED41" s="10"/>
      <c r="EE41" s="10"/>
      <c r="EF41" s="10"/>
      <c r="EG41" s="10"/>
      <c r="EK41" s="10"/>
      <c r="EL41" s="10"/>
      <c r="EM41" s="10"/>
      <c r="EN41" s="10"/>
      <c r="ER41" s="10"/>
      <c r="ES41" s="10"/>
      <c r="ET41" s="10"/>
      <c r="EU41" s="10"/>
      <c r="EY41" s="10"/>
      <c r="EZ41" s="10"/>
      <c r="FA41" s="10"/>
      <c r="FB41" s="10"/>
      <c r="FF41" s="10"/>
      <c r="FG41" s="10"/>
      <c r="FH41" s="10"/>
      <c r="FI41" s="10"/>
      <c r="FM41" s="10"/>
      <c r="FN41" s="10"/>
      <c r="FO41" s="10"/>
      <c r="FP41" s="10"/>
    </row>
    <row r="42" spans="2:172" outlineLevel="1" x14ac:dyDescent="0.2">
      <c r="E42" s="9"/>
      <c r="G42" s="10"/>
      <c r="I42" s="9"/>
      <c r="J42" s="11"/>
      <c r="K42" s="11"/>
      <c r="L42" s="9"/>
      <c r="O42" s="10"/>
      <c r="P42" s="10"/>
      <c r="Q42" s="10"/>
      <c r="R42" s="10"/>
      <c r="V42" s="10"/>
      <c r="W42" s="10"/>
      <c r="X42" s="10"/>
      <c r="Y42" s="10"/>
      <c r="AC42" s="10"/>
      <c r="AD42" s="10"/>
      <c r="AE42" s="10"/>
      <c r="AF42" s="10"/>
      <c r="AJ42" s="10"/>
      <c r="AK42" s="10"/>
      <c r="AL42" s="10"/>
      <c r="AM42" s="10"/>
      <c r="AQ42" s="10"/>
      <c r="AR42" s="10"/>
      <c r="AS42" s="10"/>
      <c r="AT42" s="10"/>
      <c r="AU42" t="s">
        <v>137</v>
      </c>
      <c r="AX42" s="10"/>
      <c r="AY42" s="10"/>
      <c r="AZ42" s="10"/>
      <c r="BA42" s="10"/>
      <c r="BE42" s="10"/>
      <c r="BF42" s="10"/>
      <c r="BG42" s="10"/>
      <c r="BH42" s="10"/>
      <c r="BL42" s="10"/>
      <c r="BM42" s="10"/>
      <c r="BN42" s="10"/>
      <c r="BO42" s="10"/>
      <c r="BS42" s="10"/>
      <c r="BT42" s="10"/>
      <c r="BU42" s="10"/>
      <c r="BV42" s="10"/>
      <c r="BZ42" s="10"/>
      <c r="CA42" s="10"/>
      <c r="CB42" s="10"/>
      <c r="CC42" s="10"/>
      <c r="CG42" s="10"/>
      <c r="CH42" s="10"/>
      <c r="CI42" s="10"/>
      <c r="CJ42" s="10"/>
      <c r="CN42" s="10"/>
      <c r="CO42" s="10"/>
      <c r="CP42" s="10"/>
      <c r="CQ42" s="10"/>
      <c r="CU42" s="10"/>
      <c r="CV42" s="10"/>
      <c r="CW42" s="10"/>
      <c r="CX42" s="10"/>
      <c r="DB42" s="10"/>
      <c r="DC42" s="10"/>
      <c r="DD42" s="10"/>
      <c r="DE42" s="10"/>
      <c r="DI42" s="10"/>
      <c r="DJ42" s="10"/>
      <c r="DK42" s="10"/>
      <c r="DL42" s="10"/>
      <c r="DP42" s="10"/>
      <c r="DQ42" s="10"/>
      <c r="DR42" s="10"/>
      <c r="DS42" s="10"/>
      <c r="DW42" s="10"/>
      <c r="DX42" s="10"/>
      <c r="DY42" s="10"/>
      <c r="DZ42" s="10"/>
      <c r="ED42" s="10"/>
      <c r="EE42" s="10"/>
      <c r="EF42" s="10"/>
      <c r="EG42" s="10"/>
      <c r="EK42" s="10"/>
      <c r="EL42" s="10"/>
      <c r="EM42" s="10"/>
      <c r="EN42" s="10"/>
      <c r="ER42" s="10"/>
      <c r="ES42" s="10"/>
      <c r="ET42" s="10"/>
      <c r="EU42" s="10"/>
      <c r="EY42" s="10"/>
      <c r="EZ42" s="10"/>
      <c r="FA42" s="10"/>
      <c r="FB42" s="10"/>
      <c r="FF42" s="10"/>
      <c r="FG42" s="10"/>
      <c r="FH42" s="10"/>
      <c r="FI42" s="10"/>
      <c r="FM42" s="10"/>
      <c r="FN42" s="10"/>
      <c r="FO42" s="10"/>
      <c r="FP42" s="10"/>
    </row>
    <row r="43" spans="2:172" x14ac:dyDescent="0.2">
      <c r="B43" t="s">
        <v>27</v>
      </c>
      <c r="C43" t="s">
        <v>110</v>
      </c>
      <c r="D43" s="17">
        <v>44601</v>
      </c>
      <c r="E43" s="9">
        <v>3</v>
      </c>
      <c r="G43" s="10">
        <f>+SUM(G44:G50)</f>
        <v>0.6</v>
      </c>
      <c r="I43" s="12">
        <f>+SUM(I44:I50)</f>
        <v>34</v>
      </c>
      <c r="J43" s="11">
        <f>+SUMPRODUCT(G44:G50,J44:J50)</f>
        <v>0.21</v>
      </c>
      <c r="K43" s="11">
        <f>+SUMPRODUCT(G44:G50,K44:K50)</f>
        <v>0.21</v>
      </c>
      <c r="L43" s="9"/>
      <c r="N43" s="12">
        <f>+SUM(N44:N50)</f>
        <v>20</v>
      </c>
      <c r="U43" s="12">
        <f>+SUM(U44:U50)</f>
        <v>2</v>
      </c>
      <c r="AB43" s="12">
        <f>+SUM(AB44:AB50)</f>
        <v>4</v>
      </c>
      <c r="AI43" s="12">
        <f>+SUM(AI44:AI50)</f>
        <v>0</v>
      </c>
      <c r="AP43" s="12"/>
      <c r="BK43" s="12">
        <f>+SUM(BK44:BK50)</f>
        <v>0</v>
      </c>
      <c r="BR43" s="12">
        <f>+SUM(BR44:BR50)</f>
        <v>2</v>
      </c>
      <c r="BY43" s="12">
        <f>+SUM(BY44:BY50)</f>
        <v>2</v>
      </c>
      <c r="CF43" s="12">
        <f>+SUM(CF44:CF50)</f>
        <v>0</v>
      </c>
      <c r="CM43" s="12">
        <f>+SUM(CM44:CM50)</f>
        <v>0</v>
      </c>
      <c r="CT43" s="12">
        <f>+SUM(CT44:CT50)</f>
        <v>0</v>
      </c>
      <c r="DA43" s="12">
        <f>+SUM(DA44:DA50)</f>
        <v>0</v>
      </c>
      <c r="DH43" s="12">
        <f>+SUM(DH44:DH50)</f>
        <v>2</v>
      </c>
      <c r="DO43" s="12">
        <f>+SUM(DO44:DO50)</f>
        <v>2</v>
      </c>
      <c r="EH43" t="s">
        <v>182</v>
      </c>
      <c r="FC43" t="s">
        <v>134</v>
      </c>
      <c r="FJ43" t="s">
        <v>183</v>
      </c>
    </row>
    <row r="44" spans="2:172" outlineLevel="1" x14ac:dyDescent="0.2">
      <c r="B44" t="s">
        <v>27</v>
      </c>
      <c r="C44" t="s">
        <v>71</v>
      </c>
      <c r="E44" s="9"/>
      <c r="F44" t="s">
        <v>127</v>
      </c>
      <c r="G44" s="10">
        <v>0.1</v>
      </c>
      <c r="I44" s="9">
        <f t="shared" ref="I44:I49" si="4">+SUMIF($N$3:$ZZ$3,I$3,$N44:$ZZ44)</f>
        <v>16</v>
      </c>
      <c r="J44" s="11" cm="1">
        <f t="array" ref="J44">MAX(IF($N$3:$EH$3=$J$3,N44:EH44))</f>
        <v>0.7</v>
      </c>
      <c r="K44" s="11" cm="1">
        <f t="array" ref="K44">MAX(IF($N$3:$EH$3=$J$3,N44:EH44))</f>
        <v>0.7</v>
      </c>
      <c r="L44" s="9"/>
      <c r="N44">
        <v>10</v>
      </c>
      <c r="O44" s="10">
        <v>0.7</v>
      </c>
      <c r="P44" s="10">
        <v>0.8</v>
      </c>
      <c r="Q44" s="10">
        <v>0.5</v>
      </c>
      <c r="R44" s="10">
        <v>0.8</v>
      </c>
      <c r="U44">
        <v>2</v>
      </c>
      <c r="V44" s="10"/>
      <c r="W44" s="10">
        <v>0.8</v>
      </c>
      <c r="X44" s="10"/>
      <c r="Y44" s="10">
        <v>0.8</v>
      </c>
      <c r="AB44">
        <v>4</v>
      </c>
      <c r="AC44" s="10"/>
      <c r="AD44" s="10">
        <v>1</v>
      </c>
      <c r="AE44" s="10"/>
      <c r="AF44" s="10">
        <v>1</v>
      </c>
      <c r="AJ44" s="10"/>
      <c r="AK44" s="10"/>
      <c r="AL44" s="10"/>
      <c r="AM44" s="10"/>
      <c r="AQ44" s="10"/>
      <c r="AR44" s="10"/>
      <c r="AS44" s="10"/>
      <c r="AT44" s="10"/>
      <c r="AX44" s="10"/>
      <c r="AY44" s="10"/>
      <c r="AZ44" s="10"/>
      <c r="BA44" s="10"/>
      <c r="BE44" s="10"/>
      <c r="BF44" s="10"/>
      <c r="BG44" s="10"/>
      <c r="BH44" s="10"/>
      <c r="BL44" s="10"/>
      <c r="BM44" s="10"/>
      <c r="BN44" s="10"/>
      <c r="BO44" s="10"/>
      <c r="BR44" t="s">
        <v>188</v>
      </c>
      <c r="BS44" s="10"/>
      <c r="BT44" s="10">
        <v>0.5</v>
      </c>
      <c r="BU44" s="10"/>
      <c r="BV44" s="10">
        <v>0.5</v>
      </c>
      <c r="BY44">
        <v>0</v>
      </c>
      <c r="BZ44" s="10"/>
      <c r="CA44" s="10">
        <v>0.5</v>
      </c>
      <c r="CB44" s="10"/>
      <c r="CC44" s="10">
        <v>0.5</v>
      </c>
      <c r="CF44">
        <v>0</v>
      </c>
      <c r="CG44" s="10"/>
      <c r="CH44" s="10">
        <v>0.5</v>
      </c>
      <c r="CI44" s="10"/>
      <c r="CJ44" s="10">
        <v>0.5</v>
      </c>
      <c r="CM44">
        <v>0</v>
      </c>
      <c r="CN44" s="10"/>
      <c r="CO44" s="10">
        <v>0.5</v>
      </c>
      <c r="CP44" s="10"/>
      <c r="CQ44" s="10">
        <v>0.5</v>
      </c>
      <c r="CT44">
        <v>0</v>
      </c>
      <c r="CU44" s="10"/>
      <c r="CV44" s="10">
        <v>0.5</v>
      </c>
      <c r="CW44" s="10"/>
      <c r="CX44" s="10">
        <v>0.5</v>
      </c>
      <c r="DA44">
        <v>0</v>
      </c>
      <c r="DB44" s="10"/>
      <c r="DC44" s="10">
        <v>0.5</v>
      </c>
      <c r="DD44" s="10"/>
      <c r="DE44" s="10">
        <v>0.5</v>
      </c>
      <c r="DH44">
        <v>0</v>
      </c>
      <c r="DI44" s="10"/>
      <c r="DJ44" s="10">
        <v>0.5</v>
      </c>
      <c r="DK44" s="10"/>
      <c r="DL44" s="10">
        <v>0.5</v>
      </c>
      <c r="DO44">
        <v>0</v>
      </c>
      <c r="DP44" s="10"/>
      <c r="DQ44" s="10">
        <v>0.5</v>
      </c>
      <c r="DR44" s="10"/>
      <c r="DS44" s="10">
        <v>0.5</v>
      </c>
      <c r="DW44" s="10"/>
      <c r="DX44" s="10"/>
      <c r="DY44" s="10"/>
      <c r="DZ44" s="10"/>
      <c r="ED44" s="10"/>
      <c r="EE44" s="10">
        <v>0.5</v>
      </c>
      <c r="EF44" s="10"/>
      <c r="EG44" s="10">
        <v>0.5</v>
      </c>
      <c r="EJ44" t="s">
        <v>189</v>
      </c>
      <c r="EK44" s="10"/>
      <c r="EL44" s="10">
        <v>1</v>
      </c>
      <c r="EM44" s="10"/>
      <c r="EN44" s="10">
        <v>1</v>
      </c>
      <c r="ER44" s="10"/>
      <c r="ES44" s="10">
        <v>1</v>
      </c>
      <c r="ET44" s="10"/>
      <c r="EU44" s="10">
        <v>1</v>
      </c>
      <c r="EY44" s="10"/>
      <c r="EZ44" s="10">
        <v>1</v>
      </c>
      <c r="FA44" s="10"/>
      <c r="FB44" s="10">
        <v>1</v>
      </c>
      <c r="FF44" s="10"/>
      <c r="FG44" s="10">
        <v>1</v>
      </c>
      <c r="FH44" s="10"/>
      <c r="FI44" s="10">
        <v>1</v>
      </c>
      <c r="FM44" s="10"/>
      <c r="FN44" s="10"/>
      <c r="FO44" s="10"/>
      <c r="FP44" s="10"/>
    </row>
    <row r="45" spans="2:172" outlineLevel="1" x14ac:dyDescent="0.2">
      <c r="B45" t="s">
        <v>28</v>
      </c>
      <c r="C45" t="s">
        <v>71</v>
      </c>
      <c r="E45" s="9"/>
      <c r="F45" t="s">
        <v>115</v>
      </c>
      <c r="G45" s="10">
        <v>0.1</v>
      </c>
      <c r="I45" s="9">
        <f t="shared" si="4"/>
        <v>3</v>
      </c>
      <c r="J45" s="11" cm="1">
        <f t="array" ref="J45">MAX(IF($N$3:$EH$3=$J$3,N45:EH45))</f>
        <v>0.5</v>
      </c>
      <c r="K45" s="11" cm="1">
        <f t="array" ref="K45">MAX(IF($N$3:$EH$3=$J$3,N45:EH45))</f>
        <v>0.5</v>
      </c>
      <c r="L45" s="9"/>
      <c r="N45">
        <v>3</v>
      </c>
      <c r="O45" s="10">
        <v>0.5</v>
      </c>
      <c r="P45" s="10">
        <v>0.5</v>
      </c>
      <c r="Q45" s="10">
        <v>0.5</v>
      </c>
      <c r="R45" s="10">
        <v>0.5</v>
      </c>
      <c r="V45" s="10"/>
      <c r="W45" s="10">
        <v>0.8</v>
      </c>
      <c r="X45" s="10"/>
      <c r="Y45" s="10">
        <v>0.8</v>
      </c>
      <c r="AC45" s="10"/>
      <c r="AD45" s="10">
        <v>1</v>
      </c>
      <c r="AE45" s="10"/>
      <c r="AF45" s="10">
        <v>1</v>
      </c>
      <c r="AJ45" s="10"/>
      <c r="AK45" s="10"/>
      <c r="AL45" s="10"/>
      <c r="AM45" s="10"/>
      <c r="AQ45" s="10"/>
      <c r="AR45" s="10"/>
      <c r="AS45" s="10"/>
      <c r="AT45" s="10"/>
      <c r="AX45" s="10"/>
      <c r="AY45" s="10"/>
      <c r="AZ45" s="10"/>
      <c r="BA45" s="10"/>
      <c r="BE45" s="10"/>
      <c r="BF45" s="10"/>
      <c r="BG45" s="10"/>
      <c r="BH45" s="10"/>
      <c r="BL45" s="10"/>
      <c r="BM45" s="10"/>
      <c r="BN45" s="10"/>
      <c r="BR45">
        <v>0</v>
      </c>
      <c r="BS45" s="10"/>
      <c r="BT45" s="10"/>
      <c r="BU45" s="10"/>
      <c r="BV45" s="10"/>
      <c r="BY45" t="s">
        <v>188</v>
      </c>
      <c r="BZ45" s="10"/>
      <c r="CA45" s="10">
        <v>0.5</v>
      </c>
      <c r="CB45" s="10"/>
      <c r="CC45" s="10">
        <v>0.5</v>
      </c>
      <c r="CF45">
        <v>0</v>
      </c>
      <c r="CG45" s="10"/>
      <c r="CH45" s="10">
        <v>0.5</v>
      </c>
      <c r="CI45" s="10"/>
      <c r="CJ45" s="10">
        <v>0.5</v>
      </c>
      <c r="CM45">
        <v>0</v>
      </c>
      <c r="CN45" s="10"/>
      <c r="CO45" s="10">
        <v>0.5</v>
      </c>
      <c r="CP45" s="10"/>
      <c r="CQ45" s="10">
        <v>0.5</v>
      </c>
      <c r="CT45">
        <v>0</v>
      </c>
      <c r="CU45" s="10"/>
      <c r="CV45" s="10">
        <v>0.5</v>
      </c>
      <c r="CW45" s="10"/>
      <c r="CX45" s="10">
        <v>0.5</v>
      </c>
      <c r="DA45">
        <v>0</v>
      </c>
      <c r="DB45" s="10"/>
      <c r="DC45" s="10">
        <v>0.5</v>
      </c>
      <c r="DD45" s="10"/>
      <c r="DE45" s="10">
        <v>0.5</v>
      </c>
      <c r="DH45">
        <v>0</v>
      </c>
      <c r="DI45" s="10"/>
      <c r="DJ45" s="10">
        <v>0.5</v>
      </c>
      <c r="DK45" s="10"/>
      <c r="DL45" s="10">
        <v>0.5</v>
      </c>
      <c r="DO45">
        <v>0</v>
      </c>
      <c r="DP45" s="10"/>
      <c r="DQ45" s="10">
        <v>0.5</v>
      </c>
      <c r="DR45" s="10"/>
      <c r="DS45" s="10">
        <v>0.5</v>
      </c>
      <c r="DW45" s="10"/>
      <c r="DX45" s="10"/>
      <c r="DY45" s="10"/>
      <c r="DZ45" s="10"/>
      <c r="ED45" s="10"/>
      <c r="EE45" s="10">
        <v>0.5</v>
      </c>
      <c r="EF45" s="10"/>
      <c r="EG45" s="10">
        <v>0.5</v>
      </c>
      <c r="EJ45" t="s">
        <v>189</v>
      </c>
      <c r="EK45" s="10"/>
      <c r="EL45" s="10">
        <v>1</v>
      </c>
      <c r="EM45" s="10"/>
      <c r="EN45" s="10">
        <v>1</v>
      </c>
      <c r="ER45" s="10"/>
      <c r="ES45" s="10">
        <v>1</v>
      </c>
      <c r="ET45" s="10"/>
      <c r="EU45" s="10">
        <v>1</v>
      </c>
      <c r="EY45" s="10"/>
      <c r="EZ45" s="10">
        <v>1</v>
      </c>
      <c r="FA45" s="10"/>
      <c r="FB45" s="10">
        <v>1</v>
      </c>
      <c r="FF45" s="10"/>
      <c r="FG45" s="10">
        <v>1</v>
      </c>
      <c r="FH45" s="10"/>
      <c r="FI45" s="10">
        <v>1</v>
      </c>
      <c r="FM45" s="10"/>
      <c r="FN45" s="10"/>
      <c r="FO45" s="10"/>
      <c r="FP45" s="10"/>
    </row>
    <row r="46" spans="2:172" outlineLevel="1" x14ac:dyDescent="0.2">
      <c r="B46" t="s">
        <v>28</v>
      </c>
      <c r="C46" t="s">
        <v>72</v>
      </c>
      <c r="E46" s="9"/>
      <c r="F46" t="s">
        <v>116</v>
      </c>
      <c r="G46" s="10">
        <v>0.1</v>
      </c>
      <c r="I46" s="9">
        <f t="shared" si="4"/>
        <v>2</v>
      </c>
      <c r="J46" s="11" cm="1">
        <f t="array" ref="J46">MAX(IF($N$3:$EH$3=$J$3,N46:EH46))</f>
        <v>0.3</v>
      </c>
      <c r="K46" s="11" cm="1">
        <f t="array" ref="K46">MAX(IF($N$3:$EH$3=$J$3,N46:EH46))</f>
        <v>0.3</v>
      </c>
      <c r="L46" s="9"/>
      <c r="N46">
        <v>2</v>
      </c>
      <c r="O46" s="10">
        <v>0.3</v>
      </c>
      <c r="P46" s="10">
        <v>0.3</v>
      </c>
      <c r="Q46" s="10">
        <v>0.3</v>
      </c>
      <c r="R46" s="10">
        <v>0.3</v>
      </c>
      <c r="V46" s="10"/>
      <c r="W46" s="10">
        <v>0.5</v>
      </c>
      <c r="X46" s="10"/>
      <c r="Y46" s="10">
        <v>0.5</v>
      </c>
      <c r="AC46" s="10"/>
      <c r="AD46" s="10">
        <v>0.8</v>
      </c>
      <c r="AE46" s="10"/>
      <c r="AF46" s="10">
        <v>0.8</v>
      </c>
      <c r="AJ46" s="10"/>
      <c r="AK46" s="10"/>
      <c r="AL46" s="10"/>
      <c r="AM46" s="10"/>
      <c r="AQ46" s="10"/>
      <c r="AR46" s="10"/>
      <c r="AS46" s="10"/>
      <c r="AT46" s="10"/>
      <c r="AX46" s="10"/>
      <c r="AY46" s="10"/>
      <c r="AZ46" s="10"/>
      <c r="BA46" s="10"/>
      <c r="BE46" s="10"/>
      <c r="BF46" s="10"/>
      <c r="BG46" s="10"/>
      <c r="BH46" s="10"/>
      <c r="BL46" s="10"/>
      <c r="BM46" s="10"/>
      <c r="BN46" s="10"/>
      <c r="BO46" s="10"/>
      <c r="BR46">
        <v>0</v>
      </c>
      <c r="BS46" s="10"/>
      <c r="BT46" s="10"/>
      <c r="BU46" s="10"/>
      <c r="BV46" s="10"/>
      <c r="BY46">
        <v>0</v>
      </c>
      <c r="BZ46" s="10"/>
      <c r="CA46" s="10"/>
      <c r="CB46" s="10"/>
      <c r="CC46" s="10"/>
      <c r="CF46" t="s">
        <v>188</v>
      </c>
      <c r="CG46" s="10"/>
      <c r="CH46" s="10">
        <v>0.5</v>
      </c>
      <c r="CI46" s="10"/>
      <c r="CJ46" s="10">
        <v>0.5</v>
      </c>
      <c r="CM46">
        <v>0</v>
      </c>
      <c r="CN46" s="10"/>
      <c r="CO46" s="10">
        <v>0.5</v>
      </c>
      <c r="CP46" s="10"/>
      <c r="CQ46" s="10">
        <v>0.5</v>
      </c>
      <c r="CT46">
        <v>0</v>
      </c>
      <c r="CU46" s="10"/>
      <c r="CV46" s="10">
        <v>0.5</v>
      </c>
      <c r="CW46" s="10"/>
      <c r="CX46" s="10">
        <v>0.5</v>
      </c>
      <c r="DA46">
        <v>0</v>
      </c>
      <c r="DB46" s="10"/>
      <c r="DC46" s="10">
        <v>0.5</v>
      </c>
      <c r="DD46" s="10"/>
      <c r="DE46" s="10">
        <v>0.5</v>
      </c>
      <c r="DH46">
        <v>0</v>
      </c>
      <c r="DI46" s="10"/>
      <c r="DJ46" s="10">
        <v>0.5</v>
      </c>
      <c r="DK46" s="10"/>
      <c r="DL46" s="10">
        <v>0.5</v>
      </c>
      <c r="DO46">
        <v>0</v>
      </c>
      <c r="DP46" s="10"/>
      <c r="DQ46" s="10">
        <v>0.5</v>
      </c>
      <c r="DR46" s="10"/>
      <c r="DS46" s="10">
        <v>0.5</v>
      </c>
      <c r="DW46" s="10"/>
      <c r="DX46" s="10"/>
      <c r="DY46" s="10"/>
      <c r="DZ46" s="10"/>
      <c r="ED46" s="10"/>
      <c r="EE46" s="10">
        <v>0.5</v>
      </c>
      <c r="EF46" s="10"/>
      <c r="EG46" s="10">
        <v>0.5</v>
      </c>
      <c r="EK46" s="10"/>
      <c r="EL46" s="10">
        <v>0.5</v>
      </c>
      <c r="EM46" s="10"/>
      <c r="EN46" s="10">
        <v>0.5</v>
      </c>
      <c r="EQ46" t="s">
        <v>188</v>
      </c>
      <c r="ER46" s="10"/>
      <c r="ES46" s="10">
        <v>0.8</v>
      </c>
      <c r="ET46" s="10"/>
      <c r="EU46" s="10">
        <v>0.8</v>
      </c>
      <c r="EX46" t="s">
        <v>188</v>
      </c>
      <c r="EY46" s="10"/>
      <c r="EZ46" s="10">
        <v>1</v>
      </c>
      <c r="FA46" s="10"/>
      <c r="FB46" s="10">
        <v>1</v>
      </c>
      <c r="FF46" s="10"/>
      <c r="FG46" s="10">
        <v>1</v>
      </c>
      <c r="FH46" s="10"/>
      <c r="FI46" s="10">
        <v>1</v>
      </c>
      <c r="FM46" s="10"/>
      <c r="FN46" s="10"/>
      <c r="FO46" s="10"/>
      <c r="FP46" s="10"/>
    </row>
    <row r="47" spans="2:172" outlineLevel="1" x14ac:dyDescent="0.2">
      <c r="B47" t="s">
        <v>28</v>
      </c>
      <c r="C47" t="s">
        <v>72</v>
      </c>
      <c r="E47" s="9"/>
      <c r="F47" t="s">
        <v>117</v>
      </c>
      <c r="G47" s="10">
        <v>0.1</v>
      </c>
      <c r="I47" s="9">
        <f t="shared" si="4"/>
        <v>2</v>
      </c>
      <c r="J47" s="11" cm="1">
        <f t="array" ref="J47">MAX(IF($N$3:$EH$3=$J$3,N47:EH47))</f>
        <v>0.3</v>
      </c>
      <c r="K47" s="11" cm="1">
        <f t="array" ref="K47">MAX(IF($N$3:$EH$3=$J$3,N47:EH47))</f>
        <v>0.3</v>
      </c>
      <c r="L47" s="9"/>
      <c r="N47">
        <v>2</v>
      </c>
      <c r="O47" s="10">
        <v>0.3</v>
      </c>
      <c r="P47" s="10">
        <v>0.3</v>
      </c>
      <c r="Q47" s="10">
        <v>0.2</v>
      </c>
      <c r="R47" s="10">
        <v>0.3</v>
      </c>
      <c r="V47" s="10"/>
      <c r="W47" s="10">
        <v>0.5</v>
      </c>
      <c r="X47" s="10"/>
      <c r="Y47" s="10">
        <v>0.5</v>
      </c>
      <c r="AC47" s="10"/>
      <c r="AD47" s="10">
        <v>0.8</v>
      </c>
      <c r="AE47" s="10"/>
      <c r="AF47" s="10">
        <v>0.8</v>
      </c>
      <c r="AJ47" s="10"/>
      <c r="AK47" s="10"/>
      <c r="AL47" s="10"/>
      <c r="AM47" s="10"/>
      <c r="AQ47" s="10"/>
      <c r="AR47" s="10"/>
      <c r="AS47" s="10"/>
      <c r="AT47" s="10"/>
      <c r="AX47" s="10"/>
      <c r="AY47" s="10"/>
      <c r="AZ47" s="10"/>
      <c r="BA47" s="10"/>
      <c r="BE47" s="10"/>
      <c r="BF47" s="10"/>
      <c r="BG47" s="10"/>
      <c r="BH47" s="10"/>
      <c r="BL47" s="10"/>
      <c r="BM47" s="10"/>
      <c r="BN47" s="10"/>
      <c r="BO47" s="10"/>
      <c r="BR47">
        <v>0</v>
      </c>
      <c r="BS47" s="10"/>
      <c r="BT47" s="10"/>
      <c r="BU47" s="10"/>
      <c r="BV47" s="10"/>
      <c r="BY47">
        <v>0</v>
      </c>
      <c r="BZ47" s="10"/>
      <c r="CA47" s="10"/>
      <c r="CB47" s="10"/>
      <c r="CC47" s="10"/>
      <c r="CG47" s="10"/>
      <c r="CH47" s="10"/>
      <c r="CI47" s="10"/>
      <c r="CJ47" s="10"/>
      <c r="CM47" t="s">
        <v>188</v>
      </c>
      <c r="CN47" s="10"/>
      <c r="CO47" s="10">
        <v>0.5</v>
      </c>
      <c r="CP47" s="10"/>
      <c r="CQ47" s="10">
        <v>0.5</v>
      </c>
      <c r="CT47">
        <v>0</v>
      </c>
      <c r="CU47" s="10"/>
      <c r="CV47" s="10">
        <v>0.5</v>
      </c>
      <c r="CW47" s="10"/>
      <c r="CX47" s="10">
        <v>0.5</v>
      </c>
      <c r="DA47">
        <v>0</v>
      </c>
      <c r="DB47" s="10"/>
      <c r="DC47" s="10">
        <v>0.5</v>
      </c>
      <c r="DD47" s="10"/>
      <c r="DE47" s="10">
        <v>0.5</v>
      </c>
      <c r="DH47">
        <v>0</v>
      </c>
      <c r="DI47" s="10"/>
      <c r="DJ47" s="10">
        <v>0.5</v>
      </c>
      <c r="DK47" s="10"/>
      <c r="DL47" s="10">
        <v>0.5</v>
      </c>
      <c r="DO47">
        <v>0</v>
      </c>
      <c r="DP47" s="10"/>
      <c r="DQ47" s="10">
        <v>0.5</v>
      </c>
      <c r="DR47" s="10"/>
      <c r="DS47" s="10">
        <v>0.5</v>
      </c>
      <c r="DW47" s="10"/>
      <c r="DX47" s="10"/>
      <c r="DY47" s="10"/>
      <c r="DZ47" s="10"/>
      <c r="ED47" s="10"/>
      <c r="EE47" s="10">
        <v>0.5</v>
      </c>
      <c r="EF47" s="10"/>
      <c r="EG47" s="10">
        <v>0.5</v>
      </c>
      <c r="EK47" s="10"/>
      <c r="EL47" s="10">
        <v>0.5</v>
      </c>
      <c r="EM47" s="10"/>
      <c r="EN47" s="10">
        <v>0.5</v>
      </c>
      <c r="EQ47" t="s">
        <v>188</v>
      </c>
      <c r="ER47" s="10"/>
      <c r="ES47" s="10">
        <v>0.8</v>
      </c>
      <c r="ET47" s="10"/>
      <c r="EU47" s="10">
        <v>0.8</v>
      </c>
      <c r="EX47" t="s">
        <v>188</v>
      </c>
      <c r="EY47" s="10"/>
      <c r="EZ47" s="10">
        <v>1</v>
      </c>
      <c r="FA47" s="10"/>
      <c r="FB47" s="10">
        <v>1</v>
      </c>
      <c r="FF47" s="10"/>
      <c r="FG47" s="10">
        <v>1</v>
      </c>
      <c r="FH47" s="10"/>
      <c r="FI47" s="10">
        <v>1</v>
      </c>
      <c r="FM47" s="10"/>
      <c r="FN47" s="10"/>
      <c r="FO47" s="10"/>
      <c r="FP47" s="10"/>
    </row>
    <row r="48" spans="2:172" outlineLevel="1" x14ac:dyDescent="0.2">
      <c r="B48" t="s">
        <v>28</v>
      </c>
      <c r="C48" t="s">
        <v>72</v>
      </c>
      <c r="E48" s="9"/>
      <c r="F48" t="s">
        <v>118</v>
      </c>
      <c r="G48" s="10">
        <v>0.1</v>
      </c>
      <c r="I48" s="9">
        <f t="shared" si="4"/>
        <v>3</v>
      </c>
      <c r="J48" s="11" cm="1">
        <f t="array" ref="J48">MAX(IF($N$3:$EH$3=$J$3,N48:EH48))</f>
        <v>0.3</v>
      </c>
      <c r="K48" s="11" cm="1">
        <f t="array" ref="K48">MAX(IF($N$3:$EH$3=$J$3,N48:EH48))</f>
        <v>0.3</v>
      </c>
      <c r="L48" s="9"/>
      <c r="N48">
        <v>3</v>
      </c>
      <c r="O48" s="10">
        <v>0.3</v>
      </c>
      <c r="P48" s="10">
        <v>0.3</v>
      </c>
      <c r="Q48" s="10"/>
      <c r="R48" s="10">
        <v>0.3</v>
      </c>
      <c r="V48" s="10"/>
      <c r="W48" s="10">
        <v>0.5</v>
      </c>
      <c r="X48" s="10"/>
      <c r="Y48" s="10">
        <v>0.5</v>
      </c>
      <c r="AC48" s="10"/>
      <c r="AD48" s="10">
        <v>0.8</v>
      </c>
      <c r="AE48" s="10"/>
      <c r="AF48" s="10">
        <v>0.8</v>
      </c>
      <c r="AJ48" s="10"/>
      <c r="AK48" s="10"/>
      <c r="AL48" s="10"/>
      <c r="AM48" s="10"/>
      <c r="AQ48" s="10"/>
      <c r="AR48" s="10"/>
      <c r="AS48" s="10"/>
      <c r="AT48" s="10"/>
      <c r="AX48" s="10"/>
      <c r="AY48" s="10"/>
      <c r="AZ48" s="10"/>
      <c r="BA48" s="10"/>
      <c r="BE48" s="10"/>
      <c r="BF48" s="10"/>
      <c r="BG48" s="10"/>
      <c r="BH48" s="10"/>
      <c r="BL48" s="10"/>
      <c r="BM48" s="10"/>
      <c r="BN48" s="10"/>
      <c r="BO48" s="10"/>
      <c r="BR48">
        <v>0</v>
      </c>
      <c r="BS48" s="10"/>
      <c r="BT48" s="10"/>
      <c r="BU48" s="10"/>
      <c r="BV48" s="10"/>
      <c r="BY48">
        <v>0</v>
      </c>
      <c r="BZ48" s="10"/>
      <c r="CA48" s="10"/>
      <c r="CB48" s="10"/>
      <c r="CC48" s="10"/>
      <c r="CG48" s="10"/>
      <c r="CH48" s="10"/>
      <c r="CI48" s="10"/>
      <c r="CJ48" s="10"/>
      <c r="CN48" s="10"/>
      <c r="CO48" s="10"/>
      <c r="CP48" s="10"/>
      <c r="CQ48" s="10"/>
      <c r="CT48" t="s">
        <v>188</v>
      </c>
      <c r="CU48" s="10"/>
      <c r="CV48" s="10">
        <v>0.5</v>
      </c>
      <c r="CW48" s="10"/>
      <c r="CX48" s="10">
        <v>0.5</v>
      </c>
      <c r="DA48">
        <v>0</v>
      </c>
      <c r="DB48" s="10"/>
      <c r="DC48" s="10">
        <v>0.5</v>
      </c>
      <c r="DD48" s="10"/>
      <c r="DE48" s="10">
        <v>0.5</v>
      </c>
      <c r="DH48">
        <v>0</v>
      </c>
      <c r="DI48" s="10"/>
      <c r="DJ48" s="10">
        <v>0.5</v>
      </c>
      <c r="DK48" s="10"/>
      <c r="DL48" s="10">
        <v>0.5</v>
      </c>
      <c r="DO48">
        <v>0</v>
      </c>
      <c r="DP48" s="10"/>
      <c r="DQ48" s="10">
        <v>0.5</v>
      </c>
      <c r="DR48" s="10"/>
      <c r="DS48" s="10">
        <v>0.5</v>
      </c>
      <c r="DW48" s="10"/>
      <c r="DX48" s="10"/>
      <c r="DY48" s="10"/>
      <c r="DZ48" s="10"/>
      <c r="ED48" s="10"/>
      <c r="EE48" s="10">
        <v>0.5</v>
      </c>
      <c r="EF48" s="10"/>
      <c r="EG48" s="10">
        <v>0.5</v>
      </c>
      <c r="EK48" s="10"/>
      <c r="EL48" s="10">
        <v>0.5</v>
      </c>
      <c r="EM48" s="10"/>
      <c r="EN48" s="10">
        <v>0.5</v>
      </c>
      <c r="EQ48" t="s">
        <v>188</v>
      </c>
      <c r="ER48" s="10"/>
      <c r="ES48" s="10">
        <v>0.8</v>
      </c>
      <c r="ET48" s="10"/>
      <c r="EU48" s="10">
        <v>0.8</v>
      </c>
      <c r="EX48" t="s">
        <v>188</v>
      </c>
      <c r="EY48" s="10"/>
      <c r="EZ48" s="10">
        <v>1</v>
      </c>
      <c r="FA48" s="10"/>
      <c r="FB48" s="10">
        <v>1</v>
      </c>
      <c r="FF48" s="10"/>
      <c r="FG48" s="10">
        <v>1</v>
      </c>
      <c r="FH48" s="10"/>
      <c r="FI48" s="10">
        <v>1</v>
      </c>
      <c r="FM48" s="10"/>
      <c r="FN48" s="10"/>
      <c r="FO48" s="10"/>
      <c r="FP48" s="10"/>
    </row>
    <row r="49" spans="2:172" outlineLevel="1" x14ac:dyDescent="0.2">
      <c r="B49" t="s">
        <v>28</v>
      </c>
      <c r="C49" t="s">
        <v>72</v>
      </c>
      <c r="E49" s="9"/>
      <c r="F49" t="s">
        <v>119</v>
      </c>
      <c r="G49" s="10">
        <v>0.1</v>
      </c>
      <c r="I49" s="9">
        <f t="shared" si="4"/>
        <v>8</v>
      </c>
      <c r="J49" s="11" cm="1">
        <f t="array" ref="J49">MAX(IF($N$3:$EH$3=$J$3,N49:EH49))</f>
        <v>0</v>
      </c>
      <c r="K49" s="11" cm="1">
        <f t="array" ref="K49">MAX(IF($N$3:$EH$3=$J$3,N49:EH49))</f>
        <v>0</v>
      </c>
      <c r="L49" s="9"/>
      <c r="O49" s="10"/>
      <c r="P49" s="10"/>
      <c r="Q49" s="10"/>
      <c r="R49" s="10"/>
      <c r="V49" s="10"/>
      <c r="W49" s="10">
        <v>0.3</v>
      </c>
      <c r="X49" s="10"/>
      <c r="Y49" s="10">
        <v>0.3</v>
      </c>
      <c r="AC49" s="10"/>
      <c r="AD49" s="10">
        <v>0.5</v>
      </c>
      <c r="AE49" s="10"/>
      <c r="AF49" s="10">
        <v>0.5</v>
      </c>
      <c r="AJ49" s="10"/>
      <c r="AK49" s="10"/>
      <c r="AL49" s="10"/>
      <c r="AM49" s="10"/>
      <c r="AQ49" s="10"/>
      <c r="AR49" s="10"/>
      <c r="AS49" s="10"/>
      <c r="AT49" s="10"/>
      <c r="AX49" s="10"/>
      <c r="AY49" s="10"/>
      <c r="AZ49" s="10"/>
      <c r="BA49" s="10"/>
      <c r="BE49" s="10"/>
      <c r="BF49" s="10"/>
      <c r="BG49" s="10"/>
      <c r="BH49" s="10"/>
      <c r="BL49" s="10"/>
      <c r="BM49" s="10"/>
      <c r="BN49" s="10"/>
      <c r="BO49" s="10"/>
      <c r="BR49">
        <v>2</v>
      </c>
      <c r="BS49" s="10"/>
      <c r="BT49" s="10"/>
      <c r="BU49" s="10"/>
      <c r="BV49" s="10"/>
      <c r="BY49">
        <v>2</v>
      </c>
      <c r="BZ49" s="10"/>
      <c r="CA49" s="10"/>
      <c r="CB49" s="10"/>
      <c r="CC49" s="10"/>
      <c r="CG49" s="10"/>
      <c r="CH49" s="10"/>
      <c r="CI49" s="10"/>
      <c r="CJ49" s="10"/>
      <c r="CN49" s="10"/>
      <c r="CO49" s="10"/>
      <c r="CP49" s="10"/>
      <c r="CQ49" s="10"/>
      <c r="CU49" s="10"/>
      <c r="CV49" s="10"/>
      <c r="CW49" s="10"/>
      <c r="CX49" s="10"/>
      <c r="DA49" t="s">
        <v>188</v>
      </c>
      <c r="DB49" s="10"/>
      <c r="DC49" s="10">
        <v>0.5</v>
      </c>
      <c r="DD49" s="10"/>
      <c r="DE49" s="10">
        <v>0.5</v>
      </c>
      <c r="DH49">
        <v>2</v>
      </c>
      <c r="DI49" s="10"/>
      <c r="DJ49" s="10">
        <v>0.5</v>
      </c>
      <c r="DK49" s="10"/>
      <c r="DL49" s="10">
        <v>0.5</v>
      </c>
      <c r="DO49">
        <v>2</v>
      </c>
      <c r="DP49" s="10"/>
      <c r="DQ49" s="10">
        <v>0.5</v>
      </c>
      <c r="DR49" s="10"/>
      <c r="DS49" s="10">
        <v>0.5</v>
      </c>
      <c r="DW49" s="10"/>
      <c r="DX49" s="10"/>
      <c r="DY49" s="10"/>
      <c r="DZ49" s="10"/>
      <c r="ED49" s="10"/>
      <c r="EE49" s="10">
        <v>0.5</v>
      </c>
      <c r="EF49" s="10"/>
      <c r="EG49" s="10">
        <v>0.5</v>
      </c>
      <c r="EK49" s="10"/>
      <c r="EL49" s="10">
        <v>0.5</v>
      </c>
      <c r="EM49" s="10"/>
      <c r="EN49" s="10">
        <v>0.5</v>
      </c>
      <c r="EQ49" t="s">
        <v>188</v>
      </c>
      <c r="ER49" s="10"/>
      <c r="ES49" s="10">
        <v>0.8</v>
      </c>
      <c r="ET49" s="10"/>
      <c r="EU49" s="10">
        <v>0.8</v>
      </c>
      <c r="EX49" t="s">
        <v>188</v>
      </c>
      <c r="EY49" s="10"/>
      <c r="EZ49" s="10">
        <v>1</v>
      </c>
      <c r="FA49" s="10"/>
      <c r="FB49" s="10">
        <v>1</v>
      </c>
      <c r="FF49" s="10"/>
      <c r="FG49" s="10">
        <v>1</v>
      </c>
      <c r="FH49" s="10"/>
      <c r="FI49" s="10">
        <v>1</v>
      </c>
      <c r="FM49" s="10"/>
      <c r="FN49" s="10"/>
      <c r="FO49" s="10"/>
      <c r="FP49" s="10"/>
    </row>
    <row r="51" spans="2:172" x14ac:dyDescent="0.2">
      <c r="B51" t="s">
        <v>27</v>
      </c>
      <c r="C51" t="s">
        <v>75</v>
      </c>
      <c r="D51" s="17">
        <v>44603</v>
      </c>
      <c r="E51" s="9">
        <v>8</v>
      </c>
      <c r="G51" s="10">
        <f>+SUM(G52:G71)</f>
        <v>1.0000000000000002</v>
      </c>
      <c r="I51" s="12">
        <f>+SUM(I52:I68)</f>
        <v>0</v>
      </c>
      <c r="J51" s="11">
        <f>+SUMPRODUCT(G52:G68,J52:J68)</f>
        <v>0.03</v>
      </c>
      <c r="K51" s="11">
        <f>+SUMPRODUCT(G52:G68,K52:K68)</f>
        <v>0.03</v>
      </c>
      <c r="L51" s="9"/>
      <c r="N51" s="12">
        <f>+SUM(N52:N68)</f>
        <v>0</v>
      </c>
      <c r="U51" s="12">
        <f>+SUM(U52:U68)</f>
        <v>0</v>
      </c>
      <c r="AB51" s="12">
        <f>+SUM(AB52:AB68)</f>
        <v>0</v>
      </c>
      <c r="AI51" s="12">
        <f>+SUM(AI52:AI68)</f>
        <v>0</v>
      </c>
      <c r="AP51" s="12">
        <f>+SUM(AP52:AP68)</f>
        <v>0</v>
      </c>
      <c r="AU51" t="s">
        <v>138</v>
      </c>
      <c r="AW51" s="12">
        <f>+SUM(AW52:AW68)</f>
        <v>0</v>
      </c>
      <c r="BD51" s="12">
        <f>+SUM(BD52:BD68)</f>
        <v>0</v>
      </c>
      <c r="BK51" s="12">
        <f>+SUM(BK52:BK68)</f>
        <v>0</v>
      </c>
      <c r="BR51" s="12">
        <f>+SUM(BR52:BR68)</f>
        <v>0</v>
      </c>
      <c r="BY51" s="12">
        <f>+SUM(BY52:BY68)</f>
        <v>0</v>
      </c>
      <c r="CF51" s="12">
        <f>+SUM(CF52:CF68)</f>
        <v>0</v>
      </c>
      <c r="CM51" s="12">
        <f>+SUM(CM52:CM68)</f>
        <v>0</v>
      </c>
      <c r="CT51" s="12">
        <f>+SUM(CT52:CT68)</f>
        <v>0</v>
      </c>
      <c r="DA51" s="12">
        <f>+SUM(DA52:DA68)</f>
        <v>0</v>
      </c>
      <c r="DH51" s="12">
        <f>+SUM(DH52:DH68)</f>
        <v>0</v>
      </c>
      <c r="DO51" s="12">
        <f>+SUM(DO52:DO68)</f>
        <v>0</v>
      </c>
      <c r="DV51" s="12">
        <f>+SUM(DV52:DV68)</f>
        <v>0</v>
      </c>
      <c r="EC51" s="12">
        <f>+SUM(EC52:EC68)</f>
        <v>0</v>
      </c>
      <c r="EH51" t="s">
        <v>143</v>
      </c>
      <c r="EJ51" s="12">
        <f>+SUM(EJ52:EJ68)</f>
        <v>0</v>
      </c>
      <c r="EQ51" s="12">
        <f>+SUM(EQ52:EQ68)</f>
        <v>0</v>
      </c>
      <c r="EX51" s="12">
        <f>+SUM(EX52:EX68)</f>
        <v>0</v>
      </c>
      <c r="FC51" t="s">
        <v>135</v>
      </c>
      <c r="FE51" s="12">
        <f>+SUM(FE52:FE68)</f>
        <v>0</v>
      </c>
      <c r="FJ51" t="s">
        <v>184</v>
      </c>
      <c r="FL51" s="12">
        <f>+SUM(FL52:FL68)</f>
        <v>0</v>
      </c>
    </row>
    <row r="52" spans="2:172" outlineLevel="1" x14ac:dyDescent="0.2">
      <c r="B52" t="s">
        <v>28</v>
      </c>
      <c r="C52" t="s">
        <v>107</v>
      </c>
      <c r="E52" s="9"/>
      <c r="F52" t="s">
        <v>111</v>
      </c>
      <c r="G52" s="10">
        <v>0.06</v>
      </c>
      <c r="I52" s="9">
        <f>+SUMIF($N$3:$ZZ$3,I$3,$N52:$ZZ52)</f>
        <v>0</v>
      </c>
      <c r="J52" s="11" cm="1">
        <f t="array" ref="J52">MAX(IF($N$3:$EH$3=$J$3,N52:EH52))</f>
        <v>0.5</v>
      </c>
      <c r="K52" s="11" cm="1">
        <f t="array" ref="K52">MAX(IF($N$3:$EH$3=$J$3,N52:EH52))</f>
        <v>0.5</v>
      </c>
      <c r="L52" s="9"/>
      <c r="O52" s="10"/>
      <c r="P52" s="10"/>
      <c r="Q52" s="10"/>
      <c r="R52" s="10"/>
      <c r="V52" s="10"/>
      <c r="W52" s="10"/>
      <c r="X52" s="10"/>
      <c r="Y52" s="10"/>
      <c r="AC52" s="10"/>
      <c r="AD52" s="10"/>
      <c r="AE52" s="10"/>
      <c r="AF52" s="10"/>
      <c r="AJ52" s="10">
        <v>0.5</v>
      </c>
      <c r="AK52" s="10">
        <v>0.5</v>
      </c>
      <c r="AL52" s="10">
        <v>0.5</v>
      </c>
      <c r="AM52" s="10">
        <v>0.5</v>
      </c>
      <c r="AQ52" s="10">
        <v>0.5</v>
      </c>
      <c r="AR52" s="10">
        <v>0.5</v>
      </c>
      <c r="AS52" s="10">
        <v>0.5</v>
      </c>
      <c r="AT52" s="10">
        <v>0.5</v>
      </c>
      <c r="AX52" s="10">
        <v>0.5</v>
      </c>
      <c r="AY52" s="10">
        <v>0.5</v>
      </c>
      <c r="AZ52" s="10">
        <v>0.5</v>
      </c>
      <c r="BA52" s="10">
        <v>0.5</v>
      </c>
      <c r="BE52" s="10">
        <v>0.5</v>
      </c>
      <c r="BF52" s="10">
        <v>0.5</v>
      </c>
      <c r="BG52" s="10">
        <v>0.5</v>
      </c>
      <c r="BH52" s="10">
        <v>0.5</v>
      </c>
      <c r="BL52" s="10">
        <v>0.5</v>
      </c>
      <c r="BM52" s="10">
        <v>0.5</v>
      </c>
      <c r="BN52" s="10">
        <v>0.5</v>
      </c>
      <c r="BO52" s="10">
        <v>0.5</v>
      </c>
      <c r="BS52" s="10">
        <v>0.5</v>
      </c>
      <c r="BT52" s="10">
        <v>0.5</v>
      </c>
      <c r="BU52" s="10">
        <v>0.5</v>
      </c>
      <c r="BV52" s="10">
        <v>0.5</v>
      </c>
      <c r="BZ52" s="10"/>
      <c r="CA52" s="10">
        <v>0.5</v>
      </c>
      <c r="CB52" s="10"/>
      <c r="CC52" s="10">
        <v>0.5</v>
      </c>
      <c r="CG52" s="10"/>
      <c r="CH52" s="10">
        <v>0.5</v>
      </c>
      <c r="CI52" s="10"/>
      <c r="CJ52" s="10">
        <v>0.5</v>
      </c>
      <c r="CN52" s="10"/>
      <c r="CO52" s="10">
        <v>0.5</v>
      </c>
      <c r="CP52" s="10"/>
      <c r="CQ52" s="10">
        <v>0.5</v>
      </c>
      <c r="CU52" s="10"/>
      <c r="CV52" s="10">
        <v>0.5</v>
      </c>
      <c r="CW52" s="10"/>
      <c r="CX52" s="10">
        <v>0.5</v>
      </c>
      <c r="DB52" s="10"/>
      <c r="DC52" s="10">
        <v>0.5</v>
      </c>
      <c r="DD52" s="10"/>
      <c r="DE52" s="10">
        <v>0.5</v>
      </c>
      <c r="DI52" s="10"/>
      <c r="DJ52" s="10">
        <v>0.5</v>
      </c>
      <c r="DK52" s="10"/>
      <c r="DL52" s="10">
        <v>0.5</v>
      </c>
      <c r="DP52" s="10"/>
      <c r="DQ52" s="10">
        <v>0.5</v>
      </c>
      <c r="DR52" s="10"/>
      <c r="DS52" s="10">
        <v>0.5</v>
      </c>
      <c r="DW52" s="10"/>
      <c r="DX52" s="10"/>
      <c r="DY52" s="10"/>
      <c r="DZ52" s="10"/>
      <c r="EC52" t="s">
        <v>188</v>
      </c>
      <c r="ED52" s="10"/>
      <c r="EE52" s="10">
        <v>0.8</v>
      </c>
      <c r="EF52" s="10"/>
      <c r="EG52" s="10">
        <v>0.8</v>
      </c>
      <c r="EK52" s="10"/>
      <c r="EL52" s="10">
        <v>0.8</v>
      </c>
      <c r="EM52" s="10"/>
      <c r="EN52" s="10">
        <v>0.8</v>
      </c>
      <c r="EQ52" t="s">
        <v>188</v>
      </c>
      <c r="ER52" s="10"/>
      <c r="ES52" s="10">
        <v>1</v>
      </c>
      <c r="ET52" s="10"/>
      <c r="EU52" s="10">
        <v>1</v>
      </c>
      <c r="EY52" s="10"/>
      <c r="EZ52" s="10">
        <v>1</v>
      </c>
      <c r="FA52" s="10"/>
      <c r="FB52" s="10">
        <v>1</v>
      </c>
      <c r="FF52" s="10"/>
      <c r="FG52" s="10">
        <v>1</v>
      </c>
      <c r="FH52" s="10"/>
      <c r="FI52" s="10">
        <v>1</v>
      </c>
      <c r="FL52" s="12">
        <f>+SUM(FL53:FL69)</f>
        <v>0</v>
      </c>
      <c r="FM52" s="10"/>
      <c r="FN52" s="10"/>
      <c r="FO52" s="10"/>
      <c r="FP52" s="10"/>
    </row>
    <row r="53" spans="2:172" outlineLevel="1" x14ac:dyDescent="0.2">
      <c r="B53" t="s">
        <v>28</v>
      </c>
      <c r="C53" t="s">
        <v>108</v>
      </c>
      <c r="E53" s="9"/>
      <c r="F53" t="s">
        <v>90</v>
      </c>
      <c r="G53" s="10">
        <v>0.04</v>
      </c>
      <c r="I53" s="9">
        <f t="shared" ref="I53:I71" si="5">+SUMIF($N$3:$ZZ$3,I$3,$N53:$ZZ53)</f>
        <v>0</v>
      </c>
      <c r="J53" s="11" cm="1">
        <f t="array" ref="J53">MAX(IF($N$3:$EH$3=$J$3,N53:EH53))</f>
        <v>0</v>
      </c>
      <c r="K53" s="11" cm="1">
        <f t="array" ref="K53">MAX(IF($N$3:$EH$3=$J$3,N53:EH53))</f>
        <v>0</v>
      </c>
      <c r="L53" s="9"/>
      <c r="O53" s="10"/>
      <c r="P53" s="10"/>
      <c r="Q53" s="10"/>
      <c r="R53" s="10"/>
      <c r="V53" s="10"/>
      <c r="W53" s="10"/>
      <c r="X53" s="10"/>
      <c r="Y53" s="10"/>
      <c r="AC53" s="10"/>
      <c r="AD53" s="10"/>
      <c r="AE53" s="10"/>
      <c r="AF53" s="10"/>
      <c r="AJ53" s="10"/>
      <c r="AK53" s="10"/>
      <c r="AL53" s="10"/>
      <c r="AM53" s="10"/>
      <c r="AQ53" s="10"/>
      <c r="AR53" s="10"/>
      <c r="AS53" s="10"/>
      <c r="AT53" s="10"/>
      <c r="AW53" t="s">
        <v>188</v>
      </c>
      <c r="AX53" s="10"/>
      <c r="AY53" s="10">
        <v>0.5</v>
      </c>
      <c r="AZ53" s="10"/>
      <c r="BA53" s="10">
        <v>0.5</v>
      </c>
      <c r="BE53" s="10"/>
      <c r="BF53" s="10">
        <v>0.5</v>
      </c>
      <c r="BG53" s="10"/>
      <c r="BH53" s="10">
        <v>0.5</v>
      </c>
      <c r="BL53" s="10"/>
      <c r="BM53" s="10">
        <v>0.5</v>
      </c>
      <c r="BN53" s="10"/>
      <c r="BO53" s="10">
        <v>0.5</v>
      </c>
      <c r="BS53" s="10"/>
      <c r="BT53" s="10">
        <v>0.5</v>
      </c>
      <c r="BU53" s="10"/>
      <c r="BV53" s="10">
        <v>0.5</v>
      </c>
      <c r="BZ53" s="10"/>
      <c r="CA53" s="10">
        <v>0.5</v>
      </c>
      <c r="CB53" s="10"/>
      <c r="CC53" s="10">
        <v>0.5</v>
      </c>
      <c r="CG53" s="10"/>
      <c r="CH53" s="10">
        <v>0.5</v>
      </c>
      <c r="CI53" s="10"/>
      <c r="CJ53" s="10">
        <v>0.5</v>
      </c>
      <c r="CN53" s="10"/>
      <c r="CO53" s="10">
        <v>0.5</v>
      </c>
      <c r="CP53" s="10"/>
      <c r="CQ53" s="10">
        <v>0.5</v>
      </c>
      <c r="CU53" s="10"/>
      <c r="CV53" s="10">
        <v>0.5</v>
      </c>
      <c r="CW53" s="10"/>
      <c r="CX53" s="10">
        <v>0.5</v>
      </c>
      <c r="DB53" s="10"/>
      <c r="DC53" s="10">
        <v>0.5</v>
      </c>
      <c r="DD53" s="10"/>
      <c r="DE53" s="10">
        <v>0.5</v>
      </c>
      <c r="DI53" s="10"/>
      <c r="DJ53" s="10">
        <v>0.5</v>
      </c>
      <c r="DK53" s="10"/>
      <c r="DL53" s="10">
        <v>0.5</v>
      </c>
      <c r="DP53" s="10"/>
      <c r="DQ53" s="10">
        <v>0.5</v>
      </c>
      <c r="DR53" s="10"/>
      <c r="DS53" s="10">
        <v>0.5</v>
      </c>
      <c r="DW53" s="10"/>
      <c r="DX53" s="10"/>
      <c r="DY53" s="10"/>
      <c r="DZ53" s="10"/>
      <c r="EC53" t="s">
        <v>188</v>
      </c>
      <c r="ED53" s="10"/>
      <c r="EE53" s="10">
        <v>0.8</v>
      </c>
      <c r="EF53" s="10"/>
      <c r="EG53" s="10">
        <v>0.8</v>
      </c>
      <c r="EK53" s="10"/>
      <c r="EL53" s="10">
        <v>0.8</v>
      </c>
      <c r="EM53" s="10"/>
      <c r="EN53" s="10">
        <v>0.8</v>
      </c>
      <c r="EQ53" t="s">
        <v>188</v>
      </c>
      <c r="ER53" s="10"/>
      <c r="ES53" s="10">
        <v>1</v>
      </c>
      <c r="ET53" s="10"/>
      <c r="EU53" s="10">
        <v>1</v>
      </c>
      <c r="EY53" s="10"/>
      <c r="EZ53" s="10">
        <v>1</v>
      </c>
      <c r="FA53" s="10"/>
      <c r="FB53" s="10">
        <v>1</v>
      </c>
      <c r="FF53" s="10"/>
      <c r="FG53" s="10">
        <v>1</v>
      </c>
      <c r="FH53" s="10"/>
      <c r="FI53" s="10">
        <v>1</v>
      </c>
      <c r="FM53" s="10"/>
      <c r="FN53" s="10"/>
      <c r="FO53" s="10"/>
      <c r="FP53" s="10"/>
    </row>
    <row r="54" spans="2:172" outlineLevel="1" x14ac:dyDescent="0.2">
      <c r="B54" t="s">
        <v>28</v>
      </c>
      <c r="C54" t="s">
        <v>108</v>
      </c>
      <c r="E54" s="9"/>
      <c r="F54" t="s">
        <v>91</v>
      </c>
      <c r="G54" s="10">
        <v>0.04</v>
      </c>
      <c r="I54" s="9">
        <f t="shared" si="5"/>
        <v>0</v>
      </c>
      <c r="J54" s="11" cm="1">
        <f t="array" ref="J54">MAX(IF($N$3:$EH$3=$J$3,N54:EH54))</f>
        <v>0</v>
      </c>
      <c r="K54" s="11" cm="1">
        <f t="array" ref="K54">MAX(IF($N$3:$EH$3=$J$3,N54:EH54))</f>
        <v>0</v>
      </c>
      <c r="L54" s="9"/>
      <c r="O54" s="10"/>
      <c r="P54" s="10"/>
      <c r="Q54" s="10"/>
      <c r="R54" s="10"/>
      <c r="V54" s="10"/>
      <c r="W54" s="10"/>
      <c r="X54" s="10"/>
      <c r="Y54" s="10"/>
      <c r="AC54" s="10"/>
      <c r="AD54" s="10"/>
      <c r="AE54" s="10"/>
      <c r="AF54" s="10"/>
      <c r="AJ54" s="10"/>
      <c r="AK54" s="10"/>
      <c r="AL54" s="10"/>
      <c r="AM54" s="10"/>
      <c r="AQ54" s="10"/>
      <c r="AR54" s="10"/>
      <c r="AS54" s="10"/>
      <c r="AT54" s="10"/>
      <c r="AX54" s="10"/>
      <c r="AY54" s="10"/>
      <c r="AZ54" s="10"/>
      <c r="BA54" s="10"/>
      <c r="BD54" t="s">
        <v>188</v>
      </c>
      <c r="BE54" s="10"/>
      <c r="BF54" s="10">
        <v>0.5</v>
      </c>
      <c r="BG54" s="10"/>
      <c r="BH54" s="10">
        <v>0.5</v>
      </c>
      <c r="BL54" s="10"/>
      <c r="BM54" s="10">
        <v>0.5</v>
      </c>
      <c r="BN54" s="10"/>
      <c r="BO54" s="10">
        <v>0.5</v>
      </c>
      <c r="BS54" s="10"/>
      <c r="BT54" s="10">
        <v>0.5</v>
      </c>
      <c r="BU54" s="10"/>
      <c r="BV54" s="10">
        <v>0.5</v>
      </c>
      <c r="BZ54" s="10"/>
      <c r="CA54" s="10">
        <v>0.5</v>
      </c>
      <c r="CB54" s="10"/>
      <c r="CC54" s="10">
        <v>0.5</v>
      </c>
      <c r="CG54" s="10"/>
      <c r="CH54" s="10">
        <v>0.5</v>
      </c>
      <c r="CI54" s="10"/>
      <c r="CJ54" s="10">
        <v>0.5</v>
      </c>
      <c r="CN54" s="10"/>
      <c r="CO54" s="10">
        <v>0.5</v>
      </c>
      <c r="CP54" s="10"/>
      <c r="CQ54" s="10">
        <v>0.5</v>
      </c>
      <c r="CU54" s="10"/>
      <c r="CV54" s="10">
        <v>0.5</v>
      </c>
      <c r="CW54" s="10"/>
      <c r="CX54" s="10">
        <v>0.5</v>
      </c>
      <c r="DB54" s="10"/>
      <c r="DC54" s="10">
        <v>0.5</v>
      </c>
      <c r="DD54" s="10"/>
      <c r="DE54" s="10">
        <v>0.5</v>
      </c>
      <c r="DI54" s="10"/>
      <c r="DJ54" s="10">
        <v>0.5</v>
      </c>
      <c r="DK54" s="10"/>
      <c r="DL54" s="10">
        <v>0.5</v>
      </c>
      <c r="DP54" s="10"/>
      <c r="DQ54" s="10">
        <v>0.5</v>
      </c>
      <c r="DR54" s="10"/>
      <c r="DS54" s="10">
        <v>0.5</v>
      </c>
      <c r="DW54" s="10"/>
      <c r="DX54" s="10"/>
      <c r="DY54" s="10"/>
      <c r="DZ54" s="10"/>
      <c r="EC54" t="s">
        <v>188</v>
      </c>
      <c r="ED54" s="10"/>
      <c r="EE54" s="10">
        <v>0.8</v>
      </c>
      <c r="EF54" s="10"/>
      <c r="EG54" s="10">
        <v>0.8</v>
      </c>
      <c r="EK54" s="10"/>
      <c r="EL54" s="10">
        <v>0.8</v>
      </c>
      <c r="EM54" s="10"/>
      <c r="EN54" s="10">
        <v>0.8</v>
      </c>
      <c r="EQ54" t="s">
        <v>188</v>
      </c>
      <c r="ER54" s="10"/>
      <c r="ES54" s="10">
        <v>1</v>
      </c>
      <c r="ET54" s="10"/>
      <c r="EU54" s="10">
        <v>1</v>
      </c>
      <c r="EY54" s="10"/>
      <c r="EZ54" s="10">
        <v>1</v>
      </c>
      <c r="FA54" s="10"/>
      <c r="FB54" s="10">
        <v>1</v>
      </c>
      <c r="FF54" s="10"/>
      <c r="FG54" s="10">
        <v>1</v>
      </c>
      <c r="FH54" s="10"/>
      <c r="FI54" s="10">
        <v>1</v>
      </c>
      <c r="FM54" s="10"/>
      <c r="FN54" s="10"/>
      <c r="FO54" s="10"/>
      <c r="FP54" s="10"/>
    </row>
    <row r="55" spans="2:172" outlineLevel="1" x14ac:dyDescent="0.2">
      <c r="B55" t="s">
        <v>28</v>
      </c>
      <c r="C55" t="s">
        <v>109</v>
      </c>
      <c r="E55" s="9"/>
      <c r="F55" t="s">
        <v>92</v>
      </c>
      <c r="G55" s="10">
        <v>0.04</v>
      </c>
      <c r="I55" s="9">
        <f t="shared" si="5"/>
        <v>0</v>
      </c>
      <c r="J55" s="11" cm="1">
        <f t="array" ref="J55">MAX(IF($N$3:$EH$3=$J$3,N55:EH55))</f>
        <v>0</v>
      </c>
      <c r="K55" s="11" cm="1">
        <f t="array" ref="K55">MAX(IF($N$3:$EH$3=$J$3,N55:EH55))</f>
        <v>0</v>
      </c>
      <c r="L55" s="9"/>
      <c r="O55" s="10"/>
      <c r="P55" s="10"/>
      <c r="Q55" s="10"/>
      <c r="R55" s="10"/>
      <c r="V55" s="10"/>
      <c r="W55" s="10"/>
      <c r="X55" s="10"/>
      <c r="Y55" s="10"/>
      <c r="AC55" s="10"/>
      <c r="AD55" s="10"/>
      <c r="AE55" s="10"/>
      <c r="AF55" s="10"/>
      <c r="AJ55" s="10"/>
      <c r="AK55" s="10"/>
      <c r="AL55" s="10"/>
      <c r="AM55" s="10"/>
      <c r="AQ55" s="10"/>
      <c r="AR55" s="10"/>
      <c r="AS55" s="10"/>
      <c r="AT55" s="10"/>
      <c r="AX55" s="10"/>
      <c r="AY55" s="10"/>
      <c r="AZ55" s="10"/>
      <c r="BA55" s="10"/>
      <c r="BE55" s="10"/>
      <c r="BF55" s="10"/>
      <c r="BG55" s="10"/>
      <c r="BH55" s="10"/>
      <c r="BK55" t="s">
        <v>188</v>
      </c>
      <c r="BL55" s="10"/>
      <c r="BM55" s="10">
        <v>0.5</v>
      </c>
      <c r="BN55" s="10"/>
      <c r="BO55" s="10">
        <v>0.5</v>
      </c>
      <c r="BS55" s="10"/>
      <c r="BT55" s="10">
        <v>0.5</v>
      </c>
      <c r="BU55" s="10"/>
      <c r="BV55" s="10">
        <v>0.5</v>
      </c>
      <c r="BZ55" s="10"/>
      <c r="CA55" s="10">
        <v>0.5</v>
      </c>
      <c r="CB55" s="10"/>
      <c r="CC55" s="10">
        <v>0.5</v>
      </c>
      <c r="CG55" s="10"/>
      <c r="CH55" s="10">
        <v>0.5</v>
      </c>
      <c r="CI55" s="10"/>
      <c r="CJ55" s="10">
        <v>0.5</v>
      </c>
      <c r="CN55" s="10"/>
      <c r="CO55" s="10">
        <v>0.5</v>
      </c>
      <c r="CP55" s="10"/>
      <c r="CQ55" s="10">
        <v>0.5</v>
      </c>
      <c r="CU55" s="10"/>
      <c r="CV55" s="10">
        <v>0.5</v>
      </c>
      <c r="CW55" s="10"/>
      <c r="CX55" s="10">
        <v>0.5</v>
      </c>
      <c r="DB55" s="10"/>
      <c r="DC55" s="10">
        <v>0.5</v>
      </c>
      <c r="DD55" s="10"/>
      <c r="DE55" s="10">
        <v>0.5</v>
      </c>
      <c r="DI55" s="10"/>
      <c r="DJ55" s="10">
        <v>0.5</v>
      </c>
      <c r="DK55" s="10"/>
      <c r="DL55" s="10">
        <v>0.5</v>
      </c>
      <c r="DP55" s="10"/>
      <c r="DQ55" s="10">
        <v>0.5</v>
      </c>
      <c r="DR55" s="10"/>
      <c r="DS55" s="10">
        <v>0.5</v>
      </c>
      <c r="DW55" s="10"/>
      <c r="DX55" s="10"/>
      <c r="DY55" s="10"/>
      <c r="DZ55" s="10"/>
      <c r="EC55" t="s">
        <v>188</v>
      </c>
      <c r="ED55" s="10"/>
      <c r="EE55" s="10">
        <v>0.8</v>
      </c>
      <c r="EF55" s="10"/>
      <c r="EG55" s="10">
        <v>0.8</v>
      </c>
      <c r="EK55" s="10"/>
      <c r="EL55" s="10">
        <v>0.8</v>
      </c>
      <c r="EM55" s="10"/>
      <c r="EN55" s="10">
        <v>0.8</v>
      </c>
      <c r="EQ55" t="s">
        <v>188</v>
      </c>
      <c r="ER55" s="10"/>
      <c r="ES55" s="10">
        <v>1</v>
      </c>
      <c r="ET55" s="10"/>
      <c r="EU55" s="10">
        <v>1</v>
      </c>
      <c r="EY55" s="10"/>
      <c r="EZ55" s="10">
        <v>1</v>
      </c>
      <c r="FA55" s="10"/>
      <c r="FB55" s="10">
        <v>1</v>
      </c>
      <c r="FF55" s="10"/>
      <c r="FG55" s="10">
        <v>1</v>
      </c>
      <c r="FH55" s="10"/>
      <c r="FI55" s="10">
        <v>1</v>
      </c>
      <c r="FM55" s="10"/>
      <c r="FN55" s="10"/>
      <c r="FO55" s="10"/>
      <c r="FP55" s="10"/>
    </row>
    <row r="56" spans="2:172" outlineLevel="1" x14ac:dyDescent="0.2">
      <c r="B56" t="s">
        <v>28</v>
      </c>
      <c r="C56" t="s">
        <v>76</v>
      </c>
      <c r="E56" s="9"/>
      <c r="F56" t="s">
        <v>113</v>
      </c>
      <c r="G56" s="10">
        <v>0.08</v>
      </c>
      <c r="I56" s="9">
        <f t="shared" si="5"/>
        <v>0</v>
      </c>
      <c r="J56" s="11" cm="1">
        <f t="array" ref="J56">MAX(IF($N$3:$EH$3=$J$3,N56:EH56))</f>
        <v>0</v>
      </c>
      <c r="K56" s="11" cm="1">
        <f t="array" ref="K56">MAX(IF($N$3:$EH$3=$J$3,N56:EH56))</f>
        <v>0</v>
      </c>
      <c r="L56" s="9"/>
      <c r="O56" s="10"/>
      <c r="P56" s="10"/>
      <c r="Q56" s="10"/>
      <c r="R56" s="10"/>
      <c r="V56" s="10"/>
      <c r="W56" s="10"/>
      <c r="X56" s="10"/>
      <c r="Y56" s="10"/>
      <c r="AC56" s="10"/>
      <c r="AD56" s="10"/>
      <c r="AE56" s="10"/>
      <c r="AF56" s="10"/>
      <c r="AJ56" s="10"/>
      <c r="AK56" s="10"/>
      <c r="AL56" s="10"/>
      <c r="AM56" s="10"/>
      <c r="AQ56" s="10"/>
      <c r="AR56" s="10"/>
      <c r="AS56" s="10"/>
      <c r="AT56" s="10"/>
      <c r="AX56" s="10"/>
      <c r="AY56" s="10"/>
      <c r="AZ56" s="10"/>
      <c r="BA56" s="10"/>
      <c r="BE56" s="10"/>
      <c r="BF56" s="10"/>
      <c r="BG56" s="10"/>
      <c r="BH56" s="10"/>
      <c r="BL56" s="10"/>
      <c r="BM56" s="10"/>
      <c r="BN56" s="10"/>
      <c r="BO56" s="10"/>
      <c r="BS56" s="10"/>
      <c r="BT56" s="10"/>
      <c r="BU56" s="10"/>
      <c r="BV56" s="10"/>
      <c r="BZ56" s="10"/>
      <c r="CA56" s="10"/>
      <c r="CB56" s="10"/>
      <c r="CC56" s="10"/>
      <c r="CG56" s="10"/>
      <c r="CH56" s="10"/>
      <c r="CI56" s="10"/>
      <c r="CJ56" s="10"/>
      <c r="CN56" s="10"/>
      <c r="CO56" s="10"/>
      <c r="CP56" s="10"/>
      <c r="CQ56" s="10"/>
      <c r="CU56" s="10"/>
      <c r="CV56" s="10"/>
      <c r="CW56" s="10"/>
      <c r="CX56" s="10"/>
      <c r="DB56" s="10"/>
      <c r="DC56" s="10"/>
      <c r="DD56" s="10"/>
      <c r="DE56" s="10"/>
      <c r="DI56" s="10"/>
      <c r="DJ56" s="10"/>
      <c r="DK56" s="10"/>
      <c r="DL56" s="10"/>
      <c r="DP56" s="10"/>
      <c r="DQ56" s="10"/>
      <c r="DR56" s="10"/>
      <c r="DS56" s="10"/>
      <c r="DW56" s="10"/>
      <c r="DX56" s="10"/>
      <c r="DY56" s="10"/>
      <c r="DZ56" s="10"/>
      <c r="EC56" t="s">
        <v>189</v>
      </c>
      <c r="ED56" s="10"/>
      <c r="EE56" s="10">
        <v>0.8</v>
      </c>
      <c r="EF56" s="10"/>
      <c r="EG56" s="10">
        <v>0.8</v>
      </c>
      <c r="EK56" s="10"/>
      <c r="EL56" s="10">
        <v>0.8</v>
      </c>
      <c r="EM56" s="10"/>
      <c r="EN56" s="10">
        <v>0.8</v>
      </c>
      <c r="EQ56" t="s">
        <v>188</v>
      </c>
      <c r="ER56" s="10"/>
      <c r="ES56" s="10">
        <v>1</v>
      </c>
      <c r="ET56" s="10"/>
      <c r="EU56" s="10">
        <v>1</v>
      </c>
      <c r="EY56" s="10"/>
      <c r="EZ56" s="10">
        <v>1</v>
      </c>
      <c r="FA56" s="10"/>
      <c r="FB56" s="10">
        <v>1</v>
      </c>
      <c r="FF56" s="10"/>
      <c r="FG56" s="10">
        <v>1</v>
      </c>
      <c r="FH56" s="10"/>
      <c r="FI56" s="10">
        <v>1</v>
      </c>
      <c r="FM56" s="10"/>
      <c r="FN56" s="10"/>
      <c r="FO56" s="10"/>
      <c r="FP56" s="10"/>
    </row>
    <row r="57" spans="2:172" outlineLevel="1" x14ac:dyDescent="0.2">
      <c r="B57" t="s">
        <v>28</v>
      </c>
      <c r="C57" t="s">
        <v>76</v>
      </c>
      <c r="E57" s="9"/>
      <c r="F57" t="s">
        <v>94</v>
      </c>
      <c r="G57" s="10">
        <v>0.04</v>
      </c>
      <c r="I57" s="9">
        <f t="shared" si="5"/>
        <v>0</v>
      </c>
      <c r="J57" s="11" cm="1">
        <f t="array" ref="J57">MAX(IF($N$3:$EH$3=$J$3,N57:EH57))</f>
        <v>0</v>
      </c>
      <c r="K57" s="11" cm="1">
        <f t="array" ref="K57">MAX(IF($N$3:$EH$3=$J$3,N57:EH57))</f>
        <v>0</v>
      </c>
      <c r="L57" s="9"/>
      <c r="O57" s="10"/>
      <c r="P57" s="10"/>
      <c r="Q57" s="10"/>
      <c r="R57" s="10"/>
      <c r="V57" s="10"/>
      <c r="W57" s="10"/>
      <c r="X57" s="10"/>
      <c r="Y57" s="10"/>
      <c r="AC57" s="10"/>
      <c r="AD57" s="10"/>
      <c r="AE57" s="10"/>
      <c r="AF57" s="10"/>
      <c r="AJ57" s="10"/>
      <c r="AK57" s="10"/>
      <c r="AL57" s="10"/>
      <c r="AM57" s="10"/>
      <c r="AQ57" s="10"/>
      <c r="AR57" s="10"/>
      <c r="AS57" s="10"/>
      <c r="AT57" s="10"/>
      <c r="AX57" s="10"/>
      <c r="AY57" s="10"/>
      <c r="AZ57" s="10"/>
      <c r="BA57" s="10"/>
      <c r="BE57" s="10"/>
      <c r="BF57" s="10"/>
      <c r="BG57" s="10"/>
      <c r="BH57" s="10"/>
      <c r="BL57" s="10"/>
      <c r="BM57" s="10"/>
      <c r="BN57" s="10"/>
      <c r="BO57" s="10"/>
      <c r="BS57" s="10"/>
      <c r="BT57" s="10"/>
      <c r="BU57" s="10"/>
      <c r="BV57" s="10"/>
      <c r="BZ57" s="10"/>
      <c r="CA57" s="10"/>
      <c r="CB57" s="10"/>
      <c r="CC57" s="10"/>
      <c r="CG57" s="10"/>
      <c r="CH57" s="10"/>
      <c r="CI57" s="10"/>
      <c r="CJ57" s="10"/>
      <c r="CN57" s="10"/>
      <c r="CO57" s="10"/>
      <c r="CP57" s="10"/>
      <c r="CQ57" s="10"/>
      <c r="CU57" s="10"/>
      <c r="CV57" s="10"/>
      <c r="CW57" s="10"/>
      <c r="CX57" s="10"/>
      <c r="DB57" s="10"/>
      <c r="DC57" s="10"/>
      <c r="DD57" s="10"/>
      <c r="DE57" s="10"/>
      <c r="DI57" s="10"/>
      <c r="DJ57" s="10"/>
      <c r="DK57" s="10"/>
      <c r="DL57" s="10"/>
      <c r="DP57" s="10"/>
      <c r="DQ57" s="10"/>
      <c r="DR57" s="10"/>
      <c r="DS57" s="10"/>
      <c r="DW57" s="10"/>
      <c r="DX57" s="10"/>
      <c r="DY57" s="10"/>
      <c r="DZ57" s="10"/>
      <c r="EC57" t="s">
        <v>189</v>
      </c>
      <c r="ED57" s="10"/>
      <c r="EE57" s="10">
        <v>0.8</v>
      </c>
      <c r="EF57" s="10"/>
      <c r="EG57" s="10">
        <v>0.8</v>
      </c>
      <c r="EK57" s="10"/>
      <c r="EL57" s="10">
        <v>0.8</v>
      </c>
      <c r="EM57" s="10"/>
      <c r="EN57" s="10">
        <v>0.8</v>
      </c>
      <c r="EQ57" t="s">
        <v>188</v>
      </c>
      <c r="ER57" s="10"/>
      <c r="ES57" s="10">
        <v>1</v>
      </c>
      <c r="ET57" s="10"/>
      <c r="EU57" s="10">
        <v>1</v>
      </c>
      <c r="EY57" s="10"/>
      <c r="EZ57" s="10">
        <v>1</v>
      </c>
      <c r="FA57" s="10"/>
      <c r="FB57" s="10">
        <v>1</v>
      </c>
      <c r="FF57" s="10"/>
      <c r="FG57" s="10">
        <v>1</v>
      </c>
      <c r="FH57" s="10"/>
      <c r="FI57" s="10">
        <v>1</v>
      </c>
      <c r="FM57" s="10"/>
      <c r="FN57" s="10"/>
      <c r="FO57" s="10"/>
      <c r="FP57" s="10"/>
    </row>
    <row r="58" spans="2:172" outlineLevel="1" x14ac:dyDescent="0.2">
      <c r="B58" t="s">
        <v>28</v>
      </c>
      <c r="C58" t="s">
        <v>76</v>
      </c>
      <c r="E58" s="9"/>
      <c r="F58" t="s">
        <v>93</v>
      </c>
      <c r="G58" s="10">
        <v>0.04</v>
      </c>
      <c r="I58" s="9">
        <f t="shared" si="5"/>
        <v>0</v>
      </c>
      <c r="J58" s="11" cm="1">
        <f t="array" ref="J58">MAX(IF($N$3:$EH$3=$J$3,N58:EH58))</f>
        <v>0</v>
      </c>
      <c r="K58" s="11" cm="1">
        <f t="array" ref="K58">MAX(IF($N$3:$EH$3=$J$3,N58:EH58))</f>
        <v>0</v>
      </c>
      <c r="L58" s="9"/>
      <c r="O58" s="10"/>
      <c r="P58" s="10"/>
      <c r="Q58" s="10"/>
      <c r="R58" s="10"/>
      <c r="V58" s="10"/>
      <c r="W58" s="10"/>
      <c r="X58" s="10"/>
      <c r="Y58" s="10"/>
      <c r="AC58" s="10"/>
      <c r="AD58" s="10"/>
      <c r="AE58" s="10"/>
      <c r="AF58" s="10"/>
      <c r="AJ58" s="10"/>
      <c r="AK58" s="10"/>
      <c r="AL58" s="10"/>
      <c r="AM58" s="10"/>
      <c r="AQ58" s="10"/>
      <c r="AR58" s="10"/>
      <c r="AS58" s="10"/>
      <c r="AT58" s="10"/>
      <c r="AX58" s="10"/>
      <c r="AY58" s="10"/>
      <c r="AZ58" s="10"/>
      <c r="BA58" s="10"/>
      <c r="BE58" s="10"/>
      <c r="BF58" s="10"/>
      <c r="BG58" s="10"/>
      <c r="BH58" s="10"/>
      <c r="BL58" s="10"/>
      <c r="BM58" s="10"/>
      <c r="BN58" s="10"/>
      <c r="BO58" s="10"/>
      <c r="BS58" s="10"/>
      <c r="BT58" s="10"/>
      <c r="BU58" s="10"/>
      <c r="BV58" s="10"/>
      <c r="BZ58" s="10"/>
      <c r="CA58" s="10"/>
      <c r="CB58" s="10"/>
      <c r="CC58" s="10"/>
      <c r="CG58" s="10"/>
      <c r="CH58" s="10"/>
      <c r="CI58" s="10"/>
      <c r="CJ58" s="10"/>
      <c r="CN58" s="10"/>
      <c r="CO58" s="10"/>
      <c r="CP58" s="10"/>
      <c r="CQ58" s="10"/>
      <c r="CU58" s="10"/>
      <c r="CV58" s="10"/>
      <c r="CW58" s="10"/>
      <c r="CX58" s="10"/>
      <c r="DB58" s="10"/>
      <c r="DC58" s="10"/>
      <c r="DD58" s="10"/>
      <c r="DE58" s="10"/>
      <c r="DI58" s="10"/>
      <c r="DJ58" s="10"/>
      <c r="DK58" s="10"/>
      <c r="DL58" s="10"/>
      <c r="DP58" s="10"/>
      <c r="DQ58" s="10"/>
      <c r="DR58" s="10"/>
      <c r="DS58" s="10"/>
      <c r="DW58" s="10"/>
      <c r="DX58" s="10"/>
      <c r="DY58" s="10"/>
      <c r="DZ58" s="10"/>
      <c r="EC58" t="s">
        <v>189</v>
      </c>
      <c r="ED58" s="10"/>
      <c r="EE58" s="10">
        <v>0.8</v>
      </c>
      <c r="EF58" s="10"/>
      <c r="EG58" s="10">
        <v>0.8</v>
      </c>
      <c r="EK58" s="10"/>
      <c r="EL58" s="10">
        <v>0.8</v>
      </c>
      <c r="EM58" s="10"/>
      <c r="EN58" s="10">
        <v>0.8</v>
      </c>
      <c r="EQ58" t="s">
        <v>188</v>
      </c>
      <c r="ER58" s="10"/>
      <c r="ES58" s="10">
        <v>1</v>
      </c>
      <c r="ET58" s="10"/>
      <c r="EU58" s="10">
        <v>1</v>
      </c>
      <c r="EY58" s="10"/>
      <c r="EZ58" s="10">
        <v>1</v>
      </c>
      <c r="FA58" s="10"/>
      <c r="FB58" s="10">
        <v>1</v>
      </c>
      <c r="FF58" s="10"/>
      <c r="FG58" s="10">
        <v>1</v>
      </c>
      <c r="FH58" s="10"/>
      <c r="FI58" s="10">
        <v>1</v>
      </c>
      <c r="FM58" s="10"/>
      <c r="FN58" s="10"/>
      <c r="FO58" s="10"/>
      <c r="FP58" s="10"/>
    </row>
    <row r="59" spans="2:172" outlineLevel="1" x14ac:dyDescent="0.2">
      <c r="B59" t="s">
        <v>28</v>
      </c>
      <c r="C59" t="s">
        <v>76</v>
      </c>
      <c r="E59" s="9"/>
      <c r="F59" t="s">
        <v>95</v>
      </c>
      <c r="G59" s="10">
        <v>0.04</v>
      </c>
      <c r="I59" s="9">
        <f t="shared" si="5"/>
        <v>0</v>
      </c>
      <c r="J59" s="11" cm="1">
        <f t="array" ref="J59">MAX(IF($N$3:$EH$3=$J$3,N59:EH59))</f>
        <v>0</v>
      </c>
      <c r="K59" s="11" cm="1">
        <f t="array" ref="K59">MAX(IF($N$3:$EH$3=$J$3,N59:EH59))</f>
        <v>0</v>
      </c>
      <c r="L59" s="9"/>
      <c r="O59" s="10"/>
      <c r="P59" s="10"/>
      <c r="Q59" s="10"/>
      <c r="R59" s="10"/>
      <c r="V59" s="10"/>
      <c r="W59" s="10"/>
      <c r="X59" s="10"/>
      <c r="Y59" s="10"/>
      <c r="AC59" s="10"/>
      <c r="AD59" s="10"/>
      <c r="AE59" s="10"/>
      <c r="AF59" s="10"/>
      <c r="AJ59" s="10"/>
      <c r="AK59" s="10"/>
      <c r="AL59" s="10"/>
      <c r="AM59" s="10"/>
      <c r="AQ59" s="10"/>
      <c r="AR59" s="10"/>
      <c r="AS59" s="10"/>
      <c r="AT59" s="10"/>
      <c r="AX59" s="10"/>
      <c r="AY59" s="10"/>
      <c r="AZ59" s="10"/>
      <c r="BA59" s="10"/>
      <c r="BE59" s="10"/>
      <c r="BF59" s="10"/>
      <c r="BG59" s="10"/>
      <c r="BH59" s="10"/>
      <c r="BL59" s="10"/>
      <c r="BM59" s="10"/>
      <c r="BN59" s="10"/>
      <c r="BO59" s="10"/>
      <c r="BS59" s="10"/>
      <c r="BT59" s="10"/>
      <c r="BU59" s="10"/>
      <c r="BV59" s="10"/>
      <c r="BZ59" s="10"/>
      <c r="CA59" s="10"/>
      <c r="CB59" s="10"/>
      <c r="CC59" s="10"/>
      <c r="CG59" s="10"/>
      <c r="CH59" s="10"/>
      <c r="CI59" s="10"/>
      <c r="CJ59" s="10"/>
      <c r="CN59" s="10"/>
      <c r="CO59" s="10"/>
      <c r="CP59" s="10"/>
      <c r="CQ59" s="10"/>
      <c r="CU59" s="10"/>
      <c r="CV59" s="10"/>
      <c r="CW59" s="10"/>
      <c r="CX59" s="10"/>
      <c r="DB59" s="10"/>
      <c r="DC59" s="10"/>
      <c r="DD59" s="10"/>
      <c r="DE59" s="10"/>
      <c r="DI59" s="10"/>
      <c r="DJ59" s="10"/>
      <c r="DK59" s="10"/>
      <c r="DL59" s="10"/>
      <c r="DP59" s="10"/>
      <c r="DQ59" s="10"/>
      <c r="DR59" s="10"/>
      <c r="DS59" s="10"/>
      <c r="DW59" s="10"/>
      <c r="DX59" s="10"/>
      <c r="DY59" s="10"/>
      <c r="DZ59" s="10"/>
      <c r="EC59" t="s">
        <v>188</v>
      </c>
      <c r="ED59" s="10"/>
      <c r="EE59" s="10">
        <v>0.5</v>
      </c>
      <c r="EF59" s="10"/>
      <c r="EG59" s="10">
        <v>0.5</v>
      </c>
      <c r="EJ59" t="s">
        <v>188</v>
      </c>
      <c r="EK59" s="10"/>
      <c r="EL59" s="10">
        <v>0.8</v>
      </c>
      <c r="EM59" s="10"/>
      <c r="EN59" s="10">
        <v>0.8</v>
      </c>
      <c r="ER59" s="10"/>
      <c r="ES59" s="10">
        <v>0.8</v>
      </c>
      <c r="ET59" s="10"/>
      <c r="EU59" s="10">
        <v>0.8</v>
      </c>
      <c r="EX59" t="s">
        <v>188</v>
      </c>
      <c r="EY59" s="10"/>
      <c r="EZ59" s="10">
        <v>1</v>
      </c>
      <c r="FA59" s="10"/>
      <c r="FB59" s="10">
        <v>1</v>
      </c>
      <c r="FF59" s="10"/>
      <c r="FG59" s="10">
        <v>1</v>
      </c>
      <c r="FH59" s="10"/>
      <c r="FI59" s="10">
        <v>1</v>
      </c>
      <c r="FM59" s="10"/>
      <c r="FN59" s="10"/>
      <c r="FO59" s="10"/>
      <c r="FP59" s="10"/>
    </row>
    <row r="60" spans="2:172" outlineLevel="1" x14ac:dyDescent="0.2">
      <c r="B60" t="s">
        <v>28</v>
      </c>
      <c r="C60" t="s">
        <v>76</v>
      </c>
      <c r="E60" s="9"/>
      <c r="F60" t="s">
        <v>96</v>
      </c>
      <c r="G60" s="10">
        <v>0.04</v>
      </c>
      <c r="I60" s="9">
        <f t="shared" si="5"/>
        <v>0</v>
      </c>
      <c r="J60" s="11" cm="1">
        <f t="array" ref="J60">MAX(IF($N$3:$EH$3=$J$3,N60:EH60))</f>
        <v>0</v>
      </c>
      <c r="K60" s="11" cm="1">
        <f t="array" ref="K60">MAX(IF($N$3:$EH$3=$J$3,N60:EH60))</f>
        <v>0</v>
      </c>
      <c r="L60" s="9"/>
      <c r="O60" s="10"/>
      <c r="P60" s="10"/>
      <c r="Q60" s="10"/>
      <c r="R60" s="10"/>
      <c r="V60" s="10"/>
      <c r="W60" s="10"/>
      <c r="X60" s="10"/>
      <c r="Y60" s="10"/>
      <c r="AC60" s="10"/>
      <c r="AD60" s="10"/>
      <c r="AE60" s="10"/>
      <c r="AF60" s="10"/>
      <c r="AJ60" s="10"/>
      <c r="AK60" s="10"/>
      <c r="AL60" s="10"/>
      <c r="AM60" s="10"/>
      <c r="AQ60" s="10"/>
      <c r="AR60" s="10"/>
      <c r="AS60" s="10"/>
      <c r="AT60" s="10"/>
      <c r="AX60" s="10"/>
      <c r="AY60" s="10"/>
      <c r="AZ60" s="10"/>
      <c r="BA60" s="10"/>
      <c r="BE60" s="10"/>
      <c r="BF60" s="10"/>
      <c r="BG60" s="10"/>
      <c r="BH60" s="10"/>
      <c r="BL60" s="10"/>
      <c r="BM60" s="10"/>
      <c r="BN60" s="10"/>
      <c r="BO60" s="10"/>
      <c r="BS60" s="10"/>
      <c r="BT60" s="10"/>
      <c r="BU60" s="10"/>
      <c r="BV60" s="10"/>
      <c r="BZ60" s="10"/>
      <c r="CA60" s="10"/>
      <c r="CB60" s="10"/>
      <c r="CC60" s="10"/>
      <c r="CG60" s="10"/>
      <c r="CH60" s="10"/>
      <c r="CI60" s="10"/>
      <c r="CJ60" s="10"/>
      <c r="CN60" s="10"/>
      <c r="CO60" s="10"/>
      <c r="CP60" s="10"/>
      <c r="CQ60" s="10"/>
      <c r="CU60" s="10"/>
      <c r="CV60" s="10"/>
      <c r="CW60" s="10"/>
      <c r="CX60" s="10"/>
      <c r="DB60" s="10"/>
      <c r="DC60" s="10"/>
      <c r="DD60" s="10"/>
      <c r="DE60" s="10"/>
      <c r="DI60" s="10"/>
      <c r="DJ60" s="10"/>
      <c r="DK60" s="10"/>
      <c r="DL60" s="10"/>
      <c r="DP60" s="10"/>
      <c r="DQ60" s="10"/>
      <c r="DR60" s="10"/>
      <c r="DS60" s="10"/>
      <c r="DW60" s="10"/>
      <c r="DX60" s="10"/>
      <c r="DY60" s="10"/>
      <c r="DZ60" s="10"/>
      <c r="EC60" t="s">
        <v>188</v>
      </c>
      <c r="ED60" s="10"/>
      <c r="EE60" s="10">
        <v>0.5</v>
      </c>
      <c r="EF60" s="10"/>
      <c r="EG60" s="10">
        <v>0.5</v>
      </c>
      <c r="EJ60" t="s">
        <v>188</v>
      </c>
      <c r="EK60" s="10"/>
      <c r="EL60" s="10">
        <v>0.8</v>
      </c>
      <c r="EM60" s="10"/>
      <c r="EN60" s="10">
        <v>0.8</v>
      </c>
      <c r="ER60" s="10"/>
      <c r="ES60" s="10">
        <v>0.8</v>
      </c>
      <c r="ET60" s="10"/>
      <c r="EU60" s="10">
        <v>0.8</v>
      </c>
      <c r="EX60" t="s">
        <v>188</v>
      </c>
      <c r="EY60" s="10"/>
      <c r="EZ60" s="10">
        <v>1</v>
      </c>
      <c r="FA60" s="10"/>
      <c r="FB60" s="10">
        <v>1</v>
      </c>
      <c r="FF60" s="10"/>
      <c r="FG60" s="10">
        <v>1</v>
      </c>
      <c r="FH60" s="10"/>
      <c r="FI60" s="10">
        <v>1</v>
      </c>
      <c r="FM60" s="10"/>
      <c r="FN60" s="10"/>
      <c r="FO60" s="10"/>
      <c r="FP60" s="10"/>
    </row>
    <row r="61" spans="2:172" outlineLevel="1" x14ac:dyDescent="0.2">
      <c r="B61" t="s">
        <v>28</v>
      </c>
      <c r="C61" t="s">
        <v>76</v>
      </c>
      <c r="E61" s="9"/>
      <c r="F61" t="s">
        <v>112</v>
      </c>
      <c r="G61" s="10">
        <v>0.08</v>
      </c>
      <c r="I61" s="9">
        <f t="shared" si="5"/>
        <v>0</v>
      </c>
      <c r="J61" s="11" cm="1">
        <f t="array" ref="J61">MAX(IF($N$3:$EH$3=$J$3,N61:EH61))</f>
        <v>0</v>
      </c>
      <c r="K61" s="11" cm="1">
        <f t="array" ref="K61">MAX(IF($N$3:$EH$3=$J$3,N61:EH61))</f>
        <v>0</v>
      </c>
      <c r="L61" s="9"/>
      <c r="O61" s="10"/>
      <c r="P61" s="10"/>
      <c r="Q61" s="10"/>
      <c r="R61" s="10"/>
      <c r="V61" s="10"/>
      <c r="W61" s="10"/>
      <c r="X61" s="10"/>
      <c r="Y61" s="10"/>
      <c r="AC61" s="10"/>
      <c r="AD61" s="10"/>
      <c r="AE61" s="10"/>
      <c r="AF61" s="10"/>
      <c r="AJ61" s="10"/>
      <c r="AK61" s="10"/>
      <c r="AL61" s="10"/>
      <c r="AM61" s="10"/>
      <c r="AQ61" s="10"/>
      <c r="AR61" s="10"/>
      <c r="AS61" s="10"/>
      <c r="AT61" s="10"/>
      <c r="AX61" s="10"/>
      <c r="AY61" s="10"/>
      <c r="AZ61" s="10"/>
      <c r="BA61" s="10"/>
      <c r="BE61" s="10"/>
      <c r="BF61" s="10"/>
      <c r="BG61" s="10"/>
      <c r="BH61" s="10"/>
      <c r="BL61" s="10"/>
      <c r="BM61" s="10"/>
      <c r="BN61" s="10"/>
      <c r="BO61" s="10"/>
      <c r="BS61" s="10"/>
      <c r="BT61" s="10"/>
      <c r="BU61" s="10"/>
      <c r="BV61" s="10"/>
      <c r="BZ61" s="10"/>
      <c r="CA61" s="10"/>
      <c r="CB61" s="10"/>
      <c r="CC61" s="10"/>
      <c r="CG61" s="10"/>
      <c r="CH61" s="10"/>
      <c r="CI61" s="10"/>
      <c r="CJ61" s="10"/>
      <c r="CN61" s="10"/>
      <c r="CO61" s="10"/>
      <c r="CP61" s="10"/>
      <c r="CQ61" s="10"/>
      <c r="CU61" s="10"/>
      <c r="CV61" s="10"/>
      <c r="CW61" s="10"/>
      <c r="CX61" s="10"/>
      <c r="DB61" s="10"/>
      <c r="DC61" s="10"/>
      <c r="DD61" s="10"/>
      <c r="DE61" s="10"/>
      <c r="DI61" s="10"/>
      <c r="DJ61" s="10"/>
      <c r="DK61" s="10"/>
      <c r="DL61" s="10"/>
      <c r="DP61" s="10"/>
      <c r="DQ61" s="10"/>
      <c r="DR61" s="10"/>
      <c r="DS61" s="10"/>
      <c r="DW61" s="10"/>
      <c r="DX61" s="10"/>
      <c r="DY61" s="10"/>
      <c r="DZ61" s="10"/>
      <c r="EC61" t="s">
        <v>188</v>
      </c>
      <c r="ED61" s="10"/>
      <c r="EE61" s="10">
        <v>0.5</v>
      </c>
      <c r="EF61" s="10"/>
      <c r="EG61" s="10">
        <v>0.5</v>
      </c>
      <c r="EJ61" t="s">
        <v>188</v>
      </c>
      <c r="EK61" s="10"/>
      <c r="EL61" s="10">
        <v>0.8</v>
      </c>
      <c r="EM61" s="10"/>
      <c r="EN61" s="10">
        <v>0.8</v>
      </c>
      <c r="ER61" s="10"/>
      <c r="ES61" s="10">
        <v>0.8</v>
      </c>
      <c r="ET61" s="10"/>
      <c r="EU61" s="10">
        <v>0.8</v>
      </c>
      <c r="EX61" t="s">
        <v>188</v>
      </c>
      <c r="EY61" s="10"/>
      <c r="EZ61" s="10">
        <v>1</v>
      </c>
      <c r="FA61" s="10"/>
      <c r="FB61" s="10">
        <v>1</v>
      </c>
      <c r="FF61" s="10"/>
      <c r="FG61" s="10">
        <v>1</v>
      </c>
      <c r="FH61" s="10"/>
      <c r="FI61" s="10">
        <v>1</v>
      </c>
      <c r="FM61" s="10"/>
      <c r="FN61" s="10"/>
      <c r="FO61" s="10"/>
      <c r="FP61" s="10"/>
    </row>
    <row r="62" spans="2:172" outlineLevel="1" x14ac:dyDescent="0.2">
      <c r="B62" t="s">
        <v>28</v>
      </c>
      <c r="C62" t="s">
        <v>77</v>
      </c>
      <c r="E62" s="9"/>
      <c r="F62" t="s">
        <v>97</v>
      </c>
      <c r="G62" s="10">
        <v>0.05</v>
      </c>
      <c r="I62" s="9">
        <f t="shared" si="5"/>
        <v>0</v>
      </c>
      <c r="J62" s="11" cm="1">
        <f t="array" ref="J62">MAX(IF($N$3:$EH$3=$J$3,N62:EH62))</f>
        <v>0</v>
      </c>
      <c r="K62" s="11" cm="1">
        <f t="array" ref="K62">MAX(IF($N$3:$EH$3=$J$3,N62:EH62))</f>
        <v>0</v>
      </c>
      <c r="L62" s="9"/>
      <c r="O62" s="10"/>
      <c r="P62" s="10"/>
      <c r="Q62" s="10"/>
      <c r="R62" s="10"/>
      <c r="V62" s="10"/>
      <c r="W62" s="10"/>
      <c r="X62" s="10"/>
      <c r="Y62" s="10"/>
      <c r="AC62" s="10"/>
      <c r="AD62" s="10"/>
      <c r="AE62" s="10"/>
      <c r="AF62" s="10"/>
      <c r="AJ62" s="10"/>
      <c r="AK62" s="10"/>
      <c r="AL62" s="10"/>
      <c r="AM62" s="10"/>
      <c r="AQ62" s="10"/>
      <c r="AR62" s="10"/>
      <c r="AS62" s="10"/>
      <c r="AT62" s="10"/>
      <c r="AX62" s="10"/>
      <c r="AY62" s="10"/>
      <c r="AZ62" s="10"/>
      <c r="BA62" s="10"/>
      <c r="BE62" s="10"/>
      <c r="BF62" s="10"/>
      <c r="BG62" s="10"/>
      <c r="BH62" s="10"/>
      <c r="BL62" s="10"/>
      <c r="BM62" s="10"/>
      <c r="BN62" s="10"/>
      <c r="BO62" s="10"/>
      <c r="BS62" s="10"/>
      <c r="BT62" s="10"/>
      <c r="BU62" s="10"/>
      <c r="BV62" s="10"/>
      <c r="BZ62" s="10"/>
      <c r="CA62" s="10"/>
      <c r="CB62" s="10"/>
      <c r="CC62" s="10"/>
      <c r="CG62" s="10"/>
      <c r="CH62" s="10"/>
      <c r="CI62" s="10"/>
      <c r="CJ62" s="10"/>
      <c r="CN62" s="10"/>
      <c r="CO62" s="10"/>
      <c r="CP62" s="10"/>
      <c r="CQ62" s="10"/>
      <c r="CU62" s="10"/>
      <c r="CV62" s="10"/>
      <c r="CW62" s="10"/>
      <c r="CX62" s="10"/>
      <c r="DB62" s="10"/>
      <c r="DC62" s="10"/>
      <c r="DD62" s="10"/>
      <c r="DE62" s="10"/>
      <c r="DI62" s="10"/>
      <c r="DJ62" s="10"/>
      <c r="DK62" s="10"/>
      <c r="DL62" s="10"/>
      <c r="DP62" s="10"/>
      <c r="DQ62" s="10"/>
      <c r="DR62" s="10"/>
      <c r="DS62" s="10"/>
      <c r="DW62" s="10"/>
      <c r="DX62" s="10"/>
      <c r="DY62" s="10"/>
      <c r="DZ62" s="10"/>
      <c r="EC62" t="s">
        <v>188</v>
      </c>
      <c r="ED62" s="10"/>
      <c r="EE62" s="10">
        <v>0.5</v>
      </c>
      <c r="EF62" s="10"/>
      <c r="EG62" s="10">
        <v>0.5</v>
      </c>
      <c r="EJ62" t="s">
        <v>188</v>
      </c>
      <c r="EK62" s="10"/>
      <c r="EL62" s="10">
        <v>0.8</v>
      </c>
      <c r="EM62" s="10"/>
      <c r="EN62" s="10">
        <v>0.8</v>
      </c>
      <c r="ER62" s="10"/>
      <c r="ES62" s="10">
        <v>0.8</v>
      </c>
      <c r="ET62" s="10"/>
      <c r="EU62" s="10">
        <v>0.8</v>
      </c>
      <c r="EX62" t="s">
        <v>188</v>
      </c>
      <c r="EY62" s="10"/>
      <c r="EZ62" s="10">
        <v>1</v>
      </c>
      <c r="FA62" s="10"/>
      <c r="FB62" s="10">
        <v>1</v>
      </c>
      <c r="FF62" s="10"/>
      <c r="FG62" s="10">
        <v>1</v>
      </c>
      <c r="FH62" s="10"/>
      <c r="FI62" s="10">
        <v>1</v>
      </c>
      <c r="FM62" s="10"/>
      <c r="FN62" s="10"/>
      <c r="FO62" s="10"/>
      <c r="FP62" s="10"/>
    </row>
    <row r="63" spans="2:172" outlineLevel="1" x14ac:dyDescent="0.2">
      <c r="B63" t="s">
        <v>28</v>
      </c>
      <c r="C63" t="s">
        <v>77</v>
      </c>
      <c r="E63" s="9"/>
      <c r="F63" t="s">
        <v>98</v>
      </c>
      <c r="G63" s="10">
        <v>0.05</v>
      </c>
      <c r="I63" s="9">
        <f t="shared" si="5"/>
        <v>0</v>
      </c>
      <c r="J63" s="11" cm="1">
        <f t="array" ref="J63">MAX(IF($N$3:$EH$3=$J$3,N63:EH63))</f>
        <v>0</v>
      </c>
      <c r="K63" s="11" cm="1">
        <f t="array" ref="K63">MAX(IF($N$3:$EH$3=$J$3,N63:EH63))</f>
        <v>0</v>
      </c>
      <c r="L63" s="9"/>
      <c r="O63" s="10"/>
      <c r="P63" s="10"/>
      <c r="Q63" s="10"/>
      <c r="R63" s="10"/>
      <c r="V63" s="10"/>
      <c r="W63" s="10"/>
      <c r="X63" s="10"/>
      <c r="Y63" s="10"/>
      <c r="AC63" s="10"/>
      <c r="AD63" s="10"/>
      <c r="AE63" s="10"/>
      <c r="AF63" s="10"/>
      <c r="AJ63" s="10"/>
      <c r="AK63" s="10"/>
      <c r="AL63" s="10"/>
      <c r="AM63" s="10"/>
      <c r="AQ63" s="10"/>
      <c r="AR63" s="10"/>
      <c r="AS63" s="10"/>
      <c r="AT63" s="10"/>
      <c r="AX63" s="10"/>
      <c r="AY63" s="10"/>
      <c r="AZ63" s="10"/>
      <c r="BA63" s="10"/>
      <c r="BE63" s="10"/>
      <c r="BF63" s="10"/>
      <c r="BG63" s="10"/>
      <c r="BH63" s="10"/>
      <c r="BL63" s="10"/>
      <c r="BM63" s="10"/>
      <c r="BN63" s="10"/>
      <c r="BO63" s="10"/>
      <c r="BS63" s="10"/>
      <c r="BT63" s="10"/>
      <c r="BU63" s="10"/>
      <c r="BV63" s="10"/>
      <c r="BZ63" s="10"/>
      <c r="CA63" s="10"/>
      <c r="CB63" s="10"/>
      <c r="CC63" s="10"/>
      <c r="CG63" s="10"/>
      <c r="CH63" s="10"/>
      <c r="CI63" s="10"/>
      <c r="CJ63" s="10"/>
      <c r="CN63" s="10"/>
      <c r="CO63" s="10"/>
      <c r="CP63" s="10"/>
      <c r="CQ63" s="10"/>
      <c r="CU63" s="10"/>
      <c r="CV63" s="10"/>
      <c r="CW63" s="10"/>
      <c r="CX63" s="10"/>
      <c r="DB63" s="10"/>
      <c r="DC63" s="10"/>
      <c r="DD63" s="10"/>
      <c r="DE63" s="10"/>
      <c r="DI63" s="10"/>
      <c r="DJ63" s="10"/>
      <c r="DK63" s="10"/>
      <c r="DL63" s="10"/>
      <c r="DP63" s="10"/>
      <c r="DQ63" s="10"/>
      <c r="DR63" s="10"/>
      <c r="DS63" s="10"/>
      <c r="DW63" s="10"/>
      <c r="DX63" s="10"/>
      <c r="DY63" s="10"/>
      <c r="DZ63" s="10"/>
      <c r="EC63" t="s">
        <v>188</v>
      </c>
      <c r="ED63" s="10"/>
      <c r="EE63" s="10">
        <v>0.5</v>
      </c>
      <c r="EF63" s="10"/>
      <c r="EG63" s="10">
        <v>0.5</v>
      </c>
      <c r="EJ63" t="s">
        <v>188</v>
      </c>
      <c r="EK63" s="10"/>
      <c r="EL63" s="10">
        <v>0.8</v>
      </c>
      <c r="EM63" s="10"/>
      <c r="EN63" s="10">
        <v>0.8</v>
      </c>
      <c r="ER63" s="10"/>
      <c r="ES63" s="10">
        <v>0.8</v>
      </c>
      <c r="ET63" s="10"/>
      <c r="EU63" s="10">
        <v>0.8</v>
      </c>
      <c r="EX63" t="s">
        <v>188</v>
      </c>
      <c r="EY63" s="10"/>
      <c r="EZ63" s="10">
        <v>1</v>
      </c>
      <c r="FA63" s="10"/>
      <c r="FB63" s="10">
        <v>1</v>
      </c>
      <c r="FF63" s="10"/>
      <c r="FG63" s="10">
        <v>1</v>
      </c>
      <c r="FH63" s="10"/>
      <c r="FI63" s="10">
        <v>1</v>
      </c>
      <c r="FM63" s="10"/>
      <c r="FN63" s="10"/>
      <c r="FO63" s="10"/>
      <c r="FP63" s="10"/>
    </row>
    <row r="64" spans="2:172" outlineLevel="1" x14ac:dyDescent="0.2">
      <c r="B64" t="s">
        <v>28</v>
      </c>
      <c r="C64" t="s">
        <v>77</v>
      </c>
      <c r="E64" s="9"/>
      <c r="F64" t="s">
        <v>99</v>
      </c>
      <c r="G64" s="10">
        <v>0.05</v>
      </c>
      <c r="I64" s="9">
        <f t="shared" si="5"/>
        <v>0</v>
      </c>
      <c r="J64" s="11" cm="1">
        <f t="array" ref="J64">MAX(IF($N$3:$EH$3=$J$3,N64:EH64))</f>
        <v>0</v>
      </c>
      <c r="K64" s="11" cm="1">
        <f t="array" ref="K64">MAX(IF($N$3:$EH$3=$J$3,N64:EH64))</f>
        <v>0</v>
      </c>
      <c r="L64" s="9"/>
      <c r="O64" s="10"/>
      <c r="P64" s="10"/>
      <c r="Q64" s="10"/>
      <c r="R64" s="10"/>
      <c r="V64" s="10"/>
      <c r="W64" s="10"/>
      <c r="X64" s="10"/>
      <c r="Y64" s="10"/>
      <c r="AC64" s="10"/>
      <c r="AD64" s="10"/>
      <c r="AE64" s="10"/>
      <c r="AF64" s="10"/>
      <c r="AJ64" s="10"/>
      <c r="AK64" s="10"/>
      <c r="AL64" s="10"/>
      <c r="AM64" s="10"/>
      <c r="AQ64" s="10"/>
      <c r="AR64" s="10"/>
      <c r="AS64" s="10"/>
      <c r="AT64" s="10"/>
      <c r="AX64" s="10"/>
      <c r="AY64" s="10"/>
      <c r="AZ64" s="10"/>
      <c r="BA64" s="10"/>
      <c r="BE64" s="10"/>
      <c r="BF64" s="10"/>
      <c r="BG64" s="10"/>
      <c r="BH64" s="10"/>
      <c r="BL64" s="10"/>
      <c r="BM64" s="10"/>
      <c r="BN64" s="10"/>
      <c r="BO64" s="10"/>
      <c r="BS64" s="10"/>
      <c r="BT64" s="10"/>
      <c r="BU64" s="10"/>
      <c r="BV64" s="10"/>
      <c r="BZ64" s="10"/>
      <c r="CA64" s="10"/>
      <c r="CB64" s="10"/>
      <c r="CC64" s="10"/>
      <c r="CG64" s="10"/>
      <c r="CH64" s="10"/>
      <c r="CI64" s="10"/>
      <c r="CJ64" s="10"/>
      <c r="CN64" s="10"/>
      <c r="CO64" s="10"/>
      <c r="CP64" s="10"/>
      <c r="CQ64" s="10"/>
      <c r="CU64" s="10"/>
      <c r="CV64" s="10"/>
      <c r="CW64" s="10"/>
      <c r="CX64" s="10"/>
      <c r="DB64" s="10"/>
      <c r="DC64" s="10"/>
      <c r="DD64" s="10"/>
      <c r="DE64" s="10"/>
      <c r="DI64" s="10"/>
      <c r="DJ64" s="10"/>
      <c r="DK64" s="10"/>
      <c r="DL64" s="10"/>
      <c r="DP64" s="10"/>
      <c r="DQ64" s="10"/>
      <c r="DR64" s="10"/>
      <c r="DS64" s="10"/>
      <c r="DW64" s="10"/>
      <c r="DX64" s="10"/>
      <c r="DY64" s="10"/>
      <c r="DZ64" s="10"/>
      <c r="EC64" t="s">
        <v>188</v>
      </c>
      <c r="ED64" s="10"/>
      <c r="EE64" s="10">
        <v>0.5</v>
      </c>
      <c r="EF64" s="10"/>
      <c r="EG64" s="10">
        <v>0.5</v>
      </c>
      <c r="EJ64" t="s">
        <v>188</v>
      </c>
      <c r="EK64" s="10"/>
      <c r="EL64" s="10">
        <v>0.8</v>
      </c>
      <c r="EM64" s="10"/>
      <c r="EN64" s="10">
        <v>0.8</v>
      </c>
      <c r="ER64" s="10"/>
      <c r="ES64" s="10">
        <v>0.8</v>
      </c>
      <c r="ET64" s="10"/>
      <c r="EU64" s="10">
        <v>0.8</v>
      </c>
      <c r="EX64" t="s">
        <v>188</v>
      </c>
      <c r="EY64" s="10"/>
      <c r="EZ64" s="10">
        <v>1</v>
      </c>
      <c r="FA64" s="10"/>
      <c r="FB64" s="10">
        <v>1</v>
      </c>
      <c r="FF64" s="10"/>
      <c r="FG64" s="10">
        <v>1</v>
      </c>
      <c r="FH64" s="10"/>
      <c r="FI64" s="10">
        <v>1</v>
      </c>
      <c r="FM64" s="10"/>
      <c r="FN64" s="10"/>
      <c r="FO64" s="10"/>
      <c r="FP64" s="10"/>
    </row>
    <row r="65" spans="2:172" outlineLevel="1" x14ac:dyDescent="0.2">
      <c r="B65" t="s">
        <v>28</v>
      </c>
      <c r="C65" t="s">
        <v>77</v>
      </c>
      <c r="E65" s="9"/>
      <c r="F65" t="s">
        <v>100</v>
      </c>
      <c r="G65" s="10">
        <v>0.05</v>
      </c>
      <c r="I65" s="9">
        <f t="shared" si="5"/>
        <v>0</v>
      </c>
      <c r="J65" s="11" cm="1">
        <f t="array" ref="J65">MAX(IF($N$3:$EH$3=$J$3,N65:EH65))</f>
        <v>0</v>
      </c>
      <c r="K65" s="11" cm="1">
        <f t="array" ref="K65">MAX(IF($N$3:$EH$3=$J$3,N65:EH65))</f>
        <v>0</v>
      </c>
      <c r="L65" s="9"/>
      <c r="O65" s="10"/>
      <c r="P65" s="10"/>
      <c r="Q65" s="10"/>
      <c r="R65" s="10"/>
      <c r="V65" s="10"/>
      <c r="W65" s="10"/>
      <c r="X65" s="10"/>
      <c r="Y65" s="10"/>
      <c r="AC65" s="10"/>
      <c r="AD65" s="10"/>
      <c r="AE65" s="10"/>
      <c r="AF65" s="10"/>
      <c r="AJ65" s="10"/>
      <c r="AK65" s="10"/>
      <c r="AL65" s="10"/>
      <c r="AM65" s="10"/>
      <c r="AQ65" s="10"/>
      <c r="AR65" s="10"/>
      <c r="AS65" s="10"/>
      <c r="AT65" s="10"/>
      <c r="AX65" s="10"/>
      <c r="AY65" s="10"/>
      <c r="AZ65" s="10"/>
      <c r="BA65" s="10"/>
      <c r="BE65" s="10"/>
      <c r="BF65" s="10"/>
      <c r="BG65" s="10"/>
      <c r="BH65" s="10"/>
      <c r="BL65" s="10"/>
      <c r="BM65" s="10"/>
      <c r="BN65" s="10"/>
      <c r="BO65" s="10"/>
      <c r="BS65" s="10"/>
      <c r="BT65" s="10"/>
      <c r="BU65" s="10"/>
      <c r="BV65" s="10"/>
      <c r="BZ65" s="10"/>
      <c r="CA65" s="10"/>
      <c r="CB65" s="10"/>
      <c r="CC65" s="10"/>
      <c r="CG65" s="10"/>
      <c r="CH65" s="10"/>
      <c r="CI65" s="10"/>
      <c r="CJ65" s="10"/>
      <c r="CN65" s="10"/>
      <c r="CO65" s="10"/>
      <c r="CP65" s="10"/>
      <c r="CQ65" s="10"/>
      <c r="CU65" s="10"/>
      <c r="CV65" s="10"/>
      <c r="CW65" s="10"/>
      <c r="CX65" s="10"/>
      <c r="DB65" s="10"/>
      <c r="DC65" s="10"/>
      <c r="DD65" s="10"/>
      <c r="DE65" s="10"/>
      <c r="DI65" s="10"/>
      <c r="DJ65" s="10"/>
      <c r="DK65" s="10"/>
      <c r="DL65" s="10"/>
      <c r="DP65" s="10"/>
      <c r="DQ65" s="10"/>
      <c r="DR65" s="10"/>
      <c r="DS65" s="10"/>
      <c r="DW65" s="10"/>
      <c r="DX65" s="10"/>
      <c r="DY65" s="10"/>
      <c r="DZ65" s="10"/>
      <c r="EC65" t="s">
        <v>188</v>
      </c>
      <c r="ED65" s="10"/>
      <c r="EE65" s="10">
        <v>0.5</v>
      </c>
      <c r="EF65" s="10"/>
      <c r="EG65" s="10">
        <v>0.5</v>
      </c>
      <c r="EJ65" t="s">
        <v>188</v>
      </c>
      <c r="EK65" s="10"/>
      <c r="EL65" s="10">
        <v>0.8</v>
      </c>
      <c r="EM65" s="10"/>
      <c r="EN65" s="10">
        <v>0.8</v>
      </c>
      <c r="ER65" s="10"/>
      <c r="ES65" s="10">
        <v>0.8</v>
      </c>
      <c r="ET65" s="10"/>
      <c r="EU65" s="10">
        <v>0.8</v>
      </c>
      <c r="EX65" t="s">
        <v>188</v>
      </c>
      <c r="EY65" s="10"/>
      <c r="EZ65" s="10">
        <v>1</v>
      </c>
      <c r="FA65" s="10"/>
      <c r="FB65" s="10">
        <v>1</v>
      </c>
      <c r="FF65" s="10"/>
      <c r="FG65" s="10">
        <v>1</v>
      </c>
      <c r="FH65" s="10"/>
      <c r="FI65" s="10">
        <v>1</v>
      </c>
      <c r="FM65" s="10"/>
      <c r="FN65" s="10"/>
      <c r="FO65" s="10"/>
      <c r="FP65" s="10"/>
    </row>
    <row r="66" spans="2:172" outlineLevel="1" x14ac:dyDescent="0.2">
      <c r="B66" t="s">
        <v>28</v>
      </c>
      <c r="C66" t="s">
        <v>77</v>
      </c>
      <c r="E66" s="9"/>
      <c r="F66" t="s">
        <v>101</v>
      </c>
      <c r="G66" s="10">
        <v>0.05</v>
      </c>
      <c r="I66" s="9">
        <f t="shared" si="5"/>
        <v>0</v>
      </c>
      <c r="J66" s="11" cm="1">
        <f t="array" ref="J66">MAX(IF($N$3:$EH$3=$J$3,N66:EH66))</f>
        <v>0</v>
      </c>
      <c r="K66" s="11" cm="1">
        <f t="array" ref="K66">MAX(IF($N$3:$EH$3=$J$3,N66:EH66))</f>
        <v>0</v>
      </c>
      <c r="L66" s="9"/>
      <c r="O66" s="10"/>
      <c r="P66" s="10"/>
      <c r="Q66" s="10"/>
      <c r="R66" s="10"/>
      <c r="V66" s="10"/>
      <c r="W66" s="10"/>
      <c r="X66" s="10"/>
      <c r="Y66" s="10"/>
      <c r="AC66" s="10"/>
      <c r="AD66" s="10"/>
      <c r="AE66" s="10"/>
      <c r="AF66" s="10"/>
      <c r="AJ66" s="10"/>
      <c r="AK66" s="10"/>
      <c r="AL66" s="10"/>
      <c r="AM66" s="10"/>
      <c r="AQ66" s="10"/>
      <c r="AR66" s="10"/>
      <c r="AS66" s="10"/>
      <c r="AT66" s="10"/>
      <c r="AX66" s="10"/>
      <c r="AY66" s="10"/>
      <c r="AZ66" s="10"/>
      <c r="BA66" s="10"/>
      <c r="BE66" s="10"/>
      <c r="BF66" s="10"/>
      <c r="BG66" s="10"/>
      <c r="BH66" s="10"/>
      <c r="BL66" s="10"/>
      <c r="BM66" s="10"/>
      <c r="BN66" s="10"/>
      <c r="BO66" s="10"/>
      <c r="BS66" s="10"/>
      <c r="BT66" s="10"/>
      <c r="BU66" s="10"/>
      <c r="BV66" s="10"/>
      <c r="BZ66" s="10"/>
      <c r="CA66" s="10"/>
      <c r="CB66" s="10"/>
      <c r="CC66" s="10"/>
      <c r="CG66" s="10"/>
      <c r="CH66" s="10"/>
      <c r="CI66" s="10"/>
      <c r="CJ66" s="10"/>
      <c r="CN66" s="10"/>
      <c r="CO66" s="10"/>
      <c r="CP66" s="10"/>
      <c r="CQ66" s="10"/>
      <c r="CU66" s="10"/>
      <c r="CV66" s="10"/>
      <c r="CW66" s="10"/>
      <c r="CX66" s="10"/>
      <c r="DB66" s="10"/>
      <c r="DC66" s="10"/>
      <c r="DD66" s="10"/>
      <c r="DE66" s="10"/>
      <c r="DI66" s="10"/>
      <c r="DJ66" s="10"/>
      <c r="DK66" s="10"/>
      <c r="DL66" s="10"/>
      <c r="DP66" s="10"/>
      <c r="DQ66" s="10"/>
      <c r="DR66" s="10"/>
      <c r="DS66" s="10"/>
      <c r="DW66" s="10"/>
      <c r="DX66" s="10"/>
      <c r="DY66" s="10"/>
      <c r="DZ66" s="10"/>
      <c r="ED66" s="10"/>
      <c r="EE66" s="10"/>
      <c r="EF66" s="10"/>
      <c r="EG66" s="10"/>
      <c r="EJ66" t="s">
        <v>188</v>
      </c>
      <c r="EK66" s="10"/>
      <c r="EL66" s="10">
        <v>0.5</v>
      </c>
      <c r="EM66" s="10"/>
      <c r="EN66" s="10">
        <v>0.5</v>
      </c>
      <c r="EQ66" t="s">
        <v>188</v>
      </c>
      <c r="ER66" s="10"/>
      <c r="ES66" s="10">
        <v>0.8</v>
      </c>
      <c r="ET66" s="10"/>
      <c r="EU66" s="10">
        <v>0.8</v>
      </c>
      <c r="EX66" t="s">
        <v>188</v>
      </c>
      <c r="EY66" s="10"/>
      <c r="EZ66" s="10">
        <v>1</v>
      </c>
      <c r="FA66" s="10"/>
      <c r="FB66" s="10">
        <v>1</v>
      </c>
      <c r="FF66" s="10"/>
      <c r="FG66" s="10">
        <v>1</v>
      </c>
      <c r="FH66" s="10"/>
      <c r="FI66" s="10">
        <v>1</v>
      </c>
      <c r="FM66" s="10"/>
      <c r="FN66" s="10"/>
      <c r="FO66" s="10"/>
      <c r="FP66" s="10"/>
    </row>
    <row r="67" spans="2:172" outlineLevel="1" x14ac:dyDescent="0.2">
      <c r="B67" t="s">
        <v>28</v>
      </c>
      <c r="C67" t="s">
        <v>77</v>
      </c>
      <c r="E67" s="9"/>
      <c r="F67" t="s">
        <v>102</v>
      </c>
      <c r="G67" s="10">
        <v>0.05</v>
      </c>
      <c r="I67" s="9">
        <f t="shared" si="5"/>
        <v>0</v>
      </c>
      <c r="J67" s="11" cm="1">
        <f t="array" ref="J67">MAX(IF($N$3:$EH$3=$J$3,N67:EH67))</f>
        <v>0</v>
      </c>
      <c r="K67" s="11" cm="1">
        <f t="array" ref="K67">MAX(IF($N$3:$EH$3=$J$3,N67:EH67))</f>
        <v>0</v>
      </c>
      <c r="L67" s="9"/>
      <c r="O67" s="10"/>
      <c r="P67" s="10"/>
      <c r="Q67" s="10"/>
      <c r="R67" s="10"/>
      <c r="V67" s="10"/>
      <c r="W67" s="10"/>
      <c r="X67" s="10"/>
      <c r="Y67" s="10"/>
      <c r="AC67" s="10"/>
      <c r="AD67" s="10"/>
      <c r="AE67" s="10"/>
      <c r="AF67" s="10"/>
      <c r="AJ67" s="10"/>
      <c r="AK67" s="10"/>
      <c r="AL67" s="10"/>
      <c r="AM67" s="10"/>
      <c r="AQ67" s="10"/>
      <c r="AR67" s="10"/>
      <c r="AS67" s="10"/>
      <c r="AT67" s="10"/>
      <c r="AX67" s="10"/>
      <c r="AY67" s="10"/>
      <c r="AZ67" s="10"/>
      <c r="BA67" s="10"/>
      <c r="BE67" s="10"/>
      <c r="BF67" s="10"/>
      <c r="BG67" s="10"/>
      <c r="BH67" s="10"/>
      <c r="BL67" s="10"/>
      <c r="BM67" s="10"/>
      <c r="BN67" s="10"/>
      <c r="BO67" s="10"/>
      <c r="BS67" s="10"/>
      <c r="BT67" s="10"/>
      <c r="BU67" s="10"/>
      <c r="BV67" s="10"/>
      <c r="BZ67" s="10"/>
      <c r="CA67" s="10"/>
      <c r="CB67" s="10"/>
      <c r="CC67" s="10"/>
      <c r="CG67" s="10"/>
      <c r="CH67" s="10"/>
      <c r="CI67" s="10"/>
      <c r="CJ67" s="10"/>
      <c r="CN67" s="10"/>
      <c r="CO67" s="10"/>
      <c r="CP67" s="10"/>
      <c r="CQ67" s="10"/>
      <c r="CU67" s="10"/>
      <c r="CV67" s="10"/>
      <c r="CW67" s="10"/>
      <c r="CX67" s="10"/>
      <c r="DB67" s="10"/>
      <c r="DC67" s="10"/>
      <c r="DD67" s="10"/>
      <c r="DE67" s="10"/>
      <c r="DI67" s="10"/>
      <c r="DJ67" s="10"/>
      <c r="DK67" s="10"/>
      <c r="DL67" s="10"/>
      <c r="DP67" s="10"/>
      <c r="DQ67" s="10"/>
      <c r="DR67" s="10"/>
      <c r="DS67" s="10"/>
      <c r="DW67" s="10"/>
      <c r="DX67" s="10"/>
      <c r="DY67" s="10"/>
      <c r="DZ67" s="10"/>
      <c r="ED67" s="10"/>
      <c r="EE67" s="10"/>
      <c r="EF67" s="10"/>
      <c r="EJ67" t="s">
        <v>188</v>
      </c>
      <c r="EK67" s="10"/>
      <c r="EL67" s="10">
        <v>0.5</v>
      </c>
      <c r="EM67" s="10"/>
      <c r="EN67" s="10">
        <v>0.5</v>
      </c>
      <c r="EQ67" t="s">
        <v>188</v>
      </c>
      <c r="ER67" s="10"/>
      <c r="ES67" s="10">
        <v>0.8</v>
      </c>
      <c r="ET67" s="10"/>
      <c r="EU67" s="10">
        <v>0.8</v>
      </c>
      <c r="EX67" t="s">
        <v>188</v>
      </c>
      <c r="EY67" s="10"/>
      <c r="EZ67" s="10">
        <v>1</v>
      </c>
      <c r="FA67" s="10"/>
      <c r="FB67" s="10">
        <v>1</v>
      </c>
      <c r="FF67" s="10"/>
      <c r="FG67" s="10">
        <v>1</v>
      </c>
      <c r="FH67" s="10"/>
      <c r="FI67" s="10">
        <v>1</v>
      </c>
      <c r="FM67" s="10"/>
      <c r="FN67" s="10"/>
      <c r="FO67" s="10"/>
      <c r="FP67" s="10"/>
    </row>
    <row r="68" spans="2:172" outlineLevel="1" x14ac:dyDescent="0.2">
      <c r="B68" t="s">
        <v>28</v>
      </c>
      <c r="C68" t="s">
        <v>77</v>
      </c>
      <c r="E68" s="9"/>
      <c r="F68" t="s">
        <v>103</v>
      </c>
      <c r="G68" s="10">
        <v>0.05</v>
      </c>
      <c r="I68" s="9">
        <f t="shared" si="5"/>
        <v>0</v>
      </c>
      <c r="J68" s="11" cm="1">
        <f t="array" ref="J68">MAX(IF($N$3:$EH$3=$J$3,N68:EH68))</f>
        <v>0</v>
      </c>
      <c r="K68" s="11" cm="1">
        <f t="array" ref="K68">MAX(IF($N$3:$EH$3=$J$3,N68:EH68))</f>
        <v>0</v>
      </c>
      <c r="L68" s="9"/>
      <c r="O68" s="10"/>
      <c r="P68" s="10"/>
      <c r="Q68" s="10"/>
      <c r="R68" s="10"/>
      <c r="V68" s="10"/>
      <c r="W68" s="10"/>
      <c r="X68" s="10"/>
      <c r="Y68" s="10"/>
      <c r="AC68" s="10"/>
      <c r="AD68" s="10"/>
      <c r="AE68" s="10"/>
      <c r="AF68" s="10"/>
      <c r="AJ68" s="10"/>
      <c r="AK68" s="10"/>
      <c r="AL68" s="10"/>
      <c r="AM68" s="10"/>
      <c r="AQ68" s="10"/>
      <c r="AR68" s="10"/>
      <c r="AS68" s="10"/>
      <c r="AT68" s="10"/>
      <c r="AX68" s="10"/>
      <c r="AY68" s="10"/>
      <c r="AZ68" s="10"/>
      <c r="BA68" s="10"/>
      <c r="BE68" s="10"/>
      <c r="BF68" s="10"/>
      <c r="BG68" s="10"/>
      <c r="BH68" s="10"/>
      <c r="BL68" s="10"/>
      <c r="BM68" s="10"/>
      <c r="BN68" s="10"/>
      <c r="BO68" s="10"/>
      <c r="BS68" s="10"/>
      <c r="BT68" s="10"/>
      <c r="BU68" s="10"/>
      <c r="BV68" s="10"/>
      <c r="BZ68" s="10"/>
      <c r="CA68" s="10"/>
      <c r="CB68" s="10"/>
      <c r="CC68" s="10"/>
      <c r="CG68" s="10"/>
      <c r="CH68" s="10"/>
      <c r="CI68" s="10"/>
      <c r="CJ68" s="10"/>
      <c r="CN68" s="10"/>
      <c r="CO68" s="10"/>
      <c r="CP68" s="10"/>
      <c r="CQ68" s="10"/>
      <c r="CU68" s="10"/>
      <c r="CV68" s="10"/>
      <c r="CW68" s="10"/>
      <c r="CX68" s="10"/>
      <c r="DB68" s="10"/>
      <c r="DC68" s="10"/>
      <c r="DD68" s="10"/>
      <c r="DE68" s="10"/>
      <c r="DI68" s="10"/>
      <c r="DJ68" s="10"/>
      <c r="DK68" s="10"/>
      <c r="DL68" s="10"/>
      <c r="DP68" s="10"/>
      <c r="DQ68" s="10"/>
      <c r="DR68" s="10"/>
      <c r="DS68" s="10"/>
      <c r="DW68" s="10"/>
      <c r="DX68" s="10"/>
      <c r="DY68" s="10"/>
      <c r="DZ68" s="10"/>
      <c r="ED68" s="10"/>
      <c r="EE68" s="10"/>
      <c r="EF68" s="10"/>
      <c r="EG68" s="10"/>
      <c r="EJ68" t="s">
        <v>188</v>
      </c>
      <c r="EK68" s="10"/>
      <c r="EL68" s="10">
        <v>0.5</v>
      </c>
      <c r="EM68" s="10"/>
      <c r="EN68" s="10">
        <v>0.5</v>
      </c>
      <c r="EQ68" t="s">
        <v>188</v>
      </c>
      <c r="ER68" s="10"/>
      <c r="ES68" s="10">
        <v>0.8</v>
      </c>
      <c r="ET68" s="10"/>
      <c r="EU68" s="10">
        <v>0.8</v>
      </c>
      <c r="EX68" t="s">
        <v>188</v>
      </c>
      <c r="EY68" s="10"/>
      <c r="EZ68" s="10">
        <v>1</v>
      </c>
      <c r="FA68" s="10"/>
      <c r="FB68" s="10">
        <v>1</v>
      </c>
      <c r="FF68" s="10"/>
      <c r="FG68" s="10">
        <v>1</v>
      </c>
      <c r="FH68" s="10"/>
      <c r="FI68" s="10">
        <v>1</v>
      </c>
      <c r="FM68" s="10"/>
      <c r="FN68" s="10"/>
      <c r="FO68" s="10"/>
      <c r="FP68" s="10"/>
    </row>
    <row r="69" spans="2:172" outlineLevel="1" x14ac:dyDescent="0.2">
      <c r="B69" t="s">
        <v>28</v>
      </c>
      <c r="C69" t="s">
        <v>77</v>
      </c>
      <c r="E69" s="9"/>
      <c r="F69" t="s">
        <v>104</v>
      </c>
      <c r="G69" s="10">
        <v>0.05</v>
      </c>
      <c r="I69" s="9">
        <f t="shared" si="5"/>
        <v>0</v>
      </c>
      <c r="J69" s="11" cm="1">
        <f t="array" ref="J69">MAX(IF($N$3:$EH$3=$J$3,N69:EH69))</f>
        <v>0</v>
      </c>
      <c r="K69" s="11" cm="1">
        <f t="array" ref="K69">MAX(IF($N$3:$EH$3=$J$3,N69:EH69))</f>
        <v>0</v>
      </c>
      <c r="L69" s="9"/>
      <c r="O69" s="10"/>
      <c r="P69" s="10"/>
      <c r="Q69" s="10"/>
      <c r="R69" s="10"/>
      <c r="V69" s="10"/>
      <c r="W69" s="10"/>
      <c r="X69" s="10"/>
      <c r="Y69" s="10"/>
      <c r="AC69" s="10"/>
      <c r="AD69" s="10"/>
      <c r="AE69" s="10"/>
      <c r="AF69" s="10"/>
      <c r="AJ69" s="10"/>
      <c r="AK69" s="10"/>
      <c r="AL69" s="10"/>
      <c r="AM69" s="10"/>
      <c r="AQ69" s="10"/>
      <c r="AR69" s="10"/>
      <c r="AS69" s="10"/>
      <c r="AT69" s="10"/>
      <c r="AX69" s="10"/>
      <c r="AY69" s="10"/>
      <c r="AZ69" s="10"/>
      <c r="BA69" s="10"/>
      <c r="BE69" s="10"/>
      <c r="BF69" s="10"/>
      <c r="BG69" s="10"/>
      <c r="BH69" s="10"/>
      <c r="BL69" s="10"/>
      <c r="BM69" s="10"/>
      <c r="BN69" s="10"/>
      <c r="BO69" s="10"/>
      <c r="BS69" s="10"/>
      <c r="BT69" s="10"/>
      <c r="BU69" s="10"/>
      <c r="BV69" s="10"/>
      <c r="BZ69" s="10"/>
      <c r="CA69" s="10"/>
      <c r="CB69" s="10"/>
      <c r="CC69" s="10"/>
      <c r="CG69" s="10"/>
      <c r="CH69" s="10"/>
      <c r="CI69" s="10"/>
      <c r="CJ69" s="10"/>
      <c r="CN69" s="10"/>
      <c r="CO69" s="10"/>
      <c r="CP69" s="10"/>
      <c r="CQ69" s="10"/>
      <c r="CU69" s="10"/>
      <c r="CV69" s="10"/>
      <c r="CW69" s="10"/>
      <c r="CX69" s="10"/>
      <c r="DB69" s="10"/>
      <c r="DC69" s="10"/>
      <c r="DD69" s="10"/>
      <c r="DE69" s="10"/>
      <c r="DI69" s="10"/>
      <c r="DJ69" s="10"/>
      <c r="DK69" s="10"/>
      <c r="DL69" s="10"/>
      <c r="DP69" s="10"/>
      <c r="DQ69" s="10"/>
      <c r="DR69" s="10"/>
      <c r="DS69" s="10"/>
      <c r="DW69" s="10"/>
      <c r="DX69" s="10"/>
      <c r="DY69" s="10"/>
      <c r="DZ69" s="10"/>
      <c r="ED69" s="10"/>
      <c r="EE69" s="10"/>
      <c r="EF69" s="10"/>
      <c r="EG69" s="10"/>
      <c r="EJ69" t="s">
        <v>188</v>
      </c>
      <c r="EK69" s="10"/>
      <c r="EL69" s="10">
        <v>0.5</v>
      </c>
      <c r="EM69" s="10"/>
      <c r="EN69" s="10">
        <v>0.5</v>
      </c>
      <c r="EQ69" t="s">
        <v>188</v>
      </c>
      <c r="ER69" s="10"/>
      <c r="ES69" s="10">
        <v>0.8</v>
      </c>
      <c r="ET69" s="10"/>
      <c r="EU69" s="10">
        <v>0.8</v>
      </c>
      <c r="EX69" t="s">
        <v>188</v>
      </c>
      <c r="EY69" s="10"/>
      <c r="EZ69" s="10">
        <v>1</v>
      </c>
      <c r="FA69" s="10"/>
      <c r="FB69" s="10">
        <v>1</v>
      </c>
      <c r="FF69" s="10"/>
      <c r="FG69" s="10">
        <v>1</v>
      </c>
      <c r="FH69" s="10"/>
      <c r="FI69" s="10">
        <v>1</v>
      </c>
      <c r="FM69" s="10"/>
      <c r="FN69" s="10"/>
      <c r="FO69" s="10"/>
      <c r="FP69" s="10"/>
    </row>
    <row r="70" spans="2:172" outlineLevel="1" x14ac:dyDescent="0.2">
      <c r="B70" t="s">
        <v>28</v>
      </c>
      <c r="C70" t="s">
        <v>77</v>
      </c>
      <c r="E70" s="9"/>
      <c r="F70" t="s">
        <v>105</v>
      </c>
      <c r="G70" s="10">
        <v>0.05</v>
      </c>
      <c r="I70" s="9">
        <f t="shared" si="5"/>
        <v>0</v>
      </c>
      <c r="J70" s="11" cm="1">
        <f t="array" ref="J70">MAX(IF($N$3:$EH$3=$J$3,N70:EH70))</f>
        <v>0</v>
      </c>
      <c r="K70" s="11" cm="1">
        <f t="array" ref="K70">MAX(IF($N$3:$EH$3=$J$3,N70:EH70))</f>
        <v>0</v>
      </c>
      <c r="L70" s="9"/>
      <c r="O70" s="10"/>
      <c r="P70" s="10"/>
      <c r="Q70" s="10"/>
      <c r="R70" s="10"/>
      <c r="V70" s="10"/>
      <c r="W70" s="10"/>
      <c r="X70" s="10"/>
      <c r="Y70" s="10"/>
      <c r="AC70" s="10"/>
      <c r="AD70" s="10"/>
      <c r="AE70" s="10"/>
      <c r="AF70" s="10"/>
      <c r="AJ70" s="10"/>
      <c r="AK70" s="10"/>
      <c r="AL70" s="10"/>
      <c r="AM70" s="10"/>
      <c r="AQ70" s="10"/>
      <c r="AR70" s="10"/>
      <c r="AS70" s="10"/>
      <c r="AT70" s="10"/>
      <c r="AX70" s="10"/>
      <c r="AY70" s="10"/>
      <c r="AZ70" s="10"/>
      <c r="BA70" s="10"/>
      <c r="BE70" s="10"/>
      <c r="BF70" s="10"/>
      <c r="BG70" s="10"/>
      <c r="BH70" s="10"/>
      <c r="BL70" s="10"/>
      <c r="BM70" s="10"/>
      <c r="BN70" s="10"/>
      <c r="BO70" s="10"/>
      <c r="BS70" s="10"/>
      <c r="BT70" s="10"/>
      <c r="BU70" s="10"/>
      <c r="BV70" s="10"/>
      <c r="BZ70" s="10"/>
      <c r="CA70" s="10"/>
      <c r="CB70" s="10"/>
      <c r="CC70" s="10"/>
      <c r="CG70" s="10"/>
      <c r="CH70" s="10"/>
      <c r="CI70" s="10"/>
      <c r="CJ70" s="10"/>
      <c r="CN70" s="10"/>
      <c r="CO70" s="10"/>
      <c r="CP70" s="10"/>
      <c r="CQ70" s="10"/>
      <c r="CU70" s="10"/>
      <c r="CV70" s="10"/>
      <c r="CW70" s="10"/>
      <c r="CX70" s="10"/>
      <c r="DB70" s="10"/>
      <c r="DC70" s="10"/>
      <c r="DD70" s="10"/>
      <c r="DE70" s="10"/>
      <c r="DI70" s="10"/>
      <c r="DJ70" s="10"/>
      <c r="DK70" s="10"/>
      <c r="DL70" s="10"/>
      <c r="DP70" s="10"/>
      <c r="DQ70" s="10"/>
      <c r="DR70" s="10"/>
      <c r="DS70" s="10"/>
      <c r="DW70" s="10"/>
      <c r="DX70" s="10"/>
      <c r="DY70" s="10"/>
      <c r="DZ70" s="10"/>
      <c r="ED70" s="10"/>
      <c r="EE70" s="10"/>
      <c r="EF70" s="10"/>
      <c r="EG70" s="10"/>
      <c r="EJ70" t="s">
        <v>188</v>
      </c>
      <c r="EK70" s="10"/>
      <c r="EL70" s="10">
        <v>0.5</v>
      </c>
      <c r="EM70" s="10"/>
      <c r="EN70" s="10">
        <v>0.5</v>
      </c>
      <c r="EQ70" t="s">
        <v>188</v>
      </c>
      <c r="ER70" s="10"/>
      <c r="ES70" s="10">
        <v>0.8</v>
      </c>
      <c r="ET70" s="10"/>
      <c r="EU70" s="10">
        <v>0.8</v>
      </c>
      <c r="EX70" t="s">
        <v>188</v>
      </c>
      <c r="EY70" s="10"/>
      <c r="EZ70" s="10">
        <v>1</v>
      </c>
      <c r="FA70" s="10"/>
      <c r="FB70" s="10">
        <v>1</v>
      </c>
      <c r="FF70" s="10"/>
      <c r="FG70" s="10">
        <v>1</v>
      </c>
      <c r="FH70" s="10"/>
      <c r="FI70" s="10">
        <v>1</v>
      </c>
      <c r="FM70" s="10"/>
      <c r="FN70" s="10"/>
      <c r="FO70" s="10"/>
      <c r="FP70" s="10"/>
    </row>
    <row r="71" spans="2:172" outlineLevel="1" x14ac:dyDescent="0.2">
      <c r="B71" t="s">
        <v>28</v>
      </c>
      <c r="C71" t="s">
        <v>77</v>
      </c>
      <c r="E71" s="9"/>
      <c r="F71" t="s">
        <v>106</v>
      </c>
      <c r="G71" s="10">
        <v>0.05</v>
      </c>
      <c r="I71" s="9">
        <f t="shared" si="5"/>
        <v>0</v>
      </c>
      <c r="J71" s="11" cm="1">
        <f t="array" ref="J71">MAX(IF($N$3:$EH$3=$J$3,N71:EH71))</f>
        <v>0</v>
      </c>
      <c r="K71" s="11" cm="1">
        <f t="array" ref="K71">MAX(IF($N$3:$EH$3=$J$3,N71:EH71))</f>
        <v>0</v>
      </c>
      <c r="L71" s="9"/>
      <c r="O71" s="10"/>
      <c r="P71" s="10"/>
      <c r="Q71" s="10"/>
      <c r="R71" s="10"/>
      <c r="V71" s="10"/>
      <c r="W71" s="10"/>
      <c r="X71" s="10"/>
      <c r="Y71" s="10"/>
      <c r="AC71" s="10"/>
      <c r="AD71" s="10"/>
      <c r="AE71" s="10"/>
      <c r="AF71" s="10"/>
      <c r="AJ71" s="10"/>
      <c r="AK71" s="10"/>
      <c r="AL71" s="10"/>
      <c r="AM71" s="10"/>
      <c r="AQ71" s="10"/>
      <c r="AR71" s="10"/>
      <c r="AS71" s="10"/>
      <c r="AT71" s="10"/>
      <c r="AX71" s="10"/>
      <c r="AY71" s="10"/>
      <c r="AZ71" s="10"/>
      <c r="BA71" s="10"/>
      <c r="BE71" s="10"/>
      <c r="BF71" s="10"/>
      <c r="BG71" s="10"/>
      <c r="BH71" s="10"/>
      <c r="BL71" s="10"/>
      <c r="BM71" s="10"/>
      <c r="BN71" s="10"/>
      <c r="BO71" s="10"/>
      <c r="BS71" s="10"/>
      <c r="BT71" s="10"/>
      <c r="BU71" s="10"/>
      <c r="BV71" s="10"/>
      <c r="BZ71" s="10"/>
      <c r="CA71" s="10"/>
      <c r="CB71" s="10"/>
      <c r="CC71" s="10"/>
      <c r="CG71" s="10"/>
      <c r="CH71" s="10"/>
      <c r="CI71" s="10"/>
      <c r="CJ71" s="10"/>
      <c r="CN71" s="10"/>
      <c r="CO71" s="10"/>
      <c r="CP71" s="10"/>
      <c r="CQ71" s="10"/>
      <c r="CU71" s="10"/>
      <c r="CV71" s="10"/>
      <c r="CW71" s="10"/>
      <c r="CX71" s="10"/>
      <c r="DB71" s="10"/>
      <c r="DC71" s="10"/>
      <c r="DD71" s="10"/>
      <c r="DE71" s="10"/>
      <c r="DI71" s="10"/>
      <c r="DJ71" s="10"/>
      <c r="DK71" s="10"/>
      <c r="DL71" s="10"/>
      <c r="DP71" s="10"/>
      <c r="DQ71" s="10"/>
      <c r="DR71" s="10"/>
      <c r="DS71" s="10"/>
      <c r="DW71" s="10"/>
      <c r="DX71" s="10"/>
      <c r="DY71" s="10"/>
      <c r="DZ71" s="10"/>
      <c r="ED71" s="10"/>
      <c r="EE71" s="10"/>
      <c r="EF71" s="10"/>
      <c r="EG71" s="10"/>
      <c r="EJ71" t="s">
        <v>188</v>
      </c>
      <c r="EK71" s="10"/>
      <c r="EL71" s="10">
        <v>0.5</v>
      </c>
      <c r="EM71" s="10"/>
      <c r="EN71" s="10">
        <v>0.5</v>
      </c>
      <c r="EQ71" t="s">
        <v>188</v>
      </c>
      <c r="ER71" s="10"/>
      <c r="ES71" s="10">
        <v>0.8</v>
      </c>
      <c r="ET71" s="10"/>
      <c r="EU71" s="10">
        <v>0.8</v>
      </c>
      <c r="EX71" t="s">
        <v>188</v>
      </c>
      <c r="EY71" s="10"/>
      <c r="EZ71" s="10">
        <v>1</v>
      </c>
      <c r="FA71" s="10"/>
      <c r="FB71" s="10">
        <v>1</v>
      </c>
      <c r="FF71" s="10"/>
      <c r="FG71" s="10">
        <v>1</v>
      </c>
      <c r="FH71" s="10"/>
      <c r="FI71" s="10">
        <v>1</v>
      </c>
      <c r="FM71" s="10"/>
      <c r="FN71" s="10"/>
      <c r="FO71" s="10"/>
      <c r="FP71" s="10"/>
    </row>
  </sheetData>
  <mergeCells count="24">
    <mergeCell ref="CT2:CY2"/>
    <mergeCell ref="DA2:DF2"/>
    <mergeCell ref="DH2:DM2"/>
    <mergeCell ref="DO2:DT2"/>
    <mergeCell ref="BK2:BP2"/>
    <mergeCell ref="BR2:BW2"/>
    <mergeCell ref="BY2:CD2"/>
    <mergeCell ref="CF2:CK2"/>
    <mergeCell ref="CM2:CR2"/>
    <mergeCell ref="I2:L2"/>
    <mergeCell ref="N2:S2"/>
    <mergeCell ref="BD2:BI2"/>
    <mergeCell ref="U2:Z2"/>
    <mergeCell ref="AB2:AG2"/>
    <mergeCell ref="AI2:AN2"/>
    <mergeCell ref="AP2:AU2"/>
    <mergeCell ref="AW2:BB2"/>
    <mergeCell ref="FE2:FJ2"/>
    <mergeCell ref="FL2:FQ2"/>
    <mergeCell ref="DV2:EA2"/>
    <mergeCell ref="EC2:EH2"/>
    <mergeCell ref="EJ2:EO2"/>
    <mergeCell ref="EQ2:EV2"/>
    <mergeCell ref="EX2:FC2"/>
  </mergeCells>
  <phoneticPr fontId="5" type="noConversion"/>
  <conditionalFormatting sqref="O52:O71 Q52:Q71 AQ52:AQ71 AS52:AS71 V52:V71 X52:X71 AC52:AC71 AE52:AE71 AJ52:AJ71 AL52:AL71 DB66:DB71 DD66:DD71 DI66:DI71 DK66:DK71 DP66:DP71 DR66:DR71 O30:O42 Q30:Q42 V30:V42 X30:X42 AC30:AC42 AE30:AE42 AJ30:AJ42 AQ30:AQ42 AS30:AS42 BL30:BL42 BN30:BN42 BS30:BS42 BU30:BU42 BZ30:BZ42 CB30:CB42 CG30:CG42 CI30:CI42 CN30:CN42 CP30:CP42 CU30:CU42 CW30:CW42 DB30:DB42 DD30:DD42 DI30:DI42 DK30:DK42 DP30:DP42 DR30:DR42 O5:O14 Q5:Q14 V5:V14 X5:X14 AC5:AC14 AE5:AE14 AJ5:AJ14 AL5:AL14 BL5:BL14 BN5:BN14 BS5:BS14 BU5:BU14 CG5:CG14 CI5:CI14 CN5:CN14 CP5:CP14 CU5:CU14 CW5:CW14 DB5:DB14 DD5:DD14 DI5:DI14 DK5:DK14 DP5:DP14 DR5:DR14 O17:O26 Q17:Q26 V17:V26 X17:X26 AC17:AC26 AE17:AE26 BL17:BL26 BN17:BN26 BS17:BS26 BU17:BU26 CG17:CG26 CI17:CI26 CN17:CN26 CP17:CP26 CU17:CU26 CW17:CW26 DB17:DB26 DD17:DD26 DI17:DI26 DK17:DK26 DP17:DP26 DR17:DR26 AL46:AL49 AX46:AX49 AZ46:AZ49 Q46:Q49 O46:O49 BG46:BG49 X46:X49 V46:V49 AE46:AE49 AC46:AC49 AS46:AS49 AQ46:AQ49 BE46:BE49 CW46:CW49 CU46:CU49 DD46:DD49 DB46:DB49 DK46:DK49 DI46:DI49 DR46:DR49 DP46:DP49 AL17:AL26 AL30:AL42 AJ17:AJ18 AJ22:AJ26 AQ5:AQ14 AS5:AS14 AS17:AS26 AQ17:AQ26 CU66:CU71 CW66:CW71 CP46:CP49 CN46:CN49 CN66:CN71 CP66:CP71 CI46:CI49 CG46:CG49 CG66:CG71 CI66:CI71 BZ52:BZ71 CB52:CB71 BS52:BS71 BU52:BU71 BL52:BL71 BN52:BN71 BE52:BE71 BG52:BG71 AX52:AX71 AZ52:AZ71 BL44:BL49 BS44:BS49 BU44:BU49 BZ44:BZ49 CB44:CB49 AX30:AX42 AZ30:AZ42 AZ17:AZ26 AX17:AX26 AX5:AX14 AZ5:AZ14 BE30:BE42 BG30:BG42 BZ17:BZ26 CB17:CB26 BE17:BE26 BG17:BG26 BZ5:BZ14 CB5:CB14 BE5:BE14 BG5:BG14 BN46:BN49 EF68:EF71 EF52:EF65">
    <cfRule type="expression" dxfId="231" priority="585">
      <formula>OR(IF(O5&lt;P5,TRUE),IF(AND(P5="",O5&lt;&gt;""),TRUE))</formula>
    </cfRule>
    <cfRule type="expression" dxfId="230" priority="586">
      <formula>IF(O5&gt;=P5,IF(O5="",FALSE,TRUE))</formula>
    </cfRule>
  </conditionalFormatting>
  <conditionalFormatting sqref="AZ27">
    <cfRule type="expression" dxfId="229" priority="426">
      <formula>OR(IF(AZ27&lt;BA27,TRUE),IF(AND(BA27="",AZ27&lt;&gt;""),TRUE))</formula>
    </cfRule>
    <cfRule type="expression" dxfId="228" priority="427">
      <formula>IF(AZ27&gt;=BA27,IF(AZ27="",FALSE,TRUE))</formula>
    </cfRule>
  </conditionalFormatting>
  <conditionalFormatting sqref="O27">
    <cfRule type="expression" dxfId="227" priority="508">
      <formula>OR(IF(O27&lt;P27,TRUE),IF(AND(P27="",O27&lt;&gt;""),TRUE))</formula>
    </cfRule>
    <cfRule type="expression" dxfId="226" priority="509">
      <formula>IF(O27&gt;=P27,IF(O27="",FALSE,TRUE))</formula>
    </cfRule>
  </conditionalFormatting>
  <conditionalFormatting sqref="Q27">
    <cfRule type="expression" dxfId="225" priority="506">
      <formula>OR(IF(Q27&lt;R27,TRUE),IF(AND(R27="",Q27&lt;&gt;""),TRUE))</formula>
    </cfRule>
    <cfRule type="expression" dxfId="224" priority="507">
      <formula>IF(Q27&gt;=R27,IF(Q27="",FALSE,TRUE))</formula>
    </cfRule>
  </conditionalFormatting>
  <conditionalFormatting sqref="V27">
    <cfRule type="expression" dxfId="223" priority="492">
      <formula>OR(IF(V27&lt;W27,TRUE),IF(AND(W27="",V27&lt;&gt;""),TRUE))</formula>
    </cfRule>
    <cfRule type="expression" dxfId="222" priority="493">
      <formula>IF(V27&gt;=W27,IF(V27="",FALSE,TRUE))</formula>
    </cfRule>
  </conditionalFormatting>
  <conditionalFormatting sqref="X27">
    <cfRule type="expression" dxfId="221" priority="490">
      <formula>OR(IF(X27&lt;Y27,TRUE),IF(AND(Y27="",X27&lt;&gt;""),TRUE))</formula>
    </cfRule>
    <cfRule type="expression" dxfId="220" priority="491">
      <formula>IF(X27&gt;=Y27,IF(X27="",FALSE,TRUE))</formula>
    </cfRule>
  </conditionalFormatting>
  <conditionalFormatting sqref="AC27">
    <cfRule type="expression" dxfId="219" priority="476">
      <formula>OR(IF(AC27&lt;AD27,TRUE),IF(AND(AD27="",AC27&lt;&gt;""),TRUE))</formula>
    </cfRule>
    <cfRule type="expression" dxfId="218" priority="477">
      <formula>IF(AC27&gt;=AD27,IF(AC27="",FALSE,TRUE))</formula>
    </cfRule>
  </conditionalFormatting>
  <conditionalFormatting sqref="AE27">
    <cfRule type="expression" dxfId="217" priority="474">
      <formula>OR(IF(AE27&lt;AF27,TRUE),IF(AND(AF27="",AE27&lt;&gt;""),TRUE))</formula>
    </cfRule>
    <cfRule type="expression" dxfId="216" priority="475">
      <formula>IF(AE27&gt;=AF27,IF(AE27="",FALSE,TRUE))</formula>
    </cfRule>
  </conditionalFormatting>
  <conditionalFormatting sqref="AJ27">
    <cfRule type="expression" dxfId="215" priority="460">
      <formula>OR(IF(AJ27&lt;AK27,TRUE),IF(AND(AK27="",AJ27&lt;&gt;""),TRUE))</formula>
    </cfRule>
    <cfRule type="expression" dxfId="214" priority="461">
      <formula>IF(AJ27&gt;=AK27,IF(AJ27="",FALSE,TRUE))</formula>
    </cfRule>
  </conditionalFormatting>
  <conditionalFormatting sqref="AL27">
    <cfRule type="expression" dxfId="213" priority="458">
      <formula>OR(IF(AL27&lt;AM27,TRUE),IF(AND(AM27="",AL27&lt;&gt;""),TRUE))</formula>
    </cfRule>
    <cfRule type="expression" dxfId="212" priority="459">
      <formula>IF(AL27&gt;=AM27,IF(AL27="",FALSE,TRUE))</formula>
    </cfRule>
  </conditionalFormatting>
  <conditionalFormatting sqref="AQ27">
    <cfRule type="expression" dxfId="211" priority="444">
      <formula>OR(IF(AQ27&lt;AR27,TRUE),IF(AND(AR27="",AQ27&lt;&gt;""),TRUE))</formula>
    </cfRule>
    <cfRule type="expression" dxfId="210" priority="445">
      <formula>IF(AQ27&gt;=AR27,IF(AQ27="",FALSE,TRUE))</formula>
    </cfRule>
  </conditionalFormatting>
  <conditionalFormatting sqref="AS27">
    <cfRule type="expression" dxfId="209" priority="442">
      <formula>OR(IF(AS27&lt;AT27,TRUE),IF(AND(AT27="",AS27&lt;&gt;""),TRUE))</formula>
    </cfRule>
    <cfRule type="expression" dxfId="208" priority="443">
      <formula>IF(AS27&gt;=AT27,IF(AS27="",FALSE,TRUE))</formula>
    </cfRule>
  </conditionalFormatting>
  <conditionalFormatting sqref="AX27">
    <cfRule type="expression" dxfId="207" priority="428">
      <formula>OR(IF(AX27&lt;AY27,TRUE),IF(AND(AY27="",AX27&lt;&gt;""),TRUE))</formula>
    </cfRule>
    <cfRule type="expression" dxfId="206" priority="429">
      <formula>IF(AX27&gt;=AY27,IF(AX27="",FALSE,TRUE))</formula>
    </cfRule>
  </conditionalFormatting>
  <conditionalFormatting sqref="BE27">
    <cfRule type="expression" dxfId="205" priority="412">
      <formula>OR(IF(BE27&lt;BF27,TRUE),IF(AND(BF27="",BE27&lt;&gt;""),TRUE))</formula>
    </cfRule>
    <cfRule type="expression" dxfId="204" priority="413">
      <formula>IF(BE27&gt;=BF27,IF(BE27="",FALSE,TRUE))</formula>
    </cfRule>
  </conditionalFormatting>
  <conditionalFormatting sqref="BG27">
    <cfRule type="expression" dxfId="203" priority="410">
      <formula>OR(IF(BG27&lt;BH27,TRUE),IF(AND(BH27="",BG27&lt;&gt;""),TRUE))</formula>
    </cfRule>
    <cfRule type="expression" dxfId="202" priority="411">
      <formula>IF(BG27&gt;=BH27,IF(BG27="",FALSE,TRUE))</formula>
    </cfRule>
  </conditionalFormatting>
  <conditionalFormatting sqref="J23:K27">
    <cfRule type="colorScale" priority="616">
      <colorScale>
        <cfvo type="percent" val="0"/>
        <cfvo type="percent" val="100"/>
        <color rgb="FFFF231B"/>
        <color rgb="FF10FF07"/>
      </colorScale>
    </cfRule>
  </conditionalFormatting>
  <conditionalFormatting sqref="BL27">
    <cfRule type="expression" dxfId="201" priority="355">
      <formula>OR(IF(BL27&lt;BM27,TRUE),IF(AND(BM27="",BL27&lt;&gt;""),TRUE))</formula>
    </cfRule>
    <cfRule type="expression" dxfId="200" priority="356">
      <formula>IF(BL27&gt;=BM27,IF(BL27="",FALSE,TRUE))</formula>
    </cfRule>
  </conditionalFormatting>
  <conditionalFormatting sqref="BN27">
    <cfRule type="expression" dxfId="199" priority="353">
      <formula>OR(IF(BN27&lt;BO27,TRUE),IF(AND(BO27="",BN27&lt;&gt;""),TRUE))</formula>
    </cfRule>
    <cfRule type="expression" dxfId="198" priority="354">
      <formula>IF(BN27&gt;=BO27,IF(BN27="",FALSE,TRUE))</formula>
    </cfRule>
  </conditionalFormatting>
  <conditionalFormatting sqref="BS27">
    <cfRule type="expression" dxfId="197" priority="337">
      <formula>OR(IF(BS27&lt;BT27,TRUE),IF(AND(BT27="",BS27&lt;&gt;""),TRUE))</formula>
    </cfRule>
    <cfRule type="expression" dxfId="196" priority="338">
      <formula>IF(BS27&gt;=BT27,IF(BS27="",FALSE,TRUE))</formula>
    </cfRule>
  </conditionalFormatting>
  <conditionalFormatting sqref="BU27">
    <cfRule type="expression" dxfId="195" priority="335">
      <formula>OR(IF(BU27&lt;BV27,TRUE),IF(AND(BV27="",BU27&lt;&gt;""),TRUE))</formula>
    </cfRule>
    <cfRule type="expression" dxfId="194" priority="336">
      <formula>IF(BU27&gt;=BV27,IF(BU27="",FALSE,TRUE))</formula>
    </cfRule>
  </conditionalFormatting>
  <conditionalFormatting sqref="CG27">
    <cfRule type="expression" dxfId="193" priority="301">
      <formula>OR(IF(CG27&lt;CH27,TRUE),IF(AND(CH27="",CG27&lt;&gt;""),TRUE))</formula>
    </cfRule>
    <cfRule type="expression" dxfId="192" priority="302">
      <formula>IF(CG27&gt;=CH27,IF(CG27="",FALSE,TRUE))</formula>
    </cfRule>
  </conditionalFormatting>
  <conditionalFormatting sqref="CI27">
    <cfRule type="expression" dxfId="191" priority="299">
      <formula>OR(IF(CI27&lt;CJ27,TRUE),IF(AND(CJ27="",CI27&lt;&gt;""),TRUE))</formula>
    </cfRule>
    <cfRule type="expression" dxfId="190" priority="300">
      <formula>IF(CI27&gt;=CJ27,IF(CI27="",FALSE,TRUE))</formula>
    </cfRule>
  </conditionalFormatting>
  <conditionalFormatting sqref="CN27">
    <cfRule type="expression" dxfId="189" priority="283">
      <formula>OR(IF(CN27&lt;CO27,TRUE),IF(AND(CO27="",CN27&lt;&gt;""),TRUE))</formula>
    </cfRule>
    <cfRule type="expression" dxfId="188" priority="284">
      <formula>IF(CN27&gt;=CO27,IF(CN27="",FALSE,TRUE))</formula>
    </cfRule>
  </conditionalFormatting>
  <conditionalFormatting sqref="CP27">
    <cfRule type="expression" dxfId="187" priority="281">
      <formula>OR(IF(CP27&lt;CQ27,TRUE),IF(AND(CQ27="",CP27&lt;&gt;""),TRUE))</formula>
    </cfRule>
    <cfRule type="expression" dxfId="186" priority="282">
      <formula>IF(CP27&gt;=CQ27,IF(CP27="",FALSE,TRUE))</formula>
    </cfRule>
  </conditionalFormatting>
  <conditionalFormatting sqref="CU27">
    <cfRule type="expression" dxfId="185" priority="265">
      <formula>OR(IF(CU27&lt;CV27,TRUE),IF(AND(CV27="",CU27&lt;&gt;""),TRUE))</formula>
    </cfRule>
    <cfRule type="expression" dxfId="184" priority="266">
      <formula>IF(CU27&gt;=CV27,IF(CU27="",FALSE,TRUE))</formula>
    </cfRule>
  </conditionalFormatting>
  <conditionalFormatting sqref="CW27">
    <cfRule type="expression" dxfId="183" priority="263">
      <formula>OR(IF(CW27&lt;CX27,TRUE),IF(AND(CX27="",CW27&lt;&gt;""),TRUE))</formula>
    </cfRule>
    <cfRule type="expression" dxfId="182" priority="264">
      <formula>IF(CW27&gt;=CX27,IF(CW27="",FALSE,TRUE))</formula>
    </cfRule>
  </conditionalFormatting>
  <conditionalFormatting sqref="DB27">
    <cfRule type="expression" dxfId="181" priority="247">
      <formula>OR(IF(DB27&lt;DC27,TRUE),IF(AND(DC27="",DB27&lt;&gt;""),TRUE))</formula>
    </cfRule>
    <cfRule type="expression" dxfId="180" priority="248">
      <formula>IF(DB27&gt;=DC27,IF(DB27="",FALSE,TRUE))</formula>
    </cfRule>
  </conditionalFormatting>
  <conditionalFormatting sqref="DD27">
    <cfRule type="expression" dxfId="179" priority="245">
      <formula>OR(IF(DD27&lt;DE27,TRUE),IF(AND(DE27="",DD27&lt;&gt;""),TRUE))</formula>
    </cfRule>
    <cfRule type="expression" dxfId="178" priority="246">
      <formula>IF(DD27&gt;=DE27,IF(DD27="",FALSE,TRUE))</formula>
    </cfRule>
  </conditionalFormatting>
  <conditionalFormatting sqref="DI27">
    <cfRule type="expression" dxfId="177" priority="229">
      <formula>OR(IF(DI27&lt;DJ27,TRUE),IF(AND(DJ27="",DI27&lt;&gt;""),TRUE))</formula>
    </cfRule>
    <cfRule type="expression" dxfId="176" priority="230">
      <formula>IF(DI27&gt;=DJ27,IF(DI27="",FALSE,TRUE))</formula>
    </cfRule>
  </conditionalFormatting>
  <conditionalFormatting sqref="DK27">
    <cfRule type="expression" dxfId="175" priority="227">
      <formula>OR(IF(DK27&lt;DL27,TRUE),IF(AND(DL27="",DK27&lt;&gt;""),TRUE))</formula>
    </cfRule>
    <cfRule type="expression" dxfId="174" priority="228">
      <formula>IF(DK27&gt;=DL27,IF(DK27="",FALSE,TRUE))</formula>
    </cfRule>
  </conditionalFormatting>
  <conditionalFormatting sqref="DP27">
    <cfRule type="expression" dxfId="173" priority="211">
      <formula>OR(IF(DP27&lt;DQ27,TRUE),IF(AND(DQ27="",DP27&lt;&gt;""),TRUE))</formula>
    </cfRule>
    <cfRule type="expression" dxfId="172" priority="212">
      <formula>IF(DP27&gt;=DQ27,IF(DP27="",FALSE,TRUE))</formula>
    </cfRule>
  </conditionalFormatting>
  <conditionalFormatting sqref="DR27">
    <cfRule type="expression" dxfId="171" priority="209">
      <formula>OR(IF(DR27&lt;DS27,TRUE),IF(AND(DS27="",DR27&lt;&gt;""),TRUE))</formula>
    </cfRule>
    <cfRule type="expression" dxfId="170" priority="210">
      <formula>IF(DR27&gt;=DS27,IF(DR27="",FALSE,TRUE))</formula>
    </cfRule>
  </conditionalFormatting>
  <conditionalFormatting sqref="O44:O45">
    <cfRule type="expression" dxfId="169" priority="203">
      <formula>OR(IF(O44&lt;P44,TRUE),IF(AND(P44="",O44&lt;&gt;""),TRUE))</formula>
    </cfRule>
    <cfRule type="expression" dxfId="168" priority="204">
      <formula>IF(O44&gt;=P44,IF(O44="",FALSE,TRUE))</formula>
    </cfRule>
  </conditionalFormatting>
  <conditionalFormatting sqref="Q44:Q45">
    <cfRule type="expression" dxfId="167" priority="201">
      <formula>OR(IF(Q44&lt;R44,TRUE),IF(AND(R44="",Q44&lt;&gt;""),TRUE))</formula>
    </cfRule>
    <cfRule type="expression" dxfId="166" priority="202">
      <formula>IF(Q44&gt;=R44,IF(Q44="",FALSE,TRUE))</formula>
    </cfRule>
  </conditionalFormatting>
  <conditionalFormatting sqref="BE44:BE45">
    <cfRule type="expression" dxfId="165" priority="179">
      <formula>OR(IF(BE44&lt;BF44,TRUE),IF(AND(BF44="",BE44&lt;&gt;""),TRUE))</formula>
    </cfRule>
    <cfRule type="expression" dxfId="164" priority="180">
      <formula>IF(BE44&gt;=BF44,IF(BE44="",FALSE,TRUE))</formula>
    </cfRule>
  </conditionalFormatting>
  <conditionalFormatting sqref="V44:V45">
    <cfRule type="expression" dxfId="163" priority="199">
      <formula>OR(IF(V44&lt;W44,TRUE),IF(AND(W44="",V44&lt;&gt;""),TRUE))</formula>
    </cfRule>
    <cfRule type="expression" dxfId="162" priority="200">
      <formula>IF(V44&gt;=W44,IF(V44="",FALSE,TRUE))</formula>
    </cfRule>
  </conditionalFormatting>
  <conditionalFormatting sqref="X44:X45">
    <cfRule type="expression" dxfId="161" priority="197">
      <formula>OR(IF(X44&lt;Y44,TRUE),IF(AND(Y44="",X44&lt;&gt;""),TRUE))</formula>
    </cfRule>
    <cfRule type="expression" dxfId="160" priority="198">
      <formula>IF(X44&gt;=Y44,IF(X44="",FALSE,TRUE))</formula>
    </cfRule>
  </conditionalFormatting>
  <conditionalFormatting sqref="AC44:AC45">
    <cfRule type="expression" dxfId="159" priority="195">
      <formula>OR(IF(AC44&lt;AD44,TRUE),IF(AND(AD44="",AC44&lt;&gt;""),TRUE))</formula>
    </cfRule>
    <cfRule type="expression" dxfId="158" priority="196">
      <formula>IF(AC44&gt;=AD44,IF(AC44="",FALSE,TRUE))</formula>
    </cfRule>
  </conditionalFormatting>
  <conditionalFormatting sqref="AE44:AE45">
    <cfRule type="expression" dxfId="157" priority="193">
      <formula>OR(IF(AE44&lt;AF44,TRUE),IF(AND(AF44="",AE44&lt;&gt;""),TRUE))</formula>
    </cfRule>
    <cfRule type="expression" dxfId="156" priority="194">
      <formula>IF(AE44&gt;=AF44,IF(AE44="",FALSE,TRUE))</formula>
    </cfRule>
  </conditionalFormatting>
  <conditionalFormatting sqref="AQ44:AQ45">
    <cfRule type="expression" dxfId="155" priority="187">
      <formula>OR(IF(AQ44&lt;AR44,TRUE),IF(AND(AR44="",AQ44&lt;&gt;""),TRUE))</formula>
    </cfRule>
    <cfRule type="expression" dxfId="154" priority="188">
      <formula>IF(AQ44&gt;=AR44,IF(AQ44="",FALSE,TRUE))</formula>
    </cfRule>
  </conditionalFormatting>
  <conditionalFormatting sqref="AS44:AS45">
    <cfRule type="expression" dxfId="153" priority="185">
      <formula>OR(IF(AS44&lt;AT44,TRUE),IF(AND(AT44="",AS44&lt;&gt;""),TRUE))</formula>
    </cfRule>
    <cfRule type="expression" dxfId="152" priority="186">
      <formula>IF(AS44&gt;=AT44,IF(AS44="",FALSE,TRUE))</formula>
    </cfRule>
  </conditionalFormatting>
  <conditionalFormatting sqref="AX44:AX45">
    <cfRule type="expression" dxfId="151" priority="183">
      <formula>OR(IF(AX44&lt;AY44,TRUE),IF(AND(AY44="",AX44&lt;&gt;""),TRUE))</formula>
    </cfRule>
    <cfRule type="expression" dxfId="150" priority="184">
      <formula>IF(AX44&gt;=AY44,IF(AX44="",FALSE,TRUE))</formula>
    </cfRule>
  </conditionalFormatting>
  <conditionalFormatting sqref="AZ44:AZ45">
    <cfRule type="expression" dxfId="149" priority="181">
      <formula>OR(IF(AZ44&lt;BA44,TRUE),IF(AND(BA44="",AZ44&lt;&gt;""),TRUE))</formula>
    </cfRule>
    <cfRule type="expression" dxfId="148" priority="182">
      <formula>IF(AZ44&gt;=BA44,IF(AZ44="",FALSE,TRUE))</formula>
    </cfRule>
  </conditionalFormatting>
  <conditionalFormatting sqref="BG44:BG45">
    <cfRule type="expression" dxfId="147" priority="177">
      <formula>OR(IF(BG44&lt;BH44,TRUE),IF(AND(BH44="",BG44&lt;&gt;""),TRUE))</formula>
    </cfRule>
    <cfRule type="expression" dxfId="146" priority="178">
      <formula>IF(BG44&gt;=BH44,IF(BG44="",FALSE,TRUE))</formula>
    </cfRule>
  </conditionalFormatting>
  <conditionalFormatting sqref="CU44:CU45">
    <cfRule type="expression" dxfId="145" priority="155">
      <formula>OR(IF(CU44&lt;CV44,TRUE),IF(AND(CV44="",CU44&lt;&gt;""),TRUE))</formula>
    </cfRule>
    <cfRule type="expression" dxfId="144" priority="156">
      <formula>IF(CU44&gt;=CV44,IF(CU44="",FALSE,TRUE))</formula>
    </cfRule>
  </conditionalFormatting>
  <conditionalFormatting sqref="CW44:CW45">
    <cfRule type="expression" dxfId="143" priority="153">
      <formula>OR(IF(CW44&lt;CX44,TRUE),IF(AND(CX44="",CW44&lt;&gt;""),TRUE))</formula>
    </cfRule>
    <cfRule type="expression" dxfId="142" priority="154">
      <formula>IF(CW44&gt;=CX44,IF(CW44="",FALSE,TRUE))</formula>
    </cfRule>
  </conditionalFormatting>
  <conditionalFormatting sqref="DB44:DB45">
    <cfRule type="expression" dxfId="141" priority="151">
      <formula>OR(IF(DB44&lt;DC44,TRUE),IF(AND(DC44="",DB44&lt;&gt;""),TRUE))</formula>
    </cfRule>
    <cfRule type="expression" dxfId="140" priority="152">
      <formula>IF(DB44&gt;=DC44,IF(DB44="",FALSE,TRUE))</formula>
    </cfRule>
  </conditionalFormatting>
  <conditionalFormatting sqref="DD44:DD45">
    <cfRule type="expression" dxfId="139" priority="149">
      <formula>OR(IF(DD44&lt;DE44,TRUE),IF(AND(DE44="",DD44&lt;&gt;""),TRUE))</formula>
    </cfRule>
    <cfRule type="expression" dxfId="138" priority="150">
      <formula>IF(DD44&gt;=DE44,IF(DD44="",FALSE,TRUE))</formula>
    </cfRule>
  </conditionalFormatting>
  <conditionalFormatting sqref="DI44:DI45">
    <cfRule type="expression" dxfId="137" priority="147">
      <formula>OR(IF(DI44&lt;DJ44,TRUE),IF(AND(DJ44="",DI44&lt;&gt;""),TRUE))</formula>
    </cfRule>
    <cfRule type="expression" dxfId="136" priority="148">
      <formula>IF(DI44&gt;=DJ44,IF(DI44="",FALSE,TRUE))</formula>
    </cfRule>
  </conditionalFormatting>
  <conditionalFormatting sqref="DK44:DK45">
    <cfRule type="expression" dxfId="135" priority="145">
      <formula>OR(IF(DK44&lt;DL44,TRUE),IF(AND(DL44="",DK44&lt;&gt;""),TRUE))</formula>
    </cfRule>
    <cfRule type="expression" dxfId="134" priority="146">
      <formula>IF(DK44&gt;=DL44,IF(DK44="",FALSE,TRUE))</formula>
    </cfRule>
  </conditionalFormatting>
  <conditionalFormatting sqref="DP44:DP45">
    <cfRule type="expression" dxfId="133" priority="143">
      <formula>OR(IF(DP44&lt;DQ44,TRUE),IF(AND(DQ44="",DP44&lt;&gt;""),TRUE))</formula>
    </cfRule>
    <cfRule type="expression" dxfId="132" priority="144">
      <formula>IF(DP44&gt;=DQ44,IF(DP44="",FALSE,TRUE))</formula>
    </cfRule>
  </conditionalFormatting>
  <conditionalFormatting sqref="DR44:DR45">
    <cfRule type="expression" dxfId="131" priority="141">
      <formula>OR(IF(DR44&lt;DS44,TRUE),IF(AND(DS44="",DR44&lt;&gt;""),TRUE))</formula>
    </cfRule>
    <cfRule type="expression" dxfId="130" priority="142">
      <formula>IF(DR44&gt;=DS44,IF(DR44="",FALSE,TRUE))</formula>
    </cfRule>
  </conditionalFormatting>
  <conditionalFormatting sqref="AJ20:AJ21 BN45 EF67">
    <cfRule type="expression" dxfId="129" priority="716">
      <formula>OR(IF(AJ20&lt;AK19,TRUE),IF(AND(AK19="",AJ20&lt;&gt;""),TRUE))</formula>
    </cfRule>
    <cfRule type="expression" dxfId="128" priority="717">
      <formula>IF(AJ20&gt;=AK19,IF(AJ20="",FALSE,TRUE))</formula>
    </cfRule>
  </conditionalFormatting>
  <conditionalFormatting sqref="J53:K71">
    <cfRule type="colorScale" priority="1247">
      <colorScale>
        <cfvo type="percent" val="0"/>
        <cfvo type="percent" val="100"/>
        <color rgb="FFFF231B"/>
        <color rgb="FF10FF07"/>
      </colorScale>
    </cfRule>
  </conditionalFormatting>
  <conditionalFormatting sqref="J52:J71">
    <cfRule type="colorScale" priority="1248">
      <colorScale>
        <cfvo type="percent" val="0"/>
        <cfvo type="percent" val="100"/>
        <color rgb="FFFF231B"/>
        <color rgb="FF10FF07"/>
      </colorScale>
    </cfRule>
  </conditionalFormatting>
  <conditionalFormatting sqref="K52:K71">
    <cfRule type="colorScale" priority="1249">
      <colorScale>
        <cfvo type="percent" val="0"/>
        <cfvo type="percent" val="100"/>
        <color rgb="FFFF231B"/>
        <color rgb="FF10FF07"/>
      </colorScale>
    </cfRule>
  </conditionalFormatting>
  <conditionalFormatting sqref="J5:K14">
    <cfRule type="colorScale" priority="1282">
      <colorScale>
        <cfvo type="percent" val="0"/>
        <cfvo type="percent" val="100"/>
        <color rgb="FFFF231B"/>
        <color rgb="FF10FF07"/>
      </colorScale>
    </cfRule>
  </conditionalFormatting>
  <conditionalFormatting sqref="J5:J14">
    <cfRule type="colorScale" priority="1415">
      <colorScale>
        <cfvo type="percent" val="0"/>
        <cfvo type="percent" val="100"/>
        <color rgb="FFFF231B"/>
        <color rgb="FF10FF07"/>
      </colorScale>
    </cfRule>
  </conditionalFormatting>
  <conditionalFormatting sqref="K5:K14">
    <cfRule type="colorScale" priority="1417">
      <colorScale>
        <cfvo type="percent" val="0"/>
        <cfvo type="percent" val="100"/>
        <color rgb="FFFF231B"/>
        <color rgb="FF10FF07"/>
      </colorScale>
    </cfRule>
  </conditionalFormatting>
  <conditionalFormatting sqref="J17:J27">
    <cfRule type="colorScale" priority="1446">
      <colorScale>
        <cfvo type="percent" val="0"/>
        <cfvo type="percent" val="100"/>
        <color rgb="FFFF231B"/>
        <color rgb="FF10FF07"/>
      </colorScale>
    </cfRule>
  </conditionalFormatting>
  <conditionalFormatting sqref="K17:K27">
    <cfRule type="colorScale" priority="1447">
      <colorScale>
        <cfvo type="percent" val="0"/>
        <cfvo type="percent" val="100"/>
        <color rgb="FFFF231B"/>
        <color rgb="FF10FF07"/>
      </colorScale>
    </cfRule>
  </conditionalFormatting>
  <conditionalFormatting sqref="J30:K42 J45:K49">
    <cfRule type="colorScale" priority="1512">
      <colorScale>
        <cfvo type="percent" val="0"/>
        <cfvo type="percent" val="100"/>
        <color rgb="FFFF231B"/>
        <color rgb="FF10FF07"/>
      </colorScale>
    </cfRule>
  </conditionalFormatting>
  <conditionalFormatting sqref="J44:J49 J30:J42">
    <cfRule type="colorScale" priority="1514">
      <colorScale>
        <cfvo type="percent" val="0"/>
        <cfvo type="percent" val="100"/>
        <color rgb="FFFF231B"/>
        <color rgb="FF10FF07"/>
      </colorScale>
    </cfRule>
  </conditionalFormatting>
  <conditionalFormatting sqref="K44:K49 K30:K42">
    <cfRule type="colorScale" priority="1516">
      <colorScale>
        <cfvo type="percent" val="0"/>
        <cfvo type="percent" val="100"/>
        <color rgb="FFFF231B"/>
        <color rgb="FF10FF07"/>
      </colorScale>
    </cfRule>
  </conditionalFormatting>
  <conditionalFormatting sqref="DW52:DW71 DY52:DY71 DW30:DW42 DY30:DY42 DW5:DW14 DY5:DY14 DW17:DW26 DY17:DY26 DW46:DW49 DY46:DY49">
    <cfRule type="expression" dxfId="127" priority="139">
      <formula>OR(IF(DW5&lt;DX5,TRUE),IF(AND(DX5="",DW5&lt;&gt;""),TRUE))</formula>
    </cfRule>
    <cfRule type="expression" dxfId="126" priority="140">
      <formula>IF(DW5&gt;=DX5,IF(DW5="",FALSE,TRUE))</formula>
    </cfRule>
  </conditionalFormatting>
  <conditionalFormatting sqref="DY27">
    <cfRule type="expression" dxfId="125" priority="135">
      <formula>OR(IF(DY27&lt;DZ27,TRUE),IF(AND(DZ27="",DY27&lt;&gt;""),TRUE))</formula>
    </cfRule>
    <cfRule type="expression" dxfId="124" priority="136">
      <formula>IF(DY27&gt;=DZ27,IF(DY27="",FALSE,TRUE))</formula>
    </cfRule>
  </conditionalFormatting>
  <conditionalFormatting sqref="DW27">
    <cfRule type="expression" dxfId="123" priority="137">
      <formula>OR(IF(DW27&lt;DX27,TRUE),IF(AND(DX27="",DW27&lt;&gt;""),TRUE))</formula>
    </cfRule>
    <cfRule type="expression" dxfId="122" priority="138">
      <formula>IF(DW27&gt;=DX27,IF(DW27="",FALSE,TRUE))</formula>
    </cfRule>
  </conditionalFormatting>
  <conditionalFormatting sqref="DW44:DW45">
    <cfRule type="expression" dxfId="121" priority="133">
      <formula>OR(IF(DW44&lt;DX44,TRUE),IF(AND(DX44="",DW44&lt;&gt;""),TRUE))</formula>
    </cfRule>
    <cfRule type="expression" dxfId="120" priority="134">
      <formula>IF(DW44&gt;=DX44,IF(DW44="",FALSE,TRUE))</formula>
    </cfRule>
  </conditionalFormatting>
  <conditionalFormatting sqref="DY44:DY45">
    <cfRule type="expression" dxfId="119" priority="131">
      <formula>OR(IF(DY44&lt;DZ44,TRUE),IF(AND(DZ44="",DY44&lt;&gt;""),TRUE))</formula>
    </cfRule>
    <cfRule type="expression" dxfId="118" priority="132">
      <formula>IF(DY44&gt;=DZ44,IF(DY44="",FALSE,TRUE))</formula>
    </cfRule>
  </conditionalFormatting>
  <conditionalFormatting sqref="ED52:ED71 ED30:ED42 EF30:EF42 ED5:ED14 EF5:EF14 ED17:ED26 EF17:EF26 ED46:ED49 EF46:EF49">
    <cfRule type="expression" dxfId="117" priority="129">
      <formula>OR(IF(ED5&lt;EE5,TRUE),IF(AND(EE5="",ED5&lt;&gt;""),TRUE))</formula>
    </cfRule>
    <cfRule type="expression" dxfId="116" priority="130">
      <formula>IF(ED5&gt;=EE5,IF(ED5="",FALSE,TRUE))</formula>
    </cfRule>
  </conditionalFormatting>
  <conditionalFormatting sqref="EF27">
    <cfRule type="expression" dxfId="115" priority="125">
      <formula>OR(IF(EF27&lt;EG27,TRUE),IF(AND(EG27="",EF27&lt;&gt;""),TRUE))</formula>
    </cfRule>
    <cfRule type="expression" dxfId="114" priority="126">
      <formula>IF(EF27&gt;=EG27,IF(EF27="",FALSE,TRUE))</formula>
    </cfRule>
  </conditionalFormatting>
  <conditionalFormatting sqref="ED27">
    <cfRule type="expression" dxfId="113" priority="127">
      <formula>OR(IF(ED27&lt;EE27,TRUE),IF(AND(EE27="",ED27&lt;&gt;""),TRUE))</formula>
    </cfRule>
    <cfRule type="expression" dxfId="112" priority="128">
      <formula>IF(ED27&gt;=EE27,IF(ED27="",FALSE,TRUE))</formula>
    </cfRule>
  </conditionalFormatting>
  <conditionalFormatting sqref="ED44:ED45">
    <cfRule type="expression" dxfId="111" priority="123">
      <formula>OR(IF(ED44&lt;EE44,TRUE),IF(AND(EE44="",ED44&lt;&gt;""),TRUE))</formula>
    </cfRule>
    <cfRule type="expression" dxfId="110" priority="124">
      <formula>IF(ED44&gt;=EE44,IF(ED44="",FALSE,TRUE))</formula>
    </cfRule>
  </conditionalFormatting>
  <conditionalFormatting sqref="EF44:EF45">
    <cfRule type="expression" dxfId="109" priority="121">
      <formula>OR(IF(EF44&lt;EG44,TRUE),IF(AND(EG44="",EF44&lt;&gt;""),TRUE))</formula>
    </cfRule>
    <cfRule type="expression" dxfId="108" priority="122">
      <formula>IF(EF44&gt;=EG44,IF(EF44="",FALSE,TRUE))</formula>
    </cfRule>
  </conditionalFormatting>
  <conditionalFormatting sqref="EK52:EK71 EM52:EM71 EK30:EK42 EM30:EM42 EK5:EK14 EM5:EM14 EK17:EK26 EM17:EM26 EK46:EK49 EM46:EM49">
    <cfRule type="expression" dxfId="107" priority="119">
      <formula>OR(IF(EK5&lt;EL5,TRUE),IF(AND(EL5="",EK5&lt;&gt;""),TRUE))</formula>
    </cfRule>
    <cfRule type="expression" dxfId="106" priority="120">
      <formula>IF(EK5&gt;=EL5,IF(EK5="",FALSE,TRUE))</formula>
    </cfRule>
  </conditionalFormatting>
  <conditionalFormatting sqref="EM27">
    <cfRule type="expression" dxfId="105" priority="115">
      <formula>OR(IF(EM27&lt;EN27,TRUE),IF(AND(EN27="",EM27&lt;&gt;""),TRUE))</formula>
    </cfRule>
    <cfRule type="expression" dxfId="104" priority="116">
      <formula>IF(EM27&gt;=EN27,IF(EM27="",FALSE,TRUE))</formula>
    </cfRule>
  </conditionalFormatting>
  <conditionalFormatting sqref="EK27">
    <cfRule type="expression" dxfId="103" priority="117">
      <formula>OR(IF(EK27&lt;EL27,TRUE),IF(AND(EL27="",EK27&lt;&gt;""),TRUE))</formula>
    </cfRule>
    <cfRule type="expression" dxfId="102" priority="118">
      <formula>IF(EK27&gt;=EL27,IF(EK27="",FALSE,TRUE))</formula>
    </cfRule>
  </conditionalFormatting>
  <conditionalFormatting sqref="EK44:EK45">
    <cfRule type="expression" dxfId="101" priority="113">
      <formula>OR(IF(EK44&lt;EL44,TRUE),IF(AND(EL44="",EK44&lt;&gt;""),TRUE))</formula>
    </cfRule>
    <cfRule type="expression" dxfId="100" priority="114">
      <formula>IF(EK44&gt;=EL44,IF(EK44="",FALSE,TRUE))</formula>
    </cfRule>
  </conditionalFormatting>
  <conditionalFormatting sqref="EM44:EM45">
    <cfRule type="expression" dxfId="99" priority="111">
      <formula>OR(IF(EM44&lt;EN44,TRUE),IF(AND(EN44="",EM44&lt;&gt;""),TRUE))</formula>
    </cfRule>
    <cfRule type="expression" dxfId="98" priority="112">
      <formula>IF(EM44&gt;=EN44,IF(EM44="",FALSE,TRUE))</formula>
    </cfRule>
  </conditionalFormatting>
  <conditionalFormatting sqref="ER52:ER71 ET52:ET71 ER30:ER42 ET30:ET42 ER5:ER14 ET5:ET14 ER17:ER26 ET17:ET26 ER46:ER49 ET46:ET49">
    <cfRule type="expression" dxfId="97" priority="109">
      <formula>OR(IF(ER5&lt;ES5,TRUE),IF(AND(ES5="",ER5&lt;&gt;""),TRUE))</formula>
    </cfRule>
    <cfRule type="expression" dxfId="96" priority="110">
      <formula>IF(ER5&gt;=ES5,IF(ER5="",FALSE,TRUE))</formula>
    </cfRule>
  </conditionalFormatting>
  <conditionalFormatting sqref="ET27">
    <cfRule type="expression" dxfId="95" priority="105">
      <formula>OR(IF(ET27&lt;EU27,TRUE),IF(AND(EU27="",ET27&lt;&gt;""),TRUE))</formula>
    </cfRule>
    <cfRule type="expression" dxfId="94" priority="106">
      <formula>IF(ET27&gt;=EU27,IF(ET27="",FALSE,TRUE))</formula>
    </cfRule>
  </conditionalFormatting>
  <conditionalFormatting sqref="ER27">
    <cfRule type="expression" dxfId="93" priority="107">
      <formula>OR(IF(ER27&lt;ES27,TRUE),IF(AND(ES27="",ER27&lt;&gt;""),TRUE))</formula>
    </cfRule>
    <cfRule type="expression" dxfId="92" priority="108">
      <formula>IF(ER27&gt;=ES27,IF(ER27="",FALSE,TRUE))</formula>
    </cfRule>
  </conditionalFormatting>
  <conditionalFormatting sqref="ER44:ER45">
    <cfRule type="expression" dxfId="91" priority="103">
      <formula>OR(IF(ER44&lt;ES44,TRUE),IF(AND(ES44="",ER44&lt;&gt;""),TRUE))</formula>
    </cfRule>
    <cfRule type="expression" dxfId="90" priority="104">
      <formula>IF(ER44&gt;=ES44,IF(ER44="",FALSE,TRUE))</formula>
    </cfRule>
  </conditionalFormatting>
  <conditionalFormatting sqref="ET44:ET45">
    <cfRule type="expression" dxfId="89" priority="101">
      <formula>OR(IF(ET44&lt;EU44,TRUE),IF(AND(EU44="",ET44&lt;&gt;""),TRUE))</formula>
    </cfRule>
    <cfRule type="expression" dxfId="88" priority="102">
      <formula>IF(ET44&gt;=EU44,IF(ET44="",FALSE,TRUE))</formula>
    </cfRule>
  </conditionalFormatting>
  <conditionalFormatting sqref="EY52:EY71 FA52:FA71 EY30:EY42 FA30:FA42 EY5:EY14 FA5:FA14 EY17:EY26 FA17:FA26 EY46:EY49 FA46:FA49">
    <cfRule type="expression" dxfId="87" priority="99">
      <formula>OR(IF(EY5&lt;EZ5,TRUE),IF(AND(EZ5="",EY5&lt;&gt;""),TRUE))</formula>
    </cfRule>
    <cfRule type="expression" dxfId="86" priority="100">
      <formula>IF(EY5&gt;=EZ5,IF(EY5="",FALSE,TRUE))</formula>
    </cfRule>
  </conditionalFormatting>
  <conditionalFormatting sqref="FA27">
    <cfRule type="expression" dxfId="85" priority="95">
      <formula>OR(IF(FA27&lt;FB27,TRUE),IF(AND(FB27="",FA27&lt;&gt;""),TRUE))</formula>
    </cfRule>
    <cfRule type="expression" dxfId="84" priority="96">
      <formula>IF(FA27&gt;=FB27,IF(FA27="",FALSE,TRUE))</formula>
    </cfRule>
  </conditionalFormatting>
  <conditionalFormatting sqref="EY27">
    <cfRule type="expression" dxfId="83" priority="97">
      <formula>OR(IF(EY27&lt;EZ27,TRUE),IF(AND(EZ27="",EY27&lt;&gt;""),TRUE))</formula>
    </cfRule>
    <cfRule type="expression" dxfId="82" priority="98">
      <formula>IF(EY27&gt;=EZ27,IF(EY27="",FALSE,TRUE))</formula>
    </cfRule>
  </conditionalFormatting>
  <conditionalFormatting sqref="EY44:EY45">
    <cfRule type="expression" dxfId="81" priority="93">
      <formula>OR(IF(EY44&lt;EZ44,TRUE),IF(AND(EZ44="",EY44&lt;&gt;""),TRUE))</formula>
    </cfRule>
    <cfRule type="expression" dxfId="80" priority="94">
      <formula>IF(EY44&gt;=EZ44,IF(EY44="",FALSE,TRUE))</formula>
    </cfRule>
  </conditionalFormatting>
  <conditionalFormatting sqref="FA44:FA45">
    <cfRule type="expression" dxfId="79" priority="91">
      <formula>OR(IF(FA44&lt;FB44,TRUE),IF(AND(FB44="",FA44&lt;&gt;""),TRUE))</formula>
    </cfRule>
    <cfRule type="expression" dxfId="78" priority="92">
      <formula>IF(FA44&gt;=FB44,IF(FA44="",FALSE,TRUE))</formula>
    </cfRule>
  </conditionalFormatting>
  <conditionalFormatting sqref="FF52:FF71 FH52:FH71 FF30:FF42 FH30:FH42 FF5:FF14 FH5:FH14 FF17:FF26 FH17:FH26 FF44:FF49 FH44:FH49">
    <cfRule type="expression" dxfId="77" priority="89">
      <formula>OR(IF(FF5&lt;FG5,TRUE),IF(AND(FG5="",FF5&lt;&gt;""),TRUE))</formula>
    </cfRule>
    <cfRule type="expression" dxfId="76" priority="90">
      <formula>IF(FF5&gt;=FG5,IF(FF5="",FALSE,TRUE))</formula>
    </cfRule>
  </conditionalFormatting>
  <conditionalFormatting sqref="FH27">
    <cfRule type="expression" dxfId="75" priority="85">
      <formula>OR(IF(FH27&lt;FI27,TRUE),IF(AND(FI27="",FH27&lt;&gt;""),TRUE))</formula>
    </cfRule>
    <cfRule type="expression" dxfId="74" priority="86">
      <formula>IF(FH27&gt;=FI27,IF(FH27="",FALSE,TRUE))</formula>
    </cfRule>
  </conditionalFormatting>
  <conditionalFormatting sqref="FF27">
    <cfRule type="expression" dxfId="73" priority="87">
      <formula>OR(IF(FF27&lt;FG27,TRUE),IF(AND(FG27="",FF27&lt;&gt;""),TRUE))</formula>
    </cfRule>
    <cfRule type="expression" dxfId="72" priority="88">
      <formula>IF(FF27&gt;=FG27,IF(FF27="",FALSE,TRUE))</formula>
    </cfRule>
  </conditionalFormatting>
  <conditionalFormatting sqref="FM52:FM71 FO52:FO71 FM30:FM42 FO30:FO42 FM5:FM14 FO5:FO14 FM17:FM26 FO17:FO26 FM46:FM49 FO46:FO49">
    <cfRule type="expression" dxfId="71" priority="79">
      <formula>OR(IF(FM5&lt;FN5,TRUE),IF(AND(FN5="",FM5&lt;&gt;""),TRUE))</formula>
    </cfRule>
    <cfRule type="expression" dxfId="70" priority="80">
      <formula>IF(FM5&gt;=FN5,IF(FM5="",FALSE,TRUE))</formula>
    </cfRule>
  </conditionalFormatting>
  <conditionalFormatting sqref="FO27">
    <cfRule type="expression" dxfId="69" priority="75">
      <formula>OR(IF(FO27&lt;FP27,TRUE),IF(AND(FP27="",FO27&lt;&gt;""),TRUE))</formula>
    </cfRule>
    <cfRule type="expression" dxfId="68" priority="76">
      <formula>IF(FO27&gt;=FP27,IF(FO27="",FALSE,TRUE))</formula>
    </cfRule>
  </conditionalFormatting>
  <conditionalFormatting sqref="FM27">
    <cfRule type="expression" dxfId="67" priority="77">
      <formula>OR(IF(FM27&lt;FN27,TRUE),IF(AND(FN27="",FM27&lt;&gt;""),TRUE))</formula>
    </cfRule>
    <cfRule type="expression" dxfId="66" priority="78">
      <formula>IF(FM27&gt;=FN27,IF(FM27="",FALSE,TRUE))</formula>
    </cfRule>
  </conditionalFormatting>
  <conditionalFormatting sqref="FM44:FM45">
    <cfRule type="expression" dxfId="65" priority="73">
      <formula>OR(IF(FM44&lt;FN44,TRUE),IF(AND(FN44="",FM44&lt;&gt;""),TRUE))</formula>
    </cfRule>
    <cfRule type="expression" dxfId="64" priority="74">
      <formula>IF(FM44&gt;=FN44,IF(FM44="",FALSE,TRUE))</formula>
    </cfRule>
  </conditionalFormatting>
  <conditionalFormatting sqref="FO44:FO45">
    <cfRule type="expression" dxfId="63" priority="71">
      <formula>OR(IF(FO44&lt;FP44,TRUE),IF(AND(FP44="",FO44&lt;&gt;""),TRUE))</formula>
    </cfRule>
    <cfRule type="expression" dxfId="62" priority="72">
      <formula>IF(FO44&gt;=FP44,IF(FO44="",FALSE,TRUE))</formula>
    </cfRule>
  </conditionalFormatting>
  <conditionalFormatting sqref="AJ44:AJ49">
    <cfRule type="expression" dxfId="61" priority="69">
      <formula>OR(IF(AJ44&lt;AK43,TRUE),IF(AND(AK43="",AJ44&lt;&gt;""),TRUE))</formula>
    </cfRule>
    <cfRule type="expression" dxfId="60" priority="70">
      <formula>IF(AJ44&gt;=AK43,IF(AJ44="",FALSE,TRUE))</formula>
    </cfRule>
  </conditionalFormatting>
  <conditionalFormatting sqref="AL44:AL45">
    <cfRule type="expression" dxfId="59" priority="67">
      <formula>OR(IF(AL44&lt;AM43,TRUE),IF(AND(AM43="",AL44&lt;&gt;""),TRUE))</formula>
    </cfRule>
    <cfRule type="expression" dxfId="58" priority="68">
      <formula>IF(AL44&gt;=AM43,IF(AL44="",FALSE,TRUE))</formula>
    </cfRule>
  </conditionalFormatting>
  <conditionalFormatting sqref="AR7:AR14">
    <cfRule type="expression" dxfId="57" priority="65">
      <formula>OR(IF(AR7&lt;AS7,TRUE),IF(AND(AS7="",AR7&lt;&gt;""),TRUE))</formula>
    </cfRule>
    <cfRule type="expression" dxfId="56" priority="66">
      <formula>IF(AR7&gt;=AS7,IF(AR7="",FALSE,TRUE))</formula>
    </cfRule>
  </conditionalFormatting>
  <conditionalFormatting sqref="AT7:AT14">
    <cfRule type="expression" dxfId="55" priority="63">
      <formula>OR(IF(AT7&lt;AU7,TRUE),IF(AND(AU7="",AT7&lt;&gt;""),TRUE))</formula>
    </cfRule>
    <cfRule type="expression" dxfId="54" priority="64">
      <formula>IF(AT7&gt;=AU7,IF(AT7="",FALSE,TRUE))</formula>
    </cfRule>
  </conditionalFormatting>
  <conditionalFormatting sqref="AR20:AR26">
    <cfRule type="expression" dxfId="53" priority="61">
      <formula>OR(IF(AR20&lt;AS20,TRUE),IF(AND(AS20="",AR20&lt;&gt;""),TRUE))</formula>
    </cfRule>
    <cfRule type="expression" dxfId="52" priority="62">
      <formula>IF(AR20&gt;=AS20,IF(AR20="",FALSE,TRUE))</formula>
    </cfRule>
  </conditionalFormatting>
  <conditionalFormatting sqref="AT20:AT26">
    <cfRule type="expression" dxfId="51" priority="59">
      <formula>OR(IF(AT20&lt;AU20,TRUE),IF(AND(AU20="",AT20&lt;&gt;""),TRUE))</formula>
    </cfRule>
    <cfRule type="expression" dxfId="50" priority="60">
      <formula>IF(AT20&gt;=AU20,IF(AT20="",FALSE,TRUE))</formula>
    </cfRule>
  </conditionalFormatting>
  <conditionalFormatting sqref="AR33:AR40">
    <cfRule type="expression" dxfId="49" priority="57">
      <formula>OR(IF(AR33&lt;AS33,TRUE),IF(AND(AS33="",AR33&lt;&gt;""),TRUE))</formula>
    </cfRule>
    <cfRule type="expression" dxfId="48" priority="58">
      <formula>IF(AR33&gt;=AS33,IF(AR33="",FALSE,TRUE))</formula>
    </cfRule>
  </conditionalFormatting>
  <conditionalFormatting sqref="AT33:AT40">
    <cfRule type="expression" dxfId="47" priority="55">
      <formula>OR(IF(AT33&lt;AU33,TRUE),IF(AND(AU33="",AT33&lt;&gt;""),TRUE))</formula>
    </cfRule>
    <cfRule type="expression" dxfId="46" priority="56">
      <formula>IF(AT33&gt;=AU33,IF(AT33="",FALSE,TRUE))</formula>
    </cfRule>
  </conditionalFormatting>
  <conditionalFormatting sqref="AR44:AR49">
    <cfRule type="expression" dxfId="45" priority="53">
      <formula>OR(IF(AR44&lt;AS44,TRUE),IF(AND(AS44="",AR44&lt;&gt;""),TRUE))</formula>
    </cfRule>
    <cfRule type="expression" dxfId="44" priority="54">
      <formula>IF(AR44&gt;=AS44,IF(AR44="",FALSE,TRUE))</formula>
    </cfRule>
  </conditionalFormatting>
  <conditionalFormatting sqref="AT44:AT49">
    <cfRule type="expression" dxfId="43" priority="51">
      <formula>OR(IF(AT44&lt;AU44,TRUE),IF(AND(AU44="",AT44&lt;&gt;""),TRUE))</formula>
    </cfRule>
    <cfRule type="expression" dxfId="42" priority="52">
      <formula>IF(AT44&gt;=AU44,IF(AT44="",FALSE,TRUE))</formula>
    </cfRule>
  </conditionalFormatting>
  <conditionalFormatting sqref="AR53:AR71">
    <cfRule type="expression" dxfId="41" priority="49">
      <formula>OR(IF(AR53&lt;AS53,TRUE),IF(AND(AS53="",AR53&lt;&gt;""),TRUE))</formula>
    </cfRule>
    <cfRule type="expression" dxfId="40" priority="50">
      <formula>IF(AR53&gt;=AS53,IF(AR53="",FALSE,TRUE))</formula>
    </cfRule>
  </conditionalFormatting>
  <conditionalFormatting sqref="AT53:AT71">
    <cfRule type="expression" dxfId="39" priority="47">
      <formula>OR(IF(AT53&lt;AU53,TRUE),IF(AND(AU53="",AT53&lt;&gt;""),TRUE))</formula>
    </cfRule>
    <cfRule type="expression" dxfId="38" priority="48">
      <formula>IF(AT53&gt;=AU53,IF(AT53="",FALSE,TRUE))</formula>
    </cfRule>
  </conditionalFormatting>
  <conditionalFormatting sqref="CN44:CN45">
    <cfRule type="expression" dxfId="37" priority="37">
      <formula>OR(IF(CN44&lt;CO44,TRUE),IF(AND(CO44="",CN44&lt;&gt;""),TRUE))</formula>
    </cfRule>
    <cfRule type="expression" dxfId="36" priority="38">
      <formula>IF(CN44&gt;=CO44,IF(CN44="",FALSE,TRUE))</formula>
    </cfRule>
  </conditionalFormatting>
  <conditionalFormatting sqref="CP44:CP45">
    <cfRule type="expression" dxfId="35" priority="35">
      <formula>OR(IF(CP44&lt;CQ44,TRUE),IF(AND(CQ44="",CP44&lt;&gt;""),TRUE))</formula>
    </cfRule>
    <cfRule type="expression" dxfId="34" priority="36">
      <formula>IF(CP44&gt;=CQ44,IF(CP44="",FALSE,TRUE))</formula>
    </cfRule>
  </conditionalFormatting>
  <conditionalFormatting sqref="CG44:CG45">
    <cfRule type="expression" dxfId="33" priority="33">
      <formula>OR(IF(CG44&lt;CH44,TRUE),IF(AND(CH44="",CG44&lt;&gt;""),TRUE))</formula>
    </cfRule>
    <cfRule type="expression" dxfId="32" priority="34">
      <formula>IF(CG44&gt;=CH44,IF(CG44="",FALSE,TRUE))</formula>
    </cfRule>
  </conditionalFormatting>
  <conditionalFormatting sqref="CI44:CI45">
    <cfRule type="expression" dxfId="31" priority="31">
      <formula>OR(IF(CI44&lt;CJ44,TRUE),IF(AND(CJ44="",CI44&lt;&gt;""),TRUE))</formula>
    </cfRule>
    <cfRule type="expression" dxfId="30" priority="32">
      <formula>IF(CI44&gt;=CJ44,IF(CI44="",FALSE,TRUE))</formula>
    </cfRule>
  </conditionalFormatting>
  <conditionalFormatting sqref="BZ27">
    <cfRule type="expression" dxfId="29" priority="29">
      <formula>OR(IF(BZ27&lt;CA27,TRUE),IF(AND(CA27="",BZ27&lt;&gt;""),TRUE))</formula>
    </cfRule>
    <cfRule type="expression" dxfId="28" priority="30">
      <formula>IF(BZ27&gt;=CA27,IF(BZ27="",FALSE,TRUE))</formula>
    </cfRule>
  </conditionalFormatting>
  <conditionalFormatting sqref="CB27">
    <cfRule type="expression" dxfId="27" priority="27">
      <formula>OR(IF(CB27&lt;CC27,TRUE),IF(AND(CC27="",CB27&lt;&gt;""),TRUE))</formula>
    </cfRule>
    <cfRule type="expression" dxfId="26" priority="28">
      <formula>IF(CB27&gt;=CC27,IF(CB27="",FALSE,TRUE))</formula>
    </cfRule>
  </conditionalFormatting>
  <conditionalFormatting sqref="DP52:DP65 DR52:DR65">
    <cfRule type="expression" dxfId="25" priority="23">
      <formula>OR(IF(DP52&lt;DQ52,TRUE),IF(AND(DQ52="",DP52&lt;&gt;""),TRUE))</formula>
    </cfRule>
    <cfRule type="expression" dxfId="24" priority="24">
      <formula>IF(DP52&gt;=DQ52,IF(DP52="",FALSE,TRUE))</formula>
    </cfRule>
  </conditionalFormatting>
  <conditionalFormatting sqref="DI52:DI65 DK52:DK65">
    <cfRule type="expression" dxfId="23" priority="9">
      <formula>OR(IF(DI52&lt;DJ52,TRUE),IF(AND(DJ52="",DI52&lt;&gt;""),TRUE))</formula>
    </cfRule>
    <cfRule type="expression" dxfId="22" priority="10">
      <formula>IF(DI52&gt;=DJ52,IF(DI52="",FALSE,TRUE))</formula>
    </cfRule>
  </conditionalFormatting>
  <conditionalFormatting sqref="DB52:DB65 DD52:DD65">
    <cfRule type="expression" dxfId="21" priority="7">
      <formula>OR(IF(DB52&lt;DC52,TRUE),IF(AND(DC52="",DB52&lt;&gt;""),TRUE))</formula>
    </cfRule>
    <cfRule type="expression" dxfId="20" priority="8">
      <formula>IF(DB52&gt;=DC52,IF(DB52="",FALSE,TRUE))</formula>
    </cfRule>
  </conditionalFormatting>
  <conditionalFormatting sqref="CU52:CU65 CW52:CW65">
    <cfRule type="expression" dxfId="19" priority="5">
      <formula>OR(IF(CU52&lt;CV52,TRUE),IF(AND(CV52="",CU52&lt;&gt;""),TRUE))</formula>
    </cfRule>
    <cfRule type="expression" dxfId="18" priority="6">
      <formula>IF(CU52&gt;=CV52,IF(CU52="",FALSE,TRUE))</formula>
    </cfRule>
  </conditionalFormatting>
  <conditionalFormatting sqref="CN52:CN65 CP52:CP65">
    <cfRule type="expression" dxfId="17" priority="3">
      <formula>OR(IF(CN52&lt;CO52,TRUE),IF(AND(CO52="",CN52&lt;&gt;""),TRUE))</formula>
    </cfRule>
    <cfRule type="expression" dxfId="16" priority="4">
      <formula>IF(CN52&gt;=CO52,IF(CN52="",FALSE,TRUE))</formula>
    </cfRule>
  </conditionalFormatting>
  <conditionalFormatting sqref="CG52:CG65 CI52:CI65">
    <cfRule type="expression" dxfId="15" priority="1">
      <formula>OR(IF(CG52&lt;CH52,TRUE),IF(AND(CH52="",CG52&lt;&gt;""),TRUE))</formula>
    </cfRule>
    <cfRule type="expression" dxfId="14" priority="2">
      <formula>IF(CG52&gt;=CH52,IF(CG52="",FALSE,TRUE))</formula>
    </cfRule>
  </conditionalFormatting>
  <conditionalFormatting sqref="BN44 EF66">
    <cfRule type="expression" dxfId="13" priority="1521">
      <formula>OR(IF(BN44&lt;#REF!,TRUE),IF(AND(#REF!="",BN44&lt;&gt;""),TRUE))</formula>
    </cfRule>
    <cfRule type="expression" dxfId="12" priority="1522">
      <formula>IF(BN44&gt;=#REF!,IF(BN44="",FALSE,TRUE))</formula>
    </cfRule>
  </conditionalFormatting>
  <dataValidations count="1">
    <dataValidation type="list" allowBlank="1" showInputMessage="1" showErrorMessage="1" sqref="AX44:BA49 BE44:BH49 AQ30:AT42 AJ30:AM42 AC44:AF49 V44:Y49 CG52:CJ71 CN44:CQ49 BZ44:CC49 BS44:BV49 DP52:DS71 DI44:DL49 EK52:EN71 O44:R49 BE5:BH14 BM17:BM24 BN17:BN27 DP44:DS49 DB44:DE49 CN52:CQ71 CU44:CX49 DI52:DL71 CU52:CX71 ER52:EU71 BE52:BH71 BZ52:CC71 BS52:BV71 O52:R71 V52:Y71 AC52:AF71 AJ52:AM71 AQ44:AT49 AX52:BA71 CG44:CJ49 O30:R42 DP30:DS42 DI30:DL42 DB30:DE42 CU30:CX42 CN30:CQ42 CG30:CJ42 BL17:BL27 BS30:BV42 BZ30:CC42 V30:Y42 AC30:AF42 AK17:AM27 AX30:BA42 BL52:BO71 O5:R14 V5:Y14 AC5:AF14 AJ5:AM14 CG17:CJ27 AX5:BA14 BL5:BO14 BZ5:CC14 BS5:BV14 BE17:BH27 CG5:CJ14 CN5:CQ14 CU5:CX14 DB5:DE14 DI5:DL14 DP5:DS14 BL30:BO42 DB52:DE71 DP17:DS27 DI17:DL27 DB17:DE27 CU17:CX27 CN17:CQ27 BS17:BV27 BZ17:CC27 V17:Y27 AC17:AF27 AQ5:AT14 AQ52:AT71 AX17:BA27 BO17:BO24 O17:R27 DW44:DZ49 DW52:DZ71 DW30:DZ42 DW5:DZ14 DW17:DZ27 ED44:EG49 FF44:FI49 ED30:EG42 ED5:EG14 ED17:EG27 EK44:EN49 ER44:EU49 EK30:EN42 EK5:EN14 EK17:EN27 EY52:FB71 EY44:FB49 ER30:EU42 ER5:EU14 ER17:EU27 AJ44:AM49 AQ17:AT27 EY30:FB42 EY5:FB14 EY17:FB27 FF52:FI71 FM17:FP27 FF30:FI42 FF5:FI14 FF17:FI27 FM44:FP49 FM52:FP71 FM30:FP42 FM5:FP14 AJ20:AJ27 AJ17:AJ18 BE30:BG42 BH30:BH34 BH40:BH42 BO44 BL46:BO49 BL44:BN45 EG66 ED52:EG65 ED68:EG71 ED66:EF67" xr:uid="{DF46768B-76BD-4AD1-BDD9-05E5E50A35C8}">
      <formula1>"10%,20%,30%,40%,50%,60%,70%,80%,90%,100%"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41</v>
      </c>
      <c r="B1" s="15" t="s">
        <v>38</v>
      </c>
      <c r="C1" s="15" t="s">
        <v>39</v>
      </c>
      <c r="D1" s="15" t="s">
        <v>40</v>
      </c>
      <c r="E1" s="1" t="s">
        <v>42</v>
      </c>
      <c r="F1" s="1" t="s">
        <v>43</v>
      </c>
      <c r="G1" s="1" t="s">
        <v>44</v>
      </c>
      <c r="H1" s="1" t="s">
        <v>45</v>
      </c>
      <c r="I1" s="1" t="s">
        <v>46</v>
      </c>
      <c r="J1" s="1" t="s">
        <v>47</v>
      </c>
      <c r="K1" s="1" t="s">
        <v>48</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 1</vt: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2022-10-08T06:16:55Z</dcterms:modified>
</cp:coreProperties>
</file>