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arion_osd/Academic/EC/"/>
    </mc:Choice>
  </mc:AlternateContent>
  <xr:revisionPtr revIDLastSave="0" documentId="13_ncr:1_{A85A6B45-3FAF-2842-927D-74510571623D}" xr6:coauthVersionLast="47" xr6:coauthVersionMax="47" xr10:uidLastSave="{00000000-0000-0000-0000-000000000000}"/>
  <bookViews>
    <workbookView xWindow="0" yWindow="0" windowWidth="28800" windowHeight="180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4" i="7" l="1"/>
  <c r="J10" i="7" a="1"/>
  <c r="J10" i="7" s="1"/>
  <c r="J8" i="7" a="1"/>
  <c r="J8" i="7" s="1"/>
  <c r="K6" i="7" a="1"/>
  <c r="K6" i="7" s="1"/>
  <c r="DA26" i="7"/>
  <c r="DA19" i="7"/>
  <c r="CT19" i="7"/>
  <c r="CM19" i="7"/>
  <c r="CF19" i="7"/>
  <c r="BY19" i="7"/>
  <c r="BR19" i="7"/>
  <c r="BK19" i="7"/>
  <c r="BD19" i="7"/>
  <c r="AW19" i="7"/>
  <c r="AP4" i="7"/>
  <c r="AP19" i="7"/>
  <c r="AP26" i="7"/>
  <c r="AP36" i="7"/>
  <c r="CT4" i="7"/>
  <c r="DA4" i="7"/>
  <c r="C12" i="10"/>
  <c r="C11" i="10"/>
  <c r="C7" i="10"/>
  <c r="K15" i="7" a="1"/>
  <c r="K15" i="7" s="1"/>
  <c r="J15" i="7" a="1"/>
  <c r="J15" i="7" s="1"/>
  <c r="I15" i="7"/>
  <c r="I16" i="7"/>
  <c r="J16" i="7" a="1"/>
  <c r="J16" i="7" s="1"/>
  <c r="K16" i="7" a="1"/>
  <c r="K16" i="7" s="1"/>
  <c r="I17" i="7"/>
  <c r="J17" i="7" a="1"/>
  <c r="J17" i="7" s="1"/>
  <c r="K17" i="7" a="1"/>
  <c r="K17" i="7" s="1"/>
  <c r="K14" i="7" a="1"/>
  <c r="K14" i="7" s="1"/>
  <c r="J14" i="7" a="1"/>
  <c r="J14" i="7" s="1"/>
  <c r="I14" i="7"/>
  <c r="K13" i="7" a="1"/>
  <c r="K13" i="7" s="1"/>
  <c r="J13" i="7" a="1"/>
  <c r="J13" i="7" s="1"/>
  <c r="I13" i="7"/>
  <c r="K12" i="7" a="1"/>
  <c r="K12" i="7" s="1"/>
  <c r="J12" i="7" a="1"/>
  <c r="J12" i="7" s="1"/>
  <c r="I12" i="7"/>
  <c r="K11" i="7" a="1"/>
  <c r="K11" i="7" s="1"/>
  <c r="J11" i="7" a="1"/>
  <c r="J11" i="7" s="1"/>
  <c r="I11" i="7"/>
  <c r="K10" i="7" a="1"/>
  <c r="K10" i="7" s="1"/>
  <c r="I10" i="7"/>
  <c r="K9" i="7" a="1"/>
  <c r="K9" i="7" s="1"/>
  <c r="J9" i="7" a="1"/>
  <c r="J9" i="7" s="1"/>
  <c r="I9" i="7"/>
  <c r="K8" i="7" a="1"/>
  <c r="K8" i="7" s="1"/>
  <c r="I8" i="7"/>
  <c r="K7" i="7" a="1"/>
  <c r="K7" i="7" s="1"/>
  <c r="J7" i="7" a="1"/>
  <c r="J7" i="7" s="1"/>
  <c r="I7" i="7"/>
  <c r="J6" i="7" a="1"/>
  <c r="J6" i="7" s="1"/>
  <c r="I6" i="7"/>
  <c r="G4" i="7"/>
  <c r="K43" i="7" a="1"/>
  <c r="K43" i="7" s="1"/>
  <c r="J43" i="7" a="1"/>
  <c r="J43" i="7" s="1"/>
  <c r="I43" i="7"/>
  <c r="K42" i="7" a="1"/>
  <c r="K42" i="7" s="1"/>
  <c r="J42" i="7" a="1"/>
  <c r="J42" i="7" s="1"/>
  <c r="I42" i="7"/>
  <c r="G36" i="7"/>
  <c r="DO4" i="7"/>
  <c r="DH4" i="7"/>
  <c r="CM4" i="7"/>
  <c r="CF4" i="7"/>
  <c r="BY4" i="7"/>
  <c r="BR4" i="7"/>
  <c r="K22" i="7" a="1"/>
  <c r="K22" i="7" s="1"/>
  <c r="J22" i="7" a="1"/>
  <c r="J22" i="7" s="1"/>
  <c r="I22" i="7"/>
  <c r="K21" i="7" a="1"/>
  <c r="K21" i="7" s="1"/>
  <c r="J21" i="7" a="1"/>
  <c r="J21" i="7" s="1"/>
  <c r="I21" i="7"/>
  <c r="K44" i="7" a="1"/>
  <c r="K44" i="7" s="1"/>
  <c r="J44" i="7" a="1"/>
  <c r="J44" i="7" s="1"/>
  <c r="I44"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AI36" i="7"/>
  <c r="AB36" i="7"/>
  <c r="U36" i="7"/>
  <c r="N36" i="7"/>
  <c r="BK4" i="7"/>
  <c r="K24" i="7" a="1"/>
  <c r="K24" i="7" s="1"/>
  <c r="J24" i="7" a="1"/>
  <c r="J24" i="7" s="1"/>
  <c r="K23" i="7" a="1"/>
  <c r="K23" i="7" s="1"/>
  <c r="J23" i="7" a="1"/>
  <c r="J23" i="7" s="1"/>
  <c r="K20" i="7" a="1"/>
  <c r="K20" i="7" s="1"/>
  <c r="J20" i="7" a="1"/>
  <c r="J20"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5" i="7" a="1"/>
  <c r="K5" i="7" s="1"/>
  <c r="J5" i="7" a="1"/>
  <c r="J5" i="7" s="1"/>
  <c r="AI19" i="7"/>
  <c r="AB19" i="7"/>
  <c r="U19" i="7"/>
  <c r="BD4" i="7"/>
  <c r="AW4" i="7"/>
  <c r="AI4" i="7"/>
  <c r="AB4" i="7"/>
  <c r="U4" i="7"/>
  <c r="N19" i="7"/>
  <c r="AI26" i="7"/>
  <c r="AB26" i="7"/>
  <c r="U26" i="7"/>
  <c r="I34" i="7"/>
  <c r="I33" i="7"/>
  <c r="I32" i="7"/>
  <c r="I31" i="7"/>
  <c r="I30" i="7"/>
  <c r="I29" i="7"/>
  <c r="I28" i="7"/>
  <c r="I27" i="7"/>
  <c r="I24" i="7"/>
  <c r="I23" i="7"/>
  <c r="I20" i="7"/>
  <c r="I5" i="7"/>
  <c r="N26" i="7"/>
  <c r="G26" i="7"/>
  <c r="G19" i="7"/>
  <c r="J4" i="7" l="1"/>
  <c r="J36" i="7"/>
  <c r="I36" i="7"/>
  <c r="K36" i="7"/>
  <c r="I26" i="7"/>
  <c r="J26" i="7"/>
  <c r="K26" i="7"/>
  <c r="I19" i="7"/>
  <c r="J19" i="7"/>
  <c r="K19" i="7"/>
  <c r="K4"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<sst xmlns="http://schemas.openxmlformats.org/spreadsheetml/2006/main" count="331" uniqueCount="154">
  <si>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</si>
  <si>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</si>
  <si>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</si>
  <si>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</si>
  <si>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</si>
  <si>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</si>
  <si>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</si>
  <si>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</si>
  <si>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</si>
  <si>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</si>
  <si>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</si>
  <si>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</si>
  <si>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</si>
  <si>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</si>
  <si>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</si>
  <si>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</si>
  <si>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</si>
  <si>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</si>
  <si>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</si>
  <si>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</si>
  <si>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</si>
  <si>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</si>
  <si>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</si>
  <si>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</si>
  <si>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</si>
  <si>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</si>
  <si>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</si>
  <si>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</si>
  <si>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</si>
  <si>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</si>
  <si>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</si>
  <si>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</si>
  <si>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</si>
  <si>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</si>
  <si>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</si>
  <si>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</si>
  <si>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</si>
  <si>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</si>
  <si>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</si>
  <si>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</si>
  <si>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</si>
  <si>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</si>
  <si>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</si>
  <si>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</si>
  <si>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</si>
  <si>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</si>
  <si>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</si>
  <si>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</si>
  <si>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</si>
  <si>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</si>
  <si>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</si>
  <si>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</si>
  <si>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</si>
  <si>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</si>
  <si>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</si>
  <si>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</si>
  <si>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</si>
  <si>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</si>
  <si>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</si>
  <si>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</si>
  <si>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</si>
  <si>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</si>
  <si>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</si>
  <si>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</si>
  <si>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</si>
  <si>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</si>
  <si>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</si>
  <si>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</si>
  <si>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</si>
  <si>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</si>
  <si>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</si>
  <si>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</si>
  <si>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</si>
  <si>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</si>
  <si>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</si>
  <si>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</si>
  <si>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</si>
  <si>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</si>
  <si>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</si>
  <si>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</si>
  <si>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</si>
  <si>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</si>
  <si>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</si>
  <si>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</si>
  <si>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</si>
  <si>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</si>
  <si>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</si>
  <si>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KW17</t>
  </si>
  <si>
    <t>KW18</t>
  </si>
  <si>
    <t>KW19</t>
  </si>
  <si>
    <t>KW20</t>
  </si>
  <si>
    <t>KW21</t>
  </si>
  <si>
    <t>KW22</t>
  </si>
  <si>
    <t>KW23</t>
  </si>
  <si>
    <t>KW24</t>
  </si>
  <si>
    <t>KW25</t>
  </si>
  <si>
    <t>KW26</t>
  </si>
  <si>
    <t>KW27</t>
  </si>
  <si>
    <t>KW28</t>
  </si>
  <si>
    <r>
      <t xml:space="preserve">Samstag, 20.07.
 </t>
    </r>
    <r>
      <rPr>
        <b/>
        <i/>
        <sz val="12"/>
        <color theme="1"/>
        <rFont val="Calibri"/>
        <family val="2"/>
        <scheme val="minor"/>
      </rPr>
      <t>(Info2)</t>
    </r>
  </si>
  <si>
    <t>KW29 / INFORMATIK KLAUSUR!!!</t>
  </si>
  <si>
    <t>KW30 / DAMA KLAUSUR!!!</t>
  </si>
  <si>
    <t>KW31 / BWL2 KLAUSUR!!!</t>
  </si>
  <si>
    <t>KW32 / OR KLAUSUR!!!</t>
  </si>
  <si>
    <r>
      <t xml:space="preserve">Freitag, 02.08.
 </t>
    </r>
    <r>
      <rPr>
        <b/>
        <i/>
        <sz val="12"/>
        <color theme="1"/>
        <rFont val="Calibri"/>
        <family val="2"/>
        <scheme val="minor"/>
      </rPr>
      <t>(BWL2)</t>
    </r>
  </si>
  <si>
    <r>
      <t xml:space="preserve">Freitag, 26.07.
 </t>
    </r>
    <r>
      <rPr>
        <b/>
        <i/>
        <sz val="12"/>
        <color theme="1"/>
        <rFont val="Calibri"/>
        <family val="2"/>
        <scheme val="minor"/>
      </rPr>
      <t>(DaMa)</t>
    </r>
  </si>
  <si>
    <r>
      <t xml:space="preserve">Dienstag, 06.08.
 </t>
    </r>
    <r>
      <rPr>
        <b/>
        <i/>
        <sz val="12"/>
        <color theme="1"/>
        <rFont val="Calibri"/>
        <family val="2"/>
        <scheme val="minor"/>
      </rPr>
      <t>(OR)</t>
    </r>
  </si>
  <si>
    <t>Informatik 2</t>
  </si>
  <si>
    <t>OR</t>
  </si>
  <si>
    <t>BWL2</t>
  </si>
  <si>
    <t>DaMa</t>
  </si>
  <si>
    <t>1) Lineare Strukturen</t>
  </si>
  <si>
    <t>2) Asymptotische Analyse</t>
  </si>
  <si>
    <t>3) Suchverfahren</t>
  </si>
  <si>
    <t>4) Sortierverfahren</t>
  </si>
  <si>
    <r>
      <t>5) Das „</t>
    </r>
    <r>
      <rPr>
        <i/>
        <sz val="12"/>
        <color theme="1"/>
        <rFont val="Calibri"/>
        <family val="2"/>
        <scheme val="minor"/>
      </rPr>
      <t>divide-and-conquer</t>
    </r>
    <r>
      <rPr>
        <sz val="12"/>
        <color theme="1"/>
        <rFont val="Calibri"/>
        <family val="2"/>
        <scheme val="minor"/>
      </rPr>
      <t>"-Paradigma</t>
    </r>
  </si>
  <si>
    <t>6) Baumstrukturen</t>
  </si>
  <si>
    <t>7) Vorrangswarteschlangen</t>
  </si>
  <si>
    <t>8) Graphen und Graphalgorithmen</t>
  </si>
  <si>
    <t xml:space="preserve">1) Notation, Komplexität </t>
  </si>
  <si>
    <t>TM, P/NP-Probleme</t>
  </si>
  <si>
    <t>2) Scheduling</t>
  </si>
  <si>
    <t>4) Graphen I</t>
  </si>
  <si>
    <t>5) Graphen II</t>
  </si>
  <si>
    <t>6) Lineare Optimierung I</t>
  </si>
  <si>
    <t>7) Lineare Optimierung II</t>
  </si>
  <si>
    <t>8) Nicht-Lineare Optimierung I</t>
  </si>
  <si>
    <t>Lagrange</t>
  </si>
  <si>
    <t>Simplex-Algorithmus</t>
  </si>
  <si>
    <t>9) Nicht-Lineare Optimierung II</t>
  </si>
  <si>
    <t>1) Intro</t>
  </si>
  <si>
    <t>Einordnung in WI</t>
  </si>
  <si>
    <t>2) ERM</t>
  </si>
  <si>
    <t>3) Relational Model</t>
  </si>
  <si>
    <t>5) SQL</t>
  </si>
  <si>
    <t>Notation, Types, Graph</t>
  </si>
  <si>
    <r>
      <t>5) Bilanzierung von Eigen- und Fremdkapital (</t>
    </r>
    <r>
      <rPr>
        <i/>
        <sz val="12"/>
        <color theme="1"/>
        <rFont val="Calibri"/>
        <family val="2"/>
        <scheme val="minor"/>
      </rPr>
      <t>Passiva</t>
    </r>
    <r>
      <rPr>
        <sz val="12"/>
        <color theme="1"/>
        <rFont val="Calibri"/>
        <family val="2"/>
        <scheme val="minor"/>
      </rPr>
      <t>)</t>
    </r>
  </si>
  <si>
    <t>6) Analyse von Jahresabschlüssen</t>
  </si>
  <si>
    <t>1) Rechengrößen, Unternehmensziele,  Abbildung der Geschäftstätigkeit im Rechnungswesen</t>
  </si>
  <si>
    <t>2) Buchführung</t>
  </si>
  <si>
    <t>3) Zwecke/Normen/Bestandteile von Abschlüssen</t>
  </si>
  <si>
    <r>
      <t>4) Bilanzierung von Anlagen- und Umlaufvermögen (</t>
    </r>
    <r>
      <rPr>
        <i/>
        <sz val="12"/>
        <color theme="1"/>
        <rFont val="Calibri"/>
        <family val="2"/>
        <scheme val="minor"/>
      </rPr>
      <t>Aktiva</t>
    </r>
    <r>
      <rPr>
        <sz val="12"/>
        <color theme="1"/>
        <rFont val="Calibri"/>
        <family val="2"/>
        <scheme val="minor"/>
      </rPr>
      <t>)</t>
    </r>
  </si>
  <si>
    <t>7) Zwecke und Ausgestaltung der Kostenrechnung</t>
  </si>
  <si>
    <t>8) Betriebsergebnisrechnung</t>
  </si>
  <si>
    <t>9) Kalkulation von Produkten &amp; Dienstleistungen</t>
  </si>
  <si>
    <t>10) Verrechnung interner Dienstleistungen</t>
  </si>
  <si>
    <t>13) Kostenmanagement</t>
  </si>
  <si>
    <t>11) Entscheidungsfundierung mit Kosteninformationen</t>
  </si>
  <si>
    <t>12) Wirtschaftlichkeitskontrolle auf Kostenstellen</t>
  </si>
  <si>
    <t xml:space="preserve"> </t>
  </si>
  <si>
    <t>4) Normalization, Design Specification</t>
  </si>
  <si>
    <t xml:space="preserve">Keynotes &amp; </t>
  </si>
  <si>
    <t>Management VLs</t>
  </si>
  <si>
    <t>nachholen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</si>
</sst>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0000"/>
        <bgColor rgb="FF000000"/>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7" borderId="0" xfId="0" applyFont="1" applyFill="1" applyAlignment="1">
      <alignment wrapText="1"/>
    </xf>
    <xf numFmtId="0" fontId="6" fillId="0" borderId="0" xfId="0" applyFont="1" applyAlignment="1">
      <alignment horizontal="center"/>
    </xf>
    <xf numFmtId="0" fontId="6" fillId="0" borderId="0" xfId="0" applyFont="1"/>
    <xf numFmtId="0" fontId="6" fillId="0" borderId="0" xfId="0" applyFont="1" applyAlignment="1">
      <alignment horizontal="left"/>
    </xf>
    <xf numFmtId="9" fontId="8" fillId="0" borderId="0" xfId="0" applyNumberFormat="1" applyFont="1"/>
    <xf numFmtId="9" fontId="8" fillId="8" borderId="0" xfId="0" applyNumberFormat="1" applyFont="1" applyFill="1"/>
    <xf numFmtId="0" fontId="1" fillId="2" borderId="0" xfId="0" applyFont="1" applyFill="1" applyAlignment="1">
      <alignment horizontal="center"/>
    </xf>
  </cellXfs>
  <cellStyles count="1">
    <cellStyle name="Standard" xfId="0" builtinId="0"/>
  </cellStyles>
  <dxfs count="19">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106" totalsRowShown="0" headerRowDxfId="18">
  <autoFilter ref="A1:K106" xr:uid="{6E266E34-2786-2747-BCE7-51B74867A564}"/>
  <tableColumns count="11">
    <tableColumn id="1" xr3:uid="{95FD92F7-3DC8-704D-A103-A7EDDAB255AB}" name="Datum" dataDxfId="17"/>
    <tableColumn id="2" xr3:uid="{F464D510-8166-E740-A343-FB84BDEF877F}" name="Lerneinheiten durchgezogen" dataDxfId="16"/>
    <tableColumn id="3" xr3:uid="{75F52B08-1A00-0848-BBE6-1EDF7B31B1AD}" name="Tagesplan erstellt" dataDxfId="15"/>
    <tableColumn id="4" xr3:uid="{E6B18D89-E799-AD48-9DAA-37AEE1D29011}" name="Konzentrationslevel" dataDxfId="1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4" sqref="C14"/>
    </sheetView>
  </sheetViews>
  <sheetFormatPr baseColWidth="10" defaultRowHeight="16" x14ac:dyDescent="0.2"/>
  <cols>
    <col min="1" max="1" width="11.83203125" customWidth="1"/>
    <col min="2" max="2" width="62.6640625" customWidth="1"/>
  </cols>
  <sheetData>
    <row r="2" spans="1:4" x14ac:dyDescent="0.2">
      <c r="C2" s="18" t="s">
        <v>71</v>
      </c>
    </row>
    <row r="3" spans="1:4" x14ac:dyDescent="0.2">
      <c r="C3" s="17" t="s">
        <v>56</v>
      </c>
    </row>
    <row r="4" spans="1:4" x14ac:dyDescent="0.2">
      <c r="C4" s="16" t="s">
        <v>70</v>
      </c>
    </row>
    <row r="5" spans="1:4" x14ac:dyDescent="0.2">
      <c r="A5" s="2" t="s">
        <v>53</v>
      </c>
      <c r="B5" s="2" t="s">
        <v>54</v>
      </c>
      <c r="C5" s="2" t="s">
        <v>55</v>
      </c>
      <c r="D5" s="2" t="s">
        <v>57</v>
      </c>
    </row>
    <row r="6" spans="1:4" x14ac:dyDescent="0.2">
      <c r="A6" t="s">
        <v>49</v>
      </c>
      <c r="B6" s="18" t="s">
        <v>52</v>
      </c>
      <c r="D6" t="s">
        <v>86</v>
      </c>
    </row>
    <row r="7" spans="1:4" x14ac:dyDescent="0.2">
      <c r="A7" t="s">
        <v>60</v>
      </c>
      <c r="B7" t="s">
        <v>61</v>
      </c>
      <c r="C7" s="16">
        <f>13+22</f>
        <v>35</v>
      </c>
    </row>
    <row r="8" spans="1:4" x14ac:dyDescent="0.2">
      <c r="A8" t="s">
        <v>51</v>
      </c>
      <c r="B8" s="18" t="s">
        <v>50</v>
      </c>
      <c r="D8" t="s">
        <v>74</v>
      </c>
    </row>
    <row r="9" spans="1:4" x14ac:dyDescent="0.2">
      <c r="A9" t="s">
        <v>59</v>
      </c>
      <c r="B9" s="18" t="s">
        <v>72</v>
      </c>
      <c r="D9" t="s">
        <v>75</v>
      </c>
    </row>
    <row r="10" spans="1:4" x14ac:dyDescent="0.2">
      <c r="A10" t="s">
        <v>63</v>
      </c>
      <c r="B10" t="s">
        <v>62</v>
      </c>
      <c r="C10" s="16">
        <v>10.5</v>
      </c>
      <c r="D10" t="s">
        <v>58</v>
      </c>
    </row>
    <row r="11" spans="1:4" x14ac:dyDescent="0.2">
      <c r="A11" t="s">
        <v>64</v>
      </c>
      <c r="B11" t="s">
        <v>66</v>
      </c>
      <c r="C11" s="16">
        <f>35*3</f>
        <v>105</v>
      </c>
      <c r="D11" t="s">
        <v>65</v>
      </c>
    </row>
    <row r="12" spans="1:4" x14ac:dyDescent="0.2">
      <c r="A12" t="s">
        <v>68</v>
      </c>
      <c r="B12" t="s">
        <v>67</v>
      </c>
      <c r="C12" s="17">
        <f>C11/C10</f>
        <v>10</v>
      </c>
    </row>
    <row r="13" spans="1:4" x14ac:dyDescent="0.2">
      <c r="A13" t="s">
        <v>73</v>
      </c>
      <c r="B13" t="s">
        <v>69</v>
      </c>
      <c r="D13" t="s">
        <v>76</v>
      </c>
    </row>
    <row r="14" spans="1:4" x14ac:dyDescent="0.2">
      <c r="A14" t="s">
        <v>77</v>
      </c>
      <c r="B14" t="s">
        <v>78</v>
      </c>
      <c r="D14" t="s">
        <v>79</v>
      </c>
    </row>
    <row r="15" spans="1:4" x14ac:dyDescent="0.2">
      <c r="A15" t="s">
        <v>80</v>
      </c>
      <c r="B15" s="18" t="s">
        <v>81</v>
      </c>
    </row>
    <row r="16" spans="1:4" x14ac:dyDescent="0.2">
      <c r="A16" t="s">
        <v>84</v>
      </c>
      <c r="B16" s="18" t="s">
        <v>82</v>
      </c>
    </row>
    <row r="17" spans="1:2" x14ac:dyDescent="0.2">
      <c r="A17" t="s">
        <v>85</v>
      </c>
      <c r="B17" t="s">
        <v>83</v>
      </c>
    </row>
  </sheetData>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44"/>
  <sheetViews>
    <sheetView showGridLines="0" tabSelected="1" topLeftCell="A3" zoomScale="89" zoomScaleNormal="95" workbookViewId="0">
      <pane xSplit="12" topLeftCell="M1" activePane="topRight" state="frozen"/>
      <selection pane="topRight" activeCell="J10" sqref="J10"/>
    </sheetView>
  </sheetViews>
  <sheetFormatPr baseColWidth="10" defaultColWidth="8.83203125" defaultRowHeight="16" outlineLevelRow="1" x14ac:dyDescent="0.2"/>
  <cols>
    <col min="3" max="3" width="11.5"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20.83203125" style="9"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s>
  <sheetData>
    <row r="1" spans="2:124" ht="55" x14ac:dyDescent="0.4">
      <c r="B1" s="4" t="s">
        <v>0</v>
      </c>
      <c r="D1" s="4"/>
      <c r="G1" s="13" t="s">
        <v>33</v>
      </c>
      <c r="I1" s="13" t="s">
        <v>33</v>
      </c>
      <c r="J1" s="13" t="s">
        <v>33</v>
      </c>
      <c r="K1" s="13" t="s">
        <v>33</v>
      </c>
      <c r="CY1" s="20" t="s">
        <v>99</v>
      </c>
      <c r="DF1" s="20" t="s">
        <v>105</v>
      </c>
      <c r="DM1" s="20" t="s">
        <v>104</v>
      </c>
      <c r="DT1" s="20" t="s">
        <v>106</v>
      </c>
    </row>
    <row r="2" spans="2:124" x14ac:dyDescent="0.2">
      <c r="I2" s="26" t="s">
        <v>27</v>
      </c>
      <c r="J2" s="26"/>
      <c r="K2" s="26"/>
      <c r="L2" s="26"/>
      <c r="N2" s="26" t="s">
        <v>87</v>
      </c>
      <c r="O2" s="26"/>
      <c r="P2" s="26"/>
      <c r="Q2" s="26"/>
      <c r="R2" s="26"/>
      <c r="S2" s="26"/>
      <c r="U2" s="26" t="s">
        <v>88</v>
      </c>
      <c r="V2" s="26"/>
      <c r="W2" s="26"/>
      <c r="X2" s="26"/>
      <c r="Y2" s="26"/>
      <c r="Z2" s="26"/>
      <c r="AB2" s="26" t="s">
        <v>89</v>
      </c>
      <c r="AC2" s="26"/>
      <c r="AD2" s="26"/>
      <c r="AE2" s="26"/>
      <c r="AF2" s="26"/>
      <c r="AG2" s="26"/>
      <c r="AI2" s="26" t="s">
        <v>90</v>
      </c>
      <c r="AJ2" s="26"/>
      <c r="AK2" s="26"/>
      <c r="AL2" s="26"/>
      <c r="AM2" s="26"/>
      <c r="AN2" s="26"/>
      <c r="AP2" s="26" t="s">
        <v>91</v>
      </c>
      <c r="AQ2" s="26"/>
      <c r="AR2" s="26"/>
      <c r="AS2" s="26"/>
      <c r="AT2" s="26"/>
      <c r="AU2" s="26"/>
      <c r="AW2" s="26" t="s">
        <v>92</v>
      </c>
      <c r="AX2" s="26"/>
      <c r="AY2" s="26"/>
      <c r="AZ2" s="26"/>
      <c r="BA2" s="26"/>
      <c r="BB2" s="26"/>
      <c r="BD2" s="26" t="s">
        <v>93</v>
      </c>
      <c r="BE2" s="26"/>
      <c r="BF2" s="26"/>
      <c r="BG2" s="26"/>
      <c r="BH2" s="26"/>
      <c r="BI2" s="26"/>
      <c r="BK2" s="26" t="s">
        <v>94</v>
      </c>
      <c r="BL2" s="26"/>
      <c r="BM2" s="26"/>
      <c r="BN2" s="26"/>
      <c r="BO2" s="26"/>
      <c r="BP2" s="26"/>
      <c r="BR2" s="26" t="s">
        <v>95</v>
      </c>
      <c r="BS2" s="26"/>
      <c r="BT2" s="26"/>
      <c r="BU2" s="26"/>
      <c r="BV2" s="26"/>
      <c r="BW2" s="26"/>
      <c r="BY2" s="26" t="s">
        <v>96</v>
      </c>
      <c r="BZ2" s="26"/>
      <c r="CA2" s="26"/>
      <c r="CB2" s="26"/>
      <c r="CC2" s="26"/>
      <c r="CD2" s="26"/>
      <c r="CF2" s="26" t="s">
        <v>97</v>
      </c>
      <c r="CG2" s="26"/>
      <c r="CH2" s="26"/>
      <c r="CI2" s="26"/>
      <c r="CJ2" s="26"/>
      <c r="CK2" s="26"/>
      <c r="CM2" s="26" t="s">
        <v>98</v>
      </c>
      <c r="CN2" s="26"/>
      <c r="CO2" s="26"/>
      <c r="CP2" s="26"/>
      <c r="CQ2" s="26"/>
      <c r="CR2" s="26"/>
      <c r="CT2" s="26" t="s">
        <v>100</v>
      </c>
      <c r="CU2" s="26"/>
      <c r="CV2" s="26"/>
      <c r="CW2" s="26"/>
      <c r="CX2" s="26"/>
      <c r="CY2" s="26"/>
      <c r="DA2" s="26" t="s">
        <v>101</v>
      </c>
      <c r="DB2" s="26"/>
      <c r="DC2" s="26"/>
      <c r="DD2" s="26"/>
      <c r="DE2" s="26"/>
      <c r="DF2" s="26"/>
      <c r="DH2" s="26" t="s">
        <v>102</v>
      </c>
      <c r="DI2" s="26"/>
      <c r="DJ2" s="26"/>
      <c r="DK2" s="26"/>
      <c r="DL2" s="26"/>
      <c r="DM2" s="26"/>
      <c r="DO2" s="26" t="s">
        <v>103</v>
      </c>
      <c r="DP2" s="26"/>
      <c r="DQ2" s="26"/>
      <c r="DR2" s="26"/>
      <c r="DS2" s="26"/>
      <c r="DT2" s="26"/>
    </row>
    <row r="3" spans="2:124"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row>
    <row r="4" spans="2:124" x14ac:dyDescent="0.2">
      <c r="B4" t="s">
        <v>27</v>
      </c>
      <c r="C4" t="s">
        <v>109</v>
      </c>
      <c r="D4" s="19">
        <v>45506</v>
      </c>
      <c r="E4" s="9">
        <v>6</v>
      </c>
      <c r="G4" s="10">
        <f>+SUM(G5:G17)</f>
        <v>1</v>
      </c>
      <c r="I4" s="12">
        <f>+SUM(I5:I17)</f>
        <v>5</v>
      </c>
      <c r="J4" s="11">
        <f>+SUMPRODUCT(G5:G17,J5:J17)</f>
        <v>0.03</v>
      </c>
      <c r="K4" s="11">
        <f>+SUMPRODUCT(G5:G17,K5:K17)</f>
        <v>0.03</v>
      </c>
      <c r="N4" s="12">
        <f>+SUM(N5:N17)</f>
        <v>5</v>
      </c>
      <c r="U4" s="12">
        <f>+SUM(U5:U17)</f>
        <v>0</v>
      </c>
      <c r="AB4" s="12">
        <f>+SUM(AB5:AB17)</f>
        <v>0</v>
      </c>
      <c r="AI4" s="12">
        <f>+SUM(AI5:AI17)</f>
        <v>0</v>
      </c>
      <c r="AP4" s="12">
        <f>+SUM(AP5:AP17)</f>
        <v>0</v>
      </c>
      <c r="AW4" s="12">
        <f>+SUM(AW5:AW17)</f>
        <v>0</v>
      </c>
      <c r="BD4" s="12">
        <f>+SUM(BD5:BD17)</f>
        <v>0</v>
      </c>
      <c r="BK4" s="12">
        <f>+SUM(BK5:BK17)</f>
        <v>0</v>
      </c>
      <c r="BR4" s="12">
        <f>+SUM(BR5:BR17)</f>
        <v>0</v>
      </c>
      <c r="BY4" s="12">
        <f>+SUM(BY5:BY17)</f>
        <v>0</v>
      </c>
      <c r="CF4" s="12">
        <f>+SUM(CF5:CF17)</f>
        <v>0</v>
      </c>
      <c r="CM4" s="12">
        <f>+SUM(CM5:CM17)</f>
        <v>0</v>
      </c>
      <c r="CT4" s="12">
        <f>+SUM(CT5:CT17)</f>
        <v>0</v>
      </c>
      <c r="DA4" s="12">
        <f>+SUM(DA5:DA17)</f>
        <v>0</v>
      </c>
      <c r="DH4" s="12">
        <f>+SUM(DH5:DH17)</f>
        <v>0</v>
      </c>
      <c r="DO4" s="12">
        <f>+SUM(DO5:DO17)</f>
        <v>0</v>
      </c>
    </row>
    <row r="5" spans="2:124" outlineLevel="1" x14ac:dyDescent="0.2">
      <c r="B5" t="s">
        <v>28</v>
      </c>
      <c r="C5" t="s">
        <v>109</v>
      </c>
      <c r="E5" s="9"/>
      <c r="F5" t="s">
        <v>138</v>
      </c>
      <c r="G5" s="10">
        <v>0.1</v>
      </c>
      <c r="I5" s="9">
        <f>+SUMIF($N$3:$ZZ$3,I$3,$N5:$ZZ5)</f>
        <v>0</v>
      </c>
      <c r="J5" s="11" cm="1">
        <f t="array" ref="J5">MAX(IF($N$3:$EH$3=$J$3,N5:EH5))</f>
        <v>0.3</v>
      </c>
      <c r="K5" s="11" cm="1">
        <f t="array" ref="K5">MAX(IF($N$3:$EH$3=$J$3,N5:EH5))</f>
        <v>0.3</v>
      </c>
      <c r="L5" s="21"/>
      <c r="O5" s="10">
        <v>0.3</v>
      </c>
      <c r="P5" s="10">
        <v>0.8</v>
      </c>
      <c r="Q5" s="10">
        <v>0.3</v>
      </c>
      <c r="R5" s="10">
        <v>0.8</v>
      </c>
      <c r="V5" s="10"/>
      <c r="W5" s="10">
        <v>1</v>
      </c>
      <c r="X5" s="10"/>
      <c r="Y5" s="10">
        <v>1</v>
      </c>
      <c r="AC5" s="10"/>
      <c r="AD5" s="10">
        <v>1</v>
      </c>
      <c r="AE5" s="10"/>
      <c r="AF5" s="10">
        <v>1</v>
      </c>
      <c r="AJ5" s="10"/>
      <c r="AK5" s="10">
        <v>1</v>
      </c>
      <c r="AL5" s="10"/>
      <c r="AM5" s="10">
        <v>1</v>
      </c>
      <c r="AQ5" s="10"/>
      <c r="AR5" s="10">
        <v>1</v>
      </c>
      <c r="AS5" s="10"/>
      <c r="AT5" s="10">
        <v>1</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c r="DK5" s="10"/>
      <c r="DL5" s="10"/>
      <c r="DP5" s="10"/>
      <c r="DQ5" s="10"/>
      <c r="DR5" s="10"/>
      <c r="DS5" s="10"/>
    </row>
    <row r="6" spans="2:124" outlineLevel="1" x14ac:dyDescent="0.2">
      <c r="B6" t="s">
        <v>28</v>
      </c>
      <c r="C6" t="s">
        <v>109</v>
      </c>
      <c r="E6" s="9"/>
      <c r="F6" t="s">
        <v>139</v>
      </c>
      <c r="G6" s="10">
        <v>0</v>
      </c>
      <c r="I6" s="9">
        <f t="shared" ref="I6:I17" si="0">+SUMIF($N$3:$ZZ$3,I$3,$N6:$ZZ6)</f>
        <v>5</v>
      </c>
      <c r="J6" s="11" cm="1">
        <f t="array" ref="J6">MAX(IF($N$3:$EH$3=$J$3,N6:EH6))</f>
        <v>0.3</v>
      </c>
      <c r="K6" s="11" cm="1">
        <f t="array" ref="K6">MAX(IF($N$3:$EH$3=$J$3,N6:EH6))</f>
        <v>0.3</v>
      </c>
      <c r="N6">
        <v>5</v>
      </c>
      <c r="O6" s="10">
        <v>0.3</v>
      </c>
      <c r="P6" s="10">
        <v>0.3</v>
      </c>
      <c r="Q6" s="10">
        <v>0.3</v>
      </c>
      <c r="R6" s="10">
        <v>0.3</v>
      </c>
      <c r="V6" s="10"/>
      <c r="W6" s="10">
        <v>0.5</v>
      </c>
      <c r="X6" s="10"/>
      <c r="Y6" s="10">
        <v>0.5</v>
      </c>
      <c r="AC6" s="10"/>
      <c r="AD6" s="10">
        <v>1</v>
      </c>
      <c r="AE6" s="10"/>
      <c r="AF6" s="10">
        <v>1</v>
      </c>
      <c r="AJ6" s="10"/>
      <c r="AK6" s="10">
        <v>1</v>
      </c>
      <c r="AL6" s="10"/>
      <c r="AM6" s="10">
        <v>1</v>
      </c>
      <c r="AQ6" s="10"/>
      <c r="AR6" s="10">
        <v>1</v>
      </c>
      <c r="AS6" s="10"/>
      <c r="AT6" s="10">
        <v>1</v>
      </c>
      <c r="AX6" s="10"/>
      <c r="AY6" s="10">
        <v>1</v>
      </c>
      <c r="AZ6" s="10"/>
      <c r="BA6" s="10">
        <v>1</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I6" s="10"/>
      <c r="DJ6" s="10"/>
      <c r="DK6" s="10"/>
      <c r="DL6" s="10"/>
      <c r="DP6" s="10"/>
      <c r="DQ6" s="10"/>
      <c r="DR6" s="10"/>
      <c r="DS6" s="10"/>
    </row>
    <row r="7" spans="2:124" outlineLevel="1" x14ac:dyDescent="0.2">
      <c r="B7" t="s">
        <v>28</v>
      </c>
      <c r="C7" t="s">
        <v>109</v>
      </c>
      <c r="E7" s="9"/>
      <c r="F7" t="s">
        <v>140</v>
      </c>
      <c r="G7" s="10">
        <v>0</v>
      </c>
      <c r="I7" s="9">
        <f t="shared" si="0"/>
        <v>0</v>
      </c>
      <c r="J7" s="11" cm="1">
        <f t="array" ref="J7">MAX(IF($N$3:$EH$3=$J$3,N7:EH7))</f>
        <v>0</v>
      </c>
      <c r="K7" s="11" cm="1">
        <f t="array" ref="K7">MAX(IF($N$3:$EH$3=$J$3,N7:EH7))</f>
        <v>0</v>
      </c>
      <c r="O7" s="10"/>
      <c r="P7" s="10"/>
      <c r="Q7" s="10"/>
      <c r="R7" s="10"/>
      <c r="V7" s="10"/>
      <c r="W7" s="10">
        <v>0.3</v>
      </c>
      <c r="X7" s="10"/>
      <c r="Y7" s="10">
        <v>0.3</v>
      </c>
      <c r="AC7" s="10"/>
      <c r="AD7" s="10">
        <v>1</v>
      </c>
      <c r="AE7" s="10"/>
      <c r="AF7" s="10">
        <v>1</v>
      </c>
      <c r="AJ7" s="10"/>
      <c r="AK7" s="10">
        <v>1</v>
      </c>
      <c r="AL7" s="10"/>
      <c r="AM7" s="10">
        <v>1</v>
      </c>
      <c r="AQ7" s="10"/>
      <c r="AR7" s="10">
        <v>1</v>
      </c>
      <c r="AS7" s="10"/>
      <c r="AT7" s="10">
        <v>1</v>
      </c>
      <c r="AX7" s="10"/>
      <c r="AY7" s="10">
        <v>1</v>
      </c>
      <c r="AZ7" s="10"/>
      <c r="BA7" s="10">
        <v>1</v>
      </c>
      <c r="BE7" s="10"/>
      <c r="BF7" s="10">
        <v>1</v>
      </c>
      <c r="BG7" s="10"/>
      <c r="BH7" s="10">
        <v>1</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v>1</v>
      </c>
      <c r="DD7" s="10"/>
      <c r="DE7" s="10">
        <v>1</v>
      </c>
      <c r="DI7" s="10"/>
      <c r="DJ7" s="10"/>
      <c r="DK7" s="10"/>
      <c r="DL7" s="10"/>
      <c r="DP7" s="10"/>
      <c r="DQ7" s="10"/>
      <c r="DR7" s="10"/>
      <c r="DS7" s="10"/>
    </row>
    <row r="8" spans="2:124" outlineLevel="1" x14ac:dyDescent="0.2">
      <c r="B8" t="s">
        <v>28</v>
      </c>
      <c r="C8" t="s">
        <v>109</v>
      </c>
      <c r="E8" s="9"/>
      <c r="F8" t="s">
        <v>141</v>
      </c>
      <c r="G8" s="10">
        <v>0.25</v>
      </c>
      <c r="I8" s="9">
        <f t="shared" si="0"/>
        <v>0</v>
      </c>
      <c r="J8" s="11" cm="1">
        <f t="array" ref="J8">MAX(IF($N$3:$EH$3=$J$3,N8:EH8))</f>
        <v>0</v>
      </c>
      <c r="K8" s="11" cm="1">
        <f t="array" ref="K8">MAX(IF($N$3:$EH$3=$J$3,N8:EH8))</f>
        <v>0</v>
      </c>
      <c r="L8" s="23"/>
      <c r="O8" s="10"/>
      <c r="P8" s="10"/>
      <c r="Q8" s="10"/>
      <c r="R8" s="10"/>
      <c r="V8" s="10"/>
      <c r="W8" s="10"/>
      <c r="X8" s="10"/>
      <c r="Y8" s="10"/>
      <c r="AC8" s="10"/>
      <c r="AD8" s="10">
        <v>0.3</v>
      </c>
      <c r="AE8" s="10"/>
      <c r="AF8" s="10">
        <v>0.5</v>
      </c>
      <c r="AJ8" s="10"/>
      <c r="AK8" s="10">
        <v>0.8</v>
      </c>
      <c r="AL8" s="10"/>
      <c r="AM8" s="10">
        <v>0.8</v>
      </c>
      <c r="AQ8" s="10"/>
      <c r="AR8" s="10">
        <v>1</v>
      </c>
      <c r="AS8" s="10"/>
      <c r="AT8" s="10">
        <v>1</v>
      </c>
      <c r="AX8" s="10"/>
      <c r="AY8" s="10">
        <v>1</v>
      </c>
      <c r="AZ8" s="10"/>
      <c r="BA8" s="10">
        <v>1</v>
      </c>
      <c r="BE8" s="10"/>
      <c r="BF8" s="10">
        <v>1</v>
      </c>
      <c r="BG8" s="10"/>
      <c r="BH8" s="10">
        <v>1</v>
      </c>
      <c r="BL8" s="10"/>
      <c r="BM8" s="10">
        <v>1</v>
      </c>
      <c r="BN8" s="10"/>
      <c r="BO8" s="10">
        <v>1</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v>1</v>
      </c>
      <c r="DD8" s="10"/>
      <c r="DE8" s="10">
        <v>1</v>
      </c>
      <c r="DI8" s="10"/>
      <c r="DJ8" s="10"/>
      <c r="DK8" s="10"/>
      <c r="DL8" s="10"/>
      <c r="DP8" s="10"/>
      <c r="DQ8" s="10"/>
      <c r="DR8" s="10"/>
      <c r="DS8" s="10"/>
    </row>
    <row r="9" spans="2:124" outlineLevel="1" x14ac:dyDescent="0.2">
      <c r="B9" t="s">
        <v>28</v>
      </c>
      <c r="C9" t="s">
        <v>109</v>
      </c>
      <c r="E9" s="9"/>
      <c r="F9" t="s">
        <v>136</v>
      </c>
      <c r="G9" s="10">
        <v>7.4999999999999997E-2</v>
      </c>
      <c r="I9" s="9">
        <f t="shared" si="0"/>
        <v>0</v>
      </c>
      <c r="J9" s="11" cm="1">
        <f t="array" ref="J9">MAX(IF($N$3:$EH$3=$J$3,N9:EH9))</f>
        <v>0</v>
      </c>
      <c r="K9" s="11" cm="1">
        <f t="array" ref="K9">MAX(IF($N$3:$EH$3=$J$3,N9:EH9))</f>
        <v>0</v>
      </c>
      <c r="O9" s="10"/>
      <c r="P9" s="10"/>
      <c r="Q9" s="10"/>
      <c r="R9" s="10"/>
      <c r="V9" s="10"/>
      <c r="W9" s="10"/>
      <c r="X9" s="10"/>
      <c r="Y9" s="10"/>
      <c r="AC9" s="10"/>
      <c r="AD9" s="10"/>
      <c r="AE9" s="10"/>
      <c r="AF9" s="10"/>
      <c r="AJ9" s="10"/>
      <c r="AK9" s="10">
        <v>0.3</v>
      </c>
      <c r="AL9" s="10"/>
      <c r="AM9" s="10">
        <v>0.3</v>
      </c>
      <c r="AQ9" s="10"/>
      <c r="AR9" s="10">
        <v>0.8</v>
      </c>
      <c r="AS9" s="10"/>
      <c r="AT9" s="10">
        <v>0.8</v>
      </c>
      <c r="AX9" s="10"/>
      <c r="AY9" s="10">
        <v>1</v>
      </c>
      <c r="AZ9" s="10"/>
      <c r="BA9" s="10">
        <v>1</v>
      </c>
      <c r="BE9" s="10"/>
      <c r="BF9" s="10">
        <v>1</v>
      </c>
      <c r="BG9" s="10"/>
      <c r="BH9" s="10">
        <v>1</v>
      </c>
      <c r="BL9" s="10"/>
      <c r="BM9" s="10">
        <v>1</v>
      </c>
      <c r="BN9" s="10"/>
      <c r="BO9" s="10">
        <v>1</v>
      </c>
      <c r="BS9" s="10"/>
      <c r="BT9" s="10">
        <v>1</v>
      </c>
      <c r="BU9" s="10"/>
      <c r="BV9" s="10">
        <v>1</v>
      </c>
      <c r="BZ9" s="10"/>
      <c r="CA9" s="10">
        <v>1</v>
      </c>
      <c r="CB9" s="10"/>
      <c r="CC9" s="10">
        <v>1</v>
      </c>
      <c r="CG9" s="10"/>
      <c r="CH9" s="10">
        <v>1</v>
      </c>
      <c r="CI9" s="10"/>
      <c r="CJ9" s="10">
        <v>1</v>
      </c>
      <c r="CN9" s="10"/>
      <c r="CO9" s="10">
        <v>1</v>
      </c>
      <c r="CP9" s="10"/>
      <c r="CQ9" s="10">
        <v>1</v>
      </c>
      <c r="CU9" s="10"/>
      <c r="CV9" s="10">
        <v>1</v>
      </c>
      <c r="CW9" s="10"/>
      <c r="CX9" s="10">
        <v>1</v>
      </c>
      <c r="DB9" s="10"/>
      <c r="DC9" s="10">
        <v>1</v>
      </c>
      <c r="DD9" s="10"/>
      <c r="DE9" s="10">
        <v>1</v>
      </c>
      <c r="DI9" s="10"/>
      <c r="DJ9" s="10"/>
      <c r="DK9" s="10"/>
      <c r="DL9" s="10"/>
      <c r="DP9" s="10"/>
      <c r="DQ9" s="10"/>
      <c r="DR9" s="10"/>
      <c r="DS9" s="10"/>
    </row>
    <row r="10" spans="2:124" outlineLevel="1" x14ac:dyDescent="0.2">
      <c r="B10" t="s">
        <v>28</v>
      </c>
      <c r="C10" t="s">
        <v>109</v>
      </c>
      <c r="E10" s="9"/>
      <c r="F10" t="s">
        <v>137</v>
      </c>
      <c r="G10" s="10">
        <v>0.1</v>
      </c>
      <c r="I10" s="9">
        <f t="shared" si="0"/>
        <v>0</v>
      </c>
      <c r="J10" s="11" cm="1">
        <f t="array" ref="J10">MAX(IF($N$3:$EH$3=$J$3,N10:EH10))</f>
        <v>0</v>
      </c>
      <c r="K10" s="11" cm="1">
        <f t="array" ref="K10">MAX(IF($N$3:$EH$3=$J$3,N10:EH10))</f>
        <v>0</v>
      </c>
      <c r="L10" s="21"/>
      <c r="O10" s="10"/>
      <c r="P10" s="10"/>
      <c r="Q10" s="10"/>
      <c r="R10" s="10"/>
      <c r="V10" s="10"/>
      <c r="W10" s="10"/>
      <c r="X10" s="10"/>
      <c r="Y10" s="10"/>
      <c r="AC10" s="10"/>
      <c r="AD10" s="10"/>
      <c r="AE10" s="10"/>
      <c r="AF10" s="10"/>
      <c r="AJ10" s="10"/>
      <c r="AK10" s="10"/>
      <c r="AL10" s="10"/>
      <c r="AM10" s="10"/>
      <c r="AQ10" s="10"/>
      <c r="AR10" s="10">
        <v>0.3</v>
      </c>
      <c r="AS10" s="10"/>
      <c r="AT10" s="10">
        <v>0.3</v>
      </c>
      <c r="AX10" s="10"/>
      <c r="AY10" s="10">
        <v>1</v>
      </c>
      <c r="AZ10" s="10"/>
      <c r="BA10" s="10">
        <v>1</v>
      </c>
      <c r="BE10" s="10"/>
      <c r="BF10" s="10">
        <v>1</v>
      </c>
      <c r="BG10" s="10"/>
      <c r="BH10" s="10">
        <v>1</v>
      </c>
      <c r="BL10" s="10"/>
      <c r="BM10" s="10">
        <v>1</v>
      </c>
      <c r="BN10" s="10"/>
      <c r="BO10" s="10">
        <v>1</v>
      </c>
      <c r="BS10" s="10"/>
      <c r="BT10" s="10">
        <v>1</v>
      </c>
      <c r="BU10" s="10"/>
      <c r="BV10" s="10">
        <v>1</v>
      </c>
      <c r="BZ10" s="10"/>
      <c r="CA10" s="10">
        <v>1</v>
      </c>
      <c r="CB10" s="10"/>
      <c r="CC10" s="10">
        <v>1</v>
      </c>
      <c r="CG10" s="10"/>
      <c r="CH10" s="10">
        <v>1</v>
      </c>
      <c r="CI10" s="10"/>
      <c r="CJ10" s="10">
        <v>1</v>
      </c>
      <c r="CN10" s="10"/>
      <c r="CO10" s="10">
        <v>1</v>
      </c>
      <c r="CP10" s="10"/>
      <c r="CQ10" s="10">
        <v>1</v>
      </c>
      <c r="CU10" s="10"/>
      <c r="CV10" s="10">
        <v>1</v>
      </c>
      <c r="CW10" s="10"/>
      <c r="CX10" s="10">
        <v>1</v>
      </c>
      <c r="DB10" s="10"/>
      <c r="DC10" s="10">
        <v>1</v>
      </c>
      <c r="DD10" s="10"/>
      <c r="DE10" s="10">
        <v>1</v>
      </c>
      <c r="DI10" s="10"/>
      <c r="DJ10" s="10"/>
      <c r="DK10" s="10"/>
      <c r="DL10" s="10"/>
      <c r="DP10" s="10"/>
      <c r="DQ10" s="10"/>
      <c r="DR10" s="10"/>
      <c r="DS10" s="10"/>
    </row>
    <row r="11" spans="2:124" outlineLevel="1" x14ac:dyDescent="0.2">
      <c r="B11" t="s">
        <v>28</v>
      </c>
      <c r="C11" t="s">
        <v>109</v>
      </c>
      <c r="E11" s="9"/>
      <c r="F11" t="s">
        <v>142</v>
      </c>
      <c r="G11" s="10">
        <v>0.05</v>
      </c>
      <c r="I11" s="9">
        <f t="shared" si="0"/>
        <v>0</v>
      </c>
      <c r="J11" s="11" cm="1">
        <f t="array" ref="J11">MAX(IF($N$3:$EH$3=$J$3,N11:EH11))</f>
        <v>0</v>
      </c>
      <c r="K11" s="11" cm="1">
        <f t="array" ref="K11">MAX(IF($N$3:$EH$3=$J$3,N11:EH11))</f>
        <v>0</v>
      </c>
      <c r="O11" s="10"/>
      <c r="P11" s="10"/>
      <c r="Q11" s="10"/>
      <c r="R11" s="10"/>
      <c r="V11" s="10"/>
      <c r="W11" s="10"/>
      <c r="X11" s="10"/>
      <c r="Y11" s="10"/>
      <c r="AC11" s="10"/>
      <c r="AD11" s="10"/>
      <c r="AE11" s="10"/>
      <c r="AF11" s="10"/>
      <c r="AJ11" s="10"/>
      <c r="AK11" s="10"/>
      <c r="AL11" s="10"/>
      <c r="AM11" s="10"/>
      <c r="AQ11" s="10"/>
      <c r="AR11" s="10"/>
      <c r="AS11" s="10"/>
      <c r="AT11" s="10"/>
      <c r="AX11" s="10"/>
      <c r="AY11" s="10">
        <v>0.8</v>
      </c>
      <c r="AZ11" s="10"/>
      <c r="BA11" s="10">
        <v>0.8</v>
      </c>
      <c r="BE11" s="10"/>
      <c r="BF11" s="10">
        <v>1</v>
      </c>
      <c r="BG11" s="10"/>
      <c r="BH11" s="10">
        <v>1</v>
      </c>
      <c r="BL11" s="10"/>
      <c r="BM11" s="10">
        <v>1</v>
      </c>
      <c r="BN11" s="10"/>
      <c r="BO11" s="10">
        <v>1</v>
      </c>
      <c r="BS11" s="10"/>
      <c r="BT11" s="10">
        <v>1</v>
      </c>
      <c r="BU11" s="10"/>
      <c r="BV11" s="10">
        <v>1</v>
      </c>
      <c r="BZ11" s="10"/>
      <c r="CA11" s="10">
        <v>1</v>
      </c>
      <c r="CB11" s="10"/>
      <c r="CC11" s="10">
        <v>1</v>
      </c>
      <c r="CG11" s="10"/>
      <c r="CH11" s="10">
        <v>1</v>
      </c>
      <c r="CI11" s="10"/>
      <c r="CJ11" s="10">
        <v>1</v>
      </c>
      <c r="CN11" s="10"/>
      <c r="CO11" s="10">
        <v>1</v>
      </c>
      <c r="CP11" s="10"/>
      <c r="CQ11" s="10">
        <v>1</v>
      </c>
      <c r="CU11" s="10"/>
      <c r="CV11" s="10">
        <v>1</v>
      </c>
      <c r="CW11" s="10"/>
      <c r="CX11" s="10">
        <v>1</v>
      </c>
      <c r="DB11" s="10"/>
      <c r="DC11" s="10">
        <v>1</v>
      </c>
      <c r="DD11" s="10"/>
      <c r="DE11" s="10">
        <v>1</v>
      </c>
      <c r="DI11" s="10"/>
      <c r="DJ11" s="10"/>
      <c r="DK11" s="10"/>
      <c r="DL11" s="10"/>
      <c r="DP11" s="10"/>
      <c r="DQ11" s="10"/>
      <c r="DR11" s="10"/>
      <c r="DS11" s="10"/>
    </row>
    <row r="12" spans="2:124" outlineLevel="1" x14ac:dyDescent="0.2">
      <c r="B12" t="s">
        <v>28</v>
      </c>
      <c r="C12" t="s">
        <v>109</v>
      </c>
      <c r="E12" s="9"/>
      <c r="F12" t="s">
        <v>143</v>
      </c>
      <c r="G12" s="10">
        <v>0</v>
      </c>
      <c r="I12" s="9">
        <f t="shared" si="0"/>
        <v>0</v>
      </c>
      <c r="J12" s="11" cm="1">
        <f t="array" ref="J12">MAX(IF($N$3:$EH$3=$J$3,N12:EH12))</f>
        <v>0</v>
      </c>
      <c r="K12" s="11" cm="1">
        <f t="array" ref="K12">MAX(IF($N$3:$EH$3=$J$3,N12:EH12))</f>
        <v>0</v>
      </c>
      <c r="O12" s="10"/>
      <c r="P12" s="10"/>
      <c r="Q12" s="10"/>
      <c r="R12" s="10"/>
      <c r="V12" s="10"/>
      <c r="W12" s="10"/>
      <c r="X12" s="10"/>
      <c r="Y12" s="10"/>
      <c r="AC12" s="10"/>
      <c r="AD12" s="10"/>
      <c r="AE12" s="10"/>
      <c r="AF12" s="10"/>
      <c r="AJ12" s="10"/>
      <c r="AK12" s="10"/>
      <c r="AL12" s="10"/>
      <c r="AM12" s="10"/>
      <c r="AQ12" s="10"/>
      <c r="AR12" s="10"/>
      <c r="AS12" s="10"/>
      <c r="AT12" s="10"/>
      <c r="AX12" s="10"/>
      <c r="AY12" s="10">
        <v>0.5</v>
      </c>
      <c r="AZ12" s="10"/>
      <c r="BA12" s="10">
        <v>0.5</v>
      </c>
      <c r="BE12" s="10"/>
      <c r="BF12" s="10">
        <v>0.8</v>
      </c>
      <c r="BG12" s="10"/>
      <c r="BH12" s="10">
        <v>0.8</v>
      </c>
      <c r="BL12" s="10"/>
      <c r="BM12" s="10">
        <v>1</v>
      </c>
      <c r="BN12" s="10"/>
      <c r="BO12" s="10">
        <v>1</v>
      </c>
      <c r="BS12" s="10"/>
      <c r="BT12" s="10">
        <v>1</v>
      </c>
      <c r="BU12" s="10"/>
      <c r="BV12" s="10">
        <v>1</v>
      </c>
      <c r="BZ12" s="10"/>
      <c r="CA12" s="10">
        <v>1</v>
      </c>
      <c r="CB12" s="10"/>
      <c r="CC12" s="10">
        <v>1</v>
      </c>
      <c r="CG12" s="10"/>
      <c r="CH12" s="10">
        <v>1</v>
      </c>
      <c r="CI12" s="10"/>
      <c r="CJ12" s="10">
        <v>1</v>
      </c>
      <c r="CN12" s="10"/>
      <c r="CO12" s="10">
        <v>1</v>
      </c>
      <c r="CP12" s="10"/>
      <c r="CQ12" s="10">
        <v>1</v>
      </c>
      <c r="CU12" s="10"/>
      <c r="CV12" s="10">
        <v>1</v>
      </c>
      <c r="CW12" s="10"/>
      <c r="CX12" s="10">
        <v>1</v>
      </c>
      <c r="DB12" s="10"/>
      <c r="DC12" s="10">
        <v>1</v>
      </c>
      <c r="DD12" s="10"/>
      <c r="DE12" s="10">
        <v>1</v>
      </c>
      <c r="DI12" s="10"/>
      <c r="DJ12" s="10"/>
      <c r="DK12" s="10"/>
      <c r="DL12" s="10"/>
      <c r="DP12" s="10"/>
      <c r="DQ12" s="10"/>
      <c r="DR12" s="10"/>
      <c r="DS12" s="10"/>
    </row>
    <row r="13" spans="2:124" outlineLevel="1" x14ac:dyDescent="0.2">
      <c r="B13" t="s">
        <v>28</v>
      </c>
      <c r="C13" t="s">
        <v>109</v>
      </c>
      <c r="E13" s="9"/>
      <c r="F13" t="s">
        <v>144</v>
      </c>
      <c r="G13" s="10">
        <v>0.1</v>
      </c>
      <c r="I13" s="9">
        <f t="shared" si="0"/>
        <v>0</v>
      </c>
      <c r="J13" s="11" cm="1">
        <f t="array" ref="J13">MAX(IF($N$3:$EH$3=$J$3,N13:EH13))</f>
        <v>0</v>
      </c>
      <c r="K13" s="11" cm="1">
        <f t="array" ref="K13">MAX(IF($N$3:$EH$3=$J$3,N13:EH13))</f>
        <v>0</v>
      </c>
      <c r="L13" s="21"/>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v>0.3</v>
      </c>
      <c r="BG13" s="10"/>
      <c r="BH13" s="10">
        <v>0.3</v>
      </c>
      <c r="BL13" s="10"/>
      <c r="BM13" s="10">
        <v>0.5</v>
      </c>
      <c r="BN13" s="10"/>
      <c r="BO13" s="10">
        <v>0.5</v>
      </c>
      <c r="BS13" s="10"/>
      <c r="BT13" s="10">
        <v>0.8</v>
      </c>
      <c r="BU13" s="10"/>
      <c r="BV13" s="10">
        <v>0.8</v>
      </c>
      <c r="BZ13" s="10"/>
      <c r="CA13" s="10">
        <v>1</v>
      </c>
      <c r="CB13" s="10"/>
      <c r="CC13" s="10">
        <v>1</v>
      </c>
      <c r="CG13" s="10"/>
      <c r="CH13" s="10">
        <v>1</v>
      </c>
      <c r="CI13" s="10"/>
      <c r="CJ13" s="10">
        <v>1</v>
      </c>
      <c r="CN13" s="10"/>
      <c r="CO13" s="10">
        <v>1</v>
      </c>
      <c r="CP13" s="10"/>
      <c r="CQ13" s="10">
        <v>1</v>
      </c>
      <c r="CU13" s="10"/>
      <c r="CV13" s="10">
        <v>1</v>
      </c>
      <c r="CW13" s="10"/>
      <c r="CX13" s="10">
        <v>1</v>
      </c>
      <c r="DB13" s="10"/>
      <c r="DC13" s="10">
        <v>1</v>
      </c>
      <c r="DD13" s="10"/>
      <c r="DE13" s="10">
        <v>1</v>
      </c>
      <c r="DI13" s="10"/>
      <c r="DJ13" s="10"/>
      <c r="DK13" s="10"/>
      <c r="DL13" s="10"/>
      <c r="DP13" s="10"/>
      <c r="DQ13" s="10"/>
      <c r="DR13" s="10"/>
      <c r="DS13" s="10"/>
    </row>
    <row r="14" spans="2:124" outlineLevel="1" x14ac:dyDescent="0.2">
      <c r="B14" t="s">
        <v>28</v>
      </c>
      <c r="C14" t="s">
        <v>109</v>
      </c>
      <c r="E14" s="9"/>
      <c r="F14" t="s">
        <v>145</v>
      </c>
      <c r="G14" s="10">
        <v>7.4999999999999997E-2</v>
      </c>
      <c r="I14" s="9">
        <f t="shared" si="0"/>
        <v>0</v>
      </c>
      <c r="J14" s="11" cm="1">
        <f t="array" ref="J14">MAX(IF($N$3:$EH$3=$J$3,N14:EH14))</f>
        <v>0</v>
      </c>
      <c r="K14" s="11" cm="1">
        <f t="array" ref="K14">MAX(IF($N$3:$EH$3=$J$3,N14:EH14))</f>
        <v>0</v>
      </c>
      <c r="L14" s="21"/>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v>0.3</v>
      </c>
      <c r="BN14" s="10"/>
      <c r="BO14" s="10">
        <v>0.3</v>
      </c>
      <c r="BS14" s="10"/>
      <c r="BT14" s="10">
        <v>0.5</v>
      </c>
      <c r="BU14" s="10"/>
      <c r="BV14" s="10">
        <v>0.5</v>
      </c>
      <c r="BZ14" s="10"/>
      <c r="CA14" s="10">
        <v>0.8</v>
      </c>
      <c r="CB14" s="10"/>
      <c r="CC14" s="10">
        <v>0.8</v>
      </c>
      <c r="CG14" s="10"/>
      <c r="CH14" s="10">
        <v>1</v>
      </c>
      <c r="CI14" s="10"/>
      <c r="CJ14" s="10">
        <v>1</v>
      </c>
      <c r="CN14" s="10"/>
      <c r="CO14" s="10">
        <v>1</v>
      </c>
      <c r="CP14" s="10"/>
      <c r="CQ14" s="10">
        <v>1</v>
      </c>
      <c r="CU14" s="10"/>
      <c r="CV14" s="10">
        <v>1</v>
      </c>
      <c r="CW14" s="10"/>
      <c r="CX14" s="10">
        <v>1</v>
      </c>
      <c r="DB14" s="10"/>
      <c r="DC14" s="10">
        <v>1</v>
      </c>
      <c r="DD14" s="10"/>
      <c r="DE14" s="10">
        <v>1</v>
      </c>
      <c r="DI14" s="10"/>
      <c r="DJ14" s="10"/>
      <c r="DK14" s="10"/>
      <c r="DL14" s="10"/>
      <c r="DP14" s="10"/>
      <c r="DQ14" s="10"/>
      <c r="DR14" s="10"/>
      <c r="DS14" s="10"/>
    </row>
    <row r="15" spans="2:124" outlineLevel="1" x14ac:dyDescent="0.2">
      <c r="B15" t="s">
        <v>28</v>
      </c>
      <c r="C15" t="s">
        <v>109</v>
      </c>
      <c r="E15" s="9"/>
      <c r="F15" t="s">
        <v>147</v>
      </c>
      <c r="G15" s="10">
        <v>0.05</v>
      </c>
      <c r="I15" s="9">
        <f t="shared" si="0"/>
        <v>0</v>
      </c>
      <c r="J15" s="11" cm="1">
        <f t="array" ref="J15">MAX(IF($N$3:$EH$3=$J$3,N15:EH15))</f>
        <v>0</v>
      </c>
      <c r="K15" s="11" cm="1">
        <f t="array" ref="K15">MAX(IF($N$3:$EH$3=$J$3,N15:EH15))</f>
        <v>0</v>
      </c>
      <c r="L15" s="21"/>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v>0.3</v>
      </c>
      <c r="BU15" s="10"/>
      <c r="BV15" s="10">
        <v>0.3</v>
      </c>
      <c r="BZ15" s="10"/>
      <c r="CA15" s="10">
        <v>0.8</v>
      </c>
      <c r="CB15" s="10"/>
      <c r="CC15" s="10">
        <v>0.8</v>
      </c>
      <c r="CG15" s="10"/>
      <c r="CH15" s="10">
        <v>1</v>
      </c>
      <c r="CI15" s="10"/>
      <c r="CJ15" s="10">
        <v>1</v>
      </c>
      <c r="CN15" s="10"/>
      <c r="CO15" s="10">
        <v>1</v>
      </c>
      <c r="CP15" s="10"/>
      <c r="CQ15" s="10">
        <v>1</v>
      </c>
      <c r="CU15" s="10"/>
      <c r="CV15" s="10">
        <v>1</v>
      </c>
      <c r="CW15" s="10"/>
      <c r="CX15" s="10">
        <v>1</v>
      </c>
      <c r="DB15" s="10"/>
      <c r="DC15" s="10">
        <v>1</v>
      </c>
      <c r="DD15" s="10"/>
      <c r="DE15" s="10">
        <v>1</v>
      </c>
      <c r="DI15" s="10"/>
      <c r="DJ15" s="10"/>
      <c r="DK15" s="10"/>
      <c r="DL15" s="10"/>
      <c r="DP15" s="10"/>
      <c r="DQ15" s="10"/>
      <c r="DR15" s="10"/>
      <c r="DS15" s="10"/>
    </row>
    <row r="16" spans="2:124" outlineLevel="1" x14ac:dyDescent="0.2">
      <c r="B16" t="s">
        <v>28</v>
      </c>
      <c r="C16" t="s">
        <v>109</v>
      </c>
      <c r="E16" s="9"/>
      <c r="F16" t="s">
        <v>148</v>
      </c>
      <c r="G16" s="10">
        <v>0.1</v>
      </c>
      <c r="I16" s="9">
        <f t="shared" si="0"/>
        <v>0</v>
      </c>
      <c r="J16" s="11" cm="1">
        <f t="array" ref="J16">MAX(IF($N$3:$EH$3=$J$3,N16:EH16))</f>
        <v>0</v>
      </c>
      <c r="K16" s="11" cm="1">
        <f t="array" ref="K16">MAX(IF($N$3:$EH$3=$J$3,N16:EH16))</f>
        <v>0</v>
      </c>
      <c r="L16" s="21"/>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c r="BN16" s="10"/>
      <c r="BO16" s="10"/>
      <c r="BS16" s="10"/>
      <c r="BT16" s="10"/>
      <c r="BU16" s="10"/>
      <c r="BV16" s="10"/>
      <c r="BZ16" s="10"/>
      <c r="CA16" s="10">
        <v>0.3</v>
      </c>
      <c r="CB16" s="10"/>
      <c r="CC16" s="10">
        <v>0.3</v>
      </c>
      <c r="CG16" s="10"/>
      <c r="CH16" s="10">
        <v>0.5</v>
      </c>
      <c r="CI16" s="10"/>
      <c r="CJ16" s="10">
        <v>0.5</v>
      </c>
      <c r="CN16" s="10"/>
      <c r="CO16" s="10">
        <v>0.8</v>
      </c>
      <c r="CP16" s="10"/>
      <c r="CQ16" s="10">
        <v>0.8</v>
      </c>
      <c r="CU16" s="10"/>
      <c r="CV16" s="10">
        <v>1</v>
      </c>
      <c r="CW16" s="10"/>
      <c r="CX16" s="10">
        <v>1</v>
      </c>
      <c r="DB16" s="10"/>
      <c r="DC16" s="10">
        <v>1</v>
      </c>
      <c r="DD16" s="10"/>
      <c r="DE16" s="10">
        <v>1</v>
      </c>
      <c r="DI16" s="10"/>
      <c r="DJ16" s="10"/>
      <c r="DK16" s="10"/>
      <c r="DL16" s="10"/>
      <c r="DP16" s="10"/>
      <c r="DQ16" s="10"/>
      <c r="DR16" s="10"/>
      <c r="DS16" s="10"/>
    </row>
    <row r="17" spans="2:123" outlineLevel="1" x14ac:dyDescent="0.2">
      <c r="B17" t="s">
        <v>28</v>
      </c>
      <c r="C17" t="s">
        <v>109</v>
      </c>
      <c r="E17" s="9"/>
      <c r="F17" t="s">
        <v>146</v>
      </c>
      <c r="G17" s="10">
        <v>0.1</v>
      </c>
      <c r="I17" s="9">
        <f t="shared" si="0"/>
        <v>0</v>
      </c>
      <c r="J17" s="11" cm="1">
        <f t="array" ref="J17">MAX(IF($N$3:$EH$3=$J$3,N17:EH17))</f>
        <v>0</v>
      </c>
      <c r="K17" s="11" cm="1">
        <f t="array" ref="K17">MAX(IF($N$3:$EH$3=$J$3,N17:EH17))</f>
        <v>0</v>
      </c>
      <c r="L17" s="21"/>
      <c r="O17" s="10"/>
      <c r="P17" s="10"/>
      <c r="Q17" s="10"/>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c r="BN17" s="10"/>
      <c r="BO17" s="10"/>
      <c r="BS17" s="10"/>
      <c r="BT17" s="10"/>
      <c r="BU17" s="10"/>
      <c r="BV17" s="10"/>
      <c r="BZ17" s="10"/>
      <c r="CA17" s="10"/>
      <c r="CB17" s="10"/>
      <c r="CC17" s="10"/>
      <c r="CG17" s="10"/>
      <c r="CH17" s="10">
        <v>0.3</v>
      </c>
      <c r="CI17" s="10"/>
      <c r="CJ17" s="10">
        <v>0.3</v>
      </c>
      <c r="CN17" s="10"/>
      <c r="CO17" s="10">
        <v>0.5</v>
      </c>
      <c r="CP17" s="10"/>
      <c r="CQ17" s="10">
        <v>0.5</v>
      </c>
      <c r="CV17" s="10">
        <v>1</v>
      </c>
      <c r="CW17" s="10"/>
      <c r="CX17" s="10">
        <v>1</v>
      </c>
      <c r="DB17" s="10"/>
      <c r="DC17" s="10">
        <v>1</v>
      </c>
      <c r="DD17" s="10"/>
      <c r="DE17" s="10">
        <v>1</v>
      </c>
      <c r="DI17" s="10"/>
      <c r="DJ17" s="10"/>
      <c r="DK17" s="10"/>
      <c r="DL17" s="10"/>
      <c r="DP17" s="10"/>
      <c r="DQ17" s="10"/>
      <c r="DR17" s="10"/>
      <c r="DS17" s="10"/>
    </row>
    <row r="18" spans="2:123" x14ac:dyDescent="0.2">
      <c r="DH18" s="12" t="s">
        <v>149</v>
      </c>
    </row>
    <row r="19" spans="2:123" x14ac:dyDescent="0.2">
      <c r="B19" t="s">
        <v>27</v>
      </c>
      <c r="C19" t="s">
        <v>110</v>
      </c>
      <c r="D19" s="19">
        <v>45499</v>
      </c>
      <c r="E19" s="9">
        <v>6</v>
      </c>
      <c r="G19" s="10">
        <f>+SUM(G20:G24)</f>
        <v>0.99999999999999989</v>
      </c>
      <c r="I19" s="12">
        <f>+SUM(I20:I24)</f>
        <v>6.5</v>
      </c>
      <c r="J19" s="11">
        <f>+SUMPRODUCT(G20:G24,J20:J24)</f>
        <v>0.1</v>
      </c>
      <c r="K19" s="11">
        <f>+SUMPRODUCT(G20:G24,K20:K24)</f>
        <v>0.1</v>
      </c>
      <c r="N19" s="12">
        <f>+SUM(N20:N24)</f>
        <v>6.5</v>
      </c>
      <c r="U19" s="12">
        <f>+SUM(U20:U24)</f>
        <v>0</v>
      </c>
      <c r="AB19" s="12">
        <f>+SUM(AB20:AB24)</f>
        <v>0</v>
      </c>
      <c r="AI19" s="12">
        <f>+SUM(AI20:AI24)</f>
        <v>0</v>
      </c>
      <c r="AP19" s="12">
        <f>+SUM(AP20:AP24)</f>
        <v>0</v>
      </c>
      <c r="AW19" s="12">
        <f>+SUM(AW20:AW24)</f>
        <v>0</v>
      </c>
      <c r="BD19" s="12">
        <f>+SUM(BD20:BD24)</f>
        <v>0</v>
      </c>
      <c r="BK19" s="12">
        <f>+SUM(BK20:BK24)</f>
        <v>0</v>
      </c>
      <c r="BR19" s="12">
        <f>+SUM(BR20:BR24)</f>
        <v>0</v>
      </c>
      <c r="BY19" s="12">
        <f>+SUM(BY20:BY24)</f>
        <v>0</v>
      </c>
      <c r="CF19" s="12">
        <f>+SUM(CF20:CF24)</f>
        <v>0</v>
      </c>
      <c r="CM19" s="12">
        <f>+SUM(CM20:CM24)</f>
        <v>0</v>
      </c>
      <c r="CO19" s="10"/>
      <c r="CT19" s="12">
        <f>+SUM(CT21:CT24)</f>
        <v>0</v>
      </c>
      <c r="DA19" s="12">
        <f>+SUM(DA20:DA24)</f>
        <v>0</v>
      </c>
    </row>
    <row r="20" spans="2:123" outlineLevel="1" x14ac:dyDescent="0.2">
      <c r="B20" t="s">
        <v>28</v>
      </c>
      <c r="C20" t="s">
        <v>110</v>
      </c>
      <c r="E20" s="9"/>
      <c r="F20" t="s">
        <v>130</v>
      </c>
      <c r="G20" s="10">
        <v>0.05</v>
      </c>
      <c r="I20" s="9">
        <f t="shared" ref="I20:I24" si="1">+SUMIF($N$3:$ZZ$3,I$3,$N20:$ZZ20)</f>
        <v>1</v>
      </c>
      <c r="J20" s="11" cm="1">
        <f t="array" ref="J20">MAX(IF($N$3:$EH$3=$J$3,N20:EH20))</f>
        <v>0.5</v>
      </c>
      <c r="K20" s="11" cm="1">
        <f t="array" ref="K20">MAX(IF($N$3:$EH$3=$J$3,N20:EH20))</f>
        <v>0.5</v>
      </c>
      <c r="L20" s="21" t="s">
        <v>131</v>
      </c>
      <c r="N20">
        <v>1</v>
      </c>
      <c r="O20" s="10">
        <v>0.5</v>
      </c>
      <c r="P20" s="10">
        <v>0.8</v>
      </c>
      <c r="Q20" s="10">
        <v>0.8</v>
      </c>
      <c r="R20" s="10">
        <v>0.8</v>
      </c>
      <c r="V20" s="10"/>
      <c r="W20" s="10">
        <v>1</v>
      </c>
      <c r="X20" s="10"/>
      <c r="Y20" s="10">
        <v>1</v>
      </c>
      <c r="AC20" s="10"/>
      <c r="AD20" s="10">
        <v>1</v>
      </c>
      <c r="AE20" s="10"/>
      <c r="AF20" s="10">
        <v>1</v>
      </c>
      <c r="AJ20" s="10"/>
      <c r="AK20" s="10">
        <v>1</v>
      </c>
      <c r="AL20" s="10"/>
      <c r="AM20" s="10">
        <v>1</v>
      </c>
      <c r="AQ20" s="10"/>
      <c r="AR20" s="10">
        <v>1</v>
      </c>
      <c r="AS20" s="10"/>
      <c r="AT20" s="10">
        <v>1</v>
      </c>
      <c r="AX20" s="10"/>
      <c r="AY20" s="10">
        <v>1</v>
      </c>
      <c r="AZ20" s="10"/>
      <c r="BA20" s="10">
        <v>1</v>
      </c>
      <c r="BE20" s="10"/>
      <c r="BF20" s="10">
        <v>1</v>
      </c>
      <c r="BG20" s="10"/>
      <c r="BH20" s="10">
        <v>1</v>
      </c>
      <c r="BL20" s="10"/>
      <c r="BM20" s="10">
        <v>1</v>
      </c>
      <c r="BN20" s="10"/>
      <c r="BO20" s="10">
        <v>1</v>
      </c>
      <c r="BR20" s="12"/>
      <c r="BS20" s="10"/>
      <c r="BT20" s="10">
        <v>1</v>
      </c>
      <c r="BU20" s="10"/>
      <c r="BV20" s="10">
        <v>1</v>
      </c>
      <c r="BZ20" s="10"/>
      <c r="CA20" s="10">
        <v>1</v>
      </c>
      <c r="CB20" s="10"/>
      <c r="CC20" s="10">
        <v>1</v>
      </c>
      <c r="CG20" s="10"/>
      <c r="CH20" s="24">
        <v>1</v>
      </c>
      <c r="CI20" s="25"/>
      <c r="CJ20" s="24">
        <v>1</v>
      </c>
      <c r="CK20" s="22" t="s">
        <v>151</v>
      </c>
      <c r="CM20" s="12"/>
      <c r="CN20" s="10"/>
      <c r="CO20" s="10">
        <v>1</v>
      </c>
      <c r="CP20" s="10"/>
      <c r="CQ20" s="10">
        <v>1</v>
      </c>
      <c r="CU20" s="10"/>
      <c r="CV20" s="10">
        <v>1</v>
      </c>
      <c r="CW20" s="10"/>
      <c r="CX20" s="10">
        <v>1</v>
      </c>
      <c r="DB20" s="10"/>
      <c r="DC20" s="10"/>
      <c r="DD20" s="10"/>
      <c r="DE20" s="10"/>
      <c r="DP20" s="10"/>
      <c r="DQ20" s="10"/>
      <c r="DR20" s="10"/>
      <c r="DS20" s="10"/>
    </row>
    <row r="21" spans="2:123" outlineLevel="1" x14ac:dyDescent="0.2">
      <c r="B21" t="s">
        <v>28</v>
      </c>
      <c r="C21" t="s">
        <v>110</v>
      </c>
      <c r="E21" s="9"/>
      <c r="F21" t="s">
        <v>132</v>
      </c>
      <c r="G21" s="10">
        <v>0.25</v>
      </c>
      <c r="I21" s="9">
        <f t="shared" si="1"/>
        <v>5.5</v>
      </c>
      <c r="J21" s="11" cm="1">
        <f t="array" ref="J21">MAX(IF($N$3:$EH$3=$J$3,N21:EH21))</f>
        <v>0.3</v>
      </c>
      <c r="K21" s="11" cm="1">
        <f t="array" ref="K21">MAX(IF($N$3:$EH$3=$J$3,N21:EH21))</f>
        <v>0.3</v>
      </c>
      <c r="L21" s="21" t="s">
        <v>135</v>
      </c>
      <c r="N21">
        <v>5.5</v>
      </c>
      <c r="O21" s="10">
        <v>0.3</v>
      </c>
      <c r="P21" s="10">
        <v>0.3</v>
      </c>
      <c r="Q21" s="10">
        <v>0.3</v>
      </c>
      <c r="R21" s="10">
        <v>0.3</v>
      </c>
      <c r="V21" s="10"/>
      <c r="W21" s="10">
        <v>0.5</v>
      </c>
      <c r="X21" s="10"/>
      <c r="Y21" s="10">
        <v>0.5</v>
      </c>
      <c r="AC21" s="10"/>
      <c r="AD21" s="10">
        <v>0.8</v>
      </c>
      <c r="AE21" s="10"/>
      <c r="AF21" s="10">
        <v>0.8</v>
      </c>
      <c r="AJ21" s="10"/>
      <c r="AK21" s="10">
        <v>1</v>
      </c>
      <c r="AL21" s="10"/>
      <c r="AM21" s="10">
        <v>1</v>
      </c>
      <c r="AQ21" s="10"/>
      <c r="AR21" s="10">
        <v>1</v>
      </c>
      <c r="AS21" s="10"/>
      <c r="AT21" s="10">
        <v>1</v>
      </c>
      <c r="AX21" s="10"/>
      <c r="AY21" s="10">
        <v>1</v>
      </c>
      <c r="AZ21" s="10"/>
      <c r="BA21" s="10">
        <v>1</v>
      </c>
      <c r="BE21" s="10"/>
      <c r="BF21" s="10">
        <v>1</v>
      </c>
      <c r="BG21" s="10"/>
      <c r="BH21" s="10">
        <v>1</v>
      </c>
      <c r="BL21" s="10"/>
      <c r="BM21" s="10">
        <v>1</v>
      </c>
      <c r="BN21" s="10"/>
      <c r="BO21" s="10">
        <v>1</v>
      </c>
      <c r="BS21" s="10"/>
      <c r="BT21" s="10">
        <v>1</v>
      </c>
      <c r="BU21" s="10"/>
      <c r="BV21" s="10">
        <v>1</v>
      </c>
      <c r="BZ21" s="10"/>
      <c r="CA21" s="10">
        <v>1</v>
      </c>
      <c r="CB21" s="10"/>
      <c r="CC21" s="10">
        <v>1</v>
      </c>
      <c r="CG21" s="10"/>
      <c r="CH21" s="24">
        <v>1</v>
      </c>
      <c r="CI21" s="25"/>
      <c r="CJ21" s="24">
        <v>1</v>
      </c>
      <c r="CK21" s="22" t="s">
        <v>152</v>
      </c>
      <c r="CN21" s="10"/>
      <c r="CO21" s="10">
        <v>1</v>
      </c>
      <c r="CP21" s="10"/>
      <c r="CQ21" s="10">
        <v>1</v>
      </c>
      <c r="CU21" s="10"/>
      <c r="CV21" s="10">
        <v>1</v>
      </c>
      <c r="CW21" s="10"/>
      <c r="CX21" s="10">
        <v>1</v>
      </c>
      <c r="DB21" s="10"/>
      <c r="DC21" s="10"/>
      <c r="DD21" s="10"/>
      <c r="DE21" s="10"/>
      <c r="DP21" s="10"/>
      <c r="DQ21" s="10"/>
      <c r="DR21" s="10"/>
      <c r="DS21" s="10"/>
    </row>
    <row r="22" spans="2:123" outlineLevel="1" x14ac:dyDescent="0.2">
      <c r="B22" t="s">
        <v>28</v>
      </c>
      <c r="C22" t="s">
        <v>110</v>
      </c>
      <c r="E22" s="9"/>
      <c r="F22" t="s">
        <v>133</v>
      </c>
      <c r="G22" s="10">
        <v>0.15</v>
      </c>
      <c r="I22" s="9">
        <f t="shared" si="1"/>
        <v>0</v>
      </c>
      <c r="J22" s="11" cm="1">
        <f t="array" ref="J22">MAX(IF($N$3:$EH$3=$J$3,N22:EH22))</f>
        <v>0</v>
      </c>
      <c r="K22" s="11" cm="1">
        <f t="array" ref="K22">MAX(IF($N$3:$EH$3=$J$3,N22:EH22))</f>
        <v>0</v>
      </c>
      <c r="O22" s="10"/>
      <c r="P22" s="10"/>
      <c r="Q22" s="10"/>
      <c r="R22" s="10"/>
      <c r="V22" s="10"/>
      <c r="W22" s="10"/>
      <c r="X22" s="10"/>
      <c r="Y22" s="10"/>
      <c r="AC22" s="10"/>
      <c r="AD22" s="10">
        <v>0.3</v>
      </c>
      <c r="AE22" s="10"/>
      <c r="AF22" s="10">
        <v>0.3</v>
      </c>
      <c r="AJ22" s="10"/>
      <c r="AK22" s="10">
        <v>0.5</v>
      </c>
      <c r="AL22" s="10"/>
      <c r="AM22" s="10">
        <v>0.5</v>
      </c>
      <c r="AQ22" s="10"/>
      <c r="AR22" s="10">
        <v>0.8</v>
      </c>
      <c r="AS22" s="10"/>
      <c r="AT22" s="10">
        <v>0.8</v>
      </c>
      <c r="AX22" s="10"/>
      <c r="AY22" s="10">
        <v>1</v>
      </c>
      <c r="AZ22" s="10"/>
      <c r="BA22" s="10">
        <v>1</v>
      </c>
      <c r="BE22" s="10"/>
      <c r="BF22" s="10">
        <v>1</v>
      </c>
      <c r="BG22" s="10"/>
      <c r="BH22" s="10">
        <v>1</v>
      </c>
      <c r="BL22" s="10"/>
      <c r="BM22" s="10">
        <v>1</v>
      </c>
      <c r="BN22" s="10"/>
      <c r="BO22" s="10">
        <v>1</v>
      </c>
      <c r="BS22" s="10"/>
      <c r="BT22" s="10">
        <v>1</v>
      </c>
      <c r="BU22" s="10"/>
      <c r="BV22" s="10">
        <v>1</v>
      </c>
      <c r="BZ22" s="10"/>
      <c r="CA22" s="10">
        <v>1</v>
      </c>
      <c r="CB22" s="10"/>
      <c r="CC22" s="10">
        <v>1</v>
      </c>
      <c r="CG22" s="10"/>
      <c r="CH22" s="24">
        <v>1</v>
      </c>
      <c r="CI22" s="25"/>
      <c r="CJ22" s="24">
        <v>1</v>
      </c>
      <c r="CK22" s="22" t="s">
        <v>153</v>
      </c>
      <c r="CN22" s="10"/>
      <c r="CO22" s="10">
        <v>1</v>
      </c>
      <c r="CP22" s="10"/>
      <c r="CQ22" s="10">
        <v>1</v>
      </c>
      <c r="CU22" s="10"/>
      <c r="CV22" s="10">
        <v>1</v>
      </c>
      <c r="CW22" s="10"/>
      <c r="CX22" s="10">
        <v>1</v>
      </c>
      <c r="DB22" s="10"/>
      <c r="DC22" s="10"/>
      <c r="DD22" s="10"/>
      <c r="DE22" s="10"/>
      <c r="DP22" s="10"/>
      <c r="DQ22" s="10"/>
      <c r="DR22" s="10"/>
      <c r="DS22" s="10"/>
    </row>
    <row r="23" spans="2:123" outlineLevel="1" x14ac:dyDescent="0.2">
      <c r="B23" t="s">
        <v>28</v>
      </c>
      <c r="C23" t="s">
        <v>110</v>
      </c>
      <c r="E23" s="9"/>
      <c r="F23" t="s">
        <v>150</v>
      </c>
      <c r="G23" s="10">
        <v>0.2</v>
      </c>
      <c r="I23" s="9">
        <f t="shared" si="1"/>
        <v>0</v>
      </c>
      <c r="J23" s="11" cm="1">
        <f t="array" ref="J23">MAX(IF($N$3:$EH$3=$J$3,N23:EH23))</f>
        <v>0</v>
      </c>
      <c r="K23" s="11" cm="1">
        <f t="array" ref="K23">MAX(IF($N$3:$EH$3=$J$3,N23:EH23))</f>
        <v>0</v>
      </c>
      <c r="O23" s="10"/>
      <c r="P23" s="10"/>
      <c r="Q23" s="10"/>
      <c r="R23" s="10"/>
      <c r="V23" s="10"/>
      <c r="W23" s="10"/>
      <c r="X23" s="10"/>
      <c r="Y23" s="10"/>
      <c r="AC23" s="10"/>
      <c r="AD23" s="10"/>
      <c r="AE23" s="10"/>
      <c r="AF23" s="10"/>
      <c r="AJ23" s="10"/>
      <c r="AK23" s="10"/>
      <c r="AL23" s="10"/>
      <c r="AM23" s="10"/>
      <c r="AQ23" s="10"/>
      <c r="AR23" s="10">
        <v>0.3</v>
      </c>
      <c r="AS23" s="10"/>
      <c r="AT23" s="10">
        <v>0.3</v>
      </c>
      <c r="AX23" s="10"/>
      <c r="AY23" s="10">
        <v>0.5</v>
      </c>
      <c r="AZ23" s="10"/>
      <c r="BA23" s="10">
        <v>0.5</v>
      </c>
      <c r="BE23" s="10"/>
      <c r="BF23" s="10">
        <v>0.8</v>
      </c>
      <c r="BG23" s="10"/>
      <c r="BH23" s="10">
        <v>0.5</v>
      </c>
      <c r="BL23" s="10"/>
      <c r="BM23" s="10">
        <v>0.8</v>
      </c>
      <c r="BN23" s="10"/>
      <c r="BO23" s="10">
        <v>0.8</v>
      </c>
      <c r="BS23" s="10"/>
      <c r="BT23" s="10">
        <v>1</v>
      </c>
      <c r="BU23" s="10"/>
      <c r="BV23" s="10">
        <v>1</v>
      </c>
      <c r="BZ23" s="10"/>
      <c r="CA23" s="10">
        <v>1</v>
      </c>
      <c r="CB23" s="10"/>
      <c r="CC23" s="10">
        <v>1</v>
      </c>
      <c r="CG23" s="10"/>
      <c r="CH23" s="24">
        <v>1</v>
      </c>
      <c r="CI23" s="25"/>
      <c r="CJ23" s="24">
        <v>1</v>
      </c>
      <c r="CN23" s="10"/>
      <c r="CO23" s="10">
        <v>1</v>
      </c>
      <c r="CP23" s="10"/>
      <c r="CQ23" s="10">
        <v>1</v>
      </c>
      <c r="CU23" s="10"/>
      <c r="CV23" s="10">
        <v>1</v>
      </c>
      <c r="CW23" s="10"/>
      <c r="CX23" s="10">
        <v>1</v>
      </c>
      <c r="DB23" s="10"/>
      <c r="DC23" s="10"/>
      <c r="DD23" s="10"/>
      <c r="DE23" s="10"/>
      <c r="DP23" s="10"/>
      <c r="DQ23" s="10"/>
      <c r="DR23" s="10"/>
      <c r="DS23" s="10"/>
    </row>
    <row r="24" spans="2:123" outlineLevel="1" x14ac:dyDescent="0.2">
      <c r="B24" t="s">
        <v>28</v>
      </c>
      <c r="C24" t="s">
        <v>110</v>
      </c>
      <c r="E24" s="9"/>
      <c r="F24" t="s">
        <v>134</v>
      </c>
      <c r="G24" s="10">
        <v>0.35</v>
      </c>
      <c r="I24" s="9">
        <f t="shared" si="1"/>
        <v>0</v>
      </c>
      <c r="J24" s="11" cm="1">
        <f t="array" ref="J24">MAX(IF($N$3:$EH$3=$J$3,N24:EH24))</f>
        <v>0</v>
      </c>
      <c r="K24" s="11" cm="1">
        <f t="array" ref="K24">MAX(IF($N$3:$EH$3=$J$3,N24:EH24))</f>
        <v>0</v>
      </c>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v>0.2</v>
      </c>
      <c r="BG24" s="10"/>
      <c r="BH24" s="10">
        <v>0.2</v>
      </c>
      <c r="BL24" s="10"/>
      <c r="BM24" s="10">
        <v>0.6</v>
      </c>
      <c r="BN24" s="10"/>
      <c r="BO24" s="10">
        <v>0.6</v>
      </c>
      <c r="BS24" s="10"/>
      <c r="BT24" s="10">
        <v>0.8</v>
      </c>
      <c r="BU24" s="10"/>
      <c r="BV24" s="10">
        <v>0.8</v>
      </c>
      <c r="BZ24" s="10"/>
      <c r="CA24" s="10">
        <v>1</v>
      </c>
      <c r="CB24" s="10"/>
      <c r="CC24" s="10">
        <v>1</v>
      </c>
      <c r="CG24" s="10"/>
      <c r="CH24" s="24">
        <v>1</v>
      </c>
      <c r="CI24" s="25"/>
      <c r="CJ24" s="24">
        <v>1</v>
      </c>
      <c r="CN24" s="10"/>
      <c r="CO24" s="10">
        <v>1</v>
      </c>
      <c r="CP24" s="10"/>
      <c r="CQ24" s="10">
        <v>1</v>
      </c>
      <c r="CU24" s="10"/>
      <c r="CV24" s="10">
        <v>1</v>
      </c>
      <c r="CW24" s="10"/>
      <c r="CX24" s="10">
        <v>1</v>
      </c>
      <c r="DB24" s="10"/>
      <c r="DC24" s="10"/>
      <c r="DD24" s="10"/>
      <c r="DE24" s="10"/>
      <c r="DP24" s="10"/>
      <c r="DQ24" s="10"/>
      <c r="DR24" s="10"/>
      <c r="DS24" s="10"/>
    </row>
    <row r="26" spans="2:123" x14ac:dyDescent="0.2">
      <c r="B26" t="s">
        <v>27</v>
      </c>
      <c r="C26" t="s">
        <v>108</v>
      </c>
      <c r="D26" s="19">
        <v>45510</v>
      </c>
      <c r="E26" s="9">
        <v>6</v>
      </c>
      <c r="G26" s="10">
        <f>+SUM(G27:G34)</f>
        <v>1</v>
      </c>
      <c r="I26" s="12">
        <f>+SUM(I27:I34)</f>
        <v>0</v>
      </c>
      <c r="J26" s="11">
        <f>+SUMPRODUCT(G27:G34,J27:J34)</f>
        <v>0.03</v>
      </c>
      <c r="K26" s="11">
        <f>+SUMPRODUCT(G27:G34,K27:K34)</f>
        <v>0.03</v>
      </c>
      <c r="N26" s="12">
        <f>+SUM(N27:N34)</f>
        <v>0</v>
      </c>
      <c r="U26" s="12">
        <f>+SUM(U27:U34)</f>
        <v>0</v>
      </c>
      <c r="AB26" s="12">
        <f>+SUM(AB27:AB34)</f>
        <v>0</v>
      </c>
      <c r="AI26" s="12">
        <f>+SUM(AI27:AI34)</f>
        <v>0</v>
      </c>
      <c r="AP26" s="12">
        <f>+SUM(AP27:AP34)</f>
        <v>0</v>
      </c>
      <c r="DA26" s="12">
        <f>+SUM(DA27:DA34)</f>
        <v>0</v>
      </c>
    </row>
    <row r="27" spans="2:123" outlineLevel="1" x14ac:dyDescent="0.2">
      <c r="B27" t="s">
        <v>28</v>
      </c>
      <c r="C27" t="s">
        <v>108</v>
      </c>
      <c r="E27" s="9"/>
      <c r="F27" t="s">
        <v>119</v>
      </c>
      <c r="G27" s="10">
        <v>0.1</v>
      </c>
      <c r="I27" s="9">
        <f t="shared" ref="I27:I34" si="2">+SUMIF($N$3:$ZZ$3,I$3,$N27:$ZZ27)</f>
        <v>0</v>
      </c>
      <c r="J27" s="11" cm="1">
        <f t="array" ref="J27">MAX(IF($N$3:$EH$3=$J$3,N27:EH27))</f>
        <v>0.3</v>
      </c>
      <c r="K27" s="11" cm="1">
        <f t="array" ref="K27">MAX(IF($N$3:$EH$3=$J$3,N27:EH27))</f>
        <v>0.3</v>
      </c>
      <c r="L27" s="21" t="s">
        <v>120</v>
      </c>
      <c r="O27" s="10">
        <v>0.3</v>
      </c>
      <c r="P27" s="10">
        <v>0.8</v>
      </c>
      <c r="Q27" s="10">
        <v>0.3</v>
      </c>
      <c r="R27" s="10">
        <v>0.8</v>
      </c>
      <c r="V27" s="10"/>
      <c r="W27" s="10">
        <v>0.8</v>
      </c>
      <c r="X27" s="10"/>
      <c r="Y27" s="10">
        <v>0.8</v>
      </c>
      <c r="AC27" s="10"/>
      <c r="AD27" s="10">
        <v>1</v>
      </c>
      <c r="AE27" s="10"/>
      <c r="AF27" s="10">
        <v>1</v>
      </c>
      <c r="AJ27" s="10"/>
      <c r="AK27" s="10"/>
      <c r="AL27" s="10"/>
      <c r="AM27" s="10"/>
      <c r="AQ27" s="10"/>
      <c r="AR27" s="10"/>
      <c r="AS27" s="10"/>
      <c r="AT27" s="10"/>
      <c r="AX27" s="10"/>
      <c r="AY27" s="10"/>
      <c r="AZ27" s="10"/>
      <c r="BA27" s="10"/>
      <c r="BE27" s="10"/>
      <c r="BF27" s="10"/>
      <c r="BG27" s="10"/>
      <c r="BH27" s="10"/>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v>1</v>
      </c>
      <c r="DD27" s="10"/>
      <c r="DE27" s="10">
        <v>1</v>
      </c>
      <c r="DI27" s="10"/>
      <c r="DJ27" s="10">
        <v>1</v>
      </c>
      <c r="DK27" s="10"/>
      <c r="DL27" s="10">
        <v>1</v>
      </c>
      <c r="DP27" s="10"/>
      <c r="DQ27" s="10"/>
      <c r="DR27" s="10"/>
      <c r="DS27" s="10"/>
    </row>
    <row r="28" spans="2:123" outlineLevel="1" x14ac:dyDescent="0.2">
      <c r="B28" t="s">
        <v>28</v>
      </c>
      <c r="C28" t="s">
        <v>108</v>
      </c>
      <c r="E28" s="9"/>
      <c r="F28" t="s">
        <v>121</v>
      </c>
      <c r="G28" s="10">
        <v>0.15</v>
      </c>
      <c r="I28" s="9">
        <f t="shared" si="2"/>
        <v>0</v>
      </c>
      <c r="J28" s="11" cm="1">
        <f t="array" ref="J28">MAX(IF($N$3:$EH$3=$J$3,N28:EH28))</f>
        <v>0</v>
      </c>
      <c r="K28" s="11" cm="1">
        <f t="array" ref="K28">MAX(IF($N$3:$EH$3=$J$3,N28:EH28))</f>
        <v>0</v>
      </c>
      <c r="O28" s="10"/>
      <c r="P28" s="10">
        <v>0.3</v>
      </c>
      <c r="Q28" s="10"/>
      <c r="R28" s="10">
        <v>0.3</v>
      </c>
      <c r="V28" s="10"/>
      <c r="W28" s="10">
        <v>0.5</v>
      </c>
      <c r="X28" s="10"/>
      <c r="Y28" s="10">
        <v>0.5</v>
      </c>
      <c r="AC28" s="10"/>
      <c r="AD28" s="10">
        <v>0.8</v>
      </c>
      <c r="AE28" s="10"/>
      <c r="AF28" s="10">
        <v>0.8</v>
      </c>
      <c r="AJ28" s="10"/>
      <c r="AK28" s="10"/>
      <c r="AL28" s="10"/>
      <c r="AM28" s="10"/>
      <c r="AQ28" s="10"/>
      <c r="AR28" s="10"/>
      <c r="AS28" s="10"/>
      <c r="AT28" s="10"/>
      <c r="AX28" s="10"/>
      <c r="AY28" s="10"/>
      <c r="AZ28" s="10"/>
      <c r="BA28" s="10"/>
      <c r="BE28" s="10"/>
      <c r="BF28" s="10"/>
      <c r="BG28" s="10"/>
      <c r="BH28" s="10"/>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v>1</v>
      </c>
      <c r="DD28" s="10"/>
      <c r="DE28" s="10">
        <v>1</v>
      </c>
      <c r="DI28" s="10"/>
      <c r="DJ28" s="10">
        <v>1</v>
      </c>
      <c r="DK28" s="10"/>
      <c r="DL28" s="10">
        <v>1</v>
      </c>
      <c r="DP28" s="10"/>
      <c r="DQ28" s="10"/>
      <c r="DR28" s="10"/>
      <c r="DS28" s="10"/>
    </row>
    <row r="29" spans="2:123" outlineLevel="1" x14ac:dyDescent="0.2">
      <c r="B29" t="s">
        <v>28</v>
      </c>
      <c r="C29" t="s">
        <v>108</v>
      </c>
      <c r="E29" s="9"/>
      <c r="F29" t="s">
        <v>122</v>
      </c>
      <c r="G29" s="10">
        <v>0.1</v>
      </c>
      <c r="I29" s="9">
        <f t="shared" si="2"/>
        <v>0</v>
      </c>
      <c r="J29" s="11" cm="1">
        <f t="array" ref="J29">MAX(IF($N$3:$EH$3=$J$3,N29:EH29))</f>
        <v>0</v>
      </c>
      <c r="K29" s="11" cm="1">
        <f t="array" ref="K29">MAX(IF($N$3:$EH$3=$J$3,N29:EH29))</f>
        <v>0</v>
      </c>
      <c r="O29" s="10"/>
      <c r="P29" s="10"/>
      <c r="Q29" s="10"/>
      <c r="R29" s="10"/>
      <c r="V29" s="10"/>
      <c r="W29" s="10">
        <v>0.3</v>
      </c>
      <c r="X29" s="10"/>
      <c r="Y29" s="10">
        <v>0.3</v>
      </c>
      <c r="AC29" s="10"/>
      <c r="AD29" s="10">
        <v>0.5</v>
      </c>
      <c r="AE29" s="10"/>
      <c r="AF29" s="10">
        <v>0.5</v>
      </c>
      <c r="AJ29" s="10"/>
      <c r="AK29" s="10"/>
      <c r="AL29" s="10"/>
      <c r="AM29" s="10"/>
      <c r="AQ29" s="10"/>
      <c r="AR29" s="10"/>
      <c r="AS29" s="10"/>
      <c r="AT29" s="10"/>
      <c r="AX29" s="10"/>
      <c r="AY29" s="10"/>
      <c r="AZ29" s="10"/>
      <c r="BA29" s="10"/>
      <c r="BE29" s="10"/>
      <c r="BF29" s="10"/>
      <c r="BG29" s="10"/>
      <c r="BH29" s="10"/>
      <c r="BL29" s="10"/>
      <c r="BM29" s="10"/>
      <c r="BN29" s="10"/>
      <c r="BO29" s="10"/>
      <c r="BS29" s="10"/>
      <c r="BT29" s="10"/>
      <c r="BU29" s="10"/>
      <c r="BV29" s="10"/>
      <c r="BZ29" s="10"/>
      <c r="CA29" s="10"/>
      <c r="CB29" s="10"/>
      <c r="CC29" s="10"/>
      <c r="CG29" s="10"/>
      <c r="CH29" s="10"/>
      <c r="CI29" s="10"/>
      <c r="CJ29" s="10"/>
      <c r="CN29" s="10"/>
      <c r="CO29" s="10"/>
      <c r="CP29" s="10"/>
      <c r="CQ29" s="10"/>
      <c r="CU29" s="10"/>
      <c r="CV29" s="10"/>
      <c r="CW29" s="10"/>
      <c r="CX29" s="10"/>
      <c r="DB29" s="10"/>
      <c r="DC29" s="10">
        <v>1</v>
      </c>
      <c r="DD29" s="10"/>
      <c r="DE29" s="10">
        <v>1</v>
      </c>
      <c r="DI29" s="10"/>
      <c r="DJ29" s="10">
        <v>1</v>
      </c>
      <c r="DK29" s="10"/>
      <c r="DL29" s="10">
        <v>1</v>
      </c>
      <c r="DP29" s="10"/>
      <c r="DQ29" s="10"/>
      <c r="DR29" s="10"/>
      <c r="DS29" s="10"/>
    </row>
    <row r="30" spans="2:123" outlineLevel="1" x14ac:dyDescent="0.2">
      <c r="B30" t="s">
        <v>28</v>
      </c>
      <c r="C30" t="s">
        <v>108</v>
      </c>
      <c r="E30" s="9"/>
      <c r="F30" t="s">
        <v>123</v>
      </c>
      <c r="G30" s="10">
        <v>0.15</v>
      </c>
      <c r="I30" s="9">
        <f t="shared" si="2"/>
        <v>0</v>
      </c>
      <c r="J30" s="11" cm="1">
        <f t="array" ref="J30">MAX(IF($N$3:$EH$3=$J$3,N30:EH30))</f>
        <v>0</v>
      </c>
      <c r="K30" s="11" cm="1">
        <f t="array" ref="K30">MAX(IF($N$3:$EH$3=$J$3,N30:EH30))</f>
        <v>0</v>
      </c>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v>1</v>
      </c>
      <c r="DD30" s="10"/>
      <c r="DE30" s="10">
        <v>1</v>
      </c>
      <c r="DI30" s="10"/>
      <c r="DJ30" s="10">
        <v>1</v>
      </c>
      <c r="DK30" s="10"/>
      <c r="DL30" s="10">
        <v>1</v>
      </c>
      <c r="DP30" s="10"/>
      <c r="DQ30" s="10"/>
      <c r="DR30" s="10"/>
      <c r="DS30" s="10"/>
    </row>
    <row r="31" spans="2:123" outlineLevel="1" x14ac:dyDescent="0.2">
      <c r="B31" t="s">
        <v>28</v>
      </c>
      <c r="C31" t="s">
        <v>108</v>
      </c>
      <c r="E31" s="9"/>
      <c r="F31" t="s">
        <v>124</v>
      </c>
      <c r="G31" s="10">
        <v>0.1</v>
      </c>
      <c r="I31" s="9">
        <f t="shared" si="2"/>
        <v>0</v>
      </c>
      <c r="J31" s="11" cm="1">
        <f t="array" ref="J31">MAX(IF($N$3:$EH$3=$J$3,N31:EH31))</f>
        <v>0</v>
      </c>
      <c r="K31" s="11" cm="1">
        <f t="array" ref="K31">MAX(IF($N$3:$EH$3=$J$3,N31:EH31))</f>
        <v>0</v>
      </c>
      <c r="L31" s="21" t="s">
        <v>128</v>
      </c>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v>1</v>
      </c>
      <c r="DD31" s="10"/>
      <c r="DE31" s="10">
        <v>1</v>
      </c>
      <c r="DI31" s="10"/>
      <c r="DJ31" s="10">
        <v>1</v>
      </c>
      <c r="DK31" s="10"/>
      <c r="DL31" s="10">
        <v>1</v>
      </c>
      <c r="DP31" s="10"/>
      <c r="DQ31" s="10"/>
      <c r="DR31" s="10"/>
      <c r="DS31" s="10"/>
    </row>
    <row r="32" spans="2:123" outlineLevel="1" x14ac:dyDescent="0.2">
      <c r="B32" t="s">
        <v>28</v>
      </c>
      <c r="C32" t="s">
        <v>108</v>
      </c>
      <c r="E32" s="9"/>
      <c r="F32" t="s">
        <v>125</v>
      </c>
      <c r="G32" s="10">
        <v>0.1</v>
      </c>
      <c r="I32" s="9">
        <f t="shared" si="2"/>
        <v>0</v>
      </c>
      <c r="J32" s="11" cm="1">
        <f t="array" ref="J32">MAX(IF($N$3:$EH$3=$J$3,N32:EH32))</f>
        <v>0</v>
      </c>
      <c r="K32" s="11" cm="1">
        <f t="array" ref="K32">MAX(IF($N$3:$EH$3=$J$3,N32:EH32))</f>
        <v>0</v>
      </c>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c r="BS32" s="10"/>
      <c r="BT32" s="10"/>
      <c r="BU32" s="10"/>
      <c r="BV32" s="10"/>
      <c r="BZ32" s="10"/>
      <c r="CA32" s="10"/>
      <c r="CB32" s="10"/>
      <c r="CC32" s="10"/>
      <c r="CG32" s="10"/>
      <c r="CH32" s="10"/>
      <c r="CI32" s="10"/>
      <c r="CJ32" s="10"/>
      <c r="CN32" s="10"/>
      <c r="CO32" s="10"/>
      <c r="CP32" s="10"/>
      <c r="CQ32" s="10"/>
      <c r="CU32" s="10"/>
      <c r="CV32" s="10"/>
      <c r="CW32" s="10"/>
      <c r="CX32" s="10"/>
      <c r="DB32" s="10"/>
      <c r="DC32" s="10">
        <v>1</v>
      </c>
      <c r="DD32" s="10"/>
      <c r="DE32" s="10">
        <v>1</v>
      </c>
      <c r="DI32" s="10"/>
      <c r="DJ32" s="10">
        <v>1</v>
      </c>
      <c r="DK32" s="10"/>
      <c r="DL32" s="10">
        <v>1</v>
      </c>
      <c r="DP32" s="10"/>
      <c r="DQ32" s="10"/>
      <c r="DR32" s="10"/>
      <c r="DS32" s="10"/>
    </row>
    <row r="33" spans="2:123" outlineLevel="1" x14ac:dyDescent="0.2">
      <c r="B33" t="s">
        <v>28</v>
      </c>
      <c r="C33" t="s">
        <v>108</v>
      </c>
      <c r="E33" s="9"/>
      <c r="F33" t="s">
        <v>126</v>
      </c>
      <c r="G33" s="10">
        <v>0.15</v>
      </c>
      <c r="I33" s="9">
        <f t="shared" si="2"/>
        <v>0</v>
      </c>
      <c r="J33" s="11" cm="1">
        <f t="array" ref="J33">MAX(IF($N$3:$EH$3=$J$3,N33:EH33))</f>
        <v>0</v>
      </c>
      <c r="K33" s="11" cm="1">
        <f t="array" ref="K33">MAX(IF($N$3:$EH$3=$J$3,N33:EH33))</f>
        <v>0</v>
      </c>
      <c r="L33" s="21" t="s">
        <v>127</v>
      </c>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v>1</v>
      </c>
      <c r="DD33" s="10"/>
      <c r="DE33" s="10">
        <v>1</v>
      </c>
      <c r="DI33" s="10"/>
      <c r="DJ33" s="10">
        <v>1</v>
      </c>
      <c r="DK33" s="10"/>
      <c r="DL33" s="10">
        <v>1</v>
      </c>
      <c r="DP33" s="10"/>
      <c r="DQ33" s="10"/>
      <c r="DR33" s="10"/>
      <c r="DS33" s="10"/>
    </row>
    <row r="34" spans="2:123" outlineLevel="1" x14ac:dyDescent="0.2">
      <c r="B34" t="s">
        <v>28</v>
      </c>
      <c r="C34" t="s">
        <v>108</v>
      </c>
      <c r="E34" s="9"/>
      <c r="F34" t="s">
        <v>129</v>
      </c>
      <c r="G34" s="10">
        <v>0.15</v>
      </c>
      <c r="I34" s="9">
        <f t="shared" si="2"/>
        <v>0</v>
      </c>
      <c r="J34" s="11" cm="1">
        <f t="array" ref="J34">MAX(IF($N$3:$EH$3=$J$3,N34:EH34))</f>
        <v>0</v>
      </c>
      <c r="K34" s="11" cm="1">
        <f t="array" ref="K34">MAX(IF($N$3:$EH$3=$J$3,N34:EH34))</f>
        <v>0</v>
      </c>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c r="BZ34" s="10"/>
      <c r="CA34" s="10"/>
      <c r="CB34" s="10"/>
      <c r="CC34" s="10"/>
      <c r="CG34" s="10"/>
      <c r="CH34" s="10"/>
      <c r="CI34" s="10"/>
      <c r="CJ34" s="10"/>
      <c r="CN34" s="10"/>
      <c r="CO34" s="10"/>
      <c r="CP34" s="10"/>
      <c r="CQ34" s="10"/>
      <c r="CU34" s="10"/>
      <c r="CV34" s="10"/>
      <c r="CW34" s="10"/>
      <c r="CX34" s="10"/>
      <c r="DB34" s="10"/>
      <c r="DC34" s="10">
        <v>1</v>
      </c>
      <c r="DD34" s="10"/>
      <c r="DE34" s="10">
        <v>1</v>
      </c>
      <c r="DI34" s="10"/>
      <c r="DJ34" s="10">
        <v>1</v>
      </c>
      <c r="DK34" s="10"/>
      <c r="DL34" s="10">
        <v>1</v>
      </c>
      <c r="DP34" s="10"/>
      <c r="DQ34" s="10"/>
      <c r="DR34" s="10"/>
      <c r="DS34" s="10"/>
    </row>
    <row r="36" spans="2:123" x14ac:dyDescent="0.2">
      <c r="B36" t="s">
        <v>27</v>
      </c>
      <c r="C36" t="s">
        <v>107</v>
      </c>
      <c r="D36" s="19">
        <v>45493</v>
      </c>
      <c r="E36" s="9">
        <v>9</v>
      </c>
      <c r="G36" s="10">
        <f>+SUM(G37:G44)</f>
        <v>1</v>
      </c>
      <c r="I36" s="12">
        <f>+SUM(I37:I44)</f>
        <v>6</v>
      </c>
      <c r="J36" s="11">
        <f>+SUMPRODUCT(G37:G44,J37:J44)</f>
        <v>7.0000000000000007E-2</v>
      </c>
      <c r="K36" s="11">
        <f>+SUMPRODUCT(G37:G44,K37:K44)</f>
        <v>7.0000000000000007E-2</v>
      </c>
      <c r="N36" s="12">
        <f>+SUM(N37:N44)</f>
        <v>6</v>
      </c>
      <c r="U36" s="12">
        <f>+SUM(U37:U44)</f>
        <v>0</v>
      </c>
      <c r="AB36" s="12">
        <f>+SUM(AB37:AB44)</f>
        <v>0</v>
      </c>
      <c r="AI36" s="12">
        <f>+SUM(AI37:AI44)</f>
        <v>0</v>
      </c>
      <c r="AP36" s="12">
        <f>+SUM(AP37:AP44)</f>
        <v>0</v>
      </c>
    </row>
    <row r="37" spans="2:123" outlineLevel="1" x14ac:dyDescent="0.2">
      <c r="B37" t="s">
        <v>28</v>
      </c>
      <c r="C37" t="s">
        <v>107</v>
      </c>
      <c r="E37" s="9"/>
      <c r="F37" t="s">
        <v>111</v>
      </c>
      <c r="G37" s="10">
        <v>0.1</v>
      </c>
      <c r="I37" s="9">
        <f t="shared" ref="I37:I44" si="3">+SUMIF($N$3:$ZZ$3,I$3,$N37:$ZZ37)</f>
        <v>3</v>
      </c>
      <c r="J37" s="11" cm="1">
        <f t="array" ref="J37">MAX(IF($N$3:$EH$3=$J$3,N37:EH37))</f>
        <v>0.5</v>
      </c>
      <c r="K37" s="11" cm="1">
        <f t="array" ref="K37">MAX(IF($N$3:$EH$3=$J$3,N37:EH37))</f>
        <v>0.5</v>
      </c>
      <c r="N37">
        <v>3</v>
      </c>
      <c r="O37" s="10">
        <v>0.5</v>
      </c>
      <c r="P37" s="10">
        <v>0.5</v>
      </c>
      <c r="Q37" s="10">
        <v>0.3</v>
      </c>
      <c r="R37" s="10">
        <v>0.5</v>
      </c>
      <c r="V37" s="10"/>
      <c r="W37" s="10">
        <v>0.8</v>
      </c>
      <c r="X37" s="10"/>
      <c r="Y37" s="10">
        <v>0.8</v>
      </c>
      <c r="AC37" s="10"/>
      <c r="AD37" s="10">
        <v>1</v>
      </c>
      <c r="AE37" s="10"/>
      <c r="AF37" s="10">
        <v>1</v>
      </c>
      <c r="AJ37" s="10"/>
      <c r="AK37" s="10">
        <v>1</v>
      </c>
      <c r="AL37" s="10"/>
      <c r="AM37" s="10">
        <v>1</v>
      </c>
      <c r="AQ37" s="10"/>
      <c r="AR37" s="10">
        <v>1</v>
      </c>
      <c r="AS37" s="10"/>
      <c r="AT37" s="10">
        <v>1</v>
      </c>
      <c r="AX37" s="10"/>
      <c r="AY37" s="10">
        <v>1</v>
      </c>
      <c r="AZ37" s="10"/>
      <c r="BA37" s="10">
        <v>1</v>
      </c>
      <c r="BE37" s="10"/>
      <c r="BF37" s="10">
        <v>1</v>
      </c>
      <c r="BG37" s="10"/>
      <c r="BH37" s="10">
        <v>1</v>
      </c>
      <c r="BL37" s="10"/>
      <c r="BM37" s="10">
        <v>1</v>
      </c>
      <c r="BN37" s="10"/>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c r="CW37" s="10"/>
      <c r="CX37" s="10"/>
      <c r="DB37" s="10"/>
      <c r="DC37" s="10"/>
      <c r="DD37" s="10"/>
      <c r="DE37" s="10"/>
      <c r="DI37" s="10"/>
      <c r="DJ37" s="10"/>
      <c r="DK37" s="10"/>
      <c r="DL37" s="10"/>
      <c r="DP37" s="10"/>
      <c r="DQ37" s="10"/>
      <c r="DR37" s="10"/>
      <c r="DS37" s="10"/>
    </row>
    <row r="38" spans="2:123" outlineLevel="1" x14ac:dyDescent="0.2">
      <c r="B38" t="s">
        <v>28</v>
      </c>
      <c r="C38" t="s">
        <v>107</v>
      </c>
      <c r="E38" s="9"/>
      <c r="F38" t="s">
        <v>112</v>
      </c>
      <c r="G38" s="10">
        <v>0.2</v>
      </c>
      <c r="I38" s="9">
        <f t="shared" si="3"/>
        <v>3</v>
      </c>
      <c r="J38" s="11" cm="1">
        <f t="array" ref="J38">MAX(IF($N$3:$EH$3=$J$3,N38:EH38))</f>
        <v>0.1</v>
      </c>
      <c r="K38" s="11" cm="1">
        <f t="array" ref="K38">MAX(IF($N$3:$EH$3=$J$3,N38:EH38))</f>
        <v>0.1</v>
      </c>
      <c r="N38">
        <v>3</v>
      </c>
      <c r="O38" s="10">
        <v>0.1</v>
      </c>
      <c r="P38" s="10">
        <v>0.3</v>
      </c>
      <c r="Q38" s="10">
        <v>0.1</v>
      </c>
      <c r="R38" s="10">
        <v>0.3</v>
      </c>
      <c r="V38" s="10"/>
      <c r="W38" s="10">
        <v>0.5</v>
      </c>
      <c r="X38" s="10"/>
      <c r="Y38" s="10">
        <v>0.5</v>
      </c>
      <c r="AC38" s="10"/>
      <c r="AD38" s="10">
        <v>0.8</v>
      </c>
      <c r="AE38" s="10"/>
      <c r="AF38" s="10">
        <v>0.8</v>
      </c>
      <c r="AJ38" s="10"/>
      <c r="AK38" s="10">
        <v>1</v>
      </c>
      <c r="AL38" s="10"/>
      <c r="AM38" s="10">
        <v>1</v>
      </c>
      <c r="AQ38" s="10"/>
      <c r="AR38" s="10">
        <v>1</v>
      </c>
      <c r="AS38" s="10"/>
      <c r="AT38" s="10">
        <v>1</v>
      </c>
      <c r="AX38" s="10"/>
      <c r="AY38" s="10">
        <v>1</v>
      </c>
      <c r="AZ38" s="10"/>
      <c r="BA38" s="10">
        <v>1</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c r="CW38" s="10"/>
      <c r="CX38" s="10"/>
      <c r="DB38" s="10"/>
      <c r="DC38" s="10"/>
      <c r="DD38" s="10"/>
      <c r="DE38" s="10"/>
      <c r="DI38" s="10"/>
      <c r="DJ38" s="10"/>
      <c r="DK38" s="10"/>
      <c r="DL38" s="10"/>
      <c r="DP38" s="10"/>
      <c r="DQ38" s="10"/>
      <c r="DR38" s="10"/>
      <c r="DS38" s="10"/>
    </row>
    <row r="39" spans="2:123" outlineLevel="1" x14ac:dyDescent="0.2">
      <c r="B39" t="s">
        <v>28</v>
      </c>
      <c r="C39" t="s">
        <v>107</v>
      </c>
      <c r="E39" s="9"/>
      <c r="F39" t="s">
        <v>113</v>
      </c>
      <c r="G39" s="10">
        <v>0.1</v>
      </c>
      <c r="I39" s="9">
        <f t="shared" si="3"/>
        <v>0</v>
      </c>
      <c r="J39" s="11" cm="1">
        <f t="array" ref="J39">MAX(IF($N$3:$EH$3=$J$3,N39:EH39))</f>
        <v>0</v>
      </c>
      <c r="K39" s="11" cm="1">
        <f t="array" ref="K39">MAX(IF($N$3:$EH$3=$J$3,N39:EH39))</f>
        <v>0</v>
      </c>
      <c r="O39" s="10"/>
      <c r="P39" s="10"/>
      <c r="Q39" s="10"/>
      <c r="R39" s="10"/>
      <c r="V39" s="10"/>
      <c r="W39" s="10"/>
      <c r="X39" s="10"/>
      <c r="Y39" s="10"/>
      <c r="AC39" s="10"/>
      <c r="AD39" s="10"/>
      <c r="AE39" s="10"/>
      <c r="AF39" s="10"/>
      <c r="AJ39" s="10"/>
      <c r="AK39" s="10">
        <v>0.3</v>
      </c>
      <c r="AL39" s="10"/>
      <c r="AM39" s="10">
        <v>0.3</v>
      </c>
      <c r="AQ39" s="10"/>
      <c r="AR39" s="10">
        <v>0.6</v>
      </c>
      <c r="AS39" s="10"/>
      <c r="AT39" s="10">
        <v>0.6</v>
      </c>
      <c r="AX39" s="10"/>
      <c r="AY39" s="10">
        <v>0.8</v>
      </c>
      <c r="AZ39" s="10"/>
      <c r="BA39" s="10">
        <v>0.8</v>
      </c>
      <c r="BE39" s="10"/>
      <c r="BF39" s="10">
        <v>1</v>
      </c>
      <c r="BG39" s="10"/>
      <c r="BH39" s="10">
        <v>1</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c r="CW39" s="10"/>
      <c r="CX39" s="10"/>
      <c r="DB39" s="10"/>
      <c r="DC39" s="10"/>
      <c r="DD39" s="10"/>
      <c r="DE39" s="10"/>
      <c r="DI39" s="10"/>
      <c r="DJ39" s="10"/>
      <c r="DK39" s="10"/>
      <c r="DL39" s="10"/>
      <c r="DP39" s="10"/>
      <c r="DQ39" s="10"/>
      <c r="DR39" s="10"/>
      <c r="DS39" s="10"/>
    </row>
    <row r="40" spans="2:123" outlineLevel="1" x14ac:dyDescent="0.2">
      <c r="B40" t="s">
        <v>28</v>
      </c>
      <c r="C40" t="s">
        <v>107</v>
      </c>
      <c r="E40" s="9"/>
      <c r="F40" t="s">
        <v>114</v>
      </c>
      <c r="G40" s="10">
        <v>0.1</v>
      </c>
      <c r="I40" s="9">
        <f t="shared" si="3"/>
        <v>0</v>
      </c>
      <c r="J40" s="11" cm="1">
        <f t="array" ref="J40">MAX(IF($N$3:$EH$3=$J$3,N40:EH40))</f>
        <v>0</v>
      </c>
      <c r="K40" s="11" cm="1">
        <f t="array" ref="K40">MAX(IF($N$3:$EH$3=$J$3,N40:EH40))</f>
        <v>0</v>
      </c>
      <c r="O40" s="10"/>
      <c r="P40" s="10"/>
      <c r="Q40" s="10"/>
      <c r="R40" s="10"/>
      <c r="V40" s="10"/>
      <c r="W40" s="10"/>
      <c r="X40" s="10"/>
      <c r="Y40" s="10"/>
      <c r="AC40" s="10"/>
      <c r="AD40" s="10"/>
      <c r="AE40" s="10"/>
      <c r="AF40" s="10"/>
      <c r="AJ40" s="10"/>
      <c r="AK40" s="10"/>
      <c r="AL40" s="10"/>
      <c r="AM40" s="10"/>
      <c r="AQ40" s="10"/>
      <c r="AR40" s="10">
        <v>0.2</v>
      </c>
      <c r="AS40" s="10"/>
      <c r="AT40" s="10">
        <v>0.2</v>
      </c>
      <c r="AX40" s="10"/>
      <c r="AY40" s="10">
        <v>0.5</v>
      </c>
      <c r="AZ40" s="10"/>
      <c r="BA40" s="10">
        <v>0.5</v>
      </c>
      <c r="BE40" s="10"/>
      <c r="BF40" s="10">
        <v>0.8</v>
      </c>
      <c r="BG40" s="10"/>
      <c r="BH40" s="10">
        <v>0.8</v>
      </c>
      <c r="BL40" s="10"/>
      <c r="BM40" s="10">
        <v>1</v>
      </c>
      <c r="BN40" s="10"/>
      <c r="BO40" s="10">
        <v>1</v>
      </c>
      <c r="BS40" s="10"/>
      <c r="BT40" s="10">
        <v>1</v>
      </c>
      <c r="BU40" s="10"/>
      <c r="BV40" s="10">
        <v>1</v>
      </c>
      <c r="BZ40" s="10"/>
      <c r="CA40" s="10">
        <v>1</v>
      </c>
      <c r="CB40" s="10"/>
      <c r="CC40" s="10">
        <v>1</v>
      </c>
      <c r="CG40" s="10"/>
      <c r="CH40" s="10">
        <v>1</v>
      </c>
      <c r="CI40" s="10"/>
      <c r="CJ40" s="10">
        <v>1</v>
      </c>
      <c r="CN40" s="10"/>
      <c r="CO40" s="10">
        <v>1</v>
      </c>
      <c r="CP40" s="10"/>
      <c r="CQ40" s="10">
        <v>1</v>
      </c>
      <c r="CU40" s="10"/>
      <c r="CV40" s="10"/>
      <c r="CW40" s="10"/>
      <c r="CX40" s="10"/>
      <c r="DB40" s="10"/>
      <c r="DC40" s="10"/>
      <c r="DD40" s="10"/>
      <c r="DE40" s="10"/>
      <c r="DI40" s="10"/>
      <c r="DJ40" s="10"/>
      <c r="DK40" s="10"/>
      <c r="DL40" s="10"/>
      <c r="DP40" s="10"/>
      <c r="DQ40" s="10"/>
      <c r="DR40" s="10"/>
      <c r="DS40" s="10"/>
    </row>
    <row r="41" spans="2:123" outlineLevel="1" x14ac:dyDescent="0.2">
      <c r="B41" t="s">
        <v>28</v>
      </c>
      <c r="C41" t="s">
        <v>107</v>
      </c>
      <c r="E41" s="9"/>
      <c r="F41" t="s">
        <v>115</v>
      </c>
      <c r="G41" s="10">
        <v>0.1</v>
      </c>
      <c r="I41" s="9">
        <f t="shared" si="3"/>
        <v>0</v>
      </c>
      <c r="J41" s="11" cm="1">
        <f t="array" ref="J41">MAX(IF($N$3:$EH$3=$J$3,N41:EH41))</f>
        <v>0</v>
      </c>
      <c r="K41" s="11" cm="1">
        <f t="array" ref="K41">MAX(IF($N$3:$EH$3=$J$3,N41:EH41))</f>
        <v>0</v>
      </c>
      <c r="O41" s="10"/>
      <c r="P41" s="10"/>
      <c r="Q41" s="10"/>
      <c r="R41" s="10"/>
      <c r="V41" s="10"/>
      <c r="W41" s="10"/>
      <c r="X41" s="10"/>
      <c r="Y41" s="10"/>
      <c r="AC41" s="10"/>
      <c r="AD41" s="10"/>
      <c r="AE41" s="10"/>
      <c r="AF41" s="10"/>
      <c r="AJ41" s="10"/>
      <c r="AK41" s="10"/>
      <c r="AL41" s="10"/>
      <c r="AM41" s="10"/>
      <c r="AQ41" s="10"/>
      <c r="AR41" s="10"/>
      <c r="AS41" s="10"/>
      <c r="AT41" s="10"/>
      <c r="AX41" s="10"/>
      <c r="AY41" s="10">
        <v>0.2</v>
      </c>
      <c r="AZ41" s="10"/>
      <c r="BA41" s="10">
        <v>0.2</v>
      </c>
      <c r="BE41" s="10"/>
      <c r="BF41" s="10">
        <v>0.5</v>
      </c>
      <c r="BG41" s="10"/>
      <c r="BH41" s="10">
        <v>0.5</v>
      </c>
      <c r="BL41" s="10"/>
      <c r="BM41" s="10">
        <v>0.8</v>
      </c>
      <c r="BN41" s="10"/>
      <c r="BO41" s="10">
        <v>0.8</v>
      </c>
      <c r="BS41" s="10"/>
      <c r="BT41" s="10">
        <v>1</v>
      </c>
      <c r="BU41" s="10"/>
      <c r="BV41" s="10">
        <v>1</v>
      </c>
      <c r="BZ41" s="10"/>
      <c r="CA41" s="10">
        <v>1</v>
      </c>
      <c r="CB41" s="10"/>
      <c r="CC41" s="10">
        <v>1</v>
      </c>
      <c r="CG41" s="10"/>
      <c r="CH41" s="10">
        <v>1</v>
      </c>
      <c r="CI41" s="10"/>
      <c r="CJ41" s="10">
        <v>1</v>
      </c>
      <c r="CN41" s="10"/>
      <c r="CO41" s="10">
        <v>1</v>
      </c>
      <c r="CP41" s="10"/>
      <c r="CQ41" s="10">
        <v>1</v>
      </c>
      <c r="CU41" s="10"/>
      <c r="CV41" s="10"/>
      <c r="CW41" s="10"/>
      <c r="CX41" s="10"/>
      <c r="DB41" s="10"/>
      <c r="DC41" s="10"/>
      <c r="DD41" s="10"/>
      <c r="DE41" s="10"/>
      <c r="DI41" s="10"/>
      <c r="DJ41" s="10"/>
      <c r="DK41" s="10"/>
      <c r="DL41" s="10"/>
      <c r="DP41" s="10"/>
      <c r="DQ41" s="10"/>
      <c r="DR41" s="10"/>
      <c r="DS41" s="10"/>
    </row>
    <row r="42" spans="2:123" outlineLevel="1" x14ac:dyDescent="0.2">
      <c r="B42" t="s">
        <v>28</v>
      </c>
      <c r="C42" t="s">
        <v>107</v>
      </c>
      <c r="E42" s="9"/>
      <c r="F42" t="s">
        <v>116</v>
      </c>
      <c r="G42" s="10">
        <v>0.1</v>
      </c>
      <c r="I42" s="9">
        <f t="shared" si="3"/>
        <v>0</v>
      </c>
      <c r="J42" s="11" cm="1">
        <f t="array" ref="J42">MAX(IF($N$3:$EH$3=$J$3,N42:EH42))</f>
        <v>0</v>
      </c>
      <c r="K42" s="11" cm="1">
        <f t="array" ref="K42">MAX(IF($N$3:$EH$3=$J$3,N42:EH42))</f>
        <v>0</v>
      </c>
      <c r="O42" s="10"/>
      <c r="P42" s="10"/>
      <c r="Q42" s="10"/>
      <c r="R42" s="10"/>
      <c r="V42" s="10"/>
      <c r="W42" s="10"/>
      <c r="X42" s="10"/>
      <c r="Y42" s="10"/>
      <c r="AC42" s="10"/>
      <c r="AD42" s="10"/>
      <c r="AE42" s="10"/>
      <c r="AF42" s="10"/>
      <c r="AJ42" s="10"/>
      <c r="AK42" s="10"/>
      <c r="AL42" s="10"/>
      <c r="AM42" s="10"/>
      <c r="AQ42" s="10"/>
      <c r="AR42" s="10"/>
      <c r="AS42" s="10"/>
      <c r="AT42" s="10"/>
      <c r="AX42" s="10"/>
      <c r="AY42" s="10"/>
      <c r="AZ42" s="10"/>
      <c r="BA42" s="10"/>
      <c r="BE42" s="10"/>
      <c r="BF42" s="10"/>
      <c r="BG42" s="10"/>
      <c r="BH42" s="10"/>
      <c r="BL42" s="10"/>
      <c r="BM42" s="10">
        <v>0.3</v>
      </c>
      <c r="BN42" s="10"/>
      <c r="BO42" s="10">
        <v>0.3</v>
      </c>
      <c r="BS42" s="10"/>
      <c r="BT42" s="10">
        <v>0.5</v>
      </c>
      <c r="BU42" s="10"/>
      <c r="BV42" s="10">
        <v>0.5</v>
      </c>
      <c r="BZ42" s="10"/>
      <c r="CA42" s="10">
        <v>0.8</v>
      </c>
      <c r="CB42" s="10"/>
      <c r="CC42" s="10">
        <v>0.8</v>
      </c>
      <c r="CG42" s="10"/>
      <c r="CH42" s="10">
        <v>1</v>
      </c>
      <c r="CI42" s="10"/>
      <c r="CJ42" s="10">
        <v>1</v>
      </c>
      <c r="CN42" s="10"/>
      <c r="CO42" s="10">
        <v>1</v>
      </c>
      <c r="CP42" s="10"/>
      <c r="CQ42" s="10">
        <v>1</v>
      </c>
      <c r="CU42" s="10"/>
      <c r="CV42" s="10"/>
      <c r="CW42" s="10"/>
      <c r="CX42" s="10"/>
      <c r="DB42" s="10"/>
      <c r="DC42" s="10"/>
      <c r="DD42" s="10"/>
      <c r="DE42" s="10"/>
      <c r="DI42" s="10"/>
      <c r="DJ42" s="10"/>
      <c r="DK42" s="10"/>
      <c r="DL42" s="10"/>
      <c r="DP42" s="10"/>
      <c r="DQ42" s="10"/>
      <c r="DR42" s="10"/>
      <c r="DS42" s="10"/>
    </row>
    <row r="43" spans="2:123" outlineLevel="1" x14ac:dyDescent="0.2">
      <c r="B43" t="s">
        <v>28</v>
      </c>
      <c r="C43" t="s">
        <v>107</v>
      </c>
      <c r="E43" s="9"/>
      <c r="F43" t="s">
        <v>117</v>
      </c>
      <c r="G43" s="10">
        <v>0.1</v>
      </c>
      <c r="I43" s="9">
        <f t="shared" si="3"/>
        <v>0</v>
      </c>
      <c r="J43" s="11" cm="1">
        <f t="array" ref="J43">MAX(IF($N$3:$EH$3=$J$3,N43:EH43))</f>
        <v>0</v>
      </c>
      <c r="K43" s="11" cm="1">
        <f t="array" ref="K43">MAX(IF($N$3:$EH$3=$J$3,N43:EH43))</f>
        <v>0</v>
      </c>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c r="BG43" s="10"/>
      <c r="BH43" s="10"/>
      <c r="BL43" s="10"/>
      <c r="BM43" s="10"/>
      <c r="BN43" s="10"/>
      <c r="BO43" s="10"/>
      <c r="BS43" s="10"/>
      <c r="BT43" s="10">
        <v>0.3</v>
      </c>
      <c r="BU43" s="10"/>
      <c r="BV43" s="10">
        <v>0.3</v>
      </c>
      <c r="BZ43" s="10"/>
      <c r="CA43" s="10">
        <v>0.5</v>
      </c>
      <c r="CB43" s="10"/>
      <c r="CC43" s="10">
        <v>0.5</v>
      </c>
      <c r="CG43" s="10"/>
      <c r="CH43" s="10">
        <v>0.8</v>
      </c>
      <c r="CI43" s="10"/>
      <c r="CJ43" s="10">
        <v>0.8</v>
      </c>
      <c r="CN43" s="10"/>
      <c r="CO43" s="10">
        <v>1</v>
      </c>
      <c r="CP43" s="10"/>
      <c r="CQ43" s="10">
        <v>1</v>
      </c>
      <c r="CU43" s="10"/>
      <c r="CV43" s="10"/>
      <c r="CW43" s="10"/>
      <c r="CX43" s="10"/>
      <c r="DB43" s="10"/>
      <c r="DC43" s="10"/>
      <c r="DD43" s="10"/>
      <c r="DE43" s="10"/>
      <c r="DI43" s="10"/>
      <c r="DJ43" s="10"/>
      <c r="DK43" s="10"/>
      <c r="DL43" s="10"/>
      <c r="DP43" s="10"/>
      <c r="DQ43" s="10"/>
      <c r="DR43" s="10"/>
      <c r="DS43" s="10"/>
    </row>
    <row r="44" spans="2:123" outlineLevel="1" x14ac:dyDescent="0.2">
      <c r="B44" t="s">
        <v>28</v>
      </c>
      <c r="C44" t="s">
        <v>107</v>
      </c>
      <c r="E44" s="9"/>
      <c r="F44" t="s">
        <v>118</v>
      </c>
      <c r="G44" s="10">
        <v>0.2</v>
      </c>
      <c r="I44" s="9">
        <f t="shared" si="3"/>
        <v>0</v>
      </c>
      <c r="J44" s="11" cm="1">
        <f t="array" ref="J44">MAX(IF($N$3:$EH$3=$J$3,N44:EH44))</f>
        <v>0</v>
      </c>
      <c r="K44" s="11" cm="1">
        <f t="array" ref="K44">MAX(IF($N$3:$EH$3=$J$3,N44:EH44))</f>
        <v>0</v>
      </c>
      <c r="O44" s="10"/>
      <c r="P44" s="10"/>
      <c r="Q44" s="10"/>
      <c r="R44" s="10"/>
      <c r="V44" s="10"/>
      <c r="W44" s="10"/>
      <c r="X44" s="10"/>
      <c r="Y44" s="10"/>
      <c r="AC44" s="10"/>
      <c r="AD44" s="10"/>
      <c r="AE44" s="10"/>
      <c r="AF44" s="10"/>
      <c r="AJ44" s="10"/>
      <c r="AK44" s="10"/>
      <c r="AL44" s="10"/>
      <c r="AM44" s="10"/>
      <c r="AQ44" s="10"/>
      <c r="AR44" s="10"/>
      <c r="AS44" s="10"/>
      <c r="AT44" s="10"/>
      <c r="AX44" s="10"/>
      <c r="AY44" s="10"/>
      <c r="AZ44" s="10"/>
      <c r="BA44" s="10"/>
      <c r="BE44" s="10"/>
      <c r="BF44" s="10"/>
      <c r="BG44" s="10"/>
      <c r="BH44" s="10"/>
      <c r="BL44" s="10"/>
      <c r="BM44" s="10"/>
      <c r="BN44" s="10"/>
      <c r="BO44" s="10"/>
      <c r="BS44" s="10"/>
      <c r="BT44" s="10">
        <v>0.3</v>
      </c>
      <c r="BU44" s="10"/>
      <c r="BV44" s="10">
        <v>0.8</v>
      </c>
      <c r="BZ44" s="10"/>
      <c r="CA44" s="10">
        <v>0.5</v>
      </c>
      <c r="CB44" s="10"/>
      <c r="CC44" s="10">
        <v>0.5</v>
      </c>
      <c r="CG44" s="10"/>
      <c r="CH44" s="10">
        <v>0.8</v>
      </c>
      <c r="CI44" s="10"/>
      <c r="CJ44" s="10">
        <v>0.8</v>
      </c>
      <c r="CN44" s="10"/>
      <c r="CO44" s="10">
        <v>1</v>
      </c>
      <c r="CP44" s="10"/>
      <c r="CQ44" s="10">
        <v>1</v>
      </c>
      <c r="CU44" s="10"/>
      <c r="CV44" s="10"/>
      <c r="CW44" s="10"/>
      <c r="CX44" s="10"/>
      <c r="DB44" s="10"/>
      <c r="DC44" s="10"/>
      <c r="DD44" s="10"/>
      <c r="DE44" s="10"/>
      <c r="DI44" s="10"/>
      <c r="DJ44" s="10"/>
      <c r="DK44" s="10"/>
      <c r="DL44" s="10"/>
      <c r="DP44" s="10"/>
      <c r="DQ44" s="10"/>
      <c r="DR44" s="10"/>
      <c r="DS44" s="10"/>
    </row>
  </sheetData>
  <mergeCells count="17">
    <mergeCell ref="CM2:CR2"/>
    <mergeCell ref="DH2:DM2"/>
    <mergeCell ref="DO2:DT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s>
  <phoneticPr fontId="5" type="noConversion"/>
  <conditionalFormatting sqref="J5:J17">
    <cfRule type="colorScale" priority="872">
      <colorScale>
        <cfvo type="percent" val="0"/>
        <cfvo type="percent" val="100"/>
        <color rgb="FFFF231B"/>
        <color rgb="FF10FF07"/>
      </colorScale>
    </cfRule>
  </conditionalFormatting>
  <conditionalFormatting sqref="J21">
    <cfRule type="colorScale" priority="181">
      <colorScale>
        <cfvo type="percent" val="0"/>
        <cfvo type="percent" val="100"/>
        <color rgb="FFFF231B"/>
        <color rgb="FF10FF07"/>
      </colorScale>
    </cfRule>
  </conditionalFormatting>
  <conditionalFormatting sqref="J22">
    <cfRule type="colorScale" priority="162">
      <colorScale>
        <cfvo type="percent" val="0"/>
        <cfvo type="percent" val="100"/>
        <color rgb="FFFF231B"/>
        <color rgb="FF10FF07"/>
      </colorScale>
    </cfRule>
  </conditionalFormatting>
  <conditionalFormatting sqref="J23:J24 J20">
    <cfRule type="colorScale" priority="735">
      <colorScale>
        <cfvo type="percent" val="0"/>
        <cfvo type="percent" val="100"/>
        <color rgb="FFFF231B"/>
        <color rgb="FF10FF07"/>
      </colorScale>
    </cfRule>
  </conditionalFormatting>
  <conditionalFormatting sqref="J27:J34">
    <cfRule type="colorScale" priority="1005">
      <colorScale>
        <cfvo type="percent" val="0"/>
        <cfvo type="percent" val="100"/>
        <color rgb="FFFF231B"/>
        <color rgb="FF10FF07"/>
      </colorScale>
    </cfRule>
  </conditionalFormatting>
  <conditionalFormatting sqref="J37:J44">
    <cfRule type="colorScale" priority="729">
      <colorScale>
        <cfvo type="percent" val="0"/>
        <cfvo type="percent" val="100"/>
        <color rgb="FFFF231B"/>
        <color rgb="FF10FF07"/>
      </colorScale>
    </cfRule>
  </conditionalFormatting>
  <conditionalFormatting sqref="J6:K17">
    <cfRule type="colorScale" priority="874">
      <colorScale>
        <cfvo type="percent" val="0"/>
        <cfvo type="percent" val="100"/>
        <color rgb="FFFF231B"/>
        <color rgb="FF10FF07"/>
      </colorScale>
    </cfRule>
  </conditionalFormatting>
  <conditionalFormatting sqref="J21:K21">
    <cfRule type="colorScale" priority="182">
      <colorScale>
        <cfvo type="percent" val="0"/>
        <cfvo type="percent" val="100"/>
        <color rgb="FFFF231B"/>
        <color rgb="FF10FF07"/>
      </colorScale>
    </cfRule>
  </conditionalFormatting>
  <conditionalFormatting sqref="J22:K22">
    <cfRule type="colorScale" priority="163">
      <colorScale>
        <cfvo type="percent" val="0"/>
        <cfvo type="percent" val="100"/>
        <color rgb="FFFF231B"/>
        <color rgb="FF10FF07"/>
      </colorScale>
    </cfRule>
  </conditionalFormatting>
  <conditionalFormatting sqref="J23:K24">
    <cfRule type="colorScale" priority="737">
      <colorScale>
        <cfvo type="percent" val="0"/>
        <cfvo type="percent" val="100"/>
        <color rgb="FFFF231B"/>
        <color rgb="FF10FF07"/>
      </colorScale>
    </cfRule>
  </conditionalFormatting>
  <conditionalFormatting sqref="J28:K34">
    <cfRule type="colorScale" priority="1007">
      <colorScale>
        <cfvo type="percent" val="0"/>
        <cfvo type="percent" val="100"/>
        <color rgb="FFFF231B"/>
        <color rgb="FF10FF07"/>
      </colorScale>
    </cfRule>
  </conditionalFormatting>
  <conditionalFormatting sqref="J38:K44">
    <cfRule type="colorScale" priority="730">
      <colorScale>
        <cfvo type="percent" val="0"/>
        <cfvo type="percent" val="100"/>
        <color rgb="FFFF231B"/>
        <color rgb="FF10FF07"/>
      </colorScale>
    </cfRule>
  </conditionalFormatting>
  <conditionalFormatting sqref="K5:K17">
    <cfRule type="colorScale" priority="876">
      <colorScale>
        <cfvo type="percent" val="0"/>
        <cfvo type="percent" val="100"/>
        <color rgb="FFFF231B"/>
        <color rgb="FF10FF07"/>
      </colorScale>
    </cfRule>
  </conditionalFormatting>
  <conditionalFormatting sqref="K21">
    <cfRule type="colorScale" priority="180">
      <colorScale>
        <cfvo type="percent" val="0"/>
        <cfvo type="percent" val="100"/>
        <color rgb="FFFF231B"/>
        <color rgb="FF10FF07"/>
      </colorScale>
    </cfRule>
  </conditionalFormatting>
  <conditionalFormatting sqref="K22">
    <cfRule type="colorScale" priority="161">
      <colorScale>
        <cfvo type="percent" val="0"/>
        <cfvo type="percent" val="100"/>
        <color rgb="FFFF231B"/>
        <color rgb="FF10FF07"/>
      </colorScale>
    </cfRule>
  </conditionalFormatting>
  <conditionalFormatting sqref="K23:K24 K20">
    <cfRule type="colorScale" priority="738">
      <colorScale>
        <cfvo type="percent" val="0"/>
        <cfvo type="percent" val="100"/>
        <color rgb="FFFF231B"/>
        <color rgb="FF10FF07"/>
      </colorScale>
    </cfRule>
  </conditionalFormatting>
  <conditionalFormatting sqref="K27:K34">
    <cfRule type="colorScale" priority="1009">
      <colorScale>
        <cfvo type="percent" val="0"/>
        <cfvo type="percent" val="100"/>
        <color rgb="FFFF231B"/>
        <color rgb="FF10FF07"/>
      </colorScale>
    </cfRule>
  </conditionalFormatting>
  <conditionalFormatting sqref="K37:K44">
    <cfRule type="colorScale" priority="731">
      <colorScale>
        <cfvo type="percent" val="0"/>
        <cfvo type="percent" val="100"/>
        <color rgb="FFFF231B"/>
        <color rgb="FF10FF07"/>
      </colorScale>
    </cfRule>
  </conditionalFormatting>
  <conditionalFormatting sqref="O5:O17 Q5:Q17 V5:V17 X5:X17 AC5:AC17 AE5:AE17 AJ5:AJ17 AL5:AL17 AQ5:AQ17 AS5:AS17 AX5:AX17 AZ5:AZ17 BE5:BE17 BG5:BG17 BL5:BL17 BN5:BN17 BS5:BS17 BU5:BU17 BZ5:BZ17 CB5:CB17 CG5:CG17 CI5:CI17 CN5:CN17 CP5:CP17 CU5:CU17 CW5:CW17 DB5:DB17 DD5:DD17 DI5:DI17 DK5:DK17 DP5:DP17 DR5:DR17 O20:O24 Q20:Q24 V20:V24 X20:X24 AC20:AC24 AE20:AE24 AJ20:AJ24 AL20:AL24 AQ20:AQ24 AS20:AS24 AX20:AX24 AZ20:AZ24 BE20:BE24 BG20:BG24 BL20:BL24 BN20:BN24 BS20:BS24 BU20:BU24 BZ20:BZ24 CB20:CB24 CG20:CG24 CN20:CN24 CP20:CP24 CU20:CU24 CW20:CW24 DB20:DB24 DD20:DD24 DP20:DP24 DR20:DR24 O27:O34 Q27:Q34 V27:V34 X27:X34 AC27:AC34 AE27:AE34 AJ27:AJ34 AL27:AL34 AQ27:AQ34 AS27:AS34 AX27:AX34 AZ27:AZ34 BE27:BE34 BG27:BG34 BL27:BL34 BN27:BN34 BS27:BS34 BU27:BU34 BZ27:BZ34 CB27:CB34 CG27:CG34 CI27:CI34 CN27:CN34 CP27:CP34 CU27:CU34 CW27:CW34 DB27:DB34 DD27:DD34 DI27:DI34 DK27:DK34 DP27:DP34 DR27:DR34 O37:O44 Q37:Q44 V37:V44 X37:X44 AC37:AC44 AE37:AE44 AJ37:AJ44 AL37:AL44 AQ37:AQ44 AS37:AS44 AX37:AX44 AZ37:AZ44 BE37:BE44 BG37:BG44 BL37:BL44 BN37:BN44 BS37:BS44 BU37:BU44 BZ37:BZ44 CB37:CB44 CG37:CG44 CI37:CI44 CN37:CN44 CP37:CP44 CU37:CU44 CW37:CW44 DB37:DB44 DD37:DD44 DI37:DI44 DK37:DK44 DP37:DP44 DR37:DR44">
    <cfRule type="expression" dxfId="13" priority="602">
      <formula>IF(O5&gt;=P5,IF(O5="",FALSE,TRUE))</formula>
    </cfRule>
    <cfRule type="expression" dxfId="12" priority="601">
      <formula>OR(IF(O5&lt;P5,TRUE),IF(AND(P5="",O5&lt;&gt;""),TRUE))</formula>
    </cfRule>
  </conditionalFormatting>
  <dataValidations count="1">
    <dataValidation type="list" allowBlank="1" showInputMessage="1" showErrorMessage="1" sqref="AC20:AF24 AJ20:AM24 AQ20:AT24 BS37:BV44 AX20:BA24 BE20:BH24 V5:Y17 CN37:CQ44 O20:R24 BZ20:CC24 CU5:CX17 DB5:DE17 BS20:BV24 CP20:CQ24 DP37:DS44 DP20:DS24 BL37:BO44 O37:R44 AX37:BA44 AC27:AF34 AQ37:AT44 AJ37:AM44 AC37:AF44 V37:Y44 CG20:CG24 BZ37:CC44 CG37:CJ44 CU20:CX24 CU37:CX44 DB37:DE44 DI37:DL44 AC5:AF17 AJ5:AM17 BL27:BO34 AX5:BA17 BE5:BH17 BL5:BO17 BS5:BV17 O5:R17 CG5:CJ17 BZ5:CC17 DB20:DE24 DP5:DS17 CN5:CQ17 BL20:BO24 DI5:DL17 CN20:CN24 CO19:CO24 AQ5:AT17 DP27:DS34 DB27:DE34 V20:Y24 CU27:CX34 CN27:CQ34 CG27:CJ34 BE27:BH34 BZ27:CC34 BS27:BV34 DI27:DL34 V27:Y34 AJ27:AM34 AQ27:AT34 AX27:BA34 O27:R34 BE37:BH44"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7" zoomScale="83" workbookViewId="0">
      <selection activeCell="B19" sqref="B19"/>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106"/>
  <sheetViews>
    <sheetView workbookViewId="0">
      <selection activeCell="K2" sqref="K2"/>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41</v>
      </c>
      <c r="B1" s="15" t="s">
        <v>38</v>
      </c>
      <c r="C1" s="15" t="s">
        <v>39</v>
      </c>
      <c r="D1" s="15" t="s">
        <v>40</v>
      </c>
      <c r="E1" s="1" t="s">
        <v>42</v>
      </c>
      <c r="F1" s="1" t="s">
        <v>43</v>
      </c>
      <c r="G1" s="1" t="s">
        <v>44</v>
      </c>
      <c r="H1" s="1" t="s">
        <v>45</v>
      </c>
      <c r="I1" s="1" t="s">
        <v>46</v>
      </c>
      <c r="J1" s="1" t="s">
        <v>47</v>
      </c>
      <c r="K1" s="1" t="s">
        <v>48</v>
      </c>
    </row>
    <row r="2" spans="1:11" x14ac:dyDescent="0.2">
      <c r="A2" s="14">
        <v>45406</v>
      </c>
      <c r="D2" s="11"/>
    </row>
    <row r="3" spans="1:11" x14ac:dyDescent="0.2">
      <c r="A3" s="14">
        <v>45407</v>
      </c>
      <c r="D3" s="11"/>
    </row>
    <row r="4" spans="1:11" x14ac:dyDescent="0.2">
      <c r="A4" s="14">
        <v>45408</v>
      </c>
      <c r="D4" s="11"/>
    </row>
    <row r="5" spans="1:11" x14ac:dyDescent="0.2">
      <c r="A5" s="14">
        <v>45409</v>
      </c>
      <c r="D5" s="11"/>
    </row>
    <row r="6" spans="1:11" x14ac:dyDescent="0.2">
      <c r="A6" s="14">
        <v>45410</v>
      </c>
      <c r="D6" s="11"/>
    </row>
    <row r="7" spans="1:11" x14ac:dyDescent="0.2">
      <c r="A7" s="14">
        <v>45411</v>
      </c>
    </row>
    <row r="8" spans="1:11" x14ac:dyDescent="0.2">
      <c r="A8" s="14">
        <v>45412</v>
      </c>
    </row>
    <row r="9" spans="1:11" x14ac:dyDescent="0.2">
      <c r="A9" s="14">
        <v>45413</v>
      </c>
    </row>
    <row r="10" spans="1:11" x14ac:dyDescent="0.2">
      <c r="A10" s="14">
        <v>45414</v>
      </c>
    </row>
    <row r="11" spans="1:11" x14ac:dyDescent="0.2">
      <c r="A11" s="14">
        <v>45415</v>
      </c>
    </row>
    <row r="12" spans="1:11" x14ac:dyDescent="0.2">
      <c r="A12" s="14">
        <v>45416</v>
      </c>
    </row>
    <row r="13" spans="1:11" x14ac:dyDescent="0.2">
      <c r="A13" s="14">
        <v>45417</v>
      </c>
    </row>
    <row r="14" spans="1:11" x14ac:dyDescent="0.2">
      <c r="A14" s="14">
        <v>45418</v>
      </c>
    </row>
    <row r="15" spans="1:11" x14ac:dyDescent="0.2">
      <c r="A15" s="14">
        <v>45419</v>
      </c>
    </row>
    <row r="16" spans="1:11" x14ac:dyDescent="0.2">
      <c r="A16" s="14">
        <v>45420</v>
      </c>
    </row>
    <row r="17" spans="1:1" x14ac:dyDescent="0.2">
      <c r="A17" s="14">
        <v>45421</v>
      </c>
    </row>
    <row r="18" spans="1:1" x14ac:dyDescent="0.2">
      <c r="A18" s="14">
        <v>45422</v>
      </c>
    </row>
    <row r="19" spans="1:1" x14ac:dyDescent="0.2">
      <c r="A19" s="14">
        <v>45423</v>
      </c>
    </row>
    <row r="20" spans="1:1" x14ac:dyDescent="0.2">
      <c r="A20" s="14">
        <v>45424</v>
      </c>
    </row>
    <row r="21" spans="1:1" x14ac:dyDescent="0.2">
      <c r="A21" s="14">
        <v>45425</v>
      </c>
    </row>
    <row r="22" spans="1:1" x14ac:dyDescent="0.2">
      <c r="A22" s="14">
        <v>45426</v>
      </c>
    </row>
    <row r="23" spans="1:1" x14ac:dyDescent="0.2">
      <c r="A23" s="14">
        <v>45427</v>
      </c>
    </row>
    <row r="24" spans="1:1" x14ac:dyDescent="0.2">
      <c r="A24" s="14">
        <v>45428</v>
      </c>
    </row>
    <row r="25" spans="1:1" x14ac:dyDescent="0.2">
      <c r="A25" s="14">
        <v>45429</v>
      </c>
    </row>
    <row r="26" spans="1:1" x14ac:dyDescent="0.2">
      <c r="A26" s="14">
        <v>45430</v>
      </c>
    </row>
    <row r="27" spans="1:1" x14ac:dyDescent="0.2">
      <c r="A27" s="14">
        <v>45431</v>
      </c>
    </row>
    <row r="28" spans="1:1" x14ac:dyDescent="0.2">
      <c r="A28" s="14">
        <v>45432</v>
      </c>
    </row>
    <row r="29" spans="1:1" x14ac:dyDescent="0.2">
      <c r="A29" s="14">
        <v>45433</v>
      </c>
    </row>
    <row r="30" spans="1:1" x14ac:dyDescent="0.2">
      <c r="A30" s="14">
        <v>45434</v>
      </c>
    </row>
    <row r="31" spans="1:1" x14ac:dyDescent="0.2">
      <c r="A31" s="14">
        <v>45435</v>
      </c>
    </row>
    <row r="32" spans="1:1" x14ac:dyDescent="0.2">
      <c r="A32" s="14">
        <v>45436</v>
      </c>
    </row>
    <row r="33" spans="1:1" x14ac:dyDescent="0.2">
      <c r="A33" s="14">
        <v>45437</v>
      </c>
    </row>
    <row r="34" spans="1:1" x14ac:dyDescent="0.2">
      <c r="A34" s="14">
        <v>45438</v>
      </c>
    </row>
    <row r="35" spans="1:1" x14ac:dyDescent="0.2">
      <c r="A35" s="14">
        <v>45439</v>
      </c>
    </row>
    <row r="36" spans="1:1" x14ac:dyDescent="0.2">
      <c r="A36" s="14">
        <v>45440</v>
      </c>
    </row>
    <row r="37" spans="1:1" x14ac:dyDescent="0.2">
      <c r="A37" s="14">
        <v>45441</v>
      </c>
    </row>
    <row r="38" spans="1:1" x14ac:dyDescent="0.2">
      <c r="A38" s="14">
        <v>45442</v>
      </c>
    </row>
    <row r="39" spans="1:1" x14ac:dyDescent="0.2">
      <c r="A39" s="14">
        <v>45443</v>
      </c>
    </row>
    <row r="40" spans="1:1" x14ac:dyDescent="0.2">
      <c r="A40" s="14">
        <v>45444</v>
      </c>
    </row>
    <row r="41" spans="1:1" x14ac:dyDescent="0.2">
      <c r="A41" s="14">
        <v>45445</v>
      </c>
    </row>
    <row r="42" spans="1:1" x14ac:dyDescent="0.2">
      <c r="A42" s="14">
        <v>45446</v>
      </c>
    </row>
    <row r="43" spans="1:1" x14ac:dyDescent="0.2">
      <c r="A43" s="14">
        <v>45447</v>
      </c>
    </row>
    <row r="44" spans="1:1" x14ac:dyDescent="0.2">
      <c r="A44" s="14">
        <v>45448</v>
      </c>
    </row>
    <row r="45" spans="1:1" x14ac:dyDescent="0.2">
      <c r="A45" s="14">
        <v>45449</v>
      </c>
    </row>
    <row r="46" spans="1:1" x14ac:dyDescent="0.2">
      <c r="A46" s="14">
        <v>45450</v>
      </c>
    </row>
    <row r="47" spans="1:1" x14ac:dyDescent="0.2">
      <c r="A47" s="14">
        <v>45451</v>
      </c>
    </row>
    <row r="48" spans="1:1" x14ac:dyDescent="0.2">
      <c r="A48" s="14">
        <v>45452</v>
      </c>
    </row>
    <row r="49" spans="1:1" x14ac:dyDescent="0.2">
      <c r="A49" s="14">
        <v>45453</v>
      </c>
    </row>
    <row r="50" spans="1:1" x14ac:dyDescent="0.2">
      <c r="A50" s="14">
        <v>45454</v>
      </c>
    </row>
    <row r="51" spans="1:1" x14ac:dyDescent="0.2">
      <c r="A51" s="14">
        <v>45455</v>
      </c>
    </row>
    <row r="52" spans="1:1" x14ac:dyDescent="0.2">
      <c r="A52" s="14">
        <v>45456</v>
      </c>
    </row>
    <row r="53" spans="1:1" x14ac:dyDescent="0.2">
      <c r="A53" s="14">
        <v>45457</v>
      </c>
    </row>
    <row r="54" spans="1:1" x14ac:dyDescent="0.2">
      <c r="A54" s="14">
        <v>45458</v>
      </c>
    </row>
    <row r="55" spans="1:1" x14ac:dyDescent="0.2">
      <c r="A55" s="14">
        <v>45459</v>
      </c>
    </row>
    <row r="56" spans="1:1" x14ac:dyDescent="0.2">
      <c r="A56" s="14">
        <v>45460</v>
      </c>
    </row>
    <row r="57" spans="1:1" x14ac:dyDescent="0.2">
      <c r="A57" s="14">
        <v>45461</v>
      </c>
    </row>
    <row r="58" spans="1:1" x14ac:dyDescent="0.2">
      <c r="A58" s="14">
        <v>45462</v>
      </c>
    </row>
    <row r="59" spans="1:1" x14ac:dyDescent="0.2">
      <c r="A59" s="14">
        <v>45463</v>
      </c>
    </row>
    <row r="60" spans="1:1" x14ac:dyDescent="0.2">
      <c r="A60" s="14">
        <v>45464</v>
      </c>
    </row>
    <row r="61" spans="1:1" x14ac:dyDescent="0.2">
      <c r="A61" s="14">
        <v>45465</v>
      </c>
    </row>
    <row r="62" spans="1:1" x14ac:dyDescent="0.2">
      <c r="A62" s="14">
        <v>45466</v>
      </c>
    </row>
    <row r="63" spans="1:1" x14ac:dyDescent="0.2">
      <c r="A63" s="14">
        <v>45467</v>
      </c>
    </row>
    <row r="64" spans="1:1" x14ac:dyDescent="0.2">
      <c r="A64" s="14">
        <v>45468</v>
      </c>
    </row>
    <row r="65" spans="1:1" x14ac:dyDescent="0.2">
      <c r="A65" s="14">
        <v>45469</v>
      </c>
    </row>
    <row r="66" spans="1:1" x14ac:dyDescent="0.2">
      <c r="A66" s="14">
        <v>45470</v>
      </c>
    </row>
    <row r="67" spans="1:1" x14ac:dyDescent="0.2">
      <c r="A67" s="14">
        <v>45471</v>
      </c>
    </row>
    <row r="68" spans="1:1" x14ac:dyDescent="0.2">
      <c r="A68" s="14">
        <v>45472</v>
      </c>
    </row>
    <row r="69" spans="1:1" x14ac:dyDescent="0.2">
      <c r="A69" s="14">
        <v>45473</v>
      </c>
    </row>
    <row r="70" spans="1:1" x14ac:dyDescent="0.2">
      <c r="A70" s="14">
        <v>45474</v>
      </c>
    </row>
    <row r="71" spans="1:1" x14ac:dyDescent="0.2">
      <c r="A71" s="14">
        <v>45475</v>
      </c>
    </row>
    <row r="72" spans="1:1" x14ac:dyDescent="0.2">
      <c r="A72" s="14">
        <v>45476</v>
      </c>
    </row>
    <row r="73" spans="1:1" x14ac:dyDescent="0.2">
      <c r="A73" s="14">
        <v>45477</v>
      </c>
    </row>
    <row r="74" spans="1:1" x14ac:dyDescent="0.2">
      <c r="A74" s="14">
        <v>45478</v>
      </c>
    </row>
    <row r="75" spans="1:1" x14ac:dyDescent="0.2">
      <c r="A75" s="14">
        <v>45479</v>
      </c>
    </row>
    <row r="76" spans="1:1" x14ac:dyDescent="0.2">
      <c r="A76" s="14">
        <v>45480</v>
      </c>
    </row>
    <row r="77" spans="1:1" x14ac:dyDescent="0.2">
      <c r="A77" s="14">
        <v>45481</v>
      </c>
    </row>
    <row r="78" spans="1:1" x14ac:dyDescent="0.2">
      <c r="A78" s="14">
        <v>45482</v>
      </c>
    </row>
    <row r="79" spans="1:1" x14ac:dyDescent="0.2">
      <c r="A79" s="14">
        <v>45483</v>
      </c>
    </row>
    <row r="80" spans="1:1" x14ac:dyDescent="0.2">
      <c r="A80" s="14">
        <v>45484</v>
      </c>
    </row>
    <row r="81" spans="1:1" x14ac:dyDescent="0.2">
      <c r="A81" s="14">
        <v>45485</v>
      </c>
    </row>
    <row r="82" spans="1:1" x14ac:dyDescent="0.2">
      <c r="A82" s="14">
        <v>45486</v>
      </c>
    </row>
    <row r="83" spans="1:1" x14ac:dyDescent="0.2">
      <c r="A83" s="14">
        <v>45487</v>
      </c>
    </row>
    <row r="84" spans="1:1" x14ac:dyDescent="0.2">
      <c r="A84" s="14">
        <v>45488</v>
      </c>
    </row>
    <row r="85" spans="1:1" x14ac:dyDescent="0.2">
      <c r="A85" s="14">
        <v>45489</v>
      </c>
    </row>
    <row r="86" spans="1:1" x14ac:dyDescent="0.2">
      <c r="A86" s="14">
        <v>45490</v>
      </c>
    </row>
    <row r="87" spans="1:1" x14ac:dyDescent="0.2">
      <c r="A87" s="14">
        <v>45491</v>
      </c>
    </row>
    <row r="88" spans="1:1" x14ac:dyDescent="0.2">
      <c r="A88" s="14">
        <v>45492</v>
      </c>
    </row>
    <row r="89" spans="1:1" x14ac:dyDescent="0.2">
      <c r="A89" s="14">
        <v>45493</v>
      </c>
    </row>
    <row r="90" spans="1:1" x14ac:dyDescent="0.2">
      <c r="A90" s="14">
        <v>45494</v>
      </c>
    </row>
    <row r="91" spans="1:1" x14ac:dyDescent="0.2">
      <c r="A91" s="14">
        <v>45495</v>
      </c>
    </row>
    <row r="92" spans="1:1" x14ac:dyDescent="0.2">
      <c r="A92" s="14">
        <v>45496</v>
      </c>
    </row>
    <row r="93" spans="1:1" x14ac:dyDescent="0.2">
      <c r="A93" s="14">
        <v>45497</v>
      </c>
    </row>
    <row r="94" spans="1:1" x14ac:dyDescent="0.2">
      <c r="A94" s="14">
        <v>45498</v>
      </c>
    </row>
    <row r="95" spans="1:1" x14ac:dyDescent="0.2">
      <c r="A95" s="14">
        <v>45499</v>
      </c>
    </row>
    <row r="96" spans="1:1" x14ac:dyDescent="0.2">
      <c r="A96" s="14">
        <v>45500</v>
      </c>
    </row>
    <row r="97" spans="1:1" x14ac:dyDescent="0.2">
      <c r="A97" s="14">
        <v>45501</v>
      </c>
    </row>
    <row r="98" spans="1:1" x14ac:dyDescent="0.2">
      <c r="A98" s="14">
        <v>45502</v>
      </c>
    </row>
    <row r="99" spans="1:1" x14ac:dyDescent="0.2">
      <c r="A99" s="14">
        <v>45503</v>
      </c>
    </row>
    <row r="100" spans="1:1" x14ac:dyDescent="0.2">
      <c r="A100" s="14">
        <v>45504</v>
      </c>
    </row>
    <row r="101" spans="1:1" x14ac:dyDescent="0.2">
      <c r="A101" s="14">
        <v>45505</v>
      </c>
    </row>
    <row r="102" spans="1:1" x14ac:dyDescent="0.2">
      <c r="A102" s="14">
        <v>45506</v>
      </c>
    </row>
    <row r="103" spans="1:1" x14ac:dyDescent="0.2">
      <c r="A103" s="14">
        <v>45507</v>
      </c>
    </row>
    <row r="104" spans="1:1" x14ac:dyDescent="0.2">
      <c r="A104" s="14">
        <v>45508</v>
      </c>
    </row>
    <row r="105" spans="1:1" x14ac:dyDescent="0.2">
      <c r="A105" s="14">
        <v>45509</v>
      </c>
    </row>
    <row r="106" spans="1:1" x14ac:dyDescent="0.2">
      <c r="A106" s="14">
        <v>45510</v>
      </c>
    </row>
  </sheetData>
  <conditionalFormatting sqref="B2:B106">
    <cfRule type="cellIs" dxfId="11" priority="15" operator="equal">
      <formula>"Nein"</formula>
    </cfRule>
    <cfRule type="cellIs" dxfId="10" priority="14" operator="equal">
      <formula>"Ja"</formula>
    </cfRule>
    <cfRule type="cellIs" dxfId="9" priority="4" operator="equal">
      <formula>"Ja"</formula>
    </cfRule>
  </conditionalFormatting>
  <conditionalFormatting sqref="C2:C106">
    <cfRule type="cellIs" dxfId="8" priority="3" operator="equal">
      <formula>"Nein"</formula>
    </cfRule>
    <cfRule type="cellIs" dxfId="7" priority="2" operator="equal">
      <formula>"Ja"</formula>
    </cfRule>
    <cfRule type="cellIs" dxfId="6" priority="1" operator="equal">
      <formula>"Ja"</formula>
    </cfRule>
  </conditionalFormatting>
  <conditionalFormatting sqref="D2:D6">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106" xr:uid="{7FDD2772-70A7-4C43-8D43-0112E4DB6845}">
      <formula1>"Ja,Nein"</formula1>
    </dataValidation>
    <dataValidation type="list" allowBlank="1" showInputMessage="1" showErrorMessage="1" sqref="D2" xr:uid="{BB199972-0F73-1D4C-BD26-CDF7F9D67848}">
      <formula1>"100%,80%,60%,40%,20%,0%"</formula1>
    </dataValidation>
  </dataValidations>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Arion Osdautaj</cp:lastModifiedBy>
  <dcterms:created xsi:type="dcterms:W3CDTF">2020-04-19T13:33:28Z</dcterms:created>
  <dcterms:modified xsi:type="dcterms:W3CDTF">2024-04-25T15:58:18Z</dcterms:modified>
</cp:coreProperties>
</file>