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jpste_titj4bx\Downloads\"/>
    </mc:Choice>
  </mc:AlternateContent>
  <xr:revisionPtr revIDLastSave="0" documentId="13_ncr:1_{01853E24-7919-401B-A6AC-D6797964B0DC}" xr6:coauthVersionLast="36" xr6:coauthVersionMax="47" xr10:uidLastSave="{00000000-0000-0000-0000-000000000000}"/>
  <bookViews>
    <workbookView xWindow="0" yWindow="600" windowWidth="21570" windowHeight="798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0" i="7" l="1"/>
  <c r="I5" i="7"/>
  <c r="I6" i="7"/>
  <c r="AP10" i="7"/>
  <c r="AP4" i="7"/>
  <c r="C11" i="10"/>
  <c r="C7" i="10"/>
  <c r="K18" i="7" l="1" a="1"/>
  <c r="K18" i="7" s="1"/>
  <c r="J18" i="7" a="1"/>
  <c r="J18" i="7" s="1"/>
  <c r="I18" i="7"/>
  <c r="K17" i="7" a="1"/>
  <c r="K17" i="7" s="1"/>
  <c r="J17" i="7" a="1"/>
  <c r="J17" i="7" s="1"/>
  <c r="I17" i="7"/>
  <c r="K16" i="7" a="1"/>
  <c r="K16" i="7" s="1"/>
  <c r="J16" i="7" a="1"/>
  <c r="J16" i="7" s="1"/>
  <c r="I16" i="7"/>
  <c r="K15" i="7" a="1"/>
  <c r="K15" i="7" s="1"/>
  <c r="J15" i="7" a="1"/>
  <c r="J15" i="7" s="1"/>
  <c r="I15" i="7"/>
  <c r="K14" i="7" a="1"/>
  <c r="K14" i="7" s="1"/>
  <c r="J14" i="7" a="1"/>
  <c r="J14" i="7" s="1"/>
  <c r="I14" i="7"/>
  <c r="K13" i="7" a="1"/>
  <c r="K13" i="7" s="1"/>
  <c r="J13" i="7" a="1"/>
  <c r="J13" i="7" s="1"/>
  <c r="I13" i="7"/>
  <c r="K12" i="7" a="1"/>
  <c r="K12" i="7" s="1"/>
  <c r="J12" i="7" a="1"/>
  <c r="J12" i="7" s="1"/>
  <c r="I12" i="7"/>
  <c r="K11" i="7" a="1"/>
  <c r="K11" i="7" s="1"/>
  <c r="J11" i="7" a="1"/>
  <c r="J11" i="7" s="1"/>
  <c r="I11" i="7"/>
  <c r="AI10" i="7"/>
  <c r="AB10" i="7"/>
  <c r="N10" i="7"/>
  <c r="G10" i="7"/>
  <c r="C12" i="10"/>
  <c r="K8" i="7" a="1"/>
  <c r="K8" i="7" s="1"/>
  <c r="J8" i="7" a="1"/>
  <c r="J8" i="7" s="1"/>
  <c r="K7" i="7" a="1"/>
  <c r="K7" i="7" s="1"/>
  <c r="J7" i="7" a="1"/>
  <c r="J7" i="7" s="1"/>
  <c r="K6" i="7" a="1"/>
  <c r="K6" i="7" s="1"/>
  <c r="J6" i="7" a="1"/>
  <c r="J6" i="7" s="1"/>
  <c r="K5" i="7" a="1"/>
  <c r="K5" i="7" s="1"/>
  <c r="J5" i="7" a="1"/>
  <c r="J5" i="7" s="1"/>
  <c r="BD4" i="7"/>
  <c r="AW4" i="7"/>
  <c r="AI4" i="7"/>
  <c r="AB4" i="7"/>
  <c r="U4" i="7"/>
  <c r="G4" i="7"/>
  <c r="I7" i="7"/>
  <c r="I8" i="7"/>
  <c r="I4" i="7" l="1"/>
  <c r="I10" i="7"/>
  <c r="J10" i="7"/>
  <c r="K10" i="7"/>
  <c r="K4" i="7"/>
  <c r="J4" i="7"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<sst xmlns="http://schemas.openxmlformats.org/spreadsheetml/2006/main" count="185" uniqueCount="108">
  <si>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</si>
  <si>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</si>
  <si>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</si>
  <si>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</si>
  <si>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</si>
  <si>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</si>
  <si>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</si>
  <si>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</si>
  <si>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</si>
  <si>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</si>
  <si>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</si>
  <si>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</si>
  <si>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</si>
  <si>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</si>
  <si>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</si>
  <si>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</si>
  <si>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</si>
  <si>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</si>
  <si>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</si>
  <si>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</si>
  <si>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</si>
  <si>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</si>
  <si>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</si>
  <si>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</si>
  <si>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</si>
  <si>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</si>
  <si>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</si>
  <si>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</si>
  <si>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</si>
  <si>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</si>
  <si>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</si>
  <si>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</si>
  <si>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</si>
  <si>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</si>
  <si>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</si>
  <si>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</si>
  <si>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</si>
  <si>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</si>
  <si>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</si>
  <si>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</si>
  <si>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</si>
  <si>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</si>
  <si>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</si>
  <si>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</si>
  <si>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</si>
  <si>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</si>
  <si>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</si>
  <si>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</si>
  <si>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</si>
  <si>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</si>
  <si>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</si>
  <si>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</si>
  <si>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</si>
  <si>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</si>
  <si>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</si>
  <si>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</si>
  <si>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</si>
  <si>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</si>
  <si>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</si>
  <si>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</si>
  <si>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</si>
  <si>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</si>
  <si>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</si>
  <si>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</si>
  <si>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</si>
  <si>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</si>
  <si>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</si>
  <si>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</si>
  <si>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</si>
  <si>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</si>
  <si>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</si>
  <si>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</si>
  <si>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</si>
  <si>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</si>
  <si>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</si>
  <si>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</si>
  <si>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</si>
  <si>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</si>
  <si>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</si>
  <si>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</si>
  <si>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</si>
  <si>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</si>
  <si>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</si>
  <si>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</si>
  <si>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</si>
  <si>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</si>
  <si>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</si>
  <si>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BWDI</t>
  </si>
  <si>
    <t xml:space="preserve">EÖR </t>
  </si>
  <si>
    <t>1) Wirtschaftsinformatik</t>
  </si>
  <si>
    <t>2) Wie vermarkte ich digitale Güter?</t>
  </si>
  <si>
    <t>3) Wie produziere ich digitale Güter?</t>
  </si>
  <si>
    <t>4) Wie betreibe, erhalte und innoviere ich digitale Güter?</t>
  </si>
  <si>
    <t>1) Innerstaatliches Organisationsrecht</t>
  </si>
  <si>
    <t>2) Organisationsrecht der EU</t>
  </si>
  <si>
    <t>3) Grundrechte der Wirtschaft</t>
  </si>
  <si>
    <t>4) Binnenmarktrecht</t>
  </si>
  <si>
    <t>5) Gewerbliches Berufsrecht</t>
  </si>
  <si>
    <t>6) Betriebsanlagenrecht, Baurecht und Verwaltungsverfahren</t>
  </si>
  <si>
    <t>7) Verwaltungsverfahren und nationaler Rechtsschutz</t>
  </si>
  <si>
    <t>8) Unionsrecht</t>
  </si>
  <si>
    <t>KW 42</t>
  </si>
  <si>
    <t>KW 43</t>
  </si>
  <si>
    <t>KW 44</t>
  </si>
  <si>
    <t>KW 45</t>
  </si>
  <si>
    <t>KW 46</t>
  </si>
  <si>
    <t>KW 47</t>
  </si>
  <si>
    <t>KW 48 KLAUSUR!!!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</si>
</sst>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19">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8">
  <autoFilter ref="A1:K46" xr:uid="{6E266E34-2786-2747-BCE7-51B74867A564}"/>
  <tableColumns count="11">
    <tableColumn id="1" xr3:uid="{95FD92F7-3DC8-704D-A103-A7EDDAB255AB}" name="Datum" dataDxfId="17"/>
    <tableColumn id="2" xr3:uid="{F464D510-8166-E740-A343-FB84BDEF877F}" name="Lerneinheiten durchgezogen" dataDxfId="16"/>
    <tableColumn id="3" xr3:uid="{75F52B08-1A00-0848-BBE6-1EDF7B31B1AD}" name="Tagesplan erstellt" dataDxfId="15"/>
    <tableColumn id="4" xr3:uid="{E6B18D89-E799-AD48-9DAA-37AEE1D29011}" name="Konzentrationslevel" dataDxfId="1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D18" sqref="D18"/>
    </sheetView>
  </sheetViews>
  <sheetFormatPr baseColWidth="10" defaultRowHeight="15.75"/>
  <cols>
    <col min="1" max="1" width="11.875" customWidth="1"/>
    <col min="2" max="2" width="62.625" customWidth="1"/>
  </cols>
  <sheetData>
    <row r="2" spans="1:4">
      <c r="C2" s="21" t="s">
        <v>71</v>
      </c>
    </row>
    <row r="3" spans="1:4">
      <c r="C3" s="20" t="s">
        <v>56</v>
      </c>
    </row>
    <row r="4" spans="1:4">
      <c r="C4" s="19" t="s">
        <v>70</v>
      </c>
    </row>
    <row r="5" spans="1:4">
      <c r="A5" s="3" t="s">
        <v>53</v>
      </c>
      <c r="B5" s="3" t="s">
        <v>54</v>
      </c>
      <c r="C5" s="3" t="s">
        <v>55</v>
      </c>
      <c r="D5" s="3" t="s">
        <v>57</v>
      </c>
    </row>
    <row r="6" spans="1:4">
      <c r="A6" t="s">
        <v>49</v>
      </c>
      <c r="B6" s="21" t="s">
        <v>52</v>
      </c>
      <c r="C6">
        <v>2</v>
      </c>
      <c r="D6" t="s">
        <v>86</v>
      </c>
    </row>
    <row r="7" spans="1:4">
      <c r="A7" t="s">
        <v>60</v>
      </c>
      <c r="B7" t="s">
        <v>61</v>
      </c>
      <c r="C7" s="19">
        <f>12</f>
        <v>12</v>
      </c>
    </row>
    <row r="8" spans="1:4">
      <c r="A8" t="s">
        <v>51</v>
      </c>
      <c r="B8" s="21" t="s">
        <v>50</v>
      </c>
      <c r="C8" s="9"/>
      <c r="D8" t="s">
        <v>74</v>
      </c>
    </row>
    <row r="9" spans="1:4">
      <c r="A9" t="s">
        <v>59</v>
      </c>
      <c r="B9" s="21" t="s">
        <v>72</v>
      </c>
      <c r="D9" t="s">
        <v>75</v>
      </c>
    </row>
    <row r="10" spans="1:4">
      <c r="A10" t="s">
        <v>63</v>
      </c>
      <c r="B10" t="s">
        <v>62</v>
      </c>
      <c r="C10" s="19">
        <v>4</v>
      </c>
      <c r="D10" t="s">
        <v>58</v>
      </c>
    </row>
    <row r="11" spans="1:4">
      <c r="A11" t="s">
        <v>64</v>
      </c>
      <c r="B11" t="s">
        <v>66</v>
      </c>
      <c r="C11" s="19">
        <f>36</f>
        <v>36</v>
      </c>
      <c r="D11" t="s">
        <v>65</v>
      </c>
    </row>
    <row r="12" spans="1:4">
      <c r="A12" t="s">
        <v>68</v>
      </c>
      <c r="B12" t="s">
        <v>67</v>
      </c>
      <c r="C12" s="20">
        <f>C11/C10</f>
        <v>9</v>
      </c>
    </row>
    <row r="13" spans="1:4">
      <c r="A13" t="s">
        <v>73</v>
      </c>
      <c r="B13" t="s">
        <v>69</v>
      </c>
      <c r="D13" t="s">
        <v>76</v>
      </c>
    </row>
    <row r="14" spans="1:4">
      <c r="A14" t="s">
        <v>77</v>
      </c>
      <c r="B14" t="s">
        <v>78</v>
      </c>
      <c r="D14" t="s">
        <v>79</v>
      </c>
    </row>
    <row r="15" spans="1:4">
      <c r="A15" t="s">
        <v>80</v>
      </c>
      <c r="B15" s="21" t="s">
        <v>81</v>
      </c>
    </row>
    <row r="16" spans="1:4">
      <c r="A16" t="s">
        <v>84</v>
      </c>
      <c r="B16" s="21"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I18"/>
  <sheetViews>
    <sheetView showGridLines="0" tabSelected="1" zoomScale="75" zoomScaleNormal="83" workbookViewId="0">
      <pane xSplit="12" topLeftCell="M1" activePane="topRight" state="frozen"/>
      <selection pane="topRight" activeCell="AK25" sqref="AK25"/>
    </sheetView>
  </sheetViews>
  <sheetFormatPr baseColWidth="10" defaultColWidth="8.875" defaultRowHeight="15.7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s>
  <sheetData>
    <row r="1" spans="2:61" ht="33.75">
      <c r="B1" s="5" t="s">
        <v>0</v>
      </c>
      <c r="D1" s="5"/>
      <c r="G1" s="15" t="s">
        <v>33</v>
      </c>
      <c r="I1" s="15" t="s">
        <v>33</v>
      </c>
      <c r="J1" s="15" t="s">
        <v>33</v>
      </c>
      <c r="K1" s="15" t="s">
        <v>33</v>
      </c>
    </row>
    <row r="2" spans="2:61">
      <c r="I2" s="23" t="s">
        <v>27</v>
      </c>
      <c r="J2" s="23"/>
      <c r="K2" s="23"/>
      <c r="L2" s="23"/>
      <c r="N2" s="23" t="s">
        <v>101</v>
      </c>
      <c r="O2" s="23"/>
      <c r="P2" s="23"/>
      <c r="Q2" s="23"/>
      <c r="R2" s="23"/>
      <c r="S2" s="23"/>
      <c r="U2" s="23" t="s">
        <v>102</v>
      </c>
      <c r="V2" s="23"/>
      <c r="W2" s="23"/>
      <c r="X2" s="23"/>
      <c r="Y2" s="23"/>
      <c r="Z2" s="23"/>
      <c r="AB2" s="23" t="s">
        <v>103</v>
      </c>
      <c r="AC2" s="23"/>
      <c r="AD2" s="23"/>
      <c r="AE2" s="23"/>
      <c r="AF2" s="23"/>
      <c r="AG2" s="23"/>
      <c r="AI2" s="23" t="s">
        <v>104</v>
      </c>
      <c r="AJ2" s="23"/>
      <c r="AK2" s="23"/>
      <c r="AL2" s="23"/>
      <c r="AM2" s="23"/>
      <c r="AN2" s="23"/>
      <c r="AP2" s="23" t="s">
        <v>105</v>
      </c>
      <c r="AQ2" s="23"/>
      <c r="AR2" s="23"/>
      <c r="AS2" s="23"/>
      <c r="AT2" s="23"/>
      <c r="AU2" s="23"/>
      <c r="AW2" s="23" t="s">
        <v>106</v>
      </c>
      <c r="AX2" s="23"/>
      <c r="AY2" s="23"/>
      <c r="AZ2" s="23"/>
      <c r="BA2" s="23"/>
      <c r="BB2" s="23"/>
      <c r="BD2" s="23" t="s">
        <v>107</v>
      </c>
      <c r="BE2" s="23"/>
      <c r="BF2" s="23"/>
      <c r="BG2" s="23"/>
      <c r="BH2" s="23"/>
      <c r="BI2" s="23"/>
    </row>
    <row r="3" spans="2:61">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row>
    <row r="4" spans="2:61">
      <c r="B4" t="s">
        <v>27</v>
      </c>
      <c r="C4" t="s">
        <v>87</v>
      </c>
      <c r="D4" s="22">
        <v>45985</v>
      </c>
      <c r="E4" s="11">
        <v>6</v>
      </c>
      <c r="G4" s="12">
        <f>+SUM(G5:G8)</f>
        <v>1</v>
      </c>
      <c r="I4" s="14">
        <f>+SUM(I5:I8)</f>
        <v>96</v>
      </c>
      <c r="J4" s="13">
        <f>+SUMPRODUCT(G5:G8,J5:J8)</f>
        <v>0</v>
      </c>
      <c r="K4" s="13">
        <f>+SUMPRODUCT(G5:G8,K5:K8)</f>
        <v>0</v>
      </c>
      <c r="L4" s="11"/>
      <c r="N4" s="14">
        <v>24</v>
      </c>
      <c r="U4" s="14">
        <f>+SUM(U5:U8)</f>
        <v>24</v>
      </c>
      <c r="AB4" s="14">
        <f>+SUM(AB5:AB8)</f>
        <v>24</v>
      </c>
      <c r="AI4" s="14">
        <f>+SUM(AI5:AI8)</f>
        <v>24</v>
      </c>
      <c r="AP4" s="14">
        <f>+SUM(AP5:AP8)</f>
        <v>0</v>
      </c>
      <c r="AW4" s="14">
        <f>+SUM(AW5:AW8)</f>
        <v>0</v>
      </c>
      <c r="BD4" s="14">
        <f>+SUM(BD5:BD8)</f>
        <v>0</v>
      </c>
    </row>
    <row r="5" spans="2:61" outlineLevel="1">
      <c r="B5" t="s">
        <v>28</v>
      </c>
      <c r="C5" t="s">
        <v>87</v>
      </c>
      <c r="E5" s="11"/>
      <c r="F5" t="s">
        <v>89</v>
      </c>
      <c r="G5" s="12">
        <v>0.25</v>
      </c>
      <c r="I5" s="11">
        <f>+SUMIF($N$3:$YA$3,I$3,$N5:$YA5)</f>
        <v>24</v>
      </c>
      <c r="J5" s="13" cm="1">
        <f t="array" ref="J5">MAX(IF($N$3:$CI$3=$J$3,N5:CI5))</f>
        <v>0</v>
      </c>
      <c r="K5" s="13" cm="1">
        <f t="array" ref="K5">MAX(IF($N$3:$CI$3=$J$3,N5:CI5))</f>
        <v>0</v>
      </c>
      <c r="L5" s="11"/>
      <c r="N5">
        <v>8</v>
      </c>
      <c r="O5" s="12"/>
      <c r="P5" s="12">
        <v>0.5</v>
      </c>
      <c r="Q5" s="12"/>
      <c r="R5" s="12">
        <v>0.5</v>
      </c>
      <c r="U5">
        <v>8</v>
      </c>
      <c r="V5" s="12"/>
      <c r="W5" s="12">
        <v>0.8</v>
      </c>
      <c r="X5" s="12"/>
      <c r="Y5" s="12">
        <v>0.8</v>
      </c>
      <c r="AB5">
        <v>8</v>
      </c>
      <c r="AC5" s="12"/>
      <c r="AD5" s="12">
        <v>1</v>
      </c>
      <c r="AE5" s="12"/>
      <c r="AF5" s="12">
        <v>1</v>
      </c>
      <c r="AJ5" s="12"/>
      <c r="AK5" s="12">
        <v>1</v>
      </c>
      <c r="AL5" s="12"/>
      <c r="AM5" s="12">
        <v>1</v>
      </c>
      <c r="AQ5" s="12"/>
      <c r="AR5" s="12">
        <v>1</v>
      </c>
      <c r="AS5" s="12"/>
      <c r="AT5" s="12">
        <v>1</v>
      </c>
      <c r="AX5" s="12"/>
      <c r="AY5" s="12"/>
      <c r="AZ5" s="12"/>
      <c r="BA5" s="12"/>
      <c r="BE5" s="12"/>
      <c r="BF5" s="12"/>
      <c r="BG5" s="12"/>
      <c r="BH5" s="12"/>
    </row>
    <row r="6" spans="2:61" outlineLevel="1">
      <c r="B6" t="s">
        <v>28</v>
      </c>
      <c r="C6" t="s">
        <v>87</v>
      </c>
      <c r="E6" s="11"/>
      <c r="F6" t="s">
        <v>90</v>
      </c>
      <c r="G6" s="12">
        <v>0.25</v>
      </c>
      <c r="I6" s="11">
        <f>+SUMIF($N$3:$YA$3,I$3,$N6:$YA6)</f>
        <v>24</v>
      </c>
      <c r="J6" s="13" cm="1">
        <f t="array" ref="J6">MAX(IF($N$3:$CI$3=$J$3,N6:CI6))</f>
        <v>0</v>
      </c>
      <c r="K6" s="13" cm="1">
        <f t="array" ref="K6">MAX(IF($N$3:$CI$3=$J$3,N6:CI6))</f>
        <v>0</v>
      </c>
      <c r="L6" s="11"/>
      <c r="N6">
        <v>8</v>
      </c>
      <c r="O6" s="12"/>
      <c r="P6" s="12">
        <v>0.5</v>
      </c>
      <c r="Q6" s="12"/>
      <c r="R6" s="12">
        <v>0.5</v>
      </c>
      <c r="U6">
        <v>8</v>
      </c>
      <c r="V6" s="12"/>
      <c r="W6" s="12">
        <v>0.8</v>
      </c>
      <c r="X6" s="12"/>
      <c r="Y6" s="12">
        <v>0.8</v>
      </c>
      <c r="AC6" s="12"/>
      <c r="AD6" s="12">
        <v>0.8</v>
      </c>
      <c r="AE6" s="12"/>
      <c r="AF6" s="12">
        <v>0.8</v>
      </c>
      <c r="AI6">
        <v>8</v>
      </c>
      <c r="AJ6" s="12"/>
      <c r="AK6" s="12">
        <v>1</v>
      </c>
      <c r="AL6" s="12"/>
      <c r="AM6" s="12">
        <v>1</v>
      </c>
      <c r="AQ6" s="12"/>
      <c r="AR6" s="12">
        <v>1</v>
      </c>
      <c r="AS6" s="12"/>
      <c r="AT6" s="12">
        <v>1</v>
      </c>
      <c r="AX6" s="12"/>
      <c r="AY6" s="12"/>
      <c r="AZ6" s="12"/>
      <c r="BA6" s="12"/>
      <c r="BE6" s="12"/>
      <c r="BF6" s="12"/>
      <c r="BG6" s="12"/>
      <c r="BH6" s="12"/>
    </row>
    <row r="7" spans="2:61" outlineLevel="1">
      <c r="B7" t="s">
        <v>28</v>
      </c>
      <c r="C7" t="s">
        <v>87</v>
      </c>
      <c r="E7" s="11"/>
      <c r="F7" t="s">
        <v>91</v>
      </c>
      <c r="G7" s="12">
        <v>0.25</v>
      </c>
      <c r="I7" s="11">
        <f>+SUMIF($N$3:$YA$3,I$3,$N7:$YA7)</f>
        <v>24</v>
      </c>
      <c r="J7" s="13" cm="1">
        <f t="array" ref="J7">MAX(IF($N$3:$CI$3=$J$3,N7:CI7))</f>
        <v>0</v>
      </c>
      <c r="K7" s="13" cm="1">
        <f t="array" ref="K7">MAX(IF($N$3:$CI$3=$J$3,N7:CI7))</f>
        <v>0</v>
      </c>
      <c r="L7" s="11"/>
      <c r="N7">
        <v>8</v>
      </c>
      <c r="O7" s="12"/>
      <c r="P7" s="12">
        <v>0.5</v>
      </c>
      <c r="Q7" s="12"/>
      <c r="R7" s="12">
        <v>0.5</v>
      </c>
      <c r="V7" s="12"/>
      <c r="W7" s="12">
        <v>0.5</v>
      </c>
      <c r="X7" s="12"/>
      <c r="Y7" s="12">
        <v>0.5</v>
      </c>
      <c r="AB7">
        <v>8</v>
      </c>
      <c r="AC7" s="12"/>
      <c r="AD7" s="12">
        <v>0.8</v>
      </c>
      <c r="AE7" s="12"/>
      <c r="AF7" s="12">
        <v>0.8</v>
      </c>
      <c r="AI7">
        <v>8</v>
      </c>
      <c r="AJ7" s="12"/>
      <c r="AK7" s="12">
        <v>1</v>
      </c>
      <c r="AL7" s="12"/>
      <c r="AM7" s="12">
        <v>1</v>
      </c>
      <c r="AQ7" s="12"/>
      <c r="AR7" s="12">
        <v>1</v>
      </c>
      <c r="AS7" s="12"/>
      <c r="AT7" s="12">
        <v>1</v>
      </c>
      <c r="AX7" s="12"/>
      <c r="AY7" s="12"/>
      <c r="AZ7" s="12"/>
      <c r="BA7" s="12"/>
      <c r="BE7" s="12"/>
      <c r="BF7" s="12"/>
      <c r="BG7" s="12"/>
      <c r="BH7" s="12"/>
    </row>
    <row r="8" spans="2:61" outlineLevel="1">
      <c r="B8" t="s">
        <v>28</v>
      </c>
      <c r="C8" t="s">
        <v>87</v>
      </c>
      <c r="E8" s="11"/>
      <c r="F8" t="s">
        <v>92</v>
      </c>
      <c r="G8" s="12">
        <v>0.25</v>
      </c>
      <c r="I8" s="11">
        <f>+SUMIF($N$3:$YA$3,I$3,$N8:$YA8)</f>
        <v>24</v>
      </c>
      <c r="J8" s="13" cm="1">
        <f t="array" ref="J8">MAX(IF($N$3:$CI$3=$J$3,N8:CI8))</f>
        <v>0</v>
      </c>
      <c r="K8" s="13" cm="1">
        <f t="array" ref="K8">MAX(IF($N$3:$CI$3=$J$3,N8:CI8))</f>
        <v>0</v>
      </c>
      <c r="L8" s="11"/>
      <c r="O8" s="12"/>
      <c r="P8" s="12"/>
      <c r="Q8" s="12"/>
      <c r="R8" s="12"/>
      <c r="U8">
        <v>8</v>
      </c>
      <c r="V8" s="12"/>
      <c r="W8" s="12">
        <v>0.5</v>
      </c>
      <c r="X8" s="12"/>
      <c r="Y8" s="12">
        <v>0.5</v>
      </c>
      <c r="AB8">
        <v>8</v>
      </c>
      <c r="AC8" s="12"/>
      <c r="AD8" s="12">
        <v>0.8</v>
      </c>
      <c r="AE8" s="12"/>
      <c r="AF8" s="12">
        <v>0.8</v>
      </c>
      <c r="AI8">
        <v>8</v>
      </c>
      <c r="AJ8" s="12"/>
      <c r="AK8" s="12">
        <v>1</v>
      </c>
      <c r="AL8" s="12"/>
      <c r="AM8" s="12">
        <v>1</v>
      </c>
      <c r="AQ8" s="12"/>
      <c r="AR8" s="12">
        <v>1</v>
      </c>
      <c r="AS8" s="12"/>
      <c r="AT8" s="12">
        <v>1</v>
      </c>
      <c r="AX8" s="12"/>
      <c r="AY8" s="12"/>
      <c r="AZ8" s="12"/>
      <c r="BA8" s="12"/>
      <c r="BE8" s="12"/>
      <c r="BF8" s="12"/>
      <c r="BG8" s="12"/>
      <c r="BH8" s="12"/>
    </row>
    <row r="9" spans="2:61" ht="13.5" customHeight="1">
      <c r="O9" s="9"/>
      <c r="V9" s="9"/>
      <c r="AC9" s="9"/>
      <c r="AJ9" s="9"/>
      <c r="AQ9" s="9"/>
      <c r="AX9" s="9"/>
      <c r="BE9" s="9"/>
    </row>
    <row r="10" spans="2:61">
      <c r="B10" t="s">
        <v>27</v>
      </c>
      <c r="C10" t="s">
        <v>88</v>
      </c>
      <c r="D10" s="22">
        <v>45985</v>
      </c>
      <c r="E10" s="11">
        <v>4</v>
      </c>
      <c r="G10" s="12">
        <f>+SUM(G11:G18)</f>
        <v>1</v>
      </c>
      <c r="I10" s="14">
        <f>+SUM(I11:I18)</f>
        <v>60</v>
      </c>
      <c r="J10" s="13">
        <f>+SUMPRODUCT(G11:G18,J11:J18)</f>
        <v>0</v>
      </c>
      <c r="K10" s="13">
        <f>+SUMPRODUCT(G11:G18,K11:K18)</f>
        <v>0</v>
      </c>
      <c r="L10" s="11"/>
      <c r="N10" s="14">
        <f>+SUM(N11:N18)</f>
        <v>15</v>
      </c>
      <c r="U10" s="14">
        <f>+SUM(U11:U18)</f>
        <v>15</v>
      </c>
      <c r="AB10" s="14">
        <f>+SUM(AB11:AB18)</f>
        <v>15</v>
      </c>
      <c r="AI10" s="14">
        <f>+SUM(AI11:AI18)</f>
        <v>15</v>
      </c>
      <c r="AP10" s="14">
        <f>+SUM(AP11:AP18)</f>
        <v>0</v>
      </c>
    </row>
    <row r="11" spans="2:61" outlineLevel="1">
      <c r="B11" t="s">
        <v>28</v>
      </c>
      <c r="C11" t="s">
        <v>88</v>
      </c>
      <c r="E11" s="11"/>
      <c r="F11" t="s">
        <v>93</v>
      </c>
      <c r="G11" s="12">
        <v>0.1</v>
      </c>
      <c r="I11" s="11">
        <f>+SUMIF($N$3:$YA$3,I$3,$N11:$YA11)</f>
        <v>7.5</v>
      </c>
      <c r="J11" s="13" cm="1">
        <f t="array" ref="J11">MAX(IF($N$3:$CI$3=$J$3,N11:CI11))</f>
        <v>0</v>
      </c>
      <c r="K11" s="13" cm="1">
        <f t="array" ref="K11">MAX(IF($N$3:$CI$3=$J$3,N11:CI11))</f>
        <v>0</v>
      </c>
      <c r="L11" s="11"/>
      <c r="N11">
        <v>2.5</v>
      </c>
      <c r="O11" s="12"/>
      <c r="P11" s="12">
        <v>0.5</v>
      </c>
      <c r="Q11" s="12"/>
      <c r="R11" s="12">
        <v>0.5</v>
      </c>
      <c r="U11">
        <v>2.5</v>
      </c>
      <c r="V11" s="12"/>
      <c r="W11" s="12">
        <v>0.8</v>
      </c>
      <c r="X11" s="12"/>
      <c r="Y11" s="12">
        <v>0.8</v>
      </c>
      <c r="AB11">
        <v>2.5</v>
      </c>
      <c r="AC11" s="12"/>
      <c r="AD11" s="12">
        <v>1</v>
      </c>
      <c r="AE11" s="12"/>
      <c r="AF11" s="12">
        <v>1</v>
      </c>
      <c r="AJ11" s="12"/>
      <c r="AK11" s="12">
        <v>1</v>
      </c>
      <c r="AL11" s="12"/>
      <c r="AM11" s="12">
        <v>1</v>
      </c>
      <c r="AQ11" s="12"/>
      <c r="AR11" s="12">
        <v>1</v>
      </c>
      <c r="AS11" s="12"/>
      <c r="AT11" s="12">
        <v>1</v>
      </c>
      <c r="AX11" s="12"/>
      <c r="AY11" s="12"/>
      <c r="AZ11" s="12"/>
      <c r="BA11" s="12"/>
      <c r="BE11" s="12"/>
      <c r="BF11" s="12"/>
      <c r="BG11" s="12"/>
      <c r="BH11" s="12"/>
    </row>
    <row r="12" spans="2:61" outlineLevel="1">
      <c r="B12" t="s">
        <v>28</v>
      </c>
      <c r="C12" t="s">
        <v>88</v>
      </c>
      <c r="E12" s="11"/>
      <c r="F12" t="s">
        <v>94</v>
      </c>
      <c r="G12" s="12">
        <v>0.1</v>
      </c>
      <c r="I12" s="11">
        <f>+SUMIF($N$3:$YA$3,I$3,$N12:$YA12)</f>
        <v>7.5</v>
      </c>
      <c r="J12" s="13" cm="1">
        <f t="array" ref="J12">MAX(IF($N$3:$CI$3=$J$3,N12:CI12))</f>
        <v>0</v>
      </c>
      <c r="K12" s="13" cm="1">
        <f t="array" ref="K12">MAX(IF($N$3:$CI$3=$J$3,N12:CI12))</f>
        <v>0</v>
      </c>
      <c r="L12" s="11"/>
      <c r="N12">
        <v>2.5</v>
      </c>
      <c r="O12" s="12"/>
      <c r="P12" s="12">
        <v>0.5</v>
      </c>
      <c r="Q12" s="12"/>
      <c r="R12" s="12">
        <v>0.5</v>
      </c>
      <c r="U12">
        <v>2.5</v>
      </c>
      <c r="V12" s="12"/>
      <c r="W12" s="12">
        <v>0.8</v>
      </c>
      <c r="X12" s="12"/>
      <c r="Y12" s="12">
        <v>0.8</v>
      </c>
      <c r="AB12">
        <v>2.5</v>
      </c>
      <c r="AC12" s="12"/>
      <c r="AD12" s="12">
        <v>1</v>
      </c>
      <c r="AE12" s="12"/>
      <c r="AF12" s="12">
        <v>1</v>
      </c>
      <c r="AJ12" s="12"/>
      <c r="AK12" s="12">
        <v>1</v>
      </c>
      <c r="AL12" s="12"/>
      <c r="AM12" s="12">
        <v>1</v>
      </c>
      <c r="AQ12" s="12"/>
      <c r="AR12" s="12">
        <v>1</v>
      </c>
      <c r="AS12" s="12"/>
      <c r="AT12" s="12">
        <v>1</v>
      </c>
      <c r="AX12" s="12"/>
      <c r="AY12" s="12"/>
      <c r="AZ12" s="12"/>
      <c r="BA12" s="12"/>
      <c r="BE12" s="12"/>
      <c r="BF12" s="12"/>
      <c r="BG12" s="12"/>
      <c r="BH12" s="12"/>
    </row>
    <row r="13" spans="2:61" outlineLevel="1">
      <c r="B13" t="s">
        <v>28</v>
      </c>
      <c r="C13" t="s">
        <v>88</v>
      </c>
      <c r="E13" s="11"/>
      <c r="F13" t="s">
        <v>95</v>
      </c>
      <c r="G13" s="12">
        <v>0.1</v>
      </c>
      <c r="I13" s="11">
        <f>+SUMIF($N$3:$YA$3,I$3,$N13:$YA13)</f>
        <v>7.5</v>
      </c>
      <c r="J13" s="13" cm="1">
        <f t="array" ref="J13">MAX(IF($N$3:$CI$3=$J$3,N13:CI13))</f>
        <v>0</v>
      </c>
      <c r="K13" s="13" cm="1">
        <f t="array" ref="K13">MAX(IF($N$3:$CI$3=$J$3,N13:CI13))</f>
        <v>0</v>
      </c>
      <c r="L13" s="11"/>
      <c r="N13">
        <v>2.5</v>
      </c>
      <c r="O13" s="12"/>
      <c r="P13" s="12">
        <v>0.5</v>
      </c>
      <c r="Q13" s="12"/>
      <c r="R13" s="12">
        <v>0.5</v>
      </c>
      <c r="U13">
        <v>2.5</v>
      </c>
      <c r="V13" s="12"/>
      <c r="W13" s="12">
        <v>0.8</v>
      </c>
      <c r="X13" s="12"/>
      <c r="Y13" s="12">
        <v>0.8</v>
      </c>
      <c r="AC13" s="12"/>
      <c r="AD13" s="12">
        <v>0.8</v>
      </c>
      <c r="AE13" s="12"/>
      <c r="AF13" s="12">
        <v>0.8</v>
      </c>
      <c r="AI13">
        <v>2.5</v>
      </c>
      <c r="AJ13" s="12"/>
      <c r="AK13" s="12">
        <v>1</v>
      </c>
      <c r="AL13" s="12"/>
      <c r="AM13" s="12">
        <v>1</v>
      </c>
      <c r="AQ13" s="12"/>
      <c r="AR13" s="12">
        <v>1</v>
      </c>
      <c r="AS13" s="12"/>
      <c r="AT13" s="12">
        <v>1</v>
      </c>
      <c r="AX13" s="12"/>
      <c r="AY13" s="12"/>
      <c r="AZ13" s="12"/>
      <c r="BA13" s="12"/>
      <c r="BE13" s="12"/>
      <c r="BF13" s="12"/>
      <c r="BG13" s="12"/>
      <c r="BH13" s="12"/>
    </row>
    <row r="14" spans="2:61" outlineLevel="1">
      <c r="B14" t="s">
        <v>28</v>
      </c>
      <c r="C14" t="s">
        <v>88</v>
      </c>
      <c r="E14" s="11"/>
      <c r="F14" t="s">
        <v>96</v>
      </c>
      <c r="G14" s="12">
        <v>0.15</v>
      </c>
      <c r="I14" s="11">
        <f>+SUMIF($N$3:$YA$3,I$3,$N14:$YA14)</f>
        <v>7.5</v>
      </c>
      <c r="J14" s="13" cm="1">
        <f t="array" ref="J14">MAX(IF($N$3:$CI$3=$J$3,N14:CI14))</f>
        <v>0</v>
      </c>
      <c r="K14" s="13" cm="1">
        <f t="array" ref="K14">MAX(IF($N$3:$CI$3=$J$3,N14:CI14))</f>
        <v>0</v>
      </c>
      <c r="L14" s="11"/>
      <c r="N14">
        <v>2.5</v>
      </c>
      <c r="O14" s="12"/>
      <c r="P14" s="12">
        <v>0.5</v>
      </c>
      <c r="Q14" s="12"/>
      <c r="R14" s="12">
        <v>0.5</v>
      </c>
      <c r="U14">
        <v>2.5</v>
      </c>
      <c r="V14" s="12"/>
      <c r="W14" s="12">
        <v>0.8</v>
      </c>
      <c r="X14" s="12"/>
      <c r="Y14" s="12">
        <v>0.8</v>
      </c>
      <c r="AC14" s="12"/>
      <c r="AD14" s="12">
        <v>0.8</v>
      </c>
      <c r="AE14" s="12"/>
      <c r="AF14" s="12">
        <v>0.8</v>
      </c>
      <c r="AI14">
        <v>2.5</v>
      </c>
      <c r="AJ14" s="12"/>
      <c r="AK14" s="12">
        <v>1</v>
      </c>
      <c r="AL14" s="12"/>
      <c r="AM14" s="12">
        <v>1</v>
      </c>
      <c r="AQ14" s="12"/>
      <c r="AR14" s="12">
        <v>1</v>
      </c>
      <c r="AS14" s="12"/>
      <c r="AT14" s="12">
        <v>1</v>
      </c>
      <c r="AX14" s="12"/>
      <c r="AY14" s="12"/>
      <c r="AZ14" s="12"/>
      <c r="BA14" s="12"/>
      <c r="BE14" s="12"/>
      <c r="BF14" s="12"/>
      <c r="BG14" s="12"/>
      <c r="BH14" s="12"/>
    </row>
    <row r="15" spans="2:61" outlineLevel="1">
      <c r="B15" t="s">
        <v>28</v>
      </c>
      <c r="C15" t="s">
        <v>88</v>
      </c>
      <c r="E15" s="11"/>
      <c r="F15" t="s">
        <v>97</v>
      </c>
      <c r="G15" s="12">
        <v>0.15</v>
      </c>
      <c r="I15" s="11">
        <f>+SUMIF($N$3:$YA$3,I$3,$N15:$YA15)</f>
        <v>7.5</v>
      </c>
      <c r="J15" s="13" cm="1">
        <f t="array" ref="J15">MAX(IF($N$3:$CI$3=$J$3,N15:CI15))</f>
        <v>0</v>
      </c>
      <c r="K15" s="13" cm="1">
        <f t="array" ref="K15">MAX(IF($N$3:$CI$3=$J$3,N15:CI15))</f>
        <v>0</v>
      </c>
      <c r="L15" s="11"/>
      <c r="N15">
        <v>2.5</v>
      </c>
      <c r="O15" s="12"/>
      <c r="P15" s="12">
        <v>0.5</v>
      </c>
      <c r="Q15" s="12"/>
      <c r="R15" s="12">
        <v>0.5</v>
      </c>
      <c r="V15" s="12"/>
      <c r="W15" s="12">
        <v>0.5</v>
      </c>
      <c r="X15" s="12"/>
      <c r="Y15" s="12">
        <v>0.5</v>
      </c>
      <c r="AB15">
        <v>2.5</v>
      </c>
      <c r="AC15" s="12"/>
      <c r="AD15" s="12">
        <v>0.8</v>
      </c>
      <c r="AE15" s="12"/>
      <c r="AF15" s="12">
        <v>0.8</v>
      </c>
      <c r="AI15">
        <v>2.5</v>
      </c>
      <c r="AJ15" s="12"/>
      <c r="AK15" s="12">
        <v>1</v>
      </c>
      <c r="AL15" s="12"/>
      <c r="AM15" s="12">
        <v>1</v>
      </c>
      <c r="AQ15" s="12"/>
      <c r="AR15" s="12">
        <v>1</v>
      </c>
      <c r="AS15" s="12"/>
      <c r="AT15" s="12">
        <v>1</v>
      </c>
      <c r="AX15" s="12"/>
      <c r="AY15" s="12"/>
      <c r="AZ15" s="12"/>
      <c r="BA15" s="12"/>
      <c r="BE15" s="12"/>
      <c r="BF15" s="12"/>
      <c r="BG15" s="12"/>
      <c r="BH15" s="12"/>
    </row>
    <row r="16" spans="2:61" outlineLevel="1">
      <c r="B16" t="s">
        <v>28</v>
      </c>
      <c r="C16" t="s">
        <v>88</v>
      </c>
      <c r="E16" s="11"/>
      <c r="F16" t="s">
        <v>98</v>
      </c>
      <c r="G16" s="12">
        <v>0.2</v>
      </c>
      <c r="I16" s="11">
        <f>+SUMIF($N$3:$YA$3,I$3,$N16:$YA16)</f>
        <v>7.5</v>
      </c>
      <c r="J16" s="13" cm="1">
        <f t="array" ref="J16">MAX(IF($N$3:$CI$3=$J$3,N16:CI16))</f>
        <v>0</v>
      </c>
      <c r="K16" s="13" cm="1">
        <f t="array" ref="K16">MAX(IF($N$3:$CI$3=$J$3,N16:CI16))</f>
        <v>0</v>
      </c>
      <c r="L16" s="11"/>
      <c r="N16">
        <v>2.5</v>
      </c>
      <c r="O16" s="12"/>
      <c r="P16" s="12">
        <v>0.5</v>
      </c>
      <c r="Q16" s="12"/>
      <c r="R16" s="12">
        <v>0.5</v>
      </c>
      <c r="V16" s="12"/>
      <c r="W16" s="12">
        <v>0.5</v>
      </c>
      <c r="X16" s="12"/>
      <c r="Y16" s="12">
        <v>0.5</v>
      </c>
      <c r="AB16">
        <v>2.5</v>
      </c>
      <c r="AC16" s="12"/>
      <c r="AD16" s="12">
        <v>0.8</v>
      </c>
      <c r="AE16" s="12"/>
      <c r="AF16" s="12">
        <v>0.8</v>
      </c>
      <c r="AI16">
        <v>2.5</v>
      </c>
      <c r="AJ16" s="12"/>
      <c r="AK16" s="12">
        <v>1</v>
      </c>
      <c r="AL16" s="12"/>
      <c r="AM16" s="12">
        <v>1</v>
      </c>
      <c r="AQ16" s="12"/>
      <c r="AR16" s="12">
        <v>1</v>
      </c>
      <c r="AS16" s="12"/>
      <c r="AT16" s="12">
        <v>1</v>
      </c>
      <c r="AX16" s="12"/>
      <c r="AY16" s="12"/>
      <c r="AZ16" s="12"/>
      <c r="BA16" s="12"/>
      <c r="BE16" s="12"/>
      <c r="BF16" s="12"/>
      <c r="BG16" s="12"/>
      <c r="BH16" s="12"/>
    </row>
    <row r="17" spans="2:60" outlineLevel="1">
      <c r="B17" t="s">
        <v>28</v>
      </c>
      <c r="C17" t="s">
        <v>88</v>
      </c>
      <c r="E17" s="11"/>
      <c r="F17" t="s">
        <v>99</v>
      </c>
      <c r="G17" s="12">
        <v>0.1</v>
      </c>
      <c r="I17" s="11">
        <f>+SUMIF($N$3:$YA$3,I$3,$N17:$YA17)</f>
        <v>7.5</v>
      </c>
      <c r="J17" s="13" cm="1">
        <f t="array" ref="J17">MAX(IF($N$3:$CI$3=$J$3,N17:CI17))</f>
        <v>0</v>
      </c>
      <c r="K17" s="13" cm="1">
        <f t="array" ref="K17">MAX(IF($N$3:$CI$3=$J$3,N17:CI17))</f>
        <v>0</v>
      </c>
      <c r="L17" s="11"/>
      <c r="O17" s="12"/>
      <c r="P17" s="12"/>
      <c r="Q17" s="12"/>
      <c r="R17" s="12"/>
      <c r="U17">
        <v>2.5</v>
      </c>
      <c r="V17" s="12"/>
      <c r="W17" s="12">
        <v>0.5</v>
      </c>
      <c r="X17" s="12"/>
      <c r="Y17" s="12">
        <v>0.5</v>
      </c>
      <c r="AB17">
        <v>2.5</v>
      </c>
      <c r="AC17" s="12"/>
      <c r="AD17" s="12">
        <v>0.8</v>
      </c>
      <c r="AE17" s="12"/>
      <c r="AF17" s="12">
        <v>0.8</v>
      </c>
      <c r="AI17">
        <v>2.5</v>
      </c>
      <c r="AJ17" s="12"/>
      <c r="AK17" s="12">
        <v>1</v>
      </c>
      <c r="AL17" s="12"/>
      <c r="AM17" s="12">
        <v>1</v>
      </c>
      <c r="AQ17" s="12"/>
      <c r="AR17" s="12">
        <v>1</v>
      </c>
      <c r="AS17" s="12"/>
      <c r="AT17" s="12">
        <v>1</v>
      </c>
      <c r="AX17" s="12"/>
      <c r="AY17" s="12"/>
      <c r="AZ17" s="12"/>
      <c r="BA17" s="12"/>
      <c r="BE17" s="12"/>
      <c r="BF17" s="12"/>
      <c r="BG17" s="12"/>
      <c r="BH17" s="12"/>
    </row>
    <row r="18" spans="2:60" outlineLevel="1">
      <c r="B18" t="s">
        <v>28</v>
      </c>
      <c r="C18" t="s">
        <v>88</v>
      </c>
      <c r="E18" s="11"/>
      <c r="F18" t="s">
        <v>100</v>
      </c>
      <c r="G18" s="12">
        <v>0.1</v>
      </c>
      <c r="I18" s="11">
        <f>+SUMIF($N$3:$YA$3,I$3,$N18:$YA18)</f>
        <v>7.5</v>
      </c>
      <c r="J18" s="13" cm="1">
        <f t="array" ref="J18">MAX(IF($N$3:$CI$3=$J$3,N18:CI18))</f>
        <v>0</v>
      </c>
      <c r="K18" s="13" cm="1">
        <f t="array" ref="K18">MAX(IF($N$3:$CI$3=$J$3,N18:CI18))</f>
        <v>0</v>
      </c>
      <c r="L18" s="11"/>
      <c r="O18" s="12"/>
      <c r="P18" s="12"/>
      <c r="Q18" s="12"/>
      <c r="R18" s="12"/>
      <c r="U18">
        <v>2.5</v>
      </c>
      <c r="V18" s="12"/>
      <c r="W18" s="12">
        <v>0.5</v>
      </c>
      <c r="X18" s="12"/>
      <c r="Y18" s="12">
        <v>0.5</v>
      </c>
      <c r="AB18">
        <v>2.5</v>
      </c>
      <c r="AC18" s="12"/>
      <c r="AD18" s="12">
        <v>0.8</v>
      </c>
      <c r="AE18" s="12"/>
      <c r="AF18" s="12">
        <v>0.8</v>
      </c>
      <c r="AI18">
        <v>2.5</v>
      </c>
      <c r="AJ18" s="12"/>
      <c r="AK18" s="12">
        <v>1</v>
      </c>
      <c r="AL18" s="12"/>
      <c r="AM18" s="12">
        <v>1</v>
      </c>
      <c r="AQ18" s="12"/>
      <c r="AR18" s="12">
        <v>1</v>
      </c>
      <c r="AS18" s="12"/>
      <c r="AT18" s="12">
        <v>1</v>
      </c>
      <c r="AX18" s="12"/>
      <c r="AY18" s="12"/>
      <c r="AZ18" s="12"/>
      <c r="BA18" s="12"/>
      <c r="BE18" s="12"/>
      <c r="BF18" s="12"/>
      <c r="BG18" s="12"/>
      <c r="BH18" s="12"/>
    </row>
  </sheetData>
  <mergeCells count="8">
    <mergeCell ref="I2:L2"/>
    <mergeCell ref="N2:S2"/>
    <mergeCell ref="BD2:BI2"/>
    <mergeCell ref="U2:Z2"/>
    <mergeCell ref="AB2:AG2"/>
    <mergeCell ref="AI2:AN2"/>
    <mergeCell ref="AP2:AU2"/>
    <mergeCell ref="AW2:BB2"/>
  </mergeCells>
  <conditionalFormatting sqref="O5:O8 Q5:Q8 AQ5:AQ8 AS5:AS8 BE5:BE8 BG5:BG8 V5:V8 X5:X8 AC5:AC8 AE5:AE8 AJ5:AJ8 AL5:AL8 AX5:AX8 AZ5:AZ8 Q11:Q18 X11:X18 V11:V18 AE11:AE18 AC11:AC18 AJ11:AJ18 AL11:AL18 AS11:AS18 AQ11:AQ18 AX11:AX18 AZ11:AZ18 BG11:BG18 BE11:BE18 O11:O18">
    <cfRule type="expression" dxfId="13" priority="565">
      <formula>OR(IF(O5&lt;P5,TRUE),IF(AND(P5="",O5&lt;&gt;""),TRUE))</formula>
    </cfRule>
    <cfRule type="expression" dxfId="12" priority="566">
      <formula>IF(O5&gt;=P5,IF(O5="",FALSE,TRUE))</formula>
    </cfRule>
  </conditionalFormatting>
  <conditionalFormatting sqref="J6:K8">
    <cfRule type="colorScale" priority="824">
      <colorScale>
        <cfvo type="percent" val="0"/>
        <cfvo type="percent" val="100"/>
        <color rgb="FFFF231B"/>
        <color rgb="FF10FF07"/>
      </colorScale>
    </cfRule>
  </conditionalFormatting>
  <conditionalFormatting sqref="J5:J8">
    <cfRule type="colorScale" priority="825">
      <colorScale>
        <cfvo type="percent" val="0"/>
        <cfvo type="percent" val="100"/>
        <color rgb="FFFF231B"/>
        <color rgb="FF10FF07"/>
      </colorScale>
    </cfRule>
  </conditionalFormatting>
  <conditionalFormatting sqref="K5:K8">
    <cfRule type="colorScale" priority="826">
      <colorScale>
        <cfvo type="percent" val="0"/>
        <cfvo type="percent" val="100"/>
        <color rgb="FFFF231B"/>
        <color rgb="FF10FF07"/>
      </colorScale>
    </cfRule>
  </conditionalFormatting>
  <conditionalFormatting sqref="J12:K18">
    <cfRule type="colorScale" priority="883">
      <colorScale>
        <cfvo type="percent" val="0"/>
        <cfvo type="percent" val="100"/>
        <color rgb="FFFF231B"/>
        <color rgb="FF10FF07"/>
      </colorScale>
    </cfRule>
  </conditionalFormatting>
  <conditionalFormatting sqref="J11:J18">
    <cfRule type="colorScale" priority="884">
      <colorScale>
        <cfvo type="percent" val="0"/>
        <cfvo type="percent" val="100"/>
        <color rgb="FFFF231B"/>
        <color rgb="FF10FF07"/>
      </colorScale>
    </cfRule>
  </conditionalFormatting>
  <conditionalFormatting sqref="K11:K18">
    <cfRule type="colorScale" priority="885">
      <colorScale>
        <cfvo type="percent" val="0"/>
        <cfvo type="percent" val="100"/>
        <color rgb="FFFF231B"/>
        <color rgb="FF10FF07"/>
      </colorScale>
    </cfRule>
  </conditionalFormatting>
  <dataValidations count="1">
    <dataValidation type="list" allowBlank="1" showInputMessage="1" showErrorMessage="1" sqref="V11:Y18 AC11:AF18 AJ5:AM8 AQ5:AT8 AX5:BA8 BE5:BH8 O5:R8 AX11:BA18 BE11:BH18 AQ11:AT18 AJ11:AM18 AC5:AF8 V5:Y8 O11:R1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Jan Steinhilber</cp:lastModifiedBy>
  <dcterms:created xsi:type="dcterms:W3CDTF">2020-04-19T13:33:28Z</dcterms:created>
  <dcterms:modified xsi:type="dcterms:W3CDTF">2025-10-13T23:04:03Z</dcterms:modified>
</cp:coreProperties>
</file>