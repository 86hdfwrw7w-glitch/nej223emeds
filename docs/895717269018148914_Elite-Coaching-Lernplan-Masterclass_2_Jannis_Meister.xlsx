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Jannis\Desktop\"/>
    </mc:Choice>
  </mc:AlternateContent>
  <xr:revisionPtr revIDLastSave="0" documentId="13_ncr:1_{6B983067-E60A-43D3-A305-465283BE4486}" xr6:coauthVersionLast="47" xr6:coauthVersionMax="47" xr10:uidLastSave="{00000000-0000-0000-0000-000000000000}"/>
  <bookViews>
    <workbookView xWindow="-108" yWindow="-108" windowWidth="23256" windowHeight="12576"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8" i="7" l="1"/>
  <c r="G18" i="7"/>
  <c r="K26" i="7"/>
  <c r="J26" i="7"/>
  <c r="I26" i="7"/>
  <c r="K25" i="7"/>
  <c r="J25" i="7"/>
  <c r="I25" i="7"/>
  <c r="CM4" i="7"/>
  <c r="CF4" i="7"/>
  <c r="BY4" i="7"/>
  <c r="BR4" i="7"/>
  <c r="BK4" i="7"/>
  <c r="AP18" i="7"/>
  <c r="AI18" i="7"/>
  <c r="AB18" i="7"/>
  <c r="U18" i="7"/>
  <c r="BD4" i="7"/>
  <c r="AW4" i="7"/>
  <c r="AP4" i="7"/>
  <c r="AI4" i="7"/>
  <c r="AB4" i="7"/>
  <c r="U4" i="7"/>
  <c r="N4" i="7"/>
  <c r="G4" i="7"/>
  <c r="AP28" i="7"/>
  <c r="AI28" i="7"/>
  <c r="AB28" i="7"/>
  <c r="U28" i="7"/>
  <c r="I35" i="7"/>
  <c r="I34" i="7"/>
  <c r="I33" i="7"/>
  <c r="I32" i="7"/>
  <c r="I31" i="7"/>
  <c r="I30" i="7"/>
  <c r="I29" i="7"/>
  <c r="I24" i="7"/>
  <c r="I23" i="7"/>
  <c r="I22" i="7"/>
  <c r="I21" i="7"/>
  <c r="I20" i="7"/>
  <c r="I19" i="7"/>
  <c r="I16" i="7"/>
  <c r="I6" i="7"/>
  <c r="I7" i="7"/>
  <c r="I8" i="7"/>
  <c r="I9" i="7"/>
  <c r="I10" i="7"/>
  <c r="I11" i="7"/>
  <c r="I12" i="7"/>
  <c r="I13" i="7"/>
  <c r="I14" i="7"/>
  <c r="I15" i="7"/>
  <c r="I5" i="7"/>
  <c r="N28" i="7"/>
  <c r="K35" i="7"/>
  <c r="J35" i="7"/>
  <c r="K34" i="7"/>
  <c r="J34" i="7"/>
  <c r="K33" i="7"/>
  <c r="J33" i="7"/>
  <c r="K32" i="7"/>
  <c r="J32" i="7"/>
  <c r="K31" i="7"/>
  <c r="J31" i="7"/>
  <c r="K30" i="7"/>
  <c r="J30" i="7"/>
  <c r="K29" i="7"/>
  <c r="J29" i="7"/>
  <c r="G28" i="7"/>
  <c r="J5" i="7"/>
  <c r="K24" i="7"/>
  <c r="J24" i="7"/>
  <c r="K23" i="7"/>
  <c r="J23" i="7"/>
  <c r="K22" i="7"/>
  <c r="J22" i="7"/>
  <c r="K21" i="7"/>
  <c r="J21" i="7"/>
  <c r="K20" i="7"/>
  <c r="J20" i="7"/>
  <c r="K19" i="7"/>
  <c r="J19" i="7"/>
  <c r="K6" i="7"/>
  <c r="K7" i="7"/>
  <c r="K8" i="7"/>
  <c r="K9" i="7"/>
  <c r="K10" i="7"/>
  <c r="K11" i="7"/>
  <c r="K12" i="7"/>
  <c r="K13" i="7"/>
  <c r="K14" i="7"/>
  <c r="K15" i="7"/>
  <c r="K16" i="7"/>
  <c r="J6" i="7"/>
  <c r="J7" i="7"/>
  <c r="J8" i="7"/>
  <c r="J9" i="7"/>
  <c r="J10" i="7"/>
  <c r="J11" i="7"/>
  <c r="J12" i="7"/>
  <c r="J13" i="7"/>
  <c r="J14" i="7"/>
  <c r="J15" i="7"/>
  <c r="J16" i="7"/>
  <c r="K5" i="7"/>
  <c r="I28" i="7" l="1"/>
  <c r="J28" i="7"/>
  <c r="K28" i="7"/>
  <c r="I18" i="7"/>
  <c r="J18" i="7"/>
  <c r="K18" i="7"/>
  <c r="K4" i="7"/>
  <c r="I4" i="7" l="1"/>
  <c r="J4" i="7"/>
</calcChain>
</file>

<file path=xl/sharedStrings.xml><?xml version="1.0" encoding="utf-8"?>
<sst xmlns="http://schemas.openxmlformats.org/spreadsheetml/2006/main" count="249" uniqueCount="104">
  <si>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</si>
  <si>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</si>
  <si>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</si>
  <si>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</si>
  <si>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</si>
  <si>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</si>
  <si>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</si>
  <si>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</si>
  <si>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</si>
  <si>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</si>
  <si>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</si>
  <si>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</si>
  <si>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</si>
  <si>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</si>
  <si>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</si>
  <si>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</si>
  <si>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</si>
  <si>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</si>
  <si>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</si>
  <si>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</si>
  <si>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</si>
  <si>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</si>
  <si>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</si>
  <si>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</si>
  <si>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</si>
  <si>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</si>
  <si>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</si>
  <si>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</si>
  <si>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</si>
  <si>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</si>
  <si>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</si>
  <si>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</si>
  <si>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</si>
  <si>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</si>
  <si>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</si>
  <si>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</si>
  <si>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</si>
  <si>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</si>
  <si>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</si>
  <si>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</si>
  <si>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</si>
  <si>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</si>
  <si>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</si>
  <si>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</si>
  <si>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</si>
  <si>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</si>
  <si>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</si>
  <si>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</si>
  <si>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</si>
  <si>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</si>
  <si>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KW 40</t>
  </si>
  <si>
    <t>KW 41</t>
  </si>
  <si>
    <t>KW 42</t>
  </si>
  <si>
    <t>KW 43</t>
  </si>
  <si>
    <t>KW 44</t>
  </si>
  <si>
    <t>KW 45</t>
  </si>
  <si>
    <t>KW 46</t>
  </si>
  <si>
    <t>KW 47</t>
  </si>
  <si>
    <t>KW 48</t>
  </si>
  <si>
    <t>KW 49</t>
  </si>
  <si>
    <t>KW 50</t>
  </si>
  <si>
    <t>KW 51</t>
  </si>
  <si>
    <t>KW 52</t>
  </si>
  <si>
    <t>Arbeitsrecht</t>
  </si>
  <si>
    <t>2) Mutterschutz</t>
  </si>
  <si>
    <t>3) Arbeitsvertrag</t>
  </si>
  <si>
    <t>4) Vergütung</t>
  </si>
  <si>
    <t>5) Entgeltfortzahlung Krankheitsfall</t>
  </si>
  <si>
    <t>6) Urlaub</t>
  </si>
  <si>
    <t>7) Benachteiligung/Diskriminierung im Arbeitsverhältnis</t>
  </si>
  <si>
    <t>8) Teilzeit-u.Befristungsrecht</t>
  </si>
  <si>
    <t>9) Arbeitszeit</t>
  </si>
  <si>
    <t>10) Recht in der Ausbildung</t>
  </si>
  <si>
    <t>11) Haftung im Arbeitsverhältnis</t>
  </si>
  <si>
    <t>12) Beendigung des AV</t>
  </si>
  <si>
    <t>04.10-10.10</t>
  </si>
  <si>
    <t>11.10-17.10</t>
  </si>
  <si>
    <t>18.10-24.10</t>
  </si>
  <si>
    <t>25.10-31.10</t>
  </si>
  <si>
    <t>01.11-07.11</t>
  </si>
  <si>
    <t>08.11-14.11</t>
  </si>
  <si>
    <t>15.11-21.11</t>
  </si>
  <si>
    <t>22.11-28.11</t>
  </si>
  <si>
    <t>29.11-05.12</t>
  </si>
  <si>
    <t>06.12-12.12</t>
  </si>
  <si>
    <t>13.12.-19.12</t>
  </si>
  <si>
    <t>20.12-26.12</t>
  </si>
  <si>
    <t>Projektmanagement</t>
  </si>
  <si>
    <t>1) Notwendigkeit</t>
  </si>
  <si>
    <t>2) Grundlegende Begriffe</t>
  </si>
  <si>
    <t>3) Projektdefinition</t>
  </si>
  <si>
    <t>4) Projektplanung</t>
  </si>
  <si>
    <t>5) Projektsteuerung u. Überwachung</t>
  </si>
  <si>
    <t>6) Projektabschluss</t>
  </si>
  <si>
    <t>7) Projektbegleitende Aktivitäten</t>
  </si>
  <si>
    <t>8) Projektmanagement mit Scrum</t>
  </si>
  <si>
    <t>27.12-02.01</t>
  </si>
  <si>
    <t>Unternehmenssoftware</t>
  </si>
  <si>
    <t>2) Absatz-und Bedarfsplanung</t>
  </si>
  <si>
    <t>3) Beschaffung</t>
  </si>
  <si>
    <t>4) Produktkostenkalkulation</t>
  </si>
  <si>
    <t>5) Fertigungssteuerung</t>
  </si>
  <si>
    <t>6) Auftragsabwicklung</t>
  </si>
  <si>
    <t>7) Änderungsmanagement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</si>
</sst>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4" borderId="0" xfId="0" applyFont="1" applyFill="1"/>
    <xf numFmtId="0" fontId="1" fillId="2" borderId="0" xfId="0" applyFont="1" applyFill="1" applyAlignment="1">
      <alignment horizontal="center"/>
    </xf>
  </cellXfs>
  <cellStyles count="1">
    <cellStyle name="Standard" xfId="0" builtinId="0"/>
  </cellStyles>
  <dxfs count="31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36</v>
      </c>
    </row>
    <row r="12" spans="2:2">
      <c r="B12" s="3" t="s">
        <v>17</v>
      </c>
    </row>
    <row r="13" spans="2:2" ht="140.4">
      <c r="B13" s="1" t="s">
        <v>18</v>
      </c>
    </row>
    <row r="15" spans="2:2">
      <c r="B15" s="3" t="s">
        <v>19</v>
      </c>
    </row>
    <row r="16" spans="2:2" ht="109.2">
      <c r="B16" s="1" t="s">
        <v>20</v>
      </c>
    </row>
    <row r="17" spans="2:2">
      <c r="B17" s="1"/>
    </row>
    <row r="18" spans="2:2">
      <c r="B18" s="3" t="s">
        <v>35</v>
      </c>
    </row>
    <row r="19" spans="2:2" ht="140.4">
      <c r="B19" s="1" t="s">
        <v>37</v>
      </c>
    </row>
    <row r="21" spans="2:2">
      <c r="B21" s="3" t="s">
        <v>21</v>
      </c>
    </row>
    <row r="22" spans="2:2" ht="124.8">
      <c r="B22" s="1" t="s">
        <v>38</v>
      </c>
    </row>
    <row r="24" spans="2:2">
      <c r="B24" s="3" t="s">
        <v>22</v>
      </c>
    </row>
    <row r="25" spans="2:2" ht="124.8">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Y40"/>
  <sheetViews>
    <sheetView showGridLines="0" tabSelected="1" topLeftCell="A3" zoomScale="80" zoomScaleNormal="80" workbookViewId="0">
      <pane xSplit="7" topLeftCell="H1" activePane="topRight" state="frozen"/>
      <selection pane="topRight" activeCell="BR36" sqref="BR36"/>
    </sheetView>
  </sheetViews>
  <sheetFormatPr baseColWidth="10" defaultColWidth="8.796875" defaultRowHeight="15.6" outlineLevelRow="1"/>
  <cols>
    <col min="3" max="3" width="14.19921875" bestFit="1" customWidth="1"/>
    <col min="4" max="4" width="13" bestFit="1" customWidth="1"/>
    <col min="5" max="5" width="4.796875" bestFit="1" customWidth="1"/>
    <col min="6" max="6" width="48.296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71" max="71" width="12.5" bestFit="1" customWidth="1"/>
    <col min="72" max="72" width="6.296875" customWidth="1"/>
    <col min="73" max="73" width="14.796875" bestFit="1" customWidth="1"/>
    <col min="74" max="74" width="6" customWidth="1"/>
    <col min="75" max="75" width="12.69921875" bestFit="1" customWidth="1"/>
    <col min="78" max="78" width="12.5" bestFit="1" customWidth="1"/>
    <col min="79" max="79" width="6.296875" customWidth="1"/>
    <col min="80" max="80" width="14.796875" bestFit="1" customWidth="1"/>
    <col min="81" max="81" width="6" customWidth="1"/>
    <col min="82" max="82" width="12.69921875" bestFit="1" customWidth="1"/>
    <col min="85" max="85" width="12.5" bestFit="1" customWidth="1"/>
    <col min="86" max="86" width="6.296875" customWidth="1"/>
    <col min="87" max="87" width="14.796875" bestFit="1" customWidth="1"/>
    <col min="88" max="88" width="6" customWidth="1"/>
    <col min="89" max="89" width="12.69921875" bestFit="1" customWidth="1"/>
    <col min="92" max="92" width="12.5" bestFit="1" customWidth="1"/>
    <col min="93" max="93" width="6.296875" customWidth="1"/>
    <col min="94" max="94" width="14.796875" bestFit="1" customWidth="1"/>
    <col min="95" max="95" width="6" customWidth="1"/>
    <col min="96" max="96" width="12.69921875" bestFit="1" customWidth="1"/>
    <col min="99" max="99" width="12.5" bestFit="1" customWidth="1"/>
    <col min="100" max="100" width="6.296875" customWidth="1"/>
    <col min="101" max="101" width="14.796875" bestFit="1" customWidth="1"/>
    <col min="102" max="102" width="6" customWidth="1"/>
    <col min="103" max="103" width="12.69921875" bestFit="1" customWidth="1"/>
    <col min="106" max="106" width="12.5" bestFit="1" customWidth="1"/>
    <col min="107" max="107" width="6.296875" customWidth="1"/>
    <col min="108" max="108" width="14.796875" bestFit="1" customWidth="1"/>
    <col min="109" max="109" width="6" customWidth="1"/>
    <col min="110" max="110" width="12.69921875" bestFit="1" customWidth="1"/>
    <col min="113" max="113" width="12.5" bestFit="1" customWidth="1"/>
    <col min="114" max="114" width="6.296875" customWidth="1"/>
    <col min="115" max="115" width="14.796875" bestFit="1" customWidth="1"/>
    <col min="116" max="116" width="6" customWidth="1"/>
    <col min="117" max="117" width="12.69921875" bestFit="1" customWidth="1"/>
    <col min="120" max="120" width="12.5" bestFit="1" customWidth="1"/>
    <col min="121" max="121" width="6.296875" customWidth="1"/>
    <col min="122" max="122" width="14.796875" bestFit="1" customWidth="1"/>
    <col min="123" max="123" width="6" customWidth="1"/>
    <col min="124" max="124" width="12.69921875" bestFit="1" customWidth="1"/>
    <col min="127" max="127" width="12.5" bestFit="1" customWidth="1"/>
    <col min="128" max="128" width="6.296875" customWidth="1"/>
    <col min="129" max="129" width="14.796875" bestFit="1" customWidth="1"/>
    <col min="130" max="130" width="6" customWidth="1"/>
    <col min="131" max="131" width="12.69921875" bestFit="1" customWidth="1"/>
  </cols>
  <sheetData>
    <row r="1" spans="2:103" ht="33.6">
      <c r="B1" s="5" t="s">
        <v>0</v>
      </c>
      <c r="D1" s="5"/>
      <c r="G1" s="15" t="s">
        <v>34</v>
      </c>
      <c r="I1" s="15" t="s">
        <v>34</v>
      </c>
      <c r="J1" s="15" t="s">
        <v>34</v>
      </c>
      <c r="K1" s="15" t="s">
        <v>34</v>
      </c>
      <c r="O1" s="19" t="s">
        <v>75</v>
      </c>
      <c r="V1" s="19" t="s">
        <v>76</v>
      </c>
      <c r="AC1" s="19" t="s">
        <v>77</v>
      </c>
      <c r="AJ1" s="19" t="s">
        <v>78</v>
      </c>
      <c r="AQ1" s="19" t="s">
        <v>79</v>
      </c>
      <c r="AX1" s="19" t="s">
        <v>80</v>
      </c>
      <c r="BE1" s="19" t="s">
        <v>81</v>
      </c>
      <c r="BL1" s="19" t="s">
        <v>82</v>
      </c>
      <c r="BS1" s="19" t="s">
        <v>83</v>
      </c>
      <c r="BZ1" s="19" t="s">
        <v>84</v>
      </c>
      <c r="CG1" s="19" t="s">
        <v>85</v>
      </c>
      <c r="CN1" s="19" t="s">
        <v>86</v>
      </c>
      <c r="CU1" s="19" t="s">
        <v>96</v>
      </c>
    </row>
    <row r="2" spans="2:103">
      <c r="I2" s="20" t="s">
        <v>27</v>
      </c>
      <c r="J2" s="20"/>
      <c r="K2" s="20"/>
      <c r="L2" s="20"/>
      <c r="N2" s="20" t="s">
        <v>50</v>
      </c>
      <c r="O2" s="20"/>
      <c r="P2" s="20"/>
      <c r="Q2" s="20"/>
      <c r="R2" s="20"/>
      <c r="S2" s="20"/>
      <c r="U2" s="20" t="s">
        <v>51</v>
      </c>
      <c r="V2" s="20"/>
      <c r="W2" s="20"/>
      <c r="X2" s="20"/>
      <c r="Y2" s="20"/>
      <c r="Z2" s="20"/>
      <c r="AB2" s="20" t="s">
        <v>52</v>
      </c>
      <c r="AC2" s="20"/>
      <c r="AD2" s="20"/>
      <c r="AE2" s="20"/>
      <c r="AF2" s="20"/>
      <c r="AG2" s="20"/>
      <c r="AI2" s="20" t="s">
        <v>53</v>
      </c>
      <c r="AJ2" s="20"/>
      <c r="AK2" s="20"/>
      <c r="AL2" s="20"/>
      <c r="AM2" s="20"/>
      <c r="AN2" s="20"/>
      <c r="AP2" s="20" t="s">
        <v>54</v>
      </c>
      <c r="AQ2" s="20"/>
      <c r="AR2" s="20"/>
      <c r="AS2" s="20"/>
      <c r="AT2" s="20"/>
      <c r="AU2" s="20"/>
      <c r="AW2" s="20" t="s">
        <v>55</v>
      </c>
      <c r="AX2" s="20"/>
      <c r="AY2" s="20"/>
      <c r="AZ2" s="20"/>
      <c r="BA2" s="20"/>
      <c r="BB2" s="20"/>
      <c r="BD2" s="20" t="s">
        <v>56</v>
      </c>
      <c r="BE2" s="20"/>
      <c r="BF2" s="20"/>
      <c r="BG2" s="20"/>
      <c r="BH2" s="20"/>
      <c r="BI2" s="20"/>
      <c r="BK2" s="20" t="s">
        <v>57</v>
      </c>
      <c r="BL2" s="20"/>
      <c r="BM2" s="20"/>
      <c r="BN2" s="20"/>
      <c r="BO2" s="20"/>
      <c r="BP2" s="20"/>
      <c r="BR2" s="20" t="s">
        <v>58</v>
      </c>
      <c r="BS2" s="20"/>
      <c r="BT2" s="20"/>
      <c r="BU2" s="20"/>
      <c r="BV2" s="20"/>
      <c r="BW2" s="20"/>
      <c r="BY2" s="20" t="s">
        <v>59</v>
      </c>
      <c r="BZ2" s="20"/>
      <c r="CA2" s="20"/>
      <c r="CB2" s="20"/>
      <c r="CC2" s="20"/>
      <c r="CD2" s="20"/>
      <c r="CF2" s="20" t="s">
        <v>60</v>
      </c>
      <c r="CG2" s="20"/>
      <c r="CH2" s="20"/>
      <c r="CI2" s="20"/>
      <c r="CJ2" s="20"/>
      <c r="CK2" s="20"/>
      <c r="CM2" s="20" t="s">
        <v>61</v>
      </c>
      <c r="CN2" s="20"/>
      <c r="CO2" s="20"/>
      <c r="CP2" s="20"/>
      <c r="CQ2" s="20"/>
      <c r="CR2" s="20"/>
      <c r="CT2" s="20" t="s">
        <v>62</v>
      </c>
      <c r="CU2" s="20"/>
      <c r="CV2" s="20"/>
      <c r="CW2" s="20"/>
      <c r="CX2" s="20"/>
      <c r="CY2" s="20"/>
    </row>
    <row r="3" spans="2:103">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row>
    <row r="4" spans="2:103">
      <c r="B4" t="s">
        <v>27</v>
      </c>
      <c r="C4" t="s">
        <v>63</v>
      </c>
      <c r="E4" s="11">
        <v>5</v>
      </c>
      <c r="G4" s="12">
        <f>+SUM(G5:G16)</f>
        <v>0.99999999999999978</v>
      </c>
      <c r="I4" s="14">
        <f>+SUM(I5:I16)</f>
        <v>73</v>
      </c>
      <c r="J4" s="13">
        <f>+SUMPRODUCT(G5:G16,J5:J16)</f>
        <v>0</v>
      </c>
      <c r="K4" s="13">
        <f>+SUMPRODUCT(G5:G16,K5:K16)</f>
        <v>0</v>
      </c>
      <c r="L4" s="11"/>
      <c r="N4" s="14">
        <f>+SUM(N5:N16)</f>
        <v>3</v>
      </c>
      <c r="U4" s="14">
        <f>+SUM(U5:U16)</f>
        <v>3</v>
      </c>
      <c r="AB4" s="14">
        <f>+SUM(AB5:AB16)</f>
        <v>3</v>
      </c>
      <c r="AI4" s="14">
        <f>+SUM(AI5:AI16)</f>
        <v>3</v>
      </c>
      <c r="AP4" s="14">
        <f>+SUM(AP5:AP16)</f>
        <v>8</v>
      </c>
      <c r="AW4" s="14">
        <f>+SUM(AW5:AW16)</f>
        <v>8</v>
      </c>
      <c r="BD4" s="14">
        <f>+SUM(BD5:BD16)</f>
        <v>8</v>
      </c>
      <c r="BK4" s="14">
        <f>+SUM(BK5:BK16)</f>
        <v>7</v>
      </c>
      <c r="BR4" s="14">
        <f>+SUM(BR5:BR16)</f>
        <v>8</v>
      </c>
      <c r="BY4" s="14">
        <f>+SUM(BY5:BY16)</f>
        <v>8</v>
      </c>
      <c r="CF4" s="14">
        <f>+SUM(CF5:CF16)</f>
        <v>8</v>
      </c>
      <c r="CM4" s="14">
        <f>+SUM(CM5:CM16)</f>
        <v>6</v>
      </c>
      <c r="CO4" s="12"/>
    </row>
    <row r="5" spans="2:103" outlineLevel="1">
      <c r="B5" t="s">
        <v>28</v>
      </c>
      <c r="C5" t="s">
        <v>63</v>
      </c>
      <c r="E5" s="11"/>
      <c r="F5" t="s">
        <v>30</v>
      </c>
      <c r="G5" s="12">
        <v>0.01</v>
      </c>
      <c r="I5" s="11">
        <f>+SUMIF($N$3:$ZZ$3,I$3,$N5:$ZZ5)</f>
        <v>6</v>
      </c>
      <c r="J5" s="13">
        <f t="shared" ref="J5:K16" si="0">+_xlfn.MAXIFS($N5:$ZF5,$N$3:$ZF$3,J$3)</f>
        <v>0</v>
      </c>
      <c r="K5" s="13">
        <f t="shared" si="0"/>
        <v>0</v>
      </c>
      <c r="L5" s="11"/>
      <c r="N5">
        <v>1</v>
      </c>
      <c r="O5" s="12"/>
      <c r="P5" s="12">
        <v>0.3</v>
      </c>
      <c r="Q5" s="12"/>
      <c r="R5" s="12"/>
      <c r="V5" s="12"/>
      <c r="W5" s="12">
        <v>0.3</v>
      </c>
      <c r="X5" s="12"/>
      <c r="Y5" s="12"/>
      <c r="AB5">
        <v>0</v>
      </c>
      <c r="AC5" s="12"/>
      <c r="AD5" s="12">
        <v>0.3</v>
      </c>
      <c r="AE5" s="12"/>
      <c r="AF5" s="12"/>
      <c r="AI5">
        <v>0</v>
      </c>
      <c r="AJ5" s="12"/>
      <c r="AK5" s="12">
        <v>0.3</v>
      </c>
      <c r="AL5" s="12"/>
      <c r="AM5" s="12"/>
      <c r="AP5">
        <v>0</v>
      </c>
      <c r="AQ5" s="12"/>
      <c r="AR5" s="12">
        <v>0.3</v>
      </c>
      <c r="AS5" s="12"/>
      <c r="AT5" s="12"/>
      <c r="AW5">
        <v>0</v>
      </c>
      <c r="AX5" s="12"/>
      <c r="AY5" s="12">
        <v>0.3</v>
      </c>
      <c r="AZ5" s="12"/>
      <c r="BA5" s="12"/>
      <c r="BD5">
        <v>0</v>
      </c>
      <c r="BE5" s="12"/>
      <c r="BF5" s="12">
        <v>0.3</v>
      </c>
      <c r="BG5" s="12"/>
      <c r="BH5" s="12"/>
      <c r="BK5">
        <v>0</v>
      </c>
      <c r="BL5" s="12"/>
      <c r="BM5" s="12">
        <v>0.3</v>
      </c>
      <c r="BN5" s="12"/>
      <c r="BO5" s="12"/>
      <c r="BR5">
        <v>0</v>
      </c>
      <c r="BS5" s="12"/>
      <c r="BT5" s="12">
        <v>0.3</v>
      </c>
      <c r="BU5" s="12"/>
      <c r="BV5" s="12"/>
      <c r="BY5">
        <v>0</v>
      </c>
      <c r="BZ5" s="12"/>
      <c r="CA5" s="12">
        <v>0.3</v>
      </c>
      <c r="CB5" s="12"/>
      <c r="CC5" s="12"/>
      <c r="CF5">
        <v>0</v>
      </c>
      <c r="CG5" s="12"/>
      <c r="CH5" s="12">
        <v>0.3</v>
      </c>
      <c r="CI5" s="12"/>
      <c r="CJ5" s="12"/>
      <c r="CM5">
        <v>5</v>
      </c>
      <c r="CN5" s="12"/>
      <c r="CO5" s="12">
        <v>1</v>
      </c>
      <c r="CP5" s="12"/>
      <c r="CQ5" s="12"/>
    </row>
    <row r="6" spans="2:103" outlineLevel="1">
      <c r="B6" t="s">
        <v>28</v>
      </c>
      <c r="C6" t="s">
        <v>63</v>
      </c>
      <c r="E6" s="11"/>
      <c r="F6" t="s">
        <v>64</v>
      </c>
      <c r="G6" s="12">
        <v>0.09</v>
      </c>
      <c r="I6" s="11">
        <f t="shared" ref="I6:I15" si="1">+SUMIF($N$3:$ZZ$3,I$3,$N6:$ZZ6)</f>
        <v>6</v>
      </c>
      <c r="J6" s="13">
        <f t="shared" si="0"/>
        <v>0</v>
      </c>
      <c r="K6" s="13">
        <f t="shared" si="0"/>
        <v>0</v>
      </c>
      <c r="L6" s="11"/>
      <c r="N6">
        <v>2</v>
      </c>
      <c r="O6" s="12"/>
      <c r="P6" s="12">
        <v>0.5</v>
      </c>
      <c r="Q6" s="12"/>
      <c r="R6" s="12"/>
      <c r="U6">
        <v>2</v>
      </c>
      <c r="V6" s="12"/>
      <c r="W6" s="12">
        <v>0.8</v>
      </c>
      <c r="X6" s="12"/>
      <c r="Y6" s="12"/>
      <c r="AB6">
        <v>0</v>
      </c>
      <c r="AC6" s="12"/>
      <c r="AD6" s="12">
        <v>0.8</v>
      </c>
      <c r="AE6" s="12"/>
      <c r="AF6" s="12"/>
      <c r="AI6">
        <v>0</v>
      </c>
      <c r="AJ6" s="12"/>
      <c r="AK6" s="12">
        <v>0.8</v>
      </c>
      <c r="AL6" s="12"/>
      <c r="AM6" s="12"/>
      <c r="AP6">
        <v>0</v>
      </c>
      <c r="AQ6" s="12"/>
      <c r="AR6" s="12">
        <v>0.8</v>
      </c>
      <c r="AS6" s="12"/>
      <c r="AT6" s="12"/>
      <c r="AW6">
        <v>0</v>
      </c>
      <c r="AX6" s="12"/>
      <c r="AY6" s="12">
        <v>0.8</v>
      </c>
      <c r="AZ6" s="12"/>
      <c r="BA6" s="12"/>
      <c r="BD6">
        <v>0</v>
      </c>
      <c r="BE6" s="12"/>
      <c r="BF6" s="12">
        <v>0.8</v>
      </c>
      <c r="BG6" s="12"/>
      <c r="BH6" s="12"/>
      <c r="BK6">
        <v>0</v>
      </c>
      <c r="BL6" s="12"/>
      <c r="BM6" s="12">
        <v>0.8</v>
      </c>
      <c r="BN6" s="12"/>
      <c r="BO6" s="12"/>
      <c r="BR6">
        <v>2</v>
      </c>
      <c r="BS6" s="12"/>
      <c r="BT6" s="12">
        <v>1</v>
      </c>
      <c r="BU6" s="12"/>
      <c r="BV6" s="12"/>
      <c r="BY6">
        <v>0</v>
      </c>
      <c r="BZ6" s="12"/>
      <c r="CA6" s="12">
        <v>1</v>
      </c>
      <c r="CB6" s="12"/>
      <c r="CC6" s="12"/>
      <c r="CF6">
        <v>0</v>
      </c>
      <c r="CG6" s="12"/>
      <c r="CH6" s="12">
        <v>1</v>
      </c>
      <c r="CI6" s="12"/>
      <c r="CJ6" s="12"/>
      <c r="CM6">
        <v>0</v>
      </c>
      <c r="CN6" s="12"/>
      <c r="CO6" s="12">
        <v>1</v>
      </c>
      <c r="CP6" s="12"/>
      <c r="CQ6" s="12"/>
    </row>
    <row r="7" spans="2:103" outlineLevel="1">
      <c r="B7" t="s">
        <v>28</v>
      </c>
      <c r="C7" t="s">
        <v>63</v>
      </c>
      <c r="E7" s="11"/>
      <c r="F7" t="s">
        <v>65</v>
      </c>
      <c r="G7" s="12">
        <v>0.09</v>
      </c>
      <c r="I7" s="11">
        <f t="shared" si="1"/>
        <v>6</v>
      </c>
      <c r="J7" s="13">
        <f t="shared" si="0"/>
        <v>0</v>
      </c>
      <c r="K7" s="13">
        <f t="shared" si="0"/>
        <v>0</v>
      </c>
      <c r="L7" s="11"/>
      <c r="O7" s="12"/>
      <c r="P7" s="12"/>
      <c r="Q7" s="12"/>
      <c r="R7" s="12"/>
      <c r="U7">
        <v>1</v>
      </c>
      <c r="V7" s="12"/>
      <c r="W7" s="12">
        <v>0.3</v>
      </c>
      <c r="X7" s="12"/>
      <c r="Y7" s="12"/>
      <c r="AB7">
        <v>3</v>
      </c>
      <c r="AC7" s="12"/>
      <c r="AD7" s="12">
        <v>0.8</v>
      </c>
      <c r="AE7" s="12"/>
      <c r="AF7" s="12"/>
      <c r="AI7">
        <v>0</v>
      </c>
      <c r="AJ7" s="12"/>
      <c r="AK7" s="12">
        <v>0.8</v>
      </c>
      <c r="AL7" s="12"/>
      <c r="AM7" s="12"/>
      <c r="AP7">
        <v>0</v>
      </c>
      <c r="AQ7" s="12"/>
      <c r="AR7" s="12">
        <v>0.8</v>
      </c>
      <c r="AS7" s="12"/>
      <c r="AT7" s="12"/>
      <c r="AW7">
        <v>0</v>
      </c>
      <c r="AX7" s="12"/>
      <c r="AY7" s="12">
        <v>0.8</v>
      </c>
      <c r="AZ7" s="12"/>
      <c r="BA7" s="12"/>
      <c r="BD7">
        <v>0</v>
      </c>
      <c r="BE7" s="12"/>
      <c r="BF7" s="12">
        <v>0.8</v>
      </c>
      <c r="BG7" s="12"/>
      <c r="BH7" s="12"/>
      <c r="BK7">
        <v>0</v>
      </c>
      <c r="BL7" s="12"/>
      <c r="BM7" s="12">
        <v>0.8</v>
      </c>
      <c r="BN7" s="12"/>
      <c r="BO7" s="12"/>
      <c r="BR7">
        <v>2</v>
      </c>
      <c r="BS7" s="12"/>
      <c r="BT7" s="12">
        <v>1</v>
      </c>
      <c r="BU7" s="12"/>
      <c r="BV7" s="12"/>
      <c r="BY7">
        <v>0</v>
      </c>
      <c r="BZ7" s="12"/>
      <c r="CA7" s="12">
        <v>1</v>
      </c>
      <c r="CB7" s="12"/>
      <c r="CC7" s="12"/>
      <c r="CF7">
        <v>0</v>
      </c>
      <c r="CG7" s="12"/>
      <c r="CH7" s="12">
        <v>1</v>
      </c>
      <c r="CI7" s="12"/>
      <c r="CJ7" s="12"/>
      <c r="CM7">
        <v>0</v>
      </c>
      <c r="CN7" s="12"/>
      <c r="CO7" s="12">
        <v>1</v>
      </c>
      <c r="CP7" s="12"/>
      <c r="CQ7" s="12"/>
    </row>
    <row r="8" spans="2:103" outlineLevel="1">
      <c r="B8" t="s">
        <v>28</v>
      </c>
      <c r="C8" t="s">
        <v>63</v>
      </c>
      <c r="E8" s="11"/>
      <c r="F8" t="s">
        <v>66</v>
      </c>
      <c r="G8" s="12">
        <v>0.09</v>
      </c>
      <c r="I8" s="11">
        <f t="shared" si="1"/>
        <v>6</v>
      </c>
      <c r="J8" s="13">
        <f t="shared" si="0"/>
        <v>0</v>
      </c>
      <c r="K8" s="13">
        <f t="shared" si="0"/>
        <v>0</v>
      </c>
      <c r="L8" s="11"/>
      <c r="O8" s="12"/>
      <c r="P8" s="12"/>
      <c r="Q8" s="12"/>
      <c r="R8" s="12"/>
      <c r="V8" s="12"/>
      <c r="W8" s="12"/>
      <c r="X8" s="12"/>
      <c r="Y8" s="12"/>
      <c r="AC8" s="12"/>
      <c r="AD8" s="12"/>
      <c r="AE8" s="12"/>
      <c r="AF8" s="12"/>
      <c r="AI8">
        <v>2</v>
      </c>
      <c r="AJ8" s="12"/>
      <c r="AK8" s="12">
        <v>0.5</v>
      </c>
      <c r="AL8" s="12"/>
      <c r="AM8" s="12"/>
      <c r="AP8">
        <v>2</v>
      </c>
      <c r="AQ8" s="12"/>
      <c r="AR8" s="12">
        <v>0.8</v>
      </c>
      <c r="AS8" s="12"/>
      <c r="AT8" s="12"/>
      <c r="AW8">
        <v>0</v>
      </c>
      <c r="AX8" s="12"/>
      <c r="AY8" s="12">
        <v>0.8</v>
      </c>
      <c r="AZ8" s="12"/>
      <c r="BA8" s="12"/>
      <c r="BD8">
        <v>0</v>
      </c>
      <c r="BE8" s="12"/>
      <c r="BF8" s="12">
        <v>0.8</v>
      </c>
      <c r="BG8" s="12"/>
      <c r="BH8" s="12"/>
      <c r="BK8">
        <v>0</v>
      </c>
      <c r="BL8" s="12"/>
      <c r="BM8" s="12">
        <v>0.8</v>
      </c>
      <c r="BN8" s="12"/>
      <c r="BO8" s="12"/>
      <c r="BR8">
        <v>1</v>
      </c>
      <c r="BS8" s="12"/>
      <c r="BT8" s="12">
        <v>0.9</v>
      </c>
      <c r="BU8" s="12"/>
      <c r="BV8" s="12"/>
      <c r="BY8">
        <v>1</v>
      </c>
      <c r="BZ8" s="12"/>
      <c r="CA8" s="12">
        <v>1</v>
      </c>
      <c r="CB8" s="12"/>
      <c r="CC8" s="12"/>
      <c r="CF8">
        <v>0</v>
      </c>
      <c r="CG8" s="12"/>
      <c r="CH8" s="12">
        <v>1</v>
      </c>
      <c r="CI8" s="12"/>
      <c r="CJ8" s="12"/>
      <c r="CM8">
        <v>0</v>
      </c>
      <c r="CN8" s="12"/>
      <c r="CO8" s="12">
        <v>1</v>
      </c>
      <c r="CP8" s="12"/>
      <c r="CQ8" s="12"/>
    </row>
    <row r="9" spans="2:103" outlineLevel="1">
      <c r="B9" t="s">
        <v>28</v>
      </c>
      <c r="C9" t="s">
        <v>63</v>
      </c>
      <c r="E9" s="11"/>
      <c r="F9" t="s">
        <v>67</v>
      </c>
      <c r="G9" s="12">
        <v>0.09</v>
      </c>
      <c r="I9" s="11">
        <f t="shared" si="1"/>
        <v>6</v>
      </c>
      <c r="J9" s="13">
        <f t="shared" si="0"/>
        <v>0</v>
      </c>
      <c r="K9" s="13">
        <f t="shared" si="0"/>
        <v>0</v>
      </c>
      <c r="L9" s="11"/>
      <c r="O9" s="12"/>
      <c r="P9" s="12"/>
      <c r="Q9" s="12"/>
      <c r="R9" s="12"/>
      <c r="V9" s="12"/>
      <c r="W9" s="12"/>
      <c r="X9" s="12"/>
      <c r="Y9" s="12"/>
      <c r="AC9" s="12"/>
      <c r="AD9" s="12"/>
      <c r="AE9" s="12"/>
      <c r="AF9" s="12"/>
      <c r="AI9">
        <v>1</v>
      </c>
      <c r="AJ9" s="12"/>
      <c r="AK9" s="12">
        <v>0.3</v>
      </c>
      <c r="AL9" s="12"/>
      <c r="AM9" s="12"/>
      <c r="AP9">
        <v>3</v>
      </c>
      <c r="AQ9" s="12"/>
      <c r="AR9" s="12">
        <v>0.8</v>
      </c>
      <c r="AS9" s="12"/>
      <c r="AT9" s="12"/>
      <c r="AW9">
        <v>0</v>
      </c>
      <c r="AX9" s="12"/>
      <c r="AY9" s="12">
        <v>0.8</v>
      </c>
      <c r="AZ9" s="12"/>
      <c r="BA9" s="12"/>
      <c r="BD9">
        <v>0</v>
      </c>
      <c r="BE9" s="12"/>
      <c r="BF9" s="12">
        <v>0.8</v>
      </c>
      <c r="BG9" s="12"/>
      <c r="BH9" s="12"/>
      <c r="BK9">
        <v>0</v>
      </c>
      <c r="BL9" s="12"/>
      <c r="BM9" s="12">
        <v>0.8</v>
      </c>
      <c r="BN9" s="12"/>
      <c r="BO9" s="12"/>
      <c r="BR9">
        <v>0</v>
      </c>
      <c r="BS9" s="12"/>
      <c r="BT9" s="12">
        <v>0.8</v>
      </c>
      <c r="BU9" s="12"/>
      <c r="BV9" s="12"/>
      <c r="BY9">
        <v>2</v>
      </c>
      <c r="BZ9" s="12"/>
      <c r="CA9" s="12">
        <v>1</v>
      </c>
      <c r="CB9" s="12"/>
      <c r="CC9" s="12"/>
      <c r="CF9">
        <v>0</v>
      </c>
      <c r="CG9" s="12"/>
      <c r="CH9" s="12">
        <v>1</v>
      </c>
      <c r="CI9" s="12"/>
      <c r="CJ9" s="12"/>
      <c r="CM9">
        <v>0</v>
      </c>
      <c r="CN9" s="12"/>
      <c r="CO9" s="12">
        <v>1</v>
      </c>
      <c r="CP9" s="12"/>
      <c r="CQ9" s="12"/>
    </row>
    <row r="10" spans="2:103" outlineLevel="1">
      <c r="B10" t="s">
        <v>28</v>
      </c>
      <c r="C10" t="s">
        <v>63</v>
      </c>
      <c r="E10" s="11"/>
      <c r="F10" t="s">
        <v>68</v>
      </c>
      <c r="G10" s="12">
        <v>0.09</v>
      </c>
      <c r="I10" s="11">
        <f t="shared" si="1"/>
        <v>6</v>
      </c>
      <c r="J10" s="13">
        <f t="shared" si="0"/>
        <v>0</v>
      </c>
      <c r="K10" s="13">
        <f t="shared" si="0"/>
        <v>0</v>
      </c>
      <c r="L10" s="11"/>
      <c r="O10" s="12"/>
      <c r="P10" s="12"/>
      <c r="Q10" s="12"/>
      <c r="R10" s="12"/>
      <c r="V10" s="12"/>
      <c r="W10" s="12"/>
      <c r="X10" s="12"/>
      <c r="Y10" s="12"/>
      <c r="AC10" s="12"/>
      <c r="AD10" s="12"/>
      <c r="AE10" s="12"/>
      <c r="AF10" s="12"/>
      <c r="AJ10" s="12"/>
      <c r="AK10" s="12"/>
      <c r="AL10" s="12"/>
      <c r="AM10" s="12"/>
      <c r="AP10">
        <v>2</v>
      </c>
      <c r="AQ10" s="12"/>
      <c r="AR10" s="12">
        <v>0.5</v>
      </c>
      <c r="AS10" s="12"/>
      <c r="AT10" s="12"/>
      <c r="AW10">
        <v>2</v>
      </c>
      <c r="AX10" s="12"/>
      <c r="AY10" s="12">
        <v>0.8</v>
      </c>
      <c r="AZ10" s="12"/>
      <c r="BA10" s="12"/>
      <c r="BD10">
        <v>0</v>
      </c>
      <c r="BE10" s="12"/>
      <c r="BF10" s="12">
        <v>0.8</v>
      </c>
      <c r="BG10" s="12"/>
      <c r="BH10" s="12"/>
      <c r="BK10">
        <v>0</v>
      </c>
      <c r="BL10" s="12"/>
      <c r="BM10" s="12">
        <v>0.8</v>
      </c>
      <c r="BN10" s="12"/>
      <c r="BO10" s="12"/>
      <c r="BR10">
        <v>0</v>
      </c>
      <c r="BS10" s="12"/>
      <c r="BT10" s="12">
        <v>0.8</v>
      </c>
      <c r="BU10" s="12"/>
      <c r="BV10" s="12"/>
      <c r="BY10">
        <v>2</v>
      </c>
      <c r="BZ10" s="12"/>
      <c r="CA10" s="12">
        <v>1</v>
      </c>
      <c r="CB10" s="12"/>
      <c r="CC10" s="12"/>
      <c r="CF10">
        <v>0</v>
      </c>
      <c r="CG10" s="12"/>
      <c r="CH10" s="12">
        <v>1</v>
      </c>
      <c r="CI10" s="12"/>
      <c r="CJ10" s="12"/>
      <c r="CM10">
        <v>0</v>
      </c>
      <c r="CN10" s="12"/>
      <c r="CO10" s="12">
        <v>1</v>
      </c>
      <c r="CP10" s="12"/>
      <c r="CQ10" s="12"/>
    </row>
    <row r="11" spans="2:103" outlineLevel="1">
      <c r="B11" t="s">
        <v>28</v>
      </c>
      <c r="C11" t="s">
        <v>63</v>
      </c>
      <c r="E11" s="11"/>
      <c r="F11" t="s">
        <v>69</v>
      </c>
      <c r="G11" s="12">
        <v>0.09</v>
      </c>
      <c r="I11" s="11">
        <f t="shared" si="1"/>
        <v>6</v>
      </c>
      <c r="J11" s="13">
        <f t="shared" si="0"/>
        <v>0</v>
      </c>
      <c r="K11" s="13">
        <f t="shared" si="0"/>
        <v>0</v>
      </c>
      <c r="L11" s="11"/>
      <c r="O11" s="12"/>
      <c r="P11" s="12"/>
      <c r="Q11" s="12"/>
      <c r="R11" s="12"/>
      <c r="V11" s="12"/>
      <c r="W11" s="12"/>
      <c r="X11" s="12"/>
      <c r="Y11" s="12"/>
      <c r="AC11" s="12"/>
      <c r="AD11" s="12"/>
      <c r="AE11" s="12"/>
      <c r="AF11" s="12"/>
      <c r="AJ11" s="12"/>
      <c r="AK11" s="12"/>
      <c r="AL11" s="12"/>
      <c r="AM11" s="12"/>
      <c r="AP11">
        <v>1</v>
      </c>
      <c r="AQ11" s="12"/>
      <c r="AR11" s="12">
        <v>0.3</v>
      </c>
      <c r="AS11" s="12"/>
      <c r="AT11" s="12"/>
      <c r="AW11">
        <v>3</v>
      </c>
      <c r="AX11" s="12"/>
      <c r="AY11" s="12">
        <v>0.8</v>
      </c>
      <c r="AZ11" s="12"/>
      <c r="BA11" s="12"/>
      <c r="BD11">
        <v>0</v>
      </c>
      <c r="BE11" s="12"/>
      <c r="BF11" s="12">
        <v>0.8</v>
      </c>
      <c r="BG11" s="12"/>
      <c r="BH11" s="12"/>
      <c r="BK11">
        <v>0</v>
      </c>
      <c r="BL11" s="12"/>
      <c r="BM11" s="12">
        <v>0.8</v>
      </c>
      <c r="BN11" s="12"/>
      <c r="BO11" s="12"/>
      <c r="BR11">
        <v>0</v>
      </c>
      <c r="BS11" s="12"/>
      <c r="BT11" s="12">
        <v>0.8</v>
      </c>
      <c r="BU11" s="12"/>
      <c r="BV11" s="12"/>
      <c r="BY11">
        <v>2</v>
      </c>
      <c r="BZ11" s="12"/>
      <c r="CA11" s="12">
        <v>1</v>
      </c>
      <c r="CB11" s="12"/>
      <c r="CC11" s="12"/>
      <c r="CF11">
        <v>0</v>
      </c>
      <c r="CG11" s="12"/>
      <c r="CH11" s="12">
        <v>1</v>
      </c>
      <c r="CI11" s="12"/>
      <c r="CJ11" s="12"/>
      <c r="CM11">
        <v>0</v>
      </c>
      <c r="CN11" s="12"/>
      <c r="CO11" s="12">
        <v>1</v>
      </c>
      <c r="CP11" s="12"/>
      <c r="CQ11" s="12"/>
    </row>
    <row r="12" spans="2:103" outlineLevel="1">
      <c r="B12" t="s">
        <v>28</v>
      </c>
      <c r="C12" t="s">
        <v>63</v>
      </c>
      <c r="E12" s="11"/>
      <c r="F12" t="s">
        <v>70</v>
      </c>
      <c r="G12" s="12">
        <v>0.09</v>
      </c>
      <c r="I12" s="11">
        <f t="shared" si="1"/>
        <v>6</v>
      </c>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c r="AS12" s="12"/>
      <c r="AT12" s="12"/>
      <c r="AW12">
        <v>2</v>
      </c>
      <c r="AX12" s="12"/>
      <c r="AY12" s="12">
        <v>0.5</v>
      </c>
      <c r="AZ12" s="12"/>
      <c r="BA12" s="12"/>
      <c r="BD12">
        <v>2</v>
      </c>
      <c r="BE12" s="12"/>
      <c r="BF12" s="12">
        <v>0.8</v>
      </c>
      <c r="BG12" s="12"/>
      <c r="BH12" s="12"/>
      <c r="BK12">
        <v>0</v>
      </c>
      <c r="BL12" s="12"/>
      <c r="BM12" s="12">
        <v>0.8</v>
      </c>
      <c r="BN12" s="12"/>
      <c r="BO12" s="12"/>
      <c r="BR12">
        <v>0</v>
      </c>
      <c r="BS12" s="12"/>
      <c r="BT12" s="12">
        <v>0.8</v>
      </c>
      <c r="BU12" s="12"/>
      <c r="BV12" s="12"/>
      <c r="BY12">
        <v>1</v>
      </c>
      <c r="BZ12" s="12"/>
      <c r="CA12" s="12">
        <v>0.9</v>
      </c>
      <c r="CB12" s="12"/>
      <c r="CC12" s="12"/>
      <c r="CF12">
        <v>1</v>
      </c>
      <c r="CG12" s="12"/>
      <c r="CH12" s="12">
        <v>1</v>
      </c>
      <c r="CI12" s="12"/>
      <c r="CJ12" s="12"/>
      <c r="CM12">
        <v>0</v>
      </c>
      <c r="CN12" s="12"/>
      <c r="CO12" s="12">
        <v>1</v>
      </c>
      <c r="CP12" s="12"/>
      <c r="CQ12" s="12"/>
    </row>
    <row r="13" spans="2:103" outlineLevel="1">
      <c r="B13" t="s">
        <v>28</v>
      </c>
      <c r="C13" t="s">
        <v>63</v>
      </c>
      <c r="E13" s="11"/>
      <c r="F13" t="s">
        <v>71</v>
      </c>
      <c r="G13" s="12">
        <v>0.09</v>
      </c>
      <c r="I13" s="11">
        <f t="shared" si="1"/>
        <v>6</v>
      </c>
      <c r="J13" s="13">
        <f t="shared" si="0"/>
        <v>0</v>
      </c>
      <c r="K13" s="13">
        <f t="shared" si="0"/>
        <v>0</v>
      </c>
      <c r="L13" s="11"/>
      <c r="O13" s="12"/>
      <c r="P13" s="12"/>
      <c r="Q13" s="12"/>
      <c r="R13" s="12"/>
      <c r="V13" s="12"/>
      <c r="W13" s="12"/>
      <c r="X13" s="12"/>
      <c r="Y13" s="12"/>
      <c r="AC13" s="12"/>
      <c r="AD13" s="12"/>
      <c r="AE13" s="12"/>
      <c r="AF13" s="12"/>
      <c r="AJ13" s="12"/>
      <c r="AK13" s="12"/>
      <c r="AL13" s="12"/>
      <c r="AM13" s="12"/>
      <c r="AQ13" s="12"/>
      <c r="AR13" s="12"/>
      <c r="AS13" s="12"/>
      <c r="AT13" s="12"/>
      <c r="AW13">
        <v>1</v>
      </c>
      <c r="AX13" s="12"/>
      <c r="AY13" s="12">
        <v>0.3</v>
      </c>
      <c r="AZ13" s="12"/>
      <c r="BA13" s="12"/>
      <c r="BD13">
        <v>3</v>
      </c>
      <c r="BE13" s="12"/>
      <c r="BF13" s="12">
        <v>0.8</v>
      </c>
      <c r="BG13" s="12"/>
      <c r="BH13" s="12"/>
      <c r="BK13">
        <v>0</v>
      </c>
      <c r="BL13" s="12"/>
      <c r="BM13" s="12">
        <v>0.8</v>
      </c>
      <c r="BN13" s="12"/>
      <c r="BO13" s="12"/>
      <c r="BR13">
        <v>0</v>
      </c>
      <c r="BS13" s="12"/>
      <c r="BT13" s="12">
        <v>0.8</v>
      </c>
      <c r="BU13" s="12"/>
      <c r="BV13" s="12"/>
      <c r="BY13">
        <v>0</v>
      </c>
      <c r="BZ13" s="12"/>
      <c r="CA13" s="12">
        <v>0.8</v>
      </c>
      <c r="CB13" s="12"/>
      <c r="CC13" s="12"/>
      <c r="CF13">
        <v>2</v>
      </c>
      <c r="CG13" s="12"/>
      <c r="CH13" s="12">
        <v>1</v>
      </c>
      <c r="CI13" s="12"/>
      <c r="CJ13" s="12"/>
      <c r="CM13">
        <v>0</v>
      </c>
      <c r="CN13" s="12"/>
      <c r="CO13" s="12">
        <v>1</v>
      </c>
      <c r="CP13" s="12"/>
      <c r="CQ13" s="12"/>
    </row>
    <row r="14" spans="2:103" outlineLevel="1">
      <c r="B14" t="s">
        <v>28</v>
      </c>
      <c r="C14" t="s">
        <v>63</v>
      </c>
      <c r="E14" s="11"/>
      <c r="F14" t="s">
        <v>72</v>
      </c>
      <c r="G14" s="12">
        <v>0.09</v>
      </c>
      <c r="I14" s="11">
        <f t="shared" si="1"/>
        <v>6</v>
      </c>
      <c r="J14" s="13">
        <f t="shared" si="0"/>
        <v>0</v>
      </c>
      <c r="K14" s="13">
        <f t="shared" si="0"/>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D14">
        <v>2</v>
      </c>
      <c r="BE14" s="12"/>
      <c r="BF14" s="12">
        <v>0.5</v>
      </c>
      <c r="BG14" s="12"/>
      <c r="BH14" s="12"/>
      <c r="BK14">
        <v>2</v>
      </c>
      <c r="BL14" s="12"/>
      <c r="BM14" s="12">
        <v>0.8</v>
      </c>
      <c r="BN14" s="12"/>
      <c r="BO14" s="12"/>
      <c r="BR14">
        <v>0</v>
      </c>
      <c r="BS14" s="12"/>
      <c r="BT14" s="12">
        <v>0.8</v>
      </c>
      <c r="BU14" s="12"/>
      <c r="BV14" s="12"/>
      <c r="BY14">
        <v>0</v>
      </c>
      <c r="BZ14" s="12"/>
      <c r="CA14" s="12">
        <v>0.8</v>
      </c>
      <c r="CB14" s="12"/>
      <c r="CC14" s="12"/>
      <c r="CF14">
        <v>2</v>
      </c>
      <c r="CG14" s="12"/>
      <c r="CH14" s="12">
        <v>1</v>
      </c>
      <c r="CI14" s="12"/>
      <c r="CJ14" s="12"/>
      <c r="CM14">
        <v>0</v>
      </c>
      <c r="CN14" s="12"/>
      <c r="CO14" s="12">
        <v>1</v>
      </c>
      <c r="CP14" s="12"/>
      <c r="CQ14" s="12"/>
    </row>
    <row r="15" spans="2:103" outlineLevel="1">
      <c r="B15" t="s">
        <v>28</v>
      </c>
      <c r="C15" t="s">
        <v>63</v>
      </c>
      <c r="E15" s="11"/>
      <c r="F15" t="s">
        <v>73</v>
      </c>
      <c r="G15" s="12">
        <v>0.09</v>
      </c>
      <c r="I15" s="11">
        <f t="shared" si="1"/>
        <v>7</v>
      </c>
      <c r="J15" s="13">
        <f t="shared" si="0"/>
        <v>0</v>
      </c>
      <c r="K15" s="13">
        <f t="shared" si="0"/>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D15">
        <v>1</v>
      </c>
      <c r="BE15" s="12"/>
      <c r="BF15" s="12">
        <v>0.3</v>
      </c>
      <c r="BG15" s="12"/>
      <c r="BH15" s="12"/>
      <c r="BK15">
        <v>4</v>
      </c>
      <c r="BL15" s="12"/>
      <c r="BM15" s="12">
        <v>0.8</v>
      </c>
      <c r="BN15" s="12"/>
      <c r="BO15" s="12"/>
      <c r="BR15">
        <v>0</v>
      </c>
      <c r="BS15" s="12"/>
      <c r="BT15" s="12">
        <v>0.8</v>
      </c>
      <c r="BU15" s="12"/>
      <c r="BV15" s="12"/>
      <c r="BY15">
        <v>0</v>
      </c>
      <c r="BZ15" s="12"/>
      <c r="CA15" s="12">
        <v>0.8</v>
      </c>
      <c r="CB15" s="12"/>
      <c r="CC15" s="12"/>
      <c r="CF15">
        <v>2</v>
      </c>
      <c r="CG15" s="12"/>
      <c r="CH15" s="12">
        <v>1</v>
      </c>
      <c r="CI15" s="12"/>
      <c r="CJ15" s="12"/>
      <c r="CM15">
        <v>0</v>
      </c>
      <c r="CN15" s="12"/>
      <c r="CO15" s="12">
        <v>1</v>
      </c>
      <c r="CP15" s="12"/>
      <c r="CQ15" s="12"/>
    </row>
    <row r="16" spans="2:103" outlineLevel="1">
      <c r="B16" t="s">
        <v>28</v>
      </c>
      <c r="C16" t="s">
        <v>63</v>
      </c>
      <c r="E16" s="11"/>
      <c r="F16" t="s">
        <v>74</v>
      </c>
      <c r="G16" s="12">
        <v>0.09</v>
      </c>
      <c r="I16" s="11">
        <f>+SUMIF($N$3:$ZZ$3,I$3,$N16:$ZZ16)</f>
        <v>6</v>
      </c>
      <c r="J16" s="13">
        <f t="shared" si="0"/>
        <v>0</v>
      </c>
      <c r="K16" s="13">
        <f t="shared" si="0"/>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K16">
        <v>1</v>
      </c>
      <c r="BL16" s="12"/>
      <c r="BM16" s="12">
        <v>0.3</v>
      </c>
      <c r="BN16" s="12"/>
      <c r="BO16" s="12"/>
      <c r="BR16">
        <v>3</v>
      </c>
      <c r="BS16" s="12"/>
      <c r="BT16" s="12">
        <v>0.8</v>
      </c>
      <c r="BU16" s="12"/>
      <c r="BV16" s="12"/>
      <c r="BY16">
        <v>0</v>
      </c>
      <c r="BZ16" s="12"/>
      <c r="CA16" s="12">
        <v>0.8</v>
      </c>
      <c r="CB16" s="12"/>
      <c r="CC16" s="12"/>
      <c r="CF16">
        <v>1</v>
      </c>
      <c r="CG16" s="12"/>
      <c r="CH16" s="12">
        <v>0.9</v>
      </c>
      <c r="CI16" s="12"/>
      <c r="CJ16" s="12"/>
      <c r="CM16">
        <v>1</v>
      </c>
      <c r="CN16" s="12"/>
      <c r="CO16" s="12">
        <v>1</v>
      </c>
      <c r="CP16" s="12"/>
      <c r="CQ16" s="12"/>
    </row>
    <row r="17" spans="2:100">
      <c r="O17" s="9"/>
      <c r="V17" s="9"/>
      <c r="AC17" s="9"/>
      <c r="AJ17" s="9"/>
      <c r="AQ17" s="9"/>
      <c r="AX17" s="9"/>
      <c r="BE17" s="9"/>
      <c r="BL17" s="9"/>
      <c r="BS17" s="9"/>
      <c r="BZ17" s="9"/>
      <c r="CG17" s="9"/>
      <c r="CN17" s="9"/>
    </row>
    <row r="18" spans="2:100">
      <c r="B18" t="s">
        <v>27</v>
      </c>
      <c r="C18" t="s">
        <v>87</v>
      </c>
      <c r="E18" s="11">
        <v>2.5</v>
      </c>
      <c r="G18" s="12">
        <f>+SUM(G19:G26)</f>
        <v>1</v>
      </c>
      <c r="I18" s="14">
        <f>+SUM(I19:I24)</f>
        <v>34</v>
      </c>
      <c r="J18" s="13">
        <f>+SUMPRODUCT(G19:G24,J19:J24)</f>
        <v>0</v>
      </c>
      <c r="K18" s="13">
        <f>+SUMPRODUCT(G19:G24,K19:K24)</f>
        <v>0</v>
      </c>
      <c r="L18" s="11"/>
      <c r="N18" s="14">
        <f>SUM(N19-N26)</f>
        <v>1</v>
      </c>
      <c r="U18" s="14">
        <f>+SUM(U19:U24)</f>
        <v>1</v>
      </c>
      <c r="AB18" s="14">
        <f>+SUM(AB19:AB24)</f>
        <v>1</v>
      </c>
      <c r="AI18" s="14">
        <f>+SUM(AI19:AI24)</f>
        <v>1</v>
      </c>
      <c r="AP18" s="14">
        <f>+SUM(AP19:AP24)</f>
        <v>4</v>
      </c>
    </row>
    <row r="19" spans="2:100" ht="15.6" customHeight="1" outlineLevel="1">
      <c r="B19" t="s">
        <v>28</v>
      </c>
      <c r="C19" t="s">
        <v>87</v>
      </c>
      <c r="E19" s="11"/>
      <c r="F19" t="s">
        <v>88</v>
      </c>
      <c r="G19" s="12">
        <v>0.125</v>
      </c>
      <c r="I19" s="11">
        <f t="shared" ref="I19:I26" si="2">+SUMIF($N$3:$ZZ$3,I$3,$N19:$ZZ19)</f>
        <v>4</v>
      </c>
      <c r="J19" s="13">
        <f t="shared" ref="J19:K26" si="3">+_xlfn.MAXIFS($N19:$ZF19,$N$3:$ZF$3,J$3)</f>
        <v>0</v>
      </c>
      <c r="K19" s="13">
        <f t="shared" si="3"/>
        <v>0</v>
      </c>
      <c r="L19" s="11"/>
      <c r="N19">
        <v>1</v>
      </c>
      <c r="O19" s="12"/>
      <c r="P19" s="12">
        <v>0.3</v>
      </c>
      <c r="Q19" s="12"/>
      <c r="R19" s="12"/>
      <c r="V19" s="12"/>
      <c r="W19" s="12">
        <v>0.3</v>
      </c>
      <c r="X19" s="12"/>
      <c r="Y19" s="12"/>
      <c r="AB19">
        <v>0</v>
      </c>
      <c r="AC19" s="12"/>
      <c r="AD19" s="12">
        <v>0.3</v>
      </c>
      <c r="AE19" s="12"/>
      <c r="AF19" s="12"/>
      <c r="AI19">
        <v>0</v>
      </c>
      <c r="AJ19" s="12"/>
      <c r="AK19" s="12">
        <v>0.3</v>
      </c>
      <c r="AL19" s="12"/>
      <c r="AM19" s="12"/>
      <c r="AP19">
        <v>1</v>
      </c>
      <c r="AQ19" s="12"/>
      <c r="AR19" s="12">
        <v>0.5</v>
      </c>
      <c r="AS19" s="12"/>
      <c r="AT19" s="12"/>
      <c r="AW19">
        <v>0</v>
      </c>
      <c r="AX19" s="12"/>
      <c r="AY19" s="12">
        <v>0.5</v>
      </c>
      <c r="AZ19" s="12"/>
      <c r="BA19" s="12"/>
      <c r="BD19">
        <v>2</v>
      </c>
      <c r="BE19" s="12"/>
      <c r="BF19" s="12">
        <v>0.8</v>
      </c>
      <c r="BG19" s="12"/>
      <c r="BH19" s="12"/>
      <c r="BK19">
        <v>0</v>
      </c>
      <c r="BL19" s="12"/>
      <c r="BM19" s="12">
        <v>0.8</v>
      </c>
      <c r="BN19" s="12"/>
      <c r="BO19" s="12"/>
      <c r="BR19">
        <v>0</v>
      </c>
      <c r="BS19" s="12"/>
      <c r="BT19" s="12">
        <v>0.8</v>
      </c>
      <c r="BU19" s="12"/>
      <c r="BV19" s="12"/>
      <c r="BY19">
        <v>0</v>
      </c>
      <c r="BZ19" s="12"/>
      <c r="CA19" s="12">
        <v>0.8</v>
      </c>
      <c r="CB19" s="12"/>
      <c r="CC19" s="12"/>
      <c r="CF19">
        <v>0</v>
      </c>
      <c r="CG19" s="12"/>
      <c r="CH19" s="12">
        <v>0.8</v>
      </c>
      <c r="CI19" s="12"/>
      <c r="CJ19" s="12"/>
      <c r="CM19">
        <v>0</v>
      </c>
      <c r="CN19" s="12"/>
      <c r="CO19" s="12">
        <v>0.8</v>
      </c>
      <c r="CP19" s="12"/>
      <c r="CQ19" s="12"/>
      <c r="CT19">
        <v>0</v>
      </c>
      <c r="CU19" s="12"/>
      <c r="CV19" s="12">
        <v>0.8</v>
      </c>
    </row>
    <row r="20" spans="2:100" ht="15.6" customHeight="1" outlineLevel="1">
      <c r="B20" t="s">
        <v>28</v>
      </c>
      <c r="C20" t="s">
        <v>87</v>
      </c>
      <c r="E20" s="11"/>
      <c r="F20" t="s">
        <v>89</v>
      </c>
      <c r="G20" s="12">
        <v>0.125</v>
      </c>
      <c r="I20" s="11">
        <f t="shared" si="2"/>
        <v>6</v>
      </c>
      <c r="J20" s="13">
        <f t="shared" si="3"/>
        <v>0</v>
      </c>
      <c r="K20" s="13">
        <f t="shared" si="3"/>
        <v>0</v>
      </c>
      <c r="L20" s="11"/>
      <c r="O20" s="12"/>
      <c r="P20" s="12"/>
      <c r="Q20" s="12"/>
      <c r="R20" s="12"/>
      <c r="U20">
        <v>1</v>
      </c>
      <c r="V20" s="12"/>
      <c r="W20" s="12">
        <v>0.3</v>
      </c>
      <c r="X20" s="12"/>
      <c r="Y20" s="12"/>
      <c r="AB20">
        <v>0</v>
      </c>
      <c r="AC20" s="12"/>
      <c r="AD20" s="12">
        <v>0.3</v>
      </c>
      <c r="AE20" s="12"/>
      <c r="AF20" s="12"/>
      <c r="AI20">
        <v>0</v>
      </c>
      <c r="AJ20" s="12"/>
      <c r="AK20" s="12">
        <v>0.3</v>
      </c>
      <c r="AL20" s="12"/>
      <c r="AM20" s="12"/>
      <c r="AP20">
        <v>1</v>
      </c>
      <c r="AQ20" s="12"/>
      <c r="AR20" s="12">
        <v>0.5</v>
      </c>
      <c r="AS20" s="12"/>
      <c r="AT20" s="12"/>
      <c r="AW20">
        <v>0</v>
      </c>
      <c r="AX20" s="12"/>
      <c r="AY20" s="12">
        <v>0.5</v>
      </c>
      <c r="AZ20" s="12"/>
      <c r="BA20" s="12"/>
      <c r="BD20">
        <v>1</v>
      </c>
      <c r="BE20" s="12"/>
      <c r="BF20" s="12">
        <v>0.7</v>
      </c>
      <c r="BG20" s="12"/>
      <c r="BH20" s="12"/>
      <c r="BK20">
        <v>1</v>
      </c>
      <c r="BL20" s="12"/>
      <c r="BM20" s="12">
        <v>0.8</v>
      </c>
      <c r="BN20" s="12"/>
      <c r="BO20" s="12"/>
      <c r="BR20">
        <v>0</v>
      </c>
      <c r="BS20" s="12"/>
      <c r="BT20" s="12">
        <v>0.8</v>
      </c>
      <c r="BU20" s="12"/>
      <c r="BV20" s="12"/>
      <c r="BY20">
        <v>0</v>
      </c>
      <c r="BZ20" s="12"/>
      <c r="CA20" s="12">
        <v>0.8</v>
      </c>
      <c r="CB20" s="12"/>
      <c r="CC20" s="12"/>
      <c r="CF20">
        <v>2</v>
      </c>
      <c r="CG20" s="12"/>
      <c r="CH20" s="12">
        <v>1</v>
      </c>
      <c r="CI20" s="12"/>
      <c r="CJ20" s="12"/>
      <c r="CM20">
        <v>0</v>
      </c>
      <c r="CN20" s="12"/>
      <c r="CO20" s="12">
        <v>1</v>
      </c>
      <c r="CP20" s="12"/>
      <c r="CQ20" s="12"/>
      <c r="CT20">
        <v>0</v>
      </c>
      <c r="CU20" s="12"/>
      <c r="CV20" s="12">
        <v>1</v>
      </c>
    </row>
    <row r="21" spans="2:100" ht="15.6" customHeight="1" outlineLevel="1">
      <c r="B21" t="s">
        <v>28</v>
      </c>
      <c r="C21" t="s">
        <v>87</v>
      </c>
      <c r="E21" s="11"/>
      <c r="F21" t="s">
        <v>90</v>
      </c>
      <c r="G21" s="12">
        <v>0.125</v>
      </c>
      <c r="I21" s="11">
        <f t="shared" si="2"/>
        <v>6</v>
      </c>
      <c r="J21" s="13">
        <f t="shared" si="3"/>
        <v>0</v>
      </c>
      <c r="K21" s="13">
        <f t="shared" si="3"/>
        <v>0</v>
      </c>
      <c r="L21" s="11"/>
      <c r="O21" s="12"/>
      <c r="P21" s="12"/>
      <c r="Q21" s="12"/>
      <c r="R21" s="12"/>
      <c r="V21" s="12"/>
      <c r="W21" s="12"/>
      <c r="X21" s="12"/>
      <c r="Y21" s="12"/>
      <c r="AB21">
        <v>1</v>
      </c>
      <c r="AC21" s="12"/>
      <c r="AD21" s="12">
        <v>0.3</v>
      </c>
      <c r="AE21" s="12"/>
      <c r="AF21" s="12"/>
      <c r="AI21">
        <v>0</v>
      </c>
      <c r="AJ21" s="12"/>
      <c r="AK21" s="12">
        <v>0.3</v>
      </c>
      <c r="AL21" s="12"/>
      <c r="AM21" s="12"/>
      <c r="AP21">
        <v>1</v>
      </c>
      <c r="AQ21" s="12"/>
      <c r="AR21" s="12">
        <v>0.5</v>
      </c>
      <c r="AS21" s="12"/>
      <c r="AT21" s="12"/>
      <c r="AW21">
        <v>0</v>
      </c>
      <c r="AX21" s="12"/>
      <c r="AY21" s="12">
        <v>0.5</v>
      </c>
      <c r="AZ21" s="12"/>
      <c r="BA21" s="12"/>
      <c r="BD21">
        <v>1</v>
      </c>
      <c r="BE21" s="12"/>
      <c r="BF21" s="12">
        <v>0.7</v>
      </c>
      <c r="BG21" s="12"/>
      <c r="BH21" s="12"/>
      <c r="BK21">
        <v>1</v>
      </c>
      <c r="BL21" s="12"/>
      <c r="BM21" s="12">
        <v>0.8</v>
      </c>
      <c r="BN21" s="12"/>
      <c r="BO21" s="12"/>
      <c r="BR21">
        <v>0</v>
      </c>
      <c r="BS21" s="12"/>
      <c r="BT21" s="12">
        <v>0.8</v>
      </c>
      <c r="BU21" s="12"/>
      <c r="BV21" s="12"/>
      <c r="BY21">
        <v>0</v>
      </c>
      <c r="BZ21" s="12"/>
      <c r="CA21" s="12">
        <v>0.8</v>
      </c>
      <c r="CB21" s="12"/>
      <c r="CC21" s="12"/>
      <c r="CF21">
        <v>2</v>
      </c>
      <c r="CG21" s="12"/>
      <c r="CH21" s="12">
        <v>1</v>
      </c>
      <c r="CI21" s="12"/>
      <c r="CJ21" s="12"/>
      <c r="CM21">
        <v>0</v>
      </c>
      <c r="CN21" s="12"/>
      <c r="CO21" s="12">
        <v>1</v>
      </c>
      <c r="CP21" s="12"/>
      <c r="CQ21" s="12"/>
      <c r="CT21">
        <v>0</v>
      </c>
      <c r="CU21" s="12"/>
      <c r="CV21" s="12">
        <v>1</v>
      </c>
    </row>
    <row r="22" spans="2:100" ht="15.6" customHeight="1" outlineLevel="1">
      <c r="B22" t="s">
        <v>28</v>
      </c>
      <c r="C22" t="s">
        <v>87</v>
      </c>
      <c r="E22" s="11"/>
      <c r="F22" t="s">
        <v>91</v>
      </c>
      <c r="G22" s="12">
        <v>0.125</v>
      </c>
      <c r="I22" s="11">
        <f t="shared" si="2"/>
        <v>6</v>
      </c>
      <c r="J22" s="13">
        <f t="shared" si="3"/>
        <v>0</v>
      </c>
      <c r="K22" s="13">
        <f t="shared" si="3"/>
        <v>0</v>
      </c>
      <c r="L22" s="11"/>
      <c r="O22" s="12"/>
      <c r="P22" s="12"/>
      <c r="Q22" s="12"/>
      <c r="R22" s="12"/>
      <c r="V22" s="12"/>
      <c r="W22" s="12"/>
      <c r="X22" s="12"/>
      <c r="Y22" s="12"/>
      <c r="AC22" s="12"/>
      <c r="AD22" s="12"/>
      <c r="AE22" s="12"/>
      <c r="AF22" s="12"/>
      <c r="AI22">
        <v>1</v>
      </c>
      <c r="AJ22" s="12"/>
      <c r="AK22" s="12">
        <v>0.3</v>
      </c>
      <c r="AL22" s="12"/>
      <c r="AM22" s="12"/>
      <c r="AP22">
        <v>0</v>
      </c>
      <c r="AQ22" s="12"/>
      <c r="AR22" s="12">
        <v>0.3</v>
      </c>
      <c r="AS22" s="12"/>
      <c r="AT22" s="12"/>
      <c r="AW22">
        <v>1</v>
      </c>
      <c r="AX22" s="12"/>
      <c r="AY22" s="12">
        <v>0.5</v>
      </c>
      <c r="AZ22" s="12"/>
      <c r="BA22" s="12"/>
      <c r="BD22">
        <v>0</v>
      </c>
      <c r="BE22" s="12"/>
      <c r="BF22" s="12">
        <v>0.5</v>
      </c>
      <c r="BG22" s="12"/>
      <c r="BH22" s="12"/>
      <c r="BK22">
        <v>2</v>
      </c>
      <c r="BL22" s="12"/>
      <c r="BM22" s="12">
        <v>0.8</v>
      </c>
      <c r="BN22" s="12"/>
      <c r="BO22" s="12"/>
      <c r="BR22">
        <v>0</v>
      </c>
      <c r="BS22" s="12"/>
      <c r="BT22" s="12">
        <v>0.8</v>
      </c>
      <c r="BU22" s="12"/>
      <c r="BV22" s="12"/>
      <c r="BY22">
        <v>0</v>
      </c>
      <c r="BZ22" s="12"/>
      <c r="CA22" s="12">
        <v>0.8</v>
      </c>
      <c r="CB22" s="12"/>
      <c r="CC22" s="12"/>
      <c r="CF22">
        <v>0</v>
      </c>
      <c r="CG22" s="12"/>
      <c r="CH22" s="12">
        <v>0.8</v>
      </c>
      <c r="CI22" s="12"/>
      <c r="CJ22" s="12"/>
      <c r="CM22">
        <v>2</v>
      </c>
      <c r="CN22" s="12"/>
      <c r="CO22" s="12">
        <v>1</v>
      </c>
      <c r="CP22" s="12"/>
      <c r="CQ22" s="12"/>
      <c r="CT22">
        <v>0</v>
      </c>
      <c r="CU22" s="12"/>
      <c r="CV22" s="12">
        <v>1</v>
      </c>
    </row>
    <row r="23" spans="2:100" ht="15.6" customHeight="1" outlineLevel="1">
      <c r="B23" t="s">
        <v>28</v>
      </c>
      <c r="C23" t="s">
        <v>87</v>
      </c>
      <c r="E23" s="11"/>
      <c r="F23" t="s">
        <v>92</v>
      </c>
      <c r="G23" s="12">
        <v>0.125</v>
      </c>
      <c r="I23" s="11">
        <f t="shared" si="2"/>
        <v>6</v>
      </c>
      <c r="J23" s="13">
        <f t="shared" si="3"/>
        <v>0</v>
      </c>
      <c r="K23" s="13">
        <f t="shared" si="3"/>
        <v>0</v>
      </c>
      <c r="L23" s="11"/>
      <c r="O23" s="12"/>
      <c r="P23" s="12"/>
      <c r="Q23" s="12"/>
      <c r="R23" s="12"/>
      <c r="V23" s="12"/>
      <c r="W23" s="12"/>
      <c r="X23" s="12"/>
      <c r="Y23" s="12"/>
      <c r="AC23" s="12"/>
      <c r="AD23" s="12"/>
      <c r="AE23" s="12"/>
      <c r="AF23" s="12"/>
      <c r="AJ23" s="12"/>
      <c r="AK23" s="12"/>
      <c r="AL23" s="12"/>
      <c r="AM23" s="12"/>
      <c r="AP23">
        <v>1</v>
      </c>
      <c r="AQ23" s="12"/>
      <c r="AR23" s="12">
        <v>0.3</v>
      </c>
      <c r="AS23" s="12"/>
      <c r="AT23" s="12"/>
      <c r="AW23">
        <v>1</v>
      </c>
      <c r="AX23" s="12"/>
      <c r="AY23" s="12">
        <v>0.5</v>
      </c>
      <c r="AZ23" s="12"/>
      <c r="BA23" s="12"/>
      <c r="BD23">
        <v>0</v>
      </c>
      <c r="BE23" s="12"/>
      <c r="BF23" s="12">
        <v>0.5</v>
      </c>
      <c r="BG23" s="12"/>
      <c r="BH23" s="12"/>
      <c r="BK23">
        <v>0</v>
      </c>
      <c r="BL23" s="12"/>
      <c r="BM23" s="12">
        <v>0.5</v>
      </c>
      <c r="BN23" s="12"/>
      <c r="BO23" s="12"/>
      <c r="BR23">
        <v>2</v>
      </c>
      <c r="BS23" s="12"/>
      <c r="BT23" s="12">
        <v>0.8</v>
      </c>
      <c r="BU23" s="12"/>
      <c r="BV23" s="12"/>
      <c r="BY23">
        <v>0</v>
      </c>
      <c r="BZ23" s="12"/>
      <c r="CA23" s="12">
        <v>0.8</v>
      </c>
      <c r="CB23" s="12"/>
      <c r="CC23" s="12"/>
      <c r="CF23">
        <v>0</v>
      </c>
      <c r="CG23" s="12"/>
      <c r="CH23" s="12">
        <v>0.8</v>
      </c>
      <c r="CI23" s="12"/>
      <c r="CJ23" s="12"/>
      <c r="CM23">
        <v>2</v>
      </c>
      <c r="CN23" s="12"/>
      <c r="CO23" s="12">
        <v>1</v>
      </c>
      <c r="CP23" s="12"/>
      <c r="CQ23" s="12"/>
      <c r="CT23">
        <v>0</v>
      </c>
      <c r="CU23" s="12"/>
      <c r="CV23" s="12">
        <v>1</v>
      </c>
    </row>
    <row r="24" spans="2:100" ht="15.6" customHeight="1" outlineLevel="1">
      <c r="B24" t="s">
        <v>28</v>
      </c>
      <c r="C24" t="s">
        <v>87</v>
      </c>
      <c r="E24" s="11"/>
      <c r="F24" t="s">
        <v>93</v>
      </c>
      <c r="G24" s="12">
        <v>0.125</v>
      </c>
      <c r="I24" s="11">
        <f t="shared" si="2"/>
        <v>6</v>
      </c>
      <c r="J24" s="13">
        <f t="shared" si="3"/>
        <v>0</v>
      </c>
      <c r="K24" s="13">
        <f t="shared" si="3"/>
        <v>0</v>
      </c>
      <c r="L24" s="11"/>
      <c r="O24" s="12"/>
      <c r="P24" s="12"/>
      <c r="Q24" s="12"/>
      <c r="R24" s="12"/>
      <c r="V24" s="12"/>
      <c r="W24" s="12"/>
      <c r="X24" s="12"/>
      <c r="Y24" s="12"/>
      <c r="AC24" s="12"/>
      <c r="AD24" s="12"/>
      <c r="AE24" s="12"/>
      <c r="AF24" s="12"/>
      <c r="AJ24" s="12"/>
      <c r="AK24" s="12"/>
      <c r="AL24" s="12"/>
      <c r="AM24" s="12"/>
      <c r="AQ24" s="12"/>
      <c r="AR24" s="12"/>
      <c r="AS24" s="12"/>
      <c r="AT24" s="12"/>
      <c r="AW24">
        <v>1</v>
      </c>
      <c r="AX24" s="12"/>
      <c r="AY24" s="12">
        <v>0.3</v>
      </c>
      <c r="AZ24" s="12"/>
      <c r="BA24" s="12"/>
      <c r="BD24">
        <v>0</v>
      </c>
      <c r="BE24" s="12"/>
      <c r="BF24" s="12">
        <v>0.3</v>
      </c>
      <c r="BG24" s="12"/>
      <c r="BH24" s="12"/>
      <c r="BK24">
        <v>0</v>
      </c>
      <c r="BL24" s="12"/>
      <c r="BM24" s="12">
        <v>0.3</v>
      </c>
      <c r="BN24" s="12"/>
      <c r="BO24" s="12"/>
      <c r="BR24">
        <v>1</v>
      </c>
      <c r="BS24" s="12"/>
      <c r="BT24" s="12">
        <v>0.5</v>
      </c>
      <c r="BU24" s="12"/>
      <c r="BV24" s="12"/>
      <c r="BY24">
        <v>2</v>
      </c>
      <c r="BZ24" s="12"/>
      <c r="CA24" s="12">
        <v>0.8</v>
      </c>
      <c r="CB24" s="12"/>
      <c r="CC24" s="12"/>
      <c r="CF24">
        <v>0</v>
      </c>
      <c r="CG24" s="12"/>
      <c r="CH24" s="12">
        <v>0.8</v>
      </c>
      <c r="CI24" s="12"/>
      <c r="CJ24" s="12"/>
      <c r="CM24">
        <v>0</v>
      </c>
      <c r="CN24" s="12"/>
      <c r="CO24" s="12">
        <v>0.8</v>
      </c>
      <c r="CP24" s="12"/>
      <c r="CQ24" s="12"/>
      <c r="CT24">
        <v>2</v>
      </c>
      <c r="CU24" s="12"/>
      <c r="CV24" s="12">
        <v>1</v>
      </c>
    </row>
    <row r="25" spans="2:100" ht="15.6" customHeight="1" outlineLevel="1">
      <c r="B25" t="s">
        <v>28</v>
      </c>
      <c r="C25" t="s">
        <v>87</v>
      </c>
      <c r="E25" s="11"/>
      <c r="F25" t="s">
        <v>94</v>
      </c>
      <c r="G25" s="12">
        <v>0.125</v>
      </c>
      <c r="I25" s="11">
        <f t="shared" si="2"/>
        <v>6</v>
      </c>
      <c r="J25" s="13">
        <f t="shared" si="3"/>
        <v>0</v>
      </c>
      <c r="K25" s="13">
        <f t="shared" si="3"/>
        <v>0</v>
      </c>
      <c r="L25" s="11"/>
      <c r="O25" s="12"/>
      <c r="P25" s="12"/>
      <c r="Q25" s="12"/>
      <c r="R25" s="12"/>
      <c r="V25" s="12"/>
      <c r="W25" s="12"/>
      <c r="X25" s="12"/>
      <c r="Y25" s="12"/>
      <c r="AC25" s="12"/>
      <c r="AD25" s="12"/>
      <c r="AE25" s="12"/>
      <c r="AF25" s="12"/>
      <c r="AJ25" s="12"/>
      <c r="AK25" s="12"/>
      <c r="AL25" s="12"/>
      <c r="AM25" s="12"/>
      <c r="AQ25" s="12"/>
      <c r="AR25" s="12"/>
      <c r="AS25" s="12"/>
      <c r="AT25" s="12"/>
      <c r="AW25">
        <v>1</v>
      </c>
      <c r="AX25" s="12"/>
      <c r="AY25" s="12">
        <v>0.3</v>
      </c>
      <c r="AZ25" s="12"/>
      <c r="BA25" s="12"/>
      <c r="BD25">
        <v>0</v>
      </c>
      <c r="BE25" s="12"/>
      <c r="BF25" s="12">
        <v>0.3</v>
      </c>
      <c r="BG25" s="12"/>
      <c r="BH25" s="12"/>
      <c r="BK25">
        <v>0</v>
      </c>
      <c r="BL25" s="12"/>
      <c r="BM25" s="12">
        <v>0.3</v>
      </c>
      <c r="BN25" s="12"/>
      <c r="BO25" s="12"/>
      <c r="BR25">
        <v>1</v>
      </c>
      <c r="BS25" s="12"/>
      <c r="BT25" s="12">
        <v>0.5</v>
      </c>
      <c r="BU25" s="12"/>
      <c r="BV25" s="12"/>
      <c r="BY25">
        <v>2</v>
      </c>
      <c r="BZ25" s="12"/>
      <c r="CA25" s="12">
        <v>0.8</v>
      </c>
      <c r="CB25" s="12"/>
      <c r="CC25" s="12"/>
      <c r="CF25">
        <v>0</v>
      </c>
      <c r="CG25" s="12"/>
      <c r="CH25" s="12">
        <v>0.8</v>
      </c>
      <c r="CI25" s="12"/>
      <c r="CJ25" s="12"/>
      <c r="CM25">
        <v>0</v>
      </c>
      <c r="CN25" s="12"/>
      <c r="CO25" s="12">
        <v>0.8</v>
      </c>
      <c r="CP25" s="12"/>
      <c r="CQ25" s="12"/>
      <c r="CT25">
        <v>2</v>
      </c>
      <c r="CU25" s="12"/>
      <c r="CV25" s="12">
        <v>1</v>
      </c>
    </row>
    <row r="26" spans="2:100" ht="15.6" customHeight="1" outlineLevel="1">
      <c r="B26" t="s">
        <v>28</v>
      </c>
      <c r="C26" t="s">
        <v>87</v>
      </c>
      <c r="E26" s="11"/>
      <c r="F26" t="s">
        <v>95</v>
      </c>
      <c r="G26" s="12">
        <v>0.125</v>
      </c>
      <c r="I26" s="11">
        <f t="shared" si="2"/>
        <v>0</v>
      </c>
      <c r="J26" s="13">
        <f t="shared" si="3"/>
        <v>0</v>
      </c>
      <c r="K26" s="13">
        <f t="shared" si="3"/>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row>
    <row r="28" spans="2:100">
      <c r="B28" t="s">
        <v>27</v>
      </c>
      <c r="C28" t="s">
        <v>97</v>
      </c>
      <c r="E28" s="11">
        <v>5</v>
      </c>
      <c r="G28" s="12">
        <f>+SUM(G29:G40)</f>
        <v>1.0009999999999999</v>
      </c>
      <c r="I28" s="14">
        <f>+SUM(I29:I40)</f>
        <v>41</v>
      </c>
      <c r="J28" s="13">
        <f>+SUMPRODUCT(G29:G40,J29:J40)</f>
        <v>0</v>
      </c>
      <c r="K28" s="13">
        <f>+SUMPRODUCT(G29:G40,K29:K40)</f>
        <v>0</v>
      </c>
      <c r="L28" s="11"/>
      <c r="N28" s="14">
        <f>+SUM(N29:N40)</f>
        <v>2</v>
      </c>
      <c r="U28" s="14">
        <f>+SUM(U29:U40)</f>
        <v>2</v>
      </c>
      <c r="AB28" s="14">
        <f>+SUM(AB29:AB40)</f>
        <v>2</v>
      </c>
      <c r="AI28" s="14">
        <f>+SUM(AI29:AI40)</f>
        <v>2</v>
      </c>
      <c r="AP28" s="14">
        <f>+SUM(AP29:AP40)</f>
        <v>7</v>
      </c>
    </row>
    <row r="29" spans="2:100" ht="15.6" customHeight="1" outlineLevel="1">
      <c r="B29" t="s">
        <v>28</v>
      </c>
      <c r="C29" t="s">
        <v>97</v>
      </c>
      <c r="E29" s="11"/>
      <c r="F29" t="s">
        <v>30</v>
      </c>
      <c r="G29" s="12">
        <v>0.14299999999999999</v>
      </c>
      <c r="I29" s="11">
        <f t="shared" ref="I29:I40" si="4">+SUMIF($N$3:$ZZ$3,I$3,$N29:$ZZ29)</f>
        <v>6</v>
      </c>
      <c r="J29" s="13">
        <f t="shared" ref="J29:K40" si="5">+_xlfn.MAXIFS($N29:$ZF29,$N$3:$ZF$3,J$3)</f>
        <v>0</v>
      </c>
      <c r="K29" s="13">
        <f t="shared" si="5"/>
        <v>0</v>
      </c>
      <c r="L29" s="11"/>
      <c r="N29">
        <v>1</v>
      </c>
      <c r="O29" s="12"/>
      <c r="P29" s="12">
        <v>0.3</v>
      </c>
      <c r="Q29" s="12"/>
      <c r="R29" s="12"/>
      <c r="U29">
        <v>1</v>
      </c>
      <c r="V29" s="12"/>
      <c r="W29" s="12">
        <v>0.5</v>
      </c>
      <c r="X29" s="12"/>
      <c r="Y29" s="12"/>
      <c r="AB29">
        <v>0</v>
      </c>
      <c r="AC29" s="12"/>
      <c r="AD29" s="12">
        <v>0.5</v>
      </c>
      <c r="AE29" s="12"/>
      <c r="AF29" s="12"/>
      <c r="AI29">
        <v>0</v>
      </c>
      <c r="AJ29" s="12"/>
      <c r="AK29" s="12">
        <v>0.5</v>
      </c>
      <c r="AL29" s="12"/>
      <c r="AM29" s="12"/>
      <c r="AP29">
        <v>2</v>
      </c>
      <c r="AQ29" s="12"/>
      <c r="AR29" s="12">
        <v>0.8</v>
      </c>
      <c r="AS29" s="12"/>
      <c r="AT29" s="12"/>
      <c r="AW29">
        <v>1</v>
      </c>
      <c r="AX29" s="12"/>
      <c r="AY29" s="12">
        <v>0.9</v>
      </c>
      <c r="AZ29" s="12"/>
      <c r="BA29" s="12"/>
      <c r="BD29">
        <v>1</v>
      </c>
      <c r="BE29" s="12"/>
      <c r="BF29" s="12">
        <v>1</v>
      </c>
      <c r="BG29" s="12"/>
      <c r="BH29" s="12"/>
      <c r="BK29">
        <v>0</v>
      </c>
      <c r="BL29" s="12"/>
      <c r="BM29" s="12">
        <v>1</v>
      </c>
      <c r="BN29" s="12"/>
      <c r="BO29" s="12"/>
      <c r="BR29">
        <v>0</v>
      </c>
      <c r="BS29" s="12"/>
      <c r="BT29" s="12">
        <v>1</v>
      </c>
      <c r="BU29" s="12"/>
      <c r="BV29" s="12"/>
      <c r="BZ29" s="12"/>
      <c r="CA29" s="12"/>
      <c r="CB29" s="12"/>
      <c r="CC29" s="12"/>
      <c r="CG29" s="12"/>
      <c r="CH29" s="12"/>
      <c r="CI29" s="12"/>
      <c r="CJ29" s="12"/>
      <c r="CN29" s="12"/>
      <c r="CO29" s="12"/>
      <c r="CP29" s="12"/>
      <c r="CQ29" s="12"/>
    </row>
    <row r="30" spans="2:100" ht="15.6" customHeight="1" outlineLevel="1">
      <c r="B30" t="s">
        <v>28</v>
      </c>
      <c r="C30" t="s">
        <v>97</v>
      </c>
      <c r="E30" s="11"/>
      <c r="F30" t="s">
        <v>98</v>
      </c>
      <c r="G30" s="12">
        <v>0.14299999999999999</v>
      </c>
      <c r="I30" s="11">
        <f t="shared" si="4"/>
        <v>6</v>
      </c>
      <c r="J30" s="13">
        <f t="shared" si="5"/>
        <v>0</v>
      </c>
      <c r="K30" s="13">
        <f t="shared" si="5"/>
        <v>0</v>
      </c>
      <c r="L30" s="11"/>
      <c r="N30">
        <v>1</v>
      </c>
      <c r="O30" s="12"/>
      <c r="P30" s="12">
        <v>0.3</v>
      </c>
      <c r="Q30" s="12"/>
      <c r="R30" s="12"/>
      <c r="U30">
        <v>0</v>
      </c>
      <c r="V30" s="12"/>
      <c r="W30" s="12">
        <v>0.3</v>
      </c>
      <c r="X30" s="12"/>
      <c r="Y30" s="12"/>
      <c r="AB30">
        <v>1</v>
      </c>
      <c r="AC30" s="12"/>
      <c r="AD30" s="12">
        <v>0.5</v>
      </c>
      <c r="AE30" s="12"/>
      <c r="AF30" s="12"/>
      <c r="AI30">
        <v>0</v>
      </c>
      <c r="AJ30" s="12"/>
      <c r="AK30" s="12">
        <v>0.5</v>
      </c>
      <c r="AL30" s="12"/>
      <c r="AM30" s="12"/>
      <c r="AP30">
        <v>2</v>
      </c>
      <c r="AQ30" s="12"/>
      <c r="AR30" s="12">
        <v>0.8</v>
      </c>
      <c r="AS30" s="12"/>
      <c r="AT30" s="12"/>
      <c r="AW30">
        <v>0</v>
      </c>
      <c r="AX30" s="12"/>
      <c r="AY30" s="12">
        <v>0.8</v>
      </c>
      <c r="AZ30" s="12"/>
      <c r="BA30" s="12"/>
      <c r="BD30">
        <v>2</v>
      </c>
      <c r="BE30" s="12"/>
      <c r="BF30" s="12">
        <v>1</v>
      </c>
      <c r="BG30" s="12"/>
      <c r="BH30" s="12"/>
      <c r="BK30">
        <v>0</v>
      </c>
      <c r="BL30" s="12"/>
      <c r="BM30" s="12">
        <v>1</v>
      </c>
      <c r="BN30" s="12"/>
      <c r="BO30" s="12"/>
      <c r="BR30">
        <v>0</v>
      </c>
      <c r="BS30" s="12"/>
      <c r="BT30" s="12">
        <v>1</v>
      </c>
      <c r="BU30" s="12"/>
      <c r="BV30" s="12"/>
      <c r="BZ30" s="12"/>
      <c r="CA30" s="12"/>
      <c r="CB30" s="12"/>
      <c r="CC30" s="12"/>
      <c r="CG30" s="12"/>
      <c r="CH30" s="12"/>
      <c r="CI30" s="12"/>
      <c r="CJ30" s="12"/>
      <c r="CN30" s="12"/>
      <c r="CO30" s="12"/>
      <c r="CP30" s="12"/>
      <c r="CQ30" s="12"/>
    </row>
    <row r="31" spans="2:100" ht="15.6" customHeight="1" outlineLevel="1">
      <c r="B31" t="s">
        <v>28</v>
      </c>
      <c r="C31" t="s">
        <v>97</v>
      </c>
      <c r="E31" s="11"/>
      <c r="F31" t="s">
        <v>99</v>
      </c>
      <c r="G31" s="12">
        <v>0.14299999999999999</v>
      </c>
      <c r="I31" s="11">
        <f t="shared" si="4"/>
        <v>6</v>
      </c>
      <c r="J31" s="13">
        <f t="shared" si="5"/>
        <v>0</v>
      </c>
      <c r="K31" s="13">
        <f t="shared" si="5"/>
        <v>0</v>
      </c>
      <c r="L31" s="11"/>
      <c r="O31" s="12"/>
      <c r="P31" s="12"/>
      <c r="Q31" s="12"/>
      <c r="R31" s="12"/>
      <c r="U31">
        <v>1</v>
      </c>
      <c r="V31" s="12"/>
      <c r="W31" s="12">
        <v>0.3</v>
      </c>
      <c r="X31" s="12"/>
      <c r="Y31" s="12"/>
      <c r="AB31">
        <v>0</v>
      </c>
      <c r="AC31" s="12"/>
      <c r="AD31" s="12">
        <v>0.3</v>
      </c>
      <c r="AE31" s="12"/>
      <c r="AF31" s="12"/>
      <c r="AI31">
        <v>1</v>
      </c>
      <c r="AJ31" s="12"/>
      <c r="AK31" s="12">
        <v>0.5</v>
      </c>
      <c r="AL31" s="12"/>
      <c r="AM31" s="12"/>
      <c r="AP31">
        <v>0</v>
      </c>
      <c r="AQ31" s="12"/>
      <c r="AR31" s="12">
        <v>0.5</v>
      </c>
      <c r="AS31" s="12"/>
      <c r="AT31" s="12"/>
      <c r="AW31">
        <v>2</v>
      </c>
      <c r="AX31" s="12"/>
      <c r="AY31" s="12">
        <v>0.8</v>
      </c>
      <c r="AZ31" s="12"/>
      <c r="BA31" s="12"/>
      <c r="BD31">
        <v>0</v>
      </c>
      <c r="BE31" s="12"/>
      <c r="BF31" s="12">
        <v>0.8</v>
      </c>
      <c r="BG31" s="12"/>
      <c r="BH31" s="12"/>
      <c r="BK31">
        <v>2</v>
      </c>
      <c r="BL31" s="12"/>
      <c r="BM31" s="12">
        <v>1</v>
      </c>
      <c r="BN31" s="12"/>
      <c r="BO31" s="12"/>
      <c r="BR31">
        <v>0</v>
      </c>
      <c r="BS31" s="12"/>
      <c r="BT31" s="12">
        <v>1</v>
      </c>
      <c r="BU31" s="12"/>
      <c r="BV31" s="12"/>
      <c r="BZ31" s="12"/>
      <c r="CA31" s="12"/>
      <c r="CB31" s="12"/>
      <c r="CC31" s="12"/>
      <c r="CG31" s="12"/>
      <c r="CH31" s="12"/>
      <c r="CI31" s="12"/>
      <c r="CJ31" s="12"/>
      <c r="CN31" s="12"/>
      <c r="CO31" s="12"/>
      <c r="CP31" s="12"/>
      <c r="CQ31" s="12"/>
    </row>
    <row r="32" spans="2:100" ht="15.6" customHeight="1" outlineLevel="1">
      <c r="B32" t="s">
        <v>28</v>
      </c>
      <c r="C32" t="s">
        <v>97</v>
      </c>
      <c r="E32" s="11"/>
      <c r="F32" t="s">
        <v>100</v>
      </c>
      <c r="G32" s="12">
        <v>0.14299999999999999</v>
      </c>
      <c r="I32" s="11">
        <f t="shared" si="4"/>
        <v>6</v>
      </c>
      <c r="J32" s="13">
        <f t="shared" si="5"/>
        <v>0</v>
      </c>
      <c r="K32" s="13">
        <f t="shared" si="5"/>
        <v>0</v>
      </c>
      <c r="L32" s="11"/>
      <c r="O32" s="12"/>
      <c r="P32" s="12"/>
      <c r="Q32" s="12"/>
      <c r="R32" s="12"/>
      <c r="V32" s="12"/>
      <c r="W32" s="12"/>
      <c r="X32" s="12"/>
      <c r="Y32" s="12"/>
      <c r="AB32">
        <v>1</v>
      </c>
      <c r="AC32" s="12"/>
      <c r="AD32" s="12">
        <v>0.3</v>
      </c>
      <c r="AE32" s="12"/>
      <c r="AF32" s="12"/>
      <c r="AI32">
        <v>0</v>
      </c>
      <c r="AJ32" s="12"/>
      <c r="AK32" s="12">
        <v>0.3</v>
      </c>
      <c r="AL32" s="12"/>
      <c r="AM32" s="12"/>
      <c r="AP32">
        <v>1</v>
      </c>
      <c r="AQ32" s="12"/>
      <c r="AR32" s="12">
        <v>0.5</v>
      </c>
      <c r="AS32" s="12"/>
      <c r="AT32" s="12"/>
      <c r="AW32">
        <v>2</v>
      </c>
      <c r="AX32" s="12"/>
      <c r="AY32" s="12">
        <v>0.8</v>
      </c>
      <c r="AZ32" s="12"/>
      <c r="BA32" s="12"/>
      <c r="BD32">
        <v>0</v>
      </c>
      <c r="BE32" s="12"/>
      <c r="BF32" s="12">
        <v>0.8</v>
      </c>
      <c r="BG32" s="12"/>
      <c r="BH32" s="12"/>
      <c r="BK32">
        <v>2</v>
      </c>
      <c r="BL32" s="12"/>
      <c r="BM32" s="12">
        <v>1</v>
      </c>
      <c r="BN32" s="12"/>
      <c r="BO32" s="12"/>
      <c r="BR32">
        <v>0</v>
      </c>
      <c r="BS32" s="12"/>
      <c r="BT32" s="12">
        <v>1</v>
      </c>
      <c r="BU32" s="12"/>
      <c r="BV32" s="12"/>
      <c r="BZ32" s="12"/>
      <c r="CA32" s="12"/>
      <c r="CB32" s="12"/>
      <c r="CC32" s="12"/>
      <c r="CG32" s="12"/>
      <c r="CH32" s="12"/>
      <c r="CI32" s="12"/>
      <c r="CJ32" s="12"/>
      <c r="CN32" s="12"/>
      <c r="CO32" s="12"/>
      <c r="CP32" s="12"/>
      <c r="CQ32" s="12"/>
    </row>
    <row r="33" spans="2:95" ht="15.6" customHeight="1" outlineLevel="1">
      <c r="B33" t="s">
        <v>28</v>
      </c>
      <c r="C33" t="s">
        <v>97</v>
      </c>
      <c r="E33" s="11"/>
      <c r="F33" t="s">
        <v>101</v>
      </c>
      <c r="G33" s="12">
        <v>0.14299999999999999</v>
      </c>
      <c r="I33" s="11">
        <f t="shared" si="4"/>
        <v>5</v>
      </c>
      <c r="J33" s="13">
        <f t="shared" si="5"/>
        <v>0</v>
      </c>
      <c r="K33" s="13">
        <f t="shared" si="5"/>
        <v>0</v>
      </c>
      <c r="L33" s="11"/>
      <c r="O33" s="12"/>
      <c r="P33" s="12"/>
      <c r="Q33" s="12"/>
      <c r="R33" s="12"/>
      <c r="V33" s="12"/>
      <c r="W33" s="12"/>
      <c r="X33" s="12"/>
      <c r="Y33" s="12"/>
      <c r="AC33" s="12"/>
      <c r="AD33" s="12"/>
      <c r="AE33" s="12"/>
      <c r="AF33" s="12"/>
      <c r="AI33">
        <v>1</v>
      </c>
      <c r="AJ33" s="12"/>
      <c r="AK33" s="12">
        <v>0.5</v>
      </c>
      <c r="AL33" s="12"/>
      <c r="AM33" s="12"/>
      <c r="AP33">
        <v>0</v>
      </c>
      <c r="AQ33" s="12"/>
      <c r="AR33" s="12">
        <v>0.5</v>
      </c>
      <c r="AS33" s="12"/>
      <c r="AT33" s="12"/>
      <c r="AW33">
        <v>0</v>
      </c>
      <c r="AX33" s="12"/>
      <c r="AY33" s="12">
        <v>0.5</v>
      </c>
      <c r="AZ33" s="12"/>
      <c r="BA33" s="12"/>
      <c r="BD33">
        <v>2</v>
      </c>
      <c r="BE33" s="12"/>
      <c r="BF33" s="12">
        <v>0.8</v>
      </c>
      <c r="BG33" s="12"/>
      <c r="BH33" s="12"/>
      <c r="BK33">
        <v>2</v>
      </c>
      <c r="BL33" s="12"/>
      <c r="BM33" s="12">
        <v>1</v>
      </c>
      <c r="BN33" s="12"/>
      <c r="BO33" s="12"/>
      <c r="BR33">
        <v>0</v>
      </c>
      <c r="BS33" s="12"/>
      <c r="BT33" s="12">
        <v>1</v>
      </c>
      <c r="BU33" s="12"/>
      <c r="BV33" s="12"/>
      <c r="BZ33" s="12"/>
      <c r="CA33" s="12"/>
      <c r="CB33" s="12"/>
      <c r="CC33" s="12"/>
      <c r="CG33" s="12"/>
      <c r="CH33" s="12"/>
      <c r="CI33" s="12"/>
      <c r="CJ33" s="12"/>
      <c r="CN33" s="12"/>
      <c r="CO33" s="12"/>
      <c r="CP33" s="12"/>
      <c r="CQ33" s="12"/>
    </row>
    <row r="34" spans="2:95" ht="15.6" customHeight="1" outlineLevel="1">
      <c r="B34" t="s">
        <v>28</v>
      </c>
      <c r="C34" t="s">
        <v>97</v>
      </c>
      <c r="E34" s="11"/>
      <c r="F34" t="s">
        <v>102</v>
      </c>
      <c r="G34" s="12">
        <v>0.14299999999999999</v>
      </c>
      <c r="I34" s="11">
        <f t="shared" si="4"/>
        <v>6</v>
      </c>
      <c r="J34" s="13">
        <f t="shared" si="5"/>
        <v>0</v>
      </c>
      <c r="K34" s="13">
        <f t="shared" si="5"/>
        <v>0</v>
      </c>
      <c r="L34" s="11"/>
      <c r="O34" s="12"/>
      <c r="P34" s="12"/>
      <c r="Q34" s="12"/>
      <c r="R34" s="12"/>
      <c r="V34" s="12"/>
      <c r="W34" s="12"/>
      <c r="X34" s="12"/>
      <c r="Y34" s="12"/>
      <c r="AC34" s="12"/>
      <c r="AD34" s="12"/>
      <c r="AE34" s="12"/>
      <c r="AF34" s="12"/>
      <c r="AJ34" s="12"/>
      <c r="AK34" s="12"/>
      <c r="AL34" s="12"/>
      <c r="AM34" s="12"/>
      <c r="AP34">
        <v>2</v>
      </c>
      <c r="AQ34" s="12"/>
      <c r="AR34" s="12">
        <v>0.5</v>
      </c>
      <c r="AS34" s="12"/>
      <c r="AT34" s="12"/>
      <c r="AW34">
        <v>0</v>
      </c>
      <c r="AX34" s="12"/>
      <c r="AY34" s="12">
        <v>0.5</v>
      </c>
      <c r="AZ34" s="12"/>
      <c r="BA34" s="12"/>
      <c r="BD34">
        <v>2</v>
      </c>
      <c r="BE34" s="12"/>
      <c r="BF34" s="12">
        <v>0.8</v>
      </c>
      <c r="BG34" s="12"/>
      <c r="BH34" s="12"/>
      <c r="BK34">
        <v>1</v>
      </c>
      <c r="BL34" s="12"/>
      <c r="BM34" s="12">
        <v>0.9</v>
      </c>
      <c r="BN34" s="12"/>
      <c r="BO34" s="12"/>
      <c r="BR34">
        <v>1</v>
      </c>
      <c r="BS34" s="12"/>
      <c r="BT34" s="12">
        <v>1</v>
      </c>
      <c r="BU34" s="12"/>
      <c r="BV34" s="12"/>
      <c r="BZ34" s="12"/>
      <c r="CA34" s="12"/>
      <c r="CB34" s="12"/>
      <c r="CC34" s="12"/>
      <c r="CG34" s="12"/>
      <c r="CH34" s="12"/>
      <c r="CI34" s="12"/>
      <c r="CJ34" s="12"/>
      <c r="CN34" s="12"/>
      <c r="CO34" s="12"/>
      <c r="CP34" s="12"/>
      <c r="CQ34" s="12"/>
    </row>
    <row r="35" spans="2:95" ht="15.6" customHeight="1" outlineLevel="1">
      <c r="B35" t="s">
        <v>28</v>
      </c>
      <c r="C35" t="s">
        <v>97</v>
      </c>
      <c r="E35" s="11"/>
      <c r="F35" t="s">
        <v>103</v>
      </c>
      <c r="G35" s="12">
        <v>0.14299999999999999</v>
      </c>
      <c r="I35" s="11">
        <f t="shared" si="4"/>
        <v>6</v>
      </c>
      <c r="J35" s="13">
        <f t="shared" si="5"/>
        <v>0</v>
      </c>
      <c r="K35" s="13">
        <f t="shared" si="5"/>
        <v>0</v>
      </c>
      <c r="L35" s="11"/>
      <c r="O35" s="12"/>
      <c r="P35" s="12"/>
      <c r="Q35" s="12"/>
      <c r="R35" s="12"/>
      <c r="V35" s="12"/>
      <c r="W35" s="12"/>
      <c r="X35" s="12"/>
      <c r="Y35" s="12"/>
      <c r="AC35" s="12"/>
      <c r="AD35" s="12"/>
      <c r="AE35" s="12"/>
      <c r="AF35" s="12"/>
      <c r="AJ35" s="12"/>
      <c r="AK35" s="12"/>
      <c r="AL35" s="12"/>
      <c r="AM35" s="12"/>
      <c r="AQ35" s="12"/>
      <c r="AR35" s="12"/>
      <c r="AS35" s="12"/>
      <c r="AT35" s="12"/>
      <c r="AW35">
        <v>2</v>
      </c>
      <c r="AX35" s="12"/>
      <c r="AY35" s="12">
        <v>0.5</v>
      </c>
      <c r="AZ35" s="12"/>
      <c r="BA35" s="12"/>
      <c r="BD35">
        <v>0</v>
      </c>
      <c r="BE35" s="12"/>
      <c r="BF35" s="12">
        <v>0.5</v>
      </c>
      <c r="BG35" s="12"/>
      <c r="BH35" s="12"/>
      <c r="BK35">
        <v>0</v>
      </c>
      <c r="BL35" s="12"/>
      <c r="BM35" s="12">
        <v>0.5</v>
      </c>
      <c r="BN35" s="12"/>
      <c r="BO35" s="12"/>
      <c r="BR35">
        <v>4</v>
      </c>
      <c r="BS35" s="12"/>
      <c r="BT35" s="12">
        <v>1</v>
      </c>
      <c r="BU35" s="12"/>
      <c r="BV35" s="12"/>
      <c r="BZ35" s="12"/>
      <c r="CA35" s="12"/>
      <c r="CB35" s="12"/>
      <c r="CC35" s="12"/>
      <c r="CG35" s="12"/>
      <c r="CH35" s="12"/>
      <c r="CI35" s="12"/>
      <c r="CJ35" s="12"/>
      <c r="CN35" s="12"/>
      <c r="CO35" s="12"/>
      <c r="CP35" s="12"/>
      <c r="CQ35" s="12"/>
    </row>
    <row r="36" spans="2:95" ht="15.6" customHeight="1" outlineLevel="1">
      <c r="E36" s="11"/>
      <c r="G36" s="12"/>
      <c r="I36" s="11"/>
      <c r="J36" s="13"/>
      <c r="K36" s="13"/>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row>
    <row r="37" spans="2:95" ht="15.6" customHeight="1" outlineLevel="1">
      <c r="E37" s="11"/>
      <c r="G37" s="12"/>
      <c r="I37" s="11"/>
      <c r="J37" s="13"/>
      <c r="K37" s="13"/>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row>
    <row r="38" spans="2:95" ht="15.6" customHeight="1" outlineLevel="1">
      <c r="E38" s="11"/>
      <c r="G38" s="12"/>
      <c r="I38" s="11"/>
      <c r="J38" s="13"/>
      <c r="K38" s="13"/>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row>
    <row r="39" spans="2:95" ht="15.6" customHeight="1" outlineLevel="1">
      <c r="E39" s="11"/>
      <c r="G39" s="12"/>
      <c r="I39" s="11"/>
      <c r="J39" s="13"/>
      <c r="K39" s="13"/>
      <c r="L39" s="11"/>
      <c r="O39" s="12"/>
      <c r="P39" s="12"/>
      <c r="Q39" s="12"/>
      <c r="R39" s="12"/>
      <c r="V39" s="12"/>
      <c r="W39" s="12"/>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row>
    <row r="40" spans="2:95" ht="15.6" customHeight="1" outlineLevel="1">
      <c r="E40" s="11"/>
      <c r="G40" s="12"/>
      <c r="I40" s="11"/>
      <c r="J40" s="13"/>
      <c r="K40" s="13"/>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row>
  </sheetData>
  <mergeCells count="14">
    <mergeCell ref="CM2:CR2"/>
    <mergeCell ref="CT2:CY2"/>
    <mergeCell ref="BK2:BP2"/>
    <mergeCell ref="BR2:BW2"/>
    <mergeCell ref="BY2:CD2"/>
    <mergeCell ref="CF2:CK2"/>
    <mergeCell ref="I2:L2"/>
    <mergeCell ref="N2:S2"/>
    <mergeCell ref="BD2:BI2"/>
    <mergeCell ref="U2:Z2"/>
    <mergeCell ref="AB2:AG2"/>
    <mergeCell ref="AI2:AN2"/>
    <mergeCell ref="AP2:AU2"/>
    <mergeCell ref="AW2:BB2"/>
  </mergeCells>
  <conditionalFormatting sqref="J5:K16">
    <cfRule type="colorScale" priority="446">
      <colorScale>
        <cfvo type="percent" val="0"/>
        <cfvo type="percent" val="100"/>
        <color rgb="FFFF231B"/>
        <color rgb="FF10FF07"/>
      </colorScale>
    </cfRule>
  </conditionalFormatting>
  <conditionalFormatting sqref="O19:O23 Q19:Q23 O5:O16">
    <cfRule type="expression" dxfId="310" priority="444">
      <formula>OR(IF(O5&lt;P5,TRUE),IF(AND(P5="",O5&lt;&gt;""),TRUE))</formula>
    </cfRule>
    <cfRule type="expression" dxfId="309" priority="445">
      <formula>IF(O5&gt;=P5,IF(O5="",FALSE,TRUE))</formula>
    </cfRule>
  </conditionalFormatting>
  <conditionalFormatting sqref="Q5:Q16">
    <cfRule type="expression" dxfId="308" priority="442">
      <formula>OR(IF(Q5&lt;R5,TRUE),IF(AND(R5="",Q5&lt;&gt;""),TRUE))</formula>
    </cfRule>
    <cfRule type="expression" dxfId="307" priority="443">
      <formula>IF(Q5&gt;=R5,IF(Q5="",FALSE,TRUE))</formula>
    </cfRule>
  </conditionalFormatting>
  <conditionalFormatting sqref="AJ31:AJ40">
    <cfRule type="expression" dxfId="306" priority="315">
      <formula>OR(IF(AJ31&lt;AK31,TRUE),IF(AND(AK31="",AJ31&lt;&gt;""),TRUE))</formula>
    </cfRule>
    <cfRule type="expression" dxfId="305" priority="316">
      <formula>IF(AJ31&gt;=AK31,IF(AJ31="",FALSE,TRUE))</formula>
    </cfRule>
  </conditionalFormatting>
  <conditionalFormatting sqref="AL31:AL40">
    <cfRule type="expression" dxfId="304" priority="313">
      <formula>OR(IF(AL31&lt;AM31,TRUE),IF(AND(AM31="",AL31&lt;&gt;""),TRUE))</formula>
    </cfRule>
    <cfRule type="expression" dxfId="303" priority="314">
      <formula>IF(AL31&gt;=AM31,IF(AL31="",FALSE,TRUE))</formula>
    </cfRule>
  </conditionalFormatting>
  <conditionalFormatting sqref="AQ19:AQ23 AS19:AS23 AQ5:AQ16">
    <cfRule type="expression" dxfId="302" priority="311">
      <formula>OR(IF(AQ5&lt;AR5,TRUE),IF(AND(AR5="",AQ5&lt;&gt;""),TRUE))</formula>
    </cfRule>
    <cfRule type="expression" dxfId="301" priority="312">
      <formula>IF(AQ5&gt;=AR5,IF(AQ5="",FALSE,TRUE))</formula>
    </cfRule>
  </conditionalFormatting>
  <conditionalFormatting sqref="AS5:AS16">
    <cfRule type="expression" dxfId="300" priority="309">
      <formula>OR(IF(AS5&lt;AT5,TRUE),IF(AND(AT5="",AS5&lt;&gt;""),TRUE))</formula>
    </cfRule>
    <cfRule type="expression" dxfId="299" priority="310">
      <formula>IF(AS5&gt;=AT5,IF(AS5="",FALSE,TRUE))</formula>
    </cfRule>
  </conditionalFormatting>
  <conditionalFormatting sqref="J19:K24">
    <cfRule type="colorScale" priority="447">
      <colorScale>
        <cfvo type="percent" val="0"/>
        <cfvo type="percent" val="100"/>
        <color rgb="FFFF231B"/>
        <color rgb="FF10FF07"/>
      </colorScale>
    </cfRule>
  </conditionalFormatting>
  <conditionalFormatting sqref="J29:K40">
    <cfRule type="colorScale" priority="387">
      <colorScale>
        <cfvo type="percent" val="0"/>
        <cfvo type="percent" val="100"/>
        <color rgb="FFFF231B"/>
        <color rgb="FF10FF07"/>
      </colorScale>
    </cfRule>
  </conditionalFormatting>
  <conditionalFormatting sqref="O29:O30">
    <cfRule type="expression" dxfId="298" priority="385">
      <formula>OR(IF(O29&lt;P29,TRUE),IF(AND(P29="",O29&lt;&gt;""),TRUE))</formula>
    </cfRule>
    <cfRule type="expression" dxfId="297" priority="386">
      <formula>IF(O29&gt;=P29,IF(O29="",FALSE,TRUE))</formula>
    </cfRule>
  </conditionalFormatting>
  <conditionalFormatting sqref="Q29:Q30">
    <cfRule type="expression" dxfId="296" priority="383">
      <formula>OR(IF(Q29&lt;R29,TRUE),IF(AND(R29="",Q29&lt;&gt;""),TRUE))</formula>
    </cfRule>
    <cfRule type="expression" dxfId="295" priority="384">
      <formula>IF(Q29&gt;=R29,IF(Q29="",FALSE,TRUE))</formula>
    </cfRule>
  </conditionalFormatting>
  <conditionalFormatting sqref="AZ24">
    <cfRule type="expression" dxfId="294" priority="285">
      <formula>OR(IF(AZ24&lt;BA24,TRUE),IF(AND(BA24="",AZ24&lt;&gt;""),TRUE))</formula>
    </cfRule>
    <cfRule type="expression" dxfId="293" priority="286">
      <formula>IF(AZ24&gt;=BA24,IF(AZ24="",FALSE,TRUE))</formula>
    </cfRule>
  </conditionalFormatting>
  <conditionalFormatting sqref="AX31:AX40">
    <cfRule type="expression" dxfId="292" priority="283">
      <formula>OR(IF(AX31&lt;AY31,TRUE),IF(AND(AY31="",AX31&lt;&gt;""),TRUE))</formula>
    </cfRule>
    <cfRule type="expression" dxfId="291" priority="284">
      <formula>IF(AX31&gt;=AY31,IF(AX31="",FALSE,TRUE))</formula>
    </cfRule>
  </conditionalFormatting>
  <conditionalFormatting sqref="AZ31:AZ40">
    <cfRule type="expression" dxfId="290" priority="281">
      <formula>OR(IF(AZ31&lt;BA31,TRUE),IF(AND(BA31="",AZ31&lt;&gt;""),TRUE))</formula>
    </cfRule>
    <cfRule type="expression" dxfId="289" priority="282">
      <formula>IF(AZ31&gt;=BA31,IF(AZ31="",FALSE,TRUE))</formula>
    </cfRule>
  </conditionalFormatting>
  <conditionalFormatting sqref="BE19:BE23 BG19:BG23 BE5:BE16">
    <cfRule type="expression" dxfId="288" priority="279">
      <formula>OR(IF(BE5&lt;BF5,TRUE),IF(AND(BF5="",BE5&lt;&gt;""),TRUE))</formula>
    </cfRule>
    <cfRule type="expression" dxfId="287" priority="280">
      <formula>IF(BE5&gt;=BF5,IF(BE5="",FALSE,TRUE))</formula>
    </cfRule>
  </conditionalFormatting>
  <conditionalFormatting sqref="BG5:BG16">
    <cfRule type="expression" dxfId="286" priority="277">
      <formula>OR(IF(BG5&lt;BH5,TRUE),IF(AND(BH5="",BG5&lt;&gt;""),TRUE))</formula>
    </cfRule>
    <cfRule type="expression" dxfId="285" priority="278">
      <formula>IF(BG5&gt;=BH5,IF(BG5="",FALSE,TRUE))</formula>
    </cfRule>
  </conditionalFormatting>
  <conditionalFormatting sqref="BE29:BE30">
    <cfRule type="expression" dxfId="284" priority="275">
      <formula>OR(IF(BE29&lt;BF29,TRUE),IF(AND(BF29="",BE29&lt;&gt;""),TRUE))</formula>
    </cfRule>
    <cfRule type="expression" dxfId="283" priority="276">
      <formula>IF(BE29&gt;=BF29,IF(BE29="",FALSE,TRUE))</formula>
    </cfRule>
  </conditionalFormatting>
  <conditionalFormatting sqref="Q31:Q40">
    <cfRule type="expression" dxfId="282" priority="361">
      <formula>OR(IF(Q31&lt;R31,TRUE),IF(AND(R31="",Q31&lt;&gt;""),TRUE))</formula>
    </cfRule>
    <cfRule type="expression" dxfId="281" priority="362">
      <formula>IF(Q31&gt;=R31,IF(Q31="",FALSE,TRUE))</formula>
    </cfRule>
  </conditionalFormatting>
  <conditionalFormatting sqref="O24">
    <cfRule type="expression" dxfId="280" priority="367">
      <formula>OR(IF(O24&lt;P24,TRUE),IF(AND(P24="",O24&lt;&gt;""),TRUE))</formula>
    </cfRule>
    <cfRule type="expression" dxfId="279" priority="368">
      <formula>IF(O24&gt;=P24,IF(O24="",FALSE,TRUE))</formula>
    </cfRule>
  </conditionalFormatting>
  <conditionalFormatting sqref="Q24">
    <cfRule type="expression" dxfId="278" priority="365">
      <formula>OR(IF(Q24&lt;R24,TRUE),IF(AND(R24="",Q24&lt;&gt;""),TRUE))</formula>
    </cfRule>
    <cfRule type="expression" dxfId="277" priority="366">
      <formula>IF(Q24&gt;=R24,IF(Q24="",FALSE,TRUE))</formula>
    </cfRule>
  </conditionalFormatting>
  <conditionalFormatting sqref="O31:O40">
    <cfRule type="expression" dxfId="276" priority="363">
      <formula>OR(IF(O31&lt;P31,TRUE),IF(AND(P31="",O31&lt;&gt;""),TRUE))</formula>
    </cfRule>
    <cfRule type="expression" dxfId="275" priority="364">
      <formula>IF(O31&gt;=P31,IF(O31="",FALSE,TRUE))</formula>
    </cfRule>
  </conditionalFormatting>
  <conditionalFormatting sqref="BG31:BG40">
    <cfRule type="expression" dxfId="274" priority="265">
      <formula>OR(IF(BG31&lt;BH31,TRUE),IF(AND(BH31="",BG31&lt;&gt;""),TRUE))</formula>
    </cfRule>
    <cfRule type="expression" dxfId="273" priority="266">
      <formula>IF(BG31&gt;=BH31,IF(BG31="",FALSE,TRUE))</formula>
    </cfRule>
  </conditionalFormatting>
  <conditionalFormatting sqref="V19:V23 X19:X23 V5:V16">
    <cfRule type="expression" dxfId="272" priority="359">
      <formula>OR(IF(V5&lt;W5,TRUE),IF(AND(W5="",V5&lt;&gt;""),TRUE))</formula>
    </cfRule>
    <cfRule type="expression" dxfId="271" priority="360">
      <formula>IF(V5&gt;=W5,IF(V5="",FALSE,TRUE))</formula>
    </cfRule>
  </conditionalFormatting>
  <conditionalFormatting sqref="X5:X16">
    <cfRule type="expression" dxfId="270" priority="357">
      <formula>OR(IF(X5&lt;Y5,TRUE),IF(AND(Y5="",X5&lt;&gt;""),TRUE))</formula>
    </cfRule>
    <cfRule type="expression" dxfId="269" priority="358">
      <formula>IF(X5&gt;=Y5,IF(X5="",FALSE,TRUE))</formula>
    </cfRule>
  </conditionalFormatting>
  <conditionalFormatting sqref="V29:V30">
    <cfRule type="expression" dxfId="268" priority="355">
      <formula>OR(IF(V29&lt;W29,TRUE),IF(AND(W29="",V29&lt;&gt;""),TRUE))</formula>
    </cfRule>
    <cfRule type="expression" dxfId="267" priority="356">
      <formula>IF(V29&gt;=W29,IF(V29="",FALSE,TRUE))</formula>
    </cfRule>
  </conditionalFormatting>
  <conditionalFormatting sqref="X29:X30">
    <cfRule type="expression" dxfId="266" priority="353">
      <formula>OR(IF(X29&lt;Y29,TRUE),IF(AND(Y29="",X29&lt;&gt;""),TRUE))</formula>
    </cfRule>
    <cfRule type="expression" dxfId="265" priority="354">
      <formula>IF(X29&gt;=Y29,IF(X29="",FALSE,TRUE))</formula>
    </cfRule>
  </conditionalFormatting>
  <conditionalFormatting sqref="X31:X40">
    <cfRule type="expression" dxfId="264" priority="345">
      <formula>OR(IF(X31&lt;Y31,TRUE),IF(AND(Y31="",X31&lt;&gt;""),TRUE))</formula>
    </cfRule>
    <cfRule type="expression" dxfId="263" priority="346">
      <formula>IF(X31&gt;=Y31,IF(X31="",FALSE,TRUE))</formula>
    </cfRule>
  </conditionalFormatting>
  <conditionalFormatting sqref="V24">
    <cfRule type="expression" dxfId="262" priority="351">
      <formula>OR(IF(V24&lt;W24,TRUE),IF(AND(W24="",V24&lt;&gt;""),TRUE))</formula>
    </cfRule>
    <cfRule type="expression" dxfId="261" priority="352">
      <formula>IF(V24&gt;=W24,IF(V24="",FALSE,TRUE))</formula>
    </cfRule>
  </conditionalFormatting>
  <conditionalFormatting sqref="X24">
    <cfRule type="expression" dxfId="260" priority="349">
      <formula>OR(IF(X24&lt;Y24,TRUE),IF(AND(Y24="",X24&lt;&gt;""),TRUE))</formula>
    </cfRule>
    <cfRule type="expression" dxfId="259" priority="350">
      <formula>IF(X24&gt;=Y24,IF(X24="",FALSE,TRUE))</formula>
    </cfRule>
  </conditionalFormatting>
  <conditionalFormatting sqref="V31:V40">
    <cfRule type="expression" dxfId="258" priority="347">
      <formula>OR(IF(V31&lt;W31,TRUE),IF(AND(W31="",V31&lt;&gt;""),TRUE))</formula>
    </cfRule>
    <cfRule type="expression" dxfId="257" priority="348">
      <formula>IF(V31&gt;=W31,IF(V31="",FALSE,TRUE))</formula>
    </cfRule>
  </conditionalFormatting>
  <conditionalFormatting sqref="AC19:AC23 AE19:AE23 AC5:AC16">
    <cfRule type="expression" dxfId="256" priority="343">
      <formula>OR(IF(AC5&lt;AD5,TRUE),IF(AND(AD5="",AC5&lt;&gt;""),TRUE))</formula>
    </cfRule>
    <cfRule type="expression" dxfId="255" priority="344">
      <formula>IF(AC5&gt;=AD5,IF(AC5="",FALSE,TRUE))</formula>
    </cfRule>
  </conditionalFormatting>
  <conditionalFormatting sqref="AE5:AE16">
    <cfRule type="expression" dxfId="254" priority="341">
      <formula>OR(IF(AE5&lt;AF5,TRUE),IF(AND(AF5="",AE5&lt;&gt;""),TRUE))</formula>
    </cfRule>
    <cfRule type="expression" dxfId="253" priority="342">
      <formula>IF(AE5&gt;=AF5,IF(AE5="",FALSE,TRUE))</formula>
    </cfRule>
  </conditionalFormatting>
  <conditionalFormatting sqref="AC29:AC30">
    <cfRule type="expression" dxfId="252" priority="339">
      <formula>OR(IF(AC29&lt;AD29,TRUE),IF(AND(AD29="",AC29&lt;&gt;""),TRUE))</formula>
    </cfRule>
    <cfRule type="expression" dxfId="251" priority="340">
      <formula>IF(AC29&gt;=AD29,IF(AC29="",FALSE,TRUE))</formula>
    </cfRule>
  </conditionalFormatting>
  <conditionalFormatting sqref="AE29:AE30">
    <cfRule type="expression" dxfId="250" priority="337">
      <formula>OR(IF(AE29&lt;AF29,TRUE),IF(AND(AF29="",AE29&lt;&gt;""),TRUE))</formula>
    </cfRule>
    <cfRule type="expression" dxfId="249" priority="338">
      <formula>IF(AE29&gt;=AF29,IF(AE29="",FALSE,TRUE))</formula>
    </cfRule>
  </conditionalFormatting>
  <conditionalFormatting sqref="AE31:AE40">
    <cfRule type="expression" dxfId="248" priority="329">
      <formula>OR(IF(AE31&lt;AF31,TRUE),IF(AND(AF31="",AE31&lt;&gt;""),TRUE))</formula>
    </cfRule>
    <cfRule type="expression" dxfId="247" priority="330">
      <formula>IF(AE31&gt;=AF31,IF(AE31="",FALSE,TRUE))</formula>
    </cfRule>
  </conditionalFormatting>
  <conditionalFormatting sqref="AC24">
    <cfRule type="expression" dxfId="246" priority="335">
      <formula>OR(IF(AC24&lt;AD24,TRUE),IF(AND(AD24="",AC24&lt;&gt;""),TRUE))</formula>
    </cfRule>
    <cfRule type="expression" dxfId="245" priority="336">
      <formula>IF(AC24&gt;=AD24,IF(AC24="",FALSE,TRUE))</formula>
    </cfRule>
  </conditionalFormatting>
  <conditionalFormatting sqref="AE24">
    <cfRule type="expression" dxfId="244" priority="333">
      <formula>OR(IF(AE24&lt;AF24,TRUE),IF(AND(AF24="",AE24&lt;&gt;""),TRUE))</formula>
    </cfRule>
    <cfRule type="expression" dxfId="243" priority="334">
      <formula>IF(AE24&gt;=AF24,IF(AE24="",FALSE,TRUE))</formula>
    </cfRule>
  </conditionalFormatting>
  <conditionalFormatting sqref="AC31:AC40">
    <cfRule type="expression" dxfId="242" priority="331">
      <formula>OR(IF(AC31&lt;AD31,TRUE),IF(AND(AD31="",AC31&lt;&gt;""),TRUE))</formula>
    </cfRule>
    <cfRule type="expression" dxfId="241" priority="332">
      <formula>IF(AC31&gt;=AD31,IF(AC31="",FALSE,TRUE))</formula>
    </cfRule>
  </conditionalFormatting>
  <conditionalFormatting sqref="AJ19:AJ23 AL19:AL23 AJ5:AJ16">
    <cfRule type="expression" dxfId="240" priority="327">
      <formula>OR(IF(AJ5&lt;AK5,TRUE),IF(AND(AK5="",AJ5&lt;&gt;""),TRUE))</formula>
    </cfRule>
    <cfRule type="expression" dxfId="239" priority="328">
      <formula>IF(AJ5&gt;=AK5,IF(AJ5="",FALSE,TRUE))</formula>
    </cfRule>
  </conditionalFormatting>
  <conditionalFormatting sqref="AL5:AL16">
    <cfRule type="expression" dxfId="238" priority="325">
      <formula>OR(IF(AL5&lt;AM5,TRUE),IF(AND(AM5="",AL5&lt;&gt;""),TRUE))</formula>
    </cfRule>
    <cfRule type="expression" dxfId="237" priority="326">
      <formula>IF(AL5&gt;=AM5,IF(AL5="",FALSE,TRUE))</formula>
    </cfRule>
  </conditionalFormatting>
  <conditionalFormatting sqref="AJ29:AJ30">
    <cfRule type="expression" dxfId="236" priority="323">
      <formula>OR(IF(AJ29&lt;AK29,TRUE),IF(AND(AK29="",AJ29&lt;&gt;""),TRUE))</formula>
    </cfRule>
    <cfRule type="expression" dxfId="235" priority="324">
      <formula>IF(AJ29&gt;=AK29,IF(AJ29="",FALSE,TRUE))</formula>
    </cfRule>
  </conditionalFormatting>
  <conditionalFormatting sqref="AL29:AL30">
    <cfRule type="expression" dxfId="234" priority="321">
      <formula>OR(IF(AL29&lt;AM29,TRUE),IF(AND(AM29="",AL29&lt;&gt;""),TRUE))</formula>
    </cfRule>
    <cfRule type="expression" dxfId="233" priority="322">
      <formula>IF(AL29&gt;=AM29,IF(AL29="",FALSE,TRUE))</formula>
    </cfRule>
  </conditionalFormatting>
  <conditionalFormatting sqref="AJ24">
    <cfRule type="expression" dxfId="232" priority="319">
      <formula>OR(IF(AJ24&lt;AK24,TRUE),IF(AND(AK24="",AJ24&lt;&gt;""),TRUE))</formula>
    </cfRule>
    <cfRule type="expression" dxfId="231" priority="320">
      <formula>IF(AJ24&gt;=AK24,IF(AJ24="",FALSE,TRUE))</formula>
    </cfRule>
  </conditionalFormatting>
  <conditionalFormatting sqref="AL24">
    <cfRule type="expression" dxfId="230" priority="317">
      <formula>OR(IF(AL24&lt;AM24,TRUE),IF(AND(AM24="",AL24&lt;&gt;""),TRUE))</formula>
    </cfRule>
    <cfRule type="expression" dxfId="229" priority="318">
      <formula>IF(AL24&gt;=AM24,IF(AL24="",FALSE,TRUE))</formula>
    </cfRule>
  </conditionalFormatting>
  <conditionalFormatting sqref="AQ29:AQ30">
    <cfRule type="expression" dxfId="228" priority="307">
      <formula>OR(IF(AQ29&lt;AR29,TRUE),IF(AND(AR29="",AQ29&lt;&gt;""),TRUE))</formula>
    </cfRule>
    <cfRule type="expression" dxfId="227" priority="308">
      <formula>IF(AQ29&gt;=AR29,IF(AQ29="",FALSE,TRUE))</formula>
    </cfRule>
  </conditionalFormatting>
  <conditionalFormatting sqref="AS29:AS30">
    <cfRule type="expression" dxfId="226" priority="305">
      <formula>OR(IF(AS29&lt;AT29,TRUE),IF(AND(AT29="",AS29&lt;&gt;""),TRUE))</formula>
    </cfRule>
    <cfRule type="expression" dxfId="225" priority="306">
      <formula>IF(AS29&gt;=AT29,IF(AS29="",FALSE,TRUE))</formula>
    </cfRule>
  </conditionalFormatting>
  <conditionalFormatting sqref="AS31:AS40">
    <cfRule type="expression" dxfId="224" priority="297">
      <formula>OR(IF(AS31&lt;AT31,TRUE),IF(AND(AT31="",AS31&lt;&gt;""),TRUE))</formula>
    </cfRule>
    <cfRule type="expression" dxfId="223" priority="298">
      <formula>IF(AS31&gt;=AT31,IF(AS31="",FALSE,TRUE))</formula>
    </cfRule>
  </conditionalFormatting>
  <conditionalFormatting sqref="AQ24">
    <cfRule type="expression" dxfId="222" priority="303">
      <formula>OR(IF(AQ24&lt;AR24,TRUE),IF(AND(AR24="",AQ24&lt;&gt;""),TRUE))</formula>
    </cfRule>
    <cfRule type="expression" dxfId="221" priority="304">
      <formula>IF(AQ24&gt;=AR24,IF(AQ24="",FALSE,TRUE))</formula>
    </cfRule>
  </conditionalFormatting>
  <conditionalFormatting sqref="AS24">
    <cfRule type="expression" dxfId="220" priority="301">
      <formula>OR(IF(AS24&lt;AT24,TRUE),IF(AND(AT24="",AS24&lt;&gt;""),TRUE))</formula>
    </cfRule>
    <cfRule type="expression" dxfId="219" priority="302">
      <formula>IF(AS24&gt;=AT24,IF(AS24="",FALSE,TRUE))</formula>
    </cfRule>
  </conditionalFormatting>
  <conditionalFormatting sqref="AQ31:AQ40">
    <cfRule type="expression" dxfId="218" priority="299">
      <formula>OR(IF(AQ31&lt;AR31,TRUE),IF(AND(AR31="",AQ31&lt;&gt;""),TRUE))</formula>
    </cfRule>
    <cfRule type="expression" dxfId="217" priority="300">
      <formula>IF(AQ31&gt;=AR31,IF(AQ31="",FALSE,TRUE))</formula>
    </cfRule>
  </conditionalFormatting>
  <conditionalFormatting sqref="AX19:AX23 AZ19:AZ23 AX5:AX16">
    <cfRule type="expression" dxfId="216" priority="295">
      <formula>OR(IF(AX5&lt;AY5,TRUE),IF(AND(AY5="",AX5&lt;&gt;""),TRUE))</formula>
    </cfRule>
    <cfRule type="expression" dxfId="215" priority="296">
      <formula>IF(AX5&gt;=AY5,IF(AX5="",FALSE,TRUE))</formula>
    </cfRule>
  </conditionalFormatting>
  <conditionalFormatting sqref="AZ5:AZ16">
    <cfRule type="expression" dxfId="214" priority="293">
      <formula>OR(IF(AZ5&lt;BA5,TRUE),IF(AND(BA5="",AZ5&lt;&gt;""),TRUE))</formula>
    </cfRule>
    <cfRule type="expression" dxfId="213" priority="294">
      <formula>IF(AZ5&gt;=BA5,IF(AZ5="",FALSE,TRUE))</formula>
    </cfRule>
  </conditionalFormatting>
  <conditionalFormatting sqref="AX29:AX30">
    <cfRule type="expression" dxfId="212" priority="291">
      <formula>OR(IF(AX29&lt;AY29,TRUE),IF(AND(AY29="",AX29&lt;&gt;""),TRUE))</formula>
    </cfRule>
    <cfRule type="expression" dxfId="211" priority="292">
      <formula>IF(AX29&gt;=AY29,IF(AX29="",FALSE,TRUE))</formula>
    </cfRule>
  </conditionalFormatting>
  <conditionalFormatting sqref="AZ29:AZ30">
    <cfRule type="expression" dxfId="210" priority="289">
      <formula>OR(IF(AZ29&lt;BA29,TRUE),IF(AND(BA29="",AZ29&lt;&gt;""),TRUE))</formula>
    </cfRule>
    <cfRule type="expression" dxfId="209" priority="290">
      <formula>IF(AZ29&gt;=BA29,IF(AZ29="",FALSE,TRUE))</formula>
    </cfRule>
  </conditionalFormatting>
  <conditionalFormatting sqref="AX24">
    <cfRule type="expression" dxfId="208" priority="287">
      <formula>OR(IF(AX24&lt;AY24,TRUE),IF(AND(AY24="",AX24&lt;&gt;""),TRUE))</formula>
    </cfRule>
    <cfRule type="expression" dxfId="207" priority="288">
      <formula>IF(AX24&gt;=AY24,IF(AX24="",FALSE,TRUE))</formula>
    </cfRule>
  </conditionalFormatting>
  <conditionalFormatting sqref="BG29:BG30">
    <cfRule type="expression" dxfId="206" priority="273">
      <formula>OR(IF(BG29&lt;BH29,TRUE),IF(AND(BH29="",BG29&lt;&gt;""),TRUE))</formula>
    </cfRule>
    <cfRule type="expression" dxfId="205" priority="274">
      <formula>IF(BG29&gt;=BH29,IF(BG29="",FALSE,TRUE))</formula>
    </cfRule>
  </conditionalFormatting>
  <conditionalFormatting sqref="BE24">
    <cfRule type="expression" dxfId="204" priority="271">
      <formula>OR(IF(BE24&lt;BF24,TRUE),IF(AND(BF24="",BE24&lt;&gt;""),TRUE))</formula>
    </cfRule>
    <cfRule type="expression" dxfId="203" priority="272">
      <formula>IF(BE24&gt;=BF24,IF(BE24="",FALSE,TRUE))</formula>
    </cfRule>
  </conditionalFormatting>
  <conditionalFormatting sqref="BG24">
    <cfRule type="expression" dxfId="202" priority="269">
      <formula>OR(IF(BG24&lt;BH24,TRUE),IF(AND(BH24="",BG24&lt;&gt;""),TRUE))</formula>
    </cfRule>
    <cfRule type="expression" dxfId="201" priority="270">
      <formula>IF(BG24&gt;=BH24,IF(BG24="",FALSE,TRUE))</formula>
    </cfRule>
  </conditionalFormatting>
  <conditionalFormatting sqref="BE31:BE40">
    <cfRule type="expression" dxfId="200" priority="267">
      <formula>OR(IF(BE31&lt;BF31,TRUE),IF(AND(BF31="",BE31&lt;&gt;""),TRUE))</formula>
    </cfRule>
    <cfRule type="expression" dxfId="199" priority="268">
      <formula>IF(BE31&gt;=BF31,IF(BE31="",FALSE,TRUE))</formula>
    </cfRule>
  </conditionalFormatting>
  <conditionalFormatting sqref="BL19:BL23 BN19:BN23 BL5:BL16">
    <cfRule type="expression" dxfId="198" priority="263">
      <formula>OR(IF(BL5&lt;BM5,TRUE),IF(AND(BM5="",BL5&lt;&gt;""),TRUE))</formula>
    </cfRule>
    <cfRule type="expression" dxfId="197" priority="264">
      <formula>IF(BL5&gt;=BM5,IF(BL5="",FALSE,TRUE))</formula>
    </cfRule>
  </conditionalFormatting>
  <conditionalFormatting sqref="BN5:BN16">
    <cfRule type="expression" dxfId="196" priority="261">
      <formula>OR(IF(BN5&lt;BO5,TRUE),IF(AND(BO5="",BN5&lt;&gt;""),TRUE))</formula>
    </cfRule>
    <cfRule type="expression" dxfId="195" priority="262">
      <formula>IF(BN5&gt;=BO5,IF(BN5="",FALSE,TRUE))</formula>
    </cfRule>
  </conditionalFormatting>
  <conditionalFormatting sqref="BL29:BL30">
    <cfRule type="expression" dxfId="194" priority="259">
      <formula>OR(IF(BL29&lt;BM29,TRUE),IF(AND(BM29="",BL29&lt;&gt;""),TRUE))</formula>
    </cfRule>
    <cfRule type="expression" dxfId="193" priority="260">
      <formula>IF(BL29&gt;=BM29,IF(BL29="",FALSE,TRUE))</formula>
    </cfRule>
  </conditionalFormatting>
  <conditionalFormatting sqref="BN31:BN40">
    <cfRule type="expression" dxfId="192" priority="249">
      <formula>OR(IF(BN31&lt;BO31,TRUE),IF(AND(BO31="",BN31&lt;&gt;""),TRUE))</formula>
    </cfRule>
    <cfRule type="expression" dxfId="191" priority="250">
      <formula>IF(BN31&gt;=BO31,IF(BN31="",FALSE,TRUE))</formula>
    </cfRule>
  </conditionalFormatting>
  <conditionalFormatting sqref="BN29:BN30">
    <cfRule type="expression" dxfId="190" priority="257">
      <formula>OR(IF(BN29&lt;BO29,TRUE),IF(AND(BO29="",BN29&lt;&gt;""),TRUE))</formula>
    </cfRule>
    <cfRule type="expression" dxfId="189" priority="258">
      <formula>IF(BN29&gt;=BO29,IF(BN29="",FALSE,TRUE))</formula>
    </cfRule>
  </conditionalFormatting>
  <conditionalFormatting sqref="BL24">
    <cfRule type="expression" dxfId="188" priority="255">
      <formula>OR(IF(BL24&lt;BM24,TRUE),IF(AND(BM24="",BL24&lt;&gt;""),TRUE))</formula>
    </cfRule>
    <cfRule type="expression" dxfId="187" priority="256">
      <formula>IF(BL24&gt;=BM24,IF(BL24="",FALSE,TRUE))</formula>
    </cfRule>
  </conditionalFormatting>
  <conditionalFormatting sqref="BN24">
    <cfRule type="expression" dxfId="186" priority="253">
      <formula>OR(IF(BN24&lt;BO24,TRUE),IF(AND(BO24="",BN24&lt;&gt;""),TRUE))</formula>
    </cfRule>
    <cfRule type="expression" dxfId="185" priority="254">
      <formula>IF(BN24&gt;=BO24,IF(BN24="",FALSE,TRUE))</formula>
    </cfRule>
  </conditionalFormatting>
  <conditionalFormatting sqref="BL31:BL40">
    <cfRule type="expression" dxfId="184" priority="251">
      <formula>OR(IF(BL31&lt;BM31,TRUE),IF(AND(BM31="",BL31&lt;&gt;""),TRUE))</formula>
    </cfRule>
    <cfRule type="expression" dxfId="183" priority="252">
      <formula>IF(BL31&gt;=BM31,IF(BL31="",FALSE,TRUE))</formula>
    </cfRule>
  </conditionalFormatting>
  <conditionalFormatting sqref="BS19:BS23 BU19:BU23 BS5:BS16">
    <cfRule type="expression" dxfId="182" priority="247">
      <formula>OR(IF(BS5&lt;BT5,TRUE),IF(AND(BT5="",BS5&lt;&gt;""),TRUE))</formula>
    </cfRule>
    <cfRule type="expression" dxfId="181" priority="248">
      <formula>IF(BS5&gt;=BT5,IF(BS5="",FALSE,TRUE))</formula>
    </cfRule>
  </conditionalFormatting>
  <conditionalFormatting sqref="BU5:BU16">
    <cfRule type="expression" dxfId="180" priority="245">
      <formula>OR(IF(BU5&lt;BV5,TRUE),IF(AND(BV5="",BU5&lt;&gt;""),TRUE))</formula>
    </cfRule>
    <cfRule type="expression" dxfId="179" priority="246">
      <formula>IF(BU5&gt;=BV5,IF(BU5="",FALSE,TRUE))</formula>
    </cfRule>
  </conditionalFormatting>
  <conditionalFormatting sqref="BS29:BS30">
    <cfRule type="expression" dxfId="178" priority="243">
      <formula>OR(IF(BS29&lt;BT29,TRUE),IF(AND(BT29="",BS29&lt;&gt;""),TRUE))</formula>
    </cfRule>
    <cfRule type="expression" dxfId="177" priority="244">
      <formula>IF(BS29&gt;=BT29,IF(BS29="",FALSE,TRUE))</formula>
    </cfRule>
  </conditionalFormatting>
  <conditionalFormatting sqref="BU31:BU40">
    <cfRule type="expression" dxfId="176" priority="233">
      <formula>OR(IF(BU31&lt;BV31,TRUE),IF(AND(BV31="",BU31&lt;&gt;""),TRUE))</formula>
    </cfRule>
    <cfRule type="expression" dxfId="175" priority="234">
      <formula>IF(BU31&gt;=BV31,IF(BU31="",FALSE,TRUE))</formula>
    </cfRule>
  </conditionalFormatting>
  <conditionalFormatting sqref="BU29:BU30">
    <cfRule type="expression" dxfId="174" priority="241">
      <formula>OR(IF(BU29&lt;BV29,TRUE),IF(AND(BV29="",BU29&lt;&gt;""),TRUE))</formula>
    </cfRule>
    <cfRule type="expression" dxfId="173" priority="242">
      <formula>IF(BU29&gt;=BV29,IF(BU29="",FALSE,TRUE))</formula>
    </cfRule>
  </conditionalFormatting>
  <conditionalFormatting sqref="BS24">
    <cfRule type="expression" dxfId="172" priority="239">
      <formula>OR(IF(BS24&lt;BT24,TRUE),IF(AND(BT24="",BS24&lt;&gt;""),TRUE))</formula>
    </cfRule>
    <cfRule type="expression" dxfId="171" priority="240">
      <formula>IF(BS24&gt;=BT24,IF(BS24="",FALSE,TRUE))</formula>
    </cfRule>
  </conditionalFormatting>
  <conditionalFormatting sqref="BU24">
    <cfRule type="expression" dxfId="170" priority="237">
      <formula>OR(IF(BU24&lt;BV24,TRUE),IF(AND(BV24="",BU24&lt;&gt;""),TRUE))</formula>
    </cfRule>
    <cfRule type="expression" dxfId="169" priority="238">
      <formula>IF(BU24&gt;=BV24,IF(BU24="",FALSE,TRUE))</formula>
    </cfRule>
  </conditionalFormatting>
  <conditionalFormatting sqref="BS31:BS40">
    <cfRule type="expression" dxfId="168" priority="235">
      <formula>OR(IF(BS31&lt;BT31,TRUE),IF(AND(BT31="",BS31&lt;&gt;""),TRUE))</formula>
    </cfRule>
    <cfRule type="expression" dxfId="167" priority="236">
      <formula>IF(BS31&gt;=BT31,IF(BS31="",FALSE,TRUE))</formula>
    </cfRule>
  </conditionalFormatting>
  <conditionalFormatting sqref="BZ19:BZ23 CB19:CB23 BZ5:BZ16">
    <cfRule type="expression" dxfId="166" priority="231">
      <formula>OR(IF(BZ5&lt;CA5,TRUE),IF(AND(CA5="",BZ5&lt;&gt;""),TRUE))</formula>
    </cfRule>
    <cfRule type="expression" dxfId="165" priority="232">
      <formula>IF(BZ5&gt;=CA5,IF(BZ5="",FALSE,TRUE))</formula>
    </cfRule>
  </conditionalFormatting>
  <conditionalFormatting sqref="CB5:CB16">
    <cfRule type="expression" dxfId="164" priority="229">
      <formula>OR(IF(CB5&lt;CC5,TRUE),IF(AND(CC5="",CB5&lt;&gt;""),TRUE))</formula>
    </cfRule>
    <cfRule type="expression" dxfId="163" priority="230">
      <formula>IF(CB5&gt;=CC5,IF(CB5="",FALSE,TRUE))</formula>
    </cfRule>
  </conditionalFormatting>
  <conditionalFormatting sqref="BZ29:BZ30">
    <cfRule type="expression" dxfId="162" priority="227">
      <formula>OR(IF(BZ29&lt;CA29,TRUE),IF(AND(CA29="",BZ29&lt;&gt;""),TRUE))</formula>
    </cfRule>
    <cfRule type="expression" dxfId="161" priority="228">
      <formula>IF(BZ29&gt;=CA29,IF(BZ29="",FALSE,TRUE))</formula>
    </cfRule>
  </conditionalFormatting>
  <conditionalFormatting sqref="CB31:CB40">
    <cfRule type="expression" dxfId="160" priority="217">
      <formula>OR(IF(CB31&lt;CC31,TRUE),IF(AND(CC31="",CB31&lt;&gt;""),TRUE))</formula>
    </cfRule>
    <cfRule type="expression" dxfId="159" priority="218">
      <formula>IF(CB31&gt;=CC31,IF(CB31="",FALSE,TRUE))</formula>
    </cfRule>
  </conditionalFormatting>
  <conditionalFormatting sqref="CB29:CB30">
    <cfRule type="expression" dxfId="158" priority="225">
      <formula>OR(IF(CB29&lt;CC29,TRUE),IF(AND(CC29="",CB29&lt;&gt;""),TRUE))</formula>
    </cfRule>
    <cfRule type="expression" dxfId="157" priority="226">
      <formula>IF(CB29&gt;=CC29,IF(CB29="",FALSE,TRUE))</formula>
    </cfRule>
  </conditionalFormatting>
  <conditionalFormatting sqref="BZ24">
    <cfRule type="expression" dxfId="156" priority="223">
      <formula>OR(IF(BZ24&lt;CA24,TRUE),IF(AND(CA24="",BZ24&lt;&gt;""),TRUE))</formula>
    </cfRule>
    <cfRule type="expression" dxfId="155" priority="224">
      <formula>IF(BZ24&gt;=CA24,IF(BZ24="",FALSE,TRUE))</formula>
    </cfRule>
  </conditionalFormatting>
  <conditionalFormatting sqref="CB24">
    <cfRule type="expression" dxfId="154" priority="221">
      <formula>OR(IF(CB24&lt;CC24,TRUE),IF(AND(CC24="",CB24&lt;&gt;""),TRUE))</formula>
    </cfRule>
    <cfRule type="expression" dxfId="153" priority="222">
      <formula>IF(CB24&gt;=CC24,IF(CB24="",FALSE,TRUE))</formula>
    </cfRule>
  </conditionalFormatting>
  <conditionalFormatting sqref="BZ31:BZ40">
    <cfRule type="expression" dxfId="152" priority="219">
      <formula>OR(IF(BZ31&lt;CA31,TRUE),IF(AND(CA31="",BZ31&lt;&gt;""),TRUE))</formula>
    </cfRule>
    <cfRule type="expression" dxfId="151" priority="220">
      <formula>IF(BZ31&gt;=CA31,IF(BZ31="",FALSE,TRUE))</formula>
    </cfRule>
  </conditionalFormatting>
  <conditionalFormatting sqref="CG19:CG23 CI19:CI23 CG5:CG16">
    <cfRule type="expression" dxfId="150" priority="215">
      <formula>OR(IF(CG5&lt;CH5,TRUE),IF(AND(CH5="",CG5&lt;&gt;""),TRUE))</formula>
    </cfRule>
    <cfRule type="expression" dxfId="149" priority="216">
      <formula>IF(CG5&gt;=CH5,IF(CG5="",FALSE,TRUE))</formula>
    </cfRule>
  </conditionalFormatting>
  <conditionalFormatting sqref="CI5:CI16">
    <cfRule type="expression" dxfId="148" priority="213">
      <formula>OR(IF(CI5&lt;CJ5,TRUE),IF(AND(CJ5="",CI5&lt;&gt;""),TRUE))</formula>
    </cfRule>
    <cfRule type="expression" dxfId="147" priority="214">
      <formula>IF(CI5&gt;=CJ5,IF(CI5="",FALSE,TRUE))</formula>
    </cfRule>
  </conditionalFormatting>
  <conditionalFormatting sqref="CG29:CG30">
    <cfRule type="expression" dxfId="146" priority="211">
      <formula>OR(IF(CG29&lt;CH29,TRUE),IF(AND(CH29="",CG29&lt;&gt;""),TRUE))</formula>
    </cfRule>
    <cfRule type="expression" dxfId="145" priority="212">
      <formula>IF(CG29&gt;=CH29,IF(CG29="",FALSE,TRUE))</formula>
    </cfRule>
  </conditionalFormatting>
  <conditionalFormatting sqref="CI31:CI40">
    <cfRule type="expression" dxfId="144" priority="201">
      <formula>OR(IF(CI31&lt;CJ31,TRUE),IF(AND(CJ31="",CI31&lt;&gt;""),TRUE))</formula>
    </cfRule>
    <cfRule type="expression" dxfId="143" priority="202">
      <formula>IF(CI31&gt;=CJ31,IF(CI31="",FALSE,TRUE))</formula>
    </cfRule>
  </conditionalFormatting>
  <conditionalFormatting sqref="CI29:CI30">
    <cfRule type="expression" dxfId="142" priority="209">
      <formula>OR(IF(CI29&lt;CJ29,TRUE),IF(AND(CJ29="",CI29&lt;&gt;""),TRUE))</formula>
    </cfRule>
    <cfRule type="expression" dxfId="141" priority="210">
      <formula>IF(CI29&gt;=CJ29,IF(CI29="",FALSE,TRUE))</formula>
    </cfRule>
  </conditionalFormatting>
  <conditionalFormatting sqref="CG24">
    <cfRule type="expression" dxfId="140" priority="207">
      <formula>OR(IF(CG24&lt;CH24,TRUE),IF(AND(CH24="",CG24&lt;&gt;""),TRUE))</formula>
    </cfRule>
    <cfRule type="expression" dxfId="139" priority="208">
      <formula>IF(CG24&gt;=CH24,IF(CG24="",FALSE,TRUE))</formula>
    </cfRule>
  </conditionalFormatting>
  <conditionalFormatting sqref="CI24">
    <cfRule type="expression" dxfId="138" priority="205">
      <formula>OR(IF(CI24&lt;CJ24,TRUE),IF(AND(CJ24="",CI24&lt;&gt;""),TRUE))</formula>
    </cfRule>
    <cfRule type="expression" dxfId="137" priority="206">
      <formula>IF(CI24&gt;=CJ24,IF(CI24="",FALSE,TRUE))</formula>
    </cfRule>
  </conditionalFormatting>
  <conditionalFormatting sqref="CG31:CG40">
    <cfRule type="expression" dxfId="136" priority="203">
      <formula>OR(IF(CG31&lt;CH31,TRUE),IF(AND(CH31="",CG31&lt;&gt;""),TRUE))</formula>
    </cfRule>
    <cfRule type="expression" dxfId="135" priority="204">
      <formula>IF(CG31&gt;=CH31,IF(CG31="",FALSE,TRUE))</formula>
    </cfRule>
  </conditionalFormatting>
  <conditionalFormatting sqref="CN19:CN23 CP19:CP23 CN5:CN16">
    <cfRule type="expression" dxfId="134" priority="199">
      <formula>OR(IF(CN5&lt;CO5,TRUE),IF(AND(CO5="",CN5&lt;&gt;""),TRUE))</formula>
    </cfRule>
    <cfRule type="expression" dxfId="133" priority="200">
      <formula>IF(CN5&gt;=CO5,IF(CN5="",FALSE,TRUE))</formula>
    </cfRule>
  </conditionalFormatting>
  <conditionalFormatting sqref="CP5:CP16">
    <cfRule type="expression" dxfId="132" priority="197">
      <formula>OR(IF(CP5&lt;CQ5,TRUE),IF(AND(CQ5="",CP5&lt;&gt;""),TRUE))</formula>
    </cfRule>
    <cfRule type="expression" dxfId="131" priority="198">
      <formula>IF(CP5&gt;=CQ5,IF(CP5="",FALSE,TRUE))</formula>
    </cfRule>
  </conditionalFormatting>
  <conditionalFormatting sqref="CN29:CN30">
    <cfRule type="expression" dxfId="130" priority="195">
      <formula>OR(IF(CN29&lt;CO29,TRUE),IF(AND(CO29="",CN29&lt;&gt;""),TRUE))</formula>
    </cfRule>
    <cfRule type="expression" dxfId="129" priority="196">
      <formula>IF(CN29&gt;=CO29,IF(CN29="",FALSE,TRUE))</formula>
    </cfRule>
  </conditionalFormatting>
  <conditionalFormatting sqref="CP31:CP40">
    <cfRule type="expression" dxfId="128" priority="185">
      <formula>OR(IF(CP31&lt;CQ31,TRUE),IF(AND(CQ31="",CP31&lt;&gt;""),TRUE))</formula>
    </cfRule>
    <cfRule type="expression" dxfId="127" priority="186">
      <formula>IF(CP31&gt;=CQ31,IF(CP31="",FALSE,TRUE))</formula>
    </cfRule>
  </conditionalFormatting>
  <conditionalFormatting sqref="CP29:CP30">
    <cfRule type="expression" dxfId="126" priority="193">
      <formula>OR(IF(CP29&lt;CQ29,TRUE),IF(AND(CQ29="",CP29&lt;&gt;""),TRUE))</formula>
    </cfRule>
    <cfRule type="expression" dxfId="125" priority="194">
      <formula>IF(CP29&gt;=CQ29,IF(CP29="",FALSE,TRUE))</formula>
    </cfRule>
  </conditionalFormatting>
  <conditionalFormatting sqref="CN24">
    <cfRule type="expression" dxfId="124" priority="191">
      <formula>OR(IF(CN24&lt;CO24,TRUE),IF(AND(CO24="",CN24&lt;&gt;""),TRUE))</formula>
    </cfRule>
    <cfRule type="expression" dxfId="123" priority="192">
      <formula>IF(CN24&gt;=CO24,IF(CN24="",FALSE,TRUE))</formula>
    </cfRule>
  </conditionalFormatting>
  <conditionalFormatting sqref="CP24">
    <cfRule type="expression" dxfId="122" priority="189">
      <formula>OR(IF(CP24&lt;CQ24,TRUE),IF(AND(CQ24="",CP24&lt;&gt;""),TRUE))</formula>
    </cfRule>
    <cfRule type="expression" dxfId="121" priority="190">
      <formula>IF(CP24&gt;=CQ24,IF(CP24="",FALSE,TRUE))</formula>
    </cfRule>
  </conditionalFormatting>
  <conditionalFormatting sqref="CN31:CN40">
    <cfRule type="expression" dxfId="120" priority="187">
      <formula>OR(IF(CN31&lt;CO31,TRUE),IF(AND(CO31="",CN31&lt;&gt;""),TRUE))</formula>
    </cfRule>
    <cfRule type="expression" dxfId="119" priority="188">
      <formula>IF(CN31&gt;=CO31,IF(CN31="",FALSE,TRUE))</formula>
    </cfRule>
  </conditionalFormatting>
  <conditionalFormatting sqref="O25">
    <cfRule type="expression" dxfId="118" priority="102">
      <formula>OR(IF(O25&lt;P25,TRUE),IF(AND(P25="",O25&lt;&gt;""),TRUE))</formula>
    </cfRule>
    <cfRule type="expression" dxfId="117" priority="103">
      <formula>IF(O25&gt;=P25,IF(O25="",FALSE,TRUE))</formula>
    </cfRule>
  </conditionalFormatting>
  <conditionalFormatting sqref="Q25">
    <cfRule type="expression" dxfId="116" priority="100">
      <formula>OR(IF(Q25&lt;R25,TRUE),IF(AND(R25="",Q25&lt;&gt;""),TRUE))</formula>
    </cfRule>
    <cfRule type="expression" dxfId="115" priority="101">
      <formula>IF(Q25&gt;=R25,IF(Q25="",FALSE,TRUE))</formula>
    </cfRule>
  </conditionalFormatting>
  <conditionalFormatting sqref="V25">
    <cfRule type="expression" dxfId="114" priority="98">
      <formula>OR(IF(V25&lt;W25,TRUE),IF(AND(W25="",V25&lt;&gt;""),TRUE))</formula>
    </cfRule>
    <cfRule type="expression" dxfId="113" priority="99">
      <formula>IF(V25&gt;=W25,IF(V25="",FALSE,TRUE))</formula>
    </cfRule>
  </conditionalFormatting>
  <conditionalFormatting sqref="AL25">
    <cfRule type="expression" dxfId="112" priority="88">
      <formula>OR(IF(AL25&lt;AM25,TRUE),IF(AND(AM25="",AL25&lt;&gt;""),TRUE))</formula>
    </cfRule>
    <cfRule type="expression" dxfId="111" priority="89">
      <formula>IF(AL25&gt;=AM25,IF(AL25="",FALSE,TRUE))</formula>
    </cfRule>
  </conditionalFormatting>
  <conditionalFormatting sqref="X25">
    <cfRule type="expression" dxfId="110" priority="96">
      <formula>OR(IF(X25&lt;Y25,TRUE),IF(AND(Y25="",X25&lt;&gt;""),TRUE))</formula>
    </cfRule>
    <cfRule type="expression" dxfId="109" priority="97">
      <formula>IF(X25&gt;=Y25,IF(X25="",FALSE,TRUE))</formula>
    </cfRule>
  </conditionalFormatting>
  <conditionalFormatting sqref="AC25">
    <cfRule type="expression" dxfId="108" priority="94">
      <formula>OR(IF(AC25&lt;AD25,TRUE),IF(AND(AD25="",AC25&lt;&gt;""),TRUE))</formula>
    </cfRule>
    <cfRule type="expression" dxfId="107" priority="95">
      <formula>IF(AC25&gt;=AD25,IF(AC25="",FALSE,TRUE))</formula>
    </cfRule>
  </conditionalFormatting>
  <conditionalFormatting sqref="AE25">
    <cfRule type="expression" dxfId="106" priority="92">
      <formula>OR(IF(AE25&lt;AF25,TRUE),IF(AND(AF25="",AE25&lt;&gt;""),TRUE))</formula>
    </cfRule>
    <cfRule type="expression" dxfId="105" priority="93">
      <formula>IF(AE25&gt;=AF25,IF(AE25="",FALSE,TRUE))</formula>
    </cfRule>
  </conditionalFormatting>
  <conditionalFormatting sqref="AJ25">
    <cfRule type="expression" dxfId="104" priority="90">
      <formula>OR(IF(AJ25&lt;AK25,TRUE),IF(AND(AK25="",AJ25&lt;&gt;""),TRUE))</formula>
    </cfRule>
    <cfRule type="expression" dxfId="103" priority="91">
      <formula>IF(AJ25&gt;=AK25,IF(AJ25="",FALSE,TRUE))</formula>
    </cfRule>
  </conditionalFormatting>
  <conditionalFormatting sqref="AQ25">
    <cfRule type="expression" dxfId="102" priority="86">
      <formula>OR(IF(AQ25&lt;AR25,TRUE),IF(AND(AR25="",AQ25&lt;&gt;""),TRUE))</formula>
    </cfRule>
    <cfRule type="expression" dxfId="101" priority="87">
      <formula>IF(AQ25&gt;=AR25,IF(AQ25="",FALSE,TRUE))</formula>
    </cfRule>
  </conditionalFormatting>
  <conditionalFormatting sqref="AS25">
    <cfRule type="expression" dxfId="100" priority="84">
      <formula>OR(IF(AS25&lt;AT25,TRUE),IF(AND(AT25="",AS25&lt;&gt;""),TRUE))</formula>
    </cfRule>
    <cfRule type="expression" dxfId="99" priority="85">
      <formula>IF(AS25&gt;=AT25,IF(AS25="",FALSE,TRUE))</formula>
    </cfRule>
  </conditionalFormatting>
  <conditionalFormatting sqref="AX25">
    <cfRule type="expression" dxfId="98" priority="82">
      <formula>OR(IF(AX25&lt;AY25,TRUE),IF(AND(AY25="",AX25&lt;&gt;""),TRUE))</formula>
    </cfRule>
    <cfRule type="expression" dxfId="97" priority="83">
      <formula>IF(AX25&gt;=AY25,IF(AX25="",FALSE,TRUE))</formula>
    </cfRule>
  </conditionalFormatting>
  <conditionalFormatting sqref="BN25">
    <cfRule type="expression" dxfId="96" priority="72">
      <formula>OR(IF(BN25&lt;BO25,TRUE),IF(AND(BO25="",BN25&lt;&gt;""),TRUE))</formula>
    </cfRule>
    <cfRule type="expression" dxfId="95" priority="73">
      <formula>IF(BN25&gt;=BO25,IF(BN25="",FALSE,TRUE))</formula>
    </cfRule>
  </conditionalFormatting>
  <conditionalFormatting sqref="AZ25">
    <cfRule type="expression" dxfId="94" priority="80">
      <formula>OR(IF(AZ25&lt;BA25,TRUE),IF(AND(BA25="",AZ25&lt;&gt;""),TRUE))</formula>
    </cfRule>
    <cfRule type="expression" dxfId="93" priority="81">
      <formula>IF(AZ25&gt;=BA25,IF(AZ25="",FALSE,TRUE))</formula>
    </cfRule>
  </conditionalFormatting>
  <conditionalFormatting sqref="BE25">
    <cfRule type="expression" dxfId="92" priority="78">
      <formula>OR(IF(BE25&lt;BF25,TRUE),IF(AND(BF25="",BE25&lt;&gt;""),TRUE))</formula>
    </cfRule>
    <cfRule type="expression" dxfId="91" priority="79">
      <formula>IF(BE25&gt;=BF25,IF(BE25="",FALSE,TRUE))</formula>
    </cfRule>
  </conditionalFormatting>
  <conditionalFormatting sqref="BG25">
    <cfRule type="expression" dxfId="90" priority="76">
      <formula>OR(IF(BG25&lt;BH25,TRUE),IF(AND(BH25="",BG25&lt;&gt;""),TRUE))</formula>
    </cfRule>
    <cfRule type="expression" dxfId="89" priority="77">
      <formula>IF(BG25&gt;=BH25,IF(BG25="",FALSE,TRUE))</formula>
    </cfRule>
  </conditionalFormatting>
  <conditionalFormatting sqref="BL25">
    <cfRule type="expression" dxfId="88" priority="74">
      <formula>OR(IF(BL25&lt;BM25,TRUE),IF(AND(BM25="",BL25&lt;&gt;""),TRUE))</formula>
    </cfRule>
    <cfRule type="expression" dxfId="87" priority="75">
      <formula>IF(BL25&gt;=BM25,IF(BL25="",FALSE,TRUE))</formula>
    </cfRule>
  </conditionalFormatting>
  <conditionalFormatting sqref="BS25">
    <cfRule type="expression" dxfId="86" priority="70">
      <formula>OR(IF(BS25&lt;BT25,TRUE),IF(AND(BT25="",BS25&lt;&gt;""),TRUE))</formula>
    </cfRule>
    <cfRule type="expression" dxfId="85" priority="71">
      <formula>IF(BS25&gt;=BT25,IF(BS25="",FALSE,TRUE))</formula>
    </cfRule>
  </conditionalFormatting>
  <conditionalFormatting sqref="BU25">
    <cfRule type="expression" dxfId="84" priority="68">
      <formula>OR(IF(BU25&lt;BV25,TRUE),IF(AND(BV25="",BU25&lt;&gt;""),TRUE))</formula>
    </cfRule>
    <cfRule type="expression" dxfId="83" priority="69">
      <formula>IF(BU25&gt;=BV25,IF(BU25="",FALSE,TRUE))</formula>
    </cfRule>
  </conditionalFormatting>
  <conditionalFormatting sqref="BZ25">
    <cfRule type="expression" dxfId="82" priority="66">
      <formula>OR(IF(BZ25&lt;CA25,TRUE),IF(AND(CA25="",BZ25&lt;&gt;""),TRUE))</formula>
    </cfRule>
    <cfRule type="expression" dxfId="81" priority="67">
      <formula>IF(BZ25&gt;=CA25,IF(BZ25="",FALSE,TRUE))</formula>
    </cfRule>
  </conditionalFormatting>
  <conditionalFormatting sqref="CP25">
    <cfRule type="expression" dxfId="80" priority="56">
      <formula>OR(IF(CP25&lt;CQ25,TRUE),IF(AND(CQ25="",CP25&lt;&gt;""),TRUE))</formula>
    </cfRule>
    <cfRule type="expression" dxfId="79" priority="57">
      <formula>IF(CP25&gt;=CQ25,IF(CP25="",FALSE,TRUE))</formula>
    </cfRule>
  </conditionalFormatting>
  <conditionalFormatting sqref="CB25">
    <cfRule type="expression" dxfId="78" priority="64">
      <formula>OR(IF(CB25&lt;CC25,TRUE),IF(AND(CC25="",CB25&lt;&gt;""),TRUE))</formula>
    </cfRule>
    <cfRule type="expression" dxfId="77" priority="65">
      <formula>IF(CB25&gt;=CC25,IF(CB25="",FALSE,TRUE))</formula>
    </cfRule>
  </conditionalFormatting>
  <conditionalFormatting sqref="CG25">
    <cfRule type="expression" dxfId="76" priority="62">
      <formula>OR(IF(CG25&lt;CH25,TRUE),IF(AND(CH25="",CG25&lt;&gt;""),TRUE))</formula>
    </cfRule>
    <cfRule type="expression" dxfId="75" priority="63">
      <formula>IF(CG25&gt;=CH25,IF(CG25="",FALSE,TRUE))</formula>
    </cfRule>
  </conditionalFormatting>
  <conditionalFormatting sqref="CI25">
    <cfRule type="expression" dxfId="74" priority="60">
      <formula>OR(IF(CI25&lt;CJ25,TRUE),IF(AND(CJ25="",CI25&lt;&gt;""),TRUE))</formula>
    </cfRule>
    <cfRule type="expression" dxfId="73" priority="61">
      <formula>IF(CI25&gt;=CJ25,IF(CI25="",FALSE,TRUE))</formula>
    </cfRule>
  </conditionalFormatting>
  <conditionalFormatting sqref="CN25">
    <cfRule type="expression" dxfId="72" priority="58">
      <formula>OR(IF(CN25&lt;CO25,TRUE),IF(AND(CO25="",CN25&lt;&gt;""),TRUE))</formula>
    </cfRule>
    <cfRule type="expression" dxfId="71" priority="59">
      <formula>IF(CN25&gt;=CO25,IF(CN25="",FALSE,TRUE))</formula>
    </cfRule>
  </conditionalFormatting>
  <conditionalFormatting sqref="J25:K25">
    <cfRule type="colorScale" priority="104">
      <colorScale>
        <cfvo type="percent" val="0"/>
        <cfvo type="percent" val="100"/>
        <color rgb="FFFF231B"/>
        <color rgb="FF10FF07"/>
      </colorScale>
    </cfRule>
  </conditionalFormatting>
  <conditionalFormatting sqref="O26">
    <cfRule type="expression" dxfId="70" priority="53">
      <formula>OR(IF(O26&lt;P26,TRUE),IF(AND(P26="",O26&lt;&gt;""),TRUE))</formula>
    </cfRule>
    <cfRule type="expression" dxfId="69" priority="54">
      <formula>IF(O26&gt;=P26,IF(O26="",FALSE,TRUE))</formula>
    </cfRule>
  </conditionalFormatting>
  <conditionalFormatting sqref="Q26">
    <cfRule type="expression" dxfId="68" priority="51">
      <formula>OR(IF(Q26&lt;R26,TRUE),IF(AND(R26="",Q26&lt;&gt;""),TRUE))</formula>
    </cfRule>
    <cfRule type="expression" dxfId="67" priority="52">
      <formula>IF(Q26&gt;=R26,IF(Q26="",FALSE,TRUE))</formula>
    </cfRule>
  </conditionalFormatting>
  <conditionalFormatting sqref="V26">
    <cfRule type="expression" dxfId="66" priority="49">
      <formula>OR(IF(V26&lt;W26,TRUE),IF(AND(W26="",V26&lt;&gt;""),TRUE))</formula>
    </cfRule>
    <cfRule type="expression" dxfId="65" priority="50">
      <formula>IF(V26&gt;=W26,IF(V26="",FALSE,TRUE))</formula>
    </cfRule>
  </conditionalFormatting>
  <conditionalFormatting sqref="AL26">
    <cfRule type="expression" dxfId="64" priority="39">
      <formula>OR(IF(AL26&lt;AM26,TRUE),IF(AND(AM26="",AL26&lt;&gt;""),TRUE))</formula>
    </cfRule>
    <cfRule type="expression" dxfId="63" priority="40">
      <formula>IF(AL26&gt;=AM26,IF(AL26="",FALSE,TRUE))</formula>
    </cfRule>
  </conditionalFormatting>
  <conditionalFormatting sqref="X26">
    <cfRule type="expression" dxfId="62" priority="47">
      <formula>OR(IF(X26&lt;Y26,TRUE),IF(AND(Y26="",X26&lt;&gt;""),TRUE))</formula>
    </cfRule>
    <cfRule type="expression" dxfId="61" priority="48">
      <formula>IF(X26&gt;=Y26,IF(X26="",FALSE,TRUE))</formula>
    </cfRule>
  </conditionalFormatting>
  <conditionalFormatting sqref="AC26">
    <cfRule type="expression" dxfId="60" priority="45">
      <formula>OR(IF(AC26&lt;AD26,TRUE),IF(AND(AD26="",AC26&lt;&gt;""),TRUE))</formula>
    </cfRule>
    <cfRule type="expression" dxfId="59" priority="46">
      <formula>IF(AC26&gt;=AD26,IF(AC26="",FALSE,TRUE))</formula>
    </cfRule>
  </conditionalFormatting>
  <conditionalFormatting sqref="AE26">
    <cfRule type="expression" dxfId="58" priority="43">
      <formula>OR(IF(AE26&lt;AF26,TRUE),IF(AND(AF26="",AE26&lt;&gt;""),TRUE))</formula>
    </cfRule>
    <cfRule type="expression" dxfId="57" priority="44">
      <formula>IF(AE26&gt;=AF26,IF(AE26="",FALSE,TRUE))</formula>
    </cfRule>
  </conditionalFormatting>
  <conditionalFormatting sqref="AJ26">
    <cfRule type="expression" dxfId="56" priority="41">
      <formula>OR(IF(AJ26&lt;AK26,TRUE),IF(AND(AK26="",AJ26&lt;&gt;""),TRUE))</formula>
    </cfRule>
    <cfRule type="expression" dxfId="55" priority="42">
      <formula>IF(AJ26&gt;=AK26,IF(AJ26="",FALSE,TRUE))</formula>
    </cfRule>
  </conditionalFormatting>
  <conditionalFormatting sqref="AQ26">
    <cfRule type="expression" dxfId="54" priority="37">
      <formula>OR(IF(AQ26&lt;AR26,TRUE),IF(AND(AR26="",AQ26&lt;&gt;""),TRUE))</formula>
    </cfRule>
    <cfRule type="expression" dxfId="53" priority="38">
      <formula>IF(AQ26&gt;=AR26,IF(AQ26="",FALSE,TRUE))</formula>
    </cfRule>
  </conditionalFormatting>
  <conditionalFormatting sqref="AS26">
    <cfRule type="expression" dxfId="52" priority="35">
      <formula>OR(IF(AS26&lt;AT26,TRUE),IF(AND(AT26="",AS26&lt;&gt;""),TRUE))</formula>
    </cfRule>
    <cfRule type="expression" dxfId="51" priority="36">
      <formula>IF(AS26&gt;=AT26,IF(AS26="",FALSE,TRUE))</formula>
    </cfRule>
  </conditionalFormatting>
  <conditionalFormatting sqref="AX26">
    <cfRule type="expression" dxfId="50" priority="33">
      <formula>OR(IF(AX26&lt;AY26,TRUE),IF(AND(AY26="",AX26&lt;&gt;""),TRUE))</formula>
    </cfRule>
    <cfRule type="expression" dxfId="49" priority="34">
      <formula>IF(AX26&gt;=AY26,IF(AX26="",FALSE,TRUE))</formula>
    </cfRule>
  </conditionalFormatting>
  <conditionalFormatting sqref="BN26">
    <cfRule type="expression" dxfId="48" priority="23">
      <formula>OR(IF(BN26&lt;BO26,TRUE),IF(AND(BO26="",BN26&lt;&gt;""),TRUE))</formula>
    </cfRule>
    <cfRule type="expression" dxfId="47" priority="24">
      <formula>IF(BN26&gt;=BO26,IF(BN26="",FALSE,TRUE))</formula>
    </cfRule>
  </conditionalFormatting>
  <conditionalFormatting sqref="AZ26">
    <cfRule type="expression" dxfId="46" priority="31">
      <formula>OR(IF(AZ26&lt;BA26,TRUE),IF(AND(BA26="",AZ26&lt;&gt;""),TRUE))</formula>
    </cfRule>
    <cfRule type="expression" dxfId="45" priority="32">
      <formula>IF(AZ26&gt;=BA26,IF(AZ26="",FALSE,TRUE))</formula>
    </cfRule>
  </conditionalFormatting>
  <conditionalFormatting sqref="BE26">
    <cfRule type="expression" dxfId="44" priority="29">
      <formula>OR(IF(BE26&lt;BF26,TRUE),IF(AND(BF26="",BE26&lt;&gt;""),TRUE))</formula>
    </cfRule>
    <cfRule type="expression" dxfId="43" priority="30">
      <formula>IF(BE26&gt;=BF26,IF(BE26="",FALSE,TRUE))</formula>
    </cfRule>
  </conditionalFormatting>
  <conditionalFormatting sqref="BG26">
    <cfRule type="expression" dxfId="42" priority="27">
      <formula>OR(IF(BG26&lt;BH26,TRUE),IF(AND(BH26="",BG26&lt;&gt;""),TRUE))</formula>
    </cfRule>
    <cfRule type="expression" dxfId="41" priority="28">
      <formula>IF(BG26&gt;=BH26,IF(BG26="",FALSE,TRUE))</formula>
    </cfRule>
  </conditionalFormatting>
  <conditionalFormatting sqref="BL26">
    <cfRule type="expression" dxfId="40" priority="25">
      <formula>OR(IF(BL26&lt;BM26,TRUE),IF(AND(BM26="",BL26&lt;&gt;""),TRUE))</formula>
    </cfRule>
    <cfRule type="expression" dxfId="39" priority="26">
      <formula>IF(BL26&gt;=BM26,IF(BL26="",FALSE,TRUE))</formula>
    </cfRule>
  </conditionalFormatting>
  <conditionalFormatting sqref="BS26">
    <cfRule type="expression" dxfId="38" priority="21">
      <formula>OR(IF(BS26&lt;BT26,TRUE),IF(AND(BT26="",BS26&lt;&gt;""),TRUE))</formula>
    </cfRule>
    <cfRule type="expression" dxfId="37" priority="22">
      <formula>IF(BS26&gt;=BT26,IF(BS26="",FALSE,TRUE))</formula>
    </cfRule>
  </conditionalFormatting>
  <conditionalFormatting sqref="BU26">
    <cfRule type="expression" dxfId="36" priority="19">
      <formula>OR(IF(BU26&lt;BV26,TRUE),IF(AND(BV26="",BU26&lt;&gt;""),TRUE))</formula>
    </cfRule>
    <cfRule type="expression" dxfId="35" priority="20">
      <formula>IF(BU26&gt;=BV26,IF(BU26="",FALSE,TRUE))</formula>
    </cfRule>
  </conditionalFormatting>
  <conditionalFormatting sqref="BZ26">
    <cfRule type="expression" dxfId="34" priority="17">
      <formula>OR(IF(BZ26&lt;CA26,TRUE),IF(AND(CA26="",BZ26&lt;&gt;""),TRUE))</formula>
    </cfRule>
    <cfRule type="expression" dxfId="33" priority="18">
      <formula>IF(BZ26&gt;=CA26,IF(BZ26="",FALSE,TRUE))</formula>
    </cfRule>
  </conditionalFormatting>
  <conditionalFormatting sqref="CP26">
    <cfRule type="expression" dxfId="32" priority="7">
      <formula>OR(IF(CP26&lt;CQ26,TRUE),IF(AND(CQ26="",CP26&lt;&gt;""),TRUE))</formula>
    </cfRule>
    <cfRule type="expression" dxfId="31" priority="8">
      <formula>IF(CP26&gt;=CQ26,IF(CP26="",FALSE,TRUE))</formula>
    </cfRule>
  </conditionalFormatting>
  <conditionalFormatting sqref="CB26">
    <cfRule type="expression" dxfId="30" priority="15">
      <formula>OR(IF(CB26&lt;CC26,TRUE),IF(AND(CC26="",CB26&lt;&gt;""),TRUE))</formula>
    </cfRule>
    <cfRule type="expression" dxfId="29" priority="16">
      <formula>IF(CB26&gt;=CC26,IF(CB26="",FALSE,TRUE))</formula>
    </cfRule>
  </conditionalFormatting>
  <conditionalFormatting sqref="CG26">
    <cfRule type="expression" dxfId="28" priority="13">
      <formula>OR(IF(CG26&lt;CH26,TRUE),IF(AND(CH26="",CG26&lt;&gt;""),TRUE))</formula>
    </cfRule>
    <cfRule type="expression" dxfId="27" priority="14">
      <formula>IF(CG26&gt;=CH26,IF(CG26="",FALSE,TRUE))</formula>
    </cfRule>
  </conditionalFormatting>
  <conditionalFormatting sqref="CI26">
    <cfRule type="expression" dxfId="26" priority="11">
      <formula>OR(IF(CI26&lt;CJ26,TRUE),IF(AND(CJ26="",CI26&lt;&gt;""),TRUE))</formula>
    </cfRule>
    <cfRule type="expression" dxfId="25" priority="12">
      <formula>IF(CI26&gt;=CJ26,IF(CI26="",FALSE,TRUE))</formula>
    </cfRule>
  </conditionalFormatting>
  <conditionalFormatting sqref="CN26">
    <cfRule type="expression" dxfId="24" priority="9">
      <formula>OR(IF(CN26&lt;CO26,TRUE),IF(AND(CO26="",CN26&lt;&gt;""),TRUE))</formula>
    </cfRule>
    <cfRule type="expression" dxfId="23" priority="10">
      <formula>IF(CN26&gt;=CO26,IF(CN26="",FALSE,TRUE))</formula>
    </cfRule>
  </conditionalFormatting>
  <conditionalFormatting sqref="J26:K26">
    <cfRule type="colorScale" priority="55">
      <colorScale>
        <cfvo type="percent" val="0"/>
        <cfvo type="percent" val="100"/>
        <color rgb="FFFF231B"/>
        <color rgb="FF10FF07"/>
      </colorScale>
    </cfRule>
  </conditionalFormatting>
  <conditionalFormatting sqref="CU19:CU23">
    <cfRule type="expression" dxfId="22" priority="5">
      <formula>OR(IF(CU19&lt;CV19,TRUE),IF(AND(CV19="",CU19&lt;&gt;""),TRUE))</formula>
    </cfRule>
    <cfRule type="expression" dxfId="21" priority="6">
      <formula>IF(CU19&gt;=CV19,IF(CU19="",FALSE,TRUE))</formula>
    </cfRule>
  </conditionalFormatting>
  <conditionalFormatting sqref="CU24">
    <cfRule type="expression" dxfId="20" priority="3">
      <formula>OR(IF(CU24&lt;CV24,TRUE),IF(AND(CV24="",CU24&lt;&gt;""),TRUE))</formula>
    </cfRule>
    <cfRule type="expression" dxfId="19" priority="4">
      <formula>IF(CU24&gt;=CV24,IF(CU24="",FALSE,TRUE))</formula>
    </cfRule>
  </conditionalFormatting>
  <conditionalFormatting sqref="CU25">
    <cfRule type="expression" dxfId="18" priority="1">
      <formula>OR(IF(CU25&lt;CV25,TRUE),IF(AND(CV25="",CU25&lt;&gt;""),TRUE))</formula>
    </cfRule>
    <cfRule type="expression" dxfId="17" priority="2">
      <formula>IF(CU25&gt;=CV25,IF(CU25="",FALSE,TRUE))</formula>
    </cfRule>
  </conditionalFormatting>
  <dataValidations count="1">
    <dataValidation type="list" allowBlank="1" showInputMessage="1" showErrorMessage="1" sqref="AC19:AF26 O5:R16 V29:Y40 AJ19:AM26 V5:Y16 AC29:AF40 AQ19:AT26 AC5:AF16 AJ29:AM40 AX19:BA26 AJ5:AM16 AQ29:AT40 AQ5:AT16 BE29:BH40 BE19:BH26 BL19:BO26 AX5:BA16 AX29:BA40 BS19:BV26 BE5:BH16 O29:R40 BL29:BO40 BZ19:CC26 CN5:CQ16 BS29:BV40 CG19:CJ26 BS5:BV16 BZ29:CC40 CN19:CQ26 BZ5:CC16 CG29:CJ40 V19:Y26 CG5:CJ16 CN29:CQ40 DB19:DE26 DW5:DZ16 CU29:CX40 DI19:DL26 CU5:CX16 DB29:DE40 DP19:DS26 DB5:DE16 DI29:DL40 DW19:DZ26 DI5:DL16 DP29:DS40 O19:R26 DP5:DS16 DW29:DZ40 BL5:BO16 CU19:CX26" xr:uid="{DF46768B-76BD-4AD1-BDD9-05E5E50A35C8}">
      <formula1>"10%,20%,30%,40%,50%,60%,70%,80%,90%,100%"</formula1>
    </dataValidation>
  </dataValidation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42</v>
      </c>
      <c r="B1" s="17" t="s">
        <v>39</v>
      </c>
      <c r="C1" s="17" t="s">
        <v>40</v>
      </c>
      <c r="D1" s="17" t="s">
        <v>41</v>
      </c>
      <c r="E1" s="1" t="s">
        <v>43</v>
      </c>
      <c r="F1" s="1" t="s">
        <v>44</v>
      </c>
      <c r="G1" s="1" t="s">
        <v>45</v>
      </c>
      <c r="H1" s="1" t="s">
        <v>46</v>
      </c>
      <c r="I1" s="1" t="s">
        <v>47</v>
      </c>
      <c r="J1" s="1" t="s">
        <v>48</v>
      </c>
      <c r="K1" s="1" t="s">
        <v>49</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Jannis</cp:lastModifiedBy>
  <dcterms:created xsi:type="dcterms:W3CDTF">2020-04-19T13:33:28Z</dcterms:created>
  <dcterms:modified xsi:type="dcterms:W3CDTF">2021-10-07T16:52:26Z</dcterms:modified>
</cp:coreProperties>
</file>