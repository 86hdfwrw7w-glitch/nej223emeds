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Die 7 Lebensbereiche\5 B,K,M\Karriere\Studium\BWL\5A Methode\Noten\1 Semester\"/>
    </mc:Choice>
  </mc:AlternateContent>
  <xr:revisionPtr revIDLastSave="0" documentId="13_ncr:1_{C280743B-85D4-4511-B6B8-38FECD05ADCD}" xr6:coauthVersionLast="47" xr6:coauthVersionMax="47" xr10:uidLastSave="{00000000-0000-0000-0000-000000000000}"/>
  <bookViews>
    <workbookView xWindow="-108" yWindow="-108" windowWidth="23256" windowHeight="12576"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4" i="7" l="1" a="1"/>
  <c r="K14" i="7" s="1"/>
  <c r="G13" i="7"/>
  <c r="N13" i="7"/>
  <c r="D21" i="10"/>
  <c r="E21" i="10"/>
  <c r="E16" i="10"/>
  <c r="D16" i="10"/>
  <c r="C12" i="10"/>
  <c r="D12" i="10"/>
  <c r="I34" i="10" l="1"/>
  <c r="I33" i="10"/>
  <c r="G31" i="10"/>
  <c r="I31" i="10" s="1"/>
  <c r="G30" i="10"/>
  <c r="I30" i="10" s="1"/>
  <c r="AW4" i="7" l="1"/>
  <c r="AP4" i="7"/>
  <c r="AI4" i="7"/>
  <c r="AB4" i="7"/>
  <c r="U4" i="7"/>
  <c r="AW13" i="7"/>
  <c r="AP13" i="7"/>
  <c r="AI13" i="7"/>
  <c r="AB13" i="7"/>
  <c r="U13" i="7"/>
  <c r="N4" i="7" l="1"/>
  <c r="I14" i="7" l="1"/>
  <c r="G4" i="7" l="1"/>
  <c r="K11" i="7" a="1"/>
  <c r="K11" i="7" s="1"/>
  <c r="J11" i="7" a="1"/>
  <c r="J11" i="7" s="1"/>
  <c r="BR4" i="7"/>
  <c r="BK4" i="7"/>
  <c r="BD4" i="7"/>
  <c r="K16" i="7" a="1"/>
  <c r="K16" i="7" s="1"/>
  <c r="J16" i="7" a="1"/>
  <c r="J16" i="7" s="1"/>
  <c r="I16" i="7"/>
  <c r="K15" i="7" a="1"/>
  <c r="K15" i="7" s="1"/>
  <c r="J15" i="7" a="1"/>
  <c r="J15" i="7" s="1"/>
  <c r="I15" i="7"/>
  <c r="K21" i="7" a="1"/>
  <c r="K21" i="7" s="1"/>
  <c r="J21" i="7" a="1"/>
  <c r="J21" i="7" s="1"/>
  <c r="K20" i="7" a="1"/>
  <c r="K20" i="7" s="1"/>
  <c r="J20" i="7" a="1"/>
  <c r="J20" i="7" s="1"/>
  <c r="K19" i="7" a="1"/>
  <c r="K19" i="7" s="1"/>
  <c r="J19" i="7" a="1"/>
  <c r="J19" i="7" s="1"/>
  <c r="K18" i="7" a="1"/>
  <c r="K18" i="7" s="1"/>
  <c r="J18" i="7" a="1"/>
  <c r="J18" i="7" s="1"/>
  <c r="K17" i="7" a="1"/>
  <c r="K17" i="7" s="1"/>
  <c r="J17" i="7" a="1"/>
  <c r="J17" i="7" s="1"/>
  <c r="J14" i="7" a="1"/>
  <c r="J1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I21" i="7"/>
  <c r="I20" i="7"/>
  <c r="I19" i="7"/>
  <c r="I18" i="7"/>
  <c r="I17" i="7"/>
  <c r="I6" i="7"/>
  <c r="I7" i="7"/>
  <c r="I8" i="7"/>
  <c r="I9" i="7"/>
  <c r="I10" i="7"/>
  <c r="I5" i="7"/>
  <c r="K4" i="7" l="1"/>
  <c r="J4" i="7"/>
  <c r="J13" i="7"/>
  <c r="K13" i="7"/>
  <c r="I4" i="7"/>
  <c r="I13"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<sst xmlns="http://schemas.openxmlformats.org/spreadsheetml/2006/main" count="237" uniqueCount="132">
  <si>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</si>
  <si>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</si>
  <si>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</si>
  <si>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</si>
  <si>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</si>
  <si>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</si>
  <si>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</si>
  <si>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</si>
  <si>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</si>
  <si>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</si>
  <si>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</si>
  <si>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</si>
  <si>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</si>
  <si>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</si>
  <si>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</si>
  <si>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</si>
  <si>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</si>
  <si>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</si>
  <si>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</si>
  <si>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</si>
  <si>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</si>
  <si>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</si>
  <si>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</si>
  <si>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</si>
  <si>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</si>
  <si>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</si>
  <si>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</si>
  <si>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</si>
  <si>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</si>
  <si>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</si>
  <si>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</si>
  <si>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</si>
  <si>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</si>
  <si>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</si>
  <si>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</si>
  <si>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</si>
  <si>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</si>
  <si>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</si>
  <si>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</si>
  <si>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</si>
  <si>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</si>
  <si>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</si>
  <si>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</si>
  <si>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</si>
  <si>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</si>
  <si>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</si>
  <si>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</si>
  <si>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</si>
  <si>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</si>
  <si>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</si>
  <si>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</si>
  <si>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</si>
  <si>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</si>
  <si>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</si>
  <si>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</si>
  <si>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</si>
  <si>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</si>
  <si>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</si>
  <si>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</si>
  <si>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</si>
  <si>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</si>
  <si>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</si>
  <si>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</si>
  <si>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</si>
  <si>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</si>
  <si>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</si>
  <si>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</si>
  <si>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</si>
  <si>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</si>
  <si>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</si>
  <si>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</si>
  <si>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</si>
  <si>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</si>
  <si>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</si>
  <si>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</si>
  <si>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</si>
  <si>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</si>
  <si>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</si>
  <si>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</si>
  <si>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</si>
  <si>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</si>
  <si>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</si>
  <si>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</si>
  <si>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</si>
  <si>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</si>
  <si>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</si>
  <si>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Europäisches und öffentliches Wirtschaftsrecht</t>
  </si>
  <si>
    <t>1) Innerstaatliches Organisationsrecht</t>
  </si>
  <si>
    <t>2) Organisationsrecht der EU</t>
  </si>
  <si>
    <t>3) Grundrechte der Wirtschaft</t>
  </si>
  <si>
    <t>4) Binnenmarktrecht</t>
  </si>
  <si>
    <t>5) Gewerbliches Berufsrecht</t>
  </si>
  <si>
    <t>6) Betriebsanlagenrecht, Baurecht und Verwaltungsverfahren</t>
  </si>
  <si>
    <t>7) Verwaltungsverfahren und nationaler Rechtsschutz</t>
  </si>
  <si>
    <t>Betriebswirtschaft und digitale Ökonomie</t>
  </si>
  <si>
    <t>2) Unternehmerische Perspektive</t>
  </si>
  <si>
    <t>3) Strategische Perspektive</t>
  </si>
  <si>
    <t>4) Finanzperspektive</t>
  </si>
  <si>
    <t>5) Kundenperspektive</t>
  </si>
  <si>
    <t>6) Produktionsperspektive</t>
  </si>
  <si>
    <t>7) Personalperspektive</t>
  </si>
  <si>
    <t>8) Corporate Governance und Unternehmensethik</t>
  </si>
  <si>
    <t>9) DI-Modul 1 (Wirtschaftsinformatik)</t>
  </si>
  <si>
    <t>10) DI-Modul 2 (Digitale Transformation von Märkten)</t>
  </si>
  <si>
    <t>11) DI-Modul 3 (IS-Management)</t>
  </si>
  <si>
    <t>12) DI-Modul 4 (Data &amp; Knowledge Engineering)</t>
  </si>
  <si>
    <t>KW 42</t>
  </si>
  <si>
    <t>KW 43</t>
  </si>
  <si>
    <t>KW 44</t>
  </si>
  <si>
    <t>KW 45</t>
  </si>
  <si>
    <t>KW 47</t>
  </si>
  <si>
    <t>Prüfungswoche!</t>
  </si>
  <si>
    <t>KW 46: Letzte LernWOCHE !!</t>
  </si>
  <si>
    <t>4 W 3 Tage 20% von 5,5</t>
  </si>
  <si>
    <t>EÖR &amp; BWL</t>
  </si>
  <si>
    <t>Levelups</t>
  </si>
  <si>
    <t>RECHT Kapitel %</t>
  </si>
  <si>
    <t>BWL Kapitel %</t>
  </si>
  <si>
    <t>RECHT ECTS %</t>
  </si>
  <si>
    <t>BWL ECTS %</t>
  </si>
  <si>
    <t>`-14/Woche</t>
  </si>
  <si>
    <t>Schrit 8,5</t>
  </si>
  <si>
    <t>EÖR</t>
  </si>
  <si>
    <t>BWL</t>
  </si>
  <si>
    <t>Zeit EÖR Lev &gt; Als BWL Lev</t>
  </si>
  <si>
    <t>Stunden /Woche für Fach X</t>
  </si>
  <si>
    <t>Stunden / Levelup: Min: 2 Max: 4,5</t>
  </si>
  <si>
    <t>Hwoche: 58,5</t>
  </si>
  <si>
    <t>Anzahl an Levelups pro Fach</t>
  </si>
  <si>
    <t xml:space="preserve">Anzahl an Levelups pro Fach/ Woche </t>
  </si>
  <si>
    <t xml:space="preserve">Zeit Pro Woche Pro Fach </t>
  </si>
  <si>
    <t>Levelups von hinten nach vorne verteilen MIT ZEIT ANPASSEN (siehe Lektion)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</si>
</sst>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b/>
      <sz val="12"/>
      <color rgb="FF000000"/>
      <name val="Calibri"/>
      <family val="2"/>
      <scheme val="minor"/>
    </font>
    <font>
      <b/>
      <u/>
      <sz val="12"/>
      <color theme="1"/>
      <name val="Calibri (Textkörper)"/>
    </font>
    <font>
      <b/>
      <u/>
      <sz val="12"/>
      <color theme="1"/>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231B"/>
        <bgColor rgb="FF000000"/>
      </patternFill>
    </fill>
    <fill>
      <patternFill patternType="solid">
        <fgColor rgb="FFFF0000"/>
        <bgColor rgb="FF000000"/>
      </patternFill>
    </fill>
    <fill>
      <patternFill patternType="solid">
        <fgColor rgb="FFE0E0E0"/>
        <bgColor rgb="FF000000"/>
      </patternFill>
    </fill>
  </fills>
  <borders count="1">
    <border>
      <left/>
      <right/>
      <top/>
      <bottom/>
      <diagonal/>
    </border>
  </borders>
  <cellStyleXfs count="1">
    <xf numFmtId="0" fontId="0" fillId="0" borderId="0"/>
  </cellStyleXfs>
  <cellXfs count="3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14" fontId="5" fillId="0" borderId="0" xfId="0" applyNumberFormat="1" applyFont="1"/>
    <xf numFmtId="0" fontId="5" fillId="0" borderId="0" xfId="0" applyFont="1" applyAlignment="1">
      <alignment horizontal="center"/>
    </xf>
    <xf numFmtId="9" fontId="5" fillId="0" borderId="0" xfId="0" applyNumberFormat="1" applyFont="1"/>
    <xf numFmtId="9" fontId="5" fillId="7" borderId="0" xfId="0" applyNumberFormat="1" applyFont="1" applyFill="1" applyAlignment="1">
      <alignment horizontal="center"/>
    </xf>
    <xf numFmtId="9" fontId="5" fillId="8" borderId="0" xfId="0" applyNumberFormat="1" applyFont="1" applyFill="1"/>
    <xf numFmtId="14" fontId="0" fillId="4" borderId="0" xfId="0" applyNumberFormat="1" applyFill="1"/>
    <xf numFmtId="2" fontId="0" fillId="0" borderId="0" xfId="0" applyNumberFormat="1"/>
    <xf numFmtId="10" fontId="0" fillId="0" borderId="0" xfId="0" applyNumberFormat="1"/>
    <xf numFmtId="0" fontId="8" fillId="0" borderId="0" xfId="0" applyFont="1"/>
    <xf numFmtId="0" fontId="8" fillId="5" borderId="0" xfId="0" applyFont="1" applyFill="1"/>
    <xf numFmtId="0" fontId="1" fillId="5" borderId="0" xfId="0" applyFont="1" applyFill="1"/>
    <xf numFmtId="164" fontId="0" fillId="0" borderId="0" xfId="0" applyNumberFormat="1" applyAlignment="1">
      <alignment horizontal="center"/>
    </xf>
    <xf numFmtId="0" fontId="1" fillId="2" borderId="0" xfId="0" applyFont="1" applyFill="1" applyAlignment="1">
      <alignment horizontal="center"/>
    </xf>
    <xf numFmtId="0" fontId="6" fillId="9" borderId="0" xfId="0" applyFont="1" applyFill="1" applyAlignment="1">
      <alignment horizontal="center"/>
    </xf>
    <xf numFmtId="0" fontId="7" fillId="4"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5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FF231B"/>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6">
  <autoFilter ref="A1:K46" xr:uid="{6E266E34-2786-2747-BCE7-51B74867A564}"/>
  <tableColumns count="11">
    <tableColumn id="1" xr3:uid="{95FD92F7-3DC8-704D-A103-A7EDDAB255AB}" name="Datum" dataDxfId="55"/>
    <tableColumn id="2" xr3:uid="{F464D510-8166-E740-A343-FB84BDEF877F}" name="Lerneinheiten durchgezogen" dataDxfId="54"/>
    <tableColumn id="3" xr3:uid="{75F52B08-1A00-0848-BBE6-1EDF7B31B1AD}" name="Tagesplan erstellt" dataDxfId="53"/>
    <tableColumn id="4" xr3:uid="{E6B18D89-E799-AD48-9DAA-37AEE1D29011}" name="Konzentrationslevel" dataDxfId="5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anvas.wu.ac.at/courses/3439" TargetMode="External"/><Relationship Id="rId7" Type="http://schemas.openxmlformats.org/officeDocument/2006/relationships/printerSettings" Target="../printerSettings/printerSettings1.bin"/><Relationship Id="rId2" Type="http://schemas.openxmlformats.org/officeDocument/2006/relationships/hyperlink" Target="https://canvas.wu.ac.at/courses/3439" TargetMode="External"/><Relationship Id="rId1" Type="http://schemas.openxmlformats.org/officeDocument/2006/relationships/hyperlink" Target="https://canvas.wu.ac.at/courses/3439" TargetMode="External"/><Relationship Id="rId6" Type="http://schemas.openxmlformats.org/officeDocument/2006/relationships/hyperlink" Target="https://canvas.wu.ac.at/courses/3439" TargetMode="External"/><Relationship Id="rId5" Type="http://schemas.openxmlformats.org/officeDocument/2006/relationships/hyperlink" Target="https://canvas.wu.ac.at/courses/3439" TargetMode="External"/><Relationship Id="rId4" Type="http://schemas.openxmlformats.org/officeDocument/2006/relationships/hyperlink" Target="https://canvas.wu.ac.at/courses/3439"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3:I34"/>
  <sheetViews>
    <sheetView topLeftCell="A5" workbookViewId="0">
      <selection activeCell="D27" sqref="D27"/>
    </sheetView>
  </sheetViews>
  <sheetFormatPr defaultColWidth="11.19921875" defaultRowHeight="15.6"/>
  <cols>
    <col min="1" max="1" width="11.796875" customWidth="1"/>
    <col min="2" max="2" width="62.69921875" customWidth="1"/>
    <col min="3" max="3" width="11.09765625" customWidth="1"/>
  </cols>
  <sheetData>
    <row r="3" spans="1:7">
      <c r="B3" s="2"/>
      <c r="C3" s="2"/>
    </row>
    <row r="4" spans="1:7">
      <c r="B4" s="2" t="s">
        <v>114</v>
      </c>
      <c r="C4" s="16" t="s">
        <v>70</v>
      </c>
      <c r="D4" s="16" t="s">
        <v>70</v>
      </c>
    </row>
    <row r="5" spans="1:7">
      <c r="A5" s="2" t="s">
        <v>54</v>
      </c>
      <c r="B5" s="2" t="s">
        <v>55</v>
      </c>
      <c r="C5" s="2" t="s">
        <v>56</v>
      </c>
      <c r="D5" s="2" t="s">
        <v>56</v>
      </c>
      <c r="E5" s="2"/>
      <c r="F5" s="2" t="s">
        <v>57</v>
      </c>
      <c r="G5" s="2" t="s">
        <v>57</v>
      </c>
    </row>
    <row r="6" spans="1:7">
      <c r="A6" t="s">
        <v>50</v>
      </c>
      <c r="B6" s="18" t="s">
        <v>53</v>
      </c>
      <c r="G6" t="s">
        <v>85</v>
      </c>
    </row>
    <row r="7" spans="1:7">
      <c r="A7" t="s">
        <v>60</v>
      </c>
      <c r="B7" t="s">
        <v>61</v>
      </c>
      <c r="C7" s="16">
        <v>19</v>
      </c>
      <c r="D7" s="16">
        <v>19</v>
      </c>
    </row>
    <row r="8" spans="1:7">
      <c r="A8" t="s">
        <v>52</v>
      </c>
      <c r="B8" s="18" t="s">
        <v>51</v>
      </c>
      <c r="C8" s="26">
        <v>45258</v>
      </c>
      <c r="D8" s="26">
        <v>45258</v>
      </c>
      <c r="E8" s="19"/>
      <c r="F8" s="19"/>
      <c r="G8" t="s">
        <v>73</v>
      </c>
    </row>
    <row r="9" spans="1:7">
      <c r="A9" t="s">
        <v>59</v>
      </c>
      <c r="B9" s="18" t="s">
        <v>71</v>
      </c>
      <c r="C9" s="16"/>
      <c r="D9" s="16"/>
      <c r="G9" t="s">
        <v>74</v>
      </c>
    </row>
    <row r="10" spans="1:7">
      <c r="A10" t="s">
        <v>63</v>
      </c>
      <c r="B10" t="s">
        <v>62</v>
      </c>
      <c r="C10" s="16">
        <v>4.4000000000000004</v>
      </c>
      <c r="D10" s="16">
        <v>4.4000000000000004</v>
      </c>
      <c r="E10" t="s">
        <v>113</v>
      </c>
      <c r="G10" t="s">
        <v>58</v>
      </c>
    </row>
    <row r="11" spans="1:7">
      <c r="A11" t="s">
        <v>64</v>
      </c>
      <c r="B11" t="s">
        <v>66</v>
      </c>
      <c r="C11" s="16">
        <v>57</v>
      </c>
      <c r="D11" s="16">
        <v>57</v>
      </c>
      <c r="G11" t="s">
        <v>65</v>
      </c>
    </row>
    <row r="12" spans="1:7">
      <c r="C12" s="17">
        <f>C11/C10</f>
        <v>12.954545454545453</v>
      </c>
      <c r="D12" s="17">
        <f>D11/D10</f>
        <v>12.954545454545453</v>
      </c>
    </row>
    <row r="13" spans="1:7">
      <c r="A13" t="s">
        <v>68</v>
      </c>
      <c r="B13" t="s">
        <v>67</v>
      </c>
      <c r="D13" s="29" t="s">
        <v>122</v>
      </c>
      <c r="E13" s="29" t="s">
        <v>123</v>
      </c>
    </row>
    <row r="14" spans="1:7">
      <c r="B14" t="s">
        <v>128</v>
      </c>
      <c r="D14" s="29">
        <v>21</v>
      </c>
      <c r="E14" s="29">
        <v>36</v>
      </c>
    </row>
    <row r="15" spans="1:7">
      <c r="D15">
        <v>13</v>
      </c>
      <c r="G15" t="s">
        <v>120</v>
      </c>
    </row>
    <row r="16" spans="1:7">
      <c r="B16" s="2" t="s">
        <v>129</v>
      </c>
      <c r="D16" s="30">
        <f>+D14/C10</f>
        <v>4.7727272727272725</v>
      </c>
      <c r="E16" s="30">
        <f>+E14/C10</f>
        <v>8.1818181818181817</v>
      </c>
      <c r="F16" s="29"/>
    </row>
    <row r="17" spans="1:9">
      <c r="A17" t="s">
        <v>72</v>
      </c>
      <c r="B17" t="s">
        <v>69</v>
      </c>
      <c r="G17" t="s">
        <v>75</v>
      </c>
    </row>
    <row r="18" spans="1:9">
      <c r="A18" t="s">
        <v>121</v>
      </c>
      <c r="B18" t="s">
        <v>130</v>
      </c>
    </row>
    <row r="19" spans="1:9">
      <c r="B19" t="s">
        <v>126</v>
      </c>
      <c r="C19">
        <v>4.5</v>
      </c>
      <c r="D19" s="17"/>
      <c r="E19" s="17"/>
      <c r="F19" s="2"/>
    </row>
    <row r="20" spans="1:9">
      <c r="B20" t="s">
        <v>127</v>
      </c>
      <c r="C20" s="16">
        <v>58.5</v>
      </c>
      <c r="D20" s="17"/>
      <c r="E20" s="17"/>
      <c r="F20" s="2"/>
    </row>
    <row r="21" spans="1:9">
      <c r="B21" s="2" t="s">
        <v>125</v>
      </c>
      <c r="D21" s="31">
        <f>+(C20/SUM(Semesterplan!E4,Semesterplan!E13))*Semesterplan!E4</f>
        <v>23.4</v>
      </c>
      <c r="E21" s="31">
        <f>+(C20/SUM(Semesterplan!E4,Semesterplan!E13))*Semesterplan!E13</f>
        <v>35.099999999999994</v>
      </c>
      <c r="F21" s="2" t="s">
        <v>124</v>
      </c>
    </row>
    <row r="22" spans="1:9">
      <c r="A22" t="s">
        <v>72</v>
      </c>
      <c r="B22" t="s">
        <v>131</v>
      </c>
      <c r="G22" t="s">
        <v>75</v>
      </c>
    </row>
    <row r="23" spans="1:9">
      <c r="A23" t="s">
        <v>76</v>
      </c>
      <c r="B23" t="s">
        <v>77</v>
      </c>
      <c r="G23" t="s">
        <v>78</v>
      </c>
    </row>
    <row r="24" spans="1:9">
      <c r="A24" t="s">
        <v>79</v>
      </c>
      <c r="B24" s="18" t="s">
        <v>80</v>
      </c>
      <c r="C24" s="18"/>
    </row>
    <row r="25" spans="1:9">
      <c r="A25" t="s">
        <v>83</v>
      </c>
      <c r="B25" s="18" t="s">
        <v>81</v>
      </c>
      <c r="C25" s="18"/>
    </row>
    <row r="26" spans="1:9">
      <c r="A26" t="s">
        <v>84</v>
      </c>
      <c r="B26" t="s">
        <v>82</v>
      </c>
    </row>
    <row r="30" spans="1:9">
      <c r="E30" t="s">
        <v>116</v>
      </c>
      <c r="G30" s="27">
        <f>7/19</f>
        <v>0.36842105263157893</v>
      </c>
      <c r="I30" s="17">
        <f>13*G30</f>
        <v>4.7894736842105257</v>
      </c>
    </row>
    <row r="31" spans="1:9">
      <c r="E31" t="s">
        <v>117</v>
      </c>
      <c r="G31">
        <f>12/19</f>
        <v>0.63157894736842102</v>
      </c>
      <c r="I31" s="17">
        <f>13*G31</f>
        <v>8.2105263157894726</v>
      </c>
    </row>
    <row r="33" spans="5:9">
      <c r="E33" t="s">
        <v>118</v>
      </c>
      <c r="G33">
        <v>0.4</v>
      </c>
      <c r="I33" s="17">
        <f>13*G33</f>
        <v>5.2</v>
      </c>
    </row>
    <row r="34" spans="5:9">
      <c r="E34" t="s">
        <v>119</v>
      </c>
      <c r="G34">
        <v>0.6</v>
      </c>
      <c r="I34" s="17">
        <f>13*G34</f>
        <v>7.8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30"/>
  <sheetViews>
    <sheetView showGridLines="0" tabSelected="1" zoomScale="70" zoomScaleNormal="70" workbookViewId="0">
      <selection activeCell="AA32" sqref="AA32"/>
    </sheetView>
  </sheetViews>
  <sheetFormatPr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s>
  <sheetData>
    <row r="1" spans="2:75" ht="33.6">
      <c r="B1" s="4" t="s">
        <v>0</v>
      </c>
      <c r="D1" s="4"/>
      <c r="G1" s="13" t="s">
        <v>34</v>
      </c>
      <c r="I1" s="13" t="s">
        <v>34</v>
      </c>
      <c r="J1" s="13" t="s">
        <v>34</v>
      </c>
      <c r="K1" s="13" t="s">
        <v>34</v>
      </c>
    </row>
    <row r="2" spans="2:75">
      <c r="I2" s="33" t="s">
        <v>27</v>
      </c>
      <c r="J2" s="33"/>
      <c r="K2" s="33"/>
      <c r="L2" s="33"/>
      <c r="N2" s="33" t="s">
        <v>106</v>
      </c>
      <c r="O2" s="33"/>
      <c r="P2" s="33"/>
      <c r="Q2" s="33"/>
      <c r="R2" s="33"/>
      <c r="S2" s="33"/>
      <c r="U2" s="33" t="s">
        <v>107</v>
      </c>
      <c r="V2" s="33"/>
      <c r="W2" s="33"/>
      <c r="X2" s="33"/>
      <c r="Y2" s="33"/>
      <c r="Z2" s="33"/>
      <c r="AB2" s="33" t="s">
        <v>108</v>
      </c>
      <c r="AC2" s="33"/>
      <c r="AD2" s="33"/>
      <c r="AE2" s="33"/>
      <c r="AF2" s="33"/>
      <c r="AG2" s="33"/>
      <c r="AI2" s="33" t="s">
        <v>109</v>
      </c>
      <c r="AJ2" s="33"/>
      <c r="AK2" s="33"/>
      <c r="AL2" s="33"/>
      <c r="AM2" s="33"/>
      <c r="AN2" s="33"/>
      <c r="AP2" s="33" t="s">
        <v>112</v>
      </c>
      <c r="AQ2" s="33"/>
      <c r="AR2" s="33"/>
      <c r="AS2" s="33"/>
      <c r="AT2" s="33"/>
      <c r="AU2" s="33"/>
      <c r="AW2" s="34" t="s">
        <v>110</v>
      </c>
      <c r="AX2" s="34"/>
      <c r="AY2" s="34"/>
      <c r="AZ2" s="34"/>
      <c r="BA2" s="34"/>
      <c r="BB2" s="34"/>
      <c r="BD2" s="35" t="s">
        <v>111</v>
      </c>
      <c r="BE2" s="36"/>
      <c r="BF2" s="36"/>
      <c r="BG2" s="36"/>
      <c r="BH2" s="36"/>
      <c r="BI2" s="36"/>
      <c r="BK2" s="33"/>
      <c r="BL2" s="33"/>
      <c r="BM2" s="33"/>
      <c r="BN2" s="33"/>
      <c r="BO2" s="33"/>
      <c r="BP2" s="33"/>
      <c r="BR2" s="33"/>
      <c r="BS2" s="33"/>
      <c r="BT2" s="33"/>
      <c r="BU2" s="33"/>
      <c r="BV2" s="33"/>
      <c r="BW2" s="33"/>
    </row>
    <row r="3" spans="2:75">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c r="BL3" s="5"/>
      <c r="BM3" s="5"/>
      <c r="BN3" s="5"/>
      <c r="BO3" s="5"/>
      <c r="BP3" s="5"/>
      <c r="BR3" s="5"/>
      <c r="BS3" s="5"/>
      <c r="BT3" s="5"/>
      <c r="BU3" s="5"/>
      <c r="BV3" s="5"/>
      <c r="BW3" s="5"/>
    </row>
    <row r="4" spans="2:75">
      <c r="B4" t="s">
        <v>27</v>
      </c>
      <c r="C4" t="s">
        <v>86</v>
      </c>
      <c r="D4" s="19">
        <v>45258</v>
      </c>
      <c r="E4" s="9">
        <v>4</v>
      </c>
      <c r="G4" s="10">
        <f>+SUM(G5:G11)</f>
        <v>1</v>
      </c>
      <c r="I4" s="12">
        <f>+SUM(I5:I11)</f>
        <v>84.5</v>
      </c>
      <c r="J4" s="11">
        <f>+SUMPRODUCT(G5:G11,J5:J11)</f>
        <v>0</v>
      </c>
      <c r="K4" s="11">
        <f>+SUMPRODUCT(G5:G11,K5:K11)</f>
        <v>0</v>
      </c>
      <c r="N4" s="32">
        <f>+SUM(N5:N11)</f>
        <v>9.5</v>
      </c>
      <c r="U4" s="32">
        <f>+SUM(U5:U11)</f>
        <v>23.5</v>
      </c>
      <c r="AB4" s="12">
        <f>+SUM(AB5:AB11)</f>
        <v>22.5</v>
      </c>
      <c r="AI4" s="32">
        <f>+SUM(AI5:AI11)</f>
        <v>23.5</v>
      </c>
      <c r="AP4" s="12">
        <f>+SUM(AP5:AP11)</f>
        <v>18</v>
      </c>
      <c r="AW4" s="12">
        <f>+SUM(AW5:AW11)</f>
        <v>0</v>
      </c>
      <c r="BD4" s="12">
        <f>+SUM(BD5:BD10)</f>
        <v>0</v>
      </c>
      <c r="BK4" s="12">
        <f>+SUM(BK5:BK10)</f>
        <v>0</v>
      </c>
      <c r="BR4" s="12">
        <f>+SUM(BR5:BR10)</f>
        <v>0</v>
      </c>
    </row>
    <row r="5" spans="2:75" outlineLevel="1">
      <c r="B5" t="s">
        <v>28</v>
      </c>
      <c r="C5" t="s">
        <v>86</v>
      </c>
      <c r="D5" s="19">
        <v>45258</v>
      </c>
      <c r="E5" s="9"/>
      <c r="F5" t="s">
        <v>87</v>
      </c>
      <c r="G5" s="10">
        <v>0.15</v>
      </c>
      <c r="I5" s="9">
        <f t="shared" ref="I5:I10" si="0">+SUMIF($N$3:$YQ$3,I$3,$N5:$YQ5)</f>
        <v>14.5</v>
      </c>
      <c r="J5" s="11" cm="1">
        <f t="array" ref="J5">MAX(IF($N$3:$CY$3=$J$3,N5:CY5))</f>
        <v>0</v>
      </c>
      <c r="K5" s="11" cm="1">
        <f t="array" ref="K5">MAX(IF($N$3:$CY$3=$J$3,N5:CY5))</f>
        <v>0</v>
      </c>
      <c r="L5" s="9"/>
      <c r="N5">
        <v>4.5</v>
      </c>
      <c r="O5" s="10"/>
      <c r="P5" s="10">
        <v>0.5</v>
      </c>
      <c r="Q5" s="10"/>
      <c r="R5" s="10">
        <v>0.5</v>
      </c>
      <c r="U5">
        <v>5</v>
      </c>
      <c r="V5" s="10"/>
      <c r="W5" s="10">
        <v>0.8</v>
      </c>
      <c r="X5" s="10"/>
      <c r="Y5" s="10">
        <v>0.8</v>
      </c>
      <c r="AC5" s="10"/>
      <c r="AD5" s="10">
        <v>0.8</v>
      </c>
      <c r="AE5" s="10"/>
      <c r="AF5" s="10">
        <v>0.8</v>
      </c>
      <c r="AI5" s="20">
        <v>5</v>
      </c>
      <c r="AJ5" s="10"/>
      <c r="AK5" s="10">
        <v>1</v>
      </c>
      <c r="AL5" s="10"/>
      <c r="AM5" s="10">
        <v>1</v>
      </c>
      <c r="AQ5" s="10"/>
      <c r="AR5" s="10">
        <v>1</v>
      </c>
      <c r="AS5" s="10"/>
      <c r="AT5" s="10">
        <v>1</v>
      </c>
      <c r="AX5" s="10"/>
      <c r="AY5" s="10">
        <v>1</v>
      </c>
      <c r="AZ5" s="10"/>
      <c r="BA5" s="10">
        <v>1</v>
      </c>
      <c r="BE5" s="10"/>
      <c r="BF5" s="10"/>
      <c r="BG5" s="10"/>
      <c r="BH5" s="10"/>
      <c r="BL5" s="10"/>
      <c r="BM5" s="10"/>
      <c r="BN5" s="10"/>
      <c r="BO5" s="10"/>
      <c r="BS5" s="10"/>
      <c r="BT5" s="10"/>
      <c r="BU5" s="10"/>
      <c r="BV5" s="10"/>
    </row>
    <row r="6" spans="2:75" outlineLevel="1">
      <c r="B6" t="s">
        <v>28</v>
      </c>
      <c r="C6" t="s">
        <v>86</v>
      </c>
      <c r="D6" s="19">
        <v>45258</v>
      </c>
      <c r="E6" s="9"/>
      <c r="F6" t="s">
        <v>88</v>
      </c>
      <c r="G6" s="10">
        <v>0.2</v>
      </c>
      <c r="I6" s="9">
        <f t="shared" si="0"/>
        <v>15.5</v>
      </c>
      <c r="J6" s="11" cm="1">
        <f t="array" ref="J6">MAX(IF($N$3:$CY$3=$J$3,N6:CY6))</f>
        <v>0</v>
      </c>
      <c r="K6" s="11" cm="1">
        <f t="array" ref="K6">MAX(IF($N$3:$CY$3=$J$3,N6:CY6))</f>
        <v>0</v>
      </c>
      <c r="N6">
        <v>5</v>
      </c>
      <c r="O6" s="10"/>
      <c r="P6" s="10">
        <v>0.5</v>
      </c>
      <c r="Q6" s="10"/>
      <c r="R6" s="10">
        <v>0.5</v>
      </c>
      <c r="U6">
        <v>5</v>
      </c>
      <c r="V6" s="10"/>
      <c r="W6" s="10">
        <v>0.8</v>
      </c>
      <c r="X6" s="10"/>
      <c r="Y6" s="10">
        <v>0.8</v>
      </c>
      <c r="AC6" s="10"/>
      <c r="AD6" s="10">
        <v>0.8</v>
      </c>
      <c r="AE6" s="10"/>
      <c r="AF6" s="10">
        <v>0.8</v>
      </c>
      <c r="AI6" s="20">
        <v>5.5</v>
      </c>
      <c r="AJ6" s="10"/>
      <c r="AK6" s="10">
        <v>1</v>
      </c>
      <c r="AL6" s="10"/>
      <c r="AM6" s="10">
        <v>1</v>
      </c>
      <c r="AQ6" s="10"/>
      <c r="AR6" s="10">
        <v>1</v>
      </c>
      <c r="AS6" s="10"/>
      <c r="AT6" s="10">
        <v>1</v>
      </c>
      <c r="AU6" s="27"/>
      <c r="AX6" s="10"/>
      <c r="AY6" s="10">
        <v>1</v>
      </c>
      <c r="AZ6" s="10"/>
      <c r="BA6" s="10">
        <v>1</v>
      </c>
      <c r="BE6" s="10"/>
      <c r="BF6" s="10"/>
      <c r="BG6" s="10"/>
      <c r="BH6" s="10"/>
      <c r="BL6" s="10"/>
      <c r="BM6" s="10"/>
      <c r="BN6" s="10"/>
      <c r="BO6" s="10"/>
      <c r="BS6" s="10"/>
      <c r="BT6" s="10"/>
      <c r="BU6" s="10"/>
      <c r="BV6" s="10"/>
    </row>
    <row r="7" spans="2:75" outlineLevel="1">
      <c r="B7" t="s">
        <v>28</v>
      </c>
      <c r="C7" t="s">
        <v>86</v>
      </c>
      <c r="D7" s="19">
        <v>45258</v>
      </c>
      <c r="E7" s="9"/>
      <c r="F7" t="s">
        <v>89</v>
      </c>
      <c r="G7" s="10">
        <v>0.1</v>
      </c>
      <c r="I7" s="9">
        <f t="shared" si="0"/>
        <v>12.5</v>
      </c>
      <c r="J7" s="11" cm="1">
        <f t="array" ref="J7">MAX(IF($N$3:$CY$3=$J$3,N7:CY7))</f>
        <v>0</v>
      </c>
      <c r="K7" s="11" cm="1">
        <f t="array" ref="K7">MAX(IF($N$3:$CY$3=$J$3,N7:CY7))</f>
        <v>0</v>
      </c>
      <c r="L7" s="9"/>
      <c r="O7" s="10"/>
      <c r="P7" s="10"/>
      <c r="Q7" s="10"/>
      <c r="R7" s="10"/>
      <c r="U7">
        <v>4.5</v>
      </c>
      <c r="V7" s="10"/>
      <c r="W7" s="10">
        <v>0.5</v>
      </c>
      <c r="X7" s="10"/>
      <c r="Y7" s="10">
        <v>0.5</v>
      </c>
      <c r="AB7" s="20">
        <v>4</v>
      </c>
      <c r="AC7" s="10"/>
      <c r="AD7" s="10">
        <v>0.8</v>
      </c>
      <c r="AE7" s="10"/>
      <c r="AF7" s="10">
        <v>0.8</v>
      </c>
      <c r="AI7" s="20">
        <v>4</v>
      </c>
      <c r="AJ7" s="10"/>
      <c r="AK7" s="10">
        <v>1</v>
      </c>
      <c r="AL7" s="10"/>
      <c r="AM7" s="10">
        <v>1</v>
      </c>
      <c r="AQ7" s="10"/>
      <c r="AR7" s="10">
        <v>1</v>
      </c>
      <c r="AS7" s="10"/>
      <c r="AT7" s="10">
        <v>1</v>
      </c>
      <c r="AX7" s="10"/>
      <c r="AY7" s="10">
        <v>1</v>
      </c>
      <c r="AZ7" s="10"/>
      <c r="BA7" s="10">
        <v>1</v>
      </c>
      <c r="BE7" s="10"/>
      <c r="BF7" s="10"/>
      <c r="BG7" s="10"/>
      <c r="BH7" s="10"/>
      <c r="BL7" s="10"/>
      <c r="BM7" s="10"/>
      <c r="BN7" s="10"/>
      <c r="BO7" s="10"/>
      <c r="BS7" s="10"/>
      <c r="BT7" s="10"/>
      <c r="BU7" s="10"/>
      <c r="BV7" s="10"/>
    </row>
    <row r="8" spans="2:75" outlineLevel="1">
      <c r="B8" t="s">
        <v>28</v>
      </c>
      <c r="C8" t="s">
        <v>86</v>
      </c>
      <c r="D8" s="19">
        <v>45258</v>
      </c>
      <c r="E8" s="9"/>
      <c r="F8" t="s">
        <v>90</v>
      </c>
      <c r="G8" s="10">
        <v>0.15</v>
      </c>
      <c r="I8" s="9">
        <f t="shared" si="0"/>
        <v>14</v>
      </c>
      <c r="J8" s="11" cm="1">
        <f t="array" ref="J8">MAX(IF($N$3:$CY$3=$J$3,N8:CY8))</f>
        <v>0</v>
      </c>
      <c r="K8" s="11" cm="1">
        <f t="array" ref="K8">MAX(IF($N$3:$CY$3=$J$3,N8:CY8))</f>
        <v>0</v>
      </c>
      <c r="L8" s="9"/>
      <c r="O8" s="10"/>
      <c r="P8" s="10"/>
      <c r="Q8" s="10"/>
      <c r="R8" s="10"/>
      <c r="U8">
        <v>4.5</v>
      </c>
      <c r="V8" s="10"/>
      <c r="W8" s="10">
        <v>0.5</v>
      </c>
      <c r="X8" s="10"/>
      <c r="Y8" s="10">
        <v>0.5</v>
      </c>
      <c r="AB8" s="20">
        <v>5</v>
      </c>
      <c r="AC8" s="10"/>
      <c r="AD8" s="10">
        <v>0.8</v>
      </c>
      <c r="AE8" s="10"/>
      <c r="AF8" s="10">
        <v>0.8</v>
      </c>
      <c r="AJ8" s="10"/>
      <c r="AK8" s="10">
        <v>0.8</v>
      </c>
      <c r="AL8" s="10"/>
      <c r="AM8" s="10">
        <v>0.8</v>
      </c>
      <c r="AP8" s="20">
        <v>4.5</v>
      </c>
      <c r="AQ8" s="10"/>
      <c r="AR8" s="10">
        <v>1</v>
      </c>
      <c r="AS8" s="10"/>
      <c r="AT8" s="10">
        <v>1</v>
      </c>
      <c r="AX8" s="10"/>
      <c r="AY8" s="10">
        <v>1</v>
      </c>
      <c r="AZ8" s="10"/>
      <c r="BA8" s="10">
        <v>1</v>
      </c>
      <c r="BE8" s="10"/>
      <c r="BF8" s="10"/>
      <c r="BG8" s="10"/>
      <c r="BH8" s="10"/>
      <c r="BL8" s="10"/>
      <c r="BM8" s="10"/>
      <c r="BN8" s="10"/>
      <c r="BO8" s="10"/>
      <c r="BS8" s="10"/>
      <c r="BT8" s="10"/>
      <c r="BU8" s="10"/>
      <c r="BV8" s="10"/>
    </row>
    <row r="9" spans="2:75" outlineLevel="1">
      <c r="B9" t="s">
        <v>28</v>
      </c>
      <c r="C9" t="s">
        <v>86</v>
      </c>
      <c r="D9" s="19">
        <v>45258</v>
      </c>
      <c r="E9" s="9"/>
      <c r="F9" t="s">
        <v>91</v>
      </c>
      <c r="G9" s="10">
        <v>0.15</v>
      </c>
      <c r="I9" s="9">
        <f t="shared" si="0"/>
        <v>14</v>
      </c>
      <c r="J9" s="11" cm="1">
        <f t="array" ref="J9">MAX(IF($N$3:$CY$3=$J$3,N9:CY9))</f>
        <v>0</v>
      </c>
      <c r="K9" s="11" cm="1">
        <f t="array" ref="K9">MAX(IF($N$3:$CY$3=$J$3,N9:CY9))</f>
        <v>0</v>
      </c>
      <c r="L9" s="9"/>
      <c r="O9" s="10"/>
      <c r="P9" s="10"/>
      <c r="Q9" s="10"/>
      <c r="R9" s="10"/>
      <c r="U9">
        <v>4.5</v>
      </c>
      <c r="V9" s="10"/>
      <c r="W9" s="10">
        <v>0.5</v>
      </c>
      <c r="X9" s="10"/>
      <c r="Y9" s="10">
        <v>0.5</v>
      </c>
      <c r="AB9" s="20">
        <v>5</v>
      </c>
      <c r="AC9" s="10"/>
      <c r="AD9" s="10">
        <v>0.8</v>
      </c>
      <c r="AE9" s="10"/>
      <c r="AF9" s="10">
        <v>0.8</v>
      </c>
      <c r="AJ9" s="10"/>
      <c r="AK9" s="10">
        <v>0.8</v>
      </c>
      <c r="AL9" s="10"/>
      <c r="AM9" s="10">
        <v>0.8</v>
      </c>
      <c r="AP9" s="20">
        <v>4.5</v>
      </c>
      <c r="AQ9" s="10"/>
      <c r="AR9" s="10">
        <v>1</v>
      </c>
      <c r="AS9" s="10"/>
      <c r="AT9" s="10">
        <v>1</v>
      </c>
      <c r="AX9" s="10"/>
      <c r="AY9" s="10">
        <v>1</v>
      </c>
      <c r="AZ9" s="10"/>
      <c r="BA9" s="10">
        <v>1</v>
      </c>
      <c r="BE9" s="10"/>
      <c r="BF9" s="10"/>
      <c r="BG9" s="10"/>
      <c r="BH9" s="10"/>
      <c r="BL9" s="10"/>
      <c r="BM9" s="10"/>
      <c r="BN9" s="10"/>
      <c r="BO9" s="10"/>
      <c r="BS9" s="10"/>
      <c r="BT9" s="10"/>
      <c r="BU9" s="10"/>
      <c r="BV9" s="10"/>
    </row>
    <row r="10" spans="2:75" outlineLevel="1">
      <c r="B10" t="s">
        <v>28</v>
      </c>
      <c r="C10" t="s">
        <v>86</v>
      </c>
      <c r="D10" s="19">
        <v>45258</v>
      </c>
      <c r="E10" s="9"/>
      <c r="F10" t="s">
        <v>92</v>
      </c>
      <c r="G10" s="10">
        <v>0.15</v>
      </c>
      <c r="I10" s="9">
        <f t="shared" si="0"/>
        <v>14</v>
      </c>
      <c r="J10" s="11" cm="1">
        <f t="array" ref="J10">MAX(IF($N$3:$CY$3=$J$3,N10:CY10))</f>
        <v>0</v>
      </c>
      <c r="K10" s="11" cm="1">
        <f t="array" ref="K10">MAX(IF($N$3:$CY$3=$J$3,N10:CY10))</f>
        <v>0</v>
      </c>
      <c r="L10" s="9"/>
      <c r="O10" s="10"/>
      <c r="P10" s="10"/>
      <c r="Q10" s="10"/>
      <c r="R10" s="10"/>
      <c r="V10" s="10"/>
      <c r="W10" s="10"/>
      <c r="X10" s="10"/>
      <c r="Y10" s="10"/>
      <c r="AB10" s="20">
        <v>4.5</v>
      </c>
      <c r="AC10" s="10"/>
      <c r="AD10" s="10">
        <v>0.5</v>
      </c>
      <c r="AE10" s="10"/>
      <c r="AF10" s="10">
        <v>0.5</v>
      </c>
      <c r="AI10" s="20">
        <v>5</v>
      </c>
      <c r="AJ10" s="10"/>
      <c r="AK10" s="10">
        <v>0.8</v>
      </c>
      <c r="AL10" s="10"/>
      <c r="AM10" s="10">
        <v>0.8</v>
      </c>
      <c r="AP10" s="20">
        <v>4.5</v>
      </c>
      <c r="AQ10" s="10"/>
      <c r="AR10" s="10">
        <v>1</v>
      </c>
      <c r="AS10" s="10"/>
      <c r="AT10" s="10">
        <v>1</v>
      </c>
      <c r="AX10" s="10"/>
      <c r="AY10" s="10">
        <v>1</v>
      </c>
      <c r="AZ10" s="10"/>
      <c r="BA10" s="10">
        <v>1</v>
      </c>
      <c r="BE10" s="10"/>
      <c r="BF10" s="10"/>
      <c r="BG10" s="10"/>
      <c r="BH10" s="10"/>
      <c r="BL10" s="10"/>
      <c r="BM10" s="10"/>
      <c r="BN10" s="10"/>
      <c r="BO10" s="10"/>
      <c r="BS10" s="10"/>
      <c r="BT10" s="10"/>
      <c r="BU10" s="10"/>
      <c r="BV10" s="10"/>
    </row>
    <row r="11" spans="2:75">
      <c r="B11" t="s">
        <v>28</v>
      </c>
      <c r="C11" t="s">
        <v>86</v>
      </c>
      <c r="D11" s="19">
        <v>45258</v>
      </c>
      <c r="E11" s="9"/>
      <c r="F11" t="s">
        <v>93</v>
      </c>
      <c r="G11" s="10">
        <v>0.1</v>
      </c>
      <c r="I11" s="9">
        <v>0</v>
      </c>
      <c r="J11" s="11" cm="1">
        <f t="array" ref="J11">MAX(IF($N$3:$CY$3=$J$3,N11:CY11))</f>
        <v>0</v>
      </c>
      <c r="K11" s="11" cm="1">
        <f t="array" ref="K11">MAX(IF($N$3:$CY$3=$J$3,N11:CY11))</f>
        <v>0</v>
      </c>
      <c r="L11" s="9"/>
      <c r="O11" s="10"/>
      <c r="P11" s="10"/>
      <c r="Q11" s="10"/>
      <c r="R11" s="10"/>
      <c r="V11" s="10"/>
      <c r="W11" s="10"/>
      <c r="X11" s="10"/>
      <c r="Y11" s="10"/>
      <c r="AB11">
        <v>4</v>
      </c>
      <c r="AC11" s="10"/>
      <c r="AD11" s="10">
        <v>0.5</v>
      </c>
      <c r="AE11" s="10"/>
      <c r="AF11" s="10">
        <v>0.5</v>
      </c>
      <c r="AI11" s="20">
        <v>4</v>
      </c>
      <c r="AJ11" s="10"/>
      <c r="AK11" s="10">
        <v>0.8</v>
      </c>
      <c r="AL11" s="10"/>
      <c r="AM11" s="10">
        <v>0.8</v>
      </c>
      <c r="AP11" s="20">
        <v>4.5</v>
      </c>
      <c r="AQ11" s="10"/>
      <c r="AR11" s="10">
        <v>1</v>
      </c>
      <c r="AS11" s="10"/>
      <c r="AT11" s="10">
        <v>1</v>
      </c>
      <c r="AX11" s="10"/>
      <c r="AY11" s="10">
        <v>1</v>
      </c>
      <c r="AZ11" s="10"/>
      <c r="BA11" s="10">
        <v>1</v>
      </c>
      <c r="BE11" s="10"/>
      <c r="BF11" s="10"/>
      <c r="BG11" s="10"/>
      <c r="BH11" s="10"/>
      <c r="BL11" s="10"/>
      <c r="BM11" s="10"/>
      <c r="BN11" s="10"/>
      <c r="BO11" s="10"/>
      <c r="BS11" s="10"/>
      <c r="BT11" s="10"/>
      <c r="BU11" s="10"/>
      <c r="BV11" s="10"/>
    </row>
    <row r="12" spans="2:75">
      <c r="E12" s="9"/>
      <c r="G12" s="10"/>
      <c r="I12" s="9"/>
      <c r="J12" s="11"/>
      <c r="K12" s="11"/>
      <c r="L12" s="9"/>
      <c r="O12" s="10"/>
      <c r="P12" s="10"/>
      <c r="Q12" t="s">
        <v>115</v>
      </c>
      <c r="R12">
        <v>2</v>
      </c>
      <c r="V12" s="10"/>
      <c r="W12" s="10"/>
      <c r="X12" t="s">
        <v>115</v>
      </c>
      <c r="Y12">
        <v>5</v>
      </c>
      <c r="AC12" s="10"/>
      <c r="AD12" s="10"/>
      <c r="AE12" t="s">
        <v>115</v>
      </c>
      <c r="AF12">
        <v>5</v>
      </c>
      <c r="AJ12" s="10"/>
      <c r="AK12" s="10"/>
      <c r="AL12" t="s">
        <v>115</v>
      </c>
      <c r="AM12">
        <v>5</v>
      </c>
      <c r="AN12" s="28"/>
      <c r="AQ12" s="10"/>
      <c r="AR12" s="10"/>
      <c r="AS12" t="s">
        <v>115</v>
      </c>
      <c r="AT12">
        <v>4</v>
      </c>
      <c r="AX12" s="10"/>
      <c r="AY12" s="10"/>
      <c r="AZ12" s="10"/>
      <c r="BA12" s="10"/>
      <c r="BE12" s="10"/>
      <c r="BF12" s="10"/>
      <c r="BG12" s="10"/>
      <c r="BH12" s="10"/>
      <c r="BL12" s="10"/>
      <c r="BM12" s="10"/>
      <c r="BN12" s="10"/>
      <c r="BO12" s="10"/>
      <c r="BS12" s="10"/>
      <c r="BT12" s="10"/>
      <c r="BU12" s="10"/>
      <c r="BV12" s="10"/>
    </row>
    <row r="13" spans="2:75">
      <c r="B13" t="s">
        <v>27</v>
      </c>
      <c r="C13" t="s">
        <v>94</v>
      </c>
      <c r="D13" s="19">
        <v>45260</v>
      </c>
      <c r="E13" s="9">
        <v>6</v>
      </c>
      <c r="G13" s="10">
        <f>+SUM(G14:G25)</f>
        <v>0.99999999999999978</v>
      </c>
      <c r="I13" s="12">
        <f>+SUM(I14:I25)</f>
        <v>108</v>
      </c>
      <c r="J13" s="11">
        <f>+SUMPRODUCT(G14:G25,J14:J25)</f>
        <v>0</v>
      </c>
      <c r="K13" s="11">
        <f>+SUMPRODUCT(G14:G25,K14:K25)</f>
        <v>0</v>
      </c>
      <c r="N13" s="32">
        <f>+SUM(N14:N25)</f>
        <v>14</v>
      </c>
      <c r="U13" s="32">
        <f>+SUM(U14:U25)</f>
        <v>37</v>
      </c>
      <c r="AB13" s="32">
        <f>+SUM(AB14:AB25)</f>
        <v>35.5</v>
      </c>
      <c r="AI13" s="32">
        <f>+SUM(AI14:AI25)</f>
        <v>35</v>
      </c>
      <c r="AP13" s="32">
        <f>+SUM(AP14:AP25)</f>
        <v>40.5</v>
      </c>
      <c r="AW13" s="12">
        <f>+SUM(AW14:AW25)</f>
        <v>0</v>
      </c>
    </row>
    <row r="14" spans="2:75" outlineLevel="1">
      <c r="B14" t="s">
        <v>28</v>
      </c>
      <c r="C14" t="s">
        <v>94</v>
      </c>
      <c r="D14" s="19">
        <v>45260</v>
      </c>
      <c r="E14" s="9"/>
      <c r="F14" t="s">
        <v>30</v>
      </c>
      <c r="G14" s="10">
        <v>0.08</v>
      </c>
      <c r="I14" s="9">
        <f t="shared" ref="I14:I21" si="1">+SUMIF($N$3:$YQ$3,I$3,$N14:$YQ14)</f>
        <v>14.5</v>
      </c>
      <c r="J14" s="11" cm="1">
        <f t="array" ref="J14">MAX(IF($N$3:$CY$3=$J$3,N14:CY14))</f>
        <v>0</v>
      </c>
      <c r="K14" s="11" cm="1">
        <f t="array" ref="K14">MAX(IF($N$3:$CY$3=$J$3,N14:CY14))</f>
        <v>0</v>
      </c>
      <c r="L14" s="9"/>
      <c r="N14">
        <v>5</v>
      </c>
      <c r="O14" s="10"/>
      <c r="P14" s="10">
        <v>0.5</v>
      </c>
      <c r="Q14" s="10"/>
      <c r="R14" s="10">
        <v>0.5</v>
      </c>
      <c r="U14">
        <v>5</v>
      </c>
      <c r="V14" s="10"/>
      <c r="W14" s="10">
        <v>0.8</v>
      </c>
      <c r="X14" s="10"/>
      <c r="Y14" s="10">
        <v>0.8</v>
      </c>
      <c r="AB14" s="20">
        <v>4.5</v>
      </c>
      <c r="AC14" s="10"/>
      <c r="AD14" s="10">
        <v>1</v>
      </c>
      <c r="AE14" s="10"/>
      <c r="AF14" s="10">
        <v>1</v>
      </c>
      <c r="AJ14" s="10"/>
      <c r="AK14" s="10">
        <v>1</v>
      </c>
      <c r="AL14" s="10"/>
      <c r="AM14" s="10">
        <v>1</v>
      </c>
      <c r="AQ14" s="10"/>
      <c r="AR14" s="10">
        <v>1</v>
      </c>
      <c r="AS14" s="10"/>
      <c r="AT14" s="10">
        <v>1</v>
      </c>
      <c r="AX14" s="10"/>
      <c r="AY14" s="10">
        <v>1</v>
      </c>
      <c r="AZ14" s="10"/>
      <c r="BA14" s="10">
        <v>1</v>
      </c>
      <c r="BE14" s="10"/>
      <c r="BF14" s="10"/>
      <c r="BG14" s="10"/>
      <c r="BH14" s="10"/>
      <c r="BL14" s="10"/>
      <c r="BM14" s="10"/>
      <c r="BN14" s="10"/>
      <c r="BO14" s="10"/>
      <c r="BS14" s="10"/>
      <c r="BT14" s="10"/>
      <c r="BU14" s="10"/>
      <c r="BV14" s="10"/>
    </row>
    <row r="15" spans="2:75" outlineLevel="1">
      <c r="B15" t="s">
        <v>28</v>
      </c>
      <c r="C15" t="s">
        <v>94</v>
      </c>
      <c r="D15" s="19">
        <v>45260</v>
      </c>
      <c r="E15" s="9"/>
      <c r="F15" t="s">
        <v>95</v>
      </c>
      <c r="G15" s="10">
        <v>0.08</v>
      </c>
      <c r="I15" s="9">
        <f t="shared" si="1"/>
        <v>13.5</v>
      </c>
      <c r="J15" s="11" cm="1">
        <f t="array" ref="J15">MAX(IF($N$3:$CY$3=$J$3,N15:CY15))</f>
        <v>0</v>
      </c>
      <c r="K15" s="11" cm="1">
        <f t="array" ref="K15">MAX(IF($N$3:$CY$3=$J$3,N15:CY15))</f>
        <v>0</v>
      </c>
      <c r="L15" s="9"/>
      <c r="N15">
        <v>4.5</v>
      </c>
      <c r="O15" s="10"/>
      <c r="P15" s="10">
        <v>0.5</v>
      </c>
      <c r="Q15" s="10"/>
      <c r="R15" s="10">
        <v>0.5</v>
      </c>
      <c r="U15">
        <v>4.5</v>
      </c>
      <c r="V15" s="10"/>
      <c r="W15" s="10">
        <v>0.8</v>
      </c>
      <c r="X15" s="10"/>
      <c r="Y15" s="10">
        <v>0.8</v>
      </c>
      <c r="AB15" s="20">
        <v>4.5</v>
      </c>
      <c r="AC15" s="10"/>
      <c r="AD15" s="10">
        <v>1</v>
      </c>
      <c r="AE15" s="10"/>
      <c r="AF15" s="10">
        <v>1</v>
      </c>
      <c r="AJ15" s="10"/>
      <c r="AK15" s="10">
        <v>1</v>
      </c>
      <c r="AL15" s="10"/>
      <c r="AM15" s="10">
        <v>1</v>
      </c>
      <c r="AQ15" s="10"/>
      <c r="AR15" s="10">
        <v>1</v>
      </c>
      <c r="AS15" s="10"/>
      <c r="AT15" s="10">
        <v>1</v>
      </c>
      <c r="AX15" s="10"/>
      <c r="AY15" s="10">
        <v>1</v>
      </c>
      <c r="AZ15" s="10"/>
      <c r="BA15" s="10">
        <v>1</v>
      </c>
      <c r="BE15" s="10"/>
      <c r="BF15" s="10"/>
      <c r="BG15" s="10"/>
      <c r="BH15" s="10"/>
      <c r="BL15" s="10"/>
      <c r="BM15" s="10"/>
      <c r="BN15" s="10"/>
      <c r="BO15" s="10"/>
      <c r="BS15" s="10"/>
      <c r="BT15" s="10"/>
      <c r="BU15" s="10"/>
      <c r="BV15" s="10"/>
    </row>
    <row r="16" spans="2:75" outlineLevel="1">
      <c r="B16" t="s">
        <v>28</v>
      </c>
      <c r="C16" t="s">
        <v>94</v>
      </c>
      <c r="D16" s="19">
        <v>45260</v>
      </c>
      <c r="E16" s="9"/>
      <c r="F16" t="s">
        <v>96</v>
      </c>
      <c r="G16" s="10">
        <v>0.08</v>
      </c>
      <c r="I16" s="9">
        <f t="shared" si="1"/>
        <v>13.5</v>
      </c>
      <c r="J16" s="11" cm="1">
        <f t="array" ref="J16">MAX(IF($N$3:$CY$3=$J$3,N16:CY16))</f>
        <v>0</v>
      </c>
      <c r="K16" s="11" cm="1">
        <f t="array" ref="K16">MAX(IF($N$3:$CY$3=$J$3,N16:CY16))</f>
        <v>0</v>
      </c>
      <c r="L16" s="9"/>
      <c r="N16">
        <v>4.5</v>
      </c>
      <c r="O16" s="10"/>
      <c r="P16" s="10">
        <v>0.5</v>
      </c>
      <c r="Q16" s="10"/>
      <c r="R16" s="10">
        <v>0.5</v>
      </c>
      <c r="U16">
        <v>4.5</v>
      </c>
      <c r="V16" s="10"/>
      <c r="W16" s="10">
        <v>0.8</v>
      </c>
      <c r="X16" s="10"/>
      <c r="Y16" s="10">
        <v>0.8</v>
      </c>
      <c r="AB16" s="20"/>
      <c r="AC16" s="10"/>
      <c r="AD16" s="10">
        <v>0.8</v>
      </c>
      <c r="AE16" s="10"/>
      <c r="AF16" s="10">
        <v>0.8</v>
      </c>
      <c r="AI16" s="20">
        <v>4.5</v>
      </c>
      <c r="AJ16" s="10"/>
      <c r="AK16" s="10">
        <v>1</v>
      </c>
      <c r="AL16" s="10"/>
      <c r="AM16" s="10">
        <v>1</v>
      </c>
      <c r="AQ16" s="10"/>
      <c r="AR16" s="10">
        <v>1</v>
      </c>
      <c r="AS16" s="10"/>
      <c r="AT16" s="10">
        <v>1</v>
      </c>
      <c r="AX16" s="10"/>
      <c r="AY16" s="10">
        <v>1</v>
      </c>
      <c r="AZ16" s="10"/>
      <c r="BA16" s="10">
        <v>1</v>
      </c>
      <c r="BE16" s="10"/>
      <c r="BF16" s="10"/>
      <c r="BG16" s="10"/>
      <c r="BH16" s="10"/>
      <c r="BL16" s="10"/>
      <c r="BM16" s="10"/>
      <c r="BN16" s="10"/>
      <c r="BO16" s="10"/>
      <c r="BS16" s="10"/>
      <c r="BT16" s="10"/>
      <c r="BU16" s="10"/>
      <c r="BV16" s="10"/>
    </row>
    <row r="17" spans="2:75" outlineLevel="1">
      <c r="B17" t="s">
        <v>28</v>
      </c>
      <c r="C17" t="s">
        <v>94</v>
      </c>
      <c r="D17" s="19">
        <v>45260</v>
      </c>
      <c r="E17" s="9"/>
      <c r="F17" t="s">
        <v>97</v>
      </c>
      <c r="G17" s="10">
        <v>0.14000000000000001</v>
      </c>
      <c r="I17" s="9">
        <f t="shared" si="1"/>
        <v>15.5</v>
      </c>
      <c r="J17" s="11" cm="1">
        <f t="array" ref="J17">MAX(IF($N$3:$CY$3=$J$3,N17:CY17))</f>
        <v>0</v>
      </c>
      <c r="K17" s="11" cm="1">
        <f t="array" ref="K17">MAX(IF($N$3:$CY$3=$J$3,N17:CY17))</f>
        <v>0</v>
      </c>
      <c r="L17" s="9"/>
      <c r="O17" s="10"/>
      <c r="P17" s="10"/>
      <c r="Q17" s="10"/>
      <c r="R17" s="10"/>
      <c r="U17">
        <v>5.5</v>
      </c>
      <c r="V17" s="10"/>
      <c r="W17" s="10">
        <v>0.5</v>
      </c>
      <c r="X17" s="10"/>
      <c r="Y17" s="10">
        <v>0.5</v>
      </c>
      <c r="AB17" s="20">
        <v>5</v>
      </c>
      <c r="AC17" s="10"/>
      <c r="AD17" s="10">
        <v>0.8</v>
      </c>
      <c r="AE17" s="10"/>
      <c r="AF17" s="10">
        <v>0.8</v>
      </c>
      <c r="AI17" s="20">
        <v>5</v>
      </c>
      <c r="AJ17" s="10"/>
      <c r="AK17" s="10">
        <v>1</v>
      </c>
      <c r="AL17" s="10"/>
      <c r="AM17" s="10">
        <v>1</v>
      </c>
      <c r="AQ17" s="10"/>
      <c r="AR17" s="10">
        <v>1</v>
      </c>
      <c r="AS17" s="10"/>
      <c r="AT17" s="10">
        <v>1</v>
      </c>
      <c r="AX17" s="10"/>
      <c r="AY17" s="10">
        <v>1</v>
      </c>
      <c r="AZ17" s="10"/>
      <c r="BA17" s="10">
        <v>1</v>
      </c>
      <c r="BE17" s="10"/>
      <c r="BF17" s="10"/>
      <c r="BG17" s="10"/>
      <c r="BH17" s="10"/>
      <c r="BL17" s="10"/>
      <c r="BM17" s="10"/>
      <c r="BN17" s="10"/>
      <c r="BO17" s="10"/>
      <c r="BS17" s="10"/>
      <c r="BT17" s="10"/>
      <c r="BU17" s="10"/>
      <c r="BV17" s="10"/>
    </row>
    <row r="18" spans="2:75" outlineLevel="1">
      <c r="B18" t="s">
        <v>28</v>
      </c>
      <c r="C18" t="s">
        <v>94</v>
      </c>
      <c r="D18" s="19">
        <v>45260</v>
      </c>
      <c r="E18" s="9"/>
      <c r="F18" t="s">
        <v>98</v>
      </c>
      <c r="G18" s="10">
        <v>0.08</v>
      </c>
      <c r="I18" s="9">
        <f t="shared" si="1"/>
        <v>12.5</v>
      </c>
      <c r="J18" s="11" cm="1">
        <f t="array" ref="J18">MAX(IF($N$3:$CY$3=$J$3,N18:CY18))</f>
        <v>0</v>
      </c>
      <c r="K18" s="11" cm="1">
        <f t="array" ref="K18">MAX(IF($N$3:$CY$3=$J$3,N18:CY18))</f>
        <v>0</v>
      </c>
      <c r="L18" s="9"/>
      <c r="O18" s="10"/>
      <c r="P18" s="10"/>
      <c r="Q18" s="10"/>
      <c r="R18" s="10"/>
      <c r="U18">
        <v>4.5</v>
      </c>
      <c r="V18" s="10"/>
      <c r="W18" s="10">
        <v>0.5</v>
      </c>
      <c r="X18" s="10"/>
      <c r="Y18" s="10">
        <v>0.5</v>
      </c>
      <c r="AB18" s="20">
        <v>4</v>
      </c>
      <c r="AC18" s="10"/>
      <c r="AD18" s="10">
        <v>0.8</v>
      </c>
      <c r="AE18" s="10"/>
      <c r="AF18" s="10">
        <v>0.8</v>
      </c>
      <c r="AI18" s="20">
        <v>4</v>
      </c>
      <c r="AJ18" s="10"/>
      <c r="AK18" s="10">
        <v>1</v>
      </c>
      <c r="AL18" s="10"/>
      <c r="AM18" s="10">
        <v>1</v>
      </c>
      <c r="AQ18" s="10"/>
      <c r="AR18" s="10">
        <v>1</v>
      </c>
      <c r="AS18" s="10"/>
      <c r="AT18" s="10">
        <v>1</v>
      </c>
      <c r="AX18" s="10"/>
      <c r="AY18" s="10">
        <v>1</v>
      </c>
      <c r="AZ18" s="10"/>
      <c r="BA18" s="10">
        <v>1</v>
      </c>
      <c r="BE18" s="10"/>
      <c r="BF18" s="10"/>
      <c r="BG18" s="10"/>
      <c r="BH18" s="10"/>
      <c r="BL18" s="10"/>
      <c r="BM18" s="10"/>
      <c r="BN18" s="10"/>
      <c r="BO18" s="10"/>
      <c r="BS18" s="10"/>
      <c r="BT18" s="10"/>
      <c r="BU18" s="10"/>
      <c r="BV18" s="10"/>
    </row>
    <row r="19" spans="2:75" outlineLevel="1">
      <c r="B19" t="s">
        <v>28</v>
      </c>
      <c r="C19" t="s">
        <v>94</v>
      </c>
      <c r="D19" s="19">
        <v>45260</v>
      </c>
      <c r="E19" s="9"/>
      <c r="F19" t="s">
        <v>99</v>
      </c>
      <c r="G19" s="10">
        <v>0.08</v>
      </c>
      <c r="I19" s="9">
        <f t="shared" si="1"/>
        <v>13</v>
      </c>
      <c r="J19" s="11" cm="1">
        <f t="array" ref="J19">MAX(IF($N$3:$CY$3=$J$3,N19:CY19))</f>
        <v>0</v>
      </c>
      <c r="K19" s="11" cm="1">
        <f t="array" ref="K19">MAX(IF($N$3:$CY$3=$J$3,N19:CY19))</f>
        <v>0</v>
      </c>
      <c r="L19" s="9"/>
      <c r="O19" s="10"/>
      <c r="P19" s="10"/>
      <c r="Q19" s="10"/>
      <c r="R19" s="10"/>
      <c r="U19">
        <v>4.5</v>
      </c>
      <c r="V19" s="10"/>
      <c r="W19" s="10">
        <v>0.5</v>
      </c>
      <c r="X19" s="10"/>
      <c r="Y19" s="10">
        <v>0.5</v>
      </c>
      <c r="AB19" s="20">
        <v>4</v>
      </c>
      <c r="AC19" s="10"/>
      <c r="AD19" s="10">
        <v>0.8</v>
      </c>
      <c r="AE19" s="10"/>
      <c r="AF19" s="10">
        <v>0.8</v>
      </c>
      <c r="AI19" s="20"/>
      <c r="AJ19" s="10"/>
      <c r="AK19" s="10">
        <v>0.8</v>
      </c>
      <c r="AL19" s="10"/>
      <c r="AM19" s="10">
        <v>0.8</v>
      </c>
      <c r="AP19" s="20">
        <v>4.5</v>
      </c>
      <c r="AQ19" s="10"/>
      <c r="AR19" s="10">
        <v>1</v>
      </c>
      <c r="AS19" s="10"/>
      <c r="AT19" s="10">
        <v>1</v>
      </c>
      <c r="AX19" s="10"/>
      <c r="AY19" s="10">
        <v>1</v>
      </c>
      <c r="AZ19" s="10"/>
      <c r="BA19" s="10">
        <v>1</v>
      </c>
      <c r="BE19" s="10"/>
      <c r="BF19" s="10"/>
      <c r="BG19" s="10"/>
      <c r="BH19" s="10"/>
      <c r="BL19" s="10"/>
      <c r="BM19" s="10"/>
      <c r="BN19" s="10"/>
      <c r="BO19" s="10"/>
      <c r="BS19" s="10"/>
      <c r="BT19" s="10"/>
      <c r="BU19" s="10"/>
      <c r="BV19" s="10"/>
    </row>
    <row r="20" spans="2:75" outlineLevel="1">
      <c r="B20" t="s">
        <v>28</v>
      </c>
      <c r="C20" t="s">
        <v>94</v>
      </c>
      <c r="D20" s="19">
        <v>45260</v>
      </c>
      <c r="E20" s="9"/>
      <c r="F20" t="s">
        <v>100</v>
      </c>
      <c r="G20" s="10">
        <v>0.08</v>
      </c>
      <c r="I20" s="9">
        <f t="shared" si="1"/>
        <v>13</v>
      </c>
      <c r="J20" s="11" cm="1">
        <f t="array" ref="J20">MAX(IF($N$3:$CY$3=$J$3,N20:CY20))</f>
        <v>0</v>
      </c>
      <c r="K20" s="11" cm="1">
        <f t="array" ref="K20">MAX(IF($N$3:$CY$3=$J$3,N20:CY20))</f>
        <v>0</v>
      </c>
      <c r="L20" s="9"/>
      <c r="O20" s="10"/>
      <c r="P20" s="10"/>
      <c r="Q20" s="10"/>
      <c r="R20" s="10"/>
      <c r="U20">
        <v>4.5</v>
      </c>
      <c r="V20" s="10"/>
      <c r="W20" s="10">
        <v>0.5</v>
      </c>
      <c r="X20" s="10"/>
      <c r="Y20" s="10">
        <v>0.5</v>
      </c>
      <c r="AC20" s="10"/>
      <c r="AD20" s="10">
        <v>0.5</v>
      </c>
      <c r="AE20" s="10"/>
      <c r="AF20" s="10">
        <v>0.5</v>
      </c>
      <c r="AI20" s="20">
        <v>4</v>
      </c>
      <c r="AJ20" s="10"/>
      <c r="AK20" s="10">
        <v>0.8</v>
      </c>
      <c r="AL20" s="10"/>
      <c r="AM20" s="10">
        <v>0.8</v>
      </c>
      <c r="AP20" s="20">
        <v>4.5</v>
      </c>
      <c r="AQ20" s="10"/>
      <c r="AR20" s="10">
        <v>1</v>
      </c>
      <c r="AS20" s="10"/>
      <c r="AT20" s="10">
        <v>1</v>
      </c>
      <c r="AX20" s="10"/>
      <c r="AY20" s="10">
        <v>1</v>
      </c>
      <c r="AZ20" s="10"/>
      <c r="BA20" s="10">
        <v>1</v>
      </c>
      <c r="BE20" s="10"/>
      <c r="BF20" s="10"/>
      <c r="BG20" s="10"/>
      <c r="BH20" s="10"/>
      <c r="BL20" s="10"/>
      <c r="BM20" s="10"/>
      <c r="BN20" s="10"/>
      <c r="BO20" s="10"/>
      <c r="BS20" s="10"/>
      <c r="BT20" s="10"/>
      <c r="BU20" s="10"/>
      <c r="BV20" s="10"/>
    </row>
    <row r="21" spans="2:75" outlineLevel="1">
      <c r="B21" t="s">
        <v>28</v>
      </c>
      <c r="C21" t="s">
        <v>94</v>
      </c>
      <c r="D21" s="19">
        <v>45260</v>
      </c>
      <c r="E21" s="9"/>
      <c r="F21" t="s">
        <v>101</v>
      </c>
      <c r="G21" s="10">
        <v>0.06</v>
      </c>
      <c r="I21" s="9">
        <f t="shared" si="1"/>
        <v>12.5</v>
      </c>
      <c r="J21" s="11" cm="1">
        <f t="array" ref="J21">MAX(IF($N$3:$CY$3=$J$3,N21:CY21))</f>
        <v>0</v>
      </c>
      <c r="K21" s="11" cm="1">
        <f t="array" ref="K21">MAX(IF($N$3:$CY$3=$J$3,N21:CY21))</f>
        <v>0</v>
      </c>
      <c r="L21" s="9"/>
      <c r="O21" s="10"/>
      <c r="P21" s="10"/>
      <c r="Q21" s="10"/>
      <c r="R21" s="10"/>
      <c r="U21">
        <v>4</v>
      </c>
      <c r="V21" s="10"/>
      <c r="W21" s="10">
        <v>0.5</v>
      </c>
      <c r="X21" s="10"/>
      <c r="Y21" s="10">
        <v>0.5</v>
      </c>
      <c r="AC21" s="10"/>
      <c r="AD21" s="10">
        <v>0.5</v>
      </c>
      <c r="AE21" s="10"/>
      <c r="AF21" s="10">
        <v>0.5</v>
      </c>
      <c r="AI21" s="20">
        <v>4</v>
      </c>
      <c r="AJ21" s="10"/>
      <c r="AK21" s="10">
        <v>0.8</v>
      </c>
      <c r="AL21" s="10"/>
      <c r="AM21" s="10">
        <v>0.8</v>
      </c>
      <c r="AP21" s="20">
        <v>4.5</v>
      </c>
      <c r="AQ21" s="10"/>
      <c r="AR21" s="10">
        <v>1</v>
      </c>
      <c r="AS21" s="10"/>
      <c r="AT21" s="10">
        <v>1</v>
      </c>
      <c r="AX21" s="10"/>
      <c r="AY21" s="10">
        <v>1</v>
      </c>
      <c r="AZ21" s="10"/>
      <c r="BA21" s="10">
        <v>1</v>
      </c>
      <c r="BE21" s="10"/>
      <c r="BF21" s="10"/>
      <c r="BG21" s="10"/>
      <c r="BH21" s="10"/>
      <c r="BL21" s="10"/>
      <c r="BM21" s="10"/>
      <c r="BN21" s="10"/>
      <c r="BO21" s="10"/>
      <c r="BS21" s="10"/>
      <c r="BT21" s="10"/>
      <c r="BU21" s="10"/>
      <c r="BV21" s="10"/>
    </row>
    <row r="22" spans="2:75" outlineLevel="1">
      <c r="B22" s="20" t="s">
        <v>28</v>
      </c>
      <c r="C22" t="s">
        <v>94</v>
      </c>
      <c r="D22" s="21">
        <v>45260</v>
      </c>
      <c r="E22" s="22"/>
      <c r="F22" s="20" t="s">
        <v>102</v>
      </c>
      <c r="G22" s="10">
        <v>0.08</v>
      </c>
      <c r="H22" s="20"/>
      <c r="I22" s="22">
        <v>0</v>
      </c>
      <c r="J22" s="24">
        <v>0</v>
      </c>
      <c r="K22" s="24">
        <v>0</v>
      </c>
      <c r="L22" s="22"/>
      <c r="M22" s="20"/>
      <c r="N22" s="20"/>
      <c r="O22" s="10"/>
      <c r="P22" s="10"/>
      <c r="Q22" s="10"/>
      <c r="R22" s="10"/>
      <c r="S22" s="20"/>
      <c r="T22" s="20"/>
      <c r="V22" s="10"/>
      <c r="W22" s="10"/>
      <c r="X22" s="10"/>
      <c r="Y22" s="10"/>
      <c r="Z22" s="20"/>
      <c r="AA22" s="20"/>
      <c r="AB22" s="20">
        <v>4.5</v>
      </c>
      <c r="AC22" s="10"/>
      <c r="AD22" s="10">
        <v>0.5</v>
      </c>
      <c r="AE22" s="10"/>
      <c r="AF22" s="10">
        <v>0.5</v>
      </c>
      <c r="AG22" s="20"/>
      <c r="AH22" s="20"/>
      <c r="AI22" s="20">
        <v>4.5</v>
      </c>
      <c r="AJ22" s="25"/>
      <c r="AK22" s="10">
        <v>0.8</v>
      </c>
      <c r="AL22" s="25"/>
      <c r="AM22" s="10">
        <v>0.8</v>
      </c>
      <c r="AN22" s="20"/>
      <c r="AO22" s="20"/>
      <c r="AP22" s="20">
        <v>4.5</v>
      </c>
      <c r="AQ22" s="25"/>
      <c r="AR22" s="10">
        <v>1</v>
      </c>
      <c r="AS22" s="25"/>
      <c r="AT22" s="10">
        <v>1</v>
      </c>
      <c r="AU22" s="20"/>
      <c r="AV22" s="20"/>
      <c r="AW22" s="20"/>
      <c r="AX22" s="25"/>
      <c r="AY22" s="10">
        <v>1</v>
      </c>
      <c r="AZ22" s="25"/>
      <c r="BA22" s="10">
        <v>1</v>
      </c>
      <c r="BB22" s="20"/>
      <c r="BC22" s="20"/>
      <c r="BD22" s="20"/>
      <c r="BE22" s="23"/>
      <c r="BF22" s="23"/>
      <c r="BG22" s="23"/>
      <c r="BH22" s="23"/>
      <c r="BI22" s="20"/>
      <c r="BJ22" s="20"/>
      <c r="BK22" s="20"/>
      <c r="BL22" s="23"/>
      <c r="BM22" s="23"/>
      <c r="BN22" s="23"/>
      <c r="BO22" s="23"/>
      <c r="BP22" s="20"/>
      <c r="BQ22" s="20"/>
      <c r="BR22" s="20"/>
      <c r="BS22" s="23"/>
      <c r="BT22" s="23"/>
      <c r="BU22" s="23"/>
      <c r="BV22" s="23"/>
      <c r="BW22" s="20"/>
    </row>
    <row r="23" spans="2:75" outlineLevel="1">
      <c r="B23" s="20" t="s">
        <v>28</v>
      </c>
      <c r="C23" t="s">
        <v>94</v>
      </c>
      <c r="D23" s="21">
        <v>45260</v>
      </c>
      <c r="E23" s="22"/>
      <c r="F23" s="20" t="s">
        <v>103</v>
      </c>
      <c r="G23" s="10">
        <v>0.08</v>
      </c>
      <c r="H23" s="20"/>
      <c r="I23" s="22">
        <v>0</v>
      </c>
      <c r="J23" s="24">
        <v>0</v>
      </c>
      <c r="K23" s="24">
        <v>0</v>
      </c>
      <c r="L23" s="22"/>
      <c r="M23" s="20"/>
      <c r="N23" s="20"/>
      <c r="O23" s="10"/>
      <c r="P23" s="10"/>
      <c r="Q23" s="10"/>
      <c r="R23" s="10"/>
      <c r="S23" s="20"/>
      <c r="T23" s="20"/>
      <c r="U23" s="20"/>
      <c r="V23" s="10"/>
      <c r="W23" s="10"/>
      <c r="X23" s="10"/>
      <c r="Y23" s="10"/>
      <c r="Z23" s="20"/>
      <c r="AA23" s="20"/>
      <c r="AB23" s="20">
        <v>4.5</v>
      </c>
      <c r="AC23" s="10"/>
      <c r="AD23" s="10">
        <v>0.5</v>
      </c>
      <c r="AE23" s="10"/>
      <c r="AF23" s="10">
        <v>0.5</v>
      </c>
      <c r="AG23" s="20"/>
      <c r="AH23" s="20"/>
      <c r="AI23" s="20">
        <v>4.5</v>
      </c>
      <c r="AJ23" s="25"/>
      <c r="AK23" s="10">
        <v>0.8</v>
      </c>
      <c r="AL23" s="25"/>
      <c r="AM23" s="10">
        <v>0.8</v>
      </c>
      <c r="AN23" s="20"/>
      <c r="AO23" s="20"/>
      <c r="AP23" s="20">
        <v>4.5</v>
      </c>
      <c r="AQ23" s="25"/>
      <c r="AR23" s="10">
        <v>1</v>
      </c>
      <c r="AS23" s="25"/>
      <c r="AT23" s="10">
        <v>1</v>
      </c>
      <c r="AU23" s="20"/>
      <c r="AV23" s="20"/>
      <c r="AW23" s="20"/>
      <c r="AX23" s="25"/>
      <c r="AY23" s="10">
        <v>1</v>
      </c>
      <c r="AZ23" s="25"/>
      <c r="BA23" s="10">
        <v>1</v>
      </c>
      <c r="BB23" s="20"/>
      <c r="BC23" s="20"/>
      <c r="BD23" s="20"/>
      <c r="BE23" s="23"/>
      <c r="BF23" s="23"/>
      <c r="BG23" s="23"/>
      <c r="BH23" s="23"/>
      <c r="BI23" s="20"/>
      <c r="BJ23" s="20"/>
      <c r="BK23" s="20"/>
      <c r="BL23" s="23"/>
      <c r="BM23" s="23"/>
      <c r="BN23" s="23"/>
      <c r="BO23" s="23"/>
      <c r="BP23" s="20"/>
      <c r="BQ23" s="20"/>
      <c r="BR23" s="20"/>
      <c r="BS23" s="23"/>
      <c r="BT23" s="23"/>
      <c r="BU23" s="23"/>
      <c r="BV23" s="23"/>
      <c r="BW23" s="20"/>
    </row>
    <row r="24" spans="2:75" outlineLevel="1">
      <c r="B24" s="20" t="s">
        <v>28</v>
      </c>
      <c r="C24" t="s">
        <v>94</v>
      </c>
      <c r="D24" s="21">
        <v>45260</v>
      </c>
      <c r="E24" s="22"/>
      <c r="F24" s="20" t="s">
        <v>104</v>
      </c>
      <c r="G24" s="10">
        <v>0.08</v>
      </c>
      <c r="H24" s="20"/>
      <c r="I24" s="22">
        <v>0</v>
      </c>
      <c r="J24" s="24">
        <v>0</v>
      </c>
      <c r="K24" s="24">
        <v>0</v>
      </c>
      <c r="L24" s="22"/>
      <c r="M24" s="20"/>
      <c r="N24" s="20"/>
      <c r="O24" s="10"/>
      <c r="P24" s="10"/>
      <c r="Q24" s="10"/>
      <c r="R24" s="10"/>
      <c r="S24" s="20"/>
      <c r="T24" s="20"/>
      <c r="U24" s="20"/>
      <c r="V24" s="10"/>
      <c r="W24" s="10"/>
      <c r="X24" s="10"/>
      <c r="Y24" s="10"/>
      <c r="Z24" s="20"/>
      <c r="AA24" s="20"/>
      <c r="AB24" s="20">
        <v>4.5</v>
      </c>
      <c r="AC24" s="10"/>
      <c r="AD24" s="10">
        <v>0.5</v>
      </c>
      <c r="AE24" s="10"/>
      <c r="AF24" s="10">
        <v>0.5</v>
      </c>
      <c r="AG24" s="20"/>
      <c r="AH24" s="20"/>
      <c r="AI24" s="20"/>
      <c r="AJ24" s="25"/>
      <c r="AK24" s="10">
        <v>0.5</v>
      </c>
      <c r="AL24" s="25"/>
      <c r="AM24" s="10">
        <v>0.5</v>
      </c>
      <c r="AN24" s="20"/>
      <c r="AO24" s="20"/>
      <c r="AP24" s="20">
        <v>9</v>
      </c>
      <c r="AQ24" s="25"/>
      <c r="AR24" s="10">
        <v>1</v>
      </c>
      <c r="AS24" s="25"/>
      <c r="AT24" s="10">
        <v>1</v>
      </c>
      <c r="AU24" s="20"/>
      <c r="AV24" s="20"/>
      <c r="AW24" s="20"/>
      <c r="AX24" s="25"/>
      <c r="AY24" s="10">
        <v>1</v>
      </c>
      <c r="AZ24" s="25"/>
      <c r="BA24" s="10">
        <v>1</v>
      </c>
      <c r="BB24" s="20"/>
      <c r="BC24" s="20"/>
      <c r="BD24" s="20"/>
      <c r="BE24" s="23"/>
      <c r="BF24" s="23"/>
      <c r="BG24" s="23"/>
      <c r="BH24" s="23"/>
      <c r="BI24" s="20"/>
      <c r="BJ24" s="20"/>
      <c r="BK24" s="20"/>
      <c r="BL24" s="23"/>
      <c r="BM24" s="23"/>
      <c r="BN24" s="23"/>
      <c r="BO24" s="23"/>
      <c r="BP24" s="20"/>
      <c r="BQ24" s="20"/>
      <c r="BR24" s="20"/>
      <c r="BS24" s="23"/>
      <c r="BT24" s="23"/>
      <c r="BU24" s="23"/>
      <c r="BV24" s="23"/>
      <c r="BW24" s="20"/>
    </row>
    <row r="25" spans="2:75" outlineLevel="1">
      <c r="B25" s="20" t="s">
        <v>28</v>
      </c>
      <c r="C25" t="s">
        <v>94</v>
      </c>
      <c r="D25" s="21">
        <v>45260</v>
      </c>
      <c r="E25" s="22"/>
      <c r="F25" s="20" t="s">
        <v>105</v>
      </c>
      <c r="G25" s="10">
        <v>0.08</v>
      </c>
      <c r="H25" s="20"/>
      <c r="I25" s="22">
        <v>0</v>
      </c>
      <c r="J25" s="24">
        <v>0</v>
      </c>
      <c r="K25" s="24">
        <v>0</v>
      </c>
      <c r="L25" s="22"/>
      <c r="M25" s="20"/>
      <c r="N25" s="20"/>
      <c r="O25" s="10"/>
      <c r="P25" s="10"/>
      <c r="Q25" s="10"/>
      <c r="R25" s="10"/>
      <c r="S25" s="20"/>
      <c r="T25" s="20"/>
      <c r="U25" s="20"/>
      <c r="V25" s="10"/>
      <c r="W25" s="10"/>
      <c r="X25" s="10"/>
      <c r="Y25" s="10"/>
      <c r="Z25" s="20"/>
      <c r="AA25" s="20"/>
      <c r="AB25" s="20"/>
      <c r="AC25" s="10"/>
      <c r="AD25" s="10"/>
      <c r="AE25" s="10"/>
      <c r="AF25" s="10"/>
      <c r="AG25" s="20"/>
      <c r="AH25" s="20"/>
      <c r="AI25" s="20">
        <v>4.5</v>
      </c>
      <c r="AJ25" s="25"/>
      <c r="AK25" s="10">
        <v>0.5</v>
      </c>
      <c r="AL25" s="25"/>
      <c r="AM25" s="10">
        <v>0.5</v>
      </c>
      <c r="AN25" s="20"/>
      <c r="AO25" s="20"/>
      <c r="AP25" s="20">
        <v>9</v>
      </c>
      <c r="AQ25" s="25"/>
      <c r="AR25" s="10">
        <v>1</v>
      </c>
      <c r="AS25" s="25"/>
      <c r="AT25" s="10">
        <v>1</v>
      </c>
      <c r="AU25" s="20"/>
      <c r="AV25" s="20"/>
      <c r="AW25" s="20"/>
      <c r="AX25" s="25"/>
      <c r="AY25" s="10">
        <v>1</v>
      </c>
      <c r="AZ25" s="25"/>
      <c r="BA25" s="10">
        <v>1</v>
      </c>
      <c r="BB25" s="20"/>
      <c r="BC25" s="20"/>
      <c r="BD25" s="20"/>
      <c r="BE25" s="23"/>
      <c r="BF25" s="23"/>
      <c r="BG25" s="23"/>
      <c r="BH25" s="23"/>
      <c r="BI25" s="20"/>
      <c r="BJ25" s="20"/>
      <c r="BK25" s="20"/>
      <c r="BL25" s="23"/>
      <c r="BM25" s="23"/>
      <c r="BN25" s="23"/>
      <c r="BO25" s="23"/>
      <c r="BP25" s="20"/>
      <c r="BQ25" s="20"/>
      <c r="BR25" s="20"/>
      <c r="BS25" s="23"/>
      <c r="BT25" s="23"/>
      <c r="BU25" s="23"/>
      <c r="BV25" s="23"/>
      <c r="BW25" s="20"/>
    </row>
    <row r="26" spans="2:75">
      <c r="Q26" t="s">
        <v>115</v>
      </c>
      <c r="R26">
        <v>3</v>
      </c>
      <c r="X26" t="s">
        <v>115</v>
      </c>
      <c r="Y26">
        <v>8</v>
      </c>
      <c r="AE26" t="s">
        <v>115</v>
      </c>
      <c r="AF26">
        <v>8</v>
      </c>
      <c r="AL26" t="s">
        <v>115</v>
      </c>
      <c r="AM26">
        <v>8</v>
      </c>
      <c r="AN26" s="28"/>
      <c r="AS26" t="s">
        <v>115</v>
      </c>
      <c r="AT26">
        <v>9</v>
      </c>
    </row>
    <row r="30" spans="2:75">
      <c r="AN30" s="27"/>
    </row>
  </sheetData>
  <mergeCells count="10">
    <mergeCell ref="BK2:BP2"/>
    <mergeCell ref="BR2:BW2"/>
    <mergeCell ref="AW2:BB2"/>
    <mergeCell ref="BD2:BI2"/>
    <mergeCell ref="I2:L2"/>
    <mergeCell ref="AP2:AU2"/>
    <mergeCell ref="AI2:AN2"/>
    <mergeCell ref="AB2:AG2"/>
    <mergeCell ref="U2:Z2"/>
    <mergeCell ref="N2:S2"/>
  </mergeCells>
  <conditionalFormatting sqref="J5:J12">
    <cfRule type="colorScale" priority="616">
      <colorScale>
        <cfvo type="percent" val="0"/>
        <cfvo type="percent" val="100"/>
        <color rgb="FFFF231B"/>
        <color rgb="FF10FF07"/>
      </colorScale>
    </cfRule>
  </conditionalFormatting>
  <conditionalFormatting sqref="J15">
    <cfRule type="colorScale" priority="164">
      <colorScale>
        <cfvo type="percent" val="0"/>
        <cfvo type="percent" val="100"/>
        <color rgb="FFFF231B"/>
        <color rgb="FF10FF07"/>
      </colorScale>
    </cfRule>
  </conditionalFormatting>
  <conditionalFormatting sqref="J16">
    <cfRule type="colorScale" priority="145">
      <colorScale>
        <cfvo type="percent" val="0"/>
        <cfvo type="percent" val="100"/>
        <color rgb="FFFF231B"/>
        <color rgb="FF10FF07"/>
      </colorScale>
    </cfRule>
  </conditionalFormatting>
  <conditionalFormatting sqref="J17:J21 J14">
    <cfRule type="colorScale" priority="398">
      <colorScale>
        <cfvo type="percent" val="0"/>
        <cfvo type="percent" val="100"/>
        <color rgb="FFFF231B"/>
        <color rgb="FF10FF07"/>
      </colorScale>
    </cfRule>
  </conditionalFormatting>
  <conditionalFormatting sqref="J6:K10">
    <cfRule type="colorScale" priority="587">
      <colorScale>
        <cfvo type="percent" val="0"/>
        <cfvo type="percent" val="100"/>
        <color rgb="FFFF231B"/>
        <color rgb="FF10FF07"/>
      </colorScale>
    </cfRule>
  </conditionalFormatting>
  <conditionalFormatting sqref="J11:K12">
    <cfRule type="colorScale" priority="19">
      <colorScale>
        <cfvo type="percent" val="0"/>
        <cfvo type="percent" val="100"/>
        <color rgb="FFFF231B"/>
        <color rgb="FF10FF07"/>
      </colorScale>
    </cfRule>
  </conditionalFormatting>
  <conditionalFormatting sqref="J15:K15">
    <cfRule type="colorScale" priority="165">
      <colorScale>
        <cfvo type="percent" val="0"/>
        <cfvo type="percent" val="100"/>
        <color rgb="FFFF231B"/>
        <color rgb="FF10FF07"/>
      </colorScale>
    </cfRule>
  </conditionalFormatting>
  <conditionalFormatting sqref="J16:K16">
    <cfRule type="colorScale" priority="146">
      <colorScale>
        <cfvo type="percent" val="0"/>
        <cfvo type="percent" val="100"/>
        <color rgb="FFFF231B"/>
        <color rgb="FF10FF07"/>
      </colorScale>
    </cfRule>
  </conditionalFormatting>
  <conditionalFormatting sqref="J17:K21">
    <cfRule type="colorScale" priority="399">
      <colorScale>
        <cfvo type="percent" val="0"/>
        <cfvo type="percent" val="100"/>
        <color rgb="FFFF231B"/>
        <color rgb="FF10FF07"/>
      </colorScale>
    </cfRule>
  </conditionalFormatting>
  <conditionalFormatting sqref="K5:K12">
    <cfRule type="colorScale" priority="617">
      <colorScale>
        <cfvo type="percent" val="0"/>
        <cfvo type="percent" val="100"/>
        <color rgb="FFFF231B"/>
        <color rgb="FF10FF07"/>
      </colorScale>
    </cfRule>
  </conditionalFormatting>
  <conditionalFormatting sqref="K15">
    <cfRule type="colorScale" priority="163">
      <colorScale>
        <cfvo type="percent" val="0"/>
        <cfvo type="percent" val="100"/>
        <color rgb="FFFF231B"/>
        <color rgb="FF10FF07"/>
      </colorScale>
    </cfRule>
  </conditionalFormatting>
  <conditionalFormatting sqref="K16">
    <cfRule type="colorScale" priority="144">
      <colorScale>
        <cfvo type="percent" val="0"/>
        <cfvo type="percent" val="100"/>
        <color rgb="FFFF231B"/>
        <color rgb="FF10FF07"/>
      </colorScale>
    </cfRule>
  </conditionalFormatting>
  <conditionalFormatting sqref="K17:K21 K14">
    <cfRule type="colorScale" priority="397">
      <colorScale>
        <cfvo type="percent" val="0"/>
        <cfvo type="percent" val="100"/>
        <color rgb="FFFF231B"/>
        <color rgb="FF10FF07"/>
      </colorScale>
    </cfRule>
  </conditionalFormatting>
  <conditionalFormatting sqref="O5:O9 Q5:Q11 X5:X11 AE5:AE11 V5:V12 AC5:AC12 O11:O12">
    <cfRule type="expression" dxfId="51" priority="585">
      <formula>IF(O5&gt;=P5,IF(O5="",FALSE,TRUE))</formula>
    </cfRule>
    <cfRule type="expression" dxfId="50" priority="584">
      <formula>OR(IF(O5&lt;P5,TRUE),IF(AND(P5="",O5&lt;&gt;""),TRUE))</formula>
    </cfRule>
  </conditionalFormatting>
  <conditionalFormatting sqref="O10">
    <cfRule type="expression" dxfId="49" priority="685">
      <formula>IF(O10&gt;=P9,IF(O10="",FALSE,TRUE))</formula>
    </cfRule>
    <cfRule type="expression" dxfId="48" priority="684">
      <formula>OR(IF(O10&lt;P9,TRUE),IF(AND(P9="",O10&lt;&gt;""),TRUE))</formula>
    </cfRule>
  </conditionalFormatting>
  <conditionalFormatting sqref="O14:O25 Q14:Q25">
    <cfRule type="expression" dxfId="47" priority="149">
      <formula>OR(IF(O14&lt;P14,TRUE),IF(AND(P14="",O14&lt;&gt;""),TRUE))</formula>
    </cfRule>
    <cfRule type="expression" dxfId="46" priority="150">
      <formula>IF(O14&gt;=P14,IF(O14="",FALSE,TRUE))</formula>
    </cfRule>
  </conditionalFormatting>
  <conditionalFormatting sqref="V14:V25 X14:X25">
    <cfRule type="expression" dxfId="45" priority="148">
      <formula>IF(V14&gt;=W14,IF(V14="",FALSE,TRUE))</formula>
    </cfRule>
    <cfRule type="expression" dxfId="44" priority="147">
      <formula>OR(IF(V14&lt;W14,TRUE),IF(AND(W14="",V14&lt;&gt;""),TRUE))</formula>
    </cfRule>
  </conditionalFormatting>
  <conditionalFormatting sqref="AC14:AC25 AE14:AE25">
    <cfRule type="expression" dxfId="43" priority="143">
      <formula>IF(AC14&gt;=AD14,IF(AC14="",FALSE,TRUE))</formula>
    </cfRule>
    <cfRule type="expression" dxfId="42" priority="142">
      <formula>OR(IF(AC14&lt;AD14,TRUE),IF(AND(AD14="",AC14&lt;&gt;""),TRUE))</formula>
    </cfRule>
  </conditionalFormatting>
  <conditionalFormatting sqref="AJ5:AJ12">
    <cfRule type="expression" dxfId="41" priority="11">
      <formula>OR(IF(AJ5&lt;AK5,TRUE),IF(AND(AK5="",AJ5&lt;&gt;""),TRUE))</formula>
    </cfRule>
    <cfRule type="expression" dxfId="40" priority="12">
      <formula>IF(AJ5&gt;=AK5,IF(AJ5="",FALSE,TRUE))</formula>
    </cfRule>
  </conditionalFormatting>
  <conditionalFormatting sqref="AJ14:AJ21 AL14:AL21">
    <cfRule type="expression" dxfId="39" priority="10">
      <formula>IF(AJ14&gt;=AK14,IF(AJ14="",FALSE,TRUE))</formula>
    </cfRule>
    <cfRule type="expression" dxfId="38" priority="9">
      <formula>OR(IF(AJ14&lt;AK14,TRUE),IF(AND(AK14="",AJ14&lt;&gt;""),TRUE))</formula>
    </cfRule>
  </conditionalFormatting>
  <conditionalFormatting sqref="AL5:AL11">
    <cfRule type="expression" dxfId="37" priority="8">
      <formula>IF(AL5&gt;=AM5,IF(AL5="",FALSE,TRUE))</formula>
    </cfRule>
    <cfRule type="expression" dxfId="36" priority="7">
      <formula>OR(IF(AL5&lt;AM5,TRUE),IF(AND(AM5="",AL5&lt;&gt;""),TRUE))</formula>
    </cfRule>
  </conditionalFormatting>
  <conditionalFormatting sqref="AQ5:AQ12">
    <cfRule type="expression" dxfId="35" priority="6">
      <formula>IF(AQ5&gt;=AR5,IF(AQ5="",FALSE,TRUE))</formula>
    </cfRule>
    <cfRule type="expression" dxfId="34" priority="5">
      <formula>OR(IF(AQ5&lt;AR5,TRUE),IF(AND(AR5="",AQ5&lt;&gt;""),TRUE))</formula>
    </cfRule>
  </conditionalFormatting>
  <conditionalFormatting sqref="AQ14:AQ21 AS14:AS21">
    <cfRule type="expression" dxfId="33" priority="4">
      <formula>IF(AQ14&gt;=AR14,IF(AQ14="",FALSE,TRUE))</formula>
    </cfRule>
    <cfRule type="expression" dxfId="32" priority="3">
      <formula>OR(IF(AQ14&lt;AR14,TRUE),IF(AND(AR14="",AQ14&lt;&gt;""),TRUE))</formula>
    </cfRule>
  </conditionalFormatting>
  <conditionalFormatting sqref="AS5:AS11">
    <cfRule type="expression" dxfId="31" priority="2">
      <formula>IF(AS5&gt;=AT5,IF(AS5="",FALSE,TRUE))</formula>
    </cfRule>
    <cfRule type="expression" dxfId="30" priority="1">
      <formula>OR(IF(AS5&lt;AT5,TRUE),IF(AND(AT5="",AS5&lt;&gt;""),TRUE))</formula>
    </cfRule>
  </conditionalFormatting>
  <conditionalFormatting sqref="AX5:AX12">
    <cfRule type="expression" dxfId="29" priority="18">
      <formula>IF(AX5&gt;=AY5,IF(AX5="",FALSE,TRUE))</formula>
    </cfRule>
    <cfRule type="expression" dxfId="28" priority="17">
      <formula>OR(IF(AX5&lt;AY5,TRUE),IF(AND(AY5="",AX5&lt;&gt;""),TRUE))</formula>
    </cfRule>
  </conditionalFormatting>
  <conditionalFormatting sqref="AX14:AX21 AZ14:AZ21">
    <cfRule type="expression" dxfId="27" priority="16">
      <formula>IF(AX14&gt;=AY14,IF(AX14="",FALSE,TRUE))</formula>
    </cfRule>
    <cfRule type="expression" dxfId="26" priority="15">
      <formula>OR(IF(AX14&lt;AY14,TRUE),IF(AND(AY14="",AX14&lt;&gt;""),TRUE))</formula>
    </cfRule>
  </conditionalFormatting>
  <conditionalFormatting sqref="AZ5:AZ12">
    <cfRule type="expression" dxfId="25" priority="14">
      <formula>IF(AZ5&gt;=BA5,IF(AZ5="",FALSE,TRUE))</formula>
    </cfRule>
    <cfRule type="expression" dxfId="24" priority="13">
      <formula>OR(IF(AZ5&lt;BA5,TRUE),IF(AND(BA5="",AZ5&lt;&gt;""),TRUE))</formula>
    </cfRule>
  </conditionalFormatting>
  <conditionalFormatting sqref="BE5:BE12 BG5:BG12">
    <cfRule type="expression" dxfId="23" priority="80">
      <formula>OR(IF(BE5&lt;BF5,TRUE),IF(AND(BF5="",BE5&lt;&gt;""),TRUE))</formula>
    </cfRule>
    <cfRule type="expression" dxfId="22" priority="81">
      <formula>IF(BE5&gt;=BF5,IF(BE5="",FALSE,TRUE))</formula>
    </cfRule>
  </conditionalFormatting>
  <conditionalFormatting sqref="BE14:BE21 BG14:BG21">
    <cfRule type="expression" dxfId="21" priority="62">
      <formula>OR(IF(BE14&lt;BF14,TRUE),IF(AND(BF14="",BE14&lt;&gt;""),TRUE))</formula>
    </cfRule>
    <cfRule type="expression" dxfId="20" priority="63">
      <formula>IF(BE14&gt;=BF14,IF(BE14="",FALSE,TRUE))</formula>
    </cfRule>
  </conditionalFormatting>
  <conditionalFormatting sqref="BL5:BL12 BN5:BN12">
    <cfRule type="expression" dxfId="19" priority="61">
      <formula>IF(BL5&gt;=BM5,IF(BL5="",FALSE,TRUE))</formula>
    </cfRule>
    <cfRule type="expression" dxfId="18" priority="60">
      <formula>OR(IF(BL5&lt;BM5,TRUE),IF(AND(BM5="",BL5&lt;&gt;""),TRUE))</formula>
    </cfRule>
  </conditionalFormatting>
  <conditionalFormatting sqref="BL14:BL21 BN14:BN21">
    <cfRule type="expression" dxfId="17" priority="43">
      <formula>IF(BL14&gt;=BM14,IF(BL14="",FALSE,TRUE))</formula>
    </cfRule>
    <cfRule type="expression" dxfId="16" priority="42">
      <formula>OR(IF(BL14&lt;BM14,TRUE),IF(AND(BM14="",BL14&lt;&gt;""),TRUE))</formula>
    </cfRule>
  </conditionalFormatting>
  <conditionalFormatting sqref="BS5:BS12 BU5:BU12">
    <cfRule type="expression" dxfId="15" priority="41">
      <formula>IF(BS5&gt;=BT5,IF(BS5="",FALSE,TRUE))</formula>
    </cfRule>
    <cfRule type="expression" dxfId="14" priority="40">
      <formula>OR(IF(BS5&lt;BT5,TRUE),IF(AND(BT5="",BS5&lt;&gt;""),TRUE))</formula>
    </cfRule>
  </conditionalFormatting>
  <conditionalFormatting sqref="BS14:BS21 BU14:BU21">
    <cfRule type="expression" dxfId="13" priority="22">
      <formula>OR(IF(BS14&lt;BT14,TRUE),IF(AND(BT14="",BS14&lt;&gt;""),TRUE))</formula>
    </cfRule>
    <cfRule type="expression" dxfId="12" priority="23">
      <formula>IF(BS14&gt;=BT14,IF(BS14="",FALSE,TRUE))</formula>
    </cfRule>
  </conditionalFormatting>
  <dataValidations count="1">
    <dataValidation type="list" allowBlank="1" showInputMessage="1" showErrorMessage="1" sqref="AY14:AY25 BS14:BV21 BL14:BO21 BE14:BH21 AZ14:AZ21 AX14:AX21 O10:O12 O14:R25 BE5:BH12 BL5:BO12 BS5:BV12 AL14:AL21 AM14:AM25 AJ14:AJ21 BA14:BA25 Q5:R11 AX5:BA12 AC14:AF25 AS5:AT11 AL5:AM11 P5:P12 AR14:AR25 AS14:AS21 AQ14:AQ21 AT14:AT25 AJ5:AK12 AD12 AD5:AF11 X5:Y11 AK14:AK25 AQ5:AR12 V5:W12 O5:O8 AC5:AC12 V14:Y25" xr:uid="{DF46768B-76BD-4AD1-BDD9-05E5E50A35C8}">
      <formula1>"10%,20%,30%,40%,50%,60%,70%,80%,90%,100%"</formula1>
    </dataValidation>
  </dataValidations>
  <hyperlinks>
    <hyperlink ref="C13" r:id="rId1" display="https://canvas.wu.ac.at/courses/3439" xr:uid="{5D282DD7-B2C3-E742-A491-C6634C2B1747}"/>
    <hyperlink ref="C14:C21" r:id="rId2" display="https://canvas.wu.ac.at/courses/3439" xr:uid="{8ECDF347-903F-4449-B2F2-1913E406F173}"/>
    <hyperlink ref="C22" r:id="rId3" display="https://canvas.wu.ac.at/courses/3439" xr:uid="{C536576E-097F-8448-A59A-E82AE2494A94}"/>
    <hyperlink ref="C23" r:id="rId4" display="https://canvas.wu.ac.at/courses/3439" xr:uid="{09F7940C-FD76-0148-A8E1-774B59962851}"/>
    <hyperlink ref="C24" r:id="rId5" display="https://canvas.wu.ac.at/courses/3439" xr:uid="{1EE5044A-6970-B94B-8AC9-784B968C4E4B}"/>
    <hyperlink ref="C25" r:id="rId6" display="https://canvas.wu.ac.at/courses/3439" xr:uid="{98C53276-16C3-6C42-B9DD-A807A0F0D718}"/>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zoomScale="85" zoomScaleNormal="85" workbookViewId="0">
      <selection activeCell="B19" sqref="B19"/>
    </sheetView>
  </sheetViews>
  <sheetFormatPr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36</v>
      </c>
    </row>
    <row r="12" spans="2:2">
      <c r="B12" s="2" t="s">
        <v>17</v>
      </c>
    </row>
    <row r="13" spans="2:2" ht="156">
      <c r="B13" s="1" t="s">
        <v>18</v>
      </c>
    </row>
    <row r="15" spans="2:2">
      <c r="B15" s="2" t="s">
        <v>19</v>
      </c>
    </row>
    <row r="16" spans="2:2" ht="109.2">
      <c r="B16" s="1" t="s">
        <v>20</v>
      </c>
    </row>
    <row r="17" spans="2:2">
      <c r="B17" s="1"/>
    </row>
    <row r="18" spans="2:2">
      <c r="B18" s="2" t="s">
        <v>35</v>
      </c>
    </row>
    <row r="19" spans="2:2" ht="140.4">
      <c r="B19" s="1" t="s">
        <v>37</v>
      </c>
    </row>
    <row r="21" spans="2:2">
      <c r="B21" s="2" t="s">
        <v>21</v>
      </c>
    </row>
    <row r="22" spans="2:2" ht="124.8">
      <c r="B22" s="1" t="s">
        <v>38</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F2" sqref="F2"/>
    </sheetView>
  </sheetViews>
  <sheetFormatPr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7" zoomScale="117" workbookViewId="0">
      <selection activeCell="C8" sqref="C8"/>
    </sheetView>
  </sheetViews>
  <sheetFormatPr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Tim Brandl</cp:lastModifiedBy>
  <dcterms:created xsi:type="dcterms:W3CDTF">2020-04-19T13:33:28Z</dcterms:created>
  <dcterms:modified xsi:type="dcterms:W3CDTF">2023-10-19T20:32:37Z</dcterms:modified>
</cp:coreProperties>
</file>