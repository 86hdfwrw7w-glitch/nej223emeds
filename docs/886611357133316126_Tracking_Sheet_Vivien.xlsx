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8"/>
  <workbookPr defaultThemeVersion="166925"/>
  <mc:AlternateContent xmlns:mc="http://schemas.openxmlformats.org/markup-compatibility/2006">
    <mc:Choice Requires="x15">
      <x15ac:absPath xmlns:x15ac="http://schemas.microsoft.com/office/spreadsheetml/2010/11/ac" url="/Users/vivienheung/Desktop/"/>
    </mc:Choice>
  </mc:AlternateContent>
  <xr:revisionPtr revIDLastSave="0" documentId="8_{36E12D54-8124-4549-A32A-4F28ECA514D6}" xr6:coauthVersionLast="47" xr6:coauthVersionMax="47" xr10:uidLastSave="{00000000-0000-0000-0000-000000000000}"/>
  <bookViews>
    <workbookView xWindow="0" yWindow="500" windowWidth="28800" windowHeight="16100" activeTab="2" xr2:uid="{50F29292-BE80-0C47-A0D2-DD086CB3D310}"/>
  </bookViews>
  <sheets>
    <sheet name="Anleitung" sheetId="2" r:id="rId1"/>
    <sheet name="Tabelle1" sheetId="10" r:id="rId2"/>
    <sheet name="Semesterplan" sheetId="7" r:id="rId3"/>
    <sheet name="COMMITTMENT" sheetId="9" r:id="rId4"/>
    <sheet name="Wochenplan KW 19" sheetId="3" r:id="rId5"/>
    <sheet name="Wochenplan KW 20"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I18" i="7" l="1"/>
  <c r="AB18" i="7"/>
  <c r="AW32" i="7" l="1"/>
  <c r="BD32" i="7"/>
  <c r="BK32" i="7"/>
  <c r="BR32" i="7"/>
  <c r="BY32" i="7"/>
  <c r="CF32" i="7"/>
  <c r="CM32" i="7"/>
  <c r="CT32" i="7"/>
  <c r="DA32" i="7"/>
  <c r="DH32" i="7"/>
  <c r="DO32" i="7"/>
  <c r="DV32" i="7"/>
  <c r="K30" i="7" a="1"/>
  <c r="K30" i="7" s="1"/>
  <c r="J30" i="7" a="1"/>
  <c r="J30" i="7" s="1"/>
  <c r="I30" i="7"/>
  <c r="K29" i="7" a="1"/>
  <c r="K29" i="7" s="1"/>
  <c r="J29" i="7" a="1"/>
  <c r="J29" i="7" s="1"/>
  <c r="I29" i="7"/>
  <c r="K28" i="7" a="1"/>
  <c r="K28" i="7" s="1"/>
  <c r="J28" i="7" a="1"/>
  <c r="J28" i="7" s="1"/>
  <c r="I28" i="7"/>
  <c r="K27" i="7" a="1"/>
  <c r="K27" i="7" s="1"/>
  <c r="J27" i="7" a="1"/>
  <c r="J27" i="7" s="1"/>
  <c r="I27" i="7"/>
  <c r="K26" i="7" a="1"/>
  <c r="K26" i="7" s="1"/>
  <c r="J26" i="7" a="1"/>
  <c r="J26" i="7" s="1"/>
  <c r="I26" i="7"/>
  <c r="K25" i="7" a="1"/>
  <c r="K25" i="7" s="1"/>
  <c r="J25" i="7" a="1"/>
  <c r="J25" i="7" s="1"/>
  <c r="I25" i="7"/>
  <c r="EC18" i="7"/>
  <c r="DV18" i="7"/>
  <c r="DO18" i="7"/>
  <c r="DH18" i="7"/>
  <c r="DA18" i="7"/>
  <c r="CT18" i="7"/>
  <c r="CM18" i="7"/>
  <c r="CF18" i="7"/>
  <c r="BY18" i="7"/>
  <c r="BR18" i="7"/>
  <c r="BK18" i="7"/>
  <c r="BD18" i="7"/>
  <c r="AW18" i="7"/>
  <c r="AP18" i="7"/>
  <c r="EC32" i="7" l="1"/>
  <c r="EC4" i="7"/>
  <c r="I38" i="7"/>
  <c r="J38" i="7" a="1"/>
  <c r="J38" i="7" s="1"/>
  <c r="K38" i="7" a="1"/>
  <c r="K38" i="7" s="1"/>
  <c r="DV4" i="7" l="1"/>
  <c r="DO4" i="7"/>
  <c r="DH4" i="7"/>
  <c r="DA4" i="7"/>
  <c r="CT4" i="7"/>
  <c r="CM4" i="7"/>
  <c r="CF4" i="7"/>
  <c r="BY4" i="7"/>
  <c r="BR4" i="7"/>
  <c r="BK4" i="7"/>
  <c r="G32" i="7"/>
  <c r="G18" i="7"/>
  <c r="N32" i="7"/>
  <c r="U32" i="7"/>
  <c r="AB32" i="7"/>
  <c r="AI32" i="7"/>
  <c r="AP32" i="7"/>
  <c r="I33" i="7"/>
  <c r="J33" i="7" a="1"/>
  <c r="J33" i="7" s="1"/>
  <c r="K33" i="7" a="1"/>
  <c r="K33" i="7" s="1"/>
  <c r="I34" i="7"/>
  <c r="J34" i="7" a="1"/>
  <c r="J34" i="7" s="1"/>
  <c r="K34" i="7" a="1"/>
  <c r="K34" i="7" s="1"/>
  <c r="I35" i="7"/>
  <c r="J35" i="7" a="1"/>
  <c r="J35" i="7" s="1"/>
  <c r="K35" i="7" a="1"/>
  <c r="K35" i="7" s="1"/>
  <c r="I36" i="7"/>
  <c r="J36" i="7" a="1"/>
  <c r="J36" i="7" s="1"/>
  <c r="K36" i="7" a="1"/>
  <c r="K36" i="7" s="1"/>
  <c r="K24" i="7" a="1"/>
  <c r="K24" i="7" s="1"/>
  <c r="J24" i="7" a="1"/>
  <c r="J24" i="7" s="1"/>
  <c r="K23" i="7" a="1"/>
  <c r="K23" i="7" s="1"/>
  <c r="J23" i="7" a="1"/>
  <c r="J23" i="7" s="1"/>
  <c r="K22" i="7" a="1"/>
  <c r="K22" i="7" s="1"/>
  <c r="J22" i="7" a="1"/>
  <c r="J22" i="7" s="1"/>
  <c r="K21" i="7" a="1"/>
  <c r="K21" i="7" s="1"/>
  <c r="J21" i="7" a="1"/>
  <c r="J21" i="7" s="1"/>
  <c r="K20" i="7" a="1"/>
  <c r="K20" i="7" s="1"/>
  <c r="J20" i="7" a="1"/>
  <c r="J20" i="7" s="1"/>
  <c r="K19" i="7" a="1"/>
  <c r="K19" i="7" s="1"/>
  <c r="J19" i="7" a="1"/>
  <c r="J19" i="7" s="1"/>
  <c r="K37" i="7" a="1"/>
  <c r="K37" i="7" s="1"/>
  <c r="J37" i="7" a="1"/>
  <c r="J37" i="7" s="1"/>
  <c r="K16" i="7" a="1"/>
  <c r="K16" i="7" s="1"/>
  <c r="J16" i="7" a="1"/>
  <c r="J16" i="7" s="1"/>
  <c r="K15" i="7" a="1"/>
  <c r="K15" i="7" s="1"/>
  <c r="J15" i="7" a="1"/>
  <c r="J15" i="7" s="1"/>
  <c r="K14" i="7" a="1"/>
  <c r="K14" i="7" s="1"/>
  <c r="J14" i="7" a="1"/>
  <c r="J14" i="7" s="1"/>
  <c r="K13" i="7" a="1"/>
  <c r="K13" i="7" s="1"/>
  <c r="J13" i="7" a="1"/>
  <c r="J13" i="7" s="1"/>
  <c r="K12" i="7" a="1"/>
  <c r="K12" i="7" s="1"/>
  <c r="J12" i="7" a="1"/>
  <c r="J12" i="7" s="1"/>
  <c r="K11" i="7" a="1"/>
  <c r="K11" i="7" s="1"/>
  <c r="J11" i="7" a="1"/>
  <c r="J11" i="7" s="1"/>
  <c r="K10" i="7" a="1"/>
  <c r="K10" i="7" s="1"/>
  <c r="J10" i="7" a="1"/>
  <c r="J10" i="7" s="1"/>
  <c r="K9" i="7" a="1"/>
  <c r="K9" i="7" s="1"/>
  <c r="J9" i="7" a="1"/>
  <c r="J9" i="7" s="1"/>
  <c r="K8" i="7" a="1"/>
  <c r="K8" i="7" s="1"/>
  <c r="J8" i="7" a="1"/>
  <c r="J8" i="7" s="1"/>
  <c r="K7" i="7" a="1"/>
  <c r="K7" i="7" s="1"/>
  <c r="J7" i="7" a="1"/>
  <c r="J7" i="7" s="1"/>
  <c r="K6" i="7" a="1"/>
  <c r="K6" i="7" s="1"/>
  <c r="J6" i="7" a="1"/>
  <c r="J6" i="7" s="1"/>
  <c r="K5" i="7" a="1"/>
  <c r="K5" i="7" s="1"/>
  <c r="J5" i="7" a="1"/>
  <c r="J5" i="7" s="1"/>
  <c r="U18" i="7"/>
  <c r="BD4" i="7"/>
  <c r="AW4" i="7"/>
  <c r="AP4" i="7"/>
  <c r="AI4" i="7"/>
  <c r="AB4" i="7"/>
  <c r="U4" i="7"/>
  <c r="N4" i="7"/>
  <c r="N18" i="7"/>
  <c r="G4" i="7"/>
  <c r="I37" i="7"/>
  <c r="I24" i="7"/>
  <c r="I23" i="7"/>
  <c r="I22" i="7"/>
  <c r="I21" i="7"/>
  <c r="I20" i="7"/>
  <c r="I19" i="7"/>
  <c r="I16" i="7"/>
  <c r="I6" i="7"/>
  <c r="I7" i="7"/>
  <c r="I8" i="7"/>
  <c r="I9" i="7"/>
  <c r="I10" i="7"/>
  <c r="I11" i="7"/>
  <c r="I12" i="7"/>
  <c r="I13" i="7"/>
  <c r="I14" i="7"/>
  <c r="I15" i="7"/>
  <c r="I5" i="7"/>
  <c r="K18" i="7" l="1"/>
  <c r="K32" i="7"/>
  <c r="J32" i="7"/>
  <c r="J18" i="7"/>
  <c r="I32" i="7"/>
  <c r="I18" i="7"/>
  <c r="K4" i="7"/>
  <c r="I4" i="7" l="1"/>
  <c r="J4"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<sst xmlns="http://schemas.openxmlformats.org/spreadsheetml/2006/main" count="280" uniqueCount="103">
  <si>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</si>
  <si>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</si>
  <si>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</si>
  <si>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</si>
  <si>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</si>
  <si>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</si>
  <si>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</si>
  <si>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</si>
  <si>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</si>
  <si>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</si>
  <si>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</si>
  <si>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</si>
  <si>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</si>
  <si>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</si>
  <si>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</si>
  <si>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</si>
  <si>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</si>
  <si>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</si>
  <si>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</si>
  <si>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</si>
  <si>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</si>
  <si>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</si>
  <si>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</si>
  <si>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</si>
  <si>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</si>
  <si>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</si>
  <si>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</si>
  <si>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</si>
  <si>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</si>
  <si>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</si>
  <si>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1) Einführung</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</si>
  <si>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</si>
  <si>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</si>
  <si>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</si>
  <si>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</si>
  <si>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</si>
  <si>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</si>
  <si>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</si>
  <si>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</si>
  <si>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</si>
  <si>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</si>
  <si>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</si>
  <si>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</si>
  <si>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</si>
  <si>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</si>
  <si>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</si>
  <si>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</si>
  <si>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</si>
  <si>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</si>
  <si>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</si>
  <si>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STATISTIK</t>
  </si>
  <si>
    <t>OSTA</t>
  </si>
  <si>
    <t>MATHEMATIK</t>
  </si>
  <si>
    <t>OMAT</t>
  </si>
  <si>
    <t>BETRIEBLICHES ReWe</t>
  </si>
  <si>
    <t>OBRW</t>
  </si>
  <si>
    <t>2) Beschreibende Methoden univariater Datenanalyse</t>
  </si>
  <si>
    <t>3) Weiterführende Methoden und Zusammenhangsanalysen</t>
  </si>
  <si>
    <t>4) Wahrscheinlichkeitsrechnung</t>
  </si>
  <si>
    <t>5) Zufallsvariablen und Verteilungen</t>
  </si>
  <si>
    <t>6) Verteilungsmodelle</t>
  </si>
  <si>
    <t>7)  Summen &amp; Mittel von Stichprobenvariablen</t>
  </si>
  <si>
    <t>8) Parameterschätzung</t>
  </si>
  <si>
    <t>9)  Konfidenzintervalle</t>
  </si>
  <si>
    <t>10) Statistische Tests</t>
  </si>
  <si>
    <t>11) Weitere spezielle Testprobleme</t>
  </si>
  <si>
    <t>12) Das lineare Regressionsmodell</t>
  </si>
  <si>
    <t>1) Matritzen</t>
  </si>
  <si>
    <t>2) Lineare Glechungssysteme</t>
  </si>
  <si>
    <t>3) Vektoren</t>
  </si>
  <si>
    <t>4) Determinanten</t>
  </si>
  <si>
    <t>5) Inversen</t>
  </si>
  <si>
    <t>6) vollständige Induktion</t>
  </si>
  <si>
    <t>6a) Folgen</t>
  </si>
  <si>
    <t>6b) Reihen</t>
  </si>
  <si>
    <t>7) Reelle Funktionen</t>
  </si>
  <si>
    <t>8) Approximation</t>
  </si>
  <si>
    <t>9) Univariate und MultIvariate (Bivariate) Funktionen</t>
  </si>
  <si>
    <t>10) Optimierung</t>
  </si>
  <si>
    <t>1) Die Bedeutung der Buchführung</t>
  </si>
  <si>
    <t>2) Gesetzliche Anforderungen an die Buchführung</t>
  </si>
  <si>
    <t>3) Grundprinzipien der doppelten Buchführung</t>
  </si>
  <si>
    <t>4) Technik der doppelten Buchführung</t>
  </si>
  <si>
    <t>6) Der handelsrechtliche Jahresabschluss</t>
  </si>
  <si>
    <t>KW 37</t>
  </si>
  <si>
    <t>KW 38</t>
  </si>
  <si>
    <t>KW 39</t>
  </si>
  <si>
    <t>KW 40</t>
  </si>
  <si>
    <t>KW 41</t>
  </si>
  <si>
    <t>KW 42</t>
  </si>
  <si>
    <t>KW 43</t>
  </si>
  <si>
    <t>KW 44</t>
  </si>
  <si>
    <t>KW 45</t>
  </si>
  <si>
    <t>KW 46</t>
  </si>
  <si>
    <t>KW 47</t>
  </si>
  <si>
    <t>KW 48</t>
  </si>
  <si>
    <t>KW 49</t>
  </si>
  <si>
    <t>KW 50</t>
  </si>
  <si>
    <t>KW 51</t>
  </si>
  <si>
    <t>KW 52</t>
  </si>
  <si>
    <t>KW 01</t>
  </si>
  <si>
    <t>KW 02</t>
  </si>
  <si>
    <t>5) Buchungsfälle 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</si>
</sst>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12"/>
      <color theme="9"/>
      <name val="Calibri"/>
      <family val="2"/>
      <scheme val="minor"/>
    </font>
    <font>
      <sz val="12"/>
      <color theme="4"/>
      <name val="Calibri"/>
      <family val="2"/>
      <scheme val="minor"/>
    </font>
    <font>
      <sz val="12"/>
      <color theme="5"/>
      <name val="Calibri"/>
      <family val="2"/>
      <scheme val="minor"/>
    </font>
  </fonts>
  <fills count="4">
    <fill>
      <patternFill patternType="none"/>
    </fill>
    <fill>
      <patternFill patternType="gray125"/>
    </fill>
    <fill>
      <patternFill patternType="solid">
        <fgColor rgb="FFE0E0E0"/>
        <bgColor indexed="64"/>
      </patternFill>
    </fill>
    <fill>
      <patternFill patternType="solid">
        <fgColor rgb="FFFDFF05"/>
        <bgColor indexed="64"/>
      </patternFill>
    </fill>
  </fills>
  <borders count="1">
    <border>
      <left/>
      <right/>
      <top/>
      <bottom/>
      <diagonal/>
    </border>
  </borders>
  <cellStyleXfs count="1">
    <xf numFmtId="0" fontId="0" fillId="0" borderId="0"/>
  </cellStyleXfs>
  <cellXfs count="23">
    <xf numFmtId="0" fontId="0" fillId="0" borderId="0" xfId="0"/>
    <xf numFmtId="0" fontId="0" fillId="0" borderId="0" xfId="0" applyAlignment="1">
      <alignment wrapText="1"/>
    </xf>
    <xf numFmtId="0" fontId="0" fillId="0" borderId="0" xfId="0" applyAlignment="1"/>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0" fontId="0" fillId="0" borderId="0" xfId="0" applyFill="1"/>
    <xf numFmtId="20" fontId="0" fillId="0" borderId="0" xfId="0" applyNumberFormat="1" applyFon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9" fontId="0" fillId="0" borderId="0" xfId="0" applyNumberFormat="1" applyFill="1" applyAlignment="1">
      <alignment horizontal="center"/>
    </xf>
    <xf numFmtId="0" fontId="5" fillId="0" borderId="0" xfId="0" applyFont="1"/>
    <xf numFmtId="0" fontId="6" fillId="0" borderId="0" xfId="0" applyFont="1"/>
    <xf numFmtId="0" fontId="7" fillId="0" borderId="0" xfId="0" applyFont="1"/>
    <xf numFmtId="0" fontId="1" fillId="2" borderId="0" xfId="0" applyFont="1" applyFill="1" applyAlignment="1">
      <alignment horizontal="center"/>
    </xf>
  </cellXfs>
  <cellStyles count="1">
    <cellStyle name="Standard" xfId="0" builtinId="0"/>
  </cellStyles>
  <dxfs count="369">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
      <alignment horizontal="center" vertical="bottom" textRotation="0" wrapText="0" indent="0" justifyLastLine="0" shrinkToFit="0" readingOrder="0"/>
    </dxf>
    <dxf>
      <alignment horizontal="general" vertical="bottom" textRotation="0" wrapText="1" indent="0" justifyLastLine="0" shrinkToFit="0" readingOrder="0"/>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4">
  <autoFilter ref="A1:K46" xr:uid="{6E266E34-2786-2747-BCE7-51B74867A564}"/>
  <tableColumns count="11">
    <tableColumn id="1" xr3:uid="{95FD92F7-3DC8-704D-A103-A7EDDAB255AB}" name="Datum" dataDxfId="3"/>
    <tableColumn id="2" xr3:uid="{F464D510-8166-E740-A343-FB84BDEF877F}" name="Lerneinheiten durchgezogen" dataDxfId="2"/>
    <tableColumn id="3" xr3:uid="{75F52B08-1A00-0848-BBE6-1EDF7B31B1AD}" name="Tagesplan erstellt" dataDxfId="1"/>
    <tableColumn id="4" xr3:uid="{E6B18D89-E799-AD48-9DAA-37AEE1D29011}" name="Konzentrationslevel" dataDxfId="0"/>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C25"/>
  <sheetViews>
    <sheetView workbookViewId="0">
      <selection activeCell="B2" sqref="B2"/>
    </sheetView>
  </sheetViews>
  <sheetFormatPr baseColWidth="10" defaultColWidth="10.6640625" defaultRowHeight="16" x14ac:dyDescent="0.2"/>
  <cols>
    <col min="2" max="2" width="161" customWidth="1"/>
    <col min="3" max="3" width="10.83203125" style="2"/>
  </cols>
  <sheetData>
    <row r="4" spans="2:2" ht="21" x14ac:dyDescent="0.25">
      <c r="B4" s="4" t="s">
        <v>16</v>
      </c>
    </row>
    <row r="6" spans="2:2" x14ac:dyDescent="0.2">
      <c r="B6" s="3" t="s">
        <v>13</v>
      </c>
    </row>
    <row r="7" spans="2:2" ht="51" x14ac:dyDescent="0.2">
      <c r="B7" s="1" t="s">
        <v>14</v>
      </c>
    </row>
    <row r="9" spans="2:2" x14ac:dyDescent="0.2">
      <c r="B9" s="3" t="s">
        <v>15</v>
      </c>
    </row>
    <row r="10" spans="2:2" ht="68" x14ac:dyDescent="0.2">
      <c r="B10" s="1" t="s">
        <v>36</v>
      </c>
    </row>
    <row r="12" spans="2:2" x14ac:dyDescent="0.2">
      <c r="B12" s="3" t="s">
        <v>17</v>
      </c>
    </row>
    <row r="13" spans="2:2" ht="153" x14ac:dyDescent="0.2">
      <c r="B13" s="1" t="s">
        <v>18</v>
      </c>
    </row>
    <row r="15" spans="2:2" x14ac:dyDescent="0.2">
      <c r="B15" s="3" t="s">
        <v>19</v>
      </c>
    </row>
    <row r="16" spans="2:2" ht="119" x14ac:dyDescent="0.2">
      <c r="B16" s="1" t="s">
        <v>20</v>
      </c>
    </row>
    <row r="17" spans="2:2" x14ac:dyDescent="0.2">
      <c r="B17" s="1"/>
    </row>
    <row r="18" spans="2:2" x14ac:dyDescent="0.2">
      <c r="B18" s="3" t="s">
        <v>35</v>
      </c>
    </row>
    <row r="19" spans="2:2" ht="153" x14ac:dyDescent="0.2">
      <c r="B19" s="1" t="s">
        <v>37</v>
      </c>
    </row>
    <row r="21" spans="2:2" x14ac:dyDescent="0.2">
      <c r="B21" s="3" t="s">
        <v>21</v>
      </c>
    </row>
    <row r="22" spans="2:2" ht="136" x14ac:dyDescent="0.2">
      <c r="B22" s="1" t="s">
        <v>38</v>
      </c>
    </row>
    <row r="24" spans="2:2" x14ac:dyDescent="0.2">
      <c r="B24" s="3" t="s">
        <v>22</v>
      </c>
    </row>
    <row r="25" spans="2:2" ht="136" x14ac:dyDescent="0.2">
      <c r="B25" s="1" t="s">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722B3-EBBD-7E48-BE4C-BA5FDE8986F4}">
  <dimension ref="A1"/>
  <sheetViews>
    <sheetView workbookViewId="0"/>
  </sheetViews>
  <sheetFormatPr baseColWidth="10" defaultRowHeight="16" x14ac:dyDescent="0.2"/>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EH46"/>
  <sheetViews>
    <sheetView showGridLines="0" tabSelected="1" zoomScale="83" zoomScaleNormal="83" workbookViewId="0">
      <pane xSplit="7" topLeftCell="AP1" activePane="topRight" state="frozen"/>
      <selection pane="topRight" activeCell="EA33" sqref="EA33"/>
    </sheetView>
  </sheetViews>
  <sheetFormatPr baseColWidth="10" defaultColWidth="8.83203125" defaultRowHeight="16" outlineLevelRow="1" x14ac:dyDescent="0.2"/>
  <cols>
    <col min="3" max="3" width="9.5" bestFit="1" customWidth="1"/>
    <col min="4" max="4" width="13" bestFit="1" customWidth="1"/>
    <col min="5" max="5" width="4.83203125" bestFit="1" customWidth="1"/>
    <col min="6" max="6" width="50" customWidth="1"/>
    <col min="7" max="7" width="15.5" bestFit="1" customWidth="1"/>
    <col min="8" max="8" width="2.5" customWidth="1"/>
    <col min="10" max="10" width="12.5" bestFit="1" customWidth="1"/>
    <col min="11" max="11" width="14.83203125" bestFit="1" customWidth="1"/>
    <col min="12" max="12" width="12.6640625" bestFit="1" customWidth="1"/>
    <col min="13" max="13" width="2.5" customWidth="1"/>
    <col min="15" max="15" width="12.5" bestFit="1" customWidth="1"/>
    <col min="16" max="16" width="6.33203125" customWidth="1"/>
    <col min="17" max="17" width="14.83203125" bestFit="1" customWidth="1"/>
    <col min="18" max="18" width="6" customWidth="1"/>
    <col min="19" max="19" width="12.6640625" bestFit="1" customWidth="1"/>
    <col min="20" max="20" width="2.5" customWidth="1"/>
    <col min="22" max="22" width="12.5" bestFit="1" customWidth="1"/>
    <col min="23" max="23" width="6.33203125" customWidth="1"/>
    <col min="24" max="24" width="14.83203125" bestFit="1" customWidth="1"/>
    <col min="25" max="25" width="6" customWidth="1"/>
    <col min="26" max="26" width="12.6640625" bestFit="1" customWidth="1"/>
    <col min="27" max="27" width="2.5" customWidth="1"/>
    <col min="29" max="29" width="12.5" bestFit="1" customWidth="1"/>
    <col min="30" max="30" width="6.33203125" customWidth="1"/>
    <col min="31" max="31" width="14.83203125" bestFit="1" customWidth="1"/>
    <col min="32" max="32" width="6" customWidth="1"/>
    <col min="33" max="33" width="12.6640625" bestFit="1" customWidth="1"/>
    <col min="34" max="34" width="2.5" customWidth="1"/>
    <col min="36" max="36" width="12.5" bestFit="1" customWidth="1"/>
    <col min="37" max="37" width="6.33203125" customWidth="1"/>
    <col min="38" max="38" width="14.83203125" bestFit="1" customWidth="1"/>
    <col min="39" max="39" width="6" customWidth="1"/>
    <col min="40" max="40" width="12.6640625" bestFit="1" customWidth="1"/>
    <col min="41" max="41" width="2.5" customWidth="1"/>
    <col min="43" max="43" width="12.5" bestFit="1" customWidth="1"/>
    <col min="44" max="44" width="6.33203125" customWidth="1"/>
    <col min="45" max="45" width="14.83203125" bestFit="1" customWidth="1"/>
    <col min="46" max="46" width="6" customWidth="1"/>
    <col min="47" max="47" width="12.6640625" bestFit="1" customWidth="1"/>
    <col min="48" max="48" width="2.5" customWidth="1"/>
    <col min="50" max="50" width="12.5" bestFit="1" customWidth="1"/>
    <col min="51" max="51" width="6.33203125" customWidth="1"/>
    <col min="52" max="52" width="14.83203125" bestFit="1" customWidth="1"/>
    <col min="53" max="53" width="6" customWidth="1"/>
    <col min="54" max="54" width="12.6640625" bestFit="1" customWidth="1"/>
    <col min="55" max="55" width="2.5" customWidth="1"/>
    <col min="57" max="57" width="12.5" bestFit="1" customWidth="1"/>
    <col min="58" max="58" width="6.33203125" customWidth="1"/>
    <col min="59" max="59" width="14.83203125" bestFit="1" customWidth="1"/>
    <col min="60" max="60" width="6" customWidth="1"/>
    <col min="61" max="61" width="12.6640625" bestFit="1" customWidth="1"/>
    <col min="62" max="62" width="2.5" customWidth="1"/>
    <col min="64" max="64" width="12.5" bestFit="1" customWidth="1"/>
    <col min="65" max="65" width="6.33203125" customWidth="1"/>
    <col min="66" max="66" width="14.83203125" bestFit="1" customWidth="1"/>
    <col min="67" max="67" width="6" customWidth="1"/>
    <col min="68" max="68" width="12.6640625" bestFit="1" customWidth="1"/>
    <col min="71" max="71" width="12.5" bestFit="1" customWidth="1"/>
    <col min="72" max="72" width="6.33203125" customWidth="1"/>
    <col min="73" max="73" width="14.83203125" bestFit="1" customWidth="1"/>
    <col min="74" max="74" width="6" customWidth="1"/>
    <col min="75" max="75" width="12.6640625" bestFit="1" customWidth="1"/>
    <col min="78" max="78" width="12.5" bestFit="1" customWidth="1"/>
    <col min="79" max="79" width="6.33203125" customWidth="1"/>
    <col min="80" max="80" width="14.83203125" bestFit="1" customWidth="1"/>
    <col min="81" max="81" width="6" customWidth="1"/>
    <col min="82" max="82" width="12.6640625" bestFit="1" customWidth="1"/>
    <col min="85" max="85" width="12.5" bestFit="1" customWidth="1"/>
    <col min="86" max="86" width="6.33203125" customWidth="1"/>
    <col min="87" max="87" width="14.83203125" bestFit="1" customWidth="1"/>
    <col min="88" max="88" width="6" customWidth="1"/>
    <col min="89" max="89" width="12.6640625" bestFit="1" customWidth="1"/>
    <col min="92" max="92" width="12.5" bestFit="1" customWidth="1"/>
    <col min="93" max="93" width="6.33203125" customWidth="1"/>
    <col min="94" max="94" width="14.83203125" bestFit="1" customWidth="1"/>
    <col min="95" max="95" width="6" customWidth="1"/>
    <col min="96" max="96" width="12.6640625" bestFit="1" customWidth="1"/>
    <col min="99" max="99" width="12.5" bestFit="1" customWidth="1"/>
    <col min="100" max="100" width="6.33203125" customWidth="1"/>
    <col min="101" max="101" width="14.83203125" bestFit="1" customWidth="1"/>
    <col min="102" max="102" width="6" customWidth="1"/>
    <col min="103" max="103" width="12.6640625" bestFit="1" customWidth="1"/>
    <col min="106" max="106" width="12.5" bestFit="1" customWidth="1"/>
    <col min="107" max="107" width="6.33203125" customWidth="1"/>
    <col min="108" max="108" width="14.83203125" bestFit="1" customWidth="1"/>
    <col min="109" max="109" width="6" customWidth="1"/>
    <col min="110" max="110" width="12.6640625" bestFit="1" customWidth="1"/>
    <col min="113" max="113" width="12.5" bestFit="1" customWidth="1"/>
    <col min="114" max="114" width="6.33203125" customWidth="1"/>
    <col min="115" max="115" width="14.83203125" bestFit="1" customWidth="1"/>
    <col min="116" max="116" width="6" customWidth="1"/>
    <col min="117" max="117" width="12.6640625" bestFit="1" customWidth="1"/>
    <col min="120" max="120" width="12.5" bestFit="1" customWidth="1"/>
    <col min="121" max="121" width="6.33203125" customWidth="1"/>
    <col min="122" max="122" width="14.83203125" bestFit="1" customWidth="1"/>
    <col min="123" max="123" width="6" customWidth="1"/>
    <col min="124" max="124" width="12.6640625" bestFit="1" customWidth="1"/>
    <col min="127" max="127" width="12.5" bestFit="1" customWidth="1"/>
    <col min="128" max="128" width="6.33203125" customWidth="1"/>
    <col min="129" max="129" width="14.83203125" bestFit="1" customWidth="1"/>
    <col min="130" max="130" width="6" customWidth="1"/>
    <col min="131" max="131" width="12.6640625" bestFit="1" customWidth="1"/>
    <col min="134" max="134" width="12.5" bestFit="1" customWidth="1"/>
    <col min="135" max="135" width="6.33203125" customWidth="1"/>
    <col min="136" max="136" width="14.83203125" bestFit="1" customWidth="1"/>
    <col min="137" max="137" width="6" customWidth="1"/>
    <col min="138" max="138" width="12.6640625" bestFit="1" customWidth="1"/>
  </cols>
  <sheetData>
    <row r="1" spans="2:138" ht="34" x14ac:dyDescent="0.4">
      <c r="B1" s="5" t="s">
        <v>0</v>
      </c>
      <c r="D1" s="5"/>
      <c r="G1" s="15" t="s">
        <v>34</v>
      </c>
      <c r="I1" s="15" t="s">
        <v>34</v>
      </c>
      <c r="J1" s="15" t="s">
        <v>34</v>
      </c>
      <c r="K1" s="15" t="s">
        <v>34</v>
      </c>
    </row>
    <row r="2" spans="2:138" x14ac:dyDescent="0.2">
      <c r="I2" s="22" t="s">
        <v>27</v>
      </c>
      <c r="J2" s="22"/>
      <c r="K2" s="22"/>
      <c r="L2" s="22"/>
      <c r="N2" s="22" t="s">
        <v>84</v>
      </c>
      <c r="O2" s="22"/>
      <c r="P2" s="22"/>
      <c r="Q2" s="22"/>
      <c r="R2" s="22"/>
      <c r="S2" s="22"/>
      <c r="U2" s="22" t="s">
        <v>85</v>
      </c>
      <c r="V2" s="22"/>
      <c r="W2" s="22"/>
      <c r="X2" s="22"/>
      <c r="Y2" s="22"/>
      <c r="Z2" s="22"/>
      <c r="AB2" s="22" t="s">
        <v>86</v>
      </c>
      <c r="AC2" s="22"/>
      <c r="AD2" s="22"/>
      <c r="AE2" s="22"/>
      <c r="AF2" s="22"/>
      <c r="AG2" s="22"/>
      <c r="AI2" s="22" t="s">
        <v>87</v>
      </c>
      <c r="AJ2" s="22"/>
      <c r="AK2" s="22"/>
      <c r="AL2" s="22"/>
      <c r="AM2" s="22"/>
      <c r="AN2" s="22"/>
      <c r="AP2" s="22" t="s">
        <v>88</v>
      </c>
      <c r="AQ2" s="22"/>
      <c r="AR2" s="22"/>
      <c r="AS2" s="22"/>
      <c r="AT2" s="22"/>
      <c r="AU2" s="22"/>
      <c r="AW2" s="22" t="s">
        <v>89</v>
      </c>
      <c r="AX2" s="22"/>
      <c r="AY2" s="22"/>
      <c r="AZ2" s="22"/>
      <c r="BA2" s="22"/>
      <c r="BB2" s="22"/>
      <c r="BD2" s="22" t="s">
        <v>90</v>
      </c>
      <c r="BE2" s="22"/>
      <c r="BF2" s="22"/>
      <c r="BG2" s="22"/>
      <c r="BH2" s="22"/>
      <c r="BI2" s="22"/>
      <c r="BK2" s="22" t="s">
        <v>91</v>
      </c>
      <c r="BL2" s="22"/>
      <c r="BM2" s="22"/>
      <c r="BN2" s="22"/>
      <c r="BO2" s="22"/>
      <c r="BP2" s="22"/>
      <c r="BR2" s="22" t="s">
        <v>92</v>
      </c>
      <c r="BS2" s="22"/>
      <c r="BT2" s="22"/>
      <c r="BU2" s="22"/>
      <c r="BV2" s="22"/>
      <c r="BW2" s="22"/>
      <c r="BY2" s="22" t="s">
        <v>93</v>
      </c>
      <c r="BZ2" s="22"/>
      <c r="CA2" s="22"/>
      <c r="CB2" s="22"/>
      <c r="CC2" s="22"/>
      <c r="CD2" s="22"/>
      <c r="CF2" s="22" t="s">
        <v>94</v>
      </c>
      <c r="CG2" s="22"/>
      <c r="CH2" s="22"/>
      <c r="CI2" s="22"/>
      <c r="CJ2" s="22"/>
      <c r="CK2" s="22"/>
      <c r="CM2" s="22" t="s">
        <v>95</v>
      </c>
      <c r="CN2" s="22"/>
      <c r="CO2" s="22"/>
      <c r="CP2" s="22"/>
      <c r="CQ2" s="22"/>
      <c r="CR2" s="22"/>
      <c r="CT2" s="22" t="s">
        <v>96</v>
      </c>
      <c r="CU2" s="22"/>
      <c r="CV2" s="22"/>
      <c r="CW2" s="22"/>
      <c r="CX2" s="22"/>
      <c r="CY2" s="22"/>
      <c r="DA2" s="22" t="s">
        <v>97</v>
      </c>
      <c r="DB2" s="22"/>
      <c r="DC2" s="22"/>
      <c r="DD2" s="22"/>
      <c r="DE2" s="22"/>
      <c r="DF2" s="22"/>
      <c r="DH2" s="22" t="s">
        <v>98</v>
      </c>
      <c r="DI2" s="22"/>
      <c r="DJ2" s="22"/>
      <c r="DK2" s="22"/>
      <c r="DL2" s="22"/>
      <c r="DM2" s="22"/>
      <c r="DO2" s="22" t="s">
        <v>99</v>
      </c>
      <c r="DP2" s="22"/>
      <c r="DQ2" s="22"/>
      <c r="DR2" s="22"/>
      <c r="DS2" s="22"/>
      <c r="DT2" s="22"/>
      <c r="DV2" s="22" t="s">
        <v>100</v>
      </c>
      <c r="DW2" s="22"/>
      <c r="DX2" s="22"/>
      <c r="DY2" s="22"/>
      <c r="DZ2" s="22"/>
      <c r="EA2" s="22"/>
      <c r="EC2" s="22" t="s">
        <v>101</v>
      </c>
      <c r="ED2" s="22"/>
      <c r="EE2" s="22"/>
      <c r="EF2" s="22"/>
      <c r="EG2" s="22"/>
      <c r="EH2" s="22"/>
    </row>
    <row r="3" spans="2:138" x14ac:dyDescent="0.2">
      <c r="B3" s="6" t="s">
        <v>26</v>
      </c>
      <c r="C3" s="6" t="s">
        <v>1</v>
      </c>
      <c r="D3" s="6" t="s">
        <v>24</v>
      </c>
      <c r="E3" s="7" t="s">
        <v>31</v>
      </c>
      <c r="F3" s="6" t="s">
        <v>29</v>
      </c>
      <c r="G3" s="6" t="s">
        <v>32</v>
      </c>
      <c r="I3" s="7" t="s">
        <v>11</v>
      </c>
      <c r="J3" s="7" t="s">
        <v>2</v>
      </c>
      <c r="K3" s="7" t="s">
        <v>3</v>
      </c>
      <c r="L3" s="7" t="s">
        <v>12</v>
      </c>
      <c r="N3" s="6" t="s">
        <v>11</v>
      </c>
      <c r="O3" s="6" t="s">
        <v>2</v>
      </c>
      <c r="P3" s="6" t="s">
        <v>33</v>
      </c>
      <c r="Q3" s="6" t="s">
        <v>3</v>
      </c>
      <c r="R3" s="6" t="s">
        <v>33</v>
      </c>
      <c r="S3" s="6" t="s">
        <v>12</v>
      </c>
      <c r="U3" s="6" t="s">
        <v>11</v>
      </c>
      <c r="V3" s="6" t="s">
        <v>2</v>
      </c>
      <c r="W3" s="6" t="s">
        <v>33</v>
      </c>
      <c r="X3" s="6" t="s">
        <v>3</v>
      </c>
      <c r="Y3" s="6" t="s">
        <v>33</v>
      </c>
      <c r="Z3" s="6" t="s">
        <v>12</v>
      </c>
      <c r="AB3" s="6" t="s">
        <v>11</v>
      </c>
      <c r="AC3" s="6" t="s">
        <v>2</v>
      </c>
      <c r="AD3" s="6" t="s">
        <v>33</v>
      </c>
      <c r="AE3" s="6" t="s">
        <v>3</v>
      </c>
      <c r="AF3" s="6" t="s">
        <v>33</v>
      </c>
      <c r="AG3" s="6" t="s">
        <v>12</v>
      </c>
      <c r="AI3" s="6" t="s">
        <v>11</v>
      </c>
      <c r="AJ3" s="6" t="s">
        <v>2</v>
      </c>
      <c r="AK3" s="6" t="s">
        <v>33</v>
      </c>
      <c r="AL3" s="6" t="s">
        <v>3</v>
      </c>
      <c r="AM3" s="6" t="s">
        <v>33</v>
      </c>
      <c r="AN3" s="6" t="s">
        <v>12</v>
      </c>
      <c r="AP3" s="6" t="s">
        <v>11</v>
      </c>
      <c r="AQ3" s="6" t="s">
        <v>2</v>
      </c>
      <c r="AR3" s="6" t="s">
        <v>33</v>
      </c>
      <c r="AS3" s="6" t="s">
        <v>3</v>
      </c>
      <c r="AT3" s="6" t="s">
        <v>33</v>
      </c>
      <c r="AU3" s="6" t="s">
        <v>12</v>
      </c>
      <c r="AW3" s="6" t="s">
        <v>11</v>
      </c>
      <c r="AX3" s="6" t="s">
        <v>2</v>
      </c>
      <c r="AY3" s="6" t="s">
        <v>33</v>
      </c>
      <c r="AZ3" s="6" t="s">
        <v>3</v>
      </c>
      <c r="BA3" s="6" t="s">
        <v>33</v>
      </c>
      <c r="BB3" s="6" t="s">
        <v>12</v>
      </c>
      <c r="BD3" s="6" t="s">
        <v>11</v>
      </c>
      <c r="BE3" s="6" t="s">
        <v>2</v>
      </c>
      <c r="BF3" s="6" t="s">
        <v>33</v>
      </c>
      <c r="BG3" s="6" t="s">
        <v>3</v>
      </c>
      <c r="BH3" s="6" t="s">
        <v>33</v>
      </c>
      <c r="BI3" s="6" t="s">
        <v>12</v>
      </c>
      <c r="BK3" s="6" t="s">
        <v>11</v>
      </c>
      <c r="BL3" s="6" t="s">
        <v>2</v>
      </c>
      <c r="BM3" s="6" t="s">
        <v>33</v>
      </c>
      <c r="BN3" s="6" t="s">
        <v>3</v>
      </c>
      <c r="BO3" s="6" t="s">
        <v>33</v>
      </c>
      <c r="BP3" s="6" t="s">
        <v>12</v>
      </c>
      <c r="BR3" s="6" t="s">
        <v>11</v>
      </c>
      <c r="BS3" s="6" t="s">
        <v>2</v>
      </c>
      <c r="BT3" s="6" t="s">
        <v>33</v>
      </c>
      <c r="BU3" s="6" t="s">
        <v>3</v>
      </c>
      <c r="BV3" s="6" t="s">
        <v>33</v>
      </c>
      <c r="BW3" s="6" t="s">
        <v>12</v>
      </c>
      <c r="BY3" s="6" t="s">
        <v>11</v>
      </c>
      <c r="BZ3" s="6" t="s">
        <v>2</v>
      </c>
      <c r="CA3" s="6" t="s">
        <v>33</v>
      </c>
      <c r="CB3" s="6" t="s">
        <v>3</v>
      </c>
      <c r="CC3" s="6" t="s">
        <v>33</v>
      </c>
      <c r="CD3" s="6" t="s">
        <v>12</v>
      </c>
      <c r="CF3" s="6" t="s">
        <v>11</v>
      </c>
      <c r="CG3" s="6" t="s">
        <v>2</v>
      </c>
      <c r="CH3" s="6" t="s">
        <v>33</v>
      </c>
      <c r="CI3" s="6" t="s">
        <v>3</v>
      </c>
      <c r="CJ3" s="6" t="s">
        <v>33</v>
      </c>
      <c r="CK3" s="6" t="s">
        <v>12</v>
      </c>
      <c r="CM3" s="6" t="s">
        <v>11</v>
      </c>
      <c r="CN3" s="6" t="s">
        <v>2</v>
      </c>
      <c r="CO3" s="6" t="s">
        <v>33</v>
      </c>
      <c r="CP3" s="6" t="s">
        <v>3</v>
      </c>
      <c r="CQ3" s="6" t="s">
        <v>33</v>
      </c>
      <c r="CR3" s="6" t="s">
        <v>12</v>
      </c>
      <c r="CT3" s="6" t="s">
        <v>11</v>
      </c>
      <c r="CU3" s="6" t="s">
        <v>2</v>
      </c>
      <c r="CV3" s="6" t="s">
        <v>33</v>
      </c>
      <c r="CW3" s="6" t="s">
        <v>3</v>
      </c>
      <c r="CX3" s="6" t="s">
        <v>33</v>
      </c>
      <c r="CY3" s="6" t="s">
        <v>12</v>
      </c>
      <c r="DA3" s="6" t="s">
        <v>11</v>
      </c>
      <c r="DB3" s="6" t="s">
        <v>2</v>
      </c>
      <c r="DC3" s="6" t="s">
        <v>33</v>
      </c>
      <c r="DD3" s="6" t="s">
        <v>3</v>
      </c>
      <c r="DE3" s="6" t="s">
        <v>33</v>
      </c>
      <c r="DF3" s="6" t="s">
        <v>12</v>
      </c>
      <c r="DH3" s="6" t="s">
        <v>11</v>
      </c>
      <c r="DI3" s="6" t="s">
        <v>2</v>
      </c>
      <c r="DJ3" s="6" t="s">
        <v>33</v>
      </c>
      <c r="DK3" s="6" t="s">
        <v>3</v>
      </c>
      <c r="DL3" s="6" t="s">
        <v>33</v>
      </c>
      <c r="DM3" s="6" t="s">
        <v>12</v>
      </c>
      <c r="DO3" s="6" t="s">
        <v>11</v>
      </c>
      <c r="DP3" s="6" t="s">
        <v>2</v>
      </c>
      <c r="DQ3" s="6" t="s">
        <v>33</v>
      </c>
      <c r="DR3" s="6" t="s">
        <v>3</v>
      </c>
      <c r="DS3" s="6" t="s">
        <v>33</v>
      </c>
      <c r="DT3" s="6" t="s">
        <v>12</v>
      </c>
      <c r="DV3" s="6" t="s">
        <v>11</v>
      </c>
      <c r="DW3" s="6" t="s">
        <v>2</v>
      </c>
      <c r="DX3" s="6" t="s">
        <v>33</v>
      </c>
      <c r="DY3" s="6" t="s">
        <v>3</v>
      </c>
      <c r="DZ3" s="6" t="s">
        <v>33</v>
      </c>
      <c r="EA3" s="6" t="s">
        <v>12</v>
      </c>
      <c r="EC3" s="6" t="s">
        <v>11</v>
      </c>
      <c r="ED3" s="6" t="s">
        <v>2</v>
      </c>
      <c r="EE3" s="6" t="s">
        <v>33</v>
      </c>
      <c r="EF3" s="6" t="s">
        <v>3</v>
      </c>
      <c r="EG3" s="6" t="s">
        <v>33</v>
      </c>
      <c r="EH3" s="6" t="s">
        <v>12</v>
      </c>
    </row>
    <row r="4" spans="2:138" x14ac:dyDescent="0.2">
      <c r="B4" s="19" t="s">
        <v>27</v>
      </c>
      <c r="C4" s="19" t="s">
        <v>50</v>
      </c>
      <c r="E4" s="11">
        <v>15</v>
      </c>
      <c r="G4" s="12">
        <f>+SUM(G5:G16)</f>
        <v>0.99999999999999989</v>
      </c>
      <c r="I4" s="14">
        <f>+SUM(I5:I16)</f>
        <v>361</v>
      </c>
      <c r="J4" s="13">
        <f>+SUMPRODUCT(G5:G16,J5:J16)</f>
        <v>0</v>
      </c>
      <c r="K4" s="13">
        <f>+SUMPRODUCT(G5:G16,K5:K16)</f>
        <v>0</v>
      </c>
      <c r="L4" s="11"/>
      <c r="N4" s="14">
        <f>+SUM(N5:N16)</f>
        <v>21</v>
      </c>
      <c r="U4" s="14">
        <f>+SUM(U5:U16)</f>
        <v>20</v>
      </c>
      <c r="AB4" s="14">
        <f>+SUM(AB5:AB16)</f>
        <v>20</v>
      </c>
      <c r="AI4" s="14">
        <f>+SUM(AI5:AI16)</f>
        <v>20</v>
      </c>
      <c r="AP4" s="14">
        <f>+SUM(AP5:AP16)</f>
        <v>20</v>
      </c>
      <c r="AW4" s="14">
        <f>+SUM(AW5:AW16)</f>
        <v>20</v>
      </c>
      <c r="BD4" s="14">
        <f>+SUM(BD5:BD16)</f>
        <v>20</v>
      </c>
      <c r="BK4" s="14">
        <f>+SUM(BK5:BK16)</f>
        <v>20</v>
      </c>
      <c r="BR4" s="14">
        <f>+SUM(BR5:BR16)</f>
        <v>20</v>
      </c>
      <c r="BY4" s="14">
        <f>+SUM(BY5:BY16)</f>
        <v>20</v>
      </c>
      <c r="CF4" s="14">
        <f>+SUM(CF5:CF16)</f>
        <v>20</v>
      </c>
      <c r="CM4" s="14">
        <f>+SUM(CM5:CM16)</f>
        <v>20</v>
      </c>
      <c r="CT4" s="14">
        <f>+SUM(CT5:CT16)</f>
        <v>20</v>
      </c>
      <c r="DA4" s="14">
        <f>+SUM(DA5:DA16)</f>
        <v>20</v>
      </c>
      <c r="DH4" s="14">
        <f>+SUM(DH5:DH16)</f>
        <v>20</v>
      </c>
      <c r="DO4" s="14">
        <f>+SUM(DO5:DO16)</f>
        <v>20</v>
      </c>
      <c r="DV4" s="14">
        <f>+SUM(DV5:DV16)</f>
        <v>20</v>
      </c>
      <c r="EC4" s="14">
        <f>+SUM(EC5:EC16)</f>
        <v>20</v>
      </c>
    </row>
    <row r="5" spans="2:138" outlineLevel="1" x14ac:dyDescent="0.2">
      <c r="B5" t="s">
        <v>28</v>
      </c>
      <c r="C5" t="s">
        <v>51</v>
      </c>
      <c r="E5" s="11"/>
      <c r="F5" t="s">
        <v>30</v>
      </c>
      <c r="G5" s="12">
        <v>0</v>
      </c>
      <c r="I5" s="11">
        <f>+SUMIF($N$3:$ZZ$3,I$3,$N5:$ZZ5)</f>
        <v>1</v>
      </c>
      <c r="J5" s="13" cm="1">
        <f t="array" ref="J5">MAX(IF($N$3:$EH$3=$J$3,N5:EH5))</f>
        <v>0</v>
      </c>
      <c r="K5" s="13" cm="1">
        <f t="array" ref="K5">MAX(IF($N$3:$EH$3=$J$3,N5:EH5))</f>
        <v>0</v>
      </c>
      <c r="L5" s="11"/>
      <c r="N5">
        <v>1</v>
      </c>
      <c r="O5" s="12"/>
      <c r="P5" s="12">
        <v>1</v>
      </c>
      <c r="Q5" s="12"/>
      <c r="R5" s="12">
        <v>1</v>
      </c>
      <c r="V5" s="12"/>
      <c r="W5" s="12">
        <v>1</v>
      </c>
      <c r="X5" s="12"/>
      <c r="Y5" s="12">
        <v>1</v>
      </c>
      <c r="AC5" s="12"/>
      <c r="AD5" s="12">
        <v>1</v>
      </c>
      <c r="AE5" s="12"/>
      <c r="AF5" s="12">
        <v>1</v>
      </c>
      <c r="AJ5" s="12"/>
      <c r="AK5" s="12">
        <v>1</v>
      </c>
      <c r="AL5" s="12"/>
      <c r="AM5" s="12">
        <v>1</v>
      </c>
      <c r="AQ5" s="12"/>
      <c r="AR5" s="12">
        <v>1</v>
      </c>
      <c r="AS5" s="12"/>
      <c r="AT5" s="12">
        <v>1</v>
      </c>
      <c r="AX5" s="12"/>
      <c r="AY5" s="12">
        <v>1</v>
      </c>
      <c r="AZ5" s="12"/>
      <c r="BA5" s="12">
        <v>1</v>
      </c>
      <c r="BE5" s="12"/>
      <c r="BF5" s="12">
        <v>1</v>
      </c>
      <c r="BG5" s="12"/>
      <c r="BH5" s="12">
        <v>1</v>
      </c>
      <c r="BL5" s="12"/>
      <c r="BM5" s="12">
        <v>1</v>
      </c>
      <c r="BN5" s="12"/>
      <c r="BO5" s="12">
        <v>1</v>
      </c>
      <c r="BS5" s="12"/>
      <c r="BT5" s="12">
        <v>1</v>
      </c>
      <c r="BU5" s="12"/>
      <c r="BV5" s="12">
        <v>1</v>
      </c>
      <c r="BZ5" s="12"/>
      <c r="CA5" s="12">
        <v>1</v>
      </c>
      <c r="CB5" s="12"/>
      <c r="CC5" s="12">
        <v>1</v>
      </c>
      <c r="CG5" s="12"/>
      <c r="CH5" s="12">
        <v>1</v>
      </c>
      <c r="CI5" s="12"/>
      <c r="CJ5" s="12">
        <v>1</v>
      </c>
      <c r="CN5" s="12"/>
      <c r="CO5" s="12">
        <v>1</v>
      </c>
      <c r="CP5" s="12"/>
      <c r="CQ5" s="12">
        <v>1</v>
      </c>
      <c r="CU5" s="12"/>
      <c r="CV5" s="12">
        <v>1</v>
      </c>
      <c r="CW5" s="12"/>
      <c r="CX5" s="12">
        <v>1</v>
      </c>
      <c r="DB5" s="12"/>
      <c r="DC5" s="12">
        <v>1</v>
      </c>
      <c r="DD5" s="12"/>
      <c r="DE5" s="12">
        <v>1</v>
      </c>
      <c r="DI5" s="12"/>
      <c r="DJ5" s="12">
        <v>1</v>
      </c>
      <c r="DK5" s="12"/>
      <c r="DL5" s="12">
        <v>1</v>
      </c>
      <c r="DP5" s="12"/>
      <c r="DQ5" s="12">
        <v>1</v>
      </c>
      <c r="DR5" s="12"/>
      <c r="DS5" s="12">
        <v>1</v>
      </c>
      <c r="DW5" s="12"/>
      <c r="DX5" s="12">
        <v>1</v>
      </c>
      <c r="DY5" s="12"/>
      <c r="DZ5" s="12">
        <v>1</v>
      </c>
      <c r="ED5" s="12"/>
      <c r="EE5" s="12">
        <v>1</v>
      </c>
      <c r="EF5" s="12"/>
      <c r="EG5" s="12">
        <v>1</v>
      </c>
    </row>
    <row r="6" spans="2:138" outlineLevel="1" x14ac:dyDescent="0.2">
      <c r="B6" t="s">
        <v>28</v>
      </c>
      <c r="C6" t="s">
        <v>51</v>
      </c>
      <c r="E6" s="11"/>
      <c r="F6" t="s">
        <v>56</v>
      </c>
      <c r="G6" s="12">
        <v>0.05</v>
      </c>
      <c r="I6" s="11">
        <f t="shared" ref="I6:I15" si="0">+SUMIF($N$3:$ZZ$3,I$3,$N6:$ZZ6)</f>
        <v>23</v>
      </c>
      <c r="J6" s="13" cm="1">
        <f t="array" ref="J6">MAX(IF($N$3:$EH$3=$J$3,N6:EH6))</f>
        <v>0</v>
      </c>
      <c r="K6" s="13" cm="1">
        <f t="array" ref="K6">MAX(IF($N$3:$EH$3=$J$3,N6:EH6))</f>
        <v>0</v>
      </c>
      <c r="L6" s="11"/>
      <c r="N6">
        <v>10</v>
      </c>
      <c r="O6" s="12"/>
      <c r="P6" s="12">
        <v>0.5</v>
      </c>
      <c r="Q6" s="12"/>
      <c r="R6" s="12">
        <v>0.5</v>
      </c>
      <c r="V6" s="12"/>
      <c r="W6" s="12">
        <v>0.5</v>
      </c>
      <c r="X6" s="12"/>
      <c r="Y6" s="12">
        <v>0.5</v>
      </c>
      <c r="AC6" s="12"/>
      <c r="AD6" s="12">
        <v>0.5</v>
      </c>
      <c r="AE6" s="12"/>
      <c r="AF6" s="12">
        <v>0.5</v>
      </c>
      <c r="AI6">
        <v>5</v>
      </c>
      <c r="AJ6" s="12"/>
      <c r="AK6" s="12">
        <v>0.8</v>
      </c>
      <c r="AL6" s="12"/>
      <c r="AM6" s="12">
        <v>0.8</v>
      </c>
      <c r="AQ6" s="12"/>
      <c r="AR6" s="12">
        <v>0.8</v>
      </c>
      <c r="AS6" s="12"/>
      <c r="AT6" s="12">
        <v>0.8</v>
      </c>
      <c r="AX6" s="12"/>
      <c r="AY6" s="12">
        <v>0.8</v>
      </c>
      <c r="AZ6" s="12"/>
      <c r="BA6" s="12">
        <v>0.8</v>
      </c>
      <c r="BE6" s="12"/>
      <c r="BF6" s="12">
        <v>0.8</v>
      </c>
      <c r="BG6" s="12"/>
      <c r="BH6" s="12">
        <v>0.8</v>
      </c>
      <c r="BL6" s="12"/>
      <c r="BM6" s="12">
        <v>0.8</v>
      </c>
      <c r="BN6" s="12"/>
      <c r="BO6" s="12">
        <v>0.8</v>
      </c>
      <c r="BR6">
        <v>5</v>
      </c>
      <c r="BS6" s="12"/>
      <c r="BT6" s="12">
        <v>1</v>
      </c>
      <c r="BU6" s="12"/>
      <c r="BV6" s="12">
        <v>1</v>
      </c>
      <c r="BZ6" s="12"/>
      <c r="CA6" s="12">
        <v>1</v>
      </c>
      <c r="CB6" s="12"/>
      <c r="CC6" s="12">
        <v>1</v>
      </c>
      <c r="CG6" s="12"/>
      <c r="CH6" s="12">
        <v>1</v>
      </c>
      <c r="CI6" s="12"/>
      <c r="CJ6" s="12">
        <v>1</v>
      </c>
      <c r="CN6" s="12"/>
      <c r="CO6" s="12">
        <v>1</v>
      </c>
      <c r="CP6" s="12"/>
      <c r="CQ6" s="12">
        <v>1</v>
      </c>
      <c r="CU6" s="12"/>
      <c r="CV6" s="12">
        <v>1</v>
      </c>
      <c r="CW6" s="12"/>
      <c r="CX6" s="12">
        <v>1</v>
      </c>
      <c r="DB6" s="12"/>
      <c r="DC6" s="12">
        <v>1</v>
      </c>
      <c r="DD6" s="12"/>
      <c r="DE6" s="12">
        <v>1</v>
      </c>
      <c r="DI6" s="12"/>
      <c r="DJ6" s="12">
        <v>1</v>
      </c>
      <c r="DK6" s="12"/>
      <c r="DL6" s="12">
        <v>1</v>
      </c>
      <c r="DO6">
        <v>1</v>
      </c>
      <c r="DP6" s="12"/>
      <c r="DQ6" s="12">
        <v>1</v>
      </c>
      <c r="DR6" s="12"/>
      <c r="DS6" s="12">
        <v>1</v>
      </c>
      <c r="DV6">
        <v>1</v>
      </c>
      <c r="DW6" s="12"/>
      <c r="DX6" s="12">
        <v>1</v>
      </c>
      <c r="DY6" s="12"/>
      <c r="DZ6" s="12">
        <v>1</v>
      </c>
      <c r="EC6">
        <v>1</v>
      </c>
      <c r="ED6" s="12"/>
      <c r="EE6" s="12">
        <v>1</v>
      </c>
      <c r="EF6" s="12"/>
      <c r="EG6" s="12">
        <v>1</v>
      </c>
    </row>
    <row r="7" spans="2:138" outlineLevel="1" x14ac:dyDescent="0.2">
      <c r="B7" t="s">
        <v>28</v>
      </c>
      <c r="C7" t="s">
        <v>51</v>
      </c>
      <c r="E7" s="11"/>
      <c r="F7" t="s">
        <v>57</v>
      </c>
      <c r="G7" s="12">
        <v>0.05</v>
      </c>
      <c r="I7" s="11">
        <f t="shared" si="0"/>
        <v>23</v>
      </c>
      <c r="J7" s="13" cm="1">
        <f t="array" ref="J7">MAX(IF($N$3:$EH$3=$J$3,N7:EH7))</f>
        <v>0</v>
      </c>
      <c r="K7" s="13" cm="1">
        <f t="array" ref="K7">MAX(IF($N$3:$EH$3=$J$3,N7:EH7))</f>
        <v>0</v>
      </c>
      <c r="L7" s="11"/>
      <c r="N7">
        <v>10</v>
      </c>
      <c r="O7" s="12"/>
      <c r="P7" s="12">
        <v>0.5</v>
      </c>
      <c r="Q7" s="12"/>
      <c r="R7" s="12">
        <v>0.5</v>
      </c>
      <c r="V7" s="12"/>
      <c r="W7" s="12">
        <v>0.5</v>
      </c>
      <c r="X7" s="12"/>
      <c r="Y7" s="12">
        <v>0.5</v>
      </c>
      <c r="AC7" s="12"/>
      <c r="AD7" s="12">
        <v>0.5</v>
      </c>
      <c r="AE7" s="12"/>
      <c r="AF7" s="12">
        <v>0.5</v>
      </c>
      <c r="AI7">
        <v>5</v>
      </c>
      <c r="AJ7" s="12"/>
      <c r="AK7" s="12">
        <v>0.8</v>
      </c>
      <c r="AL7" s="12"/>
      <c r="AM7" s="12">
        <v>0.8</v>
      </c>
      <c r="AQ7" s="12"/>
      <c r="AR7" s="12">
        <v>0.8</v>
      </c>
      <c r="AS7" s="12"/>
      <c r="AT7" s="12">
        <v>0.8</v>
      </c>
      <c r="AX7" s="12"/>
      <c r="AY7" s="12">
        <v>0.8</v>
      </c>
      <c r="AZ7" s="12"/>
      <c r="BA7" s="12">
        <v>0.8</v>
      </c>
      <c r="BE7" s="12"/>
      <c r="BF7" s="12">
        <v>0.8</v>
      </c>
      <c r="BG7" s="12"/>
      <c r="BH7" s="12">
        <v>0.8</v>
      </c>
      <c r="BL7" s="12"/>
      <c r="BM7" s="12">
        <v>0.8</v>
      </c>
      <c r="BN7" s="12"/>
      <c r="BO7" s="12">
        <v>0.8</v>
      </c>
      <c r="BR7">
        <v>5</v>
      </c>
      <c r="BS7" s="12"/>
      <c r="BT7" s="12">
        <v>1</v>
      </c>
      <c r="BU7" s="12"/>
      <c r="BV7" s="12">
        <v>1</v>
      </c>
      <c r="BZ7" s="12"/>
      <c r="CA7" s="12">
        <v>1</v>
      </c>
      <c r="CB7" s="12"/>
      <c r="CC7" s="12">
        <v>1</v>
      </c>
      <c r="CG7" s="12"/>
      <c r="CH7" s="12">
        <v>1</v>
      </c>
      <c r="CI7" s="12"/>
      <c r="CJ7" s="12">
        <v>1</v>
      </c>
      <c r="CN7" s="12"/>
      <c r="CO7" s="12">
        <v>1</v>
      </c>
      <c r="CP7" s="12"/>
      <c r="CQ7" s="12">
        <v>1</v>
      </c>
      <c r="CU7" s="12"/>
      <c r="CV7" s="12">
        <v>1</v>
      </c>
      <c r="CW7" s="12"/>
      <c r="CX7" s="12">
        <v>1</v>
      </c>
      <c r="DB7" s="12"/>
      <c r="DC7" s="12">
        <v>1</v>
      </c>
      <c r="DD7" s="12"/>
      <c r="DE7" s="12">
        <v>1</v>
      </c>
      <c r="DI7" s="12"/>
      <c r="DJ7" s="12">
        <v>1</v>
      </c>
      <c r="DK7" s="12"/>
      <c r="DL7" s="12">
        <v>1</v>
      </c>
      <c r="DO7">
        <v>1</v>
      </c>
      <c r="DP7" s="12"/>
      <c r="DQ7" s="12">
        <v>1</v>
      </c>
      <c r="DR7" s="12"/>
      <c r="DS7" s="12">
        <v>1</v>
      </c>
      <c r="DV7">
        <v>1</v>
      </c>
      <c r="DW7" s="12"/>
      <c r="DX7" s="12">
        <v>1</v>
      </c>
      <c r="DY7" s="12"/>
      <c r="DZ7" s="12">
        <v>1</v>
      </c>
      <c r="EC7">
        <v>1</v>
      </c>
      <c r="ED7" s="12"/>
      <c r="EE7" s="12">
        <v>1</v>
      </c>
      <c r="EF7" s="12"/>
      <c r="EG7" s="12">
        <v>1</v>
      </c>
    </row>
    <row r="8" spans="2:138" outlineLevel="1" x14ac:dyDescent="0.2">
      <c r="B8" t="s">
        <v>28</v>
      </c>
      <c r="C8" t="s">
        <v>51</v>
      </c>
      <c r="E8" s="11"/>
      <c r="F8" t="s">
        <v>58</v>
      </c>
      <c r="G8" s="12">
        <v>0.1</v>
      </c>
      <c r="I8" s="11">
        <f t="shared" si="0"/>
        <v>34</v>
      </c>
      <c r="J8" s="13" cm="1">
        <f t="array" ref="J8">MAX(IF($N$3:$EH$3=$J$3,N8:EH8))</f>
        <v>0</v>
      </c>
      <c r="K8" s="13" cm="1">
        <f t="array" ref="K8">MAX(IF($N$3:$EH$3=$J$3,N8:EH8))</f>
        <v>0</v>
      </c>
      <c r="L8" s="11"/>
      <c r="O8" s="12"/>
      <c r="P8" s="12"/>
      <c r="Q8" s="12"/>
      <c r="R8" s="12"/>
      <c r="U8">
        <v>10</v>
      </c>
      <c r="V8" s="12"/>
      <c r="W8" s="12">
        <v>0.5</v>
      </c>
      <c r="X8" s="12"/>
      <c r="Y8" s="12">
        <v>0.5</v>
      </c>
      <c r="AC8" s="12"/>
      <c r="AD8" s="12">
        <v>0.5</v>
      </c>
      <c r="AE8" s="12"/>
      <c r="AF8" s="12">
        <v>0.5</v>
      </c>
      <c r="AJ8" s="12"/>
      <c r="AK8" s="12">
        <v>0.5</v>
      </c>
      <c r="AL8" s="12"/>
      <c r="AM8" s="12">
        <v>0.5</v>
      </c>
      <c r="AP8">
        <v>10</v>
      </c>
      <c r="AQ8" s="12"/>
      <c r="AR8" s="12">
        <v>0.8</v>
      </c>
      <c r="AS8" s="12"/>
      <c r="AT8" s="12">
        <v>0.8</v>
      </c>
      <c r="AX8" s="12"/>
      <c r="AY8" s="12">
        <v>0.8</v>
      </c>
      <c r="AZ8" s="12"/>
      <c r="BA8" s="12">
        <v>0.8</v>
      </c>
      <c r="BE8" s="12"/>
      <c r="BF8" s="12">
        <v>0.8</v>
      </c>
      <c r="BG8" s="12"/>
      <c r="BH8" s="12">
        <v>0.8</v>
      </c>
      <c r="BL8" s="12"/>
      <c r="BM8" s="12">
        <v>0.8</v>
      </c>
      <c r="BN8" s="12"/>
      <c r="BO8" s="12">
        <v>0.8</v>
      </c>
      <c r="BS8" s="12"/>
      <c r="BT8" s="12">
        <v>0.8</v>
      </c>
      <c r="BU8" s="12"/>
      <c r="BV8" s="12">
        <v>0.8</v>
      </c>
      <c r="BY8">
        <v>10</v>
      </c>
      <c r="BZ8" s="12"/>
      <c r="CA8" s="12">
        <v>1</v>
      </c>
      <c r="CB8" s="12"/>
      <c r="CC8" s="12">
        <v>1</v>
      </c>
      <c r="CG8" s="12"/>
      <c r="CH8" s="12">
        <v>1</v>
      </c>
      <c r="CI8" s="12"/>
      <c r="CJ8" s="12">
        <v>1</v>
      </c>
      <c r="CN8" s="12"/>
      <c r="CO8" s="12">
        <v>1</v>
      </c>
      <c r="CP8" s="12"/>
      <c r="CQ8" s="12">
        <v>1</v>
      </c>
      <c r="CU8" s="12"/>
      <c r="CV8" s="12">
        <v>1</v>
      </c>
      <c r="CW8" s="12"/>
      <c r="CX8" s="12">
        <v>1</v>
      </c>
      <c r="DB8" s="12"/>
      <c r="DC8" s="12">
        <v>1</v>
      </c>
      <c r="DD8" s="12"/>
      <c r="DE8" s="12">
        <v>1</v>
      </c>
      <c r="DI8" s="12"/>
      <c r="DJ8" s="12">
        <v>1</v>
      </c>
      <c r="DK8" s="12"/>
      <c r="DL8" s="12">
        <v>1</v>
      </c>
      <c r="DP8" s="12"/>
      <c r="DQ8" s="12">
        <v>1</v>
      </c>
      <c r="DR8" s="12"/>
      <c r="DS8" s="12">
        <v>1</v>
      </c>
      <c r="DV8">
        <v>2</v>
      </c>
      <c r="DW8" s="12"/>
      <c r="DX8" s="12">
        <v>1</v>
      </c>
      <c r="DY8" s="12"/>
      <c r="DZ8" s="12">
        <v>1</v>
      </c>
      <c r="EC8">
        <v>2</v>
      </c>
      <c r="ED8" s="12"/>
      <c r="EE8" s="12">
        <v>1</v>
      </c>
      <c r="EF8" s="12"/>
      <c r="EG8" s="12">
        <v>1</v>
      </c>
    </row>
    <row r="9" spans="2:138" outlineLevel="1" x14ac:dyDescent="0.2">
      <c r="B9" t="s">
        <v>28</v>
      </c>
      <c r="C9" t="s">
        <v>51</v>
      </c>
      <c r="E9" s="11"/>
      <c r="F9" t="s">
        <v>59</v>
      </c>
      <c r="G9" s="12">
        <v>0.1</v>
      </c>
      <c r="I9" s="11">
        <f t="shared" si="0"/>
        <v>34</v>
      </c>
      <c r="J9" s="13" cm="1">
        <f t="array" ref="J9">MAX(IF($N$3:$EH$3=$J$3,N9:EH9))</f>
        <v>0</v>
      </c>
      <c r="K9" s="13" cm="1">
        <f t="array" ref="K9">MAX(IF($N$3:$EH$3=$J$3,N9:EH9))</f>
        <v>0</v>
      </c>
      <c r="L9" s="11"/>
      <c r="O9" s="12"/>
      <c r="P9" s="12"/>
      <c r="Q9" s="12"/>
      <c r="R9" s="12"/>
      <c r="U9">
        <v>10</v>
      </c>
      <c r="V9" s="12"/>
      <c r="W9" s="12">
        <v>0.5</v>
      </c>
      <c r="X9" s="12"/>
      <c r="Y9" s="12">
        <v>0.5</v>
      </c>
      <c r="AC9" s="12"/>
      <c r="AD9" s="12">
        <v>0.5</v>
      </c>
      <c r="AE9" s="12"/>
      <c r="AF9" s="12">
        <v>0.5</v>
      </c>
      <c r="AJ9" s="12"/>
      <c r="AK9" s="12">
        <v>0.5</v>
      </c>
      <c r="AL9" s="12"/>
      <c r="AM9" s="12">
        <v>0.5</v>
      </c>
      <c r="AQ9" s="12"/>
      <c r="AR9" s="12">
        <v>0.5</v>
      </c>
      <c r="AS9" s="12"/>
      <c r="AT9" s="12">
        <v>0.5</v>
      </c>
      <c r="AW9">
        <v>10</v>
      </c>
      <c r="AX9" s="12"/>
      <c r="AY9" s="12">
        <v>0.8</v>
      </c>
      <c r="AZ9" s="12"/>
      <c r="BA9" s="12">
        <v>0.8</v>
      </c>
      <c r="BE9" s="12"/>
      <c r="BF9" s="12">
        <v>0.8</v>
      </c>
      <c r="BG9" s="12"/>
      <c r="BH9" s="12">
        <v>0.8</v>
      </c>
      <c r="BL9" s="12"/>
      <c r="BM9" s="12">
        <v>0.8</v>
      </c>
      <c r="BN9" s="12"/>
      <c r="BO9" s="12">
        <v>0.8</v>
      </c>
      <c r="BS9" s="12"/>
      <c r="BT9" s="12">
        <v>0.8</v>
      </c>
      <c r="BU9" s="12"/>
      <c r="BV9" s="12">
        <v>0.8</v>
      </c>
      <c r="BZ9" s="12"/>
      <c r="CA9" s="12">
        <v>0.8</v>
      </c>
      <c r="CB9" s="12"/>
      <c r="CC9" s="12">
        <v>0.8</v>
      </c>
      <c r="CF9">
        <v>10</v>
      </c>
      <c r="CG9" s="12"/>
      <c r="CH9" s="12">
        <v>1</v>
      </c>
      <c r="CI9" s="12"/>
      <c r="CJ9" s="12">
        <v>1</v>
      </c>
      <c r="CN9" s="12"/>
      <c r="CO9" s="12">
        <v>1</v>
      </c>
      <c r="CP9" s="12"/>
      <c r="CQ9" s="12">
        <v>1</v>
      </c>
      <c r="CU9" s="12"/>
      <c r="CV9" s="12">
        <v>1</v>
      </c>
      <c r="CW9" s="12"/>
      <c r="CX9" s="12">
        <v>1</v>
      </c>
      <c r="DB9" s="12"/>
      <c r="DC9" s="12">
        <v>1</v>
      </c>
      <c r="DD9" s="12"/>
      <c r="DE9" s="12">
        <v>1</v>
      </c>
      <c r="DI9" s="12"/>
      <c r="DJ9" s="12">
        <v>1</v>
      </c>
      <c r="DK9" s="12"/>
      <c r="DL9" s="12">
        <v>1</v>
      </c>
      <c r="DP9" s="12"/>
      <c r="DQ9" s="12">
        <v>1</v>
      </c>
      <c r="DR9" s="12"/>
      <c r="DS9" s="12">
        <v>1</v>
      </c>
      <c r="DV9">
        <v>2</v>
      </c>
      <c r="DW9" s="12"/>
      <c r="DX9" s="12">
        <v>1</v>
      </c>
      <c r="DY9" s="12"/>
      <c r="DZ9" s="12">
        <v>1</v>
      </c>
      <c r="EC9">
        <v>2</v>
      </c>
      <c r="ED9" s="12"/>
      <c r="EE9" s="12">
        <v>1</v>
      </c>
      <c r="EF9" s="12"/>
      <c r="EG9" s="12">
        <v>1</v>
      </c>
    </row>
    <row r="10" spans="2:138" outlineLevel="1" x14ac:dyDescent="0.2">
      <c r="B10" t="s">
        <v>28</v>
      </c>
      <c r="C10" t="s">
        <v>51</v>
      </c>
      <c r="E10" s="11"/>
      <c r="F10" t="s">
        <v>60</v>
      </c>
      <c r="G10" s="12">
        <v>0.1</v>
      </c>
      <c r="I10" s="11">
        <f t="shared" si="0"/>
        <v>34</v>
      </c>
      <c r="J10" s="13" cm="1">
        <f t="array" ref="J10">MAX(IF($N$3:$EH$3=$J$3,N10:EH10))</f>
        <v>0</v>
      </c>
      <c r="K10" s="13" cm="1">
        <f t="array" ref="K10">MAX(IF($N$3:$EH$3=$J$3,N10:EH10))</f>
        <v>0</v>
      </c>
      <c r="L10" s="11"/>
      <c r="O10" s="12"/>
      <c r="P10" s="12"/>
      <c r="Q10" s="12"/>
      <c r="R10" s="12"/>
      <c r="V10" s="12"/>
      <c r="W10" s="12"/>
      <c r="X10" s="12"/>
      <c r="Y10" s="12"/>
      <c r="AB10">
        <v>10</v>
      </c>
      <c r="AC10" s="12"/>
      <c r="AD10" s="12">
        <v>0.5</v>
      </c>
      <c r="AE10" s="12"/>
      <c r="AF10" s="12">
        <v>0.5</v>
      </c>
      <c r="AJ10" s="12"/>
      <c r="AK10" s="12">
        <v>0.5</v>
      </c>
      <c r="AL10" s="12"/>
      <c r="AM10" s="12">
        <v>0.5</v>
      </c>
      <c r="AQ10" s="12"/>
      <c r="AR10" s="12">
        <v>0.5</v>
      </c>
      <c r="AS10" s="12"/>
      <c r="AT10" s="12">
        <v>0.5</v>
      </c>
      <c r="AX10" s="12"/>
      <c r="AY10" s="12">
        <v>0.5</v>
      </c>
      <c r="AZ10" s="12"/>
      <c r="BA10" s="12">
        <v>0.5</v>
      </c>
      <c r="BD10">
        <v>10</v>
      </c>
      <c r="BE10" s="12"/>
      <c r="BF10" s="12">
        <v>0.8</v>
      </c>
      <c r="BG10" s="12"/>
      <c r="BH10" s="12">
        <v>0.8</v>
      </c>
      <c r="BL10" s="12"/>
      <c r="BM10" s="12">
        <v>0.8</v>
      </c>
      <c r="BN10" s="12"/>
      <c r="BO10" s="12">
        <v>0.8</v>
      </c>
      <c r="BS10" s="12"/>
      <c r="BT10" s="12">
        <v>0.8</v>
      </c>
      <c r="BU10" s="12"/>
      <c r="BV10" s="12">
        <v>0.8</v>
      </c>
      <c r="BZ10" s="12"/>
      <c r="CA10" s="12">
        <v>0.8</v>
      </c>
      <c r="CB10" s="12"/>
      <c r="CC10" s="12">
        <v>0.8</v>
      </c>
      <c r="CG10" s="12"/>
      <c r="CH10" s="12">
        <v>0.8</v>
      </c>
      <c r="CI10" s="12"/>
      <c r="CJ10" s="12">
        <v>0.8</v>
      </c>
      <c r="CM10">
        <v>10</v>
      </c>
      <c r="CN10" s="12"/>
      <c r="CO10" s="12">
        <v>1</v>
      </c>
      <c r="CP10" s="12"/>
      <c r="CQ10" s="12">
        <v>1</v>
      </c>
      <c r="CU10" s="12"/>
      <c r="CV10" s="12">
        <v>1</v>
      </c>
      <c r="CW10" s="12"/>
      <c r="CX10" s="12">
        <v>1</v>
      </c>
      <c r="DB10" s="12"/>
      <c r="DC10" s="12">
        <v>1</v>
      </c>
      <c r="DD10" s="12"/>
      <c r="DE10" s="12">
        <v>1</v>
      </c>
      <c r="DI10" s="12"/>
      <c r="DJ10" s="12">
        <v>1</v>
      </c>
      <c r="DK10" s="12"/>
      <c r="DL10" s="12">
        <v>1</v>
      </c>
      <c r="DP10" s="12"/>
      <c r="DQ10" s="12">
        <v>1</v>
      </c>
      <c r="DR10" s="12"/>
      <c r="DS10" s="12">
        <v>1</v>
      </c>
      <c r="DV10">
        <v>2</v>
      </c>
      <c r="DW10" s="12"/>
      <c r="DX10" s="12">
        <v>1</v>
      </c>
      <c r="DY10" s="12"/>
      <c r="DZ10" s="12">
        <v>1</v>
      </c>
      <c r="EC10">
        <v>2</v>
      </c>
      <c r="ED10" s="12"/>
      <c r="EE10" s="12">
        <v>1</v>
      </c>
      <c r="EF10" s="12"/>
      <c r="EG10" s="12">
        <v>1</v>
      </c>
    </row>
    <row r="11" spans="2:138" outlineLevel="1" x14ac:dyDescent="0.2">
      <c r="B11" t="s">
        <v>28</v>
      </c>
      <c r="C11" t="s">
        <v>51</v>
      </c>
      <c r="E11" s="11"/>
      <c r="F11" t="s">
        <v>61</v>
      </c>
      <c r="G11" s="12">
        <v>0.1</v>
      </c>
      <c r="I11" s="11">
        <f t="shared" si="0"/>
        <v>34</v>
      </c>
      <c r="J11" s="13" cm="1">
        <f t="array" ref="J11">MAX(IF($N$3:$EH$3=$J$3,N11:EH11))</f>
        <v>0</v>
      </c>
      <c r="K11" s="13" cm="1">
        <f t="array" ref="K11">MAX(IF($N$3:$EH$3=$J$3,N11:EH11))</f>
        <v>0</v>
      </c>
      <c r="L11" s="11"/>
      <c r="O11" s="12"/>
      <c r="P11" s="12"/>
      <c r="Q11" s="12"/>
      <c r="R11" s="12"/>
      <c r="V11" s="12"/>
      <c r="W11" s="12"/>
      <c r="X11" s="12"/>
      <c r="Y11" s="12"/>
      <c r="AB11">
        <v>10</v>
      </c>
      <c r="AC11" s="12"/>
      <c r="AD11" s="12">
        <v>0.5</v>
      </c>
      <c r="AE11" s="12"/>
      <c r="AF11" s="12">
        <v>0.5</v>
      </c>
      <c r="AJ11" s="12"/>
      <c r="AK11" s="12">
        <v>0.5</v>
      </c>
      <c r="AL11" s="12"/>
      <c r="AM11" s="12">
        <v>0.5</v>
      </c>
      <c r="AQ11" s="12"/>
      <c r="AR11" s="12">
        <v>0.5</v>
      </c>
      <c r="AS11" s="12"/>
      <c r="AT11" s="12">
        <v>0.5</v>
      </c>
      <c r="AX11" s="12"/>
      <c r="AY11" s="12">
        <v>0.5</v>
      </c>
      <c r="AZ11" s="12"/>
      <c r="BA11" s="12">
        <v>0.5</v>
      </c>
      <c r="BE11" s="12"/>
      <c r="BF11" s="12">
        <v>0.5</v>
      </c>
      <c r="BG11" s="12"/>
      <c r="BH11" s="12">
        <v>0.5</v>
      </c>
      <c r="BK11">
        <v>10</v>
      </c>
      <c r="BL11" s="12"/>
      <c r="BM11" s="12">
        <v>0.8</v>
      </c>
      <c r="BN11" s="12"/>
      <c r="BO11" s="12">
        <v>0.8</v>
      </c>
      <c r="BS11" s="12"/>
      <c r="BT11" s="12">
        <v>0.8</v>
      </c>
      <c r="BU11" s="12"/>
      <c r="BV11" s="12">
        <v>0.8</v>
      </c>
      <c r="BZ11" s="12"/>
      <c r="CA11" s="12">
        <v>0.8</v>
      </c>
      <c r="CB11" s="12"/>
      <c r="CC11" s="12">
        <v>0.8</v>
      </c>
      <c r="CG11" s="12"/>
      <c r="CH11" s="12">
        <v>0.8</v>
      </c>
      <c r="CI11" s="12"/>
      <c r="CJ11" s="12">
        <v>0.8</v>
      </c>
      <c r="CN11" s="12"/>
      <c r="CO11" s="12">
        <v>0.8</v>
      </c>
      <c r="CP11" s="12"/>
      <c r="CQ11" s="12">
        <v>0.8</v>
      </c>
      <c r="CT11">
        <v>10</v>
      </c>
      <c r="CU11" s="12"/>
      <c r="CV11" s="12">
        <v>1</v>
      </c>
      <c r="CW11" s="12"/>
      <c r="CX11" s="12">
        <v>1</v>
      </c>
      <c r="DB11" s="12"/>
      <c r="DC11" s="12">
        <v>1</v>
      </c>
      <c r="DD11" s="12"/>
      <c r="DE11" s="12">
        <v>1</v>
      </c>
      <c r="DI11" s="12"/>
      <c r="DJ11" s="12">
        <v>1</v>
      </c>
      <c r="DK11" s="12"/>
      <c r="DL11" s="12">
        <v>1</v>
      </c>
      <c r="DP11" s="12"/>
      <c r="DQ11" s="12">
        <v>1</v>
      </c>
      <c r="DR11" s="12"/>
      <c r="DS11" s="12">
        <v>1</v>
      </c>
      <c r="DV11">
        <v>2</v>
      </c>
      <c r="DW11" s="12"/>
      <c r="DX11" s="12">
        <v>1</v>
      </c>
      <c r="DY11" s="12"/>
      <c r="DZ11" s="12">
        <v>1</v>
      </c>
      <c r="EC11">
        <v>2</v>
      </c>
      <c r="ED11" s="12"/>
      <c r="EE11" s="12">
        <v>1</v>
      </c>
      <c r="EF11" s="12"/>
      <c r="EG11" s="12">
        <v>1</v>
      </c>
    </row>
    <row r="12" spans="2:138" outlineLevel="1" x14ac:dyDescent="0.2">
      <c r="B12" t="s">
        <v>28</v>
      </c>
      <c r="C12" t="s">
        <v>51</v>
      </c>
      <c r="E12" s="11"/>
      <c r="F12" t="s">
        <v>62</v>
      </c>
      <c r="G12" s="12">
        <v>0.1</v>
      </c>
      <c r="I12" s="11">
        <f t="shared" si="0"/>
        <v>34</v>
      </c>
      <c r="J12" s="13" cm="1">
        <f t="array" ref="J12">MAX(IF($N$3:$EH$3=$J$3,N12:EH12))</f>
        <v>0</v>
      </c>
      <c r="K12" s="13" cm="1">
        <f t="array" ref="K12">MAX(IF($N$3:$EH$3=$J$3,N12:EH12))</f>
        <v>0</v>
      </c>
      <c r="L12" s="11"/>
      <c r="O12" s="12"/>
      <c r="P12" s="12"/>
      <c r="Q12" s="12"/>
      <c r="R12" s="12"/>
      <c r="V12" s="12"/>
      <c r="W12" s="12"/>
      <c r="X12" s="12"/>
      <c r="Y12" s="12"/>
      <c r="AC12" s="12"/>
      <c r="AD12" s="12"/>
      <c r="AE12" s="12"/>
      <c r="AF12" s="12"/>
      <c r="AI12">
        <v>10</v>
      </c>
      <c r="AJ12" s="12"/>
      <c r="AK12" s="12">
        <v>0.5</v>
      </c>
      <c r="AL12" s="12"/>
      <c r="AM12" s="12">
        <v>0.5</v>
      </c>
      <c r="AQ12" s="12"/>
      <c r="AR12" s="12">
        <v>0.5</v>
      </c>
      <c r="AS12" s="12"/>
      <c r="AT12" s="12">
        <v>0.5</v>
      </c>
      <c r="AX12" s="12"/>
      <c r="AY12" s="12">
        <v>0.5</v>
      </c>
      <c r="AZ12" s="12"/>
      <c r="BA12" s="12">
        <v>0.5</v>
      </c>
      <c r="BE12" s="12"/>
      <c r="BF12" s="12">
        <v>0.5</v>
      </c>
      <c r="BG12" s="12"/>
      <c r="BH12" s="12">
        <v>0.5</v>
      </c>
      <c r="BL12" s="12"/>
      <c r="BM12" s="12">
        <v>0.5</v>
      </c>
      <c r="BN12" s="12"/>
      <c r="BO12" s="12">
        <v>0.5</v>
      </c>
      <c r="BR12">
        <v>10</v>
      </c>
      <c r="BS12" s="12"/>
      <c r="BT12" s="12">
        <v>0.8</v>
      </c>
      <c r="BU12" s="12"/>
      <c r="BV12" s="12">
        <v>0.8</v>
      </c>
      <c r="BZ12" s="12"/>
      <c r="CA12" s="12">
        <v>0.8</v>
      </c>
      <c r="CB12" s="12"/>
      <c r="CC12" s="12">
        <v>0.8</v>
      </c>
      <c r="CG12" s="12"/>
      <c r="CH12" s="12">
        <v>0.8</v>
      </c>
      <c r="CI12" s="12"/>
      <c r="CJ12" s="12">
        <v>0.8</v>
      </c>
      <c r="CN12" s="12"/>
      <c r="CO12" s="12">
        <v>0.8</v>
      </c>
      <c r="CP12" s="12"/>
      <c r="CQ12" s="12">
        <v>0.8</v>
      </c>
      <c r="CU12" s="12"/>
      <c r="CV12" s="12">
        <v>0.8</v>
      </c>
      <c r="CW12" s="12"/>
      <c r="CX12" s="12">
        <v>0.8</v>
      </c>
      <c r="DA12">
        <v>10</v>
      </c>
      <c r="DB12" s="12"/>
      <c r="DC12" s="12">
        <v>1</v>
      </c>
      <c r="DD12" s="12"/>
      <c r="DE12" s="12">
        <v>1</v>
      </c>
      <c r="DI12" s="12"/>
      <c r="DJ12" s="12">
        <v>1</v>
      </c>
      <c r="DK12" s="12"/>
      <c r="DL12" s="12">
        <v>1</v>
      </c>
      <c r="DP12" s="12"/>
      <c r="DQ12" s="12">
        <v>1</v>
      </c>
      <c r="DR12" s="12"/>
      <c r="DS12" s="12">
        <v>1</v>
      </c>
      <c r="DV12">
        <v>2</v>
      </c>
      <c r="DW12" s="12"/>
      <c r="DX12" s="12">
        <v>1</v>
      </c>
      <c r="DY12" s="12"/>
      <c r="DZ12" s="12">
        <v>1</v>
      </c>
      <c r="EC12">
        <v>2</v>
      </c>
      <c r="ED12" s="12"/>
      <c r="EE12" s="12">
        <v>1</v>
      </c>
      <c r="EF12" s="12"/>
      <c r="EG12" s="12">
        <v>1</v>
      </c>
    </row>
    <row r="13" spans="2:138" outlineLevel="1" x14ac:dyDescent="0.2">
      <c r="B13" t="s">
        <v>28</v>
      </c>
      <c r="C13" t="s">
        <v>51</v>
      </c>
      <c r="E13" s="11"/>
      <c r="F13" t="s">
        <v>63</v>
      </c>
      <c r="G13" s="12">
        <v>0.1</v>
      </c>
      <c r="I13" s="11">
        <f t="shared" si="0"/>
        <v>36</v>
      </c>
      <c r="J13" s="13" cm="1">
        <f t="array" ref="J13">MAX(IF($N$3:$EH$3=$J$3,N13:EH13))</f>
        <v>0</v>
      </c>
      <c r="K13" s="13" cm="1">
        <f t="array" ref="K13">MAX(IF($N$3:$EH$3=$J$3,N13:EH13))</f>
        <v>0</v>
      </c>
      <c r="L13" s="11"/>
      <c r="O13" s="12"/>
      <c r="P13" s="12"/>
      <c r="Q13" s="12"/>
      <c r="R13" s="12"/>
      <c r="V13" s="12"/>
      <c r="W13" s="12"/>
      <c r="X13" s="12"/>
      <c r="Y13" s="12"/>
      <c r="AC13" s="12"/>
      <c r="AD13" s="12"/>
      <c r="AE13" s="12"/>
      <c r="AF13" s="12"/>
      <c r="AJ13" s="12"/>
      <c r="AK13" s="12"/>
      <c r="AL13" s="12"/>
      <c r="AM13" s="12"/>
      <c r="AP13">
        <v>10</v>
      </c>
      <c r="AQ13" s="12"/>
      <c r="AR13" s="12">
        <v>0.5</v>
      </c>
      <c r="AS13" s="12"/>
      <c r="AT13" s="12">
        <v>0.5</v>
      </c>
      <c r="AX13" s="12"/>
      <c r="AY13" s="12">
        <v>0.5</v>
      </c>
      <c r="AZ13" s="12"/>
      <c r="BA13" s="12">
        <v>0.5</v>
      </c>
      <c r="BE13" s="12"/>
      <c r="BF13" s="12">
        <v>0.5</v>
      </c>
      <c r="BG13" s="12"/>
      <c r="BH13" s="12">
        <v>0.5</v>
      </c>
      <c r="BL13" s="12"/>
      <c r="BM13" s="12">
        <v>0.5</v>
      </c>
      <c r="BN13" s="12"/>
      <c r="BO13" s="12">
        <v>0.5</v>
      </c>
      <c r="BS13" s="12"/>
      <c r="BT13" s="12">
        <v>0.5</v>
      </c>
      <c r="BU13" s="12"/>
      <c r="BV13" s="12">
        <v>0.5</v>
      </c>
      <c r="BY13">
        <v>10</v>
      </c>
      <c r="BZ13" s="12"/>
      <c r="CA13" s="12">
        <v>0.8</v>
      </c>
      <c r="CB13" s="12"/>
      <c r="CC13" s="12">
        <v>0.8</v>
      </c>
      <c r="CG13" s="12"/>
      <c r="CH13" s="12">
        <v>0.8</v>
      </c>
      <c r="CI13" s="12"/>
      <c r="CJ13" s="12">
        <v>0.8</v>
      </c>
      <c r="CN13" s="12"/>
      <c r="CO13" s="12">
        <v>0.8</v>
      </c>
      <c r="CP13" s="12"/>
      <c r="CQ13" s="12">
        <v>0.8</v>
      </c>
      <c r="CU13" s="12"/>
      <c r="CV13" s="12">
        <v>0.8</v>
      </c>
      <c r="CW13" s="12"/>
      <c r="CX13" s="12">
        <v>0.8</v>
      </c>
      <c r="DA13">
        <v>10</v>
      </c>
      <c r="DB13" s="12"/>
      <c r="DC13" s="12">
        <v>1</v>
      </c>
      <c r="DD13" s="12"/>
      <c r="DE13" s="12">
        <v>1</v>
      </c>
      <c r="DI13" s="12"/>
      <c r="DJ13" s="12">
        <v>1</v>
      </c>
      <c r="DK13" s="12"/>
      <c r="DL13" s="12">
        <v>1</v>
      </c>
      <c r="DO13">
        <v>2</v>
      </c>
      <c r="DP13" s="12"/>
      <c r="DQ13" s="12">
        <v>1</v>
      </c>
      <c r="DR13" s="12"/>
      <c r="DS13" s="12">
        <v>1</v>
      </c>
      <c r="DV13">
        <v>2</v>
      </c>
      <c r="DW13" s="12"/>
      <c r="DX13" s="12">
        <v>1</v>
      </c>
      <c r="DY13" s="12"/>
      <c r="DZ13" s="12">
        <v>1</v>
      </c>
      <c r="EC13">
        <v>2</v>
      </c>
      <c r="ED13" s="12"/>
      <c r="EE13" s="12">
        <v>1</v>
      </c>
      <c r="EF13" s="12"/>
      <c r="EG13" s="12">
        <v>1</v>
      </c>
    </row>
    <row r="14" spans="2:138" outlineLevel="1" x14ac:dyDescent="0.2">
      <c r="B14" t="s">
        <v>28</v>
      </c>
      <c r="C14" t="s">
        <v>51</v>
      </c>
      <c r="E14" s="11"/>
      <c r="F14" t="s">
        <v>64</v>
      </c>
      <c r="G14" s="12">
        <v>0.1</v>
      </c>
      <c r="I14" s="11">
        <f t="shared" si="0"/>
        <v>37</v>
      </c>
      <c r="J14" s="13" cm="1">
        <f t="array" ref="J14">MAX(IF($N$3:$EH$3=$J$3,N14:EH14))</f>
        <v>0</v>
      </c>
      <c r="K14" s="13" cm="1">
        <f t="array" ref="K14">MAX(IF($N$3:$EH$3=$J$3,N14:EH14))</f>
        <v>0</v>
      </c>
      <c r="L14" s="11"/>
      <c r="O14" s="12"/>
      <c r="P14" s="12"/>
      <c r="Q14" s="12"/>
      <c r="R14" s="12"/>
      <c r="V14" s="12"/>
      <c r="W14" s="12"/>
      <c r="X14" s="12"/>
      <c r="Y14" s="12"/>
      <c r="AC14" s="12"/>
      <c r="AD14" s="12"/>
      <c r="AE14" s="12"/>
      <c r="AF14" s="12"/>
      <c r="AJ14" s="12"/>
      <c r="AK14" s="12"/>
      <c r="AL14" s="12"/>
      <c r="AM14" s="12"/>
      <c r="AQ14" s="12"/>
      <c r="AR14" s="12"/>
      <c r="AS14" s="12"/>
      <c r="AT14" s="12"/>
      <c r="AW14">
        <v>10</v>
      </c>
      <c r="AX14" s="12"/>
      <c r="AY14" s="12">
        <v>0.5</v>
      </c>
      <c r="AZ14" s="12"/>
      <c r="BA14" s="12">
        <v>0.5</v>
      </c>
      <c r="BE14" s="12"/>
      <c r="BF14" s="12">
        <v>0.5</v>
      </c>
      <c r="BG14" s="12"/>
      <c r="BH14" s="12">
        <v>0.5</v>
      </c>
      <c r="BL14" s="12"/>
      <c r="BM14" s="12">
        <v>0.5</v>
      </c>
      <c r="BN14" s="12"/>
      <c r="BO14" s="12">
        <v>0.5</v>
      </c>
      <c r="BS14" s="12"/>
      <c r="BT14" s="12">
        <v>0.5</v>
      </c>
      <c r="BU14" s="12"/>
      <c r="BV14" s="12">
        <v>0.5</v>
      </c>
      <c r="BZ14" s="12"/>
      <c r="CA14" s="12">
        <v>0.5</v>
      </c>
      <c r="CB14" s="12"/>
      <c r="CC14" s="12">
        <v>0.5</v>
      </c>
      <c r="CF14">
        <v>10</v>
      </c>
      <c r="CG14" s="12"/>
      <c r="CH14" s="12">
        <v>0.8</v>
      </c>
      <c r="CI14" s="12"/>
      <c r="CJ14" s="12">
        <v>0.8</v>
      </c>
      <c r="CN14" s="12"/>
      <c r="CO14" s="12">
        <v>0.8</v>
      </c>
      <c r="CP14" s="12"/>
      <c r="CQ14" s="12">
        <v>0.8</v>
      </c>
      <c r="CU14" s="12"/>
      <c r="CV14" s="12">
        <v>0.8</v>
      </c>
      <c r="CW14" s="12"/>
      <c r="CX14" s="12">
        <v>0.8</v>
      </c>
      <c r="DB14" s="12"/>
      <c r="DC14" s="12">
        <v>0.8</v>
      </c>
      <c r="DD14" s="12"/>
      <c r="DE14" s="12">
        <v>0.8</v>
      </c>
      <c r="DH14">
        <v>10</v>
      </c>
      <c r="DI14" s="12"/>
      <c r="DJ14" s="12">
        <v>1</v>
      </c>
      <c r="DK14" s="12"/>
      <c r="DL14" s="12">
        <v>1</v>
      </c>
      <c r="DO14">
        <v>3</v>
      </c>
      <c r="DP14" s="12"/>
      <c r="DQ14" s="12">
        <v>1</v>
      </c>
      <c r="DR14" s="12"/>
      <c r="DS14" s="12">
        <v>1</v>
      </c>
      <c r="DV14">
        <v>2</v>
      </c>
      <c r="DW14" s="12"/>
      <c r="DX14" s="12">
        <v>1</v>
      </c>
      <c r="DY14" s="12"/>
      <c r="DZ14" s="12">
        <v>1</v>
      </c>
      <c r="EC14">
        <v>2</v>
      </c>
      <c r="ED14" s="12"/>
      <c r="EE14" s="12">
        <v>1</v>
      </c>
      <c r="EF14" s="12"/>
      <c r="EG14" s="12">
        <v>1</v>
      </c>
    </row>
    <row r="15" spans="2:138" outlineLevel="1" x14ac:dyDescent="0.2">
      <c r="B15" t="s">
        <v>28</v>
      </c>
      <c r="C15" t="s">
        <v>51</v>
      </c>
      <c r="E15" s="11"/>
      <c r="F15" t="s">
        <v>65</v>
      </c>
      <c r="G15" s="12">
        <v>0.1</v>
      </c>
      <c r="I15" s="11">
        <f t="shared" si="0"/>
        <v>37</v>
      </c>
      <c r="J15" s="13" cm="1">
        <f t="array" ref="J15">MAX(IF($N$3:$EH$3=$J$3,N15:EH15))</f>
        <v>0</v>
      </c>
      <c r="K15" s="13" cm="1">
        <f t="array" ref="K15">MAX(IF($N$3:$EH$3=$J$3,N15:EH15))</f>
        <v>0</v>
      </c>
      <c r="L15" s="11"/>
      <c r="O15" s="12"/>
      <c r="P15" s="12"/>
      <c r="Q15" s="12"/>
      <c r="R15" s="12"/>
      <c r="V15" s="12"/>
      <c r="W15" s="12"/>
      <c r="X15" s="12"/>
      <c r="Y15" s="12"/>
      <c r="AC15" s="12"/>
      <c r="AD15" s="12"/>
      <c r="AE15" s="12"/>
      <c r="AF15" s="12"/>
      <c r="AJ15" s="12"/>
      <c r="AK15" s="12"/>
      <c r="AL15" s="12"/>
      <c r="AM15" s="12"/>
      <c r="AQ15" s="12"/>
      <c r="AR15" s="12"/>
      <c r="AS15" s="12"/>
      <c r="AT15" s="12"/>
      <c r="AX15" s="12"/>
      <c r="AY15" s="12"/>
      <c r="AZ15" s="12"/>
      <c r="BA15" s="12"/>
      <c r="BD15">
        <v>10</v>
      </c>
      <c r="BE15" s="12"/>
      <c r="BF15" s="12">
        <v>0.5</v>
      </c>
      <c r="BG15" s="12"/>
      <c r="BH15" s="12">
        <v>0.5</v>
      </c>
      <c r="BL15" s="12"/>
      <c r="BM15" s="12">
        <v>0.5</v>
      </c>
      <c r="BN15" s="12"/>
      <c r="BO15" s="12">
        <v>0.5</v>
      </c>
      <c r="BS15" s="12"/>
      <c r="BT15" s="12">
        <v>0.5</v>
      </c>
      <c r="BU15" s="12"/>
      <c r="BV15" s="12">
        <v>0.5</v>
      </c>
      <c r="BZ15" s="12"/>
      <c r="CA15" s="12">
        <v>0.5</v>
      </c>
      <c r="CB15" s="12"/>
      <c r="CC15" s="12">
        <v>0.5</v>
      </c>
      <c r="CG15" s="12"/>
      <c r="CH15" s="12">
        <v>0.5</v>
      </c>
      <c r="CI15" s="12"/>
      <c r="CJ15" s="12">
        <v>0.5</v>
      </c>
      <c r="CM15">
        <v>10</v>
      </c>
      <c r="CN15" s="12"/>
      <c r="CO15" s="12">
        <v>0.8</v>
      </c>
      <c r="CP15" s="12"/>
      <c r="CQ15" s="12">
        <v>0.8</v>
      </c>
      <c r="CU15" s="12"/>
      <c r="CV15" s="12">
        <v>0.8</v>
      </c>
      <c r="CW15" s="12"/>
      <c r="CX15" s="12">
        <v>0.8</v>
      </c>
      <c r="DB15" s="12"/>
      <c r="DC15" s="12">
        <v>0.8</v>
      </c>
      <c r="DD15" s="12"/>
      <c r="DE15" s="12">
        <v>0.8</v>
      </c>
      <c r="DH15">
        <v>10</v>
      </c>
      <c r="DI15" s="12"/>
      <c r="DJ15" s="12">
        <v>1</v>
      </c>
      <c r="DK15" s="12"/>
      <c r="DL15" s="12">
        <v>1</v>
      </c>
      <c r="DO15">
        <v>3</v>
      </c>
      <c r="DP15" s="12"/>
      <c r="DQ15" s="12">
        <v>1</v>
      </c>
      <c r="DR15" s="12"/>
      <c r="DS15" s="12">
        <v>1</v>
      </c>
      <c r="DV15">
        <v>2</v>
      </c>
      <c r="DW15" s="12"/>
      <c r="DX15" s="12">
        <v>1</v>
      </c>
      <c r="DY15" s="12"/>
      <c r="DZ15" s="12">
        <v>1</v>
      </c>
      <c r="EC15">
        <v>2</v>
      </c>
      <c r="ED15" s="12"/>
      <c r="EE15" s="12">
        <v>1</v>
      </c>
      <c r="EF15" s="12"/>
      <c r="EG15" s="12">
        <v>1</v>
      </c>
    </row>
    <row r="16" spans="2:138" outlineLevel="1" x14ac:dyDescent="0.2">
      <c r="B16" t="s">
        <v>28</v>
      </c>
      <c r="C16" t="s">
        <v>51</v>
      </c>
      <c r="E16" s="11"/>
      <c r="F16" t="s">
        <v>66</v>
      </c>
      <c r="G16" s="12">
        <v>0.1</v>
      </c>
      <c r="I16" s="11">
        <f>+SUMIF($N$3:$ZZ$3,I$3,$N16:$ZZ16)</f>
        <v>34</v>
      </c>
      <c r="J16" s="13" cm="1">
        <f t="array" ref="J16">MAX(IF($N$3:$EH$3=$J$3,N16:EH16))</f>
        <v>0</v>
      </c>
      <c r="K16" s="13" cm="1">
        <f t="array" ref="K16">MAX(IF($N$3:$EH$3=$J$3,N16:EH16))</f>
        <v>0</v>
      </c>
      <c r="L16" s="11"/>
      <c r="O16" s="12"/>
      <c r="P16" s="12"/>
      <c r="Q16" s="12"/>
      <c r="R16" s="12"/>
      <c r="V16" s="12"/>
      <c r="W16" s="12"/>
      <c r="X16" s="12"/>
      <c r="Y16" s="12"/>
      <c r="AC16" s="12"/>
      <c r="AD16" s="12"/>
      <c r="AE16" s="12"/>
      <c r="AF16" s="12"/>
      <c r="AJ16" s="12"/>
      <c r="AK16" s="12"/>
      <c r="AL16" s="12"/>
      <c r="AM16" s="12"/>
      <c r="AQ16" s="12"/>
      <c r="AR16" s="12"/>
      <c r="AS16" s="12"/>
      <c r="AT16" s="12"/>
      <c r="AX16" s="12"/>
      <c r="AY16" s="12"/>
      <c r="AZ16" s="12"/>
      <c r="BA16" s="12"/>
      <c r="BE16" s="12"/>
      <c r="BF16" s="12"/>
      <c r="BG16" s="12"/>
      <c r="BH16" s="12"/>
      <c r="BK16">
        <v>10</v>
      </c>
      <c r="BL16" s="12"/>
      <c r="BM16" s="12">
        <v>0.5</v>
      </c>
      <c r="BN16" s="12"/>
      <c r="BO16" s="12">
        <v>0.5</v>
      </c>
      <c r="BS16" s="12"/>
      <c r="BT16" s="12">
        <v>0.5</v>
      </c>
      <c r="BU16" s="12"/>
      <c r="BV16" s="12">
        <v>0.5</v>
      </c>
      <c r="BZ16" s="12"/>
      <c r="CA16" s="12">
        <v>0.5</v>
      </c>
      <c r="CB16" s="12"/>
      <c r="CC16" s="12">
        <v>0.5</v>
      </c>
      <c r="CG16" s="12"/>
      <c r="CH16" s="12">
        <v>0.5</v>
      </c>
      <c r="CI16" s="12"/>
      <c r="CJ16" s="12">
        <v>0.5</v>
      </c>
      <c r="CN16" s="12"/>
      <c r="CO16" s="12">
        <v>0.5</v>
      </c>
      <c r="CP16" s="12"/>
      <c r="CQ16" s="12">
        <v>0.5</v>
      </c>
      <c r="CT16">
        <v>10</v>
      </c>
      <c r="CU16" s="12"/>
      <c r="CV16" s="12">
        <v>0.8</v>
      </c>
      <c r="CW16" s="12"/>
      <c r="CX16" s="12">
        <v>0.8</v>
      </c>
      <c r="DB16" s="12"/>
      <c r="DC16" s="12">
        <v>0.8</v>
      </c>
      <c r="DD16" s="12"/>
      <c r="DE16" s="12">
        <v>0.8</v>
      </c>
      <c r="DI16" s="12"/>
      <c r="DJ16" s="12">
        <v>0.8</v>
      </c>
      <c r="DK16" s="12"/>
      <c r="DL16" s="12">
        <v>0.8</v>
      </c>
      <c r="DO16">
        <v>10</v>
      </c>
      <c r="DP16" s="12"/>
      <c r="DQ16" s="12">
        <v>1</v>
      </c>
      <c r="DR16" s="12"/>
      <c r="DS16" s="12">
        <v>1</v>
      </c>
      <c r="DV16">
        <v>2</v>
      </c>
      <c r="DW16" s="12"/>
      <c r="DX16" s="12">
        <v>1</v>
      </c>
      <c r="DY16" s="12"/>
      <c r="DZ16" s="12">
        <v>1</v>
      </c>
      <c r="EC16">
        <v>2</v>
      </c>
      <c r="ED16" s="12"/>
      <c r="EE16" s="12">
        <v>1</v>
      </c>
      <c r="EF16" s="12"/>
      <c r="EG16" s="12">
        <v>1</v>
      </c>
    </row>
    <row r="17" spans="2:137" x14ac:dyDescent="0.2">
      <c r="O17" s="9"/>
      <c r="V17" s="9"/>
      <c r="AC17" s="9"/>
      <c r="AJ17" s="9"/>
      <c r="AQ17" s="9"/>
      <c r="AX17" s="9"/>
      <c r="BE17" s="9"/>
      <c r="BL17" s="9"/>
      <c r="BS17" s="9"/>
      <c r="BZ17" s="9"/>
      <c r="CG17" s="9"/>
      <c r="CN17" s="9"/>
      <c r="CU17" s="9"/>
      <c r="DB17" s="9"/>
      <c r="DI17" s="9"/>
      <c r="DP17" s="9"/>
      <c r="DW17" s="9"/>
      <c r="ED17" s="9"/>
    </row>
    <row r="18" spans="2:137" x14ac:dyDescent="0.2">
      <c r="B18" s="20" t="s">
        <v>27</v>
      </c>
      <c r="C18" s="20" t="s">
        <v>52</v>
      </c>
      <c r="D18" s="20"/>
      <c r="E18" s="11">
        <v>10</v>
      </c>
      <c r="G18" s="12">
        <f>+SUM(G19:G30)</f>
        <v>1</v>
      </c>
      <c r="I18" s="14">
        <f>+SUM(I19:I24)</f>
        <v>112</v>
      </c>
      <c r="J18" s="13">
        <f>+SUMPRODUCT(G19:G30,J19:J30)</f>
        <v>0</v>
      </c>
      <c r="K18" s="13">
        <f>+SUMPRODUCT(G19:G30,K19:K30)</f>
        <v>0</v>
      </c>
      <c r="L18" s="11"/>
      <c r="N18" s="14">
        <f>+SUM(N19:N24)</f>
        <v>13</v>
      </c>
      <c r="U18" s="14">
        <f>+SUM(U19:U24)</f>
        <v>13</v>
      </c>
      <c r="AB18" s="14">
        <f>+SUM(AB19:AB26)</f>
        <v>12</v>
      </c>
      <c r="AI18" s="14">
        <f>+SUM(AI19:AI26)</f>
        <v>10.5</v>
      </c>
      <c r="AP18" s="14">
        <f>+SUM(AP19:AP30)</f>
        <v>13</v>
      </c>
      <c r="AW18" s="14">
        <f>+SUM(AW19:AW30)</f>
        <v>13</v>
      </c>
      <c r="BD18" s="14">
        <f>+SUM(BD19:BD30)</f>
        <v>13</v>
      </c>
      <c r="BK18" s="14">
        <f>+SUM(BK19:BK30)</f>
        <v>14.5</v>
      </c>
      <c r="BR18" s="14">
        <f>+SUM(BR19:BR30)</f>
        <v>14.5</v>
      </c>
      <c r="BY18" s="14">
        <f>+SUM(BY19:BY30)</f>
        <v>13</v>
      </c>
      <c r="CF18" s="14">
        <f>+SUM(CF19:CF30)</f>
        <v>13</v>
      </c>
      <c r="CM18" s="14">
        <f>+SUM(CM19:CM30)</f>
        <v>13</v>
      </c>
      <c r="CT18" s="14">
        <f>+SUM(CT19:CT30)</f>
        <v>13</v>
      </c>
      <c r="DA18" s="14">
        <f>+SUM(DA19:DA30)</f>
        <v>12</v>
      </c>
      <c r="DH18" s="14">
        <f>+SUM(DH19:DH30)</f>
        <v>10.5</v>
      </c>
      <c r="DO18" s="14">
        <f>+SUM(DO19:DO30)</f>
        <v>13</v>
      </c>
      <c r="DV18" s="14">
        <f>+SUM(DV19:DV30)</f>
        <v>12.5</v>
      </c>
      <c r="EC18" s="14">
        <f>+SUM(EC19:EC30)</f>
        <v>14</v>
      </c>
    </row>
    <row r="19" spans="2:137" outlineLevel="1" x14ac:dyDescent="0.2">
      <c r="B19" t="s">
        <v>28</v>
      </c>
      <c r="C19" t="s">
        <v>53</v>
      </c>
      <c r="E19" s="11"/>
      <c r="F19" t="s">
        <v>67</v>
      </c>
      <c r="G19" s="12">
        <v>0.1</v>
      </c>
      <c r="I19" s="11">
        <f t="shared" ref="I19:I30" si="1">+SUMIF($N$3:$ZZ$3,I$3,$N19:$ZZ19)</f>
        <v>21.5</v>
      </c>
      <c r="J19" s="13" cm="1">
        <f t="array" ref="J19">MAX(IF($N$3:$EH$3=$J$3,N19:EH19))</f>
        <v>0</v>
      </c>
      <c r="K19" s="13" cm="1">
        <f t="array" ref="K19">MAX(IF($N$3:$EH$3=$J$3,N19:EH19))</f>
        <v>0</v>
      </c>
      <c r="L19" s="11"/>
      <c r="N19">
        <v>6.5</v>
      </c>
      <c r="O19" s="12"/>
      <c r="P19" s="12">
        <v>0.5</v>
      </c>
      <c r="Q19" s="12"/>
      <c r="R19" s="12">
        <v>0.5</v>
      </c>
      <c r="V19" s="12"/>
      <c r="W19" s="12">
        <v>0.5</v>
      </c>
      <c r="X19" s="12"/>
      <c r="Y19" s="12">
        <v>0.5</v>
      </c>
      <c r="AC19" s="12"/>
      <c r="AD19" s="12">
        <v>0.5</v>
      </c>
      <c r="AE19" s="12"/>
      <c r="AF19" s="12">
        <v>0.5</v>
      </c>
      <c r="AI19">
        <v>6.5</v>
      </c>
      <c r="AJ19" s="12"/>
      <c r="AK19" s="12">
        <v>0.8</v>
      </c>
      <c r="AL19" s="12"/>
      <c r="AM19" s="12">
        <v>0.8</v>
      </c>
      <c r="AQ19" s="12"/>
      <c r="AR19" s="12">
        <v>0.8</v>
      </c>
      <c r="AS19" s="12"/>
      <c r="AT19" s="12">
        <v>0.8</v>
      </c>
      <c r="AX19" s="12"/>
      <c r="AY19" s="12">
        <v>0.8</v>
      </c>
      <c r="AZ19" s="12"/>
      <c r="BA19" s="12">
        <v>0.8</v>
      </c>
      <c r="BE19" s="12"/>
      <c r="BF19" s="12">
        <v>0.8</v>
      </c>
      <c r="BG19" s="12"/>
      <c r="BH19" s="12">
        <v>0.8</v>
      </c>
      <c r="BL19" s="12"/>
      <c r="BM19" s="12">
        <v>0.8</v>
      </c>
      <c r="BN19" s="12"/>
      <c r="BO19" s="12">
        <v>0.8</v>
      </c>
      <c r="BS19" s="12"/>
      <c r="BT19" s="12">
        <v>0.8</v>
      </c>
      <c r="BU19" s="12"/>
      <c r="BV19" s="12">
        <v>0.8</v>
      </c>
      <c r="BY19">
        <v>6.5</v>
      </c>
      <c r="BZ19" s="12"/>
      <c r="CA19" s="12">
        <v>1</v>
      </c>
      <c r="CB19" s="12"/>
      <c r="CC19" s="12">
        <v>1</v>
      </c>
      <c r="CG19" s="12"/>
      <c r="CH19" s="12">
        <v>1</v>
      </c>
      <c r="CI19" s="12"/>
      <c r="CJ19" s="12">
        <v>1</v>
      </c>
      <c r="CN19" s="12"/>
      <c r="CO19" s="12">
        <v>1</v>
      </c>
      <c r="CP19" s="12"/>
      <c r="CQ19" s="12">
        <v>1</v>
      </c>
      <c r="CU19" s="12"/>
      <c r="CV19" s="12">
        <v>1</v>
      </c>
      <c r="CW19" s="12"/>
      <c r="CX19" s="12">
        <v>1</v>
      </c>
      <c r="DB19" s="12"/>
      <c r="DC19" s="12">
        <v>1</v>
      </c>
      <c r="DD19" s="12"/>
      <c r="DE19" s="12">
        <v>1</v>
      </c>
      <c r="DI19" s="12"/>
      <c r="DJ19" s="12">
        <v>1</v>
      </c>
      <c r="DK19" s="12"/>
      <c r="DL19" s="12">
        <v>1</v>
      </c>
      <c r="DP19" s="12"/>
      <c r="DQ19" s="12">
        <v>1</v>
      </c>
      <c r="DR19" s="12"/>
      <c r="DS19" s="12">
        <v>1</v>
      </c>
      <c r="DV19">
        <v>2</v>
      </c>
      <c r="DW19" s="12"/>
      <c r="DX19" s="12">
        <v>1</v>
      </c>
      <c r="DY19" s="12"/>
      <c r="DZ19" s="12">
        <v>1</v>
      </c>
      <c r="ED19" s="12"/>
      <c r="EE19" s="12">
        <v>1</v>
      </c>
      <c r="EF19" s="12"/>
      <c r="EG19" s="12">
        <v>1</v>
      </c>
    </row>
    <row r="20" spans="2:137" outlineLevel="1" x14ac:dyDescent="0.2">
      <c r="B20" t="s">
        <v>28</v>
      </c>
      <c r="C20" t="s">
        <v>53</v>
      </c>
      <c r="E20" s="11"/>
      <c r="F20" t="s">
        <v>68</v>
      </c>
      <c r="G20" s="12">
        <v>0.1</v>
      </c>
      <c r="I20" s="11">
        <f t="shared" si="1"/>
        <v>21.5</v>
      </c>
      <c r="J20" s="13" cm="1">
        <f t="array" ref="J20">MAX(IF($N$3:$EH$3=$J$3,N20:EH20))</f>
        <v>0</v>
      </c>
      <c r="K20" s="13" cm="1">
        <f t="array" ref="K20">MAX(IF($N$3:$EH$3=$J$3,N20:EH20))</f>
        <v>0</v>
      </c>
      <c r="L20" s="11"/>
      <c r="N20">
        <v>6.5</v>
      </c>
      <c r="O20" s="12"/>
      <c r="P20" s="12">
        <v>0.5</v>
      </c>
      <c r="Q20" s="12"/>
      <c r="R20" s="12">
        <v>0.5</v>
      </c>
      <c r="V20" s="12"/>
      <c r="W20" s="12">
        <v>0.5</v>
      </c>
      <c r="X20" s="12"/>
      <c r="Y20" s="12">
        <v>0.5</v>
      </c>
      <c r="AC20" s="12"/>
      <c r="AD20" s="12">
        <v>0.5</v>
      </c>
      <c r="AE20" s="12"/>
      <c r="AF20" s="12">
        <v>0.5</v>
      </c>
      <c r="AJ20" s="12"/>
      <c r="AK20" s="12">
        <v>0.5</v>
      </c>
      <c r="AL20" s="12"/>
      <c r="AM20" s="12">
        <v>0.5</v>
      </c>
      <c r="AP20">
        <v>6.5</v>
      </c>
      <c r="AQ20" s="12"/>
      <c r="AR20" s="12">
        <v>0.8</v>
      </c>
      <c r="AS20" s="12"/>
      <c r="AT20" s="12">
        <v>0.8</v>
      </c>
      <c r="AX20" s="12"/>
      <c r="AY20" s="12">
        <v>0.8</v>
      </c>
      <c r="AZ20" s="12"/>
      <c r="BA20" s="12">
        <v>0.8</v>
      </c>
      <c r="BE20" s="12"/>
      <c r="BF20" s="12">
        <v>0.8</v>
      </c>
      <c r="BG20" s="12"/>
      <c r="BH20" s="12">
        <v>0.8</v>
      </c>
      <c r="BL20" s="12"/>
      <c r="BM20" s="12">
        <v>0.8</v>
      </c>
      <c r="BN20" s="12"/>
      <c r="BO20" s="12">
        <v>0.8</v>
      </c>
      <c r="BS20" s="12"/>
      <c r="BT20" s="12">
        <v>0.8</v>
      </c>
      <c r="BU20" s="12"/>
      <c r="BV20" s="12">
        <v>0.8</v>
      </c>
      <c r="BZ20" s="12"/>
      <c r="CA20" s="12">
        <v>0.8</v>
      </c>
      <c r="CB20" s="12"/>
      <c r="CC20" s="12">
        <v>0.8</v>
      </c>
      <c r="CF20">
        <v>6.5</v>
      </c>
      <c r="CG20" s="12"/>
      <c r="CH20" s="12">
        <v>1</v>
      </c>
      <c r="CI20" s="12"/>
      <c r="CJ20" s="12">
        <v>1</v>
      </c>
      <c r="CN20" s="12"/>
      <c r="CO20" s="12">
        <v>1</v>
      </c>
      <c r="CP20" s="12"/>
      <c r="CQ20" s="12">
        <v>1</v>
      </c>
      <c r="CU20" s="12"/>
      <c r="CV20" s="12">
        <v>1</v>
      </c>
      <c r="CW20" s="12"/>
      <c r="CX20" s="12">
        <v>1</v>
      </c>
      <c r="DB20" s="12"/>
      <c r="DC20" s="12">
        <v>1</v>
      </c>
      <c r="DD20" s="12"/>
      <c r="DE20" s="12">
        <v>1</v>
      </c>
      <c r="DI20" s="12"/>
      <c r="DJ20" s="12">
        <v>1</v>
      </c>
      <c r="DK20" s="12"/>
      <c r="DL20" s="12">
        <v>1</v>
      </c>
      <c r="DP20" s="12"/>
      <c r="DQ20" s="12">
        <v>1</v>
      </c>
      <c r="DR20" s="12"/>
      <c r="DS20" s="12">
        <v>1</v>
      </c>
      <c r="DV20">
        <v>2</v>
      </c>
      <c r="DW20" s="12"/>
      <c r="DX20" s="12">
        <v>1</v>
      </c>
      <c r="DY20" s="12"/>
      <c r="DZ20" s="12">
        <v>1</v>
      </c>
      <c r="ED20" s="12"/>
      <c r="EE20" s="12">
        <v>1</v>
      </c>
      <c r="EF20" s="12"/>
      <c r="EG20" s="12">
        <v>1</v>
      </c>
    </row>
    <row r="21" spans="2:137" outlineLevel="1" x14ac:dyDescent="0.2">
      <c r="B21" t="s">
        <v>28</v>
      </c>
      <c r="C21" t="s">
        <v>53</v>
      </c>
      <c r="E21" s="11"/>
      <c r="F21" t="s">
        <v>69</v>
      </c>
      <c r="G21" s="12">
        <v>0.1</v>
      </c>
      <c r="I21" s="11">
        <f t="shared" si="1"/>
        <v>21.5</v>
      </c>
      <c r="J21" s="13" cm="1">
        <f t="array" ref="J21">MAX(IF($N$3:$EH$3=$J$3,N21:EH21))</f>
        <v>0</v>
      </c>
      <c r="K21" s="13" cm="1">
        <f t="array" ref="K21">MAX(IF($N$3:$EH$3=$J$3,N21:EH21))</f>
        <v>0</v>
      </c>
      <c r="L21" s="11"/>
      <c r="O21" s="12"/>
      <c r="P21" s="12"/>
      <c r="Q21" s="12"/>
      <c r="R21" s="12"/>
      <c r="U21">
        <v>6.5</v>
      </c>
      <c r="V21" s="12"/>
      <c r="W21" s="12">
        <v>0.5</v>
      </c>
      <c r="X21" s="12"/>
      <c r="Y21" s="12">
        <v>0.5</v>
      </c>
      <c r="AC21" s="12"/>
      <c r="AD21" s="12">
        <v>0.5</v>
      </c>
      <c r="AE21" s="12"/>
      <c r="AF21" s="12">
        <v>0.5</v>
      </c>
      <c r="AJ21" s="12"/>
      <c r="AK21" s="12">
        <v>0.5</v>
      </c>
      <c r="AL21" s="12"/>
      <c r="AM21" s="12">
        <v>0.5</v>
      </c>
      <c r="AQ21" s="12"/>
      <c r="AR21" s="12">
        <v>0.5</v>
      </c>
      <c r="AS21" s="12"/>
      <c r="AT21" s="12">
        <v>0.5</v>
      </c>
      <c r="AW21">
        <v>6.5</v>
      </c>
      <c r="AX21" s="12"/>
      <c r="AY21" s="12">
        <v>0.8</v>
      </c>
      <c r="AZ21" s="12"/>
      <c r="BA21" s="12">
        <v>0.8</v>
      </c>
      <c r="BE21" s="12"/>
      <c r="BF21" s="12">
        <v>0.8</v>
      </c>
      <c r="BG21" s="12"/>
      <c r="BH21" s="12">
        <v>0.8</v>
      </c>
      <c r="BL21" s="12"/>
      <c r="BM21" s="12">
        <v>0.8</v>
      </c>
      <c r="BN21" s="12"/>
      <c r="BO21" s="12">
        <v>0.8</v>
      </c>
      <c r="BS21" s="12"/>
      <c r="BT21" s="12">
        <v>0.8</v>
      </c>
      <c r="BU21" s="12"/>
      <c r="BV21" s="12">
        <v>0.8</v>
      </c>
      <c r="BZ21" s="12"/>
      <c r="CA21" s="12">
        <v>0.8</v>
      </c>
      <c r="CB21" s="12"/>
      <c r="CC21" s="12">
        <v>0.8</v>
      </c>
      <c r="CG21" s="12"/>
      <c r="CH21" s="12">
        <v>0.8</v>
      </c>
      <c r="CI21" s="12"/>
      <c r="CJ21" s="12">
        <v>0.8</v>
      </c>
      <c r="CM21">
        <v>6.5</v>
      </c>
      <c r="CN21" s="12"/>
      <c r="CO21" s="12">
        <v>1</v>
      </c>
      <c r="CP21" s="12"/>
      <c r="CQ21" s="12">
        <v>1</v>
      </c>
      <c r="CU21" s="12"/>
      <c r="CV21" s="12">
        <v>1</v>
      </c>
      <c r="CW21" s="12"/>
      <c r="CX21" s="12">
        <v>1</v>
      </c>
      <c r="DB21" s="12"/>
      <c r="DC21" s="12">
        <v>1</v>
      </c>
      <c r="DD21" s="12"/>
      <c r="DE21" s="12">
        <v>1</v>
      </c>
      <c r="DI21" s="12"/>
      <c r="DJ21" s="12">
        <v>1</v>
      </c>
      <c r="DK21" s="12"/>
      <c r="DL21" s="12">
        <v>1</v>
      </c>
      <c r="DP21" s="12"/>
      <c r="DQ21" s="12">
        <v>1</v>
      </c>
      <c r="DR21" s="12"/>
      <c r="DS21" s="12">
        <v>1</v>
      </c>
      <c r="DV21">
        <v>2</v>
      </c>
      <c r="DW21" s="12"/>
      <c r="DX21" s="12">
        <v>1</v>
      </c>
      <c r="DY21" s="12"/>
      <c r="DZ21" s="12">
        <v>1</v>
      </c>
      <c r="ED21" s="12"/>
      <c r="EE21" s="12">
        <v>1</v>
      </c>
      <c r="EF21" s="12"/>
      <c r="EG21" s="12">
        <v>1</v>
      </c>
    </row>
    <row r="22" spans="2:137" outlineLevel="1" x14ac:dyDescent="0.2">
      <c r="B22" t="s">
        <v>28</v>
      </c>
      <c r="C22" t="s">
        <v>53</v>
      </c>
      <c r="E22" s="11"/>
      <c r="F22" t="s">
        <v>70</v>
      </c>
      <c r="G22" s="12">
        <v>0.1</v>
      </c>
      <c r="I22" s="11">
        <f t="shared" si="1"/>
        <v>21.5</v>
      </c>
      <c r="J22" s="13" cm="1">
        <f t="array" ref="J22">MAX(IF($N$3:$EH$3=$J$3,N22:EH22))</f>
        <v>0</v>
      </c>
      <c r="K22" s="13" cm="1">
        <f t="array" ref="K22">MAX(IF($N$3:$EH$3=$J$3,N22:EH22))</f>
        <v>0</v>
      </c>
      <c r="L22" s="11"/>
      <c r="O22" s="12"/>
      <c r="P22" s="12"/>
      <c r="Q22" s="12"/>
      <c r="R22" s="12"/>
      <c r="U22">
        <v>6.5</v>
      </c>
      <c r="V22" s="12"/>
      <c r="W22" s="12">
        <v>0.5</v>
      </c>
      <c r="X22" s="12"/>
      <c r="Y22" s="12">
        <v>0.5</v>
      </c>
      <c r="AC22" s="12"/>
      <c r="AD22" s="12">
        <v>0.5</v>
      </c>
      <c r="AE22" s="12"/>
      <c r="AF22" s="12">
        <v>0.5</v>
      </c>
      <c r="AJ22" s="12"/>
      <c r="AK22" s="12">
        <v>0.5</v>
      </c>
      <c r="AL22" s="12"/>
      <c r="AM22" s="12">
        <v>0.5</v>
      </c>
      <c r="AQ22" s="12"/>
      <c r="AR22" s="12">
        <v>0.5</v>
      </c>
      <c r="AS22" s="12"/>
      <c r="AT22" s="12">
        <v>0.5</v>
      </c>
      <c r="AX22" s="12"/>
      <c r="AY22" s="12">
        <v>0.5</v>
      </c>
      <c r="AZ22" s="12"/>
      <c r="BA22" s="12">
        <v>0.5</v>
      </c>
      <c r="BD22">
        <v>6.5</v>
      </c>
      <c r="BE22" s="12"/>
      <c r="BF22" s="12">
        <v>0.8</v>
      </c>
      <c r="BG22" s="12"/>
      <c r="BH22" s="12">
        <v>0.8</v>
      </c>
      <c r="BL22" s="12"/>
      <c r="BM22" s="12">
        <v>0.8</v>
      </c>
      <c r="BN22" s="12"/>
      <c r="BO22" s="12">
        <v>0.8</v>
      </c>
      <c r="BS22" s="12"/>
      <c r="BT22" s="12">
        <v>0.8</v>
      </c>
      <c r="BU22" s="12"/>
      <c r="BV22" s="12">
        <v>0.8</v>
      </c>
      <c r="BZ22" s="12"/>
      <c r="CA22" s="12">
        <v>0.8</v>
      </c>
      <c r="CB22" s="12"/>
      <c r="CC22" s="12">
        <v>0.8</v>
      </c>
      <c r="CG22" s="12"/>
      <c r="CH22" s="12">
        <v>0.8</v>
      </c>
      <c r="CI22" s="12"/>
      <c r="CJ22" s="12">
        <v>0.8</v>
      </c>
      <c r="CN22" s="12"/>
      <c r="CO22" s="12">
        <v>0.8</v>
      </c>
      <c r="CP22" s="12"/>
      <c r="CQ22" s="12">
        <v>0.8</v>
      </c>
      <c r="CT22">
        <v>6.5</v>
      </c>
      <c r="CU22" s="12"/>
      <c r="CV22" s="12">
        <v>1</v>
      </c>
      <c r="CW22" s="12"/>
      <c r="CX22" s="12">
        <v>1</v>
      </c>
      <c r="DB22" s="12"/>
      <c r="DC22" s="12">
        <v>1</v>
      </c>
      <c r="DD22" s="12"/>
      <c r="DE22" s="12">
        <v>1</v>
      </c>
      <c r="DI22" s="12"/>
      <c r="DJ22" s="12">
        <v>1</v>
      </c>
      <c r="DK22" s="12"/>
      <c r="DL22" s="12">
        <v>1</v>
      </c>
      <c r="DP22" s="12"/>
      <c r="DQ22" s="12">
        <v>1</v>
      </c>
      <c r="DR22" s="12"/>
      <c r="DS22" s="12">
        <v>1</v>
      </c>
      <c r="DW22" s="12"/>
      <c r="DX22" s="12">
        <v>1</v>
      </c>
      <c r="DY22" s="12"/>
      <c r="DZ22" s="12">
        <v>1</v>
      </c>
      <c r="EC22">
        <v>2</v>
      </c>
      <c r="ED22" s="12"/>
      <c r="EE22" s="12">
        <v>1</v>
      </c>
      <c r="EF22" s="12"/>
      <c r="EG22" s="12">
        <v>1</v>
      </c>
    </row>
    <row r="23" spans="2:137" outlineLevel="1" x14ac:dyDescent="0.2">
      <c r="B23" t="s">
        <v>28</v>
      </c>
      <c r="C23" t="s">
        <v>53</v>
      </c>
      <c r="E23" s="11"/>
      <c r="F23" t="s">
        <v>71</v>
      </c>
      <c r="G23" s="12">
        <v>0.05</v>
      </c>
      <c r="I23" s="11">
        <f t="shared" si="1"/>
        <v>13</v>
      </c>
      <c r="J23" s="13" cm="1">
        <f t="array" ref="J23">MAX(IF($N$3:$EH$3=$J$3,N23:EH23))</f>
        <v>0</v>
      </c>
      <c r="K23" s="13" cm="1">
        <f t="array" ref="K23">MAX(IF($N$3:$EH$3=$J$3,N23:EH23))</f>
        <v>0</v>
      </c>
      <c r="L23" s="11"/>
      <c r="O23" s="12"/>
      <c r="P23" s="12"/>
      <c r="Q23" s="12"/>
      <c r="R23" s="12"/>
      <c r="V23" s="12"/>
      <c r="W23" s="12"/>
      <c r="X23" s="12"/>
      <c r="Y23" s="12"/>
      <c r="AB23">
        <v>4</v>
      </c>
      <c r="AC23" s="12"/>
      <c r="AD23" s="12">
        <v>0.5</v>
      </c>
      <c r="AE23" s="12"/>
      <c r="AF23" s="12">
        <v>0.5</v>
      </c>
      <c r="AJ23" s="12"/>
      <c r="AK23" s="12">
        <v>0.5</v>
      </c>
      <c r="AL23" s="12"/>
      <c r="AM23" s="12">
        <v>0.5</v>
      </c>
      <c r="AQ23" s="12"/>
      <c r="AR23" s="12">
        <v>0.5</v>
      </c>
      <c r="AS23" s="12"/>
      <c r="AT23" s="12">
        <v>0.5</v>
      </c>
      <c r="AX23" s="12"/>
      <c r="AY23" s="12">
        <v>0.5</v>
      </c>
      <c r="AZ23" s="12"/>
      <c r="BA23" s="12">
        <v>0.5</v>
      </c>
      <c r="BE23" s="12"/>
      <c r="BF23" s="12">
        <v>0.5</v>
      </c>
      <c r="BG23" s="12"/>
      <c r="BH23" s="12">
        <v>0.5</v>
      </c>
      <c r="BK23">
        <v>4</v>
      </c>
      <c r="BL23" s="12"/>
      <c r="BM23" s="12">
        <v>0.8</v>
      </c>
      <c r="BN23" s="12"/>
      <c r="BO23" s="12">
        <v>0.8</v>
      </c>
      <c r="BS23" s="12"/>
      <c r="BT23" s="12">
        <v>0.8</v>
      </c>
      <c r="BU23" s="12"/>
      <c r="BV23" s="12">
        <v>0.8</v>
      </c>
      <c r="BZ23" s="12"/>
      <c r="CA23" s="12">
        <v>0.8</v>
      </c>
      <c r="CB23" s="12"/>
      <c r="CC23" s="12">
        <v>0.8</v>
      </c>
      <c r="CG23" s="12"/>
      <c r="CH23" s="12">
        <v>0.8</v>
      </c>
      <c r="CI23" s="12"/>
      <c r="CJ23" s="12">
        <v>0.8</v>
      </c>
      <c r="CN23" s="12"/>
      <c r="CO23" s="12">
        <v>0.8</v>
      </c>
      <c r="CP23" s="12"/>
      <c r="CQ23" s="12">
        <v>0.8</v>
      </c>
      <c r="CU23" s="12"/>
      <c r="CV23" s="12">
        <v>0.8</v>
      </c>
      <c r="CW23" s="12"/>
      <c r="CX23" s="12">
        <v>0.8</v>
      </c>
      <c r="DA23">
        <v>4</v>
      </c>
      <c r="DB23" s="12"/>
      <c r="DC23" s="12">
        <v>1</v>
      </c>
      <c r="DD23" s="12"/>
      <c r="DE23" s="12">
        <v>1</v>
      </c>
      <c r="DI23" s="12"/>
      <c r="DJ23" s="12">
        <v>1</v>
      </c>
      <c r="DK23" s="12"/>
      <c r="DL23" s="12">
        <v>1</v>
      </c>
      <c r="DP23" s="12"/>
      <c r="DQ23" s="12">
        <v>1</v>
      </c>
      <c r="DR23" s="12"/>
      <c r="DS23" s="12">
        <v>1</v>
      </c>
      <c r="DW23" s="12"/>
      <c r="DX23" s="12">
        <v>1</v>
      </c>
      <c r="DY23" s="12"/>
      <c r="DZ23" s="12">
        <v>1</v>
      </c>
      <c r="EC23">
        <v>1</v>
      </c>
      <c r="ED23" s="12"/>
      <c r="EE23" s="12">
        <v>1</v>
      </c>
      <c r="EF23" s="12"/>
      <c r="EG23" s="12">
        <v>1</v>
      </c>
    </row>
    <row r="24" spans="2:137" outlineLevel="1" x14ac:dyDescent="0.2">
      <c r="B24" t="s">
        <v>28</v>
      </c>
      <c r="C24" t="s">
        <v>53</v>
      </c>
      <c r="E24" s="11"/>
      <c r="F24" t="s">
        <v>72</v>
      </c>
      <c r="G24" s="12">
        <v>0.05</v>
      </c>
      <c r="I24" s="11">
        <f t="shared" si="1"/>
        <v>13</v>
      </c>
      <c r="J24" s="13" cm="1">
        <f t="array" ref="J24">MAX(IF($N$3:$EH$3=$J$3,N24:EH24))</f>
        <v>0</v>
      </c>
      <c r="K24" s="13" cm="1">
        <f t="array" ref="K24">MAX(IF($N$3:$EH$3=$J$3,N24:EH24))</f>
        <v>0</v>
      </c>
      <c r="L24" s="11"/>
      <c r="O24" s="12"/>
      <c r="P24" s="12"/>
      <c r="Q24" s="12"/>
      <c r="R24" s="12"/>
      <c r="V24" s="12"/>
      <c r="W24" s="12"/>
      <c r="X24" s="12"/>
      <c r="Y24" s="12"/>
      <c r="AB24">
        <v>4</v>
      </c>
      <c r="AC24" s="12"/>
      <c r="AD24" s="12">
        <v>0.5</v>
      </c>
      <c r="AE24" s="12"/>
      <c r="AF24" s="12">
        <v>0.5</v>
      </c>
      <c r="AJ24" s="12"/>
      <c r="AK24" s="12">
        <v>0.5</v>
      </c>
      <c r="AL24" s="12"/>
      <c r="AM24" s="12">
        <v>0.5</v>
      </c>
      <c r="AQ24" s="12"/>
      <c r="AR24" s="12">
        <v>0.5</v>
      </c>
      <c r="AS24" s="12"/>
      <c r="AT24" s="12">
        <v>0.5</v>
      </c>
      <c r="AX24" s="12"/>
      <c r="AY24" s="12">
        <v>0.5</v>
      </c>
      <c r="AZ24" s="12"/>
      <c r="BA24" s="12">
        <v>0.5</v>
      </c>
      <c r="BE24" s="12"/>
      <c r="BF24" s="12">
        <v>0.5</v>
      </c>
      <c r="BG24" s="12"/>
      <c r="BH24" s="12">
        <v>0.5</v>
      </c>
      <c r="BK24">
        <v>4</v>
      </c>
      <c r="BL24" s="12"/>
      <c r="BM24" s="12">
        <v>0.8</v>
      </c>
      <c r="BN24" s="12"/>
      <c r="BO24" s="12">
        <v>0.8</v>
      </c>
      <c r="BS24" s="12"/>
      <c r="BT24" s="12">
        <v>0.8</v>
      </c>
      <c r="BU24" s="12"/>
      <c r="BV24" s="12">
        <v>0.8</v>
      </c>
      <c r="BZ24" s="12"/>
      <c r="CA24" s="12">
        <v>0.8</v>
      </c>
      <c r="CB24" s="12"/>
      <c r="CC24" s="12">
        <v>0.8</v>
      </c>
      <c r="CG24" s="12"/>
      <c r="CH24" s="12">
        <v>0.8</v>
      </c>
      <c r="CI24" s="12"/>
      <c r="CJ24" s="12">
        <v>0.8</v>
      </c>
      <c r="CN24" s="12"/>
      <c r="CO24" s="12">
        <v>0.8</v>
      </c>
      <c r="CP24" s="12"/>
      <c r="CQ24" s="12">
        <v>0.8</v>
      </c>
      <c r="CU24" s="12"/>
      <c r="CV24" s="12">
        <v>0.8</v>
      </c>
      <c r="CW24" s="12"/>
      <c r="CX24" s="12">
        <v>0.8</v>
      </c>
      <c r="DA24">
        <v>4</v>
      </c>
      <c r="DB24" s="12"/>
      <c r="DC24" s="12">
        <v>1</v>
      </c>
      <c r="DD24" s="12"/>
      <c r="DE24" s="12">
        <v>1</v>
      </c>
      <c r="DI24" s="12"/>
      <c r="DJ24" s="12">
        <v>1</v>
      </c>
      <c r="DK24" s="12"/>
      <c r="DL24" s="12">
        <v>1</v>
      </c>
      <c r="DP24" s="12"/>
      <c r="DQ24" s="12">
        <v>1</v>
      </c>
      <c r="DR24" s="12"/>
      <c r="DS24" s="12">
        <v>1</v>
      </c>
      <c r="DW24" s="12"/>
      <c r="DX24" s="12">
        <v>1</v>
      </c>
      <c r="DY24" s="12"/>
      <c r="DZ24" s="12">
        <v>1</v>
      </c>
      <c r="EC24">
        <v>1</v>
      </c>
      <c r="ED24" s="12"/>
      <c r="EE24" s="12">
        <v>1</v>
      </c>
      <c r="EF24" s="12"/>
      <c r="EG24" s="12">
        <v>1</v>
      </c>
    </row>
    <row r="25" spans="2:137" outlineLevel="1" x14ac:dyDescent="0.2">
      <c r="B25" t="s">
        <v>28</v>
      </c>
      <c r="C25" t="s">
        <v>53</v>
      </c>
      <c r="E25" s="11"/>
      <c r="F25" t="s">
        <v>73</v>
      </c>
      <c r="G25" s="12">
        <v>0.05</v>
      </c>
      <c r="I25" s="11">
        <f t="shared" si="1"/>
        <v>13</v>
      </c>
      <c r="J25" s="13" cm="1">
        <f t="array" ref="J25">MAX(IF($N$3:$EH$3=$J$3,N25:EH25))</f>
        <v>0</v>
      </c>
      <c r="K25" s="13" cm="1">
        <f t="array" ref="K25">MAX(IF($N$3:$EH$3=$J$3,N25:EH25))</f>
        <v>0</v>
      </c>
      <c r="L25" s="11"/>
      <c r="O25" s="12"/>
      <c r="P25" s="12"/>
      <c r="Q25" s="12"/>
      <c r="R25" s="12"/>
      <c r="V25" s="12"/>
      <c r="W25" s="12"/>
      <c r="X25" s="12"/>
      <c r="Y25" s="12"/>
      <c r="AB25">
        <v>4</v>
      </c>
      <c r="AC25" s="12"/>
      <c r="AD25" s="12">
        <v>0.5</v>
      </c>
      <c r="AE25" s="12"/>
      <c r="AF25" s="12">
        <v>0.5</v>
      </c>
      <c r="AJ25" s="12"/>
      <c r="AK25" s="12">
        <v>0.5</v>
      </c>
      <c r="AL25" s="12"/>
      <c r="AM25" s="12">
        <v>0.5</v>
      </c>
      <c r="AQ25" s="12"/>
      <c r="AR25" s="12">
        <v>0.5</v>
      </c>
      <c r="AS25" s="12"/>
      <c r="AT25" s="12">
        <v>0.5</v>
      </c>
      <c r="AX25" s="12"/>
      <c r="AY25" s="12">
        <v>0.5</v>
      </c>
      <c r="AZ25" s="12"/>
      <c r="BA25" s="12">
        <v>0.5</v>
      </c>
      <c r="BE25" s="12"/>
      <c r="BF25" s="12">
        <v>0.5</v>
      </c>
      <c r="BG25" s="12"/>
      <c r="BH25" s="12">
        <v>0.5</v>
      </c>
      <c r="BL25" s="12"/>
      <c r="BM25" s="12">
        <v>0.5</v>
      </c>
      <c r="BN25" s="12"/>
      <c r="BO25" s="12">
        <v>0.5</v>
      </c>
      <c r="BR25">
        <v>4</v>
      </c>
      <c r="BS25" s="12"/>
      <c r="BT25" s="12">
        <v>0.8</v>
      </c>
      <c r="BU25" s="12"/>
      <c r="BV25" s="12">
        <v>0.8</v>
      </c>
      <c r="BZ25" s="12"/>
      <c r="CA25" s="12">
        <v>0.8</v>
      </c>
      <c r="CB25" s="12"/>
      <c r="CC25" s="12">
        <v>0.8</v>
      </c>
      <c r="CG25" s="12"/>
      <c r="CH25" s="12">
        <v>0.8</v>
      </c>
      <c r="CI25" s="12"/>
      <c r="CJ25" s="12">
        <v>0.8</v>
      </c>
      <c r="CN25" s="12"/>
      <c r="CO25" s="12">
        <v>0.8</v>
      </c>
      <c r="CP25" s="12"/>
      <c r="CQ25" s="12">
        <v>0.8</v>
      </c>
      <c r="CU25" s="12"/>
      <c r="CV25" s="12">
        <v>0.8</v>
      </c>
      <c r="CW25" s="12"/>
      <c r="CX25" s="12">
        <v>0.8</v>
      </c>
      <c r="DA25">
        <v>4</v>
      </c>
      <c r="DB25" s="12"/>
      <c r="DC25" s="12">
        <v>1</v>
      </c>
      <c r="DD25" s="12"/>
      <c r="DE25" s="12">
        <v>1</v>
      </c>
      <c r="DI25" s="12"/>
      <c r="DJ25" s="12">
        <v>1</v>
      </c>
      <c r="DK25" s="12"/>
      <c r="DL25" s="12">
        <v>1</v>
      </c>
      <c r="DP25" s="12"/>
      <c r="DQ25" s="12">
        <v>1</v>
      </c>
      <c r="DR25" s="12"/>
      <c r="DS25" s="12">
        <v>1</v>
      </c>
      <c r="DW25" s="12"/>
      <c r="DX25" s="12">
        <v>1</v>
      </c>
      <c r="DY25" s="12"/>
      <c r="DZ25" s="12">
        <v>1</v>
      </c>
      <c r="EC25">
        <v>1</v>
      </c>
      <c r="ED25" s="12"/>
      <c r="EE25" s="12">
        <v>1</v>
      </c>
      <c r="EF25" s="12"/>
      <c r="EG25" s="12">
        <v>1</v>
      </c>
    </row>
    <row r="26" spans="2:137" outlineLevel="1" x14ac:dyDescent="0.2">
      <c r="B26" t="s">
        <v>28</v>
      </c>
      <c r="C26" t="s">
        <v>53</v>
      </c>
      <c r="E26" s="11"/>
      <c r="F26" t="s">
        <v>74</v>
      </c>
      <c r="G26" s="12">
        <v>0.05</v>
      </c>
      <c r="I26" s="11">
        <f t="shared" si="1"/>
        <v>13</v>
      </c>
      <c r="J26" s="13" cm="1">
        <f t="array" ref="J26">MAX(IF($N$3:$EH$3=$J$3,N26:EH26))</f>
        <v>0</v>
      </c>
      <c r="K26" s="13" cm="1">
        <f t="array" ref="K26">MAX(IF($N$3:$EH$3=$J$3,N26:EH26))</f>
        <v>0</v>
      </c>
      <c r="L26" s="11"/>
      <c r="O26" s="12"/>
      <c r="P26" s="12"/>
      <c r="Q26" s="12"/>
      <c r="R26" s="12"/>
      <c r="V26" s="12"/>
      <c r="W26" s="12"/>
      <c r="X26" s="12"/>
      <c r="Y26" s="12"/>
      <c r="AC26" s="12"/>
      <c r="AD26" s="12"/>
      <c r="AE26" s="12"/>
      <c r="AF26" s="12"/>
      <c r="AI26">
        <v>4</v>
      </c>
      <c r="AJ26" s="12"/>
      <c r="AK26" s="12">
        <v>0.5</v>
      </c>
      <c r="AL26" s="12"/>
      <c r="AM26" s="12">
        <v>0.5</v>
      </c>
      <c r="AQ26" s="12"/>
      <c r="AR26" s="12">
        <v>0.5</v>
      </c>
      <c r="AS26" s="12"/>
      <c r="AT26" s="12">
        <v>0.5</v>
      </c>
      <c r="AX26" s="12"/>
      <c r="AY26" s="12">
        <v>0.5</v>
      </c>
      <c r="AZ26" s="12"/>
      <c r="BA26" s="12">
        <v>0.5</v>
      </c>
      <c r="BE26" s="12"/>
      <c r="BF26" s="12">
        <v>0.5</v>
      </c>
      <c r="BG26" s="12"/>
      <c r="BH26" s="12">
        <v>0.5</v>
      </c>
      <c r="BL26" s="12"/>
      <c r="BM26" s="12">
        <v>0.5</v>
      </c>
      <c r="BN26" s="12"/>
      <c r="BO26" s="12">
        <v>0.5</v>
      </c>
      <c r="BR26">
        <v>4</v>
      </c>
      <c r="BS26" s="12"/>
      <c r="BT26" s="12">
        <v>0.8</v>
      </c>
      <c r="BU26" s="12"/>
      <c r="BV26" s="12">
        <v>0.8</v>
      </c>
      <c r="BZ26" s="12"/>
      <c r="CA26" s="12">
        <v>0.8</v>
      </c>
      <c r="CB26" s="12"/>
      <c r="CC26" s="12">
        <v>0.8</v>
      </c>
      <c r="CG26" s="12"/>
      <c r="CH26" s="12">
        <v>0.8</v>
      </c>
      <c r="CI26" s="12"/>
      <c r="CJ26" s="12">
        <v>0.8</v>
      </c>
      <c r="CN26" s="12"/>
      <c r="CO26" s="12">
        <v>0.8</v>
      </c>
      <c r="CP26" s="12"/>
      <c r="CQ26" s="12">
        <v>0.8</v>
      </c>
      <c r="CU26" s="12"/>
      <c r="CV26" s="12">
        <v>0.8</v>
      </c>
      <c r="CW26" s="12"/>
      <c r="CX26" s="12">
        <v>0.8</v>
      </c>
      <c r="DB26" s="12"/>
      <c r="DC26" s="12">
        <v>0.8</v>
      </c>
      <c r="DD26" s="12"/>
      <c r="DE26" s="12">
        <v>0.8</v>
      </c>
      <c r="DH26">
        <v>4</v>
      </c>
      <c r="DI26" s="12"/>
      <c r="DJ26" s="12">
        <v>1</v>
      </c>
      <c r="DK26" s="12"/>
      <c r="DL26" s="12">
        <v>1</v>
      </c>
      <c r="DP26" s="12"/>
      <c r="DQ26" s="12">
        <v>1</v>
      </c>
      <c r="DR26" s="12"/>
      <c r="DS26" s="12">
        <v>1</v>
      </c>
      <c r="DW26" s="12"/>
      <c r="DX26" s="12">
        <v>1</v>
      </c>
      <c r="DY26" s="12"/>
      <c r="DZ26" s="12">
        <v>1</v>
      </c>
      <c r="EC26">
        <v>1</v>
      </c>
      <c r="ED26" s="12"/>
      <c r="EE26" s="12">
        <v>1</v>
      </c>
      <c r="EF26" s="12"/>
      <c r="EG26" s="12">
        <v>1</v>
      </c>
    </row>
    <row r="27" spans="2:137" outlineLevel="1" x14ac:dyDescent="0.2">
      <c r="B27" t="s">
        <v>28</v>
      </c>
      <c r="C27" t="s">
        <v>53</v>
      </c>
      <c r="E27" s="11"/>
      <c r="F27" t="s">
        <v>75</v>
      </c>
      <c r="G27" s="12">
        <v>0.1</v>
      </c>
      <c r="I27" s="11">
        <f t="shared" si="1"/>
        <v>21.5</v>
      </c>
      <c r="J27" s="13" cm="1">
        <f t="array" ref="J27">MAX(IF($N$3:$EH$3=$J$3,N27:EH27))</f>
        <v>0</v>
      </c>
      <c r="K27" s="13" cm="1">
        <f t="array" ref="K27">MAX(IF($N$3:$EH$3=$J$3,N27:EH27))</f>
        <v>0</v>
      </c>
      <c r="L27" s="11"/>
      <c r="O27" s="12"/>
      <c r="P27" s="12"/>
      <c r="Q27" s="12"/>
      <c r="R27" s="12"/>
      <c r="V27" s="12"/>
      <c r="W27" s="12"/>
      <c r="X27" s="12"/>
      <c r="Y27" s="12"/>
      <c r="AC27" s="12"/>
      <c r="AD27" s="12"/>
      <c r="AE27" s="12"/>
      <c r="AF27" s="12"/>
      <c r="AJ27" s="12"/>
      <c r="AK27" s="12"/>
      <c r="AL27" s="12"/>
      <c r="AM27" s="12"/>
      <c r="AP27">
        <v>6.5</v>
      </c>
      <c r="AQ27" s="12"/>
      <c r="AR27" s="12">
        <v>0.5</v>
      </c>
      <c r="AS27" s="12"/>
      <c r="AT27" s="12">
        <v>0.5</v>
      </c>
      <c r="AX27" s="12"/>
      <c r="AY27" s="12">
        <v>0.5</v>
      </c>
      <c r="AZ27" s="12"/>
      <c r="BA27" s="12">
        <v>0.5</v>
      </c>
      <c r="BE27" s="12"/>
      <c r="BF27" s="12">
        <v>0.5</v>
      </c>
      <c r="BG27" s="12"/>
      <c r="BH27" s="12">
        <v>0.5</v>
      </c>
      <c r="BL27" s="12"/>
      <c r="BM27" s="12">
        <v>0.5</v>
      </c>
      <c r="BN27" s="12"/>
      <c r="BO27" s="12">
        <v>0.5</v>
      </c>
      <c r="BS27" s="12"/>
      <c r="BT27" s="12">
        <v>0.5</v>
      </c>
      <c r="BU27" s="12"/>
      <c r="BV27" s="12">
        <v>0.5</v>
      </c>
      <c r="BY27">
        <v>6.5</v>
      </c>
      <c r="BZ27" s="12"/>
      <c r="CA27" s="12">
        <v>0.8</v>
      </c>
      <c r="CB27" s="12"/>
      <c r="CC27" s="12">
        <v>0.8</v>
      </c>
      <c r="CG27" s="12"/>
      <c r="CH27" s="12">
        <v>0.8</v>
      </c>
      <c r="CI27" s="12"/>
      <c r="CJ27" s="12">
        <v>0.8</v>
      </c>
      <c r="CN27" s="12"/>
      <c r="CO27" s="12">
        <v>0.8</v>
      </c>
      <c r="CP27" s="12"/>
      <c r="CQ27" s="12">
        <v>0.8</v>
      </c>
      <c r="CU27" s="12"/>
      <c r="CV27" s="12">
        <v>0.8</v>
      </c>
      <c r="CW27" s="12"/>
      <c r="CX27" s="12">
        <v>0.8</v>
      </c>
      <c r="DB27" s="12"/>
      <c r="DC27" s="12">
        <v>0.8</v>
      </c>
      <c r="DD27" s="12"/>
      <c r="DE27" s="12">
        <v>0.8</v>
      </c>
      <c r="DH27">
        <v>6.5</v>
      </c>
      <c r="DI27" s="12"/>
      <c r="DJ27" s="12">
        <v>1</v>
      </c>
      <c r="DK27" s="12"/>
      <c r="DL27" s="12">
        <v>1</v>
      </c>
      <c r="DP27" s="12"/>
      <c r="DQ27" s="12">
        <v>1</v>
      </c>
      <c r="DR27" s="12"/>
      <c r="DS27" s="12">
        <v>1</v>
      </c>
      <c r="DW27" s="12"/>
      <c r="DX27" s="12">
        <v>1</v>
      </c>
      <c r="DY27" s="12"/>
      <c r="DZ27" s="12">
        <v>1</v>
      </c>
      <c r="EC27">
        <v>2</v>
      </c>
      <c r="ED27" s="12"/>
      <c r="EE27" s="12">
        <v>1</v>
      </c>
      <c r="EF27" s="12"/>
      <c r="EG27" s="12">
        <v>1</v>
      </c>
    </row>
    <row r="28" spans="2:137" outlineLevel="1" x14ac:dyDescent="0.2">
      <c r="B28" t="s">
        <v>28</v>
      </c>
      <c r="C28" t="s">
        <v>53</v>
      </c>
      <c r="E28" s="11"/>
      <c r="F28" t="s">
        <v>76</v>
      </c>
      <c r="G28" s="12">
        <v>0.1</v>
      </c>
      <c r="I28" s="11">
        <f t="shared" si="1"/>
        <v>21.5</v>
      </c>
      <c r="J28" s="13" cm="1">
        <f t="array" ref="J28">MAX(IF($N$3:$EH$3=$J$3,N28:EH28))</f>
        <v>0</v>
      </c>
      <c r="K28" s="13" cm="1">
        <f t="array" ref="K28">MAX(IF($N$3:$EH$3=$J$3,N28:EH28))</f>
        <v>0</v>
      </c>
      <c r="L28" s="11"/>
      <c r="O28" s="12"/>
      <c r="P28" s="12"/>
      <c r="Q28" s="12"/>
      <c r="R28" s="12"/>
      <c r="V28" s="12"/>
      <c r="W28" s="12"/>
      <c r="X28" s="12"/>
      <c r="Y28" s="12"/>
      <c r="AC28" s="12"/>
      <c r="AD28" s="12"/>
      <c r="AE28" s="12"/>
      <c r="AF28" s="12"/>
      <c r="AJ28" s="12"/>
      <c r="AK28" s="12"/>
      <c r="AL28" s="12"/>
      <c r="AM28" s="12"/>
      <c r="AQ28" s="12"/>
      <c r="AR28" s="12"/>
      <c r="AS28" s="12"/>
      <c r="AT28" s="12"/>
      <c r="AW28">
        <v>6.5</v>
      </c>
      <c r="AX28" s="12"/>
      <c r="AY28" s="12">
        <v>0.5</v>
      </c>
      <c r="AZ28" s="12"/>
      <c r="BA28" s="12">
        <v>0.5</v>
      </c>
      <c r="BE28" s="12"/>
      <c r="BF28" s="12">
        <v>0.5</v>
      </c>
      <c r="BG28" s="12"/>
      <c r="BH28" s="12">
        <v>0.5</v>
      </c>
      <c r="BL28" s="12"/>
      <c r="BM28" s="12">
        <v>0.5</v>
      </c>
      <c r="BN28" s="12"/>
      <c r="BO28" s="12">
        <v>0.5</v>
      </c>
      <c r="BS28" s="12"/>
      <c r="BT28" s="12">
        <v>0.5</v>
      </c>
      <c r="BU28" s="12"/>
      <c r="BV28" s="12">
        <v>0.5</v>
      </c>
      <c r="BZ28" s="12"/>
      <c r="CA28" s="12">
        <v>0.5</v>
      </c>
      <c r="CB28" s="12"/>
      <c r="CC28" s="12">
        <v>0.5</v>
      </c>
      <c r="CF28">
        <v>6.5</v>
      </c>
      <c r="CG28" s="12"/>
      <c r="CH28" s="12">
        <v>0.8</v>
      </c>
      <c r="CI28" s="12"/>
      <c r="CJ28" s="12">
        <v>0.8</v>
      </c>
      <c r="CN28" s="12"/>
      <c r="CO28" s="12">
        <v>0.8</v>
      </c>
      <c r="CP28" s="12"/>
      <c r="CQ28" s="12">
        <v>0.8</v>
      </c>
      <c r="CU28" s="12"/>
      <c r="CV28" s="12">
        <v>0.8</v>
      </c>
      <c r="CW28" s="12"/>
      <c r="CX28" s="12">
        <v>0.8</v>
      </c>
      <c r="DB28" s="12"/>
      <c r="DC28" s="12">
        <v>0.8</v>
      </c>
      <c r="DD28" s="12"/>
      <c r="DE28" s="12">
        <v>0.8</v>
      </c>
      <c r="DI28" s="12"/>
      <c r="DJ28" s="12">
        <v>0.8</v>
      </c>
      <c r="DK28" s="12"/>
      <c r="DL28" s="12">
        <v>0.8</v>
      </c>
      <c r="DO28">
        <v>6.5</v>
      </c>
      <c r="DP28" s="12"/>
      <c r="DQ28" s="12">
        <v>1</v>
      </c>
      <c r="DR28" s="12"/>
      <c r="DS28" s="12">
        <v>1</v>
      </c>
      <c r="DW28" s="12"/>
      <c r="DX28" s="12">
        <v>1</v>
      </c>
      <c r="DY28" s="12"/>
      <c r="DZ28" s="12">
        <v>1</v>
      </c>
      <c r="EC28">
        <v>2</v>
      </c>
      <c r="ED28" s="12"/>
      <c r="EE28" s="12">
        <v>1</v>
      </c>
      <c r="EF28" s="12"/>
      <c r="EG28" s="12">
        <v>1</v>
      </c>
    </row>
    <row r="29" spans="2:137" outlineLevel="1" x14ac:dyDescent="0.2">
      <c r="B29" t="s">
        <v>28</v>
      </c>
      <c r="C29" t="s">
        <v>53</v>
      </c>
      <c r="E29" s="11"/>
      <c r="F29" t="s">
        <v>77</v>
      </c>
      <c r="G29" s="12">
        <v>0.1</v>
      </c>
      <c r="I29" s="11">
        <f t="shared" si="1"/>
        <v>21.5</v>
      </c>
      <c r="J29" s="13" cm="1">
        <f t="array" ref="J29">MAX(IF($N$3:$EH$3=$J$3,N29:EH29))</f>
        <v>0</v>
      </c>
      <c r="K29" s="13" cm="1">
        <f t="array" ref="K29">MAX(IF($N$3:$EH$3=$J$3,N29:EH29))</f>
        <v>0</v>
      </c>
      <c r="L29" s="11"/>
      <c r="O29" s="12"/>
      <c r="P29" s="12"/>
      <c r="Q29" s="12"/>
      <c r="R29" s="12"/>
      <c r="V29" s="12"/>
      <c r="W29" s="12"/>
      <c r="X29" s="12"/>
      <c r="Y29" s="12"/>
      <c r="AC29" s="12"/>
      <c r="AD29" s="12"/>
      <c r="AE29" s="12"/>
      <c r="AF29" s="12"/>
      <c r="AJ29" s="12"/>
      <c r="AK29" s="12"/>
      <c r="AL29" s="12"/>
      <c r="AM29" s="12"/>
      <c r="AQ29" s="12"/>
      <c r="AR29" s="12"/>
      <c r="AS29" s="12"/>
      <c r="AT29" s="12"/>
      <c r="AX29" s="12"/>
      <c r="AY29" s="12"/>
      <c r="AZ29" s="12"/>
      <c r="BA29" s="12"/>
      <c r="BD29">
        <v>6.5</v>
      </c>
      <c r="BE29" s="12"/>
      <c r="BF29" s="12">
        <v>0.5</v>
      </c>
      <c r="BG29" s="12"/>
      <c r="BH29" s="12">
        <v>0.5</v>
      </c>
      <c r="BL29" s="12"/>
      <c r="BM29" s="12">
        <v>0.5</v>
      </c>
      <c r="BN29" s="12"/>
      <c r="BO29" s="12">
        <v>0.5</v>
      </c>
      <c r="BS29" s="12"/>
      <c r="BT29" s="12">
        <v>0.5</v>
      </c>
      <c r="BU29" s="12"/>
      <c r="BV29" s="12">
        <v>0.5</v>
      </c>
      <c r="BZ29" s="12"/>
      <c r="CA29" s="12">
        <v>0.5</v>
      </c>
      <c r="CB29" s="12"/>
      <c r="CC29" s="12">
        <v>0.5</v>
      </c>
      <c r="CG29" s="12"/>
      <c r="CH29" s="12">
        <v>0.5</v>
      </c>
      <c r="CI29" s="12"/>
      <c r="CJ29" s="12">
        <v>0.5</v>
      </c>
      <c r="CM29">
        <v>6.5</v>
      </c>
      <c r="CN29" s="12"/>
      <c r="CO29" s="12">
        <v>0.8</v>
      </c>
      <c r="CP29" s="12"/>
      <c r="CQ29" s="12">
        <v>0.8</v>
      </c>
      <c r="CU29" s="12"/>
      <c r="CV29" s="12">
        <v>0.8</v>
      </c>
      <c r="CW29" s="12"/>
      <c r="CX29" s="12">
        <v>0.8</v>
      </c>
      <c r="DB29" s="12"/>
      <c r="DC29" s="12">
        <v>0.8</v>
      </c>
      <c r="DD29" s="12"/>
      <c r="DE29" s="12">
        <v>0.8</v>
      </c>
      <c r="DI29" s="12"/>
      <c r="DJ29" s="12">
        <v>0.8</v>
      </c>
      <c r="DK29" s="12"/>
      <c r="DL29" s="12">
        <v>0.8</v>
      </c>
      <c r="DO29">
        <v>6.5</v>
      </c>
      <c r="DP29" s="12"/>
      <c r="DQ29" s="12">
        <v>1</v>
      </c>
      <c r="DR29" s="12"/>
      <c r="DS29" s="12">
        <v>1</v>
      </c>
      <c r="DW29" s="12"/>
      <c r="DX29" s="12">
        <v>1</v>
      </c>
      <c r="DY29" s="12"/>
      <c r="DZ29" s="12">
        <v>1</v>
      </c>
      <c r="EC29">
        <v>2</v>
      </c>
      <c r="ED29" s="12"/>
      <c r="EE29" s="12">
        <v>1</v>
      </c>
      <c r="EF29" s="12"/>
      <c r="EG29" s="12">
        <v>1</v>
      </c>
    </row>
    <row r="30" spans="2:137" outlineLevel="1" x14ac:dyDescent="0.2">
      <c r="B30" t="s">
        <v>28</v>
      </c>
      <c r="C30" t="s">
        <v>53</v>
      </c>
      <c r="E30" s="11"/>
      <c r="F30" t="s">
        <v>78</v>
      </c>
      <c r="G30" s="12">
        <v>0.1</v>
      </c>
      <c r="I30" s="11">
        <f t="shared" si="1"/>
        <v>28</v>
      </c>
      <c r="J30" s="13" cm="1">
        <f t="array" ref="J30">MAX(IF($N$3:$EH$3=$J$3,N30:EH30))</f>
        <v>0</v>
      </c>
      <c r="K30" s="13" cm="1">
        <f t="array" ref="K30">MAX(IF($N$3:$EH$3=$J$3,N30:EH30))</f>
        <v>0</v>
      </c>
      <c r="L30" s="11"/>
      <c r="O30" s="12"/>
      <c r="P30" s="12"/>
      <c r="Q30" s="12"/>
      <c r="R30" s="12"/>
      <c r="V30" s="12"/>
      <c r="W30" s="12"/>
      <c r="X30" s="12"/>
      <c r="Y30" s="12"/>
      <c r="AC30" s="12"/>
      <c r="AD30" s="12"/>
      <c r="AE30" s="12"/>
      <c r="AF30" s="12"/>
      <c r="AJ30" s="12"/>
      <c r="AK30" s="12"/>
      <c r="AL30" s="12"/>
      <c r="AM30" s="12"/>
      <c r="AQ30" s="12"/>
      <c r="AR30" s="12"/>
      <c r="AS30" s="12"/>
      <c r="AT30" s="12"/>
      <c r="AX30" s="12"/>
      <c r="AY30" s="12"/>
      <c r="AZ30" s="12"/>
      <c r="BA30" s="12"/>
      <c r="BE30" s="12"/>
      <c r="BF30" s="12"/>
      <c r="BG30" s="12"/>
      <c r="BH30" s="12"/>
      <c r="BK30">
        <v>6.5</v>
      </c>
      <c r="BL30" s="12"/>
      <c r="BM30" s="12">
        <v>0.5</v>
      </c>
      <c r="BN30" s="12"/>
      <c r="BO30" s="12">
        <v>0.5</v>
      </c>
      <c r="BR30">
        <v>6.5</v>
      </c>
      <c r="BS30" s="12"/>
      <c r="BT30" s="12">
        <v>0.5</v>
      </c>
      <c r="BU30" s="12"/>
      <c r="BV30" s="12">
        <v>0.5</v>
      </c>
      <c r="BZ30" s="12"/>
      <c r="CA30" s="12">
        <v>0.5</v>
      </c>
      <c r="CB30" s="12"/>
      <c r="CC30" s="12">
        <v>0.5</v>
      </c>
      <c r="CG30" s="12"/>
      <c r="CH30" s="12">
        <v>0.5</v>
      </c>
      <c r="CI30" s="12"/>
      <c r="CJ30" s="12">
        <v>0.5</v>
      </c>
      <c r="CN30" s="12"/>
      <c r="CO30" s="12">
        <v>0.5</v>
      </c>
      <c r="CP30" s="12"/>
      <c r="CQ30" s="12">
        <v>0.5</v>
      </c>
      <c r="CT30">
        <v>6.5</v>
      </c>
      <c r="CU30" s="12"/>
      <c r="CV30" s="12">
        <v>0.8</v>
      </c>
      <c r="CW30" s="12"/>
      <c r="CX30" s="12">
        <v>0.8</v>
      </c>
      <c r="DB30" s="12"/>
      <c r="DC30" s="12">
        <v>0.8</v>
      </c>
      <c r="DD30" s="12"/>
      <c r="DE30" s="12">
        <v>0.8</v>
      </c>
      <c r="DI30" s="12"/>
      <c r="DJ30" s="12">
        <v>0.8</v>
      </c>
      <c r="DK30" s="12"/>
      <c r="DL30" s="12">
        <v>0.8</v>
      </c>
      <c r="DP30" s="12"/>
      <c r="DQ30" s="12">
        <v>0.8</v>
      </c>
      <c r="DR30" s="12"/>
      <c r="DS30" s="12">
        <v>0.8</v>
      </c>
      <c r="DV30">
        <v>6.5</v>
      </c>
      <c r="DW30" s="12"/>
      <c r="DX30" s="12">
        <v>1</v>
      </c>
      <c r="DY30" s="12"/>
      <c r="DZ30" s="12">
        <v>1</v>
      </c>
      <c r="EC30">
        <v>2</v>
      </c>
      <c r="ED30" s="12"/>
      <c r="EE30" s="12">
        <v>1</v>
      </c>
      <c r="EF30" s="12"/>
      <c r="EG30" s="12">
        <v>1</v>
      </c>
    </row>
    <row r="32" spans="2:137" x14ac:dyDescent="0.2">
      <c r="B32" s="21" t="s">
        <v>27</v>
      </c>
      <c r="C32" s="21" t="s">
        <v>54</v>
      </c>
      <c r="D32" s="21"/>
      <c r="E32" s="11">
        <v>5</v>
      </c>
      <c r="G32" s="12">
        <f>+SUM(G33:G45)</f>
        <v>1</v>
      </c>
      <c r="I32" s="14">
        <f>+SUM(I33:I44)</f>
        <v>126</v>
      </c>
      <c r="J32" s="13">
        <f>+SUMPRODUCT(G33:G45,J33:J45)</f>
        <v>0</v>
      </c>
      <c r="K32" s="13">
        <f>+SUMPRODUCT(G33:G45,K33:K45)</f>
        <v>0</v>
      </c>
      <c r="L32" s="11"/>
      <c r="N32" s="14">
        <f>+SUM(N33:N44)</f>
        <v>7</v>
      </c>
      <c r="U32" s="14">
        <f>+SUM(U33:U44)</f>
        <v>7</v>
      </c>
      <c r="AB32" s="14">
        <f>+SUM(AB33:AB44)</f>
        <v>7</v>
      </c>
      <c r="AI32" s="14">
        <f>+SUM(AI33:AI44)</f>
        <v>7</v>
      </c>
      <c r="AP32" s="14">
        <f>+SUM(AP33:AP44)</f>
        <v>7</v>
      </c>
      <c r="AW32" s="14">
        <f>+SUM(AW33:AW44)</f>
        <v>7</v>
      </c>
      <c r="BD32" s="14">
        <f>+SUM(BD33:BD44)</f>
        <v>7</v>
      </c>
      <c r="BK32" s="14">
        <f>+SUM(BK33:BK44)</f>
        <v>7</v>
      </c>
      <c r="BR32" s="14">
        <f>+SUM(BR33:BR44)</f>
        <v>7</v>
      </c>
      <c r="BY32" s="14">
        <f>+SUM(BY33:BY44)</f>
        <v>7</v>
      </c>
      <c r="CF32" s="14">
        <f>+SUM(CF33:CF44)</f>
        <v>7</v>
      </c>
      <c r="CM32" s="14">
        <f>+SUM(CM33:CM44)</f>
        <v>7</v>
      </c>
      <c r="CT32" s="14">
        <f>+SUM(CT33:CT44)</f>
        <v>7</v>
      </c>
      <c r="DA32" s="14">
        <f>+SUM(DA33:DA44)</f>
        <v>7</v>
      </c>
      <c r="DH32" s="14">
        <f>+SUM(DH33:DH44)</f>
        <v>7</v>
      </c>
      <c r="DO32" s="14">
        <f>+SUM(DO33:DO44)</f>
        <v>7</v>
      </c>
      <c r="DV32" s="14">
        <f>+SUM(DV33:DV44)</f>
        <v>7</v>
      </c>
      <c r="EC32" s="14">
        <f>+SUM(EC33:EC44)</f>
        <v>7</v>
      </c>
    </row>
    <row r="33" spans="2:137" outlineLevel="1" x14ac:dyDescent="0.2">
      <c r="B33" t="s">
        <v>28</v>
      </c>
      <c r="C33" t="s">
        <v>55</v>
      </c>
      <c r="E33" s="11"/>
      <c r="F33" t="s">
        <v>79</v>
      </c>
      <c r="G33" s="12">
        <v>0.1</v>
      </c>
      <c r="I33" s="11">
        <f t="shared" ref="I33:I38" si="2">+SUMIF($N$3:$ZZ$3,I$3,$N33:$ZZ33)</f>
        <v>21</v>
      </c>
      <c r="J33" s="13" cm="1">
        <f t="array" ref="J33">MAX(IF($N$3:$EH$3=$J$3,N33:EH33))</f>
        <v>0</v>
      </c>
      <c r="K33" s="13" cm="1">
        <f t="array" ref="K33">MAX(IF($N$3:$EH$3=$J$3,N33:EH33))</f>
        <v>0</v>
      </c>
      <c r="L33" s="11"/>
      <c r="N33">
        <v>7</v>
      </c>
      <c r="O33" s="12"/>
      <c r="P33" s="12">
        <v>0.5</v>
      </c>
      <c r="Q33" s="12"/>
      <c r="R33" s="12">
        <v>0.5</v>
      </c>
      <c r="V33" s="12"/>
      <c r="W33" s="12">
        <v>0.5</v>
      </c>
      <c r="X33" s="12"/>
      <c r="Y33" s="12">
        <v>0.5</v>
      </c>
      <c r="AC33" s="12"/>
      <c r="AD33" s="12">
        <v>0.5</v>
      </c>
      <c r="AE33" s="12"/>
      <c r="AF33" s="12">
        <v>0.5</v>
      </c>
      <c r="AJ33" s="12"/>
      <c r="AK33" s="12">
        <v>0.5</v>
      </c>
      <c r="AL33" s="12"/>
      <c r="AM33" s="12">
        <v>0.5</v>
      </c>
      <c r="AP33">
        <v>7</v>
      </c>
      <c r="AQ33" s="12"/>
      <c r="AR33" s="12">
        <v>0.8</v>
      </c>
      <c r="AS33" s="12"/>
      <c r="AT33" s="12">
        <v>0.8</v>
      </c>
      <c r="AX33" s="12"/>
      <c r="AY33" s="12">
        <v>0.8</v>
      </c>
      <c r="AZ33" s="12"/>
      <c r="BA33" s="12">
        <v>0.8</v>
      </c>
      <c r="BE33" s="12"/>
      <c r="BF33" s="12">
        <v>0.8</v>
      </c>
      <c r="BG33" s="12"/>
      <c r="BH33" s="12">
        <v>0.8</v>
      </c>
      <c r="BL33" s="12"/>
      <c r="BM33" s="12">
        <v>0.8</v>
      </c>
      <c r="BN33" s="12"/>
      <c r="BO33" s="12">
        <v>0.8</v>
      </c>
      <c r="BS33" s="12"/>
      <c r="BT33" s="12">
        <v>0.8</v>
      </c>
      <c r="BU33" s="12"/>
      <c r="BV33" s="12">
        <v>0.8</v>
      </c>
      <c r="BY33">
        <v>7</v>
      </c>
      <c r="BZ33" s="12"/>
      <c r="CA33" s="12">
        <v>1</v>
      </c>
      <c r="CB33" s="12"/>
      <c r="CC33" s="12">
        <v>1</v>
      </c>
      <c r="CG33" s="12"/>
      <c r="CH33" s="12">
        <v>1</v>
      </c>
      <c r="CI33" s="12"/>
      <c r="CJ33" s="12">
        <v>1</v>
      </c>
      <c r="CN33" s="12"/>
      <c r="CO33" s="12">
        <v>1</v>
      </c>
      <c r="CP33" s="12"/>
      <c r="CQ33" s="12">
        <v>1</v>
      </c>
      <c r="CU33" s="12"/>
      <c r="CV33" s="12">
        <v>1</v>
      </c>
      <c r="CW33" s="12"/>
      <c r="CX33" s="12">
        <v>1</v>
      </c>
      <c r="DB33" s="12"/>
      <c r="DC33" s="12">
        <v>1</v>
      </c>
      <c r="DD33" s="12"/>
      <c r="DE33" s="12">
        <v>1</v>
      </c>
      <c r="DI33" s="12"/>
      <c r="DJ33" s="12">
        <v>1</v>
      </c>
      <c r="DK33" s="12"/>
      <c r="DL33" s="12">
        <v>1</v>
      </c>
      <c r="DP33" s="12"/>
      <c r="DQ33" s="12">
        <v>1</v>
      </c>
      <c r="DR33" s="12"/>
      <c r="DS33" s="12">
        <v>1</v>
      </c>
      <c r="DW33" s="12"/>
      <c r="DX33" s="12">
        <v>1</v>
      </c>
      <c r="DY33" s="12"/>
      <c r="DZ33" s="12">
        <v>1</v>
      </c>
      <c r="ED33" s="12"/>
      <c r="EE33" s="12">
        <v>1</v>
      </c>
      <c r="EF33" s="12"/>
      <c r="EG33" s="12">
        <v>1</v>
      </c>
    </row>
    <row r="34" spans="2:137" outlineLevel="1" x14ac:dyDescent="0.2">
      <c r="B34" t="s">
        <v>28</v>
      </c>
      <c r="C34" t="s">
        <v>55</v>
      </c>
      <c r="E34" s="11"/>
      <c r="F34" t="s">
        <v>80</v>
      </c>
      <c r="G34" s="12">
        <v>0.2</v>
      </c>
      <c r="I34" s="11">
        <f t="shared" si="2"/>
        <v>21</v>
      </c>
      <c r="J34" s="13" cm="1">
        <f t="array" ref="J34">MAX(IF($N$3:$EH$3=$J$3,N34:EH34))</f>
        <v>0</v>
      </c>
      <c r="K34" s="13" cm="1">
        <f t="array" ref="K34">MAX(IF($N$3:$EH$3=$J$3,N34:EH34))</f>
        <v>0</v>
      </c>
      <c r="L34" s="11"/>
      <c r="O34" s="12"/>
      <c r="P34" s="12"/>
      <c r="Q34" s="12"/>
      <c r="R34" s="12"/>
      <c r="U34">
        <v>7</v>
      </c>
      <c r="V34" s="12"/>
      <c r="W34" s="12">
        <v>0.5</v>
      </c>
      <c r="X34" s="12"/>
      <c r="Y34" s="12">
        <v>0.5</v>
      </c>
      <c r="AC34" s="12"/>
      <c r="AD34" s="12">
        <v>0.5</v>
      </c>
      <c r="AE34" s="12"/>
      <c r="AF34" s="12">
        <v>0.5</v>
      </c>
      <c r="AJ34" s="12"/>
      <c r="AK34" s="12">
        <v>0.5</v>
      </c>
      <c r="AL34" s="12"/>
      <c r="AM34" s="12">
        <v>0.5</v>
      </c>
      <c r="AQ34" s="12"/>
      <c r="AR34" s="12">
        <v>0.5</v>
      </c>
      <c r="AS34" s="12"/>
      <c r="AT34" s="12">
        <v>0.5</v>
      </c>
      <c r="AX34" s="12"/>
      <c r="AY34" s="12">
        <v>0.5</v>
      </c>
      <c r="AZ34" s="12"/>
      <c r="BA34" s="12">
        <v>0.5</v>
      </c>
      <c r="BD34">
        <v>7</v>
      </c>
      <c r="BE34" s="12"/>
      <c r="BF34" s="12">
        <v>0.8</v>
      </c>
      <c r="BG34" s="12"/>
      <c r="BH34" s="12">
        <v>0.8</v>
      </c>
      <c r="BL34" s="12"/>
      <c r="BM34" s="12">
        <v>0.8</v>
      </c>
      <c r="BN34" s="12"/>
      <c r="BO34" s="12">
        <v>0.8</v>
      </c>
      <c r="BS34" s="12"/>
      <c r="BT34" s="12">
        <v>0.8</v>
      </c>
      <c r="BU34" s="12"/>
      <c r="BV34" s="12">
        <v>0.8</v>
      </c>
      <c r="BZ34" s="12"/>
      <c r="CA34" s="12">
        <v>0.8</v>
      </c>
      <c r="CB34" s="12"/>
      <c r="CC34" s="12">
        <v>0.8</v>
      </c>
      <c r="CG34" s="12"/>
      <c r="CH34" s="12">
        <v>0.8</v>
      </c>
      <c r="CI34" s="12"/>
      <c r="CJ34" s="12">
        <v>0.8</v>
      </c>
      <c r="CM34">
        <v>7</v>
      </c>
      <c r="CN34" s="12"/>
      <c r="CO34" s="12">
        <v>1</v>
      </c>
      <c r="CP34" s="12"/>
      <c r="CQ34" s="12">
        <v>1</v>
      </c>
      <c r="CU34" s="12"/>
      <c r="CV34" s="12">
        <v>1</v>
      </c>
      <c r="CW34" s="12"/>
      <c r="CX34" s="12">
        <v>1</v>
      </c>
      <c r="DB34" s="12"/>
      <c r="DC34" s="12">
        <v>1</v>
      </c>
      <c r="DD34" s="12"/>
      <c r="DE34" s="12">
        <v>1</v>
      </c>
      <c r="DI34" s="12"/>
      <c r="DJ34" s="12">
        <v>1</v>
      </c>
      <c r="DK34" s="12"/>
      <c r="DL34" s="12">
        <v>1</v>
      </c>
      <c r="DP34" s="12"/>
      <c r="DQ34" s="12">
        <v>1</v>
      </c>
      <c r="DR34" s="12"/>
      <c r="DS34" s="12">
        <v>1</v>
      </c>
      <c r="DW34" s="12"/>
      <c r="DX34" s="12">
        <v>1</v>
      </c>
      <c r="DY34" s="12"/>
      <c r="DZ34" s="12">
        <v>1</v>
      </c>
      <c r="ED34" s="12"/>
      <c r="EE34" s="12">
        <v>1</v>
      </c>
      <c r="EF34" s="12"/>
      <c r="EG34" s="12">
        <v>1</v>
      </c>
    </row>
    <row r="35" spans="2:137" outlineLevel="1" x14ac:dyDescent="0.2">
      <c r="B35" t="s">
        <v>28</v>
      </c>
      <c r="C35" t="s">
        <v>55</v>
      </c>
      <c r="E35" s="11"/>
      <c r="F35" t="s">
        <v>81</v>
      </c>
      <c r="G35" s="12">
        <v>0.2</v>
      </c>
      <c r="I35" s="11">
        <f t="shared" si="2"/>
        <v>21</v>
      </c>
      <c r="J35" s="13" cm="1">
        <f t="array" ref="J35">MAX(IF($N$3:$EH$3=$J$3,N35:EH35))</f>
        <v>0</v>
      </c>
      <c r="K35" s="13" cm="1">
        <f t="array" ref="K35">MAX(IF($N$3:$EH$3=$J$3,N35:EH35))</f>
        <v>0</v>
      </c>
      <c r="L35" s="11"/>
      <c r="O35" s="12"/>
      <c r="P35" s="12"/>
      <c r="Q35" s="12"/>
      <c r="R35" s="12"/>
      <c r="V35" s="12"/>
      <c r="W35" s="12"/>
      <c r="X35" s="12"/>
      <c r="Y35" s="12"/>
      <c r="AB35">
        <v>7</v>
      </c>
      <c r="AC35" s="12"/>
      <c r="AD35" s="12">
        <v>0.5</v>
      </c>
      <c r="AE35" s="12"/>
      <c r="AF35" s="12">
        <v>0.5</v>
      </c>
      <c r="AJ35" s="12"/>
      <c r="AK35" s="12">
        <v>0.5</v>
      </c>
      <c r="AL35" s="12"/>
      <c r="AM35" s="12">
        <v>0.5</v>
      </c>
      <c r="AQ35" s="12"/>
      <c r="AR35" s="12">
        <v>0.5</v>
      </c>
      <c r="AS35" s="12"/>
      <c r="AT35" s="12">
        <v>0.5</v>
      </c>
      <c r="AX35" s="12"/>
      <c r="AY35" s="12">
        <v>0.5</v>
      </c>
      <c r="AZ35" s="12"/>
      <c r="BA35" s="12">
        <v>0.5</v>
      </c>
      <c r="BE35" s="12"/>
      <c r="BF35" s="12">
        <v>0.5</v>
      </c>
      <c r="BG35" s="12"/>
      <c r="BH35" s="12">
        <v>0.5</v>
      </c>
      <c r="BL35" s="12"/>
      <c r="BM35" s="12">
        <v>0.5</v>
      </c>
      <c r="BN35" s="12"/>
      <c r="BO35" s="12">
        <v>0.5</v>
      </c>
      <c r="BR35">
        <v>7</v>
      </c>
      <c r="BS35" s="12"/>
      <c r="BT35" s="12">
        <v>0.8</v>
      </c>
      <c r="BU35" s="12"/>
      <c r="BV35" s="12">
        <v>0.8</v>
      </c>
      <c r="BZ35" s="12"/>
      <c r="CA35" s="12">
        <v>0.8</v>
      </c>
      <c r="CB35" s="12"/>
      <c r="CC35" s="12">
        <v>0.8</v>
      </c>
      <c r="CG35" s="12"/>
      <c r="CH35" s="12">
        <v>0.8</v>
      </c>
      <c r="CI35" s="12"/>
      <c r="CJ35" s="12">
        <v>0.8</v>
      </c>
      <c r="CN35" s="12"/>
      <c r="CO35" s="12">
        <v>0.8</v>
      </c>
      <c r="CP35" s="12"/>
      <c r="CQ35" s="12">
        <v>0.8</v>
      </c>
      <c r="CU35" s="12"/>
      <c r="CV35" s="12">
        <v>0.8</v>
      </c>
      <c r="CW35" s="12"/>
      <c r="CX35" s="12">
        <v>0.8</v>
      </c>
      <c r="DA35">
        <v>7</v>
      </c>
      <c r="DB35" s="12"/>
      <c r="DC35" s="12">
        <v>1</v>
      </c>
      <c r="DD35" s="12"/>
      <c r="DE35" s="12">
        <v>1</v>
      </c>
      <c r="DI35" s="12"/>
      <c r="DJ35" s="12">
        <v>1</v>
      </c>
      <c r="DK35" s="12"/>
      <c r="DL35" s="12">
        <v>1</v>
      </c>
      <c r="DP35" s="12"/>
      <c r="DQ35" s="12">
        <v>1</v>
      </c>
      <c r="DR35" s="12"/>
      <c r="DS35" s="12">
        <v>1</v>
      </c>
      <c r="DW35" s="12"/>
      <c r="DX35" s="12">
        <v>1</v>
      </c>
      <c r="DY35" s="12"/>
      <c r="DZ35" s="12">
        <v>1</v>
      </c>
      <c r="ED35" s="12"/>
      <c r="EE35" s="12">
        <v>1</v>
      </c>
      <c r="EF35" s="12"/>
      <c r="EG35" s="12">
        <v>1</v>
      </c>
    </row>
    <row r="36" spans="2:137" outlineLevel="1" x14ac:dyDescent="0.2">
      <c r="B36" t="s">
        <v>28</v>
      </c>
      <c r="C36" t="s">
        <v>55</v>
      </c>
      <c r="E36" s="11"/>
      <c r="F36" t="s">
        <v>82</v>
      </c>
      <c r="G36" s="12">
        <v>0.2</v>
      </c>
      <c r="I36" s="11">
        <f t="shared" si="2"/>
        <v>21</v>
      </c>
      <c r="J36" s="13" cm="1">
        <f t="array" ref="J36">MAX(IF($N$3:$EH$3=$J$3,N36:EH36))</f>
        <v>0</v>
      </c>
      <c r="K36" s="13" cm="1">
        <f t="array" ref="K36">MAX(IF($N$3:$EH$3=$J$3,N36:EH36))</f>
        <v>0</v>
      </c>
      <c r="L36" s="11"/>
      <c r="O36" s="12"/>
      <c r="P36" s="12"/>
      <c r="Q36" s="12"/>
      <c r="R36" s="12"/>
      <c r="V36" s="12"/>
      <c r="W36" s="12"/>
      <c r="X36" s="12"/>
      <c r="Y36" s="12"/>
      <c r="AC36" s="12"/>
      <c r="AD36" s="12"/>
      <c r="AE36" s="12"/>
      <c r="AF36" s="12"/>
      <c r="AI36">
        <v>7</v>
      </c>
      <c r="AJ36" s="12"/>
      <c r="AK36" s="12">
        <v>0.5</v>
      </c>
      <c r="AL36" s="12"/>
      <c r="AM36" s="12">
        <v>0.5</v>
      </c>
      <c r="AQ36" s="12"/>
      <c r="AR36" s="12">
        <v>0.5</v>
      </c>
      <c r="AS36" s="12"/>
      <c r="AT36" s="12">
        <v>0.5</v>
      </c>
      <c r="AX36" s="12"/>
      <c r="AY36" s="12">
        <v>0.5</v>
      </c>
      <c r="AZ36" s="12"/>
      <c r="BA36" s="12">
        <v>0.5</v>
      </c>
      <c r="BE36" s="12"/>
      <c r="BF36" s="12">
        <v>0.5</v>
      </c>
      <c r="BG36" s="12"/>
      <c r="BH36" s="12">
        <v>0.5</v>
      </c>
      <c r="BL36" s="12"/>
      <c r="BM36" s="12">
        <v>0.5</v>
      </c>
      <c r="BN36" s="12"/>
      <c r="BO36" s="12">
        <v>0.5</v>
      </c>
      <c r="BS36" s="12"/>
      <c r="BT36" s="12">
        <v>0.5</v>
      </c>
      <c r="BU36" s="12"/>
      <c r="BV36" s="12">
        <v>0.5</v>
      </c>
      <c r="BZ36" s="12"/>
      <c r="CA36" s="12">
        <v>0.5</v>
      </c>
      <c r="CB36" s="12"/>
      <c r="CC36" s="12">
        <v>0.5</v>
      </c>
      <c r="CF36">
        <v>7</v>
      </c>
      <c r="CG36" s="12"/>
      <c r="CH36" s="12">
        <v>0.8</v>
      </c>
      <c r="CI36" s="12"/>
      <c r="CJ36" s="12">
        <v>0.8</v>
      </c>
      <c r="CN36" s="12"/>
      <c r="CO36" s="12">
        <v>0.8</v>
      </c>
      <c r="CP36" s="12"/>
      <c r="CQ36" s="12">
        <v>0.8</v>
      </c>
      <c r="CU36" s="12"/>
      <c r="CV36" s="12">
        <v>0.8</v>
      </c>
      <c r="CW36" s="12"/>
      <c r="CX36" s="12">
        <v>0.8</v>
      </c>
      <c r="DB36" s="12"/>
      <c r="DC36" s="12">
        <v>0.8</v>
      </c>
      <c r="DD36" s="12"/>
      <c r="DE36" s="12">
        <v>0.8</v>
      </c>
      <c r="DI36" s="12"/>
      <c r="DJ36" s="12">
        <v>0.8</v>
      </c>
      <c r="DK36" s="12"/>
      <c r="DL36" s="12">
        <v>0.8</v>
      </c>
      <c r="DO36">
        <v>7</v>
      </c>
      <c r="DP36" s="12"/>
      <c r="DQ36" s="12">
        <v>1</v>
      </c>
      <c r="DR36" s="12"/>
      <c r="DS36" s="12">
        <v>1</v>
      </c>
      <c r="DW36" s="12"/>
      <c r="DX36" s="12">
        <v>1</v>
      </c>
      <c r="DY36" s="12"/>
      <c r="DZ36" s="12">
        <v>1</v>
      </c>
      <c r="ED36" s="12"/>
      <c r="EE36" s="12">
        <v>1</v>
      </c>
      <c r="EF36" s="12"/>
      <c r="EG36" s="12">
        <v>1</v>
      </c>
    </row>
    <row r="37" spans="2:137" outlineLevel="1" x14ac:dyDescent="0.2">
      <c r="B37" t="s">
        <v>28</v>
      </c>
      <c r="C37" t="s">
        <v>55</v>
      </c>
      <c r="E37" s="11"/>
      <c r="F37" t="s">
        <v>102</v>
      </c>
      <c r="G37" s="12">
        <v>0.1</v>
      </c>
      <c r="I37" s="11">
        <f t="shared" si="2"/>
        <v>21</v>
      </c>
      <c r="J37" s="13" cm="1">
        <f t="array" ref="J37">MAX(IF($N$3:$EH$3=$J$3,N37:EH37))</f>
        <v>0</v>
      </c>
      <c r="K37" s="13" cm="1">
        <f t="array" ref="K37">MAX(IF($N$3:$EH$3=$J$3,N37:EH37))</f>
        <v>0</v>
      </c>
      <c r="L37" s="11"/>
      <c r="O37" s="12"/>
      <c r="P37" s="12"/>
      <c r="Q37" s="12"/>
      <c r="R37" s="12"/>
      <c r="V37" s="12"/>
      <c r="W37" s="12"/>
      <c r="X37" s="12"/>
      <c r="Y37" s="12"/>
      <c r="AC37" s="12"/>
      <c r="AD37" s="12"/>
      <c r="AE37" s="12"/>
      <c r="AF37" s="12"/>
      <c r="AJ37" s="12"/>
      <c r="AK37" s="12"/>
      <c r="AL37" s="12"/>
      <c r="AM37" s="12"/>
      <c r="AQ37" s="12"/>
      <c r="AR37" s="12"/>
      <c r="AS37" s="12"/>
      <c r="AT37" s="12"/>
      <c r="AW37">
        <v>7</v>
      </c>
      <c r="AX37" s="12"/>
      <c r="AY37" s="12">
        <v>0.5</v>
      </c>
      <c r="AZ37" s="12"/>
      <c r="BA37" s="12">
        <v>0.5</v>
      </c>
      <c r="BE37" s="12"/>
      <c r="BF37" s="12">
        <v>0.5</v>
      </c>
      <c r="BG37" s="12"/>
      <c r="BH37" s="12">
        <v>0.5</v>
      </c>
      <c r="BL37" s="12"/>
      <c r="BM37" s="12">
        <v>0.5</v>
      </c>
      <c r="BN37" s="12"/>
      <c r="BO37" s="12">
        <v>0.5</v>
      </c>
      <c r="BS37" s="12"/>
      <c r="BT37" s="12">
        <v>0.5</v>
      </c>
      <c r="BU37" s="12"/>
      <c r="BV37" s="12">
        <v>0.5</v>
      </c>
      <c r="BZ37" s="12"/>
      <c r="CA37" s="12">
        <v>0.5</v>
      </c>
      <c r="CB37" s="12"/>
      <c r="CC37" s="12">
        <v>0.5</v>
      </c>
      <c r="CG37" s="12"/>
      <c r="CH37" s="12">
        <v>0.5</v>
      </c>
      <c r="CI37" s="12"/>
      <c r="CJ37" s="12">
        <v>0.5</v>
      </c>
      <c r="CN37" s="12"/>
      <c r="CO37" s="12">
        <v>0.5</v>
      </c>
      <c r="CP37" s="12"/>
      <c r="CQ37" s="12">
        <v>0.5</v>
      </c>
      <c r="CT37">
        <v>7</v>
      </c>
      <c r="CU37" s="12"/>
      <c r="CV37" s="12">
        <v>0.8</v>
      </c>
      <c r="CW37" s="12"/>
      <c r="CX37" s="12">
        <v>0.8</v>
      </c>
      <c r="DB37" s="12"/>
      <c r="DC37" s="12">
        <v>0.8</v>
      </c>
      <c r="DD37" s="12"/>
      <c r="DE37" s="12">
        <v>0.8</v>
      </c>
      <c r="DI37" s="12"/>
      <c r="DJ37" s="12">
        <v>0.8</v>
      </c>
      <c r="DK37" s="12"/>
      <c r="DL37" s="12">
        <v>0.8</v>
      </c>
      <c r="DP37" s="12"/>
      <c r="DQ37" s="12">
        <v>0.8</v>
      </c>
      <c r="DR37" s="12"/>
      <c r="DS37" s="12">
        <v>0.8</v>
      </c>
      <c r="DV37">
        <v>7</v>
      </c>
      <c r="DW37" s="12"/>
      <c r="DX37" s="12">
        <v>1</v>
      </c>
      <c r="DY37" s="12"/>
      <c r="DZ37" s="12">
        <v>1</v>
      </c>
      <c r="ED37" s="12"/>
      <c r="EE37" s="12">
        <v>1</v>
      </c>
      <c r="EF37" s="12"/>
      <c r="EG37" s="12">
        <v>1</v>
      </c>
    </row>
    <row r="38" spans="2:137" outlineLevel="1" x14ac:dyDescent="0.2">
      <c r="B38" t="s">
        <v>28</v>
      </c>
      <c r="C38" t="s">
        <v>55</v>
      </c>
      <c r="E38" s="11"/>
      <c r="F38" t="s">
        <v>83</v>
      </c>
      <c r="G38" s="12">
        <v>0.2</v>
      </c>
      <c r="I38" s="11">
        <f t="shared" si="2"/>
        <v>21</v>
      </c>
      <c r="J38" s="13" cm="1">
        <f t="array" ref="J38">MAX(IF($N$3:$EH$3=$J$3,N38:EH38))</f>
        <v>0</v>
      </c>
      <c r="K38" s="13" cm="1">
        <f t="array" ref="K38">MAX(IF($N$3:$EH$3=$J$3,N38:EH38))</f>
        <v>0</v>
      </c>
      <c r="L38" s="11"/>
      <c r="O38" s="12"/>
      <c r="P38" s="12"/>
      <c r="Q38" s="12"/>
      <c r="R38" s="12"/>
      <c r="V38" s="12"/>
      <c r="W38" s="12"/>
      <c r="X38" s="12"/>
      <c r="Y38" s="12"/>
      <c r="AC38" s="12"/>
      <c r="AD38" s="12"/>
      <c r="AE38" s="12"/>
      <c r="AF38" s="12"/>
      <c r="AJ38" s="12"/>
      <c r="AK38" s="12"/>
      <c r="AL38" s="12"/>
      <c r="AM38" s="12"/>
      <c r="AQ38" s="12"/>
      <c r="AR38" s="12"/>
      <c r="AS38" s="12"/>
      <c r="AT38" s="12"/>
      <c r="AX38" s="12"/>
      <c r="AY38" s="12"/>
      <c r="AZ38" s="12"/>
      <c r="BA38" s="12"/>
      <c r="BE38" s="12"/>
      <c r="BF38" s="12"/>
      <c r="BG38" s="12"/>
      <c r="BH38" s="12"/>
      <c r="BK38">
        <v>7</v>
      </c>
      <c r="BL38" s="12"/>
      <c r="BM38" s="12">
        <v>0.5</v>
      </c>
      <c r="BN38" s="12"/>
      <c r="BO38" s="12">
        <v>0.5</v>
      </c>
      <c r="BS38" s="12"/>
      <c r="BT38" s="12">
        <v>0.5</v>
      </c>
      <c r="BU38" s="12"/>
      <c r="BV38" s="12">
        <v>0.5</v>
      </c>
      <c r="BZ38" s="12"/>
      <c r="CA38" s="12">
        <v>0.5</v>
      </c>
      <c r="CB38" s="12"/>
      <c r="CC38" s="12">
        <v>0.5</v>
      </c>
      <c r="CG38" s="12"/>
      <c r="CH38" s="12">
        <v>0.5</v>
      </c>
      <c r="CI38" s="12"/>
      <c r="CJ38" s="12">
        <v>0.5</v>
      </c>
      <c r="CN38" s="12"/>
      <c r="CO38" s="12">
        <v>0.5</v>
      </c>
      <c r="CP38" s="12"/>
      <c r="CQ38" s="12">
        <v>0.5</v>
      </c>
      <c r="CU38" s="12"/>
      <c r="CV38" s="12">
        <v>0.5</v>
      </c>
      <c r="CW38" s="12"/>
      <c r="CX38" s="12">
        <v>0.5</v>
      </c>
      <c r="DB38" s="12"/>
      <c r="DC38" s="12">
        <v>0.5</v>
      </c>
      <c r="DD38" s="12"/>
      <c r="DE38" s="12">
        <v>0.5</v>
      </c>
      <c r="DH38">
        <v>7</v>
      </c>
      <c r="DI38" s="12"/>
      <c r="DJ38" s="12">
        <v>0.8</v>
      </c>
      <c r="DK38" s="12"/>
      <c r="DL38" s="12">
        <v>0.8</v>
      </c>
      <c r="DP38" s="12"/>
      <c r="DQ38" s="12">
        <v>0.8</v>
      </c>
      <c r="DR38" s="12"/>
      <c r="DS38" s="12">
        <v>0.8</v>
      </c>
      <c r="DW38" s="12"/>
      <c r="DX38" s="12">
        <v>0.8</v>
      </c>
      <c r="DY38" s="12"/>
      <c r="DZ38" s="12">
        <v>0.8</v>
      </c>
      <c r="EC38">
        <v>7</v>
      </c>
      <c r="ED38" s="12"/>
      <c r="EE38" s="12">
        <v>1</v>
      </c>
      <c r="EF38" s="12"/>
      <c r="EG38" s="12">
        <v>1</v>
      </c>
    </row>
    <row r="39" spans="2:137" outlineLevel="1" x14ac:dyDescent="0.2">
      <c r="E39" s="11"/>
      <c r="G39" s="12"/>
      <c r="I39" s="11"/>
      <c r="J39" s="13"/>
      <c r="K39" s="13"/>
      <c r="L39" s="11"/>
      <c r="O39" s="12"/>
      <c r="P39" s="12"/>
      <c r="Q39" s="12"/>
      <c r="R39" s="12"/>
      <c r="V39" s="12"/>
      <c r="W39" s="12"/>
      <c r="X39" s="12"/>
      <c r="Y39" s="12"/>
      <c r="AC39" s="12"/>
      <c r="AD39" s="12"/>
      <c r="AE39" s="12"/>
      <c r="AF39" s="12"/>
      <c r="AJ39" s="12"/>
      <c r="AK39" s="12"/>
      <c r="AL39" s="12"/>
      <c r="AM39" s="12"/>
      <c r="AQ39" s="12"/>
      <c r="AR39" s="12"/>
      <c r="AS39" s="12"/>
      <c r="AT39" s="12"/>
      <c r="AX39" s="12"/>
      <c r="AY39" s="12"/>
      <c r="AZ39" s="12"/>
      <c r="BA39" s="12"/>
      <c r="BE39" s="12"/>
      <c r="BF39" s="12"/>
      <c r="BG39" s="12"/>
      <c r="BH39" s="12"/>
      <c r="BL39" s="12"/>
      <c r="BM39" s="12"/>
      <c r="BN39" s="12"/>
      <c r="BO39" s="12"/>
      <c r="BS39" s="12"/>
      <c r="BT39" s="12"/>
      <c r="BU39" s="12"/>
      <c r="BV39" s="12"/>
      <c r="BZ39" s="12"/>
      <c r="CA39" s="12"/>
      <c r="CB39" s="12"/>
      <c r="CC39" s="12"/>
      <c r="CG39" s="12"/>
      <c r="CH39" s="12"/>
      <c r="CI39" s="12"/>
      <c r="CJ39" s="12"/>
      <c r="CN39" s="12"/>
      <c r="CO39" s="12"/>
      <c r="CP39" s="12"/>
      <c r="CQ39" s="12"/>
      <c r="CU39" s="12"/>
      <c r="CV39" s="12"/>
      <c r="CW39" s="12"/>
      <c r="CX39" s="12"/>
      <c r="DB39" s="12"/>
      <c r="DC39" s="12"/>
      <c r="DD39" s="12"/>
      <c r="DE39" s="12"/>
      <c r="DI39" s="12"/>
      <c r="DJ39" s="12"/>
      <c r="DK39" s="12"/>
      <c r="DL39" s="12"/>
      <c r="DP39" s="12"/>
      <c r="DQ39" s="12"/>
      <c r="DR39" s="12"/>
      <c r="DS39" s="12"/>
      <c r="DW39" s="12"/>
      <c r="DX39" s="12"/>
      <c r="DY39" s="12"/>
      <c r="DZ39" s="12"/>
      <c r="ED39" s="12"/>
      <c r="EE39" s="12"/>
      <c r="EF39" s="12"/>
      <c r="EG39" s="12"/>
    </row>
    <row r="40" spans="2:137" outlineLevel="1" x14ac:dyDescent="0.2">
      <c r="E40" s="11"/>
      <c r="G40" s="12"/>
      <c r="I40" s="11"/>
      <c r="J40" s="13"/>
      <c r="K40" s="13"/>
      <c r="L40" s="11"/>
      <c r="O40" s="12"/>
      <c r="P40" s="12"/>
      <c r="Q40" s="12"/>
      <c r="R40" s="12"/>
      <c r="V40" s="12"/>
      <c r="W40" s="12"/>
      <c r="X40" s="12"/>
      <c r="Y40" s="12"/>
      <c r="AC40" s="12"/>
      <c r="AD40" s="12"/>
      <c r="AE40" s="12"/>
      <c r="AF40" s="12"/>
      <c r="AJ40" s="12"/>
      <c r="AK40" s="12"/>
      <c r="AL40" s="12"/>
      <c r="AM40" s="12"/>
      <c r="AQ40" s="12"/>
      <c r="AR40" s="12"/>
      <c r="AS40" s="12"/>
      <c r="AT40" s="12"/>
      <c r="AX40" s="12"/>
      <c r="AY40" s="12"/>
      <c r="AZ40" s="12"/>
      <c r="BA40" s="12"/>
      <c r="BE40" s="12"/>
      <c r="BF40" s="12"/>
      <c r="BG40" s="12"/>
      <c r="BH40" s="12"/>
      <c r="BL40" s="12"/>
      <c r="BM40" s="12"/>
      <c r="BN40" s="12"/>
      <c r="BO40" s="12"/>
      <c r="BS40" s="12"/>
      <c r="BT40" s="12"/>
      <c r="BU40" s="12"/>
      <c r="BV40" s="12"/>
      <c r="BZ40" s="12"/>
      <c r="CA40" s="12"/>
      <c r="CB40" s="12"/>
      <c r="CC40" s="12"/>
      <c r="CG40" s="12"/>
      <c r="CH40" s="12"/>
      <c r="CI40" s="12"/>
      <c r="CJ40" s="12"/>
      <c r="CN40" s="12"/>
      <c r="CO40" s="12"/>
      <c r="CP40" s="12"/>
      <c r="CQ40" s="12"/>
      <c r="CU40" s="12"/>
      <c r="CV40" s="12"/>
      <c r="CW40" s="12"/>
      <c r="CX40" s="12"/>
      <c r="DB40" s="12"/>
      <c r="DC40" s="12"/>
      <c r="DD40" s="12"/>
      <c r="DE40" s="12"/>
      <c r="DI40" s="12"/>
      <c r="DJ40" s="12"/>
      <c r="DK40" s="12"/>
      <c r="DL40" s="12"/>
      <c r="DP40" s="12"/>
      <c r="DQ40" s="12"/>
      <c r="DR40" s="12"/>
      <c r="DS40" s="12"/>
      <c r="DW40" s="12"/>
      <c r="DX40" s="12"/>
      <c r="DY40" s="12"/>
      <c r="DZ40" s="12"/>
      <c r="ED40" s="12"/>
      <c r="EE40" s="12"/>
      <c r="EF40" s="12"/>
      <c r="EG40" s="12"/>
    </row>
    <row r="41" spans="2:137" outlineLevel="1" x14ac:dyDescent="0.2">
      <c r="E41" s="11"/>
      <c r="G41" s="12"/>
      <c r="I41" s="11"/>
      <c r="J41" s="13"/>
      <c r="K41" s="13"/>
      <c r="L41" s="11"/>
      <c r="O41" s="12"/>
      <c r="P41" s="12"/>
      <c r="Q41" s="12"/>
      <c r="R41" s="12"/>
      <c r="V41" s="12"/>
      <c r="W41" s="12"/>
      <c r="X41" s="12"/>
      <c r="Y41" s="12"/>
      <c r="AC41" s="12"/>
      <c r="AD41" s="12"/>
      <c r="AE41" s="12"/>
      <c r="AF41" s="12"/>
      <c r="AJ41" s="12"/>
      <c r="AK41" s="12"/>
      <c r="AL41" s="12"/>
      <c r="AM41" s="12"/>
      <c r="AQ41" s="12"/>
      <c r="AR41" s="12"/>
      <c r="AS41" s="12"/>
      <c r="AT41" s="12"/>
      <c r="AX41" s="12"/>
      <c r="AY41" s="12"/>
      <c r="AZ41" s="12"/>
      <c r="BA41" s="12"/>
      <c r="BE41" s="12"/>
      <c r="BF41" s="12"/>
      <c r="BG41" s="12"/>
      <c r="BH41" s="12"/>
      <c r="BL41" s="12"/>
      <c r="BM41" s="12"/>
      <c r="BN41" s="12"/>
      <c r="BO41" s="12"/>
      <c r="BS41" s="12"/>
      <c r="BT41" s="12"/>
      <c r="BU41" s="12"/>
      <c r="BV41" s="12"/>
      <c r="BZ41" s="12"/>
      <c r="CA41" s="12"/>
      <c r="CB41" s="12"/>
      <c r="CC41" s="12"/>
      <c r="CG41" s="12"/>
      <c r="CH41" s="12"/>
      <c r="CI41" s="12"/>
      <c r="CJ41" s="12"/>
      <c r="CN41" s="12"/>
      <c r="CO41" s="12"/>
      <c r="CP41" s="12"/>
      <c r="CQ41" s="12"/>
      <c r="CU41" s="12"/>
      <c r="CV41" s="12"/>
      <c r="CW41" s="12"/>
      <c r="CX41" s="12"/>
      <c r="DB41" s="12"/>
      <c r="DC41" s="12"/>
      <c r="DD41" s="12"/>
      <c r="DE41" s="12"/>
      <c r="DI41" s="12"/>
      <c r="DJ41" s="12"/>
      <c r="DK41" s="12"/>
      <c r="DL41" s="12"/>
      <c r="DP41" s="12"/>
      <c r="DQ41" s="12"/>
      <c r="DR41" s="12"/>
      <c r="DS41" s="12"/>
      <c r="DW41" s="12"/>
      <c r="DX41" s="12"/>
      <c r="DY41" s="12"/>
      <c r="DZ41" s="12"/>
      <c r="ED41" s="12"/>
      <c r="EE41" s="12"/>
      <c r="EF41" s="12"/>
      <c r="EG41" s="12"/>
    </row>
    <row r="42" spans="2:137" outlineLevel="1" x14ac:dyDescent="0.2">
      <c r="E42" s="11"/>
      <c r="G42" s="12"/>
      <c r="I42" s="11"/>
      <c r="J42" s="13"/>
      <c r="K42" s="13"/>
      <c r="L42" s="11"/>
      <c r="O42" s="12"/>
      <c r="P42" s="12"/>
      <c r="Q42" s="12"/>
      <c r="R42" s="12"/>
      <c r="V42" s="12"/>
      <c r="W42" s="12"/>
      <c r="X42" s="12"/>
      <c r="Y42" s="12"/>
      <c r="AC42" s="12"/>
      <c r="AD42" s="12"/>
      <c r="AE42" s="12"/>
      <c r="AF42" s="12"/>
      <c r="AJ42" s="12"/>
      <c r="AK42" s="12"/>
      <c r="AL42" s="12"/>
      <c r="AM42" s="12"/>
      <c r="AQ42" s="12"/>
      <c r="AR42" s="12"/>
      <c r="AS42" s="12"/>
      <c r="AT42" s="12"/>
      <c r="AX42" s="12"/>
      <c r="AY42" s="12"/>
      <c r="AZ42" s="12"/>
      <c r="BA42" s="12"/>
      <c r="BE42" s="12"/>
      <c r="BF42" s="12"/>
      <c r="BG42" s="12"/>
      <c r="BH42" s="12"/>
      <c r="BL42" s="12"/>
      <c r="BM42" s="12"/>
      <c r="BN42" s="12"/>
      <c r="BO42" s="12"/>
      <c r="BS42" s="12"/>
      <c r="BT42" s="12"/>
      <c r="BU42" s="12"/>
      <c r="BV42" s="12"/>
      <c r="BZ42" s="12"/>
      <c r="CA42" s="12"/>
      <c r="CB42" s="12"/>
      <c r="CC42" s="12"/>
      <c r="CG42" s="12"/>
      <c r="CH42" s="12"/>
      <c r="CI42" s="12"/>
      <c r="CJ42" s="12"/>
      <c r="CN42" s="12"/>
      <c r="CO42" s="12"/>
      <c r="CP42" s="12"/>
      <c r="CQ42" s="12"/>
      <c r="CU42" s="12"/>
      <c r="CV42" s="12"/>
      <c r="CW42" s="12"/>
      <c r="CX42" s="12"/>
      <c r="DB42" s="12"/>
      <c r="DC42" s="12"/>
      <c r="DD42" s="12"/>
      <c r="DE42" s="12"/>
      <c r="DI42" s="12"/>
      <c r="DJ42" s="12"/>
      <c r="DK42" s="12"/>
      <c r="DL42" s="12"/>
      <c r="DP42" s="12"/>
      <c r="DQ42" s="12"/>
      <c r="DR42" s="12"/>
      <c r="DS42" s="12"/>
      <c r="DW42" s="12"/>
      <c r="DX42" s="12"/>
      <c r="DY42" s="12"/>
      <c r="DZ42" s="12"/>
      <c r="ED42" s="12"/>
      <c r="EE42" s="12"/>
      <c r="EF42" s="12"/>
      <c r="EG42" s="12"/>
    </row>
    <row r="43" spans="2:137" outlineLevel="1" x14ac:dyDescent="0.2">
      <c r="E43" s="11"/>
      <c r="G43" s="12"/>
      <c r="I43" s="11"/>
      <c r="J43" s="13"/>
      <c r="K43" s="13"/>
      <c r="L43" s="11"/>
      <c r="O43" s="12"/>
      <c r="P43" s="12"/>
      <c r="Q43" s="12"/>
      <c r="R43" s="12"/>
      <c r="V43" s="12"/>
      <c r="W43" s="12"/>
      <c r="X43" s="12"/>
      <c r="Y43" s="12"/>
      <c r="AC43" s="12"/>
      <c r="AD43" s="12"/>
      <c r="AE43" s="12"/>
      <c r="AF43" s="12"/>
      <c r="AJ43" s="12"/>
      <c r="AK43" s="12"/>
      <c r="AL43" s="12"/>
      <c r="AM43" s="12"/>
      <c r="AQ43" s="12"/>
      <c r="AR43" s="12"/>
      <c r="AS43" s="12"/>
      <c r="AT43" s="12"/>
      <c r="AX43" s="12"/>
      <c r="AY43" s="12"/>
      <c r="AZ43" s="12"/>
      <c r="BA43" s="12"/>
      <c r="BE43" s="12"/>
      <c r="BF43" s="12"/>
      <c r="BG43" s="12"/>
      <c r="BH43" s="12"/>
      <c r="BL43" s="12"/>
      <c r="BM43" s="12"/>
      <c r="BN43" s="12"/>
      <c r="BO43" s="12"/>
      <c r="BS43" s="12"/>
      <c r="BT43" s="12"/>
      <c r="BU43" s="12"/>
      <c r="BV43" s="12"/>
      <c r="BZ43" s="12"/>
      <c r="CA43" s="12"/>
      <c r="CB43" s="12"/>
      <c r="CC43" s="12"/>
      <c r="CG43" s="12"/>
      <c r="CH43" s="12"/>
      <c r="CI43" s="12"/>
      <c r="CJ43" s="12"/>
      <c r="CN43" s="12"/>
      <c r="CO43" s="12"/>
      <c r="CP43" s="12"/>
      <c r="CQ43" s="12"/>
      <c r="CU43" s="12"/>
      <c r="CV43" s="12"/>
      <c r="CW43" s="12"/>
      <c r="CX43" s="12"/>
      <c r="DB43" s="12"/>
      <c r="DC43" s="12"/>
      <c r="DD43" s="12"/>
      <c r="DE43" s="12"/>
      <c r="DI43" s="12"/>
      <c r="DJ43" s="12"/>
      <c r="DK43" s="12"/>
      <c r="DL43" s="12"/>
      <c r="DP43" s="12"/>
      <c r="DQ43" s="12"/>
      <c r="DR43" s="12"/>
      <c r="DS43" s="12"/>
      <c r="DW43" s="12"/>
      <c r="DX43" s="12"/>
      <c r="DY43" s="12"/>
      <c r="DZ43" s="12"/>
      <c r="ED43" s="12"/>
      <c r="EE43" s="12"/>
      <c r="EF43" s="12"/>
      <c r="EG43" s="12"/>
    </row>
    <row r="44" spans="2:137" outlineLevel="1" x14ac:dyDescent="0.2">
      <c r="E44" s="11"/>
      <c r="G44" s="12"/>
      <c r="I44" s="11"/>
      <c r="J44" s="13"/>
      <c r="K44" s="13"/>
      <c r="L44" s="11"/>
      <c r="O44" s="12"/>
      <c r="P44" s="12"/>
      <c r="Q44" s="12"/>
      <c r="R44" s="12"/>
      <c r="V44" s="12"/>
      <c r="W44" s="12"/>
      <c r="X44" s="12"/>
      <c r="Y44" s="12"/>
      <c r="AC44" s="12"/>
      <c r="AD44" s="12"/>
      <c r="AE44" s="12"/>
      <c r="AF44" s="12"/>
      <c r="AJ44" s="12"/>
      <c r="AK44" s="12"/>
      <c r="AL44" s="12"/>
      <c r="AM44" s="12"/>
      <c r="AQ44" s="12"/>
      <c r="AR44" s="12"/>
      <c r="AS44" s="12"/>
      <c r="AT44" s="12"/>
      <c r="AX44" s="12"/>
      <c r="AY44" s="12"/>
      <c r="AZ44" s="12"/>
      <c r="BA44" s="12"/>
      <c r="BE44" s="12"/>
      <c r="BF44" s="12"/>
      <c r="BG44" s="12"/>
      <c r="BH44" s="12"/>
      <c r="BL44" s="12"/>
      <c r="BM44" s="12"/>
      <c r="BN44" s="12"/>
      <c r="BO44" s="12"/>
      <c r="BS44" s="12"/>
      <c r="BT44" s="12"/>
      <c r="BU44" s="12"/>
      <c r="BV44" s="12"/>
      <c r="BZ44" s="12"/>
      <c r="CA44" s="12"/>
      <c r="CB44" s="12"/>
      <c r="CC44" s="12"/>
      <c r="CG44" s="12"/>
      <c r="CH44" s="12"/>
      <c r="CI44" s="12"/>
      <c r="CJ44" s="12"/>
      <c r="CN44" s="12"/>
      <c r="CO44" s="12"/>
      <c r="CP44" s="12"/>
      <c r="CQ44" s="12"/>
      <c r="CU44" s="12"/>
      <c r="CV44" s="12"/>
      <c r="CW44" s="12"/>
      <c r="CX44" s="12"/>
      <c r="DB44" s="12"/>
      <c r="DC44" s="12"/>
      <c r="DD44" s="12"/>
      <c r="DE44" s="12"/>
      <c r="DI44" s="12"/>
      <c r="DJ44" s="12"/>
      <c r="DK44" s="12"/>
      <c r="DL44" s="12"/>
      <c r="DP44" s="12"/>
      <c r="DQ44" s="12"/>
      <c r="DR44" s="12"/>
      <c r="DS44" s="12"/>
      <c r="DW44" s="12"/>
      <c r="DX44" s="12"/>
      <c r="DY44" s="12"/>
      <c r="DZ44" s="12"/>
      <c r="ED44" s="12"/>
      <c r="EE44" s="12"/>
      <c r="EF44" s="12"/>
      <c r="EG44" s="12"/>
    </row>
    <row r="45" spans="2:137" outlineLevel="1" x14ac:dyDescent="0.2">
      <c r="E45" s="11"/>
      <c r="G45" s="12"/>
      <c r="I45" s="11"/>
      <c r="K45" s="13"/>
      <c r="L45" s="11"/>
      <c r="O45" s="12"/>
      <c r="P45" s="12"/>
      <c r="Q45" s="12"/>
      <c r="R45" s="12"/>
      <c r="V45" s="12"/>
      <c r="W45" s="12"/>
      <c r="X45" s="12"/>
      <c r="Y45" s="12"/>
      <c r="AC45" s="12"/>
      <c r="AD45" s="12"/>
      <c r="AE45" s="12"/>
      <c r="AF45" s="12"/>
      <c r="AJ45" s="12"/>
      <c r="AK45" s="12"/>
      <c r="AL45" s="12"/>
      <c r="AM45" s="12"/>
      <c r="AQ45" s="12"/>
      <c r="AR45" s="12"/>
      <c r="AS45" s="12"/>
      <c r="AT45" s="12"/>
      <c r="AX45" s="12"/>
      <c r="AY45" s="12"/>
      <c r="AZ45" s="12"/>
      <c r="BA45" s="12"/>
      <c r="BE45" s="12"/>
      <c r="BF45" s="12"/>
      <c r="BG45" s="12"/>
      <c r="BH45" s="12"/>
      <c r="BL45" s="12"/>
      <c r="BM45" s="12"/>
      <c r="BN45" s="12"/>
      <c r="BO45" s="12"/>
      <c r="BS45" s="12"/>
      <c r="BT45" s="12"/>
      <c r="BU45" s="12"/>
      <c r="BV45" s="12"/>
      <c r="BZ45" s="12"/>
      <c r="CA45" s="12"/>
      <c r="CB45" s="12"/>
      <c r="CC45" s="12"/>
      <c r="CG45" s="12"/>
      <c r="CH45" s="12"/>
      <c r="CI45" s="12"/>
      <c r="CJ45" s="12"/>
      <c r="CN45" s="12"/>
      <c r="CO45" s="12"/>
      <c r="CP45" s="12"/>
      <c r="CQ45" s="12"/>
      <c r="CU45" s="12"/>
      <c r="CV45" s="12"/>
      <c r="CW45" s="12"/>
      <c r="CX45" s="12"/>
      <c r="DB45" s="12"/>
      <c r="DC45" s="12"/>
      <c r="DD45" s="12"/>
      <c r="DE45" s="12"/>
      <c r="DI45" s="12"/>
      <c r="DJ45" s="12"/>
      <c r="DK45" s="12"/>
      <c r="DL45" s="12"/>
      <c r="DP45" s="12"/>
      <c r="DQ45" s="12"/>
      <c r="DR45" s="12"/>
      <c r="DS45" s="12"/>
      <c r="DW45" s="12"/>
      <c r="DX45" s="12"/>
      <c r="DY45" s="12"/>
      <c r="DZ45" s="12"/>
      <c r="ED45" s="12"/>
      <c r="EE45" s="12"/>
      <c r="EF45" s="12"/>
      <c r="EG45" s="12"/>
    </row>
    <row r="46" spans="2:137" x14ac:dyDescent="0.2">
      <c r="J46" s="13"/>
    </row>
  </sheetData>
  <mergeCells count="19">
    <mergeCell ref="EC2:EH2"/>
    <mergeCell ref="CT2:CY2"/>
    <mergeCell ref="DA2:DF2"/>
    <mergeCell ref="DH2:DM2"/>
    <mergeCell ref="DO2:DT2"/>
    <mergeCell ref="DV2:EA2"/>
    <mergeCell ref="BK2:BP2"/>
    <mergeCell ref="BR2:BW2"/>
    <mergeCell ref="BY2:CD2"/>
    <mergeCell ref="CF2:CK2"/>
    <mergeCell ref="CM2:CR2"/>
    <mergeCell ref="I2:L2"/>
    <mergeCell ref="N2:S2"/>
    <mergeCell ref="BD2:BI2"/>
    <mergeCell ref="U2:Z2"/>
    <mergeCell ref="AB2:AG2"/>
    <mergeCell ref="AI2:AN2"/>
    <mergeCell ref="AP2:AU2"/>
    <mergeCell ref="AW2:BB2"/>
  </mergeCells>
  <conditionalFormatting sqref="J6:K16">
    <cfRule type="colorScale" priority="489">
      <colorScale>
        <cfvo type="percent" val="0"/>
        <cfvo type="percent" val="100"/>
        <color rgb="FFFF231B"/>
        <color rgb="FF10FF07"/>
      </colorScale>
    </cfRule>
  </conditionalFormatting>
  <conditionalFormatting sqref="O19:O23 Q19:Q23 O5:O16">
    <cfRule type="expression" dxfId="368" priority="487">
      <formula>OR(IF(O5&lt;P5,TRUE),IF(AND(P5="",O5&lt;&gt;""),TRUE))</formula>
    </cfRule>
    <cfRule type="expression" dxfId="367" priority="488">
      <formula>IF(O5&gt;=P5,IF(O5="",FALSE,TRUE))</formula>
    </cfRule>
  </conditionalFormatting>
  <conditionalFormatting sqref="Q5:Q16">
    <cfRule type="expression" dxfId="366" priority="485">
      <formula>OR(IF(Q5&lt;R5,TRUE),IF(AND(R5="",Q5&lt;&gt;""),TRUE))</formula>
    </cfRule>
    <cfRule type="expression" dxfId="365" priority="486">
      <formula>IF(Q5&gt;=R5,IF(Q5="",FALSE,TRUE))</formula>
    </cfRule>
  </conditionalFormatting>
  <conditionalFormatting sqref="AJ35:AJ45">
    <cfRule type="expression" dxfId="364" priority="358">
      <formula>OR(IF(AJ35&lt;AK35,TRUE),IF(AND(AK35="",AJ35&lt;&gt;""),TRUE))</formula>
    </cfRule>
    <cfRule type="expression" dxfId="363" priority="359">
      <formula>IF(AJ35&gt;=AK35,IF(AJ35="",FALSE,TRUE))</formula>
    </cfRule>
  </conditionalFormatting>
  <conditionalFormatting sqref="AL35:AL45">
    <cfRule type="expression" dxfId="362" priority="356">
      <formula>OR(IF(AL35&lt;AM35,TRUE),IF(AND(AM35="",AL35&lt;&gt;""),TRUE))</formula>
    </cfRule>
    <cfRule type="expression" dxfId="361" priority="357">
      <formula>IF(AL35&gt;=AM35,IF(AL35="",FALSE,TRUE))</formula>
    </cfRule>
  </conditionalFormatting>
  <conditionalFormatting sqref="AQ5:AQ7 AQ14:AQ16 AQ19:AQ26 AS19:AS26">
    <cfRule type="expression" dxfId="360" priority="354">
      <formula>OR(IF(AQ5&lt;AR5,TRUE),IF(AND(AR5="",AQ5&lt;&gt;""),TRUE))</formula>
    </cfRule>
    <cfRule type="expression" dxfId="359" priority="355">
      <formula>IF(AQ5&gt;=AR5,IF(AQ5="",FALSE,TRUE))</formula>
    </cfRule>
  </conditionalFormatting>
  <conditionalFormatting sqref="AS5:AS7 AS14:AS16">
    <cfRule type="expression" dxfId="358" priority="352">
      <formula>OR(IF(AS5&lt;AT5,TRUE),IF(AND(AT5="",AS5&lt;&gt;""),TRUE))</formula>
    </cfRule>
    <cfRule type="expression" dxfId="357" priority="353">
      <formula>IF(AS5&gt;=AT5,IF(AS5="",FALSE,TRUE))</formula>
    </cfRule>
  </conditionalFormatting>
  <conditionalFormatting sqref="O33:O34">
    <cfRule type="expression" dxfId="356" priority="428">
      <formula>OR(IF(O33&lt;P33,TRUE),IF(AND(P33="",O33&lt;&gt;""),TRUE))</formula>
    </cfRule>
    <cfRule type="expression" dxfId="355" priority="429">
      <formula>IF(O33&gt;=P33,IF(O33="",FALSE,TRUE))</formula>
    </cfRule>
  </conditionalFormatting>
  <conditionalFormatting sqref="Q33:Q34">
    <cfRule type="expression" dxfId="354" priority="426">
      <formula>OR(IF(Q33&lt;R33,TRUE),IF(AND(R33="",Q33&lt;&gt;""),TRUE))</formula>
    </cfRule>
    <cfRule type="expression" dxfId="353" priority="427">
      <formula>IF(Q33&gt;=R33,IF(Q33="",FALSE,TRUE))</formula>
    </cfRule>
  </conditionalFormatting>
  <conditionalFormatting sqref="AZ28:AZ30">
    <cfRule type="expression" dxfId="352" priority="328">
      <formula>OR(IF(AZ28&lt;BA28,TRUE),IF(AND(BA28="",AZ28&lt;&gt;""),TRUE))</formula>
    </cfRule>
    <cfRule type="expression" dxfId="351" priority="329">
      <formula>IF(AZ28&gt;=BA28,IF(AZ28="",FALSE,TRUE))</formula>
    </cfRule>
  </conditionalFormatting>
  <conditionalFormatting sqref="AX35:AX45">
    <cfRule type="expression" dxfId="350" priority="326">
      <formula>OR(IF(AX35&lt;AY35,TRUE),IF(AND(AY35="",AX35&lt;&gt;""),TRUE))</formula>
    </cfRule>
    <cfRule type="expression" dxfId="349" priority="327">
      <formula>IF(AX35&gt;=AY35,IF(AX35="",FALSE,TRUE))</formula>
    </cfRule>
  </conditionalFormatting>
  <conditionalFormatting sqref="AZ35:AZ45">
    <cfRule type="expression" dxfId="348" priority="324">
      <formula>OR(IF(AZ35&lt;BA35,TRUE),IF(AND(BA35="",AZ35&lt;&gt;""),TRUE))</formula>
    </cfRule>
    <cfRule type="expression" dxfId="347" priority="325">
      <formula>IF(AZ35&gt;=BA35,IF(AZ35="",FALSE,TRUE))</formula>
    </cfRule>
  </conditionalFormatting>
  <conditionalFormatting sqref="BE5:BE16 BG6:BG15">
    <cfRule type="expression" dxfId="346" priority="322">
      <formula>OR(IF(BE5&lt;BF5,TRUE),IF(AND(BF5="",BE5&lt;&gt;""),TRUE))</formula>
    </cfRule>
    <cfRule type="expression" dxfId="345" priority="323">
      <formula>IF(BE5&gt;=BF5,IF(BE5="",FALSE,TRUE))</formula>
    </cfRule>
  </conditionalFormatting>
  <conditionalFormatting sqref="BG5:BG16">
    <cfRule type="expression" dxfId="344" priority="320">
      <formula>OR(IF(BG5&lt;BH5,TRUE),IF(AND(BH5="",BG5&lt;&gt;""),TRUE))</formula>
    </cfRule>
    <cfRule type="expression" dxfId="343" priority="321">
      <formula>IF(BG5&gt;=BH5,IF(BG5="",FALSE,TRUE))</formula>
    </cfRule>
  </conditionalFormatting>
  <conditionalFormatting sqref="BE33:BE34">
    <cfRule type="expression" dxfId="342" priority="318">
      <formula>OR(IF(BE33&lt;BF33,TRUE),IF(AND(BF33="",BE33&lt;&gt;""),TRUE))</formula>
    </cfRule>
    <cfRule type="expression" dxfId="341" priority="319">
      <formula>IF(BE33&gt;=BF33,IF(BE33="",FALSE,TRUE))</formula>
    </cfRule>
  </conditionalFormatting>
  <conditionalFormatting sqref="Q35:Q45">
    <cfRule type="expression" dxfId="340" priority="404">
      <formula>OR(IF(Q35&lt;R35,TRUE),IF(AND(R35="",Q35&lt;&gt;""),TRUE))</formula>
    </cfRule>
    <cfRule type="expression" dxfId="339" priority="405">
      <formula>IF(Q35&gt;=R35,IF(Q35="",FALSE,TRUE))</formula>
    </cfRule>
  </conditionalFormatting>
  <conditionalFormatting sqref="O24:O30">
    <cfRule type="expression" dxfId="338" priority="410">
      <formula>OR(IF(O24&lt;P24,TRUE),IF(AND(P24="",O24&lt;&gt;""),TRUE))</formula>
    </cfRule>
    <cfRule type="expression" dxfId="337" priority="411">
      <formula>IF(O24&gt;=P24,IF(O24="",FALSE,TRUE))</formula>
    </cfRule>
  </conditionalFormatting>
  <conditionalFormatting sqref="Q24:Q30">
    <cfRule type="expression" dxfId="336" priority="408">
      <formula>OR(IF(Q24&lt;R24,TRUE),IF(AND(R24="",Q24&lt;&gt;""),TRUE))</formula>
    </cfRule>
    <cfRule type="expression" dxfId="335" priority="409">
      <formula>IF(Q24&gt;=R24,IF(Q24="",FALSE,TRUE))</formula>
    </cfRule>
  </conditionalFormatting>
  <conditionalFormatting sqref="O35:O45">
    <cfRule type="expression" dxfId="334" priority="406">
      <formula>OR(IF(O35&lt;P35,TRUE),IF(AND(P35="",O35&lt;&gt;""),TRUE))</formula>
    </cfRule>
    <cfRule type="expression" dxfId="333" priority="407">
      <formula>IF(O35&gt;=P35,IF(O35="",FALSE,TRUE))</formula>
    </cfRule>
  </conditionalFormatting>
  <conditionalFormatting sqref="BG35:BG45">
    <cfRule type="expression" dxfId="332" priority="308">
      <formula>OR(IF(BG35&lt;BH35,TRUE),IF(AND(BH35="",BG35&lt;&gt;""),TRUE))</formula>
    </cfRule>
    <cfRule type="expression" dxfId="331" priority="309">
      <formula>IF(BG35&gt;=BH35,IF(BG35="",FALSE,TRUE))</formula>
    </cfRule>
  </conditionalFormatting>
  <conditionalFormatting sqref="V5:V16 V19:V23 X19:X23">
    <cfRule type="expression" dxfId="330" priority="402">
      <formula>OR(IF(V5&lt;W5,TRUE),IF(AND(W5="",V5&lt;&gt;""),TRUE))</formula>
    </cfRule>
    <cfRule type="expression" dxfId="329" priority="403">
      <formula>IF(V5&gt;=W5,IF(V5="",FALSE,TRUE))</formula>
    </cfRule>
  </conditionalFormatting>
  <conditionalFormatting sqref="X5:X16">
    <cfRule type="expression" dxfId="328" priority="400">
      <formula>OR(IF(X5&lt;Y5,TRUE),IF(AND(Y5="",X5&lt;&gt;""),TRUE))</formula>
    </cfRule>
    <cfRule type="expression" dxfId="327" priority="401">
      <formula>IF(X5&gt;=Y5,IF(X5="",FALSE,TRUE))</formula>
    </cfRule>
  </conditionalFormatting>
  <conditionalFormatting sqref="X35:X45">
    <cfRule type="expression" dxfId="326" priority="388">
      <formula>OR(IF(X35&lt;Y35,TRUE),IF(AND(Y35="",X35&lt;&gt;""),TRUE))</formula>
    </cfRule>
    <cfRule type="expression" dxfId="325" priority="389">
      <formula>IF(X35&gt;=Y35,IF(X35="",FALSE,TRUE))</formula>
    </cfRule>
  </conditionalFormatting>
  <conditionalFormatting sqref="V24:V30">
    <cfRule type="expression" dxfId="324" priority="394">
      <formula>OR(IF(V24&lt;W24,TRUE),IF(AND(W24="",V24&lt;&gt;""),TRUE))</formula>
    </cfRule>
    <cfRule type="expression" dxfId="323" priority="395">
      <formula>IF(V24&gt;=W24,IF(V24="",FALSE,TRUE))</formula>
    </cfRule>
  </conditionalFormatting>
  <conditionalFormatting sqref="X24:X30">
    <cfRule type="expression" dxfId="322" priority="392">
      <formula>OR(IF(X24&lt;Y24,TRUE),IF(AND(Y24="",X24&lt;&gt;""),TRUE))</formula>
    </cfRule>
    <cfRule type="expression" dxfId="321" priority="393">
      <formula>IF(X24&gt;=Y24,IF(X24="",FALSE,TRUE))</formula>
    </cfRule>
  </conditionalFormatting>
  <conditionalFormatting sqref="V35:V45">
    <cfRule type="expression" dxfId="320" priority="390">
      <formula>OR(IF(V35&lt;W35,TRUE),IF(AND(W35="",V35&lt;&gt;""),TRUE))</formula>
    </cfRule>
    <cfRule type="expression" dxfId="319" priority="391">
      <formula>IF(V35&gt;=W35,IF(V35="",FALSE,TRUE))</formula>
    </cfRule>
  </conditionalFormatting>
  <conditionalFormatting sqref="AC5:AC16 AE6:AE11 AC19:AC24 AE19:AE24">
    <cfRule type="expression" dxfId="318" priority="386">
      <formula>OR(IF(AC5&lt;AD5,TRUE),IF(AND(AD5="",AC5&lt;&gt;""),TRUE))</formula>
    </cfRule>
    <cfRule type="expression" dxfId="317" priority="387">
      <formula>IF(AC5&gt;=AD5,IF(AC5="",FALSE,TRUE))</formula>
    </cfRule>
  </conditionalFormatting>
  <conditionalFormatting sqref="AE5:AE16">
    <cfRule type="expression" dxfId="316" priority="384">
      <formula>OR(IF(AE5&lt;AF5,TRUE),IF(AND(AF5="",AE5&lt;&gt;""),TRUE))</formula>
    </cfRule>
    <cfRule type="expression" dxfId="315" priority="385">
      <formula>IF(AE5&gt;=AF5,IF(AE5="",FALSE,TRUE))</formula>
    </cfRule>
  </conditionalFormatting>
  <conditionalFormatting sqref="AC33:AC35 AE33:AE35">
    <cfRule type="expression" dxfId="314" priority="382">
      <formula>OR(IF(AC33&lt;AD33,TRUE),IF(AND(AD33="",AC33&lt;&gt;""),TRUE))</formula>
    </cfRule>
    <cfRule type="expression" dxfId="313" priority="383">
      <formula>IF(AC33&gt;=AD33,IF(AC33="",FALSE,TRUE))</formula>
    </cfRule>
  </conditionalFormatting>
  <conditionalFormatting sqref="AE33:AE34">
    <cfRule type="expression" dxfId="312" priority="380">
      <formula>OR(IF(AE33&lt;AF33,TRUE),IF(AND(AF33="",AE33&lt;&gt;""),TRUE))</formula>
    </cfRule>
    <cfRule type="expression" dxfId="311" priority="381">
      <formula>IF(AE33&gt;=AF33,IF(AE33="",FALSE,TRUE))</formula>
    </cfRule>
  </conditionalFormatting>
  <conditionalFormatting sqref="AE35:AE45">
    <cfRule type="expression" dxfId="310" priority="372">
      <formula>OR(IF(AE35&lt;AF35,TRUE),IF(AND(AF35="",AE35&lt;&gt;""),TRUE))</formula>
    </cfRule>
    <cfRule type="expression" dxfId="309" priority="373">
      <formula>IF(AE35&gt;=AF35,IF(AE35="",FALSE,TRUE))</formula>
    </cfRule>
  </conditionalFormatting>
  <conditionalFormatting sqref="AC24:AC30">
    <cfRule type="expression" dxfId="308" priority="378">
      <formula>OR(IF(AC24&lt;AD24,TRUE),IF(AND(AD24="",AC24&lt;&gt;""),TRUE))</formula>
    </cfRule>
    <cfRule type="expression" dxfId="307" priority="379">
      <formula>IF(AC24&gt;=AD24,IF(AC24="",FALSE,TRUE))</formula>
    </cfRule>
  </conditionalFormatting>
  <conditionalFormatting sqref="AE24:AE30">
    <cfRule type="expression" dxfId="306" priority="376">
      <formula>OR(IF(AE24&lt;AF24,TRUE),IF(AND(AF24="",AE24&lt;&gt;""),TRUE))</formula>
    </cfRule>
    <cfRule type="expression" dxfId="305" priority="377">
      <formula>IF(AE24&gt;=AF24,IF(AE24="",FALSE,TRUE))</formula>
    </cfRule>
  </conditionalFormatting>
  <conditionalFormatting sqref="AC35:AC45">
    <cfRule type="expression" dxfId="304" priority="374">
      <formula>OR(IF(AC35&lt;AD35,TRUE),IF(AND(AD35="",AC35&lt;&gt;""),TRUE))</formula>
    </cfRule>
    <cfRule type="expression" dxfId="303" priority="375">
      <formula>IF(AC35&gt;=AD35,IF(AC35="",FALSE,TRUE))</formula>
    </cfRule>
  </conditionalFormatting>
  <conditionalFormatting sqref="AJ5 AJ12:AJ16 AJ19:AJ25 AL19:AL25">
    <cfRule type="expression" dxfId="302" priority="370">
      <formula>OR(IF(AJ5&lt;AK5,TRUE),IF(AND(AK5="",AJ5&lt;&gt;""),TRUE))</formula>
    </cfRule>
    <cfRule type="expression" dxfId="301" priority="371">
      <formula>IF(AJ5&gt;=AK5,IF(AJ5="",FALSE,TRUE))</formula>
    </cfRule>
  </conditionalFormatting>
  <conditionalFormatting sqref="AL5 AL12:AL16">
    <cfRule type="expression" dxfId="300" priority="368">
      <formula>OR(IF(AL5&lt;AM5,TRUE),IF(AND(AM5="",AL5&lt;&gt;""),TRUE))</formula>
    </cfRule>
    <cfRule type="expression" dxfId="299" priority="369">
      <formula>IF(AL5&gt;=AM5,IF(AL5="",FALSE,TRUE))</formula>
    </cfRule>
  </conditionalFormatting>
  <conditionalFormatting sqref="AJ33:AJ36 AL33:AL36">
    <cfRule type="expression" dxfId="298" priority="366">
      <formula>OR(IF(AJ33&lt;AK33,TRUE),IF(AND(AK33="",AJ33&lt;&gt;""),TRUE))</formula>
    </cfRule>
    <cfRule type="expression" dxfId="297" priority="367">
      <formula>IF(AJ33&gt;=AK33,IF(AJ33="",FALSE,TRUE))</formula>
    </cfRule>
  </conditionalFormatting>
  <conditionalFormatting sqref="AL33:AL34">
    <cfRule type="expression" dxfId="296" priority="364">
      <formula>OR(IF(AL33&lt;AM33,TRUE),IF(AND(AM33="",AL33&lt;&gt;""),TRUE))</formula>
    </cfRule>
    <cfRule type="expression" dxfId="295" priority="365">
      <formula>IF(AL33&gt;=AM33,IF(AL33="",FALSE,TRUE))</formula>
    </cfRule>
  </conditionalFormatting>
  <conditionalFormatting sqref="AJ24:AJ30">
    <cfRule type="expression" dxfId="294" priority="362">
      <formula>OR(IF(AJ24&lt;AK24,TRUE),IF(AND(AK24="",AJ24&lt;&gt;""),TRUE))</formula>
    </cfRule>
    <cfRule type="expression" dxfId="293" priority="363">
      <formula>IF(AJ24&gt;=AK24,IF(AJ24="",FALSE,TRUE))</formula>
    </cfRule>
  </conditionalFormatting>
  <conditionalFormatting sqref="AL24:AL30">
    <cfRule type="expression" dxfId="292" priority="360">
      <formula>OR(IF(AL24&lt;AM24,TRUE),IF(AND(AM24="",AL24&lt;&gt;""),TRUE))</formula>
    </cfRule>
    <cfRule type="expression" dxfId="291" priority="361">
      <formula>IF(AL24&gt;=AM24,IF(AL24="",FALSE,TRUE))</formula>
    </cfRule>
  </conditionalFormatting>
  <conditionalFormatting sqref="AS38:AS45">
    <cfRule type="expression" dxfId="290" priority="340">
      <formula>OR(IF(AS38&lt;AT38,TRUE),IF(AND(AT38="",AS38&lt;&gt;""),TRUE))</formula>
    </cfRule>
    <cfRule type="expression" dxfId="289" priority="341">
      <formula>IF(AS38&gt;=AT38,IF(AS38="",FALSE,TRUE))</formula>
    </cfRule>
  </conditionalFormatting>
  <conditionalFormatting sqref="AQ24:AQ30">
    <cfRule type="expression" dxfId="288" priority="346">
      <formula>OR(IF(AQ24&lt;AR24,TRUE),IF(AND(AR24="",AQ24&lt;&gt;""),TRUE))</formula>
    </cfRule>
    <cfRule type="expression" dxfId="287" priority="347">
      <formula>IF(AQ24&gt;=AR24,IF(AQ24="",FALSE,TRUE))</formula>
    </cfRule>
  </conditionalFormatting>
  <conditionalFormatting sqref="AS24:AS30">
    <cfRule type="expression" dxfId="286" priority="344">
      <formula>OR(IF(AS24&lt;AT24,TRUE),IF(AND(AT24="",AS24&lt;&gt;""),TRUE))</formula>
    </cfRule>
    <cfRule type="expression" dxfId="285" priority="345">
      <formula>IF(AS24&gt;=AT24,IF(AS24="",FALSE,TRUE))</formula>
    </cfRule>
  </conditionalFormatting>
  <conditionalFormatting sqref="AQ38:AQ45">
    <cfRule type="expression" dxfId="284" priority="342">
      <formula>OR(IF(AQ38&lt;AR38,TRUE),IF(AND(AR38="",AQ38&lt;&gt;""),TRUE))</formula>
    </cfRule>
    <cfRule type="expression" dxfId="283" priority="343">
      <formula>IF(AQ38&gt;=AR38,IF(AQ38="",FALSE,TRUE))</formula>
    </cfRule>
  </conditionalFormatting>
  <conditionalFormatting sqref="AX5:AX16 AZ6:AZ14">
    <cfRule type="expression" dxfId="282" priority="338">
      <formula>OR(IF(AX5&lt;AY5,TRUE),IF(AND(AY5="",AX5&lt;&gt;""),TRUE))</formula>
    </cfRule>
    <cfRule type="expression" dxfId="281" priority="339">
      <formula>IF(AX5&gt;=AY5,IF(AX5="",FALSE,TRUE))</formula>
    </cfRule>
  </conditionalFormatting>
  <conditionalFormatting sqref="AZ5:AZ16">
    <cfRule type="expression" dxfId="280" priority="336">
      <formula>OR(IF(AZ5&lt;BA5,TRUE),IF(AND(BA5="",AZ5&lt;&gt;""),TRUE))</formula>
    </cfRule>
    <cfRule type="expression" dxfId="279" priority="337">
      <formula>IF(AZ5&gt;=BA5,IF(AZ5="",FALSE,TRUE))</formula>
    </cfRule>
  </conditionalFormatting>
  <conditionalFormatting sqref="AX33:AX38">
    <cfRule type="expression" dxfId="278" priority="334">
      <formula>OR(IF(AX33&lt;AY33,TRUE),IF(AND(AY33="",AX33&lt;&gt;""),TRUE))</formula>
    </cfRule>
    <cfRule type="expression" dxfId="277" priority="335">
      <formula>IF(AX33&gt;=AY33,IF(AX33="",FALSE,TRUE))</formula>
    </cfRule>
  </conditionalFormatting>
  <conditionalFormatting sqref="AZ33:AZ38">
    <cfRule type="expression" dxfId="276" priority="332">
      <formula>OR(IF(AZ33&lt;BA33,TRUE),IF(AND(BA33="",AZ33&lt;&gt;""),TRUE))</formula>
    </cfRule>
    <cfRule type="expression" dxfId="275" priority="333">
      <formula>IF(AZ33&gt;=BA33,IF(AZ33="",FALSE,TRUE))</formula>
    </cfRule>
  </conditionalFormatting>
  <conditionalFormatting sqref="AX28:AX30">
    <cfRule type="expression" dxfId="274" priority="330">
      <formula>OR(IF(AX28&lt;AY28,TRUE),IF(AND(AY28="",AX28&lt;&gt;""),TRUE))</formula>
    </cfRule>
    <cfRule type="expression" dxfId="273" priority="331">
      <formula>IF(AX28&gt;=AY28,IF(AX28="",FALSE,TRUE))</formula>
    </cfRule>
  </conditionalFormatting>
  <conditionalFormatting sqref="BG33:BG34">
    <cfRule type="expression" dxfId="272" priority="316">
      <formula>OR(IF(BG33&lt;BH33,TRUE),IF(AND(BH33="",BG33&lt;&gt;""),TRUE))</formula>
    </cfRule>
    <cfRule type="expression" dxfId="271" priority="317">
      <formula>IF(BG33&gt;=BH33,IF(BG33="",FALSE,TRUE))</formula>
    </cfRule>
  </conditionalFormatting>
  <conditionalFormatting sqref="BE29:BE30">
    <cfRule type="expression" dxfId="270" priority="314">
      <formula>OR(IF(BE29&lt;BF29,TRUE),IF(AND(BF29="",BE29&lt;&gt;""),TRUE))</formula>
    </cfRule>
    <cfRule type="expression" dxfId="269" priority="315">
      <formula>IF(BE29&gt;=BF29,IF(BE29="",FALSE,TRUE))</formula>
    </cfRule>
  </conditionalFormatting>
  <conditionalFormatting sqref="BG29:BG30">
    <cfRule type="expression" dxfId="268" priority="312">
      <formula>OR(IF(BG29&lt;BH29,TRUE),IF(AND(BH29="",BG29&lt;&gt;""),TRUE))</formula>
    </cfRule>
    <cfRule type="expression" dxfId="267" priority="313">
      <formula>IF(BG29&gt;=BH29,IF(BG29="",FALSE,TRUE))</formula>
    </cfRule>
  </conditionalFormatting>
  <conditionalFormatting sqref="BE35:BE45 BG35:BG37">
    <cfRule type="expression" dxfId="266" priority="310">
      <formula>OR(IF(BE35&lt;BF35,TRUE),IF(AND(BF35="",BE35&lt;&gt;""),TRUE))</formula>
    </cfRule>
    <cfRule type="expression" dxfId="265" priority="311">
      <formula>IF(BE35&gt;=BF35,IF(BE35="",FALSE,TRUE))</formula>
    </cfRule>
  </conditionalFormatting>
  <conditionalFormatting sqref="J5:J16">
    <cfRule type="colorScale" priority="307">
      <colorScale>
        <cfvo type="percent" val="0"/>
        <cfvo type="percent" val="100"/>
        <color rgb="FFFF231B"/>
        <color rgb="FF10FF07"/>
      </colorScale>
    </cfRule>
  </conditionalFormatting>
  <conditionalFormatting sqref="K5:K16">
    <cfRule type="colorScale" priority="306">
      <colorScale>
        <cfvo type="percent" val="0"/>
        <cfvo type="percent" val="100"/>
        <color rgb="FFFF231B"/>
        <color rgb="FF10FF07"/>
      </colorScale>
    </cfRule>
  </conditionalFormatting>
  <conditionalFormatting sqref="J34:K44 K45 J46">
    <cfRule type="colorScale" priority="305">
      <colorScale>
        <cfvo type="percent" val="0"/>
        <cfvo type="percent" val="100"/>
        <color rgb="FFFF231B"/>
        <color rgb="FF10FF07"/>
      </colorScale>
    </cfRule>
  </conditionalFormatting>
  <conditionalFormatting sqref="K33:K45">
    <cfRule type="colorScale" priority="303">
      <colorScale>
        <cfvo type="percent" val="0"/>
        <cfvo type="percent" val="100"/>
        <color rgb="FFFF231B"/>
        <color rgb="FF10FF07"/>
      </colorScale>
    </cfRule>
  </conditionalFormatting>
  <conditionalFormatting sqref="J20:K24">
    <cfRule type="colorScale" priority="302">
      <colorScale>
        <cfvo type="percent" val="0"/>
        <cfvo type="percent" val="100"/>
        <color rgb="FFFF231B"/>
        <color rgb="FF10FF07"/>
      </colorScale>
    </cfRule>
  </conditionalFormatting>
  <conditionalFormatting sqref="J19:J24">
    <cfRule type="colorScale" priority="301">
      <colorScale>
        <cfvo type="percent" val="0"/>
        <cfvo type="percent" val="100"/>
        <color rgb="FFFF231B"/>
        <color rgb="FF10FF07"/>
      </colorScale>
    </cfRule>
  </conditionalFormatting>
  <conditionalFormatting sqref="K19:K24">
    <cfRule type="colorScale" priority="300">
      <colorScale>
        <cfvo type="percent" val="0"/>
        <cfvo type="percent" val="100"/>
        <color rgb="FFFF231B"/>
        <color rgb="FF10FF07"/>
      </colorScale>
    </cfRule>
  </conditionalFormatting>
  <conditionalFormatting sqref="J33:J44 J46">
    <cfRule type="colorScale" priority="492">
      <colorScale>
        <cfvo type="percent" val="0"/>
        <cfvo type="percent" val="100"/>
        <color rgb="FFFF231B"/>
        <color rgb="FF10FF07"/>
      </colorScale>
    </cfRule>
  </conditionalFormatting>
  <conditionalFormatting sqref="BL5:BL16 BN6:BN16">
    <cfRule type="expression" dxfId="264" priority="298">
      <formula>OR(IF(BL5&lt;BM5,TRUE),IF(AND(BM5="",BL5&lt;&gt;""),TRUE))</formula>
    </cfRule>
    <cfRule type="expression" dxfId="263" priority="299">
      <formula>IF(BL5&gt;=BM5,IF(BL5="",FALSE,TRUE))</formula>
    </cfRule>
  </conditionalFormatting>
  <conditionalFormatting sqref="BN5:BN16">
    <cfRule type="expression" dxfId="262" priority="296">
      <formula>OR(IF(BN5&lt;BO5,TRUE),IF(AND(BO5="",BN5&lt;&gt;""),TRUE))</formula>
    </cfRule>
    <cfRule type="expression" dxfId="261" priority="297">
      <formula>IF(BN5&gt;=BO5,IF(BN5="",FALSE,TRUE))</formula>
    </cfRule>
  </conditionalFormatting>
  <conditionalFormatting sqref="BL33">
    <cfRule type="expression" dxfId="260" priority="294">
      <formula>OR(IF(BL33&lt;BM33,TRUE),IF(AND(BM33="",BL33&lt;&gt;""),TRUE))</formula>
    </cfRule>
    <cfRule type="expression" dxfId="259" priority="295">
      <formula>IF(BL33&gt;=BM33,IF(BL33="",FALSE,TRUE))</formula>
    </cfRule>
  </conditionalFormatting>
  <conditionalFormatting sqref="BN35:BN45">
    <cfRule type="expression" dxfId="258" priority="284">
      <formula>OR(IF(BN35&lt;BO35,TRUE),IF(AND(BO35="",BN35&lt;&gt;""),TRUE))</formula>
    </cfRule>
    <cfRule type="expression" dxfId="257" priority="285">
      <formula>IF(BN35&gt;=BO35,IF(BN35="",FALSE,TRUE))</formula>
    </cfRule>
  </conditionalFormatting>
  <conditionalFormatting sqref="BN33">
    <cfRule type="expression" dxfId="256" priority="292">
      <formula>OR(IF(BN33&lt;BO33,TRUE),IF(AND(BO33="",BN33&lt;&gt;""),TRUE))</formula>
    </cfRule>
    <cfRule type="expression" dxfId="255" priority="293">
      <formula>IF(BN33&gt;=BO33,IF(BN33="",FALSE,TRUE))</formula>
    </cfRule>
  </conditionalFormatting>
  <conditionalFormatting sqref="BL30">
    <cfRule type="expression" dxfId="254" priority="290">
      <formula>OR(IF(BL30&lt;BM30,TRUE),IF(AND(BM30="",BL30&lt;&gt;""),TRUE))</formula>
    </cfRule>
    <cfRule type="expression" dxfId="253" priority="291">
      <formula>IF(BL30&gt;=BM30,IF(BL30="",FALSE,TRUE))</formula>
    </cfRule>
  </conditionalFormatting>
  <conditionalFormatting sqref="BN30">
    <cfRule type="expression" dxfId="252" priority="288">
      <formula>OR(IF(BN30&lt;BO30,TRUE),IF(AND(BO30="",BN30&lt;&gt;""),TRUE))</formula>
    </cfRule>
    <cfRule type="expression" dxfId="251" priority="289">
      <formula>IF(BN30&gt;=BO30,IF(BN30="",FALSE,TRUE))</formula>
    </cfRule>
  </conditionalFormatting>
  <conditionalFormatting sqref="BL35:BL45 BN35:BN38">
    <cfRule type="expression" dxfId="250" priority="286">
      <formula>OR(IF(BL35&lt;BM35,TRUE),IF(AND(BM35="",BL35&lt;&gt;""),TRUE))</formula>
    </cfRule>
    <cfRule type="expression" dxfId="249" priority="287">
      <formula>IF(BL35&gt;=BM35,IF(BL35="",FALSE,TRUE))</formula>
    </cfRule>
  </conditionalFormatting>
  <conditionalFormatting sqref="BS5:BS16 BU7:BU16 BS19:BS24 BU19:BU24">
    <cfRule type="expression" dxfId="248" priority="282">
      <formula>OR(IF(BS5&lt;BT5,TRUE),IF(AND(BT5="",BS5&lt;&gt;""),TRUE))</formula>
    </cfRule>
    <cfRule type="expression" dxfId="247" priority="283">
      <formula>IF(BS5&gt;=BT5,IF(BS5="",FALSE,TRUE))</formula>
    </cfRule>
  </conditionalFormatting>
  <conditionalFormatting sqref="BU5:BU16">
    <cfRule type="expression" dxfId="246" priority="280">
      <formula>OR(IF(BU5&lt;BV5,TRUE),IF(AND(BV5="",BU5&lt;&gt;""),TRUE))</formula>
    </cfRule>
    <cfRule type="expression" dxfId="245" priority="281">
      <formula>IF(BU5&gt;=BV5,IF(BU5="",FALSE,TRUE))</formula>
    </cfRule>
  </conditionalFormatting>
  <conditionalFormatting sqref="BU39:BU45">
    <cfRule type="expression" dxfId="244" priority="268">
      <formula>OR(IF(BU39&lt;BV39,TRUE),IF(AND(BV39="",BU39&lt;&gt;""),TRUE))</formula>
    </cfRule>
    <cfRule type="expression" dxfId="243" priority="269">
      <formula>IF(BU39&gt;=BV39,IF(BU39="",FALSE,TRUE))</formula>
    </cfRule>
  </conditionalFormatting>
  <conditionalFormatting sqref="BS24">
    <cfRule type="expression" dxfId="242" priority="274">
      <formula>OR(IF(BS24&lt;BT24,TRUE),IF(AND(BT24="",BS24&lt;&gt;""),TRUE))</formula>
    </cfRule>
    <cfRule type="expression" dxfId="241" priority="275">
      <formula>IF(BS24&gt;=BT24,IF(BS24="",FALSE,TRUE))</formula>
    </cfRule>
  </conditionalFormatting>
  <conditionalFormatting sqref="BU24">
    <cfRule type="expression" dxfId="240" priority="272">
      <formula>OR(IF(BU24&lt;BV24,TRUE),IF(AND(BV24="",BU24&lt;&gt;""),TRUE))</formula>
    </cfRule>
    <cfRule type="expression" dxfId="239" priority="273">
      <formula>IF(BU24&gt;=BV24,IF(BU24="",FALSE,TRUE))</formula>
    </cfRule>
  </conditionalFormatting>
  <conditionalFormatting sqref="BS39:BS45">
    <cfRule type="expression" dxfId="238" priority="270">
      <formula>OR(IF(BS39&lt;BT39,TRUE),IF(AND(BT39="",BS39&lt;&gt;""),TRUE))</formula>
    </cfRule>
    <cfRule type="expression" dxfId="237" priority="271">
      <formula>IF(BS39&gt;=BT39,IF(BS39="",FALSE,TRUE))</formula>
    </cfRule>
  </conditionalFormatting>
  <conditionalFormatting sqref="BZ5:BZ13 CB7:CB12">
    <cfRule type="expression" dxfId="236" priority="266">
      <formula>OR(IF(BZ5&lt;CA5,TRUE),IF(AND(CA5="",BZ5&lt;&gt;""),TRUE))</formula>
    </cfRule>
    <cfRule type="expression" dxfId="235" priority="267">
      <formula>IF(BZ5&gt;=CA5,IF(BZ5="",FALSE,TRUE))</formula>
    </cfRule>
  </conditionalFormatting>
  <conditionalFormatting sqref="CB5:CB13">
    <cfRule type="expression" dxfId="234" priority="264">
      <formula>OR(IF(CB5&lt;CC5,TRUE),IF(AND(CC5="",CB5&lt;&gt;""),TRUE))</formula>
    </cfRule>
    <cfRule type="expression" dxfId="233" priority="265">
      <formula>IF(CB5&gt;=CC5,IF(CB5="",FALSE,TRUE))</formula>
    </cfRule>
  </conditionalFormatting>
  <conditionalFormatting sqref="BZ33:BZ34">
    <cfRule type="expression" dxfId="232" priority="262">
      <formula>OR(IF(BZ33&lt;CA33,TRUE),IF(AND(CA33="",BZ33&lt;&gt;""),TRUE))</formula>
    </cfRule>
    <cfRule type="expression" dxfId="231" priority="263">
      <formula>IF(BZ33&gt;=CA33,IF(BZ33="",FALSE,TRUE))</formula>
    </cfRule>
  </conditionalFormatting>
  <conditionalFormatting sqref="CB35:CB45">
    <cfRule type="expression" dxfId="230" priority="252">
      <formula>OR(IF(CB35&lt;CC35,TRUE),IF(AND(CC35="",CB35&lt;&gt;""),TRUE))</formula>
    </cfRule>
    <cfRule type="expression" dxfId="229" priority="253">
      <formula>IF(CB35&gt;=CC35,IF(CB35="",FALSE,TRUE))</formula>
    </cfRule>
  </conditionalFormatting>
  <conditionalFormatting sqref="CB33:CB34">
    <cfRule type="expression" dxfId="228" priority="260">
      <formula>OR(IF(CB33&lt;CC33,TRUE),IF(AND(CC33="",CB33&lt;&gt;""),TRUE))</formula>
    </cfRule>
    <cfRule type="expression" dxfId="227" priority="261">
      <formula>IF(CB33&gt;=CC33,IF(CB33="",FALSE,TRUE))</formula>
    </cfRule>
  </conditionalFormatting>
  <conditionalFormatting sqref="BZ35:BZ45">
    <cfRule type="expression" dxfId="226" priority="254">
      <formula>OR(IF(BZ35&lt;CA35,TRUE),IF(AND(CA35="",BZ35&lt;&gt;""),TRUE))</formula>
    </cfRule>
    <cfRule type="expression" dxfId="225" priority="255">
      <formula>IF(BZ35&gt;=CA35,IF(BZ35="",FALSE,TRUE))</formula>
    </cfRule>
  </conditionalFormatting>
  <conditionalFormatting sqref="CG19:CG20 CI19:CI20 CG5:CG16 CI6:CI16">
    <cfRule type="expression" dxfId="224" priority="250">
      <formula>OR(IF(CG5&lt;CH5,TRUE),IF(AND(CH5="",CG5&lt;&gt;""),TRUE))</formula>
    </cfRule>
    <cfRule type="expression" dxfId="223" priority="251">
      <formula>IF(CG5&gt;=CH5,IF(CG5="",FALSE,TRUE))</formula>
    </cfRule>
  </conditionalFormatting>
  <conditionalFormatting sqref="CI5:CI16">
    <cfRule type="expression" dxfId="222" priority="248">
      <formula>OR(IF(CI5&lt;CJ5,TRUE),IF(AND(CJ5="",CI5&lt;&gt;""),TRUE))</formula>
    </cfRule>
    <cfRule type="expression" dxfId="221" priority="249">
      <formula>IF(CI5&gt;=CJ5,IF(CI5="",FALSE,TRUE))</formula>
    </cfRule>
  </conditionalFormatting>
  <conditionalFormatting sqref="CG33:CG34">
    <cfRule type="expression" dxfId="220" priority="246">
      <formula>OR(IF(CG33&lt;CH33,TRUE),IF(AND(CH33="",CG33&lt;&gt;""),TRUE))</formula>
    </cfRule>
    <cfRule type="expression" dxfId="219" priority="247">
      <formula>IF(CG33&gt;=CH33,IF(CG33="",FALSE,TRUE))</formula>
    </cfRule>
  </conditionalFormatting>
  <conditionalFormatting sqref="CI35:CI36 CI39:CI45">
    <cfRule type="expression" dxfId="218" priority="236">
      <formula>OR(IF(CI35&lt;CJ35,TRUE),IF(AND(CJ35="",CI35&lt;&gt;""),TRUE))</formula>
    </cfRule>
    <cfRule type="expression" dxfId="217" priority="237">
      <formula>IF(CI35&gt;=CJ35,IF(CI35="",FALSE,TRUE))</formula>
    </cfRule>
  </conditionalFormatting>
  <conditionalFormatting sqref="CI33:CI34">
    <cfRule type="expression" dxfId="216" priority="244">
      <formula>OR(IF(CI33&lt;CJ33,TRUE),IF(AND(CJ33="",CI33&lt;&gt;""),TRUE))</formula>
    </cfRule>
    <cfRule type="expression" dxfId="215" priority="245">
      <formula>IF(CI33&gt;=CJ33,IF(CI33="",FALSE,TRUE))</formula>
    </cfRule>
  </conditionalFormatting>
  <conditionalFormatting sqref="CG35:CG36 CG39:CG45">
    <cfRule type="expression" dxfId="214" priority="238">
      <formula>OR(IF(CG35&lt;CH35,TRUE),IF(AND(CH35="",CG35&lt;&gt;""),TRUE))</formula>
    </cfRule>
    <cfRule type="expression" dxfId="213" priority="239">
      <formula>IF(CG35&gt;=CH35,IF(CG35="",FALSE,TRUE))</formula>
    </cfRule>
  </conditionalFormatting>
  <conditionalFormatting sqref="CN5:CN16 CP5:CP14">
    <cfRule type="expression" dxfId="212" priority="234">
      <formula>OR(IF(CN5&lt;CO5,TRUE),IF(AND(CO5="",CN5&lt;&gt;""),TRUE))</formula>
    </cfRule>
    <cfRule type="expression" dxfId="211" priority="235">
      <formula>IF(CN5&gt;=CO5,IF(CN5="",FALSE,TRUE))</formula>
    </cfRule>
  </conditionalFormatting>
  <conditionalFormatting sqref="CP5:CP16">
    <cfRule type="expression" dxfId="210" priority="232">
      <formula>OR(IF(CP5&lt;CQ5,TRUE),IF(AND(CQ5="",CP5&lt;&gt;""),TRUE))</formula>
    </cfRule>
    <cfRule type="expression" dxfId="209" priority="233">
      <formula>IF(CP5&gt;=CQ5,IF(CP5="",FALSE,TRUE))</formula>
    </cfRule>
  </conditionalFormatting>
  <conditionalFormatting sqref="CN33:CN34">
    <cfRule type="expression" dxfId="208" priority="230">
      <formula>OR(IF(CN33&lt;CO33,TRUE),IF(AND(CO33="",CN33&lt;&gt;""),TRUE))</formula>
    </cfRule>
    <cfRule type="expression" dxfId="207" priority="231">
      <formula>IF(CN33&gt;=CO33,IF(CN33="",FALSE,TRUE))</formula>
    </cfRule>
  </conditionalFormatting>
  <conditionalFormatting sqref="CP39:CP45">
    <cfRule type="expression" dxfId="206" priority="220">
      <formula>OR(IF(CP39&lt;CQ39,TRUE),IF(AND(CQ39="",CP39&lt;&gt;""),TRUE))</formula>
    </cfRule>
    <cfRule type="expression" dxfId="205" priority="221">
      <formula>IF(CP39&gt;=CQ39,IF(CP39="",FALSE,TRUE))</formula>
    </cfRule>
  </conditionalFormatting>
  <conditionalFormatting sqref="CP33:CP34">
    <cfRule type="expression" dxfId="204" priority="228">
      <formula>OR(IF(CP33&lt;CQ33,TRUE),IF(AND(CQ33="",CP33&lt;&gt;""),TRUE))</formula>
    </cfRule>
    <cfRule type="expression" dxfId="203" priority="229">
      <formula>IF(CP33&gt;=CQ33,IF(CP33="",FALSE,TRUE))</formula>
    </cfRule>
  </conditionalFormatting>
  <conditionalFormatting sqref="CN35:CN45">
    <cfRule type="expression" dxfId="202" priority="222">
      <formula>OR(IF(CN35&lt;CO35,TRUE),IF(AND(CO35="",CN35&lt;&gt;""),TRUE))</formula>
    </cfRule>
    <cfRule type="expression" dxfId="201" priority="223">
      <formula>IF(CN35&gt;=CO35,IF(CN35="",FALSE,TRUE))</formula>
    </cfRule>
  </conditionalFormatting>
  <conditionalFormatting sqref="CU5:CU10 CW5:CW10 CU16">
    <cfRule type="expression" dxfId="200" priority="218">
      <formula>OR(IF(CU5&lt;CV5,TRUE),IF(AND(CV5="",CU5&lt;&gt;""),TRUE))</formula>
    </cfRule>
    <cfRule type="expression" dxfId="199" priority="219">
      <formula>IF(CU5&gt;=CV5,IF(CU5="",FALSE,TRUE))</formula>
    </cfRule>
  </conditionalFormatting>
  <conditionalFormatting sqref="CW5:CW10 CW16">
    <cfRule type="expression" dxfId="198" priority="216">
      <formula>OR(IF(CW5&lt;CX5,TRUE),IF(AND(CX5="",CW5&lt;&gt;""),TRUE))</formula>
    </cfRule>
    <cfRule type="expression" dxfId="197" priority="217">
      <formula>IF(CW5&gt;=CX5,IF(CW5="",FALSE,TRUE))</formula>
    </cfRule>
  </conditionalFormatting>
  <conditionalFormatting sqref="CU33:CU34">
    <cfRule type="expression" dxfId="196" priority="214">
      <formula>OR(IF(CU33&lt;CV33,TRUE),IF(AND(CV33="",CU33&lt;&gt;""),TRUE))</formula>
    </cfRule>
    <cfRule type="expression" dxfId="195" priority="215">
      <formula>IF(CU33&gt;=CV33,IF(CU33="",FALSE,TRUE))</formula>
    </cfRule>
  </conditionalFormatting>
  <conditionalFormatting sqref="CW35 CW38:CW45">
    <cfRule type="expression" dxfId="194" priority="204">
      <formula>OR(IF(CW35&lt;CX35,TRUE),IF(AND(CX35="",CW35&lt;&gt;""),TRUE))</formula>
    </cfRule>
    <cfRule type="expression" dxfId="193" priority="205">
      <formula>IF(CW35&gt;=CX35,IF(CW35="",FALSE,TRUE))</formula>
    </cfRule>
  </conditionalFormatting>
  <conditionalFormatting sqref="CW33:CW34">
    <cfRule type="expression" dxfId="192" priority="212">
      <formula>OR(IF(CW33&lt;CX33,TRUE),IF(AND(CX33="",CW33&lt;&gt;""),TRUE))</formula>
    </cfRule>
    <cfRule type="expression" dxfId="191" priority="213">
      <formula>IF(CW33&gt;=CX33,IF(CW33="",FALSE,TRUE))</formula>
    </cfRule>
  </conditionalFormatting>
  <conditionalFormatting sqref="CU35 CU38:CU45">
    <cfRule type="expression" dxfId="190" priority="206">
      <formula>OR(IF(CU35&lt;CV35,TRUE),IF(AND(CV35="",CU35&lt;&gt;""),TRUE))</formula>
    </cfRule>
    <cfRule type="expression" dxfId="189" priority="207">
      <formula>IF(CU35&gt;=CV35,IF(CU35="",FALSE,TRUE))</formula>
    </cfRule>
  </conditionalFormatting>
  <conditionalFormatting sqref="DB5:DB12 DD5:DD11">
    <cfRule type="expression" dxfId="188" priority="202">
      <formula>OR(IF(DB5&lt;DC5,TRUE),IF(AND(DC5="",DB5&lt;&gt;""),TRUE))</formula>
    </cfRule>
    <cfRule type="expression" dxfId="187" priority="203">
      <formula>IF(DB5&gt;=DC5,IF(DB5="",FALSE,TRUE))</formula>
    </cfRule>
  </conditionalFormatting>
  <conditionalFormatting sqref="DD5:DD12">
    <cfRule type="expression" dxfId="186" priority="200">
      <formula>OR(IF(DD5&lt;DE5,TRUE),IF(AND(DE5="",DD5&lt;&gt;""),TRUE))</formula>
    </cfRule>
    <cfRule type="expression" dxfId="185" priority="201">
      <formula>IF(DD5&gt;=DE5,IF(DD5="",FALSE,TRUE))</formula>
    </cfRule>
  </conditionalFormatting>
  <conditionalFormatting sqref="DD36:DD45">
    <cfRule type="expression" dxfId="184" priority="188">
      <formula>OR(IF(DD36&lt;DE36,TRUE),IF(AND(DE36="",DD36&lt;&gt;""),TRUE))</formula>
    </cfRule>
    <cfRule type="expression" dxfId="183" priority="189">
      <formula>IF(DD36&gt;=DE36,IF(DD36="",FALSE,TRUE))</formula>
    </cfRule>
  </conditionalFormatting>
  <conditionalFormatting sqref="DB30">
    <cfRule type="expression" dxfId="182" priority="194">
      <formula>OR(IF(DB30&lt;DC30,TRUE),IF(AND(DC30="",DB30&lt;&gt;""),TRUE))</formula>
    </cfRule>
    <cfRule type="expression" dxfId="181" priority="195">
      <formula>IF(DB30&gt;=DC30,IF(DB30="",FALSE,TRUE))</formula>
    </cfRule>
  </conditionalFormatting>
  <conditionalFormatting sqref="DD30">
    <cfRule type="expression" dxfId="180" priority="192">
      <formula>OR(IF(DD30&lt;DE30,TRUE),IF(AND(DE30="",DD30&lt;&gt;""),TRUE))</formula>
    </cfRule>
    <cfRule type="expression" dxfId="179" priority="193">
      <formula>IF(DD30&gt;=DE30,IF(DD30="",FALSE,TRUE))</formula>
    </cfRule>
  </conditionalFormatting>
  <conditionalFormatting sqref="DB36:DB45">
    <cfRule type="expression" dxfId="178" priority="190">
      <formula>OR(IF(DB36&lt;DC36,TRUE),IF(AND(DC36="",DB36&lt;&gt;""),TRUE))</formula>
    </cfRule>
    <cfRule type="expression" dxfId="177" priority="191">
      <formula>IF(DB36&gt;=DC36,IF(DB36="",FALSE,TRUE))</formula>
    </cfRule>
  </conditionalFormatting>
  <conditionalFormatting sqref="DI5:DI16 DK14:DK16 DI19:DI24 DK19:DK24">
    <cfRule type="expression" dxfId="176" priority="186">
      <formula>OR(IF(DI5&lt;DJ5,TRUE),IF(AND(DJ5="",DI5&lt;&gt;""),TRUE))</formula>
    </cfRule>
    <cfRule type="expression" dxfId="175" priority="187">
      <formula>IF(DI5&gt;=DJ5,IF(DI5="",FALSE,TRUE))</formula>
    </cfRule>
  </conditionalFormatting>
  <conditionalFormatting sqref="DI5:DI16 DK5:DK16">
    <cfRule type="expression" dxfId="174" priority="184">
      <formula>OR(IF(DI5&lt;DJ5,TRUE),IF(AND(DJ5="",DI5&lt;&gt;""),TRUE))</formula>
    </cfRule>
    <cfRule type="expression" dxfId="173" priority="185">
      <formula>IF(DI5&gt;=DJ5,IF(DI5="",FALSE,TRUE))</formula>
    </cfRule>
  </conditionalFormatting>
  <conditionalFormatting sqref="DI33:DI36 DK33:DK36">
    <cfRule type="expression" dxfId="172" priority="182">
      <formula>OR(IF(DI33&lt;DJ33,TRUE),IF(AND(DJ33="",DI33&lt;&gt;""),TRUE))</formula>
    </cfRule>
    <cfRule type="expression" dxfId="171" priority="183">
      <formula>IF(DI33&gt;=DJ33,IF(DI33="",FALSE,TRUE))</formula>
    </cfRule>
  </conditionalFormatting>
  <conditionalFormatting sqref="DK35:DK36 DK39:DK45">
    <cfRule type="expression" dxfId="170" priority="172">
      <formula>OR(IF(DK35&lt;DL35,TRUE),IF(AND(DL35="",DK35&lt;&gt;""),TRUE))</formula>
    </cfRule>
    <cfRule type="expression" dxfId="169" priority="173">
      <formula>IF(DK35&gt;=DL35,IF(DK35="",FALSE,TRUE))</formula>
    </cfRule>
  </conditionalFormatting>
  <conditionalFormatting sqref="DK33:DK34">
    <cfRule type="expression" dxfId="168" priority="180">
      <formula>OR(IF(DK33&lt;DL33,TRUE),IF(AND(DL33="",DK33&lt;&gt;""),TRUE))</formula>
    </cfRule>
    <cfRule type="expression" dxfId="167" priority="181">
      <formula>IF(DK33&gt;=DL33,IF(DK33="",FALSE,TRUE))</formula>
    </cfRule>
  </conditionalFormatting>
  <conditionalFormatting sqref="DI24:DI30 DK25:DK30">
    <cfRule type="expression" dxfId="166" priority="178">
      <formula>OR(IF(DI24&lt;DJ24,TRUE),IF(AND(DJ24="",DI24&lt;&gt;""),TRUE))</formula>
    </cfRule>
    <cfRule type="expression" dxfId="165" priority="179">
      <formula>IF(DI24&gt;=DJ24,IF(DI24="",FALSE,TRUE))</formula>
    </cfRule>
  </conditionalFormatting>
  <conditionalFormatting sqref="DK24:DK30">
    <cfRule type="expression" dxfId="164" priority="176">
      <formula>OR(IF(DK24&lt;DL24,TRUE),IF(AND(DL24="",DK24&lt;&gt;""),TRUE))</formula>
    </cfRule>
    <cfRule type="expression" dxfId="163" priority="177">
      <formula>IF(DK24&gt;=DL24,IF(DK24="",FALSE,TRUE))</formula>
    </cfRule>
  </conditionalFormatting>
  <conditionalFormatting sqref="DI35:DI36 DI39:DI45">
    <cfRule type="expression" dxfId="162" priority="174">
      <formula>OR(IF(DI35&lt;DJ35,TRUE),IF(AND(DJ35="",DI35&lt;&gt;""),TRUE))</formula>
    </cfRule>
    <cfRule type="expression" dxfId="161" priority="175">
      <formula>IF(DI35&gt;=DJ35,IF(DI35="",FALSE,TRUE))</formula>
    </cfRule>
  </conditionalFormatting>
  <conditionalFormatting sqref="DP5:DP16">
    <cfRule type="expression" dxfId="160" priority="170">
      <formula>OR(IF(DP5&lt;DQ5,TRUE),IF(AND(DQ5="",DP5&lt;&gt;""),TRUE))</formula>
    </cfRule>
    <cfRule type="expression" dxfId="159" priority="171">
      <formula>IF(DP5&gt;=DQ5,IF(DP5="",FALSE,TRUE))</formula>
    </cfRule>
  </conditionalFormatting>
  <conditionalFormatting sqref="DP5:DP14 DR5:DR16">
    <cfRule type="expression" dxfId="158" priority="168">
      <formula>OR(IF(DP5&lt;DQ5,TRUE),IF(AND(DQ5="",DP5&lt;&gt;""),TRUE))</formula>
    </cfRule>
    <cfRule type="expression" dxfId="157" priority="169">
      <formula>IF(DP5&gt;=DQ5,IF(DP5="",FALSE,TRUE))</formula>
    </cfRule>
  </conditionalFormatting>
  <conditionalFormatting sqref="DR37:DR45">
    <cfRule type="expression" dxfId="156" priority="156">
      <formula>OR(IF(DR37&lt;DS37,TRUE),IF(AND(DS37="",DR37&lt;&gt;""),TRUE))</formula>
    </cfRule>
    <cfRule type="expression" dxfId="155" priority="157">
      <formula>IF(DR37&gt;=DS37,IF(DR37="",FALSE,TRUE))</formula>
    </cfRule>
  </conditionalFormatting>
  <conditionalFormatting sqref="DP27:DP30 DR27:DR30">
    <cfRule type="expression" dxfId="154" priority="162">
      <formula>OR(IF(DP27&lt;DQ27,TRUE),IF(AND(DQ27="",DP27&lt;&gt;""),TRUE))</formula>
    </cfRule>
    <cfRule type="expression" dxfId="153" priority="163">
      <formula>IF(DP27&gt;=DQ27,IF(DP27="",FALSE,TRUE))</formula>
    </cfRule>
  </conditionalFormatting>
  <conditionalFormatting sqref="DR27:DR30">
    <cfRule type="expression" dxfId="152" priority="160">
      <formula>OR(IF(DR27&lt;DS27,TRUE),IF(AND(DS27="",DR27&lt;&gt;""),TRUE))</formula>
    </cfRule>
    <cfRule type="expression" dxfId="151" priority="161">
      <formula>IF(DR27&gt;=DS27,IF(DR27="",FALSE,TRUE))</formula>
    </cfRule>
  </conditionalFormatting>
  <conditionalFormatting sqref="DP37:DP45">
    <cfRule type="expression" dxfId="150" priority="158">
      <formula>OR(IF(DP37&lt;DQ37,TRUE),IF(AND(DQ37="",DP37&lt;&gt;""),TRUE))</formula>
    </cfRule>
    <cfRule type="expression" dxfId="149" priority="159">
      <formula>IF(DP37&gt;=DQ37,IF(DP37="",FALSE,TRUE))</formula>
    </cfRule>
  </conditionalFormatting>
  <conditionalFormatting sqref="DW5:DW6 DW15:DW16">
    <cfRule type="expression" dxfId="148" priority="154">
      <formula>OR(IF(DW5&lt;DX5,TRUE),IF(AND(DX5="",DW5&lt;&gt;""),TRUE))</formula>
    </cfRule>
    <cfRule type="expression" dxfId="147" priority="155">
      <formula>IF(DW5&gt;=DX5,IF(DW5="",FALSE,TRUE))</formula>
    </cfRule>
  </conditionalFormatting>
  <conditionalFormatting sqref="DY5:DY6 DY15:DY16">
    <cfRule type="expression" dxfId="146" priority="152">
      <formula>OR(IF(DY5&lt;DZ5,TRUE),IF(AND(DZ5="",DY5&lt;&gt;""),TRUE))</formula>
    </cfRule>
    <cfRule type="expression" dxfId="145" priority="153">
      <formula>IF(DY5&gt;=DZ5,IF(DY5="",FALSE,TRUE))</formula>
    </cfRule>
  </conditionalFormatting>
  <conditionalFormatting sqref="DY38:DY45">
    <cfRule type="expression" dxfId="144" priority="140">
      <formula>OR(IF(DY38&lt;DZ38,TRUE),IF(AND(DZ38="",DY38&lt;&gt;""),TRUE))</formula>
    </cfRule>
    <cfRule type="expression" dxfId="143" priority="141">
      <formula>IF(DY38&gt;=DZ38,IF(DY38="",FALSE,TRUE))</formula>
    </cfRule>
  </conditionalFormatting>
  <conditionalFormatting sqref="DW29:DW30">
    <cfRule type="expression" dxfId="142" priority="146">
      <formula>OR(IF(DW29&lt;DX29,TRUE),IF(AND(DX29="",DW29&lt;&gt;""),TRUE))</formula>
    </cfRule>
    <cfRule type="expression" dxfId="141" priority="147">
      <formula>IF(DW29&gt;=DX29,IF(DW29="",FALSE,TRUE))</formula>
    </cfRule>
  </conditionalFormatting>
  <conditionalFormatting sqref="DY29:DY30">
    <cfRule type="expression" dxfId="140" priority="144">
      <formula>OR(IF(DY29&lt;DZ29,TRUE),IF(AND(DZ29="",DY29&lt;&gt;""),TRUE))</formula>
    </cfRule>
    <cfRule type="expression" dxfId="139" priority="145">
      <formula>IF(DY29&gt;=DZ29,IF(DY29="",FALSE,TRUE))</formula>
    </cfRule>
  </conditionalFormatting>
  <conditionalFormatting sqref="DW38:DW45">
    <cfRule type="expression" dxfId="138" priority="142">
      <formula>OR(IF(DW38&lt;DX38,TRUE),IF(AND(DX38="",DW38&lt;&gt;""),TRUE))</formula>
    </cfRule>
    <cfRule type="expression" dxfId="137" priority="143">
      <formula>IF(DW38&gt;=DX38,IF(DW38="",FALSE,TRUE))</formula>
    </cfRule>
  </conditionalFormatting>
  <conditionalFormatting sqref="ED5:ED16 ED19:ED30 EF19:EF30">
    <cfRule type="expression" dxfId="136" priority="122">
      <formula>OR(IF(ED5&lt;EE5,TRUE),IF(AND(EE5="",ED5&lt;&gt;""),TRUE))</formula>
    </cfRule>
    <cfRule type="expression" dxfId="135" priority="123">
      <formula>IF(ED5&gt;=EE5,IF(ED5="",FALSE,TRUE))</formula>
    </cfRule>
  </conditionalFormatting>
  <conditionalFormatting sqref="EF5:EF16">
    <cfRule type="expression" dxfId="134" priority="120">
      <formula>OR(IF(EF5&lt;EG5,TRUE),IF(AND(EG5="",EF5&lt;&gt;""),TRUE))</formula>
    </cfRule>
    <cfRule type="expression" dxfId="133" priority="121">
      <formula>IF(EF5&gt;=EG5,IF(EF5="",FALSE,TRUE))</formula>
    </cfRule>
  </conditionalFormatting>
  <conditionalFormatting sqref="ED33:ED34">
    <cfRule type="expression" dxfId="132" priority="118">
      <formula>OR(IF(ED33&lt;EE33,TRUE),IF(AND(EE33="",ED33&lt;&gt;""),TRUE))</formula>
    </cfRule>
    <cfRule type="expression" dxfId="131" priority="119">
      <formula>IF(ED33&gt;=EE33,IF(ED33="",FALSE,TRUE))</formula>
    </cfRule>
  </conditionalFormatting>
  <conditionalFormatting sqref="EF33:EF34">
    <cfRule type="expression" dxfId="130" priority="116">
      <formula>OR(IF(EF33&lt;EG33,TRUE),IF(AND(EG33="",EF33&lt;&gt;""),TRUE))</formula>
    </cfRule>
    <cfRule type="expression" dxfId="129" priority="117">
      <formula>IF(EF33&gt;=EG33,IF(EF33="",FALSE,TRUE))</formula>
    </cfRule>
  </conditionalFormatting>
  <conditionalFormatting sqref="EF35:EF45">
    <cfRule type="expression" dxfId="128" priority="108">
      <formula>OR(IF(EF35&lt;EG35,TRUE),IF(AND(EG35="",EF35&lt;&gt;""),TRUE))</formula>
    </cfRule>
    <cfRule type="expression" dxfId="127" priority="109">
      <formula>IF(EF35&gt;=EG35,IF(EF35="",FALSE,TRUE))</formula>
    </cfRule>
  </conditionalFormatting>
  <conditionalFormatting sqref="ED24:ED30">
    <cfRule type="expression" dxfId="126" priority="114">
      <formula>OR(IF(ED24&lt;EE24,TRUE),IF(AND(EE24="",ED24&lt;&gt;""),TRUE))</formula>
    </cfRule>
    <cfRule type="expression" dxfId="125" priority="115">
      <formula>IF(ED24&gt;=EE24,IF(ED24="",FALSE,TRUE))</formula>
    </cfRule>
  </conditionalFormatting>
  <conditionalFormatting sqref="EF24:EF30">
    <cfRule type="expression" dxfId="124" priority="112">
      <formula>OR(IF(EF24&lt;EG24,TRUE),IF(AND(EG24="",EF24&lt;&gt;""),TRUE))</formula>
    </cfRule>
    <cfRule type="expression" dxfId="123" priority="113">
      <formula>IF(EF24&gt;=EG24,IF(EF24="",FALSE,TRUE))</formula>
    </cfRule>
  </conditionalFormatting>
  <conditionalFormatting sqref="ED35:ED45">
    <cfRule type="expression" dxfId="122" priority="110">
      <formula>OR(IF(ED35&lt;EE35,TRUE),IF(AND(EE35="",ED35&lt;&gt;""),TRUE))</formula>
    </cfRule>
    <cfRule type="expression" dxfId="121" priority="111">
      <formula>IF(ED35&gt;=EE35,IF(ED35="",FALSE,TRUE))</formula>
    </cfRule>
  </conditionalFormatting>
  <conditionalFormatting sqref="DW7:DW14 DY7:DY14">
    <cfRule type="expression" dxfId="120" priority="106">
      <formula>OR(IF(DW7&lt;DX7,TRUE),IF(AND(DX7="",DW7&lt;&gt;""),TRUE))</formula>
    </cfRule>
    <cfRule type="expression" dxfId="119" priority="107">
      <formula>IF(DW7&gt;=DX7,IF(DW7="",FALSE,TRUE))</formula>
    </cfRule>
  </conditionalFormatting>
  <conditionalFormatting sqref="AJ6:AJ11 AL6:AL11">
    <cfRule type="expression" dxfId="118" priority="104">
      <formula>OR(IF(AJ6&lt;AK6,TRUE),IF(AND(AK6="",AJ6&lt;&gt;""),TRUE))</formula>
    </cfRule>
    <cfRule type="expression" dxfId="117" priority="105">
      <formula>IF(AJ6&gt;=AK6,IF(AJ6="",FALSE,TRUE))</formula>
    </cfRule>
  </conditionalFormatting>
  <conditionalFormatting sqref="AL6:AL11">
    <cfRule type="expression" dxfId="116" priority="102">
      <formula>OR(IF(AL6&lt;AM6,TRUE),IF(AND(AM6="",AL6&lt;&gt;""),TRUE))</formula>
    </cfRule>
    <cfRule type="expression" dxfId="115" priority="103">
      <formula>IF(AL6&gt;=AM6,IF(AL6="",FALSE,TRUE))</formula>
    </cfRule>
  </conditionalFormatting>
  <conditionalFormatting sqref="AQ8:AQ13">
    <cfRule type="expression" dxfId="114" priority="100">
      <formula>OR(IF(AQ8&lt;AR8,TRUE),IF(AND(AR8="",AQ8&lt;&gt;""),TRUE))</formula>
    </cfRule>
    <cfRule type="expression" dxfId="113" priority="101">
      <formula>IF(AQ8&gt;=AR8,IF(AQ8="",FALSE,TRUE))</formula>
    </cfRule>
  </conditionalFormatting>
  <conditionalFormatting sqref="AS8:AS13">
    <cfRule type="expression" dxfId="112" priority="98">
      <formula>OR(IF(AS8&lt;AT8,TRUE),IF(AND(AT8="",AS8&lt;&gt;""),TRUE))</formula>
    </cfRule>
    <cfRule type="expression" dxfId="111" priority="99">
      <formula>IF(AS8&gt;=AT8,IF(AS8="",FALSE,TRUE))</formula>
    </cfRule>
  </conditionalFormatting>
  <conditionalFormatting sqref="BZ14:BZ16">
    <cfRule type="expression" dxfId="110" priority="96">
      <formula>OR(IF(BZ14&lt;CA14,TRUE),IF(AND(CA14="",BZ14&lt;&gt;""),TRUE))</formula>
    </cfRule>
    <cfRule type="expression" dxfId="109" priority="97">
      <formula>IF(BZ14&gt;=CA14,IF(BZ14="",FALSE,TRUE))</formula>
    </cfRule>
  </conditionalFormatting>
  <conditionalFormatting sqref="CB14:CB16">
    <cfRule type="expression" dxfId="108" priority="94">
      <formula>OR(IF(CB14&lt;CC14,TRUE),IF(AND(CC14="",CB14&lt;&gt;""),TRUE))</formula>
    </cfRule>
    <cfRule type="expression" dxfId="107" priority="95">
      <formula>IF(CB14&gt;=CC14,IF(CB14="",FALSE,TRUE))</formula>
    </cfRule>
  </conditionalFormatting>
  <conditionalFormatting sqref="CU11:CU15 CW11:CW15">
    <cfRule type="expression" dxfId="106" priority="92">
      <formula>OR(IF(CU11&lt;CV11,TRUE),IF(AND(CV11="",CU11&lt;&gt;""),TRUE))</formula>
    </cfRule>
    <cfRule type="expression" dxfId="105" priority="93">
      <formula>IF(CU11&gt;=CV11,IF(CU11="",FALSE,TRUE))</formula>
    </cfRule>
  </conditionalFormatting>
  <conditionalFormatting sqref="CU11:CU15 CW11:CW15">
    <cfRule type="expression" dxfId="104" priority="90">
      <formula>OR(IF(CU11&lt;CV11,TRUE),IF(AND(CV11="",CU11&lt;&gt;""),TRUE))</formula>
    </cfRule>
    <cfRule type="expression" dxfId="103" priority="91">
      <formula>IF(CU11&gt;=CV11,IF(CU11="",FALSE,TRUE))</formula>
    </cfRule>
  </conditionalFormatting>
  <conditionalFormatting sqref="DB13:DB16">
    <cfRule type="expression" dxfId="102" priority="88">
      <formula>OR(IF(DB13&lt;DC13,TRUE),IF(AND(DC13="",DB13&lt;&gt;""),TRUE))</formula>
    </cfRule>
    <cfRule type="expression" dxfId="101" priority="89">
      <formula>IF(DB13&gt;=DC13,IF(DB13="",FALSE,TRUE))</formula>
    </cfRule>
  </conditionalFormatting>
  <conditionalFormatting sqref="DD13:DD16">
    <cfRule type="expression" dxfId="100" priority="86">
      <formula>OR(IF(DD13&lt;DE13,TRUE),IF(AND(DE13="",DD13&lt;&gt;""),TRUE))</formula>
    </cfRule>
    <cfRule type="expression" dxfId="99" priority="87">
      <formula>IF(DD13&gt;=DE13,IF(DD13="",FALSE,TRUE))</formula>
    </cfRule>
  </conditionalFormatting>
  <conditionalFormatting sqref="AX19:AX21 AZ19:AZ21">
    <cfRule type="expression" dxfId="98" priority="84">
      <formula>OR(IF(AX19&lt;AY19,TRUE),IF(AND(AY19="",AX19&lt;&gt;""),TRUE))</formula>
    </cfRule>
    <cfRule type="expression" dxfId="97" priority="85">
      <formula>IF(AX19&gt;=AY19,IF(AX19="",FALSE,TRUE))</formula>
    </cfRule>
  </conditionalFormatting>
  <conditionalFormatting sqref="AX22:AX27 AZ22:AZ27">
    <cfRule type="expression" dxfId="96" priority="82">
      <formula>OR(IF(AX22&lt;AY22,TRUE),IF(AND(AY22="",AX22&lt;&gt;""),TRUE))</formula>
    </cfRule>
    <cfRule type="expression" dxfId="95" priority="83">
      <formula>IF(AX22&gt;=AY22,IF(AX22="",FALSE,TRUE))</formula>
    </cfRule>
  </conditionalFormatting>
  <conditionalFormatting sqref="BE19:BE22 BG19:BG22">
    <cfRule type="expression" dxfId="94" priority="80">
      <formula>OR(IF(BE19&lt;BF19,TRUE),IF(AND(BF19="",BE19&lt;&gt;""),TRUE))</formula>
    </cfRule>
    <cfRule type="expression" dxfId="93" priority="81">
      <formula>IF(BE19&gt;=BF19,IF(BE19="",FALSE,TRUE))</formula>
    </cfRule>
  </conditionalFormatting>
  <conditionalFormatting sqref="BE23:BE28 BG23:BG28">
    <cfRule type="expression" dxfId="92" priority="78">
      <formula>OR(IF(BE23&lt;BF23,TRUE),IF(AND(BF23="",BE23&lt;&gt;""),TRUE))</formula>
    </cfRule>
    <cfRule type="expression" dxfId="91" priority="79">
      <formula>IF(BE23&gt;=BF23,IF(BE23="",FALSE,TRUE))</formula>
    </cfRule>
  </conditionalFormatting>
  <conditionalFormatting sqref="BL19:BL23 BN19:BN23">
    <cfRule type="expression" dxfId="90" priority="76">
      <formula>OR(IF(BL19&lt;BM19,TRUE),IF(AND(BM19="",BL19&lt;&gt;""),TRUE))</formula>
    </cfRule>
    <cfRule type="expression" dxfId="89" priority="77">
      <formula>IF(BL19&gt;=BM19,IF(BL19="",FALSE,TRUE))</formula>
    </cfRule>
  </conditionalFormatting>
  <conditionalFormatting sqref="BL24:BL29 BN24:BN29">
    <cfRule type="expression" dxfId="88" priority="74">
      <formula>OR(IF(BL24&lt;BM24,TRUE),IF(AND(BM24="",BL24&lt;&gt;""),TRUE))</formula>
    </cfRule>
    <cfRule type="expression" dxfId="87" priority="75">
      <formula>IF(BL24&gt;=BM24,IF(BL24="",FALSE,TRUE))</formula>
    </cfRule>
  </conditionalFormatting>
  <conditionalFormatting sqref="BS25:BS30 BU25:BU30">
    <cfRule type="expression" dxfId="86" priority="72">
      <formula>OR(IF(BS25&lt;BT25,TRUE),IF(AND(BT25="",BS25&lt;&gt;""),TRUE))</formula>
    </cfRule>
    <cfRule type="expression" dxfId="85" priority="73">
      <formula>IF(BS25&gt;=BT25,IF(BS25="",FALSE,TRUE))</formula>
    </cfRule>
  </conditionalFormatting>
  <conditionalFormatting sqref="BZ19:BZ25 CB19:CB25">
    <cfRule type="expression" dxfId="84" priority="70">
      <formula>OR(IF(BZ19&lt;CA19,TRUE),IF(AND(CA19="",BZ19&lt;&gt;""),TRUE))</formula>
    </cfRule>
    <cfRule type="expression" dxfId="83" priority="71">
      <formula>IF(BZ19&gt;=CA19,IF(BZ19="",FALSE,TRUE))</formula>
    </cfRule>
  </conditionalFormatting>
  <conditionalFormatting sqref="BZ26:BZ30 CB26:CB30">
    <cfRule type="expression" dxfId="82" priority="68">
      <formula>OR(IF(BZ26&lt;CA26,TRUE),IF(AND(CA26="",BZ26&lt;&gt;""),TRUE))</formula>
    </cfRule>
    <cfRule type="expression" dxfId="81" priority="69">
      <formula>IF(BZ26&gt;=CA26,IF(BZ26="",FALSE,TRUE))</formula>
    </cfRule>
  </conditionalFormatting>
  <conditionalFormatting sqref="CG21:CG26 CI21:CI26">
    <cfRule type="expression" dxfId="80" priority="66">
      <formula>OR(IF(CG21&lt;CH21,TRUE),IF(AND(CH21="",CG21&lt;&gt;""),TRUE))</formula>
    </cfRule>
    <cfRule type="expression" dxfId="79" priority="67">
      <formula>IF(CG21&gt;=CH21,IF(CG21="",FALSE,TRUE))</formula>
    </cfRule>
  </conditionalFormatting>
  <conditionalFormatting sqref="CG27:CG30 CI27:CI30">
    <cfRule type="expression" dxfId="78" priority="64">
      <formula>OR(IF(CG27&lt;CH27,TRUE),IF(AND(CH27="",CG27&lt;&gt;""),TRUE))</formula>
    </cfRule>
    <cfRule type="expression" dxfId="77" priority="65">
      <formula>IF(CG27&gt;=CH27,IF(CG27="",FALSE,TRUE))</formula>
    </cfRule>
  </conditionalFormatting>
  <conditionalFormatting sqref="CN19:CN21 CP19:CP21">
    <cfRule type="expression" dxfId="76" priority="62">
      <formula>OR(IF(CN19&lt;CO19,TRUE),IF(AND(CO19="",CN19&lt;&gt;""),TRUE))</formula>
    </cfRule>
    <cfRule type="expression" dxfId="75" priority="63">
      <formula>IF(CN19&gt;=CO19,IF(CN19="",FALSE,TRUE))</formula>
    </cfRule>
  </conditionalFormatting>
  <conditionalFormatting sqref="CN22:CN27 CP22:CP27">
    <cfRule type="expression" dxfId="74" priority="60">
      <formula>OR(IF(CN22&lt;CO22,TRUE),IF(AND(CO22="",CN22&lt;&gt;""),TRUE))</formula>
    </cfRule>
    <cfRule type="expression" dxfId="73" priority="61">
      <formula>IF(CN22&gt;=CO22,IF(CN22="",FALSE,TRUE))</formula>
    </cfRule>
  </conditionalFormatting>
  <conditionalFormatting sqref="CN28:CN30 CP28:CP30">
    <cfRule type="expression" dxfId="72" priority="58">
      <formula>OR(IF(CN28&lt;CO28,TRUE),IF(AND(CO28="",CN28&lt;&gt;""),TRUE))</formula>
    </cfRule>
    <cfRule type="expression" dxfId="71" priority="59">
      <formula>IF(CN28&gt;=CO28,IF(CN28="",FALSE,TRUE))</formula>
    </cfRule>
  </conditionalFormatting>
  <conditionalFormatting sqref="CU19:CU22 CW19:CW22">
    <cfRule type="expression" dxfId="70" priority="56">
      <formula>OR(IF(CU19&lt;CV19,TRUE),IF(AND(CV19="",CU19&lt;&gt;""),TRUE))</formula>
    </cfRule>
    <cfRule type="expression" dxfId="69" priority="57">
      <formula>IF(CU19&gt;=CV19,IF(CU19="",FALSE,TRUE))</formula>
    </cfRule>
  </conditionalFormatting>
  <conditionalFormatting sqref="CU23:CU28 CW23:CW28">
    <cfRule type="expression" dxfId="68" priority="54">
      <formula>OR(IF(CU23&lt;CV23,TRUE),IF(AND(CV23="",CU23&lt;&gt;""),TRUE))</formula>
    </cfRule>
    <cfRule type="expression" dxfId="67" priority="55">
      <formula>IF(CU23&gt;=CV23,IF(CU23="",FALSE,TRUE))</formula>
    </cfRule>
  </conditionalFormatting>
  <conditionalFormatting sqref="CU29:CU30 CW29:CW30">
    <cfRule type="expression" dxfId="66" priority="52">
      <formula>OR(IF(CU29&lt;CV29,TRUE),IF(AND(CV29="",CU29&lt;&gt;""),TRUE))</formula>
    </cfRule>
    <cfRule type="expression" dxfId="65" priority="53">
      <formula>IF(CU29&gt;=CV29,IF(CU29="",FALSE,TRUE))</formula>
    </cfRule>
  </conditionalFormatting>
  <conditionalFormatting sqref="DB19:DB23 DD19:DD23">
    <cfRule type="expression" dxfId="64" priority="50">
      <formula>OR(IF(DB19&lt;DC19,TRUE),IF(AND(DC19="",DB19&lt;&gt;""),TRUE))</formula>
    </cfRule>
    <cfRule type="expression" dxfId="63" priority="51">
      <formula>IF(DB19&gt;=DC19,IF(DB19="",FALSE,TRUE))</formula>
    </cfRule>
  </conditionalFormatting>
  <conditionalFormatting sqref="DB24:DB29 DD24:DD29">
    <cfRule type="expression" dxfId="62" priority="48">
      <formula>OR(IF(DB24&lt;DC24,TRUE),IF(AND(DC24="",DB24&lt;&gt;""),TRUE))</formula>
    </cfRule>
    <cfRule type="expression" dxfId="61" priority="49">
      <formula>IF(DB24&gt;=DC24,IF(DB24="",FALSE,TRUE))</formula>
    </cfRule>
  </conditionalFormatting>
  <conditionalFormatting sqref="DP19:DP26 DR19:DR26">
    <cfRule type="expression" dxfId="60" priority="46">
      <formula>OR(IF(DP19&lt;DQ19,TRUE),IF(AND(DQ19="",DP19&lt;&gt;""),TRUE))</formula>
    </cfRule>
    <cfRule type="expression" dxfId="59" priority="47">
      <formula>IF(DP19&gt;=DQ19,IF(DP19="",FALSE,TRUE))</formula>
    </cfRule>
  </conditionalFormatting>
  <conditionalFormatting sqref="DW19:DW28 DY19:DY28">
    <cfRule type="expression" dxfId="58" priority="44">
      <formula>OR(IF(DW19&lt;DX19,TRUE),IF(AND(DX19="",DW19&lt;&gt;""),TRUE))</formula>
    </cfRule>
    <cfRule type="expression" dxfId="57" priority="45">
      <formula>IF(DW19&gt;=DX19,IF(DW19="",FALSE,TRUE))</formula>
    </cfRule>
  </conditionalFormatting>
  <conditionalFormatting sqref="J26:K30">
    <cfRule type="colorScale" priority="43">
      <colorScale>
        <cfvo type="percent" val="0"/>
        <cfvo type="percent" val="100"/>
        <color rgb="FFFF231B"/>
        <color rgb="FF10FF07"/>
      </colorScale>
    </cfRule>
  </conditionalFormatting>
  <conditionalFormatting sqref="J25:J30">
    <cfRule type="colorScale" priority="42">
      <colorScale>
        <cfvo type="percent" val="0"/>
        <cfvo type="percent" val="100"/>
        <color rgb="FFFF231B"/>
        <color rgb="FF10FF07"/>
      </colorScale>
    </cfRule>
  </conditionalFormatting>
  <conditionalFormatting sqref="K25:K30">
    <cfRule type="colorScale" priority="41">
      <colorScale>
        <cfvo type="percent" val="0"/>
        <cfvo type="percent" val="100"/>
        <color rgb="FFFF231B"/>
        <color rgb="FF10FF07"/>
      </colorScale>
    </cfRule>
  </conditionalFormatting>
  <conditionalFormatting sqref="V33:V34 X33:X34">
    <cfRule type="expression" dxfId="56" priority="39">
      <formula>OR(IF(V33&lt;W33,TRUE),IF(AND(W33="",V33&lt;&gt;""),TRUE))</formula>
    </cfRule>
    <cfRule type="expression" dxfId="55" priority="40">
      <formula>IF(V33&gt;=W33,IF(V33="",FALSE,TRUE))</formula>
    </cfRule>
  </conditionalFormatting>
  <conditionalFormatting sqref="AQ33:AQ37 AS33:AS37">
    <cfRule type="expression" dxfId="54" priority="37">
      <formula>OR(IF(AQ33&lt;AR33,TRUE),IF(AND(AR33="",AQ33&lt;&gt;""),TRUE))</formula>
    </cfRule>
    <cfRule type="expression" dxfId="53" priority="38">
      <formula>IF(AQ33&gt;=AR33,IF(AQ33="",FALSE,TRUE))</formula>
    </cfRule>
  </conditionalFormatting>
  <conditionalFormatting sqref="AQ33:AQ37 AS33:AS37">
    <cfRule type="expression" dxfId="52" priority="35">
      <formula>OR(IF(AQ33&lt;AR33,TRUE),IF(AND(AR33="",AQ33&lt;&gt;""),TRUE))</formula>
    </cfRule>
    <cfRule type="expression" dxfId="51" priority="36">
      <formula>IF(AQ33&gt;=AR33,IF(AQ33="",FALSE,TRUE))</formula>
    </cfRule>
  </conditionalFormatting>
  <conditionalFormatting sqref="BL34 BN34">
    <cfRule type="expression" dxfId="50" priority="33">
      <formula>OR(IF(BL34&lt;BM34,TRUE),IF(AND(BM34="",BL34&lt;&gt;""),TRUE))</formula>
    </cfRule>
    <cfRule type="expression" dxfId="49" priority="34">
      <formula>IF(BL34&gt;=BM34,IF(BL34="",FALSE,TRUE))</formula>
    </cfRule>
  </conditionalFormatting>
  <conditionalFormatting sqref="BS33:BS35 BU33:BU35">
    <cfRule type="expression" dxfId="48" priority="31">
      <formula>OR(IF(BS33&lt;BT33,TRUE),IF(AND(BT33="",BS33&lt;&gt;""),TRUE))</formula>
    </cfRule>
    <cfRule type="expression" dxfId="47" priority="32">
      <formula>IF(BS33&gt;=BT33,IF(BS33="",FALSE,TRUE))</formula>
    </cfRule>
  </conditionalFormatting>
  <conditionalFormatting sqref="BS36:BS38 BU36:BU38">
    <cfRule type="expression" dxfId="46" priority="27">
      <formula>OR(IF(BS36&lt;BT36,TRUE),IF(AND(BT36="",BS36&lt;&gt;""),TRUE))</formula>
    </cfRule>
    <cfRule type="expression" dxfId="45" priority="28">
      <formula>IF(BS36&gt;=BT36,IF(BS36="",FALSE,TRUE))</formula>
    </cfRule>
  </conditionalFormatting>
  <conditionalFormatting sqref="BS36:BS38 BU36:BU38">
    <cfRule type="expression" dxfId="44" priority="29">
      <formula>OR(IF(BS36&lt;BT36,TRUE),IF(AND(BT36="",BS36&lt;&gt;""),TRUE))</formula>
    </cfRule>
    <cfRule type="expression" dxfId="43" priority="30">
      <formula>IF(BS36&gt;=BT36,IF(BS36="",FALSE,TRUE))</formula>
    </cfRule>
  </conditionalFormatting>
  <conditionalFormatting sqref="CG37:CG38 CI37:CI38">
    <cfRule type="expression" dxfId="42" priority="25">
      <formula>OR(IF(CG37&lt;CH37,TRUE),IF(AND(CH37="",CG37&lt;&gt;""),TRUE))</formula>
    </cfRule>
    <cfRule type="expression" dxfId="41" priority="26">
      <formula>IF(CG37&gt;=CH37,IF(CG37="",FALSE,TRUE))</formula>
    </cfRule>
  </conditionalFormatting>
  <conditionalFormatting sqref="CP35:CP36">
    <cfRule type="expression" dxfId="40" priority="23">
      <formula>OR(IF(CP35&lt;CQ35,TRUE),IF(AND(CQ35="",CP35&lt;&gt;""),TRUE))</formula>
    </cfRule>
    <cfRule type="expression" dxfId="39" priority="24">
      <formula>IF(CP35&gt;=CQ35,IF(CP35="",FALSE,TRUE))</formula>
    </cfRule>
  </conditionalFormatting>
  <conditionalFormatting sqref="CP37:CP38">
    <cfRule type="expression" dxfId="38" priority="21">
      <formula>OR(IF(CP37&lt;CQ37,TRUE),IF(AND(CQ37="",CP37&lt;&gt;""),TRUE))</formula>
    </cfRule>
    <cfRule type="expression" dxfId="37" priority="22">
      <formula>IF(CP37&gt;=CQ37,IF(CP37="",FALSE,TRUE))</formula>
    </cfRule>
  </conditionalFormatting>
  <conditionalFormatting sqref="CW36:CW37">
    <cfRule type="expression" dxfId="36" priority="17">
      <formula>OR(IF(CW36&lt;CX36,TRUE),IF(AND(CX36="",CW36&lt;&gt;""),TRUE))</formula>
    </cfRule>
    <cfRule type="expression" dxfId="35" priority="18">
      <formula>IF(CW36&gt;=CX36,IF(CW36="",FALSE,TRUE))</formula>
    </cfRule>
  </conditionalFormatting>
  <conditionalFormatting sqref="CU36:CU37">
    <cfRule type="expression" dxfId="34" priority="19">
      <formula>OR(IF(CU36&lt;CV36,TRUE),IF(AND(CV36="",CU36&lt;&gt;""),TRUE))</formula>
    </cfRule>
    <cfRule type="expression" dxfId="33" priority="20">
      <formula>IF(CU36&gt;=CV36,IF(CU36="",FALSE,TRUE))</formula>
    </cfRule>
  </conditionalFormatting>
  <conditionalFormatting sqref="DB33:DB35">
    <cfRule type="expression" dxfId="32" priority="15">
      <formula>OR(IF(DB33&lt;DC33,TRUE),IF(AND(DC33="",DB33&lt;&gt;""),TRUE))</formula>
    </cfRule>
    <cfRule type="expression" dxfId="31" priority="16">
      <formula>IF(DB33&gt;=DC33,IF(DB33="",FALSE,TRUE))</formula>
    </cfRule>
  </conditionalFormatting>
  <conditionalFormatting sqref="DD33:DD35">
    <cfRule type="expression" dxfId="30" priority="13">
      <formula>OR(IF(DD33&lt;DE33,TRUE),IF(AND(DE33="",DD33&lt;&gt;""),TRUE))</formula>
    </cfRule>
    <cfRule type="expression" dxfId="29" priority="14">
      <formula>IF(DD33&gt;=DE33,IF(DD33="",FALSE,TRUE))</formula>
    </cfRule>
  </conditionalFormatting>
  <conditionalFormatting sqref="DI37:DI38 DK37:DK38">
    <cfRule type="expression" dxfId="28" priority="11">
      <formula>OR(IF(DI37&lt;DJ37,TRUE),IF(AND(DJ37="",DI37&lt;&gt;""),TRUE))</formula>
    </cfRule>
    <cfRule type="expression" dxfId="27" priority="12">
      <formula>IF(DI37&gt;=DJ37,IF(DI37="",FALSE,TRUE))</formula>
    </cfRule>
  </conditionalFormatting>
  <conditionalFormatting sqref="DI37:DI38 DK37:DK38">
    <cfRule type="expression" dxfId="26" priority="9">
      <formula>OR(IF(DI37&lt;DJ37,TRUE),IF(AND(DJ37="",DI37&lt;&gt;""),TRUE))</formula>
    </cfRule>
    <cfRule type="expression" dxfId="25" priority="10">
      <formula>IF(DI37&gt;=DJ37,IF(DI37="",FALSE,TRUE))</formula>
    </cfRule>
  </conditionalFormatting>
  <conditionalFormatting sqref="DP33:DP36 DR33:DR36">
    <cfRule type="expression" dxfId="24" priority="7">
      <formula>OR(IF(DP33&lt;DQ33,TRUE),IF(AND(DQ33="",DP33&lt;&gt;""),TRUE))</formula>
    </cfRule>
    <cfRule type="expression" dxfId="23" priority="8">
      <formula>IF(DP33&gt;=DQ33,IF(DP33="",FALSE,TRUE))</formula>
    </cfRule>
  </conditionalFormatting>
  <conditionalFormatting sqref="DR33:DR36">
    <cfRule type="expression" dxfId="22" priority="5">
      <formula>OR(IF(DR33&lt;DS33,TRUE),IF(AND(DS33="",DR33&lt;&gt;""),TRUE))</formula>
    </cfRule>
    <cfRule type="expression" dxfId="21" priority="6">
      <formula>IF(DR33&gt;=DS33,IF(DR33="",FALSE,TRUE))</formula>
    </cfRule>
  </conditionalFormatting>
  <conditionalFormatting sqref="DW33:DW37 DY33:DY37">
    <cfRule type="expression" dxfId="20" priority="3">
      <formula>OR(IF(DW33&lt;DX33,TRUE),IF(AND(DX33="",DW33&lt;&gt;""),TRUE))</formula>
    </cfRule>
    <cfRule type="expression" dxfId="19" priority="4">
      <formula>IF(DW33&gt;=DX33,IF(DW33="",FALSE,TRUE))</formula>
    </cfRule>
  </conditionalFormatting>
  <conditionalFormatting sqref="DY33:DY37">
    <cfRule type="expression" dxfId="18" priority="1">
      <formula>OR(IF(DY33&lt;DZ33,TRUE),IF(AND(DZ33="",DY33&lt;&gt;""),TRUE))</formula>
    </cfRule>
    <cfRule type="expression" dxfId="17" priority="2">
      <formula>IF(DY33&gt;=DZ33,IF(DY33="",FALSE,TRUE))</formula>
    </cfRule>
  </conditionalFormatting>
  <dataValidations count="1">
    <dataValidation type="list" allowBlank="1" showInputMessage="1" showErrorMessage="1" sqref="O19:R30 O5:R16 ED19:EG30 DI5:DL16 V5:Y16 V33:Y45 V19:Y30 DB5:DE16 AC33:AF45 AC19:AF30 AC5:AF16 AJ33:AM45 AJ5:AM16 AX33:BA45 AJ19:AM30 AQ19:AT30 AQ5:AT16 AQ33:AT45 AX19:BA30 AX5:BA16 O33:R45 BE33:BH45 BE19:BH30 BE5:BH16 BL33:BO45 BL19:BO30 BL5:BO16 BZ33:CC45 BS19:BV30 BS5:BV16 BS33:BV45 BZ19:CC30 BZ5:CC16 CG33:CJ45 CG19:CJ30 CG5:CJ16 CN33:CQ45 CN19:CQ30 CN5:CQ16 CU33:CX45 CU19:CX30 CU5:CX16 DB33:DE45 DB19:DE30 DP5:DS16 DI33:DL45 DI19:DL30 DW5:DZ16 DP33:DS45 DP19:DS30 DW19:DZ30 ED33:EG45 ED5:EG16 DW33:DZ45" xr:uid="{DF46768B-76BD-4AD1-BDD9-05E5E50A35C8}">
      <formula1>"10%,20%,30%,40%,50%,60%,70%,80%,90%,100%"</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J10" sqref="J10"/>
    </sheetView>
  </sheetViews>
  <sheetFormatPr baseColWidth="10" defaultColWidth="10.6640625" defaultRowHeight="16" x14ac:dyDescent="0.2"/>
  <cols>
    <col min="1" max="1" width="16.83203125" style="11" customWidth="1"/>
    <col min="2" max="2" width="19.1640625" style="11" customWidth="1"/>
    <col min="3" max="3" width="18.1640625" style="11" customWidth="1"/>
    <col min="4" max="4" width="19.5" style="11" customWidth="1"/>
    <col min="8" max="8" width="15.1640625" customWidth="1"/>
    <col min="10" max="10" width="42" customWidth="1"/>
    <col min="11" max="11" width="28.5" customWidth="1"/>
  </cols>
  <sheetData>
    <row r="1" spans="1:11" ht="34" x14ac:dyDescent="0.2">
      <c r="A1" s="11" t="s">
        <v>42</v>
      </c>
      <c r="B1" s="17" t="s">
        <v>39</v>
      </c>
      <c r="C1" s="17" t="s">
        <v>40</v>
      </c>
      <c r="D1" s="17" t="s">
        <v>41</v>
      </c>
      <c r="E1" s="1" t="s">
        <v>43</v>
      </c>
      <c r="F1" s="1" t="s">
        <v>44</v>
      </c>
      <c r="G1" s="1" t="s">
        <v>45</v>
      </c>
      <c r="H1" s="1" t="s">
        <v>46</v>
      </c>
      <c r="I1" s="1" t="s">
        <v>47</v>
      </c>
      <c r="J1" s="1" t="s">
        <v>48</v>
      </c>
      <c r="K1" s="1" t="s">
        <v>49</v>
      </c>
    </row>
    <row r="2" spans="1:11" x14ac:dyDescent="0.2">
      <c r="A2" s="16">
        <v>44118</v>
      </c>
      <c r="D2" s="18">
        <v>1</v>
      </c>
    </row>
    <row r="3" spans="1:11" x14ac:dyDescent="0.2">
      <c r="A3" s="16">
        <v>44119</v>
      </c>
    </row>
    <row r="4" spans="1:11" x14ac:dyDescent="0.2">
      <c r="A4" s="16">
        <v>44120</v>
      </c>
    </row>
    <row r="5" spans="1:11" x14ac:dyDescent="0.2">
      <c r="A5" s="16">
        <v>44121</v>
      </c>
    </row>
    <row r="6" spans="1:11" x14ac:dyDescent="0.2">
      <c r="A6" s="16">
        <v>44122</v>
      </c>
    </row>
    <row r="7" spans="1:11" x14ac:dyDescent="0.2">
      <c r="A7" s="16">
        <v>44123</v>
      </c>
    </row>
    <row r="8" spans="1:11" x14ac:dyDescent="0.2">
      <c r="A8" s="16">
        <v>44124</v>
      </c>
    </row>
    <row r="9" spans="1:11" x14ac:dyDescent="0.2">
      <c r="A9" s="16">
        <v>44125</v>
      </c>
    </row>
    <row r="10" spans="1:11" x14ac:dyDescent="0.2">
      <c r="A10" s="16">
        <v>44126</v>
      </c>
    </row>
    <row r="11" spans="1:11" x14ac:dyDescent="0.2">
      <c r="A11" s="16">
        <v>44127</v>
      </c>
    </row>
    <row r="12" spans="1:11" x14ac:dyDescent="0.2">
      <c r="A12" s="16">
        <v>44128</v>
      </c>
    </row>
    <row r="13" spans="1:11" x14ac:dyDescent="0.2">
      <c r="A13" s="16">
        <v>44129</v>
      </c>
    </row>
    <row r="14" spans="1:11" x14ac:dyDescent="0.2">
      <c r="A14" s="16">
        <v>44130</v>
      </c>
    </row>
    <row r="15" spans="1:11" x14ac:dyDescent="0.2">
      <c r="A15" s="16">
        <v>44131</v>
      </c>
    </row>
    <row r="16" spans="1:11" x14ac:dyDescent="0.2">
      <c r="A16" s="16">
        <v>44132</v>
      </c>
    </row>
    <row r="17" spans="1:1" x14ac:dyDescent="0.2">
      <c r="A17" s="16">
        <v>44133</v>
      </c>
    </row>
    <row r="18" spans="1:1" x14ac:dyDescent="0.2">
      <c r="A18" s="16">
        <v>44134</v>
      </c>
    </row>
    <row r="19" spans="1:1" x14ac:dyDescent="0.2">
      <c r="A19" s="16">
        <v>44135</v>
      </c>
    </row>
    <row r="20" spans="1:1" x14ac:dyDescent="0.2">
      <c r="A20" s="16">
        <v>44136</v>
      </c>
    </row>
    <row r="21" spans="1:1" x14ac:dyDescent="0.2">
      <c r="A21" s="16">
        <v>44137</v>
      </c>
    </row>
    <row r="22" spans="1:1" x14ac:dyDescent="0.2">
      <c r="A22" s="16">
        <v>44138</v>
      </c>
    </row>
    <row r="23" spans="1:1" x14ac:dyDescent="0.2">
      <c r="A23" s="16">
        <v>44139</v>
      </c>
    </row>
    <row r="24" spans="1:1" x14ac:dyDescent="0.2">
      <c r="A24" s="16">
        <v>44140</v>
      </c>
    </row>
    <row r="25" spans="1:1" x14ac:dyDescent="0.2">
      <c r="A25" s="16">
        <v>44141</v>
      </c>
    </row>
    <row r="26" spans="1:1" x14ac:dyDescent="0.2">
      <c r="A26" s="16">
        <v>44142</v>
      </c>
    </row>
    <row r="27" spans="1:1" x14ac:dyDescent="0.2">
      <c r="A27" s="16">
        <v>44143</v>
      </c>
    </row>
    <row r="28" spans="1:1" x14ac:dyDescent="0.2">
      <c r="A28" s="16">
        <v>44144</v>
      </c>
    </row>
    <row r="29" spans="1:1" x14ac:dyDescent="0.2">
      <c r="A29" s="16">
        <v>44145</v>
      </c>
    </row>
    <row r="30" spans="1:1" x14ac:dyDescent="0.2">
      <c r="A30" s="16">
        <v>44146</v>
      </c>
    </row>
    <row r="31" spans="1:1" x14ac:dyDescent="0.2">
      <c r="A31" s="16">
        <v>44147</v>
      </c>
    </row>
    <row r="32" spans="1:1" x14ac:dyDescent="0.2">
      <c r="A32" s="16">
        <v>44148</v>
      </c>
    </row>
    <row r="33" spans="1:1" x14ac:dyDescent="0.2">
      <c r="A33" s="16">
        <v>44149</v>
      </c>
    </row>
    <row r="34" spans="1:1" x14ac:dyDescent="0.2">
      <c r="A34" s="16">
        <v>44150</v>
      </c>
    </row>
    <row r="35" spans="1:1" x14ac:dyDescent="0.2">
      <c r="A35" s="16">
        <v>44151</v>
      </c>
    </row>
    <row r="36" spans="1:1" x14ac:dyDescent="0.2">
      <c r="A36" s="16">
        <v>44152</v>
      </c>
    </row>
    <row r="37" spans="1:1" x14ac:dyDescent="0.2">
      <c r="A37" s="16">
        <v>44153</v>
      </c>
    </row>
    <row r="38" spans="1:1" x14ac:dyDescent="0.2">
      <c r="A38" s="16">
        <v>44154</v>
      </c>
    </row>
    <row r="39" spans="1:1" x14ac:dyDescent="0.2">
      <c r="A39" s="16">
        <v>44155</v>
      </c>
    </row>
    <row r="40" spans="1:1" x14ac:dyDescent="0.2">
      <c r="A40" s="16">
        <v>44156</v>
      </c>
    </row>
    <row r="41" spans="1:1" x14ac:dyDescent="0.2">
      <c r="A41" s="16">
        <v>44157</v>
      </c>
    </row>
    <row r="42" spans="1:1" x14ac:dyDescent="0.2">
      <c r="A42" s="16">
        <v>44158</v>
      </c>
    </row>
    <row r="43" spans="1:1" x14ac:dyDescent="0.2">
      <c r="A43" s="16">
        <v>44159</v>
      </c>
    </row>
    <row r="44" spans="1:1" x14ac:dyDescent="0.2">
      <c r="A44" s="16">
        <v>44160</v>
      </c>
    </row>
    <row r="45" spans="1:1" x14ac:dyDescent="0.2">
      <c r="A45" s="16">
        <v>44161</v>
      </c>
    </row>
    <row r="46" spans="1:1" x14ac:dyDescent="0.2">
      <c r="A46" s="16">
        <v>44162</v>
      </c>
    </row>
  </sheetData>
  <conditionalFormatting sqref="B2:B46">
    <cfRule type="cellIs" dxfId="16" priority="14" operator="equal">
      <formula>"Ja"</formula>
    </cfRule>
    <cfRule type="cellIs" dxfId="15" priority="15" operator="equal">
      <formula>"Nein"</formula>
    </cfRule>
  </conditionalFormatting>
  <conditionalFormatting sqref="D2">
    <cfRule type="cellIs" dxfId="14" priority="6" operator="equal">
      <formula>1</formula>
    </cfRule>
    <cfRule type="cellIs" dxfId="13" priority="7" operator="equal">
      <formula>0.8</formula>
    </cfRule>
    <cfRule type="cellIs" dxfId="12" priority="8" operator="equal">
      <formula>0.6</formula>
    </cfRule>
    <cfRule type="cellIs" dxfId="11" priority="9" operator="equal">
      <formula>0.4</formula>
    </cfRule>
    <cfRule type="cellIs" dxfId="10" priority="10" operator="equal">
      <formula>0.2</formula>
    </cfRule>
    <cfRule type="cellIs" dxfId="9" priority="11" operator="equal">
      <formula>0</formula>
    </cfRule>
  </conditionalFormatting>
  <conditionalFormatting sqref="B2:B46">
    <cfRule type="cellIs" dxfId="8" priority="4" operator="equal">
      <formula>"Ja"</formula>
    </cfRule>
  </conditionalFormatting>
  <conditionalFormatting sqref="C2:C46">
    <cfRule type="cellIs" dxfId="7" priority="2" operator="equal">
      <formula>"Ja"</formula>
    </cfRule>
    <cfRule type="cellIs" dxfId="6" priority="3" operator="equal">
      <formula>"Nein"</formula>
    </cfRule>
  </conditionalFormatting>
  <conditionalFormatting sqref="C2:C46">
    <cfRule type="cellIs" dxfId="5" priority="1" operator="equal">
      <formula>"Ja"</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17" workbookViewId="0">
      <selection activeCell="C8" sqref="C8"/>
    </sheetView>
  </sheetViews>
  <sheetFormatPr baseColWidth="10" defaultColWidth="10.6640625" defaultRowHeight="16" x14ac:dyDescent="0.2"/>
  <sheetData>
    <row r="1" spans="1:8" ht="26" x14ac:dyDescent="0.3">
      <c r="B1" s="8" t="s">
        <v>25</v>
      </c>
    </row>
    <row r="4" spans="1:8" x14ac:dyDescent="0.2">
      <c r="B4" s="3" t="s">
        <v>4</v>
      </c>
      <c r="C4" s="3" t="s">
        <v>5</v>
      </c>
      <c r="D4" s="3" t="s">
        <v>6</v>
      </c>
      <c r="E4" s="3" t="s">
        <v>7</v>
      </c>
      <c r="F4" s="3" t="s">
        <v>10</v>
      </c>
      <c r="G4" s="3" t="s">
        <v>8</v>
      </c>
      <c r="H4" s="3" t="s">
        <v>9</v>
      </c>
    </row>
    <row r="5" spans="1:8" x14ac:dyDescent="0.2">
      <c r="A5" s="10">
        <v>0.16666666666666666</v>
      </c>
    </row>
    <row r="6" spans="1:8" x14ac:dyDescent="0.2">
      <c r="A6" s="10">
        <v>0.1875</v>
      </c>
    </row>
    <row r="7" spans="1:8" x14ac:dyDescent="0.2">
      <c r="A7" s="10">
        <v>0.20833333333333301</v>
      </c>
    </row>
    <row r="8" spans="1:8" x14ac:dyDescent="0.2">
      <c r="A8" s="10">
        <v>0.22916666666666699</v>
      </c>
    </row>
    <row r="9" spans="1:8" x14ac:dyDescent="0.2">
      <c r="A9" s="10">
        <v>0.25</v>
      </c>
    </row>
    <row r="10" spans="1:8" x14ac:dyDescent="0.2">
      <c r="A10" s="10">
        <v>0.27083333333333398</v>
      </c>
    </row>
    <row r="11" spans="1:8" x14ac:dyDescent="0.2">
      <c r="A11" s="10">
        <v>0.29166666666666702</v>
      </c>
    </row>
    <row r="12" spans="1:8" x14ac:dyDescent="0.2">
      <c r="A12" s="10">
        <v>0.3125</v>
      </c>
    </row>
    <row r="13" spans="1:8" x14ac:dyDescent="0.2">
      <c r="A13" s="10">
        <v>0.33333333333333398</v>
      </c>
    </row>
    <row r="14" spans="1:8" x14ac:dyDescent="0.2">
      <c r="A14" s="10">
        <v>0.35416666666666702</v>
      </c>
    </row>
    <row r="15" spans="1:8" x14ac:dyDescent="0.2">
      <c r="A15" s="10">
        <v>0.375</v>
      </c>
    </row>
    <row r="16" spans="1:8" x14ac:dyDescent="0.2">
      <c r="A16" s="10">
        <v>0.39583333333333398</v>
      </c>
    </row>
    <row r="17" spans="1:1" x14ac:dyDescent="0.2">
      <c r="A17" s="10">
        <v>0.41666666666666702</v>
      </c>
    </row>
    <row r="18" spans="1:1" x14ac:dyDescent="0.2">
      <c r="A18" s="10">
        <v>0.4375</v>
      </c>
    </row>
    <row r="19" spans="1:1" x14ac:dyDescent="0.2">
      <c r="A19" s="10">
        <v>0.45833333333333398</v>
      </c>
    </row>
    <row r="20" spans="1:1" x14ac:dyDescent="0.2">
      <c r="A20" s="10">
        <v>0.47916666666666702</v>
      </c>
    </row>
    <row r="21" spans="1:1" x14ac:dyDescent="0.2">
      <c r="A21" s="10">
        <v>0.5</v>
      </c>
    </row>
    <row r="22" spans="1:1" x14ac:dyDescent="0.2">
      <c r="A22" s="10">
        <v>0.52083333333333404</v>
      </c>
    </row>
    <row r="23" spans="1:1" x14ac:dyDescent="0.2">
      <c r="A23" s="10">
        <v>0.54166666666666696</v>
      </c>
    </row>
    <row r="24" spans="1:1" x14ac:dyDescent="0.2">
      <c r="A24" s="10">
        <v>0.5625</v>
      </c>
    </row>
    <row r="25" spans="1:1" x14ac:dyDescent="0.2">
      <c r="A25" s="10">
        <v>0.58333333333333404</v>
      </c>
    </row>
    <row r="26" spans="1:1" x14ac:dyDescent="0.2">
      <c r="A26" s="10">
        <v>0.60416666666666696</v>
      </c>
    </row>
    <row r="27" spans="1:1" x14ac:dyDescent="0.2">
      <c r="A27" s="10">
        <v>0.625000000000001</v>
      </c>
    </row>
    <row r="28" spans="1:1" x14ac:dyDescent="0.2">
      <c r="A28" s="10">
        <v>0.64583333333333404</v>
      </c>
    </row>
    <row r="29" spans="1:1" x14ac:dyDescent="0.2">
      <c r="A29" s="10">
        <v>0.66666666666666696</v>
      </c>
    </row>
    <row r="30" spans="1:1" x14ac:dyDescent="0.2">
      <c r="A30" s="10">
        <v>0.687500000000001</v>
      </c>
    </row>
    <row r="31" spans="1:1" x14ac:dyDescent="0.2">
      <c r="A31" s="10">
        <v>0.70833333333333404</v>
      </c>
    </row>
    <row r="32" spans="1:1" x14ac:dyDescent="0.2">
      <c r="A32" s="10">
        <v>0.72916666666666696</v>
      </c>
    </row>
    <row r="33" spans="1:1" x14ac:dyDescent="0.2">
      <c r="A33" s="10">
        <v>0.750000000000001</v>
      </c>
    </row>
    <row r="34" spans="1:1" x14ac:dyDescent="0.2">
      <c r="A34" s="10">
        <v>0.77083333333333404</v>
      </c>
    </row>
    <row r="35" spans="1:1" x14ac:dyDescent="0.2">
      <c r="A35" s="10">
        <v>0.79166666666666696</v>
      </c>
    </row>
    <row r="36" spans="1:1" x14ac:dyDescent="0.2">
      <c r="A36" s="10">
        <v>0.812500000000001</v>
      </c>
    </row>
    <row r="37" spans="1:1" x14ac:dyDescent="0.2">
      <c r="A37" s="10">
        <v>0.83333333333333404</v>
      </c>
    </row>
    <row r="38" spans="1:1" x14ac:dyDescent="0.2">
      <c r="A38" s="10">
        <v>0.85416666666666696</v>
      </c>
    </row>
    <row r="39" spans="1:1" x14ac:dyDescent="0.2">
      <c r="A39" s="10">
        <v>0.875000000000001</v>
      </c>
    </row>
    <row r="40" spans="1:1" x14ac:dyDescent="0.2">
      <c r="A40" s="10">
        <v>0.89583333333333404</v>
      </c>
    </row>
    <row r="41" spans="1:1" x14ac:dyDescent="0.2">
      <c r="A41" s="10">
        <v>0.91666666666666696</v>
      </c>
    </row>
    <row r="42" spans="1:1" x14ac:dyDescent="0.2">
      <c r="A42" s="10">
        <v>0.937500000000001</v>
      </c>
    </row>
    <row r="43" spans="1:1" x14ac:dyDescent="0.2">
      <c r="A43" s="10">
        <v>0.95833333333333404</v>
      </c>
    </row>
    <row r="44" spans="1:1" x14ac:dyDescent="0.2">
      <c r="A44" s="10">
        <v>0.97916666666666696</v>
      </c>
    </row>
    <row r="45" spans="1:1" x14ac:dyDescent="0.2">
      <c r="A45" s="10">
        <v>1</v>
      </c>
    </row>
    <row r="46" spans="1:1" x14ac:dyDescent="0.2">
      <c r="A46" s="10">
        <v>1.0208333333333299</v>
      </c>
    </row>
    <row r="47" spans="1:1" x14ac:dyDescent="0.2">
      <c r="A47" s="10">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baseColWidth="10" defaultColWidth="10.6640625" defaultRowHeight="16" x14ac:dyDescent="0.2"/>
  <sheetData>
    <row r="1" spans="1:8" ht="26" x14ac:dyDescent="0.3">
      <c r="B1" s="8" t="s">
        <v>25</v>
      </c>
    </row>
    <row r="4" spans="1:8" x14ac:dyDescent="0.2">
      <c r="B4" s="3" t="s">
        <v>4</v>
      </c>
      <c r="C4" s="3" t="s">
        <v>5</v>
      </c>
      <c r="D4" s="3" t="s">
        <v>6</v>
      </c>
      <c r="E4" s="3" t="s">
        <v>7</v>
      </c>
      <c r="F4" s="3" t="s">
        <v>10</v>
      </c>
      <c r="G4" s="3" t="s">
        <v>8</v>
      </c>
      <c r="H4" s="3" t="s">
        <v>9</v>
      </c>
    </row>
    <row r="5" spans="1:8" x14ac:dyDescent="0.2">
      <c r="A5" s="10">
        <v>0.16666666666666666</v>
      </c>
    </row>
    <row r="6" spans="1:8" x14ac:dyDescent="0.2">
      <c r="A6" s="10">
        <v>0.1875</v>
      </c>
    </row>
    <row r="7" spans="1:8" x14ac:dyDescent="0.2">
      <c r="A7" s="10">
        <v>0.20833333333333301</v>
      </c>
    </row>
    <row r="8" spans="1:8" x14ac:dyDescent="0.2">
      <c r="A8" s="10">
        <v>0.22916666666666699</v>
      </c>
    </row>
    <row r="9" spans="1:8" x14ac:dyDescent="0.2">
      <c r="A9" s="10">
        <v>0.25</v>
      </c>
    </row>
    <row r="10" spans="1:8" x14ac:dyDescent="0.2">
      <c r="A10" s="10">
        <v>0.27083333333333398</v>
      </c>
    </row>
    <row r="11" spans="1:8" x14ac:dyDescent="0.2">
      <c r="A11" s="10">
        <v>0.29166666666666702</v>
      </c>
    </row>
    <row r="12" spans="1:8" x14ac:dyDescent="0.2">
      <c r="A12" s="10">
        <v>0.3125</v>
      </c>
    </row>
    <row r="13" spans="1:8" x14ac:dyDescent="0.2">
      <c r="A13" s="10">
        <v>0.33333333333333398</v>
      </c>
    </row>
    <row r="14" spans="1:8" x14ac:dyDescent="0.2">
      <c r="A14" s="10">
        <v>0.35416666666666702</v>
      </c>
    </row>
    <row r="15" spans="1:8" x14ac:dyDescent="0.2">
      <c r="A15" s="10">
        <v>0.375</v>
      </c>
    </row>
    <row r="16" spans="1:8" x14ac:dyDescent="0.2">
      <c r="A16" s="10">
        <v>0.39583333333333398</v>
      </c>
    </row>
    <row r="17" spans="1:1" x14ac:dyDescent="0.2">
      <c r="A17" s="10">
        <v>0.41666666666666702</v>
      </c>
    </row>
    <row r="18" spans="1:1" x14ac:dyDescent="0.2">
      <c r="A18" s="10">
        <v>0.4375</v>
      </c>
    </row>
    <row r="19" spans="1:1" x14ac:dyDescent="0.2">
      <c r="A19" s="10">
        <v>0.45833333333333398</v>
      </c>
    </row>
    <row r="20" spans="1:1" x14ac:dyDescent="0.2">
      <c r="A20" s="10">
        <v>0.47916666666666702</v>
      </c>
    </row>
    <row r="21" spans="1:1" x14ac:dyDescent="0.2">
      <c r="A21" s="10">
        <v>0.5</v>
      </c>
    </row>
    <row r="22" spans="1:1" x14ac:dyDescent="0.2">
      <c r="A22" s="10">
        <v>0.52083333333333404</v>
      </c>
    </row>
    <row r="23" spans="1:1" x14ac:dyDescent="0.2">
      <c r="A23" s="10">
        <v>0.54166666666666696</v>
      </c>
    </row>
    <row r="24" spans="1:1" x14ac:dyDescent="0.2">
      <c r="A24" s="10">
        <v>0.5625</v>
      </c>
    </row>
    <row r="25" spans="1:1" x14ac:dyDescent="0.2">
      <c r="A25" s="10">
        <v>0.58333333333333404</v>
      </c>
    </row>
    <row r="26" spans="1:1" x14ac:dyDescent="0.2">
      <c r="A26" s="10">
        <v>0.60416666666666696</v>
      </c>
    </row>
    <row r="27" spans="1:1" x14ac:dyDescent="0.2">
      <c r="A27" s="10">
        <v>0.625000000000001</v>
      </c>
    </row>
    <row r="28" spans="1:1" x14ac:dyDescent="0.2">
      <c r="A28" s="10">
        <v>0.64583333333333404</v>
      </c>
    </row>
    <row r="29" spans="1:1" x14ac:dyDescent="0.2">
      <c r="A29" s="10">
        <v>0.66666666666666696</v>
      </c>
    </row>
    <row r="30" spans="1:1" x14ac:dyDescent="0.2">
      <c r="A30" s="10">
        <v>0.687500000000001</v>
      </c>
    </row>
    <row r="31" spans="1:1" x14ac:dyDescent="0.2">
      <c r="A31" s="10">
        <v>0.70833333333333404</v>
      </c>
    </row>
    <row r="32" spans="1:1" x14ac:dyDescent="0.2">
      <c r="A32" s="10">
        <v>0.72916666666666696</v>
      </c>
    </row>
    <row r="33" spans="1:1" x14ac:dyDescent="0.2">
      <c r="A33" s="10">
        <v>0.750000000000001</v>
      </c>
    </row>
    <row r="34" spans="1:1" x14ac:dyDescent="0.2">
      <c r="A34" s="10">
        <v>0.77083333333333404</v>
      </c>
    </row>
    <row r="35" spans="1:1" x14ac:dyDescent="0.2">
      <c r="A35" s="10">
        <v>0.79166666666666696</v>
      </c>
    </row>
    <row r="36" spans="1:1" x14ac:dyDescent="0.2">
      <c r="A36" s="10">
        <v>0.812500000000001</v>
      </c>
    </row>
    <row r="37" spans="1:1" x14ac:dyDescent="0.2">
      <c r="A37" s="10">
        <v>0.83333333333333404</v>
      </c>
    </row>
    <row r="38" spans="1:1" x14ac:dyDescent="0.2">
      <c r="A38" s="10">
        <v>0.85416666666666696</v>
      </c>
    </row>
    <row r="39" spans="1:1" x14ac:dyDescent="0.2">
      <c r="A39" s="10">
        <v>0.875000000000001</v>
      </c>
    </row>
    <row r="40" spans="1:1" x14ac:dyDescent="0.2">
      <c r="A40" s="10">
        <v>0.89583333333333404</v>
      </c>
    </row>
    <row r="41" spans="1:1" x14ac:dyDescent="0.2">
      <c r="A41" s="10">
        <v>0.91666666666666696</v>
      </c>
    </row>
    <row r="42" spans="1:1" x14ac:dyDescent="0.2">
      <c r="A42" s="10">
        <v>0.937500000000001</v>
      </c>
    </row>
    <row r="43" spans="1:1" x14ac:dyDescent="0.2">
      <c r="A43" s="10">
        <v>0.95833333333333404</v>
      </c>
    </row>
    <row r="44" spans="1:1" x14ac:dyDescent="0.2">
      <c r="A44" s="10">
        <v>0.97916666666666696</v>
      </c>
    </row>
    <row r="45" spans="1:1" x14ac:dyDescent="0.2">
      <c r="A45" s="10">
        <v>1</v>
      </c>
    </row>
    <row r="46" spans="1:1" x14ac:dyDescent="0.2">
      <c r="A46" s="10">
        <v>1.0208333333333299</v>
      </c>
    </row>
    <row r="47" spans="1:1" x14ac:dyDescent="0.2">
      <c r="A47" s="10">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6</vt:i4>
      </vt:variant>
    </vt:vector>
  </HeadingPairs>
  <TitlesOfParts>
    <vt:vector size="6" baseType="lpstr">
      <vt:lpstr>Anleitung</vt:lpstr>
      <vt:lpstr>Tabelle1</vt:lpstr>
      <vt:lpstr>Semesterplan</vt:lpstr>
      <vt:lpstr>COMMITTMENT</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Friederike Kliewe</cp:lastModifiedBy>
  <dcterms:created xsi:type="dcterms:W3CDTF">2020-04-19T13:33:28Z</dcterms:created>
  <dcterms:modified xsi:type="dcterms:W3CDTF">2021-09-12T11:31:23Z</dcterms:modified>
</cp:coreProperties>
</file>