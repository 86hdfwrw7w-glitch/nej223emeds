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166925"/>
  <mc:AlternateContent xmlns:mc="http://schemas.openxmlformats.org/markup-compatibility/2006">
    <mc:Choice Requires="x15">
      <x15ac:absPath xmlns:x15ac="http://schemas.microsoft.com/office/spreadsheetml/2010/11/ac" url="/Users/arion_osd/Academic/EC/Pumpkin Docs/"/>
    </mc:Choice>
  </mc:AlternateContent>
  <xr:revisionPtr revIDLastSave="0" documentId="13_ncr:1_{8EDF5109-1134-C849-92C8-519CD3EE26AF}" xr6:coauthVersionLast="47" xr6:coauthVersionMax="47" xr10:uidLastSave="{00000000-0000-0000-0000-000000000000}"/>
  <bookViews>
    <workbookView xWindow="5100" yWindow="-28800" windowWidth="43920" windowHeight="28800" activeTab="1" xr2:uid="{50F29292-BE80-0C47-A0D2-DD086CB3D310}"/>
  </bookViews>
  <sheets>
    <sheet name="Semesterplan" sheetId="7" r:id="rId1"/>
    <sheet name="COMMITTMENT" sheetId="9" r:id="rId2"/>
    <sheet name="Tabelle1" sheetId="11" r:id="rId3"/>
    <sheet name="Best-Practices" sheetId="2" r:id="rId4"/>
    <sheet name="ANLEITUNG" sheetId="10"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11" i="10" l="1"/>
  <c r="C12" i="10" s="1"/>
  <c r="K12" i="7" a="1"/>
  <c r="K12" i="7" s="1"/>
  <c r="J12" i="7" a="1"/>
  <c r="J12" i="7" s="1"/>
  <c r="I12" i="7"/>
  <c r="K11" i="7" a="1"/>
  <c r="K11" i="7" s="1"/>
  <c r="J11" i="7" a="1"/>
  <c r="J11" i="7" s="1"/>
  <c r="I11" i="7"/>
  <c r="K10" i="7" a="1"/>
  <c r="K10" i="7" s="1"/>
  <c r="J10" i="7" a="1"/>
  <c r="J10" i="7" s="1"/>
  <c r="I10" i="7"/>
  <c r="K9" i="7" a="1"/>
  <c r="K9" i="7" s="1"/>
  <c r="J9" i="7" a="1"/>
  <c r="J9" i="7" s="1"/>
  <c r="I9" i="7"/>
  <c r="K13" i="7" a="1"/>
  <c r="K13" i="7" s="1"/>
  <c r="J13" i="7" a="1"/>
  <c r="J13" i="7" s="1"/>
  <c r="I13" i="7"/>
  <c r="K8" i="7" a="1"/>
  <c r="K8" i="7" s="1"/>
  <c r="J8" i="7" a="1"/>
  <c r="J8" i="7" s="1"/>
  <c r="I8" i="7"/>
  <c r="ED15" i="7"/>
  <c r="DW15" i="7"/>
  <c r="DP15" i="7"/>
  <c r="DI15" i="7"/>
  <c r="DB15" i="7"/>
  <c r="CU15" i="7"/>
  <c r="CN15" i="7"/>
  <c r="CG15" i="7"/>
  <c r="BZ15" i="7"/>
  <c r="BS15" i="7"/>
  <c r="BL15" i="7"/>
  <c r="BE15" i="7"/>
  <c r="AX15" i="7"/>
  <c r="AQ15" i="7"/>
  <c r="AJ15" i="7"/>
  <c r="AC15" i="7"/>
  <c r="V15" i="7"/>
  <c r="O15" i="7"/>
  <c r="G15" i="7"/>
  <c r="ED4" i="7"/>
  <c r="DW4" i="7"/>
  <c r="DP4" i="7"/>
  <c r="DI4" i="7"/>
  <c r="DB4" i="7"/>
  <c r="CU4" i="7"/>
  <c r="CN4" i="7"/>
  <c r="CG4" i="7"/>
  <c r="BZ4" i="7"/>
  <c r="BS4" i="7"/>
  <c r="K18" i="7" a="1"/>
  <c r="K18" i="7" s="1"/>
  <c r="J18" i="7" a="1"/>
  <c r="J18" i="7" s="1"/>
  <c r="I18" i="7"/>
  <c r="K17" i="7" a="1"/>
  <c r="K17" i="7" s="1"/>
  <c r="J17" i="7" a="1"/>
  <c r="J17" i="7" s="1"/>
  <c r="I17" i="7"/>
  <c r="BL4" i="7"/>
  <c r="K22" i="7" a="1"/>
  <c r="K22" i="7" s="1"/>
  <c r="J22" i="7" a="1"/>
  <c r="J22" i="7" s="1"/>
  <c r="K21" i="7" a="1"/>
  <c r="K21" i="7" s="1"/>
  <c r="J21" i="7" a="1"/>
  <c r="J21" i="7" s="1"/>
  <c r="K20" i="7" a="1"/>
  <c r="K20" i="7" s="1"/>
  <c r="J20" i="7" a="1"/>
  <c r="J20" i="7" s="1"/>
  <c r="K19" i="7" a="1"/>
  <c r="K19" i="7" s="1"/>
  <c r="J19" i="7" a="1"/>
  <c r="J19" i="7" s="1"/>
  <c r="K16" i="7" a="1"/>
  <c r="K16" i="7" s="1"/>
  <c r="J16" i="7" a="1"/>
  <c r="J16" i="7" s="1"/>
  <c r="K7" i="7" a="1"/>
  <c r="K7" i="7" s="1"/>
  <c r="J7" i="7" a="1"/>
  <c r="J7" i="7" s="1"/>
  <c r="K6" i="7" a="1"/>
  <c r="K6" i="7" s="1"/>
  <c r="J6" i="7" a="1"/>
  <c r="J6" i="7" s="1"/>
  <c r="K5" i="7" a="1"/>
  <c r="K5" i="7" s="1"/>
  <c r="J5" i="7" a="1"/>
  <c r="J5" i="7" s="1"/>
  <c r="BE4" i="7"/>
  <c r="AX4" i="7"/>
  <c r="AQ4" i="7"/>
  <c r="AJ4" i="7"/>
  <c r="AC4" i="7"/>
  <c r="V4" i="7"/>
  <c r="O4" i="7"/>
  <c r="G4" i="7"/>
  <c r="I22" i="7"/>
  <c r="I21" i="7"/>
  <c r="I20" i="7"/>
  <c r="I19" i="7"/>
  <c r="I16" i="7"/>
  <c r="I6" i="7"/>
  <c r="I7" i="7"/>
  <c r="I5" i="7"/>
  <c r="J15" i="7" l="1"/>
  <c r="K15" i="7"/>
  <c r="I15" i="7"/>
  <c r="K4" i="7"/>
  <c r="I4" i="7" l="1"/>
  <c r="J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<sst xmlns="http://schemas.openxmlformats.org/spreadsheetml/2006/main" count="280" uniqueCount="131">
  <si>
    <t>Semesterplan</t>
  </si>
  <si>
    <t>Fach</t>
  </si>
  <si>
    <t>Skript Niveau</t>
  </si>
  <si>
    <t>Rechnen Niveau</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</si>
  <si>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</si>
  <si>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</si>
  <si>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</si>
  <si>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</si>
  <si>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</si>
  <si>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</si>
  <si>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</si>
  <si>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</si>
  <si>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</si>
  <si>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</si>
  <si>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</si>
  <si>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</si>
  <si>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</si>
  <si>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</si>
  <si>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Typ</t>
  </si>
  <si>
    <t>Übersicht</t>
  </si>
  <si>
    <t>Thema</t>
  </si>
  <si>
    <t>Fachgebiet</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</si>
  <si>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</si>
  <si>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</si>
  <si>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</si>
  <si>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</si>
  <si>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</si>
  <si>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</si>
  <si>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</si>
  <si>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</si>
  <si>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</si>
  <si>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</si>
  <si>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</si>
  <si>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</si>
  <si>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</si>
  <si>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</si>
  <si>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</si>
  <si>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</si>
  <si>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</si>
  <si>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</si>
  <si>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</si>
  <si>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</si>
  <si>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</si>
  <si>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</si>
  <si>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</si>
  <si>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</si>
  <si>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</si>
  <si>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</si>
  <si>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</si>
  <si>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</si>
  <si>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</si>
  <si>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</si>
  <si>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</si>
  <si>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</si>
  <si>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</si>
  <si>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</si>
  <si>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</si>
  <si>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</si>
  <si>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</si>
  <si>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</si>
  <si>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</si>
  <si>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</si>
  <si>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</si>
  <si>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</si>
  <si>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</si>
  <si>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</si>
  <si>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</si>
  <si>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</si>
  <si>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</si>
  <si>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</si>
  <si>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</si>
  <si>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</si>
  <si>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</si>
  <si>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</si>
  <si>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</si>
  <si>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</si>
  <si>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</si>
  <si>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</si>
  <si>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KW 41</t>
  </si>
  <si>
    <t>KW 42</t>
  </si>
  <si>
    <t>KW 43</t>
  </si>
  <si>
    <t>KW 44</t>
  </si>
  <si>
    <t>KW 45</t>
  </si>
  <si>
    <t>KW 46</t>
  </si>
  <si>
    <t>KW 47</t>
  </si>
  <si>
    <t>KW 48</t>
  </si>
  <si>
    <t>KW 49</t>
  </si>
  <si>
    <t>KW 50</t>
  </si>
  <si>
    <t>KW 51</t>
  </si>
  <si>
    <t>KW 52</t>
  </si>
  <si>
    <t>KW 1</t>
  </si>
  <si>
    <t>KW 2</t>
  </si>
  <si>
    <t>Controlling</t>
  </si>
  <si>
    <t>-</t>
  </si>
  <si>
    <t>KW 3</t>
  </si>
  <si>
    <t>KW 4</t>
  </si>
  <si>
    <t>KW 5</t>
  </si>
  <si>
    <t>Klausuren!!!</t>
  </si>
  <si>
    <t>Mikro</t>
  </si>
  <si>
    <t>1) Einführung in das Controlling</t>
  </si>
  <si>
    <t>2) Kosten- und Erlösrechnung (Zuschlagskalkularion)</t>
  </si>
  <si>
    <t>3) Prozesskostenrechnung und Prozesskostenmanagement</t>
  </si>
  <si>
    <t>4) Erfolgsrechnung</t>
  </si>
  <si>
    <t>5) Operative Planung und Budgetierung</t>
  </si>
  <si>
    <t>6) Erfolgskontrolle im Rahmen der operativen Planung und Budgetierung</t>
  </si>
  <si>
    <t>7) Kostenmanagement</t>
  </si>
  <si>
    <t>8) Unternehmenssteuerung (1): Kennzahlen zur Performancemessung</t>
  </si>
  <si>
    <t>9) Unternehmenssteuerung (2): Anreizsysteme</t>
  </si>
  <si>
    <t>Optimales Prod.programm, Break-Even-Analyse, Vollkostenrechnung für Preisplanung, ABC-Analyse</t>
  </si>
  <si>
    <t>Stückkostenrechnung auf Teilkostenbasis, GKV Staffel-/Kontenform, UKV, DB-Rechnung</t>
  </si>
  <si>
    <t xml:space="preserve">TDABC </t>
  </si>
  <si>
    <t>Abweichungsanalyse</t>
  </si>
  <si>
    <t>Kostenschätzung, Kostenremanenz</t>
  </si>
  <si>
    <t>Agency-Theorie</t>
  </si>
  <si>
    <t>Rentabilitätskennzahlen</t>
  </si>
  <si>
    <t>1) Grundbegriffe der Mikoökonomik</t>
  </si>
  <si>
    <t>2) Theorie des privaten Haushalts</t>
  </si>
  <si>
    <t>3) Theorie der Unternehmung</t>
  </si>
  <si>
    <t>4) Theorie des Marktes</t>
  </si>
  <si>
    <t>5) Theorie des privaten Haushalts – Ein zweiter Blick</t>
  </si>
  <si>
    <t>6) Theorie der Unternehmung – Ein zweiter Blick</t>
  </si>
  <si>
    <t>7) Marktformen</t>
  </si>
  <si>
    <t>Nutzengebirge (U(x), Konsumbündel), Budgetbeschränkung des Haushalts, Haushaltsgleichgewicht, Konsum- und Nachfragekurven</t>
  </si>
  <si>
    <t>Ertragsgebirge, Budgetbeschränkung des Unternehmens, Unternehmensgleichgewicht</t>
  </si>
  <si>
    <t>Angebot/Nachfrage, Marktgleichgewicht (mit Eigensch.), Staatl. Preiseingriffe, Angebots- &amp; Nachfrageelastizität</t>
  </si>
  <si>
    <t>Einkommens-/Subs.effekt, Besteuerung</t>
  </si>
  <si>
    <t>Prod.-&amp;Kostenfkz.</t>
  </si>
  <si>
    <t>Angebotsmonopol, Nat. Mon.</t>
  </si>
  <si>
    <t>(Klausurdaten noch nicht bekannt)</t>
  </si>
  <si>
    <t>Was habe ich gemacht?</t>
  </si>
  <si>
    <t>Stunden gelernt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</si>
</sst>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sz val="12"/>
      <color theme="0"/>
      <name val="Calibri"/>
      <family val="2"/>
      <scheme val="minor"/>
    </font>
    <font>
      <i/>
      <sz val="12"/>
      <color theme="1"/>
      <name val="Calibri"/>
      <family val="2"/>
      <scheme val="minor"/>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8">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0" fontId="1" fillId="2" borderId="0" xfId="0" applyFont="1" applyFill="1" applyAlignment="1">
      <alignment horizontal="center"/>
    </xf>
    <xf numFmtId="0" fontId="5" fillId="0" borderId="0" xfId="0" applyFont="1" applyAlignment="1">
      <alignment horizontal="center"/>
    </xf>
    <xf numFmtId="0" fontId="5" fillId="0" borderId="0" xfId="0" applyFont="1" applyAlignment="1">
      <alignment horizontal="left"/>
    </xf>
    <xf numFmtId="0" fontId="4" fillId="0" borderId="0" xfId="0" applyFont="1"/>
    <xf numFmtId="0" fontId="0" fillId="0" borderId="0" xfId="0" applyAlignment="1"/>
    <xf numFmtId="2" fontId="0" fillId="0" borderId="0" xfId="0" applyNumberFormat="1"/>
    <xf numFmtId="0" fontId="0" fillId="0" borderId="0" xfId="0" applyNumberFormat="1" applyAlignment="1">
      <alignment wrapText="1"/>
    </xf>
    <xf numFmtId="0" fontId="5" fillId="0" borderId="0" xfId="0" applyFont="1"/>
    <xf numFmtId="0" fontId="0" fillId="0" borderId="0" xfId="0" applyNumberFormat="1" applyAlignment="1">
      <alignment horizontal="right" wrapText="1"/>
    </xf>
    <xf numFmtId="2" fontId="0" fillId="0" borderId="0" xfId="0" applyNumberFormat="1" applyAlignment="1">
      <alignment horizontal="right"/>
    </xf>
  </cellXfs>
  <cellStyles count="1">
    <cellStyle name="Standard" xfId="0" builtinId="0"/>
  </cellStyles>
  <dxfs count="197">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numFmt numFmtId="2" formatCode="0.00"/>
      <alignment horizontal="right"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numFmt numFmtId="2" formatCode="0.00"/>
    </dxf>
    <dxf>
      <numFmt numFmtId="2" formatCode="0.00"/>
    </dxf>
    <dxf>
      <numFmt numFmtId="2" formatCode="0.00"/>
    </dxf>
    <dxf>
      <numFmt numFmtId="2" formatCode="0.00"/>
    </dxf>
    <dxf>
      <alignment horizontal="center" vertical="bottom" textRotation="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L63" totalsRowShown="0" headerRowDxfId="196">
  <autoFilter ref="A1:L63" xr:uid="{6E266E34-2786-2747-BCE7-51B74867A564}"/>
  <tableColumns count="12">
    <tableColumn id="1" xr3:uid="{95FD92F7-3DC8-704D-A103-A7EDDAB255AB}" name="Datum" dataDxfId="195"/>
    <tableColumn id="13" xr3:uid="{5300ABDB-1045-1146-BD96-0617C50B8643}" name="Was habe ich gemacht?" dataDxfId="188"/>
    <tableColumn id="12" xr3:uid="{DA703985-EB8D-5344-BD61-1E9948A8F076}" name="Stunden gelernt" dataDxfId="186"/>
    <tableColumn id="2" xr3:uid="{F464D510-8166-E740-A343-FB84BDEF877F}" name="Lerneinheiten durchgezogen" dataDxfId="187"/>
    <tableColumn id="3" xr3:uid="{75F52B08-1A00-0848-BBE6-1EDF7B31B1AD}" name="Tagesplan erstellt" dataDxfId="194"/>
    <tableColumn id="4" xr3:uid="{E6B18D89-E799-AD48-9DAA-37AEE1D29011}" name="Konzentrationslevel" dataDxfId="193"/>
    <tableColumn id="5" xr3:uid="{7038951F-EF31-2A4C-8291-6B3B984C5954}" name="Kcal" dataDxfId="192"/>
    <tableColumn id="6" xr3:uid="{024A2E22-9FF9-5042-BCC0-8443A00A1A16}" name="Fette" dataDxfId="191"/>
    <tableColumn id="7" xr3:uid="{FAD520C6-BB43-8B4B-A9FA-C5AEE0F8CD08}" name="Eiweiss" dataDxfId="190"/>
    <tableColumn id="8" xr3:uid="{3816DA9B-3A76-FE4F-B985-3635CF939135}" name="Kohlenhydrate" dataDxfId="189"/>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EI57"/>
  <sheetViews>
    <sheetView showGridLines="0" zoomScale="138" zoomScaleNormal="130" workbookViewId="0">
      <pane xSplit="13" topLeftCell="N1" activePane="topRight" state="frozen"/>
      <selection pane="topRight" activeCell="O5" sqref="O5"/>
    </sheetView>
  </sheetViews>
  <sheetFormatPr baseColWidth="10" defaultColWidth="8.83203125" defaultRowHeight="16" outlineLevelRow="1" x14ac:dyDescent="0.2"/>
  <cols>
    <col min="3" max="3" width="9.5" bestFit="1" customWidth="1"/>
    <col min="4" max="4" width="13" bestFit="1" customWidth="1"/>
    <col min="5" max="5" width="4.83203125" bestFit="1" customWidth="1"/>
    <col min="6" max="6" width="41.1640625" bestFit="1" customWidth="1"/>
    <col min="7" max="7" width="15.5" bestFit="1" customWidth="1"/>
    <col min="8" max="8" width="2.5" customWidth="1"/>
    <col min="10" max="10" width="12.5" bestFit="1" customWidth="1"/>
    <col min="11" max="11" width="14.83203125" customWidth="1"/>
    <col min="12" max="12" width="1.5" customWidth="1"/>
    <col min="13" max="13" width="24.6640625" customWidth="1"/>
    <col min="14" max="14" width="2.5" customWidth="1"/>
    <col min="16" max="16" width="12.5" bestFit="1" customWidth="1"/>
    <col min="17" max="17" width="6.33203125" customWidth="1"/>
    <col min="18" max="18" width="14.83203125" bestFit="1" customWidth="1"/>
    <col min="19" max="19" width="6" customWidth="1"/>
    <col min="20" max="20" width="12.6640625" bestFit="1" customWidth="1"/>
    <col min="21" max="21" width="2.5" customWidth="1"/>
    <col min="23" max="23" width="12.5" bestFit="1" customWidth="1"/>
    <col min="24" max="24" width="6.33203125" customWidth="1"/>
    <col min="25" max="25" width="14.83203125" bestFit="1" customWidth="1"/>
    <col min="26" max="26" width="6" customWidth="1"/>
    <col min="27" max="27" width="12.6640625" bestFit="1" customWidth="1"/>
    <col min="28" max="28" width="2.5" customWidth="1"/>
    <col min="30" max="30" width="12.5" bestFit="1" customWidth="1"/>
    <col min="31" max="31" width="6.33203125" customWidth="1"/>
    <col min="32" max="32" width="14.83203125" bestFit="1" customWidth="1"/>
    <col min="33" max="33" width="6" customWidth="1"/>
    <col min="34" max="34" width="12.6640625" bestFit="1" customWidth="1"/>
    <col min="35" max="35" width="2.5" customWidth="1"/>
    <col min="37" max="37" width="12.5" bestFit="1" customWidth="1"/>
    <col min="38" max="38" width="6.33203125" customWidth="1"/>
    <col min="39" max="39" width="14.83203125" bestFit="1" customWidth="1"/>
    <col min="40" max="40" width="6" customWidth="1"/>
    <col min="41" max="41" width="12.6640625" bestFit="1" customWidth="1"/>
    <col min="42" max="42" width="2.5" customWidth="1"/>
    <col min="44" max="44" width="12.5" bestFit="1" customWidth="1"/>
    <col min="45" max="45" width="6.33203125" customWidth="1"/>
    <col min="46" max="46" width="14.83203125" bestFit="1" customWidth="1"/>
    <col min="47" max="47" width="6" customWidth="1"/>
    <col min="48" max="48" width="12.6640625" bestFit="1" customWidth="1"/>
    <col min="49" max="49" width="2.5" customWidth="1"/>
    <col min="51" max="51" width="12.5" bestFit="1" customWidth="1"/>
    <col min="52" max="52" width="6.33203125" customWidth="1"/>
    <col min="53" max="53" width="14.83203125" bestFit="1" customWidth="1"/>
    <col min="54" max="54" width="6" customWidth="1"/>
    <col min="55" max="55" width="12.6640625" bestFit="1" customWidth="1"/>
    <col min="56" max="56" width="2.5" customWidth="1"/>
    <col min="58" max="58" width="12.5" bestFit="1" customWidth="1"/>
    <col min="59" max="59" width="6.33203125" customWidth="1"/>
    <col min="60" max="60" width="14.83203125" bestFit="1" customWidth="1"/>
    <col min="61" max="61" width="6" customWidth="1"/>
    <col min="62" max="62" width="12.6640625" bestFit="1" customWidth="1"/>
    <col min="63" max="63" width="2.5" customWidth="1"/>
    <col min="65" max="65" width="12.5" bestFit="1" customWidth="1"/>
    <col min="66" max="66" width="6.33203125" customWidth="1"/>
    <col min="67" max="67" width="14.83203125" bestFit="1" customWidth="1"/>
    <col min="68" max="68" width="6" customWidth="1"/>
    <col min="69" max="69" width="12.6640625" bestFit="1" customWidth="1"/>
    <col min="70" max="70" width="2.5" customWidth="1"/>
    <col min="72" max="72" width="12.5" bestFit="1" customWidth="1"/>
    <col min="73" max="73" width="6.33203125" customWidth="1"/>
    <col min="74" max="74" width="14.83203125" bestFit="1" customWidth="1"/>
    <col min="75" max="75" width="6" customWidth="1"/>
    <col min="76" max="76" width="12.6640625" bestFit="1" customWidth="1"/>
    <col min="77" max="77" width="2.5" customWidth="1"/>
    <col min="79" max="79" width="12.5" bestFit="1" customWidth="1"/>
    <col min="80" max="80" width="6.33203125" customWidth="1"/>
    <col min="81" max="81" width="14.83203125" bestFit="1" customWidth="1"/>
    <col min="82" max="82" width="6" customWidth="1"/>
    <col min="83" max="83" width="12.6640625" bestFit="1" customWidth="1"/>
    <col min="84" max="84" width="2.5" customWidth="1"/>
    <col min="86" max="86" width="12.5" bestFit="1" customWidth="1"/>
    <col min="87" max="87" width="6.33203125" customWidth="1"/>
    <col min="88" max="88" width="14.83203125" bestFit="1" customWidth="1"/>
    <col min="89" max="89" width="6" customWidth="1"/>
    <col min="90" max="90" width="12.6640625" bestFit="1" customWidth="1"/>
    <col min="91" max="91" width="2.5" customWidth="1"/>
    <col min="93" max="93" width="12.5" bestFit="1" customWidth="1"/>
    <col min="94" max="94" width="6.33203125" customWidth="1"/>
    <col min="95" max="95" width="14.83203125" bestFit="1" customWidth="1"/>
    <col min="96" max="96" width="6" customWidth="1"/>
    <col min="97" max="97" width="12.6640625" bestFit="1" customWidth="1"/>
    <col min="98" max="98" width="2.5" customWidth="1"/>
    <col min="100" max="100" width="12.5" bestFit="1" customWidth="1"/>
    <col min="101" max="101" width="6.33203125" customWidth="1"/>
    <col min="102" max="102" width="14.83203125" bestFit="1" customWidth="1"/>
    <col min="103" max="103" width="6" customWidth="1"/>
    <col min="104" max="104" width="12.6640625" bestFit="1" customWidth="1"/>
    <col min="105" max="105" width="2.5" customWidth="1"/>
    <col min="107" max="107" width="12.5" bestFit="1" customWidth="1"/>
    <col min="108" max="108" width="6.33203125" customWidth="1"/>
    <col min="109" max="109" width="14.83203125" bestFit="1" customWidth="1"/>
    <col min="110" max="110" width="6" customWidth="1"/>
    <col min="111" max="111" width="12.6640625" bestFit="1" customWidth="1"/>
    <col min="112" max="112" width="2.5" customWidth="1"/>
    <col min="114" max="114" width="12.5" bestFit="1" customWidth="1"/>
    <col min="115" max="115" width="6.33203125" customWidth="1"/>
    <col min="116" max="116" width="14.83203125" bestFit="1" customWidth="1"/>
    <col min="117" max="117" width="6" customWidth="1"/>
    <col min="118" max="118" width="12.6640625" bestFit="1" customWidth="1"/>
    <col min="119" max="119" width="2.5" customWidth="1"/>
    <col min="121" max="121" width="12.5" bestFit="1" customWidth="1"/>
    <col min="122" max="122" width="6.33203125" customWidth="1"/>
    <col min="123" max="123" width="14.83203125" bestFit="1" customWidth="1"/>
    <col min="124" max="124" width="6" customWidth="1"/>
    <col min="125" max="125" width="12.6640625" bestFit="1" customWidth="1"/>
    <col min="126" max="126" width="2.5" customWidth="1"/>
    <col min="128" max="128" width="12.5" bestFit="1" customWidth="1"/>
    <col min="129" max="129" width="6.33203125" customWidth="1"/>
    <col min="130" max="130" width="14.83203125" bestFit="1" customWidth="1"/>
    <col min="131" max="131" width="6" customWidth="1"/>
    <col min="132" max="132" width="12.6640625" bestFit="1" customWidth="1"/>
    <col min="133" max="133" width="2.5" customWidth="1"/>
    <col min="135" max="135" width="12.5" bestFit="1" customWidth="1"/>
    <col min="136" max="136" width="6.33203125" customWidth="1"/>
    <col min="137" max="137" width="14.83203125" bestFit="1" customWidth="1"/>
    <col min="138" max="138" width="6" customWidth="1"/>
    <col min="139" max="139" width="12.6640625" bestFit="1" customWidth="1"/>
  </cols>
  <sheetData>
    <row r="1" spans="2:139" ht="34" x14ac:dyDescent="0.4">
      <c r="B1" s="4" t="s">
        <v>0</v>
      </c>
      <c r="D1" s="4"/>
      <c r="G1" s="11" t="s">
        <v>25</v>
      </c>
      <c r="I1" s="11" t="s">
        <v>25</v>
      </c>
      <c r="J1" s="11" t="s">
        <v>25</v>
      </c>
      <c r="K1" s="11" t="s">
        <v>25</v>
      </c>
      <c r="L1" s="11"/>
    </row>
    <row r="2" spans="2:139" x14ac:dyDescent="0.2">
      <c r="D2" s="25" t="s">
        <v>128</v>
      </c>
      <c r="I2" s="18" t="s">
        <v>19</v>
      </c>
      <c r="J2" s="18"/>
      <c r="K2" s="18"/>
      <c r="L2" s="18"/>
      <c r="M2" s="18"/>
      <c r="O2" s="18" t="s">
        <v>78</v>
      </c>
      <c r="P2" s="18"/>
      <c r="Q2" s="18"/>
      <c r="R2" s="18"/>
      <c r="S2" s="18"/>
      <c r="T2" s="18"/>
      <c r="V2" s="18" t="s">
        <v>79</v>
      </c>
      <c r="W2" s="18"/>
      <c r="X2" s="18"/>
      <c r="Y2" s="18"/>
      <c r="Z2" s="18"/>
      <c r="AA2" s="18"/>
      <c r="AC2" s="18" t="s">
        <v>80</v>
      </c>
      <c r="AD2" s="18"/>
      <c r="AE2" s="18"/>
      <c r="AF2" s="18"/>
      <c r="AG2" s="18"/>
      <c r="AH2" s="18"/>
      <c r="AJ2" s="18" t="s">
        <v>81</v>
      </c>
      <c r="AK2" s="18"/>
      <c r="AL2" s="18"/>
      <c r="AM2" s="18"/>
      <c r="AN2" s="18"/>
      <c r="AO2" s="18"/>
      <c r="AQ2" s="18" t="s">
        <v>82</v>
      </c>
      <c r="AR2" s="18"/>
      <c r="AS2" s="18"/>
      <c r="AT2" s="18"/>
      <c r="AU2" s="18"/>
      <c r="AV2" s="18"/>
      <c r="AX2" s="18" t="s">
        <v>83</v>
      </c>
      <c r="AY2" s="18"/>
      <c r="AZ2" s="18"/>
      <c r="BA2" s="18"/>
      <c r="BB2" s="18"/>
      <c r="BC2" s="18"/>
      <c r="BE2" s="18" t="s">
        <v>84</v>
      </c>
      <c r="BF2" s="18"/>
      <c r="BG2" s="18"/>
      <c r="BH2" s="18"/>
      <c r="BI2" s="18"/>
      <c r="BJ2" s="18"/>
      <c r="BL2" s="18" t="s">
        <v>85</v>
      </c>
      <c r="BM2" s="18"/>
      <c r="BN2" s="18"/>
      <c r="BO2" s="18"/>
      <c r="BP2" s="18"/>
      <c r="BQ2" s="18"/>
      <c r="BS2" s="18" t="s">
        <v>86</v>
      </c>
      <c r="BT2" s="18"/>
      <c r="BU2" s="18"/>
      <c r="BV2" s="18"/>
      <c r="BW2" s="18"/>
      <c r="BX2" s="18"/>
      <c r="BZ2" s="18" t="s">
        <v>87</v>
      </c>
      <c r="CA2" s="18"/>
      <c r="CB2" s="18"/>
      <c r="CC2" s="18"/>
      <c r="CD2" s="18"/>
      <c r="CE2" s="18"/>
      <c r="CG2" s="18" t="s">
        <v>88</v>
      </c>
      <c r="CH2" s="18"/>
      <c r="CI2" s="18"/>
      <c r="CJ2" s="18"/>
      <c r="CK2" s="18"/>
      <c r="CL2" s="18"/>
      <c r="CN2" s="18" t="s">
        <v>89</v>
      </c>
      <c r="CO2" s="18"/>
      <c r="CP2" s="18"/>
      <c r="CQ2" s="18"/>
      <c r="CR2" s="18"/>
      <c r="CS2" s="18"/>
      <c r="CU2" s="18" t="s">
        <v>90</v>
      </c>
      <c r="CV2" s="18"/>
      <c r="CW2" s="18"/>
      <c r="CX2" s="18"/>
      <c r="CY2" s="18"/>
      <c r="CZ2" s="18"/>
      <c r="DB2" s="18" t="s">
        <v>91</v>
      </c>
      <c r="DC2" s="18"/>
      <c r="DD2" s="18"/>
      <c r="DE2" s="18"/>
      <c r="DF2" s="18"/>
      <c r="DG2" s="18"/>
      <c r="DI2" s="18" t="s">
        <v>94</v>
      </c>
      <c r="DJ2" s="18"/>
      <c r="DK2" s="18"/>
      <c r="DL2" s="18"/>
      <c r="DM2" s="18"/>
      <c r="DN2" s="18"/>
      <c r="DP2" s="18" t="s">
        <v>95</v>
      </c>
      <c r="DQ2" s="18"/>
      <c r="DR2" s="18"/>
      <c r="DS2" s="18"/>
      <c r="DT2" s="18"/>
      <c r="DU2" s="18"/>
      <c r="DW2" s="18" t="s">
        <v>96</v>
      </c>
      <c r="DX2" s="18"/>
      <c r="DY2" s="18"/>
      <c r="DZ2" s="18"/>
      <c r="EA2" s="18"/>
      <c r="EB2" s="18"/>
      <c r="ED2" s="18" t="s">
        <v>97</v>
      </c>
      <c r="EE2" s="18"/>
      <c r="EF2" s="18"/>
      <c r="EG2" s="18"/>
      <c r="EH2" s="18"/>
      <c r="EI2" s="18"/>
    </row>
    <row r="3" spans="2:139" x14ac:dyDescent="0.2">
      <c r="B3" s="5" t="s">
        <v>18</v>
      </c>
      <c r="C3" s="5" t="s">
        <v>1</v>
      </c>
      <c r="D3" s="5" t="s">
        <v>17</v>
      </c>
      <c r="E3" s="6" t="s">
        <v>22</v>
      </c>
      <c r="F3" s="5" t="s">
        <v>21</v>
      </c>
      <c r="G3" s="5" t="s">
        <v>23</v>
      </c>
      <c r="I3" s="6" t="s">
        <v>4</v>
      </c>
      <c r="J3" s="6" t="s">
        <v>2</v>
      </c>
      <c r="K3" s="6" t="s">
        <v>3</v>
      </c>
      <c r="L3" s="6"/>
      <c r="M3" s="6" t="s">
        <v>5</v>
      </c>
      <c r="O3" s="5" t="s">
        <v>4</v>
      </c>
      <c r="P3" s="5" t="s">
        <v>2</v>
      </c>
      <c r="Q3" s="5" t="s">
        <v>24</v>
      </c>
      <c r="R3" s="5" t="s">
        <v>3</v>
      </c>
      <c r="S3" s="5" t="s">
        <v>24</v>
      </c>
      <c r="T3" s="5" t="s">
        <v>5</v>
      </c>
      <c r="V3" s="5" t="s">
        <v>4</v>
      </c>
      <c r="W3" s="5" t="s">
        <v>2</v>
      </c>
      <c r="X3" s="5" t="s">
        <v>24</v>
      </c>
      <c r="Y3" s="5" t="s">
        <v>3</v>
      </c>
      <c r="Z3" s="5" t="s">
        <v>24</v>
      </c>
      <c r="AA3" s="5" t="s">
        <v>5</v>
      </c>
      <c r="AC3" s="5" t="s">
        <v>4</v>
      </c>
      <c r="AD3" s="5" t="s">
        <v>2</v>
      </c>
      <c r="AE3" s="5" t="s">
        <v>24</v>
      </c>
      <c r="AF3" s="5" t="s">
        <v>3</v>
      </c>
      <c r="AG3" s="5" t="s">
        <v>24</v>
      </c>
      <c r="AH3" s="5" t="s">
        <v>5</v>
      </c>
      <c r="AJ3" s="5" t="s">
        <v>4</v>
      </c>
      <c r="AK3" s="5" t="s">
        <v>2</v>
      </c>
      <c r="AL3" s="5" t="s">
        <v>24</v>
      </c>
      <c r="AM3" s="5" t="s">
        <v>3</v>
      </c>
      <c r="AN3" s="5" t="s">
        <v>24</v>
      </c>
      <c r="AO3" s="5" t="s">
        <v>5</v>
      </c>
      <c r="AQ3" s="5" t="s">
        <v>4</v>
      </c>
      <c r="AR3" s="5" t="s">
        <v>2</v>
      </c>
      <c r="AS3" s="5" t="s">
        <v>24</v>
      </c>
      <c r="AT3" s="5" t="s">
        <v>3</v>
      </c>
      <c r="AU3" s="5" t="s">
        <v>24</v>
      </c>
      <c r="AV3" s="5" t="s">
        <v>5</v>
      </c>
      <c r="AX3" s="5" t="s">
        <v>4</v>
      </c>
      <c r="AY3" s="5" t="s">
        <v>2</v>
      </c>
      <c r="AZ3" s="5" t="s">
        <v>24</v>
      </c>
      <c r="BA3" s="5" t="s">
        <v>3</v>
      </c>
      <c r="BB3" s="5" t="s">
        <v>24</v>
      </c>
      <c r="BC3" s="5" t="s">
        <v>5</v>
      </c>
      <c r="BE3" s="5" t="s">
        <v>4</v>
      </c>
      <c r="BF3" s="5" t="s">
        <v>2</v>
      </c>
      <c r="BG3" s="5" t="s">
        <v>24</v>
      </c>
      <c r="BH3" s="5" t="s">
        <v>3</v>
      </c>
      <c r="BI3" s="5" t="s">
        <v>24</v>
      </c>
      <c r="BJ3" s="5" t="s">
        <v>5</v>
      </c>
      <c r="BL3" s="5" t="s">
        <v>4</v>
      </c>
      <c r="BM3" s="5" t="s">
        <v>2</v>
      </c>
      <c r="BN3" s="5" t="s">
        <v>24</v>
      </c>
      <c r="BO3" s="5" t="s">
        <v>3</v>
      </c>
      <c r="BP3" s="5" t="s">
        <v>24</v>
      </c>
      <c r="BQ3" s="5" t="s">
        <v>5</v>
      </c>
      <c r="BS3" s="5" t="s">
        <v>4</v>
      </c>
      <c r="BT3" s="5" t="s">
        <v>2</v>
      </c>
      <c r="BU3" s="5" t="s">
        <v>24</v>
      </c>
      <c r="BV3" s="5" t="s">
        <v>3</v>
      </c>
      <c r="BW3" s="5" t="s">
        <v>24</v>
      </c>
      <c r="BX3" s="5" t="s">
        <v>5</v>
      </c>
      <c r="BZ3" s="5" t="s">
        <v>4</v>
      </c>
      <c r="CA3" s="5" t="s">
        <v>2</v>
      </c>
      <c r="CB3" s="5" t="s">
        <v>24</v>
      </c>
      <c r="CC3" s="5" t="s">
        <v>3</v>
      </c>
      <c r="CD3" s="5" t="s">
        <v>24</v>
      </c>
      <c r="CE3" s="5" t="s">
        <v>5</v>
      </c>
      <c r="CG3" s="5" t="s">
        <v>4</v>
      </c>
      <c r="CH3" s="5" t="s">
        <v>2</v>
      </c>
      <c r="CI3" s="5" t="s">
        <v>24</v>
      </c>
      <c r="CJ3" s="5" t="s">
        <v>3</v>
      </c>
      <c r="CK3" s="5" t="s">
        <v>24</v>
      </c>
      <c r="CL3" s="5" t="s">
        <v>5</v>
      </c>
      <c r="CN3" s="5" t="s">
        <v>4</v>
      </c>
      <c r="CO3" s="5" t="s">
        <v>2</v>
      </c>
      <c r="CP3" s="5" t="s">
        <v>24</v>
      </c>
      <c r="CQ3" s="5" t="s">
        <v>3</v>
      </c>
      <c r="CR3" s="5" t="s">
        <v>24</v>
      </c>
      <c r="CS3" s="5" t="s">
        <v>5</v>
      </c>
      <c r="CU3" s="5" t="s">
        <v>4</v>
      </c>
      <c r="CV3" s="5" t="s">
        <v>2</v>
      </c>
      <c r="CW3" s="5" t="s">
        <v>24</v>
      </c>
      <c r="CX3" s="5" t="s">
        <v>3</v>
      </c>
      <c r="CY3" s="5" t="s">
        <v>24</v>
      </c>
      <c r="CZ3" s="5" t="s">
        <v>5</v>
      </c>
      <c r="DB3" s="5" t="s">
        <v>4</v>
      </c>
      <c r="DC3" s="5" t="s">
        <v>2</v>
      </c>
      <c r="DD3" s="5" t="s">
        <v>24</v>
      </c>
      <c r="DE3" s="5" t="s">
        <v>3</v>
      </c>
      <c r="DF3" s="5" t="s">
        <v>24</v>
      </c>
      <c r="DG3" s="5" t="s">
        <v>5</v>
      </c>
      <c r="DI3" s="5" t="s">
        <v>4</v>
      </c>
      <c r="DJ3" s="5" t="s">
        <v>2</v>
      </c>
      <c r="DK3" s="5" t="s">
        <v>24</v>
      </c>
      <c r="DL3" s="5" t="s">
        <v>3</v>
      </c>
      <c r="DM3" s="5" t="s">
        <v>24</v>
      </c>
      <c r="DN3" s="5" t="s">
        <v>5</v>
      </c>
      <c r="DP3" s="5" t="s">
        <v>4</v>
      </c>
      <c r="DQ3" s="5" t="s">
        <v>2</v>
      </c>
      <c r="DR3" s="5" t="s">
        <v>24</v>
      </c>
      <c r="DS3" s="5" t="s">
        <v>3</v>
      </c>
      <c r="DT3" s="5" t="s">
        <v>24</v>
      </c>
      <c r="DU3" s="5" t="s">
        <v>5</v>
      </c>
      <c r="DW3" s="5" t="s">
        <v>4</v>
      </c>
      <c r="DX3" s="5" t="s">
        <v>2</v>
      </c>
      <c r="DY3" s="5" t="s">
        <v>24</v>
      </c>
      <c r="DZ3" s="5" t="s">
        <v>3</v>
      </c>
      <c r="EA3" s="5" t="s">
        <v>24</v>
      </c>
      <c r="EB3" s="5" t="s">
        <v>5</v>
      </c>
      <c r="ED3" s="5" t="s">
        <v>4</v>
      </c>
      <c r="EE3" s="5" t="s">
        <v>2</v>
      </c>
      <c r="EF3" s="5" t="s">
        <v>24</v>
      </c>
      <c r="EG3" s="5" t="s">
        <v>3</v>
      </c>
      <c r="EH3" s="5" t="s">
        <v>24</v>
      </c>
      <c r="EI3" s="5" t="s">
        <v>5</v>
      </c>
    </row>
    <row r="4" spans="2:139" x14ac:dyDescent="0.2">
      <c r="B4" t="s">
        <v>19</v>
      </c>
      <c r="C4" t="s">
        <v>92</v>
      </c>
      <c r="D4" s="17">
        <v>45691</v>
      </c>
      <c r="E4" s="7">
        <v>6</v>
      </c>
      <c r="G4" s="8">
        <f>+SUM(G5:G13)</f>
        <v>0.89999999999999991</v>
      </c>
      <c r="I4" s="10">
        <f>+SUM(I5:I13)</f>
        <v>0</v>
      </c>
      <c r="J4" s="9">
        <f>+SUMPRODUCT(G5:G13,J5:J13)</f>
        <v>0</v>
      </c>
      <c r="K4" s="9">
        <f>+SUMPRODUCT(G5:G13,K5:K13)</f>
        <v>0</v>
      </c>
      <c r="L4" s="9"/>
      <c r="M4" s="7"/>
      <c r="O4" s="10">
        <f>+SUM(O5:O13)</f>
        <v>0</v>
      </c>
      <c r="V4" s="10">
        <f>+SUM(V5:V13)</f>
        <v>0</v>
      </c>
      <c r="AC4" s="10">
        <f>+SUM(AC5:AC13)</f>
        <v>0</v>
      </c>
      <c r="AJ4" s="10">
        <f>+SUM(AJ5:AJ13)</f>
        <v>0</v>
      </c>
      <c r="AQ4" s="10">
        <f>+SUM(AQ5:AQ13)</f>
        <v>0</v>
      </c>
      <c r="AX4" s="10">
        <f>+SUM(AX5:AX13)</f>
        <v>0</v>
      </c>
      <c r="BE4" s="10">
        <f>+SUM(BE5:BE13)</f>
        <v>0</v>
      </c>
      <c r="BL4" s="10">
        <f>+SUM(BL5:BL13)</f>
        <v>0</v>
      </c>
      <c r="BS4" s="10">
        <f>+SUM(BS5:BS13)</f>
        <v>0</v>
      </c>
      <c r="BZ4" s="10">
        <f>+SUM(BZ5:BZ13)</f>
        <v>0</v>
      </c>
      <c r="CG4" s="10">
        <f>+SUM(CG5:CG13)</f>
        <v>0</v>
      </c>
      <c r="CN4" s="10">
        <f>+SUM(CN5:CN13)</f>
        <v>0</v>
      </c>
      <c r="CU4" s="10">
        <f>+SUM(CU5:CU13)</f>
        <v>0</v>
      </c>
      <c r="DB4" s="10">
        <f>+SUM(DB5:DB13)</f>
        <v>0</v>
      </c>
      <c r="DI4" s="10">
        <f>+SUM(DI5:DI13)</f>
        <v>0</v>
      </c>
      <c r="DP4" s="10">
        <f>+SUM(DP5:DP13)</f>
        <v>0</v>
      </c>
      <c r="DW4" s="10">
        <f>+SUM(DW5:DW13)</f>
        <v>0</v>
      </c>
      <c r="ED4" s="10">
        <f>+SUM(ED5:ED13)</f>
        <v>0</v>
      </c>
    </row>
    <row r="5" spans="2:139" outlineLevel="1" x14ac:dyDescent="0.2">
      <c r="B5" t="s">
        <v>20</v>
      </c>
      <c r="C5" t="s">
        <v>92</v>
      </c>
      <c r="E5" s="7"/>
      <c r="F5" t="s">
        <v>99</v>
      </c>
      <c r="G5" s="8">
        <v>0.05</v>
      </c>
      <c r="I5" s="7">
        <f>+SUMIF($O$3:$ZZ$3,I$3,$O5:$ZZ5)</f>
        <v>0</v>
      </c>
      <c r="J5" s="9" cm="1">
        <f t="array" ref="J5">MAX(IF($O$3:$EH$3=$J$3,O5:EH5))</f>
        <v>0</v>
      </c>
      <c r="K5" s="9" cm="1">
        <f t="array" ref="K5">MAX(IF($O$3:$EH$3=$J$3,O5:EH5))</f>
        <v>0</v>
      </c>
      <c r="L5" s="9"/>
      <c r="M5" s="7"/>
      <c r="P5" s="8"/>
      <c r="Q5" s="8">
        <v>0.5</v>
      </c>
      <c r="R5" s="8"/>
      <c r="S5" s="8">
        <v>0.5</v>
      </c>
      <c r="W5" s="8"/>
      <c r="X5" s="8">
        <v>0.8</v>
      </c>
      <c r="Y5" s="8"/>
      <c r="Z5" s="8">
        <v>0.8</v>
      </c>
      <c r="AD5" s="8"/>
      <c r="AE5" s="8">
        <v>1</v>
      </c>
      <c r="AF5" s="8"/>
      <c r="AG5" s="8">
        <v>1</v>
      </c>
      <c r="AK5" s="8"/>
      <c r="AL5" s="8">
        <v>1</v>
      </c>
      <c r="AM5" s="8"/>
      <c r="AN5" s="8">
        <v>1</v>
      </c>
      <c r="AR5" s="8"/>
      <c r="AS5" s="8">
        <v>1</v>
      </c>
      <c r="AT5" s="8"/>
      <c r="AU5" s="8">
        <v>1</v>
      </c>
      <c r="AY5" s="8"/>
      <c r="AZ5" s="8">
        <v>1</v>
      </c>
      <c r="BA5" s="8"/>
      <c r="BB5" s="8">
        <v>1</v>
      </c>
      <c r="BF5" s="8"/>
      <c r="BG5" s="8">
        <v>1</v>
      </c>
      <c r="BH5" s="8"/>
      <c r="BI5" s="8">
        <v>1</v>
      </c>
      <c r="BM5" s="8"/>
      <c r="BN5" s="8">
        <v>1</v>
      </c>
      <c r="BO5" s="8"/>
      <c r="BP5" s="8">
        <v>1</v>
      </c>
      <c r="BT5" s="8"/>
      <c r="BU5" s="8">
        <v>1</v>
      </c>
      <c r="BV5" s="8"/>
      <c r="BW5" s="8">
        <v>1</v>
      </c>
      <c r="CA5" s="8"/>
      <c r="CB5" s="8">
        <v>1</v>
      </c>
      <c r="CC5" s="8"/>
      <c r="CD5" s="8">
        <v>1</v>
      </c>
      <c r="CH5" s="8"/>
      <c r="CI5" s="8">
        <v>1</v>
      </c>
      <c r="CJ5" s="8"/>
      <c r="CK5" s="8">
        <v>1</v>
      </c>
      <c r="CO5" s="8"/>
      <c r="CP5" s="8">
        <v>1</v>
      </c>
      <c r="CQ5" s="8"/>
      <c r="CR5" s="8">
        <v>1</v>
      </c>
      <c r="CV5" s="8"/>
      <c r="CW5" s="8">
        <v>1</v>
      </c>
      <c r="CX5" s="8"/>
      <c r="CY5" s="8">
        <v>1</v>
      </c>
      <c r="DC5" s="8"/>
      <c r="DD5" s="8">
        <v>1</v>
      </c>
      <c r="DE5" s="8"/>
      <c r="DF5" s="8">
        <v>1</v>
      </c>
      <c r="DJ5" s="8"/>
      <c r="DK5" s="8">
        <v>1</v>
      </c>
      <c r="DL5" s="8"/>
      <c r="DM5" s="8">
        <v>1</v>
      </c>
      <c r="DQ5" s="8"/>
      <c r="DR5" s="8"/>
      <c r="DS5" s="8"/>
      <c r="DT5" s="8"/>
      <c r="DX5" s="8"/>
      <c r="DY5" s="8"/>
      <c r="DZ5" s="8"/>
      <c r="EA5" s="8"/>
      <c r="EE5" s="8"/>
      <c r="EF5" s="8"/>
      <c r="EG5" s="8"/>
      <c r="EH5" s="8"/>
    </row>
    <row r="6" spans="2:139" outlineLevel="1" x14ac:dyDescent="0.2">
      <c r="B6" t="s">
        <v>20</v>
      </c>
      <c r="C6" t="s">
        <v>92</v>
      </c>
      <c r="E6" s="7"/>
      <c r="F6" t="s">
        <v>100</v>
      </c>
      <c r="G6" s="8">
        <v>0.1</v>
      </c>
      <c r="I6" s="7">
        <f>+SUMIF($O$3:$ZZ$3,I$3,$O6:$ZZ6)</f>
        <v>0</v>
      </c>
      <c r="J6" s="9" cm="1">
        <f t="array" ref="J6">MAX(IF($O$3:$EH$3=$J$3,O6:EH6))</f>
        <v>0</v>
      </c>
      <c r="K6" s="9" cm="1">
        <f t="array" ref="K6">MAX(IF($O$3:$EH$3=$J$3,O6:EH6))</f>
        <v>0</v>
      </c>
      <c r="L6" s="9"/>
      <c r="M6" s="7"/>
      <c r="P6" s="8"/>
      <c r="Q6" s="8"/>
      <c r="R6" s="8"/>
      <c r="S6" s="8"/>
      <c r="W6" s="8"/>
      <c r="X6" s="8">
        <v>0.5</v>
      </c>
      <c r="Y6" s="8"/>
      <c r="Z6" s="8">
        <v>0.5</v>
      </c>
      <c r="AD6" s="8"/>
      <c r="AE6" s="8">
        <v>0.8</v>
      </c>
      <c r="AF6" s="8"/>
      <c r="AG6" s="8">
        <v>0.8</v>
      </c>
      <c r="AK6" s="8"/>
      <c r="AL6" s="8">
        <v>0.8</v>
      </c>
      <c r="AM6" s="8"/>
      <c r="AN6" s="8">
        <v>0.8</v>
      </c>
      <c r="AR6" s="8"/>
      <c r="AS6" s="8">
        <v>1</v>
      </c>
      <c r="AT6" s="8"/>
      <c r="AU6" s="8">
        <v>1</v>
      </c>
      <c r="AY6" s="8"/>
      <c r="AZ6" s="8">
        <v>1</v>
      </c>
      <c r="BA6" s="8"/>
      <c r="BB6" s="8">
        <v>1</v>
      </c>
      <c r="BF6" s="8"/>
      <c r="BG6" s="8">
        <v>1</v>
      </c>
      <c r="BH6" s="8"/>
      <c r="BI6" s="8">
        <v>1</v>
      </c>
      <c r="BM6" s="8"/>
      <c r="BN6" s="8">
        <v>1</v>
      </c>
      <c r="BO6" s="8"/>
      <c r="BP6" s="8">
        <v>1</v>
      </c>
      <c r="BT6" s="8"/>
      <c r="BU6" s="8">
        <v>1</v>
      </c>
      <c r="BV6" s="8"/>
      <c r="BW6" s="8">
        <v>1</v>
      </c>
      <c r="CA6" s="8"/>
      <c r="CB6" s="8">
        <v>1</v>
      </c>
      <c r="CC6" s="8"/>
      <c r="CD6" s="8">
        <v>1</v>
      </c>
      <c r="CH6" s="8"/>
      <c r="CI6" s="8">
        <v>1</v>
      </c>
      <c r="CJ6" s="8"/>
      <c r="CK6" s="8">
        <v>1</v>
      </c>
      <c r="CO6" s="8"/>
      <c r="CP6" s="8">
        <v>1</v>
      </c>
      <c r="CQ6" s="8"/>
      <c r="CR6" s="8">
        <v>1</v>
      </c>
      <c r="CV6" s="8"/>
      <c r="CW6" s="8">
        <v>1</v>
      </c>
      <c r="CX6" s="8"/>
      <c r="CY6" s="8">
        <v>1</v>
      </c>
      <c r="DC6" s="8"/>
      <c r="DD6" s="8">
        <v>1</v>
      </c>
      <c r="DE6" s="8"/>
      <c r="DF6" s="8">
        <v>1</v>
      </c>
      <c r="DJ6" s="8"/>
      <c r="DK6" s="8">
        <v>1</v>
      </c>
      <c r="DL6" s="8"/>
      <c r="DM6" s="8">
        <v>1</v>
      </c>
      <c r="DQ6" s="8"/>
      <c r="DR6" s="8"/>
      <c r="DS6" s="8"/>
      <c r="DT6" s="8"/>
      <c r="DX6" s="8"/>
      <c r="DY6" s="8"/>
      <c r="DZ6" s="8"/>
      <c r="EA6" s="8"/>
      <c r="EE6" s="8"/>
      <c r="EF6" s="8"/>
      <c r="EG6" s="8"/>
      <c r="EH6" s="8"/>
    </row>
    <row r="7" spans="2:139" outlineLevel="1" x14ac:dyDescent="0.2">
      <c r="B7" t="s">
        <v>20</v>
      </c>
      <c r="C7" t="s">
        <v>92</v>
      </c>
      <c r="E7" s="7"/>
      <c r="F7" t="s">
        <v>101</v>
      </c>
      <c r="G7" s="8">
        <v>0.1</v>
      </c>
      <c r="I7" s="7">
        <f>+SUMIF($O$3:$ZZ$3,I$3,$O7:$ZZ7)</f>
        <v>0</v>
      </c>
      <c r="J7" s="9" cm="1">
        <f t="array" ref="J7">MAX(IF($O$3:$EH$3=$J$3,O7:EH7))</f>
        <v>0</v>
      </c>
      <c r="K7" s="9" cm="1">
        <f t="array" ref="K7">MAX(IF($O$3:$EH$3=$J$3,O7:EH7))</f>
        <v>0</v>
      </c>
      <c r="L7" s="9"/>
      <c r="M7" s="19" t="s">
        <v>110</v>
      </c>
      <c r="P7" s="8"/>
      <c r="Q7" s="8"/>
      <c r="R7" s="8"/>
      <c r="S7" s="8"/>
      <c r="W7" s="8"/>
      <c r="X7" s="8"/>
      <c r="Y7" s="8"/>
      <c r="Z7" s="8"/>
      <c r="AD7" s="8"/>
      <c r="AE7" s="8"/>
      <c r="AF7" s="8"/>
      <c r="AG7" s="8"/>
      <c r="AK7" s="8"/>
      <c r="AL7" s="8">
        <v>0.5</v>
      </c>
      <c r="AM7" s="8"/>
      <c r="AN7" s="8">
        <v>0.5</v>
      </c>
      <c r="AR7" s="8"/>
      <c r="AS7" s="8">
        <v>0.8</v>
      </c>
      <c r="AT7" s="8"/>
      <c r="AU7" s="8">
        <v>0.8</v>
      </c>
      <c r="AY7" s="8"/>
      <c r="AZ7" s="8">
        <v>1</v>
      </c>
      <c r="BA7" s="8"/>
      <c r="BB7" s="8">
        <v>1</v>
      </c>
      <c r="BF7" s="8"/>
      <c r="BG7" s="8">
        <v>1</v>
      </c>
      <c r="BH7" s="8"/>
      <c r="BI7" s="8">
        <v>1</v>
      </c>
      <c r="BM7" s="8"/>
      <c r="BN7" s="8">
        <v>1</v>
      </c>
      <c r="BO7" s="8"/>
      <c r="BP7" s="8">
        <v>1</v>
      </c>
      <c r="BT7" s="8"/>
      <c r="BU7" s="8">
        <v>1</v>
      </c>
      <c r="BV7" s="8"/>
      <c r="BW7" s="8">
        <v>1</v>
      </c>
      <c r="CA7" s="8"/>
      <c r="CB7" s="8">
        <v>1</v>
      </c>
      <c r="CC7" s="8"/>
      <c r="CD7" s="8">
        <v>1</v>
      </c>
      <c r="CH7" s="8"/>
      <c r="CI7" s="8">
        <v>1</v>
      </c>
      <c r="CJ7" s="8"/>
      <c r="CK7" s="8">
        <v>1</v>
      </c>
      <c r="CO7" s="8"/>
      <c r="CP7" s="8">
        <v>1</v>
      </c>
      <c r="CQ7" s="8"/>
      <c r="CR7" s="8">
        <v>1</v>
      </c>
      <c r="CV7" s="8"/>
      <c r="CW7" s="8">
        <v>1</v>
      </c>
      <c r="CX7" s="8"/>
      <c r="CY7" s="8">
        <v>1</v>
      </c>
      <c r="DC7" s="8"/>
      <c r="DD7" s="8">
        <v>1</v>
      </c>
      <c r="DE7" s="8"/>
      <c r="DF7" s="8">
        <v>1</v>
      </c>
      <c r="DJ7" s="8"/>
      <c r="DK7" s="8">
        <v>1</v>
      </c>
      <c r="DL7" s="8"/>
      <c r="DM7" s="8">
        <v>1</v>
      </c>
      <c r="DQ7" s="8"/>
      <c r="DR7" s="8"/>
      <c r="DS7" s="8"/>
      <c r="DT7" s="8"/>
      <c r="DX7" s="8"/>
      <c r="DY7" s="8"/>
      <c r="DZ7" s="8"/>
      <c r="EA7" s="8"/>
      <c r="EE7" s="8"/>
      <c r="EF7" s="8"/>
      <c r="EG7" s="8"/>
      <c r="EH7" s="8"/>
    </row>
    <row r="8" spans="2:139" ht="17" customHeight="1" outlineLevel="1" x14ac:dyDescent="0.2">
      <c r="B8" t="s">
        <v>20</v>
      </c>
      <c r="C8" t="s">
        <v>92</v>
      </c>
      <c r="E8" s="7"/>
      <c r="F8" t="s">
        <v>102</v>
      </c>
      <c r="G8" s="8">
        <v>0.1</v>
      </c>
      <c r="I8" s="7">
        <f>+SUMIF($O$3:$ZZ$3,I$3,$O8:$ZZ8)</f>
        <v>0</v>
      </c>
      <c r="J8" s="9" cm="1">
        <f t="array" ref="J8">MAX(IF($O$3:$EH$3=$J$3,O8:EH8))</f>
        <v>0</v>
      </c>
      <c r="K8" s="9" cm="1">
        <f t="array" ref="K8">MAX(IF($O$3:$EH$3=$J$3,O8:EH8))</f>
        <v>0</v>
      </c>
      <c r="L8" s="9"/>
      <c r="M8" s="20" t="s">
        <v>109</v>
      </c>
      <c r="N8" s="21" t="s">
        <v>93</v>
      </c>
      <c r="P8" s="8"/>
      <c r="Q8" s="8"/>
      <c r="R8" s="8"/>
      <c r="S8" s="8"/>
      <c r="W8" s="8"/>
      <c r="X8" s="8"/>
      <c r="Y8" s="8"/>
      <c r="Z8" s="8"/>
      <c r="AD8" s="8"/>
      <c r="AE8" s="8"/>
      <c r="AF8" s="8"/>
      <c r="AG8" s="8"/>
      <c r="AK8" s="8"/>
      <c r="AL8" s="8"/>
      <c r="AM8" s="8"/>
      <c r="AN8" s="8"/>
      <c r="AR8" s="8"/>
      <c r="AS8" s="8">
        <v>0.5</v>
      </c>
      <c r="AT8" s="8"/>
      <c r="AU8" s="8">
        <v>0.5</v>
      </c>
      <c r="AY8" s="8"/>
      <c r="AZ8" s="8">
        <v>0.8</v>
      </c>
      <c r="BA8" s="8"/>
      <c r="BB8" s="8">
        <v>0.8</v>
      </c>
      <c r="BF8" s="8"/>
      <c r="BG8" s="8">
        <v>0.8</v>
      </c>
      <c r="BH8" s="8"/>
      <c r="BI8" s="8">
        <v>0.8</v>
      </c>
      <c r="BM8" s="8"/>
      <c r="BN8" s="8">
        <v>1</v>
      </c>
      <c r="BO8" s="8"/>
      <c r="BP8" s="8">
        <v>1</v>
      </c>
      <c r="BT8" s="8"/>
      <c r="BU8" s="8">
        <v>1</v>
      </c>
      <c r="BV8" s="8"/>
      <c r="BW8" s="8">
        <v>1</v>
      </c>
      <c r="CA8" s="8"/>
      <c r="CB8" s="8">
        <v>1</v>
      </c>
      <c r="CC8" s="8"/>
      <c r="CD8" s="8">
        <v>1</v>
      </c>
      <c r="CH8" s="8"/>
      <c r="CI8" s="8">
        <v>1</v>
      </c>
      <c r="CJ8" s="8"/>
      <c r="CK8" s="8">
        <v>1</v>
      </c>
      <c r="CO8" s="8"/>
      <c r="CP8" s="8">
        <v>1</v>
      </c>
      <c r="CQ8" s="8"/>
      <c r="CR8" s="8">
        <v>1</v>
      </c>
      <c r="CV8" s="8"/>
      <c r="CW8" s="8">
        <v>1</v>
      </c>
      <c r="CX8" s="8"/>
      <c r="CY8" s="8">
        <v>1</v>
      </c>
      <c r="DC8" s="8"/>
      <c r="DD8" s="8">
        <v>1</v>
      </c>
      <c r="DE8" s="8"/>
      <c r="DF8" s="8">
        <v>1</v>
      </c>
      <c r="DJ8" s="8"/>
      <c r="DK8" s="8">
        <v>1</v>
      </c>
      <c r="DL8" s="8"/>
      <c r="DM8" s="8">
        <v>1</v>
      </c>
      <c r="DQ8" s="8"/>
      <c r="DR8" s="8"/>
      <c r="DS8" s="8"/>
      <c r="DT8" s="8"/>
      <c r="DX8" s="8"/>
      <c r="DY8" s="8"/>
      <c r="DZ8" s="8"/>
      <c r="EA8" s="8"/>
      <c r="EE8" s="8"/>
      <c r="EF8" s="8"/>
      <c r="EG8" s="8"/>
      <c r="EH8" s="8"/>
    </row>
    <row r="9" spans="2:139" outlineLevel="1" x14ac:dyDescent="0.2">
      <c r="B9" t="s">
        <v>20</v>
      </c>
      <c r="C9" t="s">
        <v>92</v>
      </c>
      <c r="E9" s="7"/>
      <c r="F9" t="s">
        <v>103</v>
      </c>
      <c r="G9" s="8">
        <v>0.15</v>
      </c>
      <c r="I9" s="7">
        <f>+SUMIF($O$3:$ZZ$3,I$3,$O9:$ZZ9)</f>
        <v>0</v>
      </c>
      <c r="J9" s="9" cm="1">
        <f t="array" ref="J9">MAX(IF($O$3:$EH$3=$J$3,O9:EH9))</f>
        <v>0</v>
      </c>
      <c r="K9" s="9" cm="1">
        <f t="array" ref="K9">MAX(IF($O$3:$EH$3=$J$3,O9:EH9))</f>
        <v>0</v>
      </c>
      <c r="L9" s="9"/>
      <c r="M9" s="20" t="s">
        <v>108</v>
      </c>
      <c r="N9" s="21" t="s">
        <v>93</v>
      </c>
      <c r="P9" s="8"/>
      <c r="Q9" s="8"/>
      <c r="R9" s="8"/>
      <c r="S9" s="8"/>
      <c r="W9" s="8"/>
      <c r="X9" s="8"/>
      <c r="Y9" s="8"/>
      <c r="Z9" s="8"/>
      <c r="AD9" s="8"/>
      <c r="AE9" s="8"/>
      <c r="AF9" s="8"/>
      <c r="AG9" s="8"/>
      <c r="AK9" s="8"/>
      <c r="AL9" s="8"/>
      <c r="AM9" s="8"/>
      <c r="AN9" s="8"/>
      <c r="AR9" s="8"/>
      <c r="AS9" s="8"/>
      <c r="AT9" s="8"/>
      <c r="AU9" s="8"/>
      <c r="AY9" s="8"/>
      <c r="AZ9" s="8"/>
      <c r="BA9" s="8"/>
      <c r="BB9" s="8"/>
      <c r="BF9" s="8"/>
      <c r="BG9" s="8">
        <v>0.5</v>
      </c>
      <c r="BH9" s="8"/>
      <c r="BI9" s="8">
        <v>0.5</v>
      </c>
      <c r="BM9" s="8"/>
      <c r="BN9" s="8">
        <v>0.8</v>
      </c>
      <c r="BO9" s="8"/>
      <c r="BP9" s="8">
        <v>0.8</v>
      </c>
      <c r="BT9" s="8"/>
      <c r="BU9" s="8">
        <v>0.8</v>
      </c>
      <c r="BV9" s="8"/>
      <c r="BW9" s="8">
        <v>0.8</v>
      </c>
      <c r="CA9" s="8"/>
      <c r="CB9" s="8">
        <v>0.8</v>
      </c>
      <c r="CC9" s="8"/>
      <c r="CD9" s="8">
        <v>0.8</v>
      </c>
      <c r="CH9" s="8"/>
      <c r="CI9" s="8">
        <v>0.8</v>
      </c>
      <c r="CJ9" s="8"/>
      <c r="CK9" s="8">
        <v>0.8</v>
      </c>
      <c r="CO9" s="8"/>
      <c r="CP9" s="8">
        <v>0.8</v>
      </c>
      <c r="CQ9" s="8"/>
      <c r="CR9" s="8">
        <v>0.8</v>
      </c>
      <c r="CV9" s="8"/>
      <c r="CW9" s="8">
        <v>1</v>
      </c>
      <c r="CX9" s="8"/>
      <c r="CY9" s="8">
        <v>1</v>
      </c>
      <c r="DC9" s="8"/>
      <c r="DD9" s="8">
        <v>1</v>
      </c>
      <c r="DE9" s="8"/>
      <c r="DF9" s="8">
        <v>1</v>
      </c>
      <c r="DJ9" s="8"/>
      <c r="DK9" s="8">
        <v>1</v>
      </c>
      <c r="DL9" s="8"/>
      <c r="DM9" s="8">
        <v>1</v>
      </c>
      <c r="DQ9" s="8"/>
      <c r="DR9" s="8"/>
      <c r="DS9" s="8"/>
      <c r="DT9" s="8"/>
      <c r="DX9" s="8"/>
      <c r="DY9" s="8"/>
      <c r="DZ9" s="8"/>
      <c r="EA9" s="8"/>
      <c r="EE9" s="8"/>
      <c r="EF9" s="8"/>
      <c r="EG9" s="8"/>
      <c r="EH9" s="8"/>
    </row>
    <row r="10" spans="2:139" outlineLevel="1" x14ac:dyDescent="0.2">
      <c r="B10" t="s">
        <v>20</v>
      </c>
      <c r="C10" t="s">
        <v>92</v>
      </c>
      <c r="E10" s="7"/>
      <c r="F10" t="s">
        <v>104</v>
      </c>
      <c r="G10" s="8">
        <v>0.1</v>
      </c>
      <c r="I10" s="7">
        <f>+SUMIF($O$3:$ZZ$3,I$3,$O10:$ZZ10)</f>
        <v>0</v>
      </c>
      <c r="J10" s="9" cm="1">
        <f t="array" ref="J10">MAX(IF($O$3:$EH$3=$J$3,O10:EH10))</f>
        <v>0</v>
      </c>
      <c r="K10" s="9" cm="1">
        <f t="array" ref="K10">MAX(IF($O$3:$EH$3=$J$3,O10:EH10))</f>
        <v>0</v>
      </c>
      <c r="L10" s="9"/>
      <c r="M10" s="19" t="s">
        <v>111</v>
      </c>
      <c r="P10" s="8"/>
      <c r="Q10" s="8"/>
      <c r="R10" s="8"/>
      <c r="S10" s="8"/>
      <c r="W10" s="8"/>
      <c r="X10" s="8"/>
      <c r="Y10" s="8"/>
      <c r="Z10" s="8"/>
      <c r="AD10" s="8"/>
      <c r="AE10" s="8"/>
      <c r="AF10" s="8"/>
      <c r="AG10" s="8"/>
      <c r="AK10" s="8"/>
      <c r="AL10" s="8"/>
      <c r="AM10" s="8"/>
      <c r="AN10" s="8"/>
      <c r="AR10" s="8"/>
      <c r="AS10" s="8"/>
      <c r="AT10" s="8"/>
      <c r="AU10" s="8"/>
      <c r="AY10" s="8"/>
      <c r="AZ10" s="8"/>
      <c r="BA10" s="8"/>
      <c r="BB10" s="8"/>
      <c r="BF10" s="8"/>
      <c r="BG10" s="8"/>
      <c r="BH10" s="8"/>
      <c r="BI10" s="8"/>
      <c r="BM10" s="8"/>
      <c r="BN10" s="8">
        <v>0.5</v>
      </c>
      <c r="BO10" s="8"/>
      <c r="BP10" s="8">
        <v>0.5</v>
      </c>
      <c r="BT10" s="8"/>
      <c r="BU10" s="8">
        <v>0.5</v>
      </c>
      <c r="BV10" s="8"/>
      <c r="BW10" s="8">
        <v>0.5</v>
      </c>
      <c r="CA10" s="8"/>
      <c r="CB10" s="8">
        <v>0.5</v>
      </c>
      <c r="CC10" s="8"/>
      <c r="CD10" s="8">
        <v>0.5</v>
      </c>
      <c r="CH10" s="8"/>
      <c r="CI10" s="8">
        <v>0.5</v>
      </c>
      <c r="CJ10" s="8"/>
      <c r="CK10" s="8">
        <v>0.5</v>
      </c>
      <c r="CO10" s="8"/>
      <c r="CP10" s="8">
        <v>0.8</v>
      </c>
      <c r="CQ10" s="8"/>
      <c r="CR10" s="8">
        <v>0.8</v>
      </c>
      <c r="CV10" s="8"/>
      <c r="CW10" s="8">
        <v>1</v>
      </c>
      <c r="CX10" s="8"/>
      <c r="CY10" s="8">
        <v>1</v>
      </c>
      <c r="DC10" s="8"/>
      <c r="DD10" s="8">
        <v>1</v>
      </c>
      <c r="DE10" s="8"/>
      <c r="DF10" s="8">
        <v>1</v>
      </c>
      <c r="DJ10" s="8"/>
      <c r="DK10" s="8">
        <v>1</v>
      </c>
      <c r="DL10" s="8"/>
      <c r="DM10" s="8">
        <v>1</v>
      </c>
      <c r="DQ10" s="8"/>
      <c r="DR10" s="8"/>
      <c r="DS10" s="8"/>
      <c r="DT10" s="8"/>
      <c r="DX10" s="8"/>
      <c r="DY10" s="8"/>
      <c r="DZ10" s="8"/>
      <c r="EA10" s="8"/>
      <c r="EE10" s="8"/>
      <c r="EF10" s="8"/>
      <c r="EG10" s="8"/>
      <c r="EH10" s="8"/>
    </row>
    <row r="11" spans="2:139" outlineLevel="1" x14ac:dyDescent="0.2">
      <c r="B11" t="s">
        <v>20</v>
      </c>
      <c r="C11" t="s">
        <v>92</v>
      </c>
      <c r="E11" s="7"/>
      <c r="F11" t="s">
        <v>105</v>
      </c>
      <c r="G11" s="8">
        <v>0.1</v>
      </c>
      <c r="I11" s="7">
        <f>+SUMIF($O$3:$ZZ$3,I$3,$O11:$ZZ11)</f>
        <v>0</v>
      </c>
      <c r="J11" s="9" cm="1">
        <f t="array" ref="J11">MAX(IF($O$3:$EH$3=$J$3,O11:EH11))</f>
        <v>0</v>
      </c>
      <c r="K11" s="9" cm="1">
        <f t="array" ref="K11">MAX(IF($O$3:$EH$3=$J$3,O11:EH11))</f>
        <v>0</v>
      </c>
      <c r="L11" s="9"/>
      <c r="M11" s="20" t="s">
        <v>112</v>
      </c>
      <c r="N11" s="21" t="s">
        <v>93</v>
      </c>
      <c r="P11" s="8"/>
      <c r="Q11" s="8"/>
      <c r="R11" s="8"/>
      <c r="S11" s="8"/>
      <c r="W11" s="8"/>
      <c r="X11" s="8"/>
      <c r="Y11" s="8"/>
      <c r="Z11" s="8"/>
      <c r="AD11" s="8"/>
      <c r="AE11" s="8"/>
      <c r="AF11" s="8"/>
      <c r="AG11" s="8"/>
      <c r="AK11" s="8"/>
      <c r="AL11" s="8"/>
      <c r="AM11" s="8"/>
      <c r="AN11" s="8"/>
      <c r="AR11" s="8"/>
      <c r="AS11" s="8"/>
      <c r="AT11" s="8"/>
      <c r="AU11" s="8"/>
      <c r="AY11" s="8"/>
      <c r="AZ11" s="8"/>
      <c r="BA11" s="8"/>
      <c r="BB11" s="8"/>
      <c r="BF11" s="8"/>
      <c r="BG11" s="8"/>
      <c r="BH11" s="8"/>
      <c r="BI11" s="8"/>
      <c r="BM11" s="8"/>
      <c r="BN11" s="8"/>
      <c r="BO11" s="8"/>
      <c r="BP11" s="8"/>
      <c r="BT11" s="8"/>
      <c r="BU11" s="8"/>
      <c r="BV11" s="8"/>
      <c r="BW11" s="8"/>
      <c r="CA11" s="8"/>
      <c r="CB11" s="8"/>
      <c r="CC11" s="8"/>
      <c r="CD11" s="8"/>
      <c r="CH11" s="8"/>
      <c r="CI11" s="8"/>
      <c r="CJ11" s="8"/>
      <c r="CK11" s="8"/>
      <c r="CO11" s="8"/>
      <c r="CP11" s="8">
        <v>0.5</v>
      </c>
      <c r="CQ11" s="8"/>
      <c r="CR11" s="8">
        <v>0.5</v>
      </c>
      <c r="CV11" s="8"/>
      <c r="CW11" s="8">
        <v>0.8</v>
      </c>
      <c r="CX11" s="8"/>
      <c r="CY11" s="8">
        <v>0.8</v>
      </c>
      <c r="DC11" s="8"/>
      <c r="DD11" s="8">
        <v>1</v>
      </c>
      <c r="DE11" s="8"/>
      <c r="DF11" s="8">
        <v>1</v>
      </c>
      <c r="DJ11" s="8"/>
      <c r="DK11" s="8">
        <v>1</v>
      </c>
      <c r="DL11" s="8"/>
      <c r="DM11" s="8">
        <v>1</v>
      </c>
      <c r="DQ11" s="8"/>
      <c r="DR11" s="8"/>
      <c r="DS11" s="8"/>
      <c r="DT11" s="8"/>
      <c r="DX11" s="8"/>
      <c r="DY11" s="8"/>
      <c r="DZ11" s="8"/>
      <c r="EA11" s="8"/>
      <c r="EE11" s="8"/>
      <c r="EF11" s="8"/>
      <c r="EG11" s="8"/>
      <c r="EH11" s="8"/>
    </row>
    <row r="12" spans="2:139" outlineLevel="1" x14ac:dyDescent="0.2">
      <c r="B12" t="s">
        <v>20</v>
      </c>
      <c r="C12" t="s">
        <v>92</v>
      </c>
      <c r="E12" s="7"/>
      <c r="F12" t="s">
        <v>106</v>
      </c>
      <c r="G12" s="8">
        <v>0.1</v>
      </c>
      <c r="I12" s="7">
        <f>+SUMIF($O$3:$ZZ$3,I$3,$O12:$ZZ12)</f>
        <v>0</v>
      </c>
      <c r="J12" s="9" cm="1">
        <f t="array" ref="J12">MAX(IF($O$3:$EH$3=$J$3,O12:EH12))</f>
        <v>0</v>
      </c>
      <c r="K12" s="9" cm="1">
        <f t="array" ref="K12">MAX(IF($O$3:$EH$3=$J$3,O12:EH12))</f>
        <v>0</v>
      </c>
      <c r="L12" s="9"/>
      <c r="M12" s="19" t="s">
        <v>113</v>
      </c>
      <c r="P12" s="8"/>
      <c r="Q12" s="8"/>
      <c r="R12" s="8"/>
      <c r="S12" s="8"/>
      <c r="W12" s="8"/>
      <c r="X12" s="8"/>
      <c r="Y12" s="8"/>
      <c r="Z12" s="8"/>
      <c r="AD12" s="8"/>
      <c r="AE12" s="8"/>
      <c r="AF12" s="8"/>
      <c r="AG12" s="8"/>
      <c r="AK12" s="8"/>
      <c r="AL12" s="8"/>
      <c r="AM12" s="8"/>
      <c r="AN12" s="8"/>
      <c r="AR12" s="8"/>
      <c r="AS12" s="8"/>
      <c r="AT12" s="8"/>
      <c r="AU12" s="8"/>
      <c r="AY12" s="8"/>
      <c r="AZ12" s="8"/>
      <c r="BA12" s="8"/>
      <c r="BB12" s="8"/>
      <c r="BF12" s="8"/>
      <c r="BG12" s="8"/>
      <c r="BH12" s="8"/>
      <c r="BI12" s="8"/>
      <c r="BM12" s="8"/>
      <c r="BN12" s="8"/>
      <c r="BO12" s="8"/>
      <c r="BP12" s="8"/>
      <c r="BT12" s="8"/>
      <c r="BU12" s="8"/>
      <c r="BV12" s="8"/>
      <c r="BW12" s="8"/>
      <c r="CA12" s="8"/>
      <c r="CB12" s="8"/>
      <c r="CC12" s="8"/>
      <c r="CD12" s="8"/>
      <c r="CH12" s="8"/>
      <c r="CI12" s="8"/>
      <c r="CJ12" s="8"/>
      <c r="CK12" s="8"/>
      <c r="CO12" s="8"/>
      <c r="CP12" s="8"/>
      <c r="CQ12" s="8"/>
      <c r="CR12" s="8"/>
      <c r="CV12" s="8"/>
      <c r="CW12" s="8">
        <v>0.5</v>
      </c>
      <c r="CX12" s="8"/>
      <c r="CY12" s="8">
        <v>0.5</v>
      </c>
      <c r="DC12" s="8"/>
      <c r="DD12" s="8">
        <v>0.8</v>
      </c>
      <c r="DE12" s="8"/>
      <c r="DF12" s="8">
        <v>0.8</v>
      </c>
      <c r="DJ12" s="8"/>
      <c r="DK12" s="8">
        <v>1</v>
      </c>
      <c r="DL12" s="8"/>
      <c r="DM12" s="8">
        <v>1</v>
      </c>
      <c r="DQ12" s="8"/>
      <c r="DR12" s="8"/>
      <c r="DS12" s="8"/>
      <c r="DT12" s="8"/>
      <c r="DX12" s="8"/>
      <c r="DY12" s="8"/>
      <c r="DZ12" s="8"/>
      <c r="EA12" s="8"/>
      <c r="EE12" s="8"/>
      <c r="EF12" s="8"/>
      <c r="EG12" s="8"/>
      <c r="EH12" s="8"/>
    </row>
    <row r="13" spans="2:139" outlineLevel="1" x14ac:dyDescent="0.2">
      <c r="B13" t="s">
        <v>20</v>
      </c>
      <c r="C13" t="s">
        <v>92</v>
      </c>
      <c r="E13" s="7"/>
      <c r="F13" t="s">
        <v>107</v>
      </c>
      <c r="G13" s="8">
        <v>0.1</v>
      </c>
      <c r="I13" s="7">
        <f>+SUMIF($O$3:$ZZ$3,I$3,$O13:$ZZ13)</f>
        <v>0</v>
      </c>
      <c r="J13" s="9" cm="1">
        <f t="array" ref="J13">MAX(IF($O$3:$EH$3=$J$3,O13:EH13))</f>
        <v>0</v>
      </c>
      <c r="K13" s="9" cm="1">
        <f t="array" ref="K13">MAX(IF($O$3:$EH$3=$J$3,O13:EH13))</f>
        <v>0</v>
      </c>
      <c r="L13" s="9"/>
      <c r="M13" s="19" t="s">
        <v>114</v>
      </c>
      <c r="P13" s="8"/>
      <c r="Q13" s="8"/>
      <c r="R13" s="8"/>
      <c r="S13" s="8"/>
      <c r="W13" s="8"/>
      <c r="X13" s="8"/>
      <c r="Y13" s="8"/>
      <c r="Z13" s="8"/>
      <c r="AD13" s="8"/>
      <c r="AE13" s="8"/>
      <c r="AF13" s="8"/>
      <c r="AG13" s="8"/>
      <c r="AK13" s="8"/>
      <c r="AL13" s="8"/>
      <c r="AM13" s="8"/>
      <c r="AN13" s="8"/>
      <c r="AR13" s="8"/>
      <c r="AS13" s="8"/>
      <c r="AT13" s="8"/>
      <c r="AU13" s="8"/>
      <c r="AY13" s="8"/>
      <c r="AZ13" s="8"/>
      <c r="BA13" s="8"/>
      <c r="BB13" s="8"/>
      <c r="BF13" s="8"/>
      <c r="BG13" s="8"/>
      <c r="BH13" s="8"/>
      <c r="BI13" s="8"/>
      <c r="BM13" s="8"/>
      <c r="BN13" s="8"/>
      <c r="BO13" s="8"/>
      <c r="BP13" s="8"/>
      <c r="BT13" s="8"/>
      <c r="BU13" s="8"/>
      <c r="BV13" s="8"/>
      <c r="BW13" s="8"/>
      <c r="CA13" s="8"/>
      <c r="CB13" s="8"/>
      <c r="CC13" s="8"/>
      <c r="CD13" s="8"/>
      <c r="CH13" s="8"/>
      <c r="CI13" s="8"/>
      <c r="CJ13" s="8"/>
      <c r="CK13" s="8"/>
      <c r="CO13" s="8"/>
      <c r="CQ13" s="8"/>
      <c r="CR13" s="8"/>
      <c r="CV13" s="8"/>
      <c r="CW13" s="8">
        <v>0.5</v>
      </c>
      <c r="CX13" s="8"/>
      <c r="CY13" s="8">
        <v>0.5</v>
      </c>
      <c r="DC13" s="8"/>
      <c r="DD13" s="8">
        <v>0.8</v>
      </c>
      <c r="DE13" s="8"/>
      <c r="DF13" s="8">
        <v>0.8</v>
      </c>
      <c r="DJ13" s="8"/>
      <c r="DK13" s="8">
        <v>1</v>
      </c>
      <c r="DL13" s="8"/>
      <c r="DM13" s="8">
        <v>1</v>
      </c>
      <c r="DQ13" s="8"/>
      <c r="DR13" s="8"/>
      <c r="DS13" s="8"/>
      <c r="DT13" s="8"/>
      <c r="DX13" s="8"/>
      <c r="DY13" s="8"/>
      <c r="DZ13" s="8"/>
      <c r="EA13" s="8"/>
      <c r="EE13" s="8"/>
      <c r="EF13" s="8"/>
      <c r="EG13" s="8"/>
      <c r="EH13" s="8"/>
    </row>
    <row r="15" spans="2:139" x14ac:dyDescent="0.2">
      <c r="B15" t="s">
        <v>19</v>
      </c>
      <c r="C15" t="s">
        <v>98</v>
      </c>
      <c r="D15" s="17">
        <v>45693</v>
      </c>
      <c r="E15" s="7">
        <v>6</v>
      </c>
      <c r="G15" s="8">
        <f>+SUM(G16:G22)</f>
        <v>1</v>
      </c>
      <c r="I15" s="10">
        <f>+SUM(I16:I22)</f>
        <v>0</v>
      </c>
      <c r="J15" s="9">
        <f>+SUMPRODUCT(G16:G22,J16:J22)</f>
        <v>0</v>
      </c>
      <c r="K15" s="9">
        <f>+SUMPRODUCT(G16:G22,K16:K22)</f>
        <v>0</v>
      </c>
      <c r="L15" s="9"/>
      <c r="M15" s="7"/>
      <c r="O15" s="10">
        <f>+SUM(O16:O21)</f>
        <v>0</v>
      </c>
      <c r="V15" s="10">
        <f>+SUM(V16:V21)</f>
        <v>0</v>
      </c>
      <c r="AC15" s="10">
        <f>+SUM(AC16:AC21)</f>
        <v>0</v>
      </c>
      <c r="AJ15" s="10">
        <f>+SUM(AJ16:AJ21)</f>
        <v>0</v>
      </c>
      <c r="AQ15" s="10">
        <f>+SUM(AQ16:AQ21)</f>
        <v>0</v>
      </c>
      <c r="AX15" s="10">
        <f>+SUM(AX16:AX21)</f>
        <v>0</v>
      </c>
      <c r="BE15" s="10">
        <f>+SUM(BE16:BE21)</f>
        <v>0</v>
      </c>
      <c r="BL15" s="10">
        <f>+SUM(BL16:BL21)</f>
        <v>0</v>
      </c>
      <c r="BS15" s="10">
        <f>+SUM(BS16:BS21)</f>
        <v>0</v>
      </c>
      <c r="BZ15" s="10">
        <f>+SUM(BZ16:BZ21)</f>
        <v>0</v>
      </c>
      <c r="CG15" s="10">
        <f>+SUM(CG16:CG21)</f>
        <v>0</v>
      </c>
      <c r="CN15" s="10">
        <f>+SUM(CN16:CN21)</f>
        <v>0</v>
      </c>
      <c r="CU15" s="10">
        <f>+SUM(CU16:CU21)</f>
        <v>0</v>
      </c>
      <c r="CW15" s="8"/>
      <c r="DB15" s="10">
        <f>+SUM(DB16:DB21)</f>
        <v>0</v>
      </c>
      <c r="DI15" s="10">
        <f>+SUM(DI16:DI21)</f>
        <v>0</v>
      </c>
      <c r="DP15" s="10">
        <f>+SUM(DP16:DP21)</f>
        <v>0</v>
      </c>
      <c r="DW15" s="10">
        <f>+SUM(DW16:DW21)</f>
        <v>0</v>
      </c>
      <c r="ED15" s="10">
        <f>+SUM(ED16:ED21)</f>
        <v>0</v>
      </c>
    </row>
    <row r="16" spans="2:139" outlineLevel="1" x14ac:dyDescent="0.2">
      <c r="B16" t="s">
        <v>20</v>
      </c>
      <c r="C16" t="s">
        <v>98</v>
      </c>
      <c r="E16" s="7"/>
      <c r="F16" t="s">
        <v>115</v>
      </c>
      <c r="G16" s="8">
        <v>0.05</v>
      </c>
      <c r="I16" s="7">
        <f>+SUMIF($O$3:$ZZ$3,I$3,$O16:$ZZ16)</f>
        <v>0</v>
      </c>
      <c r="J16" s="9" cm="1">
        <f t="array" ref="J16">MAX(IF($O$3:$EH$3=$J$3,O16:EH16))</f>
        <v>0</v>
      </c>
      <c r="K16" s="9" cm="1">
        <f t="array" ref="K16">MAX(IF($O$3:$EH$3=$J$3,O16:EH16))</f>
        <v>0</v>
      </c>
      <c r="L16" s="9"/>
      <c r="M16" s="7"/>
      <c r="P16" s="8"/>
      <c r="Q16" s="8">
        <v>0.5</v>
      </c>
      <c r="R16" s="8"/>
      <c r="S16" s="8">
        <v>0.5</v>
      </c>
      <c r="W16" s="8"/>
      <c r="X16" s="8">
        <v>0.8</v>
      </c>
      <c r="Y16" s="8"/>
      <c r="Z16" s="8">
        <v>0.8</v>
      </c>
      <c r="AD16" s="8"/>
      <c r="AE16" s="8">
        <v>0.8</v>
      </c>
      <c r="AF16" s="8"/>
      <c r="AG16" s="8">
        <v>0.8</v>
      </c>
      <c r="AK16" s="8"/>
      <c r="AL16" s="8">
        <v>1</v>
      </c>
      <c r="AM16" s="8"/>
      <c r="AN16" s="8">
        <v>1</v>
      </c>
      <c r="AR16" s="8"/>
      <c r="AS16" s="8">
        <v>1</v>
      </c>
      <c r="AT16" s="8"/>
      <c r="AU16" s="8">
        <v>1</v>
      </c>
      <c r="AY16" s="8"/>
      <c r="AZ16" s="8">
        <v>1</v>
      </c>
      <c r="BA16" s="8"/>
      <c r="BB16" s="8">
        <v>1</v>
      </c>
      <c r="BF16" s="8"/>
      <c r="BG16" s="8">
        <v>1</v>
      </c>
      <c r="BH16" s="8"/>
      <c r="BI16" s="8">
        <v>1</v>
      </c>
      <c r="BM16" s="8"/>
      <c r="BN16" s="8">
        <v>1</v>
      </c>
      <c r="BO16" s="8"/>
      <c r="BP16" s="8">
        <v>1</v>
      </c>
      <c r="BT16" s="8"/>
      <c r="BU16" s="8">
        <v>1</v>
      </c>
      <c r="BV16" s="8"/>
      <c r="BW16" s="8">
        <v>1</v>
      </c>
      <c r="CA16" s="8"/>
      <c r="CB16" s="8">
        <v>1</v>
      </c>
      <c r="CC16" s="8"/>
      <c r="CD16" s="8">
        <v>1</v>
      </c>
      <c r="CH16" s="8"/>
      <c r="CI16" s="8">
        <v>1</v>
      </c>
      <c r="CJ16" s="8"/>
      <c r="CK16" s="8">
        <v>1</v>
      </c>
      <c r="CO16" s="8"/>
      <c r="CP16" s="8">
        <v>1</v>
      </c>
      <c r="CQ16" s="8"/>
      <c r="CR16" s="8">
        <v>1</v>
      </c>
      <c r="CV16" s="8"/>
      <c r="CW16" s="8">
        <v>1</v>
      </c>
      <c r="CX16" s="8"/>
      <c r="CY16" s="8">
        <v>1</v>
      </c>
      <c r="DC16" s="8"/>
      <c r="DD16" s="8">
        <v>1</v>
      </c>
      <c r="DE16" s="8"/>
      <c r="DF16" s="8">
        <v>1</v>
      </c>
      <c r="DJ16" s="8"/>
      <c r="DK16" s="8">
        <v>1</v>
      </c>
      <c r="DL16" s="8"/>
      <c r="DM16" s="8">
        <v>1</v>
      </c>
      <c r="DQ16" s="8"/>
      <c r="DR16" s="8"/>
      <c r="DS16" s="8"/>
      <c r="DT16" s="8"/>
      <c r="DX16" s="8"/>
      <c r="DY16" s="8"/>
      <c r="DZ16" s="8"/>
      <c r="EA16" s="8"/>
      <c r="EE16" s="8"/>
      <c r="EF16" s="8"/>
      <c r="EG16" s="8"/>
      <c r="EH16" s="8"/>
    </row>
    <row r="17" spans="2:138" outlineLevel="1" x14ac:dyDescent="0.2">
      <c r="B17" t="s">
        <v>20</v>
      </c>
      <c r="C17" t="s">
        <v>98</v>
      </c>
      <c r="E17" s="7"/>
      <c r="F17" t="s">
        <v>116</v>
      </c>
      <c r="G17" s="8">
        <v>0.1</v>
      </c>
      <c r="I17" s="7">
        <f>+SUMIF($O$3:$ZZ$3,I$3,$O17:$ZZ17)</f>
        <v>0</v>
      </c>
      <c r="J17" s="9" cm="1">
        <f t="array" ref="J17">MAX(IF($O$3:$EH$3=$J$3,O17:EH17))</f>
        <v>0</v>
      </c>
      <c r="K17" s="9" cm="1">
        <f t="array" ref="K17">MAX(IF($O$3:$EH$3=$J$3,O17:EH17))</f>
        <v>0</v>
      </c>
      <c r="L17" s="9"/>
      <c r="M17" s="20" t="s">
        <v>122</v>
      </c>
      <c r="N17" s="21" t="s">
        <v>93</v>
      </c>
      <c r="P17" s="8"/>
      <c r="Q17" s="8"/>
      <c r="R17" s="8"/>
      <c r="S17" s="8"/>
      <c r="W17" s="8"/>
      <c r="X17" s="8">
        <v>0.2</v>
      </c>
      <c r="Y17" s="8"/>
      <c r="Z17" s="8">
        <v>0.2</v>
      </c>
      <c r="AD17" s="8"/>
      <c r="AE17" s="8">
        <v>0.5</v>
      </c>
      <c r="AF17" s="8"/>
      <c r="AG17" s="8">
        <v>0.5</v>
      </c>
      <c r="AK17" s="8"/>
      <c r="AL17" s="8">
        <v>0.5</v>
      </c>
      <c r="AM17" s="8"/>
      <c r="AN17" s="8">
        <v>0.5</v>
      </c>
      <c r="AR17" s="8"/>
      <c r="AS17" s="8">
        <v>0.5</v>
      </c>
      <c r="AT17" s="8"/>
      <c r="AU17" s="8">
        <v>0.5</v>
      </c>
      <c r="AY17" s="8"/>
      <c r="AZ17" s="8">
        <v>0.8</v>
      </c>
      <c r="BA17" s="8"/>
      <c r="BB17" s="8">
        <v>0.8</v>
      </c>
      <c r="BF17" s="8"/>
      <c r="BG17" s="8">
        <v>0.8</v>
      </c>
      <c r="BH17" s="8"/>
      <c r="BI17" s="8">
        <v>0.8</v>
      </c>
      <c r="BM17" s="8"/>
      <c r="BN17" s="8">
        <v>0.8</v>
      </c>
      <c r="BO17" s="8"/>
      <c r="BP17" s="8">
        <v>0.8</v>
      </c>
      <c r="BT17" s="8"/>
      <c r="BU17" s="8">
        <v>1</v>
      </c>
      <c r="BV17" s="8"/>
      <c r="BW17" s="8">
        <v>1</v>
      </c>
      <c r="CA17" s="8"/>
      <c r="CB17" s="8">
        <v>1</v>
      </c>
      <c r="CC17" s="8"/>
      <c r="CD17" s="8">
        <v>1</v>
      </c>
      <c r="CH17" s="8"/>
      <c r="CI17" s="8">
        <v>1</v>
      </c>
      <c r="CJ17" s="8"/>
      <c r="CK17" s="8">
        <v>1</v>
      </c>
      <c r="CO17" s="8"/>
      <c r="CP17" s="8">
        <v>1</v>
      </c>
      <c r="CQ17" s="8"/>
      <c r="CR17" s="8">
        <v>1</v>
      </c>
      <c r="CV17" s="8"/>
      <c r="CW17" s="8">
        <v>1</v>
      </c>
      <c r="CX17" s="8"/>
      <c r="CY17" s="8">
        <v>1</v>
      </c>
      <c r="DC17" s="8"/>
      <c r="DD17" s="8">
        <v>1</v>
      </c>
      <c r="DE17" s="8"/>
      <c r="DF17" s="8">
        <v>1</v>
      </c>
      <c r="DJ17" s="8"/>
      <c r="DK17" s="8">
        <v>1</v>
      </c>
      <c r="DL17" s="8"/>
      <c r="DM17" s="8">
        <v>1</v>
      </c>
      <c r="DQ17" s="8"/>
      <c r="DR17" s="8"/>
      <c r="DS17" s="8"/>
      <c r="DT17" s="8"/>
      <c r="DX17" s="8"/>
      <c r="DY17" s="8"/>
      <c r="DZ17" s="8"/>
      <c r="EA17" s="8"/>
      <c r="EE17" s="8"/>
      <c r="EF17" s="8"/>
      <c r="EG17" s="8"/>
      <c r="EH17" s="8"/>
    </row>
    <row r="18" spans="2:138" outlineLevel="1" x14ac:dyDescent="0.2">
      <c r="B18" t="s">
        <v>20</v>
      </c>
      <c r="C18" t="s">
        <v>98</v>
      </c>
      <c r="E18" s="7"/>
      <c r="F18" t="s">
        <v>117</v>
      </c>
      <c r="G18" s="8">
        <v>0.15</v>
      </c>
      <c r="I18" s="7">
        <f>+SUMIF($O$3:$ZZ$3,I$3,$O18:$ZZ18)</f>
        <v>0</v>
      </c>
      <c r="J18" s="9" cm="1">
        <f t="array" ref="J18">MAX(IF($O$3:$EH$3=$J$3,O18:EH18))</f>
        <v>0</v>
      </c>
      <c r="K18" s="9" cm="1">
        <f t="array" ref="K18">MAX(IF($O$3:$EH$3=$J$3,O18:EH18))</f>
        <v>0</v>
      </c>
      <c r="L18" s="9"/>
      <c r="M18" s="20" t="s">
        <v>123</v>
      </c>
      <c r="N18" s="21" t="s">
        <v>93</v>
      </c>
      <c r="P18" s="8"/>
      <c r="Q18" s="8"/>
      <c r="R18" s="8"/>
      <c r="S18" s="8"/>
      <c r="W18" s="8"/>
      <c r="X18" s="8"/>
      <c r="Y18" s="8"/>
      <c r="Z18" s="8"/>
      <c r="AD18" s="8"/>
      <c r="AE18" s="8"/>
      <c r="AF18" s="8"/>
      <c r="AG18" s="8"/>
      <c r="AK18" s="8"/>
      <c r="AL18" s="8"/>
      <c r="AM18" s="8"/>
      <c r="AN18" s="8"/>
      <c r="AR18" s="8"/>
      <c r="AS18" s="8"/>
      <c r="AT18" s="8"/>
      <c r="AU18" s="8"/>
      <c r="AY18" s="8"/>
      <c r="AZ18" s="8">
        <v>0.5</v>
      </c>
      <c r="BA18" s="8"/>
      <c r="BB18" s="8">
        <v>0.5</v>
      </c>
      <c r="BF18" s="8"/>
      <c r="BG18" s="8">
        <v>0.5</v>
      </c>
      <c r="BH18" s="8"/>
      <c r="BI18" s="8">
        <v>0.5</v>
      </c>
      <c r="BM18" s="8"/>
      <c r="BN18" s="8">
        <v>0.5</v>
      </c>
      <c r="BO18" s="8"/>
      <c r="BP18" s="8">
        <v>0.5</v>
      </c>
      <c r="BT18" s="8"/>
      <c r="BU18" s="8">
        <v>0.8</v>
      </c>
      <c r="BV18" s="8"/>
      <c r="BW18" s="8">
        <v>0.8</v>
      </c>
      <c r="CA18" s="8"/>
      <c r="CB18" s="8">
        <v>0.8</v>
      </c>
      <c r="CC18" s="8"/>
      <c r="CD18" s="8">
        <v>0.8</v>
      </c>
      <c r="CH18" s="8"/>
      <c r="CI18" s="8">
        <v>0.8</v>
      </c>
      <c r="CJ18" s="8"/>
      <c r="CK18" s="8">
        <v>0.8</v>
      </c>
      <c r="CO18" s="8"/>
      <c r="CP18" s="8">
        <v>1</v>
      </c>
      <c r="CQ18" s="8"/>
      <c r="CR18" s="8">
        <v>1</v>
      </c>
      <c r="CV18" s="8"/>
      <c r="CW18" s="8">
        <v>1</v>
      </c>
      <c r="CX18" s="8"/>
      <c r="CY18" s="8">
        <v>1</v>
      </c>
      <c r="DC18" s="8"/>
      <c r="DD18" s="8">
        <v>1</v>
      </c>
      <c r="DE18" s="8"/>
      <c r="DF18" s="8">
        <v>1</v>
      </c>
      <c r="DJ18" s="8"/>
      <c r="DK18" s="8">
        <v>1</v>
      </c>
      <c r="DL18" s="8"/>
      <c r="DM18" s="8">
        <v>1</v>
      </c>
      <c r="DQ18" s="8"/>
      <c r="DR18" s="8"/>
      <c r="DS18" s="8"/>
      <c r="DT18" s="8"/>
      <c r="DX18" s="8"/>
      <c r="DY18" s="8"/>
      <c r="DZ18" s="8"/>
      <c r="EA18" s="8"/>
      <c r="EE18" s="8"/>
      <c r="EF18" s="8"/>
      <c r="EG18" s="8"/>
      <c r="EH18" s="8"/>
    </row>
    <row r="19" spans="2:138" outlineLevel="1" x14ac:dyDescent="0.2">
      <c r="B19" t="s">
        <v>20</v>
      </c>
      <c r="C19" t="s">
        <v>98</v>
      </c>
      <c r="E19" s="7"/>
      <c r="F19" t="s">
        <v>118</v>
      </c>
      <c r="G19" s="8">
        <v>0.15</v>
      </c>
      <c r="I19" s="7">
        <f>+SUMIF($O$3:$ZZ$3,I$3,$O19:$ZZ19)</f>
        <v>0</v>
      </c>
      <c r="J19" s="9" cm="1">
        <f t="array" ref="J19">MAX(IF($O$3:$EH$3=$J$3,O19:EH19))</f>
        <v>0</v>
      </c>
      <c r="K19" s="9" cm="1">
        <f t="array" ref="K19">MAX(IF($O$3:$EH$3=$J$3,O19:EH19))</f>
        <v>0</v>
      </c>
      <c r="L19" s="9"/>
      <c r="M19" s="20" t="s">
        <v>124</v>
      </c>
      <c r="N19" s="21" t="s">
        <v>93</v>
      </c>
      <c r="P19" s="8"/>
      <c r="Q19" s="8"/>
      <c r="R19" s="8"/>
      <c r="S19" s="8"/>
      <c r="W19" s="8"/>
      <c r="X19" s="8"/>
      <c r="Y19" s="8"/>
      <c r="Z19" s="8"/>
      <c r="AD19" s="8"/>
      <c r="AE19" s="8"/>
      <c r="AF19" s="8"/>
      <c r="AG19" s="8"/>
      <c r="AK19" s="8"/>
      <c r="AL19" s="8"/>
      <c r="AM19" s="8"/>
      <c r="AN19" s="8"/>
      <c r="AR19" s="8"/>
      <c r="AS19" s="8"/>
      <c r="AT19" s="8"/>
      <c r="AU19" s="8"/>
      <c r="AY19" s="8"/>
      <c r="AZ19" s="8"/>
      <c r="BA19" s="8"/>
      <c r="BB19" s="8"/>
      <c r="BF19" s="8"/>
      <c r="BG19" s="8"/>
      <c r="BH19" s="8"/>
      <c r="BI19" s="8"/>
      <c r="BM19" s="8"/>
      <c r="BN19" s="8"/>
      <c r="BO19" s="8"/>
      <c r="BP19" s="8"/>
      <c r="BT19" s="8"/>
      <c r="BU19" s="8">
        <v>0.5</v>
      </c>
      <c r="BV19" s="8"/>
      <c r="BW19" s="8">
        <v>0.5</v>
      </c>
      <c r="CA19" s="8"/>
      <c r="CB19" s="8">
        <v>0.5</v>
      </c>
      <c r="CC19" s="8"/>
      <c r="CD19" s="8">
        <v>0.5</v>
      </c>
      <c r="CH19" s="8"/>
      <c r="CI19" s="8">
        <v>0.5</v>
      </c>
      <c r="CJ19" s="8"/>
      <c r="CK19" s="8">
        <v>0.5</v>
      </c>
      <c r="CO19" s="8"/>
      <c r="CP19" s="8">
        <v>0.8</v>
      </c>
      <c r="CQ19" s="8"/>
      <c r="CR19" s="8">
        <v>0.8</v>
      </c>
      <c r="CV19" s="8"/>
      <c r="CW19" s="8">
        <v>1</v>
      </c>
      <c r="CX19" s="8"/>
      <c r="CY19" s="8">
        <v>1</v>
      </c>
      <c r="DC19" s="8"/>
      <c r="DD19" s="8">
        <v>1</v>
      </c>
      <c r="DE19" s="8"/>
      <c r="DF19" s="8">
        <v>1</v>
      </c>
      <c r="DJ19" s="8"/>
      <c r="DK19" s="8">
        <v>1</v>
      </c>
      <c r="DL19" s="8"/>
      <c r="DM19" s="8">
        <v>1</v>
      </c>
      <c r="DQ19" s="8"/>
      <c r="DR19" s="8"/>
      <c r="DS19" s="8"/>
      <c r="DT19" s="8"/>
      <c r="DX19" s="8"/>
      <c r="DY19" s="8"/>
      <c r="DZ19" s="8"/>
      <c r="EA19" s="8"/>
      <c r="EE19" s="8"/>
      <c r="EF19" s="8"/>
      <c r="EG19" s="8"/>
      <c r="EH19" s="8"/>
    </row>
    <row r="20" spans="2:138" outlineLevel="1" x14ac:dyDescent="0.2">
      <c r="B20" t="s">
        <v>20</v>
      </c>
      <c r="C20" t="s">
        <v>98</v>
      </c>
      <c r="E20" s="7"/>
      <c r="F20" t="s">
        <v>119</v>
      </c>
      <c r="G20" s="8">
        <v>0.2</v>
      </c>
      <c r="I20" s="7">
        <f>+SUMIF($O$3:$ZZ$3,I$3,$O20:$ZZ20)</f>
        <v>0</v>
      </c>
      <c r="J20" s="9" cm="1">
        <f t="array" ref="J20">MAX(IF($O$3:$EH$3=$J$3,O20:EH20))</f>
        <v>0</v>
      </c>
      <c r="K20" s="9" cm="1">
        <f t="array" ref="K20">MAX(IF($O$3:$EH$3=$J$3,O20:EH20))</f>
        <v>0</v>
      </c>
      <c r="L20" s="9"/>
      <c r="M20" s="20" t="s">
        <v>125</v>
      </c>
      <c r="N20" s="21" t="s">
        <v>93</v>
      </c>
      <c r="P20" s="8"/>
      <c r="Q20" s="8"/>
      <c r="R20" s="8"/>
      <c r="S20" s="8"/>
      <c r="W20" s="8"/>
      <c r="X20" s="8"/>
      <c r="Y20" s="8"/>
      <c r="Z20" s="8"/>
      <c r="AD20" s="8"/>
      <c r="AE20" s="8"/>
      <c r="AF20" s="8"/>
      <c r="AG20" s="8"/>
      <c r="AK20" s="8"/>
      <c r="AL20" s="8"/>
      <c r="AM20" s="8"/>
      <c r="AN20" s="8"/>
      <c r="AR20" s="8"/>
      <c r="AS20" s="8"/>
      <c r="AT20" s="8"/>
      <c r="AU20" s="8"/>
      <c r="AY20" s="8"/>
      <c r="AZ20" s="8"/>
      <c r="BA20" s="8"/>
      <c r="BB20" s="8"/>
      <c r="BF20" s="8"/>
      <c r="BG20" s="8"/>
      <c r="BH20" s="8"/>
      <c r="BI20" s="8"/>
      <c r="BM20" s="8"/>
      <c r="BN20" s="8"/>
      <c r="BO20" s="8"/>
      <c r="BP20" s="8"/>
      <c r="BT20" s="8"/>
      <c r="BU20" s="8"/>
      <c r="BV20" s="8"/>
      <c r="BW20" s="8"/>
      <c r="CA20" s="8"/>
      <c r="CB20" s="8"/>
      <c r="CC20" s="8"/>
      <c r="CD20" s="8"/>
      <c r="CH20" s="8"/>
      <c r="CI20" s="8"/>
      <c r="CJ20" s="8"/>
      <c r="CK20" s="8"/>
      <c r="CO20" s="8"/>
      <c r="CP20" s="8">
        <v>0.5</v>
      </c>
      <c r="CQ20" s="8"/>
      <c r="CR20" s="8">
        <v>0.5</v>
      </c>
      <c r="CV20" s="8"/>
      <c r="CW20" s="8">
        <v>0.8</v>
      </c>
      <c r="CX20" s="8"/>
      <c r="CY20" s="8">
        <v>0.8</v>
      </c>
      <c r="DC20" s="8"/>
      <c r="DD20" s="8">
        <v>1</v>
      </c>
      <c r="DE20" s="8"/>
      <c r="DF20" s="8">
        <v>1</v>
      </c>
      <c r="DJ20" s="8"/>
      <c r="DK20" s="8">
        <v>1</v>
      </c>
      <c r="DL20" s="8"/>
      <c r="DM20" s="8">
        <v>1</v>
      </c>
      <c r="DQ20" s="8"/>
      <c r="DR20" s="8"/>
      <c r="DS20" s="8"/>
      <c r="DT20" s="8"/>
      <c r="DX20" s="8"/>
      <c r="DY20" s="8"/>
      <c r="DZ20" s="8"/>
      <c r="EA20" s="8"/>
      <c r="EE20" s="8"/>
      <c r="EF20" s="8"/>
      <c r="EG20" s="8"/>
      <c r="EH20" s="8"/>
    </row>
    <row r="21" spans="2:138" outlineLevel="1" x14ac:dyDescent="0.2">
      <c r="B21" t="s">
        <v>20</v>
      </c>
      <c r="C21" t="s">
        <v>98</v>
      </c>
      <c r="E21" s="7"/>
      <c r="F21" t="s">
        <v>120</v>
      </c>
      <c r="G21" s="8">
        <v>0.2</v>
      </c>
      <c r="I21" s="7">
        <f>+SUMIF($O$3:$ZZ$3,I$3,$O21:$ZZ21)</f>
        <v>0</v>
      </c>
      <c r="J21" s="9" cm="1">
        <f t="array" ref="J21">MAX(IF($O$3:$EH$3=$J$3,O21:EH21))</f>
        <v>0</v>
      </c>
      <c r="K21" s="9" cm="1">
        <f t="array" ref="K21">MAX(IF($O$3:$EH$3=$J$3,O21:EH21))</f>
        <v>0</v>
      </c>
      <c r="L21" s="9"/>
      <c r="M21" s="19" t="s">
        <v>126</v>
      </c>
      <c r="P21" s="8"/>
      <c r="Q21" s="8"/>
      <c r="R21" s="8"/>
      <c r="S21" s="8"/>
      <c r="W21" s="8"/>
      <c r="X21" s="8"/>
      <c r="Y21" s="8"/>
      <c r="Z21" s="8"/>
      <c r="AD21" s="8"/>
      <c r="AE21" s="8"/>
      <c r="AF21" s="8"/>
      <c r="AG21" s="8"/>
      <c r="AK21" s="8"/>
      <c r="AL21" s="8"/>
      <c r="AM21" s="8"/>
      <c r="AN21" s="8"/>
      <c r="AR21" s="8"/>
      <c r="AS21" s="8"/>
      <c r="AT21" s="8"/>
      <c r="AU21" s="8"/>
      <c r="AY21" s="8"/>
      <c r="AZ21" s="8"/>
      <c r="BA21" s="8"/>
      <c r="BB21" s="8"/>
      <c r="BF21" s="8"/>
      <c r="BG21" s="8"/>
      <c r="BH21" s="8"/>
      <c r="BI21" s="8"/>
      <c r="BM21" s="8"/>
      <c r="BN21" s="8"/>
      <c r="BO21" s="8"/>
      <c r="BP21" s="8"/>
      <c r="BT21" s="8"/>
      <c r="BU21" s="8"/>
      <c r="BV21" s="8"/>
      <c r="BW21" s="8"/>
      <c r="CA21" s="8"/>
      <c r="CB21" s="8"/>
      <c r="CC21" s="8"/>
      <c r="CD21" s="8"/>
      <c r="CH21" s="8"/>
      <c r="CI21" s="8"/>
      <c r="CJ21" s="8"/>
      <c r="CK21" s="8"/>
      <c r="CO21" s="8"/>
      <c r="CP21" s="8"/>
      <c r="CQ21" s="8"/>
      <c r="CR21" s="8"/>
      <c r="CV21" s="8"/>
      <c r="CW21" s="8">
        <v>0.5</v>
      </c>
      <c r="CX21" s="8"/>
      <c r="CY21" s="8">
        <v>0.5</v>
      </c>
      <c r="DC21" s="8"/>
      <c r="DD21" s="8">
        <v>0.8</v>
      </c>
      <c r="DE21" s="8"/>
      <c r="DF21" s="8">
        <v>0.8</v>
      </c>
      <c r="DJ21" s="8"/>
      <c r="DK21" s="8">
        <v>1</v>
      </c>
      <c r="DL21" s="8"/>
      <c r="DM21" s="8">
        <v>1</v>
      </c>
      <c r="DQ21" s="8"/>
      <c r="DR21" s="8"/>
      <c r="DS21" s="8"/>
      <c r="DT21" s="8"/>
      <c r="DX21" s="8"/>
      <c r="DY21" s="8"/>
      <c r="DZ21" s="8"/>
      <c r="EA21" s="8"/>
      <c r="EE21" s="8"/>
      <c r="EF21" s="8"/>
      <c r="EG21" s="8"/>
      <c r="EH21" s="8"/>
    </row>
    <row r="22" spans="2:138" outlineLevel="1" x14ac:dyDescent="0.2">
      <c r="B22" t="s">
        <v>20</v>
      </c>
      <c r="C22" t="s">
        <v>98</v>
      </c>
      <c r="E22" s="7"/>
      <c r="F22" t="s">
        <v>121</v>
      </c>
      <c r="G22" s="8">
        <v>0.15</v>
      </c>
      <c r="I22" s="7">
        <f>+SUMIF($O$3:$ZZ$3,I$3,$O22:$ZZ22)</f>
        <v>0</v>
      </c>
      <c r="J22" s="9" cm="1">
        <f t="array" ref="J22">MAX(IF($O$3:$EH$3=$J$3,O22:EH22))</f>
        <v>0</v>
      </c>
      <c r="K22" s="9" cm="1">
        <f t="array" ref="K22">MAX(IF($O$3:$EH$3=$J$3,O22:EH22))</f>
        <v>0</v>
      </c>
      <c r="L22" s="9"/>
      <c r="M22" s="19" t="s">
        <v>127</v>
      </c>
      <c r="P22" s="8"/>
      <c r="Q22" s="8"/>
      <c r="R22" s="8"/>
      <c r="S22" s="8"/>
      <c r="W22" s="8"/>
      <c r="X22" s="8"/>
      <c r="Y22" s="8"/>
      <c r="Z22" s="8"/>
      <c r="AD22" s="8"/>
      <c r="AE22" s="8"/>
      <c r="AF22" s="8"/>
      <c r="AG22" s="8"/>
      <c r="AK22" s="8"/>
      <c r="AL22" s="8"/>
      <c r="AM22" s="8"/>
      <c r="AN22" s="8"/>
      <c r="AR22" s="8"/>
      <c r="AS22" s="8"/>
      <c r="AT22" s="8"/>
      <c r="AU22" s="8"/>
      <c r="AY22" s="8"/>
      <c r="AZ22" s="8"/>
      <c r="BA22" s="8"/>
      <c r="BB22" s="8"/>
      <c r="BF22" s="8"/>
      <c r="BG22" s="8"/>
      <c r="BH22" s="8"/>
      <c r="BI22" s="8"/>
      <c r="BM22" s="8"/>
      <c r="BN22" s="8"/>
      <c r="BO22" s="8"/>
      <c r="BP22" s="8"/>
      <c r="BT22" s="8"/>
      <c r="BU22" s="8"/>
      <c r="BV22" s="8"/>
      <c r="BW22" s="8"/>
      <c r="CA22" s="8"/>
      <c r="CB22" s="8"/>
      <c r="CC22" s="8"/>
      <c r="CD22" s="8"/>
      <c r="CH22" s="8"/>
      <c r="CI22" s="8"/>
      <c r="CJ22" s="8"/>
      <c r="CK22" s="8"/>
      <c r="CO22" s="8"/>
      <c r="CP22" s="8"/>
      <c r="CQ22" s="8"/>
      <c r="CR22" s="8"/>
      <c r="CV22" s="8"/>
      <c r="CW22" s="8">
        <v>0.5</v>
      </c>
      <c r="CX22" s="8"/>
      <c r="CY22" s="8">
        <v>0.5</v>
      </c>
      <c r="DC22" s="8"/>
      <c r="DD22" s="8">
        <v>0.8</v>
      </c>
      <c r="DE22" s="8"/>
      <c r="DF22" s="8">
        <v>0.8</v>
      </c>
      <c r="DJ22" s="8"/>
      <c r="DK22" s="8">
        <v>1</v>
      </c>
      <c r="DL22" s="8"/>
      <c r="DM22" s="8">
        <v>1</v>
      </c>
      <c r="DQ22" s="8"/>
      <c r="DR22" s="8"/>
      <c r="DS22" s="8"/>
      <c r="DT22" s="8"/>
      <c r="DX22" s="8"/>
      <c r="DY22" s="8"/>
      <c r="DZ22" s="8"/>
      <c r="EA22" s="8"/>
      <c r="EE22" s="8"/>
      <c r="EF22" s="8"/>
      <c r="EG22" s="8"/>
      <c r="EH22" s="8"/>
    </row>
    <row r="24" spans="2:138" x14ac:dyDescent="0.2">
      <c r="B24" s="22"/>
      <c r="D24" s="17"/>
      <c r="E24" s="7"/>
      <c r="G24" s="8"/>
      <c r="I24" s="10"/>
      <c r="J24" s="9"/>
      <c r="K24" s="9"/>
      <c r="L24" s="9"/>
      <c r="M24" s="7"/>
      <c r="O24" s="10"/>
      <c r="V24" s="10"/>
      <c r="AC24" s="10"/>
      <c r="AJ24" s="10"/>
      <c r="AQ24" s="10"/>
    </row>
    <row r="25" spans="2:138" ht="16" hidden="1" customHeight="1" outlineLevel="1" x14ac:dyDescent="0.2">
      <c r="E25" s="7"/>
      <c r="G25" s="8"/>
      <c r="I25" s="7"/>
      <c r="J25" s="9"/>
      <c r="K25" s="9"/>
      <c r="L25" s="9"/>
      <c r="M25" s="7"/>
      <c r="P25" s="8"/>
      <c r="Q25" s="8"/>
      <c r="R25" s="8"/>
      <c r="S25" s="8"/>
      <c r="W25" s="8"/>
      <c r="X25" s="8"/>
      <c r="Y25" s="8"/>
      <c r="Z25" s="8"/>
      <c r="AD25" s="8"/>
      <c r="AE25" s="8"/>
      <c r="AF25" s="8"/>
      <c r="AG25" s="8"/>
      <c r="AK25" s="8"/>
      <c r="AL25" s="8"/>
      <c r="AM25" s="8"/>
      <c r="AN25" s="8"/>
      <c r="AR25" s="8"/>
      <c r="AS25" s="8"/>
      <c r="AT25" s="8"/>
      <c r="AU25" s="8"/>
      <c r="AY25" s="8"/>
      <c r="AZ25" s="8"/>
      <c r="BA25" s="8"/>
      <c r="BB25" s="8"/>
      <c r="BF25" s="8"/>
      <c r="BG25" s="8"/>
      <c r="BH25" s="8"/>
      <c r="BI25" s="8"/>
      <c r="BM25" s="8"/>
      <c r="BN25" s="8"/>
      <c r="BO25" s="8"/>
      <c r="BP25" s="8"/>
      <c r="BT25" s="8"/>
      <c r="BU25" s="8"/>
      <c r="BV25" s="8"/>
      <c r="BW25" s="8"/>
      <c r="CA25" s="8"/>
      <c r="CB25" s="8"/>
      <c r="CC25" s="8"/>
      <c r="CD25" s="8"/>
      <c r="CH25" s="8"/>
      <c r="CI25" s="8"/>
      <c r="CJ25" s="8"/>
      <c r="CK25" s="8"/>
      <c r="CO25" s="8"/>
      <c r="CP25" s="8"/>
      <c r="CQ25" s="8"/>
      <c r="CR25" s="8"/>
      <c r="CV25" s="8"/>
      <c r="CW25" s="8"/>
      <c r="CX25" s="8"/>
      <c r="CY25" s="8"/>
      <c r="DC25" s="8"/>
      <c r="DD25" s="8"/>
      <c r="DE25" s="8"/>
      <c r="DF25" s="8"/>
      <c r="DJ25" s="8"/>
      <c r="DK25" s="8"/>
      <c r="DL25" s="8"/>
      <c r="DM25" s="8"/>
      <c r="DQ25" s="8"/>
      <c r="DR25" s="8"/>
      <c r="DS25" s="8"/>
      <c r="DT25" s="8"/>
      <c r="DX25" s="8"/>
      <c r="DY25" s="8"/>
      <c r="DZ25" s="8"/>
      <c r="EA25" s="8"/>
      <c r="EE25" s="8"/>
      <c r="EF25" s="8"/>
      <c r="EG25" s="8"/>
      <c r="EH25" s="8"/>
    </row>
    <row r="26" spans="2:138" ht="16" hidden="1" customHeight="1" outlineLevel="1" x14ac:dyDescent="0.2">
      <c r="E26" s="7"/>
      <c r="G26" s="8"/>
      <c r="I26" s="7"/>
      <c r="J26" s="9"/>
      <c r="K26" s="9"/>
      <c r="L26" s="9"/>
      <c r="M26" s="7"/>
      <c r="P26" s="8"/>
      <c r="Q26" s="8"/>
      <c r="R26" s="8"/>
      <c r="S26" s="8"/>
      <c r="W26" s="8"/>
      <c r="X26" s="8"/>
      <c r="Y26" s="8"/>
      <c r="Z26" s="8"/>
      <c r="AD26" s="8"/>
      <c r="AE26" s="8"/>
      <c r="AF26" s="8"/>
      <c r="AG26" s="8"/>
      <c r="AK26" s="8"/>
      <c r="AL26" s="8"/>
      <c r="AM26" s="8"/>
      <c r="AN26" s="8"/>
      <c r="AR26" s="8"/>
      <c r="AS26" s="8"/>
      <c r="AT26" s="8"/>
      <c r="AU26" s="8"/>
      <c r="AY26" s="8"/>
      <c r="AZ26" s="8"/>
      <c r="BA26" s="8"/>
      <c r="BB26" s="8"/>
      <c r="BF26" s="8"/>
      <c r="BG26" s="8"/>
      <c r="BH26" s="8"/>
      <c r="BI26" s="8"/>
      <c r="BM26" s="8"/>
      <c r="BN26" s="8"/>
      <c r="BO26" s="8"/>
      <c r="BP26" s="8"/>
      <c r="BT26" s="8"/>
      <c r="BU26" s="8"/>
      <c r="BV26" s="8"/>
      <c r="BW26" s="8"/>
      <c r="CA26" s="8"/>
      <c r="CB26" s="8"/>
      <c r="CC26" s="8"/>
      <c r="CD26" s="8"/>
      <c r="CH26" s="8"/>
      <c r="CI26" s="8"/>
      <c r="CJ26" s="8"/>
      <c r="CK26" s="8"/>
      <c r="CO26" s="8"/>
      <c r="CP26" s="8"/>
      <c r="CQ26" s="8"/>
      <c r="CR26" s="8"/>
      <c r="CV26" s="8"/>
      <c r="CW26" s="8"/>
      <c r="CX26" s="8"/>
      <c r="CY26" s="8"/>
      <c r="DC26" s="8"/>
      <c r="DD26" s="8"/>
      <c r="DE26" s="8"/>
      <c r="DF26" s="8"/>
      <c r="DJ26" s="8"/>
      <c r="DK26" s="8"/>
      <c r="DL26" s="8"/>
      <c r="DM26" s="8"/>
      <c r="DQ26" s="8"/>
      <c r="DR26" s="8"/>
      <c r="DS26" s="8"/>
      <c r="DT26" s="8"/>
      <c r="DX26" s="8"/>
      <c r="DY26" s="8"/>
      <c r="DZ26" s="8"/>
      <c r="EA26" s="8"/>
      <c r="EE26" s="8"/>
      <c r="EF26" s="8"/>
      <c r="EG26" s="8"/>
      <c r="EH26" s="8"/>
    </row>
    <row r="27" spans="2:138" ht="16" hidden="1" customHeight="1" outlineLevel="1" x14ac:dyDescent="0.2">
      <c r="E27" s="7"/>
      <c r="G27" s="8"/>
      <c r="I27" s="7"/>
      <c r="J27" s="9"/>
      <c r="K27" s="9"/>
      <c r="L27" s="9"/>
      <c r="M27" s="7"/>
      <c r="P27" s="8"/>
      <c r="Q27" s="8"/>
      <c r="R27" s="8"/>
      <c r="S27" s="8"/>
      <c r="W27" s="8"/>
      <c r="X27" s="8"/>
      <c r="Y27" s="8"/>
      <c r="Z27" s="8"/>
      <c r="AD27" s="8"/>
      <c r="AE27" s="8"/>
      <c r="AF27" s="8"/>
      <c r="AG27" s="8"/>
      <c r="AK27" s="8"/>
      <c r="AL27" s="8"/>
      <c r="AM27" s="8"/>
      <c r="AN27" s="8"/>
      <c r="AR27" s="8"/>
      <c r="AS27" s="8"/>
      <c r="AT27" s="8"/>
      <c r="AU27" s="8"/>
      <c r="AY27" s="8"/>
      <c r="AZ27" s="8"/>
      <c r="BA27" s="8"/>
      <c r="BB27" s="8"/>
      <c r="BF27" s="8"/>
      <c r="BG27" s="8"/>
      <c r="BH27" s="8"/>
      <c r="BI27" s="8"/>
      <c r="BM27" s="8"/>
      <c r="BN27" s="8"/>
      <c r="BO27" s="8"/>
      <c r="BP27" s="8"/>
      <c r="BT27" s="8"/>
      <c r="BU27" s="8"/>
      <c r="BV27" s="8"/>
      <c r="BW27" s="8"/>
      <c r="CA27" s="8"/>
      <c r="CB27" s="8"/>
      <c r="CC27" s="8"/>
      <c r="CD27" s="8"/>
      <c r="CH27" s="8"/>
      <c r="CI27" s="8"/>
      <c r="CJ27" s="8"/>
      <c r="CK27" s="8"/>
      <c r="CO27" s="8"/>
      <c r="CP27" s="8"/>
      <c r="CQ27" s="8"/>
      <c r="CR27" s="8"/>
      <c r="CV27" s="8"/>
      <c r="CW27" s="8"/>
      <c r="CX27" s="8"/>
      <c r="CY27" s="8"/>
      <c r="DC27" s="8"/>
      <c r="DD27" s="8"/>
      <c r="DE27" s="8"/>
      <c r="DF27" s="8"/>
      <c r="DJ27" s="8"/>
      <c r="DK27" s="8"/>
      <c r="DL27" s="8"/>
      <c r="DM27" s="8"/>
      <c r="DQ27" s="8"/>
      <c r="DR27" s="8"/>
      <c r="DS27" s="8"/>
      <c r="DT27" s="8"/>
      <c r="DX27" s="8"/>
      <c r="DY27" s="8"/>
      <c r="DZ27" s="8"/>
      <c r="EA27" s="8"/>
      <c r="EE27" s="8"/>
      <c r="EF27" s="8"/>
      <c r="EG27" s="8"/>
      <c r="EH27" s="8"/>
    </row>
    <row r="28" spans="2:138" ht="16" hidden="1" customHeight="1" outlineLevel="1" x14ac:dyDescent="0.2">
      <c r="E28" s="7"/>
      <c r="G28" s="8"/>
      <c r="I28" s="7"/>
      <c r="J28" s="9"/>
      <c r="K28" s="9"/>
      <c r="L28" s="9"/>
      <c r="M28" s="7"/>
      <c r="P28" s="8"/>
      <c r="Q28" s="8"/>
      <c r="R28" s="8"/>
      <c r="S28" s="8"/>
      <c r="W28" s="8"/>
      <c r="X28" s="8"/>
      <c r="Y28" s="8"/>
      <c r="Z28" s="8"/>
      <c r="AD28" s="8"/>
      <c r="AE28" s="8"/>
      <c r="AF28" s="8"/>
      <c r="AG28" s="8"/>
      <c r="AK28" s="8"/>
      <c r="AL28" s="8"/>
      <c r="AM28" s="8"/>
      <c r="AN28" s="8"/>
      <c r="AR28" s="8"/>
      <c r="AS28" s="8"/>
      <c r="AT28" s="8"/>
      <c r="AU28" s="8"/>
      <c r="AY28" s="8"/>
      <c r="AZ28" s="8"/>
      <c r="BA28" s="8"/>
      <c r="BB28" s="8"/>
      <c r="BF28" s="8"/>
      <c r="BG28" s="8"/>
      <c r="BH28" s="8"/>
      <c r="BI28" s="8"/>
      <c r="BM28" s="8"/>
      <c r="BN28" s="8"/>
      <c r="BO28" s="8"/>
      <c r="BP28" s="8"/>
      <c r="BT28" s="8"/>
      <c r="BU28" s="8"/>
      <c r="BV28" s="8"/>
      <c r="BW28" s="8"/>
      <c r="CA28" s="8"/>
      <c r="CB28" s="8"/>
      <c r="CC28" s="8"/>
      <c r="CD28" s="8"/>
      <c r="CH28" s="8"/>
      <c r="CI28" s="8"/>
      <c r="CJ28" s="8"/>
      <c r="CK28" s="8"/>
      <c r="CO28" s="8"/>
      <c r="CP28" s="8"/>
      <c r="CQ28" s="8"/>
      <c r="CR28" s="8"/>
      <c r="CV28" s="8"/>
      <c r="CW28" s="8"/>
      <c r="CX28" s="8"/>
      <c r="CY28" s="8"/>
      <c r="DC28" s="8"/>
      <c r="DD28" s="8"/>
      <c r="DE28" s="8"/>
      <c r="DF28" s="8"/>
      <c r="DJ28" s="8"/>
      <c r="DK28" s="8"/>
      <c r="DL28" s="8"/>
      <c r="DM28" s="8"/>
      <c r="DQ28" s="8"/>
      <c r="DR28" s="8"/>
      <c r="DS28" s="8"/>
      <c r="DT28" s="8"/>
      <c r="DX28" s="8"/>
      <c r="DY28" s="8"/>
      <c r="DZ28" s="8"/>
      <c r="EA28" s="8"/>
      <c r="EE28" s="8"/>
      <c r="EF28" s="8"/>
      <c r="EG28" s="8"/>
      <c r="EH28" s="8"/>
    </row>
    <row r="29" spans="2:138" ht="16" hidden="1" customHeight="1" outlineLevel="1" x14ac:dyDescent="0.2">
      <c r="E29" s="7"/>
      <c r="G29" s="8"/>
      <c r="I29" s="7"/>
      <c r="J29" s="9"/>
      <c r="K29" s="9"/>
      <c r="L29" s="9"/>
      <c r="M29" s="7"/>
      <c r="P29" s="8"/>
      <c r="Q29" s="8"/>
      <c r="R29" s="8"/>
      <c r="S29" s="8"/>
      <c r="W29" s="8"/>
      <c r="X29" s="8"/>
      <c r="Y29" s="8"/>
      <c r="Z29" s="8"/>
      <c r="AD29" s="8"/>
      <c r="AE29" s="8"/>
      <c r="AF29" s="8"/>
      <c r="AG29" s="8"/>
      <c r="AK29" s="8"/>
      <c r="AL29" s="8"/>
      <c r="AM29" s="8"/>
      <c r="AN29" s="8"/>
      <c r="AR29" s="8"/>
      <c r="AS29" s="8"/>
      <c r="AT29" s="8"/>
      <c r="AU29" s="8"/>
      <c r="AY29" s="8"/>
      <c r="AZ29" s="8"/>
      <c r="BA29" s="8"/>
      <c r="BB29" s="8"/>
      <c r="BF29" s="8"/>
      <c r="BG29" s="8"/>
      <c r="BH29" s="8"/>
      <c r="BI29" s="8"/>
      <c r="BM29" s="8"/>
      <c r="BN29" s="8"/>
      <c r="BO29" s="8"/>
      <c r="BP29" s="8"/>
      <c r="BT29" s="8"/>
      <c r="BU29" s="8"/>
      <c r="BV29" s="8"/>
      <c r="BW29" s="8"/>
      <c r="CA29" s="8"/>
      <c r="CB29" s="8"/>
      <c r="CC29" s="8"/>
      <c r="CD29" s="8"/>
      <c r="CH29" s="8"/>
      <c r="CI29" s="8"/>
      <c r="CJ29" s="8"/>
      <c r="CK29" s="8"/>
      <c r="CO29" s="8"/>
      <c r="CP29" s="8"/>
      <c r="CQ29" s="8"/>
      <c r="CR29" s="8"/>
      <c r="CV29" s="8"/>
      <c r="CW29" s="8"/>
      <c r="CX29" s="8"/>
      <c r="CY29" s="8"/>
      <c r="DC29" s="8"/>
      <c r="DD29" s="8"/>
      <c r="DE29" s="8"/>
      <c r="DF29" s="8"/>
      <c r="DJ29" s="8"/>
      <c r="DK29" s="8"/>
      <c r="DL29" s="8"/>
      <c r="DM29" s="8"/>
      <c r="DQ29" s="8"/>
      <c r="DR29" s="8"/>
      <c r="DS29" s="8"/>
      <c r="DT29" s="8"/>
      <c r="DX29" s="8"/>
      <c r="DY29" s="8"/>
      <c r="DZ29" s="8"/>
      <c r="EA29" s="8"/>
      <c r="EE29" s="8"/>
      <c r="EF29" s="8"/>
      <c r="EG29" s="8"/>
      <c r="EH29" s="8"/>
    </row>
    <row r="30" spans="2:138" ht="16" hidden="1" customHeight="1" outlineLevel="1" x14ac:dyDescent="0.2">
      <c r="E30" s="7"/>
      <c r="G30" s="8"/>
      <c r="I30" s="7"/>
      <c r="J30" s="9"/>
      <c r="K30" s="9"/>
      <c r="L30" s="9"/>
      <c r="M30" s="7"/>
      <c r="P30" s="8"/>
      <c r="Q30" s="8"/>
      <c r="R30" s="8"/>
      <c r="S30" s="8"/>
      <c r="W30" s="8"/>
      <c r="X30" s="8"/>
      <c r="Y30" s="8"/>
      <c r="Z30" s="8"/>
      <c r="AD30" s="8"/>
      <c r="AE30" s="8"/>
      <c r="AF30" s="8"/>
      <c r="AG30" s="8"/>
      <c r="AK30" s="8"/>
      <c r="AL30" s="8"/>
      <c r="AM30" s="8"/>
      <c r="AN30" s="8"/>
      <c r="AR30" s="8"/>
      <c r="AS30" s="8"/>
      <c r="AT30" s="8"/>
      <c r="AU30" s="8"/>
      <c r="AY30" s="8"/>
      <c r="AZ30" s="8"/>
      <c r="BA30" s="8"/>
      <c r="BB30" s="8"/>
      <c r="BF30" s="8"/>
      <c r="BG30" s="8"/>
      <c r="BH30" s="8"/>
      <c r="BI30" s="8"/>
      <c r="BM30" s="8"/>
      <c r="BN30" s="8"/>
      <c r="BO30" s="8"/>
      <c r="BP30" s="8"/>
      <c r="BT30" s="8"/>
      <c r="BU30" s="8"/>
      <c r="BV30" s="8"/>
      <c r="BW30" s="8"/>
      <c r="CA30" s="8"/>
      <c r="CB30" s="8"/>
      <c r="CC30" s="8"/>
      <c r="CD30" s="8"/>
      <c r="CH30" s="8"/>
      <c r="CI30" s="8"/>
      <c r="CJ30" s="8"/>
      <c r="CK30" s="8"/>
      <c r="CO30" s="8"/>
      <c r="CP30" s="8"/>
      <c r="CQ30" s="8"/>
      <c r="CR30" s="8"/>
      <c r="CV30" s="8"/>
      <c r="CW30" s="8"/>
      <c r="CX30" s="8"/>
      <c r="CY30" s="8"/>
      <c r="DC30" s="8"/>
      <c r="DD30" s="8"/>
      <c r="DE30" s="8"/>
      <c r="DF30" s="8"/>
      <c r="DJ30" s="8"/>
      <c r="DK30" s="8"/>
      <c r="DL30" s="8"/>
      <c r="DM30" s="8"/>
      <c r="DQ30" s="8"/>
      <c r="DR30" s="8"/>
      <c r="DS30" s="8"/>
      <c r="DT30" s="8"/>
      <c r="DX30" s="8"/>
      <c r="DY30" s="8"/>
      <c r="DZ30" s="8"/>
      <c r="EA30" s="8"/>
      <c r="EE30" s="8"/>
      <c r="EF30" s="8"/>
      <c r="EG30" s="8"/>
      <c r="EH30" s="8"/>
    </row>
    <row r="31" spans="2:138" ht="16" hidden="1" customHeight="1" outlineLevel="1" x14ac:dyDescent="0.2">
      <c r="E31" s="7"/>
      <c r="G31" s="8"/>
      <c r="I31" s="7"/>
      <c r="J31" s="9"/>
      <c r="K31" s="9"/>
      <c r="L31" s="9"/>
      <c r="M31" s="7"/>
      <c r="P31" s="8"/>
      <c r="Q31" s="8"/>
      <c r="R31" s="8"/>
      <c r="S31" s="8"/>
      <c r="W31" s="8"/>
      <c r="X31" s="8"/>
      <c r="Y31" s="8"/>
      <c r="Z31" s="8"/>
      <c r="AD31" s="8"/>
      <c r="AE31" s="8"/>
      <c r="AF31" s="8"/>
      <c r="AG31" s="8"/>
      <c r="AK31" s="8"/>
      <c r="AL31" s="8"/>
      <c r="AM31" s="8"/>
      <c r="AN31" s="8"/>
      <c r="AR31" s="8"/>
      <c r="AS31" s="8"/>
      <c r="AT31" s="8"/>
      <c r="AU31" s="8"/>
      <c r="AY31" s="8"/>
      <c r="AZ31" s="8"/>
      <c r="BA31" s="8"/>
      <c r="BB31" s="8"/>
      <c r="BF31" s="8"/>
      <c r="BG31" s="8"/>
      <c r="BH31" s="8"/>
      <c r="BI31" s="8"/>
      <c r="BM31" s="8"/>
      <c r="BN31" s="8"/>
      <c r="BO31" s="8"/>
      <c r="BP31" s="8"/>
      <c r="BT31" s="8"/>
      <c r="BU31" s="8"/>
      <c r="BV31" s="8"/>
      <c r="BW31" s="8"/>
      <c r="CA31" s="8"/>
      <c r="CB31" s="8"/>
      <c r="CC31" s="8"/>
      <c r="CD31" s="8"/>
      <c r="CH31" s="8"/>
      <c r="CI31" s="8"/>
      <c r="CJ31" s="8"/>
      <c r="CK31" s="8"/>
      <c r="CO31" s="8"/>
      <c r="CP31" s="8"/>
      <c r="CQ31" s="8"/>
      <c r="CR31" s="8"/>
      <c r="CV31" s="8"/>
      <c r="CW31" s="8"/>
      <c r="CX31" s="8"/>
      <c r="CY31" s="8"/>
      <c r="DC31" s="8"/>
      <c r="DD31" s="8"/>
      <c r="DE31" s="8"/>
      <c r="DF31" s="8"/>
      <c r="DJ31" s="8"/>
      <c r="DK31" s="8"/>
      <c r="DL31" s="8"/>
      <c r="DM31" s="8"/>
      <c r="DQ31" s="8"/>
      <c r="DR31" s="8"/>
      <c r="DS31" s="8"/>
      <c r="DT31" s="8"/>
      <c r="DX31" s="8"/>
      <c r="DY31" s="8"/>
      <c r="DZ31" s="8"/>
      <c r="EA31" s="8"/>
      <c r="EE31" s="8"/>
      <c r="EF31" s="8"/>
      <c r="EG31" s="8"/>
      <c r="EH31" s="8"/>
    </row>
    <row r="32" spans="2:138" ht="16" hidden="1" customHeight="1" outlineLevel="1" x14ac:dyDescent="0.2">
      <c r="E32" s="7"/>
      <c r="G32" s="8"/>
      <c r="I32" s="7"/>
      <c r="J32" s="9"/>
      <c r="K32" s="9"/>
      <c r="L32" s="9"/>
      <c r="M32" s="7"/>
      <c r="P32" s="8"/>
      <c r="Q32" s="8"/>
      <c r="R32" s="8"/>
      <c r="S32" s="8"/>
      <c r="W32" s="8"/>
      <c r="X32" s="8"/>
      <c r="Y32" s="8"/>
      <c r="Z32" s="8"/>
      <c r="AD32" s="8"/>
      <c r="AE32" s="8"/>
      <c r="AF32" s="8"/>
      <c r="AG32" s="8"/>
      <c r="AK32" s="8"/>
      <c r="AL32" s="8"/>
      <c r="AM32" s="8"/>
      <c r="AN32" s="8"/>
      <c r="AR32" s="8"/>
      <c r="AS32" s="8"/>
      <c r="AT32" s="8"/>
      <c r="AU32" s="8"/>
      <c r="AY32" s="8"/>
      <c r="AZ32" s="8"/>
      <c r="BA32" s="8"/>
      <c r="BB32" s="8"/>
      <c r="BF32" s="8"/>
      <c r="BG32" s="8"/>
      <c r="BH32" s="8"/>
      <c r="BI32" s="8"/>
      <c r="BM32" s="8"/>
      <c r="BN32" s="8"/>
      <c r="BO32" s="8"/>
      <c r="BP32" s="8"/>
      <c r="BT32" s="8"/>
      <c r="BU32" s="8"/>
      <c r="BV32" s="8"/>
      <c r="BW32" s="8"/>
      <c r="CA32" s="8"/>
      <c r="CB32" s="8"/>
      <c r="CC32" s="8"/>
      <c r="CD32" s="8"/>
      <c r="CH32" s="8"/>
      <c r="CI32" s="8"/>
      <c r="CJ32" s="8"/>
      <c r="CK32" s="8"/>
      <c r="CO32" s="8"/>
      <c r="CP32" s="8"/>
      <c r="CQ32" s="8"/>
      <c r="CR32" s="8"/>
      <c r="CV32" s="8"/>
      <c r="CW32" s="8"/>
      <c r="CX32" s="8"/>
      <c r="CY32" s="8"/>
      <c r="DC32" s="8"/>
      <c r="DD32" s="8"/>
      <c r="DE32" s="8"/>
      <c r="DF32" s="8"/>
      <c r="DJ32" s="8"/>
      <c r="DK32" s="8"/>
      <c r="DL32" s="8"/>
      <c r="DM32" s="8"/>
      <c r="DQ32" s="8"/>
      <c r="DR32" s="8"/>
      <c r="DS32" s="8"/>
      <c r="DT32" s="8"/>
      <c r="DX32" s="8"/>
      <c r="DY32" s="8"/>
      <c r="DZ32" s="8"/>
      <c r="EA32" s="8"/>
      <c r="EE32" s="8"/>
      <c r="EF32" s="8"/>
      <c r="EG32" s="8"/>
      <c r="EH32" s="8"/>
    </row>
    <row r="33" spans="4:138" ht="16" hidden="1" customHeight="1" outlineLevel="1" x14ac:dyDescent="0.2">
      <c r="E33" s="7"/>
      <c r="G33" s="8"/>
      <c r="I33" s="7"/>
      <c r="J33" s="9"/>
      <c r="K33" s="9"/>
      <c r="L33" s="9"/>
      <c r="M33" s="7"/>
      <c r="P33" s="8"/>
      <c r="Q33" s="8"/>
      <c r="R33" s="8"/>
      <c r="S33" s="8"/>
      <c r="W33" s="8"/>
      <c r="X33" s="8"/>
      <c r="Y33" s="8"/>
      <c r="Z33" s="8"/>
      <c r="AD33" s="8"/>
      <c r="AE33" s="8"/>
      <c r="AF33" s="8"/>
      <c r="AG33" s="8"/>
      <c r="AK33" s="8"/>
      <c r="AL33" s="8"/>
      <c r="AM33" s="8"/>
      <c r="AN33" s="8"/>
      <c r="AR33" s="8"/>
      <c r="AS33" s="8"/>
      <c r="AT33" s="8"/>
      <c r="AU33" s="8"/>
      <c r="AY33" s="8"/>
      <c r="AZ33" s="8"/>
      <c r="BA33" s="8"/>
      <c r="BB33" s="8"/>
      <c r="BF33" s="8"/>
      <c r="BG33" s="8"/>
      <c r="BH33" s="8"/>
      <c r="BI33" s="8"/>
      <c r="BM33" s="8"/>
      <c r="BN33" s="8"/>
      <c r="BO33" s="8"/>
      <c r="BP33" s="8"/>
      <c r="BT33" s="8"/>
      <c r="BU33" s="8"/>
      <c r="BV33" s="8"/>
      <c r="BW33" s="8"/>
      <c r="CA33" s="8"/>
      <c r="CB33" s="8"/>
      <c r="CC33" s="8"/>
      <c r="CD33" s="8"/>
      <c r="CH33" s="8"/>
      <c r="CI33" s="8"/>
      <c r="CJ33" s="8"/>
      <c r="CK33" s="8"/>
      <c r="CO33" s="8"/>
      <c r="CP33" s="8"/>
      <c r="CQ33" s="8"/>
      <c r="CR33" s="8"/>
      <c r="CV33" s="8"/>
      <c r="CW33" s="8"/>
      <c r="CX33" s="8"/>
      <c r="CY33" s="8"/>
      <c r="DC33" s="8"/>
      <c r="DD33" s="8"/>
      <c r="DE33" s="8"/>
      <c r="DF33" s="8"/>
      <c r="DJ33" s="8"/>
      <c r="DK33" s="8"/>
      <c r="DL33" s="8"/>
      <c r="DM33" s="8"/>
      <c r="DQ33" s="8"/>
      <c r="DR33" s="8"/>
      <c r="DS33" s="8"/>
      <c r="DT33" s="8"/>
      <c r="DX33" s="8"/>
      <c r="DY33" s="8"/>
      <c r="DZ33" s="8"/>
      <c r="EA33" s="8"/>
      <c r="EE33" s="8"/>
      <c r="EF33" s="8"/>
      <c r="EG33" s="8"/>
      <c r="EH33" s="8"/>
    </row>
    <row r="34" spans="4:138" ht="16" hidden="1" customHeight="1" outlineLevel="1" x14ac:dyDescent="0.2">
      <c r="E34" s="7"/>
      <c r="G34" s="8"/>
      <c r="I34" s="7"/>
      <c r="J34" s="9"/>
      <c r="K34" s="9"/>
      <c r="L34" s="9"/>
      <c r="M34" s="7"/>
      <c r="P34" s="8"/>
      <c r="Q34" s="8"/>
      <c r="R34" s="8"/>
      <c r="S34" s="8"/>
      <c r="W34" s="8"/>
      <c r="X34" s="8"/>
      <c r="Y34" s="8"/>
      <c r="Z34" s="8"/>
      <c r="AD34" s="8"/>
      <c r="AE34" s="8"/>
      <c r="AF34" s="8"/>
      <c r="AG34" s="8"/>
      <c r="AK34" s="8"/>
      <c r="AL34" s="8"/>
      <c r="AM34" s="8"/>
      <c r="AN34" s="8"/>
      <c r="AR34" s="8"/>
      <c r="AS34" s="8"/>
      <c r="AT34" s="8"/>
      <c r="AU34" s="8"/>
      <c r="AY34" s="8"/>
      <c r="AZ34" s="8"/>
      <c r="BA34" s="8"/>
      <c r="BB34" s="8"/>
      <c r="BF34" s="8"/>
      <c r="BG34" s="8"/>
      <c r="BH34" s="8"/>
      <c r="BI34" s="8"/>
      <c r="BM34" s="8"/>
      <c r="BN34" s="8"/>
      <c r="BO34" s="8"/>
      <c r="BP34" s="8"/>
      <c r="BT34" s="8"/>
      <c r="BU34" s="8"/>
      <c r="BV34" s="8"/>
      <c r="BW34" s="8"/>
      <c r="CA34" s="8"/>
      <c r="CB34" s="8"/>
      <c r="CC34" s="8"/>
      <c r="CD34" s="8"/>
      <c r="CH34" s="8"/>
      <c r="CI34" s="8"/>
      <c r="CJ34" s="8"/>
      <c r="CK34" s="8"/>
      <c r="CO34" s="8"/>
      <c r="CP34" s="8"/>
      <c r="CQ34" s="8"/>
      <c r="CR34" s="8"/>
      <c r="CV34" s="8"/>
      <c r="CW34" s="8"/>
      <c r="CX34" s="8"/>
      <c r="CY34" s="8"/>
      <c r="DC34" s="8"/>
      <c r="DD34" s="8"/>
      <c r="DE34" s="8"/>
      <c r="DF34" s="8"/>
      <c r="DJ34" s="8"/>
      <c r="DK34" s="8"/>
      <c r="DL34" s="8"/>
      <c r="DM34" s="8"/>
      <c r="DQ34" s="8"/>
      <c r="DR34" s="8"/>
      <c r="DS34" s="8"/>
      <c r="DT34" s="8"/>
      <c r="DX34" s="8"/>
      <c r="DY34" s="8"/>
      <c r="DZ34" s="8"/>
      <c r="EA34" s="8"/>
      <c r="EE34" s="8"/>
      <c r="EF34" s="8"/>
      <c r="EG34" s="8"/>
      <c r="EH34" s="8"/>
    </row>
    <row r="35" spans="4:138" ht="16" hidden="1" customHeight="1" outlineLevel="1" x14ac:dyDescent="0.2">
      <c r="E35" s="7"/>
      <c r="G35" s="8"/>
      <c r="I35" s="7"/>
      <c r="J35" s="9"/>
      <c r="K35" s="9"/>
      <c r="L35" s="9"/>
      <c r="M35" s="7"/>
      <c r="P35" s="8"/>
      <c r="Q35" s="8"/>
      <c r="R35" s="8"/>
      <c r="S35" s="8"/>
      <c r="W35" s="8"/>
      <c r="X35" s="8"/>
      <c r="Y35" s="8"/>
      <c r="Z35" s="8"/>
      <c r="AD35" s="8"/>
      <c r="AE35" s="8"/>
      <c r="AF35" s="8"/>
      <c r="AG35" s="8"/>
      <c r="AK35" s="8"/>
      <c r="AL35" s="8"/>
      <c r="AM35" s="8"/>
      <c r="AN35" s="8"/>
      <c r="AR35" s="8"/>
      <c r="AS35" s="8"/>
      <c r="AT35" s="8"/>
      <c r="AU35" s="8"/>
      <c r="AY35" s="8"/>
      <c r="AZ35" s="8"/>
      <c r="BA35" s="8"/>
      <c r="BB35" s="8"/>
      <c r="BF35" s="8"/>
      <c r="BG35" s="8"/>
      <c r="BH35" s="8"/>
      <c r="BI35" s="8"/>
      <c r="BM35" s="8"/>
      <c r="BN35" s="8"/>
      <c r="BO35" s="8"/>
      <c r="BP35" s="8"/>
      <c r="BT35" s="8"/>
      <c r="BU35" s="8"/>
      <c r="BV35" s="8"/>
      <c r="BW35" s="8"/>
      <c r="CA35" s="8"/>
      <c r="CB35" s="8"/>
      <c r="CC35" s="8"/>
      <c r="CD35" s="8"/>
      <c r="CH35" s="8"/>
      <c r="CI35" s="8"/>
      <c r="CJ35" s="8"/>
      <c r="CK35" s="8"/>
      <c r="CO35" s="8"/>
      <c r="CP35" s="8"/>
      <c r="CQ35" s="8"/>
      <c r="CR35" s="8"/>
      <c r="CV35" s="8"/>
      <c r="CW35" s="8"/>
      <c r="CX35" s="8"/>
      <c r="CY35" s="8"/>
      <c r="DC35" s="8"/>
      <c r="DD35" s="8"/>
      <c r="DE35" s="8"/>
      <c r="DF35" s="8"/>
      <c r="DJ35" s="8"/>
      <c r="DK35" s="8"/>
      <c r="DL35" s="8"/>
      <c r="DM35" s="8"/>
      <c r="DQ35" s="8"/>
      <c r="DR35" s="8"/>
      <c r="DS35" s="8"/>
      <c r="DT35" s="8"/>
      <c r="DX35" s="8"/>
      <c r="DY35" s="8"/>
      <c r="DZ35" s="8"/>
      <c r="EA35" s="8"/>
      <c r="EE35" s="8"/>
      <c r="EF35" s="8"/>
      <c r="EG35" s="8"/>
      <c r="EH35" s="8"/>
    </row>
    <row r="36" spans="4:138" collapsed="1" x14ac:dyDescent="0.2"/>
    <row r="37" spans="4:138" x14ac:dyDescent="0.2">
      <c r="D37" s="17"/>
      <c r="E37" s="7"/>
      <c r="G37" s="8"/>
      <c r="I37" s="10"/>
      <c r="J37" s="9"/>
      <c r="K37" s="9"/>
      <c r="L37" s="9"/>
      <c r="M37" s="7"/>
      <c r="O37" s="10"/>
      <c r="V37" s="10"/>
      <c r="AC37" s="10"/>
      <c r="AJ37" s="10"/>
      <c r="AQ37" s="10"/>
    </row>
    <row r="38" spans="4:138" hidden="1" outlineLevel="1" x14ac:dyDescent="0.2">
      <c r="E38" s="7"/>
      <c r="G38" s="8"/>
      <c r="I38" s="7"/>
      <c r="J38" s="9"/>
      <c r="K38" s="9"/>
      <c r="L38" s="9"/>
      <c r="M38" s="7"/>
      <c r="P38" s="8"/>
      <c r="Q38" s="8"/>
      <c r="R38" s="8"/>
      <c r="S38" s="8"/>
      <c r="W38" s="8"/>
      <c r="X38" s="8"/>
      <c r="Y38" s="8"/>
      <c r="Z38" s="8"/>
      <c r="AD38" s="8"/>
      <c r="AE38" s="8"/>
      <c r="AF38" s="8"/>
      <c r="AG38" s="8"/>
      <c r="AK38" s="8"/>
      <c r="AL38" s="8"/>
      <c r="AM38" s="8"/>
      <c r="AN38" s="8"/>
      <c r="AR38" s="8"/>
      <c r="AS38" s="8"/>
      <c r="AT38" s="8"/>
      <c r="AU38" s="8"/>
      <c r="AY38" s="8"/>
      <c r="AZ38" s="8"/>
      <c r="BA38" s="8"/>
      <c r="BB38" s="8"/>
      <c r="BF38" s="8"/>
      <c r="BG38" s="8"/>
      <c r="BH38" s="8"/>
      <c r="BI38" s="8"/>
      <c r="BM38" s="8"/>
      <c r="BN38" s="8"/>
      <c r="BO38" s="8"/>
      <c r="BP38" s="8"/>
      <c r="BT38" s="8"/>
      <c r="BU38" s="8"/>
      <c r="BV38" s="8"/>
      <c r="BW38" s="8"/>
      <c r="CA38" s="8"/>
      <c r="CB38" s="8"/>
      <c r="CC38" s="8"/>
      <c r="CD38" s="8"/>
      <c r="CH38" s="8"/>
      <c r="CI38" s="8"/>
      <c r="CJ38" s="8"/>
      <c r="CK38" s="8"/>
      <c r="CO38" s="8"/>
      <c r="CP38" s="8"/>
      <c r="CQ38" s="8"/>
      <c r="CR38" s="8"/>
      <c r="CV38" s="8"/>
      <c r="CW38" s="8"/>
      <c r="CX38" s="8"/>
      <c r="CY38" s="8"/>
      <c r="DC38" s="8"/>
      <c r="DD38" s="8"/>
      <c r="DE38" s="8"/>
      <c r="DF38" s="8"/>
      <c r="DJ38" s="8"/>
      <c r="DK38" s="8"/>
      <c r="DL38" s="8"/>
      <c r="DM38" s="8"/>
      <c r="DQ38" s="8"/>
      <c r="DR38" s="8"/>
      <c r="DS38" s="8"/>
      <c r="DT38" s="8"/>
      <c r="DX38" s="8"/>
      <c r="DY38" s="8"/>
      <c r="DZ38" s="8"/>
      <c r="EA38" s="8"/>
      <c r="EE38" s="8"/>
      <c r="EF38" s="8"/>
      <c r="EG38" s="8"/>
      <c r="EH38" s="8"/>
    </row>
    <row r="39" spans="4:138" hidden="1" outlineLevel="1" x14ac:dyDescent="0.2">
      <c r="E39" s="7"/>
      <c r="G39" s="8"/>
      <c r="I39" s="7"/>
      <c r="J39" s="9"/>
      <c r="K39" s="9"/>
      <c r="L39" s="9"/>
      <c r="M39" s="7"/>
      <c r="P39" s="8"/>
      <c r="Q39" s="8"/>
      <c r="R39" s="8"/>
      <c r="S39" s="8"/>
      <c r="W39" s="8"/>
      <c r="X39" s="8"/>
      <c r="Y39" s="8"/>
      <c r="Z39" s="8"/>
      <c r="AD39" s="8"/>
      <c r="AE39" s="8"/>
      <c r="AF39" s="8"/>
      <c r="AG39" s="8"/>
      <c r="AK39" s="8"/>
      <c r="AL39" s="8"/>
      <c r="AM39" s="8"/>
      <c r="AN39" s="8"/>
      <c r="AR39" s="8"/>
      <c r="AS39" s="8"/>
      <c r="AT39" s="8"/>
      <c r="AU39" s="8"/>
      <c r="AY39" s="8"/>
      <c r="AZ39" s="8"/>
      <c r="BA39" s="8"/>
      <c r="BB39" s="8"/>
      <c r="BF39" s="8"/>
      <c r="BG39" s="8"/>
      <c r="BH39" s="8"/>
      <c r="BI39" s="8"/>
      <c r="BM39" s="8"/>
      <c r="BN39" s="8"/>
      <c r="BO39" s="8"/>
      <c r="BP39" s="8"/>
      <c r="BT39" s="8"/>
      <c r="BU39" s="8"/>
      <c r="BV39" s="8"/>
      <c r="BW39" s="8"/>
      <c r="CA39" s="8"/>
      <c r="CB39" s="8"/>
      <c r="CC39" s="8"/>
      <c r="CD39" s="8"/>
      <c r="CH39" s="8"/>
      <c r="CI39" s="8"/>
      <c r="CJ39" s="8"/>
      <c r="CK39" s="8"/>
      <c r="CO39" s="8"/>
      <c r="CP39" s="8"/>
      <c r="CQ39" s="8"/>
      <c r="CR39" s="8"/>
      <c r="CV39" s="8"/>
      <c r="CW39" s="8"/>
      <c r="CX39" s="8"/>
      <c r="CY39" s="8"/>
      <c r="DC39" s="8"/>
      <c r="DD39" s="8"/>
      <c r="DE39" s="8"/>
      <c r="DF39" s="8"/>
      <c r="DJ39" s="8"/>
      <c r="DK39" s="8"/>
      <c r="DL39" s="8"/>
      <c r="DM39" s="8"/>
      <c r="DQ39" s="8"/>
      <c r="DR39" s="8"/>
      <c r="DS39" s="8"/>
      <c r="DT39" s="8"/>
      <c r="DX39" s="8"/>
      <c r="DY39" s="8"/>
      <c r="DZ39" s="8"/>
      <c r="EA39" s="8"/>
      <c r="EE39" s="8"/>
      <c r="EF39" s="8"/>
      <c r="EG39" s="8"/>
      <c r="EH39" s="8"/>
    </row>
    <row r="40" spans="4:138" hidden="1" outlineLevel="1" x14ac:dyDescent="0.2">
      <c r="E40" s="7"/>
      <c r="G40" s="8"/>
      <c r="I40" s="7"/>
      <c r="J40" s="9"/>
      <c r="K40" s="9"/>
      <c r="L40" s="9"/>
      <c r="M40" s="7"/>
      <c r="P40" s="8"/>
      <c r="Q40" s="8"/>
      <c r="R40" s="8"/>
      <c r="S40" s="8"/>
      <c r="W40" s="8"/>
      <c r="X40" s="8"/>
      <c r="Y40" s="8"/>
      <c r="Z40" s="8"/>
      <c r="AD40" s="8"/>
      <c r="AE40" s="8"/>
      <c r="AF40" s="8"/>
      <c r="AG40" s="8"/>
      <c r="AK40" s="8"/>
      <c r="AL40" s="8"/>
      <c r="AM40" s="8"/>
      <c r="AN40" s="8"/>
      <c r="AR40" s="8"/>
      <c r="AS40" s="8"/>
      <c r="AT40" s="8"/>
      <c r="AU40" s="8"/>
      <c r="AY40" s="8"/>
      <c r="AZ40" s="8"/>
      <c r="BA40" s="8"/>
      <c r="BB40" s="8"/>
      <c r="BF40" s="8"/>
      <c r="BG40" s="8"/>
      <c r="BH40" s="8"/>
      <c r="BI40" s="8"/>
      <c r="BM40" s="8"/>
      <c r="BN40" s="8"/>
      <c r="BO40" s="8"/>
      <c r="BP40" s="8"/>
      <c r="BT40" s="8"/>
      <c r="BU40" s="8"/>
      <c r="BV40" s="8"/>
      <c r="BW40" s="8"/>
      <c r="CA40" s="8"/>
      <c r="CB40" s="8"/>
      <c r="CC40" s="8"/>
      <c r="CD40" s="8"/>
      <c r="CH40" s="8"/>
      <c r="CI40" s="8"/>
      <c r="CJ40" s="8"/>
      <c r="CK40" s="8"/>
      <c r="CO40" s="8"/>
      <c r="CP40" s="8"/>
      <c r="CQ40" s="8"/>
      <c r="CR40" s="8"/>
      <c r="CV40" s="8"/>
      <c r="CW40" s="8"/>
      <c r="CX40" s="8"/>
      <c r="CY40" s="8"/>
      <c r="DC40" s="8"/>
      <c r="DD40" s="8"/>
      <c r="DE40" s="8"/>
      <c r="DF40" s="8"/>
      <c r="DJ40" s="8"/>
      <c r="DK40" s="8"/>
      <c r="DL40" s="8"/>
      <c r="DM40" s="8"/>
      <c r="DQ40" s="8"/>
      <c r="DR40" s="8"/>
      <c r="DS40" s="8"/>
      <c r="DT40" s="8"/>
      <c r="DX40" s="8"/>
      <c r="DY40" s="8"/>
      <c r="DZ40" s="8"/>
      <c r="EA40" s="8"/>
      <c r="EE40" s="8"/>
      <c r="EF40" s="8"/>
      <c r="EG40" s="8"/>
      <c r="EH40" s="8"/>
    </row>
    <row r="41" spans="4:138" hidden="1" outlineLevel="1" x14ac:dyDescent="0.2">
      <c r="E41" s="7"/>
      <c r="G41" s="8"/>
      <c r="I41" s="7"/>
      <c r="J41" s="9"/>
      <c r="K41" s="9"/>
      <c r="L41" s="9"/>
      <c r="M41" s="7"/>
      <c r="P41" s="8"/>
      <c r="Q41" s="8"/>
      <c r="R41" s="8"/>
      <c r="S41" s="8"/>
      <c r="W41" s="8"/>
      <c r="X41" s="8"/>
      <c r="Y41" s="8"/>
      <c r="Z41" s="8"/>
      <c r="AD41" s="8"/>
      <c r="AE41" s="8"/>
      <c r="AF41" s="8"/>
      <c r="AG41" s="8"/>
      <c r="AK41" s="8"/>
      <c r="AL41" s="8"/>
      <c r="AM41" s="8"/>
      <c r="AN41" s="8"/>
      <c r="AR41" s="8"/>
      <c r="AS41" s="8"/>
      <c r="AT41" s="8"/>
      <c r="AU41" s="8"/>
      <c r="AY41" s="8"/>
      <c r="AZ41" s="8"/>
      <c r="BA41" s="8"/>
      <c r="BB41" s="8"/>
      <c r="BF41" s="8"/>
      <c r="BG41" s="8"/>
      <c r="BH41" s="8"/>
      <c r="BI41" s="8"/>
      <c r="BM41" s="8"/>
      <c r="BN41" s="8"/>
      <c r="BO41" s="8"/>
      <c r="BP41" s="8"/>
      <c r="BT41" s="8"/>
      <c r="BU41" s="8"/>
      <c r="BV41" s="8"/>
      <c r="BW41" s="8"/>
      <c r="CA41" s="8"/>
      <c r="CB41" s="8"/>
      <c r="CC41" s="8"/>
      <c r="CD41" s="8"/>
      <c r="CH41" s="8"/>
      <c r="CI41" s="8"/>
      <c r="CJ41" s="8"/>
      <c r="CK41" s="8"/>
      <c r="CO41" s="8"/>
      <c r="CP41" s="8"/>
      <c r="CQ41" s="8"/>
      <c r="CR41" s="8"/>
      <c r="CV41" s="8"/>
      <c r="CW41" s="8"/>
      <c r="CX41" s="8"/>
      <c r="CY41" s="8"/>
      <c r="DC41" s="8"/>
      <c r="DD41" s="8"/>
      <c r="DE41" s="8"/>
      <c r="DF41" s="8"/>
      <c r="DJ41" s="8"/>
      <c r="DK41" s="8"/>
      <c r="DL41" s="8"/>
      <c r="DM41" s="8"/>
      <c r="DQ41" s="8"/>
      <c r="DR41" s="8"/>
      <c r="DS41" s="8"/>
      <c r="DT41" s="8"/>
      <c r="DX41" s="8"/>
      <c r="DY41" s="8"/>
      <c r="DZ41" s="8"/>
      <c r="EA41" s="8"/>
      <c r="EE41" s="8"/>
      <c r="EF41" s="8"/>
      <c r="EG41" s="8"/>
      <c r="EH41" s="8"/>
    </row>
    <row r="42" spans="4:138" hidden="1" outlineLevel="1" x14ac:dyDescent="0.2">
      <c r="E42" s="7"/>
      <c r="G42" s="8"/>
      <c r="I42" s="7"/>
      <c r="J42" s="9"/>
      <c r="K42" s="9"/>
      <c r="L42" s="9"/>
      <c r="M42" s="7"/>
      <c r="P42" s="8"/>
      <c r="Q42" s="8"/>
      <c r="R42" s="8"/>
      <c r="S42" s="8"/>
      <c r="W42" s="8"/>
      <c r="X42" s="8"/>
      <c r="Y42" s="8"/>
      <c r="Z42" s="8"/>
      <c r="AD42" s="8"/>
      <c r="AE42" s="8"/>
      <c r="AF42" s="8"/>
      <c r="AG42" s="8"/>
      <c r="AK42" s="8"/>
      <c r="AL42" s="8"/>
      <c r="AM42" s="8"/>
      <c r="AN42" s="8"/>
      <c r="AR42" s="8"/>
      <c r="AS42" s="8"/>
      <c r="AT42" s="8"/>
      <c r="AU42" s="8"/>
      <c r="AY42" s="8"/>
      <c r="AZ42" s="8"/>
      <c r="BA42" s="8"/>
      <c r="BB42" s="8"/>
      <c r="BF42" s="8"/>
      <c r="BG42" s="8"/>
      <c r="BH42" s="8"/>
      <c r="BI42" s="8"/>
      <c r="BM42" s="8"/>
      <c r="BN42" s="8"/>
      <c r="BO42" s="8"/>
      <c r="BP42" s="8"/>
      <c r="BT42" s="8"/>
      <c r="BU42" s="8"/>
      <c r="BV42" s="8"/>
      <c r="BW42" s="8"/>
      <c r="CA42" s="8"/>
      <c r="CB42" s="8"/>
      <c r="CC42" s="8"/>
      <c r="CD42" s="8"/>
      <c r="CH42" s="8"/>
      <c r="CI42" s="8"/>
      <c r="CJ42" s="8"/>
      <c r="CK42" s="8"/>
      <c r="CO42" s="8"/>
      <c r="CP42" s="8"/>
      <c r="CQ42" s="8"/>
      <c r="CR42" s="8"/>
      <c r="CV42" s="8"/>
      <c r="CW42" s="8"/>
      <c r="CX42" s="8"/>
      <c r="CY42" s="8"/>
      <c r="DC42" s="8"/>
      <c r="DD42" s="8"/>
      <c r="DE42" s="8"/>
      <c r="DF42" s="8"/>
      <c r="DJ42" s="8"/>
      <c r="DK42" s="8"/>
      <c r="DL42" s="8"/>
      <c r="DM42" s="8"/>
      <c r="DQ42" s="8"/>
      <c r="DR42" s="8"/>
      <c r="DS42" s="8"/>
      <c r="DT42" s="8"/>
      <c r="DX42" s="8"/>
      <c r="DY42" s="8"/>
      <c r="DZ42" s="8"/>
      <c r="EA42" s="8"/>
      <c r="EE42" s="8"/>
      <c r="EF42" s="8"/>
      <c r="EG42" s="8"/>
      <c r="EH42" s="8"/>
    </row>
    <row r="43" spans="4:138" hidden="1" outlineLevel="1" x14ac:dyDescent="0.2">
      <c r="E43" s="7"/>
      <c r="G43" s="8"/>
      <c r="I43" s="7"/>
      <c r="J43" s="9"/>
      <c r="K43" s="9"/>
      <c r="L43" s="9"/>
      <c r="M43" s="7"/>
      <c r="P43" s="8"/>
      <c r="Q43" s="8"/>
      <c r="R43" s="8"/>
      <c r="S43" s="8"/>
      <c r="W43" s="8"/>
      <c r="X43" s="8"/>
      <c r="Y43" s="8"/>
      <c r="Z43" s="8"/>
      <c r="AD43" s="8"/>
      <c r="AE43" s="8"/>
      <c r="AF43" s="8"/>
      <c r="AG43" s="8"/>
      <c r="AK43" s="8"/>
      <c r="AL43" s="8"/>
      <c r="AM43" s="8"/>
      <c r="AN43" s="8"/>
      <c r="AR43" s="8"/>
      <c r="AS43" s="8"/>
      <c r="AT43" s="8"/>
      <c r="AU43" s="8"/>
      <c r="AY43" s="8"/>
      <c r="AZ43" s="8"/>
      <c r="BA43" s="8"/>
      <c r="BB43" s="8"/>
      <c r="BF43" s="8"/>
      <c r="BG43" s="8"/>
      <c r="BH43" s="8"/>
      <c r="BI43" s="8"/>
      <c r="BM43" s="8"/>
      <c r="BN43" s="8"/>
      <c r="BO43" s="8"/>
      <c r="BP43" s="8"/>
      <c r="BT43" s="8"/>
      <c r="BU43" s="8"/>
      <c r="BV43" s="8"/>
      <c r="BW43" s="8"/>
      <c r="CA43" s="8"/>
      <c r="CB43" s="8"/>
      <c r="CC43" s="8"/>
      <c r="CD43" s="8"/>
      <c r="CH43" s="8"/>
      <c r="CI43" s="8"/>
      <c r="CJ43" s="8"/>
      <c r="CK43" s="8"/>
      <c r="CO43" s="8"/>
      <c r="CP43" s="8"/>
      <c r="CQ43" s="8"/>
      <c r="CR43" s="8"/>
      <c r="CV43" s="8"/>
      <c r="CW43" s="8"/>
      <c r="CX43" s="8"/>
      <c r="CY43" s="8"/>
      <c r="DC43" s="8"/>
      <c r="DD43" s="8"/>
      <c r="DE43" s="8"/>
      <c r="DF43" s="8"/>
      <c r="DJ43" s="8"/>
      <c r="DK43" s="8"/>
      <c r="DL43" s="8"/>
      <c r="DM43" s="8"/>
      <c r="DQ43" s="8"/>
      <c r="DR43" s="8"/>
      <c r="DS43" s="8"/>
      <c r="DT43" s="8"/>
      <c r="DX43" s="8"/>
      <c r="DY43" s="8"/>
      <c r="DZ43" s="8"/>
      <c r="EA43" s="8"/>
      <c r="EE43" s="8"/>
      <c r="EF43" s="8"/>
      <c r="EG43" s="8"/>
      <c r="EH43" s="8"/>
    </row>
    <row r="44" spans="4:138" hidden="1" outlineLevel="1" x14ac:dyDescent="0.2">
      <c r="E44" s="7"/>
      <c r="G44" s="8"/>
      <c r="I44" s="7"/>
      <c r="J44" s="9"/>
      <c r="K44" s="9"/>
      <c r="L44" s="9"/>
      <c r="M44" s="7"/>
      <c r="P44" s="8"/>
      <c r="Q44" s="8"/>
      <c r="R44" s="8"/>
      <c r="S44" s="8"/>
      <c r="W44" s="8"/>
      <c r="X44" s="8"/>
      <c r="Y44" s="8"/>
      <c r="Z44" s="8"/>
      <c r="AD44" s="8"/>
      <c r="AE44" s="8"/>
      <c r="AF44" s="8"/>
      <c r="AG44" s="8"/>
      <c r="AK44" s="8"/>
      <c r="AL44" s="8"/>
      <c r="AM44" s="8"/>
      <c r="AN44" s="8"/>
      <c r="AR44" s="8"/>
      <c r="AS44" s="8"/>
      <c r="AT44" s="8"/>
      <c r="AU44" s="8"/>
      <c r="AY44" s="8"/>
      <c r="AZ44" s="8"/>
      <c r="BA44" s="8"/>
      <c r="BB44" s="8"/>
      <c r="BF44" s="8"/>
      <c r="BG44" s="8"/>
      <c r="BH44" s="8"/>
      <c r="BI44" s="8"/>
      <c r="BM44" s="8"/>
      <c r="BN44" s="8"/>
      <c r="BO44" s="8"/>
      <c r="BP44" s="8"/>
      <c r="BT44" s="8"/>
      <c r="BU44" s="8"/>
      <c r="BV44" s="8"/>
      <c r="BW44" s="8"/>
      <c r="CA44" s="8"/>
      <c r="CB44" s="8"/>
      <c r="CC44" s="8"/>
      <c r="CD44" s="8"/>
      <c r="CH44" s="8"/>
      <c r="CI44" s="8"/>
      <c r="CJ44" s="8"/>
      <c r="CK44" s="8"/>
      <c r="CO44" s="8"/>
      <c r="CP44" s="8"/>
      <c r="CQ44" s="8"/>
      <c r="CR44" s="8"/>
      <c r="CV44" s="8"/>
      <c r="CW44" s="8"/>
      <c r="CX44" s="8"/>
      <c r="CY44" s="8"/>
      <c r="DC44" s="8"/>
      <c r="DD44" s="8"/>
      <c r="DE44" s="8"/>
      <c r="DF44" s="8"/>
      <c r="DJ44" s="8"/>
      <c r="DK44" s="8"/>
      <c r="DL44" s="8"/>
      <c r="DM44" s="8"/>
      <c r="DQ44" s="8"/>
      <c r="DR44" s="8"/>
      <c r="DS44" s="8"/>
      <c r="DT44" s="8"/>
      <c r="DX44" s="8"/>
      <c r="DY44" s="8"/>
      <c r="DZ44" s="8"/>
      <c r="EA44" s="8"/>
      <c r="EE44" s="8"/>
      <c r="EF44" s="8"/>
      <c r="EG44" s="8"/>
      <c r="EH44" s="8"/>
    </row>
    <row r="45" spans="4:138" collapsed="1" x14ac:dyDescent="0.2"/>
    <row r="46" spans="4:138" x14ac:dyDescent="0.2">
      <c r="D46" s="17"/>
      <c r="E46" s="7"/>
      <c r="G46" s="8"/>
      <c r="I46" s="10"/>
      <c r="J46" s="9"/>
      <c r="K46" s="9"/>
      <c r="L46" s="9"/>
      <c r="M46" s="7"/>
      <c r="O46" s="10"/>
      <c r="V46" s="10"/>
      <c r="AC46" s="10"/>
      <c r="AJ46" s="10"/>
      <c r="AQ46" s="10"/>
    </row>
    <row r="47" spans="4:138" hidden="1" outlineLevel="1" x14ac:dyDescent="0.2">
      <c r="E47" s="7"/>
      <c r="G47" s="8"/>
      <c r="I47" s="7"/>
      <c r="J47" s="9"/>
      <c r="K47" s="9"/>
      <c r="L47" s="9"/>
      <c r="M47" s="7"/>
      <c r="P47" s="8"/>
      <c r="Q47" s="8"/>
      <c r="R47" s="8"/>
      <c r="S47" s="8"/>
      <c r="W47" s="8"/>
      <c r="X47" s="8"/>
      <c r="Y47" s="8"/>
      <c r="Z47" s="8"/>
      <c r="AD47" s="8"/>
      <c r="AE47" s="8"/>
      <c r="AF47" s="8"/>
      <c r="AG47" s="8"/>
      <c r="AK47" s="8"/>
      <c r="AL47" s="8"/>
      <c r="AM47" s="8"/>
      <c r="AN47" s="8"/>
      <c r="AR47" s="8"/>
      <c r="AS47" s="8"/>
      <c r="AT47" s="8"/>
      <c r="AU47" s="8"/>
      <c r="AY47" s="8"/>
      <c r="AZ47" s="8"/>
      <c r="BA47" s="8"/>
      <c r="BB47" s="8"/>
      <c r="BF47" s="8"/>
      <c r="BG47" s="8"/>
      <c r="BH47" s="8"/>
      <c r="BI47" s="8"/>
      <c r="BM47" s="8"/>
      <c r="BN47" s="8"/>
      <c r="BO47" s="8"/>
      <c r="BP47" s="8"/>
      <c r="BT47" s="8"/>
      <c r="BU47" s="8"/>
      <c r="BV47" s="8"/>
      <c r="BW47" s="8"/>
      <c r="CA47" s="8"/>
      <c r="CB47" s="8"/>
      <c r="CC47" s="8"/>
      <c r="CD47" s="8"/>
      <c r="CH47" s="8"/>
      <c r="CI47" s="8"/>
      <c r="CJ47" s="8"/>
      <c r="CK47" s="8"/>
      <c r="CO47" s="8"/>
      <c r="CP47" s="8"/>
      <c r="CQ47" s="8"/>
      <c r="CR47" s="8"/>
      <c r="CV47" s="8"/>
      <c r="CW47" s="8"/>
      <c r="CX47" s="8"/>
      <c r="CY47" s="8"/>
      <c r="DC47" s="8"/>
      <c r="DD47" s="8"/>
      <c r="DE47" s="8"/>
      <c r="DF47" s="8"/>
      <c r="DJ47" s="8"/>
      <c r="DK47" s="8"/>
      <c r="DL47" s="8"/>
      <c r="DM47" s="8"/>
      <c r="DQ47" s="8"/>
      <c r="DR47" s="8"/>
      <c r="DS47" s="8"/>
      <c r="DT47" s="8"/>
      <c r="DX47" s="8"/>
      <c r="DY47" s="8"/>
      <c r="DZ47" s="8"/>
      <c r="EA47" s="8"/>
      <c r="EE47" s="8"/>
      <c r="EF47" s="8"/>
      <c r="EG47" s="8"/>
      <c r="EH47" s="8"/>
    </row>
    <row r="48" spans="4:138" hidden="1" outlineLevel="1" x14ac:dyDescent="0.2">
      <c r="E48" s="7"/>
      <c r="G48" s="8"/>
      <c r="I48" s="7"/>
      <c r="J48" s="9"/>
      <c r="K48" s="9"/>
      <c r="L48" s="9"/>
      <c r="M48" s="7"/>
      <c r="P48" s="8"/>
      <c r="Q48" s="8"/>
      <c r="R48" s="8"/>
      <c r="S48" s="8"/>
      <c r="W48" s="8"/>
      <c r="X48" s="8"/>
      <c r="Y48" s="8"/>
      <c r="Z48" s="8"/>
      <c r="AD48" s="8"/>
      <c r="AE48" s="8"/>
      <c r="AF48" s="8"/>
      <c r="AG48" s="8"/>
      <c r="AK48" s="8"/>
      <c r="AL48" s="8"/>
      <c r="AM48" s="8"/>
      <c r="AN48" s="8"/>
      <c r="AR48" s="8"/>
      <c r="AS48" s="8"/>
      <c r="AT48" s="8"/>
      <c r="AU48" s="8"/>
      <c r="AY48" s="8"/>
      <c r="AZ48" s="8"/>
      <c r="BA48" s="8"/>
      <c r="BB48" s="8"/>
      <c r="BF48" s="8"/>
      <c r="BG48" s="8"/>
      <c r="BH48" s="8"/>
      <c r="BI48" s="8"/>
      <c r="BM48" s="8"/>
      <c r="BN48" s="8"/>
      <c r="BO48" s="8"/>
      <c r="BP48" s="8"/>
      <c r="BT48" s="8"/>
      <c r="BU48" s="8"/>
      <c r="BV48" s="8"/>
      <c r="BW48" s="8"/>
      <c r="CA48" s="8"/>
      <c r="CB48" s="8"/>
      <c r="CC48" s="8"/>
      <c r="CD48" s="8"/>
      <c r="CH48" s="8"/>
      <c r="CI48" s="8"/>
      <c r="CJ48" s="8"/>
      <c r="CK48" s="8"/>
      <c r="CO48" s="8"/>
      <c r="CP48" s="8"/>
      <c r="CQ48" s="8"/>
      <c r="CR48" s="8"/>
      <c r="CV48" s="8"/>
      <c r="CW48" s="8"/>
      <c r="CX48" s="8"/>
      <c r="CY48" s="8"/>
      <c r="DC48" s="8"/>
      <c r="DD48" s="8"/>
      <c r="DE48" s="8"/>
      <c r="DF48" s="8"/>
      <c r="DJ48" s="8"/>
      <c r="DK48" s="8"/>
      <c r="DL48" s="8"/>
      <c r="DM48" s="8"/>
      <c r="DQ48" s="8"/>
      <c r="DR48" s="8"/>
      <c r="DS48" s="8"/>
      <c r="DT48" s="8"/>
      <c r="DX48" s="8"/>
      <c r="DY48" s="8"/>
      <c r="DZ48" s="8"/>
      <c r="EA48" s="8"/>
      <c r="EE48" s="8"/>
      <c r="EF48" s="8"/>
      <c r="EG48" s="8"/>
      <c r="EH48" s="8"/>
    </row>
    <row r="49" spans="5:138" hidden="1" outlineLevel="1" x14ac:dyDescent="0.2">
      <c r="E49" s="7"/>
      <c r="G49" s="8"/>
      <c r="I49" s="7"/>
      <c r="J49" s="9"/>
      <c r="K49" s="9"/>
      <c r="L49" s="9"/>
      <c r="M49" s="7"/>
      <c r="P49" s="8"/>
      <c r="Q49" s="8"/>
      <c r="R49" s="8"/>
      <c r="S49" s="8"/>
      <c r="W49" s="8"/>
      <c r="X49" s="8"/>
      <c r="Y49" s="8"/>
      <c r="Z49" s="8"/>
      <c r="AD49" s="8"/>
      <c r="AE49" s="8"/>
      <c r="AF49" s="8"/>
      <c r="AG49" s="8"/>
      <c r="AK49" s="8"/>
      <c r="AL49" s="8"/>
      <c r="AM49" s="8"/>
      <c r="AN49" s="8"/>
      <c r="AR49" s="8"/>
      <c r="AS49" s="8"/>
      <c r="AT49" s="8"/>
      <c r="AU49" s="8"/>
      <c r="AY49" s="8"/>
      <c r="AZ49" s="8"/>
      <c r="BA49" s="8"/>
      <c r="BB49" s="8"/>
      <c r="BF49" s="8"/>
      <c r="BG49" s="8"/>
      <c r="BH49" s="8"/>
      <c r="BI49" s="8"/>
      <c r="BM49" s="8"/>
      <c r="BN49" s="8"/>
      <c r="BO49" s="8"/>
      <c r="BP49" s="8"/>
      <c r="BT49" s="8"/>
      <c r="BU49" s="8"/>
      <c r="BV49" s="8"/>
      <c r="BW49" s="8"/>
      <c r="CA49" s="8"/>
      <c r="CB49" s="8"/>
      <c r="CC49" s="8"/>
      <c r="CD49" s="8"/>
      <c r="CH49" s="8"/>
      <c r="CI49" s="8"/>
      <c r="CJ49" s="8"/>
      <c r="CK49" s="8"/>
      <c r="CO49" s="8"/>
      <c r="CP49" s="8"/>
      <c r="CQ49" s="8"/>
      <c r="CR49" s="8"/>
      <c r="CV49" s="8"/>
      <c r="CW49" s="8"/>
      <c r="CX49" s="8"/>
      <c r="CY49" s="8"/>
      <c r="DC49" s="8"/>
      <c r="DD49" s="8"/>
      <c r="DE49" s="8"/>
      <c r="DF49" s="8"/>
      <c r="DJ49" s="8"/>
      <c r="DK49" s="8"/>
      <c r="DL49" s="8"/>
      <c r="DM49" s="8"/>
      <c r="DQ49" s="8"/>
      <c r="DR49" s="8"/>
      <c r="DS49" s="8"/>
      <c r="DT49" s="8"/>
      <c r="DX49" s="8"/>
      <c r="DY49" s="8"/>
      <c r="DZ49" s="8"/>
      <c r="EA49" s="8"/>
      <c r="EE49" s="8"/>
      <c r="EF49" s="8"/>
      <c r="EG49" s="8"/>
      <c r="EH49" s="8"/>
    </row>
    <row r="50" spans="5:138" hidden="1" outlineLevel="1" x14ac:dyDescent="0.2">
      <c r="E50" s="7"/>
      <c r="G50" s="8"/>
      <c r="I50" s="7"/>
      <c r="J50" s="9"/>
      <c r="K50" s="9"/>
      <c r="L50" s="9"/>
      <c r="M50" s="7"/>
      <c r="P50" s="8"/>
      <c r="Q50" s="8"/>
      <c r="R50" s="8"/>
      <c r="S50" s="8"/>
      <c r="W50" s="8"/>
      <c r="X50" s="8"/>
      <c r="Y50" s="8"/>
      <c r="Z50" s="8"/>
      <c r="AD50" s="8"/>
      <c r="AE50" s="8"/>
      <c r="AF50" s="8"/>
      <c r="AG50" s="8"/>
      <c r="AK50" s="8"/>
      <c r="AL50" s="8"/>
      <c r="AM50" s="8"/>
      <c r="AN50" s="8"/>
      <c r="AR50" s="8"/>
      <c r="AS50" s="8"/>
      <c r="AT50" s="8"/>
      <c r="AU50" s="8"/>
      <c r="AY50" s="8"/>
      <c r="AZ50" s="8"/>
      <c r="BA50" s="8"/>
      <c r="BB50" s="8"/>
      <c r="BF50" s="8"/>
      <c r="BG50" s="8"/>
      <c r="BH50" s="8"/>
      <c r="BI50" s="8"/>
      <c r="BM50" s="8"/>
      <c r="BN50" s="8"/>
      <c r="BO50" s="8"/>
      <c r="BP50" s="8"/>
      <c r="BT50" s="8"/>
      <c r="BU50" s="8"/>
      <c r="BV50" s="8"/>
      <c r="BW50" s="8"/>
      <c r="CA50" s="8"/>
      <c r="CB50" s="8"/>
      <c r="CC50" s="8"/>
      <c r="CD50" s="8"/>
      <c r="CH50" s="8"/>
      <c r="CI50" s="8"/>
      <c r="CJ50" s="8"/>
      <c r="CK50" s="8"/>
      <c r="CO50" s="8"/>
      <c r="CP50" s="8"/>
      <c r="CQ50" s="8"/>
      <c r="CR50" s="8"/>
      <c r="CV50" s="8"/>
      <c r="CW50" s="8"/>
      <c r="CX50" s="8"/>
      <c r="CY50" s="8"/>
      <c r="DC50" s="8"/>
      <c r="DD50" s="8"/>
      <c r="DE50" s="8"/>
      <c r="DF50" s="8"/>
      <c r="DJ50" s="8"/>
      <c r="DK50" s="8"/>
      <c r="DL50" s="8"/>
      <c r="DM50" s="8"/>
      <c r="DQ50" s="8"/>
      <c r="DR50" s="8"/>
      <c r="DS50" s="8"/>
      <c r="DT50" s="8"/>
      <c r="DX50" s="8"/>
      <c r="DY50" s="8"/>
      <c r="DZ50" s="8"/>
      <c r="EA50" s="8"/>
      <c r="EE50" s="8"/>
      <c r="EF50" s="8"/>
      <c r="EG50" s="8"/>
      <c r="EH50" s="8"/>
    </row>
    <row r="51" spans="5:138" hidden="1" outlineLevel="1" x14ac:dyDescent="0.2">
      <c r="E51" s="7"/>
      <c r="G51" s="8"/>
      <c r="I51" s="7"/>
      <c r="J51" s="9"/>
      <c r="K51" s="9"/>
      <c r="L51" s="9"/>
      <c r="M51" s="7"/>
      <c r="P51" s="8"/>
      <c r="Q51" s="8"/>
      <c r="R51" s="8"/>
      <c r="S51" s="8"/>
      <c r="W51" s="8"/>
      <c r="X51" s="8"/>
      <c r="Y51" s="8"/>
      <c r="Z51" s="8"/>
      <c r="AD51" s="8"/>
      <c r="AE51" s="8"/>
      <c r="AF51" s="8"/>
      <c r="AG51" s="8"/>
      <c r="AK51" s="8"/>
      <c r="AL51" s="8"/>
      <c r="AM51" s="8"/>
      <c r="AN51" s="8"/>
      <c r="AR51" s="8"/>
      <c r="AS51" s="8"/>
      <c r="AT51" s="8"/>
      <c r="AU51" s="8"/>
      <c r="AY51" s="8"/>
      <c r="AZ51" s="8"/>
      <c r="BA51" s="8"/>
      <c r="BB51" s="8"/>
      <c r="BF51" s="8"/>
      <c r="BG51" s="8"/>
      <c r="BH51" s="8"/>
      <c r="BI51" s="8"/>
      <c r="BM51" s="8"/>
      <c r="BN51" s="8"/>
      <c r="BO51" s="8"/>
      <c r="BP51" s="8"/>
      <c r="BT51" s="8"/>
      <c r="BU51" s="8"/>
      <c r="BV51" s="8"/>
      <c r="BW51" s="8"/>
      <c r="CA51" s="8"/>
      <c r="CB51" s="8"/>
      <c r="CC51" s="8"/>
      <c r="CD51" s="8"/>
      <c r="CH51" s="8"/>
      <c r="CI51" s="8"/>
      <c r="CJ51" s="8"/>
      <c r="CK51" s="8"/>
      <c r="CO51" s="8"/>
      <c r="CP51" s="8"/>
      <c r="CQ51" s="8"/>
      <c r="CR51" s="8"/>
      <c r="CV51" s="8"/>
      <c r="CW51" s="8"/>
      <c r="CX51" s="8"/>
      <c r="CY51" s="8"/>
      <c r="DC51" s="8"/>
      <c r="DD51" s="8"/>
      <c r="DE51" s="8"/>
      <c r="DF51" s="8"/>
      <c r="DJ51" s="8"/>
      <c r="DK51" s="8"/>
      <c r="DL51" s="8"/>
      <c r="DM51" s="8"/>
      <c r="DQ51" s="8"/>
      <c r="DR51" s="8"/>
      <c r="DS51" s="8"/>
      <c r="DT51" s="8"/>
      <c r="DX51" s="8"/>
      <c r="DY51" s="8"/>
      <c r="DZ51" s="8"/>
      <c r="EA51" s="8"/>
      <c r="EE51" s="8"/>
      <c r="EF51" s="8"/>
      <c r="EG51" s="8"/>
      <c r="EH51" s="8"/>
    </row>
    <row r="52" spans="5:138" hidden="1" outlineLevel="1" x14ac:dyDescent="0.2">
      <c r="E52" s="7"/>
      <c r="G52" s="8"/>
      <c r="I52" s="7"/>
      <c r="J52" s="9"/>
      <c r="K52" s="9"/>
      <c r="L52" s="9"/>
      <c r="M52" s="7"/>
      <c r="P52" s="8"/>
      <c r="Q52" s="8"/>
      <c r="R52" s="8"/>
      <c r="S52" s="8"/>
      <c r="W52" s="8"/>
      <c r="X52" s="8"/>
      <c r="Y52" s="8"/>
      <c r="Z52" s="8"/>
      <c r="AD52" s="8"/>
      <c r="AE52" s="8"/>
      <c r="AF52" s="8"/>
      <c r="AG52" s="8"/>
      <c r="AK52" s="8"/>
      <c r="AL52" s="8"/>
      <c r="AM52" s="8"/>
      <c r="AN52" s="8"/>
      <c r="AR52" s="8"/>
      <c r="AS52" s="8"/>
      <c r="AT52" s="8"/>
      <c r="AU52" s="8"/>
      <c r="AY52" s="8"/>
      <c r="AZ52" s="8"/>
      <c r="BA52" s="8"/>
      <c r="BB52" s="8"/>
      <c r="BF52" s="8"/>
      <c r="BG52" s="8"/>
      <c r="BH52" s="8"/>
      <c r="BI52" s="8"/>
      <c r="BM52" s="8"/>
      <c r="BN52" s="8"/>
      <c r="BO52" s="8"/>
      <c r="BP52" s="8"/>
      <c r="BT52" s="8"/>
      <c r="BU52" s="8"/>
      <c r="BV52" s="8"/>
      <c r="BW52" s="8"/>
      <c r="CA52" s="8"/>
      <c r="CB52" s="8"/>
      <c r="CC52" s="8"/>
      <c r="CD52" s="8"/>
      <c r="CH52" s="8"/>
      <c r="CI52" s="8"/>
      <c r="CJ52" s="8"/>
      <c r="CK52" s="8"/>
      <c r="CO52" s="8"/>
      <c r="CP52" s="8"/>
      <c r="CQ52" s="8"/>
      <c r="CR52" s="8"/>
      <c r="CV52" s="8"/>
      <c r="CW52" s="8"/>
      <c r="CX52" s="8"/>
      <c r="CY52" s="8"/>
      <c r="DC52" s="8"/>
      <c r="DD52" s="8"/>
      <c r="DE52" s="8"/>
      <c r="DF52" s="8"/>
      <c r="DJ52" s="8"/>
      <c r="DK52" s="8"/>
      <c r="DL52" s="8"/>
      <c r="DM52" s="8"/>
      <c r="DQ52" s="8"/>
      <c r="DR52" s="8"/>
      <c r="DS52" s="8"/>
      <c r="DT52" s="8"/>
      <c r="DX52" s="8"/>
      <c r="DY52" s="8"/>
      <c r="DZ52" s="8"/>
      <c r="EA52" s="8"/>
      <c r="EE52" s="8"/>
      <c r="EF52" s="8"/>
      <c r="EG52" s="8"/>
      <c r="EH52" s="8"/>
    </row>
    <row r="53" spans="5:138" hidden="1" outlineLevel="1" x14ac:dyDescent="0.2">
      <c r="E53" s="7"/>
      <c r="G53" s="8"/>
      <c r="I53" s="7"/>
      <c r="J53" s="9"/>
      <c r="K53" s="9"/>
      <c r="L53" s="9"/>
      <c r="M53" s="7"/>
      <c r="P53" s="8"/>
      <c r="Q53" s="8"/>
      <c r="R53" s="8"/>
      <c r="S53" s="8"/>
      <c r="W53" s="8"/>
      <c r="X53" s="8"/>
      <c r="Y53" s="8"/>
      <c r="Z53" s="8"/>
      <c r="AD53" s="8"/>
      <c r="AE53" s="8"/>
      <c r="AF53" s="8"/>
      <c r="AG53" s="8"/>
      <c r="AK53" s="8"/>
      <c r="AL53" s="8"/>
      <c r="AM53" s="8"/>
      <c r="AN53" s="8"/>
      <c r="AR53" s="8"/>
      <c r="AS53" s="8"/>
      <c r="AT53" s="8"/>
      <c r="AU53" s="8"/>
      <c r="AY53" s="8"/>
      <c r="AZ53" s="8"/>
      <c r="BA53" s="8"/>
      <c r="BB53" s="8"/>
      <c r="BF53" s="8"/>
      <c r="BG53" s="8"/>
      <c r="BH53" s="8"/>
      <c r="BI53" s="8"/>
      <c r="BM53" s="8"/>
      <c r="BN53" s="8"/>
      <c r="BO53" s="8"/>
      <c r="BP53" s="8"/>
      <c r="BT53" s="8"/>
      <c r="BU53" s="8"/>
      <c r="BV53" s="8"/>
      <c r="BW53" s="8"/>
      <c r="CA53" s="8"/>
      <c r="CB53" s="8"/>
      <c r="CC53" s="8"/>
      <c r="CD53" s="8"/>
      <c r="CH53" s="8"/>
      <c r="CI53" s="8"/>
      <c r="CJ53" s="8"/>
      <c r="CK53" s="8"/>
      <c r="CO53" s="8"/>
      <c r="CP53" s="8"/>
      <c r="CQ53" s="8"/>
      <c r="CR53" s="8"/>
      <c r="CV53" s="8"/>
      <c r="CW53" s="8"/>
      <c r="CX53" s="8"/>
      <c r="CY53" s="8"/>
      <c r="DC53" s="8"/>
      <c r="DD53" s="8"/>
      <c r="DE53" s="8"/>
      <c r="DF53" s="8"/>
      <c r="DJ53" s="8"/>
      <c r="DK53" s="8"/>
      <c r="DL53" s="8"/>
      <c r="DM53" s="8"/>
      <c r="DQ53" s="8"/>
      <c r="DR53" s="8"/>
      <c r="DS53" s="8"/>
      <c r="DT53" s="8"/>
      <c r="DX53" s="8"/>
      <c r="DY53" s="8"/>
      <c r="DZ53" s="8"/>
      <c r="EA53" s="8"/>
      <c r="EE53" s="8"/>
      <c r="EF53" s="8"/>
      <c r="EG53" s="8"/>
      <c r="EH53" s="8"/>
    </row>
    <row r="54" spans="5:138" hidden="1" outlineLevel="1" x14ac:dyDescent="0.2">
      <c r="E54" s="7"/>
      <c r="G54" s="8"/>
      <c r="I54" s="7"/>
      <c r="J54" s="9"/>
      <c r="K54" s="9"/>
      <c r="L54" s="9"/>
      <c r="M54" s="7"/>
      <c r="P54" s="8"/>
      <c r="Q54" s="8"/>
      <c r="R54" s="8"/>
      <c r="S54" s="8"/>
      <c r="W54" s="8"/>
      <c r="X54" s="8"/>
      <c r="Y54" s="8"/>
      <c r="Z54" s="8"/>
      <c r="AD54" s="8"/>
      <c r="AE54" s="8"/>
      <c r="AF54" s="8"/>
      <c r="AG54" s="8"/>
      <c r="AK54" s="8"/>
      <c r="AL54" s="8"/>
      <c r="AM54" s="8"/>
      <c r="AN54" s="8"/>
      <c r="AR54" s="8"/>
      <c r="AS54" s="8"/>
      <c r="AT54" s="8"/>
      <c r="AU54" s="8"/>
      <c r="AY54" s="8"/>
      <c r="AZ54" s="8"/>
      <c r="BA54" s="8"/>
      <c r="BB54" s="8"/>
      <c r="BF54" s="8"/>
      <c r="BG54" s="8"/>
      <c r="BH54" s="8"/>
      <c r="BI54" s="8"/>
      <c r="BM54" s="8"/>
      <c r="BN54" s="8"/>
      <c r="BO54" s="8"/>
      <c r="BP54" s="8"/>
      <c r="BT54" s="8"/>
      <c r="BU54" s="8"/>
      <c r="BV54" s="8"/>
      <c r="BW54" s="8"/>
      <c r="CA54" s="8"/>
      <c r="CB54" s="8"/>
      <c r="CC54" s="8"/>
      <c r="CD54" s="8"/>
      <c r="CH54" s="8"/>
      <c r="CI54" s="8"/>
      <c r="CJ54" s="8"/>
      <c r="CK54" s="8"/>
      <c r="CO54" s="8"/>
      <c r="CP54" s="8"/>
      <c r="CQ54" s="8"/>
      <c r="CR54" s="8"/>
      <c r="CV54" s="8"/>
      <c r="CW54" s="8"/>
      <c r="CX54" s="8"/>
      <c r="CY54" s="8"/>
      <c r="DC54" s="8"/>
      <c r="DD54" s="8"/>
      <c r="DE54" s="8"/>
      <c r="DF54" s="8"/>
      <c r="DJ54" s="8"/>
      <c r="DK54" s="8"/>
      <c r="DL54" s="8"/>
      <c r="DM54" s="8"/>
      <c r="DQ54" s="8"/>
      <c r="DR54" s="8"/>
      <c r="DS54" s="8"/>
      <c r="DT54" s="8"/>
      <c r="DX54" s="8"/>
      <c r="DY54" s="8"/>
      <c r="DZ54" s="8"/>
      <c r="EA54" s="8"/>
      <c r="EE54" s="8"/>
      <c r="EF54" s="8"/>
      <c r="EG54" s="8"/>
      <c r="EH54" s="8"/>
    </row>
    <row r="55" spans="5:138" hidden="1" outlineLevel="1" x14ac:dyDescent="0.2">
      <c r="E55" s="7"/>
      <c r="G55" s="8"/>
      <c r="I55" s="7"/>
      <c r="J55" s="9"/>
      <c r="K55" s="9"/>
      <c r="L55" s="9"/>
      <c r="M55" s="7"/>
      <c r="P55" s="8"/>
      <c r="Q55" s="8"/>
      <c r="R55" s="8"/>
      <c r="S55" s="8"/>
      <c r="W55" s="8"/>
      <c r="X55" s="8"/>
      <c r="Y55" s="8"/>
      <c r="Z55" s="8"/>
      <c r="AD55" s="8"/>
      <c r="AE55" s="8"/>
      <c r="AF55" s="8"/>
      <c r="AG55" s="8"/>
      <c r="AK55" s="8"/>
      <c r="AL55" s="8"/>
      <c r="AM55" s="8"/>
      <c r="AN55" s="8"/>
      <c r="AR55" s="8"/>
      <c r="AS55" s="8"/>
      <c r="AT55" s="8"/>
      <c r="AU55" s="8"/>
      <c r="AY55" s="8"/>
      <c r="AZ55" s="8"/>
      <c r="BA55" s="8"/>
      <c r="BB55" s="8"/>
      <c r="BF55" s="8"/>
      <c r="BG55" s="8"/>
      <c r="BH55" s="8"/>
      <c r="BI55" s="8"/>
      <c r="BM55" s="8"/>
      <c r="BN55" s="8"/>
      <c r="BO55" s="8"/>
      <c r="BP55" s="8"/>
      <c r="BT55" s="8"/>
      <c r="BU55" s="8"/>
      <c r="BV55" s="8"/>
      <c r="BW55" s="8"/>
      <c r="CA55" s="8"/>
      <c r="CB55" s="8"/>
      <c r="CC55" s="8"/>
      <c r="CD55" s="8"/>
      <c r="CH55" s="8"/>
      <c r="CI55" s="8"/>
      <c r="CJ55" s="8"/>
      <c r="CK55" s="8"/>
      <c r="CO55" s="8"/>
      <c r="CP55" s="8"/>
      <c r="CQ55" s="8"/>
      <c r="CR55" s="8"/>
      <c r="CV55" s="8"/>
      <c r="CW55" s="8"/>
      <c r="CX55" s="8"/>
      <c r="CY55" s="8"/>
      <c r="DC55" s="8"/>
      <c r="DD55" s="8"/>
      <c r="DE55" s="8"/>
      <c r="DF55" s="8"/>
      <c r="DJ55" s="8"/>
      <c r="DK55" s="8"/>
      <c r="DL55" s="8"/>
      <c r="DM55" s="8"/>
      <c r="DQ55" s="8"/>
      <c r="DR55" s="8"/>
      <c r="DS55" s="8"/>
      <c r="DT55" s="8"/>
      <c r="DX55" s="8"/>
      <c r="DY55" s="8"/>
      <c r="DZ55" s="8"/>
      <c r="EA55" s="8"/>
      <c r="EE55" s="8"/>
      <c r="EF55" s="8"/>
      <c r="EG55" s="8"/>
      <c r="EH55" s="8"/>
    </row>
    <row r="56" spans="5:138" hidden="1" outlineLevel="1" x14ac:dyDescent="0.2">
      <c r="E56" s="7"/>
      <c r="G56" s="8"/>
      <c r="I56" s="7"/>
      <c r="J56" s="9"/>
      <c r="K56" s="9"/>
      <c r="L56" s="9"/>
      <c r="M56" s="7"/>
      <c r="P56" s="8"/>
      <c r="Q56" s="8"/>
      <c r="R56" s="8"/>
      <c r="S56" s="8"/>
      <c r="W56" s="8"/>
      <c r="X56" s="8"/>
      <c r="Y56" s="8"/>
      <c r="Z56" s="8"/>
      <c r="AD56" s="8"/>
      <c r="AE56" s="8"/>
      <c r="AF56" s="8"/>
      <c r="AG56" s="8"/>
      <c r="AK56" s="8"/>
      <c r="AL56" s="8"/>
      <c r="AM56" s="8"/>
      <c r="AN56" s="8"/>
      <c r="AR56" s="8"/>
      <c r="AS56" s="8"/>
      <c r="AT56" s="8"/>
      <c r="AU56" s="8"/>
      <c r="AY56" s="8"/>
      <c r="AZ56" s="8"/>
      <c r="BA56" s="8"/>
      <c r="BB56" s="8"/>
      <c r="BF56" s="8"/>
      <c r="BG56" s="8"/>
      <c r="BH56" s="8"/>
      <c r="BI56" s="8"/>
      <c r="BM56" s="8"/>
      <c r="BN56" s="8"/>
      <c r="BO56" s="8"/>
      <c r="BP56" s="8"/>
      <c r="BT56" s="8"/>
      <c r="BU56" s="8"/>
      <c r="BV56" s="8"/>
      <c r="BW56" s="8"/>
      <c r="CA56" s="8"/>
      <c r="CB56" s="8"/>
      <c r="CC56" s="8"/>
      <c r="CD56" s="8"/>
      <c r="CH56" s="8"/>
      <c r="CI56" s="8"/>
      <c r="CJ56" s="8"/>
      <c r="CK56" s="8"/>
      <c r="CO56" s="8"/>
      <c r="CP56" s="8"/>
      <c r="CQ56" s="8"/>
      <c r="CR56" s="8"/>
      <c r="CV56" s="8"/>
      <c r="CW56" s="8"/>
      <c r="CX56" s="8"/>
      <c r="CY56" s="8"/>
      <c r="DC56" s="8"/>
      <c r="DD56" s="8"/>
      <c r="DE56" s="8"/>
      <c r="DF56" s="8"/>
      <c r="DJ56" s="8"/>
      <c r="DK56" s="8"/>
      <c r="DL56" s="8"/>
      <c r="DM56" s="8"/>
      <c r="DQ56" s="8"/>
      <c r="DR56" s="8"/>
      <c r="DS56" s="8"/>
      <c r="DT56" s="8"/>
      <c r="DX56" s="8"/>
      <c r="DY56" s="8"/>
      <c r="DZ56" s="8"/>
      <c r="EA56" s="8"/>
      <c r="EE56" s="8"/>
      <c r="EF56" s="8"/>
      <c r="EG56" s="8"/>
      <c r="EH56" s="8"/>
    </row>
    <row r="57" spans="5:138" collapsed="1" x14ac:dyDescent="0.2"/>
  </sheetData>
  <mergeCells count="19">
    <mergeCell ref="DI2:DN2"/>
    <mergeCell ref="DP2:DU2"/>
    <mergeCell ref="DW2:EB2"/>
    <mergeCell ref="ED2:EI2"/>
    <mergeCell ref="I2:M2"/>
    <mergeCell ref="O2:T2"/>
    <mergeCell ref="BE2:BJ2"/>
    <mergeCell ref="V2:AA2"/>
    <mergeCell ref="AC2:AH2"/>
    <mergeCell ref="AJ2:AO2"/>
    <mergeCell ref="AQ2:AV2"/>
    <mergeCell ref="AX2:BC2"/>
    <mergeCell ref="CU2:CZ2"/>
    <mergeCell ref="DB2:DG2"/>
    <mergeCell ref="BL2:BQ2"/>
    <mergeCell ref="BS2:BX2"/>
    <mergeCell ref="BZ2:CE2"/>
    <mergeCell ref="CG2:CL2"/>
    <mergeCell ref="CN2:CS2"/>
  </mergeCells>
  <conditionalFormatting sqref="J17">
    <cfRule type="colorScale" priority="193">
      <colorScale>
        <cfvo type="percent" val="0"/>
        <cfvo type="percent" val="100"/>
        <color rgb="FFFF231B"/>
        <color rgb="FF10FF07"/>
      </colorScale>
    </cfRule>
  </conditionalFormatting>
  <conditionalFormatting sqref="J18">
    <cfRule type="colorScale" priority="174">
      <colorScale>
        <cfvo type="percent" val="0"/>
        <cfvo type="percent" val="100"/>
        <color rgb="FFFF231B"/>
        <color rgb="FF10FF07"/>
      </colorScale>
    </cfRule>
  </conditionalFormatting>
  <conditionalFormatting sqref="J25:J35">
    <cfRule type="colorScale" priority="705">
      <colorScale>
        <cfvo type="percent" val="0"/>
        <cfvo type="percent" val="100"/>
        <color rgb="FFFF231B"/>
        <color rgb="FF10FF07"/>
      </colorScale>
    </cfRule>
  </conditionalFormatting>
  <conditionalFormatting sqref="J38:J44">
    <cfRule type="colorScale" priority="738">
      <colorScale>
        <cfvo type="percent" val="0"/>
        <cfvo type="percent" val="100"/>
        <color rgb="FFFF231B"/>
        <color rgb="FF10FF07"/>
      </colorScale>
    </cfRule>
  </conditionalFormatting>
  <conditionalFormatting sqref="J47:J56">
    <cfRule type="colorScale" priority="798">
      <colorScale>
        <cfvo type="percent" val="0"/>
        <cfvo type="percent" val="100"/>
        <color rgb="FFFF231B"/>
        <color rgb="FF10FF07"/>
      </colorScale>
    </cfRule>
  </conditionalFormatting>
  <conditionalFormatting sqref="J17:L17">
    <cfRule type="colorScale" priority="194">
      <colorScale>
        <cfvo type="percent" val="0"/>
        <cfvo type="percent" val="100"/>
        <color rgb="FFFF231B"/>
        <color rgb="FF10FF07"/>
      </colorScale>
    </cfRule>
  </conditionalFormatting>
  <conditionalFormatting sqref="J18:L18">
    <cfRule type="colorScale" priority="175">
      <colorScale>
        <cfvo type="percent" val="0"/>
        <cfvo type="percent" val="100"/>
        <color rgb="FFFF231B"/>
        <color rgb="FF10FF07"/>
      </colorScale>
    </cfRule>
  </conditionalFormatting>
  <conditionalFormatting sqref="J26:L35">
    <cfRule type="colorScale" priority="703">
      <colorScale>
        <cfvo type="percent" val="0"/>
        <cfvo type="percent" val="100"/>
        <color rgb="FFFF231B"/>
        <color rgb="FF10FF07"/>
      </colorScale>
    </cfRule>
  </conditionalFormatting>
  <conditionalFormatting sqref="J39:L44">
    <cfRule type="colorScale" priority="736">
      <colorScale>
        <cfvo type="percent" val="0"/>
        <cfvo type="percent" val="100"/>
        <color rgb="FFFF231B"/>
        <color rgb="FF10FF07"/>
      </colorScale>
    </cfRule>
  </conditionalFormatting>
  <conditionalFormatting sqref="J48:L56">
    <cfRule type="colorScale" priority="797">
      <colorScale>
        <cfvo type="percent" val="0"/>
        <cfvo type="percent" val="100"/>
        <color rgb="FFFF231B"/>
        <color rgb="FF10FF07"/>
      </colorScale>
    </cfRule>
  </conditionalFormatting>
  <conditionalFormatting sqref="K17:L17">
    <cfRule type="colorScale" priority="192">
      <colorScale>
        <cfvo type="percent" val="0"/>
        <cfvo type="percent" val="100"/>
        <color rgb="FFFF231B"/>
        <color rgb="FF10FF07"/>
      </colorScale>
    </cfRule>
  </conditionalFormatting>
  <conditionalFormatting sqref="K18:L18">
    <cfRule type="colorScale" priority="173">
      <colorScale>
        <cfvo type="percent" val="0"/>
        <cfvo type="percent" val="100"/>
        <color rgb="FFFF231B"/>
        <color rgb="FF10FF07"/>
      </colorScale>
    </cfRule>
  </conditionalFormatting>
  <conditionalFormatting sqref="K25:L35">
    <cfRule type="colorScale" priority="707">
      <colorScale>
        <cfvo type="percent" val="0"/>
        <cfvo type="percent" val="100"/>
        <color rgb="FFFF231B"/>
        <color rgb="FF10FF07"/>
      </colorScale>
    </cfRule>
  </conditionalFormatting>
  <conditionalFormatting sqref="K38:L44">
    <cfRule type="colorScale" priority="740">
      <colorScale>
        <cfvo type="percent" val="0"/>
        <cfvo type="percent" val="100"/>
        <color rgb="FFFF231B"/>
        <color rgb="FF10FF07"/>
      </colorScale>
    </cfRule>
  </conditionalFormatting>
  <conditionalFormatting sqref="K47:L56">
    <cfRule type="colorScale" priority="800">
      <colorScale>
        <cfvo type="percent" val="0"/>
        <cfvo type="percent" val="100"/>
        <color rgb="FFFF231B"/>
        <color rgb="FF10FF07"/>
      </colorScale>
    </cfRule>
  </conditionalFormatting>
  <conditionalFormatting sqref="P47:P56 R47:R56 W47:W56 Y47:Y56 AD47:AD56 AF47:AF56 AK47:AK56 AM47:AM56 AR47:AR56 AT47:AT56 AY47:AY56 BA47:BA56 BF47:BF56 BH47:BH56 BM47:BM56 BO47:BO56 P5:P13 R5:R13 AD5:AD13 AK5:AK13 AR5:AR13 AY5:AY13 BF5:BF13 BM5:BM13 BT5:BT13 CA5:CA13 CH5:CH13 CJ5:CJ13 CQ5:CQ13 CV5:CV13 CX5:CX13 DC5:DC13 DE5:DE13 DJ5:DJ13 DL5:DL13 DQ5:DQ13 DS5:DS13 DX5:DX13 DZ5:DZ13 EE5:EE13 EG5:EG13 P16:P22 R16:R22 W16:W22 Y16:Y22 BF16:BF22 BM16:BM22 BT16:BT22 CA16:CA22 CH16:CH22 CJ16:CJ22 CO16:CO22 CQ16:CQ22 CV16:CV22 CX16:CX22 DC16:DC22 DE16:DE22 DJ16:DJ22 DL16:DL22 DQ16:DQ22 DS16:DS22 DX16:DX22 DZ16:DZ22 EE16:EE22 EG16:EG22 CO5:CO11 CC5:CC13 CC16:CC22 BV5:BV13 BO5:BO13 BH5:BH13 BA5:BA13 AT5:AT13 AM5:AM13 AF5:AF13 W5:W13 Y5:Y13 BV16:BV22 BO16:BO22 BH16:BH22 AY16:AY22 BA16:BA22 AR16:AR22 AT16:AT22 AK16:AK22 AM16:AM22 AD16:AD22 AF16:AF22">
    <cfRule type="expression" dxfId="185" priority="613">
      <formula>OR(IF(P5&lt;Q5,TRUE),IF(AND(Q5="",P5&lt;&gt;""),TRUE))</formula>
    </cfRule>
    <cfRule type="expression" dxfId="184" priority="614">
      <formula>IF(P5&gt;=Q5,IF(P5="",FALSE,TRUE))</formula>
    </cfRule>
  </conditionalFormatting>
  <conditionalFormatting sqref="P25:P35">
    <cfRule type="expression" dxfId="183" priority="554">
      <formula>OR(IF(P25&lt;Q25,TRUE),IF(AND(Q25="",P25&lt;&gt;""),TRUE))</formula>
    </cfRule>
    <cfRule type="expression" dxfId="182" priority="555">
      <formula>IF(P25&gt;=Q25,IF(P25="",FALSE,TRUE))</formula>
    </cfRule>
  </conditionalFormatting>
  <conditionalFormatting sqref="P38:P44">
    <cfRule type="expression" dxfId="181" priority="341">
      <formula>OR(IF(P38&lt;Q38,TRUE),IF(AND(Q38="",P38&lt;&gt;""),TRUE))</formula>
    </cfRule>
    <cfRule type="expression" dxfId="180" priority="342">
      <formula>IF(P38&gt;=Q38,IF(P38="",FALSE,TRUE))</formula>
    </cfRule>
  </conditionalFormatting>
  <conditionalFormatting sqref="R25:R35">
    <cfRule type="expression" dxfId="179" priority="552">
      <formula>OR(IF(R25&lt;S25,TRUE),IF(AND(S25="",R25&lt;&gt;""),TRUE))</formula>
    </cfRule>
    <cfRule type="expression" dxfId="178" priority="553">
      <formula>IF(R25&gt;=S25,IF(R25="",FALSE,TRUE))</formula>
    </cfRule>
  </conditionalFormatting>
  <conditionalFormatting sqref="R38:R44">
    <cfRule type="expression" dxfId="177" priority="339">
      <formula>OR(IF(R38&lt;S38,TRUE),IF(AND(S38="",R38&lt;&gt;""),TRUE))</formula>
    </cfRule>
    <cfRule type="expression" dxfId="176" priority="340">
      <formula>IF(R38&gt;=S38,IF(R38="",FALSE,TRUE))</formula>
    </cfRule>
  </conditionalFormatting>
  <conditionalFormatting sqref="W25:W35">
    <cfRule type="expression" dxfId="175" priority="524">
      <formula>OR(IF(W25&lt;X25,TRUE),IF(AND(X25="",W25&lt;&gt;""),TRUE))</formula>
    </cfRule>
    <cfRule type="expression" dxfId="174" priority="525">
      <formula>IF(W25&gt;=X25,IF(W25="",FALSE,TRUE))</formula>
    </cfRule>
  </conditionalFormatting>
  <conditionalFormatting sqref="W38:W44">
    <cfRule type="expression" dxfId="173" priority="333">
      <formula>OR(IF(W38&lt;X38,TRUE),IF(AND(X38="",W38&lt;&gt;""),TRUE))</formula>
    </cfRule>
    <cfRule type="expression" dxfId="172" priority="334">
      <formula>IF(W38&gt;=X38,IF(W38="",FALSE,TRUE))</formula>
    </cfRule>
  </conditionalFormatting>
  <conditionalFormatting sqref="Y25:Y35">
    <cfRule type="expression" dxfId="171" priority="522">
      <formula>OR(IF(Y25&lt;Z25,TRUE),IF(AND(Z25="",Y25&lt;&gt;""),TRUE))</formula>
    </cfRule>
    <cfRule type="expression" dxfId="170" priority="523">
      <formula>IF(Y25&gt;=Z25,IF(Y25="",FALSE,TRUE))</formula>
    </cfRule>
  </conditionalFormatting>
  <conditionalFormatting sqref="Y38:Y44">
    <cfRule type="expression" dxfId="169" priority="331">
      <formula>OR(IF(Y38&lt;Z38,TRUE),IF(AND(Z38="",Y38&lt;&gt;""),TRUE))</formula>
    </cfRule>
    <cfRule type="expression" dxfId="168" priority="332">
      <formula>IF(Y38&gt;=Z38,IF(Y38="",FALSE,TRUE))</formula>
    </cfRule>
  </conditionalFormatting>
  <conditionalFormatting sqref="AD25:AD35">
    <cfRule type="expression" dxfId="167" priority="508">
      <formula>OR(IF(AD25&lt;AE25,TRUE),IF(AND(AE25="",AD25&lt;&gt;""),TRUE))</formula>
    </cfRule>
    <cfRule type="expression" dxfId="166" priority="509">
      <formula>IF(AD25&gt;=AE25,IF(AD25="",FALSE,TRUE))</formula>
    </cfRule>
  </conditionalFormatting>
  <conditionalFormatting sqref="AD38:AD44">
    <cfRule type="expression" dxfId="165" priority="325">
      <formula>OR(IF(AD38&lt;AE38,TRUE),IF(AND(AE38="",AD38&lt;&gt;""),TRUE))</formula>
    </cfRule>
    <cfRule type="expression" dxfId="164" priority="326">
      <formula>IF(AD38&gt;=AE38,IF(AD38="",FALSE,TRUE))</formula>
    </cfRule>
  </conditionalFormatting>
  <conditionalFormatting sqref="AF25:AF35">
    <cfRule type="expression" dxfId="163" priority="506">
      <formula>OR(IF(AF25&lt;AG25,TRUE),IF(AND(AG25="",AF25&lt;&gt;""),TRUE))</formula>
    </cfRule>
    <cfRule type="expression" dxfId="162" priority="507">
      <formula>IF(AF25&gt;=AG25,IF(AF25="",FALSE,TRUE))</formula>
    </cfRule>
  </conditionalFormatting>
  <conditionalFormatting sqref="AF38:AF44">
    <cfRule type="expression" dxfId="161" priority="323">
      <formula>OR(IF(AF38&lt;AG38,TRUE),IF(AND(AG38="",AF38&lt;&gt;""),TRUE))</formula>
    </cfRule>
    <cfRule type="expression" dxfId="160" priority="324">
      <formula>IF(AF38&gt;=AG38,IF(AF38="",FALSE,TRUE))</formula>
    </cfRule>
  </conditionalFormatting>
  <conditionalFormatting sqref="AK25:AK35">
    <cfRule type="expression" dxfId="159" priority="492">
      <formula>OR(IF(AK25&lt;AL25,TRUE),IF(AND(AL25="",AK25&lt;&gt;""),TRUE))</formula>
    </cfRule>
    <cfRule type="expression" dxfId="158" priority="493">
      <formula>IF(AK25&gt;=AL25,IF(AK25="",FALSE,TRUE))</formula>
    </cfRule>
  </conditionalFormatting>
  <conditionalFormatting sqref="AK38:AK44">
    <cfRule type="expression" dxfId="157" priority="317">
      <formula>OR(IF(AK38&lt;AL38,TRUE),IF(AND(AL38="",AK38&lt;&gt;""),TRUE))</formula>
    </cfRule>
    <cfRule type="expression" dxfId="156" priority="318">
      <formula>IF(AK38&gt;=AL38,IF(AK38="",FALSE,TRUE))</formula>
    </cfRule>
  </conditionalFormatting>
  <conditionalFormatting sqref="AM25:AM35">
    <cfRule type="expression" dxfId="155" priority="490">
      <formula>OR(IF(AM25&lt;AN25,TRUE),IF(AND(AN25="",AM25&lt;&gt;""),TRUE))</formula>
    </cfRule>
    <cfRule type="expression" dxfId="154" priority="491">
      <formula>IF(AM25&gt;=AN25,IF(AM25="",FALSE,TRUE))</formula>
    </cfRule>
  </conditionalFormatting>
  <conditionalFormatting sqref="AM38:AM44">
    <cfRule type="expression" dxfId="153" priority="315">
      <formula>OR(IF(AM38&lt;AN38,TRUE),IF(AND(AN38="",AM38&lt;&gt;""),TRUE))</formula>
    </cfRule>
    <cfRule type="expression" dxfId="152" priority="316">
      <formula>IF(AM38&gt;=AN38,IF(AM38="",FALSE,TRUE))</formula>
    </cfRule>
  </conditionalFormatting>
  <conditionalFormatting sqref="AR25:AR35">
    <cfRule type="expression" dxfId="151" priority="476">
      <formula>OR(IF(AR25&lt;AS25,TRUE),IF(AND(AS25="",AR25&lt;&gt;""),TRUE))</formula>
    </cfRule>
    <cfRule type="expression" dxfId="150" priority="477">
      <formula>IF(AR25&gt;=AS25,IF(AR25="",FALSE,TRUE))</formula>
    </cfRule>
  </conditionalFormatting>
  <conditionalFormatting sqref="AR38:AR44">
    <cfRule type="expression" dxfId="149" priority="309">
      <formula>OR(IF(AR38&lt;AS38,TRUE),IF(AND(AS38="",AR38&lt;&gt;""),TRUE))</formula>
    </cfRule>
    <cfRule type="expression" dxfId="148" priority="310">
      <formula>IF(AR38&gt;=AS38,IF(AR38="",FALSE,TRUE))</formula>
    </cfRule>
  </conditionalFormatting>
  <conditionalFormatting sqref="AT25:AT35">
    <cfRule type="expression" dxfId="147" priority="474">
      <formula>OR(IF(AT25&lt;AU25,TRUE),IF(AND(AU25="",AT25&lt;&gt;""),TRUE))</formula>
    </cfRule>
    <cfRule type="expression" dxfId="146" priority="475">
      <formula>IF(AT25&gt;=AU25,IF(AT25="",FALSE,TRUE))</formula>
    </cfRule>
  </conditionalFormatting>
  <conditionalFormatting sqref="AT38:AT44">
    <cfRule type="expression" dxfId="145" priority="307">
      <formula>OR(IF(AT38&lt;AU38,TRUE),IF(AND(AU38="",AT38&lt;&gt;""),TRUE))</formula>
    </cfRule>
    <cfRule type="expression" dxfId="144" priority="308">
      <formula>IF(AT38&gt;=AU38,IF(AT38="",FALSE,TRUE))</formula>
    </cfRule>
  </conditionalFormatting>
  <conditionalFormatting sqref="AY25:AY35">
    <cfRule type="expression" dxfId="143" priority="460">
      <formula>OR(IF(AY25&lt;AZ25,TRUE),IF(AND(AZ25="",AY25&lt;&gt;""),TRUE))</formula>
    </cfRule>
    <cfRule type="expression" dxfId="142" priority="461">
      <formula>IF(AY25&gt;=AZ25,IF(AY25="",FALSE,TRUE))</formula>
    </cfRule>
  </conditionalFormatting>
  <conditionalFormatting sqref="AY38:AY44">
    <cfRule type="expression" dxfId="141" priority="301">
      <formula>OR(IF(AY38&lt;AZ38,TRUE),IF(AND(AZ38="",AY38&lt;&gt;""),TRUE))</formula>
    </cfRule>
    <cfRule type="expression" dxfId="140" priority="302">
      <formula>IF(AY38&gt;=AZ38,IF(AY38="",FALSE,TRUE))</formula>
    </cfRule>
  </conditionalFormatting>
  <conditionalFormatting sqref="BA25:BA35">
    <cfRule type="expression" dxfId="139" priority="458">
      <formula>OR(IF(BA25&lt;BB25,TRUE),IF(AND(BB25="",BA25&lt;&gt;""),TRUE))</formula>
    </cfRule>
    <cfRule type="expression" dxfId="138" priority="459">
      <formula>IF(BA25&gt;=BB25,IF(BA25="",FALSE,TRUE))</formula>
    </cfRule>
  </conditionalFormatting>
  <conditionalFormatting sqref="BA38:BA44">
    <cfRule type="expression" dxfId="137" priority="299">
      <formula>OR(IF(BA38&lt;BB38,TRUE),IF(AND(BB38="",BA38&lt;&gt;""),TRUE))</formula>
    </cfRule>
    <cfRule type="expression" dxfId="136" priority="300">
      <formula>IF(BA38&gt;=BB38,IF(BA38="",FALSE,TRUE))</formula>
    </cfRule>
  </conditionalFormatting>
  <conditionalFormatting sqref="BF25:BF35">
    <cfRule type="expression" dxfId="135" priority="444">
      <formula>OR(IF(BF25&lt;BG25,TRUE),IF(AND(BG25="",BF25&lt;&gt;""),TRUE))</formula>
    </cfRule>
    <cfRule type="expression" dxfId="134" priority="445">
      <formula>IF(BF25&gt;=BG25,IF(BF25="",FALSE,TRUE))</formula>
    </cfRule>
  </conditionalFormatting>
  <conditionalFormatting sqref="BF38:BF44">
    <cfRule type="expression" dxfId="133" priority="293">
      <formula>OR(IF(BF38&lt;BG38,TRUE),IF(AND(BG38="",BF38&lt;&gt;""),TRUE))</formula>
    </cfRule>
    <cfRule type="expression" dxfId="132" priority="294">
      <formula>IF(BF38&gt;=BG38,IF(BF38="",FALSE,TRUE))</formula>
    </cfRule>
  </conditionalFormatting>
  <conditionalFormatting sqref="BH25:BH35">
    <cfRule type="expression" dxfId="131" priority="442">
      <formula>OR(IF(BH25&lt;BI25,TRUE),IF(AND(BI25="",BH25&lt;&gt;""),TRUE))</formula>
    </cfRule>
    <cfRule type="expression" dxfId="130" priority="443">
      <formula>IF(BH25&gt;=BI25,IF(BH25="",FALSE,TRUE))</formula>
    </cfRule>
  </conditionalFormatting>
  <conditionalFormatting sqref="BH38:BH44">
    <cfRule type="expression" dxfId="129" priority="291">
      <formula>OR(IF(BH38&lt;BI38,TRUE),IF(AND(BI38="",BH38&lt;&gt;""),TRUE))</formula>
    </cfRule>
    <cfRule type="expression" dxfId="128" priority="292">
      <formula>IF(BH38&gt;=BI38,IF(BH38="",FALSE,TRUE))</formula>
    </cfRule>
  </conditionalFormatting>
  <conditionalFormatting sqref="BM25:BM35">
    <cfRule type="expression" dxfId="127" priority="420">
      <formula>OR(IF(BM25&lt;BN25,TRUE),IF(AND(BN25="",BM25&lt;&gt;""),TRUE))</formula>
    </cfRule>
    <cfRule type="expression" dxfId="126" priority="421">
      <formula>IF(BM25&gt;=BN25,IF(BM25="",FALSE,TRUE))</formula>
    </cfRule>
  </conditionalFormatting>
  <conditionalFormatting sqref="BM38:BM44">
    <cfRule type="expression" dxfId="125" priority="282">
      <formula>OR(IF(BM38&lt;BN38,TRUE),IF(AND(BN38="",BM38&lt;&gt;""),TRUE))</formula>
    </cfRule>
    <cfRule type="expression" dxfId="124" priority="283">
      <formula>IF(BM38&gt;=BN38,IF(BM38="",FALSE,TRUE))</formula>
    </cfRule>
  </conditionalFormatting>
  <conditionalFormatting sqref="BO25:BO35">
    <cfRule type="expression" dxfId="123" priority="418">
      <formula>OR(IF(BO25&lt;BP25,TRUE),IF(AND(BP25="",BO25&lt;&gt;""),TRUE))</formula>
    </cfRule>
    <cfRule type="expression" dxfId="122" priority="419">
      <formula>IF(BO25&gt;=BP25,IF(BO25="",FALSE,TRUE))</formula>
    </cfRule>
  </conditionalFormatting>
  <conditionalFormatting sqref="BO38:BO44">
    <cfRule type="expression" dxfId="121" priority="280">
      <formula>OR(IF(BO38&lt;BP38,TRUE),IF(AND(BP38="",BO38&lt;&gt;""),TRUE))</formula>
    </cfRule>
    <cfRule type="expression" dxfId="120" priority="281">
      <formula>IF(BO38&gt;=BP38,IF(BO38="",FALSE,TRUE))</formula>
    </cfRule>
  </conditionalFormatting>
  <conditionalFormatting sqref="BT47:BT56 BV47:BV56">
    <cfRule type="expression" dxfId="119" priority="169">
      <formula>OR(IF(BT47&lt;BU47,TRUE),IF(AND(BU47="",BT47&lt;&gt;""),TRUE))</formula>
    </cfRule>
    <cfRule type="expression" dxfId="118" priority="170">
      <formula>IF(BT47&gt;=BU47,IF(BT47="",FALSE,TRUE))</formula>
    </cfRule>
  </conditionalFormatting>
  <conditionalFormatting sqref="BT25:BT35">
    <cfRule type="expression" dxfId="117" priority="165">
      <formula>OR(IF(BT25&lt;BU25,TRUE),IF(AND(BU25="",BT25&lt;&gt;""),TRUE))</formula>
    </cfRule>
    <cfRule type="expression" dxfId="116" priority="166">
      <formula>IF(BT25&gt;=BU25,IF(BT25="",FALSE,TRUE))</formula>
    </cfRule>
  </conditionalFormatting>
  <conditionalFormatting sqref="BT38:BT44">
    <cfRule type="expression" dxfId="115" priority="157">
      <formula>OR(IF(BT38&lt;BU38,TRUE),IF(AND(BU38="",BT38&lt;&gt;""),TRUE))</formula>
    </cfRule>
    <cfRule type="expression" dxfId="114" priority="158">
      <formula>IF(BT38&gt;=BU38,IF(BT38="",FALSE,TRUE))</formula>
    </cfRule>
  </conditionalFormatting>
  <conditionalFormatting sqref="BV25:BV35">
    <cfRule type="expression" dxfId="113" priority="163">
      <formula>OR(IF(BV25&lt;BW25,TRUE),IF(AND(BW25="",BV25&lt;&gt;""),TRUE))</formula>
    </cfRule>
    <cfRule type="expression" dxfId="112" priority="164">
      <formula>IF(BV25&gt;=BW25,IF(BV25="",FALSE,TRUE))</formula>
    </cfRule>
  </conditionalFormatting>
  <conditionalFormatting sqref="BV38:BV44">
    <cfRule type="expression" dxfId="111" priority="155">
      <formula>OR(IF(BV38&lt;BW38,TRUE),IF(AND(BW38="",BV38&lt;&gt;""),TRUE))</formula>
    </cfRule>
    <cfRule type="expression" dxfId="110" priority="156">
      <formula>IF(BV38&gt;=BW38,IF(BV38="",FALSE,TRUE))</formula>
    </cfRule>
  </conditionalFormatting>
  <conditionalFormatting sqref="CA47:CA56 CC47:CC56">
    <cfRule type="expression" dxfId="109" priority="149">
      <formula>OR(IF(CA47&lt;CB47,TRUE),IF(AND(CB47="",CA47&lt;&gt;""),TRUE))</formula>
    </cfRule>
    <cfRule type="expression" dxfId="108" priority="150">
      <formula>IF(CA47&gt;=CB47,IF(CA47="",FALSE,TRUE))</formula>
    </cfRule>
  </conditionalFormatting>
  <conditionalFormatting sqref="CA25:CA35">
    <cfRule type="expression" dxfId="107" priority="145">
      <formula>OR(IF(CA25&lt;CB25,TRUE),IF(AND(CB25="",CA25&lt;&gt;""),TRUE))</formula>
    </cfRule>
    <cfRule type="expression" dxfId="106" priority="146">
      <formula>IF(CA25&gt;=CB25,IF(CA25="",FALSE,TRUE))</formula>
    </cfRule>
  </conditionalFormatting>
  <conditionalFormatting sqref="CA38:CA44">
    <cfRule type="expression" dxfId="105" priority="137">
      <formula>OR(IF(CA38&lt;CB38,TRUE),IF(AND(CB38="",CA38&lt;&gt;""),TRUE))</formula>
    </cfRule>
    <cfRule type="expression" dxfId="104" priority="138">
      <formula>IF(CA38&gt;=CB38,IF(CA38="",FALSE,TRUE))</formula>
    </cfRule>
  </conditionalFormatting>
  <conditionalFormatting sqref="CC25:CC35">
    <cfRule type="expression" dxfId="103" priority="143">
      <formula>OR(IF(CC25&lt;CD25,TRUE),IF(AND(CD25="",CC25&lt;&gt;""),TRUE))</formula>
    </cfRule>
    <cfRule type="expression" dxfId="102" priority="144">
      <formula>IF(CC25&gt;=CD25,IF(CC25="",FALSE,TRUE))</formula>
    </cfRule>
  </conditionalFormatting>
  <conditionalFormatting sqref="CC38:CC44">
    <cfRule type="expression" dxfId="101" priority="135">
      <formula>OR(IF(CC38&lt;CD38,TRUE),IF(AND(CD38="",CC38&lt;&gt;""),TRUE))</formula>
    </cfRule>
    <cfRule type="expression" dxfId="100" priority="136">
      <formula>IF(CC38&gt;=CD38,IF(CC38="",FALSE,TRUE))</formula>
    </cfRule>
  </conditionalFormatting>
  <conditionalFormatting sqref="CH47:CH56 CJ47:CJ56">
    <cfRule type="expression" dxfId="99" priority="129">
      <formula>OR(IF(CH47&lt;CI47,TRUE),IF(AND(CI47="",CH47&lt;&gt;""),TRUE))</formula>
    </cfRule>
    <cfRule type="expression" dxfId="98" priority="130">
      <formula>IF(CH47&gt;=CI47,IF(CH47="",FALSE,TRUE))</formula>
    </cfRule>
  </conditionalFormatting>
  <conditionalFormatting sqref="CH25:CH35">
    <cfRule type="expression" dxfId="97" priority="125">
      <formula>OR(IF(CH25&lt;CI25,TRUE),IF(AND(CI25="",CH25&lt;&gt;""),TRUE))</formula>
    </cfRule>
    <cfRule type="expression" dxfId="96" priority="126">
      <formula>IF(CH25&gt;=CI25,IF(CH25="",FALSE,TRUE))</formula>
    </cfRule>
  </conditionalFormatting>
  <conditionalFormatting sqref="CH38:CH44">
    <cfRule type="expression" dxfId="95" priority="117">
      <formula>OR(IF(CH38&lt;CI38,TRUE),IF(AND(CI38="",CH38&lt;&gt;""),TRUE))</formula>
    </cfRule>
    <cfRule type="expression" dxfId="94" priority="118">
      <formula>IF(CH38&gt;=CI38,IF(CH38="",FALSE,TRUE))</formula>
    </cfRule>
  </conditionalFormatting>
  <conditionalFormatting sqref="CJ25:CJ35">
    <cfRule type="expression" dxfId="93" priority="123">
      <formula>OR(IF(CJ25&lt;CK25,TRUE),IF(AND(CK25="",CJ25&lt;&gt;""),TRUE))</formula>
    </cfRule>
    <cfRule type="expression" dxfId="92" priority="124">
      <formula>IF(CJ25&gt;=CK25,IF(CJ25="",FALSE,TRUE))</formula>
    </cfRule>
  </conditionalFormatting>
  <conditionalFormatting sqref="CJ38:CJ44">
    <cfRule type="expression" dxfId="91" priority="115">
      <formula>OR(IF(CJ38&lt;CK38,TRUE),IF(AND(CK38="",CJ38&lt;&gt;""),TRUE))</formula>
    </cfRule>
    <cfRule type="expression" dxfId="90" priority="116">
      <formula>IF(CJ38&gt;=CK38,IF(CJ38="",FALSE,TRUE))</formula>
    </cfRule>
  </conditionalFormatting>
  <conditionalFormatting sqref="CO47:CO56 CQ47:CQ56">
    <cfRule type="expression" dxfId="89" priority="109">
      <formula>OR(IF(CO47&lt;CP47,TRUE),IF(AND(CP47="",CO47&lt;&gt;""),TRUE))</formula>
    </cfRule>
    <cfRule type="expression" dxfId="88" priority="110">
      <formula>IF(CO47&gt;=CP47,IF(CO47="",FALSE,TRUE))</formula>
    </cfRule>
  </conditionalFormatting>
  <conditionalFormatting sqref="CO25:CO35">
    <cfRule type="expression" dxfId="87" priority="105">
      <formula>OR(IF(CO25&lt;CP25,TRUE),IF(AND(CP25="",CO25&lt;&gt;""),TRUE))</formula>
    </cfRule>
    <cfRule type="expression" dxfId="86" priority="106">
      <formula>IF(CO25&gt;=CP25,IF(CO25="",FALSE,TRUE))</formula>
    </cfRule>
  </conditionalFormatting>
  <conditionalFormatting sqref="CO38:CO44">
    <cfRule type="expression" dxfId="85" priority="97">
      <formula>OR(IF(CO38&lt;CP38,TRUE),IF(AND(CP38="",CO38&lt;&gt;""),TRUE))</formula>
    </cfRule>
    <cfRule type="expression" dxfId="84" priority="98">
      <formula>IF(CO38&gt;=CP38,IF(CO38="",FALSE,TRUE))</formula>
    </cfRule>
  </conditionalFormatting>
  <conditionalFormatting sqref="CQ25:CQ35">
    <cfRule type="expression" dxfId="83" priority="103">
      <formula>OR(IF(CQ25&lt;CR25,TRUE),IF(AND(CR25="",CQ25&lt;&gt;""),TRUE))</formula>
    </cfRule>
    <cfRule type="expression" dxfId="82" priority="104">
      <formula>IF(CQ25&gt;=CR25,IF(CQ25="",FALSE,TRUE))</formula>
    </cfRule>
  </conditionalFormatting>
  <conditionalFormatting sqref="CQ38:CQ44">
    <cfRule type="expression" dxfId="81" priority="95">
      <formula>OR(IF(CQ38&lt;CR38,TRUE),IF(AND(CR38="",CQ38&lt;&gt;""),TRUE))</formula>
    </cfRule>
    <cfRule type="expression" dxfId="80" priority="96">
      <formula>IF(CQ38&gt;=CR38,IF(CQ38="",FALSE,TRUE))</formula>
    </cfRule>
  </conditionalFormatting>
  <conditionalFormatting sqref="CV47:CV56 CX47:CX56">
    <cfRule type="expression" dxfId="79" priority="89">
      <formula>OR(IF(CV47&lt;CW47,TRUE),IF(AND(CW47="",CV47&lt;&gt;""),TRUE))</formula>
    </cfRule>
    <cfRule type="expression" dxfId="78" priority="90">
      <formula>IF(CV47&gt;=CW47,IF(CV47="",FALSE,TRUE))</formula>
    </cfRule>
  </conditionalFormatting>
  <conditionalFormatting sqref="CV25:CV35">
    <cfRule type="expression" dxfId="77" priority="85">
      <formula>OR(IF(CV25&lt;CW25,TRUE),IF(AND(CW25="",CV25&lt;&gt;""),TRUE))</formula>
    </cfRule>
    <cfRule type="expression" dxfId="76" priority="86">
      <formula>IF(CV25&gt;=CW25,IF(CV25="",FALSE,TRUE))</formula>
    </cfRule>
  </conditionalFormatting>
  <conditionalFormatting sqref="CV38:CV44">
    <cfRule type="expression" dxfId="75" priority="77">
      <formula>OR(IF(CV38&lt;CW38,TRUE),IF(AND(CW38="",CV38&lt;&gt;""),TRUE))</formula>
    </cfRule>
    <cfRule type="expression" dxfId="74" priority="78">
      <formula>IF(CV38&gt;=CW38,IF(CV38="",FALSE,TRUE))</formula>
    </cfRule>
  </conditionalFormatting>
  <conditionalFormatting sqref="CX25:CX35">
    <cfRule type="expression" dxfId="73" priority="83">
      <formula>OR(IF(CX25&lt;CY25,TRUE),IF(AND(CY25="",CX25&lt;&gt;""),TRUE))</formula>
    </cfRule>
    <cfRule type="expression" dxfId="72" priority="84">
      <formula>IF(CX25&gt;=CY25,IF(CX25="",FALSE,TRUE))</formula>
    </cfRule>
  </conditionalFormatting>
  <conditionalFormatting sqref="CX38:CX44">
    <cfRule type="expression" dxfId="71" priority="75">
      <formula>OR(IF(CX38&lt;CY38,TRUE),IF(AND(CY38="",CX38&lt;&gt;""),TRUE))</formula>
    </cfRule>
    <cfRule type="expression" dxfId="70" priority="76">
      <formula>IF(CX38&gt;=CY38,IF(CX38="",FALSE,TRUE))</formula>
    </cfRule>
  </conditionalFormatting>
  <conditionalFormatting sqref="DC47:DC56 DE47:DE56">
    <cfRule type="expression" dxfId="69" priority="69">
      <formula>OR(IF(DC47&lt;DD47,TRUE),IF(AND(DD47="",DC47&lt;&gt;""),TRUE))</formula>
    </cfRule>
    <cfRule type="expression" dxfId="68" priority="70">
      <formula>IF(DC47&gt;=DD47,IF(DC47="",FALSE,TRUE))</formula>
    </cfRule>
  </conditionalFormatting>
  <conditionalFormatting sqref="DC25:DC35">
    <cfRule type="expression" dxfId="67" priority="65">
      <formula>OR(IF(DC25&lt;DD25,TRUE),IF(AND(DD25="",DC25&lt;&gt;""),TRUE))</formula>
    </cfRule>
    <cfRule type="expression" dxfId="66" priority="66">
      <formula>IF(DC25&gt;=DD25,IF(DC25="",FALSE,TRUE))</formula>
    </cfRule>
  </conditionalFormatting>
  <conditionalFormatting sqref="DC38:DC44">
    <cfRule type="expression" dxfId="65" priority="57">
      <formula>OR(IF(DC38&lt;DD38,TRUE),IF(AND(DD38="",DC38&lt;&gt;""),TRUE))</formula>
    </cfRule>
    <cfRule type="expression" dxfId="64" priority="58">
      <formula>IF(DC38&gt;=DD38,IF(DC38="",FALSE,TRUE))</formula>
    </cfRule>
  </conditionalFormatting>
  <conditionalFormatting sqref="DE25:DE35">
    <cfRule type="expression" dxfId="63" priority="63">
      <formula>OR(IF(DE25&lt;DF25,TRUE),IF(AND(DF25="",DE25&lt;&gt;""),TRUE))</formula>
    </cfRule>
    <cfRule type="expression" dxfId="62" priority="64">
      <formula>IF(DE25&gt;=DF25,IF(DE25="",FALSE,TRUE))</formula>
    </cfRule>
  </conditionalFormatting>
  <conditionalFormatting sqref="DE38:DE44">
    <cfRule type="expression" dxfId="61" priority="55">
      <formula>OR(IF(DE38&lt;DF38,TRUE),IF(AND(DF38="",DE38&lt;&gt;""),TRUE))</formula>
    </cfRule>
    <cfRule type="expression" dxfId="60" priority="56">
      <formula>IF(DE38&gt;=DF38,IF(DE38="",FALSE,TRUE))</formula>
    </cfRule>
  </conditionalFormatting>
  <conditionalFormatting sqref="DJ47:DJ56 DL47:DL56">
    <cfRule type="expression" dxfId="59" priority="47">
      <formula>OR(IF(DJ47&lt;DK47,TRUE),IF(AND(DK47="",DJ47&lt;&gt;""),TRUE))</formula>
    </cfRule>
    <cfRule type="expression" dxfId="58" priority="48">
      <formula>IF(DJ47&gt;=DK47,IF(DJ47="",FALSE,TRUE))</formula>
    </cfRule>
  </conditionalFormatting>
  <conditionalFormatting sqref="DJ25:DJ35">
    <cfRule type="expression" dxfId="57" priority="45">
      <formula>OR(IF(DJ25&lt;DK25,TRUE),IF(AND(DK25="",DJ25&lt;&gt;""),TRUE))</formula>
    </cfRule>
    <cfRule type="expression" dxfId="56" priority="46">
      <formula>IF(DJ25&gt;=DK25,IF(DJ25="",FALSE,TRUE))</formula>
    </cfRule>
  </conditionalFormatting>
  <conditionalFormatting sqref="DJ38:DJ44">
    <cfRule type="expression" dxfId="55" priority="41">
      <formula>OR(IF(DJ38&lt;DK38,TRUE),IF(AND(DK38="",DJ38&lt;&gt;""),TRUE))</formula>
    </cfRule>
    <cfRule type="expression" dxfId="54" priority="42">
      <formula>IF(DJ38&gt;=DK38,IF(DJ38="",FALSE,TRUE))</formula>
    </cfRule>
  </conditionalFormatting>
  <conditionalFormatting sqref="DL25:DL35">
    <cfRule type="expression" dxfId="53" priority="43">
      <formula>OR(IF(DL25&lt;DM25,TRUE),IF(AND(DM25="",DL25&lt;&gt;""),TRUE))</formula>
    </cfRule>
    <cfRule type="expression" dxfId="52" priority="44">
      <formula>IF(DL25&gt;=DM25,IF(DL25="",FALSE,TRUE))</formula>
    </cfRule>
  </conditionalFormatting>
  <conditionalFormatting sqref="DL38:DL44">
    <cfRule type="expression" dxfId="51" priority="39">
      <formula>OR(IF(DL38&lt;DM38,TRUE),IF(AND(DM38="",DL38&lt;&gt;""),TRUE))</formula>
    </cfRule>
    <cfRule type="expression" dxfId="50" priority="40">
      <formula>IF(DL38&gt;=DM38,IF(DL38="",FALSE,TRUE))</formula>
    </cfRule>
  </conditionalFormatting>
  <conditionalFormatting sqref="DQ47:DQ56 DS47:DS56">
    <cfRule type="expression" dxfId="49" priority="35">
      <formula>OR(IF(DQ47&lt;DR47,TRUE),IF(AND(DR47="",DQ47&lt;&gt;""),TRUE))</formula>
    </cfRule>
    <cfRule type="expression" dxfId="48" priority="36">
      <formula>IF(DQ47&gt;=DR47,IF(DQ47="",FALSE,TRUE))</formula>
    </cfRule>
  </conditionalFormatting>
  <conditionalFormatting sqref="DQ25:DQ35">
    <cfRule type="expression" dxfId="47" priority="33">
      <formula>OR(IF(DQ25&lt;DR25,TRUE),IF(AND(DR25="",DQ25&lt;&gt;""),TRUE))</formula>
    </cfRule>
    <cfRule type="expression" dxfId="46" priority="34">
      <formula>IF(DQ25&gt;=DR25,IF(DQ25="",FALSE,TRUE))</formula>
    </cfRule>
  </conditionalFormatting>
  <conditionalFormatting sqref="DQ38:DQ44">
    <cfRule type="expression" dxfId="45" priority="29">
      <formula>OR(IF(DQ38&lt;DR38,TRUE),IF(AND(DR38="",DQ38&lt;&gt;""),TRUE))</formula>
    </cfRule>
    <cfRule type="expression" dxfId="44" priority="30">
      <formula>IF(DQ38&gt;=DR38,IF(DQ38="",FALSE,TRUE))</formula>
    </cfRule>
  </conditionalFormatting>
  <conditionalFormatting sqref="DS25:DS35">
    <cfRule type="expression" dxfId="43" priority="31">
      <formula>OR(IF(DS25&lt;DT25,TRUE),IF(AND(DT25="",DS25&lt;&gt;""),TRUE))</formula>
    </cfRule>
    <cfRule type="expression" dxfId="42" priority="32">
      <formula>IF(DS25&gt;=DT25,IF(DS25="",FALSE,TRUE))</formula>
    </cfRule>
  </conditionalFormatting>
  <conditionalFormatting sqref="DS38:DS44">
    <cfRule type="expression" dxfId="41" priority="27">
      <formula>OR(IF(DS38&lt;DT38,TRUE),IF(AND(DT38="",DS38&lt;&gt;""),TRUE))</formula>
    </cfRule>
    <cfRule type="expression" dxfId="40" priority="28">
      <formula>IF(DS38&gt;=DT38,IF(DS38="",FALSE,TRUE))</formula>
    </cfRule>
  </conditionalFormatting>
  <conditionalFormatting sqref="DX47:DX56 DZ47:DZ56">
    <cfRule type="expression" dxfId="39" priority="23">
      <formula>OR(IF(DX47&lt;DY47,TRUE),IF(AND(DY47="",DX47&lt;&gt;""),TRUE))</formula>
    </cfRule>
    <cfRule type="expression" dxfId="38" priority="24">
      <formula>IF(DX47&gt;=DY47,IF(DX47="",FALSE,TRUE))</formula>
    </cfRule>
  </conditionalFormatting>
  <conditionalFormatting sqref="DX25:DX35">
    <cfRule type="expression" dxfId="37" priority="21">
      <formula>OR(IF(DX25&lt;DY25,TRUE),IF(AND(DY25="",DX25&lt;&gt;""),TRUE))</formula>
    </cfRule>
    <cfRule type="expression" dxfId="36" priority="22">
      <formula>IF(DX25&gt;=DY25,IF(DX25="",FALSE,TRUE))</formula>
    </cfRule>
  </conditionalFormatting>
  <conditionalFormatting sqref="DX38:DX44">
    <cfRule type="expression" dxfId="35" priority="17">
      <formula>OR(IF(DX38&lt;DY38,TRUE),IF(AND(DY38="",DX38&lt;&gt;""),TRUE))</formula>
    </cfRule>
    <cfRule type="expression" dxfId="34" priority="18">
      <formula>IF(DX38&gt;=DY38,IF(DX38="",FALSE,TRUE))</formula>
    </cfRule>
  </conditionalFormatting>
  <conditionalFormatting sqref="DZ25:DZ35">
    <cfRule type="expression" dxfId="33" priority="19">
      <formula>OR(IF(DZ25&lt;EA25,TRUE),IF(AND(EA25="",DZ25&lt;&gt;""),TRUE))</formula>
    </cfRule>
    <cfRule type="expression" dxfId="32" priority="20">
      <formula>IF(DZ25&gt;=EA25,IF(DZ25="",FALSE,TRUE))</formula>
    </cfRule>
  </conditionalFormatting>
  <conditionalFormatting sqref="DZ38:DZ44">
    <cfRule type="expression" dxfId="31" priority="15">
      <formula>OR(IF(DZ38&lt;EA38,TRUE),IF(AND(EA38="",DZ38&lt;&gt;""),TRUE))</formula>
    </cfRule>
    <cfRule type="expression" dxfId="30" priority="16">
      <formula>IF(DZ38&gt;=EA38,IF(DZ38="",FALSE,TRUE))</formula>
    </cfRule>
  </conditionalFormatting>
  <conditionalFormatting sqref="EE47:EE56 EG47:EG56">
    <cfRule type="expression" dxfId="29" priority="11">
      <formula>OR(IF(EE47&lt;EF47,TRUE),IF(AND(EF47="",EE47&lt;&gt;""),TRUE))</formula>
    </cfRule>
    <cfRule type="expression" dxfId="28" priority="12">
      <formula>IF(EE47&gt;=EF47,IF(EE47="",FALSE,TRUE))</formula>
    </cfRule>
  </conditionalFormatting>
  <conditionalFormatting sqref="EE25:EE35">
    <cfRule type="expression" dxfId="27" priority="9">
      <formula>OR(IF(EE25&lt;EF25,TRUE),IF(AND(EF25="",EE25&lt;&gt;""),TRUE))</formula>
    </cfRule>
    <cfRule type="expression" dxfId="26" priority="10">
      <formula>IF(EE25&gt;=EF25,IF(EE25="",FALSE,TRUE))</formula>
    </cfRule>
  </conditionalFormatting>
  <conditionalFormatting sqref="EE38:EE44">
    <cfRule type="expression" dxfId="25" priority="5">
      <formula>OR(IF(EE38&lt;EF38,TRUE),IF(AND(EF38="",EE38&lt;&gt;""),TRUE))</formula>
    </cfRule>
    <cfRule type="expression" dxfId="24" priority="6">
      <formula>IF(EE38&gt;=EF38,IF(EE38="",FALSE,TRUE))</formula>
    </cfRule>
  </conditionalFormatting>
  <conditionalFormatting sqref="EG25:EG35">
    <cfRule type="expression" dxfId="23" priority="7">
      <formula>OR(IF(EG25&lt;EH25,TRUE),IF(AND(EH25="",EG25&lt;&gt;""),TRUE))</formula>
    </cfRule>
    <cfRule type="expression" dxfId="22" priority="8">
      <formula>IF(EG25&gt;=EH25,IF(EG25="",FALSE,TRUE))</formula>
    </cfRule>
  </conditionalFormatting>
  <conditionalFormatting sqref="EG38:EG44">
    <cfRule type="expression" dxfId="21" priority="3">
      <formula>OR(IF(EG38&lt;EH38,TRUE),IF(AND(EH38="",EG38&lt;&gt;""),TRUE))</formula>
    </cfRule>
    <cfRule type="expression" dxfId="20" priority="4">
      <formula>IF(EG38&gt;=EH38,IF(EG38="",FALSE,TRUE))</formula>
    </cfRule>
  </conditionalFormatting>
  <conditionalFormatting sqref="J5:J13">
    <cfRule type="colorScale" priority="1031">
      <colorScale>
        <cfvo type="percent" val="0"/>
        <cfvo type="percent" val="100"/>
        <color rgb="FFFF231B"/>
        <color rgb="FF10FF07"/>
      </colorScale>
    </cfRule>
  </conditionalFormatting>
  <conditionalFormatting sqref="J6:L13">
    <cfRule type="colorScale" priority="1032">
      <colorScale>
        <cfvo type="percent" val="0"/>
        <cfvo type="percent" val="100"/>
        <color rgb="FFFF231B"/>
        <color rgb="FF10FF07"/>
      </colorScale>
    </cfRule>
  </conditionalFormatting>
  <conditionalFormatting sqref="K5:L13">
    <cfRule type="colorScale" priority="1033">
      <colorScale>
        <cfvo type="percent" val="0"/>
        <cfvo type="percent" val="100"/>
        <color rgb="FFFF231B"/>
        <color rgb="FF10FF07"/>
      </colorScale>
    </cfRule>
  </conditionalFormatting>
  <conditionalFormatting sqref="J19:J22 J16">
    <cfRule type="colorScale" priority="1034">
      <colorScale>
        <cfvo type="percent" val="0"/>
        <cfvo type="percent" val="100"/>
        <color rgb="FFFF231B"/>
        <color rgb="FF10FF07"/>
      </colorScale>
    </cfRule>
  </conditionalFormatting>
  <conditionalFormatting sqref="J19:L22">
    <cfRule type="colorScale" priority="1036">
      <colorScale>
        <cfvo type="percent" val="0"/>
        <cfvo type="percent" val="100"/>
        <color rgb="FFFF231B"/>
        <color rgb="FF10FF07"/>
      </colorScale>
    </cfRule>
  </conditionalFormatting>
  <conditionalFormatting sqref="K19:L22 K16:L16">
    <cfRule type="colorScale" priority="1037">
      <colorScale>
        <cfvo type="percent" val="0"/>
        <cfvo type="percent" val="100"/>
        <color rgb="FFFF231B"/>
        <color rgb="FF10FF07"/>
      </colorScale>
    </cfRule>
  </conditionalFormatting>
  <conditionalFormatting sqref="CO13">
    <cfRule type="expression" dxfId="19" priority="1040">
      <formula>OR(IF(CO13&lt;CP12,TRUE),IF(AND(CP12="",CO13&lt;&gt;""),TRUE))</formula>
    </cfRule>
    <cfRule type="expression" dxfId="18" priority="1041">
      <formula>IF(CO13&gt;=CP12,IF(CO13="",FALSE,TRUE))</formula>
    </cfRule>
  </conditionalFormatting>
  <conditionalFormatting sqref="CO12">
    <cfRule type="expression" dxfId="17" priority="1042">
      <formula>OR(IF(CO12&lt;#REF!,TRUE),IF(AND(#REF!="",CO12&lt;&gt;""),TRUE))</formula>
    </cfRule>
    <cfRule type="expression" dxfId="16" priority="1043">
      <formula>IF(CO12&gt;=#REF!,IF(CO12="",FALSE,TRUE))</formula>
    </cfRule>
  </conditionalFormatting>
  <dataValidations count="1">
    <dataValidation type="list" allowBlank="1" showInputMessage="1" showErrorMessage="1" sqref="AK47:AN56 W16:Z22 AK16:AN22 AR16:AU22 AY16:BB22 BF16:BI22 BM16:BP22 BT16:BW22 BM25:BP35 P25:S35 AY25:BB35 CH47:CK56 AR25:AU35 AK25:AN35 AD25:AG35 W25:Z35 BM38:BP44 P38:S44 AY38:BB44 BF38:BI44 AR38:AU44 AK38:AN44 AD38:AG44 W38:Z44 BM47:BP56 AY47:BB56 BF47:BI56 AR47:AU56 AD47:AG56 W47:Z56 P47:S56 BT38:BW44 BT25:BW35 BT47:BW56 W5:Z13 CA38:CD44 CA25:CD35 CA47:CD56 BF25:BI35 DC47:DF56 CH25:CK35 CH16:CK22 CH38:CK44 CQ12:CR13 CO25:CR35 CO38:CR44 CO47:CR56 CV16:CY22 CV25:CY35 CV38:CY44 CV47:CY56 DC16:DF22 DC25:DF35 DC38:DF44 CA5:CD13 P16:S22 DJ47:DM56 DJ5:DM13 DJ25:DM35 DJ38:DM44 DQ47:DT56 DQ16:DT22 DQ25:DT35 DQ38:DT44 DX47:EA56 DX16:EA22 DX25:EA35 DX38:EA44 EE47:EH56 EE38:EH44 EE16:EH22 EE25:EH35 EE5:EH13 DX5:EA13 DQ5:DT13 DJ16:DM22 AD5:AG13 CV5:CY13 CO16:CR22 CA16:CD22 CH5:CK13 P5:S13 BT5:BW13 BM5:BP13 BF5:BI13 AY5:BB13 AR5:AU13 AK5:AN13 DC5:DF13 CO13 CO12:CP12 CO5:CR11 AD16:AG22" xr:uid="{DF46768B-76BD-4AD1-BDD9-05E5E50A35C8}">
      <formula1>"10%,20%,30%,40%,50%,60%,70%,80%,90%,100%"</formula1>
    </dataValidation>
  </dataValidation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L63"/>
  <sheetViews>
    <sheetView tabSelected="1" workbookViewId="0">
      <selection activeCell="B2" sqref="B2"/>
    </sheetView>
  </sheetViews>
  <sheetFormatPr baseColWidth="10" defaultColWidth="10.6640625" defaultRowHeight="16" x14ac:dyDescent="0.2"/>
  <cols>
    <col min="1" max="1" width="16.83203125" style="7" customWidth="1"/>
    <col min="2" max="2" width="31.5" style="7" customWidth="1"/>
    <col min="3" max="3" width="14.1640625" style="27" customWidth="1"/>
    <col min="4" max="4" width="19.1640625" style="7" customWidth="1"/>
    <col min="5" max="5" width="18.1640625" style="7" customWidth="1"/>
    <col min="6" max="6" width="19.5" style="7" customWidth="1"/>
    <col min="7" max="9" width="10.6640625" style="23"/>
    <col min="10" max="10" width="15.1640625" style="23" customWidth="1"/>
    <col min="11" max="11" width="42" customWidth="1"/>
    <col min="12" max="12" width="28.5" customWidth="1"/>
  </cols>
  <sheetData>
    <row r="1" spans="1:12" ht="34" x14ac:dyDescent="0.2">
      <c r="A1" s="7" t="s">
        <v>33</v>
      </c>
      <c r="B1" s="7" t="s">
        <v>129</v>
      </c>
      <c r="C1" s="26" t="s">
        <v>130</v>
      </c>
      <c r="D1" s="13" t="s">
        <v>30</v>
      </c>
      <c r="E1" s="13" t="s">
        <v>31</v>
      </c>
      <c r="F1" s="13" t="s">
        <v>32</v>
      </c>
      <c r="G1" s="24" t="s">
        <v>34</v>
      </c>
      <c r="H1" s="24" t="s">
        <v>35</v>
      </c>
      <c r="I1" s="24" t="s">
        <v>36</v>
      </c>
      <c r="J1" s="24" t="s">
        <v>37</v>
      </c>
      <c r="K1" s="1" t="s">
        <v>38</v>
      </c>
      <c r="L1" s="1" t="s">
        <v>39</v>
      </c>
    </row>
    <row r="2" spans="1:12" x14ac:dyDescent="0.2">
      <c r="A2" s="12">
        <v>45577</v>
      </c>
      <c r="B2" s="12"/>
      <c r="F2" s="9"/>
    </row>
    <row r="3" spans="1:12" x14ac:dyDescent="0.2">
      <c r="A3" s="12">
        <v>45578</v>
      </c>
      <c r="B3" s="12"/>
      <c r="F3" s="9"/>
    </row>
    <row r="4" spans="1:12" x14ac:dyDescent="0.2">
      <c r="A4" s="12">
        <v>45584</v>
      </c>
      <c r="B4" s="12"/>
      <c r="F4" s="9"/>
    </row>
    <row r="5" spans="1:12" x14ac:dyDescent="0.2">
      <c r="A5" s="12">
        <v>45585</v>
      </c>
      <c r="B5" s="12"/>
      <c r="F5" s="9"/>
    </row>
    <row r="6" spans="1:12" x14ac:dyDescent="0.2">
      <c r="A6" s="12">
        <v>45591</v>
      </c>
      <c r="B6" s="12"/>
      <c r="F6" s="9"/>
    </row>
    <row r="7" spans="1:12" x14ac:dyDescent="0.2">
      <c r="A7" s="12">
        <v>45592</v>
      </c>
      <c r="B7" s="12"/>
      <c r="F7" s="9"/>
    </row>
    <row r="8" spans="1:12" x14ac:dyDescent="0.2">
      <c r="A8" s="12">
        <v>45598</v>
      </c>
      <c r="B8" s="12"/>
      <c r="F8" s="9"/>
    </row>
    <row r="9" spans="1:12" x14ac:dyDescent="0.2">
      <c r="A9" s="12">
        <v>45599</v>
      </c>
      <c r="B9" s="12"/>
      <c r="F9" s="9"/>
    </row>
    <row r="10" spans="1:12" x14ac:dyDescent="0.2">
      <c r="A10" s="12">
        <v>45605</v>
      </c>
      <c r="B10" s="12"/>
      <c r="F10" s="9"/>
    </row>
    <row r="11" spans="1:12" x14ac:dyDescent="0.2">
      <c r="A11" s="12">
        <v>45606</v>
      </c>
      <c r="B11" s="12"/>
      <c r="F11" s="9"/>
    </row>
    <row r="12" spans="1:12" x14ac:dyDescent="0.2">
      <c r="A12" s="12">
        <v>45612</v>
      </c>
      <c r="B12" s="12"/>
      <c r="F12" s="9"/>
    </row>
    <row r="13" spans="1:12" x14ac:dyDescent="0.2">
      <c r="A13" s="12">
        <v>45613</v>
      </c>
      <c r="B13" s="12"/>
      <c r="F13" s="9"/>
    </row>
    <row r="14" spans="1:12" x14ac:dyDescent="0.2">
      <c r="A14" s="12">
        <v>45619</v>
      </c>
      <c r="B14" s="12"/>
      <c r="F14" s="9"/>
    </row>
    <row r="15" spans="1:12" x14ac:dyDescent="0.2">
      <c r="A15" s="12">
        <v>45620</v>
      </c>
      <c r="B15" s="12"/>
      <c r="F15" s="9"/>
    </row>
    <row r="16" spans="1:12" x14ac:dyDescent="0.2">
      <c r="A16" s="12">
        <v>45626</v>
      </c>
      <c r="B16" s="12"/>
      <c r="F16" s="9"/>
    </row>
    <row r="17" spans="1:6" x14ac:dyDescent="0.2">
      <c r="A17" s="12">
        <v>45627</v>
      </c>
      <c r="B17" s="12"/>
      <c r="F17" s="9"/>
    </row>
    <row r="18" spans="1:6" x14ac:dyDescent="0.2">
      <c r="A18" s="12">
        <v>45633</v>
      </c>
      <c r="B18" s="12"/>
      <c r="F18" s="9"/>
    </row>
    <row r="19" spans="1:6" x14ac:dyDescent="0.2">
      <c r="A19" s="12">
        <v>45634</v>
      </c>
      <c r="B19" s="12"/>
      <c r="F19" s="9"/>
    </row>
    <row r="20" spans="1:6" x14ac:dyDescent="0.2">
      <c r="A20" s="12">
        <v>45640</v>
      </c>
      <c r="B20" s="12"/>
      <c r="F20" s="9"/>
    </row>
    <row r="21" spans="1:6" x14ac:dyDescent="0.2">
      <c r="A21" s="12">
        <v>45641</v>
      </c>
      <c r="B21" s="12"/>
      <c r="F21" s="9"/>
    </row>
    <row r="22" spans="1:6" x14ac:dyDescent="0.2">
      <c r="A22" s="12">
        <v>45647</v>
      </c>
      <c r="B22" s="12"/>
      <c r="F22" s="9"/>
    </row>
    <row r="23" spans="1:6" x14ac:dyDescent="0.2">
      <c r="A23" s="12">
        <v>45648</v>
      </c>
      <c r="B23" s="12"/>
      <c r="F23" s="9"/>
    </row>
    <row r="24" spans="1:6" x14ac:dyDescent="0.2">
      <c r="A24" s="12">
        <v>45650</v>
      </c>
      <c r="B24" s="12"/>
      <c r="F24" s="9"/>
    </row>
    <row r="25" spans="1:6" x14ac:dyDescent="0.2">
      <c r="A25" s="12">
        <v>45651</v>
      </c>
      <c r="B25" s="12"/>
      <c r="F25" s="9"/>
    </row>
    <row r="26" spans="1:6" x14ac:dyDescent="0.2">
      <c r="A26" s="12">
        <v>45652</v>
      </c>
      <c r="B26" s="12"/>
      <c r="F26" s="9"/>
    </row>
    <row r="27" spans="1:6" x14ac:dyDescent="0.2">
      <c r="A27" s="12">
        <v>45654</v>
      </c>
      <c r="B27" s="12"/>
      <c r="F27" s="9"/>
    </row>
    <row r="28" spans="1:6" x14ac:dyDescent="0.2">
      <c r="A28" s="12">
        <v>45655</v>
      </c>
      <c r="B28" s="12"/>
      <c r="F28" s="9"/>
    </row>
    <row r="29" spans="1:6" x14ac:dyDescent="0.2">
      <c r="A29" s="12">
        <v>45659</v>
      </c>
      <c r="B29" s="12"/>
      <c r="F29" s="9"/>
    </row>
    <row r="30" spans="1:6" x14ac:dyDescent="0.2">
      <c r="A30" s="12">
        <v>45660</v>
      </c>
      <c r="B30" s="12"/>
      <c r="F30" s="9"/>
    </row>
    <row r="31" spans="1:6" x14ac:dyDescent="0.2">
      <c r="A31" s="12">
        <v>45661</v>
      </c>
      <c r="B31" s="12"/>
      <c r="F31" s="9"/>
    </row>
    <row r="32" spans="1:6" x14ac:dyDescent="0.2">
      <c r="A32" s="12">
        <v>45662</v>
      </c>
      <c r="B32" s="12"/>
      <c r="F32" s="9"/>
    </row>
    <row r="33" spans="1:6" x14ac:dyDescent="0.2">
      <c r="A33" s="12">
        <v>45663</v>
      </c>
      <c r="B33" s="12"/>
      <c r="F33" s="9"/>
    </row>
    <row r="34" spans="1:6" x14ac:dyDescent="0.2">
      <c r="A34" s="12">
        <v>45664</v>
      </c>
      <c r="B34" s="12"/>
      <c r="F34" s="9"/>
    </row>
    <row r="35" spans="1:6" x14ac:dyDescent="0.2">
      <c r="A35" s="12">
        <v>45665</v>
      </c>
      <c r="B35" s="12"/>
      <c r="F35" s="9"/>
    </row>
    <row r="36" spans="1:6" x14ac:dyDescent="0.2">
      <c r="A36" s="12">
        <v>45666</v>
      </c>
      <c r="B36" s="12"/>
      <c r="F36" s="9"/>
    </row>
    <row r="37" spans="1:6" x14ac:dyDescent="0.2">
      <c r="A37" s="12">
        <v>45667</v>
      </c>
      <c r="B37" s="12"/>
      <c r="F37" s="9"/>
    </row>
    <row r="38" spans="1:6" x14ac:dyDescent="0.2">
      <c r="A38" s="12">
        <v>45668</v>
      </c>
      <c r="B38" s="12"/>
      <c r="F38" s="9"/>
    </row>
    <row r="39" spans="1:6" x14ac:dyDescent="0.2">
      <c r="A39" s="12">
        <v>45669</v>
      </c>
      <c r="B39" s="12"/>
      <c r="F39" s="9"/>
    </row>
    <row r="40" spans="1:6" x14ac:dyDescent="0.2">
      <c r="A40" s="12">
        <v>45670</v>
      </c>
      <c r="B40" s="12"/>
      <c r="F40" s="9"/>
    </row>
    <row r="41" spans="1:6" x14ac:dyDescent="0.2">
      <c r="A41" s="12">
        <v>45671</v>
      </c>
      <c r="B41" s="12"/>
      <c r="F41" s="9"/>
    </row>
    <row r="42" spans="1:6" x14ac:dyDescent="0.2">
      <c r="A42" s="12">
        <v>45672</v>
      </c>
      <c r="B42" s="12"/>
      <c r="F42" s="9"/>
    </row>
    <row r="43" spans="1:6" x14ac:dyDescent="0.2">
      <c r="A43" s="12">
        <v>45673</v>
      </c>
      <c r="B43" s="12"/>
      <c r="F43" s="9"/>
    </row>
    <row r="44" spans="1:6" x14ac:dyDescent="0.2">
      <c r="A44" s="12">
        <v>45674</v>
      </c>
      <c r="B44" s="12"/>
      <c r="F44" s="9"/>
    </row>
    <row r="45" spans="1:6" x14ac:dyDescent="0.2">
      <c r="A45" s="12">
        <v>45675</v>
      </c>
      <c r="B45" s="12"/>
      <c r="F45" s="9"/>
    </row>
    <row r="46" spans="1:6" x14ac:dyDescent="0.2">
      <c r="A46" s="12">
        <v>45676</v>
      </c>
      <c r="B46" s="12"/>
      <c r="F46" s="9"/>
    </row>
    <row r="47" spans="1:6" x14ac:dyDescent="0.2">
      <c r="A47" s="12">
        <v>45677</v>
      </c>
      <c r="B47" s="12"/>
      <c r="F47" s="9"/>
    </row>
    <row r="48" spans="1:6" x14ac:dyDescent="0.2">
      <c r="A48" s="12">
        <v>45678</v>
      </c>
      <c r="B48" s="12"/>
      <c r="F48" s="9"/>
    </row>
    <row r="49" spans="1:6" x14ac:dyDescent="0.2">
      <c r="A49" s="12">
        <v>45679</v>
      </c>
      <c r="B49" s="12"/>
      <c r="F49" s="9"/>
    </row>
    <row r="50" spans="1:6" x14ac:dyDescent="0.2">
      <c r="A50" s="12">
        <v>45680</v>
      </c>
      <c r="B50" s="12"/>
      <c r="F50" s="9"/>
    </row>
    <row r="51" spans="1:6" x14ac:dyDescent="0.2">
      <c r="A51" s="12">
        <v>45681</v>
      </c>
      <c r="B51" s="12"/>
      <c r="F51" s="9"/>
    </row>
    <row r="52" spans="1:6" x14ac:dyDescent="0.2">
      <c r="A52" s="12">
        <v>45682</v>
      </c>
      <c r="B52" s="12"/>
      <c r="F52" s="9"/>
    </row>
    <row r="53" spans="1:6" x14ac:dyDescent="0.2">
      <c r="A53" s="12">
        <v>45683</v>
      </c>
      <c r="B53" s="12"/>
      <c r="F53" s="9"/>
    </row>
    <row r="54" spans="1:6" x14ac:dyDescent="0.2">
      <c r="A54" s="12">
        <v>45684</v>
      </c>
      <c r="B54" s="12"/>
      <c r="F54" s="9"/>
    </row>
    <row r="55" spans="1:6" x14ac:dyDescent="0.2">
      <c r="A55" s="12">
        <v>45685</v>
      </c>
      <c r="B55" s="12"/>
      <c r="F55" s="9"/>
    </row>
    <row r="56" spans="1:6" x14ac:dyDescent="0.2">
      <c r="A56" s="12">
        <v>45686</v>
      </c>
      <c r="B56" s="12"/>
      <c r="F56" s="9"/>
    </row>
    <row r="57" spans="1:6" x14ac:dyDescent="0.2">
      <c r="A57" s="12">
        <v>45687</v>
      </c>
      <c r="B57" s="12"/>
      <c r="F57" s="9"/>
    </row>
    <row r="58" spans="1:6" x14ac:dyDescent="0.2">
      <c r="A58" s="12">
        <v>45688</v>
      </c>
      <c r="B58" s="12"/>
      <c r="F58" s="9"/>
    </row>
    <row r="59" spans="1:6" x14ac:dyDescent="0.2">
      <c r="A59" s="12">
        <v>45689</v>
      </c>
      <c r="B59" s="12"/>
      <c r="F59" s="9"/>
    </row>
    <row r="60" spans="1:6" x14ac:dyDescent="0.2">
      <c r="A60" s="12">
        <v>45690</v>
      </c>
      <c r="B60" s="12"/>
      <c r="F60" s="9"/>
    </row>
    <row r="61" spans="1:6" x14ac:dyDescent="0.2">
      <c r="A61" s="12">
        <v>45691</v>
      </c>
      <c r="B61" s="12"/>
      <c r="F61" s="9"/>
    </row>
    <row r="62" spans="1:6" x14ac:dyDescent="0.2">
      <c r="A62" s="12">
        <v>45692</v>
      </c>
      <c r="B62" s="12"/>
      <c r="F62" s="9"/>
    </row>
    <row r="63" spans="1:6" x14ac:dyDescent="0.2">
      <c r="A63" s="12">
        <v>45693</v>
      </c>
      <c r="B63" s="12"/>
      <c r="F63" s="9"/>
    </row>
  </sheetData>
  <conditionalFormatting sqref="D2:D63">
    <cfRule type="cellIs" dxfId="11" priority="4" operator="equal">
      <formula>"Ja"</formula>
    </cfRule>
    <cfRule type="cellIs" dxfId="10" priority="14" operator="equal">
      <formula>"Ja"</formula>
    </cfRule>
    <cfRule type="cellIs" dxfId="9" priority="15" operator="equal">
      <formula>"Nein"</formula>
    </cfRule>
  </conditionalFormatting>
  <conditionalFormatting sqref="E2:E63">
    <cfRule type="cellIs" dxfId="8" priority="1" operator="equal">
      <formula>"Ja"</formula>
    </cfRule>
    <cfRule type="cellIs" dxfId="7" priority="2" operator="equal">
      <formula>"Ja"</formula>
    </cfRule>
    <cfRule type="cellIs" dxfId="6" priority="3" operator="equal">
      <formula>"Nein"</formula>
    </cfRule>
  </conditionalFormatting>
  <conditionalFormatting sqref="F2:F63">
    <cfRule type="cellIs" dxfId="5" priority="6" operator="equal">
      <formula>1</formula>
    </cfRule>
    <cfRule type="cellIs" dxfId="4" priority="7" operator="equal">
      <formula>0.8</formula>
    </cfRule>
    <cfRule type="cellIs" dxfId="3" priority="8" operator="equal">
      <formula>0.6</formula>
    </cfRule>
    <cfRule type="cellIs" dxfId="2" priority="9" operator="equal">
      <formula>0.4</formula>
    </cfRule>
    <cfRule type="cellIs" dxfId="1" priority="10" operator="equal">
      <formula>0.2</formula>
    </cfRule>
    <cfRule type="cellIs" dxfId="0" priority="11" operator="equal">
      <formula>0</formula>
    </cfRule>
  </conditionalFormatting>
  <dataValidations count="2">
    <dataValidation type="list" allowBlank="1" showInputMessage="1" showErrorMessage="1" sqref="D2:E63" xr:uid="{7FDD2772-70A7-4C43-8D43-0112E4DB6845}">
      <formula1>"Ja,Nein"</formula1>
    </dataValidation>
    <dataValidation type="list" allowBlank="1" showInputMessage="1" showErrorMessage="1" sqref="F2" xr:uid="{B2E161F3-3A4E-9042-B62A-806000DA1055}">
      <formula1>"100%,80%,60%,40%,20%,0%"</formula1>
    </dataValidation>
  </dataValidations>
  <pageMargins left="0.7" right="0.7" top="0.75" bottom="0.75" header="0.3" footer="0.3"/>
  <pageSetup paperSize="9" orientation="portrait" horizontalDpi="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7D48C-5EE9-B14A-A6E5-8E92C503A2AC}">
  <dimension ref="A1"/>
  <sheetViews>
    <sheetView workbookViewId="0"/>
  </sheetViews>
  <sheetFormatPr baseColWidth="10" defaultRowHeight="16" x14ac:dyDescent="0.2"/>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workbookViewId="0">
      <selection activeCell="B22" sqref="B22"/>
    </sheetView>
  </sheetViews>
  <sheetFormatPr baseColWidth="10" defaultColWidth="10.6640625" defaultRowHeight="16" x14ac:dyDescent="0.2"/>
  <cols>
    <col min="2" max="2" width="161" customWidth="1"/>
    <col min="3" max="3" width="10.83203125"/>
  </cols>
  <sheetData>
    <row r="4" spans="2:2" ht="21" x14ac:dyDescent="0.25">
      <c r="B4" s="3" t="s">
        <v>9</v>
      </c>
    </row>
    <row r="6" spans="2:2" x14ac:dyDescent="0.2">
      <c r="B6" s="2" t="s">
        <v>6</v>
      </c>
    </row>
    <row r="7" spans="2:2" ht="51" x14ac:dyDescent="0.2">
      <c r="B7" s="1" t="s">
        <v>7</v>
      </c>
    </row>
    <row r="9" spans="2:2" x14ac:dyDescent="0.2">
      <c r="B9" s="2" t="s">
        <v>8</v>
      </c>
    </row>
    <row r="10" spans="2:2" ht="68" x14ac:dyDescent="0.2">
      <c r="B10" s="1" t="s">
        <v>27</v>
      </c>
    </row>
    <row r="12" spans="2:2" x14ac:dyDescent="0.2">
      <c r="B12" s="2" t="s">
        <v>10</v>
      </c>
    </row>
    <row r="13" spans="2:2" ht="153" x14ac:dyDescent="0.2">
      <c r="B13" s="1" t="s">
        <v>11</v>
      </c>
    </row>
    <row r="15" spans="2:2" x14ac:dyDescent="0.2">
      <c r="B15" s="2" t="s">
        <v>12</v>
      </c>
    </row>
    <row r="16" spans="2:2" ht="119" x14ac:dyDescent="0.2">
      <c r="B16" s="1" t="s">
        <v>13</v>
      </c>
    </row>
    <row r="17" spans="2:2" x14ac:dyDescent="0.2">
      <c r="B17" s="1"/>
    </row>
    <row r="18" spans="2:2" x14ac:dyDescent="0.2">
      <c r="B18" s="2" t="s">
        <v>26</v>
      </c>
    </row>
    <row r="19" spans="2:2" ht="153" x14ac:dyDescent="0.2">
      <c r="B19" s="1" t="s">
        <v>28</v>
      </c>
    </row>
    <row r="21" spans="2:2" x14ac:dyDescent="0.2">
      <c r="B21" s="2" t="s">
        <v>14</v>
      </c>
    </row>
    <row r="22" spans="2:2" ht="136" x14ac:dyDescent="0.2">
      <c r="B22" s="1" t="s">
        <v>29</v>
      </c>
    </row>
    <row r="24" spans="2:2" x14ac:dyDescent="0.2">
      <c r="B24" s="2" t="s">
        <v>15</v>
      </c>
    </row>
    <row r="25" spans="2:2" ht="136" x14ac:dyDescent="0.2">
      <c r="B25" s="1" t="s">
        <v>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zoomScale="150" workbookViewId="0">
      <selection activeCell="C11" sqref="C11"/>
    </sheetView>
  </sheetViews>
  <sheetFormatPr baseColWidth="10" defaultRowHeight="16" x14ac:dyDescent="0.2"/>
  <cols>
    <col min="1" max="1" width="11.83203125" customWidth="1"/>
    <col min="2" max="2" width="62.6640625" customWidth="1"/>
  </cols>
  <sheetData>
    <row r="2" spans="1:4" x14ac:dyDescent="0.2">
      <c r="C2" s="16" t="s">
        <v>62</v>
      </c>
    </row>
    <row r="3" spans="1:4" x14ac:dyDescent="0.2">
      <c r="C3" s="15" t="s">
        <v>47</v>
      </c>
    </row>
    <row r="4" spans="1:4" x14ac:dyDescent="0.2">
      <c r="C4" s="14" t="s">
        <v>61</v>
      </c>
    </row>
    <row r="5" spans="1:4" x14ac:dyDescent="0.2">
      <c r="A5" s="2" t="s">
        <v>44</v>
      </c>
      <c r="B5" s="2" t="s">
        <v>45</v>
      </c>
      <c r="C5" s="2" t="s">
        <v>46</v>
      </c>
      <c r="D5" s="2" t="s">
        <v>48</v>
      </c>
    </row>
    <row r="6" spans="1:4" x14ac:dyDescent="0.2">
      <c r="A6" t="s">
        <v>40</v>
      </c>
      <c r="B6" s="16" t="s">
        <v>43</v>
      </c>
      <c r="D6" t="s">
        <v>77</v>
      </c>
    </row>
    <row r="7" spans="1:4" x14ac:dyDescent="0.2">
      <c r="A7" t="s">
        <v>51</v>
      </c>
      <c r="B7" t="s">
        <v>52</v>
      </c>
      <c r="C7" s="14">
        <v>16</v>
      </c>
    </row>
    <row r="8" spans="1:4" x14ac:dyDescent="0.2">
      <c r="A8" t="s">
        <v>42</v>
      </c>
      <c r="B8" s="16" t="s">
        <v>41</v>
      </c>
      <c r="D8" t="s">
        <v>65</v>
      </c>
    </row>
    <row r="9" spans="1:4" x14ac:dyDescent="0.2">
      <c r="A9" t="s">
        <v>50</v>
      </c>
      <c r="B9" s="16" t="s">
        <v>63</v>
      </c>
      <c r="D9" t="s">
        <v>66</v>
      </c>
    </row>
    <row r="10" spans="1:4" x14ac:dyDescent="0.2">
      <c r="A10" t="s">
        <v>54</v>
      </c>
      <c r="B10" t="s">
        <v>53</v>
      </c>
      <c r="C10" s="14">
        <v>12</v>
      </c>
      <c r="D10" t="s">
        <v>49</v>
      </c>
    </row>
    <row r="11" spans="1:4" x14ac:dyDescent="0.2">
      <c r="A11" t="s">
        <v>55</v>
      </c>
      <c r="B11" t="s">
        <v>57</v>
      </c>
      <c r="C11" s="14">
        <f>16*3</f>
        <v>48</v>
      </c>
      <c r="D11" t="s">
        <v>56</v>
      </c>
    </row>
    <row r="12" spans="1:4" x14ac:dyDescent="0.2">
      <c r="A12" t="s">
        <v>59</v>
      </c>
      <c r="B12" t="s">
        <v>58</v>
      </c>
      <c r="C12" s="15">
        <f>C11/C10</f>
        <v>4</v>
      </c>
    </row>
    <row r="13" spans="1:4" x14ac:dyDescent="0.2">
      <c r="A13" t="s">
        <v>64</v>
      </c>
      <c r="B13" t="s">
        <v>60</v>
      </c>
      <c r="D13" t="s">
        <v>67</v>
      </c>
    </row>
    <row r="14" spans="1:4" x14ac:dyDescent="0.2">
      <c r="A14" t="s">
        <v>68</v>
      </c>
      <c r="B14" t="s">
        <v>69</v>
      </c>
      <c r="D14" t="s">
        <v>70</v>
      </c>
    </row>
    <row r="15" spans="1:4" x14ac:dyDescent="0.2">
      <c r="A15" t="s">
        <v>71</v>
      </c>
      <c r="B15" s="16" t="s">
        <v>72</v>
      </c>
    </row>
    <row r="16" spans="1:4" x14ac:dyDescent="0.2">
      <c r="A16" t="s">
        <v>75</v>
      </c>
      <c r="B16" s="16" t="s">
        <v>73</v>
      </c>
    </row>
    <row r="17" spans="1:2" x14ac:dyDescent="0.2">
      <c r="A17" t="s">
        <v>76</v>
      </c>
      <c r="B17" t="s">
        <v>74</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5</vt:i4>
      </vt:variant>
    </vt:vector>
  </HeadingPairs>
  <TitlesOfParts>
    <vt:vector size="5" baseType="lpstr">
      <vt:lpstr>Semesterplan</vt:lpstr>
      <vt:lpstr>COMMITTMENT</vt:lpstr>
      <vt:lpstr>Tabelle1</vt:lpstr>
      <vt:lpstr>Best-Practices</vt:lpstr>
      <vt:lpstr>ANLEITUNG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Arion Osdautaj</cp:lastModifiedBy>
  <dcterms:created xsi:type="dcterms:W3CDTF">2020-04-19T13:33:28Z</dcterms:created>
  <dcterms:modified xsi:type="dcterms:W3CDTF">2024-10-05T18:17:29Z</dcterms:modified>
</cp:coreProperties>
</file>