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d.l./Dokumente /"/>
    </mc:Choice>
  </mc:AlternateContent>
  <xr:revisionPtr revIDLastSave="0" documentId="8_{D1B02557-DAAB-2E4F-B58C-8144B09D72B0}" xr6:coauthVersionLast="47" xr6:coauthVersionMax="47" xr10:uidLastSave="{00000000-0000-0000-0000-000000000000}"/>
  <bookViews>
    <workbookView xWindow="0" yWindow="500" windowWidth="28800" windowHeight="1610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90" i="7" l="1"/>
  <c r="J90" i="7"/>
  <c r="I90" i="7"/>
  <c r="K89" i="7"/>
  <c r="J89" i="7"/>
  <c r="I89" i="7"/>
  <c r="K88" i="7"/>
  <c r="J88" i="7"/>
  <c r="I88" i="7"/>
  <c r="K87" i="7"/>
  <c r="J87" i="7"/>
  <c r="I87" i="7"/>
  <c r="K86" i="7"/>
  <c r="J86" i="7"/>
  <c r="I86" i="7"/>
  <c r="K85" i="7"/>
  <c r="J85" i="7"/>
  <c r="I85" i="7"/>
  <c r="K84" i="7"/>
  <c r="J84" i="7"/>
  <c r="I84" i="7"/>
  <c r="BR83" i="7"/>
  <c r="BK83" i="7"/>
  <c r="BD83" i="7"/>
  <c r="AW83" i="7"/>
  <c r="AP83" i="7"/>
  <c r="AI83" i="7"/>
  <c r="AB83" i="7"/>
  <c r="U83" i="7"/>
  <c r="N83" i="7"/>
  <c r="G83" i="7"/>
  <c r="K81" i="7"/>
  <c r="J81" i="7"/>
  <c r="I81" i="7"/>
  <c r="K80" i="7"/>
  <c r="J80" i="7"/>
  <c r="I80" i="7"/>
  <c r="K79" i="7"/>
  <c r="J79" i="7"/>
  <c r="I79" i="7"/>
  <c r="K78" i="7"/>
  <c r="J78" i="7"/>
  <c r="I78" i="7"/>
  <c r="K77" i="7"/>
  <c r="J77" i="7"/>
  <c r="I77" i="7"/>
  <c r="K76" i="7"/>
  <c r="J76" i="7"/>
  <c r="I76" i="7"/>
  <c r="K75" i="7"/>
  <c r="J75" i="7"/>
  <c r="I75" i="7"/>
  <c r="K74" i="7"/>
  <c r="J74" i="7"/>
  <c r="I74" i="7"/>
  <c r="K73" i="7"/>
  <c r="J73" i="7"/>
  <c r="I73" i="7"/>
  <c r="K72" i="7"/>
  <c r="J72" i="7"/>
  <c r="I72" i="7"/>
  <c r="K71" i="7"/>
  <c r="J71" i="7"/>
  <c r="I71" i="7"/>
  <c r="K70" i="7"/>
  <c r="J70" i="7"/>
  <c r="I70" i="7"/>
  <c r="BR69" i="7"/>
  <c r="BK69" i="7"/>
  <c r="BD69" i="7"/>
  <c r="AW69" i="7"/>
  <c r="AP69" i="7"/>
  <c r="AI69" i="7"/>
  <c r="AB69" i="7"/>
  <c r="U69" i="7"/>
  <c r="N69" i="7"/>
  <c r="G69" i="7"/>
  <c r="K67" i="7"/>
  <c r="J67" i="7"/>
  <c r="I67" i="7"/>
  <c r="K66" i="7"/>
  <c r="J66" i="7"/>
  <c r="I66" i="7"/>
  <c r="K65" i="7"/>
  <c r="J65" i="7"/>
  <c r="I65" i="7"/>
  <c r="K64" i="7"/>
  <c r="J64" i="7"/>
  <c r="I64" i="7"/>
  <c r="K63" i="7"/>
  <c r="J63" i="7"/>
  <c r="I63" i="7"/>
  <c r="K62" i="7"/>
  <c r="J62" i="7"/>
  <c r="I62" i="7"/>
  <c r="K61" i="7"/>
  <c r="J61" i="7"/>
  <c r="I61" i="7"/>
  <c r="K60" i="7"/>
  <c r="J60" i="7"/>
  <c r="I60" i="7"/>
  <c r="K59" i="7"/>
  <c r="J59" i="7"/>
  <c r="I59" i="7"/>
  <c r="K58" i="7"/>
  <c r="J58" i="7"/>
  <c r="I58" i="7"/>
  <c r="K57" i="7"/>
  <c r="J57" i="7"/>
  <c r="I57" i="7"/>
  <c r="K56" i="7"/>
  <c r="J56" i="7"/>
  <c r="I56" i="7"/>
  <c r="BR55" i="7"/>
  <c r="BK55" i="7"/>
  <c r="BD55" i="7"/>
  <c r="AW55" i="7"/>
  <c r="AP55" i="7"/>
  <c r="AI55" i="7"/>
  <c r="AB55" i="7"/>
  <c r="U55" i="7"/>
  <c r="N55" i="7"/>
  <c r="G55" i="7"/>
  <c r="BR38" i="7"/>
  <c r="BK38" i="7"/>
  <c r="BD38" i="7"/>
  <c r="BR24" i="7"/>
  <c r="BK24" i="7"/>
  <c r="BD24" i="7"/>
  <c r="AW24" i="7"/>
  <c r="AP24" i="7"/>
  <c r="N4" i="7"/>
  <c r="BD4" i="7"/>
  <c r="AW38" i="7"/>
  <c r="AP38" i="7"/>
  <c r="AI38" i="7"/>
  <c r="AB38" i="7"/>
  <c r="U38" i="7"/>
  <c r="N38" i="7"/>
  <c r="G38" i="7"/>
  <c r="K53" i="7"/>
  <c r="J53" i="7"/>
  <c r="I53" i="7"/>
  <c r="K52" i="7"/>
  <c r="J52" i="7"/>
  <c r="I52" i="7"/>
  <c r="K51" i="7"/>
  <c r="J51" i="7"/>
  <c r="I51" i="7"/>
  <c r="AI24" i="7"/>
  <c r="AB24" i="7"/>
  <c r="U24" i="7"/>
  <c r="N24" i="7"/>
  <c r="G24" i="7"/>
  <c r="K36" i="7"/>
  <c r="J36" i="7"/>
  <c r="I36" i="7"/>
  <c r="K35" i="7"/>
  <c r="J35" i="7"/>
  <c r="I35" i="7"/>
  <c r="K34" i="7"/>
  <c r="J34" i="7"/>
  <c r="I34" i="7"/>
  <c r="K33" i="7"/>
  <c r="J33" i="7"/>
  <c r="I33" i="7"/>
  <c r="K32" i="7"/>
  <c r="J32" i="7"/>
  <c r="I32" i="7"/>
  <c r="K31" i="7"/>
  <c r="J31" i="7"/>
  <c r="I31" i="7"/>
  <c r="K69" i="7" l="1"/>
  <c r="K83" i="7"/>
  <c r="I83" i="7"/>
  <c r="J83" i="7"/>
  <c r="I69" i="7"/>
  <c r="J69" i="7"/>
  <c r="K55" i="7"/>
  <c r="I55" i="7"/>
  <c r="J55" i="7"/>
  <c r="DA4" i="7"/>
  <c r="CT4" i="7"/>
  <c r="CM4" i="7"/>
  <c r="CF4" i="7"/>
  <c r="BY4" i="7"/>
  <c r="BR4" i="7"/>
  <c r="BK4" i="7"/>
  <c r="AW4" i="7"/>
  <c r="AP4" i="7"/>
  <c r="AI4" i="7"/>
  <c r="AB4" i="7"/>
  <c r="U4" i="7"/>
  <c r="G4" i="7"/>
  <c r="K22" i="7"/>
  <c r="J22" i="7"/>
  <c r="I22" i="7"/>
  <c r="K21" i="7"/>
  <c r="J21" i="7"/>
  <c r="I21" i="7"/>
  <c r="K20" i="7"/>
  <c r="J20" i="7"/>
  <c r="I20" i="7"/>
  <c r="K19" i="7"/>
  <c r="J19" i="7"/>
  <c r="I19" i="7"/>
  <c r="K18" i="7"/>
  <c r="J18" i="7"/>
  <c r="I18" i="7"/>
  <c r="K17" i="7"/>
  <c r="J17" i="7"/>
  <c r="I17" i="7"/>
  <c r="I50" i="7"/>
  <c r="I49" i="7"/>
  <c r="I48" i="7"/>
  <c r="I47" i="7"/>
  <c r="I46" i="7"/>
  <c r="I45" i="7"/>
  <c r="I44" i="7"/>
  <c r="I43" i="7"/>
  <c r="I42" i="7"/>
  <c r="I41" i="7"/>
  <c r="I40" i="7"/>
  <c r="I39" i="7"/>
  <c r="I30" i="7"/>
  <c r="I29" i="7"/>
  <c r="I28" i="7"/>
  <c r="I27" i="7"/>
  <c r="I26" i="7"/>
  <c r="I25" i="7"/>
  <c r="I16" i="7"/>
  <c r="I6" i="7"/>
  <c r="I7" i="7"/>
  <c r="I8" i="7"/>
  <c r="I9" i="7"/>
  <c r="I10" i="7"/>
  <c r="I11" i="7"/>
  <c r="I12" i="7"/>
  <c r="I13" i="7"/>
  <c r="I14" i="7"/>
  <c r="I15" i="7"/>
  <c r="I5" i="7"/>
  <c r="K50" i="7"/>
  <c r="J50" i="7"/>
  <c r="K49" i="7"/>
  <c r="J49" i="7"/>
  <c r="K48" i="7"/>
  <c r="J48" i="7"/>
  <c r="K47" i="7"/>
  <c r="J47" i="7"/>
  <c r="K46" i="7"/>
  <c r="J46" i="7"/>
  <c r="K45" i="7"/>
  <c r="J45" i="7"/>
  <c r="K44" i="7"/>
  <c r="J44" i="7"/>
  <c r="K43" i="7"/>
  <c r="J43" i="7"/>
  <c r="K42" i="7"/>
  <c r="J42" i="7"/>
  <c r="K41" i="7"/>
  <c r="J41" i="7"/>
  <c r="K40" i="7"/>
  <c r="J40" i="7"/>
  <c r="K39" i="7"/>
  <c r="J39" i="7"/>
  <c r="J5" i="7"/>
  <c r="K30" i="7"/>
  <c r="J30" i="7"/>
  <c r="K29" i="7"/>
  <c r="J29" i="7"/>
  <c r="K28" i="7"/>
  <c r="J28" i="7"/>
  <c r="K27" i="7"/>
  <c r="J27" i="7"/>
  <c r="K26" i="7"/>
  <c r="J26" i="7"/>
  <c r="K25" i="7"/>
  <c r="J25" i="7"/>
  <c r="K6" i="7"/>
  <c r="K7" i="7"/>
  <c r="K8" i="7"/>
  <c r="K9" i="7"/>
  <c r="K10" i="7"/>
  <c r="K11" i="7"/>
  <c r="K12" i="7"/>
  <c r="K13" i="7"/>
  <c r="K14" i="7"/>
  <c r="K15" i="7"/>
  <c r="K16" i="7"/>
  <c r="J6" i="7"/>
  <c r="J7" i="7"/>
  <c r="J8" i="7"/>
  <c r="J9" i="7"/>
  <c r="J10" i="7"/>
  <c r="J11" i="7"/>
  <c r="J12" i="7"/>
  <c r="J13" i="7"/>
  <c r="J14" i="7"/>
  <c r="J15" i="7"/>
  <c r="J16" i="7"/>
  <c r="K5" i="7"/>
  <c r="J38" i="7" l="1"/>
  <c r="K38" i="7"/>
  <c r="I38" i="7"/>
  <c r="J24" i="7"/>
  <c r="K24" i="7"/>
  <c r="I24" i="7"/>
  <c r="K4" i="7"/>
  <c r="I4" i="7"/>
  <c r="J4" i="7"/>
</calcChain>
</file>

<file path=xl/sharedStrings.xml><?xml version="1.0" encoding="utf-8"?>
<sst xmlns="http://schemas.openxmlformats.org/spreadsheetml/2006/main" count="396" uniqueCount="144">
  <si>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</si>
  <si>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</si>
  <si>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</si>
  <si>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</si>
  <si>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</si>
  <si>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</si>
  <si>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</si>
  <si>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</si>
  <si>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</si>
  <si>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</si>
  <si>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</si>
  <si>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</si>
  <si>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</si>
  <si>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</si>
  <si>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</si>
  <si>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</si>
  <si>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</si>
  <si>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</si>
  <si>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</si>
  <si>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</si>
  <si>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</si>
  <si>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</si>
  <si>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</si>
  <si>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</si>
  <si>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</si>
  <si>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</si>
  <si>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</si>
  <si>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</si>
  <si>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</si>
  <si>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</si>
  <si>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</si>
  <si>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</si>
  <si>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</si>
  <si>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</si>
  <si>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</si>
  <si>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</si>
  <si>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</si>
  <si>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</si>
  <si>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</si>
  <si>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</si>
  <si>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</si>
  <si>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</si>
  <si>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</si>
  <si>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</si>
  <si>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</si>
  <si>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</si>
  <si>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</si>
  <si>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</si>
  <si>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</si>
  <si>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 xml:space="preserve">Mikroökonomie I </t>
  </si>
  <si>
    <t xml:space="preserve">1) Begriffsdefinition </t>
  </si>
  <si>
    <t>2) Marginalanalyse</t>
  </si>
  <si>
    <t xml:space="preserve">3) Angebot und Nachfrage </t>
  </si>
  <si>
    <t>4) Pareto Verbesserung und Pareto Effizienz</t>
  </si>
  <si>
    <t>5) Präferenzen</t>
  </si>
  <si>
    <t>6) Angewandte Mikroökonomie</t>
  </si>
  <si>
    <t>7) Budgetbeschränkung</t>
  </si>
  <si>
    <t>8) Präferenzen und Nutzenfunktion</t>
  </si>
  <si>
    <t>9) Nutzenmaximierung</t>
  </si>
  <si>
    <t>10) Einkommens- und Substitutionseffekt</t>
  </si>
  <si>
    <t>11) Angewandte Mikroökonomie II</t>
  </si>
  <si>
    <t>12) Ausgabenminimierung</t>
  </si>
  <si>
    <t xml:space="preserve">13) Aggregierte Nachfrage </t>
  </si>
  <si>
    <t>14) Produktionsfunktion</t>
  </si>
  <si>
    <t>15) Kurz- &amp; langfristige Produktion</t>
  </si>
  <si>
    <t xml:space="preserve">16) Kurz- &amp; langfristige Kosten </t>
  </si>
  <si>
    <t>17) Marktformen</t>
  </si>
  <si>
    <t xml:space="preserve">18) Externe Effekte </t>
  </si>
  <si>
    <t>KW 40</t>
  </si>
  <si>
    <t>KW 41</t>
  </si>
  <si>
    <t>KW 42</t>
  </si>
  <si>
    <t>KW 43</t>
  </si>
  <si>
    <t>KW 44</t>
  </si>
  <si>
    <t>KW 50</t>
  </si>
  <si>
    <t>KW 49</t>
  </si>
  <si>
    <t>KW 48</t>
  </si>
  <si>
    <t>KW 47</t>
  </si>
  <si>
    <t>KW 46</t>
  </si>
  <si>
    <t>KW 45</t>
  </si>
  <si>
    <t>KW 51 KLAUSURENWOCHE</t>
  </si>
  <si>
    <t>KW 51 Prüfungswoche</t>
  </si>
  <si>
    <t>Financial Accunting</t>
  </si>
  <si>
    <t>1) Grundlagen</t>
  </si>
  <si>
    <t>2) Bilanz</t>
  </si>
  <si>
    <t>3) Erfolgsrechung</t>
  </si>
  <si>
    <t>5) Führen der Warenkonten</t>
  </si>
  <si>
    <t>6) Periodenabgrenzung</t>
  </si>
  <si>
    <t xml:space="preserve">7) Bewertung </t>
  </si>
  <si>
    <t>8) Stille Reserven</t>
  </si>
  <si>
    <t>10) Geldflussrechnung 2: Erstellen einer Geldflussrechnung</t>
  </si>
  <si>
    <t>11) Kennzahlenanalyse</t>
  </si>
  <si>
    <t>12) Normen zur rechnungsführung und rechnungsbelegung</t>
  </si>
  <si>
    <t>4) Konzept der doppelten Buchhaltung</t>
  </si>
  <si>
    <t xml:space="preserve">Mathematik I </t>
  </si>
  <si>
    <t>9) Geldflussrechung 1: Wesen und Zweck, Cashflow Bestimmungen</t>
  </si>
  <si>
    <t>1) Mathematik als Sprache</t>
  </si>
  <si>
    <t>2) Die Menge und ihre Elemente</t>
  </si>
  <si>
    <t>3) Zahlenmengen</t>
  </si>
  <si>
    <t>4) Relationen</t>
  </si>
  <si>
    <t>5) Funktionen</t>
  </si>
  <si>
    <t>6) Defintionen von Folgen, Reihen, und Grenzwerten</t>
  </si>
  <si>
    <t>7) Eigenschaften konvergenter Folgen</t>
  </si>
  <si>
    <t>8) Besondere Folgen und Reihen</t>
  </si>
  <si>
    <t xml:space="preserve">9) Grundlagen reelle Funktionen </t>
  </si>
  <si>
    <t>10) Grenzwerte und Stetigkeit</t>
  </si>
  <si>
    <t>11) Differnzierbarkeit</t>
  </si>
  <si>
    <t xml:space="preserve">12) Eigenschaften reelle Funktionen </t>
  </si>
  <si>
    <t xml:space="preserve">13) Taylorpolynome </t>
  </si>
  <si>
    <t>14) Extremwerbestimmung</t>
  </si>
  <si>
    <t>15) Integralrechnung</t>
  </si>
  <si>
    <t xml:space="preserve">BWL I </t>
  </si>
  <si>
    <t xml:space="preserve">1) Was ist Management? </t>
  </si>
  <si>
    <t>2) Funktionen des Managements</t>
  </si>
  <si>
    <t>3) Gesellschaftliche Verantwortung der Unternehmen</t>
  </si>
  <si>
    <t>4) Was sind Managementwissenschaften</t>
  </si>
  <si>
    <t>8) Strategisches Marketing</t>
  </si>
  <si>
    <t>5) Wissenschaftstheoretische Grundlagen</t>
  </si>
  <si>
    <t>6) Grundlagen Marketing</t>
  </si>
  <si>
    <t>7) Konsumverhalten</t>
  </si>
  <si>
    <t>9) Produkt- und Markenmanagement</t>
  </si>
  <si>
    <t>10) Preismanagement</t>
  </si>
  <si>
    <t>11) Vertrieb</t>
  </si>
  <si>
    <t>12) Customer Relationship</t>
  </si>
  <si>
    <t>Informatik und Wirtschaft</t>
  </si>
  <si>
    <t>1) Zentrale Begriffe der Informationswissenschaft</t>
  </si>
  <si>
    <t>2) Algorithmen</t>
  </si>
  <si>
    <t>3) Programmierung</t>
  </si>
  <si>
    <t>4) Datenvisualisierung</t>
  </si>
  <si>
    <t>5) Datenmanagement</t>
  </si>
  <si>
    <t>6) Digitalisierung</t>
  </si>
  <si>
    <t xml:space="preserve">7) Arten IS </t>
  </si>
  <si>
    <t>8) Wert von IS und Informationen</t>
  </si>
  <si>
    <t>9) Digitale Güter</t>
  </si>
  <si>
    <t>10) Datenrecht</t>
  </si>
  <si>
    <t>11) Datenschutzrecht</t>
  </si>
  <si>
    <t>12) KI &amp; Machine Learning</t>
  </si>
  <si>
    <t>Banking &amp; Finance</t>
  </si>
  <si>
    <t>1) Corporate Finance</t>
  </si>
  <si>
    <t>2) Investitionsrechung</t>
  </si>
  <si>
    <t>4) Unternehmensbewertung</t>
  </si>
  <si>
    <t>3) Finanzierung</t>
  </si>
  <si>
    <t>5) Einführung Banking</t>
  </si>
  <si>
    <t>7) Bankenkrisen und Regulierung</t>
  </si>
  <si>
    <t>6) Geschäftsfelder im Banking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</si>
</sst>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Standard" xfId="0" builtinId="0"/>
  </cellStyles>
  <dxfs count="87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91"/>
  <sheetViews>
    <sheetView showGridLines="0" tabSelected="1" zoomScaleNormal="100" workbookViewId="0">
      <selection activeCell="BO88" sqref="BO88"/>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s>
  <sheetData>
    <row r="1" spans="2:110" ht="34" x14ac:dyDescent="0.4">
      <c r="B1" s="5" t="s">
        <v>0</v>
      </c>
      <c r="D1" s="5"/>
      <c r="G1" s="14" t="s">
        <v>33</v>
      </c>
      <c r="I1" s="14" t="s">
        <v>33</v>
      </c>
      <c r="J1" s="14" t="s">
        <v>33</v>
      </c>
      <c r="K1" s="14" t="s">
        <v>33</v>
      </c>
    </row>
    <row r="2" spans="2:110" x14ac:dyDescent="0.2">
      <c r="I2" s="18" t="s">
        <v>27</v>
      </c>
      <c r="J2" s="18"/>
      <c r="K2" s="18"/>
      <c r="L2" s="18"/>
      <c r="N2" s="18" t="s">
        <v>68</v>
      </c>
      <c r="O2" s="18"/>
      <c r="P2" s="18"/>
      <c r="Q2" s="18"/>
      <c r="R2" s="18"/>
      <c r="S2" s="18"/>
      <c r="U2" s="18" t="s">
        <v>69</v>
      </c>
      <c r="V2" s="18"/>
      <c r="W2" s="18"/>
      <c r="X2" s="18"/>
      <c r="Y2" s="18"/>
      <c r="Z2" s="18"/>
      <c r="AB2" s="18" t="s">
        <v>70</v>
      </c>
      <c r="AC2" s="18"/>
      <c r="AD2" s="18"/>
      <c r="AE2" s="18"/>
      <c r="AF2" s="18"/>
      <c r="AG2" s="18"/>
      <c r="AI2" s="18" t="s">
        <v>71</v>
      </c>
      <c r="AJ2" s="18"/>
      <c r="AK2" s="18"/>
      <c r="AL2" s="18"/>
      <c r="AM2" s="18"/>
      <c r="AN2" s="18"/>
      <c r="AP2" s="18" t="s">
        <v>72</v>
      </c>
      <c r="AQ2" s="18"/>
      <c r="AR2" s="18"/>
      <c r="AS2" s="18"/>
      <c r="AT2" s="18"/>
      <c r="AU2" s="18"/>
      <c r="AW2" s="18" t="s">
        <v>78</v>
      </c>
      <c r="AX2" s="18"/>
      <c r="AY2" s="18"/>
      <c r="AZ2" s="18"/>
      <c r="BA2" s="18"/>
      <c r="BB2" s="18"/>
      <c r="BD2" s="18" t="s">
        <v>77</v>
      </c>
      <c r="BE2" s="18"/>
      <c r="BF2" s="18"/>
      <c r="BG2" s="18"/>
      <c r="BH2" s="18"/>
      <c r="BI2" s="18"/>
      <c r="BK2" s="18" t="s">
        <v>76</v>
      </c>
      <c r="BL2" s="18"/>
      <c r="BM2" s="18"/>
      <c r="BN2" s="18"/>
      <c r="BO2" s="18"/>
      <c r="BP2" s="18"/>
      <c r="BR2" s="18" t="s">
        <v>75</v>
      </c>
      <c r="BS2" s="18"/>
      <c r="BT2" s="18"/>
      <c r="BU2" s="18"/>
      <c r="BV2" s="18"/>
      <c r="BW2" s="18"/>
      <c r="BY2" s="18" t="s">
        <v>74</v>
      </c>
      <c r="BZ2" s="18"/>
      <c r="CA2" s="18"/>
      <c r="CB2" s="18"/>
      <c r="CC2" s="18"/>
      <c r="CD2" s="18"/>
      <c r="CF2" s="18" t="s">
        <v>73</v>
      </c>
      <c r="CG2" s="18"/>
      <c r="CH2" s="18"/>
      <c r="CI2" s="18"/>
      <c r="CJ2" s="18"/>
      <c r="CK2" s="18"/>
      <c r="CM2" s="18" t="s">
        <v>80</v>
      </c>
      <c r="CN2" s="18"/>
      <c r="CO2" s="18"/>
      <c r="CP2" s="18"/>
      <c r="CQ2" s="18"/>
      <c r="CR2" s="18"/>
      <c r="CT2" s="18" t="s">
        <v>73</v>
      </c>
      <c r="CU2" s="18"/>
      <c r="CV2" s="18"/>
      <c r="CW2" s="18"/>
      <c r="CX2" s="18"/>
      <c r="CY2" s="18"/>
      <c r="DA2" s="18" t="s">
        <v>79</v>
      </c>
      <c r="DB2" s="18"/>
      <c r="DC2" s="18"/>
      <c r="DD2" s="18"/>
      <c r="DE2" s="18"/>
      <c r="DF2" s="18"/>
    </row>
    <row r="3" spans="2:110"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row>
    <row r="4" spans="2:110" x14ac:dyDescent="0.2">
      <c r="B4" t="s">
        <v>27</v>
      </c>
      <c r="C4" t="s">
        <v>49</v>
      </c>
      <c r="E4" s="10">
        <v>9</v>
      </c>
      <c r="G4" s="11">
        <f>+SUM(G5:G22)</f>
        <v>1.0000000000000004</v>
      </c>
      <c r="I4" s="13">
        <f>+SUM(I5:I22)</f>
        <v>108</v>
      </c>
      <c r="J4" s="12">
        <f>+SUMPRODUCT(G5:G22,J5:J22)</f>
        <v>0</v>
      </c>
      <c r="K4" s="12">
        <f>+SUMPRODUCT(G5:G22,K5:K22)</f>
        <v>0</v>
      </c>
      <c r="L4" s="10"/>
      <c r="N4" s="13">
        <f>+SUM(N5:N22)</f>
        <v>12</v>
      </c>
      <c r="U4" s="13">
        <f>+SUM(U5:U22)</f>
        <v>12</v>
      </c>
      <c r="AB4" s="13">
        <f>+SUM(AB5:AB22)</f>
        <v>12</v>
      </c>
      <c r="AI4" s="13">
        <f>+SUM(AI5:AI22)</f>
        <v>12</v>
      </c>
      <c r="AP4" s="13">
        <f>+SUM(AP5:AP22)</f>
        <v>12</v>
      </c>
      <c r="AW4" s="13">
        <f>+SUM(AW5:AW22)</f>
        <v>12</v>
      </c>
      <c r="BD4" s="13">
        <f>+SUM(BD5:BD22)</f>
        <v>12</v>
      </c>
      <c r="BK4" s="13">
        <f>+SUM(BK5:BK22)</f>
        <v>12</v>
      </c>
      <c r="BR4" s="13">
        <f>+SUM(BR5:BR22)</f>
        <v>12</v>
      </c>
      <c r="BY4" s="13">
        <f>+SUM(BY5:BY22)</f>
        <v>0</v>
      </c>
      <c r="CF4" s="13">
        <f>+SUM(CF5:CF22)</f>
        <v>0</v>
      </c>
      <c r="CM4" s="13">
        <f>+SUM(CM5:CM22)</f>
        <v>0</v>
      </c>
      <c r="CT4" s="13">
        <f>+SUM(CT5:CT22)</f>
        <v>0</v>
      </c>
      <c r="DA4" s="13">
        <f>+SUM(DA5:DA22)</f>
        <v>0</v>
      </c>
    </row>
    <row r="5" spans="2:110" hidden="1" outlineLevel="1" x14ac:dyDescent="0.2">
      <c r="B5" t="s">
        <v>28</v>
      </c>
      <c r="C5" t="s">
        <v>49</v>
      </c>
      <c r="E5" s="10"/>
      <c r="F5" t="s">
        <v>50</v>
      </c>
      <c r="G5" s="11">
        <v>0.05</v>
      </c>
      <c r="I5" s="10">
        <f>+SUMIF($N$3:$ZZ$3,I$3,$N5:$ZZ5)</f>
        <v>6</v>
      </c>
      <c r="J5" s="12">
        <f t="shared" ref="J5:K20" si="0">+_xlfn.MAXIFS($N5:$ZF5,$N$3:$ZF$3,J$3)</f>
        <v>0</v>
      </c>
      <c r="K5" s="12">
        <f t="shared" si="0"/>
        <v>0</v>
      </c>
      <c r="L5" s="10"/>
      <c r="N5">
        <v>2</v>
      </c>
      <c r="O5" s="11"/>
      <c r="P5" s="11">
        <v>0.5</v>
      </c>
      <c r="Q5" s="11"/>
      <c r="R5" s="11">
        <v>0.5</v>
      </c>
      <c r="U5">
        <v>2</v>
      </c>
      <c r="V5" s="11"/>
      <c r="W5" s="11">
        <v>0.8</v>
      </c>
      <c r="X5" s="11"/>
      <c r="Y5" s="11">
        <v>0.8</v>
      </c>
      <c r="AB5">
        <v>0</v>
      </c>
      <c r="AC5" s="11"/>
      <c r="AD5" s="11">
        <v>0.8</v>
      </c>
      <c r="AE5" s="11"/>
      <c r="AF5" s="11">
        <v>0.8</v>
      </c>
      <c r="AI5">
        <v>2</v>
      </c>
      <c r="AJ5" s="11"/>
      <c r="AK5" s="11">
        <v>1</v>
      </c>
      <c r="AL5" s="11"/>
      <c r="AM5" s="11">
        <v>1</v>
      </c>
      <c r="AP5">
        <v>0</v>
      </c>
      <c r="AQ5" s="11"/>
      <c r="AR5" s="11">
        <v>1</v>
      </c>
      <c r="AS5" s="11"/>
      <c r="AT5" s="11">
        <v>1</v>
      </c>
      <c r="AW5">
        <v>0</v>
      </c>
      <c r="AX5" s="11"/>
      <c r="AY5" s="11">
        <v>1</v>
      </c>
      <c r="AZ5" s="11"/>
      <c r="BA5" s="11">
        <v>1</v>
      </c>
      <c r="BD5">
        <v>0</v>
      </c>
      <c r="BE5" s="11"/>
      <c r="BF5" s="11">
        <v>1</v>
      </c>
      <c r="BG5" s="11"/>
      <c r="BH5" s="11">
        <v>1</v>
      </c>
      <c r="BK5">
        <v>0</v>
      </c>
      <c r="BL5" s="11"/>
      <c r="BM5" s="11">
        <v>1</v>
      </c>
      <c r="BN5" s="11"/>
      <c r="BO5" s="11">
        <v>1</v>
      </c>
      <c r="BR5">
        <v>0</v>
      </c>
      <c r="BS5" s="11"/>
      <c r="BT5" s="11">
        <v>1</v>
      </c>
      <c r="BU5" s="11"/>
      <c r="BV5" s="11">
        <v>1</v>
      </c>
      <c r="BZ5" s="11"/>
      <c r="CA5" s="11"/>
      <c r="CB5" s="11"/>
      <c r="CC5" s="11"/>
      <c r="CG5" s="11"/>
      <c r="CH5" s="11"/>
      <c r="CI5" s="11"/>
      <c r="CJ5" s="11"/>
      <c r="CN5" s="11"/>
      <c r="CO5" s="11"/>
      <c r="CP5" s="11"/>
      <c r="CQ5" s="11"/>
      <c r="CU5" s="11"/>
      <c r="CV5" s="11"/>
      <c r="CW5" s="11"/>
      <c r="CX5" s="11"/>
      <c r="DB5" s="11"/>
      <c r="DC5" s="11"/>
      <c r="DD5" s="11"/>
      <c r="DE5" s="11"/>
    </row>
    <row r="6" spans="2:110" hidden="1" outlineLevel="1" x14ac:dyDescent="0.2">
      <c r="B6" t="s">
        <v>28</v>
      </c>
      <c r="C6" t="s">
        <v>49</v>
      </c>
      <c r="E6" s="10"/>
      <c r="F6" t="s">
        <v>51</v>
      </c>
      <c r="G6" s="11">
        <v>0.06</v>
      </c>
      <c r="I6" s="10">
        <f t="shared" ref="I6:I22" si="1">+SUMIF($N$3:$ZZ$3,I$3,$N6:$ZZ6)</f>
        <v>6</v>
      </c>
      <c r="J6" s="12">
        <f t="shared" si="0"/>
        <v>0</v>
      </c>
      <c r="K6" s="12">
        <f t="shared" si="0"/>
        <v>0</v>
      </c>
      <c r="L6" s="10"/>
      <c r="N6">
        <v>2</v>
      </c>
      <c r="O6" s="11"/>
      <c r="P6" s="11">
        <v>0.5</v>
      </c>
      <c r="Q6" s="11"/>
      <c r="R6" s="11">
        <v>0.5</v>
      </c>
      <c r="U6">
        <v>2</v>
      </c>
      <c r="V6" s="11"/>
      <c r="W6" s="11">
        <v>0.8</v>
      </c>
      <c r="X6" s="11"/>
      <c r="Y6" s="11">
        <v>0.8</v>
      </c>
      <c r="AB6">
        <v>0</v>
      </c>
      <c r="AC6" s="11"/>
      <c r="AD6" s="11">
        <v>0.8</v>
      </c>
      <c r="AE6" s="11"/>
      <c r="AF6" s="11">
        <v>0.8</v>
      </c>
      <c r="AI6">
        <v>0</v>
      </c>
      <c r="AJ6" s="11"/>
      <c r="AK6" s="11">
        <v>0.8</v>
      </c>
      <c r="AL6" s="11"/>
      <c r="AM6" s="11">
        <v>0.8</v>
      </c>
      <c r="AP6">
        <v>2</v>
      </c>
      <c r="AQ6" s="11"/>
      <c r="AR6" s="11">
        <v>1</v>
      </c>
      <c r="AS6" s="11"/>
      <c r="AT6" s="11">
        <v>1</v>
      </c>
      <c r="AW6">
        <v>0</v>
      </c>
      <c r="AX6" s="11"/>
      <c r="AY6" s="11">
        <v>1</v>
      </c>
      <c r="AZ6" s="11"/>
      <c r="BA6" s="11">
        <v>1</v>
      </c>
      <c r="BD6">
        <v>0</v>
      </c>
      <c r="BE6" s="11"/>
      <c r="BF6" s="11">
        <v>1</v>
      </c>
      <c r="BG6" s="11"/>
      <c r="BH6" s="11">
        <v>1</v>
      </c>
      <c r="BK6">
        <v>0</v>
      </c>
      <c r="BL6" s="11"/>
      <c r="BM6" s="11">
        <v>1</v>
      </c>
      <c r="BN6" s="11"/>
      <c r="BO6" s="11">
        <v>1</v>
      </c>
      <c r="BR6">
        <v>0</v>
      </c>
      <c r="BS6" s="11"/>
      <c r="BT6" s="11">
        <v>1</v>
      </c>
      <c r="BU6" s="11"/>
      <c r="BV6" s="11">
        <v>1</v>
      </c>
      <c r="BZ6" s="11"/>
      <c r="CA6" s="11"/>
      <c r="CB6" s="11"/>
      <c r="CC6" s="11"/>
      <c r="CG6" s="11"/>
      <c r="CH6" s="11"/>
      <c r="CI6" s="11"/>
      <c r="CJ6" s="11"/>
      <c r="CN6" s="11"/>
      <c r="CO6" s="11"/>
      <c r="CP6" s="11"/>
      <c r="CQ6" s="11"/>
      <c r="CU6" s="11"/>
      <c r="CV6" s="11"/>
      <c r="CW6" s="11"/>
      <c r="CX6" s="11"/>
      <c r="DB6" s="11"/>
      <c r="DC6" s="11"/>
      <c r="DD6" s="11"/>
      <c r="DE6" s="11"/>
    </row>
    <row r="7" spans="2:110" hidden="1" outlineLevel="1" x14ac:dyDescent="0.2">
      <c r="B7" t="s">
        <v>28</v>
      </c>
      <c r="C7" t="s">
        <v>49</v>
      </c>
      <c r="E7" s="10"/>
      <c r="F7" t="s">
        <v>52</v>
      </c>
      <c r="G7" s="11">
        <v>0.06</v>
      </c>
      <c r="I7" s="10">
        <f t="shared" si="1"/>
        <v>6</v>
      </c>
      <c r="J7" s="12">
        <f t="shared" si="0"/>
        <v>0</v>
      </c>
      <c r="K7" s="12">
        <f t="shared" si="0"/>
        <v>0</v>
      </c>
      <c r="L7" s="10"/>
      <c r="N7">
        <v>2</v>
      </c>
      <c r="O7" s="11"/>
      <c r="P7" s="11">
        <v>0.5</v>
      </c>
      <c r="Q7" s="11"/>
      <c r="R7" s="11">
        <v>0.5</v>
      </c>
      <c r="V7" s="11"/>
      <c r="W7" s="11">
        <v>0.5</v>
      </c>
      <c r="X7" s="11"/>
      <c r="Y7" s="11">
        <v>0.5</v>
      </c>
      <c r="AB7">
        <v>2</v>
      </c>
      <c r="AC7" s="11"/>
      <c r="AD7" s="11">
        <v>0.8</v>
      </c>
      <c r="AE7" s="11"/>
      <c r="AF7" s="11">
        <v>0.8</v>
      </c>
      <c r="AI7">
        <v>0</v>
      </c>
      <c r="AJ7" s="11"/>
      <c r="AK7" s="11">
        <v>0.8</v>
      </c>
      <c r="AL7" s="11"/>
      <c r="AM7" s="11">
        <v>0.8</v>
      </c>
      <c r="AP7">
        <v>0</v>
      </c>
      <c r="AQ7" s="11"/>
      <c r="AR7" s="11">
        <v>0.8</v>
      </c>
      <c r="AS7" s="11"/>
      <c r="AT7" s="11">
        <v>0.8</v>
      </c>
      <c r="AW7">
        <v>2</v>
      </c>
      <c r="AX7" s="11"/>
      <c r="AY7" s="11">
        <v>1</v>
      </c>
      <c r="AZ7" s="11"/>
      <c r="BA7" s="11">
        <v>1</v>
      </c>
      <c r="BD7">
        <v>0</v>
      </c>
      <c r="BE7" s="11"/>
      <c r="BF7" s="11">
        <v>1</v>
      </c>
      <c r="BG7" s="11"/>
      <c r="BH7" s="11">
        <v>1</v>
      </c>
      <c r="BK7">
        <v>0</v>
      </c>
      <c r="BL7" s="11"/>
      <c r="BM7" s="11">
        <v>1</v>
      </c>
      <c r="BN7" s="11"/>
      <c r="BO7" s="11">
        <v>1</v>
      </c>
      <c r="BR7">
        <v>0</v>
      </c>
      <c r="BS7" s="11"/>
      <c r="BT7" s="11">
        <v>1</v>
      </c>
      <c r="BU7" s="11"/>
      <c r="BV7" s="11">
        <v>1</v>
      </c>
      <c r="BZ7" s="11"/>
      <c r="CA7" s="11"/>
      <c r="CB7" s="11"/>
      <c r="CC7" s="11"/>
      <c r="CG7" s="11"/>
      <c r="CH7" s="11"/>
      <c r="CI7" s="11"/>
      <c r="CJ7" s="11"/>
      <c r="CN7" s="11"/>
      <c r="CO7" s="11"/>
      <c r="CP7" s="11"/>
      <c r="CQ7" s="11"/>
      <c r="CU7" s="11"/>
      <c r="CV7" s="11"/>
      <c r="CW7" s="11"/>
      <c r="CX7" s="11"/>
      <c r="DB7" s="11"/>
      <c r="DC7" s="11"/>
      <c r="DD7" s="11"/>
      <c r="DE7" s="11"/>
    </row>
    <row r="8" spans="2:110" hidden="1" outlineLevel="1" x14ac:dyDescent="0.2">
      <c r="B8" t="s">
        <v>28</v>
      </c>
      <c r="C8" t="s">
        <v>49</v>
      </c>
      <c r="E8" s="10"/>
      <c r="F8" t="s">
        <v>53</v>
      </c>
      <c r="G8" s="11">
        <v>0.06</v>
      </c>
      <c r="I8" s="10">
        <f t="shared" si="1"/>
        <v>6</v>
      </c>
      <c r="J8" s="12">
        <f t="shared" si="0"/>
        <v>0</v>
      </c>
      <c r="K8" s="12">
        <f t="shared" si="0"/>
        <v>0</v>
      </c>
      <c r="L8" s="10"/>
      <c r="N8">
        <v>2</v>
      </c>
      <c r="O8" s="11"/>
      <c r="P8" s="11">
        <v>0.5</v>
      </c>
      <c r="Q8" s="11"/>
      <c r="R8" s="11">
        <v>0.5</v>
      </c>
      <c r="V8" s="11"/>
      <c r="W8" s="11">
        <v>0.5</v>
      </c>
      <c r="X8" s="11"/>
      <c r="Y8" s="11">
        <v>0.5</v>
      </c>
      <c r="AB8">
        <v>2</v>
      </c>
      <c r="AC8" s="11"/>
      <c r="AD8" s="11">
        <v>0.8</v>
      </c>
      <c r="AE8" s="11"/>
      <c r="AF8" s="11">
        <v>0.8</v>
      </c>
      <c r="AI8">
        <v>0</v>
      </c>
      <c r="AJ8" s="11"/>
      <c r="AK8" s="11">
        <v>0.8</v>
      </c>
      <c r="AL8" s="11"/>
      <c r="AM8" s="11">
        <v>0.8</v>
      </c>
      <c r="AP8">
        <v>0</v>
      </c>
      <c r="AQ8" s="11"/>
      <c r="AR8" s="11">
        <v>0.8</v>
      </c>
      <c r="AS8" s="11"/>
      <c r="AT8" s="11">
        <v>0.8</v>
      </c>
      <c r="AW8">
        <v>2</v>
      </c>
      <c r="AX8" s="11"/>
      <c r="AY8" s="11">
        <v>1</v>
      </c>
      <c r="AZ8" s="11"/>
      <c r="BA8" s="11">
        <v>1</v>
      </c>
      <c r="BD8">
        <v>0</v>
      </c>
      <c r="BE8" s="11"/>
      <c r="BF8" s="11">
        <v>1</v>
      </c>
      <c r="BG8" s="11"/>
      <c r="BH8" s="11">
        <v>1</v>
      </c>
      <c r="BK8">
        <v>0</v>
      </c>
      <c r="BL8" s="11"/>
      <c r="BM8" s="11">
        <v>1</v>
      </c>
      <c r="BN8" s="11"/>
      <c r="BO8" s="11">
        <v>1</v>
      </c>
      <c r="BR8">
        <v>0</v>
      </c>
      <c r="BS8" s="11"/>
      <c r="BT8" s="11">
        <v>1</v>
      </c>
      <c r="BU8" s="11"/>
      <c r="BV8" s="11">
        <v>1</v>
      </c>
      <c r="BZ8" s="11"/>
      <c r="CA8" s="11"/>
      <c r="CB8" s="11"/>
      <c r="CC8" s="11"/>
      <c r="CG8" s="11"/>
      <c r="CH8" s="11"/>
      <c r="CI8" s="11"/>
      <c r="CJ8" s="11"/>
      <c r="CN8" s="11"/>
      <c r="CO8" s="11"/>
      <c r="CP8" s="11"/>
      <c r="CQ8" s="11"/>
      <c r="CU8" s="11"/>
      <c r="CV8" s="11"/>
      <c r="CW8" s="11"/>
      <c r="CX8" s="11"/>
      <c r="DB8" s="11"/>
      <c r="DC8" s="11"/>
      <c r="DD8" s="11"/>
      <c r="DE8" s="11"/>
    </row>
    <row r="9" spans="2:110" hidden="1" outlineLevel="1" x14ac:dyDescent="0.2">
      <c r="B9" t="s">
        <v>28</v>
      </c>
      <c r="C9" t="s">
        <v>49</v>
      </c>
      <c r="E9" s="10"/>
      <c r="F9" t="s">
        <v>54</v>
      </c>
      <c r="G9" s="11">
        <v>0.05</v>
      </c>
      <c r="I9" s="10">
        <f t="shared" si="1"/>
        <v>6</v>
      </c>
      <c r="J9" s="12">
        <f t="shared" si="0"/>
        <v>0</v>
      </c>
      <c r="K9" s="12">
        <f t="shared" si="0"/>
        <v>0</v>
      </c>
      <c r="L9" s="10"/>
      <c r="N9">
        <v>2</v>
      </c>
      <c r="O9" s="11"/>
      <c r="P9" s="11">
        <v>0.5</v>
      </c>
      <c r="Q9" s="11"/>
      <c r="R9" s="11">
        <v>0.5</v>
      </c>
      <c r="V9" s="11"/>
      <c r="W9" s="11">
        <v>0.5</v>
      </c>
      <c r="X9" s="11"/>
      <c r="Y9" s="11">
        <v>0.5</v>
      </c>
      <c r="AB9">
        <v>2</v>
      </c>
      <c r="AC9" s="11"/>
      <c r="AD9" s="11">
        <v>0.8</v>
      </c>
      <c r="AE9" s="11"/>
      <c r="AF9" s="11">
        <v>0.8</v>
      </c>
      <c r="AI9">
        <v>0</v>
      </c>
      <c r="AJ9" s="11"/>
      <c r="AK9" s="11">
        <v>0.8</v>
      </c>
      <c r="AL9" s="11"/>
      <c r="AM9" s="11">
        <v>0.8</v>
      </c>
      <c r="AP9">
        <v>0</v>
      </c>
      <c r="AQ9" s="11"/>
      <c r="AR9" s="11">
        <v>0.8</v>
      </c>
      <c r="AS9" s="11"/>
      <c r="AT9" s="11">
        <v>0.8</v>
      </c>
      <c r="AW9">
        <v>2</v>
      </c>
      <c r="AX9" s="11"/>
      <c r="AY9" s="11">
        <v>1</v>
      </c>
      <c r="AZ9" s="11"/>
      <c r="BA9" s="11">
        <v>1</v>
      </c>
      <c r="BD9">
        <v>0</v>
      </c>
      <c r="BE9" s="11"/>
      <c r="BF9" s="11">
        <v>1</v>
      </c>
      <c r="BG9" s="11"/>
      <c r="BH9" s="11">
        <v>1</v>
      </c>
      <c r="BK9">
        <v>0</v>
      </c>
      <c r="BL9" s="11"/>
      <c r="BM9" s="11">
        <v>1</v>
      </c>
      <c r="BN9" s="11"/>
      <c r="BO9" s="11">
        <v>1</v>
      </c>
      <c r="BR9">
        <v>0</v>
      </c>
      <c r="BS9" s="11"/>
      <c r="BT9" s="11">
        <v>1</v>
      </c>
      <c r="BU9" s="11"/>
      <c r="BV9" s="11">
        <v>1</v>
      </c>
      <c r="BZ9" s="11"/>
      <c r="CA9" s="11"/>
      <c r="CB9" s="11"/>
      <c r="CC9" s="11"/>
      <c r="CG9" s="11"/>
      <c r="CH9" s="11"/>
      <c r="CI9" s="11"/>
      <c r="CJ9" s="11"/>
      <c r="CN9" s="11"/>
      <c r="CO9" s="11"/>
      <c r="CP9" s="11"/>
      <c r="CQ9" s="11"/>
      <c r="CU9" s="11"/>
      <c r="CV9" s="11"/>
      <c r="CW9" s="11"/>
      <c r="CX9" s="11"/>
      <c r="DB9" s="11"/>
      <c r="DC9" s="11"/>
      <c r="DD9" s="11"/>
      <c r="DE9" s="11"/>
    </row>
    <row r="10" spans="2:110" hidden="1" outlineLevel="1" x14ac:dyDescent="0.2">
      <c r="B10" t="s">
        <v>28</v>
      </c>
      <c r="C10" t="s">
        <v>49</v>
      </c>
      <c r="E10" s="10"/>
      <c r="F10" t="s">
        <v>55</v>
      </c>
      <c r="G10" s="11">
        <v>0.06</v>
      </c>
      <c r="I10" s="10">
        <f t="shared" si="1"/>
        <v>6</v>
      </c>
      <c r="J10" s="12">
        <f t="shared" si="0"/>
        <v>0</v>
      </c>
      <c r="K10" s="12">
        <f t="shared" si="0"/>
        <v>0</v>
      </c>
      <c r="L10" s="10"/>
      <c r="N10">
        <v>2</v>
      </c>
      <c r="O10" s="11"/>
      <c r="P10" s="11">
        <v>0.5</v>
      </c>
      <c r="Q10" s="11"/>
      <c r="R10" s="11">
        <v>0.5</v>
      </c>
      <c r="V10" s="11"/>
      <c r="W10" s="11">
        <v>0.5</v>
      </c>
      <c r="X10" s="11"/>
      <c r="Y10" s="11">
        <v>0.5</v>
      </c>
      <c r="AB10">
        <v>0</v>
      </c>
      <c r="AC10" s="11"/>
      <c r="AD10" s="11">
        <v>0.5</v>
      </c>
      <c r="AE10" s="11"/>
      <c r="AF10" s="11">
        <v>0.5</v>
      </c>
      <c r="AI10">
        <v>2</v>
      </c>
      <c r="AJ10" s="11"/>
      <c r="AK10" s="11">
        <v>0.8</v>
      </c>
      <c r="AL10" s="11"/>
      <c r="AM10" s="11">
        <v>0.8</v>
      </c>
      <c r="AP10">
        <v>0</v>
      </c>
      <c r="AQ10" s="11"/>
      <c r="AR10" s="11">
        <v>0.8</v>
      </c>
      <c r="AS10" s="11"/>
      <c r="AT10" s="11">
        <v>0.8</v>
      </c>
      <c r="AW10">
        <v>0</v>
      </c>
      <c r="AX10" s="11"/>
      <c r="AY10" s="11">
        <v>0.8</v>
      </c>
      <c r="AZ10" s="11"/>
      <c r="BA10" s="11">
        <v>0.8</v>
      </c>
      <c r="BD10">
        <v>2</v>
      </c>
      <c r="BE10" s="11"/>
      <c r="BF10" s="11">
        <v>1</v>
      </c>
      <c r="BG10" s="11"/>
      <c r="BH10" s="11">
        <v>1</v>
      </c>
      <c r="BK10">
        <v>0</v>
      </c>
      <c r="BL10" s="11"/>
      <c r="BM10" s="11">
        <v>1</v>
      </c>
      <c r="BN10" s="11"/>
      <c r="BO10" s="11">
        <v>1</v>
      </c>
      <c r="BR10">
        <v>0</v>
      </c>
      <c r="BS10" s="11"/>
      <c r="BT10" s="11">
        <v>1</v>
      </c>
      <c r="BU10" s="11"/>
      <c r="BV10" s="11">
        <v>1</v>
      </c>
      <c r="BZ10" s="11"/>
      <c r="CA10" s="11"/>
      <c r="CB10" s="11"/>
      <c r="CC10" s="11"/>
      <c r="CG10" s="11"/>
      <c r="CH10" s="11"/>
      <c r="CI10" s="11"/>
      <c r="CJ10" s="11"/>
      <c r="CN10" s="11"/>
      <c r="CO10" s="11"/>
      <c r="CP10" s="11"/>
      <c r="CQ10" s="11"/>
      <c r="CU10" s="11"/>
      <c r="CV10" s="11"/>
      <c r="CW10" s="11"/>
      <c r="CX10" s="11"/>
      <c r="DB10" s="11"/>
      <c r="DC10" s="11"/>
      <c r="DD10" s="11"/>
      <c r="DE10" s="11"/>
    </row>
    <row r="11" spans="2:110" hidden="1" outlineLevel="1" x14ac:dyDescent="0.2">
      <c r="B11" t="s">
        <v>28</v>
      </c>
      <c r="C11" t="s">
        <v>49</v>
      </c>
      <c r="E11" s="10"/>
      <c r="F11" t="s">
        <v>56</v>
      </c>
      <c r="G11" s="11">
        <v>0.06</v>
      </c>
      <c r="I11" s="10">
        <f t="shared" si="1"/>
        <v>6</v>
      </c>
      <c r="J11" s="12">
        <f t="shared" si="0"/>
        <v>0</v>
      </c>
      <c r="K11" s="12">
        <f t="shared" si="0"/>
        <v>0</v>
      </c>
      <c r="L11" s="10"/>
      <c r="O11" s="11"/>
      <c r="P11" s="11"/>
      <c r="Q11" s="11"/>
      <c r="R11" s="11"/>
      <c r="U11">
        <v>2</v>
      </c>
      <c r="V11" s="11"/>
      <c r="W11" s="11">
        <v>0.5</v>
      </c>
      <c r="X11" s="11"/>
      <c r="Y11" s="11">
        <v>0.5</v>
      </c>
      <c r="AB11">
        <v>0</v>
      </c>
      <c r="AC11" s="11"/>
      <c r="AD11" s="11">
        <v>0.5</v>
      </c>
      <c r="AE11" s="11"/>
      <c r="AF11" s="11">
        <v>0.5</v>
      </c>
      <c r="AI11">
        <v>2</v>
      </c>
      <c r="AJ11" s="11"/>
      <c r="AK11" s="11">
        <v>0.8</v>
      </c>
      <c r="AL11" s="11"/>
      <c r="AM11" s="11">
        <v>0.8</v>
      </c>
      <c r="AP11">
        <v>0</v>
      </c>
      <c r="AQ11" s="11"/>
      <c r="AR11" s="11">
        <v>0.8</v>
      </c>
      <c r="AS11" s="11"/>
      <c r="AT11" s="11">
        <v>0.8</v>
      </c>
      <c r="AW11">
        <v>0</v>
      </c>
      <c r="AX11" s="11"/>
      <c r="AY11" s="11">
        <v>0.8</v>
      </c>
      <c r="AZ11" s="11"/>
      <c r="BA11" s="11">
        <v>0.8</v>
      </c>
      <c r="BD11">
        <v>2</v>
      </c>
      <c r="BE11" s="11"/>
      <c r="BF11" s="11">
        <v>1</v>
      </c>
      <c r="BG11" s="11"/>
      <c r="BH11" s="11">
        <v>1</v>
      </c>
      <c r="BK11">
        <v>0</v>
      </c>
      <c r="BL11" s="11"/>
      <c r="BM11" s="11">
        <v>1</v>
      </c>
      <c r="BN11" s="11"/>
      <c r="BO11" s="11">
        <v>1</v>
      </c>
      <c r="BR11">
        <v>0</v>
      </c>
      <c r="BS11" s="11"/>
      <c r="BT11" s="11">
        <v>1</v>
      </c>
      <c r="BU11" s="11"/>
      <c r="BV11" s="11">
        <v>1</v>
      </c>
      <c r="BZ11" s="11"/>
      <c r="CA11" s="11"/>
      <c r="CB11" s="11"/>
      <c r="CC11" s="11"/>
      <c r="CG11" s="11"/>
      <c r="CH11" s="11"/>
      <c r="CI11" s="11"/>
      <c r="CJ11" s="11"/>
      <c r="CN11" s="11"/>
      <c r="CO11" s="11"/>
      <c r="CP11" s="11"/>
      <c r="CQ11" s="11"/>
      <c r="CU11" s="11"/>
      <c r="CV11" s="11"/>
      <c r="CW11" s="11"/>
      <c r="CX11" s="11"/>
      <c r="DB11" s="11"/>
      <c r="DC11" s="11"/>
      <c r="DD11" s="11"/>
      <c r="DE11" s="11"/>
    </row>
    <row r="12" spans="2:110" hidden="1" outlineLevel="1" x14ac:dyDescent="0.2">
      <c r="B12" t="s">
        <v>28</v>
      </c>
      <c r="C12" t="s">
        <v>49</v>
      </c>
      <c r="E12" s="10"/>
      <c r="F12" t="s">
        <v>57</v>
      </c>
      <c r="G12" s="11">
        <v>0.06</v>
      </c>
      <c r="I12" s="10">
        <f t="shared" si="1"/>
        <v>6</v>
      </c>
      <c r="J12" s="12">
        <f t="shared" si="0"/>
        <v>0</v>
      </c>
      <c r="K12" s="12">
        <f t="shared" si="0"/>
        <v>0</v>
      </c>
      <c r="L12" s="10"/>
      <c r="O12" s="11"/>
      <c r="P12" s="11"/>
      <c r="Q12" s="11"/>
      <c r="R12" s="11"/>
      <c r="U12">
        <v>2</v>
      </c>
      <c r="V12" s="11"/>
      <c r="W12" s="11">
        <v>0.5</v>
      </c>
      <c r="X12" s="11"/>
      <c r="Y12" s="11">
        <v>0.5</v>
      </c>
      <c r="AB12">
        <v>0</v>
      </c>
      <c r="AC12" s="11"/>
      <c r="AD12" s="11">
        <v>0.5</v>
      </c>
      <c r="AE12" s="11"/>
      <c r="AF12" s="11">
        <v>0.5</v>
      </c>
      <c r="AI12">
        <v>0</v>
      </c>
      <c r="AJ12" s="11"/>
      <c r="AK12" s="11">
        <v>0.5</v>
      </c>
      <c r="AL12" s="11"/>
      <c r="AM12" s="11">
        <v>0.5</v>
      </c>
      <c r="AP12">
        <v>2</v>
      </c>
      <c r="AQ12" s="11"/>
      <c r="AR12" s="11">
        <v>0.8</v>
      </c>
      <c r="AS12" s="11"/>
      <c r="AT12" s="11">
        <v>0.8</v>
      </c>
      <c r="AW12">
        <v>0</v>
      </c>
      <c r="AX12" s="11"/>
      <c r="AY12" s="11">
        <v>0.8</v>
      </c>
      <c r="AZ12" s="11"/>
      <c r="BA12" s="11">
        <v>0.8</v>
      </c>
      <c r="BD12">
        <v>2</v>
      </c>
      <c r="BE12" s="11"/>
      <c r="BF12" s="11">
        <v>1</v>
      </c>
      <c r="BG12" s="11"/>
      <c r="BH12" s="11">
        <v>1</v>
      </c>
      <c r="BK12">
        <v>0</v>
      </c>
      <c r="BL12" s="11"/>
      <c r="BM12" s="11">
        <v>1</v>
      </c>
      <c r="BN12" s="11"/>
      <c r="BO12" s="11">
        <v>1</v>
      </c>
      <c r="BR12">
        <v>0</v>
      </c>
      <c r="BS12" s="11"/>
      <c r="BT12" s="11">
        <v>1</v>
      </c>
      <c r="BU12" s="11"/>
      <c r="BV12" s="11">
        <v>1</v>
      </c>
      <c r="BZ12" s="11"/>
      <c r="CA12" s="11"/>
      <c r="CB12" s="11"/>
      <c r="CC12" s="11"/>
      <c r="CG12" s="11"/>
      <c r="CH12" s="11"/>
      <c r="CI12" s="11"/>
      <c r="CJ12" s="11"/>
      <c r="CN12" s="11"/>
      <c r="CO12" s="11"/>
      <c r="CP12" s="11"/>
      <c r="CQ12" s="11"/>
      <c r="CU12" s="11"/>
      <c r="CV12" s="11"/>
      <c r="CW12" s="11"/>
      <c r="CX12" s="11"/>
      <c r="DB12" s="11"/>
      <c r="DC12" s="11"/>
      <c r="DD12" s="11"/>
      <c r="DE12" s="11"/>
    </row>
    <row r="13" spans="2:110" hidden="1" outlineLevel="1" x14ac:dyDescent="0.2">
      <c r="B13" t="s">
        <v>28</v>
      </c>
      <c r="C13" t="s">
        <v>49</v>
      </c>
      <c r="E13" s="10"/>
      <c r="F13" t="s">
        <v>58</v>
      </c>
      <c r="G13" s="11">
        <v>0.05</v>
      </c>
      <c r="I13" s="10">
        <f t="shared" si="1"/>
        <v>6</v>
      </c>
      <c r="J13" s="12">
        <f t="shared" si="0"/>
        <v>0</v>
      </c>
      <c r="K13" s="12">
        <f t="shared" si="0"/>
        <v>0</v>
      </c>
      <c r="L13" s="10"/>
      <c r="O13" s="11"/>
      <c r="P13" s="11"/>
      <c r="Q13" s="11"/>
      <c r="R13" s="11"/>
      <c r="U13">
        <v>2</v>
      </c>
      <c r="V13" s="11"/>
      <c r="W13" s="11">
        <v>0.5</v>
      </c>
      <c r="X13" s="11"/>
      <c r="Y13" s="11">
        <v>0.5</v>
      </c>
      <c r="AB13">
        <v>0</v>
      </c>
      <c r="AC13" s="11"/>
      <c r="AD13" s="11">
        <v>0.5</v>
      </c>
      <c r="AE13" s="11"/>
      <c r="AF13" s="11">
        <v>0.5</v>
      </c>
      <c r="AI13">
        <v>0</v>
      </c>
      <c r="AJ13" s="11"/>
      <c r="AK13" s="11">
        <v>0.5</v>
      </c>
      <c r="AL13" s="11"/>
      <c r="AM13" s="11">
        <v>0.5</v>
      </c>
      <c r="AP13">
        <v>2</v>
      </c>
      <c r="AQ13" s="11"/>
      <c r="AR13" s="11">
        <v>0.8</v>
      </c>
      <c r="AS13" s="11"/>
      <c r="AT13" s="11">
        <v>0.8</v>
      </c>
      <c r="AW13">
        <v>0</v>
      </c>
      <c r="AX13" s="11"/>
      <c r="AY13" s="11">
        <v>0.8</v>
      </c>
      <c r="AZ13" s="11"/>
      <c r="BA13" s="11">
        <v>0.8</v>
      </c>
      <c r="BD13">
        <v>0</v>
      </c>
      <c r="BE13" s="11"/>
      <c r="BF13" s="11">
        <v>0.8</v>
      </c>
      <c r="BG13" s="11"/>
      <c r="BH13" s="11">
        <v>0.8</v>
      </c>
      <c r="BK13">
        <v>2</v>
      </c>
      <c r="BL13" s="11"/>
      <c r="BM13" s="11">
        <v>1</v>
      </c>
      <c r="BN13" s="11"/>
      <c r="BO13" s="11">
        <v>1</v>
      </c>
      <c r="BR13">
        <v>0</v>
      </c>
      <c r="BS13" s="11"/>
      <c r="BT13" s="11">
        <v>1</v>
      </c>
      <c r="BU13" s="11"/>
      <c r="BV13" s="11">
        <v>1</v>
      </c>
      <c r="BZ13" s="11"/>
      <c r="CA13" s="11"/>
      <c r="CB13" s="11"/>
      <c r="CC13" s="11"/>
      <c r="CG13" s="11"/>
      <c r="CH13" s="11"/>
      <c r="CI13" s="11"/>
      <c r="CJ13" s="11"/>
      <c r="CN13" s="11"/>
      <c r="CO13" s="11"/>
      <c r="CP13" s="11"/>
      <c r="CQ13" s="11"/>
      <c r="CU13" s="11"/>
      <c r="CV13" s="11"/>
      <c r="CW13" s="11"/>
      <c r="CX13" s="11"/>
      <c r="DB13" s="11"/>
      <c r="DC13" s="11"/>
      <c r="DD13" s="11"/>
      <c r="DE13" s="11"/>
    </row>
    <row r="14" spans="2:110" hidden="1" outlineLevel="1" x14ac:dyDescent="0.2">
      <c r="B14" t="s">
        <v>28</v>
      </c>
      <c r="C14" t="s">
        <v>49</v>
      </c>
      <c r="E14" s="10"/>
      <c r="F14" t="s">
        <v>59</v>
      </c>
      <c r="G14" s="11">
        <v>0.05</v>
      </c>
      <c r="I14" s="10">
        <f t="shared" si="1"/>
        <v>6</v>
      </c>
      <c r="J14" s="12">
        <f t="shared" si="0"/>
        <v>0</v>
      </c>
      <c r="K14" s="12">
        <f t="shared" si="0"/>
        <v>0</v>
      </c>
      <c r="L14" s="10"/>
      <c r="O14" s="11"/>
      <c r="P14" s="11"/>
      <c r="Q14" s="11"/>
      <c r="R14" s="11"/>
      <c r="U14">
        <v>2</v>
      </c>
      <c r="V14" s="11"/>
      <c r="W14" s="11">
        <v>0.5</v>
      </c>
      <c r="X14" s="11"/>
      <c r="Y14" s="11">
        <v>0.5</v>
      </c>
      <c r="AB14">
        <v>0</v>
      </c>
      <c r="AC14" s="11"/>
      <c r="AD14" s="11">
        <v>0.5</v>
      </c>
      <c r="AE14" s="11"/>
      <c r="AF14" s="11">
        <v>0.5</v>
      </c>
      <c r="AI14">
        <v>0</v>
      </c>
      <c r="AJ14" s="11"/>
      <c r="AK14" s="11">
        <v>0.5</v>
      </c>
      <c r="AL14" s="11"/>
      <c r="AM14" s="11">
        <v>0.5</v>
      </c>
      <c r="AP14">
        <v>2</v>
      </c>
      <c r="AQ14" s="11"/>
      <c r="AR14" s="11">
        <v>0.8</v>
      </c>
      <c r="AS14" s="11"/>
      <c r="AT14" s="11">
        <v>0.8</v>
      </c>
      <c r="AW14">
        <v>0</v>
      </c>
      <c r="AX14" s="11"/>
      <c r="AY14" s="11">
        <v>0.8</v>
      </c>
      <c r="AZ14" s="11"/>
      <c r="BA14" s="11">
        <v>0.8</v>
      </c>
      <c r="BD14">
        <v>0</v>
      </c>
      <c r="BE14" s="11"/>
      <c r="BF14" s="11">
        <v>0.8</v>
      </c>
      <c r="BG14" s="11"/>
      <c r="BH14" s="11">
        <v>0.8</v>
      </c>
      <c r="BK14">
        <v>2</v>
      </c>
      <c r="BL14" s="11"/>
      <c r="BM14" s="11">
        <v>1</v>
      </c>
      <c r="BN14" s="11"/>
      <c r="BO14" s="11">
        <v>1</v>
      </c>
      <c r="BR14">
        <v>0</v>
      </c>
      <c r="BS14" s="11"/>
      <c r="BT14" s="11">
        <v>1</v>
      </c>
      <c r="BU14" s="11"/>
      <c r="BV14" s="11">
        <v>1</v>
      </c>
      <c r="BZ14" s="11"/>
      <c r="CA14" s="11"/>
      <c r="CB14" s="11"/>
      <c r="CC14" s="11"/>
      <c r="CG14" s="11"/>
      <c r="CH14" s="11"/>
      <c r="CI14" s="11"/>
      <c r="CJ14" s="11"/>
      <c r="CN14" s="11"/>
      <c r="CO14" s="11"/>
      <c r="CP14" s="11"/>
      <c r="CQ14" s="11"/>
      <c r="CU14" s="11"/>
      <c r="CV14" s="11"/>
      <c r="CW14" s="11"/>
      <c r="CX14" s="11"/>
      <c r="DB14" s="11"/>
      <c r="DC14" s="11"/>
      <c r="DD14" s="11"/>
      <c r="DE14" s="11"/>
    </row>
    <row r="15" spans="2:110" hidden="1" outlineLevel="1" x14ac:dyDescent="0.2">
      <c r="B15" t="s">
        <v>28</v>
      </c>
      <c r="C15" t="s">
        <v>49</v>
      </c>
      <c r="E15" s="10"/>
      <c r="F15" t="s">
        <v>60</v>
      </c>
      <c r="G15" s="11">
        <v>0.05</v>
      </c>
      <c r="I15" s="10">
        <f t="shared" si="1"/>
        <v>6</v>
      </c>
      <c r="J15" s="12">
        <f t="shared" si="0"/>
        <v>0</v>
      </c>
      <c r="K15" s="12">
        <f t="shared" si="0"/>
        <v>0</v>
      </c>
      <c r="L15" s="10"/>
      <c r="O15" s="11"/>
      <c r="P15" s="11"/>
      <c r="Q15" s="11"/>
      <c r="R15" s="11"/>
      <c r="V15" s="11"/>
      <c r="W15" s="11"/>
      <c r="X15" s="11"/>
      <c r="Y15" s="11"/>
      <c r="AB15">
        <v>2</v>
      </c>
      <c r="AC15" s="11"/>
      <c r="AD15" s="11">
        <v>0.5</v>
      </c>
      <c r="AE15" s="11"/>
      <c r="AF15" s="11">
        <v>0.5</v>
      </c>
      <c r="AI15">
        <v>0</v>
      </c>
      <c r="AJ15" s="11"/>
      <c r="AK15" s="11">
        <v>0.5</v>
      </c>
      <c r="AL15" s="11"/>
      <c r="AM15" s="11">
        <v>0.5</v>
      </c>
      <c r="AP15">
        <v>0</v>
      </c>
      <c r="AQ15" s="11"/>
      <c r="AR15" s="11">
        <v>0.5</v>
      </c>
      <c r="AS15" s="11"/>
      <c r="AT15" s="11">
        <v>0.5</v>
      </c>
      <c r="AW15">
        <v>2</v>
      </c>
      <c r="AX15" s="11"/>
      <c r="AY15" s="11">
        <v>0.8</v>
      </c>
      <c r="AZ15" s="11"/>
      <c r="BA15" s="11">
        <v>0.8</v>
      </c>
      <c r="BD15">
        <v>0</v>
      </c>
      <c r="BE15" s="11"/>
      <c r="BF15" s="11">
        <v>0.8</v>
      </c>
      <c r="BG15" s="11"/>
      <c r="BH15" s="11">
        <v>0.8</v>
      </c>
      <c r="BK15">
        <v>2</v>
      </c>
      <c r="BL15" s="11"/>
      <c r="BM15" s="11">
        <v>1</v>
      </c>
      <c r="BN15" s="11"/>
      <c r="BO15" s="11">
        <v>1</v>
      </c>
      <c r="BR15">
        <v>0</v>
      </c>
      <c r="BS15" s="11"/>
      <c r="BT15" s="11">
        <v>1</v>
      </c>
      <c r="BU15" s="11"/>
      <c r="BV15" s="11">
        <v>1</v>
      </c>
      <c r="BZ15" s="11"/>
      <c r="CA15" s="11"/>
      <c r="CB15" s="11"/>
      <c r="CC15" s="11"/>
      <c r="CG15" s="11"/>
      <c r="CH15" s="11"/>
      <c r="CI15" s="11"/>
      <c r="CJ15" s="11"/>
      <c r="CN15" s="11"/>
      <c r="CO15" s="11"/>
      <c r="CP15" s="11"/>
      <c r="CQ15" s="11"/>
      <c r="CU15" s="11"/>
      <c r="CV15" s="11"/>
      <c r="CW15" s="11"/>
      <c r="CX15" s="11"/>
      <c r="DB15" s="11"/>
      <c r="DC15" s="11"/>
      <c r="DD15" s="11"/>
      <c r="DE15" s="11"/>
    </row>
    <row r="16" spans="2:110" hidden="1" outlineLevel="1" x14ac:dyDescent="0.2">
      <c r="B16" t="s">
        <v>28</v>
      </c>
      <c r="C16" t="s">
        <v>49</v>
      </c>
      <c r="E16" s="10"/>
      <c r="F16" t="s">
        <v>61</v>
      </c>
      <c r="G16" s="11">
        <v>0.05</v>
      </c>
      <c r="I16" s="10">
        <f>+SUMIF($N$3:$ZZ$3,I$3,$N16:$ZZ16)</f>
        <v>6</v>
      </c>
      <c r="J16" s="12">
        <f t="shared" si="0"/>
        <v>0</v>
      </c>
      <c r="K16" s="12">
        <f t="shared" si="0"/>
        <v>0</v>
      </c>
      <c r="L16" s="10"/>
      <c r="O16" s="11"/>
      <c r="P16" s="11"/>
      <c r="Q16" s="11"/>
      <c r="R16" s="11"/>
      <c r="V16" s="11"/>
      <c r="W16" s="11"/>
      <c r="X16" s="11"/>
      <c r="Y16" s="11"/>
      <c r="AB16">
        <v>2</v>
      </c>
      <c r="AC16" s="11"/>
      <c r="AD16" s="11">
        <v>0.5</v>
      </c>
      <c r="AE16" s="11"/>
      <c r="AF16" s="11">
        <v>0.5</v>
      </c>
      <c r="AI16">
        <v>0</v>
      </c>
      <c r="AJ16" s="11"/>
      <c r="AK16" s="11">
        <v>0.5</v>
      </c>
      <c r="AL16" s="11"/>
      <c r="AM16" s="11">
        <v>0.5</v>
      </c>
      <c r="AP16">
        <v>0</v>
      </c>
      <c r="AQ16" s="11"/>
      <c r="AR16" s="11">
        <v>0.5</v>
      </c>
      <c r="AS16" s="11"/>
      <c r="AT16" s="11">
        <v>0.5</v>
      </c>
      <c r="AW16">
        <v>2</v>
      </c>
      <c r="AX16" s="11"/>
      <c r="AY16" s="11">
        <v>0.8</v>
      </c>
      <c r="AZ16" s="11"/>
      <c r="BA16" s="11">
        <v>0.8</v>
      </c>
      <c r="BD16">
        <v>0</v>
      </c>
      <c r="BE16" s="11"/>
      <c r="BF16" s="11">
        <v>0.8</v>
      </c>
      <c r="BG16" s="11"/>
      <c r="BH16" s="11">
        <v>0.8</v>
      </c>
      <c r="BK16">
        <v>2</v>
      </c>
      <c r="BL16" s="11"/>
      <c r="BM16" s="11">
        <v>1</v>
      </c>
      <c r="BN16" s="11"/>
      <c r="BO16" s="11">
        <v>1</v>
      </c>
      <c r="BR16">
        <v>0</v>
      </c>
      <c r="BS16" s="11"/>
      <c r="BT16" s="11">
        <v>1</v>
      </c>
      <c r="BU16" s="11"/>
      <c r="BV16" s="11">
        <v>1</v>
      </c>
      <c r="BZ16" s="11"/>
      <c r="CA16" s="11"/>
      <c r="CB16" s="11"/>
      <c r="CC16" s="11"/>
      <c r="CG16" s="11"/>
      <c r="CH16" s="11"/>
      <c r="CI16" s="11"/>
      <c r="CJ16" s="11"/>
      <c r="CN16" s="11"/>
      <c r="CO16" s="11"/>
      <c r="CP16" s="11"/>
      <c r="CQ16" s="11"/>
      <c r="CU16" s="11"/>
      <c r="CV16" s="11"/>
      <c r="CW16" s="11"/>
      <c r="CX16" s="11"/>
      <c r="DB16" s="11"/>
      <c r="DC16" s="11"/>
      <c r="DD16" s="11"/>
      <c r="DE16" s="11"/>
    </row>
    <row r="17" spans="2:109" hidden="1" outlineLevel="1" x14ac:dyDescent="0.2">
      <c r="B17" t="s">
        <v>28</v>
      </c>
      <c r="C17" t="s">
        <v>49</v>
      </c>
      <c r="E17" s="10"/>
      <c r="F17" t="s">
        <v>62</v>
      </c>
      <c r="G17" s="11">
        <v>0.05</v>
      </c>
      <c r="I17" s="10">
        <f t="shared" si="1"/>
        <v>6</v>
      </c>
      <c r="J17" s="12">
        <f t="shared" si="0"/>
        <v>0</v>
      </c>
      <c r="K17" s="12">
        <f t="shared" si="0"/>
        <v>0</v>
      </c>
      <c r="L17" s="10"/>
      <c r="O17" s="11"/>
      <c r="P17" s="11"/>
      <c r="Q17" s="11"/>
      <c r="R17" s="11"/>
      <c r="V17" s="11"/>
      <c r="W17" s="11"/>
      <c r="X17" s="11"/>
      <c r="Y17" s="11"/>
      <c r="AB17">
        <v>2</v>
      </c>
      <c r="AC17" s="11"/>
      <c r="AD17" s="11">
        <v>0.5</v>
      </c>
      <c r="AE17" s="11"/>
      <c r="AF17" s="11">
        <v>0.5</v>
      </c>
      <c r="AI17">
        <v>0</v>
      </c>
      <c r="AJ17" s="11"/>
      <c r="AK17" s="11">
        <v>0.5</v>
      </c>
      <c r="AL17" s="11"/>
      <c r="AM17" s="11">
        <v>0.5</v>
      </c>
      <c r="AP17">
        <v>0</v>
      </c>
      <c r="AQ17" s="11"/>
      <c r="AR17" s="11">
        <v>0.5</v>
      </c>
      <c r="AS17" s="11"/>
      <c r="AT17" s="11">
        <v>0.5</v>
      </c>
      <c r="AW17">
        <v>2</v>
      </c>
      <c r="AX17" s="11"/>
      <c r="AY17" s="11">
        <v>0.8</v>
      </c>
      <c r="AZ17" s="11"/>
      <c r="BA17" s="11">
        <v>0.8</v>
      </c>
      <c r="BD17">
        <v>0</v>
      </c>
      <c r="BE17" s="11"/>
      <c r="BF17" s="11">
        <v>0.8</v>
      </c>
      <c r="BG17" s="11"/>
      <c r="BH17" s="11">
        <v>0.8</v>
      </c>
      <c r="BK17">
        <v>0</v>
      </c>
      <c r="BL17" s="11"/>
      <c r="BM17" s="11">
        <v>0.8</v>
      </c>
      <c r="BN17" s="11"/>
      <c r="BO17" s="11">
        <v>0.8</v>
      </c>
      <c r="BR17">
        <v>2</v>
      </c>
      <c r="BS17" s="11"/>
      <c r="BT17" s="11">
        <v>1</v>
      </c>
      <c r="BU17" s="11"/>
      <c r="BV17" s="11">
        <v>1</v>
      </c>
      <c r="BZ17" s="11"/>
      <c r="CA17" s="11"/>
      <c r="CB17" s="11"/>
      <c r="CC17" s="11"/>
      <c r="CG17" s="11"/>
      <c r="CH17" s="11"/>
      <c r="CI17" s="11"/>
      <c r="CJ17" s="11"/>
      <c r="CN17" s="11"/>
      <c r="CO17" s="11"/>
      <c r="CP17" s="11"/>
      <c r="CQ17" s="11"/>
      <c r="CU17" s="11"/>
      <c r="CV17" s="11"/>
      <c r="CW17" s="11"/>
      <c r="CX17" s="11"/>
      <c r="DB17" s="11"/>
      <c r="DC17" s="11"/>
      <c r="DD17" s="11"/>
      <c r="DE17" s="11"/>
    </row>
    <row r="18" spans="2:109" hidden="1" outlineLevel="1" x14ac:dyDescent="0.2">
      <c r="B18" t="s">
        <v>28</v>
      </c>
      <c r="C18" t="s">
        <v>49</v>
      </c>
      <c r="E18" s="10"/>
      <c r="F18" t="s">
        <v>63</v>
      </c>
      <c r="G18" s="11">
        <v>0.06</v>
      </c>
      <c r="I18" s="10">
        <f t="shared" si="1"/>
        <v>6</v>
      </c>
      <c r="J18" s="12">
        <f t="shared" si="0"/>
        <v>0</v>
      </c>
      <c r="K18" s="12">
        <f t="shared" si="0"/>
        <v>0</v>
      </c>
      <c r="L18" s="10"/>
      <c r="O18" s="11"/>
      <c r="P18" s="11"/>
      <c r="Q18" s="11"/>
      <c r="R18" s="11"/>
      <c r="V18" s="11"/>
      <c r="W18" s="11"/>
      <c r="X18" s="11"/>
      <c r="Y18" s="11"/>
      <c r="AC18" s="11"/>
      <c r="AD18" s="11"/>
      <c r="AE18" s="11"/>
      <c r="AF18" s="11"/>
      <c r="AI18">
        <v>2</v>
      </c>
      <c r="AJ18" s="11"/>
      <c r="AK18" s="11">
        <v>0.5</v>
      </c>
      <c r="AL18" s="11"/>
      <c r="AM18" s="11">
        <v>0.5</v>
      </c>
      <c r="AP18">
        <v>0</v>
      </c>
      <c r="AQ18" s="11"/>
      <c r="AR18" s="11">
        <v>0.5</v>
      </c>
      <c r="AS18" s="11"/>
      <c r="AT18" s="11">
        <v>0.5</v>
      </c>
      <c r="AW18">
        <v>0</v>
      </c>
      <c r="AX18" s="11"/>
      <c r="AY18" s="11">
        <v>0.5</v>
      </c>
      <c r="AZ18" s="11"/>
      <c r="BA18" s="11">
        <v>0.5</v>
      </c>
      <c r="BD18">
        <v>2</v>
      </c>
      <c r="BE18" s="11"/>
      <c r="BF18" s="11">
        <v>0.8</v>
      </c>
      <c r="BG18" s="11"/>
      <c r="BH18" s="11">
        <v>0.8</v>
      </c>
      <c r="BK18">
        <v>0</v>
      </c>
      <c r="BL18" s="11"/>
      <c r="BM18" s="11">
        <v>0.8</v>
      </c>
      <c r="BN18" s="11"/>
      <c r="BO18" s="11">
        <v>0.8</v>
      </c>
      <c r="BR18">
        <v>2</v>
      </c>
      <c r="BS18" s="11"/>
      <c r="BT18" s="11">
        <v>1</v>
      </c>
      <c r="BU18" s="11"/>
      <c r="BV18" s="11">
        <v>1</v>
      </c>
      <c r="BZ18" s="11"/>
      <c r="CA18" s="11"/>
      <c r="CB18" s="11"/>
      <c r="CC18" s="11"/>
      <c r="CG18" s="11"/>
      <c r="CH18" s="11"/>
      <c r="CI18" s="11"/>
      <c r="CJ18" s="11"/>
      <c r="CN18" s="11"/>
      <c r="CO18" s="11"/>
      <c r="CP18" s="11"/>
      <c r="CQ18" s="11"/>
      <c r="CU18" s="11"/>
      <c r="CV18" s="11"/>
      <c r="CW18" s="11"/>
      <c r="CX18" s="11"/>
      <c r="DB18" s="11"/>
      <c r="DC18" s="11"/>
      <c r="DD18" s="11"/>
      <c r="DE18" s="11"/>
    </row>
    <row r="19" spans="2:109" hidden="1" outlineLevel="1" x14ac:dyDescent="0.2">
      <c r="B19" t="s">
        <v>28</v>
      </c>
      <c r="C19" t="s">
        <v>49</v>
      </c>
      <c r="E19" s="10"/>
      <c r="F19" t="s">
        <v>64</v>
      </c>
      <c r="G19" s="11">
        <v>0.06</v>
      </c>
      <c r="I19" s="10">
        <f t="shared" si="1"/>
        <v>6</v>
      </c>
      <c r="J19" s="12">
        <f t="shared" si="0"/>
        <v>0</v>
      </c>
      <c r="K19" s="12">
        <f t="shared" si="0"/>
        <v>0</v>
      </c>
      <c r="L19" s="10"/>
      <c r="O19" s="11"/>
      <c r="P19" s="11"/>
      <c r="Q19" s="11"/>
      <c r="R19" s="11"/>
      <c r="V19" s="11"/>
      <c r="W19" s="11"/>
      <c r="X19" s="11"/>
      <c r="Y19" s="11"/>
      <c r="AC19" s="11"/>
      <c r="AD19" s="11"/>
      <c r="AE19" s="11"/>
      <c r="AF19" s="11"/>
      <c r="AI19">
        <v>2</v>
      </c>
      <c r="AJ19" s="11"/>
      <c r="AK19" s="11">
        <v>0.5</v>
      </c>
      <c r="AL19" s="11"/>
      <c r="AM19" s="11">
        <v>0.5</v>
      </c>
      <c r="AP19">
        <v>0</v>
      </c>
      <c r="AQ19" s="11"/>
      <c r="AR19" s="11">
        <v>0.5</v>
      </c>
      <c r="AS19" s="11"/>
      <c r="AT19" s="11">
        <v>0.5</v>
      </c>
      <c r="AW19">
        <v>0</v>
      </c>
      <c r="AX19" s="11"/>
      <c r="AY19" s="11">
        <v>0.5</v>
      </c>
      <c r="AZ19" s="11"/>
      <c r="BA19" s="11">
        <v>0.5</v>
      </c>
      <c r="BD19">
        <v>2</v>
      </c>
      <c r="BE19" s="11"/>
      <c r="BF19" s="11">
        <v>0.8</v>
      </c>
      <c r="BG19" s="11"/>
      <c r="BH19" s="11">
        <v>0.8</v>
      </c>
      <c r="BK19">
        <v>0</v>
      </c>
      <c r="BL19" s="11"/>
      <c r="BM19" s="11">
        <v>0.8</v>
      </c>
      <c r="BN19" s="11"/>
      <c r="BO19" s="11">
        <v>0.8</v>
      </c>
      <c r="BR19">
        <v>2</v>
      </c>
      <c r="BS19" s="11"/>
      <c r="BT19" s="11">
        <v>1</v>
      </c>
      <c r="BU19" s="11"/>
      <c r="BV19" s="11">
        <v>1</v>
      </c>
      <c r="BZ19" s="11"/>
      <c r="CA19" s="11"/>
      <c r="CB19" s="11"/>
      <c r="CC19" s="11"/>
      <c r="CG19" s="11"/>
      <c r="CH19" s="11"/>
      <c r="CI19" s="11"/>
      <c r="CJ19" s="11"/>
      <c r="CN19" s="11"/>
      <c r="CO19" s="11"/>
      <c r="CP19" s="11"/>
      <c r="CQ19" s="11"/>
      <c r="CU19" s="11"/>
      <c r="CV19" s="11"/>
      <c r="CW19" s="11"/>
      <c r="CX19" s="11"/>
      <c r="DB19" s="11"/>
      <c r="DC19" s="11"/>
      <c r="DD19" s="11"/>
      <c r="DE19" s="11"/>
    </row>
    <row r="20" spans="2:109" hidden="1" outlineLevel="1" x14ac:dyDescent="0.2">
      <c r="B20" t="s">
        <v>28</v>
      </c>
      <c r="C20" t="s">
        <v>49</v>
      </c>
      <c r="E20" s="10"/>
      <c r="F20" t="s">
        <v>65</v>
      </c>
      <c r="G20" s="11">
        <v>0.06</v>
      </c>
      <c r="I20" s="10">
        <f t="shared" si="1"/>
        <v>6</v>
      </c>
      <c r="J20" s="12">
        <f t="shared" si="0"/>
        <v>0</v>
      </c>
      <c r="K20" s="12">
        <f t="shared" si="0"/>
        <v>0</v>
      </c>
      <c r="L20" s="10"/>
      <c r="O20" s="11"/>
      <c r="P20" s="11"/>
      <c r="Q20" s="11"/>
      <c r="R20" s="11"/>
      <c r="V20" s="11"/>
      <c r="W20" s="11"/>
      <c r="X20" s="11"/>
      <c r="Y20" s="11"/>
      <c r="AC20" s="11"/>
      <c r="AD20" s="11"/>
      <c r="AE20" s="11"/>
      <c r="AF20" s="11"/>
      <c r="AI20">
        <v>2</v>
      </c>
      <c r="AJ20" s="11"/>
      <c r="AK20" s="11">
        <v>0.5</v>
      </c>
      <c r="AL20" s="11"/>
      <c r="AM20" s="11">
        <v>0.5</v>
      </c>
      <c r="AP20">
        <v>0</v>
      </c>
      <c r="AQ20" s="11"/>
      <c r="AR20" s="11">
        <v>0.5</v>
      </c>
      <c r="AS20" s="11"/>
      <c r="AT20" s="11">
        <v>0.5</v>
      </c>
      <c r="AW20">
        <v>0</v>
      </c>
      <c r="AX20" s="11"/>
      <c r="AY20" s="11">
        <v>0.5</v>
      </c>
      <c r="AZ20" s="11"/>
      <c r="BA20" s="11">
        <v>0.5</v>
      </c>
      <c r="BD20">
        <v>2</v>
      </c>
      <c r="BE20" s="11"/>
      <c r="BF20" s="11">
        <v>0.8</v>
      </c>
      <c r="BG20" s="11"/>
      <c r="BH20" s="11">
        <v>0.8</v>
      </c>
      <c r="BK20">
        <v>0</v>
      </c>
      <c r="BL20" s="11"/>
      <c r="BM20" s="11">
        <v>0.8</v>
      </c>
      <c r="BN20" s="11"/>
      <c r="BO20" s="11">
        <v>0.8</v>
      </c>
      <c r="BR20">
        <v>2</v>
      </c>
      <c r="BS20" s="11"/>
      <c r="BT20" s="11">
        <v>1</v>
      </c>
      <c r="BU20" s="11"/>
      <c r="BV20" s="11">
        <v>1</v>
      </c>
      <c r="BZ20" s="11"/>
      <c r="CA20" s="11"/>
      <c r="CB20" s="11"/>
      <c r="CC20" s="11"/>
      <c r="CG20" s="11"/>
      <c r="CH20" s="11"/>
      <c r="CI20" s="11"/>
      <c r="CJ20" s="11"/>
      <c r="CN20" s="11"/>
      <c r="CO20" s="11"/>
      <c r="CP20" s="11"/>
      <c r="CQ20" s="11"/>
      <c r="CU20" s="11"/>
      <c r="CV20" s="11"/>
      <c r="CW20" s="11"/>
      <c r="CX20" s="11"/>
      <c r="DB20" s="11"/>
      <c r="DC20" s="11"/>
      <c r="DD20" s="11"/>
      <c r="DE20" s="11"/>
    </row>
    <row r="21" spans="2:109" hidden="1" outlineLevel="1" x14ac:dyDescent="0.2">
      <c r="B21" t="s">
        <v>28</v>
      </c>
      <c r="C21" t="s">
        <v>49</v>
      </c>
      <c r="E21" s="10"/>
      <c r="F21" t="s">
        <v>66</v>
      </c>
      <c r="G21" s="11">
        <v>0.06</v>
      </c>
      <c r="I21" s="10">
        <f t="shared" si="1"/>
        <v>6</v>
      </c>
      <c r="J21" s="12">
        <f t="shared" ref="J21:K22" si="2">+_xlfn.MAXIFS($N21:$ZF21,$N$3:$ZF$3,J$3)</f>
        <v>0</v>
      </c>
      <c r="K21" s="12">
        <f t="shared" si="2"/>
        <v>0</v>
      </c>
      <c r="L21" s="10"/>
      <c r="O21" s="11"/>
      <c r="P21" s="11"/>
      <c r="Q21" s="11"/>
      <c r="R21" s="11"/>
      <c r="V21" s="11"/>
      <c r="W21" s="11"/>
      <c r="X21" s="11"/>
      <c r="Y21" s="11"/>
      <c r="AC21" s="11"/>
      <c r="AD21" s="11"/>
      <c r="AE21" s="11"/>
      <c r="AF21" s="11"/>
      <c r="AJ21" s="11"/>
      <c r="AK21" s="11"/>
      <c r="AL21" s="11"/>
      <c r="AM21" s="11"/>
      <c r="AP21">
        <v>2</v>
      </c>
      <c r="AQ21" s="11"/>
      <c r="AR21" s="11">
        <v>0.5</v>
      </c>
      <c r="AS21" s="11"/>
      <c r="AT21" s="11">
        <v>0.5</v>
      </c>
      <c r="AW21">
        <v>0</v>
      </c>
      <c r="AX21" s="11"/>
      <c r="AY21" s="11">
        <v>0.5</v>
      </c>
      <c r="AZ21" s="11"/>
      <c r="BA21" s="11">
        <v>0.5</v>
      </c>
      <c r="BD21">
        <v>0</v>
      </c>
      <c r="BE21" s="11"/>
      <c r="BF21" s="11">
        <v>0.5</v>
      </c>
      <c r="BG21" s="11"/>
      <c r="BH21" s="11">
        <v>0.5</v>
      </c>
      <c r="BK21">
        <v>2</v>
      </c>
      <c r="BL21" s="11"/>
      <c r="BM21" s="11">
        <v>0.8</v>
      </c>
      <c r="BN21" s="11"/>
      <c r="BO21" s="11">
        <v>0.8</v>
      </c>
      <c r="BR21">
        <v>2</v>
      </c>
      <c r="BS21" s="11"/>
      <c r="BT21" s="11">
        <v>1</v>
      </c>
      <c r="BU21" s="11"/>
      <c r="BV21" s="11">
        <v>1</v>
      </c>
      <c r="BZ21" s="11"/>
      <c r="CA21" s="11"/>
      <c r="CB21" s="11"/>
      <c r="CC21" s="11"/>
      <c r="CG21" s="11"/>
      <c r="CH21" s="11"/>
      <c r="CI21" s="11"/>
      <c r="CJ21" s="11"/>
      <c r="CN21" s="11"/>
      <c r="CO21" s="11"/>
      <c r="CP21" s="11"/>
      <c r="CQ21" s="11"/>
      <c r="CU21" s="11"/>
      <c r="CV21" s="11"/>
      <c r="CW21" s="11"/>
      <c r="CX21" s="11"/>
      <c r="DB21" s="11"/>
      <c r="DC21" s="11"/>
      <c r="DD21" s="11"/>
      <c r="DE21" s="11"/>
    </row>
    <row r="22" spans="2:109" hidden="1" outlineLevel="1" x14ac:dyDescent="0.2">
      <c r="B22" t="s">
        <v>28</v>
      </c>
      <c r="C22" t="s">
        <v>49</v>
      </c>
      <c r="E22" s="10"/>
      <c r="F22" t="s">
        <v>67</v>
      </c>
      <c r="G22" s="11">
        <v>0.05</v>
      </c>
      <c r="I22" s="10">
        <f t="shared" si="1"/>
        <v>6</v>
      </c>
      <c r="J22" s="12">
        <f t="shared" si="2"/>
        <v>0</v>
      </c>
      <c r="K22" s="12">
        <f t="shared" si="2"/>
        <v>0</v>
      </c>
      <c r="L22" s="10"/>
      <c r="O22" s="11"/>
      <c r="P22" s="11"/>
      <c r="Q22" s="11"/>
      <c r="R22" s="11"/>
      <c r="V22" s="11"/>
      <c r="W22" s="11"/>
      <c r="X22" s="11"/>
      <c r="Y22" s="11"/>
      <c r="AC22" s="11"/>
      <c r="AD22" s="11"/>
      <c r="AE22" s="11"/>
      <c r="AF22" s="11"/>
      <c r="AJ22" s="11"/>
      <c r="AK22" s="11"/>
      <c r="AL22" s="11"/>
      <c r="AM22" s="11"/>
      <c r="AP22">
        <v>2</v>
      </c>
      <c r="AQ22" s="11"/>
      <c r="AR22" s="11">
        <v>0.5</v>
      </c>
      <c r="AS22" s="11"/>
      <c r="AT22" s="11">
        <v>0.5</v>
      </c>
      <c r="AW22">
        <v>0</v>
      </c>
      <c r="AX22" s="11"/>
      <c r="AY22" s="11">
        <v>0.5</v>
      </c>
      <c r="AZ22" s="11"/>
      <c r="BA22" s="11">
        <v>0.5</v>
      </c>
      <c r="BD22">
        <v>0</v>
      </c>
      <c r="BE22" s="11"/>
      <c r="BF22" s="11">
        <v>0.5</v>
      </c>
      <c r="BG22" s="11"/>
      <c r="BH22" s="11">
        <v>0.5</v>
      </c>
      <c r="BK22">
        <v>2</v>
      </c>
      <c r="BL22" s="11"/>
      <c r="BM22" s="11">
        <v>0.8</v>
      </c>
      <c r="BN22" s="11"/>
      <c r="BO22" s="11">
        <v>0.8</v>
      </c>
      <c r="BR22">
        <v>2</v>
      </c>
      <c r="BS22" s="11"/>
      <c r="BT22" s="11">
        <v>1</v>
      </c>
      <c r="BU22" s="11"/>
      <c r="BV22" s="11">
        <v>1</v>
      </c>
      <c r="BZ22" s="11"/>
      <c r="CA22" s="11"/>
      <c r="CB22" s="11"/>
      <c r="CC22" s="11"/>
      <c r="CG22" s="11"/>
      <c r="CH22" s="11"/>
      <c r="CI22" s="11"/>
      <c r="CJ22" s="11"/>
      <c r="CN22" s="11"/>
      <c r="CO22" s="11"/>
      <c r="CP22" s="11"/>
      <c r="CQ22" s="11"/>
      <c r="CU22" s="11"/>
      <c r="CV22" s="11"/>
      <c r="CW22" s="11"/>
      <c r="CX22" s="11"/>
      <c r="DB22" s="11"/>
      <c r="DC22" s="11"/>
      <c r="DD22" s="11"/>
      <c r="DE22" s="11"/>
    </row>
    <row r="23" spans="2:109" collapsed="1" x14ac:dyDescent="0.2"/>
    <row r="24" spans="2:109" x14ac:dyDescent="0.2">
      <c r="B24" t="s">
        <v>27</v>
      </c>
      <c r="C24" t="s">
        <v>81</v>
      </c>
      <c r="E24" s="10">
        <v>6</v>
      </c>
      <c r="G24" s="11">
        <f>+SUM(G25:G36)</f>
        <v>0.99999999999999989</v>
      </c>
      <c r="I24" s="13">
        <f>+SUM(I25:I36)</f>
        <v>68</v>
      </c>
      <c r="J24" s="12">
        <f>+SUMPRODUCT(G25:G36,J25:J36)</f>
        <v>0</v>
      </c>
      <c r="K24" s="12">
        <f>+SUMPRODUCT(G25:G36,K25:K36)</f>
        <v>0</v>
      </c>
      <c r="L24" s="10"/>
      <c r="N24" s="13">
        <f>+SUM(N25:N36)</f>
        <v>8</v>
      </c>
      <c r="U24" s="13">
        <f>+SUM(U25:U36)</f>
        <v>8</v>
      </c>
      <c r="AB24" s="13">
        <f>+SUM(AB25:AB36)</f>
        <v>8</v>
      </c>
      <c r="AI24" s="13">
        <f>+SUM(AI25:AI36)</f>
        <v>8</v>
      </c>
      <c r="AP24" s="10">
        <f>+SUM(AP25:AP36)</f>
        <v>8</v>
      </c>
      <c r="AW24" s="10">
        <f>+SUM(AW25:AW36)</f>
        <v>8</v>
      </c>
      <c r="BD24" s="10">
        <f>+SUM(BD25:BD36)</f>
        <v>8</v>
      </c>
      <c r="BK24" s="10">
        <f>+SUM(BK25:BK36)</f>
        <v>8</v>
      </c>
      <c r="BR24" s="10">
        <f>+SUM(BR25:BR36)</f>
        <v>4</v>
      </c>
    </row>
    <row r="25" spans="2:109" hidden="1" outlineLevel="1" x14ac:dyDescent="0.2">
      <c r="B25" t="s">
        <v>28</v>
      </c>
      <c r="C25" t="s">
        <v>81</v>
      </c>
      <c r="E25" s="10"/>
      <c r="F25" t="s">
        <v>82</v>
      </c>
      <c r="G25" s="11">
        <v>7.0000000000000007E-2</v>
      </c>
      <c r="I25" s="10">
        <f t="shared" ref="I25:I36" si="3">+SUMIF($N$3:$ZZ$3,I$3,$N25:$ZZ25)</f>
        <v>6</v>
      </c>
      <c r="J25" s="12">
        <f t="shared" ref="J25:K36" si="4">+_xlfn.MAXIFS($N25:$ZF25,$N$3:$ZF$3,J$3)</f>
        <v>0</v>
      </c>
      <c r="K25" s="12">
        <f t="shared" si="4"/>
        <v>0</v>
      </c>
      <c r="L25" s="10"/>
      <c r="N25">
        <v>2</v>
      </c>
      <c r="O25" s="11"/>
      <c r="P25" s="11">
        <v>0.5</v>
      </c>
      <c r="Q25" s="11"/>
      <c r="R25" s="11">
        <v>0.5</v>
      </c>
      <c r="U25">
        <v>2</v>
      </c>
      <c r="V25" s="11"/>
      <c r="W25" s="11">
        <v>0.8</v>
      </c>
      <c r="X25" s="11"/>
      <c r="Y25" s="11">
        <v>0.8</v>
      </c>
      <c r="AB25">
        <v>0</v>
      </c>
      <c r="AC25" s="11"/>
      <c r="AD25" s="11">
        <v>0.8</v>
      </c>
      <c r="AE25" s="11"/>
      <c r="AF25" s="11">
        <v>0.8</v>
      </c>
      <c r="AI25">
        <v>2</v>
      </c>
      <c r="AJ25" s="11"/>
      <c r="AK25" s="11">
        <v>1</v>
      </c>
      <c r="AL25" s="11"/>
      <c r="AM25" s="11">
        <v>1</v>
      </c>
      <c r="AP25">
        <v>0</v>
      </c>
      <c r="AQ25" s="11"/>
      <c r="AR25" s="11">
        <v>1</v>
      </c>
      <c r="AS25" s="11"/>
      <c r="AT25" s="11">
        <v>1</v>
      </c>
      <c r="AW25">
        <v>0</v>
      </c>
      <c r="AX25" s="11"/>
      <c r="AY25" s="11">
        <v>1</v>
      </c>
      <c r="AZ25" s="11"/>
      <c r="BA25" s="11">
        <v>1</v>
      </c>
      <c r="BD25">
        <v>0</v>
      </c>
      <c r="BE25" s="11"/>
      <c r="BF25" s="11">
        <v>1</v>
      </c>
      <c r="BG25" s="11"/>
      <c r="BH25" s="11">
        <v>1</v>
      </c>
      <c r="BK25">
        <v>0</v>
      </c>
      <c r="BL25" s="11"/>
      <c r="BM25" s="11">
        <v>1</v>
      </c>
      <c r="BN25" s="11"/>
      <c r="BO25" s="11">
        <v>1</v>
      </c>
      <c r="BR25">
        <v>0</v>
      </c>
      <c r="BS25" s="11"/>
      <c r="BT25" s="11">
        <v>1</v>
      </c>
      <c r="BU25" s="11"/>
      <c r="BV25" s="11">
        <v>1</v>
      </c>
      <c r="BZ25" s="11"/>
      <c r="CA25" s="11"/>
      <c r="CB25" s="11"/>
      <c r="CC25" s="11"/>
      <c r="CG25" s="11"/>
      <c r="CH25" s="11"/>
      <c r="CI25" s="11"/>
      <c r="CJ25" s="11"/>
      <c r="CN25" s="11"/>
      <c r="CO25" s="11"/>
      <c r="CP25" s="11"/>
      <c r="CQ25" s="11"/>
      <c r="CU25" s="11"/>
      <c r="CV25" s="11"/>
      <c r="CW25" s="11"/>
      <c r="CX25" s="11"/>
      <c r="DB25" s="11"/>
      <c r="DC25" s="11"/>
      <c r="DD25" s="11"/>
      <c r="DE25" s="11"/>
    </row>
    <row r="26" spans="2:109" hidden="1" outlineLevel="1" x14ac:dyDescent="0.2">
      <c r="B26" t="s">
        <v>28</v>
      </c>
      <c r="C26" t="s">
        <v>81</v>
      </c>
      <c r="E26" s="10"/>
      <c r="F26" t="s">
        <v>83</v>
      </c>
      <c r="G26" s="11">
        <v>0.09</v>
      </c>
      <c r="I26" s="10">
        <f t="shared" si="3"/>
        <v>6</v>
      </c>
      <c r="J26" s="12">
        <f t="shared" si="4"/>
        <v>0</v>
      </c>
      <c r="K26" s="12">
        <f t="shared" si="4"/>
        <v>0</v>
      </c>
      <c r="L26" s="10"/>
      <c r="N26">
        <v>2</v>
      </c>
      <c r="O26" s="11"/>
      <c r="P26" s="11">
        <v>0.5</v>
      </c>
      <c r="Q26" s="11"/>
      <c r="R26" s="11">
        <v>0.5</v>
      </c>
      <c r="U26">
        <v>0</v>
      </c>
      <c r="V26" s="11"/>
      <c r="W26" s="11">
        <v>0.5</v>
      </c>
      <c r="X26" s="11"/>
      <c r="Y26" s="11">
        <v>0.5</v>
      </c>
      <c r="AB26">
        <v>2</v>
      </c>
      <c r="AC26" s="11"/>
      <c r="AD26" s="11">
        <v>0.8</v>
      </c>
      <c r="AE26" s="11"/>
      <c r="AF26" s="11">
        <v>0.8</v>
      </c>
      <c r="AI26">
        <v>0</v>
      </c>
      <c r="AJ26" s="11"/>
      <c r="AK26" s="11">
        <v>0.8</v>
      </c>
      <c r="AL26" s="11"/>
      <c r="AM26" s="11">
        <v>0.8</v>
      </c>
      <c r="AP26">
        <v>2</v>
      </c>
      <c r="AQ26" s="11"/>
      <c r="AR26" s="11">
        <v>1</v>
      </c>
      <c r="AS26" s="11"/>
      <c r="AT26" s="11">
        <v>1</v>
      </c>
      <c r="AW26">
        <v>0</v>
      </c>
      <c r="AX26" s="11"/>
      <c r="AY26" s="11">
        <v>1</v>
      </c>
      <c r="AZ26" s="11"/>
      <c r="BA26" s="11">
        <v>1</v>
      </c>
      <c r="BD26">
        <v>0</v>
      </c>
      <c r="BE26" s="11"/>
      <c r="BF26" s="11">
        <v>1</v>
      </c>
      <c r="BG26" s="11"/>
      <c r="BH26" s="11">
        <v>1</v>
      </c>
      <c r="BK26">
        <v>0</v>
      </c>
      <c r="BL26" s="11"/>
      <c r="BM26" s="11">
        <v>1</v>
      </c>
      <c r="BN26" s="11"/>
      <c r="BO26" s="11">
        <v>1</v>
      </c>
      <c r="BR26">
        <v>0</v>
      </c>
      <c r="BS26" s="11"/>
      <c r="BT26" s="11">
        <v>1</v>
      </c>
      <c r="BU26" s="11"/>
      <c r="BV26" s="11">
        <v>1</v>
      </c>
      <c r="BZ26" s="11"/>
      <c r="CA26" s="11"/>
      <c r="CB26" s="11"/>
      <c r="CC26" s="11"/>
      <c r="CG26" s="11"/>
      <c r="CH26" s="11"/>
      <c r="CI26" s="11"/>
      <c r="CJ26" s="11"/>
      <c r="CN26" s="11"/>
      <c r="CO26" s="11"/>
      <c r="CP26" s="11"/>
      <c r="CQ26" s="11"/>
      <c r="CU26" s="11"/>
      <c r="CV26" s="11"/>
      <c r="CW26" s="11"/>
      <c r="CX26" s="11"/>
      <c r="DB26" s="11"/>
      <c r="DC26" s="11"/>
      <c r="DD26" s="11"/>
      <c r="DE26" s="11"/>
    </row>
    <row r="27" spans="2:109" hidden="1" outlineLevel="1" x14ac:dyDescent="0.2">
      <c r="B27" t="s">
        <v>28</v>
      </c>
      <c r="C27" t="s">
        <v>81</v>
      </c>
      <c r="E27" s="10"/>
      <c r="F27" t="s">
        <v>84</v>
      </c>
      <c r="G27" s="11">
        <v>0.08</v>
      </c>
      <c r="I27" s="10">
        <f t="shared" si="3"/>
        <v>6</v>
      </c>
      <c r="J27" s="12">
        <f t="shared" si="4"/>
        <v>0</v>
      </c>
      <c r="K27" s="12">
        <f t="shared" si="4"/>
        <v>0</v>
      </c>
      <c r="L27" s="10"/>
      <c r="N27">
        <v>2</v>
      </c>
      <c r="O27" s="11"/>
      <c r="P27" s="11">
        <v>0.5</v>
      </c>
      <c r="Q27" s="11"/>
      <c r="R27" s="11">
        <v>0.5</v>
      </c>
      <c r="U27">
        <v>0</v>
      </c>
      <c r="V27" s="11"/>
      <c r="W27" s="11">
        <v>0.5</v>
      </c>
      <c r="X27" s="11"/>
      <c r="Y27" s="11">
        <v>0.5</v>
      </c>
      <c r="AB27">
        <v>2</v>
      </c>
      <c r="AC27" s="11"/>
      <c r="AD27" s="11">
        <v>0.8</v>
      </c>
      <c r="AE27" s="11"/>
      <c r="AF27" s="11">
        <v>0.8</v>
      </c>
      <c r="AI27">
        <v>0</v>
      </c>
      <c r="AJ27" s="11"/>
      <c r="AK27" s="11">
        <v>0.8</v>
      </c>
      <c r="AL27" s="11"/>
      <c r="AM27" s="11">
        <v>0.8</v>
      </c>
      <c r="AP27">
        <v>0</v>
      </c>
      <c r="AQ27" s="11"/>
      <c r="AR27" s="11">
        <v>0.8</v>
      </c>
      <c r="AS27" s="11"/>
      <c r="AT27" s="11">
        <v>0.8</v>
      </c>
      <c r="AW27">
        <v>2</v>
      </c>
      <c r="AX27" s="11"/>
      <c r="AY27" s="11">
        <v>1</v>
      </c>
      <c r="AZ27" s="11"/>
      <c r="BA27" s="11">
        <v>1</v>
      </c>
      <c r="BD27">
        <v>0</v>
      </c>
      <c r="BE27" s="11"/>
      <c r="BF27" s="11">
        <v>1</v>
      </c>
      <c r="BG27" s="11"/>
      <c r="BH27" s="11">
        <v>1</v>
      </c>
      <c r="BK27">
        <v>0</v>
      </c>
      <c r="BL27" s="11"/>
      <c r="BM27" s="11">
        <v>1</v>
      </c>
      <c r="BN27" s="11"/>
      <c r="BO27" s="11">
        <v>1</v>
      </c>
      <c r="BR27">
        <v>0</v>
      </c>
      <c r="BS27" s="11"/>
      <c r="BT27" s="11">
        <v>1</v>
      </c>
      <c r="BU27" s="11"/>
      <c r="BV27" s="11">
        <v>1</v>
      </c>
      <c r="BZ27" s="11"/>
      <c r="CA27" s="11"/>
      <c r="CB27" s="11"/>
      <c r="CC27" s="11"/>
      <c r="CG27" s="11"/>
      <c r="CH27" s="11"/>
      <c r="CI27" s="11"/>
      <c r="CJ27" s="11"/>
      <c r="CN27" s="11"/>
      <c r="CO27" s="11"/>
      <c r="CP27" s="11"/>
      <c r="CQ27" s="11"/>
      <c r="CU27" s="11"/>
      <c r="CV27" s="11"/>
      <c r="CW27" s="11"/>
      <c r="CX27" s="11"/>
      <c r="DB27" s="11"/>
      <c r="DC27" s="11"/>
      <c r="DD27" s="11"/>
      <c r="DE27" s="11"/>
    </row>
    <row r="28" spans="2:109" hidden="1" outlineLevel="1" x14ac:dyDescent="0.2">
      <c r="B28" t="s">
        <v>28</v>
      </c>
      <c r="C28" t="s">
        <v>81</v>
      </c>
      <c r="E28" s="10"/>
      <c r="F28" t="s">
        <v>92</v>
      </c>
      <c r="G28" s="11">
        <v>0.08</v>
      </c>
      <c r="I28" s="10">
        <f t="shared" si="3"/>
        <v>8</v>
      </c>
      <c r="J28" s="12">
        <f t="shared" si="4"/>
        <v>0</v>
      </c>
      <c r="K28" s="12">
        <f t="shared" si="4"/>
        <v>0</v>
      </c>
      <c r="L28" s="10"/>
      <c r="N28">
        <v>2</v>
      </c>
      <c r="O28" s="11"/>
      <c r="P28" s="11">
        <v>0.5</v>
      </c>
      <c r="Q28" s="11"/>
      <c r="R28" s="11">
        <v>0.5</v>
      </c>
      <c r="U28">
        <v>0</v>
      </c>
      <c r="V28" s="11"/>
      <c r="W28" s="11">
        <v>0.5</v>
      </c>
      <c r="X28" s="11"/>
      <c r="Y28" s="11">
        <v>0.5</v>
      </c>
      <c r="AB28">
        <v>0</v>
      </c>
      <c r="AC28" s="11"/>
      <c r="AD28" s="11">
        <v>0.5</v>
      </c>
      <c r="AE28" s="11"/>
      <c r="AF28" s="11">
        <v>0.5</v>
      </c>
      <c r="AI28">
        <v>2</v>
      </c>
      <c r="AJ28" s="11"/>
      <c r="AK28" s="11">
        <v>0.8</v>
      </c>
      <c r="AL28" s="11"/>
      <c r="AM28" s="11">
        <v>0.8</v>
      </c>
      <c r="AP28">
        <v>0</v>
      </c>
      <c r="AQ28" s="11"/>
      <c r="AR28" s="11">
        <v>0.8</v>
      </c>
      <c r="AS28" s="11"/>
      <c r="AT28" s="11">
        <v>0.8</v>
      </c>
      <c r="AW28">
        <v>2</v>
      </c>
      <c r="AX28" s="11"/>
      <c r="AY28" s="11">
        <v>1</v>
      </c>
      <c r="AZ28" s="11"/>
      <c r="BA28" s="11">
        <v>1</v>
      </c>
      <c r="BD28">
        <v>2</v>
      </c>
      <c r="BE28" s="11"/>
      <c r="BF28" s="11">
        <v>1</v>
      </c>
      <c r="BG28" s="11"/>
      <c r="BH28" s="11">
        <v>1</v>
      </c>
      <c r="BK28">
        <v>0</v>
      </c>
      <c r="BL28" s="11"/>
      <c r="BM28" s="11">
        <v>1</v>
      </c>
      <c r="BN28" s="11"/>
      <c r="BO28" s="11">
        <v>1</v>
      </c>
      <c r="BR28">
        <v>0</v>
      </c>
      <c r="BS28" s="11"/>
      <c r="BT28" s="11">
        <v>1</v>
      </c>
      <c r="BU28" s="11"/>
      <c r="BV28" s="11">
        <v>1</v>
      </c>
      <c r="BZ28" s="11"/>
      <c r="CA28" s="11"/>
      <c r="CB28" s="11"/>
      <c r="CC28" s="11"/>
      <c r="CG28" s="11"/>
      <c r="CH28" s="11"/>
      <c r="CI28" s="11"/>
      <c r="CJ28" s="11"/>
      <c r="CN28" s="11"/>
      <c r="CO28" s="11"/>
      <c r="CP28" s="11"/>
      <c r="CQ28" s="11"/>
      <c r="CU28" s="11"/>
      <c r="CV28" s="11"/>
      <c r="CW28" s="11"/>
      <c r="CX28" s="11"/>
      <c r="DB28" s="11"/>
      <c r="DC28" s="11"/>
      <c r="DD28" s="11"/>
      <c r="DE28" s="11"/>
    </row>
    <row r="29" spans="2:109" hidden="1" outlineLevel="1" x14ac:dyDescent="0.2">
      <c r="B29" t="s">
        <v>28</v>
      </c>
      <c r="C29" t="s">
        <v>81</v>
      </c>
      <c r="E29" s="10"/>
      <c r="F29" t="s">
        <v>85</v>
      </c>
      <c r="G29" s="11">
        <v>0.09</v>
      </c>
      <c r="I29" s="10">
        <f t="shared" si="3"/>
        <v>6</v>
      </c>
      <c r="J29" s="12">
        <f t="shared" si="4"/>
        <v>0</v>
      </c>
      <c r="K29" s="12">
        <f t="shared" si="4"/>
        <v>0</v>
      </c>
      <c r="L29" s="10"/>
      <c r="O29" s="11"/>
      <c r="P29" s="11"/>
      <c r="Q29" s="11"/>
      <c r="R29" s="11"/>
      <c r="U29">
        <v>2</v>
      </c>
      <c r="V29" s="11"/>
      <c r="W29" s="11">
        <v>0.5</v>
      </c>
      <c r="X29" s="11"/>
      <c r="Y29" s="11">
        <v>0.5</v>
      </c>
      <c r="AB29">
        <v>0</v>
      </c>
      <c r="AC29" s="11"/>
      <c r="AD29" s="11">
        <v>0.5</v>
      </c>
      <c r="AE29" s="11"/>
      <c r="AF29" s="11">
        <v>0.5</v>
      </c>
      <c r="AI29">
        <v>0</v>
      </c>
      <c r="AJ29" s="11"/>
      <c r="AK29" s="11">
        <v>0.5</v>
      </c>
      <c r="AL29" s="11"/>
      <c r="AM29" s="11">
        <v>0.5</v>
      </c>
      <c r="AP29">
        <v>2</v>
      </c>
      <c r="AQ29" s="11"/>
      <c r="AR29" s="11">
        <v>0.8</v>
      </c>
      <c r="AS29" s="11"/>
      <c r="AT29" s="11">
        <v>0.8</v>
      </c>
      <c r="AW29">
        <v>0</v>
      </c>
      <c r="AX29" s="11"/>
      <c r="AY29" s="11">
        <v>0.8</v>
      </c>
      <c r="AZ29" s="11"/>
      <c r="BA29" s="11">
        <v>1</v>
      </c>
      <c r="BD29">
        <v>2</v>
      </c>
      <c r="BE29" s="11"/>
      <c r="BF29" s="11">
        <v>1</v>
      </c>
      <c r="BG29" s="11"/>
      <c r="BH29" s="11">
        <v>1</v>
      </c>
      <c r="BK29">
        <v>0</v>
      </c>
      <c r="BL29" s="11"/>
      <c r="BM29" s="11">
        <v>1</v>
      </c>
      <c r="BN29" s="11"/>
      <c r="BO29" s="11">
        <v>1</v>
      </c>
      <c r="BR29">
        <v>0</v>
      </c>
      <c r="BS29" s="11"/>
      <c r="BT29" s="11">
        <v>1</v>
      </c>
      <c r="BU29" s="11"/>
      <c r="BV29" s="11">
        <v>1</v>
      </c>
      <c r="BZ29" s="11"/>
      <c r="CA29" s="11"/>
      <c r="CB29" s="11"/>
      <c r="CC29" s="11"/>
      <c r="CG29" s="11"/>
      <c r="CH29" s="11"/>
      <c r="CI29" s="11"/>
      <c r="CJ29" s="11"/>
      <c r="CN29" s="11"/>
      <c r="CO29" s="11"/>
      <c r="CP29" s="11"/>
      <c r="CQ29" s="11"/>
      <c r="CU29" s="11"/>
      <c r="CV29" s="11"/>
      <c r="CW29" s="11"/>
      <c r="CX29" s="11"/>
      <c r="DB29" s="11"/>
      <c r="DC29" s="11"/>
      <c r="DD29" s="11"/>
      <c r="DE29" s="11"/>
    </row>
    <row r="30" spans="2:109" hidden="1" outlineLevel="1" x14ac:dyDescent="0.2">
      <c r="B30" t="s">
        <v>28</v>
      </c>
      <c r="C30" t="s">
        <v>81</v>
      </c>
      <c r="E30" s="10"/>
      <c r="F30" t="s">
        <v>86</v>
      </c>
      <c r="G30" s="11">
        <v>0.08</v>
      </c>
      <c r="I30" s="10">
        <f t="shared" si="3"/>
        <v>6</v>
      </c>
      <c r="J30" s="12">
        <f t="shared" si="4"/>
        <v>0</v>
      </c>
      <c r="K30" s="12">
        <f t="shared" si="4"/>
        <v>0</v>
      </c>
      <c r="L30" s="10"/>
      <c r="O30" s="11"/>
      <c r="P30" s="11"/>
      <c r="Q30" s="11"/>
      <c r="R30" s="11"/>
      <c r="U30">
        <v>2</v>
      </c>
      <c r="V30" s="11"/>
      <c r="W30" s="11">
        <v>0.5</v>
      </c>
      <c r="X30" s="11"/>
      <c r="Y30" s="11">
        <v>0.5</v>
      </c>
      <c r="AB30">
        <v>0</v>
      </c>
      <c r="AC30" s="11"/>
      <c r="AD30" s="11">
        <v>0.5</v>
      </c>
      <c r="AE30" s="11"/>
      <c r="AF30" s="11">
        <v>0.5</v>
      </c>
      <c r="AI30">
        <v>0</v>
      </c>
      <c r="AJ30" s="11"/>
      <c r="AK30" s="11">
        <v>0.5</v>
      </c>
      <c r="AL30" s="11"/>
      <c r="AM30" s="11">
        <v>0.5</v>
      </c>
      <c r="AP30">
        <v>2</v>
      </c>
      <c r="AQ30" s="11"/>
      <c r="AR30" s="11">
        <v>0.8</v>
      </c>
      <c r="AS30" s="11"/>
      <c r="AT30" s="11">
        <v>0.8</v>
      </c>
      <c r="AW30">
        <v>0</v>
      </c>
      <c r="AX30" s="11"/>
      <c r="AY30" s="11">
        <v>0.8</v>
      </c>
      <c r="AZ30" s="11"/>
      <c r="BA30" s="11">
        <v>1</v>
      </c>
      <c r="BD30">
        <v>2</v>
      </c>
      <c r="BE30" s="11"/>
      <c r="BF30" s="11">
        <v>1</v>
      </c>
      <c r="BG30" s="11"/>
      <c r="BH30" s="11">
        <v>1</v>
      </c>
      <c r="BK30">
        <v>0</v>
      </c>
      <c r="BL30" s="11"/>
      <c r="BM30" s="11">
        <v>1</v>
      </c>
      <c r="BN30" s="11"/>
      <c r="BO30" s="11">
        <v>1</v>
      </c>
      <c r="BR30">
        <v>0</v>
      </c>
      <c r="BS30" s="11"/>
      <c r="BT30" s="11">
        <v>1</v>
      </c>
      <c r="BU30" s="11"/>
      <c r="BV30" s="11">
        <v>1</v>
      </c>
      <c r="BZ30" s="11"/>
      <c r="CA30" s="11"/>
      <c r="CB30" s="11"/>
      <c r="CC30" s="11"/>
      <c r="CG30" s="11"/>
      <c r="CH30" s="11"/>
      <c r="CI30" s="11"/>
      <c r="CJ30" s="11"/>
      <c r="CN30" s="11"/>
      <c r="CO30" s="11"/>
      <c r="CP30" s="11"/>
      <c r="CQ30" s="11"/>
      <c r="CU30" s="11"/>
      <c r="CV30" s="11"/>
      <c r="CW30" s="11"/>
      <c r="CX30" s="11"/>
      <c r="DB30" s="11"/>
      <c r="DC30" s="11"/>
      <c r="DD30" s="11"/>
      <c r="DE30" s="11"/>
    </row>
    <row r="31" spans="2:109" hidden="1" outlineLevel="1" x14ac:dyDescent="0.2">
      <c r="B31" t="s">
        <v>28</v>
      </c>
      <c r="C31" t="s">
        <v>81</v>
      </c>
      <c r="E31" s="10"/>
      <c r="F31" t="s">
        <v>87</v>
      </c>
      <c r="G31" s="11">
        <v>0.09</v>
      </c>
      <c r="I31" s="10">
        <f t="shared" si="3"/>
        <v>4</v>
      </c>
      <c r="J31" s="12">
        <f t="shared" si="4"/>
        <v>0</v>
      </c>
      <c r="K31" s="12">
        <f t="shared" si="4"/>
        <v>0</v>
      </c>
      <c r="L31" s="10"/>
      <c r="O31" s="11"/>
      <c r="P31" s="11"/>
      <c r="Q31" s="11"/>
      <c r="R31" s="11"/>
      <c r="U31">
        <v>2</v>
      </c>
      <c r="V31" s="11"/>
      <c r="W31" s="11">
        <v>0.5</v>
      </c>
      <c r="X31" s="11"/>
      <c r="Y31" s="11">
        <v>0.5</v>
      </c>
      <c r="AB31">
        <v>0</v>
      </c>
      <c r="AC31" s="11"/>
      <c r="AD31" s="11">
        <v>0.5</v>
      </c>
      <c r="AE31" s="11"/>
      <c r="AF31" s="11">
        <v>0.5</v>
      </c>
      <c r="AI31">
        <v>0</v>
      </c>
      <c r="AJ31" s="11"/>
      <c r="AK31" s="11">
        <v>0.5</v>
      </c>
      <c r="AL31" s="11"/>
      <c r="AM31" s="11">
        <v>0.5</v>
      </c>
      <c r="AP31">
        <v>0</v>
      </c>
      <c r="AQ31" s="11"/>
      <c r="AR31" s="11">
        <v>0.5</v>
      </c>
      <c r="AS31" s="11"/>
      <c r="AT31" s="11">
        <v>0.5</v>
      </c>
      <c r="AW31">
        <v>0</v>
      </c>
      <c r="AX31" s="11"/>
      <c r="AY31" s="11">
        <v>0.8</v>
      </c>
      <c r="AZ31" s="11"/>
      <c r="BA31" s="11">
        <v>0.8</v>
      </c>
      <c r="BD31">
        <v>0</v>
      </c>
      <c r="BE31" s="11"/>
      <c r="BF31" s="11">
        <v>0.8</v>
      </c>
      <c r="BG31" s="11"/>
      <c r="BH31" s="11">
        <v>0.8</v>
      </c>
      <c r="BK31">
        <v>2</v>
      </c>
      <c r="BL31" s="11"/>
      <c r="BM31" s="11">
        <v>1</v>
      </c>
      <c r="BN31" s="11"/>
      <c r="BO31" s="11">
        <v>1</v>
      </c>
      <c r="BR31">
        <v>0</v>
      </c>
      <c r="BS31" s="11"/>
      <c r="BT31" s="11">
        <v>1</v>
      </c>
      <c r="BU31" s="11"/>
      <c r="BV31" s="11">
        <v>1</v>
      </c>
      <c r="BZ31" s="11"/>
      <c r="CA31" s="11"/>
      <c r="CB31" s="11"/>
      <c r="CC31" s="11"/>
      <c r="CG31" s="11"/>
      <c r="CH31" s="11"/>
      <c r="CI31" s="11"/>
      <c r="CJ31" s="11"/>
      <c r="CN31" s="11"/>
      <c r="CO31" s="11"/>
      <c r="CP31" s="11"/>
      <c r="CQ31" s="11"/>
      <c r="CU31" s="11"/>
      <c r="CV31" s="11"/>
      <c r="CW31" s="11"/>
      <c r="CX31" s="11"/>
      <c r="DB31" s="11"/>
      <c r="DC31" s="11"/>
      <c r="DD31" s="11"/>
      <c r="DE31" s="11"/>
    </row>
    <row r="32" spans="2:109" hidden="1" outlineLevel="1" x14ac:dyDescent="0.2">
      <c r="B32" t="s">
        <v>28</v>
      </c>
      <c r="C32" t="s">
        <v>81</v>
      </c>
      <c r="E32" s="10"/>
      <c r="F32" t="s">
        <v>88</v>
      </c>
      <c r="G32" s="11">
        <v>0.08</v>
      </c>
      <c r="I32" s="10">
        <f t="shared" si="3"/>
        <v>4</v>
      </c>
      <c r="J32" s="12">
        <f t="shared" si="4"/>
        <v>0</v>
      </c>
      <c r="K32" s="12">
        <f t="shared" si="4"/>
        <v>0</v>
      </c>
      <c r="L32" s="10"/>
      <c r="O32" s="11"/>
      <c r="P32" s="11"/>
      <c r="Q32" s="11"/>
      <c r="R32" s="11"/>
      <c r="V32" s="11"/>
      <c r="W32" s="11"/>
      <c r="X32" s="11"/>
      <c r="Y32" s="11"/>
      <c r="AB32">
        <v>2</v>
      </c>
      <c r="AC32" s="11"/>
      <c r="AD32" s="11">
        <v>0.5</v>
      </c>
      <c r="AE32" s="11"/>
      <c r="AF32" s="11">
        <v>0.5</v>
      </c>
      <c r="AI32">
        <v>0</v>
      </c>
      <c r="AJ32" s="11"/>
      <c r="AK32" s="11">
        <v>0.5</v>
      </c>
      <c r="AL32" s="11"/>
      <c r="AM32" s="11">
        <v>0.5</v>
      </c>
      <c r="AP32">
        <v>0</v>
      </c>
      <c r="AQ32" s="11"/>
      <c r="AR32" s="11">
        <v>0.5</v>
      </c>
      <c r="AS32" s="11"/>
      <c r="AT32" s="11">
        <v>0.5</v>
      </c>
      <c r="AW32">
        <v>0</v>
      </c>
      <c r="AX32" s="11"/>
      <c r="AY32" s="11">
        <v>0.8</v>
      </c>
      <c r="AZ32" s="11"/>
      <c r="BA32" s="11">
        <v>0.8</v>
      </c>
      <c r="BD32">
        <v>0</v>
      </c>
      <c r="BE32" s="11"/>
      <c r="BF32" s="11">
        <v>0.8</v>
      </c>
      <c r="BG32" s="11"/>
      <c r="BH32" s="11">
        <v>0.8</v>
      </c>
      <c r="BK32">
        <v>2</v>
      </c>
      <c r="BL32" s="11"/>
      <c r="BM32" s="11">
        <v>1</v>
      </c>
      <c r="BN32" s="11"/>
      <c r="BO32" s="11">
        <v>1</v>
      </c>
      <c r="BR32">
        <v>0</v>
      </c>
      <c r="BS32" s="11"/>
      <c r="BT32" s="11">
        <v>1</v>
      </c>
      <c r="BU32" s="11"/>
      <c r="BV32" s="11">
        <v>1</v>
      </c>
      <c r="BZ32" s="11"/>
      <c r="CA32" s="11"/>
      <c r="CB32" s="11"/>
      <c r="CC32" s="11"/>
      <c r="CG32" s="11"/>
      <c r="CH32" s="11"/>
      <c r="CI32" s="11"/>
      <c r="CJ32" s="11"/>
      <c r="CN32" s="11"/>
      <c r="CO32" s="11"/>
      <c r="CP32" s="11"/>
      <c r="CQ32" s="11"/>
      <c r="CU32" s="11"/>
      <c r="CV32" s="11"/>
      <c r="CW32" s="11"/>
      <c r="CX32" s="11"/>
      <c r="DB32" s="11"/>
      <c r="DC32" s="11"/>
      <c r="DD32" s="11"/>
      <c r="DE32" s="11"/>
    </row>
    <row r="33" spans="2:109" hidden="1" outlineLevel="1" x14ac:dyDescent="0.2">
      <c r="B33" t="s">
        <v>28</v>
      </c>
      <c r="C33" t="s">
        <v>81</v>
      </c>
      <c r="E33" s="10"/>
      <c r="F33" t="s">
        <v>94</v>
      </c>
      <c r="G33" s="11">
        <v>0.08</v>
      </c>
      <c r="I33" s="10">
        <f t="shared" si="3"/>
        <v>4</v>
      </c>
      <c r="J33" s="12">
        <f t="shared" si="4"/>
        <v>0</v>
      </c>
      <c r="K33" s="12">
        <f t="shared" si="4"/>
        <v>0</v>
      </c>
      <c r="L33" s="10"/>
      <c r="O33" s="11"/>
      <c r="P33" s="11"/>
      <c r="Q33" s="11"/>
      <c r="R33" s="11"/>
      <c r="V33" s="11"/>
      <c r="W33" s="11"/>
      <c r="X33" s="11"/>
      <c r="Y33" s="11"/>
      <c r="AB33">
        <v>2</v>
      </c>
      <c r="AC33" s="11"/>
      <c r="AD33" s="11">
        <v>0.5</v>
      </c>
      <c r="AE33" s="11"/>
      <c r="AF33" s="11">
        <v>0.5</v>
      </c>
      <c r="AI33">
        <v>0</v>
      </c>
      <c r="AJ33" s="11"/>
      <c r="AK33" s="11">
        <v>0.5</v>
      </c>
      <c r="AL33" s="11"/>
      <c r="AM33" s="11">
        <v>0.5</v>
      </c>
      <c r="AP33">
        <v>0</v>
      </c>
      <c r="AQ33" s="11"/>
      <c r="AR33" s="11">
        <v>0.5</v>
      </c>
      <c r="AS33" s="11"/>
      <c r="AT33" s="11">
        <v>0.5</v>
      </c>
      <c r="AW33">
        <v>0</v>
      </c>
      <c r="AX33" s="11"/>
      <c r="AY33" s="11">
        <v>0.8</v>
      </c>
      <c r="AZ33" s="11"/>
      <c r="BA33" s="11">
        <v>0.8</v>
      </c>
      <c r="BD33">
        <v>0</v>
      </c>
      <c r="BE33" s="11"/>
      <c r="BF33" s="11">
        <v>0.8</v>
      </c>
      <c r="BG33" s="11"/>
      <c r="BH33" s="11">
        <v>0.8</v>
      </c>
      <c r="BK33">
        <v>2</v>
      </c>
      <c r="BL33" s="11"/>
      <c r="BM33" s="11">
        <v>1</v>
      </c>
      <c r="BN33" s="11"/>
      <c r="BO33" s="11">
        <v>1</v>
      </c>
      <c r="BR33">
        <v>0</v>
      </c>
      <c r="BS33" s="11"/>
      <c r="BT33" s="11">
        <v>1</v>
      </c>
      <c r="BU33" s="11"/>
      <c r="BV33" s="11">
        <v>1</v>
      </c>
      <c r="BZ33" s="11"/>
      <c r="CA33" s="11"/>
      <c r="CB33" s="11"/>
      <c r="CC33" s="11"/>
      <c r="CG33" s="11"/>
      <c r="CH33" s="11"/>
      <c r="CI33" s="11"/>
      <c r="CJ33" s="11"/>
      <c r="CN33" s="11"/>
      <c r="CO33" s="11"/>
      <c r="CP33" s="11"/>
      <c r="CQ33" s="11"/>
      <c r="CU33" s="11"/>
      <c r="CV33" s="11"/>
      <c r="CW33" s="11"/>
      <c r="CX33" s="11"/>
      <c r="DB33" s="11"/>
      <c r="DC33" s="11"/>
      <c r="DD33" s="11"/>
      <c r="DE33" s="11"/>
    </row>
    <row r="34" spans="2:109" hidden="1" outlineLevel="1" x14ac:dyDescent="0.2">
      <c r="B34" t="s">
        <v>28</v>
      </c>
      <c r="C34" t="s">
        <v>81</v>
      </c>
      <c r="E34" s="10"/>
      <c r="F34" t="s">
        <v>89</v>
      </c>
      <c r="G34" s="11">
        <v>0.08</v>
      </c>
      <c r="I34" s="10">
        <f t="shared" si="3"/>
        <v>6</v>
      </c>
      <c r="J34" s="12">
        <f t="shared" si="4"/>
        <v>0</v>
      </c>
      <c r="K34" s="12">
        <f t="shared" si="4"/>
        <v>0</v>
      </c>
      <c r="L34" s="10"/>
      <c r="O34" s="11"/>
      <c r="P34" s="11"/>
      <c r="Q34" s="11"/>
      <c r="R34" s="11"/>
      <c r="V34" s="11"/>
      <c r="W34" s="11"/>
      <c r="X34" s="11"/>
      <c r="Y34" s="11"/>
      <c r="AC34" s="11"/>
      <c r="AD34" s="11"/>
      <c r="AE34" s="11"/>
      <c r="AF34" s="11"/>
      <c r="AI34">
        <v>2</v>
      </c>
      <c r="AJ34" s="11"/>
      <c r="AK34" s="11">
        <v>0.5</v>
      </c>
      <c r="AL34" s="11"/>
      <c r="AM34" s="11">
        <v>0.5</v>
      </c>
      <c r="AP34">
        <v>0</v>
      </c>
      <c r="AQ34" s="11"/>
      <c r="AR34" s="11">
        <v>0.5</v>
      </c>
      <c r="AS34" s="11"/>
      <c r="AT34" s="11">
        <v>0.5</v>
      </c>
      <c r="AW34">
        <v>2</v>
      </c>
      <c r="AX34" s="11"/>
      <c r="AY34" s="11">
        <v>0.8</v>
      </c>
      <c r="AZ34" s="11"/>
      <c r="BA34" s="11">
        <v>0.8</v>
      </c>
      <c r="BD34">
        <v>0</v>
      </c>
      <c r="BE34" s="11"/>
      <c r="BF34" s="11">
        <v>0.8</v>
      </c>
      <c r="BG34" s="11"/>
      <c r="BH34" s="11">
        <v>0.8</v>
      </c>
      <c r="BK34">
        <v>2</v>
      </c>
      <c r="BL34" s="11"/>
      <c r="BM34" s="11">
        <v>1</v>
      </c>
      <c r="BN34" s="11"/>
      <c r="BO34" s="11">
        <v>1</v>
      </c>
      <c r="BR34">
        <v>0</v>
      </c>
      <c r="BS34" s="11"/>
      <c r="BT34" s="11">
        <v>1</v>
      </c>
      <c r="BU34" s="11"/>
      <c r="BV34" s="11">
        <v>1</v>
      </c>
      <c r="BZ34" s="11"/>
      <c r="CA34" s="11"/>
      <c r="CB34" s="11"/>
      <c r="CC34" s="11"/>
      <c r="CG34" s="11"/>
      <c r="CH34" s="11"/>
      <c r="CI34" s="11"/>
      <c r="CJ34" s="11"/>
      <c r="CN34" s="11"/>
      <c r="CO34" s="11"/>
      <c r="CP34" s="11"/>
      <c r="CQ34" s="11"/>
      <c r="CU34" s="11"/>
      <c r="CV34" s="11"/>
      <c r="CW34" s="11"/>
      <c r="CX34" s="11"/>
      <c r="DB34" s="11"/>
      <c r="DC34" s="11"/>
      <c r="DD34" s="11"/>
      <c r="DE34" s="11"/>
    </row>
    <row r="35" spans="2:109" hidden="1" outlineLevel="1" x14ac:dyDescent="0.2">
      <c r="B35" t="s">
        <v>28</v>
      </c>
      <c r="C35" t="s">
        <v>81</v>
      </c>
      <c r="E35" s="10"/>
      <c r="F35" t="s">
        <v>90</v>
      </c>
      <c r="G35" s="11">
        <v>0.09</v>
      </c>
      <c r="I35" s="10">
        <f t="shared" si="3"/>
        <v>6</v>
      </c>
      <c r="J35" s="12">
        <f t="shared" si="4"/>
        <v>0</v>
      </c>
      <c r="K35" s="12">
        <f t="shared" si="4"/>
        <v>0</v>
      </c>
      <c r="L35" s="10"/>
      <c r="O35" s="11"/>
      <c r="P35" s="11"/>
      <c r="Q35" s="11"/>
      <c r="R35" s="11"/>
      <c r="V35" s="11"/>
      <c r="W35" s="11"/>
      <c r="X35" s="11"/>
      <c r="Y35" s="11"/>
      <c r="AC35" s="11"/>
      <c r="AD35" s="11"/>
      <c r="AE35" s="11"/>
      <c r="AF35" s="11"/>
      <c r="AI35">
        <v>2</v>
      </c>
      <c r="AJ35" s="11"/>
      <c r="AK35" s="11">
        <v>0.5</v>
      </c>
      <c r="AL35" s="11"/>
      <c r="AM35" s="11">
        <v>0.5</v>
      </c>
      <c r="AP35">
        <v>0</v>
      </c>
      <c r="AQ35" s="11"/>
      <c r="AR35" s="11">
        <v>0.5</v>
      </c>
      <c r="AS35" s="11"/>
      <c r="AT35" s="11">
        <v>0.5</v>
      </c>
      <c r="AW35">
        <v>2</v>
      </c>
      <c r="AX35" s="11"/>
      <c r="AY35" s="11">
        <v>0.8</v>
      </c>
      <c r="AZ35" s="11"/>
      <c r="BA35" s="11">
        <v>0.8</v>
      </c>
      <c r="BD35">
        <v>0</v>
      </c>
      <c r="BE35" s="11"/>
      <c r="BF35" s="11">
        <v>0.8</v>
      </c>
      <c r="BG35" s="11"/>
      <c r="BH35" s="11">
        <v>0.8</v>
      </c>
      <c r="BK35">
        <v>0</v>
      </c>
      <c r="BL35" s="11"/>
      <c r="BM35" s="11">
        <v>0.8</v>
      </c>
      <c r="BN35" s="11"/>
      <c r="BO35" s="11">
        <v>0.8</v>
      </c>
      <c r="BR35">
        <v>2</v>
      </c>
      <c r="BS35" s="11"/>
      <c r="BT35" s="11">
        <v>1</v>
      </c>
      <c r="BU35" s="11"/>
      <c r="BV35" s="11">
        <v>1</v>
      </c>
      <c r="BZ35" s="11"/>
      <c r="CA35" s="11"/>
      <c r="CB35" s="11"/>
      <c r="CC35" s="11"/>
      <c r="CG35" s="11"/>
      <c r="CH35" s="11"/>
      <c r="CI35" s="11"/>
      <c r="CJ35" s="11"/>
      <c r="CN35" s="11"/>
      <c r="CO35" s="11"/>
      <c r="CP35" s="11"/>
      <c r="CQ35" s="11"/>
      <c r="CU35" s="11"/>
      <c r="CV35" s="11"/>
      <c r="CW35" s="11"/>
      <c r="CX35" s="11"/>
      <c r="DB35" s="11"/>
      <c r="DC35" s="11"/>
      <c r="DD35" s="11"/>
      <c r="DE35" s="11"/>
    </row>
    <row r="36" spans="2:109" hidden="1" outlineLevel="1" x14ac:dyDescent="0.2">
      <c r="B36" t="s">
        <v>28</v>
      </c>
      <c r="C36" t="s">
        <v>81</v>
      </c>
      <c r="E36" s="10"/>
      <c r="F36" t="s">
        <v>91</v>
      </c>
      <c r="G36" s="11">
        <v>0.09</v>
      </c>
      <c r="I36" s="10">
        <f t="shared" si="3"/>
        <v>6</v>
      </c>
      <c r="J36" s="12">
        <f t="shared" si="4"/>
        <v>0</v>
      </c>
      <c r="K36" s="12">
        <f t="shared" si="4"/>
        <v>0</v>
      </c>
      <c r="L36" s="10"/>
      <c r="O36" s="11"/>
      <c r="P36" s="11"/>
      <c r="Q36" s="11"/>
      <c r="R36" s="11"/>
      <c r="V36" s="11"/>
      <c r="W36" s="11"/>
      <c r="X36" s="11"/>
      <c r="Y36" s="11"/>
      <c r="AC36" s="11"/>
      <c r="AD36" s="11"/>
      <c r="AE36" s="11"/>
      <c r="AF36" s="11"/>
      <c r="AJ36" s="11"/>
      <c r="AK36" s="11"/>
      <c r="AL36" s="11"/>
      <c r="AM36" s="11"/>
      <c r="AP36">
        <v>2</v>
      </c>
      <c r="AQ36" s="11"/>
      <c r="AR36" s="11">
        <v>0.5</v>
      </c>
      <c r="AS36" s="11"/>
      <c r="AT36" s="11">
        <v>0.5</v>
      </c>
      <c r="AW36">
        <v>0</v>
      </c>
      <c r="AX36" s="11"/>
      <c r="AY36" s="11">
        <v>0.5</v>
      </c>
      <c r="AZ36" s="11"/>
      <c r="BA36" s="11">
        <v>0.5</v>
      </c>
      <c r="BD36">
        <v>2</v>
      </c>
      <c r="BE36" s="11"/>
      <c r="BF36" s="11">
        <v>0.8</v>
      </c>
      <c r="BG36" s="11"/>
      <c r="BH36" s="11">
        <v>0.8</v>
      </c>
      <c r="BK36">
        <v>0</v>
      </c>
      <c r="BL36" s="11"/>
      <c r="BM36" s="11">
        <v>0.8</v>
      </c>
      <c r="BN36" s="11"/>
      <c r="BO36" s="11">
        <v>0.8</v>
      </c>
      <c r="BR36">
        <v>2</v>
      </c>
      <c r="BS36" s="11"/>
      <c r="BT36" s="11">
        <v>1</v>
      </c>
      <c r="BU36" s="11"/>
      <c r="BV36" s="11">
        <v>1</v>
      </c>
      <c r="BZ36" s="11"/>
      <c r="CA36" s="11"/>
      <c r="CB36" s="11"/>
      <c r="CC36" s="11"/>
      <c r="CG36" s="11"/>
      <c r="CH36" s="11"/>
      <c r="CI36" s="11"/>
      <c r="CJ36" s="11"/>
      <c r="CN36" s="11"/>
      <c r="CO36" s="11"/>
      <c r="CP36" s="11"/>
      <c r="CQ36" s="11"/>
      <c r="CU36" s="11"/>
      <c r="CV36" s="11"/>
      <c r="CW36" s="11"/>
      <c r="CX36" s="11"/>
      <c r="DB36" s="11"/>
      <c r="DC36" s="11"/>
      <c r="DD36" s="11"/>
      <c r="DE36" s="11"/>
    </row>
    <row r="37" spans="2:109" collapsed="1" x14ac:dyDescent="0.2"/>
    <row r="38" spans="2:109" x14ac:dyDescent="0.2">
      <c r="B38" t="s">
        <v>27</v>
      </c>
      <c r="C38" t="s">
        <v>93</v>
      </c>
      <c r="E38" s="10">
        <v>6</v>
      </c>
      <c r="G38" s="11">
        <f>+SUM(G39:G53)</f>
        <v>1.0000000000000004</v>
      </c>
      <c r="I38" s="13">
        <f>+SUM(I39:I53)</f>
        <v>90</v>
      </c>
      <c r="J38" s="12">
        <f>+SUMPRODUCT(G39:G53,J39:J53)</f>
        <v>0</v>
      </c>
      <c r="K38" s="12">
        <f>+SUMPRODUCT(G39:G53,K39:K53)</f>
        <v>0</v>
      </c>
      <c r="L38" s="10"/>
      <c r="N38" s="13">
        <f>+SUM(N39:N53)</f>
        <v>10</v>
      </c>
      <c r="U38" s="13">
        <f>+SUM(U39:U53)</f>
        <v>10</v>
      </c>
      <c r="AB38" s="13">
        <f>+SUM(AB39:AB53)</f>
        <v>10</v>
      </c>
      <c r="AI38" s="13">
        <f>+SUM(AI39:AI53)</f>
        <v>10</v>
      </c>
      <c r="AP38" s="13">
        <f>+SUM(AP39:AP53)</f>
        <v>10</v>
      </c>
      <c r="AW38" s="10">
        <f>+SUM(AW39:AW53)</f>
        <v>10</v>
      </c>
      <c r="BD38" s="10">
        <f>+SUM(BD39:BD53)</f>
        <v>10</v>
      </c>
      <c r="BK38" s="10">
        <f>+SUM(BK39:BK53)</f>
        <v>10</v>
      </c>
      <c r="BR38" s="10">
        <f>+SUM(BR39:BR53)</f>
        <v>10</v>
      </c>
    </row>
    <row r="39" spans="2:109" hidden="1" outlineLevel="1" x14ac:dyDescent="0.2">
      <c r="B39" t="s">
        <v>28</v>
      </c>
      <c r="C39" t="s">
        <v>93</v>
      </c>
      <c r="E39" s="10"/>
      <c r="F39" t="s">
        <v>95</v>
      </c>
      <c r="G39" s="11">
        <v>0.06</v>
      </c>
      <c r="I39" s="10">
        <f t="shared" ref="I39:I53" si="5">+SUMIF($N$3:$ZZ$3,I$3,$N39:$ZZ39)</f>
        <v>6</v>
      </c>
      <c r="J39" s="12">
        <f t="shared" ref="J39:K53" si="6">+_xlfn.MAXIFS($N39:$ZF39,$N$3:$ZF$3,J$3)</f>
        <v>0</v>
      </c>
      <c r="K39" s="12">
        <f t="shared" si="6"/>
        <v>0</v>
      </c>
      <c r="L39" s="10"/>
      <c r="N39">
        <v>2</v>
      </c>
      <c r="O39" s="11"/>
      <c r="P39" s="11">
        <v>0.5</v>
      </c>
      <c r="Q39" s="11"/>
      <c r="R39" s="11">
        <v>0.5</v>
      </c>
      <c r="U39">
        <v>2</v>
      </c>
      <c r="V39" s="11"/>
      <c r="W39" s="11">
        <v>0.8</v>
      </c>
      <c r="X39" s="11"/>
      <c r="Y39" s="11">
        <v>0.8</v>
      </c>
      <c r="AB39">
        <v>0</v>
      </c>
      <c r="AC39" s="11"/>
      <c r="AD39" s="11">
        <v>0.8</v>
      </c>
      <c r="AE39" s="11"/>
      <c r="AF39" s="11">
        <v>0.8</v>
      </c>
      <c r="AI39">
        <v>2</v>
      </c>
      <c r="AJ39" s="11"/>
      <c r="AK39" s="11">
        <v>1</v>
      </c>
      <c r="AL39" s="11"/>
      <c r="AM39" s="11">
        <v>1</v>
      </c>
      <c r="AP39">
        <v>0</v>
      </c>
      <c r="AQ39" s="11"/>
      <c r="AR39" s="11">
        <v>1</v>
      </c>
      <c r="AS39" s="11"/>
      <c r="AT39" s="11">
        <v>1</v>
      </c>
      <c r="AW39">
        <v>0</v>
      </c>
      <c r="AX39" s="11"/>
      <c r="AY39" s="11">
        <v>1</v>
      </c>
      <c r="AZ39" s="11"/>
      <c r="BA39" s="11">
        <v>1</v>
      </c>
      <c r="BD39">
        <v>0</v>
      </c>
      <c r="BE39" s="11"/>
      <c r="BF39" s="11">
        <v>1</v>
      </c>
      <c r="BG39" s="11"/>
      <c r="BH39" s="11">
        <v>1</v>
      </c>
      <c r="BK39">
        <v>0</v>
      </c>
      <c r="BL39" s="11"/>
      <c r="BM39" s="11">
        <v>1</v>
      </c>
      <c r="BN39" s="11"/>
      <c r="BO39" s="11">
        <v>1</v>
      </c>
      <c r="BR39">
        <v>0</v>
      </c>
      <c r="BS39" s="11"/>
      <c r="BT39" s="11">
        <v>1</v>
      </c>
      <c r="BU39" s="11"/>
      <c r="BV39" s="11">
        <v>1</v>
      </c>
      <c r="BZ39" s="11"/>
      <c r="CA39" s="11"/>
      <c r="CB39" s="11"/>
      <c r="CC39" s="11"/>
      <c r="CG39" s="11"/>
      <c r="CH39" s="11"/>
      <c r="CI39" s="11"/>
      <c r="CJ39" s="11"/>
      <c r="CN39" s="11"/>
      <c r="CO39" s="11"/>
      <c r="CP39" s="11"/>
      <c r="CQ39" s="11"/>
      <c r="CU39" s="11"/>
      <c r="CV39" s="11"/>
      <c r="CW39" s="11"/>
      <c r="CX39" s="11"/>
      <c r="DB39" s="11"/>
      <c r="DC39" s="11"/>
      <c r="DD39" s="11"/>
      <c r="DE39" s="11"/>
    </row>
    <row r="40" spans="2:109" hidden="1" outlineLevel="1" x14ac:dyDescent="0.2">
      <c r="B40" t="s">
        <v>28</v>
      </c>
      <c r="C40" t="s">
        <v>93</v>
      </c>
      <c r="E40" s="10"/>
      <c r="F40" t="s">
        <v>96</v>
      </c>
      <c r="G40" s="11">
        <v>0.06</v>
      </c>
      <c r="I40" s="10">
        <f t="shared" si="5"/>
        <v>6</v>
      </c>
      <c r="J40" s="12">
        <f t="shared" si="6"/>
        <v>0</v>
      </c>
      <c r="K40" s="12">
        <f t="shared" si="6"/>
        <v>0</v>
      </c>
      <c r="L40" s="10"/>
      <c r="N40">
        <v>2</v>
      </c>
      <c r="O40" s="11"/>
      <c r="P40" s="11">
        <v>0.5</v>
      </c>
      <c r="Q40" s="11"/>
      <c r="R40" s="11">
        <v>0.5</v>
      </c>
      <c r="U40">
        <v>0</v>
      </c>
      <c r="V40" s="11"/>
      <c r="W40" s="11">
        <v>0.5</v>
      </c>
      <c r="X40" s="11"/>
      <c r="Y40" s="11">
        <v>0.5</v>
      </c>
      <c r="AB40">
        <v>2</v>
      </c>
      <c r="AC40" s="11"/>
      <c r="AD40" s="11">
        <v>0.8</v>
      </c>
      <c r="AE40" s="11"/>
      <c r="AF40" s="11">
        <v>0.8</v>
      </c>
      <c r="AI40">
        <v>0</v>
      </c>
      <c r="AJ40" s="11"/>
      <c r="AK40" s="11">
        <v>0.8</v>
      </c>
      <c r="AL40" s="11"/>
      <c r="AM40" s="11">
        <v>0.8</v>
      </c>
      <c r="AP40">
        <v>2</v>
      </c>
      <c r="AQ40" s="11"/>
      <c r="AR40" s="11">
        <v>1</v>
      </c>
      <c r="AS40" s="11"/>
      <c r="AT40" s="11">
        <v>1</v>
      </c>
      <c r="AW40">
        <v>0</v>
      </c>
      <c r="AX40" s="11"/>
      <c r="AY40" s="11">
        <v>1</v>
      </c>
      <c r="AZ40" s="11"/>
      <c r="BA40" s="11">
        <v>1</v>
      </c>
      <c r="BD40">
        <v>0</v>
      </c>
      <c r="BE40" s="11"/>
      <c r="BF40" s="11">
        <v>1</v>
      </c>
      <c r="BG40" s="11"/>
      <c r="BH40" s="11">
        <v>1</v>
      </c>
      <c r="BK40">
        <v>0</v>
      </c>
      <c r="BL40" s="11"/>
      <c r="BM40" s="11">
        <v>1</v>
      </c>
      <c r="BN40" s="11"/>
      <c r="BO40" s="11">
        <v>1</v>
      </c>
      <c r="BR40">
        <v>0</v>
      </c>
      <c r="BS40" s="11"/>
      <c r="BT40" s="11">
        <v>1</v>
      </c>
      <c r="BU40" s="11"/>
      <c r="BV40" s="11">
        <v>1</v>
      </c>
      <c r="BZ40" s="11"/>
      <c r="CA40" s="11"/>
      <c r="CB40" s="11"/>
      <c r="CC40" s="11"/>
      <c r="CG40" s="11"/>
      <c r="CH40" s="11"/>
      <c r="CI40" s="11"/>
      <c r="CJ40" s="11"/>
      <c r="CN40" s="11"/>
      <c r="CO40" s="11"/>
      <c r="CP40" s="11"/>
      <c r="CQ40" s="11"/>
      <c r="CU40" s="11"/>
      <c r="CV40" s="11"/>
      <c r="CW40" s="11"/>
      <c r="CX40" s="11"/>
      <c r="DB40" s="11"/>
      <c r="DC40" s="11"/>
      <c r="DD40" s="11"/>
      <c r="DE40" s="11"/>
    </row>
    <row r="41" spans="2:109" hidden="1" outlineLevel="1" x14ac:dyDescent="0.2">
      <c r="B41" t="s">
        <v>28</v>
      </c>
      <c r="C41" t="s">
        <v>93</v>
      </c>
      <c r="E41" s="10"/>
      <c r="F41" t="s">
        <v>97</v>
      </c>
      <c r="G41" s="11">
        <v>0.06</v>
      </c>
      <c r="I41" s="10">
        <f t="shared" si="5"/>
        <v>6</v>
      </c>
      <c r="J41" s="12">
        <f t="shared" si="6"/>
        <v>0</v>
      </c>
      <c r="K41" s="12">
        <f t="shared" si="6"/>
        <v>0</v>
      </c>
      <c r="L41" s="10"/>
      <c r="N41">
        <v>2</v>
      </c>
      <c r="O41" s="11"/>
      <c r="P41" s="11">
        <v>0.5</v>
      </c>
      <c r="Q41" s="11"/>
      <c r="R41" s="11">
        <v>0.5</v>
      </c>
      <c r="U41">
        <v>0</v>
      </c>
      <c r="V41" s="11"/>
      <c r="W41" s="11">
        <v>0.5</v>
      </c>
      <c r="X41" s="11"/>
      <c r="Y41" s="11">
        <v>0.5</v>
      </c>
      <c r="AB41">
        <v>2</v>
      </c>
      <c r="AC41" s="11"/>
      <c r="AD41" s="11">
        <v>0.8</v>
      </c>
      <c r="AE41" s="11"/>
      <c r="AF41" s="11">
        <v>0.8</v>
      </c>
      <c r="AI41">
        <v>0</v>
      </c>
      <c r="AJ41" s="11"/>
      <c r="AK41" s="11">
        <v>0.8</v>
      </c>
      <c r="AL41" s="11"/>
      <c r="AM41" s="11">
        <v>0.8</v>
      </c>
      <c r="AP41">
        <v>0</v>
      </c>
      <c r="AQ41" s="11"/>
      <c r="AR41" s="11">
        <v>0.8</v>
      </c>
      <c r="AS41" s="11"/>
      <c r="AT41" s="11">
        <v>0.8</v>
      </c>
      <c r="AW41">
        <v>2</v>
      </c>
      <c r="AX41" s="11"/>
      <c r="AY41" s="11">
        <v>1</v>
      </c>
      <c r="AZ41" s="11"/>
      <c r="BA41" s="11">
        <v>1</v>
      </c>
      <c r="BD41">
        <v>0</v>
      </c>
      <c r="BE41" s="11"/>
      <c r="BF41" s="11">
        <v>1</v>
      </c>
      <c r="BG41" s="11"/>
      <c r="BH41" s="11">
        <v>1</v>
      </c>
      <c r="BK41">
        <v>0</v>
      </c>
      <c r="BL41" s="11"/>
      <c r="BM41" s="11">
        <v>1</v>
      </c>
      <c r="BN41" s="11"/>
      <c r="BO41" s="11">
        <v>1</v>
      </c>
      <c r="BR41">
        <v>0</v>
      </c>
      <c r="BS41" s="11"/>
      <c r="BT41" s="11">
        <v>1</v>
      </c>
      <c r="BU41" s="11"/>
      <c r="BV41" s="11">
        <v>1</v>
      </c>
      <c r="BZ41" s="11"/>
      <c r="CA41" s="11"/>
      <c r="CB41" s="11"/>
      <c r="CC41" s="11"/>
      <c r="CG41" s="11"/>
      <c r="CH41" s="11"/>
      <c r="CI41" s="11"/>
      <c r="CJ41" s="11"/>
      <c r="CN41" s="11"/>
      <c r="CO41" s="11"/>
      <c r="CP41" s="11"/>
      <c r="CQ41" s="11"/>
      <c r="CU41" s="11"/>
      <c r="CV41" s="11"/>
      <c r="CW41" s="11"/>
      <c r="CX41" s="11"/>
      <c r="DB41" s="11"/>
      <c r="DC41" s="11"/>
      <c r="DD41" s="11"/>
      <c r="DE41" s="11"/>
    </row>
    <row r="42" spans="2:109" hidden="1" outlineLevel="1" x14ac:dyDescent="0.2">
      <c r="B42" t="s">
        <v>28</v>
      </c>
      <c r="C42" t="s">
        <v>93</v>
      </c>
      <c r="E42" s="10"/>
      <c r="F42" t="s">
        <v>98</v>
      </c>
      <c r="G42" s="11">
        <v>7.0000000000000007E-2</v>
      </c>
      <c r="I42" s="10">
        <f t="shared" si="5"/>
        <v>6</v>
      </c>
      <c r="J42" s="12">
        <f t="shared" si="6"/>
        <v>0</v>
      </c>
      <c r="K42" s="12">
        <f t="shared" si="6"/>
        <v>0</v>
      </c>
      <c r="L42" s="10"/>
      <c r="N42">
        <v>2</v>
      </c>
      <c r="O42" s="11"/>
      <c r="P42" s="11">
        <v>0.5</v>
      </c>
      <c r="Q42" s="11"/>
      <c r="R42" s="11">
        <v>0.5</v>
      </c>
      <c r="U42">
        <v>0</v>
      </c>
      <c r="V42" s="11"/>
      <c r="W42" s="11">
        <v>0.5</v>
      </c>
      <c r="X42" s="11"/>
      <c r="Y42" s="11">
        <v>0.5</v>
      </c>
      <c r="AB42">
        <v>0</v>
      </c>
      <c r="AC42" s="11"/>
      <c r="AD42" s="11">
        <v>0.5</v>
      </c>
      <c r="AE42" s="11"/>
      <c r="AF42" s="11">
        <v>0.5</v>
      </c>
      <c r="AI42">
        <v>2</v>
      </c>
      <c r="AJ42" s="11"/>
      <c r="AK42" s="11">
        <v>0.8</v>
      </c>
      <c r="AL42" s="11"/>
      <c r="AM42" s="11">
        <v>0.8</v>
      </c>
      <c r="AP42">
        <v>0</v>
      </c>
      <c r="AQ42" s="11"/>
      <c r="AR42" s="11">
        <v>0.8</v>
      </c>
      <c r="AS42" s="11"/>
      <c r="AT42" s="11">
        <v>0.8</v>
      </c>
      <c r="AW42">
        <v>2</v>
      </c>
      <c r="AX42" s="11"/>
      <c r="AY42" s="11">
        <v>1</v>
      </c>
      <c r="AZ42" s="11"/>
      <c r="BA42" s="11">
        <v>1</v>
      </c>
      <c r="BD42">
        <v>0</v>
      </c>
      <c r="BE42" s="11"/>
      <c r="BF42" s="11">
        <v>1</v>
      </c>
      <c r="BG42" s="11"/>
      <c r="BH42" s="11">
        <v>1</v>
      </c>
      <c r="BK42">
        <v>0</v>
      </c>
      <c r="BL42" s="11"/>
      <c r="BM42" s="11">
        <v>1</v>
      </c>
      <c r="BN42" s="11"/>
      <c r="BO42" s="11">
        <v>1</v>
      </c>
      <c r="BR42">
        <v>0</v>
      </c>
      <c r="BS42" s="11"/>
      <c r="BT42" s="11">
        <v>1</v>
      </c>
      <c r="BU42" s="11"/>
      <c r="BV42" s="11">
        <v>1</v>
      </c>
      <c r="BZ42" s="11"/>
      <c r="CA42" s="11"/>
      <c r="CB42" s="11"/>
      <c r="CC42" s="11"/>
      <c r="CG42" s="11"/>
      <c r="CH42" s="11"/>
      <c r="CI42" s="11"/>
      <c r="CJ42" s="11"/>
      <c r="CN42" s="11"/>
      <c r="CO42" s="11"/>
      <c r="CP42" s="11"/>
      <c r="CQ42" s="11"/>
      <c r="CU42" s="11"/>
      <c r="CV42" s="11"/>
      <c r="CW42" s="11"/>
      <c r="CX42" s="11"/>
      <c r="DB42" s="11"/>
      <c r="DC42" s="11"/>
      <c r="DD42" s="11"/>
      <c r="DE42" s="11"/>
    </row>
    <row r="43" spans="2:109" hidden="1" outlineLevel="1" x14ac:dyDescent="0.2">
      <c r="B43" t="s">
        <v>28</v>
      </c>
      <c r="C43" t="s">
        <v>93</v>
      </c>
      <c r="E43" s="10"/>
      <c r="F43" t="s">
        <v>99</v>
      </c>
      <c r="G43" s="11">
        <v>7.0000000000000007E-2</v>
      </c>
      <c r="I43" s="10">
        <f t="shared" si="5"/>
        <v>6</v>
      </c>
      <c r="J43" s="12">
        <f t="shared" si="6"/>
        <v>0</v>
      </c>
      <c r="K43" s="12">
        <f t="shared" si="6"/>
        <v>0</v>
      </c>
      <c r="L43" s="10"/>
      <c r="N43">
        <v>2</v>
      </c>
      <c r="O43" s="11"/>
      <c r="P43" s="11">
        <v>0.5</v>
      </c>
      <c r="Q43" s="11"/>
      <c r="R43" s="11">
        <v>0.5</v>
      </c>
      <c r="U43">
        <v>0</v>
      </c>
      <c r="V43" s="11"/>
      <c r="W43" s="11">
        <v>0.5</v>
      </c>
      <c r="X43" s="11"/>
      <c r="Y43" s="11">
        <v>0.5</v>
      </c>
      <c r="AB43">
        <v>0</v>
      </c>
      <c r="AC43" s="11"/>
      <c r="AD43" s="11">
        <v>0.5</v>
      </c>
      <c r="AE43" s="11"/>
      <c r="AF43" s="11">
        <v>0.5</v>
      </c>
      <c r="AI43">
        <v>2</v>
      </c>
      <c r="AJ43" s="11"/>
      <c r="AK43" s="11">
        <v>0.8</v>
      </c>
      <c r="AL43" s="11"/>
      <c r="AM43" s="11">
        <v>0.8</v>
      </c>
      <c r="AP43">
        <v>0</v>
      </c>
      <c r="AQ43" s="11"/>
      <c r="AR43" s="11">
        <v>0.8</v>
      </c>
      <c r="AS43" s="11"/>
      <c r="AT43" s="11">
        <v>0.8</v>
      </c>
      <c r="AW43">
        <v>0</v>
      </c>
      <c r="AX43" s="11"/>
      <c r="AY43" s="11">
        <v>0.8</v>
      </c>
      <c r="AZ43" s="11"/>
      <c r="BA43" s="11">
        <v>0.8</v>
      </c>
      <c r="BD43">
        <v>2</v>
      </c>
      <c r="BE43" s="11"/>
      <c r="BF43" s="11">
        <v>1</v>
      </c>
      <c r="BG43" s="11"/>
      <c r="BH43" s="11">
        <v>1</v>
      </c>
      <c r="BK43">
        <v>0</v>
      </c>
      <c r="BL43" s="11"/>
      <c r="BM43" s="11">
        <v>1</v>
      </c>
      <c r="BN43" s="11"/>
      <c r="BO43" s="11">
        <v>1</v>
      </c>
      <c r="BR43">
        <v>0</v>
      </c>
      <c r="BS43" s="11"/>
      <c r="BT43" s="11">
        <v>1</v>
      </c>
      <c r="BU43" s="11"/>
      <c r="BV43" s="11">
        <v>1</v>
      </c>
      <c r="BZ43" s="11"/>
      <c r="CA43" s="11"/>
      <c r="CB43" s="11"/>
      <c r="CC43" s="11"/>
      <c r="CG43" s="11"/>
      <c r="CH43" s="11"/>
      <c r="CI43" s="11"/>
      <c r="CJ43" s="11"/>
      <c r="CN43" s="11"/>
      <c r="CO43" s="11"/>
      <c r="CP43" s="11"/>
      <c r="CQ43" s="11"/>
      <c r="CU43" s="11"/>
      <c r="CV43" s="11"/>
      <c r="CW43" s="11"/>
      <c r="CX43" s="11"/>
      <c r="DB43" s="11"/>
      <c r="DC43" s="11"/>
      <c r="DD43" s="11"/>
      <c r="DE43" s="11"/>
    </row>
    <row r="44" spans="2:109" hidden="1" outlineLevel="1" x14ac:dyDescent="0.2">
      <c r="B44" t="s">
        <v>28</v>
      </c>
      <c r="C44" t="s">
        <v>93</v>
      </c>
      <c r="E44" s="10"/>
      <c r="F44" t="s">
        <v>100</v>
      </c>
      <c r="G44" s="11">
        <v>7.0000000000000007E-2</v>
      </c>
      <c r="I44" s="10">
        <f t="shared" si="5"/>
        <v>6</v>
      </c>
      <c r="J44" s="12">
        <f t="shared" si="6"/>
        <v>0</v>
      </c>
      <c r="K44" s="12">
        <f t="shared" si="6"/>
        <v>0</v>
      </c>
      <c r="L44" s="10"/>
      <c r="O44" s="11"/>
      <c r="P44" s="11"/>
      <c r="Q44" s="11"/>
      <c r="R44" s="11"/>
      <c r="U44">
        <v>2</v>
      </c>
      <c r="V44" s="11"/>
      <c r="W44" s="11">
        <v>0.5</v>
      </c>
      <c r="X44" s="11"/>
      <c r="Y44" s="11">
        <v>0.5</v>
      </c>
      <c r="AB44">
        <v>0</v>
      </c>
      <c r="AC44" s="11"/>
      <c r="AD44" s="11">
        <v>0.5</v>
      </c>
      <c r="AE44" s="11"/>
      <c r="AF44" s="11">
        <v>0.5</v>
      </c>
      <c r="AI44">
        <v>0</v>
      </c>
      <c r="AJ44" s="11"/>
      <c r="AK44" s="11">
        <v>0.5</v>
      </c>
      <c r="AL44" s="11"/>
      <c r="AM44" s="11">
        <v>0.5</v>
      </c>
      <c r="AP44">
        <v>2</v>
      </c>
      <c r="AQ44" s="11"/>
      <c r="AR44" s="11">
        <v>0.8</v>
      </c>
      <c r="AS44" s="11"/>
      <c r="AT44" s="11">
        <v>0.8</v>
      </c>
      <c r="AW44">
        <v>0</v>
      </c>
      <c r="AX44" s="11"/>
      <c r="AY44" s="11">
        <v>0.8</v>
      </c>
      <c r="AZ44" s="11"/>
      <c r="BA44" s="11">
        <v>0.8</v>
      </c>
      <c r="BD44">
        <v>2</v>
      </c>
      <c r="BE44" s="11"/>
      <c r="BF44" s="11">
        <v>1</v>
      </c>
      <c r="BG44" s="11"/>
      <c r="BH44" s="11">
        <v>1</v>
      </c>
      <c r="BK44">
        <v>0</v>
      </c>
      <c r="BL44" s="11"/>
      <c r="BM44" s="11">
        <v>1</v>
      </c>
      <c r="BN44" s="11"/>
      <c r="BO44" s="11">
        <v>1</v>
      </c>
      <c r="BR44">
        <v>0</v>
      </c>
      <c r="BS44" s="11"/>
      <c r="BT44" s="11">
        <v>1</v>
      </c>
      <c r="BU44" s="11"/>
      <c r="BV44" s="11">
        <v>1</v>
      </c>
      <c r="BZ44" s="11"/>
      <c r="CA44" s="11"/>
      <c r="CB44" s="11"/>
      <c r="CC44" s="11"/>
      <c r="CG44" s="11"/>
      <c r="CH44" s="11"/>
      <c r="CI44" s="11"/>
      <c r="CJ44" s="11"/>
      <c r="CN44" s="11"/>
      <c r="CO44" s="11"/>
      <c r="CP44" s="11"/>
      <c r="CQ44" s="11"/>
      <c r="CU44" s="11"/>
      <c r="CV44" s="11"/>
      <c r="CW44" s="11"/>
      <c r="CX44" s="11"/>
      <c r="DB44" s="11"/>
      <c r="DC44" s="11"/>
      <c r="DD44" s="11"/>
      <c r="DE44" s="11"/>
    </row>
    <row r="45" spans="2:109" hidden="1" outlineLevel="1" x14ac:dyDescent="0.2">
      <c r="B45" t="s">
        <v>28</v>
      </c>
      <c r="C45" t="s">
        <v>93</v>
      </c>
      <c r="E45" s="10"/>
      <c r="F45" t="s">
        <v>101</v>
      </c>
      <c r="G45" s="11">
        <v>7.0000000000000007E-2</v>
      </c>
      <c r="I45" s="10">
        <f t="shared" si="5"/>
        <v>6</v>
      </c>
      <c r="J45" s="12">
        <f t="shared" si="6"/>
        <v>0</v>
      </c>
      <c r="K45" s="12">
        <f t="shared" si="6"/>
        <v>0</v>
      </c>
      <c r="L45" s="10"/>
      <c r="O45" s="11"/>
      <c r="P45" s="11"/>
      <c r="Q45" s="11"/>
      <c r="R45" s="11"/>
      <c r="U45">
        <v>2</v>
      </c>
      <c r="V45" s="11"/>
      <c r="W45" s="11">
        <v>0.5</v>
      </c>
      <c r="X45" s="11"/>
      <c r="Y45" s="11">
        <v>0.5</v>
      </c>
      <c r="AB45">
        <v>0</v>
      </c>
      <c r="AC45" s="11"/>
      <c r="AD45" s="11">
        <v>0.5</v>
      </c>
      <c r="AE45" s="11"/>
      <c r="AF45" s="11">
        <v>0.5</v>
      </c>
      <c r="AI45">
        <v>0</v>
      </c>
      <c r="AJ45" s="11"/>
      <c r="AK45" s="11">
        <v>0.5</v>
      </c>
      <c r="AL45" s="11"/>
      <c r="AM45" s="11">
        <v>0.5</v>
      </c>
      <c r="AP45">
        <v>2</v>
      </c>
      <c r="AQ45" s="11"/>
      <c r="AR45" s="11">
        <v>0.8</v>
      </c>
      <c r="AS45" s="11"/>
      <c r="AT45" s="11">
        <v>0.8</v>
      </c>
      <c r="AW45">
        <v>0</v>
      </c>
      <c r="AX45" s="11"/>
      <c r="AY45" s="11">
        <v>0.8</v>
      </c>
      <c r="AZ45" s="11"/>
      <c r="BA45" s="11">
        <v>0.8</v>
      </c>
      <c r="BD45">
        <v>2</v>
      </c>
      <c r="BE45" s="11"/>
      <c r="BF45" s="11">
        <v>1</v>
      </c>
      <c r="BG45" s="11"/>
      <c r="BH45" s="11">
        <v>1</v>
      </c>
      <c r="BK45">
        <v>0</v>
      </c>
      <c r="BL45" s="11"/>
      <c r="BM45" s="11">
        <v>1</v>
      </c>
      <c r="BN45" s="11"/>
      <c r="BO45" s="11">
        <v>1</v>
      </c>
      <c r="BR45">
        <v>0</v>
      </c>
      <c r="BS45" s="11"/>
      <c r="BT45" s="11">
        <v>1</v>
      </c>
      <c r="BU45" s="11"/>
      <c r="BV45" s="11">
        <v>1</v>
      </c>
      <c r="BZ45" s="11"/>
      <c r="CA45" s="11"/>
      <c r="CB45" s="11"/>
      <c r="CC45" s="11"/>
      <c r="CG45" s="11"/>
      <c r="CH45" s="11"/>
      <c r="CI45" s="11"/>
      <c r="CJ45" s="11"/>
      <c r="CN45" s="11"/>
      <c r="CO45" s="11"/>
      <c r="CP45" s="11"/>
      <c r="CQ45" s="11"/>
      <c r="CU45" s="11"/>
      <c r="CV45" s="11"/>
      <c r="CW45" s="11"/>
      <c r="CX45" s="11"/>
      <c r="DB45" s="11"/>
      <c r="DC45" s="11"/>
      <c r="DD45" s="11"/>
      <c r="DE45" s="11"/>
    </row>
    <row r="46" spans="2:109" hidden="1" outlineLevel="1" x14ac:dyDescent="0.2">
      <c r="B46" t="s">
        <v>28</v>
      </c>
      <c r="C46" t="s">
        <v>93</v>
      </c>
      <c r="E46" s="10"/>
      <c r="F46" t="s">
        <v>102</v>
      </c>
      <c r="G46" s="11">
        <v>7.0000000000000007E-2</v>
      </c>
      <c r="I46" s="10">
        <f t="shared" si="5"/>
        <v>6</v>
      </c>
      <c r="J46" s="12">
        <f t="shared" si="6"/>
        <v>0</v>
      </c>
      <c r="K46" s="12">
        <f t="shared" si="6"/>
        <v>0</v>
      </c>
      <c r="L46" s="10"/>
      <c r="O46" s="11"/>
      <c r="P46" s="11"/>
      <c r="Q46" s="11"/>
      <c r="R46" s="11"/>
      <c r="U46">
        <v>2</v>
      </c>
      <c r="V46" s="11"/>
      <c r="W46" s="11">
        <v>0.5</v>
      </c>
      <c r="X46" s="11"/>
      <c r="Y46" s="11">
        <v>0.5</v>
      </c>
      <c r="AB46">
        <v>0</v>
      </c>
      <c r="AC46" s="11"/>
      <c r="AD46" s="11">
        <v>0.5</v>
      </c>
      <c r="AE46" s="11"/>
      <c r="AF46" s="11">
        <v>0.5</v>
      </c>
      <c r="AI46">
        <v>0</v>
      </c>
      <c r="AJ46" s="11"/>
      <c r="AK46" s="11">
        <v>0.5</v>
      </c>
      <c r="AL46" s="11"/>
      <c r="AM46" s="11">
        <v>0.5</v>
      </c>
      <c r="AP46">
        <v>2</v>
      </c>
      <c r="AQ46" s="11"/>
      <c r="AR46" s="11">
        <v>0.8</v>
      </c>
      <c r="AS46" s="11"/>
      <c r="AT46" s="11">
        <v>0.8</v>
      </c>
      <c r="AW46">
        <v>0</v>
      </c>
      <c r="AX46" s="11"/>
      <c r="AY46" s="11">
        <v>0.8</v>
      </c>
      <c r="AZ46" s="11"/>
      <c r="BA46" s="11">
        <v>0.8</v>
      </c>
      <c r="BD46">
        <v>0</v>
      </c>
      <c r="BE46" s="11"/>
      <c r="BF46" s="11">
        <v>0.8</v>
      </c>
      <c r="BG46" s="11"/>
      <c r="BH46" s="11">
        <v>0.8</v>
      </c>
      <c r="BK46">
        <v>2</v>
      </c>
      <c r="BL46" s="11"/>
      <c r="BM46" s="11">
        <v>1</v>
      </c>
      <c r="BN46" s="11"/>
      <c r="BO46" s="11">
        <v>1</v>
      </c>
      <c r="BR46">
        <v>0</v>
      </c>
      <c r="BS46" s="11"/>
      <c r="BT46" s="11">
        <v>1</v>
      </c>
      <c r="BU46" s="11"/>
      <c r="BV46" s="11">
        <v>1</v>
      </c>
      <c r="BZ46" s="11"/>
      <c r="CA46" s="11"/>
      <c r="CB46" s="11"/>
      <c r="CC46" s="11"/>
      <c r="CG46" s="11"/>
      <c r="CH46" s="11"/>
      <c r="CI46" s="11"/>
      <c r="CJ46" s="11"/>
      <c r="CN46" s="11"/>
      <c r="CO46" s="11"/>
      <c r="CP46" s="11"/>
      <c r="CQ46" s="11"/>
      <c r="CU46" s="11"/>
      <c r="CV46" s="11"/>
      <c r="CW46" s="11"/>
      <c r="CX46" s="11"/>
      <c r="DB46" s="11"/>
      <c r="DC46" s="11"/>
      <c r="DD46" s="11"/>
      <c r="DE46" s="11"/>
    </row>
    <row r="47" spans="2:109" hidden="1" outlineLevel="1" x14ac:dyDescent="0.2">
      <c r="B47" t="s">
        <v>28</v>
      </c>
      <c r="C47" t="s">
        <v>93</v>
      </c>
      <c r="E47" s="10"/>
      <c r="F47" t="s">
        <v>103</v>
      </c>
      <c r="G47" s="11">
        <v>0.06</v>
      </c>
      <c r="I47" s="10">
        <f t="shared" si="5"/>
        <v>6</v>
      </c>
      <c r="J47" s="12">
        <f t="shared" si="6"/>
        <v>0</v>
      </c>
      <c r="K47" s="12">
        <f t="shared" si="6"/>
        <v>0</v>
      </c>
      <c r="L47" s="10"/>
      <c r="O47" s="11"/>
      <c r="P47" s="11"/>
      <c r="Q47" s="11"/>
      <c r="R47" s="11"/>
      <c r="U47">
        <v>2</v>
      </c>
      <c r="V47" s="11"/>
      <c r="W47" s="11">
        <v>0.5</v>
      </c>
      <c r="X47" s="11"/>
      <c r="Y47" s="11">
        <v>0.5</v>
      </c>
      <c r="AB47">
        <v>0</v>
      </c>
      <c r="AC47" s="11"/>
      <c r="AD47" s="11">
        <v>0.5</v>
      </c>
      <c r="AE47" s="11"/>
      <c r="AF47" s="11">
        <v>0.5</v>
      </c>
      <c r="AI47">
        <v>0</v>
      </c>
      <c r="AJ47" s="11"/>
      <c r="AK47" s="11">
        <v>0.5</v>
      </c>
      <c r="AL47" s="11"/>
      <c r="AM47" s="11">
        <v>0.5</v>
      </c>
      <c r="AP47">
        <v>0</v>
      </c>
      <c r="AQ47" s="11"/>
      <c r="AR47" s="11">
        <v>0.5</v>
      </c>
      <c r="AS47" s="11"/>
      <c r="AT47" s="11">
        <v>0.5</v>
      </c>
      <c r="AW47">
        <v>2</v>
      </c>
      <c r="AX47" s="11"/>
      <c r="AY47" s="11">
        <v>0.8</v>
      </c>
      <c r="AZ47" s="11"/>
      <c r="BA47" s="11">
        <v>0.8</v>
      </c>
      <c r="BD47">
        <v>0</v>
      </c>
      <c r="BE47" s="11"/>
      <c r="BF47" s="11">
        <v>0.8</v>
      </c>
      <c r="BG47" s="11"/>
      <c r="BH47" s="11">
        <v>0.8</v>
      </c>
      <c r="BK47">
        <v>2</v>
      </c>
      <c r="BL47" s="11"/>
      <c r="BM47" s="11">
        <v>1</v>
      </c>
      <c r="BN47" s="11"/>
      <c r="BO47" s="11">
        <v>1</v>
      </c>
      <c r="BR47">
        <v>0</v>
      </c>
      <c r="BS47" s="11"/>
      <c r="BT47" s="11">
        <v>1</v>
      </c>
      <c r="BU47" s="11"/>
      <c r="BV47" s="11">
        <v>1</v>
      </c>
      <c r="BZ47" s="11"/>
      <c r="CA47" s="11"/>
      <c r="CB47" s="11"/>
      <c r="CC47" s="11"/>
      <c r="CG47" s="11"/>
      <c r="CH47" s="11"/>
      <c r="CI47" s="11"/>
      <c r="CJ47" s="11"/>
      <c r="CN47" s="11"/>
      <c r="CO47" s="11"/>
      <c r="CP47" s="11"/>
      <c r="CQ47" s="11"/>
      <c r="CU47" s="11"/>
      <c r="CV47" s="11"/>
      <c r="CW47" s="11"/>
      <c r="CX47" s="11"/>
      <c r="DB47" s="11"/>
      <c r="DC47" s="11"/>
      <c r="DD47" s="11"/>
      <c r="DE47" s="11"/>
    </row>
    <row r="48" spans="2:109" hidden="1" outlineLevel="1" x14ac:dyDescent="0.2">
      <c r="B48" t="s">
        <v>28</v>
      </c>
      <c r="C48" t="s">
        <v>93</v>
      </c>
      <c r="E48" s="10"/>
      <c r="F48" t="s">
        <v>104</v>
      </c>
      <c r="G48" s="11">
        <v>7.0000000000000007E-2</v>
      </c>
      <c r="I48" s="10">
        <f t="shared" si="5"/>
        <v>6</v>
      </c>
      <c r="J48" s="12">
        <f t="shared" si="6"/>
        <v>0</v>
      </c>
      <c r="K48" s="12">
        <f t="shared" si="6"/>
        <v>0</v>
      </c>
      <c r="L48" s="10"/>
      <c r="O48" s="11"/>
      <c r="P48" s="11"/>
      <c r="Q48" s="11"/>
      <c r="R48" s="11"/>
      <c r="V48" s="11"/>
      <c r="W48" s="11"/>
      <c r="X48" s="11"/>
      <c r="Y48" s="11"/>
      <c r="AB48">
        <v>2</v>
      </c>
      <c r="AC48" s="11"/>
      <c r="AD48" s="11">
        <v>0.5</v>
      </c>
      <c r="AE48" s="11"/>
      <c r="AF48" s="11">
        <v>0.5</v>
      </c>
      <c r="AI48">
        <v>0</v>
      </c>
      <c r="AJ48" s="11"/>
      <c r="AK48" s="11">
        <v>0.5</v>
      </c>
      <c r="AL48" s="11"/>
      <c r="AM48" s="11">
        <v>0.5</v>
      </c>
      <c r="AP48">
        <v>0</v>
      </c>
      <c r="AQ48" s="11"/>
      <c r="AR48" s="11">
        <v>0.5</v>
      </c>
      <c r="AS48" s="11"/>
      <c r="AT48" s="11">
        <v>0.5</v>
      </c>
      <c r="AW48">
        <v>2</v>
      </c>
      <c r="AX48" s="11"/>
      <c r="AY48" s="11">
        <v>0.8</v>
      </c>
      <c r="AZ48" s="11"/>
      <c r="BA48" s="11">
        <v>0.8</v>
      </c>
      <c r="BD48">
        <v>0</v>
      </c>
      <c r="BE48" s="11"/>
      <c r="BF48" s="11">
        <v>0.8</v>
      </c>
      <c r="BG48" s="11"/>
      <c r="BH48" s="11">
        <v>0.8</v>
      </c>
      <c r="BK48">
        <v>2</v>
      </c>
      <c r="BL48" s="11"/>
      <c r="BM48" s="11">
        <v>1</v>
      </c>
      <c r="BN48" s="11"/>
      <c r="BO48" s="11">
        <v>1</v>
      </c>
      <c r="BR48">
        <v>0</v>
      </c>
      <c r="BS48" s="11"/>
      <c r="BT48" s="11">
        <v>1</v>
      </c>
      <c r="BU48" s="11"/>
      <c r="BV48" s="11">
        <v>1</v>
      </c>
      <c r="BZ48" s="11"/>
      <c r="CA48" s="11"/>
      <c r="CB48" s="11"/>
      <c r="CC48" s="11"/>
      <c r="CG48" s="11"/>
      <c r="CH48" s="11"/>
      <c r="CI48" s="11"/>
      <c r="CJ48" s="11"/>
      <c r="CN48" s="11"/>
      <c r="CO48" s="11"/>
      <c r="CP48" s="11"/>
      <c r="CQ48" s="11"/>
      <c r="CU48" s="11"/>
      <c r="CV48" s="11"/>
      <c r="CW48" s="11"/>
      <c r="CX48" s="11"/>
      <c r="DB48" s="11"/>
      <c r="DC48" s="11"/>
      <c r="DD48" s="11"/>
      <c r="DE48" s="11"/>
    </row>
    <row r="49" spans="2:109" hidden="1" outlineLevel="1" x14ac:dyDescent="0.2">
      <c r="B49" t="s">
        <v>28</v>
      </c>
      <c r="C49" t="s">
        <v>93</v>
      </c>
      <c r="E49" s="10"/>
      <c r="F49" t="s">
        <v>105</v>
      </c>
      <c r="G49" s="11">
        <v>7.0000000000000007E-2</v>
      </c>
      <c r="I49" s="10">
        <f t="shared" si="5"/>
        <v>6</v>
      </c>
      <c r="J49" s="12">
        <f t="shared" si="6"/>
        <v>0</v>
      </c>
      <c r="K49" s="12">
        <f t="shared" si="6"/>
        <v>0</v>
      </c>
      <c r="L49" s="10"/>
      <c r="O49" s="11"/>
      <c r="P49" s="11"/>
      <c r="Q49" s="11"/>
      <c r="R49" s="11"/>
      <c r="V49" s="11"/>
      <c r="W49" s="11"/>
      <c r="X49" s="11"/>
      <c r="Y49" s="11"/>
      <c r="AB49">
        <v>2</v>
      </c>
      <c r="AC49" s="11"/>
      <c r="AD49" s="11">
        <v>0.5</v>
      </c>
      <c r="AE49" s="11"/>
      <c r="AF49" s="11">
        <v>0.5</v>
      </c>
      <c r="AI49">
        <v>0</v>
      </c>
      <c r="AJ49" s="11"/>
      <c r="AK49" s="11">
        <v>0.5</v>
      </c>
      <c r="AL49" s="11"/>
      <c r="AM49" s="11">
        <v>0.5</v>
      </c>
      <c r="AP49">
        <v>0</v>
      </c>
      <c r="AQ49" s="11"/>
      <c r="AR49" s="11">
        <v>0.5</v>
      </c>
      <c r="AS49" s="11"/>
      <c r="AT49" s="11">
        <v>0.5</v>
      </c>
      <c r="AW49">
        <v>2</v>
      </c>
      <c r="AX49" s="11"/>
      <c r="AY49" s="11">
        <v>0.8</v>
      </c>
      <c r="AZ49" s="11"/>
      <c r="BA49" s="11">
        <v>0.8</v>
      </c>
      <c r="BD49">
        <v>0</v>
      </c>
      <c r="BE49" s="11"/>
      <c r="BF49" s="11">
        <v>0.8</v>
      </c>
      <c r="BG49" s="11"/>
      <c r="BH49" s="11">
        <v>0.8</v>
      </c>
      <c r="BK49">
        <v>0</v>
      </c>
      <c r="BL49" s="11"/>
      <c r="BM49" s="11">
        <v>0.8</v>
      </c>
      <c r="BN49" s="11"/>
      <c r="BO49" s="11">
        <v>0.8</v>
      </c>
      <c r="BR49">
        <v>2</v>
      </c>
      <c r="BS49" s="11"/>
      <c r="BT49" s="11">
        <v>1</v>
      </c>
      <c r="BU49" s="11"/>
      <c r="BV49" s="11">
        <v>1</v>
      </c>
      <c r="BZ49" s="11"/>
      <c r="CA49" s="11"/>
      <c r="CB49" s="11"/>
      <c r="CC49" s="11"/>
      <c r="CG49" s="11"/>
      <c r="CH49" s="11"/>
      <c r="CI49" s="11"/>
      <c r="CJ49" s="11"/>
      <c r="CN49" s="11"/>
      <c r="CO49" s="11"/>
      <c r="CP49" s="11"/>
      <c r="CQ49" s="11"/>
      <c r="CU49" s="11"/>
      <c r="CV49" s="11"/>
      <c r="CW49" s="11"/>
      <c r="CX49" s="11"/>
      <c r="DB49" s="11"/>
      <c r="DC49" s="11"/>
      <c r="DD49" s="11"/>
      <c r="DE49" s="11"/>
    </row>
    <row r="50" spans="2:109" hidden="1" outlineLevel="1" x14ac:dyDescent="0.2">
      <c r="B50" t="s">
        <v>28</v>
      </c>
      <c r="C50" t="s">
        <v>93</v>
      </c>
      <c r="E50" s="10"/>
      <c r="F50" t="s">
        <v>106</v>
      </c>
      <c r="G50" s="11">
        <v>0.06</v>
      </c>
      <c r="I50" s="10">
        <f t="shared" si="5"/>
        <v>6</v>
      </c>
      <c r="J50" s="12">
        <f t="shared" si="6"/>
        <v>0</v>
      </c>
      <c r="K50" s="12">
        <f t="shared" si="6"/>
        <v>0</v>
      </c>
      <c r="L50" s="10"/>
      <c r="O50" s="11"/>
      <c r="P50" s="11"/>
      <c r="Q50" s="11"/>
      <c r="R50" s="11"/>
      <c r="V50" s="11"/>
      <c r="W50" s="11"/>
      <c r="X50" s="11"/>
      <c r="Y50" s="11"/>
      <c r="AB50">
        <v>2</v>
      </c>
      <c r="AC50" s="11"/>
      <c r="AD50" s="11">
        <v>0.5</v>
      </c>
      <c r="AE50" s="11"/>
      <c r="AF50" s="11">
        <v>0.5</v>
      </c>
      <c r="AI50">
        <v>0</v>
      </c>
      <c r="AJ50" s="11"/>
      <c r="AK50" s="11">
        <v>0.5</v>
      </c>
      <c r="AL50" s="11"/>
      <c r="AM50" s="11">
        <v>0.5</v>
      </c>
      <c r="AP50">
        <v>0</v>
      </c>
      <c r="AQ50" s="11"/>
      <c r="AR50" s="11">
        <v>0.5</v>
      </c>
      <c r="AS50" s="11"/>
      <c r="AT50" s="11">
        <v>0.5</v>
      </c>
      <c r="AW50">
        <v>0</v>
      </c>
      <c r="AX50" s="11"/>
      <c r="AY50" s="11">
        <v>0.5</v>
      </c>
      <c r="AZ50" s="11"/>
      <c r="BA50" s="11">
        <v>0.5</v>
      </c>
      <c r="BD50">
        <v>2</v>
      </c>
      <c r="BE50" s="11"/>
      <c r="BF50" s="11">
        <v>0.8</v>
      </c>
      <c r="BG50" s="11"/>
      <c r="BH50" s="11">
        <v>0.8</v>
      </c>
      <c r="BK50">
        <v>0</v>
      </c>
      <c r="BL50" s="11"/>
      <c r="BM50" s="11">
        <v>0.8</v>
      </c>
      <c r="BN50" s="11"/>
      <c r="BO50" s="11">
        <v>0.8</v>
      </c>
      <c r="BR50">
        <v>2</v>
      </c>
      <c r="BS50" s="11"/>
      <c r="BT50" s="11">
        <v>1</v>
      </c>
      <c r="BU50" s="11"/>
      <c r="BV50" s="11">
        <v>1</v>
      </c>
      <c r="BZ50" s="11"/>
      <c r="CA50" s="11"/>
      <c r="CB50" s="11"/>
      <c r="CC50" s="11"/>
      <c r="CG50" s="11"/>
      <c r="CH50" s="11"/>
      <c r="CI50" s="11"/>
      <c r="CJ50" s="11"/>
      <c r="CN50" s="11"/>
      <c r="CO50" s="11"/>
      <c r="CP50" s="11"/>
      <c r="CQ50" s="11"/>
      <c r="CU50" s="11"/>
      <c r="CV50" s="11"/>
      <c r="CW50" s="11"/>
      <c r="CX50" s="11"/>
      <c r="DB50" s="11"/>
      <c r="DC50" s="11"/>
      <c r="DD50" s="11"/>
      <c r="DE50" s="11"/>
    </row>
    <row r="51" spans="2:109" hidden="1" outlineLevel="1" x14ac:dyDescent="0.2">
      <c r="B51" t="s">
        <v>28</v>
      </c>
      <c r="C51" t="s">
        <v>93</v>
      </c>
      <c r="E51" s="10"/>
      <c r="F51" t="s">
        <v>107</v>
      </c>
      <c r="G51" s="11">
        <v>7.0000000000000007E-2</v>
      </c>
      <c r="I51" s="10">
        <f t="shared" si="5"/>
        <v>6</v>
      </c>
      <c r="J51" s="12">
        <f t="shared" si="6"/>
        <v>0</v>
      </c>
      <c r="K51" s="12">
        <f t="shared" si="6"/>
        <v>0</v>
      </c>
      <c r="L51" s="10"/>
      <c r="O51" s="11"/>
      <c r="P51" s="11"/>
      <c r="Q51" s="11"/>
      <c r="R51" s="11"/>
      <c r="V51" s="11"/>
      <c r="W51" s="11"/>
      <c r="X51" s="11"/>
      <c r="Y51" s="11"/>
      <c r="AC51" s="11"/>
      <c r="AD51" s="11"/>
      <c r="AE51" s="11"/>
      <c r="AF51" s="11"/>
      <c r="AI51">
        <v>2</v>
      </c>
      <c r="AJ51" s="11"/>
      <c r="AK51" s="11">
        <v>0.5</v>
      </c>
      <c r="AL51" s="11"/>
      <c r="AM51" s="11">
        <v>0.5</v>
      </c>
      <c r="AP51">
        <v>0</v>
      </c>
      <c r="AQ51" s="11"/>
      <c r="AR51" s="11">
        <v>0.5</v>
      </c>
      <c r="AS51" s="11"/>
      <c r="AT51" s="11">
        <v>0.5</v>
      </c>
      <c r="AW51">
        <v>0</v>
      </c>
      <c r="AX51" s="11"/>
      <c r="AY51" s="11">
        <v>0.5</v>
      </c>
      <c r="AZ51" s="11"/>
      <c r="BA51" s="11">
        <v>0.5</v>
      </c>
      <c r="BD51">
        <v>2</v>
      </c>
      <c r="BE51" s="11"/>
      <c r="BF51" s="11">
        <v>0.8</v>
      </c>
      <c r="BG51" s="11"/>
      <c r="BH51" s="11">
        <v>0.8</v>
      </c>
      <c r="BK51">
        <v>0</v>
      </c>
      <c r="BL51" s="11"/>
      <c r="BM51" s="11">
        <v>0.8</v>
      </c>
      <c r="BN51" s="11"/>
      <c r="BO51" s="11">
        <v>0.8</v>
      </c>
      <c r="BR51">
        <v>2</v>
      </c>
      <c r="BS51" s="11"/>
      <c r="BT51" s="11">
        <v>1</v>
      </c>
      <c r="BU51" s="11"/>
      <c r="BV51" s="11">
        <v>1</v>
      </c>
      <c r="BZ51" s="11"/>
      <c r="CA51" s="11"/>
      <c r="CB51" s="11"/>
      <c r="CC51" s="11"/>
      <c r="CG51" s="11"/>
      <c r="CH51" s="11"/>
      <c r="CI51" s="11"/>
      <c r="CJ51" s="11"/>
      <c r="CN51" s="11"/>
      <c r="CO51" s="11"/>
      <c r="CP51" s="11"/>
      <c r="CQ51" s="11"/>
      <c r="CU51" s="11"/>
      <c r="CV51" s="11"/>
      <c r="CW51" s="11"/>
      <c r="CX51" s="11"/>
      <c r="DB51" s="11"/>
      <c r="DC51" s="11"/>
      <c r="DD51" s="11"/>
      <c r="DE51" s="11"/>
    </row>
    <row r="52" spans="2:109" hidden="1" outlineLevel="1" x14ac:dyDescent="0.2">
      <c r="B52" t="s">
        <v>28</v>
      </c>
      <c r="C52" t="s">
        <v>93</v>
      </c>
      <c r="E52" s="10"/>
      <c r="F52" t="s">
        <v>108</v>
      </c>
      <c r="G52" s="11">
        <v>7.0000000000000007E-2</v>
      </c>
      <c r="I52" s="10">
        <f t="shared" si="5"/>
        <v>6</v>
      </c>
      <c r="J52" s="12">
        <f t="shared" si="6"/>
        <v>0</v>
      </c>
      <c r="K52" s="12">
        <f t="shared" si="6"/>
        <v>0</v>
      </c>
      <c r="L52" s="10"/>
      <c r="O52" s="11"/>
      <c r="P52" s="11"/>
      <c r="Q52" s="11"/>
      <c r="R52" s="11"/>
      <c r="V52" s="11"/>
      <c r="W52" s="11"/>
      <c r="X52" s="11"/>
      <c r="Y52" s="11"/>
      <c r="AC52" s="11"/>
      <c r="AD52" s="11"/>
      <c r="AE52" s="11"/>
      <c r="AF52" s="11"/>
      <c r="AI52">
        <v>2</v>
      </c>
      <c r="AJ52" s="11"/>
      <c r="AK52" s="11">
        <v>0.5</v>
      </c>
      <c r="AL52" s="11"/>
      <c r="AM52" s="11">
        <v>0.5</v>
      </c>
      <c r="AP52">
        <v>0</v>
      </c>
      <c r="AQ52" s="11"/>
      <c r="AR52" s="11">
        <v>0.5</v>
      </c>
      <c r="AS52" s="11"/>
      <c r="AT52" s="11">
        <v>0.5</v>
      </c>
      <c r="AW52">
        <v>0</v>
      </c>
      <c r="AX52" s="11"/>
      <c r="AY52" s="11">
        <v>0.5</v>
      </c>
      <c r="AZ52" s="11"/>
      <c r="BA52" s="11">
        <v>0.5</v>
      </c>
      <c r="BD52">
        <v>0</v>
      </c>
      <c r="BE52" s="11"/>
      <c r="BF52" s="11">
        <v>0.5</v>
      </c>
      <c r="BG52" s="11"/>
      <c r="BH52" s="11">
        <v>0.5</v>
      </c>
      <c r="BK52">
        <v>2</v>
      </c>
      <c r="BL52" s="11"/>
      <c r="BM52" s="11">
        <v>0.8</v>
      </c>
      <c r="BN52" s="11"/>
      <c r="BO52" s="11">
        <v>0.8</v>
      </c>
      <c r="BR52">
        <v>2</v>
      </c>
      <c r="BS52" s="11"/>
      <c r="BT52" s="11">
        <v>1</v>
      </c>
      <c r="BU52" s="11"/>
      <c r="BV52" s="11">
        <v>1</v>
      </c>
      <c r="BZ52" s="11"/>
      <c r="CA52" s="11"/>
      <c r="CB52" s="11"/>
      <c r="CC52" s="11"/>
      <c r="CG52" s="11"/>
      <c r="CH52" s="11"/>
      <c r="CI52" s="11"/>
      <c r="CJ52" s="11"/>
      <c r="CN52" s="11"/>
      <c r="CO52" s="11"/>
      <c r="CP52" s="11"/>
      <c r="CQ52" s="11"/>
      <c r="CU52" s="11"/>
      <c r="CV52" s="11"/>
      <c r="CW52" s="11"/>
      <c r="CX52" s="11"/>
      <c r="DB52" s="11"/>
      <c r="DC52" s="11"/>
      <c r="DD52" s="11"/>
      <c r="DE52" s="11"/>
    </row>
    <row r="53" spans="2:109" hidden="1" outlineLevel="1" x14ac:dyDescent="0.2">
      <c r="B53" t="s">
        <v>28</v>
      </c>
      <c r="C53" t="s">
        <v>93</v>
      </c>
      <c r="E53" s="10"/>
      <c r="F53" t="s">
        <v>109</v>
      </c>
      <c r="G53" s="11">
        <v>7.0000000000000007E-2</v>
      </c>
      <c r="I53" s="10">
        <f t="shared" si="5"/>
        <v>6</v>
      </c>
      <c r="J53" s="12">
        <f t="shared" si="6"/>
        <v>0</v>
      </c>
      <c r="K53" s="12">
        <f t="shared" si="6"/>
        <v>0</v>
      </c>
      <c r="L53" s="10"/>
      <c r="O53" s="11"/>
      <c r="P53" s="11"/>
      <c r="Q53" s="11"/>
      <c r="R53" s="11"/>
      <c r="V53" s="11"/>
      <c r="W53" s="11"/>
      <c r="X53" s="11"/>
      <c r="Y53" s="11"/>
      <c r="AC53" s="11"/>
      <c r="AD53" s="11"/>
      <c r="AE53" s="11"/>
      <c r="AF53" s="11"/>
      <c r="AJ53" s="11"/>
      <c r="AK53" s="11"/>
      <c r="AL53" s="11"/>
      <c r="AM53" s="11"/>
      <c r="AP53">
        <v>2</v>
      </c>
      <c r="AQ53" s="11"/>
      <c r="AR53" s="11">
        <v>0.5</v>
      </c>
      <c r="AS53" s="11"/>
      <c r="AT53" s="11">
        <v>0.5</v>
      </c>
      <c r="AW53">
        <v>0</v>
      </c>
      <c r="AX53" s="11"/>
      <c r="AY53" s="11">
        <v>0.5</v>
      </c>
      <c r="AZ53" s="11"/>
      <c r="BA53" s="11">
        <v>0.5</v>
      </c>
      <c r="BD53">
        <v>0</v>
      </c>
      <c r="BE53" s="11"/>
      <c r="BF53" s="11">
        <v>0.5</v>
      </c>
      <c r="BG53" s="11"/>
      <c r="BH53" s="11">
        <v>0.5</v>
      </c>
      <c r="BK53">
        <v>2</v>
      </c>
      <c r="BL53" s="11"/>
      <c r="BM53" s="11">
        <v>0.8</v>
      </c>
      <c r="BN53" s="11"/>
      <c r="BO53" s="11">
        <v>0.8</v>
      </c>
      <c r="BR53">
        <v>2</v>
      </c>
      <c r="BS53" s="11"/>
      <c r="BT53" s="11">
        <v>1</v>
      </c>
      <c r="BU53" s="11"/>
      <c r="BV53" s="11">
        <v>1</v>
      </c>
      <c r="BZ53" s="11"/>
      <c r="CA53" s="11"/>
      <c r="CB53" s="11"/>
      <c r="CC53" s="11"/>
      <c r="CG53" s="11"/>
      <c r="CH53" s="11"/>
      <c r="CI53" s="11"/>
      <c r="CJ53" s="11"/>
      <c r="CN53" s="11"/>
      <c r="CO53" s="11"/>
      <c r="CP53" s="11"/>
      <c r="CQ53" s="11"/>
      <c r="CU53" s="11"/>
      <c r="CV53" s="11"/>
      <c r="CW53" s="11"/>
      <c r="CX53" s="11"/>
      <c r="DB53" s="11"/>
      <c r="DC53" s="11"/>
      <c r="DD53" s="11"/>
      <c r="DE53" s="11"/>
    </row>
    <row r="54" spans="2:109" collapsed="1" x14ac:dyDescent="0.2"/>
    <row r="55" spans="2:109" x14ac:dyDescent="0.2">
      <c r="B55" t="s">
        <v>27</v>
      </c>
      <c r="C55" t="s">
        <v>110</v>
      </c>
      <c r="E55" s="10">
        <v>3</v>
      </c>
      <c r="G55" s="11">
        <f>+SUM(G56:G67)</f>
        <v>0.99999999999999989</v>
      </c>
      <c r="I55" s="13">
        <f>+SUM(I56:I67)</f>
        <v>68</v>
      </c>
      <c r="J55" s="12">
        <f>+SUMPRODUCT(G56:G67,J56:J67)</f>
        <v>0</v>
      </c>
      <c r="K55" s="12">
        <f>+SUMPRODUCT(G56:G67,K56:K67)</f>
        <v>0</v>
      </c>
      <c r="L55" s="10"/>
      <c r="N55" s="13">
        <f>+SUM(N56:N67)</f>
        <v>8</v>
      </c>
      <c r="U55" s="13">
        <f>+SUM(U56:U67)</f>
        <v>8</v>
      </c>
      <c r="AB55" s="13">
        <f>+SUM(AB56:AB67)</f>
        <v>8</v>
      </c>
      <c r="AI55" s="13">
        <f>+SUM(AI56:AI67)</f>
        <v>8</v>
      </c>
      <c r="AP55" s="10">
        <f>+SUM(AP56:AP67)</f>
        <v>8</v>
      </c>
      <c r="AW55" s="10">
        <f>+SUM(AW56:AW67)</f>
        <v>8</v>
      </c>
      <c r="BD55" s="10">
        <f>+SUM(BD56:BD67)</f>
        <v>8</v>
      </c>
      <c r="BK55" s="10">
        <f>+SUM(BK56:BK67)</f>
        <v>8</v>
      </c>
      <c r="BR55" s="10">
        <f>+SUM(BR56:BR67)</f>
        <v>4</v>
      </c>
    </row>
    <row r="56" spans="2:109" hidden="1" outlineLevel="1" x14ac:dyDescent="0.2">
      <c r="B56" t="s">
        <v>28</v>
      </c>
      <c r="C56" t="s">
        <v>110</v>
      </c>
      <c r="E56" s="10"/>
      <c r="F56" t="s">
        <v>111</v>
      </c>
      <c r="G56" s="11">
        <v>7.0000000000000007E-2</v>
      </c>
      <c r="I56" s="10">
        <f t="shared" ref="I56:I67" si="7">+SUMIF($N$3:$ZZ$3,I$3,$N56:$ZZ56)</f>
        <v>6</v>
      </c>
      <c r="J56" s="12">
        <f t="shared" ref="J56:K67" si="8">+_xlfn.MAXIFS($N56:$ZF56,$N$3:$ZF$3,J$3)</f>
        <v>0</v>
      </c>
      <c r="K56" s="12">
        <f t="shared" si="8"/>
        <v>0</v>
      </c>
      <c r="L56" s="10"/>
      <c r="N56">
        <v>2</v>
      </c>
      <c r="O56" s="11"/>
      <c r="P56" s="11">
        <v>0.5</v>
      </c>
      <c r="Q56" s="11"/>
      <c r="R56" s="11">
        <v>0.5</v>
      </c>
      <c r="U56">
        <v>2</v>
      </c>
      <c r="V56" s="11"/>
      <c r="W56" s="11">
        <v>0.8</v>
      </c>
      <c r="X56" s="11"/>
      <c r="Y56" s="11">
        <v>0.8</v>
      </c>
      <c r="AB56">
        <v>0</v>
      </c>
      <c r="AC56" s="11"/>
      <c r="AD56" s="11">
        <v>0.8</v>
      </c>
      <c r="AE56" s="11"/>
      <c r="AF56" s="11">
        <v>0.8</v>
      </c>
      <c r="AI56">
        <v>2</v>
      </c>
      <c r="AJ56" s="11"/>
      <c r="AK56" s="11">
        <v>1</v>
      </c>
      <c r="AL56" s="11"/>
      <c r="AM56" s="11">
        <v>1</v>
      </c>
      <c r="AP56">
        <v>0</v>
      </c>
      <c r="AQ56" s="11"/>
      <c r="AR56" s="11">
        <v>1</v>
      </c>
      <c r="AS56" s="11"/>
      <c r="AT56" s="11">
        <v>1</v>
      </c>
      <c r="AW56">
        <v>0</v>
      </c>
      <c r="AX56" s="11"/>
      <c r="AY56" s="11">
        <v>1</v>
      </c>
      <c r="AZ56" s="11"/>
      <c r="BA56" s="11">
        <v>1</v>
      </c>
      <c r="BD56">
        <v>0</v>
      </c>
      <c r="BE56" s="11"/>
      <c r="BF56" s="11">
        <v>1</v>
      </c>
      <c r="BG56" s="11"/>
      <c r="BH56" s="11">
        <v>1</v>
      </c>
      <c r="BK56">
        <v>0</v>
      </c>
      <c r="BL56" s="11"/>
      <c r="BM56" s="11">
        <v>1</v>
      </c>
      <c r="BN56" s="11"/>
      <c r="BO56" s="11">
        <v>1</v>
      </c>
      <c r="BR56">
        <v>0</v>
      </c>
      <c r="BS56" s="11"/>
      <c r="BT56" s="11">
        <v>1</v>
      </c>
      <c r="BU56" s="11"/>
      <c r="BV56" s="11">
        <v>1</v>
      </c>
      <c r="BZ56" s="11"/>
      <c r="CA56" s="11"/>
      <c r="CB56" s="11"/>
      <c r="CC56" s="11"/>
      <c r="CG56" s="11"/>
      <c r="CH56" s="11"/>
      <c r="CI56" s="11"/>
      <c r="CJ56" s="11"/>
      <c r="CN56" s="11"/>
      <c r="CO56" s="11"/>
      <c r="CP56" s="11"/>
      <c r="CQ56" s="11"/>
      <c r="CU56" s="11"/>
      <c r="CV56" s="11"/>
      <c r="CW56" s="11"/>
      <c r="CX56" s="11"/>
      <c r="DB56" s="11"/>
      <c r="DC56" s="11"/>
      <c r="DD56" s="11"/>
      <c r="DE56" s="11"/>
    </row>
    <row r="57" spans="2:109" hidden="1" outlineLevel="1" x14ac:dyDescent="0.2">
      <c r="B57" t="s">
        <v>28</v>
      </c>
      <c r="C57" t="s">
        <v>110</v>
      </c>
      <c r="E57" s="10"/>
      <c r="F57" t="s">
        <v>112</v>
      </c>
      <c r="G57" s="11">
        <v>0.09</v>
      </c>
      <c r="I57" s="10">
        <f t="shared" si="7"/>
        <v>6</v>
      </c>
      <c r="J57" s="12">
        <f t="shared" si="8"/>
        <v>0</v>
      </c>
      <c r="K57" s="12">
        <f t="shared" si="8"/>
        <v>0</v>
      </c>
      <c r="L57" s="10"/>
      <c r="N57">
        <v>2</v>
      </c>
      <c r="O57" s="11"/>
      <c r="P57" s="11">
        <v>0.5</v>
      </c>
      <c r="Q57" s="11"/>
      <c r="R57" s="11">
        <v>0.5</v>
      </c>
      <c r="U57">
        <v>0</v>
      </c>
      <c r="V57" s="11"/>
      <c r="W57" s="11">
        <v>0.5</v>
      </c>
      <c r="X57" s="11"/>
      <c r="Y57" s="11">
        <v>0.5</v>
      </c>
      <c r="AB57">
        <v>2</v>
      </c>
      <c r="AC57" s="11"/>
      <c r="AD57" s="11">
        <v>0.8</v>
      </c>
      <c r="AE57" s="11"/>
      <c r="AF57" s="11">
        <v>0.8</v>
      </c>
      <c r="AI57">
        <v>0</v>
      </c>
      <c r="AJ57" s="11"/>
      <c r="AK57" s="11">
        <v>0.8</v>
      </c>
      <c r="AL57" s="11"/>
      <c r="AM57" s="11">
        <v>0.8</v>
      </c>
      <c r="AP57">
        <v>2</v>
      </c>
      <c r="AQ57" s="11"/>
      <c r="AR57" s="11">
        <v>1</v>
      </c>
      <c r="AS57" s="11"/>
      <c r="AT57" s="11">
        <v>1</v>
      </c>
      <c r="AW57">
        <v>0</v>
      </c>
      <c r="AX57" s="11"/>
      <c r="AY57" s="11">
        <v>1</v>
      </c>
      <c r="AZ57" s="11"/>
      <c r="BA57" s="11">
        <v>1</v>
      </c>
      <c r="BD57">
        <v>0</v>
      </c>
      <c r="BE57" s="11"/>
      <c r="BF57" s="11">
        <v>1</v>
      </c>
      <c r="BG57" s="11"/>
      <c r="BH57" s="11">
        <v>1</v>
      </c>
      <c r="BK57">
        <v>0</v>
      </c>
      <c r="BL57" s="11"/>
      <c r="BM57" s="11">
        <v>1</v>
      </c>
      <c r="BN57" s="11"/>
      <c r="BO57" s="11">
        <v>1</v>
      </c>
      <c r="BR57">
        <v>0</v>
      </c>
      <c r="BS57" s="11"/>
      <c r="BT57" s="11">
        <v>1</v>
      </c>
      <c r="BU57" s="11"/>
      <c r="BV57" s="11">
        <v>1</v>
      </c>
      <c r="BZ57" s="11"/>
      <c r="CA57" s="11"/>
      <c r="CB57" s="11"/>
      <c r="CC57" s="11"/>
      <c r="CG57" s="11"/>
      <c r="CH57" s="11"/>
      <c r="CI57" s="11"/>
      <c r="CJ57" s="11"/>
      <c r="CN57" s="11"/>
      <c r="CO57" s="11"/>
      <c r="CP57" s="11"/>
      <c r="CQ57" s="11"/>
      <c r="CU57" s="11"/>
      <c r="CV57" s="11"/>
      <c r="CW57" s="11"/>
      <c r="CX57" s="11"/>
      <c r="DB57" s="11"/>
      <c r="DC57" s="11"/>
      <c r="DD57" s="11"/>
      <c r="DE57" s="11"/>
    </row>
    <row r="58" spans="2:109" hidden="1" outlineLevel="1" x14ac:dyDescent="0.2">
      <c r="B58" t="s">
        <v>28</v>
      </c>
      <c r="C58" t="s">
        <v>110</v>
      </c>
      <c r="E58" s="10"/>
      <c r="F58" t="s">
        <v>113</v>
      </c>
      <c r="G58" s="11">
        <v>0.08</v>
      </c>
      <c r="I58" s="10">
        <f t="shared" si="7"/>
        <v>6</v>
      </c>
      <c r="J58" s="12">
        <f t="shared" si="8"/>
        <v>0</v>
      </c>
      <c r="K58" s="12">
        <f t="shared" si="8"/>
        <v>0</v>
      </c>
      <c r="L58" s="10"/>
      <c r="N58">
        <v>2</v>
      </c>
      <c r="O58" s="11"/>
      <c r="P58" s="11">
        <v>0.5</v>
      </c>
      <c r="Q58" s="11"/>
      <c r="R58" s="11">
        <v>0.5</v>
      </c>
      <c r="U58">
        <v>0</v>
      </c>
      <c r="V58" s="11"/>
      <c r="W58" s="11">
        <v>0.5</v>
      </c>
      <c r="X58" s="11"/>
      <c r="Y58" s="11">
        <v>0.5</v>
      </c>
      <c r="AB58">
        <v>2</v>
      </c>
      <c r="AC58" s="11"/>
      <c r="AD58" s="11">
        <v>0.8</v>
      </c>
      <c r="AE58" s="11"/>
      <c r="AF58" s="11">
        <v>0.8</v>
      </c>
      <c r="AI58">
        <v>0</v>
      </c>
      <c r="AJ58" s="11"/>
      <c r="AK58" s="11">
        <v>0.8</v>
      </c>
      <c r="AL58" s="11"/>
      <c r="AM58" s="11">
        <v>0.8</v>
      </c>
      <c r="AP58">
        <v>0</v>
      </c>
      <c r="AQ58" s="11"/>
      <c r="AR58" s="11">
        <v>0.8</v>
      </c>
      <c r="AS58" s="11"/>
      <c r="AT58" s="11">
        <v>0.8</v>
      </c>
      <c r="AW58">
        <v>2</v>
      </c>
      <c r="AX58" s="11"/>
      <c r="AY58" s="11">
        <v>1</v>
      </c>
      <c r="AZ58" s="11"/>
      <c r="BA58" s="11">
        <v>1</v>
      </c>
      <c r="BD58">
        <v>0</v>
      </c>
      <c r="BE58" s="11"/>
      <c r="BF58" s="11">
        <v>1</v>
      </c>
      <c r="BG58" s="11"/>
      <c r="BH58" s="11">
        <v>1</v>
      </c>
      <c r="BK58">
        <v>0</v>
      </c>
      <c r="BL58" s="11"/>
      <c r="BM58" s="11">
        <v>1</v>
      </c>
      <c r="BN58" s="11"/>
      <c r="BO58" s="11">
        <v>1</v>
      </c>
      <c r="BR58">
        <v>0</v>
      </c>
      <c r="BS58" s="11"/>
      <c r="BT58" s="11">
        <v>1</v>
      </c>
      <c r="BU58" s="11"/>
      <c r="BV58" s="11">
        <v>1</v>
      </c>
      <c r="BZ58" s="11"/>
      <c r="CA58" s="11"/>
      <c r="CB58" s="11"/>
      <c r="CC58" s="11"/>
      <c r="CG58" s="11"/>
      <c r="CH58" s="11"/>
      <c r="CI58" s="11"/>
      <c r="CJ58" s="11"/>
      <c r="CN58" s="11"/>
      <c r="CO58" s="11"/>
      <c r="CP58" s="11"/>
      <c r="CQ58" s="11"/>
      <c r="CU58" s="11"/>
      <c r="CV58" s="11"/>
      <c r="CW58" s="11"/>
      <c r="CX58" s="11"/>
      <c r="DB58" s="11"/>
      <c r="DC58" s="11"/>
      <c r="DD58" s="11"/>
      <c r="DE58" s="11"/>
    </row>
    <row r="59" spans="2:109" hidden="1" outlineLevel="1" x14ac:dyDescent="0.2">
      <c r="B59" t="s">
        <v>28</v>
      </c>
      <c r="C59" t="s">
        <v>110</v>
      </c>
      <c r="E59" s="10"/>
      <c r="F59" t="s">
        <v>114</v>
      </c>
      <c r="G59" s="11">
        <v>0.08</v>
      </c>
      <c r="I59" s="10">
        <f t="shared" si="7"/>
        <v>8</v>
      </c>
      <c r="J59" s="12">
        <f t="shared" si="8"/>
        <v>0</v>
      </c>
      <c r="K59" s="12">
        <f t="shared" si="8"/>
        <v>0</v>
      </c>
      <c r="L59" s="10"/>
      <c r="N59">
        <v>2</v>
      </c>
      <c r="O59" s="11"/>
      <c r="P59" s="11">
        <v>0.5</v>
      </c>
      <c r="Q59" s="11"/>
      <c r="R59" s="11">
        <v>0.5</v>
      </c>
      <c r="U59">
        <v>0</v>
      </c>
      <c r="V59" s="11"/>
      <c r="W59" s="11">
        <v>0.5</v>
      </c>
      <c r="X59" s="11"/>
      <c r="Y59" s="11">
        <v>0.5</v>
      </c>
      <c r="AB59">
        <v>0</v>
      </c>
      <c r="AC59" s="11"/>
      <c r="AD59" s="11">
        <v>0.5</v>
      </c>
      <c r="AE59" s="11"/>
      <c r="AF59" s="11">
        <v>0.5</v>
      </c>
      <c r="AI59">
        <v>2</v>
      </c>
      <c r="AJ59" s="11"/>
      <c r="AK59" s="11">
        <v>0.8</v>
      </c>
      <c r="AL59" s="11"/>
      <c r="AM59" s="11">
        <v>0.8</v>
      </c>
      <c r="AP59">
        <v>0</v>
      </c>
      <c r="AQ59" s="11"/>
      <c r="AR59" s="11">
        <v>0.8</v>
      </c>
      <c r="AS59" s="11"/>
      <c r="AT59" s="11">
        <v>0.8</v>
      </c>
      <c r="AW59">
        <v>2</v>
      </c>
      <c r="AX59" s="11"/>
      <c r="AY59" s="11">
        <v>1</v>
      </c>
      <c r="AZ59" s="11"/>
      <c r="BA59" s="11">
        <v>1</v>
      </c>
      <c r="BD59">
        <v>2</v>
      </c>
      <c r="BE59" s="11"/>
      <c r="BF59" s="11">
        <v>1</v>
      </c>
      <c r="BG59" s="11"/>
      <c r="BH59" s="11">
        <v>1</v>
      </c>
      <c r="BK59">
        <v>0</v>
      </c>
      <c r="BL59" s="11"/>
      <c r="BM59" s="11">
        <v>1</v>
      </c>
      <c r="BN59" s="11"/>
      <c r="BO59" s="11">
        <v>1</v>
      </c>
      <c r="BR59">
        <v>0</v>
      </c>
      <c r="BS59" s="11"/>
      <c r="BT59" s="11">
        <v>1</v>
      </c>
      <c r="BU59" s="11"/>
      <c r="BV59" s="11">
        <v>1</v>
      </c>
      <c r="BZ59" s="11"/>
      <c r="CA59" s="11"/>
      <c r="CB59" s="11"/>
      <c r="CC59" s="11"/>
      <c r="CG59" s="11"/>
      <c r="CH59" s="11"/>
      <c r="CI59" s="11"/>
      <c r="CJ59" s="11"/>
      <c r="CN59" s="11"/>
      <c r="CO59" s="11"/>
      <c r="CP59" s="11"/>
      <c r="CQ59" s="11"/>
      <c r="CU59" s="11"/>
      <c r="CV59" s="11"/>
      <c r="CW59" s="11"/>
      <c r="CX59" s="11"/>
      <c r="DB59" s="11"/>
      <c r="DC59" s="11"/>
      <c r="DD59" s="11"/>
      <c r="DE59" s="11"/>
    </row>
    <row r="60" spans="2:109" hidden="1" outlineLevel="1" x14ac:dyDescent="0.2">
      <c r="B60" t="s">
        <v>28</v>
      </c>
      <c r="C60" t="s">
        <v>110</v>
      </c>
      <c r="E60" s="10"/>
      <c r="F60" t="s">
        <v>116</v>
      </c>
      <c r="G60" s="11">
        <v>0.09</v>
      </c>
      <c r="I60" s="10">
        <f t="shared" si="7"/>
        <v>6</v>
      </c>
      <c r="J60" s="12">
        <f t="shared" si="8"/>
        <v>0</v>
      </c>
      <c r="K60" s="12">
        <f t="shared" si="8"/>
        <v>0</v>
      </c>
      <c r="L60" s="10"/>
      <c r="O60" s="11"/>
      <c r="P60" s="11"/>
      <c r="Q60" s="11"/>
      <c r="R60" s="11"/>
      <c r="U60">
        <v>2</v>
      </c>
      <c r="V60" s="11"/>
      <c r="W60" s="11">
        <v>0.5</v>
      </c>
      <c r="X60" s="11"/>
      <c r="Y60" s="11">
        <v>0.5</v>
      </c>
      <c r="AB60">
        <v>0</v>
      </c>
      <c r="AC60" s="11"/>
      <c r="AD60" s="11">
        <v>0.5</v>
      </c>
      <c r="AE60" s="11"/>
      <c r="AF60" s="11">
        <v>0.5</v>
      </c>
      <c r="AI60">
        <v>0</v>
      </c>
      <c r="AJ60" s="11"/>
      <c r="AK60" s="11">
        <v>0.5</v>
      </c>
      <c r="AL60" s="11"/>
      <c r="AM60" s="11">
        <v>0.5</v>
      </c>
      <c r="AP60">
        <v>2</v>
      </c>
      <c r="AQ60" s="11"/>
      <c r="AR60" s="11">
        <v>0.8</v>
      </c>
      <c r="AS60" s="11"/>
      <c r="AT60" s="11">
        <v>0.8</v>
      </c>
      <c r="AW60">
        <v>0</v>
      </c>
      <c r="AX60" s="11"/>
      <c r="AY60" s="11">
        <v>0.8</v>
      </c>
      <c r="AZ60" s="11"/>
      <c r="BA60" s="11">
        <v>1</v>
      </c>
      <c r="BD60">
        <v>2</v>
      </c>
      <c r="BE60" s="11"/>
      <c r="BF60" s="11">
        <v>1</v>
      </c>
      <c r="BG60" s="11"/>
      <c r="BH60" s="11">
        <v>1</v>
      </c>
      <c r="BK60">
        <v>0</v>
      </c>
      <c r="BL60" s="11"/>
      <c r="BM60" s="11">
        <v>1</v>
      </c>
      <c r="BN60" s="11"/>
      <c r="BO60" s="11">
        <v>1</v>
      </c>
      <c r="BR60">
        <v>0</v>
      </c>
      <c r="BS60" s="11"/>
      <c r="BT60" s="11">
        <v>1</v>
      </c>
      <c r="BU60" s="11"/>
      <c r="BV60" s="11">
        <v>1</v>
      </c>
      <c r="BZ60" s="11"/>
      <c r="CA60" s="11"/>
      <c r="CB60" s="11"/>
      <c r="CC60" s="11"/>
      <c r="CG60" s="11"/>
      <c r="CH60" s="11"/>
      <c r="CI60" s="11"/>
      <c r="CJ60" s="11"/>
      <c r="CN60" s="11"/>
      <c r="CO60" s="11"/>
      <c r="CP60" s="11"/>
      <c r="CQ60" s="11"/>
      <c r="CU60" s="11"/>
      <c r="CV60" s="11"/>
      <c r="CW60" s="11"/>
      <c r="CX60" s="11"/>
      <c r="DB60" s="11"/>
      <c r="DC60" s="11"/>
      <c r="DD60" s="11"/>
      <c r="DE60" s="11"/>
    </row>
    <row r="61" spans="2:109" hidden="1" outlineLevel="1" x14ac:dyDescent="0.2">
      <c r="B61" t="s">
        <v>28</v>
      </c>
      <c r="C61" t="s">
        <v>110</v>
      </c>
      <c r="E61" s="10"/>
      <c r="F61" t="s">
        <v>117</v>
      </c>
      <c r="G61" s="11">
        <v>0.08</v>
      </c>
      <c r="I61" s="10">
        <f t="shared" si="7"/>
        <v>6</v>
      </c>
      <c r="J61" s="12">
        <f t="shared" si="8"/>
        <v>0</v>
      </c>
      <c r="K61" s="12">
        <f t="shared" si="8"/>
        <v>0</v>
      </c>
      <c r="L61" s="10"/>
      <c r="O61" s="11"/>
      <c r="P61" s="11"/>
      <c r="Q61" s="11"/>
      <c r="R61" s="11"/>
      <c r="U61">
        <v>2</v>
      </c>
      <c r="V61" s="11"/>
      <c r="W61" s="11">
        <v>0.5</v>
      </c>
      <c r="X61" s="11"/>
      <c r="Y61" s="11">
        <v>0.5</v>
      </c>
      <c r="AB61">
        <v>0</v>
      </c>
      <c r="AC61" s="11"/>
      <c r="AD61" s="11">
        <v>0.5</v>
      </c>
      <c r="AE61" s="11"/>
      <c r="AF61" s="11">
        <v>0.5</v>
      </c>
      <c r="AI61">
        <v>0</v>
      </c>
      <c r="AJ61" s="11"/>
      <c r="AK61" s="11">
        <v>0.5</v>
      </c>
      <c r="AL61" s="11"/>
      <c r="AM61" s="11">
        <v>0.5</v>
      </c>
      <c r="AP61">
        <v>2</v>
      </c>
      <c r="AQ61" s="11"/>
      <c r="AR61" s="11">
        <v>0.8</v>
      </c>
      <c r="AS61" s="11"/>
      <c r="AT61" s="11">
        <v>0.8</v>
      </c>
      <c r="AW61">
        <v>0</v>
      </c>
      <c r="AX61" s="11"/>
      <c r="AY61" s="11">
        <v>0.8</v>
      </c>
      <c r="AZ61" s="11"/>
      <c r="BA61" s="11">
        <v>1</v>
      </c>
      <c r="BD61">
        <v>2</v>
      </c>
      <c r="BE61" s="11"/>
      <c r="BF61" s="11">
        <v>1</v>
      </c>
      <c r="BG61" s="11"/>
      <c r="BH61" s="11">
        <v>1</v>
      </c>
      <c r="BK61">
        <v>0</v>
      </c>
      <c r="BL61" s="11"/>
      <c r="BM61" s="11">
        <v>1</v>
      </c>
      <c r="BN61" s="11"/>
      <c r="BO61" s="11">
        <v>1</v>
      </c>
      <c r="BR61">
        <v>0</v>
      </c>
      <c r="BS61" s="11"/>
      <c r="BT61" s="11">
        <v>1</v>
      </c>
      <c r="BU61" s="11"/>
      <c r="BV61" s="11">
        <v>1</v>
      </c>
      <c r="BZ61" s="11"/>
      <c r="CA61" s="11"/>
      <c r="CB61" s="11"/>
      <c r="CC61" s="11"/>
      <c r="CG61" s="11"/>
      <c r="CH61" s="11"/>
      <c r="CI61" s="11"/>
      <c r="CJ61" s="11"/>
      <c r="CN61" s="11"/>
      <c r="CO61" s="11"/>
      <c r="CP61" s="11"/>
      <c r="CQ61" s="11"/>
      <c r="CU61" s="11"/>
      <c r="CV61" s="11"/>
      <c r="CW61" s="11"/>
      <c r="CX61" s="11"/>
      <c r="DB61" s="11"/>
      <c r="DC61" s="11"/>
      <c r="DD61" s="11"/>
      <c r="DE61" s="11"/>
    </row>
    <row r="62" spans="2:109" hidden="1" outlineLevel="1" x14ac:dyDescent="0.2">
      <c r="B62" t="s">
        <v>28</v>
      </c>
      <c r="C62" t="s">
        <v>110</v>
      </c>
      <c r="E62" s="10"/>
      <c r="F62" t="s">
        <v>118</v>
      </c>
      <c r="G62" s="11">
        <v>0.09</v>
      </c>
      <c r="I62" s="10">
        <f t="shared" si="7"/>
        <v>4</v>
      </c>
      <c r="J62" s="12">
        <f t="shared" si="8"/>
        <v>0</v>
      </c>
      <c r="K62" s="12">
        <f t="shared" si="8"/>
        <v>0</v>
      </c>
      <c r="L62" s="10"/>
      <c r="O62" s="11"/>
      <c r="P62" s="11"/>
      <c r="Q62" s="11"/>
      <c r="R62" s="11"/>
      <c r="U62">
        <v>2</v>
      </c>
      <c r="V62" s="11"/>
      <c r="W62" s="11">
        <v>0.5</v>
      </c>
      <c r="X62" s="11"/>
      <c r="Y62" s="11">
        <v>0.5</v>
      </c>
      <c r="AB62">
        <v>0</v>
      </c>
      <c r="AC62" s="11"/>
      <c r="AD62" s="11">
        <v>0.5</v>
      </c>
      <c r="AE62" s="11"/>
      <c r="AF62" s="11">
        <v>0.5</v>
      </c>
      <c r="AI62">
        <v>0</v>
      </c>
      <c r="AJ62" s="11"/>
      <c r="AK62" s="11">
        <v>0.5</v>
      </c>
      <c r="AL62" s="11"/>
      <c r="AM62" s="11">
        <v>0.5</v>
      </c>
      <c r="AP62">
        <v>0</v>
      </c>
      <c r="AQ62" s="11"/>
      <c r="AR62" s="11">
        <v>0.5</v>
      </c>
      <c r="AS62" s="11"/>
      <c r="AT62" s="11">
        <v>0.5</v>
      </c>
      <c r="AW62">
        <v>0</v>
      </c>
      <c r="AX62" s="11"/>
      <c r="AY62" s="11">
        <v>0.8</v>
      </c>
      <c r="AZ62" s="11"/>
      <c r="BA62" s="11">
        <v>0.8</v>
      </c>
      <c r="BD62">
        <v>0</v>
      </c>
      <c r="BE62" s="11"/>
      <c r="BF62" s="11">
        <v>0.8</v>
      </c>
      <c r="BG62" s="11"/>
      <c r="BH62" s="11">
        <v>0.8</v>
      </c>
      <c r="BK62">
        <v>2</v>
      </c>
      <c r="BL62" s="11"/>
      <c r="BM62" s="11">
        <v>1</v>
      </c>
      <c r="BN62" s="11"/>
      <c r="BO62" s="11">
        <v>1</v>
      </c>
      <c r="BR62">
        <v>0</v>
      </c>
      <c r="BS62" s="11"/>
      <c r="BT62" s="11">
        <v>1</v>
      </c>
      <c r="BU62" s="11"/>
      <c r="BV62" s="11">
        <v>1</v>
      </c>
      <c r="BZ62" s="11"/>
      <c r="CA62" s="11"/>
      <c r="CB62" s="11"/>
      <c r="CC62" s="11"/>
      <c r="CG62" s="11"/>
      <c r="CH62" s="11"/>
      <c r="CI62" s="11"/>
      <c r="CJ62" s="11"/>
      <c r="CN62" s="11"/>
      <c r="CO62" s="11"/>
      <c r="CP62" s="11"/>
      <c r="CQ62" s="11"/>
      <c r="CU62" s="11"/>
      <c r="CV62" s="11"/>
      <c r="CW62" s="11"/>
      <c r="CX62" s="11"/>
      <c r="DB62" s="11"/>
      <c r="DC62" s="11"/>
      <c r="DD62" s="11"/>
      <c r="DE62" s="11"/>
    </row>
    <row r="63" spans="2:109" hidden="1" outlineLevel="1" x14ac:dyDescent="0.2">
      <c r="B63" t="s">
        <v>28</v>
      </c>
      <c r="C63" t="s">
        <v>110</v>
      </c>
      <c r="E63" s="10"/>
      <c r="F63" t="s">
        <v>115</v>
      </c>
      <c r="G63" s="11">
        <v>0.08</v>
      </c>
      <c r="I63" s="10">
        <f t="shared" si="7"/>
        <v>4</v>
      </c>
      <c r="J63" s="12">
        <f t="shared" si="8"/>
        <v>0</v>
      </c>
      <c r="K63" s="12">
        <f t="shared" si="8"/>
        <v>0</v>
      </c>
      <c r="L63" s="10"/>
      <c r="O63" s="11"/>
      <c r="P63" s="11"/>
      <c r="Q63" s="11"/>
      <c r="R63" s="11"/>
      <c r="V63" s="11"/>
      <c r="W63" s="11"/>
      <c r="X63" s="11"/>
      <c r="Y63" s="11"/>
      <c r="AB63">
        <v>2</v>
      </c>
      <c r="AC63" s="11"/>
      <c r="AD63" s="11">
        <v>0.5</v>
      </c>
      <c r="AE63" s="11"/>
      <c r="AF63" s="11">
        <v>0.5</v>
      </c>
      <c r="AI63">
        <v>0</v>
      </c>
      <c r="AJ63" s="11"/>
      <c r="AK63" s="11">
        <v>0.5</v>
      </c>
      <c r="AL63" s="11"/>
      <c r="AM63" s="11">
        <v>0.5</v>
      </c>
      <c r="AP63">
        <v>0</v>
      </c>
      <c r="AQ63" s="11"/>
      <c r="AR63" s="11">
        <v>0.5</v>
      </c>
      <c r="AS63" s="11"/>
      <c r="AT63" s="11">
        <v>0.5</v>
      </c>
      <c r="AW63">
        <v>0</v>
      </c>
      <c r="AX63" s="11"/>
      <c r="AY63" s="11">
        <v>0.8</v>
      </c>
      <c r="AZ63" s="11"/>
      <c r="BA63" s="11">
        <v>0.8</v>
      </c>
      <c r="BD63">
        <v>0</v>
      </c>
      <c r="BE63" s="11"/>
      <c r="BF63" s="11">
        <v>0.8</v>
      </c>
      <c r="BG63" s="11"/>
      <c r="BH63" s="11">
        <v>0.8</v>
      </c>
      <c r="BK63">
        <v>2</v>
      </c>
      <c r="BL63" s="11"/>
      <c r="BM63" s="11">
        <v>1</v>
      </c>
      <c r="BN63" s="11"/>
      <c r="BO63" s="11">
        <v>1</v>
      </c>
      <c r="BR63">
        <v>0</v>
      </c>
      <c r="BS63" s="11"/>
      <c r="BT63" s="11">
        <v>1</v>
      </c>
      <c r="BU63" s="11"/>
      <c r="BV63" s="11">
        <v>1</v>
      </c>
      <c r="BZ63" s="11"/>
      <c r="CA63" s="11"/>
      <c r="CB63" s="11"/>
      <c r="CC63" s="11"/>
      <c r="CG63" s="11"/>
      <c r="CH63" s="11"/>
      <c r="CI63" s="11"/>
      <c r="CJ63" s="11"/>
      <c r="CN63" s="11"/>
      <c r="CO63" s="11"/>
      <c r="CP63" s="11"/>
      <c r="CQ63" s="11"/>
      <c r="CU63" s="11"/>
      <c r="CV63" s="11"/>
      <c r="CW63" s="11"/>
      <c r="CX63" s="11"/>
      <c r="DB63" s="11"/>
      <c r="DC63" s="11"/>
      <c r="DD63" s="11"/>
      <c r="DE63" s="11"/>
    </row>
    <row r="64" spans="2:109" hidden="1" outlineLevel="1" x14ac:dyDescent="0.2">
      <c r="B64" t="s">
        <v>28</v>
      </c>
      <c r="C64" t="s">
        <v>110</v>
      </c>
      <c r="E64" s="10"/>
      <c r="F64" t="s">
        <v>119</v>
      </c>
      <c r="G64" s="11">
        <v>0.08</v>
      </c>
      <c r="I64" s="10">
        <f t="shared" si="7"/>
        <v>4</v>
      </c>
      <c r="J64" s="12">
        <f t="shared" si="8"/>
        <v>0</v>
      </c>
      <c r="K64" s="12">
        <f t="shared" si="8"/>
        <v>0</v>
      </c>
      <c r="L64" s="10"/>
      <c r="O64" s="11"/>
      <c r="P64" s="11"/>
      <c r="Q64" s="11"/>
      <c r="R64" s="11"/>
      <c r="V64" s="11"/>
      <c r="W64" s="11"/>
      <c r="X64" s="11"/>
      <c r="Y64" s="11"/>
      <c r="AB64">
        <v>2</v>
      </c>
      <c r="AC64" s="11"/>
      <c r="AD64" s="11">
        <v>0.5</v>
      </c>
      <c r="AE64" s="11"/>
      <c r="AF64" s="11">
        <v>0.5</v>
      </c>
      <c r="AI64">
        <v>0</v>
      </c>
      <c r="AJ64" s="11"/>
      <c r="AK64" s="11">
        <v>0.5</v>
      </c>
      <c r="AL64" s="11"/>
      <c r="AM64" s="11">
        <v>0.5</v>
      </c>
      <c r="AP64">
        <v>0</v>
      </c>
      <c r="AQ64" s="11"/>
      <c r="AR64" s="11">
        <v>0.5</v>
      </c>
      <c r="AS64" s="11"/>
      <c r="AT64" s="11">
        <v>0.5</v>
      </c>
      <c r="AW64">
        <v>0</v>
      </c>
      <c r="AX64" s="11"/>
      <c r="AY64" s="11">
        <v>0.8</v>
      </c>
      <c r="AZ64" s="11"/>
      <c r="BA64" s="11">
        <v>0.8</v>
      </c>
      <c r="BD64">
        <v>0</v>
      </c>
      <c r="BE64" s="11"/>
      <c r="BF64" s="11">
        <v>0.8</v>
      </c>
      <c r="BG64" s="11"/>
      <c r="BH64" s="11">
        <v>0.8</v>
      </c>
      <c r="BK64">
        <v>2</v>
      </c>
      <c r="BL64" s="11"/>
      <c r="BM64" s="11">
        <v>1</v>
      </c>
      <c r="BN64" s="11"/>
      <c r="BO64" s="11">
        <v>1</v>
      </c>
      <c r="BR64">
        <v>0</v>
      </c>
      <c r="BS64" s="11"/>
      <c r="BT64" s="11">
        <v>1</v>
      </c>
      <c r="BU64" s="11"/>
      <c r="BV64" s="11">
        <v>1</v>
      </c>
      <c r="BZ64" s="11"/>
      <c r="CA64" s="11"/>
      <c r="CB64" s="11"/>
      <c r="CC64" s="11"/>
      <c r="CG64" s="11"/>
      <c r="CH64" s="11"/>
      <c r="CI64" s="11"/>
      <c r="CJ64" s="11"/>
      <c r="CN64" s="11"/>
      <c r="CO64" s="11"/>
      <c r="CP64" s="11"/>
      <c r="CQ64" s="11"/>
      <c r="CU64" s="11"/>
      <c r="CV64" s="11"/>
      <c r="CW64" s="11"/>
      <c r="CX64" s="11"/>
      <c r="DB64" s="11"/>
      <c r="DC64" s="11"/>
      <c r="DD64" s="11"/>
      <c r="DE64" s="11"/>
    </row>
    <row r="65" spans="2:109" hidden="1" outlineLevel="1" x14ac:dyDescent="0.2">
      <c r="B65" t="s">
        <v>28</v>
      </c>
      <c r="C65" t="s">
        <v>110</v>
      </c>
      <c r="E65" s="10"/>
      <c r="F65" t="s">
        <v>120</v>
      </c>
      <c r="G65" s="11">
        <v>0.08</v>
      </c>
      <c r="I65" s="10">
        <f t="shared" si="7"/>
        <v>6</v>
      </c>
      <c r="J65" s="12">
        <f t="shared" si="8"/>
        <v>0</v>
      </c>
      <c r="K65" s="12">
        <f t="shared" si="8"/>
        <v>0</v>
      </c>
      <c r="L65" s="10"/>
      <c r="O65" s="11"/>
      <c r="P65" s="11"/>
      <c r="Q65" s="11"/>
      <c r="R65" s="11"/>
      <c r="V65" s="11"/>
      <c r="W65" s="11"/>
      <c r="X65" s="11"/>
      <c r="Y65" s="11"/>
      <c r="AC65" s="11"/>
      <c r="AD65" s="11"/>
      <c r="AE65" s="11"/>
      <c r="AF65" s="11"/>
      <c r="AI65">
        <v>2</v>
      </c>
      <c r="AJ65" s="11"/>
      <c r="AK65" s="11">
        <v>0.5</v>
      </c>
      <c r="AL65" s="11"/>
      <c r="AM65" s="11">
        <v>0.5</v>
      </c>
      <c r="AP65">
        <v>0</v>
      </c>
      <c r="AQ65" s="11"/>
      <c r="AR65" s="11">
        <v>0.5</v>
      </c>
      <c r="AS65" s="11"/>
      <c r="AT65" s="11">
        <v>0.5</v>
      </c>
      <c r="AW65">
        <v>2</v>
      </c>
      <c r="AX65" s="11"/>
      <c r="AY65" s="11">
        <v>0.8</v>
      </c>
      <c r="AZ65" s="11"/>
      <c r="BA65" s="11">
        <v>0.8</v>
      </c>
      <c r="BD65">
        <v>0</v>
      </c>
      <c r="BE65" s="11"/>
      <c r="BF65" s="11">
        <v>0.8</v>
      </c>
      <c r="BG65" s="11"/>
      <c r="BH65" s="11">
        <v>0.8</v>
      </c>
      <c r="BK65">
        <v>2</v>
      </c>
      <c r="BL65" s="11"/>
      <c r="BM65" s="11">
        <v>1</v>
      </c>
      <c r="BN65" s="11"/>
      <c r="BO65" s="11">
        <v>1</v>
      </c>
      <c r="BR65">
        <v>0</v>
      </c>
      <c r="BS65" s="11"/>
      <c r="BT65" s="11">
        <v>1</v>
      </c>
      <c r="BU65" s="11"/>
      <c r="BV65" s="11">
        <v>1</v>
      </c>
      <c r="BZ65" s="11"/>
      <c r="CA65" s="11"/>
      <c r="CB65" s="11"/>
      <c r="CC65" s="11"/>
      <c r="CG65" s="11"/>
      <c r="CH65" s="11"/>
      <c r="CI65" s="11"/>
      <c r="CJ65" s="11"/>
      <c r="CN65" s="11"/>
      <c r="CO65" s="11"/>
      <c r="CP65" s="11"/>
      <c r="CQ65" s="11"/>
      <c r="CU65" s="11"/>
      <c r="CV65" s="11"/>
      <c r="CW65" s="11"/>
      <c r="CX65" s="11"/>
      <c r="DB65" s="11"/>
      <c r="DC65" s="11"/>
      <c r="DD65" s="11"/>
      <c r="DE65" s="11"/>
    </row>
    <row r="66" spans="2:109" hidden="1" outlineLevel="1" x14ac:dyDescent="0.2">
      <c r="B66" t="s">
        <v>28</v>
      </c>
      <c r="C66" t="s">
        <v>110</v>
      </c>
      <c r="E66" s="10"/>
      <c r="F66" t="s">
        <v>121</v>
      </c>
      <c r="G66" s="11">
        <v>0.09</v>
      </c>
      <c r="I66" s="10">
        <f t="shared" si="7"/>
        <v>6</v>
      </c>
      <c r="J66" s="12">
        <f t="shared" si="8"/>
        <v>0</v>
      </c>
      <c r="K66" s="12">
        <f t="shared" si="8"/>
        <v>0</v>
      </c>
      <c r="L66" s="10"/>
      <c r="O66" s="11"/>
      <c r="P66" s="11"/>
      <c r="Q66" s="11"/>
      <c r="R66" s="11"/>
      <c r="V66" s="11"/>
      <c r="W66" s="11"/>
      <c r="X66" s="11"/>
      <c r="Y66" s="11"/>
      <c r="AC66" s="11"/>
      <c r="AD66" s="11"/>
      <c r="AE66" s="11"/>
      <c r="AF66" s="11"/>
      <c r="AI66">
        <v>2</v>
      </c>
      <c r="AJ66" s="11"/>
      <c r="AK66" s="11">
        <v>0.5</v>
      </c>
      <c r="AL66" s="11"/>
      <c r="AM66" s="11">
        <v>0.5</v>
      </c>
      <c r="AP66">
        <v>0</v>
      </c>
      <c r="AQ66" s="11"/>
      <c r="AR66" s="11">
        <v>0.5</v>
      </c>
      <c r="AS66" s="11"/>
      <c r="AT66" s="11">
        <v>0.5</v>
      </c>
      <c r="AW66">
        <v>2</v>
      </c>
      <c r="AX66" s="11"/>
      <c r="AY66" s="11">
        <v>0.8</v>
      </c>
      <c r="AZ66" s="11"/>
      <c r="BA66" s="11">
        <v>0.8</v>
      </c>
      <c r="BD66">
        <v>0</v>
      </c>
      <c r="BE66" s="11"/>
      <c r="BF66" s="11">
        <v>0.8</v>
      </c>
      <c r="BG66" s="11"/>
      <c r="BH66" s="11">
        <v>0.8</v>
      </c>
      <c r="BK66">
        <v>0</v>
      </c>
      <c r="BL66" s="11"/>
      <c r="BM66" s="11">
        <v>0.8</v>
      </c>
      <c r="BN66" s="11"/>
      <c r="BO66" s="11">
        <v>0.8</v>
      </c>
      <c r="BR66">
        <v>2</v>
      </c>
      <c r="BS66" s="11"/>
      <c r="BT66" s="11">
        <v>1</v>
      </c>
      <c r="BU66" s="11"/>
      <c r="BV66" s="11">
        <v>1</v>
      </c>
      <c r="BZ66" s="11"/>
      <c r="CA66" s="11"/>
      <c r="CB66" s="11"/>
      <c r="CC66" s="11"/>
      <c r="CG66" s="11"/>
      <c r="CH66" s="11"/>
      <c r="CI66" s="11"/>
      <c r="CJ66" s="11"/>
      <c r="CN66" s="11"/>
      <c r="CO66" s="11"/>
      <c r="CP66" s="11"/>
      <c r="CQ66" s="11"/>
      <c r="CU66" s="11"/>
      <c r="CV66" s="11"/>
      <c r="CW66" s="11"/>
      <c r="CX66" s="11"/>
      <c r="DB66" s="11"/>
      <c r="DC66" s="11"/>
      <c r="DD66" s="11"/>
      <c r="DE66" s="11"/>
    </row>
    <row r="67" spans="2:109" hidden="1" outlineLevel="1" x14ac:dyDescent="0.2">
      <c r="B67" t="s">
        <v>28</v>
      </c>
      <c r="C67" t="s">
        <v>110</v>
      </c>
      <c r="E67" s="10"/>
      <c r="F67" t="s">
        <v>122</v>
      </c>
      <c r="G67" s="11">
        <v>0.09</v>
      </c>
      <c r="I67" s="10">
        <f t="shared" si="7"/>
        <v>6</v>
      </c>
      <c r="J67" s="12">
        <f t="shared" si="8"/>
        <v>0</v>
      </c>
      <c r="K67" s="12">
        <f t="shared" si="8"/>
        <v>0</v>
      </c>
      <c r="L67" s="10"/>
      <c r="O67" s="11"/>
      <c r="P67" s="11"/>
      <c r="Q67" s="11"/>
      <c r="R67" s="11"/>
      <c r="V67" s="11"/>
      <c r="W67" s="11"/>
      <c r="X67" s="11"/>
      <c r="Y67" s="11"/>
      <c r="AC67" s="11"/>
      <c r="AD67" s="11"/>
      <c r="AE67" s="11"/>
      <c r="AF67" s="11"/>
      <c r="AJ67" s="11"/>
      <c r="AK67" s="11"/>
      <c r="AL67" s="11"/>
      <c r="AM67" s="11"/>
      <c r="AP67">
        <v>2</v>
      </c>
      <c r="AQ67" s="11"/>
      <c r="AR67" s="11">
        <v>0.5</v>
      </c>
      <c r="AS67" s="11"/>
      <c r="AT67" s="11">
        <v>0.5</v>
      </c>
      <c r="AW67">
        <v>0</v>
      </c>
      <c r="AX67" s="11"/>
      <c r="AY67" s="11">
        <v>0.5</v>
      </c>
      <c r="AZ67" s="11"/>
      <c r="BA67" s="11">
        <v>0.5</v>
      </c>
      <c r="BD67">
        <v>2</v>
      </c>
      <c r="BE67" s="11"/>
      <c r="BF67" s="11">
        <v>0.8</v>
      </c>
      <c r="BG67" s="11"/>
      <c r="BH67" s="11">
        <v>0.8</v>
      </c>
      <c r="BK67">
        <v>0</v>
      </c>
      <c r="BL67" s="11"/>
      <c r="BM67" s="11">
        <v>0.8</v>
      </c>
      <c r="BN67" s="11"/>
      <c r="BO67" s="11">
        <v>0.8</v>
      </c>
      <c r="BR67">
        <v>2</v>
      </c>
      <c r="BS67" s="11"/>
      <c r="BT67" s="11">
        <v>1</v>
      </c>
      <c r="BU67" s="11"/>
      <c r="BV67" s="11">
        <v>1</v>
      </c>
      <c r="BZ67" s="11"/>
      <c r="CA67" s="11"/>
      <c r="CB67" s="11"/>
      <c r="CC67" s="11"/>
      <c r="CG67" s="11"/>
      <c r="CH67" s="11"/>
      <c r="CI67" s="11"/>
      <c r="CJ67" s="11"/>
      <c r="CN67" s="11"/>
      <c r="CO67" s="11"/>
      <c r="CP67" s="11"/>
      <c r="CQ67" s="11"/>
      <c r="CU67" s="11"/>
      <c r="CV67" s="11"/>
      <c r="CW67" s="11"/>
      <c r="CX67" s="11"/>
      <c r="DB67" s="11"/>
      <c r="DC67" s="11"/>
      <c r="DD67" s="11"/>
      <c r="DE67" s="11"/>
    </row>
    <row r="68" spans="2:109" collapsed="1" x14ac:dyDescent="0.2"/>
    <row r="69" spans="2:109" x14ac:dyDescent="0.2">
      <c r="B69" t="s">
        <v>27</v>
      </c>
      <c r="C69" t="s">
        <v>123</v>
      </c>
      <c r="E69" s="10">
        <v>3</v>
      </c>
      <c r="G69" s="11">
        <f>+SUM(G70:G81)</f>
        <v>0.99999999999999989</v>
      </c>
      <c r="I69" s="13">
        <f>+SUM(I70:I81)</f>
        <v>68</v>
      </c>
      <c r="J69" s="12">
        <f>+SUMPRODUCT(G70:G81,J70:J81)</f>
        <v>0</v>
      </c>
      <c r="K69" s="12">
        <f>+SUMPRODUCT(G70:G81,K70:K81)</f>
        <v>0</v>
      </c>
      <c r="L69" s="10"/>
      <c r="N69" s="13">
        <f>+SUM(N70:N81)</f>
        <v>8</v>
      </c>
      <c r="U69" s="13">
        <f>+SUM(U70:U81)</f>
        <v>8</v>
      </c>
      <c r="AB69" s="13">
        <f>+SUM(AB70:AB81)</f>
        <v>8</v>
      </c>
      <c r="AI69" s="13">
        <f>+SUM(AI70:AI81)</f>
        <v>8</v>
      </c>
      <c r="AP69" s="10">
        <f>+SUM(AP70:AP81)</f>
        <v>8</v>
      </c>
      <c r="AW69" s="10">
        <f>+SUM(AW70:AW81)</f>
        <v>8</v>
      </c>
      <c r="BD69" s="10">
        <f>+SUM(BD70:BD81)</f>
        <v>8</v>
      </c>
      <c r="BK69" s="10">
        <f>+SUM(BK70:BK81)</f>
        <v>8</v>
      </c>
      <c r="BR69" s="10">
        <f>+SUM(BR70:BR81)</f>
        <v>4</v>
      </c>
    </row>
    <row r="70" spans="2:109" hidden="1" outlineLevel="1" x14ac:dyDescent="0.2">
      <c r="B70" t="s">
        <v>28</v>
      </c>
      <c r="C70" t="s">
        <v>123</v>
      </c>
      <c r="E70" s="10"/>
      <c r="F70" t="s">
        <v>124</v>
      </c>
      <c r="G70" s="11">
        <v>7.0000000000000007E-2</v>
      </c>
      <c r="I70" s="10">
        <f t="shared" ref="I70:I81" si="9">+SUMIF($N$3:$ZZ$3,I$3,$N70:$ZZ70)</f>
        <v>6</v>
      </c>
      <c r="J70" s="12">
        <f t="shared" ref="J70:K81" si="10">+_xlfn.MAXIFS($N70:$ZF70,$N$3:$ZF$3,J$3)</f>
        <v>0</v>
      </c>
      <c r="K70" s="12">
        <f t="shared" si="10"/>
        <v>0</v>
      </c>
      <c r="L70" s="10"/>
      <c r="N70">
        <v>2</v>
      </c>
      <c r="O70" s="11"/>
      <c r="P70" s="11">
        <v>0.5</v>
      </c>
      <c r="Q70" s="11"/>
      <c r="R70" s="11">
        <v>0.5</v>
      </c>
      <c r="U70">
        <v>2</v>
      </c>
      <c r="V70" s="11"/>
      <c r="W70" s="11">
        <v>0.8</v>
      </c>
      <c r="X70" s="11"/>
      <c r="Y70" s="11">
        <v>0.8</v>
      </c>
      <c r="AB70">
        <v>0</v>
      </c>
      <c r="AC70" s="11"/>
      <c r="AD70" s="11">
        <v>0.8</v>
      </c>
      <c r="AE70" s="11"/>
      <c r="AF70" s="11">
        <v>0.8</v>
      </c>
      <c r="AI70">
        <v>2</v>
      </c>
      <c r="AJ70" s="11"/>
      <c r="AK70" s="11">
        <v>1</v>
      </c>
      <c r="AL70" s="11"/>
      <c r="AM70" s="11">
        <v>1</v>
      </c>
      <c r="AP70">
        <v>0</v>
      </c>
      <c r="AQ70" s="11"/>
      <c r="AR70" s="11">
        <v>1</v>
      </c>
      <c r="AS70" s="11"/>
      <c r="AT70" s="11">
        <v>1</v>
      </c>
      <c r="AW70">
        <v>0</v>
      </c>
      <c r="AX70" s="11"/>
      <c r="AY70" s="11">
        <v>1</v>
      </c>
      <c r="AZ70" s="11"/>
      <c r="BA70" s="11">
        <v>1</v>
      </c>
      <c r="BD70">
        <v>0</v>
      </c>
      <c r="BE70" s="11"/>
      <c r="BF70" s="11">
        <v>1</v>
      </c>
      <c r="BG70" s="11"/>
      <c r="BH70" s="11">
        <v>1</v>
      </c>
      <c r="BK70">
        <v>0</v>
      </c>
      <c r="BL70" s="11"/>
      <c r="BM70" s="11">
        <v>1</v>
      </c>
      <c r="BN70" s="11"/>
      <c r="BO70" s="11">
        <v>1</v>
      </c>
      <c r="BR70">
        <v>0</v>
      </c>
      <c r="BS70" s="11"/>
      <c r="BT70" s="11">
        <v>1</v>
      </c>
      <c r="BU70" s="11"/>
      <c r="BV70" s="11">
        <v>1</v>
      </c>
      <c r="BZ70" s="11"/>
      <c r="CA70" s="11"/>
      <c r="CB70" s="11"/>
      <c r="CC70" s="11"/>
      <c r="CG70" s="11"/>
      <c r="CH70" s="11"/>
      <c r="CI70" s="11"/>
      <c r="CJ70" s="11"/>
      <c r="CN70" s="11"/>
      <c r="CO70" s="11"/>
      <c r="CP70" s="11"/>
      <c r="CQ70" s="11"/>
      <c r="CU70" s="11"/>
      <c r="CV70" s="11"/>
      <c r="CW70" s="11"/>
      <c r="CX70" s="11"/>
      <c r="DB70" s="11"/>
      <c r="DC70" s="11"/>
      <c r="DD70" s="11"/>
      <c r="DE70" s="11"/>
    </row>
    <row r="71" spans="2:109" hidden="1" outlineLevel="1" x14ac:dyDescent="0.2">
      <c r="B71" t="s">
        <v>28</v>
      </c>
      <c r="C71" t="s">
        <v>123</v>
      </c>
      <c r="E71" s="10"/>
      <c r="F71" t="s">
        <v>125</v>
      </c>
      <c r="G71" s="11">
        <v>0.09</v>
      </c>
      <c r="I71" s="10">
        <f t="shared" si="9"/>
        <v>6</v>
      </c>
      <c r="J71" s="12">
        <f t="shared" si="10"/>
        <v>0</v>
      </c>
      <c r="K71" s="12">
        <f t="shared" si="10"/>
        <v>0</v>
      </c>
      <c r="L71" s="10"/>
      <c r="N71">
        <v>2</v>
      </c>
      <c r="O71" s="11"/>
      <c r="P71" s="11">
        <v>0.5</v>
      </c>
      <c r="Q71" s="11"/>
      <c r="R71" s="11">
        <v>0.5</v>
      </c>
      <c r="U71">
        <v>0</v>
      </c>
      <c r="V71" s="11"/>
      <c r="W71" s="11">
        <v>0.5</v>
      </c>
      <c r="X71" s="11"/>
      <c r="Y71" s="11">
        <v>0.5</v>
      </c>
      <c r="AB71">
        <v>2</v>
      </c>
      <c r="AC71" s="11"/>
      <c r="AD71" s="11">
        <v>0.8</v>
      </c>
      <c r="AE71" s="11"/>
      <c r="AF71" s="11">
        <v>0.8</v>
      </c>
      <c r="AI71">
        <v>0</v>
      </c>
      <c r="AJ71" s="11"/>
      <c r="AK71" s="11">
        <v>0.8</v>
      </c>
      <c r="AL71" s="11"/>
      <c r="AM71" s="11">
        <v>0.8</v>
      </c>
      <c r="AP71">
        <v>2</v>
      </c>
      <c r="AQ71" s="11"/>
      <c r="AR71" s="11">
        <v>1</v>
      </c>
      <c r="AS71" s="11"/>
      <c r="AT71" s="11">
        <v>1</v>
      </c>
      <c r="AW71">
        <v>0</v>
      </c>
      <c r="AX71" s="11"/>
      <c r="AY71" s="11">
        <v>1</v>
      </c>
      <c r="AZ71" s="11"/>
      <c r="BA71" s="11">
        <v>1</v>
      </c>
      <c r="BD71">
        <v>0</v>
      </c>
      <c r="BE71" s="11"/>
      <c r="BF71" s="11">
        <v>1</v>
      </c>
      <c r="BG71" s="11"/>
      <c r="BH71" s="11">
        <v>1</v>
      </c>
      <c r="BK71">
        <v>0</v>
      </c>
      <c r="BL71" s="11"/>
      <c r="BM71" s="11">
        <v>1</v>
      </c>
      <c r="BN71" s="11"/>
      <c r="BO71" s="11">
        <v>1</v>
      </c>
      <c r="BR71">
        <v>0</v>
      </c>
      <c r="BS71" s="11"/>
      <c r="BT71" s="11">
        <v>1</v>
      </c>
      <c r="BU71" s="11"/>
      <c r="BV71" s="11">
        <v>1</v>
      </c>
      <c r="BZ71" s="11"/>
      <c r="CA71" s="11"/>
      <c r="CB71" s="11"/>
      <c r="CC71" s="11"/>
      <c r="CG71" s="11"/>
      <c r="CH71" s="11"/>
      <c r="CI71" s="11"/>
      <c r="CJ71" s="11"/>
      <c r="CN71" s="11"/>
      <c r="CO71" s="11"/>
      <c r="CP71" s="11"/>
      <c r="CQ71" s="11"/>
      <c r="CU71" s="11"/>
      <c r="CV71" s="11"/>
      <c r="CW71" s="11"/>
      <c r="CX71" s="11"/>
      <c r="DB71" s="11"/>
      <c r="DC71" s="11"/>
      <c r="DD71" s="11"/>
      <c r="DE71" s="11"/>
    </row>
    <row r="72" spans="2:109" hidden="1" outlineLevel="1" x14ac:dyDescent="0.2">
      <c r="B72" t="s">
        <v>28</v>
      </c>
      <c r="C72" t="s">
        <v>123</v>
      </c>
      <c r="E72" s="10"/>
      <c r="F72" t="s">
        <v>126</v>
      </c>
      <c r="G72" s="11">
        <v>0.08</v>
      </c>
      <c r="I72" s="10">
        <f t="shared" si="9"/>
        <v>6</v>
      </c>
      <c r="J72" s="12">
        <f t="shared" si="10"/>
        <v>0</v>
      </c>
      <c r="K72" s="12">
        <f t="shared" si="10"/>
        <v>0</v>
      </c>
      <c r="L72" s="10"/>
      <c r="N72">
        <v>2</v>
      </c>
      <c r="O72" s="11"/>
      <c r="P72" s="11">
        <v>0.5</v>
      </c>
      <c r="Q72" s="11"/>
      <c r="R72" s="11">
        <v>0.5</v>
      </c>
      <c r="U72">
        <v>0</v>
      </c>
      <c r="V72" s="11"/>
      <c r="W72" s="11">
        <v>0.5</v>
      </c>
      <c r="X72" s="11"/>
      <c r="Y72" s="11">
        <v>0.5</v>
      </c>
      <c r="AB72">
        <v>2</v>
      </c>
      <c r="AC72" s="11"/>
      <c r="AD72" s="11">
        <v>0.8</v>
      </c>
      <c r="AE72" s="11"/>
      <c r="AF72" s="11">
        <v>0.8</v>
      </c>
      <c r="AI72">
        <v>0</v>
      </c>
      <c r="AJ72" s="11"/>
      <c r="AK72" s="11">
        <v>0.8</v>
      </c>
      <c r="AL72" s="11"/>
      <c r="AM72" s="11">
        <v>0.8</v>
      </c>
      <c r="AP72">
        <v>0</v>
      </c>
      <c r="AQ72" s="11"/>
      <c r="AR72" s="11">
        <v>0.8</v>
      </c>
      <c r="AS72" s="11"/>
      <c r="AT72" s="11">
        <v>0.8</v>
      </c>
      <c r="AW72">
        <v>2</v>
      </c>
      <c r="AX72" s="11"/>
      <c r="AY72" s="11">
        <v>1</v>
      </c>
      <c r="AZ72" s="11"/>
      <c r="BA72" s="11">
        <v>1</v>
      </c>
      <c r="BD72">
        <v>0</v>
      </c>
      <c r="BE72" s="11"/>
      <c r="BF72" s="11">
        <v>1</v>
      </c>
      <c r="BG72" s="11"/>
      <c r="BH72" s="11">
        <v>1</v>
      </c>
      <c r="BK72">
        <v>0</v>
      </c>
      <c r="BL72" s="11"/>
      <c r="BM72" s="11">
        <v>1</v>
      </c>
      <c r="BN72" s="11"/>
      <c r="BO72" s="11">
        <v>1</v>
      </c>
      <c r="BR72">
        <v>0</v>
      </c>
      <c r="BS72" s="11"/>
      <c r="BT72" s="11">
        <v>1</v>
      </c>
      <c r="BU72" s="11"/>
      <c r="BV72" s="11">
        <v>1</v>
      </c>
      <c r="BZ72" s="11"/>
      <c r="CA72" s="11"/>
      <c r="CB72" s="11"/>
      <c r="CC72" s="11"/>
      <c r="CG72" s="11"/>
      <c r="CH72" s="11"/>
      <c r="CI72" s="11"/>
      <c r="CJ72" s="11"/>
      <c r="CN72" s="11"/>
      <c r="CO72" s="11"/>
      <c r="CP72" s="11"/>
      <c r="CQ72" s="11"/>
      <c r="CU72" s="11"/>
      <c r="CV72" s="11"/>
      <c r="CW72" s="11"/>
      <c r="CX72" s="11"/>
      <c r="DB72" s="11"/>
      <c r="DC72" s="11"/>
      <c r="DD72" s="11"/>
      <c r="DE72" s="11"/>
    </row>
    <row r="73" spans="2:109" hidden="1" outlineLevel="1" x14ac:dyDescent="0.2">
      <c r="B73" t="s">
        <v>28</v>
      </c>
      <c r="C73" t="s">
        <v>123</v>
      </c>
      <c r="E73" s="10"/>
      <c r="F73" t="s">
        <v>127</v>
      </c>
      <c r="G73" s="11">
        <v>0.08</v>
      </c>
      <c r="I73" s="10">
        <f t="shared" si="9"/>
        <v>8</v>
      </c>
      <c r="J73" s="12">
        <f t="shared" si="10"/>
        <v>0</v>
      </c>
      <c r="K73" s="12">
        <f t="shared" si="10"/>
        <v>0</v>
      </c>
      <c r="L73" s="10"/>
      <c r="N73">
        <v>2</v>
      </c>
      <c r="O73" s="11"/>
      <c r="P73" s="11">
        <v>0.5</v>
      </c>
      <c r="Q73" s="11"/>
      <c r="R73" s="11">
        <v>0.5</v>
      </c>
      <c r="U73">
        <v>0</v>
      </c>
      <c r="V73" s="11"/>
      <c r="W73" s="11">
        <v>0.5</v>
      </c>
      <c r="X73" s="11"/>
      <c r="Y73" s="11">
        <v>0.5</v>
      </c>
      <c r="AB73">
        <v>0</v>
      </c>
      <c r="AC73" s="11"/>
      <c r="AD73" s="11">
        <v>0.5</v>
      </c>
      <c r="AE73" s="11"/>
      <c r="AF73" s="11">
        <v>0.5</v>
      </c>
      <c r="AI73">
        <v>2</v>
      </c>
      <c r="AJ73" s="11"/>
      <c r="AK73" s="11">
        <v>0.8</v>
      </c>
      <c r="AL73" s="11"/>
      <c r="AM73" s="11">
        <v>0.8</v>
      </c>
      <c r="AP73">
        <v>0</v>
      </c>
      <c r="AQ73" s="11"/>
      <c r="AR73" s="11">
        <v>0.8</v>
      </c>
      <c r="AS73" s="11"/>
      <c r="AT73" s="11">
        <v>0.8</v>
      </c>
      <c r="AW73">
        <v>2</v>
      </c>
      <c r="AX73" s="11"/>
      <c r="AY73" s="11">
        <v>1</v>
      </c>
      <c r="AZ73" s="11"/>
      <c r="BA73" s="11">
        <v>1</v>
      </c>
      <c r="BD73">
        <v>2</v>
      </c>
      <c r="BE73" s="11"/>
      <c r="BF73" s="11">
        <v>1</v>
      </c>
      <c r="BG73" s="11"/>
      <c r="BH73" s="11">
        <v>1</v>
      </c>
      <c r="BK73">
        <v>0</v>
      </c>
      <c r="BL73" s="11"/>
      <c r="BM73" s="11">
        <v>1</v>
      </c>
      <c r="BN73" s="11"/>
      <c r="BO73" s="11">
        <v>1</v>
      </c>
      <c r="BR73">
        <v>0</v>
      </c>
      <c r="BS73" s="11"/>
      <c r="BT73" s="11">
        <v>1</v>
      </c>
      <c r="BU73" s="11"/>
      <c r="BV73" s="11">
        <v>1</v>
      </c>
      <c r="BZ73" s="11"/>
      <c r="CA73" s="11"/>
      <c r="CB73" s="11"/>
      <c r="CC73" s="11"/>
      <c r="CG73" s="11"/>
      <c r="CH73" s="11"/>
      <c r="CI73" s="11"/>
      <c r="CJ73" s="11"/>
      <c r="CN73" s="11"/>
      <c r="CO73" s="11"/>
      <c r="CP73" s="11"/>
      <c r="CQ73" s="11"/>
      <c r="CU73" s="11"/>
      <c r="CV73" s="11"/>
      <c r="CW73" s="11"/>
      <c r="CX73" s="11"/>
      <c r="DB73" s="11"/>
      <c r="DC73" s="11"/>
      <c r="DD73" s="11"/>
      <c r="DE73" s="11"/>
    </row>
    <row r="74" spans="2:109" hidden="1" outlineLevel="1" x14ac:dyDescent="0.2">
      <c r="B74" t="s">
        <v>28</v>
      </c>
      <c r="C74" t="s">
        <v>123</v>
      </c>
      <c r="E74" s="10"/>
      <c r="F74" t="s">
        <v>128</v>
      </c>
      <c r="G74" s="11">
        <v>0.09</v>
      </c>
      <c r="I74" s="10">
        <f t="shared" si="9"/>
        <v>6</v>
      </c>
      <c r="J74" s="12">
        <f t="shared" si="10"/>
        <v>0</v>
      </c>
      <c r="K74" s="12">
        <f t="shared" si="10"/>
        <v>0</v>
      </c>
      <c r="L74" s="10"/>
      <c r="O74" s="11"/>
      <c r="P74" s="11"/>
      <c r="Q74" s="11"/>
      <c r="R74" s="11"/>
      <c r="U74">
        <v>2</v>
      </c>
      <c r="V74" s="11"/>
      <c r="W74" s="11">
        <v>0.5</v>
      </c>
      <c r="X74" s="11"/>
      <c r="Y74" s="11">
        <v>0.5</v>
      </c>
      <c r="AB74">
        <v>0</v>
      </c>
      <c r="AC74" s="11"/>
      <c r="AD74" s="11">
        <v>0.5</v>
      </c>
      <c r="AE74" s="11"/>
      <c r="AF74" s="11">
        <v>0.5</v>
      </c>
      <c r="AI74">
        <v>0</v>
      </c>
      <c r="AJ74" s="11"/>
      <c r="AK74" s="11">
        <v>0.5</v>
      </c>
      <c r="AL74" s="11"/>
      <c r="AM74" s="11">
        <v>0.5</v>
      </c>
      <c r="AP74">
        <v>2</v>
      </c>
      <c r="AQ74" s="11"/>
      <c r="AR74" s="11">
        <v>0.8</v>
      </c>
      <c r="AS74" s="11"/>
      <c r="AT74" s="11">
        <v>0.8</v>
      </c>
      <c r="AW74">
        <v>0</v>
      </c>
      <c r="AX74" s="11"/>
      <c r="AY74" s="11">
        <v>0.8</v>
      </c>
      <c r="AZ74" s="11"/>
      <c r="BA74" s="11">
        <v>1</v>
      </c>
      <c r="BD74">
        <v>2</v>
      </c>
      <c r="BE74" s="11"/>
      <c r="BF74" s="11">
        <v>1</v>
      </c>
      <c r="BG74" s="11"/>
      <c r="BH74" s="11">
        <v>1</v>
      </c>
      <c r="BK74">
        <v>0</v>
      </c>
      <c r="BL74" s="11"/>
      <c r="BM74" s="11">
        <v>1</v>
      </c>
      <c r="BN74" s="11"/>
      <c r="BO74" s="11">
        <v>1</v>
      </c>
      <c r="BR74">
        <v>0</v>
      </c>
      <c r="BS74" s="11"/>
      <c r="BT74" s="11">
        <v>1</v>
      </c>
      <c r="BU74" s="11"/>
      <c r="BV74" s="11">
        <v>1</v>
      </c>
      <c r="BZ74" s="11"/>
      <c r="CA74" s="11"/>
      <c r="CB74" s="11"/>
      <c r="CC74" s="11"/>
      <c r="CG74" s="11"/>
      <c r="CH74" s="11"/>
      <c r="CI74" s="11"/>
      <c r="CJ74" s="11"/>
      <c r="CN74" s="11"/>
      <c r="CO74" s="11"/>
      <c r="CP74" s="11"/>
      <c r="CQ74" s="11"/>
      <c r="CU74" s="11"/>
      <c r="CV74" s="11"/>
      <c r="CW74" s="11"/>
      <c r="CX74" s="11"/>
      <c r="DB74" s="11"/>
      <c r="DC74" s="11"/>
      <c r="DD74" s="11"/>
      <c r="DE74" s="11"/>
    </row>
    <row r="75" spans="2:109" hidden="1" outlineLevel="1" x14ac:dyDescent="0.2">
      <c r="B75" t="s">
        <v>28</v>
      </c>
      <c r="C75" t="s">
        <v>123</v>
      </c>
      <c r="E75" s="10"/>
      <c r="F75" t="s">
        <v>129</v>
      </c>
      <c r="G75" s="11">
        <v>0.08</v>
      </c>
      <c r="I75" s="10">
        <f t="shared" si="9"/>
        <v>6</v>
      </c>
      <c r="J75" s="12">
        <f t="shared" si="10"/>
        <v>0</v>
      </c>
      <c r="K75" s="12">
        <f t="shared" si="10"/>
        <v>0</v>
      </c>
      <c r="L75" s="10"/>
      <c r="O75" s="11"/>
      <c r="P75" s="11"/>
      <c r="Q75" s="11"/>
      <c r="R75" s="11"/>
      <c r="U75">
        <v>2</v>
      </c>
      <c r="V75" s="11"/>
      <c r="W75" s="11">
        <v>0.5</v>
      </c>
      <c r="X75" s="11"/>
      <c r="Y75" s="11">
        <v>0.5</v>
      </c>
      <c r="AB75">
        <v>0</v>
      </c>
      <c r="AC75" s="11"/>
      <c r="AD75" s="11">
        <v>0.5</v>
      </c>
      <c r="AE75" s="11"/>
      <c r="AF75" s="11">
        <v>0.5</v>
      </c>
      <c r="AI75">
        <v>0</v>
      </c>
      <c r="AJ75" s="11"/>
      <c r="AK75" s="11">
        <v>0.5</v>
      </c>
      <c r="AL75" s="11"/>
      <c r="AM75" s="11">
        <v>0.5</v>
      </c>
      <c r="AP75">
        <v>2</v>
      </c>
      <c r="AQ75" s="11"/>
      <c r="AR75" s="11">
        <v>0.8</v>
      </c>
      <c r="AS75" s="11"/>
      <c r="AT75" s="11">
        <v>0.8</v>
      </c>
      <c r="AW75">
        <v>0</v>
      </c>
      <c r="AX75" s="11"/>
      <c r="AY75" s="11">
        <v>0.8</v>
      </c>
      <c r="AZ75" s="11"/>
      <c r="BA75" s="11">
        <v>1</v>
      </c>
      <c r="BD75">
        <v>2</v>
      </c>
      <c r="BE75" s="11"/>
      <c r="BF75" s="11">
        <v>1</v>
      </c>
      <c r="BG75" s="11"/>
      <c r="BH75" s="11">
        <v>1</v>
      </c>
      <c r="BK75">
        <v>0</v>
      </c>
      <c r="BL75" s="11"/>
      <c r="BM75" s="11">
        <v>1</v>
      </c>
      <c r="BN75" s="11"/>
      <c r="BO75" s="11">
        <v>1</v>
      </c>
      <c r="BR75">
        <v>0</v>
      </c>
      <c r="BS75" s="11"/>
      <c r="BT75" s="11">
        <v>1</v>
      </c>
      <c r="BU75" s="11"/>
      <c r="BV75" s="11">
        <v>1</v>
      </c>
      <c r="BZ75" s="11"/>
      <c r="CA75" s="11"/>
      <c r="CB75" s="11"/>
      <c r="CC75" s="11"/>
      <c r="CG75" s="11"/>
      <c r="CH75" s="11"/>
      <c r="CI75" s="11"/>
      <c r="CJ75" s="11"/>
      <c r="CN75" s="11"/>
      <c r="CO75" s="11"/>
      <c r="CP75" s="11"/>
      <c r="CQ75" s="11"/>
      <c r="CU75" s="11"/>
      <c r="CV75" s="11"/>
      <c r="CW75" s="11"/>
      <c r="CX75" s="11"/>
      <c r="DB75" s="11"/>
      <c r="DC75" s="11"/>
      <c r="DD75" s="11"/>
      <c r="DE75" s="11"/>
    </row>
    <row r="76" spans="2:109" hidden="1" outlineLevel="1" x14ac:dyDescent="0.2">
      <c r="B76" t="s">
        <v>28</v>
      </c>
      <c r="C76" t="s">
        <v>123</v>
      </c>
      <c r="E76" s="10"/>
      <c r="F76" t="s">
        <v>130</v>
      </c>
      <c r="G76" s="11">
        <v>0.09</v>
      </c>
      <c r="I76" s="10">
        <f t="shared" si="9"/>
        <v>4</v>
      </c>
      <c r="J76" s="12">
        <f t="shared" si="10"/>
        <v>0</v>
      </c>
      <c r="K76" s="12">
        <f t="shared" si="10"/>
        <v>0</v>
      </c>
      <c r="L76" s="10"/>
      <c r="O76" s="11"/>
      <c r="P76" s="11"/>
      <c r="Q76" s="11"/>
      <c r="R76" s="11"/>
      <c r="U76">
        <v>2</v>
      </c>
      <c r="V76" s="11"/>
      <c r="W76" s="11">
        <v>0.5</v>
      </c>
      <c r="X76" s="11"/>
      <c r="Y76" s="11">
        <v>0.5</v>
      </c>
      <c r="AB76">
        <v>0</v>
      </c>
      <c r="AC76" s="11"/>
      <c r="AD76" s="11">
        <v>0.5</v>
      </c>
      <c r="AE76" s="11"/>
      <c r="AF76" s="11">
        <v>0.5</v>
      </c>
      <c r="AI76">
        <v>0</v>
      </c>
      <c r="AJ76" s="11"/>
      <c r="AK76" s="11">
        <v>0.5</v>
      </c>
      <c r="AL76" s="11"/>
      <c r="AM76" s="11">
        <v>0.5</v>
      </c>
      <c r="AP76">
        <v>0</v>
      </c>
      <c r="AQ76" s="11"/>
      <c r="AR76" s="11">
        <v>0.5</v>
      </c>
      <c r="AS76" s="11"/>
      <c r="AT76" s="11">
        <v>0.5</v>
      </c>
      <c r="AW76">
        <v>0</v>
      </c>
      <c r="AX76" s="11"/>
      <c r="AY76" s="11">
        <v>0.8</v>
      </c>
      <c r="AZ76" s="11"/>
      <c r="BA76" s="11">
        <v>0.8</v>
      </c>
      <c r="BD76">
        <v>0</v>
      </c>
      <c r="BE76" s="11"/>
      <c r="BF76" s="11">
        <v>0.8</v>
      </c>
      <c r="BG76" s="11"/>
      <c r="BH76" s="11">
        <v>0.8</v>
      </c>
      <c r="BK76">
        <v>2</v>
      </c>
      <c r="BL76" s="11"/>
      <c r="BM76" s="11">
        <v>1</v>
      </c>
      <c r="BN76" s="11"/>
      <c r="BO76" s="11">
        <v>1</v>
      </c>
      <c r="BR76">
        <v>0</v>
      </c>
      <c r="BS76" s="11"/>
      <c r="BT76" s="11">
        <v>1</v>
      </c>
      <c r="BU76" s="11"/>
      <c r="BV76" s="11">
        <v>1</v>
      </c>
      <c r="BZ76" s="11"/>
      <c r="CA76" s="11"/>
      <c r="CB76" s="11"/>
      <c r="CC76" s="11"/>
      <c r="CG76" s="11"/>
      <c r="CH76" s="11"/>
      <c r="CI76" s="11"/>
      <c r="CJ76" s="11"/>
      <c r="CN76" s="11"/>
      <c r="CO76" s="11"/>
      <c r="CP76" s="11"/>
      <c r="CQ76" s="11"/>
      <c r="CU76" s="11"/>
      <c r="CV76" s="11"/>
      <c r="CW76" s="11"/>
      <c r="CX76" s="11"/>
      <c r="DB76" s="11"/>
      <c r="DC76" s="11"/>
      <c r="DD76" s="11"/>
      <c r="DE76" s="11"/>
    </row>
    <row r="77" spans="2:109" hidden="1" outlineLevel="1" x14ac:dyDescent="0.2">
      <c r="B77" t="s">
        <v>28</v>
      </c>
      <c r="C77" t="s">
        <v>123</v>
      </c>
      <c r="E77" s="10"/>
      <c r="F77" t="s">
        <v>131</v>
      </c>
      <c r="G77" s="11">
        <v>0.08</v>
      </c>
      <c r="I77" s="10">
        <f t="shared" si="9"/>
        <v>4</v>
      </c>
      <c r="J77" s="12">
        <f t="shared" si="10"/>
        <v>0</v>
      </c>
      <c r="K77" s="12">
        <f t="shared" si="10"/>
        <v>0</v>
      </c>
      <c r="L77" s="10"/>
      <c r="O77" s="11"/>
      <c r="P77" s="11"/>
      <c r="Q77" s="11"/>
      <c r="R77" s="11"/>
      <c r="V77" s="11"/>
      <c r="W77" s="11"/>
      <c r="X77" s="11"/>
      <c r="Y77" s="11"/>
      <c r="AB77">
        <v>2</v>
      </c>
      <c r="AC77" s="11"/>
      <c r="AD77" s="11">
        <v>0.5</v>
      </c>
      <c r="AE77" s="11"/>
      <c r="AF77" s="11">
        <v>0.5</v>
      </c>
      <c r="AI77">
        <v>0</v>
      </c>
      <c r="AJ77" s="11"/>
      <c r="AK77" s="11">
        <v>0.5</v>
      </c>
      <c r="AL77" s="11"/>
      <c r="AM77" s="11">
        <v>0.5</v>
      </c>
      <c r="AP77">
        <v>0</v>
      </c>
      <c r="AQ77" s="11"/>
      <c r="AR77" s="11">
        <v>0.5</v>
      </c>
      <c r="AS77" s="11"/>
      <c r="AT77" s="11">
        <v>0.5</v>
      </c>
      <c r="AW77">
        <v>0</v>
      </c>
      <c r="AX77" s="11"/>
      <c r="AY77" s="11">
        <v>0.8</v>
      </c>
      <c r="AZ77" s="11"/>
      <c r="BA77" s="11">
        <v>0.8</v>
      </c>
      <c r="BD77">
        <v>0</v>
      </c>
      <c r="BE77" s="11"/>
      <c r="BF77" s="11">
        <v>0.8</v>
      </c>
      <c r="BG77" s="11"/>
      <c r="BH77" s="11">
        <v>0.8</v>
      </c>
      <c r="BK77">
        <v>2</v>
      </c>
      <c r="BL77" s="11"/>
      <c r="BM77" s="11">
        <v>1</v>
      </c>
      <c r="BN77" s="11"/>
      <c r="BO77" s="11">
        <v>1</v>
      </c>
      <c r="BR77">
        <v>0</v>
      </c>
      <c r="BS77" s="11"/>
      <c r="BT77" s="11">
        <v>1</v>
      </c>
      <c r="BU77" s="11"/>
      <c r="BV77" s="11">
        <v>1</v>
      </c>
      <c r="BZ77" s="11"/>
      <c r="CA77" s="11"/>
      <c r="CB77" s="11"/>
      <c r="CC77" s="11"/>
      <c r="CG77" s="11"/>
      <c r="CH77" s="11"/>
      <c r="CI77" s="11"/>
      <c r="CJ77" s="11"/>
      <c r="CN77" s="11"/>
      <c r="CO77" s="11"/>
      <c r="CP77" s="11"/>
      <c r="CQ77" s="11"/>
      <c r="CU77" s="11"/>
      <c r="CV77" s="11"/>
      <c r="CW77" s="11"/>
      <c r="CX77" s="11"/>
      <c r="DB77" s="11"/>
      <c r="DC77" s="11"/>
      <c r="DD77" s="11"/>
      <c r="DE77" s="11"/>
    </row>
    <row r="78" spans="2:109" hidden="1" outlineLevel="1" x14ac:dyDescent="0.2">
      <c r="B78" t="s">
        <v>28</v>
      </c>
      <c r="C78" t="s">
        <v>123</v>
      </c>
      <c r="E78" s="10"/>
      <c r="F78" t="s">
        <v>132</v>
      </c>
      <c r="G78" s="11">
        <v>0.08</v>
      </c>
      <c r="I78" s="10">
        <f t="shared" si="9"/>
        <v>4</v>
      </c>
      <c r="J78" s="12">
        <f t="shared" si="10"/>
        <v>0</v>
      </c>
      <c r="K78" s="12">
        <f t="shared" si="10"/>
        <v>0</v>
      </c>
      <c r="L78" s="10"/>
      <c r="O78" s="11"/>
      <c r="P78" s="11"/>
      <c r="Q78" s="11"/>
      <c r="R78" s="11"/>
      <c r="V78" s="11"/>
      <c r="W78" s="11"/>
      <c r="X78" s="11"/>
      <c r="Y78" s="11"/>
      <c r="AB78">
        <v>2</v>
      </c>
      <c r="AC78" s="11"/>
      <c r="AD78" s="11">
        <v>0.5</v>
      </c>
      <c r="AE78" s="11"/>
      <c r="AF78" s="11">
        <v>0.5</v>
      </c>
      <c r="AI78">
        <v>0</v>
      </c>
      <c r="AJ78" s="11"/>
      <c r="AK78" s="11">
        <v>0.5</v>
      </c>
      <c r="AL78" s="11"/>
      <c r="AM78" s="11">
        <v>0.5</v>
      </c>
      <c r="AP78">
        <v>0</v>
      </c>
      <c r="AQ78" s="11"/>
      <c r="AR78" s="11">
        <v>0.5</v>
      </c>
      <c r="AS78" s="11"/>
      <c r="AT78" s="11">
        <v>0.5</v>
      </c>
      <c r="AW78">
        <v>0</v>
      </c>
      <c r="AX78" s="11"/>
      <c r="AY78" s="11">
        <v>0.8</v>
      </c>
      <c r="AZ78" s="11"/>
      <c r="BA78" s="11">
        <v>0.8</v>
      </c>
      <c r="BD78">
        <v>0</v>
      </c>
      <c r="BE78" s="11"/>
      <c r="BF78" s="11">
        <v>0.8</v>
      </c>
      <c r="BG78" s="11"/>
      <c r="BH78" s="11">
        <v>0.8</v>
      </c>
      <c r="BK78">
        <v>2</v>
      </c>
      <c r="BL78" s="11"/>
      <c r="BM78" s="11">
        <v>1</v>
      </c>
      <c r="BN78" s="11"/>
      <c r="BO78" s="11">
        <v>1</v>
      </c>
      <c r="BR78">
        <v>0</v>
      </c>
      <c r="BS78" s="11"/>
      <c r="BT78" s="11">
        <v>1</v>
      </c>
      <c r="BU78" s="11"/>
      <c r="BV78" s="11">
        <v>1</v>
      </c>
      <c r="BZ78" s="11"/>
      <c r="CA78" s="11"/>
      <c r="CB78" s="11"/>
      <c r="CC78" s="11"/>
      <c r="CG78" s="11"/>
      <c r="CH78" s="11"/>
      <c r="CI78" s="11"/>
      <c r="CJ78" s="11"/>
      <c r="CN78" s="11"/>
      <c r="CO78" s="11"/>
      <c r="CP78" s="11"/>
      <c r="CQ78" s="11"/>
      <c r="CU78" s="11"/>
      <c r="CV78" s="11"/>
      <c r="CW78" s="11"/>
      <c r="CX78" s="11"/>
      <c r="DB78" s="11"/>
      <c r="DC78" s="11"/>
      <c r="DD78" s="11"/>
      <c r="DE78" s="11"/>
    </row>
    <row r="79" spans="2:109" hidden="1" outlineLevel="1" x14ac:dyDescent="0.2">
      <c r="B79" t="s">
        <v>28</v>
      </c>
      <c r="C79" t="s">
        <v>123</v>
      </c>
      <c r="E79" s="10"/>
      <c r="F79" t="s">
        <v>133</v>
      </c>
      <c r="G79" s="11">
        <v>0.08</v>
      </c>
      <c r="I79" s="10">
        <f t="shared" si="9"/>
        <v>6</v>
      </c>
      <c r="J79" s="12">
        <f t="shared" si="10"/>
        <v>0</v>
      </c>
      <c r="K79" s="12">
        <f t="shared" si="10"/>
        <v>0</v>
      </c>
      <c r="L79" s="10"/>
      <c r="O79" s="11"/>
      <c r="P79" s="11"/>
      <c r="Q79" s="11"/>
      <c r="R79" s="11"/>
      <c r="V79" s="11"/>
      <c r="W79" s="11"/>
      <c r="X79" s="11"/>
      <c r="Y79" s="11"/>
      <c r="AC79" s="11"/>
      <c r="AD79" s="11"/>
      <c r="AE79" s="11"/>
      <c r="AF79" s="11"/>
      <c r="AI79">
        <v>2</v>
      </c>
      <c r="AJ79" s="11"/>
      <c r="AK79" s="11">
        <v>0.5</v>
      </c>
      <c r="AL79" s="11"/>
      <c r="AM79" s="11">
        <v>0.5</v>
      </c>
      <c r="AP79">
        <v>0</v>
      </c>
      <c r="AQ79" s="11"/>
      <c r="AR79" s="11">
        <v>0.5</v>
      </c>
      <c r="AS79" s="11"/>
      <c r="AT79" s="11">
        <v>0.5</v>
      </c>
      <c r="AW79">
        <v>2</v>
      </c>
      <c r="AX79" s="11"/>
      <c r="AY79" s="11">
        <v>0.8</v>
      </c>
      <c r="AZ79" s="11"/>
      <c r="BA79" s="11">
        <v>0.8</v>
      </c>
      <c r="BD79">
        <v>0</v>
      </c>
      <c r="BE79" s="11"/>
      <c r="BF79" s="11">
        <v>0.8</v>
      </c>
      <c r="BG79" s="11"/>
      <c r="BH79" s="11">
        <v>0.8</v>
      </c>
      <c r="BK79">
        <v>2</v>
      </c>
      <c r="BL79" s="11"/>
      <c r="BM79" s="11">
        <v>1</v>
      </c>
      <c r="BN79" s="11"/>
      <c r="BO79" s="11">
        <v>1</v>
      </c>
      <c r="BR79">
        <v>0</v>
      </c>
      <c r="BS79" s="11"/>
      <c r="BT79" s="11">
        <v>1</v>
      </c>
      <c r="BU79" s="11"/>
      <c r="BV79" s="11">
        <v>1</v>
      </c>
      <c r="BZ79" s="11"/>
      <c r="CA79" s="11"/>
      <c r="CB79" s="11"/>
      <c r="CC79" s="11"/>
      <c r="CG79" s="11"/>
      <c r="CH79" s="11"/>
      <c r="CI79" s="11"/>
      <c r="CJ79" s="11"/>
      <c r="CN79" s="11"/>
      <c r="CO79" s="11"/>
      <c r="CP79" s="11"/>
      <c r="CQ79" s="11"/>
      <c r="CU79" s="11"/>
      <c r="CV79" s="11"/>
      <c r="CW79" s="11"/>
      <c r="CX79" s="11"/>
      <c r="DB79" s="11"/>
      <c r="DC79" s="11"/>
      <c r="DD79" s="11"/>
      <c r="DE79" s="11"/>
    </row>
    <row r="80" spans="2:109" hidden="1" outlineLevel="1" x14ac:dyDescent="0.2">
      <c r="B80" t="s">
        <v>28</v>
      </c>
      <c r="C80" t="s">
        <v>123</v>
      </c>
      <c r="E80" s="10"/>
      <c r="F80" t="s">
        <v>134</v>
      </c>
      <c r="G80" s="11">
        <v>0.09</v>
      </c>
      <c r="I80" s="10">
        <f t="shared" si="9"/>
        <v>6</v>
      </c>
      <c r="J80" s="12">
        <f t="shared" si="10"/>
        <v>0</v>
      </c>
      <c r="K80" s="12">
        <f t="shared" si="10"/>
        <v>0</v>
      </c>
      <c r="L80" s="10"/>
      <c r="O80" s="11"/>
      <c r="P80" s="11"/>
      <c r="Q80" s="11"/>
      <c r="R80" s="11"/>
      <c r="V80" s="11"/>
      <c r="W80" s="11"/>
      <c r="X80" s="11"/>
      <c r="Y80" s="11"/>
      <c r="AC80" s="11"/>
      <c r="AD80" s="11"/>
      <c r="AE80" s="11"/>
      <c r="AF80" s="11"/>
      <c r="AI80">
        <v>2</v>
      </c>
      <c r="AJ80" s="11"/>
      <c r="AK80" s="11">
        <v>0.5</v>
      </c>
      <c r="AL80" s="11"/>
      <c r="AM80" s="11">
        <v>0.5</v>
      </c>
      <c r="AP80">
        <v>0</v>
      </c>
      <c r="AQ80" s="11"/>
      <c r="AR80" s="11">
        <v>0.5</v>
      </c>
      <c r="AS80" s="11"/>
      <c r="AT80" s="11">
        <v>0.5</v>
      </c>
      <c r="AW80">
        <v>2</v>
      </c>
      <c r="AX80" s="11"/>
      <c r="AY80" s="11">
        <v>0.8</v>
      </c>
      <c r="AZ80" s="11"/>
      <c r="BA80" s="11">
        <v>0.8</v>
      </c>
      <c r="BD80">
        <v>0</v>
      </c>
      <c r="BE80" s="11"/>
      <c r="BF80" s="11">
        <v>0.8</v>
      </c>
      <c r="BG80" s="11"/>
      <c r="BH80" s="11">
        <v>0.8</v>
      </c>
      <c r="BK80">
        <v>0</v>
      </c>
      <c r="BL80" s="11"/>
      <c r="BM80" s="11">
        <v>0.8</v>
      </c>
      <c r="BN80" s="11"/>
      <c r="BO80" s="11">
        <v>0.8</v>
      </c>
      <c r="BR80">
        <v>2</v>
      </c>
      <c r="BS80" s="11"/>
      <c r="BT80" s="11">
        <v>1</v>
      </c>
      <c r="BU80" s="11"/>
      <c r="BV80" s="11">
        <v>1</v>
      </c>
      <c r="BZ80" s="11"/>
      <c r="CA80" s="11"/>
      <c r="CB80" s="11"/>
      <c r="CC80" s="11"/>
      <c r="CG80" s="11"/>
      <c r="CH80" s="11"/>
      <c r="CI80" s="11"/>
      <c r="CJ80" s="11"/>
      <c r="CN80" s="11"/>
      <c r="CO80" s="11"/>
      <c r="CP80" s="11"/>
      <c r="CQ80" s="11"/>
      <c r="CU80" s="11"/>
      <c r="CV80" s="11"/>
      <c r="CW80" s="11"/>
      <c r="CX80" s="11"/>
      <c r="DB80" s="11"/>
      <c r="DC80" s="11"/>
      <c r="DD80" s="11"/>
      <c r="DE80" s="11"/>
    </row>
    <row r="81" spans="2:109" hidden="1" outlineLevel="1" x14ac:dyDescent="0.2">
      <c r="B81" t="s">
        <v>28</v>
      </c>
      <c r="C81" t="s">
        <v>123</v>
      </c>
      <c r="E81" s="10"/>
      <c r="F81" t="s">
        <v>135</v>
      </c>
      <c r="G81" s="11">
        <v>0.09</v>
      </c>
      <c r="I81" s="10">
        <f t="shared" si="9"/>
        <v>6</v>
      </c>
      <c r="J81" s="12">
        <f t="shared" si="10"/>
        <v>0</v>
      </c>
      <c r="K81" s="12">
        <f t="shared" si="10"/>
        <v>0</v>
      </c>
      <c r="L81" s="10"/>
      <c r="O81" s="11"/>
      <c r="P81" s="11"/>
      <c r="Q81" s="11"/>
      <c r="R81" s="11"/>
      <c r="V81" s="11"/>
      <c r="W81" s="11"/>
      <c r="X81" s="11"/>
      <c r="Y81" s="11"/>
      <c r="AC81" s="11"/>
      <c r="AD81" s="11"/>
      <c r="AE81" s="11"/>
      <c r="AF81" s="11"/>
      <c r="AJ81" s="11"/>
      <c r="AK81" s="11"/>
      <c r="AL81" s="11"/>
      <c r="AM81" s="11"/>
      <c r="AP81">
        <v>2</v>
      </c>
      <c r="AQ81" s="11"/>
      <c r="AR81" s="11">
        <v>0.5</v>
      </c>
      <c r="AS81" s="11"/>
      <c r="AT81" s="11">
        <v>0.5</v>
      </c>
      <c r="AW81">
        <v>0</v>
      </c>
      <c r="AX81" s="11"/>
      <c r="AY81" s="11">
        <v>0.5</v>
      </c>
      <c r="AZ81" s="11"/>
      <c r="BA81" s="11">
        <v>0.5</v>
      </c>
      <c r="BD81">
        <v>2</v>
      </c>
      <c r="BE81" s="11"/>
      <c r="BF81" s="11">
        <v>0.8</v>
      </c>
      <c r="BG81" s="11"/>
      <c r="BH81" s="11">
        <v>0.8</v>
      </c>
      <c r="BK81">
        <v>0</v>
      </c>
      <c r="BL81" s="11"/>
      <c r="BM81" s="11">
        <v>0.8</v>
      </c>
      <c r="BN81" s="11"/>
      <c r="BO81" s="11">
        <v>0.8</v>
      </c>
      <c r="BR81">
        <v>2</v>
      </c>
      <c r="BS81" s="11"/>
      <c r="BT81" s="11">
        <v>1</v>
      </c>
      <c r="BU81" s="11"/>
      <c r="BV81" s="11">
        <v>1</v>
      </c>
      <c r="BZ81" s="11"/>
      <c r="CA81" s="11"/>
      <c r="CB81" s="11"/>
      <c r="CC81" s="11"/>
      <c r="CG81" s="11"/>
      <c r="CH81" s="11"/>
      <c r="CI81" s="11"/>
      <c r="CJ81" s="11"/>
      <c r="CN81" s="11"/>
      <c r="CO81" s="11"/>
      <c r="CP81" s="11"/>
      <c r="CQ81" s="11"/>
      <c r="CU81" s="11"/>
      <c r="CV81" s="11"/>
      <c r="CW81" s="11"/>
      <c r="CX81" s="11"/>
      <c r="DB81" s="11"/>
      <c r="DC81" s="11"/>
      <c r="DD81" s="11"/>
      <c r="DE81" s="11"/>
    </row>
    <row r="82" spans="2:109" collapsed="1" x14ac:dyDescent="0.2"/>
    <row r="83" spans="2:109" x14ac:dyDescent="0.2">
      <c r="B83" t="s">
        <v>27</v>
      </c>
      <c r="C83" t="s">
        <v>136</v>
      </c>
      <c r="E83" s="10">
        <v>3</v>
      </c>
      <c r="G83" s="11">
        <f>+SUM(G84:G95)</f>
        <v>1</v>
      </c>
      <c r="I83" s="13">
        <f>+SUM(I84:I95)</f>
        <v>44</v>
      </c>
      <c r="J83" s="12">
        <f>+SUMPRODUCT(G84:G95,J84:J95)</f>
        <v>0</v>
      </c>
      <c r="K83" s="12">
        <f>+SUMPRODUCT(G84:G95,K84:K95)</f>
        <v>0</v>
      </c>
      <c r="L83" s="10"/>
      <c r="N83" s="13">
        <f>+SUM(N84:N95)</f>
        <v>6</v>
      </c>
      <c r="U83" s="13">
        <f>+SUM(U84:U95)</f>
        <v>6</v>
      </c>
      <c r="AB83" s="13">
        <f>+SUM(AB84:AB95)</f>
        <v>6</v>
      </c>
      <c r="AI83" s="13">
        <f>+SUM(AI84:AI95)</f>
        <v>6</v>
      </c>
      <c r="AP83" s="10">
        <f>+SUM(AP84:AP95)</f>
        <v>6</v>
      </c>
      <c r="AW83" s="10">
        <f>+SUM(AW84:AW95)</f>
        <v>6</v>
      </c>
      <c r="BD83" s="10">
        <f>+SUM(BD84:BD95)</f>
        <v>6</v>
      </c>
      <c r="BK83" s="10">
        <f>+SUM(BK84:BK95)</f>
        <v>2</v>
      </c>
      <c r="BR83" s="10">
        <f>+SUM(BR84:BR95)</f>
        <v>0</v>
      </c>
    </row>
    <row r="84" spans="2:109" hidden="1" outlineLevel="1" x14ac:dyDescent="0.2">
      <c r="B84" t="s">
        <v>28</v>
      </c>
      <c r="C84" t="s">
        <v>136</v>
      </c>
      <c r="E84" s="10"/>
      <c r="F84" t="s">
        <v>137</v>
      </c>
      <c r="G84" s="11">
        <v>0.14000000000000001</v>
      </c>
      <c r="I84" s="10">
        <f t="shared" ref="I84:I90" si="11">+SUMIF($N$3:$ZZ$3,I$3,$N84:$ZZ84)</f>
        <v>6</v>
      </c>
      <c r="J84" s="12">
        <f t="shared" ref="J84:K90" si="12">+_xlfn.MAXIFS($N84:$ZF84,$N$3:$ZF$3,J$3)</f>
        <v>0</v>
      </c>
      <c r="K84" s="12">
        <f t="shared" si="12"/>
        <v>0</v>
      </c>
      <c r="L84" s="10"/>
      <c r="N84">
        <v>2</v>
      </c>
      <c r="O84" s="11"/>
      <c r="P84" s="11">
        <v>0.5</v>
      </c>
      <c r="Q84" s="11"/>
      <c r="R84" s="11">
        <v>0.5</v>
      </c>
      <c r="U84">
        <v>2</v>
      </c>
      <c r="V84" s="11"/>
      <c r="W84" s="11">
        <v>0.8</v>
      </c>
      <c r="X84" s="11"/>
      <c r="Y84" s="11">
        <v>0.8</v>
      </c>
      <c r="AB84">
        <v>0</v>
      </c>
      <c r="AC84" s="11"/>
      <c r="AD84" s="11">
        <v>0.8</v>
      </c>
      <c r="AE84" s="11"/>
      <c r="AF84" s="11">
        <v>0.8</v>
      </c>
      <c r="AI84">
        <v>2</v>
      </c>
      <c r="AJ84" s="11"/>
      <c r="AK84" s="11">
        <v>1</v>
      </c>
      <c r="AL84" s="11"/>
      <c r="AM84" s="11">
        <v>1</v>
      </c>
      <c r="AP84">
        <v>0</v>
      </c>
      <c r="AQ84" s="11"/>
      <c r="AR84" s="11">
        <v>1</v>
      </c>
      <c r="AS84" s="11"/>
      <c r="AT84" s="11">
        <v>1</v>
      </c>
      <c r="AW84">
        <v>0</v>
      </c>
      <c r="AX84" s="11"/>
      <c r="AY84" s="11">
        <v>1</v>
      </c>
      <c r="AZ84" s="11"/>
      <c r="BA84" s="11">
        <v>1</v>
      </c>
      <c r="BD84">
        <v>0</v>
      </c>
      <c r="BE84" s="11"/>
      <c r="BF84" s="11">
        <v>1</v>
      </c>
      <c r="BG84" s="11"/>
      <c r="BH84" s="11">
        <v>1</v>
      </c>
      <c r="BK84">
        <v>0</v>
      </c>
      <c r="BL84" s="11"/>
      <c r="BM84" s="11">
        <v>1</v>
      </c>
      <c r="BN84" s="11"/>
      <c r="BO84" s="11">
        <v>1</v>
      </c>
      <c r="BR84">
        <v>0</v>
      </c>
      <c r="BS84" s="11"/>
      <c r="BT84" s="11">
        <v>1</v>
      </c>
      <c r="BU84" s="11"/>
      <c r="BV84" s="11">
        <v>1</v>
      </c>
      <c r="BZ84" s="11"/>
      <c r="CA84" s="11"/>
      <c r="CB84" s="11"/>
      <c r="CC84" s="11"/>
      <c r="CG84" s="11"/>
      <c r="CH84" s="11"/>
      <c r="CI84" s="11"/>
      <c r="CJ84" s="11"/>
      <c r="CN84" s="11"/>
      <c r="CO84" s="11"/>
      <c r="CP84" s="11"/>
      <c r="CQ84" s="11"/>
      <c r="CU84" s="11"/>
      <c r="CV84" s="11"/>
      <c r="CW84" s="11"/>
      <c r="CX84" s="11"/>
      <c r="DB84" s="11"/>
      <c r="DC84" s="11"/>
      <c r="DD84" s="11"/>
      <c r="DE84" s="11"/>
    </row>
    <row r="85" spans="2:109" hidden="1" outlineLevel="1" x14ac:dyDescent="0.2">
      <c r="B85" t="s">
        <v>28</v>
      </c>
      <c r="C85" t="s">
        <v>136</v>
      </c>
      <c r="E85" s="10"/>
      <c r="F85" t="s">
        <v>138</v>
      </c>
      <c r="G85" s="11">
        <v>0.14000000000000001</v>
      </c>
      <c r="I85" s="10">
        <f t="shared" si="11"/>
        <v>6</v>
      </c>
      <c r="J85" s="12">
        <f t="shared" si="12"/>
        <v>0</v>
      </c>
      <c r="K85" s="12">
        <f t="shared" si="12"/>
        <v>0</v>
      </c>
      <c r="L85" s="10"/>
      <c r="N85">
        <v>2</v>
      </c>
      <c r="O85" s="11"/>
      <c r="P85" s="11">
        <v>0.5</v>
      </c>
      <c r="Q85" s="11"/>
      <c r="R85" s="11">
        <v>0.5</v>
      </c>
      <c r="U85">
        <v>0</v>
      </c>
      <c r="V85" s="11"/>
      <c r="W85" s="11">
        <v>0.5</v>
      </c>
      <c r="X85" s="11"/>
      <c r="Y85" s="11">
        <v>0.5</v>
      </c>
      <c r="AB85">
        <v>2</v>
      </c>
      <c r="AC85" s="11"/>
      <c r="AD85" s="11">
        <v>0.8</v>
      </c>
      <c r="AE85" s="11"/>
      <c r="AF85" s="11">
        <v>0.8</v>
      </c>
      <c r="AI85">
        <v>0</v>
      </c>
      <c r="AJ85" s="11"/>
      <c r="AK85" s="11">
        <v>0.8</v>
      </c>
      <c r="AL85" s="11"/>
      <c r="AM85" s="11">
        <v>0.8</v>
      </c>
      <c r="AP85">
        <v>2</v>
      </c>
      <c r="AQ85" s="11"/>
      <c r="AR85" s="11">
        <v>1</v>
      </c>
      <c r="AS85" s="11"/>
      <c r="AT85" s="11">
        <v>1</v>
      </c>
      <c r="AW85">
        <v>0</v>
      </c>
      <c r="AX85" s="11"/>
      <c r="AY85" s="11">
        <v>1</v>
      </c>
      <c r="AZ85" s="11"/>
      <c r="BA85" s="11">
        <v>1</v>
      </c>
      <c r="BD85">
        <v>0</v>
      </c>
      <c r="BE85" s="11"/>
      <c r="BF85" s="11">
        <v>1</v>
      </c>
      <c r="BG85" s="11"/>
      <c r="BH85" s="11">
        <v>1</v>
      </c>
      <c r="BK85">
        <v>0</v>
      </c>
      <c r="BL85" s="11"/>
      <c r="BM85" s="11">
        <v>1</v>
      </c>
      <c r="BN85" s="11"/>
      <c r="BO85" s="11">
        <v>1</v>
      </c>
      <c r="BR85">
        <v>0</v>
      </c>
      <c r="BS85" s="11"/>
      <c r="BT85" s="11">
        <v>1</v>
      </c>
      <c r="BU85" s="11"/>
      <c r="BV85" s="11">
        <v>1</v>
      </c>
      <c r="BZ85" s="11"/>
      <c r="CA85" s="11"/>
      <c r="CB85" s="11"/>
      <c r="CC85" s="11"/>
      <c r="CG85" s="11"/>
      <c r="CH85" s="11"/>
      <c r="CI85" s="11"/>
      <c r="CJ85" s="11"/>
      <c r="CN85" s="11"/>
      <c r="CO85" s="11"/>
      <c r="CP85" s="11"/>
      <c r="CQ85" s="11"/>
      <c r="CU85" s="11"/>
      <c r="CV85" s="11"/>
      <c r="CW85" s="11"/>
      <c r="CX85" s="11"/>
      <c r="DB85" s="11"/>
      <c r="DC85" s="11"/>
      <c r="DD85" s="11"/>
      <c r="DE85" s="11"/>
    </row>
    <row r="86" spans="2:109" hidden="1" outlineLevel="1" x14ac:dyDescent="0.2">
      <c r="B86" t="s">
        <v>28</v>
      </c>
      <c r="C86" t="s">
        <v>136</v>
      </c>
      <c r="E86" s="10"/>
      <c r="F86" t="s">
        <v>140</v>
      </c>
      <c r="G86" s="11">
        <v>0.15</v>
      </c>
      <c r="I86" s="10">
        <f t="shared" si="11"/>
        <v>6</v>
      </c>
      <c r="J86" s="12">
        <f t="shared" si="12"/>
        <v>0</v>
      </c>
      <c r="K86" s="12">
        <f t="shared" si="12"/>
        <v>0</v>
      </c>
      <c r="L86" s="10"/>
      <c r="N86">
        <v>2</v>
      </c>
      <c r="O86" s="11"/>
      <c r="P86" s="11">
        <v>0.5</v>
      </c>
      <c r="Q86" s="11"/>
      <c r="R86" s="11">
        <v>0.5</v>
      </c>
      <c r="U86">
        <v>0</v>
      </c>
      <c r="V86" s="11"/>
      <c r="W86" s="11">
        <v>0.5</v>
      </c>
      <c r="X86" s="11"/>
      <c r="Y86" s="11">
        <v>0.5</v>
      </c>
      <c r="AB86">
        <v>0</v>
      </c>
      <c r="AC86" s="11"/>
      <c r="AD86" s="11">
        <v>0.5</v>
      </c>
      <c r="AE86" s="11"/>
      <c r="AF86" s="11">
        <v>0.5</v>
      </c>
      <c r="AI86">
        <v>2</v>
      </c>
      <c r="AJ86" s="11"/>
      <c r="AK86" s="11">
        <v>0.8</v>
      </c>
      <c r="AL86" s="11"/>
      <c r="AM86" s="11">
        <v>0.8</v>
      </c>
      <c r="AP86">
        <v>0</v>
      </c>
      <c r="AQ86" s="11"/>
      <c r="AR86" s="11">
        <v>0.8</v>
      </c>
      <c r="AS86" s="11"/>
      <c r="AT86" s="11">
        <v>0.8</v>
      </c>
      <c r="AW86">
        <v>2</v>
      </c>
      <c r="AX86" s="11"/>
      <c r="AY86" s="11">
        <v>1</v>
      </c>
      <c r="AZ86" s="11"/>
      <c r="BA86" s="11">
        <v>1</v>
      </c>
      <c r="BD86">
        <v>0</v>
      </c>
      <c r="BE86" s="11"/>
      <c r="BF86" s="11">
        <v>1</v>
      </c>
      <c r="BG86" s="11"/>
      <c r="BH86" s="11">
        <v>1</v>
      </c>
      <c r="BK86">
        <v>0</v>
      </c>
      <c r="BL86" s="11"/>
      <c r="BM86" s="11">
        <v>1</v>
      </c>
      <c r="BN86" s="11"/>
      <c r="BO86" s="11">
        <v>1</v>
      </c>
      <c r="BR86">
        <v>0</v>
      </c>
      <c r="BS86" s="11"/>
      <c r="BT86" s="11">
        <v>1</v>
      </c>
      <c r="BU86" s="11"/>
      <c r="BV86" s="11">
        <v>1</v>
      </c>
      <c r="BZ86" s="11"/>
      <c r="CA86" s="11"/>
      <c r="CB86" s="11"/>
      <c r="CC86" s="11"/>
      <c r="CG86" s="11"/>
      <c r="CH86" s="11"/>
      <c r="CI86" s="11"/>
      <c r="CJ86" s="11"/>
      <c r="CN86" s="11"/>
      <c r="CO86" s="11"/>
      <c r="CP86" s="11"/>
      <c r="CQ86" s="11"/>
      <c r="CU86" s="11"/>
      <c r="CV86" s="11"/>
      <c r="CW86" s="11"/>
      <c r="CX86" s="11"/>
      <c r="DB86" s="11"/>
      <c r="DC86" s="11"/>
      <c r="DD86" s="11"/>
      <c r="DE86" s="11"/>
    </row>
    <row r="87" spans="2:109" hidden="1" outlineLevel="1" x14ac:dyDescent="0.2">
      <c r="B87" t="s">
        <v>28</v>
      </c>
      <c r="C87" t="s">
        <v>136</v>
      </c>
      <c r="E87" s="10"/>
      <c r="F87" t="s">
        <v>139</v>
      </c>
      <c r="G87" s="11">
        <v>0.15</v>
      </c>
      <c r="I87" s="10">
        <f t="shared" si="11"/>
        <v>8</v>
      </c>
      <c r="J87" s="12">
        <f t="shared" si="12"/>
        <v>0</v>
      </c>
      <c r="K87" s="12">
        <f t="shared" si="12"/>
        <v>0</v>
      </c>
      <c r="L87" s="10"/>
      <c r="O87" s="11"/>
      <c r="P87" s="11"/>
      <c r="Q87" s="11"/>
      <c r="R87" s="11"/>
      <c r="U87">
        <v>2</v>
      </c>
      <c r="V87" s="11"/>
      <c r="W87" s="11">
        <v>0.5</v>
      </c>
      <c r="X87" s="11"/>
      <c r="Y87" s="11">
        <v>0.5</v>
      </c>
      <c r="AB87">
        <v>0</v>
      </c>
      <c r="AC87" s="11"/>
      <c r="AD87" s="11">
        <v>0.5</v>
      </c>
      <c r="AE87" s="11"/>
      <c r="AF87" s="11">
        <v>0.5</v>
      </c>
      <c r="AI87">
        <v>2</v>
      </c>
      <c r="AJ87" s="11"/>
      <c r="AK87" s="11">
        <v>0.8</v>
      </c>
      <c r="AL87" s="11"/>
      <c r="AM87" s="11">
        <v>0.8</v>
      </c>
      <c r="AP87">
        <v>0</v>
      </c>
      <c r="AQ87" s="11"/>
      <c r="AR87" s="11">
        <v>0.8</v>
      </c>
      <c r="AS87" s="11"/>
      <c r="AT87" s="11">
        <v>0.8</v>
      </c>
      <c r="AW87">
        <v>2</v>
      </c>
      <c r="AX87" s="11"/>
      <c r="AY87" s="11">
        <v>1</v>
      </c>
      <c r="AZ87" s="11"/>
      <c r="BA87" s="11">
        <v>1</v>
      </c>
      <c r="BD87">
        <v>2</v>
      </c>
      <c r="BE87" s="11"/>
      <c r="BF87" s="11">
        <v>1</v>
      </c>
      <c r="BG87" s="11"/>
      <c r="BH87" s="11">
        <v>1</v>
      </c>
      <c r="BK87">
        <v>0</v>
      </c>
      <c r="BL87" s="11"/>
      <c r="BM87" s="11">
        <v>1</v>
      </c>
      <c r="BN87" s="11"/>
      <c r="BO87" s="11">
        <v>1</v>
      </c>
      <c r="BR87">
        <v>0</v>
      </c>
      <c r="BS87" s="11"/>
      <c r="BT87" s="11">
        <v>1</v>
      </c>
      <c r="BU87" s="11"/>
      <c r="BV87" s="11">
        <v>1</v>
      </c>
      <c r="BZ87" s="11"/>
      <c r="CA87" s="11"/>
      <c r="CB87" s="11"/>
      <c r="CC87" s="11"/>
      <c r="CG87" s="11"/>
      <c r="CH87" s="11"/>
      <c r="CI87" s="11"/>
      <c r="CJ87" s="11"/>
      <c r="CN87" s="11"/>
      <c r="CO87" s="11"/>
      <c r="CP87" s="11"/>
      <c r="CQ87" s="11"/>
      <c r="CU87" s="11"/>
      <c r="CV87" s="11"/>
      <c r="CW87" s="11"/>
      <c r="CX87" s="11"/>
      <c r="DB87" s="11"/>
      <c r="DC87" s="11"/>
      <c r="DD87" s="11"/>
      <c r="DE87" s="11"/>
    </row>
    <row r="88" spans="2:109" hidden="1" outlineLevel="1" x14ac:dyDescent="0.2">
      <c r="B88" t="s">
        <v>28</v>
      </c>
      <c r="C88" t="s">
        <v>136</v>
      </c>
      <c r="E88" s="10"/>
      <c r="F88" t="s">
        <v>141</v>
      </c>
      <c r="G88" s="11">
        <v>0.15</v>
      </c>
      <c r="I88" s="10">
        <f t="shared" si="11"/>
        <v>6</v>
      </c>
      <c r="J88" s="12">
        <f t="shared" si="12"/>
        <v>0</v>
      </c>
      <c r="K88" s="12">
        <f t="shared" si="12"/>
        <v>0</v>
      </c>
      <c r="L88" s="10"/>
      <c r="O88" s="11"/>
      <c r="P88" s="11"/>
      <c r="Q88" s="11"/>
      <c r="R88" s="11"/>
      <c r="U88">
        <v>2</v>
      </c>
      <c r="V88" s="11"/>
      <c r="W88" s="11">
        <v>0.5</v>
      </c>
      <c r="X88" s="11"/>
      <c r="Y88" s="11">
        <v>0.5</v>
      </c>
      <c r="AB88">
        <v>0</v>
      </c>
      <c r="AC88" s="11"/>
      <c r="AD88" s="11">
        <v>0.5</v>
      </c>
      <c r="AE88" s="11"/>
      <c r="AF88" s="11">
        <v>0.5</v>
      </c>
      <c r="AI88">
        <v>0</v>
      </c>
      <c r="AJ88" s="11"/>
      <c r="AK88" s="11">
        <v>0.5</v>
      </c>
      <c r="AL88" s="11"/>
      <c r="AM88" s="11">
        <v>0.5</v>
      </c>
      <c r="AP88">
        <v>2</v>
      </c>
      <c r="AQ88" s="11"/>
      <c r="AR88" s="11">
        <v>0.8</v>
      </c>
      <c r="AS88" s="11"/>
      <c r="AT88" s="11">
        <v>0.8</v>
      </c>
      <c r="AW88">
        <v>0</v>
      </c>
      <c r="AX88" s="11"/>
      <c r="AY88" s="11">
        <v>0.8</v>
      </c>
      <c r="AZ88" s="11"/>
      <c r="BA88" s="11">
        <v>1</v>
      </c>
      <c r="BD88">
        <v>2</v>
      </c>
      <c r="BE88" s="11"/>
      <c r="BF88" s="11">
        <v>1</v>
      </c>
      <c r="BG88" s="11"/>
      <c r="BH88" s="11">
        <v>1</v>
      </c>
      <c r="BK88">
        <v>0</v>
      </c>
      <c r="BL88" s="11"/>
      <c r="BM88" s="11">
        <v>1</v>
      </c>
      <c r="BN88" s="11"/>
      <c r="BO88" s="11">
        <v>1</v>
      </c>
      <c r="BR88">
        <v>0</v>
      </c>
      <c r="BS88" s="11"/>
      <c r="BT88" s="11">
        <v>1</v>
      </c>
      <c r="BU88" s="11"/>
      <c r="BV88" s="11">
        <v>1</v>
      </c>
      <c r="BZ88" s="11"/>
      <c r="CA88" s="11"/>
      <c r="CB88" s="11"/>
      <c r="CC88" s="11"/>
      <c r="CG88" s="11"/>
      <c r="CH88" s="11"/>
      <c r="CI88" s="11"/>
      <c r="CJ88" s="11"/>
      <c r="CN88" s="11"/>
      <c r="CO88" s="11"/>
      <c r="CP88" s="11"/>
      <c r="CQ88" s="11"/>
      <c r="CU88" s="11"/>
      <c r="CV88" s="11"/>
      <c r="CW88" s="11"/>
      <c r="CX88" s="11"/>
      <c r="DB88" s="11"/>
      <c r="DC88" s="11"/>
      <c r="DD88" s="11"/>
      <c r="DE88" s="11"/>
    </row>
    <row r="89" spans="2:109" hidden="1" outlineLevel="1" x14ac:dyDescent="0.2">
      <c r="B89" t="s">
        <v>28</v>
      </c>
      <c r="C89" t="s">
        <v>136</v>
      </c>
      <c r="E89" s="10"/>
      <c r="F89" t="s">
        <v>143</v>
      </c>
      <c r="G89" s="11">
        <v>0.15</v>
      </c>
      <c r="I89" s="10">
        <f t="shared" si="11"/>
        <v>6</v>
      </c>
      <c r="J89" s="12">
        <f t="shared" si="12"/>
        <v>0</v>
      </c>
      <c r="K89" s="12">
        <f t="shared" si="12"/>
        <v>0</v>
      </c>
      <c r="L89" s="10"/>
      <c r="O89" s="11"/>
      <c r="P89" s="11"/>
      <c r="Q89" s="11"/>
      <c r="R89" s="11"/>
      <c r="V89" s="11"/>
      <c r="W89" s="11"/>
      <c r="X89" s="11"/>
      <c r="Y89" s="11"/>
      <c r="AB89">
        <v>2</v>
      </c>
      <c r="AC89" s="11"/>
      <c r="AD89" s="11">
        <v>0.5</v>
      </c>
      <c r="AE89" s="11"/>
      <c r="AF89" s="11">
        <v>0.5</v>
      </c>
      <c r="AI89">
        <v>0</v>
      </c>
      <c r="AJ89" s="11"/>
      <c r="AK89" s="11">
        <v>0.5</v>
      </c>
      <c r="AL89" s="11"/>
      <c r="AM89" s="11">
        <v>0.5</v>
      </c>
      <c r="AP89">
        <v>2</v>
      </c>
      <c r="AQ89" s="11"/>
      <c r="AR89" s="11">
        <v>0.8</v>
      </c>
      <c r="AS89" s="11"/>
      <c r="AT89" s="11">
        <v>0.8</v>
      </c>
      <c r="AW89">
        <v>0</v>
      </c>
      <c r="AX89" s="11"/>
      <c r="AY89" s="11">
        <v>0.8</v>
      </c>
      <c r="AZ89" s="11"/>
      <c r="BA89" s="11">
        <v>1</v>
      </c>
      <c r="BD89">
        <v>2</v>
      </c>
      <c r="BE89" s="11"/>
      <c r="BF89" s="11">
        <v>1</v>
      </c>
      <c r="BG89" s="11"/>
      <c r="BH89" s="11">
        <v>1</v>
      </c>
      <c r="BK89">
        <v>0</v>
      </c>
      <c r="BL89" s="11"/>
      <c r="BM89" s="11">
        <v>1</v>
      </c>
      <c r="BN89" s="11"/>
      <c r="BO89" s="11">
        <v>1</v>
      </c>
      <c r="BR89">
        <v>0</v>
      </c>
      <c r="BS89" s="11"/>
      <c r="BT89" s="11">
        <v>1</v>
      </c>
      <c r="BU89" s="11"/>
      <c r="BV89" s="11">
        <v>1</v>
      </c>
      <c r="BZ89" s="11"/>
      <c r="CA89" s="11"/>
      <c r="CB89" s="11"/>
      <c r="CC89" s="11"/>
      <c r="CG89" s="11"/>
      <c r="CH89" s="11"/>
      <c r="CI89" s="11"/>
      <c r="CJ89" s="11"/>
      <c r="CN89" s="11"/>
      <c r="CO89" s="11"/>
      <c r="CP89" s="11"/>
      <c r="CQ89" s="11"/>
      <c r="CU89" s="11"/>
      <c r="CV89" s="11"/>
      <c r="CW89" s="11"/>
      <c r="CX89" s="11"/>
      <c r="DB89" s="11"/>
      <c r="DC89" s="11"/>
      <c r="DD89" s="11"/>
      <c r="DE89" s="11"/>
    </row>
    <row r="90" spans="2:109" hidden="1" outlineLevel="1" x14ac:dyDescent="0.2">
      <c r="B90" t="s">
        <v>28</v>
      </c>
      <c r="C90" t="s">
        <v>136</v>
      </c>
      <c r="E90" s="10"/>
      <c r="F90" t="s">
        <v>142</v>
      </c>
      <c r="G90" s="11">
        <v>0.12</v>
      </c>
      <c r="I90" s="10">
        <f t="shared" si="11"/>
        <v>6</v>
      </c>
      <c r="J90" s="12">
        <f t="shared" si="12"/>
        <v>0</v>
      </c>
      <c r="K90" s="12">
        <f t="shared" si="12"/>
        <v>0</v>
      </c>
      <c r="L90" s="10"/>
      <c r="O90" s="11"/>
      <c r="P90" s="11"/>
      <c r="Q90" s="11"/>
      <c r="R90" s="11"/>
      <c r="V90" s="11"/>
      <c r="W90" s="11"/>
      <c r="X90" s="11"/>
      <c r="Y90" s="11"/>
      <c r="AB90">
        <v>2</v>
      </c>
      <c r="AC90" s="11"/>
      <c r="AD90" s="11">
        <v>0.5</v>
      </c>
      <c r="AE90" s="11"/>
      <c r="AF90" s="11">
        <v>0.5</v>
      </c>
      <c r="AI90">
        <v>0</v>
      </c>
      <c r="AJ90" s="11"/>
      <c r="AK90" s="11">
        <v>0.5</v>
      </c>
      <c r="AL90" s="11"/>
      <c r="AM90" s="11">
        <v>0.5</v>
      </c>
      <c r="AP90">
        <v>0</v>
      </c>
      <c r="AQ90" s="11"/>
      <c r="AR90" s="11">
        <v>0.5</v>
      </c>
      <c r="AS90" s="11"/>
      <c r="AT90" s="11">
        <v>0.5</v>
      </c>
      <c r="AW90">
        <v>2</v>
      </c>
      <c r="AX90" s="11"/>
      <c r="AY90" s="11">
        <v>0.8</v>
      </c>
      <c r="AZ90" s="11"/>
      <c r="BA90" s="11">
        <v>0.8</v>
      </c>
      <c r="BD90">
        <v>0</v>
      </c>
      <c r="BE90" s="11"/>
      <c r="BF90" s="11">
        <v>0.8</v>
      </c>
      <c r="BG90" s="11"/>
      <c r="BH90" s="11">
        <v>0.8</v>
      </c>
      <c r="BK90">
        <v>2</v>
      </c>
      <c r="BL90" s="11"/>
      <c r="BM90" s="11">
        <v>1</v>
      </c>
      <c r="BN90" s="11"/>
      <c r="BO90" s="11">
        <v>1</v>
      </c>
      <c r="BR90">
        <v>0</v>
      </c>
      <c r="BS90" s="11"/>
      <c r="BT90" s="11">
        <v>1</v>
      </c>
      <c r="BU90" s="11"/>
      <c r="BV90" s="11">
        <v>1</v>
      </c>
      <c r="BZ90" s="11"/>
      <c r="CA90" s="11"/>
      <c r="CB90" s="11"/>
      <c r="CC90" s="11"/>
      <c r="CG90" s="11"/>
      <c r="CH90" s="11"/>
      <c r="CI90" s="11"/>
      <c r="CJ90" s="11"/>
      <c r="CN90" s="11"/>
      <c r="CO90" s="11"/>
      <c r="CP90" s="11"/>
      <c r="CQ90" s="11"/>
      <c r="CU90" s="11"/>
      <c r="CV90" s="11"/>
      <c r="CW90" s="11"/>
      <c r="CX90" s="11"/>
      <c r="DB90" s="11"/>
      <c r="DC90" s="11"/>
      <c r="DD90" s="11"/>
      <c r="DE90" s="11"/>
    </row>
    <row r="91" spans="2:109" collapsed="1" x14ac:dyDescent="0.2"/>
  </sheetData>
  <mergeCells count="15">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J5:K16">
    <cfRule type="colorScale" priority="1075">
      <colorScale>
        <cfvo type="percent" val="0"/>
        <cfvo type="percent" val="100"/>
        <color rgb="FFFF231B"/>
        <color rgb="FF10FF07"/>
      </colorScale>
    </cfRule>
  </conditionalFormatting>
  <conditionalFormatting sqref="O25:O29 Q25:Q29 O5:O22 Q17:Q22 AQ17:AQ22 AS17:AS22 BE17:BE22 BG17:BG22 V17:V22 X17:X22 AC17:AC22 AE17:AE22 AJ17:AJ22 AL17:AL22 AX17:AX22 AZ17:AZ22">
    <cfRule type="expression" dxfId="870" priority="1073">
      <formula>OR(IF(O5&lt;P5,TRUE),IF(AND(P5="",O5&lt;&gt;""),TRUE))</formula>
    </cfRule>
    <cfRule type="expression" dxfId="869" priority="1074">
      <formula>IF(O5&gt;=P5,IF(O5="",FALSE,TRUE))</formula>
    </cfRule>
  </conditionalFormatting>
  <conditionalFormatting sqref="Q5:Q16">
    <cfRule type="expression" dxfId="868" priority="1071">
      <formula>OR(IF(Q5&lt;R5,TRUE),IF(AND(R5="",Q5&lt;&gt;""),TRUE))</formula>
    </cfRule>
    <cfRule type="expression" dxfId="867" priority="1072">
      <formula>IF(Q5&gt;=R5,IF(Q5="",FALSE,TRUE))</formula>
    </cfRule>
  </conditionalFormatting>
  <conditionalFormatting sqref="AJ41:AJ50">
    <cfRule type="expression" dxfId="866" priority="944">
      <formula>OR(IF(AJ41&lt;AK41,TRUE),IF(AND(AK41="",AJ41&lt;&gt;""),TRUE))</formula>
    </cfRule>
    <cfRule type="expression" dxfId="865" priority="945">
      <formula>IF(AJ41&gt;=AK41,IF(AJ41="",FALSE,TRUE))</formula>
    </cfRule>
  </conditionalFormatting>
  <conditionalFormatting sqref="AL41:AL50">
    <cfRule type="expression" dxfId="864" priority="942">
      <formula>OR(IF(AL41&lt;AM41,TRUE),IF(AND(AM41="",AL41&lt;&gt;""),TRUE))</formula>
    </cfRule>
    <cfRule type="expression" dxfId="863" priority="943">
      <formula>IF(AL41&gt;=AM41,IF(AL41="",FALSE,TRUE))</formula>
    </cfRule>
  </conditionalFormatting>
  <conditionalFormatting sqref="AQ25:AQ29 AS25:AS29 AQ5:AQ16">
    <cfRule type="expression" dxfId="862" priority="940">
      <formula>OR(IF(AQ5&lt;AR5,TRUE),IF(AND(AR5="",AQ5&lt;&gt;""),TRUE))</formula>
    </cfRule>
    <cfRule type="expression" dxfId="861" priority="941">
      <formula>IF(AQ5&gt;=AR5,IF(AQ5="",FALSE,TRUE))</formula>
    </cfRule>
  </conditionalFormatting>
  <conditionalFormatting sqref="AS5:AS16">
    <cfRule type="expression" dxfId="860" priority="938">
      <formula>OR(IF(AS5&lt;AT5,TRUE),IF(AND(AT5="",AS5&lt;&gt;""),TRUE))</formula>
    </cfRule>
    <cfRule type="expression" dxfId="859" priority="939">
      <formula>IF(AS5&gt;=AT5,IF(AS5="",FALSE,TRUE))</formula>
    </cfRule>
  </conditionalFormatting>
  <conditionalFormatting sqref="J25:K30">
    <cfRule type="colorScale" priority="1076">
      <colorScale>
        <cfvo type="percent" val="0"/>
        <cfvo type="percent" val="100"/>
        <color rgb="FFFF231B"/>
        <color rgb="FF10FF07"/>
      </colorScale>
    </cfRule>
  </conditionalFormatting>
  <conditionalFormatting sqref="J39:K50">
    <cfRule type="colorScale" priority="1016">
      <colorScale>
        <cfvo type="percent" val="0"/>
        <cfvo type="percent" val="100"/>
        <color rgb="FFFF231B"/>
        <color rgb="FF10FF07"/>
      </colorScale>
    </cfRule>
  </conditionalFormatting>
  <conditionalFormatting sqref="O39:O40">
    <cfRule type="expression" dxfId="858" priority="1014">
      <formula>OR(IF(O39&lt;P39,TRUE),IF(AND(P39="",O39&lt;&gt;""),TRUE))</formula>
    </cfRule>
    <cfRule type="expression" dxfId="857" priority="1015">
      <formula>IF(O39&gt;=P39,IF(O39="",FALSE,TRUE))</formula>
    </cfRule>
  </conditionalFormatting>
  <conditionalFormatting sqref="Q39:Q40">
    <cfRule type="expression" dxfId="856" priority="1012">
      <formula>OR(IF(Q39&lt;R39,TRUE),IF(AND(R39="",Q39&lt;&gt;""),TRUE))</formula>
    </cfRule>
    <cfRule type="expression" dxfId="855" priority="1013">
      <formula>IF(Q39&gt;=R39,IF(Q39="",FALSE,TRUE))</formula>
    </cfRule>
  </conditionalFormatting>
  <conditionalFormatting sqref="AZ30">
    <cfRule type="expression" dxfId="854" priority="914">
      <formula>OR(IF(AZ30&lt;BA30,TRUE),IF(AND(BA30="",AZ30&lt;&gt;""),TRUE))</formula>
    </cfRule>
    <cfRule type="expression" dxfId="853" priority="915">
      <formula>IF(AZ30&gt;=BA30,IF(AZ30="",FALSE,TRUE))</formula>
    </cfRule>
  </conditionalFormatting>
  <conditionalFormatting sqref="AX41:AX50">
    <cfRule type="expression" dxfId="852" priority="912">
      <formula>OR(IF(AX41&lt;AY41,TRUE),IF(AND(AY41="",AX41&lt;&gt;""),TRUE))</formula>
    </cfRule>
    <cfRule type="expression" dxfId="851" priority="913">
      <formula>IF(AX41&gt;=AY41,IF(AX41="",FALSE,TRUE))</formula>
    </cfRule>
  </conditionalFormatting>
  <conditionalFormatting sqref="AZ41:AZ50">
    <cfRule type="expression" dxfId="850" priority="910">
      <formula>OR(IF(AZ41&lt;BA41,TRUE),IF(AND(BA41="",AZ41&lt;&gt;""),TRUE))</formula>
    </cfRule>
    <cfRule type="expression" dxfId="849" priority="911">
      <formula>IF(AZ41&gt;=BA41,IF(AZ41="",FALSE,TRUE))</formula>
    </cfRule>
  </conditionalFormatting>
  <conditionalFormatting sqref="BE25:BE29 BG25:BG29 BE5:BE16">
    <cfRule type="expression" dxfId="848" priority="908">
      <formula>OR(IF(BE5&lt;BF5,TRUE),IF(AND(BF5="",BE5&lt;&gt;""),TRUE))</formula>
    </cfRule>
    <cfRule type="expression" dxfId="847" priority="909">
      <formula>IF(BE5&gt;=BF5,IF(BE5="",FALSE,TRUE))</formula>
    </cfRule>
  </conditionalFormatting>
  <conditionalFormatting sqref="BG5:BG16">
    <cfRule type="expression" dxfId="846" priority="906">
      <formula>OR(IF(BG5&lt;BH5,TRUE),IF(AND(BH5="",BG5&lt;&gt;""),TRUE))</formula>
    </cfRule>
    <cfRule type="expression" dxfId="845" priority="907">
      <formula>IF(BG5&gt;=BH5,IF(BG5="",FALSE,TRUE))</formula>
    </cfRule>
  </conditionalFormatting>
  <conditionalFormatting sqref="BE39:BE40">
    <cfRule type="expression" dxfId="844" priority="904">
      <formula>OR(IF(BE39&lt;BF39,TRUE),IF(AND(BF39="",BE39&lt;&gt;""),TRUE))</formula>
    </cfRule>
    <cfRule type="expression" dxfId="843" priority="905">
      <formula>IF(BE39&gt;=BF39,IF(BE39="",FALSE,TRUE))</formula>
    </cfRule>
  </conditionalFormatting>
  <conditionalFormatting sqref="Q41:Q50">
    <cfRule type="expression" dxfId="842" priority="990">
      <formula>OR(IF(Q41&lt;R41,TRUE),IF(AND(R41="",Q41&lt;&gt;""),TRUE))</formula>
    </cfRule>
    <cfRule type="expression" dxfId="841" priority="991">
      <formula>IF(Q41&gt;=R41,IF(Q41="",FALSE,TRUE))</formula>
    </cfRule>
  </conditionalFormatting>
  <conditionalFormatting sqref="O30">
    <cfRule type="expression" dxfId="840" priority="996">
      <formula>OR(IF(O30&lt;P30,TRUE),IF(AND(P30="",O30&lt;&gt;""),TRUE))</formula>
    </cfRule>
    <cfRule type="expression" dxfId="839" priority="997">
      <formula>IF(O30&gt;=P30,IF(O30="",FALSE,TRUE))</formula>
    </cfRule>
  </conditionalFormatting>
  <conditionalFormatting sqref="Q30">
    <cfRule type="expression" dxfId="838" priority="994">
      <formula>OR(IF(Q30&lt;R30,TRUE),IF(AND(R30="",Q30&lt;&gt;""),TRUE))</formula>
    </cfRule>
    <cfRule type="expression" dxfId="837" priority="995">
      <formula>IF(Q30&gt;=R30,IF(Q30="",FALSE,TRUE))</formula>
    </cfRule>
  </conditionalFormatting>
  <conditionalFormatting sqref="O41:O50">
    <cfRule type="expression" dxfId="836" priority="992">
      <formula>OR(IF(O41&lt;P41,TRUE),IF(AND(P41="",O41&lt;&gt;""),TRUE))</formula>
    </cfRule>
    <cfRule type="expression" dxfId="835" priority="993">
      <formula>IF(O41&gt;=P41,IF(O41="",FALSE,TRUE))</formula>
    </cfRule>
  </conditionalFormatting>
  <conditionalFormatting sqref="BG41:BG50">
    <cfRule type="expression" dxfId="834" priority="894">
      <formula>OR(IF(BG41&lt;BH41,TRUE),IF(AND(BH41="",BG41&lt;&gt;""),TRUE))</formula>
    </cfRule>
    <cfRule type="expression" dxfId="833" priority="895">
      <formula>IF(BG41&gt;=BH41,IF(BG41="",FALSE,TRUE))</formula>
    </cfRule>
  </conditionalFormatting>
  <conditionalFormatting sqref="V25:V29 X25:X29 V5:V16">
    <cfRule type="expression" dxfId="832" priority="988">
      <formula>OR(IF(V5&lt;W5,TRUE),IF(AND(W5="",V5&lt;&gt;""),TRUE))</formula>
    </cfRule>
    <cfRule type="expression" dxfId="831" priority="989">
      <formula>IF(V5&gt;=W5,IF(V5="",FALSE,TRUE))</formula>
    </cfRule>
  </conditionalFormatting>
  <conditionalFormatting sqref="X5:X16">
    <cfRule type="expression" dxfId="830" priority="986">
      <formula>OR(IF(X5&lt;Y5,TRUE),IF(AND(Y5="",X5&lt;&gt;""),TRUE))</formula>
    </cfRule>
    <cfRule type="expression" dxfId="829" priority="987">
      <formula>IF(X5&gt;=Y5,IF(X5="",FALSE,TRUE))</formula>
    </cfRule>
  </conditionalFormatting>
  <conditionalFormatting sqref="V39:V40">
    <cfRule type="expression" dxfId="828" priority="984">
      <formula>OR(IF(V39&lt;W39,TRUE),IF(AND(W39="",V39&lt;&gt;""),TRUE))</formula>
    </cfRule>
    <cfRule type="expression" dxfId="827" priority="985">
      <formula>IF(V39&gt;=W39,IF(V39="",FALSE,TRUE))</formula>
    </cfRule>
  </conditionalFormatting>
  <conditionalFormatting sqref="X39:X40">
    <cfRule type="expression" dxfId="826" priority="982">
      <formula>OR(IF(X39&lt;Y39,TRUE),IF(AND(Y39="",X39&lt;&gt;""),TRUE))</formula>
    </cfRule>
    <cfRule type="expression" dxfId="825" priority="983">
      <formula>IF(X39&gt;=Y39,IF(X39="",FALSE,TRUE))</formula>
    </cfRule>
  </conditionalFormatting>
  <conditionalFormatting sqref="X41:X50">
    <cfRule type="expression" dxfId="824" priority="974">
      <formula>OR(IF(X41&lt;Y41,TRUE),IF(AND(Y41="",X41&lt;&gt;""),TRUE))</formula>
    </cfRule>
    <cfRule type="expression" dxfId="823" priority="975">
      <formula>IF(X41&gt;=Y41,IF(X41="",FALSE,TRUE))</formula>
    </cfRule>
  </conditionalFormatting>
  <conditionalFormatting sqref="V30">
    <cfRule type="expression" dxfId="822" priority="980">
      <formula>OR(IF(V30&lt;W30,TRUE),IF(AND(W30="",V30&lt;&gt;""),TRUE))</formula>
    </cfRule>
    <cfRule type="expression" dxfId="821" priority="981">
      <formula>IF(V30&gt;=W30,IF(V30="",FALSE,TRUE))</formula>
    </cfRule>
  </conditionalFormatting>
  <conditionalFormatting sqref="X30">
    <cfRule type="expression" dxfId="820" priority="978">
      <formula>OR(IF(X30&lt;Y30,TRUE),IF(AND(Y30="",X30&lt;&gt;""),TRUE))</formula>
    </cfRule>
    <cfRule type="expression" dxfId="819" priority="979">
      <formula>IF(X30&gt;=Y30,IF(X30="",FALSE,TRUE))</formula>
    </cfRule>
  </conditionalFormatting>
  <conditionalFormatting sqref="V41:V50">
    <cfRule type="expression" dxfId="818" priority="976">
      <formula>OR(IF(V41&lt;W41,TRUE),IF(AND(W41="",V41&lt;&gt;""),TRUE))</formula>
    </cfRule>
    <cfRule type="expression" dxfId="817" priority="977">
      <formula>IF(V41&gt;=W41,IF(V41="",FALSE,TRUE))</formula>
    </cfRule>
  </conditionalFormatting>
  <conditionalFormatting sqref="AC25:AC29 AE25:AE29 AC5:AC16">
    <cfRule type="expression" dxfId="816" priority="972">
      <formula>OR(IF(AC5&lt;AD5,TRUE),IF(AND(AD5="",AC5&lt;&gt;""),TRUE))</formula>
    </cfRule>
    <cfRule type="expression" dxfId="815" priority="973">
      <formula>IF(AC5&gt;=AD5,IF(AC5="",FALSE,TRUE))</formula>
    </cfRule>
  </conditionalFormatting>
  <conditionalFormatting sqref="AE5:AE16">
    <cfRule type="expression" dxfId="814" priority="970">
      <formula>OR(IF(AE5&lt;AF5,TRUE),IF(AND(AF5="",AE5&lt;&gt;""),TRUE))</formula>
    </cfRule>
    <cfRule type="expression" dxfId="813" priority="971">
      <formula>IF(AE5&gt;=AF5,IF(AE5="",FALSE,TRUE))</formula>
    </cfRule>
  </conditionalFormatting>
  <conditionalFormatting sqref="AC39:AC40">
    <cfRule type="expression" dxfId="812" priority="968">
      <formula>OR(IF(AC39&lt;AD39,TRUE),IF(AND(AD39="",AC39&lt;&gt;""),TRUE))</formula>
    </cfRule>
    <cfRule type="expression" dxfId="811" priority="969">
      <formula>IF(AC39&gt;=AD39,IF(AC39="",FALSE,TRUE))</formula>
    </cfRule>
  </conditionalFormatting>
  <conditionalFormatting sqref="AE39:AE40">
    <cfRule type="expression" dxfId="810" priority="966">
      <formula>OR(IF(AE39&lt;AF39,TRUE),IF(AND(AF39="",AE39&lt;&gt;""),TRUE))</formula>
    </cfRule>
    <cfRule type="expression" dxfId="809" priority="967">
      <formula>IF(AE39&gt;=AF39,IF(AE39="",FALSE,TRUE))</formula>
    </cfRule>
  </conditionalFormatting>
  <conditionalFormatting sqref="AE41:AE50">
    <cfRule type="expression" dxfId="808" priority="958">
      <formula>OR(IF(AE41&lt;AF41,TRUE),IF(AND(AF41="",AE41&lt;&gt;""),TRUE))</formula>
    </cfRule>
    <cfRule type="expression" dxfId="807" priority="959">
      <formula>IF(AE41&gt;=AF41,IF(AE41="",FALSE,TRUE))</formula>
    </cfRule>
  </conditionalFormatting>
  <conditionalFormatting sqref="AC30">
    <cfRule type="expression" dxfId="806" priority="964">
      <formula>OR(IF(AC30&lt;AD30,TRUE),IF(AND(AD30="",AC30&lt;&gt;""),TRUE))</formula>
    </cfRule>
    <cfRule type="expression" dxfId="805" priority="965">
      <formula>IF(AC30&gt;=AD30,IF(AC30="",FALSE,TRUE))</formula>
    </cfRule>
  </conditionalFormatting>
  <conditionalFormatting sqref="AE30">
    <cfRule type="expression" dxfId="804" priority="962">
      <formula>OR(IF(AE30&lt;AF30,TRUE),IF(AND(AF30="",AE30&lt;&gt;""),TRUE))</formula>
    </cfRule>
    <cfRule type="expression" dxfId="803" priority="963">
      <formula>IF(AE30&gt;=AF30,IF(AE30="",FALSE,TRUE))</formula>
    </cfRule>
  </conditionalFormatting>
  <conditionalFormatting sqref="AC41:AC50">
    <cfRule type="expression" dxfId="802" priority="960">
      <formula>OR(IF(AC41&lt;AD41,TRUE),IF(AND(AD41="",AC41&lt;&gt;""),TRUE))</formula>
    </cfRule>
    <cfRule type="expression" dxfId="801" priority="961">
      <formula>IF(AC41&gt;=AD41,IF(AC41="",FALSE,TRUE))</formula>
    </cfRule>
  </conditionalFormatting>
  <conditionalFormatting sqref="AJ25:AJ29 AL25:AL29 AJ5:AJ16">
    <cfRule type="expression" dxfId="800" priority="956">
      <formula>OR(IF(AJ5&lt;AK5,TRUE),IF(AND(AK5="",AJ5&lt;&gt;""),TRUE))</formula>
    </cfRule>
    <cfRule type="expression" dxfId="799" priority="957">
      <formula>IF(AJ5&gt;=AK5,IF(AJ5="",FALSE,TRUE))</formula>
    </cfRule>
  </conditionalFormatting>
  <conditionalFormatting sqref="AL5:AL16">
    <cfRule type="expression" dxfId="798" priority="954">
      <formula>OR(IF(AL5&lt;AM5,TRUE),IF(AND(AM5="",AL5&lt;&gt;""),TRUE))</formula>
    </cfRule>
    <cfRule type="expression" dxfId="797" priority="955">
      <formula>IF(AL5&gt;=AM5,IF(AL5="",FALSE,TRUE))</formula>
    </cfRule>
  </conditionalFormatting>
  <conditionalFormatting sqref="AJ39:AJ40">
    <cfRule type="expression" dxfId="796" priority="952">
      <formula>OR(IF(AJ39&lt;AK39,TRUE),IF(AND(AK39="",AJ39&lt;&gt;""),TRUE))</formula>
    </cfRule>
    <cfRule type="expression" dxfId="795" priority="953">
      <formula>IF(AJ39&gt;=AK39,IF(AJ39="",FALSE,TRUE))</formula>
    </cfRule>
  </conditionalFormatting>
  <conditionalFormatting sqref="AL39:AL40">
    <cfRule type="expression" dxfId="794" priority="950">
      <formula>OR(IF(AL39&lt;AM39,TRUE),IF(AND(AM39="",AL39&lt;&gt;""),TRUE))</formula>
    </cfRule>
    <cfRule type="expression" dxfId="793" priority="951">
      <formula>IF(AL39&gt;=AM39,IF(AL39="",FALSE,TRUE))</formula>
    </cfRule>
  </conditionalFormatting>
  <conditionalFormatting sqref="AJ30">
    <cfRule type="expression" dxfId="792" priority="948">
      <formula>OR(IF(AJ30&lt;AK30,TRUE),IF(AND(AK30="",AJ30&lt;&gt;""),TRUE))</formula>
    </cfRule>
    <cfRule type="expression" dxfId="791" priority="949">
      <formula>IF(AJ30&gt;=AK30,IF(AJ30="",FALSE,TRUE))</formula>
    </cfRule>
  </conditionalFormatting>
  <conditionalFormatting sqref="AL30">
    <cfRule type="expression" dxfId="790" priority="946">
      <formula>OR(IF(AL30&lt;AM30,TRUE),IF(AND(AM30="",AL30&lt;&gt;""),TRUE))</formula>
    </cfRule>
    <cfRule type="expression" dxfId="789" priority="947">
      <formula>IF(AL30&gt;=AM30,IF(AL30="",FALSE,TRUE))</formula>
    </cfRule>
  </conditionalFormatting>
  <conditionalFormatting sqref="AQ39:AQ40">
    <cfRule type="expression" dxfId="788" priority="936">
      <formula>OR(IF(AQ39&lt;AR39,TRUE),IF(AND(AR39="",AQ39&lt;&gt;""),TRUE))</formula>
    </cfRule>
    <cfRule type="expression" dxfId="787" priority="937">
      <formula>IF(AQ39&gt;=AR39,IF(AQ39="",FALSE,TRUE))</formula>
    </cfRule>
  </conditionalFormatting>
  <conditionalFormatting sqref="AS39:AS40">
    <cfRule type="expression" dxfId="786" priority="934">
      <formula>OR(IF(AS39&lt;AT39,TRUE),IF(AND(AT39="",AS39&lt;&gt;""),TRUE))</formula>
    </cfRule>
    <cfRule type="expression" dxfId="785" priority="935">
      <formula>IF(AS39&gt;=AT39,IF(AS39="",FALSE,TRUE))</formula>
    </cfRule>
  </conditionalFormatting>
  <conditionalFormatting sqref="AS41:AS50">
    <cfRule type="expression" dxfId="784" priority="926">
      <formula>OR(IF(AS41&lt;AT41,TRUE),IF(AND(AT41="",AS41&lt;&gt;""),TRUE))</formula>
    </cfRule>
    <cfRule type="expression" dxfId="783" priority="927">
      <formula>IF(AS41&gt;=AT41,IF(AS41="",FALSE,TRUE))</formula>
    </cfRule>
  </conditionalFormatting>
  <conditionalFormatting sqref="AQ30">
    <cfRule type="expression" dxfId="782" priority="932">
      <formula>OR(IF(AQ30&lt;AR30,TRUE),IF(AND(AR30="",AQ30&lt;&gt;""),TRUE))</formula>
    </cfRule>
    <cfRule type="expression" dxfId="781" priority="933">
      <formula>IF(AQ30&gt;=AR30,IF(AQ30="",FALSE,TRUE))</formula>
    </cfRule>
  </conditionalFormatting>
  <conditionalFormatting sqref="AS30">
    <cfRule type="expression" dxfId="780" priority="930">
      <formula>OR(IF(AS30&lt;AT30,TRUE),IF(AND(AT30="",AS30&lt;&gt;""),TRUE))</formula>
    </cfRule>
    <cfRule type="expression" dxfId="779" priority="931">
      <formula>IF(AS30&gt;=AT30,IF(AS30="",FALSE,TRUE))</formula>
    </cfRule>
  </conditionalFormatting>
  <conditionalFormatting sqref="AQ41:AQ50">
    <cfRule type="expression" dxfId="778" priority="928">
      <formula>OR(IF(AQ41&lt;AR41,TRUE),IF(AND(AR41="",AQ41&lt;&gt;""),TRUE))</formula>
    </cfRule>
    <cfRule type="expression" dxfId="777" priority="929">
      <formula>IF(AQ41&gt;=AR41,IF(AQ41="",FALSE,TRUE))</formula>
    </cfRule>
  </conditionalFormatting>
  <conditionalFormatting sqref="AX25:AX29 AZ25:AZ29 AX5:AX16">
    <cfRule type="expression" dxfId="776" priority="924">
      <formula>OR(IF(AX5&lt;AY5,TRUE),IF(AND(AY5="",AX5&lt;&gt;""),TRUE))</formula>
    </cfRule>
    <cfRule type="expression" dxfId="775" priority="925">
      <formula>IF(AX5&gt;=AY5,IF(AX5="",FALSE,TRUE))</formula>
    </cfRule>
  </conditionalFormatting>
  <conditionalFormatting sqref="AZ5:AZ16">
    <cfRule type="expression" dxfId="774" priority="922">
      <formula>OR(IF(AZ5&lt;BA5,TRUE),IF(AND(BA5="",AZ5&lt;&gt;""),TRUE))</formula>
    </cfRule>
    <cfRule type="expression" dxfId="773" priority="923">
      <formula>IF(AZ5&gt;=BA5,IF(AZ5="",FALSE,TRUE))</formula>
    </cfRule>
  </conditionalFormatting>
  <conditionalFormatting sqref="AX39:AX40">
    <cfRule type="expression" dxfId="772" priority="920">
      <formula>OR(IF(AX39&lt;AY39,TRUE),IF(AND(AY39="",AX39&lt;&gt;""),TRUE))</formula>
    </cfRule>
    <cfRule type="expression" dxfId="771" priority="921">
      <formula>IF(AX39&gt;=AY39,IF(AX39="",FALSE,TRUE))</formula>
    </cfRule>
  </conditionalFormatting>
  <conditionalFormatting sqref="AZ39:AZ40">
    <cfRule type="expression" dxfId="770" priority="918">
      <formula>OR(IF(AZ39&lt;BA39,TRUE),IF(AND(BA39="",AZ39&lt;&gt;""),TRUE))</formula>
    </cfRule>
    <cfRule type="expression" dxfId="769" priority="919">
      <formula>IF(AZ39&gt;=BA39,IF(AZ39="",FALSE,TRUE))</formula>
    </cfRule>
  </conditionalFormatting>
  <conditionalFormatting sqref="AX30">
    <cfRule type="expression" dxfId="768" priority="916">
      <formula>OR(IF(AX30&lt;AY30,TRUE),IF(AND(AY30="",AX30&lt;&gt;""),TRUE))</formula>
    </cfRule>
    <cfRule type="expression" dxfId="767" priority="917">
      <formula>IF(AX30&gt;=AY30,IF(AX30="",FALSE,TRUE))</formula>
    </cfRule>
  </conditionalFormatting>
  <conditionalFormatting sqref="BG39:BG40">
    <cfRule type="expression" dxfId="766" priority="902">
      <formula>OR(IF(BG39&lt;BH39,TRUE),IF(AND(BH39="",BG39&lt;&gt;""),TRUE))</formula>
    </cfRule>
    <cfRule type="expression" dxfId="765" priority="903">
      <formula>IF(BG39&gt;=BH39,IF(BG39="",FALSE,TRUE))</formula>
    </cfRule>
  </conditionalFormatting>
  <conditionalFormatting sqref="BE30">
    <cfRule type="expression" dxfId="764" priority="900">
      <formula>OR(IF(BE30&lt;BF30,TRUE),IF(AND(BF30="",BE30&lt;&gt;""),TRUE))</formula>
    </cfRule>
    <cfRule type="expression" dxfId="763" priority="901">
      <formula>IF(BE30&gt;=BF30,IF(BE30="",FALSE,TRUE))</formula>
    </cfRule>
  </conditionalFormatting>
  <conditionalFormatting sqref="BG30">
    <cfRule type="expression" dxfId="762" priority="898">
      <formula>OR(IF(BG30&lt;BH30,TRUE),IF(AND(BH30="",BG30&lt;&gt;""),TRUE))</formula>
    </cfRule>
    <cfRule type="expression" dxfId="761" priority="899">
      <formula>IF(BG30&gt;=BH30,IF(BG30="",FALSE,TRUE))</formula>
    </cfRule>
  </conditionalFormatting>
  <conditionalFormatting sqref="BE41:BE50">
    <cfRule type="expression" dxfId="760" priority="896">
      <formula>OR(IF(BE41&lt;BF41,TRUE),IF(AND(BF41="",BE41&lt;&gt;""),TRUE))</formula>
    </cfRule>
    <cfRule type="expression" dxfId="759" priority="897">
      <formula>IF(BE41&gt;=BF41,IF(BE41="",FALSE,TRUE))</formula>
    </cfRule>
  </conditionalFormatting>
  <conditionalFormatting sqref="J17:K22">
    <cfRule type="colorScale" priority="1077">
      <colorScale>
        <cfvo type="percent" val="0"/>
        <cfvo type="percent" val="100"/>
        <color rgb="FFFF231B"/>
        <color rgb="FF10FF07"/>
      </colorScale>
    </cfRule>
  </conditionalFormatting>
  <conditionalFormatting sqref="BL17:BL22 BN17:BN22">
    <cfRule type="expression" dxfId="758" priority="863">
      <formula>OR(IF(BL17&lt;BM17,TRUE),IF(AND(BM17="",BL17&lt;&gt;""),TRUE))</formula>
    </cfRule>
    <cfRule type="expression" dxfId="757" priority="864">
      <formula>IF(BL17&gt;=BM17,IF(BL17="",FALSE,TRUE))</formula>
    </cfRule>
  </conditionalFormatting>
  <conditionalFormatting sqref="BL25:BL29 BN25:BN29 BL5:BL16">
    <cfRule type="expression" dxfId="756" priority="861">
      <formula>OR(IF(BL5&lt;BM5,TRUE),IF(AND(BM5="",BL5&lt;&gt;""),TRUE))</formula>
    </cfRule>
    <cfRule type="expression" dxfId="755" priority="862">
      <formula>IF(BL5&gt;=BM5,IF(BL5="",FALSE,TRUE))</formula>
    </cfRule>
  </conditionalFormatting>
  <conditionalFormatting sqref="BN5:BN16">
    <cfRule type="expression" dxfId="754" priority="859">
      <formula>OR(IF(BN5&lt;BO5,TRUE),IF(AND(BO5="",BN5&lt;&gt;""),TRUE))</formula>
    </cfRule>
    <cfRule type="expression" dxfId="753" priority="860">
      <formula>IF(BN5&gt;=BO5,IF(BN5="",FALSE,TRUE))</formula>
    </cfRule>
  </conditionalFormatting>
  <conditionalFormatting sqref="BL39:BL40">
    <cfRule type="expression" dxfId="752" priority="857">
      <formula>OR(IF(BL39&lt;BM39,TRUE),IF(AND(BM39="",BL39&lt;&gt;""),TRUE))</formula>
    </cfRule>
    <cfRule type="expression" dxfId="751" priority="858">
      <formula>IF(BL39&gt;=BM39,IF(BL39="",FALSE,TRUE))</formula>
    </cfRule>
  </conditionalFormatting>
  <conditionalFormatting sqref="BN41:BN50">
    <cfRule type="expression" dxfId="750" priority="847">
      <formula>OR(IF(BN41&lt;BO41,TRUE),IF(AND(BO41="",BN41&lt;&gt;""),TRUE))</formula>
    </cfRule>
    <cfRule type="expression" dxfId="749" priority="848">
      <formula>IF(BN41&gt;=BO41,IF(BN41="",FALSE,TRUE))</formula>
    </cfRule>
  </conditionalFormatting>
  <conditionalFormatting sqref="BN39:BN40">
    <cfRule type="expression" dxfId="748" priority="855">
      <formula>OR(IF(BN39&lt;BO39,TRUE),IF(AND(BO39="",BN39&lt;&gt;""),TRUE))</formula>
    </cfRule>
    <cfRule type="expression" dxfId="747" priority="856">
      <formula>IF(BN39&gt;=BO39,IF(BN39="",FALSE,TRUE))</formula>
    </cfRule>
  </conditionalFormatting>
  <conditionalFormatting sqref="BL30">
    <cfRule type="expression" dxfId="746" priority="853">
      <formula>OR(IF(BL30&lt;BM30,TRUE),IF(AND(BM30="",BL30&lt;&gt;""),TRUE))</formula>
    </cfRule>
    <cfRule type="expression" dxfId="745" priority="854">
      <formula>IF(BL30&gt;=BM30,IF(BL30="",FALSE,TRUE))</formula>
    </cfRule>
  </conditionalFormatting>
  <conditionalFormatting sqref="BN30">
    <cfRule type="expression" dxfId="744" priority="851">
      <formula>OR(IF(BN30&lt;BO30,TRUE),IF(AND(BO30="",BN30&lt;&gt;""),TRUE))</formula>
    </cfRule>
    <cfRule type="expression" dxfId="743" priority="852">
      <formula>IF(BN30&gt;=BO30,IF(BN30="",FALSE,TRUE))</formula>
    </cfRule>
  </conditionalFormatting>
  <conditionalFormatting sqref="BL41:BL50">
    <cfRule type="expression" dxfId="742" priority="849">
      <formula>OR(IF(BL41&lt;BM41,TRUE),IF(AND(BM41="",BL41&lt;&gt;""),TRUE))</formula>
    </cfRule>
    <cfRule type="expression" dxfId="741" priority="850">
      <formula>IF(BL41&gt;=BM41,IF(BL41="",FALSE,TRUE))</formula>
    </cfRule>
  </conditionalFormatting>
  <conditionalFormatting sqref="BS17:BS22 BU17:BU22">
    <cfRule type="expression" dxfId="740" priority="845">
      <formula>OR(IF(BS17&lt;BT17,TRUE),IF(AND(BT17="",BS17&lt;&gt;""),TRUE))</formula>
    </cfRule>
    <cfRule type="expression" dxfId="739" priority="846">
      <formula>IF(BS17&gt;=BT17,IF(BS17="",FALSE,TRUE))</formula>
    </cfRule>
  </conditionalFormatting>
  <conditionalFormatting sqref="BS25:BS29 BU25:BU29 BS5:BS16">
    <cfRule type="expression" dxfId="738" priority="843">
      <formula>OR(IF(BS5&lt;BT5,TRUE),IF(AND(BT5="",BS5&lt;&gt;""),TRUE))</formula>
    </cfRule>
    <cfRule type="expression" dxfId="737" priority="844">
      <formula>IF(BS5&gt;=BT5,IF(BS5="",FALSE,TRUE))</formula>
    </cfRule>
  </conditionalFormatting>
  <conditionalFormatting sqref="BU5:BU16">
    <cfRule type="expression" dxfId="736" priority="841">
      <formula>OR(IF(BU5&lt;BV5,TRUE),IF(AND(BV5="",BU5&lt;&gt;""),TRUE))</formula>
    </cfRule>
    <cfRule type="expression" dxfId="735" priority="842">
      <formula>IF(BU5&gt;=BV5,IF(BU5="",FALSE,TRUE))</formula>
    </cfRule>
  </conditionalFormatting>
  <conditionalFormatting sqref="BS39:BS40">
    <cfRule type="expression" dxfId="734" priority="839">
      <formula>OR(IF(BS39&lt;BT39,TRUE),IF(AND(BT39="",BS39&lt;&gt;""),TRUE))</formula>
    </cfRule>
    <cfRule type="expression" dxfId="733" priority="840">
      <formula>IF(BS39&gt;=BT39,IF(BS39="",FALSE,TRUE))</formula>
    </cfRule>
  </conditionalFormatting>
  <conditionalFormatting sqref="BU41:BU50">
    <cfRule type="expression" dxfId="732" priority="829">
      <formula>OR(IF(BU41&lt;BV41,TRUE),IF(AND(BV41="",BU41&lt;&gt;""),TRUE))</formula>
    </cfRule>
    <cfRule type="expression" dxfId="731" priority="830">
      <formula>IF(BU41&gt;=BV41,IF(BU41="",FALSE,TRUE))</formula>
    </cfRule>
  </conditionalFormatting>
  <conditionalFormatting sqref="BU39:BU40">
    <cfRule type="expression" dxfId="730" priority="837">
      <formula>OR(IF(BU39&lt;BV39,TRUE),IF(AND(BV39="",BU39&lt;&gt;""),TRUE))</formula>
    </cfRule>
    <cfRule type="expression" dxfId="729" priority="838">
      <formula>IF(BU39&gt;=BV39,IF(BU39="",FALSE,TRUE))</formula>
    </cfRule>
  </conditionalFormatting>
  <conditionalFormatting sqref="BS30">
    <cfRule type="expression" dxfId="728" priority="835">
      <formula>OR(IF(BS30&lt;BT30,TRUE),IF(AND(BT30="",BS30&lt;&gt;""),TRUE))</formula>
    </cfRule>
    <cfRule type="expression" dxfId="727" priority="836">
      <formula>IF(BS30&gt;=BT30,IF(BS30="",FALSE,TRUE))</formula>
    </cfRule>
  </conditionalFormatting>
  <conditionalFormatting sqref="BU30">
    <cfRule type="expression" dxfId="726" priority="833">
      <formula>OR(IF(BU30&lt;BV30,TRUE),IF(AND(BV30="",BU30&lt;&gt;""),TRUE))</formula>
    </cfRule>
    <cfRule type="expression" dxfId="725" priority="834">
      <formula>IF(BU30&gt;=BV30,IF(BU30="",FALSE,TRUE))</formula>
    </cfRule>
  </conditionalFormatting>
  <conditionalFormatting sqref="BS41:BS50">
    <cfRule type="expression" dxfId="724" priority="831">
      <formula>OR(IF(BS41&lt;BT41,TRUE),IF(AND(BT41="",BS41&lt;&gt;""),TRUE))</formula>
    </cfRule>
    <cfRule type="expression" dxfId="723" priority="832">
      <formula>IF(BS41&gt;=BT41,IF(BS41="",FALSE,TRUE))</formula>
    </cfRule>
  </conditionalFormatting>
  <conditionalFormatting sqref="BZ17:BZ22 CB17:CB22">
    <cfRule type="expression" dxfId="722" priority="827">
      <formula>OR(IF(BZ17&lt;CA17,TRUE),IF(AND(CA17="",BZ17&lt;&gt;""),TRUE))</formula>
    </cfRule>
    <cfRule type="expression" dxfId="721" priority="828">
      <formula>IF(BZ17&gt;=CA17,IF(BZ17="",FALSE,TRUE))</formula>
    </cfRule>
  </conditionalFormatting>
  <conditionalFormatting sqref="BZ25:BZ29 CB25:CB29 BZ5:BZ16">
    <cfRule type="expression" dxfId="720" priority="825">
      <formula>OR(IF(BZ5&lt;CA5,TRUE),IF(AND(CA5="",BZ5&lt;&gt;""),TRUE))</formula>
    </cfRule>
    <cfRule type="expression" dxfId="719" priority="826">
      <formula>IF(BZ5&gt;=CA5,IF(BZ5="",FALSE,TRUE))</formula>
    </cfRule>
  </conditionalFormatting>
  <conditionalFormatting sqref="CB5:CB16">
    <cfRule type="expression" dxfId="718" priority="823">
      <formula>OR(IF(CB5&lt;CC5,TRUE),IF(AND(CC5="",CB5&lt;&gt;""),TRUE))</formula>
    </cfRule>
    <cfRule type="expression" dxfId="717" priority="824">
      <formula>IF(CB5&gt;=CC5,IF(CB5="",FALSE,TRUE))</formula>
    </cfRule>
  </conditionalFormatting>
  <conditionalFormatting sqref="BZ39:BZ40">
    <cfRule type="expression" dxfId="716" priority="821">
      <formula>OR(IF(BZ39&lt;CA39,TRUE),IF(AND(CA39="",BZ39&lt;&gt;""),TRUE))</formula>
    </cfRule>
    <cfRule type="expression" dxfId="715" priority="822">
      <formula>IF(BZ39&gt;=CA39,IF(BZ39="",FALSE,TRUE))</formula>
    </cfRule>
  </conditionalFormatting>
  <conditionalFormatting sqref="CB41:CB50">
    <cfRule type="expression" dxfId="714" priority="811">
      <formula>OR(IF(CB41&lt;CC41,TRUE),IF(AND(CC41="",CB41&lt;&gt;""),TRUE))</formula>
    </cfRule>
    <cfRule type="expression" dxfId="713" priority="812">
      <formula>IF(CB41&gt;=CC41,IF(CB41="",FALSE,TRUE))</formula>
    </cfRule>
  </conditionalFormatting>
  <conditionalFormatting sqref="CB39:CB40">
    <cfRule type="expression" dxfId="712" priority="819">
      <formula>OR(IF(CB39&lt;CC39,TRUE),IF(AND(CC39="",CB39&lt;&gt;""),TRUE))</formula>
    </cfRule>
    <cfRule type="expression" dxfId="711" priority="820">
      <formula>IF(CB39&gt;=CC39,IF(CB39="",FALSE,TRUE))</formula>
    </cfRule>
  </conditionalFormatting>
  <conditionalFormatting sqref="BZ30">
    <cfRule type="expression" dxfId="710" priority="817">
      <formula>OR(IF(BZ30&lt;CA30,TRUE),IF(AND(CA30="",BZ30&lt;&gt;""),TRUE))</formula>
    </cfRule>
    <cfRule type="expression" dxfId="709" priority="818">
      <formula>IF(BZ30&gt;=CA30,IF(BZ30="",FALSE,TRUE))</formula>
    </cfRule>
  </conditionalFormatting>
  <conditionalFormatting sqref="CB30">
    <cfRule type="expression" dxfId="708" priority="815">
      <formula>OR(IF(CB30&lt;CC30,TRUE),IF(AND(CC30="",CB30&lt;&gt;""),TRUE))</formula>
    </cfRule>
    <cfRule type="expression" dxfId="707" priority="816">
      <formula>IF(CB30&gt;=CC30,IF(CB30="",FALSE,TRUE))</formula>
    </cfRule>
  </conditionalFormatting>
  <conditionalFormatting sqref="BZ41:BZ50">
    <cfRule type="expression" dxfId="706" priority="813">
      <formula>OR(IF(BZ41&lt;CA41,TRUE),IF(AND(CA41="",BZ41&lt;&gt;""),TRUE))</formula>
    </cfRule>
    <cfRule type="expression" dxfId="705" priority="814">
      <formula>IF(BZ41&gt;=CA41,IF(BZ41="",FALSE,TRUE))</formula>
    </cfRule>
  </conditionalFormatting>
  <conditionalFormatting sqref="CG17:CG22 CI17:CI22">
    <cfRule type="expression" dxfId="704" priority="809">
      <formula>OR(IF(CG17&lt;CH17,TRUE),IF(AND(CH17="",CG17&lt;&gt;""),TRUE))</formula>
    </cfRule>
    <cfRule type="expression" dxfId="703" priority="810">
      <formula>IF(CG17&gt;=CH17,IF(CG17="",FALSE,TRUE))</formula>
    </cfRule>
  </conditionalFormatting>
  <conditionalFormatting sqref="CG25:CG29 CI25:CI29 CG5:CG16">
    <cfRule type="expression" dxfId="702" priority="807">
      <formula>OR(IF(CG5&lt;CH5,TRUE),IF(AND(CH5="",CG5&lt;&gt;""),TRUE))</formula>
    </cfRule>
    <cfRule type="expression" dxfId="701" priority="808">
      <formula>IF(CG5&gt;=CH5,IF(CG5="",FALSE,TRUE))</formula>
    </cfRule>
  </conditionalFormatting>
  <conditionalFormatting sqref="CI5:CI16">
    <cfRule type="expression" dxfId="700" priority="805">
      <formula>OR(IF(CI5&lt;CJ5,TRUE),IF(AND(CJ5="",CI5&lt;&gt;""),TRUE))</formula>
    </cfRule>
    <cfRule type="expression" dxfId="699" priority="806">
      <formula>IF(CI5&gt;=CJ5,IF(CI5="",FALSE,TRUE))</formula>
    </cfRule>
  </conditionalFormatting>
  <conditionalFormatting sqref="CG39:CG40">
    <cfRule type="expression" dxfId="698" priority="803">
      <formula>OR(IF(CG39&lt;CH39,TRUE),IF(AND(CH39="",CG39&lt;&gt;""),TRUE))</formula>
    </cfRule>
    <cfRule type="expression" dxfId="697" priority="804">
      <formula>IF(CG39&gt;=CH39,IF(CG39="",FALSE,TRUE))</formula>
    </cfRule>
  </conditionalFormatting>
  <conditionalFormatting sqref="CI41:CI50">
    <cfRule type="expression" dxfId="696" priority="793">
      <formula>OR(IF(CI41&lt;CJ41,TRUE),IF(AND(CJ41="",CI41&lt;&gt;""),TRUE))</formula>
    </cfRule>
    <cfRule type="expression" dxfId="695" priority="794">
      <formula>IF(CI41&gt;=CJ41,IF(CI41="",FALSE,TRUE))</formula>
    </cfRule>
  </conditionalFormatting>
  <conditionalFormatting sqref="CI39:CI40">
    <cfRule type="expression" dxfId="694" priority="801">
      <formula>OR(IF(CI39&lt;CJ39,TRUE),IF(AND(CJ39="",CI39&lt;&gt;""),TRUE))</formula>
    </cfRule>
    <cfRule type="expression" dxfId="693" priority="802">
      <formula>IF(CI39&gt;=CJ39,IF(CI39="",FALSE,TRUE))</formula>
    </cfRule>
  </conditionalFormatting>
  <conditionalFormatting sqref="CG30">
    <cfRule type="expression" dxfId="692" priority="799">
      <formula>OR(IF(CG30&lt;CH30,TRUE),IF(AND(CH30="",CG30&lt;&gt;""),TRUE))</formula>
    </cfRule>
    <cfRule type="expression" dxfId="691" priority="800">
      <formula>IF(CG30&gt;=CH30,IF(CG30="",FALSE,TRUE))</formula>
    </cfRule>
  </conditionalFormatting>
  <conditionalFormatting sqref="CI30">
    <cfRule type="expression" dxfId="690" priority="797">
      <formula>OR(IF(CI30&lt;CJ30,TRUE),IF(AND(CJ30="",CI30&lt;&gt;""),TRUE))</formula>
    </cfRule>
    <cfRule type="expression" dxfId="689" priority="798">
      <formula>IF(CI30&gt;=CJ30,IF(CI30="",FALSE,TRUE))</formula>
    </cfRule>
  </conditionalFormatting>
  <conditionalFormatting sqref="CG41:CG50">
    <cfRule type="expression" dxfId="688" priority="795">
      <formula>OR(IF(CG41&lt;CH41,TRUE),IF(AND(CH41="",CG41&lt;&gt;""),TRUE))</formula>
    </cfRule>
    <cfRule type="expression" dxfId="687" priority="796">
      <formula>IF(CG41&gt;=CH41,IF(CG41="",FALSE,TRUE))</formula>
    </cfRule>
  </conditionalFormatting>
  <conditionalFormatting sqref="CN17:CN22 CP17:CP22">
    <cfRule type="expression" dxfId="686" priority="791">
      <formula>OR(IF(CN17&lt;CO17,TRUE),IF(AND(CO17="",CN17&lt;&gt;""),TRUE))</formula>
    </cfRule>
    <cfRule type="expression" dxfId="685" priority="792">
      <formula>IF(CN17&gt;=CO17,IF(CN17="",FALSE,TRUE))</formula>
    </cfRule>
  </conditionalFormatting>
  <conditionalFormatting sqref="CN25:CN29 CP25:CP29 CN5:CN16">
    <cfRule type="expression" dxfId="684" priority="789">
      <formula>OR(IF(CN5&lt;CO5,TRUE),IF(AND(CO5="",CN5&lt;&gt;""),TRUE))</formula>
    </cfRule>
    <cfRule type="expression" dxfId="683" priority="790">
      <formula>IF(CN5&gt;=CO5,IF(CN5="",FALSE,TRUE))</formula>
    </cfRule>
  </conditionalFormatting>
  <conditionalFormatting sqref="CP5:CP16">
    <cfRule type="expression" dxfId="682" priority="787">
      <formula>OR(IF(CP5&lt;CQ5,TRUE),IF(AND(CQ5="",CP5&lt;&gt;""),TRUE))</formula>
    </cfRule>
    <cfRule type="expression" dxfId="681" priority="788">
      <formula>IF(CP5&gt;=CQ5,IF(CP5="",FALSE,TRUE))</formula>
    </cfRule>
  </conditionalFormatting>
  <conditionalFormatting sqref="CN39:CN40">
    <cfRule type="expression" dxfId="680" priority="785">
      <formula>OR(IF(CN39&lt;CO39,TRUE),IF(AND(CO39="",CN39&lt;&gt;""),TRUE))</formula>
    </cfRule>
    <cfRule type="expression" dxfId="679" priority="786">
      <formula>IF(CN39&gt;=CO39,IF(CN39="",FALSE,TRUE))</formula>
    </cfRule>
  </conditionalFormatting>
  <conditionalFormatting sqref="CP41:CP50">
    <cfRule type="expression" dxfId="678" priority="775">
      <formula>OR(IF(CP41&lt;CQ41,TRUE),IF(AND(CQ41="",CP41&lt;&gt;""),TRUE))</formula>
    </cfRule>
    <cfRule type="expression" dxfId="677" priority="776">
      <formula>IF(CP41&gt;=CQ41,IF(CP41="",FALSE,TRUE))</formula>
    </cfRule>
  </conditionalFormatting>
  <conditionalFormatting sqref="CP39:CP40">
    <cfRule type="expression" dxfId="676" priority="783">
      <formula>OR(IF(CP39&lt;CQ39,TRUE),IF(AND(CQ39="",CP39&lt;&gt;""),TRUE))</formula>
    </cfRule>
    <cfRule type="expression" dxfId="675" priority="784">
      <formula>IF(CP39&gt;=CQ39,IF(CP39="",FALSE,TRUE))</formula>
    </cfRule>
  </conditionalFormatting>
  <conditionalFormatting sqref="CN30">
    <cfRule type="expression" dxfId="674" priority="781">
      <formula>OR(IF(CN30&lt;CO30,TRUE),IF(AND(CO30="",CN30&lt;&gt;""),TRUE))</formula>
    </cfRule>
    <cfRule type="expression" dxfId="673" priority="782">
      <formula>IF(CN30&gt;=CO30,IF(CN30="",FALSE,TRUE))</formula>
    </cfRule>
  </conditionalFormatting>
  <conditionalFormatting sqref="CP30">
    <cfRule type="expression" dxfId="672" priority="779">
      <formula>OR(IF(CP30&lt;CQ30,TRUE),IF(AND(CQ30="",CP30&lt;&gt;""),TRUE))</formula>
    </cfRule>
    <cfRule type="expression" dxfId="671" priority="780">
      <formula>IF(CP30&gt;=CQ30,IF(CP30="",FALSE,TRUE))</formula>
    </cfRule>
  </conditionalFormatting>
  <conditionalFormatting sqref="CN41:CN50">
    <cfRule type="expression" dxfId="670" priority="777">
      <formula>OR(IF(CN41&lt;CO41,TRUE),IF(AND(CO41="",CN41&lt;&gt;""),TRUE))</formula>
    </cfRule>
    <cfRule type="expression" dxfId="669" priority="778">
      <formula>IF(CN41&gt;=CO41,IF(CN41="",FALSE,TRUE))</formula>
    </cfRule>
  </conditionalFormatting>
  <conditionalFormatting sqref="CU17:CU22 CW17:CW22">
    <cfRule type="expression" dxfId="668" priority="773">
      <formula>OR(IF(CU17&lt;CV17,TRUE),IF(AND(CV17="",CU17&lt;&gt;""),TRUE))</formula>
    </cfRule>
    <cfRule type="expression" dxfId="667" priority="774">
      <formula>IF(CU17&gt;=CV17,IF(CU17="",FALSE,TRUE))</formula>
    </cfRule>
  </conditionalFormatting>
  <conditionalFormatting sqref="CU25:CU29 CW25:CW29 CU5:CU16">
    <cfRule type="expression" dxfId="666" priority="771">
      <formula>OR(IF(CU5&lt;CV5,TRUE),IF(AND(CV5="",CU5&lt;&gt;""),TRUE))</formula>
    </cfRule>
    <cfRule type="expression" dxfId="665" priority="772">
      <formula>IF(CU5&gt;=CV5,IF(CU5="",FALSE,TRUE))</formula>
    </cfRule>
  </conditionalFormatting>
  <conditionalFormatting sqref="CW5:CW16">
    <cfRule type="expression" dxfId="664" priority="769">
      <formula>OR(IF(CW5&lt;CX5,TRUE),IF(AND(CX5="",CW5&lt;&gt;""),TRUE))</formula>
    </cfRule>
    <cfRule type="expression" dxfId="663" priority="770">
      <formula>IF(CW5&gt;=CX5,IF(CW5="",FALSE,TRUE))</formula>
    </cfRule>
  </conditionalFormatting>
  <conditionalFormatting sqref="CU39:CU40">
    <cfRule type="expression" dxfId="662" priority="767">
      <formula>OR(IF(CU39&lt;CV39,TRUE),IF(AND(CV39="",CU39&lt;&gt;""),TRUE))</formula>
    </cfRule>
    <cfRule type="expression" dxfId="661" priority="768">
      <formula>IF(CU39&gt;=CV39,IF(CU39="",FALSE,TRUE))</formula>
    </cfRule>
  </conditionalFormatting>
  <conditionalFormatting sqref="CW41:CW50">
    <cfRule type="expression" dxfId="660" priority="757">
      <formula>OR(IF(CW41&lt;CX41,TRUE),IF(AND(CX41="",CW41&lt;&gt;""),TRUE))</formula>
    </cfRule>
    <cfRule type="expression" dxfId="659" priority="758">
      <formula>IF(CW41&gt;=CX41,IF(CW41="",FALSE,TRUE))</formula>
    </cfRule>
  </conditionalFormatting>
  <conditionalFormatting sqref="CW39:CW40">
    <cfRule type="expression" dxfId="658" priority="765">
      <formula>OR(IF(CW39&lt;CX39,TRUE),IF(AND(CX39="",CW39&lt;&gt;""),TRUE))</formula>
    </cfRule>
    <cfRule type="expression" dxfId="657" priority="766">
      <formula>IF(CW39&gt;=CX39,IF(CW39="",FALSE,TRUE))</formula>
    </cfRule>
  </conditionalFormatting>
  <conditionalFormatting sqref="CU30">
    <cfRule type="expression" dxfId="656" priority="763">
      <formula>OR(IF(CU30&lt;CV30,TRUE),IF(AND(CV30="",CU30&lt;&gt;""),TRUE))</formula>
    </cfRule>
    <cfRule type="expression" dxfId="655" priority="764">
      <formula>IF(CU30&gt;=CV30,IF(CU30="",FALSE,TRUE))</formula>
    </cfRule>
  </conditionalFormatting>
  <conditionalFormatting sqref="CW30">
    <cfRule type="expression" dxfId="654" priority="761">
      <formula>OR(IF(CW30&lt;CX30,TRUE),IF(AND(CX30="",CW30&lt;&gt;""),TRUE))</formula>
    </cfRule>
    <cfRule type="expression" dxfId="653" priority="762">
      <formula>IF(CW30&gt;=CX30,IF(CW30="",FALSE,TRUE))</formula>
    </cfRule>
  </conditionalFormatting>
  <conditionalFormatting sqref="CU41:CU50">
    <cfRule type="expression" dxfId="652" priority="759">
      <formula>OR(IF(CU41&lt;CV41,TRUE),IF(AND(CV41="",CU41&lt;&gt;""),TRUE))</formula>
    </cfRule>
    <cfRule type="expression" dxfId="651" priority="760">
      <formula>IF(CU41&gt;=CV41,IF(CU41="",FALSE,TRUE))</formula>
    </cfRule>
  </conditionalFormatting>
  <conditionalFormatting sqref="DB17:DB22 DD17:DD22">
    <cfRule type="expression" dxfId="650" priority="755">
      <formula>OR(IF(DB17&lt;DC17,TRUE),IF(AND(DC17="",DB17&lt;&gt;""),TRUE))</formula>
    </cfRule>
    <cfRule type="expression" dxfId="649" priority="756">
      <formula>IF(DB17&gt;=DC17,IF(DB17="",FALSE,TRUE))</formula>
    </cfRule>
  </conditionalFormatting>
  <conditionalFormatting sqref="DB25:DB29 DD25:DD29 DB5:DB16">
    <cfRule type="expression" dxfId="648" priority="753">
      <formula>OR(IF(DB5&lt;DC5,TRUE),IF(AND(DC5="",DB5&lt;&gt;""),TRUE))</formula>
    </cfRule>
    <cfRule type="expression" dxfId="647" priority="754">
      <formula>IF(DB5&gt;=DC5,IF(DB5="",FALSE,TRUE))</formula>
    </cfRule>
  </conditionalFormatting>
  <conditionalFormatting sqref="DD5:DD16">
    <cfRule type="expression" dxfId="646" priority="751">
      <formula>OR(IF(DD5&lt;DE5,TRUE),IF(AND(DE5="",DD5&lt;&gt;""),TRUE))</formula>
    </cfRule>
    <cfRule type="expression" dxfId="645" priority="752">
      <formula>IF(DD5&gt;=DE5,IF(DD5="",FALSE,TRUE))</formula>
    </cfRule>
  </conditionalFormatting>
  <conditionalFormatting sqref="DB39:DB40">
    <cfRule type="expression" dxfId="644" priority="749">
      <formula>OR(IF(DB39&lt;DC39,TRUE),IF(AND(DC39="",DB39&lt;&gt;""),TRUE))</formula>
    </cfRule>
    <cfRule type="expression" dxfId="643" priority="750">
      <formula>IF(DB39&gt;=DC39,IF(DB39="",FALSE,TRUE))</formula>
    </cfRule>
  </conditionalFormatting>
  <conditionalFormatting sqref="DD41:DD50">
    <cfRule type="expression" dxfId="642" priority="739">
      <formula>OR(IF(DD41&lt;DE41,TRUE),IF(AND(DE41="",DD41&lt;&gt;""),TRUE))</formula>
    </cfRule>
    <cfRule type="expression" dxfId="641" priority="740">
      <formula>IF(DD41&gt;=DE41,IF(DD41="",FALSE,TRUE))</formula>
    </cfRule>
  </conditionalFormatting>
  <conditionalFormatting sqref="DD39:DD40">
    <cfRule type="expression" dxfId="640" priority="747">
      <formula>OR(IF(DD39&lt;DE39,TRUE),IF(AND(DE39="",DD39&lt;&gt;""),TRUE))</formula>
    </cfRule>
    <cfRule type="expression" dxfId="639" priority="748">
      <formula>IF(DD39&gt;=DE39,IF(DD39="",FALSE,TRUE))</formula>
    </cfRule>
  </conditionalFormatting>
  <conditionalFormatting sqref="DB30">
    <cfRule type="expression" dxfId="638" priority="745">
      <formula>OR(IF(DB30&lt;DC30,TRUE),IF(AND(DC30="",DB30&lt;&gt;""),TRUE))</formula>
    </cfRule>
    <cfRule type="expression" dxfId="637" priority="746">
      <formula>IF(DB30&gt;=DC30,IF(DB30="",FALSE,TRUE))</formula>
    </cfRule>
  </conditionalFormatting>
  <conditionalFormatting sqref="DD30">
    <cfRule type="expression" dxfId="636" priority="743">
      <formula>OR(IF(DD30&lt;DE30,TRUE),IF(AND(DE30="",DD30&lt;&gt;""),TRUE))</formula>
    </cfRule>
    <cfRule type="expression" dxfId="635" priority="744">
      <formula>IF(DD30&gt;=DE30,IF(DD30="",FALSE,TRUE))</formula>
    </cfRule>
  </conditionalFormatting>
  <conditionalFormatting sqref="DB41:DB50">
    <cfRule type="expression" dxfId="634" priority="741">
      <formula>OR(IF(DB41&lt;DC41,TRUE),IF(AND(DC41="",DB41&lt;&gt;""),TRUE))</formula>
    </cfRule>
    <cfRule type="expression" dxfId="633" priority="742">
      <formula>IF(DB41&gt;=DC41,IF(DB41="",FALSE,TRUE))</formula>
    </cfRule>
  </conditionalFormatting>
  <conditionalFormatting sqref="O31:O35 Q31:Q35">
    <cfRule type="expression" dxfId="632" priority="736">
      <formula>OR(IF(O31&lt;P31,TRUE),IF(AND(P31="",O31&lt;&gt;""),TRUE))</formula>
    </cfRule>
    <cfRule type="expression" dxfId="631" priority="737">
      <formula>IF(O31&gt;=P31,IF(O31="",FALSE,TRUE))</formula>
    </cfRule>
  </conditionalFormatting>
  <conditionalFormatting sqref="AQ31:AQ35 AS31:AS35">
    <cfRule type="expression" dxfId="630" priority="712">
      <formula>OR(IF(AQ31&lt;AR31,TRUE),IF(AND(AR31="",AQ31&lt;&gt;""),TRUE))</formula>
    </cfRule>
    <cfRule type="expression" dxfId="629" priority="713">
      <formula>IF(AQ31&gt;=AR31,IF(AQ31="",FALSE,TRUE))</formula>
    </cfRule>
  </conditionalFormatting>
  <conditionalFormatting sqref="J31:K36">
    <cfRule type="colorScale" priority="738">
      <colorScale>
        <cfvo type="percent" val="0"/>
        <cfvo type="percent" val="100"/>
        <color rgb="FFFF231B"/>
        <color rgb="FF10FF07"/>
      </colorScale>
    </cfRule>
  </conditionalFormatting>
  <conditionalFormatting sqref="AZ36">
    <cfRule type="expression" dxfId="628" priority="702">
      <formula>OR(IF(AZ36&lt;BA36,TRUE),IF(AND(BA36="",AZ36&lt;&gt;""),TRUE))</formula>
    </cfRule>
    <cfRule type="expression" dxfId="627" priority="703">
      <formula>IF(AZ36&gt;=BA36,IF(AZ36="",FALSE,TRUE))</formula>
    </cfRule>
  </conditionalFormatting>
  <conditionalFormatting sqref="BE31:BE35 BG31:BG35">
    <cfRule type="expression" dxfId="626" priority="700">
      <formula>OR(IF(BE31&lt;BF31,TRUE),IF(AND(BF31="",BE31&lt;&gt;""),TRUE))</formula>
    </cfRule>
    <cfRule type="expression" dxfId="625" priority="701">
      <formula>IF(BE31&gt;=BF31,IF(BE31="",FALSE,TRUE))</formula>
    </cfRule>
  </conditionalFormatting>
  <conditionalFormatting sqref="O36">
    <cfRule type="expression" dxfId="624" priority="734">
      <formula>OR(IF(O36&lt;P36,TRUE),IF(AND(P36="",O36&lt;&gt;""),TRUE))</formula>
    </cfRule>
    <cfRule type="expression" dxfId="623" priority="735">
      <formula>IF(O36&gt;=P36,IF(O36="",FALSE,TRUE))</formula>
    </cfRule>
  </conditionalFormatting>
  <conditionalFormatting sqref="Q36">
    <cfRule type="expression" dxfId="622" priority="732">
      <formula>OR(IF(Q36&lt;R36,TRUE),IF(AND(R36="",Q36&lt;&gt;""),TRUE))</formula>
    </cfRule>
    <cfRule type="expression" dxfId="621" priority="733">
      <formula>IF(Q36&gt;=R36,IF(Q36="",FALSE,TRUE))</formula>
    </cfRule>
  </conditionalFormatting>
  <conditionalFormatting sqref="V31:V35 X31:X35">
    <cfRule type="expression" dxfId="620" priority="730">
      <formula>OR(IF(V31&lt;W31,TRUE),IF(AND(W31="",V31&lt;&gt;""),TRUE))</formula>
    </cfRule>
    <cfRule type="expression" dxfId="619" priority="731">
      <formula>IF(V31&gt;=W31,IF(V31="",FALSE,TRUE))</formula>
    </cfRule>
  </conditionalFormatting>
  <conditionalFormatting sqref="V36">
    <cfRule type="expression" dxfId="618" priority="728">
      <formula>OR(IF(V36&lt;W36,TRUE),IF(AND(W36="",V36&lt;&gt;""),TRUE))</formula>
    </cfRule>
    <cfRule type="expression" dxfId="617" priority="729">
      <formula>IF(V36&gt;=W36,IF(V36="",FALSE,TRUE))</formula>
    </cfRule>
  </conditionalFormatting>
  <conditionalFormatting sqref="X36">
    <cfRule type="expression" dxfId="616" priority="726">
      <formula>OR(IF(X36&lt;Y36,TRUE),IF(AND(Y36="",X36&lt;&gt;""),TRUE))</formula>
    </cfRule>
    <cfRule type="expression" dxfId="615" priority="727">
      <formula>IF(X36&gt;=Y36,IF(X36="",FALSE,TRUE))</formula>
    </cfRule>
  </conditionalFormatting>
  <conditionalFormatting sqref="AC31:AC35 AE31:AE35">
    <cfRule type="expression" dxfId="614" priority="724">
      <formula>OR(IF(AC31&lt;AD31,TRUE),IF(AND(AD31="",AC31&lt;&gt;""),TRUE))</formula>
    </cfRule>
    <cfRule type="expression" dxfId="613" priority="725">
      <formula>IF(AC31&gt;=AD31,IF(AC31="",FALSE,TRUE))</formula>
    </cfRule>
  </conditionalFormatting>
  <conditionalFormatting sqref="AC36">
    <cfRule type="expression" dxfId="612" priority="722">
      <formula>OR(IF(AC36&lt;AD36,TRUE),IF(AND(AD36="",AC36&lt;&gt;""),TRUE))</formula>
    </cfRule>
    <cfRule type="expression" dxfId="611" priority="723">
      <formula>IF(AC36&gt;=AD36,IF(AC36="",FALSE,TRUE))</formula>
    </cfRule>
  </conditionalFormatting>
  <conditionalFormatting sqref="AE36">
    <cfRule type="expression" dxfId="610" priority="720">
      <formula>OR(IF(AE36&lt;AF36,TRUE),IF(AND(AF36="",AE36&lt;&gt;""),TRUE))</formula>
    </cfRule>
    <cfRule type="expression" dxfId="609" priority="721">
      <formula>IF(AE36&gt;=AF36,IF(AE36="",FALSE,TRUE))</formula>
    </cfRule>
  </conditionalFormatting>
  <conditionalFormatting sqref="AJ31:AJ35 AL31:AL35">
    <cfRule type="expression" dxfId="608" priority="718">
      <formula>OR(IF(AJ31&lt;AK31,TRUE),IF(AND(AK31="",AJ31&lt;&gt;""),TRUE))</formula>
    </cfRule>
    <cfRule type="expression" dxfId="607" priority="719">
      <formula>IF(AJ31&gt;=AK31,IF(AJ31="",FALSE,TRUE))</formula>
    </cfRule>
  </conditionalFormatting>
  <conditionalFormatting sqref="AJ36">
    <cfRule type="expression" dxfId="606" priority="716">
      <formula>OR(IF(AJ36&lt;AK36,TRUE),IF(AND(AK36="",AJ36&lt;&gt;""),TRUE))</formula>
    </cfRule>
    <cfRule type="expression" dxfId="605" priority="717">
      <formula>IF(AJ36&gt;=AK36,IF(AJ36="",FALSE,TRUE))</formula>
    </cfRule>
  </conditionalFormatting>
  <conditionalFormatting sqref="AL36">
    <cfRule type="expression" dxfId="604" priority="714">
      <formula>OR(IF(AL36&lt;AM36,TRUE),IF(AND(AM36="",AL36&lt;&gt;""),TRUE))</formula>
    </cfRule>
    <cfRule type="expression" dxfId="603" priority="715">
      <formula>IF(AL36&gt;=AM36,IF(AL36="",FALSE,TRUE))</formula>
    </cfRule>
  </conditionalFormatting>
  <conditionalFormatting sqref="AQ36">
    <cfRule type="expression" dxfId="602" priority="710">
      <formula>OR(IF(AQ36&lt;AR36,TRUE),IF(AND(AR36="",AQ36&lt;&gt;""),TRUE))</formula>
    </cfRule>
    <cfRule type="expression" dxfId="601" priority="711">
      <formula>IF(AQ36&gt;=AR36,IF(AQ36="",FALSE,TRUE))</formula>
    </cfRule>
  </conditionalFormatting>
  <conditionalFormatting sqref="AS36">
    <cfRule type="expression" dxfId="600" priority="708">
      <formula>OR(IF(AS36&lt;AT36,TRUE),IF(AND(AT36="",AS36&lt;&gt;""),TRUE))</formula>
    </cfRule>
    <cfRule type="expression" dxfId="599" priority="709">
      <formula>IF(AS36&gt;=AT36,IF(AS36="",FALSE,TRUE))</formula>
    </cfRule>
  </conditionalFormatting>
  <conditionalFormatting sqref="AX31:AX35 AZ31:AZ35">
    <cfRule type="expression" dxfId="598" priority="706">
      <formula>OR(IF(AX31&lt;AY31,TRUE),IF(AND(AY31="",AX31&lt;&gt;""),TRUE))</formula>
    </cfRule>
    <cfRule type="expression" dxfId="597" priority="707">
      <formula>IF(AX31&gt;=AY31,IF(AX31="",FALSE,TRUE))</formula>
    </cfRule>
  </conditionalFormatting>
  <conditionalFormatting sqref="AX36">
    <cfRule type="expression" dxfId="596" priority="704">
      <formula>OR(IF(AX36&lt;AY36,TRUE),IF(AND(AY36="",AX36&lt;&gt;""),TRUE))</formula>
    </cfRule>
    <cfRule type="expression" dxfId="595" priority="705">
      <formula>IF(AX36&gt;=AY36,IF(AX36="",FALSE,TRUE))</formula>
    </cfRule>
  </conditionalFormatting>
  <conditionalFormatting sqref="BE36">
    <cfRule type="expression" dxfId="594" priority="698">
      <formula>OR(IF(BE36&lt;BF36,TRUE),IF(AND(BF36="",BE36&lt;&gt;""),TRUE))</formula>
    </cfRule>
    <cfRule type="expression" dxfId="593" priority="699">
      <formula>IF(BE36&gt;=BF36,IF(BE36="",FALSE,TRUE))</formula>
    </cfRule>
  </conditionalFormatting>
  <conditionalFormatting sqref="BG36">
    <cfRule type="expression" dxfId="592" priority="696">
      <formula>OR(IF(BG36&lt;BH36,TRUE),IF(AND(BH36="",BG36&lt;&gt;""),TRUE))</formula>
    </cfRule>
    <cfRule type="expression" dxfId="591" priority="697">
      <formula>IF(BG36&gt;=BH36,IF(BG36="",FALSE,TRUE))</formula>
    </cfRule>
  </conditionalFormatting>
  <conditionalFormatting sqref="BL31:BL35 BN31:BN35">
    <cfRule type="expression" dxfId="590" priority="694">
      <formula>OR(IF(BL31&lt;BM31,TRUE),IF(AND(BM31="",BL31&lt;&gt;""),TRUE))</formula>
    </cfRule>
    <cfRule type="expression" dxfId="589" priority="695">
      <formula>IF(BL31&gt;=BM31,IF(BL31="",FALSE,TRUE))</formula>
    </cfRule>
  </conditionalFormatting>
  <conditionalFormatting sqref="BL36">
    <cfRule type="expression" dxfId="588" priority="692">
      <formula>OR(IF(BL36&lt;BM36,TRUE),IF(AND(BM36="",BL36&lt;&gt;""),TRUE))</formula>
    </cfRule>
    <cfRule type="expression" dxfId="587" priority="693">
      <formula>IF(BL36&gt;=BM36,IF(BL36="",FALSE,TRUE))</formula>
    </cfRule>
  </conditionalFormatting>
  <conditionalFormatting sqref="BN36">
    <cfRule type="expression" dxfId="586" priority="690">
      <formula>OR(IF(BN36&lt;BO36,TRUE),IF(AND(BO36="",BN36&lt;&gt;""),TRUE))</formula>
    </cfRule>
    <cfRule type="expression" dxfId="585" priority="691">
      <formula>IF(BN36&gt;=BO36,IF(BN36="",FALSE,TRUE))</formula>
    </cfRule>
  </conditionalFormatting>
  <conditionalFormatting sqref="BS31:BS35 BU31:BU35">
    <cfRule type="expression" dxfId="584" priority="688">
      <formula>OR(IF(BS31&lt;BT31,TRUE),IF(AND(BT31="",BS31&lt;&gt;""),TRUE))</formula>
    </cfRule>
    <cfRule type="expression" dxfId="583" priority="689">
      <formula>IF(BS31&gt;=BT31,IF(BS31="",FALSE,TRUE))</formula>
    </cfRule>
  </conditionalFormatting>
  <conditionalFormatting sqref="BS36">
    <cfRule type="expression" dxfId="582" priority="686">
      <formula>OR(IF(BS36&lt;BT36,TRUE),IF(AND(BT36="",BS36&lt;&gt;""),TRUE))</formula>
    </cfRule>
    <cfRule type="expression" dxfId="581" priority="687">
      <formula>IF(BS36&gt;=BT36,IF(BS36="",FALSE,TRUE))</formula>
    </cfRule>
  </conditionalFormatting>
  <conditionalFormatting sqref="BU36">
    <cfRule type="expression" dxfId="580" priority="684">
      <formula>OR(IF(BU36&lt;BV36,TRUE),IF(AND(BV36="",BU36&lt;&gt;""),TRUE))</formula>
    </cfRule>
    <cfRule type="expression" dxfId="579" priority="685">
      <formula>IF(BU36&gt;=BV36,IF(BU36="",FALSE,TRUE))</formula>
    </cfRule>
  </conditionalFormatting>
  <conditionalFormatting sqref="BZ31:BZ35 CB31:CB35">
    <cfRule type="expression" dxfId="578" priority="682">
      <formula>OR(IF(BZ31&lt;CA31,TRUE),IF(AND(CA31="",BZ31&lt;&gt;""),TRUE))</formula>
    </cfRule>
    <cfRule type="expression" dxfId="577" priority="683">
      <formula>IF(BZ31&gt;=CA31,IF(BZ31="",FALSE,TRUE))</formula>
    </cfRule>
  </conditionalFormatting>
  <conditionalFormatting sqref="BZ36">
    <cfRule type="expression" dxfId="576" priority="680">
      <formula>OR(IF(BZ36&lt;CA36,TRUE),IF(AND(CA36="",BZ36&lt;&gt;""),TRUE))</formula>
    </cfRule>
    <cfRule type="expression" dxfId="575" priority="681">
      <formula>IF(BZ36&gt;=CA36,IF(BZ36="",FALSE,TRUE))</formula>
    </cfRule>
  </conditionalFormatting>
  <conditionalFormatting sqref="CB36">
    <cfRule type="expression" dxfId="574" priority="678">
      <formula>OR(IF(CB36&lt;CC36,TRUE),IF(AND(CC36="",CB36&lt;&gt;""),TRUE))</formula>
    </cfRule>
    <cfRule type="expression" dxfId="573" priority="679">
      <formula>IF(CB36&gt;=CC36,IF(CB36="",FALSE,TRUE))</formula>
    </cfRule>
  </conditionalFormatting>
  <conditionalFormatting sqref="CG31:CG35 CI31:CI35">
    <cfRule type="expression" dxfId="572" priority="676">
      <formula>OR(IF(CG31&lt;CH31,TRUE),IF(AND(CH31="",CG31&lt;&gt;""),TRUE))</formula>
    </cfRule>
    <cfRule type="expression" dxfId="571" priority="677">
      <formula>IF(CG31&gt;=CH31,IF(CG31="",FALSE,TRUE))</formula>
    </cfRule>
  </conditionalFormatting>
  <conditionalFormatting sqref="CG36">
    <cfRule type="expression" dxfId="570" priority="674">
      <formula>OR(IF(CG36&lt;CH36,TRUE),IF(AND(CH36="",CG36&lt;&gt;""),TRUE))</formula>
    </cfRule>
    <cfRule type="expression" dxfId="569" priority="675">
      <formula>IF(CG36&gt;=CH36,IF(CG36="",FALSE,TRUE))</formula>
    </cfRule>
  </conditionalFormatting>
  <conditionalFormatting sqref="CI36">
    <cfRule type="expression" dxfId="568" priority="672">
      <formula>OR(IF(CI36&lt;CJ36,TRUE),IF(AND(CJ36="",CI36&lt;&gt;""),TRUE))</formula>
    </cfRule>
    <cfRule type="expression" dxfId="567" priority="673">
      <formula>IF(CI36&gt;=CJ36,IF(CI36="",FALSE,TRUE))</formula>
    </cfRule>
  </conditionalFormatting>
  <conditionalFormatting sqref="CN31:CN35 CP31:CP35">
    <cfRule type="expression" dxfId="566" priority="670">
      <formula>OR(IF(CN31&lt;CO31,TRUE),IF(AND(CO31="",CN31&lt;&gt;""),TRUE))</formula>
    </cfRule>
    <cfRule type="expression" dxfId="565" priority="671">
      <formula>IF(CN31&gt;=CO31,IF(CN31="",FALSE,TRUE))</formula>
    </cfRule>
  </conditionalFormatting>
  <conditionalFormatting sqref="CN36">
    <cfRule type="expression" dxfId="564" priority="668">
      <formula>OR(IF(CN36&lt;CO36,TRUE),IF(AND(CO36="",CN36&lt;&gt;""),TRUE))</formula>
    </cfRule>
    <cfRule type="expression" dxfId="563" priority="669">
      <formula>IF(CN36&gt;=CO36,IF(CN36="",FALSE,TRUE))</formula>
    </cfRule>
  </conditionalFormatting>
  <conditionalFormatting sqref="CP36">
    <cfRule type="expression" dxfId="562" priority="666">
      <formula>OR(IF(CP36&lt;CQ36,TRUE),IF(AND(CQ36="",CP36&lt;&gt;""),TRUE))</formula>
    </cfRule>
    <cfRule type="expression" dxfId="561" priority="667">
      <formula>IF(CP36&gt;=CQ36,IF(CP36="",FALSE,TRUE))</formula>
    </cfRule>
  </conditionalFormatting>
  <conditionalFormatting sqref="CU31:CU35 CW31:CW35">
    <cfRule type="expression" dxfId="560" priority="664">
      <formula>OR(IF(CU31&lt;CV31,TRUE),IF(AND(CV31="",CU31&lt;&gt;""),TRUE))</formula>
    </cfRule>
    <cfRule type="expression" dxfId="559" priority="665">
      <formula>IF(CU31&gt;=CV31,IF(CU31="",FALSE,TRUE))</formula>
    </cfRule>
  </conditionalFormatting>
  <conditionalFormatting sqref="CU36">
    <cfRule type="expression" dxfId="558" priority="662">
      <formula>OR(IF(CU36&lt;CV36,TRUE),IF(AND(CV36="",CU36&lt;&gt;""),TRUE))</formula>
    </cfRule>
    <cfRule type="expression" dxfId="557" priority="663">
      <formula>IF(CU36&gt;=CV36,IF(CU36="",FALSE,TRUE))</formula>
    </cfRule>
  </conditionalFormatting>
  <conditionalFormatting sqref="CW36">
    <cfRule type="expression" dxfId="556" priority="660">
      <formula>OR(IF(CW36&lt;CX36,TRUE),IF(AND(CX36="",CW36&lt;&gt;""),TRUE))</formula>
    </cfRule>
    <cfRule type="expression" dxfId="555" priority="661">
      <formula>IF(CW36&gt;=CX36,IF(CW36="",FALSE,TRUE))</formula>
    </cfRule>
  </conditionalFormatting>
  <conditionalFormatting sqref="DB31:DB35 DD31:DD35">
    <cfRule type="expression" dxfId="554" priority="658">
      <formula>OR(IF(DB31&lt;DC31,TRUE),IF(AND(DC31="",DB31&lt;&gt;""),TRUE))</formula>
    </cfRule>
    <cfRule type="expression" dxfId="553" priority="659">
      <formula>IF(DB31&gt;=DC31,IF(DB31="",FALSE,TRUE))</formula>
    </cfRule>
  </conditionalFormatting>
  <conditionalFormatting sqref="DB36">
    <cfRule type="expression" dxfId="552" priority="656">
      <formula>OR(IF(DB36&lt;DC36,TRUE),IF(AND(DC36="",DB36&lt;&gt;""),TRUE))</formula>
    </cfRule>
    <cfRule type="expression" dxfId="551" priority="657">
      <formula>IF(DB36&gt;=DC36,IF(DB36="",FALSE,TRUE))</formula>
    </cfRule>
  </conditionalFormatting>
  <conditionalFormatting sqref="DD36">
    <cfRule type="expression" dxfId="550" priority="654">
      <formula>OR(IF(DD36&lt;DE36,TRUE),IF(AND(DE36="",DD36&lt;&gt;""),TRUE))</formula>
    </cfRule>
    <cfRule type="expression" dxfId="549" priority="655">
      <formula>IF(DD36&gt;=DE36,IF(DD36="",FALSE,TRUE))</formula>
    </cfRule>
  </conditionalFormatting>
  <conditionalFormatting sqref="O51:O52 Q51:Q52">
    <cfRule type="expression" dxfId="548" priority="651">
      <formula>OR(IF(O51&lt;P51,TRUE),IF(AND(P51="",O51&lt;&gt;""),TRUE))</formula>
    </cfRule>
    <cfRule type="expression" dxfId="547" priority="652">
      <formula>IF(O51&gt;=P51,IF(O51="",FALSE,TRUE))</formula>
    </cfRule>
  </conditionalFormatting>
  <conditionalFormatting sqref="AQ51:AQ52 AS51:AS52">
    <cfRule type="expression" dxfId="546" priority="627">
      <formula>OR(IF(AQ51&lt;AR51,TRUE),IF(AND(AR51="",AQ51&lt;&gt;""),TRUE))</formula>
    </cfRule>
    <cfRule type="expression" dxfId="545" priority="628">
      <formula>IF(AQ51&gt;=AR51,IF(AQ51="",FALSE,TRUE))</formula>
    </cfRule>
  </conditionalFormatting>
  <conditionalFormatting sqref="J51:K53">
    <cfRule type="colorScale" priority="653">
      <colorScale>
        <cfvo type="percent" val="0"/>
        <cfvo type="percent" val="100"/>
        <color rgb="FFFF231B"/>
        <color rgb="FF10FF07"/>
      </colorScale>
    </cfRule>
  </conditionalFormatting>
  <conditionalFormatting sqref="AZ53">
    <cfRule type="expression" dxfId="544" priority="617">
      <formula>OR(IF(AZ53&lt;BA53,TRUE),IF(AND(BA53="",AZ53&lt;&gt;""),TRUE))</formula>
    </cfRule>
    <cfRule type="expression" dxfId="543" priority="618">
      <formula>IF(AZ53&gt;=BA53,IF(AZ53="",FALSE,TRUE))</formula>
    </cfRule>
  </conditionalFormatting>
  <conditionalFormatting sqref="BE51:BE52 BG51:BG52">
    <cfRule type="expression" dxfId="542" priority="615">
      <formula>OR(IF(BE51&lt;BF51,TRUE),IF(AND(BF51="",BE51&lt;&gt;""),TRUE))</formula>
    </cfRule>
    <cfRule type="expression" dxfId="541" priority="616">
      <formula>IF(BE51&gt;=BF51,IF(BE51="",FALSE,TRUE))</formula>
    </cfRule>
  </conditionalFormatting>
  <conditionalFormatting sqref="O53">
    <cfRule type="expression" dxfId="540" priority="649">
      <formula>OR(IF(O53&lt;P53,TRUE),IF(AND(P53="",O53&lt;&gt;""),TRUE))</formula>
    </cfRule>
    <cfRule type="expression" dxfId="539" priority="650">
      <formula>IF(O53&gt;=P53,IF(O53="",FALSE,TRUE))</formula>
    </cfRule>
  </conditionalFormatting>
  <conditionalFormatting sqref="Q53">
    <cfRule type="expression" dxfId="538" priority="647">
      <formula>OR(IF(Q53&lt;R53,TRUE),IF(AND(R53="",Q53&lt;&gt;""),TRUE))</formula>
    </cfRule>
    <cfRule type="expression" dxfId="537" priority="648">
      <formula>IF(Q53&gt;=R53,IF(Q53="",FALSE,TRUE))</formula>
    </cfRule>
  </conditionalFormatting>
  <conditionalFormatting sqref="V51:V52 X51:X52">
    <cfRule type="expression" dxfId="536" priority="645">
      <formula>OR(IF(V51&lt;W51,TRUE),IF(AND(W51="",V51&lt;&gt;""),TRUE))</formula>
    </cfRule>
    <cfRule type="expression" dxfId="535" priority="646">
      <formula>IF(V51&gt;=W51,IF(V51="",FALSE,TRUE))</formula>
    </cfRule>
  </conditionalFormatting>
  <conditionalFormatting sqref="V53">
    <cfRule type="expression" dxfId="534" priority="643">
      <formula>OR(IF(V53&lt;W53,TRUE),IF(AND(W53="",V53&lt;&gt;""),TRUE))</formula>
    </cfRule>
    <cfRule type="expression" dxfId="533" priority="644">
      <formula>IF(V53&gt;=W53,IF(V53="",FALSE,TRUE))</formula>
    </cfRule>
  </conditionalFormatting>
  <conditionalFormatting sqref="X53">
    <cfRule type="expression" dxfId="532" priority="641">
      <formula>OR(IF(X53&lt;Y53,TRUE),IF(AND(Y53="",X53&lt;&gt;""),TRUE))</formula>
    </cfRule>
    <cfRule type="expression" dxfId="531" priority="642">
      <formula>IF(X53&gt;=Y53,IF(X53="",FALSE,TRUE))</formula>
    </cfRule>
  </conditionalFormatting>
  <conditionalFormatting sqref="AC51:AC52 AE51:AE52">
    <cfRule type="expression" dxfId="530" priority="639">
      <formula>OR(IF(AC51&lt;AD51,TRUE),IF(AND(AD51="",AC51&lt;&gt;""),TRUE))</formula>
    </cfRule>
    <cfRule type="expression" dxfId="529" priority="640">
      <formula>IF(AC51&gt;=AD51,IF(AC51="",FALSE,TRUE))</formula>
    </cfRule>
  </conditionalFormatting>
  <conditionalFormatting sqref="AC53">
    <cfRule type="expression" dxfId="528" priority="637">
      <formula>OR(IF(AC53&lt;AD53,TRUE),IF(AND(AD53="",AC53&lt;&gt;""),TRUE))</formula>
    </cfRule>
    <cfRule type="expression" dxfId="527" priority="638">
      <formula>IF(AC53&gt;=AD53,IF(AC53="",FALSE,TRUE))</formula>
    </cfRule>
  </conditionalFormatting>
  <conditionalFormatting sqref="AE53">
    <cfRule type="expression" dxfId="526" priority="635">
      <formula>OR(IF(AE53&lt;AF53,TRUE),IF(AND(AF53="",AE53&lt;&gt;""),TRUE))</formula>
    </cfRule>
    <cfRule type="expression" dxfId="525" priority="636">
      <formula>IF(AE53&gt;=AF53,IF(AE53="",FALSE,TRUE))</formula>
    </cfRule>
  </conditionalFormatting>
  <conditionalFormatting sqref="AJ51:AJ52 AL51:AL52">
    <cfRule type="expression" dxfId="524" priority="633">
      <formula>OR(IF(AJ51&lt;AK51,TRUE),IF(AND(AK51="",AJ51&lt;&gt;""),TRUE))</formula>
    </cfRule>
    <cfRule type="expression" dxfId="523" priority="634">
      <formula>IF(AJ51&gt;=AK51,IF(AJ51="",FALSE,TRUE))</formula>
    </cfRule>
  </conditionalFormatting>
  <conditionalFormatting sqref="AJ53">
    <cfRule type="expression" dxfId="522" priority="631">
      <formula>OR(IF(AJ53&lt;AK53,TRUE),IF(AND(AK53="",AJ53&lt;&gt;""),TRUE))</formula>
    </cfRule>
    <cfRule type="expression" dxfId="521" priority="632">
      <formula>IF(AJ53&gt;=AK53,IF(AJ53="",FALSE,TRUE))</formula>
    </cfRule>
  </conditionalFormatting>
  <conditionalFormatting sqref="AL53">
    <cfRule type="expression" dxfId="520" priority="629">
      <formula>OR(IF(AL53&lt;AM53,TRUE),IF(AND(AM53="",AL53&lt;&gt;""),TRUE))</formula>
    </cfRule>
    <cfRule type="expression" dxfId="519" priority="630">
      <formula>IF(AL53&gt;=AM53,IF(AL53="",FALSE,TRUE))</formula>
    </cfRule>
  </conditionalFormatting>
  <conditionalFormatting sqref="AQ53">
    <cfRule type="expression" dxfId="518" priority="625">
      <formula>OR(IF(AQ53&lt;AR53,TRUE),IF(AND(AR53="",AQ53&lt;&gt;""),TRUE))</formula>
    </cfRule>
    <cfRule type="expression" dxfId="517" priority="626">
      <formula>IF(AQ53&gt;=AR53,IF(AQ53="",FALSE,TRUE))</formula>
    </cfRule>
  </conditionalFormatting>
  <conditionalFormatting sqref="AS53">
    <cfRule type="expression" dxfId="516" priority="623">
      <formula>OR(IF(AS53&lt;AT53,TRUE),IF(AND(AT53="",AS53&lt;&gt;""),TRUE))</formula>
    </cfRule>
    <cfRule type="expression" dxfId="515" priority="624">
      <formula>IF(AS53&gt;=AT53,IF(AS53="",FALSE,TRUE))</formula>
    </cfRule>
  </conditionalFormatting>
  <conditionalFormatting sqref="AX51:AX52 AZ51:AZ52">
    <cfRule type="expression" dxfId="514" priority="621">
      <formula>OR(IF(AX51&lt;AY51,TRUE),IF(AND(AY51="",AX51&lt;&gt;""),TRUE))</formula>
    </cfRule>
    <cfRule type="expression" dxfId="513" priority="622">
      <formula>IF(AX51&gt;=AY51,IF(AX51="",FALSE,TRUE))</formula>
    </cfRule>
  </conditionalFormatting>
  <conditionalFormatting sqref="AX53">
    <cfRule type="expression" dxfId="512" priority="619">
      <formula>OR(IF(AX53&lt;AY53,TRUE),IF(AND(AY53="",AX53&lt;&gt;""),TRUE))</formula>
    </cfRule>
    <cfRule type="expression" dxfId="511" priority="620">
      <formula>IF(AX53&gt;=AY53,IF(AX53="",FALSE,TRUE))</formula>
    </cfRule>
  </conditionalFormatting>
  <conditionalFormatting sqref="BE53">
    <cfRule type="expression" dxfId="510" priority="613">
      <formula>OR(IF(BE53&lt;BF53,TRUE),IF(AND(BF53="",BE53&lt;&gt;""),TRUE))</formula>
    </cfRule>
    <cfRule type="expression" dxfId="509" priority="614">
      <formula>IF(BE53&gt;=BF53,IF(BE53="",FALSE,TRUE))</formula>
    </cfRule>
  </conditionalFormatting>
  <conditionalFormatting sqref="BG53">
    <cfRule type="expression" dxfId="508" priority="611">
      <formula>OR(IF(BG53&lt;BH53,TRUE),IF(AND(BH53="",BG53&lt;&gt;""),TRUE))</formula>
    </cfRule>
    <cfRule type="expression" dxfId="507" priority="612">
      <formula>IF(BG53&gt;=BH53,IF(BG53="",FALSE,TRUE))</formula>
    </cfRule>
  </conditionalFormatting>
  <conditionalFormatting sqref="BL51:BL52 BN51:BN52">
    <cfRule type="expression" dxfId="506" priority="609">
      <formula>OR(IF(BL51&lt;BM51,TRUE),IF(AND(BM51="",BL51&lt;&gt;""),TRUE))</formula>
    </cfRule>
    <cfRule type="expression" dxfId="505" priority="610">
      <formula>IF(BL51&gt;=BM51,IF(BL51="",FALSE,TRUE))</formula>
    </cfRule>
  </conditionalFormatting>
  <conditionalFormatting sqref="BL53">
    <cfRule type="expression" dxfId="504" priority="607">
      <formula>OR(IF(BL53&lt;BM53,TRUE),IF(AND(BM53="",BL53&lt;&gt;""),TRUE))</formula>
    </cfRule>
    <cfRule type="expression" dxfId="503" priority="608">
      <formula>IF(BL53&gt;=BM53,IF(BL53="",FALSE,TRUE))</formula>
    </cfRule>
  </conditionalFormatting>
  <conditionalFormatting sqref="BN53">
    <cfRule type="expression" dxfId="502" priority="605">
      <formula>OR(IF(BN53&lt;BO53,TRUE),IF(AND(BO53="",BN53&lt;&gt;""),TRUE))</formula>
    </cfRule>
    <cfRule type="expression" dxfId="501" priority="606">
      <formula>IF(BN53&gt;=BO53,IF(BN53="",FALSE,TRUE))</formula>
    </cfRule>
  </conditionalFormatting>
  <conditionalFormatting sqref="BS51:BS52 BU51:BU52">
    <cfRule type="expression" dxfId="500" priority="603">
      <formula>OR(IF(BS51&lt;BT51,TRUE),IF(AND(BT51="",BS51&lt;&gt;""),TRUE))</formula>
    </cfRule>
    <cfRule type="expression" dxfId="499" priority="604">
      <formula>IF(BS51&gt;=BT51,IF(BS51="",FALSE,TRUE))</formula>
    </cfRule>
  </conditionalFormatting>
  <conditionalFormatting sqref="BS53">
    <cfRule type="expression" dxfId="498" priority="601">
      <formula>OR(IF(BS53&lt;BT53,TRUE),IF(AND(BT53="",BS53&lt;&gt;""),TRUE))</formula>
    </cfRule>
    <cfRule type="expression" dxfId="497" priority="602">
      <formula>IF(BS53&gt;=BT53,IF(BS53="",FALSE,TRUE))</formula>
    </cfRule>
  </conditionalFormatting>
  <conditionalFormatting sqref="BU53">
    <cfRule type="expression" dxfId="496" priority="599">
      <formula>OR(IF(BU53&lt;BV53,TRUE),IF(AND(BV53="",BU53&lt;&gt;""),TRUE))</formula>
    </cfRule>
    <cfRule type="expression" dxfId="495" priority="600">
      <formula>IF(BU53&gt;=BV53,IF(BU53="",FALSE,TRUE))</formula>
    </cfRule>
  </conditionalFormatting>
  <conditionalFormatting sqref="BZ51:BZ52 CB51:CB52">
    <cfRule type="expression" dxfId="494" priority="597">
      <formula>OR(IF(BZ51&lt;CA51,TRUE),IF(AND(CA51="",BZ51&lt;&gt;""),TRUE))</formula>
    </cfRule>
    <cfRule type="expression" dxfId="493" priority="598">
      <formula>IF(BZ51&gt;=CA51,IF(BZ51="",FALSE,TRUE))</formula>
    </cfRule>
  </conditionalFormatting>
  <conditionalFormatting sqref="BZ53">
    <cfRule type="expression" dxfId="492" priority="595">
      <formula>OR(IF(BZ53&lt;CA53,TRUE),IF(AND(CA53="",BZ53&lt;&gt;""),TRUE))</formula>
    </cfRule>
    <cfRule type="expression" dxfId="491" priority="596">
      <formula>IF(BZ53&gt;=CA53,IF(BZ53="",FALSE,TRUE))</formula>
    </cfRule>
  </conditionalFormatting>
  <conditionalFormatting sqref="CB53">
    <cfRule type="expression" dxfId="490" priority="593">
      <formula>OR(IF(CB53&lt;CC53,TRUE),IF(AND(CC53="",CB53&lt;&gt;""),TRUE))</formula>
    </cfRule>
    <cfRule type="expression" dxfId="489" priority="594">
      <formula>IF(CB53&gt;=CC53,IF(CB53="",FALSE,TRUE))</formula>
    </cfRule>
  </conditionalFormatting>
  <conditionalFormatting sqref="CG51:CG52 CI51:CI52">
    <cfRule type="expression" dxfId="488" priority="591">
      <formula>OR(IF(CG51&lt;CH51,TRUE),IF(AND(CH51="",CG51&lt;&gt;""),TRUE))</formula>
    </cfRule>
    <cfRule type="expression" dxfId="487" priority="592">
      <formula>IF(CG51&gt;=CH51,IF(CG51="",FALSE,TRUE))</formula>
    </cfRule>
  </conditionalFormatting>
  <conditionalFormatting sqref="CG53">
    <cfRule type="expression" dxfId="486" priority="589">
      <formula>OR(IF(CG53&lt;CH53,TRUE),IF(AND(CH53="",CG53&lt;&gt;""),TRUE))</formula>
    </cfRule>
    <cfRule type="expression" dxfId="485" priority="590">
      <formula>IF(CG53&gt;=CH53,IF(CG53="",FALSE,TRUE))</formula>
    </cfRule>
  </conditionalFormatting>
  <conditionalFormatting sqref="CI53">
    <cfRule type="expression" dxfId="484" priority="587">
      <formula>OR(IF(CI53&lt;CJ53,TRUE),IF(AND(CJ53="",CI53&lt;&gt;""),TRUE))</formula>
    </cfRule>
    <cfRule type="expression" dxfId="483" priority="588">
      <formula>IF(CI53&gt;=CJ53,IF(CI53="",FALSE,TRUE))</formula>
    </cfRule>
  </conditionalFormatting>
  <conditionalFormatting sqref="CN51:CN52 CP51:CP52">
    <cfRule type="expression" dxfId="482" priority="585">
      <formula>OR(IF(CN51&lt;CO51,TRUE),IF(AND(CO51="",CN51&lt;&gt;""),TRUE))</formula>
    </cfRule>
    <cfRule type="expression" dxfId="481" priority="586">
      <formula>IF(CN51&gt;=CO51,IF(CN51="",FALSE,TRUE))</formula>
    </cfRule>
  </conditionalFormatting>
  <conditionalFormatting sqref="CN53">
    <cfRule type="expression" dxfId="480" priority="583">
      <formula>OR(IF(CN53&lt;CO53,TRUE),IF(AND(CO53="",CN53&lt;&gt;""),TRUE))</formula>
    </cfRule>
    <cfRule type="expression" dxfId="479" priority="584">
      <formula>IF(CN53&gt;=CO53,IF(CN53="",FALSE,TRUE))</formula>
    </cfRule>
  </conditionalFormatting>
  <conditionalFormatting sqref="CP53">
    <cfRule type="expression" dxfId="478" priority="581">
      <formula>OR(IF(CP53&lt;CQ53,TRUE),IF(AND(CQ53="",CP53&lt;&gt;""),TRUE))</formula>
    </cfRule>
    <cfRule type="expression" dxfId="477" priority="582">
      <formula>IF(CP53&gt;=CQ53,IF(CP53="",FALSE,TRUE))</formula>
    </cfRule>
  </conditionalFormatting>
  <conditionalFormatting sqref="CU51:CU52 CW51:CW52">
    <cfRule type="expression" dxfId="476" priority="579">
      <formula>OR(IF(CU51&lt;CV51,TRUE),IF(AND(CV51="",CU51&lt;&gt;""),TRUE))</formula>
    </cfRule>
    <cfRule type="expression" dxfId="475" priority="580">
      <formula>IF(CU51&gt;=CV51,IF(CU51="",FALSE,TRUE))</formula>
    </cfRule>
  </conditionalFormatting>
  <conditionalFormatting sqref="CU53">
    <cfRule type="expression" dxfId="474" priority="577">
      <formula>OR(IF(CU53&lt;CV53,TRUE),IF(AND(CV53="",CU53&lt;&gt;""),TRUE))</formula>
    </cfRule>
    <cfRule type="expression" dxfId="473" priority="578">
      <formula>IF(CU53&gt;=CV53,IF(CU53="",FALSE,TRUE))</formula>
    </cfRule>
  </conditionalFormatting>
  <conditionalFormatting sqref="CW53">
    <cfRule type="expression" dxfId="472" priority="575">
      <formula>OR(IF(CW53&lt;CX53,TRUE),IF(AND(CX53="",CW53&lt;&gt;""),TRUE))</formula>
    </cfRule>
    <cfRule type="expression" dxfId="471" priority="576">
      <formula>IF(CW53&gt;=CX53,IF(CW53="",FALSE,TRUE))</formula>
    </cfRule>
  </conditionalFormatting>
  <conditionalFormatting sqref="DB51:DB52 DD51:DD52">
    <cfRule type="expression" dxfId="470" priority="573">
      <formula>OR(IF(DB51&lt;DC51,TRUE),IF(AND(DC51="",DB51&lt;&gt;""),TRUE))</formula>
    </cfRule>
    <cfRule type="expression" dxfId="469" priority="574">
      <formula>IF(DB51&gt;=DC51,IF(DB51="",FALSE,TRUE))</formula>
    </cfRule>
  </conditionalFormatting>
  <conditionalFormatting sqref="DB53">
    <cfRule type="expression" dxfId="468" priority="571">
      <formula>OR(IF(DB53&lt;DC53,TRUE),IF(AND(DC53="",DB53&lt;&gt;""),TRUE))</formula>
    </cfRule>
    <cfRule type="expression" dxfId="467" priority="572">
      <formula>IF(DB53&gt;=DC53,IF(DB53="",FALSE,TRUE))</formula>
    </cfRule>
  </conditionalFormatting>
  <conditionalFormatting sqref="DD53">
    <cfRule type="expression" dxfId="466" priority="569">
      <formula>OR(IF(DD53&lt;DE53,TRUE),IF(AND(DE53="",DD53&lt;&gt;""),TRUE))</formula>
    </cfRule>
    <cfRule type="expression" dxfId="465" priority="570">
      <formula>IF(DD53&gt;=DE53,IF(DD53="",FALSE,TRUE))</formula>
    </cfRule>
  </conditionalFormatting>
  <conditionalFormatting sqref="O56:O60 Q56:Q60">
    <cfRule type="expression" dxfId="464" priority="566">
      <formula>OR(IF(O56&lt;P56,TRUE),IF(AND(P56="",O56&lt;&gt;""),TRUE))</formula>
    </cfRule>
    <cfRule type="expression" dxfId="463" priority="567">
      <formula>IF(O56&gt;=P56,IF(O56="",FALSE,TRUE))</formula>
    </cfRule>
  </conditionalFormatting>
  <conditionalFormatting sqref="AQ56:AQ60 AS56:AS60">
    <cfRule type="expression" dxfId="462" priority="542">
      <formula>OR(IF(AQ56&lt;AR56,TRUE),IF(AND(AR56="",AQ56&lt;&gt;""),TRUE))</formula>
    </cfRule>
    <cfRule type="expression" dxfId="461" priority="543">
      <formula>IF(AQ56&gt;=AR56,IF(AQ56="",FALSE,TRUE))</formula>
    </cfRule>
  </conditionalFormatting>
  <conditionalFormatting sqref="J56:K61">
    <cfRule type="colorScale" priority="568">
      <colorScale>
        <cfvo type="percent" val="0"/>
        <cfvo type="percent" val="100"/>
        <color rgb="FFFF231B"/>
        <color rgb="FF10FF07"/>
      </colorScale>
    </cfRule>
  </conditionalFormatting>
  <conditionalFormatting sqref="AZ61">
    <cfRule type="expression" dxfId="460" priority="532">
      <formula>OR(IF(AZ61&lt;BA61,TRUE),IF(AND(BA61="",AZ61&lt;&gt;""),TRUE))</formula>
    </cfRule>
    <cfRule type="expression" dxfId="459" priority="533">
      <formula>IF(AZ61&gt;=BA61,IF(AZ61="",FALSE,TRUE))</formula>
    </cfRule>
  </conditionalFormatting>
  <conditionalFormatting sqref="BE56:BE60 BG56:BG60">
    <cfRule type="expression" dxfId="458" priority="530">
      <formula>OR(IF(BE56&lt;BF56,TRUE),IF(AND(BF56="",BE56&lt;&gt;""),TRUE))</formula>
    </cfRule>
    <cfRule type="expression" dxfId="457" priority="531">
      <formula>IF(BE56&gt;=BF56,IF(BE56="",FALSE,TRUE))</formula>
    </cfRule>
  </conditionalFormatting>
  <conditionalFormatting sqref="O61">
    <cfRule type="expression" dxfId="456" priority="564">
      <formula>OR(IF(O61&lt;P61,TRUE),IF(AND(P61="",O61&lt;&gt;""),TRUE))</formula>
    </cfRule>
    <cfRule type="expression" dxfId="455" priority="565">
      <formula>IF(O61&gt;=P61,IF(O61="",FALSE,TRUE))</formula>
    </cfRule>
  </conditionalFormatting>
  <conditionalFormatting sqref="Q61">
    <cfRule type="expression" dxfId="454" priority="562">
      <formula>OR(IF(Q61&lt;R61,TRUE),IF(AND(R61="",Q61&lt;&gt;""),TRUE))</formula>
    </cfRule>
    <cfRule type="expression" dxfId="453" priority="563">
      <formula>IF(Q61&gt;=R61,IF(Q61="",FALSE,TRUE))</formula>
    </cfRule>
  </conditionalFormatting>
  <conditionalFormatting sqref="V56:V60 X56:X60">
    <cfRule type="expression" dxfId="452" priority="560">
      <formula>OR(IF(V56&lt;W56,TRUE),IF(AND(W56="",V56&lt;&gt;""),TRUE))</formula>
    </cfRule>
    <cfRule type="expression" dxfId="451" priority="561">
      <formula>IF(V56&gt;=W56,IF(V56="",FALSE,TRUE))</formula>
    </cfRule>
  </conditionalFormatting>
  <conditionalFormatting sqref="V61">
    <cfRule type="expression" dxfId="450" priority="558">
      <formula>OR(IF(V61&lt;W61,TRUE),IF(AND(W61="",V61&lt;&gt;""),TRUE))</formula>
    </cfRule>
    <cfRule type="expression" dxfId="449" priority="559">
      <formula>IF(V61&gt;=W61,IF(V61="",FALSE,TRUE))</formula>
    </cfRule>
  </conditionalFormatting>
  <conditionalFormatting sqref="X61">
    <cfRule type="expression" dxfId="448" priority="556">
      <formula>OR(IF(X61&lt;Y61,TRUE),IF(AND(Y61="",X61&lt;&gt;""),TRUE))</formula>
    </cfRule>
    <cfRule type="expression" dxfId="447" priority="557">
      <formula>IF(X61&gt;=Y61,IF(X61="",FALSE,TRUE))</formula>
    </cfRule>
  </conditionalFormatting>
  <conditionalFormatting sqref="AC56:AC60 AE56:AE60">
    <cfRule type="expression" dxfId="446" priority="554">
      <formula>OR(IF(AC56&lt;AD56,TRUE),IF(AND(AD56="",AC56&lt;&gt;""),TRUE))</formula>
    </cfRule>
    <cfRule type="expression" dxfId="445" priority="555">
      <formula>IF(AC56&gt;=AD56,IF(AC56="",FALSE,TRUE))</formula>
    </cfRule>
  </conditionalFormatting>
  <conditionalFormatting sqref="AC61">
    <cfRule type="expression" dxfId="444" priority="552">
      <formula>OR(IF(AC61&lt;AD61,TRUE),IF(AND(AD61="",AC61&lt;&gt;""),TRUE))</formula>
    </cfRule>
    <cfRule type="expression" dxfId="443" priority="553">
      <formula>IF(AC61&gt;=AD61,IF(AC61="",FALSE,TRUE))</formula>
    </cfRule>
  </conditionalFormatting>
  <conditionalFormatting sqref="AE61">
    <cfRule type="expression" dxfId="442" priority="550">
      <formula>OR(IF(AE61&lt;AF61,TRUE),IF(AND(AF61="",AE61&lt;&gt;""),TRUE))</formula>
    </cfRule>
    <cfRule type="expression" dxfId="441" priority="551">
      <formula>IF(AE61&gt;=AF61,IF(AE61="",FALSE,TRUE))</formula>
    </cfRule>
  </conditionalFormatting>
  <conditionalFormatting sqref="AJ56:AJ60 AL56:AL60">
    <cfRule type="expression" dxfId="440" priority="548">
      <formula>OR(IF(AJ56&lt;AK56,TRUE),IF(AND(AK56="",AJ56&lt;&gt;""),TRUE))</formula>
    </cfRule>
    <cfRule type="expression" dxfId="439" priority="549">
      <formula>IF(AJ56&gt;=AK56,IF(AJ56="",FALSE,TRUE))</formula>
    </cfRule>
  </conditionalFormatting>
  <conditionalFormatting sqref="AJ61">
    <cfRule type="expression" dxfId="438" priority="546">
      <formula>OR(IF(AJ61&lt;AK61,TRUE),IF(AND(AK61="",AJ61&lt;&gt;""),TRUE))</formula>
    </cfRule>
    <cfRule type="expression" dxfId="437" priority="547">
      <formula>IF(AJ61&gt;=AK61,IF(AJ61="",FALSE,TRUE))</formula>
    </cfRule>
  </conditionalFormatting>
  <conditionalFormatting sqref="AL61">
    <cfRule type="expression" dxfId="436" priority="544">
      <formula>OR(IF(AL61&lt;AM61,TRUE),IF(AND(AM61="",AL61&lt;&gt;""),TRUE))</formula>
    </cfRule>
    <cfRule type="expression" dxfId="435" priority="545">
      <formula>IF(AL61&gt;=AM61,IF(AL61="",FALSE,TRUE))</formula>
    </cfRule>
  </conditionalFormatting>
  <conditionalFormatting sqref="AQ61">
    <cfRule type="expression" dxfId="434" priority="540">
      <formula>OR(IF(AQ61&lt;AR61,TRUE),IF(AND(AR61="",AQ61&lt;&gt;""),TRUE))</formula>
    </cfRule>
    <cfRule type="expression" dxfId="433" priority="541">
      <formula>IF(AQ61&gt;=AR61,IF(AQ61="",FALSE,TRUE))</formula>
    </cfRule>
  </conditionalFormatting>
  <conditionalFormatting sqref="AS61">
    <cfRule type="expression" dxfId="432" priority="538">
      <formula>OR(IF(AS61&lt;AT61,TRUE),IF(AND(AT61="",AS61&lt;&gt;""),TRUE))</formula>
    </cfRule>
    <cfRule type="expression" dxfId="431" priority="539">
      <formula>IF(AS61&gt;=AT61,IF(AS61="",FALSE,TRUE))</formula>
    </cfRule>
  </conditionalFormatting>
  <conditionalFormatting sqref="AX56:AX60 AZ56:AZ60">
    <cfRule type="expression" dxfId="430" priority="536">
      <formula>OR(IF(AX56&lt;AY56,TRUE),IF(AND(AY56="",AX56&lt;&gt;""),TRUE))</formula>
    </cfRule>
    <cfRule type="expression" dxfId="429" priority="537">
      <formula>IF(AX56&gt;=AY56,IF(AX56="",FALSE,TRUE))</formula>
    </cfRule>
  </conditionalFormatting>
  <conditionalFormatting sqref="AX61">
    <cfRule type="expression" dxfId="428" priority="534">
      <formula>OR(IF(AX61&lt;AY61,TRUE),IF(AND(AY61="",AX61&lt;&gt;""),TRUE))</formula>
    </cfRule>
    <cfRule type="expression" dxfId="427" priority="535">
      <formula>IF(AX61&gt;=AY61,IF(AX61="",FALSE,TRUE))</formula>
    </cfRule>
  </conditionalFormatting>
  <conditionalFormatting sqref="BE61">
    <cfRule type="expression" dxfId="426" priority="528">
      <formula>OR(IF(BE61&lt;BF61,TRUE),IF(AND(BF61="",BE61&lt;&gt;""),TRUE))</formula>
    </cfRule>
    <cfRule type="expression" dxfId="425" priority="529">
      <formula>IF(BE61&gt;=BF61,IF(BE61="",FALSE,TRUE))</formula>
    </cfRule>
  </conditionalFormatting>
  <conditionalFormatting sqref="BG61">
    <cfRule type="expression" dxfId="424" priority="526">
      <formula>OR(IF(BG61&lt;BH61,TRUE),IF(AND(BH61="",BG61&lt;&gt;""),TRUE))</formula>
    </cfRule>
    <cfRule type="expression" dxfId="423" priority="527">
      <formula>IF(BG61&gt;=BH61,IF(BG61="",FALSE,TRUE))</formula>
    </cfRule>
  </conditionalFormatting>
  <conditionalFormatting sqref="BL56:BL60 BN56:BN60">
    <cfRule type="expression" dxfId="422" priority="524">
      <formula>OR(IF(BL56&lt;BM56,TRUE),IF(AND(BM56="",BL56&lt;&gt;""),TRUE))</formula>
    </cfRule>
    <cfRule type="expression" dxfId="421" priority="525">
      <formula>IF(BL56&gt;=BM56,IF(BL56="",FALSE,TRUE))</formula>
    </cfRule>
  </conditionalFormatting>
  <conditionalFormatting sqref="BL61">
    <cfRule type="expression" dxfId="420" priority="522">
      <formula>OR(IF(BL61&lt;BM61,TRUE),IF(AND(BM61="",BL61&lt;&gt;""),TRUE))</formula>
    </cfRule>
    <cfRule type="expression" dxfId="419" priority="523">
      <formula>IF(BL61&gt;=BM61,IF(BL61="",FALSE,TRUE))</formula>
    </cfRule>
  </conditionalFormatting>
  <conditionalFormatting sqref="BN61">
    <cfRule type="expression" dxfId="418" priority="520">
      <formula>OR(IF(BN61&lt;BO61,TRUE),IF(AND(BO61="",BN61&lt;&gt;""),TRUE))</formula>
    </cfRule>
    <cfRule type="expression" dxfId="417" priority="521">
      <formula>IF(BN61&gt;=BO61,IF(BN61="",FALSE,TRUE))</formula>
    </cfRule>
  </conditionalFormatting>
  <conditionalFormatting sqref="BS56:BS60 BU56:BU60">
    <cfRule type="expression" dxfId="416" priority="518">
      <formula>OR(IF(BS56&lt;BT56,TRUE),IF(AND(BT56="",BS56&lt;&gt;""),TRUE))</formula>
    </cfRule>
    <cfRule type="expression" dxfId="415" priority="519">
      <formula>IF(BS56&gt;=BT56,IF(BS56="",FALSE,TRUE))</formula>
    </cfRule>
  </conditionalFormatting>
  <conditionalFormatting sqref="BS61">
    <cfRule type="expression" dxfId="414" priority="516">
      <formula>OR(IF(BS61&lt;BT61,TRUE),IF(AND(BT61="",BS61&lt;&gt;""),TRUE))</formula>
    </cfRule>
    <cfRule type="expression" dxfId="413" priority="517">
      <formula>IF(BS61&gt;=BT61,IF(BS61="",FALSE,TRUE))</formula>
    </cfRule>
  </conditionalFormatting>
  <conditionalFormatting sqref="BU61">
    <cfRule type="expression" dxfId="412" priority="514">
      <formula>OR(IF(BU61&lt;BV61,TRUE),IF(AND(BV61="",BU61&lt;&gt;""),TRUE))</formula>
    </cfRule>
    <cfRule type="expression" dxfId="411" priority="515">
      <formula>IF(BU61&gt;=BV61,IF(BU61="",FALSE,TRUE))</formula>
    </cfRule>
  </conditionalFormatting>
  <conditionalFormatting sqref="BZ56:BZ60 CB56:CB60">
    <cfRule type="expression" dxfId="410" priority="512">
      <formula>OR(IF(BZ56&lt;CA56,TRUE),IF(AND(CA56="",BZ56&lt;&gt;""),TRUE))</formula>
    </cfRule>
    <cfRule type="expression" dxfId="409" priority="513">
      <formula>IF(BZ56&gt;=CA56,IF(BZ56="",FALSE,TRUE))</formula>
    </cfRule>
  </conditionalFormatting>
  <conditionalFormatting sqref="BZ61">
    <cfRule type="expression" dxfId="408" priority="510">
      <formula>OR(IF(BZ61&lt;CA61,TRUE),IF(AND(CA61="",BZ61&lt;&gt;""),TRUE))</formula>
    </cfRule>
    <cfRule type="expression" dxfId="407" priority="511">
      <formula>IF(BZ61&gt;=CA61,IF(BZ61="",FALSE,TRUE))</formula>
    </cfRule>
  </conditionalFormatting>
  <conditionalFormatting sqref="CB61">
    <cfRule type="expression" dxfId="406" priority="508">
      <formula>OR(IF(CB61&lt;CC61,TRUE),IF(AND(CC61="",CB61&lt;&gt;""),TRUE))</formula>
    </cfRule>
    <cfRule type="expression" dxfId="405" priority="509">
      <formula>IF(CB61&gt;=CC61,IF(CB61="",FALSE,TRUE))</formula>
    </cfRule>
  </conditionalFormatting>
  <conditionalFormatting sqref="CG56:CG60 CI56:CI60">
    <cfRule type="expression" dxfId="404" priority="506">
      <formula>OR(IF(CG56&lt;CH56,TRUE),IF(AND(CH56="",CG56&lt;&gt;""),TRUE))</formula>
    </cfRule>
    <cfRule type="expression" dxfId="403" priority="507">
      <formula>IF(CG56&gt;=CH56,IF(CG56="",FALSE,TRUE))</formula>
    </cfRule>
  </conditionalFormatting>
  <conditionalFormatting sqref="CG61">
    <cfRule type="expression" dxfId="402" priority="504">
      <formula>OR(IF(CG61&lt;CH61,TRUE),IF(AND(CH61="",CG61&lt;&gt;""),TRUE))</formula>
    </cfRule>
    <cfRule type="expression" dxfId="401" priority="505">
      <formula>IF(CG61&gt;=CH61,IF(CG61="",FALSE,TRUE))</formula>
    </cfRule>
  </conditionalFormatting>
  <conditionalFormatting sqref="CI61">
    <cfRule type="expression" dxfId="400" priority="502">
      <formula>OR(IF(CI61&lt;CJ61,TRUE),IF(AND(CJ61="",CI61&lt;&gt;""),TRUE))</formula>
    </cfRule>
    <cfRule type="expression" dxfId="399" priority="503">
      <formula>IF(CI61&gt;=CJ61,IF(CI61="",FALSE,TRUE))</formula>
    </cfRule>
  </conditionalFormatting>
  <conditionalFormatting sqref="CN56:CN60 CP56:CP60">
    <cfRule type="expression" dxfId="398" priority="500">
      <formula>OR(IF(CN56&lt;CO56,TRUE),IF(AND(CO56="",CN56&lt;&gt;""),TRUE))</formula>
    </cfRule>
    <cfRule type="expression" dxfId="397" priority="501">
      <formula>IF(CN56&gt;=CO56,IF(CN56="",FALSE,TRUE))</formula>
    </cfRule>
  </conditionalFormatting>
  <conditionalFormatting sqref="CN61">
    <cfRule type="expression" dxfId="396" priority="498">
      <formula>OR(IF(CN61&lt;CO61,TRUE),IF(AND(CO61="",CN61&lt;&gt;""),TRUE))</formula>
    </cfRule>
    <cfRule type="expression" dxfId="395" priority="499">
      <formula>IF(CN61&gt;=CO61,IF(CN61="",FALSE,TRUE))</formula>
    </cfRule>
  </conditionalFormatting>
  <conditionalFormatting sqref="CP61">
    <cfRule type="expression" dxfId="394" priority="496">
      <formula>OR(IF(CP61&lt;CQ61,TRUE),IF(AND(CQ61="",CP61&lt;&gt;""),TRUE))</formula>
    </cfRule>
    <cfRule type="expression" dxfId="393" priority="497">
      <formula>IF(CP61&gt;=CQ61,IF(CP61="",FALSE,TRUE))</formula>
    </cfRule>
  </conditionalFormatting>
  <conditionalFormatting sqref="CU56:CU60 CW56:CW60">
    <cfRule type="expression" dxfId="392" priority="494">
      <formula>OR(IF(CU56&lt;CV56,TRUE),IF(AND(CV56="",CU56&lt;&gt;""),TRUE))</formula>
    </cfRule>
    <cfRule type="expression" dxfId="391" priority="495">
      <formula>IF(CU56&gt;=CV56,IF(CU56="",FALSE,TRUE))</formula>
    </cfRule>
  </conditionalFormatting>
  <conditionalFormatting sqref="CU61">
    <cfRule type="expression" dxfId="390" priority="492">
      <formula>OR(IF(CU61&lt;CV61,TRUE),IF(AND(CV61="",CU61&lt;&gt;""),TRUE))</formula>
    </cfRule>
    <cfRule type="expression" dxfId="389" priority="493">
      <formula>IF(CU61&gt;=CV61,IF(CU61="",FALSE,TRUE))</formula>
    </cfRule>
  </conditionalFormatting>
  <conditionalFormatting sqref="CW61">
    <cfRule type="expression" dxfId="388" priority="490">
      <formula>OR(IF(CW61&lt;CX61,TRUE),IF(AND(CX61="",CW61&lt;&gt;""),TRUE))</formula>
    </cfRule>
    <cfRule type="expression" dxfId="387" priority="491">
      <formula>IF(CW61&gt;=CX61,IF(CW61="",FALSE,TRUE))</formula>
    </cfRule>
  </conditionalFormatting>
  <conditionalFormatting sqref="DB56:DB60 DD56:DD60">
    <cfRule type="expression" dxfId="386" priority="488">
      <formula>OR(IF(DB56&lt;DC56,TRUE),IF(AND(DC56="",DB56&lt;&gt;""),TRUE))</formula>
    </cfRule>
    <cfRule type="expression" dxfId="385" priority="489">
      <formula>IF(DB56&gt;=DC56,IF(DB56="",FALSE,TRUE))</formula>
    </cfRule>
  </conditionalFormatting>
  <conditionalFormatting sqref="DB61">
    <cfRule type="expression" dxfId="384" priority="486">
      <formula>OR(IF(DB61&lt;DC61,TRUE),IF(AND(DC61="",DB61&lt;&gt;""),TRUE))</formula>
    </cfRule>
    <cfRule type="expression" dxfId="383" priority="487">
      <formula>IF(DB61&gt;=DC61,IF(DB61="",FALSE,TRUE))</formula>
    </cfRule>
  </conditionalFormatting>
  <conditionalFormatting sqref="DD61">
    <cfRule type="expression" dxfId="382" priority="484">
      <formula>OR(IF(DD61&lt;DE61,TRUE),IF(AND(DE61="",DD61&lt;&gt;""),TRUE))</formula>
    </cfRule>
    <cfRule type="expression" dxfId="381" priority="485">
      <formula>IF(DD61&gt;=DE61,IF(DD61="",FALSE,TRUE))</formula>
    </cfRule>
  </conditionalFormatting>
  <conditionalFormatting sqref="O62:O66 Q62:Q66">
    <cfRule type="expression" dxfId="380" priority="481">
      <formula>OR(IF(O62&lt;P62,TRUE),IF(AND(P62="",O62&lt;&gt;""),TRUE))</formula>
    </cfRule>
    <cfRule type="expression" dxfId="379" priority="482">
      <formula>IF(O62&gt;=P62,IF(O62="",FALSE,TRUE))</formula>
    </cfRule>
  </conditionalFormatting>
  <conditionalFormatting sqref="AQ62:AQ66 AS62:AS66">
    <cfRule type="expression" dxfId="378" priority="457">
      <formula>OR(IF(AQ62&lt;AR62,TRUE),IF(AND(AR62="",AQ62&lt;&gt;""),TRUE))</formula>
    </cfRule>
    <cfRule type="expression" dxfId="377" priority="458">
      <formula>IF(AQ62&gt;=AR62,IF(AQ62="",FALSE,TRUE))</formula>
    </cfRule>
  </conditionalFormatting>
  <conditionalFormatting sqref="J62:K67">
    <cfRule type="colorScale" priority="483">
      <colorScale>
        <cfvo type="percent" val="0"/>
        <cfvo type="percent" val="100"/>
        <color rgb="FFFF231B"/>
        <color rgb="FF10FF07"/>
      </colorScale>
    </cfRule>
  </conditionalFormatting>
  <conditionalFormatting sqref="AZ67">
    <cfRule type="expression" dxfId="376" priority="447">
      <formula>OR(IF(AZ67&lt;BA67,TRUE),IF(AND(BA67="",AZ67&lt;&gt;""),TRUE))</formula>
    </cfRule>
    <cfRule type="expression" dxfId="375" priority="448">
      <formula>IF(AZ67&gt;=BA67,IF(AZ67="",FALSE,TRUE))</formula>
    </cfRule>
  </conditionalFormatting>
  <conditionalFormatting sqref="BE62:BE66 BG62:BG66">
    <cfRule type="expression" dxfId="374" priority="445">
      <formula>OR(IF(BE62&lt;BF62,TRUE),IF(AND(BF62="",BE62&lt;&gt;""),TRUE))</formula>
    </cfRule>
    <cfRule type="expression" dxfId="373" priority="446">
      <formula>IF(BE62&gt;=BF62,IF(BE62="",FALSE,TRUE))</formula>
    </cfRule>
  </conditionalFormatting>
  <conditionalFormatting sqref="O67">
    <cfRule type="expression" dxfId="372" priority="479">
      <formula>OR(IF(O67&lt;P67,TRUE),IF(AND(P67="",O67&lt;&gt;""),TRUE))</formula>
    </cfRule>
    <cfRule type="expression" dxfId="371" priority="480">
      <formula>IF(O67&gt;=P67,IF(O67="",FALSE,TRUE))</formula>
    </cfRule>
  </conditionalFormatting>
  <conditionalFormatting sqref="Q67">
    <cfRule type="expression" dxfId="370" priority="477">
      <formula>OR(IF(Q67&lt;R67,TRUE),IF(AND(R67="",Q67&lt;&gt;""),TRUE))</formula>
    </cfRule>
    <cfRule type="expression" dxfId="369" priority="478">
      <formula>IF(Q67&gt;=R67,IF(Q67="",FALSE,TRUE))</formula>
    </cfRule>
  </conditionalFormatting>
  <conditionalFormatting sqref="V62:V66 X62:X66">
    <cfRule type="expression" dxfId="368" priority="475">
      <formula>OR(IF(V62&lt;W62,TRUE),IF(AND(W62="",V62&lt;&gt;""),TRUE))</formula>
    </cfRule>
    <cfRule type="expression" dxfId="367" priority="476">
      <formula>IF(V62&gt;=W62,IF(V62="",FALSE,TRUE))</formula>
    </cfRule>
  </conditionalFormatting>
  <conditionalFormatting sqref="V67">
    <cfRule type="expression" dxfId="366" priority="473">
      <formula>OR(IF(V67&lt;W67,TRUE),IF(AND(W67="",V67&lt;&gt;""),TRUE))</formula>
    </cfRule>
    <cfRule type="expression" dxfId="365" priority="474">
      <formula>IF(V67&gt;=W67,IF(V67="",FALSE,TRUE))</formula>
    </cfRule>
  </conditionalFormatting>
  <conditionalFormatting sqref="X67">
    <cfRule type="expression" dxfId="364" priority="471">
      <formula>OR(IF(X67&lt;Y67,TRUE),IF(AND(Y67="",X67&lt;&gt;""),TRUE))</formula>
    </cfRule>
    <cfRule type="expression" dxfId="363" priority="472">
      <formula>IF(X67&gt;=Y67,IF(X67="",FALSE,TRUE))</formula>
    </cfRule>
  </conditionalFormatting>
  <conditionalFormatting sqref="AC62:AC66 AE62:AE66">
    <cfRule type="expression" dxfId="362" priority="469">
      <formula>OR(IF(AC62&lt;AD62,TRUE),IF(AND(AD62="",AC62&lt;&gt;""),TRUE))</formula>
    </cfRule>
    <cfRule type="expression" dxfId="361" priority="470">
      <formula>IF(AC62&gt;=AD62,IF(AC62="",FALSE,TRUE))</formula>
    </cfRule>
  </conditionalFormatting>
  <conditionalFormatting sqref="AC67">
    <cfRule type="expression" dxfId="360" priority="467">
      <formula>OR(IF(AC67&lt;AD67,TRUE),IF(AND(AD67="",AC67&lt;&gt;""),TRUE))</formula>
    </cfRule>
    <cfRule type="expression" dxfId="359" priority="468">
      <formula>IF(AC67&gt;=AD67,IF(AC67="",FALSE,TRUE))</formula>
    </cfRule>
  </conditionalFormatting>
  <conditionalFormatting sqref="AE67">
    <cfRule type="expression" dxfId="358" priority="465">
      <formula>OR(IF(AE67&lt;AF67,TRUE),IF(AND(AF67="",AE67&lt;&gt;""),TRUE))</formula>
    </cfRule>
    <cfRule type="expression" dxfId="357" priority="466">
      <formula>IF(AE67&gt;=AF67,IF(AE67="",FALSE,TRUE))</formula>
    </cfRule>
  </conditionalFormatting>
  <conditionalFormatting sqref="AJ62:AJ66 AL62:AL66">
    <cfRule type="expression" dxfId="356" priority="463">
      <formula>OR(IF(AJ62&lt;AK62,TRUE),IF(AND(AK62="",AJ62&lt;&gt;""),TRUE))</formula>
    </cfRule>
    <cfRule type="expression" dxfId="355" priority="464">
      <formula>IF(AJ62&gt;=AK62,IF(AJ62="",FALSE,TRUE))</formula>
    </cfRule>
  </conditionalFormatting>
  <conditionalFormatting sqref="AJ67">
    <cfRule type="expression" dxfId="354" priority="461">
      <formula>OR(IF(AJ67&lt;AK67,TRUE),IF(AND(AK67="",AJ67&lt;&gt;""),TRUE))</formula>
    </cfRule>
    <cfRule type="expression" dxfId="353" priority="462">
      <formula>IF(AJ67&gt;=AK67,IF(AJ67="",FALSE,TRUE))</formula>
    </cfRule>
  </conditionalFormatting>
  <conditionalFormatting sqref="AL67">
    <cfRule type="expression" dxfId="352" priority="459">
      <formula>OR(IF(AL67&lt;AM67,TRUE),IF(AND(AM67="",AL67&lt;&gt;""),TRUE))</formula>
    </cfRule>
    <cfRule type="expression" dxfId="351" priority="460">
      <formula>IF(AL67&gt;=AM67,IF(AL67="",FALSE,TRUE))</formula>
    </cfRule>
  </conditionalFormatting>
  <conditionalFormatting sqref="AQ67">
    <cfRule type="expression" dxfId="350" priority="455">
      <formula>OR(IF(AQ67&lt;AR67,TRUE),IF(AND(AR67="",AQ67&lt;&gt;""),TRUE))</formula>
    </cfRule>
    <cfRule type="expression" dxfId="349" priority="456">
      <formula>IF(AQ67&gt;=AR67,IF(AQ67="",FALSE,TRUE))</formula>
    </cfRule>
  </conditionalFormatting>
  <conditionalFormatting sqref="AS67">
    <cfRule type="expression" dxfId="348" priority="453">
      <formula>OR(IF(AS67&lt;AT67,TRUE),IF(AND(AT67="",AS67&lt;&gt;""),TRUE))</formula>
    </cfRule>
    <cfRule type="expression" dxfId="347" priority="454">
      <formula>IF(AS67&gt;=AT67,IF(AS67="",FALSE,TRUE))</formula>
    </cfRule>
  </conditionalFormatting>
  <conditionalFormatting sqref="AX62:AX66 AZ62:AZ66">
    <cfRule type="expression" dxfId="346" priority="451">
      <formula>OR(IF(AX62&lt;AY62,TRUE),IF(AND(AY62="",AX62&lt;&gt;""),TRUE))</formula>
    </cfRule>
    <cfRule type="expression" dxfId="345" priority="452">
      <formula>IF(AX62&gt;=AY62,IF(AX62="",FALSE,TRUE))</formula>
    </cfRule>
  </conditionalFormatting>
  <conditionalFormatting sqref="AX67">
    <cfRule type="expression" dxfId="344" priority="449">
      <formula>OR(IF(AX67&lt;AY67,TRUE),IF(AND(AY67="",AX67&lt;&gt;""),TRUE))</formula>
    </cfRule>
    <cfRule type="expression" dxfId="343" priority="450">
      <formula>IF(AX67&gt;=AY67,IF(AX67="",FALSE,TRUE))</formula>
    </cfRule>
  </conditionalFormatting>
  <conditionalFormatting sqref="BE67">
    <cfRule type="expression" dxfId="342" priority="443">
      <formula>OR(IF(BE67&lt;BF67,TRUE),IF(AND(BF67="",BE67&lt;&gt;""),TRUE))</formula>
    </cfRule>
    <cfRule type="expression" dxfId="341" priority="444">
      <formula>IF(BE67&gt;=BF67,IF(BE67="",FALSE,TRUE))</formula>
    </cfRule>
  </conditionalFormatting>
  <conditionalFormatting sqref="BG67">
    <cfRule type="expression" dxfId="340" priority="441">
      <formula>OR(IF(BG67&lt;BH67,TRUE),IF(AND(BH67="",BG67&lt;&gt;""),TRUE))</formula>
    </cfRule>
    <cfRule type="expression" dxfId="339" priority="442">
      <formula>IF(BG67&gt;=BH67,IF(BG67="",FALSE,TRUE))</formula>
    </cfRule>
  </conditionalFormatting>
  <conditionalFormatting sqref="BL62:BL66 BN62:BN66">
    <cfRule type="expression" dxfId="338" priority="439">
      <formula>OR(IF(BL62&lt;BM62,TRUE),IF(AND(BM62="",BL62&lt;&gt;""),TRUE))</formula>
    </cfRule>
    <cfRule type="expression" dxfId="337" priority="440">
      <formula>IF(BL62&gt;=BM62,IF(BL62="",FALSE,TRUE))</formula>
    </cfRule>
  </conditionalFormatting>
  <conditionalFormatting sqref="BL67">
    <cfRule type="expression" dxfId="336" priority="437">
      <formula>OR(IF(BL67&lt;BM67,TRUE),IF(AND(BM67="",BL67&lt;&gt;""),TRUE))</formula>
    </cfRule>
    <cfRule type="expression" dxfId="335" priority="438">
      <formula>IF(BL67&gt;=BM67,IF(BL67="",FALSE,TRUE))</formula>
    </cfRule>
  </conditionalFormatting>
  <conditionalFormatting sqref="BN67">
    <cfRule type="expression" dxfId="334" priority="435">
      <formula>OR(IF(BN67&lt;BO67,TRUE),IF(AND(BO67="",BN67&lt;&gt;""),TRUE))</formula>
    </cfRule>
    <cfRule type="expression" dxfId="333" priority="436">
      <formula>IF(BN67&gt;=BO67,IF(BN67="",FALSE,TRUE))</formula>
    </cfRule>
  </conditionalFormatting>
  <conditionalFormatting sqref="BS62:BS66 BU62:BU66">
    <cfRule type="expression" dxfId="332" priority="433">
      <formula>OR(IF(BS62&lt;BT62,TRUE),IF(AND(BT62="",BS62&lt;&gt;""),TRUE))</formula>
    </cfRule>
    <cfRule type="expression" dxfId="331" priority="434">
      <formula>IF(BS62&gt;=BT62,IF(BS62="",FALSE,TRUE))</formula>
    </cfRule>
  </conditionalFormatting>
  <conditionalFormatting sqref="BS67">
    <cfRule type="expression" dxfId="330" priority="431">
      <formula>OR(IF(BS67&lt;BT67,TRUE),IF(AND(BT67="",BS67&lt;&gt;""),TRUE))</formula>
    </cfRule>
    <cfRule type="expression" dxfId="329" priority="432">
      <formula>IF(BS67&gt;=BT67,IF(BS67="",FALSE,TRUE))</formula>
    </cfRule>
  </conditionalFormatting>
  <conditionalFormatting sqref="BU67">
    <cfRule type="expression" dxfId="328" priority="429">
      <formula>OR(IF(BU67&lt;BV67,TRUE),IF(AND(BV67="",BU67&lt;&gt;""),TRUE))</formula>
    </cfRule>
    <cfRule type="expression" dxfId="327" priority="430">
      <formula>IF(BU67&gt;=BV67,IF(BU67="",FALSE,TRUE))</formula>
    </cfRule>
  </conditionalFormatting>
  <conditionalFormatting sqref="BZ62:BZ66 CB62:CB66">
    <cfRule type="expression" dxfId="326" priority="427">
      <formula>OR(IF(BZ62&lt;CA62,TRUE),IF(AND(CA62="",BZ62&lt;&gt;""),TRUE))</formula>
    </cfRule>
    <cfRule type="expression" dxfId="325" priority="428">
      <formula>IF(BZ62&gt;=CA62,IF(BZ62="",FALSE,TRUE))</formula>
    </cfRule>
  </conditionalFormatting>
  <conditionalFormatting sqref="BZ67">
    <cfRule type="expression" dxfId="324" priority="425">
      <formula>OR(IF(BZ67&lt;CA67,TRUE),IF(AND(CA67="",BZ67&lt;&gt;""),TRUE))</formula>
    </cfRule>
    <cfRule type="expression" dxfId="323" priority="426">
      <formula>IF(BZ67&gt;=CA67,IF(BZ67="",FALSE,TRUE))</formula>
    </cfRule>
  </conditionalFormatting>
  <conditionalFormatting sqref="CB67">
    <cfRule type="expression" dxfId="322" priority="423">
      <formula>OR(IF(CB67&lt;CC67,TRUE),IF(AND(CC67="",CB67&lt;&gt;""),TRUE))</formula>
    </cfRule>
    <cfRule type="expression" dxfId="321" priority="424">
      <formula>IF(CB67&gt;=CC67,IF(CB67="",FALSE,TRUE))</formula>
    </cfRule>
  </conditionalFormatting>
  <conditionalFormatting sqref="CG62:CG66 CI62:CI66">
    <cfRule type="expression" dxfId="320" priority="421">
      <formula>OR(IF(CG62&lt;CH62,TRUE),IF(AND(CH62="",CG62&lt;&gt;""),TRUE))</formula>
    </cfRule>
    <cfRule type="expression" dxfId="319" priority="422">
      <formula>IF(CG62&gt;=CH62,IF(CG62="",FALSE,TRUE))</formula>
    </cfRule>
  </conditionalFormatting>
  <conditionalFormatting sqref="CG67">
    <cfRule type="expression" dxfId="318" priority="419">
      <formula>OR(IF(CG67&lt;CH67,TRUE),IF(AND(CH67="",CG67&lt;&gt;""),TRUE))</formula>
    </cfRule>
    <cfRule type="expression" dxfId="317" priority="420">
      <formula>IF(CG67&gt;=CH67,IF(CG67="",FALSE,TRUE))</formula>
    </cfRule>
  </conditionalFormatting>
  <conditionalFormatting sqref="CI67">
    <cfRule type="expression" dxfId="316" priority="417">
      <formula>OR(IF(CI67&lt;CJ67,TRUE),IF(AND(CJ67="",CI67&lt;&gt;""),TRUE))</formula>
    </cfRule>
    <cfRule type="expression" dxfId="315" priority="418">
      <formula>IF(CI67&gt;=CJ67,IF(CI67="",FALSE,TRUE))</formula>
    </cfRule>
  </conditionalFormatting>
  <conditionalFormatting sqref="CN62:CN66 CP62:CP66">
    <cfRule type="expression" dxfId="314" priority="415">
      <formula>OR(IF(CN62&lt;CO62,TRUE),IF(AND(CO62="",CN62&lt;&gt;""),TRUE))</formula>
    </cfRule>
    <cfRule type="expression" dxfId="313" priority="416">
      <formula>IF(CN62&gt;=CO62,IF(CN62="",FALSE,TRUE))</formula>
    </cfRule>
  </conditionalFormatting>
  <conditionalFormatting sqref="CN67">
    <cfRule type="expression" dxfId="312" priority="413">
      <formula>OR(IF(CN67&lt;CO67,TRUE),IF(AND(CO67="",CN67&lt;&gt;""),TRUE))</formula>
    </cfRule>
    <cfRule type="expression" dxfId="311" priority="414">
      <formula>IF(CN67&gt;=CO67,IF(CN67="",FALSE,TRUE))</formula>
    </cfRule>
  </conditionalFormatting>
  <conditionalFormatting sqref="CP67">
    <cfRule type="expression" dxfId="310" priority="411">
      <formula>OR(IF(CP67&lt;CQ67,TRUE),IF(AND(CQ67="",CP67&lt;&gt;""),TRUE))</formula>
    </cfRule>
    <cfRule type="expression" dxfId="309" priority="412">
      <formula>IF(CP67&gt;=CQ67,IF(CP67="",FALSE,TRUE))</formula>
    </cfRule>
  </conditionalFormatting>
  <conditionalFormatting sqref="CU62:CU66 CW62:CW66">
    <cfRule type="expression" dxfId="308" priority="409">
      <formula>OR(IF(CU62&lt;CV62,TRUE),IF(AND(CV62="",CU62&lt;&gt;""),TRUE))</formula>
    </cfRule>
    <cfRule type="expression" dxfId="307" priority="410">
      <formula>IF(CU62&gt;=CV62,IF(CU62="",FALSE,TRUE))</formula>
    </cfRule>
  </conditionalFormatting>
  <conditionalFormatting sqref="CU67">
    <cfRule type="expression" dxfId="306" priority="407">
      <formula>OR(IF(CU67&lt;CV67,TRUE),IF(AND(CV67="",CU67&lt;&gt;""),TRUE))</formula>
    </cfRule>
    <cfRule type="expression" dxfId="305" priority="408">
      <formula>IF(CU67&gt;=CV67,IF(CU67="",FALSE,TRUE))</formula>
    </cfRule>
  </conditionalFormatting>
  <conditionalFormatting sqref="CW67">
    <cfRule type="expression" dxfId="304" priority="405">
      <formula>OR(IF(CW67&lt;CX67,TRUE),IF(AND(CX67="",CW67&lt;&gt;""),TRUE))</formula>
    </cfRule>
    <cfRule type="expression" dxfId="303" priority="406">
      <formula>IF(CW67&gt;=CX67,IF(CW67="",FALSE,TRUE))</formula>
    </cfRule>
  </conditionalFormatting>
  <conditionalFormatting sqref="DB62:DB66 DD62:DD66">
    <cfRule type="expression" dxfId="302" priority="403">
      <formula>OR(IF(DB62&lt;DC62,TRUE),IF(AND(DC62="",DB62&lt;&gt;""),TRUE))</formula>
    </cfRule>
    <cfRule type="expression" dxfId="301" priority="404">
      <formula>IF(DB62&gt;=DC62,IF(DB62="",FALSE,TRUE))</formula>
    </cfRule>
  </conditionalFormatting>
  <conditionalFormatting sqref="DB67">
    <cfRule type="expression" dxfId="300" priority="401">
      <formula>OR(IF(DB67&lt;DC67,TRUE),IF(AND(DC67="",DB67&lt;&gt;""),TRUE))</formula>
    </cfRule>
    <cfRule type="expression" dxfId="299" priority="402">
      <formula>IF(DB67&gt;=DC67,IF(DB67="",FALSE,TRUE))</formula>
    </cfRule>
  </conditionalFormatting>
  <conditionalFormatting sqref="DD67">
    <cfRule type="expression" dxfId="298" priority="399">
      <formula>OR(IF(DD67&lt;DE67,TRUE),IF(AND(DE67="",DD67&lt;&gt;""),TRUE))</formula>
    </cfRule>
    <cfRule type="expression" dxfId="297" priority="400">
      <formula>IF(DD67&gt;=DE67,IF(DD67="",FALSE,TRUE))</formula>
    </cfRule>
  </conditionalFormatting>
  <conditionalFormatting sqref="O70:O74 Q70:Q74">
    <cfRule type="expression" dxfId="296" priority="396">
      <formula>OR(IF(O70&lt;P70,TRUE),IF(AND(P70="",O70&lt;&gt;""),TRUE))</formula>
    </cfRule>
    <cfRule type="expression" dxfId="295" priority="397">
      <formula>IF(O70&gt;=P70,IF(O70="",FALSE,TRUE))</formula>
    </cfRule>
  </conditionalFormatting>
  <conditionalFormatting sqref="AQ70:AQ74 AS70:AS74">
    <cfRule type="expression" dxfId="294" priority="372">
      <formula>OR(IF(AQ70&lt;AR70,TRUE),IF(AND(AR70="",AQ70&lt;&gt;""),TRUE))</formula>
    </cfRule>
    <cfRule type="expression" dxfId="293" priority="373">
      <formula>IF(AQ70&gt;=AR70,IF(AQ70="",FALSE,TRUE))</formula>
    </cfRule>
  </conditionalFormatting>
  <conditionalFormatting sqref="J70:K75">
    <cfRule type="colorScale" priority="398">
      <colorScale>
        <cfvo type="percent" val="0"/>
        <cfvo type="percent" val="100"/>
        <color rgb="FFFF231B"/>
        <color rgb="FF10FF07"/>
      </colorScale>
    </cfRule>
  </conditionalFormatting>
  <conditionalFormatting sqref="AZ75">
    <cfRule type="expression" dxfId="292" priority="362">
      <formula>OR(IF(AZ75&lt;BA75,TRUE),IF(AND(BA75="",AZ75&lt;&gt;""),TRUE))</formula>
    </cfRule>
    <cfRule type="expression" dxfId="291" priority="363">
      <formula>IF(AZ75&gt;=BA75,IF(AZ75="",FALSE,TRUE))</formula>
    </cfRule>
  </conditionalFormatting>
  <conditionalFormatting sqref="BE70:BE74 BG70:BG74">
    <cfRule type="expression" dxfId="290" priority="360">
      <formula>OR(IF(BE70&lt;BF70,TRUE),IF(AND(BF70="",BE70&lt;&gt;""),TRUE))</formula>
    </cfRule>
    <cfRule type="expression" dxfId="289" priority="361">
      <formula>IF(BE70&gt;=BF70,IF(BE70="",FALSE,TRUE))</formula>
    </cfRule>
  </conditionalFormatting>
  <conditionalFormatting sqref="O75">
    <cfRule type="expression" dxfId="288" priority="394">
      <formula>OR(IF(O75&lt;P75,TRUE),IF(AND(P75="",O75&lt;&gt;""),TRUE))</formula>
    </cfRule>
    <cfRule type="expression" dxfId="287" priority="395">
      <formula>IF(O75&gt;=P75,IF(O75="",FALSE,TRUE))</formula>
    </cfRule>
  </conditionalFormatting>
  <conditionalFormatting sqref="Q75">
    <cfRule type="expression" dxfId="286" priority="392">
      <formula>OR(IF(Q75&lt;R75,TRUE),IF(AND(R75="",Q75&lt;&gt;""),TRUE))</formula>
    </cfRule>
    <cfRule type="expression" dxfId="285" priority="393">
      <formula>IF(Q75&gt;=R75,IF(Q75="",FALSE,TRUE))</formula>
    </cfRule>
  </conditionalFormatting>
  <conditionalFormatting sqref="V70:V74 X70:X74">
    <cfRule type="expression" dxfId="284" priority="390">
      <formula>OR(IF(V70&lt;W70,TRUE),IF(AND(W70="",V70&lt;&gt;""),TRUE))</formula>
    </cfRule>
    <cfRule type="expression" dxfId="283" priority="391">
      <formula>IF(V70&gt;=W70,IF(V70="",FALSE,TRUE))</formula>
    </cfRule>
  </conditionalFormatting>
  <conditionalFormatting sqref="V75">
    <cfRule type="expression" dxfId="282" priority="388">
      <formula>OR(IF(V75&lt;W75,TRUE),IF(AND(W75="",V75&lt;&gt;""),TRUE))</formula>
    </cfRule>
    <cfRule type="expression" dxfId="281" priority="389">
      <formula>IF(V75&gt;=W75,IF(V75="",FALSE,TRUE))</formula>
    </cfRule>
  </conditionalFormatting>
  <conditionalFormatting sqref="X75">
    <cfRule type="expression" dxfId="280" priority="386">
      <formula>OR(IF(X75&lt;Y75,TRUE),IF(AND(Y75="",X75&lt;&gt;""),TRUE))</formula>
    </cfRule>
    <cfRule type="expression" dxfId="279" priority="387">
      <formula>IF(X75&gt;=Y75,IF(X75="",FALSE,TRUE))</formula>
    </cfRule>
  </conditionalFormatting>
  <conditionalFormatting sqref="AC70:AC74 AE70:AE74">
    <cfRule type="expression" dxfId="278" priority="384">
      <formula>OR(IF(AC70&lt;AD70,TRUE),IF(AND(AD70="",AC70&lt;&gt;""),TRUE))</formula>
    </cfRule>
    <cfRule type="expression" dxfId="277" priority="385">
      <formula>IF(AC70&gt;=AD70,IF(AC70="",FALSE,TRUE))</formula>
    </cfRule>
  </conditionalFormatting>
  <conditionalFormatting sqref="AC75">
    <cfRule type="expression" dxfId="276" priority="382">
      <formula>OR(IF(AC75&lt;AD75,TRUE),IF(AND(AD75="",AC75&lt;&gt;""),TRUE))</formula>
    </cfRule>
    <cfRule type="expression" dxfId="275" priority="383">
      <formula>IF(AC75&gt;=AD75,IF(AC75="",FALSE,TRUE))</formula>
    </cfRule>
  </conditionalFormatting>
  <conditionalFormatting sqref="AE75">
    <cfRule type="expression" dxfId="274" priority="380">
      <formula>OR(IF(AE75&lt;AF75,TRUE),IF(AND(AF75="",AE75&lt;&gt;""),TRUE))</formula>
    </cfRule>
    <cfRule type="expression" dxfId="273" priority="381">
      <formula>IF(AE75&gt;=AF75,IF(AE75="",FALSE,TRUE))</formula>
    </cfRule>
  </conditionalFormatting>
  <conditionalFormatting sqref="AJ70:AJ74 AL70:AL74">
    <cfRule type="expression" dxfId="272" priority="378">
      <formula>OR(IF(AJ70&lt;AK70,TRUE),IF(AND(AK70="",AJ70&lt;&gt;""),TRUE))</formula>
    </cfRule>
    <cfRule type="expression" dxfId="271" priority="379">
      <formula>IF(AJ70&gt;=AK70,IF(AJ70="",FALSE,TRUE))</formula>
    </cfRule>
  </conditionalFormatting>
  <conditionalFormatting sqref="AJ75">
    <cfRule type="expression" dxfId="270" priority="376">
      <formula>OR(IF(AJ75&lt;AK75,TRUE),IF(AND(AK75="",AJ75&lt;&gt;""),TRUE))</formula>
    </cfRule>
    <cfRule type="expression" dxfId="269" priority="377">
      <formula>IF(AJ75&gt;=AK75,IF(AJ75="",FALSE,TRUE))</formula>
    </cfRule>
  </conditionalFormatting>
  <conditionalFormatting sqref="AL75">
    <cfRule type="expression" dxfId="268" priority="374">
      <formula>OR(IF(AL75&lt;AM75,TRUE),IF(AND(AM75="",AL75&lt;&gt;""),TRUE))</formula>
    </cfRule>
    <cfRule type="expression" dxfId="267" priority="375">
      <formula>IF(AL75&gt;=AM75,IF(AL75="",FALSE,TRUE))</formula>
    </cfRule>
  </conditionalFormatting>
  <conditionalFormatting sqref="AQ75">
    <cfRule type="expression" dxfId="266" priority="370">
      <formula>OR(IF(AQ75&lt;AR75,TRUE),IF(AND(AR75="",AQ75&lt;&gt;""),TRUE))</formula>
    </cfRule>
    <cfRule type="expression" dxfId="265" priority="371">
      <formula>IF(AQ75&gt;=AR75,IF(AQ75="",FALSE,TRUE))</formula>
    </cfRule>
  </conditionalFormatting>
  <conditionalFormatting sqref="AS75">
    <cfRule type="expression" dxfId="264" priority="368">
      <formula>OR(IF(AS75&lt;AT75,TRUE),IF(AND(AT75="",AS75&lt;&gt;""),TRUE))</formula>
    </cfRule>
    <cfRule type="expression" dxfId="263" priority="369">
      <formula>IF(AS75&gt;=AT75,IF(AS75="",FALSE,TRUE))</formula>
    </cfRule>
  </conditionalFormatting>
  <conditionalFormatting sqref="AX70:AX74 AZ70:AZ74">
    <cfRule type="expression" dxfId="262" priority="366">
      <formula>OR(IF(AX70&lt;AY70,TRUE),IF(AND(AY70="",AX70&lt;&gt;""),TRUE))</formula>
    </cfRule>
    <cfRule type="expression" dxfId="261" priority="367">
      <formula>IF(AX70&gt;=AY70,IF(AX70="",FALSE,TRUE))</formula>
    </cfRule>
  </conditionalFormatting>
  <conditionalFormatting sqref="AX75">
    <cfRule type="expression" dxfId="260" priority="364">
      <formula>OR(IF(AX75&lt;AY75,TRUE),IF(AND(AY75="",AX75&lt;&gt;""),TRUE))</formula>
    </cfRule>
    <cfRule type="expression" dxfId="259" priority="365">
      <formula>IF(AX75&gt;=AY75,IF(AX75="",FALSE,TRUE))</formula>
    </cfRule>
  </conditionalFormatting>
  <conditionalFormatting sqref="BE75">
    <cfRule type="expression" dxfId="258" priority="358">
      <formula>OR(IF(BE75&lt;BF75,TRUE),IF(AND(BF75="",BE75&lt;&gt;""),TRUE))</formula>
    </cfRule>
    <cfRule type="expression" dxfId="257" priority="359">
      <formula>IF(BE75&gt;=BF75,IF(BE75="",FALSE,TRUE))</formula>
    </cfRule>
  </conditionalFormatting>
  <conditionalFormatting sqref="BG75">
    <cfRule type="expression" dxfId="256" priority="356">
      <formula>OR(IF(BG75&lt;BH75,TRUE),IF(AND(BH75="",BG75&lt;&gt;""),TRUE))</formula>
    </cfRule>
    <cfRule type="expression" dxfId="255" priority="357">
      <formula>IF(BG75&gt;=BH75,IF(BG75="",FALSE,TRUE))</formula>
    </cfRule>
  </conditionalFormatting>
  <conditionalFormatting sqref="BL70:BL74 BN70:BN74">
    <cfRule type="expression" dxfId="254" priority="354">
      <formula>OR(IF(BL70&lt;BM70,TRUE),IF(AND(BM70="",BL70&lt;&gt;""),TRUE))</formula>
    </cfRule>
    <cfRule type="expression" dxfId="253" priority="355">
      <formula>IF(BL70&gt;=BM70,IF(BL70="",FALSE,TRUE))</formula>
    </cfRule>
  </conditionalFormatting>
  <conditionalFormatting sqref="BL75">
    <cfRule type="expression" dxfId="252" priority="352">
      <formula>OR(IF(BL75&lt;BM75,TRUE),IF(AND(BM75="",BL75&lt;&gt;""),TRUE))</formula>
    </cfRule>
    <cfRule type="expression" dxfId="251" priority="353">
      <formula>IF(BL75&gt;=BM75,IF(BL75="",FALSE,TRUE))</formula>
    </cfRule>
  </conditionalFormatting>
  <conditionalFormatting sqref="BN75">
    <cfRule type="expression" dxfId="250" priority="350">
      <formula>OR(IF(BN75&lt;BO75,TRUE),IF(AND(BO75="",BN75&lt;&gt;""),TRUE))</formula>
    </cfRule>
    <cfRule type="expression" dxfId="249" priority="351">
      <formula>IF(BN75&gt;=BO75,IF(BN75="",FALSE,TRUE))</formula>
    </cfRule>
  </conditionalFormatting>
  <conditionalFormatting sqref="BS70:BS74 BU70:BU74">
    <cfRule type="expression" dxfId="248" priority="348">
      <formula>OR(IF(BS70&lt;BT70,TRUE),IF(AND(BT70="",BS70&lt;&gt;""),TRUE))</formula>
    </cfRule>
    <cfRule type="expression" dxfId="247" priority="349">
      <formula>IF(BS70&gt;=BT70,IF(BS70="",FALSE,TRUE))</formula>
    </cfRule>
  </conditionalFormatting>
  <conditionalFormatting sqref="BS75">
    <cfRule type="expression" dxfId="246" priority="346">
      <formula>OR(IF(BS75&lt;BT75,TRUE),IF(AND(BT75="",BS75&lt;&gt;""),TRUE))</formula>
    </cfRule>
    <cfRule type="expression" dxfId="245" priority="347">
      <formula>IF(BS75&gt;=BT75,IF(BS75="",FALSE,TRUE))</formula>
    </cfRule>
  </conditionalFormatting>
  <conditionalFormatting sqref="BU75">
    <cfRule type="expression" dxfId="244" priority="344">
      <formula>OR(IF(BU75&lt;BV75,TRUE),IF(AND(BV75="",BU75&lt;&gt;""),TRUE))</formula>
    </cfRule>
    <cfRule type="expression" dxfId="243" priority="345">
      <formula>IF(BU75&gt;=BV75,IF(BU75="",FALSE,TRUE))</formula>
    </cfRule>
  </conditionalFormatting>
  <conditionalFormatting sqref="BZ70:BZ74 CB70:CB74">
    <cfRule type="expression" dxfId="242" priority="342">
      <formula>OR(IF(BZ70&lt;CA70,TRUE),IF(AND(CA70="",BZ70&lt;&gt;""),TRUE))</formula>
    </cfRule>
    <cfRule type="expression" dxfId="241" priority="343">
      <formula>IF(BZ70&gt;=CA70,IF(BZ70="",FALSE,TRUE))</formula>
    </cfRule>
  </conditionalFormatting>
  <conditionalFormatting sqref="BZ75">
    <cfRule type="expression" dxfId="240" priority="340">
      <formula>OR(IF(BZ75&lt;CA75,TRUE),IF(AND(CA75="",BZ75&lt;&gt;""),TRUE))</formula>
    </cfRule>
    <cfRule type="expression" dxfId="239" priority="341">
      <formula>IF(BZ75&gt;=CA75,IF(BZ75="",FALSE,TRUE))</formula>
    </cfRule>
  </conditionalFormatting>
  <conditionalFormatting sqref="CB75">
    <cfRule type="expression" dxfId="238" priority="338">
      <formula>OR(IF(CB75&lt;CC75,TRUE),IF(AND(CC75="",CB75&lt;&gt;""),TRUE))</formula>
    </cfRule>
    <cfRule type="expression" dxfId="237" priority="339">
      <formula>IF(CB75&gt;=CC75,IF(CB75="",FALSE,TRUE))</formula>
    </cfRule>
  </conditionalFormatting>
  <conditionalFormatting sqref="CG70:CG74 CI70:CI74">
    <cfRule type="expression" dxfId="236" priority="336">
      <formula>OR(IF(CG70&lt;CH70,TRUE),IF(AND(CH70="",CG70&lt;&gt;""),TRUE))</formula>
    </cfRule>
    <cfRule type="expression" dxfId="235" priority="337">
      <formula>IF(CG70&gt;=CH70,IF(CG70="",FALSE,TRUE))</formula>
    </cfRule>
  </conditionalFormatting>
  <conditionalFormatting sqref="CG75">
    <cfRule type="expression" dxfId="234" priority="334">
      <formula>OR(IF(CG75&lt;CH75,TRUE),IF(AND(CH75="",CG75&lt;&gt;""),TRUE))</formula>
    </cfRule>
    <cfRule type="expression" dxfId="233" priority="335">
      <formula>IF(CG75&gt;=CH75,IF(CG75="",FALSE,TRUE))</formula>
    </cfRule>
  </conditionalFormatting>
  <conditionalFormatting sqref="CI75">
    <cfRule type="expression" dxfId="232" priority="332">
      <formula>OR(IF(CI75&lt;CJ75,TRUE),IF(AND(CJ75="",CI75&lt;&gt;""),TRUE))</formula>
    </cfRule>
    <cfRule type="expression" dxfId="231" priority="333">
      <formula>IF(CI75&gt;=CJ75,IF(CI75="",FALSE,TRUE))</formula>
    </cfRule>
  </conditionalFormatting>
  <conditionalFormatting sqref="CN70:CN74 CP70:CP74">
    <cfRule type="expression" dxfId="230" priority="330">
      <formula>OR(IF(CN70&lt;CO70,TRUE),IF(AND(CO70="",CN70&lt;&gt;""),TRUE))</formula>
    </cfRule>
    <cfRule type="expression" dxfId="229" priority="331">
      <formula>IF(CN70&gt;=CO70,IF(CN70="",FALSE,TRUE))</formula>
    </cfRule>
  </conditionalFormatting>
  <conditionalFormatting sqref="CN75">
    <cfRule type="expression" dxfId="228" priority="328">
      <formula>OR(IF(CN75&lt;CO75,TRUE),IF(AND(CO75="",CN75&lt;&gt;""),TRUE))</formula>
    </cfRule>
    <cfRule type="expression" dxfId="227" priority="329">
      <formula>IF(CN75&gt;=CO75,IF(CN75="",FALSE,TRUE))</formula>
    </cfRule>
  </conditionalFormatting>
  <conditionalFormatting sqref="CP75">
    <cfRule type="expression" dxfId="226" priority="326">
      <formula>OR(IF(CP75&lt;CQ75,TRUE),IF(AND(CQ75="",CP75&lt;&gt;""),TRUE))</formula>
    </cfRule>
    <cfRule type="expression" dxfId="225" priority="327">
      <formula>IF(CP75&gt;=CQ75,IF(CP75="",FALSE,TRUE))</formula>
    </cfRule>
  </conditionalFormatting>
  <conditionalFormatting sqref="CU70:CU74 CW70:CW74">
    <cfRule type="expression" dxfId="224" priority="324">
      <formula>OR(IF(CU70&lt;CV70,TRUE),IF(AND(CV70="",CU70&lt;&gt;""),TRUE))</formula>
    </cfRule>
    <cfRule type="expression" dxfId="223" priority="325">
      <formula>IF(CU70&gt;=CV70,IF(CU70="",FALSE,TRUE))</formula>
    </cfRule>
  </conditionalFormatting>
  <conditionalFormatting sqref="CU75">
    <cfRule type="expression" dxfId="222" priority="322">
      <formula>OR(IF(CU75&lt;CV75,TRUE),IF(AND(CV75="",CU75&lt;&gt;""),TRUE))</formula>
    </cfRule>
    <cfRule type="expression" dxfId="221" priority="323">
      <formula>IF(CU75&gt;=CV75,IF(CU75="",FALSE,TRUE))</formula>
    </cfRule>
  </conditionalFormatting>
  <conditionalFormatting sqref="CW75">
    <cfRule type="expression" dxfId="220" priority="320">
      <formula>OR(IF(CW75&lt;CX75,TRUE),IF(AND(CX75="",CW75&lt;&gt;""),TRUE))</formula>
    </cfRule>
    <cfRule type="expression" dxfId="219" priority="321">
      <formula>IF(CW75&gt;=CX75,IF(CW75="",FALSE,TRUE))</formula>
    </cfRule>
  </conditionalFormatting>
  <conditionalFormatting sqref="DB70:DB74 DD70:DD74">
    <cfRule type="expression" dxfId="218" priority="318">
      <formula>OR(IF(DB70&lt;DC70,TRUE),IF(AND(DC70="",DB70&lt;&gt;""),TRUE))</formula>
    </cfRule>
    <cfRule type="expression" dxfId="217" priority="319">
      <formula>IF(DB70&gt;=DC70,IF(DB70="",FALSE,TRUE))</formula>
    </cfRule>
  </conditionalFormatting>
  <conditionalFormatting sqref="DB75">
    <cfRule type="expression" dxfId="216" priority="316">
      <formula>OR(IF(DB75&lt;DC75,TRUE),IF(AND(DC75="",DB75&lt;&gt;""),TRUE))</formula>
    </cfRule>
    <cfRule type="expression" dxfId="215" priority="317">
      <formula>IF(DB75&gt;=DC75,IF(DB75="",FALSE,TRUE))</formula>
    </cfRule>
  </conditionalFormatting>
  <conditionalFormatting sqref="DD75">
    <cfRule type="expression" dxfId="214" priority="314">
      <formula>OR(IF(DD75&lt;DE75,TRUE),IF(AND(DE75="",DD75&lt;&gt;""),TRUE))</formula>
    </cfRule>
    <cfRule type="expression" dxfId="213" priority="315">
      <formula>IF(DD75&gt;=DE75,IF(DD75="",FALSE,TRUE))</formula>
    </cfRule>
  </conditionalFormatting>
  <conditionalFormatting sqref="O76:O80 Q76:Q80">
    <cfRule type="expression" dxfId="212" priority="311">
      <formula>OR(IF(O76&lt;P76,TRUE),IF(AND(P76="",O76&lt;&gt;""),TRUE))</formula>
    </cfRule>
    <cfRule type="expression" dxfId="211" priority="312">
      <formula>IF(O76&gt;=P76,IF(O76="",FALSE,TRUE))</formula>
    </cfRule>
  </conditionalFormatting>
  <conditionalFormatting sqref="AQ76:AQ80 AS76:AS80">
    <cfRule type="expression" dxfId="210" priority="287">
      <formula>OR(IF(AQ76&lt;AR76,TRUE),IF(AND(AR76="",AQ76&lt;&gt;""),TRUE))</formula>
    </cfRule>
    <cfRule type="expression" dxfId="209" priority="288">
      <formula>IF(AQ76&gt;=AR76,IF(AQ76="",FALSE,TRUE))</formula>
    </cfRule>
  </conditionalFormatting>
  <conditionalFormatting sqref="J76:K81">
    <cfRule type="colorScale" priority="313">
      <colorScale>
        <cfvo type="percent" val="0"/>
        <cfvo type="percent" val="100"/>
        <color rgb="FFFF231B"/>
        <color rgb="FF10FF07"/>
      </colorScale>
    </cfRule>
  </conditionalFormatting>
  <conditionalFormatting sqref="AZ81">
    <cfRule type="expression" dxfId="208" priority="277">
      <formula>OR(IF(AZ81&lt;BA81,TRUE),IF(AND(BA81="",AZ81&lt;&gt;""),TRUE))</formula>
    </cfRule>
    <cfRule type="expression" dxfId="207" priority="278">
      <formula>IF(AZ81&gt;=BA81,IF(AZ81="",FALSE,TRUE))</formula>
    </cfRule>
  </conditionalFormatting>
  <conditionalFormatting sqref="BE76:BE80 BG76:BG80">
    <cfRule type="expression" dxfId="206" priority="275">
      <formula>OR(IF(BE76&lt;BF76,TRUE),IF(AND(BF76="",BE76&lt;&gt;""),TRUE))</formula>
    </cfRule>
    <cfRule type="expression" dxfId="205" priority="276">
      <formula>IF(BE76&gt;=BF76,IF(BE76="",FALSE,TRUE))</formula>
    </cfRule>
  </conditionalFormatting>
  <conditionalFormatting sqref="O81">
    <cfRule type="expression" dxfId="204" priority="309">
      <formula>OR(IF(O81&lt;P81,TRUE),IF(AND(P81="",O81&lt;&gt;""),TRUE))</formula>
    </cfRule>
    <cfRule type="expression" dxfId="203" priority="310">
      <formula>IF(O81&gt;=P81,IF(O81="",FALSE,TRUE))</formula>
    </cfRule>
  </conditionalFormatting>
  <conditionalFormatting sqref="Q81">
    <cfRule type="expression" dxfId="202" priority="307">
      <formula>OR(IF(Q81&lt;R81,TRUE),IF(AND(R81="",Q81&lt;&gt;""),TRUE))</formula>
    </cfRule>
    <cfRule type="expression" dxfId="201" priority="308">
      <formula>IF(Q81&gt;=R81,IF(Q81="",FALSE,TRUE))</formula>
    </cfRule>
  </conditionalFormatting>
  <conditionalFormatting sqref="V76:V80 X76:X80">
    <cfRule type="expression" dxfId="200" priority="305">
      <formula>OR(IF(V76&lt;W76,TRUE),IF(AND(W76="",V76&lt;&gt;""),TRUE))</formula>
    </cfRule>
    <cfRule type="expression" dxfId="199" priority="306">
      <formula>IF(V76&gt;=W76,IF(V76="",FALSE,TRUE))</formula>
    </cfRule>
  </conditionalFormatting>
  <conditionalFormatting sqref="V81">
    <cfRule type="expression" dxfId="198" priority="303">
      <formula>OR(IF(V81&lt;W81,TRUE),IF(AND(W81="",V81&lt;&gt;""),TRUE))</formula>
    </cfRule>
    <cfRule type="expression" dxfId="197" priority="304">
      <formula>IF(V81&gt;=W81,IF(V81="",FALSE,TRUE))</formula>
    </cfRule>
  </conditionalFormatting>
  <conditionalFormatting sqref="X81">
    <cfRule type="expression" dxfId="196" priority="301">
      <formula>OR(IF(X81&lt;Y81,TRUE),IF(AND(Y81="",X81&lt;&gt;""),TRUE))</formula>
    </cfRule>
    <cfRule type="expression" dxfId="195" priority="302">
      <formula>IF(X81&gt;=Y81,IF(X81="",FALSE,TRUE))</formula>
    </cfRule>
  </conditionalFormatting>
  <conditionalFormatting sqref="AC76:AC80 AE76:AE80">
    <cfRule type="expression" dxfId="194" priority="299">
      <formula>OR(IF(AC76&lt;AD76,TRUE),IF(AND(AD76="",AC76&lt;&gt;""),TRUE))</formula>
    </cfRule>
    <cfRule type="expression" dxfId="193" priority="300">
      <formula>IF(AC76&gt;=AD76,IF(AC76="",FALSE,TRUE))</formula>
    </cfRule>
  </conditionalFormatting>
  <conditionalFormatting sqref="AC81">
    <cfRule type="expression" dxfId="192" priority="297">
      <formula>OR(IF(AC81&lt;AD81,TRUE),IF(AND(AD81="",AC81&lt;&gt;""),TRUE))</formula>
    </cfRule>
    <cfRule type="expression" dxfId="191" priority="298">
      <formula>IF(AC81&gt;=AD81,IF(AC81="",FALSE,TRUE))</formula>
    </cfRule>
  </conditionalFormatting>
  <conditionalFormatting sqref="AE81">
    <cfRule type="expression" dxfId="190" priority="295">
      <formula>OR(IF(AE81&lt;AF81,TRUE),IF(AND(AF81="",AE81&lt;&gt;""),TRUE))</formula>
    </cfRule>
    <cfRule type="expression" dxfId="189" priority="296">
      <formula>IF(AE81&gt;=AF81,IF(AE81="",FALSE,TRUE))</formula>
    </cfRule>
  </conditionalFormatting>
  <conditionalFormatting sqref="AJ76:AJ80 AL76:AL80">
    <cfRule type="expression" dxfId="188" priority="293">
      <formula>OR(IF(AJ76&lt;AK76,TRUE),IF(AND(AK76="",AJ76&lt;&gt;""),TRUE))</formula>
    </cfRule>
    <cfRule type="expression" dxfId="187" priority="294">
      <formula>IF(AJ76&gt;=AK76,IF(AJ76="",FALSE,TRUE))</formula>
    </cfRule>
  </conditionalFormatting>
  <conditionalFormatting sqref="AJ81">
    <cfRule type="expression" dxfId="186" priority="291">
      <formula>OR(IF(AJ81&lt;AK81,TRUE),IF(AND(AK81="",AJ81&lt;&gt;""),TRUE))</formula>
    </cfRule>
    <cfRule type="expression" dxfId="185" priority="292">
      <formula>IF(AJ81&gt;=AK81,IF(AJ81="",FALSE,TRUE))</formula>
    </cfRule>
  </conditionalFormatting>
  <conditionalFormatting sqref="AL81">
    <cfRule type="expression" dxfId="184" priority="289">
      <formula>OR(IF(AL81&lt;AM81,TRUE),IF(AND(AM81="",AL81&lt;&gt;""),TRUE))</formula>
    </cfRule>
    <cfRule type="expression" dxfId="183" priority="290">
      <formula>IF(AL81&gt;=AM81,IF(AL81="",FALSE,TRUE))</formula>
    </cfRule>
  </conditionalFormatting>
  <conditionalFormatting sqref="AQ81">
    <cfRule type="expression" dxfId="182" priority="285">
      <formula>OR(IF(AQ81&lt;AR81,TRUE),IF(AND(AR81="",AQ81&lt;&gt;""),TRUE))</formula>
    </cfRule>
    <cfRule type="expression" dxfId="181" priority="286">
      <formula>IF(AQ81&gt;=AR81,IF(AQ81="",FALSE,TRUE))</formula>
    </cfRule>
  </conditionalFormatting>
  <conditionalFormatting sqref="AS81">
    <cfRule type="expression" dxfId="180" priority="283">
      <formula>OR(IF(AS81&lt;AT81,TRUE),IF(AND(AT81="",AS81&lt;&gt;""),TRUE))</formula>
    </cfRule>
    <cfRule type="expression" dxfId="179" priority="284">
      <formula>IF(AS81&gt;=AT81,IF(AS81="",FALSE,TRUE))</formula>
    </cfRule>
  </conditionalFormatting>
  <conditionalFormatting sqref="AX76:AX80 AZ76:AZ80">
    <cfRule type="expression" dxfId="178" priority="281">
      <formula>OR(IF(AX76&lt;AY76,TRUE),IF(AND(AY76="",AX76&lt;&gt;""),TRUE))</formula>
    </cfRule>
    <cfRule type="expression" dxfId="177" priority="282">
      <formula>IF(AX76&gt;=AY76,IF(AX76="",FALSE,TRUE))</formula>
    </cfRule>
  </conditionalFormatting>
  <conditionalFormatting sqref="AX81">
    <cfRule type="expression" dxfId="176" priority="279">
      <formula>OR(IF(AX81&lt;AY81,TRUE),IF(AND(AY81="",AX81&lt;&gt;""),TRUE))</formula>
    </cfRule>
    <cfRule type="expression" dxfId="175" priority="280">
      <formula>IF(AX81&gt;=AY81,IF(AX81="",FALSE,TRUE))</formula>
    </cfRule>
  </conditionalFormatting>
  <conditionalFormatting sqref="BE81">
    <cfRule type="expression" dxfId="174" priority="273">
      <formula>OR(IF(BE81&lt;BF81,TRUE),IF(AND(BF81="",BE81&lt;&gt;""),TRUE))</formula>
    </cfRule>
    <cfRule type="expression" dxfId="173" priority="274">
      <formula>IF(BE81&gt;=BF81,IF(BE81="",FALSE,TRUE))</formula>
    </cfRule>
  </conditionalFormatting>
  <conditionalFormatting sqref="BG81">
    <cfRule type="expression" dxfId="172" priority="271">
      <formula>OR(IF(BG81&lt;BH81,TRUE),IF(AND(BH81="",BG81&lt;&gt;""),TRUE))</formula>
    </cfRule>
    <cfRule type="expression" dxfId="171" priority="272">
      <formula>IF(BG81&gt;=BH81,IF(BG81="",FALSE,TRUE))</formula>
    </cfRule>
  </conditionalFormatting>
  <conditionalFormatting sqref="BL76:BL80 BN76:BN80">
    <cfRule type="expression" dxfId="170" priority="269">
      <formula>OR(IF(BL76&lt;BM76,TRUE),IF(AND(BM76="",BL76&lt;&gt;""),TRUE))</formula>
    </cfRule>
    <cfRule type="expression" dxfId="169" priority="270">
      <formula>IF(BL76&gt;=BM76,IF(BL76="",FALSE,TRUE))</formula>
    </cfRule>
  </conditionalFormatting>
  <conditionalFormatting sqref="BL81">
    <cfRule type="expression" dxfId="168" priority="267">
      <formula>OR(IF(BL81&lt;BM81,TRUE),IF(AND(BM81="",BL81&lt;&gt;""),TRUE))</formula>
    </cfRule>
    <cfRule type="expression" dxfId="167" priority="268">
      <formula>IF(BL81&gt;=BM81,IF(BL81="",FALSE,TRUE))</formula>
    </cfRule>
  </conditionalFormatting>
  <conditionalFormatting sqref="BN81">
    <cfRule type="expression" dxfId="166" priority="265">
      <formula>OR(IF(BN81&lt;BO81,TRUE),IF(AND(BO81="",BN81&lt;&gt;""),TRUE))</formula>
    </cfRule>
    <cfRule type="expression" dxfId="165" priority="266">
      <formula>IF(BN81&gt;=BO81,IF(BN81="",FALSE,TRUE))</formula>
    </cfRule>
  </conditionalFormatting>
  <conditionalFormatting sqref="BS76:BS80 BU76:BU80">
    <cfRule type="expression" dxfId="164" priority="263">
      <formula>OR(IF(BS76&lt;BT76,TRUE),IF(AND(BT76="",BS76&lt;&gt;""),TRUE))</formula>
    </cfRule>
    <cfRule type="expression" dxfId="163" priority="264">
      <formula>IF(BS76&gt;=BT76,IF(BS76="",FALSE,TRUE))</formula>
    </cfRule>
  </conditionalFormatting>
  <conditionalFormatting sqref="BS81">
    <cfRule type="expression" dxfId="162" priority="261">
      <formula>OR(IF(BS81&lt;BT81,TRUE),IF(AND(BT81="",BS81&lt;&gt;""),TRUE))</formula>
    </cfRule>
    <cfRule type="expression" dxfId="161" priority="262">
      <formula>IF(BS81&gt;=BT81,IF(BS81="",FALSE,TRUE))</formula>
    </cfRule>
  </conditionalFormatting>
  <conditionalFormatting sqref="BU81">
    <cfRule type="expression" dxfId="160" priority="259">
      <formula>OR(IF(BU81&lt;BV81,TRUE),IF(AND(BV81="",BU81&lt;&gt;""),TRUE))</formula>
    </cfRule>
    <cfRule type="expression" dxfId="159" priority="260">
      <formula>IF(BU81&gt;=BV81,IF(BU81="",FALSE,TRUE))</formula>
    </cfRule>
  </conditionalFormatting>
  <conditionalFormatting sqref="BZ76:BZ80 CB76:CB80">
    <cfRule type="expression" dxfId="158" priority="257">
      <formula>OR(IF(BZ76&lt;CA76,TRUE),IF(AND(CA76="",BZ76&lt;&gt;""),TRUE))</formula>
    </cfRule>
    <cfRule type="expression" dxfId="157" priority="258">
      <formula>IF(BZ76&gt;=CA76,IF(BZ76="",FALSE,TRUE))</formula>
    </cfRule>
  </conditionalFormatting>
  <conditionalFormatting sqref="BZ81">
    <cfRule type="expression" dxfId="156" priority="255">
      <formula>OR(IF(BZ81&lt;CA81,TRUE),IF(AND(CA81="",BZ81&lt;&gt;""),TRUE))</formula>
    </cfRule>
    <cfRule type="expression" dxfId="155" priority="256">
      <formula>IF(BZ81&gt;=CA81,IF(BZ81="",FALSE,TRUE))</formula>
    </cfRule>
  </conditionalFormatting>
  <conditionalFormatting sqref="CB81">
    <cfRule type="expression" dxfId="154" priority="253">
      <formula>OR(IF(CB81&lt;CC81,TRUE),IF(AND(CC81="",CB81&lt;&gt;""),TRUE))</formula>
    </cfRule>
    <cfRule type="expression" dxfId="153" priority="254">
      <formula>IF(CB81&gt;=CC81,IF(CB81="",FALSE,TRUE))</formula>
    </cfRule>
  </conditionalFormatting>
  <conditionalFormatting sqref="CG76:CG80 CI76:CI80">
    <cfRule type="expression" dxfId="152" priority="251">
      <formula>OR(IF(CG76&lt;CH76,TRUE),IF(AND(CH76="",CG76&lt;&gt;""),TRUE))</formula>
    </cfRule>
    <cfRule type="expression" dxfId="151" priority="252">
      <formula>IF(CG76&gt;=CH76,IF(CG76="",FALSE,TRUE))</formula>
    </cfRule>
  </conditionalFormatting>
  <conditionalFormatting sqref="CG81">
    <cfRule type="expression" dxfId="150" priority="249">
      <formula>OR(IF(CG81&lt;CH81,TRUE),IF(AND(CH81="",CG81&lt;&gt;""),TRUE))</formula>
    </cfRule>
    <cfRule type="expression" dxfId="149" priority="250">
      <formula>IF(CG81&gt;=CH81,IF(CG81="",FALSE,TRUE))</formula>
    </cfRule>
  </conditionalFormatting>
  <conditionalFormatting sqref="CI81">
    <cfRule type="expression" dxfId="148" priority="247">
      <formula>OR(IF(CI81&lt;CJ81,TRUE),IF(AND(CJ81="",CI81&lt;&gt;""),TRUE))</formula>
    </cfRule>
    <cfRule type="expression" dxfId="147" priority="248">
      <formula>IF(CI81&gt;=CJ81,IF(CI81="",FALSE,TRUE))</formula>
    </cfRule>
  </conditionalFormatting>
  <conditionalFormatting sqref="CN76:CN80 CP76:CP80">
    <cfRule type="expression" dxfId="146" priority="245">
      <formula>OR(IF(CN76&lt;CO76,TRUE),IF(AND(CO76="",CN76&lt;&gt;""),TRUE))</formula>
    </cfRule>
    <cfRule type="expression" dxfId="145" priority="246">
      <formula>IF(CN76&gt;=CO76,IF(CN76="",FALSE,TRUE))</formula>
    </cfRule>
  </conditionalFormatting>
  <conditionalFormatting sqref="CN81">
    <cfRule type="expression" dxfId="144" priority="243">
      <formula>OR(IF(CN81&lt;CO81,TRUE),IF(AND(CO81="",CN81&lt;&gt;""),TRUE))</formula>
    </cfRule>
    <cfRule type="expression" dxfId="143" priority="244">
      <formula>IF(CN81&gt;=CO81,IF(CN81="",FALSE,TRUE))</formula>
    </cfRule>
  </conditionalFormatting>
  <conditionalFormatting sqref="CP81">
    <cfRule type="expression" dxfId="142" priority="241">
      <formula>OR(IF(CP81&lt;CQ81,TRUE),IF(AND(CQ81="",CP81&lt;&gt;""),TRUE))</formula>
    </cfRule>
    <cfRule type="expression" dxfId="141" priority="242">
      <formula>IF(CP81&gt;=CQ81,IF(CP81="",FALSE,TRUE))</formula>
    </cfRule>
  </conditionalFormatting>
  <conditionalFormatting sqref="CU76:CU80 CW76:CW80">
    <cfRule type="expression" dxfId="140" priority="239">
      <formula>OR(IF(CU76&lt;CV76,TRUE),IF(AND(CV76="",CU76&lt;&gt;""),TRUE))</formula>
    </cfRule>
    <cfRule type="expression" dxfId="139" priority="240">
      <formula>IF(CU76&gt;=CV76,IF(CU76="",FALSE,TRUE))</formula>
    </cfRule>
  </conditionalFormatting>
  <conditionalFormatting sqref="CU81">
    <cfRule type="expression" dxfId="138" priority="237">
      <formula>OR(IF(CU81&lt;CV81,TRUE),IF(AND(CV81="",CU81&lt;&gt;""),TRUE))</formula>
    </cfRule>
    <cfRule type="expression" dxfId="137" priority="238">
      <formula>IF(CU81&gt;=CV81,IF(CU81="",FALSE,TRUE))</formula>
    </cfRule>
  </conditionalFormatting>
  <conditionalFormatting sqref="CW81">
    <cfRule type="expression" dxfId="136" priority="235">
      <formula>OR(IF(CW81&lt;CX81,TRUE),IF(AND(CX81="",CW81&lt;&gt;""),TRUE))</formula>
    </cfRule>
    <cfRule type="expression" dxfId="135" priority="236">
      <formula>IF(CW81&gt;=CX81,IF(CW81="",FALSE,TRUE))</formula>
    </cfRule>
  </conditionalFormatting>
  <conditionalFormatting sqref="DB76:DB80 DD76:DD80">
    <cfRule type="expression" dxfId="134" priority="233">
      <formula>OR(IF(DB76&lt;DC76,TRUE),IF(AND(DC76="",DB76&lt;&gt;""),TRUE))</formula>
    </cfRule>
    <cfRule type="expression" dxfId="133" priority="234">
      <formula>IF(DB76&gt;=DC76,IF(DB76="",FALSE,TRUE))</formula>
    </cfRule>
  </conditionalFormatting>
  <conditionalFormatting sqref="DB81">
    <cfRule type="expression" dxfId="132" priority="231">
      <formula>OR(IF(DB81&lt;DC81,TRUE),IF(AND(DC81="",DB81&lt;&gt;""),TRUE))</formula>
    </cfRule>
    <cfRule type="expression" dxfId="131" priority="232">
      <formula>IF(DB81&gt;=DC81,IF(DB81="",FALSE,TRUE))</formula>
    </cfRule>
  </conditionalFormatting>
  <conditionalFormatting sqref="DD81">
    <cfRule type="expression" dxfId="130" priority="229">
      <formula>OR(IF(DD81&lt;DE81,TRUE),IF(AND(DE81="",DD81&lt;&gt;""),TRUE))</formula>
    </cfRule>
    <cfRule type="expression" dxfId="129" priority="230">
      <formula>IF(DD81&gt;=DE81,IF(DD81="",FALSE,TRUE))</formula>
    </cfRule>
  </conditionalFormatting>
  <conditionalFormatting sqref="O84:O88 Q84:Q88">
    <cfRule type="expression" dxfId="128" priority="112">
      <formula>OR(IF(O84&lt;P84,TRUE),IF(AND(P84="",O84&lt;&gt;""),TRUE))</formula>
    </cfRule>
    <cfRule type="expression" dxfId="127" priority="113">
      <formula>IF(O84&gt;=P84,IF(O84="",FALSE,TRUE))</formula>
    </cfRule>
  </conditionalFormatting>
  <conditionalFormatting sqref="AQ84:AQ88 AS84:AS88">
    <cfRule type="expression" dxfId="126" priority="88">
      <formula>OR(IF(AQ84&lt;AR84,TRUE),IF(AND(AR84="",AQ84&lt;&gt;""),TRUE))</formula>
    </cfRule>
    <cfRule type="expression" dxfId="125" priority="89">
      <formula>IF(AQ84&gt;=AR84,IF(AQ84="",FALSE,TRUE))</formula>
    </cfRule>
  </conditionalFormatting>
  <conditionalFormatting sqref="J84:K89">
    <cfRule type="colorScale" priority="114">
      <colorScale>
        <cfvo type="percent" val="0"/>
        <cfvo type="percent" val="100"/>
        <color rgb="FFFF231B"/>
        <color rgb="FF10FF07"/>
      </colorScale>
    </cfRule>
  </conditionalFormatting>
  <conditionalFormatting sqref="AZ89">
    <cfRule type="expression" dxfId="124" priority="78">
      <formula>OR(IF(AZ89&lt;BA89,TRUE),IF(AND(BA89="",AZ89&lt;&gt;""),TRUE))</formula>
    </cfRule>
    <cfRule type="expression" dxfId="123" priority="79">
      <formula>IF(AZ89&gt;=BA89,IF(AZ89="",FALSE,TRUE))</formula>
    </cfRule>
  </conditionalFormatting>
  <conditionalFormatting sqref="BE84:BE88 BG84:BG88">
    <cfRule type="expression" dxfId="122" priority="76">
      <formula>OR(IF(BE84&lt;BF84,TRUE),IF(AND(BF84="",BE84&lt;&gt;""),TRUE))</formula>
    </cfRule>
    <cfRule type="expression" dxfId="121" priority="77">
      <formula>IF(BE84&gt;=BF84,IF(BE84="",FALSE,TRUE))</formula>
    </cfRule>
  </conditionalFormatting>
  <conditionalFormatting sqref="O89">
    <cfRule type="expression" dxfId="120" priority="110">
      <formula>OR(IF(O89&lt;P89,TRUE),IF(AND(P89="",O89&lt;&gt;""),TRUE))</formula>
    </cfRule>
    <cfRule type="expression" dxfId="119" priority="111">
      <formula>IF(O89&gt;=P89,IF(O89="",FALSE,TRUE))</formula>
    </cfRule>
  </conditionalFormatting>
  <conditionalFormatting sqref="Q89">
    <cfRule type="expression" dxfId="118" priority="108">
      <formula>OR(IF(Q89&lt;R89,TRUE),IF(AND(R89="",Q89&lt;&gt;""),TRUE))</formula>
    </cfRule>
    <cfRule type="expression" dxfId="117" priority="109">
      <formula>IF(Q89&gt;=R89,IF(Q89="",FALSE,TRUE))</formula>
    </cfRule>
  </conditionalFormatting>
  <conditionalFormatting sqref="V84:V88 X84:X88">
    <cfRule type="expression" dxfId="116" priority="106">
      <formula>OR(IF(V84&lt;W84,TRUE),IF(AND(W84="",V84&lt;&gt;""),TRUE))</formula>
    </cfRule>
    <cfRule type="expression" dxfId="115" priority="107">
      <formula>IF(V84&gt;=W84,IF(V84="",FALSE,TRUE))</formula>
    </cfRule>
  </conditionalFormatting>
  <conditionalFormatting sqref="V89">
    <cfRule type="expression" dxfId="114" priority="104">
      <formula>OR(IF(V89&lt;W89,TRUE),IF(AND(W89="",V89&lt;&gt;""),TRUE))</formula>
    </cfRule>
    <cfRule type="expression" dxfId="113" priority="105">
      <formula>IF(V89&gt;=W89,IF(V89="",FALSE,TRUE))</formula>
    </cfRule>
  </conditionalFormatting>
  <conditionalFormatting sqref="X89">
    <cfRule type="expression" dxfId="112" priority="102">
      <formula>OR(IF(X89&lt;Y89,TRUE),IF(AND(Y89="",X89&lt;&gt;""),TRUE))</formula>
    </cfRule>
    <cfRule type="expression" dxfId="111" priority="103">
      <formula>IF(X89&gt;=Y89,IF(X89="",FALSE,TRUE))</formula>
    </cfRule>
  </conditionalFormatting>
  <conditionalFormatting sqref="AC84:AC88 AE84:AE88">
    <cfRule type="expression" dxfId="110" priority="100">
      <formula>OR(IF(AC84&lt;AD84,TRUE),IF(AND(AD84="",AC84&lt;&gt;""),TRUE))</formula>
    </cfRule>
    <cfRule type="expression" dxfId="109" priority="101">
      <formula>IF(AC84&gt;=AD84,IF(AC84="",FALSE,TRUE))</formula>
    </cfRule>
  </conditionalFormatting>
  <conditionalFormatting sqref="AC89">
    <cfRule type="expression" dxfId="108" priority="98">
      <formula>OR(IF(AC89&lt;AD89,TRUE),IF(AND(AD89="",AC89&lt;&gt;""),TRUE))</formula>
    </cfRule>
    <cfRule type="expression" dxfId="107" priority="99">
      <formula>IF(AC89&gt;=AD89,IF(AC89="",FALSE,TRUE))</formula>
    </cfRule>
  </conditionalFormatting>
  <conditionalFormatting sqref="AE89">
    <cfRule type="expression" dxfId="106" priority="96">
      <formula>OR(IF(AE89&lt;AF89,TRUE),IF(AND(AF89="",AE89&lt;&gt;""),TRUE))</formula>
    </cfRule>
    <cfRule type="expression" dxfId="105" priority="97">
      <formula>IF(AE89&gt;=AF89,IF(AE89="",FALSE,TRUE))</formula>
    </cfRule>
  </conditionalFormatting>
  <conditionalFormatting sqref="AJ84:AJ88 AL84:AL88">
    <cfRule type="expression" dxfId="104" priority="94">
      <formula>OR(IF(AJ84&lt;AK84,TRUE),IF(AND(AK84="",AJ84&lt;&gt;""),TRUE))</formula>
    </cfRule>
    <cfRule type="expression" dxfId="103" priority="95">
      <formula>IF(AJ84&gt;=AK84,IF(AJ84="",FALSE,TRUE))</formula>
    </cfRule>
  </conditionalFormatting>
  <conditionalFormatting sqref="AJ89">
    <cfRule type="expression" dxfId="102" priority="92">
      <formula>OR(IF(AJ89&lt;AK89,TRUE),IF(AND(AK89="",AJ89&lt;&gt;""),TRUE))</formula>
    </cfRule>
    <cfRule type="expression" dxfId="101" priority="93">
      <formula>IF(AJ89&gt;=AK89,IF(AJ89="",FALSE,TRUE))</formula>
    </cfRule>
  </conditionalFormatting>
  <conditionalFormatting sqref="AL89">
    <cfRule type="expression" dxfId="100" priority="90">
      <formula>OR(IF(AL89&lt;AM89,TRUE),IF(AND(AM89="",AL89&lt;&gt;""),TRUE))</formula>
    </cfRule>
    <cfRule type="expression" dxfId="99" priority="91">
      <formula>IF(AL89&gt;=AM89,IF(AL89="",FALSE,TRUE))</formula>
    </cfRule>
  </conditionalFormatting>
  <conditionalFormatting sqref="AQ89">
    <cfRule type="expression" dxfId="98" priority="86">
      <formula>OR(IF(AQ89&lt;AR89,TRUE),IF(AND(AR89="",AQ89&lt;&gt;""),TRUE))</formula>
    </cfRule>
    <cfRule type="expression" dxfId="97" priority="87">
      <formula>IF(AQ89&gt;=AR89,IF(AQ89="",FALSE,TRUE))</formula>
    </cfRule>
  </conditionalFormatting>
  <conditionalFormatting sqref="AS89">
    <cfRule type="expression" dxfId="96" priority="84">
      <formula>OR(IF(AS89&lt;AT89,TRUE),IF(AND(AT89="",AS89&lt;&gt;""),TRUE))</formula>
    </cfRule>
    <cfRule type="expression" dxfId="95" priority="85">
      <formula>IF(AS89&gt;=AT89,IF(AS89="",FALSE,TRUE))</formula>
    </cfRule>
  </conditionalFormatting>
  <conditionalFormatting sqref="AX84:AX88 AZ84:AZ88">
    <cfRule type="expression" dxfId="94" priority="82">
      <formula>OR(IF(AX84&lt;AY84,TRUE),IF(AND(AY84="",AX84&lt;&gt;""),TRUE))</formula>
    </cfRule>
    <cfRule type="expression" dxfId="93" priority="83">
      <formula>IF(AX84&gt;=AY84,IF(AX84="",FALSE,TRUE))</formula>
    </cfRule>
  </conditionalFormatting>
  <conditionalFormatting sqref="AX89">
    <cfRule type="expression" dxfId="92" priority="80">
      <formula>OR(IF(AX89&lt;AY89,TRUE),IF(AND(AY89="",AX89&lt;&gt;""),TRUE))</formula>
    </cfRule>
    <cfRule type="expression" dxfId="91" priority="81">
      <formula>IF(AX89&gt;=AY89,IF(AX89="",FALSE,TRUE))</formula>
    </cfRule>
  </conditionalFormatting>
  <conditionalFormatting sqref="BE89">
    <cfRule type="expression" dxfId="90" priority="74">
      <formula>OR(IF(BE89&lt;BF89,TRUE),IF(AND(BF89="",BE89&lt;&gt;""),TRUE))</formula>
    </cfRule>
    <cfRule type="expression" dxfId="89" priority="75">
      <formula>IF(BE89&gt;=BF89,IF(BE89="",FALSE,TRUE))</formula>
    </cfRule>
  </conditionalFormatting>
  <conditionalFormatting sqref="BG89">
    <cfRule type="expression" dxfId="88" priority="72">
      <formula>OR(IF(BG89&lt;BH89,TRUE),IF(AND(BH89="",BG89&lt;&gt;""),TRUE))</formula>
    </cfRule>
    <cfRule type="expression" dxfId="87" priority="73">
      <formula>IF(BG89&gt;=BH89,IF(BG89="",FALSE,TRUE))</formula>
    </cfRule>
  </conditionalFormatting>
  <conditionalFormatting sqref="BL84:BL88 BN84:BN88">
    <cfRule type="expression" dxfId="86" priority="70">
      <formula>OR(IF(BL84&lt;BM84,TRUE),IF(AND(BM84="",BL84&lt;&gt;""),TRUE))</formula>
    </cfRule>
    <cfRule type="expression" dxfId="85" priority="71">
      <formula>IF(BL84&gt;=BM84,IF(BL84="",FALSE,TRUE))</formula>
    </cfRule>
  </conditionalFormatting>
  <conditionalFormatting sqref="BL89">
    <cfRule type="expression" dxfId="84" priority="68">
      <formula>OR(IF(BL89&lt;BM89,TRUE),IF(AND(BM89="",BL89&lt;&gt;""),TRUE))</formula>
    </cfRule>
    <cfRule type="expression" dxfId="83" priority="69">
      <formula>IF(BL89&gt;=BM89,IF(BL89="",FALSE,TRUE))</formula>
    </cfRule>
  </conditionalFormatting>
  <conditionalFormatting sqref="BN89">
    <cfRule type="expression" dxfId="82" priority="66">
      <formula>OR(IF(BN89&lt;BO89,TRUE),IF(AND(BO89="",BN89&lt;&gt;""),TRUE))</formula>
    </cfRule>
    <cfRule type="expression" dxfId="81" priority="67">
      <formula>IF(BN89&gt;=BO89,IF(BN89="",FALSE,TRUE))</formula>
    </cfRule>
  </conditionalFormatting>
  <conditionalFormatting sqref="BS84:BS88 BU84:BU88">
    <cfRule type="expression" dxfId="80" priority="64">
      <formula>OR(IF(BS84&lt;BT84,TRUE),IF(AND(BT84="",BS84&lt;&gt;""),TRUE))</formula>
    </cfRule>
    <cfRule type="expression" dxfId="79" priority="65">
      <formula>IF(BS84&gt;=BT84,IF(BS84="",FALSE,TRUE))</formula>
    </cfRule>
  </conditionalFormatting>
  <conditionalFormatting sqref="BS89">
    <cfRule type="expression" dxfId="78" priority="62">
      <formula>OR(IF(BS89&lt;BT89,TRUE),IF(AND(BT89="",BS89&lt;&gt;""),TRUE))</formula>
    </cfRule>
    <cfRule type="expression" dxfId="77" priority="63">
      <formula>IF(BS89&gt;=BT89,IF(BS89="",FALSE,TRUE))</formula>
    </cfRule>
  </conditionalFormatting>
  <conditionalFormatting sqref="BU89">
    <cfRule type="expression" dxfId="76" priority="60">
      <formula>OR(IF(BU89&lt;BV89,TRUE),IF(AND(BV89="",BU89&lt;&gt;""),TRUE))</formula>
    </cfRule>
    <cfRule type="expression" dxfId="75" priority="61">
      <formula>IF(BU89&gt;=BV89,IF(BU89="",FALSE,TRUE))</formula>
    </cfRule>
  </conditionalFormatting>
  <conditionalFormatting sqref="BZ84:BZ88 CB84:CB88">
    <cfRule type="expression" dxfId="74" priority="58">
      <formula>OR(IF(BZ84&lt;CA84,TRUE),IF(AND(CA84="",BZ84&lt;&gt;""),TRUE))</formula>
    </cfRule>
    <cfRule type="expression" dxfId="73" priority="59">
      <formula>IF(BZ84&gt;=CA84,IF(BZ84="",FALSE,TRUE))</formula>
    </cfRule>
  </conditionalFormatting>
  <conditionalFormatting sqref="BZ89">
    <cfRule type="expression" dxfId="72" priority="56">
      <formula>OR(IF(BZ89&lt;CA89,TRUE),IF(AND(CA89="",BZ89&lt;&gt;""),TRUE))</formula>
    </cfRule>
    <cfRule type="expression" dxfId="71" priority="57">
      <formula>IF(BZ89&gt;=CA89,IF(BZ89="",FALSE,TRUE))</formula>
    </cfRule>
  </conditionalFormatting>
  <conditionalFormatting sqref="CB89">
    <cfRule type="expression" dxfId="70" priority="54">
      <formula>OR(IF(CB89&lt;CC89,TRUE),IF(AND(CC89="",CB89&lt;&gt;""),TRUE))</formula>
    </cfRule>
    <cfRule type="expression" dxfId="69" priority="55">
      <formula>IF(CB89&gt;=CC89,IF(CB89="",FALSE,TRUE))</formula>
    </cfRule>
  </conditionalFormatting>
  <conditionalFormatting sqref="CG84:CG88 CI84:CI88">
    <cfRule type="expression" dxfId="68" priority="52">
      <formula>OR(IF(CG84&lt;CH84,TRUE),IF(AND(CH84="",CG84&lt;&gt;""),TRUE))</formula>
    </cfRule>
    <cfRule type="expression" dxfId="67" priority="53">
      <formula>IF(CG84&gt;=CH84,IF(CG84="",FALSE,TRUE))</formula>
    </cfRule>
  </conditionalFormatting>
  <conditionalFormatting sqref="CG89">
    <cfRule type="expression" dxfId="66" priority="50">
      <formula>OR(IF(CG89&lt;CH89,TRUE),IF(AND(CH89="",CG89&lt;&gt;""),TRUE))</formula>
    </cfRule>
    <cfRule type="expression" dxfId="65" priority="51">
      <formula>IF(CG89&gt;=CH89,IF(CG89="",FALSE,TRUE))</formula>
    </cfRule>
  </conditionalFormatting>
  <conditionalFormatting sqref="CI89">
    <cfRule type="expression" dxfId="64" priority="48">
      <formula>OR(IF(CI89&lt;CJ89,TRUE),IF(AND(CJ89="",CI89&lt;&gt;""),TRUE))</formula>
    </cfRule>
    <cfRule type="expression" dxfId="63" priority="49">
      <formula>IF(CI89&gt;=CJ89,IF(CI89="",FALSE,TRUE))</formula>
    </cfRule>
  </conditionalFormatting>
  <conditionalFormatting sqref="CN84:CN88 CP84:CP88">
    <cfRule type="expression" dxfId="62" priority="46">
      <formula>OR(IF(CN84&lt;CO84,TRUE),IF(AND(CO84="",CN84&lt;&gt;""),TRUE))</formula>
    </cfRule>
    <cfRule type="expression" dxfId="61" priority="47">
      <formula>IF(CN84&gt;=CO84,IF(CN84="",FALSE,TRUE))</formula>
    </cfRule>
  </conditionalFormatting>
  <conditionalFormatting sqref="CN89">
    <cfRule type="expression" dxfId="60" priority="44">
      <formula>OR(IF(CN89&lt;CO89,TRUE),IF(AND(CO89="",CN89&lt;&gt;""),TRUE))</formula>
    </cfRule>
    <cfRule type="expression" dxfId="59" priority="45">
      <formula>IF(CN89&gt;=CO89,IF(CN89="",FALSE,TRUE))</formula>
    </cfRule>
  </conditionalFormatting>
  <conditionalFormatting sqref="CP89">
    <cfRule type="expression" dxfId="58" priority="42">
      <formula>OR(IF(CP89&lt;CQ89,TRUE),IF(AND(CQ89="",CP89&lt;&gt;""),TRUE))</formula>
    </cfRule>
    <cfRule type="expression" dxfId="57" priority="43">
      <formula>IF(CP89&gt;=CQ89,IF(CP89="",FALSE,TRUE))</formula>
    </cfRule>
  </conditionalFormatting>
  <conditionalFormatting sqref="CU84:CU88 CW84:CW88">
    <cfRule type="expression" dxfId="56" priority="40">
      <formula>OR(IF(CU84&lt;CV84,TRUE),IF(AND(CV84="",CU84&lt;&gt;""),TRUE))</formula>
    </cfRule>
    <cfRule type="expression" dxfId="55" priority="41">
      <formula>IF(CU84&gt;=CV84,IF(CU84="",FALSE,TRUE))</formula>
    </cfRule>
  </conditionalFormatting>
  <conditionalFormatting sqref="CU89">
    <cfRule type="expression" dxfId="54" priority="38">
      <formula>OR(IF(CU89&lt;CV89,TRUE),IF(AND(CV89="",CU89&lt;&gt;""),TRUE))</formula>
    </cfRule>
    <cfRule type="expression" dxfId="53" priority="39">
      <formula>IF(CU89&gt;=CV89,IF(CU89="",FALSE,TRUE))</formula>
    </cfRule>
  </conditionalFormatting>
  <conditionalFormatting sqref="CW89">
    <cfRule type="expression" dxfId="52" priority="36">
      <formula>OR(IF(CW89&lt;CX89,TRUE),IF(AND(CX89="",CW89&lt;&gt;""),TRUE))</formula>
    </cfRule>
    <cfRule type="expression" dxfId="51" priority="37">
      <formula>IF(CW89&gt;=CX89,IF(CW89="",FALSE,TRUE))</formula>
    </cfRule>
  </conditionalFormatting>
  <conditionalFormatting sqref="DB84:DB88 DD84:DD88">
    <cfRule type="expression" dxfId="50" priority="34">
      <formula>OR(IF(DB84&lt;DC84,TRUE),IF(AND(DC84="",DB84&lt;&gt;""),TRUE))</formula>
    </cfRule>
    <cfRule type="expression" dxfId="49" priority="35">
      <formula>IF(DB84&gt;=DC84,IF(DB84="",FALSE,TRUE))</formula>
    </cfRule>
  </conditionalFormatting>
  <conditionalFormatting sqref="DB89">
    <cfRule type="expression" dxfId="48" priority="32">
      <formula>OR(IF(DB89&lt;DC89,TRUE),IF(AND(DC89="",DB89&lt;&gt;""),TRUE))</formula>
    </cfRule>
    <cfRule type="expression" dxfId="47" priority="33">
      <formula>IF(DB89&gt;=DC89,IF(DB89="",FALSE,TRUE))</formula>
    </cfRule>
  </conditionalFormatting>
  <conditionalFormatting sqref="DD89">
    <cfRule type="expression" dxfId="46" priority="30">
      <formula>OR(IF(DD89&lt;DE89,TRUE),IF(AND(DE89="",DD89&lt;&gt;""),TRUE))</formula>
    </cfRule>
    <cfRule type="expression" dxfId="45" priority="31">
      <formula>IF(DD89&gt;=DE89,IF(DD89="",FALSE,TRUE))</formula>
    </cfRule>
  </conditionalFormatting>
  <conditionalFormatting sqref="O90 Q90">
    <cfRule type="expression" dxfId="44" priority="27">
      <formula>OR(IF(O90&lt;P90,TRUE),IF(AND(P90="",O90&lt;&gt;""),TRUE))</formula>
    </cfRule>
    <cfRule type="expression" dxfId="43" priority="28">
      <formula>IF(O90&gt;=P90,IF(O90="",FALSE,TRUE))</formula>
    </cfRule>
  </conditionalFormatting>
  <conditionalFormatting sqref="AQ90 AS90">
    <cfRule type="expression" dxfId="42" priority="19">
      <formula>OR(IF(AQ90&lt;AR90,TRUE),IF(AND(AR90="",AQ90&lt;&gt;""),TRUE))</formula>
    </cfRule>
    <cfRule type="expression" dxfId="41" priority="20">
      <formula>IF(AQ90&gt;=AR90,IF(AQ90="",FALSE,TRUE))</formula>
    </cfRule>
  </conditionalFormatting>
  <conditionalFormatting sqref="J90:K90">
    <cfRule type="colorScale" priority="29">
      <colorScale>
        <cfvo type="percent" val="0"/>
        <cfvo type="percent" val="100"/>
        <color rgb="FFFF231B"/>
        <color rgb="FF10FF07"/>
      </colorScale>
    </cfRule>
  </conditionalFormatting>
  <conditionalFormatting sqref="BE90 BG90">
    <cfRule type="expression" dxfId="40" priority="15">
      <formula>OR(IF(BE90&lt;BF90,TRUE),IF(AND(BF90="",BE90&lt;&gt;""),TRUE))</formula>
    </cfRule>
    <cfRule type="expression" dxfId="39" priority="16">
      <formula>IF(BE90&gt;=BF90,IF(BE90="",FALSE,TRUE))</formula>
    </cfRule>
  </conditionalFormatting>
  <conditionalFormatting sqref="V90 X90">
    <cfRule type="expression" dxfId="38" priority="25">
      <formula>OR(IF(V90&lt;W90,TRUE),IF(AND(W90="",V90&lt;&gt;""),TRUE))</formula>
    </cfRule>
    <cfRule type="expression" dxfId="37" priority="26">
      <formula>IF(V90&gt;=W90,IF(V90="",FALSE,TRUE))</formula>
    </cfRule>
  </conditionalFormatting>
  <conditionalFormatting sqref="AC90 AE90">
    <cfRule type="expression" dxfId="36" priority="23">
      <formula>OR(IF(AC90&lt;AD90,TRUE),IF(AND(AD90="",AC90&lt;&gt;""),TRUE))</formula>
    </cfRule>
    <cfRule type="expression" dxfId="35" priority="24">
      <formula>IF(AC90&gt;=AD90,IF(AC90="",FALSE,TRUE))</formula>
    </cfRule>
  </conditionalFormatting>
  <conditionalFormatting sqref="AJ90 AL90">
    <cfRule type="expression" dxfId="34" priority="21">
      <formula>OR(IF(AJ90&lt;AK90,TRUE),IF(AND(AK90="",AJ90&lt;&gt;""),TRUE))</formula>
    </cfRule>
    <cfRule type="expression" dxfId="33" priority="22">
      <formula>IF(AJ90&gt;=AK90,IF(AJ90="",FALSE,TRUE))</formula>
    </cfRule>
  </conditionalFormatting>
  <conditionalFormatting sqref="AX90 AZ90">
    <cfRule type="expression" dxfId="32" priority="17">
      <formula>OR(IF(AX90&lt;AY90,TRUE),IF(AND(AY90="",AX90&lt;&gt;""),TRUE))</formula>
    </cfRule>
    <cfRule type="expression" dxfId="31" priority="18">
      <formula>IF(AX90&gt;=AY90,IF(AX90="",FALSE,TRUE))</formula>
    </cfRule>
  </conditionalFormatting>
  <conditionalFormatting sqref="BL90 BN90">
    <cfRule type="expression" dxfId="30" priority="13">
      <formula>OR(IF(BL90&lt;BM90,TRUE),IF(AND(BM90="",BL90&lt;&gt;""),TRUE))</formula>
    </cfRule>
    <cfRule type="expression" dxfId="29" priority="14">
      <formula>IF(BL90&gt;=BM90,IF(BL90="",FALSE,TRUE))</formula>
    </cfRule>
  </conditionalFormatting>
  <conditionalFormatting sqref="BS90 BU90">
    <cfRule type="expression" dxfId="28" priority="11">
      <formula>OR(IF(BS90&lt;BT90,TRUE),IF(AND(BT90="",BS90&lt;&gt;""),TRUE))</formula>
    </cfRule>
    <cfRule type="expression" dxfId="27" priority="12">
      <formula>IF(BS90&gt;=BT90,IF(BS90="",FALSE,TRUE))</formula>
    </cfRule>
  </conditionalFormatting>
  <conditionalFormatting sqref="BZ90 CB90">
    <cfRule type="expression" dxfId="26" priority="9">
      <formula>OR(IF(BZ90&lt;CA90,TRUE),IF(AND(CA90="",BZ90&lt;&gt;""),TRUE))</formula>
    </cfRule>
    <cfRule type="expression" dxfId="25" priority="10">
      <formula>IF(BZ90&gt;=CA90,IF(BZ90="",FALSE,TRUE))</formula>
    </cfRule>
  </conditionalFormatting>
  <conditionalFormatting sqref="CG90 CI90">
    <cfRule type="expression" dxfId="24" priority="7">
      <formula>OR(IF(CG90&lt;CH90,TRUE),IF(AND(CH90="",CG90&lt;&gt;""),TRUE))</formula>
    </cfRule>
    <cfRule type="expression" dxfId="23" priority="8">
      <formula>IF(CG90&gt;=CH90,IF(CG90="",FALSE,TRUE))</formula>
    </cfRule>
  </conditionalFormatting>
  <conditionalFormatting sqref="CN90 CP90">
    <cfRule type="expression" dxfId="22" priority="5">
      <formula>OR(IF(CN90&lt;CO90,TRUE),IF(AND(CO90="",CN90&lt;&gt;""),TRUE))</formula>
    </cfRule>
    <cfRule type="expression" dxfId="21" priority="6">
      <formula>IF(CN90&gt;=CO90,IF(CN90="",FALSE,TRUE))</formula>
    </cfRule>
  </conditionalFormatting>
  <conditionalFormatting sqref="CU90 CW90">
    <cfRule type="expression" dxfId="20" priority="3">
      <formula>OR(IF(CU90&lt;CV90,TRUE),IF(AND(CV90="",CU90&lt;&gt;""),TRUE))</formula>
    </cfRule>
    <cfRule type="expression" dxfId="19" priority="4">
      <formula>IF(CU90&gt;=CV90,IF(CU90="",FALSE,TRUE))</formula>
    </cfRule>
  </conditionalFormatting>
  <conditionalFormatting sqref="DB90 DD90">
    <cfRule type="expression" dxfId="18" priority="1">
      <formula>OR(IF(DB90&lt;DC90,TRUE),IF(AND(DC90="",DB90&lt;&gt;""),TRUE))</formula>
    </cfRule>
    <cfRule type="expression" dxfId="17" priority="2">
      <formula>IF(DB90&gt;=DC90,IF(DB90="",FALSE,TRUE))</formula>
    </cfRule>
  </conditionalFormatting>
  <dataValidations count="1">
    <dataValidation type="list" allowBlank="1" showInputMessage="1" showErrorMessage="1" sqref="O25:R36 O5:R22 V39:Y53 V25:Y36 V5:Y22 AC39:AF53 AC25:AF36 AC5:AF22 AJ39:AM53 AJ25:AM36 AJ5:AM22 AQ39:AT53 AQ5:AT22 BE39:BH53 AQ25:AT36 AX25:BA36 AX5:BA22 AX39:BA53 BE25:BH36 BE5:BH22 O39:R53 BL39:BO53 BL25:BO36 BL5:BO22 BS39:BV53 BS25:BV36 BS5:BV22 BZ39:CC53 BZ25:CC36 BZ5:CC22 CG39:CJ53 CG25:CJ36 CG5:CJ22 CN39:CQ53 CN25:CQ36 CN5:CQ22 CU39:CX53 CU25:CX36 CU5:CX22 DB39:DE53 DB25:DE36 DB5:DE22 O56:R67 V56:Y67 AC56:AF67 AJ56:AM67 AQ56:AT67 AX56:BA67 BE56:BH67 BL56:BO67 BS56:BV67 BZ56:CC67 CG56:CJ67 CN56:CQ67 CU56:CX67 DB56:DE67 O70:R81 V70:Y81 AC70:AF81 AJ70:AM81 AQ70:AT81 AX70:BA81 BE70:BH81 BL70:BO81 BS70:BV81 BZ70:CC81 CG70:CJ81 CN70:CQ81 CU70:CX81 DB70:DE81 O84:R90 V84:Y90 AC84:AF90 AJ84:AM90 AQ84:AT90 AX84:BA90 BE84:BH90 BL84:BO90 BS84:BV90 BZ84:CC90 CG84:CJ90 CN84:CQ90 CU84:CX90 DB84:DE90"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6" x14ac:dyDescent="0.2"/>
  <cols>
    <col min="1" max="1" width="16.83203125" style="10" customWidth="1"/>
    <col min="2" max="2" width="19.1640625" style="10" customWidth="1"/>
    <col min="3" max="3" width="18.1640625" style="10" customWidth="1"/>
    <col min="4" max="4" width="19.5" style="10" customWidth="1"/>
    <col min="8" max="8" width="15.1640625" customWidth="1"/>
    <col min="10" max="10" width="42" customWidth="1"/>
    <col min="11" max="11" width="28.5" customWidth="1"/>
  </cols>
  <sheetData>
    <row r="1" spans="1:11" ht="34" x14ac:dyDescent="0.2">
      <c r="A1" s="10" t="s">
        <v>41</v>
      </c>
      <c r="B1" s="16" t="s">
        <v>38</v>
      </c>
      <c r="C1" s="16" t="s">
        <v>39</v>
      </c>
      <c r="D1" s="16" t="s">
        <v>40</v>
      </c>
      <c r="E1" s="1" t="s">
        <v>42</v>
      </c>
      <c r="F1" s="1" t="s">
        <v>43</v>
      </c>
      <c r="G1" s="1" t="s">
        <v>44</v>
      </c>
      <c r="H1" s="1" t="s">
        <v>45</v>
      </c>
      <c r="I1" s="1" t="s">
        <v>46</v>
      </c>
      <c r="J1" s="1" t="s">
        <v>47</v>
      </c>
      <c r="K1" s="1" t="s">
        <v>48</v>
      </c>
    </row>
    <row r="2" spans="1:11" x14ac:dyDescent="0.2">
      <c r="A2" s="15">
        <v>44118</v>
      </c>
      <c r="D2" s="17">
        <v>1</v>
      </c>
    </row>
    <row r="3" spans="1:11" x14ac:dyDescent="0.2">
      <c r="A3" s="15">
        <v>44119</v>
      </c>
    </row>
    <row r="4" spans="1:11" x14ac:dyDescent="0.2">
      <c r="A4" s="15">
        <v>44120</v>
      </c>
    </row>
    <row r="5" spans="1:11" x14ac:dyDescent="0.2">
      <c r="A5" s="15">
        <v>44121</v>
      </c>
    </row>
    <row r="6" spans="1:11" x14ac:dyDescent="0.2">
      <c r="A6" s="15">
        <v>44122</v>
      </c>
    </row>
    <row r="7" spans="1:11" x14ac:dyDescent="0.2">
      <c r="A7" s="15">
        <v>44123</v>
      </c>
    </row>
    <row r="8" spans="1:11" x14ac:dyDescent="0.2">
      <c r="A8" s="15">
        <v>44124</v>
      </c>
    </row>
    <row r="9" spans="1:11" x14ac:dyDescent="0.2">
      <c r="A9" s="15">
        <v>44125</v>
      </c>
    </row>
    <row r="10" spans="1:11" x14ac:dyDescent="0.2">
      <c r="A10" s="15">
        <v>44126</v>
      </c>
    </row>
    <row r="11" spans="1:11" x14ac:dyDescent="0.2">
      <c r="A11" s="15">
        <v>44127</v>
      </c>
    </row>
    <row r="12" spans="1:11" x14ac:dyDescent="0.2">
      <c r="A12" s="15">
        <v>44128</v>
      </c>
    </row>
    <row r="13" spans="1:11" x14ac:dyDescent="0.2">
      <c r="A13" s="15">
        <v>44129</v>
      </c>
    </row>
    <row r="14" spans="1:11" x14ac:dyDescent="0.2">
      <c r="A14" s="15">
        <v>44130</v>
      </c>
    </row>
    <row r="15" spans="1:11" x14ac:dyDescent="0.2">
      <c r="A15" s="15">
        <v>44131</v>
      </c>
    </row>
    <row r="16" spans="1:11" x14ac:dyDescent="0.2">
      <c r="A16" s="15">
        <v>44132</v>
      </c>
    </row>
    <row r="17" spans="1:1" x14ac:dyDescent="0.2">
      <c r="A17" s="15">
        <v>44133</v>
      </c>
    </row>
    <row r="18" spans="1:1" x14ac:dyDescent="0.2">
      <c r="A18" s="15">
        <v>44134</v>
      </c>
    </row>
    <row r="19" spans="1:1" x14ac:dyDescent="0.2">
      <c r="A19" s="15">
        <v>44135</v>
      </c>
    </row>
    <row r="20" spans="1:1" x14ac:dyDescent="0.2">
      <c r="A20" s="15">
        <v>44136</v>
      </c>
    </row>
    <row r="21" spans="1:1" x14ac:dyDescent="0.2">
      <c r="A21" s="15">
        <v>44137</v>
      </c>
    </row>
    <row r="22" spans="1:1" x14ac:dyDescent="0.2">
      <c r="A22" s="15">
        <v>44138</v>
      </c>
    </row>
    <row r="23" spans="1:1" x14ac:dyDescent="0.2">
      <c r="A23" s="15">
        <v>44139</v>
      </c>
    </row>
    <row r="24" spans="1:1" x14ac:dyDescent="0.2">
      <c r="A24" s="15">
        <v>44140</v>
      </c>
    </row>
    <row r="25" spans="1:1" x14ac:dyDescent="0.2">
      <c r="A25" s="15">
        <v>44141</v>
      </c>
    </row>
    <row r="26" spans="1:1" x14ac:dyDescent="0.2">
      <c r="A26" s="15">
        <v>44142</v>
      </c>
    </row>
    <row r="27" spans="1:1" x14ac:dyDescent="0.2">
      <c r="A27" s="15">
        <v>44143</v>
      </c>
    </row>
    <row r="28" spans="1:1" x14ac:dyDescent="0.2">
      <c r="A28" s="15">
        <v>44144</v>
      </c>
    </row>
    <row r="29" spans="1:1" x14ac:dyDescent="0.2">
      <c r="A29" s="15">
        <v>44145</v>
      </c>
    </row>
    <row r="30" spans="1:1" x14ac:dyDescent="0.2">
      <c r="A30" s="15">
        <v>44146</v>
      </c>
    </row>
    <row r="31" spans="1:1" x14ac:dyDescent="0.2">
      <c r="A31" s="15">
        <v>44147</v>
      </c>
    </row>
    <row r="32" spans="1:1" x14ac:dyDescent="0.2">
      <c r="A32" s="15">
        <v>44148</v>
      </c>
    </row>
    <row r="33" spans="1:1" x14ac:dyDescent="0.2">
      <c r="A33" s="15">
        <v>44149</v>
      </c>
    </row>
    <row r="34" spans="1:1" x14ac:dyDescent="0.2">
      <c r="A34" s="15">
        <v>44150</v>
      </c>
    </row>
    <row r="35" spans="1:1" x14ac:dyDescent="0.2">
      <c r="A35" s="15">
        <v>44151</v>
      </c>
    </row>
    <row r="36" spans="1:1" x14ac:dyDescent="0.2">
      <c r="A36" s="15">
        <v>44152</v>
      </c>
    </row>
    <row r="37" spans="1:1" x14ac:dyDescent="0.2">
      <c r="A37" s="15">
        <v>44153</v>
      </c>
    </row>
    <row r="38" spans="1:1" x14ac:dyDescent="0.2">
      <c r="A38" s="15">
        <v>44154</v>
      </c>
    </row>
    <row r="39" spans="1:1" x14ac:dyDescent="0.2">
      <c r="A39" s="15">
        <v>44155</v>
      </c>
    </row>
    <row r="40" spans="1:1" x14ac:dyDescent="0.2">
      <c r="A40" s="15">
        <v>44156</v>
      </c>
    </row>
    <row r="41" spans="1:1" x14ac:dyDescent="0.2">
      <c r="A41" s="15">
        <v>44157</v>
      </c>
    </row>
    <row r="42" spans="1:1" x14ac:dyDescent="0.2">
      <c r="A42" s="15">
        <v>44158</v>
      </c>
    </row>
    <row r="43" spans="1:1" x14ac:dyDescent="0.2">
      <c r="A43" s="15">
        <v>44159</v>
      </c>
    </row>
    <row r="44" spans="1:1" x14ac:dyDescent="0.2">
      <c r="A44" s="15">
        <v>44160</v>
      </c>
    </row>
    <row r="45" spans="1:1" x14ac:dyDescent="0.2">
      <c r="A45" s="15">
        <v>44161</v>
      </c>
    </row>
    <row r="46" spans="1:1" x14ac:dyDescent="0.2">
      <c r="A46" s="15">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38"/>
  <sheetViews>
    <sheetView zoomScale="117" workbookViewId="0">
      <selection activeCell="B42" sqref="B42"/>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9">
        <v>0.22916666666666699</v>
      </c>
    </row>
    <row r="6" spans="1:8" x14ac:dyDescent="0.2">
      <c r="A6" s="9">
        <v>0.25</v>
      </c>
    </row>
    <row r="7" spans="1:8" x14ac:dyDescent="0.2">
      <c r="A7" s="9">
        <v>0.27083333333333398</v>
      </c>
    </row>
    <row r="8" spans="1:8" x14ac:dyDescent="0.2">
      <c r="A8" s="9">
        <v>0.29166666666666702</v>
      </c>
    </row>
    <row r="9" spans="1:8" x14ac:dyDescent="0.2">
      <c r="A9" s="9">
        <v>0.3125</v>
      </c>
    </row>
    <row r="10" spans="1:8" x14ac:dyDescent="0.2">
      <c r="A10" s="9">
        <v>0.33333333333333398</v>
      </c>
    </row>
    <row r="11" spans="1:8" x14ac:dyDescent="0.2">
      <c r="A11" s="9">
        <v>0.35416666666666702</v>
      </c>
    </row>
    <row r="12" spans="1:8" x14ac:dyDescent="0.2">
      <c r="A12" s="9">
        <v>0.375</v>
      </c>
    </row>
    <row r="13" spans="1:8" x14ac:dyDescent="0.2">
      <c r="A13" s="9">
        <v>0.39583333333333398</v>
      </c>
    </row>
    <row r="14" spans="1:8" x14ac:dyDescent="0.2">
      <c r="A14" s="9">
        <v>0.41666666666666702</v>
      </c>
    </row>
    <row r="15" spans="1:8" x14ac:dyDescent="0.2">
      <c r="A15" s="9">
        <v>0.4375</v>
      </c>
    </row>
    <row r="16" spans="1:8" x14ac:dyDescent="0.2">
      <c r="A16" s="9">
        <v>0.45833333333333398</v>
      </c>
    </row>
    <row r="17" spans="1:1" x14ac:dyDescent="0.2">
      <c r="A17" s="9">
        <v>0.47916666666666702</v>
      </c>
    </row>
    <row r="18" spans="1:1" x14ac:dyDescent="0.2">
      <c r="A18" s="9">
        <v>0.5</v>
      </c>
    </row>
    <row r="19" spans="1:1" x14ac:dyDescent="0.2">
      <c r="A19" s="9">
        <v>0.52083333333333404</v>
      </c>
    </row>
    <row r="20" spans="1:1" x14ac:dyDescent="0.2">
      <c r="A20" s="9">
        <v>0.54166666666666696</v>
      </c>
    </row>
    <row r="21" spans="1:1" x14ac:dyDescent="0.2">
      <c r="A21" s="9">
        <v>0.5625</v>
      </c>
    </row>
    <row r="22" spans="1:1" x14ac:dyDescent="0.2">
      <c r="A22" s="9">
        <v>0.58333333333333404</v>
      </c>
    </row>
    <row r="23" spans="1:1" x14ac:dyDescent="0.2">
      <c r="A23" s="9">
        <v>0.60416666666666696</v>
      </c>
    </row>
    <row r="24" spans="1:1" x14ac:dyDescent="0.2">
      <c r="A24" s="9">
        <v>0.625000000000001</v>
      </c>
    </row>
    <row r="25" spans="1:1" x14ac:dyDescent="0.2">
      <c r="A25" s="9">
        <v>0.64583333333333404</v>
      </c>
    </row>
    <row r="26" spans="1:1" x14ac:dyDescent="0.2">
      <c r="A26" s="9">
        <v>0.66666666666666696</v>
      </c>
    </row>
    <row r="27" spans="1:1" x14ac:dyDescent="0.2">
      <c r="A27" s="9">
        <v>0.687500000000001</v>
      </c>
    </row>
    <row r="28" spans="1:1" x14ac:dyDescent="0.2">
      <c r="A28" s="9">
        <v>0.70833333333333404</v>
      </c>
    </row>
    <row r="29" spans="1:1" x14ac:dyDescent="0.2">
      <c r="A29" s="9">
        <v>0.72916666666666696</v>
      </c>
    </row>
    <row r="30" spans="1:1" x14ac:dyDescent="0.2">
      <c r="A30" s="9">
        <v>0.750000000000001</v>
      </c>
    </row>
    <row r="31" spans="1:1" x14ac:dyDescent="0.2">
      <c r="A31" s="9">
        <v>0.77083333333333404</v>
      </c>
    </row>
    <row r="32" spans="1:1" x14ac:dyDescent="0.2">
      <c r="A32" s="9">
        <v>0.79166666666666696</v>
      </c>
    </row>
    <row r="33" spans="1:1" x14ac:dyDescent="0.2">
      <c r="A33" s="9">
        <v>0.812500000000001</v>
      </c>
    </row>
    <row r="34" spans="1:1" x14ac:dyDescent="0.2">
      <c r="A34" s="9">
        <v>0.83333333333333404</v>
      </c>
    </row>
    <row r="35" spans="1:1" x14ac:dyDescent="0.2">
      <c r="A35" s="9">
        <v>0.85416666666666696</v>
      </c>
    </row>
    <row r="36" spans="1:1" x14ac:dyDescent="0.2">
      <c r="A36" s="9">
        <v>0.875000000000001</v>
      </c>
    </row>
    <row r="37" spans="1:1" x14ac:dyDescent="0.2">
      <c r="A37" s="9">
        <v>0.89583333333333404</v>
      </c>
    </row>
    <row r="38" spans="1:1" x14ac:dyDescent="0.2">
      <c r="A38" s="9">
        <v>0.91666666666666696</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9">
        <v>0.16666666666666666</v>
      </c>
    </row>
    <row r="6" spans="1:8" x14ac:dyDescent="0.2">
      <c r="A6" s="9">
        <v>0.1875</v>
      </c>
    </row>
    <row r="7" spans="1:8" x14ac:dyDescent="0.2">
      <c r="A7" s="9">
        <v>0.20833333333333301</v>
      </c>
    </row>
    <row r="8" spans="1:8" x14ac:dyDescent="0.2">
      <c r="A8" s="9">
        <v>0.22916666666666699</v>
      </c>
    </row>
    <row r="9" spans="1:8" x14ac:dyDescent="0.2">
      <c r="A9" s="9">
        <v>0.25</v>
      </c>
    </row>
    <row r="10" spans="1:8" x14ac:dyDescent="0.2">
      <c r="A10" s="9">
        <v>0.27083333333333398</v>
      </c>
    </row>
    <row r="11" spans="1:8" x14ac:dyDescent="0.2">
      <c r="A11" s="9">
        <v>0.29166666666666702</v>
      </c>
    </row>
    <row r="12" spans="1:8" x14ac:dyDescent="0.2">
      <c r="A12" s="9">
        <v>0.3125</v>
      </c>
    </row>
    <row r="13" spans="1:8" x14ac:dyDescent="0.2">
      <c r="A13" s="9">
        <v>0.33333333333333398</v>
      </c>
    </row>
    <row r="14" spans="1:8" x14ac:dyDescent="0.2">
      <c r="A14" s="9">
        <v>0.35416666666666702</v>
      </c>
    </row>
    <row r="15" spans="1:8" x14ac:dyDescent="0.2">
      <c r="A15" s="9">
        <v>0.375</v>
      </c>
    </row>
    <row r="16" spans="1:8" x14ac:dyDescent="0.2">
      <c r="A16" s="9">
        <v>0.39583333333333398</v>
      </c>
    </row>
    <row r="17" spans="1:1" x14ac:dyDescent="0.2">
      <c r="A17" s="9">
        <v>0.41666666666666702</v>
      </c>
    </row>
    <row r="18" spans="1:1" x14ac:dyDescent="0.2">
      <c r="A18" s="9">
        <v>0.4375</v>
      </c>
    </row>
    <row r="19" spans="1:1" x14ac:dyDescent="0.2">
      <c r="A19" s="9">
        <v>0.45833333333333398</v>
      </c>
    </row>
    <row r="20" spans="1:1" x14ac:dyDescent="0.2">
      <c r="A20" s="9">
        <v>0.47916666666666702</v>
      </c>
    </row>
    <row r="21" spans="1:1" x14ac:dyDescent="0.2">
      <c r="A21" s="9">
        <v>0.5</v>
      </c>
    </row>
    <row r="22" spans="1:1" x14ac:dyDescent="0.2">
      <c r="A22" s="9">
        <v>0.52083333333333404</v>
      </c>
    </row>
    <row r="23" spans="1:1" x14ac:dyDescent="0.2">
      <c r="A23" s="9">
        <v>0.54166666666666696</v>
      </c>
    </row>
    <row r="24" spans="1:1" x14ac:dyDescent="0.2">
      <c r="A24" s="9">
        <v>0.5625</v>
      </c>
    </row>
    <row r="25" spans="1:1" x14ac:dyDescent="0.2">
      <c r="A25" s="9">
        <v>0.58333333333333404</v>
      </c>
    </row>
    <row r="26" spans="1:1" x14ac:dyDescent="0.2">
      <c r="A26" s="9">
        <v>0.60416666666666696</v>
      </c>
    </row>
    <row r="27" spans="1:1" x14ac:dyDescent="0.2">
      <c r="A27" s="9">
        <v>0.625000000000001</v>
      </c>
    </row>
    <row r="28" spans="1:1" x14ac:dyDescent="0.2">
      <c r="A28" s="9">
        <v>0.64583333333333404</v>
      </c>
    </row>
    <row r="29" spans="1:1" x14ac:dyDescent="0.2">
      <c r="A29" s="9">
        <v>0.66666666666666696</v>
      </c>
    </row>
    <row r="30" spans="1:1" x14ac:dyDescent="0.2">
      <c r="A30" s="9">
        <v>0.687500000000001</v>
      </c>
    </row>
    <row r="31" spans="1:1" x14ac:dyDescent="0.2">
      <c r="A31" s="9">
        <v>0.70833333333333404</v>
      </c>
    </row>
    <row r="32" spans="1:1" x14ac:dyDescent="0.2">
      <c r="A32" s="9">
        <v>0.72916666666666696</v>
      </c>
    </row>
    <row r="33" spans="1:1" x14ac:dyDescent="0.2">
      <c r="A33" s="9">
        <v>0.750000000000001</v>
      </c>
    </row>
    <row r="34" spans="1:1" x14ac:dyDescent="0.2">
      <c r="A34" s="9">
        <v>0.77083333333333404</v>
      </c>
    </row>
    <row r="35" spans="1:1" x14ac:dyDescent="0.2">
      <c r="A35" s="9">
        <v>0.79166666666666696</v>
      </c>
    </row>
    <row r="36" spans="1:1" x14ac:dyDescent="0.2">
      <c r="A36" s="9">
        <v>0.812500000000001</v>
      </c>
    </row>
    <row r="37" spans="1:1" x14ac:dyDescent="0.2">
      <c r="A37" s="9">
        <v>0.83333333333333404</v>
      </c>
    </row>
    <row r="38" spans="1:1" x14ac:dyDescent="0.2">
      <c r="A38" s="9">
        <v>0.85416666666666696</v>
      </c>
    </row>
    <row r="39" spans="1:1" x14ac:dyDescent="0.2">
      <c r="A39" s="9">
        <v>0.875000000000001</v>
      </c>
    </row>
    <row r="40" spans="1:1" x14ac:dyDescent="0.2">
      <c r="A40" s="9">
        <v>0.89583333333333404</v>
      </c>
    </row>
    <row r="41" spans="1:1" x14ac:dyDescent="0.2">
      <c r="A41" s="9">
        <v>0.91666666666666696</v>
      </c>
    </row>
    <row r="42" spans="1:1" x14ac:dyDescent="0.2">
      <c r="A42" s="9">
        <v>0.937500000000001</v>
      </c>
    </row>
    <row r="43" spans="1:1" x14ac:dyDescent="0.2">
      <c r="A43" s="9">
        <v>0.95833333333333404</v>
      </c>
    </row>
    <row r="44" spans="1:1" x14ac:dyDescent="0.2">
      <c r="A44" s="9">
        <v>0.97916666666666696</v>
      </c>
    </row>
    <row r="45" spans="1:1" x14ac:dyDescent="0.2">
      <c r="A45" s="9">
        <v>1</v>
      </c>
    </row>
    <row r="46" spans="1:1" x14ac:dyDescent="0.2">
      <c r="A46" s="9">
        <v>1.0208333333333299</v>
      </c>
    </row>
    <row r="47" spans="1:1" x14ac:dyDescent="0.2">
      <c r="A47" s="9">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2021-10-02T11:25:36Z</dcterms:modified>
</cp:coreProperties>
</file>