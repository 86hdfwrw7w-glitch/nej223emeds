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d.docs.live.net/0fc1bb492a05d204/Desktop/"/>
    </mc:Choice>
  </mc:AlternateContent>
  <xr:revisionPtr revIDLastSave="5222" documentId="8_{19E09706-D1DD-784A-ADF3-708E15C51F26}" xr6:coauthVersionLast="47" xr6:coauthVersionMax="47" xr10:uidLastSave="{9C933363-3CB7-4DB4-A3E4-4660F2FEEE51}"/>
  <bookViews>
    <workbookView xWindow="-108" yWindow="-108" windowWidth="23256" windowHeight="12456" firstSheet="1"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W15" i="7" l="1"/>
  <c r="BD15" i="7"/>
  <c r="BK15" i="7"/>
  <c r="N60" i="7"/>
  <c r="U60" i="7"/>
  <c r="U70" i="7"/>
  <c r="AB60" i="7"/>
  <c r="AB70" i="7"/>
  <c r="K74" i="7" a="1"/>
  <c r="K74" i="7" s="1"/>
  <c r="J74" i="7" a="1"/>
  <c r="J74" i="7" s="1"/>
  <c r="I74" i="7"/>
  <c r="K73" i="7" a="1"/>
  <c r="K73" i="7" s="1"/>
  <c r="J73" i="7" a="1"/>
  <c r="J73" i="7" s="1"/>
  <c r="I73" i="7"/>
  <c r="K72" i="7" a="1"/>
  <c r="K72" i="7" s="1"/>
  <c r="J72" i="7" a="1"/>
  <c r="J72" i="7" s="1"/>
  <c r="I72" i="7"/>
  <c r="K71" i="7" a="1"/>
  <c r="K71" i="7" s="1"/>
  <c r="J71" i="7" a="1"/>
  <c r="J71" i="7" s="1"/>
  <c r="I71" i="7"/>
  <c r="DO70" i="7"/>
  <c r="DH70" i="7"/>
  <c r="DA70" i="7"/>
  <c r="CT70" i="7"/>
  <c r="BY70" i="7"/>
  <c r="BR70" i="7"/>
  <c r="BK70" i="7"/>
  <c r="BD70" i="7"/>
  <c r="AW70" i="7"/>
  <c r="AP70" i="7"/>
  <c r="AI70"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DO60" i="7"/>
  <c r="DH60" i="7"/>
  <c r="DA60" i="7"/>
  <c r="CT60" i="7"/>
  <c r="BY60" i="7"/>
  <c r="BR60" i="7"/>
  <c r="BK60" i="7"/>
  <c r="BD60" i="7"/>
  <c r="AW60" i="7"/>
  <c r="AP60" i="7"/>
  <c r="AI60" i="7"/>
  <c r="I58" i="7"/>
  <c r="J58" i="7" a="1"/>
  <c r="J58" i="7" s="1"/>
  <c r="K58" i="7" a="1"/>
  <c r="K58" i="7" s="1"/>
  <c r="I70" i="7" l="1"/>
  <c r="J70" i="7"/>
  <c r="K70" i="7"/>
  <c r="I60" i="7"/>
  <c r="J60" i="7"/>
  <c r="K60" i="7"/>
  <c r="DO4" i="7"/>
  <c r="DH4" i="7"/>
  <c r="DA4" i="7"/>
  <c r="CT4" i="7"/>
  <c r="BR4" i="7"/>
  <c r="BK4" i="7"/>
  <c r="K25" i="7" l="1" a="1"/>
  <c r="K25" i="7" s="1"/>
  <c r="J25" i="7" a="1"/>
  <c r="J25" i="7" s="1"/>
  <c r="I25" i="7"/>
  <c r="K24" i="7" a="1"/>
  <c r="K24" i="7" s="1"/>
  <c r="J24" i="7" a="1"/>
  <c r="J24" i="7" s="1"/>
  <c r="I24" i="7"/>
  <c r="K23" i="7" a="1"/>
  <c r="K23" i="7" s="1"/>
  <c r="J23" i="7" a="1"/>
  <c r="J23" i="7" s="1"/>
  <c r="I23" i="7"/>
  <c r="K22" i="7" a="1"/>
  <c r="K22" i="7" s="1"/>
  <c r="J22" i="7" a="1"/>
  <c r="J22" i="7" s="1"/>
  <c r="I22" i="7"/>
  <c r="K18" i="7" a="1"/>
  <c r="K18" i="7" s="1"/>
  <c r="J18" i="7" a="1"/>
  <c r="J18" i="7" s="1"/>
  <c r="I18" i="7"/>
  <c r="K17" i="7" a="1"/>
  <c r="K17" i="7" s="1"/>
  <c r="J17" i="7" a="1"/>
  <c r="J17" i="7" s="1"/>
  <c r="I17" i="7"/>
  <c r="K57" i="7" l="1" a="1"/>
  <c r="K57" i="7" s="1"/>
  <c r="J57" i="7" a="1"/>
  <c r="J57" i="7" s="1"/>
  <c r="I57" i="7"/>
  <c r="K56" i="7" a="1"/>
  <c r="K56" i="7" s="1"/>
  <c r="J56" i="7" a="1"/>
  <c r="J56" i="7" s="1"/>
  <c r="I56" i="7"/>
  <c r="K55" i="7" a="1"/>
  <c r="K55" i="7" s="1"/>
  <c r="J55" i="7" a="1"/>
  <c r="J55" i="7" s="1"/>
  <c r="I55" i="7"/>
  <c r="K54" i="7" a="1"/>
  <c r="K54" i="7" s="1"/>
  <c r="J54" i="7" a="1"/>
  <c r="J54" i="7" s="1"/>
  <c r="I54" i="7"/>
  <c r="K53" i="7" a="1"/>
  <c r="K53" i="7" s="1"/>
  <c r="J53" i="7" a="1"/>
  <c r="J53" i="7" s="1"/>
  <c r="I53" i="7"/>
  <c r="AP52" i="7"/>
  <c r="AI52" i="7"/>
  <c r="AB52" i="7"/>
  <c r="U52" i="7"/>
  <c r="N52" i="7"/>
  <c r="G52"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AP45" i="7"/>
  <c r="AI45" i="7"/>
  <c r="AB45" i="7"/>
  <c r="U45" i="7"/>
  <c r="N45"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AP36" i="7"/>
  <c r="AI36" i="7"/>
  <c r="AB36" i="7"/>
  <c r="U36" i="7"/>
  <c r="N36" i="7"/>
  <c r="K26" i="7" a="1"/>
  <c r="K26" i="7" s="1"/>
  <c r="J26" i="7" a="1"/>
  <c r="J26" i="7" s="1"/>
  <c r="K21" i="7" a="1"/>
  <c r="K21" i="7" s="1"/>
  <c r="J21" i="7" a="1"/>
  <c r="J21" i="7" s="1"/>
  <c r="K20" i="7" a="1"/>
  <c r="K20" i="7" s="1"/>
  <c r="J20" i="7" a="1"/>
  <c r="J20" i="7" s="1"/>
  <c r="K19" i="7" a="1"/>
  <c r="K19" i="7" s="1"/>
  <c r="J19" i="7" a="1"/>
  <c r="J19" i="7" s="1"/>
  <c r="K16" i="7" a="1"/>
  <c r="K16" i="7" s="1"/>
  <c r="J16" i="7" a="1"/>
  <c r="J16"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5" i="7"/>
  <c r="AI15" i="7"/>
  <c r="AB15" i="7"/>
  <c r="U15" i="7"/>
  <c r="BD4" i="7"/>
  <c r="AW4" i="7"/>
  <c r="AP4" i="7"/>
  <c r="AI4" i="7"/>
  <c r="AB4" i="7"/>
  <c r="U4" i="7"/>
  <c r="N4" i="7"/>
  <c r="N15" i="7"/>
  <c r="AP28" i="7"/>
  <c r="AI28" i="7"/>
  <c r="AB28" i="7"/>
  <c r="U28" i="7"/>
  <c r="I34" i="7"/>
  <c r="I33" i="7"/>
  <c r="I32" i="7"/>
  <c r="I31" i="7"/>
  <c r="I30" i="7"/>
  <c r="I29" i="7"/>
  <c r="I26" i="7"/>
  <c r="I21" i="7"/>
  <c r="I20" i="7"/>
  <c r="I19" i="7"/>
  <c r="I16" i="7"/>
  <c r="I6" i="7"/>
  <c r="I7" i="7"/>
  <c r="I8" i="7"/>
  <c r="I9" i="7"/>
  <c r="I10" i="7"/>
  <c r="I11" i="7"/>
  <c r="I12" i="7"/>
  <c r="I13" i="7"/>
  <c r="I5" i="7"/>
  <c r="I52" i="7" l="1"/>
  <c r="J52" i="7"/>
  <c r="I45" i="7"/>
  <c r="K52" i="7"/>
  <c r="I36" i="7"/>
  <c r="K45" i="7"/>
  <c r="J45" i="7"/>
  <c r="J36" i="7"/>
  <c r="K36" i="7"/>
  <c r="I28" i="7"/>
  <c r="J28" i="7"/>
  <c r="K28" i="7"/>
  <c r="I15" i="7"/>
  <c r="J15" i="7"/>
  <c r="K15"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<sst xmlns="http://schemas.openxmlformats.org/spreadsheetml/2006/main" count="354" uniqueCount="129">
  <si>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</si>
  <si>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</si>
  <si>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</si>
  <si>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</si>
  <si>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</si>
  <si>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</si>
  <si>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</si>
  <si>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</si>
  <si>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</si>
  <si>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</si>
  <si>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</si>
  <si>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</si>
  <si>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</si>
  <si>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</si>
  <si>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</si>
  <si>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</si>
  <si>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</si>
  <si>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</si>
  <si>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</si>
  <si>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</si>
  <si>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</si>
  <si>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</si>
  <si>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</si>
  <si>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</si>
  <si>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</si>
  <si>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</si>
  <si>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</si>
  <si>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</si>
  <si>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</si>
  <si>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</si>
  <si>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</si>
  <si>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</si>
  <si>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</si>
  <si>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</si>
  <si>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</si>
  <si>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</si>
  <si>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</si>
  <si>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</si>
  <si>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</si>
  <si>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</si>
  <si>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</si>
  <si>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</si>
  <si>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</si>
  <si>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</si>
  <si>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</si>
  <si>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</si>
  <si>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</si>
  <si>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</si>
  <si>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</si>
  <si>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</si>
  <si>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Öffentliches Recht</t>
  </si>
  <si>
    <t>Öff. Recht</t>
  </si>
  <si>
    <t>2) Verfassungsrecht</t>
  </si>
  <si>
    <t>3) Europäisches Recht</t>
  </si>
  <si>
    <t>4) Völkerrecht (Wirtschaftsvölkerrecht - Exkurs)</t>
  </si>
  <si>
    <t>5) Allgemeines Verwaltungsrecht</t>
  </si>
  <si>
    <t>6) Verwaltungsrechtsschutz</t>
  </si>
  <si>
    <t>7) Besonderes Verwaltungsrecht</t>
  </si>
  <si>
    <t xml:space="preserve">8) Staatshaftung </t>
  </si>
  <si>
    <t>9) Fallbearbeitung/Klausurbearbeitung im Öffentlichen Recht</t>
  </si>
  <si>
    <t>1) Einführung und Grundbegriffe</t>
  </si>
  <si>
    <t xml:space="preserve">2) Globalisierung </t>
  </si>
  <si>
    <t xml:space="preserve">3) Rechtsformen und Unternehmensverfassung </t>
  </si>
  <si>
    <t>4) Unternehmensplanung und -kontrolle</t>
  </si>
  <si>
    <t xml:space="preserve">5) Unternehmensorganisation </t>
  </si>
  <si>
    <t xml:space="preserve">6) Arbeitszeit, Mitbestimmung und Personalführung </t>
  </si>
  <si>
    <t>7) Personalplanung</t>
  </si>
  <si>
    <t xml:space="preserve">8) Produktionswirtschaft </t>
  </si>
  <si>
    <t>9) Externes Rechnungswesen</t>
  </si>
  <si>
    <t>10) Der handelsrechtliche Einzelsabschluss</t>
  </si>
  <si>
    <t xml:space="preserve">11) Marketing + Finanzierung </t>
  </si>
  <si>
    <t>BWL</t>
  </si>
  <si>
    <t>VWL</t>
  </si>
  <si>
    <t>2) Mikroökonomie</t>
  </si>
  <si>
    <t>3) Volkswirtschaftliche Gesamtrechnung</t>
  </si>
  <si>
    <t>4) Geld und Währung</t>
  </si>
  <si>
    <t xml:space="preserve">5) Makroökonomie </t>
  </si>
  <si>
    <t>6) Konjunktur und Wachstum</t>
  </si>
  <si>
    <t>TdR</t>
  </si>
  <si>
    <t>1) Einführung in das betriebliche Rechnungswesen</t>
  </si>
  <si>
    <t xml:space="preserve">2) Grundlagen der Buchführung </t>
  </si>
  <si>
    <t>3) Die Buchung auf Bestandskonton</t>
  </si>
  <si>
    <t>4) Das Buchen auf Erfolgskosten</t>
  </si>
  <si>
    <t>5) Laufende Buchungen im Handelsbetrieb</t>
  </si>
  <si>
    <t>6) Die elementaren Buchungen im Personalbereich</t>
  </si>
  <si>
    <t>7) Laufende Buchungen von Industriebetrieben</t>
  </si>
  <si>
    <t>Mathe</t>
  </si>
  <si>
    <t>1) Einleitung und mathematische Grundlagen</t>
  </si>
  <si>
    <t>2) Grenzwerte</t>
  </si>
  <si>
    <t>3) Funktion in einer Variablen</t>
  </si>
  <si>
    <t>4) Differentialrechnung</t>
  </si>
  <si>
    <t>5) Integralrechnung in einer Variablen</t>
  </si>
  <si>
    <t>Wirtschaftsinformatik</t>
  </si>
  <si>
    <t>1) Digitale Transformation 1-2</t>
  </si>
  <si>
    <t>2) Informationsmanagement 1-3</t>
  </si>
  <si>
    <t>3) Enterprise Resource Planning 1-2</t>
  </si>
  <si>
    <t>4) Business Intelligence</t>
  </si>
  <si>
    <t>5) Electric Business 1-2</t>
  </si>
  <si>
    <t>6) Anwendungssystementwicklung 1-2</t>
  </si>
  <si>
    <t>Informatik</t>
  </si>
  <si>
    <t>Anwendungsprogrammierung</t>
  </si>
  <si>
    <t>KW 43</t>
  </si>
  <si>
    <t>KW 44</t>
  </si>
  <si>
    <t>KW 45</t>
  </si>
  <si>
    <t>KW 46</t>
  </si>
  <si>
    <t>KW 47</t>
  </si>
  <si>
    <t>KW 48</t>
  </si>
  <si>
    <t>KW 49</t>
  </si>
  <si>
    <t>KW 50</t>
  </si>
  <si>
    <t>KW 51</t>
  </si>
  <si>
    <t>KW 52</t>
  </si>
  <si>
    <t>KW 01</t>
  </si>
  <si>
    <t>KW 02</t>
  </si>
  <si>
    <t>KW 03</t>
  </si>
  <si>
    <t>KW 04</t>
  </si>
  <si>
    <t>KW 05</t>
  </si>
  <si>
    <t>KLAUSUREN!!!</t>
  </si>
  <si>
    <t>1) Hardware</t>
  </si>
  <si>
    <t>2) Software</t>
  </si>
  <si>
    <t>3) Information</t>
  </si>
  <si>
    <t>4) Applications of Information Theory</t>
  </si>
  <si>
    <t>7) Science</t>
  </si>
  <si>
    <t xml:space="preserve">5) Software Engineering </t>
  </si>
  <si>
    <t xml:space="preserve">6) Internet </t>
  </si>
  <si>
    <t>8) Trends</t>
  </si>
  <si>
    <t>1) Data Value</t>
  </si>
  <si>
    <t>2) Grundlagen</t>
  </si>
  <si>
    <t>3) Modellierung</t>
  </si>
  <si>
    <t>4) Datenbankabfragen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</si>
</sst>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0" fillId="0" borderId="0" xfId="0" applyNumberFormat="1"/>
    <xf numFmtId="0" fontId="1" fillId="2" borderId="0" xfId="0" applyFont="1" applyFill="1" applyAlignment="1">
      <alignment horizontal="center"/>
    </xf>
  </cellXfs>
  <cellStyles count="1">
    <cellStyle name="Standard" xfId="0" builtinId="0"/>
  </cellStyles>
  <dxfs count="349">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122" totalsRowShown="0" headerRowDxfId="348">
  <autoFilter ref="A1:K122" xr:uid="{6E266E34-2786-2747-BCE7-51B74867A564}"/>
  <tableColumns count="11">
    <tableColumn id="1" xr3:uid="{95FD92F7-3DC8-704D-A103-A7EDDAB255AB}" name="Datum" dataDxfId="347"/>
    <tableColumn id="2" xr3:uid="{F464D510-8166-E740-A343-FB84BDEF877F}" name="Lerneinheiten durchgezogen" dataDxfId="346"/>
    <tableColumn id="3" xr3:uid="{75F52B08-1A00-0848-BBE6-1EDF7B31B1AD}" name="Tagesplan erstellt" dataDxfId="345"/>
    <tableColumn id="4" xr3:uid="{E6B18D89-E799-AD48-9DAA-37AEE1D29011}" name="Konzentrationslevel" dataDxfId="34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5" zoomScale="70" zoomScaleNormal="70" workbookViewId="0">
      <selection activeCell="B14" sqref="B14"/>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36</v>
      </c>
    </row>
    <row r="12" spans="2:2">
      <c r="B12" s="3" t="s">
        <v>17</v>
      </c>
    </row>
    <row r="13" spans="2:2" ht="140.4">
      <c r="B13" s="1" t="s">
        <v>18</v>
      </c>
    </row>
    <row r="15" spans="2:2">
      <c r="B15" s="3" t="s">
        <v>19</v>
      </c>
    </row>
    <row r="16" spans="2:2" ht="109.2">
      <c r="B16" s="1" t="s">
        <v>20</v>
      </c>
    </row>
    <row r="17" spans="2:2">
      <c r="B17" s="1"/>
    </row>
    <row r="18" spans="2:2">
      <c r="B18" s="3" t="s">
        <v>35</v>
      </c>
    </row>
    <row r="19" spans="2:2" ht="140.4">
      <c r="B19" s="1" t="s">
        <v>37</v>
      </c>
    </row>
    <row r="21" spans="2:2">
      <c r="B21" s="3" t="s">
        <v>21</v>
      </c>
    </row>
    <row r="22" spans="2:2" ht="124.8">
      <c r="B22" s="1" t="s">
        <v>38</v>
      </c>
    </row>
    <row r="24" spans="2:2">
      <c r="B24" s="3" t="s">
        <v>22</v>
      </c>
    </row>
    <row r="25" spans="2:2" ht="124.8">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75"/>
  <sheetViews>
    <sheetView showGridLines="0" tabSelected="1" zoomScale="55" zoomScaleNormal="55" workbookViewId="0">
      <pane xSplit="12" topLeftCell="BV1" activePane="topRight" state="frozen"/>
      <selection pane="topRight" activeCell="CF5" sqref="CF5"/>
    </sheetView>
  </sheetViews>
  <sheetFormatPr baseColWidth="10" defaultColWidth="8.796875" defaultRowHeight="15.6" outlineLevelRow="1"/>
  <cols>
    <col min="3" max="3" width="9.5" bestFit="1"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s>
  <sheetData>
    <row r="1" spans="2:124" ht="33.6">
      <c r="B1" s="5" t="s">
        <v>0</v>
      </c>
      <c r="D1" s="5"/>
      <c r="G1" s="15" t="s">
        <v>34</v>
      </c>
      <c r="I1" s="15" t="s">
        <v>34</v>
      </c>
      <c r="J1" s="15" t="s">
        <v>34</v>
      </c>
      <c r="K1" s="15" t="s">
        <v>34</v>
      </c>
    </row>
    <row r="2" spans="2:124">
      <c r="I2" s="20" t="s">
        <v>27</v>
      </c>
      <c r="J2" s="20"/>
      <c r="K2" s="20"/>
      <c r="L2" s="20"/>
      <c r="N2" s="20" t="s">
        <v>101</v>
      </c>
      <c r="O2" s="20"/>
      <c r="P2" s="20"/>
      <c r="Q2" s="20"/>
      <c r="R2" s="20"/>
      <c r="S2" s="20"/>
      <c r="U2" s="20" t="s">
        <v>102</v>
      </c>
      <c r="V2" s="20"/>
      <c r="W2" s="20"/>
      <c r="X2" s="20"/>
      <c r="Y2" s="20"/>
      <c r="Z2" s="20"/>
      <c r="AB2" s="20" t="s">
        <v>103</v>
      </c>
      <c r="AC2" s="20"/>
      <c r="AD2" s="20"/>
      <c r="AE2" s="20"/>
      <c r="AF2" s="20"/>
      <c r="AG2" s="20"/>
      <c r="AI2" s="20" t="s">
        <v>104</v>
      </c>
      <c r="AJ2" s="20"/>
      <c r="AK2" s="20"/>
      <c r="AL2" s="20"/>
      <c r="AM2" s="20"/>
      <c r="AN2" s="20"/>
      <c r="AP2" s="20" t="s">
        <v>105</v>
      </c>
      <c r="AQ2" s="20"/>
      <c r="AR2" s="20"/>
      <c r="AS2" s="20"/>
      <c r="AT2" s="20"/>
      <c r="AU2" s="20"/>
      <c r="AW2" s="20" t="s">
        <v>106</v>
      </c>
      <c r="AX2" s="20"/>
      <c r="AY2" s="20"/>
      <c r="AZ2" s="20"/>
      <c r="BA2" s="20"/>
      <c r="BB2" s="20"/>
      <c r="BD2" s="20" t="s">
        <v>107</v>
      </c>
      <c r="BE2" s="20"/>
      <c r="BF2" s="20"/>
      <c r="BG2" s="20"/>
      <c r="BH2" s="20"/>
      <c r="BI2" s="20"/>
      <c r="BK2" s="20" t="s">
        <v>108</v>
      </c>
      <c r="BL2" s="20"/>
      <c r="BM2" s="20"/>
      <c r="BN2" s="20"/>
      <c r="BO2" s="20"/>
      <c r="BP2" s="20"/>
      <c r="BR2" s="20" t="s">
        <v>109</v>
      </c>
      <c r="BS2" s="20"/>
      <c r="BT2" s="20"/>
      <c r="BU2" s="20"/>
      <c r="BV2" s="20"/>
      <c r="BW2" s="20"/>
      <c r="BY2" s="20" t="s">
        <v>110</v>
      </c>
      <c r="BZ2" s="20"/>
      <c r="CA2" s="20"/>
      <c r="CB2" s="20"/>
      <c r="CC2" s="20"/>
      <c r="CD2" s="20"/>
      <c r="CF2" s="20" t="s">
        <v>111</v>
      </c>
      <c r="CG2" s="20"/>
      <c r="CH2" s="20"/>
      <c r="CI2" s="20"/>
      <c r="CJ2" s="20"/>
      <c r="CK2" s="20"/>
      <c r="CM2" s="20" t="s">
        <v>112</v>
      </c>
      <c r="CN2" s="20"/>
      <c r="CO2" s="20"/>
      <c r="CP2" s="20"/>
      <c r="CQ2" s="20"/>
      <c r="CR2" s="20"/>
      <c r="CT2" s="20" t="s">
        <v>113</v>
      </c>
      <c r="CU2" s="20"/>
      <c r="CV2" s="20"/>
      <c r="CW2" s="20"/>
      <c r="CX2" s="20"/>
      <c r="CY2" s="20"/>
      <c r="DA2" s="20" t="s">
        <v>114</v>
      </c>
      <c r="DB2" s="20"/>
      <c r="DC2" s="20"/>
      <c r="DD2" s="20"/>
      <c r="DE2" s="20"/>
      <c r="DF2" s="20"/>
      <c r="DH2" s="20" t="s">
        <v>115</v>
      </c>
      <c r="DI2" s="20"/>
      <c r="DJ2" s="20"/>
      <c r="DK2" s="20"/>
      <c r="DL2" s="20"/>
      <c r="DM2" s="20"/>
      <c r="DO2" s="20" t="s">
        <v>116</v>
      </c>
      <c r="DP2" s="20"/>
      <c r="DQ2" s="20"/>
      <c r="DR2" s="20"/>
      <c r="DS2" s="20"/>
      <c r="DT2" s="20"/>
    </row>
    <row r="3" spans="2:124">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c r="DH3" s="6" t="s">
        <v>11</v>
      </c>
      <c r="DI3" s="6" t="s">
        <v>2</v>
      </c>
      <c r="DJ3" s="6" t="s">
        <v>33</v>
      </c>
      <c r="DK3" s="6" t="s">
        <v>3</v>
      </c>
      <c r="DL3" s="6" t="s">
        <v>33</v>
      </c>
      <c r="DM3" s="6" t="s">
        <v>12</v>
      </c>
      <c r="DO3" s="6" t="s">
        <v>11</v>
      </c>
      <c r="DP3" s="6" t="s">
        <v>2</v>
      </c>
      <c r="DQ3" s="6" t="s">
        <v>33</v>
      </c>
      <c r="DR3" s="6" t="s">
        <v>3</v>
      </c>
      <c r="DS3" s="6" t="s">
        <v>33</v>
      </c>
      <c r="DT3" s="6" t="s">
        <v>12</v>
      </c>
    </row>
    <row r="4" spans="2:124">
      <c r="B4" t="s">
        <v>27</v>
      </c>
      <c r="C4" t="s">
        <v>50</v>
      </c>
      <c r="D4" s="19">
        <v>44957</v>
      </c>
      <c r="E4" s="11">
        <v>2.5</v>
      </c>
      <c r="G4" s="12">
        <v>1</v>
      </c>
      <c r="I4" s="14">
        <f>+SUM(I5:I13)</f>
        <v>56</v>
      </c>
      <c r="J4" s="13">
        <f>+SUMPRODUCT(G5:G13,J5:J13)</f>
        <v>0</v>
      </c>
      <c r="K4" s="13">
        <f>+SUMPRODUCT(G5:G13,K5:K13)</f>
        <v>0</v>
      </c>
      <c r="L4" s="11"/>
      <c r="N4" s="14">
        <f>+SUM(N5:N13)</f>
        <v>4</v>
      </c>
      <c r="U4" s="14">
        <f>+SUM(U5:U13)</f>
        <v>4</v>
      </c>
      <c r="AB4" s="14">
        <f>+SUM(AB5:AB13)</f>
        <v>6</v>
      </c>
      <c r="AI4" s="14">
        <f>+SUM(AI5:AI13)</f>
        <v>6</v>
      </c>
      <c r="AP4" s="14">
        <f>+SUM(AP5:AP13)</f>
        <v>5</v>
      </c>
      <c r="AW4" s="14">
        <f>+SUM(AW5:AW13)</f>
        <v>4</v>
      </c>
      <c r="BD4" s="14">
        <f>+SUM(BD5:BD13)</f>
        <v>5</v>
      </c>
      <c r="BK4" s="14">
        <f>+SUM(BK5:BK13)</f>
        <v>4</v>
      </c>
      <c r="BR4" s="14">
        <f>+SUM(BR5:BR13)</f>
        <v>4</v>
      </c>
      <c r="BY4" s="14">
        <v>5</v>
      </c>
      <c r="CF4" s="14">
        <v>5</v>
      </c>
      <c r="CM4" s="14">
        <v>4</v>
      </c>
      <c r="CT4" s="14">
        <f>+SUM(CT5:CT13)</f>
        <v>0</v>
      </c>
      <c r="DA4" s="14">
        <f>+SUM(DA5:DA13)</f>
        <v>0</v>
      </c>
      <c r="DH4" s="14">
        <f>+SUM(DH5:DH13)</f>
        <v>0</v>
      </c>
      <c r="DO4" s="14">
        <f>+SUM(DO5:DO13)</f>
        <v>0</v>
      </c>
    </row>
    <row r="5" spans="2:124" outlineLevel="1">
      <c r="B5" t="s">
        <v>28</v>
      </c>
      <c r="C5" t="s">
        <v>51</v>
      </c>
      <c r="E5" s="11"/>
      <c r="F5" t="s">
        <v>30</v>
      </c>
      <c r="G5" s="12">
        <v>0.2</v>
      </c>
      <c r="I5" s="11">
        <f>+SUMIF($N$3:$ZZ$3,I$3,$N5:$ZZ5)</f>
        <v>7</v>
      </c>
      <c r="J5" s="13" cm="1">
        <f t="array" ref="J5">MAX(IF($N$3:$EH$3=$J$3,N5:EH5))</f>
        <v>0</v>
      </c>
      <c r="K5" s="13" cm="1">
        <f t="array" ref="K5">MAX(IF($N$3:$EH$3=$J$3,N5:EH5))</f>
        <v>0</v>
      </c>
      <c r="L5" s="11"/>
      <c r="N5">
        <v>2</v>
      </c>
      <c r="O5" s="12"/>
      <c r="P5" s="12">
        <v>0.5</v>
      </c>
      <c r="Q5" s="12"/>
      <c r="R5" s="12">
        <v>0.5</v>
      </c>
      <c r="V5" s="12"/>
      <c r="W5" s="12">
        <v>0.5</v>
      </c>
      <c r="X5" s="12"/>
      <c r="Y5" s="12">
        <v>0.5</v>
      </c>
      <c r="AB5">
        <v>2</v>
      </c>
      <c r="AC5" s="12"/>
      <c r="AD5" s="12">
        <v>0.8</v>
      </c>
      <c r="AE5" s="12"/>
      <c r="AF5" s="12">
        <v>0.8</v>
      </c>
      <c r="AJ5" s="12"/>
      <c r="AK5" s="12">
        <v>0.8</v>
      </c>
      <c r="AL5" s="12"/>
      <c r="AM5" s="12">
        <v>0.8</v>
      </c>
      <c r="AQ5" s="12"/>
      <c r="AR5" s="12">
        <v>0.8</v>
      </c>
      <c r="AS5" s="12"/>
      <c r="AT5" s="12">
        <v>0.8</v>
      </c>
      <c r="AX5" s="12"/>
      <c r="AY5" s="12">
        <v>0.8</v>
      </c>
      <c r="AZ5" s="12"/>
      <c r="BA5" s="12">
        <v>0.8</v>
      </c>
      <c r="BD5">
        <v>3</v>
      </c>
      <c r="BE5" s="12"/>
      <c r="BF5" s="12">
        <v>1</v>
      </c>
      <c r="BG5" s="12"/>
      <c r="BH5" s="12">
        <v>1</v>
      </c>
      <c r="BL5" s="12"/>
      <c r="BM5" s="12">
        <v>1</v>
      </c>
      <c r="BN5" s="12"/>
      <c r="BO5" s="12">
        <v>1</v>
      </c>
      <c r="BS5" s="12"/>
      <c r="BT5" s="12">
        <v>1</v>
      </c>
      <c r="BU5" s="12"/>
      <c r="BV5" s="12">
        <v>1</v>
      </c>
      <c r="BZ5" s="12"/>
      <c r="CA5" s="12">
        <v>1</v>
      </c>
      <c r="CB5" s="12"/>
      <c r="CC5" s="12">
        <v>1</v>
      </c>
      <c r="CG5" s="12"/>
      <c r="CH5" s="12">
        <v>1</v>
      </c>
      <c r="CI5" s="12"/>
      <c r="CJ5" s="12">
        <v>1</v>
      </c>
      <c r="CN5" s="12"/>
      <c r="CO5" s="12">
        <v>1</v>
      </c>
      <c r="CP5" s="12"/>
      <c r="CQ5" s="12">
        <v>1</v>
      </c>
      <c r="CU5" s="12"/>
      <c r="CV5" s="12"/>
      <c r="CW5" s="12"/>
      <c r="CX5" s="12"/>
      <c r="DB5" s="12"/>
      <c r="DC5" s="12"/>
      <c r="DD5" s="12"/>
      <c r="DE5" s="12"/>
      <c r="DI5" s="12"/>
      <c r="DJ5" s="12"/>
      <c r="DK5" s="12"/>
      <c r="DL5" s="12"/>
      <c r="DP5" s="12"/>
      <c r="DQ5" s="12"/>
      <c r="DR5" s="12"/>
      <c r="DS5" s="12"/>
    </row>
    <row r="6" spans="2:124" outlineLevel="1">
      <c r="B6" t="s">
        <v>28</v>
      </c>
      <c r="C6" t="s">
        <v>51</v>
      </c>
      <c r="E6" s="11"/>
      <c r="F6" t="s">
        <v>52</v>
      </c>
      <c r="G6" s="12">
        <v>0.2</v>
      </c>
      <c r="I6" s="11">
        <f t="shared" ref="I6:I13" si="0">+SUMIF($N$3:$ZZ$3,I$3,$N6:$ZZ6)</f>
        <v>10</v>
      </c>
      <c r="J6" s="13" cm="1">
        <f t="array" ref="J6">MAX(IF($N$3:$EH$3=$J$3,N6:EH6))</f>
        <v>0</v>
      </c>
      <c r="K6" s="13" cm="1">
        <f t="array" ref="K6">MAX(IF($N$3:$EH$3=$J$3,N6:EH6))</f>
        <v>0</v>
      </c>
      <c r="L6" s="11"/>
      <c r="N6">
        <v>2</v>
      </c>
      <c r="O6" s="12"/>
      <c r="P6" s="12">
        <v>0.5</v>
      </c>
      <c r="Q6" s="12"/>
      <c r="R6" s="12">
        <v>0.5</v>
      </c>
      <c r="V6" s="12"/>
      <c r="W6" s="12">
        <v>0.5</v>
      </c>
      <c r="X6" s="12"/>
      <c r="Y6" s="12">
        <v>0.5</v>
      </c>
      <c r="AC6" s="12"/>
      <c r="AD6" s="12">
        <v>0.5</v>
      </c>
      <c r="AE6" s="12"/>
      <c r="AF6" s="12">
        <v>0.5</v>
      </c>
      <c r="AI6">
        <v>2</v>
      </c>
      <c r="AJ6" s="12"/>
      <c r="AK6" s="12">
        <v>0.8</v>
      </c>
      <c r="AL6" s="12"/>
      <c r="AM6" s="12">
        <v>0.8</v>
      </c>
      <c r="AP6">
        <v>3</v>
      </c>
      <c r="AQ6" s="12"/>
      <c r="AR6" s="12">
        <v>0.8</v>
      </c>
      <c r="AS6" s="12"/>
      <c r="AT6" s="12">
        <v>0.8</v>
      </c>
      <c r="AX6" s="12"/>
      <c r="AY6" s="12">
        <v>0.8</v>
      </c>
      <c r="AZ6" s="12"/>
      <c r="BA6" s="12">
        <v>0.8</v>
      </c>
      <c r="BE6" s="12"/>
      <c r="BF6" s="12">
        <v>0.8</v>
      </c>
      <c r="BG6" s="12"/>
      <c r="BH6" s="12">
        <v>0.8</v>
      </c>
      <c r="BK6">
        <v>3</v>
      </c>
      <c r="BL6" s="12"/>
      <c r="BM6" s="12">
        <v>1</v>
      </c>
      <c r="BN6" s="12"/>
      <c r="BO6" s="12">
        <v>1</v>
      </c>
      <c r="BS6" s="12"/>
      <c r="BT6" s="12">
        <v>1</v>
      </c>
      <c r="BU6" s="12"/>
      <c r="BV6" s="12">
        <v>1</v>
      </c>
      <c r="BZ6" s="12"/>
      <c r="CA6" s="12">
        <v>1</v>
      </c>
      <c r="CB6" s="12"/>
      <c r="CC6" s="12">
        <v>1</v>
      </c>
      <c r="CG6" s="12"/>
      <c r="CH6" s="12">
        <v>1</v>
      </c>
      <c r="CI6" s="12"/>
      <c r="CJ6" s="12">
        <v>1</v>
      </c>
      <c r="CN6" s="12"/>
      <c r="CO6" s="12">
        <v>1</v>
      </c>
      <c r="CP6" s="12"/>
      <c r="CQ6" s="12">
        <v>1</v>
      </c>
      <c r="CU6" s="12"/>
      <c r="CV6" s="12"/>
      <c r="CW6" s="12"/>
      <c r="CX6" s="12"/>
      <c r="DB6" s="12"/>
      <c r="DC6" s="12"/>
      <c r="DD6" s="12"/>
      <c r="DE6" s="12"/>
      <c r="DI6" s="12"/>
      <c r="DJ6" s="12"/>
      <c r="DK6" s="12"/>
      <c r="DL6" s="12"/>
      <c r="DP6" s="12"/>
      <c r="DQ6" s="12"/>
      <c r="DR6" s="12"/>
      <c r="DS6" s="12"/>
    </row>
    <row r="7" spans="2:124" outlineLevel="1">
      <c r="B7" t="s">
        <v>28</v>
      </c>
      <c r="C7" t="s">
        <v>51</v>
      </c>
      <c r="E7" s="11"/>
      <c r="F7" t="s">
        <v>53</v>
      </c>
      <c r="G7" s="12">
        <v>0.15</v>
      </c>
      <c r="I7" s="11">
        <f t="shared" si="0"/>
        <v>7</v>
      </c>
      <c r="J7" s="13" cm="1">
        <f t="array" ref="J7">MAX(IF($N$3:$EH$3=$J$3,N7:EH7))</f>
        <v>0</v>
      </c>
      <c r="K7" s="13" cm="1">
        <f t="array" ref="K7">MAX(IF($N$3:$EH$3=$J$3,N7:EH7))</f>
        <v>0</v>
      </c>
      <c r="L7" s="11"/>
      <c r="O7" s="12"/>
      <c r="P7" s="12"/>
      <c r="Q7" s="12"/>
      <c r="R7" s="12"/>
      <c r="U7">
        <v>2</v>
      </c>
      <c r="V7" s="12"/>
      <c r="W7" s="12">
        <v>0.5</v>
      </c>
      <c r="X7" s="12"/>
      <c r="Y7" s="12">
        <v>0.5</v>
      </c>
      <c r="AC7" s="12"/>
      <c r="AD7" s="12">
        <v>0.5</v>
      </c>
      <c r="AE7" s="12"/>
      <c r="AF7" s="12">
        <v>0.5</v>
      </c>
      <c r="AJ7" s="12"/>
      <c r="AK7" s="12">
        <v>0.5</v>
      </c>
      <c r="AL7" s="12"/>
      <c r="AM7" s="12">
        <v>0.5</v>
      </c>
      <c r="AQ7" s="12"/>
      <c r="AR7" s="12">
        <v>0.5</v>
      </c>
      <c r="AS7" s="12"/>
      <c r="AT7" s="12">
        <v>0.5</v>
      </c>
      <c r="AW7">
        <v>2</v>
      </c>
      <c r="AX7" s="12"/>
      <c r="AY7" s="12">
        <v>0.8</v>
      </c>
      <c r="AZ7" s="12"/>
      <c r="BA7" s="12">
        <v>0.8</v>
      </c>
      <c r="BE7" s="12"/>
      <c r="BF7" s="12">
        <v>0.8</v>
      </c>
      <c r="BG7" s="12"/>
      <c r="BH7" s="12">
        <v>0.8</v>
      </c>
      <c r="BL7" s="12"/>
      <c r="BM7" s="12">
        <v>0.8</v>
      </c>
      <c r="BN7" s="12"/>
      <c r="BO7" s="12">
        <v>0.8</v>
      </c>
      <c r="BR7">
        <v>3</v>
      </c>
      <c r="BS7" s="12"/>
      <c r="BT7" s="12">
        <v>1</v>
      </c>
      <c r="BU7" s="12"/>
      <c r="BV7" s="12">
        <v>1</v>
      </c>
      <c r="BZ7" s="12"/>
      <c r="CA7" s="12">
        <v>1</v>
      </c>
      <c r="CB7" s="12"/>
      <c r="CC7" s="12">
        <v>1</v>
      </c>
      <c r="CG7" s="12"/>
      <c r="CH7" s="12">
        <v>1</v>
      </c>
      <c r="CI7" s="12"/>
      <c r="CJ7" s="12">
        <v>1</v>
      </c>
      <c r="CN7" s="12"/>
      <c r="CO7" s="12">
        <v>1</v>
      </c>
      <c r="CP7" s="12"/>
      <c r="CQ7" s="12">
        <v>1</v>
      </c>
      <c r="CU7" s="12"/>
      <c r="CV7" s="12"/>
      <c r="CW7" s="12"/>
      <c r="CX7" s="12"/>
      <c r="DB7" s="12"/>
      <c r="DC7" s="12"/>
      <c r="DD7" s="12"/>
      <c r="DE7" s="12"/>
      <c r="DI7" s="12"/>
      <c r="DJ7" s="12"/>
      <c r="DK7" s="12"/>
      <c r="DL7" s="12"/>
      <c r="DP7" s="12"/>
      <c r="DQ7" s="12"/>
      <c r="DR7" s="12"/>
      <c r="DS7" s="12"/>
    </row>
    <row r="8" spans="2:124" outlineLevel="1">
      <c r="B8" t="s">
        <v>28</v>
      </c>
      <c r="C8" t="s">
        <v>51</v>
      </c>
      <c r="E8" s="11"/>
      <c r="F8" t="s">
        <v>54</v>
      </c>
      <c r="G8" s="12">
        <v>0.15</v>
      </c>
      <c r="I8" s="11">
        <f t="shared" si="0"/>
        <v>7</v>
      </c>
      <c r="J8" s="13" cm="1">
        <f t="array" ref="J8">MAX(IF($N$3:$EH$3=$J$3,N8:EH8))</f>
        <v>0</v>
      </c>
      <c r="K8" s="13" cm="1">
        <f t="array" ref="K8">MAX(IF($N$3:$EH$3=$J$3,N8:EH8))</f>
        <v>0</v>
      </c>
      <c r="L8" s="11"/>
      <c r="O8" s="12"/>
      <c r="P8" s="12"/>
      <c r="Q8" s="12"/>
      <c r="R8" s="12"/>
      <c r="U8">
        <v>2</v>
      </c>
      <c r="V8" s="12"/>
      <c r="W8" s="12">
        <v>0.5</v>
      </c>
      <c r="X8" s="12"/>
      <c r="Y8" s="12">
        <v>0.5</v>
      </c>
      <c r="AC8" s="12"/>
      <c r="AD8" s="12">
        <v>0.5</v>
      </c>
      <c r="AE8" s="12"/>
      <c r="AF8" s="12">
        <v>0.5</v>
      </c>
      <c r="AJ8" s="12"/>
      <c r="AK8" s="12">
        <v>0.5</v>
      </c>
      <c r="AL8" s="12"/>
      <c r="AM8" s="12">
        <v>0.5</v>
      </c>
      <c r="AQ8" s="12"/>
      <c r="AR8" s="12">
        <v>0.5</v>
      </c>
      <c r="AS8" s="12"/>
      <c r="AT8" s="12">
        <v>0.5</v>
      </c>
      <c r="AW8">
        <v>2</v>
      </c>
      <c r="AX8" s="12"/>
      <c r="AY8" s="12">
        <v>0.8</v>
      </c>
      <c r="AZ8" s="12"/>
      <c r="BA8" s="12">
        <v>0.8</v>
      </c>
      <c r="BE8" s="12"/>
      <c r="BF8" s="12">
        <v>0.8</v>
      </c>
      <c r="BG8" s="12"/>
      <c r="BH8" s="12">
        <v>0.8</v>
      </c>
      <c r="BL8" s="12"/>
      <c r="BM8" s="12">
        <v>0.8</v>
      </c>
      <c r="BN8" s="12"/>
      <c r="BO8" s="12">
        <v>0.8</v>
      </c>
      <c r="BS8" s="12"/>
      <c r="BT8" s="12">
        <v>0.8</v>
      </c>
      <c r="BU8" s="12"/>
      <c r="BV8" s="12">
        <v>0.8</v>
      </c>
      <c r="BY8">
        <v>3</v>
      </c>
      <c r="BZ8" s="12"/>
      <c r="CA8" s="12">
        <v>1</v>
      </c>
      <c r="CB8" s="12"/>
      <c r="CC8" s="12">
        <v>1</v>
      </c>
      <c r="CG8" s="12"/>
      <c r="CH8" s="12">
        <v>1</v>
      </c>
      <c r="CI8" s="12"/>
      <c r="CJ8" s="12">
        <v>1</v>
      </c>
      <c r="CN8" s="12"/>
      <c r="CO8" s="12">
        <v>1</v>
      </c>
      <c r="CP8" s="12"/>
      <c r="CQ8" s="12">
        <v>1</v>
      </c>
      <c r="CU8" s="12"/>
      <c r="CV8" s="12"/>
      <c r="CW8" s="12"/>
      <c r="CX8" s="12"/>
      <c r="DB8" s="12"/>
      <c r="DC8" s="12"/>
      <c r="DD8" s="12"/>
      <c r="DE8" s="12"/>
      <c r="DI8" s="12"/>
      <c r="DJ8" s="12"/>
      <c r="DK8" s="12"/>
      <c r="DL8" s="12"/>
      <c r="DP8" s="12"/>
      <c r="DQ8" s="12"/>
      <c r="DR8" s="12"/>
      <c r="DS8" s="12"/>
    </row>
    <row r="9" spans="2:124" outlineLevel="1">
      <c r="B9" t="s">
        <v>28</v>
      </c>
      <c r="C9" t="s">
        <v>51</v>
      </c>
      <c r="E9" s="11"/>
      <c r="F9" t="s">
        <v>55</v>
      </c>
      <c r="G9" s="12">
        <v>0.1</v>
      </c>
      <c r="I9" s="11">
        <f t="shared" si="0"/>
        <v>7</v>
      </c>
      <c r="J9" s="13" cm="1">
        <f t="array" ref="J9">MAX(IF($N$3:$EH$3=$J$3,N9:EH9))</f>
        <v>0</v>
      </c>
      <c r="K9" s="13" cm="1">
        <f t="array" ref="K9">MAX(IF($N$3:$EH$3=$J$3,N9:EH9))</f>
        <v>0</v>
      </c>
      <c r="L9" s="11"/>
      <c r="O9" s="12"/>
      <c r="P9" s="12"/>
      <c r="Q9" s="12"/>
      <c r="R9" s="12"/>
      <c r="V9" s="12"/>
      <c r="W9" s="12"/>
      <c r="X9" s="12"/>
      <c r="Y9" s="12"/>
      <c r="AB9">
        <v>2</v>
      </c>
      <c r="AC9" s="12"/>
      <c r="AD9" s="12">
        <v>0.5</v>
      </c>
      <c r="AE9" s="12"/>
      <c r="AF9" s="12">
        <v>0.5</v>
      </c>
      <c r="AJ9" s="12"/>
      <c r="AK9" s="12">
        <v>0.5</v>
      </c>
      <c r="AL9" s="12"/>
      <c r="AM9" s="12">
        <v>0.5</v>
      </c>
      <c r="AQ9" s="12"/>
      <c r="AR9" s="12">
        <v>0.5</v>
      </c>
      <c r="AS9" s="12"/>
      <c r="AT9" s="12">
        <v>0.5</v>
      </c>
      <c r="AX9" s="12"/>
      <c r="AY9" s="12">
        <v>0.5</v>
      </c>
      <c r="AZ9" s="12"/>
      <c r="BA9" s="12">
        <v>0.5</v>
      </c>
      <c r="BD9">
        <v>2</v>
      </c>
      <c r="BE9" s="12"/>
      <c r="BF9" s="12">
        <v>0.8</v>
      </c>
      <c r="BG9" s="12"/>
      <c r="BH9" s="12">
        <v>0.8</v>
      </c>
      <c r="BL9" s="12"/>
      <c r="BM9" s="12">
        <v>0.8</v>
      </c>
      <c r="BN9" s="12"/>
      <c r="BO9" s="12">
        <v>0.8</v>
      </c>
      <c r="BS9" s="12"/>
      <c r="BT9" s="12">
        <v>0.8</v>
      </c>
      <c r="BU9" s="12"/>
      <c r="BV9" s="12">
        <v>0.8</v>
      </c>
      <c r="BZ9" s="12"/>
      <c r="CA9" s="12">
        <v>0.8</v>
      </c>
      <c r="CB9" s="12"/>
      <c r="CC9" s="12">
        <v>0.8</v>
      </c>
      <c r="CF9">
        <v>3</v>
      </c>
      <c r="CG9" s="12"/>
      <c r="CH9" s="12">
        <v>1</v>
      </c>
      <c r="CI9" s="12"/>
      <c r="CJ9" s="12">
        <v>1</v>
      </c>
      <c r="CN9" s="12"/>
      <c r="CO9" s="12">
        <v>1</v>
      </c>
      <c r="CP9" s="12"/>
      <c r="CQ9" s="12">
        <v>1</v>
      </c>
      <c r="CU9" s="12"/>
      <c r="CV9" s="12"/>
      <c r="CW9" s="12"/>
      <c r="CX9" s="12"/>
      <c r="DB9" s="12"/>
      <c r="DC9" s="12"/>
      <c r="DD9" s="12"/>
      <c r="DE9" s="12"/>
      <c r="DI9" s="12"/>
      <c r="DJ9" s="12"/>
      <c r="DK9" s="12"/>
      <c r="DL9" s="12"/>
      <c r="DP9" s="12"/>
      <c r="DQ9" s="12"/>
      <c r="DR9" s="12"/>
      <c r="DS9" s="12"/>
    </row>
    <row r="10" spans="2:124" outlineLevel="1">
      <c r="B10" t="s">
        <v>28</v>
      </c>
      <c r="C10" t="s">
        <v>51</v>
      </c>
      <c r="E10" s="11"/>
      <c r="F10" t="s">
        <v>56</v>
      </c>
      <c r="G10" s="12">
        <v>0.05</v>
      </c>
      <c r="I10" s="11">
        <f t="shared" si="0"/>
        <v>4</v>
      </c>
      <c r="J10" s="13" cm="1">
        <f t="array" ref="J10">MAX(IF($N$3:$EH$3=$J$3,N10:EH10))</f>
        <v>0</v>
      </c>
      <c r="K10" s="13" cm="1">
        <f t="array" ref="K10">MAX(IF($N$3:$EH$3=$J$3,N10:EH10))</f>
        <v>0</v>
      </c>
      <c r="L10" s="11"/>
      <c r="O10" s="12"/>
      <c r="P10" s="12"/>
      <c r="Q10" s="12"/>
      <c r="R10" s="12"/>
      <c r="V10" s="12"/>
      <c r="W10" s="12"/>
      <c r="X10" s="12"/>
      <c r="Y10" s="12"/>
      <c r="AB10">
        <v>2</v>
      </c>
      <c r="AC10" s="12"/>
      <c r="AD10" s="12">
        <v>0.5</v>
      </c>
      <c r="AE10" s="12"/>
      <c r="AF10" s="12">
        <v>0.5</v>
      </c>
      <c r="AJ10" s="12"/>
      <c r="AK10" s="12">
        <v>0.5</v>
      </c>
      <c r="AL10" s="12"/>
      <c r="AM10" s="12">
        <v>0.5</v>
      </c>
      <c r="AQ10" s="12"/>
      <c r="AR10" s="12">
        <v>0.5</v>
      </c>
      <c r="AS10" s="12"/>
      <c r="AT10" s="12">
        <v>0.5</v>
      </c>
      <c r="AX10" s="12"/>
      <c r="AY10" s="12">
        <v>0.5</v>
      </c>
      <c r="AZ10" s="12"/>
      <c r="BA10" s="12">
        <v>0.5</v>
      </c>
      <c r="BE10" s="12"/>
      <c r="BF10" s="12">
        <v>0.5</v>
      </c>
      <c r="BG10" s="12"/>
      <c r="BH10" s="12">
        <v>0.5</v>
      </c>
      <c r="BK10">
        <v>1</v>
      </c>
      <c r="BL10" s="12"/>
      <c r="BM10" s="12">
        <v>0.8</v>
      </c>
      <c r="BN10" s="12"/>
      <c r="BO10" s="12">
        <v>0.8</v>
      </c>
      <c r="BS10" s="12"/>
      <c r="BT10" s="12">
        <v>0.8</v>
      </c>
      <c r="BU10" s="12"/>
      <c r="BV10" s="12">
        <v>0.8</v>
      </c>
      <c r="BZ10" s="12"/>
      <c r="CA10" s="12">
        <v>0.8</v>
      </c>
      <c r="CB10" s="12"/>
      <c r="CC10" s="12">
        <v>0.8</v>
      </c>
      <c r="CF10">
        <v>1</v>
      </c>
      <c r="CG10" s="12"/>
      <c r="CH10" s="12">
        <v>1</v>
      </c>
      <c r="CI10" s="12"/>
      <c r="CJ10" s="12">
        <v>1</v>
      </c>
      <c r="CN10" s="12"/>
      <c r="CO10" s="12">
        <v>1</v>
      </c>
      <c r="CP10" s="12"/>
      <c r="CQ10" s="12">
        <v>1</v>
      </c>
      <c r="CU10" s="12"/>
      <c r="CV10" s="12"/>
      <c r="CW10" s="12"/>
      <c r="CX10" s="12"/>
      <c r="DB10" s="12"/>
      <c r="DC10" s="12"/>
      <c r="DD10" s="12"/>
      <c r="DE10" s="12"/>
      <c r="DI10" s="12"/>
      <c r="DJ10" s="12"/>
      <c r="DK10" s="12"/>
      <c r="DL10" s="12"/>
      <c r="DP10" s="12"/>
      <c r="DQ10" s="12"/>
      <c r="DR10" s="12"/>
      <c r="DS10" s="12"/>
    </row>
    <row r="11" spans="2:124" outlineLevel="1">
      <c r="B11" t="s">
        <v>28</v>
      </c>
      <c r="C11" t="s">
        <v>51</v>
      </c>
      <c r="E11" s="11"/>
      <c r="F11" t="s">
        <v>57</v>
      </c>
      <c r="G11" s="12">
        <v>0.05</v>
      </c>
      <c r="I11" s="11">
        <f t="shared" si="0"/>
        <v>4</v>
      </c>
      <c r="J11" s="13" cm="1">
        <f t="array" ref="J11">MAX(IF($N$3:$EH$3=$J$3,N11:EH11))</f>
        <v>0</v>
      </c>
      <c r="K11" s="13" cm="1">
        <f t="array" ref="K11">MAX(IF($N$3:$EH$3=$J$3,N11:EH11))</f>
        <v>0</v>
      </c>
      <c r="L11" s="11"/>
      <c r="O11" s="12"/>
      <c r="P11" s="12"/>
      <c r="Q11" s="12"/>
      <c r="R11" s="12"/>
      <c r="V11" s="12"/>
      <c r="W11" s="12"/>
      <c r="X11" s="12"/>
      <c r="Y11" s="12"/>
      <c r="AC11" s="12"/>
      <c r="AD11" s="12"/>
      <c r="AE11" s="12"/>
      <c r="AF11" s="12"/>
      <c r="AI11">
        <v>2</v>
      </c>
      <c r="AJ11" s="12"/>
      <c r="AK11" s="12">
        <v>0.5</v>
      </c>
      <c r="AL11" s="12"/>
      <c r="AM11" s="12">
        <v>0.5</v>
      </c>
      <c r="AQ11" s="12"/>
      <c r="AR11" s="12">
        <v>0.5</v>
      </c>
      <c r="AS11" s="12"/>
      <c r="AT11" s="12">
        <v>0.5</v>
      </c>
      <c r="AX11" s="12"/>
      <c r="AY11" s="12">
        <v>0.5</v>
      </c>
      <c r="AZ11" s="12"/>
      <c r="BA11" s="12">
        <v>0.5</v>
      </c>
      <c r="BE11" s="12"/>
      <c r="BF11" s="12">
        <v>0.5</v>
      </c>
      <c r="BG11" s="12"/>
      <c r="BH11" s="12">
        <v>0.5</v>
      </c>
      <c r="BL11" s="12"/>
      <c r="BM11" s="12">
        <v>0.5</v>
      </c>
      <c r="BN11" s="12"/>
      <c r="BO11" s="12">
        <v>0.5</v>
      </c>
      <c r="BR11">
        <v>1</v>
      </c>
      <c r="BS11" s="12"/>
      <c r="BT11" s="12">
        <v>0.8</v>
      </c>
      <c r="BU11" s="12"/>
      <c r="BV11" s="12">
        <v>0.8</v>
      </c>
      <c r="BZ11" s="12"/>
      <c r="CA11" s="12">
        <v>0.8</v>
      </c>
      <c r="CB11" s="12"/>
      <c r="CC11" s="12">
        <v>0.8</v>
      </c>
      <c r="CF11">
        <v>1</v>
      </c>
      <c r="CG11" s="12"/>
      <c r="CH11" s="12">
        <v>1</v>
      </c>
      <c r="CI11" s="12"/>
      <c r="CJ11" s="12">
        <v>1</v>
      </c>
      <c r="CN11" s="12"/>
      <c r="CO11" s="12">
        <v>1</v>
      </c>
      <c r="CP11" s="12"/>
      <c r="CQ11" s="12">
        <v>1</v>
      </c>
      <c r="CU11" s="12"/>
      <c r="CV11" s="12"/>
      <c r="CW11" s="12"/>
      <c r="CX11" s="12"/>
      <c r="DB11" s="12"/>
      <c r="DC11" s="12"/>
      <c r="DD11" s="12"/>
      <c r="DE11" s="12"/>
      <c r="DI11" s="12"/>
      <c r="DJ11" s="12"/>
      <c r="DK11" s="12"/>
      <c r="DL11" s="12"/>
      <c r="DP11" s="12"/>
      <c r="DQ11" s="12"/>
      <c r="DR11" s="12"/>
      <c r="DS11" s="12"/>
    </row>
    <row r="12" spans="2:124" outlineLevel="1">
      <c r="B12" t="s">
        <v>28</v>
      </c>
      <c r="C12" t="s">
        <v>51</v>
      </c>
      <c r="E12" s="11"/>
      <c r="F12" t="s">
        <v>58</v>
      </c>
      <c r="G12" s="12">
        <v>0.05</v>
      </c>
      <c r="I12" s="11">
        <f t="shared" si="0"/>
        <v>5</v>
      </c>
      <c r="J12" s="13" cm="1">
        <f t="array" ref="J12">MAX(IF($N$3:$EH$3=$J$3,N12:EH12))</f>
        <v>0</v>
      </c>
      <c r="K12" s="13" cm="1">
        <f t="array" ref="K12">MAX(IF($N$3:$EH$3=$J$3,N12:EH12))</f>
        <v>0</v>
      </c>
      <c r="L12" s="11"/>
      <c r="O12" s="12"/>
      <c r="P12" s="12"/>
      <c r="Q12" s="12"/>
      <c r="R12" s="12"/>
      <c r="V12" s="12"/>
      <c r="W12" s="12"/>
      <c r="X12" s="12"/>
      <c r="Y12" s="12"/>
      <c r="AC12" s="12"/>
      <c r="AD12" s="12"/>
      <c r="AE12" s="12"/>
      <c r="AF12" s="12"/>
      <c r="AI12">
        <v>2</v>
      </c>
      <c r="AJ12" s="12"/>
      <c r="AK12" s="12">
        <v>0.5</v>
      </c>
      <c r="AL12" s="12"/>
      <c r="AM12" s="12">
        <v>0.5</v>
      </c>
      <c r="AQ12" s="12"/>
      <c r="AR12" s="12">
        <v>0.5</v>
      </c>
      <c r="AS12" s="12"/>
      <c r="AT12" s="12">
        <v>0.5</v>
      </c>
      <c r="AX12" s="12"/>
      <c r="AY12" s="12">
        <v>0.5</v>
      </c>
      <c r="AZ12" s="12"/>
      <c r="BA12" s="12">
        <v>0.5</v>
      </c>
      <c r="BE12" s="12"/>
      <c r="BF12" s="12">
        <v>0.5</v>
      </c>
      <c r="BG12" s="12"/>
      <c r="BH12" s="12">
        <v>0.5</v>
      </c>
      <c r="BL12" s="12"/>
      <c r="BM12" s="12">
        <v>0.5</v>
      </c>
      <c r="BN12" s="12"/>
      <c r="BO12" s="12">
        <v>0.5</v>
      </c>
      <c r="BS12" s="12"/>
      <c r="BT12" s="12">
        <v>0.5</v>
      </c>
      <c r="BU12" s="12"/>
      <c r="BV12" s="12">
        <v>0.5</v>
      </c>
      <c r="BY12">
        <v>1</v>
      </c>
      <c r="BZ12" s="12"/>
      <c r="CA12" s="12">
        <v>0.8</v>
      </c>
      <c r="CB12" s="12"/>
      <c r="CC12" s="12">
        <v>0.8</v>
      </c>
      <c r="CG12" s="12"/>
      <c r="CH12" s="12">
        <v>0.8</v>
      </c>
      <c r="CI12" s="12"/>
      <c r="CJ12" s="12">
        <v>0.8</v>
      </c>
      <c r="CM12">
        <v>2</v>
      </c>
      <c r="CN12" s="12"/>
      <c r="CO12" s="12">
        <v>1</v>
      </c>
      <c r="CP12" s="12"/>
      <c r="CQ12" s="12">
        <v>1</v>
      </c>
      <c r="CU12" s="12"/>
      <c r="CV12" s="12"/>
      <c r="CW12" s="12"/>
      <c r="CX12" s="12"/>
      <c r="DB12" s="12"/>
      <c r="DC12" s="12"/>
      <c r="DD12" s="12"/>
      <c r="DE12" s="12"/>
      <c r="DI12" s="12"/>
      <c r="DJ12" s="12"/>
      <c r="DK12" s="12"/>
      <c r="DL12" s="12"/>
      <c r="DP12" s="12"/>
      <c r="DQ12" s="12"/>
      <c r="DR12" s="12"/>
      <c r="DS12" s="12"/>
    </row>
    <row r="13" spans="2:124" outlineLevel="1">
      <c r="B13" t="s">
        <v>28</v>
      </c>
      <c r="C13" t="s">
        <v>51</v>
      </c>
      <c r="E13" s="11"/>
      <c r="F13" t="s">
        <v>59</v>
      </c>
      <c r="G13" s="12">
        <v>0.05</v>
      </c>
      <c r="I13" s="11">
        <f t="shared" si="0"/>
        <v>5</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P13">
        <v>2</v>
      </c>
      <c r="AQ13" s="12"/>
      <c r="AR13" s="12">
        <v>0.5</v>
      </c>
      <c r="AS13" s="12"/>
      <c r="AT13" s="12">
        <v>0.5</v>
      </c>
      <c r="AX13" s="12"/>
      <c r="AY13" s="12">
        <v>0.5</v>
      </c>
      <c r="AZ13" s="12"/>
      <c r="BA13" s="12">
        <v>0.5</v>
      </c>
      <c r="BE13" s="12"/>
      <c r="BF13" s="12">
        <v>0.5</v>
      </c>
      <c r="BG13" s="12"/>
      <c r="BH13" s="12">
        <v>0.5</v>
      </c>
      <c r="BL13" s="12"/>
      <c r="BM13" s="12">
        <v>0.5</v>
      </c>
      <c r="BN13" s="12"/>
      <c r="BO13" s="12">
        <v>0.5</v>
      </c>
      <c r="BS13" s="12"/>
      <c r="BT13" s="12">
        <v>0.5</v>
      </c>
      <c r="BU13" s="12"/>
      <c r="BV13" s="12">
        <v>0.5</v>
      </c>
      <c r="BY13">
        <v>1</v>
      </c>
      <c r="BZ13" s="12"/>
      <c r="CA13" s="12">
        <v>0.8</v>
      </c>
      <c r="CB13" s="12"/>
      <c r="CC13" s="12">
        <v>0.8</v>
      </c>
      <c r="CG13" s="12"/>
      <c r="CH13" s="12">
        <v>0.8</v>
      </c>
      <c r="CI13" s="12"/>
      <c r="CJ13" s="12">
        <v>0.8</v>
      </c>
      <c r="CM13">
        <v>2</v>
      </c>
      <c r="CN13" s="12"/>
      <c r="CO13" s="12">
        <v>1</v>
      </c>
      <c r="CP13" s="12"/>
      <c r="CQ13" s="12">
        <v>1</v>
      </c>
      <c r="CU13" s="12"/>
      <c r="CV13" s="12"/>
      <c r="CW13" s="12"/>
      <c r="CX13" s="12"/>
      <c r="DB13" s="12"/>
      <c r="DC13" s="12"/>
      <c r="DD13" s="12"/>
      <c r="DE13" s="12"/>
      <c r="DI13" s="12"/>
      <c r="DJ13" s="12"/>
      <c r="DK13" s="12"/>
      <c r="DL13" s="12"/>
      <c r="DP13" s="12"/>
      <c r="DQ13" s="12"/>
      <c r="DR13" s="12"/>
      <c r="DS13" s="12"/>
    </row>
    <row r="14" spans="2:124">
      <c r="O14" s="9"/>
      <c r="V14" s="9"/>
      <c r="AC14" s="9"/>
      <c r="AJ14" s="9"/>
      <c r="AQ14" s="9"/>
      <c r="AX14" s="9"/>
      <c r="BE14" s="9"/>
      <c r="BL14" s="9"/>
      <c r="BS14" s="9"/>
      <c r="BZ14" s="9"/>
      <c r="CG14" s="9"/>
      <c r="CN14" s="9"/>
      <c r="CU14" s="9"/>
      <c r="DB14" s="9"/>
      <c r="DI14" s="9"/>
      <c r="DP14" s="9"/>
    </row>
    <row r="15" spans="2:124">
      <c r="B15" t="s">
        <v>27</v>
      </c>
      <c r="C15" t="s">
        <v>71</v>
      </c>
      <c r="D15" s="19">
        <v>44958</v>
      </c>
      <c r="E15" s="11">
        <v>2.5</v>
      </c>
      <c r="G15" s="12">
        <v>1</v>
      </c>
      <c r="I15" s="14">
        <f>+SUM(I16:I26)</f>
        <v>59</v>
      </c>
      <c r="J15" s="13">
        <f>+SUMPRODUCT(G16:G26,J16:J26)</f>
        <v>0</v>
      </c>
      <c r="K15" s="13">
        <f>+SUMPRODUCT(G16:G26,K16:K26)</f>
        <v>0</v>
      </c>
      <c r="L15" s="11"/>
      <c r="N15" s="14">
        <f>+SUM(N16:N26)</f>
        <v>6</v>
      </c>
      <c r="U15" s="14">
        <f>+SUM(U16:U26)</f>
        <v>6</v>
      </c>
      <c r="AB15" s="14">
        <f>+SUM(AB16:AB26)</f>
        <v>6</v>
      </c>
      <c r="AI15" s="14">
        <f>+SUM(AI16:AI26)</f>
        <v>6</v>
      </c>
      <c r="AP15" s="14">
        <f>+SUM(AP16:AP26)</f>
        <v>0</v>
      </c>
      <c r="AW15" s="14">
        <f>+SUM(AW16:AW24)</f>
        <v>6</v>
      </c>
      <c r="BD15" s="14">
        <f>+SUM(BD16:BD24)</f>
        <v>6</v>
      </c>
      <c r="BK15" s="14">
        <f>+SUM(BK16:BK24)</f>
        <v>6</v>
      </c>
      <c r="BR15" s="14">
        <v>4</v>
      </c>
      <c r="BY15" s="14">
        <v>4</v>
      </c>
      <c r="CF15" s="14">
        <v>5</v>
      </c>
      <c r="CM15" s="14">
        <v>5</v>
      </c>
    </row>
    <row r="16" spans="2:124" outlineLevel="1">
      <c r="B16" t="s">
        <v>28</v>
      </c>
      <c r="C16" t="s">
        <v>71</v>
      </c>
      <c r="E16" s="11"/>
      <c r="F16" t="s">
        <v>60</v>
      </c>
      <c r="G16" s="12">
        <v>0.05</v>
      </c>
      <c r="I16" s="11">
        <f t="shared" ref="I16:I26" si="1">+SUMIF($N$3:$ZZ$3,I$3,$N16:$ZZ16)</f>
        <v>4</v>
      </c>
      <c r="J16" s="13" cm="1">
        <f t="array" ref="J16">MAX(IF($N$3:$EH$3=$J$3,N16:EH16))</f>
        <v>0</v>
      </c>
      <c r="K16" s="13" cm="1">
        <f t="array" ref="K16">MAX(IF($N$3:$EH$3=$J$3,N16:EH16))</f>
        <v>0</v>
      </c>
      <c r="L16" s="11"/>
      <c r="N16">
        <v>2</v>
      </c>
      <c r="O16" s="12"/>
      <c r="P16" s="12">
        <v>0.5</v>
      </c>
      <c r="Q16" s="12"/>
      <c r="R16" s="12">
        <v>0.5</v>
      </c>
      <c r="V16" s="12"/>
      <c r="W16" s="12">
        <v>0.5</v>
      </c>
      <c r="X16" s="12"/>
      <c r="Y16" s="12">
        <v>0.5</v>
      </c>
      <c r="AB16">
        <v>1</v>
      </c>
      <c r="AC16" s="12"/>
      <c r="AD16" s="12">
        <v>0.8</v>
      </c>
      <c r="AE16" s="12"/>
      <c r="AF16" s="12">
        <v>0.8</v>
      </c>
      <c r="AJ16" s="12"/>
      <c r="AK16" s="12">
        <v>0.8</v>
      </c>
      <c r="AL16" s="12"/>
      <c r="AM16" s="12">
        <v>0.8</v>
      </c>
      <c r="AQ16" s="12"/>
      <c r="AR16" s="12">
        <v>0.8</v>
      </c>
      <c r="AS16" s="12"/>
      <c r="AT16" s="12">
        <v>0.8</v>
      </c>
      <c r="AW16">
        <v>1</v>
      </c>
      <c r="AX16" s="12"/>
      <c r="AY16" s="12">
        <v>1</v>
      </c>
      <c r="AZ16" s="12"/>
      <c r="BA16" s="12">
        <v>1</v>
      </c>
      <c r="BE16" s="12"/>
      <c r="BF16" s="12">
        <v>1</v>
      </c>
      <c r="BG16" s="12"/>
      <c r="BH16" s="12">
        <v>1</v>
      </c>
      <c r="BL16" s="12"/>
      <c r="BM16" s="12">
        <v>1</v>
      </c>
      <c r="BN16" s="12"/>
      <c r="BO16" s="12">
        <v>1</v>
      </c>
      <c r="BS16" s="12"/>
      <c r="BT16" s="12">
        <v>1</v>
      </c>
      <c r="BU16" s="12"/>
      <c r="BV16" s="12">
        <v>1</v>
      </c>
      <c r="BZ16" s="12"/>
      <c r="CA16" s="12">
        <v>1</v>
      </c>
      <c r="CB16" s="12"/>
      <c r="CC16" s="12">
        <v>1</v>
      </c>
      <c r="CG16" s="12"/>
      <c r="CH16" s="12">
        <v>1</v>
      </c>
      <c r="CI16" s="12"/>
      <c r="CJ16" s="12">
        <v>1</v>
      </c>
      <c r="CN16" s="12"/>
      <c r="CO16" s="12">
        <v>1</v>
      </c>
      <c r="CP16" s="12"/>
      <c r="CQ16" s="12">
        <v>1</v>
      </c>
      <c r="CU16" s="12"/>
      <c r="CV16" s="12"/>
      <c r="CW16" s="12"/>
      <c r="CX16" s="12"/>
      <c r="DB16" s="12"/>
      <c r="DC16" s="12"/>
      <c r="DD16" s="12"/>
      <c r="DE16" s="12"/>
      <c r="DI16" s="12"/>
      <c r="DJ16" s="12"/>
      <c r="DK16" s="12"/>
      <c r="DL16" s="12"/>
      <c r="DP16" s="12"/>
      <c r="DQ16" s="12"/>
      <c r="DR16" s="12"/>
      <c r="DS16" s="12"/>
    </row>
    <row r="17" spans="2:123" outlineLevel="1">
      <c r="B17" t="s">
        <v>28</v>
      </c>
      <c r="C17" t="s">
        <v>71</v>
      </c>
      <c r="E17" s="11"/>
      <c r="F17" t="s">
        <v>61</v>
      </c>
      <c r="G17" s="12">
        <v>0.1</v>
      </c>
      <c r="I17" s="11">
        <f t="shared" si="1"/>
        <v>8</v>
      </c>
      <c r="J17" s="13" cm="1">
        <f t="array" ref="J17">MAX(IF($N$3:$EH$3=$J$3,N17:EH17))</f>
        <v>0</v>
      </c>
      <c r="K17" s="13" cm="1">
        <f t="array" ref="K17">MAX(IF($N$3:$EH$3=$J$3,N17:EH17))</f>
        <v>0</v>
      </c>
      <c r="L17" s="11"/>
      <c r="N17">
        <v>4</v>
      </c>
      <c r="O17" s="12"/>
      <c r="P17" s="12">
        <v>0.5</v>
      </c>
      <c r="Q17" s="12"/>
      <c r="R17" s="12">
        <v>0.5</v>
      </c>
      <c r="V17" s="12"/>
      <c r="W17" s="12">
        <v>0.5</v>
      </c>
      <c r="X17" s="12"/>
      <c r="Y17" s="12">
        <v>0.5</v>
      </c>
      <c r="AC17" s="12"/>
      <c r="AD17" s="12">
        <v>0.5</v>
      </c>
      <c r="AE17" s="12"/>
      <c r="AF17" s="12">
        <v>0.5</v>
      </c>
      <c r="AI17">
        <v>2</v>
      </c>
      <c r="AJ17" s="12"/>
      <c r="AK17" s="12">
        <v>0.8</v>
      </c>
      <c r="AL17" s="12"/>
      <c r="AM17" s="12">
        <v>0.8</v>
      </c>
      <c r="AQ17" s="12"/>
      <c r="AR17" s="12">
        <v>0.8</v>
      </c>
      <c r="AS17" s="12"/>
      <c r="AT17" s="12">
        <v>0.8</v>
      </c>
      <c r="AX17" s="12"/>
      <c r="AY17" s="12">
        <v>0.8</v>
      </c>
      <c r="AZ17" s="12"/>
      <c r="BA17" s="12">
        <v>0.8</v>
      </c>
      <c r="BD17">
        <v>2</v>
      </c>
      <c r="BE17" s="12"/>
      <c r="BF17" s="12">
        <v>1</v>
      </c>
      <c r="BG17" s="12"/>
      <c r="BH17" s="12">
        <v>1</v>
      </c>
      <c r="BL17" s="12"/>
      <c r="BM17" s="12">
        <v>1</v>
      </c>
      <c r="BN17" s="12"/>
      <c r="BO17" s="12">
        <v>1</v>
      </c>
      <c r="BS17" s="12"/>
      <c r="BT17" s="12">
        <v>1</v>
      </c>
      <c r="BU17" s="12"/>
      <c r="BV17" s="12">
        <v>1</v>
      </c>
      <c r="BZ17" s="12"/>
      <c r="CA17" s="12">
        <v>1</v>
      </c>
      <c r="CB17" s="12"/>
      <c r="CC17" s="12">
        <v>1</v>
      </c>
      <c r="CG17" s="12"/>
      <c r="CH17" s="12">
        <v>1</v>
      </c>
      <c r="CI17" s="12"/>
      <c r="CJ17" s="12">
        <v>1</v>
      </c>
      <c r="CN17" s="12"/>
      <c r="CO17" s="12">
        <v>1</v>
      </c>
      <c r="CP17" s="12"/>
      <c r="CQ17" s="12">
        <v>1</v>
      </c>
      <c r="CU17" s="12"/>
      <c r="CV17" s="12"/>
      <c r="CW17" s="12"/>
      <c r="CX17" s="12"/>
      <c r="DB17" s="12"/>
      <c r="DC17" s="12"/>
      <c r="DD17" s="12"/>
      <c r="DE17" s="12"/>
      <c r="DI17" s="12"/>
      <c r="DJ17" s="12"/>
      <c r="DK17" s="12"/>
      <c r="DL17" s="12"/>
      <c r="DP17" s="12"/>
      <c r="DQ17" s="12"/>
      <c r="DR17" s="12"/>
      <c r="DS17" s="12"/>
    </row>
    <row r="18" spans="2:123" outlineLevel="1">
      <c r="B18" t="s">
        <v>28</v>
      </c>
      <c r="C18" t="s">
        <v>71</v>
      </c>
      <c r="E18" s="11"/>
      <c r="F18" t="s">
        <v>62</v>
      </c>
      <c r="G18" s="12">
        <v>0.1</v>
      </c>
      <c r="I18" s="11">
        <f t="shared" si="1"/>
        <v>4</v>
      </c>
      <c r="J18" s="13" cm="1">
        <f t="array" ref="J18">MAX(IF($N$3:$EH$3=$J$3,N18:EH18))</f>
        <v>0</v>
      </c>
      <c r="K18" s="13" cm="1">
        <f t="array" ref="K18">MAX(IF($N$3:$EH$3=$J$3,N18:EH18))</f>
        <v>0</v>
      </c>
      <c r="L18" s="11"/>
      <c r="O18" s="12"/>
      <c r="P18" s="12"/>
      <c r="Q18" s="12"/>
      <c r="R18" s="12"/>
      <c r="U18">
        <v>2</v>
      </c>
      <c r="V18" s="12"/>
      <c r="W18" s="12">
        <v>0.5</v>
      </c>
      <c r="X18" s="12"/>
      <c r="Y18" s="12">
        <v>0.5</v>
      </c>
      <c r="AC18" s="12"/>
      <c r="AD18" s="12">
        <v>0.5</v>
      </c>
      <c r="AE18" s="12"/>
      <c r="AF18" s="12">
        <v>0.5</v>
      </c>
      <c r="AJ18" s="12"/>
      <c r="AK18" s="12">
        <v>0.5</v>
      </c>
      <c r="AL18" s="12"/>
      <c r="AM18" s="12">
        <v>0.5</v>
      </c>
      <c r="AQ18" s="12"/>
      <c r="AR18" s="12">
        <v>0.8</v>
      </c>
      <c r="AS18" s="12"/>
      <c r="AT18" s="12">
        <v>0.8</v>
      </c>
      <c r="AX18" s="12"/>
      <c r="AY18" s="12">
        <v>0.8</v>
      </c>
      <c r="AZ18" s="12"/>
      <c r="BA18" s="12">
        <v>0.8</v>
      </c>
      <c r="BD18">
        <v>2</v>
      </c>
      <c r="BE18" s="12"/>
      <c r="BF18" s="12">
        <v>1</v>
      </c>
      <c r="BG18" s="12"/>
      <c r="BH18" s="12">
        <v>1</v>
      </c>
      <c r="BL18" s="12"/>
      <c r="BM18" s="12">
        <v>1</v>
      </c>
      <c r="BN18" s="12"/>
      <c r="BO18" s="12">
        <v>1</v>
      </c>
      <c r="BS18" s="12"/>
      <c r="BT18" s="12">
        <v>1</v>
      </c>
      <c r="BU18" s="12"/>
      <c r="BV18" s="12">
        <v>1</v>
      </c>
      <c r="BZ18" s="12"/>
      <c r="CA18" s="12">
        <v>1</v>
      </c>
      <c r="CB18" s="12"/>
      <c r="CC18" s="12">
        <v>1</v>
      </c>
      <c r="CG18" s="12"/>
      <c r="CH18" s="12">
        <v>1</v>
      </c>
      <c r="CI18" s="12"/>
      <c r="CJ18" s="12">
        <v>1</v>
      </c>
      <c r="CN18" s="12"/>
      <c r="CO18" s="12">
        <v>1</v>
      </c>
      <c r="CP18" s="12"/>
      <c r="CQ18" s="12">
        <v>1</v>
      </c>
      <c r="CU18" s="12"/>
      <c r="CV18" s="12"/>
      <c r="CW18" s="12"/>
      <c r="CX18" s="12"/>
      <c r="DB18" s="12"/>
      <c r="DC18" s="12"/>
      <c r="DD18" s="12"/>
      <c r="DE18" s="12"/>
      <c r="DI18" s="12"/>
      <c r="DJ18" s="12"/>
      <c r="DK18" s="12"/>
      <c r="DL18" s="12"/>
      <c r="DP18" s="12"/>
      <c r="DQ18" s="12"/>
      <c r="DR18" s="12"/>
      <c r="DS18" s="12"/>
    </row>
    <row r="19" spans="2:123" outlineLevel="1">
      <c r="B19" t="s">
        <v>28</v>
      </c>
      <c r="C19" t="s">
        <v>71</v>
      </c>
      <c r="E19" s="11"/>
      <c r="F19" t="s">
        <v>63</v>
      </c>
      <c r="G19" s="12">
        <v>0.1</v>
      </c>
      <c r="I19" s="11">
        <f t="shared" si="1"/>
        <v>4</v>
      </c>
      <c r="J19" s="13" cm="1">
        <f t="array" ref="J19">MAX(IF($N$3:$EH$3=$J$3,N19:EH19))</f>
        <v>0</v>
      </c>
      <c r="K19" s="13" cm="1">
        <f t="array" ref="K19">MAX(IF($N$3:$EH$3=$J$3,N19:EH19))</f>
        <v>0</v>
      </c>
      <c r="L19" s="11"/>
      <c r="O19" s="12"/>
      <c r="P19" s="12"/>
      <c r="Q19" s="12"/>
      <c r="R19" s="12"/>
      <c r="U19">
        <v>2</v>
      </c>
      <c r="V19" s="12"/>
      <c r="W19" s="12">
        <v>0.5</v>
      </c>
      <c r="X19" s="12"/>
      <c r="Y19" s="12">
        <v>0.5</v>
      </c>
      <c r="AC19" s="12"/>
      <c r="AD19" s="12">
        <v>0.5</v>
      </c>
      <c r="AE19" s="12"/>
      <c r="AF19" s="12">
        <v>0.5</v>
      </c>
      <c r="AJ19" s="12"/>
      <c r="AK19" s="12">
        <v>0.5</v>
      </c>
      <c r="AL19" s="12"/>
      <c r="AM19" s="12">
        <v>0.5</v>
      </c>
      <c r="AQ19" s="12"/>
      <c r="AR19" s="12">
        <v>0.8</v>
      </c>
      <c r="AS19" s="12"/>
      <c r="AT19" s="12">
        <v>0.8</v>
      </c>
      <c r="AX19" s="12"/>
      <c r="AY19" s="12">
        <v>0.8</v>
      </c>
      <c r="AZ19" s="12"/>
      <c r="BA19" s="12">
        <v>0.8</v>
      </c>
      <c r="BE19" s="12"/>
      <c r="BF19" s="12">
        <v>0.8</v>
      </c>
      <c r="BG19" s="12"/>
      <c r="BH19" s="12">
        <v>0.8</v>
      </c>
      <c r="BK19">
        <v>2</v>
      </c>
      <c r="BL19" s="12"/>
      <c r="BM19" s="12">
        <v>1</v>
      </c>
      <c r="BN19" s="12"/>
      <c r="BO19" s="12">
        <v>1</v>
      </c>
      <c r="BS19" s="12"/>
      <c r="BT19" s="12">
        <v>1</v>
      </c>
      <c r="BU19" s="12"/>
      <c r="BV19" s="12">
        <v>1</v>
      </c>
      <c r="BZ19" s="12"/>
      <c r="CA19" s="12">
        <v>1</v>
      </c>
      <c r="CB19" s="12"/>
      <c r="CC19" s="12">
        <v>1</v>
      </c>
      <c r="CG19" s="12"/>
      <c r="CH19" s="12">
        <v>1</v>
      </c>
      <c r="CI19" s="12"/>
      <c r="CJ19" s="12">
        <v>1</v>
      </c>
      <c r="CN19" s="12"/>
      <c r="CO19" s="12">
        <v>1</v>
      </c>
      <c r="CP19" s="12"/>
      <c r="CQ19" s="12">
        <v>1</v>
      </c>
      <c r="CU19" s="12"/>
      <c r="CV19" s="12"/>
      <c r="CW19" s="12"/>
      <c r="CX19" s="12"/>
      <c r="DB19" s="12"/>
      <c r="DC19" s="12"/>
      <c r="DD19" s="12"/>
      <c r="DE19" s="12"/>
      <c r="DI19" s="12"/>
      <c r="DJ19" s="12"/>
      <c r="DK19" s="12"/>
      <c r="DL19" s="12"/>
      <c r="DP19" s="12"/>
      <c r="DQ19" s="12"/>
      <c r="DR19" s="12"/>
      <c r="DS19" s="12"/>
    </row>
    <row r="20" spans="2:123" outlineLevel="1">
      <c r="B20" t="s">
        <v>28</v>
      </c>
      <c r="C20" t="s">
        <v>71</v>
      </c>
      <c r="E20" s="11"/>
      <c r="F20" t="s">
        <v>64</v>
      </c>
      <c r="G20" s="12">
        <v>0.1</v>
      </c>
      <c r="I20" s="11">
        <f t="shared" si="1"/>
        <v>6</v>
      </c>
      <c r="J20" s="13" cm="1">
        <f t="array" ref="J20">MAX(IF($N$3:$EH$3=$J$3,N20:EH20))</f>
        <v>0</v>
      </c>
      <c r="K20" s="13" cm="1">
        <f t="array" ref="K20">MAX(IF($N$3:$EH$3=$J$3,N20:EH20))</f>
        <v>0</v>
      </c>
      <c r="L20" s="11"/>
      <c r="O20" s="12"/>
      <c r="P20" s="12"/>
      <c r="Q20" s="12"/>
      <c r="R20" s="12"/>
      <c r="U20">
        <v>2</v>
      </c>
      <c r="V20" s="12"/>
      <c r="W20" s="12">
        <v>0.5</v>
      </c>
      <c r="X20" s="12"/>
      <c r="Y20" s="12">
        <v>0.5</v>
      </c>
      <c r="AC20" s="12"/>
      <c r="AD20" s="12">
        <v>0.5</v>
      </c>
      <c r="AE20" s="12"/>
      <c r="AF20" s="12">
        <v>0.5</v>
      </c>
      <c r="AJ20" s="12"/>
      <c r="AK20" s="12">
        <v>0.5</v>
      </c>
      <c r="AL20" s="12"/>
      <c r="AM20" s="12">
        <v>0.5</v>
      </c>
      <c r="AQ20" s="12"/>
      <c r="AR20" s="12">
        <v>0.5</v>
      </c>
      <c r="AS20" s="12"/>
      <c r="AT20" s="12">
        <v>0.5</v>
      </c>
      <c r="AW20">
        <v>2</v>
      </c>
      <c r="AX20" s="12"/>
      <c r="AY20" s="12">
        <v>0.8</v>
      </c>
      <c r="AZ20" s="12"/>
      <c r="BA20" s="12">
        <v>0.8</v>
      </c>
      <c r="BE20" s="12"/>
      <c r="BF20" s="12">
        <v>0.8</v>
      </c>
      <c r="BG20" s="12"/>
      <c r="BH20" s="12">
        <v>0.8</v>
      </c>
      <c r="BL20" s="12"/>
      <c r="BM20" s="12">
        <v>0.8</v>
      </c>
      <c r="BN20" s="12"/>
      <c r="BO20" s="12">
        <v>0.8</v>
      </c>
      <c r="BR20">
        <v>2</v>
      </c>
      <c r="BS20" s="12"/>
      <c r="BT20" s="12">
        <v>1</v>
      </c>
      <c r="BU20" s="12"/>
      <c r="BV20" s="12">
        <v>1</v>
      </c>
      <c r="BZ20" s="12"/>
      <c r="CA20" s="12">
        <v>1</v>
      </c>
      <c r="CB20" s="12"/>
      <c r="CC20" s="12">
        <v>1</v>
      </c>
      <c r="CG20" s="12"/>
      <c r="CH20" s="12">
        <v>1</v>
      </c>
      <c r="CI20" s="12"/>
      <c r="CJ20" s="12">
        <v>1</v>
      </c>
      <c r="CN20" s="12"/>
      <c r="CO20" s="12">
        <v>1</v>
      </c>
      <c r="CP20" s="12"/>
      <c r="CQ20" s="12">
        <v>1</v>
      </c>
      <c r="CU20" s="12"/>
      <c r="CV20" s="12"/>
      <c r="CW20" s="12"/>
      <c r="CX20" s="12"/>
      <c r="DB20" s="12"/>
      <c r="DC20" s="12"/>
      <c r="DD20" s="12"/>
      <c r="DE20" s="12"/>
      <c r="DI20" s="12"/>
      <c r="DJ20" s="12"/>
      <c r="DK20" s="12"/>
      <c r="DL20" s="12"/>
      <c r="DP20" s="12"/>
      <c r="DQ20" s="12"/>
      <c r="DR20" s="12"/>
      <c r="DS20" s="12"/>
    </row>
    <row r="21" spans="2:123" outlineLevel="1">
      <c r="B21" t="s">
        <v>28</v>
      </c>
      <c r="C21" t="s">
        <v>71</v>
      </c>
      <c r="E21" s="11"/>
      <c r="F21" t="s">
        <v>65</v>
      </c>
      <c r="G21" s="12">
        <v>0.1</v>
      </c>
      <c r="I21" s="11">
        <f t="shared" si="1"/>
        <v>8</v>
      </c>
      <c r="J21" s="13" cm="1">
        <f t="array" ref="J21">MAX(IF($N$3:$EH$3=$J$3,N21:EH21))</f>
        <v>0</v>
      </c>
      <c r="K21" s="13" cm="1">
        <f t="array" ref="K21">MAX(IF($N$3:$EH$3=$J$3,N21:EH21))</f>
        <v>0</v>
      </c>
      <c r="L21" s="11"/>
      <c r="O21" s="12"/>
      <c r="P21" s="12"/>
      <c r="Q21" s="12"/>
      <c r="R21" s="12"/>
      <c r="V21" s="12"/>
      <c r="W21" s="12"/>
      <c r="X21" s="12"/>
      <c r="Y21" s="12"/>
      <c r="AB21">
        <v>3</v>
      </c>
      <c r="AC21" s="12"/>
      <c r="AD21" s="12">
        <v>0.5</v>
      </c>
      <c r="AE21" s="12"/>
      <c r="AF21" s="12">
        <v>0.5</v>
      </c>
      <c r="AJ21" s="12"/>
      <c r="AK21" s="12">
        <v>0.5</v>
      </c>
      <c r="AL21" s="12"/>
      <c r="AM21" s="12">
        <v>0.5</v>
      </c>
      <c r="AQ21" s="12"/>
      <c r="AR21" s="12">
        <v>0.5</v>
      </c>
      <c r="AS21" s="12"/>
      <c r="AT21" s="12">
        <v>0.5</v>
      </c>
      <c r="AW21">
        <v>3</v>
      </c>
      <c r="AX21" s="12"/>
      <c r="AY21" s="12">
        <v>0.8</v>
      </c>
      <c r="AZ21" s="12"/>
      <c r="BA21" s="12">
        <v>0.8</v>
      </c>
      <c r="BE21" s="12"/>
      <c r="BF21" s="12">
        <v>0.8</v>
      </c>
      <c r="BG21" s="12"/>
      <c r="BH21" s="12">
        <v>0.8</v>
      </c>
      <c r="BL21" s="12"/>
      <c r="BM21" s="12">
        <v>0.8</v>
      </c>
      <c r="BN21" s="12"/>
      <c r="BO21" s="12">
        <v>0.8</v>
      </c>
      <c r="BS21" s="12"/>
      <c r="BT21" s="12">
        <v>0.8</v>
      </c>
      <c r="BU21" s="12"/>
      <c r="BV21" s="12">
        <v>0.8</v>
      </c>
      <c r="BY21">
        <v>2</v>
      </c>
      <c r="BZ21" s="12"/>
      <c r="CA21" s="12">
        <v>1</v>
      </c>
      <c r="CB21" s="12"/>
      <c r="CC21" s="12">
        <v>1</v>
      </c>
      <c r="CG21" s="12"/>
      <c r="CH21" s="12">
        <v>1</v>
      </c>
      <c r="CI21" s="12"/>
      <c r="CJ21" s="12">
        <v>1</v>
      </c>
      <c r="CN21" s="12"/>
      <c r="CO21" s="12">
        <v>1</v>
      </c>
      <c r="CP21" s="12"/>
      <c r="CQ21" s="12">
        <v>1</v>
      </c>
      <c r="CU21" s="12"/>
      <c r="CV21" s="12"/>
      <c r="CW21" s="12"/>
      <c r="CX21" s="12"/>
      <c r="DB21" s="12"/>
      <c r="DC21" s="12"/>
      <c r="DD21" s="12"/>
      <c r="DE21" s="12"/>
      <c r="DI21" s="12"/>
      <c r="DJ21" s="12"/>
      <c r="DK21" s="12"/>
      <c r="DL21" s="12"/>
      <c r="DP21" s="12"/>
      <c r="DQ21" s="12"/>
      <c r="DR21" s="12"/>
      <c r="DS21" s="12"/>
    </row>
    <row r="22" spans="2:123" outlineLevel="1">
      <c r="B22" t="s">
        <v>28</v>
      </c>
      <c r="C22" t="s">
        <v>71</v>
      </c>
      <c r="E22" s="11"/>
      <c r="F22" t="s">
        <v>66</v>
      </c>
      <c r="G22" s="12">
        <v>0.1</v>
      </c>
      <c r="I22" s="11">
        <f t="shared" si="1"/>
        <v>6</v>
      </c>
      <c r="J22" s="13" cm="1">
        <f t="array" ref="J22">MAX(IF($N$3:$EH$3=$J$3,N22:EH22))</f>
        <v>0</v>
      </c>
      <c r="K22" s="13" cm="1">
        <f t="array" ref="K22">MAX(IF($N$3:$EH$3=$J$3,N22:EH22))</f>
        <v>0</v>
      </c>
      <c r="L22" s="11"/>
      <c r="O22" s="12"/>
      <c r="P22" s="12"/>
      <c r="Q22" s="12"/>
      <c r="R22" s="12"/>
      <c r="V22" s="12"/>
      <c r="W22" s="12"/>
      <c r="X22" s="12"/>
      <c r="Y22" s="12"/>
      <c r="AB22">
        <v>2</v>
      </c>
      <c r="AC22" s="12"/>
      <c r="AD22" s="12">
        <v>0.5</v>
      </c>
      <c r="AE22" s="12"/>
      <c r="AF22" s="12">
        <v>0.5</v>
      </c>
      <c r="AJ22" s="12"/>
      <c r="AK22" s="12">
        <v>0.5</v>
      </c>
      <c r="AL22" s="12"/>
      <c r="AM22" s="12">
        <v>0.5</v>
      </c>
      <c r="AQ22" s="12"/>
      <c r="AR22" s="12">
        <v>0.5</v>
      </c>
      <c r="AS22" s="12"/>
      <c r="AT22" s="12">
        <v>0.5</v>
      </c>
      <c r="AX22" s="12"/>
      <c r="AY22" s="12">
        <v>0.5</v>
      </c>
      <c r="AZ22" s="12"/>
      <c r="BA22" s="12">
        <v>0.5</v>
      </c>
      <c r="BD22">
        <v>2</v>
      </c>
      <c r="BE22" s="12"/>
      <c r="BF22" s="12">
        <v>0.8</v>
      </c>
      <c r="BG22" s="12"/>
      <c r="BH22" s="12">
        <v>0.8</v>
      </c>
      <c r="BL22" s="12"/>
      <c r="BM22" s="12">
        <v>0.8</v>
      </c>
      <c r="BN22" s="12"/>
      <c r="BO22" s="12">
        <v>0.8</v>
      </c>
      <c r="BS22" s="12"/>
      <c r="BT22" s="12">
        <v>0.8</v>
      </c>
      <c r="BU22" s="12"/>
      <c r="BV22" s="12">
        <v>0.8</v>
      </c>
      <c r="BY22">
        <v>2</v>
      </c>
      <c r="BZ22" s="12"/>
      <c r="CA22" s="12">
        <v>1</v>
      </c>
      <c r="CB22" s="12"/>
      <c r="CC22" s="12">
        <v>1</v>
      </c>
      <c r="CG22" s="12"/>
      <c r="CH22" s="12">
        <v>1</v>
      </c>
      <c r="CI22" s="12"/>
      <c r="CJ22" s="12">
        <v>1</v>
      </c>
      <c r="CN22" s="12"/>
      <c r="CO22" s="12">
        <v>1</v>
      </c>
      <c r="CP22" s="12"/>
      <c r="CQ22" s="12">
        <v>1</v>
      </c>
      <c r="CU22" s="12"/>
      <c r="CV22" s="12"/>
      <c r="CW22" s="12"/>
      <c r="CX22" s="12"/>
      <c r="DB22" s="12"/>
      <c r="DC22" s="12"/>
      <c r="DD22" s="12"/>
      <c r="DE22" s="12"/>
      <c r="DI22" s="12"/>
      <c r="DJ22" s="12"/>
      <c r="DK22" s="12"/>
      <c r="DL22" s="12"/>
      <c r="DP22" s="12"/>
      <c r="DQ22" s="12"/>
      <c r="DR22" s="12"/>
      <c r="DS22" s="12"/>
    </row>
    <row r="23" spans="2:123" outlineLevel="1">
      <c r="B23" t="s">
        <v>28</v>
      </c>
      <c r="C23" t="s">
        <v>71</v>
      </c>
      <c r="E23" s="11"/>
      <c r="F23" t="s">
        <v>67</v>
      </c>
      <c r="G23" s="12">
        <v>0.1</v>
      </c>
      <c r="I23" s="11">
        <f t="shared" si="1"/>
        <v>6</v>
      </c>
      <c r="J23" s="13" cm="1">
        <f t="array" ref="J23">MAX(IF($N$3:$EH$3=$J$3,N23:EH23))</f>
        <v>0</v>
      </c>
      <c r="K23" s="13" cm="1">
        <f t="array" ref="K23">MAX(IF($N$3:$EH$3=$J$3,N23:EH23))</f>
        <v>0</v>
      </c>
      <c r="L23" s="11"/>
      <c r="O23" s="12"/>
      <c r="P23" s="12"/>
      <c r="Q23" s="12"/>
      <c r="R23" s="12"/>
      <c r="V23" s="12"/>
      <c r="W23" s="12"/>
      <c r="X23" s="12"/>
      <c r="Y23" s="12"/>
      <c r="AC23" s="12"/>
      <c r="AD23" s="12"/>
      <c r="AE23" s="12"/>
      <c r="AF23" s="12"/>
      <c r="AI23">
        <v>2</v>
      </c>
      <c r="AJ23" s="12"/>
      <c r="AK23" s="12">
        <v>0.5</v>
      </c>
      <c r="AL23" s="12"/>
      <c r="AM23" s="12">
        <v>0.5</v>
      </c>
      <c r="AQ23" s="12"/>
      <c r="AR23" s="12">
        <v>0.5</v>
      </c>
      <c r="AS23" s="12"/>
      <c r="AT23" s="12">
        <v>0.5</v>
      </c>
      <c r="AX23" s="12"/>
      <c r="AY23" s="12">
        <v>0.5</v>
      </c>
      <c r="AZ23" s="12"/>
      <c r="BA23" s="12">
        <v>0.5</v>
      </c>
      <c r="BE23" s="12"/>
      <c r="BF23" s="12">
        <v>0.5</v>
      </c>
      <c r="BG23" s="12"/>
      <c r="BH23" s="12">
        <v>0.5</v>
      </c>
      <c r="BK23">
        <v>2</v>
      </c>
      <c r="BL23" s="12"/>
      <c r="BM23" s="12">
        <v>0.8</v>
      </c>
      <c r="BN23" s="12"/>
      <c r="BO23" s="12">
        <v>0.8</v>
      </c>
      <c r="BS23" s="12"/>
      <c r="BT23" s="12">
        <v>0.8</v>
      </c>
      <c r="BU23" s="12"/>
      <c r="BV23" s="12">
        <v>0.8</v>
      </c>
      <c r="BZ23" s="12"/>
      <c r="CA23" s="12">
        <v>0.8</v>
      </c>
      <c r="CB23" s="12"/>
      <c r="CC23" s="12">
        <v>0.8</v>
      </c>
      <c r="CF23">
        <v>2</v>
      </c>
      <c r="CG23" s="12"/>
      <c r="CH23" s="12">
        <v>1</v>
      </c>
      <c r="CI23" s="12"/>
      <c r="CJ23" s="12">
        <v>1</v>
      </c>
      <c r="CN23" s="12"/>
      <c r="CO23" s="12">
        <v>1</v>
      </c>
      <c r="CP23" s="12"/>
      <c r="CQ23" s="12">
        <v>1</v>
      </c>
      <c r="CU23" s="12"/>
      <c r="CV23" s="12"/>
      <c r="CW23" s="12"/>
      <c r="CX23" s="12"/>
      <c r="DB23" s="12"/>
      <c r="DC23" s="12"/>
      <c r="DD23" s="12"/>
      <c r="DE23" s="12"/>
      <c r="DI23" s="12"/>
      <c r="DJ23" s="12"/>
      <c r="DK23" s="12"/>
      <c r="DL23" s="12"/>
      <c r="DP23" s="12"/>
      <c r="DQ23" s="12"/>
      <c r="DR23" s="12"/>
      <c r="DS23" s="12"/>
    </row>
    <row r="24" spans="2:123" outlineLevel="1">
      <c r="B24" t="s">
        <v>28</v>
      </c>
      <c r="C24" t="s">
        <v>71</v>
      </c>
      <c r="E24" s="11"/>
      <c r="F24" t="s">
        <v>68</v>
      </c>
      <c r="G24" s="12">
        <v>0.1</v>
      </c>
      <c r="I24" s="11">
        <f t="shared" si="1"/>
        <v>6</v>
      </c>
      <c r="J24" s="13" cm="1">
        <f t="array" ref="J24">MAX(IF($N$3:$EH$3=$J$3,N24:EH24))</f>
        <v>0</v>
      </c>
      <c r="K24" s="13" cm="1">
        <f t="array" ref="K24">MAX(IF($N$3:$EH$3=$J$3,N24:EH24))</f>
        <v>0</v>
      </c>
      <c r="L24" s="11"/>
      <c r="O24" s="12"/>
      <c r="P24" s="12"/>
      <c r="Q24" s="12"/>
      <c r="R24" s="12"/>
      <c r="V24" s="12"/>
      <c r="W24" s="12"/>
      <c r="X24" s="12"/>
      <c r="Y24" s="12"/>
      <c r="AC24" s="12"/>
      <c r="AD24" s="12"/>
      <c r="AE24" s="12"/>
      <c r="AF24" s="12"/>
      <c r="AI24">
        <v>2</v>
      </c>
      <c r="AJ24" s="12"/>
      <c r="AK24" s="12">
        <v>0.5</v>
      </c>
      <c r="AL24" s="12"/>
      <c r="AM24" s="12">
        <v>0.5</v>
      </c>
      <c r="AQ24" s="12"/>
      <c r="AR24" s="12">
        <v>0.5</v>
      </c>
      <c r="AS24" s="12"/>
      <c r="AT24" s="12">
        <v>0.5</v>
      </c>
      <c r="AX24" s="12"/>
      <c r="AY24" s="12">
        <v>0.5</v>
      </c>
      <c r="AZ24" s="12"/>
      <c r="BA24" s="12">
        <v>0.5</v>
      </c>
      <c r="BE24" s="12"/>
      <c r="BF24" s="12">
        <v>0.5</v>
      </c>
      <c r="BG24" s="12"/>
      <c r="BH24" s="12">
        <v>0.5</v>
      </c>
      <c r="BK24">
        <v>2</v>
      </c>
      <c r="BL24" s="12"/>
      <c r="BM24" s="12">
        <v>0.8</v>
      </c>
      <c r="BN24" s="12"/>
      <c r="BO24" s="12">
        <v>0.8</v>
      </c>
      <c r="BS24" s="12"/>
      <c r="BT24" s="12">
        <v>0.8</v>
      </c>
      <c r="BU24" s="12"/>
      <c r="BV24" s="12">
        <v>0.8</v>
      </c>
      <c r="BZ24" s="12"/>
      <c r="CA24" s="12">
        <v>0.8</v>
      </c>
      <c r="CB24" s="12"/>
      <c r="CC24" s="12">
        <v>0.8</v>
      </c>
      <c r="CF24">
        <v>2</v>
      </c>
      <c r="CG24" s="12"/>
      <c r="CH24" s="12">
        <v>1</v>
      </c>
      <c r="CI24" s="12"/>
      <c r="CJ24" s="12">
        <v>1</v>
      </c>
      <c r="CN24" s="12"/>
      <c r="CO24" s="12">
        <v>1</v>
      </c>
      <c r="CP24" s="12"/>
      <c r="CQ24" s="12">
        <v>1</v>
      </c>
      <c r="CU24" s="12"/>
      <c r="CV24" s="12"/>
      <c r="CW24" s="12"/>
      <c r="CX24" s="12"/>
      <c r="DB24" s="12"/>
      <c r="DC24" s="12"/>
      <c r="DD24" s="12"/>
      <c r="DE24" s="12"/>
      <c r="DI24" s="12"/>
      <c r="DJ24" s="12"/>
      <c r="DK24" s="12"/>
      <c r="DL24" s="12"/>
      <c r="DP24" s="12"/>
      <c r="DQ24" s="12"/>
      <c r="DR24" s="12"/>
      <c r="DS24" s="12"/>
    </row>
    <row r="25" spans="2:123" outlineLevel="1">
      <c r="B25" t="s">
        <v>28</v>
      </c>
      <c r="C25" t="s">
        <v>71</v>
      </c>
      <c r="E25" s="11"/>
      <c r="F25" t="s">
        <v>69</v>
      </c>
      <c r="G25" s="12">
        <v>0.1</v>
      </c>
      <c r="I25" s="11">
        <f t="shared" si="1"/>
        <v>5</v>
      </c>
      <c r="J25" s="13" cm="1">
        <f t="array" ref="J25">MAX(IF($N$3:$EH$3=$J$3,N25:EH25))</f>
        <v>0</v>
      </c>
      <c r="K25" s="13" cm="1">
        <f t="array" ref="K25">MAX(IF($N$3:$EH$3=$J$3,N25:EH25))</f>
        <v>0</v>
      </c>
      <c r="L25" s="11"/>
      <c r="O25" s="12"/>
      <c r="P25" s="12"/>
      <c r="Q25" s="12"/>
      <c r="R25" s="12"/>
      <c r="V25" s="12"/>
      <c r="W25" s="12"/>
      <c r="X25" s="12"/>
      <c r="Y25" s="12"/>
      <c r="AC25" s="12"/>
      <c r="AD25" s="12"/>
      <c r="AE25" s="12"/>
      <c r="AF25" s="12"/>
      <c r="AJ25" s="12"/>
      <c r="AK25" s="12"/>
      <c r="AL25" s="12"/>
      <c r="AM25" s="12"/>
      <c r="AQ25" s="12"/>
      <c r="AR25" s="12">
        <v>0.5</v>
      </c>
      <c r="AS25" s="12"/>
      <c r="AT25" s="12">
        <v>0.5</v>
      </c>
      <c r="AX25" s="12"/>
      <c r="AY25" s="12">
        <v>0.5</v>
      </c>
      <c r="AZ25" s="12"/>
      <c r="BA25" s="12">
        <v>0.5</v>
      </c>
      <c r="BE25" s="12"/>
      <c r="BF25" s="12">
        <v>0.5</v>
      </c>
      <c r="BG25" s="12"/>
      <c r="BH25" s="12">
        <v>0.5</v>
      </c>
      <c r="BL25" s="12"/>
      <c r="BM25" s="12">
        <v>0.5</v>
      </c>
      <c r="BN25" s="12"/>
      <c r="BO25" s="12">
        <v>0.5</v>
      </c>
      <c r="BR25">
        <v>2</v>
      </c>
      <c r="BS25" s="12"/>
      <c r="BT25" s="12">
        <v>0.8</v>
      </c>
      <c r="BU25" s="12"/>
      <c r="BV25" s="12">
        <v>0.8</v>
      </c>
      <c r="BZ25" s="12"/>
      <c r="CA25" s="12">
        <v>0.8</v>
      </c>
      <c r="CB25" s="12"/>
      <c r="CC25" s="12">
        <v>0.8</v>
      </c>
      <c r="CG25" s="12"/>
      <c r="CH25" s="12">
        <v>0.8</v>
      </c>
      <c r="CI25" s="12"/>
      <c r="CJ25" s="12">
        <v>0.8</v>
      </c>
      <c r="CM25">
        <v>3</v>
      </c>
      <c r="CN25" s="12"/>
      <c r="CO25" s="12">
        <v>1</v>
      </c>
      <c r="CP25" s="12"/>
      <c r="CQ25" s="12">
        <v>1</v>
      </c>
      <c r="CU25" s="12"/>
      <c r="CV25" s="12"/>
      <c r="CW25" s="12"/>
      <c r="CX25" s="12"/>
      <c r="DB25" s="12"/>
      <c r="DC25" s="12"/>
      <c r="DD25" s="12"/>
      <c r="DE25" s="12"/>
      <c r="DI25" s="12"/>
      <c r="DJ25" s="12"/>
      <c r="DK25" s="12"/>
      <c r="DL25" s="12"/>
      <c r="DP25" s="12"/>
      <c r="DQ25" s="12"/>
      <c r="DR25" s="12"/>
      <c r="DS25" s="12"/>
    </row>
    <row r="26" spans="2:123" outlineLevel="1">
      <c r="B26" t="s">
        <v>28</v>
      </c>
      <c r="C26" t="s">
        <v>71</v>
      </c>
      <c r="E26" s="11"/>
      <c r="F26" t="s">
        <v>70</v>
      </c>
      <c r="G26" s="12">
        <v>0.05</v>
      </c>
      <c r="I26" s="11">
        <f t="shared" si="1"/>
        <v>2</v>
      </c>
      <c r="J26" s="13" cm="1">
        <f t="array" ref="J26">MAX(IF($N$3:$EH$3=$J$3,N26:EH26))</f>
        <v>0</v>
      </c>
      <c r="K26" s="13" cm="1">
        <f t="array" ref="K26">MAX(IF($N$3:$EH$3=$J$3,N26:EH26))</f>
        <v>0</v>
      </c>
      <c r="L26" s="11"/>
      <c r="O26" s="12"/>
      <c r="P26" s="12"/>
      <c r="Q26" s="12"/>
      <c r="R26" s="12"/>
      <c r="V26" s="12"/>
      <c r="W26" s="12"/>
      <c r="X26" s="12"/>
      <c r="Y26" s="12"/>
      <c r="AC26" s="12"/>
      <c r="AD26" s="12"/>
      <c r="AE26" s="12"/>
      <c r="AF26" s="12"/>
      <c r="AJ26" s="12"/>
      <c r="AK26" s="12"/>
      <c r="AL26" s="12"/>
      <c r="AM26" s="12"/>
      <c r="AQ26" s="12"/>
      <c r="AR26" s="12"/>
      <c r="AS26" s="12"/>
      <c r="AT26" s="12"/>
      <c r="AX26" s="12"/>
      <c r="AY26" s="12">
        <v>0.5</v>
      </c>
      <c r="AZ26" s="12"/>
      <c r="BA26" s="12">
        <v>0.5</v>
      </c>
      <c r="BE26" s="12"/>
      <c r="BF26" s="12">
        <v>0.5</v>
      </c>
      <c r="BG26" s="12"/>
      <c r="BH26" s="12">
        <v>0.5</v>
      </c>
      <c r="BL26" s="12"/>
      <c r="BM26" s="12">
        <v>0.5</v>
      </c>
      <c r="BN26" s="12"/>
      <c r="BO26" s="12">
        <v>0.5</v>
      </c>
      <c r="BR26">
        <v>1</v>
      </c>
      <c r="BS26" s="12"/>
      <c r="BT26" s="12">
        <v>0.8</v>
      </c>
      <c r="BU26" s="12"/>
      <c r="BV26" s="12">
        <v>0.8</v>
      </c>
      <c r="BZ26" s="12"/>
      <c r="CA26" s="12">
        <v>0.8</v>
      </c>
      <c r="CB26" s="12"/>
      <c r="CC26" s="12">
        <v>0.8</v>
      </c>
      <c r="CG26" s="12"/>
      <c r="CH26" s="12">
        <v>0.8</v>
      </c>
      <c r="CI26" s="12"/>
      <c r="CJ26" s="12">
        <v>0.8</v>
      </c>
      <c r="CM26">
        <v>1</v>
      </c>
      <c r="CN26" s="12"/>
      <c r="CO26" s="12">
        <v>1</v>
      </c>
      <c r="CP26" s="12"/>
      <c r="CQ26" s="12">
        <v>1</v>
      </c>
      <c r="CU26" s="12"/>
      <c r="CV26" s="12"/>
      <c r="CW26" s="12"/>
      <c r="CX26" s="12"/>
      <c r="DB26" s="12"/>
      <c r="DC26" s="12"/>
      <c r="DD26" s="12"/>
      <c r="DE26" s="12"/>
      <c r="DI26" s="12"/>
      <c r="DJ26" s="12"/>
      <c r="DK26" s="12"/>
      <c r="DL26" s="12"/>
      <c r="DP26" s="12"/>
      <c r="DQ26" s="12"/>
      <c r="DR26" s="12"/>
      <c r="DS26" s="12"/>
    </row>
    <row r="28" spans="2:123">
      <c r="B28" t="s">
        <v>27</v>
      </c>
      <c r="C28" t="s">
        <v>72</v>
      </c>
      <c r="D28" s="19">
        <v>44960</v>
      </c>
      <c r="E28" s="11">
        <v>2.5</v>
      </c>
      <c r="G28" s="12">
        <v>1</v>
      </c>
      <c r="I28" s="14">
        <f>+SUM(I29:I34)</f>
        <v>48</v>
      </c>
      <c r="J28" s="13">
        <f>+SUMPRODUCT(G29:G34,J29:J34)</f>
        <v>0</v>
      </c>
      <c r="K28" s="13">
        <f>+SUMPRODUCT(G29:G34,K29:K34)</f>
        <v>0</v>
      </c>
      <c r="L28" s="11"/>
      <c r="N28" s="14">
        <v>4</v>
      </c>
      <c r="U28" s="14">
        <f>+SUM(U29:U34)</f>
        <v>4</v>
      </c>
      <c r="AB28" s="14">
        <f>+SUM(AB29:AB34)</f>
        <v>4</v>
      </c>
      <c r="AI28" s="14">
        <f>+SUM(AI29:AI34)</f>
        <v>4</v>
      </c>
      <c r="AP28" s="14">
        <f>+SUM(AP29:AP34)</f>
        <v>4</v>
      </c>
      <c r="AW28" s="14">
        <v>4</v>
      </c>
      <c r="BD28" s="14">
        <v>4</v>
      </c>
      <c r="BK28" s="14">
        <v>4</v>
      </c>
      <c r="BR28" s="14">
        <v>4</v>
      </c>
      <c r="BY28" s="14">
        <v>4</v>
      </c>
      <c r="CF28">
        <v>4</v>
      </c>
      <c r="CM28" s="14">
        <v>4</v>
      </c>
    </row>
    <row r="29" spans="2:123" outlineLevel="1">
      <c r="B29" t="s">
        <v>28</v>
      </c>
      <c r="C29" t="s">
        <v>72</v>
      </c>
      <c r="E29" s="11"/>
      <c r="F29" t="s">
        <v>30</v>
      </c>
      <c r="G29" s="12">
        <v>0.05</v>
      </c>
      <c r="I29" s="11">
        <f t="shared" ref="I29:I34" si="2">+SUMIF($N$3:$ZZ$3,I$3,$N29:$ZZ29)</f>
        <v>3</v>
      </c>
      <c r="J29" s="13" cm="1">
        <f t="array" ref="J29">MAX(IF($N$3:$EH$3=$J$3,N29:EH29))</f>
        <v>0</v>
      </c>
      <c r="K29" s="13" cm="1">
        <f t="array" ref="K29">MAX(IF($N$3:$EH$3=$J$3,N29:EH29))</f>
        <v>0</v>
      </c>
      <c r="L29" s="11"/>
      <c r="N29">
        <v>1</v>
      </c>
      <c r="O29" s="12"/>
      <c r="P29" s="12">
        <v>0.5</v>
      </c>
      <c r="Q29" s="12"/>
      <c r="R29" s="12">
        <v>0.5</v>
      </c>
      <c r="V29" s="12"/>
      <c r="W29" s="12">
        <v>0.5</v>
      </c>
      <c r="X29" s="12"/>
      <c r="Y29" s="12">
        <v>0.5</v>
      </c>
      <c r="AB29">
        <v>1</v>
      </c>
      <c r="AC29" s="12"/>
      <c r="AD29" s="12">
        <v>0.8</v>
      </c>
      <c r="AE29" s="12"/>
      <c r="AF29" s="12">
        <v>0.8</v>
      </c>
      <c r="AJ29" s="12"/>
      <c r="AK29" s="12">
        <v>0.8</v>
      </c>
      <c r="AL29" s="12"/>
      <c r="AM29" s="12">
        <v>0.8</v>
      </c>
      <c r="AQ29" s="12"/>
      <c r="AR29" s="12">
        <v>0.8</v>
      </c>
      <c r="AS29" s="12"/>
      <c r="AT29" s="12">
        <v>0.8</v>
      </c>
      <c r="AX29" s="12"/>
      <c r="AY29" s="12">
        <v>0.8</v>
      </c>
      <c r="AZ29" s="12"/>
      <c r="BA29" s="12">
        <v>0.8</v>
      </c>
      <c r="BD29">
        <v>1</v>
      </c>
      <c r="BE29" s="12"/>
      <c r="BF29" s="12">
        <v>1</v>
      </c>
      <c r="BG29" s="12"/>
      <c r="BH29" s="12">
        <v>1</v>
      </c>
      <c r="BL29" s="12"/>
      <c r="BM29" s="12">
        <v>1</v>
      </c>
      <c r="BN29" s="12"/>
      <c r="BO29" s="12">
        <v>1</v>
      </c>
      <c r="BS29" s="12"/>
      <c r="BT29" s="12">
        <v>1</v>
      </c>
      <c r="BU29" s="12"/>
      <c r="BV29" s="12">
        <v>1</v>
      </c>
      <c r="BZ29" s="12"/>
      <c r="CA29" s="12">
        <v>1</v>
      </c>
      <c r="CB29" s="12"/>
      <c r="CC29" s="12">
        <v>1</v>
      </c>
      <c r="CG29" s="12"/>
      <c r="CH29" s="12">
        <v>1</v>
      </c>
      <c r="CI29" s="12"/>
      <c r="CJ29" s="12">
        <v>1</v>
      </c>
      <c r="CN29" s="12"/>
      <c r="CO29" s="12">
        <v>1</v>
      </c>
      <c r="CP29" s="12"/>
      <c r="CQ29" s="12">
        <v>1</v>
      </c>
      <c r="CU29" s="12"/>
      <c r="CV29" s="12"/>
      <c r="CW29" s="12"/>
      <c r="CX29" s="12"/>
      <c r="DB29" s="12"/>
      <c r="DC29" s="12"/>
      <c r="DD29" s="12"/>
      <c r="DE29" s="12"/>
      <c r="DI29" s="12"/>
      <c r="DJ29" s="12"/>
      <c r="DK29" s="12"/>
      <c r="DL29" s="12"/>
      <c r="DP29" s="12"/>
      <c r="DQ29" s="12"/>
      <c r="DR29" s="12"/>
      <c r="DS29" s="12"/>
    </row>
    <row r="30" spans="2:123" outlineLevel="1">
      <c r="B30" t="s">
        <v>28</v>
      </c>
      <c r="C30" t="s">
        <v>72</v>
      </c>
      <c r="E30" s="11"/>
      <c r="F30" t="s">
        <v>73</v>
      </c>
      <c r="G30" s="12">
        <v>0.2</v>
      </c>
      <c r="I30" s="11">
        <f t="shared" si="2"/>
        <v>11</v>
      </c>
      <c r="J30" s="13" cm="1">
        <f t="array" ref="J30">MAX(IF($N$3:$EH$3=$J$3,N30:EH30))</f>
        <v>0</v>
      </c>
      <c r="K30" s="13" cm="1">
        <f t="array" ref="K30">MAX(IF($N$3:$EH$3=$J$3,N30:EH30))</f>
        <v>0</v>
      </c>
      <c r="L30" s="11"/>
      <c r="N30">
        <v>3</v>
      </c>
      <c r="O30" s="12"/>
      <c r="P30" s="12">
        <v>0.5</v>
      </c>
      <c r="Q30" s="12"/>
      <c r="R30" s="12">
        <v>0.5</v>
      </c>
      <c r="V30" s="12"/>
      <c r="W30" s="12">
        <v>0.5</v>
      </c>
      <c r="X30" s="12"/>
      <c r="Y30" s="12">
        <v>0.5</v>
      </c>
      <c r="AC30" s="12"/>
      <c r="AD30" s="12">
        <v>0.5</v>
      </c>
      <c r="AE30" s="12"/>
      <c r="AF30" s="12">
        <v>0.5</v>
      </c>
      <c r="AJ30" s="12"/>
      <c r="AK30" s="12">
        <v>0.5</v>
      </c>
      <c r="AL30" s="12"/>
      <c r="AM30" s="12">
        <v>0.5</v>
      </c>
      <c r="AP30">
        <v>4</v>
      </c>
      <c r="AQ30" s="12"/>
      <c r="AR30" s="12">
        <v>0.8</v>
      </c>
      <c r="AS30" s="12"/>
      <c r="AT30" s="12">
        <v>0.8</v>
      </c>
      <c r="AX30" s="12"/>
      <c r="AY30" s="12">
        <v>0.8</v>
      </c>
      <c r="AZ30" s="12"/>
      <c r="BA30" s="12">
        <v>0.8</v>
      </c>
      <c r="BE30" s="12"/>
      <c r="BF30" s="12">
        <v>0.8</v>
      </c>
      <c r="BG30" s="12"/>
      <c r="BH30" s="12">
        <v>0.8</v>
      </c>
      <c r="BK30">
        <v>4</v>
      </c>
      <c r="BL30" s="12"/>
      <c r="BM30" s="12">
        <v>1</v>
      </c>
      <c r="BN30" s="12"/>
      <c r="BO30" s="12">
        <v>1</v>
      </c>
      <c r="BS30" s="12"/>
      <c r="BT30" s="12">
        <v>1</v>
      </c>
      <c r="BU30" s="12"/>
      <c r="BV30" s="12">
        <v>1</v>
      </c>
      <c r="BZ30" s="12"/>
      <c r="CA30" s="12">
        <v>1</v>
      </c>
      <c r="CB30" s="12"/>
      <c r="CC30" s="12">
        <v>1</v>
      </c>
      <c r="CG30" s="12"/>
      <c r="CH30" s="12">
        <v>1</v>
      </c>
      <c r="CI30" s="12"/>
      <c r="CJ30" s="12">
        <v>1</v>
      </c>
      <c r="CN30" s="12"/>
      <c r="CO30" s="12">
        <v>1</v>
      </c>
      <c r="CP30" s="12"/>
      <c r="CQ30" s="12">
        <v>1</v>
      </c>
      <c r="CU30" s="12"/>
      <c r="CV30" s="12"/>
      <c r="CW30" s="12"/>
      <c r="CX30" s="12"/>
      <c r="DB30" s="12"/>
      <c r="DC30" s="12"/>
      <c r="DD30" s="12"/>
      <c r="DE30" s="12"/>
      <c r="DI30" s="12"/>
      <c r="DJ30" s="12"/>
      <c r="DK30" s="12"/>
      <c r="DL30" s="12"/>
      <c r="DP30" s="12"/>
      <c r="DQ30" s="12"/>
      <c r="DR30" s="12"/>
      <c r="DS30" s="12"/>
    </row>
    <row r="31" spans="2:123" outlineLevel="1">
      <c r="B31" t="s">
        <v>28</v>
      </c>
      <c r="C31" t="s">
        <v>72</v>
      </c>
      <c r="E31" s="11"/>
      <c r="F31" t="s">
        <v>74</v>
      </c>
      <c r="G31" s="12">
        <v>0.2</v>
      </c>
      <c r="I31" s="11">
        <f t="shared" si="2"/>
        <v>8</v>
      </c>
      <c r="J31" s="13" cm="1">
        <f t="array" ref="J31">MAX(IF($N$3:$EH$3=$J$3,N31:EH31))</f>
        <v>0</v>
      </c>
      <c r="K31" s="13" cm="1">
        <f t="array" ref="K31">MAX(IF($N$3:$EH$3=$J$3,N31:EH31))</f>
        <v>0</v>
      </c>
      <c r="L31" s="11"/>
      <c r="O31" s="12"/>
      <c r="P31" s="12"/>
      <c r="Q31" s="12"/>
      <c r="R31" s="12"/>
      <c r="U31">
        <v>2</v>
      </c>
      <c r="V31" s="12"/>
      <c r="W31" s="12">
        <v>0.5</v>
      </c>
      <c r="X31" s="12"/>
      <c r="Y31" s="12">
        <v>0.5</v>
      </c>
      <c r="AC31" s="12"/>
      <c r="AD31" s="12">
        <v>0.5</v>
      </c>
      <c r="AE31" s="12"/>
      <c r="AF31" s="12">
        <v>0.5</v>
      </c>
      <c r="AJ31" s="12"/>
      <c r="AK31" s="12">
        <v>0.5</v>
      </c>
      <c r="AL31" s="12"/>
      <c r="AM31" s="12">
        <v>0.5</v>
      </c>
      <c r="AQ31" s="12"/>
      <c r="AR31" s="12">
        <v>0.5</v>
      </c>
      <c r="AS31" s="12"/>
      <c r="AT31" s="12">
        <v>0.5</v>
      </c>
      <c r="AW31">
        <v>4</v>
      </c>
      <c r="AX31" s="12"/>
      <c r="AY31" s="12">
        <v>0.8</v>
      </c>
      <c r="AZ31" s="12"/>
      <c r="BA31" s="12">
        <v>0.8</v>
      </c>
      <c r="BE31" s="12"/>
      <c r="BF31" s="12">
        <v>0.8</v>
      </c>
      <c r="BG31" s="12"/>
      <c r="BH31" s="12">
        <v>0.8</v>
      </c>
      <c r="BL31" s="12"/>
      <c r="BM31" s="12">
        <v>0.8</v>
      </c>
      <c r="BN31" s="12"/>
      <c r="BO31" s="12">
        <v>0.8</v>
      </c>
      <c r="BS31" s="12"/>
      <c r="BT31" s="12">
        <v>0.8</v>
      </c>
      <c r="BU31" s="12"/>
      <c r="BV31" s="12">
        <v>0.8</v>
      </c>
      <c r="BY31">
        <v>2</v>
      </c>
      <c r="BZ31" s="12"/>
      <c r="CA31" s="12">
        <v>1</v>
      </c>
      <c r="CB31" s="12"/>
      <c r="CC31" s="12">
        <v>1</v>
      </c>
      <c r="CG31" s="12"/>
      <c r="CH31" s="12">
        <v>1</v>
      </c>
      <c r="CI31" s="12"/>
      <c r="CJ31" s="12">
        <v>1</v>
      </c>
      <c r="CN31" s="12"/>
      <c r="CO31" s="12">
        <v>1</v>
      </c>
      <c r="CP31" s="12"/>
      <c r="CQ31" s="12">
        <v>1</v>
      </c>
      <c r="CU31" s="12"/>
      <c r="CV31" s="12"/>
      <c r="CW31" s="12"/>
      <c r="CX31" s="12"/>
      <c r="DB31" s="12"/>
      <c r="DC31" s="12"/>
      <c r="DD31" s="12"/>
      <c r="DE31" s="12"/>
      <c r="DI31" s="12"/>
      <c r="DJ31" s="12"/>
      <c r="DK31" s="12"/>
      <c r="DL31" s="12"/>
      <c r="DP31" s="12"/>
      <c r="DQ31" s="12"/>
      <c r="DR31" s="12"/>
      <c r="DS31" s="12"/>
    </row>
    <row r="32" spans="2:123" outlineLevel="1">
      <c r="B32" t="s">
        <v>28</v>
      </c>
      <c r="C32" t="s">
        <v>72</v>
      </c>
      <c r="E32" s="11"/>
      <c r="F32" t="s">
        <v>75</v>
      </c>
      <c r="G32" s="12">
        <v>0.15</v>
      </c>
      <c r="I32" s="11">
        <f t="shared" si="2"/>
        <v>7</v>
      </c>
      <c r="J32" s="13" cm="1">
        <f t="array" ref="J32">MAX(IF($N$3:$EH$3=$J$3,N32:EH32))</f>
        <v>0</v>
      </c>
      <c r="K32" s="13" cm="1">
        <f t="array" ref="K32">MAX(IF($N$3:$EH$3=$J$3,N32:EH32))</f>
        <v>0</v>
      </c>
      <c r="L32" s="11"/>
      <c r="O32" s="12"/>
      <c r="P32" s="12"/>
      <c r="Q32" s="12"/>
      <c r="R32" s="12"/>
      <c r="U32">
        <v>2</v>
      </c>
      <c r="V32" s="12"/>
      <c r="W32" s="12">
        <v>0.5</v>
      </c>
      <c r="X32" s="12"/>
      <c r="Y32" s="12">
        <v>0.5</v>
      </c>
      <c r="AC32" s="12"/>
      <c r="AD32" s="12">
        <v>0.5</v>
      </c>
      <c r="AE32" s="12"/>
      <c r="AF32" s="12">
        <v>0.5</v>
      </c>
      <c r="AJ32" s="12"/>
      <c r="AK32" s="12">
        <v>0.5</v>
      </c>
      <c r="AL32" s="12"/>
      <c r="AM32" s="12">
        <v>0.5</v>
      </c>
      <c r="AQ32" s="12"/>
      <c r="AR32" s="12">
        <v>0.5</v>
      </c>
      <c r="AS32" s="12"/>
      <c r="AT32" s="12">
        <v>0.5</v>
      </c>
      <c r="AX32" s="12"/>
      <c r="AY32" s="12">
        <v>0.5</v>
      </c>
      <c r="AZ32" s="12"/>
      <c r="BA32" s="12">
        <v>0.5</v>
      </c>
      <c r="BD32">
        <v>3</v>
      </c>
      <c r="BE32" s="12"/>
      <c r="BF32" s="12">
        <v>0.8</v>
      </c>
      <c r="BG32" s="12"/>
      <c r="BH32" s="12">
        <v>0.8</v>
      </c>
      <c r="BL32" s="12"/>
      <c r="BM32" s="12">
        <v>0.8</v>
      </c>
      <c r="BN32" s="12"/>
      <c r="BO32" s="12">
        <v>0.8</v>
      </c>
      <c r="BS32" s="12"/>
      <c r="BT32" s="12">
        <v>0.8</v>
      </c>
      <c r="BU32" s="12"/>
      <c r="BV32" s="12">
        <v>0.8</v>
      </c>
      <c r="BZ32" s="12"/>
      <c r="CA32" s="12">
        <v>0.8</v>
      </c>
      <c r="CB32" s="12"/>
      <c r="CC32" s="12">
        <v>0.8</v>
      </c>
      <c r="CF32">
        <v>2</v>
      </c>
      <c r="CG32" s="12"/>
      <c r="CH32" s="12">
        <v>1</v>
      </c>
      <c r="CI32" s="12"/>
      <c r="CJ32" s="12">
        <v>1</v>
      </c>
      <c r="CN32" s="12"/>
      <c r="CO32" s="12">
        <v>1</v>
      </c>
      <c r="CP32" s="12"/>
      <c r="CQ32" s="12">
        <v>1</v>
      </c>
      <c r="CU32" s="12"/>
      <c r="CV32" s="12"/>
      <c r="CW32" s="12"/>
      <c r="CX32" s="12"/>
      <c r="DB32" s="12"/>
      <c r="DC32" s="12"/>
      <c r="DD32" s="12"/>
      <c r="DE32" s="12"/>
      <c r="DI32" s="12"/>
      <c r="DJ32" s="12"/>
      <c r="DK32" s="12"/>
      <c r="DL32" s="12"/>
      <c r="DP32" s="12"/>
      <c r="DQ32" s="12"/>
      <c r="DR32" s="12"/>
      <c r="DS32" s="12"/>
    </row>
    <row r="33" spans="2:123" outlineLevel="1">
      <c r="B33" t="s">
        <v>28</v>
      </c>
      <c r="C33" t="s">
        <v>72</v>
      </c>
      <c r="E33" s="11"/>
      <c r="F33" t="s">
        <v>76</v>
      </c>
      <c r="G33" s="12">
        <v>0.2</v>
      </c>
      <c r="I33" s="11">
        <f t="shared" si="2"/>
        <v>11</v>
      </c>
      <c r="J33" s="13" cm="1">
        <f t="array" ref="J33">MAX(IF($N$3:$EH$3=$J$3,N33:EH33))</f>
        <v>0</v>
      </c>
      <c r="K33" s="13" cm="1">
        <f t="array" ref="K33">MAX(IF($N$3:$EH$3=$J$3,N33:EH33))</f>
        <v>0</v>
      </c>
      <c r="L33" s="11"/>
      <c r="O33" s="12"/>
      <c r="P33" s="12"/>
      <c r="Q33" s="12"/>
      <c r="R33" s="12"/>
      <c r="V33" s="12"/>
      <c r="W33" s="12"/>
      <c r="X33" s="12"/>
      <c r="Y33" s="12"/>
      <c r="AB33">
        <v>3</v>
      </c>
      <c r="AC33" s="12"/>
      <c r="AD33" s="12">
        <v>0.5</v>
      </c>
      <c r="AE33" s="12"/>
      <c r="AF33" s="12">
        <v>0.5</v>
      </c>
      <c r="AJ33" s="12"/>
      <c r="AK33" s="12">
        <v>0.5</v>
      </c>
      <c r="AL33" s="12"/>
      <c r="AM33" s="12">
        <v>0.5</v>
      </c>
      <c r="AQ33" s="12"/>
      <c r="AR33" s="12">
        <v>0.5</v>
      </c>
      <c r="AS33" s="12"/>
      <c r="AT33" s="12">
        <v>0.5</v>
      </c>
      <c r="AX33" s="12"/>
      <c r="AY33" s="12">
        <v>0.5</v>
      </c>
      <c r="AZ33" s="12"/>
      <c r="BA33" s="12">
        <v>0.5</v>
      </c>
      <c r="BE33" s="12"/>
      <c r="BF33" s="12">
        <v>0.5</v>
      </c>
      <c r="BG33" s="12"/>
      <c r="BH33" s="12">
        <v>0.5</v>
      </c>
      <c r="BL33" s="12"/>
      <c r="BM33" s="12">
        <v>0.5</v>
      </c>
      <c r="BN33" s="12"/>
      <c r="BO33" s="12">
        <v>0.5</v>
      </c>
      <c r="BR33">
        <v>4</v>
      </c>
      <c r="BS33" s="12"/>
      <c r="BT33" s="12">
        <v>0.8</v>
      </c>
      <c r="BU33" s="12"/>
      <c r="BV33" s="12">
        <v>0.8</v>
      </c>
      <c r="BZ33" s="12"/>
      <c r="CA33" s="12">
        <v>0.8</v>
      </c>
      <c r="CB33" s="12"/>
      <c r="CC33" s="12">
        <v>0.8</v>
      </c>
      <c r="CG33" s="12"/>
      <c r="CH33" s="12">
        <v>0.8</v>
      </c>
      <c r="CI33" s="12"/>
      <c r="CJ33" s="12">
        <v>0.8</v>
      </c>
      <c r="CM33">
        <v>4</v>
      </c>
      <c r="CN33" s="12"/>
      <c r="CO33" s="12">
        <v>1</v>
      </c>
      <c r="CP33" s="12"/>
      <c r="CQ33" s="12">
        <v>1</v>
      </c>
      <c r="CU33" s="12"/>
      <c r="CV33" s="12"/>
      <c r="CW33" s="12"/>
      <c r="CX33" s="12"/>
      <c r="DB33" s="12"/>
      <c r="DC33" s="12"/>
      <c r="DD33" s="12"/>
      <c r="DE33" s="12"/>
      <c r="DI33" s="12"/>
      <c r="DJ33" s="12"/>
      <c r="DK33" s="12"/>
      <c r="DL33" s="12"/>
      <c r="DP33" s="12"/>
      <c r="DQ33" s="12"/>
      <c r="DR33" s="12"/>
      <c r="DS33" s="12"/>
    </row>
    <row r="34" spans="2:123" outlineLevel="1">
      <c r="B34" t="s">
        <v>28</v>
      </c>
      <c r="C34" t="s">
        <v>72</v>
      </c>
      <c r="E34" s="11"/>
      <c r="F34" t="s">
        <v>77</v>
      </c>
      <c r="G34" s="12">
        <v>0.2</v>
      </c>
      <c r="I34" s="11">
        <f t="shared" si="2"/>
        <v>8</v>
      </c>
      <c r="J34" s="13" cm="1">
        <f t="array" ref="J34">MAX(IF($N$3:$EH$3=$J$3,N34:EH34))</f>
        <v>0</v>
      </c>
      <c r="K34" s="13" cm="1">
        <f t="array" ref="K34">MAX(IF($N$3:$EH$3=$J$3,N34:EH34))</f>
        <v>0</v>
      </c>
      <c r="L34" s="11"/>
      <c r="O34" s="12"/>
      <c r="P34" s="12"/>
      <c r="Q34" s="12"/>
      <c r="R34" s="12"/>
      <c r="V34" s="12"/>
      <c r="W34" s="12"/>
      <c r="X34" s="12"/>
      <c r="Y34" s="12"/>
      <c r="AC34" s="12"/>
      <c r="AD34" s="12"/>
      <c r="AE34" s="12"/>
      <c r="AF34" s="12"/>
      <c r="AI34">
        <v>4</v>
      </c>
      <c r="AJ34" s="12"/>
      <c r="AK34" s="12">
        <v>0.5</v>
      </c>
      <c r="AL34" s="12"/>
      <c r="AM34" s="12">
        <v>0.5</v>
      </c>
      <c r="AQ34" s="12"/>
      <c r="AR34" s="12">
        <v>0.5</v>
      </c>
      <c r="AS34" s="12"/>
      <c r="AT34" s="12">
        <v>0.5</v>
      </c>
      <c r="AX34" s="12"/>
      <c r="AY34" s="12">
        <v>0.5</v>
      </c>
      <c r="AZ34" s="12"/>
      <c r="BA34" s="12">
        <v>0.5</v>
      </c>
      <c r="BE34" s="12"/>
      <c r="BF34" s="12">
        <v>0.5</v>
      </c>
      <c r="BG34" s="12"/>
      <c r="BH34" s="12">
        <v>0.5</v>
      </c>
      <c r="BL34" s="12"/>
      <c r="BM34" s="12">
        <v>0.5</v>
      </c>
      <c r="BN34" s="12"/>
      <c r="BO34" s="12">
        <v>0.5</v>
      </c>
      <c r="BS34" s="12"/>
      <c r="BT34" s="12">
        <v>0.5</v>
      </c>
      <c r="BU34" s="12"/>
      <c r="BV34" s="12">
        <v>0.5</v>
      </c>
      <c r="BY34">
        <v>2</v>
      </c>
      <c r="BZ34" s="12"/>
      <c r="CA34" s="12">
        <v>0.8</v>
      </c>
      <c r="CB34" s="12"/>
      <c r="CC34" s="12">
        <v>0.8</v>
      </c>
      <c r="CF34">
        <v>2</v>
      </c>
      <c r="CG34" s="12"/>
      <c r="CH34" s="12">
        <v>1</v>
      </c>
      <c r="CI34" s="12"/>
      <c r="CJ34" s="12">
        <v>1</v>
      </c>
      <c r="CN34" s="12"/>
      <c r="CO34" s="12">
        <v>1</v>
      </c>
      <c r="CP34" s="12"/>
      <c r="CQ34" s="12">
        <v>1</v>
      </c>
      <c r="CU34" s="12"/>
      <c r="CV34" s="12"/>
      <c r="CW34" s="12"/>
      <c r="CX34" s="12"/>
      <c r="DB34" s="12"/>
      <c r="DC34" s="12"/>
      <c r="DD34" s="12"/>
      <c r="DE34" s="12"/>
      <c r="DI34" s="12"/>
      <c r="DJ34" s="12"/>
      <c r="DK34" s="12"/>
      <c r="DL34" s="12"/>
      <c r="DP34" s="12"/>
      <c r="DQ34" s="12"/>
      <c r="DR34" s="12"/>
      <c r="DS34" s="12"/>
    </row>
    <row r="36" spans="2:123">
      <c r="B36" t="s">
        <v>27</v>
      </c>
      <c r="C36" t="s">
        <v>78</v>
      </c>
      <c r="D36" s="19">
        <v>44958</v>
      </c>
      <c r="E36" s="11">
        <v>5</v>
      </c>
      <c r="G36" s="12">
        <v>1</v>
      </c>
      <c r="I36" s="14">
        <f>+SUM(I37:I43)</f>
        <v>72</v>
      </c>
      <c r="J36" s="13">
        <f>+SUMPRODUCT(G37:G43,J37:J43)</f>
        <v>0</v>
      </c>
      <c r="K36" s="13">
        <f>+SUMPRODUCT(G37:G43,K37:K43)</f>
        <v>0</v>
      </c>
      <c r="L36" s="11"/>
      <c r="N36" s="14">
        <f>+SUM(N37:N43)</f>
        <v>6</v>
      </c>
      <c r="U36" s="14">
        <f>+SUM(U37:U43)</f>
        <v>6</v>
      </c>
      <c r="AB36" s="14">
        <f>+SUM(AB37:AB43)</f>
        <v>6</v>
      </c>
      <c r="AI36" s="14">
        <f>+SUM(AI37:AI43)</f>
        <v>6</v>
      </c>
      <c r="AP36" s="14">
        <f>+SUM(AP37:AP43)</f>
        <v>6</v>
      </c>
      <c r="AW36" s="14">
        <v>6</v>
      </c>
      <c r="BD36" s="14">
        <v>6</v>
      </c>
      <c r="BK36" s="14">
        <v>6</v>
      </c>
      <c r="BR36" s="14">
        <v>6</v>
      </c>
      <c r="BY36">
        <v>6</v>
      </c>
      <c r="CF36">
        <v>6</v>
      </c>
      <c r="CM36" s="14">
        <v>6</v>
      </c>
    </row>
    <row r="37" spans="2:123" outlineLevel="1">
      <c r="B37" t="s">
        <v>28</v>
      </c>
      <c r="C37" t="s">
        <v>78</v>
      </c>
      <c r="E37" s="11"/>
      <c r="F37" t="s">
        <v>79</v>
      </c>
      <c r="G37" s="12">
        <v>0.1</v>
      </c>
      <c r="I37" s="11">
        <f t="shared" ref="I37:I43" si="3">+SUMIF($N$3:$ZZ$3,I$3,$N37:$ZZ37)</f>
        <v>10</v>
      </c>
      <c r="J37" s="13" cm="1">
        <f t="array" ref="J37">MAX(IF($N$3:$EH$3=$J$3,N37:EH37))</f>
        <v>0</v>
      </c>
      <c r="K37" s="13" cm="1">
        <f t="array" ref="K37">MAX(IF($N$3:$EH$3=$J$3,N37:EH37))</f>
        <v>0</v>
      </c>
      <c r="L37" s="11"/>
      <c r="N37">
        <v>6</v>
      </c>
      <c r="O37" s="12"/>
      <c r="P37" s="12">
        <v>0.5</v>
      </c>
      <c r="Q37" s="12"/>
      <c r="R37" s="12">
        <v>0.5</v>
      </c>
      <c r="V37" s="12"/>
      <c r="W37" s="12">
        <v>0.5</v>
      </c>
      <c r="X37" s="12"/>
      <c r="Y37" s="12">
        <v>0.5</v>
      </c>
      <c r="AB37">
        <v>2</v>
      </c>
      <c r="AC37" s="12"/>
      <c r="AD37" s="12">
        <v>0.8</v>
      </c>
      <c r="AE37" s="12"/>
      <c r="AF37" s="12">
        <v>0.8</v>
      </c>
      <c r="AJ37" s="12"/>
      <c r="AK37" s="12">
        <v>0.8</v>
      </c>
      <c r="AL37" s="12"/>
      <c r="AM37" s="12">
        <v>0.8</v>
      </c>
      <c r="AQ37" s="12"/>
      <c r="AR37" s="12">
        <v>0.8</v>
      </c>
      <c r="AS37" s="12"/>
      <c r="AT37" s="12">
        <v>0.8</v>
      </c>
      <c r="AX37" s="12"/>
      <c r="AY37" s="12">
        <v>0.8</v>
      </c>
      <c r="AZ37" s="12"/>
      <c r="BA37" s="12">
        <v>0.8</v>
      </c>
      <c r="BD37">
        <v>2</v>
      </c>
      <c r="BE37" s="12"/>
      <c r="BF37" s="12">
        <v>1</v>
      </c>
      <c r="BG37" s="12"/>
      <c r="BH37" s="12">
        <v>1</v>
      </c>
      <c r="BL37" s="12"/>
      <c r="BM37" s="12">
        <v>1</v>
      </c>
      <c r="BN37" s="12"/>
      <c r="BO37" s="12">
        <v>1</v>
      </c>
      <c r="BS37" s="12"/>
      <c r="BT37" s="12">
        <v>1</v>
      </c>
      <c r="BU37" s="12"/>
      <c r="BV37" s="12">
        <v>1</v>
      </c>
      <c r="BZ37" s="12"/>
      <c r="CA37" s="12">
        <v>1</v>
      </c>
      <c r="CB37" s="12"/>
      <c r="CC37" s="12">
        <v>1</v>
      </c>
      <c r="CG37" s="12"/>
      <c r="CH37" s="12">
        <v>1</v>
      </c>
      <c r="CI37" s="12"/>
      <c r="CJ37" s="12">
        <v>1</v>
      </c>
      <c r="CN37" s="12"/>
      <c r="CO37" s="12">
        <v>1</v>
      </c>
      <c r="CP37" s="12"/>
      <c r="CQ37" s="12">
        <v>1</v>
      </c>
      <c r="CU37" s="12"/>
      <c r="CV37" s="12"/>
      <c r="CW37" s="12"/>
      <c r="CX37" s="12"/>
      <c r="DB37" s="12"/>
      <c r="DC37" s="12"/>
      <c r="DD37" s="12"/>
      <c r="DE37" s="12"/>
      <c r="DI37" s="12"/>
      <c r="DJ37" s="12"/>
      <c r="DK37" s="12"/>
      <c r="DL37" s="12"/>
      <c r="DP37" s="12"/>
      <c r="DQ37" s="12"/>
      <c r="DR37" s="12"/>
      <c r="DS37" s="12"/>
    </row>
    <row r="38" spans="2:123" outlineLevel="1">
      <c r="B38" t="s">
        <v>28</v>
      </c>
      <c r="C38" t="s">
        <v>78</v>
      </c>
      <c r="E38" s="11"/>
      <c r="F38" t="s">
        <v>80</v>
      </c>
      <c r="G38" s="12">
        <v>0.1</v>
      </c>
      <c r="I38" s="11">
        <f t="shared" si="3"/>
        <v>8</v>
      </c>
      <c r="J38" s="13" cm="1">
        <f t="array" ref="J38">MAX(IF($N$3:$EH$3=$J$3,N38:EH38))</f>
        <v>0</v>
      </c>
      <c r="K38" s="13" cm="1">
        <f t="array" ref="K38">MAX(IF($N$3:$EH$3=$J$3,N38:EH38))</f>
        <v>0</v>
      </c>
      <c r="L38" s="11"/>
      <c r="O38" s="12"/>
      <c r="P38" s="12"/>
      <c r="Q38" s="12"/>
      <c r="R38" s="12"/>
      <c r="U38">
        <v>3</v>
      </c>
      <c r="V38" s="12"/>
      <c r="W38" s="12">
        <v>0.5</v>
      </c>
      <c r="X38" s="12"/>
      <c r="Y38" s="12">
        <v>0.5</v>
      </c>
      <c r="AC38" s="12"/>
      <c r="AD38" s="12">
        <v>0.5</v>
      </c>
      <c r="AE38" s="12"/>
      <c r="AF38" s="12">
        <v>0.5</v>
      </c>
      <c r="AI38">
        <v>2</v>
      </c>
      <c r="AJ38" s="12"/>
      <c r="AK38" s="12">
        <v>0.8</v>
      </c>
      <c r="AL38" s="12"/>
      <c r="AM38" s="12">
        <v>0.8</v>
      </c>
      <c r="AQ38" s="12"/>
      <c r="AR38" s="12">
        <v>0.8</v>
      </c>
      <c r="AS38" s="12"/>
      <c r="AT38" s="12">
        <v>0.8</v>
      </c>
      <c r="AX38" s="12"/>
      <c r="AY38" s="12">
        <v>0.8</v>
      </c>
      <c r="AZ38" s="12"/>
      <c r="BA38" s="12">
        <v>0.8</v>
      </c>
      <c r="BE38" s="12"/>
      <c r="BF38" s="12">
        <v>0.8</v>
      </c>
      <c r="BG38" s="12"/>
      <c r="BH38" s="12">
        <v>0.8</v>
      </c>
      <c r="BK38">
        <v>3</v>
      </c>
      <c r="BL38" s="12"/>
      <c r="BM38" s="12">
        <v>1</v>
      </c>
      <c r="BN38" s="12"/>
      <c r="BO38" s="12">
        <v>1</v>
      </c>
      <c r="BS38" s="12"/>
      <c r="BT38" s="12">
        <v>1</v>
      </c>
      <c r="BU38" s="12"/>
      <c r="BV38" s="12">
        <v>1</v>
      </c>
      <c r="BZ38" s="12"/>
      <c r="CA38" s="12">
        <v>1</v>
      </c>
      <c r="CB38" s="12"/>
      <c r="CC38" s="12">
        <v>1</v>
      </c>
      <c r="CG38" s="12"/>
      <c r="CH38" s="12">
        <v>1</v>
      </c>
      <c r="CI38" s="12"/>
      <c r="CJ38" s="12">
        <v>1</v>
      </c>
      <c r="CN38" s="12"/>
      <c r="CO38" s="12">
        <v>1</v>
      </c>
      <c r="CP38" s="12"/>
      <c r="CQ38" s="12">
        <v>1</v>
      </c>
      <c r="CU38" s="12"/>
      <c r="CV38" s="12"/>
      <c r="CW38" s="12"/>
      <c r="CX38" s="12"/>
      <c r="DB38" s="12"/>
      <c r="DC38" s="12"/>
      <c r="DD38" s="12"/>
      <c r="DE38" s="12"/>
      <c r="DI38" s="12"/>
      <c r="DJ38" s="12"/>
      <c r="DK38" s="12"/>
      <c r="DL38" s="12"/>
      <c r="DP38" s="12"/>
      <c r="DQ38" s="12"/>
      <c r="DR38" s="12"/>
      <c r="DS38" s="12"/>
    </row>
    <row r="39" spans="2:123" outlineLevel="1">
      <c r="B39" t="s">
        <v>28</v>
      </c>
      <c r="C39" t="s">
        <v>78</v>
      </c>
      <c r="E39" s="11"/>
      <c r="F39" t="s">
        <v>81</v>
      </c>
      <c r="G39" s="12">
        <v>0.1</v>
      </c>
      <c r="I39" s="11">
        <f t="shared" si="3"/>
        <v>8</v>
      </c>
      <c r="J39" s="13" cm="1">
        <f t="array" ref="J39">MAX(IF($N$3:$EH$3=$J$3,N39:EH39))</f>
        <v>0</v>
      </c>
      <c r="K39" s="13" cm="1">
        <f t="array" ref="K39">MAX(IF($N$3:$EH$3=$J$3,N39:EH39))</f>
        <v>0</v>
      </c>
      <c r="L39" s="11"/>
      <c r="O39" s="12"/>
      <c r="P39" s="12"/>
      <c r="Q39" s="12"/>
      <c r="R39" s="12"/>
      <c r="U39">
        <v>3</v>
      </c>
      <c r="V39" s="12"/>
      <c r="W39" s="12">
        <v>0.5</v>
      </c>
      <c r="X39" s="12"/>
      <c r="Y39" s="12">
        <v>0.5</v>
      </c>
      <c r="AC39" s="12"/>
      <c r="AD39" s="12">
        <v>0.5</v>
      </c>
      <c r="AE39" s="12"/>
      <c r="AF39" s="12">
        <v>0.5</v>
      </c>
      <c r="AJ39" s="12"/>
      <c r="AK39" s="12">
        <v>0.5</v>
      </c>
      <c r="AL39" s="12"/>
      <c r="AM39" s="12">
        <v>0.5</v>
      </c>
      <c r="AP39">
        <v>3</v>
      </c>
      <c r="AQ39" s="12"/>
      <c r="AR39" s="12">
        <v>0.8</v>
      </c>
      <c r="AS39" s="12"/>
      <c r="AT39" s="12">
        <v>0.8</v>
      </c>
      <c r="AX39" s="12"/>
      <c r="AY39" s="12">
        <v>0.8</v>
      </c>
      <c r="AZ39" s="12"/>
      <c r="BA39" s="12">
        <v>0.8</v>
      </c>
      <c r="BE39" s="12"/>
      <c r="BF39" s="12">
        <v>0.8</v>
      </c>
      <c r="BG39" s="12"/>
      <c r="BH39" s="12">
        <v>0.8</v>
      </c>
      <c r="BL39" s="12"/>
      <c r="BM39" s="12">
        <v>0.8</v>
      </c>
      <c r="BN39" s="12"/>
      <c r="BO39" s="12">
        <v>0.8</v>
      </c>
      <c r="BR39">
        <v>2</v>
      </c>
      <c r="BS39" s="12"/>
      <c r="BT39" s="12">
        <v>1</v>
      </c>
      <c r="BU39" s="12"/>
      <c r="BV39" s="12">
        <v>1</v>
      </c>
      <c r="BZ39" s="12"/>
      <c r="CA39" s="12">
        <v>1</v>
      </c>
      <c r="CB39" s="12"/>
      <c r="CC39" s="12">
        <v>1</v>
      </c>
      <c r="CG39" s="12"/>
      <c r="CH39" s="12">
        <v>1</v>
      </c>
      <c r="CI39" s="12"/>
      <c r="CJ39" s="12">
        <v>1</v>
      </c>
      <c r="CN39" s="12"/>
      <c r="CO39" s="12">
        <v>1</v>
      </c>
      <c r="CP39" s="12"/>
      <c r="CQ39" s="12">
        <v>1</v>
      </c>
      <c r="CU39" s="12"/>
      <c r="CV39" s="12"/>
      <c r="CW39" s="12"/>
      <c r="CX39" s="12"/>
      <c r="DB39" s="12"/>
      <c r="DC39" s="12"/>
      <c r="DD39" s="12"/>
      <c r="DE39" s="12"/>
      <c r="DI39" s="12"/>
      <c r="DJ39" s="12"/>
      <c r="DK39" s="12"/>
      <c r="DL39" s="12"/>
      <c r="DP39" s="12"/>
      <c r="DQ39" s="12"/>
      <c r="DR39" s="12"/>
      <c r="DS39" s="12"/>
    </row>
    <row r="40" spans="2:123" outlineLevel="1">
      <c r="B40" t="s">
        <v>28</v>
      </c>
      <c r="C40" t="s">
        <v>78</v>
      </c>
      <c r="E40" s="11"/>
      <c r="F40" t="s">
        <v>82</v>
      </c>
      <c r="G40" s="12">
        <v>0.2</v>
      </c>
      <c r="I40" s="11">
        <f t="shared" si="3"/>
        <v>13</v>
      </c>
      <c r="J40" s="13" cm="1">
        <f t="array" ref="J40">MAX(IF($N$3:$EH$3=$J$3,N40:EH40))</f>
        <v>0</v>
      </c>
      <c r="K40" s="13" cm="1">
        <f t="array" ref="K40">MAX(IF($N$3:$EH$3=$J$3,N40:EH40))</f>
        <v>0</v>
      </c>
      <c r="L40" s="11"/>
      <c r="O40" s="12"/>
      <c r="P40" s="12"/>
      <c r="Q40" s="12"/>
      <c r="R40" s="12"/>
      <c r="V40" s="12"/>
      <c r="W40" s="12"/>
      <c r="X40" s="12"/>
      <c r="Y40" s="12"/>
      <c r="AB40">
        <v>4</v>
      </c>
      <c r="AC40" s="12"/>
      <c r="AD40" s="12">
        <v>0.5</v>
      </c>
      <c r="AE40" s="12"/>
      <c r="AF40" s="12">
        <v>0.5</v>
      </c>
      <c r="AJ40" s="12"/>
      <c r="AK40" s="12">
        <v>0.5</v>
      </c>
      <c r="AL40" s="12"/>
      <c r="AM40" s="12">
        <v>0.5</v>
      </c>
      <c r="AQ40" s="12"/>
      <c r="AR40" s="12">
        <v>0.5</v>
      </c>
      <c r="AS40" s="12"/>
      <c r="AT40" s="12">
        <v>0.5</v>
      </c>
      <c r="AW40">
        <v>3</v>
      </c>
      <c r="AX40" s="12"/>
      <c r="AY40" s="12">
        <v>0.8</v>
      </c>
      <c r="AZ40" s="12"/>
      <c r="BA40" s="12">
        <v>0.8</v>
      </c>
      <c r="BE40" s="12"/>
      <c r="BF40" s="12">
        <v>0.8</v>
      </c>
      <c r="BG40" s="12"/>
      <c r="BH40" s="12">
        <v>0.8</v>
      </c>
      <c r="BL40" s="12"/>
      <c r="BM40" s="12">
        <v>0.8</v>
      </c>
      <c r="BN40" s="12"/>
      <c r="BO40" s="12">
        <v>0.8</v>
      </c>
      <c r="BS40" s="12"/>
      <c r="BT40" s="12">
        <v>0.8</v>
      </c>
      <c r="BU40" s="12"/>
      <c r="BV40" s="12">
        <v>0.8</v>
      </c>
      <c r="BY40">
        <v>6</v>
      </c>
      <c r="BZ40" s="12"/>
      <c r="CA40" s="12">
        <v>1</v>
      </c>
      <c r="CB40" s="12"/>
      <c r="CC40" s="12">
        <v>1</v>
      </c>
      <c r="CG40" s="12"/>
      <c r="CH40" s="12">
        <v>1</v>
      </c>
      <c r="CI40" s="12"/>
      <c r="CJ40" s="12">
        <v>1</v>
      </c>
      <c r="CN40" s="12"/>
      <c r="CO40" s="12">
        <v>1</v>
      </c>
      <c r="CP40" s="12"/>
      <c r="CQ40" s="12">
        <v>1</v>
      </c>
      <c r="CU40" s="12"/>
      <c r="CV40" s="12"/>
      <c r="CW40" s="12"/>
      <c r="CX40" s="12"/>
      <c r="DB40" s="12"/>
      <c r="DC40" s="12"/>
      <c r="DD40" s="12"/>
      <c r="DE40" s="12"/>
      <c r="DI40" s="12"/>
      <c r="DJ40" s="12"/>
      <c r="DK40" s="12"/>
      <c r="DL40" s="12"/>
      <c r="DP40" s="12"/>
      <c r="DQ40" s="12"/>
      <c r="DR40" s="12"/>
      <c r="DS40" s="12"/>
    </row>
    <row r="41" spans="2:123" outlineLevel="1">
      <c r="B41" t="s">
        <v>28</v>
      </c>
      <c r="C41" t="s">
        <v>78</v>
      </c>
      <c r="E41" s="11"/>
      <c r="F41" t="s">
        <v>83</v>
      </c>
      <c r="G41" s="12">
        <v>0.2</v>
      </c>
      <c r="I41" s="11">
        <f t="shared" si="3"/>
        <v>10</v>
      </c>
      <c r="J41" s="13" cm="1">
        <f t="array" ref="J41">MAX(IF($N$3:$EH$3=$J$3,N41:EH41))</f>
        <v>0</v>
      </c>
      <c r="K41" s="13" cm="1">
        <f t="array" ref="K41">MAX(IF($N$3:$EH$3=$J$3,N41:EH41))</f>
        <v>0</v>
      </c>
      <c r="L41" s="11"/>
      <c r="O41" s="12"/>
      <c r="P41" s="12"/>
      <c r="Q41" s="12"/>
      <c r="R41" s="12"/>
      <c r="V41" s="12"/>
      <c r="W41" s="12"/>
      <c r="X41" s="12"/>
      <c r="Y41" s="12"/>
      <c r="AC41" s="12"/>
      <c r="AD41" s="12"/>
      <c r="AE41" s="12"/>
      <c r="AF41" s="12"/>
      <c r="AI41">
        <v>4</v>
      </c>
      <c r="AJ41" s="12"/>
      <c r="AK41" s="12">
        <v>0.5</v>
      </c>
      <c r="AL41" s="12"/>
      <c r="AM41" s="12">
        <v>0.5</v>
      </c>
      <c r="AQ41" s="12"/>
      <c r="AR41" s="12">
        <v>0.5</v>
      </c>
      <c r="AS41" s="12"/>
      <c r="AT41" s="12">
        <v>0.5</v>
      </c>
      <c r="AX41" s="12"/>
      <c r="AY41" s="12">
        <v>0.5</v>
      </c>
      <c r="AZ41" s="12"/>
      <c r="BA41" s="12">
        <v>0.5</v>
      </c>
      <c r="BD41">
        <v>4</v>
      </c>
      <c r="BE41" s="12"/>
      <c r="BF41" s="12">
        <v>0.8</v>
      </c>
      <c r="BG41" s="12"/>
      <c r="BH41" s="12">
        <v>0.8</v>
      </c>
      <c r="BL41" s="12"/>
      <c r="BM41" s="12">
        <v>0.8</v>
      </c>
      <c r="BN41" s="12"/>
      <c r="BO41" s="12">
        <v>0.8</v>
      </c>
      <c r="BS41" s="12"/>
      <c r="BT41" s="12">
        <v>0.8</v>
      </c>
      <c r="BU41" s="12"/>
      <c r="BV41" s="12">
        <v>0.8</v>
      </c>
      <c r="BZ41" s="12"/>
      <c r="CA41" s="12">
        <v>0.8</v>
      </c>
      <c r="CB41" s="12"/>
      <c r="CC41" s="12">
        <v>0.8</v>
      </c>
      <c r="CF41">
        <v>2</v>
      </c>
      <c r="CG41" s="12"/>
      <c r="CH41" s="12">
        <v>1</v>
      </c>
      <c r="CI41" s="12"/>
      <c r="CJ41" s="12">
        <v>1</v>
      </c>
      <c r="CN41" s="12"/>
      <c r="CO41" s="12">
        <v>1</v>
      </c>
      <c r="CP41" s="12"/>
      <c r="CQ41" s="12">
        <v>1</v>
      </c>
      <c r="CU41" s="12"/>
      <c r="CV41" s="12"/>
      <c r="CW41" s="12"/>
      <c r="CX41" s="12"/>
      <c r="DB41" s="12"/>
      <c r="DC41" s="12"/>
      <c r="DD41" s="12"/>
      <c r="DE41" s="12"/>
      <c r="DI41" s="12"/>
      <c r="DJ41" s="12"/>
      <c r="DK41" s="12"/>
      <c r="DL41" s="12"/>
      <c r="DP41" s="12"/>
      <c r="DQ41" s="12"/>
      <c r="DR41" s="12"/>
      <c r="DS41" s="12"/>
    </row>
    <row r="42" spans="2:123" outlineLevel="1">
      <c r="B42" t="s">
        <v>28</v>
      </c>
      <c r="C42" t="s">
        <v>78</v>
      </c>
      <c r="E42" s="11"/>
      <c r="F42" t="s">
        <v>84</v>
      </c>
      <c r="G42" s="12">
        <v>0.1</v>
      </c>
      <c r="I42" s="11">
        <f t="shared" si="3"/>
        <v>10</v>
      </c>
      <c r="J42" s="13" cm="1">
        <f t="array" ref="J42">MAX(IF($N$3:$EH$3=$J$3,N42:EH42))</f>
        <v>0</v>
      </c>
      <c r="K42" s="13" cm="1">
        <f t="array" ref="K42">MAX(IF($N$3:$EH$3=$J$3,N42:EH42))</f>
        <v>0</v>
      </c>
      <c r="L42" s="11"/>
      <c r="O42" s="12"/>
      <c r="P42" s="12"/>
      <c r="Q42" s="12"/>
      <c r="R42" s="12"/>
      <c r="V42" s="12"/>
      <c r="W42" s="12"/>
      <c r="X42" s="12"/>
      <c r="Y42" s="12"/>
      <c r="AC42" s="12"/>
      <c r="AD42" s="12"/>
      <c r="AE42" s="12"/>
      <c r="AF42" s="12"/>
      <c r="AJ42" s="12"/>
      <c r="AK42" s="12"/>
      <c r="AL42" s="12"/>
      <c r="AM42" s="12"/>
      <c r="AP42">
        <v>3</v>
      </c>
      <c r="AQ42" s="12"/>
      <c r="AR42" s="12">
        <v>0.5</v>
      </c>
      <c r="AS42" s="12"/>
      <c r="AT42" s="12">
        <v>0.5</v>
      </c>
      <c r="AX42" s="12"/>
      <c r="AY42" s="12">
        <v>0.5</v>
      </c>
      <c r="AZ42" s="12"/>
      <c r="BA42" s="12">
        <v>0.5</v>
      </c>
      <c r="BE42" s="12"/>
      <c r="BF42" s="12">
        <v>0.5</v>
      </c>
      <c r="BG42" s="12"/>
      <c r="BH42" s="12">
        <v>0.5</v>
      </c>
      <c r="BK42">
        <v>3</v>
      </c>
      <c r="BL42" s="12"/>
      <c r="BM42" s="12">
        <v>0.8</v>
      </c>
      <c r="BN42" s="12"/>
      <c r="BO42" s="12">
        <v>0.8</v>
      </c>
      <c r="BS42" s="12"/>
      <c r="BT42" s="12">
        <v>0.8</v>
      </c>
      <c r="BU42" s="12"/>
      <c r="BV42" s="12">
        <v>0.8</v>
      </c>
      <c r="BZ42" s="12"/>
      <c r="CA42" s="12">
        <v>0.8</v>
      </c>
      <c r="CB42" s="12"/>
      <c r="CC42" s="12">
        <v>0.8</v>
      </c>
      <c r="CF42">
        <v>4</v>
      </c>
      <c r="CG42" s="12"/>
      <c r="CH42" s="12">
        <v>1</v>
      </c>
      <c r="CI42" s="12"/>
      <c r="CJ42" s="12">
        <v>1</v>
      </c>
      <c r="CN42" s="12"/>
      <c r="CO42" s="12">
        <v>1</v>
      </c>
      <c r="CP42" s="12"/>
      <c r="CQ42" s="12">
        <v>1</v>
      </c>
      <c r="CU42" s="12"/>
      <c r="CV42" s="12"/>
      <c r="CW42" s="12"/>
      <c r="CX42" s="12"/>
      <c r="DB42" s="12"/>
      <c r="DC42" s="12"/>
      <c r="DD42" s="12"/>
      <c r="DE42" s="12"/>
      <c r="DI42" s="12"/>
      <c r="DJ42" s="12"/>
      <c r="DK42" s="12"/>
      <c r="DL42" s="12"/>
      <c r="DP42" s="12"/>
      <c r="DQ42" s="12"/>
      <c r="DR42" s="12"/>
      <c r="DS42" s="12"/>
    </row>
    <row r="43" spans="2:123" outlineLevel="1">
      <c r="B43" t="s">
        <v>28</v>
      </c>
      <c r="C43" t="s">
        <v>78</v>
      </c>
      <c r="E43" s="11"/>
      <c r="F43" t="s">
        <v>85</v>
      </c>
      <c r="G43" s="12">
        <v>0.2</v>
      </c>
      <c r="I43" s="11">
        <f t="shared" si="3"/>
        <v>13</v>
      </c>
      <c r="J43" s="13" cm="1">
        <f t="array" ref="J43">MAX(IF($N$3:$EH$3=$J$3,N43:EH43))</f>
        <v>0</v>
      </c>
      <c r="K43" s="13" cm="1">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W43">
        <v>3</v>
      </c>
      <c r="AX43" s="12"/>
      <c r="AY43" s="12">
        <v>0.5</v>
      </c>
      <c r="AZ43" s="12"/>
      <c r="BA43" s="12">
        <v>0.5</v>
      </c>
      <c r="BE43" s="12"/>
      <c r="BF43" s="12">
        <v>0.5</v>
      </c>
      <c r="BG43" s="12"/>
      <c r="BH43" s="12">
        <v>0.5</v>
      </c>
      <c r="BL43" s="12"/>
      <c r="BM43" s="12">
        <v>0.5</v>
      </c>
      <c r="BN43" s="12"/>
      <c r="BO43" s="12">
        <v>0.5</v>
      </c>
      <c r="BR43">
        <v>4</v>
      </c>
      <c r="BS43" s="12"/>
      <c r="BT43" s="12">
        <v>0.8</v>
      </c>
      <c r="BU43" s="12"/>
      <c r="BV43" s="12">
        <v>0.8</v>
      </c>
      <c r="BZ43" s="12"/>
      <c r="CA43" s="12">
        <v>0.8</v>
      </c>
      <c r="CB43" s="12"/>
      <c r="CC43" s="12">
        <v>0.8</v>
      </c>
      <c r="CG43" s="12"/>
      <c r="CH43" s="12">
        <v>0.8</v>
      </c>
      <c r="CI43" s="12"/>
      <c r="CJ43" s="12">
        <v>0.8</v>
      </c>
      <c r="CM43">
        <v>6</v>
      </c>
      <c r="CN43" s="12"/>
      <c r="CO43" s="12">
        <v>1</v>
      </c>
      <c r="CP43" s="12"/>
      <c r="CQ43" s="12">
        <v>1</v>
      </c>
      <c r="CU43" s="12"/>
      <c r="CV43" s="12"/>
      <c r="CW43" s="12"/>
      <c r="CX43" s="12"/>
      <c r="DB43" s="12"/>
      <c r="DC43" s="12"/>
      <c r="DD43" s="12"/>
      <c r="DE43" s="12"/>
      <c r="DI43" s="12"/>
      <c r="DJ43" s="12"/>
      <c r="DK43" s="12"/>
      <c r="DL43" s="12"/>
      <c r="DP43" s="12"/>
      <c r="DQ43" s="12"/>
      <c r="DR43" s="12"/>
      <c r="DS43" s="12"/>
    </row>
    <row r="45" spans="2:123">
      <c r="B45" t="s">
        <v>27</v>
      </c>
      <c r="C45" t="s">
        <v>86</v>
      </c>
      <c r="D45" s="19">
        <v>44963</v>
      </c>
      <c r="E45" s="11">
        <v>5</v>
      </c>
      <c r="G45" s="12">
        <v>1</v>
      </c>
      <c r="I45" s="14">
        <f>+SUM(I46:I50)</f>
        <v>72</v>
      </c>
      <c r="J45" s="13">
        <f>+SUMPRODUCT(G46:G50,J46:J50)</f>
        <v>0</v>
      </c>
      <c r="K45" s="13">
        <f>+SUMPRODUCT(G46:G50,K46:K50)</f>
        <v>0</v>
      </c>
      <c r="L45" s="11"/>
      <c r="N45" s="14">
        <f>+SUM(N46:N50)</f>
        <v>6</v>
      </c>
      <c r="U45" s="14">
        <f>+SUM(U46:U50)</f>
        <v>6</v>
      </c>
      <c r="AB45" s="14">
        <f>+SUM(AB46:AB50)</f>
        <v>6</v>
      </c>
      <c r="AI45" s="14">
        <f>+SUM(AI46:AI50)</f>
        <v>6</v>
      </c>
      <c r="AP45" s="14">
        <f>+SUM(AP46:AP50)</f>
        <v>6</v>
      </c>
      <c r="AW45" s="14">
        <v>6</v>
      </c>
      <c r="BD45" s="14">
        <v>6</v>
      </c>
      <c r="BK45" s="14">
        <v>6</v>
      </c>
      <c r="BR45" s="14">
        <v>6</v>
      </c>
      <c r="BY45" s="14">
        <v>6</v>
      </c>
      <c r="CF45">
        <v>6</v>
      </c>
      <c r="CM45" s="14">
        <v>6</v>
      </c>
    </row>
    <row r="46" spans="2:123" outlineLevel="1">
      <c r="B46" t="s">
        <v>28</v>
      </c>
      <c r="C46" t="s">
        <v>86</v>
      </c>
      <c r="E46" s="11"/>
      <c r="F46" t="s">
        <v>87</v>
      </c>
      <c r="G46" s="12">
        <v>0.2</v>
      </c>
      <c r="I46" s="11">
        <f t="shared" ref="I46:I50" si="4">+SUMIF($N$3:$ZZ$3,I$3,$N46:$ZZ46)</f>
        <v>12</v>
      </c>
      <c r="J46" s="13" cm="1">
        <f t="array" ref="J46">MAX(IF($N$3:$EH$3=$J$3,N46:EH46))</f>
        <v>0</v>
      </c>
      <c r="K46" s="13" cm="1">
        <f t="array" ref="K46">MAX(IF($N$3:$EH$3=$J$3,N46:EH46))</f>
        <v>0</v>
      </c>
      <c r="L46" s="11"/>
      <c r="N46">
        <v>6</v>
      </c>
      <c r="O46" s="12"/>
      <c r="P46" s="12">
        <v>0.5</v>
      </c>
      <c r="Q46" s="12">
        <v>0.1</v>
      </c>
      <c r="R46" s="12">
        <v>0.5</v>
      </c>
      <c r="V46" s="12"/>
      <c r="W46" s="12">
        <v>0.5</v>
      </c>
      <c r="X46" s="12"/>
      <c r="Y46" s="12">
        <v>0.5</v>
      </c>
      <c r="AC46" s="12"/>
      <c r="AD46" s="12">
        <v>0.5</v>
      </c>
      <c r="AE46" s="12"/>
      <c r="AF46" s="12">
        <v>0.5</v>
      </c>
      <c r="AI46">
        <v>6</v>
      </c>
      <c r="AJ46" s="12"/>
      <c r="AK46" s="12">
        <v>0.8</v>
      </c>
      <c r="AL46" s="12"/>
      <c r="AM46" s="12">
        <v>0.8</v>
      </c>
      <c r="AQ46" s="12"/>
      <c r="AR46" s="12">
        <v>0.8</v>
      </c>
      <c r="AS46" s="12"/>
      <c r="AT46" s="12">
        <v>0.8</v>
      </c>
      <c r="AX46" s="12"/>
      <c r="AY46" s="12">
        <v>1</v>
      </c>
      <c r="AZ46" s="12"/>
      <c r="BA46" s="12">
        <v>1</v>
      </c>
      <c r="BE46" s="12"/>
      <c r="BF46" s="12">
        <v>1</v>
      </c>
      <c r="BG46" s="12"/>
      <c r="BH46" s="12">
        <v>1</v>
      </c>
      <c r="BL46" s="12"/>
      <c r="BM46" s="12">
        <v>1</v>
      </c>
      <c r="BN46" s="12"/>
      <c r="BO46" s="12">
        <v>1</v>
      </c>
      <c r="BS46" s="12"/>
      <c r="BT46" s="12">
        <v>1</v>
      </c>
      <c r="BU46" s="12"/>
      <c r="BV46" s="12">
        <v>1</v>
      </c>
      <c r="BZ46" s="12"/>
      <c r="CA46" s="12">
        <v>1</v>
      </c>
      <c r="CB46" s="12"/>
      <c r="CC46" s="12">
        <v>1</v>
      </c>
      <c r="CG46" s="12"/>
      <c r="CH46" s="12">
        <v>1</v>
      </c>
      <c r="CI46" s="12"/>
      <c r="CJ46" s="12">
        <v>1</v>
      </c>
      <c r="CN46" s="12"/>
      <c r="CO46" s="12">
        <v>1</v>
      </c>
      <c r="CP46" s="12"/>
      <c r="CQ46" s="12">
        <v>1</v>
      </c>
      <c r="CU46" s="12"/>
      <c r="CV46" s="12"/>
      <c r="CW46" s="12"/>
      <c r="CX46" s="12"/>
      <c r="DB46" s="12"/>
      <c r="DC46" s="12"/>
      <c r="DD46" s="12"/>
      <c r="DE46" s="12"/>
      <c r="DI46" s="12"/>
      <c r="DJ46" s="12"/>
      <c r="DK46" s="12"/>
      <c r="DL46" s="12"/>
      <c r="DP46" s="12"/>
      <c r="DQ46" s="12"/>
      <c r="DR46" s="12"/>
      <c r="DS46" s="12"/>
    </row>
    <row r="47" spans="2:123" outlineLevel="1">
      <c r="B47" t="s">
        <v>28</v>
      </c>
      <c r="C47" t="s">
        <v>86</v>
      </c>
      <c r="E47" s="11"/>
      <c r="F47" t="s">
        <v>88</v>
      </c>
      <c r="G47" s="12">
        <v>0.2</v>
      </c>
      <c r="I47" s="11">
        <f t="shared" si="4"/>
        <v>12</v>
      </c>
      <c r="J47" s="13" cm="1">
        <f t="array" ref="J47">MAX(IF($N$3:$EH$3=$J$3,N47:EH47))</f>
        <v>0</v>
      </c>
      <c r="K47" s="13" cm="1">
        <f t="array" ref="K47">MAX(IF($N$3:$EH$3=$J$3,N47:EH47))</f>
        <v>0</v>
      </c>
      <c r="L47" s="11"/>
      <c r="O47" s="12"/>
      <c r="P47" s="12"/>
      <c r="Q47" s="12"/>
      <c r="R47" s="12"/>
      <c r="U47">
        <v>6</v>
      </c>
      <c r="V47" s="12"/>
      <c r="W47" s="12">
        <v>0.5</v>
      </c>
      <c r="X47" s="12"/>
      <c r="Y47" s="12">
        <v>0.5</v>
      </c>
      <c r="AC47" s="12"/>
      <c r="AD47" s="12">
        <v>0.5</v>
      </c>
      <c r="AE47" s="12"/>
      <c r="AF47" s="12">
        <v>0.5</v>
      </c>
      <c r="AJ47" s="12"/>
      <c r="AK47" s="12">
        <v>0.5</v>
      </c>
      <c r="AL47" s="12"/>
      <c r="AM47" s="12">
        <v>0.5</v>
      </c>
      <c r="AQ47" s="12"/>
      <c r="AR47" s="12">
        <v>0.5</v>
      </c>
      <c r="AS47" s="12"/>
      <c r="AT47" s="12">
        <v>0.5</v>
      </c>
      <c r="AW47">
        <v>3</v>
      </c>
      <c r="AX47" s="12"/>
      <c r="AY47" s="12">
        <v>0.8</v>
      </c>
      <c r="AZ47" s="12"/>
      <c r="BA47" s="12">
        <v>0.8</v>
      </c>
      <c r="BE47" s="12"/>
      <c r="BF47" s="12">
        <v>0.8</v>
      </c>
      <c r="BG47" s="12"/>
      <c r="BH47" s="12">
        <v>0.8</v>
      </c>
      <c r="BK47">
        <v>3</v>
      </c>
      <c r="BL47" s="12"/>
      <c r="BM47" s="12">
        <v>1</v>
      </c>
      <c r="BN47" s="12"/>
      <c r="BO47" s="12">
        <v>1</v>
      </c>
      <c r="BS47" s="12"/>
      <c r="BT47" s="12">
        <v>1</v>
      </c>
      <c r="BU47" s="12"/>
      <c r="BV47" s="12">
        <v>1</v>
      </c>
      <c r="BZ47" s="12"/>
      <c r="CA47" s="12">
        <v>1</v>
      </c>
      <c r="CB47" s="12"/>
      <c r="CC47" s="12">
        <v>1</v>
      </c>
      <c r="CG47" s="12"/>
      <c r="CH47" s="12">
        <v>1</v>
      </c>
      <c r="CI47" s="12"/>
      <c r="CJ47" s="12">
        <v>1</v>
      </c>
      <c r="CN47" s="12"/>
      <c r="CO47" s="12">
        <v>1</v>
      </c>
      <c r="CP47" s="12"/>
      <c r="CQ47" s="12">
        <v>1</v>
      </c>
      <c r="CU47" s="12"/>
      <c r="CV47" s="12"/>
      <c r="CW47" s="12"/>
      <c r="CX47" s="12"/>
      <c r="DB47" s="12"/>
      <c r="DC47" s="12"/>
      <c r="DD47" s="12"/>
      <c r="DE47" s="12"/>
      <c r="DI47" s="12"/>
      <c r="DJ47" s="12"/>
      <c r="DK47" s="12"/>
      <c r="DL47" s="12"/>
      <c r="DP47" s="12"/>
      <c r="DQ47" s="12"/>
      <c r="DR47" s="12"/>
      <c r="DS47" s="12"/>
    </row>
    <row r="48" spans="2:123" outlineLevel="1">
      <c r="B48" t="s">
        <v>28</v>
      </c>
      <c r="C48" t="s">
        <v>86</v>
      </c>
      <c r="E48" s="11"/>
      <c r="F48" t="s">
        <v>89</v>
      </c>
      <c r="G48" s="12">
        <v>0.25</v>
      </c>
      <c r="I48" s="11">
        <f t="shared" si="4"/>
        <v>15</v>
      </c>
      <c r="J48" s="13" cm="1">
        <f t="array" ref="J48">MAX(IF($N$3:$EH$3=$J$3,N48:EH48))</f>
        <v>0</v>
      </c>
      <c r="K48" s="13" cm="1">
        <f t="array" ref="K48">MAX(IF($N$3:$EH$3=$J$3,N48:EH48))</f>
        <v>0</v>
      </c>
      <c r="L48" s="11"/>
      <c r="O48" s="12"/>
      <c r="P48" s="12"/>
      <c r="Q48" s="12"/>
      <c r="R48" s="12"/>
      <c r="V48" s="12"/>
      <c r="W48" s="12"/>
      <c r="X48" s="12"/>
      <c r="Y48" s="12"/>
      <c r="AB48">
        <v>6</v>
      </c>
      <c r="AC48" s="12"/>
      <c r="AD48" s="12">
        <v>0.5</v>
      </c>
      <c r="AE48" s="12"/>
      <c r="AF48" s="12">
        <v>0.5</v>
      </c>
      <c r="AJ48" s="12"/>
      <c r="AK48" s="12">
        <v>0.5</v>
      </c>
      <c r="AL48" s="12"/>
      <c r="AM48" s="12">
        <v>0.5</v>
      </c>
      <c r="AQ48" s="12"/>
      <c r="AR48" s="12">
        <v>0.5</v>
      </c>
      <c r="AS48" s="12"/>
      <c r="AT48" s="12">
        <v>0.5</v>
      </c>
      <c r="AX48" s="12"/>
      <c r="AY48" s="12">
        <v>0.8</v>
      </c>
      <c r="AZ48" s="12"/>
      <c r="BA48" s="12">
        <v>0.8</v>
      </c>
      <c r="BE48" s="12"/>
      <c r="BF48" s="12">
        <v>0.8</v>
      </c>
      <c r="BG48" s="12"/>
      <c r="BH48" s="12">
        <v>0.8</v>
      </c>
      <c r="BK48">
        <v>3</v>
      </c>
      <c r="BL48" s="12"/>
      <c r="BM48" s="12">
        <v>0.8</v>
      </c>
      <c r="BN48" s="12"/>
      <c r="BO48" s="12">
        <v>0.8</v>
      </c>
      <c r="BR48">
        <v>6</v>
      </c>
      <c r="BS48" s="12"/>
      <c r="BT48" s="12">
        <v>1</v>
      </c>
      <c r="BU48" s="12"/>
      <c r="BV48" s="12">
        <v>1</v>
      </c>
      <c r="BZ48" s="12"/>
      <c r="CA48" s="12">
        <v>1</v>
      </c>
      <c r="CB48" s="12"/>
      <c r="CC48" s="12">
        <v>1</v>
      </c>
      <c r="CG48" s="12"/>
      <c r="CH48" s="12">
        <v>1</v>
      </c>
      <c r="CI48" s="12"/>
      <c r="CJ48" s="12">
        <v>1</v>
      </c>
      <c r="CN48" s="12"/>
      <c r="CO48" s="12">
        <v>1</v>
      </c>
      <c r="CP48" s="12"/>
      <c r="CQ48" s="12">
        <v>1</v>
      </c>
      <c r="CU48" s="12"/>
      <c r="CV48" s="12"/>
      <c r="CW48" s="12"/>
      <c r="CX48" s="12"/>
      <c r="DB48" s="12"/>
      <c r="DC48" s="12"/>
      <c r="DD48" s="12"/>
      <c r="DE48" s="12"/>
      <c r="DI48" s="12"/>
      <c r="DJ48" s="12"/>
      <c r="DK48" s="12"/>
      <c r="DL48" s="12"/>
      <c r="DP48" s="12"/>
      <c r="DQ48" s="12"/>
      <c r="DR48" s="12"/>
      <c r="DS48" s="12"/>
    </row>
    <row r="49" spans="2:123" outlineLevel="1">
      <c r="B49" t="s">
        <v>28</v>
      </c>
      <c r="C49" t="s">
        <v>86</v>
      </c>
      <c r="E49" s="11"/>
      <c r="F49" t="s">
        <v>90</v>
      </c>
      <c r="G49" s="12">
        <v>0.25</v>
      </c>
      <c r="I49" s="11">
        <f t="shared" si="4"/>
        <v>18</v>
      </c>
      <c r="J49" s="13" cm="1">
        <f t="array" ref="J49">MAX(IF($N$3:$EH$3=$J$3,N49:EH49))</f>
        <v>0</v>
      </c>
      <c r="K49" s="13" cm="1">
        <f t="array" ref="K49">MAX(IF($N$3:$EH$3=$J$3,N49:EH49))</f>
        <v>0</v>
      </c>
      <c r="L49" s="11"/>
      <c r="O49" s="12"/>
      <c r="P49" s="12"/>
      <c r="Q49" s="12"/>
      <c r="R49" s="12"/>
      <c r="V49" s="12"/>
      <c r="W49" s="12"/>
      <c r="X49" s="12"/>
      <c r="Y49" s="12"/>
      <c r="AC49" s="12"/>
      <c r="AD49" s="12"/>
      <c r="AE49" s="12"/>
      <c r="AF49" s="12"/>
      <c r="AJ49" s="12"/>
      <c r="AK49" s="12"/>
      <c r="AL49" s="12"/>
      <c r="AM49" s="12"/>
      <c r="AP49">
        <v>6</v>
      </c>
      <c r="AQ49" s="12"/>
      <c r="AR49" s="12">
        <v>0.5</v>
      </c>
      <c r="AS49" s="12"/>
      <c r="AT49" s="12">
        <v>0.5</v>
      </c>
      <c r="AX49" s="12"/>
      <c r="AY49" s="12">
        <v>0.5</v>
      </c>
      <c r="AZ49" s="12"/>
      <c r="BA49" s="12">
        <v>0.5</v>
      </c>
      <c r="BD49">
        <v>6</v>
      </c>
      <c r="BE49" s="12"/>
      <c r="BF49" s="12">
        <v>0.8</v>
      </c>
      <c r="BG49" s="12"/>
      <c r="BH49" s="12">
        <v>0.8</v>
      </c>
      <c r="BL49" s="12"/>
      <c r="BM49" s="12">
        <v>0.8</v>
      </c>
      <c r="BN49" s="12"/>
      <c r="BO49" s="12">
        <v>0.8</v>
      </c>
      <c r="BS49" s="12"/>
      <c r="BT49" s="12">
        <v>0.8</v>
      </c>
      <c r="BU49" s="12"/>
      <c r="BV49" s="12">
        <v>0.8</v>
      </c>
      <c r="BY49">
        <v>6</v>
      </c>
      <c r="BZ49" s="12"/>
      <c r="CA49" s="12">
        <v>1</v>
      </c>
      <c r="CB49" s="12"/>
      <c r="CC49" s="12">
        <v>1</v>
      </c>
      <c r="CG49" s="12"/>
      <c r="CH49" s="12">
        <v>1</v>
      </c>
      <c r="CI49" s="12"/>
      <c r="CJ49" s="12">
        <v>1</v>
      </c>
      <c r="CN49" s="12"/>
      <c r="CO49" s="12">
        <v>1</v>
      </c>
      <c r="CP49" s="12"/>
      <c r="CQ49" s="12">
        <v>1</v>
      </c>
      <c r="CU49" s="12"/>
      <c r="CV49" s="12"/>
      <c r="CW49" s="12"/>
      <c r="CX49" s="12"/>
      <c r="DB49" s="12"/>
      <c r="DC49" s="12"/>
      <c r="DD49" s="12"/>
      <c r="DE49" s="12"/>
      <c r="DI49" s="12"/>
      <c r="DJ49" s="12"/>
      <c r="DK49" s="12"/>
      <c r="DL49" s="12"/>
      <c r="DP49" s="12"/>
      <c r="DQ49" s="12"/>
      <c r="DR49" s="12"/>
      <c r="DS49" s="12"/>
    </row>
    <row r="50" spans="2:123" outlineLevel="1">
      <c r="B50" t="s">
        <v>28</v>
      </c>
      <c r="C50" t="s">
        <v>86</v>
      </c>
      <c r="E50" s="11"/>
      <c r="F50" t="s">
        <v>91</v>
      </c>
      <c r="G50" s="12">
        <v>0.1</v>
      </c>
      <c r="I50" s="11">
        <f t="shared" si="4"/>
        <v>15</v>
      </c>
      <c r="J50" s="13" cm="1">
        <f t="array" ref="J50">MAX(IF($N$3:$EH$3=$J$3,N50:EH50))</f>
        <v>0</v>
      </c>
      <c r="K50" s="13" cm="1">
        <f t="array" ref="K50">MAX(IF($N$3:$EH$3=$J$3,N50:EH50))</f>
        <v>0</v>
      </c>
      <c r="L50" s="11"/>
      <c r="O50" s="12"/>
      <c r="P50" s="12"/>
      <c r="Q50" s="12"/>
      <c r="R50" s="12"/>
      <c r="V50" s="12"/>
      <c r="W50" s="12"/>
      <c r="X50" s="12"/>
      <c r="Y50" s="12"/>
      <c r="AC50" s="12"/>
      <c r="AD50" s="12"/>
      <c r="AE50" s="12"/>
      <c r="AF50" s="12"/>
      <c r="AJ50" s="12"/>
      <c r="AK50" s="12"/>
      <c r="AL50" s="12"/>
      <c r="AM50" s="12"/>
      <c r="AQ50" s="12"/>
      <c r="AR50" s="12"/>
      <c r="AS50" s="12"/>
      <c r="AT50" s="12"/>
      <c r="AW50">
        <v>3</v>
      </c>
      <c r="AX50" s="12"/>
      <c r="AY50" s="12">
        <v>0.5</v>
      </c>
      <c r="AZ50" s="12"/>
      <c r="BA50" s="12">
        <v>0.5</v>
      </c>
      <c r="BE50" s="12"/>
      <c r="BF50" s="12">
        <v>0.5</v>
      </c>
      <c r="BG50" s="12"/>
      <c r="BH50" s="12">
        <v>0.5</v>
      </c>
      <c r="BL50" s="12"/>
      <c r="BM50" s="12">
        <v>0.5</v>
      </c>
      <c r="BN50" s="12"/>
      <c r="BO50" s="12">
        <v>0.5</v>
      </c>
      <c r="BS50" s="12"/>
      <c r="BT50" s="12">
        <v>0.5</v>
      </c>
      <c r="BU50" s="12"/>
      <c r="BV50" s="12">
        <v>0.5</v>
      </c>
      <c r="BZ50" s="12"/>
      <c r="CA50" s="12">
        <v>0.8</v>
      </c>
      <c r="CB50" s="12"/>
      <c r="CC50" s="12">
        <v>0.8</v>
      </c>
      <c r="CF50">
        <v>6</v>
      </c>
      <c r="CG50" s="12"/>
      <c r="CH50" s="12">
        <v>0.8</v>
      </c>
      <c r="CI50" s="12"/>
      <c r="CJ50" s="12">
        <v>0.8</v>
      </c>
      <c r="CM50">
        <v>6</v>
      </c>
      <c r="CN50" s="12"/>
      <c r="CO50" s="12">
        <v>1</v>
      </c>
      <c r="CP50" s="12"/>
      <c r="CQ50" s="12">
        <v>1</v>
      </c>
      <c r="CU50" s="12"/>
      <c r="CV50" s="12"/>
      <c r="CW50" s="12"/>
      <c r="CX50" s="12"/>
      <c r="DB50" s="12"/>
      <c r="DC50" s="12"/>
      <c r="DD50" s="12"/>
      <c r="DE50" s="12"/>
      <c r="DI50" s="12"/>
      <c r="DJ50" s="12"/>
      <c r="DK50" s="12"/>
      <c r="DL50" s="12"/>
      <c r="DP50" s="12"/>
      <c r="DQ50" s="12"/>
      <c r="DR50" s="12"/>
      <c r="DS50" s="12"/>
    </row>
    <row r="52" spans="2:123">
      <c r="B52" t="s">
        <v>27</v>
      </c>
      <c r="C52" t="s">
        <v>92</v>
      </c>
      <c r="D52" s="19">
        <v>44963</v>
      </c>
      <c r="E52" s="11">
        <v>4</v>
      </c>
      <c r="G52" s="12">
        <f>+SUM(G53:G58)</f>
        <v>1.0000000000000002</v>
      </c>
      <c r="I52" s="14">
        <f>+SUM(I53:I58)</f>
        <v>50</v>
      </c>
      <c r="J52" s="13">
        <f>+SUMPRODUCT(G53:G58,J53:J58)</f>
        <v>0</v>
      </c>
      <c r="K52" s="13">
        <f>+SUMPRODUCT(G53:G58,K53:K58)</f>
        <v>0</v>
      </c>
      <c r="L52" s="11"/>
      <c r="N52" s="14">
        <f>+SUM(N53:N58)</f>
        <v>4</v>
      </c>
      <c r="U52" s="14">
        <f>+SUM(U53:U58)</f>
        <v>4</v>
      </c>
      <c r="AB52" s="14">
        <f>+SUM(AB53:AB58)</f>
        <v>4</v>
      </c>
      <c r="AI52" s="14">
        <f>+SUM(AI53:AI58)</f>
        <v>4</v>
      </c>
      <c r="AP52" s="14">
        <f>+SUM(AP53:AP58)</f>
        <v>4</v>
      </c>
      <c r="AW52" s="14">
        <v>4</v>
      </c>
      <c r="BD52" s="14">
        <v>4</v>
      </c>
      <c r="BK52" s="14">
        <v>4</v>
      </c>
      <c r="BR52" s="14">
        <v>6</v>
      </c>
      <c r="BY52" s="14">
        <v>4</v>
      </c>
      <c r="CF52" s="14">
        <v>4</v>
      </c>
      <c r="CM52" s="14">
        <v>4</v>
      </c>
    </row>
    <row r="53" spans="2:123" outlineLevel="1">
      <c r="B53" t="s">
        <v>28</v>
      </c>
      <c r="C53" t="s">
        <v>92</v>
      </c>
      <c r="E53" s="11"/>
      <c r="F53" t="s">
        <v>93</v>
      </c>
      <c r="G53" s="12">
        <v>0.2</v>
      </c>
      <c r="I53" s="11">
        <f t="shared" ref="I53:I58" si="5">+SUMIF($N$3:$ZZ$3,I$3,$N53:$ZZ53)</f>
        <v>10</v>
      </c>
      <c r="J53" s="13" cm="1">
        <f t="array" ref="J53">MAX(IF($N$3:$EH$3=$J$3,N53:EH53))</f>
        <v>0</v>
      </c>
      <c r="K53" s="13" cm="1">
        <f t="array" ref="K53">MAX(IF($N$3:$EH$3=$J$3,N53:EH53))</f>
        <v>0</v>
      </c>
      <c r="L53" s="11"/>
      <c r="N53">
        <v>4</v>
      </c>
      <c r="O53" s="12"/>
      <c r="P53" s="12">
        <v>0.5</v>
      </c>
      <c r="Q53" s="12"/>
      <c r="R53" s="12">
        <v>0.5</v>
      </c>
      <c r="V53" s="12"/>
      <c r="W53" s="12">
        <v>0.5</v>
      </c>
      <c r="X53" s="12"/>
      <c r="Y53" s="12">
        <v>0.5</v>
      </c>
      <c r="AC53" s="12"/>
      <c r="AD53" s="12">
        <v>0.5</v>
      </c>
      <c r="AE53" s="12"/>
      <c r="AF53" s="12">
        <v>0.5</v>
      </c>
      <c r="AI53">
        <v>4</v>
      </c>
      <c r="AJ53" s="12"/>
      <c r="AK53" s="12">
        <v>0.8</v>
      </c>
      <c r="AL53" s="12"/>
      <c r="AM53" s="12">
        <v>0.8</v>
      </c>
      <c r="AQ53" s="12"/>
      <c r="AR53" s="12">
        <v>0.8</v>
      </c>
      <c r="AS53" s="12"/>
      <c r="AT53" s="12">
        <v>0.8</v>
      </c>
      <c r="AX53" s="12"/>
      <c r="AY53" s="12">
        <v>0.8</v>
      </c>
      <c r="AZ53" s="12"/>
      <c r="BA53" s="12">
        <v>0.8</v>
      </c>
      <c r="BE53" s="12"/>
      <c r="BF53" s="12">
        <v>0.8</v>
      </c>
      <c r="BG53" s="12"/>
      <c r="BH53" s="12">
        <v>0.8</v>
      </c>
      <c r="BK53">
        <v>2</v>
      </c>
      <c r="BL53" s="12"/>
      <c r="BM53" s="12">
        <v>1</v>
      </c>
      <c r="BN53" s="12"/>
      <c r="BO53" s="12">
        <v>1</v>
      </c>
      <c r="BS53" s="12"/>
      <c r="BT53" s="12">
        <v>1</v>
      </c>
      <c r="BU53" s="12"/>
      <c r="BV53" s="12">
        <v>1</v>
      </c>
      <c r="BZ53" s="12"/>
      <c r="CA53" s="12">
        <v>1</v>
      </c>
      <c r="CB53" s="12"/>
      <c r="CC53" s="12">
        <v>1</v>
      </c>
      <c r="CG53" s="12"/>
      <c r="CH53" s="12">
        <v>1</v>
      </c>
      <c r="CI53" s="12"/>
      <c r="CJ53" s="12">
        <v>1</v>
      </c>
      <c r="CN53" s="12"/>
      <c r="CO53" s="12">
        <v>1</v>
      </c>
      <c r="CP53" s="12"/>
      <c r="CQ53" s="12">
        <v>1</v>
      </c>
      <c r="CU53" s="12"/>
      <c r="CV53" s="12"/>
      <c r="CW53" s="12"/>
      <c r="CX53" s="12"/>
      <c r="DB53" s="12"/>
      <c r="DC53" s="12"/>
      <c r="DD53" s="12"/>
      <c r="DE53" s="12"/>
      <c r="DI53" s="12"/>
      <c r="DJ53" s="12"/>
      <c r="DK53" s="12"/>
      <c r="DL53" s="12"/>
      <c r="DP53" s="12"/>
      <c r="DQ53" s="12"/>
      <c r="DR53" s="12"/>
      <c r="DS53" s="12"/>
    </row>
    <row r="54" spans="2:123" outlineLevel="1">
      <c r="B54" t="s">
        <v>28</v>
      </c>
      <c r="C54" t="s">
        <v>92</v>
      </c>
      <c r="E54" s="11"/>
      <c r="F54" t="s">
        <v>94</v>
      </c>
      <c r="G54" s="12">
        <v>0.25</v>
      </c>
      <c r="I54" s="11">
        <f t="shared" si="5"/>
        <v>9</v>
      </c>
      <c r="J54" s="13" cm="1">
        <f t="array" ref="J54">MAX(IF($N$3:$EH$3=$J$3,N54:EH54))</f>
        <v>0</v>
      </c>
      <c r="K54" s="13" cm="1">
        <f t="array" ref="K54">MAX(IF($N$3:$EH$3=$J$3,N54:EH54))</f>
        <v>0</v>
      </c>
      <c r="L54" s="11"/>
      <c r="O54" s="12"/>
      <c r="P54" s="12"/>
      <c r="Q54" s="12"/>
      <c r="R54" s="12"/>
      <c r="U54">
        <v>4</v>
      </c>
      <c r="V54" s="12"/>
      <c r="W54" s="12">
        <v>0.5</v>
      </c>
      <c r="X54" s="12"/>
      <c r="Y54" s="12">
        <v>0.5</v>
      </c>
      <c r="AC54" s="12"/>
      <c r="AD54" s="12">
        <v>0.5</v>
      </c>
      <c r="AE54" s="12"/>
      <c r="AF54" s="12">
        <v>0.5</v>
      </c>
      <c r="AJ54" s="12"/>
      <c r="AK54" s="12">
        <v>0.5</v>
      </c>
      <c r="AL54" s="12"/>
      <c r="AM54" s="12">
        <v>0.5</v>
      </c>
      <c r="AQ54" s="12"/>
      <c r="AR54" s="12">
        <v>0.5</v>
      </c>
      <c r="AS54" s="12"/>
      <c r="AT54" s="12">
        <v>0.5</v>
      </c>
      <c r="AW54">
        <v>2</v>
      </c>
      <c r="AX54" s="12"/>
      <c r="AY54" s="12">
        <v>0.8</v>
      </c>
      <c r="AZ54" s="12"/>
      <c r="BA54" s="12">
        <v>0.8</v>
      </c>
      <c r="BE54" s="12"/>
      <c r="BF54" s="12">
        <v>0.8</v>
      </c>
      <c r="BG54" s="12"/>
      <c r="BH54" s="12">
        <v>0.8</v>
      </c>
      <c r="BL54" s="12"/>
      <c r="BM54" s="12">
        <v>0.8</v>
      </c>
      <c r="BN54" s="12"/>
      <c r="BO54" s="12">
        <v>0.8</v>
      </c>
      <c r="BR54">
        <v>3</v>
      </c>
      <c r="BS54" s="12"/>
      <c r="BT54" s="12">
        <v>1</v>
      </c>
      <c r="BU54" s="12"/>
      <c r="BV54" s="12">
        <v>1</v>
      </c>
      <c r="BZ54" s="12"/>
      <c r="CA54" s="12">
        <v>1</v>
      </c>
      <c r="CB54" s="12"/>
      <c r="CC54" s="12">
        <v>1</v>
      </c>
      <c r="CG54" s="12"/>
      <c r="CH54" s="12">
        <v>1</v>
      </c>
      <c r="CI54" s="12"/>
      <c r="CJ54" s="12">
        <v>1</v>
      </c>
      <c r="CN54" s="12"/>
      <c r="CO54" s="12">
        <v>1</v>
      </c>
      <c r="CP54" s="12"/>
      <c r="CQ54" s="12">
        <v>1</v>
      </c>
      <c r="CU54" s="12"/>
      <c r="CV54" s="12"/>
      <c r="CW54" s="12"/>
      <c r="CX54" s="12"/>
      <c r="DB54" s="12"/>
      <c r="DC54" s="12"/>
      <c r="DD54" s="12"/>
      <c r="DE54" s="12"/>
      <c r="DI54" s="12"/>
      <c r="DJ54" s="12"/>
      <c r="DK54" s="12"/>
      <c r="DL54" s="12"/>
      <c r="DP54" s="12"/>
      <c r="DQ54" s="12"/>
      <c r="DR54" s="12"/>
      <c r="DS54" s="12"/>
    </row>
    <row r="55" spans="2:123" outlineLevel="1">
      <c r="B55" t="s">
        <v>28</v>
      </c>
      <c r="C55" t="s">
        <v>92</v>
      </c>
      <c r="E55" s="11"/>
      <c r="F55" t="s">
        <v>95</v>
      </c>
      <c r="G55" s="12">
        <v>0.1</v>
      </c>
      <c r="I55" s="11">
        <f t="shared" si="5"/>
        <v>8</v>
      </c>
      <c r="J55" s="13" cm="1">
        <f t="array" ref="J55">MAX(IF($N$3:$EH$3=$J$3,N55:EH55))</f>
        <v>0</v>
      </c>
      <c r="K55" s="13" cm="1">
        <f t="array" ref="K55">MAX(IF($N$3:$EH$3=$J$3,N55:EH55))</f>
        <v>0</v>
      </c>
      <c r="L55" s="11"/>
      <c r="O55" s="12"/>
      <c r="P55" s="12"/>
      <c r="Q55" s="12"/>
      <c r="R55" s="12"/>
      <c r="V55" s="12"/>
      <c r="W55" s="12"/>
      <c r="X55" s="12"/>
      <c r="Y55" s="12"/>
      <c r="AB55">
        <v>4</v>
      </c>
      <c r="AC55" s="12"/>
      <c r="AD55" s="12">
        <v>0.5</v>
      </c>
      <c r="AE55" s="12"/>
      <c r="AF55" s="12">
        <v>0.5</v>
      </c>
      <c r="AJ55" s="12"/>
      <c r="AK55" s="12">
        <v>0.5</v>
      </c>
      <c r="AL55" s="12"/>
      <c r="AM55" s="12">
        <v>0.5</v>
      </c>
      <c r="AQ55" s="12"/>
      <c r="AR55" s="12">
        <v>0.5</v>
      </c>
      <c r="AS55" s="12"/>
      <c r="AT55" s="12">
        <v>0.5</v>
      </c>
      <c r="AX55" s="12"/>
      <c r="AY55" s="12">
        <v>0.5</v>
      </c>
      <c r="AZ55" s="12"/>
      <c r="BA55" s="12">
        <v>0.5</v>
      </c>
      <c r="BD55">
        <v>2</v>
      </c>
      <c r="BE55" s="12"/>
      <c r="BF55" s="12">
        <v>0.8</v>
      </c>
      <c r="BG55" s="12"/>
      <c r="BH55" s="12">
        <v>0.8</v>
      </c>
      <c r="BL55" s="12"/>
      <c r="BM55" s="12">
        <v>0.8</v>
      </c>
      <c r="BN55" s="12"/>
      <c r="BO55" s="12">
        <v>0.8</v>
      </c>
      <c r="BS55" s="12"/>
      <c r="BT55" s="12">
        <v>0.8</v>
      </c>
      <c r="BU55" s="12"/>
      <c r="BV55" s="12">
        <v>0.8</v>
      </c>
      <c r="BY55">
        <v>2</v>
      </c>
      <c r="BZ55" s="12"/>
      <c r="CA55" s="12">
        <v>1</v>
      </c>
      <c r="CB55" s="12"/>
      <c r="CC55" s="12">
        <v>1</v>
      </c>
      <c r="CG55" s="12"/>
      <c r="CH55" s="12">
        <v>1</v>
      </c>
      <c r="CI55" s="12"/>
      <c r="CJ55" s="12">
        <v>1</v>
      </c>
      <c r="CN55" s="12"/>
      <c r="CO55" s="12">
        <v>1</v>
      </c>
      <c r="CP55" s="12"/>
      <c r="CQ55" s="12">
        <v>1</v>
      </c>
      <c r="CU55" s="12"/>
      <c r="CV55" s="12"/>
      <c r="CW55" s="12"/>
      <c r="CX55" s="12"/>
      <c r="DB55" s="12"/>
      <c r="DC55" s="12"/>
      <c r="DD55" s="12"/>
      <c r="DE55" s="12"/>
      <c r="DI55" s="12"/>
      <c r="DJ55" s="12"/>
      <c r="DK55" s="12"/>
      <c r="DL55" s="12"/>
      <c r="DP55" s="12"/>
      <c r="DQ55" s="12"/>
      <c r="DR55" s="12"/>
      <c r="DS55" s="12"/>
    </row>
    <row r="56" spans="2:123" outlineLevel="1">
      <c r="B56" t="s">
        <v>28</v>
      </c>
      <c r="C56" t="s">
        <v>92</v>
      </c>
      <c r="E56" s="11"/>
      <c r="F56" t="s">
        <v>96</v>
      </c>
      <c r="G56" s="12">
        <v>0.15</v>
      </c>
      <c r="I56" s="11">
        <f>+SUMIF($N$3:$ZZ$3,I$3,$N56:$ZZ56)</f>
        <v>8</v>
      </c>
      <c r="J56" s="13" cm="1">
        <f t="array" ref="J56">MAX(IF($N$3:$EH$3=$J$3,N56:EH56))</f>
        <v>0</v>
      </c>
      <c r="K56" s="13" cm="1">
        <f t="array" ref="K56">MAX(IF($N$3:$EH$3=$J$3,N56:EH56))</f>
        <v>0</v>
      </c>
      <c r="L56" s="11"/>
      <c r="O56" s="12"/>
      <c r="P56" s="12"/>
      <c r="Q56" s="12"/>
      <c r="R56" s="12"/>
      <c r="V56" s="12"/>
      <c r="W56" s="12"/>
      <c r="X56" s="12"/>
      <c r="Y56" s="12"/>
      <c r="AC56" s="12"/>
      <c r="AD56" s="12"/>
      <c r="AE56" s="12"/>
      <c r="AF56" s="12"/>
      <c r="AJ56" s="12"/>
      <c r="AK56" s="12"/>
      <c r="AL56" s="12"/>
      <c r="AM56" s="12"/>
      <c r="AP56">
        <v>4</v>
      </c>
      <c r="AQ56" s="12"/>
      <c r="AR56" s="12">
        <v>0.5</v>
      </c>
      <c r="AS56" s="12"/>
      <c r="AT56" s="12">
        <v>0.5</v>
      </c>
      <c r="AX56" s="12"/>
      <c r="AY56" s="12">
        <v>0.5</v>
      </c>
      <c r="AZ56" s="12"/>
      <c r="BA56" s="12">
        <v>0.5</v>
      </c>
      <c r="BE56" s="12"/>
      <c r="BF56" s="12">
        <v>0.5</v>
      </c>
      <c r="BG56" s="12"/>
      <c r="BH56" s="12">
        <v>0.5</v>
      </c>
      <c r="BK56">
        <v>2</v>
      </c>
      <c r="BL56" s="12"/>
      <c r="BM56" s="12">
        <v>0.8</v>
      </c>
      <c r="BN56" s="12"/>
      <c r="BO56" s="12">
        <v>0.8</v>
      </c>
      <c r="BS56" s="12"/>
      <c r="BT56" s="12">
        <v>0.8</v>
      </c>
      <c r="BU56" s="12"/>
      <c r="BV56" s="12">
        <v>0.8</v>
      </c>
      <c r="BZ56" s="12"/>
      <c r="CA56" s="12">
        <v>0.8</v>
      </c>
      <c r="CB56" s="12"/>
      <c r="CC56" s="12">
        <v>0.8</v>
      </c>
      <c r="CF56">
        <v>2</v>
      </c>
      <c r="CG56" s="12"/>
      <c r="CH56" s="12">
        <v>1</v>
      </c>
      <c r="CI56" s="12"/>
      <c r="CJ56" s="12">
        <v>1</v>
      </c>
      <c r="CN56" s="12"/>
      <c r="CO56" s="12">
        <v>1</v>
      </c>
      <c r="CP56" s="12"/>
      <c r="CQ56" s="12">
        <v>1</v>
      </c>
      <c r="CU56" s="12"/>
      <c r="CV56" s="12"/>
      <c r="CW56" s="12"/>
      <c r="CX56" s="12"/>
      <c r="DB56" s="12"/>
      <c r="DC56" s="12"/>
      <c r="DD56" s="12"/>
      <c r="DE56" s="12"/>
      <c r="DI56" s="12"/>
      <c r="DJ56" s="12"/>
      <c r="DK56" s="12"/>
      <c r="DL56" s="12"/>
      <c r="DP56" s="12"/>
      <c r="DQ56" s="12"/>
      <c r="DR56" s="12"/>
      <c r="DS56" s="12"/>
    </row>
    <row r="57" spans="2:123" outlineLevel="1">
      <c r="B57" t="s">
        <v>28</v>
      </c>
      <c r="C57" t="s">
        <v>92</v>
      </c>
      <c r="E57" s="11"/>
      <c r="F57" t="s">
        <v>97</v>
      </c>
      <c r="G57" s="12">
        <v>0.2</v>
      </c>
      <c r="I57" s="11">
        <f t="shared" si="5"/>
        <v>9</v>
      </c>
      <c r="J57" s="13" cm="1">
        <f t="array" ref="J57">MAX(IF($N$3:$EH$3=$J$3,N57:EH57))</f>
        <v>0</v>
      </c>
      <c r="K57" s="13" cm="1">
        <f t="array" ref="K57">MAX(IF($N$3:$EH$3=$J$3,N57:EH57))</f>
        <v>0</v>
      </c>
      <c r="L57" s="11"/>
      <c r="O57" s="12"/>
      <c r="P57" s="12"/>
      <c r="Q57" s="12"/>
      <c r="R57" s="12"/>
      <c r="V57" s="12"/>
      <c r="W57" s="12"/>
      <c r="X57" s="12"/>
      <c r="Y57" s="12"/>
      <c r="AC57" s="12"/>
      <c r="AD57" s="12"/>
      <c r="AE57" s="12"/>
      <c r="AF57" s="12"/>
      <c r="AJ57" s="12"/>
      <c r="AK57" s="12"/>
      <c r="AL57" s="12"/>
      <c r="AM57" s="12"/>
      <c r="AQ57" s="12"/>
      <c r="AR57" s="12"/>
      <c r="AS57" s="12"/>
      <c r="AT57" s="12"/>
      <c r="AW57">
        <v>2</v>
      </c>
      <c r="AX57" s="12"/>
      <c r="AY57" s="12">
        <v>0.5</v>
      </c>
      <c r="AZ57" s="12"/>
      <c r="BA57" s="12">
        <v>0.5</v>
      </c>
      <c r="BE57" s="12"/>
      <c r="BF57" s="12">
        <v>0.5</v>
      </c>
      <c r="BG57" s="12"/>
      <c r="BH57" s="12">
        <v>0.5</v>
      </c>
      <c r="BL57" s="12"/>
      <c r="BM57" s="12">
        <v>0.5</v>
      </c>
      <c r="BN57" s="12"/>
      <c r="BO57" s="12">
        <v>0.5</v>
      </c>
      <c r="BR57">
        <v>3</v>
      </c>
      <c r="BS57" s="12"/>
      <c r="BT57" s="12">
        <v>0.8</v>
      </c>
      <c r="BU57" s="12"/>
      <c r="BV57" s="12">
        <v>0.8</v>
      </c>
      <c r="BZ57" s="12"/>
      <c r="CA57" s="12">
        <v>0.8</v>
      </c>
      <c r="CB57" s="12"/>
      <c r="CC57" s="12">
        <v>0.8</v>
      </c>
      <c r="CG57" s="12"/>
      <c r="CH57" s="12">
        <v>0.8</v>
      </c>
      <c r="CI57" s="12"/>
      <c r="CJ57" s="12">
        <v>0.8</v>
      </c>
      <c r="CM57">
        <v>4</v>
      </c>
      <c r="CN57" s="12"/>
      <c r="CO57" s="12">
        <v>1</v>
      </c>
      <c r="CP57" s="12"/>
      <c r="CQ57" s="12">
        <v>1</v>
      </c>
      <c r="CU57" s="12"/>
      <c r="CV57" s="12"/>
      <c r="CW57" s="12"/>
      <c r="CX57" s="12"/>
      <c r="DB57" s="12"/>
      <c r="DC57" s="12"/>
      <c r="DD57" s="12"/>
      <c r="DE57" s="12"/>
      <c r="DI57" s="12"/>
      <c r="DJ57" s="12"/>
      <c r="DK57" s="12"/>
      <c r="DL57" s="12"/>
      <c r="DP57" s="12"/>
      <c r="DQ57" s="12"/>
      <c r="DR57" s="12"/>
      <c r="DS57" s="12"/>
    </row>
    <row r="58" spans="2:123" outlineLevel="1">
      <c r="B58" t="s">
        <v>28</v>
      </c>
      <c r="C58" t="s">
        <v>92</v>
      </c>
      <c r="E58" s="11"/>
      <c r="F58" t="s">
        <v>98</v>
      </c>
      <c r="G58" s="12">
        <v>0.1</v>
      </c>
      <c r="I58" s="11">
        <f t="shared" si="5"/>
        <v>6</v>
      </c>
      <c r="J58" s="13" cm="1">
        <f t="array" ref="J58">MAX(IF($N$3:$EH$3=$J$3,N58:EH58))</f>
        <v>0</v>
      </c>
      <c r="K58" s="13" cm="1">
        <f t="array" ref="K58">MAX(IF($N$3:$EH$3=$J$3,N58:EH58))</f>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D58">
        <v>2</v>
      </c>
      <c r="BE58" s="12"/>
      <c r="BF58" s="12">
        <v>0.5</v>
      </c>
      <c r="BG58" s="12"/>
      <c r="BH58" s="12">
        <v>0.5</v>
      </c>
      <c r="BL58" s="12"/>
      <c r="BM58" s="12">
        <v>0.5</v>
      </c>
      <c r="BN58" s="12"/>
      <c r="BO58" s="12">
        <v>0.5</v>
      </c>
      <c r="BS58" s="12"/>
      <c r="BT58" s="12">
        <v>0.5</v>
      </c>
      <c r="BU58" s="12"/>
      <c r="BV58" s="12">
        <v>0.5</v>
      </c>
      <c r="BY58">
        <v>2</v>
      </c>
      <c r="BZ58" s="12"/>
      <c r="CA58" s="12">
        <v>0.8</v>
      </c>
      <c r="CB58" s="12"/>
      <c r="CC58" s="12">
        <v>0.8</v>
      </c>
      <c r="CF58">
        <v>2</v>
      </c>
      <c r="CG58" s="12"/>
      <c r="CH58" s="12">
        <v>1</v>
      </c>
      <c r="CI58" s="12"/>
      <c r="CJ58" s="12">
        <v>1</v>
      </c>
      <c r="CN58" s="12"/>
      <c r="CO58" s="12">
        <v>1</v>
      </c>
      <c r="CP58" s="12"/>
      <c r="CQ58" s="12">
        <v>1</v>
      </c>
      <c r="CU58" s="12"/>
      <c r="CV58" s="12"/>
      <c r="CW58" s="12"/>
      <c r="CX58" s="12"/>
      <c r="DB58" s="12"/>
      <c r="DC58" s="12"/>
      <c r="DD58" s="12"/>
      <c r="DE58" s="12"/>
      <c r="DI58" s="12"/>
      <c r="DJ58" s="12"/>
      <c r="DK58" s="12"/>
      <c r="DL58" s="12"/>
      <c r="DP58" s="12"/>
      <c r="DQ58" s="12"/>
      <c r="DR58" s="12"/>
      <c r="DS58" s="12"/>
    </row>
    <row r="60" spans="2:123">
      <c r="B60" t="s">
        <v>27</v>
      </c>
      <c r="C60" t="s">
        <v>99</v>
      </c>
      <c r="D60" s="19">
        <v>44963</v>
      </c>
      <c r="E60" s="11">
        <v>4</v>
      </c>
      <c r="G60" s="12">
        <v>1</v>
      </c>
      <c r="I60" s="14">
        <f>+SUM(I61:I68)</f>
        <v>60</v>
      </c>
      <c r="J60" s="13">
        <f>+SUMPRODUCT(G61:G68,J61:J68)</f>
        <v>0</v>
      </c>
      <c r="K60" s="13">
        <f>+SUMPRODUCT(G61:G68,K61:K68)</f>
        <v>0</v>
      </c>
      <c r="L60" s="11"/>
      <c r="N60" s="14">
        <f>+SUM(N61:N68)</f>
        <v>5</v>
      </c>
      <c r="U60" s="14">
        <f>+SUM(U61:U68)</f>
        <v>5</v>
      </c>
      <c r="AB60" s="14">
        <f>+SUM(AB61:AB68)</f>
        <v>5</v>
      </c>
      <c r="AI60" s="14">
        <f>+SUM(AI61:AI68)</f>
        <v>5</v>
      </c>
      <c r="AP60" s="14">
        <f>+SUM(AP61:AP68)</f>
        <v>5</v>
      </c>
      <c r="AW60" s="14">
        <f>+SUM(AW61:AW68)</f>
        <v>5</v>
      </c>
      <c r="BD60" s="14">
        <f>+SUM(BD61:BD68)</f>
        <v>5</v>
      </c>
      <c r="BK60" s="14">
        <f>+SUM(BK61:BK68)</f>
        <v>5</v>
      </c>
      <c r="BR60" s="14">
        <f>+SUM(BR61:BR68)</f>
        <v>5</v>
      </c>
      <c r="BY60" s="14">
        <f>+SUM(BY61:BY68)</f>
        <v>5</v>
      </c>
      <c r="CF60" s="14">
        <v>5</v>
      </c>
      <c r="CM60" s="14">
        <v>5</v>
      </c>
      <c r="CT60" s="14">
        <f>+SUM(CT61:CT68)</f>
        <v>0</v>
      </c>
      <c r="DA60" s="14">
        <f>+SUM(DA61:DA68)</f>
        <v>0</v>
      </c>
      <c r="DH60" s="14">
        <f>+SUM(DH61:DH68)</f>
        <v>0</v>
      </c>
      <c r="DO60" s="14">
        <f>+SUM(DO61:DO68)</f>
        <v>0</v>
      </c>
    </row>
    <row r="61" spans="2:123" outlineLevel="1">
      <c r="B61" t="s">
        <v>28</v>
      </c>
      <c r="C61" t="s">
        <v>99</v>
      </c>
      <c r="E61" s="11"/>
      <c r="F61" t="s">
        <v>117</v>
      </c>
      <c r="G61" s="12">
        <v>0.15</v>
      </c>
      <c r="I61" s="11">
        <f>+SUMIF($N$3:$ZZ$3,I$3,$N61:$ZZ61)</f>
        <v>7</v>
      </c>
      <c r="J61" s="13" cm="1">
        <f t="array" ref="J61">MAX(IF($N$3:$EH$3=$J$3,N61:EH61))</f>
        <v>0</v>
      </c>
      <c r="K61" s="13" cm="1">
        <f t="array" ref="K61">MAX(IF($N$3:$EH$3=$J$3,N61:EH61))</f>
        <v>0</v>
      </c>
      <c r="L61" s="11"/>
      <c r="N61">
        <v>3</v>
      </c>
      <c r="O61" s="12"/>
      <c r="P61" s="12">
        <v>0.5</v>
      </c>
      <c r="Q61" s="12"/>
      <c r="R61" s="12">
        <v>0.5</v>
      </c>
      <c r="V61" s="12"/>
      <c r="W61" s="12">
        <v>0.5</v>
      </c>
      <c r="X61" s="12"/>
      <c r="Y61" s="12">
        <v>0.5</v>
      </c>
      <c r="AB61">
        <v>2</v>
      </c>
      <c r="AC61" s="12"/>
      <c r="AD61" s="12">
        <v>0.8</v>
      </c>
      <c r="AE61" s="12"/>
      <c r="AF61" s="12">
        <v>0.8</v>
      </c>
      <c r="AJ61" s="12"/>
      <c r="AK61" s="12">
        <v>0.8</v>
      </c>
      <c r="AL61" s="12"/>
      <c r="AM61" s="12">
        <v>0.8</v>
      </c>
      <c r="AQ61" s="12"/>
      <c r="AR61" s="12">
        <v>0.8</v>
      </c>
      <c r="AS61" s="12"/>
      <c r="AT61" s="12">
        <v>0.8</v>
      </c>
      <c r="AX61" s="12"/>
      <c r="AY61" s="12">
        <v>0.8</v>
      </c>
      <c r="AZ61" s="12"/>
      <c r="BA61" s="12">
        <v>0.8</v>
      </c>
      <c r="BD61">
        <v>2</v>
      </c>
      <c r="BE61" s="12"/>
      <c r="BF61" s="12">
        <v>1</v>
      </c>
      <c r="BG61" s="12"/>
      <c r="BH61" s="12">
        <v>1</v>
      </c>
      <c r="BL61" s="12"/>
      <c r="BM61" s="12">
        <v>1</v>
      </c>
      <c r="BN61" s="12"/>
      <c r="BO61" s="12">
        <v>1</v>
      </c>
      <c r="BS61" s="12"/>
      <c r="BT61" s="12">
        <v>1</v>
      </c>
      <c r="BU61" s="12"/>
      <c r="BV61" s="12">
        <v>1</v>
      </c>
      <c r="BZ61" s="12"/>
      <c r="CA61" s="12">
        <v>1</v>
      </c>
      <c r="CB61" s="12"/>
      <c r="CC61" s="12">
        <v>1</v>
      </c>
      <c r="CG61" s="12"/>
      <c r="CH61" s="12">
        <v>1</v>
      </c>
      <c r="CI61" s="12"/>
      <c r="CJ61" s="12">
        <v>1</v>
      </c>
      <c r="CN61" s="12"/>
      <c r="CO61" s="12">
        <v>1</v>
      </c>
      <c r="CP61" s="12"/>
      <c r="CQ61" s="12">
        <v>1</v>
      </c>
      <c r="CU61" s="12"/>
      <c r="CV61" s="12"/>
      <c r="CW61" s="12"/>
      <c r="CX61" s="12"/>
      <c r="DB61" s="12"/>
      <c r="DC61" s="12"/>
      <c r="DD61" s="12"/>
      <c r="DE61" s="12"/>
      <c r="DI61" s="12"/>
      <c r="DJ61" s="12"/>
      <c r="DK61" s="12"/>
      <c r="DL61" s="12"/>
      <c r="DP61" s="12"/>
      <c r="DQ61" s="12"/>
      <c r="DR61" s="12"/>
      <c r="DS61" s="12"/>
    </row>
    <row r="62" spans="2:123" outlineLevel="1">
      <c r="B62" t="s">
        <v>28</v>
      </c>
      <c r="C62" t="s">
        <v>99</v>
      </c>
      <c r="E62" s="11"/>
      <c r="F62" t="s">
        <v>118</v>
      </c>
      <c r="G62" s="12">
        <v>0.05</v>
      </c>
      <c r="I62" s="11">
        <f t="shared" ref="I62:I68" si="6">+SUMIF($N$3:$ZZ$3,I$3,$N62:$ZZ62)</f>
        <v>7</v>
      </c>
      <c r="J62" s="13" cm="1">
        <f t="array" ref="J62">MAX(IF($N$3:$EH$3=$J$3,N62:EH62))</f>
        <v>0</v>
      </c>
      <c r="K62" s="13" cm="1">
        <f t="array" ref="K62">MAX(IF($N$3:$EH$3=$J$3,N62:EH62))</f>
        <v>0</v>
      </c>
      <c r="L62" s="11"/>
      <c r="N62">
        <v>2</v>
      </c>
      <c r="O62" s="12"/>
      <c r="P62" s="12">
        <v>0.5</v>
      </c>
      <c r="Q62" s="12"/>
      <c r="R62" s="12">
        <v>0.5</v>
      </c>
      <c r="V62" s="12"/>
      <c r="W62" s="12">
        <v>0.5</v>
      </c>
      <c r="X62" s="12"/>
      <c r="Y62" s="12">
        <v>0.5</v>
      </c>
      <c r="AC62" s="12"/>
      <c r="AD62" s="12">
        <v>0.5</v>
      </c>
      <c r="AE62" s="12"/>
      <c r="AF62" s="12">
        <v>0.5</v>
      </c>
      <c r="AI62">
        <v>2</v>
      </c>
      <c r="AJ62" s="12"/>
      <c r="AK62" s="12">
        <v>0.8</v>
      </c>
      <c r="AL62" s="12"/>
      <c r="AM62" s="12">
        <v>0.8</v>
      </c>
      <c r="AQ62" s="12"/>
      <c r="AR62" s="12">
        <v>0.8</v>
      </c>
      <c r="AS62" s="12"/>
      <c r="AT62" s="12">
        <v>0.8</v>
      </c>
      <c r="AX62" s="12"/>
      <c r="AY62" s="12">
        <v>0.8</v>
      </c>
      <c r="AZ62" s="12"/>
      <c r="BA62" s="12">
        <v>0.8</v>
      </c>
      <c r="BE62" s="12"/>
      <c r="BF62" s="12">
        <v>0.8</v>
      </c>
      <c r="BG62" s="12"/>
      <c r="BH62" s="12">
        <v>0.8</v>
      </c>
      <c r="BK62">
        <v>3</v>
      </c>
      <c r="BL62" s="12"/>
      <c r="BM62" s="12">
        <v>1</v>
      </c>
      <c r="BN62" s="12"/>
      <c r="BO62" s="12">
        <v>1</v>
      </c>
      <c r="BS62" s="12"/>
      <c r="BT62" s="12">
        <v>1</v>
      </c>
      <c r="BU62" s="12"/>
      <c r="BV62" s="12">
        <v>1</v>
      </c>
      <c r="BZ62" s="12"/>
      <c r="CA62" s="12">
        <v>1</v>
      </c>
      <c r="CB62" s="12"/>
      <c r="CC62" s="12">
        <v>1</v>
      </c>
      <c r="CG62" s="12"/>
      <c r="CH62" s="12">
        <v>1</v>
      </c>
      <c r="CI62" s="12"/>
      <c r="CJ62" s="12">
        <v>1</v>
      </c>
      <c r="CN62" s="12"/>
      <c r="CO62" s="12">
        <v>1</v>
      </c>
      <c r="CP62" s="12"/>
      <c r="CQ62" s="12">
        <v>1</v>
      </c>
      <c r="CU62" s="12"/>
      <c r="CV62" s="12"/>
      <c r="CW62" s="12"/>
      <c r="CX62" s="12"/>
      <c r="DB62" s="12"/>
      <c r="DC62" s="12"/>
      <c r="DD62" s="12"/>
      <c r="DE62" s="12"/>
      <c r="DI62" s="12"/>
      <c r="DJ62" s="12"/>
      <c r="DK62" s="12"/>
      <c r="DL62" s="12"/>
      <c r="DP62" s="12"/>
      <c r="DQ62" s="12"/>
      <c r="DR62" s="12"/>
      <c r="DS62" s="12"/>
    </row>
    <row r="63" spans="2:123" outlineLevel="1">
      <c r="B63" t="s">
        <v>28</v>
      </c>
      <c r="C63" t="s">
        <v>99</v>
      </c>
      <c r="E63" s="11"/>
      <c r="F63" t="s">
        <v>119</v>
      </c>
      <c r="G63" s="12">
        <v>0.05</v>
      </c>
      <c r="I63" s="11">
        <f t="shared" si="6"/>
        <v>6</v>
      </c>
      <c r="J63" s="13" cm="1">
        <f t="array" ref="J63">MAX(IF($N$3:$EH$3=$J$3,N63:EH63))</f>
        <v>0</v>
      </c>
      <c r="K63" s="13" cm="1">
        <f t="array" ref="K63">MAX(IF($N$3:$EH$3=$J$3,N63:EH63))</f>
        <v>0</v>
      </c>
      <c r="L63" s="11"/>
      <c r="O63" s="12"/>
      <c r="P63" s="12"/>
      <c r="Q63" s="12"/>
      <c r="R63" s="12"/>
      <c r="U63">
        <v>2</v>
      </c>
      <c r="V63" s="12"/>
      <c r="W63" s="12">
        <v>0.5</v>
      </c>
      <c r="X63" s="12"/>
      <c r="Y63" s="12">
        <v>0.5</v>
      </c>
      <c r="AC63" s="12"/>
      <c r="AD63" s="12">
        <v>0.5</v>
      </c>
      <c r="AE63" s="12"/>
      <c r="AF63" s="12">
        <v>0.5</v>
      </c>
      <c r="AJ63" s="12"/>
      <c r="AK63" s="12">
        <v>0.5</v>
      </c>
      <c r="AL63" s="12"/>
      <c r="AM63" s="12">
        <v>0.5</v>
      </c>
      <c r="AP63">
        <v>2</v>
      </c>
      <c r="AQ63" s="12"/>
      <c r="AR63" s="12">
        <v>0.8</v>
      </c>
      <c r="AS63" s="12"/>
      <c r="AT63" s="12">
        <v>0.8</v>
      </c>
      <c r="AX63" s="12"/>
      <c r="AY63" s="12">
        <v>0.8</v>
      </c>
      <c r="AZ63" s="12"/>
      <c r="BA63" s="12">
        <v>0.8</v>
      </c>
      <c r="BE63" s="12"/>
      <c r="BF63" s="12">
        <v>0.8</v>
      </c>
      <c r="BG63" s="12"/>
      <c r="BH63" s="12">
        <v>0.8</v>
      </c>
      <c r="BL63" s="12"/>
      <c r="BM63" s="12">
        <v>0.8</v>
      </c>
      <c r="BN63" s="12"/>
      <c r="BO63" s="12">
        <v>0.8</v>
      </c>
      <c r="BR63">
        <v>2</v>
      </c>
      <c r="BS63" s="12"/>
      <c r="BT63" s="12">
        <v>1</v>
      </c>
      <c r="BU63" s="12"/>
      <c r="BV63" s="12">
        <v>1</v>
      </c>
      <c r="BZ63" s="12"/>
      <c r="CA63" s="12">
        <v>1</v>
      </c>
      <c r="CB63" s="12"/>
      <c r="CC63" s="12">
        <v>1</v>
      </c>
      <c r="CG63" s="12"/>
      <c r="CH63" s="12">
        <v>1</v>
      </c>
      <c r="CI63" s="12"/>
      <c r="CJ63" s="12">
        <v>1</v>
      </c>
      <c r="CN63" s="12"/>
      <c r="CO63" s="12">
        <v>1</v>
      </c>
      <c r="CP63" s="12"/>
      <c r="CQ63" s="12">
        <v>1</v>
      </c>
      <c r="CU63" s="12"/>
      <c r="CV63" s="12"/>
      <c r="CW63" s="12"/>
      <c r="CX63" s="12"/>
      <c r="DB63" s="12"/>
      <c r="DC63" s="12"/>
      <c r="DD63" s="12"/>
      <c r="DE63" s="12"/>
      <c r="DI63" s="12"/>
      <c r="DJ63" s="12"/>
      <c r="DK63" s="12"/>
      <c r="DL63" s="12"/>
      <c r="DP63" s="12"/>
      <c r="DQ63" s="12"/>
      <c r="DR63" s="12"/>
      <c r="DS63" s="12"/>
    </row>
    <row r="64" spans="2:123" outlineLevel="1">
      <c r="B64" t="s">
        <v>28</v>
      </c>
      <c r="C64" t="s">
        <v>99</v>
      </c>
      <c r="E64" s="11"/>
      <c r="F64" t="s">
        <v>120</v>
      </c>
      <c r="G64" s="12">
        <v>0.2</v>
      </c>
      <c r="I64" s="11">
        <f t="shared" si="6"/>
        <v>9</v>
      </c>
      <c r="J64" s="13" cm="1">
        <f t="array" ref="J64">MAX(IF($N$3:$EH$3=$J$3,N64:EH64))</f>
        <v>0</v>
      </c>
      <c r="K64" s="13" cm="1">
        <f t="array" ref="K64">MAX(IF($N$3:$EH$3=$J$3,N64:EH64))</f>
        <v>0</v>
      </c>
      <c r="L64" s="11"/>
      <c r="O64" s="12"/>
      <c r="P64" s="12"/>
      <c r="Q64" s="12"/>
      <c r="R64" s="12"/>
      <c r="U64">
        <v>3</v>
      </c>
      <c r="V64" s="12"/>
      <c r="W64" s="12">
        <v>0.5</v>
      </c>
      <c r="X64" s="12"/>
      <c r="Y64" s="12">
        <v>0.5</v>
      </c>
      <c r="AC64" s="12"/>
      <c r="AD64" s="12">
        <v>0.5</v>
      </c>
      <c r="AE64" s="12"/>
      <c r="AF64" s="12">
        <v>0.5</v>
      </c>
      <c r="AJ64" s="12"/>
      <c r="AK64" s="12">
        <v>0.5</v>
      </c>
      <c r="AL64" s="12"/>
      <c r="AM64" s="12">
        <v>0.5</v>
      </c>
      <c r="AQ64" s="12"/>
      <c r="AR64" s="12">
        <v>0.5</v>
      </c>
      <c r="AS64" s="12"/>
      <c r="AT64" s="12">
        <v>0.5</v>
      </c>
      <c r="AW64">
        <v>3</v>
      </c>
      <c r="AX64" s="12"/>
      <c r="AY64" s="12">
        <v>0.8</v>
      </c>
      <c r="AZ64" s="12"/>
      <c r="BA64" s="12">
        <v>0.8</v>
      </c>
      <c r="BE64" s="12"/>
      <c r="BF64" s="12">
        <v>0.8</v>
      </c>
      <c r="BG64" s="12"/>
      <c r="BH64" s="12">
        <v>0.8</v>
      </c>
      <c r="BL64" s="12"/>
      <c r="BM64" s="12">
        <v>0.8</v>
      </c>
      <c r="BN64" s="12"/>
      <c r="BO64" s="12">
        <v>0.8</v>
      </c>
      <c r="BS64" s="12"/>
      <c r="BT64" s="12">
        <v>0.8</v>
      </c>
      <c r="BU64" s="12"/>
      <c r="BV64" s="12">
        <v>0.8</v>
      </c>
      <c r="BY64">
        <v>3</v>
      </c>
      <c r="BZ64" s="12"/>
      <c r="CA64" s="12">
        <v>1</v>
      </c>
      <c r="CB64" s="12"/>
      <c r="CC64" s="12">
        <v>1</v>
      </c>
      <c r="CG64" s="12"/>
      <c r="CH64" s="12">
        <v>1</v>
      </c>
      <c r="CI64" s="12"/>
      <c r="CJ64" s="12">
        <v>1</v>
      </c>
      <c r="CN64" s="12"/>
      <c r="CO64" s="12">
        <v>1</v>
      </c>
      <c r="CP64" s="12"/>
      <c r="CQ64" s="12">
        <v>1</v>
      </c>
      <c r="CU64" s="12"/>
      <c r="CV64" s="12"/>
      <c r="CW64" s="12"/>
      <c r="CX64" s="12"/>
      <c r="DB64" s="12"/>
      <c r="DC64" s="12"/>
      <c r="DD64" s="12"/>
      <c r="DE64" s="12"/>
      <c r="DI64" s="12"/>
      <c r="DJ64" s="12"/>
      <c r="DK64" s="12"/>
      <c r="DL64" s="12"/>
      <c r="DP64" s="12"/>
      <c r="DQ64" s="12"/>
      <c r="DR64" s="12"/>
      <c r="DS64" s="12"/>
    </row>
    <row r="65" spans="2:123" outlineLevel="1">
      <c r="B65" t="s">
        <v>28</v>
      </c>
      <c r="C65" t="s">
        <v>99</v>
      </c>
      <c r="E65" s="11"/>
      <c r="F65" t="s">
        <v>122</v>
      </c>
      <c r="G65" s="12">
        <v>0.2</v>
      </c>
      <c r="I65" s="11">
        <f t="shared" si="6"/>
        <v>9</v>
      </c>
      <c r="J65" s="13" cm="1">
        <f t="array" ref="J65">MAX(IF($N$3:$EH$3=$J$3,N65:EH65))</f>
        <v>0</v>
      </c>
      <c r="K65" s="13" cm="1">
        <f t="array" ref="K65">MAX(IF($N$3:$EH$3=$J$3,N65:EH65))</f>
        <v>0</v>
      </c>
      <c r="L65" s="11"/>
      <c r="O65" s="12"/>
      <c r="P65" s="12"/>
      <c r="Q65" s="12"/>
      <c r="R65" s="12"/>
      <c r="V65" s="12"/>
      <c r="W65" s="12"/>
      <c r="X65" s="12"/>
      <c r="Y65" s="12"/>
      <c r="AB65">
        <v>3</v>
      </c>
      <c r="AC65" s="12"/>
      <c r="AD65" s="12">
        <v>0.5</v>
      </c>
      <c r="AE65" s="12"/>
      <c r="AF65" s="12">
        <v>0.5</v>
      </c>
      <c r="AJ65" s="12"/>
      <c r="AK65" s="12">
        <v>0.5</v>
      </c>
      <c r="AL65" s="12"/>
      <c r="AM65" s="12">
        <v>0.5</v>
      </c>
      <c r="AQ65" s="12"/>
      <c r="AR65" s="12">
        <v>0.5</v>
      </c>
      <c r="AS65" s="12"/>
      <c r="AT65" s="12">
        <v>0.5</v>
      </c>
      <c r="AX65" s="12"/>
      <c r="AY65" s="12">
        <v>0.5</v>
      </c>
      <c r="AZ65" s="12"/>
      <c r="BA65" s="12">
        <v>0.5</v>
      </c>
      <c r="BD65">
        <v>3</v>
      </c>
      <c r="BE65" s="12"/>
      <c r="BF65" s="12">
        <v>0.8</v>
      </c>
      <c r="BG65" s="12"/>
      <c r="BH65" s="12">
        <v>0.8</v>
      </c>
      <c r="BL65" s="12"/>
      <c r="BM65" s="12">
        <v>0.8</v>
      </c>
      <c r="BN65" s="12"/>
      <c r="BO65" s="12">
        <v>0.8</v>
      </c>
      <c r="BS65" s="12"/>
      <c r="BT65" s="12">
        <v>0.8</v>
      </c>
      <c r="BU65" s="12"/>
      <c r="BV65" s="12">
        <v>0.8</v>
      </c>
      <c r="BZ65" s="12"/>
      <c r="CA65" s="12">
        <v>0.8</v>
      </c>
      <c r="CB65" s="12"/>
      <c r="CC65" s="12">
        <v>0.8</v>
      </c>
      <c r="CF65">
        <v>3</v>
      </c>
      <c r="CG65" s="12"/>
      <c r="CH65" s="12">
        <v>1</v>
      </c>
      <c r="CI65" s="12"/>
      <c r="CJ65" s="12">
        <v>1</v>
      </c>
      <c r="CN65" s="12"/>
      <c r="CO65" s="12">
        <v>1</v>
      </c>
      <c r="CP65" s="12"/>
      <c r="CQ65" s="12">
        <v>1</v>
      </c>
      <c r="CU65" s="12"/>
      <c r="CV65" s="12"/>
      <c r="CW65" s="12"/>
      <c r="CX65" s="12"/>
      <c r="DB65" s="12"/>
      <c r="DC65" s="12"/>
      <c r="DD65" s="12"/>
      <c r="DE65" s="12"/>
      <c r="DI65" s="12"/>
      <c r="DJ65" s="12"/>
      <c r="DK65" s="12"/>
      <c r="DL65" s="12"/>
      <c r="DP65" s="12"/>
      <c r="DQ65" s="12"/>
      <c r="DR65" s="12"/>
      <c r="DS65" s="12"/>
    </row>
    <row r="66" spans="2:123" outlineLevel="1">
      <c r="B66" t="s">
        <v>28</v>
      </c>
      <c r="C66" t="s">
        <v>99</v>
      </c>
      <c r="E66" s="11"/>
      <c r="F66" t="s">
        <v>123</v>
      </c>
      <c r="G66" s="12">
        <v>0.05</v>
      </c>
      <c r="I66" s="11">
        <f t="shared" si="6"/>
        <v>7</v>
      </c>
      <c r="J66" s="13" cm="1">
        <f t="array" ref="J66">MAX(IF($N$3:$EH$3=$J$3,N66:EH66))</f>
        <v>0</v>
      </c>
      <c r="K66" s="13" cm="1">
        <f t="array" ref="K66">MAX(IF($N$3:$EH$3=$J$3,N66:EH66))</f>
        <v>0</v>
      </c>
      <c r="L66" s="11"/>
      <c r="O66" s="12"/>
      <c r="P66" s="12"/>
      <c r="Q66" s="12"/>
      <c r="R66" s="12"/>
      <c r="V66" s="12"/>
      <c r="W66" s="12"/>
      <c r="X66" s="12"/>
      <c r="Y66" s="12"/>
      <c r="AC66" s="12"/>
      <c r="AD66" s="12"/>
      <c r="AE66" s="12"/>
      <c r="AF66" s="12"/>
      <c r="AI66">
        <v>3</v>
      </c>
      <c r="AJ66" s="12"/>
      <c r="AK66" s="12">
        <v>0.5</v>
      </c>
      <c r="AL66" s="12"/>
      <c r="AM66" s="12">
        <v>0.5</v>
      </c>
      <c r="AQ66" s="12"/>
      <c r="AR66" s="12">
        <v>0.5</v>
      </c>
      <c r="AS66" s="12"/>
      <c r="AT66" s="12">
        <v>0.5</v>
      </c>
      <c r="AX66" s="12"/>
      <c r="AY66" s="12">
        <v>0.5</v>
      </c>
      <c r="AZ66" s="12"/>
      <c r="BA66" s="12">
        <v>0.5</v>
      </c>
      <c r="BE66" s="12"/>
      <c r="BF66" s="12">
        <v>0.5</v>
      </c>
      <c r="BG66" s="12"/>
      <c r="BH66" s="12">
        <v>0.5</v>
      </c>
      <c r="BK66">
        <v>2</v>
      </c>
      <c r="BL66" s="12"/>
      <c r="BM66" s="12">
        <v>0.8</v>
      </c>
      <c r="BN66" s="12"/>
      <c r="BO66" s="12">
        <v>0.8</v>
      </c>
      <c r="BS66" s="12"/>
      <c r="BT66" s="12">
        <v>0.8</v>
      </c>
      <c r="BU66" s="12"/>
      <c r="BV66" s="12">
        <v>0.8</v>
      </c>
      <c r="BZ66" s="12"/>
      <c r="CA66" s="12">
        <v>0.8</v>
      </c>
      <c r="CB66" s="12"/>
      <c r="CC66" s="12">
        <v>0.8</v>
      </c>
      <c r="CF66">
        <v>2</v>
      </c>
      <c r="CG66" s="12"/>
      <c r="CH66" s="12">
        <v>1</v>
      </c>
      <c r="CI66" s="12"/>
      <c r="CJ66" s="12">
        <v>1</v>
      </c>
      <c r="CN66" s="12"/>
      <c r="CO66" s="12">
        <v>1</v>
      </c>
      <c r="CP66" s="12"/>
      <c r="CQ66" s="12">
        <v>1</v>
      </c>
      <c r="CU66" s="12"/>
      <c r="CV66" s="12"/>
      <c r="CW66" s="12"/>
      <c r="CX66" s="12"/>
      <c r="DB66" s="12"/>
      <c r="DC66" s="12"/>
      <c r="DD66" s="12"/>
      <c r="DE66" s="12"/>
      <c r="DI66" s="12"/>
      <c r="DJ66" s="12"/>
      <c r="DK66" s="12"/>
      <c r="DL66" s="12"/>
      <c r="DP66" s="12"/>
      <c r="DQ66" s="12"/>
      <c r="DR66" s="12"/>
      <c r="DS66" s="12"/>
    </row>
    <row r="67" spans="2:123" outlineLevel="1">
      <c r="B67" t="s">
        <v>28</v>
      </c>
      <c r="C67" t="s">
        <v>99</v>
      </c>
      <c r="E67" s="11"/>
      <c r="F67" t="s">
        <v>121</v>
      </c>
      <c r="G67" s="12">
        <v>0.2</v>
      </c>
      <c r="I67" s="11">
        <f>+SUMIF($N$3:$ZZ$3,I$3,$N67:$ZZ67)</f>
        <v>9</v>
      </c>
      <c r="J67" s="13" cm="1">
        <f t="array" ref="J67">MAX(IF($N$3:$EH$3=$J$3,N67:EH67))</f>
        <v>0</v>
      </c>
      <c r="K67" s="13" cm="1">
        <f t="array" ref="K67">MAX(IF($N$3:$EH$3=$J$3,N67:EH67))</f>
        <v>0</v>
      </c>
      <c r="L67" s="11"/>
      <c r="O67" s="12"/>
      <c r="P67" s="12"/>
      <c r="Q67" s="12"/>
      <c r="R67" s="12"/>
      <c r="V67" s="12"/>
      <c r="W67" s="12"/>
      <c r="X67" s="12"/>
      <c r="Y67" s="12"/>
      <c r="AC67" s="12"/>
      <c r="AD67" s="12"/>
      <c r="AE67" s="12"/>
      <c r="AF67" s="12"/>
      <c r="AJ67" s="12"/>
      <c r="AK67" s="12"/>
      <c r="AL67" s="12"/>
      <c r="AM67" s="12"/>
      <c r="AP67">
        <v>3</v>
      </c>
      <c r="AQ67" s="12"/>
      <c r="AR67" s="12">
        <v>0.5</v>
      </c>
      <c r="AS67" s="12"/>
      <c r="AT67" s="12">
        <v>0.5</v>
      </c>
      <c r="AX67" s="12"/>
      <c r="AY67" s="12">
        <v>0.5</v>
      </c>
      <c r="AZ67" s="12"/>
      <c r="BA67" s="12">
        <v>0.5</v>
      </c>
      <c r="BE67" s="12"/>
      <c r="BF67" s="12">
        <v>0.5</v>
      </c>
      <c r="BG67" s="12"/>
      <c r="BH67" s="12">
        <v>0.5</v>
      </c>
      <c r="BL67" s="12"/>
      <c r="BM67" s="12">
        <v>0.5</v>
      </c>
      <c r="BN67" s="12"/>
      <c r="BO67" s="12">
        <v>0.5</v>
      </c>
      <c r="BR67">
        <v>3</v>
      </c>
      <c r="BS67" s="12"/>
      <c r="BT67" s="12">
        <v>0.8</v>
      </c>
      <c r="BU67" s="12"/>
      <c r="BV67" s="12">
        <v>0.8</v>
      </c>
      <c r="BZ67" s="12"/>
      <c r="CA67" s="12">
        <v>0.8</v>
      </c>
      <c r="CB67" s="12"/>
      <c r="CC67" s="12">
        <v>0.8</v>
      </c>
      <c r="CG67" s="12"/>
      <c r="CH67" s="12">
        <v>0.8</v>
      </c>
      <c r="CI67" s="12"/>
      <c r="CJ67" s="12">
        <v>0.8</v>
      </c>
      <c r="CM67">
        <v>3</v>
      </c>
      <c r="CN67" s="12"/>
      <c r="CO67" s="12">
        <v>1</v>
      </c>
      <c r="CP67" s="12"/>
      <c r="CQ67" s="12">
        <v>1</v>
      </c>
      <c r="CU67" s="12"/>
      <c r="CV67" s="12"/>
      <c r="CW67" s="12"/>
      <c r="CX67" s="12"/>
      <c r="DB67" s="12"/>
      <c r="DC67" s="12"/>
      <c r="DD67" s="12"/>
      <c r="DE67" s="12"/>
      <c r="DI67" s="12"/>
      <c r="DJ67" s="12"/>
      <c r="DK67" s="12"/>
      <c r="DL67" s="12"/>
      <c r="DP67" s="12"/>
      <c r="DQ67" s="12"/>
      <c r="DR67" s="12"/>
      <c r="DS67" s="12"/>
    </row>
    <row r="68" spans="2:123" outlineLevel="1">
      <c r="B68" t="s">
        <v>28</v>
      </c>
      <c r="C68" t="s">
        <v>99</v>
      </c>
      <c r="E68" s="11"/>
      <c r="F68" t="s">
        <v>124</v>
      </c>
      <c r="G68" s="12">
        <v>0.1</v>
      </c>
      <c r="I68" s="11">
        <f t="shared" si="6"/>
        <v>6</v>
      </c>
      <c r="J68" s="13" cm="1">
        <f t="array" ref="J68">MAX(IF($N$3:$EH$3=$J$3,N68:EH68))</f>
        <v>0</v>
      </c>
      <c r="K68" s="13" cm="1">
        <f t="array" ref="K68">MAX(IF($N$3:$EH$3=$J$3,N68:EH68))</f>
        <v>0</v>
      </c>
      <c r="L68" s="11"/>
      <c r="O68" s="12"/>
      <c r="P68" s="12"/>
      <c r="Q68" s="12"/>
      <c r="R68" s="12"/>
      <c r="V68" s="12"/>
      <c r="W68" s="12"/>
      <c r="X68" s="12"/>
      <c r="Y68" s="12"/>
      <c r="AC68" s="12"/>
      <c r="AD68" s="12"/>
      <c r="AE68" s="12"/>
      <c r="AF68" s="12"/>
      <c r="AJ68" s="12"/>
      <c r="AK68" s="12"/>
      <c r="AL68" s="12"/>
      <c r="AM68" s="12"/>
      <c r="AQ68" s="12"/>
      <c r="AR68" s="12"/>
      <c r="AS68" s="12"/>
      <c r="AT68" s="12"/>
      <c r="AW68">
        <v>2</v>
      </c>
      <c r="AX68" s="12"/>
      <c r="AY68" s="12">
        <v>0.5</v>
      </c>
      <c r="AZ68" s="12"/>
      <c r="BA68" s="12">
        <v>0.5</v>
      </c>
      <c r="BE68" s="12"/>
      <c r="BF68" s="12">
        <v>0.5</v>
      </c>
      <c r="BG68" s="12"/>
      <c r="BH68" s="12">
        <v>0.5</v>
      </c>
      <c r="BL68" s="12"/>
      <c r="BM68" s="12">
        <v>0.5</v>
      </c>
      <c r="BN68" s="12"/>
      <c r="BO68" s="12">
        <v>0.5</v>
      </c>
      <c r="BS68" s="12"/>
      <c r="BT68" s="12">
        <v>0.5</v>
      </c>
      <c r="BU68" s="12"/>
      <c r="BV68" s="12">
        <v>0.5</v>
      </c>
      <c r="BY68">
        <v>2</v>
      </c>
      <c r="BZ68" s="12"/>
      <c r="CA68" s="12">
        <v>0.8</v>
      </c>
      <c r="CB68" s="12"/>
      <c r="CC68" s="12">
        <v>0.8</v>
      </c>
      <c r="CG68" s="12"/>
      <c r="CH68" s="12">
        <v>0.8</v>
      </c>
      <c r="CI68" s="12"/>
      <c r="CJ68" s="12">
        <v>0.8</v>
      </c>
      <c r="CM68">
        <v>2</v>
      </c>
      <c r="CN68" s="12"/>
      <c r="CO68" s="12">
        <v>1</v>
      </c>
      <c r="CP68" s="12"/>
      <c r="CQ68" s="12">
        <v>1</v>
      </c>
      <c r="CU68" s="12"/>
      <c r="CV68" s="12"/>
      <c r="CW68" s="12"/>
      <c r="CX68" s="12"/>
      <c r="DB68" s="12"/>
      <c r="DC68" s="12"/>
      <c r="DD68" s="12"/>
      <c r="DE68" s="12"/>
      <c r="DI68" s="12"/>
      <c r="DJ68" s="12"/>
      <c r="DK68" s="12"/>
      <c r="DL68" s="12"/>
      <c r="DP68" s="12"/>
      <c r="DQ68" s="12"/>
      <c r="DR68" s="12"/>
      <c r="DS68" s="12"/>
    </row>
    <row r="69" spans="2:123">
      <c r="O69" s="9"/>
      <c r="V69" s="9"/>
      <c r="AC69" s="9"/>
      <c r="AJ69" s="9"/>
      <c r="AQ69" s="9"/>
      <c r="AX69" s="9"/>
      <c r="BE69" s="9"/>
      <c r="BL69" s="9"/>
      <c r="BS69" s="9"/>
      <c r="BZ69" s="9"/>
      <c r="CG69" s="9"/>
      <c r="CN69" s="9"/>
      <c r="CU69" s="9"/>
      <c r="DB69" s="9"/>
      <c r="DI69" s="9"/>
      <c r="DP69" s="9"/>
    </row>
    <row r="70" spans="2:123">
      <c r="B70" t="s">
        <v>27</v>
      </c>
      <c r="C70" t="s">
        <v>100</v>
      </c>
      <c r="D70" s="19">
        <v>44963</v>
      </c>
      <c r="E70" s="11">
        <v>2</v>
      </c>
      <c r="G70" s="12">
        <v>1</v>
      </c>
      <c r="I70" s="14">
        <f>+SUM(I71:I74)</f>
        <v>33</v>
      </c>
      <c r="J70" s="13">
        <f>+SUMPRODUCT(G71:G74,J71:J74)</f>
        <v>0</v>
      </c>
      <c r="K70" s="13">
        <f>+SUMPRODUCT(G71:G74,K71:K74)</f>
        <v>0</v>
      </c>
      <c r="L70" s="11"/>
      <c r="N70" s="14">
        <v>3</v>
      </c>
      <c r="U70" s="14">
        <f>+SUM(U71:U74)</f>
        <v>3</v>
      </c>
      <c r="AB70" s="14">
        <f>+SUM(AB71:AB74)</f>
        <v>3</v>
      </c>
      <c r="AI70" s="14">
        <f>+SUM(AI71:AI74)</f>
        <v>3</v>
      </c>
      <c r="AP70" s="14">
        <f>+SUM(AP71:AP74)</f>
        <v>3</v>
      </c>
      <c r="AW70" s="14">
        <f>+SUM(AW71:AW74)</f>
        <v>3</v>
      </c>
      <c r="BD70" s="14">
        <f>+SUM(BD71:BD74)</f>
        <v>3</v>
      </c>
      <c r="BK70" s="14">
        <f>+SUM(BK71:BK74)</f>
        <v>3</v>
      </c>
      <c r="BR70" s="14">
        <f>+SUM(BR71:BR74)</f>
        <v>3</v>
      </c>
      <c r="BY70" s="14">
        <f>+SUM(BY71:BY74)</f>
        <v>3</v>
      </c>
      <c r="CF70" s="14">
        <v>3</v>
      </c>
      <c r="CM70" s="14">
        <v>3</v>
      </c>
      <c r="CT70" s="14">
        <f>+SUM(CT71:CT74)</f>
        <v>0</v>
      </c>
      <c r="DA70" s="14">
        <f>+SUM(DA71:DA74)</f>
        <v>0</v>
      </c>
      <c r="DH70" s="14">
        <f>+SUM(DH71:DH74)</f>
        <v>0</v>
      </c>
      <c r="DO70" s="14">
        <f>+SUM(DO71:DO74)</f>
        <v>0</v>
      </c>
    </row>
    <row r="71" spans="2:123" outlineLevel="1">
      <c r="B71" t="s">
        <v>28</v>
      </c>
      <c r="C71" t="s">
        <v>100</v>
      </c>
      <c r="E71" s="11"/>
      <c r="F71" t="s">
        <v>125</v>
      </c>
      <c r="G71" s="12">
        <v>0.25</v>
      </c>
      <c r="I71" s="11">
        <f>+SUMIF($N$3:$ZZ$3,I$3,$N71:$ZZ71)</f>
        <v>6</v>
      </c>
      <c r="J71" s="13" cm="1">
        <f t="array" ref="J71">MAX(IF($N$3:$EH$3=$J$3,N71:EH71))</f>
        <v>0</v>
      </c>
      <c r="K71" s="13" cm="1">
        <f t="array" ref="K71">MAX(IF($N$3:$EH$3=$J$3,N71:EH71))</f>
        <v>0</v>
      </c>
      <c r="L71" s="11"/>
      <c r="O71" s="12"/>
      <c r="P71" s="12">
        <v>0.5</v>
      </c>
      <c r="Q71" s="12"/>
      <c r="R71" s="12">
        <v>0.5</v>
      </c>
      <c r="V71" s="12"/>
      <c r="W71" s="12">
        <v>0.5</v>
      </c>
      <c r="X71" s="12"/>
      <c r="Y71" s="12">
        <v>0.5</v>
      </c>
      <c r="AB71">
        <v>3</v>
      </c>
      <c r="AC71" s="12"/>
      <c r="AD71" s="12">
        <v>0.8</v>
      </c>
      <c r="AE71" s="12"/>
      <c r="AF71" s="12">
        <v>0.8</v>
      </c>
      <c r="AJ71" s="12"/>
      <c r="AK71" s="12">
        <v>0.8</v>
      </c>
      <c r="AL71" s="12"/>
      <c r="AM71" s="12">
        <v>0.8</v>
      </c>
      <c r="AQ71" s="12"/>
      <c r="AR71" s="12">
        <v>0.8</v>
      </c>
      <c r="AS71" s="12"/>
      <c r="AT71" s="12">
        <v>0.8</v>
      </c>
      <c r="AX71" s="12"/>
      <c r="AY71" s="12">
        <v>0.8</v>
      </c>
      <c r="AZ71" s="12"/>
      <c r="BA71" s="12">
        <v>0.8</v>
      </c>
      <c r="BD71">
        <v>3</v>
      </c>
      <c r="BE71" s="12"/>
      <c r="BF71" s="12">
        <v>1</v>
      </c>
      <c r="BG71" s="12"/>
      <c r="BH71" s="12">
        <v>1</v>
      </c>
      <c r="BI71" s="12"/>
      <c r="BL71" s="12"/>
      <c r="BM71" s="12">
        <v>1</v>
      </c>
      <c r="BN71" s="12"/>
      <c r="BO71" s="12">
        <v>1</v>
      </c>
      <c r="BS71" s="12"/>
      <c r="BT71" s="12">
        <v>1</v>
      </c>
      <c r="BU71" s="12"/>
      <c r="BV71" s="12">
        <v>1</v>
      </c>
      <c r="BZ71" s="12"/>
      <c r="CA71" s="12">
        <v>1</v>
      </c>
      <c r="CB71" s="12"/>
      <c r="CC71" s="12">
        <v>1</v>
      </c>
      <c r="CG71" s="12"/>
      <c r="CH71" s="12">
        <v>1</v>
      </c>
      <c r="CI71" s="12"/>
      <c r="CJ71" s="12">
        <v>1</v>
      </c>
      <c r="CN71" s="12"/>
      <c r="CO71" s="12">
        <v>1</v>
      </c>
      <c r="CP71" s="12"/>
      <c r="CQ71" s="12">
        <v>1</v>
      </c>
      <c r="CU71" s="12"/>
      <c r="CV71" s="12"/>
      <c r="CW71" s="12"/>
      <c r="CX71" s="12"/>
      <c r="DB71" s="12"/>
      <c r="DC71" s="12"/>
      <c r="DD71" s="12"/>
      <c r="DE71" s="12"/>
      <c r="DI71" s="12"/>
      <c r="DJ71" s="12"/>
      <c r="DK71" s="12"/>
      <c r="DL71" s="12"/>
      <c r="DP71" s="12"/>
      <c r="DQ71" s="12"/>
      <c r="DR71" s="12"/>
      <c r="DS71" s="12"/>
    </row>
    <row r="72" spans="2:123" outlineLevel="1">
      <c r="B72" t="s">
        <v>28</v>
      </c>
      <c r="C72" t="s">
        <v>100</v>
      </c>
      <c r="E72" s="11"/>
      <c r="F72" t="s">
        <v>126</v>
      </c>
      <c r="G72" s="12">
        <v>0.25</v>
      </c>
      <c r="I72" s="11">
        <f t="shared" ref="I72:I74" si="7">+SUMIF($N$3:$ZZ$3,I$3,$N72:$ZZ72)</f>
        <v>9</v>
      </c>
      <c r="J72" s="13" cm="1">
        <f t="array" ref="J72">MAX(IF($N$3:$EH$3=$J$3,N72:EH72))</f>
        <v>0</v>
      </c>
      <c r="K72" s="13" cm="1">
        <f t="array" ref="K72">MAX(IF($N$3:$EH$3=$J$3,N72:EH72))</f>
        <v>0</v>
      </c>
      <c r="L72" s="11"/>
      <c r="O72" s="12"/>
      <c r="P72" s="12"/>
      <c r="Q72" s="12"/>
      <c r="R72" s="12"/>
      <c r="U72">
        <v>3</v>
      </c>
      <c r="V72" s="12"/>
      <c r="W72" s="12">
        <v>0.5</v>
      </c>
      <c r="X72" s="12"/>
      <c r="Y72" s="12">
        <v>0.5</v>
      </c>
      <c r="AC72" s="12"/>
      <c r="AD72" s="12">
        <v>0.5</v>
      </c>
      <c r="AE72" s="12"/>
      <c r="AF72" s="12">
        <v>0.5</v>
      </c>
      <c r="AJ72" s="12"/>
      <c r="AK72" s="12">
        <v>0.5</v>
      </c>
      <c r="AL72" s="12"/>
      <c r="AM72" s="12">
        <v>0.5</v>
      </c>
      <c r="AP72">
        <v>3</v>
      </c>
      <c r="AQ72" s="12"/>
      <c r="AR72" s="12">
        <v>0.8</v>
      </c>
      <c r="AS72" s="12"/>
      <c r="AT72" s="12">
        <v>0.8</v>
      </c>
      <c r="AX72" s="12"/>
      <c r="AY72" s="12">
        <v>0.8</v>
      </c>
      <c r="AZ72" s="12"/>
      <c r="BA72" s="12">
        <v>0.8</v>
      </c>
      <c r="BE72" s="12"/>
      <c r="BF72" s="12">
        <v>0.8</v>
      </c>
      <c r="BG72" s="12"/>
      <c r="BH72" s="12">
        <v>0.8</v>
      </c>
      <c r="BL72" s="12"/>
      <c r="BM72" s="12">
        <v>0.8</v>
      </c>
      <c r="BN72" s="12"/>
      <c r="BO72" s="12">
        <v>0.8</v>
      </c>
      <c r="BR72">
        <v>3</v>
      </c>
      <c r="BS72" s="12"/>
      <c r="BT72" s="12">
        <v>1</v>
      </c>
      <c r="BU72" s="12"/>
      <c r="BV72" s="12">
        <v>1</v>
      </c>
      <c r="BZ72" s="12"/>
      <c r="CA72" s="12">
        <v>1</v>
      </c>
      <c r="CB72" s="12"/>
      <c r="CC72" s="12">
        <v>1</v>
      </c>
      <c r="CG72" s="12"/>
      <c r="CH72" s="12">
        <v>1</v>
      </c>
      <c r="CI72" s="12"/>
      <c r="CJ72" s="12">
        <v>1</v>
      </c>
      <c r="CN72" s="12"/>
      <c r="CO72" s="12">
        <v>1</v>
      </c>
      <c r="CP72" s="12"/>
      <c r="CQ72" s="12">
        <v>1</v>
      </c>
      <c r="CU72" s="12"/>
      <c r="CV72" s="12"/>
      <c r="CW72" s="12"/>
      <c r="CX72" s="12"/>
      <c r="DB72" s="12"/>
      <c r="DC72" s="12"/>
      <c r="DD72" s="12"/>
      <c r="DE72" s="12"/>
      <c r="DI72" s="12"/>
      <c r="DJ72" s="12"/>
      <c r="DK72" s="12"/>
      <c r="DL72" s="12"/>
      <c r="DP72" s="12"/>
      <c r="DQ72" s="12"/>
      <c r="DR72" s="12"/>
      <c r="DS72" s="12"/>
    </row>
    <row r="73" spans="2:123" outlineLevel="1">
      <c r="B73" t="s">
        <v>28</v>
      </c>
      <c r="C73" t="s">
        <v>100</v>
      </c>
      <c r="E73" s="11"/>
      <c r="F73" t="s">
        <v>127</v>
      </c>
      <c r="G73" s="12">
        <v>0.25</v>
      </c>
      <c r="I73" s="11">
        <f t="shared" si="7"/>
        <v>9</v>
      </c>
      <c r="J73" s="13" cm="1">
        <f t="array" ref="J73">MAX(IF($N$3:$EH$3=$J$3,N73:EH73))</f>
        <v>0</v>
      </c>
      <c r="K73" s="13" cm="1">
        <f t="array" ref="K73">MAX(IF($N$3:$EH$3=$J$3,N73:EH73))</f>
        <v>0</v>
      </c>
      <c r="L73" s="11"/>
      <c r="O73" s="12"/>
      <c r="P73" s="12"/>
      <c r="Q73" s="12"/>
      <c r="R73" s="12"/>
      <c r="V73" s="12"/>
      <c r="W73" s="12"/>
      <c r="X73" s="12"/>
      <c r="Y73" s="12"/>
      <c r="AC73" s="12"/>
      <c r="AD73" s="12"/>
      <c r="AE73" s="12"/>
      <c r="AF73" s="12"/>
      <c r="AI73">
        <v>3</v>
      </c>
      <c r="AJ73" s="12"/>
      <c r="AK73" s="12">
        <v>0.5</v>
      </c>
      <c r="AL73" s="12"/>
      <c r="AM73" s="12">
        <v>0.5</v>
      </c>
      <c r="AQ73" s="12"/>
      <c r="AR73" s="12">
        <v>0.5</v>
      </c>
      <c r="AS73" s="12"/>
      <c r="AT73" s="12">
        <v>0.5</v>
      </c>
      <c r="AX73" s="12"/>
      <c r="AY73" s="12">
        <v>0.5</v>
      </c>
      <c r="AZ73" s="12"/>
      <c r="BA73" s="12">
        <v>0.5</v>
      </c>
      <c r="BE73" s="12"/>
      <c r="BF73" s="12">
        <v>0.5</v>
      </c>
      <c r="BG73" s="12"/>
      <c r="BH73" s="12">
        <v>0.5</v>
      </c>
      <c r="BK73">
        <v>3</v>
      </c>
      <c r="BL73" s="12"/>
      <c r="BM73" s="12">
        <v>0.8</v>
      </c>
      <c r="BN73" s="12"/>
      <c r="BO73" s="12">
        <v>0.8</v>
      </c>
      <c r="BS73" s="12"/>
      <c r="BT73" s="12">
        <v>0.8</v>
      </c>
      <c r="BU73" s="12"/>
      <c r="BV73" s="12">
        <v>0.8</v>
      </c>
      <c r="BZ73" s="12"/>
      <c r="CA73" s="12">
        <v>0.8</v>
      </c>
      <c r="CB73" s="12"/>
      <c r="CC73" s="12">
        <v>0.8</v>
      </c>
      <c r="CF73">
        <v>3</v>
      </c>
      <c r="CG73" s="12"/>
      <c r="CH73" s="12">
        <v>1</v>
      </c>
      <c r="CI73" s="12"/>
      <c r="CJ73" s="12">
        <v>1</v>
      </c>
      <c r="CN73" s="12"/>
      <c r="CO73" s="12">
        <v>1</v>
      </c>
      <c r="CP73" s="12"/>
      <c r="CQ73" s="12">
        <v>1</v>
      </c>
      <c r="CU73" s="12"/>
      <c r="CV73" s="12"/>
      <c r="CW73" s="12"/>
      <c r="CX73" s="12"/>
      <c r="DB73" s="12"/>
      <c r="DC73" s="12"/>
      <c r="DD73" s="12"/>
      <c r="DE73" s="12"/>
      <c r="DI73" s="12"/>
      <c r="DJ73" s="12"/>
      <c r="DK73" s="12"/>
      <c r="DL73" s="12"/>
      <c r="DP73" s="12"/>
      <c r="DQ73" s="12"/>
      <c r="DR73" s="12"/>
      <c r="DS73" s="12"/>
    </row>
    <row r="74" spans="2:123" outlineLevel="1">
      <c r="B74" t="s">
        <v>28</v>
      </c>
      <c r="C74" t="s">
        <v>100</v>
      </c>
      <c r="E74" s="11"/>
      <c r="F74" t="s">
        <v>128</v>
      </c>
      <c r="G74" s="12">
        <v>0.25</v>
      </c>
      <c r="I74" s="11">
        <f t="shared" si="7"/>
        <v>9</v>
      </c>
      <c r="J74" s="13" cm="1">
        <f t="array" ref="J74">MAX(IF($N$3:$EH$3=$J$3,N74:EH74))</f>
        <v>0</v>
      </c>
      <c r="K74" s="13" cm="1">
        <f t="array" ref="K74">MAX(IF($N$3:$EH$3=$J$3,N74:EH74))</f>
        <v>0</v>
      </c>
      <c r="L74" s="11"/>
      <c r="O74" s="12"/>
      <c r="P74" s="12"/>
      <c r="Q74" s="12"/>
      <c r="R74" s="12"/>
      <c r="V74" s="12"/>
      <c r="W74" s="12"/>
      <c r="X74" s="12"/>
      <c r="Y74" s="12"/>
      <c r="AC74" s="12"/>
      <c r="AD74" s="12"/>
      <c r="AE74" s="12"/>
      <c r="AF74" s="12"/>
      <c r="AJ74" s="12"/>
      <c r="AK74" s="12"/>
      <c r="AL74" s="12"/>
      <c r="AM74" s="12"/>
      <c r="AQ74" s="12"/>
      <c r="AR74" s="12"/>
      <c r="AS74" s="12"/>
      <c r="AT74" s="12"/>
      <c r="AW74">
        <v>3</v>
      </c>
      <c r="AX74" s="12"/>
      <c r="AY74" s="12">
        <v>0.5</v>
      </c>
      <c r="AZ74" s="12"/>
      <c r="BA74" s="12">
        <v>0.5</v>
      </c>
      <c r="BE74" s="12"/>
      <c r="BF74" s="12">
        <v>0.5</v>
      </c>
      <c r="BG74" s="12"/>
      <c r="BH74" s="12">
        <v>0.5</v>
      </c>
      <c r="BL74" s="12"/>
      <c r="BM74" s="12">
        <v>0.5</v>
      </c>
      <c r="BN74" s="12"/>
      <c r="BO74" s="12">
        <v>0.5</v>
      </c>
      <c r="BS74" s="12"/>
      <c r="BT74" s="12">
        <v>0.5</v>
      </c>
      <c r="BU74" s="12"/>
      <c r="BV74" s="12">
        <v>0.5</v>
      </c>
      <c r="BY74">
        <v>3</v>
      </c>
      <c r="BZ74" s="12"/>
      <c r="CA74" s="12">
        <v>0.8</v>
      </c>
      <c r="CB74" s="12"/>
      <c r="CC74" s="12">
        <v>0.8</v>
      </c>
      <c r="CG74" s="12"/>
      <c r="CH74" s="12">
        <v>0.8</v>
      </c>
      <c r="CI74" s="12"/>
      <c r="CJ74" s="12">
        <v>0.8</v>
      </c>
      <c r="CM74">
        <v>3</v>
      </c>
      <c r="CN74" s="12"/>
      <c r="CO74" s="12">
        <v>1</v>
      </c>
      <c r="CP74" s="12"/>
      <c r="CQ74" s="12">
        <v>1</v>
      </c>
      <c r="CU74" s="12"/>
      <c r="CV74" s="12"/>
      <c r="CW74" s="12"/>
      <c r="CX74" s="12"/>
      <c r="DB74" s="12"/>
      <c r="DC74" s="12"/>
      <c r="DD74" s="12"/>
      <c r="DE74" s="12"/>
      <c r="DI74" s="12"/>
      <c r="DJ74" s="12"/>
      <c r="DK74" s="12"/>
      <c r="DL74" s="12"/>
      <c r="DP74" s="12"/>
      <c r="DQ74" s="12"/>
      <c r="DR74" s="12"/>
      <c r="DS74" s="12"/>
    </row>
    <row r="75" spans="2:123">
      <c r="O75" s="9"/>
      <c r="V75" s="9"/>
      <c r="AC75" s="9"/>
      <c r="AJ75" s="9"/>
      <c r="AQ75" s="9"/>
      <c r="AX75" s="9"/>
      <c r="BE75" s="9"/>
      <c r="BL75" s="9"/>
      <c r="BS75" s="9"/>
      <c r="BZ75" s="9"/>
      <c r="CG75" s="9"/>
      <c r="CN75" s="9"/>
      <c r="CU75" s="9"/>
      <c r="DB75" s="9"/>
      <c r="DI75" s="9"/>
      <c r="DP75" s="9"/>
    </row>
  </sheetData>
  <mergeCells count="17">
    <mergeCell ref="I2:L2"/>
    <mergeCell ref="N2:S2"/>
    <mergeCell ref="BD2:BI2"/>
    <mergeCell ref="U2:Z2"/>
    <mergeCell ref="AB2:AG2"/>
    <mergeCell ref="AI2:AN2"/>
    <mergeCell ref="AP2:AU2"/>
    <mergeCell ref="AW2:BB2"/>
    <mergeCell ref="CT2:CY2"/>
    <mergeCell ref="DA2:DF2"/>
    <mergeCell ref="DH2:DM2"/>
    <mergeCell ref="DO2:DT2"/>
    <mergeCell ref="BK2:BP2"/>
    <mergeCell ref="BR2:BW2"/>
    <mergeCell ref="BY2:CD2"/>
    <mergeCell ref="CF2:CK2"/>
    <mergeCell ref="CM2:CR2"/>
  </mergeCells>
  <conditionalFormatting sqref="O5:O13 Q5:Q13 AQ5:AQ13 AS5:AS13 BE5:BE13 V5:V13 X5:X13 AC5:AC13 AE5:AE13 AJ5:AJ13 AL5:AL13 AX5:AX13 AZ5:AZ13 O16:O26 Q16:Q26 AJ39:AJ43 AL39:AL43 AX39:AX43 AZ39:AZ43 Q39:Q43 O39:O43 BG39:BG43 X39:X43 V39:V43 AE39:AE43 AC39:AC43 AS39:AS43 AQ39:AQ43 BE39:BE43 AJ48:AJ50 AL48:AL50 AX48:AX50 AZ48:AZ50 Q48:Q50 O48:O50 BG48:BG50 X48:X50 V48:V50 AE48:AE50 AC48:AC50 AQ48:AQ50 BE48:BE50 O61:O68 Q61:Q68 AQ61:AQ68 AS61:AS68 BE61:BE68 BG61:BG68 V61:V68 AC61:AC68 AE61:AE68 AJ61:AJ68 AL61:AL68 AX61:AX68 AZ61:AZ68 BZ61:BZ68 CB61:CB68 CI61:CI68 CN61:CN68 CP61:CP68 CU61:CU68 CW61:CW68 DB61:DB68 DD61:DD68 DI61:DI68 DK61:DK68 DP61:DP68 DR61:DR68 O71:O74 Q71:Q74 AQ71:AQ74 AS71:AS74 BE71:BE74 V71:V74 X71:X74 AC71:AC74 AE71:AE74 AJ71:AJ74 AL71:AL74 AX71:AX74 AZ71:AZ74 BL71:BL74 BN71:BN74 BS71:BS74 BU71:BU74 BZ71:BZ74 CB71:CB74 CI71:CI74 CN71:CN74 CP71:CP74 CU71:CU74 CW71:CW74 DB71:DB74 DD71:DD74 DI71:DI74 DK71:DK74 DP71:DP74 DR71:DR74 AJ55:AJ58 AL55:AL58 AX55:AX58 AZ55:AZ58 Q55:Q58 O55:O58 BG55:BG58 X55:X58 V55:V58 AE55:AE58 AC55:AC58 AS55:AS58 AQ55:AQ58 BE55:BE58 BL55:BL58 BU55:BU58 BS55:BS58 CB55:CB58 BZ55:BZ58 CI55:CI58 CP55:CP58 CN55:CN58 CW55:CW58 CU55:CU58 DD55:DD58 DB55:DB58 DK55:DK58 DI55:DI58 DR55:DR58 DP55:DP58 CG53:CG58 CG61:CG68 CG48:CG50 CI5:CI13 CG6:CG13 CI16:CI26 CG17:CG26 BS61:BS68 BU61:BU65 BL61:BL68 BN61:BN68 BG5:BG6 BG9:BG13 AZ37 BU67:BU68 BN55:BN58 BG71:BG74 X66:X68 X61:X64 AJ31:AJ34 AL31:AL34 AX31:AX34 AZ31:AZ34 Q31:Q34 O31:O34 X31:X34 V31:V34 AE31:AE34 AC31:AC34 AS31:AS34 AQ31:AQ34 BE31:BE34 BG32:BG34 BN32:BN34 BL32:BL34 BU31:BU34 BS31:BS34 CB31:CB34 BZ31:BZ34 CP31:CP34 CN30:CN34 CW31:CW34 CU31:CU34 DD31:DD34 DB31:DB34 DK31:DK34 DI31:DI34 DR31:DR34 DP31:DP34 CG33:CG34 CI33:CI34 AS48:AS50">
    <cfRule type="expression" dxfId="343" priority="1037">
      <formula>OR(IF(O5&lt;P5,TRUE),IF(AND(P5="",O5&lt;&gt;""),TRUE))</formula>
    </cfRule>
    <cfRule type="expression" dxfId="342" priority="1038">
      <formula>IF(O5&gt;=P5,IF(O5="",FALSE,TRUE))</formula>
    </cfRule>
  </conditionalFormatting>
  <conditionalFormatting sqref="AQ16:AQ26 AS16:AS26">
    <cfRule type="expression" dxfId="341" priority="904">
      <formula>OR(IF(AQ16&lt;AR16,TRUE),IF(AND(AR16="",AQ16&lt;&gt;""),TRUE))</formula>
    </cfRule>
    <cfRule type="expression" dxfId="340" priority="905">
      <formula>IF(AQ16&gt;=AR16,IF(AQ16="",FALSE,TRUE))</formula>
    </cfRule>
  </conditionalFormatting>
  <conditionalFormatting sqref="O29:O30">
    <cfRule type="expression" dxfId="339" priority="978">
      <formula>OR(IF(O29&lt;P29,TRUE),IF(AND(P29="",O29&lt;&gt;""),TRUE))</formula>
    </cfRule>
    <cfRule type="expression" dxfId="338" priority="979">
      <formula>IF(O29&gt;=P29,IF(O29="",FALSE,TRUE))</formula>
    </cfRule>
  </conditionalFormatting>
  <conditionalFormatting sqref="Q29:Q30">
    <cfRule type="expression" dxfId="337" priority="976">
      <formula>OR(IF(Q29&lt;R29,TRUE),IF(AND(R29="",Q29&lt;&gt;""),TRUE))</formula>
    </cfRule>
    <cfRule type="expression" dxfId="336" priority="977">
      <formula>IF(Q29&gt;=R29,IF(Q29="",FALSE,TRUE))</formula>
    </cfRule>
  </conditionalFormatting>
  <conditionalFormatting sqref="BE16:BE26 BG16:BG26">
    <cfRule type="expression" dxfId="335" priority="872">
      <formula>OR(IF(BE16&lt;BF16,TRUE),IF(AND(BF16="",BE16&lt;&gt;""),TRUE))</formula>
    </cfRule>
    <cfRule type="expression" dxfId="334" priority="873">
      <formula>IF(BE16&gt;=BF16,IF(BE16="",FALSE,TRUE))</formula>
    </cfRule>
  </conditionalFormatting>
  <conditionalFormatting sqref="BE29:BE30">
    <cfRule type="expression" dxfId="333" priority="868">
      <formula>OR(IF(BE29&lt;BF29,TRUE),IF(AND(BF29="",BE29&lt;&gt;""),TRUE))</formula>
    </cfRule>
    <cfRule type="expression" dxfId="332" priority="869">
      <formula>IF(BE29&gt;=BF29,IF(BE29="",FALSE,TRUE))</formula>
    </cfRule>
  </conditionalFormatting>
  <conditionalFormatting sqref="V16:V26 X16:X26">
    <cfRule type="expression" dxfId="331" priority="952">
      <formula>OR(IF(V16&lt;W16,TRUE),IF(AND(W16="",V16&lt;&gt;""),TRUE))</formula>
    </cfRule>
    <cfRule type="expression" dxfId="330" priority="953">
      <formula>IF(V16&gt;=W16,IF(V16="",FALSE,TRUE))</formula>
    </cfRule>
  </conditionalFormatting>
  <conditionalFormatting sqref="V29:V30">
    <cfRule type="expression" dxfId="329" priority="948">
      <formula>OR(IF(V29&lt;W29,TRUE),IF(AND(W29="",V29&lt;&gt;""),TRUE))</formula>
    </cfRule>
    <cfRule type="expression" dxfId="328" priority="949">
      <formula>IF(V29&gt;=W29,IF(V29="",FALSE,TRUE))</formula>
    </cfRule>
  </conditionalFormatting>
  <conditionalFormatting sqref="X29:X30">
    <cfRule type="expression" dxfId="327" priority="946">
      <formula>OR(IF(X29&lt;Y29,TRUE),IF(AND(Y29="",X29&lt;&gt;""),TRUE))</formula>
    </cfRule>
    <cfRule type="expression" dxfId="326" priority="947">
      <formula>IF(X29&gt;=Y29,IF(X29="",FALSE,TRUE))</formula>
    </cfRule>
  </conditionalFormatting>
  <conditionalFormatting sqref="AC16:AC26 AE16:AE26">
    <cfRule type="expression" dxfId="325" priority="936">
      <formula>OR(IF(AC16&lt;AD16,TRUE),IF(AND(AD16="",AC16&lt;&gt;""),TRUE))</formula>
    </cfRule>
    <cfRule type="expression" dxfId="324" priority="937">
      <formula>IF(AC16&gt;=AD16,IF(AC16="",FALSE,TRUE))</formula>
    </cfRule>
  </conditionalFormatting>
  <conditionalFormatting sqref="AC29:AC30">
    <cfRule type="expression" dxfId="323" priority="932">
      <formula>OR(IF(AC29&lt;AD29,TRUE),IF(AND(AD29="",AC29&lt;&gt;""),TRUE))</formula>
    </cfRule>
    <cfRule type="expression" dxfId="322" priority="933">
      <formula>IF(AC29&gt;=AD29,IF(AC29="",FALSE,TRUE))</formula>
    </cfRule>
  </conditionalFormatting>
  <conditionalFormatting sqref="AE29:AE30">
    <cfRule type="expression" dxfId="321" priority="930">
      <formula>OR(IF(AE29&lt;AF29,TRUE),IF(AND(AF29="",AE29&lt;&gt;""),TRUE))</formula>
    </cfRule>
    <cfRule type="expression" dxfId="320" priority="931">
      <formula>IF(AE29&gt;=AF29,IF(AE29="",FALSE,TRUE))</formula>
    </cfRule>
  </conditionalFormatting>
  <conditionalFormatting sqref="AJ16:AJ26 AL16:AL26">
    <cfRule type="expression" dxfId="319" priority="920">
      <formula>OR(IF(AJ16&lt;AK16,TRUE),IF(AND(AK16="",AJ16&lt;&gt;""),TRUE))</formula>
    </cfRule>
    <cfRule type="expression" dxfId="318" priority="921">
      <formula>IF(AJ16&gt;=AK16,IF(AJ16="",FALSE,TRUE))</formula>
    </cfRule>
  </conditionalFormatting>
  <conditionalFormatting sqref="AJ29:AJ30">
    <cfRule type="expression" dxfId="317" priority="916">
      <formula>OR(IF(AJ29&lt;AK29,TRUE),IF(AND(AK29="",AJ29&lt;&gt;""),TRUE))</formula>
    </cfRule>
    <cfRule type="expression" dxfId="316" priority="917">
      <formula>IF(AJ29&gt;=AK29,IF(AJ29="",FALSE,TRUE))</formula>
    </cfRule>
  </conditionalFormatting>
  <conditionalFormatting sqref="AL29:AL30">
    <cfRule type="expression" dxfId="315" priority="914">
      <formula>OR(IF(AL29&lt;AM29,TRUE),IF(AND(AM29="",AL29&lt;&gt;""),TRUE))</formula>
    </cfRule>
    <cfRule type="expression" dxfId="314" priority="915">
      <formula>IF(AL29&gt;=AM29,IF(AL29="",FALSE,TRUE))</formula>
    </cfRule>
  </conditionalFormatting>
  <conditionalFormatting sqref="AQ29:AQ30">
    <cfRule type="expression" dxfId="313" priority="900">
      <formula>OR(IF(AQ29&lt;AR29,TRUE),IF(AND(AR29="",AQ29&lt;&gt;""),TRUE))</formula>
    </cfRule>
    <cfRule type="expression" dxfId="312" priority="901">
      <formula>IF(AQ29&gt;=AR29,IF(AQ29="",FALSE,TRUE))</formula>
    </cfRule>
  </conditionalFormatting>
  <conditionalFormatting sqref="AS29:AS30">
    <cfRule type="expression" dxfId="311" priority="898">
      <formula>OR(IF(AS29&lt;AT29,TRUE),IF(AND(AT29="",AS29&lt;&gt;""),TRUE))</formula>
    </cfRule>
    <cfRule type="expression" dxfId="310" priority="899">
      <formula>IF(AS29&gt;=AT29,IF(AS29="",FALSE,TRUE))</formula>
    </cfRule>
  </conditionalFormatting>
  <conditionalFormatting sqref="AX16:AX26 AZ16:AZ26">
    <cfRule type="expression" dxfId="309" priority="888">
      <formula>OR(IF(AX16&lt;AY16,TRUE),IF(AND(AY16="",AX16&lt;&gt;""),TRUE))</formula>
    </cfRule>
    <cfRule type="expression" dxfId="308" priority="889">
      <formula>IF(AX16&gt;=AY16,IF(AX16="",FALSE,TRUE))</formula>
    </cfRule>
  </conditionalFormatting>
  <conditionalFormatting sqref="AX29:AX30">
    <cfRule type="expression" dxfId="307" priority="884">
      <formula>OR(IF(AX29&lt;AY29,TRUE),IF(AND(AY29="",AX29&lt;&gt;""),TRUE))</formula>
    </cfRule>
    <cfRule type="expression" dxfId="306" priority="885">
      <formula>IF(AX29&gt;=AY29,IF(AX29="",FALSE,TRUE))</formula>
    </cfRule>
  </conditionalFormatting>
  <conditionalFormatting sqref="AZ29:AZ30">
    <cfRule type="expression" dxfId="305" priority="882">
      <formula>OR(IF(AZ29&lt;BA29,TRUE),IF(AND(BA29="",AZ29&lt;&gt;""),TRUE))</formula>
    </cfRule>
    <cfRule type="expression" dxfId="304" priority="883">
      <formula>IF(AZ29&gt;=BA29,IF(AZ29="",FALSE,TRUE))</formula>
    </cfRule>
  </conditionalFormatting>
  <conditionalFormatting sqref="BG29:BG30">
    <cfRule type="expression" dxfId="303" priority="866">
      <formula>OR(IF(BG29&lt;BH29,TRUE),IF(AND(BH29="",BG29&lt;&gt;""),TRUE))</formula>
    </cfRule>
    <cfRule type="expression" dxfId="302" priority="867">
      <formula>IF(BG29&gt;=BH29,IF(BG29="",FALSE,TRUE))</formula>
    </cfRule>
  </conditionalFormatting>
  <conditionalFormatting sqref="O37:O38">
    <cfRule type="expression" dxfId="301" priority="848">
      <formula>OR(IF(O37&lt;P37,TRUE),IF(AND(P37="",O37&lt;&gt;""),TRUE))</formula>
    </cfRule>
    <cfRule type="expression" dxfId="300" priority="849">
      <formula>IF(O37&gt;=P37,IF(O37="",FALSE,TRUE))</formula>
    </cfRule>
  </conditionalFormatting>
  <conditionalFormatting sqref="Q37:Q38">
    <cfRule type="expression" dxfId="299" priority="846">
      <formula>OR(IF(Q37&lt;R37,TRUE),IF(AND(R37="",Q37&lt;&gt;""),TRUE))</formula>
    </cfRule>
    <cfRule type="expression" dxfId="298" priority="847">
      <formula>IF(Q37&gt;=R37,IF(Q37="",FALSE,TRUE))</formula>
    </cfRule>
  </conditionalFormatting>
  <conditionalFormatting sqref="BE37:BE38">
    <cfRule type="expression" dxfId="297" priority="800">
      <formula>OR(IF(BE37&lt;BF37,TRUE),IF(AND(BF37="",BE37&lt;&gt;""),TRUE))</formula>
    </cfRule>
    <cfRule type="expression" dxfId="296" priority="801">
      <formula>IF(BE37&gt;=BF37,IF(BE37="",FALSE,TRUE))</formula>
    </cfRule>
  </conditionalFormatting>
  <conditionalFormatting sqref="V37:V38">
    <cfRule type="expression" dxfId="295" priority="840">
      <formula>OR(IF(V37&lt;W37,TRUE),IF(AND(W37="",V37&lt;&gt;""),TRUE))</formula>
    </cfRule>
    <cfRule type="expression" dxfId="294" priority="841">
      <formula>IF(V37&gt;=W37,IF(V37="",FALSE,TRUE))</formula>
    </cfRule>
  </conditionalFormatting>
  <conditionalFormatting sqref="X37:X38">
    <cfRule type="expression" dxfId="293" priority="838">
      <formula>OR(IF(X37&lt;Y37,TRUE),IF(AND(Y37="",X37&lt;&gt;""),TRUE))</formula>
    </cfRule>
    <cfRule type="expression" dxfId="292" priority="839">
      <formula>IF(X37&gt;=Y37,IF(X37="",FALSE,TRUE))</formula>
    </cfRule>
  </conditionalFormatting>
  <conditionalFormatting sqref="AC37:AC38">
    <cfRule type="expression" dxfId="291" priority="832">
      <formula>OR(IF(AC37&lt;AD37,TRUE),IF(AND(AD37="",AC37&lt;&gt;""),TRUE))</formula>
    </cfRule>
    <cfRule type="expression" dxfId="290" priority="833">
      <formula>IF(AC37&gt;=AD37,IF(AC37="",FALSE,TRUE))</formula>
    </cfRule>
  </conditionalFormatting>
  <conditionalFormatting sqref="AE37:AE38">
    <cfRule type="expression" dxfId="289" priority="830">
      <formula>OR(IF(AE37&lt;AF37,TRUE),IF(AND(AF37="",AE37&lt;&gt;""),TRUE))</formula>
    </cfRule>
    <cfRule type="expression" dxfId="288" priority="831">
      <formula>IF(AE37&gt;=AF37,IF(AE37="",FALSE,TRUE))</formula>
    </cfRule>
  </conditionalFormatting>
  <conditionalFormatting sqref="AJ37:AJ38">
    <cfRule type="expression" dxfId="287" priority="824">
      <formula>OR(IF(AJ37&lt;AK37,TRUE),IF(AND(AK37="",AJ37&lt;&gt;""),TRUE))</formula>
    </cfRule>
    <cfRule type="expression" dxfId="286" priority="825">
      <formula>IF(AJ37&gt;=AK37,IF(AJ37="",FALSE,TRUE))</formula>
    </cfRule>
  </conditionalFormatting>
  <conditionalFormatting sqref="AL37:AL38">
    <cfRule type="expression" dxfId="285" priority="822">
      <formula>OR(IF(AL37&lt;AM37,TRUE),IF(AND(AM37="",AL37&lt;&gt;""),TRUE))</formula>
    </cfRule>
    <cfRule type="expression" dxfId="284" priority="823">
      <formula>IF(AL37&gt;=AM37,IF(AL37="",FALSE,TRUE))</formula>
    </cfRule>
  </conditionalFormatting>
  <conditionalFormatting sqref="AQ37:AQ38">
    <cfRule type="expression" dxfId="283" priority="816">
      <formula>OR(IF(AQ37&lt;AR37,TRUE),IF(AND(AR37="",AQ37&lt;&gt;""),TRUE))</formula>
    </cfRule>
    <cfRule type="expression" dxfId="282" priority="817">
      <formula>IF(AQ37&gt;=AR37,IF(AQ37="",FALSE,TRUE))</formula>
    </cfRule>
  </conditionalFormatting>
  <conditionalFormatting sqref="AS37:AS38">
    <cfRule type="expression" dxfId="281" priority="814">
      <formula>OR(IF(AS37&lt;AT37,TRUE),IF(AND(AT37="",AS37&lt;&gt;""),TRUE))</formula>
    </cfRule>
    <cfRule type="expression" dxfId="280" priority="815">
      <formula>IF(AS37&gt;=AT37,IF(AS37="",FALSE,TRUE))</formula>
    </cfRule>
  </conditionalFormatting>
  <conditionalFormatting sqref="AX37:AX38">
    <cfRule type="expression" dxfId="279" priority="808">
      <formula>OR(IF(AX37&lt;AY37,TRUE),IF(AND(AY37="",AX37&lt;&gt;""),TRUE))</formula>
    </cfRule>
    <cfRule type="expression" dxfId="278" priority="809">
      <formula>IF(AX37&gt;=AY37,IF(AX37="",FALSE,TRUE))</formula>
    </cfRule>
  </conditionalFormatting>
  <conditionalFormatting sqref="BG37:BG38">
    <cfRule type="expression" dxfId="277" priority="798">
      <formula>OR(IF(BG37&lt;BH37,TRUE),IF(AND(BH37="",BG37&lt;&gt;""),TRUE))</formula>
    </cfRule>
    <cfRule type="expression" dxfId="276" priority="799">
      <formula>IF(BG37&gt;=BH37,IF(BG37="",FALSE,TRUE))</formula>
    </cfRule>
  </conditionalFormatting>
  <conditionalFormatting sqref="O46:O47">
    <cfRule type="expression" dxfId="275" priority="789">
      <formula>OR(IF(O46&lt;P46,TRUE),IF(AND(P46="",O46&lt;&gt;""),TRUE))</formula>
    </cfRule>
    <cfRule type="expression" dxfId="274" priority="790">
      <formula>IF(O46&gt;=P46,IF(O46="",FALSE,TRUE))</formula>
    </cfRule>
  </conditionalFormatting>
  <conditionalFormatting sqref="Q46:Q47">
    <cfRule type="expression" dxfId="273" priority="787">
      <formula>OR(IF(Q46&lt;R46,TRUE),IF(AND(R46="",Q46&lt;&gt;""),TRUE))</formula>
    </cfRule>
    <cfRule type="expression" dxfId="272" priority="788">
      <formula>IF(Q46&gt;=R46,IF(Q46="",FALSE,TRUE))</formula>
    </cfRule>
  </conditionalFormatting>
  <conditionalFormatting sqref="BE46:BE47">
    <cfRule type="expression" dxfId="271" priority="741">
      <formula>OR(IF(BE46&lt;BF46,TRUE),IF(AND(BF46="",BE46&lt;&gt;""),TRUE))</formula>
    </cfRule>
    <cfRule type="expression" dxfId="270" priority="742">
      <formula>IF(BE46&gt;=BF46,IF(BE46="",FALSE,TRUE))</formula>
    </cfRule>
  </conditionalFormatting>
  <conditionalFormatting sqref="V46:V47">
    <cfRule type="expression" dxfId="269" priority="781">
      <formula>OR(IF(V46&lt;W46,TRUE),IF(AND(W46="",V46&lt;&gt;""),TRUE))</formula>
    </cfRule>
    <cfRule type="expression" dxfId="268" priority="782">
      <formula>IF(V46&gt;=W46,IF(V46="",FALSE,TRUE))</formula>
    </cfRule>
  </conditionalFormatting>
  <conditionalFormatting sqref="X46:X47">
    <cfRule type="expression" dxfId="267" priority="779">
      <formula>OR(IF(X46&lt;Y46,TRUE),IF(AND(Y46="",X46&lt;&gt;""),TRUE))</formula>
    </cfRule>
    <cfRule type="expression" dxfId="266" priority="780">
      <formula>IF(X46&gt;=Y46,IF(X46="",FALSE,TRUE))</formula>
    </cfRule>
  </conditionalFormatting>
  <conditionalFormatting sqref="AC46:AC47">
    <cfRule type="expression" dxfId="265" priority="773">
      <formula>OR(IF(AC46&lt;AD46,TRUE),IF(AND(AD46="",AC46&lt;&gt;""),TRUE))</formula>
    </cfRule>
    <cfRule type="expression" dxfId="264" priority="774">
      <formula>IF(AC46&gt;=AD46,IF(AC46="",FALSE,TRUE))</formula>
    </cfRule>
  </conditionalFormatting>
  <conditionalFormatting sqref="AE46:AE47">
    <cfRule type="expression" dxfId="263" priority="771">
      <formula>OR(IF(AE46&lt;AF46,TRUE),IF(AND(AF46="",AE46&lt;&gt;""),TRUE))</formula>
    </cfRule>
    <cfRule type="expression" dxfId="262" priority="772">
      <formula>IF(AE46&gt;=AF46,IF(AE46="",FALSE,TRUE))</formula>
    </cfRule>
  </conditionalFormatting>
  <conditionalFormatting sqref="AJ46:AJ47">
    <cfRule type="expression" dxfId="261" priority="765">
      <formula>OR(IF(AJ46&lt;AK46,TRUE),IF(AND(AK46="",AJ46&lt;&gt;""),TRUE))</formula>
    </cfRule>
    <cfRule type="expression" dxfId="260" priority="766">
      <formula>IF(AJ46&gt;=AK46,IF(AJ46="",FALSE,TRUE))</formula>
    </cfRule>
  </conditionalFormatting>
  <conditionalFormatting sqref="AL46:AL47">
    <cfRule type="expression" dxfId="259" priority="763">
      <formula>OR(IF(AL46&lt;AM46,TRUE),IF(AND(AM46="",AL46&lt;&gt;""),TRUE))</formula>
    </cfRule>
    <cfRule type="expression" dxfId="258" priority="764">
      <formula>IF(AL46&gt;=AM46,IF(AL46="",FALSE,TRUE))</formula>
    </cfRule>
  </conditionalFormatting>
  <conditionalFormatting sqref="AQ46:AQ47">
    <cfRule type="expression" dxfId="257" priority="757">
      <formula>OR(IF(AQ46&lt;AR46,TRUE),IF(AND(AR46="",AQ46&lt;&gt;""),TRUE))</formula>
    </cfRule>
    <cfRule type="expression" dxfId="256" priority="758">
      <formula>IF(AQ46&gt;=AR46,IF(AQ46="",FALSE,TRUE))</formula>
    </cfRule>
  </conditionalFormatting>
  <conditionalFormatting sqref="AS46:AS47">
    <cfRule type="expression" dxfId="255" priority="755">
      <formula>OR(IF(AS46&lt;AT46,TRUE),IF(AND(AT46="",AS46&lt;&gt;""),TRUE))</formula>
    </cfRule>
    <cfRule type="expression" dxfId="254" priority="756">
      <formula>IF(AS46&gt;=AT46,IF(AS46="",FALSE,TRUE))</formula>
    </cfRule>
  </conditionalFormatting>
  <conditionalFormatting sqref="AX46:AX47">
    <cfRule type="expression" dxfId="253" priority="749">
      <formula>OR(IF(AX46&lt;AY46,TRUE),IF(AND(AY46="",AX46&lt;&gt;""),TRUE))</formula>
    </cfRule>
    <cfRule type="expression" dxfId="252" priority="750">
      <formula>IF(AX46&gt;=AY46,IF(AX46="",FALSE,TRUE))</formula>
    </cfRule>
  </conditionalFormatting>
  <conditionalFormatting sqref="AZ46:AZ47">
    <cfRule type="expression" dxfId="251" priority="747">
      <formula>OR(IF(AZ46&lt;BA46,TRUE),IF(AND(BA46="",AZ46&lt;&gt;""),TRUE))</formula>
    </cfRule>
    <cfRule type="expression" dxfId="250" priority="748">
      <formula>IF(AZ46&gt;=BA46,IF(AZ46="",FALSE,TRUE))</formula>
    </cfRule>
  </conditionalFormatting>
  <conditionalFormatting sqref="BG46:BG47">
    <cfRule type="expression" dxfId="249" priority="739">
      <formula>OR(IF(BG46&lt;BH46,TRUE),IF(AND(BH46="",BG46&lt;&gt;""),TRUE))</formula>
    </cfRule>
    <cfRule type="expression" dxfId="248" priority="740">
      <formula>IF(BG46&gt;=BH46,IF(BG46="",FALSE,TRUE))</formula>
    </cfRule>
  </conditionalFormatting>
  <conditionalFormatting sqref="O53:O54">
    <cfRule type="expression" dxfId="247" priority="730">
      <formula>OR(IF(O53&lt;P53,TRUE),IF(AND(P53="",O53&lt;&gt;""),TRUE))</formula>
    </cfRule>
    <cfRule type="expression" dxfId="246" priority="731">
      <formula>IF(O53&gt;=P53,IF(O53="",FALSE,TRUE))</formula>
    </cfRule>
  </conditionalFormatting>
  <conditionalFormatting sqref="Q53:Q54">
    <cfRule type="expression" dxfId="245" priority="728">
      <formula>OR(IF(Q53&lt;R53,TRUE),IF(AND(R53="",Q53&lt;&gt;""),TRUE))</formula>
    </cfRule>
    <cfRule type="expression" dxfId="244" priority="729">
      <formula>IF(Q53&gt;=R53,IF(Q53="",FALSE,TRUE))</formula>
    </cfRule>
  </conditionalFormatting>
  <conditionalFormatting sqref="BE53:BE54">
    <cfRule type="expression" dxfId="243" priority="682">
      <formula>OR(IF(BE53&lt;BF53,TRUE),IF(AND(BF53="",BE53&lt;&gt;""),TRUE))</formula>
    </cfRule>
    <cfRule type="expression" dxfId="242" priority="683">
      <formula>IF(BE53&gt;=BF53,IF(BE53="",FALSE,TRUE))</formula>
    </cfRule>
  </conditionalFormatting>
  <conditionalFormatting sqref="V53:V54">
    <cfRule type="expression" dxfId="241" priority="722">
      <formula>OR(IF(V53&lt;W53,TRUE),IF(AND(W53="",V53&lt;&gt;""),TRUE))</formula>
    </cfRule>
    <cfRule type="expression" dxfId="240" priority="723">
      <formula>IF(V53&gt;=W53,IF(V53="",FALSE,TRUE))</formula>
    </cfRule>
  </conditionalFormatting>
  <conditionalFormatting sqref="X53:X54">
    <cfRule type="expression" dxfId="239" priority="720">
      <formula>OR(IF(X53&lt;Y53,TRUE),IF(AND(Y53="",X53&lt;&gt;""),TRUE))</formula>
    </cfRule>
    <cfRule type="expression" dxfId="238" priority="721">
      <formula>IF(X53&gt;=Y53,IF(X53="",FALSE,TRUE))</formula>
    </cfRule>
  </conditionalFormatting>
  <conditionalFormatting sqref="AC53:AC54">
    <cfRule type="expression" dxfId="237" priority="714">
      <formula>OR(IF(AC53&lt;AD53,TRUE),IF(AND(AD53="",AC53&lt;&gt;""),TRUE))</formula>
    </cfRule>
    <cfRule type="expression" dxfId="236" priority="715">
      <formula>IF(AC53&gt;=AD53,IF(AC53="",FALSE,TRUE))</formula>
    </cfRule>
  </conditionalFormatting>
  <conditionalFormatting sqref="AE53:AE54">
    <cfRule type="expression" dxfId="235" priority="712">
      <formula>OR(IF(AE53&lt;AF53,TRUE),IF(AND(AF53="",AE53&lt;&gt;""),TRUE))</formula>
    </cfRule>
    <cfRule type="expression" dxfId="234" priority="713">
      <formula>IF(AE53&gt;=AF53,IF(AE53="",FALSE,TRUE))</formula>
    </cfRule>
  </conditionalFormatting>
  <conditionalFormatting sqref="AJ53:AJ54">
    <cfRule type="expression" dxfId="233" priority="706">
      <formula>OR(IF(AJ53&lt;AK53,TRUE),IF(AND(AK53="",AJ53&lt;&gt;""),TRUE))</formula>
    </cfRule>
    <cfRule type="expression" dxfId="232" priority="707">
      <formula>IF(AJ53&gt;=AK53,IF(AJ53="",FALSE,TRUE))</formula>
    </cfRule>
  </conditionalFormatting>
  <conditionalFormatting sqref="AL53:AL54">
    <cfRule type="expression" dxfId="231" priority="704">
      <formula>OR(IF(AL53&lt;AM53,TRUE),IF(AND(AM53="",AL53&lt;&gt;""),TRUE))</formula>
    </cfRule>
    <cfRule type="expression" dxfId="230" priority="705">
      <formula>IF(AL53&gt;=AM53,IF(AL53="",FALSE,TRUE))</formula>
    </cfRule>
  </conditionalFormatting>
  <conditionalFormatting sqref="AQ53:AQ54">
    <cfRule type="expression" dxfId="229" priority="698">
      <formula>OR(IF(AQ53&lt;AR53,TRUE),IF(AND(AR53="",AQ53&lt;&gt;""),TRUE))</formula>
    </cfRule>
    <cfRule type="expression" dxfId="228" priority="699">
      <formula>IF(AQ53&gt;=AR53,IF(AQ53="",FALSE,TRUE))</formula>
    </cfRule>
  </conditionalFormatting>
  <conditionalFormatting sqref="AS53:AS54">
    <cfRule type="expression" dxfId="227" priority="696">
      <formula>OR(IF(AS53&lt;AT53,TRUE),IF(AND(AT53="",AS53&lt;&gt;""),TRUE))</formula>
    </cfRule>
    <cfRule type="expression" dxfId="226" priority="697">
      <formula>IF(AS53&gt;=AT53,IF(AS53="",FALSE,TRUE))</formula>
    </cfRule>
  </conditionalFormatting>
  <conditionalFormatting sqref="AX53:AX54">
    <cfRule type="expression" dxfId="225" priority="690">
      <formula>OR(IF(AX53&lt;AY53,TRUE),IF(AND(AY53="",AX53&lt;&gt;""),TRUE))</formula>
    </cfRule>
    <cfRule type="expression" dxfId="224" priority="691">
      <formula>IF(AX53&gt;=AY53,IF(AX53="",FALSE,TRUE))</formula>
    </cfRule>
  </conditionalFormatting>
  <conditionalFormatting sqref="AZ53:AZ54">
    <cfRule type="expression" dxfId="223" priority="688">
      <formula>OR(IF(AZ53&lt;BA53,TRUE),IF(AND(BA53="",AZ53&lt;&gt;""),TRUE))</formula>
    </cfRule>
    <cfRule type="expression" dxfId="222" priority="689">
      <formula>IF(AZ53&gt;=BA53,IF(AZ53="",FALSE,TRUE))</formula>
    </cfRule>
  </conditionalFormatting>
  <conditionalFormatting sqref="BG53:BG54">
    <cfRule type="expression" dxfId="221" priority="680">
      <formula>OR(IF(BG53&lt;BH53,TRUE),IF(AND(BH53="",BG53&lt;&gt;""),TRUE))</formula>
    </cfRule>
    <cfRule type="expression" dxfId="220" priority="681">
      <formula>IF(BG53&gt;=BH53,IF(BG53="",FALSE,TRUE))</formula>
    </cfRule>
  </conditionalFormatting>
  <conditionalFormatting sqref="J6:K13">
    <cfRule type="colorScale" priority="1040">
      <colorScale>
        <cfvo type="percent" val="0"/>
        <cfvo type="percent" val="100"/>
        <color rgb="FFFF231B"/>
        <color rgb="FF10FF07"/>
      </colorScale>
    </cfRule>
  </conditionalFormatting>
  <conditionalFormatting sqref="J5:J13">
    <cfRule type="colorScale" priority="1069">
      <colorScale>
        <cfvo type="percent" val="0"/>
        <cfvo type="percent" val="100"/>
        <color rgb="FFFF231B"/>
        <color rgb="FF10FF07"/>
      </colorScale>
    </cfRule>
  </conditionalFormatting>
  <conditionalFormatting sqref="K5:K13">
    <cfRule type="colorScale" priority="1070">
      <colorScale>
        <cfvo type="percent" val="0"/>
        <cfvo type="percent" val="100"/>
        <color rgb="FFFF231B"/>
        <color rgb="FF10FF07"/>
      </colorScale>
    </cfRule>
  </conditionalFormatting>
  <conditionalFormatting sqref="J17:K17">
    <cfRule type="colorScale" priority="672">
      <colorScale>
        <cfvo type="percent" val="0"/>
        <cfvo type="percent" val="100"/>
        <color rgb="FFFF231B"/>
        <color rgb="FF10FF07"/>
      </colorScale>
    </cfRule>
  </conditionalFormatting>
  <conditionalFormatting sqref="J18:K18">
    <cfRule type="colorScale" priority="671">
      <colorScale>
        <cfvo type="percent" val="0"/>
        <cfvo type="percent" val="100"/>
        <color rgb="FFFF231B"/>
        <color rgb="FF10FF07"/>
      </colorScale>
    </cfRule>
  </conditionalFormatting>
  <conditionalFormatting sqref="J19:K26">
    <cfRule type="colorScale" priority="1071">
      <colorScale>
        <cfvo type="percent" val="0"/>
        <cfvo type="percent" val="100"/>
        <color rgb="FFFF231B"/>
        <color rgb="FF10FF07"/>
      </colorScale>
    </cfRule>
  </conditionalFormatting>
  <conditionalFormatting sqref="J16:J26">
    <cfRule type="colorScale" priority="1072">
      <colorScale>
        <cfvo type="percent" val="0"/>
        <cfvo type="percent" val="100"/>
        <color rgb="FFFF231B"/>
        <color rgb="FF10FF07"/>
      </colorScale>
    </cfRule>
  </conditionalFormatting>
  <conditionalFormatting sqref="K16:K26">
    <cfRule type="colorScale" priority="1073">
      <colorScale>
        <cfvo type="percent" val="0"/>
        <cfvo type="percent" val="100"/>
        <color rgb="FFFF231B"/>
        <color rgb="FF10FF07"/>
      </colorScale>
    </cfRule>
  </conditionalFormatting>
  <conditionalFormatting sqref="J38:K43">
    <cfRule type="colorScale" priority="1133">
      <colorScale>
        <cfvo type="percent" val="0"/>
        <cfvo type="percent" val="100"/>
        <color rgb="FFFF231B"/>
        <color rgb="FF10FF07"/>
      </colorScale>
    </cfRule>
  </conditionalFormatting>
  <conditionalFormatting sqref="J37:J43">
    <cfRule type="colorScale" priority="1134">
      <colorScale>
        <cfvo type="percent" val="0"/>
        <cfvo type="percent" val="100"/>
        <color rgb="FFFF231B"/>
        <color rgb="FF10FF07"/>
      </colorScale>
    </cfRule>
  </conditionalFormatting>
  <conditionalFormatting sqref="K37:K43">
    <cfRule type="colorScale" priority="1135">
      <colorScale>
        <cfvo type="percent" val="0"/>
        <cfvo type="percent" val="100"/>
        <color rgb="FFFF231B"/>
        <color rgb="FF10FF07"/>
      </colorScale>
    </cfRule>
  </conditionalFormatting>
  <conditionalFormatting sqref="J47:K50">
    <cfRule type="colorScale" priority="1164">
      <colorScale>
        <cfvo type="percent" val="0"/>
        <cfvo type="percent" val="100"/>
        <color rgb="FFFF231B"/>
        <color rgb="FF10FF07"/>
      </colorScale>
    </cfRule>
  </conditionalFormatting>
  <conditionalFormatting sqref="J46:J50">
    <cfRule type="colorScale" priority="1165">
      <colorScale>
        <cfvo type="percent" val="0"/>
        <cfvo type="percent" val="100"/>
        <color rgb="FFFF231B"/>
        <color rgb="FF10FF07"/>
      </colorScale>
    </cfRule>
  </conditionalFormatting>
  <conditionalFormatting sqref="K46:K50">
    <cfRule type="colorScale" priority="1166">
      <colorScale>
        <cfvo type="percent" val="0"/>
        <cfvo type="percent" val="100"/>
        <color rgb="FFFF231B"/>
        <color rgb="FF10FF07"/>
      </colorScale>
    </cfRule>
  </conditionalFormatting>
  <conditionalFormatting sqref="BL5:BL13 BN5:BN13 BN40:BN43 BL40:BL43 BN48:BN50 BL48:BL50">
    <cfRule type="expression" dxfId="219" priority="669">
      <formula>OR(IF(BL5&lt;BM5,TRUE),IF(AND(BM5="",BL5&lt;&gt;""),TRUE))</formula>
    </cfRule>
    <cfRule type="expression" dxfId="218" priority="670">
      <formula>IF(BL5&gt;=BM5,IF(BL5="",FALSE,TRUE))</formula>
    </cfRule>
  </conditionalFormatting>
  <conditionalFormatting sqref="BL22:BL26 BN22:BN26">
    <cfRule type="expression" dxfId="217" priority="667">
      <formula>OR(IF(BL22&lt;BM22,TRUE),IF(AND(BM22="",BL22&lt;&gt;""),TRUE))</formula>
    </cfRule>
    <cfRule type="expression" dxfId="216" priority="668">
      <formula>IF(BL22&gt;=BM22,IF(BL22="",FALSE,TRUE))</formula>
    </cfRule>
  </conditionalFormatting>
  <conditionalFormatting sqref="BS5:BS13 BU5:BU13 BU39:BU43 BS39:BS43 BU48:BU50 BS48:BS50">
    <cfRule type="expression" dxfId="215" priority="645">
      <formula>OR(IF(BS5&lt;BT5,TRUE),IF(AND(BT5="",BS5&lt;&gt;""),TRUE))</formula>
    </cfRule>
    <cfRule type="expression" dxfId="214" priority="646">
      <formula>IF(BS5&gt;=BT5,IF(BS5="",FALSE,TRUE))</formula>
    </cfRule>
  </conditionalFormatting>
  <conditionalFormatting sqref="BS16:BS26 BU16:BU26">
    <cfRule type="expression" dxfId="213" priority="643">
      <formula>OR(IF(BS16&lt;BT16,TRUE),IF(AND(BT16="",BS16&lt;&gt;""),TRUE))</formula>
    </cfRule>
    <cfRule type="expression" dxfId="212" priority="644">
      <formula>IF(BS16&gt;=BT16,IF(BS16="",FALSE,TRUE))</formula>
    </cfRule>
  </conditionalFormatting>
  <conditionalFormatting sqref="BS29:BS30">
    <cfRule type="expression" dxfId="211" priority="641">
      <formula>OR(IF(BS29&lt;BT29,TRUE),IF(AND(BT29="",BS29&lt;&gt;""),TRUE))</formula>
    </cfRule>
    <cfRule type="expression" dxfId="210" priority="642">
      <formula>IF(BS29&gt;=BT29,IF(BS29="",FALSE,TRUE))</formula>
    </cfRule>
  </conditionalFormatting>
  <conditionalFormatting sqref="BU29:BU30">
    <cfRule type="expression" dxfId="209" priority="639">
      <formula>OR(IF(BU29&lt;BV29,TRUE),IF(AND(BV29="",BU29&lt;&gt;""),TRUE))</formula>
    </cfRule>
    <cfRule type="expression" dxfId="208" priority="640">
      <formula>IF(BU29&gt;=BV29,IF(BU29="",FALSE,TRUE))</formula>
    </cfRule>
  </conditionalFormatting>
  <conditionalFormatting sqref="BS37:BS38">
    <cfRule type="expression" dxfId="207" priority="637">
      <formula>OR(IF(BS37&lt;BT37,TRUE),IF(AND(BT37="",BS37&lt;&gt;""),TRUE))</formula>
    </cfRule>
    <cfRule type="expression" dxfId="206" priority="638">
      <formula>IF(BS37&gt;=BT37,IF(BS37="",FALSE,TRUE))</formula>
    </cfRule>
  </conditionalFormatting>
  <conditionalFormatting sqref="BU37:BU38">
    <cfRule type="expression" dxfId="205" priority="635">
      <formula>OR(IF(BU37&lt;BV37,TRUE),IF(AND(BV37="",BU37&lt;&gt;""),TRUE))</formula>
    </cfRule>
    <cfRule type="expression" dxfId="204" priority="636">
      <formula>IF(BU37&gt;=BV37,IF(BU37="",FALSE,TRUE))</formula>
    </cfRule>
  </conditionalFormatting>
  <conditionalFormatting sqref="BS46:BS47">
    <cfRule type="expression" dxfId="203" priority="633">
      <formula>OR(IF(BS46&lt;BT46,TRUE),IF(AND(BT46="",BS46&lt;&gt;""),TRUE))</formula>
    </cfRule>
    <cfRule type="expression" dxfId="202" priority="634">
      <formula>IF(BS46&gt;=BT46,IF(BS46="",FALSE,TRUE))</formula>
    </cfRule>
  </conditionalFormatting>
  <conditionalFormatting sqref="BU46:BU47">
    <cfRule type="expression" dxfId="201" priority="631">
      <formula>OR(IF(BU46&lt;BV46,TRUE),IF(AND(BV46="",BU46&lt;&gt;""),TRUE))</formula>
    </cfRule>
    <cfRule type="expression" dxfId="200" priority="632">
      <formula>IF(BU46&gt;=BV46,IF(BU46="",FALSE,TRUE))</formula>
    </cfRule>
  </conditionalFormatting>
  <conditionalFormatting sqref="BS53:BS54">
    <cfRule type="expression" dxfId="199" priority="629">
      <formula>OR(IF(BS53&lt;BT53,TRUE),IF(AND(BT53="",BS53&lt;&gt;""),TRUE))</formula>
    </cfRule>
    <cfRule type="expression" dxfId="198" priority="630">
      <formula>IF(BS53&gt;=BT53,IF(BS53="",FALSE,TRUE))</formula>
    </cfRule>
  </conditionalFormatting>
  <conditionalFormatting sqref="BU53:BU54">
    <cfRule type="expression" dxfId="197" priority="627">
      <formula>OR(IF(BU53&lt;BV53,TRUE),IF(AND(BV53="",BU53&lt;&gt;""),TRUE))</formula>
    </cfRule>
    <cfRule type="expression" dxfId="196" priority="628">
      <formula>IF(BU53&gt;=BV53,IF(BU53="",FALSE,TRUE))</formula>
    </cfRule>
  </conditionalFormatting>
  <conditionalFormatting sqref="BZ5:BZ13 CB5:CB13 CB39:CB43 BZ39:BZ43 CB48:CB50 BZ48:BZ50">
    <cfRule type="expression" dxfId="195" priority="621">
      <formula>OR(IF(BZ5&lt;CA5,TRUE),IF(AND(CA5="",BZ5&lt;&gt;""),TRUE))</formula>
    </cfRule>
    <cfRule type="expression" dxfId="194" priority="622">
      <formula>IF(BZ5&gt;=CA5,IF(BZ5="",FALSE,TRUE))</formula>
    </cfRule>
  </conditionalFormatting>
  <conditionalFormatting sqref="BZ16:BZ26 CB16:CB26">
    <cfRule type="expression" dxfId="193" priority="619">
      <formula>OR(IF(BZ16&lt;CA16,TRUE),IF(AND(CA16="",BZ16&lt;&gt;""),TRUE))</formula>
    </cfRule>
    <cfRule type="expression" dxfId="192" priority="620">
      <formula>IF(BZ16&gt;=CA16,IF(BZ16="",FALSE,TRUE))</formula>
    </cfRule>
  </conditionalFormatting>
  <conditionalFormatting sqref="BZ29:BZ30">
    <cfRule type="expression" dxfId="191" priority="617">
      <formula>OR(IF(BZ29&lt;CA29,TRUE),IF(AND(CA29="",BZ29&lt;&gt;""),TRUE))</formula>
    </cfRule>
    <cfRule type="expression" dxfId="190" priority="618">
      <formula>IF(BZ29&gt;=CA29,IF(BZ29="",FALSE,TRUE))</formula>
    </cfRule>
  </conditionalFormatting>
  <conditionalFormatting sqref="CB29:CB30">
    <cfRule type="expression" dxfId="189" priority="615">
      <formula>OR(IF(CB29&lt;CC29,TRUE),IF(AND(CC29="",CB29&lt;&gt;""),TRUE))</formula>
    </cfRule>
    <cfRule type="expression" dxfId="188" priority="616">
      <formula>IF(CB29&gt;=CC29,IF(CB29="",FALSE,TRUE))</formula>
    </cfRule>
  </conditionalFormatting>
  <conditionalFormatting sqref="BZ37:BZ38">
    <cfRule type="expression" dxfId="187" priority="613">
      <formula>OR(IF(BZ37&lt;CA37,TRUE),IF(AND(CA37="",BZ37&lt;&gt;""),TRUE))</formula>
    </cfRule>
    <cfRule type="expression" dxfId="186" priority="614">
      <formula>IF(BZ37&gt;=CA37,IF(BZ37="",FALSE,TRUE))</formula>
    </cfRule>
  </conditionalFormatting>
  <conditionalFormatting sqref="CB37:CB38">
    <cfRule type="expression" dxfId="185" priority="611">
      <formula>OR(IF(CB37&lt;CC37,TRUE),IF(AND(CC37="",CB37&lt;&gt;""),TRUE))</formula>
    </cfRule>
    <cfRule type="expression" dxfId="184" priority="612">
      <formula>IF(CB37&gt;=CC37,IF(CB37="",FALSE,TRUE))</formula>
    </cfRule>
  </conditionalFormatting>
  <conditionalFormatting sqref="BZ46:BZ47">
    <cfRule type="expression" dxfId="183" priority="609">
      <formula>OR(IF(BZ46&lt;CA46,TRUE),IF(AND(CA46="",BZ46&lt;&gt;""),TRUE))</formula>
    </cfRule>
    <cfRule type="expression" dxfId="182" priority="610">
      <formula>IF(BZ46&gt;=CA46,IF(BZ46="",FALSE,TRUE))</formula>
    </cfRule>
  </conditionalFormatting>
  <conditionalFormatting sqref="CB46:CB47">
    <cfRule type="expression" dxfId="181" priority="607">
      <formula>OR(IF(CB46&lt;CC46,TRUE),IF(AND(CC46="",CB46&lt;&gt;""),TRUE))</formula>
    </cfRule>
    <cfRule type="expression" dxfId="180" priority="608">
      <formula>IF(CB46&gt;=CC46,IF(CB46="",FALSE,TRUE))</formula>
    </cfRule>
  </conditionalFormatting>
  <conditionalFormatting sqref="BZ53:BZ54">
    <cfRule type="expression" dxfId="179" priority="605">
      <formula>OR(IF(BZ53&lt;CA53,TRUE),IF(AND(CA53="",BZ53&lt;&gt;""),TRUE))</formula>
    </cfRule>
    <cfRule type="expression" dxfId="178" priority="606">
      <formula>IF(BZ53&gt;=CA53,IF(BZ53="",FALSE,TRUE))</formula>
    </cfRule>
  </conditionalFormatting>
  <conditionalFormatting sqref="CB53:CB54">
    <cfRule type="expression" dxfId="177" priority="603">
      <formula>OR(IF(CB53&lt;CC53,TRUE),IF(AND(CC53="",CB53&lt;&gt;""),TRUE))</formula>
    </cfRule>
    <cfRule type="expression" dxfId="176" priority="604">
      <formula>IF(CB53&gt;=CC53,IF(CB53="",FALSE,TRUE))</formula>
    </cfRule>
  </conditionalFormatting>
  <conditionalFormatting sqref="CG5 CI48:CI50 CI41:CI43">
    <cfRule type="expression" dxfId="175" priority="597">
      <formula>OR(IF(CG5&lt;CH5,TRUE),IF(AND(CH5="",CG5&lt;&gt;""),TRUE))</formula>
    </cfRule>
    <cfRule type="expression" dxfId="174" priority="598">
      <formula>IF(CG5&gt;=CH5,IF(CG5="",FALSE,TRUE))</formula>
    </cfRule>
  </conditionalFormatting>
  <conditionalFormatting sqref="CG46:CG47">
    <cfRule type="expression" dxfId="173" priority="585">
      <formula>OR(IF(CG46&lt;CH46,TRUE),IF(AND(CH46="",CG46&lt;&gt;""),TRUE))</formula>
    </cfRule>
    <cfRule type="expression" dxfId="172" priority="586">
      <formula>IF(CG46&gt;=CH46,IF(CG46="",FALSE,TRUE))</formula>
    </cfRule>
  </conditionalFormatting>
  <conditionalFormatting sqref="CI46:CI47">
    <cfRule type="expression" dxfId="171" priority="583">
      <formula>OR(IF(CI46&lt;CJ46,TRUE),IF(AND(CJ46="",CI46&lt;&gt;""),TRUE))</formula>
    </cfRule>
    <cfRule type="expression" dxfId="170" priority="584">
      <formula>IF(CI46&gt;=CJ46,IF(CI46="",FALSE,TRUE))</formula>
    </cfRule>
  </conditionalFormatting>
  <conditionalFormatting sqref="CG71:CG74">
    <cfRule type="expression" dxfId="169" priority="581">
      <formula>OR(IF(CG71&lt;CH71,TRUE),IF(AND(CH71="",CG71&lt;&gt;""),TRUE))</formula>
    </cfRule>
    <cfRule type="expression" dxfId="168" priority="582">
      <formula>IF(CG71&gt;=CH71,IF(CG71="",FALSE,TRUE))</formula>
    </cfRule>
  </conditionalFormatting>
  <conditionalFormatting sqref="CI53:CI54">
    <cfRule type="expression" dxfId="167" priority="579">
      <formula>OR(IF(CI53&lt;CJ53,TRUE),IF(AND(CJ53="",CI53&lt;&gt;""),TRUE))</formula>
    </cfRule>
    <cfRule type="expression" dxfId="166" priority="580">
      <formula>IF(CI53&gt;=CJ53,IF(CI53="",FALSE,TRUE))</formula>
    </cfRule>
  </conditionalFormatting>
  <conditionalFormatting sqref="CN5:CN13 CP5:CP13 CP39:CP43 CN39:CN43 CP48:CP50 CN48:CN50">
    <cfRule type="expression" dxfId="165" priority="573">
      <formula>OR(IF(CN5&lt;CO5,TRUE),IF(AND(CO5="",CN5&lt;&gt;""),TRUE))</formula>
    </cfRule>
    <cfRule type="expression" dxfId="164" priority="574">
      <formula>IF(CN5&gt;=CO5,IF(CN5="",FALSE,TRUE))</formula>
    </cfRule>
  </conditionalFormatting>
  <conditionalFormatting sqref="CN16:CN26 CP16:CP26">
    <cfRule type="expression" dxfId="163" priority="571">
      <formula>OR(IF(CN16&lt;CO16,TRUE),IF(AND(CO16="",CN16&lt;&gt;""),TRUE))</formula>
    </cfRule>
    <cfRule type="expression" dxfId="162" priority="572">
      <formula>IF(CN16&gt;=CO16,IF(CN16="",FALSE,TRUE))</formula>
    </cfRule>
  </conditionalFormatting>
  <conditionalFormatting sqref="CP29:CP30">
    <cfRule type="expression" dxfId="161" priority="567">
      <formula>OR(IF(CP29&lt;CQ29,TRUE),IF(AND(CQ29="",CP29&lt;&gt;""),TRUE))</formula>
    </cfRule>
    <cfRule type="expression" dxfId="160" priority="568">
      <formula>IF(CP29&gt;=CQ29,IF(CP29="",FALSE,TRUE))</formula>
    </cfRule>
  </conditionalFormatting>
  <conditionalFormatting sqref="CN37:CN38">
    <cfRule type="expression" dxfId="159" priority="565">
      <formula>OR(IF(CN37&lt;CO37,TRUE),IF(AND(CO37="",CN37&lt;&gt;""),TRUE))</formula>
    </cfRule>
    <cfRule type="expression" dxfId="158" priority="566">
      <formula>IF(CN37&gt;=CO37,IF(CN37="",FALSE,TRUE))</formula>
    </cfRule>
  </conditionalFormatting>
  <conditionalFormatting sqref="CP37:CP38">
    <cfRule type="expression" dxfId="157" priority="563">
      <formula>OR(IF(CP37&lt;CQ37,TRUE),IF(AND(CQ37="",CP37&lt;&gt;""),TRUE))</formula>
    </cfRule>
    <cfRule type="expression" dxfId="156" priority="564">
      <formula>IF(CP37&gt;=CQ37,IF(CP37="",FALSE,TRUE))</formula>
    </cfRule>
  </conditionalFormatting>
  <conditionalFormatting sqref="CN46:CN47">
    <cfRule type="expression" dxfId="155" priority="561">
      <formula>OR(IF(CN46&lt;CO46,TRUE),IF(AND(CO46="",CN46&lt;&gt;""),TRUE))</formula>
    </cfRule>
    <cfRule type="expression" dxfId="154" priority="562">
      <formula>IF(CN46&gt;=CO46,IF(CN46="",FALSE,TRUE))</formula>
    </cfRule>
  </conditionalFormatting>
  <conditionalFormatting sqref="CP46:CP47">
    <cfRule type="expression" dxfId="153" priority="559">
      <formula>OR(IF(CP46&lt;CQ46,TRUE),IF(AND(CQ46="",CP46&lt;&gt;""),TRUE))</formula>
    </cfRule>
    <cfRule type="expression" dxfId="152" priority="560">
      <formula>IF(CP46&gt;=CQ46,IF(CP46="",FALSE,TRUE))</formula>
    </cfRule>
  </conditionalFormatting>
  <conditionalFormatting sqref="CN53:CN54">
    <cfRule type="expression" dxfId="151" priority="557">
      <formula>OR(IF(CN53&lt;CO53,TRUE),IF(AND(CO53="",CN53&lt;&gt;""),TRUE))</formula>
    </cfRule>
    <cfRule type="expression" dxfId="150" priority="558">
      <formula>IF(CN53&gt;=CO53,IF(CN53="",FALSE,TRUE))</formula>
    </cfRule>
  </conditionalFormatting>
  <conditionalFormatting sqref="CP53:CP54">
    <cfRule type="expression" dxfId="149" priority="555">
      <formula>OR(IF(CP53&lt;CQ53,TRUE),IF(AND(CQ53="",CP53&lt;&gt;""),TRUE))</formula>
    </cfRule>
    <cfRule type="expression" dxfId="148" priority="556">
      <formula>IF(CP53&gt;=CQ53,IF(CP53="",FALSE,TRUE))</formula>
    </cfRule>
  </conditionalFormatting>
  <conditionalFormatting sqref="CU5:CU13 CW5:CW13 CW39:CW43 CU39:CU43 CW48:CW50 CU48:CU50">
    <cfRule type="expression" dxfId="147" priority="549">
      <formula>OR(IF(CU5&lt;CV5,TRUE),IF(AND(CV5="",CU5&lt;&gt;""),TRUE))</formula>
    </cfRule>
    <cfRule type="expression" dxfId="146" priority="550">
      <formula>IF(CU5&gt;=CV5,IF(CU5="",FALSE,TRUE))</formula>
    </cfRule>
  </conditionalFormatting>
  <conditionalFormatting sqref="CU16:CU26 CW16:CW26">
    <cfRule type="expression" dxfId="145" priority="547">
      <formula>OR(IF(CU16&lt;CV16,TRUE),IF(AND(CV16="",CU16&lt;&gt;""),TRUE))</formula>
    </cfRule>
    <cfRule type="expression" dxfId="144" priority="548">
      <formula>IF(CU16&gt;=CV16,IF(CU16="",FALSE,TRUE))</formula>
    </cfRule>
  </conditionalFormatting>
  <conditionalFormatting sqref="CU29:CU30">
    <cfRule type="expression" dxfId="143" priority="545">
      <formula>OR(IF(CU29&lt;CV29,TRUE),IF(AND(CV29="",CU29&lt;&gt;""),TRUE))</formula>
    </cfRule>
    <cfRule type="expression" dxfId="142" priority="546">
      <formula>IF(CU29&gt;=CV29,IF(CU29="",FALSE,TRUE))</formula>
    </cfRule>
  </conditionalFormatting>
  <conditionalFormatting sqref="CW29:CW30">
    <cfRule type="expression" dxfId="141" priority="543">
      <formula>OR(IF(CW29&lt;CX29,TRUE),IF(AND(CX29="",CW29&lt;&gt;""),TRUE))</formula>
    </cfRule>
    <cfRule type="expression" dxfId="140" priority="544">
      <formula>IF(CW29&gt;=CX29,IF(CW29="",FALSE,TRUE))</formula>
    </cfRule>
  </conditionalFormatting>
  <conditionalFormatting sqref="CU37:CU38">
    <cfRule type="expression" dxfId="139" priority="541">
      <formula>OR(IF(CU37&lt;CV37,TRUE),IF(AND(CV37="",CU37&lt;&gt;""),TRUE))</formula>
    </cfRule>
    <cfRule type="expression" dxfId="138" priority="542">
      <formula>IF(CU37&gt;=CV37,IF(CU37="",FALSE,TRUE))</formula>
    </cfRule>
  </conditionalFormatting>
  <conditionalFormatting sqref="CW37:CW38">
    <cfRule type="expression" dxfId="137" priority="539">
      <formula>OR(IF(CW37&lt;CX37,TRUE),IF(AND(CX37="",CW37&lt;&gt;""),TRUE))</formula>
    </cfRule>
    <cfRule type="expression" dxfId="136" priority="540">
      <formula>IF(CW37&gt;=CX37,IF(CW37="",FALSE,TRUE))</formula>
    </cfRule>
  </conditionalFormatting>
  <conditionalFormatting sqref="CU46:CU47">
    <cfRule type="expression" dxfId="135" priority="537">
      <formula>OR(IF(CU46&lt;CV46,TRUE),IF(AND(CV46="",CU46&lt;&gt;""),TRUE))</formula>
    </cfRule>
    <cfRule type="expression" dxfId="134" priority="538">
      <formula>IF(CU46&gt;=CV46,IF(CU46="",FALSE,TRUE))</formula>
    </cfRule>
  </conditionalFormatting>
  <conditionalFormatting sqref="CW46:CW47">
    <cfRule type="expression" dxfId="133" priority="535">
      <formula>OR(IF(CW46&lt;CX46,TRUE),IF(AND(CX46="",CW46&lt;&gt;""),TRUE))</formula>
    </cfRule>
    <cfRule type="expression" dxfId="132" priority="536">
      <formula>IF(CW46&gt;=CX46,IF(CW46="",FALSE,TRUE))</formula>
    </cfRule>
  </conditionalFormatting>
  <conditionalFormatting sqref="CU53:CU54">
    <cfRule type="expression" dxfId="131" priority="533">
      <formula>OR(IF(CU53&lt;CV53,TRUE),IF(AND(CV53="",CU53&lt;&gt;""),TRUE))</formula>
    </cfRule>
    <cfRule type="expression" dxfId="130" priority="534">
      <formula>IF(CU53&gt;=CV53,IF(CU53="",FALSE,TRUE))</formula>
    </cfRule>
  </conditionalFormatting>
  <conditionalFormatting sqref="CW53:CW54">
    <cfRule type="expression" dxfId="129" priority="531">
      <formula>OR(IF(CW53&lt;CX53,TRUE),IF(AND(CX53="",CW53&lt;&gt;""),TRUE))</formula>
    </cfRule>
    <cfRule type="expression" dxfId="128" priority="532">
      <formula>IF(CW53&gt;=CX53,IF(CW53="",FALSE,TRUE))</formula>
    </cfRule>
  </conditionalFormatting>
  <conditionalFormatting sqref="DB5:DB13 DD5:DD13 DD39:DD43 DB39:DB43 DD48:DD50 DB48:DB50">
    <cfRule type="expression" dxfId="127" priority="525">
      <formula>OR(IF(DB5&lt;DC5,TRUE),IF(AND(DC5="",DB5&lt;&gt;""),TRUE))</formula>
    </cfRule>
    <cfRule type="expression" dxfId="126" priority="526">
      <formula>IF(DB5&gt;=DC5,IF(DB5="",FALSE,TRUE))</formula>
    </cfRule>
  </conditionalFormatting>
  <conditionalFormatting sqref="DB16:DB26 DD16:DD26">
    <cfRule type="expression" dxfId="125" priority="523">
      <formula>OR(IF(DB16&lt;DC16,TRUE),IF(AND(DC16="",DB16&lt;&gt;""),TRUE))</formula>
    </cfRule>
    <cfRule type="expression" dxfId="124" priority="524">
      <formula>IF(DB16&gt;=DC16,IF(DB16="",FALSE,TRUE))</formula>
    </cfRule>
  </conditionalFormatting>
  <conditionalFormatting sqref="DB29:DB30">
    <cfRule type="expression" dxfId="123" priority="521">
      <formula>OR(IF(DB29&lt;DC29,TRUE),IF(AND(DC29="",DB29&lt;&gt;""),TRUE))</formula>
    </cfRule>
    <cfRule type="expression" dxfId="122" priority="522">
      <formula>IF(DB29&gt;=DC29,IF(DB29="",FALSE,TRUE))</formula>
    </cfRule>
  </conditionalFormatting>
  <conditionalFormatting sqref="DD29:DD30">
    <cfRule type="expression" dxfId="121" priority="519">
      <formula>OR(IF(DD29&lt;DE29,TRUE),IF(AND(DE29="",DD29&lt;&gt;""),TRUE))</formula>
    </cfRule>
    <cfRule type="expression" dxfId="120" priority="520">
      <formula>IF(DD29&gt;=DE29,IF(DD29="",FALSE,TRUE))</formula>
    </cfRule>
  </conditionalFormatting>
  <conditionalFormatting sqref="DB37:DB38">
    <cfRule type="expression" dxfId="119" priority="517">
      <formula>OR(IF(DB37&lt;DC37,TRUE),IF(AND(DC37="",DB37&lt;&gt;""),TRUE))</formula>
    </cfRule>
    <cfRule type="expression" dxfId="118" priority="518">
      <formula>IF(DB37&gt;=DC37,IF(DB37="",FALSE,TRUE))</formula>
    </cfRule>
  </conditionalFormatting>
  <conditionalFormatting sqref="DD37:DD38">
    <cfRule type="expression" dxfId="117" priority="515">
      <formula>OR(IF(DD37&lt;DE37,TRUE),IF(AND(DE37="",DD37&lt;&gt;""),TRUE))</formula>
    </cfRule>
    <cfRule type="expression" dxfId="116" priority="516">
      <formula>IF(DD37&gt;=DE37,IF(DD37="",FALSE,TRUE))</formula>
    </cfRule>
  </conditionalFormatting>
  <conditionalFormatting sqref="DB46:DB47">
    <cfRule type="expression" dxfId="115" priority="513">
      <formula>OR(IF(DB46&lt;DC46,TRUE),IF(AND(DC46="",DB46&lt;&gt;""),TRUE))</formula>
    </cfRule>
    <cfRule type="expression" dxfId="114" priority="514">
      <formula>IF(DB46&gt;=DC46,IF(DB46="",FALSE,TRUE))</formula>
    </cfRule>
  </conditionalFormatting>
  <conditionalFormatting sqref="DD46:DD47">
    <cfRule type="expression" dxfId="113" priority="511">
      <formula>OR(IF(DD46&lt;DE46,TRUE),IF(AND(DE46="",DD46&lt;&gt;""),TRUE))</formula>
    </cfRule>
    <cfRule type="expression" dxfId="112" priority="512">
      <formula>IF(DD46&gt;=DE46,IF(DD46="",FALSE,TRUE))</formula>
    </cfRule>
  </conditionalFormatting>
  <conditionalFormatting sqref="DB53:DB54">
    <cfRule type="expression" dxfId="111" priority="509">
      <formula>OR(IF(DB53&lt;DC53,TRUE),IF(AND(DC53="",DB53&lt;&gt;""),TRUE))</formula>
    </cfRule>
    <cfRule type="expression" dxfId="110" priority="510">
      <formula>IF(DB53&gt;=DC53,IF(DB53="",FALSE,TRUE))</formula>
    </cfRule>
  </conditionalFormatting>
  <conditionalFormatting sqref="DD53:DD54">
    <cfRule type="expression" dxfId="109" priority="507">
      <formula>OR(IF(DD53&lt;DE53,TRUE),IF(AND(DE53="",DD53&lt;&gt;""),TRUE))</formula>
    </cfRule>
    <cfRule type="expression" dxfId="108" priority="508">
      <formula>IF(DD53&gt;=DE53,IF(DD53="",FALSE,TRUE))</formula>
    </cfRule>
  </conditionalFormatting>
  <conditionalFormatting sqref="DI5:DI13 DK5:DK13 DK39:DK43 DI39:DI43 DK48:DK50 DI48:DI50">
    <cfRule type="expression" dxfId="107" priority="501">
      <formula>OR(IF(DI5&lt;DJ5,TRUE),IF(AND(DJ5="",DI5&lt;&gt;""),TRUE))</formula>
    </cfRule>
    <cfRule type="expression" dxfId="106" priority="502">
      <formula>IF(DI5&gt;=DJ5,IF(DI5="",FALSE,TRUE))</formula>
    </cfRule>
  </conditionalFormatting>
  <conditionalFormatting sqref="DI16:DI26 DK16:DK26">
    <cfRule type="expression" dxfId="105" priority="499">
      <formula>OR(IF(DI16&lt;DJ16,TRUE),IF(AND(DJ16="",DI16&lt;&gt;""),TRUE))</formula>
    </cfRule>
    <cfRule type="expression" dxfId="104" priority="500">
      <formula>IF(DI16&gt;=DJ16,IF(DI16="",FALSE,TRUE))</formula>
    </cfRule>
  </conditionalFormatting>
  <conditionalFormatting sqref="DI29:DI30">
    <cfRule type="expression" dxfId="103" priority="497">
      <formula>OR(IF(DI29&lt;DJ29,TRUE),IF(AND(DJ29="",DI29&lt;&gt;""),TRUE))</formula>
    </cfRule>
    <cfRule type="expression" dxfId="102" priority="498">
      <formula>IF(DI29&gt;=DJ29,IF(DI29="",FALSE,TRUE))</formula>
    </cfRule>
  </conditionalFormatting>
  <conditionalFormatting sqref="DK29:DK30">
    <cfRule type="expression" dxfId="101" priority="495">
      <formula>OR(IF(DK29&lt;DL29,TRUE),IF(AND(DL29="",DK29&lt;&gt;""),TRUE))</formula>
    </cfRule>
    <cfRule type="expression" dxfId="100" priority="496">
      <formula>IF(DK29&gt;=DL29,IF(DK29="",FALSE,TRUE))</formula>
    </cfRule>
  </conditionalFormatting>
  <conditionalFormatting sqref="DI37:DI38">
    <cfRule type="expression" dxfId="99" priority="493">
      <formula>OR(IF(DI37&lt;DJ37,TRUE),IF(AND(DJ37="",DI37&lt;&gt;""),TRUE))</formula>
    </cfRule>
    <cfRule type="expression" dxfId="98" priority="494">
      <formula>IF(DI37&gt;=DJ37,IF(DI37="",FALSE,TRUE))</formula>
    </cfRule>
  </conditionalFormatting>
  <conditionalFormatting sqref="DK37:DK38">
    <cfRule type="expression" dxfId="97" priority="491">
      <formula>OR(IF(DK37&lt;DL37,TRUE),IF(AND(DL37="",DK37&lt;&gt;""),TRUE))</formula>
    </cfRule>
    <cfRule type="expression" dxfId="96" priority="492">
      <formula>IF(DK37&gt;=DL37,IF(DK37="",FALSE,TRUE))</formula>
    </cfRule>
  </conditionalFormatting>
  <conditionalFormatting sqref="DI46:DI47">
    <cfRule type="expression" dxfId="95" priority="489">
      <formula>OR(IF(DI46&lt;DJ46,TRUE),IF(AND(DJ46="",DI46&lt;&gt;""),TRUE))</formula>
    </cfRule>
    <cfRule type="expression" dxfId="94" priority="490">
      <formula>IF(DI46&gt;=DJ46,IF(DI46="",FALSE,TRUE))</formula>
    </cfRule>
  </conditionalFormatting>
  <conditionalFormatting sqref="DK46:DK47">
    <cfRule type="expression" dxfId="93" priority="487">
      <formula>OR(IF(DK46&lt;DL46,TRUE),IF(AND(DL46="",DK46&lt;&gt;""),TRUE))</formula>
    </cfRule>
    <cfRule type="expression" dxfId="92" priority="488">
      <formula>IF(DK46&gt;=DL46,IF(DK46="",FALSE,TRUE))</formula>
    </cfRule>
  </conditionalFormatting>
  <conditionalFormatting sqref="DI53:DI54">
    <cfRule type="expression" dxfId="91" priority="485">
      <formula>OR(IF(DI53&lt;DJ53,TRUE),IF(AND(DJ53="",DI53&lt;&gt;""),TRUE))</formula>
    </cfRule>
    <cfRule type="expression" dxfId="90" priority="486">
      <formula>IF(DI53&gt;=DJ53,IF(DI53="",FALSE,TRUE))</formula>
    </cfRule>
  </conditionalFormatting>
  <conditionalFormatting sqref="DK53:DK54">
    <cfRule type="expression" dxfId="89" priority="483">
      <formula>OR(IF(DK53&lt;DL53,TRUE),IF(AND(DL53="",DK53&lt;&gt;""),TRUE))</formula>
    </cfRule>
    <cfRule type="expression" dxfId="88" priority="484">
      <formula>IF(DK53&gt;=DL53,IF(DK53="",FALSE,TRUE))</formula>
    </cfRule>
  </conditionalFormatting>
  <conditionalFormatting sqref="DP5:DP13 DR5:DR13 DR39:DR43 DP39:DP43 DR48:DR50 DP48:DP50">
    <cfRule type="expression" dxfId="87" priority="477">
      <formula>OR(IF(DP5&lt;DQ5,TRUE),IF(AND(DQ5="",DP5&lt;&gt;""),TRUE))</formula>
    </cfRule>
    <cfRule type="expression" dxfId="86" priority="478">
      <formula>IF(DP5&gt;=DQ5,IF(DP5="",FALSE,TRUE))</formula>
    </cfRule>
  </conditionalFormatting>
  <conditionalFormatting sqref="DP16:DP26 DR16:DR26">
    <cfRule type="expression" dxfId="85" priority="475">
      <formula>OR(IF(DP16&lt;DQ16,TRUE),IF(AND(DQ16="",DP16&lt;&gt;""),TRUE))</formula>
    </cfRule>
    <cfRule type="expression" dxfId="84" priority="476">
      <formula>IF(DP16&gt;=DQ16,IF(DP16="",FALSE,TRUE))</formula>
    </cfRule>
  </conditionalFormatting>
  <conditionalFormatting sqref="DP29:DP30">
    <cfRule type="expression" dxfId="83" priority="473">
      <formula>OR(IF(DP29&lt;DQ29,TRUE),IF(AND(DQ29="",DP29&lt;&gt;""),TRUE))</formula>
    </cfRule>
    <cfRule type="expression" dxfId="82" priority="474">
      <formula>IF(DP29&gt;=DQ29,IF(DP29="",FALSE,TRUE))</formula>
    </cfRule>
  </conditionalFormatting>
  <conditionalFormatting sqref="DR29:DR30">
    <cfRule type="expression" dxfId="81" priority="471">
      <formula>OR(IF(DR29&lt;DS29,TRUE),IF(AND(DS29="",DR29&lt;&gt;""),TRUE))</formula>
    </cfRule>
    <cfRule type="expression" dxfId="80" priority="472">
      <formula>IF(DR29&gt;=DS29,IF(DR29="",FALSE,TRUE))</formula>
    </cfRule>
  </conditionalFormatting>
  <conditionalFormatting sqref="DP37:DP38">
    <cfRule type="expression" dxfId="79" priority="469">
      <formula>OR(IF(DP37&lt;DQ37,TRUE),IF(AND(DQ37="",DP37&lt;&gt;""),TRUE))</formula>
    </cfRule>
    <cfRule type="expression" dxfId="78" priority="470">
      <formula>IF(DP37&gt;=DQ37,IF(DP37="",FALSE,TRUE))</formula>
    </cfRule>
  </conditionalFormatting>
  <conditionalFormatting sqref="DR37:DR38">
    <cfRule type="expression" dxfId="77" priority="467">
      <formula>OR(IF(DR37&lt;DS37,TRUE),IF(AND(DS37="",DR37&lt;&gt;""),TRUE))</formula>
    </cfRule>
    <cfRule type="expression" dxfId="76" priority="468">
      <formula>IF(DR37&gt;=DS37,IF(DR37="",FALSE,TRUE))</formula>
    </cfRule>
  </conditionalFormatting>
  <conditionalFormatting sqref="DP46:DP47">
    <cfRule type="expression" dxfId="75" priority="465">
      <formula>OR(IF(DP46&lt;DQ46,TRUE),IF(AND(DQ46="",DP46&lt;&gt;""),TRUE))</formula>
    </cfRule>
    <cfRule type="expression" dxfId="74" priority="466">
      <formula>IF(DP46&gt;=DQ46,IF(DP46="",FALSE,TRUE))</formula>
    </cfRule>
  </conditionalFormatting>
  <conditionalFormatting sqref="DR46:DR47">
    <cfRule type="expression" dxfId="73" priority="463">
      <formula>OR(IF(DR46&lt;DS46,TRUE),IF(AND(DS46="",DR46&lt;&gt;""),TRUE))</formula>
    </cfRule>
    <cfRule type="expression" dxfId="72" priority="464">
      <formula>IF(DR46&gt;=DS46,IF(DR46="",FALSE,TRUE))</formula>
    </cfRule>
  </conditionalFormatting>
  <conditionalFormatting sqref="DP53:DP54">
    <cfRule type="expression" dxfId="71" priority="461">
      <formula>OR(IF(DP53&lt;DQ53,TRUE),IF(AND(DQ53="",DP53&lt;&gt;""),TRUE))</formula>
    </cfRule>
    <cfRule type="expression" dxfId="70" priority="462">
      <formula>IF(DP53&gt;=DQ53,IF(DP53="",FALSE,TRUE))</formula>
    </cfRule>
  </conditionalFormatting>
  <conditionalFormatting sqref="DR53:DR54">
    <cfRule type="expression" dxfId="69" priority="459">
      <formula>OR(IF(DR53&lt;DS53,TRUE),IF(AND(DS53="",DR53&lt;&gt;""),TRUE))</formula>
    </cfRule>
    <cfRule type="expression" dxfId="68" priority="460">
      <formula>IF(DR53&gt;=DS53,IF(DR53="",FALSE,TRUE))</formula>
    </cfRule>
  </conditionalFormatting>
  <conditionalFormatting sqref="CN29">
    <cfRule type="expression" dxfId="67" priority="453">
      <formula>OR(IF(CN29&lt;CO29,TRUE),IF(AND(CO29="",CN29&lt;&gt;""),TRUE))</formula>
    </cfRule>
    <cfRule type="expression" dxfId="66" priority="454">
      <formula>IF(CN29&gt;=CO29,IF(CN29="",FALSE,TRUE))</formula>
    </cfRule>
  </conditionalFormatting>
  <conditionalFormatting sqref="J62:K68">
    <cfRule type="colorScale" priority="1195">
      <colorScale>
        <cfvo type="percent" val="0"/>
        <cfvo type="percent" val="100"/>
        <color rgb="FFFF231B"/>
        <color rgb="FF10FF07"/>
      </colorScale>
    </cfRule>
  </conditionalFormatting>
  <conditionalFormatting sqref="J61:J68">
    <cfRule type="colorScale" priority="1196">
      <colorScale>
        <cfvo type="percent" val="0"/>
        <cfvo type="percent" val="100"/>
        <color rgb="FFFF231B"/>
        <color rgb="FF10FF07"/>
      </colorScale>
    </cfRule>
  </conditionalFormatting>
  <conditionalFormatting sqref="K61:K68">
    <cfRule type="colorScale" priority="1197">
      <colorScale>
        <cfvo type="percent" val="0"/>
        <cfvo type="percent" val="100"/>
        <color rgb="FFFF231B"/>
        <color rgb="FF10FF07"/>
      </colorScale>
    </cfRule>
  </conditionalFormatting>
  <conditionalFormatting sqref="J72:K74">
    <cfRule type="colorScale" priority="1262">
      <colorScale>
        <cfvo type="percent" val="0"/>
        <cfvo type="percent" val="100"/>
        <color rgb="FFFF231B"/>
        <color rgb="FF10FF07"/>
      </colorScale>
    </cfRule>
  </conditionalFormatting>
  <conditionalFormatting sqref="J71:J74">
    <cfRule type="colorScale" priority="1263">
      <colorScale>
        <cfvo type="percent" val="0"/>
        <cfvo type="percent" val="100"/>
        <color rgb="FFFF231B"/>
        <color rgb="FF10FF07"/>
      </colorScale>
    </cfRule>
  </conditionalFormatting>
  <conditionalFormatting sqref="K71:K74">
    <cfRule type="colorScale" priority="1264">
      <colorScale>
        <cfvo type="percent" val="0"/>
        <cfvo type="percent" val="100"/>
        <color rgb="FFFF231B"/>
        <color rgb="FF10FF07"/>
      </colorScale>
    </cfRule>
  </conditionalFormatting>
  <conditionalFormatting sqref="J54:K58">
    <cfRule type="colorScale" priority="1293">
      <colorScale>
        <cfvo type="percent" val="0"/>
        <cfvo type="percent" val="100"/>
        <color rgb="FFFF231B"/>
        <color rgb="FF10FF07"/>
      </colorScale>
    </cfRule>
  </conditionalFormatting>
  <conditionalFormatting sqref="J53:J58">
    <cfRule type="colorScale" priority="1294">
      <colorScale>
        <cfvo type="percent" val="0"/>
        <cfvo type="percent" val="100"/>
        <color rgb="FFFF231B"/>
        <color rgb="FF10FF07"/>
      </colorScale>
    </cfRule>
  </conditionalFormatting>
  <conditionalFormatting sqref="K53:K58">
    <cfRule type="colorScale" priority="1295">
      <colorScale>
        <cfvo type="percent" val="0"/>
        <cfvo type="percent" val="100"/>
        <color rgb="FFFF231B"/>
        <color rgb="FF10FF07"/>
      </colorScale>
    </cfRule>
  </conditionalFormatting>
  <conditionalFormatting sqref="CG16">
    <cfRule type="expression" dxfId="65" priority="57">
      <formula>OR(IF(CG16&lt;CH16,TRUE),IF(AND(CH16="",CG16&lt;&gt;""),TRUE))</formula>
    </cfRule>
    <cfRule type="expression" dxfId="64" priority="58">
      <formula>IF(CG16&gt;=CH16,IF(CG16="",FALSE,TRUE))</formula>
    </cfRule>
  </conditionalFormatting>
  <conditionalFormatting sqref="CG29:CG30">
    <cfRule type="expression" dxfId="63" priority="51">
      <formula>OR(IF(CG29&lt;CH29,TRUE),IF(AND(CH29="",CG29&lt;&gt;""),TRUE))</formula>
    </cfRule>
    <cfRule type="expression" dxfId="62" priority="52">
      <formula>IF(CG29&gt;=CH29,IF(CG29="",FALSE,TRUE))</formula>
    </cfRule>
  </conditionalFormatting>
  <conditionalFormatting sqref="CI29:CI30">
    <cfRule type="expression" dxfId="61" priority="49">
      <formula>OR(IF(CI29&lt;CJ29,TRUE),IF(AND(CJ29="",CI29&lt;&gt;""),TRUE))</formula>
    </cfRule>
    <cfRule type="expression" dxfId="60" priority="50">
      <formula>IF(CI29&gt;=CJ29,IF(CI29="",FALSE,TRUE))</formula>
    </cfRule>
  </conditionalFormatting>
  <conditionalFormatting sqref="CG31:CG32">
    <cfRule type="expression" dxfId="59" priority="43">
      <formula>OR(IF(CG31&lt;CH31,TRUE),IF(AND(CH31="",CG31&lt;&gt;""),TRUE))</formula>
    </cfRule>
    <cfRule type="expression" dxfId="58" priority="44">
      <formula>IF(CG31&gt;=CH31,IF(CG31="",FALSE,TRUE))</formula>
    </cfRule>
  </conditionalFormatting>
  <conditionalFormatting sqref="CI31:CI32">
    <cfRule type="expression" dxfId="57" priority="41">
      <formula>OR(IF(CI31&lt;CJ31,TRUE),IF(AND(CJ31="",CI31&lt;&gt;""),TRUE))</formula>
    </cfRule>
    <cfRule type="expression" dxfId="56" priority="42">
      <formula>IF(CI31&gt;=CJ31,IF(CI31="",FALSE,TRUE))</formula>
    </cfRule>
  </conditionalFormatting>
  <conditionalFormatting sqref="CG37:CG38">
    <cfRule type="expression" dxfId="55" priority="37">
      <formula>OR(IF(CG37&lt;CH37,TRUE),IF(AND(CH37="",CG37&lt;&gt;""),TRUE))</formula>
    </cfRule>
    <cfRule type="expression" dxfId="54" priority="38">
      <formula>IF(CG37&gt;=CH37,IF(CG37="",FALSE,TRUE))</formula>
    </cfRule>
  </conditionalFormatting>
  <conditionalFormatting sqref="CI37:CI38">
    <cfRule type="expression" dxfId="53" priority="35">
      <formula>OR(IF(CI37&lt;CJ37,TRUE),IF(AND(CJ37="",CI37&lt;&gt;""),TRUE))</formula>
    </cfRule>
    <cfRule type="expression" dxfId="52" priority="36">
      <formula>IF(CI37&gt;=CJ37,IF(CI37="",FALSE,TRUE))</formula>
    </cfRule>
  </conditionalFormatting>
  <conditionalFormatting sqref="CG41:CG43">
    <cfRule type="expression" dxfId="51" priority="33">
      <formula>OR(IF(CG41&lt;CH41,TRUE),IF(AND(CH41="",CG41&lt;&gt;""),TRUE))</formula>
    </cfRule>
    <cfRule type="expression" dxfId="50" priority="34">
      <formula>IF(CG41&gt;=CH41,IF(CG41="",FALSE,TRUE))</formula>
    </cfRule>
  </conditionalFormatting>
  <conditionalFormatting sqref="CG39:CG40">
    <cfRule type="expression" dxfId="49" priority="31">
      <formula>OR(IF(CG39&lt;CH39,TRUE),IF(AND(CH39="",CG39&lt;&gt;""),TRUE))</formula>
    </cfRule>
    <cfRule type="expression" dxfId="48" priority="32">
      <formula>IF(CG39&gt;=CH39,IF(CG39="",FALSE,TRUE))</formula>
    </cfRule>
  </conditionalFormatting>
  <conditionalFormatting sqref="CI39:CI40">
    <cfRule type="expression" dxfId="47" priority="29">
      <formula>OR(IF(CI39&lt;CJ39,TRUE),IF(AND(CJ39="",CI39&lt;&gt;""),TRUE))</formula>
    </cfRule>
    <cfRule type="expression" dxfId="46" priority="30">
      <formula>IF(CI39&gt;=CJ39,IF(CI39="",FALSE,TRUE))</formula>
    </cfRule>
  </conditionalFormatting>
  <conditionalFormatting sqref="BU66">
    <cfRule type="expression" dxfId="45" priority="1306">
      <formula>OR(IF(BU66&lt;BV65,TRUE),IF(AND(BV65="",BU66&lt;&gt;""),TRUE))</formula>
    </cfRule>
    <cfRule type="expression" dxfId="44" priority="1307">
      <formula>IF(BU66&gt;=BV65,IF(BU66="",FALSE,TRUE))</formula>
    </cfRule>
  </conditionalFormatting>
  <conditionalFormatting sqref="BL16:BL21 BN16:BN21">
    <cfRule type="expression" dxfId="43" priority="27">
      <formula>OR(IF(BL16&lt;BM16,TRUE),IF(AND(BM16="",BL16&lt;&gt;""),TRUE))</formula>
    </cfRule>
    <cfRule type="expression" dxfId="42" priority="28">
      <formula>IF(BL16&gt;=BM16,IF(BL16="",FALSE,TRUE))</formula>
    </cfRule>
  </conditionalFormatting>
  <conditionalFormatting sqref="BN31 BL31">
    <cfRule type="expression" dxfId="41" priority="25">
      <formula>OR(IF(BL31&lt;BM31,TRUE),IF(AND(BM31="",BL31&lt;&gt;""),TRUE))</formula>
    </cfRule>
    <cfRule type="expression" dxfId="40" priority="26">
      <formula>IF(BL31&gt;=BM31,IF(BL31="",FALSE,TRUE))</formula>
    </cfRule>
  </conditionalFormatting>
  <conditionalFormatting sqref="BL29:BL30">
    <cfRule type="expression" dxfId="39" priority="23">
      <formula>OR(IF(BL29&lt;BM29,TRUE),IF(AND(BM29="",BL29&lt;&gt;""),TRUE))</formula>
    </cfRule>
    <cfRule type="expression" dxfId="38" priority="24">
      <formula>IF(BL29&gt;=BM29,IF(BL29="",FALSE,TRUE))</formula>
    </cfRule>
  </conditionalFormatting>
  <conditionalFormatting sqref="BN29:BN30">
    <cfRule type="expression" dxfId="37" priority="21">
      <formula>OR(IF(BN29&lt;BO29,TRUE),IF(AND(BO29="",BN29&lt;&gt;""),TRUE))</formula>
    </cfRule>
    <cfRule type="expression" dxfId="36" priority="22">
      <formula>IF(BN29&gt;=BO29,IF(BN29="",FALSE,TRUE))</formula>
    </cfRule>
  </conditionalFormatting>
  <conditionalFormatting sqref="BN39 BL39">
    <cfRule type="expression" dxfId="35" priority="19">
      <formula>OR(IF(BL39&lt;BM39,TRUE),IF(AND(BM39="",BL39&lt;&gt;""),TRUE))</formula>
    </cfRule>
    <cfRule type="expression" dxfId="34" priority="20">
      <formula>IF(BL39&gt;=BM39,IF(BL39="",FALSE,TRUE))</formula>
    </cfRule>
  </conditionalFormatting>
  <conditionalFormatting sqref="BL37:BL38">
    <cfRule type="expression" dxfId="33" priority="17">
      <formula>OR(IF(BL37&lt;BM37,TRUE),IF(AND(BM37="",BL37&lt;&gt;""),TRUE))</formula>
    </cfRule>
    <cfRule type="expression" dxfId="32" priority="18">
      <formula>IF(BL37&gt;=BM37,IF(BL37="",FALSE,TRUE))</formula>
    </cfRule>
  </conditionalFormatting>
  <conditionalFormatting sqref="BN37:BN38">
    <cfRule type="expression" dxfId="31" priority="15">
      <formula>OR(IF(BN37&lt;BO37,TRUE),IF(AND(BO37="",BN37&lt;&gt;""),TRUE))</formula>
    </cfRule>
    <cfRule type="expression" dxfId="30" priority="16">
      <formula>IF(BN37&gt;=BO37,IF(BN37="",FALSE,TRUE))</formula>
    </cfRule>
  </conditionalFormatting>
  <conditionalFormatting sqref="BL46:BL47">
    <cfRule type="expression" dxfId="29" priority="13">
      <formula>OR(IF(BL46&lt;BM46,TRUE),IF(AND(BM46="",BL46&lt;&gt;""),TRUE))</formula>
    </cfRule>
    <cfRule type="expression" dxfId="28" priority="14">
      <formula>IF(BL46&gt;=BM46,IF(BL46="",FALSE,TRUE))</formula>
    </cfRule>
  </conditionalFormatting>
  <conditionalFormatting sqref="BN46:BN47">
    <cfRule type="expression" dxfId="27" priority="11">
      <formula>OR(IF(BN46&lt;BO46,TRUE),IF(AND(BO46="",BN46&lt;&gt;""),TRUE))</formula>
    </cfRule>
    <cfRule type="expression" dxfId="26" priority="12">
      <formula>IF(BN46&gt;=BO46,IF(BN46="",FALSE,TRUE))</formula>
    </cfRule>
  </conditionalFormatting>
  <conditionalFormatting sqref="BL53:BL54">
    <cfRule type="expression" dxfId="25" priority="9">
      <formula>OR(IF(BL53&lt;BM53,TRUE),IF(AND(BM53="",BL53&lt;&gt;""),TRUE))</formula>
    </cfRule>
    <cfRule type="expression" dxfId="24" priority="10">
      <formula>IF(BL53&gt;=BM53,IF(BL53="",FALSE,TRUE))</formula>
    </cfRule>
  </conditionalFormatting>
  <conditionalFormatting sqref="BN53:BN54">
    <cfRule type="expression" dxfId="23" priority="7">
      <formula>OR(IF(BN53&lt;BO53,TRUE),IF(AND(BO53="",BN53&lt;&gt;""),TRUE))</formula>
    </cfRule>
    <cfRule type="expression" dxfId="22" priority="8">
      <formula>IF(BN53&gt;=BO53,IF(BN53="",FALSE,TRUE))</formula>
    </cfRule>
  </conditionalFormatting>
  <conditionalFormatting sqref="BG7:BG8">
    <cfRule type="expression" dxfId="21" priority="1310">
      <formula>OR(IF(BG7&lt;BH7,TRUE),IF(AND(BH7="",BG7&lt;&gt;""),TRUE))</formula>
    </cfRule>
    <cfRule type="expression" dxfId="20" priority="1311">
      <formula>IF(BG7&gt;=BH7,IF(BG7="",FALSE,TRUE))</formula>
    </cfRule>
  </conditionalFormatting>
  <conditionalFormatting sqref="BG31">
    <cfRule type="expression" dxfId="19" priority="5">
      <formula>OR(IF(BG31&lt;BH31,TRUE),IF(AND(BH31="",BG31&lt;&gt;""),TRUE))</formula>
    </cfRule>
    <cfRule type="expression" dxfId="18" priority="6">
      <formula>IF(BG31&gt;=BH31,IF(BG31="",FALSE,TRUE))</formula>
    </cfRule>
  </conditionalFormatting>
  <conditionalFormatting sqref="AZ38">
    <cfRule type="expression" dxfId="17" priority="3">
      <formula>OR(IF(AZ38&lt;BA38,TRUE),IF(AND(BA38="",AZ38&lt;&gt;""),TRUE))</formula>
    </cfRule>
    <cfRule type="expression" dxfId="16" priority="4">
      <formula>IF(AZ38&gt;=BA38,IF(AZ38="",FALSE,TRUE))</formula>
    </cfRule>
  </conditionalFormatting>
  <conditionalFormatting sqref="X65">
    <cfRule type="expression" dxfId="15" priority="1316">
      <formula>OR(IF(X65&lt;#REF!,TRUE),IF(AND(#REF!="",X65&lt;&gt;""),TRUE))</formula>
    </cfRule>
    <cfRule type="expression" dxfId="14" priority="1317">
      <formula>IF(X65&gt;=#REF!,IF(X65="",FALSE,TRUE))</formula>
    </cfRule>
  </conditionalFormatting>
  <conditionalFormatting sqref="J30:K34">
    <cfRule type="colorScale" priority="1346">
      <colorScale>
        <cfvo type="percent" val="0"/>
        <cfvo type="percent" val="100"/>
        <color rgb="FFFF231B"/>
        <color rgb="FF10FF07"/>
      </colorScale>
    </cfRule>
  </conditionalFormatting>
  <conditionalFormatting sqref="J29:J34">
    <cfRule type="colorScale" priority="1347">
      <colorScale>
        <cfvo type="percent" val="0"/>
        <cfvo type="percent" val="100"/>
        <color rgb="FFFF231B"/>
        <color rgb="FF10FF07"/>
      </colorScale>
    </cfRule>
  </conditionalFormatting>
  <conditionalFormatting sqref="K29:K34">
    <cfRule type="colorScale" priority="1348">
      <colorScale>
        <cfvo type="percent" val="0"/>
        <cfvo type="percent" val="100"/>
        <color rgb="FFFF231B"/>
        <color rgb="FF10FF07"/>
      </colorScale>
    </cfRule>
  </conditionalFormatting>
  <dataValidations count="1">
    <dataValidation type="list" allowBlank="1" showInputMessage="1" showErrorMessage="1" sqref="O5:R13 CG46:CJ50 V16:Y26 AC16:AF26 AX71:BA74 AJ37:AM43 AX16:BA26 AQ16:AT26 AQ5:AT13 AX29:BA34 AQ37:AT43 V29:Y34 V61:Y68 AC29:AF34 AJ29:AM34 BE46:BH50 BE53:BH58 O37:R43 CG53:CJ58 V37:Y43 AC53:AF58 BE29:BH34 BL71:BO74 BL46:BO50 BE5:BH13 CN16:CQ26 CG37:CJ43 CG5:CJ13 AJ16:AM26 AJ5:AM13 AX37:BA43 O53:R58 V53:Y58 AC46:AF50 AC61:AF68 AJ46:AM50 BL37:BO43 AX61:BA68 BL29:BO34 O29:R34 BE37:BH43 BS46:BV50 BL16:BO26 O16:R26 BL5:BO13 O46:R50 V46:Y50 BS16:BV26 AC37:AF43 BZ53:CC58 AX53:BA58 BS53:BV58 BS37:BV43 BS29:BV34 BZ16:CC26 AJ71:AM74 BZ29:CC34 BZ5:CC13 CG16:CJ26 DP53:DS58 CN29:CQ34 CN37:CQ43 CN5:CQ13 CN46:CQ50 CU29:CX34 CU5:CX13 CU37:CX43 CU46:CX50 CU16:CX26 CU53:CX58 DB29:DE34 DB5:DE13 DB37:DE43 DB46:DE50 DB16:DE26 DB53:DE58 DI29:DL34 DI5:DL13 DI37:DL43 DI46:DL50 DI16:DL26 DI53:DL58 DP29:DS34 DP5:DS13 DP37:DS43 DP46:DS50 DP16:DS26 CN53:CQ58 CG29:CJ34 V5:Y13 AC71:AF74 AQ29:AT34 AJ53:AM58 BE72:BH74 AQ53:AT58 BZ71:CC74 CN61:CQ68 CU61:CX68 DB61:DE68 DI61:DL68 DP61:DS68 O71:R74 V71:Y74 BZ61:CC68 AQ71:AT74 AQ61:AT68 BE16:BH26 BS71:BV74 AC5:AF13 DP71:DS74 CN71:CQ74 CU71:CX74 DB71:DE74 DI71:DL74 BZ46:CC50 BZ37:CC43 CG71:CJ74 CG61:CJ68 AJ61:AM68 BL53:BO58 BL61:BO68 O61:R68 AX5:BA13 BS61:BV68 BE61:BH68 BE71:BI71 AX46:BA50 AQ46:AT50 BS5:BV13" xr:uid="{DF46768B-76BD-4AD1-BDD9-05E5E50A35C8}">
      <formula1>"10%,20%,30%,40%,50%,60%,70%,80%,90%,100%"</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122"/>
  <sheetViews>
    <sheetView workbookViewId="0">
      <selection activeCell="B12" sqref="B12"/>
    </sheetView>
  </sheetViews>
  <sheetFormatPr baseColWidth="10" defaultColWidth="10.69921875"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42</v>
      </c>
      <c r="B1" s="17" t="s">
        <v>39</v>
      </c>
      <c r="C1" s="17" t="s">
        <v>40</v>
      </c>
      <c r="D1" s="17" t="s">
        <v>41</v>
      </c>
      <c r="E1" s="1" t="s">
        <v>43</v>
      </c>
      <c r="F1" s="1" t="s">
        <v>44</v>
      </c>
      <c r="G1" s="1" t="s">
        <v>45</v>
      </c>
      <c r="H1" s="1" t="s">
        <v>46</v>
      </c>
      <c r="I1" s="1" t="s">
        <v>47</v>
      </c>
      <c r="J1" s="1" t="s">
        <v>48</v>
      </c>
      <c r="K1" s="1" t="s">
        <v>49</v>
      </c>
    </row>
    <row r="2" spans="1:11">
      <c r="A2" s="16">
        <v>44848</v>
      </c>
      <c r="D2" s="18">
        <v>1</v>
      </c>
    </row>
    <row r="3" spans="1:11">
      <c r="A3" s="16">
        <v>44849</v>
      </c>
    </row>
    <row r="4" spans="1:11">
      <c r="A4" s="16">
        <v>44850</v>
      </c>
    </row>
    <row r="5" spans="1:11">
      <c r="A5" s="16">
        <v>44851</v>
      </c>
    </row>
    <row r="6" spans="1:11">
      <c r="A6" s="16">
        <v>44852</v>
      </c>
    </row>
    <row r="7" spans="1:11">
      <c r="A7" s="16">
        <v>44853</v>
      </c>
    </row>
    <row r="8" spans="1:11">
      <c r="A8" s="16">
        <v>44854</v>
      </c>
    </row>
    <row r="9" spans="1:11">
      <c r="A9" s="16">
        <v>44855</v>
      </c>
    </row>
    <row r="10" spans="1:11">
      <c r="A10" s="16">
        <v>44856</v>
      </c>
    </row>
    <row r="11" spans="1:11">
      <c r="A11" s="16">
        <v>44857</v>
      </c>
    </row>
    <row r="12" spans="1:11">
      <c r="A12" s="16">
        <v>44858</v>
      </c>
    </row>
    <row r="13" spans="1:11">
      <c r="A13" s="16">
        <v>44859</v>
      </c>
    </row>
    <row r="14" spans="1:11">
      <c r="A14" s="16">
        <v>44860</v>
      </c>
    </row>
    <row r="15" spans="1:11">
      <c r="A15" s="16">
        <v>44861</v>
      </c>
    </row>
    <row r="16" spans="1:11">
      <c r="A16" s="16">
        <v>44862</v>
      </c>
    </row>
    <row r="17" spans="1:1">
      <c r="A17" s="16">
        <v>44863</v>
      </c>
    </row>
    <row r="18" spans="1:1">
      <c r="A18" s="16">
        <v>44864</v>
      </c>
    </row>
    <row r="19" spans="1:1">
      <c r="A19" s="16">
        <v>44865</v>
      </c>
    </row>
    <row r="20" spans="1:1">
      <c r="A20" s="16">
        <v>44866</v>
      </c>
    </row>
    <row r="21" spans="1:1">
      <c r="A21" s="16">
        <v>44867</v>
      </c>
    </row>
    <row r="22" spans="1:1">
      <c r="A22" s="16">
        <v>44868</v>
      </c>
    </row>
    <row r="23" spans="1:1">
      <c r="A23" s="16">
        <v>44869</v>
      </c>
    </row>
    <row r="24" spans="1:1">
      <c r="A24" s="16">
        <v>44870</v>
      </c>
    </row>
    <row r="25" spans="1:1">
      <c r="A25" s="16">
        <v>44871</v>
      </c>
    </row>
    <row r="26" spans="1:1">
      <c r="A26" s="16">
        <v>44872</v>
      </c>
    </row>
    <row r="27" spans="1:1">
      <c r="A27" s="16">
        <v>44873</v>
      </c>
    </row>
    <row r="28" spans="1:1">
      <c r="A28" s="16">
        <v>44874</v>
      </c>
    </row>
    <row r="29" spans="1:1">
      <c r="A29" s="16">
        <v>44875</v>
      </c>
    </row>
    <row r="30" spans="1:1">
      <c r="A30" s="16">
        <v>44876</v>
      </c>
    </row>
    <row r="31" spans="1:1">
      <c r="A31" s="16">
        <v>44877</v>
      </c>
    </row>
    <row r="32" spans="1:1">
      <c r="A32" s="16">
        <v>44878</v>
      </c>
    </row>
    <row r="33" spans="1:1">
      <c r="A33" s="16">
        <v>44879</v>
      </c>
    </row>
    <row r="34" spans="1:1">
      <c r="A34" s="16">
        <v>44880</v>
      </c>
    </row>
    <row r="35" spans="1:1">
      <c r="A35" s="16">
        <v>44881</v>
      </c>
    </row>
    <row r="36" spans="1:1">
      <c r="A36" s="16">
        <v>44882</v>
      </c>
    </row>
    <row r="37" spans="1:1">
      <c r="A37" s="16">
        <v>44883</v>
      </c>
    </row>
    <row r="38" spans="1:1">
      <c r="A38" s="16">
        <v>44884</v>
      </c>
    </row>
    <row r="39" spans="1:1">
      <c r="A39" s="16">
        <v>44885</v>
      </c>
    </row>
    <row r="40" spans="1:1">
      <c r="A40" s="16">
        <v>44886</v>
      </c>
    </row>
    <row r="41" spans="1:1">
      <c r="A41" s="16">
        <v>44887</v>
      </c>
    </row>
    <row r="42" spans="1:1">
      <c r="A42" s="16">
        <v>44888</v>
      </c>
    </row>
    <row r="43" spans="1:1">
      <c r="A43" s="16">
        <v>44889</v>
      </c>
    </row>
    <row r="44" spans="1:1">
      <c r="A44" s="16">
        <v>44890</v>
      </c>
    </row>
    <row r="45" spans="1:1">
      <c r="A45" s="16">
        <v>44891</v>
      </c>
    </row>
    <row r="46" spans="1:1">
      <c r="A46" s="16">
        <v>44892</v>
      </c>
    </row>
    <row r="47" spans="1:1">
      <c r="A47" s="16">
        <v>44893</v>
      </c>
    </row>
    <row r="48" spans="1:1">
      <c r="A48" s="16">
        <v>44894</v>
      </c>
    </row>
    <row r="49" spans="1:1">
      <c r="A49" s="16">
        <v>44895</v>
      </c>
    </row>
    <row r="50" spans="1:1">
      <c r="A50" s="16">
        <v>44896</v>
      </c>
    </row>
    <row r="51" spans="1:1">
      <c r="A51" s="16">
        <v>44897</v>
      </c>
    </row>
    <row r="52" spans="1:1">
      <c r="A52" s="16">
        <v>44898</v>
      </c>
    </row>
    <row r="53" spans="1:1">
      <c r="A53" s="16">
        <v>44899</v>
      </c>
    </row>
    <row r="54" spans="1:1">
      <c r="A54" s="16">
        <v>44900</v>
      </c>
    </row>
    <row r="55" spans="1:1">
      <c r="A55" s="16">
        <v>44901</v>
      </c>
    </row>
    <row r="56" spans="1:1">
      <c r="A56" s="16">
        <v>44902</v>
      </c>
    </row>
    <row r="57" spans="1:1">
      <c r="A57" s="16">
        <v>44903</v>
      </c>
    </row>
    <row r="58" spans="1:1">
      <c r="A58" s="16">
        <v>44904</v>
      </c>
    </row>
    <row r="59" spans="1:1">
      <c r="A59" s="16">
        <v>44905</v>
      </c>
    </row>
    <row r="60" spans="1:1">
      <c r="A60" s="16">
        <v>44906</v>
      </c>
    </row>
    <row r="61" spans="1:1">
      <c r="A61" s="16">
        <v>44907</v>
      </c>
    </row>
    <row r="62" spans="1:1">
      <c r="A62" s="16">
        <v>44908</v>
      </c>
    </row>
    <row r="63" spans="1:1">
      <c r="A63" s="16">
        <v>44909</v>
      </c>
    </row>
    <row r="64" spans="1:1">
      <c r="A64" s="16">
        <v>44910</v>
      </c>
    </row>
    <row r="65" spans="1:1">
      <c r="A65" s="16">
        <v>44911</v>
      </c>
    </row>
    <row r="66" spans="1:1">
      <c r="A66" s="16">
        <v>44912</v>
      </c>
    </row>
    <row r="67" spans="1:1">
      <c r="A67" s="16">
        <v>44913</v>
      </c>
    </row>
    <row r="68" spans="1:1">
      <c r="A68" s="16">
        <v>44914</v>
      </c>
    </row>
    <row r="69" spans="1:1">
      <c r="A69" s="16">
        <v>44915</v>
      </c>
    </row>
    <row r="70" spans="1:1">
      <c r="A70" s="16">
        <v>44916</v>
      </c>
    </row>
    <row r="71" spans="1:1">
      <c r="A71" s="16">
        <v>44917</v>
      </c>
    </row>
    <row r="72" spans="1:1">
      <c r="A72" s="16">
        <v>44918</v>
      </c>
    </row>
    <row r="73" spans="1:1">
      <c r="A73" s="16">
        <v>44919</v>
      </c>
    </row>
    <row r="74" spans="1:1">
      <c r="A74" s="16">
        <v>44920</v>
      </c>
    </row>
    <row r="75" spans="1:1">
      <c r="A75" s="16">
        <v>44921</v>
      </c>
    </row>
    <row r="76" spans="1:1">
      <c r="A76" s="16">
        <v>44922</v>
      </c>
    </row>
    <row r="77" spans="1:1">
      <c r="A77" s="16">
        <v>44923</v>
      </c>
    </row>
    <row r="78" spans="1:1">
      <c r="A78" s="16">
        <v>44924</v>
      </c>
    </row>
    <row r="79" spans="1:1">
      <c r="A79" s="16">
        <v>44925</v>
      </c>
    </row>
    <row r="80" spans="1:1">
      <c r="A80" s="16">
        <v>44926</v>
      </c>
    </row>
    <row r="81" spans="1:1">
      <c r="A81" s="16">
        <v>44927</v>
      </c>
    </row>
    <row r="82" spans="1:1">
      <c r="A82" s="16">
        <v>44928</v>
      </c>
    </row>
    <row r="83" spans="1:1">
      <c r="A83" s="16">
        <v>44929</v>
      </c>
    </row>
    <row r="84" spans="1:1">
      <c r="A84" s="16">
        <v>44930</v>
      </c>
    </row>
    <row r="85" spans="1:1">
      <c r="A85" s="16">
        <v>44931</v>
      </c>
    </row>
    <row r="86" spans="1:1">
      <c r="A86" s="16">
        <v>44932</v>
      </c>
    </row>
    <row r="87" spans="1:1">
      <c r="A87" s="16">
        <v>44933</v>
      </c>
    </row>
    <row r="88" spans="1:1">
      <c r="A88" s="16">
        <v>44934</v>
      </c>
    </row>
    <row r="89" spans="1:1">
      <c r="A89" s="16">
        <v>44935</v>
      </c>
    </row>
    <row r="90" spans="1:1">
      <c r="A90" s="16">
        <v>44936</v>
      </c>
    </row>
    <row r="91" spans="1:1">
      <c r="A91" s="16">
        <v>44937</v>
      </c>
    </row>
    <row r="92" spans="1:1">
      <c r="A92" s="16">
        <v>44938</v>
      </c>
    </row>
    <row r="93" spans="1:1">
      <c r="A93" s="16">
        <v>44939</v>
      </c>
    </row>
    <row r="94" spans="1:1">
      <c r="A94" s="16">
        <v>44940</v>
      </c>
    </row>
    <row r="95" spans="1:1">
      <c r="A95" s="16">
        <v>44941</v>
      </c>
    </row>
    <row r="96" spans="1:1">
      <c r="A96" s="16">
        <v>44942</v>
      </c>
    </row>
    <row r="97" spans="1:1">
      <c r="A97" s="16">
        <v>44943</v>
      </c>
    </row>
    <row r="98" spans="1:1">
      <c r="A98" s="16">
        <v>44944</v>
      </c>
    </row>
    <row r="99" spans="1:1">
      <c r="A99" s="16">
        <v>44945</v>
      </c>
    </row>
    <row r="100" spans="1:1">
      <c r="A100" s="16">
        <v>44946</v>
      </c>
    </row>
    <row r="101" spans="1:1">
      <c r="A101" s="16">
        <v>44947</v>
      </c>
    </row>
    <row r="102" spans="1:1">
      <c r="A102" s="16">
        <v>44948</v>
      </c>
    </row>
    <row r="103" spans="1:1">
      <c r="A103" s="16">
        <v>44949</v>
      </c>
    </row>
    <row r="104" spans="1:1">
      <c r="A104" s="16">
        <v>44950</v>
      </c>
    </row>
    <row r="105" spans="1:1">
      <c r="A105" s="16">
        <v>44951</v>
      </c>
    </row>
    <row r="106" spans="1:1">
      <c r="A106" s="16">
        <v>44952</v>
      </c>
    </row>
    <row r="107" spans="1:1">
      <c r="A107" s="16">
        <v>44953</v>
      </c>
    </row>
    <row r="108" spans="1:1">
      <c r="A108" s="16">
        <v>44954</v>
      </c>
    </row>
    <row r="109" spans="1:1">
      <c r="A109" s="16">
        <v>44955</v>
      </c>
    </row>
    <row r="110" spans="1:1">
      <c r="A110" s="16">
        <v>44956</v>
      </c>
    </row>
    <row r="111" spans="1:1">
      <c r="A111" s="16">
        <v>44957</v>
      </c>
    </row>
    <row r="112" spans="1:1">
      <c r="A112" s="16">
        <v>44958</v>
      </c>
    </row>
    <row r="113" spans="1:1">
      <c r="A113" s="16">
        <v>44959</v>
      </c>
    </row>
    <row r="114" spans="1:1">
      <c r="A114" s="16">
        <v>44960</v>
      </c>
    </row>
    <row r="115" spans="1:1">
      <c r="A115" s="16">
        <v>44961</v>
      </c>
    </row>
    <row r="116" spans="1:1">
      <c r="A116" s="16">
        <v>44962</v>
      </c>
    </row>
    <row r="117" spans="1:1">
      <c r="A117" s="16">
        <v>44963</v>
      </c>
    </row>
    <row r="118" spans="1:1">
      <c r="A118" s="16">
        <v>44964</v>
      </c>
    </row>
    <row r="119" spans="1:1">
      <c r="A119" s="16">
        <v>44965</v>
      </c>
    </row>
    <row r="120" spans="1:1">
      <c r="A120" s="16">
        <v>44966</v>
      </c>
    </row>
    <row r="121" spans="1:1">
      <c r="A121" s="16">
        <v>44967</v>
      </c>
    </row>
    <row r="122" spans="1:1">
      <c r="A122" s="16">
        <v>44968</v>
      </c>
    </row>
  </sheetData>
  <conditionalFormatting sqref="B2:B122">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122">
    <cfRule type="cellIs" dxfId="3" priority="4" operator="equal">
      <formula>"Ja"</formula>
    </cfRule>
  </conditionalFormatting>
  <conditionalFormatting sqref="C2:C122">
    <cfRule type="cellIs" dxfId="2" priority="2" operator="equal">
      <formula>"Ja"</formula>
    </cfRule>
    <cfRule type="cellIs" dxfId="1" priority="3" operator="equal">
      <formula>"Nein"</formula>
    </cfRule>
  </conditionalFormatting>
  <conditionalFormatting sqref="C2:C122">
    <cfRule type="cellIs" dxfId="0" priority="1" operator="equal">
      <formula>"Ja"</formula>
    </cfRule>
  </conditionalFormatting>
  <dataValidations count="2">
    <dataValidation type="list" allowBlank="1" showInputMessage="1" showErrorMessage="1" sqref="B2:C122"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7" zoomScale="117" workbookViewId="0">
      <selection activeCell="D22" sqref="D22"/>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9921875" defaultRowHeight="15.6"/>
  <sheetData>
    <row r="1" spans="1:8" ht="24.6">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Nick Meyer</cp:lastModifiedBy>
  <dcterms:created xsi:type="dcterms:W3CDTF">2020-04-19T13:33:28Z</dcterms:created>
  <dcterms:modified xsi:type="dcterms:W3CDTF">2022-10-24T20:36:35Z</dcterms:modified>
</cp:coreProperties>
</file>