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hidden" name="Semesterplan" sheetId="2" r:id="rId5"/>
    <sheet state="visible" name="Kopie von Semesterplan" sheetId="3" r:id="rId6"/>
    <sheet state="hidden" name="COMMITTMENT" sheetId="4" r:id="rId7"/>
    <sheet state="hidden" name="Wochenplan KW 19" sheetId="5" r:id="rId8"/>
    <sheet state="hidden" name="Wochenplan KW 20" sheetId="6" r:id="rId9"/>
  </sheets>
  <definedNames/>
  <calcPr/>
  <extLst>
    <ext uri="GoogleSheetsCustomDataVersion1">
      <go:sheetsCustomData xmlns:go="http://customooxmlschemas.google.com/" r:id="rId10" roundtripDataSignature="AMtx7mgu4b43Lln/9MMIfCAcIPP3O4EsZg=="/>
    </ext>
  </extLst>
</workbook>
</file>

<file path=xl/sharedStrings.xml><?xml version="1.0" encoding="utf-8"?>
<sst xmlns="http://schemas.openxmlformats.org/spreadsheetml/2006/main" count="748" uniqueCount="165">
  <si>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</si>
  <si>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</si>
  <si>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</si>
  <si>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</si>
  <si>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</si>
  <si>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</si>
  <si>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</si>
  <si>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</si>
  <si>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</si>
  <si>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</si>
  <si>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</si>
  <si>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</si>
  <si>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</si>
  <si>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</si>
  <si>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</si>
  <si>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</si>
  <si>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</si>
  <si>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</si>
  <si>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</si>
  <si>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</si>
  <si>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</si>
  <si>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</si>
  <si>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</si>
  <si>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</si>
  <si>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</si>
  <si>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</si>
  <si>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</si>
  <si>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</si>
  <si>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</si>
  <si>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</si>
  <si>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</si>
  <si>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</si>
  <si>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</si>
  <si>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</si>
  <si>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</si>
  <si>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</si>
  <si>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</si>
  <si>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</si>
  <si>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</si>
  <si>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</si>
  <si>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</si>
  <si>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</si>
  <si>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</si>
  <si>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</si>
  <si>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</si>
  <si>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</si>
  <si>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</si>
  <si>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</si>
  <si>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</si>
  <si>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</si>
  <si>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</si>
  <si>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</si>
  <si>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</si>
  <si>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</si>
  <si>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</si>
  <si>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</si>
  <si>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</si>
  <si>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</si>
  <si>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</si>
  <si>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</si>
  <si>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</si>
  <si>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</si>
  <si>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</si>
  <si>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</si>
  <si>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</si>
  <si>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</si>
  <si>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</si>
  <si>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</si>
  <si>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</si>
  <si>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</si>
  <si>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</si>
  <si>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</si>
  <si>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</si>
  <si>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</si>
  <si>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</si>
  <si>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</si>
  <si>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</si>
  <si>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</si>
  <si>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</si>
  <si>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</si>
  <si>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</si>
  <si>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</si>
  <si>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</si>
  <si>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</si>
  <si>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</si>
  <si>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</si>
  <si>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</si>
  <si>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</si>
  <si>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</si>
  <si>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</si>
  <si>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</si>
  <si>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</si>
  <si>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</si>
  <si>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</si>
  <si>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</si>
  <si>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</si>
  <si>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</si>
  <si>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</si>
  <si>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</si>
  <si>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</si>
  <si>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</si>
  <si>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</si>
  <si>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</si>
  <si>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</si>
  <si>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</si>
  <si>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</si>
  <si>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</si>
  <si>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</si>
  <si>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</si>
  <si>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</si>
  <si>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</si>
  <si>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</si>
  <si>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</si>
  <si>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</si>
  <si>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</si>
  <si>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</si>
  <si>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</si>
  <si>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58 Kapitel</t>
  </si>
  <si>
    <t>PRESENTATIONS</t>
  </si>
  <si>
    <t>Take home exam</t>
  </si>
  <si>
    <t>Exam</t>
  </si>
  <si>
    <t>9) P-A Problems</t>
  </si>
  <si>
    <t>10) Adverse selection &amp; moral hazard</t>
  </si>
  <si>
    <t>11) incentive contracts w risk neutral agents</t>
  </si>
  <si>
    <t>12) piece rate, bonus and malus contracts</t>
  </si>
  <si>
    <t>13) risk neutralizy vs risk aversion</t>
  </si>
  <si>
    <t>14) incentive contracts with risk averse agents</t>
  </si>
  <si>
    <t>noch keine Lecture &amp; Skript</t>
  </si>
  <si>
    <t>1) Introduction to PM</t>
  </si>
  <si>
    <t>2) Design Thinking</t>
  </si>
  <si>
    <t>3) Strategy &amp; Positioning</t>
  </si>
  <si>
    <t>4) Product Innovation</t>
  </si>
  <si>
    <t>5) Presentation</t>
  </si>
  <si>
    <t>1) Theory</t>
  </si>
  <si>
    <t>2) Presentation</t>
  </si>
  <si>
    <t>3) Project</t>
  </si>
  <si>
    <t>2) Questions for Case</t>
  </si>
  <si>
    <t>3) Essay</t>
  </si>
  <si>
    <t>Wiederholung &amp; Final Presentation</t>
  </si>
  <si>
    <t>Coaching 3</t>
  </si>
  <si>
    <t>1) Introduction</t>
  </si>
  <si>
    <t>2) Learning Journal</t>
  </si>
  <si>
    <t>4) Simulation</t>
  </si>
  <si>
    <t>5) Essay</t>
  </si>
  <si>
    <t>6) Design Thinking</t>
  </si>
  <si>
    <t>7) SCRUM (+Workshop)</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</si>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</sst>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0.0%"/>
    <numFmt numFmtId="166" formatCode="0.0"/>
  </numFmts>
  <fonts count="8">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b/>
      <sz val="20.0"/>
      <color theme="1"/>
      <name val="Calibri"/>
    </font>
  </fonts>
  <fills count="6">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4" numFmtId="2" xfId="0" applyFont="1" applyNumberFormat="1"/>
    <xf borderId="0" fillId="0" fontId="4" numFmtId="166" xfId="0" applyFont="1" applyNumberFormat="1"/>
    <xf borderId="0" fillId="0" fontId="4" numFmtId="1" xfId="0" applyFont="1" applyNumberFormat="1"/>
    <xf borderId="0" fillId="0" fontId="1" numFmtId="166" xfId="0" applyAlignment="1" applyFont="1" applyNumberFormat="1">
      <alignment horizontal="center"/>
    </xf>
    <xf borderId="0" fillId="0" fontId="1" numFmtId="1" xfId="0" applyAlignment="1" applyFont="1" applyNumberFormat="1">
      <alignment horizontal="center" readingOrder="0"/>
    </xf>
    <xf borderId="0" fillId="0" fontId="1" numFmtId="10" xfId="0" applyAlignment="1" applyFont="1" applyNumberFormat="1">
      <alignment readingOrder="0"/>
    </xf>
    <xf borderId="0" fillId="0" fontId="1" numFmtId="2" xfId="0" applyAlignment="1" applyFont="1" applyNumberFormat="1">
      <alignment horizontal="center"/>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7"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0.05</v>
      </c>
      <c r="K14" s="29">
        <f>+SUMPRODUCT(G15:G20,K15:K20)</f>
        <v>0.05</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0.5</v>
      </c>
      <c r="K15" s="29">
        <f t="array" ref="K15">MAX(IF($N$3:$HA$3=$J$3,N15:HA15))</f>
        <v>0.5</v>
      </c>
      <c r="L15" s="26"/>
      <c r="O15" s="27"/>
      <c r="P15" s="27"/>
      <c r="Q15" s="27"/>
      <c r="R15" s="27"/>
      <c r="V15" s="30">
        <v>0.5</v>
      </c>
      <c r="W15" s="30">
        <v>0.5</v>
      </c>
      <c r="X15" s="30">
        <v>0.5</v>
      </c>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9.22"/>
    <col customWidth="1" min="7" max="7" width="9.0"/>
    <col customWidth="1" min="8" max="8" width="2.44"/>
    <col customWidth="1" min="9" max="9" width="8.78"/>
    <col customWidth="1" min="10" max="10" width="8.67"/>
    <col customWidth="1" min="11" max="11" width="11.33"/>
    <col customWidth="1" min="12" max="12" width="4.78"/>
    <col customWidth="1" hidden="1" min="13" max="13" width="5.56"/>
    <col customWidth="1" hidden="1" min="14" max="14" width="2.22"/>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hidden="1" min="21" max="21" width="2.22"/>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22"/>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22"/>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22"/>
    <col customWidth="1" hidden="1" min="43" max="43" width="8.78"/>
    <col customWidth="1" hidden="1" min="44" max="44" width="12.44"/>
    <col customWidth="1" hidden="1" min="45" max="45" width="6.33"/>
    <col customWidth="1" hidden="1" min="46" max="46" width="14.78"/>
    <col customWidth="1" hidden="1" min="47" max="47" width="6.0"/>
    <col customWidth="1" hidden="1" min="48" max="48" width="12.67"/>
    <col customWidth="1" min="49" max="49" width="3.33"/>
    <col customWidth="1" hidden="1" min="50" max="50" width="8.78"/>
    <col customWidth="1" hidden="1" min="51" max="51" width="12.44"/>
    <col customWidth="1" hidden="1" min="52" max="52" width="6.33"/>
    <col customWidth="1" hidden="1" min="53" max="53" width="14.78"/>
    <col customWidth="1" hidden="1" min="54" max="54" width="6.0"/>
    <col customWidth="1" hidden="1" min="55" max="55" width="12.67"/>
    <col customWidth="1" min="56" max="56" width="2.22"/>
    <col customWidth="1" hidden="1" min="57" max="57" width="8.78"/>
    <col customWidth="1" hidden="1" min="58" max="58" width="12.44"/>
    <col customWidth="1" hidden="1" min="59" max="59" width="6.33"/>
    <col customWidth="1" hidden="1" min="60" max="60" width="14.78"/>
    <col customWidth="1" hidden="1" min="61" max="61" width="6.0"/>
    <col customWidth="1" hidden="1" min="62" max="62" width="12.67"/>
    <col customWidth="1" min="63" max="63" width="2.22"/>
    <col customWidth="1" hidden="1" min="64" max="64" width="8.78"/>
    <col customWidth="1" hidden="1" min="65" max="65" width="12.44"/>
    <col customWidth="1" hidden="1" min="66" max="66" width="6.33"/>
    <col customWidth="1" hidden="1" min="67" max="67" width="14.78"/>
    <col customWidth="1" hidden="1" min="68" max="68" width="6.0"/>
    <col customWidth="1" hidden="1" min="69" max="69" width="12.67"/>
    <col customWidth="1" min="70" max="70" width="2.22"/>
    <col customWidth="1" hidden="1" min="71" max="71" width="8.78"/>
    <col customWidth="1" hidden="1" min="72" max="72" width="12.44"/>
    <col customWidth="1" hidden="1" min="73" max="73" width="6.33"/>
    <col customWidth="1" hidden="1" min="74" max="74" width="14.78"/>
    <col customWidth="1" hidden="1" min="75" max="75" width="6.0"/>
    <col customWidth="1" hidden="1" min="76" max="76" width="12.67"/>
    <col customWidth="1" min="77" max="77" width="2.22"/>
    <col customWidth="1" hidden="1" min="78" max="78" width="8.78"/>
    <col customWidth="1" hidden="1" min="79" max="79" width="12.44"/>
    <col customWidth="1" hidden="1" min="80" max="80" width="6.33"/>
    <col customWidth="1" hidden="1" min="81" max="81" width="14.78"/>
    <col customWidth="1" hidden="1" min="82" max="82" width="6.0"/>
    <col customWidth="1" hidden="1" min="83" max="83" width="12.67"/>
    <col customWidth="1" min="84" max="84" width="2.22"/>
    <col customWidth="1" min="85" max="85" width="8.78"/>
    <col customWidth="1" min="86" max="86" width="12.44"/>
    <col customWidth="1" min="87" max="87" width="6.33"/>
    <col customWidth="1" min="88" max="88" width="14.78"/>
    <col customWidth="1" min="89" max="89" width="6.0"/>
    <col customWidth="1" min="90" max="90" width="12.67"/>
    <col customWidth="1" min="91" max="91" width="2.22"/>
    <col customWidth="1" min="92" max="92" width="8.78"/>
    <col customWidth="1" min="93" max="93" width="12.44"/>
    <col customWidth="1" min="94" max="94" width="6.33"/>
    <col customWidth="1" min="95" max="95" width="14.78"/>
    <col customWidth="1" min="96" max="96" width="6.0"/>
    <col customWidth="1" min="97" max="97" width="12.67"/>
    <col customWidth="1" min="98" max="98" width="2.22"/>
    <col customWidth="1" min="99" max="99" width="8.78"/>
    <col customWidth="1" min="100" max="100" width="12.44"/>
    <col customWidth="1" min="101" max="101" width="6.33"/>
    <col customWidth="1" min="102" max="102" width="14.78"/>
    <col customWidth="1" min="103" max="103" width="6.0"/>
    <col customWidth="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2" width="2.22"/>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22"/>
    <col customWidth="1" min="120" max="120" width="8.78"/>
    <col customWidth="1" min="121" max="121" width="12.44"/>
    <col customWidth="1" min="122" max="122" width="6.33"/>
    <col customWidth="1" min="123" max="123" width="14.78"/>
    <col customWidth="1" min="124" max="124" width="6.0"/>
    <col customWidth="1" min="125" max="125" width="12.67"/>
    <col customWidth="1" min="126" max="126" width="2.22"/>
  </cols>
  <sheetData>
    <row r="1" ht="15.75" customHeight="1">
      <c r="A1" s="5" t="s">
        <v>19</v>
      </c>
      <c r="B1" s="7" t="s">
        <v>20</v>
      </c>
      <c r="C1" s="8"/>
      <c r="D1" s="7"/>
      <c r="G1" s="10" t="s">
        <v>117</v>
      </c>
      <c r="I1" s="10" t="s">
        <v>22</v>
      </c>
      <c r="J1" s="9">
        <f>(58*3)/12</f>
        <v>14.5</v>
      </c>
      <c r="K1" s="10"/>
      <c r="T1" s="5">
        <v>8.0</v>
      </c>
      <c r="V1" s="5" t="s">
        <v>24</v>
      </c>
      <c r="AA1" s="5">
        <v>13.0</v>
      </c>
      <c r="AH1" s="5">
        <v>15.0</v>
      </c>
      <c r="AM1" s="34">
        <f>SUM(AJ4,AJ20,AJ28,AJ35,AJ40,AJ50,AJ55,AJ71)</f>
        <v>37</v>
      </c>
      <c r="AO1" s="5">
        <v>18.0</v>
      </c>
      <c r="AQ1" s="35">
        <f>SUM(AQ4,AQ20,AQ28,AQ35,AQ40,AQ50,AQ55,AQ71)</f>
        <v>31.5</v>
      </c>
      <c r="AX1" s="34">
        <f>SUM(AX4,AX20,AX28,AX35,AX40,AX55,AX71)</f>
        <v>32.75</v>
      </c>
      <c r="BD1" s="11"/>
      <c r="BE1" s="35">
        <f>SUM(BE4,BE20,BE28,BE35,BE40,BE50,BE55,BE71)</f>
        <v>71.5</v>
      </c>
      <c r="BH1" s="5" t="s">
        <v>25</v>
      </c>
      <c r="BJ1" s="5">
        <v>3.0</v>
      </c>
      <c r="BQ1" s="5">
        <v>4.0</v>
      </c>
      <c r="BR1" s="11"/>
      <c r="BS1" s="36">
        <f>SUM(BS4,BS28,BS40,BS50,BS55,BS76)</f>
        <v>24.5</v>
      </c>
      <c r="BY1" s="11"/>
      <c r="CF1" s="11"/>
      <c r="CG1" s="35">
        <f>SUM(CG4,CG40,CG50,CG55)+1</f>
        <v>8</v>
      </c>
      <c r="CM1" s="11"/>
      <c r="CO1" s="5" t="s">
        <v>118</v>
      </c>
      <c r="CT1" s="11"/>
      <c r="DA1" s="11"/>
      <c r="DH1" s="11"/>
      <c r="DO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41</v>
      </c>
      <c r="DC2" s="13"/>
      <c r="DD2" s="13"/>
      <c r="DE2" s="13"/>
      <c r="DF2" s="13"/>
      <c r="DG2" s="14"/>
      <c r="DH2" s="16"/>
      <c r="DI2" s="15" t="s">
        <v>42</v>
      </c>
      <c r="DJ2" s="13"/>
      <c r="DK2" s="13"/>
      <c r="DL2" s="13"/>
      <c r="DM2" s="13"/>
      <c r="DN2" s="14"/>
      <c r="DO2" s="16"/>
      <c r="DP2" s="17" t="s">
        <v>43</v>
      </c>
      <c r="DQ2" s="13"/>
      <c r="DR2" s="13"/>
      <c r="DS2" s="13"/>
      <c r="DT2" s="13"/>
      <c r="DU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9" t="s">
        <v>50</v>
      </c>
      <c r="DJ3" s="19" t="s">
        <v>51</v>
      </c>
      <c r="DK3" s="19" t="s">
        <v>54</v>
      </c>
      <c r="DL3" s="19" t="s">
        <v>52</v>
      </c>
      <c r="DM3" s="19" t="s">
        <v>54</v>
      </c>
      <c r="DN3" s="19" t="s">
        <v>53</v>
      </c>
      <c r="DO3" s="16"/>
      <c r="DP3" s="19" t="s">
        <v>50</v>
      </c>
      <c r="DQ3" s="19" t="s">
        <v>51</v>
      </c>
      <c r="DR3" s="19" t="s">
        <v>54</v>
      </c>
      <c r="DS3" s="19" t="s">
        <v>52</v>
      </c>
      <c r="DT3" s="19" t="s">
        <v>54</v>
      </c>
      <c r="DU3" s="19" t="s">
        <v>53</v>
      </c>
    </row>
    <row r="4" ht="15.75" customHeight="1">
      <c r="B4" s="6" t="s">
        <v>26</v>
      </c>
      <c r="C4" s="24" t="s">
        <v>55</v>
      </c>
      <c r="D4" s="25">
        <v>44917.0</v>
      </c>
      <c r="E4" s="26">
        <v>6.0</v>
      </c>
      <c r="G4" s="27">
        <f>+SUM(G5:G18)</f>
        <v>1</v>
      </c>
      <c r="I4" s="28">
        <f>+SUM(I5:I18)</f>
        <v>35</v>
      </c>
      <c r="J4" s="29">
        <f>+SUMPRODUCT(G5:G12,J5:J12)</f>
        <v>0.286</v>
      </c>
      <c r="K4" s="29">
        <f>+SUMPRODUCT(G5:G12,K5:K12)</f>
        <v>0.286</v>
      </c>
      <c r="L4" s="26"/>
      <c r="N4" s="28"/>
      <c r="O4" s="28">
        <f>SUM(O5:O12)</f>
        <v>6</v>
      </c>
      <c r="V4" s="37">
        <f>SUM(V5:V12)</f>
        <v>3.5</v>
      </c>
      <c r="AC4" s="37">
        <f>SUM(AC5:AC12)</f>
        <v>3</v>
      </c>
      <c r="AJ4" s="28">
        <f>SUM(AJ5:AJ12)</f>
        <v>12</v>
      </c>
      <c r="AO4" s="5" t="s">
        <v>119</v>
      </c>
      <c r="AQ4" s="28">
        <f>SUM(AQ5:AQ12)</f>
        <v>1.5</v>
      </c>
      <c r="AX4" s="37">
        <f>SUM(AX5:AX12)</f>
        <v>1.5</v>
      </c>
      <c r="BD4" s="11"/>
      <c r="BE4" s="37">
        <f>SUM(BE5:BE18)</f>
        <v>1.5</v>
      </c>
      <c r="BL4" s="28">
        <f>SUM(BL5:BL12)</f>
        <v>0</v>
      </c>
      <c r="BR4" s="11"/>
      <c r="BS4" s="28">
        <f>SUM(BS5:BS18)</f>
        <v>3</v>
      </c>
      <c r="BY4" s="11"/>
      <c r="BZ4" s="38">
        <f>SUM(BZ5:BZ18)</f>
        <v>1.5</v>
      </c>
      <c r="CF4" s="11"/>
      <c r="CG4" s="37">
        <f>SUM(CG5:CG18)</f>
        <v>1.5</v>
      </c>
      <c r="CM4" s="11"/>
      <c r="CN4" s="28">
        <f>SUM(CN5:CN12)</f>
        <v>0</v>
      </c>
      <c r="CT4" s="11"/>
      <c r="CU4" s="28">
        <f>SUM(CU5:CU12)</f>
        <v>0</v>
      </c>
      <c r="DA4" s="11"/>
      <c r="DB4" s="28">
        <f>SUM(DB5:DB12)</f>
        <v>0</v>
      </c>
      <c r="DH4" s="11"/>
      <c r="DI4" s="28">
        <f>SUM(DI5:DI12)</f>
        <v>0</v>
      </c>
      <c r="DO4" s="11"/>
      <c r="DP4" s="28"/>
    </row>
    <row r="5" ht="15.75" customHeight="1" outlineLevel="1">
      <c r="B5" s="6" t="s">
        <v>56</v>
      </c>
      <c r="C5" s="24" t="s">
        <v>55</v>
      </c>
      <c r="E5" s="26"/>
      <c r="F5" s="5" t="s">
        <v>57</v>
      </c>
      <c r="G5" s="39">
        <v>0.0715</v>
      </c>
      <c r="I5" s="26">
        <f t="shared" ref="I5:I18" si="1">+SUMIF($N$3:$ACM$3,I$3,$N5:$ACM5)</f>
        <v>4</v>
      </c>
      <c r="J5" s="29">
        <f t="array" ref="J5">MAX(IF($N$3:$GU$3=$J$3,N5:GU5))</f>
        <v>0.8</v>
      </c>
      <c r="K5" s="29">
        <f t="array" ref="K5">MAX(IF($N$3:$GU$3=$J$3,N5:GU5))</f>
        <v>0.8</v>
      </c>
      <c r="L5" s="26"/>
      <c r="O5" s="5">
        <v>2.5</v>
      </c>
      <c r="P5" s="30">
        <v>0.4</v>
      </c>
      <c r="Q5" s="30">
        <v>0.8</v>
      </c>
      <c r="R5" s="30">
        <v>0.3</v>
      </c>
      <c r="S5" s="30">
        <v>0.8</v>
      </c>
      <c r="T5" s="5">
        <v>2.0</v>
      </c>
      <c r="V5" s="5">
        <v>0.5</v>
      </c>
      <c r="W5" s="30">
        <v>0.6</v>
      </c>
      <c r="X5" s="30">
        <v>0.8</v>
      </c>
      <c r="Y5" s="30">
        <v>0.5</v>
      </c>
      <c r="Z5" s="30">
        <v>0.8</v>
      </c>
      <c r="AA5" s="5">
        <v>2.0</v>
      </c>
      <c r="AD5" s="30">
        <v>0.6</v>
      </c>
      <c r="AE5" s="30">
        <v>0.8</v>
      </c>
      <c r="AF5" s="30">
        <v>0.5</v>
      </c>
      <c r="AG5" s="30">
        <v>0.8</v>
      </c>
      <c r="AJ5" s="5">
        <v>1.0</v>
      </c>
      <c r="AK5" s="30">
        <v>0.6</v>
      </c>
      <c r="AL5" s="30">
        <v>0.8</v>
      </c>
      <c r="AM5" s="30">
        <v>0.5</v>
      </c>
      <c r="AN5" s="30">
        <v>0.8</v>
      </c>
      <c r="AR5" s="30">
        <v>0.6</v>
      </c>
      <c r="AS5" s="30">
        <v>1.0</v>
      </c>
      <c r="AT5" s="30">
        <v>0.5</v>
      </c>
      <c r="AU5" s="30">
        <v>1.0</v>
      </c>
      <c r="AY5" s="30">
        <v>0.6</v>
      </c>
      <c r="AZ5" s="30">
        <v>1.0</v>
      </c>
      <c r="BA5" s="30">
        <v>0.5</v>
      </c>
      <c r="BB5" s="30">
        <v>1.0</v>
      </c>
      <c r="BD5" s="11"/>
      <c r="BF5" s="30">
        <v>0.6</v>
      </c>
      <c r="BG5" s="30">
        <v>1.0</v>
      </c>
      <c r="BH5" s="30">
        <v>0.5</v>
      </c>
      <c r="BI5" s="30">
        <v>1.0</v>
      </c>
      <c r="BM5" s="30"/>
      <c r="BN5" s="30">
        <v>1.0</v>
      </c>
      <c r="BO5" s="27"/>
      <c r="BP5" s="30">
        <v>1.0</v>
      </c>
      <c r="BQ5" s="5">
        <v>0.0</v>
      </c>
      <c r="BR5" s="11"/>
      <c r="BT5" s="30">
        <v>0.8</v>
      </c>
      <c r="BU5" s="30">
        <v>1.0</v>
      </c>
      <c r="BV5" s="30">
        <v>0.8</v>
      </c>
      <c r="BW5" s="30">
        <v>1.0</v>
      </c>
      <c r="BY5" s="11"/>
      <c r="CA5" s="30"/>
      <c r="CB5" s="30">
        <v>1.0</v>
      </c>
      <c r="CC5" s="27"/>
      <c r="CD5" s="30">
        <v>1.0</v>
      </c>
      <c r="CF5" s="11"/>
      <c r="CH5" s="30">
        <v>0.8</v>
      </c>
      <c r="CI5" s="30">
        <v>1.0</v>
      </c>
      <c r="CJ5" s="27"/>
      <c r="CK5" s="30"/>
      <c r="CM5" s="11"/>
      <c r="CO5" s="30"/>
      <c r="CP5" s="30"/>
      <c r="CQ5" s="27"/>
      <c r="CR5" s="30">
        <v>1.0</v>
      </c>
      <c r="CT5" s="11"/>
      <c r="CV5" s="30"/>
      <c r="CW5" s="30"/>
      <c r="CX5" s="27"/>
      <c r="CY5" s="30">
        <v>1.0</v>
      </c>
      <c r="DA5" s="11"/>
      <c r="DC5" s="30"/>
      <c r="DD5" s="30">
        <v>1.0</v>
      </c>
      <c r="DE5" s="27"/>
      <c r="DF5" s="30">
        <v>1.0</v>
      </c>
      <c r="DH5" s="11"/>
      <c r="DJ5" s="30"/>
      <c r="DK5" s="30"/>
      <c r="DL5" s="27"/>
      <c r="DM5" s="27"/>
      <c r="DO5" s="11"/>
      <c r="DQ5" s="30"/>
      <c r="DR5" s="30"/>
      <c r="DS5" s="27"/>
      <c r="DT5" s="27"/>
    </row>
    <row r="6" ht="15.75" customHeight="1" outlineLevel="1">
      <c r="B6" s="6" t="s">
        <v>56</v>
      </c>
      <c r="C6" s="24" t="s">
        <v>55</v>
      </c>
      <c r="E6" s="26"/>
      <c r="F6" s="5" t="s">
        <v>58</v>
      </c>
      <c r="G6" s="39">
        <v>0.0715</v>
      </c>
      <c r="I6" s="26">
        <f t="shared" si="1"/>
        <v>6</v>
      </c>
      <c r="J6" s="29">
        <f t="array" ref="J6">MAX(IF($N$3:$GU$3=$J$3,N6:GU6))</f>
        <v>0.8</v>
      </c>
      <c r="K6" s="29">
        <f t="array" ref="K6">MAX(IF($N$3:$GU$3=$J$3,N6:GU6))</f>
        <v>0.8</v>
      </c>
      <c r="L6" s="26"/>
      <c r="O6" s="5">
        <v>3.5</v>
      </c>
      <c r="P6" s="30">
        <v>0.5</v>
      </c>
      <c r="Q6" s="30">
        <v>0.5</v>
      </c>
      <c r="R6" s="30">
        <v>0.5</v>
      </c>
      <c r="S6" s="30">
        <v>0.5</v>
      </c>
      <c r="V6" s="5">
        <v>1.5</v>
      </c>
      <c r="W6" s="30">
        <v>0.5</v>
      </c>
      <c r="X6" s="30">
        <v>0.8</v>
      </c>
      <c r="Y6" s="30">
        <v>0.5</v>
      </c>
      <c r="Z6" s="30">
        <v>0.8</v>
      </c>
      <c r="AD6" s="30">
        <v>0.5</v>
      </c>
      <c r="AE6" s="30">
        <v>0.8</v>
      </c>
      <c r="AF6" s="30">
        <v>0.5</v>
      </c>
      <c r="AG6" s="30">
        <v>0.8</v>
      </c>
      <c r="AJ6" s="5">
        <v>1.0</v>
      </c>
      <c r="AK6" s="30">
        <v>0.5</v>
      </c>
      <c r="AL6" s="30">
        <v>0.8</v>
      </c>
      <c r="AM6" s="30">
        <v>0.5</v>
      </c>
      <c r="AN6" s="30">
        <v>0.8</v>
      </c>
      <c r="AR6" s="30">
        <v>0.5</v>
      </c>
      <c r="AS6" s="30">
        <v>1.0</v>
      </c>
      <c r="AT6" s="30">
        <v>0.5</v>
      </c>
      <c r="AU6" s="30">
        <v>1.0</v>
      </c>
      <c r="AY6" s="30">
        <v>0.5</v>
      </c>
      <c r="AZ6" s="30">
        <v>1.0</v>
      </c>
      <c r="BA6" s="30">
        <v>0.5</v>
      </c>
      <c r="BB6" s="30">
        <v>1.0</v>
      </c>
      <c r="BD6" s="11"/>
      <c r="BF6" s="30">
        <v>0.5</v>
      </c>
      <c r="BG6" s="30">
        <v>1.0</v>
      </c>
      <c r="BH6" s="30">
        <v>0.5</v>
      </c>
      <c r="BI6" s="30">
        <v>1.0</v>
      </c>
      <c r="BM6" s="30"/>
      <c r="BN6" s="30">
        <v>1.0</v>
      </c>
      <c r="BO6" s="27"/>
      <c r="BP6" s="30">
        <v>1.0</v>
      </c>
      <c r="BR6" s="11"/>
      <c r="BT6" s="30">
        <v>0.8</v>
      </c>
      <c r="BU6" s="30">
        <v>0.8</v>
      </c>
      <c r="BV6" s="30">
        <v>0.8</v>
      </c>
      <c r="BW6" s="30">
        <v>0.8</v>
      </c>
      <c r="BY6" s="11"/>
      <c r="CA6" s="30"/>
      <c r="CB6" s="30">
        <v>1.0</v>
      </c>
      <c r="CC6" s="27"/>
      <c r="CD6" s="30">
        <v>1.0</v>
      </c>
      <c r="CF6" s="11"/>
      <c r="CH6" s="30">
        <v>0.8</v>
      </c>
      <c r="CI6" s="30">
        <v>1.0</v>
      </c>
      <c r="CJ6" s="27"/>
      <c r="CK6" s="30"/>
      <c r="CM6" s="11"/>
      <c r="CO6" s="30"/>
      <c r="CP6" s="30"/>
      <c r="CQ6" s="27"/>
      <c r="CR6" s="30">
        <v>1.0</v>
      </c>
      <c r="CT6" s="11"/>
      <c r="CV6" s="30"/>
      <c r="CW6" s="30"/>
      <c r="CX6" s="27"/>
      <c r="CY6" s="30">
        <v>1.0</v>
      </c>
      <c r="DA6" s="11"/>
      <c r="DC6" s="30"/>
      <c r="DD6" s="30">
        <v>1.0</v>
      </c>
      <c r="DE6" s="27"/>
      <c r="DF6" s="30">
        <v>1.0</v>
      </c>
      <c r="DH6" s="11"/>
      <c r="DJ6" s="30"/>
      <c r="DK6" s="27"/>
      <c r="DL6" s="27"/>
      <c r="DM6" s="27"/>
      <c r="DO6" s="11"/>
      <c r="DQ6" s="30"/>
      <c r="DR6" s="27"/>
      <c r="DS6" s="27"/>
      <c r="DT6" s="27"/>
    </row>
    <row r="7" ht="15.75" customHeight="1" outlineLevel="1">
      <c r="B7" s="6" t="s">
        <v>56</v>
      </c>
      <c r="C7" s="24" t="s">
        <v>55</v>
      </c>
      <c r="E7" s="26"/>
      <c r="F7" s="5" t="s">
        <v>59</v>
      </c>
      <c r="G7" s="39">
        <v>0.0715</v>
      </c>
      <c r="I7" s="26">
        <f t="shared" si="1"/>
        <v>2.5</v>
      </c>
      <c r="J7" s="29">
        <f t="array" ref="J7">MAX(IF($N$3:$GU$3=$J$3,N7:GU7))</f>
        <v>0.5</v>
      </c>
      <c r="K7" s="29">
        <f t="array" ref="K7">MAX(IF($N$3:$GU$3=$J$3,N7:GU7))</f>
        <v>0.5</v>
      </c>
      <c r="L7" s="26"/>
      <c r="P7" s="30"/>
      <c r="Q7" s="27"/>
      <c r="R7" s="27"/>
      <c r="S7" s="30">
        <v>0.0</v>
      </c>
      <c r="V7" s="5">
        <v>1.5</v>
      </c>
      <c r="W7" s="30">
        <v>0.1</v>
      </c>
      <c r="X7" s="30">
        <v>0.5</v>
      </c>
      <c r="Y7" s="27"/>
      <c r="Z7" s="30">
        <v>0.5</v>
      </c>
      <c r="AD7" s="30">
        <v>0.1</v>
      </c>
      <c r="AE7" s="30">
        <v>0.8</v>
      </c>
      <c r="AF7" s="27"/>
      <c r="AG7" s="30">
        <v>0.8</v>
      </c>
      <c r="AJ7" s="5">
        <v>1.0</v>
      </c>
      <c r="AK7" s="30">
        <v>0.1</v>
      </c>
      <c r="AL7" s="30">
        <v>0.8</v>
      </c>
      <c r="AM7" s="27"/>
      <c r="AN7" s="30">
        <v>0.8</v>
      </c>
      <c r="AR7" s="30">
        <v>0.1</v>
      </c>
      <c r="AS7" s="30">
        <v>0.8</v>
      </c>
      <c r="AT7" s="27"/>
      <c r="AU7" s="30">
        <v>0.8</v>
      </c>
      <c r="AY7" s="30">
        <v>0.1</v>
      </c>
      <c r="AZ7" s="30">
        <v>0.8</v>
      </c>
      <c r="BA7" s="27"/>
      <c r="BB7" s="30">
        <v>0.8</v>
      </c>
      <c r="BD7" s="11"/>
      <c r="BF7" s="30">
        <v>0.1</v>
      </c>
      <c r="BG7" s="30">
        <v>1.0</v>
      </c>
      <c r="BH7" s="27"/>
      <c r="BI7" s="30">
        <v>1.0</v>
      </c>
      <c r="BM7" s="30"/>
      <c r="BN7" s="30">
        <v>1.0</v>
      </c>
      <c r="BO7" s="27"/>
      <c r="BP7" s="30">
        <v>1.0</v>
      </c>
      <c r="BR7" s="11"/>
      <c r="BT7" s="30">
        <v>0.5</v>
      </c>
      <c r="BU7" s="30">
        <v>0.8</v>
      </c>
      <c r="BV7" s="30">
        <v>0.3</v>
      </c>
      <c r="BW7" s="30">
        <v>0.8</v>
      </c>
      <c r="BY7" s="11"/>
      <c r="CA7" s="30"/>
      <c r="CB7" s="30">
        <v>1.0</v>
      </c>
      <c r="CC7" s="27"/>
      <c r="CD7" s="30">
        <v>1.0</v>
      </c>
      <c r="CF7" s="11"/>
      <c r="CH7" s="30">
        <v>0.5</v>
      </c>
      <c r="CI7" s="30">
        <v>1.0</v>
      </c>
      <c r="CJ7" s="27"/>
      <c r="CK7" s="30"/>
      <c r="CM7" s="11"/>
      <c r="CO7" s="30"/>
      <c r="CP7" s="30"/>
      <c r="CQ7" s="27"/>
      <c r="CR7" s="30">
        <v>1.0</v>
      </c>
      <c r="CT7" s="11"/>
      <c r="CV7" s="30"/>
      <c r="CW7" s="30"/>
      <c r="CX7" s="27"/>
      <c r="CY7" s="30">
        <v>1.0</v>
      </c>
      <c r="DA7" s="11"/>
      <c r="DC7" s="30"/>
      <c r="DD7" s="30">
        <v>1.0</v>
      </c>
      <c r="DE7" s="27"/>
      <c r="DF7" s="30">
        <v>1.0</v>
      </c>
      <c r="DH7" s="11"/>
      <c r="DJ7" s="30"/>
      <c r="DK7" s="27"/>
      <c r="DL7" s="27"/>
      <c r="DM7" s="27"/>
      <c r="DO7" s="11"/>
      <c r="DQ7" s="30"/>
      <c r="DR7" s="27"/>
      <c r="DS7" s="27"/>
      <c r="DT7" s="27"/>
    </row>
    <row r="8" ht="15.75" customHeight="1" outlineLevel="1">
      <c r="B8" s="6" t="s">
        <v>56</v>
      </c>
      <c r="C8" s="24" t="s">
        <v>55</v>
      </c>
      <c r="E8" s="26"/>
      <c r="F8" s="5" t="s">
        <v>60</v>
      </c>
      <c r="G8" s="39">
        <v>0.0715</v>
      </c>
      <c r="I8" s="26">
        <f t="shared" si="1"/>
        <v>3.5</v>
      </c>
      <c r="J8" s="29">
        <f t="array" ref="J8">MAX(IF($N$3:$GU$3=$J$3,N8:GU8))</f>
        <v>0.5</v>
      </c>
      <c r="K8" s="29">
        <f t="array" ref="K8">MAX(IF($N$3:$GU$3=$J$3,N8:GU8))</f>
        <v>0.5</v>
      </c>
      <c r="L8" s="26"/>
      <c r="P8" s="27"/>
      <c r="Q8" s="27"/>
      <c r="R8" s="27"/>
      <c r="S8" s="30">
        <v>0.0</v>
      </c>
      <c r="W8" s="27"/>
      <c r="X8" s="30">
        <v>0.0</v>
      </c>
      <c r="Y8" s="27"/>
      <c r="Z8" s="30">
        <v>0.0</v>
      </c>
      <c r="AC8" s="5">
        <v>1.5</v>
      </c>
      <c r="AD8" s="27"/>
      <c r="AE8" s="30">
        <v>0.5</v>
      </c>
      <c r="AF8" s="27"/>
      <c r="AG8" s="30">
        <v>0.5</v>
      </c>
      <c r="AJ8" s="5">
        <v>2.0</v>
      </c>
      <c r="AK8" s="27"/>
      <c r="AL8" s="30">
        <v>0.5</v>
      </c>
      <c r="AM8" s="27"/>
      <c r="AN8" s="30">
        <v>0.5</v>
      </c>
      <c r="AR8" s="30">
        <v>0.1</v>
      </c>
      <c r="AS8" s="30">
        <v>0.5</v>
      </c>
      <c r="AT8" s="27"/>
      <c r="AU8" s="30">
        <v>0.5</v>
      </c>
      <c r="AY8" s="30">
        <v>0.1</v>
      </c>
      <c r="AZ8" s="30">
        <v>0.8</v>
      </c>
      <c r="BA8" s="27"/>
      <c r="BB8" s="30">
        <v>0.8</v>
      </c>
      <c r="BD8" s="11"/>
      <c r="BF8" s="30">
        <v>0.1</v>
      </c>
      <c r="BG8" s="30">
        <v>1.0</v>
      </c>
      <c r="BH8" s="27"/>
      <c r="BI8" s="30">
        <v>1.0</v>
      </c>
      <c r="BM8" s="27"/>
      <c r="BN8" s="30">
        <v>1.0</v>
      </c>
      <c r="BO8" s="27"/>
      <c r="BP8" s="30">
        <v>1.0</v>
      </c>
      <c r="BR8" s="11"/>
      <c r="BT8" s="30">
        <v>0.5</v>
      </c>
      <c r="BU8" s="30">
        <v>0.8</v>
      </c>
      <c r="BV8" s="30">
        <v>0.3</v>
      </c>
      <c r="BW8" s="30">
        <v>0.8</v>
      </c>
      <c r="BY8" s="11"/>
      <c r="CA8" s="27"/>
      <c r="CB8" s="30">
        <v>1.0</v>
      </c>
      <c r="CC8" s="27"/>
      <c r="CD8" s="30">
        <v>1.0</v>
      </c>
      <c r="CF8" s="11"/>
      <c r="CH8" s="30">
        <v>0.5</v>
      </c>
      <c r="CI8" s="30">
        <v>0.8</v>
      </c>
      <c r="CJ8" s="27"/>
      <c r="CK8" s="30"/>
      <c r="CM8" s="11"/>
      <c r="CO8" s="27"/>
      <c r="CP8" s="30"/>
      <c r="CQ8" s="27"/>
      <c r="CR8" s="30">
        <v>1.0</v>
      </c>
      <c r="CT8" s="11"/>
      <c r="CV8" s="27"/>
      <c r="CW8" s="30"/>
      <c r="CX8" s="27"/>
      <c r="CY8" s="30">
        <v>1.0</v>
      </c>
      <c r="DA8" s="11"/>
      <c r="DC8" s="27"/>
      <c r="DD8" s="30">
        <v>1.0</v>
      </c>
      <c r="DE8" s="27"/>
      <c r="DF8" s="30">
        <v>1.0</v>
      </c>
      <c r="DH8" s="11"/>
      <c r="DJ8" s="32" t="s">
        <v>71</v>
      </c>
      <c r="DO8" s="11"/>
      <c r="DQ8" s="32" t="s">
        <v>120</v>
      </c>
    </row>
    <row r="9" ht="15.75" customHeight="1" outlineLevel="1">
      <c r="B9" s="6" t="s">
        <v>56</v>
      </c>
      <c r="C9" s="24" t="s">
        <v>55</v>
      </c>
      <c r="E9" s="26"/>
      <c r="F9" s="5" t="s">
        <v>61</v>
      </c>
      <c r="G9" s="39">
        <v>0.0715</v>
      </c>
      <c r="I9" s="26">
        <f t="shared" si="1"/>
        <v>3</v>
      </c>
      <c r="J9" s="29">
        <f t="array" ref="J9">MAX(IF($N$3:$GU$3=$J$3,N9:GU9))</f>
        <v>0.3</v>
      </c>
      <c r="K9" s="29">
        <f t="array" ref="K9">MAX(IF($N$3:$GU$3=$J$3,N9:GU9))</f>
        <v>0.3</v>
      </c>
      <c r="L9" s="26"/>
      <c r="P9" s="27"/>
      <c r="Q9" s="27"/>
      <c r="R9" s="27"/>
      <c r="S9" s="30">
        <v>0.0</v>
      </c>
      <c r="W9" s="27"/>
      <c r="X9" s="30">
        <v>0.0</v>
      </c>
      <c r="Y9" s="27"/>
      <c r="Z9" s="30">
        <v>0.0</v>
      </c>
      <c r="AC9" s="5">
        <v>1.5</v>
      </c>
      <c r="AD9" s="27"/>
      <c r="AE9" s="30">
        <v>0.0</v>
      </c>
      <c r="AF9" s="27"/>
      <c r="AG9" s="30">
        <v>0.0</v>
      </c>
      <c r="AJ9" s="5">
        <v>1.5</v>
      </c>
      <c r="AK9" s="27"/>
      <c r="AL9" s="30">
        <v>0.5</v>
      </c>
      <c r="AM9" s="27"/>
      <c r="AN9" s="30">
        <v>0.5</v>
      </c>
      <c r="AR9" s="30">
        <v>0.1</v>
      </c>
      <c r="AS9" s="30">
        <v>0.5</v>
      </c>
      <c r="AT9" s="27"/>
      <c r="AU9" s="30">
        <v>0.5</v>
      </c>
      <c r="AY9" s="30">
        <v>0.1</v>
      </c>
      <c r="AZ9" s="30">
        <v>0.8</v>
      </c>
      <c r="BA9" s="27"/>
      <c r="BB9" s="30">
        <v>0.8</v>
      </c>
      <c r="BD9" s="11"/>
      <c r="BF9" s="30">
        <v>0.1</v>
      </c>
      <c r="BG9" s="30">
        <v>0.8</v>
      </c>
      <c r="BH9" s="27"/>
      <c r="BI9" s="30">
        <v>0.8</v>
      </c>
      <c r="BM9" s="27"/>
      <c r="BN9" s="30">
        <v>0.8</v>
      </c>
      <c r="BO9" s="27"/>
      <c r="BP9" s="30">
        <v>0.8</v>
      </c>
      <c r="BR9" s="11"/>
      <c r="BT9" s="30">
        <v>0.3</v>
      </c>
      <c r="BU9" s="30">
        <v>0.8</v>
      </c>
      <c r="BV9" s="30">
        <v>0.3</v>
      </c>
      <c r="BW9" s="30">
        <v>0.8</v>
      </c>
      <c r="BY9" s="11"/>
      <c r="CA9" s="27"/>
      <c r="CB9" s="30">
        <v>0.8</v>
      </c>
      <c r="CC9" s="27"/>
      <c r="CD9" s="30">
        <v>0.8</v>
      </c>
      <c r="CF9" s="11"/>
      <c r="CH9" s="30">
        <v>0.3</v>
      </c>
      <c r="CI9" s="30">
        <v>0.8</v>
      </c>
      <c r="CJ9" s="27"/>
      <c r="CK9" s="30"/>
      <c r="CM9" s="11"/>
      <c r="CO9" s="27"/>
      <c r="CP9" s="30"/>
      <c r="CQ9" s="27"/>
      <c r="CR9" s="30">
        <v>1.0</v>
      </c>
      <c r="CT9" s="11"/>
      <c r="CV9" s="27"/>
      <c r="CW9" s="30"/>
      <c r="CX9" s="27"/>
      <c r="CY9" s="30">
        <v>1.0</v>
      </c>
      <c r="DA9" s="11"/>
      <c r="DC9" s="27"/>
      <c r="DD9" s="30">
        <v>1.0</v>
      </c>
      <c r="DE9" s="27"/>
      <c r="DF9" s="30">
        <v>1.0</v>
      </c>
      <c r="DH9" s="11"/>
      <c r="DJ9" s="27"/>
      <c r="DK9" s="27"/>
      <c r="DL9" s="27"/>
      <c r="DM9" s="27"/>
      <c r="DO9" s="11"/>
      <c r="DQ9" s="27"/>
      <c r="DR9" s="27"/>
      <c r="DS9" s="27"/>
      <c r="DT9" s="27"/>
    </row>
    <row r="10" ht="15.75" customHeight="1" outlineLevel="1">
      <c r="B10" s="6" t="s">
        <v>56</v>
      </c>
      <c r="C10" s="24" t="s">
        <v>55</v>
      </c>
      <c r="E10" s="26"/>
      <c r="F10" s="5" t="s">
        <v>62</v>
      </c>
      <c r="G10" s="39">
        <v>0.0715</v>
      </c>
      <c r="I10" s="26">
        <f t="shared" si="1"/>
        <v>3</v>
      </c>
      <c r="J10" s="29">
        <f t="array" ref="J10">MAX(IF($N$3:$GU$3=$J$3,N10:GU10))</f>
        <v>0.1</v>
      </c>
      <c r="K10" s="29">
        <f t="array" ref="K10">MAX(IF($N$3:$GU$3=$J$3,N10:GU10))</f>
        <v>0.1</v>
      </c>
      <c r="L10" s="26"/>
      <c r="P10" s="27"/>
      <c r="Q10" s="27"/>
      <c r="R10" s="27"/>
      <c r="S10" s="30">
        <v>0.0</v>
      </c>
      <c r="W10" s="27"/>
      <c r="X10" s="30">
        <v>0.0</v>
      </c>
      <c r="Y10" s="27"/>
      <c r="Z10" s="30">
        <v>0.0</v>
      </c>
      <c r="AD10" s="27"/>
      <c r="AE10" s="30">
        <v>0.0</v>
      </c>
      <c r="AF10" s="27"/>
      <c r="AG10" s="30">
        <v>0.0</v>
      </c>
      <c r="AJ10" s="5">
        <v>1.5</v>
      </c>
      <c r="AK10" s="27"/>
      <c r="AL10" s="30">
        <v>0.0</v>
      </c>
      <c r="AM10" s="27"/>
      <c r="AN10" s="30">
        <v>0.0</v>
      </c>
      <c r="AQ10" s="5">
        <v>1.5</v>
      </c>
      <c r="AR10" s="30">
        <v>0.1</v>
      </c>
      <c r="AS10" s="30">
        <v>0.5</v>
      </c>
      <c r="AT10" s="27"/>
      <c r="AU10" s="30">
        <v>0.5</v>
      </c>
      <c r="AY10" s="30">
        <v>0.1</v>
      </c>
      <c r="AZ10" s="30">
        <v>0.5</v>
      </c>
      <c r="BA10" s="27"/>
      <c r="BB10" s="30">
        <v>0.5</v>
      </c>
      <c r="BD10" s="11"/>
      <c r="BF10" s="30">
        <v>0.1</v>
      </c>
      <c r="BG10" s="30">
        <v>0.5</v>
      </c>
      <c r="BH10" s="27"/>
      <c r="BI10" s="30">
        <v>0.5</v>
      </c>
      <c r="BM10" s="27"/>
      <c r="BN10" s="30">
        <v>0.5</v>
      </c>
      <c r="BO10" s="27"/>
      <c r="BP10" s="30">
        <v>0.5</v>
      </c>
      <c r="BR10" s="11"/>
      <c r="BT10" s="27"/>
      <c r="BU10" s="30">
        <v>0.8</v>
      </c>
      <c r="BV10" s="27"/>
      <c r="BW10" s="30">
        <v>0.8</v>
      </c>
      <c r="BY10" s="11"/>
      <c r="CA10" s="27"/>
      <c r="CB10" s="30">
        <v>0.8</v>
      </c>
      <c r="CC10" s="27"/>
      <c r="CD10" s="30">
        <v>0.8</v>
      </c>
      <c r="CF10" s="11"/>
      <c r="CH10" s="30">
        <v>0.1</v>
      </c>
      <c r="CI10" s="30">
        <v>0.8</v>
      </c>
      <c r="CJ10" s="27"/>
      <c r="CK10" s="30"/>
      <c r="CM10" s="11"/>
      <c r="CO10" s="27"/>
      <c r="CP10" s="30"/>
      <c r="CQ10" s="27"/>
      <c r="CR10" s="30">
        <v>1.0</v>
      </c>
      <c r="CT10" s="11"/>
      <c r="CV10" s="27"/>
      <c r="CW10" s="30"/>
      <c r="CX10" s="27"/>
      <c r="CY10" s="30">
        <v>1.0</v>
      </c>
      <c r="DA10" s="11"/>
      <c r="DC10" s="27"/>
      <c r="DD10" s="30">
        <v>1.0</v>
      </c>
      <c r="DE10" s="27"/>
      <c r="DF10" s="30">
        <v>1.0</v>
      </c>
      <c r="DH10" s="11"/>
      <c r="DJ10" s="27"/>
      <c r="DK10" s="27"/>
      <c r="DL10" s="27"/>
      <c r="DM10" s="27"/>
      <c r="DO10" s="11"/>
      <c r="DQ10" s="27"/>
      <c r="DR10" s="27"/>
      <c r="DS10" s="27"/>
      <c r="DT10" s="27"/>
    </row>
    <row r="11" ht="15.75" customHeight="1" outlineLevel="1">
      <c r="B11" s="6" t="s">
        <v>56</v>
      </c>
      <c r="C11" s="24" t="s">
        <v>55</v>
      </c>
      <c r="E11" s="26"/>
      <c r="F11" s="5" t="s">
        <v>63</v>
      </c>
      <c r="G11" s="39">
        <v>0.0715</v>
      </c>
      <c r="I11" s="26">
        <f t="shared" si="1"/>
        <v>2</v>
      </c>
      <c r="J11" s="29">
        <f t="array" ref="J11">MAX(IF($N$3:$GU$3=$J$3,N11:GU11))</f>
        <v>0.5</v>
      </c>
      <c r="K11" s="29">
        <f t="array" ref="K11">MAX(IF($N$3:$GU$3=$J$3,N11:GU11))</f>
        <v>0.5</v>
      </c>
      <c r="L11" s="26"/>
      <c r="P11" s="27"/>
      <c r="Q11" s="27"/>
      <c r="R11" s="27"/>
      <c r="S11" s="30">
        <v>0.0</v>
      </c>
      <c r="W11" s="27"/>
      <c r="X11" s="30">
        <v>0.0</v>
      </c>
      <c r="Y11" s="27"/>
      <c r="Z11" s="30">
        <v>0.0</v>
      </c>
      <c r="AD11" s="27"/>
      <c r="AE11" s="30">
        <v>0.0</v>
      </c>
      <c r="AF11" s="27"/>
      <c r="AG11" s="30">
        <v>0.0</v>
      </c>
      <c r="AJ11" s="5">
        <v>2.0</v>
      </c>
      <c r="AK11" s="27"/>
      <c r="AL11" s="30">
        <v>0.0</v>
      </c>
      <c r="AM11" s="27"/>
      <c r="AN11" s="30">
        <v>0.0</v>
      </c>
      <c r="AR11" s="27"/>
      <c r="AS11" s="30">
        <v>0.0</v>
      </c>
      <c r="AT11" s="27"/>
      <c r="AU11" s="30">
        <v>0.0</v>
      </c>
      <c r="AY11" s="27"/>
      <c r="AZ11" s="30">
        <v>0.0</v>
      </c>
      <c r="BA11" s="27"/>
      <c r="BB11" s="30">
        <v>0.0</v>
      </c>
      <c r="BD11" s="11"/>
      <c r="BF11" s="27"/>
      <c r="BG11" s="30">
        <v>0.0</v>
      </c>
      <c r="BH11" s="27"/>
      <c r="BI11" s="30">
        <v>0.0</v>
      </c>
      <c r="BM11" s="27"/>
      <c r="BN11" s="30">
        <v>0.5</v>
      </c>
      <c r="BO11" s="27"/>
      <c r="BP11" s="30">
        <v>0.5</v>
      </c>
      <c r="BR11" s="11"/>
      <c r="BT11" s="27"/>
      <c r="BU11" s="30">
        <v>0.5</v>
      </c>
      <c r="BV11" s="27"/>
      <c r="BW11" s="30">
        <v>0.5</v>
      </c>
      <c r="BY11" s="11"/>
      <c r="CA11" s="27"/>
      <c r="CB11" s="30">
        <v>0.8</v>
      </c>
      <c r="CC11" s="27"/>
      <c r="CD11" s="30">
        <v>0.8</v>
      </c>
      <c r="CF11" s="11"/>
      <c r="CH11" s="30">
        <v>0.5</v>
      </c>
      <c r="CI11" s="30">
        <v>0.8</v>
      </c>
      <c r="CJ11" s="27"/>
      <c r="CK11" s="30"/>
      <c r="CM11" s="11"/>
      <c r="CO11" s="27"/>
      <c r="CP11" s="30"/>
      <c r="CQ11" s="27"/>
      <c r="CR11" s="30">
        <v>0.8</v>
      </c>
      <c r="CT11" s="11"/>
      <c r="CV11" s="27"/>
      <c r="CW11" s="30"/>
      <c r="CX11" s="27"/>
      <c r="CY11" s="30">
        <v>1.0</v>
      </c>
      <c r="DA11" s="11"/>
      <c r="DC11" s="27"/>
      <c r="DD11" s="30">
        <v>1.0</v>
      </c>
      <c r="DE11" s="27"/>
      <c r="DF11" s="30">
        <v>1.0</v>
      </c>
      <c r="DH11" s="11"/>
      <c r="DJ11" s="27"/>
      <c r="DK11" s="27"/>
      <c r="DL11" s="27"/>
      <c r="DM11" s="27"/>
      <c r="DO11" s="11"/>
      <c r="DQ11" s="27"/>
      <c r="DR11" s="27"/>
      <c r="DS11" s="27"/>
      <c r="DT11" s="27"/>
    </row>
    <row r="12" ht="15.75" customHeight="1" outlineLevel="1">
      <c r="B12" s="6" t="s">
        <v>56</v>
      </c>
      <c r="C12" s="24" t="s">
        <v>55</v>
      </c>
      <c r="E12" s="26"/>
      <c r="F12" s="5" t="s">
        <v>64</v>
      </c>
      <c r="G12" s="39">
        <v>0.0715</v>
      </c>
      <c r="I12" s="26">
        <f t="shared" si="1"/>
        <v>5</v>
      </c>
      <c r="J12" s="29">
        <f t="array" ref="J12">MAX(IF($N$3:$GU$3=$J$3,N12:GU12))</f>
        <v>0.5</v>
      </c>
      <c r="K12" s="29">
        <f t="array" ref="K12">MAX(IF($N$3:$GU$3=$J$3,N12:GU12))</f>
        <v>0.5</v>
      </c>
      <c r="L12" s="26"/>
      <c r="P12" s="27"/>
      <c r="Q12" s="27"/>
      <c r="R12" s="27"/>
      <c r="S12" s="30">
        <v>0.0</v>
      </c>
      <c r="W12" s="27"/>
      <c r="X12" s="30">
        <v>0.0</v>
      </c>
      <c r="Y12" s="27"/>
      <c r="Z12" s="30">
        <v>0.0</v>
      </c>
      <c r="AD12" s="27"/>
      <c r="AE12" s="30">
        <v>0.0</v>
      </c>
      <c r="AF12" s="27"/>
      <c r="AG12" s="30">
        <v>0.0</v>
      </c>
      <c r="AJ12" s="5">
        <v>2.0</v>
      </c>
      <c r="AK12" s="27"/>
      <c r="AL12" s="30">
        <v>0.0</v>
      </c>
      <c r="AM12" s="27"/>
      <c r="AN12" s="30">
        <v>0.0</v>
      </c>
      <c r="AR12" s="27"/>
      <c r="AS12" s="30">
        <v>0.0</v>
      </c>
      <c r="AT12" s="27"/>
      <c r="AU12" s="30">
        <v>0.0</v>
      </c>
      <c r="AX12" s="5">
        <v>1.5</v>
      </c>
      <c r="AY12" s="27"/>
      <c r="AZ12" s="30">
        <v>0.0</v>
      </c>
      <c r="BA12" s="27"/>
      <c r="BB12" s="30">
        <v>0.0</v>
      </c>
      <c r="BD12" s="11"/>
      <c r="BE12" s="5">
        <v>1.5</v>
      </c>
      <c r="BF12" s="27"/>
      <c r="BG12" s="30">
        <v>0.0</v>
      </c>
      <c r="BH12" s="27"/>
      <c r="BI12" s="30">
        <v>0.0</v>
      </c>
      <c r="BM12" s="27"/>
      <c r="BN12" s="30">
        <v>0.0</v>
      </c>
      <c r="BO12" s="27"/>
      <c r="BP12" s="30">
        <v>0.0</v>
      </c>
      <c r="BR12" s="11"/>
      <c r="BT12" s="30">
        <v>0.5</v>
      </c>
      <c r="BU12" s="30">
        <v>0.5</v>
      </c>
      <c r="BV12" s="30">
        <v>0.5</v>
      </c>
      <c r="BW12" s="30">
        <v>0.5</v>
      </c>
      <c r="BY12" s="11"/>
      <c r="CA12" s="27"/>
      <c r="CB12" s="30">
        <v>0.5</v>
      </c>
      <c r="CC12" s="27"/>
      <c r="CD12" s="30">
        <v>0.5</v>
      </c>
      <c r="CF12" s="11"/>
      <c r="CH12" s="30">
        <v>0.1</v>
      </c>
      <c r="CI12" s="30">
        <v>0.8</v>
      </c>
      <c r="CJ12" s="27"/>
      <c r="CK12" s="30"/>
      <c r="CM12" s="11"/>
      <c r="CO12" s="27"/>
      <c r="CP12" s="30"/>
      <c r="CQ12" s="27"/>
      <c r="CR12" s="30">
        <v>0.8</v>
      </c>
      <c r="CT12" s="11"/>
      <c r="CV12" s="27"/>
      <c r="CW12" s="30"/>
      <c r="CX12" s="27"/>
      <c r="CY12" s="30">
        <v>1.0</v>
      </c>
      <c r="DA12" s="11"/>
      <c r="DC12" s="27"/>
      <c r="DD12" s="30">
        <v>1.0</v>
      </c>
      <c r="DE12" s="27"/>
      <c r="DF12" s="30">
        <v>1.0</v>
      </c>
      <c r="DH12" s="11"/>
      <c r="DJ12" s="27"/>
      <c r="DK12" s="27"/>
      <c r="DL12" s="27"/>
      <c r="DM12" s="27"/>
      <c r="DO12" s="11"/>
      <c r="DQ12" s="27"/>
      <c r="DR12" s="27"/>
      <c r="DS12" s="27"/>
      <c r="DT12" s="27"/>
    </row>
    <row r="13" ht="15.75" customHeight="1" outlineLevel="1">
      <c r="B13" s="6" t="s">
        <v>56</v>
      </c>
      <c r="C13" s="24" t="s">
        <v>55</v>
      </c>
      <c r="E13" s="26"/>
      <c r="F13" s="5" t="s">
        <v>121</v>
      </c>
      <c r="G13" s="39">
        <v>0.0715</v>
      </c>
      <c r="I13" s="26">
        <f t="shared" si="1"/>
        <v>1.5</v>
      </c>
      <c r="J13" s="29">
        <f t="array" ref="J13">MAX(IF($N$3:$GU$3=$J$3,N13:GU13))</f>
        <v>0.8</v>
      </c>
      <c r="K13" s="29">
        <f t="array" ref="K13">MAX(IF($N$3:$GU$3=$J$3,N13:GU13))</f>
        <v>0.8</v>
      </c>
      <c r="L13" s="26"/>
      <c r="P13" s="27"/>
      <c r="Q13" s="27"/>
      <c r="R13" s="27"/>
      <c r="S13" s="30"/>
      <c r="W13" s="27"/>
      <c r="X13" s="30"/>
      <c r="Y13" s="27"/>
      <c r="Z13" s="30"/>
      <c r="AD13" s="27"/>
      <c r="AE13" s="30"/>
      <c r="AF13" s="27"/>
      <c r="AG13" s="30"/>
      <c r="AJ13" s="5"/>
      <c r="AK13" s="27"/>
      <c r="AL13" s="30"/>
      <c r="AM13" s="27"/>
      <c r="AN13" s="30"/>
      <c r="AR13" s="27"/>
      <c r="AS13" s="30"/>
      <c r="AT13" s="27"/>
      <c r="AU13" s="30"/>
      <c r="AX13" s="5"/>
      <c r="AY13" s="27"/>
      <c r="AZ13" s="30"/>
      <c r="BA13" s="27"/>
      <c r="BB13" s="30"/>
      <c r="BD13" s="11"/>
      <c r="BF13" s="27"/>
      <c r="BG13" s="30"/>
      <c r="BH13" s="27"/>
      <c r="BI13" s="30"/>
      <c r="BM13" s="27"/>
      <c r="BN13" s="30"/>
      <c r="BO13" s="27"/>
      <c r="BP13" s="30"/>
      <c r="BR13" s="11"/>
      <c r="BS13" s="5">
        <v>1.5</v>
      </c>
      <c r="BT13" s="30">
        <v>0.5</v>
      </c>
      <c r="BU13" s="30">
        <v>0.5</v>
      </c>
      <c r="BV13" s="30">
        <v>0.5</v>
      </c>
      <c r="BW13" s="30">
        <v>0.5</v>
      </c>
      <c r="BY13" s="11"/>
      <c r="CA13" s="27"/>
      <c r="CB13" s="30">
        <v>0.5</v>
      </c>
      <c r="CC13" s="27"/>
      <c r="CD13" s="30">
        <v>0.5</v>
      </c>
      <c r="CF13" s="11"/>
      <c r="CH13" s="30">
        <v>0.8</v>
      </c>
      <c r="CI13" s="30">
        <v>0.8</v>
      </c>
      <c r="CJ13" s="27"/>
      <c r="CK13" s="30"/>
      <c r="CM13" s="11"/>
      <c r="CO13" s="27"/>
      <c r="CP13" s="30"/>
      <c r="CQ13" s="27"/>
      <c r="CR13" s="30">
        <v>0.8</v>
      </c>
      <c r="CT13" s="11"/>
      <c r="CV13" s="27"/>
      <c r="CW13" s="30"/>
      <c r="CX13" s="27"/>
      <c r="CY13" s="30">
        <v>1.0</v>
      </c>
      <c r="DA13" s="11"/>
      <c r="DC13" s="27"/>
      <c r="DD13" s="30">
        <v>1.0</v>
      </c>
      <c r="DE13" s="27"/>
      <c r="DF13" s="30">
        <v>1.0</v>
      </c>
      <c r="DH13" s="11"/>
      <c r="DJ13" s="27"/>
      <c r="DK13" s="27"/>
      <c r="DL13" s="27"/>
      <c r="DM13" s="27"/>
      <c r="DO13" s="11"/>
      <c r="DQ13" s="27"/>
      <c r="DR13" s="27"/>
      <c r="DS13" s="27"/>
      <c r="DT13" s="27"/>
    </row>
    <row r="14" ht="15.75" customHeight="1" outlineLevel="1">
      <c r="B14" s="6" t="s">
        <v>56</v>
      </c>
      <c r="C14" s="24" t="s">
        <v>55</v>
      </c>
      <c r="E14" s="26"/>
      <c r="F14" s="5" t="s">
        <v>122</v>
      </c>
      <c r="G14" s="39">
        <v>0.0715</v>
      </c>
      <c r="I14" s="26">
        <f t="shared" si="1"/>
        <v>3</v>
      </c>
      <c r="J14" s="29">
        <f t="array" ref="J14">MAX(IF($N$3:$GU$3=$J$3,N14:GU14))</f>
        <v>0.8</v>
      </c>
      <c r="K14" s="29">
        <f t="array" ref="K14">MAX(IF($N$3:$GU$3=$J$3,N14:GU14))</f>
        <v>0.8</v>
      </c>
      <c r="L14" s="26"/>
      <c r="P14" s="27"/>
      <c r="Q14" s="27"/>
      <c r="R14" s="27"/>
      <c r="S14" s="30"/>
      <c r="W14" s="27"/>
      <c r="X14" s="30"/>
      <c r="Y14" s="27"/>
      <c r="Z14" s="30"/>
      <c r="AD14" s="27"/>
      <c r="AE14" s="30"/>
      <c r="AF14" s="27"/>
      <c r="AG14" s="30"/>
      <c r="AJ14" s="5"/>
      <c r="AK14" s="27"/>
      <c r="AL14" s="30"/>
      <c r="AM14" s="27"/>
      <c r="AN14" s="30"/>
      <c r="AR14" s="27"/>
      <c r="AS14" s="30"/>
      <c r="AT14" s="27"/>
      <c r="AU14" s="30"/>
      <c r="AX14" s="5"/>
      <c r="AY14" s="27"/>
      <c r="AZ14" s="30"/>
      <c r="BA14" s="27"/>
      <c r="BB14" s="30"/>
      <c r="BD14" s="11"/>
      <c r="BF14" s="27"/>
      <c r="BG14" s="30"/>
      <c r="BH14" s="27"/>
      <c r="BI14" s="30"/>
      <c r="BM14" s="27"/>
      <c r="BN14" s="30"/>
      <c r="BO14" s="27"/>
      <c r="BP14" s="30"/>
      <c r="BR14" s="11"/>
      <c r="BS14" s="5">
        <v>1.5</v>
      </c>
      <c r="BT14" s="30">
        <v>0.3</v>
      </c>
      <c r="BU14" s="30"/>
      <c r="BV14" s="30">
        <v>0.3</v>
      </c>
      <c r="BW14" s="30"/>
      <c r="BY14" s="11"/>
      <c r="BZ14" s="5">
        <v>1.5</v>
      </c>
      <c r="CA14" s="27"/>
      <c r="CB14" s="30">
        <v>0.5</v>
      </c>
      <c r="CC14" s="27"/>
      <c r="CD14" s="30">
        <v>0.5</v>
      </c>
      <c r="CF14" s="11"/>
      <c r="CH14" s="30">
        <v>0.8</v>
      </c>
      <c r="CI14" s="30">
        <v>0.8</v>
      </c>
      <c r="CJ14" s="27"/>
      <c r="CK14" s="30"/>
      <c r="CM14" s="11"/>
      <c r="CO14" s="27"/>
      <c r="CP14" s="30"/>
      <c r="CQ14" s="27"/>
      <c r="CR14" s="30">
        <v>0.8</v>
      </c>
      <c r="CT14" s="11"/>
      <c r="CV14" s="27"/>
      <c r="CW14" s="30"/>
      <c r="CX14" s="27"/>
      <c r="CY14" s="30">
        <v>0.8</v>
      </c>
      <c r="DA14" s="11"/>
      <c r="DC14" s="27"/>
      <c r="DD14" s="30">
        <v>1.0</v>
      </c>
      <c r="DE14" s="27"/>
      <c r="DF14" s="30">
        <v>1.0</v>
      </c>
      <c r="DH14" s="11"/>
      <c r="DJ14" s="27"/>
      <c r="DK14" s="27"/>
      <c r="DL14" s="27"/>
      <c r="DM14" s="27"/>
      <c r="DO14" s="11"/>
      <c r="DQ14" s="27"/>
      <c r="DR14" s="27"/>
      <c r="DS14" s="27"/>
      <c r="DT14" s="27"/>
    </row>
    <row r="15" ht="15.75" customHeight="1" outlineLevel="1">
      <c r="B15" s="6" t="s">
        <v>56</v>
      </c>
      <c r="C15" s="24" t="s">
        <v>55</v>
      </c>
      <c r="E15" s="26"/>
      <c r="F15" s="5" t="s">
        <v>123</v>
      </c>
      <c r="G15" s="39">
        <v>0.0715</v>
      </c>
      <c r="I15" s="26">
        <f t="shared" si="1"/>
        <v>1.5</v>
      </c>
      <c r="J15" s="29">
        <f t="array" ref="J15">MAX(IF($N$3:$GU$3=$J$3,N15:GU15))</f>
        <v>0.5</v>
      </c>
      <c r="K15" s="29">
        <f t="array" ref="K15">MAX(IF($N$3:$GU$3=$J$3,N15:GU15))</f>
        <v>0.5</v>
      </c>
      <c r="L15" s="26"/>
      <c r="P15" s="27"/>
      <c r="Q15" s="27"/>
      <c r="R15" s="27"/>
      <c r="S15" s="30"/>
      <c r="W15" s="27"/>
      <c r="X15" s="30"/>
      <c r="Y15" s="27"/>
      <c r="Z15" s="30"/>
      <c r="AD15" s="27"/>
      <c r="AE15" s="30"/>
      <c r="AF15" s="27"/>
      <c r="AG15" s="30"/>
      <c r="AJ15" s="5"/>
      <c r="AK15" s="27"/>
      <c r="AL15" s="30"/>
      <c r="AM15" s="27"/>
      <c r="AN15" s="30"/>
      <c r="AR15" s="27"/>
      <c r="AS15" s="30"/>
      <c r="AT15" s="27"/>
      <c r="AU15" s="30"/>
      <c r="AX15" s="5"/>
      <c r="AY15" s="27"/>
      <c r="AZ15" s="30"/>
      <c r="BA15" s="27"/>
      <c r="BB15" s="30"/>
      <c r="BD15" s="11"/>
      <c r="BF15" s="27"/>
      <c r="BG15" s="30"/>
      <c r="BH15" s="27"/>
      <c r="BI15" s="30"/>
      <c r="BM15" s="27"/>
      <c r="BN15" s="30"/>
      <c r="BO15" s="27"/>
      <c r="BP15" s="30"/>
      <c r="BR15" s="11"/>
      <c r="BT15" s="27"/>
      <c r="BU15" s="30"/>
      <c r="BV15" s="27"/>
      <c r="BW15" s="30"/>
      <c r="BY15" s="11"/>
      <c r="CA15" s="27"/>
      <c r="CB15" s="30">
        <v>0.5</v>
      </c>
      <c r="CC15" s="27"/>
      <c r="CD15" s="30">
        <v>0.5</v>
      </c>
      <c r="CF15" s="11"/>
      <c r="CG15" s="5">
        <v>1.5</v>
      </c>
      <c r="CH15" s="30">
        <v>0.5</v>
      </c>
      <c r="CI15" s="30">
        <v>0.5</v>
      </c>
      <c r="CJ15" s="27"/>
      <c r="CK15" s="30"/>
      <c r="CM15" s="11"/>
      <c r="CO15" s="27"/>
      <c r="CP15" s="30"/>
      <c r="CQ15" s="27"/>
      <c r="CR15" s="30">
        <v>0.8</v>
      </c>
      <c r="CT15" s="11"/>
      <c r="CV15" s="27"/>
      <c r="CW15" s="30"/>
      <c r="CX15" s="27"/>
      <c r="CY15" s="30">
        <v>0.8</v>
      </c>
      <c r="DA15" s="11"/>
      <c r="DC15" s="27"/>
      <c r="DD15" s="30">
        <v>1.0</v>
      </c>
      <c r="DE15" s="27"/>
      <c r="DF15" s="30">
        <v>1.0</v>
      </c>
      <c r="DH15" s="11"/>
      <c r="DJ15" s="27"/>
      <c r="DK15" s="27"/>
      <c r="DL15" s="27"/>
      <c r="DM15" s="27"/>
      <c r="DO15" s="11"/>
      <c r="DQ15" s="27"/>
      <c r="DR15" s="27"/>
      <c r="DS15" s="27"/>
      <c r="DT15" s="27"/>
    </row>
    <row r="16" ht="15.75" customHeight="1" outlineLevel="1">
      <c r="B16" s="6" t="s">
        <v>56</v>
      </c>
      <c r="C16" s="24" t="s">
        <v>55</v>
      </c>
      <c r="E16" s="26"/>
      <c r="F16" s="5" t="s">
        <v>124</v>
      </c>
      <c r="G16" s="39">
        <v>0.0715</v>
      </c>
      <c r="I16" s="26">
        <f t="shared" si="1"/>
        <v>0</v>
      </c>
      <c r="J16" s="29">
        <f t="array" ref="J16">MAX(IF($N$3:$GU$3=$J$3,N16:GU16))</f>
        <v>0</v>
      </c>
      <c r="K16" s="29">
        <f t="array" ref="K16">MAX(IF($N$3:$GU$3=$J$3,N16:GU16))</f>
        <v>0</v>
      </c>
      <c r="L16" s="26"/>
      <c r="P16" s="27"/>
      <c r="Q16" s="27"/>
      <c r="R16" s="27"/>
      <c r="S16" s="30"/>
      <c r="W16" s="27"/>
      <c r="X16" s="30"/>
      <c r="Y16" s="27"/>
      <c r="Z16" s="30"/>
      <c r="AD16" s="27"/>
      <c r="AE16" s="30"/>
      <c r="AF16" s="27"/>
      <c r="AG16" s="30"/>
      <c r="AJ16" s="5"/>
      <c r="AK16" s="27"/>
      <c r="AL16" s="30"/>
      <c r="AM16" s="27"/>
      <c r="AN16" s="30"/>
      <c r="AR16" s="27"/>
      <c r="AS16" s="30"/>
      <c r="AT16" s="27"/>
      <c r="AU16" s="30"/>
      <c r="AX16" s="5"/>
      <c r="AY16" s="27"/>
      <c r="AZ16" s="30"/>
      <c r="BA16" s="27"/>
      <c r="BB16" s="30"/>
      <c r="BD16" s="11"/>
      <c r="BF16" s="27"/>
      <c r="BG16" s="30"/>
      <c r="BH16" s="27"/>
      <c r="BI16" s="30"/>
      <c r="BM16" s="27"/>
      <c r="BN16" s="30"/>
      <c r="BO16" s="27"/>
      <c r="BP16" s="30"/>
      <c r="BR16" s="11"/>
      <c r="BT16" s="27"/>
      <c r="BU16" s="30"/>
      <c r="BV16" s="27"/>
      <c r="BW16" s="30"/>
      <c r="BY16" s="11"/>
      <c r="CA16" s="27"/>
      <c r="CB16" s="30"/>
      <c r="CC16" s="27"/>
      <c r="CD16" s="30"/>
      <c r="CF16" s="11"/>
      <c r="CH16" s="27"/>
      <c r="CI16" s="30"/>
      <c r="CJ16" s="27"/>
      <c r="CK16" s="30"/>
      <c r="CM16" s="11"/>
      <c r="CO16" s="27"/>
      <c r="CP16" s="30"/>
      <c r="CQ16" s="27"/>
      <c r="CR16" s="30">
        <v>0.5</v>
      </c>
      <c r="CT16" s="11"/>
      <c r="CV16" s="27"/>
      <c r="CW16" s="30"/>
      <c r="CX16" s="27"/>
      <c r="CY16" s="30">
        <v>0.8</v>
      </c>
      <c r="DA16" s="11"/>
      <c r="DC16" s="27"/>
      <c r="DD16" s="30">
        <v>1.0</v>
      </c>
      <c r="DE16" s="27"/>
      <c r="DF16" s="30">
        <v>1.0</v>
      </c>
      <c r="DH16" s="11"/>
      <c r="DJ16" s="27"/>
      <c r="DK16" s="27"/>
      <c r="DL16" s="27"/>
      <c r="DM16" s="27"/>
      <c r="DO16" s="11"/>
      <c r="DQ16" s="27"/>
      <c r="DR16" s="27"/>
      <c r="DS16" s="27"/>
      <c r="DT16" s="27"/>
    </row>
    <row r="17" ht="15.75" customHeight="1" outlineLevel="1">
      <c r="B17" s="6" t="s">
        <v>56</v>
      </c>
      <c r="C17" s="24" t="s">
        <v>55</v>
      </c>
      <c r="E17" s="26"/>
      <c r="F17" s="5" t="s">
        <v>125</v>
      </c>
      <c r="G17" s="39">
        <v>0.0715</v>
      </c>
      <c r="I17" s="26">
        <f t="shared" si="1"/>
        <v>0</v>
      </c>
      <c r="J17" s="29">
        <f t="array" ref="J17">MAX(IF($N$3:$GU$3=$J$3,N17:GU17))</f>
        <v>0</v>
      </c>
      <c r="K17" s="29">
        <f t="array" ref="K17">MAX(IF($N$3:$GU$3=$J$3,N17:GU17))</f>
        <v>0</v>
      </c>
      <c r="L17" s="26"/>
      <c r="P17" s="27"/>
      <c r="Q17" s="27"/>
      <c r="R17" s="27"/>
      <c r="S17" s="30"/>
      <c r="W17" s="27"/>
      <c r="X17" s="30"/>
      <c r="Y17" s="27"/>
      <c r="Z17" s="30"/>
      <c r="AD17" s="27"/>
      <c r="AE17" s="30"/>
      <c r="AF17" s="27"/>
      <c r="AG17" s="30"/>
      <c r="AJ17" s="5"/>
      <c r="AK17" s="27"/>
      <c r="AL17" s="30"/>
      <c r="AM17" s="27"/>
      <c r="AN17" s="30"/>
      <c r="AR17" s="27"/>
      <c r="AS17" s="30"/>
      <c r="AT17" s="27"/>
      <c r="AU17" s="30"/>
      <c r="AX17" s="5"/>
      <c r="AY17" s="27"/>
      <c r="AZ17" s="30"/>
      <c r="BA17" s="27"/>
      <c r="BB17" s="30"/>
      <c r="BD17" s="11"/>
      <c r="BF17" s="27"/>
      <c r="BG17" s="30"/>
      <c r="BH17" s="27"/>
      <c r="BI17" s="30"/>
      <c r="BM17" s="27"/>
      <c r="BN17" s="30"/>
      <c r="BO17" s="27"/>
      <c r="BP17" s="30"/>
      <c r="BR17" s="11"/>
      <c r="BT17" s="27"/>
      <c r="BU17" s="30"/>
      <c r="BV17" s="27"/>
      <c r="BW17" s="30"/>
      <c r="BY17" s="11"/>
      <c r="CA17" s="27"/>
      <c r="CB17" s="30"/>
      <c r="CC17" s="27"/>
      <c r="CD17" s="30"/>
      <c r="CF17" s="11"/>
      <c r="CH17" s="27"/>
      <c r="CI17" s="30"/>
      <c r="CJ17" s="27"/>
      <c r="CK17" s="30"/>
      <c r="CM17" s="11"/>
      <c r="CO17" s="27"/>
      <c r="CP17" s="30"/>
      <c r="CQ17" s="27"/>
      <c r="CR17" s="30">
        <v>0.5</v>
      </c>
      <c r="CT17" s="11"/>
      <c r="CV17" s="27"/>
      <c r="CW17" s="30"/>
      <c r="CX17" s="27"/>
      <c r="CY17" s="30">
        <v>0.8</v>
      </c>
      <c r="DA17" s="11"/>
      <c r="DC17" s="27"/>
      <c r="DD17" s="30">
        <v>1.0</v>
      </c>
      <c r="DE17" s="27"/>
      <c r="DF17" s="30">
        <v>1.0</v>
      </c>
      <c r="DH17" s="11"/>
      <c r="DJ17" s="27"/>
      <c r="DK17" s="27"/>
      <c r="DL17" s="27"/>
      <c r="DM17" s="27"/>
      <c r="DO17" s="11"/>
      <c r="DQ17" s="27"/>
      <c r="DR17" s="27"/>
      <c r="DS17" s="27"/>
      <c r="DT17" s="27"/>
    </row>
    <row r="18" ht="15.75" customHeight="1" outlineLevel="1">
      <c r="B18" s="6" t="s">
        <v>56</v>
      </c>
      <c r="C18" s="24" t="s">
        <v>55</v>
      </c>
      <c r="E18" s="26"/>
      <c r="F18" s="5" t="s">
        <v>126</v>
      </c>
      <c r="G18" s="39">
        <v>0.0705</v>
      </c>
      <c r="I18" s="26">
        <f t="shared" si="1"/>
        <v>0</v>
      </c>
      <c r="J18" s="29">
        <f t="array" ref="J18">MAX(IF($N$3:$GU$3=$J$3,N18:GU18))</f>
        <v>0</v>
      </c>
      <c r="K18" s="29">
        <f t="array" ref="K18">MAX(IF($N$3:$GU$3=$J$3,N18:GU18))</f>
        <v>0</v>
      </c>
      <c r="L18" s="26"/>
      <c r="P18" s="27"/>
      <c r="Q18" s="27"/>
      <c r="R18" s="27"/>
      <c r="S18" s="30"/>
      <c r="W18" s="27"/>
      <c r="X18" s="30"/>
      <c r="Y18" s="27"/>
      <c r="Z18" s="30"/>
      <c r="AD18" s="27"/>
      <c r="AE18" s="30"/>
      <c r="AF18" s="27"/>
      <c r="AG18" s="30"/>
      <c r="AJ18" s="5"/>
      <c r="AK18" s="27"/>
      <c r="AL18" s="30"/>
      <c r="AM18" s="27"/>
      <c r="AN18" s="30"/>
      <c r="AR18" s="27"/>
      <c r="AS18" s="30"/>
      <c r="AT18" s="27"/>
      <c r="AU18" s="30"/>
      <c r="AX18" s="5"/>
      <c r="AY18" s="27"/>
      <c r="AZ18" s="30"/>
      <c r="BA18" s="27"/>
      <c r="BB18" s="30"/>
      <c r="BD18" s="11"/>
      <c r="BF18" s="27"/>
      <c r="BG18" s="30"/>
      <c r="BH18" s="27"/>
      <c r="BI18" s="30"/>
      <c r="BM18" s="27"/>
      <c r="BN18" s="30"/>
      <c r="BO18" s="27"/>
      <c r="BP18" s="30"/>
      <c r="BR18" s="11"/>
      <c r="BT18" s="27"/>
      <c r="BU18" s="30"/>
      <c r="BV18" s="27"/>
      <c r="BW18" s="30"/>
      <c r="BY18" s="11"/>
      <c r="CA18" s="27"/>
      <c r="CB18" s="30"/>
      <c r="CC18" s="27"/>
      <c r="CD18" s="30"/>
      <c r="CF18" s="11"/>
      <c r="CH18" s="27"/>
      <c r="CI18" s="30"/>
      <c r="CJ18" s="27"/>
      <c r="CK18" s="30"/>
      <c r="CM18" s="11"/>
      <c r="CO18" s="27"/>
      <c r="CP18" s="30"/>
      <c r="CQ18" s="27"/>
      <c r="CR18" s="30"/>
      <c r="CT18" s="11"/>
      <c r="CV18" s="27"/>
      <c r="CW18" s="30"/>
      <c r="CX18" s="27"/>
      <c r="CY18" s="30">
        <v>0.5</v>
      </c>
      <c r="DA18" s="11"/>
      <c r="DC18" s="27"/>
      <c r="DD18" s="30">
        <v>1.0</v>
      </c>
      <c r="DE18" s="27"/>
      <c r="DF18" s="30">
        <v>1.0</v>
      </c>
      <c r="DH18" s="11"/>
      <c r="DJ18" s="27"/>
      <c r="DK18" s="27"/>
      <c r="DL18" s="27"/>
      <c r="DM18" s="27"/>
      <c r="DO18" s="11"/>
      <c r="DQ18" s="27"/>
      <c r="DR18" s="27"/>
      <c r="DS18" s="27"/>
      <c r="DT18" s="27"/>
    </row>
    <row r="19" ht="15.75" customHeight="1">
      <c r="C19" s="8"/>
      <c r="K19" s="29"/>
      <c r="P19" s="1"/>
      <c r="W19" s="1"/>
      <c r="AD19" s="1"/>
      <c r="AK19" s="1"/>
      <c r="AR19" s="1"/>
      <c r="AY19" s="1"/>
      <c r="BD19" s="11"/>
      <c r="BF19" s="1"/>
      <c r="BM19" s="1"/>
      <c r="BR19" s="11"/>
      <c r="BT19" s="1"/>
      <c r="BY19" s="11"/>
      <c r="CA19" s="1"/>
      <c r="CF19" s="11"/>
      <c r="CH19" s="1"/>
      <c r="CM19" s="11"/>
      <c r="CO19" s="1"/>
      <c r="CT19" s="11"/>
      <c r="CV19" s="1"/>
      <c r="DA19" s="11"/>
      <c r="DC19" s="1"/>
      <c r="DH19" s="11"/>
      <c r="DJ19" s="1"/>
      <c r="DO19" s="11"/>
      <c r="DQ19" s="1"/>
    </row>
    <row r="20" ht="15.75" customHeight="1">
      <c r="B20" s="6" t="s">
        <v>26</v>
      </c>
      <c r="C20" s="24" t="s">
        <v>65</v>
      </c>
      <c r="D20" s="25">
        <v>44858.0</v>
      </c>
      <c r="E20" s="32">
        <v>3.0</v>
      </c>
      <c r="G20" s="27">
        <f>+SUM(G21:G26)</f>
        <v>1</v>
      </c>
      <c r="I20" s="28">
        <f>+SUM(I21:I26)</f>
        <v>54.5</v>
      </c>
      <c r="J20" s="29">
        <f>+SUMPRODUCT(G21:G26,J21:J26)</f>
        <v>1</v>
      </c>
      <c r="K20" s="29">
        <f>+SUMPRODUCT(G21:G26,K21:K26)</f>
        <v>1</v>
      </c>
      <c r="L20" s="26"/>
      <c r="O20" s="40">
        <f>SUM(O21:O26)</f>
        <v>5.5</v>
      </c>
      <c r="V20" s="40">
        <f>SUM(V21:V26)</f>
        <v>3.75</v>
      </c>
      <c r="AC20" s="28">
        <f>SUM(AC21:AC26)</f>
        <v>3</v>
      </c>
      <c r="AJ20" s="28">
        <f>SUM(AJ21:AJ26)</f>
        <v>4</v>
      </c>
      <c r="AQ20" s="37">
        <f>SUM(AQ21:AQ26)</f>
        <v>6.5</v>
      </c>
      <c r="AX20" s="28">
        <f>SUM(AX21:AX26)</f>
        <v>10.75</v>
      </c>
      <c r="BD20" s="11"/>
      <c r="BE20" s="28">
        <f>SUM(BE21:BE26)</f>
        <v>21</v>
      </c>
      <c r="BL20" s="28"/>
      <c r="BR20" s="11"/>
      <c r="BS20" s="28"/>
      <c r="BY20" s="11"/>
      <c r="BZ20" s="28"/>
      <c r="CF20" s="11"/>
      <c r="CG20" s="28"/>
      <c r="CM20" s="11"/>
      <c r="CN20" s="28"/>
      <c r="CT20" s="11"/>
      <c r="CU20" s="28"/>
      <c r="DA20" s="11"/>
      <c r="DB20" s="28"/>
      <c r="DH20" s="11"/>
      <c r="DI20" s="28"/>
      <c r="DO20" s="11"/>
      <c r="DP20" s="28"/>
    </row>
    <row r="21" ht="15.75" hidden="1" customHeight="1" outlineLevel="1">
      <c r="B21" s="6" t="s">
        <v>56</v>
      </c>
      <c r="C21" s="24" t="s">
        <v>66</v>
      </c>
      <c r="E21" s="26"/>
      <c r="F21" s="5" t="s">
        <v>67</v>
      </c>
      <c r="G21" s="30">
        <v>0.15</v>
      </c>
      <c r="I21" s="26">
        <f t="shared" ref="I21:I26" si="2">+SUMIF($N$3:$ACM$3,I$3,$N21:$ACM21)</f>
        <v>10.5</v>
      </c>
      <c r="J21" s="29">
        <f t="array" ref="J21">MAX(IF($N$3:$GU$3=$J$3,N21:GU21))</f>
        <v>1</v>
      </c>
      <c r="K21" s="29">
        <f t="array" ref="K21">MAX(IF($N$3:$GU$3=$J$3,N21:GU21))</f>
        <v>1</v>
      </c>
      <c r="L21" s="26"/>
      <c r="O21" s="5">
        <v>5.5</v>
      </c>
      <c r="P21" s="30">
        <v>0.7</v>
      </c>
      <c r="Q21" s="30">
        <v>0.8</v>
      </c>
      <c r="R21" s="30">
        <v>0.8</v>
      </c>
      <c r="S21" s="30">
        <v>0.8</v>
      </c>
      <c r="T21" s="5">
        <v>3.0</v>
      </c>
      <c r="V21" s="5">
        <v>1.0</v>
      </c>
      <c r="W21" s="30">
        <v>0.7</v>
      </c>
      <c r="X21" s="30">
        <v>0.8</v>
      </c>
      <c r="Y21" s="30">
        <v>0.8</v>
      </c>
      <c r="Z21" s="30">
        <v>0.8</v>
      </c>
      <c r="AA21" s="5">
        <v>3.0</v>
      </c>
      <c r="AD21" s="30">
        <v>0.7</v>
      </c>
      <c r="AE21" s="30">
        <v>0.8</v>
      </c>
      <c r="AF21" s="30">
        <v>0.8</v>
      </c>
      <c r="AG21" s="30">
        <v>0.8</v>
      </c>
      <c r="AJ21" s="5">
        <v>1.0</v>
      </c>
      <c r="AK21" s="30">
        <v>1.0</v>
      </c>
      <c r="AL21" s="30">
        <v>1.0</v>
      </c>
      <c r="AM21" s="30">
        <v>1.0</v>
      </c>
      <c r="AN21" s="30">
        <v>1.0</v>
      </c>
      <c r="AR21" s="30">
        <v>1.0</v>
      </c>
      <c r="AS21" s="30">
        <v>1.0</v>
      </c>
      <c r="AT21" s="30">
        <v>1.0</v>
      </c>
      <c r="AU21" s="30">
        <v>1.0</v>
      </c>
      <c r="AX21" s="5">
        <v>1.0</v>
      </c>
      <c r="AY21" s="30">
        <v>1.0</v>
      </c>
      <c r="AZ21" s="30">
        <v>1.0</v>
      </c>
      <c r="BA21" s="30">
        <v>1.0</v>
      </c>
      <c r="BB21" s="30">
        <v>1.0</v>
      </c>
      <c r="BD21" s="11"/>
      <c r="BE21" s="5">
        <v>2.0</v>
      </c>
      <c r="BF21" s="30">
        <v>1.0</v>
      </c>
      <c r="BG21" s="30">
        <v>1.0</v>
      </c>
      <c r="BH21" s="30">
        <v>1.0</v>
      </c>
      <c r="BI21" s="30">
        <v>1.0</v>
      </c>
      <c r="BM21" s="27"/>
      <c r="BN21" s="27"/>
      <c r="BO21" s="27"/>
      <c r="BP21" s="27"/>
      <c r="BR21" s="11"/>
      <c r="BT21" s="27"/>
      <c r="BU21" s="27"/>
      <c r="BV21" s="27"/>
      <c r="BW21" s="27"/>
      <c r="BY21" s="11"/>
      <c r="CA21" s="27"/>
      <c r="CB21" s="27"/>
      <c r="CC21" s="27"/>
      <c r="CD21" s="27"/>
      <c r="CF21" s="11"/>
      <c r="CH21" s="27"/>
      <c r="CI21" s="27"/>
      <c r="CJ21" s="27"/>
      <c r="CK21" s="27"/>
      <c r="CM21" s="11"/>
      <c r="CO21" s="27"/>
      <c r="CP21" s="27"/>
      <c r="CQ21" s="27"/>
      <c r="CR21" s="27"/>
      <c r="CT21" s="11"/>
      <c r="CV21" s="27"/>
      <c r="CW21" s="27"/>
      <c r="CX21" s="27"/>
      <c r="CY21" s="27"/>
      <c r="DA21" s="11"/>
      <c r="DC21" s="27"/>
      <c r="DD21" s="27"/>
      <c r="DE21" s="27"/>
      <c r="DF21" s="27"/>
      <c r="DH21" s="11"/>
      <c r="DJ21" s="27"/>
      <c r="DK21" s="27"/>
      <c r="DL21" s="27"/>
      <c r="DM21" s="27"/>
      <c r="DO21" s="11"/>
      <c r="DQ21" s="27"/>
      <c r="DR21" s="27"/>
      <c r="DS21" s="27"/>
      <c r="DT21" s="27"/>
    </row>
    <row r="22" ht="15.75" hidden="1" customHeight="1" outlineLevel="1">
      <c r="B22" s="6" t="s">
        <v>56</v>
      </c>
      <c r="C22" s="24" t="s">
        <v>66</v>
      </c>
      <c r="E22" s="26"/>
      <c r="F22" s="5" t="s">
        <v>68</v>
      </c>
      <c r="G22" s="30">
        <v>0.2</v>
      </c>
      <c r="I22" s="26">
        <f t="shared" si="2"/>
        <v>12.75</v>
      </c>
      <c r="J22" s="29">
        <f t="array" ref="J22">MAX(IF($N$3:$GU$3=$J$3,N22:GU22))</f>
        <v>1</v>
      </c>
      <c r="K22" s="29">
        <f t="array" ref="K22">MAX(IF($N$3:$GU$3=$J$3,N22:GU22))</f>
        <v>1</v>
      </c>
      <c r="L22" s="26"/>
      <c r="P22" s="27"/>
      <c r="Q22" s="30">
        <v>0.5</v>
      </c>
      <c r="R22" s="27"/>
      <c r="S22" s="30">
        <v>0.5</v>
      </c>
      <c r="T22" s="5" t="s">
        <v>127</v>
      </c>
      <c r="V22" s="5">
        <v>2.75</v>
      </c>
      <c r="W22" s="30">
        <v>0.3</v>
      </c>
      <c r="X22" s="30">
        <v>0.8</v>
      </c>
      <c r="Y22" s="30">
        <v>0.3</v>
      </c>
      <c r="Z22" s="30">
        <v>0.8</v>
      </c>
      <c r="AD22" s="30">
        <v>0.3</v>
      </c>
      <c r="AE22" s="30">
        <v>0.8</v>
      </c>
      <c r="AF22" s="30">
        <v>0.3</v>
      </c>
      <c r="AG22" s="30">
        <v>0.8</v>
      </c>
      <c r="AK22" s="30">
        <v>0.3</v>
      </c>
      <c r="AL22" s="30">
        <v>0.8</v>
      </c>
      <c r="AM22" s="30">
        <v>0.3</v>
      </c>
      <c r="AN22" s="30">
        <v>0.8</v>
      </c>
      <c r="AQ22" s="5">
        <v>2.0</v>
      </c>
      <c r="AR22" s="30">
        <v>0.3</v>
      </c>
      <c r="AS22" s="30">
        <v>1.0</v>
      </c>
      <c r="AT22" s="30">
        <v>0.3</v>
      </c>
      <c r="AU22" s="30">
        <v>1.0</v>
      </c>
      <c r="AX22" s="5">
        <v>4.0</v>
      </c>
      <c r="AY22" s="30">
        <v>0.7</v>
      </c>
      <c r="AZ22" s="30">
        <v>1.0</v>
      </c>
      <c r="BA22" s="30">
        <v>0.7</v>
      </c>
      <c r="BB22" s="30">
        <v>1.0</v>
      </c>
      <c r="BD22" s="11"/>
      <c r="BE22" s="5">
        <v>4.0</v>
      </c>
      <c r="BF22" s="30">
        <v>1.0</v>
      </c>
      <c r="BG22" s="30">
        <v>1.0</v>
      </c>
      <c r="BH22" s="30">
        <v>1.0</v>
      </c>
      <c r="BI22" s="30">
        <v>1.0</v>
      </c>
      <c r="BM22" s="27"/>
      <c r="BN22" s="27"/>
      <c r="BO22" s="27"/>
      <c r="BP22" s="30"/>
      <c r="BR22" s="11"/>
      <c r="BT22" s="27"/>
      <c r="BU22" s="27"/>
      <c r="BV22" s="27"/>
      <c r="BW22" s="30"/>
      <c r="BY22" s="11"/>
      <c r="CA22" s="27"/>
      <c r="CB22" s="27"/>
      <c r="CC22" s="27"/>
      <c r="CD22" s="30"/>
      <c r="CF22" s="11"/>
      <c r="CH22" s="27"/>
      <c r="CI22" s="27"/>
      <c r="CJ22" s="27"/>
      <c r="CK22" s="30"/>
      <c r="CM22" s="11"/>
      <c r="CO22" s="27"/>
      <c r="CP22" s="27"/>
      <c r="CQ22" s="27"/>
      <c r="CR22" s="30"/>
      <c r="CT22" s="11"/>
      <c r="CV22" s="27"/>
      <c r="CW22" s="27"/>
      <c r="CX22" s="27"/>
      <c r="CY22" s="30"/>
      <c r="DA22" s="11"/>
      <c r="DC22" s="27"/>
      <c r="DD22" s="27"/>
      <c r="DE22" s="27"/>
      <c r="DF22" s="30"/>
      <c r="DH22" s="11"/>
      <c r="DJ22" s="27"/>
      <c r="DK22" s="27"/>
      <c r="DL22" s="27"/>
      <c r="DM22" s="30"/>
      <c r="DO22" s="11"/>
      <c r="DQ22" s="27"/>
      <c r="DR22" s="27"/>
      <c r="DS22" s="27"/>
      <c r="DT22" s="30"/>
    </row>
    <row r="23" ht="15.75" hidden="1" customHeight="1" outlineLevel="1">
      <c r="B23" s="6" t="s">
        <v>56</v>
      </c>
      <c r="C23" s="24" t="s">
        <v>66</v>
      </c>
      <c r="E23" s="26"/>
      <c r="F23" s="5" t="s">
        <v>69</v>
      </c>
      <c r="G23" s="30">
        <v>0.3</v>
      </c>
      <c r="I23" s="26">
        <f t="shared" si="2"/>
        <v>15.5</v>
      </c>
      <c r="J23" s="29">
        <f t="array" ref="J23">MAX(IF($N$3:$GU$3=$J$3,N23:GU23))</f>
        <v>1</v>
      </c>
      <c r="K23" s="29">
        <f t="array" ref="K23">MAX(IF($N$3:$GU$3=$J$3,N23:GU23))</f>
        <v>1</v>
      </c>
      <c r="L23" s="26"/>
      <c r="P23" s="27"/>
      <c r="Q23" s="27"/>
      <c r="R23" s="27"/>
      <c r="S23" s="30">
        <v>0.0</v>
      </c>
      <c r="W23" s="27"/>
      <c r="X23" s="30">
        <v>0.5</v>
      </c>
      <c r="Y23" s="27"/>
      <c r="Z23" s="30">
        <v>0.5</v>
      </c>
      <c r="AC23" s="5">
        <v>3.0</v>
      </c>
      <c r="AD23" s="27"/>
      <c r="AE23" s="30">
        <v>0.5</v>
      </c>
      <c r="AF23" s="27"/>
      <c r="AG23" s="30">
        <v>0.5</v>
      </c>
      <c r="AJ23" s="5">
        <v>3.0</v>
      </c>
      <c r="AK23" s="27"/>
      <c r="AL23" s="30">
        <v>0.8</v>
      </c>
      <c r="AM23" s="27"/>
      <c r="AN23" s="30">
        <v>0.8</v>
      </c>
      <c r="AQ23" s="5">
        <v>1.5</v>
      </c>
      <c r="AR23" s="30">
        <v>0.2</v>
      </c>
      <c r="AS23" s="30">
        <v>1.0</v>
      </c>
      <c r="AT23" s="30">
        <v>0.2</v>
      </c>
      <c r="AU23" s="30">
        <v>1.0</v>
      </c>
      <c r="AX23" s="5">
        <v>1.0</v>
      </c>
      <c r="AY23" s="30">
        <v>0.5</v>
      </c>
      <c r="AZ23" s="30">
        <v>1.0</v>
      </c>
      <c r="BA23" s="30">
        <v>0.5</v>
      </c>
      <c r="BB23" s="30">
        <v>1.0</v>
      </c>
      <c r="BD23" s="11"/>
      <c r="BE23" s="5">
        <v>7.0</v>
      </c>
      <c r="BF23" s="30">
        <v>1.0</v>
      </c>
      <c r="BG23" s="30">
        <v>1.0</v>
      </c>
      <c r="BH23" s="30">
        <v>1.0</v>
      </c>
      <c r="BI23" s="30">
        <v>1.0</v>
      </c>
      <c r="BJ23" s="32"/>
      <c r="BM23" s="32" t="s">
        <v>120</v>
      </c>
      <c r="BR23" s="11"/>
      <c r="BT23" s="27"/>
      <c r="BU23" s="27"/>
      <c r="BV23" s="27"/>
      <c r="BW23" s="27"/>
      <c r="BY23" s="11"/>
      <c r="CA23" s="27"/>
      <c r="CB23" s="27"/>
      <c r="CC23" s="27"/>
      <c r="CD23" s="27"/>
      <c r="CF23" s="11"/>
      <c r="CH23" s="27"/>
      <c r="CI23" s="27"/>
      <c r="CJ23" s="27"/>
      <c r="CK23" s="27"/>
      <c r="CM23" s="11"/>
      <c r="CO23" s="27"/>
      <c r="CP23" s="27"/>
      <c r="CQ23" s="27"/>
      <c r="CR23" s="27"/>
      <c r="CT23" s="11"/>
      <c r="CV23" s="27"/>
      <c r="CW23" s="27"/>
      <c r="CX23" s="27"/>
      <c r="CY23" s="27"/>
      <c r="DA23" s="11"/>
      <c r="DC23" s="27"/>
      <c r="DD23" s="27"/>
      <c r="DE23" s="27"/>
      <c r="DF23" s="27"/>
      <c r="DH23" s="11"/>
      <c r="DJ23" s="27"/>
      <c r="DK23" s="27"/>
      <c r="DL23" s="27"/>
      <c r="DM23" s="27"/>
      <c r="DO23" s="11"/>
      <c r="DQ23" s="27"/>
      <c r="DR23" s="27"/>
      <c r="DS23" s="27"/>
      <c r="DT23" s="27"/>
    </row>
    <row r="24" ht="15.75" hidden="1" customHeight="1" outlineLevel="1">
      <c r="B24" s="6" t="s">
        <v>56</v>
      </c>
      <c r="C24" s="24" t="s">
        <v>66</v>
      </c>
      <c r="E24" s="26"/>
      <c r="F24" s="5" t="s">
        <v>70</v>
      </c>
      <c r="G24" s="30">
        <v>0.2</v>
      </c>
      <c r="I24" s="26">
        <f t="shared" si="2"/>
        <v>9</v>
      </c>
      <c r="J24" s="29">
        <f t="array" ref="J24">MAX(IF($N$3:$GU$3=$J$3,N24:GU24))</f>
        <v>1</v>
      </c>
      <c r="K24" s="29">
        <f t="array" ref="K24">MAX(IF($N$3:$GU$3=$J$3,N24:GU24))</f>
        <v>1</v>
      </c>
      <c r="L24" s="26"/>
      <c r="P24" s="27"/>
      <c r="Q24" s="30"/>
      <c r="R24" s="27"/>
      <c r="S24" s="30">
        <v>0.0</v>
      </c>
      <c r="W24" s="27"/>
      <c r="X24" s="30">
        <v>0.0</v>
      </c>
      <c r="Y24" s="27"/>
      <c r="Z24" s="30">
        <v>0.0</v>
      </c>
      <c r="AD24" s="27"/>
      <c r="AE24" s="30">
        <v>0.0</v>
      </c>
      <c r="AF24" s="27"/>
      <c r="AG24" s="30">
        <v>0.0</v>
      </c>
      <c r="AK24" s="27"/>
      <c r="AL24" s="30">
        <v>0.8</v>
      </c>
      <c r="AM24" s="27"/>
      <c r="AN24" s="30">
        <v>0.8</v>
      </c>
      <c r="AQ24" s="5">
        <v>3.0</v>
      </c>
      <c r="AR24" s="30">
        <v>0.3</v>
      </c>
      <c r="AS24" s="30">
        <v>0.8</v>
      </c>
      <c r="AT24" s="30">
        <v>0.3</v>
      </c>
      <c r="AU24" s="30">
        <v>0.8</v>
      </c>
      <c r="AX24" s="5">
        <v>1.0</v>
      </c>
      <c r="AY24" s="30">
        <v>0.3</v>
      </c>
      <c r="AZ24" s="30">
        <v>1.0</v>
      </c>
      <c r="BA24" s="30">
        <v>0.3</v>
      </c>
      <c r="BB24" s="30">
        <v>1.0</v>
      </c>
      <c r="BD24" s="11"/>
      <c r="BE24" s="5">
        <v>5.0</v>
      </c>
      <c r="BF24" s="30">
        <v>1.0</v>
      </c>
      <c r="BG24" s="30">
        <v>1.0</v>
      </c>
      <c r="BH24" s="30">
        <v>1.0</v>
      </c>
      <c r="BI24" s="30">
        <v>1.0</v>
      </c>
      <c r="BM24" s="27"/>
      <c r="BN24" s="30"/>
      <c r="BO24" s="33"/>
      <c r="BP24" s="27"/>
      <c r="BR24" s="11"/>
      <c r="BT24" s="27"/>
      <c r="BU24" s="30"/>
      <c r="BV24" s="27"/>
      <c r="BW24" s="27"/>
      <c r="BY24" s="11"/>
      <c r="CA24" s="27"/>
      <c r="CB24" s="30"/>
      <c r="CC24" s="27"/>
      <c r="CD24" s="27"/>
      <c r="CF24" s="11"/>
      <c r="CH24" s="27"/>
      <c r="CI24" s="30"/>
      <c r="CJ24" s="27"/>
      <c r="CK24" s="27"/>
      <c r="CM24" s="11"/>
      <c r="CO24" s="27"/>
      <c r="CP24" s="30"/>
      <c r="CQ24" s="27"/>
      <c r="CR24" s="27"/>
      <c r="CT24" s="11"/>
      <c r="CV24" s="27"/>
      <c r="CW24" s="30"/>
      <c r="CX24" s="27"/>
      <c r="CY24" s="27"/>
      <c r="DA24" s="11"/>
      <c r="DC24" s="27"/>
      <c r="DD24" s="30"/>
      <c r="DE24" s="27"/>
      <c r="DF24" s="27"/>
      <c r="DH24" s="11"/>
      <c r="DJ24" s="27"/>
      <c r="DK24" s="30"/>
      <c r="DL24" s="27"/>
      <c r="DM24" s="27"/>
      <c r="DO24" s="11"/>
      <c r="DQ24" s="27"/>
      <c r="DR24" s="30"/>
      <c r="DS24" s="27"/>
      <c r="DT24" s="27"/>
    </row>
    <row r="25" ht="15.75" hidden="1" customHeight="1" outlineLevel="1">
      <c r="B25" s="6" t="s">
        <v>56</v>
      </c>
      <c r="C25" s="24" t="s">
        <v>66</v>
      </c>
      <c r="E25" s="26"/>
      <c r="F25" s="5" t="s">
        <v>73</v>
      </c>
      <c r="G25" s="30">
        <v>0.15</v>
      </c>
      <c r="I25" s="26">
        <f t="shared" si="2"/>
        <v>6</v>
      </c>
      <c r="J25" s="29">
        <f t="array" ref="J25">MAX(IF($N$3:$GU$3=$J$3,N25:GU25))</f>
        <v>1</v>
      </c>
      <c r="K25" s="29">
        <f t="array" ref="K25">MAX(IF($N$3:$GU$3=$J$3,N25:GU25))</f>
        <v>1</v>
      </c>
      <c r="L25" s="26"/>
      <c r="P25" s="27"/>
      <c r="Q25" s="27"/>
      <c r="R25" s="27"/>
      <c r="S25" s="30">
        <v>0.0</v>
      </c>
      <c r="W25" s="27"/>
      <c r="X25" s="30">
        <v>0.0</v>
      </c>
      <c r="Y25" s="27"/>
      <c r="Z25" s="30">
        <v>0.0</v>
      </c>
      <c r="AD25" s="27"/>
      <c r="AE25" s="30">
        <v>0.0</v>
      </c>
      <c r="AF25" s="27"/>
      <c r="AG25" s="30">
        <v>0.0</v>
      </c>
      <c r="AK25" s="27"/>
      <c r="AL25" s="30">
        <v>0.0</v>
      </c>
      <c r="AM25" s="27"/>
      <c r="AN25" s="30">
        <v>0.0</v>
      </c>
      <c r="AR25" s="27"/>
      <c r="AS25" s="30">
        <v>0.8</v>
      </c>
      <c r="AT25" s="27"/>
      <c r="AU25" s="30">
        <v>0.8</v>
      </c>
      <c r="AX25" s="5">
        <v>3.0</v>
      </c>
      <c r="AY25" s="30">
        <v>0.4</v>
      </c>
      <c r="AZ25" s="30">
        <v>1.0</v>
      </c>
      <c r="BA25" s="30">
        <v>0.4</v>
      </c>
      <c r="BB25" s="30">
        <v>1.0</v>
      </c>
      <c r="BD25" s="11"/>
      <c r="BE25" s="5">
        <v>3.0</v>
      </c>
      <c r="BF25" s="30">
        <v>1.0</v>
      </c>
      <c r="BG25" s="30">
        <v>1.0</v>
      </c>
      <c r="BH25" s="30">
        <v>1.0</v>
      </c>
      <c r="BI25" s="30">
        <v>1.0</v>
      </c>
      <c r="BM25" s="27"/>
      <c r="BN25" s="27"/>
      <c r="BO25" s="27"/>
      <c r="BP25" s="27"/>
      <c r="BR25" s="11"/>
      <c r="BT25" s="27"/>
      <c r="BU25" s="27"/>
      <c r="BV25" s="27"/>
      <c r="BW25" s="27"/>
      <c r="BY25" s="11"/>
      <c r="CA25" s="27"/>
      <c r="CB25" s="27"/>
      <c r="CC25" s="27"/>
      <c r="CD25" s="27"/>
      <c r="CF25" s="11"/>
      <c r="CH25" s="27"/>
      <c r="CI25" s="27"/>
      <c r="CJ25" s="27"/>
      <c r="CK25" s="27"/>
      <c r="CM25" s="11"/>
      <c r="CO25" s="27"/>
      <c r="CP25" s="27"/>
      <c r="CQ25" s="27"/>
      <c r="CR25" s="27"/>
      <c r="CT25" s="11"/>
      <c r="CV25" s="27"/>
      <c r="CW25" s="27"/>
      <c r="CX25" s="27"/>
      <c r="CY25" s="27"/>
      <c r="DA25" s="11"/>
      <c r="DC25" s="27"/>
      <c r="DD25" s="27"/>
      <c r="DE25" s="27"/>
      <c r="DF25" s="27"/>
      <c r="DH25" s="11"/>
      <c r="DJ25" s="27"/>
      <c r="DK25" s="27"/>
      <c r="DL25" s="27"/>
      <c r="DM25" s="27"/>
      <c r="DO25" s="11"/>
      <c r="DQ25" s="27"/>
      <c r="DR25" s="27"/>
      <c r="DS25" s="27"/>
      <c r="DT25" s="27"/>
    </row>
    <row r="26" ht="15.75" hidden="1" customHeight="1" outlineLevel="1">
      <c r="B26" s="6" t="s">
        <v>56</v>
      </c>
      <c r="C26" s="24" t="s">
        <v>66</v>
      </c>
      <c r="E26" s="26"/>
      <c r="F26" s="5" t="s">
        <v>74</v>
      </c>
      <c r="G26" s="30">
        <v>0.0</v>
      </c>
      <c r="I26" s="26">
        <f t="shared" si="2"/>
        <v>0.75</v>
      </c>
      <c r="J26" s="29">
        <f t="array" ref="J26">MAX(IF($N$3:$GU$3=$J$3,N26:GU26))</f>
        <v>1</v>
      </c>
      <c r="K26" s="29">
        <f t="array" ref="K26">MAX(IF($N$3:$GU$3=$J$3,N26:GU26))</f>
        <v>1</v>
      </c>
      <c r="L26" s="26"/>
      <c r="P26" s="27"/>
      <c r="Q26" s="27"/>
      <c r="R26" s="27"/>
      <c r="S26" s="30">
        <v>0.0</v>
      </c>
      <c r="W26" s="27"/>
      <c r="X26" s="30">
        <v>0.0</v>
      </c>
      <c r="Y26" s="27"/>
      <c r="Z26" s="30">
        <v>0.0</v>
      </c>
      <c r="AD26" s="27"/>
      <c r="AE26" s="30">
        <v>0.0</v>
      </c>
      <c r="AF26" s="27"/>
      <c r="AG26" s="30">
        <v>0.0</v>
      </c>
      <c r="AK26" s="27"/>
      <c r="AL26" s="30">
        <v>0.0</v>
      </c>
      <c r="AM26" s="27"/>
      <c r="AN26" s="30">
        <v>0.0</v>
      </c>
      <c r="AR26" s="27"/>
      <c r="AS26" s="30">
        <v>0.8</v>
      </c>
      <c r="AT26" s="27"/>
      <c r="AU26" s="30">
        <v>0.8</v>
      </c>
      <c r="AX26" s="5">
        <v>0.75</v>
      </c>
      <c r="AY26" s="30">
        <v>1.0</v>
      </c>
      <c r="AZ26" s="30">
        <v>1.0</v>
      </c>
      <c r="BA26" s="30">
        <v>1.0</v>
      </c>
      <c r="BB26" s="30">
        <v>1.0</v>
      </c>
      <c r="BD26" s="11"/>
      <c r="BF26" s="30">
        <v>1.0</v>
      </c>
      <c r="BG26" s="30">
        <v>1.0</v>
      </c>
      <c r="BH26" s="30">
        <v>1.0</v>
      </c>
      <c r="BI26" s="30">
        <v>1.0</v>
      </c>
      <c r="BM26" s="27"/>
      <c r="BN26" s="27"/>
      <c r="BO26" s="27"/>
      <c r="BP26" s="27"/>
      <c r="BR26" s="11"/>
      <c r="BT26" s="27"/>
      <c r="BU26" s="27"/>
      <c r="BV26" s="27"/>
      <c r="BW26" s="27"/>
      <c r="BY26" s="11"/>
      <c r="CA26" s="27"/>
      <c r="CB26" s="27"/>
      <c r="CC26" s="27"/>
      <c r="CD26" s="27"/>
      <c r="CF26" s="11"/>
      <c r="CH26" s="27"/>
      <c r="CI26" s="27"/>
      <c r="CJ26" s="27"/>
      <c r="CK26" s="27"/>
      <c r="CM26" s="11"/>
      <c r="CO26" s="27"/>
      <c r="CP26" s="27"/>
      <c r="CQ26" s="27"/>
      <c r="CR26" s="27"/>
      <c r="CT26" s="11"/>
      <c r="CV26" s="27"/>
      <c r="CW26" s="27"/>
      <c r="CX26" s="27"/>
      <c r="CY26" s="27"/>
      <c r="DA26" s="11"/>
      <c r="DC26" s="27"/>
      <c r="DD26" s="27"/>
      <c r="DE26" s="27"/>
      <c r="DF26" s="27"/>
      <c r="DH26" s="11"/>
      <c r="DJ26" s="27"/>
      <c r="DK26" s="27"/>
      <c r="DL26" s="27"/>
      <c r="DM26" s="27"/>
      <c r="DO26" s="11"/>
      <c r="DQ26" s="27"/>
      <c r="DR26" s="27"/>
      <c r="DS26" s="27"/>
      <c r="DT26" s="27"/>
    </row>
    <row r="27" ht="15.75" customHeight="1" collapsed="1">
      <c r="C27" s="8"/>
      <c r="BD27" s="11"/>
      <c r="BR27" s="11"/>
      <c r="BY27" s="11"/>
      <c r="CF27" s="11"/>
      <c r="CM27" s="11"/>
      <c r="CT27" s="11"/>
      <c r="DA27" s="11"/>
      <c r="DH27" s="11"/>
      <c r="DO27" s="11"/>
    </row>
    <row r="28" ht="15.75" customHeight="1">
      <c r="B28" s="6" t="s">
        <v>26</v>
      </c>
      <c r="C28" s="24" t="s">
        <v>75</v>
      </c>
      <c r="D28" s="25">
        <v>44862.0</v>
      </c>
      <c r="E28" s="32">
        <v>3.0</v>
      </c>
      <c r="G28" s="27">
        <f>+SUM(G29:G33)</f>
        <v>1</v>
      </c>
      <c r="I28" s="28">
        <f>+SUM(I29:I33)</f>
        <v>41.5</v>
      </c>
      <c r="J28" s="29">
        <f>+SUMPRODUCT(G29:G33,J29:J33)</f>
        <v>1</v>
      </c>
      <c r="K28" s="29">
        <f>+SUMPRODUCT(G29:G33,K29:K33)</f>
        <v>1</v>
      </c>
      <c r="L28" s="26"/>
      <c r="O28" s="28">
        <f>SUM(O29:O33)</f>
        <v>10</v>
      </c>
      <c r="V28" s="40">
        <f>SUM(V29:V33)</f>
        <v>2.5</v>
      </c>
      <c r="AC28" s="28"/>
      <c r="AJ28" s="28">
        <f>SUM(AJ29:AJ33)</f>
        <v>0</v>
      </c>
      <c r="AQ28" s="28">
        <f>SUM(AQ29:AQ33)</f>
        <v>0</v>
      </c>
      <c r="AX28" s="40">
        <f>SUM(AX29:AX33)</f>
        <v>5</v>
      </c>
      <c r="BD28" s="11"/>
      <c r="BE28" s="28">
        <f>SUM(BE29:BE33)</f>
        <v>5</v>
      </c>
      <c r="BL28" s="28"/>
      <c r="BR28" s="11"/>
      <c r="BS28" s="6">
        <f>SUM(BS29:BS33)</f>
        <v>19</v>
      </c>
      <c r="BY28" s="11"/>
      <c r="BZ28" s="28"/>
      <c r="CF28" s="11"/>
      <c r="CG28" s="28"/>
      <c r="CM28" s="11"/>
      <c r="CN28" s="28"/>
      <c r="CT28" s="11"/>
      <c r="CU28" s="28"/>
      <c r="DA28" s="11"/>
      <c r="DB28" s="28">
        <f>SUM(DB29:DB33)</f>
        <v>0</v>
      </c>
      <c r="DH28" s="11"/>
      <c r="DI28" s="28">
        <f>SUM(DI29:DI33)</f>
        <v>0</v>
      </c>
      <c r="DO28" s="11"/>
      <c r="DP28" s="28"/>
    </row>
    <row r="29" ht="15.75" hidden="1" customHeight="1" outlineLevel="1">
      <c r="B29" s="6" t="s">
        <v>56</v>
      </c>
      <c r="C29" s="24" t="s">
        <v>76</v>
      </c>
      <c r="E29" s="26"/>
      <c r="F29" s="5" t="s">
        <v>128</v>
      </c>
      <c r="G29" s="30">
        <v>0.2</v>
      </c>
      <c r="I29" s="26">
        <f t="shared" ref="I29:I33" si="3">+SUMIF($N$3:$ACM$3,I$3,$N29:$ACM29)</f>
        <v>7</v>
      </c>
      <c r="J29" s="29">
        <f t="array" ref="J29">MAX(IF($N$3:$GU$3=$J$3,N29:GU29))</f>
        <v>1</v>
      </c>
      <c r="K29" s="29">
        <f t="array" ref="K29">MAX(IF($N$3:$GU$3=$J$3,N29:GU29))</f>
        <v>1</v>
      </c>
      <c r="L29" s="26"/>
      <c r="O29" s="5">
        <v>5.0</v>
      </c>
      <c r="P29" s="30">
        <v>0.8</v>
      </c>
      <c r="Q29" s="30">
        <v>0.8</v>
      </c>
      <c r="R29" s="27"/>
      <c r="S29" s="30"/>
      <c r="T29" s="5">
        <v>2.0</v>
      </c>
      <c r="V29" s="5">
        <v>0.5</v>
      </c>
      <c r="W29" s="30">
        <v>0.8</v>
      </c>
      <c r="X29" s="30">
        <v>0.8</v>
      </c>
      <c r="Y29" s="27"/>
      <c r="Z29" s="30"/>
      <c r="AA29" s="5">
        <v>2.0</v>
      </c>
      <c r="AD29" s="30">
        <v>0.8</v>
      </c>
      <c r="AE29" s="30">
        <v>0.8</v>
      </c>
      <c r="AF29" s="30"/>
      <c r="AG29" s="30"/>
      <c r="AK29" s="30">
        <v>0.8</v>
      </c>
      <c r="AL29" s="30">
        <v>1.0</v>
      </c>
      <c r="AM29" s="27"/>
      <c r="AN29" s="30"/>
      <c r="AR29" s="30">
        <v>0.8</v>
      </c>
      <c r="AS29" s="30">
        <v>1.0</v>
      </c>
      <c r="AT29" s="27"/>
      <c r="AU29" s="30"/>
      <c r="AY29" s="30">
        <v>0.9</v>
      </c>
      <c r="AZ29" s="30">
        <v>1.0</v>
      </c>
      <c r="BA29" s="27"/>
      <c r="BD29" s="11"/>
      <c r="BE29" s="5">
        <v>1.5</v>
      </c>
      <c r="BF29" s="30">
        <v>1.0</v>
      </c>
      <c r="BG29" s="30">
        <v>1.0</v>
      </c>
      <c r="BH29" s="27"/>
      <c r="BI29" s="30"/>
      <c r="BM29" s="27"/>
      <c r="BN29" s="30"/>
      <c r="BO29" s="27"/>
      <c r="BP29" s="30"/>
      <c r="BR29" s="11"/>
      <c r="BT29" s="27"/>
      <c r="BU29" s="30"/>
      <c r="BV29" s="27"/>
      <c r="BW29" s="30"/>
      <c r="BY29" s="11"/>
      <c r="CA29" s="27"/>
      <c r="CB29" s="30"/>
      <c r="CC29" s="27"/>
      <c r="CD29" s="30"/>
      <c r="CF29" s="11"/>
      <c r="CH29" s="27"/>
      <c r="CI29" s="30"/>
      <c r="CJ29" s="27"/>
      <c r="CK29" s="30"/>
      <c r="CM29" s="11"/>
      <c r="CO29" s="27"/>
      <c r="CP29" s="30"/>
      <c r="CQ29" s="27"/>
      <c r="CR29" s="30"/>
      <c r="CT29" s="11"/>
      <c r="CV29" s="27"/>
      <c r="CW29" s="30"/>
      <c r="CX29" s="27"/>
      <c r="CY29" s="30"/>
      <c r="DA29" s="11"/>
      <c r="DC29" s="27"/>
      <c r="DD29" s="27"/>
      <c r="DE29" s="27"/>
      <c r="DF29" s="27"/>
      <c r="DH29" s="11"/>
      <c r="DJ29" s="27"/>
      <c r="DK29" s="27"/>
      <c r="DL29" s="27"/>
      <c r="DM29" s="27"/>
      <c r="DO29" s="11"/>
      <c r="DQ29" s="27"/>
      <c r="DR29" s="27"/>
      <c r="DS29" s="27"/>
      <c r="DT29" s="27"/>
    </row>
    <row r="30" ht="15.75" hidden="1" customHeight="1" outlineLevel="1">
      <c r="B30" s="6" t="s">
        <v>56</v>
      </c>
      <c r="C30" s="24" t="s">
        <v>76</v>
      </c>
      <c r="E30" s="26"/>
      <c r="F30" s="5" t="s">
        <v>129</v>
      </c>
      <c r="G30" s="30">
        <v>0.15</v>
      </c>
      <c r="I30" s="26">
        <f t="shared" si="3"/>
        <v>3</v>
      </c>
      <c r="J30" s="29">
        <f t="array" ref="J30">MAX(IF($N$3:$GU$3=$J$3,N30:GU30))</f>
        <v>1</v>
      </c>
      <c r="K30" s="29">
        <f t="array" ref="K30">MAX(IF($N$3:$GU$3=$J$3,N30:GU30))</f>
        <v>1</v>
      </c>
      <c r="L30" s="26"/>
      <c r="O30" s="5">
        <v>2.0</v>
      </c>
      <c r="P30" s="30">
        <v>0.6</v>
      </c>
      <c r="Q30" s="30">
        <v>0.8</v>
      </c>
      <c r="R30" s="27"/>
      <c r="S30" s="30"/>
      <c r="W30" s="30">
        <v>0.6</v>
      </c>
      <c r="X30" s="30">
        <v>0.8</v>
      </c>
      <c r="Y30" s="27"/>
      <c r="Z30" s="30"/>
      <c r="AD30" s="30">
        <v>0.6</v>
      </c>
      <c r="AE30" s="30">
        <v>0.8</v>
      </c>
      <c r="AF30" s="30"/>
      <c r="AG30" s="30"/>
      <c r="AK30" s="30">
        <v>0.6</v>
      </c>
      <c r="AL30" s="30">
        <v>1.0</v>
      </c>
      <c r="AM30" s="27"/>
      <c r="AN30" s="30"/>
      <c r="AR30" s="30">
        <v>0.6</v>
      </c>
      <c r="AS30" s="30">
        <v>1.0</v>
      </c>
      <c r="AT30" s="27"/>
      <c r="AU30" s="30"/>
      <c r="AY30" s="30">
        <v>1.0</v>
      </c>
      <c r="AZ30" s="30">
        <v>1.0</v>
      </c>
      <c r="BA30" s="27"/>
      <c r="BD30" s="11"/>
      <c r="BE30" s="5">
        <v>1.0</v>
      </c>
      <c r="BF30" s="30">
        <v>1.0</v>
      </c>
      <c r="BG30" s="30">
        <v>1.0</v>
      </c>
      <c r="BH30" s="27"/>
      <c r="BI30" s="30"/>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J30" s="27"/>
      <c r="DK30" s="27"/>
      <c r="DL30" s="27"/>
      <c r="DM30" s="27"/>
      <c r="DO30" s="11"/>
      <c r="DQ30" s="27"/>
      <c r="DR30" s="27"/>
      <c r="DS30" s="27"/>
      <c r="DT30" s="27"/>
    </row>
    <row r="31" ht="15.75" hidden="1" customHeight="1" outlineLevel="1">
      <c r="B31" s="6" t="s">
        <v>56</v>
      </c>
      <c r="C31" s="24" t="s">
        <v>76</v>
      </c>
      <c r="E31" s="26"/>
      <c r="F31" s="5" t="s">
        <v>130</v>
      </c>
      <c r="G31" s="30">
        <v>0.25</v>
      </c>
      <c r="I31" s="26">
        <f t="shared" si="3"/>
        <v>8</v>
      </c>
      <c r="J31" s="29">
        <f t="array" ref="J31">MAX(IF($N$3:$GU$3=$J$3,N31:GU31))</f>
        <v>1</v>
      </c>
      <c r="K31" s="29">
        <f t="array" ref="K31">MAX(IF($N$3:$GU$3=$J$3,N31:GU31))</f>
        <v>1</v>
      </c>
      <c r="L31" s="26"/>
      <c r="O31" s="5">
        <v>3.0</v>
      </c>
      <c r="P31" s="30">
        <v>0.3</v>
      </c>
      <c r="Q31" s="30">
        <v>0.5</v>
      </c>
      <c r="R31" s="27"/>
      <c r="S31" s="30"/>
      <c r="V31" s="5">
        <v>2.0</v>
      </c>
      <c r="W31" s="30">
        <v>0.5</v>
      </c>
      <c r="X31" s="30">
        <v>0.8</v>
      </c>
      <c r="Y31" s="27"/>
      <c r="Z31" s="30"/>
      <c r="AD31" s="30">
        <v>0.8</v>
      </c>
      <c r="AE31" s="30">
        <v>0.8</v>
      </c>
      <c r="AF31" s="30"/>
      <c r="AG31" s="30"/>
      <c r="AK31" s="30">
        <v>0.3</v>
      </c>
      <c r="AL31" s="30">
        <v>0.8</v>
      </c>
      <c r="AM31" s="27"/>
      <c r="AN31" s="30"/>
      <c r="AR31" s="30">
        <v>0.3</v>
      </c>
      <c r="AS31" s="30">
        <v>1.0</v>
      </c>
      <c r="AT31" s="27"/>
      <c r="AU31" s="30"/>
      <c r="AX31" s="5">
        <v>1.5</v>
      </c>
      <c r="AY31" s="30">
        <v>0.8</v>
      </c>
      <c r="AZ31" s="30">
        <v>1.0</v>
      </c>
      <c r="BA31" s="27"/>
      <c r="BD31" s="11"/>
      <c r="BE31" s="5">
        <v>1.5</v>
      </c>
      <c r="BF31" s="30">
        <v>1.0</v>
      </c>
      <c r="BG31" s="30">
        <v>1.0</v>
      </c>
      <c r="BH31" s="32"/>
      <c r="BI31" s="32"/>
      <c r="BM31" s="32" t="s">
        <v>120</v>
      </c>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32" t="s">
        <v>71</v>
      </c>
      <c r="DH31" s="11"/>
      <c r="DJ31" s="32" t="s">
        <v>71</v>
      </c>
      <c r="DO31" s="11"/>
      <c r="DQ31" s="32" t="s">
        <v>120</v>
      </c>
    </row>
    <row r="32" ht="15.75" hidden="1" customHeight="1" outlineLevel="1">
      <c r="B32" s="6" t="s">
        <v>56</v>
      </c>
      <c r="C32" s="24" t="s">
        <v>76</v>
      </c>
      <c r="E32" s="26"/>
      <c r="F32" s="5" t="s">
        <v>131</v>
      </c>
      <c r="G32" s="30">
        <v>0.2</v>
      </c>
      <c r="I32" s="26">
        <f t="shared" si="3"/>
        <v>4.5</v>
      </c>
      <c r="J32" s="29">
        <f t="array" ref="J32">MAX(IF($N$3:$GU$3=$J$3,N32:GU32))</f>
        <v>1</v>
      </c>
      <c r="K32" s="29">
        <f t="array" ref="K32">MAX(IF($N$3:$GU$3=$J$3,N32:GU32))</f>
        <v>1</v>
      </c>
      <c r="L32" s="26"/>
      <c r="P32" s="30">
        <v>0.1</v>
      </c>
      <c r="Q32" s="30">
        <v>0.0</v>
      </c>
      <c r="R32" s="27"/>
      <c r="S32" s="30"/>
      <c r="W32" s="30">
        <v>0.1</v>
      </c>
      <c r="X32" s="30">
        <v>0.5</v>
      </c>
      <c r="Y32" s="27"/>
      <c r="Z32" s="30"/>
      <c r="AD32" s="30">
        <v>0.3</v>
      </c>
      <c r="AE32" s="30">
        <v>0.8</v>
      </c>
      <c r="AF32" s="30"/>
      <c r="AG32" s="30"/>
      <c r="AK32" s="30">
        <v>0.8</v>
      </c>
      <c r="AL32" s="30">
        <v>0.8</v>
      </c>
      <c r="AM32" s="27"/>
      <c r="AN32" s="30"/>
      <c r="AR32" s="30">
        <v>0.8</v>
      </c>
      <c r="AS32" s="30">
        <v>0.8</v>
      </c>
      <c r="AT32" s="27"/>
      <c r="AU32" s="30"/>
      <c r="AX32" s="5">
        <v>3.5</v>
      </c>
      <c r="AY32" s="30">
        <v>0.8</v>
      </c>
      <c r="AZ32" s="30">
        <v>1.0</v>
      </c>
      <c r="BA32" s="27"/>
      <c r="BD32" s="11"/>
      <c r="BE32" s="5">
        <v>1.0</v>
      </c>
      <c r="BF32" s="30">
        <v>1.0</v>
      </c>
      <c r="BG32" s="30">
        <v>1.0</v>
      </c>
      <c r="BH32" s="27"/>
      <c r="BI32" s="30"/>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J32" s="27"/>
      <c r="DK32" s="27"/>
      <c r="DL32" s="27"/>
      <c r="DM32" s="27"/>
      <c r="DO32" s="11"/>
      <c r="DQ32" s="27"/>
      <c r="DR32" s="27"/>
      <c r="DS32" s="27"/>
      <c r="DT32" s="27"/>
    </row>
    <row r="33" ht="15.75" hidden="1" customHeight="1" outlineLevel="1">
      <c r="B33" s="6" t="s">
        <v>56</v>
      </c>
      <c r="C33" s="24" t="s">
        <v>76</v>
      </c>
      <c r="E33" s="26"/>
      <c r="F33" s="5" t="s">
        <v>132</v>
      </c>
      <c r="G33" s="30">
        <v>0.2</v>
      </c>
      <c r="I33" s="26">
        <f t="shared" si="3"/>
        <v>19</v>
      </c>
      <c r="J33" s="29">
        <f t="array" ref="J33">MAX(IF($N$3:$GU$3=$J$3,N33:GU33))</f>
        <v>1</v>
      </c>
      <c r="K33" s="29">
        <f t="array" ref="K33">MAX(IF($N$3:$GU$3=$J$3,N33:GU33))</f>
        <v>1</v>
      </c>
      <c r="L33" s="26"/>
      <c r="P33" s="27"/>
      <c r="Q33" s="30">
        <v>0.0</v>
      </c>
      <c r="R33" s="27"/>
      <c r="S33" s="30"/>
      <c r="W33" s="27"/>
      <c r="X33" s="30">
        <v>0.0</v>
      </c>
      <c r="Y33" s="27"/>
      <c r="Z33" s="30"/>
      <c r="AD33" s="27"/>
      <c r="AE33" s="30">
        <v>0.5</v>
      </c>
      <c r="AF33" s="27"/>
      <c r="AG33" s="30"/>
      <c r="AK33" s="27"/>
      <c r="AL33" s="30">
        <v>0.5</v>
      </c>
      <c r="AM33" s="27"/>
      <c r="AN33" s="30"/>
      <c r="AR33" s="27"/>
      <c r="AS33" s="30">
        <v>0.8</v>
      </c>
      <c r="AT33" s="27"/>
      <c r="AU33" s="30"/>
      <c r="AY33" s="27"/>
      <c r="AZ33" s="30">
        <v>1.0</v>
      </c>
      <c r="BA33" s="27"/>
      <c r="BD33" s="11"/>
      <c r="BF33" s="30">
        <v>1.0</v>
      </c>
      <c r="BG33" s="30">
        <v>1.0</v>
      </c>
      <c r="BH33" s="27"/>
      <c r="BI33" s="30"/>
      <c r="BM33" s="27"/>
      <c r="BN33" s="30"/>
      <c r="BO33" s="27"/>
      <c r="BP33" s="30"/>
      <c r="BR33" s="11"/>
      <c r="BS33" s="5">
        <v>19.0</v>
      </c>
      <c r="BT33" s="27"/>
      <c r="BU33" s="30"/>
      <c r="BV33" s="27"/>
      <c r="BW33" s="30"/>
      <c r="BY33" s="11"/>
      <c r="CA33" s="27"/>
      <c r="CB33" s="30"/>
      <c r="CC33" s="27"/>
      <c r="CD33" s="30"/>
      <c r="CF33" s="11"/>
      <c r="CH33" s="27"/>
      <c r="CI33" s="30"/>
      <c r="CJ33" s="27"/>
      <c r="CK33" s="30"/>
      <c r="CM33" s="11"/>
      <c r="CO33" s="27"/>
      <c r="CP33" s="30"/>
      <c r="CQ33" s="27"/>
      <c r="CR33" s="30"/>
      <c r="CT33" s="11"/>
      <c r="CV33" s="27"/>
      <c r="CW33" s="30"/>
      <c r="CX33" s="27"/>
      <c r="CY33" s="30"/>
      <c r="DA33" s="11"/>
      <c r="DC33" s="27"/>
      <c r="DD33" s="27"/>
      <c r="DE33" s="27"/>
      <c r="DF33" s="27"/>
      <c r="DH33" s="11"/>
      <c r="DJ33" s="27"/>
      <c r="DK33" s="27"/>
      <c r="DL33" s="27"/>
      <c r="DM33" s="27"/>
      <c r="DO33" s="11"/>
      <c r="DQ33" s="27"/>
      <c r="DR33" s="27"/>
      <c r="DS33" s="27"/>
      <c r="DT33" s="27"/>
    </row>
    <row r="34" ht="15.75" customHeight="1" collapsed="1">
      <c r="C34" s="8"/>
      <c r="BD34" s="11"/>
      <c r="BR34" s="11"/>
      <c r="BY34" s="11"/>
      <c r="CF34" s="11"/>
      <c r="CM34" s="11"/>
      <c r="CT34" s="11"/>
      <c r="DA34" s="11"/>
      <c r="DH34" s="11"/>
      <c r="DO34" s="11"/>
    </row>
    <row r="35" ht="15.75" customHeight="1">
      <c r="B35" s="6" t="s">
        <v>26</v>
      </c>
      <c r="C35" s="24" t="s">
        <v>75</v>
      </c>
      <c r="D35" s="25">
        <v>44862.0</v>
      </c>
      <c r="E35" s="32">
        <v>3.0</v>
      </c>
      <c r="G35" s="27">
        <f>+SUM(G36:G38)</f>
        <v>1</v>
      </c>
      <c r="I35" s="28">
        <f>+SUM(I36:I38)</f>
        <v>49.5</v>
      </c>
      <c r="J35" s="29">
        <f>+SUMPRODUCT(G36:G38,J36:J38)</f>
        <v>1</v>
      </c>
      <c r="K35" s="29">
        <f>+SUMPRODUCT(G36:G38,K36:K38)</f>
        <v>1</v>
      </c>
      <c r="L35" s="26"/>
      <c r="O35" s="28">
        <f>SUM(O36:O38)</f>
        <v>0</v>
      </c>
      <c r="V35" s="28"/>
      <c r="AC35" s="28"/>
      <c r="AJ35" s="37">
        <f>SUM(AJ36:AJ38)</f>
        <v>11</v>
      </c>
      <c r="AQ35" s="37">
        <f>SUM(AQ36:AQ38)</f>
        <v>18</v>
      </c>
      <c r="AX35" s="37">
        <f>SUM(AX36:AX38)</f>
        <v>6</v>
      </c>
      <c r="BD35" s="11"/>
      <c r="BE35" s="28">
        <f>SUM(BE36:BE38)</f>
        <v>14.5</v>
      </c>
      <c r="BL35" s="28"/>
      <c r="BR35" s="11"/>
      <c r="BS35" s="28"/>
      <c r="BY35" s="11"/>
      <c r="BZ35" s="28"/>
      <c r="CF35" s="11"/>
      <c r="CG35" s="28"/>
      <c r="CM35" s="11"/>
      <c r="CN35" s="28"/>
      <c r="CT35" s="11"/>
      <c r="CU35" s="28"/>
      <c r="DA35" s="28"/>
      <c r="DB35" s="28"/>
      <c r="DH35" s="11"/>
      <c r="DI35" s="28"/>
      <c r="DO35" s="11"/>
      <c r="DP35" s="28"/>
    </row>
    <row r="36" ht="15.75" hidden="1" customHeight="1" outlineLevel="1">
      <c r="B36" s="6" t="s">
        <v>56</v>
      </c>
      <c r="C36" s="24" t="s">
        <v>85</v>
      </c>
      <c r="E36" s="26"/>
      <c r="F36" s="5" t="s">
        <v>133</v>
      </c>
      <c r="G36" s="30">
        <v>0.8</v>
      </c>
      <c r="I36" s="26">
        <f t="shared" ref="I36:I38" si="4">+SUMIF($N$3:$ACM$3,I$3,$N36:$ACM36)</f>
        <v>18.5</v>
      </c>
      <c r="J36" s="29">
        <f t="array" ref="J36">MAX(IF($N$3:$GU$3=$J$3,N36:GU36))</f>
        <v>1</v>
      </c>
      <c r="K36" s="29">
        <f t="array" ref="K36">MAX(IF($N$3:$GU$3=$J$3,N36:GU36))</f>
        <v>1</v>
      </c>
      <c r="L36" s="26"/>
      <c r="P36" s="27"/>
      <c r="Q36" s="30"/>
      <c r="R36" s="27"/>
      <c r="S36" s="30"/>
      <c r="W36" s="27"/>
      <c r="X36" s="30"/>
      <c r="Y36" s="27"/>
      <c r="Z36" s="30"/>
      <c r="AD36" s="27"/>
      <c r="AE36" s="30"/>
      <c r="AF36" s="27"/>
      <c r="AG36" s="30"/>
      <c r="AJ36" s="5">
        <v>8.0</v>
      </c>
      <c r="AK36" s="30">
        <v>0.8</v>
      </c>
      <c r="AL36" s="30">
        <v>0.8</v>
      </c>
      <c r="AM36" s="27"/>
      <c r="AN36" s="30"/>
      <c r="AQ36" s="5">
        <v>5.0</v>
      </c>
      <c r="AR36" s="30">
        <v>0.8</v>
      </c>
      <c r="AS36" s="30">
        <v>0.8</v>
      </c>
      <c r="AT36" s="27"/>
      <c r="AY36" s="30">
        <v>0.8</v>
      </c>
      <c r="AZ36" s="30">
        <v>1.0</v>
      </c>
      <c r="BA36" s="27"/>
      <c r="BD36" s="11"/>
      <c r="BE36" s="5">
        <v>5.5</v>
      </c>
      <c r="BF36" s="30">
        <v>1.0</v>
      </c>
      <c r="BG36" s="30">
        <v>1.0</v>
      </c>
      <c r="BH36" s="27"/>
      <c r="BM36" s="27"/>
      <c r="BN36" s="30"/>
      <c r="BO36" s="27"/>
      <c r="BP36" s="30"/>
      <c r="BR36" s="11"/>
      <c r="BT36" s="27"/>
      <c r="BU36" s="30"/>
      <c r="BV36" s="27"/>
      <c r="BW36" s="30"/>
      <c r="BY36" s="11"/>
      <c r="CA36" s="27"/>
      <c r="CB36" s="30"/>
      <c r="CC36" s="27"/>
      <c r="CD36" s="30"/>
      <c r="CF36" s="11"/>
      <c r="CH36" s="27"/>
      <c r="CI36" s="30"/>
      <c r="CJ36" s="27"/>
      <c r="CK36" s="30"/>
      <c r="CM36" s="11"/>
      <c r="CO36" s="27"/>
      <c r="CP36" s="30"/>
      <c r="CQ36" s="27"/>
      <c r="CR36" s="30"/>
      <c r="CT36" s="11"/>
      <c r="CV36" s="27"/>
      <c r="CW36" s="30"/>
      <c r="CX36" s="27"/>
      <c r="CY36" s="30"/>
      <c r="DA36" s="11"/>
      <c r="DC36" s="27"/>
      <c r="DD36" s="27"/>
      <c r="DE36" s="27"/>
      <c r="DF36" s="27"/>
      <c r="DH36" s="11"/>
      <c r="DJ36" s="27"/>
      <c r="DK36" s="27"/>
      <c r="DL36" s="27"/>
      <c r="DM36" s="27"/>
      <c r="DO36" s="11"/>
      <c r="DQ36" s="27"/>
      <c r="DR36" s="27"/>
      <c r="DS36" s="27"/>
      <c r="DT36" s="27"/>
    </row>
    <row r="37" ht="15.75" hidden="1" customHeight="1" outlineLevel="1">
      <c r="B37" s="6" t="s">
        <v>56</v>
      </c>
      <c r="C37" s="24" t="s">
        <v>85</v>
      </c>
      <c r="E37" s="26"/>
      <c r="F37" s="5" t="s">
        <v>134</v>
      </c>
      <c r="G37" s="30">
        <v>0.1</v>
      </c>
      <c r="I37" s="26">
        <f t="shared" si="4"/>
        <v>16</v>
      </c>
      <c r="J37" s="29">
        <f t="array" ref="J37">MAX(IF($N$3:$GU$3=$J$3,N37:GU37))</f>
        <v>1</v>
      </c>
      <c r="K37" s="29">
        <f t="array" ref="K37">MAX(IF($N$3:$GU$3=$J$3,N37:GU37))</f>
        <v>1</v>
      </c>
      <c r="L37" s="26"/>
      <c r="P37" s="27"/>
      <c r="Q37" s="30"/>
      <c r="R37" s="27"/>
      <c r="S37" s="30"/>
      <c r="W37" s="27"/>
      <c r="X37" s="30"/>
      <c r="Y37" s="27"/>
      <c r="Z37" s="30"/>
      <c r="AD37" s="27"/>
      <c r="AE37" s="30"/>
      <c r="AF37" s="27"/>
      <c r="AG37" s="30"/>
      <c r="AJ37" s="5">
        <v>3.0</v>
      </c>
      <c r="AK37" s="30">
        <v>0.2</v>
      </c>
      <c r="AL37" s="30">
        <v>0.5</v>
      </c>
      <c r="AM37" s="27"/>
      <c r="AN37" s="30"/>
      <c r="AQ37" s="5">
        <v>13.0</v>
      </c>
      <c r="AR37" s="30">
        <v>1.0</v>
      </c>
      <c r="AS37" s="30">
        <v>1.0</v>
      </c>
      <c r="AT37" s="27"/>
      <c r="AY37" s="30">
        <v>1.0</v>
      </c>
      <c r="AZ37" s="30">
        <v>0.8</v>
      </c>
      <c r="BA37" s="27"/>
      <c r="BD37" s="11"/>
      <c r="BF37" s="30">
        <v>1.0</v>
      </c>
      <c r="BG37" s="30">
        <v>1.0</v>
      </c>
      <c r="BH37" s="27"/>
      <c r="BM37" s="32" t="s">
        <v>120</v>
      </c>
      <c r="BR37" s="11"/>
      <c r="BT37" s="27"/>
      <c r="BU37" s="30"/>
      <c r="BV37" s="27"/>
      <c r="BW37" s="30"/>
      <c r="BY37" s="11"/>
      <c r="CA37" s="27"/>
      <c r="CB37" s="30"/>
      <c r="CC37" s="27"/>
      <c r="CD37" s="30"/>
      <c r="CF37" s="11"/>
      <c r="CH37" s="27"/>
      <c r="CI37" s="30"/>
      <c r="CJ37" s="27"/>
      <c r="CK37" s="30"/>
      <c r="CM37" s="11"/>
      <c r="CO37" s="27"/>
      <c r="CP37" s="30"/>
      <c r="CQ37" s="27"/>
      <c r="CR37" s="30"/>
      <c r="CT37" s="11"/>
      <c r="CV37" s="27"/>
      <c r="CW37" s="30"/>
      <c r="CX37" s="27"/>
      <c r="CY37" s="30"/>
      <c r="DA37" s="11"/>
      <c r="DC37" s="27"/>
      <c r="DD37" s="27"/>
      <c r="DE37" s="27"/>
      <c r="DF37" s="27"/>
      <c r="DH37" s="11"/>
      <c r="DJ37" s="27"/>
      <c r="DK37" s="27"/>
      <c r="DL37" s="27"/>
      <c r="DM37" s="27"/>
      <c r="DO37" s="11"/>
      <c r="DQ37" s="27"/>
      <c r="DR37" s="27"/>
      <c r="DS37" s="27"/>
      <c r="DT37" s="27"/>
    </row>
    <row r="38" ht="15.75" hidden="1" customHeight="1" outlineLevel="1">
      <c r="B38" s="6" t="s">
        <v>56</v>
      </c>
      <c r="C38" s="24" t="s">
        <v>85</v>
      </c>
      <c r="E38" s="26"/>
      <c r="F38" s="5" t="s">
        <v>135</v>
      </c>
      <c r="G38" s="30">
        <v>0.1</v>
      </c>
      <c r="I38" s="26">
        <f t="shared" si="4"/>
        <v>15</v>
      </c>
      <c r="J38" s="29">
        <f t="array" ref="J38">MAX(IF($N$3:$GU$3=$J$3,N38:GU38))</f>
        <v>1</v>
      </c>
      <c r="K38" s="29">
        <f t="array" ref="K38">MAX(IF($N$3:$GU$3=$J$3,N38:GU38))</f>
        <v>1</v>
      </c>
      <c r="L38" s="26"/>
      <c r="P38" s="27"/>
      <c r="Q38" s="27"/>
      <c r="R38" s="27"/>
      <c r="S38" s="30"/>
      <c r="W38" s="27"/>
      <c r="X38" s="27"/>
      <c r="Y38" s="27"/>
      <c r="Z38" s="30"/>
      <c r="AD38" s="27"/>
      <c r="AE38" s="30"/>
      <c r="AF38" s="27"/>
      <c r="AG38" s="30"/>
      <c r="AK38" s="27"/>
      <c r="AL38" s="30">
        <v>0.0</v>
      </c>
      <c r="AM38" s="27"/>
      <c r="AN38" s="30"/>
      <c r="AR38" s="27"/>
      <c r="AS38" s="30">
        <v>0.5</v>
      </c>
      <c r="AT38" s="27"/>
      <c r="AX38" s="5">
        <v>6.0</v>
      </c>
      <c r="AY38" s="30">
        <v>0.4</v>
      </c>
      <c r="AZ38" s="30">
        <v>1.0</v>
      </c>
      <c r="BA38" s="27"/>
      <c r="BD38" s="11"/>
      <c r="BE38" s="5">
        <v>9.0</v>
      </c>
      <c r="BF38" s="30">
        <v>1.0</v>
      </c>
      <c r="BG38" s="30">
        <v>1.0</v>
      </c>
      <c r="BH38" s="27"/>
      <c r="BM38" s="27"/>
      <c r="BN38" s="30"/>
      <c r="BO38" s="27"/>
      <c r="BP38" s="30"/>
      <c r="BR38" s="11"/>
      <c r="BT38" s="27"/>
      <c r="BU38" s="30"/>
      <c r="BV38" s="27"/>
      <c r="BW38" s="30"/>
      <c r="BY38" s="11"/>
      <c r="CA38" s="27"/>
      <c r="CB38" s="30"/>
      <c r="CC38" s="27"/>
      <c r="CD38" s="30"/>
      <c r="CF38" s="11"/>
      <c r="CH38" s="27"/>
      <c r="CI38" s="30"/>
      <c r="CJ38" s="27"/>
      <c r="CK38" s="30"/>
      <c r="CM38" s="11"/>
      <c r="CO38" s="27"/>
      <c r="CP38" s="30"/>
      <c r="CQ38" s="27"/>
      <c r="CR38" s="30"/>
      <c r="CT38" s="11"/>
      <c r="CV38" s="27"/>
      <c r="CW38" s="30"/>
      <c r="CX38" s="27"/>
      <c r="CY38" s="30"/>
      <c r="DA38" s="11"/>
      <c r="DC38" s="27"/>
      <c r="DD38" s="27"/>
      <c r="DE38" s="27"/>
      <c r="DF38" s="27"/>
      <c r="DH38" s="11"/>
      <c r="DJ38" s="27"/>
      <c r="DK38" s="27"/>
      <c r="DL38" s="27"/>
      <c r="DM38" s="27"/>
      <c r="DO38" s="11"/>
      <c r="DQ38" s="27"/>
      <c r="DR38" s="27"/>
      <c r="DS38" s="27"/>
      <c r="DT38" s="27"/>
    </row>
    <row r="39" ht="15.75" customHeight="1" collapsed="1">
      <c r="C39" s="8"/>
      <c r="BD39" s="11"/>
      <c r="BR39" s="11"/>
      <c r="BY39" s="11"/>
      <c r="CF39" s="11"/>
      <c r="CM39" s="11"/>
      <c r="CT39" s="11"/>
      <c r="DA39" s="11"/>
      <c r="DH39" s="11"/>
      <c r="DO39" s="11"/>
    </row>
    <row r="40" ht="15.75" customHeight="1">
      <c r="B40" s="6" t="s">
        <v>26</v>
      </c>
      <c r="C40" s="24" t="s">
        <v>86</v>
      </c>
      <c r="D40" s="25">
        <v>44888.0</v>
      </c>
      <c r="E40" s="32">
        <v>3.0</v>
      </c>
      <c r="G40" s="27">
        <f>+SUM(G41:G48)</f>
        <v>1</v>
      </c>
      <c r="I40" s="28">
        <f>+SUM(I41:I48)</f>
        <v>31</v>
      </c>
      <c r="J40" s="29">
        <f>+SUMPRODUCT(G41:G48,J41:J48)</f>
        <v>0.91</v>
      </c>
      <c r="K40" s="29">
        <f>+SUMPRODUCT(G41:G48,K41:K48)</f>
        <v>0.91</v>
      </c>
      <c r="L40" s="26"/>
      <c r="O40" s="37">
        <f>SUM(O41:O48)</f>
        <v>3</v>
      </c>
      <c r="V40" s="37">
        <f>SUM(V41:V48)</f>
        <v>8</v>
      </c>
      <c r="AC40" s="28">
        <f>SUM(AC41:AC48)</f>
        <v>14.5</v>
      </c>
      <c r="AJ40" s="28">
        <f>SUM(AJ41:AJ48)</f>
        <v>1</v>
      </c>
      <c r="AQ40" s="28">
        <f>SUM(AQ41:AQ48)</f>
        <v>0</v>
      </c>
      <c r="AX40" s="37">
        <f>SUM(AX41:AX48)</f>
        <v>1.5</v>
      </c>
      <c r="BD40" s="11"/>
      <c r="BE40" s="28">
        <f>SUM(BE41:BE48)</f>
        <v>0</v>
      </c>
      <c r="BL40" s="28"/>
      <c r="BR40" s="11"/>
      <c r="BS40" s="28">
        <f>SUM(BS41:BS48)</f>
        <v>0</v>
      </c>
      <c r="BY40" s="11"/>
      <c r="BZ40" s="28"/>
      <c r="CF40" s="11"/>
      <c r="CG40" s="28">
        <f>SUM(CG41:CG48)</f>
        <v>3</v>
      </c>
      <c r="CM40" s="11"/>
      <c r="CN40" s="28"/>
      <c r="CT40" s="11"/>
      <c r="CU40" s="28"/>
      <c r="DA40" s="11"/>
      <c r="DB40" s="28"/>
      <c r="DH40" s="11"/>
      <c r="DI40" s="28"/>
      <c r="DO40" s="11"/>
      <c r="DP40" s="28"/>
    </row>
    <row r="41" ht="15.75" customHeight="1" outlineLevel="1">
      <c r="B41" s="6" t="s">
        <v>56</v>
      </c>
      <c r="C41" s="24" t="s">
        <v>86</v>
      </c>
      <c r="E41" s="26"/>
      <c r="F41" s="5" t="s">
        <v>87</v>
      </c>
      <c r="G41" s="30">
        <v>0.05</v>
      </c>
      <c r="I41" s="26">
        <f t="shared" ref="I41:I48" si="5">+SUMIF($N$3:$ACM$3,I$3,$N41:$ACM41)</f>
        <v>3</v>
      </c>
      <c r="J41" s="29">
        <f t="array" ref="J41">MAX(IF($N$3:$GU$3=$J$3,N41:GU41))</f>
        <v>1</v>
      </c>
      <c r="K41" s="29">
        <f t="array" ref="K41">MAX(IF($N$3:$GU$3=$J$3,N41:GU41))</f>
        <v>1</v>
      </c>
      <c r="L41" s="26"/>
      <c r="O41" s="5">
        <v>2.0</v>
      </c>
      <c r="P41" s="30">
        <v>1.0</v>
      </c>
      <c r="Q41" s="30">
        <v>1.0</v>
      </c>
      <c r="R41" s="27"/>
      <c r="S41" s="30"/>
      <c r="T41" s="5">
        <v>1.0</v>
      </c>
      <c r="V41" s="5">
        <v>1.0</v>
      </c>
      <c r="W41" s="30">
        <v>1.0</v>
      </c>
      <c r="X41" s="30">
        <v>1.0</v>
      </c>
      <c r="Y41" s="30"/>
      <c r="Z41" s="30"/>
      <c r="AD41" s="30">
        <v>1.0</v>
      </c>
      <c r="AE41" s="30">
        <v>1.0</v>
      </c>
      <c r="AF41" s="30"/>
      <c r="AG41" s="30"/>
      <c r="AK41" s="30">
        <v>1.0</v>
      </c>
      <c r="AL41" s="30">
        <v>1.0</v>
      </c>
      <c r="AM41" s="30"/>
      <c r="AN41" s="30"/>
      <c r="AR41" s="30">
        <v>1.0</v>
      </c>
      <c r="AS41" s="30">
        <v>1.0</v>
      </c>
      <c r="AT41" s="27"/>
      <c r="AY41" s="30">
        <v>1.0</v>
      </c>
      <c r="AZ41" s="30">
        <v>1.0</v>
      </c>
      <c r="BA41" s="27"/>
      <c r="BD41" s="11"/>
      <c r="BF41" s="30">
        <v>1.0</v>
      </c>
      <c r="BG41" s="30">
        <v>1.0</v>
      </c>
      <c r="BH41" s="27"/>
      <c r="BM41" s="27"/>
      <c r="BN41" s="30">
        <v>1.0</v>
      </c>
      <c r="BO41" s="27"/>
      <c r="BQ41" s="5">
        <v>1.0</v>
      </c>
      <c r="BR41" s="11"/>
      <c r="BT41" s="30">
        <v>1.0</v>
      </c>
      <c r="BU41" s="30">
        <v>1.0</v>
      </c>
      <c r="BV41" s="27"/>
      <c r="BY41" s="11"/>
      <c r="CA41" s="30">
        <v>1.0</v>
      </c>
      <c r="CB41" s="30">
        <v>1.0</v>
      </c>
      <c r="CC41" s="27"/>
      <c r="CF41" s="11"/>
      <c r="CH41" s="30">
        <v>1.0</v>
      </c>
      <c r="CI41" s="30">
        <v>1.0</v>
      </c>
      <c r="CJ41" s="27"/>
      <c r="CM41" s="11"/>
      <c r="CO41" s="27"/>
      <c r="CP41" s="30"/>
      <c r="CQ41" s="27"/>
      <c r="CR41" s="30"/>
      <c r="CT41" s="11"/>
      <c r="CV41" s="27"/>
      <c r="CW41" s="30"/>
      <c r="CX41" s="27"/>
      <c r="CY41" s="30"/>
      <c r="DA41" s="11"/>
      <c r="DC41" s="27"/>
      <c r="DD41" s="27"/>
      <c r="DE41" s="27"/>
      <c r="DF41" s="27"/>
      <c r="DH41" s="11"/>
      <c r="DJ41" s="27"/>
      <c r="DK41" s="27"/>
      <c r="DL41" s="27"/>
      <c r="DM41" s="27"/>
      <c r="DO41" s="11"/>
      <c r="DQ41" s="27"/>
      <c r="DR41" s="27"/>
      <c r="DS41" s="27"/>
      <c r="DT41" s="27"/>
    </row>
    <row r="42" ht="15.75" customHeight="1" outlineLevel="1">
      <c r="B42" s="6" t="s">
        <v>56</v>
      </c>
      <c r="C42" s="24" t="s">
        <v>86</v>
      </c>
      <c r="E42" s="26"/>
      <c r="F42" s="5" t="s">
        <v>136</v>
      </c>
      <c r="G42" s="30">
        <v>0.15</v>
      </c>
      <c r="I42" s="26">
        <f t="shared" si="5"/>
        <v>2</v>
      </c>
      <c r="J42" s="29">
        <f t="array" ref="J42">MAX(IF($N$3:$GU$3=$J$3,N42:GU42))</f>
        <v>1</v>
      </c>
      <c r="K42" s="29">
        <f t="array" ref="K42">MAX(IF($N$3:$GU$3=$J$3,N42:GU42))</f>
        <v>1</v>
      </c>
      <c r="L42" s="26"/>
      <c r="O42" s="5">
        <v>1.0</v>
      </c>
      <c r="P42" s="30">
        <v>0.1</v>
      </c>
      <c r="Q42" s="30">
        <v>0.0</v>
      </c>
      <c r="R42" s="27"/>
      <c r="S42" s="30"/>
      <c r="V42" s="5">
        <v>1.0</v>
      </c>
      <c r="W42" s="30">
        <v>1.0</v>
      </c>
      <c r="X42" s="30">
        <v>1.0</v>
      </c>
      <c r="Y42" s="30"/>
      <c r="Z42" s="30"/>
      <c r="AD42" s="30">
        <v>1.0</v>
      </c>
      <c r="AE42" s="30">
        <v>1.0</v>
      </c>
      <c r="AF42" s="30"/>
      <c r="AG42" s="30"/>
      <c r="AK42" s="30">
        <v>1.0</v>
      </c>
      <c r="AL42" s="30">
        <v>1.0</v>
      </c>
      <c r="AM42" s="30"/>
      <c r="AN42" s="30"/>
      <c r="AR42" s="30">
        <v>1.0</v>
      </c>
      <c r="AS42" s="30">
        <v>1.0</v>
      </c>
      <c r="AT42" s="27"/>
      <c r="AY42" s="30">
        <v>1.0</v>
      </c>
      <c r="AZ42" s="30">
        <v>1.0</v>
      </c>
      <c r="BA42" s="27"/>
      <c r="BD42" s="11"/>
      <c r="BF42" s="30">
        <v>1.0</v>
      </c>
      <c r="BG42" s="30">
        <v>1.0</v>
      </c>
      <c r="BH42" s="27"/>
      <c r="BM42" s="27"/>
      <c r="BN42" s="30">
        <v>1.0</v>
      </c>
      <c r="BO42" s="27"/>
      <c r="BR42" s="11"/>
      <c r="BT42" s="30">
        <v>1.0</v>
      </c>
      <c r="BU42" s="30">
        <v>1.0</v>
      </c>
      <c r="BV42" s="27"/>
      <c r="BY42" s="11"/>
      <c r="CA42" s="30">
        <v>1.0</v>
      </c>
      <c r="CB42" s="30">
        <v>1.0</v>
      </c>
      <c r="CC42" s="27"/>
      <c r="CF42" s="11"/>
      <c r="CH42" s="30">
        <v>1.0</v>
      </c>
      <c r="CI42" s="30">
        <v>1.0</v>
      </c>
      <c r="CJ42" s="27"/>
      <c r="CM42" s="11"/>
      <c r="CO42" s="27"/>
      <c r="CP42" s="30"/>
      <c r="CQ42" s="27"/>
      <c r="CR42" s="30"/>
      <c r="CT42" s="11"/>
      <c r="CV42" s="27"/>
      <c r="CW42" s="30"/>
      <c r="CX42" s="27"/>
      <c r="CY42" s="30"/>
      <c r="DA42" s="11"/>
      <c r="DC42" s="27"/>
      <c r="DD42" s="27"/>
      <c r="DE42" s="27"/>
      <c r="DF42" s="27"/>
      <c r="DH42" s="11"/>
      <c r="DJ42" s="27"/>
      <c r="DK42" s="27"/>
      <c r="DL42" s="27"/>
      <c r="DM42" s="27"/>
      <c r="DO42" s="11"/>
      <c r="DQ42" s="27"/>
      <c r="DR42" s="27"/>
      <c r="DS42" s="27"/>
      <c r="DT42" s="27"/>
    </row>
    <row r="43" ht="15.75" customHeight="1" outlineLevel="1">
      <c r="B43" s="6" t="s">
        <v>56</v>
      </c>
      <c r="C43" s="24" t="s">
        <v>86</v>
      </c>
      <c r="E43" s="26"/>
      <c r="F43" s="5" t="s">
        <v>137</v>
      </c>
      <c r="G43" s="30">
        <v>0.05</v>
      </c>
      <c r="I43" s="26">
        <f t="shared" si="5"/>
        <v>15</v>
      </c>
      <c r="J43" s="29">
        <f t="array" ref="J43">MAX(IF($N$3:$GU$3=$J$3,N43:GU43))</f>
        <v>1</v>
      </c>
      <c r="K43" s="29">
        <f t="array" ref="K43">MAX(IF($N$3:$GU$3=$J$3,N43:GU43))</f>
        <v>1</v>
      </c>
      <c r="L43" s="26"/>
      <c r="P43" s="30">
        <v>0.1</v>
      </c>
      <c r="Q43" s="30">
        <v>0.0</v>
      </c>
      <c r="R43" s="27"/>
      <c r="S43" s="30"/>
      <c r="V43" s="5">
        <v>6.0</v>
      </c>
      <c r="W43" s="30">
        <v>0.3</v>
      </c>
      <c r="X43" s="30">
        <v>0.5</v>
      </c>
      <c r="Y43" s="30"/>
      <c r="Z43" s="30"/>
      <c r="AC43" s="5">
        <v>9.0</v>
      </c>
      <c r="AD43" s="30">
        <v>1.0</v>
      </c>
      <c r="AE43" s="30">
        <v>1.0</v>
      </c>
      <c r="AF43" s="30"/>
      <c r="AG43" s="30"/>
      <c r="AK43" s="30">
        <v>1.0</v>
      </c>
      <c r="AL43" s="30">
        <v>1.0</v>
      </c>
      <c r="AM43" s="30"/>
      <c r="AN43" s="30"/>
      <c r="AR43" s="30">
        <v>1.0</v>
      </c>
      <c r="AS43" s="30">
        <v>1.0</v>
      </c>
      <c r="AT43" s="27"/>
      <c r="AY43" s="30">
        <v>1.0</v>
      </c>
      <c r="AZ43" s="30">
        <v>1.0</v>
      </c>
      <c r="BA43" s="27"/>
      <c r="BD43" s="11"/>
      <c r="BF43" s="30">
        <v>1.0</v>
      </c>
      <c r="BG43" s="30">
        <v>1.0</v>
      </c>
      <c r="BH43" s="27"/>
      <c r="BM43" s="27"/>
      <c r="BN43" s="30">
        <v>1.0</v>
      </c>
      <c r="BO43" s="27"/>
      <c r="BR43" s="11"/>
      <c r="BT43" s="30">
        <v>1.0</v>
      </c>
      <c r="BU43" s="30">
        <v>1.0</v>
      </c>
      <c r="BV43" s="27"/>
      <c r="BY43" s="11"/>
      <c r="CA43" s="30">
        <v>1.0</v>
      </c>
      <c r="CB43" s="30">
        <v>1.0</v>
      </c>
      <c r="CC43" s="27"/>
      <c r="CF43" s="11"/>
      <c r="CH43" s="30">
        <v>1.0</v>
      </c>
      <c r="CI43" s="30">
        <v>1.0</v>
      </c>
      <c r="CJ43" s="27"/>
      <c r="CM43" s="11"/>
      <c r="CO43" s="27"/>
      <c r="CP43" s="30"/>
      <c r="CQ43" s="27"/>
      <c r="CR43" s="30"/>
      <c r="CT43" s="11"/>
      <c r="CV43" s="27"/>
      <c r="CW43" s="30"/>
      <c r="CX43" s="27"/>
      <c r="CY43" s="30"/>
      <c r="DA43" s="11"/>
      <c r="DC43" s="27"/>
      <c r="DD43" s="27"/>
      <c r="DE43" s="27"/>
      <c r="DF43" s="27"/>
      <c r="DH43" s="11"/>
      <c r="DJ43" s="27"/>
      <c r="DK43" s="27"/>
      <c r="DL43" s="27"/>
      <c r="DM43" s="27"/>
      <c r="DO43" s="11"/>
      <c r="DQ43" s="27"/>
      <c r="DR43" s="27"/>
      <c r="DS43" s="27"/>
      <c r="DT43" s="27"/>
    </row>
    <row r="44" ht="15.75" customHeight="1" outlineLevel="1">
      <c r="B44" s="6" t="s">
        <v>56</v>
      </c>
      <c r="C44" s="24" t="s">
        <v>86</v>
      </c>
      <c r="E44" s="26"/>
      <c r="F44" s="5" t="s">
        <v>90</v>
      </c>
      <c r="G44" s="30">
        <v>0.15</v>
      </c>
      <c r="I44" s="26">
        <f t="shared" si="5"/>
        <v>5</v>
      </c>
      <c r="J44" s="29">
        <f t="array" ref="J44">MAX(IF($N$3:$GU$3=$J$3,N44:GU44))</f>
        <v>1</v>
      </c>
      <c r="K44" s="29">
        <f t="array" ref="K44">MAX(IF($N$3:$GU$3=$J$3,N44:GU44))</f>
        <v>1</v>
      </c>
      <c r="L44" s="26"/>
      <c r="P44" s="27"/>
      <c r="Q44" s="30">
        <v>0.0</v>
      </c>
      <c r="R44" s="27"/>
      <c r="S44" s="30"/>
      <c r="W44" s="27"/>
      <c r="X44" s="30">
        <v>0.0</v>
      </c>
      <c r="Y44" s="27"/>
      <c r="Z44" s="30"/>
      <c r="AC44" s="5">
        <v>4.0</v>
      </c>
      <c r="AD44" s="30">
        <v>1.0</v>
      </c>
      <c r="AE44" s="30">
        <v>0.0</v>
      </c>
      <c r="AF44" s="30"/>
      <c r="AG44" s="30"/>
      <c r="AJ44" s="5">
        <v>1.0</v>
      </c>
      <c r="AK44" s="30">
        <v>1.0</v>
      </c>
      <c r="AL44" s="30">
        <v>1.0</v>
      </c>
      <c r="AM44" s="30"/>
      <c r="AN44" s="30"/>
      <c r="AR44" s="30">
        <v>1.0</v>
      </c>
      <c r="AS44" s="30">
        <v>1.0</v>
      </c>
      <c r="AT44" s="27"/>
      <c r="AY44" s="30">
        <v>1.0</v>
      </c>
      <c r="AZ44" s="30">
        <v>1.0</v>
      </c>
      <c r="BA44" s="27"/>
      <c r="BD44" s="11"/>
      <c r="BF44" s="30">
        <v>1.0</v>
      </c>
      <c r="BG44" s="30">
        <v>1.0</v>
      </c>
      <c r="BH44" s="27"/>
      <c r="BM44" s="27"/>
      <c r="BN44" s="30">
        <v>1.0</v>
      </c>
      <c r="BO44" s="27"/>
      <c r="BR44" s="11"/>
      <c r="BT44" s="30">
        <v>1.0</v>
      </c>
      <c r="BU44" s="30">
        <v>1.0</v>
      </c>
      <c r="BV44" s="27"/>
      <c r="BY44" s="11"/>
      <c r="CA44" s="30">
        <v>1.0</v>
      </c>
      <c r="CB44" s="30">
        <v>1.0</v>
      </c>
      <c r="CC44" s="27"/>
      <c r="CF44" s="11"/>
      <c r="CH44" s="30">
        <v>1.0</v>
      </c>
      <c r="CI44" s="30">
        <v>1.0</v>
      </c>
      <c r="CJ44" s="27"/>
      <c r="CM44" s="11"/>
      <c r="CO44" s="33" t="s">
        <v>138</v>
      </c>
      <c r="CT44" s="11"/>
      <c r="CV44" s="27"/>
      <c r="CW44" s="30"/>
      <c r="CX44" s="27"/>
      <c r="CY44" s="30"/>
      <c r="DA44" s="11"/>
      <c r="DC44" s="27"/>
      <c r="DD44" s="27"/>
      <c r="DE44" s="27"/>
      <c r="DF44" s="27"/>
      <c r="DH44" s="11"/>
      <c r="DJ44" s="27"/>
      <c r="DK44" s="27"/>
      <c r="DL44" s="27"/>
      <c r="DM44" s="27"/>
      <c r="DO44" s="11"/>
      <c r="DQ44" s="27"/>
      <c r="DR44" s="27"/>
      <c r="DS44" s="27"/>
      <c r="DT44" s="27"/>
    </row>
    <row r="45" ht="15.75" customHeight="1" outlineLevel="1">
      <c r="B45" s="6" t="s">
        <v>56</v>
      </c>
      <c r="C45" s="24" t="s">
        <v>86</v>
      </c>
      <c r="E45" s="26"/>
      <c r="F45" s="5" t="s">
        <v>91</v>
      </c>
      <c r="G45" s="30">
        <v>0.05</v>
      </c>
      <c r="I45" s="26">
        <f t="shared" si="5"/>
        <v>1.5</v>
      </c>
      <c r="J45" s="29">
        <f t="array" ref="J45">MAX(IF($N$3:$GU$3=$J$3,N45:GU45))</f>
        <v>1</v>
      </c>
      <c r="K45" s="29">
        <f t="array" ref="K45">MAX(IF($N$3:$GU$3=$J$3,N45:GU45))</f>
        <v>1</v>
      </c>
      <c r="L45" s="26"/>
      <c r="P45" s="27"/>
      <c r="Q45" s="30">
        <v>0.0</v>
      </c>
      <c r="R45" s="27"/>
      <c r="S45" s="30"/>
      <c r="W45" s="30">
        <v>0.3</v>
      </c>
      <c r="X45" s="30">
        <v>0.0</v>
      </c>
      <c r="Y45" s="27"/>
      <c r="Z45" s="30"/>
      <c r="AC45" s="5">
        <v>1.5</v>
      </c>
      <c r="AD45" s="30">
        <v>1.0</v>
      </c>
      <c r="AE45" s="30">
        <v>0.0</v>
      </c>
      <c r="AF45" s="30"/>
      <c r="AG45" s="30"/>
      <c r="AK45" s="30">
        <v>1.0</v>
      </c>
      <c r="AL45" s="30">
        <v>1.0</v>
      </c>
      <c r="AM45" s="30"/>
      <c r="AN45" s="30"/>
      <c r="AR45" s="30">
        <v>1.0</v>
      </c>
      <c r="AS45" s="30">
        <v>1.0</v>
      </c>
      <c r="AT45" s="27"/>
      <c r="AY45" s="30">
        <v>1.0</v>
      </c>
      <c r="AZ45" s="30">
        <v>1.0</v>
      </c>
      <c r="BA45" s="27"/>
      <c r="BD45" s="11"/>
      <c r="BF45" s="30">
        <v>1.0</v>
      </c>
      <c r="BG45" s="30">
        <v>1.0</v>
      </c>
      <c r="BH45" s="27"/>
      <c r="BM45" s="27"/>
      <c r="BN45" s="30">
        <v>1.0</v>
      </c>
      <c r="BO45" s="27"/>
      <c r="BR45" s="11"/>
      <c r="BT45" s="30">
        <v>1.0</v>
      </c>
      <c r="BU45" s="30">
        <v>1.0</v>
      </c>
      <c r="BV45" s="27"/>
      <c r="BY45" s="11"/>
      <c r="CA45" s="30">
        <v>1.0</v>
      </c>
      <c r="CB45" s="30">
        <v>1.0</v>
      </c>
      <c r="CC45" s="27"/>
      <c r="CF45" s="11"/>
      <c r="CH45" s="30">
        <v>1.0</v>
      </c>
      <c r="CI45" s="30">
        <v>1.0</v>
      </c>
      <c r="CJ45" s="27"/>
      <c r="CM45" s="11"/>
      <c r="CO45" s="27"/>
      <c r="CP45" s="30"/>
      <c r="CQ45" s="27"/>
      <c r="CR45" s="30"/>
      <c r="CT45" s="11"/>
      <c r="CV45" s="27"/>
      <c r="CW45" s="30"/>
      <c r="CX45" s="27"/>
      <c r="CY45" s="30"/>
      <c r="DA45" s="11"/>
      <c r="DC45" s="27"/>
      <c r="DD45" s="27"/>
      <c r="DE45" s="27"/>
      <c r="DF45" s="27"/>
      <c r="DH45" s="11"/>
      <c r="DJ45" s="27"/>
      <c r="DK45" s="27"/>
      <c r="DL45" s="27"/>
      <c r="DM45" s="27"/>
      <c r="DO45" s="11"/>
      <c r="DQ45" s="27"/>
      <c r="DR45" s="27"/>
      <c r="DS45" s="27"/>
      <c r="DT45" s="27"/>
    </row>
    <row r="46" ht="15.75" customHeight="1" outlineLevel="1">
      <c r="B46" s="6" t="s">
        <v>56</v>
      </c>
      <c r="C46" s="24" t="s">
        <v>86</v>
      </c>
      <c r="E46" s="26"/>
      <c r="F46" s="5" t="s">
        <v>92</v>
      </c>
      <c r="G46" s="30">
        <v>0.05</v>
      </c>
      <c r="I46" s="26">
        <f t="shared" si="5"/>
        <v>1.5</v>
      </c>
      <c r="J46" s="29">
        <f t="array" ref="J46">MAX(IF($N$3:$GU$3=$J$3,N46:GU46))</f>
        <v>1</v>
      </c>
      <c r="K46" s="29">
        <f t="array" ref="K46">MAX(IF($N$3:$GU$3=$J$3,N46:GU46))</f>
        <v>1</v>
      </c>
      <c r="L46" s="26"/>
      <c r="P46" s="27"/>
      <c r="Q46" s="30">
        <v>0.0</v>
      </c>
      <c r="R46" s="27"/>
      <c r="S46" s="30"/>
      <c r="W46" s="27"/>
      <c r="X46" s="30">
        <v>0.0</v>
      </c>
      <c r="Y46" s="27"/>
      <c r="Z46" s="30"/>
      <c r="AD46" s="27"/>
      <c r="AE46" s="30">
        <v>0.0</v>
      </c>
      <c r="AF46" s="27"/>
      <c r="AG46" s="30"/>
      <c r="AK46" s="27"/>
      <c r="AL46" s="30">
        <v>0.0</v>
      </c>
      <c r="AM46" s="27"/>
      <c r="AN46" s="30"/>
      <c r="AR46" s="27"/>
      <c r="AS46" s="30">
        <v>0.0</v>
      </c>
      <c r="AT46" s="27"/>
      <c r="AX46" s="5">
        <v>1.5</v>
      </c>
      <c r="AY46" s="30">
        <v>1.0</v>
      </c>
      <c r="AZ46" s="30">
        <v>1.0</v>
      </c>
      <c r="BA46" s="27"/>
      <c r="BD46" s="11"/>
      <c r="BF46" s="30">
        <v>1.0</v>
      </c>
      <c r="BG46" s="30">
        <v>1.0</v>
      </c>
      <c r="BH46" s="27"/>
      <c r="BM46" s="27"/>
      <c r="BN46" s="30">
        <v>1.0</v>
      </c>
      <c r="BO46" s="27"/>
      <c r="BR46" s="11"/>
      <c r="BT46" s="30">
        <v>1.0</v>
      </c>
      <c r="BU46" s="30">
        <v>1.0</v>
      </c>
      <c r="BV46" s="27"/>
      <c r="BY46" s="11"/>
      <c r="CA46" s="30">
        <v>1.0</v>
      </c>
      <c r="CB46" s="30">
        <v>1.0</v>
      </c>
      <c r="CC46" s="27"/>
      <c r="CF46" s="11"/>
      <c r="CH46" s="30">
        <v>1.0</v>
      </c>
      <c r="CI46" s="30">
        <v>1.0</v>
      </c>
      <c r="CJ46" s="27"/>
      <c r="CM46" s="11"/>
      <c r="CO46" s="27"/>
      <c r="CP46" s="30"/>
      <c r="CQ46" s="27"/>
      <c r="CR46" s="30"/>
      <c r="CT46" s="11"/>
      <c r="CV46" s="27"/>
      <c r="CW46" s="30"/>
      <c r="CX46" s="27"/>
      <c r="CY46" s="30"/>
      <c r="DA46" s="11"/>
      <c r="DC46" s="27"/>
      <c r="DD46" s="27"/>
      <c r="DE46" s="27"/>
      <c r="DF46" s="27"/>
      <c r="DH46" s="11"/>
      <c r="DJ46" s="27"/>
      <c r="DK46" s="27"/>
      <c r="DL46" s="27"/>
      <c r="DM46" s="27"/>
      <c r="DO46" s="11"/>
      <c r="DQ46" s="27"/>
      <c r="DR46" s="27"/>
      <c r="DS46" s="27"/>
      <c r="DT46" s="27"/>
    </row>
    <row r="47" ht="15.75" customHeight="1" outlineLevel="1">
      <c r="B47" s="6" t="s">
        <v>56</v>
      </c>
      <c r="C47" s="24" t="s">
        <v>86</v>
      </c>
      <c r="E47" s="26"/>
      <c r="F47" s="5" t="s">
        <v>93</v>
      </c>
      <c r="G47" s="30">
        <v>0.05</v>
      </c>
      <c r="I47" s="26">
        <f t="shared" si="5"/>
        <v>1</v>
      </c>
      <c r="J47" s="29">
        <f t="array" ref="J47">MAX(IF($N$3:$GU$3=$J$3,N47:GU47))</f>
        <v>1</v>
      </c>
      <c r="K47" s="29">
        <f t="array" ref="K47">MAX(IF($N$3:$GU$3=$J$3,N47:GU47))</f>
        <v>1</v>
      </c>
      <c r="L47" s="26"/>
      <c r="P47" s="27"/>
      <c r="Q47" s="30">
        <v>0.0</v>
      </c>
      <c r="R47" s="27"/>
      <c r="S47" s="30"/>
      <c r="W47" s="27"/>
      <c r="X47" s="30">
        <v>0.0</v>
      </c>
      <c r="Y47" s="27"/>
      <c r="Z47" s="30"/>
      <c r="AD47" s="27"/>
      <c r="AE47" s="30">
        <v>0.0</v>
      </c>
      <c r="AF47" s="27"/>
      <c r="AG47" s="30"/>
      <c r="AK47" s="27"/>
      <c r="AL47" s="30">
        <v>0.0</v>
      </c>
      <c r="AM47" s="27"/>
      <c r="AN47" s="30"/>
      <c r="AR47" s="27"/>
      <c r="AS47" s="30">
        <v>0.0</v>
      </c>
      <c r="AT47" s="27"/>
      <c r="AY47" s="27"/>
      <c r="AZ47" s="30">
        <v>0.0</v>
      </c>
      <c r="BA47" s="27"/>
      <c r="BD47" s="11"/>
      <c r="BF47" s="27"/>
      <c r="BG47" s="30">
        <v>0.0</v>
      </c>
      <c r="BH47" s="27"/>
      <c r="BM47" s="27"/>
      <c r="BN47" s="30">
        <v>0.0</v>
      </c>
      <c r="BO47" s="27"/>
      <c r="BR47" s="11"/>
      <c r="BT47" s="27"/>
      <c r="BU47" s="30">
        <v>0.0</v>
      </c>
      <c r="BV47" s="27"/>
      <c r="BY47" s="11"/>
      <c r="CA47" s="30"/>
      <c r="CB47" s="30">
        <v>0.8</v>
      </c>
      <c r="CC47" s="27"/>
      <c r="CF47" s="11"/>
      <c r="CG47" s="5">
        <v>1.0</v>
      </c>
      <c r="CH47" s="30">
        <v>1.0</v>
      </c>
      <c r="CI47" s="30">
        <v>1.0</v>
      </c>
      <c r="CJ47" s="27"/>
      <c r="CL47" s="5" t="s">
        <v>139</v>
      </c>
      <c r="CM47" s="11"/>
      <c r="CO47" s="27"/>
      <c r="CP47" s="30"/>
      <c r="CQ47" s="27"/>
      <c r="CR47" s="30"/>
      <c r="CT47" s="11"/>
      <c r="CV47" s="27"/>
      <c r="CW47" s="30"/>
      <c r="CX47" s="27"/>
      <c r="CY47" s="30"/>
      <c r="DA47" s="11"/>
      <c r="DC47" s="27"/>
      <c r="DD47" s="27"/>
      <c r="DE47" s="27"/>
      <c r="DF47" s="27"/>
      <c r="DH47" s="11"/>
      <c r="DJ47" s="27"/>
      <c r="DK47" s="27"/>
      <c r="DL47" s="27"/>
      <c r="DM47" s="27"/>
      <c r="DO47" s="11"/>
      <c r="DQ47" s="27"/>
      <c r="DR47" s="27"/>
      <c r="DS47" s="27"/>
      <c r="DT47" s="27"/>
    </row>
    <row r="48" ht="15.75" customHeight="1" outlineLevel="1">
      <c r="B48" s="6" t="s">
        <v>56</v>
      </c>
      <c r="C48" s="24" t="s">
        <v>86</v>
      </c>
      <c r="E48" s="26"/>
      <c r="F48" s="5" t="s">
        <v>94</v>
      </c>
      <c r="G48" s="30">
        <v>0.45</v>
      </c>
      <c r="I48" s="26">
        <f t="shared" si="5"/>
        <v>2</v>
      </c>
      <c r="J48" s="29">
        <f t="array" ref="J48">MAX(IF($N$3:$GU$3=$J$3,N48:GU48))</f>
        <v>0.8</v>
      </c>
      <c r="K48" s="29">
        <f t="array" ref="K48">MAX(IF($N$3:$GU$3=$J$3,N48:GU48))</f>
        <v>0.8</v>
      </c>
      <c r="L48" s="26"/>
      <c r="P48" s="27"/>
      <c r="Q48" s="30">
        <v>0.0</v>
      </c>
      <c r="R48" s="27"/>
      <c r="S48" s="30"/>
      <c r="W48" s="27"/>
      <c r="X48" s="30">
        <v>0.0</v>
      </c>
      <c r="Y48" s="27"/>
      <c r="Z48" s="30"/>
      <c r="AD48" s="27"/>
      <c r="AE48" s="30">
        <v>0.0</v>
      </c>
      <c r="AF48" s="27"/>
      <c r="AG48" s="30"/>
      <c r="AK48" s="27"/>
      <c r="AL48" s="30">
        <v>0.0</v>
      </c>
      <c r="AM48" s="27"/>
      <c r="AN48" s="30"/>
      <c r="AR48" s="27"/>
      <c r="AS48" s="30">
        <v>0.0</v>
      </c>
      <c r="AT48" s="27"/>
      <c r="AY48" s="27"/>
      <c r="AZ48" s="30">
        <v>0.0</v>
      </c>
      <c r="BA48" s="27"/>
      <c r="BD48" s="11"/>
      <c r="BF48" s="27"/>
      <c r="BG48" s="30">
        <v>0.0</v>
      </c>
      <c r="BH48" s="27"/>
      <c r="BM48" s="27"/>
      <c r="BN48" s="30">
        <v>0.0</v>
      </c>
      <c r="BO48" s="27"/>
      <c r="BR48" s="11"/>
      <c r="BT48" s="27"/>
      <c r="BU48" s="30">
        <v>0.0</v>
      </c>
      <c r="BV48" s="27"/>
      <c r="BY48" s="11"/>
      <c r="CA48" s="27"/>
      <c r="CB48" s="30">
        <v>0.5</v>
      </c>
      <c r="CC48" s="27"/>
      <c r="CF48" s="11"/>
      <c r="CG48" s="5">
        <v>2.0</v>
      </c>
      <c r="CH48" s="30">
        <v>0.8</v>
      </c>
      <c r="CI48" s="30">
        <v>0.8</v>
      </c>
      <c r="CJ48" s="27"/>
      <c r="CM48" s="11"/>
      <c r="CO48" s="27"/>
      <c r="CP48" s="30"/>
      <c r="CQ48" s="27"/>
      <c r="CR48" s="30"/>
      <c r="CT48" s="11"/>
      <c r="CV48" s="27"/>
      <c r="CW48" s="30"/>
      <c r="CX48" s="27"/>
      <c r="CY48" s="30"/>
      <c r="DA48" s="11"/>
      <c r="DC48" s="27"/>
      <c r="DD48" s="27"/>
      <c r="DE48" s="27"/>
      <c r="DF48" s="27"/>
      <c r="DH48" s="11"/>
      <c r="DJ48" s="27"/>
      <c r="DK48" s="27"/>
      <c r="DL48" s="27"/>
      <c r="DM48" s="27"/>
      <c r="DO48" s="11"/>
      <c r="DQ48" s="27"/>
      <c r="DR48" s="27"/>
      <c r="DS48" s="27"/>
      <c r="DT48" s="27"/>
    </row>
    <row r="49" ht="15.75" customHeight="1">
      <c r="C49" s="8"/>
      <c r="BD49" s="11"/>
      <c r="BR49" s="11"/>
      <c r="BY49" s="11"/>
      <c r="CF49" s="11"/>
      <c r="CM49" s="11"/>
      <c r="CT49" s="11"/>
      <c r="DA49" s="11"/>
      <c r="DH49" s="11"/>
      <c r="DO49" s="11"/>
    </row>
    <row r="50" ht="15.75" customHeight="1">
      <c r="B50" s="6" t="s">
        <v>26</v>
      </c>
      <c r="C50" s="24" t="s">
        <v>95</v>
      </c>
      <c r="D50" s="25">
        <v>44926.0</v>
      </c>
      <c r="E50" s="32">
        <v>3.0</v>
      </c>
      <c r="G50" s="27">
        <f>+SUM(G51:G53)</f>
        <v>1</v>
      </c>
      <c r="I50" s="28">
        <f>+SUM(I51:I53)</f>
        <v>1.5</v>
      </c>
      <c r="J50" s="29">
        <f>+SUMPRODUCT(G51:G53,J51:J53)</f>
        <v>0</v>
      </c>
      <c r="K50" s="29">
        <f>+SUMPRODUCT(G51:G53,K51:K53)</f>
        <v>0</v>
      </c>
      <c r="L50" s="26"/>
      <c r="O50" s="28">
        <f>SUM(O51:O53)</f>
        <v>0</v>
      </c>
      <c r="V50" s="28"/>
      <c r="AC50" s="28"/>
      <c r="AJ50" s="28">
        <f>SUM(AJ51:AJ53)</f>
        <v>1.5</v>
      </c>
      <c r="AQ50" s="28">
        <f>SUM(AQ51:AQ53)</f>
        <v>0</v>
      </c>
      <c r="AX50" s="28"/>
      <c r="BD50" s="11"/>
      <c r="BE50" s="28">
        <f>SUM(BE51:BE53)</f>
        <v>0</v>
      </c>
      <c r="BL50" s="28"/>
      <c r="BR50" s="11"/>
      <c r="BS50" s="28">
        <f>SUM(BS51:BS53)</f>
        <v>0</v>
      </c>
      <c r="BY50" s="11"/>
      <c r="BZ50" s="28"/>
      <c r="CF50" s="11"/>
      <c r="CG50" s="28">
        <f>SUM(CG51:CG53)</f>
        <v>0</v>
      </c>
      <c r="CM50" s="11"/>
      <c r="CN50" s="28"/>
      <c r="CT50" s="11"/>
      <c r="CU50" s="28"/>
      <c r="DA50" s="11"/>
      <c r="DB50" s="28">
        <f>SUM(DB51:DB53)</f>
        <v>0</v>
      </c>
      <c r="DH50" s="11"/>
      <c r="DI50" s="28">
        <f>SUM(DI51:DI53)</f>
        <v>0</v>
      </c>
      <c r="DO50" s="11"/>
      <c r="DP50" s="28"/>
    </row>
    <row r="51" ht="15.75" customHeight="1" outlineLevel="1">
      <c r="B51" s="6" t="s">
        <v>56</v>
      </c>
      <c r="C51" s="24" t="s">
        <v>96</v>
      </c>
      <c r="E51" s="26"/>
      <c r="F51" s="5" t="s">
        <v>140</v>
      </c>
      <c r="G51" s="30">
        <v>0.0</v>
      </c>
      <c r="I51" s="26">
        <f t="shared" ref="I51:I53" si="6">+SUMIF($N$3:$ACM$3,I$3,$N51:$ACM51)</f>
        <v>1.5</v>
      </c>
      <c r="J51" s="29">
        <f t="array" ref="J51">MAX(IF($N$3:$GU$3=$J$3,N51:GU51))</f>
        <v>1</v>
      </c>
      <c r="K51" s="29">
        <f t="array" ref="K51">MAX(IF($N$3:$GU$3=$J$3,N51:GU51))</f>
        <v>1</v>
      </c>
      <c r="L51" s="26"/>
      <c r="P51" s="27"/>
      <c r="Q51" s="30"/>
      <c r="R51" s="27"/>
      <c r="S51" s="30"/>
      <c r="W51" s="27"/>
      <c r="X51" s="30"/>
      <c r="Y51" s="27"/>
      <c r="Z51" s="30"/>
      <c r="AD51" s="27"/>
      <c r="AE51" s="30"/>
      <c r="AF51" s="27"/>
      <c r="AG51" s="30"/>
      <c r="AJ51" s="5">
        <v>1.5</v>
      </c>
      <c r="AK51" s="27"/>
      <c r="AL51" s="30">
        <v>0.0</v>
      </c>
      <c r="AM51" s="27"/>
      <c r="AN51" s="30"/>
      <c r="AR51" s="27"/>
      <c r="AS51" s="30"/>
      <c r="AT51" s="27"/>
      <c r="AU51" s="30">
        <v>0.5</v>
      </c>
      <c r="AY51" s="27"/>
      <c r="AZ51" s="30"/>
      <c r="BA51" s="27"/>
      <c r="BB51" s="30">
        <v>0.5</v>
      </c>
      <c r="BD51" s="11"/>
      <c r="BF51" s="27"/>
      <c r="BG51" s="30"/>
      <c r="BH51" s="27"/>
      <c r="BI51" s="30">
        <v>0.5</v>
      </c>
      <c r="BM51" s="27"/>
      <c r="BN51" s="30"/>
      <c r="BO51" s="27"/>
      <c r="BP51" s="30">
        <v>0.5</v>
      </c>
      <c r="BQ51" s="5">
        <v>3.0</v>
      </c>
      <c r="BR51" s="11"/>
      <c r="BT51" s="27"/>
      <c r="BU51" s="30"/>
      <c r="BV51" s="30">
        <v>1.0</v>
      </c>
      <c r="BW51" s="30"/>
      <c r="BY51" s="11"/>
      <c r="CA51" s="27"/>
      <c r="CB51" s="30"/>
      <c r="CC51" s="27"/>
      <c r="CD51" s="30">
        <v>1.0</v>
      </c>
      <c r="CF51" s="11"/>
      <c r="CH51" s="30">
        <v>1.0</v>
      </c>
      <c r="CI51" s="30">
        <v>1.0</v>
      </c>
      <c r="CJ51" s="30">
        <v>1.0</v>
      </c>
      <c r="CK51" s="30">
        <v>1.0</v>
      </c>
      <c r="CM51" s="11"/>
      <c r="CO51" s="27"/>
      <c r="CP51" s="30"/>
      <c r="CQ51" s="30">
        <v>1.0</v>
      </c>
      <c r="CR51" s="30">
        <v>1.0</v>
      </c>
      <c r="CT51" s="11"/>
      <c r="CV51" s="27"/>
      <c r="CW51" s="30"/>
      <c r="CX51" s="30">
        <v>1.0</v>
      </c>
      <c r="CY51" s="30">
        <v>1.0</v>
      </c>
      <c r="DA51" s="11"/>
      <c r="DC51" s="27"/>
      <c r="DD51" s="27"/>
      <c r="DE51" s="30">
        <v>1.0</v>
      </c>
      <c r="DF51" s="30">
        <v>1.0</v>
      </c>
      <c r="DH51" s="11"/>
      <c r="DJ51" s="27"/>
      <c r="DK51" s="27"/>
      <c r="DL51" s="30">
        <v>1.0</v>
      </c>
      <c r="DM51" s="30">
        <v>1.0</v>
      </c>
      <c r="DO51" s="11"/>
      <c r="DQ51" s="27"/>
      <c r="DR51" s="27"/>
      <c r="DS51" s="27"/>
      <c r="DT51" s="27"/>
    </row>
    <row r="52" ht="15.75" customHeight="1" outlineLevel="1">
      <c r="B52" s="6" t="s">
        <v>56</v>
      </c>
      <c r="C52" s="24" t="s">
        <v>96</v>
      </c>
      <c r="E52" s="26"/>
      <c r="F52" s="5" t="s">
        <v>141</v>
      </c>
      <c r="G52" s="30">
        <v>0.5</v>
      </c>
      <c r="I52" s="26">
        <f t="shared" si="6"/>
        <v>0</v>
      </c>
      <c r="J52" s="29">
        <f t="array" ref="J52">MAX(IF($N$3:$GU$3=$J$3,N52:GU52))</f>
        <v>0</v>
      </c>
      <c r="K52" s="29">
        <f t="array" ref="K52">MAX(IF($N$3:$GU$3=$J$3,N52:GU52))</f>
        <v>0</v>
      </c>
      <c r="L52" s="26"/>
      <c r="P52" s="27"/>
      <c r="Q52" s="30"/>
      <c r="R52" s="27"/>
      <c r="S52" s="30"/>
      <c r="W52" s="27"/>
      <c r="X52" s="30"/>
      <c r="Y52" s="27"/>
      <c r="Z52" s="30"/>
      <c r="AD52" s="27"/>
      <c r="AE52" s="30"/>
      <c r="AF52" s="27"/>
      <c r="AG52" s="30"/>
      <c r="AK52" s="27"/>
      <c r="AL52" s="30">
        <v>0.0</v>
      </c>
      <c r="AM52" s="27"/>
      <c r="AN52" s="30"/>
      <c r="AR52" s="27"/>
      <c r="AS52" s="30"/>
      <c r="AT52" s="27"/>
      <c r="AU52" s="30">
        <v>0.0</v>
      </c>
      <c r="AY52" s="27"/>
      <c r="AZ52" s="30"/>
      <c r="BA52" s="27"/>
      <c r="BB52" s="30">
        <v>0.5</v>
      </c>
      <c r="BD52" s="11"/>
      <c r="BF52" s="27"/>
      <c r="BG52" s="30"/>
      <c r="BH52" s="27"/>
      <c r="BI52" s="30">
        <v>0.5</v>
      </c>
      <c r="BM52" s="27"/>
      <c r="BN52" s="30"/>
      <c r="BO52" s="27"/>
      <c r="BP52" s="30">
        <v>0.5</v>
      </c>
      <c r="BR52" s="11"/>
      <c r="BT52" s="27"/>
      <c r="BU52" s="30"/>
      <c r="BV52" s="27"/>
      <c r="BW52" s="30"/>
      <c r="BY52" s="11"/>
      <c r="CA52" s="27"/>
      <c r="CB52" s="30"/>
      <c r="CC52" s="27"/>
      <c r="CD52" s="30">
        <v>0.8</v>
      </c>
      <c r="CF52" s="11"/>
      <c r="CH52" s="27"/>
      <c r="CI52" s="30"/>
      <c r="CJ52" s="27"/>
      <c r="CK52" s="30"/>
      <c r="CM52" s="11"/>
      <c r="CO52" s="27"/>
      <c r="CP52" s="30"/>
      <c r="CQ52" s="27"/>
      <c r="CR52" s="30"/>
      <c r="CT52" s="11"/>
      <c r="CV52" s="27"/>
      <c r="CW52" s="30"/>
      <c r="CX52" s="27"/>
      <c r="CY52" s="30"/>
      <c r="DA52" s="11"/>
      <c r="DC52" s="27"/>
      <c r="DD52" s="27"/>
      <c r="DE52" s="27"/>
      <c r="DF52" s="30">
        <v>0.8</v>
      </c>
      <c r="DH52" s="11"/>
      <c r="DJ52" s="27"/>
      <c r="DK52" s="27"/>
      <c r="DL52" s="27"/>
      <c r="DM52" s="30">
        <v>1.0</v>
      </c>
      <c r="DO52" s="11"/>
      <c r="DQ52" s="27"/>
      <c r="DR52" s="27"/>
      <c r="DS52" s="27"/>
      <c r="DT52" s="27"/>
    </row>
    <row r="53" ht="15.75" customHeight="1" outlineLevel="1">
      <c r="B53" s="6" t="s">
        <v>56</v>
      </c>
      <c r="C53" s="24" t="s">
        <v>96</v>
      </c>
      <c r="E53" s="26"/>
      <c r="F53" s="5" t="s">
        <v>137</v>
      </c>
      <c r="G53" s="30">
        <v>0.5</v>
      </c>
      <c r="I53" s="26">
        <f t="shared" si="6"/>
        <v>0</v>
      </c>
      <c r="J53" s="29">
        <f t="array" ref="J53">MAX(IF($N$3:$GU$3=$J$3,N53:GU53))</f>
        <v>0</v>
      </c>
      <c r="K53" s="29">
        <f t="array" ref="K53">MAX(IF($N$3:$GU$3=$J$3,N53:GU53))</f>
        <v>0</v>
      </c>
      <c r="L53" s="26"/>
      <c r="P53" s="27"/>
      <c r="Q53" s="30"/>
      <c r="R53" s="27"/>
      <c r="S53" s="30"/>
      <c r="W53" s="27"/>
      <c r="X53" s="30"/>
      <c r="Y53" s="27"/>
      <c r="Z53" s="30"/>
      <c r="AD53" s="27"/>
      <c r="AE53" s="30"/>
      <c r="AF53" s="27"/>
      <c r="AG53" s="30"/>
      <c r="AK53" s="27"/>
      <c r="AL53" s="30">
        <v>0.0</v>
      </c>
      <c r="AM53" s="27"/>
      <c r="AN53" s="30"/>
      <c r="AR53" s="27"/>
      <c r="AS53" s="30"/>
      <c r="AT53" s="27"/>
      <c r="AU53" s="30">
        <v>0.0</v>
      </c>
      <c r="AY53" s="27"/>
      <c r="AZ53" s="30"/>
      <c r="BA53" s="27"/>
      <c r="BB53" s="30">
        <v>0.0</v>
      </c>
      <c r="BD53" s="11"/>
      <c r="BF53" s="27"/>
      <c r="BG53" s="30"/>
      <c r="BH53" s="27"/>
      <c r="BI53" s="30">
        <v>0.5</v>
      </c>
      <c r="BM53" s="27"/>
      <c r="BN53" s="30"/>
      <c r="BO53" s="27"/>
      <c r="BP53" s="30">
        <v>0.5</v>
      </c>
      <c r="BR53" s="11"/>
      <c r="BT53" s="27"/>
      <c r="BU53" s="30"/>
      <c r="BV53" s="27"/>
      <c r="BW53" s="30"/>
      <c r="BY53" s="11"/>
      <c r="CA53" s="27"/>
      <c r="CB53" s="30"/>
      <c r="CC53" s="27"/>
      <c r="CD53" s="30">
        <v>0.8</v>
      </c>
      <c r="CF53" s="11"/>
      <c r="CH53" s="27"/>
      <c r="CI53" s="30"/>
      <c r="CJ53" s="27"/>
      <c r="CK53" s="30"/>
      <c r="CM53" s="11"/>
      <c r="CO53" s="27"/>
      <c r="CP53" s="30"/>
      <c r="CQ53" s="27"/>
      <c r="CR53" s="30"/>
      <c r="CT53" s="11"/>
      <c r="CV53" s="27"/>
      <c r="CW53" s="30"/>
      <c r="CX53" s="27"/>
      <c r="CY53" s="30"/>
      <c r="DA53" s="11"/>
      <c r="DC53" s="27"/>
      <c r="DD53" s="27"/>
      <c r="DE53" s="27"/>
      <c r="DF53" s="30">
        <v>0.5</v>
      </c>
      <c r="DH53" s="11"/>
      <c r="DJ53" s="27"/>
      <c r="DK53" s="27"/>
      <c r="DL53" s="27"/>
      <c r="DM53" s="30">
        <v>1.0</v>
      </c>
      <c r="DO53" s="11"/>
      <c r="DQ53" s="27"/>
      <c r="DR53" s="27"/>
      <c r="DS53" s="27"/>
      <c r="DT53" s="27"/>
    </row>
    <row r="54" ht="15.75" customHeight="1">
      <c r="C54" s="8"/>
      <c r="BD54" s="11"/>
      <c r="BR54" s="11"/>
      <c r="BY54" s="11"/>
      <c r="CF54" s="11"/>
      <c r="CM54" s="11"/>
      <c r="CT54" s="11"/>
      <c r="DA54" s="11"/>
      <c r="DH54" s="11"/>
      <c r="DO54" s="11"/>
    </row>
    <row r="55" ht="15.75" customHeight="1">
      <c r="B55" s="6" t="s">
        <v>26</v>
      </c>
      <c r="C55" s="24" t="s">
        <v>97</v>
      </c>
      <c r="D55" s="25">
        <v>44914.0</v>
      </c>
      <c r="E55" s="26">
        <v>6.0</v>
      </c>
      <c r="G55" s="27">
        <f>+SUM(G56:G67)</f>
        <v>1</v>
      </c>
      <c r="I55" s="28">
        <f>+SUM(I56:I67)</f>
        <v>27.5</v>
      </c>
      <c r="J55" s="29">
        <f>+SUMPRODUCT(G56:G67,J56:J67)</f>
        <v>0.57</v>
      </c>
      <c r="K55" s="29"/>
      <c r="L55" s="26"/>
      <c r="O55" s="40">
        <f>SUM(O56:O69)</f>
        <v>7</v>
      </c>
      <c r="V55" s="37">
        <f>SUM(V56:V69)</f>
        <v>4</v>
      </c>
      <c r="AC55" s="28">
        <f>SUM(AC56:AC69)</f>
        <v>2.5</v>
      </c>
      <c r="AJ55" s="28">
        <f>SUM(AJ56:AJ69)</f>
        <v>3.5</v>
      </c>
      <c r="AQ55" s="28">
        <f>SUM(AQ56:AQ69)</f>
        <v>0</v>
      </c>
      <c r="AX55" s="37">
        <f>SUM(AX56:AX69)</f>
        <v>3.5</v>
      </c>
      <c r="BD55" s="11"/>
      <c r="BE55" s="37">
        <f>SUM(BE56:BE69)</f>
        <v>1.5</v>
      </c>
      <c r="BL55" s="28"/>
      <c r="BR55" s="11"/>
      <c r="BS55" s="37">
        <f>SUM(BS56:BS69)</f>
        <v>1.5</v>
      </c>
      <c r="BY55" s="11"/>
      <c r="BZ55" s="37">
        <f>SUM(BZ56:BZ69)</f>
        <v>1.5</v>
      </c>
      <c r="CF55" s="11"/>
      <c r="CG55" s="37">
        <f>SUM(CG56:CG69)</f>
        <v>2.5</v>
      </c>
      <c r="CM55" s="11"/>
      <c r="CN55" s="28"/>
      <c r="CT55" s="11"/>
      <c r="CU55" s="28"/>
      <c r="DA55" s="11"/>
      <c r="DB55" s="28">
        <f>SUM(DB56:DB69)</f>
        <v>0</v>
      </c>
      <c r="DH55" s="11"/>
      <c r="DI55" s="28">
        <f>SUM(DI56:DI69)</f>
        <v>0</v>
      </c>
      <c r="DO55" s="11"/>
      <c r="DP55" s="28"/>
    </row>
    <row r="56" ht="15.75" customHeight="1" outlineLevel="1">
      <c r="B56" s="6" t="s">
        <v>56</v>
      </c>
      <c r="C56" s="24" t="s">
        <v>97</v>
      </c>
      <c r="E56" s="26"/>
      <c r="F56" s="5" t="s">
        <v>98</v>
      </c>
      <c r="G56" s="27">
        <v>0.1</v>
      </c>
      <c r="I56" s="26">
        <f t="shared" ref="I56:I69" si="7">+SUMIF($N$3:$ACM$3,I$3,$N56:$ACM56)</f>
        <v>4</v>
      </c>
      <c r="J56" s="29">
        <f t="array" ref="J56">MAX(IF($N$3:$GU$3=$J$3,N56:GU56))</f>
        <v>1</v>
      </c>
      <c r="K56" s="29"/>
      <c r="L56" s="26"/>
      <c r="O56" s="5">
        <v>3.5</v>
      </c>
      <c r="P56" s="30">
        <v>0.8</v>
      </c>
      <c r="Q56" s="30">
        <v>1.0</v>
      </c>
      <c r="R56" s="27"/>
      <c r="S56" s="30"/>
      <c r="T56" s="5">
        <v>2.0</v>
      </c>
      <c r="W56" s="30">
        <v>0.8</v>
      </c>
      <c r="X56" s="30">
        <v>1.0</v>
      </c>
      <c r="Y56" s="30"/>
      <c r="AA56" s="5">
        <v>2.0</v>
      </c>
      <c r="AD56" s="30"/>
      <c r="AE56" s="30"/>
      <c r="AF56" s="30">
        <v>0.8</v>
      </c>
      <c r="AG56" s="30">
        <v>1.0</v>
      </c>
      <c r="AK56" s="30">
        <v>0.8</v>
      </c>
      <c r="AL56" s="30">
        <v>1.0</v>
      </c>
      <c r="AM56" s="30"/>
      <c r="AN56" s="30"/>
      <c r="AR56" s="30">
        <v>0.8</v>
      </c>
      <c r="AS56" s="30">
        <v>1.0</v>
      </c>
      <c r="AT56" s="27"/>
      <c r="AY56" s="30">
        <v>0.8</v>
      </c>
      <c r="AZ56" s="30">
        <v>1.0</v>
      </c>
      <c r="BA56" s="27"/>
      <c r="BD56" s="11"/>
      <c r="BF56" s="30">
        <v>0.8</v>
      </c>
      <c r="BG56" s="30">
        <v>1.0</v>
      </c>
      <c r="BH56" s="27"/>
      <c r="BM56" s="30"/>
      <c r="BN56" s="30">
        <v>1.0</v>
      </c>
      <c r="BO56" s="27"/>
      <c r="BQ56" s="5">
        <v>0.0</v>
      </c>
      <c r="BR56" s="11"/>
      <c r="BT56" s="30"/>
      <c r="BU56" s="30"/>
      <c r="BV56" s="27"/>
      <c r="BW56" s="30">
        <v>0.8</v>
      </c>
      <c r="BY56" s="11"/>
      <c r="CA56" s="30"/>
      <c r="CB56" s="30"/>
      <c r="CC56" s="27"/>
      <c r="CD56" s="30">
        <v>1.0</v>
      </c>
      <c r="CF56" s="11"/>
      <c r="CG56" s="5">
        <v>0.5</v>
      </c>
      <c r="CH56" s="30">
        <v>1.0</v>
      </c>
      <c r="CI56" s="30">
        <v>1.0</v>
      </c>
      <c r="CJ56" s="27"/>
      <c r="CK56" s="30"/>
      <c r="CM56" s="11"/>
      <c r="CO56" s="30"/>
      <c r="CP56" s="30">
        <v>1.0</v>
      </c>
      <c r="CQ56" s="27"/>
      <c r="CR56" s="30"/>
      <c r="CT56" s="11"/>
      <c r="CV56" s="30"/>
      <c r="CW56" s="30">
        <v>1.0</v>
      </c>
      <c r="CX56" s="27"/>
      <c r="CY56" s="30"/>
      <c r="DA56" s="11"/>
      <c r="DC56" s="30"/>
      <c r="DD56" s="30">
        <v>1.0</v>
      </c>
      <c r="DE56" s="27"/>
      <c r="DF56" s="30">
        <v>1.0</v>
      </c>
      <c r="DH56" s="11"/>
      <c r="DJ56" s="30"/>
      <c r="DK56" s="30"/>
      <c r="DL56" s="27"/>
      <c r="DM56" s="27"/>
      <c r="DO56" s="11"/>
      <c r="DQ56" s="30"/>
      <c r="DR56" s="30"/>
      <c r="DS56" s="27"/>
      <c r="DT56" s="27"/>
    </row>
    <row r="57" ht="15.75" customHeight="1" outlineLevel="1">
      <c r="B57" s="6" t="s">
        <v>56</v>
      </c>
      <c r="C57" s="24" t="s">
        <v>97</v>
      </c>
      <c r="E57" s="26"/>
      <c r="F57" s="5" t="s">
        <v>99</v>
      </c>
      <c r="G57" s="27">
        <v>0.05</v>
      </c>
      <c r="I57" s="26">
        <f t="shared" si="7"/>
        <v>6</v>
      </c>
      <c r="J57" s="29">
        <f t="array" ref="J57">MAX(IF($N$3:$GU$3=$J$3,N57:GU57))</f>
        <v>1</v>
      </c>
      <c r="K57" s="29"/>
      <c r="L57" s="26"/>
      <c r="O57" s="5">
        <v>3.5</v>
      </c>
      <c r="P57" s="30">
        <v>0.4</v>
      </c>
      <c r="Q57" s="30">
        <v>0.5</v>
      </c>
      <c r="R57" s="27"/>
      <c r="S57" s="30"/>
      <c r="V57" s="5">
        <v>2.0</v>
      </c>
      <c r="W57" s="30">
        <v>0.8</v>
      </c>
      <c r="X57" s="30">
        <v>0.8</v>
      </c>
      <c r="Y57" s="30"/>
      <c r="AD57" s="30"/>
      <c r="AE57" s="30"/>
      <c r="AF57" s="30">
        <v>0.8</v>
      </c>
      <c r="AG57" s="30">
        <v>0.8</v>
      </c>
      <c r="AK57" s="30">
        <v>0.8</v>
      </c>
      <c r="AL57" s="30">
        <v>0.8</v>
      </c>
      <c r="AM57" s="30"/>
      <c r="AN57" s="30"/>
      <c r="AR57" s="30">
        <v>0.8</v>
      </c>
      <c r="AS57" s="30">
        <v>1.0</v>
      </c>
      <c r="AT57" s="27"/>
      <c r="AY57" s="30">
        <v>0.8</v>
      </c>
      <c r="AZ57" s="30">
        <v>1.0</v>
      </c>
      <c r="BA57" s="27"/>
      <c r="BD57" s="11"/>
      <c r="BF57" s="30">
        <v>0.8</v>
      </c>
      <c r="BG57" s="30">
        <v>1.0</v>
      </c>
      <c r="BH57" s="27"/>
      <c r="BM57" s="30"/>
      <c r="BN57" s="30">
        <v>1.0</v>
      </c>
      <c r="BO57" s="27"/>
      <c r="BR57" s="11"/>
      <c r="BT57" s="30"/>
      <c r="BU57" s="30"/>
      <c r="BV57" s="27"/>
      <c r="BW57" s="30">
        <v>0.8</v>
      </c>
      <c r="BY57" s="11"/>
      <c r="CA57" s="30"/>
      <c r="CB57" s="30"/>
      <c r="CC57" s="27"/>
      <c r="CD57" s="30">
        <v>1.0</v>
      </c>
      <c r="CF57" s="11"/>
      <c r="CG57" s="5">
        <v>0.5</v>
      </c>
      <c r="CH57" s="30">
        <v>1.0</v>
      </c>
      <c r="CI57" s="30">
        <v>1.0</v>
      </c>
      <c r="CJ57" s="27"/>
      <c r="CK57" s="30"/>
      <c r="CM57" s="11"/>
      <c r="CO57" s="30"/>
      <c r="CP57" s="30">
        <v>1.0</v>
      </c>
      <c r="CQ57" s="27"/>
      <c r="CR57" s="30"/>
      <c r="CT57" s="11"/>
      <c r="CV57" s="30"/>
      <c r="CW57" s="30">
        <v>1.0</v>
      </c>
      <c r="CX57" s="27"/>
      <c r="CY57" s="30"/>
      <c r="DA57" s="11"/>
      <c r="DC57" s="30"/>
      <c r="DD57" s="30">
        <v>1.0</v>
      </c>
      <c r="DE57" s="27"/>
      <c r="DF57" s="30">
        <v>1.0</v>
      </c>
      <c r="DH57" s="11"/>
      <c r="DJ57" s="30"/>
      <c r="DK57" s="27"/>
      <c r="DL57" s="27"/>
      <c r="DM57" s="27"/>
      <c r="DO57" s="11"/>
      <c r="DQ57" s="30"/>
      <c r="DR57" s="27"/>
      <c r="DS57" s="27"/>
      <c r="DT57" s="27"/>
    </row>
    <row r="58" ht="15.75" customHeight="1" outlineLevel="1">
      <c r="B58" s="6" t="s">
        <v>56</v>
      </c>
      <c r="C58" s="24" t="s">
        <v>97</v>
      </c>
      <c r="E58" s="26"/>
      <c r="F58" s="5" t="s">
        <v>100</v>
      </c>
      <c r="G58" s="27">
        <v>0.05</v>
      </c>
      <c r="I58" s="26">
        <f t="shared" si="7"/>
        <v>4.5</v>
      </c>
      <c r="J58" s="29">
        <f t="array" ref="J58">MAX(IF($N$3:$GU$3=$J$3,N58:GU58))</f>
        <v>0.8</v>
      </c>
      <c r="K58" s="29"/>
      <c r="L58" s="26"/>
      <c r="P58" s="30"/>
      <c r="Q58" s="30">
        <v>0.0</v>
      </c>
      <c r="R58" s="27"/>
      <c r="S58" s="30"/>
      <c r="V58" s="5">
        <v>2.0</v>
      </c>
      <c r="W58" s="30">
        <v>0.3</v>
      </c>
      <c r="X58" s="30">
        <v>0.5</v>
      </c>
      <c r="Y58" s="27"/>
      <c r="AC58" s="5">
        <v>1.0</v>
      </c>
      <c r="AD58" s="30"/>
      <c r="AE58" s="30"/>
      <c r="AF58" s="30">
        <v>0.3</v>
      </c>
      <c r="AG58" s="30">
        <v>0.5</v>
      </c>
      <c r="AJ58" s="5">
        <v>1.5</v>
      </c>
      <c r="AK58" s="30">
        <v>0.3</v>
      </c>
      <c r="AL58" s="30">
        <v>0.8</v>
      </c>
      <c r="AM58" s="30"/>
      <c r="AN58" s="30"/>
      <c r="AR58" s="30">
        <v>0.3</v>
      </c>
      <c r="AS58" s="30">
        <v>1.0</v>
      </c>
      <c r="AT58" s="27"/>
      <c r="AY58" s="30">
        <v>0.3</v>
      </c>
      <c r="AZ58" s="30">
        <v>1.0</v>
      </c>
      <c r="BA58" s="27"/>
      <c r="BD58" s="11"/>
      <c r="BF58" s="30">
        <v>0.3</v>
      </c>
      <c r="BG58" s="30">
        <v>1.0</v>
      </c>
      <c r="BH58" s="27"/>
      <c r="BM58" s="30"/>
      <c r="BN58" s="30">
        <v>1.0</v>
      </c>
      <c r="BO58" s="27"/>
      <c r="BR58" s="11"/>
      <c r="BT58" s="30"/>
      <c r="BU58" s="30"/>
      <c r="BV58" s="27"/>
      <c r="BW58" s="30">
        <v>0.8</v>
      </c>
      <c r="BY58" s="11"/>
      <c r="CA58" s="30"/>
      <c r="CB58" s="30"/>
      <c r="CC58" s="27"/>
      <c r="CD58" s="30">
        <v>1.0</v>
      </c>
      <c r="CF58" s="11"/>
      <c r="CH58" s="30">
        <v>0.8</v>
      </c>
      <c r="CI58" s="30">
        <v>0.8</v>
      </c>
      <c r="CJ58" s="27"/>
      <c r="CK58" s="30"/>
      <c r="CM58" s="11"/>
      <c r="CO58" s="30"/>
      <c r="CP58" s="30">
        <v>1.0</v>
      </c>
      <c r="CQ58" s="27"/>
      <c r="CR58" s="30"/>
      <c r="CT58" s="11"/>
      <c r="CV58" s="30"/>
      <c r="CW58" s="30">
        <v>1.0</v>
      </c>
      <c r="CX58" s="27"/>
      <c r="CY58" s="30"/>
      <c r="DA58" s="11"/>
      <c r="DC58" s="30"/>
      <c r="DD58" s="30">
        <v>1.0</v>
      </c>
      <c r="DE58" s="27"/>
      <c r="DF58" s="30">
        <v>1.0</v>
      </c>
      <c r="DH58" s="11"/>
      <c r="DJ58" s="30"/>
      <c r="DK58" s="27"/>
      <c r="DL58" s="27"/>
      <c r="DM58" s="27"/>
      <c r="DO58" s="11"/>
      <c r="DQ58" s="30"/>
      <c r="DR58" s="27"/>
      <c r="DS58" s="27"/>
      <c r="DT58" s="27"/>
    </row>
    <row r="59" ht="15.75" customHeight="1" outlineLevel="1">
      <c r="B59" s="6" t="s">
        <v>56</v>
      </c>
      <c r="C59" s="24" t="s">
        <v>97</v>
      </c>
      <c r="E59" s="26"/>
      <c r="F59" s="5" t="s">
        <v>101</v>
      </c>
      <c r="G59" s="27">
        <v>0.05</v>
      </c>
      <c r="I59" s="26">
        <f t="shared" si="7"/>
        <v>3.5</v>
      </c>
      <c r="J59" s="29">
        <f t="array" ref="J59">MAX(IF($N$3:$GU$3=$J$3,N59:GU59))</f>
        <v>0.7</v>
      </c>
      <c r="K59" s="29"/>
      <c r="L59" s="26"/>
      <c r="P59" s="27"/>
      <c r="Q59" s="30">
        <v>0.0</v>
      </c>
      <c r="R59" s="27"/>
      <c r="S59" s="30"/>
      <c r="W59" s="27"/>
      <c r="X59" s="30">
        <v>0.0</v>
      </c>
      <c r="Y59" s="27"/>
      <c r="AC59" s="5">
        <v>1.5</v>
      </c>
      <c r="AD59" s="27"/>
      <c r="AE59" s="30"/>
      <c r="AF59" s="27"/>
      <c r="AG59" s="30">
        <v>0.5</v>
      </c>
      <c r="AJ59" s="5">
        <v>2.0</v>
      </c>
      <c r="AK59" s="27"/>
      <c r="AL59" s="30">
        <v>0.8</v>
      </c>
      <c r="AM59" s="27"/>
      <c r="AN59" s="30"/>
      <c r="AR59" s="30">
        <v>0.3</v>
      </c>
      <c r="AS59" s="30">
        <v>0.8</v>
      </c>
      <c r="AT59" s="27"/>
      <c r="AY59" s="30">
        <v>0.3</v>
      </c>
      <c r="AZ59" s="30">
        <v>0.8</v>
      </c>
      <c r="BA59" s="27"/>
      <c r="BD59" s="11"/>
      <c r="BF59" s="30">
        <v>0.3</v>
      </c>
      <c r="BG59" s="30">
        <v>0.8</v>
      </c>
      <c r="BH59" s="27"/>
      <c r="BM59" s="27"/>
      <c r="BN59" s="30">
        <v>0.8</v>
      </c>
      <c r="BO59" s="27"/>
      <c r="BR59" s="11"/>
      <c r="BT59" s="27"/>
      <c r="BU59" s="30"/>
      <c r="BV59" s="27"/>
      <c r="BW59" s="30">
        <v>0.8</v>
      </c>
      <c r="BY59" s="11"/>
      <c r="CA59" s="27"/>
      <c r="CB59" s="30"/>
      <c r="CC59" s="27"/>
      <c r="CD59" s="30">
        <v>0.8</v>
      </c>
      <c r="CF59" s="11"/>
      <c r="CH59" s="30">
        <v>0.7</v>
      </c>
      <c r="CI59" s="30">
        <v>0.8</v>
      </c>
      <c r="CJ59" s="27"/>
      <c r="CK59" s="30"/>
      <c r="CM59" s="11"/>
      <c r="CO59" s="27"/>
      <c r="CP59" s="30">
        <v>1.0</v>
      </c>
      <c r="CQ59" s="27"/>
      <c r="CR59" s="30"/>
      <c r="CT59" s="11"/>
      <c r="CV59" s="27"/>
      <c r="CW59" s="30">
        <v>1.0</v>
      </c>
      <c r="CX59" s="27"/>
      <c r="CY59" s="30"/>
      <c r="DA59" s="11"/>
      <c r="DC59" s="27"/>
      <c r="DD59" s="30">
        <v>1.0</v>
      </c>
      <c r="DE59" s="27"/>
      <c r="DF59" s="30">
        <v>1.0</v>
      </c>
      <c r="DH59" s="11"/>
      <c r="DJ59" s="27"/>
      <c r="DK59" s="27"/>
      <c r="DL59" s="27"/>
      <c r="DM59" s="27"/>
      <c r="DO59" s="11"/>
      <c r="DQ59" s="27"/>
      <c r="DR59" s="27"/>
      <c r="DS59" s="27"/>
      <c r="DT59" s="27"/>
    </row>
    <row r="60" ht="15.75" customHeight="1" outlineLevel="1">
      <c r="B60" s="6" t="s">
        <v>56</v>
      </c>
      <c r="C60" s="24" t="s">
        <v>97</v>
      </c>
      <c r="E60" s="26"/>
      <c r="F60" s="5" t="s">
        <v>102</v>
      </c>
      <c r="G60" s="27">
        <v>0.05</v>
      </c>
      <c r="I60" s="26">
        <f t="shared" si="7"/>
        <v>0</v>
      </c>
      <c r="J60" s="29">
        <f t="array" ref="J60">MAX(IF($N$3:$GU$3=$J$3,N60:GU60))</f>
        <v>0.7</v>
      </c>
      <c r="K60" s="29"/>
      <c r="L60" s="26"/>
      <c r="P60" s="27"/>
      <c r="Q60" s="30">
        <v>0.0</v>
      </c>
      <c r="R60" s="27"/>
      <c r="S60" s="30"/>
      <c r="W60" s="27"/>
      <c r="X60" s="30">
        <v>0.0</v>
      </c>
      <c r="Y60" s="27"/>
      <c r="AD60" s="27"/>
      <c r="AE60" s="30"/>
      <c r="AF60" s="27"/>
      <c r="AG60" s="30">
        <v>0.5</v>
      </c>
      <c r="AK60" s="27"/>
      <c r="AL60" s="30">
        <v>0.5</v>
      </c>
      <c r="AM60" s="27"/>
      <c r="AN60" s="30"/>
      <c r="AR60" s="30">
        <v>0.3</v>
      </c>
      <c r="AS60" s="30">
        <v>0.8</v>
      </c>
      <c r="AT60" s="27"/>
      <c r="AY60" s="30">
        <v>0.3</v>
      </c>
      <c r="AZ60" s="30">
        <v>0.8</v>
      </c>
      <c r="BA60" s="27"/>
      <c r="BD60" s="11"/>
      <c r="BF60" s="30">
        <v>0.3</v>
      </c>
      <c r="BG60" s="30">
        <v>0.8</v>
      </c>
      <c r="BH60" s="27"/>
      <c r="BM60" s="27"/>
      <c r="BN60" s="30">
        <v>0.8</v>
      </c>
      <c r="BO60" s="27"/>
      <c r="BR60" s="11"/>
      <c r="BT60" s="27"/>
      <c r="BU60" s="30"/>
      <c r="BV60" s="27"/>
      <c r="BW60" s="30">
        <v>0.5</v>
      </c>
      <c r="BY60" s="11"/>
      <c r="CA60" s="27"/>
      <c r="CB60" s="30"/>
      <c r="CC60" s="27"/>
      <c r="CD60" s="30">
        <v>0.8</v>
      </c>
      <c r="CF60" s="11"/>
      <c r="CH60" s="30">
        <v>0.7</v>
      </c>
      <c r="CI60" s="30">
        <v>0.8</v>
      </c>
      <c r="CJ60" s="27"/>
      <c r="CK60" s="30"/>
      <c r="CM60" s="11"/>
      <c r="CO60" s="27"/>
      <c r="CP60" s="30">
        <v>1.0</v>
      </c>
      <c r="CQ60" s="27"/>
      <c r="CR60" s="30"/>
      <c r="CT60" s="11"/>
      <c r="CV60" s="27"/>
      <c r="CW60" s="30">
        <v>1.0</v>
      </c>
      <c r="CX60" s="27"/>
      <c r="CY60" s="30"/>
      <c r="DA60" s="11"/>
      <c r="DC60" s="27"/>
      <c r="DD60" s="30">
        <v>1.0</v>
      </c>
      <c r="DE60" s="27"/>
      <c r="DF60" s="30">
        <v>1.0</v>
      </c>
      <c r="DH60" s="11"/>
      <c r="DJ60" s="27"/>
      <c r="DK60" s="27"/>
      <c r="DL60" s="27"/>
      <c r="DM60" s="27"/>
      <c r="DO60" s="11"/>
      <c r="DQ60" s="27"/>
      <c r="DR60" s="27"/>
      <c r="DS60" s="27"/>
      <c r="DT60" s="27"/>
    </row>
    <row r="61" ht="15.75" customHeight="1" outlineLevel="1">
      <c r="B61" s="6" t="s">
        <v>56</v>
      </c>
      <c r="C61" s="24" t="s">
        <v>97</v>
      </c>
      <c r="E61" s="26"/>
      <c r="F61" s="5" t="s">
        <v>103</v>
      </c>
      <c r="G61" s="27">
        <v>0.1</v>
      </c>
      <c r="I61" s="26">
        <f t="shared" si="7"/>
        <v>1.5</v>
      </c>
      <c r="J61" s="29">
        <f t="array" ref="J61">MAX(IF($N$3:$GU$3=$J$3,N61:GU61))</f>
        <v>0.7</v>
      </c>
      <c r="K61" s="29"/>
      <c r="L61" s="26"/>
      <c r="P61" s="27"/>
      <c r="Q61" s="30">
        <v>0.0</v>
      </c>
      <c r="R61" s="27"/>
      <c r="S61" s="30"/>
      <c r="W61" s="27"/>
      <c r="X61" s="30">
        <v>0.0</v>
      </c>
      <c r="Y61" s="27"/>
      <c r="AD61" s="27"/>
      <c r="AE61" s="30"/>
      <c r="AF61" s="27"/>
      <c r="AG61" s="30">
        <v>0.0</v>
      </c>
      <c r="AK61" s="27"/>
      <c r="AL61" s="30">
        <v>0.5</v>
      </c>
      <c r="AM61" s="27"/>
      <c r="AN61" s="30"/>
      <c r="AR61" s="27"/>
      <c r="AS61" s="30">
        <v>0.5</v>
      </c>
      <c r="AT61" s="27"/>
      <c r="AX61" s="5">
        <v>1.5</v>
      </c>
      <c r="AY61" s="27"/>
      <c r="AZ61" s="30">
        <v>0.8</v>
      </c>
      <c r="BA61" s="27"/>
      <c r="BD61" s="11"/>
      <c r="BF61" s="30">
        <v>0.3</v>
      </c>
      <c r="BG61" s="30">
        <v>0.8</v>
      </c>
      <c r="BH61" s="27"/>
      <c r="BM61" s="27"/>
      <c r="BN61" s="30">
        <v>0.8</v>
      </c>
      <c r="BO61" s="27"/>
      <c r="BR61" s="11"/>
      <c r="BT61" s="27"/>
      <c r="BU61" s="30"/>
      <c r="BV61" s="27"/>
      <c r="BW61" s="30">
        <v>0.5</v>
      </c>
      <c r="BY61" s="11"/>
      <c r="CA61" s="27"/>
      <c r="CB61" s="30"/>
      <c r="CC61" s="27"/>
      <c r="CD61" s="30">
        <v>0.8</v>
      </c>
      <c r="CF61" s="11"/>
      <c r="CH61" s="30">
        <v>0.7</v>
      </c>
      <c r="CI61" s="30">
        <v>0.8</v>
      </c>
      <c r="CJ61" s="27"/>
      <c r="CK61" s="30"/>
      <c r="CM61" s="11"/>
      <c r="CO61" s="27"/>
      <c r="CP61" s="30">
        <v>0.8</v>
      </c>
      <c r="CQ61" s="27"/>
      <c r="CR61" s="30"/>
      <c r="CT61" s="11"/>
      <c r="CV61" s="27"/>
      <c r="CW61" s="30">
        <v>1.0</v>
      </c>
      <c r="CX61" s="27"/>
      <c r="CY61" s="30"/>
      <c r="DA61" s="11"/>
      <c r="DC61" s="27"/>
      <c r="DD61" s="30">
        <v>1.0</v>
      </c>
      <c r="DE61" s="27"/>
      <c r="DF61" s="30">
        <v>1.0</v>
      </c>
      <c r="DH61" s="11"/>
      <c r="DJ61" s="32" t="s">
        <v>71</v>
      </c>
      <c r="DO61" s="11"/>
      <c r="DQ61" s="32" t="s">
        <v>120</v>
      </c>
    </row>
    <row r="62" ht="15.75" customHeight="1" outlineLevel="1">
      <c r="B62" s="6" t="s">
        <v>56</v>
      </c>
      <c r="C62" s="24" t="s">
        <v>97</v>
      </c>
      <c r="E62" s="26"/>
      <c r="F62" s="5" t="s">
        <v>104</v>
      </c>
      <c r="G62" s="27">
        <v>0.1</v>
      </c>
      <c r="I62" s="26">
        <f t="shared" si="7"/>
        <v>2</v>
      </c>
      <c r="J62" s="29">
        <f t="array" ref="J62">MAX(IF($N$3:$GU$3=$J$3,N62:GU62))</f>
        <v>0.8</v>
      </c>
      <c r="K62" s="29"/>
      <c r="L62" s="26"/>
      <c r="P62" s="27"/>
      <c r="Q62" s="30">
        <v>0.0</v>
      </c>
      <c r="R62" s="27"/>
      <c r="S62" s="30"/>
      <c r="W62" s="27"/>
      <c r="X62" s="30">
        <v>0.0</v>
      </c>
      <c r="Y62" s="27"/>
      <c r="AD62" s="27"/>
      <c r="AE62" s="30"/>
      <c r="AF62" s="27"/>
      <c r="AG62" s="30">
        <v>0.0</v>
      </c>
      <c r="AK62" s="27"/>
      <c r="AL62" s="30">
        <v>0.5</v>
      </c>
      <c r="AM62" s="27"/>
      <c r="AN62" s="30"/>
      <c r="AR62" s="27"/>
      <c r="AS62" s="30">
        <v>0.5</v>
      </c>
      <c r="AT62" s="27"/>
      <c r="AX62" s="5">
        <v>2.0</v>
      </c>
      <c r="AY62" s="27"/>
      <c r="AZ62" s="30">
        <v>0.8</v>
      </c>
      <c r="BA62" s="27"/>
      <c r="BD62" s="11"/>
      <c r="BF62" s="30">
        <v>0.3</v>
      </c>
      <c r="BG62" s="30">
        <v>0.8</v>
      </c>
      <c r="BH62" s="27"/>
      <c r="BM62" s="27"/>
      <c r="BN62" s="30">
        <v>0.8</v>
      </c>
      <c r="BO62" s="27"/>
      <c r="BR62" s="11"/>
      <c r="BT62" s="27"/>
      <c r="BU62" s="30"/>
      <c r="BV62" s="27"/>
      <c r="BW62" s="30">
        <v>0.5</v>
      </c>
      <c r="BY62" s="11"/>
      <c r="CA62" s="27"/>
      <c r="CB62" s="30"/>
      <c r="CC62" s="27"/>
      <c r="CD62" s="30">
        <v>0.5</v>
      </c>
      <c r="CF62" s="11"/>
      <c r="CH62" s="30">
        <v>0.8</v>
      </c>
      <c r="CI62" s="30">
        <v>0.8</v>
      </c>
      <c r="CJ62" s="27"/>
      <c r="CK62" s="30"/>
      <c r="CM62" s="11"/>
      <c r="CO62" s="27"/>
      <c r="CP62" s="30">
        <v>0.8</v>
      </c>
      <c r="CQ62" s="27"/>
      <c r="CR62" s="30"/>
      <c r="CT62" s="11"/>
      <c r="CV62" s="27"/>
      <c r="CW62" s="30">
        <v>1.0</v>
      </c>
      <c r="CX62" s="27"/>
      <c r="CY62" s="30"/>
      <c r="DA62" s="11"/>
      <c r="DC62" s="27"/>
      <c r="DD62" s="30">
        <v>1.0</v>
      </c>
      <c r="DE62" s="27"/>
      <c r="DF62" s="30">
        <v>1.0</v>
      </c>
      <c r="DH62" s="11"/>
      <c r="DJ62" s="27"/>
      <c r="DK62" s="27"/>
      <c r="DL62" s="27"/>
      <c r="DM62" s="27"/>
      <c r="DO62" s="11"/>
      <c r="DQ62" s="27"/>
      <c r="DR62" s="27"/>
      <c r="DS62" s="27"/>
      <c r="DT62" s="27"/>
    </row>
    <row r="63" ht="15.75" customHeight="1" outlineLevel="1">
      <c r="B63" s="6" t="s">
        <v>56</v>
      </c>
      <c r="C63" s="24" t="s">
        <v>97</v>
      </c>
      <c r="E63" s="26"/>
      <c r="F63" s="5" t="s">
        <v>105</v>
      </c>
      <c r="G63" s="27">
        <v>0.1</v>
      </c>
      <c r="I63" s="26">
        <f t="shared" si="7"/>
        <v>1.5</v>
      </c>
      <c r="J63" s="29">
        <f t="array" ref="J63">MAX(IF($N$3:$GU$3=$J$3,N63:GU63))</f>
        <v>0.5</v>
      </c>
      <c r="K63" s="29"/>
      <c r="L63" s="26"/>
      <c r="P63" s="27"/>
      <c r="Q63" s="30">
        <v>0.0</v>
      </c>
      <c r="R63" s="27"/>
      <c r="S63" s="30"/>
      <c r="W63" s="27"/>
      <c r="X63" s="30">
        <v>0.0</v>
      </c>
      <c r="Y63" s="27"/>
      <c r="AD63" s="27"/>
      <c r="AE63" s="30"/>
      <c r="AF63" s="27"/>
      <c r="AG63" s="30">
        <v>0.0</v>
      </c>
      <c r="AK63" s="27"/>
      <c r="AL63" s="30">
        <v>0.0</v>
      </c>
      <c r="AM63" s="27"/>
      <c r="AN63" s="30"/>
      <c r="AR63" s="27"/>
      <c r="AS63" s="30">
        <v>0.5</v>
      </c>
      <c r="AT63" s="27"/>
      <c r="AY63" s="27"/>
      <c r="AZ63" s="30">
        <v>0.5</v>
      </c>
      <c r="BA63" s="27"/>
      <c r="BD63" s="11"/>
      <c r="BE63" s="5">
        <v>1.5</v>
      </c>
      <c r="BF63" s="30">
        <v>0.3</v>
      </c>
      <c r="BG63" s="30">
        <v>0.8</v>
      </c>
      <c r="BH63" s="27"/>
      <c r="BM63" s="27"/>
      <c r="BN63" s="30">
        <v>0.8</v>
      </c>
      <c r="BO63" s="27"/>
      <c r="BR63" s="11"/>
      <c r="BT63" s="27"/>
      <c r="BU63" s="30"/>
      <c r="BV63" s="27"/>
      <c r="BW63" s="30">
        <v>0.5</v>
      </c>
      <c r="BY63" s="11"/>
      <c r="CA63" s="27"/>
      <c r="CB63" s="30"/>
      <c r="CC63" s="27"/>
      <c r="CD63" s="30">
        <v>0.5</v>
      </c>
      <c r="CF63" s="11"/>
      <c r="CH63" s="30">
        <v>0.5</v>
      </c>
      <c r="CI63" s="30">
        <v>0.8</v>
      </c>
      <c r="CJ63" s="27"/>
      <c r="CK63" s="30"/>
      <c r="CM63" s="11"/>
      <c r="CO63" s="27"/>
      <c r="CP63" s="30">
        <v>0.8</v>
      </c>
      <c r="CQ63" s="27"/>
      <c r="CR63" s="30"/>
      <c r="CT63" s="11"/>
      <c r="CV63" s="27"/>
      <c r="CW63" s="30">
        <v>1.0</v>
      </c>
      <c r="CX63" s="27"/>
      <c r="CY63" s="30"/>
      <c r="DA63" s="11"/>
      <c r="DC63" s="27"/>
      <c r="DD63" s="30">
        <v>1.0</v>
      </c>
      <c r="DE63" s="27"/>
      <c r="DF63" s="30">
        <v>1.0</v>
      </c>
      <c r="DH63" s="11"/>
      <c r="DJ63" s="27"/>
      <c r="DK63" s="27"/>
      <c r="DL63" s="27"/>
      <c r="DM63" s="27"/>
      <c r="DO63" s="11"/>
      <c r="DQ63" s="27"/>
      <c r="DR63" s="27"/>
      <c r="DS63" s="27"/>
      <c r="DT63" s="27"/>
    </row>
    <row r="64" ht="15.75" customHeight="1" outlineLevel="1">
      <c r="B64" s="6" t="s">
        <v>56</v>
      </c>
      <c r="C64" s="24" t="s">
        <v>97</v>
      </c>
      <c r="E64" s="26"/>
      <c r="F64" s="5" t="s">
        <v>106</v>
      </c>
      <c r="G64" s="27">
        <v>0.1</v>
      </c>
      <c r="I64" s="26">
        <f t="shared" si="7"/>
        <v>1.5</v>
      </c>
      <c r="J64" s="29">
        <f t="array" ref="J64">MAX(IF($N$3:$GU$3=$J$3,N64:GU64))</f>
        <v>0.5</v>
      </c>
      <c r="K64" s="29"/>
      <c r="L64" s="26"/>
      <c r="P64" s="27"/>
      <c r="Q64" s="30">
        <v>0.0</v>
      </c>
      <c r="R64" s="27"/>
      <c r="S64" s="30"/>
      <c r="W64" s="27"/>
      <c r="X64" s="30">
        <v>0.0</v>
      </c>
      <c r="Y64" s="27"/>
      <c r="AD64" s="27"/>
      <c r="AE64" s="27"/>
      <c r="AF64" s="27"/>
      <c r="AG64" s="30">
        <v>0.0</v>
      </c>
      <c r="AK64" s="27"/>
      <c r="AL64" s="30">
        <v>0.0</v>
      </c>
      <c r="AM64" s="27"/>
      <c r="AN64" s="30"/>
      <c r="AR64" s="27"/>
      <c r="AS64" s="30">
        <v>0.0</v>
      </c>
      <c r="AT64" s="27"/>
      <c r="AY64" s="27"/>
      <c r="AZ64" s="30">
        <v>0.5</v>
      </c>
      <c r="BA64" s="27"/>
      <c r="BD64" s="11"/>
      <c r="BF64" s="27"/>
      <c r="BG64" s="30">
        <v>0.8</v>
      </c>
      <c r="BH64" s="27"/>
      <c r="BM64" s="27"/>
      <c r="BN64" s="30">
        <v>0.8</v>
      </c>
      <c r="BO64" s="27"/>
      <c r="BR64" s="11"/>
      <c r="BS64" s="5">
        <v>1.5</v>
      </c>
      <c r="BT64" s="27"/>
      <c r="BU64" s="30"/>
      <c r="BV64" s="27"/>
      <c r="BW64" s="30">
        <v>0.5</v>
      </c>
      <c r="BY64" s="11"/>
      <c r="CA64" s="27"/>
      <c r="CB64" s="30"/>
      <c r="CC64" s="27"/>
      <c r="CD64" s="30">
        <v>0.5</v>
      </c>
      <c r="CF64" s="11"/>
      <c r="CH64" s="30">
        <v>0.5</v>
      </c>
      <c r="CI64" s="30">
        <v>0.5</v>
      </c>
      <c r="CJ64" s="27"/>
      <c r="CK64" s="30"/>
      <c r="CM64" s="11"/>
      <c r="CO64" s="27"/>
      <c r="CP64" s="30">
        <v>0.8</v>
      </c>
      <c r="CQ64" s="27"/>
      <c r="CR64" s="30"/>
      <c r="CT64" s="11"/>
      <c r="CV64" s="27"/>
      <c r="CW64" s="30">
        <v>1.0</v>
      </c>
      <c r="CX64" s="27"/>
      <c r="CY64" s="30"/>
      <c r="DA64" s="11"/>
      <c r="DC64" s="27"/>
      <c r="DD64" s="30">
        <v>1.0</v>
      </c>
      <c r="DE64" s="27"/>
      <c r="DF64" s="30">
        <v>1.0</v>
      </c>
      <c r="DH64" s="11"/>
      <c r="DJ64" s="27"/>
      <c r="DK64" s="27"/>
      <c r="DL64" s="27"/>
      <c r="DM64" s="27"/>
      <c r="DO64" s="11"/>
      <c r="DQ64" s="27"/>
      <c r="DR64" s="27"/>
      <c r="DS64" s="27"/>
      <c r="DT64" s="27"/>
    </row>
    <row r="65" ht="15.75" customHeight="1" outlineLevel="1">
      <c r="B65" s="6" t="s">
        <v>56</v>
      </c>
      <c r="C65" s="24" t="s">
        <v>97</v>
      </c>
      <c r="E65" s="26"/>
      <c r="F65" s="5" t="s">
        <v>107</v>
      </c>
      <c r="G65" s="27">
        <v>0.1</v>
      </c>
      <c r="I65" s="26">
        <f t="shared" si="7"/>
        <v>1.5</v>
      </c>
      <c r="J65" s="29">
        <f t="array" ref="J65">MAX(IF($N$3:$GU$3=$J$3,N65:GU65))</f>
        <v>0.3</v>
      </c>
      <c r="K65" s="29"/>
      <c r="L65" s="26"/>
      <c r="P65" s="27"/>
      <c r="Q65" s="30">
        <v>0.0</v>
      </c>
      <c r="R65" s="27"/>
      <c r="S65" s="30"/>
      <c r="W65" s="27"/>
      <c r="X65" s="30">
        <v>0.0</v>
      </c>
      <c r="Y65" s="27"/>
      <c r="AD65" s="27"/>
      <c r="AE65" s="27"/>
      <c r="AF65" s="27"/>
      <c r="AG65" s="30">
        <v>0.0</v>
      </c>
      <c r="AK65" s="27"/>
      <c r="AL65" s="30">
        <v>0.0</v>
      </c>
      <c r="AM65" s="27"/>
      <c r="AN65" s="30"/>
      <c r="AR65" s="27"/>
      <c r="AS65" s="30">
        <v>0.0</v>
      </c>
      <c r="AT65" s="27"/>
      <c r="AY65" s="27"/>
      <c r="AZ65" s="30">
        <v>0.5</v>
      </c>
      <c r="BA65" s="27"/>
      <c r="BD65" s="11"/>
      <c r="BF65" s="27"/>
      <c r="BG65" s="30">
        <v>0.5</v>
      </c>
      <c r="BH65" s="27"/>
      <c r="BM65" s="27"/>
      <c r="BN65" s="30">
        <v>0.8</v>
      </c>
      <c r="BO65" s="27"/>
      <c r="BR65" s="11"/>
      <c r="BT65" s="27"/>
      <c r="BU65" s="30"/>
      <c r="BV65" s="27"/>
      <c r="BW65" s="30"/>
      <c r="BY65" s="11"/>
      <c r="BZ65" s="5">
        <v>1.5</v>
      </c>
      <c r="CA65" s="27"/>
      <c r="CB65" s="30"/>
      <c r="CC65" s="27"/>
      <c r="CD65" s="30"/>
      <c r="CF65" s="11"/>
      <c r="CH65" s="30">
        <v>0.3</v>
      </c>
      <c r="CI65" s="30">
        <v>0.5</v>
      </c>
      <c r="CJ65" s="27"/>
      <c r="CK65" s="30"/>
      <c r="CM65" s="11"/>
      <c r="CO65" s="27"/>
      <c r="CP65" s="30">
        <v>0.8</v>
      </c>
      <c r="CQ65" s="27"/>
      <c r="CR65" s="30"/>
      <c r="CT65" s="11"/>
      <c r="CV65" s="27"/>
      <c r="CW65" s="30">
        <v>0.8</v>
      </c>
      <c r="CX65" s="27"/>
      <c r="CY65" s="30"/>
      <c r="DA65" s="11"/>
      <c r="DC65" s="27"/>
      <c r="DD65" s="30">
        <v>1.0</v>
      </c>
      <c r="DE65" s="27"/>
      <c r="DF65" s="30">
        <v>1.0</v>
      </c>
      <c r="DH65" s="11"/>
      <c r="DJ65" s="27"/>
      <c r="DK65" s="27"/>
      <c r="DL65" s="27"/>
      <c r="DM65" s="27"/>
      <c r="DO65" s="11"/>
      <c r="DQ65" s="27"/>
      <c r="DR65" s="27"/>
      <c r="DS65" s="27"/>
      <c r="DT65" s="27"/>
    </row>
    <row r="66" ht="15.75" customHeight="1" outlineLevel="1">
      <c r="B66" s="6" t="s">
        <v>56</v>
      </c>
      <c r="C66" s="24" t="s">
        <v>97</v>
      </c>
      <c r="E66" s="26"/>
      <c r="F66" s="5" t="s">
        <v>108</v>
      </c>
      <c r="G66" s="27">
        <v>0.1</v>
      </c>
      <c r="I66" s="26">
        <f t="shared" si="7"/>
        <v>1.5</v>
      </c>
      <c r="J66" s="29">
        <f t="array" ref="J66">MAX(IF($N$3:$GU$3=$J$3,N66:GU66))</f>
        <v>0.3</v>
      </c>
      <c r="K66" s="29"/>
      <c r="L66" s="26"/>
      <c r="P66" s="27"/>
      <c r="Q66" s="30">
        <v>0.0</v>
      </c>
      <c r="R66" s="27"/>
      <c r="S66" s="30"/>
      <c r="W66" s="27"/>
      <c r="X66" s="30">
        <v>0.0</v>
      </c>
      <c r="Y66" s="27"/>
      <c r="AD66" s="27"/>
      <c r="AE66" s="27"/>
      <c r="AF66" s="27"/>
      <c r="AG66" s="30">
        <v>0.0</v>
      </c>
      <c r="AK66" s="27"/>
      <c r="AL66" s="30">
        <v>0.0</v>
      </c>
      <c r="AM66" s="27"/>
      <c r="AN66" s="30"/>
      <c r="AR66" s="27"/>
      <c r="AS66" s="30">
        <v>0.0</v>
      </c>
      <c r="AT66" s="27"/>
      <c r="AY66" s="27"/>
      <c r="AZ66" s="30">
        <v>0.0</v>
      </c>
      <c r="BA66" s="27"/>
      <c r="BD66" s="11"/>
      <c r="BF66" s="27"/>
      <c r="BG66" s="30">
        <v>0.5</v>
      </c>
      <c r="BH66" s="27"/>
      <c r="BM66" s="27"/>
      <c r="BN66" s="30">
        <v>0.5</v>
      </c>
      <c r="BO66" s="27"/>
      <c r="BR66" s="11"/>
      <c r="BT66" s="27"/>
      <c r="BU66" s="30"/>
      <c r="BV66" s="27"/>
      <c r="BW66" s="30"/>
      <c r="BY66" s="11"/>
      <c r="CA66" s="27"/>
      <c r="CB66" s="30"/>
      <c r="CC66" s="27"/>
      <c r="CD66" s="30"/>
      <c r="CF66" s="11"/>
      <c r="CG66" s="5">
        <v>1.5</v>
      </c>
      <c r="CH66" s="30">
        <v>0.3</v>
      </c>
      <c r="CI66" s="30">
        <v>0.5</v>
      </c>
      <c r="CJ66" s="27"/>
      <c r="CK66" s="30"/>
      <c r="CM66" s="11"/>
      <c r="CO66" s="27"/>
      <c r="CP66" s="30">
        <v>0.8</v>
      </c>
      <c r="CQ66" s="27"/>
      <c r="CR66" s="30"/>
      <c r="CT66" s="11"/>
      <c r="CV66" s="27"/>
      <c r="CW66" s="30">
        <v>0.8</v>
      </c>
      <c r="CX66" s="27"/>
      <c r="CY66" s="30"/>
      <c r="DA66" s="11"/>
      <c r="DC66" s="27"/>
      <c r="DD66" s="30">
        <v>1.0</v>
      </c>
      <c r="DE66" s="27"/>
      <c r="DF66" s="30">
        <v>1.0</v>
      </c>
      <c r="DH66" s="11"/>
      <c r="DJ66" s="27"/>
      <c r="DK66" s="27"/>
      <c r="DL66" s="27"/>
      <c r="DM66" s="27"/>
      <c r="DO66" s="11"/>
      <c r="DQ66" s="27"/>
      <c r="DR66" s="27"/>
      <c r="DS66" s="27"/>
      <c r="DT66" s="27"/>
    </row>
    <row r="67" ht="15.75" customHeight="1" outlineLevel="1">
      <c r="B67" s="6" t="s">
        <v>56</v>
      </c>
      <c r="C67" s="24" t="s">
        <v>97</v>
      </c>
      <c r="E67" s="26"/>
      <c r="F67" s="5" t="s">
        <v>109</v>
      </c>
      <c r="G67" s="27">
        <v>0.1</v>
      </c>
      <c r="I67" s="26">
        <f t="shared" si="7"/>
        <v>0</v>
      </c>
      <c r="J67" s="29">
        <f t="array" ref="J67">MAX(IF($N$3:$GU$3=$J$3,N67:GU67))</f>
        <v>0</v>
      </c>
      <c r="K67" s="29"/>
      <c r="L67" s="26"/>
      <c r="P67" s="27"/>
      <c r="Q67" s="30">
        <v>0.0</v>
      </c>
      <c r="R67" s="27"/>
      <c r="S67" s="30"/>
      <c r="W67" s="27"/>
      <c r="X67" s="30">
        <v>0.0</v>
      </c>
      <c r="Y67" s="27"/>
      <c r="AD67" s="27"/>
      <c r="AE67" s="27"/>
      <c r="AF67" s="27"/>
      <c r="AG67" s="30">
        <v>0.0</v>
      </c>
      <c r="AK67" s="27"/>
      <c r="AL67" s="30">
        <v>0.0</v>
      </c>
      <c r="AM67" s="27"/>
      <c r="AN67" s="30"/>
      <c r="AR67" s="27"/>
      <c r="AS67" s="30">
        <v>0.0</v>
      </c>
      <c r="AT67" s="27"/>
      <c r="AY67" s="27"/>
      <c r="AZ67" s="30">
        <v>0.0</v>
      </c>
      <c r="BA67" s="27"/>
      <c r="BD67" s="11"/>
      <c r="BF67" s="27"/>
      <c r="BG67" s="30">
        <v>0.5</v>
      </c>
      <c r="BH67" s="27"/>
      <c r="BM67" s="27"/>
      <c r="BN67" s="30">
        <v>0.5</v>
      </c>
      <c r="BO67" s="27"/>
      <c r="BR67" s="11"/>
      <c r="BT67" s="27"/>
      <c r="BU67" s="30"/>
      <c r="BV67" s="27"/>
      <c r="BW67" s="30"/>
      <c r="BY67" s="11"/>
      <c r="CA67" s="27"/>
      <c r="CB67" s="30"/>
      <c r="CC67" s="27"/>
      <c r="CD67" s="30"/>
      <c r="CF67" s="11"/>
      <c r="CH67" s="27"/>
      <c r="CI67" s="30"/>
      <c r="CJ67" s="27"/>
      <c r="CK67" s="30"/>
      <c r="CM67" s="11"/>
      <c r="CO67" s="27"/>
      <c r="CP67" s="30">
        <v>0.5</v>
      </c>
      <c r="CQ67" s="27"/>
      <c r="CR67" s="30"/>
      <c r="CT67" s="11"/>
      <c r="CV67" s="27"/>
      <c r="CW67" s="30">
        <v>0.8</v>
      </c>
      <c r="CX67" s="27"/>
      <c r="CY67" s="30"/>
      <c r="DA67" s="11"/>
      <c r="DC67" s="27"/>
      <c r="DD67" s="30">
        <v>1.0</v>
      </c>
      <c r="DE67" s="27"/>
      <c r="DF67" s="30">
        <v>1.0</v>
      </c>
      <c r="DH67" s="11"/>
      <c r="DJ67" s="27"/>
      <c r="DK67" s="27"/>
      <c r="DL67" s="27"/>
      <c r="DM67" s="27"/>
      <c r="DO67" s="11"/>
      <c r="DQ67" s="27"/>
      <c r="DR67" s="27"/>
      <c r="DS67" s="27"/>
      <c r="DT67" s="27"/>
    </row>
    <row r="68" ht="15.75" customHeight="1" outlineLevel="1">
      <c r="B68" s="6" t="s">
        <v>56</v>
      </c>
      <c r="C68" s="24" t="s">
        <v>97</v>
      </c>
      <c r="E68" s="26"/>
      <c r="F68" s="5" t="s">
        <v>110</v>
      </c>
      <c r="G68" s="27">
        <v>0.1</v>
      </c>
      <c r="I68" s="26">
        <f t="shared" si="7"/>
        <v>0</v>
      </c>
      <c r="J68" s="29">
        <f t="array" ref="J68">MAX(IF($N$3:$GU$3=$J$3,N68:GU68))</f>
        <v>0</v>
      </c>
      <c r="K68" s="29"/>
      <c r="L68" s="26"/>
      <c r="P68" s="27"/>
      <c r="Q68" s="30">
        <v>0.0</v>
      </c>
      <c r="R68" s="27"/>
      <c r="S68" s="30"/>
      <c r="W68" s="27"/>
      <c r="X68" s="30">
        <v>0.0</v>
      </c>
      <c r="Y68" s="27"/>
      <c r="AD68" s="27"/>
      <c r="AE68" s="27"/>
      <c r="AF68" s="27"/>
      <c r="AG68" s="30">
        <v>0.0</v>
      </c>
      <c r="AK68" s="27"/>
      <c r="AL68" s="30">
        <v>0.0</v>
      </c>
      <c r="AM68" s="27"/>
      <c r="AN68" s="30"/>
      <c r="AR68" s="27"/>
      <c r="AS68" s="30">
        <v>0.0</v>
      </c>
      <c r="AT68" s="27"/>
      <c r="AY68" s="27"/>
      <c r="AZ68" s="30">
        <v>0.0</v>
      </c>
      <c r="BA68" s="27"/>
      <c r="BD68" s="11"/>
      <c r="BF68" s="27"/>
      <c r="BG68" s="30">
        <v>0.0</v>
      </c>
      <c r="BH68" s="27"/>
      <c r="BM68" s="27"/>
      <c r="BN68" s="30">
        <v>0.5</v>
      </c>
      <c r="BO68" s="27"/>
      <c r="BR68" s="11"/>
      <c r="BT68" s="27"/>
      <c r="BU68" s="30"/>
      <c r="BV68" s="27"/>
      <c r="BW68" s="30"/>
      <c r="BY68" s="11"/>
      <c r="CA68" s="27"/>
      <c r="CB68" s="30"/>
      <c r="CC68" s="27"/>
      <c r="CD68" s="30"/>
      <c r="CF68" s="11"/>
      <c r="CH68" s="27"/>
      <c r="CI68" s="30"/>
      <c r="CJ68" s="27"/>
      <c r="CK68" s="30"/>
      <c r="CM68" s="11"/>
      <c r="CO68" s="27"/>
      <c r="CP68" s="30"/>
      <c r="CQ68" s="27"/>
      <c r="CR68" s="30"/>
      <c r="CT68" s="11"/>
      <c r="CV68" s="27"/>
      <c r="CW68" s="30">
        <v>0.5</v>
      </c>
      <c r="CX68" s="27"/>
      <c r="CY68" s="30"/>
      <c r="DA68" s="11"/>
      <c r="DC68" s="27"/>
      <c r="DD68" s="30">
        <v>1.0</v>
      </c>
      <c r="DE68" s="27"/>
      <c r="DF68" s="30">
        <v>1.0</v>
      </c>
      <c r="DH68" s="11"/>
      <c r="DJ68" s="27"/>
      <c r="DK68" s="27"/>
      <c r="DL68" s="27"/>
      <c r="DM68" s="27"/>
      <c r="DO68" s="11"/>
      <c r="DQ68" s="27"/>
      <c r="DR68" s="27"/>
      <c r="DS68" s="27"/>
      <c r="DT68" s="27"/>
    </row>
    <row r="69" ht="15.75" customHeight="1" outlineLevel="1">
      <c r="B69" s="6" t="s">
        <v>56</v>
      </c>
      <c r="C69" s="24" t="s">
        <v>97</v>
      </c>
      <c r="E69" s="26"/>
      <c r="F69" s="5" t="s">
        <v>111</v>
      </c>
      <c r="G69" s="27">
        <v>0.1</v>
      </c>
      <c r="I69" s="26">
        <f t="shared" si="7"/>
        <v>0</v>
      </c>
      <c r="J69" s="29">
        <f t="array" ref="J69">MAX(IF($N$3:$GU$3=$J$3,N69:GU69))</f>
        <v>0</v>
      </c>
      <c r="K69" s="29"/>
      <c r="L69" s="26"/>
      <c r="P69" s="27"/>
      <c r="Q69" s="30">
        <v>0.0</v>
      </c>
      <c r="R69" s="27"/>
      <c r="S69" s="30"/>
      <c r="W69" s="27"/>
      <c r="X69" s="30">
        <v>0.0</v>
      </c>
      <c r="Y69" s="27"/>
      <c r="AD69" s="27"/>
      <c r="AE69" s="27"/>
      <c r="AF69" s="27"/>
      <c r="AG69" s="30">
        <v>0.0</v>
      </c>
      <c r="AK69" s="27"/>
      <c r="AL69" s="30">
        <v>0.0</v>
      </c>
      <c r="AM69" s="27"/>
      <c r="AN69" s="30"/>
      <c r="AR69" s="27"/>
      <c r="AS69" s="30">
        <v>0.0</v>
      </c>
      <c r="AT69" s="27"/>
      <c r="AY69" s="27"/>
      <c r="AZ69" s="30">
        <v>0.0</v>
      </c>
      <c r="BA69" s="27"/>
      <c r="BD69" s="11"/>
      <c r="BF69" s="27"/>
      <c r="BG69" s="30">
        <v>0.0</v>
      </c>
      <c r="BH69" s="27"/>
      <c r="BM69" s="27"/>
      <c r="BN69" s="30">
        <v>0.0</v>
      </c>
      <c r="BO69" s="27"/>
      <c r="BR69" s="11"/>
      <c r="BT69" s="27"/>
      <c r="BU69" s="30"/>
      <c r="BV69" s="27"/>
      <c r="BW69" s="30"/>
      <c r="BY69" s="11"/>
      <c r="CA69" s="27"/>
      <c r="CB69" s="30"/>
      <c r="CC69" s="27"/>
      <c r="CD69" s="30"/>
      <c r="CF69" s="11"/>
      <c r="CH69" s="27"/>
      <c r="CI69" s="30"/>
      <c r="CJ69" s="27"/>
      <c r="CK69" s="30"/>
      <c r="CM69" s="11"/>
      <c r="CO69" s="27"/>
      <c r="CP69" s="30"/>
      <c r="CQ69" s="27"/>
      <c r="CR69" s="30"/>
      <c r="CT69" s="11"/>
      <c r="CV69" s="27"/>
      <c r="CW69" s="30">
        <v>0.5</v>
      </c>
      <c r="CX69" s="27"/>
      <c r="CY69" s="30"/>
      <c r="DA69" s="11"/>
      <c r="DC69" s="27"/>
      <c r="DD69" s="30">
        <v>1.0</v>
      </c>
      <c r="DE69" s="27"/>
      <c r="DF69" s="30">
        <v>1.0</v>
      </c>
      <c r="DH69" s="11"/>
      <c r="DJ69" s="27"/>
      <c r="DK69" s="27"/>
      <c r="DL69" s="27"/>
      <c r="DM69" s="27"/>
      <c r="DO69" s="11"/>
      <c r="DQ69" s="27"/>
      <c r="DR69" s="27"/>
      <c r="DS69" s="27"/>
      <c r="DT69" s="27"/>
    </row>
    <row r="70" ht="15.75" customHeight="1">
      <c r="C70" s="8"/>
      <c r="BD70" s="11"/>
      <c r="BR70" s="11"/>
      <c r="BY70" s="11"/>
      <c r="CF70" s="11"/>
      <c r="CM70" s="11"/>
      <c r="CT70" s="11"/>
      <c r="DA70" s="11"/>
      <c r="DH70" s="11"/>
      <c r="DO70" s="11"/>
    </row>
    <row r="71" ht="15.75" customHeight="1">
      <c r="B71" s="6" t="s">
        <v>26</v>
      </c>
      <c r="C71" s="24" t="s">
        <v>112</v>
      </c>
      <c r="D71" s="25">
        <v>44861.0</v>
      </c>
      <c r="E71" s="32">
        <v>3.0</v>
      </c>
      <c r="G71" s="27">
        <f>+SUM(G72:G78)</f>
        <v>1</v>
      </c>
      <c r="I71" s="28">
        <f>+SUM(I72:I78)</f>
        <v>52.5</v>
      </c>
      <c r="J71" s="29">
        <f>+SUMPRODUCT(G72:G78,J72:J78)</f>
        <v>1</v>
      </c>
      <c r="K71" s="29">
        <f>+SUMPRODUCT(G72:G78,K72:K78)</f>
        <v>1</v>
      </c>
      <c r="L71" s="26"/>
      <c r="O71" s="28">
        <f>SUM(O72:O78)</f>
        <v>3</v>
      </c>
      <c r="V71" s="37">
        <f>SUM(V72:V78)</f>
        <v>3.5</v>
      </c>
      <c r="AC71" s="28">
        <f>SUM(AC72:AC78)</f>
        <v>3</v>
      </c>
      <c r="AJ71" s="37">
        <f>SUM(AJ72:AJ78)</f>
        <v>4</v>
      </c>
      <c r="AQ71" s="37">
        <f>SUM(AQ72:AQ78)</f>
        <v>5.5</v>
      </c>
      <c r="AX71" s="37">
        <f>SUM(AX72:AX78)</f>
        <v>4.5</v>
      </c>
      <c r="BD71" s="11"/>
      <c r="BE71" s="28">
        <f>SUM(BE72:BE78)</f>
        <v>28</v>
      </c>
      <c r="BL71" s="28"/>
      <c r="BR71" s="11"/>
      <c r="BS71" s="28"/>
      <c r="BY71" s="11"/>
      <c r="BZ71" s="28"/>
      <c r="CF71" s="11"/>
      <c r="CG71" s="28"/>
      <c r="CM71" s="11"/>
      <c r="CN71" s="28"/>
      <c r="CT71" s="11"/>
      <c r="CU71" s="28"/>
      <c r="DA71" s="11"/>
      <c r="DB71" s="28"/>
      <c r="DH71" s="11"/>
      <c r="DI71" s="28"/>
      <c r="DO71" s="11"/>
      <c r="DP71" s="28"/>
    </row>
    <row r="72" ht="15.75" hidden="1" customHeight="1" outlineLevel="1">
      <c r="B72" s="6" t="s">
        <v>56</v>
      </c>
      <c r="C72" s="24" t="s">
        <v>113</v>
      </c>
      <c r="E72" s="26"/>
      <c r="F72" s="5" t="s">
        <v>114</v>
      </c>
      <c r="G72" s="30">
        <v>0.2</v>
      </c>
      <c r="I72" s="26">
        <f t="shared" ref="I72:I78" si="8">+SUMIF($N$3:$ACM$3,I$3,$N72:$ACM72)</f>
        <v>6.5</v>
      </c>
      <c r="J72" s="29">
        <f t="array" ref="J72">MAX(IF($N$3:$GU$3=$J$3,N72:GU72))</f>
        <v>1</v>
      </c>
      <c r="K72" s="29">
        <f t="array" ref="K72">MAX(IF($N$3:$GU$3=$J$3,N72:GU72))</f>
        <v>1</v>
      </c>
      <c r="L72" s="26"/>
      <c r="O72" s="5">
        <v>1.0</v>
      </c>
      <c r="R72" s="30">
        <v>0.3</v>
      </c>
      <c r="S72" s="30">
        <v>0.8</v>
      </c>
      <c r="T72" s="5">
        <v>4.0</v>
      </c>
      <c r="Y72" s="30">
        <v>0.3</v>
      </c>
      <c r="Z72" s="30">
        <v>0.8</v>
      </c>
      <c r="AA72" s="5">
        <v>4.0</v>
      </c>
      <c r="AD72" s="27"/>
      <c r="AE72" s="30"/>
      <c r="AF72" s="30">
        <v>0.3</v>
      </c>
      <c r="AG72" s="30">
        <v>0.8</v>
      </c>
      <c r="AJ72" s="5">
        <v>1.5</v>
      </c>
      <c r="AK72" s="30">
        <v>1.0</v>
      </c>
      <c r="AL72" s="30">
        <v>1.0</v>
      </c>
      <c r="AM72" s="30"/>
      <c r="AN72" s="30"/>
      <c r="AR72" s="30">
        <v>1.0</v>
      </c>
      <c r="AS72" s="30">
        <v>1.0</v>
      </c>
      <c r="AT72" s="27"/>
      <c r="AY72" s="30">
        <v>1.0</v>
      </c>
      <c r="AZ72" s="30">
        <v>1.0</v>
      </c>
      <c r="BA72" s="27"/>
      <c r="BD72" s="11"/>
      <c r="BE72" s="5">
        <v>4.0</v>
      </c>
      <c r="BF72" s="30">
        <v>1.0</v>
      </c>
      <c r="BG72" s="30">
        <v>1.0</v>
      </c>
      <c r="BH72" s="27"/>
      <c r="BI72" s="27"/>
      <c r="BM72" s="27"/>
      <c r="BN72" s="27"/>
      <c r="BO72" s="27"/>
      <c r="BP72" s="27"/>
      <c r="BR72" s="11"/>
      <c r="BT72" s="27"/>
      <c r="BU72" s="27"/>
      <c r="BV72" s="27"/>
      <c r="BW72" s="27"/>
      <c r="BY72" s="11"/>
      <c r="CA72" s="27"/>
      <c r="CB72" s="27"/>
      <c r="CC72" s="27"/>
      <c r="CD72" s="27"/>
      <c r="CF72" s="11"/>
      <c r="CH72" s="27"/>
      <c r="CI72" s="27"/>
      <c r="CJ72" s="27"/>
      <c r="CK72" s="27"/>
      <c r="CM72" s="11"/>
      <c r="CO72" s="27"/>
      <c r="CP72" s="27"/>
      <c r="CQ72" s="27"/>
      <c r="CR72" s="27"/>
      <c r="CT72" s="11"/>
      <c r="CV72" s="27"/>
      <c r="CW72" s="27"/>
      <c r="CX72" s="27"/>
      <c r="CY72" s="27"/>
      <c r="DA72" s="11"/>
      <c r="DC72" s="27"/>
      <c r="DD72" s="27"/>
      <c r="DE72" s="27"/>
      <c r="DF72" s="27"/>
      <c r="DH72" s="11"/>
      <c r="DJ72" s="27"/>
      <c r="DK72" s="27"/>
      <c r="DL72" s="27"/>
      <c r="DM72" s="27"/>
      <c r="DO72" s="11"/>
      <c r="DQ72" s="27"/>
      <c r="DR72" s="27"/>
      <c r="DS72" s="27"/>
      <c r="DT72" s="27"/>
    </row>
    <row r="73" ht="15.75" hidden="1" customHeight="1" outlineLevel="1">
      <c r="B73" s="6" t="s">
        <v>56</v>
      </c>
      <c r="C73" s="24" t="s">
        <v>113</v>
      </c>
      <c r="E73" s="26"/>
      <c r="F73" s="5" t="s">
        <v>115</v>
      </c>
      <c r="G73" s="30">
        <v>0.25</v>
      </c>
      <c r="I73" s="26">
        <f t="shared" si="8"/>
        <v>9.5</v>
      </c>
      <c r="J73" s="29">
        <f t="array" ref="J73">MAX(IF($N$3:$GU$3=$J$3,N73:GU73))</f>
        <v>1</v>
      </c>
      <c r="K73" s="29">
        <f t="array" ref="K73">MAX(IF($N$3:$GU$3=$J$3,N73:GU73))</f>
        <v>1</v>
      </c>
      <c r="L73" s="26"/>
      <c r="O73" s="5">
        <v>1.0</v>
      </c>
      <c r="R73" s="30">
        <v>0.3</v>
      </c>
      <c r="S73" s="30">
        <v>0.5</v>
      </c>
      <c r="Y73" s="30">
        <v>0.3</v>
      </c>
      <c r="Z73" s="30">
        <v>0.8</v>
      </c>
      <c r="AD73" s="27"/>
      <c r="AE73" s="30"/>
      <c r="AF73" s="30">
        <v>0.3</v>
      </c>
      <c r="AG73" s="30">
        <v>0.8</v>
      </c>
      <c r="AJ73" s="5">
        <v>2.5</v>
      </c>
      <c r="AK73" s="30">
        <v>0.5</v>
      </c>
      <c r="AL73" s="30">
        <v>1.0</v>
      </c>
      <c r="AM73" s="30"/>
      <c r="AN73" s="30"/>
      <c r="AQ73" s="5">
        <v>1.5</v>
      </c>
      <c r="AR73" s="30">
        <v>0.6</v>
      </c>
      <c r="AS73" s="30">
        <v>1.0</v>
      </c>
      <c r="AT73" s="27"/>
      <c r="AX73" s="5">
        <v>0.5</v>
      </c>
      <c r="AY73" s="30">
        <v>0.8</v>
      </c>
      <c r="AZ73" s="30">
        <v>1.0</v>
      </c>
      <c r="BA73" s="27"/>
      <c r="BD73" s="11"/>
      <c r="BE73" s="5">
        <v>4.0</v>
      </c>
      <c r="BF73" s="30">
        <v>1.0</v>
      </c>
      <c r="BG73" s="30">
        <v>1.0</v>
      </c>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J73" s="27"/>
      <c r="DK73" s="27"/>
      <c r="DL73" s="27"/>
      <c r="DM73" s="27"/>
      <c r="DO73" s="11"/>
      <c r="DQ73" s="27"/>
      <c r="DR73" s="27"/>
      <c r="DS73" s="27"/>
      <c r="DT73" s="27"/>
    </row>
    <row r="74" ht="15.75" hidden="1" customHeight="1" outlineLevel="1">
      <c r="B74" s="6" t="s">
        <v>56</v>
      </c>
      <c r="C74" s="24" t="s">
        <v>113</v>
      </c>
      <c r="E74" s="26"/>
      <c r="F74" s="5" t="s">
        <v>116</v>
      </c>
      <c r="G74" s="30">
        <v>0.25</v>
      </c>
      <c r="I74" s="26">
        <f t="shared" si="8"/>
        <v>9.5</v>
      </c>
      <c r="J74" s="29">
        <f t="array" ref="J74">MAX(IF($N$3:$GU$3=$J$3,N74:GU74))</f>
        <v>1</v>
      </c>
      <c r="K74" s="29">
        <f t="array" ref="K74">MAX(IF($N$3:$GU$3=$J$3,N74:GU74))</f>
        <v>1</v>
      </c>
      <c r="L74" s="26"/>
      <c r="O74" s="5">
        <v>1.0</v>
      </c>
      <c r="R74" s="30">
        <v>0.3</v>
      </c>
      <c r="S74" s="30">
        <v>0.5</v>
      </c>
      <c r="V74" s="5">
        <v>1.0</v>
      </c>
      <c r="Y74" s="30">
        <v>0.3</v>
      </c>
      <c r="Z74" s="30">
        <v>0.8</v>
      </c>
      <c r="AD74" s="27"/>
      <c r="AE74" s="30"/>
      <c r="AF74" s="30">
        <v>0.3</v>
      </c>
      <c r="AG74" s="30">
        <v>0.8</v>
      </c>
      <c r="AK74" s="30"/>
      <c r="AL74" s="30">
        <v>0.8</v>
      </c>
      <c r="AM74" s="30"/>
      <c r="AN74" s="30"/>
      <c r="AQ74" s="5">
        <v>1.0</v>
      </c>
      <c r="AR74" s="30">
        <v>0.5</v>
      </c>
      <c r="AS74" s="30">
        <v>1.0</v>
      </c>
      <c r="AT74" s="27"/>
      <c r="AX74" s="5">
        <v>2.5</v>
      </c>
      <c r="AY74" s="30">
        <v>0.8</v>
      </c>
      <c r="AZ74" s="30">
        <v>1.0</v>
      </c>
      <c r="BA74" s="27"/>
      <c r="BD74" s="11"/>
      <c r="BE74" s="5">
        <v>4.0</v>
      </c>
      <c r="BF74" s="30">
        <v>1.0</v>
      </c>
      <c r="BG74" s="30">
        <v>1.0</v>
      </c>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J74" s="27"/>
      <c r="DK74" s="27"/>
      <c r="DL74" s="27"/>
      <c r="DM74" s="27"/>
      <c r="DO74" s="11"/>
      <c r="DQ74" s="27"/>
      <c r="DR74" s="27"/>
      <c r="DS74" s="27"/>
      <c r="DT74" s="27"/>
    </row>
    <row r="75" ht="15.75" hidden="1" customHeight="1" outlineLevel="1">
      <c r="B75" s="6" t="s">
        <v>56</v>
      </c>
      <c r="C75" s="24" t="s">
        <v>113</v>
      </c>
      <c r="E75" s="26"/>
      <c r="F75" s="5" t="s">
        <v>142</v>
      </c>
      <c r="G75" s="30">
        <v>0.0</v>
      </c>
      <c r="I75" s="26">
        <f t="shared" si="8"/>
        <v>2.5</v>
      </c>
      <c r="J75" s="29">
        <f t="array" ref="J75">MAX(IF($N$3:$GU$3=$J$3,N75:GU75))</f>
        <v>1</v>
      </c>
      <c r="K75" s="29">
        <f t="array" ref="K75">MAX(IF($N$3:$GU$3=$J$3,N75:GU75))</f>
        <v>1</v>
      </c>
      <c r="L75" s="26"/>
      <c r="R75" s="27"/>
      <c r="S75" s="30">
        <v>0.0</v>
      </c>
      <c r="V75" s="5">
        <v>2.5</v>
      </c>
      <c r="Y75" s="30">
        <v>0.5</v>
      </c>
      <c r="Z75" s="30">
        <v>0.5</v>
      </c>
      <c r="AD75" s="27"/>
      <c r="AE75" s="30"/>
      <c r="AF75" s="30">
        <v>0.8</v>
      </c>
      <c r="AG75" s="30">
        <v>0.8</v>
      </c>
      <c r="AK75" s="30">
        <v>1.0</v>
      </c>
      <c r="AL75" s="30">
        <v>0.8</v>
      </c>
      <c r="AM75" s="30"/>
      <c r="AN75" s="30"/>
      <c r="AR75" s="30">
        <v>1.0</v>
      </c>
      <c r="AS75" s="30">
        <v>1.0</v>
      </c>
      <c r="AT75" s="27"/>
      <c r="AY75" s="30">
        <v>1.0</v>
      </c>
      <c r="AZ75" s="30">
        <v>1.0</v>
      </c>
      <c r="BA75" s="27"/>
      <c r="BD75" s="11"/>
      <c r="BF75" s="30">
        <v>1.0</v>
      </c>
      <c r="BG75" s="30">
        <v>1.0</v>
      </c>
      <c r="BH75" s="32"/>
      <c r="BI75" s="32"/>
      <c r="BM75" s="32" t="s">
        <v>120</v>
      </c>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J75" s="27"/>
      <c r="DK75" s="27"/>
      <c r="DL75" s="27"/>
      <c r="DM75" s="27"/>
      <c r="DO75" s="11"/>
      <c r="DQ75" s="27"/>
      <c r="DR75" s="27"/>
      <c r="DS75" s="27"/>
      <c r="DT75" s="27"/>
    </row>
    <row r="76" ht="15.75" hidden="1" customHeight="1" outlineLevel="1">
      <c r="B76" s="6" t="s">
        <v>56</v>
      </c>
      <c r="C76" s="24" t="s">
        <v>113</v>
      </c>
      <c r="E76" s="26"/>
      <c r="F76" s="5" t="s">
        <v>143</v>
      </c>
      <c r="G76" s="30">
        <v>0.0</v>
      </c>
      <c r="I76" s="26">
        <f t="shared" si="8"/>
        <v>7.5</v>
      </c>
      <c r="J76" s="29">
        <f t="array" ref="J76">MAX(IF($N$3:$GU$3=$J$3,N76:GU76))</f>
        <v>0.6</v>
      </c>
      <c r="K76" s="29">
        <f t="array" ref="K76">MAX(IF($N$3:$GU$3=$J$3,N76:GU76))</f>
        <v>0.6</v>
      </c>
      <c r="L76" s="26"/>
      <c r="R76" s="27"/>
      <c r="S76" s="30">
        <v>0.0</v>
      </c>
      <c r="Y76" s="27"/>
      <c r="Z76" s="30">
        <v>0.5</v>
      </c>
      <c r="AD76" s="27"/>
      <c r="AE76" s="30"/>
      <c r="AF76" s="27"/>
      <c r="AG76" s="30">
        <v>0.8</v>
      </c>
      <c r="AK76" s="27"/>
      <c r="AL76" s="30">
        <v>0.8</v>
      </c>
      <c r="AM76" s="27"/>
      <c r="AN76" s="30"/>
      <c r="AQ76" s="5">
        <v>3.0</v>
      </c>
      <c r="AR76" s="30">
        <v>0.5</v>
      </c>
      <c r="AS76" s="30">
        <v>0.8</v>
      </c>
      <c r="AT76" s="27"/>
      <c r="AX76" s="5">
        <v>1.5</v>
      </c>
      <c r="AY76" s="30">
        <v>0.6</v>
      </c>
      <c r="AZ76" s="30">
        <v>1.0</v>
      </c>
      <c r="BA76" s="27"/>
      <c r="BD76" s="11"/>
      <c r="BE76" s="5">
        <v>2.0</v>
      </c>
      <c r="BF76" s="30">
        <v>0.6</v>
      </c>
      <c r="BG76" s="30">
        <v>1.0</v>
      </c>
      <c r="BH76" s="27"/>
      <c r="BI76" s="27"/>
      <c r="BM76" s="27"/>
      <c r="BN76" s="27"/>
      <c r="BO76" s="27"/>
      <c r="BP76" s="27"/>
      <c r="BR76" s="11"/>
      <c r="BS76" s="5">
        <v>1.0</v>
      </c>
      <c r="BT76" s="27"/>
      <c r="BU76" s="27"/>
      <c r="BV76" s="27"/>
      <c r="BW76" s="27"/>
      <c r="BY76" s="11"/>
      <c r="CA76" s="27"/>
      <c r="CB76" s="27"/>
      <c r="CC76" s="27"/>
      <c r="CD76" s="27"/>
      <c r="CF76" s="11"/>
      <c r="CH76" s="27"/>
      <c r="CI76" s="27"/>
      <c r="CJ76" s="27"/>
      <c r="CK76" s="27"/>
      <c r="CM76" s="11"/>
      <c r="CO76" s="27"/>
      <c r="CP76" s="27"/>
      <c r="CQ76" s="27"/>
      <c r="CR76" s="27"/>
      <c r="CT76" s="11"/>
      <c r="CV76" s="27"/>
      <c r="CW76" s="27"/>
      <c r="CX76" s="27"/>
      <c r="CY76" s="27"/>
      <c r="DA76" s="11"/>
      <c r="DC76" s="27"/>
      <c r="DD76" s="27"/>
      <c r="DE76" s="27"/>
      <c r="DF76" s="27"/>
      <c r="DH76" s="11"/>
      <c r="DJ76" s="27"/>
      <c r="DK76" s="27"/>
      <c r="DL76" s="27"/>
      <c r="DM76" s="27"/>
      <c r="DO76" s="11"/>
      <c r="DQ76" s="27"/>
      <c r="DR76" s="27"/>
      <c r="DS76" s="27"/>
      <c r="DT76" s="27"/>
    </row>
    <row r="77" ht="15.75" hidden="1" customHeight="1" outlineLevel="1">
      <c r="B77" s="6" t="s">
        <v>56</v>
      </c>
      <c r="C77" s="24" t="s">
        <v>113</v>
      </c>
      <c r="E77" s="26"/>
      <c r="F77" s="5" t="s">
        <v>144</v>
      </c>
      <c r="G77" s="30">
        <v>0.0</v>
      </c>
      <c r="I77" s="26">
        <f t="shared" si="8"/>
        <v>3</v>
      </c>
      <c r="J77" s="29">
        <f t="array" ref="J77">MAX(IF($N$3:$GU$3=$J$3,N77:GU77))</f>
        <v>0.9</v>
      </c>
      <c r="K77" s="29">
        <f t="array" ref="K77">MAX(IF($N$3:$GU$3=$J$3,N77:GU77))</f>
        <v>0.9</v>
      </c>
      <c r="L77" s="26"/>
      <c r="R77" s="27"/>
      <c r="S77" s="30">
        <v>0.0</v>
      </c>
      <c r="Y77" s="27"/>
      <c r="Z77" s="30">
        <v>0.0</v>
      </c>
      <c r="AC77" s="5">
        <v>3.0</v>
      </c>
      <c r="AD77" s="27"/>
      <c r="AE77" s="30"/>
      <c r="AF77" s="27"/>
      <c r="AG77" s="30">
        <v>0.5</v>
      </c>
      <c r="AK77" s="30">
        <v>0.8</v>
      </c>
      <c r="AL77" s="30">
        <v>0.8</v>
      </c>
      <c r="AM77" s="27"/>
      <c r="AN77" s="30"/>
      <c r="AR77" s="30">
        <v>0.8</v>
      </c>
      <c r="AS77" s="30">
        <v>0.8</v>
      </c>
      <c r="AT77" s="27"/>
      <c r="AY77" s="30">
        <v>0.9</v>
      </c>
      <c r="AZ77" s="30">
        <v>1.0</v>
      </c>
      <c r="BA77" s="27"/>
      <c r="BD77" s="11"/>
      <c r="BF77" s="30">
        <v>0.8</v>
      </c>
      <c r="BG77" s="30">
        <v>1.0</v>
      </c>
      <c r="BH77" s="27"/>
      <c r="BI77" s="27"/>
      <c r="BM77" s="27"/>
      <c r="BN77" s="27"/>
      <c r="BO77" s="27"/>
      <c r="BP77" s="27"/>
      <c r="BR77" s="11"/>
      <c r="BT77" s="27"/>
      <c r="BU77" s="27"/>
      <c r="BV77" s="27"/>
      <c r="BW77" s="27"/>
      <c r="BY77" s="11"/>
      <c r="CA77" s="27"/>
      <c r="CB77" s="27"/>
      <c r="CC77" s="27"/>
      <c r="CD77" s="27"/>
      <c r="CF77" s="11"/>
      <c r="CH77" s="27"/>
      <c r="CI77" s="27"/>
      <c r="CJ77" s="27"/>
      <c r="CK77" s="27"/>
      <c r="CM77" s="11"/>
      <c r="CO77" s="27"/>
      <c r="CP77" s="27"/>
      <c r="CQ77" s="27"/>
      <c r="CR77" s="27"/>
      <c r="CT77" s="11"/>
      <c r="CV77" s="27"/>
      <c r="CW77" s="27"/>
      <c r="CX77" s="27"/>
      <c r="CY77" s="27"/>
      <c r="DA77" s="11"/>
      <c r="DC77" s="27"/>
      <c r="DD77" s="27"/>
      <c r="DE77" s="27"/>
      <c r="DF77" s="27"/>
      <c r="DH77" s="11"/>
      <c r="DJ77" s="27"/>
      <c r="DK77" s="27"/>
      <c r="DL77" s="27"/>
      <c r="DM77" s="27"/>
      <c r="DO77" s="11"/>
      <c r="DQ77" s="27"/>
      <c r="DR77" s="27"/>
      <c r="DS77" s="27"/>
      <c r="DT77" s="27"/>
    </row>
    <row r="78" ht="15.75" hidden="1" customHeight="1" outlineLevel="1">
      <c r="B78" s="6" t="s">
        <v>56</v>
      </c>
      <c r="C78" s="24" t="s">
        <v>113</v>
      </c>
      <c r="E78" s="26"/>
      <c r="F78" s="5" t="s">
        <v>145</v>
      </c>
      <c r="G78" s="30">
        <v>0.3</v>
      </c>
      <c r="I78" s="26">
        <f t="shared" si="8"/>
        <v>14</v>
      </c>
      <c r="J78" s="29">
        <f t="array" ref="J78">MAX(IF($N$3:$GU$3=$J$3,N78:GU78))</f>
        <v>1</v>
      </c>
      <c r="K78" s="29">
        <f t="array" ref="K78">MAX(IF($N$3:$GU$3=$J$3,N78:GU78))</f>
        <v>1</v>
      </c>
      <c r="L78" s="26"/>
      <c r="R78" s="27"/>
      <c r="S78" s="30">
        <v>0.0</v>
      </c>
      <c r="Y78" s="27"/>
      <c r="Z78" s="30">
        <v>0.0</v>
      </c>
      <c r="AD78" s="27"/>
      <c r="AE78" s="30"/>
      <c r="AF78" s="27"/>
      <c r="AG78" s="30">
        <v>0.5</v>
      </c>
      <c r="AK78" s="27"/>
      <c r="AL78" s="30">
        <v>0.5</v>
      </c>
      <c r="AM78" s="27"/>
      <c r="AN78" s="30"/>
      <c r="AR78" s="27"/>
      <c r="AS78" s="30">
        <v>0.0</v>
      </c>
      <c r="AT78" s="27"/>
      <c r="AY78" s="27"/>
      <c r="AZ78" s="30">
        <v>0.0</v>
      </c>
      <c r="BA78" s="27"/>
      <c r="BD78" s="11"/>
      <c r="BE78" s="5">
        <v>14.0</v>
      </c>
      <c r="BF78" s="30">
        <v>1.0</v>
      </c>
      <c r="BG78" s="30">
        <v>1.0</v>
      </c>
      <c r="BH78" s="27"/>
      <c r="BI78" s="27"/>
      <c r="BM78" s="27"/>
      <c r="BN78" s="27"/>
      <c r="BO78" s="27"/>
      <c r="BP78" s="27"/>
      <c r="BR78" s="11"/>
      <c r="BT78" s="27"/>
      <c r="BU78" s="27"/>
      <c r="BV78" s="27"/>
      <c r="BW78" s="27"/>
      <c r="BY78" s="11"/>
      <c r="CA78" s="27"/>
      <c r="CB78" s="27"/>
      <c r="CC78" s="27"/>
      <c r="CD78" s="27"/>
      <c r="CF78" s="11"/>
      <c r="CH78" s="27"/>
      <c r="CI78" s="27"/>
      <c r="CJ78" s="27"/>
      <c r="CK78" s="27"/>
      <c r="CM78" s="11"/>
      <c r="CO78" s="27"/>
      <c r="CP78" s="27"/>
      <c r="CQ78" s="27"/>
      <c r="CR78" s="27"/>
      <c r="CT78" s="11"/>
      <c r="CV78" s="27"/>
      <c r="CW78" s="27"/>
      <c r="CX78" s="27"/>
      <c r="CY78" s="27"/>
      <c r="DA78" s="11"/>
      <c r="DC78" s="27"/>
      <c r="DD78" s="27"/>
      <c r="DE78" s="27"/>
      <c r="DF78" s="27"/>
      <c r="DH78" s="11"/>
      <c r="DJ78" s="27"/>
      <c r="DK78" s="27"/>
      <c r="DL78" s="27"/>
      <c r="DM78" s="27"/>
      <c r="DO78" s="11"/>
      <c r="DQ78" s="27"/>
      <c r="DR78" s="27"/>
      <c r="DS78" s="27"/>
      <c r="DT78" s="27"/>
    </row>
    <row r="79" ht="15.75" customHeight="1" collapsed="1">
      <c r="C79" s="8"/>
      <c r="AN79" s="30"/>
      <c r="BD79" s="11"/>
      <c r="BR79" s="11"/>
      <c r="BY79" s="11"/>
      <c r="CF79" s="11"/>
      <c r="CM79" s="11"/>
      <c r="CT79" s="11"/>
      <c r="DA79" s="11"/>
      <c r="DH79" s="11"/>
      <c r="DO79" s="11"/>
    </row>
    <row r="80" ht="15.75" customHeight="1">
      <c r="C80" s="8"/>
      <c r="BD80" s="11"/>
      <c r="BR80" s="11"/>
      <c r="BY80" s="11"/>
      <c r="CF80" s="11"/>
      <c r="CM80" s="11"/>
      <c r="CT80" s="11"/>
      <c r="DA80" s="11"/>
      <c r="DH80" s="11"/>
      <c r="DO80" s="11"/>
    </row>
    <row r="81" ht="15.75" customHeight="1">
      <c r="C81" s="8"/>
      <c r="I81" s="26"/>
      <c r="J81" s="29"/>
      <c r="K81" s="29"/>
      <c r="L81" s="26"/>
      <c r="P81" s="27"/>
      <c r="Q81" s="30"/>
      <c r="R81" s="27"/>
      <c r="S81" s="30"/>
      <c r="W81" s="27"/>
      <c r="X81" s="30"/>
      <c r="Y81" s="27"/>
      <c r="AD81" s="27"/>
      <c r="AE81" s="27"/>
      <c r="AF81" s="27"/>
      <c r="AG81" s="30"/>
      <c r="AK81" s="27"/>
      <c r="AL81" s="30"/>
      <c r="AM81" s="27"/>
      <c r="AN81" s="30"/>
      <c r="BD81" s="11"/>
      <c r="BR81" s="11"/>
      <c r="BY81" s="11"/>
      <c r="CF81" s="11"/>
      <c r="CM81" s="11"/>
      <c r="CT81" s="11"/>
      <c r="DA81" s="11"/>
      <c r="DH81" s="11"/>
      <c r="DO81" s="11"/>
    </row>
    <row r="82" ht="15.75" customHeight="1">
      <c r="C82" s="8"/>
      <c r="I82" s="26"/>
      <c r="J82" s="29"/>
      <c r="K82" s="29"/>
      <c r="L82" s="26"/>
      <c r="P82" s="27"/>
      <c r="Q82" s="30"/>
      <c r="R82" s="27"/>
      <c r="S82" s="30"/>
      <c r="W82" s="27"/>
      <c r="X82" s="30"/>
      <c r="Y82" s="27"/>
      <c r="AD82" s="27"/>
      <c r="AE82" s="27"/>
      <c r="AF82" s="27"/>
      <c r="AG82" s="30"/>
      <c r="AK82" s="27"/>
      <c r="AL82" s="30"/>
      <c r="AM82" s="27"/>
      <c r="AN82" s="30"/>
      <c r="BD82" s="11"/>
      <c r="BR82" s="11"/>
      <c r="BY82" s="11"/>
      <c r="CF82" s="11"/>
      <c r="CM82" s="11"/>
      <c r="CT82" s="11"/>
      <c r="DA82" s="11"/>
      <c r="DH82" s="11"/>
      <c r="DO82" s="11"/>
    </row>
    <row r="83" ht="15.75" customHeight="1">
      <c r="C83" s="8"/>
      <c r="I83" s="26"/>
      <c r="J83" s="29"/>
      <c r="K83" s="29"/>
      <c r="L83" s="26"/>
      <c r="P83" s="27"/>
      <c r="Q83" s="30"/>
      <c r="R83" s="27"/>
      <c r="S83" s="30"/>
      <c r="W83" s="27"/>
      <c r="X83" s="30"/>
      <c r="Y83" s="27"/>
      <c r="AD83" s="27"/>
      <c r="AE83" s="27"/>
      <c r="AF83" s="27"/>
      <c r="AG83" s="30"/>
      <c r="AK83" s="27"/>
      <c r="AL83" s="30"/>
      <c r="AM83" s="27"/>
      <c r="AN83" s="30"/>
      <c r="BD83" s="11"/>
      <c r="BR83" s="11"/>
      <c r="BY83" s="11"/>
      <c r="CF83" s="11"/>
      <c r="CM83" s="11"/>
      <c r="CT83" s="11"/>
      <c r="DA83" s="11"/>
      <c r="DH83" s="11"/>
      <c r="DO83" s="11"/>
    </row>
    <row r="84" ht="15.75" customHeight="1">
      <c r="C84" s="8"/>
      <c r="I84" s="26"/>
      <c r="J84" s="29"/>
      <c r="K84" s="29"/>
      <c r="L84" s="26"/>
      <c r="P84" s="27"/>
      <c r="Q84" s="30"/>
      <c r="R84" s="27"/>
      <c r="S84" s="30"/>
      <c r="W84" s="27"/>
      <c r="X84" s="30"/>
      <c r="Y84" s="27"/>
      <c r="AD84" s="27"/>
      <c r="AE84" s="27"/>
      <c r="AF84" s="27"/>
      <c r="AG84" s="30"/>
      <c r="AK84" s="27"/>
      <c r="AL84" s="30"/>
      <c r="AM84" s="27"/>
      <c r="AN84" s="30"/>
      <c r="BD84" s="11"/>
      <c r="BR84" s="11"/>
      <c r="BY84" s="11"/>
      <c r="CF84" s="11"/>
      <c r="CM84" s="11"/>
      <c r="CT84" s="11"/>
      <c r="DA84" s="11"/>
      <c r="DH84" s="11"/>
      <c r="DO84" s="11"/>
    </row>
    <row r="85" ht="15.75" customHeight="1">
      <c r="C85" s="8"/>
      <c r="I85" s="26"/>
      <c r="J85" s="29"/>
      <c r="K85" s="29"/>
      <c r="L85" s="26"/>
      <c r="P85" s="27"/>
      <c r="Q85" s="30"/>
      <c r="R85" s="27"/>
      <c r="S85" s="30"/>
      <c r="W85" s="27"/>
      <c r="X85" s="30"/>
      <c r="Y85" s="27"/>
      <c r="AD85" s="27"/>
      <c r="AE85" s="27"/>
      <c r="AF85" s="27"/>
      <c r="AG85" s="30"/>
      <c r="AK85" s="27"/>
      <c r="AL85" s="30"/>
      <c r="AM85" s="27"/>
      <c r="AN85" s="30"/>
      <c r="BD85" s="11"/>
      <c r="BR85" s="11"/>
      <c r="BY85" s="11"/>
      <c r="CF85" s="11"/>
      <c r="CM85" s="11"/>
      <c r="CT85" s="11"/>
      <c r="DA85" s="11"/>
      <c r="DH85" s="11"/>
      <c r="DO85" s="11"/>
    </row>
    <row r="86" ht="15.75" customHeight="1">
      <c r="C86" s="8"/>
      <c r="I86" s="26"/>
      <c r="J86" s="29"/>
      <c r="K86" s="29"/>
      <c r="L86" s="26"/>
      <c r="P86" s="27"/>
      <c r="Q86" s="30"/>
      <c r="R86" s="27"/>
      <c r="S86" s="30"/>
      <c r="W86" s="27"/>
      <c r="X86" s="30"/>
      <c r="Y86" s="27"/>
      <c r="AD86" s="27"/>
      <c r="AE86" s="27"/>
      <c r="AF86" s="27"/>
      <c r="AG86" s="30"/>
      <c r="AK86" s="27"/>
      <c r="AL86" s="30"/>
      <c r="AM86" s="27"/>
      <c r="AN86" s="30"/>
      <c r="BD86" s="11"/>
      <c r="BR86" s="11"/>
      <c r="BY86" s="11"/>
      <c r="CF86" s="11"/>
      <c r="CM86" s="11"/>
      <c r="CT86" s="11"/>
      <c r="DA86" s="11"/>
      <c r="DH86" s="11"/>
      <c r="DO86" s="11"/>
    </row>
    <row r="87" ht="15.75" customHeight="1">
      <c r="C87" s="8"/>
      <c r="BD87" s="11"/>
      <c r="BR87" s="11"/>
      <c r="BY87" s="11"/>
      <c r="CF87" s="11"/>
      <c r="CM87" s="11"/>
      <c r="CT87" s="11"/>
      <c r="DA87" s="11"/>
      <c r="DH87" s="11"/>
      <c r="DO87" s="11"/>
    </row>
    <row r="88" ht="15.75" customHeight="1">
      <c r="C88" s="8"/>
      <c r="BD88" s="11"/>
      <c r="BR88" s="11"/>
      <c r="BY88" s="11"/>
      <c r="CF88" s="11"/>
      <c r="CM88" s="11"/>
      <c r="CT88" s="11"/>
      <c r="DA88" s="11"/>
      <c r="DH88" s="11"/>
      <c r="DO88" s="11"/>
    </row>
    <row r="89" ht="15.75" customHeight="1">
      <c r="C89" s="8"/>
      <c r="BD89" s="11"/>
      <c r="BR89" s="11"/>
      <c r="BY89" s="11"/>
      <c r="CF89" s="11"/>
      <c r="CM89" s="11"/>
      <c r="CT89" s="11"/>
      <c r="DA89" s="11"/>
      <c r="DH89" s="11"/>
      <c r="DO89" s="11"/>
    </row>
    <row r="90" ht="15.75" customHeight="1">
      <c r="C90" s="8"/>
      <c r="BD90" s="11"/>
      <c r="BR90" s="11"/>
      <c r="BY90" s="11"/>
      <c r="CF90" s="11"/>
      <c r="CM90" s="11"/>
      <c r="CT90" s="11"/>
      <c r="DA90" s="11"/>
      <c r="DH90" s="11"/>
      <c r="DO90" s="11"/>
    </row>
    <row r="91" ht="15.75" customHeight="1">
      <c r="C91" s="8"/>
      <c r="BD91" s="11"/>
      <c r="BR91" s="11"/>
      <c r="BY91" s="11"/>
      <c r="CF91" s="11"/>
      <c r="CM91" s="11"/>
      <c r="CT91" s="11"/>
      <c r="DA91" s="11"/>
      <c r="DH91" s="11"/>
      <c r="DO91" s="11"/>
    </row>
    <row r="92" ht="15.75" customHeight="1">
      <c r="C92" s="8"/>
      <c r="BD92" s="11"/>
      <c r="BR92" s="11"/>
      <c r="BY92" s="11"/>
      <c r="CF92" s="11"/>
      <c r="CM92" s="11"/>
      <c r="CT92" s="11"/>
      <c r="DA92" s="11"/>
      <c r="DH92" s="11"/>
      <c r="DO92" s="11"/>
    </row>
    <row r="93" ht="15.75" customHeight="1">
      <c r="C93" s="8"/>
      <c r="BD93" s="11"/>
      <c r="BR93" s="11"/>
      <c r="BY93" s="11"/>
      <c r="CF93" s="11"/>
      <c r="CM93" s="11"/>
      <c r="CT93" s="11"/>
      <c r="DA93" s="11"/>
      <c r="DH93" s="11"/>
      <c r="DO93" s="11"/>
    </row>
    <row r="94" ht="15.75" customHeight="1">
      <c r="C94" s="8"/>
      <c r="BD94" s="11"/>
      <c r="BR94" s="11"/>
      <c r="BY94" s="11"/>
      <c r="CF94" s="11"/>
      <c r="CM94" s="11"/>
      <c r="CT94" s="11"/>
      <c r="DA94" s="11"/>
      <c r="DH94" s="11"/>
      <c r="DO94" s="11"/>
    </row>
    <row r="95" ht="15.75" customHeight="1">
      <c r="C95" s="8"/>
      <c r="BD95" s="11"/>
      <c r="BR95" s="11"/>
      <c r="BY95" s="11"/>
      <c r="CF95" s="11"/>
      <c r="CM95" s="11"/>
      <c r="CT95" s="11"/>
      <c r="DA95" s="11"/>
      <c r="DH95" s="11"/>
      <c r="DO95" s="11"/>
    </row>
    <row r="96" ht="15.75" customHeight="1">
      <c r="C96" s="8"/>
      <c r="BD96" s="11"/>
      <c r="BR96" s="11"/>
      <c r="BY96" s="11"/>
      <c r="CF96" s="11"/>
      <c r="CM96" s="11"/>
      <c r="CT96" s="11"/>
      <c r="DA96" s="11"/>
      <c r="DH96" s="11"/>
      <c r="DO96" s="11"/>
    </row>
    <row r="97" ht="15.75" customHeight="1">
      <c r="C97" s="8"/>
      <c r="BD97" s="11"/>
      <c r="BR97" s="11"/>
      <c r="BY97" s="11"/>
      <c r="CF97" s="11"/>
      <c r="CM97" s="11"/>
      <c r="CT97" s="11"/>
      <c r="DA97" s="11"/>
      <c r="DH97" s="11"/>
      <c r="DO97" s="11"/>
    </row>
    <row r="98" ht="15.75" customHeight="1">
      <c r="C98" s="8"/>
      <c r="BD98" s="11"/>
      <c r="BR98" s="11"/>
      <c r="BY98" s="11"/>
      <c r="CF98" s="11"/>
      <c r="CM98" s="11"/>
      <c r="CT98" s="11"/>
      <c r="DA98" s="11"/>
      <c r="DH98" s="11"/>
      <c r="DO98" s="11"/>
    </row>
    <row r="99" ht="15.75" customHeight="1">
      <c r="C99" s="8"/>
      <c r="BD99" s="11"/>
      <c r="BR99" s="11"/>
      <c r="BY99" s="11"/>
      <c r="CF99" s="11"/>
      <c r="CM99" s="11"/>
      <c r="CT99" s="11"/>
      <c r="DA99" s="11"/>
      <c r="DH99" s="11"/>
      <c r="DO99" s="11"/>
    </row>
    <row r="100" ht="15.75" customHeight="1">
      <c r="C100" s="8"/>
      <c r="BD100" s="11"/>
      <c r="BR100" s="11"/>
      <c r="BY100" s="11"/>
      <c r="CF100" s="11"/>
      <c r="CM100" s="11"/>
      <c r="CT100" s="11"/>
      <c r="DA100" s="11"/>
      <c r="DH100" s="11"/>
      <c r="DO100" s="11"/>
    </row>
    <row r="101" ht="15.75" customHeight="1">
      <c r="C101" s="8"/>
      <c r="BD101" s="11"/>
      <c r="BR101" s="11"/>
      <c r="BY101" s="11"/>
      <c r="CF101" s="11"/>
      <c r="CM101" s="11"/>
      <c r="CT101" s="11"/>
      <c r="DA101" s="11"/>
      <c r="DH101" s="11"/>
      <c r="DO101" s="11"/>
    </row>
    <row r="102" ht="15.75" customHeight="1">
      <c r="C102" s="8"/>
      <c r="BD102" s="11"/>
      <c r="BR102" s="11"/>
      <c r="BY102" s="11"/>
      <c r="CF102" s="11"/>
      <c r="CM102" s="11"/>
      <c r="CT102" s="11"/>
      <c r="DA102" s="11"/>
      <c r="DH102" s="11"/>
      <c r="DO102" s="11"/>
    </row>
    <row r="103" ht="15.75" customHeight="1">
      <c r="C103" s="8"/>
      <c r="BD103" s="11"/>
      <c r="BR103" s="11"/>
      <c r="BY103" s="11"/>
      <c r="CF103" s="11"/>
      <c r="CM103" s="11"/>
      <c r="CT103" s="11"/>
      <c r="DA103" s="11"/>
      <c r="DH103" s="11"/>
      <c r="DO103" s="11"/>
    </row>
    <row r="104" ht="15.75" customHeight="1">
      <c r="C104" s="8"/>
      <c r="BD104" s="11"/>
      <c r="BR104" s="11"/>
      <c r="BY104" s="11"/>
      <c r="CF104" s="11"/>
      <c r="CM104" s="11"/>
      <c r="CT104" s="11"/>
      <c r="DA104" s="11"/>
      <c r="DH104" s="11"/>
      <c r="DO104" s="11"/>
    </row>
    <row r="105" ht="15.75" customHeight="1">
      <c r="C105" s="8"/>
      <c r="BD105" s="11"/>
      <c r="BR105" s="11"/>
      <c r="BY105" s="11"/>
      <c r="CF105" s="11"/>
      <c r="CM105" s="11"/>
      <c r="CT105" s="11"/>
      <c r="DA105" s="11"/>
      <c r="DH105" s="11"/>
      <c r="DO105" s="11"/>
    </row>
    <row r="106" ht="15.75" customHeight="1">
      <c r="C106" s="8"/>
      <c r="BD106" s="11"/>
      <c r="BR106" s="11"/>
      <c r="BY106" s="11"/>
      <c r="CF106" s="11"/>
      <c r="CM106" s="11"/>
      <c r="CT106" s="11"/>
      <c r="DA106" s="11"/>
      <c r="DH106" s="11"/>
      <c r="DO106" s="11"/>
    </row>
    <row r="107" ht="15.75" customHeight="1">
      <c r="C107" s="8"/>
      <c r="BD107" s="11"/>
      <c r="BR107" s="11"/>
      <c r="BY107" s="11"/>
      <c r="CF107" s="11"/>
      <c r="CM107" s="11"/>
      <c r="CT107" s="11"/>
      <c r="DA107" s="11"/>
      <c r="DH107" s="11"/>
      <c r="DO107" s="11"/>
    </row>
    <row r="108" ht="15.75" customHeight="1">
      <c r="C108" s="8"/>
      <c r="BD108" s="11"/>
      <c r="BR108" s="11"/>
      <c r="BY108" s="11"/>
      <c r="CF108" s="11"/>
      <c r="CM108" s="11"/>
      <c r="CT108" s="11"/>
      <c r="DA108" s="11"/>
      <c r="DH108" s="11"/>
      <c r="DO108" s="11"/>
    </row>
    <row r="109" ht="15.75" customHeight="1">
      <c r="C109" s="8"/>
      <c r="BD109" s="11"/>
      <c r="BR109" s="11"/>
      <c r="BY109" s="11"/>
      <c r="CF109" s="11"/>
      <c r="CM109" s="11"/>
      <c r="CT109" s="11"/>
      <c r="DA109" s="11"/>
      <c r="DH109" s="11"/>
      <c r="DO109" s="11"/>
    </row>
    <row r="110" ht="15.75" customHeight="1">
      <c r="C110" s="8"/>
      <c r="BD110" s="11"/>
      <c r="BR110" s="11"/>
      <c r="BY110" s="11"/>
      <c r="CF110" s="11"/>
      <c r="CM110" s="11"/>
      <c r="CT110" s="11"/>
      <c r="DA110" s="11"/>
      <c r="DH110" s="11"/>
      <c r="DO110" s="11"/>
    </row>
    <row r="111" ht="15.75" customHeight="1">
      <c r="C111" s="8"/>
      <c r="BD111" s="11"/>
      <c r="BR111" s="11"/>
      <c r="BY111" s="11"/>
      <c r="CF111" s="11"/>
      <c r="CM111" s="11"/>
      <c r="CT111" s="11"/>
      <c r="DA111" s="11"/>
      <c r="DH111" s="11"/>
      <c r="DO111" s="11"/>
    </row>
    <row r="112" ht="15.75" customHeight="1">
      <c r="C112" s="8"/>
      <c r="BD112" s="11"/>
      <c r="BR112" s="11"/>
      <c r="BY112" s="11"/>
      <c r="CF112" s="11"/>
      <c r="CM112" s="11"/>
      <c r="CT112" s="11"/>
      <c r="DA112" s="11"/>
      <c r="DH112" s="11"/>
      <c r="DO112" s="11"/>
    </row>
    <row r="113" ht="15.75" customHeight="1">
      <c r="C113" s="8"/>
      <c r="BD113" s="11"/>
      <c r="BR113" s="11"/>
      <c r="BY113" s="11"/>
      <c r="CF113" s="11"/>
      <c r="CM113" s="11"/>
      <c r="CT113" s="11"/>
      <c r="DA113" s="11"/>
      <c r="DH113" s="11"/>
      <c r="DO113" s="11"/>
    </row>
    <row r="114" ht="15.75" customHeight="1">
      <c r="C114" s="8"/>
      <c r="BD114" s="11"/>
      <c r="BR114" s="11"/>
      <c r="BY114" s="11"/>
      <c r="CF114" s="11"/>
      <c r="CM114" s="11"/>
      <c r="CT114" s="11"/>
      <c r="DA114" s="11"/>
      <c r="DH114" s="11"/>
      <c r="DO114" s="11"/>
    </row>
    <row r="115" ht="15.75" customHeight="1">
      <c r="C115" s="8"/>
      <c r="BD115" s="11"/>
      <c r="BR115" s="11"/>
      <c r="BY115" s="11"/>
      <c r="CF115" s="11"/>
      <c r="CM115" s="11"/>
      <c r="CT115" s="11"/>
      <c r="DA115" s="11"/>
      <c r="DH115" s="11"/>
      <c r="DO115" s="11"/>
    </row>
    <row r="116" ht="15.75" customHeight="1">
      <c r="C116" s="8"/>
      <c r="BD116" s="11"/>
      <c r="BR116" s="11"/>
      <c r="BY116" s="11"/>
      <c r="CF116" s="11"/>
      <c r="CM116" s="11"/>
      <c r="CT116" s="11"/>
      <c r="DA116" s="11"/>
      <c r="DH116" s="11"/>
      <c r="DO116" s="11"/>
    </row>
    <row r="117" ht="15.75" customHeight="1">
      <c r="C117" s="8"/>
      <c r="BD117" s="11"/>
      <c r="BR117" s="11"/>
      <c r="BY117" s="11"/>
      <c r="CF117" s="11"/>
      <c r="CM117" s="11"/>
      <c r="CT117" s="11"/>
      <c r="DA117" s="11"/>
      <c r="DH117" s="11"/>
      <c r="DO117" s="11"/>
    </row>
    <row r="118" ht="15.75" customHeight="1">
      <c r="C118" s="8"/>
      <c r="BD118" s="11"/>
      <c r="BR118" s="11"/>
      <c r="BY118" s="11"/>
      <c r="CF118" s="11"/>
      <c r="CM118" s="11"/>
      <c r="CT118" s="11"/>
      <c r="DA118" s="11"/>
      <c r="DH118" s="11"/>
      <c r="DO118" s="11"/>
    </row>
    <row r="119" ht="15.75" customHeight="1">
      <c r="C119" s="8"/>
      <c r="BD119" s="11"/>
      <c r="BR119" s="11"/>
      <c r="BY119" s="11"/>
      <c r="CF119" s="11"/>
      <c r="CM119" s="11"/>
      <c r="CT119" s="11"/>
      <c r="DA119" s="11"/>
      <c r="DH119" s="11"/>
      <c r="DO119" s="11"/>
    </row>
    <row r="120" ht="15.75" customHeight="1">
      <c r="C120" s="8"/>
      <c r="BD120" s="11"/>
      <c r="BR120" s="11"/>
      <c r="BY120" s="11"/>
      <c r="CF120" s="11"/>
      <c r="CM120" s="11"/>
      <c r="CT120" s="11"/>
      <c r="DA120" s="11"/>
      <c r="DH120" s="11"/>
      <c r="DO120" s="11"/>
    </row>
    <row r="121" ht="15.75" customHeight="1">
      <c r="C121" s="8"/>
      <c r="BD121" s="11"/>
      <c r="BR121" s="11"/>
      <c r="BY121" s="11"/>
      <c r="CF121" s="11"/>
      <c r="CM121" s="11"/>
      <c r="CT121" s="11"/>
      <c r="DA121" s="11"/>
      <c r="DH121" s="11"/>
      <c r="DO121" s="11"/>
    </row>
    <row r="122" ht="15.75" customHeight="1">
      <c r="C122" s="8"/>
      <c r="BD122" s="11"/>
      <c r="BR122" s="11"/>
      <c r="BY122" s="11"/>
      <c r="CF122" s="11"/>
      <c r="CM122" s="11"/>
      <c r="CT122" s="11"/>
      <c r="DA122" s="11"/>
      <c r="DH122" s="11"/>
      <c r="DO122" s="11"/>
    </row>
    <row r="123" ht="15.75" customHeight="1">
      <c r="C123" s="8"/>
      <c r="BD123" s="11"/>
      <c r="BR123" s="11"/>
      <c r="BY123" s="11"/>
      <c r="CF123" s="11"/>
      <c r="CM123" s="11"/>
      <c r="CT123" s="11"/>
      <c r="DA123" s="11"/>
      <c r="DH123" s="11"/>
      <c r="DO123" s="11"/>
    </row>
    <row r="124" ht="15.75" customHeight="1">
      <c r="C124" s="8"/>
      <c r="BD124" s="11"/>
      <c r="BR124" s="11"/>
      <c r="BY124" s="11"/>
      <c r="CF124" s="11"/>
      <c r="CM124" s="11"/>
      <c r="CT124" s="11"/>
      <c r="DA124" s="11"/>
      <c r="DH124" s="11"/>
      <c r="DO124" s="11"/>
    </row>
    <row r="125" ht="15.75" customHeight="1">
      <c r="C125" s="8"/>
      <c r="BD125" s="11"/>
      <c r="BR125" s="11"/>
      <c r="BY125" s="11"/>
      <c r="CF125" s="11"/>
      <c r="CM125" s="11"/>
      <c r="CT125" s="11"/>
      <c r="DA125" s="11"/>
      <c r="DH125" s="11"/>
      <c r="DO125" s="11"/>
    </row>
    <row r="126" ht="15.75" customHeight="1">
      <c r="C126" s="8"/>
      <c r="BD126" s="11"/>
      <c r="BR126" s="11"/>
      <c r="BY126" s="11"/>
      <c r="CF126" s="11"/>
      <c r="CM126" s="11"/>
      <c r="CT126" s="11"/>
      <c r="DA126" s="11"/>
      <c r="DH126" s="11"/>
      <c r="DO126" s="11"/>
    </row>
    <row r="127" ht="15.75" customHeight="1">
      <c r="C127" s="8"/>
      <c r="BD127" s="11"/>
      <c r="BR127" s="11"/>
      <c r="BY127" s="11"/>
      <c r="CF127" s="11"/>
      <c r="CM127" s="11"/>
      <c r="CT127" s="11"/>
      <c r="DA127" s="11"/>
      <c r="DH127" s="11"/>
      <c r="DO127" s="11"/>
    </row>
    <row r="128" ht="15.75" customHeight="1">
      <c r="C128" s="8"/>
      <c r="BD128" s="11"/>
      <c r="BR128" s="11"/>
      <c r="BY128" s="11"/>
      <c r="CF128" s="11"/>
      <c r="CM128" s="11"/>
      <c r="CT128" s="11"/>
      <c r="DA128" s="11"/>
      <c r="DH128" s="11"/>
      <c r="DO128" s="11"/>
    </row>
    <row r="129" ht="15.75" customHeight="1">
      <c r="C129" s="8"/>
      <c r="BD129" s="11"/>
      <c r="BR129" s="11"/>
      <c r="BY129" s="11"/>
      <c r="CF129" s="11"/>
      <c r="CM129" s="11"/>
      <c r="CT129" s="11"/>
      <c r="DA129" s="11"/>
      <c r="DH129" s="11"/>
      <c r="DO129" s="11"/>
    </row>
    <row r="130" ht="15.75" customHeight="1">
      <c r="C130" s="8"/>
      <c r="BD130" s="11"/>
      <c r="BR130" s="11"/>
      <c r="BY130" s="11"/>
      <c r="CF130" s="11"/>
      <c r="CM130" s="11"/>
      <c r="CT130" s="11"/>
      <c r="DA130" s="11"/>
      <c r="DH130" s="11"/>
      <c r="DO130" s="11"/>
    </row>
    <row r="131" ht="15.75" customHeight="1">
      <c r="C131" s="8"/>
      <c r="BD131" s="11"/>
      <c r="BR131" s="11"/>
      <c r="BY131" s="11"/>
      <c r="CF131" s="11"/>
      <c r="CM131" s="11"/>
      <c r="CT131" s="11"/>
      <c r="DA131" s="11"/>
      <c r="DH131" s="11"/>
      <c r="DO131" s="11"/>
    </row>
    <row r="132" ht="15.75" customHeight="1">
      <c r="C132" s="8"/>
      <c r="BD132" s="11"/>
      <c r="BR132" s="11"/>
      <c r="BY132" s="11"/>
      <c r="CF132" s="11"/>
      <c r="CM132" s="11"/>
      <c r="CT132" s="11"/>
      <c r="DA132" s="11"/>
      <c r="DH132" s="11"/>
      <c r="DO132" s="11"/>
    </row>
    <row r="133" ht="15.75" customHeight="1">
      <c r="C133" s="8"/>
      <c r="BD133" s="11"/>
      <c r="BR133" s="11"/>
      <c r="BY133" s="11"/>
      <c r="CF133" s="11"/>
      <c r="CM133" s="11"/>
      <c r="CT133" s="11"/>
      <c r="DA133" s="11"/>
      <c r="DH133" s="11"/>
      <c r="DO133" s="11"/>
    </row>
    <row r="134" ht="15.75" customHeight="1">
      <c r="C134" s="8"/>
      <c r="BD134" s="11"/>
      <c r="BR134" s="11"/>
      <c r="BY134" s="11"/>
      <c r="CF134" s="11"/>
      <c r="CM134" s="11"/>
      <c r="CT134" s="11"/>
      <c r="DA134" s="11"/>
      <c r="DH134" s="11"/>
      <c r="DO134" s="11"/>
    </row>
    <row r="135" ht="15.75" customHeight="1">
      <c r="C135" s="8"/>
      <c r="BD135" s="11"/>
      <c r="BR135" s="11"/>
      <c r="BY135" s="11"/>
      <c r="CF135" s="11"/>
      <c r="CM135" s="11"/>
      <c r="CT135" s="11"/>
      <c r="DA135" s="11"/>
      <c r="DH135" s="11"/>
      <c r="DO135" s="11"/>
    </row>
    <row r="136" ht="15.75" customHeight="1">
      <c r="C136" s="8"/>
      <c r="BD136" s="11"/>
      <c r="BR136" s="11"/>
      <c r="BY136" s="11"/>
      <c r="CF136" s="11"/>
      <c r="CM136" s="11"/>
      <c r="CT136" s="11"/>
      <c r="DA136" s="11"/>
      <c r="DH136" s="11"/>
      <c r="DO136" s="11"/>
    </row>
    <row r="137" ht="15.75" customHeight="1">
      <c r="C137" s="8"/>
      <c r="BD137" s="11"/>
      <c r="BR137" s="11"/>
      <c r="BY137" s="11"/>
      <c r="CF137" s="11"/>
      <c r="CM137" s="11"/>
      <c r="CT137" s="11"/>
      <c r="DA137" s="11"/>
      <c r="DH137" s="11"/>
      <c r="DO137" s="11"/>
    </row>
    <row r="138" ht="15.75" customHeight="1">
      <c r="C138" s="8"/>
      <c r="BD138" s="11"/>
      <c r="BR138" s="11"/>
      <c r="BY138" s="11"/>
      <c r="CF138" s="11"/>
      <c r="CM138" s="11"/>
      <c r="CT138" s="11"/>
      <c r="DA138" s="11"/>
      <c r="DH138" s="11"/>
      <c r="DO138" s="11"/>
    </row>
    <row r="139" ht="15.75" customHeight="1">
      <c r="C139" s="8"/>
      <c r="BD139" s="11"/>
      <c r="BR139" s="11"/>
      <c r="BY139" s="11"/>
      <c r="CF139" s="11"/>
      <c r="CM139" s="11"/>
      <c r="CT139" s="11"/>
      <c r="DA139" s="11"/>
      <c r="DH139" s="11"/>
      <c r="DO139" s="11"/>
    </row>
    <row r="140" ht="15.75" customHeight="1">
      <c r="C140" s="8"/>
      <c r="BD140" s="11"/>
      <c r="BR140" s="11"/>
      <c r="BY140" s="11"/>
      <c r="CF140" s="11"/>
      <c r="CM140" s="11"/>
      <c r="CT140" s="11"/>
      <c r="DA140" s="11"/>
      <c r="DH140" s="11"/>
      <c r="DO140" s="11"/>
    </row>
    <row r="141" ht="15.75" customHeight="1">
      <c r="C141" s="8"/>
      <c r="BD141" s="11"/>
      <c r="BR141" s="11"/>
      <c r="BY141" s="11"/>
      <c r="CF141" s="11"/>
      <c r="CM141" s="11"/>
      <c r="CT141" s="11"/>
      <c r="DA141" s="11"/>
      <c r="DH141" s="11"/>
      <c r="DO141" s="11"/>
    </row>
    <row r="142" ht="15.75" customHeight="1">
      <c r="C142" s="8"/>
      <c r="BD142" s="11"/>
      <c r="BR142" s="11"/>
      <c r="BY142" s="11"/>
      <c r="CF142" s="11"/>
      <c r="CM142" s="11"/>
      <c r="CT142" s="11"/>
      <c r="DA142" s="11"/>
      <c r="DH142" s="11"/>
      <c r="DO142" s="11"/>
    </row>
    <row r="143" ht="15.75" customHeight="1">
      <c r="C143" s="8"/>
      <c r="BD143" s="11"/>
      <c r="BR143" s="11"/>
      <c r="BY143" s="11"/>
      <c r="CF143" s="11"/>
      <c r="CM143" s="11"/>
      <c r="CT143" s="11"/>
      <c r="DA143" s="11"/>
      <c r="DH143" s="11"/>
      <c r="DO143" s="11"/>
    </row>
    <row r="144" ht="15.75" customHeight="1">
      <c r="C144" s="8"/>
      <c r="BD144" s="11"/>
      <c r="BR144" s="11"/>
      <c r="BY144" s="11"/>
      <c r="CF144" s="11"/>
      <c r="CM144" s="11"/>
      <c r="CT144" s="11"/>
      <c r="DA144" s="11"/>
      <c r="DH144" s="11"/>
      <c r="DO144" s="11"/>
    </row>
    <row r="145" ht="15.75" customHeight="1">
      <c r="C145" s="8"/>
      <c r="BD145" s="11"/>
      <c r="BR145" s="11"/>
      <c r="BY145" s="11"/>
      <c r="CF145" s="11"/>
      <c r="CM145" s="11"/>
      <c r="CT145" s="11"/>
      <c r="DA145" s="11"/>
      <c r="DH145" s="11"/>
      <c r="DO145" s="11"/>
    </row>
    <row r="146" ht="15.75" customHeight="1">
      <c r="C146" s="8"/>
      <c r="BD146" s="11"/>
      <c r="BR146" s="11"/>
      <c r="BY146" s="11"/>
      <c r="CF146" s="11"/>
      <c r="CM146" s="11"/>
      <c r="CT146" s="11"/>
      <c r="DA146" s="11"/>
      <c r="DH146" s="11"/>
      <c r="DO146" s="11"/>
    </row>
    <row r="147" ht="15.75" customHeight="1">
      <c r="C147" s="8"/>
      <c r="BD147" s="11"/>
      <c r="BR147" s="11"/>
      <c r="BY147" s="11"/>
      <c r="CF147" s="11"/>
      <c r="CM147" s="11"/>
      <c r="CT147" s="11"/>
      <c r="DA147" s="11"/>
      <c r="DH147" s="11"/>
      <c r="DO147" s="11"/>
    </row>
    <row r="148" ht="15.75" customHeight="1">
      <c r="C148" s="8"/>
      <c r="BD148" s="11"/>
      <c r="BR148" s="11"/>
      <c r="BY148" s="11"/>
      <c r="CF148" s="11"/>
      <c r="CM148" s="11"/>
      <c r="CT148" s="11"/>
      <c r="DA148" s="11"/>
      <c r="DH148" s="11"/>
      <c r="DO148" s="11"/>
    </row>
    <row r="149" ht="15.75" customHeight="1">
      <c r="C149" s="8"/>
      <c r="BD149" s="11"/>
      <c r="BR149" s="11"/>
      <c r="BY149" s="11"/>
      <c r="CF149" s="11"/>
      <c r="CM149" s="11"/>
      <c r="CT149" s="11"/>
      <c r="DA149" s="11"/>
      <c r="DH149" s="11"/>
      <c r="DO149" s="11"/>
    </row>
    <row r="150" ht="15.75" customHeight="1">
      <c r="C150" s="8"/>
      <c r="BD150" s="11"/>
      <c r="BR150" s="11"/>
      <c r="BY150" s="11"/>
      <c r="CF150" s="11"/>
      <c r="CM150" s="11"/>
      <c r="CT150" s="11"/>
      <c r="DA150" s="11"/>
      <c r="DH150" s="11"/>
      <c r="DO150" s="11"/>
    </row>
    <row r="151" ht="15.75" customHeight="1">
      <c r="C151" s="8"/>
      <c r="BD151" s="11"/>
      <c r="BR151" s="11"/>
      <c r="BY151" s="11"/>
      <c r="CF151" s="11"/>
      <c r="CM151" s="11"/>
      <c r="CT151" s="11"/>
      <c r="DA151" s="11"/>
      <c r="DH151" s="11"/>
      <c r="DO151" s="11"/>
    </row>
    <row r="152" ht="15.75" customHeight="1">
      <c r="C152" s="8"/>
      <c r="BD152" s="11"/>
      <c r="BR152" s="11"/>
      <c r="BY152" s="11"/>
      <c r="CF152" s="11"/>
      <c r="CM152" s="11"/>
      <c r="CT152" s="11"/>
      <c r="DA152" s="11"/>
      <c r="DH152" s="11"/>
      <c r="DO152" s="11"/>
    </row>
    <row r="153" ht="15.75" customHeight="1">
      <c r="C153" s="8"/>
      <c r="BD153" s="11"/>
      <c r="BR153" s="11"/>
      <c r="BY153" s="11"/>
      <c r="CF153" s="11"/>
      <c r="CM153" s="11"/>
      <c r="CT153" s="11"/>
      <c r="DA153" s="11"/>
      <c r="DH153" s="11"/>
      <c r="DO153" s="11"/>
    </row>
    <row r="154" ht="15.75" customHeight="1">
      <c r="C154" s="8"/>
      <c r="BD154" s="11"/>
      <c r="BR154" s="11"/>
      <c r="BY154" s="11"/>
      <c r="CF154" s="11"/>
      <c r="CM154" s="11"/>
      <c r="CT154" s="11"/>
      <c r="DA154" s="11"/>
      <c r="DH154" s="11"/>
      <c r="DO154" s="11"/>
    </row>
    <row r="155" ht="15.75" customHeight="1">
      <c r="C155" s="8"/>
      <c r="BD155" s="11"/>
      <c r="BR155" s="11"/>
      <c r="BY155" s="11"/>
      <c r="CF155" s="11"/>
      <c r="CM155" s="11"/>
      <c r="CT155" s="11"/>
      <c r="DA155" s="11"/>
      <c r="DH155" s="11"/>
      <c r="DO155" s="11"/>
    </row>
    <row r="156" ht="15.75" customHeight="1">
      <c r="C156" s="8"/>
      <c r="BD156" s="11"/>
      <c r="BR156" s="11"/>
      <c r="BY156" s="11"/>
      <c r="CF156" s="11"/>
      <c r="CM156" s="11"/>
      <c r="CT156" s="11"/>
      <c r="DA156" s="11"/>
      <c r="DH156" s="11"/>
      <c r="DO156" s="11"/>
    </row>
    <row r="157" ht="15.75" customHeight="1">
      <c r="C157" s="8"/>
      <c r="BD157" s="11"/>
      <c r="BR157" s="11"/>
      <c r="BY157" s="11"/>
      <c r="CF157" s="11"/>
      <c r="CM157" s="11"/>
      <c r="CT157" s="11"/>
      <c r="DA157" s="11"/>
      <c r="DH157" s="11"/>
      <c r="DO157" s="11"/>
    </row>
    <row r="158" ht="15.75" customHeight="1">
      <c r="C158" s="8"/>
      <c r="BD158" s="11"/>
      <c r="BR158" s="11"/>
      <c r="BY158" s="11"/>
      <c r="CF158" s="11"/>
      <c r="CM158" s="11"/>
      <c r="CT158" s="11"/>
      <c r="DA158" s="11"/>
      <c r="DH158" s="11"/>
      <c r="DO158" s="11"/>
    </row>
    <row r="159" ht="15.75" customHeight="1">
      <c r="C159" s="8"/>
      <c r="BD159" s="11"/>
      <c r="BR159" s="11"/>
      <c r="BY159" s="11"/>
      <c r="CF159" s="11"/>
      <c r="CM159" s="11"/>
      <c r="CT159" s="11"/>
      <c r="DA159" s="11"/>
      <c r="DH159" s="11"/>
      <c r="DO159" s="11"/>
    </row>
    <row r="160" ht="15.75" customHeight="1">
      <c r="C160" s="8"/>
      <c r="BD160" s="11"/>
      <c r="BR160" s="11"/>
      <c r="BY160" s="11"/>
      <c r="CF160" s="11"/>
      <c r="CM160" s="11"/>
      <c r="CT160" s="11"/>
      <c r="DA160" s="11"/>
      <c r="DH160" s="11"/>
      <c r="DO160" s="11"/>
    </row>
    <row r="161" ht="15.75" customHeight="1">
      <c r="C161" s="8"/>
      <c r="BD161" s="11"/>
      <c r="BR161" s="11"/>
      <c r="BY161" s="11"/>
      <c r="CF161" s="11"/>
      <c r="CM161" s="11"/>
      <c r="CT161" s="11"/>
      <c r="DA161" s="11"/>
      <c r="DH161" s="11"/>
      <c r="DO161" s="11"/>
    </row>
    <row r="162" ht="15.75" customHeight="1">
      <c r="C162" s="8"/>
      <c r="BD162" s="11"/>
      <c r="BR162" s="11"/>
      <c r="BY162" s="11"/>
      <c r="CF162" s="11"/>
      <c r="CM162" s="11"/>
      <c r="CT162" s="11"/>
      <c r="DA162" s="11"/>
      <c r="DH162" s="11"/>
      <c r="DO162" s="11"/>
    </row>
    <row r="163" ht="15.75" customHeight="1">
      <c r="C163" s="8"/>
      <c r="BD163" s="11"/>
      <c r="BR163" s="11"/>
      <c r="BY163" s="11"/>
      <c r="CF163" s="11"/>
      <c r="CM163" s="11"/>
      <c r="CT163" s="11"/>
      <c r="DA163" s="11"/>
      <c r="DH163" s="11"/>
      <c r="DO163" s="11"/>
    </row>
    <row r="164" ht="15.75" customHeight="1">
      <c r="C164" s="8"/>
      <c r="BD164" s="11"/>
      <c r="BR164" s="11"/>
      <c r="BY164" s="11"/>
      <c r="CF164" s="11"/>
      <c r="CM164" s="11"/>
      <c r="CT164" s="11"/>
      <c r="DA164" s="11"/>
      <c r="DH164" s="11"/>
      <c r="DO164" s="11"/>
    </row>
    <row r="165" ht="15.75" customHeight="1">
      <c r="C165" s="8"/>
      <c r="BD165" s="11"/>
      <c r="BR165" s="11"/>
      <c r="BY165" s="11"/>
      <c r="CF165" s="11"/>
      <c r="CM165" s="11"/>
      <c r="CT165" s="11"/>
      <c r="DA165" s="11"/>
      <c r="DH165" s="11"/>
      <c r="DO165" s="11"/>
    </row>
    <row r="166" ht="15.75" customHeight="1">
      <c r="C166" s="8"/>
      <c r="BD166" s="11"/>
      <c r="BR166" s="11"/>
      <c r="BY166" s="11"/>
      <c r="CF166" s="11"/>
      <c r="CM166" s="11"/>
      <c r="CT166" s="11"/>
      <c r="DA166" s="11"/>
      <c r="DH166" s="11"/>
      <c r="DO166" s="11"/>
    </row>
    <row r="167" ht="15.75" customHeight="1">
      <c r="C167" s="8"/>
      <c r="BD167" s="11"/>
      <c r="BR167" s="11"/>
      <c r="BY167" s="11"/>
      <c r="CF167" s="11"/>
      <c r="CM167" s="11"/>
      <c r="CT167" s="11"/>
      <c r="DA167" s="11"/>
      <c r="DH167" s="11"/>
      <c r="DO167" s="11"/>
    </row>
    <row r="168" ht="15.75" customHeight="1">
      <c r="C168" s="8"/>
      <c r="BD168" s="11"/>
      <c r="BR168" s="11"/>
      <c r="BY168" s="11"/>
      <c r="CF168" s="11"/>
      <c r="CM168" s="11"/>
      <c r="CT168" s="11"/>
      <c r="DA168" s="11"/>
      <c r="DH168" s="11"/>
      <c r="DO168" s="11"/>
    </row>
    <row r="169" ht="15.75" customHeight="1">
      <c r="C169" s="8"/>
      <c r="BD169" s="11"/>
      <c r="BR169" s="11"/>
      <c r="BY169" s="11"/>
      <c r="CF169" s="11"/>
      <c r="CM169" s="11"/>
      <c r="CT169" s="11"/>
      <c r="DA169" s="11"/>
      <c r="DH169" s="11"/>
      <c r="DO169" s="11"/>
    </row>
    <row r="170" ht="15.75" customHeight="1">
      <c r="C170" s="8"/>
      <c r="BD170" s="11"/>
      <c r="BR170" s="11"/>
      <c r="BY170" s="11"/>
      <c r="CF170" s="11"/>
      <c r="CM170" s="11"/>
      <c r="CT170" s="11"/>
      <c r="DA170" s="11"/>
      <c r="DH170" s="11"/>
      <c r="DO170" s="11"/>
    </row>
    <row r="171" ht="15.75" customHeight="1">
      <c r="C171" s="8"/>
      <c r="BD171" s="11"/>
      <c r="BR171" s="11"/>
      <c r="BY171" s="11"/>
      <c r="CF171" s="11"/>
      <c r="CM171" s="11"/>
      <c r="CT171" s="11"/>
      <c r="DA171" s="11"/>
      <c r="DH171" s="11"/>
      <c r="DO171" s="11"/>
    </row>
    <row r="172" ht="15.75" customHeight="1">
      <c r="C172" s="8"/>
      <c r="BD172" s="11"/>
      <c r="BR172" s="11"/>
      <c r="BY172" s="11"/>
      <c r="CF172" s="11"/>
      <c r="CM172" s="11"/>
      <c r="CT172" s="11"/>
      <c r="DA172" s="11"/>
      <c r="DH172" s="11"/>
      <c r="DO172" s="11"/>
    </row>
    <row r="173" ht="15.75" customHeight="1">
      <c r="C173" s="8"/>
      <c r="BD173" s="11"/>
      <c r="BR173" s="11"/>
      <c r="BY173" s="11"/>
      <c r="CF173" s="11"/>
      <c r="CM173" s="11"/>
      <c r="CT173" s="11"/>
      <c r="DA173" s="11"/>
      <c r="DH173" s="11"/>
      <c r="DO173" s="11"/>
    </row>
    <row r="174" ht="15.75" customHeight="1">
      <c r="C174" s="8"/>
      <c r="BD174" s="11"/>
      <c r="BR174" s="11"/>
      <c r="BY174" s="11"/>
      <c r="CF174" s="11"/>
      <c r="CM174" s="11"/>
      <c r="CT174" s="11"/>
      <c r="DA174" s="11"/>
      <c r="DH174" s="11"/>
      <c r="DO174" s="11"/>
    </row>
    <row r="175" ht="15.75" customHeight="1">
      <c r="C175" s="8"/>
      <c r="BD175" s="11"/>
      <c r="BR175" s="11"/>
      <c r="BY175" s="11"/>
      <c r="CF175" s="11"/>
      <c r="CM175" s="11"/>
      <c r="CT175" s="11"/>
      <c r="DA175" s="11"/>
      <c r="DH175" s="11"/>
      <c r="DO175" s="11"/>
    </row>
    <row r="176" ht="15.75" customHeight="1">
      <c r="C176" s="8"/>
      <c r="BD176" s="11"/>
      <c r="BR176" s="11"/>
      <c r="BY176" s="11"/>
      <c r="CF176" s="11"/>
      <c r="CM176" s="11"/>
      <c r="CT176" s="11"/>
      <c r="DA176" s="11"/>
      <c r="DH176" s="11"/>
      <c r="DO176" s="11"/>
    </row>
    <row r="177" ht="15.75" customHeight="1">
      <c r="C177" s="8"/>
      <c r="BD177" s="11"/>
      <c r="BR177" s="11"/>
      <c r="BY177" s="11"/>
      <c r="CF177" s="11"/>
      <c r="CM177" s="11"/>
      <c r="CT177" s="11"/>
      <c r="DA177" s="11"/>
      <c r="DH177" s="11"/>
      <c r="DO177" s="11"/>
    </row>
    <row r="178" ht="15.75" customHeight="1">
      <c r="C178" s="8"/>
      <c r="BD178" s="11"/>
      <c r="BR178" s="11"/>
      <c r="BY178" s="11"/>
      <c r="CF178" s="11"/>
      <c r="CM178" s="11"/>
      <c r="CT178" s="11"/>
      <c r="DA178" s="11"/>
      <c r="DH178" s="11"/>
      <c r="DO178" s="11"/>
    </row>
    <row r="179" ht="15.75" customHeight="1">
      <c r="C179" s="8"/>
      <c r="BD179" s="11"/>
      <c r="BR179" s="11"/>
      <c r="BY179" s="11"/>
      <c r="CF179" s="11"/>
      <c r="CM179" s="11"/>
      <c r="CT179" s="11"/>
      <c r="DA179" s="11"/>
      <c r="DH179" s="11"/>
      <c r="DO179" s="11"/>
    </row>
    <row r="180" ht="15.75" customHeight="1">
      <c r="C180" s="8"/>
      <c r="BD180" s="11"/>
      <c r="BR180" s="11"/>
      <c r="BY180" s="11"/>
      <c r="CF180" s="11"/>
      <c r="CM180" s="11"/>
      <c r="CT180" s="11"/>
      <c r="DA180" s="11"/>
      <c r="DH180" s="11"/>
      <c r="DO180" s="11"/>
    </row>
    <row r="181" ht="15.75" customHeight="1">
      <c r="C181" s="8"/>
      <c r="BD181" s="11"/>
      <c r="BR181" s="11"/>
      <c r="BY181" s="11"/>
      <c r="CF181" s="11"/>
      <c r="CM181" s="11"/>
      <c r="CT181" s="11"/>
      <c r="DA181" s="11"/>
      <c r="DH181" s="11"/>
      <c r="DO181" s="11"/>
    </row>
    <row r="182" ht="15.75" customHeight="1">
      <c r="C182" s="8"/>
      <c r="BD182" s="11"/>
      <c r="BR182" s="11"/>
      <c r="BY182" s="11"/>
      <c r="CF182" s="11"/>
      <c r="CM182" s="11"/>
      <c r="CT182" s="11"/>
      <c r="DA182" s="11"/>
      <c r="DH182" s="11"/>
      <c r="DO182" s="11"/>
    </row>
    <row r="183" ht="15.75" customHeight="1">
      <c r="C183" s="8"/>
      <c r="BD183" s="11"/>
      <c r="BR183" s="11"/>
      <c r="BY183" s="11"/>
      <c r="CF183" s="11"/>
      <c r="CM183" s="11"/>
      <c r="CT183" s="11"/>
      <c r="DA183" s="11"/>
      <c r="DH183" s="11"/>
      <c r="DO183" s="11"/>
    </row>
    <row r="184" ht="15.75" customHeight="1">
      <c r="C184" s="8"/>
      <c r="BD184" s="11"/>
      <c r="BR184" s="11"/>
      <c r="BY184" s="11"/>
      <c r="CF184" s="11"/>
      <c r="CM184" s="11"/>
      <c r="CT184" s="11"/>
      <c r="DA184" s="11"/>
      <c r="DH184" s="11"/>
      <c r="DO184" s="11"/>
    </row>
    <row r="185" ht="15.75" customHeight="1">
      <c r="C185" s="8"/>
      <c r="BD185" s="11"/>
      <c r="BR185" s="11"/>
      <c r="BY185" s="11"/>
      <c r="CF185" s="11"/>
      <c r="CM185" s="11"/>
      <c r="CT185" s="11"/>
      <c r="DA185" s="11"/>
      <c r="DH185" s="11"/>
      <c r="DO185" s="11"/>
    </row>
    <row r="186" ht="15.75" customHeight="1">
      <c r="C186" s="8"/>
      <c r="BD186" s="11"/>
      <c r="BR186" s="11"/>
      <c r="BY186" s="11"/>
      <c r="CF186" s="11"/>
      <c r="CM186" s="11"/>
      <c r="CT186" s="11"/>
      <c r="DA186" s="11"/>
      <c r="DH186" s="11"/>
      <c r="DO186" s="11"/>
    </row>
    <row r="187" ht="15.75" customHeight="1">
      <c r="C187" s="8"/>
      <c r="BD187" s="11"/>
      <c r="BR187" s="11"/>
      <c r="BY187" s="11"/>
      <c r="CF187" s="11"/>
      <c r="CM187" s="11"/>
      <c r="CT187" s="11"/>
      <c r="DA187" s="11"/>
      <c r="DH187" s="11"/>
      <c r="DO187" s="11"/>
    </row>
    <row r="188" ht="15.75" customHeight="1">
      <c r="C188" s="8"/>
      <c r="BD188" s="11"/>
      <c r="BR188" s="11"/>
      <c r="BY188" s="11"/>
      <c r="CF188" s="11"/>
      <c r="CM188" s="11"/>
      <c r="CT188" s="11"/>
      <c r="DA188" s="11"/>
      <c r="DH188" s="11"/>
      <c r="DO188" s="11"/>
    </row>
    <row r="189" ht="15.75" customHeight="1">
      <c r="C189" s="8"/>
      <c r="BD189" s="11"/>
      <c r="BR189" s="11"/>
      <c r="BY189" s="11"/>
      <c r="CF189" s="11"/>
      <c r="CM189" s="11"/>
      <c r="CT189" s="11"/>
      <c r="DA189" s="11"/>
      <c r="DH189" s="11"/>
      <c r="DO189" s="11"/>
    </row>
    <row r="190" ht="15.75" customHeight="1">
      <c r="C190" s="8"/>
      <c r="BD190" s="11"/>
      <c r="BR190" s="11"/>
      <c r="BY190" s="11"/>
      <c r="CF190" s="11"/>
      <c r="CM190" s="11"/>
      <c r="CT190" s="11"/>
      <c r="DA190" s="11"/>
      <c r="DH190" s="11"/>
      <c r="DO190" s="11"/>
    </row>
    <row r="191" ht="15.75" customHeight="1">
      <c r="C191" s="8"/>
      <c r="BD191" s="11"/>
      <c r="BR191" s="11"/>
      <c r="BY191" s="11"/>
      <c r="CF191" s="11"/>
      <c r="CM191" s="11"/>
      <c r="CT191" s="11"/>
      <c r="DA191" s="11"/>
      <c r="DH191" s="11"/>
      <c r="DO191" s="11"/>
    </row>
    <row r="192" ht="15.75" customHeight="1">
      <c r="C192" s="8"/>
      <c r="BD192" s="11"/>
      <c r="BR192" s="11"/>
      <c r="BY192" s="11"/>
      <c r="CF192" s="11"/>
      <c r="CM192" s="11"/>
      <c r="CT192" s="11"/>
      <c r="DA192" s="11"/>
      <c r="DH192" s="11"/>
      <c r="DO192" s="11"/>
    </row>
    <row r="193" ht="15.75" customHeight="1">
      <c r="C193" s="8"/>
      <c r="BD193" s="11"/>
      <c r="BR193" s="11"/>
      <c r="BY193" s="11"/>
      <c r="CF193" s="11"/>
      <c r="CM193" s="11"/>
      <c r="CT193" s="11"/>
      <c r="DA193" s="11"/>
      <c r="DH193" s="11"/>
      <c r="DO193" s="11"/>
    </row>
    <row r="194" ht="15.75" customHeight="1">
      <c r="C194" s="8"/>
      <c r="BD194" s="11"/>
      <c r="BR194" s="11"/>
      <c r="BY194" s="11"/>
      <c r="CF194" s="11"/>
      <c r="CM194" s="11"/>
      <c r="CT194" s="11"/>
      <c r="DA194" s="11"/>
      <c r="DH194" s="11"/>
      <c r="DO194" s="11"/>
    </row>
    <row r="195" ht="15.75" customHeight="1">
      <c r="C195" s="8"/>
      <c r="BD195" s="11"/>
      <c r="BR195" s="11"/>
      <c r="BY195" s="11"/>
      <c r="CF195" s="11"/>
      <c r="CM195" s="11"/>
      <c r="CT195" s="11"/>
      <c r="DA195" s="11"/>
      <c r="DH195" s="11"/>
      <c r="DO195" s="11"/>
    </row>
    <row r="196" ht="15.75" customHeight="1">
      <c r="C196" s="8"/>
      <c r="BD196" s="11"/>
      <c r="BR196" s="11"/>
      <c r="BY196" s="11"/>
      <c r="CF196" s="11"/>
      <c r="CM196" s="11"/>
      <c r="CT196" s="11"/>
      <c r="DA196" s="11"/>
      <c r="DH196" s="11"/>
      <c r="DO196" s="11"/>
    </row>
    <row r="197" ht="15.75" customHeight="1">
      <c r="C197" s="8"/>
      <c r="BD197" s="11"/>
      <c r="BR197" s="11"/>
      <c r="BY197" s="11"/>
      <c r="CF197" s="11"/>
      <c r="CM197" s="11"/>
      <c r="CT197" s="11"/>
      <c r="DA197" s="11"/>
      <c r="DH197" s="11"/>
      <c r="DO197" s="11"/>
    </row>
    <row r="198" ht="15.75" customHeight="1">
      <c r="C198" s="8"/>
      <c r="BD198" s="11"/>
      <c r="BR198" s="11"/>
      <c r="BY198" s="11"/>
      <c r="CF198" s="11"/>
      <c r="CM198" s="11"/>
      <c r="CT198" s="11"/>
      <c r="DA198" s="11"/>
      <c r="DH198" s="11"/>
      <c r="DO198" s="11"/>
    </row>
    <row r="199" ht="15.75" customHeight="1">
      <c r="C199" s="8"/>
      <c r="BD199" s="11"/>
      <c r="BR199" s="11"/>
      <c r="BY199" s="11"/>
      <c r="CF199" s="11"/>
      <c r="CM199" s="11"/>
      <c r="CT199" s="11"/>
      <c r="DA199" s="11"/>
      <c r="DH199" s="11"/>
      <c r="DO199" s="11"/>
    </row>
    <row r="200" ht="15.75" customHeight="1">
      <c r="C200" s="8"/>
      <c r="BD200" s="11"/>
      <c r="BR200" s="11"/>
      <c r="BY200" s="11"/>
      <c r="CF200" s="11"/>
      <c r="CM200" s="11"/>
      <c r="CT200" s="11"/>
      <c r="DA200" s="11"/>
      <c r="DH200" s="11"/>
      <c r="DO200" s="11"/>
    </row>
    <row r="201" ht="15.75" customHeight="1">
      <c r="C201" s="8"/>
      <c r="BD201" s="11"/>
      <c r="BR201" s="11"/>
      <c r="BY201" s="11"/>
      <c r="CF201" s="11"/>
      <c r="CM201" s="11"/>
      <c r="CT201" s="11"/>
      <c r="DA201" s="11"/>
      <c r="DH201" s="11"/>
      <c r="DO201" s="11"/>
    </row>
    <row r="202" ht="15.75" customHeight="1">
      <c r="C202" s="8"/>
      <c r="BD202" s="11"/>
      <c r="BR202" s="11"/>
      <c r="BY202" s="11"/>
      <c r="CF202" s="11"/>
      <c r="CM202" s="11"/>
      <c r="CT202" s="11"/>
      <c r="DA202" s="11"/>
      <c r="DH202" s="11"/>
      <c r="DO202" s="11"/>
    </row>
    <row r="203" ht="15.75" customHeight="1">
      <c r="C203" s="8"/>
      <c r="BD203" s="11"/>
      <c r="BR203" s="11"/>
      <c r="BY203" s="11"/>
      <c r="CF203" s="11"/>
      <c r="CM203" s="11"/>
      <c r="CT203" s="11"/>
      <c r="DA203" s="11"/>
      <c r="DH203" s="11"/>
      <c r="DO203" s="11"/>
    </row>
    <row r="204" ht="15.75" customHeight="1">
      <c r="C204" s="8"/>
      <c r="BD204" s="11"/>
      <c r="BR204" s="11"/>
      <c r="BY204" s="11"/>
      <c r="CF204" s="11"/>
      <c r="CM204" s="11"/>
      <c r="CT204" s="11"/>
      <c r="DA204" s="11"/>
      <c r="DH204" s="11"/>
      <c r="DO204" s="11"/>
    </row>
    <row r="205" ht="15.75" customHeight="1">
      <c r="C205" s="8"/>
      <c r="BD205" s="11"/>
      <c r="BR205" s="11"/>
      <c r="BY205" s="11"/>
      <c r="CF205" s="11"/>
      <c r="CM205" s="11"/>
      <c r="CT205" s="11"/>
      <c r="DA205" s="11"/>
      <c r="DH205" s="11"/>
      <c r="DO205" s="11"/>
    </row>
    <row r="206" ht="15.75" customHeight="1">
      <c r="C206" s="8"/>
      <c r="BD206" s="11"/>
      <c r="BR206" s="11"/>
      <c r="BY206" s="11"/>
      <c r="CF206" s="11"/>
      <c r="CM206" s="11"/>
      <c r="CT206" s="11"/>
      <c r="DA206" s="11"/>
      <c r="DH206" s="11"/>
      <c r="DO206" s="11"/>
    </row>
    <row r="207" ht="15.75" customHeight="1">
      <c r="C207" s="8"/>
      <c r="BD207" s="11"/>
      <c r="BR207" s="11"/>
      <c r="BY207" s="11"/>
      <c r="CF207" s="11"/>
      <c r="CM207" s="11"/>
      <c r="CT207" s="11"/>
      <c r="DA207" s="11"/>
      <c r="DH207" s="11"/>
      <c r="DO207" s="11"/>
    </row>
    <row r="208" ht="15.75" customHeight="1">
      <c r="C208" s="8"/>
      <c r="BD208" s="11"/>
      <c r="BR208" s="11"/>
      <c r="BY208" s="11"/>
      <c r="CF208" s="11"/>
      <c r="CM208" s="11"/>
      <c r="CT208" s="11"/>
      <c r="DA208" s="11"/>
      <c r="DH208" s="11"/>
      <c r="DO208" s="11"/>
    </row>
    <row r="209" ht="15.75" customHeight="1">
      <c r="C209" s="8"/>
      <c r="BD209" s="11"/>
      <c r="BR209" s="11"/>
      <c r="BY209" s="11"/>
      <c r="CF209" s="11"/>
      <c r="CM209" s="11"/>
      <c r="CT209" s="11"/>
      <c r="DA209" s="11"/>
      <c r="DH209" s="11"/>
      <c r="DO209" s="11"/>
    </row>
    <row r="210" ht="15.75" customHeight="1">
      <c r="C210" s="8"/>
      <c r="BD210" s="11"/>
      <c r="BR210" s="11"/>
      <c r="BY210" s="11"/>
      <c r="CF210" s="11"/>
      <c r="CM210" s="11"/>
      <c r="CT210" s="11"/>
      <c r="DA210" s="11"/>
      <c r="DH210" s="11"/>
      <c r="DO210" s="11"/>
    </row>
    <row r="211" ht="15.75" customHeight="1">
      <c r="C211" s="8"/>
      <c r="BD211" s="11"/>
      <c r="BR211" s="11"/>
      <c r="BY211" s="11"/>
      <c r="CF211" s="11"/>
      <c r="CM211" s="11"/>
      <c r="CT211" s="11"/>
      <c r="DA211" s="11"/>
      <c r="DH211" s="11"/>
      <c r="DO211" s="11"/>
    </row>
    <row r="212" ht="15.75" customHeight="1">
      <c r="C212" s="8"/>
      <c r="BD212" s="11"/>
      <c r="BR212" s="11"/>
      <c r="BY212" s="11"/>
      <c r="CF212" s="11"/>
      <c r="CM212" s="11"/>
      <c r="CT212" s="11"/>
      <c r="DA212" s="11"/>
      <c r="DH212" s="11"/>
      <c r="DO212" s="11"/>
    </row>
    <row r="213" ht="15.75" customHeight="1">
      <c r="C213" s="8"/>
      <c r="BD213" s="11"/>
      <c r="BR213" s="11"/>
      <c r="BY213" s="11"/>
      <c r="CF213" s="11"/>
      <c r="CM213" s="11"/>
      <c r="CT213" s="11"/>
      <c r="DA213" s="11"/>
      <c r="DH213" s="11"/>
      <c r="DO213" s="11"/>
    </row>
    <row r="214" ht="15.75" customHeight="1">
      <c r="C214" s="8"/>
      <c r="BD214" s="11"/>
      <c r="BR214" s="11"/>
      <c r="BY214" s="11"/>
      <c r="CF214" s="11"/>
      <c r="CM214" s="11"/>
      <c r="CT214" s="11"/>
      <c r="DA214" s="11"/>
      <c r="DH214" s="11"/>
      <c r="DO214" s="11"/>
    </row>
    <row r="215" ht="15.75" customHeight="1">
      <c r="C215" s="8"/>
      <c r="BD215" s="11"/>
      <c r="BR215" s="11"/>
      <c r="BY215" s="11"/>
      <c r="CF215" s="11"/>
      <c r="CM215" s="11"/>
      <c r="CT215" s="11"/>
      <c r="DA215" s="11"/>
      <c r="DH215" s="11"/>
      <c r="DO215" s="11"/>
    </row>
    <row r="216" ht="15.75" customHeight="1">
      <c r="C216" s="8"/>
      <c r="BD216" s="11"/>
      <c r="BR216" s="11"/>
      <c r="BY216" s="11"/>
      <c r="CF216" s="11"/>
      <c r="CM216" s="11"/>
      <c r="CT216" s="11"/>
      <c r="DA216" s="11"/>
      <c r="DH216" s="11"/>
      <c r="DO216" s="11"/>
    </row>
    <row r="217" ht="15.75" customHeight="1">
      <c r="C217" s="8"/>
      <c r="BD217" s="11"/>
      <c r="BR217" s="11"/>
      <c r="BY217" s="11"/>
      <c r="CF217" s="11"/>
      <c r="CM217" s="11"/>
      <c r="CT217" s="11"/>
      <c r="DA217" s="11"/>
      <c r="DH217" s="11"/>
      <c r="DO217" s="11"/>
    </row>
    <row r="218" ht="15.75" customHeight="1">
      <c r="C218" s="8"/>
      <c r="BD218" s="11"/>
      <c r="BR218" s="11"/>
      <c r="BY218" s="11"/>
      <c r="CF218" s="11"/>
      <c r="CM218" s="11"/>
      <c r="CT218" s="11"/>
      <c r="DA218" s="11"/>
      <c r="DH218" s="11"/>
      <c r="DO218" s="11"/>
    </row>
    <row r="219" ht="15.75" customHeight="1">
      <c r="C219" s="8"/>
      <c r="BD219" s="11"/>
      <c r="BR219" s="11"/>
      <c r="BY219" s="11"/>
      <c r="CF219" s="11"/>
      <c r="CM219" s="11"/>
      <c r="CT219" s="11"/>
      <c r="DA219" s="11"/>
      <c r="DH219" s="11"/>
      <c r="DO219" s="11"/>
    </row>
    <row r="220" ht="15.75" customHeight="1">
      <c r="C220" s="8"/>
      <c r="BD220" s="11"/>
      <c r="BR220" s="11"/>
      <c r="BY220" s="11"/>
      <c r="CF220" s="11"/>
      <c r="CM220" s="11"/>
      <c r="CT220" s="11"/>
      <c r="DA220" s="11"/>
      <c r="DH220" s="11"/>
      <c r="DO220" s="11"/>
    </row>
    <row r="221" ht="15.75" customHeight="1">
      <c r="C221" s="8"/>
      <c r="BD221" s="11"/>
      <c r="BR221" s="11"/>
      <c r="BY221" s="11"/>
      <c r="CF221" s="11"/>
      <c r="CM221" s="11"/>
      <c r="CT221" s="11"/>
      <c r="DA221" s="11"/>
      <c r="DH221" s="11"/>
      <c r="DO221" s="11"/>
    </row>
    <row r="222" ht="15.75" customHeight="1">
      <c r="C222" s="8"/>
      <c r="BD222" s="11"/>
      <c r="BR222" s="11"/>
      <c r="BY222" s="11"/>
      <c r="CF222" s="11"/>
      <c r="CM222" s="11"/>
      <c r="CT222" s="11"/>
      <c r="DA222" s="11"/>
      <c r="DH222" s="11"/>
      <c r="DO222" s="11"/>
    </row>
    <row r="223" ht="15.75" customHeight="1">
      <c r="C223" s="8"/>
      <c r="BD223" s="11"/>
      <c r="BR223" s="11"/>
      <c r="BY223" s="11"/>
      <c r="CF223" s="11"/>
      <c r="CM223" s="11"/>
      <c r="CT223" s="11"/>
      <c r="DA223" s="11"/>
      <c r="DH223" s="11"/>
      <c r="DO223" s="11"/>
    </row>
    <row r="224" ht="15.75" customHeight="1">
      <c r="C224" s="8"/>
      <c r="BD224" s="11"/>
      <c r="BR224" s="11"/>
      <c r="BY224" s="11"/>
      <c r="CF224" s="11"/>
      <c r="CM224" s="11"/>
      <c r="CT224" s="11"/>
      <c r="DA224" s="11"/>
      <c r="DH224" s="11"/>
      <c r="DO224" s="11"/>
    </row>
    <row r="225" ht="15.75" customHeight="1">
      <c r="C225" s="8"/>
      <c r="BD225" s="11"/>
      <c r="BR225" s="11"/>
      <c r="BY225" s="11"/>
      <c r="CF225" s="11"/>
      <c r="CM225" s="11"/>
      <c r="CT225" s="11"/>
      <c r="DA225" s="11"/>
      <c r="DH225" s="11"/>
      <c r="DO225" s="11"/>
    </row>
    <row r="226" ht="15.75" customHeight="1">
      <c r="C226" s="8"/>
      <c r="BD226" s="11"/>
      <c r="BR226" s="11"/>
      <c r="BY226" s="11"/>
      <c r="CF226" s="11"/>
      <c r="CM226" s="11"/>
      <c r="CT226" s="11"/>
      <c r="DA226" s="11"/>
      <c r="DH226" s="11"/>
      <c r="DO226" s="11"/>
    </row>
    <row r="227" ht="15.75" customHeight="1">
      <c r="C227" s="8"/>
      <c r="BD227" s="11"/>
      <c r="BR227" s="11"/>
      <c r="BY227" s="11"/>
      <c r="CF227" s="11"/>
      <c r="CM227" s="11"/>
      <c r="CT227" s="11"/>
      <c r="DA227" s="11"/>
      <c r="DH227" s="11"/>
      <c r="DO227" s="11"/>
    </row>
    <row r="228" ht="15.75" customHeight="1">
      <c r="C228" s="8"/>
      <c r="BD228" s="11"/>
      <c r="BR228" s="11"/>
      <c r="BY228" s="11"/>
      <c r="CF228" s="11"/>
      <c r="CM228" s="11"/>
      <c r="CT228" s="11"/>
      <c r="DA228" s="11"/>
      <c r="DH228" s="11"/>
      <c r="DO228" s="11"/>
    </row>
    <row r="229" ht="15.75" customHeight="1">
      <c r="C229" s="8"/>
      <c r="BD229" s="11"/>
      <c r="BR229" s="11"/>
      <c r="BY229" s="11"/>
      <c r="CF229" s="11"/>
      <c r="CM229" s="11"/>
      <c r="CT229" s="11"/>
      <c r="DA229" s="11"/>
      <c r="DH229" s="11"/>
      <c r="DO229" s="11"/>
    </row>
    <row r="230" ht="15.75" customHeight="1">
      <c r="C230" s="8"/>
      <c r="BD230" s="11"/>
      <c r="BR230" s="11"/>
      <c r="BY230" s="11"/>
      <c r="CF230" s="11"/>
      <c r="CM230" s="11"/>
      <c r="CT230" s="11"/>
      <c r="DA230" s="11"/>
      <c r="DH230" s="11"/>
      <c r="DO230" s="11"/>
    </row>
    <row r="231" ht="15.75" customHeight="1">
      <c r="C231" s="8"/>
      <c r="BD231" s="11"/>
      <c r="BR231" s="11"/>
      <c r="BY231" s="11"/>
      <c r="CF231" s="11"/>
      <c r="CM231" s="11"/>
      <c r="CT231" s="11"/>
      <c r="DA231" s="11"/>
      <c r="DH231" s="11"/>
      <c r="DO231" s="11"/>
    </row>
    <row r="232" ht="15.75" customHeight="1">
      <c r="C232" s="8"/>
      <c r="BD232" s="11"/>
      <c r="BR232" s="11"/>
      <c r="BY232" s="11"/>
      <c r="CF232" s="11"/>
      <c r="CM232" s="11"/>
      <c r="CT232" s="11"/>
      <c r="DA232" s="11"/>
      <c r="DH232" s="11"/>
      <c r="DO232" s="11"/>
    </row>
    <row r="233" ht="15.75" customHeight="1">
      <c r="C233" s="8"/>
      <c r="BD233" s="11"/>
      <c r="BR233" s="11"/>
      <c r="BY233" s="11"/>
      <c r="CF233" s="11"/>
      <c r="CM233" s="11"/>
      <c r="CT233" s="11"/>
      <c r="DA233" s="11"/>
      <c r="DH233" s="11"/>
      <c r="DO233" s="11"/>
    </row>
    <row r="234" ht="15.75" customHeight="1">
      <c r="C234" s="8"/>
      <c r="BD234" s="11"/>
      <c r="BR234" s="11"/>
      <c r="BY234" s="11"/>
      <c r="CF234" s="11"/>
      <c r="CM234" s="11"/>
      <c r="CT234" s="11"/>
      <c r="DA234" s="11"/>
      <c r="DH234" s="11"/>
      <c r="DO234" s="11"/>
    </row>
    <row r="235" ht="15.75" customHeight="1">
      <c r="C235" s="8"/>
      <c r="BD235" s="11"/>
      <c r="BR235" s="11"/>
      <c r="BY235" s="11"/>
      <c r="CF235" s="11"/>
      <c r="CM235" s="11"/>
      <c r="CT235" s="11"/>
      <c r="DA235" s="11"/>
      <c r="DH235" s="11"/>
      <c r="DO235" s="11"/>
    </row>
    <row r="236" ht="15.75" customHeight="1">
      <c r="C236" s="8"/>
      <c r="BD236" s="11"/>
      <c r="BR236" s="11"/>
      <c r="BY236" s="11"/>
      <c r="CF236" s="11"/>
      <c r="CM236" s="11"/>
      <c r="CT236" s="11"/>
      <c r="DA236" s="11"/>
      <c r="DH236" s="11"/>
      <c r="DO236" s="11"/>
    </row>
    <row r="237" ht="15.75" customHeight="1">
      <c r="C237" s="8"/>
      <c r="BD237" s="11"/>
      <c r="BR237" s="11"/>
      <c r="BY237" s="11"/>
      <c r="CF237" s="11"/>
      <c r="CM237" s="11"/>
      <c r="CT237" s="11"/>
      <c r="DA237" s="11"/>
      <c r="DH237" s="11"/>
      <c r="DO237" s="11"/>
    </row>
    <row r="238" ht="15.75" customHeight="1">
      <c r="C238" s="8"/>
      <c r="BD238" s="11"/>
      <c r="BR238" s="11"/>
      <c r="BY238" s="11"/>
      <c r="CF238" s="11"/>
      <c r="CM238" s="11"/>
      <c r="CT238" s="11"/>
      <c r="DA238" s="11"/>
      <c r="DH238" s="11"/>
      <c r="DO238" s="11"/>
    </row>
    <row r="239" ht="15.75" customHeight="1">
      <c r="C239" s="8"/>
      <c r="BD239" s="11"/>
      <c r="BR239" s="11"/>
      <c r="BY239" s="11"/>
      <c r="CF239" s="11"/>
      <c r="CM239" s="11"/>
      <c r="CT239" s="11"/>
      <c r="DA239" s="11"/>
      <c r="DH239" s="11"/>
      <c r="DO239" s="11"/>
    </row>
    <row r="240" ht="15.75" customHeight="1">
      <c r="C240" s="8"/>
      <c r="BD240" s="11"/>
      <c r="BR240" s="11"/>
      <c r="BY240" s="11"/>
      <c r="CF240" s="11"/>
      <c r="CM240" s="11"/>
      <c r="CT240" s="11"/>
      <c r="DA240" s="11"/>
      <c r="DH240" s="11"/>
      <c r="DO240" s="11"/>
    </row>
    <row r="241" ht="15.75" customHeight="1">
      <c r="C241" s="8"/>
      <c r="BD241" s="11"/>
      <c r="BR241" s="11"/>
      <c r="BY241" s="11"/>
      <c r="CF241" s="11"/>
      <c r="CM241" s="11"/>
      <c r="CT241" s="11"/>
      <c r="DA241" s="11"/>
      <c r="DH241" s="11"/>
      <c r="DO241" s="11"/>
    </row>
    <row r="242" ht="15.75" customHeight="1">
      <c r="C242" s="8"/>
      <c r="BD242" s="11"/>
      <c r="BR242" s="11"/>
      <c r="BY242" s="11"/>
      <c r="CF242" s="11"/>
      <c r="CM242" s="11"/>
      <c r="CT242" s="11"/>
      <c r="DA242" s="11"/>
      <c r="DH242" s="11"/>
      <c r="DO242" s="11"/>
    </row>
    <row r="243" ht="15.75" customHeight="1">
      <c r="C243" s="8"/>
      <c r="BD243" s="11"/>
      <c r="BR243" s="11"/>
      <c r="BY243" s="11"/>
      <c r="CF243" s="11"/>
      <c r="CM243" s="11"/>
      <c r="CT243" s="11"/>
      <c r="DA243" s="11"/>
      <c r="DH243" s="11"/>
      <c r="DO243" s="11"/>
    </row>
    <row r="244" ht="15.75" customHeight="1">
      <c r="C244" s="8"/>
      <c r="BD244" s="11"/>
      <c r="BR244" s="11"/>
      <c r="BY244" s="11"/>
      <c r="CF244" s="11"/>
      <c r="CM244" s="11"/>
      <c r="CT244" s="11"/>
      <c r="DA244" s="11"/>
      <c r="DH244" s="11"/>
      <c r="DO244" s="11"/>
    </row>
    <row r="245" ht="15.75" customHeight="1">
      <c r="C245" s="8"/>
      <c r="BD245" s="11"/>
      <c r="BR245" s="11"/>
      <c r="BY245" s="11"/>
      <c r="CF245" s="11"/>
      <c r="CM245" s="11"/>
      <c r="CT245" s="11"/>
      <c r="DA245" s="11"/>
      <c r="DH245" s="11"/>
      <c r="DO245" s="11"/>
    </row>
    <row r="246" ht="15.75" customHeight="1">
      <c r="C246" s="8"/>
      <c r="BD246" s="11"/>
      <c r="BR246" s="11"/>
      <c r="BY246" s="11"/>
      <c r="CF246" s="11"/>
      <c r="CM246" s="11"/>
      <c r="CT246" s="11"/>
      <c r="DA246" s="11"/>
      <c r="DH246" s="11"/>
      <c r="DO246" s="11"/>
    </row>
    <row r="247" ht="15.75" customHeight="1">
      <c r="C247" s="8"/>
      <c r="BD247" s="11"/>
      <c r="BR247" s="11"/>
      <c r="BY247" s="11"/>
      <c r="CF247" s="11"/>
      <c r="CM247" s="11"/>
      <c r="CT247" s="11"/>
      <c r="DA247" s="11"/>
      <c r="DH247" s="11"/>
      <c r="DO247" s="11"/>
    </row>
    <row r="248" ht="15.75" customHeight="1">
      <c r="C248" s="8"/>
      <c r="BD248" s="11"/>
      <c r="BR248" s="11"/>
      <c r="BY248" s="11"/>
      <c r="CF248" s="11"/>
      <c r="CM248" s="11"/>
      <c r="CT248" s="11"/>
      <c r="DA248" s="11"/>
      <c r="DH248" s="11"/>
      <c r="DO248" s="11"/>
    </row>
    <row r="249" ht="15.75" customHeight="1">
      <c r="C249" s="8"/>
      <c r="BD249" s="11"/>
      <c r="BR249" s="11"/>
      <c r="BY249" s="11"/>
      <c r="CF249" s="11"/>
      <c r="CM249" s="11"/>
      <c r="CT249" s="11"/>
      <c r="DA249" s="11"/>
      <c r="DH249" s="11"/>
      <c r="DO249" s="11"/>
    </row>
    <row r="250" ht="15.75" customHeight="1">
      <c r="C250" s="8"/>
      <c r="BD250" s="11"/>
      <c r="BR250" s="11"/>
      <c r="BY250" s="11"/>
      <c r="CF250" s="11"/>
      <c r="CM250" s="11"/>
      <c r="CT250" s="11"/>
      <c r="DA250" s="11"/>
      <c r="DH250" s="11"/>
      <c r="DO250" s="11"/>
    </row>
    <row r="251" ht="15.75" customHeight="1">
      <c r="C251" s="8"/>
      <c r="BD251" s="11"/>
      <c r="BR251" s="11"/>
      <c r="BY251" s="11"/>
      <c r="CF251" s="11"/>
      <c r="CM251" s="11"/>
      <c r="CT251" s="11"/>
      <c r="DA251" s="11"/>
      <c r="DH251" s="11"/>
      <c r="DO251" s="11"/>
    </row>
    <row r="252" ht="15.75" customHeight="1">
      <c r="C252" s="8"/>
      <c r="BD252" s="11"/>
      <c r="BR252" s="11"/>
      <c r="BY252" s="11"/>
      <c r="CF252" s="11"/>
      <c r="CM252" s="11"/>
      <c r="CT252" s="11"/>
      <c r="DA252" s="11"/>
      <c r="DH252" s="11"/>
      <c r="DO252" s="11"/>
    </row>
    <row r="253" ht="15.75" customHeight="1">
      <c r="C253" s="8"/>
      <c r="BD253" s="11"/>
      <c r="BR253" s="11"/>
      <c r="BY253" s="11"/>
      <c r="CF253" s="11"/>
      <c r="CM253" s="11"/>
      <c r="CT253" s="11"/>
      <c r="DA253" s="11"/>
      <c r="DH253" s="11"/>
      <c r="DO253" s="11"/>
    </row>
    <row r="254" ht="15.75" customHeight="1">
      <c r="C254" s="8"/>
      <c r="BD254" s="11"/>
      <c r="BR254" s="11"/>
      <c r="BY254" s="11"/>
      <c r="CF254" s="11"/>
      <c r="CM254" s="11"/>
      <c r="CT254" s="11"/>
      <c r="DA254" s="11"/>
      <c r="DH254" s="11"/>
      <c r="DO254" s="11"/>
    </row>
    <row r="255" ht="15.75" customHeight="1">
      <c r="C255" s="8"/>
      <c r="BD255" s="11"/>
      <c r="BR255" s="11"/>
      <c r="BY255" s="11"/>
      <c r="CF255" s="11"/>
      <c r="CM255" s="11"/>
      <c r="CT255" s="11"/>
      <c r="DA255" s="11"/>
      <c r="DH255" s="11"/>
      <c r="DO255" s="11"/>
    </row>
    <row r="256" ht="15.75" customHeight="1">
      <c r="C256" s="8"/>
      <c r="BD256" s="11"/>
      <c r="BR256" s="11"/>
      <c r="BY256" s="11"/>
      <c r="CF256" s="11"/>
      <c r="CM256" s="11"/>
      <c r="CT256" s="11"/>
      <c r="DA256" s="11"/>
      <c r="DH256" s="11"/>
      <c r="DO256" s="11"/>
    </row>
    <row r="257" ht="15.75" customHeight="1">
      <c r="C257" s="8"/>
      <c r="BD257" s="11"/>
      <c r="BR257" s="11"/>
      <c r="BY257" s="11"/>
      <c r="CF257" s="11"/>
      <c r="CM257" s="11"/>
      <c r="CT257" s="11"/>
      <c r="DA257" s="11"/>
      <c r="DH257" s="11"/>
      <c r="DO257" s="11"/>
    </row>
    <row r="258" ht="15.75" customHeight="1">
      <c r="C258" s="8"/>
      <c r="BD258" s="11"/>
      <c r="BR258" s="11"/>
      <c r="BY258" s="11"/>
      <c r="CF258" s="11"/>
      <c r="CM258" s="11"/>
      <c r="CT258" s="11"/>
      <c r="DA258" s="11"/>
      <c r="DH258" s="11"/>
      <c r="DO258" s="11"/>
    </row>
    <row r="259" ht="15.75" customHeight="1">
      <c r="C259" s="8"/>
      <c r="BD259" s="11"/>
      <c r="BR259" s="11"/>
      <c r="BY259" s="11"/>
      <c r="CF259" s="11"/>
      <c r="CM259" s="11"/>
      <c r="CT259" s="11"/>
      <c r="DA259" s="11"/>
      <c r="DH259" s="11"/>
      <c r="DO259" s="11"/>
    </row>
    <row r="260" ht="15.75" customHeight="1">
      <c r="C260" s="8"/>
      <c r="BD260" s="11"/>
      <c r="BR260" s="11"/>
      <c r="BY260" s="11"/>
      <c r="CF260" s="11"/>
      <c r="CM260" s="11"/>
      <c r="CT260" s="11"/>
      <c r="DA260" s="11"/>
      <c r="DH260" s="11"/>
      <c r="DO260" s="11"/>
    </row>
    <row r="261" ht="15.75" customHeight="1">
      <c r="C261" s="8"/>
      <c r="BD261" s="11"/>
      <c r="BR261" s="11"/>
      <c r="BY261" s="11"/>
      <c r="CF261" s="11"/>
      <c r="CM261" s="11"/>
      <c r="CT261" s="11"/>
      <c r="DA261" s="11"/>
      <c r="DH261" s="11"/>
      <c r="DO261" s="11"/>
    </row>
    <row r="262" ht="15.75" customHeight="1">
      <c r="C262" s="8"/>
      <c r="BD262" s="11"/>
      <c r="BR262" s="11"/>
      <c r="BY262" s="11"/>
      <c r="CF262" s="11"/>
      <c r="CM262" s="11"/>
      <c r="CT262" s="11"/>
      <c r="DA262" s="11"/>
      <c r="DH262" s="11"/>
      <c r="DO262" s="11"/>
    </row>
    <row r="263" ht="15.75" customHeight="1">
      <c r="C263" s="8"/>
      <c r="BD263" s="11"/>
      <c r="BR263" s="11"/>
      <c r="BY263" s="11"/>
      <c r="CF263" s="11"/>
      <c r="CM263" s="11"/>
      <c r="CT263" s="11"/>
      <c r="DA263" s="11"/>
      <c r="DH263" s="11"/>
      <c r="DO263" s="11"/>
    </row>
    <row r="264" ht="15.75" customHeight="1">
      <c r="C264" s="8"/>
      <c r="BD264" s="11"/>
      <c r="BR264" s="11"/>
      <c r="BY264" s="11"/>
      <c r="CF264" s="11"/>
      <c r="CM264" s="11"/>
      <c r="CT264" s="11"/>
      <c r="DA264" s="11"/>
      <c r="DH264" s="11"/>
      <c r="DO264" s="11"/>
    </row>
    <row r="265" ht="15.75" customHeight="1">
      <c r="C265" s="8"/>
      <c r="BD265" s="11"/>
      <c r="BR265" s="11"/>
      <c r="BY265" s="11"/>
      <c r="CF265" s="11"/>
      <c r="CM265" s="11"/>
      <c r="CT265" s="11"/>
      <c r="DA265" s="11"/>
      <c r="DH265" s="11"/>
      <c r="DO265" s="11"/>
    </row>
    <row r="266" ht="15.75" customHeight="1">
      <c r="C266" s="8"/>
      <c r="BD266" s="11"/>
      <c r="BR266" s="11"/>
      <c r="BY266" s="11"/>
      <c r="CF266" s="11"/>
      <c r="CM266" s="11"/>
      <c r="CT266" s="11"/>
      <c r="DA266" s="11"/>
      <c r="DH266" s="11"/>
      <c r="DO266" s="11"/>
    </row>
    <row r="267" ht="15.75" customHeight="1">
      <c r="C267" s="8"/>
      <c r="BD267" s="11"/>
      <c r="BR267" s="11"/>
      <c r="BY267" s="11"/>
      <c r="CF267" s="11"/>
      <c r="CM267" s="11"/>
      <c r="CT267" s="11"/>
      <c r="DA267" s="11"/>
      <c r="DH267" s="11"/>
      <c r="DO267" s="11"/>
    </row>
    <row r="268" ht="15.75" customHeight="1">
      <c r="C268" s="8"/>
      <c r="BD268" s="11"/>
      <c r="BR268" s="11"/>
      <c r="BY268" s="11"/>
      <c r="CF268" s="11"/>
      <c r="CM268" s="11"/>
      <c r="CT268" s="11"/>
      <c r="DA268" s="11"/>
      <c r="DH268" s="11"/>
      <c r="DO268" s="11"/>
    </row>
    <row r="269" ht="15.75" customHeight="1">
      <c r="C269" s="8"/>
      <c r="BD269" s="11"/>
      <c r="BR269" s="11"/>
      <c r="BY269" s="11"/>
      <c r="CF269" s="11"/>
      <c r="CM269" s="11"/>
      <c r="CT269" s="11"/>
      <c r="DA269" s="11"/>
      <c r="DH269" s="11"/>
      <c r="DO269" s="11"/>
    </row>
    <row r="270" ht="15.75" customHeight="1">
      <c r="C270" s="8"/>
      <c r="BD270" s="11"/>
      <c r="BR270" s="11"/>
      <c r="BY270" s="11"/>
      <c r="CF270" s="11"/>
      <c r="CM270" s="11"/>
      <c r="CT270" s="11"/>
      <c r="DA270" s="11"/>
      <c r="DH270" s="11"/>
      <c r="DO270" s="11"/>
    </row>
    <row r="271" ht="15.75" customHeight="1">
      <c r="C271" s="8"/>
      <c r="BD271" s="11"/>
      <c r="BR271" s="11"/>
      <c r="BY271" s="11"/>
      <c r="CF271" s="11"/>
      <c r="CM271" s="11"/>
      <c r="CT271" s="11"/>
      <c r="DA271" s="11"/>
      <c r="DH271" s="11"/>
      <c r="DO271" s="11"/>
    </row>
    <row r="272" ht="15.75" customHeight="1">
      <c r="C272" s="8"/>
      <c r="BD272" s="11"/>
      <c r="BR272" s="11"/>
      <c r="BY272" s="11"/>
      <c r="CF272" s="11"/>
      <c r="CM272" s="11"/>
      <c r="CT272" s="11"/>
      <c r="DA272" s="11"/>
      <c r="DH272" s="11"/>
      <c r="DO272" s="11"/>
    </row>
    <row r="273" ht="15.75" customHeight="1">
      <c r="C273" s="8"/>
      <c r="BD273" s="11"/>
      <c r="BR273" s="11"/>
      <c r="BY273" s="11"/>
      <c r="CF273" s="11"/>
      <c r="CM273" s="11"/>
      <c r="CT273" s="11"/>
      <c r="DA273" s="11"/>
      <c r="DH273" s="11"/>
      <c r="DO273" s="11"/>
    </row>
    <row r="274" ht="15.75" customHeight="1">
      <c r="C274" s="8"/>
      <c r="BD274" s="11"/>
      <c r="BR274" s="11"/>
      <c r="BY274" s="11"/>
      <c r="CF274" s="11"/>
      <c r="CM274" s="11"/>
      <c r="CT274" s="11"/>
      <c r="DA274" s="11"/>
      <c r="DH274" s="11"/>
      <c r="DO274" s="11"/>
    </row>
    <row r="275" ht="15.75" customHeight="1">
      <c r="C275" s="8"/>
      <c r="BD275" s="11"/>
      <c r="BR275" s="11"/>
      <c r="BY275" s="11"/>
      <c r="CF275" s="11"/>
      <c r="CM275" s="11"/>
      <c r="CT275" s="11"/>
      <c r="DA275" s="11"/>
      <c r="DH275" s="11"/>
      <c r="DO275" s="11"/>
    </row>
    <row r="276" ht="15.75" customHeight="1">
      <c r="C276" s="8"/>
      <c r="BD276" s="11"/>
      <c r="BR276" s="11"/>
      <c r="BY276" s="11"/>
      <c r="CF276" s="11"/>
      <c r="CM276" s="11"/>
      <c r="CT276" s="11"/>
      <c r="DA276" s="11"/>
      <c r="DH276" s="11"/>
      <c r="DO276" s="11"/>
    </row>
    <row r="277" ht="15.75" customHeight="1">
      <c r="C277" s="8"/>
      <c r="BD277" s="11"/>
      <c r="BR277" s="11"/>
      <c r="BY277" s="11"/>
      <c r="CF277" s="11"/>
      <c r="CM277" s="11"/>
      <c r="CT277" s="11"/>
      <c r="DA277" s="11"/>
      <c r="DH277" s="11"/>
      <c r="DO277" s="11"/>
    </row>
    <row r="278" ht="15.75" customHeight="1">
      <c r="C278" s="8"/>
      <c r="BD278" s="11"/>
      <c r="BR278" s="11"/>
      <c r="BY278" s="11"/>
      <c r="CF278" s="11"/>
      <c r="CM278" s="11"/>
      <c r="CT278" s="11"/>
      <c r="DA278" s="11"/>
      <c r="DH278" s="11"/>
      <c r="DO278" s="11"/>
    </row>
    <row r="279" ht="15.75" customHeight="1">
      <c r="C279" s="8"/>
      <c r="BD279" s="11"/>
      <c r="BR279" s="11"/>
      <c r="BY279" s="11"/>
      <c r="CF279" s="11"/>
      <c r="CM279" s="11"/>
      <c r="CT279" s="11"/>
      <c r="DA279" s="11"/>
      <c r="DH279" s="11"/>
      <c r="DO279" s="11"/>
    </row>
    <row r="280" ht="15.75" customHeight="1">
      <c r="C280" s="8"/>
      <c r="BD280" s="11"/>
      <c r="BR280" s="11"/>
      <c r="BY280" s="11"/>
      <c r="CF280" s="11"/>
      <c r="CM280" s="11"/>
      <c r="CT280" s="11"/>
      <c r="DA280" s="11"/>
      <c r="DH280" s="11"/>
      <c r="DO280" s="11"/>
    </row>
    <row r="281" ht="15.75" customHeight="1">
      <c r="C281" s="8"/>
      <c r="BD281" s="11"/>
      <c r="BR281" s="11"/>
      <c r="BY281" s="11"/>
      <c r="CF281" s="11"/>
      <c r="CM281" s="11"/>
      <c r="CT281" s="11"/>
      <c r="DA281" s="11"/>
      <c r="DH281" s="11"/>
      <c r="DO281" s="11"/>
    </row>
    <row r="282" ht="15.75" customHeight="1">
      <c r="C282" s="8"/>
      <c r="BD282" s="11"/>
      <c r="BR282" s="11"/>
      <c r="BY282" s="11"/>
      <c r="CF282" s="11"/>
      <c r="CM282" s="11"/>
      <c r="CT282" s="11"/>
      <c r="DA282" s="11"/>
      <c r="DH282" s="11"/>
      <c r="DO282" s="11"/>
    </row>
    <row r="283" ht="15.75" customHeight="1">
      <c r="C283" s="8"/>
      <c r="BD283" s="11"/>
      <c r="BR283" s="11"/>
      <c r="BY283" s="11"/>
      <c r="CF283" s="11"/>
      <c r="CM283" s="11"/>
      <c r="CT283" s="11"/>
      <c r="DA283" s="11"/>
      <c r="DH283" s="11"/>
      <c r="DO283" s="11"/>
    </row>
    <row r="284" ht="15.75" customHeight="1">
      <c r="C284" s="8"/>
      <c r="BD284" s="11"/>
      <c r="BR284" s="11"/>
      <c r="BY284" s="11"/>
      <c r="CF284" s="11"/>
      <c r="CM284" s="11"/>
      <c r="CT284" s="11"/>
      <c r="DA284" s="11"/>
      <c r="DH284" s="11"/>
      <c r="DO284" s="11"/>
    </row>
    <row r="285" ht="15.75" customHeight="1">
      <c r="C285" s="8"/>
      <c r="BD285" s="11"/>
      <c r="BR285" s="11"/>
      <c r="BY285" s="11"/>
      <c r="CF285" s="11"/>
      <c r="CM285" s="11"/>
      <c r="CT285" s="11"/>
      <c r="DA285" s="11"/>
      <c r="DH285" s="11"/>
      <c r="DO285" s="11"/>
    </row>
    <row r="286" ht="15.75" customHeight="1">
      <c r="C286" s="8"/>
      <c r="BD286" s="11"/>
      <c r="BR286" s="11"/>
      <c r="BY286" s="11"/>
      <c r="CF286" s="11"/>
      <c r="CM286" s="11"/>
      <c r="CT286" s="11"/>
      <c r="DA286" s="11"/>
      <c r="DH286" s="11"/>
      <c r="DO286" s="11"/>
    </row>
    <row r="287" ht="15.75" customHeight="1">
      <c r="C287" s="8"/>
      <c r="BD287" s="11"/>
      <c r="BR287" s="11"/>
      <c r="BY287" s="11"/>
      <c r="CF287" s="11"/>
      <c r="CM287" s="11"/>
      <c r="CT287" s="11"/>
      <c r="DA287" s="11"/>
      <c r="DH287" s="11"/>
      <c r="DO287" s="11"/>
    </row>
    <row r="288" ht="15.75" customHeight="1">
      <c r="C288" s="8"/>
      <c r="BD288" s="11"/>
      <c r="BR288" s="11"/>
      <c r="BY288" s="11"/>
      <c r="CF288" s="11"/>
      <c r="CM288" s="11"/>
      <c r="CT288" s="11"/>
      <c r="DA288" s="11"/>
      <c r="DH288" s="11"/>
      <c r="DO288" s="11"/>
    </row>
    <row r="289" ht="15.75" customHeight="1">
      <c r="C289" s="8"/>
      <c r="BD289" s="11"/>
      <c r="BR289" s="11"/>
      <c r="BY289" s="11"/>
      <c r="CF289" s="11"/>
      <c r="CM289" s="11"/>
      <c r="CT289" s="11"/>
      <c r="DA289" s="11"/>
      <c r="DH289" s="11"/>
      <c r="DO289" s="11"/>
    </row>
    <row r="290" ht="15.75" customHeight="1">
      <c r="C290" s="8"/>
      <c r="BD290" s="11"/>
      <c r="BR290" s="11"/>
      <c r="BY290" s="11"/>
      <c r="CF290" s="11"/>
      <c r="CM290" s="11"/>
      <c r="CT290" s="11"/>
      <c r="DA290" s="11"/>
      <c r="DH290" s="11"/>
      <c r="DO290" s="11"/>
    </row>
    <row r="291" ht="15.75" customHeight="1">
      <c r="C291" s="8"/>
      <c r="BD291" s="11"/>
      <c r="BR291" s="11"/>
      <c r="BY291" s="11"/>
      <c r="CF291" s="11"/>
      <c r="CM291" s="11"/>
      <c r="CT291" s="11"/>
      <c r="DA291" s="11"/>
      <c r="DH291" s="11"/>
      <c r="DO291" s="11"/>
    </row>
    <row r="292" ht="15.75" customHeight="1">
      <c r="C292" s="8"/>
      <c r="BD292" s="11"/>
      <c r="BR292" s="11"/>
      <c r="BY292" s="11"/>
      <c r="CF292" s="11"/>
      <c r="CM292" s="11"/>
      <c r="CT292" s="11"/>
      <c r="DA292" s="11"/>
      <c r="DH292" s="11"/>
      <c r="DO292" s="11"/>
    </row>
    <row r="293" ht="15.75" customHeight="1">
      <c r="C293" s="8"/>
      <c r="BD293" s="11"/>
      <c r="BR293" s="11"/>
      <c r="BY293" s="11"/>
      <c r="CF293" s="11"/>
      <c r="CM293" s="11"/>
      <c r="CT293" s="11"/>
      <c r="DA293" s="11"/>
      <c r="DH293" s="11"/>
      <c r="DO293" s="11"/>
    </row>
    <row r="294" ht="15.75" customHeight="1">
      <c r="C294" s="8"/>
      <c r="BD294" s="11"/>
      <c r="BR294" s="11"/>
      <c r="BY294" s="11"/>
      <c r="CF294" s="11"/>
      <c r="CM294" s="11"/>
      <c r="CT294" s="11"/>
      <c r="DA294" s="11"/>
      <c r="DH294" s="11"/>
      <c r="DO294" s="11"/>
    </row>
    <row r="295" ht="15.75" customHeight="1">
      <c r="C295" s="8"/>
      <c r="BD295" s="11"/>
      <c r="BR295" s="11"/>
      <c r="BY295" s="11"/>
      <c r="CF295" s="11"/>
      <c r="CM295" s="11"/>
      <c r="CT295" s="11"/>
      <c r="DA295" s="11"/>
      <c r="DH295" s="11"/>
      <c r="DO295" s="11"/>
    </row>
    <row r="296" ht="15.75" customHeight="1">
      <c r="C296" s="8"/>
      <c r="BD296" s="11"/>
      <c r="BR296" s="11"/>
      <c r="BY296" s="11"/>
      <c r="CF296" s="11"/>
      <c r="CM296" s="11"/>
      <c r="CT296" s="11"/>
      <c r="DA296" s="11"/>
      <c r="DH296" s="11"/>
      <c r="DO296" s="11"/>
    </row>
    <row r="297" ht="15.75" customHeight="1">
      <c r="C297" s="8"/>
      <c r="BD297" s="11"/>
      <c r="BR297" s="11"/>
      <c r="BY297" s="11"/>
      <c r="CF297" s="11"/>
      <c r="CM297" s="11"/>
      <c r="CT297" s="11"/>
      <c r="DA297" s="11"/>
      <c r="DH297" s="11"/>
      <c r="DO297" s="11"/>
    </row>
    <row r="298" ht="15.75" customHeight="1">
      <c r="C298" s="8"/>
      <c r="BD298" s="11"/>
      <c r="BR298" s="11"/>
      <c r="BY298" s="11"/>
      <c r="CF298" s="11"/>
      <c r="CM298" s="11"/>
      <c r="CT298" s="11"/>
      <c r="DA298" s="11"/>
      <c r="DH298" s="11"/>
      <c r="DO298" s="11"/>
    </row>
    <row r="299" ht="15.75" customHeight="1">
      <c r="C299" s="8"/>
      <c r="BD299" s="11"/>
      <c r="BR299" s="11"/>
      <c r="BY299" s="11"/>
      <c r="CF299" s="11"/>
      <c r="CM299" s="11"/>
      <c r="CT299" s="11"/>
      <c r="DA299" s="11"/>
      <c r="DH299" s="11"/>
      <c r="DO299" s="11"/>
    </row>
    <row r="300" ht="15.75" customHeight="1">
      <c r="C300" s="8"/>
      <c r="BD300" s="11"/>
      <c r="BR300" s="11"/>
      <c r="BY300" s="11"/>
      <c r="CF300" s="11"/>
      <c r="CM300" s="11"/>
      <c r="CT300" s="11"/>
      <c r="DA300" s="11"/>
      <c r="DH300" s="11"/>
      <c r="DO300" s="11"/>
    </row>
    <row r="301" ht="15.75" customHeight="1">
      <c r="C301" s="8"/>
      <c r="BD301" s="11"/>
      <c r="BR301" s="11"/>
      <c r="BY301" s="11"/>
      <c r="CF301" s="11"/>
      <c r="CM301" s="11"/>
      <c r="CT301" s="11"/>
      <c r="DA301" s="11"/>
      <c r="DH301" s="11"/>
      <c r="DO301" s="11"/>
    </row>
    <row r="302" ht="15.75" customHeight="1">
      <c r="C302" s="8"/>
      <c r="BD302" s="11"/>
      <c r="BR302" s="11"/>
      <c r="BY302" s="11"/>
      <c r="CF302" s="11"/>
      <c r="CM302" s="11"/>
      <c r="CT302" s="11"/>
      <c r="DA302" s="11"/>
      <c r="DH302" s="11"/>
      <c r="DO302" s="11"/>
    </row>
    <row r="303" ht="15.75" customHeight="1">
      <c r="C303" s="8"/>
      <c r="BD303" s="11"/>
      <c r="BR303" s="11"/>
      <c r="BY303" s="11"/>
      <c r="CF303" s="11"/>
      <c r="CM303" s="11"/>
      <c r="CT303" s="11"/>
      <c r="DA303" s="11"/>
      <c r="DH303" s="11"/>
      <c r="DO303" s="11"/>
    </row>
    <row r="304" ht="15.75" customHeight="1">
      <c r="C304" s="8"/>
      <c r="BD304" s="11"/>
      <c r="BR304" s="11"/>
      <c r="BY304" s="11"/>
      <c r="CF304" s="11"/>
      <c r="CM304" s="11"/>
      <c r="CT304" s="11"/>
      <c r="DA304" s="11"/>
      <c r="DH304" s="11"/>
      <c r="DO304" s="11"/>
    </row>
    <row r="305" ht="15.75" customHeight="1">
      <c r="C305" s="8"/>
      <c r="BD305" s="11"/>
      <c r="BR305" s="11"/>
      <c r="BY305" s="11"/>
      <c r="CF305" s="11"/>
      <c r="CM305" s="11"/>
      <c r="CT305" s="11"/>
      <c r="DA305" s="11"/>
      <c r="DH305" s="11"/>
      <c r="DO305" s="11"/>
    </row>
    <row r="306" ht="15.75" customHeight="1">
      <c r="C306" s="8"/>
      <c r="BD306" s="11"/>
      <c r="BR306" s="11"/>
      <c r="BY306" s="11"/>
      <c r="CF306" s="11"/>
      <c r="CM306" s="11"/>
      <c r="CT306" s="11"/>
      <c r="DA306" s="11"/>
      <c r="DH306" s="11"/>
      <c r="DO306" s="11"/>
    </row>
    <row r="307" ht="15.75" customHeight="1">
      <c r="C307" s="8"/>
      <c r="BD307" s="11"/>
      <c r="BR307" s="11"/>
      <c r="BY307" s="11"/>
      <c r="CF307" s="11"/>
      <c r="CM307" s="11"/>
      <c r="CT307" s="11"/>
      <c r="DA307" s="11"/>
      <c r="DH307" s="11"/>
      <c r="DO307" s="11"/>
    </row>
    <row r="308" ht="15.75" customHeight="1">
      <c r="C308" s="8"/>
      <c r="BD308" s="11"/>
      <c r="BR308" s="11"/>
      <c r="BY308" s="11"/>
      <c r="CF308" s="11"/>
      <c r="CM308" s="11"/>
      <c r="CT308" s="11"/>
      <c r="DA308" s="11"/>
      <c r="DH308" s="11"/>
      <c r="DO308" s="11"/>
    </row>
    <row r="309" ht="15.75" customHeight="1">
      <c r="C309" s="8"/>
      <c r="BD309" s="11"/>
      <c r="BR309" s="11"/>
      <c r="BY309" s="11"/>
      <c r="CF309" s="11"/>
      <c r="CM309" s="11"/>
      <c r="CT309" s="11"/>
      <c r="DA309" s="11"/>
      <c r="DH309" s="11"/>
      <c r="DO309" s="11"/>
    </row>
    <row r="310" ht="15.75" customHeight="1">
      <c r="C310" s="8"/>
      <c r="BD310" s="11"/>
      <c r="BR310" s="11"/>
      <c r="BY310" s="11"/>
      <c r="CF310" s="11"/>
      <c r="CM310" s="11"/>
      <c r="CT310" s="11"/>
      <c r="DA310" s="11"/>
      <c r="DH310" s="11"/>
      <c r="DO310" s="11"/>
    </row>
    <row r="311" ht="15.75" customHeight="1">
      <c r="C311" s="8"/>
      <c r="BD311" s="11"/>
      <c r="BR311" s="11"/>
      <c r="BY311" s="11"/>
      <c r="CF311" s="11"/>
      <c r="CM311" s="11"/>
      <c r="CT311" s="11"/>
      <c r="DA311" s="11"/>
      <c r="DH311" s="11"/>
      <c r="DO311" s="11"/>
    </row>
    <row r="312" ht="15.75" customHeight="1">
      <c r="C312" s="8"/>
      <c r="BD312" s="11"/>
      <c r="BR312" s="11"/>
      <c r="BY312" s="11"/>
      <c r="CF312" s="11"/>
      <c r="CM312" s="11"/>
      <c r="CT312" s="11"/>
      <c r="DA312" s="11"/>
      <c r="DH312" s="11"/>
      <c r="DO312" s="11"/>
    </row>
    <row r="313" ht="15.75" customHeight="1">
      <c r="C313" s="8"/>
      <c r="BD313" s="11"/>
      <c r="BR313" s="11"/>
      <c r="BY313" s="11"/>
      <c r="CF313" s="11"/>
      <c r="CM313" s="11"/>
      <c r="CT313" s="11"/>
      <c r="DA313" s="11"/>
      <c r="DH313" s="11"/>
      <c r="DO313" s="11"/>
    </row>
    <row r="314" ht="15.75" customHeight="1">
      <c r="C314" s="8"/>
      <c r="BD314" s="11"/>
      <c r="BR314" s="11"/>
      <c r="BY314" s="11"/>
      <c r="CF314" s="11"/>
      <c r="CM314" s="11"/>
      <c r="CT314" s="11"/>
      <c r="DA314" s="11"/>
      <c r="DH314" s="11"/>
      <c r="DO314" s="11"/>
    </row>
    <row r="315" ht="15.75" customHeight="1">
      <c r="C315" s="8"/>
      <c r="BD315" s="11"/>
      <c r="BR315" s="11"/>
      <c r="BY315" s="11"/>
      <c r="CF315" s="11"/>
      <c r="CM315" s="11"/>
      <c r="CT315" s="11"/>
      <c r="DA315" s="11"/>
      <c r="DH315" s="11"/>
      <c r="DO315" s="11"/>
    </row>
    <row r="316" ht="15.75" customHeight="1">
      <c r="C316" s="8"/>
      <c r="BD316" s="11"/>
      <c r="BR316" s="11"/>
      <c r="BY316" s="11"/>
      <c r="CF316" s="11"/>
      <c r="CM316" s="11"/>
      <c r="CT316" s="11"/>
      <c r="DA316" s="11"/>
      <c r="DH316" s="11"/>
      <c r="DO316" s="11"/>
    </row>
    <row r="317" ht="15.75" customHeight="1">
      <c r="C317" s="8"/>
      <c r="BD317" s="11"/>
      <c r="BR317" s="11"/>
      <c r="BY317" s="11"/>
      <c r="CF317" s="11"/>
      <c r="CM317" s="11"/>
      <c r="CT317" s="11"/>
      <c r="DA317" s="11"/>
      <c r="DH317" s="11"/>
      <c r="DO317" s="11"/>
    </row>
    <row r="318" ht="15.75" customHeight="1">
      <c r="C318" s="8"/>
      <c r="BD318" s="11"/>
      <c r="BR318" s="11"/>
      <c r="BY318" s="11"/>
      <c r="CF318" s="11"/>
      <c r="CM318" s="11"/>
      <c r="CT318" s="11"/>
      <c r="DA318" s="11"/>
      <c r="DH318" s="11"/>
      <c r="DO318" s="11"/>
    </row>
    <row r="319" ht="15.75" customHeight="1">
      <c r="C319" s="8"/>
      <c r="BD319" s="11"/>
      <c r="BR319" s="11"/>
      <c r="BY319" s="11"/>
      <c r="CF319" s="11"/>
      <c r="CM319" s="11"/>
      <c r="CT319" s="11"/>
      <c r="DA319" s="11"/>
      <c r="DH319" s="11"/>
      <c r="DO319" s="11"/>
    </row>
    <row r="320" ht="15.75" customHeight="1">
      <c r="C320" s="8"/>
      <c r="BD320" s="11"/>
      <c r="BR320" s="11"/>
      <c r="BY320" s="11"/>
      <c r="CF320" s="11"/>
      <c r="CM320" s="11"/>
      <c r="CT320" s="11"/>
      <c r="DA320" s="11"/>
      <c r="DH320" s="11"/>
      <c r="DO320" s="11"/>
    </row>
    <row r="321" ht="15.75" customHeight="1">
      <c r="C321" s="8"/>
      <c r="BD321" s="11"/>
      <c r="BR321" s="11"/>
      <c r="BY321" s="11"/>
      <c r="CF321" s="11"/>
      <c r="CM321" s="11"/>
      <c r="CT321" s="11"/>
      <c r="DA321" s="11"/>
      <c r="DH321" s="11"/>
      <c r="DO321" s="11"/>
    </row>
    <row r="322" ht="15.75" customHeight="1">
      <c r="C322" s="8"/>
      <c r="BD322" s="11"/>
      <c r="BR322" s="11"/>
      <c r="BY322" s="11"/>
      <c r="CF322" s="11"/>
      <c r="CM322" s="11"/>
      <c r="CT322" s="11"/>
      <c r="DA322" s="11"/>
      <c r="DH322" s="11"/>
      <c r="DO322" s="11"/>
    </row>
    <row r="323" ht="15.75" customHeight="1">
      <c r="C323" s="8"/>
      <c r="BD323" s="11"/>
      <c r="BR323" s="11"/>
      <c r="BY323" s="11"/>
      <c r="CF323" s="11"/>
      <c r="CM323" s="11"/>
      <c r="CT323" s="11"/>
      <c r="DA323" s="11"/>
      <c r="DH323" s="11"/>
      <c r="DO323" s="11"/>
    </row>
    <row r="324" ht="15.75" customHeight="1">
      <c r="C324" s="8"/>
      <c r="BD324" s="11"/>
      <c r="BR324" s="11"/>
      <c r="BY324" s="11"/>
      <c r="CF324" s="11"/>
      <c r="CM324" s="11"/>
      <c r="CT324" s="11"/>
      <c r="DA324" s="11"/>
      <c r="DH324" s="11"/>
      <c r="DO324" s="11"/>
    </row>
    <row r="325" ht="15.75" customHeight="1">
      <c r="C325" s="8"/>
      <c r="BD325" s="11"/>
      <c r="BR325" s="11"/>
      <c r="BY325" s="11"/>
      <c r="CF325" s="11"/>
      <c r="CM325" s="11"/>
      <c r="CT325" s="11"/>
      <c r="DA325" s="11"/>
      <c r="DH325" s="11"/>
      <c r="DO325" s="11"/>
    </row>
    <row r="326" ht="15.75" customHeight="1">
      <c r="C326" s="8"/>
      <c r="BD326" s="11"/>
      <c r="BR326" s="11"/>
      <c r="BY326" s="11"/>
      <c r="CF326" s="11"/>
      <c r="CM326" s="11"/>
      <c r="CT326" s="11"/>
      <c r="DA326" s="11"/>
      <c r="DH326" s="11"/>
      <c r="DO326" s="11"/>
    </row>
    <row r="327" ht="15.75" customHeight="1">
      <c r="C327" s="8"/>
      <c r="BD327" s="11"/>
      <c r="BR327" s="11"/>
      <c r="BY327" s="11"/>
      <c r="CF327" s="11"/>
      <c r="CM327" s="11"/>
      <c r="CT327" s="11"/>
      <c r="DA327" s="11"/>
      <c r="DH327" s="11"/>
      <c r="DO327" s="11"/>
    </row>
    <row r="328" ht="15.75" customHeight="1">
      <c r="C328" s="8"/>
      <c r="BD328" s="11"/>
      <c r="BR328" s="11"/>
      <c r="BY328" s="11"/>
      <c r="CF328" s="11"/>
      <c r="CM328" s="11"/>
      <c r="CT328" s="11"/>
      <c r="DA328" s="11"/>
      <c r="DH328" s="11"/>
      <c r="DO328" s="11"/>
    </row>
    <row r="329" ht="15.75" customHeight="1">
      <c r="C329" s="8"/>
      <c r="BD329" s="11"/>
      <c r="BR329" s="11"/>
      <c r="BY329" s="11"/>
      <c r="CF329" s="11"/>
      <c r="CM329" s="11"/>
      <c r="CT329" s="11"/>
      <c r="DA329" s="11"/>
      <c r="DH329" s="11"/>
      <c r="DO329" s="11"/>
    </row>
    <row r="330" ht="15.75" customHeight="1">
      <c r="C330" s="8"/>
      <c r="BD330" s="11"/>
      <c r="BR330" s="11"/>
      <c r="BY330" s="11"/>
      <c r="CF330" s="11"/>
      <c r="CM330" s="11"/>
      <c r="CT330" s="11"/>
      <c r="DA330" s="11"/>
      <c r="DH330" s="11"/>
      <c r="DO330" s="11"/>
    </row>
    <row r="331" ht="15.75" customHeight="1">
      <c r="C331" s="8"/>
      <c r="BD331" s="11"/>
      <c r="BR331" s="11"/>
      <c r="BY331" s="11"/>
      <c r="CF331" s="11"/>
      <c r="CM331" s="11"/>
      <c r="CT331" s="11"/>
      <c r="DA331" s="11"/>
      <c r="DH331" s="11"/>
      <c r="DO331" s="11"/>
    </row>
    <row r="332" ht="15.75" customHeight="1">
      <c r="C332" s="8"/>
      <c r="BD332" s="11"/>
      <c r="BR332" s="11"/>
      <c r="BY332" s="11"/>
      <c r="CF332" s="11"/>
      <c r="CM332" s="11"/>
      <c r="CT332" s="11"/>
      <c r="DA332" s="11"/>
      <c r="DH332" s="11"/>
      <c r="DO332" s="11"/>
    </row>
    <row r="333" ht="15.75" customHeight="1">
      <c r="C333" s="8"/>
      <c r="BD333" s="11"/>
      <c r="BR333" s="11"/>
      <c r="BY333" s="11"/>
      <c r="CF333" s="11"/>
      <c r="CM333" s="11"/>
      <c r="CT333" s="11"/>
      <c r="DA333" s="11"/>
      <c r="DH333" s="11"/>
      <c r="DO333" s="11"/>
    </row>
    <row r="334" ht="15.75" customHeight="1">
      <c r="C334" s="8"/>
      <c r="BD334" s="11"/>
      <c r="BR334" s="11"/>
      <c r="BY334" s="11"/>
      <c r="CF334" s="11"/>
      <c r="CM334" s="11"/>
      <c r="CT334" s="11"/>
      <c r="DA334" s="11"/>
      <c r="DH334" s="11"/>
      <c r="DO334" s="11"/>
    </row>
    <row r="335" ht="15.75" customHeight="1">
      <c r="C335" s="8"/>
      <c r="BD335" s="11"/>
      <c r="BR335" s="11"/>
      <c r="BY335" s="11"/>
      <c r="CF335" s="11"/>
      <c r="CM335" s="11"/>
      <c r="CT335" s="11"/>
      <c r="DA335" s="11"/>
      <c r="DH335" s="11"/>
      <c r="DO335" s="11"/>
    </row>
    <row r="336" ht="15.75" customHeight="1">
      <c r="C336" s="8"/>
      <c r="BD336" s="11"/>
      <c r="BR336" s="11"/>
      <c r="BY336" s="11"/>
      <c r="CF336" s="11"/>
      <c r="CM336" s="11"/>
      <c r="CT336" s="11"/>
      <c r="DA336" s="11"/>
      <c r="DH336" s="11"/>
      <c r="DO336" s="11"/>
    </row>
    <row r="337" ht="15.75" customHeight="1">
      <c r="C337" s="8"/>
      <c r="BD337" s="11"/>
      <c r="BR337" s="11"/>
      <c r="BY337" s="11"/>
      <c r="CF337" s="11"/>
      <c r="CM337" s="11"/>
      <c r="CT337" s="11"/>
      <c r="DA337" s="11"/>
      <c r="DH337" s="11"/>
      <c r="DO337" s="11"/>
    </row>
    <row r="338" ht="15.75" customHeight="1">
      <c r="C338" s="8"/>
      <c r="BD338" s="11"/>
      <c r="BR338" s="11"/>
      <c r="BY338" s="11"/>
      <c r="CF338" s="11"/>
      <c r="CM338" s="11"/>
      <c r="CT338" s="11"/>
      <c r="DA338" s="11"/>
      <c r="DH338" s="11"/>
      <c r="DO338" s="11"/>
    </row>
    <row r="339" ht="15.75" customHeight="1">
      <c r="C339" s="8"/>
      <c r="BD339" s="11"/>
      <c r="BR339" s="11"/>
      <c r="BY339" s="11"/>
      <c r="CF339" s="11"/>
      <c r="CM339" s="11"/>
      <c r="CT339" s="11"/>
      <c r="DA339" s="11"/>
      <c r="DH339" s="11"/>
      <c r="DO339" s="11"/>
    </row>
    <row r="340" ht="15.75" customHeight="1">
      <c r="C340" s="8"/>
      <c r="BD340" s="11"/>
      <c r="BR340" s="11"/>
      <c r="BY340" s="11"/>
      <c r="CF340" s="11"/>
      <c r="CM340" s="11"/>
      <c r="CT340" s="11"/>
      <c r="DA340" s="11"/>
      <c r="DH340" s="11"/>
      <c r="DO340" s="11"/>
    </row>
    <row r="341" ht="15.75" customHeight="1">
      <c r="C341" s="8"/>
      <c r="BD341" s="11"/>
      <c r="BR341" s="11"/>
      <c r="BY341" s="11"/>
      <c r="CF341" s="11"/>
      <c r="CM341" s="11"/>
      <c r="CT341" s="11"/>
      <c r="DA341" s="11"/>
      <c r="DH341" s="11"/>
      <c r="DO341" s="11"/>
    </row>
    <row r="342" ht="15.75" customHeight="1">
      <c r="C342" s="8"/>
      <c r="BD342" s="11"/>
      <c r="BR342" s="11"/>
      <c r="BY342" s="11"/>
      <c r="CF342" s="11"/>
      <c r="CM342" s="11"/>
      <c r="CT342" s="11"/>
      <c r="DA342" s="11"/>
      <c r="DH342" s="11"/>
      <c r="DO342" s="11"/>
    </row>
    <row r="343" ht="15.75" customHeight="1">
      <c r="C343" s="8"/>
      <c r="BD343" s="11"/>
      <c r="BR343" s="11"/>
      <c r="BY343" s="11"/>
      <c r="CF343" s="11"/>
      <c r="CM343" s="11"/>
      <c r="CT343" s="11"/>
      <c r="DA343" s="11"/>
      <c r="DH343" s="11"/>
      <c r="DO343" s="11"/>
    </row>
    <row r="344" ht="15.75" customHeight="1">
      <c r="C344" s="8"/>
      <c r="BD344" s="11"/>
      <c r="BR344" s="11"/>
      <c r="BY344" s="11"/>
      <c r="CF344" s="11"/>
      <c r="CM344" s="11"/>
      <c r="CT344" s="11"/>
      <c r="DA344" s="11"/>
      <c r="DH344" s="11"/>
      <c r="DO344" s="11"/>
    </row>
    <row r="345" ht="15.75" customHeight="1">
      <c r="C345" s="8"/>
      <c r="BD345" s="11"/>
      <c r="BR345" s="11"/>
      <c r="BY345" s="11"/>
      <c r="CF345" s="11"/>
      <c r="CM345" s="11"/>
      <c r="CT345" s="11"/>
      <c r="DA345" s="11"/>
      <c r="DH345" s="11"/>
      <c r="DO345" s="11"/>
    </row>
    <row r="346" ht="15.75" customHeight="1">
      <c r="C346" s="8"/>
      <c r="BD346" s="11"/>
      <c r="BR346" s="11"/>
      <c r="BY346" s="11"/>
      <c r="CF346" s="11"/>
      <c r="CM346" s="11"/>
      <c r="CT346" s="11"/>
      <c r="DA346" s="11"/>
      <c r="DH346" s="11"/>
      <c r="DO346" s="11"/>
    </row>
    <row r="347" ht="15.75" customHeight="1">
      <c r="C347" s="8"/>
      <c r="BD347" s="11"/>
      <c r="BR347" s="11"/>
      <c r="BY347" s="11"/>
      <c r="CF347" s="11"/>
      <c r="CM347" s="11"/>
      <c r="CT347" s="11"/>
      <c r="DA347" s="11"/>
      <c r="DH347" s="11"/>
      <c r="DO347" s="11"/>
    </row>
    <row r="348" ht="15.75" customHeight="1">
      <c r="C348" s="8"/>
      <c r="BD348" s="11"/>
      <c r="BR348" s="11"/>
      <c r="BY348" s="11"/>
      <c r="CF348" s="11"/>
      <c r="CM348" s="11"/>
      <c r="CT348" s="11"/>
      <c r="DA348" s="11"/>
      <c r="DH348" s="11"/>
      <c r="DO348" s="11"/>
    </row>
    <row r="349" ht="15.75" customHeight="1">
      <c r="C349" s="8"/>
      <c r="BD349" s="11"/>
      <c r="BR349" s="11"/>
      <c r="BY349" s="11"/>
      <c r="CF349" s="11"/>
      <c r="CM349" s="11"/>
      <c r="CT349" s="11"/>
      <c r="DA349" s="11"/>
      <c r="DH349" s="11"/>
      <c r="DO349" s="11"/>
    </row>
    <row r="350" ht="15.75" customHeight="1">
      <c r="C350" s="8"/>
      <c r="BD350" s="11"/>
      <c r="BR350" s="11"/>
      <c r="BY350" s="11"/>
      <c r="CF350" s="11"/>
      <c r="CM350" s="11"/>
      <c r="CT350" s="11"/>
      <c r="DA350" s="11"/>
      <c r="DH350" s="11"/>
      <c r="DO350" s="11"/>
    </row>
    <row r="351" ht="15.75" customHeight="1">
      <c r="C351" s="8"/>
      <c r="BD351" s="11"/>
      <c r="BR351" s="11"/>
      <c r="BY351" s="11"/>
      <c r="CF351" s="11"/>
      <c r="CM351" s="11"/>
      <c r="CT351" s="11"/>
      <c r="DA351" s="11"/>
      <c r="DH351" s="11"/>
      <c r="DO351" s="11"/>
    </row>
    <row r="352" ht="15.75" customHeight="1">
      <c r="C352" s="8"/>
      <c r="BD352" s="11"/>
      <c r="BR352" s="11"/>
      <c r="BY352" s="11"/>
      <c r="CF352" s="11"/>
      <c r="CM352" s="11"/>
      <c r="CT352" s="11"/>
      <c r="DA352" s="11"/>
      <c r="DH352" s="11"/>
      <c r="DO352" s="11"/>
    </row>
    <row r="353" ht="15.75" customHeight="1">
      <c r="C353" s="8"/>
      <c r="BD353" s="11"/>
      <c r="BR353" s="11"/>
      <c r="BY353" s="11"/>
      <c r="CF353" s="11"/>
      <c r="CM353" s="11"/>
      <c r="CT353" s="11"/>
      <c r="DA353" s="11"/>
      <c r="DH353" s="11"/>
      <c r="DO353" s="11"/>
    </row>
    <row r="354" ht="15.75" customHeight="1">
      <c r="C354" s="8"/>
      <c r="BD354" s="11"/>
      <c r="BR354" s="11"/>
      <c r="BY354" s="11"/>
      <c r="CF354" s="11"/>
      <c r="CM354" s="11"/>
      <c r="CT354" s="11"/>
      <c r="DA354" s="11"/>
      <c r="DH354" s="11"/>
      <c r="DO354" s="11"/>
    </row>
    <row r="355" ht="15.75" customHeight="1">
      <c r="C355" s="8"/>
      <c r="BD355" s="11"/>
      <c r="BR355" s="11"/>
      <c r="BY355" s="11"/>
      <c r="CF355" s="11"/>
      <c r="CM355" s="11"/>
      <c r="CT355" s="11"/>
      <c r="DA355" s="11"/>
      <c r="DH355" s="11"/>
      <c r="DO355" s="11"/>
    </row>
    <row r="356" ht="15.75" customHeight="1">
      <c r="C356" s="8"/>
      <c r="BD356" s="11"/>
      <c r="BR356" s="11"/>
      <c r="BY356" s="11"/>
      <c r="CF356" s="11"/>
      <c r="CM356" s="11"/>
      <c r="CT356" s="11"/>
      <c r="DA356" s="11"/>
      <c r="DH356" s="11"/>
      <c r="DO356" s="11"/>
    </row>
    <row r="357" ht="15.75" customHeight="1">
      <c r="C357" s="8"/>
      <c r="BD357" s="11"/>
      <c r="BR357" s="11"/>
      <c r="BY357" s="11"/>
      <c r="CF357" s="11"/>
      <c r="CM357" s="11"/>
      <c r="CT357" s="11"/>
      <c r="DA357" s="11"/>
      <c r="DH357" s="11"/>
      <c r="DO357" s="11"/>
    </row>
    <row r="358" ht="15.75" customHeight="1">
      <c r="C358" s="8"/>
      <c r="BD358" s="11"/>
      <c r="BR358" s="11"/>
      <c r="BY358" s="11"/>
      <c r="CF358" s="11"/>
      <c r="CM358" s="11"/>
      <c r="CT358" s="11"/>
      <c r="DA358" s="11"/>
      <c r="DH358" s="11"/>
      <c r="DO358" s="11"/>
    </row>
    <row r="359" ht="15.75" customHeight="1">
      <c r="C359" s="8"/>
      <c r="BD359" s="11"/>
      <c r="BR359" s="11"/>
      <c r="BY359" s="11"/>
      <c r="CF359" s="11"/>
      <c r="CM359" s="11"/>
      <c r="CT359" s="11"/>
      <c r="DA359" s="11"/>
      <c r="DH359" s="11"/>
      <c r="DO359" s="11"/>
    </row>
    <row r="360" ht="15.75" customHeight="1">
      <c r="C360" s="8"/>
      <c r="BD360" s="11"/>
      <c r="BR360" s="11"/>
      <c r="BY360" s="11"/>
      <c r="CF360" s="11"/>
      <c r="CM360" s="11"/>
      <c r="CT360" s="11"/>
      <c r="DA360" s="11"/>
      <c r="DH360" s="11"/>
      <c r="DO360" s="11"/>
    </row>
    <row r="361" ht="15.75" customHeight="1">
      <c r="C361" s="8"/>
      <c r="BD361" s="11"/>
      <c r="BR361" s="11"/>
      <c r="BY361" s="11"/>
      <c r="CF361" s="11"/>
      <c r="CM361" s="11"/>
      <c r="CT361" s="11"/>
      <c r="DA361" s="11"/>
      <c r="DH361" s="11"/>
      <c r="DO361" s="11"/>
    </row>
    <row r="362" ht="15.75" customHeight="1">
      <c r="C362" s="8"/>
      <c r="BD362" s="11"/>
      <c r="BR362" s="11"/>
      <c r="BY362" s="11"/>
      <c r="CF362" s="11"/>
      <c r="CM362" s="11"/>
      <c r="CT362" s="11"/>
      <c r="DA362" s="11"/>
      <c r="DH362" s="11"/>
      <c r="DO362" s="11"/>
    </row>
    <row r="363" ht="15.75" customHeight="1">
      <c r="C363" s="8"/>
      <c r="BD363" s="11"/>
      <c r="BR363" s="11"/>
      <c r="BY363" s="11"/>
      <c r="CF363" s="11"/>
      <c r="CM363" s="11"/>
      <c r="CT363" s="11"/>
      <c r="DA363" s="11"/>
      <c r="DH363" s="11"/>
      <c r="DO363" s="11"/>
    </row>
    <row r="364" ht="15.75" customHeight="1">
      <c r="C364" s="8"/>
      <c r="BD364" s="11"/>
      <c r="BR364" s="11"/>
      <c r="BY364" s="11"/>
      <c r="CF364" s="11"/>
      <c r="CM364" s="11"/>
      <c r="CT364" s="11"/>
      <c r="DA364" s="11"/>
      <c r="DH364" s="11"/>
      <c r="DO364" s="11"/>
    </row>
    <row r="365" ht="15.75" customHeight="1">
      <c r="C365" s="8"/>
      <c r="BD365" s="11"/>
      <c r="BR365" s="11"/>
      <c r="BY365" s="11"/>
      <c r="CF365" s="11"/>
      <c r="CM365" s="11"/>
      <c r="CT365" s="11"/>
      <c r="DA365" s="11"/>
      <c r="DH365" s="11"/>
      <c r="DO365" s="11"/>
    </row>
    <row r="366" ht="15.75" customHeight="1">
      <c r="C366" s="8"/>
      <c r="BD366" s="11"/>
      <c r="BR366" s="11"/>
      <c r="BY366" s="11"/>
      <c r="CF366" s="11"/>
      <c r="CM366" s="11"/>
      <c r="CT366" s="11"/>
      <c r="DA366" s="11"/>
      <c r="DH366" s="11"/>
      <c r="DO366" s="11"/>
    </row>
    <row r="367" ht="15.75" customHeight="1">
      <c r="C367" s="8"/>
      <c r="BD367" s="11"/>
      <c r="BR367" s="11"/>
      <c r="BY367" s="11"/>
      <c r="CF367" s="11"/>
      <c r="CM367" s="11"/>
      <c r="CT367" s="11"/>
      <c r="DA367" s="11"/>
      <c r="DH367" s="11"/>
      <c r="DO367" s="11"/>
    </row>
    <row r="368" ht="15.75" customHeight="1">
      <c r="C368" s="8"/>
      <c r="BD368" s="11"/>
      <c r="BR368" s="11"/>
      <c r="BY368" s="11"/>
      <c r="CF368" s="11"/>
      <c r="CM368" s="11"/>
      <c r="CT368" s="11"/>
      <c r="DA368" s="11"/>
      <c r="DH368" s="11"/>
      <c r="DO368" s="11"/>
    </row>
    <row r="369" ht="15.75" customHeight="1">
      <c r="C369" s="8"/>
      <c r="BD369" s="11"/>
      <c r="BR369" s="11"/>
      <c r="BY369" s="11"/>
      <c r="CF369" s="11"/>
      <c r="CM369" s="11"/>
      <c r="CT369" s="11"/>
      <c r="DA369" s="11"/>
      <c r="DH369" s="11"/>
      <c r="DO369" s="11"/>
    </row>
    <row r="370" ht="15.75" customHeight="1">
      <c r="C370" s="8"/>
      <c r="BD370" s="11"/>
      <c r="BR370" s="11"/>
      <c r="BY370" s="11"/>
      <c r="CF370" s="11"/>
      <c r="CM370" s="11"/>
      <c r="CT370" s="11"/>
      <c r="DA370" s="11"/>
      <c r="DH370" s="11"/>
      <c r="DO370" s="11"/>
    </row>
    <row r="371" ht="15.75" customHeight="1">
      <c r="C371" s="8"/>
      <c r="BD371" s="11"/>
      <c r="BR371" s="11"/>
      <c r="BY371" s="11"/>
      <c r="CF371" s="11"/>
      <c r="CM371" s="11"/>
      <c r="CT371" s="11"/>
      <c r="DA371" s="11"/>
      <c r="DH371" s="11"/>
      <c r="DO371" s="11"/>
    </row>
    <row r="372" ht="15.75" customHeight="1">
      <c r="C372" s="8"/>
      <c r="BD372" s="11"/>
      <c r="BR372" s="11"/>
      <c r="BY372" s="11"/>
      <c r="CF372" s="11"/>
      <c r="CM372" s="11"/>
      <c r="CT372" s="11"/>
      <c r="DA372" s="11"/>
      <c r="DH372" s="11"/>
      <c r="DO372" s="11"/>
    </row>
    <row r="373" ht="15.75" customHeight="1">
      <c r="C373" s="8"/>
      <c r="BD373" s="11"/>
      <c r="BR373" s="11"/>
      <c r="BY373" s="11"/>
      <c r="CF373" s="11"/>
      <c r="CM373" s="11"/>
      <c r="CT373" s="11"/>
      <c r="DA373" s="11"/>
      <c r="DH373" s="11"/>
      <c r="DO373" s="11"/>
    </row>
    <row r="374" ht="15.75" customHeight="1">
      <c r="C374" s="8"/>
      <c r="BD374" s="11"/>
      <c r="BR374" s="11"/>
      <c r="BY374" s="11"/>
      <c r="CF374" s="11"/>
      <c r="CM374" s="11"/>
      <c r="CT374" s="11"/>
      <c r="DA374" s="11"/>
      <c r="DH374" s="11"/>
      <c r="DO374" s="11"/>
    </row>
    <row r="375" ht="15.75" customHeight="1">
      <c r="C375" s="8"/>
      <c r="BD375" s="11"/>
      <c r="BR375" s="11"/>
      <c r="BY375" s="11"/>
      <c r="CF375" s="11"/>
      <c r="CM375" s="11"/>
      <c r="CT375" s="11"/>
      <c r="DA375" s="11"/>
      <c r="DH375" s="11"/>
      <c r="DO375" s="11"/>
    </row>
    <row r="376" ht="15.75" customHeight="1">
      <c r="C376" s="8"/>
      <c r="BD376" s="11"/>
      <c r="BR376" s="11"/>
      <c r="BY376" s="11"/>
      <c r="CF376" s="11"/>
      <c r="CM376" s="11"/>
      <c r="CT376" s="11"/>
      <c r="DA376" s="11"/>
      <c r="DH376" s="11"/>
      <c r="DO376" s="11"/>
    </row>
    <row r="377" ht="15.75" customHeight="1">
      <c r="C377" s="8"/>
      <c r="BD377" s="11"/>
      <c r="BR377" s="11"/>
      <c r="BY377" s="11"/>
      <c r="CF377" s="11"/>
      <c r="CM377" s="11"/>
      <c r="CT377" s="11"/>
      <c r="DA377" s="11"/>
      <c r="DH377" s="11"/>
      <c r="DO377" s="11"/>
    </row>
    <row r="378" ht="15.75" customHeight="1">
      <c r="C378" s="8"/>
      <c r="BD378" s="11"/>
      <c r="BR378" s="11"/>
      <c r="BY378" s="11"/>
      <c r="CF378" s="11"/>
      <c r="CM378" s="11"/>
      <c r="CT378" s="11"/>
      <c r="DA378" s="11"/>
      <c r="DH378" s="11"/>
      <c r="DO378" s="11"/>
    </row>
    <row r="379" ht="15.75" customHeight="1">
      <c r="C379" s="8"/>
      <c r="BD379" s="11"/>
      <c r="BR379" s="11"/>
      <c r="BY379" s="11"/>
      <c r="CF379" s="11"/>
      <c r="CM379" s="11"/>
      <c r="CT379" s="11"/>
      <c r="DA379" s="11"/>
      <c r="DH379" s="11"/>
      <c r="DO379" s="11"/>
    </row>
    <row r="380" ht="15.75" customHeight="1">
      <c r="C380" s="8"/>
      <c r="BD380" s="11"/>
      <c r="BR380" s="11"/>
      <c r="BY380" s="11"/>
      <c r="CF380" s="11"/>
      <c r="CM380" s="11"/>
      <c r="CT380" s="11"/>
      <c r="DA380" s="11"/>
      <c r="DH380" s="11"/>
      <c r="DO380" s="11"/>
    </row>
    <row r="381" ht="15.75" customHeight="1">
      <c r="C381" s="8"/>
      <c r="BD381" s="11"/>
      <c r="BR381" s="11"/>
      <c r="BY381" s="11"/>
      <c r="CF381" s="11"/>
      <c r="CM381" s="11"/>
      <c r="CT381" s="11"/>
      <c r="DA381" s="11"/>
      <c r="DH381" s="11"/>
      <c r="DO381" s="11"/>
    </row>
    <row r="382" ht="15.75" customHeight="1">
      <c r="C382" s="8"/>
      <c r="BD382" s="11"/>
      <c r="BR382" s="11"/>
      <c r="BY382" s="11"/>
      <c r="CF382" s="11"/>
      <c r="CM382" s="11"/>
      <c r="CT382" s="11"/>
      <c r="DA382" s="11"/>
      <c r="DH382" s="11"/>
      <c r="DO382" s="11"/>
    </row>
    <row r="383" ht="15.75" customHeight="1">
      <c r="C383" s="8"/>
      <c r="BD383" s="11"/>
      <c r="BR383" s="11"/>
      <c r="BY383" s="11"/>
      <c r="CF383" s="11"/>
      <c r="CM383" s="11"/>
      <c r="CT383" s="11"/>
      <c r="DA383" s="11"/>
      <c r="DH383" s="11"/>
      <c r="DO383" s="11"/>
    </row>
    <row r="384" ht="15.75" customHeight="1">
      <c r="C384" s="8"/>
      <c r="BD384" s="11"/>
      <c r="BR384" s="11"/>
      <c r="BY384" s="11"/>
      <c r="CF384" s="11"/>
      <c r="CM384" s="11"/>
      <c r="CT384" s="11"/>
      <c r="DA384" s="11"/>
      <c r="DH384" s="11"/>
      <c r="DO384" s="11"/>
    </row>
    <row r="385" ht="15.75" customHeight="1">
      <c r="C385" s="8"/>
      <c r="BD385" s="11"/>
      <c r="BR385" s="11"/>
      <c r="BY385" s="11"/>
      <c r="CF385" s="11"/>
      <c r="CM385" s="11"/>
      <c r="CT385" s="11"/>
      <c r="DA385" s="11"/>
      <c r="DH385" s="11"/>
      <c r="DO385" s="11"/>
    </row>
    <row r="386" ht="15.75" customHeight="1">
      <c r="C386" s="8"/>
      <c r="BD386" s="11"/>
      <c r="BR386" s="11"/>
      <c r="BY386" s="11"/>
      <c r="CF386" s="11"/>
      <c r="CM386" s="11"/>
      <c r="CT386" s="11"/>
      <c r="DA386" s="11"/>
      <c r="DH386" s="11"/>
      <c r="DO386" s="11"/>
    </row>
    <row r="387" ht="15.75" customHeight="1">
      <c r="C387" s="8"/>
      <c r="BD387" s="11"/>
      <c r="BR387" s="11"/>
      <c r="BY387" s="11"/>
      <c r="CF387" s="11"/>
      <c r="CM387" s="11"/>
      <c r="CT387" s="11"/>
      <c r="DA387" s="11"/>
      <c r="DH387" s="11"/>
      <c r="DO387" s="11"/>
    </row>
    <row r="388" ht="15.75" customHeight="1">
      <c r="C388" s="8"/>
      <c r="BD388" s="11"/>
      <c r="BR388" s="11"/>
      <c r="BY388" s="11"/>
      <c r="CF388" s="11"/>
      <c r="CM388" s="11"/>
      <c r="CT388" s="11"/>
      <c r="DA388" s="11"/>
      <c r="DH388" s="11"/>
      <c r="DO388" s="11"/>
    </row>
    <row r="389" ht="15.75" customHeight="1">
      <c r="C389" s="8"/>
      <c r="BD389" s="11"/>
      <c r="BR389" s="11"/>
      <c r="BY389" s="11"/>
      <c r="CF389" s="11"/>
      <c r="CM389" s="11"/>
      <c r="CT389" s="11"/>
      <c r="DA389" s="11"/>
      <c r="DH389" s="11"/>
      <c r="DO389" s="11"/>
    </row>
    <row r="390" ht="15.75" customHeight="1">
      <c r="C390" s="8"/>
      <c r="BD390" s="11"/>
      <c r="BR390" s="11"/>
      <c r="BY390" s="11"/>
      <c r="CF390" s="11"/>
      <c r="CM390" s="11"/>
      <c r="CT390" s="11"/>
      <c r="DA390" s="11"/>
      <c r="DH390" s="11"/>
      <c r="DO390" s="11"/>
    </row>
    <row r="391" ht="15.75" customHeight="1">
      <c r="C391" s="8"/>
      <c r="BD391" s="11"/>
      <c r="BR391" s="11"/>
      <c r="BY391" s="11"/>
      <c r="CF391" s="11"/>
      <c r="CM391" s="11"/>
      <c r="CT391" s="11"/>
      <c r="DA391" s="11"/>
      <c r="DH391" s="11"/>
      <c r="DO391" s="11"/>
    </row>
    <row r="392" ht="15.75" customHeight="1">
      <c r="C392" s="8"/>
      <c r="BD392" s="11"/>
      <c r="BR392" s="11"/>
      <c r="BY392" s="11"/>
      <c r="CF392" s="11"/>
      <c r="CM392" s="11"/>
      <c r="CT392" s="11"/>
      <c r="DA392" s="11"/>
      <c r="DH392" s="11"/>
      <c r="DO392" s="11"/>
    </row>
    <row r="393" ht="15.75" customHeight="1">
      <c r="C393" s="8"/>
      <c r="BD393" s="11"/>
      <c r="BR393" s="11"/>
      <c r="BY393" s="11"/>
      <c r="CF393" s="11"/>
      <c r="CM393" s="11"/>
      <c r="CT393" s="11"/>
      <c r="DA393" s="11"/>
      <c r="DH393" s="11"/>
      <c r="DO393" s="11"/>
    </row>
    <row r="394" ht="15.75" customHeight="1">
      <c r="C394" s="8"/>
      <c r="BD394" s="11"/>
      <c r="BR394" s="11"/>
      <c r="BY394" s="11"/>
      <c r="CF394" s="11"/>
      <c r="CM394" s="11"/>
      <c r="CT394" s="11"/>
      <c r="DA394" s="11"/>
      <c r="DH394" s="11"/>
      <c r="DO394" s="11"/>
    </row>
    <row r="395" ht="15.75" customHeight="1">
      <c r="C395" s="8"/>
      <c r="BD395" s="11"/>
      <c r="BR395" s="11"/>
      <c r="BY395" s="11"/>
      <c r="CF395" s="11"/>
      <c r="CM395" s="11"/>
      <c r="CT395" s="11"/>
      <c r="DA395" s="11"/>
      <c r="DH395" s="11"/>
      <c r="DO395" s="11"/>
    </row>
    <row r="396" ht="15.75" customHeight="1">
      <c r="C396" s="8"/>
      <c r="BD396" s="11"/>
      <c r="BR396" s="11"/>
      <c r="BY396" s="11"/>
      <c r="CF396" s="11"/>
      <c r="CM396" s="11"/>
      <c r="CT396" s="11"/>
      <c r="DA396" s="11"/>
      <c r="DH396" s="11"/>
      <c r="DO396" s="11"/>
    </row>
    <row r="397" ht="15.75" customHeight="1">
      <c r="C397" s="8"/>
      <c r="BD397" s="11"/>
      <c r="BR397" s="11"/>
      <c r="BY397" s="11"/>
      <c r="CF397" s="11"/>
      <c r="CM397" s="11"/>
      <c r="CT397" s="11"/>
      <c r="DA397" s="11"/>
      <c r="DH397" s="11"/>
      <c r="DO397" s="11"/>
    </row>
    <row r="398" ht="15.75" customHeight="1">
      <c r="C398" s="8"/>
      <c r="BD398" s="11"/>
      <c r="BR398" s="11"/>
      <c r="BY398" s="11"/>
      <c r="CF398" s="11"/>
      <c r="CM398" s="11"/>
      <c r="CT398" s="11"/>
      <c r="DA398" s="11"/>
      <c r="DH398" s="11"/>
      <c r="DO398" s="11"/>
    </row>
    <row r="399" ht="15.75" customHeight="1">
      <c r="C399" s="8"/>
      <c r="BD399" s="11"/>
      <c r="BR399" s="11"/>
      <c r="BY399" s="11"/>
      <c r="CF399" s="11"/>
      <c r="CM399" s="11"/>
      <c r="CT399" s="11"/>
      <c r="DA399" s="11"/>
      <c r="DH399" s="11"/>
      <c r="DO399" s="11"/>
    </row>
    <row r="400" ht="15.75" customHeight="1">
      <c r="C400" s="8"/>
      <c r="BD400" s="11"/>
      <c r="BR400" s="11"/>
      <c r="BY400" s="11"/>
      <c r="CF400" s="11"/>
      <c r="CM400" s="11"/>
      <c r="CT400" s="11"/>
      <c r="DA400" s="11"/>
      <c r="DH400" s="11"/>
      <c r="DO400" s="11"/>
    </row>
    <row r="401" ht="15.75" customHeight="1">
      <c r="C401" s="8"/>
      <c r="BD401" s="11"/>
      <c r="BR401" s="11"/>
      <c r="BY401" s="11"/>
      <c r="CF401" s="11"/>
      <c r="CM401" s="11"/>
      <c r="CT401" s="11"/>
      <c r="DA401" s="11"/>
      <c r="DH401" s="11"/>
      <c r="DO401" s="11"/>
    </row>
    <row r="402" ht="15.75" customHeight="1">
      <c r="C402" s="8"/>
      <c r="BD402" s="11"/>
      <c r="BR402" s="11"/>
      <c r="BY402" s="11"/>
      <c r="CF402" s="11"/>
      <c r="CM402" s="11"/>
      <c r="CT402" s="11"/>
      <c r="DA402" s="11"/>
      <c r="DH402" s="11"/>
      <c r="DO402" s="11"/>
    </row>
    <row r="403" ht="15.75" customHeight="1">
      <c r="C403" s="8"/>
      <c r="BD403" s="11"/>
      <c r="BR403" s="11"/>
      <c r="BY403" s="11"/>
      <c r="CF403" s="11"/>
      <c r="CM403" s="11"/>
      <c r="CT403" s="11"/>
      <c r="DA403" s="11"/>
      <c r="DH403" s="11"/>
      <c r="DO403" s="11"/>
    </row>
    <row r="404" ht="15.75" customHeight="1">
      <c r="C404" s="8"/>
      <c r="BD404" s="11"/>
      <c r="BR404" s="11"/>
      <c r="BY404" s="11"/>
      <c r="CF404" s="11"/>
      <c r="CM404" s="11"/>
      <c r="CT404" s="11"/>
      <c r="DA404" s="11"/>
      <c r="DH404" s="11"/>
      <c r="DO404" s="11"/>
    </row>
    <row r="405" ht="15.75" customHeight="1">
      <c r="C405" s="8"/>
      <c r="BD405" s="11"/>
      <c r="BR405" s="11"/>
      <c r="BY405" s="11"/>
      <c r="CF405" s="11"/>
      <c r="CM405" s="11"/>
      <c r="CT405" s="11"/>
      <c r="DA405" s="11"/>
      <c r="DH405" s="11"/>
      <c r="DO405" s="11"/>
    </row>
    <row r="406" ht="15.75" customHeight="1">
      <c r="C406" s="8"/>
      <c r="BD406" s="11"/>
      <c r="BR406" s="11"/>
      <c r="BY406" s="11"/>
      <c r="CF406" s="11"/>
      <c r="CM406" s="11"/>
      <c r="CT406" s="11"/>
      <c r="DA406" s="11"/>
      <c r="DH406" s="11"/>
      <c r="DO406" s="11"/>
    </row>
    <row r="407" ht="15.75" customHeight="1">
      <c r="C407" s="8"/>
      <c r="BD407" s="11"/>
      <c r="BR407" s="11"/>
      <c r="BY407" s="11"/>
      <c r="CF407" s="11"/>
      <c r="CM407" s="11"/>
      <c r="CT407" s="11"/>
      <c r="DA407" s="11"/>
      <c r="DH407" s="11"/>
      <c r="DO407" s="11"/>
    </row>
    <row r="408" ht="15.75" customHeight="1">
      <c r="C408" s="8"/>
      <c r="BD408" s="11"/>
      <c r="BR408" s="11"/>
      <c r="BY408" s="11"/>
      <c r="CF408" s="11"/>
      <c r="CM408" s="11"/>
      <c r="CT408" s="11"/>
      <c r="DA408" s="11"/>
      <c r="DH408" s="11"/>
      <c r="DO408" s="11"/>
    </row>
    <row r="409" ht="15.75" customHeight="1">
      <c r="C409" s="8"/>
      <c r="BD409" s="11"/>
      <c r="BR409" s="11"/>
      <c r="BY409" s="11"/>
      <c r="CF409" s="11"/>
      <c r="CM409" s="11"/>
      <c r="CT409" s="11"/>
      <c r="DA409" s="11"/>
      <c r="DH409" s="11"/>
      <c r="DO409" s="11"/>
    </row>
    <row r="410" ht="15.75" customHeight="1">
      <c r="C410" s="8"/>
      <c r="BD410" s="11"/>
      <c r="BR410" s="11"/>
      <c r="BY410" s="11"/>
      <c r="CF410" s="11"/>
      <c r="CM410" s="11"/>
      <c r="CT410" s="11"/>
      <c r="DA410" s="11"/>
      <c r="DH410" s="11"/>
      <c r="DO410" s="11"/>
    </row>
    <row r="411" ht="15.75" customHeight="1">
      <c r="C411" s="8"/>
      <c r="BD411" s="11"/>
      <c r="BR411" s="11"/>
      <c r="BY411" s="11"/>
      <c r="CF411" s="11"/>
      <c r="CM411" s="11"/>
      <c r="CT411" s="11"/>
      <c r="DA411" s="11"/>
      <c r="DH411" s="11"/>
      <c r="DO411" s="11"/>
    </row>
    <row r="412" ht="15.75" customHeight="1">
      <c r="C412" s="8"/>
      <c r="BD412" s="11"/>
      <c r="BR412" s="11"/>
      <c r="BY412" s="11"/>
      <c r="CF412" s="11"/>
      <c r="CM412" s="11"/>
      <c r="CT412" s="11"/>
      <c r="DA412" s="11"/>
      <c r="DH412" s="11"/>
      <c r="DO412" s="11"/>
    </row>
    <row r="413" ht="15.75" customHeight="1">
      <c r="C413" s="8"/>
      <c r="BD413" s="11"/>
      <c r="BR413" s="11"/>
      <c r="BY413" s="11"/>
      <c r="CF413" s="11"/>
      <c r="CM413" s="11"/>
      <c r="CT413" s="11"/>
      <c r="DA413" s="11"/>
      <c r="DH413" s="11"/>
      <c r="DO413" s="11"/>
    </row>
    <row r="414" ht="15.75" customHeight="1">
      <c r="C414" s="8"/>
      <c r="BD414" s="11"/>
      <c r="BR414" s="11"/>
      <c r="BY414" s="11"/>
      <c r="CF414" s="11"/>
      <c r="CM414" s="11"/>
      <c r="CT414" s="11"/>
      <c r="DA414" s="11"/>
      <c r="DH414" s="11"/>
      <c r="DO414" s="11"/>
    </row>
    <row r="415" ht="15.75" customHeight="1">
      <c r="C415" s="8"/>
      <c r="BD415" s="11"/>
      <c r="BR415" s="11"/>
      <c r="BY415" s="11"/>
      <c r="CF415" s="11"/>
      <c r="CM415" s="11"/>
      <c r="CT415" s="11"/>
      <c r="DA415" s="11"/>
      <c r="DH415" s="11"/>
      <c r="DO415" s="11"/>
    </row>
    <row r="416" ht="15.75" customHeight="1">
      <c r="C416" s="8"/>
      <c r="BD416" s="11"/>
      <c r="BR416" s="11"/>
      <c r="BY416" s="11"/>
      <c r="CF416" s="11"/>
      <c r="CM416" s="11"/>
      <c r="CT416" s="11"/>
      <c r="DA416" s="11"/>
      <c r="DH416" s="11"/>
      <c r="DO416" s="11"/>
    </row>
    <row r="417" ht="15.75" customHeight="1">
      <c r="C417" s="8"/>
      <c r="BD417" s="11"/>
      <c r="BR417" s="11"/>
      <c r="BY417" s="11"/>
      <c r="CF417" s="11"/>
      <c r="CM417" s="11"/>
      <c r="CT417" s="11"/>
      <c r="DA417" s="11"/>
      <c r="DH417" s="11"/>
      <c r="DO417" s="11"/>
    </row>
    <row r="418" ht="15.75" customHeight="1">
      <c r="C418" s="8"/>
      <c r="BD418" s="11"/>
      <c r="BR418" s="11"/>
      <c r="BY418" s="11"/>
      <c r="CF418" s="11"/>
      <c r="CM418" s="11"/>
      <c r="CT418" s="11"/>
      <c r="DA418" s="11"/>
      <c r="DH418" s="11"/>
      <c r="DO418" s="11"/>
    </row>
    <row r="419" ht="15.75" customHeight="1">
      <c r="C419" s="8"/>
      <c r="BD419" s="11"/>
      <c r="BR419" s="11"/>
      <c r="BY419" s="11"/>
      <c r="CF419" s="11"/>
      <c r="CM419" s="11"/>
      <c r="CT419" s="11"/>
      <c r="DA419" s="11"/>
      <c r="DH419" s="11"/>
      <c r="DO419" s="11"/>
    </row>
    <row r="420" ht="15.75" customHeight="1">
      <c r="C420" s="8"/>
      <c r="BD420" s="11"/>
      <c r="BR420" s="11"/>
      <c r="BY420" s="11"/>
      <c r="CF420" s="11"/>
      <c r="CM420" s="11"/>
      <c r="CT420" s="11"/>
      <c r="DA420" s="11"/>
      <c r="DH420" s="11"/>
      <c r="DO420" s="11"/>
    </row>
    <row r="421" ht="15.75" customHeight="1">
      <c r="C421" s="8"/>
      <c r="BD421" s="11"/>
      <c r="BR421" s="11"/>
      <c r="BY421" s="11"/>
      <c r="CF421" s="11"/>
      <c r="CM421" s="11"/>
      <c r="CT421" s="11"/>
      <c r="DA421" s="11"/>
      <c r="DH421" s="11"/>
      <c r="DO421" s="11"/>
    </row>
    <row r="422" ht="15.75" customHeight="1">
      <c r="C422" s="8"/>
      <c r="BD422" s="11"/>
      <c r="BR422" s="11"/>
      <c r="BY422" s="11"/>
      <c r="CF422" s="11"/>
      <c r="CM422" s="11"/>
      <c r="CT422" s="11"/>
      <c r="DA422" s="11"/>
      <c r="DH422" s="11"/>
      <c r="DO422" s="11"/>
    </row>
    <row r="423" ht="15.75" customHeight="1">
      <c r="C423" s="8"/>
      <c r="BD423" s="11"/>
      <c r="BR423" s="11"/>
      <c r="BY423" s="11"/>
      <c r="CF423" s="11"/>
      <c r="CM423" s="11"/>
      <c r="CT423" s="11"/>
      <c r="DA423" s="11"/>
      <c r="DH423" s="11"/>
      <c r="DO423" s="11"/>
    </row>
    <row r="424" ht="15.75" customHeight="1">
      <c r="C424" s="8"/>
      <c r="BD424" s="11"/>
      <c r="BR424" s="11"/>
      <c r="BY424" s="11"/>
      <c r="CF424" s="11"/>
      <c r="CM424" s="11"/>
      <c r="CT424" s="11"/>
      <c r="DA424" s="11"/>
      <c r="DH424" s="11"/>
      <c r="DO424" s="11"/>
    </row>
    <row r="425" ht="15.75" customHeight="1">
      <c r="C425" s="8"/>
      <c r="BD425" s="11"/>
      <c r="BR425" s="11"/>
      <c r="BY425" s="11"/>
      <c r="CF425" s="11"/>
      <c r="CM425" s="11"/>
      <c r="CT425" s="11"/>
      <c r="DA425" s="11"/>
      <c r="DH425" s="11"/>
      <c r="DO425" s="11"/>
    </row>
    <row r="426" ht="15.75" customHeight="1">
      <c r="C426" s="8"/>
      <c r="BD426" s="11"/>
      <c r="BR426" s="11"/>
      <c r="BY426" s="11"/>
      <c r="CF426" s="11"/>
      <c r="CM426" s="11"/>
      <c r="CT426" s="11"/>
      <c r="DA426" s="11"/>
      <c r="DH426" s="11"/>
      <c r="DO426" s="11"/>
    </row>
    <row r="427" ht="15.75" customHeight="1">
      <c r="C427" s="8"/>
      <c r="BD427" s="11"/>
      <c r="BR427" s="11"/>
      <c r="BY427" s="11"/>
      <c r="CF427" s="11"/>
      <c r="CM427" s="11"/>
      <c r="CT427" s="11"/>
      <c r="DA427" s="11"/>
      <c r="DH427" s="11"/>
      <c r="DO427" s="11"/>
    </row>
    <row r="428" ht="15.75" customHeight="1">
      <c r="C428" s="8"/>
      <c r="BD428" s="11"/>
      <c r="BR428" s="11"/>
      <c r="BY428" s="11"/>
      <c r="CF428" s="11"/>
      <c r="CM428" s="11"/>
      <c r="CT428" s="11"/>
      <c r="DA428" s="11"/>
      <c r="DH428" s="11"/>
      <c r="DO428" s="11"/>
    </row>
    <row r="429" ht="15.75" customHeight="1">
      <c r="C429" s="8"/>
      <c r="BD429" s="11"/>
      <c r="BR429" s="11"/>
      <c r="BY429" s="11"/>
      <c r="CF429" s="11"/>
      <c r="CM429" s="11"/>
      <c r="CT429" s="11"/>
      <c r="DA429" s="11"/>
      <c r="DH429" s="11"/>
      <c r="DO429" s="11"/>
    </row>
    <row r="430" ht="15.75" customHeight="1">
      <c r="C430" s="8"/>
      <c r="BD430" s="11"/>
      <c r="BR430" s="11"/>
      <c r="BY430" s="11"/>
      <c r="CF430" s="11"/>
      <c r="CM430" s="11"/>
      <c r="CT430" s="11"/>
      <c r="DA430" s="11"/>
      <c r="DH430" s="11"/>
      <c r="DO430" s="11"/>
    </row>
    <row r="431" ht="15.75" customHeight="1">
      <c r="C431" s="8"/>
      <c r="BD431" s="11"/>
      <c r="BR431" s="11"/>
      <c r="BY431" s="11"/>
      <c r="CF431" s="11"/>
      <c r="CM431" s="11"/>
      <c r="CT431" s="11"/>
      <c r="DA431" s="11"/>
      <c r="DH431" s="11"/>
      <c r="DO431" s="11"/>
    </row>
    <row r="432" ht="15.75" customHeight="1">
      <c r="C432" s="8"/>
      <c r="BD432" s="11"/>
      <c r="BR432" s="11"/>
      <c r="BY432" s="11"/>
      <c r="CF432" s="11"/>
      <c r="CM432" s="11"/>
      <c r="CT432" s="11"/>
      <c r="DA432" s="11"/>
      <c r="DH432" s="11"/>
      <c r="DO432" s="11"/>
    </row>
    <row r="433" ht="15.75" customHeight="1">
      <c r="C433" s="8"/>
      <c r="BD433" s="11"/>
      <c r="BR433" s="11"/>
      <c r="BY433" s="11"/>
      <c r="CF433" s="11"/>
      <c r="CM433" s="11"/>
      <c r="CT433" s="11"/>
      <c r="DA433" s="11"/>
      <c r="DH433" s="11"/>
      <c r="DO433" s="11"/>
    </row>
    <row r="434" ht="15.75" customHeight="1">
      <c r="C434" s="8"/>
      <c r="BD434" s="11"/>
      <c r="BR434" s="11"/>
      <c r="BY434" s="11"/>
      <c r="CF434" s="11"/>
      <c r="CM434" s="11"/>
      <c r="CT434" s="11"/>
      <c r="DA434" s="11"/>
      <c r="DH434" s="11"/>
      <c r="DO434" s="11"/>
    </row>
    <row r="435" ht="15.75" customHeight="1">
      <c r="C435" s="8"/>
      <c r="BD435" s="11"/>
      <c r="BR435" s="11"/>
      <c r="BY435" s="11"/>
      <c r="CF435" s="11"/>
      <c r="CM435" s="11"/>
      <c r="CT435" s="11"/>
      <c r="DA435" s="11"/>
      <c r="DH435" s="11"/>
      <c r="DO435" s="11"/>
    </row>
    <row r="436" ht="15.75" customHeight="1">
      <c r="C436" s="8"/>
      <c r="BD436" s="11"/>
      <c r="BR436" s="11"/>
      <c r="BY436" s="11"/>
      <c r="CF436" s="11"/>
      <c r="CM436" s="11"/>
      <c r="CT436" s="11"/>
      <c r="DA436" s="11"/>
      <c r="DH436" s="11"/>
      <c r="DO436" s="11"/>
    </row>
    <row r="437" ht="15.75" customHeight="1">
      <c r="C437" s="8"/>
      <c r="BD437" s="11"/>
      <c r="BR437" s="11"/>
      <c r="BY437" s="11"/>
      <c r="CF437" s="11"/>
      <c r="CM437" s="11"/>
      <c r="CT437" s="11"/>
      <c r="DA437" s="11"/>
      <c r="DH437" s="11"/>
      <c r="DO437" s="11"/>
    </row>
    <row r="438" ht="15.75" customHeight="1">
      <c r="C438" s="8"/>
      <c r="BD438" s="11"/>
      <c r="BR438" s="11"/>
      <c r="BY438" s="11"/>
      <c r="CF438" s="11"/>
      <c r="CM438" s="11"/>
      <c r="CT438" s="11"/>
      <c r="DA438" s="11"/>
      <c r="DH438" s="11"/>
      <c r="DO438" s="11"/>
    </row>
    <row r="439" ht="15.75" customHeight="1">
      <c r="C439" s="8"/>
      <c r="BD439" s="11"/>
      <c r="BR439" s="11"/>
      <c r="BY439" s="11"/>
      <c r="CF439" s="11"/>
      <c r="CM439" s="11"/>
      <c r="CT439" s="11"/>
      <c r="DA439" s="11"/>
      <c r="DH439" s="11"/>
      <c r="DO439" s="11"/>
    </row>
    <row r="440" ht="15.75" customHeight="1">
      <c r="C440" s="8"/>
      <c r="BD440" s="11"/>
      <c r="BR440" s="11"/>
      <c r="BY440" s="11"/>
      <c r="CF440" s="11"/>
      <c r="CM440" s="11"/>
      <c r="CT440" s="11"/>
      <c r="DA440" s="11"/>
      <c r="DH440" s="11"/>
      <c r="DO440" s="11"/>
    </row>
    <row r="441" ht="15.75" customHeight="1">
      <c r="C441" s="8"/>
      <c r="BD441" s="11"/>
      <c r="BR441" s="11"/>
      <c r="BY441" s="11"/>
      <c r="CF441" s="11"/>
      <c r="CM441" s="11"/>
      <c r="CT441" s="11"/>
      <c r="DA441" s="11"/>
      <c r="DH441" s="11"/>
      <c r="DO441" s="11"/>
    </row>
    <row r="442" ht="15.75" customHeight="1">
      <c r="C442" s="8"/>
      <c r="BD442" s="11"/>
      <c r="BR442" s="11"/>
      <c r="BY442" s="11"/>
      <c r="CF442" s="11"/>
      <c r="CM442" s="11"/>
      <c r="CT442" s="11"/>
      <c r="DA442" s="11"/>
      <c r="DH442" s="11"/>
      <c r="DO442" s="11"/>
    </row>
    <row r="443" ht="15.75" customHeight="1">
      <c r="C443" s="8"/>
      <c r="BD443" s="11"/>
      <c r="BR443" s="11"/>
      <c r="BY443" s="11"/>
      <c r="CF443" s="11"/>
      <c r="CM443" s="11"/>
      <c r="CT443" s="11"/>
      <c r="DA443" s="11"/>
      <c r="DH443" s="11"/>
      <c r="DO443" s="11"/>
    </row>
    <row r="444" ht="15.75" customHeight="1">
      <c r="C444" s="8"/>
      <c r="BD444" s="11"/>
      <c r="BR444" s="11"/>
      <c r="BY444" s="11"/>
      <c r="CF444" s="11"/>
      <c r="CM444" s="11"/>
      <c r="CT444" s="11"/>
      <c r="DA444" s="11"/>
      <c r="DH444" s="11"/>
      <c r="DO444" s="11"/>
    </row>
    <row r="445" ht="15.75" customHeight="1">
      <c r="C445" s="8"/>
      <c r="BD445" s="11"/>
      <c r="BR445" s="11"/>
      <c r="BY445" s="11"/>
      <c r="CF445" s="11"/>
      <c r="CM445" s="11"/>
      <c r="CT445" s="11"/>
      <c r="DA445" s="11"/>
      <c r="DH445" s="11"/>
      <c r="DO445" s="11"/>
    </row>
    <row r="446" ht="15.75" customHeight="1">
      <c r="C446" s="8"/>
      <c r="BD446" s="11"/>
      <c r="BR446" s="11"/>
      <c r="BY446" s="11"/>
      <c r="CF446" s="11"/>
      <c r="CM446" s="11"/>
      <c r="CT446" s="11"/>
      <c r="DA446" s="11"/>
      <c r="DH446" s="11"/>
      <c r="DO446" s="11"/>
    </row>
    <row r="447" ht="15.75" customHeight="1">
      <c r="C447" s="8"/>
      <c r="BD447" s="11"/>
      <c r="BR447" s="11"/>
      <c r="BY447" s="11"/>
      <c r="CF447" s="11"/>
      <c r="CM447" s="11"/>
      <c r="CT447" s="11"/>
      <c r="DA447" s="11"/>
      <c r="DH447" s="11"/>
      <c r="DO447" s="11"/>
    </row>
    <row r="448" ht="15.75" customHeight="1">
      <c r="C448" s="8"/>
      <c r="BD448" s="11"/>
      <c r="BR448" s="11"/>
      <c r="BY448" s="11"/>
      <c r="CF448" s="11"/>
      <c r="CM448" s="11"/>
      <c r="CT448" s="11"/>
      <c r="DA448" s="11"/>
      <c r="DH448" s="11"/>
      <c r="DO448" s="11"/>
    </row>
    <row r="449" ht="15.75" customHeight="1">
      <c r="C449" s="8"/>
      <c r="BD449" s="11"/>
      <c r="BR449" s="11"/>
      <c r="BY449" s="11"/>
      <c r="CF449" s="11"/>
      <c r="CM449" s="11"/>
      <c r="CT449" s="11"/>
      <c r="DA449" s="11"/>
      <c r="DH449" s="11"/>
      <c r="DO449" s="11"/>
    </row>
    <row r="450" ht="15.75" customHeight="1">
      <c r="C450" s="8"/>
      <c r="BD450" s="11"/>
      <c r="BR450" s="11"/>
      <c r="BY450" s="11"/>
      <c r="CF450" s="11"/>
      <c r="CM450" s="11"/>
      <c r="CT450" s="11"/>
      <c r="DA450" s="11"/>
      <c r="DH450" s="11"/>
      <c r="DO450" s="11"/>
    </row>
    <row r="451" ht="15.75" customHeight="1">
      <c r="C451" s="8"/>
      <c r="BD451" s="11"/>
      <c r="BR451" s="11"/>
      <c r="BY451" s="11"/>
      <c r="CF451" s="11"/>
      <c r="CM451" s="11"/>
      <c r="CT451" s="11"/>
      <c r="DA451" s="11"/>
      <c r="DH451" s="11"/>
      <c r="DO451" s="11"/>
    </row>
    <row r="452" ht="15.75" customHeight="1">
      <c r="C452" s="8"/>
      <c r="BD452" s="11"/>
      <c r="BR452" s="11"/>
      <c r="BY452" s="11"/>
      <c r="CF452" s="11"/>
      <c r="CM452" s="11"/>
      <c r="CT452" s="11"/>
      <c r="DA452" s="11"/>
      <c r="DH452" s="11"/>
      <c r="DO452" s="11"/>
    </row>
    <row r="453" ht="15.75" customHeight="1">
      <c r="C453" s="8"/>
      <c r="BD453" s="11"/>
      <c r="BR453" s="11"/>
      <c r="BY453" s="11"/>
      <c r="CF453" s="11"/>
      <c r="CM453" s="11"/>
      <c r="CT453" s="11"/>
      <c r="DA453" s="11"/>
      <c r="DH453" s="11"/>
      <c r="DO453" s="11"/>
    </row>
    <row r="454" ht="15.75" customHeight="1">
      <c r="C454" s="8"/>
      <c r="BD454" s="11"/>
      <c r="BR454" s="11"/>
      <c r="BY454" s="11"/>
      <c r="CF454" s="11"/>
      <c r="CM454" s="11"/>
      <c r="CT454" s="11"/>
      <c r="DA454" s="11"/>
      <c r="DH454" s="11"/>
      <c r="DO454" s="11"/>
    </row>
    <row r="455" ht="15.75" customHeight="1">
      <c r="C455" s="8"/>
      <c r="BD455" s="11"/>
      <c r="BR455" s="11"/>
      <c r="BY455" s="11"/>
      <c r="CF455" s="11"/>
      <c r="CM455" s="11"/>
      <c r="CT455" s="11"/>
      <c r="DA455" s="11"/>
      <c r="DH455" s="11"/>
      <c r="DO455" s="11"/>
    </row>
    <row r="456" ht="15.75" customHeight="1">
      <c r="C456" s="8"/>
      <c r="BD456" s="11"/>
      <c r="BR456" s="11"/>
      <c r="BY456" s="11"/>
      <c r="CF456" s="11"/>
      <c r="CM456" s="11"/>
      <c r="CT456" s="11"/>
      <c r="DA456" s="11"/>
      <c r="DH456" s="11"/>
      <c r="DO456" s="11"/>
    </row>
    <row r="457" ht="15.75" customHeight="1">
      <c r="C457" s="8"/>
      <c r="BD457" s="11"/>
      <c r="BR457" s="11"/>
      <c r="BY457" s="11"/>
      <c r="CF457" s="11"/>
      <c r="CM457" s="11"/>
      <c r="CT457" s="11"/>
      <c r="DA457" s="11"/>
      <c r="DH457" s="11"/>
      <c r="DO457" s="11"/>
    </row>
    <row r="458" ht="15.75" customHeight="1">
      <c r="C458" s="8"/>
      <c r="BD458" s="11"/>
      <c r="BR458" s="11"/>
      <c r="BY458" s="11"/>
      <c r="CF458" s="11"/>
      <c r="CM458" s="11"/>
      <c r="CT458" s="11"/>
      <c r="DA458" s="11"/>
      <c r="DH458" s="11"/>
      <c r="DO458" s="11"/>
    </row>
    <row r="459" ht="15.75" customHeight="1">
      <c r="C459" s="8"/>
      <c r="BD459" s="11"/>
      <c r="BR459" s="11"/>
      <c r="BY459" s="11"/>
      <c r="CF459" s="11"/>
      <c r="CM459" s="11"/>
      <c r="CT459" s="11"/>
      <c r="DA459" s="11"/>
      <c r="DH459" s="11"/>
      <c r="DO459" s="11"/>
    </row>
    <row r="460" ht="15.75" customHeight="1">
      <c r="C460" s="8"/>
      <c r="BD460" s="11"/>
      <c r="BR460" s="11"/>
      <c r="BY460" s="11"/>
      <c r="CF460" s="11"/>
      <c r="CM460" s="11"/>
      <c r="CT460" s="11"/>
      <c r="DA460" s="11"/>
      <c r="DH460" s="11"/>
      <c r="DO460" s="11"/>
    </row>
    <row r="461" ht="15.75" customHeight="1">
      <c r="C461" s="8"/>
      <c r="BD461" s="11"/>
      <c r="BR461" s="11"/>
      <c r="BY461" s="11"/>
      <c r="CF461" s="11"/>
      <c r="CM461" s="11"/>
      <c r="CT461" s="11"/>
      <c r="DA461" s="11"/>
      <c r="DH461" s="11"/>
      <c r="DO461" s="11"/>
    </row>
    <row r="462" ht="15.75" customHeight="1">
      <c r="C462" s="8"/>
      <c r="BD462" s="11"/>
      <c r="BR462" s="11"/>
      <c r="BY462" s="11"/>
      <c r="CF462" s="11"/>
      <c r="CM462" s="11"/>
      <c r="CT462" s="11"/>
      <c r="DA462" s="11"/>
      <c r="DH462" s="11"/>
      <c r="DO462" s="11"/>
    </row>
    <row r="463" ht="15.75" customHeight="1">
      <c r="C463" s="8"/>
      <c r="BD463" s="11"/>
      <c r="BR463" s="11"/>
      <c r="BY463" s="11"/>
      <c r="CF463" s="11"/>
      <c r="CM463" s="11"/>
      <c r="CT463" s="11"/>
      <c r="DA463" s="11"/>
      <c r="DH463" s="11"/>
      <c r="DO463" s="11"/>
    </row>
    <row r="464" ht="15.75" customHeight="1">
      <c r="C464" s="8"/>
      <c r="BD464" s="11"/>
      <c r="BR464" s="11"/>
      <c r="BY464" s="11"/>
      <c r="CF464" s="11"/>
      <c r="CM464" s="11"/>
      <c r="CT464" s="11"/>
      <c r="DA464" s="11"/>
      <c r="DH464" s="11"/>
      <c r="DO464" s="11"/>
    </row>
    <row r="465" ht="15.75" customHeight="1">
      <c r="C465" s="8"/>
      <c r="BD465" s="11"/>
      <c r="BR465" s="11"/>
      <c r="BY465" s="11"/>
      <c r="CF465" s="11"/>
      <c r="CM465" s="11"/>
      <c r="CT465" s="11"/>
      <c r="DA465" s="11"/>
      <c r="DH465" s="11"/>
      <c r="DO465" s="11"/>
    </row>
    <row r="466" ht="15.75" customHeight="1">
      <c r="C466" s="8"/>
      <c r="BD466" s="11"/>
      <c r="BR466" s="11"/>
      <c r="BY466" s="11"/>
      <c r="CF466" s="11"/>
      <c r="CM466" s="11"/>
      <c r="CT466" s="11"/>
      <c r="DA466" s="11"/>
      <c r="DH466" s="11"/>
      <c r="DO466" s="11"/>
    </row>
    <row r="467" ht="15.75" customHeight="1">
      <c r="C467" s="8"/>
      <c r="BD467" s="11"/>
      <c r="BR467" s="11"/>
      <c r="BY467" s="11"/>
      <c r="CF467" s="11"/>
      <c r="CM467" s="11"/>
      <c r="CT467" s="11"/>
      <c r="DA467" s="11"/>
      <c r="DH467" s="11"/>
      <c r="DO467" s="11"/>
    </row>
    <row r="468" ht="15.75" customHeight="1">
      <c r="C468" s="8"/>
      <c r="BD468" s="11"/>
      <c r="BR468" s="11"/>
      <c r="BY468" s="11"/>
      <c r="CF468" s="11"/>
      <c r="CM468" s="11"/>
      <c r="CT468" s="11"/>
      <c r="DA468" s="11"/>
      <c r="DH468" s="11"/>
      <c r="DO468" s="11"/>
    </row>
    <row r="469" ht="15.75" customHeight="1">
      <c r="C469" s="8"/>
      <c r="BD469" s="11"/>
      <c r="BR469" s="11"/>
      <c r="BY469" s="11"/>
      <c r="CF469" s="11"/>
      <c r="CM469" s="11"/>
      <c r="CT469" s="11"/>
      <c r="DA469" s="11"/>
      <c r="DH469" s="11"/>
      <c r="DO469" s="11"/>
    </row>
    <row r="470" ht="15.75" customHeight="1">
      <c r="C470" s="8"/>
      <c r="BD470" s="11"/>
      <c r="BR470" s="11"/>
      <c r="BY470" s="11"/>
      <c r="CF470" s="11"/>
      <c r="CM470" s="11"/>
      <c r="CT470" s="11"/>
      <c r="DA470" s="11"/>
      <c r="DH470" s="11"/>
      <c r="DO470" s="11"/>
    </row>
    <row r="471" ht="15.75" customHeight="1">
      <c r="C471" s="8"/>
      <c r="BD471" s="11"/>
      <c r="BR471" s="11"/>
      <c r="BY471" s="11"/>
      <c r="CF471" s="11"/>
      <c r="CM471" s="11"/>
      <c r="CT471" s="11"/>
      <c r="DA471" s="11"/>
      <c r="DH471" s="11"/>
      <c r="DO471" s="11"/>
    </row>
    <row r="472" ht="15.75" customHeight="1">
      <c r="C472" s="8"/>
      <c r="BD472" s="11"/>
      <c r="BR472" s="11"/>
      <c r="BY472" s="11"/>
      <c r="CF472" s="11"/>
      <c r="CM472" s="11"/>
      <c r="CT472" s="11"/>
      <c r="DA472" s="11"/>
      <c r="DH472" s="11"/>
      <c r="DO472" s="11"/>
    </row>
    <row r="473" ht="15.75" customHeight="1">
      <c r="C473" s="8"/>
      <c r="BD473" s="11"/>
      <c r="BR473" s="11"/>
      <c r="BY473" s="11"/>
      <c r="CF473" s="11"/>
      <c r="CM473" s="11"/>
      <c r="CT473" s="11"/>
      <c r="DA473" s="11"/>
      <c r="DH473" s="11"/>
      <c r="DO473" s="11"/>
    </row>
    <row r="474" ht="15.75" customHeight="1">
      <c r="C474" s="8"/>
      <c r="BD474" s="11"/>
      <c r="BR474" s="11"/>
      <c r="BY474" s="11"/>
      <c r="CF474" s="11"/>
      <c r="CM474" s="11"/>
      <c r="CT474" s="11"/>
      <c r="DA474" s="11"/>
      <c r="DH474" s="11"/>
      <c r="DO474" s="11"/>
    </row>
    <row r="475" ht="15.75" customHeight="1">
      <c r="C475" s="8"/>
      <c r="BD475" s="11"/>
      <c r="BR475" s="11"/>
      <c r="BY475" s="11"/>
      <c r="CF475" s="11"/>
      <c r="CM475" s="11"/>
      <c r="CT475" s="11"/>
      <c r="DA475" s="11"/>
      <c r="DH475" s="11"/>
      <c r="DO475" s="11"/>
    </row>
    <row r="476" ht="15.75" customHeight="1">
      <c r="C476" s="8"/>
      <c r="BD476" s="11"/>
      <c r="BR476" s="11"/>
      <c r="BY476" s="11"/>
      <c r="CF476" s="11"/>
      <c r="CM476" s="11"/>
      <c r="CT476" s="11"/>
      <c r="DA476" s="11"/>
      <c r="DH476" s="11"/>
      <c r="DO476" s="11"/>
    </row>
    <row r="477" ht="15.75" customHeight="1">
      <c r="C477" s="8"/>
      <c r="BD477" s="11"/>
      <c r="BR477" s="11"/>
      <c r="BY477" s="11"/>
      <c r="CF477" s="11"/>
      <c r="CM477" s="11"/>
      <c r="CT477" s="11"/>
      <c r="DA477" s="11"/>
      <c r="DH477" s="11"/>
      <c r="DO477" s="11"/>
    </row>
    <row r="478" ht="15.75" customHeight="1">
      <c r="C478" s="8"/>
      <c r="BD478" s="11"/>
      <c r="BR478" s="11"/>
      <c r="BY478" s="11"/>
      <c r="CF478" s="11"/>
      <c r="CM478" s="11"/>
      <c r="CT478" s="11"/>
      <c r="DA478" s="11"/>
      <c r="DH478" s="11"/>
      <c r="DO478" s="11"/>
    </row>
    <row r="479" ht="15.75" customHeight="1">
      <c r="C479" s="8"/>
      <c r="BD479" s="11"/>
      <c r="BR479" s="11"/>
      <c r="BY479" s="11"/>
      <c r="CF479" s="11"/>
      <c r="CM479" s="11"/>
      <c r="CT479" s="11"/>
      <c r="DA479" s="11"/>
      <c r="DH479" s="11"/>
      <c r="DO479" s="11"/>
    </row>
    <row r="480" ht="15.75" customHeight="1">
      <c r="C480" s="8"/>
      <c r="BD480" s="11"/>
      <c r="BR480" s="11"/>
      <c r="BY480" s="11"/>
      <c r="CF480" s="11"/>
      <c r="CM480" s="11"/>
      <c r="CT480" s="11"/>
      <c r="DA480" s="11"/>
      <c r="DH480" s="11"/>
      <c r="DO480" s="11"/>
    </row>
    <row r="481" ht="15.75" customHeight="1">
      <c r="C481" s="8"/>
      <c r="BD481" s="11"/>
      <c r="BR481" s="11"/>
      <c r="BY481" s="11"/>
      <c r="CF481" s="11"/>
      <c r="CM481" s="11"/>
      <c r="CT481" s="11"/>
      <c r="DA481" s="11"/>
      <c r="DH481" s="11"/>
      <c r="DO481" s="11"/>
    </row>
    <row r="482" ht="15.75" customHeight="1">
      <c r="C482" s="8"/>
      <c r="BD482" s="11"/>
      <c r="BR482" s="11"/>
      <c r="BY482" s="11"/>
      <c r="CF482" s="11"/>
      <c r="CM482" s="11"/>
      <c r="CT482" s="11"/>
      <c r="DA482" s="11"/>
      <c r="DH482" s="11"/>
      <c r="DO482" s="11"/>
    </row>
    <row r="483" ht="15.75" customHeight="1">
      <c r="C483" s="8"/>
      <c r="BD483" s="11"/>
      <c r="BR483" s="11"/>
      <c r="BY483" s="11"/>
      <c r="CF483" s="11"/>
      <c r="CM483" s="11"/>
      <c r="CT483" s="11"/>
      <c r="DA483" s="11"/>
      <c r="DH483" s="11"/>
      <c r="DO483" s="11"/>
    </row>
    <row r="484" ht="15.75" customHeight="1">
      <c r="C484" s="8"/>
      <c r="BD484" s="11"/>
      <c r="BR484" s="11"/>
      <c r="BY484" s="11"/>
      <c r="CF484" s="11"/>
      <c r="CM484" s="11"/>
      <c r="CT484" s="11"/>
      <c r="DA484" s="11"/>
      <c r="DH484" s="11"/>
      <c r="DO484" s="11"/>
    </row>
    <row r="485" ht="15.75" customHeight="1">
      <c r="C485" s="8"/>
      <c r="BD485" s="11"/>
      <c r="BR485" s="11"/>
      <c r="BY485" s="11"/>
      <c r="CF485" s="11"/>
      <c r="CM485" s="11"/>
      <c r="CT485" s="11"/>
      <c r="DA485" s="11"/>
      <c r="DH485" s="11"/>
      <c r="DO485" s="11"/>
    </row>
    <row r="486" ht="15.75" customHeight="1">
      <c r="C486" s="8"/>
      <c r="BD486" s="11"/>
      <c r="BR486" s="11"/>
      <c r="BY486" s="11"/>
      <c r="CF486" s="11"/>
      <c r="CM486" s="11"/>
      <c r="CT486" s="11"/>
      <c r="DA486" s="11"/>
      <c r="DH486" s="11"/>
      <c r="DO486" s="11"/>
    </row>
    <row r="487" ht="15.75" customHeight="1">
      <c r="C487" s="8"/>
      <c r="BD487" s="11"/>
      <c r="BR487" s="11"/>
      <c r="BY487" s="11"/>
      <c r="CF487" s="11"/>
      <c r="CM487" s="11"/>
      <c r="CT487" s="11"/>
      <c r="DA487" s="11"/>
      <c r="DH487" s="11"/>
      <c r="DO487" s="11"/>
    </row>
    <row r="488" ht="15.75" customHeight="1">
      <c r="C488" s="8"/>
      <c r="BD488" s="11"/>
      <c r="BR488" s="11"/>
      <c r="BY488" s="11"/>
      <c r="CF488" s="11"/>
      <c r="CM488" s="11"/>
      <c r="CT488" s="11"/>
      <c r="DA488" s="11"/>
      <c r="DH488" s="11"/>
      <c r="DO488" s="11"/>
    </row>
    <row r="489" ht="15.75" customHeight="1">
      <c r="C489" s="8"/>
      <c r="BD489" s="11"/>
      <c r="BR489" s="11"/>
      <c r="BY489" s="11"/>
      <c r="CF489" s="11"/>
      <c r="CM489" s="11"/>
      <c r="CT489" s="11"/>
      <c r="DA489" s="11"/>
      <c r="DH489" s="11"/>
      <c r="DO489" s="11"/>
    </row>
    <row r="490" ht="15.75" customHeight="1">
      <c r="C490" s="8"/>
      <c r="BD490" s="11"/>
      <c r="BR490" s="11"/>
      <c r="BY490" s="11"/>
      <c r="CF490" s="11"/>
      <c r="CM490" s="11"/>
      <c r="CT490" s="11"/>
      <c r="DA490" s="11"/>
      <c r="DH490" s="11"/>
      <c r="DO490" s="11"/>
    </row>
    <row r="491" ht="15.75" customHeight="1">
      <c r="C491" s="8"/>
      <c r="BD491" s="11"/>
      <c r="BR491" s="11"/>
      <c r="BY491" s="11"/>
      <c r="CF491" s="11"/>
      <c r="CM491" s="11"/>
      <c r="CT491" s="11"/>
      <c r="DA491" s="11"/>
      <c r="DH491" s="11"/>
      <c r="DO491" s="11"/>
    </row>
    <row r="492" ht="15.75" customHeight="1">
      <c r="C492" s="8"/>
      <c r="BD492" s="11"/>
      <c r="BR492" s="11"/>
      <c r="BY492" s="11"/>
      <c r="CF492" s="11"/>
      <c r="CM492" s="11"/>
      <c r="CT492" s="11"/>
      <c r="DA492" s="11"/>
      <c r="DH492" s="11"/>
      <c r="DO492" s="11"/>
    </row>
    <row r="493" ht="15.75" customHeight="1">
      <c r="C493" s="8"/>
      <c r="BD493" s="11"/>
      <c r="BR493" s="11"/>
      <c r="BY493" s="11"/>
      <c r="CF493" s="11"/>
      <c r="CM493" s="11"/>
      <c r="CT493" s="11"/>
      <c r="DA493" s="11"/>
      <c r="DH493" s="11"/>
      <c r="DO493" s="11"/>
    </row>
    <row r="494" ht="15.75" customHeight="1">
      <c r="C494" s="8"/>
      <c r="BD494" s="11"/>
      <c r="BR494" s="11"/>
      <c r="BY494" s="11"/>
      <c r="CF494" s="11"/>
      <c r="CM494" s="11"/>
      <c r="CT494" s="11"/>
      <c r="DA494" s="11"/>
      <c r="DH494" s="11"/>
      <c r="DO494" s="11"/>
    </row>
    <row r="495" ht="15.75" customHeight="1">
      <c r="C495" s="8"/>
      <c r="BD495" s="11"/>
      <c r="BR495" s="11"/>
      <c r="BY495" s="11"/>
      <c r="CF495" s="11"/>
      <c r="CM495" s="11"/>
      <c r="CT495" s="11"/>
      <c r="DA495" s="11"/>
      <c r="DH495" s="11"/>
      <c r="DO495" s="11"/>
    </row>
    <row r="496" ht="15.75" customHeight="1">
      <c r="C496" s="8"/>
      <c r="BD496" s="11"/>
      <c r="BR496" s="11"/>
      <c r="BY496" s="11"/>
      <c r="CF496" s="11"/>
      <c r="CM496" s="11"/>
      <c r="CT496" s="11"/>
      <c r="DA496" s="11"/>
      <c r="DH496" s="11"/>
      <c r="DO496" s="11"/>
    </row>
    <row r="497" ht="15.75" customHeight="1">
      <c r="C497" s="8"/>
      <c r="BD497" s="11"/>
      <c r="BR497" s="11"/>
      <c r="BY497" s="11"/>
      <c r="CF497" s="11"/>
      <c r="CM497" s="11"/>
      <c r="CT497" s="11"/>
      <c r="DA497" s="11"/>
      <c r="DH497" s="11"/>
      <c r="DO497" s="11"/>
    </row>
    <row r="498" ht="15.75" customHeight="1">
      <c r="C498" s="8"/>
      <c r="BD498" s="11"/>
      <c r="BR498" s="11"/>
      <c r="BY498" s="11"/>
      <c r="CF498" s="11"/>
      <c r="CM498" s="11"/>
      <c r="CT498" s="11"/>
      <c r="DA498" s="11"/>
      <c r="DH498" s="11"/>
      <c r="DO498" s="11"/>
    </row>
    <row r="499" ht="15.75" customHeight="1">
      <c r="C499" s="8"/>
      <c r="BD499" s="11"/>
      <c r="BR499" s="11"/>
      <c r="BY499" s="11"/>
      <c r="CF499" s="11"/>
      <c r="CM499" s="11"/>
      <c r="CT499" s="11"/>
      <c r="DA499" s="11"/>
      <c r="DH499" s="11"/>
      <c r="DO499" s="11"/>
    </row>
    <row r="500" ht="15.75" customHeight="1">
      <c r="C500" s="8"/>
      <c r="BD500" s="11"/>
      <c r="BR500" s="11"/>
      <c r="BY500" s="11"/>
      <c r="CF500" s="11"/>
      <c r="CM500" s="11"/>
      <c r="CT500" s="11"/>
      <c r="DA500" s="11"/>
      <c r="DH500" s="11"/>
      <c r="DO500" s="11"/>
    </row>
    <row r="501" ht="15.75" customHeight="1">
      <c r="C501" s="8"/>
      <c r="BD501" s="11"/>
      <c r="BR501" s="11"/>
      <c r="BY501" s="11"/>
      <c r="CF501" s="11"/>
      <c r="CM501" s="11"/>
      <c r="CT501" s="11"/>
      <c r="DA501" s="11"/>
      <c r="DH501" s="11"/>
      <c r="DO501" s="11"/>
    </row>
    <row r="502" ht="15.75" customHeight="1">
      <c r="C502" s="8"/>
      <c r="BD502" s="11"/>
      <c r="BR502" s="11"/>
      <c r="BY502" s="11"/>
      <c r="CF502" s="11"/>
      <c r="CM502" s="11"/>
      <c r="CT502" s="11"/>
      <c r="DA502" s="11"/>
      <c r="DH502" s="11"/>
      <c r="DO502" s="11"/>
    </row>
    <row r="503" ht="15.75" customHeight="1">
      <c r="C503" s="8"/>
      <c r="BD503" s="11"/>
      <c r="BR503" s="11"/>
      <c r="BY503" s="11"/>
      <c r="CF503" s="11"/>
      <c r="CM503" s="11"/>
      <c r="CT503" s="11"/>
      <c r="DA503" s="11"/>
      <c r="DH503" s="11"/>
      <c r="DO503" s="11"/>
    </row>
    <row r="504" ht="15.75" customHeight="1">
      <c r="C504" s="8"/>
      <c r="BD504" s="11"/>
      <c r="BR504" s="11"/>
      <c r="BY504" s="11"/>
      <c r="CF504" s="11"/>
      <c r="CM504" s="11"/>
      <c r="CT504" s="11"/>
      <c r="DA504" s="11"/>
      <c r="DH504" s="11"/>
      <c r="DO504" s="11"/>
    </row>
    <row r="505" ht="15.75" customHeight="1">
      <c r="C505" s="8"/>
      <c r="BD505" s="11"/>
      <c r="BR505" s="11"/>
      <c r="BY505" s="11"/>
      <c r="CF505" s="11"/>
      <c r="CM505" s="11"/>
      <c r="CT505" s="11"/>
      <c r="DA505" s="11"/>
      <c r="DH505" s="11"/>
      <c r="DO505" s="11"/>
    </row>
    <row r="506" ht="15.75" customHeight="1">
      <c r="C506" s="8"/>
      <c r="BD506" s="11"/>
      <c r="BR506" s="11"/>
      <c r="BY506" s="11"/>
      <c r="CF506" s="11"/>
      <c r="CM506" s="11"/>
      <c r="CT506" s="11"/>
      <c r="DA506" s="11"/>
      <c r="DH506" s="11"/>
      <c r="DO506" s="11"/>
    </row>
    <row r="507" ht="15.75" customHeight="1">
      <c r="C507" s="8"/>
      <c r="BD507" s="11"/>
      <c r="BR507" s="11"/>
      <c r="BY507" s="11"/>
      <c r="CF507" s="11"/>
      <c r="CM507" s="11"/>
      <c r="CT507" s="11"/>
      <c r="DA507" s="11"/>
      <c r="DH507" s="11"/>
      <c r="DO507" s="11"/>
    </row>
    <row r="508" ht="15.75" customHeight="1">
      <c r="C508" s="8"/>
      <c r="BD508" s="11"/>
      <c r="BR508" s="11"/>
      <c r="BY508" s="11"/>
      <c r="CF508" s="11"/>
      <c r="CM508" s="11"/>
      <c r="CT508" s="11"/>
      <c r="DA508" s="11"/>
      <c r="DH508" s="11"/>
      <c r="DO508" s="11"/>
    </row>
    <row r="509" ht="15.75" customHeight="1">
      <c r="C509" s="8"/>
      <c r="BD509" s="11"/>
      <c r="BR509" s="11"/>
      <c r="BY509" s="11"/>
      <c r="CF509" s="11"/>
      <c r="CM509" s="11"/>
      <c r="CT509" s="11"/>
      <c r="DA509" s="11"/>
      <c r="DH509" s="11"/>
      <c r="DO509" s="11"/>
    </row>
    <row r="510" ht="15.75" customHeight="1">
      <c r="C510" s="8"/>
      <c r="BD510" s="11"/>
      <c r="BR510" s="11"/>
      <c r="BY510" s="11"/>
      <c r="CF510" s="11"/>
      <c r="CM510" s="11"/>
      <c r="CT510" s="11"/>
      <c r="DA510" s="11"/>
      <c r="DH510" s="11"/>
      <c r="DO510" s="11"/>
    </row>
    <row r="511" ht="15.75" customHeight="1">
      <c r="C511" s="8"/>
      <c r="BD511" s="11"/>
      <c r="BR511" s="11"/>
      <c r="BY511" s="11"/>
      <c r="CF511" s="11"/>
      <c r="CM511" s="11"/>
      <c r="CT511" s="11"/>
      <c r="DA511" s="11"/>
      <c r="DH511" s="11"/>
      <c r="DO511" s="11"/>
    </row>
    <row r="512" ht="15.75" customHeight="1">
      <c r="C512" s="8"/>
      <c r="BD512" s="11"/>
      <c r="BR512" s="11"/>
      <c r="BY512" s="11"/>
      <c r="CF512" s="11"/>
      <c r="CM512" s="11"/>
      <c r="CT512" s="11"/>
      <c r="DA512" s="11"/>
      <c r="DH512" s="11"/>
      <c r="DO512" s="11"/>
    </row>
    <row r="513" ht="15.75" customHeight="1">
      <c r="C513" s="8"/>
      <c r="BD513" s="11"/>
      <c r="BR513" s="11"/>
      <c r="BY513" s="11"/>
      <c r="CF513" s="11"/>
      <c r="CM513" s="11"/>
      <c r="CT513" s="11"/>
      <c r="DA513" s="11"/>
      <c r="DH513" s="11"/>
      <c r="DO513" s="11"/>
    </row>
    <row r="514" ht="15.75" customHeight="1">
      <c r="C514" s="8"/>
      <c r="BD514" s="11"/>
      <c r="BR514" s="11"/>
      <c r="BY514" s="11"/>
      <c r="CF514" s="11"/>
      <c r="CM514" s="11"/>
      <c r="CT514" s="11"/>
      <c r="DA514" s="11"/>
      <c r="DH514" s="11"/>
      <c r="DO514" s="11"/>
    </row>
    <row r="515" ht="15.75" customHeight="1">
      <c r="C515" s="8"/>
      <c r="BD515" s="11"/>
      <c r="BR515" s="11"/>
      <c r="BY515" s="11"/>
      <c r="CF515" s="11"/>
      <c r="CM515" s="11"/>
      <c r="CT515" s="11"/>
      <c r="DA515" s="11"/>
      <c r="DH515" s="11"/>
      <c r="DO515" s="11"/>
    </row>
    <row r="516" ht="15.75" customHeight="1">
      <c r="C516" s="8"/>
      <c r="BD516" s="11"/>
      <c r="BR516" s="11"/>
      <c r="BY516" s="11"/>
      <c r="CF516" s="11"/>
      <c r="CM516" s="11"/>
      <c r="CT516" s="11"/>
      <c r="DA516" s="11"/>
      <c r="DH516" s="11"/>
      <c r="DO516" s="11"/>
    </row>
    <row r="517" ht="15.75" customHeight="1">
      <c r="C517" s="8"/>
      <c r="BD517" s="11"/>
      <c r="BR517" s="11"/>
      <c r="BY517" s="11"/>
      <c r="CF517" s="11"/>
      <c r="CM517" s="11"/>
      <c r="CT517" s="11"/>
      <c r="DA517" s="11"/>
      <c r="DH517" s="11"/>
      <c r="DO517" s="11"/>
    </row>
    <row r="518" ht="15.75" customHeight="1">
      <c r="C518" s="8"/>
      <c r="BD518" s="11"/>
      <c r="BR518" s="11"/>
      <c r="BY518" s="11"/>
      <c r="CF518" s="11"/>
      <c r="CM518" s="11"/>
      <c r="CT518" s="11"/>
      <c r="DA518" s="11"/>
      <c r="DH518" s="11"/>
      <c r="DO518" s="11"/>
    </row>
    <row r="519" ht="15.75" customHeight="1">
      <c r="C519" s="8"/>
      <c r="BD519" s="11"/>
      <c r="BR519" s="11"/>
      <c r="BY519" s="11"/>
      <c r="CF519" s="11"/>
      <c r="CM519" s="11"/>
      <c r="CT519" s="11"/>
      <c r="DA519" s="11"/>
      <c r="DH519" s="11"/>
      <c r="DO519" s="11"/>
    </row>
    <row r="520" ht="15.75" customHeight="1">
      <c r="C520" s="8"/>
      <c r="BD520" s="11"/>
      <c r="BR520" s="11"/>
      <c r="BY520" s="11"/>
      <c r="CF520" s="11"/>
      <c r="CM520" s="11"/>
      <c r="CT520" s="11"/>
      <c r="DA520" s="11"/>
      <c r="DH520" s="11"/>
      <c r="DO520" s="11"/>
    </row>
    <row r="521" ht="15.75" customHeight="1">
      <c r="C521" s="8"/>
      <c r="BD521" s="11"/>
      <c r="BR521" s="11"/>
      <c r="BY521" s="11"/>
      <c r="CF521" s="11"/>
      <c r="CM521" s="11"/>
      <c r="CT521" s="11"/>
      <c r="DA521" s="11"/>
      <c r="DH521" s="11"/>
      <c r="DO521" s="11"/>
    </row>
    <row r="522" ht="15.75" customHeight="1">
      <c r="C522" s="8"/>
      <c r="BD522" s="11"/>
      <c r="BR522" s="11"/>
      <c r="BY522" s="11"/>
      <c r="CF522" s="11"/>
      <c r="CM522" s="11"/>
      <c r="CT522" s="11"/>
      <c r="DA522" s="11"/>
      <c r="DH522" s="11"/>
      <c r="DO522" s="11"/>
    </row>
    <row r="523" ht="15.75" customHeight="1">
      <c r="C523" s="8"/>
      <c r="BD523" s="11"/>
      <c r="BR523" s="11"/>
      <c r="BY523" s="11"/>
      <c r="CF523" s="11"/>
      <c r="CM523" s="11"/>
      <c r="CT523" s="11"/>
      <c r="DA523" s="11"/>
      <c r="DH523" s="11"/>
      <c r="DO523" s="11"/>
    </row>
    <row r="524" ht="15.75" customHeight="1">
      <c r="C524" s="8"/>
      <c r="BD524" s="11"/>
      <c r="BR524" s="11"/>
      <c r="BY524" s="11"/>
      <c r="CF524" s="11"/>
      <c r="CM524" s="11"/>
      <c r="CT524" s="11"/>
      <c r="DA524" s="11"/>
      <c r="DH524" s="11"/>
      <c r="DO524" s="11"/>
    </row>
    <row r="525" ht="15.75" customHeight="1">
      <c r="C525" s="8"/>
      <c r="BD525" s="11"/>
      <c r="BR525" s="11"/>
      <c r="BY525" s="11"/>
      <c r="CF525" s="11"/>
      <c r="CM525" s="11"/>
      <c r="CT525" s="11"/>
      <c r="DA525" s="11"/>
      <c r="DH525" s="11"/>
      <c r="DO525" s="11"/>
    </row>
    <row r="526" ht="15.75" customHeight="1">
      <c r="C526" s="8"/>
      <c r="BD526" s="11"/>
      <c r="BR526" s="11"/>
      <c r="BY526" s="11"/>
      <c r="CF526" s="11"/>
      <c r="CM526" s="11"/>
      <c r="CT526" s="11"/>
      <c r="DA526" s="11"/>
      <c r="DH526" s="11"/>
      <c r="DO526" s="11"/>
    </row>
    <row r="527" ht="15.75" customHeight="1">
      <c r="C527" s="8"/>
      <c r="BD527" s="11"/>
      <c r="BR527" s="11"/>
      <c r="BY527" s="11"/>
      <c r="CF527" s="11"/>
      <c r="CM527" s="11"/>
      <c r="CT527" s="11"/>
      <c r="DA527" s="11"/>
      <c r="DH527" s="11"/>
      <c r="DO527" s="11"/>
    </row>
    <row r="528" ht="15.75" customHeight="1">
      <c r="C528" s="8"/>
      <c r="BD528" s="11"/>
      <c r="BR528" s="11"/>
      <c r="BY528" s="11"/>
      <c r="CF528" s="11"/>
      <c r="CM528" s="11"/>
      <c r="CT528" s="11"/>
      <c r="DA528" s="11"/>
      <c r="DH528" s="11"/>
      <c r="DO528" s="11"/>
    </row>
    <row r="529" ht="15.75" customHeight="1">
      <c r="C529" s="8"/>
      <c r="BD529" s="11"/>
      <c r="BR529" s="11"/>
      <c r="BY529" s="11"/>
      <c r="CF529" s="11"/>
      <c r="CM529" s="11"/>
      <c r="CT529" s="11"/>
      <c r="DA529" s="11"/>
      <c r="DH529" s="11"/>
      <c r="DO529" s="11"/>
    </row>
    <row r="530" ht="15.75" customHeight="1">
      <c r="C530" s="8"/>
      <c r="BD530" s="11"/>
      <c r="BR530" s="11"/>
      <c r="BY530" s="11"/>
      <c r="CF530" s="11"/>
      <c r="CM530" s="11"/>
      <c r="CT530" s="11"/>
      <c r="DA530" s="11"/>
      <c r="DH530" s="11"/>
      <c r="DO530" s="11"/>
    </row>
    <row r="531" ht="15.75" customHeight="1">
      <c r="C531" s="8"/>
      <c r="BD531" s="11"/>
      <c r="BR531" s="11"/>
      <c r="BY531" s="11"/>
      <c r="CF531" s="11"/>
      <c r="CM531" s="11"/>
      <c r="CT531" s="11"/>
      <c r="DA531" s="11"/>
      <c r="DH531" s="11"/>
      <c r="DO531" s="11"/>
    </row>
    <row r="532" ht="15.75" customHeight="1">
      <c r="C532" s="8"/>
      <c r="BD532" s="11"/>
      <c r="BR532" s="11"/>
      <c r="BY532" s="11"/>
      <c r="CF532" s="11"/>
      <c r="CM532" s="11"/>
      <c r="CT532" s="11"/>
      <c r="DA532" s="11"/>
      <c r="DH532" s="11"/>
      <c r="DO532" s="11"/>
    </row>
    <row r="533" ht="15.75" customHeight="1">
      <c r="C533" s="8"/>
      <c r="BD533" s="11"/>
      <c r="BR533" s="11"/>
      <c r="BY533" s="11"/>
      <c r="CF533" s="11"/>
      <c r="CM533" s="11"/>
      <c r="CT533" s="11"/>
      <c r="DA533" s="11"/>
      <c r="DH533" s="11"/>
      <c r="DO533" s="11"/>
    </row>
    <row r="534" ht="15.75" customHeight="1">
      <c r="C534" s="8"/>
      <c r="BD534" s="11"/>
      <c r="BR534" s="11"/>
      <c r="BY534" s="11"/>
      <c r="CF534" s="11"/>
      <c r="CM534" s="11"/>
      <c r="CT534" s="11"/>
      <c r="DA534" s="11"/>
      <c r="DH534" s="11"/>
      <c r="DO534" s="11"/>
    </row>
    <row r="535" ht="15.75" customHeight="1">
      <c r="C535" s="8"/>
      <c r="BD535" s="11"/>
      <c r="BR535" s="11"/>
      <c r="BY535" s="11"/>
      <c r="CF535" s="11"/>
      <c r="CM535" s="11"/>
      <c r="CT535" s="11"/>
      <c r="DA535" s="11"/>
      <c r="DH535" s="11"/>
      <c r="DO535" s="11"/>
    </row>
    <row r="536" ht="15.75" customHeight="1">
      <c r="C536" s="8"/>
      <c r="BD536" s="11"/>
      <c r="BR536" s="11"/>
      <c r="BY536" s="11"/>
      <c r="CF536" s="11"/>
      <c r="CM536" s="11"/>
      <c r="CT536" s="11"/>
      <c r="DA536" s="11"/>
      <c r="DH536" s="11"/>
      <c r="DO536" s="11"/>
    </row>
    <row r="537" ht="15.75" customHeight="1">
      <c r="C537" s="8"/>
      <c r="BD537" s="11"/>
      <c r="BR537" s="11"/>
      <c r="BY537" s="11"/>
      <c r="CF537" s="11"/>
      <c r="CM537" s="11"/>
      <c r="CT537" s="11"/>
      <c r="DA537" s="11"/>
      <c r="DH537" s="11"/>
      <c r="DO537" s="11"/>
    </row>
    <row r="538" ht="15.75" customHeight="1">
      <c r="C538" s="8"/>
      <c r="BD538" s="11"/>
      <c r="BR538" s="11"/>
      <c r="BY538" s="11"/>
      <c r="CF538" s="11"/>
      <c r="CM538" s="11"/>
      <c r="CT538" s="11"/>
      <c r="DA538" s="11"/>
      <c r="DH538" s="11"/>
      <c r="DO538" s="11"/>
    </row>
    <row r="539" ht="15.75" customHeight="1">
      <c r="C539" s="8"/>
      <c r="BD539" s="11"/>
      <c r="BR539" s="11"/>
      <c r="BY539" s="11"/>
      <c r="CF539" s="11"/>
      <c r="CM539" s="11"/>
      <c r="CT539" s="11"/>
      <c r="DA539" s="11"/>
      <c r="DH539" s="11"/>
      <c r="DO539" s="11"/>
    </row>
    <row r="540" ht="15.75" customHeight="1">
      <c r="C540" s="8"/>
      <c r="BD540" s="11"/>
      <c r="BR540" s="11"/>
      <c r="BY540" s="11"/>
      <c r="CF540" s="11"/>
      <c r="CM540" s="11"/>
      <c r="CT540" s="11"/>
      <c r="DA540" s="11"/>
      <c r="DH540" s="11"/>
      <c r="DO540" s="11"/>
    </row>
    <row r="541" ht="15.75" customHeight="1">
      <c r="C541" s="8"/>
      <c r="BD541" s="11"/>
      <c r="BR541" s="11"/>
      <c r="BY541" s="11"/>
      <c r="CF541" s="11"/>
      <c r="CM541" s="11"/>
      <c r="CT541" s="11"/>
      <c r="DA541" s="11"/>
      <c r="DH541" s="11"/>
      <c r="DO541" s="11"/>
    </row>
    <row r="542" ht="15.75" customHeight="1">
      <c r="C542" s="8"/>
      <c r="BD542" s="11"/>
      <c r="BR542" s="11"/>
      <c r="BY542" s="11"/>
      <c r="CF542" s="11"/>
      <c r="CM542" s="11"/>
      <c r="CT542" s="11"/>
      <c r="DA542" s="11"/>
      <c r="DH542" s="11"/>
      <c r="DO542" s="11"/>
    </row>
    <row r="543" ht="15.75" customHeight="1">
      <c r="C543" s="8"/>
      <c r="BD543" s="11"/>
      <c r="BR543" s="11"/>
      <c r="BY543" s="11"/>
      <c r="CF543" s="11"/>
      <c r="CM543" s="11"/>
      <c r="CT543" s="11"/>
      <c r="DA543" s="11"/>
      <c r="DH543" s="11"/>
      <c r="DO543" s="11"/>
    </row>
    <row r="544" ht="15.75" customHeight="1">
      <c r="C544" s="8"/>
      <c r="BD544" s="11"/>
      <c r="BR544" s="11"/>
      <c r="BY544" s="11"/>
      <c r="CF544" s="11"/>
      <c r="CM544" s="11"/>
      <c r="CT544" s="11"/>
      <c r="DA544" s="11"/>
      <c r="DH544" s="11"/>
      <c r="DO544" s="11"/>
    </row>
    <row r="545" ht="15.75" customHeight="1">
      <c r="C545" s="8"/>
      <c r="BD545" s="11"/>
      <c r="BR545" s="11"/>
      <c r="BY545" s="11"/>
      <c r="CF545" s="11"/>
      <c r="CM545" s="11"/>
      <c r="CT545" s="11"/>
      <c r="DA545" s="11"/>
      <c r="DH545" s="11"/>
      <c r="DO545" s="11"/>
    </row>
    <row r="546" ht="15.75" customHeight="1">
      <c r="C546" s="8"/>
      <c r="BD546" s="11"/>
      <c r="BR546" s="11"/>
      <c r="BY546" s="11"/>
      <c r="CF546" s="11"/>
      <c r="CM546" s="11"/>
      <c r="CT546" s="11"/>
      <c r="DA546" s="11"/>
      <c r="DH546" s="11"/>
      <c r="DO546" s="11"/>
    </row>
    <row r="547" ht="15.75" customHeight="1">
      <c r="C547" s="8"/>
      <c r="BD547" s="11"/>
      <c r="BR547" s="11"/>
      <c r="BY547" s="11"/>
      <c r="CF547" s="11"/>
      <c r="CM547" s="11"/>
      <c r="CT547" s="11"/>
      <c r="DA547" s="11"/>
      <c r="DH547" s="11"/>
      <c r="DO547" s="11"/>
    </row>
    <row r="548" ht="15.75" customHeight="1">
      <c r="C548" s="8"/>
      <c r="BD548" s="11"/>
      <c r="BR548" s="11"/>
      <c r="BY548" s="11"/>
      <c r="CF548" s="11"/>
      <c r="CM548" s="11"/>
      <c r="CT548" s="11"/>
      <c r="DA548" s="11"/>
      <c r="DH548" s="11"/>
      <c r="DO548" s="11"/>
    </row>
    <row r="549" ht="15.75" customHeight="1">
      <c r="C549" s="8"/>
      <c r="BD549" s="11"/>
      <c r="BR549" s="11"/>
      <c r="BY549" s="11"/>
      <c r="CF549" s="11"/>
      <c r="CM549" s="11"/>
      <c r="CT549" s="11"/>
      <c r="DA549" s="11"/>
      <c r="DH549" s="11"/>
      <c r="DO549" s="11"/>
    </row>
    <row r="550" ht="15.75" customHeight="1">
      <c r="C550" s="8"/>
      <c r="BD550" s="11"/>
      <c r="BR550" s="11"/>
      <c r="BY550" s="11"/>
      <c r="CF550" s="11"/>
      <c r="CM550" s="11"/>
      <c r="CT550" s="11"/>
      <c r="DA550" s="11"/>
      <c r="DH550" s="11"/>
      <c r="DO550" s="11"/>
    </row>
    <row r="551" ht="15.75" customHeight="1">
      <c r="C551" s="8"/>
      <c r="BD551" s="11"/>
      <c r="BR551" s="11"/>
      <c r="BY551" s="11"/>
      <c r="CF551" s="11"/>
      <c r="CM551" s="11"/>
      <c r="CT551" s="11"/>
      <c r="DA551" s="11"/>
      <c r="DH551" s="11"/>
      <c r="DO551" s="11"/>
    </row>
    <row r="552" ht="15.75" customHeight="1">
      <c r="C552" s="8"/>
      <c r="BD552" s="11"/>
      <c r="BR552" s="11"/>
      <c r="BY552" s="11"/>
      <c r="CF552" s="11"/>
      <c r="CM552" s="11"/>
      <c r="CT552" s="11"/>
      <c r="DA552" s="11"/>
      <c r="DH552" s="11"/>
      <c r="DO552" s="11"/>
    </row>
    <row r="553" ht="15.75" customHeight="1">
      <c r="C553" s="8"/>
      <c r="BD553" s="11"/>
      <c r="BR553" s="11"/>
      <c r="BY553" s="11"/>
      <c r="CF553" s="11"/>
      <c r="CM553" s="11"/>
      <c r="CT553" s="11"/>
      <c r="DA553" s="11"/>
      <c r="DH553" s="11"/>
      <c r="DO553" s="11"/>
    </row>
    <row r="554" ht="15.75" customHeight="1">
      <c r="C554" s="8"/>
      <c r="BD554" s="11"/>
      <c r="BR554" s="11"/>
      <c r="BY554" s="11"/>
      <c r="CF554" s="11"/>
      <c r="CM554" s="11"/>
      <c r="CT554" s="11"/>
      <c r="DA554" s="11"/>
      <c r="DH554" s="11"/>
      <c r="DO554" s="11"/>
    </row>
    <row r="555" ht="15.75" customHeight="1">
      <c r="C555" s="8"/>
      <c r="BD555" s="11"/>
      <c r="BR555" s="11"/>
      <c r="BY555" s="11"/>
      <c r="CF555" s="11"/>
      <c r="CM555" s="11"/>
      <c r="CT555" s="11"/>
      <c r="DA555" s="11"/>
      <c r="DH555" s="11"/>
      <c r="DO555" s="11"/>
    </row>
    <row r="556" ht="15.75" customHeight="1">
      <c r="C556" s="8"/>
      <c r="BD556" s="11"/>
      <c r="BR556" s="11"/>
      <c r="BY556" s="11"/>
      <c r="CF556" s="11"/>
      <c r="CM556" s="11"/>
      <c r="CT556" s="11"/>
      <c r="DA556" s="11"/>
      <c r="DH556" s="11"/>
      <c r="DO556" s="11"/>
    </row>
    <row r="557" ht="15.75" customHeight="1">
      <c r="C557" s="8"/>
      <c r="BD557" s="11"/>
      <c r="BR557" s="11"/>
      <c r="BY557" s="11"/>
      <c r="CF557" s="11"/>
      <c r="CM557" s="11"/>
      <c r="CT557" s="11"/>
      <c r="DA557" s="11"/>
      <c r="DH557" s="11"/>
      <c r="DO557" s="11"/>
    </row>
    <row r="558" ht="15.75" customHeight="1">
      <c r="C558" s="8"/>
      <c r="BD558" s="11"/>
      <c r="BR558" s="11"/>
      <c r="BY558" s="11"/>
      <c r="CF558" s="11"/>
      <c r="CM558" s="11"/>
      <c r="CT558" s="11"/>
      <c r="DA558" s="11"/>
      <c r="DH558" s="11"/>
      <c r="DO558" s="11"/>
    </row>
    <row r="559" ht="15.75" customHeight="1">
      <c r="C559" s="8"/>
      <c r="BD559" s="11"/>
      <c r="BR559" s="11"/>
      <c r="BY559" s="11"/>
      <c r="CF559" s="11"/>
      <c r="CM559" s="11"/>
      <c r="CT559" s="11"/>
      <c r="DA559" s="11"/>
      <c r="DH559" s="11"/>
      <c r="DO559" s="11"/>
    </row>
    <row r="560" ht="15.75" customHeight="1">
      <c r="C560" s="8"/>
      <c r="BD560" s="11"/>
      <c r="BR560" s="11"/>
      <c r="BY560" s="11"/>
      <c r="CF560" s="11"/>
      <c r="CM560" s="11"/>
      <c r="CT560" s="11"/>
      <c r="DA560" s="11"/>
      <c r="DH560" s="11"/>
      <c r="DO560" s="11"/>
    </row>
    <row r="561" ht="15.75" customHeight="1">
      <c r="C561" s="8"/>
      <c r="BD561" s="11"/>
      <c r="BR561" s="11"/>
      <c r="BY561" s="11"/>
      <c r="CF561" s="11"/>
      <c r="CM561" s="11"/>
      <c r="CT561" s="11"/>
      <c r="DA561" s="11"/>
      <c r="DH561" s="11"/>
      <c r="DO561" s="11"/>
    </row>
    <row r="562" ht="15.75" customHeight="1">
      <c r="C562" s="8"/>
      <c r="BD562" s="11"/>
      <c r="BR562" s="11"/>
      <c r="BY562" s="11"/>
      <c r="CF562" s="11"/>
      <c r="CM562" s="11"/>
      <c r="CT562" s="11"/>
      <c r="DA562" s="11"/>
      <c r="DH562" s="11"/>
      <c r="DO562" s="11"/>
    </row>
    <row r="563" ht="15.75" customHeight="1">
      <c r="C563" s="8"/>
      <c r="BD563" s="11"/>
      <c r="BR563" s="11"/>
      <c r="BY563" s="11"/>
      <c r="CF563" s="11"/>
      <c r="CM563" s="11"/>
      <c r="CT563" s="11"/>
      <c r="DA563" s="11"/>
      <c r="DH563" s="11"/>
      <c r="DO563" s="11"/>
    </row>
    <row r="564" ht="15.75" customHeight="1">
      <c r="C564" s="8"/>
      <c r="BD564" s="11"/>
      <c r="BR564" s="11"/>
      <c r="BY564" s="11"/>
      <c r="CF564" s="11"/>
      <c r="CM564" s="11"/>
      <c r="CT564" s="11"/>
      <c r="DA564" s="11"/>
      <c r="DH564" s="11"/>
      <c r="DO564" s="11"/>
    </row>
    <row r="565" ht="15.75" customHeight="1">
      <c r="C565" s="8"/>
      <c r="BD565" s="11"/>
      <c r="BR565" s="11"/>
      <c r="BY565" s="11"/>
      <c r="CF565" s="11"/>
      <c r="CM565" s="11"/>
      <c r="CT565" s="11"/>
      <c r="DA565" s="11"/>
      <c r="DH565" s="11"/>
      <c r="DO565" s="11"/>
    </row>
    <row r="566" ht="15.75" customHeight="1">
      <c r="C566" s="8"/>
      <c r="BD566" s="11"/>
      <c r="BR566" s="11"/>
      <c r="BY566" s="11"/>
      <c r="CF566" s="11"/>
      <c r="CM566" s="11"/>
      <c r="CT566" s="11"/>
      <c r="DA566" s="11"/>
      <c r="DH566" s="11"/>
      <c r="DO566" s="11"/>
    </row>
    <row r="567" ht="15.75" customHeight="1">
      <c r="C567" s="8"/>
      <c r="BD567" s="11"/>
      <c r="BR567" s="11"/>
      <c r="BY567" s="11"/>
      <c r="CF567" s="11"/>
      <c r="CM567" s="11"/>
      <c r="CT567" s="11"/>
      <c r="DA567" s="11"/>
      <c r="DH567" s="11"/>
      <c r="DO567" s="11"/>
    </row>
    <row r="568" ht="15.75" customHeight="1">
      <c r="C568" s="8"/>
      <c r="BD568" s="11"/>
      <c r="BR568" s="11"/>
      <c r="BY568" s="11"/>
      <c r="CF568" s="11"/>
      <c r="CM568" s="11"/>
      <c r="CT568" s="11"/>
      <c r="DA568" s="11"/>
      <c r="DH568" s="11"/>
      <c r="DO568" s="11"/>
    </row>
    <row r="569" ht="15.75" customHeight="1">
      <c r="C569" s="8"/>
      <c r="BD569" s="11"/>
      <c r="BR569" s="11"/>
      <c r="BY569" s="11"/>
      <c r="CF569" s="11"/>
      <c r="CM569" s="11"/>
      <c r="CT569" s="11"/>
      <c r="DA569" s="11"/>
      <c r="DH569" s="11"/>
      <c r="DO569" s="11"/>
    </row>
    <row r="570" ht="15.75" customHeight="1">
      <c r="C570" s="8"/>
      <c r="BD570" s="11"/>
      <c r="BR570" s="11"/>
      <c r="BY570" s="11"/>
      <c r="CF570" s="11"/>
      <c r="CM570" s="11"/>
      <c r="CT570" s="11"/>
      <c r="DA570" s="11"/>
      <c r="DH570" s="11"/>
      <c r="DO570" s="11"/>
    </row>
    <row r="571" ht="15.75" customHeight="1">
      <c r="C571" s="8"/>
      <c r="BD571" s="11"/>
      <c r="BR571" s="11"/>
      <c r="BY571" s="11"/>
      <c r="CF571" s="11"/>
      <c r="CM571" s="11"/>
      <c r="CT571" s="11"/>
      <c r="DA571" s="11"/>
      <c r="DH571" s="11"/>
      <c r="DO571" s="11"/>
    </row>
    <row r="572" ht="15.75" customHeight="1">
      <c r="C572" s="8"/>
      <c r="BD572" s="11"/>
      <c r="BR572" s="11"/>
      <c r="BY572" s="11"/>
      <c r="CF572" s="11"/>
      <c r="CM572" s="11"/>
      <c r="CT572" s="11"/>
      <c r="DA572" s="11"/>
      <c r="DH572" s="11"/>
      <c r="DO572" s="11"/>
    </row>
    <row r="573" ht="15.75" customHeight="1">
      <c r="C573" s="8"/>
      <c r="BD573" s="11"/>
      <c r="BR573" s="11"/>
      <c r="BY573" s="11"/>
      <c r="CF573" s="11"/>
      <c r="CM573" s="11"/>
      <c r="CT573" s="11"/>
      <c r="DA573" s="11"/>
      <c r="DH573" s="11"/>
      <c r="DO573" s="11"/>
    </row>
    <row r="574" ht="15.75" customHeight="1">
      <c r="C574" s="8"/>
      <c r="BD574" s="11"/>
      <c r="BR574" s="11"/>
      <c r="BY574" s="11"/>
      <c r="CF574" s="11"/>
      <c r="CM574" s="11"/>
      <c r="CT574" s="11"/>
      <c r="DA574" s="11"/>
      <c r="DH574" s="11"/>
      <c r="DO574" s="11"/>
    </row>
    <row r="575" ht="15.75" customHeight="1">
      <c r="C575" s="8"/>
      <c r="BD575" s="11"/>
      <c r="BR575" s="11"/>
      <c r="BY575" s="11"/>
      <c r="CF575" s="11"/>
      <c r="CM575" s="11"/>
      <c r="CT575" s="11"/>
      <c r="DA575" s="11"/>
      <c r="DH575" s="11"/>
      <c r="DO575" s="11"/>
    </row>
    <row r="576" ht="15.75" customHeight="1">
      <c r="C576" s="8"/>
      <c r="BD576" s="11"/>
      <c r="BR576" s="11"/>
      <c r="BY576" s="11"/>
      <c r="CF576" s="11"/>
      <c r="CM576" s="11"/>
      <c r="CT576" s="11"/>
      <c r="DA576" s="11"/>
      <c r="DH576" s="11"/>
      <c r="DO576" s="11"/>
    </row>
    <row r="577" ht="15.75" customHeight="1">
      <c r="C577" s="8"/>
      <c r="BD577" s="11"/>
      <c r="BR577" s="11"/>
      <c r="BY577" s="11"/>
      <c r="CF577" s="11"/>
      <c r="CM577" s="11"/>
      <c r="CT577" s="11"/>
      <c r="DA577" s="11"/>
      <c r="DH577" s="11"/>
      <c r="DO577" s="11"/>
    </row>
    <row r="578" ht="15.75" customHeight="1">
      <c r="C578" s="8"/>
      <c r="BD578" s="11"/>
      <c r="BR578" s="11"/>
      <c r="BY578" s="11"/>
      <c r="CF578" s="11"/>
      <c r="CM578" s="11"/>
      <c r="CT578" s="11"/>
      <c r="DA578" s="11"/>
      <c r="DH578" s="11"/>
      <c r="DO578" s="11"/>
    </row>
    <row r="579" ht="15.75" customHeight="1">
      <c r="C579" s="8"/>
      <c r="BD579" s="11"/>
      <c r="BR579" s="11"/>
      <c r="BY579" s="11"/>
      <c r="CF579" s="11"/>
      <c r="CM579" s="11"/>
      <c r="CT579" s="11"/>
      <c r="DA579" s="11"/>
      <c r="DH579" s="11"/>
      <c r="DO579" s="11"/>
    </row>
    <row r="580" ht="15.75" customHeight="1">
      <c r="C580" s="8"/>
      <c r="BD580" s="11"/>
      <c r="BR580" s="11"/>
      <c r="BY580" s="11"/>
      <c r="CF580" s="11"/>
      <c r="CM580" s="11"/>
      <c r="CT580" s="11"/>
      <c r="DA580" s="11"/>
      <c r="DH580" s="11"/>
      <c r="DO580" s="11"/>
    </row>
    <row r="581" ht="15.75" customHeight="1">
      <c r="C581" s="8"/>
      <c r="BD581" s="11"/>
      <c r="BR581" s="11"/>
      <c r="BY581" s="11"/>
      <c r="CF581" s="11"/>
      <c r="CM581" s="11"/>
      <c r="CT581" s="11"/>
      <c r="DA581" s="11"/>
      <c r="DH581" s="11"/>
      <c r="DO581" s="11"/>
    </row>
    <row r="582" ht="15.75" customHeight="1">
      <c r="C582" s="8"/>
      <c r="BD582" s="11"/>
      <c r="BR582" s="11"/>
      <c r="BY582" s="11"/>
      <c r="CF582" s="11"/>
      <c r="CM582" s="11"/>
      <c r="CT582" s="11"/>
      <c r="DA582" s="11"/>
      <c r="DH582" s="11"/>
      <c r="DO582" s="11"/>
    </row>
    <row r="583" ht="15.75" customHeight="1">
      <c r="C583" s="8"/>
      <c r="BD583" s="11"/>
      <c r="BR583" s="11"/>
      <c r="BY583" s="11"/>
      <c r="CF583" s="11"/>
      <c r="CM583" s="11"/>
      <c r="CT583" s="11"/>
      <c r="DA583" s="11"/>
      <c r="DH583" s="11"/>
      <c r="DO583" s="11"/>
    </row>
    <row r="584" ht="15.75" customHeight="1">
      <c r="C584" s="8"/>
      <c r="BD584" s="11"/>
      <c r="BR584" s="11"/>
      <c r="BY584" s="11"/>
      <c r="CF584" s="11"/>
      <c r="CM584" s="11"/>
      <c r="CT584" s="11"/>
      <c r="DA584" s="11"/>
      <c r="DH584" s="11"/>
      <c r="DO584" s="11"/>
    </row>
    <row r="585" ht="15.75" customHeight="1">
      <c r="C585" s="8"/>
      <c r="BD585" s="11"/>
      <c r="BR585" s="11"/>
      <c r="BY585" s="11"/>
      <c r="CF585" s="11"/>
      <c r="CM585" s="11"/>
      <c r="CT585" s="11"/>
      <c r="DA585" s="11"/>
      <c r="DH585" s="11"/>
      <c r="DO585" s="11"/>
    </row>
    <row r="586" ht="15.75" customHeight="1">
      <c r="C586" s="8"/>
      <c r="BD586" s="11"/>
      <c r="BR586" s="11"/>
      <c r="BY586" s="11"/>
      <c r="CF586" s="11"/>
      <c r="CM586" s="11"/>
      <c r="CT586" s="11"/>
      <c r="DA586" s="11"/>
      <c r="DH586" s="11"/>
      <c r="DO586" s="11"/>
    </row>
    <row r="587" ht="15.75" customHeight="1">
      <c r="C587" s="8"/>
      <c r="BD587" s="11"/>
      <c r="BR587" s="11"/>
      <c r="BY587" s="11"/>
      <c r="CF587" s="11"/>
      <c r="CM587" s="11"/>
      <c r="CT587" s="11"/>
      <c r="DA587" s="11"/>
      <c r="DH587" s="11"/>
      <c r="DO587" s="11"/>
    </row>
    <row r="588" ht="15.75" customHeight="1">
      <c r="C588" s="8"/>
      <c r="BD588" s="11"/>
      <c r="BR588" s="11"/>
      <c r="BY588" s="11"/>
      <c r="CF588" s="11"/>
      <c r="CM588" s="11"/>
      <c r="CT588" s="11"/>
      <c r="DA588" s="11"/>
      <c r="DH588" s="11"/>
      <c r="DO588" s="11"/>
    </row>
    <row r="589" ht="15.75" customHeight="1">
      <c r="C589" s="8"/>
      <c r="BD589" s="11"/>
      <c r="BR589" s="11"/>
      <c r="BY589" s="11"/>
      <c r="CF589" s="11"/>
      <c r="CM589" s="11"/>
      <c r="CT589" s="11"/>
      <c r="DA589" s="11"/>
      <c r="DH589" s="11"/>
      <c r="DO589" s="11"/>
    </row>
    <row r="590" ht="15.75" customHeight="1">
      <c r="C590" s="8"/>
      <c r="BD590" s="11"/>
      <c r="BR590" s="11"/>
      <c r="BY590" s="11"/>
      <c r="CF590" s="11"/>
      <c r="CM590" s="11"/>
      <c r="CT590" s="11"/>
      <c r="DA590" s="11"/>
      <c r="DH590" s="11"/>
      <c r="DO590" s="11"/>
    </row>
    <row r="591" ht="15.75" customHeight="1">
      <c r="C591" s="8"/>
      <c r="BD591" s="11"/>
      <c r="BR591" s="11"/>
      <c r="BY591" s="11"/>
      <c r="CF591" s="11"/>
      <c r="CM591" s="11"/>
      <c r="CT591" s="11"/>
      <c r="DA591" s="11"/>
      <c r="DH591" s="11"/>
      <c r="DO591" s="11"/>
    </row>
    <row r="592" ht="15.75" customHeight="1">
      <c r="C592" s="8"/>
      <c r="BD592" s="11"/>
      <c r="BR592" s="11"/>
      <c r="BY592" s="11"/>
      <c r="CF592" s="11"/>
      <c r="CM592" s="11"/>
      <c r="CT592" s="11"/>
      <c r="DA592" s="11"/>
      <c r="DH592" s="11"/>
      <c r="DO592" s="11"/>
    </row>
    <row r="593" ht="15.75" customHeight="1">
      <c r="C593" s="8"/>
      <c r="BD593" s="11"/>
      <c r="BR593" s="11"/>
      <c r="BY593" s="11"/>
      <c r="CF593" s="11"/>
      <c r="CM593" s="11"/>
      <c r="CT593" s="11"/>
      <c r="DA593" s="11"/>
      <c r="DH593" s="11"/>
      <c r="DO593" s="11"/>
    </row>
    <row r="594" ht="15.75" customHeight="1">
      <c r="C594" s="8"/>
      <c r="BD594" s="11"/>
      <c r="BR594" s="11"/>
      <c r="BY594" s="11"/>
      <c r="CF594" s="11"/>
      <c r="CM594" s="11"/>
      <c r="CT594" s="11"/>
      <c r="DA594" s="11"/>
      <c r="DH594" s="11"/>
      <c r="DO594" s="11"/>
    </row>
    <row r="595" ht="15.75" customHeight="1">
      <c r="C595" s="8"/>
      <c r="BD595" s="11"/>
      <c r="BR595" s="11"/>
      <c r="BY595" s="11"/>
      <c r="CF595" s="11"/>
      <c r="CM595" s="11"/>
      <c r="CT595" s="11"/>
      <c r="DA595" s="11"/>
      <c r="DH595" s="11"/>
      <c r="DO595" s="11"/>
    </row>
    <row r="596" ht="15.75" customHeight="1">
      <c r="C596" s="8"/>
      <c r="BD596" s="11"/>
      <c r="BR596" s="11"/>
      <c r="BY596" s="11"/>
      <c r="CF596" s="11"/>
      <c r="CM596" s="11"/>
      <c r="CT596" s="11"/>
      <c r="DA596" s="11"/>
      <c r="DH596" s="11"/>
      <c r="DO596" s="11"/>
    </row>
    <row r="597" ht="15.75" customHeight="1">
      <c r="C597" s="8"/>
      <c r="BD597" s="11"/>
      <c r="BR597" s="11"/>
      <c r="BY597" s="11"/>
      <c r="CF597" s="11"/>
      <c r="CM597" s="11"/>
      <c r="CT597" s="11"/>
      <c r="DA597" s="11"/>
      <c r="DH597" s="11"/>
      <c r="DO597" s="11"/>
    </row>
    <row r="598" ht="15.75" customHeight="1">
      <c r="C598" s="8"/>
      <c r="BD598" s="11"/>
      <c r="BR598" s="11"/>
      <c r="BY598" s="11"/>
      <c r="CF598" s="11"/>
      <c r="CM598" s="11"/>
      <c r="CT598" s="11"/>
      <c r="DA598" s="11"/>
      <c r="DH598" s="11"/>
      <c r="DO598" s="11"/>
    </row>
    <row r="599" ht="15.75" customHeight="1">
      <c r="C599" s="8"/>
      <c r="BD599" s="11"/>
      <c r="BR599" s="11"/>
      <c r="BY599" s="11"/>
      <c r="CF599" s="11"/>
      <c r="CM599" s="11"/>
      <c r="CT599" s="11"/>
      <c r="DA599" s="11"/>
      <c r="DH599" s="11"/>
      <c r="DO599" s="11"/>
    </row>
    <row r="600" ht="15.75" customHeight="1">
      <c r="C600" s="8"/>
      <c r="BD600" s="11"/>
      <c r="BR600" s="11"/>
      <c r="BY600" s="11"/>
      <c r="CF600" s="11"/>
      <c r="CM600" s="11"/>
      <c r="CT600" s="11"/>
      <c r="DA600" s="11"/>
      <c r="DH600" s="11"/>
      <c r="DO600" s="11"/>
    </row>
    <row r="601" ht="15.75" customHeight="1">
      <c r="C601" s="8"/>
      <c r="BD601" s="11"/>
      <c r="BR601" s="11"/>
      <c r="BY601" s="11"/>
      <c r="CF601" s="11"/>
      <c r="CM601" s="11"/>
      <c r="CT601" s="11"/>
      <c r="DA601" s="11"/>
      <c r="DH601" s="11"/>
      <c r="DO601" s="11"/>
    </row>
    <row r="602" ht="15.75" customHeight="1">
      <c r="C602" s="8"/>
      <c r="BD602" s="11"/>
      <c r="BR602" s="11"/>
      <c r="BY602" s="11"/>
      <c r="CF602" s="11"/>
      <c r="CM602" s="11"/>
      <c r="CT602" s="11"/>
      <c r="DA602" s="11"/>
      <c r="DH602" s="11"/>
      <c r="DO602" s="11"/>
    </row>
    <row r="603" ht="15.75" customHeight="1">
      <c r="C603" s="8"/>
      <c r="BD603" s="11"/>
      <c r="BR603" s="11"/>
      <c r="BY603" s="11"/>
      <c r="CF603" s="11"/>
      <c r="CM603" s="11"/>
      <c r="CT603" s="11"/>
      <c r="DA603" s="11"/>
      <c r="DH603" s="11"/>
      <c r="DO603" s="11"/>
    </row>
    <row r="604" ht="15.75" customHeight="1">
      <c r="C604" s="8"/>
      <c r="BD604" s="11"/>
      <c r="BR604" s="11"/>
      <c r="BY604" s="11"/>
      <c r="CF604" s="11"/>
      <c r="CM604" s="11"/>
      <c r="CT604" s="11"/>
      <c r="DA604" s="11"/>
      <c r="DH604" s="11"/>
      <c r="DO604" s="11"/>
    </row>
    <row r="605" ht="15.75" customHeight="1">
      <c r="C605" s="8"/>
      <c r="BD605" s="11"/>
      <c r="BR605" s="11"/>
      <c r="BY605" s="11"/>
      <c r="CF605" s="11"/>
      <c r="CM605" s="11"/>
      <c r="CT605" s="11"/>
      <c r="DA605" s="11"/>
      <c r="DH605" s="11"/>
      <c r="DO605" s="11"/>
    </row>
    <row r="606" ht="15.75" customHeight="1">
      <c r="C606" s="8"/>
      <c r="BD606" s="11"/>
      <c r="BR606" s="11"/>
      <c r="BY606" s="11"/>
      <c r="CF606" s="11"/>
      <c r="CM606" s="11"/>
      <c r="CT606" s="11"/>
      <c r="DA606" s="11"/>
      <c r="DH606" s="11"/>
      <c r="DO606" s="11"/>
    </row>
    <row r="607" ht="15.75" customHeight="1">
      <c r="C607" s="8"/>
      <c r="BD607" s="11"/>
      <c r="BR607" s="11"/>
      <c r="BY607" s="11"/>
      <c r="CF607" s="11"/>
      <c r="CM607" s="11"/>
      <c r="CT607" s="11"/>
      <c r="DA607" s="11"/>
      <c r="DH607" s="11"/>
      <c r="DO607" s="11"/>
    </row>
    <row r="608" ht="15.75" customHeight="1">
      <c r="C608" s="8"/>
      <c r="BD608" s="11"/>
      <c r="BR608" s="11"/>
      <c r="BY608" s="11"/>
      <c r="CF608" s="11"/>
      <c r="CM608" s="11"/>
      <c r="CT608" s="11"/>
      <c r="DA608" s="11"/>
      <c r="DH608" s="11"/>
      <c r="DO608" s="11"/>
    </row>
    <row r="609" ht="15.75" customHeight="1">
      <c r="C609" s="8"/>
      <c r="BD609" s="11"/>
      <c r="BR609" s="11"/>
      <c r="BY609" s="11"/>
      <c r="CF609" s="11"/>
      <c r="CM609" s="11"/>
      <c r="CT609" s="11"/>
      <c r="DA609" s="11"/>
      <c r="DH609" s="11"/>
      <c r="DO609" s="11"/>
    </row>
    <row r="610" ht="15.75" customHeight="1">
      <c r="C610" s="8"/>
      <c r="BD610" s="11"/>
      <c r="BR610" s="11"/>
      <c r="BY610" s="11"/>
      <c r="CF610" s="11"/>
      <c r="CM610" s="11"/>
      <c r="CT610" s="11"/>
      <c r="DA610" s="11"/>
      <c r="DH610" s="11"/>
      <c r="DO610" s="11"/>
    </row>
    <row r="611" ht="15.75" customHeight="1">
      <c r="C611" s="8"/>
      <c r="BD611" s="11"/>
      <c r="BR611" s="11"/>
      <c r="BY611" s="11"/>
      <c r="CF611" s="11"/>
      <c r="CM611" s="11"/>
      <c r="CT611" s="11"/>
      <c r="DA611" s="11"/>
      <c r="DH611" s="11"/>
      <c r="DO611" s="11"/>
    </row>
    <row r="612" ht="15.75" customHeight="1">
      <c r="C612" s="8"/>
      <c r="BD612" s="11"/>
      <c r="BR612" s="11"/>
      <c r="BY612" s="11"/>
      <c r="CF612" s="11"/>
      <c r="CM612" s="11"/>
      <c r="CT612" s="11"/>
      <c r="DA612" s="11"/>
      <c r="DH612" s="11"/>
      <c r="DO612" s="11"/>
    </row>
    <row r="613" ht="15.75" customHeight="1">
      <c r="C613" s="8"/>
      <c r="BD613" s="11"/>
      <c r="BR613" s="11"/>
      <c r="BY613" s="11"/>
      <c r="CF613" s="11"/>
      <c r="CM613" s="11"/>
      <c r="CT613" s="11"/>
      <c r="DA613" s="11"/>
      <c r="DH613" s="11"/>
      <c r="DO613" s="11"/>
    </row>
    <row r="614" ht="15.75" customHeight="1">
      <c r="C614" s="8"/>
      <c r="BD614" s="11"/>
      <c r="BR614" s="11"/>
      <c r="BY614" s="11"/>
      <c r="CF614" s="11"/>
      <c r="CM614" s="11"/>
      <c r="CT614" s="11"/>
      <c r="DA614" s="11"/>
      <c r="DH614" s="11"/>
      <c r="DO614" s="11"/>
    </row>
    <row r="615" ht="15.75" customHeight="1">
      <c r="C615" s="8"/>
      <c r="BD615" s="11"/>
      <c r="BR615" s="11"/>
      <c r="BY615" s="11"/>
      <c r="CF615" s="11"/>
      <c r="CM615" s="11"/>
      <c r="CT615" s="11"/>
      <c r="DA615" s="11"/>
      <c r="DH615" s="11"/>
      <c r="DO615" s="11"/>
    </row>
    <row r="616" ht="15.75" customHeight="1">
      <c r="C616" s="8"/>
      <c r="BD616" s="11"/>
      <c r="BR616" s="11"/>
      <c r="BY616" s="11"/>
      <c r="CF616" s="11"/>
      <c r="CM616" s="11"/>
      <c r="CT616" s="11"/>
      <c r="DA616" s="11"/>
      <c r="DH616" s="11"/>
      <c r="DO616" s="11"/>
    </row>
    <row r="617" ht="15.75" customHeight="1">
      <c r="C617" s="8"/>
      <c r="BD617" s="11"/>
      <c r="BR617" s="11"/>
      <c r="BY617" s="11"/>
      <c r="CF617" s="11"/>
      <c r="CM617" s="11"/>
      <c r="CT617" s="11"/>
      <c r="DA617" s="11"/>
      <c r="DH617" s="11"/>
      <c r="DO617" s="11"/>
    </row>
    <row r="618" ht="15.75" customHeight="1">
      <c r="C618" s="8"/>
      <c r="BD618" s="11"/>
      <c r="BR618" s="11"/>
      <c r="BY618" s="11"/>
      <c r="CF618" s="11"/>
      <c r="CM618" s="11"/>
      <c r="CT618" s="11"/>
      <c r="DA618" s="11"/>
      <c r="DH618" s="11"/>
      <c r="DO618" s="11"/>
    </row>
    <row r="619" ht="15.75" customHeight="1">
      <c r="C619" s="8"/>
      <c r="BD619" s="11"/>
      <c r="BR619" s="11"/>
      <c r="BY619" s="11"/>
      <c r="CF619" s="11"/>
      <c r="CM619" s="11"/>
      <c r="CT619" s="11"/>
      <c r="DA619" s="11"/>
      <c r="DH619" s="11"/>
      <c r="DO619" s="11"/>
    </row>
    <row r="620" ht="15.75" customHeight="1">
      <c r="C620" s="8"/>
      <c r="BD620" s="11"/>
      <c r="BR620" s="11"/>
      <c r="BY620" s="11"/>
      <c r="CF620" s="11"/>
      <c r="CM620" s="11"/>
      <c r="CT620" s="11"/>
      <c r="DA620" s="11"/>
      <c r="DH620" s="11"/>
      <c r="DO620" s="11"/>
    </row>
    <row r="621" ht="15.75" customHeight="1">
      <c r="C621" s="8"/>
      <c r="BD621" s="11"/>
      <c r="BR621" s="11"/>
      <c r="BY621" s="11"/>
      <c r="CF621" s="11"/>
      <c r="CM621" s="11"/>
      <c r="CT621" s="11"/>
      <c r="DA621" s="11"/>
      <c r="DH621" s="11"/>
      <c r="DO621" s="11"/>
    </row>
    <row r="622" ht="15.75" customHeight="1">
      <c r="C622" s="8"/>
      <c r="BD622" s="11"/>
      <c r="BR622" s="11"/>
      <c r="BY622" s="11"/>
      <c r="CF622" s="11"/>
      <c r="CM622" s="11"/>
      <c r="CT622" s="11"/>
      <c r="DA622" s="11"/>
      <c r="DH622" s="11"/>
      <c r="DO622" s="11"/>
    </row>
    <row r="623" ht="15.75" customHeight="1">
      <c r="C623" s="8"/>
      <c r="BD623" s="11"/>
      <c r="BR623" s="11"/>
      <c r="BY623" s="11"/>
      <c r="CF623" s="11"/>
      <c r="CM623" s="11"/>
      <c r="CT623" s="11"/>
      <c r="DA623" s="11"/>
      <c r="DH623" s="11"/>
      <c r="DO623" s="11"/>
    </row>
    <row r="624" ht="15.75" customHeight="1">
      <c r="C624" s="8"/>
      <c r="BD624" s="11"/>
      <c r="BR624" s="11"/>
      <c r="BY624" s="11"/>
      <c r="CF624" s="11"/>
      <c r="CM624" s="11"/>
      <c r="CT624" s="11"/>
      <c r="DA624" s="11"/>
      <c r="DH624" s="11"/>
      <c r="DO624" s="11"/>
    </row>
    <row r="625" ht="15.75" customHeight="1">
      <c r="C625" s="8"/>
      <c r="BD625" s="11"/>
      <c r="BR625" s="11"/>
      <c r="BY625" s="11"/>
      <c r="CF625" s="11"/>
      <c r="CM625" s="11"/>
      <c r="CT625" s="11"/>
      <c r="DA625" s="11"/>
      <c r="DH625" s="11"/>
      <c r="DO625" s="11"/>
    </row>
    <row r="626" ht="15.75" customHeight="1">
      <c r="C626" s="8"/>
      <c r="BD626" s="11"/>
      <c r="BR626" s="11"/>
      <c r="BY626" s="11"/>
      <c r="CF626" s="11"/>
      <c r="CM626" s="11"/>
      <c r="CT626" s="11"/>
      <c r="DA626" s="11"/>
      <c r="DH626" s="11"/>
      <c r="DO626" s="11"/>
    </row>
    <row r="627" ht="15.75" customHeight="1">
      <c r="C627" s="8"/>
      <c r="BD627" s="11"/>
      <c r="BR627" s="11"/>
      <c r="BY627" s="11"/>
      <c r="CF627" s="11"/>
      <c r="CM627" s="11"/>
      <c r="CT627" s="11"/>
      <c r="DA627" s="11"/>
      <c r="DH627" s="11"/>
      <c r="DO627" s="11"/>
    </row>
    <row r="628" ht="15.75" customHeight="1">
      <c r="C628" s="8"/>
      <c r="BD628" s="11"/>
      <c r="BR628" s="11"/>
      <c r="BY628" s="11"/>
      <c r="CF628" s="11"/>
      <c r="CM628" s="11"/>
      <c r="CT628" s="11"/>
      <c r="DA628" s="11"/>
      <c r="DH628" s="11"/>
      <c r="DO628" s="11"/>
    </row>
    <row r="629" ht="15.75" customHeight="1">
      <c r="C629" s="8"/>
      <c r="BD629" s="11"/>
      <c r="BR629" s="11"/>
      <c r="BY629" s="11"/>
      <c r="CF629" s="11"/>
      <c r="CM629" s="11"/>
      <c r="CT629" s="11"/>
      <c r="DA629" s="11"/>
      <c r="DH629" s="11"/>
      <c r="DO629" s="11"/>
    </row>
    <row r="630" ht="15.75" customHeight="1">
      <c r="C630" s="8"/>
      <c r="BD630" s="11"/>
      <c r="BR630" s="11"/>
      <c r="BY630" s="11"/>
      <c r="CF630" s="11"/>
      <c r="CM630" s="11"/>
      <c r="CT630" s="11"/>
      <c r="DA630" s="11"/>
      <c r="DH630" s="11"/>
      <c r="DO630" s="11"/>
    </row>
    <row r="631" ht="15.75" customHeight="1">
      <c r="C631" s="8"/>
      <c r="BD631" s="11"/>
      <c r="BR631" s="11"/>
      <c r="BY631" s="11"/>
      <c r="CF631" s="11"/>
      <c r="CM631" s="11"/>
      <c r="CT631" s="11"/>
      <c r="DA631" s="11"/>
      <c r="DH631" s="11"/>
      <c r="DO631" s="11"/>
    </row>
    <row r="632" ht="15.75" customHeight="1">
      <c r="C632" s="8"/>
      <c r="BD632" s="11"/>
      <c r="BR632" s="11"/>
      <c r="BY632" s="11"/>
      <c r="CF632" s="11"/>
      <c r="CM632" s="11"/>
      <c r="CT632" s="11"/>
      <c r="DA632" s="11"/>
      <c r="DH632" s="11"/>
      <c r="DO632" s="11"/>
    </row>
    <row r="633" ht="15.75" customHeight="1">
      <c r="C633" s="8"/>
      <c r="BD633" s="11"/>
      <c r="BR633" s="11"/>
      <c r="BY633" s="11"/>
      <c r="CF633" s="11"/>
      <c r="CM633" s="11"/>
      <c r="CT633" s="11"/>
      <c r="DA633" s="11"/>
      <c r="DH633" s="11"/>
      <c r="DO633" s="11"/>
    </row>
    <row r="634" ht="15.75" customHeight="1">
      <c r="C634" s="8"/>
      <c r="BD634" s="11"/>
      <c r="BR634" s="11"/>
      <c r="BY634" s="11"/>
      <c r="CF634" s="11"/>
      <c r="CM634" s="11"/>
      <c r="CT634" s="11"/>
      <c r="DA634" s="11"/>
      <c r="DH634" s="11"/>
      <c r="DO634" s="11"/>
    </row>
    <row r="635" ht="15.75" customHeight="1">
      <c r="C635" s="8"/>
      <c r="BD635" s="11"/>
      <c r="BR635" s="11"/>
      <c r="BY635" s="11"/>
      <c r="CF635" s="11"/>
      <c r="CM635" s="11"/>
      <c r="CT635" s="11"/>
      <c r="DA635" s="11"/>
      <c r="DH635" s="11"/>
      <c r="DO635" s="11"/>
    </row>
    <row r="636" ht="15.75" customHeight="1">
      <c r="C636" s="8"/>
      <c r="BD636" s="11"/>
      <c r="BR636" s="11"/>
      <c r="BY636" s="11"/>
      <c r="CF636" s="11"/>
      <c r="CM636" s="11"/>
      <c r="CT636" s="11"/>
      <c r="DA636" s="11"/>
      <c r="DH636" s="11"/>
      <c r="DO636" s="11"/>
    </row>
    <row r="637" ht="15.75" customHeight="1">
      <c r="C637" s="8"/>
      <c r="BD637" s="11"/>
      <c r="BR637" s="11"/>
      <c r="BY637" s="11"/>
      <c r="CF637" s="11"/>
      <c r="CM637" s="11"/>
      <c r="CT637" s="11"/>
      <c r="DA637" s="11"/>
      <c r="DH637" s="11"/>
      <c r="DO637" s="11"/>
    </row>
    <row r="638" ht="15.75" customHeight="1">
      <c r="C638" s="8"/>
      <c r="BD638" s="11"/>
      <c r="BR638" s="11"/>
      <c r="BY638" s="11"/>
      <c r="CF638" s="11"/>
      <c r="CM638" s="11"/>
      <c r="CT638" s="11"/>
      <c r="DA638" s="11"/>
      <c r="DH638" s="11"/>
      <c r="DO638" s="11"/>
    </row>
    <row r="639" ht="15.75" customHeight="1">
      <c r="C639" s="8"/>
      <c r="BD639" s="11"/>
      <c r="BR639" s="11"/>
      <c r="BY639" s="11"/>
      <c r="CF639" s="11"/>
      <c r="CM639" s="11"/>
      <c r="CT639" s="11"/>
      <c r="DA639" s="11"/>
      <c r="DH639" s="11"/>
      <c r="DO639" s="11"/>
    </row>
    <row r="640" ht="15.75" customHeight="1">
      <c r="C640" s="8"/>
      <c r="BD640" s="11"/>
      <c r="BR640" s="11"/>
      <c r="BY640" s="11"/>
      <c r="CF640" s="11"/>
      <c r="CM640" s="11"/>
      <c r="CT640" s="11"/>
      <c r="DA640" s="11"/>
      <c r="DH640" s="11"/>
      <c r="DO640" s="11"/>
    </row>
    <row r="641" ht="15.75" customHeight="1">
      <c r="C641" s="8"/>
      <c r="BD641" s="11"/>
      <c r="BR641" s="11"/>
      <c r="BY641" s="11"/>
      <c r="CF641" s="11"/>
      <c r="CM641" s="11"/>
      <c r="CT641" s="11"/>
      <c r="DA641" s="11"/>
      <c r="DH641" s="11"/>
      <c r="DO641" s="11"/>
    </row>
    <row r="642" ht="15.75" customHeight="1">
      <c r="C642" s="8"/>
      <c r="BD642" s="11"/>
      <c r="BR642" s="11"/>
      <c r="BY642" s="11"/>
      <c r="CF642" s="11"/>
      <c r="CM642" s="11"/>
      <c r="CT642" s="11"/>
      <c r="DA642" s="11"/>
      <c r="DH642" s="11"/>
      <c r="DO642" s="11"/>
    </row>
    <row r="643" ht="15.75" customHeight="1">
      <c r="C643" s="8"/>
      <c r="BD643" s="11"/>
      <c r="BR643" s="11"/>
      <c r="BY643" s="11"/>
      <c r="CF643" s="11"/>
      <c r="CM643" s="11"/>
      <c r="CT643" s="11"/>
      <c r="DA643" s="11"/>
      <c r="DH643" s="11"/>
      <c r="DO643" s="11"/>
    </row>
    <row r="644" ht="15.75" customHeight="1">
      <c r="C644" s="8"/>
      <c r="BD644" s="11"/>
      <c r="BR644" s="11"/>
      <c r="BY644" s="11"/>
      <c r="CF644" s="11"/>
      <c r="CM644" s="11"/>
      <c r="CT644" s="11"/>
      <c r="DA644" s="11"/>
      <c r="DH644" s="11"/>
      <c r="DO644" s="11"/>
    </row>
    <row r="645" ht="15.75" customHeight="1">
      <c r="C645" s="8"/>
      <c r="BD645" s="11"/>
      <c r="BR645" s="11"/>
      <c r="BY645" s="11"/>
      <c r="CF645" s="11"/>
      <c r="CM645" s="11"/>
      <c r="CT645" s="11"/>
      <c r="DA645" s="11"/>
      <c r="DH645" s="11"/>
      <c r="DO645" s="11"/>
    </row>
    <row r="646" ht="15.75" customHeight="1">
      <c r="C646" s="8"/>
      <c r="BD646" s="11"/>
      <c r="BR646" s="11"/>
      <c r="BY646" s="11"/>
      <c r="CF646" s="11"/>
      <c r="CM646" s="11"/>
      <c r="CT646" s="11"/>
      <c r="DA646" s="11"/>
      <c r="DH646" s="11"/>
      <c r="DO646" s="11"/>
    </row>
    <row r="647" ht="15.75" customHeight="1">
      <c r="C647" s="8"/>
      <c r="BD647" s="11"/>
      <c r="BR647" s="11"/>
      <c r="BY647" s="11"/>
      <c r="CF647" s="11"/>
      <c r="CM647" s="11"/>
      <c r="CT647" s="11"/>
      <c r="DA647" s="11"/>
      <c r="DH647" s="11"/>
      <c r="DO647" s="11"/>
    </row>
    <row r="648" ht="15.75" customHeight="1">
      <c r="C648" s="8"/>
      <c r="BD648" s="11"/>
      <c r="BR648" s="11"/>
      <c r="BY648" s="11"/>
      <c r="CF648" s="11"/>
      <c r="CM648" s="11"/>
      <c r="CT648" s="11"/>
      <c r="DA648" s="11"/>
      <c r="DH648" s="11"/>
      <c r="DO648" s="11"/>
    </row>
    <row r="649" ht="15.75" customHeight="1">
      <c r="C649" s="8"/>
      <c r="BD649" s="11"/>
      <c r="BR649" s="11"/>
      <c r="BY649" s="11"/>
      <c r="CF649" s="11"/>
      <c r="CM649" s="11"/>
      <c r="CT649" s="11"/>
      <c r="DA649" s="11"/>
      <c r="DH649" s="11"/>
      <c r="DO649" s="11"/>
    </row>
    <row r="650" ht="15.75" customHeight="1">
      <c r="C650" s="8"/>
      <c r="BD650" s="11"/>
      <c r="BR650" s="11"/>
      <c r="BY650" s="11"/>
      <c r="CF650" s="11"/>
      <c r="CM650" s="11"/>
      <c r="CT650" s="11"/>
      <c r="DA650" s="11"/>
      <c r="DH650" s="11"/>
      <c r="DO650" s="11"/>
    </row>
    <row r="651" ht="15.75" customHeight="1">
      <c r="C651" s="8"/>
      <c r="BD651" s="11"/>
      <c r="BR651" s="11"/>
      <c r="BY651" s="11"/>
      <c r="CF651" s="11"/>
      <c r="CM651" s="11"/>
      <c r="CT651" s="11"/>
      <c r="DA651" s="11"/>
      <c r="DH651" s="11"/>
      <c r="DO651" s="11"/>
    </row>
    <row r="652" ht="15.75" customHeight="1">
      <c r="C652" s="8"/>
      <c r="BD652" s="11"/>
      <c r="BR652" s="11"/>
      <c r="BY652" s="11"/>
      <c r="CF652" s="11"/>
      <c r="CM652" s="11"/>
      <c r="CT652" s="11"/>
      <c r="DA652" s="11"/>
      <c r="DH652" s="11"/>
      <c r="DO652" s="11"/>
    </row>
    <row r="653" ht="15.75" customHeight="1">
      <c r="C653" s="8"/>
      <c r="BD653" s="11"/>
      <c r="BR653" s="11"/>
      <c r="BY653" s="11"/>
      <c r="CF653" s="11"/>
      <c r="CM653" s="11"/>
      <c r="CT653" s="11"/>
      <c r="DA653" s="11"/>
      <c r="DH653" s="11"/>
      <c r="DO653" s="11"/>
    </row>
    <row r="654" ht="15.75" customHeight="1">
      <c r="C654" s="8"/>
      <c r="BD654" s="11"/>
      <c r="BR654" s="11"/>
      <c r="BY654" s="11"/>
      <c r="CF654" s="11"/>
      <c r="CM654" s="11"/>
      <c r="CT654" s="11"/>
      <c r="DA654" s="11"/>
      <c r="DH654" s="11"/>
      <c r="DO654" s="11"/>
    </row>
    <row r="655" ht="15.75" customHeight="1">
      <c r="C655" s="8"/>
      <c r="BD655" s="11"/>
      <c r="BR655" s="11"/>
      <c r="BY655" s="11"/>
      <c r="CF655" s="11"/>
      <c r="CM655" s="11"/>
      <c r="CT655" s="11"/>
      <c r="DA655" s="11"/>
      <c r="DH655" s="11"/>
      <c r="DO655" s="11"/>
    </row>
    <row r="656" ht="15.75" customHeight="1">
      <c r="C656" s="8"/>
      <c r="BD656" s="11"/>
      <c r="BR656" s="11"/>
      <c r="BY656" s="11"/>
      <c r="CF656" s="11"/>
      <c r="CM656" s="11"/>
      <c r="CT656" s="11"/>
      <c r="DA656" s="11"/>
      <c r="DH656" s="11"/>
      <c r="DO656" s="11"/>
    </row>
    <row r="657" ht="15.75" customHeight="1">
      <c r="C657" s="8"/>
      <c r="BD657" s="11"/>
      <c r="BR657" s="11"/>
      <c r="BY657" s="11"/>
      <c r="CF657" s="11"/>
      <c r="CM657" s="11"/>
      <c r="CT657" s="11"/>
      <c r="DA657" s="11"/>
      <c r="DH657" s="11"/>
      <c r="DO657" s="11"/>
    </row>
    <row r="658" ht="15.75" customHeight="1">
      <c r="C658" s="8"/>
      <c r="BD658" s="11"/>
      <c r="BR658" s="11"/>
      <c r="BY658" s="11"/>
      <c r="CF658" s="11"/>
      <c r="CM658" s="11"/>
      <c r="CT658" s="11"/>
      <c r="DA658" s="11"/>
      <c r="DH658" s="11"/>
      <c r="DO658" s="11"/>
    </row>
    <row r="659" ht="15.75" customHeight="1">
      <c r="C659" s="8"/>
      <c r="BD659" s="11"/>
      <c r="BR659" s="11"/>
      <c r="BY659" s="11"/>
      <c r="CF659" s="11"/>
      <c r="CM659" s="11"/>
      <c r="CT659" s="11"/>
      <c r="DA659" s="11"/>
      <c r="DH659" s="11"/>
      <c r="DO659" s="11"/>
    </row>
    <row r="660" ht="15.75" customHeight="1">
      <c r="C660" s="8"/>
      <c r="BD660" s="11"/>
      <c r="BR660" s="11"/>
      <c r="BY660" s="11"/>
      <c r="CF660" s="11"/>
      <c r="CM660" s="11"/>
      <c r="CT660" s="11"/>
      <c r="DA660" s="11"/>
      <c r="DH660" s="11"/>
      <c r="DO660" s="11"/>
    </row>
    <row r="661" ht="15.75" customHeight="1">
      <c r="C661" s="8"/>
      <c r="BD661" s="11"/>
      <c r="BR661" s="11"/>
      <c r="BY661" s="11"/>
      <c r="CF661" s="11"/>
      <c r="CM661" s="11"/>
      <c r="CT661" s="11"/>
      <c r="DA661" s="11"/>
      <c r="DH661" s="11"/>
      <c r="DO661" s="11"/>
    </row>
    <row r="662" ht="15.75" customHeight="1">
      <c r="C662" s="8"/>
      <c r="BD662" s="11"/>
      <c r="BR662" s="11"/>
      <c r="BY662" s="11"/>
      <c r="CF662" s="11"/>
      <c r="CM662" s="11"/>
      <c r="CT662" s="11"/>
      <c r="DA662" s="11"/>
      <c r="DH662" s="11"/>
      <c r="DO662" s="11"/>
    </row>
    <row r="663" ht="15.75" customHeight="1">
      <c r="C663" s="8"/>
      <c r="BD663" s="11"/>
      <c r="BR663" s="11"/>
      <c r="BY663" s="11"/>
      <c r="CF663" s="11"/>
      <c r="CM663" s="11"/>
      <c r="CT663" s="11"/>
      <c r="DA663" s="11"/>
      <c r="DH663" s="11"/>
      <c r="DO663" s="11"/>
    </row>
    <row r="664" ht="15.75" customHeight="1">
      <c r="C664" s="8"/>
      <c r="BD664" s="11"/>
      <c r="BR664" s="11"/>
      <c r="BY664" s="11"/>
      <c r="CF664" s="11"/>
      <c r="CM664" s="11"/>
      <c r="CT664" s="11"/>
      <c r="DA664" s="11"/>
      <c r="DH664" s="11"/>
      <c r="DO664" s="11"/>
    </row>
    <row r="665" ht="15.75" customHeight="1">
      <c r="C665" s="8"/>
      <c r="BD665" s="11"/>
      <c r="BR665" s="11"/>
      <c r="BY665" s="11"/>
      <c r="CF665" s="11"/>
      <c r="CM665" s="11"/>
      <c r="CT665" s="11"/>
      <c r="DA665" s="11"/>
      <c r="DH665" s="11"/>
      <c r="DO665" s="11"/>
    </row>
    <row r="666" ht="15.75" customHeight="1">
      <c r="C666" s="8"/>
      <c r="BD666" s="11"/>
      <c r="BR666" s="11"/>
      <c r="BY666" s="11"/>
      <c r="CF666" s="11"/>
      <c r="CM666" s="11"/>
      <c r="CT666" s="11"/>
      <c r="DA666" s="11"/>
      <c r="DH666" s="11"/>
      <c r="DO666" s="11"/>
    </row>
    <row r="667" ht="15.75" customHeight="1">
      <c r="C667" s="8"/>
      <c r="BD667" s="11"/>
      <c r="BR667" s="11"/>
      <c r="BY667" s="11"/>
      <c r="CF667" s="11"/>
      <c r="CM667" s="11"/>
      <c r="CT667" s="11"/>
      <c r="DA667" s="11"/>
      <c r="DH667" s="11"/>
      <c r="DO667" s="11"/>
    </row>
    <row r="668" ht="15.75" customHeight="1">
      <c r="C668" s="8"/>
      <c r="BD668" s="11"/>
      <c r="BR668" s="11"/>
      <c r="BY668" s="11"/>
      <c r="CF668" s="11"/>
      <c r="CM668" s="11"/>
      <c r="CT668" s="11"/>
      <c r="DA668" s="11"/>
      <c r="DH668" s="11"/>
      <c r="DO668" s="11"/>
    </row>
    <row r="669" ht="15.75" customHeight="1">
      <c r="C669" s="8"/>
      <c r="BD669" s="11"/>
      <c r="BR669" s="11"/>
      <c r="BY669" s="11"/>
      <c r="CF669" s="11"/>
      <c r="CM669" s="11"/>
      <c r="CT669" s="11"/>
      <c r="DA669" s="11"/>
      <c r="DH669" s="11"/>
      <c r="DO669" s="11"/>
    </row>
    <row r="670" ht="15.75" customHeight="1">
      <c r="C670" s="8"/>
      <c r="BD670" s="11"/>
      <c r="BR670" s="11"/>
      <c r="BY670" s="11"/>
      <c r="CF670" s="11"/>
      <c r="CM670" s="11"/>
      <c r="CT670" s="11"/>
      <c r="DA670" s="11"/>
      <c r="DH670" s="11"/>
      <c r="DO670" s="11"/>
    </row>
    <row r="671" ht="15.75" customHeight="1">
      <c r="C671" s="8"/>
      <c r="BD671" s="11"/>
      <c r="BR671" s="11"/>
      <c r="BY671" s="11"/>
      <c r="CF671" s="11"/>
      <c r="CM671" s="11"/>
      <c r="CT671" s="11"/>
      <c r="DA671" s="11"/>
      <c r="DH671" s="11"/>
      <c r="DO671" s="11"/>
    </row>
    <row r="672" ht="15.75" customHeight="1">
      <c r="C672" s="8"/>
      <c r="BD672" s="11"/>
      <c r="BR672" s="11"/>
      <c r="BY672" s="11"/>
      <c r="CF672" s="11"/>
      <c r="CM672" s="11"/>
      <c r="CT672" s="11"/>
      <c r="DA672" s="11"/>
      <c r="DH672" s="11"/>
      <c r="DO672" s="11"/>
    </row>
    <row r="673" ht="15.75" customHeight="1">
      <c r="C673" s="8"/>
      <c r="BD673" s="11"/>
      <c r="BR673" s="11"/>
      <c r="BY673" s="11"/>
      <c r="CF673" s="11"/>
      <c r="CM673" s="11"/>
      <c r="CT673" s="11"/>
      <c r="DA673" s="11"/>
      <c r="DH673" s="11"/>
      <c r="DO673" s="11"/>
    </row>
    <row r="674" ht="15.75" customHeight="1">
      <c r="C674" s="8"/>
      <c r="BD674" s="11"/>
      <c r="BR674" s="11"/>
      <c r="BY674" s="11"/>
      <c r="CF674" s="11"/>
      <c r="CM674" s="11"/>
      <c r="CT674" s="11"/>
      <c r="DA674" s="11"/>
      <c r="DH674" s="11"/>
      <c r="DO674" s="11"/>
    </row>
    <row r="675" ht="15.75" customHeight="1">
      <c r="C675" s="8"/>
      <c r="BD675" s="11"/>
      <c r="BR675" s="11"/>
      <c r="BY675" s="11"/>
      <c r="CF675" s="11"/>
      <c r="CM675" s="11"/>
      <c r="CT675" s="11"/>
      <c r="DA675" s="11"/>
      <c r="DH675" s="11"/>
      <c r="DO675" s="11"/>
    </row>
    <row r="676" ht="15.75" customHeight="1">
      <c r="C676" s="8"/>
      <c r="BD676" s="11"/>
      <c r="BR676" s="11"/>
      <c r="BY676" s="11"/>
      <c r="CF676" s="11"/>
      <c r="CM676" s="11"/>
      <c r="CT676" s="11"/>
      <c r="DA676" s="11"/>
      <c r="DH676" s="11"/>
      <c r="DO676" s="11"/>
    </row>
    <row r="677" ht="15.75" customHeight="1">
      <c r="C677" s="8"/>
      <c r="BD677" s="11"/>
      <c r="BR677" s="11"/>
      <c r="BY677" s="11"/>
      <c r="CF677" s="11"/>
      <c r="CM677" s="11"/>
      <c r="CT677" s="11"/>
      <c r="DA677" s="11"/>
      <c r="DH677" s="11"/>
      <c r="DO677" s="11"/>
    </row>
    <row r="678" ht="15.75" customHeight="1">
      <c r="C678" s="8"/>
      <c r="BD678" s="11"/>
      <c r="BR678" s="11"/>
      <c r="BY678" s="11"/>
      <c r="CF678" s="11"/>
      <c r="CM678" s="11"/>
      <c r="CT678" s="11"/>
      <c r="DA678" s="11"/>
      <c r="DH678" s="11"/>
      <c r="DO678" s="11"/>
    </row>
    <row r="679" ht="15.75" customHeight="1">
      <c r="C679" s="8"/>
      <c r="BD679" s="11"/>
      <c r="BR679" s="11"/>
      <c r="BY679" s="11"/>
      <c r="CF679" s="11"/>
      <c r="CM679" s="11"/>
      <c r="CT679" s="11"/>
      <c r="DA679" s="11"/>
      <c r="DH679" s="11"/>
      <c r="DO679" s="11"/>
    </row>
    <row r="680" ht="15.75" customHeight="1">
      <c r="C680" s="8"/>
      <c r="BD680" s="11"/>
      <c r="BR680" s="11"/>
      <c r="BY680" s="11"/>
      <c r="CF680" s="11"/>
      <c r="CM680" s="11"/>
      <c r="CT680" s="11"/>
      <c r="DA680" s="11"/>
      <c r="DH680" s="11"/>
      <c r="DO680" s="11"/>
    </row>
    <row r="681" ht="15.75" customHeight="1">
      <c r="C681" s="8"/>
      <c r="BD681" s="11"/>
      <c r="BR681" s="11"/>
      <c r="BY681" s="11"/>
      <c r="CF681" s="11"/>
      <c r="CM681" s="11"/>
      <c r="CT681" s="11"/>
      <c r="DA681" s="11"/>
      <c r="DH681" s="11"/>
      <c r="DO681" s="11"/>
    </row>
    <row r="682" ht="15.75" customHeight="1">
      <c r="C682" s="8"/>
      <c r="BD682" s="11"/>
      <c r="BR682" s="11"/>
      <c r="BY682" s="11"/>
      <c r="CF682" s="11"/>
      <c r="CM682" s="11"/>
      <c r="CT682" s="11"/>
      <c r="DA682" s="11"/>
      <c r="DH682" s="11"/>
      <c r="DO682" s="11"/>
    </row>
    <row r="683" ht="15.75" customHeight="1">
      <c r="C683" s="8"/>
      <c r="BD683" s="11"/>
      <c r="BR683" s="11"/>
      <c r="BY683" s="11"/>
      <c r="CF683" s="11"/>
      <c r="CM683" s="11"/>
      <c r="CT683" s="11"/>
      <c r="DA683" s="11"/>
      <c r="DH683" s="11"/>
      <c r="DO683" s="11"/>
    </row>
    <row r="684" ht="15.75" customHeight="1">
      <c r="C684" s="8"/>
      <c r="BD684" s="11"/>
      <c r="BR684" s="11"/>
      <c r="BY684" s="11"/>
      <c r="CF684" s="11"/>
      <c r="CM684" s="11"/>
      <c r="CT684" s="11"/>
      <c r="DA684" s="11"/>
      <c r="DH684" s="11"/>
      <c r="DO684" s="11"/>
    </row>
    <row r="685" ht="15.75" customHeight="1">
      <c r="C685" s="8"/>
      <c r="BD685" s="11"/>
      <c r="BR685" s="11"/>
      <c r="BY685" s="11"/>
      <c r="CF685" s="11"/>
      <c r="CM685" s="11"/>
      <c r="CT685" s="11"/>
      <c r="DA685" s="11"/>
      <c r="DH685" s="11"/>
      <c r="DO685" s="11"/>
    </row>
    <row r="686" ht="15.75" customHeight="1">
      <c r="C686" s="8"/>
      <c r="BD686" s="11"/>
      <c r="BR686" s="11"/>
      <c r="BY686" s="11"/>
      <c r="CF686" s="11"/>
      <c r="CM686" s="11"/>
      <c r="CT686" s="11"/>
      <c r="DA686" s="11"/>
      <c r="DH686" s="11"/>
      <c r="DO686" s="11"/>
    </row>
    <row r="687" ht="15.75" customHeight="1">
      <c r="C687" s="8"/>
      <c r="BD687" s="11"/>
      <c r="BR687" s="11"/>
      <c r="BY687" s="11"/>
      <c r="CF687" s="11"/>
      <c r="CM687" s="11"/>
      <c r="CT687" s="11"/>
      <c r="DA687" s="11"/>
      <c r="DH687" s="11"/>
      <c r="DO687" s="11"/>
    </row>
    <row r="688" ht="15.75" customHeight="1">
      <c r="C688" s="8"/>
      <c r="BD688" s="11"/>
      <c r="BR688" s="11"/>
      <c r="BY688" s="11"/>
      <c r="CF688" s="11"/>
      <c r="CM688" s="11"/>
      <c r="CT688" s="11"/>
      <c r="DA688" s="11"/>
      <c r="DH688" s="11"/>
      <c r="DO688" s="11"/>
    </row>
    <row r="689" ht="15.75" customHeight="1">
      <c r="C689" s="8"/>
      <c r="BD689" s="11"/>
      <c r="BR689" s="11"/>
      <c r="BY689" s="11"/>
      <c r="CF689" s="11"/>
      <c r="CM689" s="11"/>
      <c r="CT689" s="11"/>
      <c r="DA689" s="11"/>
      <c r="DH689" s="11"/>
      <c r="DO689" s="11"/>
    </row>
    <row r="690" ht="15.75" customHeight="1">
      <c r="C690" s="8"/>
      <c r="BD690" s="11"/>
      <c r="BR690" s="11"/>
      <c r="BY690" s="11"/>
      <c r="CF690" s="11"/>
      <c r="CM690" s="11"/>
      <c r="CT690" s="11"/>
      <c r="DA690" s="11"/>
      <c r="DH690" s="11"/>
      <c r="DO690" s="11"/>
    </row>
    <row r="691" ht="15.75" customHeight="1">
      <c r="C691" s="8"/>
      <c r="BD691" s="11"/>
      <c r="BR691" s="11"/>
      <c r="BY691" s="11"/>
      <c r="CF691" s="11"/>
      <c r="CM691" s="11"/>
      <c r="CT691" s="11"/>
      <c r="DA691" s="11"/>
      <c r="DH691" s="11"/>
      <c r="DO691" s="11"/>
    </row>
    <row r="692" ht="15.75" customHeight="1">
      <c r="C692" s="8"/>
      <c r="BD692" s="11"/>
      <c r="BR692" s="11"/>
      <c r="BY692" s="11"/>
      <c r="CF692" s="11"/>
      <c r="CM692" s="11"/>
      <c r="CT692" s="11"/>
      <c r="DA692" s="11"/>
      <c r="DH692" s="11"/>
      <c r="DO692" s="11"/>
    </row>
    <row r="693" ht="15.75" customHeight="1">
      <c r="C693" s="8"/>
      <c r="BD693" s="11"/>
      <c r="BR693" s="11"/>
      <c r="BY693" s="11"/>
      <c r="CF693" s="11"/>
      <c r="CM693" s="11"/>
      <c r="CT693" s="11"/>
      <c r="DA693" s="11"/>
      <c r="DH693" s="11"/>
      <c r="DO693" s="11"/>
    </row>
    <row r="694" ht="15.75" customHeight="1">
      <c r="C694" s="8"/>
      <c r="BD694" s="11"/>
      <c r="BR694" s="11"/>
      <c r="BY694" s="11"/>
      <c r="CF694" s="11"/>
      <c r="CM694" s="11"/>
      <c r="CT694" s="11"/>
      <c r="DA694" s="11"/>
      <c r="DH694" s="11"/>
      <c r="DO694" s="11"/>
    </row>
    <row r="695" ht="15.75" customHeight="1">
      <c r="C695" s="8"/>
      <c r="BD695" s="11"/>
      <c r="BR695" s="11"/>
      <c r="BY695" s="11"/>
      <c r="CF695" s="11"/>
      <c r="CM695" s="11"/>
      <c r="CT695" s="11"/>
      <c r="DA695" s="11"/>
      <c r="DH695" s="11"/>
      <c r="DO695" s="11"/>
    </row>
    <row r="696" ht="15.75" customHeight="1">
      <c r="C696" s="8"/>
      <c r="BD696" s="11"/>
      <c r="BR696" s="11"/>
      <c r="BY696" s="11"/>
      <c r="CF696" s="11"/>
      <c r="CM696" s="11"/>
      <c r="CT696" s="11"/>
      <c r="DA696" s="11"/>
      <c r="DH696" s="11"/>
      <c r="DO696" s="11"/>
    </row>
    <row r="697" ht="15.75" customHeight="1">
      <c r="C697" s="8"/>
      <c r="BD697" s="11"/>
      <c r="BR697" s="11"/>
      <c r="BY697" s="11"/>
      <c r="CF697" s="11"/>
      <c r="CM697" s="11"/>
      <c r="CT697" s="11"/>
      <c r="DA697" s="11"/>
      <c r="DH697" s="11"/>
      <c r="DO697" s="11"/>
    </row>
    <row r="698" ht="15.75" customHeight="1">
      <c r="C698" s="8"/>
      <c r="BD698" s="11"/>
      <c r="BR698" s="11"/>
      <c r="BY698" s="11"/>
      <c r="CF698" s="11"/>
      <c r="CM698" s="11"/>
      <c r="CT698" s="11"/>
      <c r="DA698" s="11"/>
      <c r="DH698" s="11"/>
      <c r="DO698" s="11"/>
    </row>
    <row r="699" ht="15.75" customHeight="1">
      <c r="C699" s="8"/>
      <c r="BD699" s="11"/>
      <c r="BR699" s="11"/>
      <c r="BY699" s="11"/>
      <c r="CF699" s="11"/>
      <c r="CM699" s="11"/>
      <c r="CT699" s="11"/>
      <c r="DA699" s="11"/>
      <c r="DH699" s="11"/>
      <c r="DO699" s="11"/>
    </row>
    <row r="700" ht="15.75" customHeight="1">
      <c r="C700" s="8"/>
      <c r="BD700" s="11"/>
      <c r="BR700" s="11"/>
      <c r="BY700" s="11"/>
      <c r="CF700" s="11"/>
      <c r="CM700" s="11"/>
      <c r="CT700" s="11"/>
      <c r="DA700" s="11"/>
      <c r="DH700" s="11"/>
      <c r="DO700" s="11"/>
    </row>
    <row r="701" ht="15.75" customHeight="1">
      <c r="C701" s="8"/>
      <c r="BD701" s="11"/>
      <c r="BR701" s="11"/>
      <c r="BY701" s="11"/>
      <c r="CF701" s="11"/>
      <c r="CM701" s="11"/>
      <c r="CT701" s="11"/>
      <c r="DA701" s="11"/>
      <c r="DH701" s="11"/>
      <c r="DO701" s="11"/>
    </row>
    <row r="702" ht="15.75" customHeight="1">
      <c r="C702" s="8"/>
      <c r="BD702" s="11"/>
      <c r="BR702" s="11"/>
      <c r="BY702" s="11"/>
      <c r="CF702" s="11"/>
      <c r="CM702" s="11"/>
      <c r="CT702" s="11"/>
      <c r="DA702" s="11"/>
      <c r="DH702" s="11"/>
      <c r="DO702" s="11"/>
    </row>
    <row r="703" ht="15.75" customHeight="1">
      <c r="C703" s="8"/>
      <c r="BD703" s="11"/>
      <c r="BR703" s="11"/>
      <c r="BY703" s="11"/>
      <c r="CF703" s="11"/>
      <c r="CM703" s="11"/>
      <c r="CT703" s="11"/>
      <c r="DA703" s="11"/>
      <c r="DH703" s="11"/>
      <c r="DO703" s="11"/>
    </row>
    <row r="704" ht="15.75" customHeight="1">
      <c r="C704" s="8"/>
      <c r="BD704" s="11"/>
      <c r="BR704" s="11"/>
      <c r="BY704" s="11"/>
      <c r="CF704" s="11"/>
      <c r="CM704" s="11"/>
      <c r="CT704" s="11"/>
      <c r="DA704" s="11"/>
      <c r="DH704" s="11"/>
      <c r="DO704" s="11"/>
    </row>
    <row r="705" ht="15.75" customHeight="1">
      <c r="C705" s="8"/>
      <c r="BD705" s="11"/>
      <c r="BR705" s="11"/>
      <c r="BY705" s="11"/>
      <c r="CF705" s="11"/>
      <c r="CM705" s="11"/>
      <c r="CT705" s="11"/>
      <c r="DA705" s="11"/>
      <c r="DH705" s="11"/>
      <c r="DO705" s="11"/>
    </row>
    <row r="706" ht="15.75" customHeight="1">
      <c r="C706" s="8"/>
      <c r="BD706" s="11"/>
      <c r="BR706" s="11"/>
      <c r="BY706" s="11"/>
      <c r="CF706" s="11"/>
      <c r="CM706" s="11"/>
      <c r="CT706" s="11"/>
      <c r="DA706" s="11"/>
      <c r="DH706" s="11"/>
      <c r="DO706" s="11"/>
    </row>
    <row r="707" ht="15.75" customHeight="1">
      <c r="C707" s="8"/>
      <c r="BD707" s="11"/>
      <c r="BR707" s="11"/>
      <c r="BY707" s="11"/>
      <c r="CF707" s="11"/>
      <c r="CM707" s="11"/>
      <c r="CT707" s="11"/>
      <c r="DA707" s="11"/>
      <c r="DH707" s="11"/>
      <c r="DO707" s="11"/>
    </row>
    <row r="708" ht="15.75" customHeight="1">
      <c r="C708" s="8"/>
      <c r="BD708" s="11"/>
      <c r="BR708" s="11"/>
      <c r="BY708" s="11"/>
      <c r="CF708" s="11"/>
      <c r="CM708" s="11"/>
      <c r="CT708" s="11"/>
      <c r="DA708" s="11"/>
      <c r="DH708" s="11"/>
      <c r="DO708" s="11"/>
    </row>
    <row r="709" ht="15.75" customHeight="1">
      <c r="C709" s="8"/>
      <c r="BD709" s="11"/>
      <c r="BR709" s="11"/>
      <c r="BY709" s="11"/>
      <c r="CF709" s="11"/>
      <c r="CM709" s="11"/>
      <c r="CT709" s="11"/>
      <c r="DA709" s="11"/>
      <c r="DH709" s="11"/>
      <c r="DO709" s="11"/>
    </row>
    <row r="710" ht="15.75" customHeight="1">
      <c r="C710" s="8"/>
      <c r="BD710" s="11"/>
      <c r="BR710" s="11"/>
      <c r="BY710" s="11"/>
      <c r="CF710" s="11"/>
      <c r="CM710" s="11"/>
      <c r="CT710" s="11"/>
      <c r="DA710" s="11"/>
      <c r="DH710" s="11"/>
      <c r="DO710" s="11"/>
    </row>
    <row r="711" ht="15.75" customHeight="1">
      <c r="C711" s="8"/>
      <c r="BD711" s="11"/>
      <c r="BR711" s="11"/>
      <c r="BY711" s="11"/>
      <c r="CF711" s="11"/>
      <c r="CM711" s="11"/>
      <c r="CT711" s="11"/>
      <c r="DA711" s="11"/>
      <c r="DH711" s="11"/>
      <c r="DO711" s="11"/>
    </row>
    <row r="712" ht="15.75" customHeight="1">
      <c r="C712" s="8"/>
      <c r="BD712" s="11"/>
      <c r="BR712" s="11"/>
      <c r="BY712" s="11"/>
      <c r="CF712" s="11"/>
      <c r="CM712" s="11"/>
      <c r="CT712" s="11"/>
      <c r="DA712" s="11"/>
      <c r="DH712" s="11"/>
      <c r="DO712" s="11"/>
    </row>
    <row r="713" ht="15.75" customHeight="1">
      <c r="C713" s="8"/>
      <c r="BD713" s="11"/>
      <c r="BR713" s="11"/>
      <c r="BY713" s="11"/>
      <c r="CF713" s="11"/>
      <c r="CM713" s="11"/>
      <c r="CT713" s="11"/>
      <c r="DA713" s="11"/>
      <c r="DH713" s="11"/>
      <c r="DO713" s="11"/>
    </row>
    <row r="714" ht="15.75" customHeight="1">
      <c r="C714" s="8"/>
      <c r="BD714" s="11"/>
      <c r="BR714" s="11"/>
      <c r="BY714" s="11"/>
      <c r="CF714" s="11"/>
      <c r="CM714" s="11"/>
      <c r="CT714" s="11"/>
      <c r="DA714" s="11"/>
      <c r="DH714" s="11"/>
      <c r="DO714" s="11"/>
    </row>
    <row r="715" ht="15.75" customHeight="1">
      <c r="C715" s="8"/>
      <c r="BD715" s="11"/>
      <c r="BR715" s="11"/>
      <c r="BY715" s="11"/>
      <c r="CF715" s="11"/>
      <c r="CM715" s="11"/>
      <c r="CT715" s="11"/>
      <c r="DA715" s="11"/>
      <c r="DH715" s="11"/>
      <c r="DO715" s="11"/>
    </row>
    <row r="716" ht="15.75" customHeight="1">
      <c r="C716" s="8"/>
      <c r="BD716" s="11"/>
      <c r="BR716" s="11"/>
      <c r="BY716" s="11"/>
      <c r="CF716" s="11"/>
      <c r="CM716" s="11"/>
      <c r="CT716" s="11"/>
      <c r="DA716" s="11"/>
      <c r="DH716" s="11"/>
      <c r="DO716" s="11"/>
    </row>
    <row r="717" ht="15.75" customHeight="1">
      <c r="C717" s="8"/>
      <c r="BD717" s="11"/>
      <c r="BR717" s="11"/>
      <c r="BY717" s="11"/>
      <c r="CF717" s="11"/>
      <c r="CM717" s="11"/>
      <c r="CT717" s="11"/>
      <c r="DA717" s="11"/>
      <c r="DH717" s="11"/>
      <c r="DO717" s="11"/>
    </row>
    <row r="718" ht="15.75" customHeight="1">
      <c r="C718" s="8"/>
      <c r="BD718" s="11"/>
      <c r="BR718" s="11"/>
      <c r="BY718" s="11"/>
      <c r="CF718" s="11"/>
      <c r="CM718" s="11"/>
      <c r="CT718" s="11"/>
      <c r="DA718" s="11"/>
      <c r="DH718" s="11"/>
      <c r="DO718" s="11"/>
    </row>
    <row r="719" ht="15.75" customHeight="1">
      <c r="C719" s="8"/>
      <c r="BD719" s="11"/>
      <c r="BR719" s="11"/>
      <c r="BY719" s="11"/>
      <c r="CF719" s="11"/>
      <c r="CM719" s="11"/>
      <c r="CT719" s="11"/>
      <c r="DA719" s="11"/>
      <c r="DH719" s="11"/>
      <c r="DO719" s="11"/>
    </row>
    <row r="720" ht="15.75" customHeight="1">
      <c r="C720" s="8"/>
      <c r="BD720" s="11"/>
      <c r="BR720" s="11"/>
      <c r="BY720" s="11"/>
      <c r="CF720" s="11"/>
      <c r="CM720" s="11"/>
      <c r="CT720" s="11"/>
      <c r="DA720" s="11"/>
      <c r="DH720" s="11"/>
      <c r="DO720" s="11"/>
    </row>
    <row r="721" ht="15.75" customHeight="1">
      <c r="C721" s="8"/>
      <c r="BD721" s="11"/>
      <c r="BR721" s="11"/>
      <c r="BY721" s="11"/>
      <c r="CF721" s="11"/>
      <c r="CM721" s="11"/>
      <c r="CT721" s="11"/>
      <c r="DA721" s="11"/>
      <c r="DH721" s="11"/>
      <c r="DO721" s="11"/>
    </row>
    <row r="722" ht="15.75" customHeight="1">
      <c r="C722" s="8"/>
      <c r="BD722" s="11"/>
      <c r="BR722" s="11"/>
      <c r="BY722" s="11"/>
      <c r="CF722" s="11"/>
      <c r="CM722" s="11"/>
      <c r="CT722" s="11"/>
      <c r="DA722" s="11"/>
      <c r="DH722" s="11"/>
      <c r="DO722" s="11"/>
    </row>
    <row r="723" ht="15.75" customHeight="1">
      <c r="C723" s="8"/>
      <c r="BD723" s="11"/>
      <c r="BR723" s="11"/>
      <c r="BY723" s="11"/>
      <c r="CF723" s="11"/>
      <c r="CM723" s="11"/>
      <c r="CT723" s="11"/>
      <c r="DA723" s="11"/>
      <c r="DH723" s="11"/>
      <c r="DO723" s="11"/>
    </row>
    <row r="724" ht="15.75" customHeight="1">
      <c r="C724" s="8"/>
      <c r="BD724" s="11"/>
      <c r="BR724" s="11"/>
      <c r="BY724" s="11"/>
      <c r="CF724" s="11"/>
      <c r="CM724" s="11"/>
      <c r="CT724" s="11"/>
      <c r="DA724" s="11"/>
      <c r="DH724" s="11"/>
      <c r="DO724" s="11"/>
    </row>
    <row r="725" ht="15.75" customHeight="1">
      <c r="C725" s="8"/>
      <c r="BD725" s="11"/>
      <c r="BR725" s="11"/>
      <c r="BY725" s="11"/>
      <c r="CF725" s="11"/>
      <c r="CM725" s="11"/>
      <c r="CT725" s="11"/>
      <c r="DA725" s="11"/>
      <c r="DH725" s="11"/>
      <c r="DO725" s="11"/>
    </row>
    <row r="726" ht="15.75" customHeight="1">
      <c r="C726" s="8"/>
      <c r="BD726" s="11"/>
      <c r="BR726" s="11"/>
      <c r="BY726" s="11"/>
      <c r="CF726" s="11"/>
      <c r="CM726" s="11"/>
      <c r="CT726" s="11"/>
      <c r="DA726" s="11"/>
      <c r="DH726" s="11"/>
      <c r="DO726" s="11"/>
    </row>
    <row r="727" ht="15.75" customHeight="1">
      <c r="C727" s="8"/>
      <c r="BD727" s="11"/>
      <c r="BR727" s="11"/>
      <c r="BY727" s="11"/>
      <c r="CF727" s="11"/>
      <c r="CM727" s="11"/>
      <c r="CT727" s="11"/>
      <c r="DA727" s="11"/>
      <c r="DH727" s="11"/>
      <c r="DO727" s="11"/>
    </row>
    <row r="728" ht="15.75" customHeight="1">
      <c r="C728" s="8"/>
      <c r="BD728" s="11"/>
      <c r="BR728" s="11"/>
      <c r="BY728" s="11"/>
      <c r="CF728" s="11"/>
      <c r="CM728" s="11"/>
      <c r="CT728" s="11"/>
      <c r="DA728" s="11"/>
      <c r="DH728" s="11"/>
      <c r="DO728" s="11"/>
    </row>
    <row r="729" ht="15.75" customHeight="1">
      <c r="C729" s="8"/>
      <c r="BD729" s="11"/>
      <c r="BR729" s="11"/>
      <c r="BY729" s="11"/>
      <c r="CF729" s="11"/>
      <c r="CM729" s="11"/>
      <c r="CT729" s="11"/>
      <c r="DA729" s="11"/>
      <c r="DH729" s="11"/>
      <c r="DO729" s="11"/>
    </row>
    <row r="730" ht="15.75" customHeight="1">
      <c r="C730" s="8"/>
      <c r="BD730" s="11"/>
      <c r="BR730" s="11"/>
      <c r="BY730" s="11"/>
      <c r="CF730" s="11"/>
      <c r="CM730" s="11"/>
      <c r="CT730" s="11"/>
      <c r="DA730" s="11"/>
      <c r="DH730" s="11"/>
      <c r="DO730" s="11"/>
    </row>
    <row r="731" ht="15.75" customHeight="1">
      <c r="C731" s="8"/>
      <c r="BD731" s="11"/>
      <c r="BR731" s="11"/>
      <c r="BY731" s="11"/>
      <c r="CF731" s="11"/>
      <c r="CM731" s="11"/>
      <c r="CT731" s="11"/>
      <c r="DA731" s="11"/>
      <c r="DH731" s="11"/>
      <c r="DO731" s="11"/>
    </row>
    <row r="732" ht="15.75" customHeight="1">
      <c r="C732" s="8"/>
      <c r="BD732" s="11"/>
      <c r="BR732" s="11"/>
      <c r="BY732" s="11"/>
      <c r="CF732" s="11"/>
      <c r="CM732" s="11"/>
      <c r="CT732" s="11"/>
      <c r="DA732" s="11"/>
      <c r="DH732" s="11"/>
      <c r="DO732" s="11"/>
    </row>
    <row r="733" ht="15.75" customHeight="1">
      <c r="C733" s="8"/>
      <c r="BD733" s="11"/>
      <c r="BR733" s="11"/>
      <c r="BY733" s="11"/>
      <c r="CF733" s="11"/>
      <c r="CM733" s="11"/>
      <c r="CT733" s="11"/>
      <c r="DA733" s="11"/>
      <c r="DH733" s="11"/>
      <c r="DO733" s="11"/>
    </row>
    <row r="734" ht="15.75" customHeight="1">
      <c r="C734" s="8"/>
      <c r="BD734" s="11"/>
      <c r="BR734" s="11"/>
      <c r="BY734" s="11"/>
      <c r="CF734" s="11"/>
      <c r="CM734" s="11"/>
      <c r="CT734" s="11"/>
      <c r="DA734" s="11"/>
      <c r="DH734" s="11"/>
      <c r="DO734" s="11"/>
    </row>
    <row r="735" ht="15.75" customHeight="1">
      <c r="C735" s="8"/>
      <c r="BD735" s="11"/>
      <c r="BR735" s="11"/>
      <c r="BY735" s="11"/>
      <c r="CF735" s="11"/>
      <c r="CM735" s="11"/>
      <c r="CT735" s="11"/>
      <c r="DA735" s="11"/>
      <c r="DH735" s="11"/>
      <c r="DO735" s="11"/>
    </row>
    <row r="736" ht="15.75" customHeight="1">
      <c r="C736" s="8"/>
      <c r="BD736" s="11"/>
      <c r="BR736" s="11"/>
      <c r="BY736" s="11"/>
      <c r="CF736" s="11"/>
      <c r="CM736" s="11"/>
      <c r="CT736" s="11"/>
      <c r="DA736" s="11"/>
      <c r="DH736" s="11"/>
      <c r="DO736" s="11"/>
    </row>
    <row r="737" ht="15.75" customHeight="1">
      <c r="C737" s="8"/>
      <c r="BD737" s="11"/>
      <c r="BR737" s="11"/>
      <c r="BY737" s="11"/>
      <c r="CF737" s="11"/>
      <c r="CM737" s="11"/>
      <c r="CT737" s="11"/>
      <c r="DA737" s="11"/>
      <c r="DH737" s="11"/>
      <c r="DO737" s="11"/>
    </row>
    <row r="738" ht="15.75" customHeight="1">
      <c r="C738" s="8"/>
      <c r="BD738" s="11"/>
      <c r="BR738" s="11"/>
      <c r="BY738" s="11"/>
      <c r="CF738" s="11"/>
      <c r="CM738" s="11"/>
      <c r="CT738" s="11"/>
      <c r="DA738" s="11"/>
      <c r="DH738" s="11"/>
      <c r="DO738" s="11"/>
    </row>
    <row r="739" ht="15.75" customHeight="1">
      <c r="C739" s="8"/>
      <c r="BD739" s="11"/>
      <c r="BR739" s="11"/>
      <c r="BY739" s="11"/>
      <c r="CF739" s="11"/>
      <c r="CM739" s="11"/>
      <c r="CT739" s="11"/>
      <c r="DA739" s="11"/>
      <c r="DH739" s="11"/>
      <c r="DO739" s="11"/>
    </row>
    <row r="740" ht="15.75" customHeight="1">
      <c r="C740" s="8"/>
      <c r="BD740" s="11"/>
      <c r="BR740" s="11"/>
      <c r="BY740" s="11"/>
      <c r="CF740" s="11"/>
      <c r="CM740" s="11"/>
      <c r="CT740" s="11"/>
      <c r="DA740" s="11"/>
      <c r="DH740" s="11"/>
      <c r="DO740" s="11"/>
    </row>
    <row r="741" ht="15.75" customHeight="1">
      <c r="C741" s="8"/>
      <c r="BD741" s="11"/>
      <c r="BR741" s="11"/>
      <c r="BY741" s="11"/>
      <c r="CF741" s="11"/>
      <c r="CM741" s="11"/>
      <c r="CT741" s="11"/>
      <c r="DA741" s="11"/>
      <c r="DH741" s="11"/>
      <c r="DO741" s="11"/>
    </row>
    <row r="742" ht="15.75" customHeight="1">
      <c r="C742" s="8"/>
      <c r="BD742" s="11"/>
      <c r="BR742" s="11"/>
      <c r="BY742" s="11"/>
      <c r="CF742" s="11"/>
      <c r="CM742" s="11"/>
      <c r="CT742" s="11"/>
      <c r="DA742" s="11"/>
      <c r="DH742" s="11"/>
      <c r="DO742" s="11"/>
    </row>
    <row r="743" ht="15.75" customHeight="1">
      <c r="C743" s="8"/>
      <c r="BD743" s="11"/>
      <c r="BR743" s="11"/>
      <c r="BY743" s="11"/>
      <c r="CF743" s="11"/>
      <c r="CM743" s="11"/>
      <c r="CT743" s="11"/>
      <c r="DA743" s="11"/>
      <c r="DH743" s="11"/>
      <c r="DO743" s="11"/>
    </row>
    <row r="744" ht="15.75" customHeight="1">
      <c r="C744" s="8"/>
      <c r="BD744" s="11"/>
      <c r="BR744" s="11"/>
      <c r="BY744" s="11"/>
      <c r="CF744" s="11"/>
      <c r="CM744" s="11"/>
      <c r="CT744" s="11"/>
      <c r="DA744" s="11"/>
      <c r="DH744" s="11"/>
      <c r="DO744" s="11"/>
    </row>
    <row r="745" ht="15.75" customHeight="1">
      <c r="C745" s="8"/>
      <c r="BD745" s="11"/>
      <c r="BR745" s="11"/>
      <c r="BY745" s="11"/>
      <c r="CF745" s="11"/>
      <c r="CM745" s="11"/>
      <c r="CT745" s="11"/>
      <c r="DA745" s="11"/>
      <c r="DH745" s="11"/>
      <c r="DO745" s="11"/>
    </row>
    <row r="746" ht="15.75" customHeight="1">
      <c r="C746" s="8"/>
      <c r="BD746" s="11"/>
      <c r="BR746" s="11"/>
      <c r="BY746" s="11"/>
      <c r="CF746" s="11"/>
      <c r="CM746" s="11"/>
      <c r="CT746" s="11"/>
      <c r="DA746" s="11"/>
      <c r="DH746" s="11"/>
      <c r="DO746" s="11"/>
    </row>
    <row r="747" ht="15.75" customHeight="1">
      <c r="C747" s="8"/>
      <c r="BD747" s="11"/>
      <c r="BR747" s="11"/>
      <c r="BY747" s="11"/>
      <c r="CF747" s="11"/>
      <c r="CM747" s="11"/>
      <c r="CT747" s="11"/>
      <c r="DA747" s="11"/>
      <c r="DH747" s="11"/>
      <c r="DO747" s="11"/>
    </row>
    <row r="748" ht="15.75" customHeight="1">
      <c r="C748" s="8"/>
      <c r="BD748" s="11"/>
      <c r="BR748" s="11"/>
      <c r="BY748" s="11"/>
      <c r="CF748" s="11"/>
      <c r="CM748" s="11"/>
      <c r="CT748" s="11"/>
      <c r="DA748" s="11"/>
      <c r="DH748" s="11"/>
      <c r="DO748" s="11"/>
    </row>
    <row r="749" ht="15.75" customHeight="1">
      <c r="C749" s="8"/>
      <c r="BD749" s="11"/>
      <c r="BR749" s="11"/>
      <c r="BY749" s="11"/>
      <c r="CF749" s="11"/>
      <c r="CM749" s="11"/>
      <c r="CT749" s="11"/>
      <c r="DA749" s="11"/>
      <c r="DH749" s="11"/>
      <c r="DO749" s="11"/>
    </row>
    <row r="750" ht="15.75" customHeight="1">
      <c r="C750" s="8"/>
      <c r="BD750" s="11"/>
      <c r="BR750" s="11"/>
      <c r="BY750" s="11"/>
      <c r="CF750" s="11"/>
      <c r="CM750" s="11"/>
      <c r="CT750" s="11"/>
      <c r="DA750" s="11"/>
      <c r="DH750" s="11"/>
      <c r="DO750" s="11"/>
    </row>
    <row r="751" ht="15.75" customHeight="1">
      <c r="C751" s="8"/>
      <c r="BD751" s="11"/>
      <c r="BR751" s="11"/>
      <c r="BY751" s="11"/>
      <c r="CF751" s="11"/>
      <c r="CM751" s="11"/>
      <c r="CT751" s="11"/>
      <c r="DA751" s="11"/>
      <c r="DH751" s="11"/>
      <c r="DO751" s="11"/>
    </row>
    <row r="752" ht="15.75" customHeight="1">
      <c r="C752" s="8"/>
      <c r="BD752" s="11"/>
      <c r="BR752" s="11"/>
      <c r="BY752" s="11"/>
      <c r="CF752" s="11"/>
      <c r="CM752" s="11"/>
      <c r="CT752" s="11"/>
      <c r="DA752" s="11"/>
      <c r="DH752" s="11"/>
      <c r="DO752" s="11"/>
    </row>
    <row r="753" ht="15.75" customHeight="1">
      <c r="C753" s="8"/>
      <c r="BD753" s="11"/>
      <c r="BR753" s="11"/>
      <c r="BY753" s="11"/>
      <c r="CF753" s="11"/>
      <c r="CM753" s="11"/>
      <c r="CT753" s="11"/>
      <c r="DA753" s="11"/>
      <c r="DH753" s="11"/>
      <c r="DO753" s="11"/>
    </row>
    <row r="754" ht="15.75" customHeight="1">
      <c r="C754" s="8"/>
      <c r="BD754" s="11"/>
      <c r="BR754" s="11"/>
      <c r="BY754" s="11"/>
      <c r="CF754" s="11"/>
      <c r="CM754" s="11"/>
      <c r="CT754" s="11"/>
      <c r="DA754" s="11"/>
      <c r="DH754" s="11"/>
      <c r="DO754" s="11"/>
    </row>
    <row r="755" ht="15.75" customHeight="1">
      <c r="C755" s="8"/>
      <c r="BD755" s="11"/>
      <c r="BR755" s="11"/>
      <c r="BY755" s="11"/>
      <c r="CF755" s="11"/>
      <c r="CM755" s="11"/>
      <c r="CT755" s="11"/>
      <c r="DA755" s="11"/>
      <c r="DH755" s="11"/>
      <c r="DO755" s="11"/>
    </row>
    <row r="756" ht="15.75" customHeight="1">
      <c r="C756" s="8"/>
      <c r="BD756" s="11"/>
      <c r="BR756" s="11"/>
      <c r="BY756" s="11"/>
      <c r="CF756" s="11"/>
      <c r="CM756" s="11"/>
      <c r="CT756" s="11"/>
      <c r="DA756" s="11"/>
      <c r="DH756" s="11"/>
      <c r="DO756" s="11"/>
    </row>
    <row r="757" ht="15.75" customHeight="1">
      <c r="C757" s="8"/>
      <c r="BD757" s="11"/>
      <c r="BR757" s="11"/>
      <c r="BY757" s="11"/>
      <c r="CF757" s="11"/>
      <c r="CM757" s="11"/>
      <c r="CT757" s="11"/>
      <c r="DA757" s="11"/>
      <c r="DH757" s="11"/>
      <c r="DO757" s="11"/>
    </row>
    <row r="758" ht="15.75" customHeight="1">
      <c r="C758" s="8"/>
      <c r="BD758" s="11"/>
      <c r="BR758" s="11"/>
      <c r="BY758" s="11"/>
      <c r="CF758" s="11"/>
      <c r="CM758" s="11"/>
      <c r="CT758" s="11"/>
      <c r="DA758" s="11"/>
      <c r="DH758" s="11"/>
      <c r="DO758" s="11"/>
    </row>
    <row r="759" ht="15.75" customHeight="1">
      <c r="C759" s="8"/>
      <c r="BD759" s="11"/>
      <c r="BR759" s="11"/>
      <c r="BY759" s="11"/>
      <c r="CF759" s="11"/>
      <c r="CM759" s="11"/>
      <c r="CT759" s="11"/>
      <c r="DA759" s="11"/>
      <c r="DH759" s="11"/>
      <c r="DO759" s="11"/>
    </row>
    <row r="760" ht="15.75" customHeight="1">
      <c r="C760" s="8"/>
      <c r="BD760" s="11"/>
      <c r="BR760" s="11"/>
      <c r="BY760" s="11"/>
      <c r="CF760" s="11"/>
      <c r="CM760" s="11"/>
      <c r="CT760" s="11"/>
      <c r="DA760" s="11"/>
      <c r="DH760" s="11"/>
      <c r="DO760" s="11"/>
    </row>
    <row r="761" ht="15.75" customHeight="1">
      <c r="C761" s="8"/>
      <c r="BD761" s="11"/>
      <c r="BR761" s="11"/>
      <c r="BY761" s="11"/>
      <c r="CF761" s="11"/>
      <c r="CM761" s="11"/>
      <c r="CT761" s="11"/>
      <c r="DA761" s="11"/>
      <c r="DH761" s="11"/>
      <c r="DO761" s="11"/>
    </row>
    <row r="762" ht="15.75" customHeight="1">
      <c r="C762" s="8"/>
      <c r="BD762" s="11"/>
      <c r="BR762" s="11"/>
      <c r="BY762" s="11"/>
      <c r="CF762" s="11"/>
      <c r="CM762" s="11"/>
      <c r="CT762" s="11"/>
      <c r="DA762" s="11"/>
      <c r="DH762" s="11"/>
      <c r="DO762" s="11"/>
    </row>
    <row r="763" ht="15.75" customHeight="1">
      <c r="C763" s="8"/>
      <c r="BD763" s="11"/>
      <c r="BR763" s="11"/>
      <c r="BY763" s="11"/>
      <c r="CF763" s="11"/>
      <c r="CM763" s="11"/>
      <c r="CT763" s="11"/>
      <c r="DA763" s="11"/>
      <c r="DH763" s="11"/>
      <c r="DO763" s="11"/>
    </row>
    <row r="764" ht="15.75" customHeight="1">
      <c r="C764" s="8"/>
      <c r="BD764" s="11"/>
      <c r="BR764" s="11"/>
      <c r="BY764" s="11"/>
      <c r="CF764" s="11"/>
      <c r="CM764" s="11"/>
      <c r="CT764" s="11"/>
      <c r="DA764" s="11"/>
      <c r="DH764" s="11"/>
      <c r="DO764" s="11"/>
    </row>
    <row r="765" ht="15.75" customHeight="1">
      <c r="C765" s="8"/>
      <c r="BD765" s="11"/>
      <c r="BR765" s="11"/>
      <c r="BY765" s="11"/>
      <c r="CF765" s="11"/>
      <c r="CM765" s="11"/>
      <c r="CT765" s="11"/>
      <c r="DA765" s="11"/>
      <c r="DH765" s="11"/>
      <c r="DO765" s="11"/>
    </row>
    <row r="766" ht="15.75" customHeight="1">
      <c r="C766" s="8"/>
      <c r="BD766" s="11"/>
      <c r="BR766" s="11"/>
      <c r="BY766" s="11"/>
      <c r="CF766" s="11"/>
      <c r="CM766" s="11"/>
      <c r="CT766" s="11"/>
      <c r="DA766" s="11"/>
      <c r="DH766" s="11"/>
      <c r="DO766" s="11"/>
    </row>
    <row r="767" ht="15.75" customHeight="1">
      <c r="C767" s="8"/>
      <c r="BD767" s="11"/>
      <c r="BR767" s="11"/>
      <c r="BY767" s="11"/>
      <c r="CF767" s="11"/>
      <c r="CM767" s="11"/>
      <c r="CT767" s="11"/>
      <c r="DA767" s="11"/>
      <c r="DH767" s="11"/>
      <c r="DO767" s="11"/>
    </row>
    <row r="768" ht="15.75" customHeight="1">
      <c r="C768" s="8"/>
      <c r="BD768" s="11"/>
      <c r="BR768" s="11"/>
      <c r="BY768" s="11"/>
      <c r="CF768" s="11"/>
      <c r="CM768" s="11"/>
      <c r="CT768" s="11"/>
      <c r="DA768" s="11"/>
      <c r="DH768" s="11"/>
      <c r="DO768" s="11"/>
    </row>
    <row r="769" ht="15.75" customHeight="1">
      <c r="C769" s="8"/>
      <c r="BD769" s="11"/>
      <c r="BR769" s="11"/>
      <c r="BY769" s="11"/>
      <c r="CF769" s="11"/>
      <c r="CM769" s="11"/>
      <c r="CT769" s="11"/>
      <c r="DA769" s="11"/>
      <c r="DH769" s="11"/>
      <c r="DO769" s="11"/>
    </row>
    <row r="770" ht="15.75" customHeight="1">
      <c r="C770" s="8"/>
      <c r="BD770" s="11"/>
      <c r="BR770" s="11"/>
      <c r="BY770" s="11"/>
      <c r="CF770" s="11"/>
      <c r="CM770" s="11"/>
      <c r="CT770" s="11"/>
      <c r="DA770" s="11"/>
      <c r="DH770" s="11"/>
      <c r="DO770" s="11"/>
    </row>
    <row r="771" ht="15.75" customHeight="1">
      <c r="C771" s="8"/>
      <c r="BD771" s="11"/>
      <c r="BR771" s="11"/>
      <c r="BY771" s="11"/>
      <c r="CF771" s="11"/>
      <c r="CM771" s="11"/>
      <c r="CT771" s="11"/>
      <c r="DA771" s="11"/>
      <c r="DH771" s="11"/>
      <c r="DO771" s="11"/>
    </row>
    <row r="772" ht="15.75" customHeight="1">
      <c r="C772" s="8"/>
      <c r="BD772" s="11"/>
      <c r="BR772" s="11"/>
      <c r="BY772" s="11"/>
      <c r="CF772" s="11"/>
      <c r="CM772" s="11"/>
      <c r="CT772" s="11"/>
      <c r="DA772" s="11"/>
      <c r="DH772" s="11"/>
      <c r="DO772" s="11"/>
    </row>
    <row r="773" ht="15.75" customHeight="1">
      <c r="C773" s="8"/>
      <c r="BD773" s="11"/>
      <c r="BR773" s="11"/>
      <c r="BY773" s="11"/>
      <c r="CF773" s="11"/>
      <c r="CM773" s="11"/>
      <c r="CT773" s="11"/>
      <c r="DA773" s="11"/>
      <c r="DH773" s="11"/>
      <c r="DO773" s="11"/>
    </row>
    <row r="774" ht="15.75" customHeight="1">
      <c r="C774" s="8"/>
      <c r="BD774" s="11"/>
      <c r="BR774" s="11"/>
      <c r="BY774" s="11"/>
      <c r="CF774" s="11"/>
      <c r="CM774" s="11"/>
      <c r="CT774" s="11"/>
      <c r="DA774" s="11"/>
      <c r="DH774" s="11"/>
      <c r="DO774" s="11"/>
    </row>
    <row r="775" ht="15.75" customHeight="1">
      <c r="C775" s="8"/>
      <c r="BD775" s="11"/>
      <c r="BR775" s="11"/>
      <c r="BY775" s="11"/>
      <c r="CF775" s="11"/>
      <c r="CM775" s="11"/>
      <c r="CT775" s="11"/>
      <c r="DA775" s="11"/>
      <c r="DH775" s="11"/>
      <c r="DO775" s="11"/>
    </row>
    <row r="776" ht="15.75" customHeight="1">
      <c r="C776" s="8"/>
      <c r="BD776" s="11"/>
      <c r="BR776" s="11"/>
      <c r="BY776" s="11"/>
      <c r="CF776" s="11"/>
      <c r="CM776" s="11"/>
      <c r="CT776" s="11"/>
      <c r="DA776" s="11"/>
      <c r="DH776" s="11"/>
      <c r="DO776" s="11"/>
    </row>
    <row r="777" ht="15.75" customHeight="1">
      <c r="C777" s="8"/>
      <c r="BD777" s="11"/>
      <c r="BR777" s="11"/>
      <c r="BY777" s="11"/>
      <c r="CF777" s="11"/>
      <c r="CM777" s="11"/>
      <c r="CT777" s="11"/>
      <c r="DA777" s="11"/>
      <c r="DH777" s="11"/>
      <c r="DO777" s="11"/>
    </row>
    <row r="778" ht="15.75" customHeight="1">
      <c r="C778" s="8"/>
      <c r="BD778" s="11"/>
      <c r="BR778" s="11"/>
      <c r="BY778" s="11"/>
      <c r="CF778" s="11"/>
      <c r="CM778" s="11"/>
      <c r="CT778" s="11"/>
      <c r="DA778" s="11"/>
      <c r="DH778" s="11"/>
      <c r="DO778" s="11"/>
    </row>
    <row r="779" ht="15.75" customHeight="1">
      <c r="C779" s="8"/>
      <c r="BD779" s="11"/>
      <c r="BR779" s="11"/>
      <c r="BY779" s="11"/>
      <c r="CF779" s="11"/>
      <c r="CM779" s="11"/>
      <c r="CT779" s="11"/>
      <c r="DA779" s="11"/>
      <c r="DH779" s="11"/>
      <c r="DO779" s="11"/>
    </row>
    <row r="780" ht="15.75" customHeight="1">
      <c r="C780" s="8"/>
      <c r="BD780" s="11"/>
      <c r="BR780" s="11"/>
      <c r="BY780" s="11"/>
      <c r="CF780" s="11"/>
      <c r="CM780" s="11"/>
      <c r="CT780" s="11"/>
      <c r="DA780" s="11"/>
      <c r="DH780" s="11"/>
      <c r="DO780" s="11"/>
    </row>
    <row r="781" ht="15.75" customHeight="1">
      <c r="C781" s="8"/>
      <c r="BD781" s="11"/>
      <c r="BR781" s="11"/>
      <c r="BY781" s="11"/>
      <c r="CF781" s="11"/>
      <c r="CM781" s="11"/>
      <c r="CT781" s="11"/>
      <c r="DA781" s="11"/>
      <c r="DH781" s="11"/>
      <c r="DO781" s="11"/>
    </row>
    <row r="782" ht="15.75" customHeight="1">
      <c r="C782" s="8"/>
      <c r="BD782" s="11"/>
      <c r="BR782" s="11"/>
      <c r="BY782" s="11"/>
      <c r="CF782" s="11"/>
      <c r="CM782" s="11"/>
      <c r="CT782" s="11"/>
      <c r="DA782" s="11"/>
      <c r="DH782" s="11"/>
      <c r="DO782" s="11"/>
    </row>
    <row r="783" ht="15.75" customHeight="1">
      <c r="C783" s="8"/>
      <c r="BD783" s="11"/>
      <c r="BR783" s="11"/>
      <c r="BY783" s="11"/>
      <c r="CF783" s="11"/>
      <c r="CM783" s="11"/>
      <c r="CT783" s="11"/>
      <c r="DA783" s="11"/>
      <c r="DH783" s="11"/>
      <c r="DO783" s="11"/>
    </row>
    <row r="784" ht="15.75" customHeight="1">
      <c r="C784" s="8"/>
      <c r="BD784" s="11"/>
      <c r="BR784" s="11"/>
      <c r="BY784" s="11"/>
      <c r="CF784" s="11"/>
      <c r="CM784" s="11"/>
      <c r="CT784" s="11"/>
      <c r="DA784" s="11"/>
      <c r="DH784" s="11"/>
      <c r="DO784" s="11"/>
    </row>
    <row r="785" ht="15.75" customHeight="1">
      <c r="C785" s="8"/>
      <c r="BD785" s="11"/>
      <c r="BR785" s="11"/>
      <c r="BY785" s="11"/>
      <c r="CF785" s="11"/>
      <c r="CM785" s="11"/>
      <c r="CT785" s="11"/>
      <c r="DA785" s="11"/>
      <c r="DH785" s="11"/>
      <c r="DO785" s="11"/>
    </row>
    <row r="786" ht="15.75" customHeight="1">
      <c r="C786" s="8"/>
      <c r="BD786" s="11"/>
      <c r="BR786" s="11"/>
      <c r="BY786" s="11"/>
      <c r="CF786" s="11"/>
      <c r="CM786" s="11"/>
      <c r="CT786" s="11"/>
      <c r="DA786" s="11"/>
      <c r="DH786" s="11"/>
      <c r="DO786" s="11"/>
    </row>
    <row r="787" ht="15.75" customHeight="1">
      <c r="C787" s="8"/>
      <c r="BD787" s="11"/>
      <c r="BR787" s="11"/>
      <c r="BY787" s="11"/>
      <c r="CF787" s="11"/>
      <c r="CM787" s="11"/>
      <c r="CT787" s="11"/>
      <c r="DA787" s="11"/>
      <c r="DH787" s="11"/>
      <c r="DO787" s="11"/>
    </row>
    <row r="788" ht="15.75" customHeight="1">
      <c r="C788" s="8"/>
      <c r="BD788" s="11"/>
      <c r="BR788" s="11"/>
      <c r="BY788" s="11"/>
      <c r="CF788" s="11"/>
      <c r="CM788" s="11"/>
      <c r="CT788" s="11"/>
      <c r="DA788" s="11"/>
      <c r="DH788" s="11"/>
      <c r="DO788" s="11"/>
    </row>
    <row r="789" ht="15.75" customHeight="1">
      <c r="C789" s="8"/>
      <c r="BD789" s="11"/>
      <c r="BR789" s="11"/>
      <c r="BY789" s="11"/>
      <c r="CF789" s="11"/>
      <c r="CM789" s="11"/>
      <c r="CT789" s="11"/>
      <c r="DA789" s="11"/>
      <c r="DH789" s="11"/>
      <c r="DO789" s="11"/>
    </row>
    <row r="790" ht="15.75" customHeight="1">
      <c r="C790" s="8"/>
      <c r="BD790" s="11"/>
      <c r="BR790" s="11"/>
      <c r="BY790" s="11"/>
      <c r="CF790" s="11"/>
      <c r="CM790" s="11"/>
      <c r="CT790" s="11"/>
      <c r="DA790" s="11"/>
      <c r="DH790" s="11"/>
      <c r="DO790" s="11"/>
    </row>
    <row r="791" ht="15.75" customHeight="1">
      <c r="C791" s="8"/>
      <c r="BD791" s="11"/>
      <c r="BR791" s="11"/>
      <c r="BY791" s="11"/>
      <c r="CF791" s="11"/>
      <c r="CM791" s="11"/>
      <c r="CT791" s="11"/>
      <c r="DA791" s="11"/>
      <c r="DH791" s="11"/>
      <c r="DO791" s="11"/>
    </row>
    <row r="792" ht="15.75" customHeight="1">
      <c r="C792" s="8"/>
      <c r="BD792" s="11"/>
      <c r="BR792" s="11"/>
      <c r="BY792" s="11"/>
      <c r="CF792" s="11"/>
      <c r="CM792" s="11"/>
      <c r="CT792" s="11"/>
      <c r="DA792" s="11"/>
      <c r="DH792" s="11"/>
      <c r="DO792" s="11"/>
    </row>
    <row r="793" ht="15.75" customHeight="1">
      <c r="C793" s="8"/>
      <c r="BD793" s="11"/>
      <c r="BR793" s="11"/>
      <c r="BY793" s="11"/>
      <c r="CF793" s="11"/>
      <c r="CM793" s="11"/>
      <c r="CT793" s="11"/>
      <c r="DA793" s="11"/>
      <c r="DH793" s="11"/>
      <c r="DO793" s="11"/>
    </row>
    <row r="794" ht="15.75" customHeight="1">
      <c r="C794" s="8"/>
      <c r="BD794" s="11"/>
      <c r="BR794" s="11"/>
      <c r="BY794" s="11"/>
      <c r="CF794" s="11"/>
      <c r="CM794" s="11"/>
      <c r="CT794" s="11"/>
      <c r="DA794" s="11"/>
      <c r="DH794" s="11"/>
      <c r="DO794" s="11"/>
    </row>
    <row r="795" ht="15.75" customHeight="1">
      <c r="C795" s="8"/>
      <c r="BD795" s="11"/>
      <c r="BR795" s="11"/>
      <c r="BY795" s="11"/>
      <c r="CF795" s="11"/>
      <c r="CM795" s="11"/>
      <c r="CT795" s="11"/>
      <c r="DA795" s="11"/>
      <c r="DH795" s="11"/>
      <c r="DO795" s="11"/>
    </row>
    <row r="796" ht="15.75" customHeight="1">
      <c r="C796" s="8"/>
      <c r="BD796" s="11"/>
      <c r="BR796" s="11"/>
      <c r="BY796" s="11"/>
      <c r="CF796" s="11"/>
      <c r="CM796" s="11"/>
      <c r="CT796" s="11"/>
      <c r="DA796" s="11"/>
      <c r="DH796" s="11"/>
      <c r="DO796" s="11"/>
    </row>
    <row r="797" ht="15.75" customHeight="1">
      <c r="C797" s="8"/>
      <c r="BD797" s="11"/>
      <c r="BR797" s="11"/>
      <c r="BY797" s="11"/>
      <c r="CF797" s="11"/>
      <c r="CM797" s="11"/>
      <c r="CT797" s="11"/>
      <c r="DA797" s="11"/>
      <c r="DH797" s="11"/>
      <c r="DO797" s="11"/>
    </row>
    <row r="798" ht="15.75" customHeight="1">
      <c r="C798" s="8"/>
      <c r="BD798" s="11"/>
      <c r="BR798" s="11"/>
      <c r="BY798" s="11"/>
      <c r="CF798" s="11"/>
      <c r="CM798" s="11"/>
      <c r="CT798" s="11"/>
      <c r="DA798" s="11"/>
      <c r="DH798" s="11"/>
      <c r="DO798" s="11"/>
    </row>
    <row r="799" ht="15.75" customHeight="1">
      <c r="C799" s="8"/>
      <c r="BD799" s="11"/>
      <c r="BR799" s="11"/>
      <c r="BY799" s="11"/>
      <c r="CF799" s="11"/>
      <c r="CM799" s="11"/>
      <c r="CT799" s="11"/>
      <c r="DA799" s="11"/>
      <c r="DH799" s="11"/>
      <c r="DO799" s="11"/>
    </row>
    <row r="800" ht="15.75" customHeight="1">
      <c r="C800" s="8"/>
      <c r="BD800" s="11"/>
      <c r="BR800" s="11"/>
      <c r="BY800" s="11"/>
      <c r="CF800" s="11"/>
      <c r="CM800" s="11"/>
      <c r="CT800" s="11"/>
      <c r="DA800" s="11"/>
      <c r="DH800" s="11"/>
      <c r="DO800" s="11"/>
    </row>
    <row r="801" ht="15.75" customHeight="1">
      <c r="C801" s="8"/>
      <c r="BD801" s="11"/>
      <c r="BR801" s="11"/>
      <c r="BY801" s="11"/>
      <c r="CF801" s="11"/>
      <c r="CM801" s="11"/>
      <c r="CT801" s="11"/>
      <c r="DA801" s="11"/>
      <c r="DH801" s="11"/>
      <c r="DO801" s="11"/>
    </row>
    <row r="802" ht="15.75" customHeight="1">
      <c r="C802" s="8"/>
      <c r="BD802" s="11"/>
      <c r="BR802" s="11"/>
      <c r="BY802" s="11"/>
      <c r="CF802" s="11"/>
      <c r="CM802" s="11"/>
      <c r="CT802" s="11"/>
      <c r="DA802" s="11"/>
      <c r="DH802" s="11"/>
      <c r="DO802" s="11"/>
    </row>
    <row r="803" ht="15.75" customHeight="1">
      <c r="C803" s="8"/>
      <c r="BD803" s="11"/>
      <c r="BR803" s="11"/>
      <c r="BY803" s="11"/>
      <c r="CF803" s="11"/>
      <c r="CM803" s="11"/>
      <c r="CT803" s="11"/>
      <c r="DA803" s="11"/>
      <c r="DH803" s="11"/>
      <c r="DO803" s="11"/>
    </row>
    <row r="804" ht="15.75" customHeight="1">
      <c r="C804" s="8"/>
      <c r="BD804" s="11"/>
      <c r="BR804" s="11"/>
      <c r="BY804" s="11"/>
      <c r="CF804" s="11"/>
      <c r="CM804" s="11"/>
      <c r="CT804" s="11"/>
      <c r="DA804" s="11"/>
      <c r="DH804" s="11"/>
      <c r="DO804" s="11"/>
    </row>
    <row r="805" ht="15.75" customHeight="1">
      <c r="C805" s="8"/>
      <c r="BD805" s="11"/>
      <c r="BR805" s="11"/>
      <c r="BY805" s="11"/>
      <c r="CF805" s="11"/>
      <c r="CM805" s="11"/>
      <c r="CT805" s="11"/>
      <c r="DA805" s="11"/>
      <c r="DH805" s="11"/>
      <c r="DO805" s="11"/>
    </row>
    <row r="806" ht="15.75" customHeight="1">
      <c r="C806" s="8"/>
      <c r="BD806" s="11"/>
      <c r="BR806" s="11"/>
      <c r="BY806" s="11"/>
      <c r="CF806" s="11"/>
      <c r="CM806" s="11"/>
      <c r="CT806" s="11"/>
      <c r="DA806" s="11"/>
      <c r="DH806" s="11"/>
      <c r="DO806" s="11"/>
    </row>
    <row r="807" ht="15.75" customHeight="1">
      <c r="C807" s="8"/>
      <c r="BD807" s="11"/>
      <c r="BR807" s="11"/>
      <c r="BY807" s="11"/>
      <c r="CF807" s="11"/>
      <c r="CM807" s="11"/>
      <c r="CT807" s="11"/>
      <c r="DA807" s="11"/>
      <c r="DH807" s="11"/>
      <c r="DO807" s="11"/>
    </row>
    <row r="808" ht="15.75" customHeight="1">
      <c r="C808" s="8"/>
      <c r="BD808" s="11"/>
      <c r="BR808" s="11"/>
      <c r="BY808" s="11"/>
      <c r="CF808" s="11"/>
      <c r="CM808" s="11"/>
      <c r="CT808" s="11"/>
      <c r="DA808" s="11"/>
      <c r="DH808" s="11"/>
      <c r="DO808" s="11"/>
    </row>
    <row r="809" ht="15.75" customHeight="1">
      <c r="C809" s="8"/>
      <c r="BD809" s="11"/>
      <c r="BR809" s="11"/>
      <c r="BY809" s="11"/>
      <c r="CF809" s="11"/>
      <c r="CM809" s="11"/>
      <c r="CT809" s="11"/>
      <c r="DA809" s="11"/>
      <c r="DH809" s="11"/>
      <c r="DO809" s="11"/>
    </row>
    <row r="810" ht="15.75" customHeight="1">
      <c r="C810" s="8"/>
      <c r="BD810" s="11"/>
      <c r="BR810" s="11"/>
      <c r="BY810" s="11"/>
      <c r="CF810" s="11"/>
      <c r="CM810" s="11"/>
      <c r="CT810" s="11"/>
      <c r="DA810" s="11"/>
      <c r="DH810" s="11"/>
      <c r="DO810" s="11"/>
    </row>
    <row r="811" ht="15.75" customHeight="1">
      <c r="C811" s="8"/>
      <c r="BD811" s="11"/>
      <c r="BR811" s="11"/>
      <c r="BY811" s="11"/>
      <c r="CF811" s="11"/>
      <c r="CM811" s="11"/>
      <c r="CT811" s="11"/>
      <c r="DA811" s="11"/>
      <c r="DH811" s="11"/>
      <c r="DO811" s="11"/>
    </row>
    <row r="812" ht="15.75" customHeight="1">
      <c r="C812" s="8"/>
      <c r="BD812" s="11"/>
      <c r="BR812" s="11"/>
      <c r="BY812" s="11"/>
      <c r="CF812" s="11"/>
      <c r="CM812" s="11"/>
      <c r="CT812" s="11"/>
      <c r="DA812" s="11"/>
      <c r="DH812" s="11"/>
      <c r="DO812" s="11"/>
    </row>
    <row r="813" ht="15.75" customHeight="1">
      <c r="C813" s="8"/>
      <c r="BD813" s="11"/>
      <c r="BR813" s="11"/>
      <c r="BY813" s="11"/>
      <c r="CF813" s="11"/>
      <c r="CM813" s="11"/>
      <c r="CT813" s="11"/>
      <c r="DA813" s="11"/>
      <c r="DH813" s="11"/>
      <c r="DO813" s="11"/>
    </row>
    <row r="814" ht="15.75" customHeight="1">
      <c r="C814" s="8"/>
      <c r="BD814" s="11"/>
      <c r="BR814" s="11"/>
      <c r="BY814" s="11"/>
      <c r="CF814" s="11"/>
      <c r="CM814" s="11"/>
      <c r="CT814" s="11"/>
      <c r="DA814" s="11"/>
      <c r="DH814" s="11"/>
      <c r="DO814" s="11"/>
    </row>
    <row r="815" ht="15.75" customHeight="1">
      <c r="C815" s="8"/>
      <c r="BD815" s="11"/>
      <c r="BR815" s="11"/>
      <c r="BY815" s="11"/>
      <c r="CF815" s="11"/>
      <c r="CM815" s="11"/>
      <c r="CT815" s="11"/>
      <c r="DA815" s="11"/>
      <c r="DH815" s="11"/>
      <c r="DO815" s="11"/>
    </row>
    <row r="816" ht="15.75" customHeight="1">
      <c r="C816" s="8"/>
      <c r="BD816" s="11"/>
      <c r="BR816" s="11"/>
      <c r="BY816" s="11"/>
      <c r="CF816" s="11"/>
      <c r="CM816" s="11"/>
      <c r="CT816" s="11"/>
      <c r="DA816" s="11"/>
      <c r="DH816" s="11"/>
      <c r="DO816" s="11"/>
    </row>
    <row r="817" ht="15.75" customHeight="1">
      <c r="C817" s="8"/>
      <c r="BD817" s="11"/>
      <c r="BR817" s="11"/>
      <c r="BY817" s="11"/>
      <c r="CF817" s="11"/>
      <c r="CM817" s="11"/>
      <c r="CT817" s="11"/>
      <c r="DA817" s="11"/>
      <c r="DH817" s="11"/>
      <c r="DO817" s="11"/>
    </row>
    <row r="818" ht="15.75" customHeight="1">
      <c r="C818" s="8"/>
      <c r="BD818" s="11"/>
      <c r="BR818" s="11"/>
      <c r="BY818" s="11"/>
      <c r="CF818" s="11"/>
      <c r="CM818" s="11"/>
      <c r="CT818" s="11"/>
      <c r="DA818" s="11"/>
      <c r="DH818" s="11"/>
      <c r="DO818" s="11"/>
    </row>
    <row r="819" ht="15.75" customHeight="1">
      <c r="C819" s="8"/>
      <c r="BD819" s="11"/>
      <c r="BR819" s="11"/>
      <c r="BY819" s="11"/>
      <c r="CF819" s="11"/>
      <c r="CM819" s="11"/>
      <c r="CT819" s="11"/>
      <c r="DA819" s="11"/>
      <c r="DH819" s="11"/>
      <c r="DO819" s="11"/>
    </row>
    <row r="820" ht="15.75" customHeight="1">
      <c r="C820" s="8"/>
      <c r="BD820" s="11"/>
      <c r="BR820" s="11"/>
      <c r="BY820" s="11"/>
      <c r="CF820" s="11"/>
      <c r="CM820" s="11"/>
      <c r="CT820" s="11"/>
      <c r="DA820" s="11"/>
      <c r="DH820" s="11"/>
      <c r="DO820" s="11"/>
    </row>
    <row r="821" ht="15.75" customHeight="1">
      <c r="C821" s="8"/>
      <c r="BD821" s="11"/>
      <c r="BR821" s="11"/>
      <c r="BY821" s="11"/>
      <c r="CF821" s="11"/>
      <c r="CM821" s="11"/>
      <c r="CT821" s="11"/>
      <c r="DA821" s="11"/>
      <c r="DH821" s="11"/>
      <c r="DO821" s="11"/>
    </row>
    <row r="822" ht="15.75" customHeight="1">
      <c r="C822" s="8"/>
      <c r="BD822" s="11"/>
      <c r="BR822" s="11"/>
      <c r="BY822" s="11"/>
      <c r="CF822" s="11"/>
      <c r="CM822" s="11"/>
      <c r="CT822" s="11"/>
      <c r="DA822" s="11"/>
      <c r="DH822" s="11"/>
      <c r="DO822" s="11"/>
    </row>
    <row r="823" ht="15.75" customHeight="1">
      <c r="C823" s="8"/>
      <c r="BD823" s="11"/>
      <c r="BR823" s="11"/>
      <c r="BY823" s="11"/>
      <c r="CF823" s="11"/>
      <c r="CM823" s="11"/>
      <c r="CT823" s="11"/>
      <c r="DA823" s="11"/>
      <c r="DH823" s="11"/>
      <c r="DO823" s="11"/>
    </row>
    <row r="824" ht="15.75" customHeight="1">
      <c r="C824" s="8"/>
      <c r="BD824" s="11"/>
      <c r="BR824" s="11"/>
      <c r="BY824" s="11"/>
      <c r="CF824" s="11"/>
      <c r="CM824" s="11"/>
      <c r="CT824" s="11"/>
      <c r="DA824" s="11"/>
      <c r="DH824" s="11"/>
      <c r="DO824" s="11"/>
    </row>
    <row r="825" ht="15.75" customHeight="1">
      <c r="C825" s="8"/>
      <c r="BD825" s="11"/>
      <c r="BR825" s="11"/>
      <c r="BY825" s="11"/>
      <c r="CF825" s="11"/>
      <c r="CM825" s="11"/>
      <c r="CT825" s="11"/>
      <c r="DA825" s="11"/>
      <c r="DH825" s="11"/>
      <c r="DO825" s="11"/>
    </row>
    <row r="826" ht="15.75" customHeight="1">
      <c r="C826" s="8"/>
      <c r="BD826" s="11"/>
      <c r="BR826" s="11"/>
      <c r="BY826" s="11"/>
      <c r="CF826" s="11"/>
      <c r="CM826" s="11"/>
      <c r="CT826" s="11"/>
      <c r="DA826" s="11"/>
      <c r="DH826" s="11"/>
      <c r="DO826" s="11"/>
    </row>
    <row r="827" ht="15.75" customHeight="1">
      <c r="C827" s="8"/>
      <c r="BD827" s="11"/>
      <c r="BR827" s="11"/>
      <c r="BY827" s="11"/>
      <c r="CF827" s="11"/>
      <c r="CM827" s="11"/>
      <c r="CT827" s="11"/>
      <c r="DA827" s="11"/>
      <c r="DH827" s="11"/>
      <c r="DO827" s="11"/>
    </row>
    <row r="828" ht="15.75" customHeight="1">
      <c r="C828" s="8"/>
      <c r="BD828" s="11"/>
      <c r="BR828" s="11"/>
      <c r="BY828" s="11"/>
      <c r="CF828" s="11"/>
      <c r="CM828" s="11"/>
      <c r="CT828" s="11"/>
      <c r="DA828" s="11"/>
      <c r="DH828" s="11"/>
      <c r="DO828" s="11"/>
    </row>
    <row r="829" ht="15.75" customHeight="1">
      <c r="C829" s="8"/>
      <c r="BD829" s="11"/>
      <c r="BR829" s="11"/>
      <c r="BY829" s="11"/>
      <c r="CF829" s="11"/>
      <c r="CM829" s="11"/>
      <c r="CT829" s="11"/>
      <c r="DA829" s="11"/>
      <c r="DH829" s="11"/>
      <c r="DO829" s="11"/>
    </row>
    <row r="830" ht="15.75" customHeight="1">
      <c r="C830" s="8"/>
      <c r="BD830" s="11"/>
      <c r="BR830" s="11"/>
      <c r="BY830" s="11"/>
      <c r="CF830" s="11"/>
      <c r="CM830" s="11"/>
      <c r="CT830" s="11"/>
      <c r="DA830" s="11"/>
      <c r="DH830" s="11"/>
      <c r="DO830" s="11"/>
    </row>
    <row r="831" ht="15.75" customHeight="1">
      <c r="C831" s="8"/>
      <c r="BD831" s="11"/>
      <c r="BR831" s="11"/>
      <c r="BY831" s="11"/>
      <c r="CF831" s="11"/>
      <c r="CM831" s="11"/>
      <c r="CT831" s="11"/>
      <c r="DA831" s="11"/>
      <c r="DH831" s="11"/>
      <c r="DO831" s="11"/>
    </row>
    <row r="832" ht="15.75" customHeight="1">
      <c r="C832" s="8"/>
      <c r="BD832" s="11"/>
      <c r="BR832" s="11"/>
      <c r="BY832" s="11"/>
      <c r="CF832" s="11"/>
      <c r="CM832" s="11"/>
      <c r="CT832" s="11"/>
      <c r="DA832" s="11"/>
      <c r="DH832" s="11"/>
      <c r="DO832" s="11"/>
    </row>
    <row r="833" ht="15.75" customHeight="1">
      <c r="C833" s="8"/>
      <c r="BD833" s="11"/>
      <c r="BR833" s="11"/>
      <c r="BY833" s="11"/>
      <c r="CF833" s="11"/>
      <c r="CM833" s="11"/>
      <c r="CT833" s="11"/>
      <c r="DA833" s="11"/>
      <c r="DH833" s="11"/>
      <c r="DO833" s="11"/>
    </row>
    <row r="834" ht="15.75" customHeight="1">
      <c r="C834" s="8"/>
      <c r="BD834" s="11"/>
      <c r="BR834" s="11"/>
      <c r="BY834" s="11"/>
      <c r="CF834" s="11"/>
      <c r="CM834" s="11"/>
      <c r="CT834" s="11"/>
      <c r="DA834" s="11"/>
      <c r="DH834" s="11"/>
      <c r="DO834" s="11"/>
    </row>
    <row r="835" ht="15.75" customHeight="1">
      <c r="C835" s="8"/>
      <c r="BD835" s="11"/>
      <c r="BR835" s="11"/>
      <c r="BY835" s="11"/>
      <c r="CF835" s="11"/>
      <c r="CM835" s="11"/>
      <c r="CT835" s="11"/>
      <c r="DA835" s="11"/>
      <c r="DH835" s="11"/>
      <c r="DO835" s="11"/>
    </row>
    <row r="836" ht="15.75" customHeight="1">
      <c r="C836" s="8"/>
      <c r="BD836" s="11"/>
      <c r="BR836" s="11"/>
      <c r="BY836" s="11"/>
      <c r="CF836" s="11"/>
      <c r="CM836" s="11"/>
      <c r="CT836" s="11"/>
      <c r="DA836" s="11"/>
      <c r="DH836" s="11"/>
      <c r="DO836" s="11"/>
    </row>
    <row r="837" ht="15.75" customHeight="1">
      <c r="C837" s="8"/>
      <c r="BD837" s="11"/>
      <c r="BR837" s="11"/>
      <c r="BY837" s="11"/>
      <c r="CF837" s="11"/>
      <c r="CM837" s="11"/>
      <c r="CT837" s="11"/>
      <c r="DA837" s="11"/>
      <c r="DH837" s="11"/>
      <c r="DO837" s="11"/>
    </row>
    <row r="838" ht="15.75" customHeight="1">
      <c r="C838" s="8"/>
      <c r="BD838" s="11"/>
      <c r="BR838" s="11"/>
      <c r="BY838" s="11"/>
      <c r="CF838" s="11"/>
      <c r="CM838" s="11"/>
      <c r="CT838" s="11"/>
      <c r="DA838" s="11"/>
      <c r="DH838" s="11"/>
      <c r="DO838" s="11"/>
    </row>
    <row r="839" ht="15.75" customHeight="1">
      <c r="C839" s="8"/>
      <c r="BD839" s="11"/>
      <c r="BR839" s="11"/>
      <c r="BY839" s="11"/>
      <c r="CF839" s="11"/>
      <c r="CM839" s="11"/>
      <c r="CT839" s="11"/>
      <c r="DA839" s="11"/>
      <c r="DH839" s="11"/>
      <c r="DO839" s="11"/>
    </row>
    <row r="840" ht="15.75" customHeight="1">
      <c r="C840" s="8"/>
      <c r="BD840" s="11"/>
      <c r="BR840" s="11"/>
      <c r="BY840" s="11"/>
      <c r="CF840" s="11"/>
      <c r="CM840" s="11"/>
      <c r="CT840" s="11"/>
      <c r="DA840" s="11"/>
      <c r="DH840" s="11"/>
      <c r="DO840" s="11"/>
    </row>
    <row r="841" ht="15.75" customHeight="1">
      <c r="C841" s="8"/>
      <c r="BD841" s="11"/>
      <c r="BR841" s="11"/>
      <c r="BY841" s="11"/>
      <c r="CF841" s="11"/>
      <c r="CM841" s="11"/>
      <c r="CT841" s="11"/>
      <c r="DA841" s="11"/>
      <c r="DH841" s="11"/>
      <c r="DO841" s="11"/>
    </row>
    <row r="842" ht="15.75" customHeight="1">
      <c r="C842" s="8"/>
      <c r="BD842" s="11"/>
      <c r="BR842" s="11"/>
      <c r="BY842" s="11"/>
      <c r="CF842" s="11"/>
      <c r="CM842" s="11"/>
      <c r="CT842" s="11"/>
      <c r="DA842" s="11"/>
      <c r="DH842" s="11"/>
      <c r="DO842" s="11"/>
    </row>
    <row r="843" ht="15.75" customHeight="1">
      <c r="C843" s="8"/>
      <c r="BD843" s="11"/>
      <c r="BR843" s="11"/>
      <c r="BY843" s="11"/>
      <c r="CF843" s="11"/>
      <c r="CM843" s="11"/>
      <c r="CT843" s="11"/>
      <c r="DA843" s="11"/>
      <c r="DH843" s="11"/>
      <c r="DO843" s="11"/>
    </row>
    <row r="844" ht="15.75" customHeight="1">
      <c r="C844" s="8"/>
      <c r="BD844" s="11"/>
      <c r="BR844" s="11"/>
      <c r="BY844" s="11"/>
      <c r="CF844" s="11"/>
      <c r="CM844" s="11"/>
      <c r="CT844" s="11"/>
      <c r="DA844" s="11"/>
      <c r="DH844" s="11"/>
      <c r="DO844" s="11"/>
    </row>
    <row r="845" ht="15.75" customHeight="1">
      <c r="C845" s="8"/>
      <c r="BD845" s="11"/>
      <c r="BR845" s="11"/>
      <c r="BY845" s="11"/>
      <c r="CF845" s="11"/>
      <c r="CM845" s="11"/>
      <c r="CT845" s="11"/>
      <c r="DA845" s="11"/>
      <c r="DH845" s="11"/>
      <c r="DO845" s="11"/>
    </row>
    <row r="846" ht="15.75" customHeight="1">
      <c r="C846" s="8"/>
      <c r="BD846" s="11"/>
      <c r="BR846" s="11"/>
      <c r="BY846" s="11"/>
      <c r="CF846" s="11"/>
      <c r="CM846" s="11"/>
      <c r="CT846" s="11"/>
      <c r="DA846" s="11"/>
      <c r="DH846" s="11"/>
      <c r="DO846" s="11"/>
    </row>
    <row r="847" ht="15.75" customHeight="1">
      <c r="C847" s="8"/>
      <c r="BD847" s="11"/>
      <c r="BR847" s="11"/>
      <c r="BY847" s="11"/>
      <c r="CF847" s="11"/>
      <c r="CM847" s="11"/>
      <c r="CT847" s="11"/>
      <c r="DA847" s="11"/>
      <c r="DH847" s="11"/>
      <c r="DO847" s="11"/>
    </row>
    <row r="848" ht="15.75" customHeight="1">
      <c r="C848" s="8"/>
      <c r="BD848" s="11"/>
      <c r="BR848" s="11"/>
      <c r="BY848" s="11"/>
      <c r="CF848" s="11"/>
      <c r="CM848" s="11"/>
      <c r="CT848" s="11"/>
      <c r="DA848" s="11"/>
      <c r="DH848" s="11"/>
      <c r="DO848" s="11"/>
    </row>
    <row r="849" ht="15.75" customHeight="1">
      <c r="C849" s="8"/>
      <c r="BD849" s="11"/>
      <c r="BR849" s="11"/>
      <c r="BY849" s="11"/>
      <c r="CF849" s="11"/>
      <c r="CM849" s="11"/>
      <c r="CT849" s="11"/>
      <c r="DA849" s="11"/>
      <c r="DH849" s="11"/>
      <c r="DO849" s="11"/>
    </row>
    <row r="850" ht="15.75" customHeight="1">
      <c r="C850" s="8"/>
      <c r="BD850" s="11"/>
      <c r="BR850" s="11"/>
      <c r="BY850" s="11"/>
      <c r="CF850" s="11"/>
      <c r="CM850" s="11"/>
      <c r="CT850" s="11"/>
      <c r="DA850" s="11"/>
      <c r="DH850" s="11"/>
      <c r="DO850" s="11"/>
    </row>
    <row r="851" ht="15.75" customHeight="1">
      <c r="C851" s="8"/>
      <c r="BD851" s="11"/>
      <c r="BR851" s="11"/>
      <c r="BY851" s="11"/>
      <c r="CF851" s="11"/>
      <c r="CM851" s="11"/>
      <c r="CT851" s="11"/>
      <c r="DA851" s="11"/>
      <c r="DH851" s="11"/>
      <c r="DO851" s="11"/>
    </row>
    <row r="852" ht="15.75" customHeight="1">
      <c r="C852" s="8"/>
      <c r="BD852" s="11"/>
      <c r="BR852" s="11"/>
      <c r="BY852" s="11"/>
      <c r="CF852" s="11"/>
      <c r="CM852" s="11"/>
      <c r="CT852" s="11"/>
      <c r="DA852" s="11"/>
      <c r="DH852" s="11"/>
      <c r="DO852" s="11"/>
    </row>
    <row r="853" ht="15.75" customHeight="1">
      <c r="C853" s="8"/>
      <c r="BD853" s="11"/>
      <c r="BR853" s="11"/>
      <c r="BY853" s="11"/>
      <c r="CF853" s="11"/>
      <c r="CM853" s="11"/>
      <c r="CT853" s="11"/>
      <c r="DA853" s="11"/>
      <c r="DH853" s="11"/>
      <c r="DO853" s="11"/>
    </row>
    <row r="854" ht="15.75" customHeight="1">
      <c r="C854" s="8"/>
      <c r="BD854" s="11"/>
      <c r="BR854" s="11"/>
      <c r="BY854" s="11"/>
      <c r="CF854" s="11"/>
      <c r="CM854" s="11"/>
      <c r="CT854" s="11"/>
      <c r="DA854" s="11"/>
      <c r="DH854" s="11"/>
      <c r="DO854" s="11"/>
    </row>
    <row r="855" ht="15.75" customHeight="1">
      <c r="C855" s="8"/>
      <c r="BD855" s="11"/>
      <c r="BR855" s="11"/>
      <c r="BY855" s="11"/>
      <c r="CF855" s="11"/>
      <c r="CM855" s="11"/>
      <c r="CT855" s="11"/>
      <c r="DA855" s="11"/>
      <c r="DH855" s="11"/>
      <c r="DO855" s="11"/>
    </row>
    <row r="856" ht="15.75" customHeight="1">
      <c r="C856" s="8"/>
      <c r="BD856" s="11"/>
      <c r="BR856" s="11"/>
      <c r="BY856" s="11"/>
      <c r="CF856" s="11"/>
      <c r="CM856" s="11"/>
      <c r="CT856" s="11"/>
      <c r="DA856" s="11"/>
      <c r="DH856" s="11"/>
      <c r="DO856" s="11"/>
    </row>
    <row r="857" ht="15.75" customHeight="1">
      <c r="C857" s="8"/>
      <c r="BD857" s="11"/>
      <c r="BR857" s="11"/>
      <c r="BY857" s="11"/>
      <c r="CF857" s="11"/>
      <c r="CM857" s="11"/>
      <c r="CT857" s="11"/>
      <c r="DA857" s="11"/>
      <c r="DH857" s="11"/>
      <c r="DO857" s="11"/>
    </row>
    <row r="858" ht="15.75" customHeight="1">
      <c r="C858" s="8"/>
      <c r="BD858" s="11"/>
      <c r="BR858" s="11"/>
      <c r="BY858" s="11"/>
      <c r="CF858" s="11"/>
      <c r="CM858" s="11"/>
      <c r="CT858" s="11"/>
      <c r="DA858" s="11"/>
      <c r="DH858" s="11"/>
      <c r="DO858" s="11"/>
    </row>
    <row r="859" ht="15.75" customHeight="1">
      <c r="C859" s="8"/>
      <c r="BD859" s="11"/>
      <c r="BR859" s="11"/>
      <c r="BY859" s="11"/>
      <c r="CF859" s="11"/>
      <c r="CM859" s="11"/>
      <c r="CT859" s="11"/>
      <c r="DA859" s="11"/>
      <c r="DH859" s="11"/>
      <c r="DO859" s="11"/>
    </row>
    <row r="860" ht="15.75" customHeight="1">
      <c r="C860" s="8"/>
      <c r="BD860" s="11"/>
      <c r="BR860" s="11"/>
      <c r="BY860" s="11"/>
      <c r="CF860" s="11"/>
      <c r="CM860" s="11"/>
      <c r="CT860" s="11"/>
      <c r="DA860" s="11"/>
      <c r="DH860" s="11"/>
      <c r="DO860" s="11"/>
    </row>
    <row r="861" ht="15.75" customHeight="1">
      <c r="C861" s="8"/>
      <c r="BD861" s="11"/>
      <c r="BR861" s="11"/>
      <c r="BY861" s="11"/>
      <c r="CF861" s="11"/>
      <c r="CM861" s="11"/>
      <c r="CT861" s="11"/>
      <c r="DA861" s="11"/>
      <c r="DH861" s="11"/>
      <c r="DO861" s="11"/>
    </row>
    <row r="862" ht="15.75" customHeight="1">
      <c r="C862" s="8"/>
      <c r="BD862" s="11"/>
      <c r="BR862" s="11"/>
      <c r="BY862" s="11"/>
      <c r="CF862" s="11"/>
      <c r="CM862" s="11"/>
      <c r="CT862" s="11"/>
      <c r="DA862" s="11"/>
      <c r="DH862" s="11"/>
      <c r="DO862" s="11"/>
    </row>
    <row r="863" ht="15.75" customHeight="1">
      <c r="C863" s="8"/>
      <c r="BD863" s="11"/>
      <c r="BR863" s="11"/>
      <c r="BY863" s="11"/>
      <c r="CF863" s="11"/>
      <c r="CM863" s="11"/>
      <c r="CT863" s="11"/>
      <c r="DA863" s="11"/>
      <c r="DH863" s="11"/>
      <c r="DO863" s="11"/>
    </row>
    <row r="864" ht="15.75" customHeight="1">
      <c r="C864" s="8"/>
      <c r="BD864" s="11"/>
      <c r="BR864" s="11"/>
      <c r="BY864" s="11"/>
      <c r="CF864" s="11"/>
      <c r="CM864" s="11"/>
      <c r="CT864" s="11"/>
      <c r="DA864" s="11"/>
      <c r="DH864" s="11"/>
      <c r="DO864" s="11"/>
    </row>
    <row r="865" ht="15.75" customHeight="1">
      <c r="C865" s="8"/>
      <c r="BD865" s="11"/>
      <c r="BR865" s="11"/>
      <c r="BY865" s="11"/>
      <c r="CF865" s="11"/>
      <c r="CM865" s="11"/>
      <c r="CT865" s="11"/>
      <c r="DA865" s="11"/>
      <c r="DH865" s="11"/>
      <c r="DO865" s="11"/>
    </row>
    <row r="866" ht="15.75" customHeight="1">
      <c r="C866" s="8"/>
      <c r="BD866" s="11"/>
      <c r="BR866" s="11"/>
      <c r="BY866" s="11"/>
      <c r="CF866" s="11"/>
      <c r="CM866" s="11"/>
      <c r="CT866" s="11"/>
      <c r="DA866" s="11"/>
      <c r="DH866" s="11"/>
      <c r="DO866" s="11"/>
    </row>
    <row r="867" ht="15.75" customHeight="1">
      <c r="C867" s="8"/>
      <c r="BD867" s="11"/>
      <c r="BR867" s="11"/>
      <c r="BY867" s="11"/>
      <c r="CF867" s="11"/>
      <c r="CM867" s="11"/>
      <c r="CT867" s="11"/>
      <c r="DA867" s="11"/>
      <c r="DH867" s="11"/>
      <c r="DO867" s="11"/>
    </row>
    <row r="868" ht="15.75" customHeight="1">
      <c r="C868" s="8"/>
      <c r="BD868" s="11"/>
      <c r="BR868" s="11"/>
      <c r="BY868" s="11"/>
      <c r="CF868" s="11"/>
      <c r="CM868" s="11"/>
      <c r="CT868" s="11"/>
      <c r="DA868" s="11"/>
      <c r="DH868" s="11"/>
      <c r="DO868" s="11"/>
    </row>
    <row r="869" ht="15.75" customHeight="1">
      <c r="C869" s="8"/>
      <c r="BD869" s="11"/>
      <c r="BR869" s="11"/>
      <c r="BY869" s="11"/>
      <c r="CF869" s="11"/>
      <c r="CM869" s="11"/>
      <c r="CT869" s="11"/>
      <c r="DA869" s="11"/>
      <c r="DH869" s="11"/>
      <c r="DO869" s="11"/>
    </row>
    <row r="870" ht="15.75" customHeight="1">
      <c r="C870" s="8"/>
      <c r="BD870" s="11"/>
      <c r="BR870" s="11"/>
      <c r="BY870" s="11"/>
      <c r="CF870" s="11"/>
      <c r="CM870" s="11"/>
      <c r="CT870" s="11"/>
      <c r="DA870" s="11"/>
      <c r="DH870" s="11"/>
      <c r="DO870" s="11"/>
    </row>
    <row r="871" ht="15.75" customHeight="1">
      <c r="C871" s="8"/>
      <c r="BD871" s="11"/>
      <c r="BR871" s="11"/>
      <c r="BY871" s="11"/>
      <c r="CF871" s="11"/>
      <c r="CM871" s="11"/>
      <c r="CT871" s="11"/>
      <c r="DA871" s="11"/>
      <c r="DH871" s="11"/>
      <c r="DO871" s="11"/>
    </row>
    <row r="872" ht="15.75" customHeight="1">
      <c r="C872" s="8"/>
      <c r="BD872" s="11"/>
      <c r="BR872" s="11"/>
      <c r="BY872" s="11"/>
      <c r="CF872" s="11"/>
      <c r="CM872" s="11"/>
      <c r="CT872" s="11"/>
      <c r="DA872" s="11"/>
      <c r="DH872" s="11"/>
      <c r="DO872" s="11"/>
    </row>
    <row r="873" ht="15.75" customHeight="1">
      <c r="C873" s="8"/>
      <c r="BD873" s="11"/>
      <c r="BR873" s="11"/>
      <c r="BY873" s="11"/>
      <c r="CF873" s="11"/>
      <c r="CM873" s="11"/>
      <c r="CT873" s="11"/>
      <c r="DA873" s="11"/>
      <c r="DH873" s="11"/>
      <c r="DO873" s="11"/>
    </row>
    <row r="874" ht="15.75" customHeight="1">
      <c r="C874" s="8"/>
      <c r="BD874" s="11"/>
      <c r="BR874" s="11"/>
      <c r="BY874" s="11"/>
      <c r="CF874" s="11"/>
      <c r="CM874" s="11"/>
      <c r="CT874" s="11"/>
      <c r="DA874" s="11"/>
      <c r="DH874" s="11"/>
      <c r="DO874" s="11"/>
    </row>
    <row r="875" ht="15.75" customHeight="1">
      <c r="C875" s="8"/>
      <c r="BD875" s="11"/>
      <c r="BR875" s="11"/>
      <c r="BY875" s="11"/>
      <c r="CF875" s="11"/>
      <c r="CM875" s="11"/>
      <c r="CT875" s="11"/>
      <c r="DA875" s="11"/>
      <c r="DH875" s="11"/>
      <c r="DO875" s="11"/>
    </row>
    <row r="876" ht="15.75" customHeight="1">
      <c r="C876" s="8"/>
      <c r="BD876" s="11"/>
      <c r="BR876" s="11"/>
      <c r="BY876" s="11"/>
      <c r="CF876" s="11"/>
      <c r="CM876" s="11"/>
      <c r="CT876" s="11"/>
      <c r="DA876" s="11"/>
      <c r="DH876" s="11"/>
      <c r="DO876" s="11"/>
    </row>
    <row r="877" ht="15.75" customHeight="1">
      <c r="C877" s="8"/>
      <c r="BD877" s="11"/>
      <c r="BR877" s="11"/>
      <c r="BY877" s="11"/>
      <c r="CF877" s="11"/>
      <c r="CM877" s="11"/>
      <c r="CT877" s="11"/>
      <c r="DA877" s="11"/>
      <c r="DH877" s="11"/>
      <c r="DO877" s="11"/>
    </row>
    <row r="878" ht="15.75" customHeight="1">
      <c r="C878" s="8"/>
      <c r="BD878" s="11"/>
      <c r="BR878" s="11"/>
      <c r="BY878" s="11"/>
      <c r="CF878" s="11"/>
      <c r="CM878" s="11"/>
      <c r="CT878" s="11"/>
      <c r="DA878" s="11"/>
      <c r="DH878" s="11"/>
      <c r="DO878" s="11"/>
    </row>
    <row r="879" ht="15.75" customHeight="1">
      <c r="C879" s="8"/>
      <c r="BD879" s="11"/>
      <c r="BR879" s="11"/>
      <c r="BY879" s="11"/>
      <c r="CF879" s="11"/>
      <c r="CM879" s="11"/>
      <c r="CT879" s="11"/>
      <c r="DA879" s="11"/>
      <c r="DH879" s="11"/>
      <c r="DO879" s="11"/>
    </row>
    <row r="880" ht="15.75" customHeight="1">
      <c r="C880" s="8"/>
      <c r="BD880" s="11"/>
      <c r="BR880" s="11"/>
      <c r="BY880" s="11"/>
      <c r="CF880" s="11"/>
      <c r="CM880" s="11"/>
      <c r="CT880" s="11"/>
      <c r="DA880" s="11"/>
      <c r="DH880" s="11"/>
      <c r="DO880" s="11"/>
    </row>
    <row r="881" ht="15.75" customHeight="1">
      <c r="C881" s="8"/>
      <c r="BD881" s="11"/>
      <c r="BR881" s="11"/>
      <c r="BY881" s="11"/>
      <c r="CF881" s="11"/>
      <c r="CM881" s="11"/>
      <c r="CT881" s="11"/>
      <c r="DA881" s="11"/>
      <c r="DH881" s="11"/>
      <c r="DO881" s="11"/>
    </row>
    <row r="882" ht="15.75" customHeight="1">
      <c r="C882" s="8"/>
      <c r="BD882" s="11"/>
      <c r="BR882" s="11"/>
      <c r="BY882" s="11"/>
      <c r="CF882" s="11"/>
      <c r="CM882" s="11"/>
      <c r="CT882" s="11"/>
      <c r="DA882" s="11"/>
      <c r="DH882" s="11"/>
      <c r="DO882" s="11"/>
    </row>
    <row r="883" ht="15.75" customHeight="1">
      <c r="C883" s="8"/>
      <c r="BD883" s="11"/>
      <c r="BR883" s="11"/>
      <c r="BY883" s="11"/>
      <c r="CF883" s="11"/>
      <c r="CM883" s="11"/>
      <c r="CT883" s="11"/>
      <c r="DA883" s="11"/>
      <c r="DH883" s="11"/>
      <c r="DO883" s="11"/>
    </row>
    <row r="884" ht="15.75" customHeight="1">
      <c r="C884" s="8"/>
      <c r="BD884" s="11"/>
      <c r="BR884" s="11"/>
      <c r="BY884" s="11"/>
      <c r="CF884" s="11"/>
      <c r="CM884" s="11"/>
      <c r="CT884" s="11"/>
      <c r="DA884" s="11"/>
      <c r="DH884" s="11"/>
      <c r="DO884" s="11"/>
    </row>
    <row r="885" ht="15.75" customHeight="1">
      <c r="C885" s="8"/>
      <c r="BD885" s="11"/>
      <c r="BR885" s="11"/>
      <c r="BY885" s="11"/>
      <c r="CF885" s="11"/>
      <c r="CM885" s="11"/>
      <c r="CT885" s="11"/>
      <c r="DA885" s="11"/>
      <c r="DH885" s="11"/>
      <c r="DO885" s="11"/>
    </row>
    <row r="886" ht="15.75" customHeight="1">
      <c r="C886" s="8"/>
      <c r="BD886" s="11"/>
      <c r="BR886" s="11"/>
      <c r="BY886" s="11"/>
      <c r="CF886" s="11"/>
      <c r="CM886" s="11"/>
      <c r="CT886" s="11"/>
      <c r="DA886" s="11"/>
      <c r="DH886" s="11"/>
      <c r="DO886" s="11"/>
    </row>
    <row r="887" ht="15.75" customHeight="1">
      <c r="C887" s="8"/>
      <c r="BD887" s="11"/>
      <c r="BR887" s="11"/>
      <c r="BY887" s="11"/>
      <c r="CF887" s="11"/>
      <c r="CM887" s="11"/>
      <c r="CT887" s="11"/>
      <c r="DA887" s="11"/>
      <c r="DH887" s="11"/>
      <c r="DO887" s="11"/>
    </row>
    <row r="888" ht="15.75" customHeight="1">
      <c r="C888" s="8"/>
      <c r="BD888" s="11"/>
      <c r="BR888" s="11"/>
      <c r="BY888" s="11"/>
      <c r="CF888" s="11"/>
      <c r="CM888" s="11"/>
      <c r="CT888" s="11"/>
      <c r="DA888" s="11"/>
      <c r="DH888" s="11"/>
      <c r="DO888" s="11"/>
    </row>
    <row r="889" ht="15.75" customHeight="1">
      <c r="C889" s="8"/>
      <c r="BD889" s="11"/>
      <c r="BR889" s="11"/>
      <c r="BY889" s="11"/>
      <c r="CF889" s="11"/>
      <c r="CM889" s="11"/>
      <c r="CT889" s="11"/>
      <c r="DA889" s="11"/>
      <c r="DH889" s="11"/>
      <c r="DO889" s="11"/>
    </row>
    <row r="890" ht="15.75" customHeight="1">
      <c r="C890" s="8"/>
      <c r="BD890" s="11"/>
      <c r="BR890" s="11"/>
      <c r="BY890" s="11"/>
      <c r="CF890" s="11"/>
      <c r="CM890" s="11"/>
      <c r="CT890" s="11"/>
      <c r="DA890" s="11"/>
      <c r="DH890" s="11"/>
      <c r="DO890" s="11"/>
    </row>
    <row r="891" ht="15.75" customHeight="1">
      <c r="C891" s="8"/>
      <c r="BD891" s="11"/>
      <c r="BR891" s="11"/>
      <c r="BY891" s="11"/>
      <c r="CF891" s="11"/>
      <c r="CM891" s="11"/>
      <c r="CT891" s="11"/>
      <c r="DA891" s="11"/>
      <c r="DH891" s="11"/>
      <c r="DO891" s="11"/>
    </row>
    <row r="892" ht="15.75" customHeight="1">
      <c r="C892" s="8"/>
      <c r="BD892" s="11"/>
      <c r="BR892" s="11"/>
      <c r="BY892" s="11"/>
      <c r="CF892" s="11"/>
      <c r="CM892" s="11"/>
      <c r="CT892" s="11"/>
      <c r="DA892" s="11"/>
      <c r="DH892" s="11"/>
      <c r="DO892" s="11"/>
    </row>
    <row r="893" ht="15.75" customHeight="1">
      <c r="C893" s="8"/>
      <c r="BD893" s="11"/>
      <c r="BR893" s="11"/>
      <c r="BY893" s="11"/>
      <c r="CF893" s="11"/>
      <c r="CM893" s="11"/>
      <c r="CT893" s="11"/>
      <c r="DA893" s="11"/>
      <c r="DH893" s="11"/>
      <c r="DO893" s="11"/>
    </row>
    <row r="894" ht="15.75" customHeight="1">
      <c r="C894" s="8"/>
      <c r="BD894" s="11"/>
      <c r="BR894" s="11"/>
      <c r="BY894" s="11"/>
      <c r="CF894" s="11"/>
      <c r="CM894" s="11"/>
      <c r="CT894" s="11"/>
      <c r="DA894" s="11"/>
      <c r="DH894" s="11"/>
      <c r="DO894" s="11"/>
    </row>
    <row r="895" ht="15.75" customHeight="1">
      <c r="C895" s="8"/>
      <c r="BD895" s="11"/>
      <c r="BR895" s="11"/>
      <c r="BY895" s="11"/>
      <c r="CF895" s="11"/>
      <c r="CM895" s="11"/>
      <c r="CT895" s="11"/>
      <c r="DA895" s="11"/>
      <c r="DH895" s="11"/>
      <c r="DO895" s="11"/>
    </row>
    <row r="896" ht="15.75" customHeight="1">
      <c r="C896" s="8"/>
      <c r="BD896" s="11"/>
      <c r="BR896" s="11"/>
      <c r="BY896" s="11"/>
      <c r="CF896" s="11"/>
      <c r="CM896" s="11"/>
      <c r="CT896" s="11"/>
      <c r="DA896" s="11"/>
      <c r="DH896" s="11"/>
      <c r="DO896" s="11"/>
    </row>
    <row r="897" ht="15.75" customHeight="1">
      <c r="C897" s="8"/>
      <c r="BD897" s="11"/>
      <c r="BR897" s="11"/>
      <c r="BY897" s="11"/>
      <c r="CF897" s="11"/>
      <c r="CM897" s="11"/>
      <c r="CT897" s="11"/>
      <c r="DA897" s="11"/>
      <c r="DH897" s="11"/>
      <c r="DO897" s="11"/>
    </row>
    <row r="898" ht="15.75" customHeight="1">
      <c r="C898" s="8"/>
      <c r="BD898" s="11"/>
      <c r="BR898" s="11"/>
      <c r="BY898" s="11"/>
      <c r="CF898" s="11"/>
      <c r="CM898" s="11"/>
      <c r="CT898" s="11"/>
      <c r="DA898" s="11"/>
      <c r="DH898" s="11"/>
      <c r="DO898" s="11"/>
    </row>
    <row r="899" ht="15.75" customHeight="1">
      <c r="C899" s="8"/>
      <c r="BD899" s="11"/>
      <c r="BR899" s="11"/>
      <c r="BY899" s="11"/>
      <c r="CF899" s="11"/>
      <c r="CM899" s="11"/>
      <c r="CT899" s="11"/>
      <c r="DA899" s="11"/>
      <c r="DH899" s="11"/>
      <c r="DO899" s="11"/>
    </row>
    <row r="900" ht="15.75" customHeight="1">
      <c r="C900" s="8"/>
      <c r="BD900" s="11"/>
      <c r="BR900" s="11"/>
      <c r="BY900" s="11"/>
      <c r="CF900" s="11"/>
      <c r="CM900" s="11"/>
      <c r="CT900" s="11"/>
      <c r="DA900" s="11"/>
      <c r="DH900" s="11"/>
      <c r="DO900" s="11"/>
    </row>
    <row r="901" ht="15.75" customHeight="1">
      <c r="C901" s="8"/>
      <c r="BD901" s="11"/>
      <c r="BR901" s="11"/>
      <c r="BY901" s="11"/>
      <c r="CF901" s="11"/>
      <c r="CM901" s="11"/>
      <c r="CT901" s="11"/>
      <c r="DA901" s="11"/>
      <c r="DH901" s="11"/>
      <c r="DO901" s="11"/>
    </row>
    <row r="902" ht="15.75" customHeight="1">
      <c r="C902" s="8"/>
      <c r="BD902" s="11"/>
      <c r="BR902" s="11"/>
      <c r="BY902" s="11"/>
      <c r="CF902" s="11"/>
      <c r="CM902" s="11"/>
      <c r="CT902" s="11"/>
      <c r="DA902" s="11"/>
      <c r="DH902" s="11"/>
      <c r="DO902" s="11"/>
    </row>
    <row r="903" ht="15.75" customHeight="1">
      <c r="C903" s="8"/>
      <c r="BD903" s="11"/>
      <c r="BR903" s="11"/>
      <c r="BY903" s="11"/>
      <c r="CF903" s="11"/>
      <c r="CM903" s="11"/>
      <c r="CT903" s="11"/>
      <c r="DA903" s="11"/>
      <c r="DH903" s="11"/>
      <c r="DO903" s="11"/>
    </row>
    <row r="904" ht="15.75" customHeight="1">
      <c r="C904" s="8"/>
      <c r="BD904" s="11"/>
      <c r="BR904" s="11"/>
      <c r="BY904" s="11"/>
      <c r="CF904" s="11"/>
      <c r="CM904" s="11"/>
      <c r="CT904" s="11"/>
      <c r="DA904" s="11"/>
      <c r="DH904" s="11"/>
      <c r="DO904" s="11"/>
    </row>
    <row r="905" ht="15.75" customHeight="1">
      <c r="C905" s="8"/>
      <c r="BD905" s="11"/>
      <c r="BR905" s="11"/>
      <c r="BY905" s="11"/>
      <c r="CF905" s="11"/>
      <c r="CM905" s="11"/>
      <c r="CT905" s="11"/>
      <c r="DA905" s="11"/>
      <c r="DH905" s="11"/>
      <c r="DO905" s="11"/>
    </row>
    <row r="906" ht="15.75" customHeight="1">
      <c r="C906" s="8"/>
      <c r="BD906" s="11"/>
      <c r="BR906" s="11"/>
      <c r="BY906" s="11"/>
      <c r="CF906" s="11"/>
      <c r="CM906" s="11"/>
      <c r="CT906" s="11"/>
      <c r="DA906" s="11"/>
      <c r="DH906" s="11"/>
      <c r="DO906" s="11"/>
    </row>
    <row r="907" ht="15.75" customHeight="1">
      <c r="C907" s="8"/>
      <c r="BD907" s="11"/>
      <c r="BR907" s="11"/>
      <c r="BY907" s="11"/>
      <c r="CF907" s="11"/>
      <c r="CM907" s="11"/>
      <c r="CT907" s="11"/>
      <c r="DA907" s="11"/>
      <c r="DH907" s="11"/>
      <c r="DO907" s="11"/>
    </row>
    <row r="908" ht="15.75" customHeight="1">
      <c r="C908" s="8"/>
      <c r="BD908" s="11"/>
      <c r="BR908" s="11"/>
      <c r="BY908" s="11"/>
      <c r="CF908" s="11"/>
      <c r="CM908" s="11"/>
      <c r="CT908" s="11"/>
      <c r="DA908" s="11"/>
      <c r="DH908" s="11"/>
      <c r="DO908" s="11"/>
    </row>
    <row r="909" ht="15.75" customHeight="1">
      <c r="C909" s="8"/>
      <c r="BD909" s="11"/>
      <c r="BR909" s="11"/>
      <c r="BY909" s="11"/>
      <c r="CF909" s="11"/>
      <c r="CM909" s="11"/>
      <c r="CT909" s="11"/>
      <c r="DA909" s="11"/>
      <c r="DH909" s="11"/>
      <c r="DO909" s="11"/>
    </row>
    <row r="910" ht="15.75" customHeight="1">
      <c r="C910" s="8"/>
      <c r="BD910" s="11"/>
      <c r="BR910" s="11"/>
      <c r="BY910" s="11"/>
      <c r="CF910" s="11"/>
      <c r="CM910" s="11"/>
      <c r="CT910" s="11"/>
      <c r="DA910" s="11"/>
      <c r="DH910" s="11"/>
      <c r="DO910" s="11"/>
    </row>
    <row r="911" ht="15.75" customHeight="1">
      <c r="C911" s="8"/>
      <c r="BD911" s="11"/>
      <c r="BR911" s="11"/>
      <c r="BY911" s="11"/>
      <c r="CF911" s="11"/>
      <c r="CM911" s="11"/>
      <c r="CT911" s="11"/>
      <c r="DA911" s="11"/>
      <c r="DH911" s="11"/>
      <c r="DO911" s="11"/>
    </row>
    <row r="912" ht="15.75" customHeight="1">
      <c r="C912" s="8"/>
      <c r="BD912" s="11"/>
      <c r="BR912" s="11"/>
      <c r="BY912" s="11"/>
      <c r="CF912" s="11"/>
      <c r="CM912" s="11"/>
      <c r="CT912" s="11"/>
      <c r="DA912" s="11"/>
      <c r="DH912" s="11"/>
      <c r="DO912" s="11"/>
    </row>
    <row r="913" ht="15.75" customHeight="1">
      <c r="C913" s="8"/>
      <c r="BD913" s="11"/>
      <c r="BR913" s="11"/>
      <c r="BY913" s="11"/>
      <c r="CF913" s="11"/>
      <c r="CM913" s="11"/>
      <c r="CT913" s="11"/>
      <c r="DA913" s="11"/>
      <c r="DH913" s="11"/>
      <c r="DO913" s="11"/>
    </row>
    <row r="914" ht="15.75" customHeight="1">
      <c r="C914" s="8"/>
      <c r="BD914" s="11"/>
      <c r="BR914" s="11"/>
      <c r="BY914" s="11"/>
      <c r="CF914" s="11"/>
      <c r="CM914" s="11"/>
      <c r="CT914" s="11"/>
      <c r="DA914" s="11"/>
      <c r="DH914" s="11"/>
      <c r="DO914" s="11"/>
    </row>
    <row r="915" ht="15.75" customHeight="1">
      <c r="C915" s="8"/>
      <c r="BD915" s="11"/>
      <c r="BR915" s="11"/>
      <c r="BY915" s="11"/>
      <c r="CF915" s="11"/>
      <c r="CM915" s="11"/>
      <c r="CT915" s="11"/>
      <c r="DA915" s="11"/>
      <c r="DH915" s="11"/>
      <c r="DO915" s="11"/>
    </row>
    <row r="916" ht="15.75" customHeight="1">
      <c r="C916" s="8"/>
      <c r="BD916" s="11"/>
      <c r="BR916" s="11"/>
      <c r="BY916" s="11"/>
      <c r="CF916" s="11"/>
      <c r="CM916" s="11"/>
      <c r="CT916" s="11"/>
      <c r="DA916" s="11"/>
      <c r="DH916" s="11"/>
      <c r="DO916" s="11"/>
    </row>
    <row r="917" ht="15.75" customHeight="1">
      <c r="C917" s="8"/>
      <c r="BD917" s="11"/>
      <c r="BR917" s="11"/>
      <c r="BY917" s="11"/>
      <c r="CF917" s="11"/>
      <c r="CM917" s="11"/>
      <c r="CT917" s="11"/>
      <c r="DA917" s="11"/>
      <c r="DH917" s="11"/>
      <c r="DO917" s="11"/>
    </row>
    <row r="918" ht="15.75" customHeight="1">
      <c r="C918" s="8"/>
      <c r="BD918" s="11"/>
      <c r="BR918" s="11"/>
      <c r="BY918" s="11"/>
      <c r="CF918" s="11"/>
      <c r="CM918" s="11"/>
      <c r="CT918" s="11"/>
      <c r="DA918" s="11"/>
      <c r="DH918" s="11"/>
      <c r="DO918" s="11"/>
    </row>
    <row r="919" ht="15.75" customHeight="1">
      <c r="C919" s="8"/>
      <c r="BD919" s="11"/>
      <c r="BR919" s="11"/>
      <c r="BY919" s="11"/>
      <c r="CF919" s="11"/>
      <c r="CM919" s="11"/>
      <c r="CT919" s="11"/>
      <c r="DA919" s="11"/>
      <c r="DH919" s="11"/>
      <c r="DO919" s="11"/>
    </row>
    <row r="920" ht="15.75" customHeight="1">
      <c r="C920" s="8"/>
      <c r="BD920" s="11"/>
      <c r="BR920" s="11"/>
      <c r="BY920" s="11"/>
      <c r="CF920" s="11"/>
      <c r="CM920" s="11"/>
      <c r="CT920" s="11"/>
      <c r="DA920" s="11"/>
      <c r="DH920" s="11"/>
      <c r="DO920" s="11"/>
    </row>
    <row r="921" ht="15.75" customHeight="1">
      <c r="C921" s="8"/>
      <c r="BD921" s="11"/>
      <c r="BR921" s="11"/>
      <c r="BY921" s="11"/>
      <c r="CF921" s="11"/>
      <c r="CM921" s="11"/>
      <c r="CT921" s="11"/>
      <c r="DA921" s="11"/>
      <c r="DH921" s="11"/>
      <c r="DO921" s="11"/>
    </row>
    <row r="922" ht="15.75" customHeight="1">
      <c r="C922" s="8"/>
      <c r="BD922" s="11"/>
      <c r="BR922" s="11"/>
      <c r="BY922" s="11"/>
      <c r="CF922" s="11"/>
      <c r="CM922" s="11"/>
      <c r="CT922" s="11"/>
      <c r="DA922" s="11"/>
      <c r="DH922" s="11"/>
      <c r="DO922" s="11"/>
    </row>
    <row r="923" ht="15.75" customHeight="1">
      <c r="C923" s="8"/>
      <c r="BD923" s="11"/>
      <c r="BR923" s="11"/>
      <c r="BY923" s="11"/>
      <c r="CF923" s="11"/>
      <c r="CM923" s="11"/>
      <c r="CT923" s="11"/>
      <c r="DA923" s="11"/>
      <c r="DH923" s="11"/>
      <c r="DO923" s="11"/>
    </row>
    <row r="924" ht="15.75" customHeight="1">
      <c r="C924" s="8"/>
      <c r="BD924" s="11"/>
      <c r="BR924" s="11"/>
      <c r="BY924" s="11"/>
      <c r="CF924" s="11"/>
      <c r="CM924" s="11"/>
      <c r="CT924" s="11"/>
      <c r="DA924" s="11"/>
      <c r="DH924" s="11"/>
      <c r="DO924" s="11"/>
    </row>
    <row r="925" ht="15.75" customHeight="1">
      <c r="C925" s="8"/>
      <c r="BD925" s="11"/>
      <c r="BR925" s="11"/>
      <c r="BY925" s="11"/>
      <c r="CF925" s="11"/>
      <c r="CM925" s="11"/>
      <c r="CT925" s="11"/>
      <c r="DA925" s="11"/>
      <c r="DH925" s="11"/>
      <c r="DO925" s="11"/>
    </row>
    <row r="926" ht="15.75" customHeight="1">
      <c r="C926" s="8"/>
      <c r="BD926" s="11"/>
      <c r="BR926" s="11"/>
      <c r="BY926" s="11"/>
      <c r="CF926" s="11"/>
      <c r="CM926" s="11"/>
      <c r="CT926" s="11"/>
      <c r="DA926" s="11"/>
      <c r="DH926" s="11"/>
      <c r="DO926" s="11"/>
    </row>
    <row r="927" ht="15.75" customHeight="1">
      <c r="C927" s="8"/>
      <c r="BD927" s="11"/>
      <c r="BR927" s="11"/>
      <c r="BY927" s="11"/>
      <c r="CF927" s="11"/>
      <c r="CM927" s="11"/>
      <c r="CT927" s="11"/>
      <c r="DA927" s="11"/>
      <c r="DH927" s="11"/>
      <c r="DO927" s="11"/>
    </row>
    <row r="928" ht="15.75" customHeight="1">
      <c r="C928" s="8"/>
      <c r="BD928" s="11"/>
      <c r="BR928" s="11"/>
      <c r="BY928" s="11"/>
      <c r="CF928" s="11"/>
      <c r="CM928" s="11"/>
      <c r="CT928" s="11"/>
      <c r="DA928" s="11"/>
      <c r="DH928" s="11"/>
      <c r="DO928" s="11"/>
    </row>
    <row r="929" ht="15.75" customHeight="1">
      <c r="C929" s="8"/>
      <c r="BD929" s="11"/>
      <c r="BR929" s="11"/>
      <c r="BY929" s="11"/>
      <c r="CF929" s="11"/>
      <c r="CM929" s="11"/>
      <c r="CT929" s="11"/>
      <c r="DA929" s="11"/>
      <c r="DH929" s="11"/>
      <c r="DO929" s="11"/>
    </row>
    <row r="930" ht="15.75" customHeight="1">
      <c r="C930" s="8"/>
      <c r="BD930" s="11"/>
      <c r="BR930" s="11"/>
      <c r="BY930" s="11"/>
      <c r="CF930" s="11"/>
      <c r="CM930" s="11"/>
      <c r="CT930" s="11"/>
      <c r="DA930" s="11"/>
      <c r="DH930" s="11"/>
      <c r="DO930" s="11"/>
    </row>
    <row r="931" ht="15.75" customHeight="1">
      <c r="C931" s="8"/>
      <c r="BD931" s="11"/>
      <c r="BR931" s="11"/>
      <c r="BY931" s="11"/>
      <c r="CF931" s="11"/>
      <c r="CM931" s="11"/>
      <c r="CT931" s="11"/>
      <c r="DA931" s="11"/>
      <c r="DH931" s="11"/>
      <c r="DO931" s="11"/>
    </row>
    <row r="932" ht="15.75" customHeight="1">
      <c r="C932" s="8"/>
      <c r="BD932" s="11"/>
      <c r="BR932" s="11"/>
      <c r="BY932" s="11"/>
      <c r="CF932" s="11"/>
      <c r="CM932" s="11"/>
      <c r="CT932" s="11"/>
      <c r="DA932" s="11"/>
      <c r="DH932" s="11"/>
      <c r="DO932" s="11"/>
    </row>
    <row r="933" ht="15.75" customHeight="1">
      <c r="C933" s="8"/>
      <c r="BD933" s="11"/>
      <c r="BR933" s="11"/>
      <c r="BY933" s="11"/>
      <c r="CF933" s="11"/>
      <c r="CM933" s="11"/>
      <c r="CT933" s="11"/>
      <c r="DA933" s="11"/>
      <c r="DH933" s="11"/>
      <c r="DO933" s="11"/>
    </row>
    <row r="934" ht="15.75" customHeight="1">
      <c r="C934" s="8"/>
      <c r="BD934" s="11"/>
      <c r="BR934" s="11"/>
      <c r="BY934" s="11"/>
      <c r="CF934" s="11"/>
      <c r="CM934" s="11"/>
      <c r="CT934" s="11"/>
      <c r="DA934" s="11"/>
      <c r="DH934" s="11"/>
      <c r="DO934" s="11"/>
    </row>
    <row r="935" ht="15.75" customHeight="1">
      <c r="C935" s="8"/>
      <c r="BD935" s="11"/>
      <c r="BR935" s="11"/>
      <c r="BY935" s="11"/>
      <c r="CF935" s="11"/>
      <c r="CM935" s="11"/>
      <c r="CT935" s="11"/>
      <c r="DA935" s="11"/>
      <c r="DH935" s="11"/>
      <c r="DO935" s="11"/>
    </row>
    <row r="936" ht="15.75" customHeight="1">
      <c r="C936" s="8"/>
      <c r="BD936" s="11"/>
      <c r="BR936" s="11"/>
      <c r="BY936" s="11"/>
      <c r="CF936" s="11"/>
      <c r="CM936" s="11"/>
      <c r="CT936" s="11"/>
      <c r="DA936" s="11"/>
      <c r="DH936" s="11"/>
      <c r="DO936" s="11"/>
    </row>
    <row r="937" ht="15.75" customHeight="1">
      <c r="C937" s="8"/>
      <c r="BD937" s="11"/>
      <c r="BR937" s="11"/>
      <c r="BY937" s="11"/>
      <c r="CF937" s="11"/>
      <c r="CM937" s="11"/>
      <c r="CT937" s="11"/>
      <c r="DA937" s="11"/>
      <c r="DH937" s="11"/>
      <c r="DO937" s="11"/>
    </row>
    <row r="938" ht="15.75" customHeight="1">
      <c r="C938" s="8"/>
      <c r="BD938" s="11"/>
      <c r="BR938" s="11"/>
      <c r="BY938" s="11"/>
      <c r="CF938" s="11"/>
      <c r="CM938" s="11"/>
      <c r="CT938" s="11"/>
      <c r="DA938" s="11"/>
      <c r="DH938" s="11"/>
      <c r="DO938" s="11"/>
    </row>
    <row r="939" ht="15.75" customHeight="1">
      <c r="C939" s="8"/>
      <c r="BD939" s="11"/>
      <c r="BR939" s="11"/>
      <c r="BY939" s="11"/>
      <c r="CF939" s="11"/>
      <c r="CM939" s="11"/>
      <c r="CT939" s="11"/>
      <c r="DA939" s="11"/>
      <c r="DH939" s="11"/>
      <c r="DO939" s="11"/>
    </row>
    <row r="940" ht="15.75" customHeight="1">
      <c r="C940" s="8"/>
      <c r="BD940" s="11"/>
      <c r="BR940" s="11"/>
      <c r="BY940" s="11"/>
      <c r="CF940" s="11"/>
      <c r="CM940" s="11"/>
      <c r="CT940" s="11"/>
      <c r="DA940" s="11"/>
      <c r="DH940" s="11"/>
      <c r="DO940" s="11"/>
    </row>
    <row r="941" ht="15.75" customHeight="1">
      <c r="C941" s="8"/>
      <c r="BD941" s="11"/>
      <c r="BR941" s="11"/>
      <c r="BY941" s="11"/>
      <c r="CF941" s="11"/>
      <c r="CM941" s="11"/>
      <c r="CT941" s="11"/>
      <c r="DA941" s="11"/>
      <c r="DH941" s="11"/>
      <c r="DO941" s="11"/>
    </row>
    <row r="942" ht="15.75" customHeight="1">
      <c r="C942" s="8"/>
      <c r="BD942" s="11"/>
      <c r="BR942" s="11"/>
      <c r="BY942" s="11"/>
      <c r="CF942" s="11"/>
      <c r="CM942" s="11"/>
      <c r="CT942" s="11"/>
      <c r="DA942" s="11"/>
      <c r="DH942" s="11"/>
      <c r="DO942" s="11"/>
    </row>
    <row r="943" ht="15.75" customHeight="1">
      <c r="C943" s="8"/>
      <c r="BD943" s="11"/>
      <c r="BR943" s="11"/>
      <c r="BY943" s="11"/>
      <c r="CF943" s="11"/>
      <c r="CM943" s="11"/>
      <c r="CT943" s="11"/>
      <c r="DA943" s="11"/>
      <c r="DH943" s="11"/>
      <c r="DO943" s="11"/>
    </row>
    <row r="944" ht="15.75" customHeight="1">
      <c r="C944" s="8"/>
      <c r="BD944" s="11"/>
      <c r="BR944" s="11"/>
      <c r="BY944" s="11"/>
      <c r="CF944" s="11"/>
      <c r="CM944" s="11"/>
      <c r="CT944" s="11"/>
      <c r="DA944" s="11"/>
      <c r="DH944" s="11"/>
      <c r="DO944" s="11"/>
    </row>
    <row r="945" ht="15.75" customHeight="1">
      <c r="C945" s="8"/>
      <c r="BD945" s="11"/>
      <c r="BR945" s="11"/>
      <c r="BY945" s="11"/>
      <c r="CF945" s="11"/>
      <c r="CM945" s="11"/>
      <c r="CT945" s="11"/>
      <c r="DA945" s="11"/>
      <c r="DH945" s="11"/>
      <c r="DO945" s="11"/>
    </row>
    <row r="946" ht="15.75" customHeight="1">
      <c r="C946" s="8"/>
      <c r="BD946" s="11"/>
      <c r="BR946" s="11"/>
      <c r="BY946" s="11"/>
      <c r="CF946" s="11"/>
      <c r="CM946" s="11"/>
      <c r="CT946" s="11"/>
      <c r="DA946" s="11"/>
      <c r="DH946" s="11"/>
      <c r="DO946" s="11"/>
    </row>
    <row r="947" ht="15.75" customHeight="1">
      <c r="C947" s="8"/>
      <c r="BD947" s="11"/>
      <c r="BR947" s="11"/>
      <c r="BY947" s="11"/>
      <c r="CF947" s="11"/>
      <c r="CM947" s="11"/>
      <c r="CT947" s="11"/>
      <c r="DA947" s="11"/>
      <c r="DH947" s="11"/>
      <c r="DO947" s="11"/>
    </row>
    <row r="948" ht="15.75" customHeight="1">
      <c r="C948" s="8"/>
      <c r="BD948" s="11"/>
      <c r="BR948" s="11"/>
      <c r="BY948" s="11"/>
      <c r="CF948" s="11"/>
      <c r="CM948" s="11"/>
      <c r="CT948" s="11"/>
      <c r="DA948" s="11"/>
      <c r="DH948" s="11"/>
      <c r="DO948" s="11"/>
    </row>
    <row r="949" ht="15.75" customHeight="1">
      <c r="C949" s="8"/>
      <c r="BD949" s="11"/>
      <c r="BR949" s="11"/>
      <c r="BY949" s="11"/>
      <c r="CF949" s="11"/>
      <c r="CM949" s="11"/>
      <c r="CT949" s="11"/>
      <c r="DA949" s="11"/>
      <c r="DH949" s="11"/>
      <c r="DO949" s="11"/>
    </row>
    <row r="950" ht="15.75" customHeight="1">
      <c r="C950" s="8"/>
      <c r="BD950" s="11"/>
      <c r="BR950" s="11"/>
      <c r="BY950" s="11"/>
      <c r="CF950" s="11"/>
      <c r="CM950" s="11"/>
      <c r="CT950" s="11"/>
      <c r="DA950" s="11"/>
      <c r="DH950" s="11"/>
      <c r="DO950" s="11"/>
    </row>
    <row r="951" ht="15.75" customHeight="1">
      <c r="C951" s="8"/>
      <c r="BD951" s="11"/>
      <c r="BR951" s="11"/>
      <c r="BY951" s="11"/>
      <c r="CF951" s="11"/>
      <c r="CM951" s="11"/>
      <c r="CT951" s="11"/>
      <c r="DA951" s="11"/>
      <c r="DH951" s="11"/>
      <c r="DO951" s="11"/>
    </row>
    <row r="952" ht="15.75" customHeight="1">
      <c r="C952" s="8"/>
      <c r="BD952" s="11"/>
      <c r="BR952" s="11"/>
      <c r="BY952" s="11"/>
      <c r="CF952" s="11"/>
      <c r="CM952" s="11"/>
      <c r="CT952" s="11"/>
      <c r="DA952" s="11"/>
      <c r="DH952" s="11"/>
      <c r="DO952" s="11"/>
    </row>
    <row r="953" ht="15.75" customHeight="1">
      <c r="C953" s="8"/>
      <c r="BD953" s="11"/>
      <c r="BR953" s="11"/>
      <c r="BY953" s="11"/>
      <c r="CF953" s="11"/>
      <c r="CM953" s="11"/>
      <c r="CT953" s="11"/>
      <c r="DA953" s="11"/>
      <c r="DH953" s="11"/>
      <c r="DO953" s="11"/>
    </row>
    <row r="954" ht="15.75" customHeight="1">
      <c r="C954" s="8"/>
      <c r="BD954" s="11"/>
      <c r="BR954" s="11"/>
      <c r="BY954" s="11"/>
      <c r="CF954" s="11"/>
      <c r="CM954" s="11"/>
      <c r="CT954" s="11"/>
      <c r="DA954" s="11"/>
      <c r="DH954" s="11"/>
      <c r="DO954" s="11"/>
    </row>
    <row r="955" ht="15.75" customHeight="1">
      <c r="C955" s="8"/>
      <c r="BD955" s="11"/>
      <c r="BR955" s="11"/>
      <c r="BY955" s="11"/>
      <c r="CF955" s="11"/>
      <c r="CM955" s="11"/>
      <c r="CT955" s="11"/>
      <c r="DA955" s="11"/>
      <c r="DH955" s="11"/>
      <c r="DO955" s="11"/>
    </row>
    <row r="956" ht="15.75" customHeight="1">
      <c r="C956" s="8"/>
      <c r="BD956" s="11"/>
      <c r="BR956" s="11"/>
      <c r="BY956" s="11"/>
      <c r="CF956" s="11"/>
      <c r="CM956" s="11"/>
      <c r="CT956" s="11"/>
      <c r="DA956" s="11"/>
      <c r="DH956" s="11"/>
      <c r="DO956" s="11"/>
    </row>
    <row r="957" ht="15.75" customHeight="1">
      <c r="C957" s="8"/>
      <c r="BD957" s="11"/>
      <c r="BR957" s="11"/>
      <c r="BY957" s="11"/>
      <c r="CF957" s="11"/>
      <c r="CM957" s="11"/>
      <c r="CT957" s="11"/>
      <c r="DA957" s="11"/>
      <c r="DH957" s="11"/>
      <c r="DO957" s="11"/>
    </row>
    <row r="958" ht="15.75" customHeight="1">
      <c r="C958" s="8"/>
      <c r="BD958" s="11"/>
      <c r="BR958" s="11"/>
      <c r="BY958" s="11"/>
      <c r="CF958" s="11"/>
      <c r="CM958" s="11"/>
      <c r="CT958" s="11"/>
      <c r="DA958" s="11"/>
      <c r="DH958" s="11"/>
      <c r="DO958" s="11"/>
    </row>
    <row r="959" ht="15.75" customHeight="1">
      <c r="C959" s="8"/>
      <c r="BD959" s="11"/>
      <c r="BR959" s="11"/>
      <c r="BY959" s="11"/>
      <c r="CF959" s="11"/>
      <c r="CM959" s="11"/>
      <c r="CT959" s="11"/>
      <c r="DA959" s="11"/>
      <c r="DH959" s="11"/>
      <c r="DO959" s="11"/>
    </row>
    <row r="960" ht="15.75" customHeight="1">
      <c r="C960" s="8"/>
      <c r="BD960" s="11"/>
      <c r="BR960" s="11"/>
      <c r="BY960" s="11"/>
      <c r="CF960" s="11"/>
      <c r="CM960" s="11"/>
      <c r="CT960" s="11"/>
      <c r="DA960" s="11"/>
      <c r="DH960" s="11"/>
      <c r="DO960" s="11"/>
    </row>
    <row r="961" ht="15.75" customHeight="1">
      <c r="C961" s="8"/>
      <c r="BD961" s="11"/>
      <c r="BR961" s="11"/>
      <c r="BY961" s="11"/>
      <c r="CF961" s="11"/>
      <c r="CM961" s="11"/>
      <c r="CT961" s="11"/>
      <c r="DA961" s="11"/>
      <c r="DH961" s="11"/>
      <c r="DO961" s="11"/>
    </row>
    <row r="962" ht="15.75" customHeight="1">
      <c r="C962" s="8"/>
      <c r="BD962" s="11"/>
      <c r="BR962" s="11"/>
      <c r="BY962" s="11"/>
      <c r="CF962" s="11"/>
      <c r="CM962" s="11"/>
      <c r="CT962" s="11"/>
      <c r="DA962" s="11"/>
      <c r="DH962" s="11"/>
      <c r="DO962" s="11"/>
    </row>
    <row r="963" ht="15.75" customHeight="1">
      <c r="C963" s="8"/>
      <c r="BD963" s="11"/>
      <c r="BR963" s="11"/>
      <c r="BY963" s="11"/>
      <c r="CF963" s="11"/>
      <c r="CM963" s="11"/>
      <c r="CT963" s="11"/>
      <c r="DA963" s="11"/>
      <c r="DH963" s="11"/>
      <c r="DO963" s="11"/>
    </row>
    <row r="964" ht="15.75" customHeight="1">
      <c r="C964" s="8"/>
      <c r="BD964" s="11"/>
      <c r="BR964" s="11"/>
      <c r="BY964" s="11"/>
      <c r="CF964" s="11"/>
      <c r="CM964" s="11"/>
      <c r="CT964" s="11"/>
      <c r="DA964" s="11"/>
      <c r="DH964" s="11"/>
      <c r="DO964" s="11"/>
    </row>
    <row r="965" ht="15.75" customHeight="1">
      <c r="C965" s="8"/>
      <c r="BD965" s="11"/>
      <c r="BR965" s="11"/>
      <c r="BY965" s="11"/>
      <c r="CF965" s="11"/>
      <c r="CM965" s="11"/>
      <c r="CT965" s="11"/>
      <c r="DA965" s="11"/>
      <c r="DH965" s="11"/>
      <c r="DO965" s="11"/>
    </row>
    <row r="966" ht="15.75" customHeight="1">
      <c r="C966" s="8"/>
      <c r="BD966" s="11"/>
      <c r="BR966" s="11"/>
      <c r="BY966" s="11"/>
      <c r="CF966" s="11"/>
      <c r="CM966" s="11"/>
      <c r="CT966" s="11"/>
      <c r="DA966" s="11"/>
      <c r="DH966" s="11"/>
      <c r="DO966" s="11"/>
    </row>
    <row r="967" ht="15.75" customHeight="1">
      <c r="C967" s="8"/>
      <c r="BD967" s="11"/>
      <c r="BR967" s="11"/>
      <c r="BY967" s="11"/>
      <c r="CF967" s="11"/>
      <c r="CM967" s="11"/>
      <c r="CT967" s="11"/>
      <c r="DA967" s="11"/>
      <c r="DH967" s="11"/>
      <c r="DO967" s="11"/>
    </row>
    <row r="968" ht="15.75" customHeight="1">
      <c r="C968" s="8"/>
      <c r="BD968" s="11"/>
      <c r="BR968" s="11"/>
      <c r="BY968" s="11"/>
      <c r="CF968" s="11"/>
      <c r="CM968" s="11"/>
      <c r="CT968" s="11"/>
      <c r="DA968" s="11"/>
      <c r="DH968" s="11"/>
      <c r="DO968" s="11"/>
    </row>
    <row r="969" ht="15.75" customHeight="1">
      <c r="C969" s="8"/>
      <c r="BD969" s="11"/>
      <c r="BR969" s="11"/>
      <c r="BY969" s="11"/>
      <c r="CF969" s="11"/>
      <c r="CM969" s="11"/>
      <c r="CT969" s="11"/>
      <c r="DA969" s="11"/>
      <c r="DH969" s="11"/>
      <c r="DO969" s="11"/>
    </row>
    <row r="970" ht="15.75" customHeight="1">
      <c r="C970" s="8"/>
      <c r="BD970" s="11"/>
      <c r="BR970" s="11"/>
      <c r="BY970" s="11"/>
      <c r="CF970" s="11"/>
      <c r="CM970" s="11"/>
      <c r="CT970" s="11"/>
      <c r="DA970" s="11"/>
      <c r="DH970" s="11"/>
      <c r="DO970" s="11"/>
    </row>
    <row r="971" ht="15.75" customHeight="1">
      <c r="C971" s="8"/>
      <c r="BD971" s="11"/>
      <c r="BR971" s="11"/>
      <c r="BY971" s="11"/>
      <c r="CF971" s="11"/>
      <c r="CM971" s="11"/>
      <c r="CT971" s="11"/>
      <c r="DA971" s="11"/>
      <c r="DH971" s="11"/>
      <c r="DO971" s="11"/>
    </row>
    <row r="972" ht="15.75" customHeight="1">
      <c r="C972" s="8"/>
      <c r="BD972" s="11"/>
      <c r="BR972" s="11"/>
      <c r="BY972" s="11"/>
      <c r="CF972" s="11"/>
      <c r="CM972" s="11"/>
      <c r="CT972" s="11"/>
      <c r="DA972" s="11"/>
      <c r="DH972" s="11"/>
      <c r="DO972" s="11"/>
    </row>
    <row r="973" ht="15.75" customHeight="1">
      <c r="C973" s="8"/>
      <c r="BD973" s="11"/>
      <c r="BR973" s="11"/>
      <c r="BY973" s="11"/>
      <c r="CF973" s="11"/>
      <c r="CM973" s="11"/>
      <c r="CT973" s="11"/>
      <c r="DA973" s="11"/>
      <c r="DH973" s="11"/>
      <c r="DO973" s="11"/>
    </row>
    <row r="974" ht="15.75" customHeight="1">
      <c r="C974" s="8"/>
      <c r="BD974" s="11"/>
      <c r="BR974" s="11"/>
      <c r="BY974" s="11"/>
      <c r="CF974" s="11"/>
      <c r="CM974" s="11"/>
      <c r="CT974" s="11"/>
      <c r="DA974" s="11"/>
      <c r="DH974" s="11"/>
      <c r="DO974" s="11"/>
    </row>
    <row r="975" ht="15.75" customHeight="1">
      <c r="C975" s="8"/>
      <c r="BD975" s="11"/>
      <c r="BR975" s="11"/>
      <c r="BY975" s="11"/>
      <c r="CF975" s="11"/>
      <c r="CM975" s="11"/>
      <c r="CT975" s="11"/>
      <c r="DA975" s="11"/>
      <c r="DH975" s="11"/>
      <c r="DO975" s="11"/>
    </row>
    <row r="976" ht="15.75" customHeight="1">
      <c r="C976" s="8"/>
      <c r="BD976" s="11"/>
      <c r="BR976" s="11"/>
      <c r="BY976" s="11"/>
      <c r="CF976" s="11"/>
      <c r="CM976" s="11"/>
      <c r="CT976" s="11"/>
      <c r="DA976" s="11"/>
      <c r="DH976" s="11"/>
      <c r="DO976" s="11"/>
    </row>
    <row r="977" ht="15.75" customHeight="1">
      <c r="C977" s="8"/>
      <c r="BD977" s="11"/>
      <c r="BR977" s="11"/>
      <c r="BY977" s="11"/>
      <c r="CF977" s="11"/>
      <c r="CM977" s="11"/>
      <c r="CT977" s="11"/>
      <c r="DA977" s="11"/>
      <c r="DH977" s="11"/>
      <c r="DO977" s="11"/>
    </row>
  </sheetData>
  <mergeCells count="29">
    <mergeCell ref="I2:L2"/>
    <mergeCell ref="O2:T2"/>
    <mergeCell ref="V2:AA2"/>
    <mergeCell ref="AC2:AH2"/>
    <mergeCell ref="AJ2:AO2"/>
    <mergeCell ref="AQ2:AV2"/>
    <mergeCell ref="AX2:BC2"/>
    <mergeCell ref="DB2:DG2"/>
    <mergeCell ref="DI2:DN2"/>
    <mergeCell ref="DP2:DU2"/>
    <mergeCell ref="DJ8:DM8"/>
    <mergeCell ref="DQ8:DT8"/>
    <mergeCell ref="BE2:BJ2"/>
    <mergeCell ref="BL2:BQ2"/>
    <mergeCell ref="BS2:BX2"/>
    <mergeCell ref="BZ2:CE2"/>
    <mergeCell ref="CG2:CL2"/>
    <mergeCell ref="CN2:CS2"/>
    <mergeCell ref="CU2:CZ2"/>
    <mergeCell ref="DJ61:DM61"/>
    <mergeCell ref="DQ61:DT61"/>
    <mergeCell ref="BM75:BP75"/>
    <mergeCell ref="BM23:BP23"/>
    <mergeCell ref="BM31:BP31"/>
    <mergeCell ref="DC31:DF31"/>
    <mergeCell ref="DJ31:DM31"/>
    <mergeCell ref="DQ31:DT31"/>
    <mergeCell ref="BM37:BP37"/>
    <mergeCell ref="CO44:CR44"/>
  </mergeCells>
  <conditionalFormatting sqref="J6:J18 K6:K19 J57:K69 J81:K86">
    <cfRule type="colorScale" priority="1">
      <colorScale>
        <cfvo type="percent" val="0"/>
        <cfvo type="percent" val="100"/>
        <color rgb="FFFF231B"/>
        <color rgb="FF10FF07"/>
      </colorScale>
    </cfRule>
  </conditionalFormatting>
  <conditionalFormatting sqref="P5:P18 W5:W18 AD5:AD18 AK5:AK18 AR5:AR18 AY5:AY18 BF5:BF18 BM5:BM18 BT5:BT18 CA5:CA18 CH5:CH18 CO5:CO18 CV5:CV18 DC5:DC18 DJ5:DJ18 DQ5:DQ18 DR8 P21:P25 R21:R25 W21:W25 Y21:Y25 AD21:AD25 AF21:AF25 AK21:AK25 AM21:AM25 AR21:AR25 AT21:AT25 AY21:AY25 BA21:BA25 BF21:BF26 BH21:BH26 BM21:BM25 BO21:BO25 BT21:BT25 BV21:BV25 CA21:CA25 CC21:CC25 CH21:CH25 CJ21:CJ25 CO21:CO25 CQ21:CQ25 CV21:CV25 CX21:CX25 DC21:DC25 DE21:DE25 DJ21:DJ25 DL21:DL25 DQ21:DQ25 DS21:DS25 BN23 BF31 BM31:BN31 DC31 DJ31 DQ31:DR31 BM37:BN37 P56:P69 W56:W69 AD56:AD69 AF56:AF58 AK56:AK69 AM56:AM58 AR56:AR69 AY56:AY69 BF56:BF69 BM56:BM69 BT56:BT69 CA56:CA69 CH56:CH69 CO56:CO69 CV56:CV69 DC56:DC69 DJ56:DJ69 DQ56:DQ69 DR61 BF72:BF75 BM75:BN75 P81:P86 W81:W86 AD81:AD86 AK81:AK86">
    <cfRule type="expression" dxfId="0" priority="2">
      <formula>OR(IF(P5&lt;Q5,TRUE),IF(AND(Q5="",P5&lt;&gt;""),TRUE))</formula>
    </cfRule>
  </conditionalFormatting>
  <conditionalFormatting sqref="P5:P18 W5:W18 AD5:AD18 AK5:AK18 AR5:AR18 AY5:AY18 BF5:BF18 BM5:BM18 BT5:BT18 CA5:CA18 CH5:CH18 CO5:CO18 CV5:CV18 DC5:DC18 DJ5:DJ18 DQ5:DQ18 DR8 P21:P25 R21:R25 W21:W25 Y21:Y25 AD21:AD25 AF21:AF25 AK21:AK25 AM21:AM25 AR21:AR25 AT21:AT25 AY21:AY25 BA21:BA25 BF21:BF26 BH21:BH26 BM21:BM25 BO21:BO25 BT21:BT25 BV21:BV25 CA21:CA25 CC21:CC25 CH21:CH25 CJ21:CJ25 CO21:CO25 CQ21:CQ25 CV21:CV25 CX21:CX25 DC21:DC25 DE21:DE25 DJ21:DJ25 DL21:DL25 DQ21:DQ25 DS21:DS25 BN23 BF31 BM31:BN31 DC31 DJ31 DQ31:DR31 BM37:BN37 P56:P69 W56:W69 AD56:AD69 AF56:AF58 AK56:AK69 AM56:AM58 AR56:AR69 AY56:AY69 BF56:BF69 BM56:BM69 BT56:BT69 CA56:CA69 CH56:CH69 CO56:CO69 CV56:CV69 DC56:DC69 DJ56:DJ69 DQ56:DQ69 DR61 BF72:BF75 BM75:BN75 P81:P86 W81:W86 AD81:AD86 AK81:AK86">
    <cfRule type="expression" dxfId="1" priority="3">
      <formula>IF(P5&gt;=Q5,IF(P5="",FALSE,TRUE))</formula>
    </cfRule>
  </conditionalFormatting>
  <conditionalFormatting sqref="R5:R18 Y5:Y18 AF5:AF18 AM5:AM18 AR5:AR18 AT5:AT18 AY5:AY10 BA5:BA18 BF5:BF10 BH5:BH18 BO5:BO18 BV5:BV18 CC5:CC18 CJ5:CJ18 CQ5:CQ18 CX5:CX18 DE5:DE18 DL5:DL7 DS5:DS7 DL9:DL18 DS9:DS18 R56:R69 Y56:Y69 AF56:AF69 AK56:AK69 AM56:AM69 AR56:AR58 AT56:AT69 AY56:AY58 BA56:BA69 BF56:BF58 BH56:BH69 BO56:BO69 BV56:BV69 CC56:CC69 CJ56:CJ69 CQ56:CQ69 CX56:CX69 DE56:DE69 DL56:DL60 DS56:DS60 DL62:DL69 DS62:DS69 R81:R86 Y81:Y86 AF81:AF86 AM81:AM86">
    <cfRule type="expression" dxfId="0" priority="4">
      <formula>OR(IF(R5&lt;S5,TRUE),IF(AND(S5="",R5&lt;&gt;""),TRUE))</formula>
    </cfRule>
  </conditionalFormatting>
  <conditionalFormatting sqref="R5:R18 Y5:Y18 AF5:AF18 AM5:AM18 AR5:AR18 AT5:AT18 AY5:AY10 BA5:BA18 BF5:BF10 BH5:BH18 BO5:BO18 BV5:BV18 CC5:CC18 CJ5:CJ18 CQ5:CQ18 CX5:CX18 DE5:DE18 DL5:DL7 DS5:DS7 DL9:DL18 DS9:DS18 R56:R69 Y56:Y69 AF56:AF69 AK56:AK69 AM56:AM69 AR56:AR58 AT56:AT69 AY56:AY58 BA56:BA69 BF56:BF58 BH56:BH69 BO56:BO69 BV56:BV69 CC56:CC69 CJ56:CJ69 CQ56:CQ69 CX56:CX69 DE56:DE69 DL56:DL60 DS56:DS60 DL62:DL69 DS62:DS69 R81:R86 Y81:Y86 AF81:AF86 AM81:AM86">
    <cfRule type="expression" dxfId="1" priority="5">
      <formula>IF(R5&gt;=S5,IF(R5="",FALSE,TRUE))</formula>
    </cfRule>
  </conditionalFormatting>
  <conditionalFormatting sqref="P29:P30 W29:W30 AD29:AD30 AF29:AF30 AK29:AK30 AR29:AR30 AY29:AY30 BF29:BF32 BM29:BM30 BT29:BT30 CA29:CA30 CH29:CH30 CO29:CO30 CV29:CV30 DC29:DC30 DJ29:DJ30 DQ29:DQ30 P36:P37 W36:W37 AD36:AD37 AK36:AK37 AR36:AR37 AY36:AY37 BF36:BF37 BM36:BM37 BT36:BT37 CA36:CA37 CH36:CH37 CO36:CO37 CV36:CV37 DC36:DC37 DJ36:DJ37 DQ36:DQ37 P41:P42 W41:W42 AD41:AD42 AK41:AK42 AR41:AR42 AY41:AY42 BF41:BF42 BM41:BM42 BT41:BT46 CA41:CA47 CH41:CH46 CO41:CO42 CV41:CV42 DC41:DC42 DJ41:DJ42 DQ41:DQ42 P51:P52 W51:W52 AD51:AD52 AK51:AK52 AR51:AR52 AY51:AY52 BF51:BF52 BM51:BM52 BT51:BT52 CA51:CA52 CH51:CH52 CO51:CO52 CV51:CV52 DC51:DC52 DJ51:DJ52 DQ51:DQ52 R72:R74 Y72:Y73 AD72:AD73 AF72:AF73 AK72:AK73 AM72:AM73 AR72:AR73 AY72:AY73 BF72:BF73 BM72:BM73 BT72:BT73 CA72:CA73 CH72:CH73 CO72:CO73 CV72:CV73 DC72:DC73 DJ72:DJ73 DQ72:DQ73">
    <cfRule type="expression" dxfId="0" priority="6">
      <formula>OR(IF(P29&lt;Q29,TRUE),IF(AND(Q29="",P29&lt;&gt;""),TRUE))</formula>
    </cfRule>
  </conditionalFormatting>
  <conditionalFormatting sqref="P29:P30 W29:W30 AD29:AD30 AF29:AF30 AK29:AK30 AR29:AR30 AY29:AY30 BF29:BF32 BM29:BM30 BT29:BT30 CA29:CA30 CH29:CH30 CO29:CO30 CV29:CV30 DC29:DC30 DJ29:DJ30 DQ29:DQ30 P36:P37 W36:W37 AD36:AD37 AK36:AK37 AR36:AR37 AY36:AY37 BF36:BF37 BM36:BM37 BT36:BT37 CA36:CA37 CH36:CH37 CO36:CO37 CV36:CV37 DC36:DC37 DJ36:DJ37 DQ36:DQ37 P41:P42 W41:W42 AD41:AD42 AK41:AK42 AR41:AR42 AY41:AY42 BF41:BF42 BM41:BM42 BT41:BT46 CA41:CA47 CH41:CH46 CO41:CO42 CV41:CV42 DC41:DC42 DJ41:DJ42 DQ41:DQ42 P51:P52 W51:W52 AD51:AD52 AK51:AK52 AR51:AR52 AY51:AY52 BF51:BF52 BM51:BM52 BT51:BT52 CA51:CA52 CH51:CH52 CO51:CO52 CV51:CV52 DC51:DC52 DJ51:DJ52 DQ51:DQ52 R72:R74 Y72:Y73 AD72:AD73 AF72:AF73 AK72:AK73 AM72:AM73 AR72:AR73 AY72:AY73 BF72:BF73 BM72:BM73 BT72:BT73 CA72:CA73 CH72:CH73 CO72:CO73 CV72:CV73 DC72:DC73 DJ72:DJ73 DQ72:DQ73">
    <cfRule type="expression" dxfId="1" priority="7">
      <formula>IF(P29&gt;=Q29,IF(P29="",FALSE,TRUE))</formula>
    </cfRule>
  </conditionalFormatting>
  <conditionalFormatting sqref="R29:R30 Y29:Y30 AD29:AD30 AF29:AF30 AK29:AK30 AM29:AM30 AR29:AR30 AT29:AT30 AY29:AY30 BA29:BA30 BF29:BF32 BH29:BH30 BO29:BO30 BV29:BV30 CC29:CC30 CJ29:CJ30 CQ29:CQ30 CX29:CX30 DE29:DE30 DL29:DL30 DS29:DS30 R36:R37 Y36:Y37 AF36:AF37 AK36:AK37 AM36:AM37 AT36:AT37 BA36:BA37 BH36:BH37 BO36 BV36:BV37 CC36:CC37 CJ36:CJ37 CQ36:CQ37 CX36:CX37 DE36:DE37 DL36:DL37 DS36:DS37 R41:R42 W41:W42 Y41:Y42 AD41:AD42 AF41:AF42 AK41:AK44 AM41:AM44 AR41:AR44 AT41:AT42 AY41:AY44 BA41:BA42 BF41:BF44 BH41:BH42 BO41:BO42 BV41:BV42 CC41:CC42 CJ41:CJ42 CQ41:CQ42 CX41:CX42 DE41:DE42 DL41:DL42 DS41:DS42 R51:R52 Y51:Y52 AF51:AF52 AM51:AM52 AT51:AT52 BA51:BA52 BH51:BH52 BO51:BO52 BV51:BV52 CC51:CC52 CJ51:CJ52 CQ51:CQ52 CX51:CX52 DE51:DE52 DL51:DL52 DS51:DS52 W72:W74 Y72:Y74 AF72:AF74 AK72:AK74 AM72:AM74 AR72:AR74 AT72:AT73 AY72:AY74 BA72:BA73 BF72:BF74 BH72:BH73 BO72:BO73 BV72:BV73 CC72:CC73 CJ72:CJ73 CQ72:CQ73 CX72:CX73 DE72:DE73 DL72:DL73 DS72:DS73">
    <cfRule type="expression" dxfId="0" priority="8">
      <formula>OR(IF(R29&lt;S29,TRUE),IF(AND(S29="",R29&lt;&gt;""),TRUE))</formula>
    </cfRule>
  </conditionalFormatting>
  <conditionalFormatting sqref="R29:R30 Y29:Y30 AD29:AD30 AF29:AF30 AK29:AK30 AM29:AM30 AR29:AR30 AT29:AT30 AY29:AY30 BA29:BA30 BF29:BF32 BH29:BH30 BO29:BO30 BV29:BV30 CC29:CC30 CJ29:CJ30 CQ29:CQ30 CX29:CX30 DE29:DE30 DL29:DL30 DS29:DS30 R36:R37 Y36:Y37 AF36:AF37 AK36:AK37 AM36:AM37 AT36:AT37 BA36:BA37 BH36:BH37 BO36 BV36:BV37 CC36:CC37 CJ36:CJ37 CQ36:CQ37 CX36:CX37 DE36:DE37 DL36:DL37 DS36:DS37 R41:R42 W41:W42 Y41:Y42 AD41:AD42 AF41:AF42 AK41:AK44 AM41:AM44 AR41:AR44 AT41:AT42 AY41:AY44 BA41:BA42 BF41:BF44 BH41:BH42 BO41:BO42 BV41:BV42 CC41:CC42 CJ41:CJ42 CQ41:CQ42 CX41:CX42 DE41:DE42 DL41:DL42 DS41:DS42 R51:R52 Y51:Y52 AF51:AF52 AM51:AM52 AT51:AT52 BA51:BA52 BH51:BH52 BO51:BO52 BV51:BV52 CC51:CC52 CJ51:CJ52 CQ51:CQ52 CX51:CX52 DE51:DE52 DL51:DL52 DS51:DS52 W72:W74 Y72:Y74 AF72:AF74 AK72:AK74 AM72:AM74 AR72:AR74 AT72:AT73 AY72:AY74 BA72:BA73 BF72:BF74 BH72:BH73 BO72:BO73 BV72:BV73 CC72:CC73 CJ72:CJ73 CQ72:CQ73 CX72:CX73 DE72:DE73 DL72:DL73 DS72:DS73">
    <cfRule type="expression" dxfId="1" priority="9">
      <formula>IF(R29&gt;=S29,IF(R29="",FALSE,TRUE))</formula>
    </cfRule>
  </conditionalFormatting>
  <conditionalFormatting sqref="R31:R33 Y31:Y33 AD31:AD33 AF31:AF33 AK31:AK33 AM31:AM33 AR31:AR33 AT31:AT33 AY31:AY32 BA31:BA33 BF31:BF32 BV31:BV33 CC31:CC33 CJ31:CJ33 CQ31:CQ33 CX31:CX33 BH32:BH33 BO32:BO33 DE32:DE33 DL32:DL33 DS32:DS33 R38 Y38 AF38 AK38 AM38 AT38 BA38 BH38 BO38 BV38 CC38 CJ38 CQ38 CX38 DE38 DL38 DS38 R43:R48 W43:W48 Y43:Y48 AD43:AD48 AF43:AF48 AK43:AK48 AM43:AM48 AR43:AR45 AT43:AT48 AY43:AY45 BA43:BA48 BF43:BF45 BH43:BH48 BO43:BO48 BV43:BV48 CC43:CC48 CJ43:CJ48 CQ43 CX43:CX48 DE43:DE48 DL43:DL48 DS43:DS48 CQ45:CQ48 R53 Y53 AF53 AM53 AT53 BA53 BH53 BO53 BV53 CC53 CJ53 CQ53 CX53 DE53 DL53 DS53 BF72:BF77 W74 Y74:Y78 AF74:AF78 AK74:AK78 AM74:AM78 AR74:AR78 AT74:AT78 AY74:AY77 BA74:BA78 BH74 BO74 BV74:BV78 CC74:CC78 CJ74:CJ78 CQ74:CQ78 CX74:CX78 DE74:DE78 DL74:DL78 DS74:DS78 BH76:BH78 BO76:BO78">
    <cfRule type="expression" dxfId="0" priority="10">
      <formula>OR(IF(R31&lt;S31,TRUE),IF(AND(S31="",R31&lt;&gt;""),TRUE))</formula>
    </cfRule>
  </conditionalFormatting>
  <conditionalFormatting sqref="R31:R33 Y31:Y33 AD31:AD33 AF31:AF33 AK31:AK33 AM31:AM33 AR31:AR33 AT31:AT33 AY31:AY32 BA31:BA33 BF31:BF32 BV31:BV33 CC31:CC33 CJ31:CJ33 CQ31:CQ33 CX31:CX33 BH32:BH33 BO32:BO33 DE32:DE33 DL32:DL33 DS32:DS33 R38 Y38 AF38 AK38 AM38 AT38 BA38 BH38 BO38 BV38 CC38 CJ38 CQ38 CX38 DE38 DL38 DS38 R43:R48 W43:W48 Y43:Y48 AD43:AD48 AF43:AF48 AK43:AK48 AM43:AM48 AR43:AR45 AT43:AT48 AY43:AY45 BA43:BA48 BF43:BF45 BH43:BH48 BO43:BO48 BV43:BV48 CC43:CC48 CJ43:CJ48 CQ43 CX43:CX48 DE43:DE48 DL43:DL48 DS43:DS48 CQ45:CQ48 R53 Y53 AF53 AM53 AT53 BA53 BH53 BO53 BV53 CC53 CJ53 CQ53 CX53 DE53 DL53 DS53 BF72:BF77 W74 Y74:Y78 AF74:AF78 AK74:AK78 AM74:AM78 AR74:AR78 AT74:AT78 AY74:AY77 BA74:BA78 BH74 BO74 BV74:BV78 CC74:CC78 CJ74:CJ78 CQ74:CQ78 CX74:CX78 DE74:DE78 DL74:DL78 DS74:DS78 BH76:BH78 BO76:BO78">
    <cfRule type="expression" dxfId="1" priority="11">
      <formula>IF(R31&gt;=S31,IF(R31="",FALSE,TRUE))</formula>
    </cfRule>
  </conditionalFormatting>
  <conditionalFormatting sqref="P26 W26 AD26 AK26 AR26 AY26 BF26 BM26 BT26 CA26 CH26 CO26 CV26 DC26 DJ26 DQ26">
    <cfRule type="expression" dxfId="0" priority="12">
      <formula>OR(IF(P26&lt;Q26,TRUE),IF(AND(Q26="",P26&lt;&gt;""),TRUE))</formula>
    </cfRule>
  </conditionalFormatting>
  <conditionalFormatting sqref="P26 W26 AD26 AK26 AR26 AY26 BF26 BM26 BT26 CA26 CH26 CO26 CV26 DC26 DJ26 DQ26">
    <cfRule type="expression" dxfId="1" priority="13">
      <formula>IF(P26&gt;=Q26,IF(P26="",FALSE,TRUE))</formula>
    </cfRule>
  </conditionalFormatting>
  <conditionalFormatting sqref="R26 Y26 AF26 AM26 AT26 BA26 BH26 BO26 BV26 CC26 CJ26 CQ26 CX26 DE26 DL26 DS26">
    <cfRule type="expression" dxfId="0" priority="14">
      <formula>OR(IF(R26&lt;S26,TRUE),IF(AND(S26="",R26&lt;&gt;""),TRUE))</formula>
    </cfRule>
  </conditionalFormatting>
  <conditionalFormatting sqref="R26 Y26 AF26 AM26 AT26 BA26 BH26 BO26 BV26 CC26 CJ26 CQ26 CX26 DE26 DL26 DS26">
    <cfRule type="expression" dxfId="1" priority="15">
      <formula>IF(R26&gt;=S26,IF(R26="",FALSE,TRUE))</formula>
    </cfRule>
  </conditionalFormatting>
  <conditionalFormatting sqref="BM23 P31:P33 W31:W33 AD31:AD33 AF31:AF32 AK31:AK33 AR31:AR33 AY31:AY33 BF31:BF33 BM31:BM33 BT31:BT33 CA31:CA33 CH31:CH33 CO31:CO33 CV31:CV33 DC31:DC33 DJ31:DJ33 DQ31:DQ33 BM37:BM38 P38 W38 AD38 AK38 AR38 AY38 BF38 BT38 CA38 CH38 CO38 CV38 DC38 DJ38 DQ38 P43:P48 W43:W48 AD43:AD48 AK43:AK48 AR43:AR48 AY43:AY48 BF43:BF48 BM43:BM48 BT43:BT48 CA43:CA48 CH43:CH48 CO43:CO48 CV43:CV48 DC43:DC48 DJ43:DJ48 DQ43:DQ48 P53 W53 AD53 AK53 AR53 AY53 BF53 BM53 BT53 CA53 CH53 CO53 CV53 DC53 DJ53 DQ53 BF72:BF78 R74:R78 Y74:Y78 AD74:AD78 AF74:AF76 AK74:AK78 AM74:AM75 AR74:AR78 AY74:AY78 BM74:BM78 BT74:BT78 CA74:CA78 CH74:CH78 CO74:CO78 CV74:CV78 DC74:DC78 DJ74:DJ78 DQ74:DQ78">
    <cfRule type="expression" dxfId="0" priority="16">
      <formula>OR(IF(BM23&lt;BN23,TRUE),IF(AND(BN23="",BM23&lt;&gt;""),TRUE))</formula>
    </cfRule>
  </conditionalFormatting>
  <conditionalFormatting sqref="BM23 P31:P33 W31:W33 AD31:AD33 AF31:AF32 AK31:AK33 AR31:AR33 AY31:AY33 BF31:BF33 BM31:BM33 BT31:BT33 CA31:CA33 CH31:CH33 CO31:CO33 CV31:CV33 DC31:DC33 DJ31:DJ33 DQ31:DQ33 BM37:BM38 P38 W38 AD38 AK38 AR38 AY38 BF38 BT38 CA38 CH38 CO38 CV38 DC38 DJ38 DQ38 P43:P48 W43:W48 AD43:AD48 AK43:AK48 AR43:AR48 AY43:AY48 BF43:BF48 BM43:BM48 BT43:BT48 CA43:CA48 CH43:CH48 CO43:CO48 CV43:CV48 DC43:DC48 DJ43:DJ48 DQ43:DQ48 P53 W53 AD53 AK53 AR53 AY53 BF53 BM53 BT53 CA53 CH53 CO53 CV53 DC53 DJ53 DQ53 BF72:BF78 R74:R78 Y74:Y78 AD74:AD78 AF74:AF76 AK74:AK78 AM74:AM75 AR74:AR78 AY74:AY78 BM74:BM78 BT74:BT78 CA74:CA78 CH74:CH78 CO74:CO78 CV74:CV78 DC74:DC78 DJ74:DJ78 DQ74:DQ78">
    <cfRule type="expression" dxfId="1" priority="17">
      <formula>IF(BM23&gt;=BN23,IF(BM23="",FALSE,TRUE))</formula>
    </cfRule>
  </conditionalFormatting>
  <conditionalFormatting sqref="J5:J18 J56:J69 J81:J86">
    <cfRule type="colorScale" priority="18">
      <colorScale>
        <cfvo type="percent" val="0"/>
        <cfvo type="percent" val="100"/>
        <color rgb="FFFF231B"/>
        <color rgb="FF10FF07"/>
      </colorScale>
    </cfRule>
  </conditionalFormatting>
  <conditionalFormatting sqref="K5:K19 K56:K69 K81:K86">
    <cfRule type="colorScale" priority="19">
      <colorScale>
        <cfvo type="percent" val="0"/>
        <cfvo type="percent" val="100"/>
        <color rgb="FFFF231B"/>
        <color rgb="FF10FF07"/>
      </colorScale>
    </cfRule>
  </conditionalFormatting>
  <conditionalFormatting sqref="J30:K33 J37:K38 J42:K48 J52:K53 J73:K78">
    <cfRule type="colorScale" priority="20">
      <colorScale>
        <cfvo type="percent" val="0"/>
        <cfvo type="percent" val="100"/>
        <color rgb="FFFF231B"/>
        <color rgb="FF10FF07"/>
      </colorScale>
    </cfRule>
  </conditionalFormatting>
  <conditionalFormatting sqref="J29:J33 J36:J38 J41:J48 J51:J53 J72:J78">
    <cfRule type="colorScale" priority="21">
      <colorScale>
        <cfvo type="percent" val="0"/>
        <cfvo type="percent" val="100"/>
        <color rgb="FFFF231B"/>
        <color rgb="FF10FF07"/>
      </colorScale>
    </cfRule>
  </conditionalFormatting>
  <conditionalFormatting sqref="K29:K33 K36:K38 K41:K48 K51:K53 K72:K78">
    <cfRule type="colorScale" priority="22">
      <colorScale>
        <cfvo type="percent" val="0"/>
        <cfvo type="percent" val="100"/>
        <color rgb="FFFF231B"/>
        <color rgb="FF10FF07"/>
      </colorScale>
    </cfRule>
  </conditionalFormatting>
  <conditionalFormatting sqref="J22:K26">
    <cfRule type="colorScale" priority="23">
      <colorScale>
        <cfvo type="percent" val="0"/>
        <cfvo type="percent" val="100"/>
        <color rgb="FFFF231B"/>
        <color rgb="FF10FF07"/>
      </colorScale>
    </cfRule>
  </conditionalFormatting>
  <conditionalFormatting sqref="J21:J26">
    <cfRule type="colorScale" priority="24">
      <colorScale>
        <cfvo type="percent" val="0"/>
        <cfvo type="percent" val="100"/>
        <color rgb="FFFF231B"/>
        <color rgb="FF10FF07"/>
      </colorScale>
    </cfRule>
  </conditionalFormatting>
  <conditionalFormatting sqref="K21:K26">
    <cfRule type="colorScale" priority="25">
      <colorScale>
        <cfvo type="percent" val="0"/>
        <cfvo type="percent" val="100"/>
        <color rgb="FFFF231B"/>
        <color rgb="FF10FF07"/>
      </colorScale>
    </cfRule>
  </conditionalFormatting>
  <dataValidations>
    <dataValidation type="list" allowBlank="1" sqref="DJ5:DM7 DJ8 DQ8 P5:S18 W5:Z18 AD5:AG18 AK5:AN18 AR5:AU18 AY5:BB18 BF5:BI18 BM5:BP18 BT5:BW18 CA5:CD18 CH5:CK18 CO5:CR18 CV5:CY18 DC5:DF18 DJ9:DM18 BM21:BP22 BM23 P21:S26 W21:Z26 AD21:AG26 AK21:AN26 AR21:AU26 AY21:BB26 BF21:BI26 BM24:BP26 BM29:BP30 DC29:DF30 DJ29:DM30 BM31 DC31 DJ31 DQ31 P29:S33 W29:Z33 AD29:AG33 AK29:AN33 AR29:AU33 AY29:BA33 BF29:BI33 BM32:BP33 DC32:DF33 DJ32:DM33 BM37 AK36:AN38 AR36:AT38 AY36:BA38 BF36:BH38 CO41:CR43 CO44 P41:S48 W41:Z48 AD41:AG48 AK41:AN48 AR41:AT48 AY41:BA48 BF41:BH48 BM41:BO48 BT41:BV48 CA41:CC48 CH41:CJ48 CO45:CR48 AK51:AN53 AR51:AU53 AY51:BB53 BF51:BI53 BM51:BP53 BT51:BW53 CA51:CD53 CH51:CK53 CO51:CR53 CV51:CY53 DC51:DF53 DJ51:DM53 DJ56:DM60 DJ61 DQ61 P56:S69 W56:Y69 AD56:AG69 AK56:AN69 AR56:AT69 AY56:BA69 BF56:BH69 BM56:BO69 BT56:BW69 CA56:CD69 CH56:CK69 CO56:CR69 CV56:CY69 DC56:DF69 DJ62:DM69 BM72:BP74 BM75 R72:S78 Y72:Z78 AD72:AG78 AK72:AN78 AR72:AT78 AY72:BA78 BF72:BI78 BM76:BP78">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41" t="s">
        <v>146</v>
      </c>
      <c r="B1" s="42" t="s">
        <v>147</v>
      </c>
      <c r="C1" s="42" t="s">
        <v>148</v>
      </c>
      <c r="D1" s="42" t="s">
        <v>149</v>
      </c>
      <c r="E1" s="43" t="s">
        <v>150</v>
      </c>
      <c r="F1" s="43" t="s">
        <v>151</v>
      </c>
      <c r="G1" s="43" t="s">
        <v>152</v>
      </c>
      <c r="H1" s="43" t="s">
        <v>153</v>
      </c>
      <c r="I1" s="43" t="s">
        <v>154</v>
      </c>
      <c r="J1" s="43" t="s">
        <v>155</v>
      </c>
      <c r="K1" s="43" t="s">
        <v>156</v>
      </c>
    </row>
    <row r="2" ht="15.75" customHeight="1">
      <c r="A2" s="44">
        <v>44118.0</v>
      </c>
      <c r="B2" s="41"/>
      <c r="C2" s="41"/>
      <c r="D2" s="45">
        <v>1.0</v>
      </c>
      <c r="E2" s="46"/>
      <c r="F2" s="46"/>
      <c r="G2" s="46"/>
      <c r="H2" s="46"/>
      <c r="I2" s="46"/>
      <c r="J2" s="46"/>
      <c r="K2" s="46"/>
    </row>
    <row r="3" ht="15.75" customHeight="1">
      <c r="A3" s="44">
        <v>44119.0</v>
      </c>
      <c r="B3" s="41"/>
      <c r="C3" s="41"/>
      <c r="D3" s="41"/>
      <c r="E3" s="46"/>
      <c r="F3" s="46"/>
      <c r="G3" s="46"/>
      <c r="H3" s="46"/>
      <c r="I3" s="46"/>
      <c r="J3" s="46"/>
      <c r="K3" s="46"/>
    </row>
    <row r="4" ht="15.75" customHeight="1">
      <c r="A4" s="44">
        <v>44120.0</v>
      </c>
      <c r="B4" s="41"/>
      <c r="C4" s="41"/>
      <c r="D4" s="41"/>
      <c r="E4" s="46"/>
      <c r="F4" s="46"/>
      <c r="G4" s="46"/>
      <c r="H4" s="46"/>
      <c r="I4" s="46"/>
      <c r="J4" s="46"/>
      <c r="K4" s="46"/>
    </row>
    <row r="5" ht="15.75" customHeight="1">
      <c r="A5" s="44">
        <v>44121.0</v>
      </c>
      <c r="B5" s="41"/>
      <c r="C5" s="41"/>
      <c r="D5" s="41"/>
      <c r="E5" s="46"/>
      <c r="F5" s="46"/>
      <c r="G5" s="46"/>
      <c r="H5" s="46"/>
      <c r="I5" s="46"/>
      <c r="J5" s="46"/>
      <c r="K5" s="46"/>
    </row>
    <row r="6" ht="15.75" customHeight="1">
      <c r="A6" s="44">
        <v>44122.0</v>
      </c>
      <c r="B6" s="41"/>
      <c r="C6" s="41"/>
      <c r="D6" s="41"/>
      <c r="E6" s="46"/>
      <c r="F6" s="46"/>
      <c r="G6" s="46"/>
      <c r="H6" s="46"/>
      <c r="I6" s="46"/>
      <c r="J6" s="46"/>
      <c r="K6" s="46"/>
    </row>
    <row r="7" ht="15.75" customHeight="1">
      <c r="A7" s="44">
        <v>44123.0</v>
      </c>
      <c r="B7" s="41"/>
      <c r="C7" s="41"/>
      <c r="D7" s="41"/>
      <c r="E7" s="46"/>
      <c r="F7" s="46"/>
      <c r="G7" s="46"/>
      <c r="H7" s="46"/>
      <c r="I7" s="46"/>
      <c r="J7" s="46"/>
      <c r="K7" s="46"/>
    </row>
    <row r="8" ht="15.75" customHeight="1">
      <c r="A8" s="44">
        <v>44124.0</v>
      </c>
      <c r="B8" s="41"/>
      <c r="C8" s="41"/>
      <c r="D8" s="41"/>
      <c r="E8" s="46"/>
      <c r="F8" s="46"/>
      <c r="G8" s="46"/>
      <c r="H8" s="46"/>
      <c r="I8" s="46"/>
      <c r="J8" s="46"/>
      <c r="K8" s="46"/>
    </row>
    <row r="9" ht="15.75" customHeight="1">
      <c r="A9" s="44">
        <v>44125.0</v>
      </c>
      <c r="B9" s="41"/>
      <c r="C9" s="41"/>
      <c r="D9" s="41"/>
      <c r="E9" s="46"/>
      <c r="F9" s="46"/>
      <c r="G9" s="46"/>
      <c r="H9" s="46"/>
      <c r="I9" s="46"/>
      <c r="J9" s="46"/>
      <c r="K9" s="46"/>
    </row>
    <row r="10" ht="15.75" customHeight="1">
      <c r="A10" s="44">
        <v>44126.0</v>
      </c>
      <c r="B10" s="41"/>
      <c r="C10" s="41"/>
      <c r="D10" s="41"/>
      <c r="E10" s="46"/>
      <c r="F10" s="46"/>
      <c r="G10" s="46"/>
      <c r="H10" s="46"/>
      <c r="I10" s="46"/>
      <c r="J10" s="46"/>
      <c r="K10" s="46"/>
    </row>
    <row r="11" ht="15.75" customHeight="1">
      <c r="A11" s="44">
        <v>44127.0</v>
      </c>
      <c r="B11" s="41"/>
      <c r="C11" s="41"/>
      <c r="D11" s="41"/>
      <c r="E11" s="46"/>
      <c r="F11" s="46"/>
      <c r="G11" s="46"/>
      <c r="H11" s="46"/>
      <c r="I11" s="46"/>
      <c r="J11" s="46"/>
      <c r="K11" s="46"/>
    </row>
    <row r="12" ht="15.75" customHeight="1">
      <c r="A12" s="44">
        <v>44128.0</v>
      </c>
      <c r="B12" s="41"/>
      <c r="C12" s="41"/>
      <c r="D12" s="41"/>
      <c r="E12" s="46"/>
      <c r="F12" s="46"/>
      <c r="G12" s="46"/>
      <c r="H12" s="46"/>
      <c r="I12" s="46"/>
      <c r="J12" s="46"/>
      <c r="K12" s="46"/>
    </row>
    <row r="13" ht="15.75" customHeight="1">
      <c r="A13" s="44">
        <v>44129.0</v>
      </c>
      <c r="B13" s="41"/>
      <c r="C13" s="41"/>
      <c r="D13" s="41"/>
      <c r="E13" s="46"/>
      <c r="F13" s="46"/>
      <c r="G13" s="46"/>
      <c r="H13" s="46"/>
      <c r="I13" s="46"/>
      <c r="J13" s="46"/>
      <c r="K13" s="46"/>
    </row>
    <row r="14" ht="15.75" customHeight="1">
      <c r="A14" s="44">
        <v>44130.0</v>
      </c>
      <c r="B14" s="41"/>
      <c r="C14" s="41"/>
      <c r="D14" s="41"/>
      <c r="E14" s="46"/>
      <c r="F14" s="46"/>
      <c r="G14" s="46"/>
      <c r="H14" s="46"/>
      <c r="I14" s="46"/>
      <c r="J14" s="46"/>
      <c r="K14" s="46"/>
    </row>
    <row r="15" ht="15.75" customHeight="1">
      <c r="A15" s="44">
        <v>44131.0</v>
      </c>
      <c r="B15" s="41"/>
      <c r="C15" s="41"/>
      <c r="D15" s="41"/>
      <c r="E15" s="46"/>
      <c r="F15" s="46"/>
      <c r="G15" s="46"/>
      <c r="H15" s="46"/>
      <c r="I15" s="46"/>
      <c r="J15" s="46"/>
      <c r="K15" s="46"/>
    </row>
    <row r="16" ht="15.75" customHeight="1">
      <c r="A16" s="44">
        <v>44132.0</v>
      </c>
      <c r="B16" s="41"/>
      <c r="C16" s="41"/>
      <c r="D16" s="41"/>
      <c r="E16" s="46"/>
      <c r="F16" s="46"/>
      <c r="G16" s="46"/>
      <c r="H16" s="46"/>
      <c r="I16" s="46"/>
      <c r="J16" s="46"/>
      <c r="K16" s="46"/>
    </row>
    <row r="17" ht="15.75" customHeight="1">
      <c r="A17" s="44">
        <v>44133.0</v>
      </c>
      <c r="B17" s="41"/>
      <c r="C17" s="41"/>
      <c r="D17" s="41"/>
      <c r="E17" s="46"/>
      <c r="F17" s="46"/>
      <c r="G17" s="46"/>
      <c r="H17" s="46"/>
      <c r="I17" s="46"/>
      <c r="J17" s="46"/>
      <c r="K17" s="46"/>
    </row>
    <row r="18" ht="15.75" customHeight="1">
      <c r="A18" s="44">
        <v>44134.0</v>
      </c>
      <c r="B18" s="41"/>
      <c r="C18" s="41"/>
      <c r="D18" s="41"/>
      <c r="E18" s="46"/>
      <c r="F18" s="46"/>
      <c r="G18" s="46"/>
      <c r="H18" s="46"/>
      <c r="I18" s="46"/>
      <c r="J18" s="46"/>
      <c r="K18" s="46"/>
    </row>
    <row r="19" ht="15.75" customHeight="1">
      <c r="A19" s="44">
        <v>44135.0</v>
      </c>
      <c r="B19" s="41"/>
      <c r="C19" s="41"/>
      <c r="D19" s="41"/>
      <c r="E19" s="46"/>
      <c r="F19" s="46"/>
      <c r="G19" s="46"/>
      <c r="H19" s="46"/>
      <c r="I19" s="46"/>
      <c r="J19" s="46"/>
      <c r="K19" s="46"/>
    </row>
    <row r="20" ht="15.75" customHeight="1">
      <c r="A20" s="44">
        <v>44136.0</v>
      </c>
      <c r="B20" s="41"/>
      <c r="C20" s="41"/>
      <c r="D20" s="41"/>
      <c r="E20" s="46"/>
      <c r="F20" s="46"/>
      <c r="G20" s="46"/>
      <c r="H20" s="46"/>
      <c r="I20" s="46"/>
      <c r="J20" s="46"/>
      <c r="K20" s="46"/>
    </row>
    <row r="21" ht="15.75" customHeight="1">
      <c r="A21" s="44">
        <v>44137.0</v>
      </c>
      <c r="B21" s="41"/>
      <c r="C21" s="41"/>
      <c r="D21" s="41"/>
      <c r="E21" s="46"/>
      <c r="F21" s="46"/>
      <c r="G21" s="46"/>
      <c r="H21" s="46"/>
      <c r="I21" s="46"/>
      <c r="J21" s="46"/>
      <c r="K21" s="46"/>
    </row>
    <row r="22" ht="15.75" customHeight="1">
      <c r="A22" s="44">
        <v>44138.0</v>
      </c>
      <c r="B22" s="41"/>
      <c r="C22" s="41"/>
      <c r="D22" s="41"/>
      <c r="E22" s="46"/>
      <c r="F22" s="46"/>
      <c r="G22" s="46"/>
      <c r="H22" s="46"/>
      <c r="I22" s="46"/>
      <c r="J22" s="46"/>
      <c r="K22" s="46"/>
    </row>
    <row r="23" ht="15.75" customHeight="1">
      <c r="A23" s="44">
        <v>44139.0</v>
      </c>
      <c r="B23" s="41"/>
      <c r="C23" s="41"/>
      <c r="D23" s="41"/>
      <c r="E23" s="46"/>
      <c r="F23" s="46"/>
      <c r="G23" s="46"/>
      <c r="H23" s="46"/>
      <c r="I23" s="46"/>
      <c r="J23" s="46"/>
      <c r="K23" s="46"/>
    </row>
    <row r="24" ht="15.75" customHeight="1">
      <c r="A24" s="44">
        <v>44140.0</v>
      </c>
      <c r="B24" s="41"/>
      <c r="C24" s="41"/>
      <c r="D24" s="41"/>
      <c r="E24" s="46"/>
      <c r="F24" s="46"/>
      <c r="G24" s="46"/>
      <c r="H24" s="46"/>
      <c r="I24" s="46"/>
      <c r="J24" s="46"/>
      <c r="K24" s="46"/>
    </row>
    <row r="25" ht="15.75" customHeight="1">
      <c r="A25" s="44">
        <v>44141.0</v>
      </c>
      <c r="B25" s="41"/>
      <c r="C25" s="41"/>
      <c r="D25" s="41"/>
      <c r="E25" s="46"/>
      <c r="F25" s="46"/>
      <c r="G25" s="46"/>
      <c r="H25" s="46"/>
      <c r="I25" s="46"/>
      <c r="J25" s="46"/>
      <c r="K25" s="46"/>
    </row>
    <row r="26" ht="15.75" customHeight="1">
      <c r="A26" s="44">
        <v>44142.0</v>
      </c>
      <c r="B26" s="41"/>
      <c r="C26" s="41"/>
      <c r="D26" s="41"/>
      <c r="E26" s="46"/>
      <c r="F26" s="46"/>
      <c r="G26" s="46"/>
      <c r="H26" s="46"/>
      <c r="I26" s="46"/>
      <c r="J26" s="46"/>
      <c r="K26" s="46"/>
    </row>
    <row r="27" ht="15.75" customHeight="1">
      <c r="A27" s="44">
        <v>44143.0</v>
      </c>
      <c r="B27" s="41"/>
      <c r="C27" s="41"/>
      <c r="D27" s="41"/>
      <c r="E27" s="46"/>
      <c r="F27" s="46"/>
      <c r="G27" s="46"/>
      <c r="H27" s="46"/>
      <c r="I27" s="46"/>
      <c r="J27" s="46"/>
      <c r="K27" s="46"/>
    </row>
    <row r="28" ht="15.75" customHeight="1">
      <c r="A28" s="44">
        <v>44144.0</v>
      </c>
      <c r="B28" s="41"/>
      <c r="C28" s="41"/>
      <c r="D28" s="41"/>
      <c r="E28" s="46"/>
      <c r="F28" s="46"/>
      <c r="G28" s="46"/>
      <c r="H28" s="46"/>
      <c r="I28" s="46"/>
      <c r="J28" s="46"/>
      <c r="K28" s="46"/>
    </row>
    <row r="29" ht="15.75" customHeight="1">
      <c r="A29" s="44">
        <v>44145.0</v>
      </c>
      <c r="B29" s="41"/>
      <c r="C29" s="41"/>
      <c r="D29" s="41"/>
      <c r="E29" s="46"/>
      <c r="F29" s="46"/>
      <c r="G29" s="46"/>
      <c r="H29" s="46"/>
      <c r="I29" s="46"/>
      <c r="J29" s="46"/>
      <c r="K29" s="46"/>
    </row>
    <row r="30" ht="15.75" customHeight="1">
      <c r="A30" s="44">
        <v>44146.0</v>
      </c>
      <c r="B30" s="41"/>
      <c r="C30" s="41"/>
      <c r="D30" s="41"/>
      <c r="E30" s="46"/>
      <c r="F30" s="46"/>
      <c r="G30" s="46"/>
      <c r="H30" s="46"/>
      <c r="I30" s="46"/>
      <c r="J30" s="46"/>
      <c r="K30" s="46"/>
    </row>
    <row r="31" ht="15.75" customHeight="1">
      <c r="A31" s="44">
        <v>44147.0</v>
      </c>
      <c r="B31" s="41"/>
      <c r="C31" s="41"/>
      <c r="D31" s="41"/>
      <c r="E31" s="46"/>
      <c r="F31" s="46"/>
      <c r="G31" s="46"/>
      <c r="H31" s="46"/>
      <c r="I31" s="46"/>
      <c r="J31" s="46"/>
      <c r="K31" s="46"/>
    </row>
    <row r="32" ht="15.75" customHeight="1">
      <c r="A32" s="44">
        <v>44148.0</v>
      </c>
      <c r="B32" s="41"/>
      <c r="C32" s="41"/>
      <c r="D32" s="41"/>
      <c r="E32" s="46"/>
      <c r="F32" s="46"/>
      <c r="G32" s="46"/>
      <c r="H32" s="46"/>
      <c r="I32" s="46"/>
      <c r="J32" s="46"/>
      <c r="K32" s="46"/>
    </row>
    <row r="33" ht="15.75" customHeight="1">
      <c r="A33" s="44">
        <v>44149.0</v>
      </c>
      <c r="B33" s="41"/>
      <c r="C33" s="41"/>
      <c r="D33" s="41"/>
      <c r="E33" s="46"/>
      <c r="F33" s="46"/>
      <c r="G33" s="46"/>
      <c r="H33" s="46"/>
      <c r="I33" s="46"/>
      <c r="J33" s="46"/>
      <c r="K33" s="46"/>
    </row>
    <row r="34" ht="15.75" customHeight="1">
      <c r="A34" s="44">
        <v>44150.0</v>
      </c>
      <c r="B34" s="41"/>
      <c r="C34" s="41"/>
      <c r="D34" s="41"/>
      <c r="E34" s="46"/>
      <c r="F34" s="46"/>
      <c r="G34" s="46"/>
      <c r="H34" s="46"/>
      <c r="I34" s="46"/>
      <c r="J34" s="46"/>
      <c r="K34" s="46"/>
    </row>
    <row r="35" ht="15.75" customHeight="1">
      <c r="A35" s="44">
        <v>44151.0</v>
      </c>
      <c r="B35" s="41"/>
      <c r="C35" s="41"/>
      <c r="D35" s="41"/>
      <c r="E35" s="46"/>
      <c r="F35" s="46"/>
      <c r="G35" s="46"/>
      <c r="H35" s="46"/>
      <c r="I35" s="46"/>
      <c r="J35" s="46"/>
      <c r="K35" s="46"/>
    </row>
    <row r="36" ht="15.75" customHeight="1">
      <c r="A36" s="44">
        <v>44152.0</v>
      </c>
      <c r="B36" s="41"/>
      <c r="C36" s="41"/>
      <c r="D36" s="41"/>
      <c r="E36" s="46"/>
      <c r="F36" s="46"/>
      <c r="G36" s="46"/>
      <c r="H36" s="46"/>
      <c r="I36" s="46"/>
      <c r="J36" s="46"/>
      <c r="K36" s="46"/>
    </row>
    <row r="37" ht="15.75" customHeight="1">
      <c r="A37" s="44">
        <v>44153.0</v>
      </c>
      <c r="B37" s="41"/>
      <c r="C37" s="41"/>
      <c r="D37" s="41"/>
      <c r="E37" s="46"/>
      <c r="F37" s="46"/>
      <c r="G37" s="46"/>
      <c r="H37" s="46"/>
      <c r="I37" s="46"/>
      <c r="J37" s="46"/>
      <c r="K37" s="46"/>
    </row>
    <row r="38" ht="15.75" customHeight="1">
      <c r="A38" s="44">
        <v>44154.0</v>
      </c>
      <c r="B38" s="41"/>
      <c r="C38" s="41"/>
      <c r="D38" s="41"/>
      <c r="E38" s="46"/>
      <c r="F38" s="46"/>
      <c r="G38" s="46"/>
      <c r="H38" s="46"/>
      <c r="I38" s="46"/>
      <c r="J38" s="46"/>
      <c r="K38" s="46"/>
    </row>
    <row r="39" ht="15.75" customHeight="1">
      <c r="A39" s="44">
        <v>44155.0</v>
      </c>
      <c r="B39" s="41"/>
      <c r="C39" s="41"/>
      <c r="D39" s="41"/>
      <c r="E39" s="46"/>
      <c r="F39" s="46"/>
      <c r="G39" s="46"/>
      <c r="H39" s="46"/>
      <c r="I39" s="46"/>
      <c r="J39" s="46"/>
      <c r="K39" s="46"/>
    </row>
    <row r="40" ht="15.75" customHeight="1">
      <c r="A40" s="44">
        <v>44156.0</v>
      </c>
      <c r="B40" s="41"/>
      <c r="C40" s="41"/>
      <c r="D40" s="41"/>
      <c r="E40" s="46"/>
      <c r="F40" s="46"/>
      <c r="G40" s="46"/>
      <c r="H40" s="46"/>
      <c r="I40" s="46"/>
      <c r="J40" s="46"/>
      <c r="K40" s="46"/>
    </row>
    <row r="41" ht="15.75" customHeight="1">
      <c r="A41" s="44">
        <v>44157.0</v>
      </c>
      <c r="B41" s="41"/>
      <c r="C41" s="41"/>
      <c r="D41" s="41"/>
      <c r="E41" s="46"/>
      <c r="F41" s="46"/>
      <c r="G41" s="46"/>
      <c r="H41" s="46"/>
      <c r="I41" s="46"/>
      <c r="J41" s="46"/>
      <c r="K41" s="46"/>
    </row>
    <row r="42" ht="15.75" customHeight="1">
      <c r="A42" s="44">
        <v>44158.0</v>
      </c>
      <c r="B42" s="41"/>
      <c r="C42" s="41"/>
      <c r="D42" s="41"/>
      <c r="E42" s="46"/>
      <c r="F42" s="46"/>
      <c r="G42" s="46"/>
      <c r="H42" s="46"/>
      <c r="I42" s="46"/>
      <c r="J42" s="46"/>
      <c r="K42" s="46"/>
    </row>
    <row r="43" ht="15.75" customHeight="1">
      <c r="A43" s="44">
        <v>44159.0</v>
      </c>
      <c r="B43" s="41"/>
      <c r="C43" s="41"/>
      <c r="D43" s="41"/>
      <c r="E43" s="46"/>
      <c r="F43" s="46"/>
      <c r="G43" s="46"/>
      <c r="H43" s="46"/>
      <c r="I43" s="46"/>
      <c r="J43" s="46"/>
      <c r="K43" s="46"/>
    </row>
    <row r="44" ht="15.75" customHeight="1">
      <c r="A44" s="44">
        <v>44160.0</v>
      </c>
      <c r="B44" s="41"/>
      <c r="C44" s="41"/>
      <c r="D44" s="41"/>
      <c r="E44" s="46"/>
      <c r="F44" s="46"/>
      <c r="G44" s="46"/>
      <c r="H44" s="46"/>
      <c r="I44" s="46"/>
      <c r="J44" s="46"/>
      <c r="K44" s="46"/>
    </row>
    <row r="45" ht="15.75" customHeight="1">
      <c r="A45" s="44">
        <v>44161.0</v>
      </c>
      <c r="B45" s="41"/>
      <c r="C45" s="41"/>
      <c r="D45" s="41"/>
      <c r="E45" s="46"/>
      <c r="F45" s="46"/>
      <c r="G45" s="46"/>
      <c r="H45" s="46"/>
      <c r="I45" s="46"/>
      <c r="J45" s="46"/>
      <c r="K45" s="46"/>
    </row>
    <row r="46" ht="15.75" customHeight="1">
      <c r="A46" s="44">
        <v>44162.0</v>
      </c>
      <c r="B46" s="41"/>
      <c r="C46" s="41"/>
      <c r="D46" s="41"/>
      <c r="E46" s="46"/>
      <c r="F46" s="46"/>
      <c r="G46" s="46"/>
      <c r="H46" s="46"/>
      <c r="I46" s="46"/>
      <c r="J46" s="46"/>
      <c r="K46" s="46"/>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7" t="s">
        <v>157</v>
      </c>
    </row>
    <row r="2" ht="15.75" customHeight="1"/>
    <row r="3" ht="15.75" customHeight="1"/>
    <row r="4" ht="15.75" customHeight="1">
      <c r="B4" s="3" t="s">
        <v>158</v>
      </c>
      <c r="C4" s="3" t="s">
        <v>159</v>
      </c>
      <c r="D4" s="3" t="s">
        <v>160</v>
      </c>
      <c r="E4" s="3" t="s">
        <v>161</v>
      </c>
      <c r="F4" s="3" t="s">
        <v>162</v>
      </c>
      <c r="G4" s="3" t="s">
        <v>163</v>
      </c>
      <c r="H4" s="3" t="s">
        <v>164</v>
      </c>
    </row>
    <row r="5" ht="15.75" customHeight="1">
      <c r="A5" s="48">
        <v>0.16666666666666666</v>
      </c>
    </row>
    <row r="6" ht="15.75" customHeight="1">
      <c r="A6" s="48">
        <v>0.1875</v>
      </c>
    </row>
    <row r="7" ht="15.75" customHeight="1">
      <c r="A7" s="48">
        <v>0.208333333333333</v>
      </c>
    </row>
    <row r="8" ht="15.75" customHeight="1">
      <c r="A8" s="48">
        <v>0.229166666666667</v>
      </c>
    </row>
    <row r="9" ht="15.75" customHeight="1">
      <c r="A9" s="48">
        <v>0.25</v>
      </c>
    </row>
    <row r="10" ht="15.75" customHeight="1">
      <c r="A10" s="48">
        <v>0.270833333333334</v>
      </c>
    </row>
    <row r="11" ht="15.75" customHeight="1">
      <c r="A11" s="48">
        <v>0.291666666666667</v>
      </c>
    </row>
    <row r="12" ht="15.75" customHeight="1">
      <c r="A12" s="48">
        <v>0.3125</v>
      </c>
    </row>
    <row r="13" ht="15.75" customHeight="1">
      <c r="A13" s="48">
        <v>0.333333333333334</v>
      </c>
    </row>
    <row r="14" ht="15.75" customHeight="1">
      <c r="A14" s="48">
        <v>0.354166666666667</v>
      </c>
    </row>
    <row r="15" ht="15.75" customHeight="1">
      <c r="A15" s="48">
        <v>0.375</v>
      </c>
    </row>
    <row r="16" ht="15.75" customHeight="1">
      <c r="A16" s="48">
        <v>0.395833333333334</v>
      </c>
    </row>
    <row r="17" ht="15.75" customHeight="1">
      <c r="A17" s="48">
        <v>0.416666666666667</v>
      </c>
    </row>
    <row r="18" ht="15.75" customHeight="1">
      <c r="A18" s="48">
        <v>0.4375</v>
      </c>
    </row>
    <row r="19" ht="15.75" customHeight="1">
      <c r="A19" s="48">
        <v>0.458333333333334</v>
      </c>
    </row>
    <row r="20" ht="15.75" customHeight="1">
      <c r="A20" s="48">
        <v>0.479166666666667</v>
      </c>
    </row>
    <row r="21" ht="15.75" customHeight="1">
      <c r="A21" s="48">
        <v>0.5</v>
      </c>
    </row>
    <row r="22" ht="15.75" customHeight="1">
      <c r="A22" s="48">
        <v>0.520833333333334</v>
      </c>
    </row>
    <row r="23" ht="15.75" customHeight="1">
      <c r="A23" s="48">
        <v>0.541666666666667</v>
      </c>
    </row>
    <row r="24" ht="15.75" customHeight="1">
      <c r="A24" s="48">
        <v>0.5625</v>
      </c>
    </row>
    <row r="25" ht="15.75" customHeight="1">
      <c r="A25" s="48">
        <v>0.583333333333334</v>
      </c>
    </row>
    <row r="26" ht="15.75" customHeight="1">
      <c r="A26" s="48">
        <v>0.604166666666667</v>
      </c>
    </row>
    <row r="27" ht="15.75" customHeight="1">
      <c r="A27" s="48">
        <v>0.625000000000001</v>
      </c>
    </row>
    <row r="28" ht="15.75" customHeight="1">
      <c r="A28" s="48">
        <v>0.645833333333334</v>
      </c>
    </row>
    <row r="29" ht="15.75" customHeight="1">
      <c r="A29" s="48">
        <v>0.666666666666667</v>
      </c>
    </row>
    <row r="30" ht="15.75" customHeight="1">
      <c r="A30" s="48">
        <v>0.687500000000001</v>
      </c>
    </row>
    <row r="31" ht="15.75" customHeight="1">
      <c r="A31" s="48">
        <v>0.708333333333334</v>
      </c>
    </row>
    <row r="32" ht="15.75" customHeight="1">
      <c r="A32" s="48">
        <v>0.729166666666667</v>
      </c>
    </row>
    <row r="33" ht="15.75" customHeight="1">
      <c r="A33" s="48">
        <v>0.750000000000001</v>
      </c>
    </row>
    <row r="34" ht="15.75" customHeight="1">
      <c r="A34" s="48">
        <v>0.770833333333334</v>
      </c>
    </row>
    <row r="35" ht="15.75" customHeight="1">
      <c r="A35" s="48">
        <v>0.791666666666667</v>
      </c>
    </row>
    <row r="36" ht="15.75" customHeight="1">
      <c r="A36" s="48">
        <v>0.812500000000001</v>
      </c>
    </row>
    <row r="37" ht="15.75" customHeight="1">
      <c r="A37" s="48">
        <v>0.833333333333334</v>
      </c>
    </row>
    <row r="38" ht="15.75" customHeight="1">
      <c r="A38" s="48">
        <v>0.854166666666667</v>
      </c>
    </row>
    <row r="39" ht="15.75" customHeight="1">
      <c r="A39" s="48">
        <v>0.875000000000001</v>
      </c>
    </row>
    <row r="40" ht="15.75" customHeight="1">
      <c r="A40" s="48">
        <v>0.895833333333334</v>
      </c>
    </row>
    <row r="41" ht="15.75" customHeight="1">
      <c r="A41" s="48">
        <v>0.916666666666667</v>
      </c>
    </row>
    <row r="42" ht="15.75" customHeight="1">
      <c r="A42" s="48">
        <v>0.937500000000001</v>
      </c>
    </row>
    <row r="43" ht="15.75" customHeight="1">
      <c r="A43" s="48">
        <v>0.958333333333334</v>
      </c>
    </row>
    <row r="44" ht="15.75" customHeight="1">
      <c r="A44" s="48">
        <v>0.979166666666667</v>
      </c>
    </row>
    <row r="45" ht="15.75" customHeight="1">
      <c r="A45" s="48">
        <v>1.0</v>
      </c>
    </row>
    <row r="46" ht="15.75" customHeight="1">
      <c r="A46" s="48">
        <v>1.02083333333333</v>
      </c>
    </row>
    <row r="47" ht="15.75" customHeight="1">
      <c r="A47" s="48">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7" t="s">
        <v>157</v>
      </c>
    </row>
    <row r="2" ht="15.75" customHeight="1"/>
    <row r="3" ht="15.75" customHeight="1"/>
    <row r="4" ht="15.75" customHeight="1">
      <c r="B4" s="3" t="s">
        <v>158</v>
      </c>
      <c r="C4" s="3" t="s">
        <v>159</v>
      </c>
      <c r="D4" s="3" t="s">
        <v>160</v>
      </c>
      <c r="E4" s="3" t="s">
        <v>161</v>
      </c>
      <c r="F4" s="3" t="s">
        <v>162</v>
      </c>
      <c r="G4" s="3" t="s">
        <v>163</v>
      </c>
      <c r="H4" s="3" t="s">
        <v>164</v>
      </c>
    </row>
    <row r="5" ht="15.75" customHeight="1">
      <c r="A5" s="48">
        <v>0.16666666666666666</v>
      </c>
    </row>
    <row r="6" ht="15.75" customHeight="1">
      <c r="A6" s="48">
        <v>0.1875</v>
      </c>
    </row>
    <row r="7" ht="15.75" customHeight="1">
      <c r="A7" s="48">
        <v>0.208333333333333</v>
      </c>
    </row>
    <row r="8" ht="15.75" customHeight="1">
      <c r="A8" s="48">
        <v>0.229166666666667</v>
      </c>
    </row>
    <row r="9" ht="15.75" customHeight="1">
      <c r="A9" s="48">
        <v>0.25</v>
      </c>
    </row>
    <row r="10" ht="15.75" customHeight="1">
      <c r="A10" s="48">
        <v>0.270833333333334</v>
      </c>
    </row>
    <row r="11" ht="15.75" customHeight="1">
      <c r="A11" s="48">
        <v>0.291666666666667</v>
      </c>
    </row>
    <row r="12" ht="15.75" customHeight="1">
      <c r="A12" s="48">
        <v>0.3125</v>
      </c>
    </row>
    <row r="13" ht="15.75" customHeight="1">
      <c r="A13" s="48">
        <v>0.333333333333334</v>
      </c>
    </row>
    <row r="14" ht="15.75" customHeight="1">
      <c r="A14" s="48">
        <v>0.354166666666667</v>
      </c>
    </row>
    <row r="15" ht="15.75" customHeight="1">
      <c r="A15" s="48">
        <v>0.375</v>
      </c>
    </row>
    <row r="16" ht="15.75" customHeight="1">
      <c r="A16" s="48">
        <v>0.395833333333334</v>
      </c>
    </row>
    <row r="17" ht="15.75" customHeight="1">
      <c r="A17" s="48">
        <v>0.416666666666667</v>
      </c>
    </row>
    <row r="18" ht="15.75" customHeight="1">
      <c r="A18" s="48">
        <v>0.4375</v>
      </c>
    </row>
    <row r="19" ht="15.75" customHeight="1">
      <c r="A19" s="48">
        <v>0.458333333333334</v>
      </c>
    </row>
    <row r="20" ht="15.75" customHeight="1">
      <c r="A20" s="48">
        <v>0.479166666666667</v>
      </c>
    </row>
    <row r="21" ht="15.75" customHeight="1">
      <c r="A21" s="48">
        <v>0.5</v>
      </c>
    </row>
    <row r="22" ht="15.75" customHeight="1">
      <c r="A22" s="48">
        <v>0.520833333333334</v>
      </c>
    </row>
    <row r="23" ht="15.75" customHeight="1">
      <c r="A23" s="48">
        <v>0.541666666666667</v>
      </c>
    </row>
    <row r="24" ht="15.75" customHeight="1">
      <c r="A24" s="48">
        <v>0.5625</v>
      </c>
    </row>
    <row r="25" ht="15.75" customHeight="1">
      <c r="A25" s="48">
        <v>0.583333333333334</v>
      </c>
    </row>
    <row r="26" ht="15.75" customHeight="1">
      <c r="A26" s="48">
        <v>0.604166666666667</v>
      </c>
    </row>
    <row r="27" ht="15.75" customHeight="1">
      <c r="A27" s="48">
        <v>0.625000000000001</v>
      </c>
    </row>
    <row r="28" ht="15.75" customHeight="1">
      <c r="A28" s="48">
        <v>0.645833333333334</v>
      </c>
    </row>
    <row r="29" ht="15.75" customHeight="1">
      <c r="A29" s="48">
        <v>0.666666666666667</v>
      </c>
    </row>
    <row r="30" ht="15.75" customHeight="1">
      <c r="A30" s="48">
        <v>0.687500000000001</v>
      </c>
    </row>
    <row r="31" ht="15.75" customHeight="1">
      <c r="A31" s="48">
        <v>0.708333333333334</v>
      </c>
    </row>
    <row r="32" ht="15.75" customHeight="1">
      <c r="A32" s="48">
        <v>0.729166666666667</v>
      </c>
    </row>
    <row r="33" ht="15.75" customHeight="1">
      <c r="A33" s="48">
        <v>0.750000000000001</v>
      </c>
    </row>
    <row r="34" ht="15.75" customHeight="1">
      <c r="A34" s="48">
        <v>0.770833333333334</v>
      </c>
    </row>
    <row r="35" ht="15.75" customHeight="1">
      <c r="A35" s="48">
        <v>0.791666666666667</v>
      </c>
    </row>
    <row r="36" ht="15.75" customHeight="1">
      <c r="A36" s="48">
        <v>0.812500000000001</v>
      </c>
    </row>
    <row r="37" ht="15.75" customHeight="1">
      <c r="A37" s="48">
        <v>0.833333333333334</v>
      </c>
    </row>
    <row r="38" ht="15.75" customHeight="1">
      <c r="A38" s="48">
        <v>0.854166666666667</v>
      </c>
    </row>
    <row r="39" ht="15.75" customHeight="1">
      <c r="A39" s="48">
        <v>0.875000000000001</v>
      </c>
    </row>
    <row r="40" ht="15.75" customHeight="1">
      <c r="A40" s="48">
        <v>0.895833333333334</v>
      </c>
    </row>
    <row r="41" ht="15.75" customHeight="1">
      <c r="A41" s="48">
        <v>0.916666666666667</v>
      </c>
    </row>
    <row r="42" ht="15.75" customHeight="1">
      <c r="A42" s="48">
        <v>0.937500000000001</v>
      </c>
    </row>
    <row r="43" ht="15.75" customHeight="1">
      <c r="A43" s="48">
        <v>0.958333333333334</v>
      </c>
    </row>
    <row r="44" ht="15.75" customHeight="1">
      <c r="A44" s="48">
        <v>0.979166666666667</v>
      </c>
    </row>
    <row r="45" ht="15.75" customHeight="1">
      <c r="A45" s="48">
        <v>1.0</v>
      </c>
    </row>
    <row r="46" ht="15.75" customHeight="1">
      <c r="A46" s="48">
        <v>1.02083333333333</v>
      </c>
    </row>
    <row r="47" ht="15.75" customHeight="1">
      <c r="A47" s="48">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