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ttps://smrmetall-my.sharepoint.com/personal/p_baernthaler_smr-metall_de/Documents/Dokumente/Neuer Ordner/"/>
    </mc:Choice>
  </mc:AlternateContent>
  <xr:revisionPtr revIDLastSave="654" documentId="8_{AABF0DFC-9D28-444D-A743-522F16828C4A}" xr6:coauthVersionLast="47" xr6:coauthVersionMax="47" xr10:uidLastSave="{141E1B3A-D466-4EC2-8EE8-31438A692782}"/>
  <bookViews>
    <workbookView xWindow="-108" yWindow="-108" windowWidth="46296" windowHeight="25536" activeTab="5" xr2:uid="{50F29292-BE80-0C47-A0D2-DD086CB3D310}"/>
  </bookViews>
  <sheets>
    <sheet name="ANLEITUNG" sheetId="10" r:id="rId1"/>
    <sheet name="Semesterplan" sheetId="7" r:id="rId2"/>
    <sheet name="Best-Practices" sheetId="2" r:id="rId3"/>
    <sheet name="COMMITTMENT" sheetId="9" r:id="rId4"/>
    <sheet name="Wochenplan KW 41" sheetId="3" r:id="rId5"/>
    <sheet name="Wochenplan KW 42" sheetId="8" r:id="rId6"/>
    <sheet name="Wochenplan KW 43" sheetId="11" r:id="rId7"/>
    <sheet name="Wochenplan KW 44" sheetId="12" r:id="rId8"/>
    <sheet name="Wochenplan KW 45"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 i="7" l="1"/>
  <c r="N4" i="7"/>
  <c r="U4" i="7"/>
  <c r="AB4" i="7"/>
  <c r="AI4" i="7"/>
  <c r="AP4" i="7"/>
  <c r="AW4" i="7"/>
  <c r="BD4" i="7"/>
  <c r="BK4" i="7"/>
  <c r="BR4" i="7"/>
  <c r="BY4" i="7"/>
  <c r="CF4" i="7"/>
  <c r="CM4" i="7"/>
  <c r="CT4" i="7"/>
  <c r="DA4" i="7"/>
  <c r="DH4" i="7"/>
  <c r="DO4" i="7"/>
  <c r="DV4" i="7"/>
  <c r="K5" i="7" a="1"/>
  <c r="K5" i="7" s="1"/>
  <c r="J5" i="7" a="1"/>
  <c r="J5" i="7" s="1"/>
  <c r="I5" i="7"/>
  <c r="K6" i="7" a="1"/>
  <c r="K6" i="7" s="1"/>
  <c r="J6" i="7" a="1"/>
  <c r="J6" i="7" s="1"/>
  <c r="I6" i="7"/>
  <c r="K7" i="7" a="1"/>
  <c r="K7" i="7" s="1"/>
  <c r="J7" i="7" a="1"/>
  <c r="J7" i="7" s="1"/>
  <c r="I7" i="7"/>
  <c r="K8" i="7" a="1"/>
  <c r="K8" i="7" s="1"/>
  <c r="J8" i="7" a="1"/>
  <c r="J8" i="7" s="1"/>
  <c r="I8" i="7"/>
  <c r="K9" i="7" a="1"/>
  <c r="K9" i="7" s="1"/>
  <c r="J9" i="7" a="1"/>
  <c r="J9" i="7" s="1"/>
  <c r="I9" i="7"/>
  <c r="K12" i="7" a="1"/>
  <c r="K12" i="7" s="1"/>
  <c r="J12" i="7" a="1"/>
  <c r="J12" i="7" s="1"/>
  <c r="I12" i="7"/>
  <c r="K13" i="7" a="1"/>
  <c r="K13" i="7" s="1"/>
  <c r="J13" i="7" a="1"/>
  <c r="J13" i="7" s="1"/>
  <c r="I13" i="7"/>
  <c r="K14" i="7" a="1"/>
  <c r="K14" i="7" s="1"/>
  <c r="J14" i="7" a="1"/>
  <c r="J14" i="7" s="1"/>
  <c r="I14" i="7"/>
  <c r="K15" i="7" a="1"/>
  <c r="K15" i="7" s="1"/>
  <c r="J15" i="7" a="1"/>
  <c r="J15" i="7" s="1"/>
  <c r="I15" i="7"/>
  <c r="AP32" i="7"/>
  <c r="N32" i="7"/>
  <c r="K38" i="7" a="1"/>
  <c r="K38" i="7" s="1"/>
  <c r="J38" i="7" a="1"/>
  <c r="J38" i="7" s="1"/>
  <c r="I38" i="7"/>
  <c r="K37" i="7" a="1"/>
  <c r="K37" i="7" s="1"/>
  <c r="J37" i="7" a="1"/>
  <c r="J37" i="7" s="1"/>
  <c r="I37" i="7"/>
  <c r="K36" i="7" a="1"/>
  <c r="K36" i="7" s="1"/>
  <c r="J36" i="7" a="1"/>
  <c r="J36" i="7" s="1"/>
  <c r="I36" i="7"/>
  <c r="K35" i="7" a="1"/>
  <c r="K35" i="7" s="1"/>
  <c r="J35" i="7" a="1"/>
  <c r="J35" i="7" s="1"/>
  <c r="I35" i="7"/>
  <c r="K34" i="7" a="1"/>
  <c r="K34" i="7" s="1"/>
  <c r="J34" i="7" a="1"/>
  <c r="J34" i="7" s="1"/>
  <c r="I34" i="7"/>
  <c r="K33" i="7" a="1"/>
  <c r="K33" i="7" s="1"/>
  <c r="J33" i="7" a="1"/>
  <c r="J33" i="7" s="1"/>
  <c r="I33" i="7"/>
  <c r="AI32" i="7"/>
  <c r="AB32" i="7"/>
  <c r="U32" i="7"/>
  <c r="G32" i="7"/>
  <c r="K30" i="7" a="1"/>
  <c r="K30" i="7" s="1"/>
  <c r="J30" i="7" a="1"/>
  <c r="J30" i="7" s="1"/>
  <c r="I30" i="7"/>
  <c r="K29" i="7" a="1"/>
  <c r="K29" i="7" s="1"/>
  <c r="J29" i="7" a="1"/>
  <c r="J29" i="7" s="1"/>
  <c r="I29" i="7"/>
  <c r="K28" i="7" a="1"/>
  <c r="K28" i="7" s="1"/>
  <c r="J28" i="7" a="1"/>
  <c r="J28" i="7" s="1"/>
  <c r="I28" i="7"/>
  <c r="K27" i="7" a="1"/>
  <c r="K27" i="7" s="1"/>
  <c r="J27" i="7" a="1"/>
  <c r="J27" i="7" s="1"/>
  <c r="I27" i="7"/>
  <c r="K26" i="7" a="1"/>
  <c r="K26" i="7" s="1"/>
  <c r="J26" i="7" a="1"/>
  <c r="J26" i="7" s="1"/>
  <c r="I26" i="7"/>
  <c r="K25" i="7" a="1"/>
  <c r="K25" i="7" s="1"/>
  <c r="J25" i="7" a="1"/>
  <c r="J25" i="7" s="1"/>
  <c r="I25" i="7"/>
  <c r="AP24" i="7"/>
  <c r="AI24" i="7"/>
  <c r="AB24" i="7"/>
  <c r="U24" i="7"/>
  <c r="N24" i="7"/>
  <c r="G24" i="7"/>
  <c r="C12" i="10"/>
  <c r="K16" i="7" a="1"/>
  <c r="K16" i="7" s="1"/>
  <c r="J16" i="7" a="1"/>
  <c r="J16" i="7" s="1"/>
  <c r="K22" i="7" a="1"/>
  <c r="K22" i="7" s="1"/>
  <c r="J22" i="7" a="1"/>
  <c r="J22" i="7" s="1"/>
  <c r="K21" i="7" a="1"/>
  <c r="K21" i="7" s="1"/>
  <c r="J21" i="7" a="1"/>
  <c r="J21" i="7" s="1"/>
  <c r="K20" i="7" a="1"/>
  <c r="K20" i="7" s="1"/>
  <c r="J20" i="7" a="1"/>
  <c r="J20" i="7" s="1"/>
  <c r="K19" i="7" a="1"/>
  <c r="K19" i="7" s="1"/>
  <c r="J19" i="7" a="1"/>
  <c r="J19" i="7" s="1"/>
  <c r="AP11" i="7"/>
  <c r="AI11" i="7"/>
  <c r="AB11" i="7"/>
  <c r="U11" i="7"/>
  <c r="N11" i="7"/>
  <c r="AP18" i="7"/>
  <c r="AI18" i="7"/>
  <c r="AB18" i="7"/>
  <c r="U18" i="7"/>
  <c r="I22" i="7"/>
  <c r="I21" i="7"/>
  <c r="I20" i="7"/>
  <c r="I19" i="7"/>
  <c r="I16" i="7"/>
  <c r="N18" i="7"/>
  <c r="G18" i="7"/>
  <c r="G11" i="7"/>
  <c r="J4" i="7" l="1"/>
  <c r="K4" i="7"/>
  <c r="I32" i="7"/>
  <c r="I24" i="7"/>
  <c r="J32" i="7"/>
  <c r="K32" i="7"/>
  <c r="K24" i="7"/>
  <c r="J24" i="7"/>
  <c r="I18" i="7"/>
  <c r="J18" i="7"/>
  <c r="K18" i="7"/>
  <c r="K11"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<sst xmlns="http://schemas.openxmlformats.org/spreadsheetml/2006/main" count="464" uniqueCount="163">
  <si>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</si>
  <si>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</si>
  <si>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</si>
  <si>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</si>
  <si>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</si>
  <si>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</si>
  <si>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</si>
  <si>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</si>
  <si>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</si>
  <si>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</si>
  <si>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</si>
  <si>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</si>
  <si>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</si>
  <si>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</si>
  <si>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</si>
  <si>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</si>
  <si>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</si>
  <si>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</si>
  <si>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</si>
  <si>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</si>
  <si>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</si>
  <si>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</si>
  <si>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</si>
  <si>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</si>
  <si>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</si>
  <si>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</si>
  <si>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</si>
  <si>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</si>
  <si>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</si>
  <si>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</si>
  <si>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</si>
  <si>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</si>
  <si>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</si>
  <si>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</si>
  <si>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</si>
  <si>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</si>
  <si>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</si>
  <si>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</si>
  <si>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Mikroökonomie</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</si>
  <si>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</si>
  <si>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</si>
  <si>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</si>
  <si>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</si>
  <si>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</si>
  <si>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</si>
  <si>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</si>
  <si>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</si>
  <si>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</si>
  <si>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</si>
  <si>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</si>
  <si>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</si>
  <si>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</si>
  <si>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</si>
  <si>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</si>
  <si>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</si>
  <si>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</si>
  <si>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</si>
  <si>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</si>
  <si>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</si>
  <si>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</si>
  <si>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</si>
  <si>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</si>
  <si>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</si>
  <si>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</si>
  <si>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</si>
  <si>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</si>
  <si>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</si>
  <si>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</si>
  <si>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</si>
  <si>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</si>
  <si>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</si>
  <si>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</si>
  <si>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</si>
  <si>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</si>
  <si>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</si>
  <si>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</si>
  <si>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</si>
  <si>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</si>
  <si>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</si>
  <si>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</si>
  <si>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</si>
  <si>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</si>
  <si>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</si>
  <si>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</si>
  <si>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</si>
  <si>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</si>
  <si>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</si>
  <si>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</si>
  <si>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Ethik</t>
  </si>
  <si>
    <t xml:space="preserve">Analysis </t>
  </si>
  <si>
    <t xml:space="preserve">1) Funktionen </t>
  </si>
  <si>
    <t xml:space="preserve">BWL 1 </t>
  </si>
  <si>
    <t>1.3) Kritisches Denken</t>
  </si>
  <si>
    <t xml:space="preserve">2) Was ist die BWL </t>
  </si>
  <si>
    <t xml:space="preserve">1) Haushaltstheorie 1 </t>
  </si>
  <si>
    <t xml:space="preserve">3) Unternehmenstheorie </t>
  </si>
  <si>
    <t xml:space="preserve">2) Haushaltsheorie 2 </t>
  </si>
  <si>
    <t xml:space="preserve">1) Grundlagen und Moral </t>
  </si>
  <si>
    <t>2) Ansätze der Ethik</t>
  </si>
  <si>
    <t xml:space="preserve">VWL </t>
  </si>
  <si>
    <t xml:space="preserve">1) Was ist die VWL </t>
  </si>
  <si>
    <t>KW 42</t>
  </si>
  <si>
    <t>KW 43</t>
  </si>
  <si>
    <t>KW 44</t>
  </si>
  <si>
    <t>KW 45</t>
  </si>
  <si>
    <t>KW 46</t>
  </si>
  <si>
    <t>KW 47</t>
  </si>
  <si>
    <t>KW 48</t>
  </si>
  <si>
    <t>KW 49</t>
  </si>
  <si>
    <t>KW 50</t>
  </si>
  <si>
    <t>KW 51</t>
  </si>
  <si>
    <t>KW 52</t>
  </si>
  <si>
    <t>KW 1</t>
  </si>
  <si>
    <t>KW2</t>
  </si>
  <si>
    <t>KW3</t>
  </si>
  <si>
    <t>KW 4</t>
  </si>
  <si>
    <t xml:space="preserve">KW 5 </t>
  </si>
  <si>
    <t>Klausuren !!!!!</t>
  </si>
  <si>
    <t xml:space="preserve">75% rum </t>
  </si>
  <si>
    <t xml:space="preserve">4) Elementare Preistheorie </t>
  </si>
  <si>
    <t xml:space="preserve">3 ) Homo Ök. </t>
  </si>
  <si>
    <t xml:space="preserve">4) Ehthik der Rahmenordnung </t>
  </si>
  <si>
    <t xml:space="preserve">5) Ethik Unternehmen </t>
  </si>
  <si>
    <t xml:space="preserve">6) Ethik Individuum </t>
  </si>
  <si>
    <t>2) Volkswirtschaftliche Gesamtrechnung</t>
  </si>
  <si>
    <t>3) Makroökonomik</t>
  </si>
  <si>
    <t>4) Geld und Kapitalmärkte</t>
  </si>
  <si>
    <t>5)Märkte</t>
  </si>
  <si>
    <t xml:space="preserve">6) Unternehmen </t>
  </si>
  <si>
    <t>1.2) data Analytics</t>
  </si>
  <si>
    <t>1.1) BWL als Wissenschaft</t>
  </si>
  <si>
    <t>1.) Was ist die BWL</t>
  </si>
  <si>
    <t>2) Folgen und Reihen</t>
  </si>
  <si>
    <t>3) Differenzialrechnung 1</t>
  </si>
  <si>
    <t>4) Differtenzialrechnung 2</t>
  </si>
  <si>
    <t>5) Integralrechnung</t>
  </si>
  <si>
    <t xml:space="preserve">Warum PWc </t>
  </si>
  <si>
    <t>Was interessiert generell</t>
  </si>
  <si>
    <t>Warum Audit</t>
  </si>
  <si>
    <t>Warum DHPGH</t>
  </si>
  <si>
    <t>Was macht Audit Video</t>
  </si>
  <si>
    <t>Frisuer</t>
  </si>
  <si>
    <t xml:space="preserve">M&amp;A Video </t>
  </si>
  <si>
    <t>DHPG</t>
  </si>
  <si>
    <t>DhPG</t>
  </si>
  <si>
    <t>Friseur</t>
  </si>
  <si>
    <t>David</t>
  </si>
  <si>
    <t>Mathe</t>
  </si>
  <si>
    <t>Ethik (24)</t>
  </si>
  <si>
    <t>weitere Vorbereitung PWC ?</t>
  </si>
  <si>
    <t>Nachbereitung</t>
  </si>
  <si>
    <t>Vorbereit</t>
  </si>
  <si>
    <t xml:space="preserve">Skript Ethik </t>
  </si>
  <si>
    <t>mirko</t>
  </si>
  <si>
    <t>WDH / Vorbereitung</t>
  </si>
  <si>
    <t>Anki/Lesen</t>
  </si>
  <si>
    <t>Golf</t>
  </si>
  <si>
    <t>Jungs</t>
  </si>
  <si>
    <t>Ciro</t>
  </si>
  <si>
    <t xml:space="preserve">skripte </t>
  </si>
  <si>
    <t>Heim</t>
  </si>
  <si>
    <t>Vorbereitung</t>
  </si>
  <si>
    <t>Voreb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</si>
</sst>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163">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D21" sqref="D21"/>
    </sheetView>
  </sheetViews>
  <sheetFormatPr baseColWidth="10" defaultRowHeight="15.6"/>
  <cols>
    <col min="1" max="1" width="11.796875" customWidth="1"/>
    <col min="2" max="2" width="62.69921875" customWidth="1"/>
  </cols>
  <sheetData>
    <row r="2" spans="1:4">
      <c r="C2" s="18" t="s">
        <v>72</v>
      </c>
    </row>
    <row r="3" spans="1:4">
      <c r="C3" s="17" t="s">
        <v>57</v>
      </c>
    </row>
    <row r="4" spans="1:4">
      <c r="C4" s="16" t="s">
        <v>71</v>
      </c>
    </row>
    <row r="5" spans="1:4">
      <c r="A5" s="2" t="s">
        <v>54</v>
      </c>
      <c r="B5" s="2" t="s">
        <v>55</v>
      </c>
      <c r="C5" s="2" t="s">
        <v>56</v>
      </c>
      <c r="D5" s="2" t="s">
        <v>58</v>
      </c>
    </row>
    <row r="6" spans="1:4">
      <c r="A6" t="s">
        <v>50</v>
      </c>
      <c r="B6" s="18" t="s">
        <v>53</v>
      </c>
      <c r="D6" t="s">
        <v>87</v>
      </c>
    </row>
    <row r="7" spans="1:4">
      <c r="A7" t="s">
        <v>61</v>
      </c>
      <c r="B7" t="s">
        <v>62</v>
      </c>
      <c r="C7" s="16">
        <v>26</v>
      </c>
    </row>
    <row r="8" spans="1:4">
      <c r="A8" t="s">
        <v>52</v>
      </c>
      <c r="B8" s="18" t="s">
        <v>51</v>
      </c>
      <c r="D8" t="s">
        <v>75</v>
      </c>
    </row>
    <row r="9" spans="1:4">
      <c r="A9" t="s">
        <v>60</v>
      </c>
      <c r="B9" s="18" t="s">
        <v>73</v>
      </c>
      <c r="D9" t="s">
        <v>76</v>
      </c>
    </row>
    <row r="10" spans="1:4">
      <c r="A10" t="s">
        <v>64</v>
      </c>
      <c r="B10" t="s">
        <v>63</v>
      </c>
      <c r="C10" s="16">
        <v>13</v>
      </c>
      <c r="D10" t="s">
        <v>59</v>
      </c>
    </row>
    <row r="11" spans="1:4">
      <c r="A11" t="s">
        <v>65</v>
      </c>
      <c r="B11" t="s">
        <v>67</v>
      </c>
      <c r="C11" s="16">
        <v>78</v>
      </c>
      <c r="D11" t="s">
        <v>66</v>
      </c>
    </row>
    <row r="12" spans="1:4">
      <c r="A12" t="s">
        <v>69</v>
      </c>
      <c r="B12" t="s">
        <v>68</v>
      </c>
      <c r="C12" s="17">
        <f>C11/C10</f>
        <v>6</v>
      </c>
    </row>
    <row r="13" spans="1:4">
      <c r="A13" t="s">
        <v>74</v>
      </c>
      <c r="B13" t="s">
        <v>70</v>
      </c>
      <c r="D13" t="s">
        <v>77</v>
      </c>
    </row>
    <row r="14" spans="1:4">
      <c r="A14" t="s">
        <v>78</v>
      </c>
      <c r="B14" t="s">
        <v>79</v>
      </c>
      <c r="D14" t="s">
        <v>80</v>
      </c>
    </row>
    <row r="15" spans="1:4">
      <c r="A15" t="s">
        <v>81</v>
      </c>
      <c r="B15" s="18" t="s">
        <v>82</v>
      </c>
    </row>
    <row r="16" spans="1:4">
      <c r="A16" t="s">
        <v>85</v>
      </c>
      <c r="B16" s="18" t="s">
        <v>83</v>
      </c>
    </row>
    <row r="17" spans="1: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A39"/>
  <sheetViews>
    <sheetView showGridLines="0" zoomScale="75" zoomScaleNormal="83" workbookViewId="0">
      <pane xSplit="12" topLeftCell="M1" activePane="topRight" state="frozen"/>
      <selection pane="topRight" activeCell="R38" sqref="R38"/>
    </sheetView>
  </sheetViews>
  <sheetFormatPr baseColWidth="10" defaultColWidth="8.796875" defaultRowHeight="15.6" outlineLevelRow="1"/>
  <cols>
    <col min="3" max="3" width="9.5" bestFit="1" customWidth="1"/>
    <col min="4" max="4" width="13" bestFit="1" customWidth="1"/>
    <col min="5" max="5" width="4.796875" bestFit="1" customWidth="1"/>
    <col min="6" max="6" width="41.19921875" bestFit="1" customWidth="1"/>
    <col min="7" max="7" width="15.5" bestFit="1" customWidth="1"/>
    <col min="8" max="8" width="2.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 min="64" max="64" width="12.5" bestFit="1" customWidth="1"/>
    <col min="65" max="65" width="6.296875" customWidth="1"/>
    <col min="66" max="66" width="14.796875" bestFit="1" customWidth="1"/>
    <col min="67" max="67" width="6" customWidth="1"/>
    <col min="68" max="68" width="12.69921875" bestFit="1" customWidth="1"/>
    <col min="69" max="69" width="2.5" customWidth="1"/>
    <col min="71" max="71" width="12.5" bestFit="1" customWidth="1"/>
    <col min="72" max="72" width="6.296875" customWidth="1"/>
    <col min="73" max="73" width="14.796875" bestFit="1" customWidth="1"/>
    <col min="74" max="74" width="6" customWidth="1"/>
    <col min="75" max="75" width="12.69921875" bestFit="1" customWidth="1"/>
    <col min="76" max="76" width="2.5" customWidth="1"/>
    <col min="78" max="78" width="12.5" bestFit="1" customWidth="1"/>
    <col min="79" max="79" width="6.296875" customWidth="1"/>
    <col min="80" max="80" width="14.796875" bestFit="1" customWidth="1"/>
    <col min="81" max="81" width="6" customWidth="1"/>
    <col min="82" max="82" width="12.69921875" bestFit="1" customWidth="1"/>
    <col min="83" max="83" width="2.5" customWidth="1"/>
    <col min="85" max="85" width="12.5" bestFit="1" customWidth="1"/>
    <col min="86" max="86" width="6.296875" customWidth="1"/>
    <col min="87" max="87" width="14.796875" bestFit="1" customWidth="1"/>
    <col min="88" max="88" width="6" customWidth="1"/>
    <col min="89" max="89" width="12.69921875" bestFit="1" customWidth="1"/>
    <col min="90" max="90" width="2.5" customWidth="1"/>
    <col min="91" max="91" width="8.796875" customWidth="1"/>
    <col min="92" max="92" width="12.5" bestFit="1" customWidth="1"/>
    <col min="93" max="93" width="6.296875" customWidth="1"/>
    <col min="94" max="94" width="14.796875" bestFit="1" customWidth="1"/>
    <col min="95" max="95" width="6" customWidth="1"/>
    <col min="96" max="96" width="12.69921875" bestFit="1" customWidth="1"/>
    <col min="97" max="97" width="2.5" customWidth="1"/>
    <col min="98" max="98" width="8.69921875" customWidth="1"/>
    <col min="99" max="99" width="12.5" bestFit="1" customWidth="1"/>
    <col min="100" max="100" width="6.296875" customWidth="1"/>
    <col min="101" max="101" width="14.796875" bestFit="1" customWidth="1"/>
    <col min="102" max="102" width="6" customWidth="1"/>
    <col min="103" max="103" width="12.69921875" bestFit="1" customWidth="1"/>
    <col min="104" max="104" width="2.5" customWidth="1"/>
    <col min="105" max="105" width="8.69921875" customWidth="1"/>
    <col min="106" max="106" width="12.5" bestFit="1" customWidth="1"/>
    <col min="107" max="107" width="6.296875" customWidth="1"/>
    <col min="108" max="108" width="14.796875" bestFit="1" customWidth="1"/>
    <col min="109" max="109" width="6" customWidth="1"/>
    <col min="110" max="110" width="12.69921875" bestFit="1" customWidth="1"/>
    <col min="111" max="111" width="2.5" customWidth="1"/>
    <col min="112" max="112" width="8.69921875" customWidth="1"/>
    <col min="113" max="113" width="12.5" bestFit="1" customWidth="1"/>
    <col min="114" max="114" width="6.296875" customWidth="1"/>
    <col min="115" max="115" width="14.796875" bestFit="1" customWidth="1"/>
    <col min="116" max="116" width="6" customWidth="1"/>
    <col min="117" max="117" width="12.69921875" bestFit="1" customWidth="1"/>
    <col min="118" max="118" width="2.5" customWidth="1"/>
    <col min="119" max="119" width="8.69921875" customWidth="1"/>
    <col min="120" max="120" width="12.5" bestFit="1" customWidth="1"/>
    <col min="121" max="121" width="6.296875" customWidth="1"/>
    <col min="122" max="122" width="14.796875" bestFit="1" customWidth="1"/>
    <col min="123" max="123" width="6" customWidth="1"/>
    <col min="124" max="124" width="12.69921875" bestFit="1" customWidth="1"/>
    <col min="125" max="125" width="2.5" customWidth="1"/>
    <col min="126" max="126" width="8.69921875" customWidth="1"/>
    <col min="127" max="127" width="12.5" bestFit="1" customWidth="1"/>
    <col min="128" max="128" width="6.296875" customWidth="1"/>
    <col min="129" max="129" width="14.796875" bestFit="1" customWidth="1"/>
    <col min="130" max="130" width="6" customWidth="1"/>
    <col min="131" max="131" width="12.69921875" bestFit="1" customWidth="1"/>
  </cols>
  <sheetData>
    <row r="1" spans="2:131" ht="33.6">
      <c r="B1" s="4" t="s">
        <v>0</v>
      </c>
      <c r="D1" s="4"/>
      <c r="G1" s="13" t="s">
        <v>33</v>
      </c>
      <c r="I1" s="13" t="s">
        <v>33</v>
      </c>
      <c r="J1" s="13" t="s">
        <v>33</v>
      </c>
      <c r="K1" s="13" t="s">
        <v>33</v>
      </c>
    </row>
    <row r="2" spans="2:131">
      <c r="I2" s="20" t="s">
        <v>27</v>
      </c>
      <c r="J2" s="20"/>
      <c r="K2" s="20"/>
      <c r="L2" s="20"/>
      <c r="N2" s="20" t="s">
        <v>101</v>
      </c>
      <c r="O2" s="20"/>
      <c r="P2" s="20"/>
      <c r="Q2" s="20"/>
      <c r="R2" s="20"/>
      <c r="S2" s="20"/>
      <c r="U2" s="20" t="s">
        <v>102</v>
      </c>
      <c r="V2" s="20"/>
      <c r="W2" s="20"/>
      <c r="X2" s="20"/>
      <c r="Y2" s="20"/>
      <c r="Z2" s="20"/>
      <c r="AB2" s="20" t="s">
        <v>103</v>
      </c>
      <c r="AC2" s="20"/>
      <c r="AD2" s="20"/>
      <c r="AE2" s="20"/>
      <c r="AF2" s="20"/>
      <c r="AG2" s="20"/>
      <c r="AI2" s="20" t="s">
        <v>104</v>
      </c>
      <c r="AJ2" s="20"/>
      <c r="AK2" s="20"/>
      <c r="AL2" s="20"/>
      <c r="AM2" s="20"/>
      <c r="AN2" s="20"/>
      <c r="AP2" s="20" t="s">
        <v>105</v>
      </c>
      <c r="AQ2" s="20"/>
      <c r="AR2" s="20"/>
      <c r="AS2" s="20"/>
      <c r="AT2" s="20"/>
      <c r="AU2" s="20"/>
      <c r="AW2" s="20" t="s">
        <v>106</v>
      </c>
      <c r="AX2" s="20"/>
      <c r="AY2" s="20"/>
      <c r="AZ2" s="20"/>
      <c r="BA2" s="20"/>
      <c r="BB2" s="20"/>
      <c r="BD2" s="20" t="s">
        <v>107</v>
      </c>
      <c r="BE2" s="20"/>
      <c r="BF2" s="20"/>
      <c r="BG2" s="20"/>
      <c r="BH2" s="20"/>
      <c r="BI2" s="20"/>
      <c r="BK2" s="20" t="s">
        <v>108</v>
      </c>
      <c r="BL2" s="20"/>
      <c r="BM2" s="20"/>
      <c r="BN2" s="20"/>
      <c r="BO2" s="20"/>
      <c r="BP2" s="20"/>
      <c r="BR2" s="20" t="s">
        <v>109</v>
      </c>
      <c r="BS2" s="20"/>
      <c r="BT2" s="20"/>
      <c r="BU2" s="20"/>
      <c r="BV2" s="20"/>
      <c r="BW2" s="20"/>
      <c r="BY2" s="20" t="s">
        <v>110</v>
      </c>
      <c r="BZ2" s="20"/>
      <c r="CA2" s="20"/>
      <c r="CB2" s="20"/>
      <c r="CC2" s="20"/>
      <c r="CD2" s="20"/>
      <c r="CF2" s="20" t="s">
        <v>111</v>
      </c>
      <c r="CG2" s="20"/>
      <c r="CH2" s="20"/>
      <c r="CI2" s="20"/>
      <c r="CJ2" s="20"/>
      <c r="CK2" s="20"/>
      <c r="CM2" s="20" t="s">
        <v>112</v>
      </c>
      <c r="CN2" s="20"/>
      <c r="CO2" s="20"/>
      <c r="CP2" s="20"/>
      <c r="CQ2" s="20"/>
      <c r="CR2" s="20"/>
      <c r="CT2" s="20" t="s">
        <v>113</v>
      </c>
      <c r="CU2" s="20"/>
      <c r="CV2" s="20"/>
      <c r="CW2" s="20"/>
      <c r="CX2" s="20"/>
      <c r="CY2" s="20"/>
      <c r="DA2" s="20" t="s">
        <v>114</v>
      </c>
      <c r="DB2" s="20"/>
      <c r="DC2" s="20"/>
      <c r="DD2" s="20"/>
      <c r="DE2" s="20"/>
      <c r="DF2" s="20"/>
      <c r="DH2" s="20" t="s">
        <v>115</v>
      </c>
      <c r="DI2" s="20"/>
      <c r="DJ2" s="20"/>
      <c r="DK2" s="20"/>
      <c r="DL2" s="20"/>
      <c r="DM2" s="20"/>
      <c r="DO2" s="20" t="s">
        <v>116</v>
      </c>
      <c r="DP2" s="20"/>
      <c r="DQ2" s="20"/>
      <c r="DR2" s="20"/>
      <c r="DS2" s="20"/>
      <c r="DT2" s="20"/>
      <c r="DV2" s="20" t="s">
        <v>117</v>
      </c>
      <c r="DW2" s="20"/>
      <c r="DX2" s="20"/>
      <c r="DY2" s="20"/>
      <c r="DZ2" s="20"/>
      <c r="EA2" s="20"/>
    </row>
    <row r="3" spans="2:131">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T3" s="5" t="s">
        <v>11</v>
      </c>
      <c r="CU3" s="5" t="s">
        <v>2</v>
      </c>
      <c r="CV3" s="5" t="s">
        <v>32</v>
      </c>
      <c r="CW3" s="5" t="s">
        <v>3</v>
      </c>
      <c r="CX3" s="5" t="s">
        <v>32</v>
      </c>
      <c r="CY3" s="5" t="s">
        <v>12</v>
      </c>
      <c r="DA3" s="5" t="s">
        <v>11</v>
      </c>
      <c r="DB3" s="5" t="s">
        <v>2</v>
      </c>
      <c r="DC3" s="5" t="s">
        <v>32</v>
      </c>
      <c r="DD3" s="5" t="s">
        <v>3</v>
      </c>
      <c r="DE3" s="5" t="s">
        <v>32</v>
      </c>
      <c r="DF3" s="5" t="s">
        <v>12</v>
      </c>
      <c r="DH3" s="5" t="s">
        <v>11</v>
      </c>
      <c r="DI3" s="5" t="s">
        <v>2</v>
      </c>
      <c r="DJ3" s="5" t="s">
        <v>32</v>
      </c>
      <c r="DK3" s="5" t="s">
        <v>3</v>
      </c>
      <c r="DL3" s="5" t="s">
        <v>32</v>
      </c>
      <c r="DM3" s="5" t="s">
        <v>12</v>
      </c>
      <c r="DO3" s="5" t="s">
        <v>11</v>
      </c>
      <c r="DP3" s="5" t="s">
        <v>2</v>
      </c>
      <c r="DQ3" s="5" t="s">
        <v>32</v>
      </c>
      <c r="DR3" s="5" t="s">
        <v>3</v>
      </c>
      <c r="DS3" s="5" t="s">
        <v>32</v>
      </c>
      <c r="DT3" s="5" t="s">
        <v>12</v>
      </c>
      <c r="DV3" s="5" t="s">
        <v>11</v>
      </c>
      <c r="DW3" s="5" t="s">
        <v>2</v>
      </c>
      <c r="DX3" s="5" t="s">
        <v>32</v>
      </c>
      <c r="DY3" s="5" t="s">
        <v>3</v>
      </c>
      <c r="DZ3" s="5" t="s">
        <v>32</v>
      </c>
      <c r="EA3" s="5" t="s">
        <v>12</v>
      </c>
    </row>
    <row r="4" spans="2:131">
      <c r="B4" t="s">
        <v>27</v>
      </c>
      <c r="C4" t="s">
        <v>89</v>
      </c>
      <c r="D4" s="19">
        <v>44963</v>
      </c>
      <c r="E4" s="9">
        <v>6</v>
      </c>
      <c r="G4" s="10">
        <f>+SUM(G5:G9)</f>
        <v>1</v>
      </c>
      <c r="I4" s="12">
        <v>0</v>
      </c>
      <c r="J4" s="11">
        <f>+SUMPRODUCT(G5:G9,J5:J9)</f>
        <v>0</v>
      </c>
      <c r="K4" s="11">
        <f>+SUMPRODUCT(G5:G9,K5:K9)</f>
        <v>0</v>
      </c>
      <c r="L4" s="9"/>
      <c r="N4" s="12">
        <f>+SUM(N5:N9)</f>
        <v>0</v>
      </c>
      <c r="U4" s="12">
        <f>+SUM(U5:U9)</f>
        <v>0</v>
      </c>
      <c r="AB4" s="12">
        <f>+SUM(AB5:AB9)</f>
        <v>0</v>
      </c>
      <c r="AI4" s="12">
        <f>+SUM(AI5:AI9)</f>
        <v>0</v>
      </c>
      <c r="AP4" s="12">
        <f>+SUM(AP5:AP9)</f>
        <v>0</v>
      </c>
      <c r="AW4" s="12">
        <f>+SUM(AW5:AW9)</f>
        <v>0</v>
      </c>
      <c r="BD4" s="12">
        <f>+SUM(BD5:BD9)</f>
        <v>0</v>
      </c>
      <c r="BK4" s="12">
        <f>+SUM(BK5:BK9)</f>
        <v>0</v>
      </c>
      <c r="BR4" s="12">
        <f>+SUM(BR5:BR9)</f>
        <v>0</v>
      </c>
      <c r="BY4" s="12">
        <f>+SUM(BY5:BY9)</f>
        <v>0</v>
      </c>
      <c r="CF4" s="12">
        <f>+SUM(CF5:CF9)</f>
        <v>0</v>
      </c>
      <c r="CM4" s="12">
        <f>+SUM(CM5:CM9)</f>
        <v>0</v>
      </c>
      <c r="CT4" s="12">
        <f>+SUM(CT5:CT9)</f>
        <v>0</v>
      </c>
      <c r="DA4" s="12">
        <f>+SUM(DA5:DA9)</f>
        <v>0</v>
      </c>
      <c r="DH4" s="12">
        <f>+SUM(DH5:DH9)</f>
        <v>0</v>
      </c>
      <c r="DO4" s="12">
        <f>+SUM(DO5:DO9)</f>
        <v>0</v>
      </c>
      <c r="DV4" s="12">
        <f>+SUM(DV5:DV9)</f>
        <v>0</v>
      </c>
    </row>
    <row r="5" spans="2:131" outlineLevel="1">
      <c r="B5" t="s">
        <v>28</v>
      </c>
      <c r="C5" t="s">
        <v>91</v>
      </c>
      <c r="E5" s="9"/>
      <c r="F5" t="s">
        <v>90</v>
      </c>
      <c r="G5" s="10">
        <v>0.2</v>
      </c>
      <c r="I5" s="9">
        <f>+SUMIF($N$3:$ZS$3,I$3,$N5:$ZS5)</f>
        <v>0</v>
      </c>
      <c r="J5" s="11" cm="1">
        <f t="array" ref="J5">MAX(IF($N$3:$EA$3=$J$3,N5:EA5))</f>
        <v>0</v>
      </c>
      <c r="K5" s="11" cm="1">
        <f t="array" ref="K5">MAX(IF($N$3:$EA$3=$J$3,N5:EA5))</f>
        <v>0</v>
      </c>
      <c r="L5" s="9"/>
      <c r="O5" s="10"/>
      <c r="P5" s="10">
        <v>0.5</v>
      </c>
      <c r="Q5" s="10"/>
      <c r="R5" s="10">
        <v>0.5</v>
      </c>
      <c r="V5" s="10"/>
      <c r="W5" s="10">
        <v>0.5</v>
      </c>
      <c r="X5" s="10"/>
      <c r="Y5" s="10">
        <v>0.5</v>
      </c>
      <c r="AC5" s="10"/>
      <c r="AD5" s="10">
        <v>0.5</v>
      </c>
      <c r="AE5" s="10"/>
      <c r="AF5" s="10">
        <v>0.5</v>
      </c>
      <c r="AJ5" s="10"/>
      <c r="AK5" s="10">
        <v>0.5</v>
      </c>
      <c r="AL5" s="10"/>
      <c r="AM5" s="10">
        <v>0.5</v>
      </c>
      <c r="AQ5" s="10"/>
      <c r="AR5" s="10">
        <v>0.8</v>
      </c>
      <c r="AS5" s="10"/>
      <c r="AT5" s="10">
        <v>0.8</v>
      </c>
      <c r="AX5" s="10"/>
      <c r="AY5" s="10">
        <v>0.8</v>
      </c>
      <c r="AZ5" s="10"/>
      <c r="BA5" s="10">
        <v>0.8</v>
      </c>
      <c r="BE5" s="10"/>
      <c r="BF5" s="10">
        <v>0.8</v>
      </c>
      <c r="BG5" s="10"/>
      <c r="BH5" s="10">
        <v>0.8</v>
      </c>
      <c r="BL5" s="10"/>
      <c r="BM5" s="10">
        <v>0.8</v>
      </c>
      <c r="BN5" s="10"/>
      <c r="BO5" s="10">
        <v>0.8</v>
      </c>
      <c r="BS5" s="10"/>
      <c r="BT5" s="10">
        <v>0.8</v>
      </c>
      <c r="BU5" s="10"/>
      <c r="BV5" s="10">
        <v>0.8</v>
      </c>
      <c r="BZ5" s="10"/>
      <c r="CA5" s="10">
        <v>1</v>
      </c>
      <c r="CB5" s="10"/>
      <c r="CC5" s="10">
        <v>1</v>
      </c>
      <c r="CG5" s="10"/>
      <c r="CH5" s="10">
        <v>1</v>
      </c>
      <c r="CI5" s="10"/>
      <c r="CJ5" s="10">
        <v>1</v>
      </c>
      <c r="CN5" s="10"/>
      <c r="CO5" s="10">
        <v>1</v>
      </c>
      <c r="CP5" s="10"/>
      <c r="CQ5" s="10">
        <v>1</v>
      </c>
      <c r="CU5" s="10"/>
      <c r="CV5" s="10">
        <v>1</v>
      </c>
      <c r="CW5" s="10"/>
      <c r="CX5" s="10">
        <v>1</v>
      </c>
      <c r="CY5" t="s">
        <v>118</v>
      </c>
      <c r="DB5" s="10"/>
      <c r="DC5" s="10"/>
      <c r="DD5" s="10"/>
      <c r="DE5" s="10"/>
      <c r="DI5" s="10"/>
      <c r="DJ5" s="10"/>
      <c r="DK5" s="10"/>
      <c r="DL5" s="10"/>
      <c r="DP5" s="10"/>
      <c r="DQ5" s="10"/>
      <c r="DR5" s="10"/>
      <c r="DS5" s="10"/>
      <c r="DW5" s="10"/>
      <c r="DX5" s="10"/>
      <c r="DY5" s="10"/>
      <c r="DZ5" s="10"/>
    </row>
    <row r="6" spans="2:131" outlineLevel="1">
      <c r="B6" t="s">
        <v>28</v>
      </c>
      <c r="C6" t="s">
        <v>91</v>
      </c>
      <c r="E6" s="9"/>
      <c r="F6" t="s">
        <v>132</v>
      </c>
      <c r="G6" s="10">
        <v>0.2</v>
      </c>
      <c r="I6" s="9">
        <f>+SUMIF($N$3:$ZS$3,I$3,$N6:$ZS6)</f>
        <v>0</v>
      </c>
      <c r="J6" s="11" cm="1">
        <f t="array" ref="J6">MAX(IF($N$3:$EA$3=$J$3,N6:EA6))</f>
        <v>0</v>
      </c>
      <c r="K6" s="11" cm="1">
        <f t="array" ref="K6">MAX(IF($N$3:$EA$3=$J$3,N6:EA6))</f>
        <v>0</v>
      </c>
      <c r="L6" s="9"/>
      <c r="O6" s="10"/>
      <c r="P6" s="10"/>
      <c r="Q6" s="10"/>
      <c r="R6" s="10"/>
      <c r="V6" s="10"/>
      <c r="W6" s="10">
        <v>0.5</v>
      </c>
      <c r="X6" s="10"/>
      <c r="Y6" s="10">
        <v>0.5</v>
      </c>
      <c r="AC6" s="10"/>
      <c r="AD6" s="10">
        <v>0.5</v>
      </c>
      <c r="AE6" s="10"/>
      <c r="AF6" s="10">
        <v>0.5</v>
      </c>
      <c r="AJ6" s="10"/>
      <c r="AK6" s="10">
        <v>0.5</v>
      </c>
      <c r="AL6" s="10"/>
      <c r="AM6" s="10">
        <v>0.5</v>
      </c>
      <c r="AQ6" s="10"/>
      <c r="AR6" s="10">
        <v>0.5</v>
      </c>
      <c r="AS6" s="10"/>
      <c r="AT6" s="10">
        <v>0.5</v>
      </c>
      <c r="AX6" s="10"/>
      <c r="AY6" s="10">
        <v>0.8</v>
      </c>
      <c r="AZ6" s="10"/>
      <c r="BA6" s="10">
        <v>0.8</v>
      </c>
      <c r="BE6" s="10"/>
      <c r="BF6" s="10">
        <v>0.8</v>
      </c>
      <c r="BG6" s="10"/>
      <c r="BH6" s="10">
        <v>0.8</v>
      </c>
      <c r="BL6" s="10"/>
      <c r="BM6" s="10">
        <v>0.8</v>
      </c>
      <c r="BN6" s="10"/>
      <c r="BO6" s="10">
        <v>0.8</v>
      </c>
      <c r="BS6" s="10"/>
      <c r="BT6" s="10">
        <v>0.8</v>
      </c>
      <c r="BU6" s="10"/>
      <c r="BV6" s="10">
        <v>0.8</v>
      </c>
      <c r="BZ6" s="10"/>
      <c r="CA6" s="10">
        <v>0.8</v>
      </c>
      <c r="CB6" s="10"/>
      <c r="CC6" s="10">
        <v>0.8</v>
      </c>
      <c r="CG6" s="10"/>
      <c r="CH6" s="10">
        <v>1</v>
      </c>
      <c r="CI6" s="10"/>
      <c r="CJ6" s="10">
        <v>1</v>
      </c>
      <c r="CN6" s="10"/>
      <c r="CO6" s="10">
        <v>1</v>
      </c>
      <c r="CP6" s="10"/>
      <c r="CQ6" s="10">
        <v>1</v>
      </c>
      <c r="CU6" s="10"/>
      <c r="CV6" s="10">
        <v>1</v>
      </c>
      <c r="CW6" s="10"/>
      <c r="CX6" s="10">
        <v>1</v>
      </c>
      <c r="CY6" t="s">
        <v>118</v>
      </c>
      <c r="DB6" s="10"/>
      <c r="DC6" s="10"/>
      <c r="DD6" s="10"/>
      <c r="DE6" s="10"/>
      <c r="DI6" s="10"/>
      <c r="DJ6" s="10"/>
      <c r="DK6" s="10"/>
      <c r="DL6" s="10"/>
      <c r="DP6" s="10"/>
      <c r="DQ6" s="10"/>
      <c r="DR6" s="10"/>
      <c r="DS6" s="10"/>
      <c r="DW6" s="10"/>
      <c r="DX6" s="10"/>
      <c r="DY6" s="10"/>
      <c r="DZ6" s="10"/>
    </row>
    <row r="7" spans="2:131" outlineLevel="1">
      <c r="B7" t="s">
        <v>28</v>
      </c>
      <c r="C7" t="s">
        <v>91</v>
      </c>
      <c r="E7" s="9"/>
      <c r="F7" t="s">
        <v>133</v>
      </c>
      <c r="G7" s="10">
        <v>0.2</v>
      </c>
      <c r="I7" s="9">
        <f>+SUMIF($N$3:$ZS$3,I$3,$N7:$ZS7)</f>
        <v>0</v>
      </c>
      <c r="J7" s="11" cm="1">
        <f t="array" ref="J7">MAX(IF($N$3:$EA$3=$J$3,N7:EA7))</f>
        <v>0</v>
      </c>
      <c r="K7" s="11" cm="1">
        <f t="array" ref="K7">MAX(IF($N$3:$EA$3=$J$3,N7:EA7))</f>
        <v>0</v>
      </c>
      <c r="L7" s="9"/>
      <c r="O7" s="10"/>
      <c r="P7" s="10"/>
      <c r="Q7" s="10"/>
      <c r="R7" s="10"/>
      <c r="V7" s="10"/>
      <c r="W7" s="10"/>
      <c r="X7" s="10"/>
      <c r="Y7" s="10"/>
      <c r="AC7" s="10"/>
      <c r="AD7" s="10">
        <v>0.5</v>
      </c>
      <c r="AE7" s="10"/>
      <c r="AF7" s="10">
        <v>0.5</v>
      </c>
      <c r="AJ7" s="10"/>
      <c r="AK7" s="10">
        <v>0.5</v>
      </c>
      <c r="AL7" s="10"/>
      <c r="AM7" s="10">
        <v>0.5</v>
      </c>
      <c r="AQ7" s="10"/>
      <c r="AR7" s="10">
        <v>0.5</v>
      </c>
      <c r="AS7" s="10"/>
      <c r="AT7" s="10">
        <v>0.5</v>
      </c>
      <c r="AX7" s="10"/>
      <c r="AY7" s="10">
        <v>0.5</v>
      </c>
      <c r="AZ7" s="10"/>
      <c r="BA7" s="10">
        <v>0.5</v>
      </c>
      <c r="BE7" s="10"/>
      <c r="BF7" s="10">
        <v>0.8</v>
      </c>
      <c r="BG7" s="10"/>
      <c r="BH7" s="10">
        <v>0.8</v>
      </c>
      <c r="BL7" s="10"/>
      <c r="BM7" s="10">
        <v>0.8</v>
      </c>
      <c r="BN7" s="10"/>
      <c r="BO7" s="10">
        <v>0.8</v>
      </c>
      <c r="BS7" s="10"/>
      <c r="BT7" s="10">
        <v>0.8</v>
      </c>
      <c r="BU7" s="10"/>
      <c r="BV7" s="10">
        <v>0.8</v>
      </c>
      <c r="BZ7" s="10"/>
      <c r="CA7" s="10">
        <v>0.8</v>
      </c>
      <c r="CB7" s="10"/>
      <c r="CC7" s="10">
        <v>0.8</v>
      </c>
      <c r="CG7" s="10"/>
      <c r="CH7" s="10">
        <v>1</v>
      </c>
      <c r="CI7" s="10"/>
      <c r="CJ7" s="10">
        <v>1</v>
      </c>
      <c r="CN7" s="10"/>
      <c r="CO7" s="10">
        <v>1</v>
      </c>
      <c r="CP7" s="10"/>
      <c r="CQ7" s="10">
        <v>1</v>
      </c>
      <c r="CU7" s="10"/>
      <c r="CV7" s="10">
        <v>1</v>
      </c>
      <c r="CW7" s="10"/>
      <c r="CX7" s="10">
        <v>1</v>
      </c>
      <c r="CY7" t="s">
        <v>118</v>
      </c>
      <c r="DB7" s="10"/>
      <c r="DC7" s="10"/>
      <c r="DD7" s="10"/>
      <c r="DE7" s="10"/>
      <c r="DI7" s="10"/>
      <c r="DJ7" s="10"/>
      <c r="DK7" s="10"/>
      <c r="DL7" s="10"/>
      <c r="DP7" s="10"/>
      <c r="DQ7" s="10"/>
      <c r="DR7" s="10"/>
      <c r="DS7" s="10"/>
      <c r="DW7" s="10"/>
      <c r="DX7" s="10"/>
      <c r="DY7" s="10"/>
      <c r="DZ7" s="10"/>
    </row>
    <row r="8" spans="2:131" outlineLevel="1">
      <c r="B8" t="s">
        <v>28</v>
      </c>
      <c r="C8" t="s">
        <v>91</v>
      </c>
      <c r="E8" s="9"/>
      <c r="F8" t="s">
        <v>134</v>
      </c>
      <c r="G8" s="10">
        <v>0.2</v>
      </c>
      <c r="I8" s="9">
        <f>+SUMIF($N$3:$ZS$3,I$3,$N8:$ZS8)</f>
        <v>0</v>
      </c>
      <c r="J8" s="11" cm="1">
        <f t="array" ref="J8">MAX(IF($N$3:$EA$3=$J$3,N8:EA8))</f>
        <v>0</v>
      </c>
      <c r="K8" s="11" cm="1">
        <f t="array" ref="K8">MAX(IF($N$3:$EA$3=$J$3,N8:EA8))</f>
        <v>0</v>
      </c>
      <c r="L8" s="9"/>
      <c r="O8" s="10"/>
      <c r="P8" s="10"/>
      <c r="Q8" s="10"/>
      <c r="R8" s="10"/>
      <c r="V8" s="10"/>
      <c r="W8" s="10"/>
      <c r="X8" s="10"/>
      <c r="Y8" s="10"/>
      <c r="AC8" s="10"/>
      <c r="AD8" s="10"/>
      <c r="AE8" s="10"/>
      <c r="AF8" s="10"/>
      <c r="AJ8" s="10"/>
      <c r="AK8" s="10">
        <v>0.5</v>
      </c>
      <c r="AL8" s="10"/>
      <c r="AM8" s="10">
        <v>0.5</v>
      </c>
      <c r="AQ8" s="10"/>
      <c r="AR8" s="10">
        <v>0.5</v>
      </c>
      <c r="AS8" s="10"/>
      <c r="AT8" s="10">
        <v>0.5</v>
      </c>
      <c r="AX8" s="10"/>
      <c r="AY8" s="10">
        <v>0.5</v>
      </c>
      <c r="AZ8" s="10"/>
      <c r="BA8" s="10">
        <v>0.5</v>
      </c>
      <c r="BE8" s="10"/>
      <c r="BF8" s="10">
        <v>0.5</v>
      </c>
      <c r="BG8" s="10"/>
      <c r="BH8" s="10">
        <v>0.5</v>
      </c>
      <c r="BL8" s="10"/>
      <c r="BM8" s="10">
        <v>0.8</v>
      </c>
      <c r="BN8" s="10"/>
      <c r="BO8" s="10">
        <v>0.8</v>
      </c>
      <c r="BS8" s="10"/>
      <c r="BT8" s="10">
        <v>0.8</v>
      </c>
      <c r="BU8" s="10"/>
      <c r="BV8" s="10">
        <v>0.8</v>
      </c>
      <c r="BZ8" s="10"/>
      <c r="CA8" s="10">
        <v>0.8</v>
      </c>
      <c r="CB8" s="10"/>
      <c r="CC8" s="10">
        <v>0.8</v>
      </c>
      <c r="CG8" s="10"/>
      <c r="CH8" s="10">
        <v>0.8</v>
      </c>
      <c r="CI8" s="10"/>
      <c r="CJ8" s="10">
        <v>0.8</v>
      </c>
      <c r="CN8" s="10"/>
      <c r="CO8" s="10">
        <v>1</v>
      </c>
      <c r="CP8" s="10"/>
      <c r="CQ8" s="10">
        <v>1</v>
      </c>
      <c r="CU8" s="10"/>
      <c r="CV8" s="10">
        <v>1</v>
      </c>
      <c r="CW8" s="10"/>
      <c r="CX8" s="10">
        <v>1</v>
      </c>
      <c r="CY8" t="s">
        <v>118</v>
      </c>
      <c r="DB8" s="10"/>
      <c r="DC8" s="10"/>
      <c r="DD8" s="10"/>
      <c r="DE8" s="10"/>
      <c r="DI8" s="10"/>
      <c r="DJ8" s="10"/>
      <c r="DK8" s="10"/>
      <c r="DL8" s="10"/>
      <c r="DP8" s="10"/>
      <c r="DQ8" s="10"/>
      <c r="DR8" s="10"/>
      <c r="DS8" s="10"/>
      <c r="DW8" s="10"/>
      <c r="DX8" s="10"/>
      <c r="DY8" s="10"/>
      <c r="DZ8" s="10"/>
    </row>
    <row r="9" spans="2:131" outlineLevel="1">
      <c r="B9" t="s">
        <v>28</v>
      </c>
      <c r="C9" t="s">
        <v>91</v>
      </c>
      <c r="E9" s="9"/>
      <c r="F9" t="s">
        <v>135</v>
      </c>
      <c r="G9" s="10">
        <v>0.2</v>
      </c>
      <c r="I9" s="9">
        <f>+SUMIF($N$3:$ZS$3,I$3,$N9:$ZS9)</f>
        <v>0</v>
      </c>
      <c r="J9" s="11" cm="1">
        <f t="array" ref="J9">MAX(IF($N$3:$EA$3=$J$3,N9:EA9))</f>
        <v>0</v>
      </c>
      <c r="K9" s="11" cm="1">
        <f t="array" ref="K9">MAX(IF($N$3:$EA$3=$J$3,N9:EA9))</f>
        <v>0</v>
      </c>
      <c r="L9" s="9"/>
      <c r="O9" s="10"/>
      <c r="P9" s="10"/>
      <c r="Q9" s="10"/>
      <c r="R9" s="10"/>
      <c r="V9" s="10"/>
      <c r="W9" s="10"/>
      <c r="X9" s="10"/>
      <c r="Y9" s="10"/>
      <c r="AC9" s="10"/>
      <c r="AD9" s="10"/>
      <c r="AE9" s="10"/>
      <c r="AF9" s="10"/>
      <c r="AJ9" s="10"/>
      <c r="AK9" s="10"/>
      <c r="AL9" s="10"/>
      <c r="AM9" s="10"/>
      <c r="AQ9" s="10"/>
      <c r="AR9" s="10">
        <v>0.5</v>
      </c>
      <c r="AS9" s="10"/>
      <c r="AT9" s="10">
        <v>0.5</v>
      </c>
      <c r="AX9" s="10"/>
      <c r="AY9" s="10">
        <v>0.5</v>
      </c>
      <c r="AZ9" s="10"/>
      <c r="BA9" s="10">
        <v>0.5</v>
      </c>
      <c r="BE9" s="10"/>
      <c r="BF9" s="10">
        <v>0.5</v>
      </c>
      <c r="BG9" s="10"/>
      <c r="BH9" s="10">
        <v>0.5</v>
      </c>
      <c r="BL9" s="10"/>
      <c r="BM9" s="10">
        <v>0.5</v>
      </c>
      <c r="BN9" s="10"/>
      <c r="BO9" s="10">
        <v>0.5</v>
      </c>
      <c r="BS9" s="10"/>
      <c r="BT9" s="10">
        <v>0.8</v>
      </c>
      <c r="BU9" s="10"/>
      <c r="BV9" s="10">
        <v>0.8</v>
      </c>
      <c r="BZ9" s="10"/>
      <c r="CA9" s="10">
        <v>0.8</v>
      </c>
      <c r="CB9" s="10"/>
      <c r="CC9" s="10">
        <v>0.8</v>
      </c>
      <c r="CG9" s="10"/>
      <c r="CH9" s="10">
        <v>0.8</v>
      </c>
      <c r="CI9" s="10"/>
      <c r="CJ9" s="10">
        <v>0.8</v>
      </c>
      <c r="CN9" s="10"/>
      <c r="CO9" s="10">
        <v>0.8</v>
      </c>
      <c r="CP9" s="10"/>
      <c r="CQ9" s="10">
        <v>0.8</v>
      </c>
      <c r="CU9" s="10"/>
      <c r="CV9" s="10">
        <v>1</v>
      </c>
      <c r="CW9" s="10"/>
      <c r="CX9" s="10">
        <v>1</v>
      </c>
      <c r="CY9" t="s">
        <v>118</v>
      </c>
      <c r="DB9" s="10"/>
      <c r="DC9" s="10"/>
      <c r="DD9" s="10"/>
      <c r="DE9" s="10"/>
      <c r="DI9" s="10"/>
      <c r="DJ9" s="10"/>
      <c r="DK9" s="10"/>
      <c r="DL9" s="10"/>
      <c r="DP9" s="10"/>
      <c r="DQ9" s="10"/>
      <c r="DR9" s="10"/>
      <c r="DS9" s="10"/>
      <c r="DW9" s="10"/>
      <c r="DX9" s="10"/>
      <c r="DY9" s="10"/>
      <c r="DZ9" s="10"/>
    </row>
    <row r="11" spans="2:131">
      <c r="B11" t="s">
        <v>27</v>
      </c>
      <c r="C11" t="s">
        <v>91</v>
      </c>
      <c r="D11" s="19">
        <v>44963</v>
      </c>
      <c r="E11" s="9">
        <v>12</v>
      </c>
      <c r="G11" s="10">
        <f>+SUM(G12:G16)</f>
        <v>1</v>
      </c>
      <c r="I11" s="12">
        <v>0</v>
      </c>
      <c r="J11" s="11">
        <v>0</v>
      </c>
      <c r="K11" s="11">
        <f>+SUMPRODUCT(G12:G16,K12:K16)</f>
        <v>0</v>
      </c>
      <c r="L11" s="9"/>
      <c r="N11" s="12">
        <f>+SUM(N12:N16)</f>
        <v>0</v>
      </c>
      <c r="U11" s="12">
        <f>+SUM(U12:U16)</f>
        <v>0</v>
      </c>
      <c r="AB11" s="12">
        <f>+SUM(AB12:AB16)</f>
        <v>0</v>
      </c>
      <c r="AI11" s="12">
        <f>+SUM(AI12:AI16)</f>
        <v>0</v>
      </c>
      <c r="AP11" s="12">
        <f>+SUM(AP12:AP16)</f>
        <v>0</v>
      </c>
    </row>
    <row r="12" spans="2:131" outlineLevel="1">
      <c r="B12" t="s">
        <v>28</v>
      </c>
      <c r="C12" t="s">
        <v>91</v>
      </c>
      <c r="E12" s="9"/>
      <c r="F12" t="s">
        <v>131</v>
      </c>
      <c r="G12" s="10">
        <v>0.2</v>
      </c>
      <c r="I12" s="9">
        <f>+SUMIF($N$3:$ZS$3,I$3,$N12:$ZS12)</f>
        <v>0</v>
      </c>
      <c r="J12" s="11" cm="1">
        <f t="array" ref="J12">MAX(IF($N$3:$EA$3=$J$3,N12:EA12))</f>
        <v>0</v>
      </c>
      <c r="K12" s="11" cm="1">
        <f t="array" ref="K12">MAX(IF($N$3:$EA$3=$J$3,N12:EA12))</f>
        <v>0</v>
      </c>
      <c r="L12" s="9"/>
      <c r="O12" s="10"/>
      <c r="P12" s="10">
        <v>1</v>
      </c>
      <c r="Q12" s="10"/>
      <c r="R12" s="10">
        <v>1</v>
      </c>
      <c r="V12" s="10"/>
      <c r="W12" s="10">
        <v>1</v>
      </c>
      <c r="X12" s="10"/>
      <c r="Y12" s="10">
        <v>1</v>
      </c>
      <c r="AC12" s="10"/>
      <c r="AD12" s="10">
        <v>1</v>
      </c>
      <c r="AE12" s="10"/>
      <c r="AF12" s="10">
        <v>1</v>
      </c>
      <c r="AJ12" s="10"/>
      <c r="AK12" s="10">
        <v>1</v>
      </c>
      <c r="AL12" s="10"/>
      <c r="AM12" s="10">
        <v>1</v>
      </c>
      <c r="AQ12" s="10"/>
      <c r="AR12" s="10">
        <v>1</v>
      </c>
      <c r="AS12" s="10"/>
      <c r="AT12" s="10">
        <v>1</v>
      </c>
      <c r="AX12" s="10"/>
      <c r="AY12" s="10">
        <v>1</v>
      </c>
      <c r="AZ12" s="10"/>
      <c r="BA12" s="10">
        <v>1</v>
      </c>
      <c r="BE12" s="10"/>
      <c r="BF12" s="10">
        <v>1</v>
      </c>
      <c r="BG12" s="10"/>
      <c r="BH12" s="10">
        <v>1</v>
      </c>
      <c r="BL12" s="10"/>
      <c r="BM12" s="10">
        <v>1</v>
      </c>
      <c r="BN12" s="10"/>
      <c r="BO12" s="10">
        <v>1</v>
      </c>
      <c r="BS12" s="10"/>
      <c r="BT12" s="10">
        <v>1</v>
      </c>
      <c r="BU12" s="10"/>
      <c r="BV12" s="10">
        <v>1</v>
      </c>
      <c r="BZ12" s="10"/>
      <c r="CA12" s="10">
        <v>1</v>
      </c>
      <c r="CB12" s="10"/>
      <c r="CC12" s="10">
        <v>1</v>
      </c>
      <c r="CG12" s="10"/>
      <c r="CH12" s="10">
        <v>1</v>
      </c>
      <c r="CI12" s="10"/>
      <c r="CJ12" s="10">
        <v>1</v>
      </c>
      <c r="CN12" s="10"/>
      <c r="CO12" s="10">
        <v>1</v>
      </c>
      <c r="CP12" s="10"/>
      <c r="CQ12" s="10">
        <v>1</v>
      </c>
      <c r="CU12" s="10"/>
      <c r="CV12" s="10">
        <v>1</v>
      </c>
      <c r="CW12" s="10"/>
      <c r="CX12" s="10">
        <v>1</v>
      </c>
      <c r="CY12" t="s">
        <v>118</v>
      </c>
      <c r="DB12" s="10"/>
      <c r="DC12" s="10"/>
      <c r="DD12" s="10"/>
      <c r="DE12" s="10"/>
      <c r="DI12" s="10"/>
      <c r="DJ12" s="10"/>
      <c r="DK12" s="10"/>
      <c r="DL12" s="10"/>
      <c r="DP12" s="10"/>
      <c r="DQ12" s="10"/>
      <c r="DR12" s="10"/>
      <c r="DS12" s="10"/>
      <c r="DW12" s="10"/>
      <c r="DX12" s="10"/>
      <c r="DY12" s="10"/>
      <c r="DZ12" s="10"/>
    </row>
    <row r="13" spans="2:131" outlineLevel="1">
      <c r="B13" t="s">
        <v>28</v>
      </c>
      <c r="C13" t="s">
        <v>91</v>
      </c>
      <c r="E13" s="9"/>
      <c r="F13" t="s">
        <v>130</v>
      </c>
      <c r="G13" s="10">
        <v>0.2</v>
      </c>
      <c r="I13" s="9">
        <f>+SUMIF($N$3:$ZS$3,I$3,$N13:$ZS13)</f>
        <v>0</v>
      </c>
      <c r="J13" s="11" cm="1">
        <f t="array" ref="J13">MAX(IF($N$3:$EA$3=$J$3,N13:EA13))</f>
        <v>0</v>
      </c>
      <c r="K13" s="11" cm="1">
        <f t="array" ref="K13">MAX(IF($N$3:$EA$3=$J$3,N13:EA13))</f>
        <v>0</v>
      </c>
      <c r="L13" s="9"/>
      <c r="O13" s="10"/>
      <c r="P13" s="10"/>
      <c r="Q13" s="10"/>
      <c r="R13" s="10"/>
      <c r="V13" s="10"/>
      <c r="W13" s="10">
        <v>1</v>
      </c>
      <c r="X13" s="10"/>
      <c r="Y13" s="10">
        <v>1</v>
      </c>
      <c r="AC13" s="10"/>
      <c r="AD13" s="10">
        <v>1</v>
      </c>
      <c r="AE13" s="10"/>
      <c r="AF13" s="10">
        <v>1</v>
      </c>
      <c r="AJ13" s="10"/>
      <c r="AK13" s="10">
        <v>1</v>
      </c>
      <c r="AL13" s="10"/>
      <c r="AM13" s="10">
        <v>1</v>
      </c>
      <c r="AQ13" s="10"/>
      <c r="AR13" s="10">
        <v>1</v>
      </c>
      <c r="AS13" s="10"/>
      <c r="AT13" s="10">
        <v>1</v>
      </c>
      <c r="AX13" s="10"/>
      <c r="AY13" s="10">
        <v>1</v>
      </c>
      <c r="AZ13" s="10"/>
      <c r="BA13" s="10">
        <v>1</v>
      </c>
      <c r="BE13" s="10"/>
      <c r="BF13" s="10">
        <v>1</v>
      </c>
      <c r="BG13" s="10"/>
      <c r="BH13" s="10">
        <v>1</v>
      </c>
      <c r="BL13" s="10"/>
      <c r="BM13" s="10">
        <v>1</v>
      </c>
      <c r="BN13" s="10"/>
      <c r="BO13" s="10">
        <v>1</v>
      </c>
      <c r="BS13" s="10"/>
      <c r="BT13" s="10">
        <v>1</v>
      </c>
      <c r="BU13" s="10"/>
      <c r="BV13" s="10">
        <v>1</v>
      </c>
      <c r="BZ13" s="10"/>
      <c r="CA13" s="10">
        <v>1</v>
      </c>
      <c r="CB13" s="10"/>
      <c r="CC13" s="10">
        <v>1</v>
      </c>
      <c r="CG13" s="10"/>
      <c r="CH13" s="10">
        <v>1</v>
      </c>
      <c r="CI13" s="10"/>
      <c r="CJ13" s="10">
        <v>1</v>
      </c>
      <c r="CN13" s="10"/>
      <c r="CO13" s="10">
        <v>1</v>
      </c>
      <c r="CP13" s="10"/>
      <c r="CQ13" s="10">
        <v>1</v>
      </c>
      <c r="CU13" s="10"/>
      <c r="CV13" s="10">
        <v>1</v>
      </c>
      <c r="CW13" s="10"/>
      <c r="CX13" s="10">
        <v>1</v>
      </c>
      <c r="CY13" t="s">
        <v>118</v>
      </c>
      <c r="DB13" s="10"/>
      <c r="DC13" s="10"/>
      <c r="DD13" s="10"/>
      <c r="DE13" s="10"/>
      <c r="DI13" s="10"/>
      <c r="DJ13" s="10"/>
      <c r="DK13" s="10"/>
      <c r="DL13" s="10"/>
      <c r="DP13" s="10"/>
      <c r="DQ13" s="10"/>
      <c r="DR13" s="10"/>
      <c r="DS13" s="10"/>
      <c r="DW13" s="10"/>
      <c r="DX13" s="10"/>
      <c r="DY13" s="10"/>
      <c r="DZ13" s="10"/>
    </row>
    <row r="14" spans="2:131" outlineLevel="1">
      <c r="B14" t="s">
        <v>28</v>
      </c>
      <c r="C14" t="s">
        <v>91</v>
      </c>
      <c r="E14" s="9"/>
      <c r="F14" t="s">
        <v>129</v>
      </c>
      <c r="G14" s="10">
        <v>0.2</v>
      </c>
      <c r="I14" s="9">
        <f>+SUMIF($N$3:$ZS$3,I$3,$N14:$ZS14)</f>
        <v>0</v>
      </c>
      <c r="J14" s="11" cm="1">
        <f t="array" ref="J14">MAX(IF($N$3:$EA$3=$J$3,N14:EA14))</f>
        <v>0</v>
      </c>
      <c r="K14" s="11" cm="1">
        <f t="array" ref="K14">MAX(IF($N$3:$EA$3=$J$3,N14:EA14))</f>
        <v>0</v>
      </c>
      <c r="L14" s="9"/>
      <c r="O14" s="10"/>
      <c r="P14" s="10"/>
      <c r="Q14" s="10"/>
      <c r="R14" s="10"/>
      <c r="V14" s="10"/>
      <c r="W14" s="10"/>
      <c r="X14" s="10"/>
      <c r="Y14" s="10"/>
      <c r="AC14" s="10"/>
      <c r="AD14" s="10">
        <v>1</v>
      </c>
      <c r="AE14" s="10"/>
      <c r="AF14" s="10">
        <v>1</v>
      </c>
      <c r="AJ14" s="10"/>
      <c r="AK14" s="10">
        <v>1</v>
      </c>
      <c r="AL14" s="10"/>
      <c r="AM14" s="10">
        <v>1</v>
      </c>
      <c r="AQ14" s="10"/>
      <c r="AR14" s="10">
        <v>1</v>
      </c>
      <c r="AS14" s="10"/>
      <c r="AT14" s="10">
        <v>1</v>
      </c>
      <c r="AX14" s="10"/>
      <c r="AY14" s="10">
        <v>1</v>
      </c>
      <c r="AZ14" s="10"/>
      <c r="BA14" s="10">
        <v>1</v>
      </c>
      <c r="BE14" s="10"/>
      <c r="BF14" s="10">
        <v>1</v>
      </c>
      <c r="BG14" s="10"/>
      <c r="BH14" s="10">
        <v>1</v>
      </c>
      <c r="BL14" s="10"/>
      <c r="BM14" s="10">
        <v>1</v>
      </c>
      <c r="BN14" s="10"/>
      <c r="BO14" s="10">
        <v>1</v>
      </c>
      <c r="BS14" s="10"/>
      <c r="BT14" s="10">
        <v>1</v>
      </c>
      <c r="BU14" s="10"/>
      <c r="BV14" s="10">
        <v>1</v>
      </c>
      <c r="BZ14" s="10"/>
      <c r="CA14" s="10">
        <v>1</v>
      </c>
      <c r="CB14" s="10"/>
      <c r="CC14" s="10">
        <v>1</v>
      </c>
      <c r="CG14" s="10"/>
      <c r="CH14" s="10">
        <v>1</v>
      </c>
      <c r="CI14" s="10"/>
      <c r="CJ14" s="10">
        <v>1</v>
      </c>
      <c r="CN14" s="10"/>
      <c r="CO14" s="10">
        <v>1</v>
      </c>
      <c r="CP14" s="10"/>
      <c r="CQ14" s="10">
        <v>1</v>
      </c>
      <c r="CU14" s="10"/>
      <c r="CV14" s="10">
        <v>1</v>
      </c>
      <c r="CW14" s="10"/>
      <c r="CX14" s="10">
        <v>1</v>
      </c>
      <c r="CY14" t="s">
        <v>118</v>
      </c>
      <c r="DB14" s="10"/>
      <c r="DC14" s="10"/>
      <c r="DD14" s="10"/>
      <c r="DE14" s="10"/>
      <c r="DI14" s="10"/>
      <c r="DJ14" s="10"/>
      <c r="DK14" s="10"/>
      <c r="DL14" s="10"/>
      <c r="DP14" s="10"/>
      <c r="DQ14" s="10"/>
      <c r="DR14" s="10"/>
      <c r="DS14" s="10"/>
      <c r="DW14" s="10"/>
      <c r="DX14" s="10"/>
      <c r="DY14" s="10"/>
      <c r="DZ14" s="10"/>
    </row>
    <row r="15" spans="2:131" outlineLevel="1">
      <c r="B15" t="s">
        <v>28</v>
      </c>
      <c r="C15" t="s">
        <v>91</v>
      </c>
      <c r="E15" s="9"/>
      <c r="F15" t="s">
        <v>92</v>
      </c>
      <c r="G15" s="10">
        <v>0.2</v>
      </c>
      <c r="I15" s="9">
        <f>+SUMIF($N$3:$ZS$3,I$3,$N15:$ZS15)</f>
        <v>0</v>
      </c>
      <c r="J15" s="11" cm="1">
        <f t="array" ref="J15">MAX(IF($N$3:$EA$3=$J$3,N15:EA15))</f>
        <v>0</v>
      </c>
      <c r="K15" s="11" cm="1">
        <f t="array" ref="K15">MAX(IF($N$3:$EA$3=$J$3,N15:EA15))</f>
        <v>0</v>
      </c>
      <c r="L15" s="9"/>
      <c r="O15" s="10"/>
      <c r="P15" s="10"/>
      <c r="Q15" s="10"/>
      <c r="R15" s="10"/>
      <c r="V15" s="10"/>
      <c r="W15" s="10"/>
      <c r="X15" s="10"/>
      <c r="Y15" s="10"/>
      <c r="AC15" s="10"/>
      <c r="AD15" s="10"/>
      <c r="AE15" s="10"/>
      <c r="AF15" s="10"/>
      <c r="AJ15" s="10"/>
      <c r="AK15" s="10">
        <v>1</v>
      </c>
      <c r="AL15" s="10"/>
      <c r="AM15" s="10">
        <v>1</v>
      </c>
      <c r="AQ15" s="10"/>
      <c r="AR15" s="10">
        <v>1</v>
      </c>
      <c r="AS15" s="10"/>
      <c r="AT15" s="10">
        <v>1</v>
      </c>
      <c r="AX15" s="10"/>
      <c r="AY15" s="10">
        <v>1</v>
      </c>
      <c r="AZ15" s="10"/>
      <c r="BA15" s="10">
        <v>1</v>
      </c>
      <c r="BE15" s="10"/>
      <c r="BF15" s="10">
        <v>1</v>
      </c>
      <c r="BG15" s="10"/>
      <c r="BH15" s="10">
        <v>1</v>
      </c>
      <c r="BL15" s="10"/>
      <c r="BM15" s="10">
        <v>1</v>
      </c>
      <c r="BN15" s="10"/>
      <c r="BO15" s="10">
        <v>1</v>
      </c>
      <c r="BS15" s="10"/>
      <c r="BT15" s="10">
        <v>1</v>
      </c>
      <c r="BU15" s="10"/>
      <c r="BV15" s="10">
        <v>1</v>
      </c>
      <c r="BZ15" s="10"/>
      <c r="CA15" s="10">
        <v>1</v>
      </c>
      <c r="CB15" s="10"/>
      <c r="CC15" s="10">
        <v>1</v>
      </c>
      <c r="CG15" s="10"/>
      <c r="CH15" s="10">
        <v>1</v>
      </c>
      <c r="CI15" s="10"/>
      <c r="CJ15" s="10">
        <v>1</v>
      </c>
      <c r="CN15" s="10"/>
      <c r="CO15" s="10">
        <v>1</v>
      </c>
      <c r="CP15" s="10"/>
      <c r="CQ15" s="10">
        <v>1</v>
      </c>
      <c r="CU15" s="10"/>
      <c r="CV15" s="10">
        <v>1</v>
      </c>
      <c r="CW15" s="10"/>
      <c r="CX15" s="10">
        <v>1</v>
      </c>
      <c r="CY15" t="s">
        <v>118</v>
      </c>
      <c r="DB15" s="10"/>
      <c r="DC15" s="10"/>
      <c r="DD15" s="10"/>
      <c r="DE15" s="10"/>
      <c r="DI15" s="10"/>
      <c r="DJ15" s="10"/>
      <c r="DK15" s="10"/>
      <c r="DL15" s="10"/>
      <c r="DP15" s="10"/>
      <c r="DQ15" s="10"/>
      <c r="DR15" s="10"/>
      <c r="DS15" s="10"/>
      <c r="DW15" s="10"/>
      <c r="DX15" s="10"/>
      <c r="DY15" s="10"/>
      <c r="DZ15" s="10"/>
    </row>
    <row r="16" spans="2:131" outlineLevel="1">
      <c r="B16" t="s">
        <v>28</v>
      </c>
      <c r="C16" t="s">
        <v>91</v>
      </c>
      <c r="E16" s="9"/>
      <c r="F16" t="s">
        <v>93</v>
      </c>
      <c r="G16" s="10">
        <v>0.2</v>
      </c>
      <c r="I16" s="9">
        <f>+SUMIF($N$3:$ZS$3,I$3,$N16:$ZS16)</f>
        <v>0</v>
      </c>
      <c r="J16" s="11" cm="1">
        <f t="array" ref="J16">MAX(IF($N$3:$EA$3=$J$3,N16:EA16))</f>
        <v>0</v>
      </c>
      <c r="K16" s="11" cm="1">
        <f t="array" ref="K16">MAX(IF($N$3:$EA$3=$J$3,N16:EA16))</f>
        <v>0</v>
      </c>
      <c r="L16" s="9"/>
      <c r="O16" s="10"/>
      <c r="P16" s="10"/>
      <c r="Q16" s="10"/>
      <c r="R16" s="10"/>
      <c r="V16" s="10"/>
      <c r="W16" s="10"/>
      <c r="X16" s="10"/>
      <c r="Y16" s="10"/>
      <c r="AC16" s="10"/>
      <c r="AD16" s="10"/>
      <c r="AE16" s="10"/>
      <c r="AF16" s="10"/>
      <c r="AJ16" s="10"/>
      <c r="AK16" s="10"/>
      <c r="AL16" s="10"/>
      <c r="AM16" s="10"/>
      <c r="AQ16" s="10"/>
      <c r="AR16" s="10">
        <v>1</v>
      </c>
      <c r="AS16" s="10"/>
      <c r="AT16" s="10">
        <v>1</v>
      </c>
      <c r="AX16" s="10"/>
      <c r="AY16" s="10">
        <v>1</v>
      </c>
      <c r="AZ16" s="10"/>
      <c r="BA16" s="10">
        <v>1</v>
      </c>
      <c r="BE16" s="10"/>
      <c r="BF16" s="10">
        <v>1</v>
      </c>
      <c r="BG16" s="10"/>
      <c r="BH16" s="10">
        <v>1</v>
      </c>
      <c r="BL16" s="10"/>
      <c r="BM16" s="10">
        <v>1</v>
      </c>
      <c r="BN16" s="10"/>
      <c r="BO16" s="10">
        <v>1</v>
      </c>
      <c r="BS16" s="10"/>
      <c r="BT16" s="10">
        <v>1</v>
      </c>
      <c r="BU16" s="10"/>
      <c r="BV16" s="10">
        <v>1</v>
      </c>
      <c r="BZ16" s="10"/>
      <c r="CA16" s="10">
        <v>1</v>
      </c>
      <c r="CB16" s="10"/>
      <c r="CC16" s="10">
        <v>1</v>
      </c>
      <c r="CG16" s="10"/>
      <c r="CH16" s="10">
        <v>1</v>
      </c>
      <c r="CI16" s="10"/>
      <c r="CJ16" s="10">
        <v>1</v>
      </c>
      <c r="CN16" s="10"/>
      <c r="CO16" s="10">
        <v>1</v>
      </c>
      <c r="CP16" s="10"/>
      <c r="CQ16" s="10">
        <v>1</v>
      </c>
      <c r="CU16" s="10"/>
      <c r="CV16" s="10">
        <v>1</v>
      </c>
      <c r="CW16" s="10"/>
      <c r="CX16" s="10">
        <v>1</v>
      </c>
      <c r="CY16" t="s">
        <v>118</v>
      </c>
      <c r="DB16" s="10"/>
      <c r="DC16" s="10"/>
      <c r="DD16" s="10"/>
      <c r="DE16" s="10"/>
      <c r="DI16" s="10"/>
      <c r="DJ16" s="10"/>
      <c r="DK16" s="10"/>
      <c r="DL16" s="10"/>
      <c r="DP16" s="10"/>
      <c r="DQ16" s="10"/>
      <c r="DR16" s="10"/>
      <c r="DS16" s="10"/>
      <c r="DW16" s="10"/>
      <c r="DX16" s="10"/>
      <c r="DY16" s="10"/>
      <c r="DZ16" s="10"/>
    </row>
    <row r="17" spans="2:130">
      <c r="AY17" s="10"/>
      <c r="BL17" s="10"/>
      <c r="BM17" s="10"/>
      <c r="BN17" s="10"/>
      <c r="BO17" s="10"/>
      <c r="BS17" s="10"/>
      <c r="BT17" s="10"/>
      <c r="BU17" s="10"/>
      <c r="BV17" s="10"/>
      <c r="BZ17" s="10"/>
      <c r="CA17" s="10"/>
      <c r="CB17" s="10"/>
      <c r="CC17" s="10"/>
      <c r="CG17" s="10"/>
      <c r="CH17" s="10"/>
      <c r="CI17" s="10"/>
      <c r="CJ17" s="10"/>
      <c r="CN17" s="10"/>
      <c r="CO17" s="10"/>
      <c r="CP17" s="10"/>
      <c r="CQ17" s="10"/>
    </row>
    <row r="18" spans="2:130">
      <c r="B18" t="s">
        <v>27</v>
      </c>
      <c r="C18" t="s">
        <v>38</v>
      </c>
      <c r="D18" s="19">
        <v>44963</v>
      </c>
      <c r="E18" s="9">
        <v>6</v>
      </c>
      <c r="G18" s="10">
        <f>+SUM(G19:G22)</f>
        <v>1</v>
      </c>
      <c r="I18" s="12">
        <f>+SUM(I19:I22)</f>
        <v>0</v>
      </c>
      <c r="J18" s="11">
        <f>+SUMPRODUCT(G19:G22,J19:J22)</f>
        <v>0</v>
      </c>
      <c r="K18" s="11">
        <f>+SUMPRODUCT(G19:G22,K19:K22)</f>
        <v>0</v>
      </c>
      <c r="L18" s="9"/>
      <c r="N18" s="12">
        <f>+SUM(N19:N22)</f>
        <v>0</v>
      </c>
      <c r="U18" s="12">
        <f>+SUM(U19:U22)</f>
        <v>0</v>
      </c>
      <c r="AB18" s="12">
        <f>+SUM(AB19:AB22)</f>
        <v>0</v>
      </c>
      <c r="AI18" s="12">
        <f>+SUM(AI19:AI22)</f>
        <v>0</v>
      </c>
      <c r="AP18" s="12">
        <f>+SUM(AP19:AP22)</f>
        <v>0</v>
      </c>
      <c r="BL18" s="10"/>
      <c r="BM18" s="10"/>
      <c r="BN18" s="10"/>
      <c r="BO18" s="10"/>
      <c r="BS18" s="10"/>
      <c r="BT18" s="10"/>
      <c r="BU18" s="10"/>
      <c r="BV18" s="10"/>
      <c r="BZ18" s="10"/>
      <c r="CA18" s="10"/>
      <c r="CB18" s="10"/>
      <c r="CC18" s="10"/>
      <c r="CG18" s="10"/>
      <c r="CH18" s="10"/>
      <c r="CI18" s="10"/>
      <c r="CJ18" s="10"/>
      <c r="CN18" s="10"/>
      <c r="CO18" s="10"/>
      <c r="CP18" s="10"/>
      <c r="CQ18" s="10"/>
    </row>
    <row r="19" spans="2:130" outlineLevel="1">
      <c r="B19" t="s">
        <v>28</v>
      </c>
      <c r="C19" t="s">
        <v>38</v>
      </c>
      <c r="E19" s="9"/>
      <c r="F19" t="s">
        <v>94</v>
      </c>
      <c r="G19" s="10">
        <v>0.15</v>
      </c>
      <c r="I19" s="9">
        <f>+SUMIF($N$3:$ZS$3,I$3,$N19:$ZS19)</f>
        <v>0</v>
      </c>
      <c r="J19" s="11" cm="1">
        <f t="array" ref="J19">MAX(IF($N$3:$EA$3=$J$3,N19:EA19))</f>
        <v>0</v>
      </c>
      <c r="K19" s="11" cm="1">
        <f t="array" ref="K19">MAX(IF($N$3:$EA$3=$J$3,N19:EA19))</f>
        <v>0</v>
      </c>
      <c r="L19" s="9"/>
      <c r="O19" s="10"/>
      <c r="P19" s="10">
        <v>0.5</v>
      </c>
      <c r="Q19" s="10"/>
      <c r="R19" s="10">
        <v>0.5</v>
      </c>
      <c r="V19" s="10"/>
      <c r="W19" s="10">
        <v>0.5</v>
      </c>
      <c r="X19" s="10"/>
      <c r="Y19" s="10">
        <v>0.5</v>
      </c>
      <c r="AC19" s="10"/>
      <c r="AD19" s="10">
        <v>0.5</v>
      </c>
      <c r="AE19" s="10"/>
      <c r="AF19" s="10">
        <v>0.5</v>
      </c>
      <c r="AJ19" s="10"/>
      <c r="AK19" s="10">
        <v>0.5</v>
      </c>
      <c r="AL19" s="10"/>
      <c r="AM19" s="10">
        <v>0.5</v>
      </c>
      <c r="AQ19" s="10"/>
      <c r="AR19" s="10">
        <v>0.5</v>
      </c>
      <c r="AS19" s="10"/>
      <c r="AT19" s="10">
        <v>0.5</v>
      </c>
      <c r="AX19" s="10"/>
      <c r="AY19" s="10">
        <v>0.8</v>
      </c>
      <c r="AZ19" s="10"/>
      <c r="BA19" s="10">
        <v>0.8</v>
      </c>
      <c r="BE19" s="10"/>
      <c r="BF19" s="10">
        <v>0.8</v>
      </c>
      <c r="BG19" s="10"/>
      <c r="BH19" s="10">
        <v>0.8</v>
      </c>
      <c r="BM19" s="10">
        <v>0.8</v>
      </c>
      <c r="BO19" s="10">
        <v>0.8</v>
      </c>
      <c r="BS19" s="10"/>
      <c r="BT19" s="10">
        <v>0.8</v>
      </c>
      <c r="BU19" s="10"/>
      <c r="BV19" s="10">
        <v>0.8</v>
      </c>
      <c r="BZ19" s="10"/>
      <c r="CA19" s="10">
        <v>1</v>
      </c>
      <c r="CB19" s="10"/>
      <c r="CC19" s="10">
        <v>1</v>
      </c>
      <c r="CG19" s="10"/>
      <c r="CH19" s="10">
        <v>1</v>
      </c>
      <c r="CI19" s="10"/>
      <c r="CJ19" s="10">
        <v>1</v>
      </c>
      <c r="CN19" s="10"/>
      <c r="CO19" s="10">
        <v>1</v>
      </c>
      <c r="CP19" s="10"/>
      <c r="CQ19" s="10">
        <v>1</v>
      </c>
      <c r="CU19" s="10"/>
      <c r="CV19" s="10">
        <v>1</v>
      </c>
      <c r="CW19" s="10"/>
      <c r="CX19" s="10">
        <v>1</v>
      </c>
      <c r="CY19" t="s">
        <v>118</v>
      </c>
      <c r="DB19" s="10"/>
      <c r="DC19" s="10"/>
      <c r="DD19" s="10"/>
      <c r="DE19" s="10"/>
      <c r="DI19" s="10"/>
      <c r="DJ19" s="10"/>
      <c r="DK19" s="10"/>
      <c r="DL19" s="10"/>
      <c r="DP19" s="10"/>
      <c r="DQ19" s="10"/>
      <c r="DR19" s="10"/>
      <c r="DS19" s="10"/>
      <c r="DW19" s="10"/>
      <c r="DX19" s="10"/>
      <c r="DY19" s="10"/>
      <c r="DZ19" s="10"/>
    </row>
    <row r="20" spans="2:130" outlineLevel="1">
      <c r="B20" t="s">
        <v>28</v>
      </c>
      <c r="C20" t="s">
        <v>38</v>
      </c>
      <c r="E20" s="9"/>
      <c r="F20" t="s">
        <v>96</v>
      </c>
      <c r="G20" s="10">
        <v>0.2</v>
      </c>
      <c r="I20" s="9">
        <f>+SUMIF($N$3:$ZS$3,I$3,$N20:$ZS20)</f>
        <v>0</v>
      </c>
      <c r="J20" s="11" cm="1">
        <f t="array" ref="J20">MAX(IF($N$3:$EA$3=$J$3,N20:EA20))</f>
        <v>0</v>
      </c>
      <c r="K20" s="11" cm="1">
        <f t="array" ref="K20">MAX(IF($N$3:$EA$3=$J$3,N20:EA20))</f>
        <v>0</v>
      </c>
      <c r="L20" s="9"/>
      <c r="O20" s="10"/>
      <c r="P20" s="10"/>
      <c r="Q20" s="10"/>
      <c r="R20" s="10"/>
      <c r="V20" s="10"/>
      <c r="W20" s="10">
        <v>0.5</v>
      </c>
      <c r="X20" s="10"/>
      <c r="Y20" s="10">
        <v>0.5</v>
      </c>
      <c r="AC20" s="10"/>
      <c r="AD20" s="10">
        <v>0.5</v>
      </c>
      <c r="AE20" s="10"/>
      <c r="AF20" s="10">
        <v>0.5</v>
      </c>
      <c r="AJ20" s="10"/>
      <c r="AK20" s="10">
        <v>0.5</v>
      </c>
      <c r="AL20" s="10"/>
      <c r="AM20" s="10">
        <v>0.5</v>
      </c>
      <c r="AQ20" s="10"/>
      <c r="AR20" s="10">
        <v>0.5</v>
      </c>
      <c r="AS20" s="10"/>
      <c r="AT20" s="10">
        <v>0.5</v>
      </c>
      <c r="AX20" s="10"/>
      <c r="AY20" s="10">
        <v>0.5</v>
      </c>
      <c r="AZ20" s="10"/>
      <c r="BA20" s="10">
        <v>0.5</v>
      </c>
      <c r="BE20" s="10"/>
      <c r="BF20" s="10">
        <v>0.8</v>
      </c>
      <c r="BG20" s="10"/>
      <c r="BH20" s="10">
        <v>0.8</v>
      </c>
      <c r="BM20" s="10">
        <v>0.8</v>
      </c>
      <c r="BO20" s="10">
        <v>0.8</v>
      </c>
      <c r="BS20" s="10"/>
      <c r="BT20" s="10">
        <v>0.8</v>
      </c>
      <c r="BU20" s="10"/>
      <c r="BV20" s="10">
        <v>0.8</v>
      </c>
      <c r="BZ20" s="10"/>
      <c r="CA20" s="10">
        <v>0.8</v>
      </c>
      <c r="CB20" s="10"/>
      <c r="CC20" s="10">
        <v>0.8</v>
      </c>
      <c r="CG20" s="10"/>
      <c r="CH20" s="10">
        <v>1</v>
      </c>
      <c r="CI20" s="10"/>
      <c r="CJ20" s="10">
        <v>1</v>
      </c>
      <c r="CN20" s="10"/>
      <c r="CO20" s="10">
        <v>1</v>
      </c>
      <c r="CP20" s="10"/>
      <c r="CQ20" s="10">
        <v>1</v>
      </c>
      <c r="CU20" s="10"/>
      <c r="CV20" s="10">
        <v>1</v>
      </c>
      <c r="CW20" s="10"/>
      <c r="CX20" s="10">
        <v>1</v>
      </c>
      <c r="CY20" t="s">
        <v>118</v>
      </c>
      <c r="DB20" s="10"/>
      <c r="DC20" s="10"/>
      <c r="DD20" s="10"/>
      <c r="DE20" s="10"/>
      <c r="DI20" s="10"/>
      <c r="DJ20" s="10"/>
      <c r="DK20" s="10"/>
      <c r="DL20" s="10"/>
      <c r="DP20" s="10"/>
      <c r="DQ20" s="10"/>
      <c r="DR20" s="10"/>
      <c r="DS20" s="10"/>
      <c r="DW20" s="10"/>
      <c r="DX20" s="10"/>
      <c r="DY20" s="10"/>
      <c r="DZ20" s="10"/>
    </row>
    <row r="21" spans="2:130" outlineLevel="1">
      <c r="B21" t="s">
        <v>28</v>
      </c>
      <c r="C21" t="s">
        <v>38</v>
      </c>
      <c r="E21" s="9"/>
      <c r="F21" t="s">
        <v>95</v>
      </c>
      <c r="G21" s="10">
        <v>0.33</v>
      </c>
      <c r="I21" s="9">
        <f>+SUMIF($N$3:$ZS$3,I$3,$N21:$ZS21)</f>
        <v>0</v>
      </c>
      <c r="J21" s="11" cm="1">
        <f t="array" ref="J21">MAX(IF($N$3:$EA$3=$J$3,N21:EA21))</f>
        <v>0</v>
      </c>
      <c r="K21" s="11" cm="1">
        <f t="array" ref="K21">MAX(IF($N$3:$EA$3=$J$3,N21:EA21))</f>
        <v>0</v>
      </c>
      <c r="L21" s="9"/>
      <c r="O21" s="10"/>
      <c r="P21" s="10"/>
      <c r="Q21" s="10"/>
      <c r="R21" s="10"/>
      <c r="V21" s="10"/>
      <c r="W21" s="10"/>
      <c r="X21" s="10"/>
      <c r="Y21" s="10"/>
      <c r="AC21" s="10"/>
      <c r="AD21" s="10">
        <v>0.5</v>
      </c>
      <c r="AE21" s="10"/>
      <c r="AF21" s="10">
        <v>0.5</v>
      </c>
      <c r="AJ21" s="10"/>
      <c r="AK21" s="10">
        <v>0.5</v>
      </c>
      <c r="AL21" s="10"/>
      <c r="AM21" s="10">
        <v>0.5</v>
      </c>
      <c r="AQ21" s="10"/>
      <c r="AR21" s="10">
        <v>0.5</v>
      </c>
      <c r="AS21" s="10"/>
      <c r="AT21" s="10">
        <v>0.5</v>
      </c>
      <c r="AX21" s="10"/>
      <c r="AY21" s="10">
        <v>0.5</v>
      </c>
      <c r="AZ21" s="10"/>
      <c r="BA21" s="10">
        <v>0.5</v>
      </c>
      <c r="BE21" s="10"/>
      <c r="BF21" s="10">
        <v>0.5</v>
      </c>
      <c r="BG21" s="10"/>
      <c r="BH21" s="10">
        <v>0.5</v>
      </c>
      <c r="BL21" s="10"/>
      <c r="BM21" s="10">
        <v>0.8</v>
      </c>
      <c r="BN21" s="10"/>
      <c r="BO21" s="10">
        <v>0.8</v>
      </c>
      <c r="BS21" s="10"/>
      <c r="BT21" s="10">
        <v>0.8</v>
      </c>
      <c r="BU21" s="10"/>
      <c r="BV21" s="10">
        <v>0.8</v>
      </c>
      <c r="BZ21" s="10"/>
      <c r="CA21" s="10">
        <v>0.8</v>
      </c>
      <c r="CB21" s="10"/>
      <c r="CC21" s="10">
        <v>0.8</v>
      </c>
      <c r="CG21" s="10"/>
      <c r="CH21" s="10">
        <v>0.8</v>
      </c>
      <c r="CI21" s="10"/>
      <c r="CJ21" s="10">
        <v>0.8</v>
      </c>
      <c r="CN21" s="10"/>
      <c r="CO21" s="10">
        <v>1</v>
      </c>
      <c r="CP21" s="10"/>
      <c r="CQ21" s="10">
        <v>1</v>
      </c>
      <c r="CU21" s="10"/>
      <c r="CV21" s="10">
        <v>1</v>
      </c>
      <c r="CW21" s="10"/>
      <c r="CX21" s="10">
        <v>1</v>
      </c>
      <c r="CY21" t="s">
        <v>118</v>
      </c>
      <c r="DB21" s="10"/>
      <c r="DC21" s="10"/>
      <c r="DD21" s="10"/>
      <c r="DE21" s="10"/>
      <c r="DI21" s="10"/>
      <c r="DJ21" s="10"/>
      <c r="DK21" s="10"/>
      <c r="DL21" s="10"/>
      <c r="DP21" s="10"/>
      <c r="DQ21" s="10"/>
      <c r="DR21" s="10"/>
      <c r="DS21" s="10"/>
      <c r="DW21" s="10"/>
      <c r="DX21" s="10"/>
      <c r="DY21" s="10"/>
      <c r="DZ21" s="10"/>
    </row>
    <row r="22" spans="2:130" outlineLevel="1">
      <c r="B22" t="s">
        <v>28</v>
      </c>
      <c r="C22" t="s">
        <v>38</v>
      </c>
      <c r="E22" s="9"/>
      <c r="F22" t="s">
        <v>119</v>
      </c>
      <c r="G22" s="10">
        <v>0.32</v>
      </c>
      <c r="I22" s="9">
        <f>+SUMIF($N$3:$ZS$3,I$3,$N22:$ZS22)</f>
        <v>0</v>
      </c>
      <c r="J22" s="11" cm="1">
        <f t="array" ref="J22">MAX(IF($N$3:$EA$3=$J$3,N22:EA22))</f>
        <v>0</v>
      </c>
      <c r="K22" s="11" cm="1">
        <f t="array" ref="K22">MAX(IF($N$3:$EA$3=$J$3,N22:EA22))</f>
        <v>0</v>
      </c>
      <c r="L22" s="9"/>
      <c r="O22" s="10"/>
      <c r="P22" s="10"/>
      <c r="Q22" s="10"/>
      <c r="R22" s="10"/>
      <c r="V22" s="10"/>
      <c r="W22" s="10"/>
      <c r="X22" s="10"/>
      <c r="Y22" s="10"/>
      <c r="AC22" s="10"/>
      <c r="AD22" s="10"/>
      <c r="AE22" s="10"/>
      <c r="AF22" s="10"/>
      <c r="AJ22" s="10"/>
      <c r="AK22" s="10">
        <v>0.5</v>
      </c>
      <c r="AL22" s="10"/>
      <c r="AM22" s="10">
        <v>0.5</v>
      </c>
      <c r="AQ22" s="10"/>
      <c r="AR22" s="10">
        <v>0.5</v>
      </c>
      <c r="AS22" s="10"/>
      <c r="AT22" s="10">
        <v>0.5</v>
      </c>
      <c r="AX22" s="10"/>
      <c r="AY22" s="10">
        <v>0.5</v>
      </c>
      <c r="AZ22" s="10"/>
      <c r="BA22" s="10">
        <v>0.5</v>
      </c>
      <c r="BE22" s="10"/>
      <c r="BF22" s="10">
        <v>0.5</v>
      </c>
      <c r="BG22" s="10"/>
      <c r="BH22" s="10">
        <v>0.5</v>
      </c>
      <c r="BL22" s="10"/>
      <c r="BM22" s="10">
        <v>0.5</v>
      </c>
      <c r="BN22" s="10"/>
      <c r="BO22" s="10">
        <v>0.5</v>
      </c>
      <c r="BS22" s="10"/>
      <c r="BT22" s="10">
        <v>0.8</v>
      </c>
      <c r="BU22" s="10"/>
      <c r="BV22" s="10">
        <v>0.8</v>
      </c>
      <c r="BZ22" s="10"/>
      <c r="CA22" s="10">
        <v>0.8</v>
      </c>
      <c r="CB22" s="10"/>
      <c r="CC22" s="10">
        <v>0.8</v>
      </c>
      <c r="CG22" s="10"/>
      <c r="CH22" s="10">
        <v>0.8</v>
      </c>
      <c r="CI22" s="10"/>
      <c r="CJ22" s="10">
        <v>0.8</v>
      </c>
      <c r="CN22" s="10"/>
      <c r="CO22" s="10">
        <v>0.8</v>
      </c>
      <c r="CP22" s="10"/>
      <c r="CQ22" s="10">
        <v>0.8</v>
      </c>
      <c r="CU22" s="10"/>
      <c r="CV22" s="10">
        <v>1</v>
      </c>
      <c r="CW22" s="10"/>
      <c r="CX22" s="10">
        <v>1</v>
      </c>
      <c r="CY22" t="s">
        <v>118</v>
      </c>
      <c r="DB22" s="10"/>
      <c r="DC22" s="10"/>
      <c r="DD22" s="10"/>
      <c r="DE22" s="10"/>
      <c r="DI22" s="10"/>
      <c r="DJ22" s="10"/>
      <c r="DK22" s="10"/>
      <c r="DL22" s="10"/>
      <c r="DP22" s="10"/>
      <c r="DQ22" s="10"/>
      <c r="DR22" s="10"/>
      <c r="DS22" s="10"/>
      <c r="DW22" s="10"/>
      <c r="DX22" s="10"/>
      <c r="DY22" s="10"/>
      <c r="DZ22" s="10"/>
    </row>
    <row r="23" spans="2:130">
      <c r="BL23" s="10"/>
      <c r="BM23" s="10"/>
      <c r="BN23" s="10"/>
      <c r="BO23" s="10"/>
    </row>
    <row r="24" spans="2:130">
      <c r="B24" t="s">
        <v>27</v>
      </c>
      <c r="C24" t="s">
        <v>88</v>
      </c>
      <c r="D24" s="19">
        <v>44963</v>
      </c>
      <c r="E24" s="9">
        <v>3</v>
      </c>
      <c r="G24" s="10">
        <f>+SUM(G25:G30)</f>
        <v>1</v>
      </c>
      <c r="I24" s="12">
        <f>+SUM(I25:I30)</f>
        <v>0</v>
      </c>
      <c r="J24" s="11">
        <f>+SUMPRODUCT(G25:G30,J25:J30)</f>
        <v>0</v>
      </c>
      <c r="K24" s="11">
        <f>+SUMPRODUCT(G25:G30,K25:K30)</f>
        <v>0</v>
      </c>
      <c r="L24" s="9"/>
      <c r="N24" s="12">
        <f>+SUM(N25:N30)</f>
        <v>0</v>
      </c>
      <c r="U24" s="12">
        <f>+SUM(U25:U30)</f>
        <v>0</v>
      </c>
      <c r="AB24" s="12">
        <f>+SUM(AB25:AB30)</f>
        <v>0</v>
      </c>
      <c r="AI24" s="12">
        <f>+SUM(AI25:AI30)</f>
        <v>0</v>
      </c>
      <c r="AP24" s="12">
        <f>+SUM(AP25:AP30)</f>
        <v>0</v>
      </c>
      <c r="BL24" s="10"/>
      <c r="BM24" s="10"/>
      <c r="BN24" s="10"/>
      <c r="BO24" s="10"/>
      <c r="BV24" s="10"/>
    </row>
    <row r="25" spans="2:130" outlineLevel="1">
      <c r="B25" t="s">
        <v>28</v>
      </c>
      <c r="C25" t="s">
        <v>88</v>
      </c>
      <c r="E25" s="9"/>
      <c r="F25" t="s">
        <v>97</v>
      </c>
      <c r="G25" s="10">
        <v>0.1</v>
      </c>
      <c r="I25" s="9">
        <f t="shared" ref="I25:I30" si="0">+SUMIF($N$3:$ZS$3,I$3,$N25:$ZS25)</f>
        <v>0</v>
      </c>
      <c r="J25" s="11" cm="1">
        <f t="array" ref="J25">MAX(IF($N$3:$EA$3=$J$3,N25:EA25))</f>
        <v>0</v>
      </c>
      <c r="K25" s="11" cm="1">
        <f t="array" ref="K25">MAX(IF($N$3:$EA$3=$J$3,N25:EA25))</f>
        <v>0</v>
      </c>
      <c r="L25" s="9"/>
      <c r="O25" s="10"/>
      <c r="P25" s="10">
        <v>0.5</v>
      </c>
      <c r="Q25" s="10"/>
      <c r="R25" s="10">
        <v>0.5</v>
      </c>
      <c r="V25" s="10"/>
      <c r="W25" s="10">
        <v>0.5</v>
      </c>
      <c r="X25" s="10"/>
      <c r="Y25" s="10">
        <v>0.5</v>
      </c>
      <c r="AC25" s="10"/>
      <c r="AD25" s="10">
        <v>0.5</v>
      </c>
      <c r="AE25" s="10"/>
      <c r="AF25" s="10">
        <v>0.5</v>
      </c>
      <c r="AJ25" s="10"/>
      <c r="AK25" s="10">
        <v>0.5</v>
      </c>
      <c r="AL25" s="10"/>
      <c r="AM25" s="10">
        <v>0.5</v>
      </c>
      <c r="AQ25" s="10"/>
      <c r="AR25" s="10">
        <v>0.8</v>
      </c>
      <c r="AS25" s="10"/>
      <c r="AT25" s="10">
        <v>0.8</v>
      </c>
      <c r="AX25" s="10"/>
      <c r="AY25" s="10">
        <v>0.8</v>
      </c>
      <c r="AZ25" s="10"/>
      <c r="BA25" s="10">
        <v>0.8</v>
      </c>
      <c r="BE25" s="10"/>
      <c r="BF25" s="10">
        <v>0.8</v>
      </c>
      <c r="BG25" s="10"/>
      <c r="BH25" s="10">
        <v>0.8</v>
      </c>
      <c r="BL25" s="10"/>
      <c r="BM25" s="10">
        <v>0.8</v>
      </c>
      <c r="BN25" s="10"/>
      <c r="BO25" s="10">
        <v>0.8</v>
      </c>
      <c r="BS25" s="10"/>
      <c r="BT25" s="10">
        <v>1</v>
      </c>
      <c r="BU25" s="10"/>
      <c r="BV25" s="10">
        <v>1</v>
      </c>
      <c r="BZ25" s="10"/>
      <c r="CA25" s="10">
        <v>1</v>
      </c>
      <c r="CB25" s="10"/>
      <c r="CC25" s="10">
        <v>1</v>
      </c>
      <c r="CG25" s="10"/>
      <c r="CH25" s="10">
        <v>1</v>
      </c>
      <c r="CI25" s="10"/>
      <c r="CJ25" s="10">
        <v>1</v>
      </c>
      <c r="CN25" s="10"/>
      <c r="CO25" s="10">
        <v>1</v>
      </c>
      <c r="CP25" s="10"/>
      <c r="CQ25" s="10">
        <v>1</v>
      </c>
      <c r="CU25" s="10"/>
      <c r="CV25" s="10">
        <v>1</v>
      </c>
      <c r="CW25" s="10"/>
      <c r="CX25" s="10">
        <v>1</v>
      </c>
      <c r="CY25" t="s">
        <v>118</v>
      </c>
      <c r="DB25" s="10"/>
      <c r="DC25" s="10"/>
      <c r="DD25" s="10"/>
      <c r="DE25" s="10"/>
      <c r="DI25" s="10"/>
      <c r="DJ25" s="10"/>
      <c r="DK25" s="10"/>
      <c r="DL25" s="10"/>
      <c r="DP25" s="10"/>
      <c r="DQ25" s="10"/>
      <c r="DR25" s="10"/>
      <c r="DS25" s="10"/>
      <c r="DW25" s="10"/>
      <c r="DX25" s="10"/>
      <c r="DY25" s="10"/>
      <c r="DZ25" s="10"/>
    </row>
    <row r="26" spans="2:130" outlineLevel="1">
      <c r="B26" t="s">
        <v>28</v>
      </c>
      <c r="C26" t="s">
        <v>88</v>
      </c>
      <c r="E26" s="9"/>
      <c r="F26" t="s">
        <v>98</v>
      </c>
      <c r="G26" s="10">
        <v>0.2</v>
      </c>
      <c r="I26" s="9">
        <f t="shared" si="0"/>
        <v>0</v>
      </c>
      <c r="J26" s="11" cm="1">
        <f t="array" ref="J26">MAX(IF($N$3:$EA$3=$J$3,N26:EA26))</f>
        <v>0</v>
      </c>
      <c r="K26" s="11" cm="1">
        <f t="array" ref="K26">MAX(IF($N$3:$EA$3=$J$3,N26:EA26))</f>
        <v>0</v>
      </c>
      <c r="L26" s="9"/>
      <c r="O26" s="10"/>
      <c r="P26" s="10"/>
      <c r="Q26" s="10"/>
      <c r="R26" s="10"/>
      <c r="V26" s="10"/>
      <c r="W26" s="10">
        <v>0.5</v>
      </c>
      <c r="X26" s="10"/>
      <c r="Y26" s="10">
        <v>0.5</v>
      </c>
      <c r="AC26" s="10"/>
      <c r="AD26" s="10">
        <v>0.5</v>
      </c>
      <c r="AE26" s="10"/>
      <c r="AF26" s="10">
        <v>0.5</v>
      </c>
      <c r="AJ26" s="10"/>
      <c r="AK26" s="10">
        <v>0.5</v>
      </c>
      <c r="AL26" s="10"/>
      <c r="AM26" s="10">
        <v>0.5</v>
      </c>
      <c r="AQ26" s="10"/>
      <c r="AR26" s="10">
        <v>0.8</v>
      </c>
      <c r="AS26" s="10"/>
      <c r="AT26" s="10">
        <v>0.8</v>
      </c>
      <c r="AX26" s="10"/>
      <c r="AY26" s="10">
        <v>0.8</v>
      </c>
      <c r="AZ26" s="10"/>
      <c r="BA26" s="10">
        <v>0.8</v>
      </c>
      <c r="BE26" s="10"/>
      <c r="BF26" s="10">
        <v>0.8</v>
      </c>
      <c r="BG26" s="10"/>
      <c r="BH26" s="10">
        <v>0.8</v>
      </c>
      <c r="BL26" s="10"/>
      <c r="BM26" s="10">
        <v>0.8</v>
      </c>
      <c r="BN26" s="10"/>
      <c r="BO26" s="10">
        <v>0.8</v>
      </c>
      <c r="BS26" s="10"/>
      <c r="BT26" s="10">
        <v>0.8</v>
      </c>
      <c r="BU26" s="10"/>
      <c r="BV26" s="10">
        <v>0.8</v>
      </c>
      <c r="BZ26" s="10"/>
      <c r="CA26" s="10">
        <v>1</v>
      </c>
      <c r="CB26" s="10"/>
      <c r="CC26" s="10">
        <v>1</v>
      </c>
      <c r="CG26" s="10"/>
      <c r="CH26" s="10">
        <v>1</v>
      </c>
      <c r="CI26" s="10"/>
      <c r="CJ26" s="10">
        <v>1</v>
      </c>
      <c r="CN26" s="10"/>
      <c r="CO26" s="10">
        <v>1</v>
      </c>
      <c r="CP26" s="10"/>
      <c r="CQ26" s="10">
        <v>1</v>
      </c>
      <c r="CU26" s="10"/>
      <c r="CV26" s="10">
        <v>1</v>
      </c>
      <c r="CW26" s="10"/>
      <c r="CX26" s="10">
        <v>1</v>
      </c>
      <c r="CY26" t="s">
        <v>118</v>
      </c>
      <c r="DB26" s="10"/>
      <c r="DC26" s="10"/>
      <c r="DD26" s="10"/>
      <c r="DE26" s="10"/>
      <c r="DI26" s="10"/>
      <c r="DJ26" s="10"/>
      <c r="DK26" s="10"/>
      <c r="DL26" s="10"/>
      <c r="DP26" s="10"/>
      <c r="DQ26" s="10"/>
      <c r="DR26" s="10"/>
      <c r="DS26" s="10"/>
      <c r="DW26" s="10"/>
      <c r="DX26" s="10"/>
      <c r="DY26" s="10"/>
      <c r="DZ26" s="10"/>
    </row>
    <row r="27" spans="2:130" outlineLevel="1">
      <c r="B27" t="s">
        <v>28</v>
      </c>
      <c r="C27" t="s">
        <v>88</v>
      </c>
      <c r="E27" s="9"/>
      <c r="F27" t="s">
        <v>120</v>
      </c>
      <c r="G27" s="10">
        <v>0.05</v>
      </c>
      <c r="I27" s="9">
        <f t="shared" si="0"/>
        <v>0</v>
      </c>
      <c r="J27" s="11" cm="1">
        <f t="array" ref="J27">MAX(IF($N$3:$EA$3=$J$3,N27:EA27))</f>
        <v>0</v>
      </c>
      <c r="K27" s="11" cm="1">
        <f t="array" ref="K27">MAX(IF($N$3:$EA$3=$J$3,N27:EA27))</f>
        <v>0</v>
      </c>
      <c r="L27" s="9"/>
      <c r="O27" s="10"/>
      <c r="P27" s="10"/>
      <c r="Q27" s="10"/>
      <c r="R27" s="10"/>
      <c r="V27" s="10"/>
      <c r="W27" s="10"/>
      <c r="X27" s="10"/>
      <c r="Y27" s="10"/>
      <c r="AC27" s="10"/>
      <c r="AD27" s="10">
        <v>0.5</v>
      </c>
      <c r="AE27" s="10"/>
      <c r="AF27" s="10">
        <v>0.5</v>
      </c>
      <c r="AJ27" s="10"/>
      <c r="AK27" s="10">
        <v>0.5</v>
      </c>
      <c r="AL27" s="10"/>
      <c r="AM27" s="10">
        <v>0.5</v>
      </c>
      <c r="AQ27" s="10"/>
      <c r="AR27" s="10">
        <v>0.5</v>
      </c>
      <c r="AS27" s="10"/>
      <c r="AT27" s="10">
        <v>0.5</v>
      </c>
      <c r="AX27" s="10"/>
      <c r="AY27" s="10">
        <v>0.8</v>
      </c>
      <c r="AZ27" s="10"/>
      <c r="BA27" s="10">
        <v>0.8</v>
      </c>
      <c r="BE27" s="10"/>
      <c r="BF27" s="10">
        <v>0.8</v>
      </c>
      <c r="BG27" s="10"/>
      <c r="BH27" s="10">
        <v>0.8</v>
      </c>
      <c r="BM27" s="10">
        <v>0.8</v>
      </c>
      <c r="BO27" s="10">
        <v>0.8</v>
      </c>
      <c r="BS27" s="10"/>
      <c r="BT27" s="10">
        <v>0.8</v>
      </c>
      <c r="BU27" s="10"/>
      <c r="BV27" s="10">
        <v>0.8</v>
      </c>
      <c r="BZ27" s="10"/>
      <c r="CA27" s="10">
        <v>0.8</v>
      </c>
      <c r="CB27" s="10"/>
      <c r="CC27" s="10">
        <v>0.8</v>
      </c>
      <c r="CG27" s="10"/>
      <c r="CH27" s="10">
        <v>1</v>
      </c>
      <c r="CI27" s="10"/>
      <c r="CJ27" s="10">
        <v>1</v>
      </c>
      <c r="CN27" s="10"/>
      <c r="CO27" s="10">
        <v>1</v>
      </c>
      <c r="CP27" s="10"/>
      <c r="CQ27" s="10">
        <v>1</v>
      </c>
      <c r="CU27" s="10"/>
      <c r="CV27" s="10">
        <v>1</v>
      </c>
      <c r="CW27" s="10"/>
      <c r="CX27" s="10">
        <v>1</v>
      </c>
      <c r="CY27" t="s">
        <v>118</v>
      </c>
      <c r="DB27" s="10"/>
      <c r="DC27" s="10"/>
      <c r="DD27" s="10"/>
      <c r="DE27" s="10"/>
      <c r="DI27" s="10"/>
      <c r="DJ27" s="10"/>
      <c r="DK27" s="10"/>
      <c r="DL27" s="10"/>
      <c r="DP27" s="10"/>
      <c r="DQ27" s="10"/>
      <c r="DR27" s="10"/>
      <c r="DS27" s="10"/>
      <c r="DW27" s="10"/>
      <c r="DX27" s="10"/>
      <c r="DY27" s="10"/>
      <c r="DZ27" s="10"/>
    </row>
    <row r="28" spans="2:130" outlineLevel="1">
      <c r="B28" t="s">
        <v>28</v>
      </c>
      <c r="C28" t="s">
        <v>88</v>
      </c>
      <c r="E28" s="9"/>
      <c r="F28" t="s">
        <v>121</v>
      </c>
      <c r="G28" s="10">
        <v>0.2</v>
      </c>
      <c r="I28" s="9">
        <f t="shared" si="0"/>
        <v>0</v>
      </c>
      <c r="J28" s="11" cm="1">
        <f t="array" ref="J28">MAX(IF($N$3:$EA$3=$J$3,N28:EA28))</f>
        <v>0</v>
      </c>
      <c r="K28" s="11" cm="1">
        <f t="array" ref="K28">MAX(IF($N$3:$EA$3=$J$3,N28:EA28))</f>
        <v>0</v>
      </c>
      <c r="L28" s="9"/>
      <c r="O28" s="10"/>
      <c r="P28" s="10"/>
      <c r="Q28" s="10"/>
      <c r="R28" s="10"/>
      <c r="V28" s="10"/>
      <c r="W28" s="10"/>
      <c r="X28" s="10"/>
      <c r="Y28" s="10"/>
      <c r="AC28" s="10"/>
      <c r="AD28" s="10"/>
      <c r="AE28" s="10"/>
      <c r="AJ28" s="10"/>
      <c r="AK28" s="10">
        <v>0.5</v>
      </c>
      <c r="AL28" s="10"/>
      <c r="AM28" s="10">
        <v>0.5</v>
      </c>
      <c r="AQ28" s="10"/>
      <c r="AR28" s="10">
        <v>0.5</v>
      </c>
      <c r="AS28" s="10"/>
      <c r="AT28" s="10">
        <v>0.5</v>
      </c>
      <c r="AX28" s="10"/>
      <c r="AY28" s="10">
        <v>0.5</v>
      </c>
      <c r="AZ28" s="10"/>
      <c r="BA28" s="10">
        <v>0.5</v>
      </c>
      <c r="BE28" s="10"/>
      <c r="BF28" s="10">
        <v>0.8</v>
      </c>
      <c r="BG28" s="10"/>
      <c r="BH28" s="10">
        <v>0.8</v>
      </c>
      <c r="BM28" s="10">
        <v>0.8</v>
      </c>
      <c r="BO28" s="10">
        <v>0.8</v>
      </c>
      <c r="BS28" s="10"/>
      <c r="BT28" s="10">
        <v>0.8</v>
      </c>
      <c r="BU28" s="10"/>
      <c r="BV28" s="10">
        <v>0.8</v>
      </c>
      <c r="BZ28" s="10"/>
      <c r="CA28" s="10">
        <v>0.8</v>
      </c>
      <c r="CB28" s="10"/>
      <c r="CC28" s="10">
        <v>0.8</v>
      </c>
      <c r="CG28" s="10"/>
      <c r="CH28" s="10">
        <v>0.8</v>
      </c>
      <c r="CI28" s="10"/>
      <c r="CJ28" s="10">
        <v>0.8</v>
      </c>
      <c r="CN28" s="10"/>
      <c r="CO28" s="10">
        <v>1</v>
      </c>
      <c r="CP28" s="10"/>
      <c r="CQ28" s="10">
        <v>1</v>
      </c>
      <c r="CU28" s="10"/>
      <c r="CV28" s="10">
        <v>1</v>
      </c>
      <c r="CW28" s="10"/>
      <c r="CX28" s="10">
        <v>1</v>
      </c>
      <c r="CY28" t="s">
        <v>118</v>
      </c>
      <c r="DB28" s="10"/>
      <c r="DC28" s="10"/>
      <c r="DD28" s="10"/>
      <c r="DE28" s="10"/>
      <c r="DI28" s="10"/>
      <c r="DJ28" s="10"/>
      <c r="DK28" s="10"/>
      <c r="DL28" s="10"/>
      <c r="DP28" s="10"/>
      <c r="DQ28" s="10"/>
      <c r="DR28" s="10"/>
      <c r="DS28" s="10"/>
      <c r="DW28" s="10"/>
      <c r="DX28" s="10"/>
      <c r="DY28" s="10"/>
      <c r="DZ28" s="10"/>
    </row>
    <row r="29" spans="2:130" outlineLevel="1">
      <c r="B29" t="s">
        <v>28</v>
      </c>
      <c r="C29" t="s">
        <v>88</v>
      </c>
      <c r="E29" s="9"/>
      <c r="F29" t="s">
        <v>122</v>
      </c>
      <c r="G29" s="10">
        <v>0.35</v>
      </c>
      <c r="I29" s="9">
        <f t="shared" si="0"/>
        <v>0</v>
      </c>
      <c r="J29" s="11" cm="1">
        <f t="array" ref="J29">MAX(IF($N$3:$EA$3=$J$3,N29:EA29))</f>
        <v>0</v>
      </c>
      <c r="K29" s="11" cm="1">
        <f t="array" ref="K29">MAX(IF($N$3:$EA$3=$J$3,N29:EA29))</f>
        <v>0</v>
      </c>
      <c r="L29" s="9"/>
      <c r="O29" s="10"/>
      <c r="P29" s="10"/>
      <c r="Q29" s="10"/>
      <c r="R29" s="10"/>
      <c r="V29" s="10"/>
      <c r="W29" s="10"/>
      <c r="X29" s="10"/>
      <c r="Y29" s="10"/>
      <c r="AC29" s="10"/>
      <c r="AD29" s="10"/>
      <c r="AE29" s="10"/>
      <c r="AF29" s="10"/>
      <c r="AJ29" s="10"/>
      <c r="AK29" s="10">
        <v>0.5</v>
      </c>
      <c r="AL29" s="10"/>
      <c r="AM29" s="10">
        <v>0.5</v>
      </c>
      <c r="AQ29" s="10"/>
      <c r="AR29" s="10">
        <v>0.5</v>
      </c>
      <c r="AS29" s="10"/>
      <c r="AT29" s="10">
        <v>0.5</v>
      </c>
      <c r="AX29" s="10"/>
      <c r="AY29" s="10">
        <v>0.5</v>
      </c>
      <c r="AZ29" s="10"/>
      <c r="BA29" s="10">
        <v>0.5</v>
      </c>
      <c r="BE29" s="10"/>
      <c r="BF29" s="10">
        <v>0.5</v>
      </c>
      <c r="BG29" s="10"/>
      <c r="BH29" s="10">
        <v>0.5</v>
      </c>
      <c r="BM29" s="10">
        <v>0.8</v>
      </c>
      <c r="BO29" s="10">
        <v>0.8</v>
      </c>
      <c r="BS29" s="10"/>
      <c r="BT29" s="10">
        <v>0.8</v>
      </c>
      <c r="BU29" s="10"/>
      <c r="BV29" s="10">
        <v>0.8</v>
      </c>
      <c r="BZ29" s="10"/>
      <c r="CA29" s="10">
        <v>0.8</v>
      </c>
      <c r="CB29" s="10"/>
      <c r="CC29" s="10">
        <v>0.8</v>
      </c>
      <c r="CG29" s="10"/>
      <c r="CH29" s="10">
        <v>0.8</v>
      </c>
      <c r="CI29" s="10"/>
      <c r="CJ29" s="10">
        <v>0.8</v>
      </c>
      <c r="CN29" s="10"/>
      <c r="CO29" s="10">
        <v>0.8</v>
      </c>
      <c r="CP29" s="10"/>
      <c r="CQ29" s="10">
        <v>0.8</v>
      </c>
      <c r="CU29" s="10"/>
      <c r="CV29" s="10">
        <v>1</v>
      </c>
      <c r="CW29" s="10"/>
      <c r="CX29" s="10">
        <v>1</v>
      </c>
      <c r="CY29" t="s">
        <v>118</v>
      </c>
      <c r="DB29" s="10"/>
      <c r="DC29" s="10"/>
      <c r="DD29" s="10"/>
      <c r="DE29" s="10"/>
      <c r="DI29" s="10"/>
      <c r="DJ29" s="10"/>
      <c r="DK29" s="10"/>
      <c r="DL29" s="10"/>
      <c r="DP29" s="10"/>
      <c r="DQ29" s="10"/>
      <c r="DR29" s="10"/>
      <c r="DS29" s="10"/>
      <c r="DW29" s="10"/>
      <c r="DX29" s="10"/>
      <c r="DY29" s="10"/>
      <c r="DZ29" s="10"/>
    </row>
    <row r="30" spans="2:130" outlineLevel="1">
      <c r="B30" t="s">
        <v>28</v>
      </c>
      <c r="C30" t="s">
        <v>88</v>
      </c>
      <c r="E30" s="9"/>
      <c r="F30" t="s">
        <v>123</v>
      </c>
      <c r="G30" s="10">
        <v>0.1</v>
      </c>
      <c r="I30" s="9">
        <f t="shared" si="0"/>
        <v>0</v>
      </c>
      <c r="J30" s="11" cm="1">
        <f t="array" ref="J30">MAX(IF($N$3:$EA$3=$J$3,N30:EA30))</f>
        <v>0</v>
      </c>
      <c r="K30" s="11" cm="1">
        <f t="array" ref="K30">MAX(IF($N$3:$EA$3=$J$3,N30:EA30))</f>
        <v>0</v>
      </c>
      <c r="L30" s="9"/>
      <c r="O30" s="10"/>
      <c r="P30" s="10"/>
      <c r="Q30" s="10"/>
      <c r="R30" s="10"/>
      <c r="V30" s="10"/>
      <c r="W30" s="10"/>
      <c r="X30" s="10"/>
      <c r="Y30" s="10"/>
      <c r="AC30" s="10"/>
      <c r="AD30" s="10"/>
      <c r="AE30" s="10"/>
      <c r="AF30" s="10"/>
      <c r="AJ30" s="10"/>
      <c r="AK30" s="10"/>
      <c r="AL30" s="10"/>
      <c r="AM30" s="10"/>
      <c r="AQ30" s="10"/>
      <c r="AR30" s="10">
        <v>0.5</v>
      </c>
      <c r="AS30" s="10"/>
      <c r="AT30" s="10">
        <v>0.5</v>
      </c>
      <c r="AX30" s="10"/>
      <c r="AY30" s="10">
        <v>0.5</v>
      </c>
      <c r="AZ30" s="10"/>
      <c r="BA30" s="10">
        <v>0.5</v>
      </c>
      <c r="BE30" s="10"/>
      <c r="BF30" s="10">
        <v>0.5</v>
      </c>
      <c r="BG30" s="10"/>
      <c r="BH30" s="10">
        <v>0.5</v>
      </c>
      <c r="BM30" s="10">
        <v>0.5</v>
      </c>
      <c r="BO30" s="10">
        <v>0.5</v>
      </c>
      <c r="BS30" s="10"/>
      <c r="BT30" s="10">
        <v>0.8</v>
      </c>
      <c r="BU30" s="10"/>
      <c r="BV30" s="10">
        <v>0.8</v>
      </c>
      <c r="BZ30" s="10"/>
      <c r="CA30" s="10">
        <v>0.8</v>
      </c>
      <c r="CB30" s="10"/>
      <c r="CC30" s="10">
        <v>0.8</v>
      </c>
      <c r="CG30" s="10"/>
      <c r="CH30" s="10">
        <v>0.8</v>
      </c>
      <c r="CI30" s="10"/>
      <c r="CJ30" s="10">
        <v>0.8</v>
      </c>
      <c r="CN30" s="10"/>
      <c r="CO30" s="10">
        <v>0.8</v>
      </c>
      <c r="CP30" s="10"/>
      <c r="CQ30" s="10">
        <v>0.8</v>
      </c>
      <c r="CU30" s="10"/>
      <c r="CV30" s="10">
        <v>1</v>
      </c>
      <c r="CW30" s="10"/>
      <c r="CX30" s="10">
        <v>1</v>
      </c>
      <c r="CY30" t="s">
        <v>118</v>
      </c>
      <c r="DB30" s="10"/>
      <c r="DC30" s="10"/>
      <c r="DD30" s="10"/>
      <c r="DE30" s="10"/>
      <c r="DI30" s="10"/>
      <c r="DJ30" s="10"/>
      <c r="DK30" s="10"/>
      <c r="DL30" s="10"/>
      <c r="DP30" s="10"/>
      <c r="DQ30" s="10"/>
      <c r="DR30" s="10"/>
      <c r="DS30" s="10"/>
      <c r="DW30" s="10"/>
      <c r="DX30" s="10"/>
      <c r="DY30" s="10"/>
      <c r="DZ30" s="10"/>
    </row>
    <row r="32" spans="2:130">
      <c r="B32" t="s">
        <v>27</v>
      </c>
      <c r="C32" t="s">
        <v>99</v>
      </c>
      <c r="D32" s="19">
        <v>44963</v>
      </c>
      <c r="E32" s="9">
        <v>3</v>
      </c>
      <c r="G32" s="10">
        <f>+SUM(G33:G38)</f>
        <v>1</v>
      </c>
      <c r="I32" s="12">
        <f>+SUM(I33:I38)</f>
        <v>0</v>
      </c>
      <c r="J32" s="11">
        <f>+SUMPRODUCT(G33:G38,J33:J38)</f>
        <v>0</v>
      </c>
      <c r="K32" s="11">
        <f>+SUMPRODUCT(G33:G38,K33:K38)</f>
        <v>0</v>
      </c>
      <c r="L32" s="9"/>
      <c r="N32" s="12">
        <f>+SUM(N33:N38)</f>
        <v>0</v>
      </c>
      <c r="U32" s="12">
        <f>+SUM(U33:U38)</f>
        <v>0</v>
      </c>
      <c r="AB32" s="12">
        <f>+SUM(AB33:AB38)</f>
        <v>0</v>
      </c>
      <c r="AI32" s="12">
        <f>+SUM(AI33:AI38)</f>
        <v>0</v>
      </c>
      <c r="AP32" s="12">
        <f>+SUM(AP33:AP38)</f>
        <v>0</v>
      </c>
    </row>
    <row r="33" spans="2:130" outlineLevel="1">
      <c r="B33" t="s">
        <v>28</v>
      </c>
      <c r="C33" t="s">
        <v>99</v>
      </c>
      <c r="E33" s="9"/>
      <c r="F33" t="s">
        <v>100</v>
      </c>
      <c r="G33" s="10">
        <v>0.1</v>
      </c>
      <c r="I33" s="9">
        <f t="shared" ref="I33:I38" si="1">+SUMIF($N$3:$ZS$3,I$3,$N33:$ZS33)</f>
        <v>0</v>
      </c>
      <c r="J33" s="11" cm="1">
        <f t="array" ref="J33">MAX(IF($N$3:$EA$3=$J$3,N33:EA33))</f>
        <v>0</v>
      </c>
      <c r="K33" s="11" cm="1">
        <f t="array" ref="K33">MAX(IF($N$3:$EA$3=$J$3,N33:EA33))</f>
        <v>0</v>
      </c>
      <c r="L33" s="9"/>
      <c r="O33" s="10"/>
      <c r="P33" s="10">
        <v>0.5</v>
      </c>
      <c r="Q33" s="10"/>
      <c r="R33" s="10">
        <v>0.5</v>
      </c>
      <c r="V33" s="10"/>
      <c r="W33" s="10">
        <v>0.5</v>
      </c>
      <c r="X33" s="10"/>
      <c r="Y33" s="10">
        <v>0.5</v>
      </c>
      <c r="AC33" s="10"/>
      <c r="AD33" s="10">
        <v>0.5</v>
      </c>
      <c r="AE33" s="10"/>
      <c r="AF33" s="10">
        <v>0.5</v>
      </c>
      <c r="AJ33" s="10"/>
      <c r="AK33" s="10">
        <v>0.5</v>
      </c>
      <c r="AL33" s="10"/>
      <c r="AM33" s="10">
        <v>0.5</v>
      </c>
      <c r="AQ33" s="10"/>
      <c r="AR33" s="10">
        <v>0.5</v>
      </c>
      <c r="AS33" s="10"/>
      <c r="AT33" s="10">
        <v>0.5</v>
      </c>
      <c r="AX33" s="10"/>
      <c r="AY33" s="10">
        <v>0.8</v>
      </c>
      <c r="AZ33" s="10"/>
      <c r="BA33" s="10">
        <v>0.8</v>
      </c>
      <c r="BE33" s="10"/>
      <c r="BF33" s="10">
        <v>0.8</v>
      </c>
      <c r="BG33" s="10"/>
      <c r="BH33" s="10">
        <v>0.8</v>
      </c>
      <c r="BM33" s="10">
        <v>0.8</v>
      </c>
      <c r="BO33" s="10">
        <v>0.8</v>
      </c>
      <c r="BS33" s="10"/>
      <c r="BT33" s="10">
        <v>1</v>
      </c>
      <c r="BU33" s="10"/>
      <c r="BV33" s="10">
        <v>1</v>
      </c>
      <c r="BZ33" s="10"/>
      <c r="CA33" s="10">
        <v>1</v>
      </c>
      <c r="CB33" s="10"/>
      <c r="CC33" s="10">
        <v>1</v>
      </c>
      <c r="CG33" s="10"/>
      <c r="CH33" s="10">
        <v>1</v>
      </c>
      <c r="CI33" s="10"/>
      <c r="CJ33" s="10">
        <v>1</v>
      </c>
      <c r="CN33" s="10"/>
      <c r="CO33" s="10">
        <v>1</v>
      </c>
      <c r="CP33" s="10"/>
      <c r="CQ33" s="10">
        <v>1</v>
      </c>
      <c r="CU33" s="10"/>
      <c r="CV33" s="10">
        <v>1</v>
      </c>
      <c r="CW33" s="10"/>
      <c r="CX33" s="10">
        <v>1</v>
      </c>
      <c r="CY33" t="s">
        <v>118</v>
      </c>
      <c r="DB33" s="10"/>
      <c r="DC33" s="10"/>
      <c r="DD33" s="10"/>
      <c r="DE33" s="10"/>
      <c r="DI33" s="10"/>
      <c r="DJ33" s="10"/>
      <c r="DK33" s="10"/>
      <c r="DL33" s="10"/>
      <c r="DP33" s="10"/>
      <c r="DQ33" s="10"/>
      <c r="DR33" s="10"/>
      <c r="DS33" s="10"/>
      <c r="DW33" s="10"/>
      <c r="DX33" s="10"/>
      <c r="DY33" s="10"/>
      <c r="DZ33" s="10"/>
    </row>
    <row r="34" spans="2:130" outlineLevel="1">
      <c r="B34" t="s">
        <v>28</v>
      </c>
      <c r="C34" t="s">
        <v>99</v>
      </c>
      <c r="E34" s="9"/>
      <c r="F34" t="s">
        <v>124</v>
      </c>
      <c r="G34" s="10">
        <v>0.1</v>
      </c>
      <c r="I34" s="9">
        <f t="shared" si="1"/>
        <v>0</v>
      </c>
      <c r="J34" s="11" cm="1">
        <f t="array" ref="J34">MAX(IF($N$3:$EA$3=$J$3,N34:EA34))</f>
        <v>0</v>
      </c>
      <c r="K34" s="11" cm="1">
        <f t="array" ref="K34">MAX(IF($N$3:$EA$3=$J$3,N34:EA34))</f>
        <v>0</v>
      </c>
      <c r="L34" s="9"/>
      <c r="O34" s="10"/>
      <c r="P34" s="10"/>
      <c r="Q34" s="10"/>
      <c r="R34" s="10"/>
      <c r="V34" s="10"/>
      <c r="W34" s="10">
        <v>0.5</v>
      </c>
      <c r="X34" s="10"/>
      <c r="Y34" s="10">
        <v>0.5</v>
      </c>
      <c r="AC34" s="10"/>
      <c r="AD34" s="10">
        <v>0.5</v>
      </c>
      <c r="AE34" s="10"/>
      <c r="AF34" s="10">
        <v>0.5</v>
      </c>
      <c r="AJ34" s="10"/>
      <c r="AK34" s="10">
        <v>0.5</v>
      </c>
      <c r="AL34" s="10"/>
      <c r="AM34" s="10">
        <v>0.5</v>
      </c>
      <c r="AQ34" s="10"/>
      <c r="AR34" s="10">
        <v>0.5</v>
      </c>
      <c r="AS34" s="10"/>
      <c r="AT34" s="10">
        <v>0.5</v>
      </c>
      <c r="AX34" s="10"/>
      <c r="AY34" s="10">
        <v>0.8</v>
      </c>
      <c r="AZ34" s="10"/>
      <c r="BA34" s="10">
        <v>0.8</v>
      </c>
      <c r="BE34" s="10"/>
      <c r="BF34" s="10">
        <v>0.8</v>
      </c>
      <c r="BG34" s="10"/>
      <c r="BH34" s="10">
        <v>0.8</v>
      </c>
      <c r="BM34" s="10">
        <v>0.8</v>
      </c>
      <c r="BO34" s="10">
        <v>0.8</v>
      </c>
      <c r="BS34" s="10"/>
      <c r="BT34" s="10">
        <v>0.8</v>
      </c>
      <c r="BU34" s="10"/>
      <c r="BV34" s="10">
        <v>0.8</v>
      </c>
      <c r="BZ34" s="10"/>
      <c r="CA34" s="10">
        <v>1</v>
      </c>
      <c r="CB34" s="10"/>
      <c r="CC34" s="10">
        <v>1</v>
      </c>
      <c r="CG34" s="10"/>
      <c r="CH34" s="10">
        <v>1</v>
      </c>
      <c r="CI34" s="10"/>
      <c r="CJ34" s="10">
        <v>1</v>
      </c>
      <c r="CN34" s="10"/>
      <c r="CO34" s="10">
        <v>1</v>
      </c>
      <c r="CP34" s="10"/>
      <c r="CQ34" s="10">
        <v>1</v>
      </c>
      <c r="CU34" s="10"/>
      <c r="CV34" s="10">
        <v>1</v>
      </c>
      <c r="CW34" s="10"/>
      <c r="CX34" s="10">
        <v>1</v>
      </c>
      <c r="CY34" t="s">
        <v>118</v>
      </c>
      <c r="DB34" s="10"/>
      <c r="DC34" s="10"/>
      <c r="DD34" s="10"/>
      <c r="DE34" s="10"/>
      <c r="DI34" s="10"/>
      <c r="DJ34" s="10"/>
      <c r="DK34" s="10"/>
      <c r="DL34" s="10"/>
      <c r="DP34" s="10"/>
      <c r="DQ34" s="10"/>
      <c r="DR34" s="10"/>
      <c r="DS34" s="10"/>
      <c r="DW34" s="10"/>
      <c r="DX34" s="10"/>
      <c r="DY34" s="10"/>
      <c r="DZ34" s="10"/>
    </row>
    <row r="35" spans="2:130" outlineLevel="1">
      <c r="B35" t="s">
        <v>28</v>
      </c>
      <c r="C35" t="s">
        <v>99</v>
      </c>
      <c r="E35" s="9"/>
      <c r="F35" t="s">
        <v>125</v>
      </c>
      <c r="G35" s="10">
        <v>0.3</v>
      </c>
      <c r="I35" s="9">
        <f t="shared" si="1"/>
        <v>0</v>
      </c>
      <c r="J35" s="11" cm="1">
        <f t="array" ref="J35">MAX(IF($N$3:$EA$3=$J$3,N35:EA35))</f>
        <v>0</v>
      </c>
      <c r="K35" s="11" cm="1">
        <f t="array" ref="K35">MAX(IF($N$3:$EA$3=$J$3,N35:EA35))</f>
        <v>0</v>
      </c>
      <c r="L35" s="9"/>
      <c r="O35" s="10"/>
      <c r="P35" s="10"/>
      <c r="Q35" s="10"/>
      <c r="R35" s="10"/>
      <c r="V35" s="10"/>
      <c r="W35" s="10"/>
      <c r="X35" s="10"/>
      <c r="Y35" s="10"/>
      <c r="AC35" s="10"/>
      <c r="AD35" s="10">
        <v>0.5</v>
      </c>
      <c r="AE35" s="10"/>
      <c r="AF35" s="10">
        <v>0.5</v>
      </c>
      <c r="AJ35" s="10"/>
      <c r="AK35" s="10">
        <v>0.5</v>
      </c>
      <c r="AL35" s="10"/>
      <c r="AM35" s="10">
        <v>0.5</v>
      </c>
      <c r="AQ35" s="10"/>
      <c r="AR35" s="10">
        <v>0.5</v>
      </c>
      <c r="AS35" s="10"/>
      <c r="AT35" s="10">
        <v>0.5</v>
      </c>
      <c r="AX35" s="10"/>
      <c r="AY35" s="10">
        <v>0.5</v>
      </c>
      <c r="AZ35" s="10"/>
      <c r="BA35" s="10">
        <v>0.5</v>
      </c>
      <c r="BE35" s="10"/>
      <c r="BF35" s="10">
        <v>0.8</v>
      </c>
      <c r="BG35" s="10"/>
      <c r="BH35" s="10">
        <v>0.8</v>
      </c>
      <c r="BM35" s="10">
        <v>0.8</v>
      </c>
      <c r="BO35" s="10">
        <v>0.8</v>
      </c>
      <c r="BS35" s="10"/>
      <c r="BT35" s="10">
        <v>0.8</v>
      </c>
      <c r="BU35" s="10"/>
      <c r="BV35" s="10">
        <v>0.8</v>
      </c>
      <c r="BZ35" s="10"/>
      <c r="CA35" s="10">
        <v>1</v>
      </c>
      <c r="CB35" s="10"/>
      <c r="CC35" s="10">
        <v>1</v>
      </c>
      <c r="CG35" s="10"/>
      <c r="CH35" s="10">
        <v>1</v>
      </c>
      <c r="CI35" s="10"/>
      <c r="CJ35" s="10">
        <v>1</v>
      </c>
      <c r="CN35" s="10"/>
      <c r="CO35" s="10">
        <v>1</v>
      </c>
      <c r="CP35" s="10"/>
      <c r="CQ35" s="10">
        <v>1</v>
      </c>
      <c r="CU35" s="10"/>
      <c r="CV35" s="10">
        <v>1</v>
      </c>
      <c r="CW35" s="10"/>
      <c r="CX35" s="10">
        <v>1</v>
      </c>
      <c r="CY35" t="s">
        <v>118</v>
      </c>
      <c r="DB35" s="10"/>
      <c r="DC35" s="10"/>
      <c r="DD35" s="10"/>
      <c r="DE35" s="10"/>
      <c r="DI35" s="10"/>
      <c r="DJ35" s="10"/>
      <c r="DK35" s="10"/>
      <c r="DL35" s="10"/>
      <c r="DP35" s="10"/>
      <c r="DQ35" s="10"/>
      <c r="DR35" s="10"/>
      <c r="DS35" s="10"/>
      <c r="DW35" s="10"/>
      <c r="DX35" s="10"/>
      <c r="DY35" s="10"/>
      <c r="DZ35" s="10"/>
    </row>
    <row r="36" spans="2:130" outlineLevel="1">
      <c r="B36" t="s">
        <v>28</v>
      </c>
      <c r="C36" t="s">
        <v>99</v>
      </c>
      <c r="E36" s="9"/>
      <c r="F36" t="s">
        <v>126</v>
      </c>
      <c r="G36" s="10">
        <v>0.15</v>
      </c>
      <c r="I36" s="9">
        <f t="shared" si="1"/>
        <v>0</v>
      </c>
      <c r="J36" s="11" cm="1">
        <f t="array" ref="J36">MAX(IF($N$3:$EA$3=$J$3,N36:EA36))</f>
        <v>0</v>
      </c>
      <c r="K36" s="11" cm="1">
        <f t="array" ref="K36">MAX(IF($N$3:$EA$3=$J$3,N36:EA36))</f>
        <v>0</v>
      </c>
      <c r="L36" s="9"/>
      <c r="O36" s="10"/>
      <c r="P36" s="10"/>
      <c r="Q36" s="10"/>
      <c r="R36" s="10"/>
      <c r="V36" s="10"/>
      <c r="W36" s="10"/>
      <c r="X36" s="10"/>
      <c r="Y36" s="10"/>
      <c r="AC36" s="10"/>
      <c r="AD36" s="10">
        <v>0.5</v>
      </c>
      <c r="AE36" s="10"/>
      <c r="AF36" s="10">
        <v>0.5</v>
      </c>
      <c r="AJ36" s="10"/>
      <c r="AK36" s="10">
        <v>0.5</v>
      </c>
      <c r="AL36" s="10"/>
      <c r="AM36" s="10">
        <v>0.5</v>
      </c>
      <c r="AQ36" s="10"/>
      <c r="AR36" s="10">
        <v>0.5</v>
      </c>
      <c r="AS36" s="10"/>
      <c r="AT36" s="10">
        <v>0.5</v>
      </c>
      <c r="AX36" s="10"/>
      <c r="AY36" s="10">
        <v>0.5</v>
      </c>
      <c r="AZ36" s="10"/>
      <c r="BA36" s="10">
        <v>0.5</v>
      </c>
      <c r="BE36" s="10"/>
      <c r="BF36" s="10">
        <v>0.8</v>
      </c>
      <c r="BG36" s="10"/>
      <c r="BH36" s="10">
        <v>0.8</v>
      </c>
      <c r="BM36" s="10">
        <v>0.8</v>
      </c>
      <c r="BO36" s="10">
        <v>0.8</v>
      </c>
      <c r="BS36" s="10"/>
      <c r="BT36" s="10">
        <v>0.8</v>
      </c>
      <c r="BU36" s="10"/>
      <c r="BV36" s="10">
        <v>0.8</v>
      </c>
      <c r="BZ36" s="10"/>
      <c r="CA36" s="10">
        <v>0.8</v>
      </c>
      <c r="CB36" s="10"/>
      <c r="CC36" s="10">
        <v>0.8</v>
      </c>
      <c r="CG36" s="10"/>
      <c r="CH36" s="10">
        <v>1</v>
      </c>
      <c r="CI36" s="10"/>
      <c r="CJ36" s="10">
        <v>1</v>
      </c>
      <c r="CN36" s="10"/>
      <c r="CO36" s="10">
        <v>1</v>
      </c>
      <c r="CP36" s="10"/>
      <c r="CQ36" s="10">
        <v>1</v>
      </c>
      <c r="CU36" s="10"/>
      <c r="CV36" s="10">
        <v>1</v>
      </c>
      <c r="CW36" s="10"/>
      <c r="CX36" s="10">
        <v>1</v>
      </c>
      <c r="CY36" t="s">
        <v>118</v>
      </c>
      <c r="DB36" s="10"/>
      <c r="DC36" s="10"/>
      <c r="DD36" s="10"/>
      <c r="DE36" s="10"/>
      <c r="DI36" s="10"/>
      <c r="DJ36" s="10"/>
      <c r="DK36" s="10"/>
      <c r="DL36" s="10"/>
      <c r="DP36" s="10"/>
      <c r="DQ36" s="10"/>
      <c r="DR36" s="10"/>
      <c r="DS36" s="10"/>
      <c r="DW36" s="10"/>
      <c r="DX36" s="10"/>
      <c r="DY36" s="10"/>
      <c r="DZ36" s="10"/>
    </row>
    <row r="37" spans="2:130" outlineLevel="1">
      <c r="B37" t="s">
        <v>28</v>
      </c>
      <c r="C37" t="s">
        <v>99</v>
      </c>
      <c r="E37" s="9"/>
      <c r="F37" t="s">
        <v>127</v>
      </c>
      <c r="G37" s="10">
        <v>0.25</v>
      </c>
      <c r="I37" s="9">
        <f t="shared" si="1"/>
        <v>0</v>
      </c>
      <c r="J37" s="11" cm="1">
        <f t="array" ref="J37">MAX(IF($N$3:$EA$3=$J$3,N37:EA37))</f>
        <v>0</v>
      </c>
      <c r="K37" s="11" cm="1">
        <f t="array" ref="K37">MAX(IF($N$3:$EA$3=$J$3,N37:EA37))</f>
        <v>0</v>
      </c>
      <c r="L37" s="9"/>
      <c r="O37" s="10"/>
      <c r="P37" s="10"/>
      <c r="Q37" s="10"/>
      <c r="R37" s="10"/>
      <c r="V37" s="10"/>
      <c r="W37" s="10"/>
      <c r="X37" s="10"/>
      <c r="Y37" s="10"/>
      <c r="AC37" s="10"/>
      <c r="AD37" s="10"/>
      <c r="AE37" s="10"/>
      <c r="AF37" s="10"/>
      <c r="AJ37" s="10"/>
      <c r="AK37" s="10">
        <v>0.5</v>
      </c>
      <c r="AL37" s="10"/>
      <c r="AM37" s="10">
        <v>0.5</v>
      </c>
      <c r="AQ37" s="10"/>
      <c r="AR37" s="10">
        <v>0.5</v>
      </c>
      <c r="AS37" s="10"/>
      <c r="AT37" s="10">
        <v>0.5</v>
      </c>
      <c r="AX37" s="10"/>
      <c r="AY37" s="10">
        <v>0.5</v>
      </c>
      <c r="AZ37" s="10"/>
      <c r="BA37" s="10">
        <v>0.5</v>
      </c>
      <c r="BE37" s="10"/>
      <c r="BF37" s="10">
        <v>0.5</v>
      </c>
      <c r="BG37" s="10"/>
      <c r="BH37" s="10">
        <v>0.5</v>
      </c>
      <c r="BM37" s="10">
        <v>0.8</v>
      </c>
      <c r="BO37" s="10">
        <v>0.8</v>
      </c>
      <c r="BS37" s="10"/>
      <c r="BT37" s="10">
        <v>0.8</v>
      </c>
      <c r="BU37" s="10"/>
      <c r="BV37" s="10">
        <v>0.8</v>
      </c>
      <c r="BZ37" s="10"/>
      <c r="CA37" s="10">
        <v>0.8</v>
      </c>
      <c r="CB37" s="10"/>
      <c r="CC37" s="10">
        <v>0.8</v>
      </c>
      <c r="CG37" s="10"/>
      <c r="CH37" s="10">
        <v>0.8</v>
      </c>
      <c r="CI37" s="10"/>
      <c r="CJ37" s="10">
        <v>0.8</v>
      </c>
      <c r="CN37" s="10"/>
      <c r="CO37" s="10">
        <v>1</v>
      </c>
      <c r="CP37" s="10"/>
      <c r="CQ37" s="10">
        <v>1</v>
      </c>
      <c r="CU37" s="10"/>
      <c r="CV37" s="10">
        <v>1</v>
      </c>
      <c r="CW37" s="10"/>
      <c r="CX37" s="10">
        <v>1</v>
      </c>
      <c r="CY37" t="s">
        <v>118</v>
      </c>
      <c r="DB37" s="10"/>
      <c r="DC37" s="10"/>
      <c r="DD37" s="10"/>
      <c r="DE37" s="10"/>
      <c r="DI37" s="10"/>
      <c r="DJ37" s="10"/>
      <c r="DK37" s="10"/>
      <c r="DL37" s="10"/>
      <c r="DP37" s="10"/>
      <c r="DQ37" s="10"/>
      <c r="DR37" s="10"/>
      <c r="DS37" s="10"/>
      <c r="DW37" s="10"/>
      <c r="DX37" s="10"/>
      <c r="DY37" s="10"/>
      <c r="DZ37" s="10"/>
    </row>
    <row r="38" spans="2:130" outlineLevel="1">
      <c r="B38" t="s">
        <v>28</v>
      </c>
      <c r="C38" t="s">
        <v>99</v>
      </c>
      <c r="E38" s="9"/>
      <c r="F38" t="s">
        <v>128</v>
      </c>
      <c r="G38" s="10">
        <v>0.1</v>
      </c>
      <c r="I38" s="9">
        <f t="shared" si="1"/>
        <v>0</v>
      </c>
      <c r="J38" s="11" cm="1">
        <f t="array" ref="J38">MAX(IF($N$3:$EA$3=$J$3,N38:EA38))</f>
        <v>0</v>
      </c>
      <c r="K38" s="11" cm="1">
        <f t="array" ref="K38">MAX(IF($N$3:$EA$3=$J$3,N38:EA38))</f>
        <v>0</v>
      </c>
      <c r="L38" s="9"/>
      <c r="O38" s="10"/>
      <c r="P38" s="10"/>
      <c r="Q38" s="10"/>
      <c r="R38" s="10"/>
      <c r="V38" s="10"/>
      <c r="W38" s="10"/>
      <c r="X38" s="10"/>
      <c r="Y38" s="10"/>
      <c r="AC38" s="10"/>
      <c r="AD38" s="10"/>
      <c r="AE38" s="10"/>
      <c r="AF38" s="10"/>
      <c r="AJ38" s="10"/>
      <c r="AK38" s="10"/>
      <c r="AL38" s="10"/>
      <c r="AM38" s="10"/>
      <c r="AQ38" s="10"/>
      <c r="AR38" s="10">
        <v>0.5</v>
      </c>
      <c r="AS38" s="10"/>
      <c r="AT38" s="10">
        <v>0.5</v>
      </c>
      <c r="AX38" s="10"/>
      <c r="AY38" s="10">
        <v>0.5</v>
      </c>
      <c r="AZ38" s="10"/>
      <c r="BA38" s="10">
        <v>0.5</v>
      </c>
      <c r="BE38" s="10"/>
      <c r="BF38" s="10">
        <v>0.5</v>
      </c>
      <c r="BG38" s="10"/>
      <c r="BH38" s="10">
        <v>0.5</v>
      </c>
      <c r="BM38" s="10">
        <v>0.5</v>
      </c>
      <c r="BO38" s="10">
        <v>0.5</v>
      </c>
      <c r="BS38" s="10"/>
      <c r="BT38" s="10">
        <v>0.8</v>
      </c>
      <c r="BU38" s="10"/>
      <c r="BV38" s="10">
        <v>0.8</v>
      </c>
      <c r="BZ38" s="10"/>
      <c r="CA38" s="10">
        <v>0.8</v>
      </c>
      <c r="CB38" s="10"/>
      <c r="CC38" s="10">
        <v>0.8</v>
      </c>
      <c r="CG38" s="10"/>
      <c r="CH38" s="10">
        <v>0.8</v>
      </c>
      <c r="CI38" s="10"/>
      <c r="CJ38" s="10">
        <v>0.8</v>
      </c>
      <c r="CN38" s="10"/>
      <c r="CO38" s="10">
        <v>0.8</v>
      </c>
      <c r="CP38" s="10"/>
      <c r="CQ38" s="10">
        <v>0.8</v>
      </c>
      <c r="CU38" s="10"/>
      <c r="CV38" s="10">
        <v>1</v>
      </c>
      <c r="CW38" s="10"/>
      <c r="CX38" s="10">
        <v>1</v>
      </c>
      <c r="CY38" t="s">
        <v>118</v>
      </c>
      <c r="DB38" s="10"/>
      <c r="DC38" s="10"/>
      <c r="DD38" s="10"/>
      <c r="DE38" s="10"/>
      <c r="DI38" s="10"/>
      <c r="DJ38" s="10"/>
      <c r="DK38" s="10"/>
      <c r="DL38" s="10"/>
      <c r="DP38" s="10"/>
      <c r="DQ38" s="10"/>
      <c r="DR38" s="10"/>
      <c r="DS38" s="10"/>
      <c r="DW38" s="10"/>
      <c r="DX38" s="10"/>
      <c r="DY38" s="10"/>
      <c r="DZ38" s="10"/>
    </row>
    <row r="39" spans="2:130">
      <c r="CV39" s="10"/>
    </row>
  </sheetData>
  <mergeCells count="18">
    <mergeCell ref="DH2:DM2"/>
    <mergeCell ref="DO2:DT2"/>
    <mergeCell ref="DV2:EA2"/>
    <mergeCell ref="I2:L2"/>
    <mergeCell ref="N2:S2"/>
    <mergeCell ref="BD2:BI2"/>
    <mergeCell ref="U2:Z2"/>
    <mergeCell ref="AB2:AG2"/>
    <mergeCell ref="AI2:AN2"/>
    <mergeCell ref="AP2:AU2"/>
    <mergeCell ref="AW2:BB2"/>
    <mergeCell ref="CM2:CR2"/>
    <mergeCell ref="CT2:CY2"/>
    <mergeCell ref="BK2:BP2"/>
    <mergeCell ref="BR2:BW2"/>
    <mergeCell ref="BY2:CD2"/>
    <mergeCell ref="CF2:CK2"/>
    <mergeCell ref="DA2:DF2"/>
  </mergeCells>
  <phoneticPr fontId="5" type="noConversion"/>
  <conditionalFormatting sqref="AJ21:AJ22 AL21:AL22 AX21:AX22 AZ21:AZ22 Q21:Q22 O21:O22 BG21:BG22 X21:X22 V21:V22 AE21:AE22 AC21:AC22 AS21:AS22 AQ21:AQ22 BE21:BE22 BU21:BU22 BS21:BS22 CB21:CB22 BZ21:BZ22 CI21:CI22 CG21:CG22 CP21:CP22 CN21:CN22 CW21:CW22 CU21:CU22 Q33:Q38 O33:O38 X33:X38 V33:V38 AE33:AE38 AC33:AC38 AJ33:AJ38 AL33:AL38 AS33:AS38 AQ33:AQ38 AX33:AX38 AZ33:AZ38 BG33:BG38 BE33:BE38 BN21:BN26 BL21:BL26 BU33:BU38 BS33:BS38 BZ33:BZ38 CG33:CG38 CP33:CP38 CN33:CN38 CW33:CW38 CU33:CU38 AJ27:AJ30 AL27:AL30 AX27:AX30 Q27:Q30 O27:O30 BG27:BG30 X27:X30 V27:V30 AE27:AE30 AC27:AC30 AS27:AS30 AQ27:AQ30 BE27:BE30 BU27:BU30 BS27:BS30 CB27:CB30 BZ27:BZ30 CI27:CI30 CG27:CG30 CP27:CP30 CN27:CN30 CW27:CW30 CU27:CU30 Q12:Q16 O12:O16 AS12:AS16 AQ12:AQ16 BG12:BG16 BE12:BE16 X12:X16 V12:V16 AE12:AE16 AC12:AC16 AL12:AL16 AJ12:AJ16 AZ12:AZ16 AX12:AX16 CW12:CW16 CU12:CU16 Q5:Q9 O5:O9 AS5:AS9 AQ5:AQ9 BG5:BG9 BE5:BE9 X5:X9 V5:V9 AE5:AE9 AC5:AC9 AL5:AL9 AJ5:AJ9 AZ5:AZ9 AX5:AX9 BN5:BN9 BL5:BL9 BU5:BU9 BS5:BS9 BZ5:BZ9 CI5:CI9 CG5:CG9 CP5:CP9 CN5:CN9 CW5:CW9 CU5:CU9 BN12:BN18 BL12:BL18 BU12:BU18 BS12:BS18 CB12:CB18 BZ12:BZ18 CI12:CI18 CG12:CG18 CP12:CP18 CN12:CN18 CI33:CI36 CB33:CB37 CB5 AZ28:AZ29">
    <cfRule type="expression" dxfId="162" priority="653">
      <formula>OR(IF(O5&lt;P5,TRUE),IF(AND(P5="",O5&lt;&gt;""),TRUE))</formula>
    </cfRule>
    <cfRule type="expression" dxfId="161" priority="654">
      <formula>IF(O5&gt;=P5,IF(O5="",FALSE,TRUE))</formula>
    </cfRule>
  </conditionalFormatting>
  <conditionalFormatting sqref="O19:O20">
    <cfRule type="expression" dxfId="160" priority="594">
      <formula>OR(IF(O19&lt;P19,TRUE),IF(AND(P19="",O19&lt;&gt;""),TRUE))</formula>
    </cfRule>
    <cfRule type="expression" dxfId="159" priority="595">
      <formula>IF(O19&gt;=P19,IF(O19="",FALSE,TRUE))</formula>
    </cfRule>
  </conditionalFormatting>
  <conditionalFormatting sqref="Q19:Q20">
    <cfRule type="expression" dxfId="158" priority="592">
      <formula>OR(IF(Q19&lt;R19,TRUE),IF(AND(R19="",Q19&lt;&gt;""),TRUE))</formula>
    </cfRule>
    <cfRule type="expression" dxfId="157" priority="593">
      <formula>IF(Q19&gt;=R19,IF(Q19="",FALSE,TRUE))</formula>
    </cfRule>
  </conditionalFormatting>
  <conditionalFormatting sqref="BE19:BE20">
    <cfRule type="expression" dxfId="156" priority="484">
      <formula>OR(IF(BE19&lt;BF19,TRUE),IF(AND(BF19="",BE19&lt;&gt;""),TRUE))</formula>
    </cfRule>
    <cfRule type="expression" dxfId="155" priority="485">
      <formula>IF(BE19&gt;=BF19,IF(BE19="",FALSE,TRUE))</formula>
    </cfRule>
  </conditionalFormatting>
  <conditionalFormatting sqref="V19:V20">
    <cfRule type="expression" dxfId="154" priority="564">
      <formula>OR(IF(V19&lt;W19,TRUE),IF(AND(W19="",V19&lt;&gt;""),TRUE))</formula>
    </cfRule>
    <cfRule type="expression" dxfId="153" priority="565">
      <formula>IF(V19&gt;=W19,IF(V19="",FALSE,TRUE))</formula>
    </cfRule>
  </conditionalFormatting>
  <conditionalFormatting sqref="X19:X20">
    <cfRule type="expression" dxfId="152" priority="562">
      <formula>OR(IF(X19&lt;Y19,TRUE),IF(AND(Y19="",X19&lt;&gt;""),TRUE))</formula>
    </cfRule>
    <cfRule type="expression" dxfId="151" priority="563">
      <formula>IF(X19&gt;=Y19,IF(X19="",FALSE,TRUE))</formula>
    </cfRule>
  </conditionalFormatting>
  <conditionalFormatting sqref="AC19:AC20">
    <cfRule type="expression" dxfId="150" priority="548">
      <formula>OR(IF(AC19&lt;AD19,TRUE),IF(AND(AD19="",AC19&lt;&gt;""),TRUE))</formula>
    </cfRule>
    <cfRule type="expression" dxfId="149" priority="549">
      <formula>IF(AC19&gt;=AD19,IF(AC19="",FALSE,TRUE))</formula>
    </cfRule>
  </conditionalFormatting>
  <conditionalFormatting sqref="AE19:AE20">
    <cfRule type="expression" dxfId="148" priority="546">
      <formula>OR(IF(AE19&lt;AF19,TRUE),IF(AND(AF19="",AE19&lt;&gt;""),TRUE))</formula>
    </cfRule>
    <cfRule type="expression" dxfId="147" priority="547">
      <formula>IF(AE19&gt;=AF19,IF(AE19="",FALSE,TRUE))</formula>
    </cfRule>
  </conditionalFormatting>
  <conditionalFormatting sqref="AJ19:AJ20">
    <cfRule type="expression" dxfId="146" priority="532">
      <formula>OR(IF(AJ19&lt;AK19,TRUE),IF(AND(AK19="",AJ19&lt;&gt;""),TRUE))</formula>
    </cfRule>
    <cfRule type="expression" dxfId="145" priority="533">
      <formula>IF(AJ19&gt;=AK19,IF(AJ19="",FALSE,TRUE))</formula>
    </cfRule>
  </conditionalFormatting>
  <conditionalFormatting sqref="AL19:AL20">
    <cfRule type="expression" dxfId="144" priority="530">
      <formula>OR(IF(AL19&lt;AM19,TRUE),IF(AND(AM19="",AL19&lt;&gt;""),TRUE))</formula>
    </cfRule>
    <cfRule type="expression" dxfId="143" priority="531">
      <formula>IF(AL19&gt;=AM19,IF(AL19="",FALSE,TRUE))</formula>
    </cfRule>
  </conditionalFormatting>
  <conditionalFormatting sqref="AQ19:AQ20">
    <cfRule type="expression" dxfId="142" priority="516">
      <formula>OR(IF(AQ19&lt;AR19,TRUE),IF(AND(AR19="",AQ19&lt;&gt;""),TRUE))</formula>
    </cfRule>
    <cfRule type="expression" dxfId="141" priority="517">
      <formula>IF(AQ19&gt;=AR19,IF(AQ19="",FALSE,TRUE))</formula>
    </cfRule>
  </conditionalFormatting>
  <conditionalFormatting sqref="AS19:AS20">
    <cfRule type="expression" dxfId="140" priority="514">
      <formula>OR(IF(AS19&lt;AT19,TRUE),IF(AND(AT19="",AS19&lt;&gt;""),TRUE))</formula>
    </cfRule>
    <cfRule type="expression" dxfId="139" priority="515">
      <formula>IF(AS19&gt;=AT19,IF(AS19="",FALSE,TRUE))</formula>
    </cfRule>
  </conditionalFormatting>
  <conditionalFormatting sqref="AX19:AX20">
    <cfRule type="expression" dxfId="138" priority="500">
      <formula>OR(IF(AX19&lt;AY19,TRUE),IF(AND(AY19="",AX19&lt;&gt;""),TRUE))</formula>
    </cfRule>
    <cfRule type="expression" dxfId="137" priority="501">
      <formula>IF(AX19&gt;=AY19,IF(AX19="",FALSE,TRUE))</formula>
    </cfRule>
  </conditionalFormatting>
  <conditionalFormatting sqref="AZ19:AZ20">
    <cfRule type="expression" dxfId="136" priority="498">
      <formula>OR(IF(AZ19&lt;BA19,TRUE),IF(AND(BA19="",AZ19&lt;&gt;""),TRUE))</formula>
    </cfRule>
    <cfRule type="expression" dxfId="135" priority="499">
      <formula>IF(AZ19&gt;=BA19,IF(AZ19="",FALSE,TRUE))</formula>
    </cfRule>
  </conditionalFormatting>
  <conditionalFormatting sqref="BG19:BG20">
    <cfRule type="expression" dxfId="134" priority="482">
      <formula>OR(IF(BG19&lt;BH19,TRUE),IF(AND(BH19="",BG19&lt;&gt;""),TRUE))</formula>
    </cfRule>
    <cfRule type="expression" dxfId="133" priority="483">
      <formula>IF(BG19&gt;=BH19,IF(BG19="",FALSE,TRUE))</formula>
    </cfRule>
  </conditionalFormatting>
  <conditionalFormatting sqref="O25:O26">
    <cfRule type="expression" dxfId="132" priority="381">
      <formula>OR(IF(O25&lt;P25,TRUE),IF(AND(P25="",O25&lt;&gt;""),TRUE))</formula>
    </cfRule>
    <cfRule type="expression" dxfId="131" priority="382">
      <formula>IF(O25&gt;=P25,IF(O25="",FALSE,TRUE))</formula>
    </cfRule>
  </conditionalFormatting>
  <conditionalFormatting sqref="Q25:Q26">
    <cfRule type="expression" dxfId="130" priority="379">
      <formula>OR(IF(Q25&lt;R25,TRUE),IF(AND(R25="",Q25&lt;&gt;""),TRUE))</formula>
    </cfRule>
    <cfRule type="expression" dxfId="129" priority="380">
      <formula>IF(Q25&gt;=R25,IF(Q25="",FALSE,TRUE))</formula>
    </cfRule>
  </conditionalFormatting>
  <conditionalFormatting sqref="BE25:BE26">
    <cfRule type="expression" dxfId="128" priority="333">
      <formula>OR(IF(BE25&lt;BF25,TRUE),IF(AND(BF25="",BE25&lt;&gt;""),TRUE))</formula>
    </cfRule>
    <cfRule type="expression" dxfId="127" priority="334">
      <formula>IF(BE25&gt;=BF25,IF(BE25="",FALSE,TRUE))</formula>
    </cfRule>
  </conditionalFormatting>
  <conditionalFormatting sqref="V25:V26">
    <cfRule type="expression" dxfId="126" priority="373">
      <formula>OR(IF(V25&lt;W25,TRUE),IF(AND(W25="",V25&lt;&gt;""),TRUE))</formula>
    </cfRule>
    <cfRule type="expression" dxfId="125" priority="374">
      <formula>IF(V25&gt;=W25,IF(V25="",FALSE,TRUE))</formula>
    </cfRule>
  </conditionalFormatting>
  <conditionalFormatting sqref="X25:X26">
    <cfRule type="expression" dxfId="124" priority="371">
      <formula>OR(IF(X25&lt;Y25,TRUE),IF(AND(Y25="",X25&lt;&gt;""),TRUE))</formula>
    </cfRule>
    <cfRule type="expression" dxfId="123" priority="372">
      <formula>IF(X25&gt;=Y25,IF(X25="",FALSE,TRUE))</formula>
    </cfRule>
  </conditionalFormatting>
  <conditionalFormatting sqref="AC25:AC26">
    <cfRule type="expression" dxfId="122" priority="365">
      <formula>OR(IF(AC25&lt;AD25,TRUE),IF(AND(AD25="",AC25&lt;&gt;""),TRUE))</formula>
    </cfRule>
    <cfRule type="expression" dxfId="121" priority="366">
      <formula>IF(AC25&gt;=AD25,IF(AC25="",FALSE,TRUE))</formula>
    </cfRule>
  </conditionalFormatting>
  <conditionalFormatting sqref="AE25:AE26">
    <cfRule type="expression" dxfId="120" priority="363">
      <formula>OR(IF(AE25&lt;AF25,TRUE),IF(AND(AF25="",AE25&lt;&gt;""),TRUE))</formula>
    </cfRule>
    <cfRule type="expression" dxfId="119" priority="364">
      <formula>IF(AE25&gt;=AF25,IF(AE25="",FALSE,TRUE))</formula>
    </cfRule>
  </conditionalFormatting>
  <conditionalFormatting sqref="AJ25:AJ26">
    <cfRule type="expression" dxfId="118" priority="357">
      <formula>OR(IF(AJ25&lt;AK25,TRUE),IF(AND(AK25="",AJ25&lt;&gt;""),TRUE))</formula>
    </cfRule>
    <cfRule type="expression" dxfId="117" priority="358">
      <formula>IF(AJ25&gt;=AK25,IF(AJ25="",FALSE,TRUE))</formula>
    </cfRule>
  </conditionalFormatting>
  <conditionalFormatting sqref="AL25:AL26">
    <cfRule type="expression" dxfId="116" priority="355">
      <formula>OR(IF(AL25&lt;AM25,TRUE),IF(AND(AM25="",AL25&lt;&gt;""),TRUE))</formula>
    </cfRule>
    <cfRule type="expression" dxfId="115" priority="356">
      <formula>IF(AL25&gt;=AM25,IF(AL25="",FALSE,TRUE))</formula>
    </cfRule>
  </conditionalFormatting>
  <conditionalFormatting sqref="AQ25:AQ26">
    <cfRule type="expression" dxfId="114" priority="349">
      <formula>OR(IF(AQ25&lt;AR25,TRUE),IF(AND(AR25="",AQ25&lt;&gt;""),TRUE))</formula>
    </cfRule>
    <cfRule type="expression" dxfId="113" priority="350">
      <formula>IF(AQ25&gt;=AR25,IF(AQ25="",FALSE,TRUE))</formula>
    </cfRule>
  </conditionalFormatting>
  <conditionalFormatting sqref="AS25:AS26">
    <cfRule type="expression" dxfId="112" priority="347">
      <formula>OR(IF(AS25&lt;AT25,TRUE),IF(AND(AT25="",AS25&lt;&gt;""),TRUE))</formula>
    </cfRule>
    <cfRule type="expression" dxfId="111" priority="348">
      <formula>IF(AS25&gt;=AT25,IF(AS25="",FALSE,TRUE))</formula>
    </cfRule>
  </conditionalFormatting>
  <conditionalFormatting sqref="AX25:AX26">
    <cfRule type="expression" dxfId="110" priority="341">
      <formula>OR(IF(AX25&lt;AY25,TRUE),IF(AND(AY25="",AX25&lt;&gt;""),TRUE))</formula>
    </cfRule>
    <cfRule type="expression" dxfId="109" priority="342">
      <formula>IF(AX25&gt;=AY25,IF(AX25="",FALSE,TRUE))</formula>
    </cfRule>
  </conditionalFormatting>
  <conditionalFormatting sqref="AZ25:AZ26">
    <cfRule type="expression" dxfId="108" priority="339">
      <formula>OR(IF(AZ25&lt;BA25,TRUE),IF(AND(BA25="",AZ25&lt;&gt;""),TRUE))</formula>
    </cfRule>
    <cfRule type="expression" dxfId="107" priority="340">
      <formula>IF(AZ25&gt;=BA25,IF(AZ25="",FALSE,TRUE))</formula>
    </cfRule>
  </conditionalFormatting>
  <conditionalFormatting sqref="BG25:BG26">
    <cfRule type="expression" dxfId="106" priority="331">
      <formula>OR(IF(BG25&lt;BH25,TRUE),IF(AND(BH25="",BG25&lt;&gt;""),TRUE))</formula>
    </cfRule>
    <cfRule type="expression" dxfId="105" priority="332">
      <formula>IF(BG25&gt;=BH25,IF(BG25="",FALSE,TRUE))</formula>
    </cfRule>
  </conditionalFormatting>
  <conditionalFormatting sqref="BS19:BS20">
    <cfRule type="expression" dxfId="104" priority="185">
      <formula>OR(IF(BS19&lt;BT19,TRUE),IF(AND(BT19="",BS19&lt;&gt;""),TRUE))</formula>
    </cfRule>
    <cfRule type="expression" dxfId="103" priority="186">
      <formula>IF(BS19&gt;=BT19,IF(BS19="",FALSE,TRUE))</formula>
    </cfRule>
  </conditionalFormatting>
  <conditionalFormatting sqref="BU19:BU20">
    <cfRule type="expression" dxfId="102" priority="183">
      <formula>OR(IF(BU19&lt;BV19,TRUE),IF(AND(BV19="",BU19&lt;&gt;""),TRUE))</formula>
    </cfRule>
    <cfRule type="expression" dxfId="101" priority="184">
      <formula>IF(BU19&gt;=BV19,IF(BU19="",FALSE,TRUE))</formula>
    </cfRule>
  </conditionalFormatting>
  <conditionalFormatting sqref="BS25:BS26">
    <cfRule type="expression" dxfId="100" priority="177">
      <formula>OR(IF(BS25&lt;BT25,TRUE),IF(AND(BT25="",BS25&lt;&gt;""),TRUE))</formula>
    </cfRule>
    <cfRule type="expression" dxfId="99" priority="178">
      <formula>IF(BS25&gt;=BT25,IF(BS25="",FALSE,TRUE))</formula>
    </cfRule>
  </conditionalFormatting>
  <conditionalFormatting sqref="BU25:BU26">
    <cfRule type="expression" dxfId="98" priority="175">
      <formula>OR(IF(BU25&lt;BV25,TRUE),IF(AND(BV25="",BU25&lt;&gt;""),TRUE))</formula>
    </cfRule>
    <cfRule type="expression" dxfId="97" priority="176">
      <formula>IF(BU25&gt;=BV25,IF(BU25="",FALSE,TRUE))</formula>
    </cfRule>
  </conditionalFormatting>
  <conditionalFormatting sqref="BZ19:BZ20">
    <cfRule type="expression" dxfId="96" priority="165">
      <formula>OR(IF(BZ19&lt;CA19,TRUE),IF(AND(CA19="",BZ19&lt;&gt;""),TRUE))</formula>
    </cfRule>
    <cfRule type="expression" dxfId="95" priority="166">
      <formula>IF(BZ19&gt;=CA19,IF(BZ19="",FALSE,TRUE))</formula>
    </cfRule>
  </conditionalFormatting>
  <conditionalFormatting sqref="CB19:CB20">
    <cfRule type="expression" dxfId="94" priority="163">
      <formula>OR(IF(CB19&lt;CC19,TRUE),IF(AND(CC19="",CB19&lt;&gt;""),TRUE))</formula>
    </cfRule>
    <cfRule type="expression" dxfId="93" priority="164">
      <formula>IF(CB19&gt;=CC19,IF(CB19="",FALSE,TRUE))</formula>
    </cfRule>
  </conditionalFormatting>
  <conditionalFormatting sqref="BZ25:BZ26">
    <cfRule type="expression" dxfId="92" priority="157">
      <formula>OR(IF(BZ25&lt;CA25,TRUE),IF(AND(CA25="",BZ25&lt;&gt;""),TRUE))</formula>
    </cfRule>
    <cfRule type="expression" dxfId="91" priority="158">
      <formula>IF(BZ25&gt;=CA25,IF(BZ25="",FALSE,TRUE))</formula>
    </cfRule>
  </conditionalFormatting>
  <conditionalFormatting sqref="CB25:CB26">
    <cfRule type="expression" dxfId="90" priority="155">
      <formula>OR(IF(CB25&lt;CC25,TRUE),IF(AND(CC25="",CB25&lt;&gt;""),TRUE))</formula>
    </cfRule>
    <cfRule type="expression" dxfId="89" priority="156">
      <formula>IF(CB25&gt;=CC25,IF(CB25="",FALSE,TRUE))</formula>
    </cfRule>
  </conditionalFormatting>
  <conditionalFormatting sqref="CG19:CG20">
    <cfRule type="expression" dxfId="88" priority="145">
      <formula>OR(IF(CG19&lt;CH19,TRUE),IF(AND(CH19="",CG19&lt;&gt;""),TRUE))</formula>
    </cfRule>
    <cfRule type="expression" dxfId="87" priority="146">
      <formula>IF(CG19&gt;=CH19,IF(CG19="",FALSE,TRUE))</formula>
    </cfRule>
  </conditionalFormatting>
  <conditionalFormatting sqref="CI19:CI20">
    <cfRule type="expression" dxfId="86" priority="143">
      <formula>OR(IF(CI19&lt;CJ19,TRUE),IF(AND(CJ19="",CI19&lt;&gt;""),TRUE))</formula>
    </cfRule>
    <cfRule type="expression" dxfId="85" priority="144">
      <formula>IF(CI19&gt;=CJ19,IF(CI19="",FALSE,TRUE))</formula>
    </cfRule>
  </conditionalFormatting>
  <conditionalFormatting sqref="CG25:CG26">
    <cfRule type="expression" dxfId="84" priority="137">
      <formula>OR(IF(CG25&lt;CH25,TRUE),IF(AND(CH25="",CG25&lt;&gt;""),TRUE))</formula>
    </cfRule>
    <cfRule type="expression" dxfId="83" priority="138">
      <formula>IF(CG25&gt;=CH25,IF(CG25="",FALSE,TRUE))</formula>
    </cfRule>
  </conditionalFormatting>
  <conditionalFormatting sqref="CI25:CI26">
    <cfRule type="expression" dxfId="82" priority="135">
      <formula>OR(IF(CI25&lt;CJ25,TRUE),IF(AND(CJ25="",CI25&lt;&gt;""),TRUE))</formula>
    </cfRule>
    <cfRule type="expression" dxfId="81" priority="136">
      <formula>IF(CI25&gt;=CJ25,IF(CI25="",FALSE,TRUE))</formula>
    </cfRule>
  </conditionalFormatting>
  <conditionalFormatting sqref="CN19:CN20">
    <cfRule type="expression" dxfId="80" priority="125">
      <formula>OR(IF(CN19&lt;CO19,TRUE),IF(AND(CO19="",CN19&lt;&gt;""),TRUE))</formula>
    </cfRule>
    <cfRule type="expression" dxfId="79" priority="126">
      <formula>IF(CN19&gt;=CO19,IF(CN19="",FALSE,TRUE))</formula>
    </cfRule>
  </conditionalFormatting>
  <conditionalFormatting sqref="CP19:CP20">
    <cfRule type="expression" dxfId="78" priority="123">
      <formula>OR(IF(CP19&lt;CQ19,TRUE),IF(AND(CQ19="",CP19&lt;&gt;""),TRUE))</formula>
    </cfRule>
    <cfRule type="expression" dxfId="77" priority="124">
      <formula>IF(CP19&gt;=CQ19,IF(CP19="",FALSE,TRUE))</formula>
    </cfRule>
  </conditionalFormatting>
  <conditionalFormatting sqref="CN25:CN26">
    <cfRule type="expression" dxfId="76" priority="117">
      <formula>OR(IF(CN25&lt;CO25,TRUE),IF(AND(CO25="",CN25&lt;&gt;""),TRUE))</formula>
    </cfRule>
    <cfRule type="expression" dxfId="75" priority="118">
      <formula>IF(CN25&gt;=CO25,IF(CN25="",FALSE,TRUE))</formula>
    </cfRule>
  </conditionalFormatting>
  <conditionalFormatting sqref="CP25:CP26">
    <cfRule type="expression" dxfId="74" priority="115">
      <formula>OR(IF(CP25&lt;CQ25,TRUE),IF(AND(CQ25="",CP25&lt;&gt;""),TRUE))</formula>
    </cfRule>
    <cfRule type="expression" dxfId="73" priority="116">
      <formula>IF(CP25&gt;=CQ25,IF(CP25="",FALSE,TRUE))</formula>
    </cfRule>
  </conditionalFormatting>
  <conditionalFormatting sqref="CU19:CU20">
    <cfRule type="expression" dxfId="72" priority="105">
      <formula>OR(IF(CU19&lt;CV19,TRUE),IF(AND(CV19="",CU19&lt;&gt;""),TRUE))</formula>
    </cfRule>
    <cfRule type="expression" dxfId="71" priority="106">
      <formula>IF(CU19&gt;=CV19,IF(CU19="",FALSE,TRUE))</formula>
    </cfRule>
  </conditionalFormatting>
  <conditionalFormatting sqref="CW19:CW20">
    <cfRule type="expression" dxfId="70" priority="103">
      <formula>OR(IF(CW19&lt;CX19,TRUE),IF(AND(CX19="",CW19&lt;&gt;""),TRUE))</formula>
    </cfRule>
    <cfRule type="expression" dxfId="69" priority="104">
      <formula>IF(CW19&gt;=CX19,IF(CW19="",FALSE,TRUE))</formula>
    </cfRule>
  </conditionalFormatting>
  <conditionalFormatting sqref="CU25:CU26">
    <cfRule type="expression" dxfId="68" priority="97">
      <formula>OR(IF(CU25&lt;CV25,TRUE),IF(AND(CV25="",CU25&lt;&gt;""),TRUE))</formula>
    </cfRule>
    <cfRule type="expression" dxfId="67" priority="98">
      <formula>IF(CU25&gt;=CV25,IF(CU25="",FALSE,TRUE))</formula>
    </cfRule>
  </conditionalFormatting>
  <conditionalFormatting sqref="CW25:CW26">
    <cfRule type="expression" dxfId="66" priority="95">
      <formula>OR(IF(CW25&lt;CX25,TRUE),IF(AND(CX25="",CW25&lt;&gt;""),TRUE))</formula>
    </cfRule>
    <cfRule type="expression" dxfId="65" priority="96">
      <formula>IF(CW25&gt;=CX25,IF(CW25="",FALSE,TRUE))</formula>
    </cfRule>
  </conditionalFormatting>
  <conditionalFormatting sqref="J15:K16">
    <cfRule type="colorScale" priority="1006">
      <colorScale>
        <cfvo type="percent" val="0"/>
        <cfvo type="percent" val="100"/>
        <color rgb="FFFF231B"/>
        <color rgb="FF10FF07"/>
      </colorScale>
    </cfRule>
  </conditionalFormatting>
  <conditionalFormatting sqref="J12:J16">
    <cfRule type="colorScale" priority="1007">
      <colorScale>
        <cfvo type="percent" val="0"/>
        <cfvo type="percent" val="100"/>
        <color rgb="FFFF231B"/>
        <color rgb="FF10FF07"/>
      </colorScale>
    </cfRule>
  </conditionalFormatting>
  <conditionalFormatting sqref="K12:K16">
    <cfRule type="colorScale" priority="1009">
      <colorScale>
        <cfvo type="percent" val="0"/>
        <cfvo type="percent" val="100"/>
        <color rgb="FFFF231B"/>
        <color rgb="FF10FF07"/>
      </colorScale>
    </cfRule>
  </conditionalFormatting>
  <conditionalFormatting sqref="J20:K22">
    <cfRule type="colorScale" priority="1662">
      <colorScale>
        <cfvo type="percent" val="0"/>
        <cfvo type="percent" val="100"/>
        <color rgb="FFFF231B"/>
        <color rgb="FF10FF07"/>
      </colorScale>
    </cfRule>
  </conditionalFormatting>
  <conditionalFormatting sqref="J19:J22">
    <cfRule type="colorScale" priority="1663">
      <colorScale>
        <cfvo type="percent" val="0"/>
        <cfvo type="percent" val="100"/>
        <color rgb="FFFF231B"/>
        <color rgb="FF10FF07"/>
      </colorScale>
    </cfRule>
  </conditionalFormatting>
  <conditionalFormatting sqref="K19:K22">
    <cfRule type="colorScale" priority="1664">
      <colorScale>
        <cfvo type="percent" val="0"/>
        <cfvo type="percent" val="100"/>
        <color rgb="FFFF231B"/>
        <color rgb="FF10FF07"/>
      </colorScale>
    </cfRule>
  </conditionalFormatting>
  <conditionalFormatting sqref="J34:K38">
    <cfRule type="colorScale" priority="2004">
      <colorScale>
        <cfvo type="percent" val="0"/>
        <cfvo type="percent" val="100"/>
        <color rgb="FFFF231B"/>
        <color rgb="FF10FF07"/>
      </colorScale>
    </cfRule>
  </conditionalFormatting>
  <conditionalFormatting sqref="J33:J38">
    <cfRule type="colorScale" priority="2005">
      <colorScale>
        <cfvo type="percent" val="0"/>
        <cfvo type="percent" val="100"/>
        <color rgb="FFFF231B"/>
        <color rgb="FF10FF07"/>
      </colorScale>
    </cfRule>
  </conditionalFormatting>
  <conditionalFormatting sqref="K33:K38">
    <cfRule type="colorScale" priority="2006">
      <colorScale>
        <cfvo type="percent" val="0"/>
        <cfvo type="percent" val="100"/>
        <color rgb="FFFF231B"/>
        <color rgb="FF10FF07"/>
      </colorScale>
    </cfRule>
  </conditionalFormatting>
  <conditionalFormatting sqref="J26:K30">
    <cfRule type="colorScale" priority="2180">
      <colorScale>
        <cfvo type="percent" val="0"/>
        <cfvo type="percent" val="100"/>
        <color rgb="FFFF231B"/>
        <color rgb="FF10FF07"/>
      </colorScale>
    </cfRule>
  </conditionalFormatting>
  <conditionalFormatting sqref="J25:J30">
    <cfRule type="colorScale" priority="2182">
      <colorScale>
        <cfvo type="percent" val="0"/>
        <cfvo type="percent" val="100"/>
        <color rgb="FFFF231B"/>
        <color rgb="FF10FF07"/>
      </colorScale>
    </cfRule>
  </conditionalFormatting>
  <conditionalFormatting sqref="K25:K30">
    <cfRule type="colorScale" priority="2184">
      <colorScale>
        <cfvo type="percent" val="0"/>
        <cfvo type="percent" val="100"/>
        <color rgb="FFFF231B"/>
        <color rgb="FF10FF07"/>
      </colorScale>
    </cfRule>
  </conditionalFormatting>
  <conditionalFormatting sqref="DD21:DD22 DB21:DB22 DD33:DD38 DB33:DB38 DD27:DD30 DB27:DB30 DD12:DD16 DB12:DB16 DD5:DD9 DB5:DB9">
    <cfRule type="expression" dxfId="64" priority="87">
      <formula>OR(IF(DB5&lt;DC5,TRUE),IF(AND(DC5="",DB5&lt;&gt;""),TRUE))</formula>
    </cfRule>
    <cfRule type="expression" dxfId="63" priority="88">
      <formula>IF(DB5&gt;=DC5,IF(DB5="",FALSE,TRUE))</formula>
    </cfRule>
  </conditionalFormatting>
  <conditionalFormatting sqref="DB19:DB20">
    <cfRule type="expression" dxfId="62" priority="83">
      <formula>OR(IF(DB19&lt;DC19,TRUE),IF(AND(DC19="",DB19&lt;&gt;""),TRUE))</formula>
    </cfRule>
    <cfRule type="expression" dxfId="61" priority="84">
      <formula>IF(DB19&gt;=DC19,IF(DB19="",FALSE,TRUE))</formula>
    </cfRule>
  </conditionalFormatting>
  <conditionalFormatting sqref="DD19:DD20">
    <cfRule type="expression" dxfId="60" priority="81">
      <formula>OR(IF(DD19&lt;DE19,TRUE),IF(AND(DE19="",DD19&lt;&gt;""),TRUE))</formula>
    </cfRule>
    <cfRule type="expression" dxfId="59" priority="82">
      <formula>IF(DD19&gt;=DE19,IF(DD19="",FALSE,TRUE))</formula>
    </cfRule>
  </conditionalFormatting>
  <conditionalFormatting sqref="DB25:DB26">
    <cfRule type="expression" dxfId="58" priority="79">
      <formula>OR(IF(DB25&lt;DC25,TRUE),IF(AND(DC25="",DB25&lt;&gt;""),TRUE))</formula>
    </cfRule>
    <cfRule type="expression" dxfId="57" priority="80">
      <formula>IF(DB25&gt;=DC25,IF(DB25="",FALSE,TRUE))</formula>
    </cfRule>
  </conditionalFormatting>
  <conditionalFormatting sqref="DD25:DD26">
    <cfRule type="expression" dxfId="56" priority="77">
      <formula>OR(IF(DD25&lt;DE25,TRUE),IF(AND(DE25="",DD25&lt;&gt;""),TRUE))</formula>
    </cfRule>
    <cfRule type="expression" dxfId="55" priority="78">
      <formula>IF(DD25&gt;=DE25,IF(DD25="",FALSE,TRUE))</formula>
    </cfRule>
  </conditionalFormatting>
  <conditionalFormatting sqref="DK21:DK22 DI21:DI22 DK33:DK38 DI33:DI38 DK27:DK30 DI27:DI30 DK12:DK16 DI12:DI16 DK5:DK9 DI5:DI9">
    <cfRule type="expression" dxfId="54" priority="71">
      <formula>OR(IF(DI5&lt;DJ5,TRUE),IF(AND(DJ5="",DI5&lt;&gt;""),TRUE))</formula>
    </cfRule>
    <cfRule type="expression" dxfId="53" priority="72">
      <formula>IF(DI5&gt;=DJ5,IF(DI5="",FALSE,TRUE))</formula>
    </cfRule>
  </conditionalFormatting>
  <conditionalFormatting sqref="DI19:DI20">
    <cfRule type="expression" dxfId="52" priority="67">
      <formula>OR(IF(DI19&lt;DJ19,TRUE),IF(AND(DJ19="",DI19&lt;&gt;""),TRUE))</formula>
    </cfRule>
    <cfRule type="expression" dxfId="51" priority="68">
      <formula>IF(DI19&gt;=DJ19,IF(DI19="",FALSE,TRUE))</formula>
    </cfRule>
  </conditionalFormatting>
  <conditionalFormatting sqref="DK19:DK20">
    <cfRule type="expression" dxfId="50" priority="65">
      <formula>OR(IF(DK19&lt;DL19,TRUE),IF(AND(DL19="",DK19&lt;&gt;""),TRUE))</formula>
    </cfRule>
    <cfRule type="expression" dxfId="49" priority="66">
      <formula>IF(DK19&gt;=DL19,IF(DK19="",FALSE,TRUE))</formula>
    </cfRule>
  </conditionalFormatting>
  <conditionalFormatting sqref="DI25:DI26">
    <cfRule type="expression" dxfId="48" priority="63">
      <formula>OR(IF(DI25&lt;DJ25,TRUE),IF(AND(DJ25="",DI25&lt;&gt;""),TRUE))</formula>
    </cfRule>
    <cfRule type="expression" dxfId="47" priority="64">
      <formula>IF(DI25&gt;=DJ25,IF(DI25="",FALSE,TRUE))</formula>
    </cfRule>
  </conditionalFormatting>
  <conditionalFormatting sqref="DK25:DK26">
    <cfRule type="expression" dxfId="46" priority="61">
      <formula>OR(IF(DK25&lt;DL25,TRUE),IF(AND(DL25="",DK25&lt;&gt;""),TRUE))</formula>
    </cfRule>
    <cfRule type="expression" dxfId="45" priority="62">
      <formula>IF(DK25&gt;=DL25,IF(DK25="",FALSE,TRUE))</formula>
    </cfRule>
  </conditionalFormatting>
  <conditionalFormatting sqref="DR21:DR22 DP21:DP22 DR33:DR38 DP33:DP38 DR27:DR30 DP27:DP30 DR12:DR16 DP12:DP16 DR5:DR9 DP5:DP9">
    <cfRule type="expression" dxfId="44" priority="55">
      <formula>OR(IF(DP5&lt;DQ5,TRUE),IF(AND(DQ5="",DP5&lt;&gt;""),TRUE))</formula>
    </cfRule>
    <cfRule type="expression" dxfId="43" priority="56">
      <formula>IF(DP5&gt;=DQ5,IF(DP5="",FALSE,TRUE))</formula>
    </cfRule>
  </conditionalFormatting>
  <conditionalFormatting sqref="DP19:DP20">
    <cfRule type="expression" dxfId="42" priority="51">
      <formula>OR(IF(DP19&lt;DQ19,TRUE),IF(AND(DQ19="",DP19&lt;&gt;""),TRUE))</formula>
    </cfRule>
    <cfRule type="expression" dxfId="41" priority="52">
      <formula>IF(DP19&gt;=DQ19,IF(DP19="",FALSE,TRUE))</formula>
    </cfRule>
  </conditionalFormatting>
  <conditionalFormatting sqref="DR19:DR20">
    <cfRule type="expression" dxfId="40" priority="49">
      <formula>OR(IF(DR19&lt;DS19,TRUE),IF(AND(DS19="",DR19&lt;&gt;""),TRUE))</formula>
    </cfRule>
    <cfRule type="expression" dxfId="39" priority="50">
      <formula>IF(DR19&gt;=DS19,IF(DR19="",FALSE,TRUE))</formula>
    </cfRule>
  </conditionalFormatting>
  <conditionalFormatting sqref="DP25:DP26">
    <cfRule type="expression" dxfId="38" priority="47">
      <formula>OR(IF(DP25&lt;DQ25,TRUE),IF(AND(DQ25="",DP25&lt;&gt;""),TRUE))</formula>
    </cfRule>
    <cfRule type="expression" dxfId="37" priority="48">
      <formula>IF(DP25&gt;=DQ25,IF(DP25="",FALSE,TRUE))</formula>
    </cfRule>
  </conditionalFormatting>
  <conditionalFormatting sqref="DR25:DR26">
    <cfRule type="expression" dxfId="36" priority="45">
      <formula>OR(IF(DR25&lt;DS25,TRUE),IF(AND(DS25="",DR25&lt;&gt;""),TRUE))</formula>
    </cfRule>
    <cfRule type="expression" dxfId="35" priority="46">
      <formula>IF(DR25&gt;=DS25,IF(DR25="",FALSE,TRUE))</formula>
    </cfRule>
  </conditionalFormatting>
  <conditionalFormatting sqref="DY21:DY22 DW21:DW22 DY33:DY38 DW33:DW38 DY27:DY30 DW27:DW30 DY12:DY16 DW12:DW16 DY5:DY9 DW5:DW9">
    <cfRule type="expression" dxfId="34" priority="39">
      <formula>OR(IF(DW5&lt;DX5,TRUE),IF(AND(DX5="",DW5&lt;&gt;""),TRUE))</formula>
    </cfRule>
    <cfRule type="expression" dxfId="33" priority="40">
      <formula>IF(DW5&gt;=DX5,IF(DW5="",FALSE,TRUE))</formula>
    </cfRule>
  </conditionalFormatting>
  <conditionalFormatting sqref="DW19:DW20">
    <cfRule type="expression" dxfId="32" priority="35">
      <formula>OR(IF(DW19&lt;DX19,TRUE),IF(AND(DX19="",DW19&lt;&gt;""),TRUE))</formula>
    </cfRule>
    <cfRule type="expression" dxfId="31" priority="36">
      <formula>IF(DW19&gt;=DX19,IF(DW19="",FALSE,TRUE))</formula>
    </cfRule>
  </conditionalFormatting>
  <conditionalFormatting sqref="DY19:DY20">
    <cfRule type="expression" dxfId="30" priority="33">
      <formula>OR(IF(DY19&lt;DZ19,TRUE),IF(AND(DZ19="",DY19&lt;&gt;""),TRUE))</formula>
    </cfRule>
    <cfRule type="expression" dxfId="29" priority="34">
      <formula>IF(DY19&gt;=DZ19,IF(DY19="",FALSE,TRUE))</formula>
    </cfRule>
  </conditionalFormatting>
  <conditionalFormatting sqref="DW25:DW26">
    <cfRule type="expression" dxfId="28" priority="31">
      <formula>OR(IF(DW25&lt;DX25,TRUE),IF(AND(DX25="",DW25&lt;&gt;""),TRUE))</formula>
    </cfRule>
    <cfRule type="expression" dxfId="27" priority="32">
      <formula>IF(DW25&gt;=DX25,IF(DW25="",FALSE,TRUE))</formula>
    </cfRule>
  </conditionalFormatting>
  <conditionalFormatting sqref="DY25:DY26">
    <cfRule type="expression" dxfId="26" priority="29">
      <formula>OR(IF(DY25&lt;DZ25,TRUE),IF(AND(DZ25="",DY25&lt;&gt;""),TRUE))</formula>
    </cfRule>
    <cfRule type="expression" dxfId="25" priority="30">
      <formula>IF(DY25&gt;=DZ25,IF(DY25="",FALSE,TRUE))</formula>
    </cfRule>
  </conditionalFormatting>
  <conditionalFormatting sqref="J14:K14">
    <cfRule type="colorScale" priority="24">
      <colorScale>
        <cfvo type="percent" val="0"/>
        <cfvo type="percent" val="100"/>
        <color rgb="FFFF231B"/>
        <color rgb="FF10FF07"/>
      </colorScale>
    </cfRule>
  </conditionalFormatting>
  <conditionalFormatting sqref="J13:K13">
    <cfRule type="colorScale" priority="23">
      <colorScale>
        <cfvo type="percent" val="0"/>
        <cfvo type="percent" val="100"/>
        <color rgb="FFFF231B"/>
        <color rgb="FF10FF07"/>
      </colorScale>
    </cfRule>
  </conditionalFormatting>
  <conditionalFormatting sqref="J12:K12">
    <cfRule type="colorScale" priority="22">
      <colorScale>
        <cfvo type="percent" val="0"/>
        <cfvo type="percent" val="100"/>
        <color rgb="FFFF231B"/>
        <color rgb="FF10FF07"/>
      </colorScale>
    </cfRule>
  </conditionalFormatting>
  <conditionalFormatting sqref="J9:K9">
    <cfRule type="colorScale" priority="19">
      <colorScale>
        <cfvo type="percent" val="0"/>
        <cfvo type="percent" val="100"/>
        <color rgb="FFFF231B"/>
        <color rgb="FF10FF07"/>
      </colorScale>
    </cfRule>
  </conditionalFormatting>
  <conditionalFormatting sqref="J9">
    <cfRule type="colorScale" priority="20">
      <colorScale>
        <cfvo type="percent" val="0"/>
        <cfvo type="percent" val="100"/>
        <color rgb="FFFF231B"/>
        <color rgb="FF10FF07"/>
      </colorScale>
    </cfRule>
  </conditionalFormatting>
  <conditionalFormatting sqref="K9">
    <cfRule type="colorScale" priority="21">
      <colorScale>
        <cfvo type="percent" val="0"/>
        <cfvo type="percent" val="100"/>
        <color rgb="FFFF231B"/>
        <color rgb="FF10FF07"/>
      </colorScale>
    </cfRule>
  </conditionalFormatting>
  <conditionalFormatting sqref="J8:K8">
    <cfRule type="colorScale" priority="16">
      <colorScale>
        <cfvo type="percent" val="0"/>
        <cfvo type="percent" val="100"/>
        <color rgb="FFFF231B"/>
        <color rgb="FF10FF07"/>
      </colorScale>
    </cfRule>
  </conditionalFormatting>
  <conditionalFormatting sqref="J8">
    <cfRule type="colorScale" priority="17">
      <colorScale>
        <cfvo type="percent" val="0"/>
        <cfvo type="percent" val="100"/>
        <color rgb="FFFF231B"/>
        <color rgb="FF10FF07"/>
      </colorScale>
    </cfRule>
  </conditionalFormatting>
  <conditionalFormatting sqref="K8">
    <cfRule type="colorScale" priority="18">
      <colorScale>
        <cfvo type="percent" val="0"/>
        <cfvo type="percent" val="100"/>
        <color rgb="FFFF231B"/>
        <color rgb="FF10FF07"/>
      </colorScale>
    </cfRule>
  </conditionalFormatting>
  <conditionalFormatting sqref="J7:K7">
    <cfRule type="colorScale" priority="13">
      <colorScale>
        <cfvo type="percent" val="0"/>
        <cfvo type="percent" val="100"/>
        <color rgb="FFFF231B"/>
        <color rgb="FF10FF07"/>
      </colorScale>
    </cfRule>
  </conditionalFormatting>
  <conditionalFormatting sqref="J7">
    <cfRule type="colorScale" priority="14">
      <colorScale>
        <cfvo type="percent" val="0"/>
        <cfvo type="percent" val="100"/>
        <color rgb="FFFF231B"/>
        <color rgb="FF10FF07"/>
      </colorScale>
    </cfRule>
  </conditionalFormatting>
  <conditionalFormatting sqref="K7">
    <cfRule type="colorScale" priority="15">
      <colorScale>
        <cfvo type="percent" val="0"/>
        <cfvo type="percent" val="100"/>
        <color rgb="FFFF231B"/>
        <color rgb="FF10FF07"/>
      </colorScale>
    </cfRule>
  </conditionalFormatting>
  <conditionalFormatting sqref="J6:K6">
    <cfRule type="colorScale" priority="10">
      <colorScale>
        <cfvo type="percent" val="0"/>
        <cfvo type="percent" val="100"/>
        <color rgb="FFFF231B"/>
        <color rgb="FF10FF07"/>
      </colorScale>
    </cfRule>
  </conditionalFormatting>
  <conditionalFormatting sqref="J6">
    <cfRule type="colorScale" priority="11">
      <colorScale>
        <cfvo type="percent" val="0"/>
        <cfvo type="percent" val="100"/>
        <color rgb="FFFF231B"/>
        <color rgb="FF10FF07"/>
      </colorScale>
    </cfRule>
  </conditionalFormatting>
  <conditionalFormatting sqref="K6">
    <cfRule type="colorScale" priority="12">
      <colorScale>
        <cfvo type="percent" val="0"/>
        <cfvo type="percent" val="100"/>
        <color rgb="FFFF231B"/>
        <color rgb="FF10FF07"/>
      </colorScale>
    </cfRule>
  </conditionalFormatting>
  <conditionalFormatting sqref="J5:K5">
    <cfRule type="colorScale" priority="7">
      <colorScale>
        <cfvo type="percent" val="0"/>
        <cfvo type="percent" val="100"/>
        <color rgb="FFFF231B"/>
        <color rgb="FF10FF07"/>
      </colorScale>
    </cfRule>
  </conditionalFormatting>
  <conditionalFormatting sqref="J5">
    <cfRule type="colorScale" priority="8">
      <colorScale>
        <cfvo type="percent" val="0"/>
        <cfvo type="percent" val="100"/>
        <color rgb="FFFF231B"/>
        <color rgb="FF10FF07"/>
      </colorScale>
    </cfRule>
  </conditionalFormatting>
  <conditionalFormatting sqref="K5">
    <cfRule type="colorScale" priority="9">
      <colorScale>
        <cfvo type="percent" val="0"/>
        <cfvo type="percent" val="100"/>
        <color rgb="FFFF231B"/>
        <color rgb="FF10FF07"/>
      </colorScale>
    </cfRule>
  </conditionalFormatting>
  <conditionalFormatting sqref="CI37">
    <cfRule type="expression" dxfId="24" priority="2187">
      <formula>OR(IF(CI37&lt;CJ38,TRUE),IF(AND(CJ38="",CI37&lt;&gt;""),TRUE))</formula>
    </cfRule>
    <cfRule type="expression" dxfId="23" priority="2188">
      <formula>IF(CI37&gt;=CJ38,IF(CI37="",FALSE,TRUE))</formula>
    </cfRule>
  </conditionalFormatting>
  <conditionalFormatting sqref="CI38 CB38 CB6 AZ27">
    <cfRule type="expression" dxfId="22" priority="2189">
      <formula>OR(IF(AZ6&lt;#REF!,TRUE),IF(AND(#REF!="",AZ6&lt;&gt;""),TRUE))</formula>
    </cfRule>
    <cfRule type="expression" dxfId="21" priority="2190">
      <formula>IF(AZ6&gt;=#REF!,IF(AZ6="",FALSE,TRUE))</formula>
    </cfRule>
  </conditionalFormatting>
  <conditionalFormatting sqref="CB7:CB9">
    <cfRule type="expression" dxfId="20" priority="2193">
      <formula>OR(IF(CB7&lt;CC6,TRUE),IF(AND(CC6="",CB7&lt;&gt;""),TRUE))</formula>
    </cfRule>
    <cfRule type="expression" dxfId="19" priority="2194">
      <formula>IF(CB7&gt;=CC6,IF(CB7="",FALSE,TRUE))</formula>
    </cfRule>
  </conditionalFormatting>
  <conditionalFormatting sqref="AZ30">
    <cfRule type="expression" dxfId="18" priority="2197">
      <formula>OR(IF(AZ30&lt;BA27,TRUE),IF(AND(BA27="",AZ30&lt;&gt;""),TRUE))</formula>
    </cfRule>
    <cfRule type="expression" dxfId="17" priority="2198">
      <formula>IF(AZ30&gt;=BA27,IF(AZ30="",FALSE,TRUE))</formula>
    </cfRule>
  </conditionalFormatting>
  <dataValidations count="1">
    <dataValidation type="list" allowBlank="1" showInputMessage="1" showErrorMessage="1" sqref="DW25:DZ30 CW33:CX38 AZ12:BA16 CN25:CQ30 CG5:CJ9 BZ25:CC30 BE19:BH22 BS12:BV22 V33:Y38 AQ19:AT22 AJ25:AM30 BA25:BA27 O19:R22 AQ5:AT9 CU25:CX30 BZ5:CC9 V19:Y22 AJ5:AM9 AX25:AZ30 BL5:BO9 BE33:BH38 BS5:BV9 CG12:CJ22 AQ25:AT30 CU19:CX22 CN33:CQ38 CG25:CJ30 BZ33:CC38 BS25:BV30 AC5:AF9 AC19:AF22 AJ33:AM38 AQ33:AT38 BE25:BH30 O5:R9 V5:Y9 DB19:DE22 DB33:DE38 DB25:DE30 DI19:DL22 DI33:DL38 DI25:DL30 DP19:DS22 DP33:DS38 DP25:DS30 BE12:BH16 AX12:AX16 DW19:DZ22 DW33:DZ38 CU33:CU38 CV33:CV39 AY12:AY17 DW12:DZ16 DP12:DS16 DI12:DL16 DB12:DE16 CU12:CX16 BL12:BO18 AJ19:AM22 AC25:AE30 V25:Y30 AX5:BA9 AQ12:AT16 AJ12:AM16 AC12:AF16 V12:Y16 O12:R16 DW5:DZ9 DP5:DS9 DI5:DL9 DB5:DE9 CU5:CX9 O25:R30 CN12:CQ22 CG33:CJ38 BZ12:CC22 BS33:BV38 BO19:BO24 BE5:BH9 CN5:CQ9 BM22:BM29 BL21:BL26 BN21:BN26 AX33:BA38 AX19:BA22 AF25:AF27 AC33:AF38 AF29:AF30 O33:R38" xr:uid="{DF46768B-76BD-4AD1-BDD9-05E5E50A35C8}">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4" workbookViewId="0">
      <selection activeCell="B2" sqref="B2"/>
    </sheetView>
  </sheetViews>
  <sheetFormatPr baseColWidth="10" defaultColWidth="10.69921875" defaultRowHeight="15.6"/>
  <cols>
    <col min="2" max="2" width="161" customWidth="1"/>
    <col min="3" max="3" width="10.796875"/>
  </cols>
  <sheetData>
    <row r="4" spans="2:2" ht="21">
      <c r="B4" s="3" t="s">
        <v>16</v>
      </c>
    </row>
    <row r="6" spans="2:2">
      <c r="B6" s="2" t="s">
        <v>13</v>
      </c>
    </row>
    <row r="7" spans="2:2" ht="46.8">
      <c r="B7" s="1" t="s">
        <v>14</v>
      </c>
    </row>
    <row r="9" spans="2:2">
      <c r="B9" s="2" t="s">
        <v>15</v>
      </c>
    </row>
    <row r="10" spans="2:2" ht="62.4">
      <c r="B10" s="1" t="s">
        <v>35</v>
      </c>
    </row>
    <row r="12" spans="2:2">
      <c r="B12" s="2" t="s">
        <v>17</v>
      </c>
    </row>
    <row r="13" spans="2:2" ht="140.4">
      <c r="B13" s="1" t="s">
        <v>18</v>
      </c>
    </row>
    <row r="15" spans="2:2">
      <c r="B15" s="2" t="s">
        <v>19</v>
      </c>
    </row>
    <row r="16" spans="2:2" ht="109.2">
      <c r="B16" s="1" t="s">
        <v>20</v>
      </c>
    </row>
    <row r="17" spans="2:2">
      <c r="B17" s="1"/>
    </row>
    <row r="18" spans="2:2">
      <c r="B18" s="2" t="s">
        <v>34</v>
      </c>
    </row>
    <row r="19" spans="2:2" ht="140.4">
      <c r="B19" s="1" t="s">
        <v>36</v>
      </c>
    </row>
    <row r="21" spans="2:2">
      <c r="B21" s="2" t="s">
        <v>21</v>
      </c>
    </row>
    <row r="22" spans="2:2" ht="124.8">
      <c r="B22" s="1" t="s">
        <v>37</v>
      </c>
    </row>
    <row r="24" spans="2:2">
      <c r="B24" s="2" t="s">
        <v>22</v>
      </c>
    </row>
    <row r="25" spans="2:2" ht="124.8">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9921875" defaultRowHeight="15.6"/>
  <cols>
    <col min="1" max="1" width="16.796875" style="9" customWidth="1"/>
    <col min="2" max="2" width="19.19921875" style="9" customWidth="1"/>
    <col min="3" max="3" width="18.19921875" style="9" customWidth="1"/>
    <col min="4" max="4" width="19.5" style="9" customWidth="1"/>
    <col min="8" max="8" width="15.19921875" customWidth="1"/>
    <col min="10" max="10" width="42" customWidth="1"/>
    <col min="11" max="11" width="28.5" customWidth="1"/>
  </cols>
  <sheetData>
    <row r="1" spans="1:11" ht="31.2">
      <c r="A1" s="9" t="s">
        <v>42</v>
      </c>
      <c r="B1" s="15" t="s">
        <v>39</v>
      </c>
      <c r="C1" s="15" t="s">
        <v>40</v>
      </c>
      <c r="D1" s="15" t="s">
        <v>41</v>
      </c>
      <c r="E1" s="1" t="s">
        <v>43</v>
      </c>
      <c r="F1" s="1" t="s">
        <v>44</v>
      </c>
      <c r="G1" s="1" t="s">
        <v>45</v>
      </c>
      <c r="H1" s="1" t="s">
        <v>46</v>
      </c>
      <c r="I1" s="1" t="s">
        <v>47</v>
      </c>
      <c r="J1" s="1" t="s">
        <v>48</v>
      </c>
      <c r="K1" s="1" t="s">
        <v>49</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F32" sqref="F32"/>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c r="E9" t="s">
        <v>142</v>
      </c>
    </row>
    <row r="10" spans="1:8">
      <c r="A10" s="8">
        <v>0.27083333333333398</v>
      </c>
      <c r="E10" t="s">
        <v>136</v>
      </c>
    </row>
    <row r="11" spans="1:8">
      <c r="A11" s="8">
        <v>0.29166666666666702</v>
      </c>
      <c r="E11" t="s">
        <v>137</v>
      </c>
    </row>
    <row r="12" spans="1:8">
      <c r="A12" s="8">
        <v>0.3125</v>
      </c>
      <c r="E12" t="s">
        <v>138</v>
      </c>
      <c r="F12" t="s">
        <v>151</v>
      </c>
    </row>
    <row r="13" spans="1:8">
      <c r="A13" s="8">
        <v>0.33333333333333398</v>
      </c>
      <c r="E13" t="s">
        <v>139</v>
      </c>
      <c r="F13" t="s">
        <v>147</v>
      </c>
    </row>
    <row r="14" spans="1:8">
      <c r="A14" s="8">
        <v>0.35416666666666702</v>
      </c>
      <c r="E14" t="s">
        <v>140</v>
      </c>
      <c r="F14" t="s">
        <v>147</v>
      </c>
    </row>
    <row r="15" spans="1:8">
      <c r="A15" s="8">
        <v>0.375</v>
      </c>
      <c r="E15" t="s">
        <v>141</v>
      </c>
      <c r="F15" t="s">
        <v>147</v>
      </c>
    </row>
    <row r="16" spans="1:8">
      <c r="A16" s="8">
        <v>0.39583333333333398</v>
      </c>
      <c r="E16" t="s">
        <v>145</v>
      </c>
      <c r="F16" t="s">
        <v>147</v>
      </c>
    </row>
    <row r="17" spans="1:8">
      <c r="A17" s="8">
        <v>0.41666666666666702</v>
      </c>
      <c r="E17" t="s">
        <v>145</v>
      </c>
      <c r="F17" t="s">
        <v>147</v>
      </c>
    </row>
    <row r="18" spans="1:8">
      <c r="A18" s="8">
        <v>0.4375</v>
      </c>
      <c r="H18" t="s">
        <v>155</v>
      </c>
    </row>
    <row r="19" spans="1:8">
      <c r="A19" s="8">
        <v>0.45833333333333398</v>
      </c>
      <c r="H19" t="s">
        <v>155</v>
      </c>
    </row>
    <row r="20" spans="1:8">
      <c r="A20" s="8">
        <v>0.47916666666666702</v>
      </c>
      <c r="E20" t="s">
        <v>143</v>
      </c>
      <c r="H20" t="s">
        <v>155</v>
      </c>
    </row>
    <row r="21" spans="1:8">
      <c r="A21" s="8">
        <v>0.5</v>
      </c>
      <c r="E21" t="s">
        <v>143</v>
      </c>
      <c r="H21" t="s">
        <v>155</v>
      </c>
    </row>
    <row r="22" spans="1:8">
      <c r="A22" s="8">
        <v>0.52083333333333404</v>
      </c>
      <c r="E22" t="s">
        <v>144</v>
      </c>
      <c r="H22" t="s">
        <v>155</v>
      </c>
    </row>
    <row r="23" spans="1:8">
      <c r="A23" s="8">
        <v>0.54166666666666696</v>
      </c>
      <c r="H23" t="s">
        <v>155</v>
      </c>
    </row>
    <row r="24" spans="1:8">
      <c r="A24" s="8">
        <v>0.5625</v>
      </c>
      <c r="E24" t="s">
        <v>88</v>
      </c>
      <c r="H24" t="s">
        <v>155</v>
      </c>
    </row>
    <row r="25" spans="1:8">
      <c r="A25" s="8">
        <v>0.58333333333333404</v>
      </c>
      <c r="E25" t="s">
        <v>88</v>
      </c>
    </row>
    <row r="26" spans="1:8">
      <c r="A26" s="8">
        <v>0.60416666666666696</v>
      </c>
    </row>
    <row r="27" spans="1:8">
      <c r="A27" s="8">
        <v>0.625000000000001</v>
      </c>
      <c r="E27" t="s">
        <v>88</v>
      </c>
      <c r="H27" t="s">
        <v>147</v>
      </c>
    </row>
    <row r="28" spans="1:8">
      <c r="A28" s="8">
        <v>0.64583333333333404</v>
      </c>
      <c r="E28" t="s">
        <v>148</v>
      </c>
      <c r="H28" t="s">
        <v>147</v>
      </c>
    </row>
    <row r="29" spans="1:8">
      <c r="A29" s="8">
        <v>0.66666666666666696</v>
      </c>
      <c r="H29" t="s">
        <v>147</v>
      </c>
    </row>
    <row r="30" spans="1:8">
      <c r="A30" s="8">
        <v>0.687500000000001</v>
      </c>
      <c r="E30" t="s">
        <v>149</v>
      </c>
    </row>
    <row r="31" spans="1:8">
      <c r="A31" s="8">
        <v>0.70833333333333404</v>
      </c>
      <c r="H31" t="s">
        <v>153</v>
      </c>
    </row>
    <row r="32" spans="1:8">
      <c r="A32" s="8">
        <v>0.72916666666666696</v>
      </c>
      <c r="H32" t="s">
        <v>153</v>
      </c>
    </row>
    <row r="33" spans="1:8">
      <c r="A33" s="8">
        <v>0.750000000000001</v>
      </c>
      <c r="H33" t="s">
        <v>153</v>
      </c>
    </row>
    <row r="34" spans="1:8">
      <c r="A34" s="8">
        <v>0.77083333333333404</v>
      </c>
    </row>
    <row r="35" spans="1:8">
      <c r="A35" s="8">
        <v>0.79166666666666696</v>
      </c>
      <c r="E35" t="s">
        <v>146</v>
      </c>
      <c r="H35" t="s">
        <v>154</v>
      </c>
    </row>
    <row r="36" spans="1:8">
      <c r="A36" s="8">
        <v>0.812500000000001</v>
      </c>
      <c r="H36" t="s">
        <v>154</v>
      </c>
    </row>
    <row r="37" spans="1:8">
      <c r="A37" s="8">
        <v>0.83333333333333404</v>
      </c>
    </row>
    <row r="38" spans="1:8">
      <c r="A38" s="8">
        <v>0.85416666666666696</v>
      </c>
    </row>
    <row r="39" spans="1:8">
      <c r="A39" s="8">
        <v>0.875000000000001</v>
      </c>
      <c r="E39" t="s">
        <v>152</v>
      </c>
    </row>
    <row r="40" spans="1:8">
      <c r="A40" s="8">
        <v>0.89583333333333404</v>
      </c>
      <c r="E40" t="s">
        <v>152</v>
      </c>
    </row>
    <row r="41" spans="1:8">
      <c r="A41" s="8">
        <v>0.91666666666666696</v>
      </c>
      <c r="E41" t="s">
        <v>152</v>
      </c>
    </row>
    <row r="42" spans="1:8">
      <c r="A42" s="8">
        <v>0.937500000000001</v>
      </c>
    </row>
    <row r="43" spans="1:8">
      <c r="A43" s="8">
        <v>0.95833333333333404</v>
      </c>
    </row>
    <row r="44" spans="1:8">
      <c r="A44" s="8">
        <v>0.97916666666666696</v>
      </c>
    </row>
    <row r="45" spans="1:8">
      <c r="A45" s="8">
        <v>1</v>
      </c>
    </row>
    <row r="46" spans="1:8">
      <c r="A46" s="8">
        <v>1.0208333333333299</v>
      </c>
    </row>
    <row r="47" spans="1:8">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tabSelected="1" zoomScale="117" workbookViewId="0">
      <selection activeCell="B34" sqref="B34"/>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c r="B10" t="s">
        <v>161</v>
      </c>
    </row>
    <row r="11" spans="1:8">
      <c r="A11" s="8">
        <v>0.29166666666666702</v>
      </c>
    </row>
    <row r="12" spans="1:8">
      <c r="A12" s="8">
        <v>0.3125</v>
      </c>
    </row>
    <row r="13" spans="1:8">
      <c r="A13" s="8">
        <v>0.33333333333333398</v>
      </c>
      <c r="B13" t="s">
        <v>147</v>
      </c>
    </row>
    <row r="14" spans="1:8">
      <c r="A14" s="8">
        <v>0.35416666666666702</v>
      </c>
      <c r="B14" t="s">
        <v>147</v>
      </c>
    </row>
    <row r="15" spans="1:8">
      <c r="A15" s="8">
        <v>0.375</v>
      </c>
      <c r="B15" t="s">
        <v>147</v>
      </c>
    </row>
    <row r="16" spans="1:8">
      <c r="A16" s="8">
        <v>0.39583333333333398</v>
      </c>
      <c r="B16" t="s">
        <v>147</v>
      </c>
    </row>
    <row r="17" spans="1:2">
      <c r="A17" s="8">
        <v>0.41666666666666702</v>
      </c>
      <c r="B17" t="s">
        <v>147</v>
      </c>
    </row>
    <row r="18" spans="1:2">
      <c r="A18" s="8">
        <v>0.4375</v>
      </c>
    </row>
    <row r="19" spans="1:2">
      <c r="A19" s="8">
        <v>0.45833333333333398</v>
      </c>
      <c r="B19" t="s">
        <v>150</v>
      </c>
    </row>
    <row r="20" spans="1:2">
      <c r="A20" s="8">
        <v>0.47916666666666702</v>
      </c>
    </row>
    <row r="21" spans="1:2">
      <c r="A21" s="8">
        <v>0.5</v>
      </c>
    </row>
    <row r="22" spans="1:2">
      <c r="A22" s="8">
        <v>0.52083333333333404</v>
      </c>
    </row>
    <row r="23" spans="1:2">
      <c r="A23" s="8">
        <v>0.54166666666666696</v>
      </c>
    </row>
    <row r="24" spans="1:2">
      <c r="A24" s="8">
        <v>0.5625</v>
      </c>
    </row>
    <row r="25" spans="1:2">
      <c r="A25" s="8">
        <v>0.58333333333333404</v>
      </c>
    </row>
    <row r="26" spans="1:2">
      <c r="A26" s="8">
        <v>0.60416666666666696</v>
      </c>
    </row>
    <row r="27" spans="1:2">
      <c r="A27" s="8">
        <v>0.625000000000001</v>
      </c>
    </row>
    <row r="28" spans="1:2">
      <c r="A28" s="8">
        <v>0.64583333333333404</v>
      </c>
    </row>
    <row r="29" spans="1:2">
      <c r="A29" s="8">
        <v>0.66666666666666696</v>
      </c>
    </row>
    <row r="30" spans="1:2">
      <c r="A30" s="8">
        <v>0.687500000000001</v>
      </c>
    </row>
    <row r="31" spans="1:2">
      <c r="A31" s="8">
        <v>0.70833333333333404</v>
      </c>
    </row>
    <row r="32" spans="1:2">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F988F-2639-47BD-8AD5-6CE4EB03CBE8}">
  <dimension ref="A1:H47"/>
  <sheetViews>
    <sheetView workbookViewId="0">
      <selection activeCell="B26" sqref="B26"/>
    </sheetView>
  </sheetViews>
  <sheetFormatPr baseColWidth="10"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c r="B10" t="s">
        <v>161</v>
      </c>
      <c r="G10" t="s">
        <v>147</v>
      </c>
    </row>
    <row r="11" spans="1:8">
      <c r="A11" s="8">
        <v>0.29166666666666702</v>
      </c>
      <c r="G11" t="s">
        <v>147</v>
      </c>
    </row>
    <row r="12" spans="1:8">
      <c r="A12" s="8">
        <v>0.3125</v>
      </c>
      <c r="G12" t="s">
        <v>147</v>
      </c>
    </row>
    <row r="13" spans="1:8">
      <c r="A13" s="8">
        <v>0.33333333333333398</v>
      </c>
      <c r="B13" t="s">
        <v>147</v>
      </c>
    </row>
    <row r="14" spans="1:8">
      <c r="A14" s="8">
        <v>0.35416666666666702</v>
      </c>
      <c r="B14" t="s">
        <v>147</v>
      </c>
    </row>
    <row r="15" spans="1:8">
      <c r="A15" s="8">
        <v>0.375</v>
      </c>
      <c r="B15" t="s">
        <v>147</v>
      </c>
    </row>
    <row r="16" spans="1:8">
      <c r="A16" s="8">
        <v>0.39583333333333398</v>
      </c>
      <c r="B16" t="s">
        <v>147</v>
      </c>
    </row>
    <row r="17" spans="1:7">
      <c r="A17" s="8">
        <v>0.41666666666666702</v>
      </c>
      <c r="B17" t="s">
        <v>147</v>
      </c>
      <c r="G17" t="s">
        <v>156</v>
      </c>
    </row>
    <row r="18" spans="1:7">
      <c r="A18" s="8">
        <v>0.4375</v>
      </c>
      <c r="G18" t="s">
        <v>156</v>
      </c>
    </row>
    <row r="19" spans="1:7">
      <c r="A19" s="8">
        <v>0.45833333333333398</v>
      </c>
      <c r="B19" t="s">
        <v>150</v>
      </c>
      <c r="G19" t="s">
        <v>156</v>
      </c>
    </row>
    <row r="20" spans="1:7">
      <c r="A20" s="8">
        <v>0.47916666666666702</v>
      </c>
      <c r="G20" t="s">
        <v>156</v>
      </c>
    </row>
    <row r="21" spans="1:7">
      <c r="A21" s="8">
        <v>0.5</v>
      </c>
    </row>
    <row r="22" spans="1:7">
      <c r="A22" s="8">
        <v>0.52083333333333404</v>
      </c>
    </row>
    <row r="23" spans="1:7">
      <c r="A23" s="8">
        <v>0.54166666666666696</v>
      </c>
    </row>
    <row r="24" spans="1:7">
      <c r="A24" s="8">
        <v>0.5625</v>
      </c>
    </row>
    <row r="25" spans="1:7">
      <c r="A25" s="8">
        <v>0.58333333333333404</v>
      </c>
      <c r="G25" t="s">
        <v>159</v>
      </c>
    </row>
    <row r="26" spans="1:7">
      <c r="A26" s="8">
        <v>0.60416666666666696</v>
      </c>
      <c r="G26" t="s">
        <v>159</v>
      </c>
    </row>
    <row r="27" spans="1:7">
      <c r="A27" s="8">
        <v>0.625000000000001</v>
      </c>
      <c r="G27" t="s">
        <v>159</v>
      </c>
    </row>
    <row r="28" spans="1:7">
      <c r="A28" s="8">
        <v>0.64583333333333404</v>
      </c>
    </row>
    <row r="29" spans="1:7">
      <c r="A29" s="8">
        <v>0.66666666666666696</v>
      </c>
    </row>
    <row r="30" spans="1:7">
      <c r="A30" s="8">
        <v>0.687500000000001</v>
      </c>
    </row>
    <row r="31" spans="1:7">
      <c r="A31" s="8">
        <v>0.70833333333333404</v>
      </c>
    </row>
    <row r="32" spans="1:7">
      <c r="A32" s="8">
        <v>0.72916666666666696</v>
      </c>
    </row>
    <row r="33" spans="1:8">
      <c r="A33" s="8">
        <v>0.750000000000001</v>
      </c>
      <c r="H33" t="s">
        <v>160</v>
      </c>
    </row>
    <row r="34" spans="1:8">
      <c r="A34" s="8">
        <v>0.77083333333333404</v>
      </c>
      <c r="H34" t="s">
        <v>160</v>
      </c>
    </row>
    <row r="35" spans="1:8">
      <c r="A35" s="8">
        <v>0.79166666666666696</v>
      </c>
      <c r="H35" t="s">
        <v>160</v>
      </c>
    </row>
    <row r="36" spans="1:8">
      <c r="A36" s="8">
        <v>0.812500000000001</v>
      </c>
      <c r="H36" t="s">
        <v>160</v>
      </c>
    </row>
    <row r="37" spans="1:8">
      <c r="A37" s="8">
        <v>0.83333333333333404</v>
      </c>
      <c r="F37" t="s">
        <v>157</v>
      </c>
      <c r="G37" t="s">
        <v>158</v>
      </c>
      <c r="H37" t="s">
        <v>160</v>
      </c>
    </row>
    <row r="38" spans="1:8">
      <c r="A38" s="8">
        <v>0.85416666666666696</v>
      </c>
      <c r="F38" t="s">
        <v>157</v>
      </c>
      <c r="G38" t="s">
        <v>158</v>
      </c>
      <c r="H38" t="s">
        <v>160</v>
      </c>
    </row>
    <row r="39" spans="1:8">
      <c r="A39" s="8">
        <v>0.875000000000001</v>
      </c>
      <c r="F39" t="s">
        <v>157</v>
      </c>
      <c r="G39" t="s">
        <v>158</v>
      </c>
      <c r="H39" t="s">
        <v>160</v>
      </c>
    </row>
    <row r="40" spans="1:8">
      <c r="A40" s="8">
        <v>0.89583333333333404</v>
      </c>
      <c r="F40" t="s">
        <v>157</v>
      </c>
      <c r="G40" t="s">
        <v>158</v>
      </c>
      <c r="H40" t="s">
        <v>160</v>
      </c>
    </row>
    <row r="41" spans="1:8">
      <c r="A41" s="8">
        <v>0.91666666666666696</v>
      </c>
      <c r="F41" t="s">
        <v>157</v>
      </c>
      <c r="G41" t="s">
        <v>158</v>
      </c>
      <c r="H41" t="s">
        <v>160</v>
      </c>
    </row>
    <row r="42" spans="1:8">
      <c r="A42" s="8">
        <v>0.937500000000001</v>
      </c>
      <c r="F42" t="s">
        <v>157</v>
      </c>
      <c r="G42" t="s">
        <v>158</v>
      </c>
    </row>
    <row r="43" spans="1:8">
      <c r="A43" s="8">
        <v>0.95833333333333404</v>
      </c>
      <c r="F43" t="s">
        <v>157</v>
      </c>
      <c r="G43" t="s">
        <v>158</v>
      </c>
    </row>
    <row r="44" spans="1:8">
      <c r="A44" s="8">
        <v>0.97916666666666696</v>
      </c>
      <c r="F44" t="s">
        <v>157</v>
      </c>
      <c r="G44" t="s">
        <v>158</v>
      </c>
    </row>
    <row r="45" spans="1:8">
      <c r="A45" s="8">
        <v>1</v>
      </c>
      <c r="F45" t="s">
        <v>157</v>
      </c>
      <c r="G45" t="s">
        <v>158</v>
      </c>
    </row>
    <row r="46" spans="1:8">
      <c r="A46" s="8">
        <v>1.0208333333333299</v>
      </c>
      <c r="F46" t="s">
        <v>157</v>
      </c>
      <c r="G46" t="s">
        <v>158</v>
      </c>
    </row>
    <row r="47" spans="1:8">
      <c r="A47" s="8">
        <v>1.0416666666666701</v>
      </c>
      <c r="F47" t="s">
        <v>157</v>
      </c>
      <c r="G47" t="s">
        <v>158</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331FD-1924-4568-807E-3FA33273D483}">
  <dimension ref="A1:H47"/>
  <sheetViews>
    <sheetView workbookViewId="0">
      <selection activeCell="B10" sqref="B10"/>
    </sheetView>
  </sheetViews>
  <sheetFormatPr baseColWidth="10"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c r="B10" t="s">
        <v>151</v>
      </c>
    </row>
    <row r="11" spans="1:8">
      <c r="A11" s="8">
        <v>0.29166666666666702</v>
      </c>
    </row>
    <row r="12" spans="1:8">
      <c r="A12" s="8">
        <v>0.3125</v>
      </c>
    </row>
    <row r="13" spans="1:8">
      <c r="A13" s="8">
        <v>0.33333333333333398</v>
      </c>
      <c r="B13" t="s">
        <v>147</v>
      </c>
    </row>
    <row r="14" spans="1:8">
      <c r="A14" s="8">
        <v>0.35416666666666702</v>
      </c>
      <c r="B14" t="s">
        <v>147</v>
      </c>
    </row>
    <row r="15" spans="1:8">
      <c r="A15" s="8">
        <v>0.375</v>
      </c>
      <c r="B15" t="s">
        <v>147</v>
      </c>
    </row>
    <row r="16" spans="1:8">
      <c r="A16" s="8">
        <v>0.39583333333333398</v>
      </c>
      <c r="B16" t="s">
        <v>147</v>
      </c>
    </row>
    <row r="17" spans="1:2">
      <c r="A17" s="8">
        <v>0.41666666666666702</v>
      </c>
      <c r="B17" t="s">
        <v>147</v>
      </c>
    </row>
    <row r="18" spans="1:2">
      <c r="A18" s="8">
        <v>0.4375</v>
      </c>
    </row>
    <row r="19" spans="1:2">
      <c r="A19" s="8">
        <v>0.45833333333333398</v>
      </c>
      <c r="B19" t="s">
        <v>150</v>
      </c>
    </row>
    <row r="20" spans="1:2">
      <c r="A20" s="8">
        <v>0.47916666666666702</v>
      </c>
    </row>
    <row r="21" spans="1:2">
      <c r="A21" s="8">
        <v>0.5</v>
      </c>
    </row>
    <row r="22" spans="1:2">
      <c r="A22" s="8">
        <v>0.52083333333333404</v>
      </c>
    </row>
    <row r="23" spans="1:2">
      <c r="A23" s="8">
        <v>0.54166666666666696</v>
      </c>
    </row>
    <row r="24" spans="1:2">
      <c r="A24" s="8">
        <v>0.5625</v>
      </c>
    </row>
    <row r="25" spans="1:2">
      <c r="A25" s="8">
        <v>0.58333333333333404</v>
      </c>
    </row>
    <row r="26" spans="1:2">
      <c r="A26" s="8">
        <v>0.60416666666666696</v>
      </c>
    </row>
    <row r="27" spans="1:2">
      <c r="A27" s="8">
        <v>0.625000000000001</v>
      </c>
    </row>
    <row r="28" spans="1:2">
      <c r="A28" s="8">
        <v>0.64583333333333404</v>
      </c>
    </row>
    <row r="29" spans="1:2">
      <c r="A29" s="8">
        <v>0.66666666666666696</v>
      </c>
    </row>
    <row r="30" spans="1:2">
      <c r="A30" s="8">
        <v>0.687500000000001</v>
      </c>
    </row>
    <row r="31" spans="1:2">
      <c r="A31" s="8">
        <v>0.70833333333333404</v>
      </c>
    </row>
    <row r="32" spans="1:2">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359D5-5887-4A0D-A88E-7256F37A2577}">
  <dimension ref="A1:H47"/>
  <sheetViews>
    <sheetView workbookViewId="0">
      <selection activeCell="B10" sqref="B10"/>
    </sheetView>
  </sheetViews>
  <sheetFormatPr baseColWidth="10"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c r="B10" t="s">
        <v>162</v>
      </c>
    </row>
    <row r="11" spans="1:8">
      <c r="A11" s="8">
        <v>0.29166666666666702</v>
      </c>
    </row>
    <row r="12" spans="1:8">
      <c r="A12" s="8">
        <v>0.3125</v>
      </c>
    </row>
    <row r="13" spans="1:8">
      <c r="A13" s="8">
        <v>0.33333333333333398</v>
      </c>
      <c r="B13" t="s">
        <v>147</v>
      </c>
    </row>
    <row r="14" spans="1:8">
      <c r="A14" s="8">
        <v>0.35416666666666702</v>
      </c>
      <c r="B14" t="s">
        <v>147</v>
      </c>
    </row>
    <row r="15" spans="1:8">
      <c r="A15" s="8">
        <v>0.375</v>
      </c>
      <c r="B15" t="s">
        <v>147</v>
      </c>
    </row>
    <row r="16" spans="1:8">
      <c r="A16" s="8">
        <v>0.39583333333333398</v>
      </c>
      <c r="B16" t="s">
        <v>147</v>
      </c>
    </row>
    <row r="17" spans="1:2">
      <c r="A17" s="8">
        <v>0.41666666666666702</v>
      </c>
      <c r="B17" t="s">
        <v>147</v>
      </c>
    </row>
    <row r="18" spans="1:2">
      <c r="A18" s="8">
        <v>0.4375</v>
      </c>
    </row>
    <row r="19" spans="1:2">
      <c r="A19" s="8">
        <v>0.45833333333333398</v>
      </c>
      <c r="B19" t="s">
        <v>150</v>
      </c>
    </row>
    <row r="20" spans="1:2">
      <c r="A20" s="8">
        <v>0.47916666666666702</v>
      </c>
    </row>
    <row r="21" spans="1:2">
      <c r="A21" s="8">
        <v>0.5</v>
      </c>
    </row>
    <row r="22" spans="1:2">
      <c r="A22" s="8">
        <v>0.52083333333333404</v>
      </c>
    </row>
    <row r="23" spans="1:2">
      <c r="A23" s="8">
        <v>0.54166666666666696</v>
      </c>
    </row>
    <row r="24" spans="1:2">
      <c r="A24" s="8">
        <v>0.5625</v>
      </c>
    </row>
    <row r="25" spans="1:2">
      <c r="A25" s="8">
        <v>0.58333333333333404</v>
      </c>
    </row>
    <row r="26" spans="1:2">
      <c r="A26" s="8">
        <v>0.60416666666666696</v>
      </c>
    </row>
    <row r="27" spans="1:2">
      <c r="A27" s="8">
        <v>0.625000000000001</v>
      </c>
    </row>
    <row r="28" spans="1:2">
      <c r="A28" s="8">
        <v>0.64583333333333404</v>
      </c>
    </row>
    <row r="29" spans="1:2">
      <c r="A29" s="8">
        <v>0.66666666666666696</v>
      </c>
    </row>
    <row r="30" spans="1:2">
      <c r="A30" s="8">
        <v>0.687500000000001</v>
      </c>
    </row>
    <row r="31" spans="1:2">
      <c r="A31" s="8">
        <v>0.70833333333333404</v>
      </c>
    </row>
    <row r="32" spans="1:2">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ANLEITUNG</vt:lpstr>
      <vt:lpstr>Semesterplan</vt:lpstr>
      <vt:lpstr>Best-Practices</vt:lpstr>
      <vt:lpstr>COMMITTMENT</vt:lpstr>
      <vt:lpstr>Wochenplan KW 41</vt:lpstr>
      <vt:lpstr>Wochenplan KW 42</vt:lpstr>
      <vt:lpstr>Wochenplan KW 43</vt:lpstr>
      <vt:lpstr>Wochenplan KW 44</vt:lpstr>
      <vt:lpstr>Wochenplan KW 45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Paul Bärnthaler</cp:lastModifiedBy>
  <dcterms:created xsi:type="dcterms:W3CDTF">2020-04-19T13:33:28Z</dcterms:created>
  <dcterms:modified xsi:type="dcterms:W3CDTF">2022-10-13T14:48:23Z</dcterms:modified>
</cp:coreProperties>
</file>