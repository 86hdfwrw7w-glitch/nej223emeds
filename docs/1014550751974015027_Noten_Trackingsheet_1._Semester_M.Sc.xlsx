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https://d.docs.live.net/b94bff7e746e7018/Documents/01 MSc/"/>
    </mc:Choice>
  </mc:AlternateContent>
  <xr:revisionPtr revIDLastSave="0" documentId="8_{0C42165F-F99F-4AD2-9BC9-9FADD5F409FB}" xr6:coauthVersionLast="47" xr6:coauthVersionMax="47" xr10:uidLastSave="{00000000-0000-0000-0000-000000000000}"/>
  <bookViews>
    <workbookView xWindow="-120" yWindow="-120" windowWidth="29040" windowHeight="15720" activeTab="1" xr2:uid="{00000000-000D-0000-FFFF-FFFF00000000}"/>
  </bookViews>
  <sheets>
    <sheet name="Anleitung" sheetId="1" r:id="rId1"/>
    <sheet name="Semesterplan" sheetId="2" r:id="rId2"/>
    <sheet name="COMMITTMENT" sheetId="3" state="hidden" r:id="rId3"/>
    <sheet name="Wochenplan KW 19" sheetId="4" state="hidden" r:id="rId4"/>
    <sheet name="Wochenplan KW 20"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9" roundtripDataSignature="AMtx7mgTz4fZvgUeS4hiqBbcJcPFj2iuag=="/>
    </ext>
  </extLst>
</workbook>
</file>

<file path=xl/calcChain.xml><?xml version="1.0" encoding="utf-8"?>
<calcChain xmlns="http://schemas.openxmlformats.org/spreadsheetml/2006/main">
  <c r="K86" i="2" l="1" a="1"/>
  <c r="K86" i="2" s="1"/>
  <c r="J86" i="2" a="1"/>
  <c r="J86" i="2" s="1"/>
  <c r="I86" i="2"/>
  <c r="K85" i="2" a="1"/>
  <c r="K85" i="2" s="1"/>
  <c r="J85" i="2" a="1"/>
  <c r="J85" i="2"/>
  <c r="I85" i="2"/>
  <c r="K84" i="2" a="1"/>
  <c r="K84" i="2" s="1"/>
  <c r="J84" i="2" a="1"/>
  <c r="J84" i="2" s="1"/>
  <c r="I84" i="2"/>
  <c r="K83" i="2" a="1"/>
  <c r="K83" i="2" s="1"/>
  <c r="J83" i="2" a="1"/>
  <c r="J83" i="2" s="1"/>
  <c r="I83" i="2"/>
  <c r="K82" i="2" a="1"/>
  <c r="K82" i="2" s="1"/>
  <c r="J82" i="2" a="1"/>
  <c r="J82" i="2" s="1"/>
  <c r="I82" i="2"/>
  <c r="K81" i="2" a="1"/>
  <c r="K81" i="2" s="1"/>
  <c r="J81" i="2" a="1"/>
  <c r="J81" i="2"/>
  <c r="I81" i="2"/>
  <c r="K80" i="2" a="1"/>
  <c r="K80" i="2" s="1"/>
  <c r="J80" i="2" a="1"/>
  <c r="J80" i="2" s="1"/>
  <c r="I80" i="2"/>
  <c r="K79" i="2" a="1"/>
  <c r="K79" i="2" s="1"/>
  <c r="K78" i="2" s="1"/>
  <c r="J79" i="2" a="1"/>
  <c r="J79" i="2"/>
  <c r="I79" i="2"/>
  <c r="I78" i="2" s="1"/>
  <c r="G78" i="2"/>
  <c r="K76" i="2" a="1"/>
  <c r="K76" i="2" s="1"/>
  <c r="J76" i="2" a="1"/>
  <c r="J76" i="2" s="1"/>
  <c r="I76" i="2"/>
  <c r="K75" i="2" a="1"/>
  <c r="K75" i="2" s="1"/>
  <c r="J75" i="2" a="1"/>
  <c r="J75" i="2" s="1"/>
  <c r="I75" i="2"/>
  <c r="K74" i="2" a="1"/>
  <c r="K74" i="2" s="1"/>
  <c r="J74" i="2" a="1"/>
  <c r="J74" i="2" s="1"/>
  <c r="I74" i="2"/>
  <c r="K73" i="2" a="1"/>
  <c r="K73" i="2" s="1"/>
  <c r="J73" i="2" a="1"/>
  <c r="J73" i="2" s="1"/>
  <c r="I73" i="2"/>
  <c r="K72" i="2" a="1"/>
  <c r="K72" i="2"/>
  <c r="J72" i="2" a="1"/>
  <c r="J72" i="2" s="1"/>
  <c r="I72" i="2"/>
  <c r="K71" i="2" a="1"/>
  <c r="K71" i="2" s="1"/>
  <c r="J71" i="2" a="1"/>
  <c r="J71" i="2" s="1"/>
  <c r="I71" i="2"/>
  <c r="K70" i="2" a="1"/>
  <c r="K70" i="2" s="1"/>
  <c r="J70" i="2" a="1"/>
  <c r="J70" i="2" s="1"/>
  <c r="I70" i="2"/>
  <c r="K69" i="2" a="1"/>
  <c r="K69" i="2" s="1"/>
  <c r="J69" i="2" a="1"/>
  <c r="J69" i="2" s="1"/>
  <c r="I69" i="2"/>
  <c r="K68" i="2" a="1"/>
  <c r="K68" i="2" s="1"/>
  <c r="J68" i="2" a="1"/>
  <c r="J68" i="2" s="1"/>
  <c r="I68" i="2"/>
  <c r="K67" i="2" a="1"/>
  <c r="K67" i="2" s="1"/>
  <c r="J67" i="2" a="1"/>
  <c r="J67" i="2" s="1"/>
  <c r="I67" i="2"/>
  <c r="K66" i="2" a="1"/>
  <c r="K66" i="2" s="1"/>
  <c r="J66" i="2" a="1"/>
  <c r="J66" i="2" s="1"/>
  <c r="I66" i="2"/>
  <c r="K65" i="2" a="1"/>
  <c r="K65" i="2" s="1"/>
  <c r="J65" i="2" a="1"/>
  <c r="J65" i="2" s="1"/>
  <c r="I65" i="2"/>
  <c r="K64" i="2" a="1"/>
  <c r="K64" i="2"/>
  <c r="J64" i="2" a="1"/>
  <c r="J64" i="2" s="1"/>
  <c r="I64" i="2"/>
  <c r="K63" i="2" a="1"/>
  <c r="K63" i="2" s="1"/>
  <c r="J63" i="2" a="1"/>
  <c r="J63" i="2" s="1"/>
  <c r="I63" i="2"/>
  <c r="G62" i="2"/>
  <c r="K60" i="2" a="1"/>
  <c r="K60" i="2" s="1"/>
  <c r="J60" i="2" a="1"/>
  <c r="J60" i="2"/>
  <c r="I60" i="2"/>
  <c r="K59" i="2" a="1"/>
  <c r="K59" i="2" s="1"/>
  <c r="J59" i="2" a="1"/>
  <c r="J59" i="2"/>
  <c r="I59" i="2"/>
  <c r="K58" i="2" a="1"/>
  <c r="K58" i="2"/>
  <c r="J58" i="2" a="1"/>
  <c r="J58" i="2" s="1"/>
  <c r="I58" i="2"/>
  <c r="K57" i="2" a="1"/>
  <c r="K57" i="2" s="1"/>
  <c r="J57" i="2" a="1"/>
  <c r="J57" i="2"/>
  <c r="I57" i="2"/>
  <c r="K56" i="2" a="1"/>
  <c r="K56" i="2" s="1"/>
  <c r="J56" i="2" a="1"/>
  <c r="J56" i="2" s="1"/>
  <c r="I56" i="2"/>
  <c r="K55" i="2" a="1"/>
  <c r="K55" i="2" s="1"/>
  <c r="J55" i="2" a="1"/>
  <c r="J55" i="2"/>
  <c r="I55" i="2"/>
  <c r="K54" i="2" a="1"/>
  <c r="K54" i="2" s="1"/>
  <c r="J54" i="2" a="1"/>
  <c r="J54" i="2" s="1"/>
  <c r="I54" i="2"/>
  <c r="K53" i="2" a="1"/>
  <c r="K53" i="2" s="1"/>
  <c r="J53" i="2" a="1"/>
  <c r="J53" i="2"/>
  <c r="I53" i="2"/>
  <c r="G52" i="2"/>
  <c r="K50" i="2" a="1"/>
  <c r="K50" i="2" s="1"/>
  <c r="J50" i="2" a="1"/>
  <c r="J50" i="2" s="1"/>
  <c r="I50" i="2"/>
  <c r="K49" i="2" a="1"/>
  <c r="K49" i="2" s="1"/>
  <c r="J49" i="2" a="1"/>
  <c r="J49" i="2" s="1"/>
  <c r="I49" i="2"/>
  <c r="K48" i="2" a="1"/>
  <c r="K48" i="2" s="1"/>
  <c r="J48" i="2" a="1"/>
  <c r="J48" i="2" s="1"/>
  <c r="I48" i="2"/>
  <c r="K47" i="2" a="1"/>
  <c r="K47" i="2" s="1"/>
  <c r="J47" i="2" a="1"/>
  <c r="J47" i="2" s="1"/>
  <c r="I47" i="2"/>
  <c r="K46" i="2" a="1"/>
  <c r="K46" i="2" s="1"/>
  <c r="J46" i="2" a="1"/>
  <c r="J46" i="2"/>
  <c r="I46" i="2"/>
  <c r="K45" i="2" a="1"/>
  <c r="K45" i="2" s="1"/>
  <c r="J45" i="2" a="1"/>
  <c r="J45" i="2"/>
  <c r="I45" i="2"/>
  <c r="K44" i="2" a="1"/>
  <c r="K44" i="2"/>
  <c r="J44" i="2" a="1"/>
  <c r="J44" i="2" s="1"/>
  <c r="I44" i="2"/>
  <c r="K43" i="2" a="1"/>
  <c r="K43" i="2" s="1"/>
  <c r="J43" i="2" a="1"/>
  <c r="J43" i="2"/>
  <c r="I43" i="2"/>
  <c r="G42" i="2"/>
  <c r="K40" i="2" a="1"/>
  <c r="K40" i="2" s="1"/>
  <c r="J40" i="2" a="1"/>
  <c r="J40" i="2" s="1"/>
  <c r="I40" i="2"/>
  <c r="K39" i="2" a="1"/>
  <c r="K39" i="2" s="1"/>
  <c r="J39" i="2" a="1"/>
  <c r="J39" i="2" s="1"/>
  <c r="I39" i="2"/>
  <c r="K38" i="2" a="1"/>
  <c r="K38" i="2" s="1"/>
  <c r="J38" i="2" a="1"/>
  <c r="J38" i="2" s="1"/>
  <c r="I38" i="2"/>
  <c r="K37" i="2" a="1"/>
  <c r="K37" i="2" s="1"/>
  <c r="J37" i="2" a="1"/>
  <c r="J37" i="2" s="1"/>
  <c r="I37" i="2"/>
  <c r="K36" i="2" a="1"/>
  <c r="K36" i="2" s="1"/>
  <c r="J36" i="2" a="1"/>
  <c r="J36" i="2" s="1"/>
  <c r="I36" i="2"/>
  <c r="K35" i="2" a="1"/>
  <c r="K35" i="2" s="1"/>
  <c r="J35" i="2" a="1"/>
  <c r="J35" i="2" s="1"/>
  <c r="I35" i="2"/>
  <c r="K34" i="2" a="1"/>
  <c r="K34" i="2" s="1"/>
  <c r="J34" i="2" a="1"/>
  <c r="J34" i="2" s="1"/>
  <c r="I34" i="2"/>
  <c r="K33" i="2" a="1"/>
  <c r="K33" i="2" s="1"/>
  <c r="J33" i="2" a="1"/>
  <c r="J33" i="2" s="1"/>
  <c r="I33" i="2"/>
  <c r="G32" i="2"/>
  <c r="K30" i="2" a="1"/>
  <c r="K30" i="2" s="1"/>
  <c r="J30" i="2" a="1"/>
  <c r="J30" i="2" s="1"/>
  <c r="I30" i="2"/>
  <c r="K29" i="2" a="1"/>
  <c r="K29" i="2" s="1"/>
  <c r="J29" i="2" a="1"/>
  <c r="J29" i="2" s="1"/>
  <c r="I29" i="2"/>
  <c r="K28" i="2" a="1"/>
  <c r="K28" i="2" s="1"/>
  <c r="J28" i="2" a="1"/>
  <c r="J28" i="2" s="1"/>
  <c r="I28" i="2"/>
  <c r="K27" i="2" a="1"/>
  <c r="K27" i="2" s="1"/>
  <c r="J27" i="2" a="1"/>
  <c r="J27" i="2" s="1"/>
  <c r="I27" i="2"/>
  <c r="K26" i="2" a="1"/>
  <c r="K26" i="2"/>
  <c r="J26" i="2" a="1"/>
  <c r="J26" i="2" s="1"/>
  <c r="I26" i="2"/>
  <c r="K25" i="2" a="1"/>
  <c r="K25" i="2" s="1"/>
  <c r="J25" i="2" a="1"/>
  <c r="J25" i="2"/>
  <c r="I25" i="2"/>
  <c r="K24" i="2" a="1"/>
  <c r="K24" i="2" s="1"/>
  <c r="J24" i="2" a="1"/>
  <c r="J24" i="2" s="1"/>
  <c r="I24" i="2"/>
  <c r="K23" i="2" a="1"/>
  <c r="K23" i="2" s="1"/>
  <c r="J23" i="2" a="1"/>
  <c r="J23" i="2" s="1"/>
  <c r="I23" i="2"/>
  <c r="G22" i="2"/>
  <c r="K20" i="2" a="1"/>
  <c r="K20" i="2"/>
  <c r="J20" i="2" a="1"/>
  <c r="J20" i="2" s="1"/>
  <c r="I20" i="2"/>
  <c r="K19" i="2" a="1"/>
  <c r="K19" i="2"/>
  <c r="J19" i="2" a="1"/>
  <c r="J19" i="2" s="1"/>
  <c r="I19" i="2"/>
  <c r="K18" i="2" a="1"/>
  <c r="K18" i="2" s="1"/>
  <c r="J18" i="2" a="1"/>
  <c r="J18" i="2" s="1"/>
  <c r="I18" i="2"/>
  <c r="K17" i="2" a="1"/>
  <c r="K17" i="2" s="1"/>
  <c r="J17" i="2" a="1"/>
  <c r="J17" i="2" s="1"/>
  <c r="I17" i="2"/>
  <c r="K16" i="2" a="1"/>
  <c r="K16" i="2" s="1"/>
  <c r="J16" i="2" a="1"/>
  <c r="J16" i="2" s="1"/>
  <c r="I16" i="2"/>
  <c r="K15" i="2" a="1"/>
  <c r="K15" i="2" s="1"/>
  <c r="J15" i="2" a="1"/>
  <c r="J15" i="2"/>
  <c r="I15" i="2"/>
  <c r="G14" i="2"/>
  <c r="K12" i="2" a="1"/>
  <c r="K12" i="2"/>
  <c r="J12" i="2" a="1"/>
  <c r="J12" i="2" s="1"/>
  <c r="I12" i="2"/>
  <c r="K11" i="2" a="1"/>
  <c r="K11" i="2" s="1"/>
  <c r="J11" i="2" a="1"/>
  <c r="J11" i="2" s="1"/>
  <c r="I11" i="2"/>
  <c r="K10" i="2" a="1"/>
  <c r="K10" i="2" s="1"/>
  <c r="J10" i="2" a="1"/>
  <c r="J10" i="2" s="1"/>
  <c r="I10" i="2"/>
  <c r="K9" i="2" a="1"/>
  <c r="K9" i="2" s="1"/>
  <c r="J9" i="2" a="1"/>
  <c r="J9" i="2"/>
  <c r="I9" i="2"/>
  <c r="K8" i="2" a="1"/>
  <c r="K8" i="2" s="1"/>
  <c r="J8" i="2" a="1"/>
  <c r="J8" i="2"/>
  <c r="I8" i="2"/>
  <c r="K7" i="2" a="1"/>
  <c r="K7" i="2" s="1"/>
  <c r="J7" i="2" a="1"/>
  <c r="J7" i="2" s="1"/>
  <c r="I7" i="2"/>
  <c r="K6" i="2" a="1"/>
  <c r="K6" i="2"/>
  <c r="J6" i="2" a="1"/>
  <c r="J6" i="2" s="1"/>
  <c r="I6" i="2"/>
  <c r="K5" i="2" a="1"/>
  <c r="K5" i="2" s="1"/>
  <c r="J5" i="2" a="1"/>
  <c r="J5" i="2" s="1"/>
  <c r="I5" i="2"/>
  <c r="G4" i="2"/>
  <c r="A35" i="1"/>
  <c r="A34" i="1"/>
  <c r="J32" i="2" l="1"/>
  <c r="I4" i="2"/>
  <c r="K14" i="2"/>
  <c r="K42" i="2"/>
  <c r="J22" i="2"/>
  <c r="I32" i="2"/>
  <c r="I52" i="2"/>
  <c r="J42" i="2"/>
  <c r="I22" i="2"/>
  <c r="I62" i="2"/>
  <c r="I14" i="2"/>
  <c r="I42" i="2"/>
  <c r="K22" i="2"/>
  <c r="J78" i="2"/>
  <c r="K32" i="2"/>
  <c r="J52" i="2"/>
  <c r="K62" i="2"/>
  <c r="J62" i="2"/>
  <c r="J4" i="2"/>
  <c r="K52" i="2"/>
  <c r="K4" i="2"/>
  <c r="J14" i="2"/>
</calcChain>
</file>

<file path=xl/sharedStrings.xml><?xml version="1.0" encoding="utf-8"?>
<sst xmlns="http://schemas.openxmlformats.org/spreadsheetml/2006/main" count="407" uniqueCount="124">
  <si>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</si>
  <si>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</si>
  <si>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</si>
  <si>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</si>
  <si>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</si>
  <si>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</si>
  <si>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</si>
  <si>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</si>
  <si>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</si>
  <si>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</si>
  <si>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</si>
  <si>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</si>
  <si>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</si>
  <si>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</si>
  <si>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</si>
  <si>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</si>
  <si>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</si>
  <si>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</si>
  <si>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</si>
  <si>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</si>
  <si>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</si>
  <si>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</si>
  <si>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</si>
  <si>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</si>
  <si>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</si>
  <si>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</si>
  <si>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</si>
  <si>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</si>
  <si>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</si>
  <si>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</si>
  <si>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</si>
  <si>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</si>
  <si>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</si>
  <si>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</si>
  <si>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</si>
  <si>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</si>
  <si>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</si>
  <si>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</si>
  <si>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</si>
  <si>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</si>
  <si>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</si>
  <si>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</si>
  <si>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</si>
  <si>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</si>
  <si>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</si>
  <si>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</si>
  <si>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</si>
  <si>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</si>
  <si>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</si>
  <si>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</si>
  <si>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</si>
  <si>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</si>
  <si>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</si>
  <si>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</si>
  <si>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</si>
  <si>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</si>
  <si>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</si>
  <si>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</si>
  <si>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</si>
  <si>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</si>
  <si>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</si>
  <si>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</si>
  <si>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</si>
  <si>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</si>
  <si>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3LVLups</t>
  </si>
  <si>
    <t>4LVLups</t>
  </si>
  <si>
    <t>2) Confidence Interval Estimation &amp; Hypothesis Testing</t>
  </si>
  <si>
    <t>3 LVLups</t>
  </si>
  <si>
    <t>3) Regression Analytics</t>
  </si>
  <si>
    <t>4) Inference &amp; Forecasting</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</si>
  <si>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</si>
  <si>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</si>
  <si>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</si>
  <si>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</si>
  <si>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</si>
  <si>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</si>
  <si>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</si>
  <si>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</si>
  <si>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</si>
  <si>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</si>
  <si>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</si>
  <si>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</si>
  <si>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</si>
  <si>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</si>
  <si>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</si>
  <si>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</si>
  <si>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</si>
  <si>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</si>
  <si>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</si>
  <si>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</si>
  <si>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</si>
  <si>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</si>
  <si>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</si>
  <si>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</si>
  <si>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</si>
  <si>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</si>
  <si>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</si>
  <si>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</si>
  <si>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</si>
  <si>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</si>
  <si>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</si>
  <si>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</si>
  <si>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</si>
  <si>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5LVLUps</t>
  </si>
  <si>
    <t>4LVLUPS</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</si>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</sst>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0.0%"/>
  </numFmts>
  <fonts count="8" x14ac:knownFonts="1">
    <font>
      <sz val="12"/>
      <color theme="1"/>
      <name val="Calibri"/>
      <scheme val="minor"/>
    </font>
    <font>
      <sz val="12"/>
      <color theme="1"/>
      <name val="Calibri"/>
    </font>
    <font>
      <b/>
      <i/>
      <u/>
      <sz val="16"/>
      <color theme="1"/>
      <name val="Calibri"/>
    </font>
    <font>
      <b/>
      <sz val="12"/>
      <color theme="1"/>
      <name val="Calibri"/>
    </font>
    <font>
      <sz val="12"/>
      <color theme="1"/>
      <name val="Calibri"/>
      <scheme val="minor"/>
    </font>
    <font>
      <b/>
      <sz val="26"/>
      <color theme="1"/>
      <name val="Calibri"/>
    </font>
    <font>
      <sz val="12"/>
      <name val="Calibri"/>
    </font>
    <font>
      <b/>
      <sz val="20"/>
      <color theme="1"/>
      <name val="Calibri"/>
    </font>
  </fonts>
  <fills count="6">
    <fill>
      <patternFill patternType="none"/>
    </fill>
    <fill>
      <patternFill patternType="gray125"/>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applyFont="1" applyAlignment="1"/>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4" fillId="0" borderId="0" xfId="0" applyFont="1" applyAlignment="1"/>
    <xf numFmtId="0" fontId="4" fillId="0" borderId="0" xfId="0" applyFont="1"/>
    <xf numFmtId="0" fontId="5" fillId="0" borderId="0" xfId="0" applyFont="1"/>
    <xf numFmtId="0" fontId="4" fillId="0" borderId="0" xfId="0" applyFont="1" applyAlignment="1"/>
    <xf numFmtId="0" fontId="1" fillId="2" borderId="1" xfId="0" applyFont="1" applyFill="1" applyBorder="1"/>
    <xf numFmtId="0" fontId="1" fillId="0" borderId="0" xfId="0" applyFont="1" applyAlignment="1"/>
    <xf numFmtId="0" fontId="1" fillId="0" borderId="5" xfId="0" applyFont="1" applyBorder="1" applyAlignment="1"/>
    <xf numFmtId="0" fontId="3" fillId="3" borderId="1" xfId="0" applyFont="1" applyFill="1" applyBorder="1"/>
    <xf numFmtId="0" fontId="3" fillId="3" borderId="1" xfId="0" applyFont="1" applyFill="1" applyBorder="1" applyAlignment="1"/>
    <xf numFmtId="0" fontId="3" fillId="3" borderId="1" xfId="0" applyFont="1" applyFill="1" applyBorder="1" applyAlignment="1"/>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4" fillId="0" borderId="0" xfId="0" applyFont="1" applyAlignment="1"/>
    <xf numFmtId="164" fontId="4" fillId="0" borderId="0" xfId="0" applyNumberFormat="1" applyFont="1" applyAlignment="1"/>
    <xf numFmtId="0" fontId="1" fillId="0" borderId="0" xfId="0" applyFont="1" applyAlignment="1">
      <alignment horizontal="center"/>
    </xf>
    <xf numFmtId="9" fontId="1" fillId="0" borderId="0" xfId="0" applyNumberFormat="1" applyFont="1"/>
    <xf numFmtId="1" fontId="1" fillId="0" borderId="0" xfId="0" applyNumberFormat="1" applyFont="1" applyAlignment="1">
      <alignment horizontal="center"/>
    </xf>
    <xf numFmtId="9" fontId="1" fillId="0" borderId="0" xfId="0" applyNumberFormat="1" applyFont="1" applyAlignment="1">
      <alignment horizontal="center"/>
    </xf>
    <xf numFmtId="9" fontId="1" fillId="0" borderId="0" xfId="0" applyNumberFormat="1" applyFont="1" applyAlignment="1"/>
    <xf numFmtId="165" fontId="1" fillId="0" borderId="0" xfId="0" applyNumberFormat="1" applyFont="1" applyAlignment="1"/>
    <xf numFmtId="0" fontId="1" fillId="0" borderId="0" xfId="0" applyFont="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14" fontId="1" fillId="0" borderId="0" xfId="0" applyNumberFormat="1" applyFont="1" applyAlignment="1">
      <alignment horizontal="center"/>
    </xf>
    <xf numFmtId="9" fontId="1" fillId="0" borderId="0" xfId="0" applyNumberFormat="1" applyFont="1" applyAlignment="1">
      <alignment horizontal="center"/>
    </xf>
    <xf numFmtId="0" fontId="4" fillId="0" borderId="0" xfId="0" applyFont="1"/>
    <xf numFmtId="0" fontId="7" fillId="0" borderId="0" xfId="0" applyFont="1"/>
    <xf numFmtId="20" fontId="1" fillId="0" borderId="0" xfId="0" applyNumberFormat="1" applyFont="1"/>
    <xf numFmtId="0" fontId="3" fillId="3" borderId="2" xfId="0" applyFont="1" applyFill="1" applyBorder="1" applyAlignment="1">
      <alignment horizontal="center"/>
    </xf>
    <xf numFmtId="0" fontId="6" fillId="0" borderId="3" xfId="0" applyFont="1" applyBorder="1"/>
    <xf numFmtId="0" fontId="6" fillId="0" borderId="4" xfId="0" applyFont="1" applyBorder="1"/>
    <xf numFmtId="0" fontId="3" fillId="5" borderId="2" xfId="0" applyFont="1" applyFill="1" applyBorder="1" applyAlignment="1">
      <alignment horizontal="center"/>
    </xf>
    <xf numFmtId="0" fontId="3" fillId="4" borderId="2" xfId="0" applyFont="1" applyFill="1" applyBorder="1" applyAlignment="1">
      <alignment horizontal="center"/>
    </xf>
  </cellXfs>
  <cellStyles count="1">
    <cellStyle name="Standard" xfId="0" builtinId="0"/>
  </cellStyles>
  <dxfs count="31">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5"/>
          <bgColor theme="5"/>
        </patternFill>
      </fill>
    </dxf>
  </dxfs>
  <tableStyles count="1">
    <tableStyle name="COMMITTMENT-style" pivot="0" count="3" xr9:uid="{00000000-0011-0000-FFFF-FFFF00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baseColWidth="10" defaultColWidth="11.25" defaultRowHeight="15" customHeight="1" x14ac:dyDescent="0.25"/>
  <cols>
    <col min="1" max="1" width="10.625" customWidth="1"/>
    <col min="2" max="2" width="161" customWidth="1"/>
    <col min="3" max="3" width="10.75" customWidth="1"/>
    <col min="4" max="26" width="10.625" customWidth="1"/>
  </cols>
  <sheetData>
    <row r="1" spans="2:3" ht="15.75" customHeight="1" x14ac:dyDescent="0.25">
      <c r="C1" s="1"/>
    </row>
    <row r="2" spans="2:3" ht="15.75" customHeight="1" x14ac:dyDescent="0.25">
      <c r="C2" s="1"/>
    </row>
    <row r="3" spans="2:3" ht="15.75" customHeight="1" x14ac:dyDescent="0.25">
      <c r="C3" s="1"/>
    </row>
    <row r="4" spans="2:3" ht="15.75" customHeight="1" x14ac:dyDescent="0.35">
      <c r="B4" s="2" t="s">
        <v>0</v>
      </c>
      <c r="C4" s="1"/>
    </row>
    <row r="5" spans="2:3" ht="15.75" customHeight="1" x14ac:dyDescent="0.25">
      <c r="C5" s="1"/>
    </row>
    <row r="6" spans="2:3" ht="15.75" customHeight="1" x14ac:dyDescent="0.25">
      <c r="B6" s="3" t="s">
        <v>1</v>
      </c>
      <c r="C6" s="1"/>
    </row>
    <row r="7" spans="2:3" ht="15.75" customHeight="1" x14ac:dyDescent="0.25">
      <c r="B7" s="4" t="s">
        <v>2</v>
      </c>
      <c r="C7" s="1"/>
    </row>
    <row r="8" spans="2:3" ht="15.75" customHeight="1" x14ac:dyDescent="0.25">
      <c r="C8" s="1"/>
    </row>
    <row r="9" spans="2:3" ht="15.75" customHeight="1" x14ac:dyDescent="0.25">
      <c r="B9" s="3" t="s">
        <v>3</v>
      </c>
      <c r="C9" s="1"/>
    </row>
    <row r="10" spans="2:3" ht="15.75" customHeight="1" x14ac:dyDescent="0.25">
      <c r="B10" s="4" t="s">
        <v>4</v>
      </c>
      <c r="C10" s="1"/>
    </row>
    <row r="11" spans="2:3" ht="15.75" customHeight="1" x14ac:dyDescent="0.25">
      <c r="C11" s="1"/>
    </row>
    <row r="12" spans="2:3" ht="15.75" customHeight="1" x14ac:dyDescent="0.25">
      <c r="B12" s="3" t="s">
        <v>5</v>
      </c>
      <c r="C12" s="1"/>
    </row>
    <row r="13" spans="2:3" ht="15.75" customHeight="1" x14ac:dyDescent="0.25">
      <c r="B13" s="4" t="s">
        <v>6</v>
      </c>
      <c r="C13" s="1"/>
    </row>
    <row r="14" spans="2:3" ht="15.75" customHeight="1" x14ac:dyDescent="0.25">
      <c r="C14" s="1"/>
    </row>
    <row r="15" spans="2:3" ht="15.75" customHeight="1" x14ac:dyDescent="0.25">
      <c r="B15" s="3" t="s">
        <v>7</v>
      </c>
      <c r="C15" s="1"/>
    </row>
    <row r="16" spans="2:3" ht="15.75" customHeight="1" x14ac:dyDescent="0.25">
      <c r="B16" s="4" t="s">
        <v>8</v>
      </c>
      <c r="C16" s="1"/>
    </row>
    <row r="17" spans="1:3" ht="15.75" customHeight="1" x14ac:dyDescent="0.25">
      <c r="B17" s="4"/>
      <c r="C17" s="1"/>
    </row>
    <row r="18" spans="1:3" ht="15.75" customHeight="1" x14ac:dyDescent="0.25">
      <c r="B18" s="3" t="s">
        <v>9</v>
      </c>
      <c r="C18" s="1"/>
    </row>
    <row r="19" spans="1:3" ht="15.75" customHeight="1" x14ac:dyDescent="0.25">
      <c r="B19" s="4" t="s">
        <v>10</v>
      </c>
      <c r="C19" s="1"/>
    </row>
    <row r="20" spans="1:3" ht="15.75" customHeight="1" x14ac:dyDescent="0.25">
      <c r="C20" s="1"/>
    </row>
    <row r="21" spans="1:3" ht="15.75" customHeight="1" x14ac:dyDescent="0.25">
      <c r="B21" s="3" t="s">
        <v>11</v>
      </c>
      <c r="C21" s="1"/>
    </row>
    <row r="22" spans="1:3" ht="15.75" customHeight="1" x14ac:dyDescent="0.25">
      <c r="B22" s="4" t="s">
        <v>12</v>
      </c>
      <c r="C22" s="1"/>
    </row>
    <row r="23" spans="1:3" ht="15.75" customHeight="1" x14ac:dyDescent="0.25">
      <c r="C23" s="1"/>
    </row>
    <row r="24" spans="1:3" ht="15.75" customHeight="1" x14ac:dyDescent="0.25">
      <c r="B24" s="3" t="s">
        <v>13</v>
      </c>
      <c r="C24" s="1"/>
    </row>
    <row r="25" spans="1:3" ht="15.75" customHeight="1" x14ac:dyDescent="0.25">
      <c r="B25" s="4" t="s">
        <v>14</v>
      </c>
      <c r="C25" s="1"/>
    </row>
    <row r="26" spans="1:3" ht="15.75" customHeight="1" x14ac:dyDescent="0.25">
      <c r="C26" s="1"/>
    </row>
    <row r="27" spans="1:3" ht="15.75" customHeight="1" x14ac:dyDescent="0.25">
      <c r="C27" s="1"/>
    </row>
    <row r="28" spans="1:3" ht="15.75" customHeight="1" x14ac:dyDescent="0.25">
      <c r="C28" s="1"/>
    </row>
    <row r="29" spans="1:3" ht="15.75" customHeight="1" x14ac:dyDescent="0.25">
      <c r="C29" s="1"/>
    </row>
    <row r="30" spans="1:3" ht="15.75" customHeight="1" x14ac:dyDescent="0.25">
      <c r="C30" s="1"/>
    </row>
    <row r="31" spans="1:3" ht="15.75" customHeight="1" x14ac:dyDescent="0.25">
      <c r="C31" s="1"/>
    </row>
    <row r="32" spans="1:3" ht="15.75" customHeight="1" x14ac:dyDescent="0.25">
      <c r="A32" s="5">
        <v>68</v>
      </c>
      <c r="B32" s="5" t="s">
        <v>15</v>
      </c>
      <c r="C32" s="1"/>
    </row>
    <row r="33" spans="1:3" ht="15.75" customHeight="1" x14ac:dyDescent="0.25">
      <c r="A33" s="5">
        <v>13</v>
      </c>
      <c r="B33" s="5" t="s">
        <v>16</v>
      </c>
      <c r="C33" s="1"/>
    </row>
    <row r="34" spans="1:3" ht="15.75" customHeight="1" x14ac:dyDescent="0.25">
      <c r="A34" s="6">
        <f>A32*3</f>
        <v>204</v>
      </c>
      <c r="B34" s="5" t="s">
        <v>17</v>
      </c>
      <c r="C34" s="1"/>
    </row>
    <row r="35" spans="1:3" ht="15.75" customHeight="1" x14ac:dyDescent="0.25">
      <c r="A35" s="6">
        <f>A34/A33</f>
        <v>15.692307692307692</v>
      </c>
      <c r="B35" s="5" t="s">
        <v>18</v>
      </c>
      <c r="C35" s="1"/>
    </row>
    <row r="36" spans="1:3" ht="15.75" customHeight="1" x14ac:dyDescent="0.25">
      <c r="C36" s="1"/>
    </row>
    <row r="37" spans="1:3" ht="15.75" customHeight="1" x14ac:dyDescent="0.25">
      <c r="C37" s="1"/>
    </row>
    <row r="38" spans="1:3" ht="15.75" customHeight="1" x14ac:dyDescent="0.25">
      <c r="C38" s="1"/>
    </row>
    <row r="39" spans="1:3" ht="15.75" customHeight="1" x14ac:dyDescent="0.25">
      <c r="C39" s="1"/>
    </row>
    <row r="40" spans="1:3" ht="15.75" customHeight="1" x14ac:dyDescent="0.25">
      <c r="C40" s="1"/>
    </row>
    <row r="41" spans="1:3" ht="15.75" customHeight="1" x14ac:dyDescent="0.25">
      <c r="C41" s="1"/>
    </row>
    <row r="42" spans="1:3" ht="15.75" customHeight="1" x14ac:dyDescent="0.25">
      <c r="C42" s="1"/>
    </row>
    <row r="43" spans="1:3" ht="15.75" customHeight="1" x14ac:dyDescent="0.25">
      <c r="C43" s="1"/>
    </row>
    <row r="44" spans="1:3" ht="15.75" customHeight="1" x14ac:dyDescent="0.25">
      <c r="C44" s="1"/>
    </row>
    <row r="45" spans="1:3" ht="15.75" customHeight="1" x14ac:dyDescent="0.25">
      <c r="C45" s="1"/>
    </row>
    <row r="46" spans="1:3" ht="15.75" customHeight="1" x14ac:dyDescent="0.25">
      <c r="C46" s="1"/>
    </row>
    <row r="47" spans="1:3" ht="15.75" customHeight="1" x14ac:dyDescent="0.25">
      <c r="C47" s="1"/>
    </row>
    <row r="48" spans="1:3" ht="15.75" customHeight="1" x14ac:dyDescent="0.25">
      <c r="C48" s="1"/>
    </row>
    <row r="49" spans="3:3" ht="15.75" customHeight="1" x14ac:dyDescent="0.25">
      <c r="C49" s="1"/>
    </row>
    <row r="50" spans="3:3" ht="15.75" customHeight="1" x14ac:dyDescent="0.25">
      <c r="C50" s="1"/>
    </row>
    <row r="51" spans="3:3" ht="15.75" customHeight="1" x14ac:dyDescent="0.25">
      <c r="C51" s="1"/>
    </row>
    <row r="52" spans="3:3" ht="15.75" customHeight="1" x14ac:dyDescent="0.25">
      <c r="C52" s="1"/>
    </row>
    <row r="53" spans="3:3" ht="15.75" customHeight="1" x14ac:dyDescent="0.25">
      <c r="C53" s="1"/>
    </row>
    <row r="54" spans="3:3" ht="15.75" customHeight="1" x14ac:dyDescent="0.25">
      <c r="C54" s="1"/>
    </row>
    <row r="55" spans="3:3" ht="15.75" customHeight="1" x14ac:dyDescent="0.25">
      <c r="C55" s="1"/>
    </row>
    <row r="56" spans="3:3" ht="15.75" customHeight="1" x14ac:dyDescent="0.25">
      <c r="C56" s="1"/>
    </row>
    <row r="57" spans="3:3" ht="15.75" customHeight="1" x14ac:dyDescent="0.25">
      <c r="C57" s="1"/>
    </row>
    <row r="58" spans="3:3" ht="15.75" customHeight="1" x14ac:dyDescent="0.25">
      <c r="C58" s="1"/>
    </row>
    <row r="59" spans="3:3" ht="15.75" customHeight="1" x14ac:dyDescent="0.25">
      <c r="C59" s="1"/>
    </row>
    <row r="60" spans="3:3" ht="15.75" customHeight="1" x14ac:dyDescent="0.25">
      <c r="C60" s="1"/>
    </row>
    <row r="61" spans="3:3" ht="15.75" customHeight="1" x14ac:dyDescent="0.25">
      <c r="C61" s="1"/>
    </row>
    <row r="62" spans="3:3" ht="15.75" customHeight="1" x14ac:dyDescent="0.25">
      <c r="C62" s="1"/>
    </row>
    <row r="63" spans="3:3" ht="15.75" customHeight="1" x14ac:dyDescent="0.25">
      <c r="C63" s="1"/>
    </row>
    <row r="64" spans="3:3" ht="15.75" customHeight="1" x14ac:dyDescent="0.25">
      <c r="C64" s="1"/>
    </row>
    <row r="65" spans="3:3" ht="15.75" customHeight="1" x14ac:dyDescent="0.25">
      <c r="C65" s="1"/>
    </row>
    <row r="66" spans="3:3" ht="15.75" customHeight="1" x14ac:dyDescent="0.25">
      <c r="C66" s="1"/>
    </row>
    <row r="67" spans="3:3" ht="15.75" customHeight="1" x14ac:dyDescent="0.25">
      <c r="C67" s="1"/>
    </row>
    <row r="68" spans="3:3" ht="15.75" customHeight="1" x14ac:dyDescent="0.25">
      <c r="C68" s="1"/>
    </row>
    <row r="69" spans="3:3" ht="15.75" customHeight="1" x14ac:dyDescent="0.25">
      <c r="C69" s="1"/>
    </row>
    <row r="70" spans="3:3" ht="15.75" customHeight="1" x14ac:dyDescent="0.25">
      <c r="C70" s="1"/>
    </row>
    <row r="71" spans="3:3" ht="15.75" customHeight="1" x14ac:dyDescent="0.25">
      <c r="C71" s="1"/>
    </row>
    <row r="72" spans="3:3" ht="15.75" customHeight="1" x14ac:dyDescent="0.25">
      <c r="C72" s="1"/>
    </row>
    <row r="73" spans="3:3" ht="15.75" customHeight="1" x14ac:dyDescent="0.25">
      <c r="C73" s="1"/>
    </row>
    <row r="74" spans="3:3" ht="15.75" customHeight="1" x14ac:dyDescent="0.25">
      <c r="C74" s="1"/>
    </row>
    <row r="75" spans="3:3" ht="15.75" customHeight="1" x14ac:dyDescent="0.25">
      <c r="C75" s="1"/>
    </row>
    <row r="76" spans="3:3" ht="15.75" customHeight="1" x14ac:dyDescent="0.25">
      <c r="C76" s="1"/>
    </row>
    <row r="77" spans="3:3" ht="15.75" customHeight="1" x14ac:dyDescent="0.25">
      <c r="C77" s="1"/>
    </row>
    <row r="78" spans="3:3" ht="15.75" customHeight="1" x14ac:dyDescent="0.25">
      <c r="C78" s="1"/>
    </row>
    <row r="79" spans="3:3" ht="15.75" customHeight="1" x14ac:dyDescent="0.25">
      <c r="C79" s="1"/>
    </row>
    <row r="80" spans="3:3" ht="15.75" customHeight="1" x14ac:dyDescent="0.25">
      <c r="C80" s="1"/>
    </row>
    <row r="81" spans="3:3" ht="15.75" customHeight="1" x14ac:dyDescent="0.25">
      <c r="C81" s="1"/>
    </row>
    <row r="82" spans="3:3" ht="15.75" customHeight="1" x14ac:dyDescent="0.25">
      <c r="C82" s="1"/>
    </row>
    <row r="83" spans="3:3" ht="15.75" customHeight="1" x14ac:dyDescent="0.25">
      <c r="C83" s="1"/>
    </row>
    <row r="84" spans="3:3" ht="15.75" customHeight="1" x14ac:dyDescent="0.25">
      <c r="C84" s="1"/>
    </row>
    <row r="85" spans="3:3" ht="15.75" customHeight="1" x14ac:dyDescent="0.25">
      <c r="C85" s="1"/>
    </row>
    <row r="86" spans="3:3" ht="15.75" customHeight="1" x14ac:dyDescent="0.25">
      <c r="C86" s="1"/>
    </row>
    <row r="87" spans="3:3" ht="15.75" customHeight="1" x14ac:dyDescent="0.25">
      <c r="C87" s="1"/>
    </row>
    <row r="88" spans="3:3" ht="15.75" customHeight="1" x14ac:dyDescent="0.25">
      <c r="C88" s="1"/>
    </row>
    <row r="89" spans="3:3" ht="15.75" customHeight="1" x14ac:dyDescent="0.25">
      <c r="C89" s="1"/>
    </row>
    <row r="90" spans="3:3" ht="15.75" customHeight="1" x14ac:dyDescent="0.25">
      <c r="C90" s="1"/>
    </row>
    <row r="91" spans="3:3" ht="15.75" customHeight="1" x14ac:dyDescent="0.25">
      <c r="C91" s="1"/>
    </row>
    <row r="92" spans="3:3" ht="15.75" customHeight="1" x14ac:dyDescent="0.25">
      <c r="C92" s="1"/>
    </row>
    <row r="93" spans="3:3" ht="15.75" customHeight="1" x14ac:dyDescent="0.25">
      <c r="C93" s="1"/>
    </row>
    <row r="94" spans="3:3" ht="15.75" customHeight="1" x14ac:dyDescent="0.25">
      <c r="C94" s="1"/>
    </row>
    <row r="95" spans="3:3" ht="15.75" customHeight="1" x14ac:dyDescent="0.25">
      <c r="C95" s="1"/>
    </row>
    <row r="96" spans="3:3" ht="15.75" customHeight="1" x14ac:dyDescent="0.25">
      <c r="C96" s="1"/>
    </row>
    <row r="97" spans="3:3" ht="15.75" customHeight="1" x14ac:dyDescent="0.25">
      <c r="C97" s="1"/>
    </row>
    <row r="98" spans="3:3" ht="15.75" customHeight="1" x14ac:dyDescent="0.25">
      <c r="C98" s="1"/>
    </row>
    <row r="99" spans="3:3" ht="15.75" customHeight="1" x14ac:dyDescent="0.25">
      <c r="C99" s="1"/>
    </row>
    <row r="100" spans="3:3" ht="15.75" customHeight="1" x14ac:dyDescent="0.25">
      <c r="C100" s="1"/>
    </row>
    <row r="101" spans="3:3" ht="15.75" customHeight="1" x14ac:dyDescent="0.25">
      <c r="C101" s="1"/>
    </row>
    <row r="102" spans="3:3" ht="15.75" customHeight="1" x14ac:dyDescent="0.25">
      <c r="C102" s="1"/>
    </row>
    <row r="103" spans="3:3" ht="15.75" customHeight="1" x14ac:dyDescent="0.25">
      <c r="C103" s="1"/>
    </row>
    <row r="104" spans="3:3" ht="15.75" customHeight="1" x14ac:dyDescent="0.25">
      <c r="C104" s="1"/>
    </row>
    <row r="105" spans="3:3" ht="15.75" customHeight="1" x14ac:dyDescent="0.25">
      <c r="C105" s="1"/>
    </row>
    <row r="106" spans="3:3" ht="15.75" customHeight="1" x14ac:dyDescent="0.25">
      <c r="C106" s="1"/>
    </row>
    <row r="107" spans="3:3" ht="15.75" customHeight="1" x14ac:dyDescent="0.25">
      <c r="C107" s="1"/>
    </row>
    <row r="108" spans="3:3" ht="15.75" customHeight="1" x14ac:dyDescent="0.25">
      <c r="C108" s="1"/>
    </row>
    <row r="109" spans="3:3" ht="15.75" customHeight="1" x14ac:dyDescent="0.25">
      <c r="C109" s="1"/>
    </row>
    <row r="110" spans="3:3" ht="15.75" customHeight="1" x14ac:dyDescent="0.25">
      <c r="C110" s="1"/>
    </row>
    <row r="111" spans="3:3" ht="15.75" customHeight="1" x14ac:dyDescent="0.25">
      <c r="C111" s="1"/>
    </row>
    <row r="112" spans="3:3" ht="15.75" customHeight="1" x14ac:dyDescent="0.25">
      <c r="C112" s="1"/>
    </row>
    <row r="113" spans="3:3" ht="15.75" customHeight="1" x14ac:dyDescent="0.25">
      <c r="C113" s="1"/>
    </row>
    <row r="114" spans="3:3" ht="15.75" customHeight="1" x14ac:dyDescent="0.25">
      <c r="C114" s="1"/>
    </row>
    <row r="115" spans="3:3" ht="15.75" customHeight="1" x14ac:dyDescent="0.25">
      <c r="C115" s="1"/>
    </row>
    <row r="116" spans="3:3" ht="15.75" customHeight="1" x14ac:dyDescent="0.25">
      <c r="C116" s="1"/>
    </row>
    <row r="117" spans="3:3" ht="15.75" customHeight="1" x14ac:dyDescent="0.25">
      <c r="C117" s="1"/>
    </row>
    <row r="118" spans="3:3" ht="15.75" customHeight="1" x14ac:dyDescent="0.25">
      <c r="C118" s="1"/>
    </row>
    <row r="119" spans="3:3" ht="15.75" customHeight="1" x14ac:dyDescent="0.25">
      <c r="C119" s="1"/>
    </row>
    <row r="120" spans="3:3" ht="15.75" customHeight="1" x14ac:dyDescent="0.25">
      <c r="C120" s="1"/>
    </row>
    <row r="121" spans="3:3" ht="15.75" customHeight="1" x14ac:dyDescent="0.25">
      <c r="C121" s="1"/>
    </row>
    <row r="122" spans="3:3" ht="15.75" customHeight="1" x14ac:dyDescent="0.25">
      <c r="C122" s="1"/>
    </row>
    <row r="123" spans="3:3" ht="15.75" customHeight="1" x14ac:dyDescent="0.25">
      <c r="C123" s="1"/>
    </row>
    <row r="124" spans="3:3" ht="15.75" customHeight="1" x14ac:dyDescent="0.25">
      <c r="C124" s="1"/>
    </row>
    <row r="125" spans="3:3" ht="15.75" customHeight="1" x14ac:dyDescent="0.25">
      <c r="C125" s="1"/>
    </row>
    <row r="126" spans="3:3" ht="15.75" customHeight="1" x14ac:dyDescent="0.25">
      <c r="C126" s="1"/>
    </row>
    <row r="127" spans="3:3" ht="15.75" customHeight="1" x14ac:dyDescent="0.25">
      <c r="C127" s="1"/>
    </row>
    <row r="128" spans="3:3" ht="15.75" customHeight="1" x14ac:dyDescent="0.25">
      <c r="C128" s="1"/>
    </row>
    <row r="129" spans="3:3" ht="15.75" customHeight="1" x14ac:dyDescent="0.25">
      <c r="C129" s="1"/>
    </row>
    <row r="130" spans="3:3" ht="15.75" customHeight="1" x14ac:dyDescent="0.25">
      <c r="C130" s="1"/>
    </row>
    <row r="131" spans="3:3" ht="15.75" customHeight="1" x14ac:dyDescent="0.25">
      <c r="C131" s="1"/>
    </row>
    <row r="132" spans="3:3" ht="15.75" customHeight="1" x14ac:dyDescent="0.25">
      <c r="C132" s="1"/>
    </row>
    <row r="133" spans="3:3" ht="15.75" customHeight="1" x14ac:dyDescent="0.25">
      <c r="C133" s="1"/>
    </row>
    <row r="134" spans="3:3" ht="15.75" customHeight="1" x14ac:dyDescent="0.25">
      <c r="C134" s="1"/>
    </row>
    <row r="135" spans="3:3" ht="15.75" customHeight="1" x14ac:dyDescent="0.25">
      <c r="C135" s="1"/>
    </row>
    <row r="136" spans="3:3" ht="15.75" customHeight="1" x14ac:dyDescent="0.25">
      <c r="C136" s="1"/>
    </row>
    <row r="137" spans="3:3" ht="15.75" customHeight="1" x14ac:dyDescent="0.25">
      <c r="C137" s="1"/>
    </row>
    <row r="138" spans="3:3" ht="15.75" customHeight="1" x14ac:dyDescent="0.25">
      <c r="C138" s="1"/>
    </row>
    <row r="139" spans="3:3" ht="15.75" customHeight="1" x14ac:dyDescent="0.25">
      <c r="C139" s="1"/>
    </row>
    <row r="140" spans="3:3" ht="15.75" customHeight="1" x14ac:dyDescent="0.25">
      <c r="C140" s="1"/>
    </row>
    <row r="141" spans="3:3" ht="15.75" customHeight="1" x14ac:dyDescent="0.25">
      <c r="C141" s="1"/>
    </row>
    <row r="142" spans="3:3" ht="15.75" customHeight="1" x14ac:dyDescent="0.25">
      <c r="C142" s="1"/>
    </row>
    <row r="143" spans="3:3" ht="15.75" customHeight="1" x14ac:dyDescent="0.25">
      <c r="C143" s="1"/>
    </row>
    <row r="144" spans="3:3" ht="15.75" customHeight="1" x14ac:dyDescent="0.25">
      <c r="C144" s="1"/>
    </row>
    <row r="145" spans="3:3" ht="15.75" customHeight="1" x14ac:dyDescent="0.25">
      <c r="C145" s="1"/>
    </row>
    <row r="146" spans="3:3" ht="15.75" customHeight="1" x14ac:dyDescent="0.25">
      <c r="C146" s="1"/>
    </row>
    <row r="147" spans="3:3" ht="15.75" customHeight="1" x14ac:dyDescent="0.25">
      <c r="C147" s="1"/>
    </row>
    <row r="148" spans="3:3" ht="15.75" customHeight="1" x14ac:dyDescent="0.25">
      <c r="C148" s="1"/>
    </row>
    <row r="149" spans="3:3" ht="15.75" customHeight="1" x14ac:dyDescent="0.25">
      <c r="C149" s="1"/>
    </row>
    <row r="150" spans="3:3" ht="15.75" customHeight="1" x14ac:dyDescent="0.25">
      <c r="C150" s="1"/>
    </row>
    <row r="151" spans="3:3" ht="15.75" customHeight="1" x14ac:dyDescent="0.25">
      <c r="C151" s="1"/>
    </row>
    <row r="152" spans="3:3" ht="15.75" customHeight="1" x14ac:dyDescent="0.25">
      <c r="C152" s="1"/>
    </row>
    <row r="153" spans="3:3" ht="15.75" customHeight="1" x14ac:dyDescent="0.25">
      <c r="C153" s="1"/>
    </row>
    <row r="154" spans="3:3" ht="15.75" customHeight="1" x14ac:dyDescent="0.25">
      <c r="C154" s="1"/>
    </row>
    <row r="155" spans="3:3" ht="15.75" customHeight="1" x14ac:dyDescent="0.25">
      <c r="C155" s="1"/>
    </row>
    <row r="156" spans="3:3" ht="15.75" customHeight="1" x14ac:dyDescent="0.25">
      <c r="C156" s="1"/>
    </row>
    <row r="157" spans="3:3" ht="15.75" customHeight="1" x14ac:dyDescent="0.25">
      <c r="C157" s="1"/>
    </row>
    <row r="158" spans="3:3" ht="15.75" customHeight="1" x14ac:dyDescent="0.25">
      <c r="C158" s="1"/>
    </row>
    <row r="159" spans="3:3" ht="15.75" customHeight="1" x14ac:dyDescent="0.25">
      <c r="C159" s="1"/>
    </row>
    <row r="160" spans="3:3" ht="15.75" customHeight="1" x14ac:dyDescent="0.25">
      <c r="C160" s="1"/>
    </row>
    <row r="161" spans="3:3" ht="15.75" customHeight="1" x14ac:dyDescent="0.25">
      <c r="C161" s="1"/>
    </row>
    <row r="162" spans="3:3" ht="15.75" customHeight="1" x14ac:dyDescent="0.25">
      <c r="C162" s="1"/>
    </row>
    <row r="163" spans="3:3" ht="15.75" customHeight="1" x14ac:dyDescent="0.25">
      <c r="C163" s="1"/>
    </row>
    <row r="164" spans="3:3" ht="15.75" customHeight="1" x14ac:dyDescent="0.25">
      <c r="C164" s="1"/>
    </row>
    <row r="165" spans="3:3" ht="15.75" customHeight="1" x14ac:dyDescent="0.25">
      <c r="C165" s="1"/>
    </row>
    <row r="166" spans="3:3" ht="15.75" customHeight="1" x14ac:dyDescent="0.25">
      <c r="C166" s="1"/>
    </row>
    <row r="167" spans="3:3" ht="15.75" customHeight="1" x14ac:dyDescent="0.25">
      <c r="C167" s="1"/>
    </row>
    <row r="168" spans="3:3" ht="15.75" customHeight="1" x14ac:dyDescent="0.25">
      <c r="C168" s="1"/>
    </row>
    <row r="169" spans="3:3" ht="15.75" customHeight="1" x14ac:dyDescent="0.25">
      <c r="C169" s="1"/>
    </row>
    <row r="170" spans="3:3" ht="15.75" customHeight="1" x14ac:dyDescent="0.25">
      <c r="C170" s="1"/>
    </row>
    <row r="171" spans="3:3" ht="15.75" customHeight="1" x14ac:dyDescent="0.25">
      <c r="C171" s="1"/>
    </row>
    <row r="172" spans="3:3" ht="15.75" customHeight="1" x14ac:dyDescent="0.25">
      <c r="C172" s="1"/>
    </row>
    <row r="173" spans="3:3" ht="15.75" customHeight="1" x14ac:dyDescent="0.25">
      <c r="C173" s="1"/>
    </row>
    <row r="174" spans="3:3" ht="15.75" customHeight="1" x14ac:dyDescent="0.25">
      <c r="C174" s="1"/>
    </row>
    <row r="175" spans="3:3" ht="15.75" customHeight="1" x14ac:dyDescent="0.25">
      <c r="C175" s="1"/>
    </row>
    <row r="176" spans="3:3" ht="15.75" customHeight="1" x14ac:dyDescent="0.25">
      <c r="C176" s="1"/>
    </row>
    <row r="177" spans="3:3" ht="15.75" customHeight="1" x14ac:dyDescent="0.25">
      <c r="C177" s="1"/>
    </row>
    <row r="178" spans="3:3" ht="15.75" customHeight="1" x14ac:dyDescent="0.25">
      <c r="C178" s="1"/>
    </row>
    <row r="179" spans="3:3" ht="15.75" customHeight="1" x14ac:dyDescent="0.25">
      <c r="C179" s="1"/>
    </row>
    <row r="180" spans="3:3" ht="15.75" customHeight="1" x14ac:dyDescent="0.25">
      <c r="C180" s="1"/>
    </row>
    <row r="181" spans="3:3" ht="15.75" customHeight="1" x14ac:dyDescent="0.25">
      <c r="C181" s="1"/>
    </row>
    <row r="182" spans="3:3" ht="15.75" customHeight="1" x14ac:dyDescent="0.25">
      <c r="C182" s="1"/>
    </row>
    <row r="183" spans="3:3" ht="15.75" customHeight="1" x14ac:dyDescent="0.25">
      <c r="C183" s="1"/>
    </row>
    <row r="184" spans="3:3" ht="15.75" customHeight="1" x14ac:dyDescent="0.25">
      <c r="C184" s="1"/>
    </row>
    <row r="185" spans="3:3" ht="15.75" customHeight="1" x14ac:dyDescent="0.25">
      <c r="C185" s="1"/>
    </row>
    <row r="186" spans="3:3" ht="15.75" customHeight="1" x14ac:dyDescent="0.25">
      <c r="C186" s="1"/>
    </row>
    <row r="187" spans="3:3" ht="15.75" customHeight="1" x14ac:dyDescent="0.25">
      <c r="C187" s="1"/>
    </row>
    <row r="188" spans="3:3" ht="15.75" customHeight="1" x14ac:dyDescent="0.25">
      <c r="C188" s="1"/>
    </row>
    <row r="189" spans="3:3" ht="15.75" customHeight="1" x14ac:dyDescent="0.25">
      <c r="C189" s="1"/>
    </row>
    <row r="190" spans="3:3" ht="15.75" customHeight="1" x14ac:dyDescent="0.25">
      <c r="C190" s="1"/>
    </row>
    <row r="191" spans="3:3" ht="15.75" customHeight="1" x14ac:dyDescent="0.25">
      <c r="C191" s="1"/>
    </row>
    <row r="192" spans="3:3" ht="15.75" customHeight="1" x14ac:dyDescent="0.25">
      <c r="C192" s="1"/>
    </row>
    <row r="193" spans="3:3" ht="15.75" customHeight="1" x14ac:dyDescent="0.25">
      <c r="C193" s="1"/>
    </row>
    <row r="194" spans="3:3" ht="15.75" customHeight="1" x14ac:dyDescent="0.25">
      <c r="C194" s="1"/>
    </row>
    <row r="195" spans="3:3" ht="15.75" customHeight="1" x14ac:dyDescent="0.25">
      <c r="C195" s="1"/>
    </row>
    <row r="196" spans="3:3" ht="15.75" customHeight="1" x14ac:dyDescent="0.25">
      <c r="C196" s="1"/>
    </row>
    <row r="197" spans="3:3" ht="15.75" customHeight="1" x14ac:dyDescent="0.25">
      <c r="C197" s="1"/>
    </row>
    <row r="198" spans="3:3" ht="15.75" customHeight="1" x14ac:dyDescent="0.25">
      <c r="C198" s="1"/>
    </row>
    <row r="199" spans="3:3" ht="15.75" customHeight="1" x14ac:dyDescent="0.25">
      <c r="C199" s="1"/>
    </row>
    <row r="200" spans="3:3" ht="15.75" customHeight="1" x14ac:dyDescent="0.25">
      <c r="C200" s="1"/>
    </row>
    <row r="201" spans="3:3" ht="15.75" customHeight="1" x14ac:dyDescent="0.25">
      <c r="C201" s="1"/>
    </row>
    <row r="202" spans="3:3" ht="15.75" customHeight="1" x14ac:dyDescent="0.25">
      <c r="C202" s="1"/>
    </row>
    <row r="203" spans="3:3" ht="15.75" customHeight="1" x14ac:dyDescent="0.25">
      <c r="C203" s="1"/>
    </row>
    <row r="204" spans="3:3" ht="15.75" customHeight="1" x14ac:dyDescent="0.25">
      <c r="C204" s="1"/>
    </row>
    <row r="205" spans="3:3" ht="15.75" customHeight="1" x14ac:dyDescent="0.25">
      <c r="C205" s="1"/>
    </row>
    <row r="206" spans="3:3" ht="15.75" customHeight="1" x14ac:dyDescent="0.25">
      <c r="C206" s="1"/>
    </row>
    <row r="207" spans="3:3" ht="15.75" customHeight="1" x14ac:dyDescent="0.25">
      <c r="C207" s="1"/>
    </row>
    <row r="208" spans="3:3" ht="15.75" customHeight="1" x14ac:dyDescent="0.25">
      <c r="C208" s="1"/>
    </row>
    <row r="209" spans="3:3" ht="15.75" customHeight="1" x14ac:dyDescent="0.25">
      <c r="C209" s="1"/>
    </row>
    <row r="210" spans="3:3" ht="15.75" customHeight="1" x14ac:dyDescent="0.25">
      <c r="C210" s="1"/>
    </row>
    <row r="211" spans="3:3" ht="15.75" customHeight="1" x14ac:dyDescent="0.25">
      <c r="C211" s="1"/>
    </row>
    <row r="212" spans="3:3" ht="15.75" customHeight="1" x14ac:dyDescent="0.25">
      <c r="C212" s="1"/>
    </row>
    <row r="213" spans="3:3" ht="15.75" customHeight="1" x14ac:dyDescent="0.25">
      <c r="C213" s="1"/>
    </row>
    <row r="214" spans="3:3" ht="15.75" customHeight="1" x14ac:dyDescent="0.25">
      <c r="C214" s="1"/>
    </row>
    <row r="215" spans="3:3" ht="15.75" customHeight="1" x14ac:dyDescent="0.25">
      <c r="C215" s="1"/>
    </row>
    <row r="216" spans="3:3" ht="15.75" customHeight="1" x14ac:dyDescent="0.25">
      <c r="C216" s="1"/>
    </row>
    <row r="217" spans="3:3" ht="15.75" customHeight="1" x14ac:dyDescent="0.25">
      <c r="C217" s="1"/>
    </row>
    <row r="218" spans="3:3" ht="15.75" customHeight="1" x14ac:dyDescent="0.25">
      <c r="C218" s="1"/>
    </row>
    <row r="219" spans="3:3" ht="15.75" customHeight="1" x14ac:dyDescent="0.25">
      <c r="C219" s="1"/>
    </row>
    <row r="220" spans="3:3" ht="15.75" customHeight="1" x14ac:dyDescent="0.25">
      <c r="C220" s="1"/>
    </row>
    <row r="221" spans="3:3" ht="15.75" customHeight="1" x14ac:dyDescent="0.25">
      <c r="C221" s="1"/>
    </row>
    <row r="222" spans="3:3" ht="15.75" customHeight="1" x14ac:dyDescent="0.25">
      <c r="C222" s="1"/>
    </row>
    <row r="223" spans="3:3" ht="15.75" customHeight="1" x14ac:dyDescent="0.25">
      <c r="C223" s="1"/>
    </row>
    <row r="224" spans="3:3" ht="15.75" customHeight="1" x14ac:dyDescent="0.25">
      <c r="C224" s="1"/>
    </row>
    <row r="225" spans="3:3" ht="15.75" customHeight="1" x14ac:dyDescent="0.25">
      <c r="C225" s="1"/>
    </row>
    <row r="226" spans="3:3" ht="15.75" customHeight="1" x14ac:dyDescent="0.25">
      <c r="C226" s="1"/>
    </row>
    <row r="227" spans="3:3" ht="15.75" customHeight="1" x14ac:dyDescent="0.25">
      <c r="C227" s="1"/>
    </row>
    <row r="228" spans="3:3" ht="15.75" customHeight="1" x14ac:dyDescent="0.25">
      <c r="C228" s="1"/>
    </row>
    <row r="229" spans="3:3" ht="15.75" customHeight="1" x14ac:dyDescent="0.25">
      <c r="C229" s="1"/>
    </row>
    <row r="230" spans="3:3" ht="15.75" customHeight="1" x14ac:dyDescent="0.25">
      <c r="C230" s="1"/>
    </row>
    <row r="231" spans="3:3" ht="15.75" customHeight="1" x14ac:dyDescent="0.25">
      <c r="C231" s="1"/>
    </row>
    <row r="232" spans="3:3" ht="15.75" customHeight="1" x14ac:dyDescent="0.25">
      <c r="C232" s="1"/>
    </row>
    <row r="233" spans="3:3" ht="15.75" customHeight="1" x14ac:dyDescent="0.25">
      <c r="C233" s="1"/>
    </row>
    <row r="234" spans="3:3" ht="15.75" customHeight="1" x14ac:dyDescent="0.25">
      <c r="C234" s="1"/>
    </row>
    <row r="235" spans="3:3" ht="15.75" customHeight="1" x14ac:dyDescent="0.25">
      <c r="C235" s="1"/>
    </row>
    <row r="236" spans="3:3" ht="15.75" customHeight="1" x14ac:dyDescent="0.25">
      <c r="C236" s="1"/>
    </row>
    <row r="237" spans="3:3" ht="15.75" customHeight="1" x14ac:dyDescent="0.25">
      <c r="C237" s="1"/>
    </row>
    <row r="238" spans="3:3" ht="15.75" customHeight="1" x14ac:dyDescent="0.25">
      <c r="C238" s="1"/>
    </row>
    <row r="239" spans="3:3" ht="15.75" customHeight="1" x14ac:dyDescent="0.25">
      <c r="C239" s="1"/>
    </row>
    <row r="240" spans="3:3" ht="15.75" customHeight="1" x14ac:dyDescent="0.25">
      <c r="C240" s="1"/>
    </row>
    <row r="241" spans="3:3" ht="15.75" customHeight="1" x14ac:dyDescent="0.25">
      <c r="C241" s="1"/>
    </row>
    <row r="242" spans="3:3" ht="15.75" customHeight="1" x14ac:dyDescent="0.25">
      <c r="C242" s="1"/>
    </row>
    <row r="243" spans="3:3" ht="15.75" customHeight="1" x14ac:dyDescent="0.25">
      <c r="C243" s="1"/>
    </row>
    <row r="244" spans="3:3" ht="15.75" customHeight="1" x14ac:dyDescent="0.25">
      <c r="C244" s="1"/>
    </row>
    <row r="245" spans="3:3" ht="15.75" customHeight="1" x14ac:dyDescent="0.25">
      <c r="C245" s="1"/>
    </row>
    <row r="246" spans="3:3" ht="15.75" customHeight="1" x14ac:dyDescent="0.25">
      <c r="C246" s="1"/>
    </row>
    <row r="247" spans="3:3" ht="15.75" customHeight="1" x14ac:dyDescent="0.25">
      <c r="C247" s="1"/>
    </row>
    <row r="248" spans="3:3" ht="15.75" customHeight="1" x14ac:dyDescent="0.25">
      <c r="C248" s="1"/>
    </row>
    <row r="249" spans="3:3" ht="15.75" customHeight="1" x14ac:dyDescent="0.25">
      <c r="C249" s="1"/>
    </row>
    <row r="250" spans="3:3" ht="15.75" customHeight="1" x14ac:dyDescent="0.25">
      <c r="C250" s="1"/>
    </row>
    <row r="251" spans="3:3" ht="15.75" customHeight="1" x14ac:dyDescent="0.25">
      <c r="C251" s="1"/>
    </row>
    <row r="252" spans="3:3" ht="15.75" customHeight="1" x14ac:dyDescent="0.25">
      <c r="C252" s="1"/>
    </row>
    <row r="253" spans="3:3" ht="15.75" customHeight="1" x14ac:dyDescent="0.25">
      <c r="C253" s="1"/>
    </row>
    <row r="254" spans="3:3" ht="15.75" customHeight="1" x14ac:dyDescent="0.25">
      <c r="C254" s="1"/>
    </row>
    <row r="255" spans="3:3" ht="15.75" customHeight="1" x14ac:dyDescent="0.25">
      <c r="C255" s="1"/>
    </row>
    <row r="256" spans="3:3" ht="15.75" customHeight="1" x14ac:dyDescent="0.25">
      <c r="C256" s="1"/>
    </row>
    <row r="257" spans="3:3" ht="15.75" customHeight="1" x14ac:dyDescent="0.25">
      <c r="C257" s="1"/>
    </row>
    <row r="258" spans="3:3" ht="15.75" customHeight="1" x14ac:dyDescent="0.25">
      <c r="C258" s="1"/>
    </row>
    <row r="259" spans="3:3" ht="15.75" customHeight="1" x14ac:dyDescent="0.25">
      <c r="C259" s="1"/>
    </row>
    <row r="260" spans="3:3" ht="15.75" customHeight="1" x14ac:dyDescent="0.25">
      <c r="C260" s="1"/>
    </row>
    <row r="261" spans="3:3" ht="15.75" customHeight="1" x14ac:dyDescent="0.25">
      <c r="C261" s="1"/>
    </row>
    <row r="262" spans="3:3" ht="15.75" customHeight="1" x14ac:dyDescent="0.25">
      <c r="C262" s="1"/>
    </row>
    <row r="263" spans="3:3" ht="15.75" customHeight="1" x14ac:dyDescent="0.25">
      <c r="C263" s="1"/>
    </row>
    <row r="264" spans="3:3" ht="15.75" customHeight="1" x14ac:dyDescent="0.25">
      <c r="C264" s="1"/>
    </row>
    <row r="265" spans="3:3" ht="15.75" customHeight="1" x14ac:dyDescent="0.25">
      <c r="C265" s="1"/>
    </row>
    <row r="266" spans="3:3" ht="15.75" customHeight="1" x14ac:dyDescent="0.25">
      <c r="C266" s="1"/>
    </row>
    <row r="267" spans="3:3" ht="15.75" customHeight="1" x14ac:dyDescent="0.25">
      <c r="C267" s="1"/>
    </row>
    <row r="268" spans="3:3" ht="15.75" customHeight="1" x14ac:dyDescent="0.25">
      <c r="C268" s="1"/>
    </row>
    <row r="269" spans="3:3" ht="15.75" customHeight="1" x14ac:dyDescent="0.25">
      <c r="C269" s="1"/>
    </row>
    <row r="270" spans="3:3" ht="15.75" customHeight="1" x14ac:dyDescent="0.25">
      <c r="C270" s="1"/>
    </row>
    <row r="271" spans="3:3" ht="15.75" customHeight="1" x14ac:dyDescent="0.25">
      <c r="C271" s="1"/>
    </row>
    <row r="272" spans="3:3" ht="15.75" customHeight="1" x14ac:dyDescent="0.25">
      <c r="C272" s="1"/>
    </row>
    <row r="273" spans="3:3" ht="15.75" customHeight="1" x14ac:dyDescent="0.25">
      <c r="C273" s="1"/>
    </row>
    <row r="274" spans="3:3" ht="15.75" customHeight="1" x14ac:dyDescent="0.25">
      <c r="C274" s="1"/>
    </row>
    <row r="275" spans="3:3" ht="15.75" customHeight="1" x14ac:dyDescent="0.25">
      <c r="C275" s="1"/>
    </row>
    <row r="276" spans="3:3" ht="15.75" customHeight="1" x14ac:dyDescent="0.25">
      <c r="C276" s="1"/>
    </row>
    <row r="277" spans="3:3" ht="15.75" customHeight="1" x14ac:dyDescent="0.25">
      <c r="C277" s="1"/>
    </row>
    <row r="278" spans="3:3" ht="15.75" customHeight="1" x14ac:dyDescent="0.25">
      <c r="C278" s="1"/>
    </row>
    <row r="279" spans="3:3" ht="15.75" customHeight="1" x14ac:dyDescent="0.25">
      <c r="C279" s="1"/>
    </row>
    <row r="280" spans="3:3" ht="15.75" customHeight="1" x14ac:dyDescent="0.25">
      <c r="C280" s="1"/>
    </row>
    <row r="281" spans="3:3" ht="15.75" customHeight="1" x14ac:dyDescent="0.25">
      <c r="C281" s="1"/>
    </row>
    <row r="282" spans="3:3" ht="15.75" customHeight="1" x14ac:dyDescent="0.25">
      <c r="C282" s="1"/>
    </row>
    <row r="283" spans="3:3" ht="15.75" customHeight="1" x14ac:dyDescent="0.25">
      <c r="C283" s="1"/>
    </row>
    <row r="284" spans="3:3" ht="15.75" customHeight="1" x14ac:dyDescent="0.25">
      <c r="C284" s="1"/>
    </row>
    <row r="285" spans="3:3" ht="15.75" customHeight="1" x14ac:dyDescent="0.25">
      <c r="C285" s="1"/>
    </row>
    <row r="286" spans="3:3" ht="15.75" customHeight="1" x14ac:dyDescent="0.25">
      <c r="C286" s="1"/>
    </row>
    <row r="287" spans="3:3" ht="15.75" customHeight="1" x14ac:dyDescent="0.25">
      <c r="C287" s="1"/>
    </row>
    <row r="288" spans="3:3" ht="15.75" customHeight="1" x14ac:dyDescent="0.25">
      <c r="C288" s="1"/>
    </row>
    <row r="289" spans="3:3" ht="15.75" customHeight="1" x14ac:dyDescent="0.25">
      <c r="C289" s="1"/>
    </row>
    <row r="290" spans="3:3" ht="15.75" customHeight="1" x14ac:dyDescent="0.25">
      <c r="C290" s="1"/>
    </row>
    <row r="291" spans="3:3" ht="15.75" customHeight="1" x14ac:dyDescent="0.25">
      <c r="C291" s="1"/>
    </row>
    <row r="292" spans="3:3" ht="15.75" customHeight="1" x14ac:dyDescent="0.25">
      <c r="C292" s="1"/>
    </row>
    <row r="293" spans="3:3" ht="15.75" customHeight="1" x14ac:dyDescent="0.25">
      <c r="C293" s="1"/>
    </row>
    <row r="294" spans="3:3" ht="15.75" customHeight="1" x14ac:dyDescent="0.25">
      <c r="C294" s="1"/>
    </row>
    <row r="295" spans="3:3" ht="15.75" customHeight="1" x14ac:dyDescent="0.25">
      <c r="C295" s="1"/>
    </row>
    <row r="296" spans="3:3" ht="15.75" customHeight="1" x14ac:dyDescent="0.25">
      <c r="C296" s="1"/>
    </row>
    <row r="297" spans="3:3" ht="15.75" customHeight="1" x14ac:dyDescent="0.25">
      <c r="C297" s="1"/>
    </row>
    <row r="298" spans="3:3" ht="15.75" customHeight="1" x14ac:dyDescent="0.25">
      <c r="C298" s="1"/>
    </row>
    <row r="299" spans="3:3" ht="15.75" customHeight="1" x14ac:dyDescent="0.25">
      <c r="C299" s="1"/>
    </row>
    <row r="300" spans="3:3" ht="15.75" customHeight="1" x14ac:dyDescent="0.25">
      <c r="C300" s="1"/>
    </row>
    <row r="301" spans="3:3" ht="15.75" customHeight="1" x14ac:dyDescent="0.25">
      <c r="C301" s="1"/>
    </row>
    <row r="302" spans="3:3" ht="15.75" customHeight="1" x14ac:dyDescent="0.25">
      <c r="C302" s="1"/>
    </row>
    <row r="303" spans="3:3" ht="15.75" customHeight="1" x14ac:dyDescent="0.25">
      <c r="C303" s="1"/>
    </row>
    <row r="304" spans="3:3" ht="15.75" customHeight="1" x14ac:dyDescent="0.25">
      <c r="C304" s="1"/>
    </row>
    <row r="305" spans="3:3" ht="15.75" customHeight="1" x14ac:dyDescent="0.25">
      <c r="C305" s="1"/>
    </row>
    <row r="306" spans="3:3" ht="15.75" customHeight="1" x14ac:dyDescent="0.25">
      <c r="C306" s="1"/>
    </row>
    <row r="307" spans="3:3" ht="15.75" customHeight="1" x14ac:dyDescent="0.25">
      <c r="C307" s="1"/>
    </row>
    <row r="308" spans="3:3" ht="15.75" customHeight="1" x14ac:dyDescent="0.25">
      <c r="C308" s="1"/>
    </row>
    <row r="309" spans="3:3" ht="15.75" customHeight="1" x14ac:dyDescent="0.25">
      <c r="C309" s="1"/>
    </row>
    <row r="310" spans="3:3" ht="15.75" customHeight="1" x14ac:dyDescent="0.25">
      <c r="C310" s="1"/>
    </row>
    <row r="311" spans="3:3" ht="15.75" customHeight="1" x14ac:dyDescent="0.25">
      <c r="C311" s="1"/>
    </row>
    <row r="312" spans="3:3" ht="15.75" customHeight="1" x14ac:dyDescent="0.25">
      <c r="C312" s="1"/>
    </row>
    <row r="313" spans="3:3" ht="15.75" customHeight="1" x14ac:dyDescent="0.25">
      <c r="C313" s="1"/>
    </row>
    <row r="314" spans="3:3" ht="15.75" customHeight="1" x14ac:dyDescent="0.25">
      <c r="C314" s="1"/>
    </row>
    <row r="315" spans="3:3" ht="15.75" customHeight="1" x14ac:dyDescent="0.25">
      <c r="C315" s="1"/>
    </row>
    <row r="316" spans="3:3" ht="15.75" customHeight="1" x14ac:dyDescent="0.25">
      <c r="C316" s="1"/>
    </row>
    <row r="317" spans="3:3" ht="15.75" customHeight="1" x14ac:dyDescent="0.25">
      <c r="C317" s="1"/>
    </row>
    <row r="318" spans="3:3" ht="15.75" customHeight="1" x14ac:dyDescent="0.25">
      <c r="C318" s="1"/>
    </row>
    <row r="319" spans="3:3" ht="15.75" customHeight="1" x14ac:dyDescent="0.25">
      <c r="C319" s="1"/>
    </row>
    <row r="320" spans="3:3" ht="15.75" customHeight="1" x14ac:dyDescent="0.25">
      <c r="C320" s="1"/>
    </row>
    <row r="321" spans="3:3" ht="15.75" customHeight="1" x14ac:dyDescent="0.25">
      <c r="C321" s="1"/>
    </row>
    <row r="322" spans="3:3" ht="15.75" customHeight="1" x14ac:dyDescent="0.25">
      <c r="C322" s="1"/>
    </row>
    <row r="323" spans="3:3" ht="15.75" customHeight="1" x14ac:dyDescent="0.25">
      <c r="C323" s="1"/>
    </row>
    <row r="324" spans="3:3" ht="15.75" customHeight="1" x14ac:dyDescent="0.25">
      <c r="C324" s="1"/>
    </row>
    <row r="325" spans="3:3" ht="15.75" customHeight="1" x14ac:dyDescent="0.25">
      <c r="C325" s="1"/>
    </row>
    <row r="326" spans="3:3" ht="15.75" customHeight="1" x14ac:dyDescent="0.25">
      <c r="C326" s="1"/>
    </row>
    <row r="327" spans="3:3" ht="15.75" customHeight="1" x14ac:dyDescent="0.25">
      <c r="C327" s="1"/>
    </row>
    <row r="328" spans="3:3" ht="15.75" customHeight="1" x14ac:dyDescent="0.25">
      <c r="C328" s="1"/>
    </row>
    <row r="329" spans="3:3" ht="15.75" customHeight="1" x14ac:dyDescent="0.25">
      <c r="C329" s="1"/>
    </row>
    <row r="330" spans="3:3" ht="15.75" customHeight="1" x14ac:dyDescent="0.25">
      <c r="C330" s="1"/>
    </row>
    <row r="331" spans="3:3" ht="15.75" customHeight="1" x14ac:dyDescent="0.25">
      <c r="C331" s="1"/>
    </row>
    <row r="332" spans="3:3" ht="15.75" customHeight="1" x14ac:dyDescent="0.25">
      <c r="C332" s="1"/>
    </row>
    <row r="333" spans="3:3" ht="15.75" customHeight="1" x14ac:dyDescent="0.25">
      <c r="C333" s="1"/>
    </row>
    <row r="334" spans="3:3" ht="15.75" customHeight="1" x14ac:dyDescent="0.25">
      <c r="C334" s="1"/>
    </row>
    <row r="335" spans="3:3" ht="15.75" customHeight="1" x14ac:dyDescent="0.25">
      <c r="C335" s="1"/>
    </row>
    <row r="336" spans="3:3" ht="15.75" customHeight="1" x14ac:dyDescent="0.25">
      <c r="C336" s="1"/>
    </row>
    <row r="337" spans="3:3" ht="15.75" customHeight="1" x14ac:dyDescent="0.25">
      <c r="C337" s="1"/>
    </row>
    <row r="338" spans="3:3" ht="15.75" customHeight="1" x14ac:dyDescent="0.25">
      <c r="C338" s="1"/>
    </row>
    <row r="339" spans="3:3" ht="15.75" customHeight="1" x14ac:dyDescent="0.25">
      <c r="C339" s="1"/>
    </row>
    <row r="340" spans="3:3" ht="15.75" customHeight="1" x14ac:dyDescent="0.25">
      <c r="C340" s="1"/>
    </row>
    <row r="341" spans="3:3" ht="15.75" customHeight="1" x14ac:dyDescent="0.25">
      <c r="C341" s="1"/>
    </row>
    <row r="342" spans="3:3" ht="15.75" customHeight="1" x14ac:dyDescent="0.25">
      <c r="C342" s="1"/>
    </row>
    <row r="343" spans="3:3" ht="15.75" customHeight="1" x14ac:dyDescent="0.25">
      <c r="C343" s="1"/>
    </row>
    <row r="344" spans="3:3" ht="15.75" customHeight="1" x14ac:dyDescent="0.25">
      <c r="C344" s="1"/>
    </row>
    <row r="345" spans="3:3" ht="15.75" customHeight="1" x14ac:dyDescent="0.25">
      <c r="C345" s="1"/>
    </row>
    <row r="346" spans="3:3" ht="15.75" customHeight="1" x14ac:dyDescent="0.25">
      <c r="C346" s="1"/>
    </row>
    <row r="347" spans="3:3" ht="15.75" customHeight="1" x14ac:dyDescent="0.25">
      <c r="C347" s="1"/>
    </row>
    <row r="348" spans="3:3" ht="15.75" customHeight="1" x14ac:dyDescent="0.25">
      <c r="C348" s="1"/>
    </row>
    <row r="349" spans="3:3" ht="15.75" customHeight="1" x14ac:dyDescent="0.25">
      <c r="C349" s="1"/>
    </row>
    <row r="350" spans="3:3" ht="15.75" customHeight="1" x14ac:dyDescent="0.25">
      <c r="C350" s="1"/>
    </row>
    <row r="351" spans="3:3" ht="15.75" customHeight="1" x14ac:dyDescent="0.25">
      <c r="C351" s="1"/>
    </row>
    <row r="352" spans="3:3" ht="15.75" customHeight="1" x14ac:dyDescent="0.25">
      <c r="C352" s="1"/>
    </row>
    <row r="353" spans="3:3" ht="15.75" customHeight="1" x14ac:dyDescent="0.25">
      <c r="C353" s="1"/>
    </row>
    <row r="354" spans="3:3" ht="15.75" customHeight="1" x14ac:dyDescent="0.25">
      <c r="C354" s="1"/>
    </row>
    <row r="355" spans="3:3" ht="15.75" customHeight="1" x14ac:dyDescent="0.25">
      <c r="C355" s="1"/>
    </row>
    <row r="356" spans="3:3" ht="15.75" customHeight="1" x14ac:dyDescent="0.25">
      <c r="C356" s="1"/>
    </row>
    <row r="357" spans="3:3" ht="15.75" customHeight="1" x14ac:dyDescent="0.25">
      <c r="C357" s="1"/>
    </row>
    <row r="358" spans="3:3" ht="15.75" customHeight="1" x14ac:dyDescent="0.25">
      <c r="C358" s="1"/>
    </row>
    <row r="359" spans="3:3" ht="15.75" customHeight="1" x14ac:dyDescent="0.25">
      <c r="C359" s="1"/>
    </row>
    <row r="360" spans="3:3" ht="15.75" customHeight="1" x14ac:dyDescent="0.25">
      <c r="C360" s="1"/>
    </row>
    <row r="361" spans="3:3" ht="15.75" customHeight="1" x14ac:dyDescent="0.25">
      <c r="C361" s="1"/>
    </row>
    <row r="362" spans="3:3" ht="15.75" customHeight="1" x14ac:dyDescent="0.25">
      <c r="C362" s="1"/>
    </row>
    <row r="363" spans="3:3" ht="15.75" customHeight="1" x14ac:dyDescent="0.25">
      <c r="C363" s="1"/>
    </row>
    <row r="364" spans="3:3" ht="15.75" customHeight="1" x14ac:dyDescent="0.25">
      <c r="C364" s="1"/>
    </row>
    <row r="365" spans="3:3" ht="15.75" customHeight="1" x14ac:dyDescent="0.25">
      <c r="C365" s="1"/>
    </row>
    <row r="366" spans="3:3" ht="15.75" customHeight="1" x14ac:dyDescent="0.25">
      <c r="C366" s="1"/>
    </row>
    <row r="367" spans="3:3" ht="15.75" customHeight="1" x14ac:dyDescent="0.25">
      <c r="C367" s="1"/>
    </row>
    <row r="368" spans="3:3" ht="15.75" customHeight="1" x14ac:dyDescent="0.25">
      <c r="C368" s="1"/>
    </row>
    <row r="369" spans="3:3" ht="15.75" customHeight="1" x14ac:dyDescent="0.25">
      <c r="C369" s="1"/>
    </row>
    <row r="370" spans="3:3" ht="15.75" customHeight="1" x14ac:dyDescent="0.25">
      <c r="C370" s="1"/>
    </row>
    <row r="371" spans="3:3" ht="15.75" customHeight="1" x14ac:dyDescent="0.25">
      <c r="C371" s="1"/>
    </row>
    <row r="372" spans="3:3" ht="15.75" customHeight="1" x14ac:dyDescent="0.25">
      <c r="C372" s="1"/>
    </row>
    <row r="373" spans="3:3" ht="15.75" customHeight="1" x14ac:dyDescent="0.25">
      <c r="C373" s="1"/>
    </row>
    <row r="374" spans="3:3" ht="15.75" customHeight="1" x14ac:dyDescent="0.25">
      <c r="C374" s="1"/>
    </row>
    <row r="375" spans="3:3" ht="15.75" customHeight="1" x14ac:dyDescent="0.25">
      <c r="C375" s="1"/>
    </row>
    <row r="376" spans="3:3" ht="15.75" customHeight="1" x14ac:dyDescent="0.25">
      <c r="C376" s="1"/>
    </row>
    <row r="377" spans="3:3" ht="15.75" customHeight="1" x14ac:dyDescent="0.25">
      <c r="C377" s="1"/>
    </row>
    <row r="378" spans="3:3" ht="15.75" customHeight="1" x14ac:dyDescent="0.25">
      <c r="C378" s="1"/>
    </row>
    <row r="379" spans="3:3" ht="15.75" customHeight="1" x14ac:dyDescent="0.25">
      <c r="C379" s="1"/>
    </row>
    <row r="380" spans="3:3" ht="15.75" customHeight="1" x14ac:dyDescent="0.25">
      <c r="C380" s="1"/>
    </row>
    <row r="381" spans="3:3" ht="15.75" customHeight="1" x14ac:dyDescent="0.25">
      <c r="C381" s="1"/>
    </row>
    <row r="382" spans="3:3" ht="15.75" customHeight="1" x14ac:dyDescent="0.25">
      <c r="C382" s="1"/>
    </row>
    <row r="383" spans="3:3" ht="15.75" customHeight="1" x14ac:dyDescent="0.25">
      <c r="C383" s="1"/>
    </row>
    <row r="384" spans="3:3" ht="15.75" customHeight="1" x14ac:dyDescent="0.25">
      <c r="C384" s="1"/>
    </row>
    <row r="385" spans="3:3" ht="15.75" customHeight="1" x14ac:dyDescent="0.25">
      <c r="C385" s="1"/>
    </row>
    <row r="386" spans="3:3" ht="15.75" customHeight="1" x14ac:dyDescent="0.25">
      <c r="C386" s="1"/>
    </row>
    <row r="387" spans="3:3" ht="15.75" customHeight="1" x14ac:dyDescent="0.25">
      <c r="C387" s="1"/>
    </row>
    <row r="388" spans="3:3" ht="15.75" customHeight="1" x14ac:dyDescent="0.25">
      <c r="C388" s="1"/>
    </row>
    <row r="389" spans="3:3" ht="15.75" customHeight="1" x14ac:dyDescent="0.25">
      <c r="C389" s="1"/>
    </row>
    <row r="390" spans="3:3" ht="15.75" customHeight="1" x14ac:dyDescent="0.25">
      <c r="C390" s="1"/>
    </row>
    <row r="391" spans="3:3" ht="15.75" customHeight="1" x14ac:dyDescent="0.25">
      <c r="C391" s="1"/>
    </row>
    <row r="392" spans="3:3" ht="15.75" customHeight="1" x14ac:dyDescent="0.25">
      <c r="C392" s="1"/>
    </row>
    <row r="393" spans="3:3" ht="15.75" customHeight="1" x14ac:dyDescent="0.25">
      <c r="C393" s="1"/>
    </row>
    <row r="394" spans="3:3" ht="15.75" customHeight="1" x14ac:dyDescent="0.25">
      <c r="C394" s="1"/>
    </row>
    <row r="395" spans="3:3" ht="15.75" customHeight="1" x14ac:dyDescent="0.25">
      <c r="C395" s="1"/>
    </row>
    <row r="396" spans="3:3" ht="15.75" customHeight="1" x14ac:dyDescent="0.25">
      <c r="C396" s="1"/>
    </row>
    <row r="397" spans="3:3" ht="15.75" customHeight="1" x14ac:dyDescent="0.25">
      <c r="C397" s="1"/>
    </row>
    <row r="398" spans="3:3" ht="15.75" customHeight="1" x14ac:dyDescent="0.25">
      <c r="C398" s="1"/>
    </row>
    <row r="399" spans="3:3" ht="15.75" customHeight="1" x14ac:dyDescent="0.25">
      <c r="C399" s="1"/>
    </row>
    <row r="400" spans="3:3" ht="15.75" customHeight="1" x14ac:dyDescent="0.25">
      <c r="C400" s="1"/>
    </row>
    <row r="401" spans="3:3" ht="15.75" customHeight="1" x14ac:dyDescent="0.25">
      <c r="C401" s="1"/>
    </row>
    <row r="402" spans="3:3" ht="15.75" customHeight="1" x14ac:dyDescent="0.25">
      <c r="C402" s="1"/>
    </row>
    <row r="403" spans="3:3" ht="15.75" customHeight="1" x14ac:dyDescent="0.25">
      <c r="C403" s="1"/>
    </row>
    <row r="404" spans="3:3" ht="15.75" customHeight="1" x14ac:dyDescent="0.25">
      <c r="C404" s="1"/>
    </row>
    <row r="405" spans="3:3" ht="15.75" customHeight="1" x14ac:dyDescent="0.25">
      <c r="C405" s="1"/>
    </row>
    <row r="406" spans="3:3" ht="15.75" customHeight="1" x14ac:dyDescent="0.25">
      <c r="C406" s="1"/>
    </row>
    <row r="407" spans="3:3" ht="15.75" customHeight="1" x14ac:dyDescent="0.25">
      <c r="C407" s="1"/>
    </row>
    <row r="408" spans="3:3" ht="15.75" customHeight="1" x14ac:dyDescent="0.25">
      <c r="C408" s="1"/>
    </row>
    <row r="409" spans="3:3" ht="15.75" customHeight="1" x14ac:dyDescent="0.25">
      <c r="C409" s="1"/>
    </row>
    <row r="410" spans="3:3" ht="15.75" customHeight="1" x14ac:dyDescent="0.25">
      <c r="C410" s="1"/>
    </row>
    <row r="411" spans="3:3" ht="15.75" customHeight="1" x14ac:dyDescent="0.25">
      <c r="C411" s="1"/>
    </row>
    <row r="412" spans="3:3" ht="15.75" customHeight="1" x14ac:dyDescent="0.25">
      <c r="C412" s="1"/>
    </row>
    <row r="413" spans="3:3" ht="15.75" customHeight="1" x14ac:dyDescent="0.25">
      <c r="C413" s="1"/>
    </row>
    <row r="414" spans="3:3" ht="15.75" customHeight="1" x14ac:dyDescent="0.25">
      <c r="C414" s="1"/>
    </row>
    <row r="415" spans="3:3" ht="15.75" customHeight="1" x14ac:dyDescent="0.25">
      <c r="C415" s="1"/>
    </row>
    <row r="416" spans="3:3" ht="15.75" customHeight="1" x14ac:dyDescent="0.25">
      <c r="C416" s="1"/>
    </row>
    <row r="417" spans="3:3" ht="15.75" customHeight="1" x14ac:dyDescent="0.25">
      <c r="C417" s="1"/>
    </row>
    <row r="418" spans="3:3" ht="15.75" customHeight="1" x14ac:dyDescent="0.25">
      <c r="C418" s="1"/>
    </row>
    <row r="419" spans="3:3" ht="15.75" customHeight="1" x14ac:dyDescent="0.25">
      <c r="C419" s="1"/>
    </row>
    <row r="420" spans="3:3" ht="15.75" customHeight="1" x14ac:dyDescent="0.25">
      <c r="C420" s="1"/>
    </row>
    <row r="421" spans="3:3" ht="15.75" customHeight="1" x14ac:dyDescent="0.25">
      <c r="C421" s="1"/>
    </row>
    <row r="422" spans="3:3" ht="15.75" customHeight="1" x14ac:dyDescent="0.25">
      <c r="C422" s="1"/>
    </row>
    <row r="423" spans="3:3" ht="15.75" customHeight="1" x14ac:dyDescent="0.25">
      <c r="C423" s="1"/>
    </row>
    <row r="424" spans="3:3" ht="15.75" customHeight="1" x14ac:dyDescent="0.25">
      <c r="C424" s="1"/>
    </row>
    <row r="425" spans="3:3" ht="15.75" customHeight="1" x14ac:dyDescent="0.25">
      <c r="C425" s="1"/>
    </row>
    <row r="426" spans="3:3" ht="15.75" customHeight="1" x14ac:dyDescent="0.25">
      <c r="C426" s="1"/>
    </row>
    <row r="427" spans="3:3" ht="15.75" customHeight="1" x14ac:dyDescent="0.25">
      <c r="C427" s="1"/>
    </row>
    <row r="428" spans="3:3" ht="15.75" customHeight="1" x14ac:dyDescent="0.25">
      <c r="C428" s="1"/>
    </row>
    <row r="429" spans="3:3" ht="15.75" customHeight="1" x14ac:dyDescent="0.25">
      <c r="C429" s="1"/>
    </row>
    <row r="430" spans="3:3" ht="15.75" customHeight="1" x14ac:dyDescent="0.25">
      <c r="C430" s="1"/>
    </row>
    <row r="431" spans="3:3" ht="15.75" customHeight="1" x14ac:dyDescent="0.25">
      <c r="C431" s="1"/>
    </row>
    <row r="432" spans="3:3" ht="15.75" customHeight="1" x14ac:dyDescent="0.25">
      <c r="C432" s="1"/>
    </row>
    <row r="433" spans="3:3" ht="15.75" customHeight="1" x14ac:dyDescent="0.25">
      <c r="C433" s="1"/>
    </row>
    <row r="434" spans="3:3" ht="15.75" customHeight="1" x14ac:dyDescent="0.25">
      <c r="C434" s="1"/>
    </row>
    <row r="435" spans="3:3" ht="15.75" customHeight="1" x14ac:dyDescent="0.25">
      <c r="C435" s="1"/>
    </row>
    <row r="436" spans="3:3" ht="15.75" customHeight="1" x14ac:dyDescent="0.25">
      <c r="C436" s="1"/>
    </row>
    <row r="437" spans="3:3" ht="15.75" customHeight="1" x14ac:dyDescent="0.25">
      <c r="C437" s="1"/>
    </row>
    <row r="438" spans="3:3" ht="15.75" customHeight="1" x14ac:dyDescent="0.25">
      <c r="C438" s="1"/>
    </row>
    <row r="439" spans="3:3" ht="15.75" customHeight="1" x14ac:dyDescent="0.25">
      <c r="C439" s="1"/>
    </row>
    <row r="440" spans="3:3" ht="15.75" customHeight="1" x14ac:dyDescent="0.25">
      <c r="C440" s="1"/>
    </row>
    <row r="441" spans="3:3" ht="15.75" customHeight="1" x14ac:dyDescent="0.25">
      <c r="C441" s="1"/>
    </row>
    <row r="442" spans="3:3" ht="15.75" customHeight="1" x14ac:dyDescent="0.25">
      <c r="C442" s="1"/>
    </row>
    <row r="443" spans="3:3" ht="15.75" customHeight="1" x14ac:dyDescent="0.25">
      <c r="C443" s="1"/>
    </row>
    <row r="444" spans="3:3" ht="15.75" customHeight="1" x14ac:dyDescent="0.25">
      <c r="C444" s="1"/>
    </row>
    <row r="445" spans="3:3" ht="15.75" customHeight="1" x14ac:dyDescent="0.25">
      <c r="C445" s="1"/>
    </row>
    <row r="446" spans="3:3" ht="15.75" customHeight="1" x14ac:dyDescent="0.25">
      <c r="C446" s="1"/>
    </row>
    <row r="447" spans="3:3" ht="15.75" customHeight="1" x14ac:dyDescent="0.25">
      <c r="C447" s="1"/>
    </row>
    <row r="448" spans="3:3" ht="15.75" customHeight="1" x14ac:dyDescent="0.25">
      <c r="C448" s="1"/>
    </row>
    <row r="449" spans="3:3" ht="15.75" customHeight="1" x14ac:dyDescent="0.25">
      <c r="C449" s="1"/>
    </row>
    <row r="450" spans="3:3" ht="15.75" customHeight="1" x14ac:dyDescent="0.25">
      <c r="C450" s="1"/>
    </row>
    <row r="451" spans="3:3" ht="15.75" customHeight="1" x14ac:dyDescent="0.25">
      <c r="C451" s="1"/>
    </row>
    <row r="452" spans="3:3" ht="15.75" customHeight="1" x14ac:dyDescent="0.25">
      <c r="C452" s="1"/>
    </row>
    <row r="453" spans="3:3" ht="15.75" customHeight="1" x14ac:dyDescent="0.25">
      <c r="C453" s="1"/>
    </row>
    <row r="454" spans="3:3" ht="15.75" customHeight="1" x14ac:dyDescent="0.25">
      <c r="C454" s="1"/>
    </row>
    <row r="455" spans="3:3" ht="15.75" customHeight="1" x14ac:dyDescent="0.25">
      <c r="C455" s="1"/>
    </row>
    <row r="456" spans="3:3" ht="15.75" customHeight="1" x14ac:dyDescent="0.25">
      <c r="C456" s="1"/>
    </row>
    <row r="457" spans="3:3" ht="15.75" customHeight="1" x14ac:dyDescent="0.25">
      <c r="C457" s="1"/>
    </row>
    <row r="458" spans="3:3" ht="15.75" customHeight="1" x14ac:dyDescent="0.25">
      <c r="C458" s="1"/>
    </row>
    <row r="459" spans="3:3" ht="15.75" customHeight="1" x14ac:dyDescent="0.25">
      <c r="C459" s="1"/>
    </row>
    <row r="460" spans="3:3" ht="15.75" customHeight="1" x14ac:dyDescent="0.25">
      <c r="C460" s="1"/>
    </row>
    <row r="461" spans="3:3" ht="15.75" customHeight="1" x14ac:dyDescent="0.25">
      <c r="C461" s="1"/>
    </row>
    <row r="462" spans="3:3" ht="15.75" customHeight="1" x14ac:dyDescent="0.25">
      <c r="C462" s="1"/>
    </row>
    <row r="463" spans="3:3" ht="15.75" customHeight="1" x14ac:dyDescent="0.25">
      <c r="C463" s="1"/>
    </row>
    <row r="464" spans="3:3" ht="15.75" customHeight="1" x14ac:dyDescent="0.25">
      <c r="C464" s="1"/>
    </row>
    <row r="465" spans="3:3" ht="15.75" customHeight="1" x14ac:dyDescent="0.25">
      <c r="C465" s="1"/>
    </row>
    <row r="466" spans="3:3" ht="15.75" customHeight="1" x14ac:dyDescent="0.25">
      <c r="C466" s="1"/>
    </row>
    <row r="467" spans="3:3" ht="15.75" customHeight="1" x14ac:dyDescent="0.25">
      <c r="C467" s="1"/>
    </row>
    <row r="468" spans="3:3" ht="15.75" customHeight="1" x14ac:dyDescent="0.25">
      <c r="C468" s="1"/>
    </row>
    <row r="469" spans="3:3" ht="15.75" customHeight="1" x14ac:dyDescent="0.25">
      <c r="C469" s="1"/>
    </row>
    <row r="470" spans="3:3" ht="15.75" customHeight="1" x14ac:dyDescent="0.25">
      <c r="C470" s="1"/>
    </row>
    <row r="471" spans="3:3" ht="15.75" customHeight="1" x14ac:dyDescent="0.25">
      <c r="C471" s="1"/>
    </row>
    <row r="472" spans="3:3" ht="15.75" customHeight="1" x14ac:dyDescent="0.25">
      <c r="C472" s="1"/>
    </row>
    <row r="473" spans="3:3" ht="15.75" customHeight="1" x14ac:dyDescent="0.25">
      <c r="C473" s="1"/>
    </row>
    <row r="474" spans="3:3" ht="15.75" customHeight="1" x14ac:dyDescent="0.25">
      <c r="C474" s="1"/>
    </row>
    <row r="475" spans="3:3" ht="15.75" customHeight="1" x14ac:dyDescent="0.25">
      <c r="C475" s="1"/>
    </row>
    <row r="476" spans="3:3" ht="15.75" customHeight="1" x14ac:dyDescent="0.25">
      <c r="C476" s="1"/>
    </row>
    <row r="477" spans="3:3" ht="15.75" customHeight="1" x14ac:dyDescent="0.25">
      <c r="C477" s="1"/>
    </row>
    <row r="478" spans="3:3" ht="15.75" customHeight="1" x14ac:dyDescent="0.25">
      <c r="C478" s="1"/>
    </row>
    <row r="479" spans="3:3" ht="15.75" customHeight="1" x14ac:dyDescent="0.25">
      <c r="C479" s="1"/>
    </row>
    <row r="480" spans="3:3" ht="15.75" customHeight="1" x14ac:dyDescent="0.25">
      <c r="C480" s="1"/>
    </row>
    <row r="481" spans="3:3" ht="15.75" customHeight="1" x14ac:dyDescent="0.25">
      <c r="C481" s="1"/>
    </row>
    <row r="482" spans="3:3" ht="15.75" customHeight="1" x14ac:dyDescent="0.25">
      <c r="C482" s="1"/>
    </row>
    <row r="483" spans="3:3" ht="15.75" customHeight="1" x14ac:dyDescent="0.25">
      <c r="C483" s="1"/>
    </row>
    <row r="484" spans="3:3" ht="15.75" customHeight="1" x14ac:dyDescent="0.25">
      <c r="C484" s="1"/>
    </row>
    <row r="485" spans="3:3" ht="15.75" customHeight="1" x14ac:dyDescent="0.25">
      <c r="C485" s="1"/>
    </row>
    <row r="486" spans="3:3" ht="15.75" customHeight="1" x14ac:dyDescent="0.25">
      <c r="C486" s="1"/>
    </row>
    <row r="487" spans="3:3" ht="15.75" customHeight="1" x14ac:dyDescent="0.25">
      <c r="C487" s="1"/>
    </row>
    <row r="488" spans="3:3" ht="15.75" customHeight="1" x14ac:dyDescent="0.25">
      <c r="C488" s="1"/>
    </row>
    <row r="489" spans="3:3" ht="15.75" customHeight="1" x14ac:dyDescent="0.25">
      <c r="C489" s="1"/>
    </row>
    <row r="490" spans="3:3" ht="15.75" customHeight="1" x14ac:dyDescent="0.25">
      <c r="C490" s="1"/>
    </row>
    <row r="491" spans="3:3" ht="15.75" customHeight="1" x14ac:dyDescent="0.25">
      <c r="C491" s="1"/>
    </row>
    <row r="492" spans="3:3" ht="15.75" customHeight="1" x14ac:dyDescent="0.25">
      <c r="C492" s="1"/>
    </row>
    <row r="493" spans="3:3" ht="15.75" customHeight="1" x14ac:dyDescent="0.25">
      <c r="C493" s="1"/>
    </row>
    <row r="494" spans="3:3" ht="15.75" customHeight="1" x14ac:dyDescent="0.25">
      <c r="C494" s="1"/>
    </row>
    <row r="495" spans="3:3" ht="15.75" customHeight="1" x14ac:dyDescent="0.25">
      <c r="C495" s="1"/>
    </row>
    <row r="496" spans="3:3" ht="15.75" customHeight="1" x14ac:dyDescent="0.25">
      <c r="C496" s="1"/>
    </row>
    <row r="497" spans="3:3" ht="15.75" customHeight="1" x14ac:dyDescent="0.25">
      <c r="C497" s="1"/>
    </row>
    <row r="498" spans="3:3" ht="15.75" customHeight="1" x14ac:dyDescent="0.25">
      <c r="C498" s="1"/>
    </row>
    <row r="499" spans="3:3" ht="15.75" customHeight="1" x14ac:dyDescent="0.25">
      <c r="C499" s="1"/>
    </row>
    <row r="500" spans="3:3" ht="15.75" customHeight="1" x14ac:dyDescent="0.25">
      <c r="C500" s="1"/>
    </row>
    <row r="501" spans="3:3" ht="15.75" customHeight="1" x14ac:dyDescent="0.25">
      <c r="C501" s="1"/>
    </row>
    <row r="502" spans="3:3" ht="15.75" customHeight="1" x14ac:dyDescent="0.25">
      <c r="C502" s="1"/>
    </row>
    <row r="503" spans="3:3" ht="15.75" customHeight="1" x14ac:dyDescent="0.25">
      <c r="C503" s="1"/>
    </row>
    <row r="504" spans="3:3" ht="15.75" customHeight="1" x14ac:dyDescent="0.25">
      <c r="C504" s="1"/>
    </row>
    <row r="505" spans="3:3" ht="15.75" customHeight="1" x14ac:dyDescent="0.25">
      <c r="C505" s="1"/>
    </row>
    <row r="506" spans="3:3" ht="15.75" customHeight="1" x14ac:dyDescent="0.25">
      <c r="C506" s="1"/>
    </row>
    <row r="507" spans="3:3" ht="15.75" customHeight="1" x14ac:dyDescent="0.25">
      <c r="C507" s="1"/>
    </row>
    <row r="508" spans="3:3" ht="15.75" customHeight="1" x14ac:dyDescent="0.25">
      <c r="C508" s="1"/>
    </row>
    <row r="509" spans="3:3" ht="15.75" customHeight="1" x14ac:dyDescent="0.25">
      <c r="C509" s="1"/>
    </row>
    <row r="510" spans="3:3" ht="15.75" customHeight="1" x14ac:dyDescent="0.25">
      <c r="C510" s="1"/>
    </row>
    <row r="511" spans="3:3" ht="15.75" customHeight="1" x14ac:dyDescent="0.25">
      <c r="C511" s="1"/>
    </row>
    <row r="512" spans="3:3" ht="15.75" customHeight="1" x14ac:dyDescent="0.25">
      <c r="C512" s="1"/>
    </row>
    <row r="513" spans="3:3" ht="15.75" customHeight="1" x14ac:dyDescent="0.25">
      <c r="C513" s="1"/>
    </row>
    <row r="514" spans="3:3" ht="15.75" customHeight="1" x14ac:dyDescent="0.25">
      <c r="C514" s="1"/>
    </row>
    <row r="515" spans="3:3" ht="15.75" customHeight="1" x14ac:dyDescent="0.25">
      <c r="C515" s="1"/>
    </row>
    <row r="516" spans="3:3" ht="15.75" customHeight="1" x14ac:dyDescent="0.25">
      <c r="C516" s="1"/>
    </row>
    <row r="517" spans="3:3" ht="15.75" customHeight="1" x14ac:dyDescent="0.25">
      <c r="C517" s="1"/>
    </row>
    <row r="518" spans="3:3" ht="15.75" customHeight="1" x14ac:dyDescent="0.25">
      <c r="C518" s="1"/>
    </row>
    <row r="519" spans="3:3" ht="15.75" customHeight="1" x14ac:dyDescent="0.25">
      <c r="C519" s="1"/>
    </row>
    <row r="520" spans="3:3" ht="15.75" customHeight="1" x14ac:dyDescent="0.25">
      <c r="C520" s="1"/>
    </row>
    <row r="521" spans="3:3" ht="15.75" customHeight="1" x14ac:dyDescent="0.25">
      <c r="C521" s="1"/>
    </row>
    <row r="522" spans="3:3" ht="15.75" customHeight="1" x14ac:dyDescent="0.25">
      <c r="C522" s="1"/>
    </row>
    <row r="523" spans="3:3" ht="15.75" customHeight="1" x14ac:dyDescent="0.25">
      <c r="C523" s="1"/>
    </row>
    <row r="524" spans="3:3" ht="15.75" customHeight="1" x14ac:dyDescent="0.25">
      <c r="C524" s="1"/>
    </row>
    <row r="525" spans="3:3" ht="15.75" customHeight="1" x14ac:dyDescent="0.25">
      <c r="C525" s="1"/>
    </row>
    <row r="526" spans="3:3" ht="15.75" customHeight="1" x14ac:dyDescent="0.25">
      <c r="C526" s="1"/>
    </row>
    <row r="527" spans="3:3" ht="15.75" customHeight="1" x14ac:dyDescent="0.25">
      <c r="C527" s="1"/>
    </row>
    <row r="528" spans="3:3" ht="15.75" customHeight="1" x14ac:dyDescent="0.25">
      <c r="C528" s="1"/>
    </row>
    <row r="529" spans="3:3" ht="15.75" customHeight="1" x14ac:dyDescent="0.25">
      <c r="C529" s="1"/>
    </row>
    <row r="530" spans="3:3" ht="15.75" customHeight="1" x14ac:dyDescent="0.25">
      <c r="C530" s="1"/>
    </row>
    <row r="531" spans="3:3" ht="15.75" customHeight="1" x14ac:dyDescent="0.25">
      <c r="C531" s="1"/>
    </row>
    <row r="532" spans="3:3" ht="15.75" customHeight="1" x14ac:dyDescent="0.25">
      <c r="C532" s="1"/>
    </row>
    <row r="533" spans="3:3" ht="15.75" customHeight="1" x14ac:dyDescent="0.25">
      <c r="C533" s="1"/>
    </row>
    <row r="534" spans="3:3" ht="15.75" customHeight="1" x14ac:dyDescent="0.25">
      <c r="C534" s="1"/>
    </row>
    <row r="535" spans="3:3" ht="15.75" customHeight="1" x14ac:dyDescent="0.25">
      <c r="C535" s="1"/>
    </row>
    <row r="536" spans="3:3" ht="15.75" customHeight="1" x14ac:dyDescent="0.25">
      <c r="C536" s="1"/>
    </row>
    <row r="537" spans="3:3" ht="15.75" customHeight="1" x14ac:dyDescent="0.25">
      <c r="C537" s="1"/>
    </row>
    <row r="538" spans="3:3" ht="15.75" customHeight="1" x14ac:dyDescent="0.25">
      <c r="C538" s="1"/>
    </row>
    <row r="539" spans="3:3" ht="15.75" customHeight="1" x14ac:dyDescent="0.25">
      <c r="C539" s="1"/>
    </row>
    <row r="540" spans="3:3" ht="15.75" customHeight="1" x14ac:dyDescent="0.25">
      <c r="C540" s="1"/>
    </row>
    <row r="541" spans="3:3" ht="15.75" customHeight="1" x14ac:dyDescent="0.25">
      <c r="C541" s="1"/>
    </row>
    <row r="542" spans="3:3" ht="15.75" customHeight="1" x14ac:dyDescent="0.25">
      <c r="C542" s="1"/>
    </row>
    <row r="543" spans="3:3" ht="15.75" customHeight="1" x14ac:dyDescent="0.25">
      <c r="C543" s="1"/>
    </row>
    <row r="544" spans="3:3" ht="15.75" customHeight="1" x14ac:dyDescent="0.25">
      <c r="C544" s="1"/>
    </row>
    <row r="545" spans="3:3" ht="15.75" customHeight="1" x14ac:dyDescent="0.25">
      <c r="C545" s="1"/>
    </row>
    <row r="546" spans="3:3" ht="15.75" customHeight="1" x14ac:dyDescent="0.25">
      <c r="C546" s="1"/>
    </row>
    <row r="547" spans="3:3" ht="15.75" customHeight="1" x14ac:dyDescent="0.25">
      <c r="C547" s="1"/>
    </row>
    <row r="548" spans="3:3" ht="15.75" customHeight="1" x14ac:dyDescent="0.25">
      <c r="C548" s="1"/>
    </row>
    <row r="549" spans="3:3" ht="15.75" customHeight="1" x14ac:dyDescent="0.25">
      <c r="C549" s="1"/>
    </row>
    <row r="550" spans="3:3" ht="15.75" customHeight="1" x14ac:dyDescent="0.25">
      <c r="C550" s="1"/>
    </row>
    <row r="551" spans="3:3" ht="15.75" customHeight="1" x14ac:dyDescent="0.25">
      <c r="C551" s="1"/>
    </row>
    <row r="552" spans="3:3" ht="15.75" customHeight="1" x14ac:dyDescent="0.25">
      <c r="C552" s="1"/>
    </row>
    <row r="553" spans="3:3" ht="15.75" customHeight="1" x14ac:dyDescent="0.25">
      <c r="C553" s="1"/>
    </row>
    <row r="554" spans="3:3" ht="15.75" customHeight="1" x14ac:dyDescent="0.25">
      <c r="C554" s="1"/>
    </row>
    <row r="555" spans="3:3" ht="15.75" customHeight="1" x14ac:dyDescent="0.25">
      <c r="C555" s="1"/>
    </row>
    <row r="556" spans="3:3" ht="15.75" customHeight="1" x14ac:dyDescent="0.25">
      <c r="C556" s="1"/>
    </row>
    <row r="557" spans="3:3" ht="15.75" customHeight="1" x14ac:dyDescent="0.25">
      <c r="C557" s="1"/>
    </row>
    <row r="558" spans="3:3" ht="15.75" customHeight="1" x14ac:dyDescent="0.25">
      <c r="C558" s="1"/>
    </row>
    <row r="559" spans="3:3" ht="15.75" customHeight="1" x14ac:dyDescent="0.25">
      <c r="C559" s="1"/>
    </row>
    <row r="560" spans="3:3" ht="15.75" customHeight="1" x14ac:dyDescent="0.25">
      <c r="C560" s="1"/>
    </row>
    <row r="561" spans="3:3" ht="15.75" customHeight="1" x14ac:dyDescent="0.25">
      <c r="C561" s="1"/>
    </row>
    <row r="562" spans="3:3" ht="15.75" customHeight="1" x14ac:dyDescent="0.25">
      <c r="C562" s="1"/>
    </row>
    <row r="563" spans="3:3" ht="15.75" customHeight="1" x14ac:dyDescent="0.25">
      <c r="C563" s="1"/>
    </row>
    <row r="564" spans="3:3" ht="15.75" customHeight="1" x14ac:dyDescent="0.25">
      <c r="C564" s="1"/>
    </row>
    <row r="565" spans="3:3" ht="15.75" customHeight="1" x14ac:dyDescent="0.25">
      <c r="C565" s="1"/>
    </row>
    <row r="566" spans="3:3" ht="15.75" customHeight="1" x14ac:dyDescent="0.25">
      <c r="C566" s="1"/>
    </row>
    <row r="567" spans="3:3" ht="15.75" customHeight="1" x14ac:dyDescent="0.25">
      <c r="C567" s="1"/>
    </row>
    <row r="568" spans="3:3" ht="15.75" customHeight="1" x14ac:dyDescent="0.25">
      <c r="C568" s="1"/>
    </row>
    <row r="569" spans="3:3" ht="15.75" customHeight="1" x14ac:dyDescent="0.25">
      <c r="C569" s="1"/>
    </row>
    <row r="570" spans="3:3" ht="15.75" customHeight="1" x14ac:dyDescent="0.25">
      <c r="C570" s="1"/>
    </row>
    <row r="571" spans="3:3" ht="15.75" customHeight="1" x14ac:dyDescent="0.25">
      <c r="C571" s="1"/>
    </row>
    <row r="572" spans="3:3" ht="15.75" customHeight="1" x14ac:dyDescent="0.25">
      <c r="C572" s="1"/>
    </row>
    <row r="573" spans="3:3" ht="15.75" customHeight="1" x14ac:dyDescent="0.25">
      <c r="C573" s="1"/>
    </row>
    <row r="574" spans="3:3" ht="15.75" customHeight="1" x14ac:dyDescent="0.25">
      <c r="C574" s="1"/>
    </row>
    <row r="575" spans="3:3" ht="15.75" customHeight="1" x14ac:dyDescent="0.25">
      <c r="C575" s="1"/>
    </row>
    <row r="576" spans="3:3" ht="15.75" customHeight="1" x14ac:dyDescent="0.25">
      <c r="C576" s="1"/>
    </row>
    <row r="577" spans="3:3" ht="15.75" customHeight="1" x14ac:dyDescent="0.25">
      <c r="C577" s="1"/>
    </row>
    <row r="578" spans="3:3" ht="15.75" customHeight="1" x14ac:dyDescent="0.25">
      <c r="C578" s="1"/>
    </row>
    <row r="579" spans="3:3" ht="15.75" customHeight="1" x14ac:dyDescent="0.25">
      <c r="C579" s="1"/>
    </row>
    <row r="580" spans="3:3" ht="15.75" customHeight="1" x14ac:dyDescent="0.25">
      <c r="C580" s="1"/>
    </row>
    <row r="581" spans="3:3" ht="15.75" customHeight="1" x14ac:dyDescent="0.25">
      <c r="C581" s="1"/>
    </row>
    <row r="582" spans="3:3" ht="15.75" customHeight="1" x14ac:dyDescent="0.25">
      <c r="C582" s="1"/>
    </row>
    <row r="583" spans="3:3" ht="15.75" customHeight="1" x14ac:dyDescent="0.25">
      <c r="C583" s="1"/>
    </row>
    <row r="584" spans="3:3" ht="15.75" customHeight="1" x14ac:dyDescent="0.25">
      <c r="C584" s="1"/>
    </row>
    <row r="585" spans="3:3" ht="15.75" customHeight="1" x14ac:dyDescent="0.25">
      <c r="C585" s="1"/>
    </row>
    <row r="586" spans="3:3" ht="15.75" customHeight="1" x14ac:dyDescent="0.25">
      <c r="C586" s="1"/>
    </row>
    <row r="587" spans="3:3" ht="15.75" customHeight="1" x14ac:dyDescent="0.25">
      <c r="C587" s="1"/>
    </row>
    <row r="588" spans="3:3" ht="15.75" customHeight="1" x14ac:dyDescent="0.25">
      <c r="C588" s="1"/>
    </row>
    <row r="589" spans="3:3" ht="15.75" customHeight="1" x14ac:dyDescent="0.25">
      <c r="C589" s="1"/>
    </row>
    <row r="590" spans="3:3" ht="15.75" customHeight="1" x14ac:dyDescent="0.25">
      <c r="C590" s="1"/>
    </row>
    <row r="591" spans="3:3" ht="15.75" customHeight="1" x14ac:dyDescent="0.25">
      <c r="C591" s="1"/>
    </row>
    <row r="592" spans="3:3" ht="15.75" customHeight="1" x14ac:dyDescent="0.25">
      <c r="C592" s="1"/>
    </row>
    <row r="593" spans="3:3" ht="15.75" customHeight="1" x14ac:dyDescent="0.25">
      <c r="C593" s="1"/>
    </row>
    <row r="594" spans="3:3" ht="15.75" customHeight="1" x14ac:dyDescent="0.25">
      <c r="C594" s="1"/>
    </row>
    <row r="595" spans="3:3" ht="15.75" customHeight="1" x14ac:dyDescent="0.25">
      <c r="C595" s="1"/>
    </row>
    <row r="596" spans="3:3" ht="15.75" customHeight="1" x14ac:dyDescent="0.25">
      <c r="C596" s="1"/>
    </row>
    <row r="597" spans="3:3" ht="15.75" customHeight="1" x14ac:dyDescent="0.25">
      <c r="C597" s="1"/>
    </row>
    <row r="598" spans="3:3" ht="15.75" customHeight="1" x14ac:dyDescent="0.25">
      <c r="C598" s="1"/>
    </row>
    <row r="599" spans="3:3" ht="15.75" customHeight="1" x14ac:dyDescent="0.25">
      <c r="C599" s="1"/>
    </row>
    <row r="600" spans="3:3" ht="15.75" customHeight="1" x14ac:dyDescent="0.25">
      <c r="C600" s="1"/>
    </row>
    <row r="601" spans="3:3" ht="15.75" customHeight="1" x14ac:dyDescent="0.25">
      <c r="C601" s="1"/>
    </row>
    <row r="602" spans="3:3" ht="15.75" customHeight="1" x14ac:dyDescent="0.25">
      <c r="C602" s="1"/>
    </row>
    <row r="603" spans="3:3" ht="15.75" customHeight="1" x14ac:dyDescent="0.25">
      <c r="C603" s="1"/>
    </row>
    <row r="604" spans="3:3" ht="15.75" customHeight="1" x14ac:dyDescent="0.25">
      <c r="C604" s="1"/>
    </row>
    <row r="605" spans="3:3" ht="15.75" customHeight="1" x14ac:dyDescent="0.25">
      <c r="C605" s="1"/>
    </row>
    <row r="606" spans="3:3" ht="15.75" customHeight="1" x14ac:dyDescent="0.25">
      <c r="C606" s="1"/>
    </row>
    <row r="607" spans="3:3" ht="15.75" customHeight="1" x14ac:dyDescent="0.25">
      <c r="C607" s="1"/>
    </row>
    <row r="608" spans="3:3" ht="15.75" customHeight="1" x14ac:dyDescent="0.25">
      <c r="C608" s="1"/>
    </row>
    <row r="609" spans="3:3" ht="15.75" customHeight="1" x14ac:dyDescent="0.25">
      <c r="C609" s="1"/>
    </row>
    <row r="610" spans="3:3" ht="15.75" customHeight="1" x14ac:dyDescent="0.25">
      <c r="C610" s="1"/>
    </row>
    <row r="611" spans="3:3" ht="15.75" customHeight="1" x14ac:dyDescent="0.25">
      <c r="C611" s="1"/>
    </row>
    <row r="612" spans="3:3" ht="15.75" customHeight="1" x14ac:dyDescent="0.25">
      <c r="C612" s="1"/>
    </row>
    <row r="613" spans="3:3" ht="15.75" customHeight="1" x14ac:dyDescent="0.25">
      <c r="C613" s="1"/>
    </row>
    <row r="614" spans="3:3" ht="15.75" customHeight="1" x14ac:dyDescent="0.25">
      <c r="C614" s="1"/>
    </row>
    <row r="615" spans="3:3" ht="15.75" customHeight="1" x14ac:dyDescent="0.25">
      <c r="C615" s="1"/>
    </row>
    <row r="616" spans="3:3" ht="15.75" customHeight="1" x14ac:dyDescent="0.25">
      <c r="C616" s="1"/>
    </row>
    <row r="617" spans="3:3" ht="15.75" customHeight="1" x14ac:dyDescent="0.25">
      <c r="C617" s="1"/>
    </row>
    <row r="618" spans="3:3" ht="15.75" customHeight="1" x14ac:dyDescent="0.25">
      <c r="C618" s="1"/>
    </row>
    <row r="619" spans="3:3" ht="15.75" customHeight="1" x14ac:dyDescent="0.25">
      <c r="C619" s="1"/>
    </row>
    <row r="620" spans="3:3" ht="15.75" customHeight="1" x14ac:dyDescent="0.25">
      <c r="C620" s="1"/>
    </row>
    <row r="621" spans="3:3" ht="15.75" customHeight="1" x14ac:dyDescent="0.25">
      <c r="C621" s="1"/>
    </row>
    <row r="622" spans="3:3" ht="15.75" customHeight="1" x14ac:dyDescent="0.25">
      <c r="C622" s="1"/>
    </row>
    <row r="623" spans="3:3" ht="15.75" customHeight="1" x14ac:dyDescent="0.25">
      <c r="C623" s="1"/>
    </row>
    <row r="624" spans="3:3" ht="15.75" customHeight="1" x14ac:dyDescent="0.25">
      <c r="C624" s="1"/>
    </row>
    <row r="625" spans="3:3" ht="15.75" customHeight="1" x14ac:dyDescent="0.25">
      <c r="C625" s="1"/>
    </row>
    <row r="626" spans="3:3" ht="15.75" customHeight="1" x14ac:dyDescent="0.25">
      <c r="C626" s="1"/>
    </row>
    <row r="627" spans="3:3" ht="15.75" customHeight="1" x14ac:dyDescent="0.25">
      <c r="C627" s="1"/>
    </row>
    <row r="628" spans="3:3" ht="15.75" customHeight="1" x14ac:dyDescent="0.25">
      <c r="C628" s="1"/>
    </row>
    <row r="629" spans="3:3" ht="15.75" customHeight="1" x14ac:dyDescent="0.25">
      <c r="C629" s="1"/>
    </row>
    <row r="630" spans="3:3" ht="15.75" customHeight="1" x14ac:dyDescent="0.25">
      <c r="C630" s="1"/>
    </row>
    <row r="631" spans="3:3" ht="15.75" customHeight="1" x14ac:dyDescent="0.25">
      <c r="C631" s="1"/>
    </row>
    <row r="632" spans="3:3" ht="15.75" customHeight="1" x14ac:dyDescent="0.25">
      <c r="C632" s="1"/>
    </row>
    <row r="633" spans="3:3" ht="15.75" customHeight="1" x14ac:dyDescent="0.25">
      <c r="C633" s="1"/>
    </row>
    <row r="634" spans="3:3" ht="15.75" customHeight="1" x14ac:dyDescent="0.25">
      <c r="C634" s="1"/>
    </row>
    <row r="635" spans="3:3" ht="15.75" customHeight="1" x14ac:dyDescent="0.25">
      <c r="C635" s="1"/>
    </row>
    <row r="636" spans="3:3" ht="15.75" customHeight="1" x14ac:dyDescent="0.25">
      <c r="C636" s="1"/>
    </row>
    <row r="637" spans="3:3" ht="15.75" customHeight="1" x14ac:dyDescent="0.25">
      <c r="C637" s="1"/>
    </row>
    <row r="638" spans="3:3" ht="15.75" customHeight="1" x14ac:dyDescent="0.25">
      <c r="C638" s="1"/>
    </row>
    <row r="639" spans="3:3" ht="15.75" customHeight="1" x14ac:dyDescent="0.25">
      <c r="C639" s="1"/>
    </row>
    <row r="640" spans="3:3" ht="15.75" customHeight="1" x14ac:dyDescent="0.25">
      <c r="C640" s="1"/>
    </row>
    <row r="641" spans="3:3" ht="15.75" customHeight="1" x14ac:dyDescent="0.25">
      <c r="C641" s="1"/>
    </row>
    <row r="642" spans="3:3" ht="15.75" customHeight="1" x14ac:dyDescent="0.25">
      <c r="C642" s="1"/>
    </row>
    <row r="643" spans="3:3" ht="15.75" customHeight="1" x14ac:dyDescent="0.25">
      <c r="C643" s="1"/>
    </row>
    <row r="644" spans="3:3" ht="15.75" customHeight="1" x14ac:dyDescent="0.25">
      <c r="C644" s="1"/>
    </row>
    <row r="645" spans="3:3" ht="15.75" customHeight="1" x14ac:dyDescent="0.25">
      <c r="C645" s="1"/>
    </row>
    <row r="646" spans="3:3" ht="15.75" customHeight="1" x14ac:dyDescent="0.25">
      <c r="C646" s="1"/>
    </row>
    <row r="647" spans="3:3" ht="15.75" customHeight="1" x14ac:dyDescent="0.25">
      <c r="C647" s="1"/>
    </row>
    <row r="648" spans="3:3" ht="15.75" customHeight="1" x14ac:dyDescent="0.25">
      <c r="C648" s="1"/>
    </row>
    <row r="649" spans="3:3" ht="15.75" customHeight="1" x14ac:dyDescent="0.25">
      <c r="C649" s="1"/>
    </row>
    <row r="650" spans="3:3" ht="15.75" customHeight="1" x14ac:dyDescent="0.25">
      <c r="C650" s="1"/>
    </row>
    <row r="651" spans="3:3" ht="15.75" customHeight="1" x14ac:dyDescent="0.25">
      <c r="C651" s="1"/>
    </row>
    <row r="652" spans="3:3" ht="15.75" customHeight="1" x14ac:dyDescent="0.25">
      <c r="C652" s="1"/>
    </row>
    <row r="653" spans="3:3" ht="15.75" customHeight="1" x14ac:dyDescent="0.25">
      <c r="C653" s="1"/>
    </row>
    <row r="654" spans="3:3" ht="15.75" customHeight="1" x14ac:dyDescent="0.25">
      <c r="C654" s="1"/>
    </row>
    <row r="655" spans="3:3" ht="15.75" customHeight="1" x14ac:dyDescent="0.25">
      <c r="C655" s="1"/>
    </row>
    <row r="656" spans="3:3" ht="15.75" customHeight="1" x14ac:dyDescent="0.25">
      <c r="C656" s="1"/>
    </row>
    <row r="657" spans="3:3" ht="15.75" customHeight="1" x14ac:dyDescent="0.25">
      <c r="C657" s="1"/>
    </row>
    <row r="658" spans="3:3" ht="15.75" customHeight="1" x14ac:dyDescent="0.25">
      <c r="C658" s="1"/>
    </row>
    <row r="659" spans="3:3" ht="15.75" customHeight="1" x14ac:dyDescent="0.25">
      <c r="C659" s="1"/>
    </row>
    <row r="660" spans="3:3" ht="15.75" customHeight="1" x14ac:dyDescent="0.25">
      <c r="C660" s="1"/>
    </row>
    <row r="661" spans="3:3" ht="15.75" customHeight="1" x14ac:dyDescent="0.25">
      <c r="C661" s="1"/>
    </row>
    <row r="662" spans="3:3" ht="15.75" customHeight="1" x14ac:dyDescent="0.25">
      <c r="C662" s="1"/>
    </row>
    <row r="663" spans="3:3" ht="15.75" customHeight="1" x14ac:dyDescent="0.25">
      <c r="C663" s="1"/>
    </row>
    <row r="664" spans="3:3" ht="15.75" customHeight="1" x14ac:dyDescent="0.25">
      <c r="C664" s="1"/>
    </row>
    <row r="665" spans="3:3" ht="15.75" customHeight="1" x14ac:dyDescent="0.25">
      <c r="C665" s="1"/>
    </row>
    <row r="666" spans="3:3" ht="15.75" customHeight="1" x14ac:dyDescent="0.25">
      <c r="C666" s="1"/>
    </row>
    <row r="667" spans="3:3" ht="15.75" customHeight="1" x14ac:dyDescent="0.25">
      <c r="C667" s="1"/>
    </row>
    <row r="668" spans="3:3" ht="15.75" customHeight="1" x14ac:dyDescent="0.25">
      <c r="C668" s="1"/>
    </row>
    <row r="669" spans="3:3" ht="15.75" customHeight="1" x14ac:dyDescent="0.25">
      <c r="C669" s="1"/>
    </row>
    <row r="670" spans="3:3" ht="15.75" customHeight="1" x14ac:dyDescent="0.25">
      <c r="C670" s="1"/>
    </row>
    <row r="671" spans="3:3" ht="15.75" customHeight="1" x14ac:dyDescent="0.25">
      <c r="C671" s="1"/>
    </row>
    <row r="672" spans="3:3" ht="15.75" customHeight="1" x14ac:dyDescent="0.25">
      <c r="C672" s="1"/>
    </row>
    <row r="673" spans="3:3" ht="15.75" customHeight="1" x14ac:dyDescent="0.25">
      <c r="C673" s="1"/>
    </row>
    <row r="674" spans="3:3" ht="15.75" customHeight="1" x14ac:dyDescent="0.25">
      <c r="C674" s="1"/>
    </row>
    <row r="675" spans="3:3" ht="15.75" customHeight="1" x14ac:dyDescent="0.25">
      <c r="C675" s="1"/>
    </row>
    <row r="676" spans="3:3" ht="15.75" customHeight="1" x14ac:dyDescent="0.25">
      <c r="C676" s="1"/>
    </row>
    <row r="677" spans="3:3" ht="15.75" customHeight="1" x14ac:dyDescent="0.25">
      <c r="C677" s="1"/>
    </row>
    <row r="678" spans="3:3" ht="15.75" customHeight="1" x14ac:dyDescent="0.25">
      <c r="C678" s="1"/>
    </row>
    <row r="679" spans="3:3" ht="15.75" customHeight="1" x14ac:dyDescent="0.25">
      <c r="C679" s="1"/>
    </row>
    <row r="680" spans="3:3" ht="15.75" customHeight="1" x14ac:dyDescent="0.25">
      <c r="C680" s="1"/>
    </row>
    <row r="681" spans="3:3" ht="15.75" customHeight="1" x14ac:dyDescent="0.25">
      <c r="C681" s="1"/>
    </row>
    <row r="682" spans="3:3" ht="15.75" customHeight="1" x14ac:dyDescent="0.25">
      <c r="C682" s="1"/>
    </row>
    <row r="683" spans="3:3" ht="15.75" customHeight="1" x14ac:dyDescent="0.25">
      <c r="C683" s="1"/>
    </row>
    <row r="684" spans="3:3" ht="15.75" customHeight="1" x14ac:dyDescent="0.25">
      <c r="C684" s="1"/>
    </row>
    <row r="685" spans="3:3" ht="15.75" customHeight="1" x14ac:dyDescent="0.25">
      <c r="C685" s="1"/>
    </row>
    <row r="686" spans="3:3" ht="15.75" customHeight="1" x14ac:dyDescent="0.25">
      <c r="C686" s="1"/>
    </row>
    <row r="687" spans="3:3" ht="15.75" customHeight="1" x14ac:dyDescent="0.25">
      <c r="C687" s="1"/>
    </row>
    <row r="688" spans="3:3" ht="15.75" customHeight="1" x14ac:dyDescent="0.25">
      <c r="C688" s="1"/>
    </row>
    <row r="689" spans="3:3" ht="15.75" customHeight="1" x14ac:dyDescent="0.25">
      <c r="C689" s="1"/>
    </row>
    <row r="690" spans="3:3" ht="15.75" customHeight="1" x14ac:dyDescent="0.25">
      <c r="C690" s="1"/>
    </row>
    <row r="691" spans="3:3" ht="15.75" customHeight="1" x14ac:dyDescent="0.25">
      <c r="C691" s="1"/>
    </row>
    <row r="692" spans="3:3" ht="15.75" customHeight="1" x14ac:dyDescent="0.25">
      <c r="C692" s="1"/>
    </row>
    <row r="693" spans="3:3" ht="15.75" customHeight="1" x14ac:dyDescent="0.25">
      <c r="C693" s="1"/>
    </row>
    <row r="694" spans="3:3" ht="15.75" customHeight="1" x14ac:dyDescent="0.25">
      <c r="C694" s="1"/>
    </row>
    <row r="695" spans="3:3" ht="15.75" customHeight="1" x14ac:dyDescent="0.25">
      <c r="C695" s="1"/>
    </row>
    <row r="696" spans="3:3" ht="15.75" customHeight="1" x14ac:dyDescent="0.25">
      <c r="C696" s="1"/>
    </row>
    <row r="697" spans="3:3" ht="15.75" customHeight="1" x14ac:dyDescent="0.25">
      <c r="C697" s="1"/>
    </row>
    <row r="698" spans="3:3" ht="15.75" customHeight="1" x14ac:dyDescent="0.25">
      <c r="C698" s="1"/>
    </row>
    <row r="699" spans="3:3" ht="15.75" customHeight="1" x14ac:dyDescent="0.25">
      <c r="C699" s="1"/>
    </row>
    <row r="700" spans="3:3" ht="15.75" customHeight="1" x14ac:dyDescent="0.25">
      <c r="C700" s="1"/>
    </row>
    <row r="701" spans="3:3" ht="15.75" customHeight="1" x14ac:dyDescent="0.25">
      <c r="C701" s="1"/>
    </row>
    <row r="702" spans="3:3" ht="15.75" customHeight="1" x14ac:dyDescent="0.25">
      <c r="C702" s="1"/>
    </row>
    <row r="703" spans="3:3" ht="15.75" customHeight="1" x14ac:dyDescent="0.25">
      <c r="C703" s="1"/>
    </row>
    <row r="704" spans="3:3" ht="15.75" customHeight="1" x14ac:dyDescent="0.25">
      <c r="C704" s="1"/>
    </row>
    <row r="705" spans="3:3" ht="15.75" customHeight="1" x14ac:dyDescent="0.25">
      <c r="C705" s="1"/>
    </row>
    <row r="706" spans="3:3" ht="15.75" customHeight="1" x14ac:dyDescent="0.25">
      <c r="C706" s="1"/>
    </row>
    <row r="707" spans="3:3" ht="15.75" customHeight="1" x14ac:dyDescent="0.25">
      <c r="C707" s="1"/>
    </row>
    <row r="708" spans="3:3" ht="15.75" customHeight="1" x14ac:dyDescent="0.25">
      <c r="C708" s="1"/>
    </row>
    <row r="709" spans="3:3" ht="15.75" customHeight="1" x14ac:dyDescent="0.25">
      <c r="C709" s="1"/>
    </row>
    <row r="710" spans="3:3" ht="15.75" customHeight="1" x14ac:dyDescent="0.25">
      <c r="C710" s="1"/>
    </row>
    <row r="711" spans="3:3" ht="15.75" customHeight="1" x14ac:dyDescent="0.25">
      <c r="C711" s="1"/>
    </row>
    <row r="712" spans="3:3" ht="15.75" customHeight="1" x14ac:dyDescent="0.25">
      <c r="C712" s="1"/>
    </row>
    <row r="713" spans="3:3" ht="15.75" customHeight="1" x14ac:dyDescent="0.25">
      <c r="C713" s="1"/>
    </row>
    <row r="714" spans="3:3" ht="15.75" customHeight="1" x14ac:dyDescent="0.25">
      <c r="C714" s="1"/>
    </row>
    <row r="715" spans="3:3" ht="15.75" customHeight="1" x14ac:dyDescent="0.25">
      <c r="C715" s="1"/>
    </row>
    <row r="716" spans="3:3" ht="15.75" customHeight="1" x14ac:dyDescent="0.25">
      <c r="C716" s="1"/>
    </row>
    <row r="717" spans="3:3" ht="15.75" customHeight="1" x14ac:dyDescent="0.25">
      <c r="C717" s="1"/>
    </row>
    <row r="718" spans="3:3" ht="15.75" customHeight="1" x14ac:dyDescent="0.25">
      <c r="C718" s="1"/>
    </row>
    <row r="719" spans="3:3" ht="15.75" customHeight="1" x14ac:dyDescent="0.25">
      <c r="C719" s="1"/>
    </row>
    <row r="720" spans="3:3" ht="15.75" customHeight="1" x14ac:dyDescent="0.25">
      <c r="C720" s="1"/>
    </row>
    <row r="721" spans="3:3" ht="15.75" customHeight="1" x14ac:dyDescent="0.25">
      <c r="C721" s="1"/>
    </row>
    <row r="722" spans="3:3" ht="15.75" customHeight="1" x14ac:dyDescent="0.25">
      <c r="C722" s="1"/>
    </row>
    <row r="723" spans="3:3" ht="15.75" customHeight="1" x14ac:dyDescent="0.25">
      <c r="C723" s="1"/>
    </row>
    <row r="724" spans="3:3" ht="15.75" customHeight="1" x14ac:dyDescent="0.25">
      <c r="C724" s="1"/>
    </row>
    <row r="725" spans="3:3" ht="15.75" customHeight="1" x14ac:dyDescent="0.25">
      <c r="C725" s="1"/>
    </row>
    <row r="726" spans="3:3" ht="15.75" customHeight="1" x14ac:dyDescent="0.25">
      <c r="C726" s="1"/>
    </row>
    <row r="727" spans="3:3" ht="15.75" customHeight="1" x14ac:dyDescent="0.25">
      <c r="C727" s="1"/>
    </row>
    <row r="728" spans="3:3" ht="15.75" customHeight="1" x14ac:dyDescent="0.25">
      <c r="C728" s="1"/>
    </row>
    <row r="729" spans="3:3" ht="15.75" customHeight="1" x14ac:dyDescent="0.25">
      <c r="C729" s="1"/>
    </row>
    <row r="730" spans="3:3" ht="15.75" customHeight="1" x14ac:dyDescent="0.25">
      <c r="C730" s="1"/>
    </row>
    <row r="731" spans="3:3" ht="15.75" customHeight="1" x14ac:dyDescent="0.25">
      <c r="C731" s="1"/>
    </row>
    <row r="732" spans="3:3" ht="15.75" customHeight="1" x14ac:dyDescent="0.25">
      <c r="C732" s="1"/>
    </row>
    <row r="733" spans="3:3" ht="15.75" customHeight="1" x14ac:dyDescent="0.25">
      <c r="C733" s="1"/>
    </row>
    <row r="734" spans="3:3" ht="15.75" customHeight="1" x14ac:dyDescent="0.25">
      <c r="C734" s="1"/>
    </row>
    <row r="735" spans="3:3" ht="15.75" customHeight="1" x14ac:dyDescent="0.25">
      <c r="C735" s="1"/>
    </row>
    <row r="736" spans="3:3" ht="15.75" customHeight="1" x14ac:dyDescent="0.25">
      <c r="C736" s="1"/>
    </row>
    <row r="737" spans="3:3" ht="15.75" customHeight="1" x14ac:dyDescent="0.25">
      <c r="C737" s="1"/>
    </row>
    <row r="738" spans="3:3" ht="15.75" customHeight="1" x14ac:dyDescent="0.25">
      <c r="C738" s="1"/>
    </row>
    <row r="739" spans="3:3" ht="15.75" customHeight="1" x14ac:dyDescent="0.25">
      <c r="C739" s="1"/>
    </row>
    <row r="740" spans="3:3" ht="15.75" customHeight="1" x14ac:dyDescent="0.25">
      <c r="C740" s="1"/>
    </row>
    <row r="741" spans="3:3" ht="15.75" customHeight="1" x14ac:dyDescent="0.25">
      <c r="C741" s="1"/>
    </row>
    <row r="742" spans="3:3" ht="15.75" customHeight="1" x14ac:dyDescent="0.25">
      <c r="C742" s="1"/>
    </row>
    <row r="743" spans="3:3" ht="15.75" customHeight="1" x14ac:dyDescent="0.25">
      <c r="C743" s="1"/>
    </row>
    <row r="744" spans="3:3" ht="15.75" customHeight="1" x14ac:dyDescent="0.25">
      <c r="C744" s="1"/>
    </row>
    <row r="745" spans="3:3" ht="15.75" customHeight="1" x14ac:dyDescent="0.25">
      <c r="C745" s="1"/>
    </row>
    <row r="746" spans="3:3" ht="15.75" customHeight="1" x14ac:dyDescent="0.25">
      <c r="C746" s="1"/>
    </row>
    <row r="747" spans="3:3" ht="15.75" customHeight="1" x14ac:dyDescent="0.25">
      <c r="C747" s="1"/>
    </row>
    <row r="748" spans="3:3" ht="15.75" customHeight="1" x14ac:dyDescent="0.25">
      <c r="C748" s="1"/>
    </row>
    <row r="749" spans="3:3" ht="15.75" customHeight="1" x14ac:dyDescent="0.25">
      <c r="C749" s="1"/>
    </row>
    <row r="750" spans="3:3" ht="15.75" customHeight="1" x14ac:dyDescent="0.25">
      <c r="C750" s="1"/>
    </row>
    <row r="751" spans="3:3" ht="15.75" customHeight="1" x14ac:dyDescent="0.25">
      <c r="C751" s="1"/>
    </row>
    <row r="752" spans="3:3" ht="15.75" customHeight="1" x14ac:dyDescent="0.25">
      <c r="C752" s="1"/>
    </row>
    <row r="753" spans="3:3" ht="15.75" customHeight="1" x14ac:dyDescent="0.25">
      <c r="C753" s="1"/>
    </row>
    <row r="754" spans="3:3" ht="15.75" customHeight="1" x14ac:dyDescent="0.25">
      <c r="C754" s="1"/>
    </row>
    <row r="755" spans="3:3" ht="15.75" customHeight="1" x14ac:dyDescent="0.25">
      <c r="C755" s="1"/>
    </row>
    <row r="756" spans="3:3" ht="15.75" customHeight="1" x14ac:dyDescent="0.25">
      <c r="C756" s="1"/>
    </row>
    <row r="757" spans="3:3" ht="15.75" customHeight="1" x14ac:dyDescent="0.25">
      <c r="C757" s="1"/>
    </row>
    <row r="758" spans="3:3" ht="15.75" customHeight="1" x14ac:dyDescent="0.25">
      <c r="C758" s="1"/>
    </row>
    <row r="759" spans="3:3" ht="15.75" customHeight="1" x14ac:dyDescent="0.25">
      <c r="C759" s="1"/>
    </row>
    <row r="760" spans="3:3" ht="15.75" customHeight="1" x14ac:dyDescent="0.25">
      <c r="C760" s="1"/>
    </row>
    <row r="761" spans="3:3" ht="15.75" customHeight="1" x14ac:dyDescent="0.25">
      <c r="C761" s="1"/>
    </row>
    <row r="762" spans="3:3" ht="15.75" customHeight="1" x14ac:dyDescent="0.25">
      <c r="C762" s="1"/>
    </row>
    <row r="763" spans="3:3" ht="15.75" customHeight="1" x14ac:dyDescent="0.25">
      <c r="C763" s="1"/>
    </row>
    <row r="764" spans="3:3" ht="15.75" customHeight="1" x14ac:dyDescent="0.25">
      <c r="C764" s="1"/>
    </row>
    <row r="765" spans="3:3" ht="15.75" customHeight="1" x14ac:dyDescent="0.25">
      <c r="C765" s="1"/>
    </row>
    <row r="766" spans="3:3" ht="15.75" customHeight="1" x14ac:dyDescent="0.25">
      <c r="C766" s="1"/>
    </row>
    <row r="767" spans="3:3" ht="15.75" customHeight="1" x14ac:dyDescent="0.25">
      <c r="C767" s="1"/>
    </row>
    <row r="768" spans="3:3" ht="15.75" customHeight="1" x14ac:dyDescent="0.25">
      <c r="C768" s="1"/>
    </row>
    <row r="769" spans="3:3" ht="15.75" customHeight="1" x14ac:dyDescent="0.25">
      <c r="C769" s="1"/>
    </row>
    <row r="770" spans="3:3" ht="15.75" customHeight="1" x14ac:dyDescent="0.25">
      <c r="C770" s="1"/>
    </row>
    <row r="771" spans="3:3" ht="15.75" customHeight="1" x14ac:dyDescent="0.25">
      <c r="C771" s="1"/>
    </row>
    <row r="772" spans="3:3" ht="15.75" customHeight="1" x14ac:dyDescent="0.25">
      <c r="C772" s="1"/>
    </row>
    <row r="773" spans="3:3" ht="15.75" customHeight="1" x14ac:dyDescent="0.25">
      <c r="C773" s="1"/>
    </row>
    <row r="774" spans="3:3" ht="15.75" customHeight="1" x14ac:dyDescent="0.25">
      <c r="C774" s="1"/>
    </row>
    <row r="775" spans="3:3" ht="15.75" customHeight="1" x14ac:dyDescent="0.25">
      <c r="C775" s="1"/>
    </row>
    <row r="776" spans="3:3" ht="15.75" customHeight="1" x14ac:dyDescent="0.25">
      <c r="C776" s="1"/>
    </row>
    <row r="777" spans="3:3" ht="15.75" customHeight="1" x14ac:dyDescent="0.25">
      <c r="C777" s="1"/>
    </row>
    <row r="778" spans="3:3" ht="15.75" customHeight="1" x14ac:dyDescent="0.25">
      <c r="C778" s="1"/>
    </row>
    <row r="779" spans="3:3" ht="15.75" customHeight="1" x14ac:dyDescent="0.25">
      <c r="C779" s="1"/>
    </row>
    <row r="780" spans="3:3" ht="15.75" customHeight="1" x14ac:dyDescent="0.25">
      <c r="C780" s="1"/>
    </row>
    <row r="781" spans="3:3" ht="15.75" customHeight="1" x14ac:dyDescent="0.25">
      <c r="C781" s="1"/>
    </row>
    <row r="782" spans="3:3" ht="15.75" customHeight="1" x14ac:dyDescent="0.25">
      <c r="C782" s="1"/>
    </row>
    <row r="783" spans="3:3" ht="15.75" customHeight="1" x14ac:dyDescent="0.25">
      <c r="C783" s="1"/>
    </row>
    <row r="784" spans="3:3" ht="15.75" customHeight="1" x14ac:dyDescent="0.25">
      <c r="C784" s="1"/>
    </row>
    <row r="785" spans="3:3" ht="15.75" customHeight="1" x14ac:dyDescent="0.25">
      <c r="C785" s="1"/>
    </row>
    <row r="786" spans="3:3" ht="15.75" customHeight="1" x14ac:dyDescent="0.25">
      <c r="C786" s="1"/>
    </row>
    <row r="787" spans="3:3" ht="15.75" customHeight="1" x14ac:dyDescent="0.25">
      <c r="C787" s="1"/>
    </row>
    <row r="788" spans="3:3" ht="15.75" customHeight="1" x14ac:dyDescent="0.25">
      <c r="C788" s="1"/>
    </row>
    <row r="789" spans="3:3" ht="15.75" customHeight="1" x14ac:dyDescent="0.25">
      <c r="C789" s="1"/>
    </row>
    <row r="790" spans="3:3" ht="15.75" customHeight="1" x14ac:dyDescent="0.25">
      <c r="C790" s="1"/>
    </row>
    <row r="791" spans="3:3" ht="15.75" customHeight="1" x14ac:dyDescent="0.25">
      <c r="C791" s="1"/>
    </row>
    <row r="792" spans="3:3" ht="15.75" customHeight="1" x14ac:dyDescent="0.25">
      <c r="C792" s="1"/>
    </row>
    <row r="793" spans="3:3" ht="15.75" customHeight="1" x14ac:dyDescent="0.25">
      <c r="C793" s="1"/>
    </row>
    <row r="794" spans="3:3" ht="15.75" customHeight="1" x14ac:dyDescent="0.25">
      <c r="C794" s="1"/>
    </row>
    <row r="795" spans="3:3" ht="15.75" customHeight="1" x14ac:dyDescent="0.25">
      <c r="C795" s="1"/>
    </row>
    <row r="796" spans="3:3" ht="15.75" customHeight="1" x14ac:dyDescent="0.25">
      <c r="C796" s="1"/>
    </row>
    <row r="797" spans="3:3" ht="15.75" customHeight="1" x14ac:dyDescent="0.25">
      <c r="C797" s="1"/>
    </row>
    <row r="798" spans="3:3" ht="15.75" customHeight="1" x14ac:dyDescent="0.25">
      <c r="C798" s="1"/>
    </row>
    <row r="799" spans="3:3" ht="15.75" customHeight="1" x14ac:dyDescent="0.25">
      <c r="C799" s="1"/>
    </row>
    <row r="800" spans="3:3" ht="15.75" customHeight="1" x14ac:dyDescent="0.25">
      <c r="C800" s="1"/>
    </row>
    <row r="801" spans="3:3" ht="15.75" customHeight="1" x14ac:dyDescent="0.25">
      <c r="C801" s="1"/>
    </row>
    <row r="802" spans="3:3" ht="15.75" customHeight="1" x14ac:dyDescent="0.25">
      <c r="C802" s="1"/>
    </row>
    <row r="803" spans="3:3" ht="15.75" customHeight="1" x14ac:dyDescent="0.25">
      <c r="C803" s="1"/>
    </row>
    <row r="804" spans="3:3" ht="15.75" customHeight="1" x14ac:dyDescent="0.25">
      <c r="C804" s="1"/>
    </row>
    <row r="805" spans="3:3" ht="15.75" customHeight="1" x14ac:dyDescent="0.25">
      <c r="C805" s="1"/>
    </row>
    <row r="806" spans="3:3" ht="15.75" customHeight="1" x14ac:dyDescent="0.25">
      <c r="C806" s="1"/>
    </row>
    <row r="807" spans="3:3" ht="15.75" customHeight="1" x14ac:dyDescent="0.25">
      <c r="C807" s="1"/>
    </row>
    <row r="808" spans="3:3" ht="15.75" customHeight="1" x14ac:dyDescent="0.25">
      <c r="C808" s="1"/>
    </row>
    <row r="809" spans="3:3" ht="15.75" customHeight="1" x14ac:dyDescent="0.25">
      <c r="C809" s="1"/>
    </row>
    <row r="810" spans="3:3" ht="15.75" customHeight="1" x14ac:dyDescent="0.25">
      <c r="C810" s="1"/>
    </row>
    <row r="811" spans="3:3" ht="15.75" customHeight="1" x14ac:dyDescent="0.25">
      <c r="C811" s="1"/>
    </row>
    <row r="812" spans="3:3" ht="15.75" customHeight="1" x14ac:dyDescent="0.25">
      <c r="C812" s="1"/>
    </row>
    <row r="813" spans="3:3" ht="15.75" customHeight="1" x14ac:dyDescent="0.25">
      <c r="C813" s="1"/>
    </row>
    <row r="814" spans="3:3" ht="15.75" customHeight="1" x14ac:dyDescent="0.25">
      <c r="C814" s="1"/>
    </row>
    <row r="815" spans="3:3" ht="15.75" customHeight="1" x14ac:dyDescent="0.25">
      <c r="C815" s="1"/>
    </row>
    <row r="816" spans="3:3" ht="15.75" customHeight="1" x14ac:dyDescent="0.25">
      <c r="C816" s="1"/>
    </row>
    <row r="817" spans="3:3" ht="15.75" customHeight="1" x14ac:dyDescent="0.25">
      <c r="C817" s="1"/>
    </row>
    <row r="818" spans="3:3" ht="15.75" customHeight="1" x14ac:dyDescent="0.25">
      <c r="C818" s="1"/>
    </row>
    <row r="819" spans="3:3" ht="15.75" customHeight="1" x14ac:dyDescent="0.25">
      <c r="C819" s="1"/>
    </row>
    <row r="820" spans="3:3" ht="15.75" customHeight="1" x14ac:dyDescent="0.25">
      <c r="C820" s="1"/>
    </row>
    <row r="821" spans="3:3" ht="15.75" customHeight="1" x14ac:dyDescent="0.25">
      <c r="C821" s="1"/>
    </row>
    <row r="822" spans="3:3" ht="15.75" customHeight="1" x14ac:dyDescent="0.25">
      <c r="C822" s="1"/>
    </row>
    <row r="823" spans="3:3" ht="15.75" customHeight="1" x14ac:dyDescent="0.25">
      <c r="C823" s="1"/>
    </row>
    <row r="824" spans="3:3" ht="15.75" customHeight="1" x14ac:dyDescent="0.25">
      <c r="C824" s="1"/>
    </row>
    <row r="825" spans="3:3" ht="15.75" customHeight="1" x14ac:dyDescent="0.25">
      <c r="C825" s="1"/>
    </row>
    <row r="826" spans="3:3" ht="15.75" customHeight="1" x14ac:dyDescent="0.25">
      <c r="C826" s="1"/>
    </row>
    <row r="827" spans="3:3" ht="15.75" customHeight="1" x14ac:dyDescent="0.25">
      <c r="C827" s="1"/>
    </row>
    <row r="828" spans="3:3" ht="15.75" customHeight="1" x14ac:dyDescent="0.25">
      <c r="C828" s="1"/>
    </row>
    <row r="829" spans="3:3" ht="15.75" customHeight="1" x14ac:dyDescent="0.25">
      <c r="C829" s="1"/>
    </row>
    <row r="830" spans="3:3" ht="15.75" customHeight="1" x14ac:dyDescent="0.25">
      <c r="C830" s="1"/>
    </row>
    <row r="831" spans="3:3" ht="15.75" customHeight="1" x14ac:dyDescent="0.25">
      <c r="C831" s="1"/>
    </row>
    <row r="832" spans="3:3" ht="15.75" customHeight="1" x14ac:dyDescent="0.25">
      <c r="C832" s="1"/>
    </row>
    <row r="833" spans="3:3" ht="15.75" customHeight="1" x14ac:dyDescent="0.25">
      <c r="C833" s="1"/>
    </row>
    <row r="834" spans="3:3" ht="15.75" customHeight="1" x14ac:dyDescent="0.25">
      <c r="C834" s="1"/>
    </row>
    <row r="835" spans="3:3" ht="15.75" customHeight="1" x14ac:dyDescent="0.25">
      <c r="C835" s="1"/>
    </row>
    <row r="836" spans="3:3" ht="15.75" customHeight="1" x14ac:dyDescent="0.25">
      <c r="C836" s="1"/>
    </row>
    <row r="837" spans="3:3" ht="15.75" customHeight="1" x14ac:dyDescent="0.25">
      <c r="C837" s="1"/>
    </row>
    <row r="838" spans="3:3" ht="15.75" customHeight="1" x14ac:dyDescent="0.25">
      <c r="C838" s="1"/>
    </row>
    <row r="839" spans="3:3" ht="15.75" customHeight="1" x14ac:dyDescent="0.25">
      <c r="C839" s="1"/>
    </row>
    <row r="840" spans="3:3" ht="15.75" customHeight="1" x14ac:dyDescent="0.25">
      <c r="C840" s="1"/>
    </row>
    <row r="841" spans="3:3" ht="15.75" customHeight="1" x14ac:dyDescent="0.25">
      <c r="C841" s="1"/>
    </row>
    <row r="842" spans="3:3" ht="15.75" customHeight="1" x14ac:dyDescent="0.25">
      <c r="C842" s="1"/>
    </row>
    <row r="843" spans="3:3" ht="15.75" customHeight="1" x14ac:dyDescent="0.25">
      <c r="C843" s="1"/>
    </row>
    <row r="844" spans="3:3" ht="15.75" customHeight="1" x14ac:dyDescent="0.25">
      <c r="C844" s="1"/>
    </row>
    <row r="845" spans="3:3" ht="15.75" customHeight="1" x14ac:dyDescent="0.25">
      <c r="C845" s="1"/>
    </row>
    <row r="846" spans="3:3" ht="15.75" customHeight="1" x14ac:dyDescent="0.25">
      <c r="C846" s="1"/>
    </row>
    <row r="847" spans="3:3" ht="15.75" customHeight="1" x14ac:dyDescent="0.25">
      <c r="C847" s="1"/>
    </row>
    <row r="848" spans="3:3" ht="15.75" customHeight="1" x14ac:dyDescent="0.25">
      <c r="C848" s="1"/>
    </row>
    <row r="849" spans="3:3" ht="15.75" customHeight="1" x14ac:dyDescent="0.25">
      <c r="C849" s="1"/>
    </row>
    <row r="850" spans="3:3" ht="15.75" customHeight="1" x14ac:dyDescent="0.25">
      <c r="C850" s="1"/>
    </row>
    <row r="851" spans="3:3" ht="15.75" customHeight="1" x14ac:dyDescent="0.25">
      <c r="C851" s="1"/>
    </row>
    <row r="852" spans="3:3" ht="15.75" customHeight="1" x14ac:dyDescent="0.25">
      <c r="C852" s="1"/>
    </row>
    <row r="853" spans="3:3" ht="15.75" customHeight="1" x14ac:dyDescent="0.25">
      <c r="C853" s="1"/>
    </row>
    <row r="854" spans="3:3" ht="15.75" customHeight="1" x14ac:dyDescent="0.25">
      <c r="C854" s="1"/>
    </row>
    <row r="855" spans="3:3" ht="15.75" customHeight="1" x14ac:dyDescent="0.25">
      <c r="C855" s="1"/>
    </row>
    <row r="856" spans="3:3" ht="15.75" customHeight="1" x14ac:dyDescent="0.25">
      <c r="C856" s="1"/>
    </row>
    <row r="857" spans="3:3" ht="15.75" customHeight="1" x14ac:dyDescent="0.25">
      <c r="C857" s="1"/>
    </row>
    <row r="858" spans="3:3" ht="15.75" customHeight="1" x14ac:dyDescent="0.25">
      <c r="C858" s="1"/>
    </row>
    <row r="859" spans="3:3" ht="15.75" customHeight="1" x14ac:dyDescent="0.25">
      <c r="C859" s="1"/>
    </row>
    <row r="860" spans="3:3" ht="15.75" customHeight="1" x14ac:dyDescent="0.25">
      <c r="C860" s="1"/>
    </row>
    <row r="861" spans="3:3" ht="15.75" customHeight="1" x14ac:dyDescent="0.25">
      <c r="C861" s="1"/>
    </row>
    <row r="862" spans="3:3" ht="15.75" customHeight="1" x14ac:dyDescent="0.25">
      <c r="C862" s="1"/>
    </row>
    <row r="863" spans="3:3" ht="15.75" customHeight="1" x14ac:dyDescent="0.25">
      <c r="C863" s="1"/>
    </row>
    <row r="864" spans="3:3" ht="15.75" customHeight="1" x14ac:dyDescent="0.25">
      <c r="C864" s="1"/>
    </row>
    <row r="865" spans="3:3" ht="15.75" customHeight="1" x14ac:dyDescent="0.25">
      <c r="C865" s="1"/>
    </row>
    <row r="866" spans="3:3" ht="15.75" customHeight="1" x14ac:dyDescent="0.25">
      <c r="C866" s="1"/>
    </row>
    <row r="867" spans="3:3" ht="15.75" customHeight="1" x14ac:dyDescent="0.25">
      <c r="C867" s="1"/>
    </row>
    <row r="868" spans="3:3" ht="15.75" customHeight="1" x14ac:dyDescent="0.25">
      <c r="C868" s="1"/>
    </row>
    <row r="869" spans="3:3" ht="15.75" customHeight="1" x14ac:dyDescent="0.25">
      <c r="C869" s="1"/>
    </row>
    <row r="870" spans="3:3" ht="15.75" customHeight="1" x14ac:dyDescent="0.25">
      <c r="C870" s="1"/>
    </row>
    <row r="871" spans="3:3" ht="15.75" customHeight="1" x14ac:dyDescent="0.25">
      <c r="C871" s="1"/>
    </row>
    <row r="872" spans="3:3" ht="15.75" customHeight="1" x14ac:dyDescent="0.25">
      <c r="C872" s="1"/>
    </row>
    <row r="873" spans="3:3" ht="15.75" customHeight="1" x14ac:dyDescent="0.25">
      <c r="C873" s="1"/>
    </row>
    <row r="874" spans="3:3" ht="15.75" customHeight="1" x14ac:dyDescent="0.25">
      <c r="C874" s="1"/>
    </row>
    <row r="875" spans="3:3" ht="15.75" customHeight="1" x14ac:dyDescent="0.25">
      <c r="C875" s="1"/>
    </row>
    <row r="876" spans="3:3" ht="15.75" customHeight="1" x14ac:dyDescent="0.25">
      <c r="C876" s="1"/>
    </row>
    <row r="877" spans="3:3" ht="15.75" customHeight="1" x14ac:dyDescent="0.25">
      <c r="C877" s="1"/>
    </row>
    <row r="878" spans="3:3" ht="15.75" customHeight="1" x14ac:dyDescent="0.25">
      <c r="C878" s="1"/>
    </row>
    <row r="879" spans="3:3" ht="15.75" customHeight="1" x14ac:dyDescent="0.25">
      <c r="C879" s="1"/>
    </row>
    <row r="880" spans="3:3" ht="15.75" customHeight="1" x14ac:dyDescent="0.25">
      <c r="C880" s="1"/>
    </row>
    <row r="881" spans="3:3" ht="15.75" customHeight="1" x14ac:dyDescent="0.25">
      <c r="C881" s="1"/>
    </row>
    <row r="882" spans="3:3" ht="15.75" customHeight="1" x14ac:dyDescent="0.25">
      <c r="C882" s="1"/>
    </row>
    <row r="883" spans="3:3" ht="15.75" customHeight="1" x14ac:dyDescent="0.25">
      <c r="C883" s="1"/>
    </row>
    <row r="884" spans="3:3" ht="15.75" customHeight="1" x14ac:dyDescent="0.25">
      <c r="C884" s="1"/>
    </row>
    <row r="885" spans="3:3" ht="15.75" customHeight="1" x14ac:dyDescent="0.25">
      <c r="C885" s="1"/>
    </row>
    <row r="886" spans="3:3" ht="15.75" customHeight="1" x14ac:dyDescent="0.25">
      <c r="C886" s="1"/>
    </row>
    <row r="887" spans="3:3" ht="15.75" customHeight="1" x14ac:dyDescent="0.25">
      <c r="C887" s="1"/>
    </row>
    <row r="888" spans="3:3" ht="15.75" customHeight="1" x14ac:dyDescent="0.25">
      <c r="C888" s="1"/>
    </row>
    <row r="889" spans="3:3" ht="15.75" customHeight="1" x14ac:dyDescent="0.25">
      <c r="C889" s="1"/>
    </row>
    <row r="890" spans="3:3" ht="15.75" customHeight="1" x14ac:dyDescent="0.25">
      <c r="C890" s="1"/>
    </row>
    <row r="891" spans="3:3" ht="15.75" customHeight="1" x14ac:dyDescent="0.25">
      <c r="C891" s="1"/>
    </row>
    <row r="892" spans="3:3" ht="15.75" customHeight="1" x14ac:dyDescent="0.25">
      <c r="C892" s="1"/>
    </row>
    <row r="893" spans="3:3" ht="15.75" customHeight="1" x14ac:dyDescent="0.25">
      <c r="C893" s="1"/>
    </row>
    <row r="894" spans="3:3" ht="15.75" customHeight="1" x14ac:dyDescent="0.25">
      <c r="C894" s="1"/>
    </row>
    <row r="895" spans="3:3" ht="15.75" customHeight="1" x14ac:dyDescent="0.25">
      <c r="C895" s="1"/>
    </row>
    <row r="896" spans="3:3" ht="15.75" customHeight="1" x14ac:dyDescent="0.25">
      <c r="C896" s="1"/>
    </row>
    <row r="897" spans="3:3" ht="15.75" customHeight="1" x14ac:dyDescent="0.25">
      <c r="C897" s="1"/>
    </row>
    <row r="898" spans="3:3" ht="15.75" customHeight="1" x14ac:dyDescent="0.25">
      <c r="C898" s="1"/>
    </row>
    <row r="899" spans="3:3" ht="15.75" customHeight="1" x14ac:dyDescent="0.25">
      <c r="C899" s="1"/>
    </row>
    <row r="900" spans="3:3" ht="15.75" customHeight="1" x14ac:dyDescent="0.25">
      <c r="C900" s="1"/>
    </row>
    <row r="901" spans="3:3" ht="15.75" customHeight="1" x14ac:dyDescent="0.25">
      <c r="C901" s="1"/>
    </row>
    <row r="902" spans="3:3" ht="15.75" customHeight="1" x14ac:dyDescent="0.25">
      <c r="C902" s="1"/>
    </row>
    <row r="903" spans="3:3" ht="15.75" customHeight="1" x14ac:dyDescent="0.25">
      <c r="C903" s="1"/>
    </row>
    <row r="904" spans="3:3" ht="15.75" customHeight="1" x14ac:dyDescent="0.25">
      <c r="C904" s="1"/>
    </row>
    <row r="905" spans="3:3" ht="15.75" customHeight="1" x14ac:dyDescent="0.25">
      <c r="C905" s="1"/>
    </row>
    <row r="906" spans="3:3" ht="15.75" customHeight="1" x14ac:dyDescent="0.25">
      <c r="C906" s="1"/>
    </row>
    <row r="907" spans="3:3" ht="15.75" customHeight="1" x14ac:dyDescent="0.25">
      <c r="C907" s="1"/>
    </row>
    <row r="908" spans="3:3" ht="15.75" customHeight="1" x14ac:dyDescent="0.25">
      <c r="C908" s="1"/>
    </row>
    <row r="909" spans="3:3" ht="15.75" customHeight="1" x14ac:dyDescent="0.25">
      <c r="C909" s="1"/>
    </row>
    <row r="910" spans="3:3" ht="15.75" customHeight="1" x14ac:dyDescent="0.25">
      <c r="C910" s="1"/>
    </row>
    <row r="911" spans="3:3" ht="15.75" customHeight="1" x14ac:dyDescent="0.25">
      <c r="C911" s="1"/>
    </row>
    <row r="912" spans="3:3" ht="15.75" customHeight="1" x14ac:dyDescent="0.25">
      <c r="C912" s="1"/>
    </row>
    <row r="913" spans="3:3" ht="15.75" customHeight="1" x14ac:dyDescent="0.25">
      <c r="C913" s="1"/>
    </row>
    <row r="914" spans="3:3" ht="15.75" customHeight="1" x14ac:dyDescent="0.25">
      <c r="C914" s="1"/>
    </row>
    <row r="915" spans="3:3" ht="15.75" customHeight="1" x14ac:dyDescent="0.25">
      <c r="C915" s="1"/>
    </row>
    <row r="916" spans="3:3" ht="15.75" customHeight="1" x14ac:dyDescent="0.25">
      <c r="C916" s="1"/>
    </row>
    <row r="917" spans="3:3" ht="15.75" customHeight="1" x14ac:dyDescent="0.25">
      <c r="C917" s="1"/>
    </row>
    <row r="918" spans="3:3" ht="15.75" customHeight="1" x14ac:dyDescent="0.25">
      <c r="C918" s="1"/>
    </row>
    <row r="919" spans="3:3" ht="15.75" customHeight="1" x14ac:dyDescent="0.25">
      <c r="C919" s="1"/>
    </row>
    <row r="920" spans="3:3" ht="15.75" customHeight="1" x14ac:dyDescent="0.25">
      <c r="C920" s="1"/>
    </row>
    <row r="921" spans="3:3" ht="15.75" customHeight="1" x14ac:dyDescent="0.25">
      <c r="C921" s="1"/>
    </row>
    <row r="922" spans="3:3" ht="15.75" customHeight="1" x14ac:dyDescent="0.25">
      <c r="C922" s="1"/>
    </row>
    <row r="923" spans="3:3" ht="15.75" customHeight="1" x14ac:dyDescent="0.25">
      <c r="C923" s="1"/>
    </row>
    <row r="924" spans="3:3" ht="15.75" customHeight="1" x14ac:dyDescent="0.25">
      <c r="C924" s="1"/>
    </row>
    <row r="925" spans="3:3" ht="15.75" customHeight="1" x14ac:dyDescent="0.25">
      <c r="C925" s="1"/>
    </row>
    <row r="926" spans="3:3" ht="15.75" customHeight="1" x14ac:dyDescent="0.25">
      <c r="C926" s="1"/>
    </row>
    <row r="927" spans="3:3" ht="15.75" customHeight="1" x14ac:dyDescent="0.25">
      <c r="C927" s="1"/>
    </row>
    <row r="928" spans="3:3" ht="15.75" customHeight="1" x14ac:dyDescent="0.25">
      <c r="C928" s="1"/>
    </row>
    <row r="929" spans="3:3" ht="15.75" customHeight="1" x14ac:dyDescent="0.25">
      <c r="C929" s="1"/>
    </row>
    <row r="930" spans="3:3" ht="15.75" customHeight="1" x14ac:dyDescent="0.25">
      <c r="C930" s="1"/>
    </row>
    <row r="931" spans="3:3" ht="15.75" customHeight="1" x14ac:dyDescent="0.25">
      <c r="C931" s="1"/>
    </row>
    <row r="932" spans="3:3" ht="15.75" customHeight="1" x14ac:dyDescent="0.25">
      <c r="C932" s="1"/>
    </row>
    <row r="933" spans="3:3" ht="15.75" customHeight="1" x14ac:dyDescent="0.25">
      <c r="C933" s="1"/>
    </row>
    <row r="934" spans="3:3" ht="15.75" customHeight="1" x14ac:dyDescent="0.25">
      <c r="C934" s="1"/>
    </row>
    <row r="935" spans="3:3" ht="15.75" customHeight="1" x14ac:dyDescent="0.25">
      <c r="C935" s="1"/>
    </row>
    <row r="936" spans="3:3" ht="15.75" customHeight="1" x14ac:dyDescent="0.25">
      <c r="C936" s="1"/>
    </row>
    <row r="937" spans="3:3" ht="15.75" customHeight="1" x14ac:dyDescent="0.25">
      <c r="C937" s="1"/>
    </row>
    <row r="938" spans="3:3" ht="15.75" customHeight="1" x14ac:dyDescent="0.25">
      <c r="C938" s="1"/>
    </row>
    <row r="939" spans="3:3" ht="15.75" customHeight="1" x14ac:dyDescent="0.25">
      <c r="C939" s="1"/>
    </row>
    <row r="940" spans="3:3" ht="15.75" customHeight="1" x14ac:dyDescent="0.25">
      <c r="C940" s="1"/>
    </row>
    <row r="941" spans="3:3" ht="15.75" customHeight="1" x14ac:dyDescent="0.25">
      <c r="C941" s="1"/>
    </row>
    <row r="942" spans="3:3" ht="15.75" customHeight="1" x14ac:dyDescent="0.25">
      <c r="C942" s="1"/>
    </row>
    <row r="943" spans="3:3" ht="15.75" customHeight="1" x14ac:dyDescent="0.25">
      <c r="C943" s="1"/>
    </row>
    <row r="944" spans="3:3" ht="15.75" customHeight="1" x14ac:dyDescent="0.25">
      <c r="C944" s="1"/>
    </row>
    <row r="945" spans="3:3" ht="15.75" customHeight="1" x14ac:dyDescent="0.25">
      <c r="C945" s="1"/>
    </row>
    <row r="946" spans="3:3" ht="15.75" customHeight="1" x14ac:dyDescent="0.25">
      <c r="C946" s="1"/>
    </row>
    <row r="947" spans="3:3" ht="15.75" customHeight="1" x14ac:dyDescent="0.25">
      <c r="C947" s="1"/>
    </row>
    <row r="948" spans="3:3" ht="15.75" customHeight="1" x14ac:dyDescent="0.25">
      <c r="C948" s="1"/>
    </row>
    <row r="949" spans="3:3" ht="15.75" customHeight="1" x14ac:dyDescent="0.25">
      <c r="C949" s="1"/>
    </row>
    <row r="950" spans="3:3" ht="15.75" customHeight="1" x14ac:dyDescent="0.25">
      <c r="C950" s="1"/>
    </row>
    <row r="951" spans="3:3" ht="15.75" customHeight="1" x14ac:dyDescent="0.25">
      <c r="C951" s="1"/>
    </row>
    <row r="952" spans="3:3" ht="15.75" customHeight="1" x14ac:dyDescent="0.25">
      <c r="C952" s="1"/>
    </row>
    <row r="953" spans="3:3" ht="15.75" customHeight="1" x14ac:dyDescent="0.25">
      <c r="C953" s="1"/>
    </row>
    <row r="954" spans="3:3" ht="15.75" customHeight="1" x14ac:dyDescent="0.25">
      <c r="C954" s="1"/>
    </row>
    <row r="955" spans="3:3" ht="15.75" customHeight="1" x14ac:dyDescent="0.25">
      <c r="C955" s="1"/>
    </row>
    <row r="956" spans="3:3" ht="15.75" customHeight="1" x14ac:dyDescent="0.25">
      <c r="C956" s="1"/>
    </row>
    <row r="957" spans="3:3" ht="15.75" customHeight="1" x14ac:dyDescent="0.25">
      <c r="C957" s="1"/>
    </row>
    <row r="958" spans="3:3" ht="15.75" customHeight="1" x14ac:dyDescent="0.25">
      <c r="C958" s="1"/>
    </row>
    <row r="959" spans="3:3" ht="15.75" customHeight="1" x14ac:dyDescent="0.25">
      <c r="C959" s="1"/>
    </row>
    <row r="960" spans="3:3" ht="15.75" customHeight="1" x14ac:dyDescent="0.25">
      <c r="C960" s="1"/>
    </row>
    <row r="961" spans="3:3" ht="15.75" customHeight="1" x14ac:dyDescent="0.25">
      <c r="C961" s="1"/>
    </row>
    <row r="962" spans="3:3" ht="15.75" customHeight="1" x14ac:dyDescent="0.25">
      <c r="C962" s="1"/>
    </row>
    <row r="963" spans="3:3" ht="15.75" customHeight="1" x14ac:dyDescent="0.25">
      <c r="C963" s="1"/>
    </row>
    <row r="964" spans="3:3" ht="15.75" customHeight="1" x14ac:dyDescent="0.25">
      <c r="C964" s="1"/>
    </row>
    <row r="965" spans="3:3" ht="15.75" customHeight="1" x14ac:dyDescent="0.25">
      <c r="C965" s="1"/>
    </row>
    <row r="966" spans="3:3" ht="15.75" customHeight="1" x14ac:dyDescent="0.25">
      <c r="C966" s="1"/>
    </row>
    <row r="967" spans="3:3" ht="15.75" customHeight="1" x14ac:dyDescent="0.25">
      <c r="C967" s="1"/>
    </row>
    <row r="968" spans="3:3" ht="15.75" customHeight="1" x14ac:dyDescent="0.25">
      <c r="C968" s="1"/>
    </row>
    <row r="969" spans="3:3" ht="15.75" customHeight="1" x14ac:dyDescent="0.25">
      <c r="C969" s="1"/>
    </row>
    <row r="970" spans="3:3" ht="15.75" customHeight="1" x14ac:dyDescent="0.25">
      <c r="C970" s="1"/>
    </row>
    <row r="971" spans="3:3" ht="15.75" customHeight="1" x14ac:dyDescent="0.25">
      <c r="C971" s="1"/>
    </row>
    <row r="972" spans="3:3" ht="15.75" customHeight="1" x14ac:dyDescent="0.25">
      <c r="C972" s="1"/>
    </row>
    <row r="973" spans="3:3" ht="15.75" customHeight="1" x14ac:dyDescent="0.25">
      <c r="C973" s="1"/>
    </row>
    <row r="974" spans="3:3" ht="15.75" customHeight="1" x14ac:dyDescent="0.25">
      <c r="C974" s="1"/>
    </row>
    <row r="975" spans="3:3" ht="15.75" customHeight="1" x14ac:dyDescent="0.25">
      <c r="C975" s="1"/>
    </row>
    <row r="976" spans="3:3" ht="15.75" customHeight="1" x14ac:dyDescent="0.25">
      <c r="C976" s="1"/>
    </row>
    <row r="977" spans="3:3" ht="15.75" customHeight="1" x14ac:dyDescent="0.25">
      <c r="C977" s="1"/>
    </row>
    <row r="978" spans="3:3" ht="15.75" customHeight="1" x14ac:dyDescent="0.25">
      <c r="C978" s="1"/>
    </row>
    <row r="979" spans="3:3" ht="15.75" customHeight="1" x14ac:dyDescent="0.25">
      <c r="C979" s="1"/>
    </row>
    <row r="980" spans="3:3" ht="15.75" customHeight="1" x14ac:dyDescent="0.25">
      <c r="C980" s="1"/>
    </row>
    <row r="981" spans="3:3" ht="15.75" customHeight="1" x14ac:dyDescent="0.25">
      <c r="C981" s="1"/>
    </row>
    <row r="982" spans="3:3" ht="15.75" customHeight="1" x14ac:dyDescent="0.25">
      <c r="C982" s="1"/>
    </row>
    <row r="983" spans="3:3" ht="15.75" customHeight="1" x14ac:dyDescent="0.25">
      <c r="C983" s="1"/>
    </row>
    <row r="984" spans="3:3" ht="15.75" customHeight="1" x14ac:dyDescent="0.25">
      <c r="C984" s="1"/>
    </row>
    <row r="985" spans="3:3" ht="15.75" customHeight="1" x14ac:dyDescent="0.25">
      <c r="C985" s="1"/>
    </row>
    <row r="986" spans="3:3" ht="15.75" customHeight="1" x14ac:dyDescent="0.25">
      <c r="C986" s="1"/>
    </row>
    <row r="987" spans="3:3" ht="15.75" customHeight="1" x14ac:dyDescent="0.25">
      <c r="C987" s="1"/>
    </row>
    <row r="988" spans="3:3" ht="15.75" customHeight="1" x14ac:dyDescent="0.25">
      <c r="C988" s="1"/>
    </row>
    <row r="989" spans="3:3" ht="15.75" customHeight="1" x14ac:dyDescent="0.25">
      <c r="C989" s="1"/>
    </row>
    <row r="990" spans="3:3" ht="15.75" customHeight="1" x14ac:dyDescent="0.25">
      <c r="C990" s="1"/>
    </row>
    <row r="991" spans="3:3" ht="15.75" customHeight="1" x14ac:dyDescent="0.25">
      <c r="C991" s="1"/>
    </row>
    <row r="992" spans="3:3" ht="15.75" customHeight="1" x14ac:dyDescent="0.25">
      <c r="C992" s="1"/>
    </row>
    <row r="993" spans="3:3" ht="15.75" customHeight="1" x14ac:dyDescent="0.25">
      <c r="C993" s="1"/>
    </row>
    <row r="994" spans="3:3" ht="15.75" customHeight="1" x14ac:dyDescent="0.25">
      <c r="C994" s="1"/>
    </row>
    <row r="995" spans="3:3" ht="15.75" customHeight="1" x14ac:dyDescent="0.25">
      <c r="C995" s="1"/>
    </row>
    <row r="996" spans="3:3" ht="15.75" customHeight="1" x14ac:dyDescent="0.25">
      <c r="C996" s="1"/>
    </row>
    <row r="997" spans="3:3" ht="15.75" customHeight="1" x14ac:dyDescent="0.25">
      <c r="C997" s="1"/>
    </row>
    <row r="998" spans="3:3" ht="15.75" customHeight="1" x14ac:dyDescent="0.25">
      <c r="C998" s="1"/>
    </row>
    <row r="999" spans="3:3" ht="15.75" customHeight="1" x14ac:dyDescent="0.25">
      <c r="C999" s="1"/>
    </row>
    <row r="1000" spans="3:3" ht="15.75" customHeight="1" x14ac:dyDescent="0.25">
      <c r="C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A993"/>
  <sheetViews>
    <sheetView showGridLines="0" tabSelected="1" workbookViewId="0">
      <pane xSplit="12" topLeftCell="CR1" activePane="topRight" state="frozen"/>
      <selection pane="topRight" activeCell="CY11" sqref="CY11"/>
    </sheetView>
  </sheetViews>
  <sheetFormatPr baseColWidth="10" defaultColWidth="11.25" defaultRowHeight="15" customHeight="1" outlineLevelRow="1" x14ac:dyDescent="0.25"/>
  <cols>
    <col min="1" max="1" width="3.5" customWidth="1"/>
    <col min="2" max="2" width="8.75" customWidth="1"/>
    <col min="3" max="3" width="19.375" customWidth="1"/>
    <col min="4" max="4" width="5.75" customWidth="1"/>
    <col min="5" max="5" width="4.75" customWidth="1"/>
    <col min="6" max="6" width="16.5" customWidth="1"/>
    <col min="7" max="7" width="9" customWidth="1"/>
    <col min="8" max="8" width="2.5" customWidth="1"/>
    <col min="9" max="9" width="8.75" customWidth="1"/>
    <col min="10" max="10" width="8.625" customWidth="1"/>
    <col min="11" max="11" width="11.375" customWidth="1"/>
    <col min="12" max="12" width="4.75" customWidth="1"/>
    <col min="13" max="13" width="5.5" customWidth="1"/>
    <col min="14" max="14" width="8.75" customWidth="1"/>
    <col min="15" max="15" width="12.5" customWidth="1"/>
    <col min="16" max="16" width="6.375" customWidth="1"/>
    <col min="17" max="17" width="14.75" customWidth="1"/>
    <col min="18" max="18" width="6" customWidth="1"/>
    <col min="19" max="19" width="12.625" customWidth="1"/>
    <col min="20" max="20" width="2.25" customWidth="1"/>
    <col min="21" max="21" width="8.75" customWidth="1"/>
    <col min="22" max="22" width="12.5" customWidth="1"/>
    <col min="23" max="23" width="6.375" customWidth="1"/>
    <col min="24" max="24" width="14.75" customWidth="1"/>
    <col min="25" max="25" width="6" customWidth="1"/>
    <col min="26" max="26" width="12.625" customWidth="1"/>
    <col min="27" max="27" width="2.25" customWidth="1"/>
    <col min="28" max="28" width="8.75" customWidth="1"/>
    <col min="29" max="29" width="12.5" customWidth="1"/>
    <col min="30" max="30" width="6.375" customWidth="1"/>
    <col min="31" max="31" width="14.75" customWidth="1"/>
    <col min="32" max="32" width="6" customWidth="1"/>
    <col min="33" max="33" width="12.625" customWidth="1"/>
    <col min="34" max="34" width="2.25" customWidth="1"/>
    <col min="35" max="35" width="8.75" customWidth="1"/>
    <col min="36" max="36" width="12.5" customWidth="1"/>
    <col min="37" max="37" width="6.375" customWidth="1"/>
    <col min="38" max="38" width="14.75" customWidth="1"/>
    <col min="39" max="39" width="6" customWidth="1"/>
    <col min="40" max="40" width="12.625" customWidth="1"/>
    <col min="41" max="41" width="2.25" customWidth="1"/>
    <col min="42" max="42" width="8.75" customWidth="1"/>
    <col min="43" max="43" width="12.5" customWidth="1"/>
    <col min="44" max="44" width="6.375" customWidth="1"/>
    <col min="45" max="45" width="14.75" customWidth="1"/>
    <col min="46" max="46" width="6" customWidth="1"/>
    <col min="47" max="47" width="12.625" customWidth="1"/>
    <col min="48" max="48" width="2.25" customWidth="1"/>
    <col min="49" max="49" width="8.75" customWidth="1"/>
    <col min="50" max="50" width="12.5" customWidth="1"/>
    <col min="51" max="51" width="6.375" customWidth="1"/>
    <col min="52" max="52" width="14.75" customWidth="1"/>
    <col min="53" max="53" width="6" customWidth="1"/>
    <col min="54" max="54" width="12.625" customWidth="1"/>
    <col min="55" max="55" width="2.25" customWidth="1"/>
    <col min="56" max="56" width="8.75" customWidth="1"/>
    <col min="57" max="57" width="12.5" customWidth="1"/>
    <col min="58" max="58" width="6.375" customWidth="1"/>
    <col min="59" max="59" width="14.75" customWidth="1"/>
    <col min="60" max="60" width="6" customWidth="1"/>
    <col min="61" max="61" width="12.625" customWidth="1"/>
    <col min="62" max="62" width="2.25" customWidth="1"/>
    <col min="63" max="63" width="8.75" customWidth="1"/>
    <col min="64" max="64" width="12.5" customWidth="1"/>
    <col min="65" max="65" width="6.375" customWidth="1"/>
    <col min="66" max="66" width="14.75" customWidth="1"/>
    <col min="67" max="67" width="6" customWidth="1"/>
    <col min="68" max="68" width="12.625" customWidth="1"/>
    <col min="69" max="69" width="2.25" customWidth="1"/>
    <col min="70" max="70" width="8.75" customWidth="1"/>
    <col min="71" max="71" width="12.5" customWidth="1"/>
    <col min="72" max="72" width="6.375" customWidth="1"/>
    <col min="73" max="73" width="14.75" customWidth="1"/>
    <col min="74" max="74" width="6" customWidth="1"/>
    <col min="75" max="75" width="12.625" customWidth="1"/>
    <col min="76" max="76" width="2.25" customWidth="1"/>
    <col min="77" max="77" width="8.75" customWidth="1"/>
    <col min="78" max="78" width="12.5" customWidth="1"/>
    <col min="79" max="79" width="6.375" customWidth="1"/>
    <col min="80" max="80" width="14.75" customWidth="1"/>
    <col min="81" max="81" width="6" customWidth="1"/>
    <col min="82" max="82" width="12.625" customWidth="1"/>
    <col min="83" max="83" width="2.25" customWidth="1"/>
    <col min="84" max="84" width="8.75" customWidth="1"/>
    <col min="85" max="85" width="12.5" customWidth="1"/>
    <col min="86" max="86" width="6.375" customWidth="1"/>
    <col min="87" max="87" width="14.75" customWidth="1"/>
    <col min="88" max="88" width="6" customWidth="1"/>
    <col min="89" max="89" width="12.625" customWidth="1"/>
    <col min="90" max="90" width="2.25" customWidth="1"/>
    <col min="91" max="91" width="8.75" customWidth="1"/>
    <col min="92" max="92" width="12.5" customWidth="1"/>
    <col min="93" max="93" width="6.375" customWidth="1"/>
    <col min="94" max="94" width="14.75" customWidth="1"/>
    <col min="95" max="95" width="6" customWidth="1"/>
    <col min="96" max="96" width="12.625" customWidth="1"/>
    <col min="97" max="97" width="2.25" customWidth="1"/>
    <col min="98" max="98" width="8.75" customWidth="1"/>
    <col min="99" max="99" width="12.5" customWidth="1"/>
    <col min="100" max="100" width="6.375" customWidth="1"/>
    <col min="101" max="101" width="14.75" customWidth="1"/>
    <col min="102" max="102" width="6" customWidth="1"/>
    <col min="103" max="103" width="12.625" customWidth="1"/>
    <col min="104" max="104" width="2.25" customWidth="1"/>
    <col min="105" max="105" width="8.75" customWidth="1"/>
    <col min="106" max="106" width="12.5" customWidth="1"/>
    <col min="107" max="107" width="6.375" customWidth="1"/>
    <col min="108" max="108" width="14.75" customWidth="1"/>
    <col min="109" max="109" width="6" customWidth="1"/>
    <col min="110" max="110" width="12.625" customWidth="1"/>
    <col min="111" max="111" width="2.25" customWidth="1"/>
    <col min="112" max="112" width="8.75" customWidth="1"/>
    <col min="113" max="113" width="12.5" customWidth="1"/>
    <col min="114" max="114" width="6.375" customWidth="1"/>
    <col min="115" max="115" width="14.75" customWidth="1"/>
    <col min="116" max="116" width="6" customWidth="1"/>
    <col min="117" max="117" width="12.625" customWidth="1"/>
    <col min="118" max="118" width="2.25" customWidth="1"/>
    <col min="119" max="119" width="8.75" customWidth="1"/>
    <col min="120" max="120" width="12.5" customWidth="1"/>
    <col min="121" max="121" width="6.375" customWidth="1"/>
    <col min="122" max="122" width="14.75" customWidth="1"/>
    <col min="123" max="123" width="6" customWidth="1"/>
    <col min="124" max="124" width="12.625" customWidth="1"/>
    <col min="125" max="125" width="2.25" customWidth="1"/>
    <col min="126" max="126" width="8.75" customWidth="1"/>
    <col min="127" max="127" width="12.5" customWidth="1"/>
    <col min="128" max="128" width="6.375" customWidth="1"/>
    <col min="129" max="129" width="14.75" customWidth="1"/>
    <col min="130" max="130" width="6" customWidth="1"/>
    <col min="131" max="131" width="12.625" customWidth="1"/>
    <col min="132" max="132" width="2.25" customWidth="1"/>
  </cols>
  <sheetData>
    <row r="1" spans="1:131" ht="15.75" customHeight="1" x14ac:dyDescent="0.5">
      <c r="A1" s="5" t="s">
        <v>19</v>
      </c>
      <c r="B1" s="7" t="s">
        <v>20</v>
      </c>
      <c r="C1" s="8"/>
      <c r="D1" s="7"/>
      <c r="G1" s="9"/>
      <c r="I1" s="9"/>
      <c r="J1" s="9"/>
      <c r="K1" s="9"/>
      <c r="BJ1" s="10"/>
      <c r="BN1" s="5" t="s">
        <v>21</v>
      </c>
      <c r="BX1" s="10"/>
      <c r="CE1" s="10"/>
      <c r="CL1" s="10"/>
      <c r="CS1" s="10"/>
      <c r="CZ1" s="10"/>
      <c r="DG1" s="10"/>
      <c r="DN1" s="10"/>
      <c r="DU1" s="10"/>
    </row>
    <row r="2" spans="1:131" ht="15.75" customHeight="1" x14ac:dyDescent="0.25">
      <c r="C2" s="8"/>
      <c r="I2" s="34" t="s">
        <v>22</v>
      </c>
      <c r="J2" s="35"/>
      <c r="K2" s="35"/>
      <c r="L2" s="36"/>
      <c r="N2" s="34" t="s">
        <v>23</v>
      </c>
      <c r="O2" s="35"/>
      <c r="P2" s="35"/>
      <c r="Q2" s="35"/>
      <c r="R2" s="35"/>
      <c r="S2" s="36"/>
      <c r="U2" s="34" t="s">
        <v>24</v>
      </c>
      <c r="V2" s="35"/>
      <c r="W2" s="35"/>
      <c r="X2" s="35"/>
      <c r="Y2" s="35"/>
      <c r="Z2" s="36"/>
      <c r="AB2" s="34" t="s">
        <v>25</v>
      </c>
      <c r="AC2" s="35"/>
      <c r="AD2" s="35"/>
      <c r="AE2" s="35"/>
      <c r="AF2" s="35"/>
      <c r="AG2" s="36"/>
      <c r="AI2" s="34" t="s">
        <v>26</v>
      </c>
      <c r="AJ2" s="35"/>
      <c r="AK2" s="35"/>
      <c r="AL2" s="35"/>
      <c r="AM2" s="35"/>
      <c r="AN2" s="36"/>
      <c r="AP2" s="34" t="s">
        <v>27</v>
      </c>
      <c r="AQ2" s="35"/>
      <c r="AR2" s="35"/>
      <c r="AS2" s="35"/>
      <c r="AT2" s="35"/>
      <c r="AU2" s="36"/>
      <c r="AW2" s="34" t="s">
        <v>28</v>
      </c>
      <c r="AX2" s="35"/>
      <c r="AY2" s="35"/>
      <c r="AZ2" s="35"/>
      <c r="BA2" s="35"/>
      <c r="BB2" s="36"/>
      <c r="BD2" s="34" t="s">
        <v>29</v>
      </c>
      <c r="BE2" s="35"/>
      <c r="BF2" s="35"/>
      <c r="BG2" s="35"/>
      <c r="BH2" s="35"/>
      <c r="BI2" s="36"/>
      <c r="BJ2" s="11"/>
      <c r="BK2" s="34" t="s">
        <v>30</v>
      </c>
      <c r="BL2" s="35"/>
      <c r="BM2" s="35"/>
      <c r="BN2" s="35"/>
      <c r="BO2" s="35"/>
      <c r="BP2" s="36"/>
      <c r="BR2" s="38" t="s">
        <v>31</v>
      </c>
      <c r="BS2" s="35"/>
      <c r="BT2" s="35"/>
      <c r="BU2" s="35"/>
      <c r="BV2" s="35"/>
      <c r="BW2" s="36"/>
      <c r="BX2" s="11"/>
      <c r="BY2" s="34" t="s">
        <v>32</v>
      </c>
      <c r="BZ2" s="35"/>
      <c r="CA2" s="35"/>
      <c r="CB2" s="35"/>
      <c r="CC2" s="35"/>
      <c r="CD2" s="36"/>
      <c r="CE2" s="11"/>
      <c r="CF2" s="34" t="s">
        <v>33</v>
      </c>
      <c r="CG2" s="35"/>
      <c r="CH2" s="35"/>
      <c r="CI2" s="35"/>
      <c r="CJ2" s="35"/>
      <c r="CK2" s="36"/>
      <c r="CL2" s="11"/>
      <c r="CM2" s="34" t="s">
        <v>34</v>
      </c>
      <c r="CN2" s="35"/>
      <c r="CO2" s="35"/>
      <c r="CP2" s="35"/>
      <c r="CQ2" s="35"/>
      <c r="CR2" s="36"/>
      <c r="CS2" s="11"/>
      <c r="CT2" s="34" t="s">
        <v>35</v>
      </c>
      <c r="CU2" s="35"/>
      <c r="CV2" s="35"/>
      <c r="CW2" s="35"/>
      <c r="CX2" s="35"/>
      <c r="CY2" s="36"/>
      <c r="CZ2" s="11"/>
      <c r="DA2" s="37" t="s">
        <v>36</v>
      </c>
      <c r="DB2" s="35"/>
      <c r="DC2" s="35"/>
      <c r="DD2" s="35"/>
      <c r="DE2" s="35"/>
      <c r="DF2" s="36"/>
      <c r="DG2" s="11"/>
      <c r="DH2" s="34" t="s">
        <v>37</v>
      </c>
      <c r="DI2" s="35"/>
      <c r="DJ2" s="35"/>
      <c r="DK2" s="35"/>
      <c r="DL2" s="35"/>
      <c r="DM2" s="36"/>
      <c r="DN2" s="11"/>
      <c r="DO2" s="34" t="s">
        <v>38</v>
      </c>
      <c r="DP2" s="35"/>
      <c r="DQ2" s="35"/>
      <c r="DR2" s="35"/>
      <c r="DS2" s="35"/>
      <c r="DT2" s="36"/>
      <c r="DU2" s="11"/>
      <c r="DV2" s="38" t="s">
        <v>39</v>
      </c>
      <c r="DW2" s="35"/>
      <c r="DX2" s="35"/>
      <c r="DY2" s="35"/>
      <c r="DZ2" s="35"/>
      <c r="EA2" s="36"/>
    </row>
    <row r="3" spans="1:131" ht="15.75" customHeight="1" x14ac:dyDescent="0.25">
      <c r="B3" s="12" t="s">
        <v>40</v>
      </c>
      <c r="C3" s="13" t="s">
        <v>41</v>
      </c>
      <c r="D3" s="14" t="s">
        <v>42</v>
      </c>
      <c r="E3" s="15" t="s">
        <v>43</v>
      </c>
      <c r="F3" s="14" t="s">
        <v>44</v>
      </c>
      <c r="G3" s="14" t="s">
        <v>45</v>
      </c>
      <c r="I3" s="15" t="s">
        <v>46</v>
      </c>
      <c r="J3" s="16" t="s">
        <v>47</v>
      </c>
      <c r="K3" s="16" t="s">
        <v>48</v>
      </c>
      <c r="L3" s="15" t="s">
        <v>49</v>
      </c>
      <c r="N3" s="12" t="s">
        <v>46</v>
      </c>
      <c r="O3" s="12" t="s">
        <v>47</v>
      </c>
      <c r="P3" s="12" t="s">
        <v>50</v>
      </c>
      <c r="Q3" s="12" t="s">
        <v>48</v>
      </c>
      <c r="R3" s="12" t="s">
        <v>50</v>
      </c>
      <c r="S3" s="12" t="s">
        <v>49</v>
      </c>
      <c r="U3" s="12" t="s">
        <v>46</v>
      </c>
      <c r="V3" s="12" t="s">
        <v>47</v>
      </c>
      <c r="W3" s="12" t="s">
        <v>50</v>
      </c>
      <c r="X3" s="12" t="s">
        <v>48</v>
      </c>
      <c r="Y3" s="12" t="s">
        <v>50</v>
      </c>
      <c r="Z3" s="12" t="s">
        <v>49</v>
      </c>
      <c r="AB3" s="12" t="s">
        <v>46</v>
      </c>
      <c r="AC3" s="12" t="s">
        <v>47</v>
      </c>
      <c r="AD3" s="12" t="s">
        <v>50</v>
      </c>
      <c r="AE3" s="12" t="s">
        <v>48</v>
      </c>
      <c r="AF3" s="12" t="s">
        <v>50</v>
      </c>
      <c r="AG3" s="12" t="s">
        <v>49</v>
      </c>
      <c r="AI3" s="12" t="s">
        <v>46</v>
      </c>
      <c r="AJ3" s="12" t="s">
        <v>47</v>
      </c>
      <c r="AK3" s="12" t="s">
        <v>50</v>
      </c>
      <c r="AL3" s="12" t="s">
        <v>48</v>
      </c>
      <c r="AM3" s="12" t="s">
        <v>50</v>
      </c>
      <c r="AN3" s="12" t="s">
        <v>49</v>
      </c>
      <c r="AP3" s="12" t="s">
        <v>46</v>
      </c>
      <c r="AQ3" s="12" t="s">
        <v>47</v>
      </c>
      <c r="AR3" s="12" t="s">
        <v>50</v>
      </c>
      <c r="AS3" s="12" t="s">
        <v>48</v>
      </c>
      <c r="AT3" s="12" t="s">
        <v>50</v>
      </c>
      <c r="AU3" s="12" t="s">
        <v>49</v>
      </c>
      <c r="AW3" s="12" t="s">
        <v>46</v>
      </c>
      <c r="AX3" s="12" t="s">
        <v>47</v>
      </c>
      <c r="AY3" s="12" t="s">
        <v>50</v>
      </c>
      <c r="AZ3" s="12" t="s">
        <v>48</v>
      </c>
      <c r="BA3" s="12" t="s">
        <v>50</v>
      </c>
      <c r="BB3" s="12" t="s">
        <v>49</v>
      </c>
      <c r="BD3" s="12" t="s">
        <v>46</v>
      </c>
      <c r="BE3" s="12" t="s">
        <v>47</v>
      </c>
      <c r="BF3" s="12" t="s">
        <v>50</v>
      </c>
      <c r="BG3" s="12" t="s">
        <v>48</v>
      </c>
      <c r="BH3" s="12" t="s">
        <v>50</v>
      </c>
      <c r="BI3" s="12" t="s">
        <v>49</v>
      </c>
      <c r="BJ3" s="11"/>
      <c r="BK3" s="12" t="s">
        <v>46</v>
      </c>
      <c r="BL3" s="12" t="s">
        <v>47</v>
      </c>
      <c r="BM3" s="12" t="s">
        <v>50</v>
      </c>
      <c r="BN3" s="12" t="s">
        <v>48</v>
      </c>
      <c r="BO3" s="12" t="s">
        <v>50</v>
      </c>
      <c r="BP3" s="12" t="s">
        <v>49</v>
      </c>
      <c r="BR3" s="12" t="s">
        <v>46</v>
      </c>
      <c r="BS3" s="12" t="s">
        <v>47</v>
      </c>
      <c r="BT3" s="12" t="s">
        <v>50</v>
      </c>
      <c r="BU3" s="12" t="s">
        <v>48</v>
      </c>
      <c r="BV3" s="12" t="s">
        <v>50</v>
      </c>
      <c r="BW3" s="12" t="s">
        <v>49</v>
      </c>
      <c r="BX3" s="11"/>
      <c r="BY3" s="12" t="s">
        <v>46</v>
      </c>
      <c r="BZ3" s="12" t="s">
        <v>47</v>
      </c>
      <c r="CA3" s="12" t="s">
        <v>50</v>
      </c>
      <c r="CB3" s="12" t="s">
        <v>48</v>
      </c>
      <c r="CC3" s="12" t="s">
        <v>50</v>
      </c>
      <c r="CD3" s="12" t="s">
        <v>49</v>
      </c>
      <c r="CE3" s="11"/>
      <c r="CF3" s="12" t="s">
        <v>46</v>
      </c>
      <c r="CG3" s="12" t="s">
        <v>47</v>
      </c>
      <c r="CH3" s="12" t="s">
        <v>50</v>
      </c>
      <c r="CI3" s="12" t="s">
        <v>48</v>
      </c>
      <c r="CJ3" s="12" t="s">
        <v>50</v>
      </c>
      <c r="CK3" s="12" t="s">
        <v>49</v>
      </c>
      <c r="CL3" s="11"/>
      <c r="CM3" s="12" t="s">
        <v>46</v>
      </c>
      <c r="CN3" s="12" t="s">
        <v>47</v>
      </c>
      <c r="CO3" s="12" t="s">
        <v>50</v>
      </c>
      <c r="CP3" s="12" t="s">
        <v>48</v>
      </c>
      <c r="CQ3" s="12" t="s">
        <v>50</v>
      </c>
      <c r="CR3" s="12" t="s">
        <v>49</v>
      </c>
      <c r="CS3" s="11"/>
      <c r="CT3" s="12" t="s">
        <v>46</v>
      </c>
      <c r="CU3" s="12" t="s">
        <v>47</v>
      </c>
      <c r="CV3" s="12" t="s">
        <v>50</v>
      </c>
      <c r="CW3" s="12" t="s">
        <v>48</v>
      </c>
      <c r="CX3" s="12" t="s">
        <v>50</v>
      </c>
      <c r="CY3" s="12" t="s">
        <v>49</v>
      </c>
      <c r="CZ3" s="11"/>
      <c r="DA3" s="12" t="s">
        <v>46</v>
      </c>
      <c r="DB3" s="12" t="s">
        <v>47</v>
      </c>
      <c r="DC3" s="12" t="s">
        <v>50</v>
      </c>
      <c r="DD3" s="12" t="s">
        <v>48</v>
      </c>
      <c r="DE3" s="12" t="s">
        <v>50</v>
      </c>
      <c r="DF3" s="12" t="s">
        <v>49</v>
      </c>
      <c r="DG3" s="11"/>
      <c r="DH3" s="12" t="s">
        <v>46</v>
      </c>
      <c r="DI3" s="12" t="s">
        <v>47</v>
      </c>
      <c r="DJ3" s="12" t="s">
        <v>50</v>
      </c>
      <c r="DK3" s="12" t="s">
        <v>48</v>
      </c>
      <c r="DL3" s="12" t="s">
        <v>50</v>
      </c>
      <c r="DM3" s="12" t="s">
        <v>49</v>
      </c>
      <c r="DN3" s="11"/>
      <c r="DO3" s="12" t="s">
        <v>46</v>
      </c>
      <c r="DP3" s="12" t="s">
        <v>47</v>
      </c>
      <c r="DQ3" s="12" t="s">
        <v>50</v>
      </c>
      <c r="DR3" s="12" t="s">
        <v>48</v>
      </c>
      <c r="DS3" s="12" t="s">
        <v>50</v>
      </c>
      <c r="DT3" s="12" t="s">
        <v>49</v>
      </c>
      <c r="DU3" s="11"/>
      <c r="DV3" s="12" t="s">
        <v>46</v>
      </c>
      <c r="DW3" s="12" t="s">
        <v>47</v>
      </c>
      <c r="DX3" s="12" t="s">
        <v>50</v>
      </c>
      <c r="DY3" s="12" t="s">
        <v>48</v>
      </c>
      <c r="DZ3" s="12" t="s">
        <v>50</v>
      </c>
      <c r="EA3" s="12" t="s">
        <v>49</v>
      </c>
    </row>
    <row r="4" spans="1:131" ht="15.75" customHeight="1" x14ac:dyDescent="0.25">
      <c r="B4" s="6" t="s">
        <v>22</v>
      </c>
      <c r="C4" s="17" t="s">
        <v>51</v>
      </c>
      <c r="D4" s="18">
        <v>44914</v>
      </c>
      <c r="E4" s="19">
        <v>6</v>
      </c>
      <c r="G4" s="20">
        <f>+SUM(G5:G12)</f>
        <v>1</v>
      </c>
      <c r="I4" s="21">
        <f>+SUM(I5:I12)</f>
        <v>0</v>
      </c>
      <c r="J4" s="22">
        <f>+SUMPRODUCT(G5:G12,J5:J12)</f>
        <v>0</v>
      </c>
      <c r="K4" s="22">
        <f>+SUMPRODUCT(G5:G12,K5:K12)</f>
        <v>0</v>
      </c>
      <c r="L4" s="19"/>
      <c r="N4" s="21"/>
      <c r="U4" s="21"/>
      <c r="AB4" s="21"/>
      <c r="AI4" s="21"/>
      <c r="AP4" s="21"/>
      <c r="AW4" s="21"/>
      <c r="BD4" s="21"/>
      <c r="BJ4" s="10"/>
      <c r="BK4" s="21"/>
      <c r="BR4" s="21"/>
      <c r="BX4" s="10"/>
      <c r="BY4" s="21"/>
      <c r="CE4" s="10"/>
      <c r="CF4" s="21"/>
      <c r="CL4" s="10"/>
      <c r="CM4" s="21"/>
      <c r="CS4" s="10"/>
      <c r="CT4" s="21"/>
      <c r="CZ4" s="10"/>
      <c r="DA4" s="21"/>
      <c r="DG4" s="10"/>
      <c r="DH4" s="21"/>
      <c r="DN4" s="10"/>
      <c r="DO4" s="21"/>
      <c r="DU4" s="10"/>
      <c r="DV4" s="21"/>
    </row>
    <row r="5" spans="1:131" ht="15.75" customHeight="1" outlineLevel="1" x14ac:dyDescent="0.25">
      <c r="B5" s="6" t="s">
        <v>52</v>
      </c>
      <c r="C5" s="17" t="s">
        <v>51</v>
      </c>
      <c r="E5" s="19"/>
      <c r="F5" s="5" t="s">
        <v>53</v>
      </c>
      <c r="G5" s="20">
        <v>0.1</v>
      </c>
      <c r="I5" s="19">
        <f t="shared" ref="I5:I12" si="0">+SUMIF($N$3:$ACS$3,I$3,$N5:$ACS5)</f>
        <v>0</v>
      </c>
      <c r="J5" s="22">
        <f t="array" ref="J5">MAX(IF($N$3:$HA$3=$J$3,N5:HA5))</f>
        <v>0</v>
      </c>
      <c r="K5" s="22">
        <f t="array" ref="K5">MAX(IF($N$3:$HA$3=$J$3,N5:HA5))</f>
        <v>0</v>
      </c>
      <c r="L5" s="19"/>
      <c r="O5" s="23"/>
      <c r="P5" s="23"/>
      <c r="Q5" s="20"/>
      <c r="R5" s="20"/>
      <c r="V5" s="23"/>
      <c r="W5" s="23"/>
      <c r="X5" s="20"/>
      <c r="Y5" s="20"/>
      <c r="AC5" s="23"/>
      <c r="AD5" s="23"/>
      <c r="AE5" s="20"/>
      <c r="AF5" s="20"/>
      <c r="AJ5" s="23"/>
      <c r="AK5" s="23"/>
      <c r="AL5" s="20"/>
      <c r="AM5" s="20"/>
      <c r="AQ5" s="23"/>
      <c r="AR5" s="23"/>
      <c r="AS5" s="20"/>
      <c r="AT5" s="20"/>
      <c r="AX5" s="23"/>
      <c r="AY5" s="23"/>
      <c r="AZ5" s="20"/>
      <c r="BA5" s="20"/>
      <c r="BE5" s="23"/>
      <c r="BF5" s="23"/>
      <c r="BG5" s="20"/>
      <c r="BH5" s="20"/>
      <c r="BJ5" s="10"/>
      <c r="BL5" s="23"/>
      <c r="BM5" s="23"/>
      <c r="BN5" s="20"/>
      <c r="BO5" s="20"/>
      <c r="BS5" s="23"/>
      <c r="BT5" s="23"/>
      <c r="BU5" s="20"/>
      <c r="BV5" s="20"/>
      <c r="BX5" s="10"/>
      <c r="BZ5" s="23"/>
      <c r="CA5" s="23"/>
      <c r="CB5" s="20"/>
      <c r="CC5" s="20"/>
      <c r="CE5" s="10"/>
      <c r="CG5" s="23"/>
      <c r="CH5" s="23"/>
      <c r="CI5" s="20"/>
      <c r="CJ5" s="20"/>
      <c r="CL5" s="10"/>
      <c r="CN5" s="23"/>
      <c r="CO5" s="23"/>
      <c r="CP5" s="20"/>
      <c r="CQ5" s="20"/>
      <c r="CS5" s="10"/>
      <c r="CU5" s="23"/>
      <c r="CV5" s="23"/>
      <c r="CW5" s="20"/>
      <c r="CX5" s="23"/>
      <c r="CZ5" s="10"/>
      <c r="DB5" s="23"/>
      <c r="DC5" s="23">
        <v>1</v>
      </c>
      <c r="DD5" s="20"/>
      <c r="DE5" s="23">
        <v>1</v>
      </c>
      <c r="DG5" s="10"/>
      <c r="DI5" s="23"/>
      <c r="DJ5" s="23"/>
      <c r="DK5" s="20"/>
      <c r="DL5" s="20"/>
      <c r="DN5" s="10"/>
      <c r="DP5" s="23"/>
      <c r="DQ5" s="23"/>
      <c r="DR5" s="20"/>
      <c r="DS5" s="20"/>
      <c r="DU5" s="10"/>
      <c r="DW5" s="23"/>
      <c r="DX5" s="23"/>
      <c r="DY5" s="20"/>
      <c r="DZ5" s="20"/>
    </row>
    <row r="6" spans="1:131" ht="15.75" customHeight="1" outlineLevel="1" x14ac:dyDescent="0.25">
      <c r="B6" s="6" t="s">
        <v>52</v>
      </c>
      <c r="C6" s="17" t="s">
        <v>51</v>
      </c>
      <c r="E6" s="19"/>
      <c r="F6" s="5" t="s">
        <v>54</v>
      </c>
      <c r="G6" s="23">
        <v>0.1</v>
      </c>
      <c r="I6" s="19">
        <f t="shared" si="0"/>
        <v>0</v>
      </c>
      <c r="J6" s="22">
        <f t="array" ref="J6">MAX(IF($N$3:$HA$3=$J$3,N6:HA6))</f>
        <v>0</v>
      </c>
      <c r="K6" s="22">
        <f t="array" ref="K6">MAX(IF($N$3:$HA$3=$J$3,N6:HA6))</f>
        <v>0</v>
      </c>
      <c r="L6" s="19"/>
      <c r="O6" s="23"/>
      <c r="P6" s="20"/>
      <c r="Q6" s="20"/>
      <c r="R6" s="20"/>
      <c r="V6" s="23"/>
      <c r="W6" s="20"/>
      <c r="X6" s="20"/>
      <c r="Y6" s="20"/>
      <c r="AC6" s="23"/>
      <c r="AD6" s="20"/>
      <c r="AE6" s="20"/>
      <c r="AF6" s="20"/>
      <c r="AJ6" s="23"/>
      <c r="AK6" s="20"/>
      <c r="AL6" s="20"/>
      <c r="AM6" s="20"/>
      <c r="AQ6" s="23"/>
      <c r="AR6" s="20"/>
      <c r="AS6" s="20"/>
      <c r="AT6" s="20"/>
      <c r="AX6" s="23"/>
      <c r="AY6" s="20"/>
      <c r="AZ6" s="20"/>
      <c r="BA6" s="20"/>
      <c r="BE6" s="23"/>
      <c r="BF6" s="20"/>
      <c r="BG6" s="20"/>
      <c r="BH6" s="20"/>
      <c r="BJ6" s="10"/>
      <c r="BL6" s="23"/>
      <c r="BM6" s="20"/>
      <c r="BN6" s="20"/>
      <c r="BO6" s="20"/>
      <c r="BS6" s="23"/>
      <c r="BT6" s="20"/>
      <c r="BU6" s="20"/>
      <c r="BV6" s="20"/>
      <c r="BX6" s="10"/>
      <c r="BZ6" s="23"/>
      <c r="CA6" s="20"/>
      <c r="CB6" s="20"/>
      <c r="CC6" s="20"/>
      <c r="CE6" s="10"/>
      <c r="CG6" s="23"/>
      <c r="CH6" s="20"/>
      <c r="CI6" s="20"/>
      <c r="CJ6" s="20"/>
      <c r="CL6" s="10"/>
      <c r="CN6" s="23"/>
      <c r="CO6" s="20"/>
      <c r="CP6" s="20"/>
      <c r="CQ6" s="20"/>
      <c r="CS6" s="10"/>
      <c r="CU6" s="23"/>
      <c r="CV6" s="20"/>
      <c r="CW6" s="20"/>
      <c r="CX6" s="23"/>
      <c r="CZ6" s="10"/>
      <c r="DB6" s="23"/>
      <c r="DC6" s="23">
        <v>1</v>
      </c>
      <c r="DD6" s="20"/>
      <c r="DE6" s="23">
        <v>1</v>
      </c>
      <c r="DG6" s="10"/>
      <c r="DI6" s="23"/>
      <c r="DJ6" s="20"/>
      <c r="DK6" s="20"/>
      <c r="DL6" s="20"/>
      <c r="DN6" s="10"/>
      <c r="DP6" s="23"/>
      <c r="DQ6" s="20"/>
      <c r="DR6" s="20"/>
      <c r="DS6" s="20"/>
      <c r="DU6" s="10"/>
      <c r="DW6" s="23"/>
      <c r="DX6" s="20"/>
      <c r="DY6" s="20"/>
      <c r="DZ6" s="20"/>
    </row>
    <row r="7" spans="1:131" ht="15.75" customHeight="1" outlineLevel="1" x14ac:dyDescent="0.25">
      <c r="B7" s="6" t="s">
        <v>52</v>
      </c>
      <c r="C7" s="17" t="s">
        <v>51</v>
      </c>
      <c r="E7" s="19"/>
      <c r="F7" s="5" t="s">
        <v>55</v>
      </c>
      <c r="G7" s="23">
        <v>0.1</v>
      </c>
      <c r="I7" s="19">
        <f t="shared" si="0"/>
        <v>0</v>
      </c>
      <c r="J7" s="22">
        <f t="array" ref="J7">MAX(IF($N$3:$HA$3=$J$3,N7:HA7))</f>
        <v>0</v>
      </c>
      <c r="K7" s="22">
        <f t="array" ref="K7">MAX(IF($N$3:$HA$3=$J$3,N7:HA7))</f>
        <v>0</v>
      </c>
      <c r="L7" s="19"/>
      <c r="O7" s="23"/>
      <c r="P7" s="20"/>
      <c r="Q7" s="20"/>
      <c r="R7" s="20"/>
      <c r="V7" s="23"/>
      <c r="W7" s="20"/>
      <c r="X7" s="20"/>
      <c r="Y7" s="20"/>
      <c r="AC7" s="23"/>
      <c r="AD7" s="20"/>
      <c r="AE7" s="20"/>
      <c r="AF7" s="20"/>
      <c r="AJ7" s="23"/>
      <c r="AK7" s="20"/>
      <c r="AL7" s="20"/>
      <c r="AM7" s="20"/>
      <c r="AQ7" s="23"/>
      <c r="AR7" s="20"/>
      <c r="AS7" s="20"/>
      <c r="AT7" s="20"/>
      <c r="AX7" s="23"/>
      <c r="AY7" s="20"/>
      <c r="AZ7" s="20"/>
      <c r="BA7" s="20"/>
      <c r="BE7" s="23"/>
      <c r="BF7" s="20"/>
      <c r="BG7" s="20"/>
      <c r="BH7" s="20"/>
      <c r="BJ7" s="10"/>
      <c r="BL7" s="23"/>
      <c r="BM7" s="20"/>
      <c r="BN7" s="20"/>
      <c r="BO7" s="20"/>
      <c r="BS7" s="23"/>
      <c r="BT7" s="20"/>
      <c r="BU7" s="20"/>
      <c r="BV7" s="20"/>
      <c r="BX7" s="10"/>
      <c r="BZ7" s="23"/>
      <c r="CA7" s="20"/>
      <c r="CB7" s="20"/>
      <c r="CC7" s="20"/>
      <c r="CE7" s="10"/>
      <c r="CG7" s="23"/>
      <c r="CH7" s="20"/>
      <c r="CI7" s="20"/>
      <c r="CJ7" s="20"/>
      <c r="CL7" s="10"/>
      <c r="CN7" s="23"/>
      <c r="CO7" s="20"/>
      <c r="CP7" s="20"/>
      <c r="CQ7" s="20"/>
      <c r="CS7" s="10"/>
      <c r="CU7" s="23"/>
      <c r="CV7" s="20"/>
      <c r="CW7" s="20"/>
      <c r="CX7" s="23"/>
      <c r="CZ7" s="10"/>
      <c r="DB7" s="23"/>
      <c r="DC7" s="23">
        <v>1</v>
      </c>
      <c r="DD7" s="20"/>
      <c r="DE7" s="23">
        <v>1</v>
      </c>
      <c r="DG7" s="10"/>
      <c r="DI7" s="23"/>
      <c r="DJ7" s="20"/>
      <c r="DK7" s="20"/>
      <c r="DL7" s="20"/>
      <c r="DN7" s="10"/>
      <c r="DP7" s="23"/>
      <c r="DQ7" s="20"/>
      <c r="DR7" s="20"/>
      <c r="DS7" s="20"/>
      <c r="DU7" s="10"/>
      <c r="DW7" s="23"/>
      <c r="DX7" s="20"/>
      <c r="DY7" s="20"/>
      <c r="DZ7" s="20"/>
    </row>
    <row r="8" spans="1:131" ht="15.75" customHeight="1" outlineLevel="1" x14ac:dyDescent="0.25">
      <c r="B8" s="6" t="s">
        <v>52</v>
      </c>
      <c r="C8" s="17" t="s">
        <v>51</v>
      </c>
      <c r="E8" s="19"/>
      <c r="F8" s="5" t="s">
        <v>56</v>
      </c>
      <c r="G8" s="24">
        <v>0.125</v>
      </c>
      <c r="I8" s="19">
        <f t="shared" si="0"/>
        <v>0</v>
      </c>
      <c r="J8" s="22">
        <f t="array" ref="J8">MAX(IF($N$3:$HA$3=$J$3,N8:HA8))</f>
        <v>0</v>
      </c>
      <c r="K8" s="22">
        <f t="array" ref="K8">MAX(IF($N$3:$HA$3=$J$3,N8:HA8))</f>
        <v>0</v>
      </c>
      <c r="L8" s="19"/>
      <c r="O8" s="20"/>
      <c r="P8" s="20"/>
      <c r="Q8" s="20"/>
      <c r="R8" s="20"/>
      <c r="V8" s="20"/>
      <c r="W8" s="20"/>
      <c r="X8" s="20"/>
      <c r="Y8" s="20"/>
      <c r="AC8" s="20"/>
      <c r="AD8" s="20"/>
      <c r="AE8" s="20"/>
      <c r="AF8" s="20"/>
      <c r="AJ8" s="20"/>
      <c r="AK8" s="20"/>
      <c r="AL8" s="20"/>
      <c r="AM8" s="20"/>
      <c r="AQ8" s="20"/>
      <c r="AR8" s="20"/>
      <c r="AS8" s="20"/>
      <c r="AT8" s="20"/>
      <c r="AX8" s="20"/>
      <c r="AY8" s="20"/>
      <c r="AZ8" s="20"/>
      <c r="BA8" s="20"/>
      <c r="BE8" s="20"/>
      <c r="BF8" s="20"/>
      <c r="BG8" s="20"/>
      <c r="BH8" s="20"/>
      <c r="BJ8" s="10"/>
      <c r="BL8" s="20"/>
      <c r="BM8" s="20"/>
      <c r="BN8" s="20"/>
      <c r="BO8" s="20"/>
      <c r="BS8" s="20"/>
      <c r="BT8" s="20"/>
      <c r="BU8" s="20"/>
      <c r="BV8" s="20"/>
      <c r="BX8" s="10"/>
      <c r="BZ8" s="20"/>
      <c r="CA8" s="20"/>
      <c r="CB8" s="20"/>
      <c r="CC8" s="20"/>
      <c r="CE8" s="10"/>
      <c r="CG8" s="20"/>
      <c r="CH8" s="20"/>
      <c r="CI8" s="20"/>
      <c r="CJ8" s="20"/>
      <c r="CL8" s="10"/>
      <c r="CN8" s="20"/>
      <c r="CO8" s="20"/>
      <c r="CP8" s="20"/>
      <c r="CQ8" s="20"/>
      <c r="CS8" s="10"/>
      <c r="CU8" s="20"/>
      <c r="CV8" s="20"/>
      <c r="CW8" s="20"/>
      <c r="CX8" s="23"/>
      <c r="CZ8" s="10"/>
      <c r="DB8" s="20"/>
      <c r="DC8" s="23">
        <v>1</v>
      </c>
      <c r="DD8" s="20"/>
      <c r="DE8" s="23">
        <v>1</v>
      </c>
      <c r="DG8" s="10"/>
      <c r="DI8" s="20"/>
      <c r="DJ8" s="20"/>
      <c r="DK8" s="20"/>
      <c r="DL8" s="20"/>
      <c r="DN8" s="10"/>
      <c r="DP8" s="20"/>
      <c r="DQ8" s="20"/>
      <c r="DR8" s="20"/>
      <c r="DS8" s="20"/>
      <c r="DU8" s="10"/>
      <c r="DW8" s="20"/>
      <c r="DX8" s="20"/>
      <c r="DY8" s="20"/>
      <c r="DZ8" s="20"/>
    </row>
    <row r="9" spans="1:131" ht="15.75" customHeight="1" outlineLevel="1" x14ac:dyDescent="0.25">
      <c r="B9" s="6" t="s">
        <v>52</v>
      </c>
      <c r="C9" s="17" t="s">
        <v>51</v>
      </c>
      <c r="E9" s="19"/>
      <c r="F9" s="5" t="s">
        <v>57</v>
      </c>
      <c r="G9" s="24">
        <v>0.125</v>
      </c>
      <c r="I9" s="19">
        <f t="shared" si="0"/>
        <v>0</v>
      </c>
      <c r="J9" s="22">
        <f t="array" ref="J9">MAX(IF($N$3:$HA$3=$J$3,N9:HA9))</f>
        <v>0</v>
      </c>
      <c r="K9" s="22">
        <f t="array" ref="K9">MAX(IF($N$3:$HA$3=$J$3,N9:HA9))</f>
        <v>0</v>
      </c>
      <c r="L9" s="19"/>
      <c r="O9" s="20"/>
      <c r="P9" s="20"/>
      <c r="Q9" s="20"/>
      <c r="R9" s="20"/>
      <c r="V9" s="20"/>
      <c r="W9" s="20"/>
      <c r="X9" s="20"/>
      <c r="Y9" s="20"/>
      <c r="AC9" s="20"/>
      <c r="AD9" s="20"/>
      <c r="AE9" s="20"/>
      <c r="AF9" s="20"/>
      <c r="AJ9" s="20"/>
      <c r="AK9" s="20"/>
      <c r="AL9" s="20"/>
      <c r="AM9" s="20"/>
      <c r="AQ9" s="20"/>
      <c r="AR9" s="20"/>
      <c r="AS9" s="20"/>
      <c r="AT9" s="20"/>
      <c r="AX9" s="20"/>
      <c r="AY9" s="20"/>
      <c r="AZ9" s="20"/>
      <c r="BA9" s="20"/>
      <c r="BE9" s="20"/>
      <c r="BF9" s="20"/>
      <c r="BG9" s="20"/>
      <c r="BH9" s="20"/>
      <c r="BJ9" s="10"/>
      <c r="BL9" s="20"/>
      <c r="BM9" s="20"/>
      <c r="BN9" s="20"/>
      <c r="BO9" s="20"/>
      <c r="BS9" s="20"/>
      <c r="BT9" s="20"/>
      <c r="BU9" s="20"/>
      <c r="BV9" s="20"/>
      <c r="BX9" s="10"/>
      <c r="BZ9" s="20"/>
      <c r="CA9" s="20"/>
      <c r="CB9" s="20"/>
      <c r="CC9" s="20"/>
      <c r="CE9" s="10"/>
      <c r="CG9" s="20"/>
      <c r="CH9" s="20"/>
      <c r="CI9" s="20"/>
      <c r="CJ9" s="20"/>
      <c r="CL9" s="10"/>
      <c r="CN9" s="20"/>
      <c r="CO9" s="20"/>
      <c r="CP9" s="20"/>
      <c r="CQ9" s="20"/>
      <c r="CS9" s="10"/>
      <c r="CU9" s="20"/>
      <c r="CV9" s="20"/>
      <c r="CW9" s="20"/>
      <c r="CX9" s="23"/>
      <c r="CZ9" s="10"/>
      <c r="DB9" s="20"/>
      <c r="DC9" s="23">
        <v>1</v>
      </c>
      <c r="DD9" s="20"/>
      <c r="DE9" s="23">
        <v>1</v>
      </c>
      <c r="DG9" s="10"/>
      <c r="DI9" s="20"/>
      <c r="DJ9" s="20"/>
      <c r="DK9" s="20"/>
      <c r="DL9" s="20"/>
      <c r="DN9" s="10"/>
      <c r="DP9" s="20"/>
      <c r="DQ9" s="20"/>
      <c r="DR9" s="20"/>
      <c r="DS9" s="20"/>
      <c r="DU9" s="10"/>
      <c r="DW9" s="20"/>
      <c r="DX9" s="20"/>
      <c r="DY9" s="20"/>
      <c r="DZ9" s="20"/>
    </row>
    <row r="10" spans="1:131" ht="15.75" customHeight="1" outlineLevel="1" x14ac:dyDescent="0.25">
      <c r="B10" s="6" t="s">
        <v>52</v>
      </c>
      <c r="C10" s="17" t="s">
        <v>51</v>
      </c>
      <c r="E10" s="19"/>
      <c r="F10" s="5" t="s">
        <v>58</v>
      </c>
      <c r="G10" s="23">
        <v>0.15</v>
      </c>
      <c r="I10" s="19">
        <f t="shared" si="0"/>
        <v>0</v>
      </c>
      <c r="J10" s="22">
        <f t="array" ref="J10">MAX(IF($N$3:$HA$3=$J$3,N10:HA10))</f>
        <v>0</v>
      </c>
      <c r="K10" s="22">
        <f t="array" ref="K10">MAX(IF($N$3:$HA$3=$J$3,N10:HA10))</f>
        <v>0</v>
      </c>
      <c r="L10" s="19"/>
      <c r="O10" s="20"/>
      <c r="P10" s="20"/>
      <c r="Q10" s="20"/>
      <c r="R10" s="20"/>
      <c r="V10" s="20"/>
      <c r="W10" s="20"/>
      <c r="X10" s="20"/>
      <c r="Y10" s="20"/>
      <c r="AC10" s="20"/>
      <c r="AD10" s="20"/>
      <c r="AE10" s="20"/>
      <c r="AF10" s="20"/>
      <c r="AJ10" s="20"/>
      <c r="AK10" s="20"/>
      <c r="AL10" s="20"/>
      <c r="AM10" s="20"/>
      <c r="AQ10" s="20"/>
      <c r="AR10" s="20"/>
      <c r="AS10" s="20"/>
      <c r="AT10" s="20"/>
      <c r="AX10" s="20"/>
      <c r="AY10" s="20"/>
      <c r="AZ10" s="20"/>
      <c r="BA10" s="20"/>
      <c r="BE10" s="20"/>
      <c r="BF10" s="20"/>
      <c r="BG10" s="20"/>
      <c r="BH10" s="20"/>
      <c r="BJ10" s="10"/>
      <c r="BL10" s="20"/>
      <c r="BM10" s="20"/>
      <c r="BN10" s="20"/>
      <c r="BO10" s="20"/>
      <c r="BS10" s="20"/>
      <c r="BT10" s="20"/>
      <c r="BU10" s="20"/>
      <c r="BV10" s="20"/>
      <c r="BX10" s="10"/>
      <c r="BZ10" s="20"/>
      <c r="CA10" s="20"/>
      <c r="CB10" s="20"/>
      <c r="CC10" s="20"/>
      <c r="CE10" s="10"/>
      <c r="CG10" s="20"/>
      <c r="CH10" s="20"/>
      <c r="CI10" s="20"/>
      <c r="CJ10" s="20"/>
      <c r="CL10" s="10"/>
      <c r="CN10" s="20"/>
      <c r="CO10" s="20"/>
      <c r="CP10" s="20"/>
      <c r="CQ10" s="20"/>
      <c r="CS10" s="10"/>
      <c r="CU10" s="20"/>
      <c r="CV10" s="20"/>
      <c r="CW10" s="20"/>
      <c r="CX10" s="23"/>
      <c r="CZ10" s="10"/>
      <c r="DB10" s="20"/>
      <c r="DC10" s="23">
        <v>1</v>
      </c>
      <c r="DD10" s="20"/>
      <c r="DE10" s="23">
        <v>1</v>
      </c>
      <c r="DG10" s="10"/>
      <c r="DI10" s="20"/>
      <c r="DJ10" s="20"/>
      <c r="DK10" s="20"/>
      <c r="DL10" s="20"/>
      <c r="DN10" s="10"/>
      <c r="DP10" s="20"/>
      <c r="DQ10" s="20"/>
      <c r="DR10" s="20"/>
      <c r="DS10" s="20"/>
      <c r="DU10" s="10"/>
      <c r="DW10" s="20"/>
      <c r="DX10" s="20"/>
      <c r="DY10" s="20"/>
      <c r="DZ10" s="20"/>
    </row>
    <row r="11" spans="1:131" ht="15.75" customHeight="1" outlineLevel="1" x14ac:dyDescent="0.25">
      <c r="B11" s="6" t="s">
        <v>52</v>
      </c>
      <c r="C11" s="17" t="s">
        <v>51</v>
      </c>
      <c r="E11" s="19"/>
      <c r="F11" s="5" t="s">
        <v>59</v>
      </c>
      <c r="G11" s="23">
        <v>0.15</v>
      </c>
      <c r="I11" s="19">
        <f t="shared" si="0"/>
        <v>0</v>
      </c>
      <c r="J11" s="22">
        <f t="array" ref="J11">MAX(IF($N$3:$HA$3=$J$3,N11:HA11))</f>
        <v>0</v>
      </c>
      <c r="K11" s="22">
        <f t="array" ref="K11">MAX(IF($N$3:$HA$3=$J$3,N11:HA11))</f>
        <v>0</v>
      </c>
      <c r="L11" s="19"/>
      <c r="O11" s="20"/>
      <c r="P11" s="20"/>
      <c r="Q11" s="20"/>
      <c r="R11" s="20"/>
      <c r="V11" s="20"/>
      <c r="W11" s="20"/>
      <c r="X11" s="20"/>
      <c r="Y11" s="20"/>
      <c r="AC11" s="20"/>
      <c r="AD11" s="20"/>
      <c r="AE11" s="20"/>
      <c r="AF11" s="20"/>
      <c r="AJ11" s="20"/>
      <c r="AK11" s="20"/>
      <c r="AL11" s="20"/>
      <c r="AM11" s="20"/>
      <c r="AQ11" s="20"/>
      <c r="AR11" s="20"/>
      <c r="AS11" s="20"/>
      <c r="AT11" s="20"/>
      <c r="AX11" s="20"/>
      <c r="AY11" s="20"/>
      <c r="AZ11" s="20"/>
      <c r="BA11" s="20"/>
      <c r="BE11" s="20"/>
      <c r="BF11" s="20"/>
      <c r="BG11" s="20"/>
      <c r="BH11" s="20"/>
      <c r="BJ11" s="10"/>
      <c r="BL11" s="20"/>
      <c r="BM11" s="20"/>
      <c r="BN11" s="20"/>
      <c r="BO11" s="20"/>
      <c r="BS11" s="20"/>
      <c r="BT11" s="20"/>
      <c r="BU11" s="20"/>
      <c r="BV11" s="20"/>
      <c r="BX11" s="10"/>
      <c r="BZ11" s="20"/>
      <c r="CA11" s="20"/>
      <c r="CB11" s="20"/>
      <c r="CC11" s="20"/>
      <c r="CE11" s="10"/>
      <c r="CG11" s="20"/>
      <c r="CH11" s="20"/>
      <c r="CI11" s="20"/>
      <c r="CJ11" s="20"/>
      <c r="CL11" s="10"/>
      <c r="CN11" s="20"/>
      <c r="CO11" s="20"/>
      <c r="CP11" s="20"/>
      <c r="CQ11" s="20"/>
      <c r="CS11" s="10"/>
      <c r="CU11" s="20"/>
      <c r="CV11" s="20"/>
      <c r="CW11" s="20"/>
      <c r="CX11" s="23"/>
      <c r="CZ11" s="10"/>
      <c r="DB11" s="20"/>
      <c r="DC11" s="23">
        <v>1</v>
      </c>
      <c r="DD11" s="20"/>
      <c r="DE11" s="23">
        <v>1</v>
      </c>
      <c r="DG11" s="10"/>
      <c r="DI11" s="20"/>
      <c r="DJ11" s="20"/>
      <c r="DK11" s="20"/>
      <c r="DL11" s="20"/>
      <c r="DN11" s="10"/>
      <c r="DP11" s="20"/>
      <c r="DQ11" s="20"/>
      <c r="DR11" s="20"/>
      <c r="DS11" s="20"/>
      <c r="DU11" s="10"/>
      <c r="DW11" s="20"/>
      <c r="DX11" s="20"/>
      <c r="DY11" s="20"/>
      <c r="DZ11" s="20"/>
    </row>
    <row r="12" spans="1:131" ht="15.75" customHeight="1" outlineLevel="1" x14ac:dyDescent="0.25">
      <c r="B12" s="6" t="s">
        <v>52</v>
      </c>
      <c r="C12" s="17" t="s">
        <v>51</v>
      </c>
      <c r="E12" s="19"/>
      <c r="F12" s="5" t="s">
        <v>60</v>
      </c>
      <c r="G12" s="23">
        <v>0.15</v>
      </c>
      <c r="I12" s="19">
        <f t="shared" si="0"/>
        <v>0</v>
      </c>
      <c r="J12" s="22">
        <f t="array" ref="J12">MAX(IF($N$3:$HA$3=$J$3,N12:HA12))</f>
        <v>0</v>
      </c>
      <c r="K12" s="22">
        <f t="array" ref="K12">MAX(IF($N$3:$HA$3=$J$3,N12:HA12))</f>
        <v>0</v>
      </c>
      <c r="L12" s="19"/>
      <c r="O12" s="20"/>
      <c r="P12" s="20"/>
      <c r="Q12" s="20"/>
      <c r="R12" s="20"/>
      <c r="V12" s="20"/>
      <c r="W12" s="20"/>
      <c r="X12" s="20"/>
      <c r="Y12" s="20"/>
      <c r="AC12" s="20"/>
      <c r="AD12" s="20"/>
      <c r="AE12" s="20"/>
      <c r="AF12" s="20"/>
      <c r="AJ12" s="20"/>
      <c r="AK12" s="20"/>
      <c r="AL12" s="20"/>
      <c r="AM12" s="20"/>
      <c r="AQ12" s="20"/>
      <c r="AR12" s="20"/>
      <c r="AS12" s="20"/>
      <c r="AT12" s="20"/>
      <c r="AX12" s="20"/>
      <c r="AY12" s="20"/>
      <c r="AZ12" s="20"/>
      <c r="BA12" s="20"/>
      <c r="BE12" s="20"/>
      <c r="BF12" s="20"/>
      <c r="BG12" s="20"/>
      <c r="BH12" s="20"/>
      <c r="BJ12" s="10"/>
      <c r="BL12" s="20"/>
      <c r="BM12" s="20"/>
      <c r="BN12" s="20"/>
      <c r="BO12" s="20"/>
      <c r="BS12" s="20"/>
      <c r="BT12" s="20"/>
      <c r="BU12" s="20"/>
      <c r="BV12" s="20"/>
      <c r="BX12" s="10"/>
      <c r="BZ12" s="20"/>
      <c r="CA12" s="20"/>
      <c r="CB12" s="20"/>
      <c r="CC12" s="20"/>
      <c r="CE12" s="10"/>
      <c r="CG12" s="20"/>
      <c r="CH12" s="20"/>
      <c r="CI12" s="20"/>
      <c r="CJ12" s="20"/>
      <c r="CL12" s="10"/>
      <c r="CN12" s="20"/>
      <c r="CO12" s="20"/>
      <c r="CP12" s="20"/>
      <c r="CQ12" s="20"/>
      <c r="CS12" s="10"/>
      <c r="CU12" s="20"/>
      <c r="CV12" s="20"/>
      <c r="CW12" s="20"/>
      <c r="CX12" s="23"/>
      <c r="CZ12" s="10"/>
      <c r="DB12" s="20"/>
      <c r="DC12" s="23">
        <v>1</v>
      </c>
      <c r="DD12" s="20"/>
      <c r="DE12" s="23">
        <v>1</v>
      </c>
      <c r="DG12" s="10"/>
      <c r="DI12" s="20"/>
      <c r="DJ12" s="20"/>
      <c r="DK12" s="20"/>
      <c r="DL12" s="20"/>
      <c r="DN12" s="10"/>
      <c r="DP12" s="20"/>
      <c r="DQ12" s="20"/>
      <c r="DR12" s="20"/>
      <c r="DS12" s="20"/>
      <c r="DU12" s="10"/>
      <c r="DW12" s="20"/>
      <c r="DX12" s="20"/>
      <c r="DY12" s="20"/>
      <c r="DZ12" s="20"/>
    </row>
    <row r="13" spans="1:131" ht="15.75" customHeight="1" x14ac:dyDescent="0.25">
      <c r="C13" s="8"/>
      <c r="O13" s="1"/>
      <c r="V13" s="1"/>
      <c r="AC13" s="1"/>
      <c r="AJ13" s="1"/>
      <c r="AQ13" s="1"/>
      <c r="AX13" s="1"/>
      <c r="BE13" s="1"/>
      <c r="BJ13" s="10"/>
      <c r="BL13" s="1"/>
      <c r="BS13" s="1"/>
      <c r="BX13" s="10"/>
      <c r="BZ13" s="1"/>
      <c r="CE13" s="10"/>
      <c r="CG13" s="1"/>
      <c r="CL13" s="10"/>
      <c r="CN13" s="1"/>
      <c r="CS13" s="10"/>
      <c r="CU13" s="1"/>
      <c r="CZ13" s="10"/>
      <c r="DB13" s="1"/>
      <c r="DG13" s="10"/>
      <c r="DI13" s="1"/>
      <c r="DN13" s="10"/>
      <c r="DP13" s="1"/>
      <c r="DU13" s="10"/>
      <c r="DW13" s="1"/>
    </row>
    <row r="14" spans="1:131" ht="15.75" customHeight="1" x14ac:dyDescent="0.25">
      <c r="B14" s="6" t="s">
        <v>22</v>
      </c>
      <c r="C14" s="17" t="s">
        <v>61</v>
      </c>
      <c r="D14" s="18">
        <v>44858</v>
      </c>
      <c r="E14" s="25">
        <v>3</v>
      </c>
      <c r="G14" s="20">
        <f>+SUM(G15:G20)</f>
        <v>1</v>
      </c>
      <c r="I14" s="21">
        <f>+SUM(I15:I20)</f>
        <v>0</v>
      </c>
      <c r="J14" s="22">
        <f>+SUMPRODUCT(G15:G20,J15:J20)</f>
        <v>0</v>
      </c>
      <c r="K14" s="22">
        <f>+SUMPRODUCT(G15:G20,K15:K20)</f>
        <v>0</v>
      </c>
      <c r="L14" s="19"/>
      <c r="N14" s="21"/>
      <c r="U14" s="21"/>
      <c r="AB14" s="21"/>
      <c r="AI14" s="21"/>
      <c r="AP14" s="21"/>
      <c r="AW14" s="21"/>
      <c r="BD14" s="21"/>
      <c r="BJ14" s="10"/>
      <c r="BK14" s="21"/>
      <c r="BR14" s="21"/>
      <c r="BX14" s="10"/>
      <c r="BY14" s="21"/>
      <c r="CE14" s="10"/>
      <c r="CF14" s="21"/>
      <c r="CL14" s="10"/>
      <c r="CM14" s="21"/>
      <c r="CS14" s="10"/>
      <c r="CT14" s="21"/>
      <c r="CZ14" s="10"/>
      <c r="DA14" s="21"/>
      <c r="DG14" s="10"/>
      <c r="DH14" s="21"/>
      <c r="DN14" s="10"/>
      <c r="DO14" s="21"/>
      <c r="DU14" s="10"/>
      <c r="DV14" s="21"/>
    </row>
    <row r="15" spans="1:131" ht="15.75" customHeight="1" outlineLevel="1" x14ac:dyDescent="0.25">
      <c r="B15" s="6" t="s">
        <v>52</v>
      </c>
      <c r="C15" s="17" t="s">
        <v>62</v>
      </c>
      <c r="E15" s="19"/>
      <c r="F15" s="5" t="s">
        <v>63</v>
      </c>
      <c r="G15" s="23">
        <v>0.1</v>
      </c>
      <c r="I15" s="19">
        <f t="shared" ref="I15:I20" si="1">+SUMIF($N$3:$ACS$3,I$3,$N15:$ACS15)</f>
        <v>0</v>
      </c>
      <c r="J15" s="22">
        <f t="array" ref="J15">MAX(IF($N$3:$HA$3=$J$3,N15:HA15))</f>
        <v>0</v>
      </c>
      <c r="K15" s="22">
        <f t="array" ref="K15">MAX(IF($N$3:$HA$3=$J$3,N15:HA15))</f>
        <v>0</v>
      </c>
      <c r="L15" s="19"/>
      <c r="O15" s="20"/>
      <c r="P15" s="20"/>
      <c r="Q15" s="20"/>
      <c r="R15" s="20"/>
      <c r="V15" s="20"/>
      <c r="W15" s="20"/>
      <c r="X15" s="20"/>
      <c r="Y15" s="23">
        <v>0.5</v>
      </c>
      <c r="Z15" s="5" t="s">
        <v>64</v>
      </c>
      <c r="AC15" s="20"/>
      <c r="AD15" s="20"/>
      <c r="AE15" s="20"/>
      <c r="AF15" s="23">
        <v>0.8</v>
      </c>
      <c r="AG15" s="5" t="s">
        <v>65</v>
      </c>
      <c r="AJ15" s="20"/>
      <c r="AK15" s="20"/>
      <c r="AL15" s="20"/>
      <c r="AM15" s="23">
        <v>0.8</v>
      </c>
      <c r="AN15" s="5" t="s">
        <v>64</v>
      </c>
      <c r="AQ15" s="20"/>
      <c r="AR15" s="20"/>
      <c r="AS15" s="20"/>
      <c r="AT15" s="23">
        <v>1</v>
      </c>
      <c r="AX15" s="20"/>
      <c r="AY15" s="23"/>
      <c r="AZ15" s="20"/>
      <c r="BA15" s="23">
        <v>1</v>
      </c>
      <c r="BE15" s="20"/>
      <c r="BF15" s="23">
        <v>1</v>
      </c>
      <c r="BG15" s="20"/>
      <c r="BH15" s="23">
        <v>1</v>
      </c>
      <c r="BJ15" s="10"/>
      <c r="BL15" s="20"/>
      <c r="BM15" s="20"/>
      <c r="BN15" s="20"/>
      <c r="BO15" s="20"/>
      <c r="BS15" s="20"/>
      <c r="BT15" s="20"/>
      <c r="BU15" s="20"/>
      <c r="BV15" s="20"/>
      <c r="BX15" s="10"/>
      <c r="BZ15" s="20"/>
      <c r="CA15" s="20"/>
      <c r="CB15" s="20"/>
      <c r="CC15" s="20"/>
      <c r="CE15" s="10"/>
      <c r="CG15" s="20"/>
      <c r="CH15" s="20"/>
      <c r="CI15" s="20"/>
      <c r="CJ15" s="20"/>
      <c r="CL15" s="10"/>
      <c r="CN15" s="20"/>
      <c r="CO15" s="20"/>
      <c r="CP15" s="20"/>
      <c r="CQ15" s="20"/>
      <c r="CS15" s="10"/>
      <c r="CU15" s="20"/>
      <c r="CV15" s="20"/>
      <c r="CW15" s="20"/>
      <c r="CX15" s="20"/>
      <c r="CZ15" s="10"/>
      <c r="DB15" s="20"/>
      <c r="DC15" s="20"/>
      <c r="DD15" s="20"/>
      <c r="DE15" s="20"/>
      <c r="DG15" s="10"/>
      <c r="DI15" s="20"/>
      <c r="DJ15" s="20"/>
      <c r="DK15" s="20"/>
      <c r="DL15" s="20"/>
      <c r="DN15" s="10"/>
      <c r="DP15" s="20"/>
      <c r="DQ15" s="20"/>
      <c r="DR15" s="20"/>
      <c r="DS15" s="20"/>
      <c r="DU15" s="10"/>
      <c r="DW15" s="20"/>
      <c r="DX15" s="20"/>
      <c r="DY15" s="20"/>
      <c r="DZ15" s="20"/>
    </row>
    <row r="16" spans="1:131" ht="15.75" customHeight="1" outlineLevel="1" x14ac:dyDescent="0.25">
      <c r="B16" s="6" t="s">
        <v>52</v>
      </c>
      <c r="C16" s="17" t="s">
        <v>62</v>
      </c>
      <c r="E16" s="19"/>
      <c r="F16" s="5" t="s">
        <v>66</v>
      </c>
      <c r="G16" s="23">
        <v>0.1</v>
      </c>
      <c r="I16" s="19">
        <f t="shared" si="1"/>
        <v>0</v>
      </c>
      <c r="J16" s="22">
        <f t="array" ref="J16">MAX(IF($N$3:$HA$3=$J$3,N16:HA16))</f>
        <v>0</v>
      </c>
      <c r="K16" s="22">
        <f t="array" ref="K16">MAX(IF($N$3:$HA$3=$J$3,N16:HA16))</f>
        <v>0</v>
      </c>
      <c r="L16" s="19"/>
      <c r="O16" s="20"/>
      <c r="P16" s="20"/>
      <c r="Q16" s="20"/>
      <c r="R16" s="23"/>
      <c r="V16" s="20"/>
      <c r="W16" s="20"/>
      <c r="X16" s="20"/>
      <c r="Y16" s="23">
        <v>0.5</v>
      </c>
      <c r="AC16" s="20"/>
      <c r="AD16" s="20"/>
      <c r="AE16" s="20"/>
      <c r="AF16" s="23">
        <v>0.8</v>
      </c>
      <c r="AJ16" s="20"/>
      <c r="AK16" s="20"/>
      <c r="AL16" s="20"/>
      <c r="AM16" s="23">
        <v>0.8</v>
      </c>
      <c r="AQ16" s="20"/>
      <c r="AR16" s="20"/>
      <c r="AS16" s="20"/>
      <c r="AT16" s="23">
        <v>1</v>
      </c>
      <c r="AU16" s="5" t="s">
        <v>67</v>
      </c>
      <c r="AX16" s="20"/>
      <c r="AY16" s="23"/>
      <c r="AZ16" s="20"/>
      <c r="BA16" s="23">
        <v>1</v>
      </c>
      <c r="BE16" s="20"/>
      <c r="BF16" s="23">
        <v>1</v>
      </c>
      <c r="BG16" s="20"/>
      <c r="BH16" s="23">
        <v>1</v>
      </c>
      <c r="BJ16" s="10"/>
      <c r="BL16" s="20"/>
      <c r="BM16" s="20"/>
      <c r="BN16" s="20"/>
      <c r="BO16" s="23"/>
      <c r="BS16" s="20"/>
      <c r="BT16" s="20"/>
      <c r="BU16" s="20"/>
      <c r="BV16" s="23"/>
      <c r="BX16" s="10"/>
      <c r="BZ16" s="20"/>
      <c r="CA16" s="20"/>
      <c r="CB16" s="20"/>
      <c r="CC16" s="23"/>
      <c r="CE16" s="10"/>
      <c r="CG16" s="20"/>
      <c r="CH16" s="20"/>
      <c r="CI16" s="20"/>
      <c r="CJ16" s="23"/>
      <c r="CL16" s="10"/>
      <c r="CN16" s="20"/>
      <c r="CO16" s="20"/>
      <c r="CP16" s="20"/>
      <c r="CQ16" s="23"/>
      <c r="CS16" s="10"/>
      <c r="CU16" s="20"/>
      <c r="CV16" s="20"/>
      <c r="CW16" s="20"/>
      <c r="CX16" s="23"/>
      <c r="CZ16" s="10"/>
      <c r="DB16" s="20"/>
      <c r="DC16" s="20"/>
      <c r="DD16" s="20"/>
      <c r="DE16" s="23"/>
      <c r="DG16" s="10"/>
      <c r="DI16" s="20"/>
      <c r="DJ16" s="20"/>
      <c r="DK16" s="20"/>
      <c r="DL16" s="23"/>
      <c r="DN16" s="10"/>
      <c r="DP16" s="20"/>
      <c r="DQ16" s="20"/>
      <c r="DR16" s="20"/>
      <c r="DS16" s="23"/>
      <c r="DU16" s="10"/>
      <c r="DW16" s="20"/>
      <c r="DX16" s="20"/>
      <c r="DY16" s="20"/>
      <c r="DZ16" s="23"/>
    </row>
    <row r="17" spans="2:130" ht="15.75" customHeight="1" outlineLevel="1" x14ac:dyDescent="0.25">
      <c r="B17" s="6" t="s">
        <v>52</v>
      </c>
      <c r="C17" s="17" t="s">
        <v>62</v>
      </c>
      <c r="E17" s="19"/>
      <c r="F17" s="5" t="s">
        <v>68</v>
      </c>
      <c r="G17" s="23">
        <v>0.2</v>
      </c>
      <c r="I17" s="19">
        <f t="shared" si="1"/>
        <v>0</v>
      </c>
      <c r="J17" s="22">
        <f t="array" ref="J17">MAX(IF($N$3:$HA$3=$J$3,N17:HA17))</f>
        <v>0</v>
      </c>
      <c r="K17" s="22">
        <f t="array" ref="K17">MAX(IF($N$3:$HA$3=$J$3,N17:HA17))</f>
        <v>0</v>
      </c>
      <c r="L17" s="19"/>
      <c r="O17" s="20"/>
      <c r="P17" s="20"/>
      <c r="Q17" s="20"/>
      <c r="R17" s="20"/>
      <c r="V17" s="20"/>
      <c r="W17" s="20"/>
      <c r="X17" s="20"/>
      <c r="Y17" s="23">
        <v>0</v>
      </c>
      <c r="AC17" s="20"/>
      <c r="AD17" s="20"/>
      <c r="AE17" s="20"/>
      <c r="AF17" s="23">
        <v>0.5</v>
      </c>
      <c r="AJ17" s="20"/>
      <c r="AK17" s="20"/>
      <c r="AL17" s="20"/>
      <c r="AM17" s="23">
        <v>0.8</v>
      </c>
      <c r="AQ17" s="20"/>
      <c r="AR17" s="20"/>
      <c r="AS17" s="20"/>
      <c r="AT17" s="23">
        <v>0.8</v>
      </c>
      <c r="AX17" s="20"/>
      <c r="AY17" s="23"/>
      <c r="AZ17" s="20"/>
      <c r="BA17" s="23">
        <v>1</v>
      </c>
      <c r="BE17" s="20"/>
      <c r="BF17" s="23">
        <v>1</v>
      </c>
      <c r="BG17" s="20"/>
      <c r="BH17" s="23">
        <v>1</v>
      </c>
      <c r="BJ17" s="10"/>
      <c r="BL17" s="20"/>
      <c r="BM17" s="20"/>
      <c r="BN17" s="20"/>
      <c r="BO17" s="20"/>
      <c r="BS17" s="20"/>
      <c r="BT17" s="20"/>
      <c r="BU17" s="20"/>
      <c r="BV17" s="20"/>
      <c r="BX17" s="10"/>
      <c r="BZ17" s="20"/>
      <c r="CA17" s="20"/>
      <c r="CB17" s="20"/>
      <c r="CC17" s="20"/>
      <c r="CE17" s="10"/>
      <c r="CG17" s="20"/>
      <c r="CH17" s="20"/>
      <c r="CI17" s="20"/>
      <c r="CJ17" s="20"/>
      <c r="CL17" s="10"/>
      <c r="CN17" s="20"/>
      <c r="CO17" s="20"/>
      <c r="CP17" s="20"/>
      <c r="CQ17" s="20"/>
      <c r="CS17" s="10"/>
      <c r="CU17" s="20"/>
      <c r="CV17" s="20"/>
      <c r="CW17" s="20"/>
      <c r="CX17" s="20"/>
      <c r="CZ17" s="10"/>
      <c r="DB17" s="20"/>
      <c r="DC17" s="20"/>
      <c r="DD17" s="20"/>
      <c r="DE17" s="20"/>
      <c r="DG17" s="10"/>
      <c r="DI17" s="20"/>
      <c r="DJ17" s="20"/>
      <c r="DK17" s="20"/>
      <c r="DL17" s="20"/>
      <c r="DN17" s="10"/>
      <c r="DP17" s="20"/>
      <c r="DQ17" s="20"/>
      <c r="DR17" s="20"/>
      <c r="DS17" s="20"/>
      <c r="DU17" s="10"/>
      <c r="DW17" s="20"/>
      <c r="DX17" s="20"/>
      <c r="DY17" s="20"/>
      <c r="DZ17" s="20"/>
    </row>
    <row r="18" spans="2:130" ht="15.75" customHeight="1" outlineLevel="1" x14ac:dyDescent="0.25">
      <c r="B18" s="6" t="s">
        <v>52</v>
      </c>
      <c r="C18" s="17" t="s">
        <v>62</v>
      </c>
      <c r="E18" s="19"/>
      <c r="F18" s="5" t="s">
        <v>69</v>
      </c>
      <c r="G18" s="23">
        <v>0.2</v>
      </c>
      <c r="I18" s="19">
        <f t="shared" si="1"/>
        <v>0</v>
      </c>
      <c r="J18" s="22">
        <f t="array" ref="J18">MAX(IF($N$3:$HA$3=$J$3,N18:HA18))</f>
        <v>0</v>
      </c>
      <c r="K18" s="22">
        <f t="array" ref="K18">MAX(IF($N$3:$HA$3=$J$3,N18:HA18))</f>
        <v>0</v>
      </c>
      <c r="L18" s="19"/>
      <c r="O18" s="20"/>
      <c r="P18" s="23"/>
      <c r="Q18" s="20"/>
      <c r="R18" s="20"/>
      <c r="V18" s="20"/>
      <c r="W18" s="23"/>
      <c r="X18" s="20"/>
      <c r="Y18" s="23">
        <v>0</v>
      </c>
      <c r="AC18" s="20"/>
      <c r="AD18" s="23"/>
      <c r="AE18" s="20"/>
      <c r="AF18" s="23">
        <v>0</v>
      </c>
      <c r="AJ18" s="20"/>
      <c r="AK18" s="23"/>
      <c r="AL18" s="20"/>
      <c r="AM18" s="23">
        <v>0.5</v>
      </c>
      <c r="AQ18" s="20"/>
      <c r="AR18" s="23"/>
      <c r="AS18" s="20"/>
      <c r="AT18" s="23">
        <v>0.8</v>
      </c>
      <c r="AX18" s="20"/>
      <c r="AY18" s="23"/>
      <c r="AZ18" s="20"/>
      <c r="BA18" s="23">
        <v>0.8</v>
      </c>
      <c r="BE18" s="20"/>
      <c r="BF18" s="23">
        <v>1</v>
      </c>
      <c r="BG18" s="20"/>
      <c r="BH18" s="23">
        <v>1</v>
      </c>
      <c r="BJ18" s="10"/>
      <c r="BL18" s="20"/>
      <c r="BM18" s="23"/>
      <c r="BN18" s="20"/>
      <c r="BO18" s="20"/>
      <c r="BS18" s="20"/>
      <c r="BT18" s="23"/>
      <c r="BU18" s="20"/>
      <c r="BV18" s="20"/>
      <c r="BX18" s="10"/>
      <c r="BZ18" s="20"/>
      <c r="CA18" s="23"/>
      <c r="CB18" s="20"/>
      <c r="CC18" s="20"/>
      <c r="CE18" s="10"/>
      <c r="CG18" s="20"/>
      <c r="CH18" s="23"/>
      <c r="CI18" s="20"/>
      <c r="CJ18" s="20"/>
      <c r="CL18" s="10"/>
      <c r="CN18" s="20"/>
      <c r="CO18" s="23"/>
      <c r="CP18" s="20"/>
      <c r="CQ18" s="20"/>
      <c r="CS18" s="10"/>
      <c r="CU18" s="20"/>
      <c r="CV18" s="23"/>
      <c r="CW18" s="20"/>
      <c r="CX18" s="20"/>
      <c r="CZ18" s="10"/>
      <c r="DB18" s="20"/>
      <c r="DC18" s="23"/>
      <c r="DD18" s="20"/>
      <c r="DE18" s="20"/>
      <c r="DG18" s="10"/>
      <c r="DI18" s="20"/>
      <c r="DJ18" s="23"/>
      <c r="DK18" s="20"/>
      <c r="DL18" s="20"/>
      <c r="DN18" s="10"/>
      <c r="DP18" s="20"/>
      <c r="DQ18" s="23"/>
      <c r="DR18" s="20"/>
      <c r="DS18" s="20"/>
      <c r="DU18" s="10"/>
      <c r="DW18" s="20"/>
      <c r="DX18" s="23"/>
      <c r="DY18" s="20"/>
      <c r="DZ18" s="20"/>
    </row>
    <row r="19" spans="2:130" ht="15.75" customHeight="1" outlineLevel="1" x14ac:dyDescent="0.25">
      <c r="B19" s="6" t="s">
        <v>52</v>
      </c>
      <c r="C19" s="17" t="s">
        <v>62</v>
      </c>
      <c r="E19" s="19"/>
      <c r="F19" s="5" t="s">
        <v>70</v>
      </c>
      <c r="G19" s="23">
        <v>0.2</v>
      </c>
      <c r="I19" s="19">
        <f t="shared" si="1"/>
        <v>0</v>
      </c>
      <c r="J19" s="22">
        <f t="array" ref="J19">MAX(IF($N$3:$HA$3=$J$3,N19:HA19))</f>
        <v>0</v>
      </c>
      <c r="K19" s="22">
        <f t="array" ref="K19">MAX(IF($N$3:$HA$3=$J$3,N19:HA19))</f>
        <v>0</v>
      </c>
      <c r="L19" s="19"/>
      <c r="O19" s="20"/>
      <c r="P19" s="20"/>
      <c r="Q19" s="20"/>
      <c r="R19" s="20"/>
      <c r="V19" s="20"/>
      <c r="W19" s="20"/>
      <c r="X19" s="20"/>
      <c r="Y19" s="23">
        <v>0</v>
      </c>
      <c r="AC19" s="20"/>
      <c r="AD19" s="20"/>
      <c r="AE19" s="20"/>
      <c r="AF19" s="23">
        <v>0</v>
      </c>
      <c r="AJ19" s="20"/>
      <c r="AK19" s="20"/>
      <c r="AL19" s="20"/>
      <c r="AM19" s="23">
        <v>0.5</v>
      </c>
      <c r="AQ19" s="20"/>
      <c r="AR19" s="20"/>
      <c r="AS19" s="20"/>
      <c r="AT19" s="23">
        <v>0.5</v>
      </c>
      <c r="AX19" s="20"/>
      <c r="AY19" s="23"/>
      <c r="AZ19" s="20"/>
      <c r="BA19" s="23">
        <v>0.8</v>
      </c>
      <c r="BE19" s="20"/>
      <c r="BF19" s="23">
        <v>1</v>
      </c>
      <c r="BG19" s="20"/>
      <c r="BH19" s="23">
        <v>1</v>
      </c>
      <c r="BJ19" s="10"/>
      <c r="BL19" s="20"/>
      <c r="BM19" s="20"/>
      <c r="BN19" s="20"/>
      <c r="BO19" s="20"/>
      <c r="BS19" s="20"/>
      <c r="BT19" s="20"/>
      <c r="BU19" s="20"/>
      <c r="BV19" s="20"/>
      <c r="BX19" s="10"/>
      <c r="BZ19" s="20"/>
      <c r="CA19" s="20"/>
      <c r="CB19" s="20"/>
      <c r="CC19" s="20"/>
      <c r="CE19" s="10"/>
      <c r="CG19" s="20"/>
      <c r="CH19" s="20"/>
      <c r="CI19" s="20"/>
      <c r="CJ19" s="20"/>
      <c r="CL19" s="10"/>
      <c r="CN19" s="20"/>
      <c r="CO19" s="20"/>
      <c r="CP19" s="20"/>
      <c r="CQ19" s="20"/>
      <c r="CS19" s="10"/>
      <c r="CU19" s="20"/>
      <c r="CV19" s="20"/>
      <c r="CW19" s="20"/>
      <c r="CX19" s="20"/>
      <c r="CZ19" s="10"/>
      <c r="DB19" s="20"/>
      <c r="DC19" s="20"/>
      <c r="DD19" s="20"/>
      <c r="DE19" s="20"/>
      <c r="DG19" s="10"/>
      <c r="DI19" s="20"/>
      <c r="DJ19" s="20"/>
      <c r="DK19" s="20"/>
      <c r="DL19" s="20"/>
      <c r="DN19" s="10"/>
      <c r="DP19" s="20"/>
      <c r="DQ19" s="20"/>
      <c r="DR19" s="20"/>
      <c r="DS19" s="20"/>
      <c r="DU19" s="10"/>
      <c r="DW19" s="20"/>
      <c r="DX19" s="20"/>
      <c r="DY19" s="20"/>
      <c r="DZ19" s="20"/>
    </row>
    <row r="20" spans="2:130" ht="15.75" customHeight="1" outlineLevel="1" x14ac:dyDescent="0.25">
      <c r="B20" s="6" t="s">
        <v>52</v>
      </c>
      <c r="C20" s="17" t="s">
        <v>62</v>
      </c>
      <c r="E20" s="19"/>
      <c r="F20" s="5" t="s">
        <v>71</v>
      </c>
      <c r="G20" s="23">
        <v>0.2</v>
      </c>
      <c r="I20" s="19">
        <f t="shared" si="1"/>
        <v>0</v>
      </c>
      <c r="J20" s="22">
        <f t="array" ref="J20">MAX(IF($N$3:$HA$3=$J$3,N20:HA20))</f>
        <v>0</v>
      </c>
      <c r="K20" s="22">
        <f t="array" ref="K20">MAX(IF($N$3:$HA$3=$J$3,N20:HA20))</f>
        <v>0</v>
      </c>
      <c r="L20" s="19"/>
      <c r="O20" s="20"/>
      <c r="P20" s="20"/>
      <c r="Q20" s="20"/>
      <c r="R20" s="20"/>
      <c r="V20" s="20"/>
      <c r="W20" s="20"/>
      <c r="X20" s="20"/>
      <c r="Y20" s="23">
        <v>0</v>
      </c>
      <c r="AC20" s="20"/>
      <c r="AD20" s="20"/>
      <c r="AE20" s="20"/>
      <c r="AF20" s="23">
        <v>0</v>
      </c>
      <c r="AJ20" s="20"/>
      <c r="AK20" s="20"/>
      <c r="AL20" s="20"/>
      <c r="AM20" s="23">
        <v>0.5</v>
      </c>
      <c r="AQ20" s="20"/>
      <c r="AR20" s="20"/>
      <c r="AS20" s="20"/>
      <c r="AT20" s="23">
        <v>0.5</v>
      </c>
      <c r="AX20" s="20"/>
      <c r="AY20" s="23"/>
      <c r="AZ20" s="20"/>
      <c r="BA20" s="23">
        <v>0.8</v>
      </c>
      <c r="BE20" s="20"/>
      <c r="BF20" s="23">
        <v>1</v>
      </c>
      <c r="BG20" s="20"/>
      <c r="BH20" s="23">
        <v>1</v>
      </c>
      <c r="BJ20" s="10"/>
      <c r="BL20" s="20"/>
      <c r="BM20" s="20"/>
      <c r="BN20" s="20"/>
      <c r="BO20" s="20"/>
      <c r="BS20" s="20"/>
      <c r="BT20" s="20"/>
      <c r="BU20" s="20"/>
      <c r="BV20" s="20"/>
      <c r="BX20" s="10"/>
      <c r="BZ20" s="20"/>
      <c r="CA20" s="20"/>
      <c r="CB20" s="20"/>
      <c r="CC20" s="20"/>
      <c r="CE20" s="10"/>
      <c r="CG20" s="20"/>
      <c r="CH20" s="20"/>
      <c r="CI20" s="20"/>
      <c r="CJ20" s="20"/>
      <c r="CL20" s="10"/>
      <c r="CN20" s="20"/>
      <c r="CO20" s="20"/>
      <c r="CP20" s="20"/>
      <c r="CQ20" s="20"/>
      <c r="CS20" s="10"/>
      <c r="CU20" s="20"/>
      <c r="CV20" s="20"/>
      <c r="CW20" s="20"/>
      <c r="CX20" s="20"/>
      <c r="CZ20" s="10"/>
      <c r="DB20" s="20"/>
      <c r="DC20" s="20"/>
      <c r="DD20" s="20"/>
      <c r="DE20" s="20"/>
      <c r="DG20" s="10"/>
      <c r="DI20" s="20"/>
      <c r="DJ20" s="20"/>
      <c r="DK20" s="20"/>
      <c r="DL20" s="20"/>
      <c r="DN20" s="10"/>
      <c r="DP20" s="20"/>
      <c r="DQ20" s="20"/>
      <c r="DR20" s="20"/>
      <c r="DS20" s="20"/>
      <c r="DU20" s="10"/>
      <c r="DW20" s="20"/>
      <c r="DX20" s="20"/>
      <c r="DY20" s="20"/>
      <c r="DZ20" s="20"/>
    </row>
    <row r="21" spans="2:130" ht="15.75" customHeight="1" x14ac:dyDescent="0.25">
      <c r="C21" s="8"/>
      <c r="BJ21" s="10"/>
      <c r="BX21" s="10"/>
      <c r="CE21" s="10"/>
      <c r="CL21" s="10"/>
      <c r="CS21" s="10"/>
      <c r="CZ21" s="10"/>
      <c r="DG21" s="10"/>
      <c r="DN21" s="10"/>
      <c r="DU21" s="10"/>
    </row>
    <row r="22" spans="2:130" ht="15.75" customHeight="1" x14ac:dyDescent="0.25">
      <c r="B22" s="6" t="s">
        <v>22</v>
      </c>
      <c r="C22" s="17" t="s">
        <v>72</v>
      </c>
      <c r="D22" s="18">
        <v>44914</v>
      </c>
      <c r="E22" s="25">
        <v>3</v>
      </c>
      <c r="G22" s="20">
        <f>+SUM(G23:G30)</f>
        <v>1</v>
      </c>
      <c r="I22" s="21">
        <f>+SUM(I23:I30)</f>
        <v>0</v>
      </c>
      <c r="J22" s="22">
        <f>+SUMPRODUCT(G23:G30,J23:J30)</f>
        <v>0</v>
      </c>
      <c r="K22" s="22">
        <f>+SUMPRODUCT(G23:G30,K23:K30)</f>
        <v>0</v>
      </c>
      <c r="L22" s="19"/>
      <c r="N22" s="21"/>
      <c r="U22" s="21"/>
      <c r="AB22" s="21"/>
      <c r="AI22" s="21"/>
      <c r="AP22" s="21"/>
      <c r="AW22" s="21"/>
      <c r="BD22" s="21"/>
      <c r="BJ22" s="10"/>
      <c r="BK22" s="21"/>
      <c r="BR22" s="21"/>
      <c r="BX22" s="10"/>
      <c r="BY22" s="21"/>
      <c r="CE22" s="10"/>
      <c r="CF22" s="21"/>
      <c r="CL22" s="10"/>
      <c r="CM22" s="21"/>
      <c r="CS22" s="10"/>
      <c r="CT22" s="21"/>
      <c r="CZ22" s="10"/>
      <c r="DA22" s="21"/>
      <c r="DG22" s="10"/>
      <c r="DH22" s="21"/>
      <c r="DN22" s="10"/>
      <c r="DO22" s="21"/>
      <c r="DU22" s="10"/>
      <c r="DV22" s="21"/>
    </row>
    <row r="23" spans="2:130" ht="15.75" customHeight="1" outlineLevel="1" x14ac:dyDescent="0.25">
      <c r="B23" s="6" t="s">
        <v>52</v>
      </c>
      <c r="C23" s="17" t="s">
        <v>73</v>
      </c>
      <c r="E23" s="19"/>
      <c r="F23" s="5" t="s">
        <v>74</v>
      </c>
      <c r="G23" s="20">
        <v>0.1</v>
      </c>
      <c r="I23" s="19">
        <f t="shared" ref="I23:I30" si="2">+SUMIF($N$3:$ACS$3,I$3,$N23:$ACS23)</f>
        <v>0</v>
      </c>
      <c r="J23" s="22">
        <f t="array" ref="J23">MAX(IF($N$3:$HA$3=$J$3,N23:HA23))</f>
        <v>0</v>
      </c>
      <c r="K23" s="22">
        <f t="array" ref="K23">MAX(IF($N$3:$HA$3=$J$3,N23:HA23))</f>
        <v>0</v>
      </c>
      <c r="L23" s="19"/>
      <c r="O23" s="20"/>
      <c r="P23" s="20"/>
      <c r="Q23" s="20"/>
      <c r="R23" s="20"/>
      <c r="V23" s="20"/>
      <c r="W23" s="20"/>
      <c r="X23" s="20"/>
      <c r="Y23" s="20"/>
      <c r="AC23" s="20"/>
      <c r="AD23" s="20"/>
      <c r="AE23" s="20"/>
      <c r="AF23" s="20"/>
      <c r="AJ23" s="20"/>
      <c r="AK23" s="20"/>
      <c r="AL23" s="20"/>
      <c r="AM23" s="20"/>
      <c r="AQ23" s="20"/>
      <c r="AR23" s="20"/>
      <c r="AS23" s="20"/>
      <c r="AT23" s="20"/>
      <c r="AX23" s="20"/>
      <c r="AY23" s="20"/>
      <c r="AZ23" s="20"/>
      <c r="BA23" s="20"/>
      <c r="BE23" s="20"/>
      <c r="BF23" s="20"/>
      <c r="BG23" s="20"/>
      <c r="BH23" s="20"/>
      <c r="BJ23" s="10"/>
      <c r="BL23" s="20"/>
      <c r="BM23" s="20"/>
      <c r="BN23" s="20"/>
      <c r="BO23" s="20"/>
      <c r="BS23" s="20"/>
      <c r="BT23" s="20"/>
      <c r="BU23" s="20"/>
      <c r="BV23" s="20"/>
      <c r="BX23" s="10"/>
      <c r="BZ23" s="20"/>
      <c r="CA23" s="20"/>
      <c r="CB23" s="20"/>
      <c r="CC23" s="20"/>
      <c r="CE23" s="10"/>
      <c r="CG23" s="20"/>
      <c r="CH23" s="20"/>
      <c r="CI23" s="20"/>
      <c r="CJ23" s="20"/>
      <c r="CL23" s="10"/>
      <c r="CN23" s="20"/>
      <c r="CO23" s="20"/>
      <c r="CP23" s="20"/>
      <c r="CQ23" s="20"/>
      <c r="CS23" s="10"/>
      <c r="CU23" s="20"/>
      <c r="CV23" s="20"/>
      <c r="CW23" s="20"/>
      <c r="CX23" s="23"/>
      <c r="CZ23" s="10"/>
      <c r="DB23" s="20"/>
      <c r="DC23" s="23">
        <v>1</v>
      </c>
      <c r="DD23" s="20"/>
      <c r="DE23" s="23">
        <v>1</v>
      </c>
      <c r="DG23" s="10"/>
      <c r="DI23" s="20"/>
      <c r="DJ23" s="20"/>
      <c r="DK23" s="20"/>
      <c r="DL23" s="20"/>
      <c r="DN23" s="10"/>
      <c r="DP23" s="20"/>
      <c r="DQ23" s="20"/>
      <c r="DR23" s="20"/>
      <c r="DS23" s="20"/>
      <c r="DU23" s="10"/>
      <c r="DW23" s="20"/>
      <c r="DX23" s="20"/>
      <c r="DY23" s="20"/>
      <c r="DZ23" s="20"/>
    </row>
    <row r="24" spans="2:130" ht="15.75" customHeight="1" outlineLevel="1" x14ac:dyDescent="0.25">
      <c r="B24" s="6" t="s">
        <v>52</v>
      </c>
      <c r="C24" s="17" t="s">
        <v>73</v>
      </c>
      <c r="E24" s="19"/>
      <c r="F24" s="5" t="s">
        <v>75</v>
      </c>
      <c r="G24" s="23">
        <v>0.1</v>
      </c>
      <c r="I24" s="19">
        <f t="shared" si="2"/>
        <v>0</v>
      </c>
      <c r="J24" s="22">
        <f t="array" ref="J24">MAX(IF($N$3:$HA$3=$J$3,N24:HA24))</f>
        <v>0</v>
      </c>
      <c r="K24" s="22">
        <f t="array" ref="K24">MAX(IF($N$3:$HA$3=$J$3,N24:HA24))</f>
        <v>0</v>
      </c>
      <c r="L24" s="19"/>
      <c r="O24" s="20"/>
      <c r="P24" s="20"/>
      <c r="Q24" s="20"/>
      <c r="R24" s="20"/>
      <c r="V24" s="20"/>
      <c r="W24" s="20"/>
      <c r="X24" s="20"/>
      <c r="Y24" s="20"/>
      <c r="AC24" s="20"/>
      <c r="AD24" s="20"/>
      <c r="AE24" s="20"/>
      <c r="AF24" s="20"/>
      <c r="AJ24" s="20"/>
      <c r="AK24" s="20"/>
      <c r="AL24" s="20"/>
      <c r="AM24" s="20"/>
      <c r="AQ24" s="20"/>
      <c r="AR24" s="20"/>
      <c r="AS24" s="20"/>
      <c r="AT24" s="20"/>
      <c r="AX24" s="20"/>
      <c r="AY24" s="20"/>
      <c r="AZ24" s="20"/>
      <c r="BA24" s="20"/>
      <c r="BE24" s="20"/>
      <c r="BF24" s="20"/>
      <c r="BG24" s="20"/>
      <c r="BH24" s="20"/>
      <c r="BJ24" s="10"/>
      <c r="BL24" s="20"/>
      <c r="BM24" s="20"/>
      <c r="BN24" s="20"/>
      <c r="BO24" s="20"/>
      <c r="BS24" s="20"/>
      <c r="BT24" s="20"/>
      <c r="BU24" s="20"/>
      <c r="BV24" s="20"/>
      <c r="BX24" s="10"/>
      <c r="BZ24" s="20"/>
      <c r="CA24" s="20"/>
      <c r="CB24" s="20"/>
      <c r="CC24" s="20"/>
      <c r="CE24" s="10"/>
      <c r="CG24" s="20"/>
      <c r="CH24" s="20"/>
      <c r="CI24" s="20"/>
      <c r="CJ24" s="20"/>
      <c r="CL24" s="10"/>
      <c r="CN24" s="20"/>
      <c r="CO24" s="20"/>
      <c r="CP24" s="20"/>
      <c r="CQ24" s="20"/>
      <c r="CS24" s="10"/>
      <c r="CU24" s="20"/>
      <c r="CV24" s="20"/>
      <c r="CW24" s="20"/>
      <c r="CX24" s="23"/>
      <c r="CZ24" s="10"/>
      <c r="DB24" s="20"/>
      <c r="DC24" s="23">
        <v>1</v>
      </c>
      <c r="DD24" s="20"/>
      <c r="DE24" s="23">
        <v>1</v>
      </c>
      <c r="DG24" s="10"/>
      <c r="DI24" s="20"/>
      <c r="DJ24" s="20"/>
      <c r="DK24" s="20"/>
      <c r="DL24" s="20"/>
      <c r="DN24" s="10"/>
      <c r="DP24" s="20"/>
      <c r="DQ24" s="20"/>
      <c r="DR24" s="20"/>
      <c r="DS24" s="20"/>
      <c r="DU24" s="10"/>
      <c r="DW24" s="20"/>
      <c r="DX24" s="20"/>
      <c r="DY24" s="20"/>
      <c r="DZ24" s="20"/>
    </row>
    <row r="25" spans="2:130" ht="15.75" customHeight="1" outlineLevel="1" x14ac:dyDescent="0.25">
      <c r="B25" s="6" t="s">
        <v>52</v>
      </c>
      <c r="C25" s="17" t="s">
        <v>73</v>
      </c>
      <c r="E25" s="19"/>
      <c r="F25" s="5" t="s">
        <v>76</v>
      </c>
      <c r="G25" s="23">
        <v>0.1</v>
      </c>
      <c r="I25" s="19">
        <f t="shared" si="2"/>
        <v>0</v>
      </c>
      <c r="J25" s="22">
        <f t="array" ref="J25">MAX(IF($N$3:$HA$3=$J$3,N25:HA25))</f>
        <v>0</v>
      </c>
      <c r="K25" s="22">
        <f t="array" ref="K25">MAX(IF($N$3:$HA$3=$J$3,N25:HA25))</f>
        <v>0</v>
      </c>
      <c r="L25" s="19"/>
      <c r="O25" s="20"/>
      <c r="P25" s="20"/>
      <c r="Q25" s="20"/>
      <c r="R25" s="20"/>
      <c r="V25" s="20"/>
      <c r="W25" s="20"/>
      <c r="X25" s="20"/>
      <c r="Y25" s="20"/>
      <c r="AC25" s="20"/>
      <c r="AD25" s="20"/>
      <c r="AE25" s="20"/>
      <c r="AF25" s="20"/>
      <c r="AJ25" s="20"/>
      <c r="AK25" s="20"/>
      <c r="AL25" s="20"/>
      <c r="AM25" s="20"/>
      <c r="AQ25" s="20"/>
      <c r="AR25" s="20"/>
      <c r="AS25" s="20"/>
      <c r="AT25" s="20"/>
      <c r="AX25" s="20"/>
      <c r="AY25" s="20"/>
      <c r="AZ25" s="20"/>
      <c r="BA25" s="20"/>
      <c r="BE25" s="20"/>
      <c r="BF25" s="20"/>
      <c r="BG25" s="20"/>
      <c r="BH25" s="20"/>
      <c r="BJ25" s="10"/>
      <c r="BL25" s="20"/>
      <c r="BM25" s="20"/>
      <c r="BN25" s="20"/>
      <c r="BO25" s="20"/>
      <c r="BS25" s="20"/>
      <c r="BT25" s="20"/>
      <c r="BU25" s="20"/>
      <c r="BV25" s="20"/>
      <c r="BX25" s="10"/>
      <c r="BZ25" s="20"/>
      <c r="CA25" s="20"/>
      <c r="CB25" s="20"/>
      <c r="CC25" s="20"/>
      <c r="CE25" s="10"/>
      <c r="CG25" s="20"/>
      <c r="CH25" s="20"/>
      <c r="CI25" s="20"/>
      <c r="CJ25" s="20"/>
      <c r="CL25" s="10"/>
      <c r="CN25" s="20"/>
      <c r="CO25" s="20"/>
      <c r="CP25" s="20"/>
      <c r="CQ25" s="20"/>
      <c r="CS25" s="10"/>
      <c r="CU25" s="20"/>
      <c r="CV25" s="20"/>
      <c r="CW25" s="20"/>
      <c r="CX25" s="23"/>
      <c r="CZ25" s="10"/>
      <c r="DB25" s="20"/>
      <c r="DC25" s="23">
        <v>1</v>
      </c>
      <c r="DD25" s="20"/>
      <c r="DE25" s="23">
        <v>1</v>
      </c>
      <c r="DG25" s="10"/>
      <c r="DI25" s="20"/>
      <c r="DJ25" s="20"/>
      <c r="DK25" s="20"/>
      <c r="DL25" s="20"/>
      <c r="DN25" s="10"/>
      <c r="DP25" s="20"/>
      <c r="DQ25" s="20"/>
      <c r="DR25" s="20"/>
      <c r="DS25" s="20"/>
      <c r="DU25" s="10"/>
      <c r="DW25" s="20"/>
      <c r="DX25" s="20"/>
      <c r="DY25" s="20"/>
      <c r="DZ25" s="20"/>
    </row>
    <row r="26" spans="2:130" ht="15.75" customHeight="1" outlineLevel="1" x14ac:dyDescent="0.25">
      <c r="B26" s="6" t="s">
        <v>52</v>
      </c>
      <c r="C26" s="17" t="s">
        <v>73</v>
      </c>
      <c r="E26" s="19"/>
      <c r="F26" s="5" t="s">
        <v>77</v>
      </c>
      <c r="G26" s="23">
        <v>0.1</v>
      </c>
      <c r="I26" s="19">
        <f t="shared" si="2"/>
        <v>0</v>
      </c>
      <c r="J26" s="22">
        <f t="array" ref="J26">MAX(IF($N$3:$HA$3=$J$3,N26:HA26))</f>
        <v>0</v>
      </c>
      <c r="K26" s="22">
        <f t="array" ref="K26">MAX(IF($N$3:$HA$3=$J$3,N26:HA26))</f>
        <v>0</v>
      </c>
      <c r="L26" s="19"/>
      <c r="O26" s="20"/>
      <c r="P26" s="20"/>
      <c r="Q26" s="20"/>
      <c r="R26" s="20"/>
      <c r="V26" s="20"/>
      <c r="W26" s="20"/>
      <c r="X26" s="20"/>
      <c r="Y26" s="20"/>
      <c r="AC26" s="20"/>
      <c r="AD26" s="20"/>
      <c r="AE26" s="20"/>
      <c r="AF26" s="20"/>
      <c r="AJ26" s="20"/>
      <c r="AK26" s="20"/>
      <c r="AL26" s="20"/>
      <c r="AM26" s="20"/>
      <c r="AQ26" s="20"/>
      <c r="AR26" s="20"/>
      <c r="AS26" s="20"/>
      <c r="AT26" s="20"/>
      <c r="AX26" s="20"/>
      <c r="AY26" s="20"/>
      <c r="AZ26" s="20"/>
      <c r="BA26" s="20"/>
      <c r="BE26" s="20"/>
      <c r="BF26" s="20"/>
      <c r="BG26" s="20"/>
      <c r="BH26" s="20"/>
      <c r="BJ26" s="10"/>
      <c r="BL26" s="20"/>
      <c r="BM26" s="20"/>
      <c r="BN26" s="20"/>
      <c r="BO26" s="20"/>
      <c r="BS26" s="20"/>
      <c r="BT26" s="20"/>
      <c r="BU26" s="20"/>
      <c r="BV26" s="20"/>
      <c r="BX26" s="10"/>
      <c r="BZ26" s="20"/>
      <c r="CA26" s="20"/>
      <c r="CB26" s="20"/>
      <c r="CC26" s="20"/>
      <c r="CE26" s="10"/>
      <c r="CG26" s="20"/>
      <c r="CH26" s="20"/>
      <c r="CI26" s="20"/>
      <c r="CJ26" s="20"/>
      <c r="CL26" s="10"/>
      <c r="CN26" s="20"/>
      <c r="CO26" s="20"/>
      <c r="CP26" s="20"/>
      <c r="CQ26" s="20"/>
      <c r="CS26" s="10"/>
      <c r="CU26" s="20"/>
      <c r="CV26" s="20"/>
      <c r="CW26" s="20"/>
      <c r="CX26" s="23"/>
      <c r="CZ26" s="10"/>
      <c r="DB26" s="20"/>
      <c r="DC26" s="23">
        <v>1</v>
      </c>
      <c r="DD26" s="20"/>
      <c r="DE26" s="23">
        <v>1</v>
      </c>
      <c r="DG26" s="10"/>
      <c r="DI26" s="20"/>
      <c r="DJ26" s="20"/>
      <c r="DK26" s="20"/>
      <c r="DL26" s="20"/>
      <c r="DN26" s="10"/>
      <c r="DP26" s="20"/>
      <c r="DQ26" s="20"/>
      <c r="DR26" s="20"/>
      <c r="DS26" s="20"/>
      <c r="DU26" s="10"/>
      <c r="DW26" s="20"/>
      <c r="DX26" s="20"/>
      <c r="DY26" s="20"/>
      <c r="DZ26" s="20"/>
    </row>
    <row r="27" spans="2:130" ht="15.75" customHeight="1" outlineLevel="1" x14ac:dyDescent="0.25">
      <c r="B27" s="6" t="s">
        <v>52</v>
      </c>
      <c r="C27" s="17" t="s">
        <v>73</v>
      </c>
      <c r="E27" s="19"/>
      <c r="F27" s="5" t="s">
        <v>78</v>
      </c>
      <c r="G27" s="23">
        <v>0.15</v>
      </c>
      <c r="I27" s="19">
        <f t="shared" si="2"/>
        <v>0</v>
      </c>
      <c r="J27" s="22">
        <f t="array" ref="J27">MAX(IF($N$3:$HA$3=$J$3,N27:HA27))</f>
        <v>0</v>
      </c>
      <c r="K27" s="22">
        <f t="array" ref="K27">MAX(IF($N$3:$HA$3=$J$3,N27:HA27))</f>
        <v>0</v>
      </c>
      <c r="L27" s="19"/>
      <c r="O27" s="20"/>
      <c r="P27" s="20"/>
      <c r="Q27" s="20"/>
      <c r="R27" s="20"/>
      <c r="V27" s="20"/>
      <c r="W27" s="20"/>
      <c r="X27" s="20"/>
      <c r="Y27" s="20"/>
      <c r="AC27" s="20"/>
      <c r="AD27" s="20"/>
      <c r="AE27" s="20"/>
      <c r="AF27" s="20"/>
      <c r="AJ27" s="20"/>
      <c r="AK27" s="20"/>
      <c r="AL27" s="20"/>
      <c r="AM27" s="20"/>
      <c r="AQ27" s="20"/>
      <c r="AR27" s="20"/>
      <c r="AS27" s="20"/>
      <c r="AT27" s="20"/>
      <c r="AX27" s="20"/>
      <c r="AY27" s="20"/>
      <c r="AZ27" s="20"/>
      <c r="BA27" s="20"/>
      <c r="BE27" s="20"/>
      <c r="BF27" s="20"/>
      <c r="BG27" s="20"/>
      <c r="BH27" s="20"/>
      <c r="BJ27" s="10"/>
      <c r="BL27" s="20"/>
      <c r="BM27" s="20"/>
      <c r="BN27" s="20"/>
      <c r="BO27" s="20"/>
      <c r="BS27" s="20"/>
      <c r="BT27" s="20"/>
      <c r="BU27" s="20"/>
      <c r="BV27" s="20"/>
      <c r="BX27" s="10"/>
      <c r="BZ27" s="20"/>
      <c r="CA27" s="20"/>
      <c r="CB27" s="20"/>
      <c r="CC27" s="20"/>
      <c r="CE27" s="10"/>
      <c r="CG27" s="20"/>
      <c r="CH27" s="20"/>
      <c r="CI27" s="20"/>
      <c r="CJ27" s="20"/>
      <c r="CL27" s="10"/>
      <c r="CN27" s="20"/>
      <c r="CO27" s="20"/>
      <c r="CP27" s="20"/>
      <c r="CQ27" s="20"/>
      <c r="CS27" s="10"/>
      <c r="CU27" s="20"/>
      <c r="CV27" s="20"/>
      <c r="CW27" s="20"/>
      <c r="CX27" s="23"/>
      <c r="CZ27" s="10"/>
      <c r="DB27" s="20"/>
      <c r="DC27" s="23">
        <v>1</v>
      </c>
      <c r="DD27" s="20"/>
      <c r="DE27" s="23">
        <v>1</v>
      </c>
      <c r="DG27" s="10"/>
      <c r="DI27" s="20"/>
      <c r="DJ27" s="20"/>
      <c r="DK27" s="20"/>
      <c r="DL27" s="20"/>
      <c r="DN27" s="10"/>
      <c r="DP27" s="20"/>
      <c r="DQ27" s="20"/>
      <c r="DR27" s="20"/>
      <c r="DS27" s="20"/>
      <c r="DU27" s="10"/>
      <c r="DW27" s="20"/>
      <c r="DX27" s="20"/>
      <c r="DY27" s="20"/>
      <c r="DZ27" s="20"/>
    </row>
    <row r="28" spans="2:130" ht="15.75" customHeight="1" outlineLevel="1" x14ac:dyDescent="0.25">
      <c r="B28" s="6" t="s">
        <v>52</v>
      </c>
      <c r="C28" s="17" t="s">
        <v>73</v>
      </c>
      <c r="E28" s="19"/>
      <c r="F28" s="5" t="s">
        <v>79</v>
      </c>
      <c r="G28" s="23">
        <v>0.15</v>
      </c>
      <c r="I28" s="19">
        <f t="shared" si="2"/>
        <v>0</v>
      </c>
      <c r="J28" s="22">
        <f t="array" ref="J28">MAX(IF($N$3:$HA$3=$J$3,N28:HA28))</f>
        <v>0</v>
      </c>
      <c r="K28" s="22">
        <f t="array" ref="K28">MAX(IF($N$3:$HA$3=$J$3,N28:HA28))</f>
        <v>0</v>
      </c>
      <c r="L28" s="19"/>
      <c r="O28" s="20"/>
      <c r="P28" s="20"/>
      <c r="Q28" s="20"/>
      <c r="R28" s="20"/>
      <c r="V28" s="20"/>
      <c r="W28" s="20"/>
      <c r="X28" s="20"/>
      <c r="Y28" s="20"/>
      <c r="AC28" s="20"/>
      <c r="AD28" s="20"/>
      <c r="AE28" s="20"/>
      <c r="AF28" s="20"/>
      <c r="AJ28" s="20"/>
      <c r="AK28" s="20"/>
      <c r="AL28" s="20"/>
      <c r="AM28" s="20"/>
      <c r="AQ28" s="20"/>
      <c r="AR28" s="20"/>
      <c r="AS28" s="20"/>
      <c r="AT28" s="20"/>
      <c r="AX28" s="20"/>
      <c r="AY28" s="20"/>
      <c r="AZ28" s="20"/>
      <c r="BA28" s="20"/>
      <c r="BE28" s="20"/>
      <c r="BF28" s="20"/>
      <c r="BG28" s="20"/>
      <c r="BH28" s="20"/>
      <c r="BJ28" s="10"/>
      <c r="BL28" s="20"/>
      <c r="BM28" s="20"/>
      <c r="BN28" s="20"/>
      <c r="BO28" s="20"/>
      <c r="BS28" s="20"/>
      <c r="BT28" s="20"/>
      <c r="BU28" s="20"/>
      <c r="BV28" s="20"/>
      <c r="BX28" s="10"/>
      <c r="BZ28" s="20"/>
      <c r="CA28" s="20"/>
      <c r="CB28" s="20"/>
      <c r="CC28" s="20"/>
      <c r="CE28" s="10"/>
      <c r="CG28" s="20"/>
      <c r="CH28" s="20"/>
      <c r="CI28" s="20"/>
      <c r="CJ28" s="20"/>
      <c r="CL28" s="10"/>
      <c r="CN28" s="20"/>
      <c r="CO28" s="20"/>
      <c r="CP28" s="20"/>
      <c r="CQ28" s="20"/>
      <c r="CS28" s="10"/>
      <c r="CU28" s="20"/>
      <c r="CV28" s="20"/>
      <c r="CW28" s="20"/>
      <c r="CX28" s="23"/>
      <c r="CZ28" s="10"/>
      <c r="DB28" s="20"/>
      <c r="DC28" s="23">
        <v>1</v>
      </c>
      <c r="DD28" s="20"/>
      <c r="DE28" s="23">
        <v>1</v>
      </c>
      <c r="DG28" s="10"/>
      <c r="DI28" s="20"/>
      <c r="DJ28" s="20"/>
      <c r="DK28" s="20"/>
      <c r="DL28" s="20"/>
      <c r="DN28" s="10"/>
      <c r="DP28" s="20"/>
      <c r="DQ28" s="20"/>
      <c r="DR28" s="20"/>
      <c r="DS28" s="20"/>
      <c r="DU28" s="10"/>
      <c r="DW28" s="20"/>
      <c r="DX28" s="20"/>
      <c r="DY28" s="20"/>
      <c r="DZ28" s="20"/>
    </row>
    <row r="29" spans="2:130" ht="15.75" customHeight="1" outlineLevel="1" x14ac:dyDescent="0.25">
      <c r="B29" s="6" t="s">
        <v>52</v>
      </c>
      <c r="C29" s="17" t="s">
        <v>73</v>
      </c>
      <c r="E29" s="19"/>
      <c r="F29" s="5" t="s">
        <v>80</v>
      </c>
      <c r="G29" s="23">
        <v>0.15</v>
      </c>
      <c r="I29" s="19">
        <f t="shared" si="2"/>
        <v>0</v>
      </c>
      <c r="J29" s="22">
        <f t="array" ref="J29">MAX(IF($N$3:$HA$3=$J$3,N29:HA29))</f>
        <v>0</v>
      </c>
      <c r="K29" s="22">
        <f t="array" ref="K29">MAX(IF($N$3:$HA$3=$J$3,N29:HA29))</f>
        <v>0</v>
      </c>
      <c r="L29" s="19"/>
      <c r="O29" s="20"/>
      <c r="P29" s="20"/>
      <c r="Q29" s="20"/>
      <c r="R29" s="20"/>
      <c r="V29" s="20"/>
      <c r="W29" s="20"/>
      <c r="X29" s="20"/>
      <c r="Y29" s="20"/>
      <c r="AC29" s="20"/>
      <c r="AD29" s="20"/>
      <c r="AE29" s="20"/>
      <c r="AF29" s="20"/>
      <c r="AJ29" s="20"/>
      <c r="AK29" s="20"/>
      <c r="AL29" s="20"/>
      <c r="AM29" s="20"/>
      <c r="AQ29" s="20"/>
      <c r="AR29" s="20"/>
      <c r="AS29" s="20"/>
      <c r="AT29" s="20"/>
      <c r="AX29" s="20"/>
      <c r="AY29" s="20"/>
      <c r="AZ29" s="20"/>
      <c r="BA29" s="20"/>
      <c r="BE29" s="20"/>
      <c r="BF29" s="20"/>
      <c r="BG29" s="20"/>
      <c r="BH29" s="20"/>
      <c r="BJ29" s="10"/>
      <c r="BL29" s="20"/>
      <c r="BM29" s="20"/>
      <c r="BN29" s="20"/>
      <c r="BO29" s="20"/>
      <c r="BS29" s="20"/>
      <c r="BT29" s="20"/>
      <c r="BU29" s="20"/>
      <c r="BV29" s="20"/>
      <c r="BX29" s="10"/>
      <c r="BZ29" s="20"/>
      <c r="CA29" s="20"/>
      <c r="CB29" s="20"/>
      <c r="CC29" s="20"/>
      <c r="CE29" s="10"/>
      <c r="CG29" s="20"/>
      <c r="CH29" s="20"/>
      <c r="CI29" s="20"/>
      <c r="CJ29" s="20"/>
      <c r="CL29" s="10"/>
      <c r="CN29" s="20"/>
      <c r="CO29" s="20"/>
      <c r="CP29" s="20"/>
      <c r="CQ29" s="20"/>
      <c r="CS29" s="10"/>
      <c r="CU29" s="20"/>
      <c r="CV29" s="20"/>
      <c r="CW29" s="20"/>
      <c r="CX29" s="23"/>
      <c r="CZ29" s="10"/>
      <c r="DB29" s="20"/>
      <c r="DC29" s="23">
        <v>1</v>
      </c>
      <c r="DD29" s="20"/>
      <c r="DE29" s="23">
        <v>1</v>
      </c>
      <c r="DG29" s="10"/>
      <c r="DI29" s="20"/>
      <c r="DJ29" s="20"/>
      <c r="DK29" s="20"/>
      <c r="DL29" s="20"/>
      <c r="DN29" s="10"/>
      <c r="DP29" s="20"/>
      <c r="DQ29" s="20"/>
      <c r="DR29" s="20"/>
      <c r="DS29" s="20"/>
      <c r="DU29" s="10"/>
      <c r="DW29" s="20"/>
      <c r="DX29" s="20"/>
      <c r="DY29" s="20"/>
      <c r="DZ29" s="20"/>
    </row>
    <row r="30" spans="2:130" ht="15.75" customHeight="1" outlineLevel="1" x14ac:dyDescent="0.25">
      <c r="B30" s="6" t="s">
        <v>52</v>
      </c>
      <c r="C30" s="17" t="s">
        <v>73</v>
      </c>
      <c r="E30" s="19"/>
      <c r="F30" s="5" t="s">
        <v>81</v>
      </c>
      <c r="G30" s="23">
        <v>0.15</v>
      </c>
      <c r="I30" s="19">
        <f t="shared" si="2"/>
        <v>0</v>
      </c>
      <c r="J30" s="22">
        <f t="array" ref="J30">MAX(IF($N$3:$HA$3=$J$3,N30:HA30))</f>
        <v>0</v>
      </c>
      <c r="K30" s="22">
        <f t="array" ref="K30">MAX(IF($N$3:$HA$3=$J$3,N30:HA30))</f>
        <v>0</v>
      </c>
      <c r="L30" s="19"/>
      <c r="O30" s="20"/>
      <c r="P30" s="20"/>
      <c r="Q30" s="20"/>
      <c r="R30" s="20"/>
      <c r="V30" s="20"/>
      <c r="W30" s="20"/>
      <c r="X30" s="20"/>
      <c r="Y30" s="20"/>
      <c r="AC30" s="20"/>
      <c r="AD30" s="20"/>
      <c r="AE30" s="20"/>
      <c r="AF30" s="20"/>
      <c r="AJ30" s="20"/>
      <c r="AK30" s="20"/>
      <c r="AL30" s="20"/>
      <c r="AM30" s="20"/>
      <c r="AQ30" s="20"/>
      <c r="AR30" s="20"/>
      <c r="AS30" s="20"/>
      <c r="AT30" s="20"/>
      <c r="AX30" s="20"/>
      <c r="AY30" s="20"/>
      <c r="AZ30" s="20"/>
      <c r="BA30" s="20"/>
      <c r="BE30" s="20"/>
      <c r="BF30" s="20"/>
      <c r="BG30" s="20"/>
      <c r="BH30" s="20"/>
      <c r="BJ30" s="10"/>
      <c r="BL30" s="20"/>
      <c r="BM30" s="20"/>
      <c r="BN30" s="20"/>
      <c r="BO30" s="20"/>
      <c r="BS30" s="20"/>
      <c r="BT30" s="20"/>
      <c r="BU30" s="20"/>
      <c r="BV30" s="20"/>
      <c r="BX30" s="10"/>
      <c r="BZ30" s="20"/>
      <c r="CA30" s="20"/>
      <c r="CB30" s="20"/>
      <c r="CC30" s="20"/>
      <c r="CE30" s="10"/>
      <c r="CG30" s="20"/>
      <c r="CH30" s="20"/>
      <c r="CI30" s="20"/>
      <c r="CJ30" s="20"/>
      <c r="CL30" s="10"/>
      <c r="CN30" s="20"/>
      <c r="CO30" s="20"/>
      <c r="CP30" s="20"/>
      <c r="CQ30" s="20"/>
      <c r="CS30" s="10"/>
      <c r="CU30" s="20"/>
      <c r="CV30" s="20"/>
      <c r="CW30" s="20"/>
      <c r="CX30" s="23"/>
      <c r="CZ30" s="10"/>
      <c r="DB30" s="20"/>
      <c r="DC30" s="23">
        <v>1</v>
      </c>
      <c r="DD30" s="20"/>
      <c r="DE30" s="23">
        <v>1</v>
      </c>
      <c r="DG30" s="10"/>
      <c r="DI30" s="20"/>
      <c r="DJ30" s="20"/>
      <c r="DK30" s="20"/>
      <c r="DL30" s="20"/>
      <c r="DN30" s="10"/>
      <c r="DP30" s="20"/>
      <c r="DQ30" s="20"/>
      <c r="DR30" s="20"/>
      <c r="DS30" s="20"/>
      <c r="DU30" s="10"/>
      <c r="DW30" s="20"/>
      <c r="DX30" s="20"/>
      <c r="DY30" s="20"/>
      <c r="DZ30" s="20"/>
    </row>
    <row r="31" spans="2:130" ht="15.75" customHeight="1" x14ac:dyDescent="0.25">
      <c r="C31" s="8"/>
      <c r="BJ31" s="10"/>
      <c r="BX31" s="10"/>
      <c r="CE31" s="10"/>
      <c r="CL31" s="10"/>
      <c r="CS31" s="10"/>
      <c r="CZ31" s="10"/>
      <c r="DG31" s="10"/>
      <c r="DN31" s="10"/>
      <c r="DU31" s="10"/>
    </row>
    <row r="32" spans="2:130" ht="15.75" customHeight="1" x14ac:dyDescent="0.25">
      <c r="B32" s="6" t="s">
        <v>22</v>
      </c>
      <c r="C32" s="17" t="s">
        <v>72</v>
      </c>
      <c r="D32" s="18">
        <v>44914</v>
      </c>
      <c r="E32" s="25">
        <v>3</v>
      </c>
      <c r="G32" s="20">
        <f>+SUM(G33:G40)</f>
        <v>1</v>
      </c>
      <c r="I32" s="21">
        <f>+SUM(I33:I40)</f>
        <v>0</v>
      </c>
      <c r="J32" s="22">
        <f>+SUMPRODUCT(G33:G40,J33:J40)</f>
        <v>0</v>
      </c>
      <c r="K32" s="22">
        <f>+SUMPRODUCT(G33:G40,K33:K40)</f>
        <v>0</v>
      </c>
      <c r="L32" s="19"/>
      <c r="N32" s="21"/>
      <c r="U32" s="21"/>
      <c r="AB32" s="21"/>
      <c r="AI32" s="21"/>
      <c r="AP32" s="21"/>
      <c r="AW32" s="21"/>
      <c r="BD32" s="21"/>
      <c r="BJ32" s="10"/>
      <c r="BK32" s="21"/>
      <c r="BR32" s="21"/>
      <c r="BX32" s="10"/>
      <c r="BY32" s="21"/>
      <c r="CE32" s="10"/>
      <c r="CF32" s="21"/>
      <c r="CL32" s="10"/>
      <c r="CM32" s="21"/>
      <c r="CS32" s="10"/>
      <c r="CT32" s="21"/>
      <c r="CZ32" s="10"/>
      <c r="DA32" s="21"/>
      <c r="DG32" s="10"/>
      <c r="DH32" s="21"/>
      <c r="DN32" s="10"/>
      <c r="DO32" s="21"/>
      <c r="DU32" s="10"/>
      <c r="DV32" s="21"/>
    </row>
    <row r="33" spans="2:130" ht="15.75" customHeight="1" outlineLevel="1" x14ac:dyDescent="0.25">
      <c r="B33" s="6" t="s">
        <v>52</v>
      </c>
      <c r="C33" s="17" t="s">
        <v>82</v>
      </c>
      <c r="E33" s="19"/>
      <c r="F33" s="5" t="s">
        <v>74</v>
      </c>
      <c r="G33" s="20">
        <v>0.1</v>
      </c>
      <c r="I33" s="19">
        <f t="shared" ref="I33:I40" si="3">+SUMIF($N$3:$ACS$3,I$3,$N33:$ACS33)</f>
        <v>0</v>
      </c>
      <c r="J33" s="22">
        <f t="array" ref="J33">MAX(IF($N$3:$HA$3=$J$3,N33:HA33))</f>
        <v>0</v>
      </c>
      <c r="K33" s="22">
        <f t="array" ref="K33">MAX(IF($N$3:$HA$3=$J$3,N33:HA33))</f>
        <v>0</v>
      </c>
      <c r="L33" s="19"/>
      <c r="O33" s="20"/>
      <c r="P33" s="20"/>
      <c r="Q33" s="20"/>
      <c r="R33" s="20"/>
      <c r="V33" s="20"/>
      <c r="W33" s="20"/>
      <c r="X33" s="20"/>
      <c r="Y33" s="20"/>
      <c r="AC33" s="20"/>
      <c r="AD33" s="20"/>
      <c r="AE33" s="20"/>
      <c r="AF33" s="20"/>
      <c r="AJ33" s="20"/>
      <c r="AK33" s="20"/>
      <c r="AL33" s="20"/>
      <c r="AM33" s="20"/>
      <c r="AQ33" s="20"/>
      <c r="AR33" s="20"/>
      <c r="AS33" s="20"/>
      <c r="AT33" s="20"/>
      <c r="AX33" s="20"/>
      <c r="AY33" s="20"/>
      <c r="AZ33" s="20"/>
      <c r="BA33" s="20"/>
      <c r="BE33" s="20"/>
      <c r="BF33" s="20"/>
      <c r="BG33" s="20"/>
      <c r="BH33" s="20"/>
      <c r="BJ33" s="10"/>
      <c r="BL33" s="20"/>
      <c r="BM33" s="20"/>
      <c r="BN33" s="20"/>
      <c r="BO33" s="20"/>
      <c r="BS33" s="20"/>
      <c r="BT33" s="20"/>
      <c r="BU33" s="20"/>
      <c r="BV33" s="20"/>
      <c r="BX33" s="10"/>
      <c r="BZ33" s="20"/>
      <c r="CA33" s="20"/>
      <c r="CB33" s="20"/>
      <c r="CC33" s="20"/>
      <c r="CE33" s="10"/>
      <c r="CG33" s="20"/>
      <c r="CH33" s="20"/>
      <c r="CI33" s="20"/>
      <c r="CJ33" s="20"/>
      <c r="CL33" s="10"/>
      <c r="CN33" s="20"/>
      <c r="CO33" s="20"/>
      <c r="CP33" s="20"/>
      <c r="CQ33" s="20"/>
      <c r="CS33" s="10"/>
      <c r="CU33" s="20"/>
      <c r="CV33" s="20"/>
      <c r="CW33" s="20"/>
      <c r="CX33" s="23"/>
      <c r="CZ33" s="10"/>
      <c r="DB33" s="20"/>
      <c r="DC33" s="23">
        <v>1</v>
      </c>
      <c r="DD33" s="20"/>
      <c r="DE33" s="23">
        <v>1</v>
      </c>
      <c r="DG33" s="10"/>
      <c r="DI33" s="20"/>
      <c r="DJ33" s="20"/>
      <c r="DK33" s="20"/>
      <c r="DL33" s="20"/>
      <c r="DN33" s="10"/>
      <c r="DP33" s="20"/>
      <c r="DQ33" s="20"/>
      <c r="DR33" s="20"/>
      <c r="DS33" s="20"/>
      <c r="DU33" s="10"/>
      <c r="DW33" s="20"/>
      <c r="DX33" s="20"/>
      <c r="DY33" s="20"/>
      <c r="DZ33" s="20"/>
    </row>
    <row r="34" spans="2:130" ht="15.75" customHeight="1" outlineLevel="1" x14ac:dyDescent="0.25">
      <c r="B34" s="6" t="s">
        <v>52</v>
      </c>
      <c r="C34" s="17" t="s">
        <v>82</v>
      </c>
      <c r="E34" s="19"/>
      <c r="F34" s="5" t="s">
        <v>75</v>
      </c>
      <c r="G34" s="23">
        <v>0.15</v>
      </c>
      <c r="I34" s="19">
        <f t="shared" si="3"/>
        <v>0</v>
      </c>
      <c r="J34" s="22">
        <f t="array" ref="J34">MAX(IF($N$3:$HA$3=$J$3,N34:HA34))</f>
        <v>0</v>
      </c>
      <c r="K34" s="22">
        <f t="array" ref="K34">MAX(IF($N$3:$HA$3=$J$3,N34:HA34))</f>
        <v>0</v>
      </c>
      <c r="L34" s="19"/>
      <c r="O34" s="20"/>
      <c r="P34" s="20"/>
      <c r="Q34" s="20"/>
      <c r="R34" s="20"/>
      <c r="V34" s="20"/>
      <c r="W34" s="20"/>
      <c r="X34" s="20"/>
      <c r="Y34" s="20"/>
      <c r="AC34" s="20"/>
      <c r="AD34" s="20"/>
      <c r="AE34" s="20"/>
      <c r="AF34" s="20"/>
      <c r="AJ34" s="20"/>
      <c r="AK34" s="20"/>
      <c r="AL34" s="20"/>
      <c r="AM34" s="20"/>
      <c r="AQ34" s="20"/>
      <c r="AR34" s="20"/>
      <c r="AS34" s="20"/>
      <c r="AT34" s="20"/>
      <c r="AX34" s="20"/>
      <c r="AY34" s="20"/>
      <c r="AZ34" s="20"/>
      <c r="BA34" s="20"/>
      <c r="BE34" s="20"/>
      <c r="BF34" s="20"/>
      <c r="BG34" s="20"/>
      <c r="BH34" s="20"/>
      <c r="BJ34" s="10"/>
      <c r="BL34" s="20"/>
      <c r="BM34" s="20"/>
      <c r="BN34" s="20"/>
      <c r="BO34" s="20"/>
      <c r="BS34" s="20"/>
      <c r="BT34" s="20"/>
      <c r="BU34" s="20"/>
      <c r="BV34" s="20"/>
      <c r="BX34" s="10"/>
      <c r="BZ34" s="20"/>
      <c r="CA34" s="20"/>
      <c r="CB34" s="20"/>
      <c r="CC34" s="20"/>
      <c r="CE34" s="10"/>
      <c r="CG34" s="20"/>
      <c r="CH34" s="20"/>
      <c r="CI34" s="20"/>
      <c r="CJ34" s="20"/>
      <c r="CL34" s="10"/>
      <c r="CN34" s="20"/>
      <c r="CO34" s="20"/>
      <c r="CP34" s="20"/>
      <c r="CQ34" s="20"/>
      <c r="CS34" s="10"/>
      <c r="CU34" s="20"/>
      <c r="CV34" s="20"/>
      <c r="CW34" s="20"/>
      <c r="CX34" s="23"/>
      <c r="CZ34" s="10"/>
      <c r="DB34" s="20"/>
      <c r="DC34" s="23">
        <v>1</v>
      </c>
      <c r="DD34" s="20"/>
      <c r="DE34" s="23">
        <v>1</v>
      </c>
      <c r="DG34" s="10"/>
      <c r="DI34" s="20"/>
      <c r="DJ34" s="20"/>
      <c r="DK34" s="20"/>
      <c r="DL34" s="20"/>
      <c r="DN34" s="10"/>
      <c r="DP34" s="20"/>
      <c r="DQ34" s="20"/>
      <c r="DR34" s="20"/>
      <c r="DS34" s="20"/>
      <c r="DU34" s="10"/>
      <c r="DW34" s="20"/>
      <c r="DX34" s="20"/>
      <c r="DY34" s="20"/>
      <c r="DZ34" s="20"/>
    </row>
    <row r="35" spans="2:130" ht="15.75" customHeight="1" outlineLevel="1" x14ac:dyDescent="0.25">
      <c r="B35" s="6" t="s">
        <v>52</v>
      </c>
      <c r="C35" s="17" t="s">
        <v>82</v>
      </c>
      <c r="E35" s="19"/>
      <c r="F35" s="5" t="s">
        <v>76</v>
      </c>
      <c r="G35" s="23">
        <v>0.15</v>
      </c>
      <c r="I35" s="19">
        <f t="shared" si="3"/>
        <v>0</v>
      </c>
      <c r="J35" s="22">
        <f t="array" ref="J35">MAX(IF($N$3:$HA$3=$J$3,N35:HA35))</f>
        <v>0</v>
      </c>
      <c r="K35" s="22">
        <f t="array" ref="K35">MAX(IF($N$3:$HA$3=$J$3,N35:HA35))</f>
        <v>0</v>
      </c>
      <c r="L35" s="19"/>
      <c r="O35" s="20"/>
      <c r="P35" s="20"/>
      <c r="Q35" s="20"/>
      <c r="R35" s="20"/>
      <c r="V35" s="20"/>
      <c r="W35" s="20"/>
      <c r="X35" s="20"/>
      <c r="Y35" s="20"/>
      <c r="AC35" s="20"/>
      <c r="AD35" s="20"/>
      <c r="AE35" s="20"/>
      <c r="AF35" s="20"/>
      <c r="AJ35" s="20"/>
      <c r="AK35" s="20"/>
      <c r="AL35" s="20"/>
      <c r="AM35" s="20"/>
      <c r="AQ35" s="20"/>
      <c r="AR35" s="20"/>
      <c r="AS35" s="20"/>
      <c r="AT35" s="20"/>
      <c r="AX35" s="20"/>
      <c r="AY35" s="20"/>
      <c r="AZ35" s="20"/>
      <c r="BA35" s="20"/>
      <c r="BE35" s="20"/>
      <c r="BF35" s="20"/>
      <c r="BG35" s="20"/>
      <c r="BH35" s="20"/>
      <c r="BJ35" s="10"/>
      <c r="BL35" s="20"/>
      <c r="BM35" s="20"/>
      <c r="BN35" s="20"/>
      <c r="BO35" s="20"/>
      <c r="BS35" s="20"/>
      <c r="BT35" s="20"/>
      <c r="BU35" s="20"/>
      <c r="BV35" s="20"/>
      <c r="BX35" s="10"/>
      <c r="BZ35" s="20"/>
      <c r="CA35" s="20"/>
      <c r="CB35" s="20"/>
      <c r="CC35" s="20"/>
      <c r="CE35" s="10"/>
      <c r="CG35" s="20"/>
      <c r="CH35" s="20"/>
      <c r="CI35" s="20"/>
      <c r="CJ35" s="20"/>
      <c r="CL35" s="10"/>
      <c r="CN35" s="20"/>
      <c r="CO35" s="20"/>
      <c r="CP35" s="20"/>
      <c r="CQ35" s="20"/>
      <c r="CS35" s="10"/>
      <c r="CU35" s="20"/>
      <c r="CV35" s="20"/>
      <c r="CW35" s="20"/>
      <c r="CX35" s="23"/>
      <c r="CZ35" s="10"/>
      <c r="DB35" s="20"/>
      <c r="DC35" s="23">
        <v>1</v>
      </c>
      <c r="DD35" s="20"/>
      <c r="DE35" s="23">
        <v>1</v>
      </c>
      <c r="DG35" s="10"/>
      <c r="DI35" s="20"/>
      <c r="DJ35" s="20"/>
      <c r="DK35" s="20"/>
      <c r="DL35" s="20"/>
      <c r="DN35" s="10"/>
      <c r="DP35" s="20"/>
      <c r="DQ35" s="20"/>
      <c r="DR35" s="20"/>
      <c r="DS35" s="20"/>
      <c r="DU35" s="10"/>
      <c r="DW35" s="20"/>
      <c r="DX35" s="20"/>
      <c r="DY35" s="20"/>
      <c r="DZ35" s="20"/>
    </row>
    <row r="36" spans="2:130" ht="15.75" customHeight="1" outlineLevel="1" x14ac:dyDescent="0.25">
      <c r="B36" s="6" t="s">
        <v>52</v>
      </c>
      <c r="C36" s="17" t="s">
        <v>82</v>
      </c>
      <c r="E36" s="19"/>
      <c r="F36" s="5" t="s">
        <v>77</v>
      </c>
      <c r="G36" s="23">
        <v>0.15</v>
      </c>
      <c r="I36" s="19">
        <f t="shared" si="3"/>
        <v>0</v>
      </c>
      <c r="J36" s="22">
        <f t="array" ref="J36">MAX(IF($N$3:$HA$3=$J$3,N36:HA36))</f>
        <v>0</v>
      </c>
      <c r="K36" s="22">
        <f t="array" ref="K36">MAX(IF($N$3:$HA$3=$J$3,N36:HA36))</f>
        <v>0</v>
      </c>
      <c r="L36" s="19"/>
      <c r="O36" s="20"/>
      <c r="P36" s="20"/>
      <c r="Q36" s="20"/>
      <c r="R36" s="20"/>
      <c r="V36" s="20"/>
      <c r="W36" s="20"/>
      <c r="X36" s="20"/>
      <c r="Y36" s="20"/>
      <c r="AC36" s="20"/>
      <c r="AD36" s="20"/>
      <c r="AE36" s="20"/>
      <c r="AF36" s="20"/>
      <c r="AJ36" s="20"/>
      <c r="AK36" s="20"/>
      <c r="AL36" s="20"/>
      <c r="AM36" s="20"/>
      <c r="AQ36" s="20"/>
      <c r="AR36" s="20"/>
      <c r="AS36" s="20"/>
      <c r="AT36" s="20"/>
      <c r="AX36" s="20"/>
      <c r="AY36" s="20"/>
      <c r="AZ36" s="20"/>
      <c r="BA36" s="20"/>
      <c r="BE36" s="20"/>
      <c r="BF36" s="20"/>
      <c r="BG36" s="20"/>
      <c r="BH36" s="20"/>
      <c r="BJ36" s="10"/>
      <c r="BL36" s="20"/>
      <c r="BM36" s="20"/>
      <c r="BN36" s="20"/>
      <c r="BO36" s="20"/>
      <c r="BS36" s="20"/>
      <c r="BT36" s="20"/>
      <c r="BU36" s="20"/>
      <c r="BV36" s="20"/>
      <c r="BX36" s="10"/>
      <c r="BZ36" s="20"/>
      <c r="CA36" s="20"/>
      <c r="CB36" s="20"/>
      <c r="CC36" s="20"/>
      <c r="CE36" s="10"/>
      <c r="CG36" s="20"/>
      <c r="CH36" s="20"/>
      <c r="CI36" s="20"/>
      <c r="CJ36" s="20"/>
      <c r="CL36" s="10"/>
      <c r="CN36" s="20"/>
      <c r="CO36" s="20"/>
      <c r="CP36" s="20"/>
      <c r="CQ36" s="20"/>
      <c r="CS36" s="10"/>
      <c r="CU36" s="20"/>
      <c r="CV36" s="20"/>
      <c r="CW36" s="20"/>
      <c r="CX36" s="23"/>
      <c r="CZ36" s="10"/>
      <c r="DB36" s="20"/>
      <c r="DC36" s="23">
        <v>1</v>
      </c>
      <c r="DD36" s="20"/>
      <c r="DE36" s="23">
        <v>1</v>
      </c>
      <c r="DG36" s="10"/>
      <c r="DI36" s="20"/>
      <c r="DJ36" s="20"/>
      <c r="DK36" s="20"/>
      <c r="DL36" s="20"/>
      <c r="DN36" s="10"/>
      <c r="DP36" s="20"/>
      <c r="DQ36" s="20"/>
      <c r="DR36" s="20"/>
      <c r="DS36" s="20"/>
      <c r="DU36" s="10"/>
      <c r="DW36" s="20"/>
      <c r="DX36" s="20"/>
      <c r="DY36" s="20"/>
      <c r="DZ36" s="20"/>
    </row>
    <row r="37" spans="2:130" ht="15.75" customHeight="1" outlineLevel="1" x14ac:dyDescent="0.25">
      <c r="B37" s="6" t="s">
        <v>52</v>
      </c>
      <c r="C37" s="17" t="s">
        <v>82</v>
      </c>
      <c r="E37" s="19"/>
      <c r="F37" s="5" t="s">
        <v>78</v>
      </c>
      <c r="G37" s="23">
        <v>0.15</v>
      </c>
      <c r="I37" s="19">
        <f t="shared" si="3"/>
        <v>0</v>
      </c>
      <c r="J37" s="22">
        <f t="array" ref="J37">MAX(IF($N$3:$HA$3=$J$3,N37:HA37))</f>
        <v>0</v>
      </c>
      <c r="K37" s="22">
        <f t="array" ref="K37">MAX(IF($N$3:$HA$3=$J$3,N37:HA37))</f>
        <v>0</v>
      </c>
      <c r="L37" s="19"/>
      <c r="O37" s="20"/>
      <c r="P37" s="20"/>
      <c r="Q37" s="20"/>
      <c r="R37" s="20"/>
      <c r="V37" s="20"/>
      <c r="W37" s="20"/>
      <c r="X37" s="20"/>
      <c r="Y37" s="20"/>
      <c r="AC37" s="20"/>
      <c r="AD37" s="20"/>
      <c r="AE37" s="20"/>
      <c r="AF37" s="20"/>
      <c r="AJ37" s="20"/>
      <c r="AK37" s="20"/>
      <c r="AL37" s="20"/>
      <c r="AM37" s="20"/>
      <c r="AQ37" s="20"/>
      <c r="AR37" s="20"/>
      <c r="AS37" s="20"/>
      <c r="AT37" s="20"/>
      <c r="AX37" s="20"/>
      <c r="AY37" s="20"/>
      <c r="AZ37" s="20"/>
      <c r="BA37" s="20"/>
      <c r="BE37" s="20"/>
      <c r="BF37" s="20"/>
      <c r="BG37" s="20"/>
      <c r="BH37" s="20"/>
      <c r="BJ37" s="10"/>
      <c r="BL37" s="20"/>
      <c r="BM37" s="20"/>
      <c r="BN37" s="20"/>
      <c r="BO37" s="20"/>
      <c r="BS37" s="20"/>
      <c r="BT37" s="20"/>
      <c r="BU37" s="20"/>
      <c r="BV37" s="20"/>
      <c r="BX37" s="10"/>
      <c r="BZ37" s="20"/>
      <c r="CA37" s="20"/>
      <c r="CB37" s="20"/>
      <c r="CC37" s="20"/>
      <c r="CE37" s="10"/>
      <c r="CG37" s="20"/>
      <c r="CH37" s="20"/>
      <c r="CI37" s="20"/>
      <c r="CJ37" s="20"/>
      <c r="CL37" s="10"/>
      <c r="CN37" s="20"/>
      <c r="CO37" s="20"/>
      <c r="CP37" s="20"/>
      <c r="CQ37" s="20"/>
      <c r="CS37" s="10"/>
      <c r="CU37" s="20"/>
      <c r="CV37" s="20"/>
      <c r="CW37" s="20"/>
      <c r="CX37" s="23"/>
      <c r="CZ37" s="10"/>
      <c r="DB37" s="20"/>
      <c r="DC37" s="23">
        <v>1</v>
      </c>
      <c r="DD37" s="20"/>
      <c r="DE37" s="23">
        <v>1</v>
      </c>
      <c r="DG37" s="10"/>
      <c r="DI37" s="20"/>
      <c r="DJ37" s="20"/>
      <c r="DK37" s="20"/>
      <c r="DL37" s="20"/>
      <c r="DN37" s="10"/>
      <c r="DP37" s="20"/>
      <c r="DQ37" s="20"/>
      <c r="DR37" s="20"/>
      <c r="DS37" s="20"/>
      <c r="DU37" s="10"/>
      <c r="DW37" s="20"/>
      <c r="DX37" s="20"/>
      <c r="DY37" s="20"/>
      <c r="DZ37" s="20"/>
    </row>
    <row r="38" spans="2:130" ht="15.75" customHeight="1" outlineLevel="1" x14ac:dyDescent="0.25">
      <c r="B38" s="6" t="s">
        <v>52</v>
      </c>
      <c r="C38" s="17" t="s">
        <v>82</v>
      </c>
      <c r="E38" s="19"/>
      <c r="F38" s="5" t="s">
        <v>79</v>
      </c>
      <c r="G38" s="20">
        <v>0.1</v>
      </c>
      <c r="I38" s="19">
        <f t="shared" si="3"/>
        <v>0</v>
      </c>
      <c r="J38" s="22">
        <f t="array" ref="J38">MAX(IF($N$3:$HA$3=$J$3,N38:HA38))</f>
        <v>0</v>
      </c>
      <c r="K38" s="22">
        <f t="array" ref="K38">MAX(IF($N$3:$HA$3=$J$3,N38:HA38))</f>
        <v>0</v>
      </c>
      <c r="L38" s="19"/>
      <c r="O38" s="20"/>
      <c r="P38" s="20"/>
      <c r="Q38" s="20"/>
      <c r="R38" s="20"/>
      <c r="V38" s="20"/>
      <c r="W38" s="20"/>
      <c r="X38" s="20"/>
      <c r="Y38" s="20"/>
      <c r="AC38" s="20"/>
      <c r="AD38" s="20"/>
      <c r="AE38" s="20"/>
      <c r="AF38" s="20"/>
      <c r="AJ38" s="20"/>
      <c r="AK38" s="20"/>
      <c r="AL38" s="20"/>
      <c r="AM38" s="20"/>
      <c r="AQ38" s="20"/>
      <c r="AR38" s="20"/>
      <c r="AS38" s="20"/>
      <c r="AT38" s="20"/>
      <c r="AX38" s="20"/>
      <c r="AY38" s="20"/>
      <c r="AZ38" s="20"/>
      <c r="BA38" s="20"/>
      <c r="BE38" s="20"/>
      <c r="BF38" s="20"/>
      <c r="BG38" s="20"/>
      <c r="BH38" s="20"/>
      <c r="BJ38" s="10"/>
      <c r="BL38" s="20"/>
      <c r="BM38" s="20"/>
      <c r="BN38" s="20"/>
      <c r="BO38" s="20"/>
      <c r="BS38" s="20"/>
      <c r="BT38" s="20"/>
      <c r="BU38" s="20"/>
      <c r="BV38" s="20"/>
      <c r="BX38" s="10"/>
      <c r="BZ38" s="20"/>
      <c r="CA38" s="20"/>
      <c r="CB38" s="20"/>
      <c r="CC38" s="20"/>
      <c r="CE38" s="10"/>
      <c r="CG38" s="20"/>
      <c r="CH38" s="20"/>
      <c r="CI38" s="20"/>
      <c r="CJ38" s="20"/>
      <c r="CL38" s="10"/>
      <c r="CN38" s="20"/>
      <c r="CO38" s="20"/>
      <c r="CP38" s="20"/>
      <c r="CQ38" s="20"/>
      <c r="CS38" s="10"/>
      <c r="CU38" s="20"/>
      <c r="CV38" s="20"/>
      <c r="CW38" s="20"/>
      <c r="CX38" s="23"/>
      <c r="CZ38" s="10"/>
      <c r="DB38" s="20"/>
      <c r="DC38" s="23">
        <v>1</v>
      </c>
      <c r="DD38" s="20"/>
      <c r="DE38" s="23">
        <v>1</v>
      </c>
      <c r="DG38" s="10"/>
      <c r="DI38" s="20"/>
      <c r="DJ38" s="20"/>
      <c r="DK38" s="20"/>
      <c r="DL38" s="20"/>
      <c r="DN38" s="10"/>
      <c r="DP38" s="20"/>
      <c r="DQ38" s="20"/>
      <c r="DR38" s="20"/>
      <c r="DS38" s="20"/>
      <c r="DU38" s="10"/>
      <c r="DW38" s="20"/>
      <c r="DX38" s="20"/>
      <c r="DY38" s="20"/>
      <c r="DZ38" s="20"/>
    </row>
    <row r="39" spans="2:130" ht="15.75" customHeight="1" outlineLevel="1" x14ac:dyDescent="0.25">
      <c r="B39" s="6" t="s">
        <v>52</v>
      </c>
      <c r="C39" s="17" t="s">
        <v>82</v>
      </c>
      <c r="E39" s="19"/>
      <c r="F39" s="5" t="s">
        <v>80</v>
      </c>
      <c r="G39" s="20">
        <v>0.1</v>
      </c>
      <c r="I39" s="19">
        <f t="shared" si="3"/>
        <v>0</v>
      </c>
      <c r="J39" s="22">
        <f t="array" ref="J39">MAX(IF($N$3:$HA$3=$J$3,N39:HA39))</f>
        <v>0</v>
      </c>
      <c r="K39" s="22">
        <f t="array" ref="K39">MAX(IF($N$3:$HA$3=$J$3,N39:HA39))</f>
        <v>0</v>
      </c>
      <c r="L39" s="19"/>
      <c r="O39" s="20"/>
      <c r="P39" s="20"/>
      <c r="Q39" s="20"/>
      <c r="R39" s="20"/>
      <c r="V39" s="20"/>
      <c r="W39" s="20"/>
      <c r="X39" s="20"/>
      <c r="Y39" s="20"/>
      <c r="AC39" s="20"/>
      <c r="AD39" s="20"/>
      <c r="AE39" s="20"/>
      <c r="AF39" s="20"/>
      <c r="AJ39" s="20"/>
      <c r="AK39" s="20"/>
      <c r="AL39" s="20"/>
      <c r="AM39" s="20"/>
      <c r="AQ39" s="20"/>
      <c r="AR39" s="20"/>
      <c r="AS39" s="20"/>
      <c r="AT39" s="20"/>
      <c r="AX39" s="20"/>
      <c r="AY39" s="20"/>
      <c r="AZ39" s="20"/>
      <c r="BA39" s="20"/>
      <c r="BE39" s="20"/>
      <c r="BF39" s="20"/>
      <c r="BG39" s="20"/>
      <c r="BH39" s="20"/>
      <c r="BJ39" s="10"/>
      <c r="BL39" s="20"/>
      <c r="BM39" s="20"/>
      <c r="BN39" s="20"/>
      <c r="BO39" s="20"/>
      <c r="BS39" s="20"/>
      <c r="BT39" s="20"/>
      <c r="BU39" s="20"/>
      <c r="BV39" s="20"/>
      <c r="BX39" s="10"/>
      <c r="BZ39" s="20"/>
      <c r="CA39" s="20"/>
      <c r="CB39" s="20"/>
      <c r="CC39" s="20"/>
      <c r="CE39" s="10"/>
      <c r="CG39" s="20"/>
      <c r="CH39" s="20"/>
      <c r="CI39" s="20"/>
      <c r="CJ39" s="20"/>
      <c r="CL39" s="10"/>
      <c r="CN39" s="20"/>
      <c r="CO39" s="20"/>
      <c r="CP39" s="20"/>
      <c r="CQ39" s="20"/>
      <c r="CS39" s="10"/>
      <c r="CU39" s="20"/>
      <c r="CV39" s="20"/>
      <c r="CW39" s="20"/>
      <c r="CX39" s="23"/>
      <c r="CZ39" s="10"/>
      <c r="DB39" s="20"/>
      <c r="DC39" s="23">
        <v>1</v>
      </c>
      <c r="DD39" s="20"/>
      <c r="DE39" s="23">
        <v>1</v>
      </c>
      <c r="DG39" s="10"/>
      <c r="DI39" s="20"/>
      <c r="DJ39" s="20"/>
      <c r="DK39" s="20"/>
      <c r="DL39" s="20"/>
      <c r="DN39" s="10"/>
      <c r="DP39" s="20"/>
      <c r="DQ39" s="20"/>
      <c r="DR39" s="20"/>
      <c r="DS39" s="20"/>
      <c r="DU39" s="10"/>
      <c r="DW39" s="20"/>
      <c r="DX39" s="20"/>
      <c r="DY39" s="20"/>
      <c r="DZ39" s="20"/>
    </row>
    <row r="40" spans="2:130" ht="15.75" customHeight="1" outlineLevel="1" x14ac:dyDescent="0.25">
      <c r="B40" s="6" t="s">
        <v>52</v>
      </c>
      <c r="C40" s="17" t="s">
        <v>82</v>
      </c>
      <c r="E40" s="19"/>
      <c r="F40" s="5" t="s">
        <v>81</v>
      </c>
      <c r="G40" s="20">
        <v>0.1</v>
      </c>
      <c r="I40" s="19">
        <f t="shared" si="3"/>
        <v>0</v>
      </c>
      <c r="J40" s="22">
        <f t="array" ref="J40">MAX(IF($N$3:$HA$3=$J$3,N40:HA40))</f>
        <v>0</v>
      </c>
      <c r="K40" s="22">
        <f t="array" ref="K40">MAX(IF($N$3:$HA$3=$J$3,N40:HA40))</f>
        <v>0</v>
      </c>
      <c r="L40" s="19"/>
      <c r="O40" s="20"/>
      <c r="P40" s="20"/>
      <c r="Q40" s="20"/>
      <c r="R40" s="20"/>
      <c r="V40" s="20"/>
      <c r="W40" s="20"/>
      <c r="X40" s="20"/>
      <c r="Y40" s="20"/>
      <c r="AC40" s="20"/>
      <c r="AD40" s="20"/>
      <c r="AE40" s="20"/>
      <c r="AF40" s="20"/>
      <c r="AJ40" s="20"/>
      <c r="AK40" s="20"/>
      <c r="AL40" s="20"/>
      <c r="AM40" s="20"/>
      <c r="AQ40" s="20"/>
      <c r="AR40" s="20"/>
      <c r="AS40" s="20"/>
      <c r="AT40" s="20"/>
      <c r="AX40" s="20"/>
      <c r="AY40" s="20"/>
      <c r="AZ40" s="20"/>
      <c r="BA40" s="20"/>
      <c r="BE40" s="20"/>
      <c r="BF40" s="20"/>
      <c r="BG40" s="20"/>
      <c r="BH40" s="20"/>
      <c r="BJ40" s="10"/>
      <c r="BL40" s="20"/>
      <c r="BM40" s="20"/>
      <c r="BN40" s="20"/>
      <c r="BO40" s="20"/>
      <c r="BS40" s="20"/>
      <c r="BT40" s="20"/>
      <c r="BU40" s="20"/>
      <c r="BV40" s="20"/>
      <c r="BX40" s="10"/>
      <c r="BZ40" s="20"/>
      <c r="CA40" s="20"/>
      <c r="CB40" s="20"/>
      <c r="CC40" s="20"/>
      <c r="CE40" s="10"/>
      <c r="CG40" s="20"/>
      <c r="CH40" s="20"/>
      <c r="CI40" s="20"/>
      <c r="CJ40" s="20"/>
      <c r="CL40" s="10"/>
      <c r="CN40" s="20"/>
      <c r="CO40" s="20"/>
      <c r="CP40" s="20"/>
      <c r="CQ40" s="20"/>
      <c r="CS40" s="10"/>
      <c r="CU40" s="20"/>
      <c r="CV40" s="20"/>
      <c r="CW40" s="20"/>
      <c r="CX40" s="23"/>
      <c r="CZ40" s="10"/>
      <c r="DB40" s="20"/>
      <c r="DC40" s="23">
        <v>1</v>
      </c>
      <c r="DD40" s="20"/>
      <c r="DE40" s="23">
        <v>1</v>
      </c>
      <c r="DG40" s="10"/>
      <c r="DI40" s="20"/>
      <c r="DJ40" s="20"/>
      <c r="DK40" s="20"/>
      <c r="DL40" s="20"/>
      <c r="DN40" s="10"/>
      <c r="DP40" s="20"/>
      <c r="DQ40" s="20"/>
      <c r="DR40" s="20"/>
      <c r="DS40" s="20"/>
      <c r="DU40" s="10"/>
      <c r="DW40" s="20"/>
      <c r="DX40" s="20"/>
      <c r="DY40" s="20"/>
      <c r="DZ40" s="20"/>
    </row>
    <row r="41" spans="2:130" ht="15.75" customHeight="1" x14ac:dyDescent="0.25">
      <c r="C41" s="8"/>
      <c r="BJ41" s="10"/>
      <c r="BX41" s="10"/>
      <c r="CE41" s="10"/>
      <c r="CL41" s="10"/>
      <c r="CS41" s="10"/>
      <c r="CZ41" s="10"/>
      <c r="DG41" s="10"/>
      <c r="DN41" s="10"/>
      <c r="DU41" s="10"/>
    </row>
    <row r="42" spans="2:130" ht="15.75" customHeight="1" x14ac:dyDescent="0.25">
      <c r="B42" s="6" t="s">
        <v>22</v>
      </c>
      <c r="C42" s="17" t="s">
        <v>83</v>
      </c>
      <c r="D42" s="18">
        <v>44914</v>
      </c>
      <c r="E42" s="25">
        <v>3</v>
      </c>
      <c r="G42" s="20">
        <f>+SUM(G43:G50)</f>
        <v>1</v>
      </c>
      <c r="I42" s="21">
        <f>+SUM(I43:I50)</f>
        <v>0</v>
      </c>
      <c r="J42" s="22">
        <f>+SUMPRODUCT(G43:G50,J43:J50)</f>
        <v>0</v>
      </c>
      <c r="K42" s="22">
        <f>+SUMPRODUCT(G43:G50,K43:K50)</f>
        <v>0</v>
      </c>
      <c r="L42" s="19"/>
      <c r="N42" s="21"/>
      <c r="U42" s="21"/>
      <c r="AB42" s="21"/>
      <c r="AI42" s="21"/>
      <c r="AP42" s="21"/>
      <c r="AW42" s="21"/>
      <c r="BD42" s="21"/>
      <c r="BJ42" s="10"/>
      <c r="BK42" s="21"/>
      <c r="BR42" s="21"/>
      <c r="BX42" s="10"/>
      <c r="BY42" s="21"/>
      <c r="CE42" s="10"/>
      <c r="CF42" s="21"/>
      <c r="CL42" s="10"/>
      <c r="CM42" s="21"/>
      <c r="CS42" s="10"/>
      <c r="CT42" s="21"/>
      <c r="CZ42" s="10"/>
      <c r="DA42" s="21"/>
      <c r="DG42" s="10"/>
      <c r="DH42" s="21"/>
      <c r="DN42" s="10"/>
      <c r="DO42" s="21"/>
      <c r="DU42" s="10"/>
      <c r="DV42" s="21"/>
    </row>
    <row r="43" spans="2:130" ht="15.75" customHeight="1" outlineLevel="1" x14ac:dyDescent="0.25">
      <c r="B43" s="6" t="s">
        <v>52</v>
      </c>
      <c r="C43" s="17" t="s">
        <v>83</v>
      </c>
      <c r="E43" s="19"/>
      <c r="F43" s="5" t="s">
        <v>74</v>
      </c>
      <c r="G43" s="20">
        <v>0.1</v>
      </c>
      <c r="I43" s="19">
        <f t="shared" ref="I43:I50" si="4">+SUMIF($N$3:$ACS$3,I$3,$N43:$ACS43)</f>
        <v>0</v>
      </c>
      <c r="J43" s="22">
        <f t="array" ref="J43">MAX(IF($N$3:$HA$3=$J$3,N43:HA43))</f>
        <v>0</v>
      </c>
      <c r="K43" s="22">
        <f t="array" ref="K43">MAX(IF($N$3:$HA$3=$J$3,N43:HA43))</f>
        <v>0</v>
      </c>
      <c r="L43" s="19"/>
      <c r="O43" s="20"/>
      <c r="P43" s="20"/>
      <c r="Q43" s="20"/>
      <c r="R43" s="20"/>
      <c r="V43" s="20"/>
      <c r="W43" s="20"/>
      <c r="X43" s="20"/>
      <c r="Y43" s="20"/>
      <c r="AC43" s="20"/>
      <c r="AD43" s="20"/>
      <c r="AE43" s="20"/>
      <c r="AF43" s="20"/>
      <c r="AJ43" s="20"/>
      <c r="AK43" s="20"/>
      <c r="AL43" s="20"/>
      <c r="AM43" s="20"/>
      <c r="AQ43" s="20"/>
      <c r="AR43" s="20"/>
      <c r="AS43" s="20"/>
      <c r="AT43" s="20"/>
      <c r="AX43" s="20"/>
      <c r="AY43" s="20"/>
      <c r="AZ43" s="20"/>
      <c r="BA43" s="20"/>
      <c r="BE43" s="20"/>
      <c r="BF43" s="20"/>
      <c r="BG43" s="20"/>
      <c r="BH43" s="20"/>
      <c r="BJ43" s="10"/>
      <c r="BL43" s="20"/>
      <c r="BM43" s="20"/>
      <c r="BN43" s="20"/>
      <c r="BO43" s="20"/>
      <c r="BS43" s="20"/>
      <c r="BT43" s="20"/>
      <c r="BU43" s="20"/>
      <c r="BV43" s="20"/>
      <c r="BX43" s="10"/>
      <c r="BZ43" s="20"/>
      <c r="CA43" s="20"/>
      <c r="CB43" s="20"/>
      <c r="CC43" s="20"/>
      <c r="CE43" s="10"/>
      <c r="CG43" s="20"/>
      <c r="CH43" s="20"/>
      <c r="CI43" s="20"/>
      <c r="CJ43" s="20"/>
      <c r="CL43" s="10"/>
      <c r="CN43" s="20"/>
      <c r="CO43" s="20"/>
      <c r="CP43" s="20"/>
      <c r="CQ43" s="20"/>
      <c r="CS43" s="10"/>
      <c r="CU43" s="20"/>
      <c r="CV43" s="20"/>
      <c r="CW43" s="20"/>
      <c r="CX43" s="23"/>
      <c r="CZ43" s="10"/>
      <c r="DB43" s="20"/>
      <c r="DC43" s="23">
        <v>1</v>
      </c>
      <c r="DD43" s="20"/>
      <c r="DE43" s="23">
        <v>1</v>
      </c>
      <c r="DG43" s="10"/>
      <c r="DI43" s="20"/>
      <c r="DJ43" s="20"/>
      <c r="DK43" s="20"/>
      <c r="DL43" s="20"/>
      <c r="DN43" s="10"/>
      <c r="DP43" s="20"/>
      <c r="DQ43" s="20"/>
      <c r="DR43" s="20"/>
      <c r="DS43" s="20"/>
      <c r="DU43" s="10"/>
      <c r="DW43" s="20"/>
      <c r="DX43" s="20"/>
      <c r="DY43" s="20"/>
      <c r="DZ43" s="20"/>
    </row>
    <row r="44" spans="2:130" ht="15.75" customHeight="1" outlineLevel="1" x14ac:dyDescent="0.25">
      <c r="B44" s="6" t="s">
        <v>52</v>
      </c>
      <c r="C44" s="17" t="s">
        <v>83</v>
      </c>
      <c r="E44" s="19"/>
      <c r="F44" s="5" t="s">
        <v>75</v>
      </c>
      <c r="G44" s="23">
        <v>0.15</v>
      </c>
      <c r="I44" s="19">
        <f t="shared" si="4"/>
        <v>0</v>
      </c>
      <c r="J44" s="22">
        <f t="array" ref="J44">MAX(IF($N$3:$HA$3=$J$3,N44:HA44))</f>
        <v>0</v>
      </c>
      <c r="K44" s="22">
        <f t="array" ref="K44">MAX(IF($N$3:$HA$3=$J$3,N44:HA44))</f>
        <v>0</v>
      </c>
      <c r="L44" s="19"/>
      <c r="O44" s="20"/>
      <c r="P44" s="20"/>
      <c r="Q44" s="20"/>
      <c r="R44" s="20"/>
      <c r="V44" s="20"/>
      <c r="W44" s="20"/>
      <c r="X44" s="20"/>
      <c r="Y44" s="20"/>
      <c r="AC44" s="20"/>
      <c r="AD44" s="20"/>
      <c r="AE44" s="20"/>
      <c r="AF44" s="20"/>
      <c r="AJ44" s="20"/>
      <c r="AK44" s="20"/>
      <c r="AL44" s="20"/>
      <c r="AM44" s="20"/>
      <c r="AQ44" s="20"/>
      <c r="AR44" s="20"/>
      <c r="AS44" s="20"/>
      <c r="AT44" s="20"/>
      <c r="AX44" s="20"/>
      <c r="AY44" s="20"/>
      <c r="AZ44" s="20"/>
      <c r="BA44" s="20"/>
      <c r="BE44" s="20"/>
      <c r="BF44" s="20"/>
      <c r="BG44" s="20"/>
      <c r="BH44" s="20"/>
      <c r="BJ44" s="10"/>
      <c r="BL44" s="20"/>
      <c r="BM44" s="20"/>
      <c r="BN44" s="20"/>
      <c r="BO44" s="20"/>
      <c r="BS44" s="20"/>
      <c r="BT44" s="20"/>
      <c r="BU44" s="20"/>
      <c r="BV44" s="20"/>
      <c r="BX44" s="10"/>
      <c r="BZ44" s="20"/>
      <c r="CA44" s="20"/>
      <c r="CB44" s="20"/>
      <c r="CC44" s="20"/>
      <c r="CE44" s="10"/>
      <c r="CG44" s="20"/>
      <c r="CH44" s="20"/>
      <c r="CI44" s="20"/>
      <c r="CJ44" s="20"/>
      <c r="CL44" s="10"/>
      <c r="CN44" s="20"/>
      <c r="CO44" s="20"/>
      <c r="CP44" s="20"/>
      <c r="CQ44" s="20"/>
      <c r="CS44" s="10"/>
      <c r="CU44" s="20"/>
      <c r="CV44" s="20"/>
      <c r="CW44" s="20"/>
      <c r="CX44" s="23"/>
      <c r="CZ44" s="10"/>
      <c r="DB44" s="20"/>
      <c r="DC44" s="23">
        <v>1</v>
      </c>
      <c r="DD44" s="20"/>
      <c r="DE44" s="23">
        <v>1</v>
      </c>
      <c r="DG44" s="10"/>
      <c r="DI44" s="20"/>
      <c r="DJ44" s="20"/>
      <c r="DK44" s="20"/>
      <c r="DL44" s="20"/>
      <c r="DN44" s="10"/>
      <c r="DP44" s="20"/>
      <c r="DQ44" s="20"/>
      <c r="DR44" s="20"/>
      <c r="DS44" s="20"/>
      <c r="DU44" s="10"/>
      <c r="DW44" s="20"/>
      <c r="DX44" s="20"/>
      <c r="DY44" s="20"/>
      <c r="DZ44" s="20"/>
    </row>
    <row r="45" spans="2:130" ht="15.75" customHeight="1" outlineLevel="1" x14ac:dyDescent="0.25">
      <c r="B45" s="6" t="s">
        <v>52</v>
      </c>
      <c r="C45" s="17" t="s">
        <v>83</v>
      </c>
      <c r="E45" s="19"/>
      <c r="F45" s="5" t="s">
        <v>76</v>
      </c>
      <c r="G45" s="23">
        <v>0.15</v>
      </c>
      <c r="I45" s="19">
        <f t="shared" si="4"/>
        <v>0</v>
      </c>
      <c r="J45" s="22">
        <f t="array" ref="J45">MAX(IF($N$3:$HA$3=$J$3,N45:HA45))</f>
        <v>0</v>
      </c>
      <c r="K45" s="22">
        <f t="array" ref="K45">MAX(IF($N$3:$HA$3=$J$3,N45:HA45))</f>
        <v>0</v>
      </c>
      <c r="L45" s="19"/>
      <c r="O45" s="20"/>
      <c r="P45" s="20"/>
      <c r="Q45" s="20"/>
      <c r="R45" s="20"/>
      <c r="V45" s="20"/>
      <c r="W45" s="20"/>
      <c r="X45" s="20"/>
      <c r="Y45" s="20"/>
      <c r="AC45" s="20"/>
      <c r="AD45" s="20"/>
      <c r="AE45" s="20"/>
      <c r="AF45" s="20"/>
      <c r="AJ45" s="20"/>
      <c r="AK45" s="20"/>
      <c r="AL45" s="20"/>
      <c r="AM45" s="20"/>
      <c r="AQ45" s="20"/>
      <c r="AR45" s="20"/>
      <c r="AS45" s="20"/>
      <c r="AT45" s="20"/>
      <c r="AX45" s="20"/>
      <c r="AY45" s="20"/>
      <c r="AZ45" s="20"/>
      <c r="BA45" s="20"/>
      <c r="BE45" s="20"/>
      <c r="BF45" s="20"/>
      <c r="BG45" s="20"/>
      <c r="BH45" s="20"/>
      <c r="BJ45" s="10"/>
      <c r="BL45" s="20"/>
      <c r="BM45" s="20"/>
      <c r="BN45" s="20"/>
      <c r="BO45" s="20"/>
      <c r="BS45" s="20"/>
      <c r="BT45" s="20"/>
      <c r="BU45" s="20"/>
      <c r="BV45" s="20"/>
      <c r="BX45" s="10"/>
      <c r="BZ45" s="20"/>
      <c r="CA45" s="20"/>
      <c r="CB45" s="20"/>
      <c r="CC45" s="20"/>
      <c r="CE45" s="10"/>
      <c r="CG45" s="20"/>
      <c r="CH45" s="20"/>
      <c r="CI45" s="20"/>
      <c r="CJ45" s="20"/>
      <c r="CL45" s="10"/>
      <c r="CN45" s="20"/>
      <c r="CO45" s="20"/>
      <c r="CP45" s="20"/>
      <c r="CQ45" s="20"/>
      <c r="CS45" s="10"/>
      <c r="CU45" s="20"/>
      <c r="CV45" s="20"/>
      <c r="CW45" s="20"/>
      <c r="CX45" s="23"/>
      <c r="CZ45" s="10"/>
      <c r="DB45" s="20"/>
      <c r="DC45" s="23">
        <v>1</v>
      </c>
      <c r="DD45" s="20"/>
      <c r="DE45" s="23">
        <v>1</v>
      </c>
      <c r="DG45" s="10"/>
      <c r="DI45" s="20"/>
      <c r="DJ45" s="20"/>
      <c r="DK45" s="20"/>
      <c r="DL45" s="20"/>
      <c r="DN45" s="10"/>
      <c r="DP45" s="20"/>
      <c r="DQ45" s="20"/>
      <c r="DR45" s="20"/>
      <c r="DS45" s="20"/>
      <c r="DU45" s="10"/>
      <c r="DW45" s="20"/>
      <c r="DX45" s="20"/>
      <c r="DY45" s="20"/>
      <c r="DZ45" s="20"/>
    </row>
    <row r="46" spans="2:130" ht="15.75" customHeight="1" outlineLevel="1" x14ac:dyDescent="0.25">
      <c r="B46" s="6" t="s">
        <v>52</v>
      </c>
      <c r="C46" s="17" t="s">
        <v>83</v>
      </c>
      <c r="E46" s="19"/>
      <c r="F46" s="5" t="s">
        <v>77</v>
      </c>
      <c r="G46" s="23">
        <v>0.15</v>
      </c>
      <c r="I46" s="19">
        <f t="shared" si="4"/>
        <v>0</v>
      </c>
      <c r="J46" s="22">
        <f t="array" ref="J46">MAX(IF($N$3:$HA$3=$J$3,N46:HA46))</f>
        <v>0</v>
      </c>
      <c r="K46" s="22">
        <f t="array" ref="K46">MAX(IF($N$3:$HA$3=$J$3,N46:HA46))</f>
        <v>0</v>
      </c>
      <c r="L46" s="19"/>
      <c r="O46" s="20"/>
      <c r="P46" s="20"/>
      <c r="Q46" s="20"/>
      <c r="R46" s="20"/>
      <c r="V46" s="20"/>
      <c r="W46" s="20"/>
      <c r="X46" s="20"/>
      <c r="Y46" s="20"/>
      <c r="AC46" s="20"/>
      <c r="AD46" s="20"/>
      <c r="AE46" s="20"/>
      <c r="AF46" s="20"/>
      <c r="AJ46" s="20"/>
      <c r="AK46" s="20"/>
      <c r="AL46" s="20"/>
      <c r="AM46" s="20"/>
      <c r="AQ46" s="20"/>
      <c r="AR46" s="20"/>
      <c r="AS46" s="20"/>
      <c r="AT46" s="20"/>
      <c r="AX46" s="20"/>
      <c r="AY46" s="20"/>
      <c r="AZ46" s="20"/>
      <c r="BA46" s="20"/>
      <c r="BE46" s="20"/>
      <c r="BF46" s="20"/>
      <c r="BG46" s="20"/>
      <c r="BH46" s="20"/>
      <c r="BJ46" s="10"/>
      <c r="BL46" s="20"/>
      <c r="BM46" s="20"/>
      <c r="BN46" s="20"/>
      <c r="BO46" s="20"/>
      <c r="BS46" s="20"/>
      <c r="BT46" s="20"/>
      <c r="BU46" s="20"/>
      <c r="BV46" s="20"/>
      <c r="BX46" s="10"/>
      <c r="BZ46" s="20"/>
      <c r="CA46" s="20"/>
      <c r="CB46" s="20"/>
      <c r="CC46" s="20"/>
      <c r="CE46" s="10"/>
      <c r="CG46" s="20"/>
      <c r="CH46" s="20"/>
      <c r="CI46" s="20"/>
      <c r="CJ46" s="20"/>
      <c r="CL46" s="10"/>
      <c r="CN46" s="20"/>
      <c r="CO46" s="20"/>
      <c r="CP46" s="20"/>
      <c r="CQ46" s="20"/>
      <c r="CS46" s="10"/>
      <c r="CU46" s="20"/>
      <c r="CV46" s="20"/>
      <c r="CW46" s="20"/>
      <c r="CX46" s="23"/>
      <c r="CZ46" s="10"/>
      <c r="DB46" s="20"/>
      <c r="DC46" s="23">
        <v>1</v>
      </c>
      <c r="DD46" s="20"/>
      <c r="DE46" s="23">
        <v>1</v>
      </c>
      <c r="DG46" s="10"/>
      <c r="DI46" s="20"/>
      <c r="DJ46" s="20"/>
      <c r="DK46" s="20"/>
      <c r="DL46" s="20"/>
      <c r="DN46" s="10"/>
      <c r="DP46" s="20"/>
      <c r="DQ46" s="20"/>
      <c r="DR46" s="20"/>
      <c r="DS46" s="20"/>
      <c r="DU46" s="10"/>
      <c r="DW46" s="20"/>
      <c r="DX46" s="20"/>
      <c r="DY46" s="20"/>
      <c r="DZ46" s="20"/>
    </row>
    <row r="47" spans="2:130" ht="15.75" customHeight="1" outlineLevel="1" x14ac:dyDescent="0.25">
      <c r="B47" s="6" t="s">
        <v>52</v>
      </c>
      <c r="C47" s="17" t="s">
        <v>83</v>
      </c>
      <c r="E47" s="19"/>
      <c r="F47" s="5" t="s">
        <v>78</v>
      </c>
      <c r="G47" s="23">
        <v>0.15</v>
      </c>
      <c r="I47" s="19">
        <f t="shared" si="4"/>
        <v>0</v>
      </c>
      <c r="J47" s="22">
        <f t="array" ref="J47">MAX(IF($N$3:$HA$3=$J$3,N47:HA47))</f>
        <v>0</v>
      </c>
      <c r="K47" s="22">
        <f t="array" ref="K47">MAX(IF($N$3:$HA$3=$J$3,N47:HA47))</f>
        <v>0</v>
      </c>
      <c r="L47" s="19"/>
      <c r="O47" s="20"/>
      <c r="P47" s="20"/>
      <c r="Q47" s="20"/>
      <c r="R47" s="20"/>
      <c r="V47" s="20"/>
      <c r="W47" s="20"/>
      <c r="X47" s="20"/>
      <c r="Y47" s="20"/>
      <c r="AC47" s="20"/>
      <c r="AD47" s="20"/>
      <c r="AE47" s="20"/>
      <c r="AF47" s="20"/>
      <c r="AJ47" s="20"/>
      <c r="AK47" s="20"/>
      <c r="AL47" s="20"/>
      <c r="AM47" s="20"/>
      <c r="AQ47" s="20"/>
      <c r="AR47" s="20"/>
      <c r="AS47" s="20"/>
      <c r="AT47" s="20"/>
      <c r="AX47" s="20"/>
      <c r="AY47" s="20"/>
      <c r="AZ47" s="20"/>
      <c r="BA47" s="20"/>
      <c r="BE47" s="20"/>
      <c r="BF47" s="20"/>
      <c r="BG47" s="20"/>
      <c r="BH47" s="20"/>
      <c r="BJ47" s="10"/>
      <c r="BL47" s="20"/>
      <c r="BM47" s="20"/>
      <c r="BN47" s="20"/>
      <c r="BO47" s="20"/>
      <c r="BS47" s="20"/>
      <c r="BT47" s="20"/>
      <c r="BU47" s="20"/>
      <c r="BV47" s="20"/>
      <c r="BX47" s="10"/>
      <c r="BZ47" s="20"/>
      <c r="CA47" s="20"/>
      <c r="CB47" s="20"/>
      <c r="CC47" s="20"/>
      <c r="CE47" s="10"/>
      <c r="CG47" s="20"/>
      <c r="CH47" s="20"/>
      <c r="CI47" s="20"/>
      <c r="CJ47" s="20"/>
      <c r="CL47" s="10"/>
      <c r="CN47" s="20"/>
      <c r="CO47" s="20"/>
      <c r="CP47" s="20"/>
      <c r="CQ47" s="20"/>
      <c r="CS47" s="10"/>
      <c r="CU47" s="20"/>
      <c r="CV47" s="20"/>
      <c r="CW47" s="20"/>
      <c r="CX47" s="23"/>
      <c r="CZ47" s="10"/>
      <c r="DB47" s="20"/>
      <c r="DC47" s="23">
        <v>1</v>
      </c>
      <c r="DD47" s="20"/>
      <c r="DE47" s="23">
        <v>1</v>
      </c>
      <c r="DG47" s="10"/>
      <c r="DI47" s="20"/>
      <c r="DJ47" s="20"/>
      <c r="DK47" s="20"/>
      <c r="DL47" s="20"/>
      <c r="DN47" s="10"/>
      <c r="DP47" s="20"/>
      <c r="DQ47" s="20"/>
      <c r="DR47" s="20"/>
      <c r="DS47" s="20"/>
      <c r="DU47" s="10"/>
      <c r="DW47" s="20"/>
      <c r="DX47" s="20"/>
      <c r="DY47" s="20"/>
      <c r="DZ47" s="20"/>
    </row>
    <row r="48" spans="2:130" ht="15.75" customHeight="1" outlineLevel="1" x14ac:dyDescent="0.25">
      <c r="B48" s="6" t="s">
        <v>52</v>
      </c>
      <c r="C48" s="17" t="s">
        <v>83</v>
      </c>
      <c r="E48" s="19"/>
      <c r="F48" s="5" t="s">
        <v>79</v>
      </c>
      <c r="G48" s="20">
        <v>0.1</v>
      </c>
      <c r="I48" s="19">
        <f t="shared" si="4"/>
        <v>0</v>
      </c>
      <c r="J48" s="22">
        <f t="array" ref="J48">MAX(IF($N$3:$HA$3=$J$3,N48:HA48))</f>
        <v>0</v>
      </c>
      <c r="K48" s="22">
        <f t="array" ref="K48">MAX(IF($N$3:$HA$3=$J$3,N48:HA48))</f>
        <v>0</v>
      </c>
      <c r="L48" s="19"/>
      <c r="O48" s="20"/>
      <c r="P48" s="20"/>
      <c r="Q48" s="20"/>
      <c r="R48" s="20"/>
      <c r="V48" s="20"/>
      <c r="W48" s="20"/>
      <c r="X48" s="20"/>
      <c r="Y48" s="20"/>
      <c r="AC48" s="20"/>
      <c r="AD48" s="20"/>
      <c r="AE48" s="20"/>
      <c r="AF48" s="20"/>
      <c r="AJ48" s="20"/>
      <c r="AK48" s="20"/>
      <c r="AL48" s="20"/>
      <c r="AM48" s="20"/>
      <c r="AQ48" s="20"/>
      <c r="AR48" s="20"/>
      <c r="AS48" s="20"/>
      <c r="AT48" s="20"/>
      <c r="AX48" s="20"/>
      <c r="AY48" s="20"/>
      <c r="AZ48" s="20"/>
      <c r="BA48" s="20"/>
      <c r="BE48" s="20"/>
      <c r="BF48" s="20"/>
      <c r="BG48" s="20"/>
      <c r="BH48" s="20"/>
      <c r="BJ48" s="10"/>
      <c r="BL48" s="20"/>
      <c r="BM48" s="20"/>
      <c r="BN48" s="20"/>
      <c r="BO48" s="20"/>
      <c r="BS48" s="20"/>
      <c r="BT48" s="20"/>
      <c r="BU48" s="20"/>
      <c r="BV48" s="20"/>
      <c r="BX48" s="10"/>
      <c r="BZ48" s="20"/>
      <c r="CA48" s="20"/>
      <c r="CB48" s="20"/>
      <c r="CC48" s="20"/>
      <c r="CE48" s="10"/>
      <c r="CG48" s="20"/>
      <c r="CH48" s="20"/>
      <c r="CI48" s="20"/>
      <c r="CJ48" s="20"/>
      <c r="CL48" s="10"/>
      <c r="CN48" s="20"/>
      <c r="CO48" s="20"/>
      <c r="CP48" s="20"/>
      <c r="CQ48" s="20"/>
      <c r="CS48" s="10"/>
      <c r="CU48" s="20"/>
      <c r="CV48" s="20"/>
      <c r="CW48" s="20"/>
      <c r="CX48" s="23"/>
      <c r="CZ48" s="10"/>
      <c r="DB48" s="20"/>
      <c r="DC48" s="23">
        <v>1</v>
      </c>
      <c r="DD48" s="20"/>
      <c r="DE48" s="23">
        <v>1</v>
      </c>
      <c r="DG48" s="10"/>
      <c r="DI48" s="20"/>
      <c r="DJ48" s="20"/>
      <c r="DK48" s="20"/>
      <c r="DL48" s="20"/>
      <c r="DN48" s="10"/>
      <c r="DP48" s="20"/>
      <c r="DQ48" s="20"/>
      <c r="DR48" s="20"/>
      <c r="DS48" s="20"/>
      <c r="DU48" s="10"/>
      <c r="DW48" s="20"/>
      <c r="DX48" s="20"/>
      <c r="DY48" s="20"/>
      <c r="DZ48" s="20"/>
    </row>
    <row r="49" spans="2:130" ht="15.75" customHeight="1" outlineLevel="1" x14ac:dyDescent="0.25">
      <c r="B49" s="6" t="s">
        <v>52</v>
      </c>
      <c r="C49" s="17" t="s">
        <v>83</v>
      </c>
      <c r="E49" s="19"/>
      <c r="F49" s="5" t="s">
        <v>80</v>
      </c>
      <c r="G49" s="20">
        <v>0.1</v>
      </c>
      <c r="I49" s="19">
        <f t="shared" si="4"/>
        <v>0</v>
      </c>
      <c r="J49" s="22">
        <f t="array" ref="J49">MAX(IF($N$3:$HA$3=$J$3,N49:HA49))</f>
        <v>0</v>
      </c>
      <c r="K49" s="22">
        <f t="array" ref="K49">MAX(IF($N$3:$HA$3=$J$3,N49:HA49))</f>
        <v>0</v>
      </c>
      <c r="L49" s="19"/>
      <c r="O49" s="20"/>
      <c r="P49" s="20"/>
      <c r="Q49" s="20"/>
      <c r="R49" s="20"/>
      <c r="V49" s="20"/>
      <c r="W49" s="20"/>
      <c r="X49" s="20"/>
      <c r="Y49" s="20"/>
      <c r="AC49" s="20"/>
      <c r="AD49" s="20"/>
      <c r="AE49" s="20"/>
      <c r="AF49" s="20"/>
      <c r="AJ49" s="20"/>
      <c r="AK49" s="20"/>
      <c r="AL49" s="20"/>
      <c r="AM49" s="20"/>
      <c r="AQ49" s="20"/>
      <c r="AR49" s="20"/>
      <c r="AS49" s="20"/>
      <c r="AT49" s="20"/>
      <c r="AX49" s="20"/>
      <c r="AY49" s="20"/>
      <c r="AZ49" s="20"/>
      <c r="BA49" s="20"/>
      <c r="BE49" s="20"/>
      <c r="BF49" s="20"/>
      <c r="BG49" s="20"/>
      <c r="BH49" s="20"/>
      <c r="BJ49" s="10"/>
      <c r="BL49" s="20"/>
      <c r="BM49" s="20"/>
      <c r="BN49" s="20"/>
      <c r="BO49" s="20"/>
      <c r="BS49" s="20"/>
      <c r="BT49" s="20"/>
      <c r="BU49" s="20"/>
      <c r="BV49" s="20"/>
      <c r="BX49" s="10"/>
      <c r="BZ49" s="20"/>
      <c r="CA49" s="20"/>
      <c r="CB49" s="20"/>
      <c r="CC49" s="20"/>
      <c r="CE49" s="10"/>
      <c r="CG49" s="20"/>
      <c r="CH49" s="20"/>
      <c r="CI49" s="20"/>
      <c r="CJ49" s="20"/>
      <c r="CL49" s="10"/>
      <c r="CN49" s="20"/>
      <c r="CO49" s="20"/>
      <c r="CP49" s="20"/>
      <c r="CQ49" s="20"/>
      <c r="CS49" s="10"/>
      <c r="CU49" s="20"/>
      <c r="CV49" s="20"/>
      <c r="CW49" s="20"/>
      <c r="CX49" s="23"/>
      <c r="CZ49" s="10"/>
      <c r="DB49" s="20"/>
      <c r="DC49" s="23">
        <v>1</v>
      </c>
      <c r="DD49" s="20"/>
      <c r="DE49" s="23">
        <v>1</v>
      </c>
      <c r="DG49" s="10"/>
      <c r="DI49" s="20"/>
      <c r="DJ49" s="20"/>
      <c r="DK49" s="20"/>
      <c r="DL49" s="20"/>
      <c r="DN49" s="10"/>
      <c r="DP49" s="20"/>
      <c r="DQ49" s="20"/>
      <c r="DR49" s="20"/>
      <c r="DS49" s="20"/>
      <c r="DU49" s="10"/>
      <c r="DW49" s="20"/>
      <c r="DX49" s="20"/>
      <c r="DY49" s="20"/>
      <c r="DZ49" s="20"/>
    </row>
    <row r="50" spans="2:130" ht="15.75" customHeight="1" outlineLevel="1" x14ac:dyDescent="0.25">
      <c r="B50" s="6" t="s">
        <v>52</v>
      </c>
      <c r="C50" s="17" t="s">
        <v>83</v>
      </c>
      <c r="E50" s="19"/>
      <c r="F50" s="5" t="s">
        <v>81</v>
      </c>
      <c r="G50" s="20">
        <v>0.1</v>
      </c>
      <c r="I50" s="19">
        <f t="shared" si="4"/>
        <v>0</v>
      </c>
      <c r="J50" s="22">
        <f t="array" ref="J50">MAX(IF($N$3:$HA$3=$J$3,N50:HA50))</f>
        <v>0</v>
      </c>
      <c r="K50" s="22">
        <f t="array" ref="K50">MAX(IF($N$3:$HA$3=$J$3,N50:HA50))</f>
        <v>0</v>
      </c>
      <c r="L50" s="19"/>
      <c r="O50" s="20"/>
      <c r="P50" s="20"/>
      <c r="Q50" s="20"/>
      <c r="R50" s="20"/>
      <c r="V50" s="20"/>
      <c r="W50" s="20"/>
      <c r="X50" s="20"/>
      <c r="Y50" s="20"/>
      <c r="AC50" s="20"/>
      <c r="AD50" s="20"/>
      <c r="AE50" s="20"/>
      <c r="AF50" s="20"/>
      <c r="AJ50" s="20"/>
      <c r="AK50" s="20"/>
      <c r="AL50" s="20"/>
      <c r="AM50" s="20"/>
      <c r="AQ50" s="20"/>
      <c r="AR50" s="20"/>
      <c r="AS50" s="20"/>
      <c r="AT50" s="20"/>
      <c r="AX50" s="20"/>
      <c r="AY50" s="20"/>
      <c r="AZ50" s="20"/>
      <c r="BA50" s="20"/>
      <c r="BE50" s="20"/>
      <c r="BF50" s="20"/>
      <c r="BG50" s="20"/>
      <c r="BH50" s="20"/>
      <c r="BJ50" s="10"/>
      <c r="BL50" s="20"/>
      <c r="BM50" s="20"/>
      <c r="BN50" s="20"/>
      <c r="BO50" s="20"/>
      <c r="BS50" s="20"/>
      <c r="BT50" s="20"/>
      <c r="BU50" s="20"/>
      <c r="BV50" s="20"/>
      <c r="BX50" s="10"/>
      <c r="BZ50" s="20"/>
      <c r="CA50" s="20"/>
      <c r="CB50" s="20"/>
      <c r="CC50" s="20"/>
      <c r="CE50" s="10"/>
      <c r="CG50" s="20"/>
      <c r="CH50" s="20"/>
      <c r="CI50" s="20"/>
      <c r="CJ50" s="20"/>
      <c r="CL50" s="10"/>
      <c r="CN50" s="20"/>
      <c r="CO50" s="20"/>
      <c r="CP50" s="20"/>
      <c r="CQ50" s="20"/>
      <c r="CS50" s="10"/>
      <c r="CU50" s="20"/>
      <c r="CV50" s="20"/>
      <c r="CW50" s="20"/>
      <c r="CX50" s="23"/>
      <c r="CZ50" s="10"/>
      <c r="DB50" s="20"/>
      <c r="DC50" s="23">
        <v>1</v>
      </c>
      <c r="DD50" s="20"/>
      <c r="DE50" s="23">
        <v>1</v>
      </c>
      <c r="DG50" s="10"/>
      <c r="DI50" s="20"/>
      <c r="DJ50" s="20"/>
      <c r="DK50" s="20"/>
      <c r="DL50" s="20"/>
      <c r="DN50" s="10"/>
      <c r="DP50" s="20"/>
      <c r="DQ50" s="20"/>
      <c r="DR50" s="20"/>
      <c r="DS50" s="20"/>
      <c r="DU50" s="10"/>
      <c r="DW50" s="20"/>
      <c r="DX50" s="20"/>
      <c r="DY50" s="20"/>
      <c r="DZ50" s="20"/>
    </row>
    <row r="51" spans="2:130" ht="15.75" customHeight="1" x14ac:dyDescent="0.25">
      <c r="C51" s="8"/>
      <c r="BJ51" s="10"/>
      <c r="BX51" s="10"/>
      <c r="CE51" s="10"/>
      <c r="CL51" s="10"/>
      <c r="CS51" s="10"/>
      <c r="CZ51" s="10"/>
      <c r="DG51" s="10"/>
      <c r="DN51" s="10"/>
      <c r="DU51" s="10"/>
    </row>
    <row r="52" spans="2:130" ht="15.75" customHeight="1" x14ac:dyDescent="0.25">
      <c r="B52" s="6" t="s">
        <v>22</v>
      </c>
      <c r="C52" s="17" t="s">
        <v>84</v>
      </c>
      <c r="D52" s="18">
        <v>44914</v>
      </c>
      <c r="E52" s="25">
        <v>3</v>
      </c>
      <c r="G52" s="20">
        <f>+SUM(G53:G60)</f>
        <v>1</v>
      </c>
      <c r="I52" s="21">
        <f>+SUM(I53:I60)</f>
        <v>0</v>
      </c>
      <c r="J52" s="22">
        <f>+SUMPRODUCT(G53:G60,J53:J60)</f>
        <v>0</v>
      </c>
      <c r="K52" s="22">
        <f>+SUMPRODUCT(G53:G60,K53:K60)</f>
        <v>0</v>
      </c>
      <c r="L52" s="19"/>
      <c r="N52" s="21"/>
      <c r="U52" s="21"/>
      <c r="AB52" s="21"/>
      <c r="AI52" s="21"/>
      <c r="AP52" s="21"/>
      <c r="AW52" s="21"/>
      <c r="BD52" s="21"/>
      <c r="BJ52" s="10"/>
      <c r="BK52" s="21"/>
      <c r="BR52" s="21"/>
      <c r="BX52" s="10"/>
      <c r="BY52" s="21"/>
      <c r="CE52" s="10"/>
      <c r="CF52" s="21"/>
      <c r="CL52" s="10"/>
      <c r="CM52" s="21"/>
      <c r="CS52" s="10"/>
      <c r="CT52" s="21"/>
      <c r="CZ52" s="10"/>
      <c r="DA52" s="21"/>
      <c r="DG52" s="10"/>
      <c r="DH52" s="21"/>
      <c r="DN52" s="10"/>
      <c r="DO52" s="21"/>
      <c r="DU52" s="10"/>
      <c r="DV52" s="21"/>
    </row>
    <row r="53" spans="2:130" ht="15.75" customHeight="1" outlineLevel="1" x14ac:dyDescent="0.25">
      <c r="B53" s="6" t="s">
        <v>52</v>
      </c>
      <c r="C53" s="17" t="s">
        <v>85</v>
      </c>
      <c r="E53" s="19"/>
      <c r="F53" s="5" t="s">
        <v>74</v>
      </c>
      <c r="G53" s="20">
        <v>0.1</v>
      </c>
      <c r="I53" s="19">
        <f t="shared" ref="I53:I60" si="5">+SUMIF($N$3:$ACS$3,I$3,$N53:$ACS53)</f>
        <v>0</v>
      </c>
      <c r="J53" s="22">
        <f t="array" ref="J53">MAX(IF($N$3:$HA$3=$J$3,N53:HA53))</f>
        <v>0</v>
      </c>
      <c r="K53" s="22">
        <f t="array" ref="K53">MAX(IF($N$3:$HA$3=$J$3,N53:HA53))</f>
        <v>0</v>
      </c>
      <c r="L53" s="19"/>
      <c r="O53" s="20"/>
      <c r="P53" s="20"/>
      <c r="Q53" s="20"/>
      <c r="R53" s="20"/>
      <c r="V53" s="20"/>
      <c r="W53" s="20"/>
      <c r="X53" s="20"/>
      <c r="Y53" s="20"/>
      <c r="AC53" s="20"/>
      <c r="AD53" s="20"/>
      <c r="AE53" s="20"/>
      <c r="AF53" s="20"/>
      <c r="AJ53" s="20"/>
      <c r="AK53" s="20"/>
      <c r="AL53" s="20"/>
      <c r="AM53" s="20"/>
      <c r="AQ53" s="20"/>
      <c r="AR53" s="20"/>
      <c r="AS53" s="20"/>
      <c r="AT53" s="20"/>
      <c r="AX53" s="20"/>
      <c r="AY53" s="20"/>
      <c r="AZ53" s="20"/>
      <c r="BA53" s="20"/>
      <c r="BE53" s="20"/>
      <c r="BF53" s="20"/>
      <c r="BG53" s="20"/>
      <c r="BH53" s="20"/>
      <c r="BJ53" s="10"/>
      <c r="BL53" s="20"/>
      <c r="BM53" s="20"/>
      <c r="BN53" s="20"/>
      <c r="BO53" s="20"/>
      <c r="BS53" s="20"/>
      <c r="BT53" s="20"/>
      <c r="BU53" s="20"/>
      <c r="BV53" s="20"/>
      <c r="BX53" s="10"/>
      <c r="BZ53" s="20"/>
      <c r="CA53" s="20"/>
      <c r="CB53" s="20"/>
      <c r="CC53" s="20"/>
      <c r="CE53" s="10"/>
      <c r="CG53" s="20"/>
      <c r="CH53" s="20"/>
      <c r="CI53" s="20"/>
      <c r="CJ53" s="20"/>
      <c r="CL53" s="10"/>
      <c r="CN53" s="20"/>
      <c r="CO53" s="20"/>
      <c r="CP53" s="20"/>
      <c r="CQ53" s="20"/>
      <c r="CS53" s="10"/>
      <c r="CU53" s="20"/>
      <c r="CV53" s="20"/>
      <c r="CW53" s="20"/>
      <c r="CX53" s="23"/>
      <c r="CZ53" s="10"/>
      <c r="DB53" s="20"/>
      <c r="DC53" s="23">
        <v>1</v>
      </c>
      <c r="DD53" s="20"/>
      <c r="DE53" s="23">
        <v>1</v>
      </c>
      <c r="DG53" s="10"/>
      <c r="DI53" s="20"/>
      <c r="DJ53" s="20"/>
      <c r="DK53" s="20"/>
      <c r="DL53" s="20"/>
      <c r="DN53" s="10"/>
      <c r="DP53" s="20"/>
      <c r="DQ53" s="20"/>
      <c r="DR53" s="20"/>
      <c r="DS53" s="20"/>
      <c r="DU53" s="10"/>
      <c r="DW53" s="20"/>
      <c r="DX53" s="20"/>
      <c r="DY53" s="20"/>
      <c r="DZ53" s="20"/>
    </row>
    <row r="54" spans="2:130" ht="15.75" customHeight="1" outlineLevel="1" x14ac:dyDescent="0.25">
      <c r="B54" s="6" t="s">
        <v>52</v>
      </c>
      <c r="C54" s="17" t="s">
        <v>85</v>
      </c>
      <c r="E54" s="19"/>
      <c r="F54" s="5" t="s">
        <v>75</v>
      </c>
      <c r="G54" s="23">
        <v>0.15</v>
      </c>
      <c r="I54" s="19">
        <f t="shared" si="5"/>
        <v>0</v>
      </c>
      <c r="J54" s="22">
        <f t="array" ref="J54">MAX(IF($N$3:$HA$3=$J$3,N54:HA54))</f>
        <v>0</v>
      </c>
      <c r="K54" s="22">
        <f t="array" ref="K54">MAX(IF($N$3:$HA$3=$J$3,N54:HA54))</f>
        <v>0</v>
      </c>
      <c r="L54" s="19"/>
      <c r="O54" s="20"/>
      <c r="P54" s="20"/>
      <c r="Q54" s="20"/>
      <c r="R54" s="20"/>
      <c r="V54" s="20"/>
      <c r="W54" s="20"/>
      <c r="X54" s="20"/>
      <c r="Y54" s="20"/>
      <c r="AC54" s="20"/>
      <c r="AD54" s="20"/>
      <c r="AE54" s="20"/>
      <c r="AF54" s="20"/>
      <c r="AJ54" s="20"/>
      <c r="AK54" s="20"/>
      <c r="AL54" s="20"/>
      <c r="AM54" s="20"/>
      <c r="AQ54" s="20"/>
      <c r="AR54" s="20"/>
      <c r="AS54" s="20"/>
      <c r="AT54" s="20"/>
      <c r="AX54" s="20"/>
      <c r="AY54" s="20"/>
      <c r="AZ54" s="20"/>
      <c r="BA54" s="20"/>
      <c r="BE54" s="20"/>
      <c r="BF54" s="20"/>
      <c r="BG54" s="20"/>
      <c r="BH54" s="20"/>
      <c r="BJ54" s="10"/>
      <c r="BL54" s="20"/>
      <c r="BM54" s="20"/>
      <c r="BN54" s="20"/>
      <c r="BO54" s="20"/>
      <c r="BS54" s="20"/>
      <c r="BT54" s="20"/>
      <c r="BU54" s="20"/>
      <c r="BV54" s="20"/>
      <c r="BX54" s="10"/>
      <c r="BZ54" s="20"/>
      <c r="CA54" s="20"/>
      <c r="CB54" s="20"/>
      <c r="CC54" s="20"/>
      <c r="CE54" s="10"/>
      <c r="CG54" s="20"/>
      <c r="CH54" s="20"/>
      <c r="CI54" s="20"/>
      <c r="CJ54" s="20"/>
      <c r="CL54" s="10"/>
      <c r="CN54" s="20"/>
      <c r="CO54" s="20"/>
      <c r="CP54" s="20"/>
      <c r="CQ54" s="20"/>
      <c r="CS54" s="10"/>
      <c r="CU54" s="20"/>
      <c r="CV54" s="20"/>
      <c r="CW54" s="20"/>
      <c r="CX54" s="23"/>
      <c r="CZ54" s="10"/>
      <c r="DB54" s="20"/>
      <c r="DC54" s="23">
        <v>1</v>
      </c>
      <c r="DD54" s="20"/>
      <c r="DE54" s="23">
        <v>1</v>
      </c>
      <c r="DG54" s="10"/>
      <c r="DI54" s="20"/>
      <c r="DJ54" s="20"/>
      <c r="DK54" s="20"/>
      <c r="DL54" s="20"/>
      <c r="DN54" s="10"/>
      <c r="DP54" s="20"/>
      <c r="DQ54" s="20"/>
      <c r="DR54" s="20"/>
      <c r="DS54" s="20"/>
      <c r="DU54" s="10"/>
      <c r="DW54" s="20"/>
      <c r="DX54" s="20"/>
      <c r="DY54" s="20"/>
      <c r="DZ54" s="20"/>
    </row>
    <row r="55" spans="2:130" ht="15.75" customHeight="1" outlineLevel="1" x14ac:dyDescent="0.25">
      <c r="B55" s="6" t="s">
        <v>52</v>
      </c>
      <c r="C55" s="17" t="s">
        <v>85</v>
      </c>
      <c r="E55" s="19"/>
      <c r="F55" s="5" t="s">
        <v>76</v>
      </c>
      <c r="G55" s="23">
        <v>0.15</v>
      </c>
      <c r="I55" s="19">
        <f t="shared" si="5"/>
        <v>0</v>
      </c>
      <c r="J55" s="22">
        <f t="array" ref="J55">MAX(IF($N$3:$HA$3=$J$3,N55:HA55))</f>
        <v>0</v>
      </c>
      <c r="K55" s="22">
        <f t="array" ref="K55">MAX(IF($N$3:$HA$3=$J$3,N55:HA55))</f>
        <v>0</v>
      </c>
      <c r="L55" s="19"/>
      <c r="O55" s="20"/>
      <c r="P55" s="20"/>
      <c r="Q55" s="20"/>
      <c r="R55" s="20"/>
      <c r="V55" s="20"/>
      <c r="W55" s="20"/>
      <c r="X55" s="20"/>
      <c r="Y55" s="20"/>
      <c r="AC55" s="20"/>
      <c r="AD55" s="20"/>
      <c r="AE55" s="20"/>
      <c r="AF55" s="20"/>
      <c r="AJ55" s="20"/>
      <c r="AK55" s="20"/>
      <c r="AL55" s="20"/>
      <c r="AM55" s="20"/>
      <c r="AQ55" s="20"/>
      <c r="AR55" s="20"/>
      <c r="AS55" s="20"/>
      <c r="AT55" s="20"/>
      <c r="AX55" s="20"/>
      <c r="AY55" s="20"/>
      <c r="AZ55" s="20"/>
      <c r="BA55" s="20"/>
      <c r="BE55" s="20"/>
      <c r="BF55" s="20"/>
      <c r="BG55" s="20"/>
      <c r="BH55" s="20"/>
      <c r="BJ55" s="10"/>
      <c r="BL55" s="20"/>
      <c r="BM55" s="20"/>
      <c r="BN55" s="20"/>
      <c r="BO55" s="20"/>
      <c r="BS55" s="20"/>
      <c r="BT55" s="20"/>
      <c r="BU55" s="20"/>
      <c r="BV55" s="20"/>
      <c r="BX55" s="10"/>
      <c r="BZ55" s="20"/>
      <c r="CA55" s="20"/>
      <c r="CB55" s="20"/>
      <c r="CC55" s="20"/>
      <c r="CE55" s="10"/>
      <c r="CG55" s="20"/>
      <c r="CH55" s="20"/>
      <c r="CI55" s="20"/>
      <c r="CJ55" s="20"/>
      <c r="CL55" s="10"/>
      <c r="CN55" s="20"/>
      <c r="CO55" s="20"/>
      <c r="CP55" s="20"/>
      <c r="CQ55" s="20"/>
      <c r="CS55" s="10"/>
      <c r="CU55" s="20"/>
      <c r="CV55" s="20"/>
      <c r="CW55" s="20"/>
      <c r="CX55" s="23"/>
      <c r="CZ55" s="10"/>
      <c r="DB55" s="20"/>
      <c r="DC55" s="23">
        <v>1</v>
      </c>
      <c r="DD55" s="20"/>
      <c r="DE55" s="23">
        <v>1</v>
      </c>
      <c r="DG55" s="10"/>
      <c r="DI55" s="20"/>
      <c r="DJ55" s="20"/>
      <c r="DK55" s="20"/>
      <c r="DL55" s="20"/>
      <c r="DN55" s="10"/>
      <c r="DP55" s="20"/>
      <c r="DQ55" s="20"/>
      <c r="DR55" s="20"/>
      <c r="DS55" s="20"/>
      <c r="DU55" s="10"/>
      <c r="DW55" s="20"/>
      <c r="DX55" s="20"/>
      <c r="DY55" s="20"/>
      <c r="DZ55" s="20"/>
    </row>
    <row r="56" spans="2:130" ht="15.75" customHeight="1" outlineLevel="1" x14ac:dyDescent="0.25">
      <c r="B56" s="6" t="s">
        <v>52</v>
      </c>
      <c r="C56" s="17" t="s">
        <v>85</v>
      </c>
      <c r="E56" s="19"/>
      <c r="F56" s="5" t="s">
        <v>77</v>
      </c>
      <c r="G56" s="23">
        <v>0.15</v>
      </c>
      <c r="I56" s="19">
        <f t="shared" si="5"/>
        <v>0</v>
      </c>
      <c r="J56" s="22">
        <f t="array" ref="J56">MAX(IF($N$3:$HA$3=$J$3,N56:HA56))</f>
        <v>0</v>
      </c>
      <c r="K56" s="22">
        <f t="array" ref="K56">MAX(IF($N$3:$HA$3=$J$3,N56:HA56))</f>
        <v>0</v>
      </c>
      <c r="L56" s="19"/>
      <c r="O56" s="20"/>
      <c r="P56" s="20"/>
      <c r="Q56" s="20"/>
      <c r="R56" s="20"/>
      <c r="V56" s="20"/>
      <c r="W56" s="20"/>
      <c r="X56" s="20"/>
      <c r="Y56" s="20"/>
      <c r="AC56" s="20"/>
      <c r="AD56" s="20"/>
      <c r="AE56" s="20"/>
      <c r="AF56" s="20"/>
      <c r="AJ56" s="20"/>
      <c r="AK56" s="20"/>
      <c r="AL56" s="20"/>
      <c r="AM56" s="20"/>
      <c r="AQ56" s="20"/>
      <c r="AR56" s="20"/>
      <c r="AS56" s="20"/>
      <c r="AT56" s="20"/>
      <c r="AX56" s="20"/>
      <c r="AY56" s="20"/>
      <c r="AZ56" s="20"/>
      <c r="BA56" s="20"/>
      <c r="BE56" s="20"/>
      <c r="BF56" s="20"/>
      <c r="BG56" s="20"/>
      <c r="BH56" s="20"/>
      <c r="BJ56" s="10"/>
      <c r="BL56" s="20"/>
      <c r="BM56" s="20"/>
      <c r="BN56" s="20"/>
      <c r="BO56" s="20"/>
      <c r="BS56" s="20"/>
      <c r="BT56" s="20"/>
      <c r="BU56" s="20"/>
      <c r="BV56" s="20"/>
      <c r="BX56" s="10"/>
      <c r="BZ56" s="20"/>
      <c r="CA56" s="20"/>
      <c r="CB56" s="20"/>
      <c r="CC56" s="20"/>
      <c r="CE56" s="10"/>
      <c r="CG56" s="20"/>
      <c r="CH56" s="20"/>
      <c r="CI56" s="20"/>
      <c r="CJ56" s="20"/>
      <c r="CL56" s="10"/>
      <c r="CN56" s="20"/>
      <c r="CO56" s="20"/>
      <c r="CP56" s="20"/>
      <c r="CQ56" s="20"/>
      <c r="CS56" s="10"/>
      <c r="CU56" s="20"/>
      <c r="CV56" s="20"/>
      <c r="CW56" s="20"/>
      <c r="CX56" s="23"/>
      <c r="CZ56" s="10"/>
      <c r="DB56" s="20"/>
      <c r="DC56" s="23">
        <v>1</v>
      </c>
      <c r="DD56" s="20"/>
      <c r="DE56" s="23">
        <v>1</v>
      </c>
      <c r="DG56" s="10"/>
      <c r="DI56" s="20"/>
      <c r="DJ56" s="20"/>
      <c r="DK56" s="20"/>
      <c r="DL56" s="20"/>
      <c r="DN56" s="10"/>
      <c r="DP56" s="20"/>
      <c r="DQ56" s="20"/>
      <c r="DR56" s="20"/>
      <c r="DS56" s="20"/>
      <c r="DU56" s="10"/>
      <c r="DW56" s="20"/>
      <c r="DX56" s="20"/>
      <c r="DY56" s="20"/>
      <c r="DZ56" s="20"/>
    </row>
    <row r="57" spans="2:130" ht="15.75" customHeight="1" outlineLevel="1" x14ac:dyDescent="0.25">
      <c r="B57" s="6" t="s">
        <v>52</v>
      </c>
      <c r="C57" s="17" t="s">
        <v>85</v>
      </c>
      <c r="E57" s="19"/>
      <c r="F57" s="5" t="s">
        <v>78</v>
      </c>
      <c r="G57" s="23">
        <v>0.15</v>
      </c>
      <c r="I57" s="19">
        <f t="shared" si="5"/>
        <v>0</v>
      </c>
      <c r="J57" s="22">
        <f t="array" ref="J57">MAX(IF($N$3:$HA$3=$J$3,N57:HA57))</f>
        <v>0</v>
      </c>
      <c r="K57" s="22">
        <f t="array" ref="K57">MAX(IF($N$3:$HA$3=$J$3,N57:HA57))</f>
        <v>0</v>
      </c>
      <c r="L57" s="19"/>
      <c r="O57" s="20"/>
      <c r="P57" s="20"/>
      <c r="Q57" s="20"/>
      <c r="R57" s="20"/>
      <c r="V57" s="20"/>
      <c r="W57" s="20"/>
      <c r="X57" s="20"/>
      <c r="Y57" s="20"/>
      <c r="AC57" s="20"/>
      <c r="AD57" s="20"/>
      <c r="AE57" s="20"/>
      <c r="AF57" s="20"/>
      <c r="AJ57" s="20"/>
      <c r="AK57" s="20"/>
      <c r="AL57" s="20"/>
      <c r="AM57" s="20"/>
      <c r="AQ57" s="20"/>
      <c r="AR57" s="20"/>
      <c r="AS57" s="20"/>
      <c r="AT57" s="20"/>
      <c r="AX57" s="20"/>
      <c r="AY57" s="20"/>
      <c r="AZ57" s="20"/>
      <c r="BA57" s="20"/>
      <c r="BE57" s="20"/>
      <c r="BF57" s="20"/>
      <c r="BG57" s="20"/>
      <c r="BH57" s="20"/>
      <c r="BJ57" s="10"/>
      <c r="BL57" s="20"/>
      <c r="BM57" s="20"/>
      <c r="BN57" s="20"/>
      <c r="BO57" s="20"/>
      <c r="BS57" s="20"/>
      <c r="BT57" s="20"/>
      <c r="BU57" s="20"/>
      <c r="BV57" s="20"/>
      <c r="BX57" s="10"/>
      <c r="BZ57" s="20"/>
      <c r="CA57" s="20"/>
      <c r="CB57" s="20"/>
      <c r="CC57" s="20"/>
      <c r="CE57" s="10"/>
      <c r="CG57" s="20"/>
      <c r="CH57" s="20"/>
      <c r="CI57" s="20"/>
      <c r="CJ57" s="20"/>
      <c r="CL57" s="10"/>
      <c r="CN57" s="20"/>
      <c r="CO57" s="20"/>
      <c r="CP57" s="20"/>
      <c r="CQ57" s="20"/>
      <c r="CS57" s="10"/>
      <c r="CU57" s="20"/>
      <c r="CV57" s="20"/>
      <c r="CW57" s="20"/>
      <c r="CX57" s="23"/>
      <c r="CZ57" s="10"/>
      <c r="DB57" s="20"/>
      <c r="DC57" s="23">
        <v>1</v>
      </c>
      <c r="DD57" s="20"/>
      <c r="DE57" s="23">
        <v>1</v>
      </c>
      <c r="DG57" s="10"/>
      <c r="DI57" s="20"/>
      <c r="DJ57" s="20"/>
      <c r="DK57" s="20"/>
      <c r="DL57" s="20"/>
      <c r="DN57" s="10"/>
      <c r="DP57" s="20"/>
      <c r="DQ57" s="20"/>
      <c r="DR57" s="20"/>
      <c r="DS57" s="20"/>
      <c r="DU57" s="10"/>
      <c r="DW57" s="20"/>
      <c r="DX57" s="20"/>
      <c r="DY57" s="20"/>
      <c r="DZ57" s="20"/>
    </row>
    <row r="58" spans="2:130" ht="15.75" customHeight="1" outlineLevel="1" x14ac:dyDescent="0.25">
      <c r="B58" s="6" t="s">
        <v>52</v>
      </c>
      <c r="C58" s="17" t="s">
        <v>85</v>
      </c>
      <c r="E58" s="19"/>
      <c r="F58" s="5" t="s">
        <v>79</v>
      </c>
      <c r="G58" s="20">
        <v>0.1</v>
      </c>
      <c r="I58" s="19">
        <f t="shared" si="5"/>
        <v>0</v>
      </c>
      <c r="J58" s="22">
        <f t="array" ref="J58">MAX(IF($N$3:$HA$3=$J$3,N58:HA58))</f>
        <v>0</v>
      </c>
      <c r="K58" s="22">
        <f t="array" ref="K58">MAX(IF($N$3:$HA$3=$J$3,N58:HA58))</f>
        <v>0</v>
      </c>
      <c r="L58" s="19"/>
      <c r="O58" s="20"/>
      <c r="P58" s="20"/>
      <c r="Q58" s="20"/>
      <c r="R58" s="20"/>
      <c r="V58" s="20"/>
      <c r="W58" s="20"/>
      <c r="X58" s="20"/>
      <c r="Y58" s="20"/>
      <c r="AC58" s="20"/>
      <c r="AD58" s="20"/>
      <c r="AE58" s="20"/>
      <c r="AF58" s="20"/>
      <c r="AJ58" s="20"/>
      <c r="AK58" s="20"/>
      <c r="AL58" s="20"/>
      <c r="AM58" s="20"/>
      <c r="AQ58" s="20"/>
      <c r="AR58" s="20"/>
      <c r="AS58" s="20"/>
      <c r="AT58" s="20"/>
      <c r="AX58" s="20"/>
      <c r="AY58" s="20"/>
      <c r="AZ58" s="20"/>
      <c r="BA58" s="20"/>
      <c r="BE58" s="20"/>
      <c r="BF58" s="20"/>
      <c r="BG58" s="20"/>
      <c r="BH58" s="20"/>
      <c r="BJ58" s="10"/>
      <c r="BL58" s="20"/>
      <c r="BM58" s="20"/>
      <c r="BN58" s="20"/>
      <c r="BO58" s="20"/>
      <c r="BS58" s="20"/>
      <c r="BT58" s="20"/>
      <c r="BU58" s="20"/>
      <c r="BV58" s="20"/>
      <c r="BX58" s="10"/>
      <c r="BZ58" s="20"/>
      <c r="CA58" s="20"/>
      <c r="CB58" s="20"/>
      <c r="CC58" s="20"/>
      <c r="CE58" s="10"/>
      <c r="CG58" s="20"/>
      <c r="CH58" s="20"/>
      <c r="CI58" s="20"/>
      <c r="CJ58" s="20"/>
      <c r="CL58" s="10"/>
      <c r="CN58" s="20"/>
      <c r="CO58" s="20"/>
      <c r="CP58" s="20"/>
      <c r="CQ58" s="20"/>
      <c r="CS58" s="10"/>
      <c r="CU58" s="20"/>
      <c r="CV58" s="20"/>
      <c r="CW58" s="20"/>
      <c r="CX58" s="23"/>
      <c r="CZ58" s="10"/>
      <c r="DB58" s="20"/>
      <c r="DC58" s="23">
        <v>1</v>
      </c>
      <c r="DD58" s="20"/>
      <c r="DE58" s="23">
        <v>1</v>
      </c>
      <c r="DG58" s="10"/>
      <c r="DI58" s="20"/>
      <c r="DJ58" s="20"/>
      <c r="DK58" s="20"/>
      <c r="DL58" s="20"/>
      <c r="DN58" s="10"/>
      <c r="DP58" s="20"/>
      <c r="DQ58" s="20"/>
      <c r="DR58" s="20"/>
      <c r="DS58" s="20"/>
      <c r="DU58" s="10"/>
      <c r="DW58" s="20"/>
      <c r="DX58" s="20"/>
      <c r="DY58" s="20"/>
      <c r="DZ58" s="20"/>
    </row>
    <row r="59" spans="2:130" ht="15.75" customHeight="1" outlineLevel="1" x14ac:dyDescent="0.25">
      <c r="B59" s="6" t="s">
        <v>52</v>
      </c>
      <c r="C59" s="17" t="s">
        <v>85</v>
      </c>
      <c r="E59" s="19"/>
      <c r="F59" s="5" t="s">
        <v>80</v>
      </c>
      <c r="G59" s="20">
        <v>0.1</v>
      </c>
      <c r="I59" s="19">
        <f t="shared" si="5"/>
        <v>0</v>
      </c>
      <c r="J59" s="22">
        <f t="array" ref="J59">MAX(IF($N$3:$HA$3=$J$3,N59:HA59))</f>
        <v>0</v>
      </c>
      <c r="K59" s="22">
        <f t="array" ref="K59">MAX(IF($N$3:$HA$3=$J$3,N59:HA59))</f>
        <v>0</v>
      </c>
      <c r="L59" s="19"/>
      <c r="O59" s="20"/>
      <c r="P59" s="20"/>
      <c r="Q59" s="20"/>
      <c r="R59" s="20"/>
      <c r="V59" s="20"/>
      <c r="W59" s="20"/>
      <c r="X59" s="20"/>
      <c r="Y59" s="20"/>
      <c r="AC59" s="20"/>
      <c r="AD59" s="20"/>
      <c r="AE59" s="20"/>
      <c r="AF59" s="20"/>
      <c r="AJ59" s="20"/>
      <c r="AK59" s="20"/>
      <c r="AL59" s="20"/>
      <c r="AM59" s="20"/>
      <c r="AQ59" s="20"/>
      <c r="AR59" s="20"/>
      <c r="AS59" s="20"/>
      <c r="AT59" s="20"/>
      <c r="AX59" s="20"/>
      <c r="AY59" s="20"/>
      <c r="AZ59" s="20"/>
      <c r="BA59" s="20"/>
      <c r="BE59" s="20"/>
      <c r="BF59" s="20"/>
      <c r="BG59" s="20"/>
      <c r="BH59" s="20"/>
      <c r="BJ59" s="10"/>
      <c r="BL59" s="20"/>
      <c r="BM59" s="20"/>
      <c r="BN59" s="20"/>
      <c r="BO59" s="20"/>
      <c r="BS59" s="20"/>
      <c r="BT59" s="20"/>
      <c r="BU59" s="20"/>
      <c r="BV59" s="20"/>
      <c r="BX59" s="10"/>
      <c r="BZ59" s="20"/>
      <c r="CA59" s="20"/>
      <c r="CB59" s="20"/>
      <c r="CC59" s="20"/>
      <c r="CE59" s="10"/>
      <c r="CG59" s="20"/>
      <c r="CH59" s="20"/>
      <c r="CI59" s="20"/>
      <c r="CJ59" s="20"/>
      <c r="CL59" s="10"/>
      <c r="CN59" s="20"/>
      <c r="CO59" s="20"/>
      <c r="CP59" s="20"/>
      <c r="CQ59" s="20"/>
      <c r="CS59" s="10"/>
      <c r="CU59" s="20"/>
      <c r="CV59" s="20"/>
      <c r="CW59" s="20"/>
      <c r="CX59" s="23"/>
      <c r="CZ59" s="10"/>
      <c r="DB59" s="20"/>
      <c r="DC59" s="23">
        <v>1</v>
      </c>
      <c r="DD59" s="20"/>
      <c r="DE59" s="23">
        <v>1</v>
      </c>
      <c r="DG59" s="10"/>
      <c r="DI59" s="20"/>
      <c r="DJ59" s="20"/>
      <c r="DK59" s="20"/>
      <c r="DL59" s="20"/>
      <c r="DN59" s="10"/>
      <c r="DP59" s="20"/>
      <c r="DQ59" s="20"/>
      <c r="DR59" s="20"/>
      <c r="DS59" s="20"/>
      <c r="DU59" s="10"/>
      <c r="DW59" s="20"/>
      <c r="DX59" s="20"/>
      <c r="DY59" s="20"/>
      <c r="DZ59" s="20"/>
    </row>
    <row r="60" spans="2:130" ht="15.75" customHeight="1" outlineLevel="1" x14ac:dyDescent="0.25">
      <c r="B60" s="6" t="s">
        <v>52</v>
      </c>
      <c r="C60" s="17" t="s">
        <v>85</v>
      </c>
      <c r="E60" s="19"/>
      <c r="F60" s="5" t="s">
        <v>81</v>
      </c>
      <c r="G60" s="20">
        <v>0.1</v>
      </c>
      <c r="I60" s="19">
        <f t="shared" si="5"/>
        <v>0</v>
      </c>
      <c r="J60" s="22">
        <f t="array" ref="J60">MAX(IF($N$3:$HA$3=$J$3,N60:HA60))</f>
        <v>0</v>
      </c>
      <c r="K60" s="22">
        <f t="array" ref="K60">MAX(IF($N$3:$HA$3=$J$3,N60:HA60))</f>
        <v>0</v>
      </c>
      <c r="L60" s="19"/>
      <c r="O60" s="20"/>
      <c r="P60" s="20"/>
      <c r="Q60" s="20"/>
      <c r="R60" s="20"/>
      <c r="V60" s="20"/>
      <c r="W60" s="20"/>
      <c r="X60" s="20"/>
      <c r="Y60" s="20"/>
      <c r="AC60" s="20"/>
      <c r="AD60" s="20"/>
      <c r="AE60" s="20"/>
      <c r="AF60" s="20"/>
      <c r="AJ60" s="20"/>
      <c r="AK60" s="20"/>
      <c r="AL60" s="20"/>
      <c r="AM60" s="20"/>
      <c r="AQ60" s="20"/>
      <c r="AR60" s="20"/>
      <c r="AS60" s="20"/>
      <c r="AT60" s="20"/>
      <c r="AX60" s="20"/>
      <c r="AY60" s="20"/>
      <c r="AZ60" s="20"/>
      <c r="BA60" s="20"/>
      <c r="BE60" s="20"/>
      <c r="BF60" s="20"/>
      <c r="BG60" s="20"/>
      <c r="BH60" s="20"/>
      <c r="BJ60" s="10"/>
      <c r="BL60" s="20"/>
      <c r="BM60" s="20"/>
      <c r="BN60" s="20"/>
      <c r="BO60" s="20"/>
      <c r="BS60" s="20"/>
      <c r="BT60" s="20"/>
      <c r="BU60" s="20"/>
      <c r="BV60" s="20"/>
      <c r="BX60" s="10"/>
      <c r="BZ60" s="20"/>
      <c r="CA60" s="20"/>
      <c r="CB60" s="20"/>
      <c r="CC60" s="20"/>
      <c r="CE60" s="10"/>
      <c r="CG60" s="20"/>
      <c r="CH60" s="20"/>
      <c r="CI60" s="20"/>
      <c r="CJ60" s="20"/>
      <c r="CL60" s="10"/>
      <c r="CN60" s="20"/>
      <c r="CO60" s="20"/>
      <c r="CP60" s="20"/>
      <c r="CQ60" s="20"/>
      <c r="CS60" s="10"/>
      <c r="CU60" s="20"/>
      <c r="CV60" s="20"/>
      <c r="CW60" s="20"/>
      <c r="CX60" s="23"/>
      <c r="CZ60" s="10"/>
      <c r="DB60" s="20"/>
      <c r="DC60" s="23">
        <v>1</v>
      </c>
      <c r="DD60" s="20"/>
      <c r="DE60" s="23">
        <v>1</v>
      </c>
      <c r="DG60" s="10"/>
      <c r="DI60" s="20"/>
      <c r="DJ60" s="20"/>
      <c r="DK60" s="20"/>
      <c r="DL60" s="20"/>
      <c r="DN60" s="10"/>
      <c r="DP60" s="20"/>
      <c r="DQ60" s="20"/>
      <c r="DR60" s="20"/>
      <c r="DS60" s="20"/>
      <c r="DU60" s="10"/>
      <c r="DW60" s="20"/>
      <c r="DX60" s="20"/>
      <c r="DY60" s="20"/>
      <c r="DZ60" s="20"/>
    </row>
    <row r="61" spans="2:130" ht="15.75" customHeight="1" x14ac:dyDescent="0.25">
      <c r="C61" s="8"/>
      <c r="BJ61" s="10"/>
      <c r="BX61" s="10"/>
      <c r="CE61" s="10"/>
      <c r="CL61" s="10"/>
      <c r="CS61" s="10"/>
      <c r="CZ61" s="10"/>
      <c r="DG61" s="10"/>
      <c r="DN61" s="10"/>
      <c r="DU61" s="10"/>
    </row>
    <row r="62" spans="2:130" ht="15.75" customHeight="1" x14ac:dyDescent="0.25">
      <c r="B62" s="6" t="s">
        <v>22</v>
      </c>
      <c r="C62" s="17" t="s">
        <v>86</v>
      </c>
      <c r="D62" s="18">
        <v>44914</v>
      </c>
      <c r="E62" s="19">
        <v>6</v>
      </c>
      <c r="G62" s="20">
        <f>+SUM(G63:G74)</f>
        <v>0.99999999999999989</v>
      </c>
      <c r="I62" s="21">
        <f>+SUM(I63:I74)</f>
        <v>0</v>
      </c>
      <c r="J62" s="22">
        <f>+SUMPRODUCT(G63:G74,J63:J74)</f>
        <v>0</v>
      </c>
      <c r="K62" s="22">
        <f>+SUMPRODUCT(G63:G74,K63:K74)</f>
        <v>0</v>
      </c>
      <c r="L62" s="19"/>
      <c r="N62" s="21"/>
      <c r="U62" s="21"/>
      <c r="AB62" s="21"/>
      <c r="AI62" s="21"/>
      <c r="AP62" s="21"/>
      <c r="AW62" s="21"/>
      <c r="BD62" s="21"/>
      <c r="BJ62" s="10"/>
      <c r="BK62" s="21"/>
      <c r="BR62" s="21"/>
      <c r="BX62" s="10"/>
      <c r="BY62" s="21"/>
      <c r="CE62" s="10"/>
      <c r="CF62" s="21"/>
      <c r="CL62" s="10"/>
      <c r="CM62" s="21"/>
      <c r="CS62" s="10"/>
      <c r="CT62" s="21"/>
      <c r="CZ62" s="10"/>
      <c r="DA62" s="21"/>
      <c r="DG62" s="10"/>
      <c r="DH62" s="21"/>
      <c r="DN62" s="10"/>
      <c r="DO62" s="21"/>
      <c r="DU62" s="10"/>
      <c r="DV62" s="21"/>
    </row>
    <row r="63" spans="2:130" ht="15.75" customHeight="1" outlineLevel="1" x14ac:dyDescent="0.25">
      <c r="B63" s="6" t="s">
        <v>52</v>
      </c>
      <c r="C63" s="17" t="s">
        <v>86</v>
      </c>
      <c r="E63" s="19"/>
      <c r="F63" s="5" t="s">
        <v>87</v>
      </c>
      <c r="G63" s="20">
        <v>0.1</v>
      </c>
      <c r="I63" s="19">
        <f t="shared" ref="I63:I76" si="6">+SUMIF($N$3:$ACS$3,I$3,$N63:$ACS63)</f>
        <v>0</v>
      </c>
      <c r="J63" s="22">
        <f t="array" ref="J63">MAX(IF($N$3:$HA$3=$J$3,N63:HA63))</f>
        <v>0</v>
      </c>
      <c r="K63" s="22">
        <f t="array" ref="K63">MAX(IF($N$3:$HA$3=$J$3,N63:HA63))</f>
        <v>0</v>
      </c>
      <c r="L63" s="19"/>
      <c r="O63" s="23"/>
      <c r="P63" s="23"/>
      <c r="Q63" s="20"/>
      <c r="R63" s="20"/>
      <c r="V63" s="23"/>
      <c r="W63" s="23"/>
      <c r="X63" s="20"/>
      <c r="Y63" s="20"/>
      <c r="AC63" s="23"/>
      <c r="AD63" s="23"/>
      <c r="AE63" s="20"/>
      <c r="AF63" s="20"/>
      <c r="AJ63" s="23"/>
      <c r="AK63" s="23"/>
      <c r="AL63" s="20"/>
      <c r="AM63" s="20"/>
      <c r="AQ63" s="23"/>
      <c r="AR63" s="23"/>
      <c r="AS63" s="20"/>
      <c r="AT63" s="20"/>
      <c r="AX63" s="23"/>
      <c r="AY63" s="23"/>
      <c r="AZ63" s="20"/>
      <c r="BA63" s="20"/>
      <c r="BE63" s="23"/>
      <c r="BF63" s="23"/>
      <c r="BG63" s="20"/>
      <c r="BH63" s="20"/>
      <c r="BJ63" s="10"/>
      <c r="BL63" s="23"/>
      <c r="BM63" s="23"/>
      <c r="BN63" s="20"/>
      <c r="BO63" s="20"/>
      <c r="BS63" s="23"/>
      <c r="BT63" s="23"/>
      <c r="BU63" s="20"/>
      <c r="BV63" s="20"/>
      <c r="BX63" s="10"/>
      <c r="BZ63" s="23"/>
      <c r="CA63" s="23"/>
      <c r="CB63" s="20"/>
      <c r="CC63" s="20"/>
      <c r="CE63" s="10"/>
      <c r="CG63" s="23"/>
      <c r="CH63" s="23"/>
      <c r="CI63" s="20"/>
      <c r="CJ63" s="20"/>
      <c r="CL63" s="10"/>
      <c r="CN63" s="23"/>
      <c r="CO63" s="23"/>
      <c r="CP63" s="20"/>
      <c r="CQ63" s="20"/>
      <c r="CS63" s="10"/>
      <c r="CU63" s="23"/>
      <c r="CV63" s="23"/>
      <c r="CW63" s="20"/>
      <c r="CX63" s="23"/>
      <c r="CZ63" s="10"/>
      <c r="DB63" s="23"/>
      <c r="DC63" s="23">
        <v>1</v>
      </c>
      <c r="DD63" s="20"/>
      <c r="DE63" s="23">
        <v>1</v>
      </c>
      <c r="DG63" s="10"/>
      <c r="DI63" s="23"/>
      <c r="DJ63" s="23"/>
      <c r="DK63" s="20"/>
      <c r="DL63" s="20"/>
      <c r="DN63" s="10"/>
      <c r="DP63" s="23"/>
      <c r="DQ63" s="23"/>
      <c r="DR63" s="20"/>
      <c r="DS63" s="20"/>
      <c r="DU63" s="10"/>
      <c r="DW63" s="23"/>
      <c r="DX63" s="23"/>
      <c r="DY63" s="20"/>
      <c r="DZ63" s="20"/>
    </row>
    <row r="64" spans="2:130" ht="15.75" customHeight="1" outlineLevel="1" x14ac:dyDescent="0.25">
      <c r="B64" s="6" t="s">
        <v>52</v>
      </c>
      <c r="C64" s="17" t="s">
        <v>86</v>
      </c>
      <c r="E64" s="19"/>
      <c r="F64" s="5" t="s">
        <v>88</v>
      </c>
      <c r="G64" s="20">
        <v>0.05</v>
      </c>
      <c r="I64" s="19">
        <f t="shared" si="6"/>
        <v>0</v>
      </c>
      <c r="J64" s="22">
        <f t="array" ref="J64">MAX(IF($N$3:$HA$3=$J$3,N64:HA64))</f>
        <v>0</v>
      </c>
      <c r="K64" s="22">
        <f t="array" ref="K64">MAX(IF($N$3:$HA$3=$J$3,N64:HA64))</f>
        <v>0</v>
      </c>
      <c r="L64" s="19"/>
      <c r="O64" s="23"/>
      <c r="P64" s="20"/>
      <c r="Q64" s="20"/>
      <c r="R64" s="20"/>
      <c r="V64" s="23"/>
      <c r="W64" s="20"/>
      <c r="X64" s="20"/>
      <c r="Y64" s="20"/>
      <c r="AC64" s="23"/>
      <c r="AD64" s="20"/>
      <c r="AE64" s="20"/>
      <c r="AF64" s="20"/>
      <c r="AJ64" s="23"/>
      <c r="AK64" s="20"/>
      <c r="AL64" s="20"/>
      <c r="AM64" s="20"/>
      <c r="AQ64" s="23"/>
      <c r="AR64" s="20"/>
      <c r="AS64" s="20"/>
      <c r="AT64" s="20"/>
      <c r="AX64" s="23"/>
      <c r="AY64" s="20"/>
      <c r="AZ64" s="20"/>
      <c r="BA64" s="20"/>
      <c r="BE64" s="23"/>
      <c r="BF64" s="20"/>
      <c r="BG64" s="20"/>
      <c r="BH64" s="20"/>
      <c r="BJ64" s="10"/>
      <c r="BL64" s="23"/>
      <c r="BM64" s="20"/>
      <c r="BN64" s="20"/>
      <c r="BO64" s="20"/>
      <c r="BS64" s="23"/>
      <c r="BT64" s="20"/>
      <c r="BU64" s="20"/>
      <c r="BV64" s="20"/>
      <c r="BX64" s="10"/>
      <c r="BZ64" s="23"/>
      <c r="CA64" s="20"/>
      <c r="CB64" s="20"/>
      <c r="CC64" s="20"/>
      <c r="CE64" s="10"/>
      <c r="CG64" s="23"/>
      <c r="CH64" s="20"/>
      <c r="CI64" s="20"/>
      <c r="CJ64" s="20"/>
      <c r="CL64" s="10"/>
      <c r="CN64" s="23"/>
      <c r="CO64" s="20"/>
      <c r="CP64" s="20"/>
      <c r="CQ64" s="20"/>
      <c r="CS64" s="10"/>
      <c r="CU64" s="23"/>
      <c r="CV64" s="20"/>
      <c r="CW64" s="20"/>
      <c r="CX64" s="23"/>
      <c r="CZ64" s="10"/>
      <c r="DB64" s="23"/>
      <c r="DC64" s="23">
        <v>1</v>
      </c>
      <c r="DD64" s="20"/>
      <c r="DE64" s="23">
        <v>1</v>
      </c>
      <c r="DG64" s="10"/>
      <c r="DI64" s="23"/>
      <c r="DJ64" s="20"/>
      <c r="DK64" s="20"/>
      <c r="DL64" s="20"/>
      <c r="DN64" s="10"/>
      <c r="DP64" s="23"/>
      <c r="DQ64" s="20"/>
      <c r="DR64" s="20"/>
      <c r="DS64" s="20"/>
      <c r="DU64" s="10"/>
      <c r="DW64" s="23"/>
      <c r="DX64" s="20"/>
      <c r="DY64" s="20"/>
      <c r="DZ64" s="20"/>
    </row>
    <row r="65" spans="2:130" ht="15.75" customHeight="1" outlineLevel="1" x14ac:dyDescent="0.25">
      <c r="B65" s="6" t="s">
        <v>52</v>
      </c>
      <c r="C65" s="17" t="s">
        <v>86</v>
      </c>
      <c r="E65" s="19"/>
      <c r="F65" s="5" t="s">
        <v>89</v>
      </c>
      <c r="G65" s="20">
        <v>0.05</v>
      </c>
      <c r="I65" s="19">
        <f t="shared" si="6"/>
        <v>0</v>
      </c>
      <c r="J65" s="22">
        <f t="array" ref="J65">MAX(IF($N$3:$HA$3=$J$3,N65:HA65))</f>
        <v>0</v>
      </c>
      <c r="K65" s="22">
        <f t="array" ref="K65">MAX(IF($N$3:$HA$3=$J$3,N65:HA65))</f>
        <v>0</v>
      </c>
      <c r="L65" s="19"/>
      <c r="O65" s="23"/>
      <c r="P65" s="20"/>
      <c r="Q65" s="20"/>
      <c r="R65" s="20"/>
      <c r="V65" s="23"/>
      <c r="W65" s="20"/>
      <c r="X65" s="20"/>
      <c r="Y65" s="20"/>
      <c r="AC65" s="23"/>
      <c r="AD65" s="20"/>
      <c r="AE65" s="20"/>
      <c r="AF65" s="20"/>
      <c r="AJ65" s="23"/>
      <c r="AK65" s="20"/>
      <c r="AL65" s="20"/>
      <c r="AM65" s="20"/>
      <c r="AQ65" s="23"/>
      <c r="AR65" s="20"/>
      <c r="AS65" s="20"/>
      <c r="AT65" s="20"/>
      <c r="AX65" s="23"/>
      <c r="AY65" s="20"/>
      <c r="AZ65" s="20"/>
      <c r="BA65" s="20"/>
      <c r="BE65" s="23"/>
      <c r="BF65" s="20"/>
      <c r="BG65" s="20"/>
      <c r="BH65" s="20"/>
      <c r="BJ65" s="10"/>
      <c r="BL65" s="23"/>
      <c r="BM65" s="20"/>
      <c r="BN65" s="20"/>
      <c r="BO65" s="20"/>
      <c r="BS65" s="23"/>
      <c r="BT65" s="20"/>
      <c r="BU65" s="20"/>
      <c r="BV65" s="20"/>
      <c r="BX65" s="10"/>
      <c r="BZ65" s="23"/>
      <c r="CA65" s="20"/>
      <c r="CB65" s="20"/>
      <c r="CC65" s="20"/>
      <c r="CE65" s="10"/>
      <c r="CG65" s="23"/>
      <c r="CH65" s="20"/>
      <c r="CI65" s="20"/>
      <c r="CJ65" s="20"/>
      <c r="CL65" s="10"/>
      <c r="CN65" s="23"/>
      <c r="CO65" s="20"/>
      <c r="CP65" s="20"/>
      <c r="CQ65" s="20"/>
      <c r="CS65" s="10"/>
      <c r="CU65" s="23"/>
      <c r="CV65" s="20"/>
      <c r="CW65" s="20"/>
      <c r="CX65" s="23"/>
      <c r="CZ65" s="10"/>
      <c r="DB65" s="23"/>
      <c r="DC65" s="23">
        <v>1</v>
      </c>
      <c r="DD65" s="20"/>
      <c r="DE65" s="23">
        <v>1</v>
      </c>
      <c r="DG65" s="10"/>
      <c r="DI65" s="23"/>
      <c r="DJ65" s="20"/>
      <c r="DK65" s="20"/>
      <c r="DL65" s="20"/>
      <c r="DN65" s="10"/>
      <c r="DP65" s="23"/>
      <c r="DQ65" s="20"/>
      <c r="DR65" s="20"/>
      <c r="DS65" s="20"/>
      <c r="DU65" s="10"/>
      <c r="DW65" s="23"/>
      <c r="DX65" s="20"/>
      <c r="DY65" s="20"/>
      <c r="DZ65" s="20"/>
    </row>
    <row r="66" spans="2:130" ht="15.75" customHeight="1" outlineLevel="1" x14ac:dyDescent="0.25">
      <c r="B66" s="6" t="s">
        <v>52</v>
      </c>
      <c r="C66" s="17" t="s">
        <v>86</v>
      </c>
      <c r="E66" s="19"/>
      <c r="F66" s="5" t="s">
        <v>90</v>
      </c>
      <c r="G66" s="20">
        <v>0.05</v>
      </c>
      <c r="I66" s="19">
        <f t="shared" si="6"/>
        <v>0</v>
      </c>
      <c r="J66" s="22">
        <f t="array" ref="J66">MAX(IF($N$3:$HA$3=$J$3,N66:HA66))</f>
        <v>0</v>
      </c>
      <c r="K66" s="22">
        <f t="array" ref="K66">MAX(IF($N$3:$HA$3=$J$3,N66:HA66))</f>
        <v>0</v>
      </c>
      <c r="L66" s="19"/>
      <c r="O66" s="20"/>
      <c r="P66" s="20"/>
      <c r="Q66" s="20"/>
      <c r="R66" s="20"/>
      <c r="V66" s="20"/>
      <c r="W66" s="20"/>
      <c r="X66" s="20"/>
      <c r="Y66" s="20"/>
      <c r="AC66" s="20"/>
      <c r="AD66" s="20"/>
      <c r="AE66" s="20"/>
      <c r="AF66" s="20"/>
      <c r="AJ66" s="20"/>
      <c r="AK66" s="20"/>
      <c r="AL66" s="20"/>
      <c r="AM66" s="20"/>
      <c r="AQ66" s="20"/>
      <c r="AR66" s="20"/>
      <c r="AS66" s="20"/>
      <c r="AT66" s="20"/>
      <c r="AX66" s="20"/>
      <c r="AY66" s="20"/>
      <c r="AZ66" s="20"/>
      <c r="BA66" s="20"/>
      <c r="BE66" s="20"/>
      <c r="BF66" s="20"/>
      <c r="BG66" s="20"/>
      <c r="BH66" s="20"/>
      <c r="BJ66" s="10"/>
      <c r="BL66" s="20"/>
      <c r="BM66" s="20"/>
      <c r="BN66" s="20"/>
      <c r="BO66" s="20"/>
      <c r="BS66" s="20"/>
      <c r="BT66" s="20"/>
      <c r="BU66" s="20"/>
      <c r="BV66" s="20"/>
      <c r="BX66" s="10"/>
      <c r="BZ66" s="20"/>
      <c r="CA66" s="20"/>
      <c r="CB66" s="20"/>
      <c r="CC66" s="20"/>
      <c r="CE66" s="10"/>
      <c r="CG66" s="20"/>
      <c r="CH66" s="20"/>
      <c r="CI66" s="20"/>
      <c r="CJ66" s="20"/>
      <c r="CL66" s="10"/>
      <c r="CN66" s="20"/>
      <c r="CO66" s="20"/>
      <c r="CP66" s="20"/>
      <c r="CQ66" s="20"/>
      <c r="CS66" s="10"/>
      <c r="CU66" s="20"/>
      <c r="CV66" s="20"/>
      <c r="CW66" s="20"/>
      <c r="CX66" s="23"/>
      <c r="CZ66" s="10"/>
      <c r="DB66" s="20"/>
      <c r="DC66" s="23">
        <v>1</v>
      </c>
      <c r="DD66" s="20"/>
      <c r="DE66" s="23">
        <v>1</v>
      </c>
      <c r="DG66" s="10"/>
      <c r="DI66" s="20"/>
      <c r="DJ66" s="20"/>
      <c r="DK66" s="20"/>
      <c r="DL66" s="20"/>
      <c r="DN66" s="10"/>
      <c r="DP66" s="20"/>
      <c r="DQ66" s="20"/>
      <c r="DR66" s="20"/>
      <c r="DS66" s="20"/>
      <c r="DU66" s="10"/>
      <c r="DW66" s="20"/>
      <c r="DX66" s="20"/>
      <c r="DY66" s="20"/>
      <c r="DZ66" s="20"/>
    </row>
    <row r="67" spans="2:130" ht="15.75" customHeight="1" outlineLevel="1" x14ac:dyDescent="0.25">
      <c r="B67" s="6" t="s">
        <v>52</v>
      </c>
      <c r="C67" s="17" t="s">
        <v>86</v>
      </c>
      <c r="E67" s="19"/>
      <c r="F67" s="5" t="s">
        <v>91</v>
      </c>
      <c r="G67" s="20">
        <v>0.05</v>
      </c>
      <c r="I67" s="19">
        <f t="shared" si="6"/>
        <v>0</v>
      </c>
      <c r="J67" s="22">
        <f t="array" ref="J67">MAX(IF($N$3:$HA$3=$J$3,N67:HA67))</f>
        <v>0</v>
      </c>
      <c r="K67" s="22">
        <f t="array" ref="K67">MAX(IF($N$3:$HA$3=$J$3,N67:HA67))</f>
        <v>0</v>
      </c>
      <c r="L67" s="19"/>
      <c r="O67" s="20"/>
      <c r="P67" s="20"/>
      <c r="Q67" s="20"/>
      <c r="R67" s="20"/>
      <c r="V67" s="20"/>
      <c r="W67" s="20"/>
      <c r="X67" s="20"/>
      <c r="Y67" s="20"/>
      <c r="AC67" s="20"/>
      <c r="AD67" s="20"/>
      <c r="AE67" s="20"/>
      <c r="AF67" s="20"/>
      <c r="AJ67" s="20"/>
      <c r="AK67" s="20"/>
      <c r="AL67" s="20"/>
      <c r="AM67" s="20"/>
      <c r="AQ67" s="20"/>
      <c r="AR67" s="20"/>
      <c r="AS67" s="20"/>
      <c r="AT67" s="20"/>
      <c r="AX67" s="20"/>
      <c r="AY67" s="20"/>
      <c r="AZ67" s="20"/>
      <c r="BA67" s="20"/>
      <c r="BE67" s="20"/>
      <c r="BF67" s="20"/>
      <c r="BG67" s="20"/>
      <c r="BH67" s="20"/>
      <c r="BJ67" s="10"/>
      <c r="BL67" s="20"/>
      <c r="BM67" s="20"/>
      <c r="BN67" s="20"/>
      <c r="BO67" s="20"/>
      <c r="BS67" s="20"/>
      <c r="BT67" s="20"/>
      <c r="BU67" s="20"/>
      <c r="BV67" s="20"/>
      <c r="BX67" s="10"/>
      <c r="BZ67" s="20"/>
      <c r="CA67" s="20"/>
      <c r="CB67" s="20"/>
      <c r="CC67" s="20"/>
      <c r="CE67" s="10"/>
      <c r="CG67" s="20"/>
      <c r="CH67" s="20"/>
      <c r="CI67" s="20"/>
      <c r="CJ67" s="20"/>
      <c r="CL67" s="10"/>
      <c r="CN67" s="20"/>
      <c r="CO67" s="20"/>
      <c r="CP67" s="20"/>
      <c r="CQ67" s="20"/>
      <c r="CS67" s="10"/>
      <c r="CU67" s="20"/>
      <c r="CV67" s="20"/>
      <c r="CW67" s="20"/>
      <c r="CX67" s="23"/>
      <c r="CZ67" s="10"/>
      <c r="DB67" s="20"/>
      <c r="DC67" s="23">
        <v>1</v>
      </c>
      <c r="DD67" s="20"/>
      <c r="DE67" s="23">
        <v>1</v>
      </c>
      <c r="DG67" s="10"/>
      <c r="DI67" s="20"/>
      <c r="DJ67" s="20"/>
      <c r="DK67" s="20"/>
      <c r="DL67" s="20"/>
      <c r="DN67" s="10"/>
      <c r="DP67" s="20"/>
      <c r="DQ67" s="20"/>
      <c r="DR67" s="20"/>
      <c r="DS67" s="20"/>
      <c r="DU67" s="10"/>
      <c r="DW67" s="20"/>
      <c r="DX67" s="20"/>
      <c r="DY67" s="20"/>
      <c r="DZ67" s="20"/>
    </row>
    <row r="68" spans="2:130" ht="15.75" customHeight="1" outlineLevel="1" x14ac:dyDescent="0.25">
      <c r="B68" s="6" t="s">
        <v>52</v>
      </c>
      <c r="C68" s="17" t="s">
        <v>86</v>
      </c>
      <c r="E68" s="19"/>
      <c r="F68" s="5" t="s">
        <v>92</v>
      </c>
      <c r="G68" s="20">
        <v>0.1</v>
      </c>
      <c r="I68" s="19">
        <f t="shared" si="6"/>
        <v>0</v>
      </c>
      <c r="J68" s="22">
        <f t="array" ref="J68">MAX(IF($N$3:$HA$3=$J$3,N68:HA68))</f>
        <v>0</v>
      </c>
      <c r="K68" s="22">
        <f t="array" ref="K68">MAX(IF($N$3:$HA$3=$J$3,N68:HA68))</f>
        <v>0</v>
      </c>
      <c r="L68" s="19"/>
      <c r="O68" s="20"/>
      <c r="P68" s="20"/>
      <c r="Q68" s="20"/>
      <c r="R68" s="20"/>
      <c r="V68" s="20"/>
      <c r="W68" s="20"/>
      <c r="X68" s="20"/>
      <c r="Y68" s="20"/>
      <c r="AC68" s="20"/>
      <c r="AD68" s="20"/>
      <c r="AE68" s="20"/>
      <c r="AF68" s="20"/>
      <c r="AJ68" s="20"/>
      <c r="AK68" s="20"/>
      <c r="AL68" s="20"/>
      <c r="AM68" s="20"/>
      <c r="AQ68" s="20"/>
      <c r="AR68" s="20"/>
      <c r="AS68" s="20"/>
      <c r="AT68" s="20"/>
      <c r="AX68" s="20"/>
      <c r="AY68" s="20"/>
      <c r="AZ68" s="20"/>
      <c r="BA68" s="20"/>
      <c r="BE68" s="20"/>
      <c r="BF68" s="20"/>
      <c r="BG68" s="20"/>
      <c r="BH68" s="20"/>
      <c r="BJ68" s="10"/>
      <c r="BL68" s="20"/>
      <c r="BM68" s="20"/>
      <c r="BN68" s="20"/>
      <c r="BO68" s="20"/>
      <c r="BS68" s="20"/>
      <c r="BT68" s="20"/>
      <c r="BU68" s="20"/>
      <c r="BV68" s="20"/>
      <c r="BX68" s="10"/>
      <c r="BZ68" s="20"/>
      <c r="CA68" s="20"/>
      <c r="CB68" s="20"/>
      <c r="CC68" s="20"/>
      <c r="CE68" s="10"/>
      <c r="CG68" s="20"/>
      <c r="CH68" s="20"/>
      <c r="CI68" s="20"/>
      <c r="CJ68" s="20"/>
      <c r="CL68" s="10"/>
      <c r="CN68" s="20"/>
      <c r="CO68" s="20"/>
      <c r="CP68" s="20"/>
      <c r="CQ68" s="20"/>
      <c r="CS68" s="10"/>
      <c r="CU68" s="20"/>
      <c r="CV68" s="20"/>
      <c r="CW68" s="20"/>
      <c r="CX68" s="23"/>
      <c r="CZ68" s="10"/>
      <c r="DB68" s="20"/>
      <c r="DC68" s="23">
        <v>1</v>
      </c>
      <c r="DD68" s="20"/>
      <c r="DE68" s="23">
        <v>1</v>
      </c>
      <c r="DG68" s="10"/>
      <c r="DI68" s="20"/>
      <c r="DJ68" s="20"/>
      <c r="DK68" s="20"/>
      <c r="DL68" s="20"/>
      <c r="DN68" s="10"/>
      <c r="DP68" s="20"/>
      <c r="DQ68" s="20"/>
      <c r="DR68" s="20"/>
      <c r="DS68" s="20"/>
      <c r="DU68" s="10"/>
      <c r="DW68" s="20"/>
      <c r="DX68" s="20"/>
      <c r="DY68" s="20"/>
      <c r="DZ68" s="20"/>
    </row>
    <row r="69" spans="2:130" ht="15.75" customHeight="1" outlineLevel="1" x14ac:dyDescent="0.25">
      <c r="B69" s="6" t="s">
        <v>52</v>
      </c>
      <c r="C69" s="17" t="s">
        <v>86</v>
      </c>
      <c r="E69" s="19"/>
      <c r="F69" s="5" t="s">
        <v>93</v>
      </c>
      <c r="G69" s="20">
        <v>0.1</v>
      </c>
      <c r="I69" s="19">
        <f t="shared" si="6"/>
        <v>0</v>
      </c>
      <c r="J69" s="22">
        <f t="array" ref="J69">MAX(IF($N$3:$HA$3=$J$3,N69:HA69))</f>
        <v>0</v>
      </c>
      <c r="K69" s="22">
        <f t="array" ref="K69">MAX(IF($N$3:$HA$3=$J$3,N69:HA69))</f>
        <v>0</v>
      </c>
      <c r="L69" s="19"/>
      <c r="O69" s="20"/>
      <c r="P69" s="20"/>
      <c r="Q69" s="20"/>
      <c r="R69" s="20"/>
      <c r="V69" s="20"/>
      <c r="W69" s="20"/>
      <c r="X69" s="20"/>
      <c r="Y69" s="20"/>
      <c r="AC69" s="20"/>
      <c r="AD69" s="20"/>
      <c r="AE69" s="20"/>
      <c r="AF69" s="20"/>
      <c r="AJ69" s="20"/>
      <c r="AK69" s="20"/>
      <c r="AL69" s="20"/>
      <c r="AM69" s="20"/>
      <c r="AQ69" s="20"/>
      <c r="AR69" s="20"/>
      <c r="AS69" s="20"/>
      <c r="AT69" s="20"/>
      <c r="AX69" s="20"/>
      <c r="AY69" s="20"/>
      <c r="AZ69" s="20"/>
      <c r="BA69" s="20"/>
      <c r="BE69" s="20"/>
      <c r="BF69" s="20"/>
      <c r="BG69" s="20"/>
      <c r="BH69" s="20"/>
      <c r="BJ69" s="10"/>
      <c r="BL69" s="20"/>
      <c r="BM69" s="20"/>
      <c r="BN69" s="20"/>
      <c r="BO69" s="20"/>
      <c r="BS69" s="20"/>
      <c r="BT69" s="20"/>
      <c r="BU69" s="20"/>
      <c r="BV69" s="20"/>
      <c r="BX69" s="10"/>
      <c r="BZ69" s="20"/>
      <c r="CA69" s="20"/>
      <c r="CB69" s="20"/>
      <c r="CC69" s="20"/>
      <c r="CE69" s="10"/>
      <c r="CG69" s="20"/>
      <c r="CH69" s="20"/>
      <c r="CI69" s="20"/>
      <c r="CJ69" s="20"/>
      <c r="CL69" s="10"/>
      <c r="CN69" s="20"/>
      <c r="CO69" s="20"/>
      <c r="CP69" s="20"/>
      <c r="CQ69" s="20"/>
      <c r="CS69" s="10"/>
      <c r="CU69" s="20"/>
      <c r="CV69" s="20"/>
      <c r="CW69" s="20"/>
      <c r="CX69" s="23"/>
      <c r="CZ69" s="10"/>
      <c r="DB69" s="20"/>
      <c r="DC69" s="23">
        <v>1</v>
      </c>
      <c r="DD69" s="20"/>
      <c r="DE69" s="23">
        <v>1</v>
      </c>
      <c r="DG69" s="10"/>
      <c r="DI69" s="20"/>
      <c r="DJ69" s="20"/>
      <c r="DK69" s="20"/>
      <c r="DL69" s="20"/>
      <c r="DN69" s="10"/>
      <c r="DP69" s="20"/>
      <c r="DQ69" s="20"/>
      <c r="DR69" s="20"/>
      <c r="DS69" s="20"/>
      <c r="DU69" s="10"/>
      <c r="DW69" s="20"/>
      <c r="DX69" s="20"/>
      <c r="DY69" s="20"/>
      <c r="DZ69" s="20"/>
    </row>
    <row r="70" spans="2:130" ht="15.75" customHeight="1" outlineLevel="1" x14ac:dyDescent="0.25">
      <c r="B70" s="6" t="s">
        <v>52</v>
      </c>
      <c r="C70" s="17" t="s">
        <v>86</v>
      </c>
      <c r="E70" s="19"/>
      <c r="F70" s="5" t="s">
        <v>94</v>
      </c>
      <c r="G70" s="20">
        <v>0.1</v>
      </c>
      <c r="I70" s="19">
        <f t="shared" si="6"/>
        <v>0</v>
      </c>
      <c r="J70" s="22">
        <f t="array" ref="J70">MAX(IF($N$3:$HA$3=$J$3,N70:HA70))</f>
        <v>0</v>
      </c>
      <c r="K70" s="22">
        <f t="array" ref="K70">MAX(IF($N$3:$HA$3=$J$3,N70:HA70))</f>
        <v>0</v>
      </c>
      <c r="L70" s="19"/>
      <c r="O70" s="20"/>
      <c r="P70" s="20"/>
      <c r="Q70" s="20"/>
      <c r="R70" s="20"/>
      <c r="V70" s="20"/>
      <c r="W70" s="20"/>
      <c r="X70" s="20"/>
      <c r="Y70" s="20"/>
      <c r="AC70" s="20"/>
      <c r="AD70" s="20"/>
      <c r="AE70" s="20"/>
      <c r="AF70" s="20"/>
      <c r="AJ70" s="20"/>
      <c r="AK70" s="20"/>
      <c r="AL70" s="20"/>
      <c r="AM70" s="20"/>
      <c r="AQ70" s="20"/>
      <c r="AR70" s="20"/>
      <c r="AS70" s="20"/>
      <c r="AT70" s="20"/>
      <c r="AX70" s="20"/>
      <c r="AY70" s="20"/>
      <c r="AZ70" s="20"/>
      <c r="BA70" s="20"/>
      <c r="BE70" s="20"/>
      <c r="BF70" s="20"/>
      <c r="BG70" s="20"/>
      <c r="BH70" s="20"/>
      <c r="BJ70" s="10"/>
      <c r="BL70" s="20"/>
      <c r="BM70" s="20"/>
      <c r="BN70" s="20"/>
      <c r="BO70" s="20"/>
      <c r="BS70" s="20"/>
      <c r="BT70" s="20"/>
      <c r="BU70" s="20"/>
      <c r="BV70" s="20"/>
      <c r="BX70" s="10"/>
      <c r="BZ70" s="20"/>
      <c r="CA70" s="20"/>
      <c r="CB70" s="20"/>
      <c r="CC70" s="20"/>
      <c r="CE70" s="10"/>
      <c r="CG70" s="20"/>
      <c r="CH70" s="20"/>
      <c r="CI70" s="20"/>
      <c r="CJ70" s="20"/>
      <c r="CL70" s="10"/>
      <c r="CN70" s="20"/>
      <c r="CO70" s="20"/>
      <c r="CP70" s="20"/>
      <c r="CQ70" s="20"/>
      <c r="CS70" s="10"/>
      <c r="CU70" s="20"/>
      <c r="CV70" s="20"/>
      <c r="CW70" s="20"/>
      <c r="CX70" s="23"/>
      <c r="CZ70" s="10"/>
      <c r="DB70" s="20"/>
      <c r="DC70" s="23">
        <v>1</v>
      </c>
      <c r="DD70" s="20"/>
      <c r="DE70" s="23">
        <v>1</v>
      </c>
      <c r="DG70" s="10"/>
      <c r="DI70" s="20"/>
      <c r="DJ70" s="20"/>
      <c r="DK70" s="20"/>
      <c r="DL70" s="20"/>
      <c r="DN70" s="10"/>
      <c r="DP70" s="20"/>
      <c r="DQ70" s="20"/>
      <c r="DR70" s="20"/>
      <c r="DS70" s="20"/>
      <c r="DU70" s="10"/>
      <c r="DW70" s="20"/>
      <c r="DX70" s="20"/>
      <c r="DY70" s="20"/>
      <c r="DZ70" s="20"/>
    </row>
    <row r="71" spans="2:130" ht="15.75" customHeight="1" outlineLevel="1" x14ac:dyDescent="0.25">
      <c r="B71" s="6" t="s">
        <v>52</v>
      </c>
      <c r="C71" s="17" t="s">
        <v>86</v>
      </c>
      <c r="E71" s="19"/>
      <c r="F71" s="5" t="s">
        <v>95</v>
      </c>
      <c r="G71" s="20">
        <v>0.1</v>
      </c>
      <c r="I71" s="19">
        <f t="shared" si="6"/>
        <v>0</v>
      </c>
      <c r="J71" s="22">
        <f t="array" ref="J71">MAX(IF($N$3:$HA$3=$J$3,N71:HA71))</f>
        <v>0</v>
      </c>
      <c r="K71" s="22">
        <f t="array" ref="K71">MAX(IF($N$3:$HA$3=$J$3,N71:HA71))</f>
        <v>0</v>
      </c>
      <c r="L71" s="19"/>
      <c r="O71" s="20"/>
      <c r="P71" s="20"/>
      <c r="Q71" s="20"/>
      <c r="R71" s="20"/>
      <c r="V71" s="20"/>
      <c r="W71" s="20"/>
      <c r="X71" s="20"/>
      <c r="Y71" s="20"/>
      <c r="AC71" s="20"/>
      <c r="AD71" s="20"/>
      <c r="AE71" s="20"/>
      <c r="AF71" s="20"/>
      <c r="AJ71" s="20"/>
      <c r="AK71" s="20"/>
      <c r="AL71" s="20"/>
      <c r="AM71" s="20"/>
      <c r="AQ71" s="20"/>
      <c r="AR71" s="20"/>
      <c r="AS71" s="20"/>
      <c r="AT71" s="20"/>
      <c r="AX71" s="20"/>
      <c r="AY71" s="20"/>
      <c r="AZ71" s="20"/>
      <c r="BA71" s="20"/>
      <c r="BE71" s="20"/>
      <c r="BF71" s="20"/>
      <c r="BG71" s="20"/>
      <c r="BH71" s="20"/>
      <c r="BJ71" s="10"/>
      <c r="BL71" s="20"/>
      <c r="BM71" s="20"/>
      <c r="BN71" s="20"/>
      <c r="BO71" s="20"/>
      <c r="BS71" s="20"/>
      <c r="BT71" s="20"/>
      <c r="BU71" s="20"/>
      <c r="BV71" s="20"/>
      <c r="BX71" s="10"/>
      <c r="BZ71" s="20"/>
      <c r="CA71" s="20"/>
      <c r="CB71" s="20"/>
      <c r="CC71" s="20"/>
      <c r="CE71" s="10"/>
      <c r="CG71" s="20"/>
      <c r="CH71" s="20"/>
      <c r="CI71" s="20"/>
      <c r="CJ71" s="20"/>
      <c r="CL71" s="10"/>
      <c r="CN71" s="20"/>
      <c r="CO71" s="20"/>
      <c r="CP71" s="20"/>
      <c r="CQ71" s="20"/>
      <c r="CS71" s="10"/>
      <c r="CU71" s="20"/>
      <c r="CV71" s="20"/>
      <c r="CW71" s="20"/>
      <c r="CX71" s="23"/>
      <c r="CZ71" s="10"/>
      <c r="DB71" s="20"/>
      <c r="DC71" s="23">
        <v>1</v>
      </c>
      <c r="DD71" s="20"/>
      <c r="DE71" s="23">
        <v>1</v>
      </c>
      <c r="DG71" s="10"/>
      <c r="DI71" s="20"/>
      <c r="DJ71" s="20"/>
      <c r="DK71" s="20"/>
      <c r="DL71" s="20"/>
      <c r="DN71" s="10"/>
      <c r="DP71" s="20"/>
      <c r="DQ71" s="20"/>
      <c r="DR71" s="20"/>
      <c r="DS71" s="20"/>
      <c r="DU71" s="10"/>
      <c r="DW71" s="20"/>
      <c r="DX71" s="20"/>
      <c r="DY71" s="20"/>
      <c r="DZ71" s="20"/>
    </row>
    <row r="72" spans="2:130" ht="15.75" customHeight="1" outlineLevel="1" x14ac:dyDescent="0.25">
      <c r="B72" s="6" t="s">
        <v>52</v>
      </c>
      <c r="C72" s="17" t="s">
        <v>86</v>
      </c>
      <c r="E72" s="19"/>
      <c r="F72" s="5" t="s">
        <v>96</v>
      </c>
      <c r="G72" s="20">
        <v>0.1</v>
      </c>
      <c r="I72" s="19">
        <f t="shared" si="6"/>
        <v>0</v>
      </c>
      <c r="J72" s="22">
        <f t="array" ref="J72">MAX(IF($N$3:$HA$3=$J$3,N72:HA72))</f>
        <v>0</v>
      </c>
      <c r="K72" s="22">
        <f t="array" ref="K72">MAX(IF($N$3:$HA$3=$J$3,N72:HA72))</f>
        <v>0</v>
      </c>
      <c r="L72" s="19"/>
      <c r="O72" s="20"/>
      <c r="P72" s="20"/>
      <c r="Q72" s="20"/>
      <c r="R72" s="20"/>
      <c r="V72" s="20"/>
      <c r="W72" s="20"/>
      <c r="X72" s="20"/>
      <c r="Y72" s="20"/>
      <c r="AC72" s="20"/>
      <c r="AD72" s="20"/>
      <c r="AE72" s="20"/>
      <c r="AF72" s="20"/>
      <c r="AJ72" s="20"/>
      <c r="AK72" s="20"/>
      <c r="AL72" s="20"/>
      <c r="AM72" s="20"/>
      <c r="AQ72" s="20"/>
      <c r="AR72" s="20"/>
      <c r="AS72" s="20"/>
      <c r="AT72" s="20"/>
      <c r="AX72" s="20"/>
      <c r="AY72" s="20"/>
      <c r="AZ72" s="20"/>
      <c r="BA72" s="20"/>
      <c r="BE72" s="20"/>
      <c r="BF72" s="20"/>
      <c r="BG72" s="20"/>
      <c r="BH72" s="20"/>
      <c r="BJ72" s="10"/>
      <c r="BL72" s="20"/>
      <c r="BM72" s="20"/>
      <c r="BN72" s="20"/>
      <c r="BO72" s="20"/>
      <c r="BS72" s="20"/>
      <c r="BT72" s="20"/>
      <c r="BU72" s="20"/>
      <c r="BV72" s="20"/>
      <c r="BX72" s="10"/>
      <c r="BZ72" s="20"/>
      <c r="CA72" s="20"/>
      <c r="CB72" s="20"/>
      <c r="CC72" s="20"/>
      <c r="CE72" s="10"/>
      <c r="CG72" s="20"/>
      <c r="CH72" s="20"/>
      <c r="CI72" s="20"/>
      <c r="CJ72" s="20"/>
      <c r="CL72" s="10"/>
      <c r="CN72" s="20"/>
      <c r="CO72" s="20"/>
      <c r="CP72" s="20"/>
      <c r="CQ72" s="20"/>
      <c r="CS72" s="10"/>
      <c r="CU72" s="20"/>
      <c r="CV72" s="20"/>
      <c r="CW72" s="20"/>
      <c r="CX72" s="23"/>
      <c r="CZ72" s="10"/>
      <c r="DB72" s="20"/>
      <c r="DC72" s="23">
        <v>1</v>
      </c>
      <c r="DD72" s="20"/>
      <c r="DE72" s="23">
        <v>1</v>
      </c>
      <c r="DG72" s="10"/>
      <c r="DI72" s="20"/>
      <c r="DJ72" s="20"/>
      <c r="DK72" s="20"/>
      <c r="DL72" s="20"/>
      <c r="DN72" s="10"/>
      <c r="DP72" s="20"/>
      <c r="DQ72" s="20"/>
      <c r="DR72" s="20"/>
      <c r="DS72" s="20"/>
      <c r="DU72" s="10"/>
      <c r="DW72" s="20"/>
      <c r="DX72" s="20"/>
      <c r="DY72" s="20"/>
      <c r="DZ72" s="20"/>
    </row>
    <row r="73" spans="2:130" ht="15.75" customHeight="1" outlineLevel="1" x14ac:dyDescent="0.25">
      <c r="B73" s="6" t="s">
        <v>52</v>
      </c>
      <c r="C73" s="17" t="s">
        <v>86</v>
      </c>
      <c r="E73" s="19"/>
      <c r="F73" s="5" t="s">
        <v>97</v>
      </c>
      <c r="G73" s="20">
        <v>0.1</v>
      </c>
      <c r="I73" s="19">
        <f t="shared" si="6"/>
        <v>0</v>
      </c>
      <c r="J73" s="22">
        <f t="array" ref="J73">MAX(IF($N$3:$HA$3=$J$3,N73:HA73))</f>
        <v>0</v>
      </c>
      <c r="K73" s="22">
        <f t="array" ref="K73">MAX(IF($N$3:$HA$3=$J$3,N73:HA73))</f>
        <v>0</v>
      </c>
      <c r="L73" s="19"/>
      <c r="O73" s="20"/>
      <c r="P73" s="20"/>
      <c r="Q73" s="20"/>
      <c r="R73" s="20"/>
      <c r="V73" s="20"/>
      <c r="W73" s="20"/>
      <c r="X73" s="20"/>
      <c r="Y73" s="20"/>
      <c r="AC73" s="20"/>
      <c r="AD73" s="20"/>
      <c r="AE73" s="20"/>
      <c r="AF73" s="20"/>
      <c r="AJ73" s="20"/>
      <c r="AK73" s="20"/>
      <c r="AL73" s="20"/>
      <c r="AM73" s="20"/>
      <c r="AQ73" s="20"/>
      <c r="AR73" s="20"/>
      <c r="AS73" s="20"/>
      <c r="AT73" s="20"/>
      <c r="AX73" s="20"/>
      <c r="AY73" s="20"/>
      <c r="AZ73" s="20"/>
      <c r="BA73" s="20"/>
      <c r="BE73" s="20"/>
      <c r="BF73" s="20"/>
      <c r="BG73" s="20"/>
      <c r="BH73" s="20"/>
      <c r="BJ73" s="10"/>
      <c r="BL73" s="20"/>
      <c r="BM73" s="20"/>
      <c r="BN73" s="20"/>
      <c r="BO73" s="20"/>
      <c r="BS73" s="20"/>
      <c r="BT73" s="20"/>
      <c r="BU73" s="20"/>
      <c r="BV73" s="20"/>
      <c r="BX73" s="10"/>
      <c r="BZ73" s="20"/>
      <c r="CA73" s="20"/>
      <c r="CB73" s="20"/>
      <c r="CC73" s="20"/>
      <c r="CE73" s="10"/>
      <c r="CG73" s="20"/>
      <c r="CH73" s="20"/>
      <c r="CI73" s="20"/>
      <c r="CJ73" s="20"/>
      <c r="CL73" s="10"/>
      <c r="CN73" s="20"/>
      <c r="CO73" s="20"/>
      <c r="CP73" s="20"/>
      <c r="CQ73" s="20"/>
      <c r="CS73" s="10"/>
      <c r="CU73" s="20"/>
      <c r="CV73" s="20"/>
      <c r="CW73" s="20"/>
      <c r="CX73" s="23"/>
      <c r="CZ73" s="10"/>
      <c r="DB73" s="20"/>
      <c r="DC73" s="23">
        <v>1</v>
      </c>
      <c r="DD73" s="20"/>
      <c r="DE73" s="23">
        <v>1</v>
      </c>
      <c r="DG73" s="10"/>
      <c r="DI73" s="20"/>
      <c r="DJ73" s="20"/>
      <c r="DK73" s="20"/>
      <c r="DL73" s="20"/>
      <c r="DN73" s="10"/>
      <c r="DP73" s="20"/>
      <c r="DQ73" s="20"/>
      <c r="DR73" s="20"/>
      <c r="DS73" s="20"/>
      <c r="DU73" s="10"/>
      <c r="DW73" s="20"/>
      <c r="DX73" s="20"/>
      <c r="DY73" s="20"/>
      <c r="DZ73" s="20"/>
    </row>
    <row r="74" spans="2:130" ht="15.75" customHeight="1" outlineLevel="1" x14ac:dyDescent="0.25">
      <c r="B74" s="6" t="s">
        <v>52</v>
      </c>
      <c r="C74" s="17" t="s">
        <v>86</v>
      </c>
      <c r="E74" s="19"/>
      <c r="F74" s="5" t="s">
        <v>98</v>
      </c>
      <c r="G74" s="20">
        <v>0.1</v>
      </c>
      <c r="I74" s="19">
        <f t="shared" si="6"/>
        <v>0</v>
      </c>
      <c r="J74" s="22">
        <f t="array" ref="J74">MAX(IF($N$3:$HA$3=$J$3,N74:HA74))</f>
        <v>0</v>
      </c>
      <c r="K74" s="22">
        <f t="array" ref="K74">MAX(IF($N$3:$HA$3=$J$3,N74:HA74))</f>
        <v>0</v>
      </c>
      <c r="L74" s="19"/>
      <c r="O74" s="20"/>
      <c r="P74" s="20"/>
      <c r="Q74" s="20"/>
      <c r="R74" s="20"/>
      <c r="V74" s="20"/>
      <c r="W74" s="20"/>
      <c r="X74" s="20"/>
      <c r="Y74" s="20"/>
      <c r="AC74" s="20"/>
      <c r="AD74" s="20"/>
      <c r="AE74" s="20"/>
      <c r="AF74" s="20"/>
      <c r="AJ74" s="20"/>
      <c r="AK74" s="20"/>
      <c r="AL74" s="20"/>
      <c r="AM74" s="20"/>
      <c r="AQ74" s="20"/>
      <c r="AR74" s="20"/>
      <c r="AS74" s="20"/>
      <c r="AT74" s="20"/>
      <c r="AX74" s="20"/>
      <c r="AY74" s="20"/>
      <c r="AZ74" s="20"/>
      <c r="BA74" s="20"/>
      <c r="BE74" s="20"/>
      <c r="BF74" s="20"/>
      <c r="BG74" s="20"/>
      <c r="BH74" s="20"/>
      <c r="BJ74" s="10"/>
      <c r="BL74" s="20"/>
      <c r="BM74" s="20"/>
      <c r="BN74" s="20"/>
      <c r="BO74" s="20"/>
      <c r="BS74" s="20"/>
      <c r="BT74" s="20"/>
      <c r="BU74" s="20"/>
      <c r="BV74" s="20"/>
      <c r="BX74" s="10"/>
      <c r="BZ74" s="20"/>
      <c r="CA74" s="20"/>
      <c r="CB74" s="20"/>
      <c r="CC74" s="20"/>
      <c r="CE74" s="10"/>
      <c r="CG74" s="20"/>
      <c r="CH74" s="20"/>
      <c r="CI74" s="20"/>
      <c r="CJ74" s="20"/>
      <c r="CL74" s="10"/>
      <c r="CN74" s="20"/>
      <c r="CO74" s="20"/>
      <c r="CP74" s="20"/>
      <c r="CQ74" s="20"/>
      <c r="CS74" s="10"/>
      <c r="CU74" s="20"/>
      <c r="CV74" s="20"/>
      <c r="CW74" s="20"/>
      <c r="CX74" s="23"/>
      <c r="CZ74" s="10"/>
      <c r="DB74" s="20"/>
      <c r="DC74" s="23">
        <v>1</v>
      </c>
      <c r="DD74" s="20"/>
      <c r="DE74" s="23">
        <v>1</v>
      </c>
      <c r="DG74" s="10"/>
      <c r="DI74" s="20"/>
      <c r="DJ74" s="20"/>
      <c r="DK74" s="20"/>
      <c r="DL74" s="20"/>
      <c r="DN74" s="10"/>
      <c r="DP74" s="20"/>
      <c r="DQ74" s="20"/>
      <c r="DR74" s="20"/>
      <c r="DS74" s="20"/>
      <c r="DU74" s="10"/>
      <c r="DW74" s="20"/>
      <c r="DX74" s="20"/>
      <c r="DY74" s="20"/>
      <c r="DZ74" s="20"/>
    </row>
    <row r="75" spans="2:130" ht="15.75" customHeight="1" outlineLevel="1" x14ac:dyDescent="0.25">
      <c r="B75" s="6" t="s">
        <v>52</v>
      </c>
      <c r="C75" s="17" t="s">
        <v>86</v>
      </c>
      <c r="E75" s="19"/>
      <c r="F75" s="5" t="s">
        <v>99</v>
      </c>
      <c r="G75" s="20">
        <v>0.1</v>
      </c>
      <c r="I75" s="19">
        <f t="shared" si="6"/>
        <v>0</v>
      </c>
      <c r="J75" s="22">
        <f t="array" ref="J75">MAX(IF($N$3:$HA$3=$J$3,N75:HA75))</f>
        <v>0</v>
      </c>
      <c r="K75" s="22">
        <f t="array" ref="K75">MAX(IF($N$3:$HA$3=$J$3,N75:HA75))</f>
        <v>0</v>
      </c>
      <c r="L75" s="19"/>
      <c r="O75" s="20"/>
      <c r="P75" s="20"/>
      <c r="Q75" s="20"/>
      <c r="R75" s="20"/>
      <c r="V75" s="20"/>
      <c r="W75" s="20"/>
      <c r="X75" s="20"/>
      <c r="Y75" s="20"/>
      <c r="AC75" s="20"/>
      <c r="AD75" s="20"/>
      <c r="AE75" s="20"/>
      <c r="AF75" s="20"/>
      <c r="AJ75" s="20"/>
      <c r="AK75" s="20"/>
      <c r="AL75" s="20"/>
      <c r="AM75" s="20"/>
      <c r="AQ75" s="20"/>
      <c r="AR75" s="20"/>
      <c r="AS75" s="20"/>
      <c r="AT75" s="20"/>
      <c r="AX75" s="20"/>
      <c r="AY75" s="20"/>
      <c r="AZ75" s="20"/>
      <c r="BA75" s="20"/>
      <c r="BE75" s="20"/>
      <c r="BF75" s="20"/>
      <c r="BG75" s="20"/>
      <c r="BH75" s="20"/>
      <c r="BJ75" s="10"/>
      <c r="BL75" s="20"/>
      <c r="BM75" s="20"/>
      <c r="BN75" s="20"/>
      <c r="BO75" s="20"/>
      <c r="BS75" s="20"/>
      <c r="BT75" s="20"/>
      <c r="BU75" s="20"/>
      <c r="BV75" s="20"/>
      <c r="BX75" s="10"/>
      <c r="BZ75" s="20"/>
      <c r="CA75" s="20"/>
      <c r="CB75" s="20"/>
      <c r="CC75" s="20"/>
      <c r="CE75" s="10"/>
      <c r="CG75" s="20"/>
      <c r="CH75" s="20"/>
      <c r="CI75" s="20"/>
      <c r="CJ75" s="20"/>
      <c r="CL75" s="10"/>
      <c r="CN75" s="20"/>
      <c r="CO75" s="20"/>
      <c r="CP75" s="20"/>
      <c r="CQ75" s="20"/>
      <c r="CS75" s="10"/>
      <c r="CU75" s="20"/>
      <c r="CV75" s="20"/>
      <c r="CW75" s="20"/>
      <c r="CX75" s="23"/>
      <c r="CZ75" s="10"/>
      <c r="DB75" s="20"/>
      <c r="DC75" s="23">
        <v>1</v>
      </c>
      <c r="DD75" s="20"/>
      <c r="DE75" s="23">
        <v>1</v>
      </c>
      <c r="DG75" s="10"/>
      <c r="DI75" s="20"/>
      <c r="DJ75" s="20"/>
      <c r="DK75" s="20"/>
      <c r="DL75" s="20"/>
      <c r="DN75" s="10"/>
      <c r="DP75" s="20"/>
      <c r="DQ75" s="20"/>
      <c r="DR75" s="20"/>
      <c r="DS75" s="20"/>
      <c r="DU75" s="10"/>
      <c r="DW75" s="20"/>
      <c r="DX75" s="20"/>
      <c r="DY75" s="20"/>
      <c r="DZ75" s="20"/>
    </row>
    <row r="76" spans="2:130" ht="15.75" customHeight="1" outlineLevel="1" x14ac:dyDescent="0.25">
      <c r="B76" s="6" t="s">
        <v>52</v>
      </c>
      <c r="C76" s="17" t="s">
        <v>86</v>
      </c>
      <c r="E76" s="19"/>
      <c r="F76" s="5" t="s">
        <v>100</v>
      </c>
      <c r="G76" s="20">
        <v>0.1</v>
      </c>
      <c r="I76" s="19">
        <f t="shared" si="6"/>
        <v>0</v>
      </c>
      <c r="J76" s="22">
        <f t="array" ref="J76">MAX(IF($N$3:$HA$3=$J$3,N76:HA76))</f>
        <v>0</v>
      </c>
      <c r="K76" s="22">
        <f t="array" ref="K76">MAX(IF($N$3:$HA$3=$J$3,N76:HA76))</f>
        <v>0</v>
      </c>
      <c r="L76" s="19"/>
      <c r="O76" s="20"/>
      <c r="P76" s="20"/>
      <c r="Q76" s="20"/>
      <c r="R76" s="20"/>
      <c r="V76" s="20"/>
      <c r="W76" s="20"/>
      <c r="X76" s="20"/>
      <c r="Y76" s="20"/>
      <c r="AC76" s="20"/>
      <c r="AD76" s="20"/>
      <c r="AE76" s="20"/>
      <c r="AF76" s="20"/>
      <c r="AJ76" s="20"/>
      <c r="AK76" s="20"/>
      <c r="AL76" s="20"/>
      <c r="AM76" s="20"/>
      <c r="AQ76" s="20"/>
      <c r="AR76" s="20"/>
      <c r="AS76" s="20"/>
      <c r="AT76" s="20"/>
      <c r="AX76" s="20"/>
      <c r="AY76" s="20"/>
      <c r="AZ76" s="20"/>
      <c r="BA76" s="20"/>
      <c r="BE76" s="20"/>
      <c r="BF76" s="20"/>
      <c r="BG76" s="20"/>
      <c r="BH76" s="20"/>
      <c r="BJ76" s="10"/>
      <c r="BL76" s="20"/>
      <c r="BM76" s="20"/>
      <c r="BN76" s="20"/>
      <c r="BO76" s="20"/>
      <c r="BS76" s="20"/>
      <c r="BT76" s="20"/>
      <c r="BU76" s="20"/>
      <c r="BV76" s="20"/>
      <c r="BX76" s="10"/>
      <c r="BZ76" s="20"/>
      <c r="CA76" s="20"/>
      <c r="CB76" s="20"/>
      <c r="CC76" s="20"/>
      <c r="CE76" s="10"/>
      <c r="CG76" s="20"/>
      <c r="CH76" s="20"/>
      <c r="CI76" s="20"/>
      <c r="CJ76" s="20"/>
      <c r="CL76" s="10"/>
      <c r="CN76" s="20"/>
      <c r="CO76" s="20"/>
      <c r="CP76" s="20"/>
      <c r="CQ76" s="20"/>
      <c r="CS76" s="10"/>
      <c r="CU76" s="20"/>
      <c r="CV76" s="20"/>
      <c r="CW76" s="20"/>
      <c r="CX76" s="23"/>
      <c r="CZ76" s="10"/>
      <c r="DB76" s="20"/>
      <c r="DC76" s="23">
        <v>1</v>
      </c>
      <c r="DD76" s="20"/>
      <c r="DE76" s="23">
        <v>1</v>
      </c>
      <c r="DG76" s="10"/>
      <c r="DI76" s="20"/>
      <c r="DJ76" s="20"/>
      <c r="DK76" s="20"/>
      <c r="DL76" s="20"/>
      <c r="DN76" s="10"/>
      <c r="DP76" s="20"/>
      <c r="DQ76" s="20"/>
      <c r="DR76" s="20"/>
      <c r="DS76" s="20"/>
      <c r="DU76" s="10"/>
      <c r="DW76" s="20"/>
      <c r="DX76" s="20"/>
      <c r="DY76" s="20"/>
      <c r="DZ76" s="20"/>
    </row>
    <row r="77" spans="2:130" ht="15.75" customHeight="1" x14ac:dyDescent="0.25">
      <c r="C77" s="8"/>
      <c r="BJ77" s="10"/>
      <c r="BX77" s="10"/>
      <c r="CE77" s="10"/>
      <c r="CL77" s="10"/>
      <c r="CS77" s="10"/>
      <c r="CZ77" s="10"/>
      <c r="DG77" s="10"/>
      <c r="DN77" s="10"/>
      <c r="DU77" s="10"/>
    </row>
    <row r="78" spans="2:130" ht="15.75" customHeight="1" x14ac:dyDescent="0.25">
      <c r="B78" s="6" t="s">
        <v>22</v>
      </c>
      <c r="C78" s="17" t="s">
        <v>101</v>
      </c>
      <c r="D78" s="18">
        <v>44858</v>
      </c>
      <c r="E78" s="25">
        <v>3</v>
      </c>
      <c r="G78" s="20">
        <f>+SUM(G79:G86)</f>
        <v>1</v>
      </c>
      <c r="I78" s="21">
        <f>+SUM(I79:I86)</f>
        <v>0</v>
      </c>
      <c r="J78" s="22">
        <f>+SUMPRODUCT(G79:G86,J79:J86)</f>
        <v>0</v>
      </c>
      <c r="K78" s="22">
        <f>+SUMPRODUCT(G79:G86,K79:K86)</f>
        <v>0</v>
      </c>
      <c r="L78" s="19"/>
      <c r="N78" s="21"/>
      <c r="U78" s="21"/>
      <c r="AB78" s="21"/>
      <c r="AI78" s="21"/>
      <c r="AP78" s="21"/>
      <c r="AW78" s="21"/>
      <c r="BD78" s="21"/>
      <c r="BJ78" s="10"/>
      <c r="BK78" s="21"/>
      <c r="BR78" s="21"/>
      <c r="BX78" s="10"/>
      <c r="BY78" s="21"/>
      <c r="CE78" s="10"/>
      <c r="CF78" s="21"/>
      <c r="CL78" s="10"/>
      <c r="CM78" s="21"/>
      <c r="CS78" s="10"/>
      <c r="CT78" s="21"/>
      <c r="CZ78" s="10"/>
      <c r="DA78" s="21"/>
      <c r="DG78" s="10"/>
      <c r="DH78" s="21"/>
      <c r="DN78" s="10"/>
      <c r="DO78" s="21"/>
      <c r="DU78" s="10"/>
      <c r="DV78" s="21"/>
    </row>
    <row r="79" spans="2:130" ht="15.75" customHeight="1" outlineLevel="1" x14ac:dyDescent="0.25">
      <c r="B79" s="6" t="s">
        <v>52</v>
      </c>
      <c r="C79" s="17" t="s">
        <v>102</v>
      </c>
      <c r="E79" s="19"/>
      <c r="F79" s="5" t="s">
        <v>74</v>
      </c>
      <c r="G79" s="20">
        <v>0.1</v>
      </c>
      <c r="I79" s="19">
        <f t="shared" ref="I79:I86" si="7">+SUMIF($N$3:$ACS$3,I$3,$N79:$ACS79)</f>
        <v>0</v>
      </c>
      <c r="J79" s="22">
        <f t="array" ref="J79">MAX(IF($N$3:$HA$3=$J$3,N79:HA79))</f>
        <v>0</v>
      </c>
      <c r="K79" s="22">
        <f t="array" ref="K79">MAX(IF($N$3:$HA$3=$J$3,N79:HA79))</f>
        <v>0</v>
      </c>
      <c r="L79" s="19"/>
      <c r="O79" s="20"/>
      <c r="P79" s="20"/>
      <c r="Q79" s="20"/>
      <c r="R79" s="20"/>
      <c r="V79" s="20"/>
      <c r="W79" s="20"/>
      <c r="X79" s="20"/>
      <c r="Y79" s="23">
        <v>0.8</v>
      </c>
      <c r="Z79" s="5" t="s">
        <v>64</v>
      </c>
      <c r="AC79" s="20"/>
      <c r="AD79" s="20"/>
      <c r="AE79" s="20"/>
      <c r="AF79" s="23">
        <v>0.8</v>
      </c>
      <c r="AG79" s="5" t="s">
        <v>103</v>
      </c>
      <c r="AJ79" s="20"/>
      <c r="AK79" s="20"/>
      <c r="AL79" s="20"/>
      <c r="AM79" s="23">
        <v>0.8</v>
      </c>
      <c r="AQ79" s="20"/>
      <c r="AR79" s="20"/>
      <c r="AS79" s="20"/>
      <c r="AT79" s="23">
        <v>1</v>
      </c>
      <c r="AU79" s="5" t="s">
        <v>104</v>
      </c>
      <c r="AX79" s="20"/>
      <c r="AY79" s="23"/>
      <c r="AZ79" s="20"/>
      <c r="BA79" s="23">
        <v>1</v>
      </c>
      <c r="BE79" s="20"/>
      <c r="BF79" s="23">
        <v>1</v>
      </c>
      <c r="BG79" s="20"/>
      <c r="BH79" s="23">
        <v>1</v>
      </c>
      <c r="BJ79" s="10"/>
      <c r="BL79" s="20"/>
      <c r="BM79" s="20"/>
      <c r="BN79" s="20"/>
      <c r="BO79" s="20"/>
      <c r="BS79" s="20"/>
      <c r="BT79" s="20"/>
      <c r="BU79" s="20"/>
      <c r="BV79" s="20"/>
      <c r="BX79" s="10"/>
      <c r="BZ79" s="20"/>
      <c r="CA79" s="20"/>
      <c r="CB79" s="20"/>
      <c r="CC79" s="20"/>
      <c r="CE79" s="10"/>
      <c r="CG79" s="20"/>
      <c r="CH79" s="20"/>
      <c r="CI79" s="20"/>
      <c r="CJ79" s="20"/>
      <c r="CL79" s="10"/>
      <c r="CN79" s="20"/>
      <c r="CO79" s="20"/>
      <c r="CP79" s="20"/>
      <c r="CQ79" s="20"/>
      <c r="CS79" s="10"/>
      <c r="CU79" s="20"/>
      <c r="CV79" s="20"/>
      <c r="CW79" s="20"/>
      <c r="CX79" s="20"/>
      <c r="CZ79" s="10"/>
      <c r="DB79" s="20"/>
      <c r="DC79" s="20"/>
      <c r="DD79" s="20"/>
      <c r="DE79" s="20"/>
      <c r="DG79" s="10"/>
      <c r="DI79" s="20"/>
      <c r="DJ79" s="20"/>
      <c r="DK79" s="20"/>
      <c r="DL79" s="20"/>
      <c r="DN79" s="10"/>
      <c r="DP79" s="20"/>
      <c r="DQ79" s="20"/>
      <c r="DR79" s="20"/>
      <c r="DS79" s="20"/>
      <c r="DU79" s="10"/>
      <c r="DW79" s="20"/>
      <c r="DX79" s="20"/>
      <c r="DY79" s="20"/>
      <c r="DZ79" s="20"/>
    </row>
    <row r="80" spans="2:130" ht="15.75" customHeight="1" outlineLevel="1" x14ac:dyDescent="0.25">
      <c r="B80" s="6" t="s">
        <v>52</v>
      </c>
      <c r="C80" s="17" t="s">
        <v>102</v>
      </c>
      <c r="E80" s="19"/>
      <c r="F80" s="5" t="s">
        <v>75</v>
      </c>
      <c r="G80" s="23">
        <v>0.15</v>
      </c>
      <c r="I80" s="19">
        <f t="shared" si="7"/>
        <v>0</v>
      </c>
      <c r="J80" s="22">
        <f t="array" ref="J80">MAX(IF($N$3:$HA$3=$J$3,N80:HA80))</f>
        <v>0</v>
      </c>
      <c r="K80" s="22">
        <f t="array" ref="K80">MAX(IF($N$3:$HA$3=$J$3,N80:HA80))</f>
        <v>0</v>
      </c>
      <c r="L80" s="19"/>
      <c r="O80" s="20"/>
      <c r="P80" s="20"/>
      <c r="Q80" s="20"/>
      <c r="R80" s="20"/>
      <c r="V80" s="20"/>
      <c r="W80" s="20"/>
      <c r="X80" s="20"/>
      <c r="Y80" s="23">
        <v>0.8</v>
      </c>
      <c r="AC80" s="20"/>
      <c r="AD80" s="20"/>
      <c r="AE80" s="20"/>
      <c r="AF80" s="23">
        <v>0.8</v>
      </c>
      <c r="AJ80" s="20"/>
      <c r="AK80" s="20"/>
      <c r="AL80" s="20"/>
      <c r="AM80" s="23">
        <v>0.8</v>
      </c>
      <c r="AN80" s="5" t="s">
        <v>64</v>
      </c>
      <c r="AQ80" s="20"/>
      <c r="AR80" s="20"/>
      <c r="AS80" s="20"/>
      <c r="AT80" s="23">
        <v>1</v>
      </c>
      <c r="AX80" s="20"/>
      <c r="AY80" s="23"/>
      <c r="AZ80" s="20"/>
      <c r="BA80" s="23">
        <v>1</v>
      </c>
      <c r="BE80" s="20"/>
      <c r="BF80" s="23">
        <v>1</v>
      </c>
      <c r="BG80" s="20"/>
      <c r="BH80" s="23">
        <v>1</v>
      </c>
      <c r="BJ80" s="10"/>
      <c r="BL80" s="20"/>
      <c r="BM80" s="20"/>
      <c r="BN80" s="20"/>
      <c r="BO80" s="20"/>
      <c r="BS80" s="20"/>
      <c r="BT80" s="20"/>
      <c r="BU80" s="20"/>
      <c r="BV80" s="20"/>
      <c r="BX80" s="10"/>
      <c r="BZ80" s="20"/>
      <c r="CA80" s="20"/>
      <c r="CB80" s="20"/>
      <c r="CC80" s="20"/>
      <c r="CE80" s="10"/>
      <c r="CG80" s="20"/>
      <c r="CH80" s="20"/>
      <c r="CI80" s="20"/>
      <c r="CJ80" s="20"/>
      <c r="CL80" s="10"/>
      <c r="CN80" s="20"/>
      <c r="CO80" s="20"/>
      <c r="CP80" s="20"/>
      <c r="CQ80" s="20"/>
      <c r="CS80" s="10"/>
      <c r="CU80" s="20"/>
      <c r="CV80" s="20"/>
      <c r="CW80" s="20"/>
      <c r="CX80" s="20"/>
      <c r="CZ80" s="10"/>
      <c r="DB80" s="20"/>
      <c r="DC80" s="20"/>
      <c r="DD80" s="20"/>
      <c r="DE80" s="20"/>
      <c r="DG80" s="10"/>
      <c r="DI80" s="20"/>
      <c r="DJ80" s="20"/>
      <c r="DK80" s="20"/>
      <c r="DL80" s="20"/>
      <c r="DN80" s="10"/>
      <c r="DP80" s="20"/>
      <c r="DQ80" s="20"/>
      <c r="DR80" s="20"/>
      <c r="DS80" s="20"/>
      <c r="DU80" s="10"/>
      <c r="DW80" s="20"/>
      <c r="DX80" s="20"/>
      <c r="DY80" s="20"/>
      <c r="DZ80" s="20"/>
    </row>
    <row r="81" spans="2:130" ht="15.75" customHeight="1" outlineLevel="1" x14ac:dyDescent="0.25">
      <c r="B81" s="6" t="s">
        <v>52</v>
      </c>
      <c r="C81" s="17" t="s">
        <v>102</v>
      </c>
      <c r="E81" s="19"/>
      <c r="F81" s="5" t="s">
        <v>76</v>
      </c>
      <c r="G81" s="23">
        <v>0.15</v>
      </c>
      <c r="I81" s="19">
        <f t="shared" si="7"/>
        <v>0</v>
      </c>
      <c r="J81" s="22">
        <f t="array" ref="J81">MAX(IF($N$3:$HA$3=$J$3,N81:HA81))</f>
        <v>0</v>
      </c>
      <c r="K81" s="22">
        <f t="array" ref="K81">MAX(IF($N$3:$HA$3=$J$3,N81:HA81))</f>
        <v>0</v>
      </c>
      <c r="L81" s="19"/>
      <c r="O81" s="20"/>
      <c r="P81" s="20"/>
      <c r="Q81" s="20"/>
      <c r="R81" s="20"/>
      <c r="V81" s="20"/>
      <c r="W81" s="20"/>
      <c r="X81" s="20"/>
      <c r="Y81" s="23">
        <v>0.5</v>
      </c>
      <c r="AC81" s="20"/>
      <c r="AD81" s="20"/>
      <c r="AE81" s="20"/>
      <c r="AF81" s="23">
        <v>0.8</v>
      </c>
      <c r="AJ81" s="20"/>
      <c r="AK81" s="20"/>
      <c r="AL81" s="20"/>
      <c r="AM81" s="23">
        <v>0.8</v>
      </c>
      <c r="AQ81" s="20"/>
      <c r="AR81" s="20"/>
      <c r="AS81" s="20"/>
      <c r="AT81" s="23">
        <v>1</v>
      </c>
      <c r="AX81" s="20"/>
      <c r="AY81" s="23"/>
      <c r="AZ81" s="20"/>
      <c r="BA81" s="23">
        <v>1</v>
      </c>
      <c r="BE81" s="20"/>
      <c r="BF81" s="23">
        <v>1</v>
      </c>
      <c r="BG81" s="20"/>
      <c r="BH81" s="23">
        <v>1</v>
      </c>
      <c r="BJ81" s="10"/>
      <c r="BL81" s="20"/>
      <c r="BM81" s="20"/>
      <c r="BN81" s="20"/>
      <c r="BO81" s="20"/>
      <c r="BS81" s="20"/>
      <c r="BT81" s="20"/>
      <c r="BU81" s="20"/>
      <c r="BV81" s="20"/>
      <c r="BX81" s="10"/>
      <c r="BZ81" s="20"/>
      <c r="CA81" s="20"/>
      <c r="CB81" s="20"/>
      <c r="CC81" s="20"/>
      <c r="CE81" s="10"/>
      <c r="CG81" s="20"/>
      <c r="CH81" s="20"/>
      <c r="CI81" s="20"/>
      <c r="CJ81" s="20"/>
      <c r="CL81" s="10"/>
      <c r="CN81" s="20"/>
      <c r="CO81" s="20"/>
      <c r="CP81" s="20"/>
      <c r="CQ81" s="20"/>
      <c r="CS81" s="10"/>
      <c r="CU81" s="20"/>
      <c r="CV81" s="20"/>
      <c r="CW81" s="20"/>
      <c r="CX81" s="20"/>
      <c r="CZ81" s="10"/>
      <c r="DB81" s="20"/>
      <c r="DC81" s="20"/>
      <c r="DD81" s="20"/>
      <c r="DE81" s="20"/>
      <c r="DG81" s="10"/>
      <c r="DI81" s="20"/>
      <c r="DJ81" s="20"/>
      <c r="DK81" s="20"/>
      <c r="DL81" s="20"/>
      <c r="DN81" s="10"/>
      <c r="DP81" s="20"/>
      <c r="DQ81" s="20"/>
      <c r="DR81" s="20"/>
      <c r="DS81" s="20"/>
      <c r="DU81" s="10"/>
      <c r="DW81" s="20"/>
      <c r="DX81" s="20"/>
      <c r="DY81" s="20"/>
      <c r="DZ81" s="20"/>
    </row>
    <row r="82" spans="2:130" ht="15.75" customHeight="1" outlineLevel="1" x14ac:dyDescent="0.25">
      <c r="B82" s="6" t="s">
        <v>52</v>
      </c>
      <c r="C82" s="17" t="s">
        <v>102</v>
      </c>
      <c r="E82" s="19"/>
      <c r="F82" s="5" t="s">
        <v>77</v>
      </c>
      <c r="G82" s="23">
        <v>0.15</v>
      </c>
      <c r="I82" s="19">
        <f t="shared" si="7"/>
        <v>0</v>
      </c>
      <c r="J82" s="22">
        <f t="array" ref="J82">MAX(IF($N$3:$HA$3=$J$3,N82:HA82))</f>
        <v>0</v>
      </c>
      <c r="K82" s="22">
        <f t="array" ref="K82">MAX(IF($N$3:$HA$3=$J$3,N82:HA82))</f>
        <v>0</v>
      </c>
      <c r="L82" s="19"/>
      <c r="O82" s="20"/>
      <c r="P82" s="20"/>
      <c r="Q82" s="20"/>
      <c r="R82" s="20"/>
      <c r="V82" s="20"/>
      <c r="W82" s="20"/>
      <c r="X82" s="20"/>
      <c r="Y82" s="23">
        <v>0.5</v>
      </c>
      <c r="AC82" s="20"/>
      <c r="AD82" s="20"/>
      <c r="AE82" s="20"/>
      <c r="AF82" s="23">
        <v>0.5</v>
      </c>
      <c r="AJ82" s="20"/>
      <c r="AK82" s="20"/>
      <c r="AL82" s="20"/>
      <c r="AM82" s="23">
        <v>0.8</v>
      </c>
      <c r="AQ82" s="20"/>
      <c r="AR82" s="20"/>
      <c r="AS82" s="20"/>
      <c r="AT82" s="23">
        <v>0.8</v>
      </c>
      <c r="AX82" s="20"/>
      <c r="AY82" s="23"/>
      <c r="AZ82" s="20"/>
      <c r="BA82" s="23">
        <v>1</v>
      </c>
      <c r="BE82" s="20"/>
      <c r="BF82" s="23">
        <v>1</v>
      </c>
      <c r="BG82" s="20"/>
      <c r="BH82" s="23">
        <v>1</v>
      </c>
      <c r="BJ82" s="10"/>
      <c r="BL82" s="20"/>
      <c r="BM82" s="20"/>
      <c r="BN82" s="20"/>
      <c r="BO82" s="20"/>
      <c r="BS82" s="20"/>
      <c r="BT82" s="20"/>
      <c r="BU82" s="20"/>
      <c r="BV82" s="20"/>
      <c r="BX82" s="10"/>
      <c r="BZ82" s="20"/>
      <c r="CA82" s="20"/>
      <c r="CB82" s="20"/>
      <c r="CC82" s="20"/>
      <c r="CE82" s="10"/>
      <c r="CG82" s="20"/>
      <c r="CH82" s="20"/>
      <c r="CI82" s="20"/>
      <c r="CJ82" s="20"/>
      <c r="CL82" s="10"/>
      <c r="CN82" s="20"/>
      <c r="CO82" s="20"/>
      <c r="CP82" s="20"/>
      <c r="CQ82" s="20"/>
      <c r="CS82" s="10"/>
      <c r="CU82" s="20"/>
      <c r="CV82" s="20"/>
      <c r="CW82" s="20"/>
      <c r="CX82" s="20"/>
      <c r="CZ82" s="10"/>
      <c r="DB82" s="20"/>
      <c r="DC82" s="20"/>
      <c r="DD82" s="20"/>
      <c r="DE82" s="20"/>
      <c r="DG82" s="10"/>
      <c r="DI82" s="20"/>
      <c r="DJ82" s="20"/>
      <c r="DK82" s="20"/>
      <c r="DL82" s="20"/>
      <c r="DN82" s="10"/>
      <c r="DP82" s="20"/>
      <c r="DQ82" s="20"/>
      <c r="DR82" s="20"/>
      <c r="DS82" s="20"/>
      <c r="DU82" s="10"/>
      <c r="DW82" s="20"/>
      <c r="DX82" s="20"/>
      <c r="DY82" s="20"/>
      <c r="DZ82" s="20"/>
    </row>
    <row r="83" spans="2:130" ht="15.75" customHeight="1" outlineLevel="1" x14ac:dyDescent="0.25">
      <c r="B83" s="6" t="s">
        <v>52</v>
      </c>
      <c r="C83" s="17" t="s">
        <v>102</v>
      </c>
      <c r="E83" s="19"/>
      <c r="F83" s="5" t="s">
        <v>78</v>
      </c>
      <c r="G83" s="23">
        <v>0.15</v>
      </c>
      <c r="I83" s="19">
        <f t="shared" si="7"/>
        <v>0</v>
      </c>
      <c r="J83" s="22">
        <f t="array" ref="J83">MAX(IF($N$3:$HA$3=$J$3,N83:HA83))</f>
        <v>0</v>
      </c>
      <c r="K83" s="22">
        <f t="array" ref="K83">MAX(IF($N$3:$HA$3=$J$3,N83:HA83))</f>
        <v>0</v>
      </c>
      <c r="L83" s="19"/>
      <c r="O83" s="20"/>
      <c r="P83" s="20"/>
      <c r="Q83" s="20"/>
      <c r="R83" s="20"/>
      <c r="V83" s="20"/>
      <c r="W83" s="20"/>
      <c r="X83" s="20"/>
      <c r="Y83" s="23">
        <v>0</v>
      </c>
      <c r="AC83" s="20"/>
      <c r="AD83" s="20"/>
      <c r="AE83" s="20"/>
      <c r="AF83" s="23">
        <v>0.5</v>
      </c>
      <c r="AJ83" s="20"/>
      <c r="AK83" s="20"/>
      <c r="AL83" s="20"/>
      <c r="AM83" s="23">
        <v>0.8</v>
      </c>
      <c r="AQ83" s="20"/>
      <c r="AR83" s="20"/>
      <c r="AS83" s="20"/>
      <c r="AT83" s="23">
        <v>0.8</v>
      </c>
      <c r="AX83" s="20"/>
      <c r="AY83" s="23"/>
      <c r="AZ83" s="20"/>
      <c r="BA83" s="23">
        <v>1</v>
      </c>
      <c r="BE83" s="20"/>
      <c r="BF83" s="23">
        <v>1</v>
      </c>
      <c r="BG83" s="20"/>
      <c r="BH83" s="23">
        <v>1</v>
      </c>
      <c r="BJ83" s="10"/>
      <c r="BL83" s="20"/>
      <c r="BM83" s="20"/>
      <c r="BN83" s="20"/>
      <c r="BO83" s="20"/>
      <c r="BS83" s="20"/>
      <c r="BT83" s="20"/>
      <c r="BU83" s="20"/>
      <c r="BV83" s="20"/>
      <c r="BX83" s="10"/>
      <c r="BZ83" s="20"/>
      <c r="CA83" s="20"/>
      <c r="CB83" s="20"/>
      <c r="CC83" s="20"/>
      <c r="CE83" s="10"/>
      <c r="CG83" s="20"/>
      <c r="CH83" s="20"/>
      <c r="CI83" s="20"/>
      <c r="CJ83" s="20"/>
      <c r="CL83" s="10"/>
      <c r="CN83" s="20"/>
      <c r="CO83" s="20"/>
      <c r="CP83" s="20"/>
      <c r="CQ83" s="20"/>
      <c r="CS83" s="10"/>
      <c r="CU83" s="20"/>
      <c r="CV83" s="20"/>
      <c r="CW83" s="20"/>
      <c r="CX83" s="20"/>
      <c r="CZ83" s="10"/>
      <c r="DB83" s="20"/>
      <c r="DC83" s="20"/>
      <c r="DD83" s="20"/>
      <c r="DE83" s="20"/>
      <c r="DG83" s="10"/>
      <c r="DI83" s="20"/>
      <c r="DJ83" s="20"/>
      <c r="DK83" s="20"/>
      <c r="DL83" s="20"/>
      <c r="DN83" s="10"/>
      <c r="DP83" s="20"/>
      <c r="DQ83" s="20"/>
      <c r="DR83" s="20"/>
      <c r="DS83" s="20"/>
      <c r="DU83" s="10"/>
      <c r="DW83" s="20"/>
      <c r="DX83" s="20"/>
      <c r="DY83" s="20"/>
      <c r="DZ83" s="20"/>
    </row>
    <row r="84" spans="2:130" ht="15.75" customHeight="1" outlineLevel="1" x14ac:dyDescent="0.25">
      <c r="B84" s="6" t="s">
        <v>52</v>
      </c>
      <c r="C84" s="17" t="s">
        <v>102</v>
      </c>
      <c r="E84" s="19"/>
      <c r="F84" s="5" t="s">
        <v>79</v>
      </c>
      <c r="G84" s="20">
        <v>0.1</v>
      </c>
      <c r="I84" s="19">
        <f t="shared" si="7"/>
        <v>0</v>
      </c>
      <c r="J84" s="22">
        <f t="array" ref="J84">MAX(IF($N$3:$HA$3=$J$3,N84:HA84))</f>
        <v>0</v>
      </c>
      <c r="K84" s="22">
        <f t="array" ref="K84">MAX(IF($N$3:$HA$3=$J$3,N84:HA84))</f>
        <v>0</v>
      </c>
      <c r="L84" s="19"/>
      <c r="O84" s="20"/>
      <c r="P84" s="20"/>
      <c r="Q84" s="20"/>
      <c r="R84" s="20"/>
      <c r="V84" s="20"/>
      <c r="W84" s="20"/>
      <c r="X84" s="20"/>
      <c r="Y84" s="23">
        <v>0</v>
      </c>
      <c r="AC84" s="20"/>
      <c r="AD84" s="20"/>
      <c r="AE84" s="20"/>
      <c r="AF84" s="23">
        <v>0.5</v>
      </c>
      <c r="AJ84" s="20"/>
      <c r="AK84" s="20"/>
      <c r="AL84" s="20"/>
      <c r="AM84" s="23">
        <v>0.8</v>
      </c>
      <c r="AQ84" s="20"/>
      <c r="AR84" s="20"/>
      <c r="AS84" s="20"/>
      <c r="AT84" s="23">
        <v>0.8</v>
      </c>
      <c r="AX84" s="20"/>
      <c r="AY84" s="23"/>
      <c r="AZ84" s="20"/>
      <c r="BA84" s="23">
        <v>0.8</v>
      </c>
      <c r="BE84" s="20"/>
      <c r="BF84" s="23">
        <v>1</v>
      </c>
      <c r="BG84" s="20"/>
      <c r="BH84" s="23">
        <v>1</v>
      </c>
      <c r="BJ84" s="10"/>
      <c r="BL84" s="20"/>
      <c r="BM84" s="20"/>
      <c r="BN84" s="20"/>
      <c r="BO84" s="20"/>
      <c r="BS84" s="20"/>
      <c r="BT84" s="20"/>
      <c r="BU84" s="20"/>
      <c r="BV84" s="20"/>
      <c r="BX84" s="10"/>
      <c r="BZ84" s="20"/>
      <c r="CA84" s="20"/>
      <c r="CB84" s="20"/>
      <c r="CC84" s="20"/>
      <c r="CE84" s="10"/>
      <c r="CG84" s="20"/>
      <c r="CH84" s="20"/>
      <c r="CI84" s="20"/>
      <c r="CJ84" s="20"/>
      <c r="CL84" s="10"/>
      <c r="CN84" s="20"/>
      <c r="CO84" s="20"/>
      <c r="CP84" s="20"/>
      <c r="CQ84" s="20"/>
      <c r="CS84" s="10"/>
      <c r="CU84" s="20"/>
      <c r="CV84" s="20"/>
      <c r="CW84" s="20"/>
      <c r="CX84" s="20"/>
      <c r="CZ84" s="10"/>
      <c r="DB84" s="20"/>
      <c r="DC84" s="20"/>
      <c r="DD84" s="20"/>
      <c r="DE84" s="20"/>
      <c r="DG84" s="10"/>
      <c r="DI84" s="20"/>
      <c r="DJ84" s="20"/>
      <c r="DK84" s="20"/>
      <c r="DL84" s="20"/>
      <c r="DN84" s="10"/>
      <c r="DP84" s="20"/>
      <c r="DQ84" s="20"/>
      <c r="DR84" s="20"/>
      <c r="DS84" s="20"/>
      <c r="DU84" s="10"/>
      <c r="DW84" s="20"/>
      <c r="DX84" s="20"/>
      <c r="DY84" s="20"/>
      <c r="DZ84" s="20"/>
    </row>
    <row r="85" spans="2:130" ht="15.75" customHeight="1" outlineLevel="1" x14ac:dyDescent="0.25">
      <c r="B85" s="6" t="s">
        <v>52</v>
      </c>
      <c r="C85" s="17" t="s">
        <v>102</v>
      </c>
      <c r="E85" s="19"/>
      <c r="F85" s="5" t="s">
        <v>80</v>
      </c>
      <c r="G85" s="20">
        <v>0.1</v>
      </c>
      <c r="I85" s="19">
        <f t="shared" si="7"/>
        <v>0</v>
      </c>
      <c r="J85" s="22">
        <f t="array" ref="J85">MAX(IF($N$3:$HA$3=$J$3,N85:HA85))</f>
        <v>0</v>
      </c>
      <c r="K85" s="22">
        <f t="array" ref="K85">MAX(IF($N$3:$HA$3=$J$3,N85:HA85))</f>
        <v>0</v>
      </c>
      <c r="L85" s="19"/>
      <c r="O85" s="20"/>
      <c r="P85" s="20"/>
      <c r="Q85" s="20"/>
      <c r="R85" s="20"/>
      <c r="V85" s="20"/>
      <c r="W85" s="20"/>
      <c r="X85" s="20"/>
      <c r="Y85" s="23">
        <v>0</v>
      </c>
      <c r="AC85" s="20"/>
      <c r="AD85" s="20"/>
      <c r="AE85" s="20"/>
      <c r="AF85" s="23">
        <v>0</v>
      </c>
      <c r="AJ85" s="20"/>
      <c r="AK85" s="20"/>
      <c r="AL85" s="20"/>
      <c r="AM85" s="23">
        <v>0.5</v>
      </c>
      <c r="AQ85" s="20"/>
      <c r="AR85" s="20"/>
      <c r="AS85" s="20"/>
      <c r="AT85" s="23">
        <v>0.5</v>
      </c>
      <c r="AX85" s="20"/>
      <c r="AY85" s="23"/>
      <c r="AZ85" s="20"/>
      <c r="BA85" s="23">
        <v>0.8</v>
      </c>
      <c r="BE85" s="20"/>
      <c r="BF85" s="23">
        <v>1</v>
      </c>
      <c r="BG85" s="20"/>
      <c r="BH85" s="23">
        <v>1</v>
      </c>
      <c r="BJ85" s="10"/>
      <c r="BL85" s="20"/>
      <c r="BM85" s="20"/>
      <c r="BN85" s="20"/>
      <c r="BO85" s="20"/>
      <c r="BS85" s="20"/>
      <c r="BT85" s="20"/>
      <c r="BU85" s="20"/>
      <c r="BV85" s="20"/>
      <c r="BX85" s="10"/>
      <c r="BZ85" s="20"/>
      <c r="CA85" s="20"/>
      <c r="CB85" s="20"/>
      <c r="CC85" s="20"/>
      <c r="CE85" s="10"/>
      <c r="CG85" s="20"/>
      <c r="CH85" s="20"/>
      <c r="CI85" s="20"/>
      <c r="CJ85" s="20"/>
      <c r="CL85" s="10"/>
      <c r="CN85" s="20"/>
      <c r="CO85" s="20"/>
      <c r="CP85" s="20"/>
      <c r="CQ85" s="20"/>
      <c r="CS85" s="10"/>
      <c r="CU85" s="20"/>
      <c r="CV85" s="20"/>
      <c r="CW85" s="20"/>
      <c r="CX85" s="20"/>
      <c r="CZ85" s="10"/>
      <c r="DB85" s="20"/>
      <c r="DC85" s="20"/>
      <c r="DD85" s="20"/>
      <c r="DE85" s="20"/>
      <c r="DG85" s="10"/>
      <c r="DI85" s="20"/>
      <c r="DJ85" s="20"/>
      <c r="DK85" s="20"/>
      <c r="DL85" s="20"/>
      <c r="DN85" s="10"/>
      <c r="DP85" s="20"/>
      <c r="DQ85" s="20"/>
      <c r="DR85" s="20"/>
      <c r="DS85" s="20"/>
      <c r="DU85" s="10"/>
      <c r="DW85" s="20"/>
      <c r="DX85" s="20"/>
      <c r="DY85" s="20"/>
      <c r="DZ85" s="20"/>
    </row>
    <row r="86" spans="2:130" ht="15.75" customHeight="1" outlineLevel="1" x14ac:dyDescent="0.25">
      <c r="B86" s="6" t="s">
        <v>52</v>
      </c>
      <c r="C86" s="17" t="s">
        <v>102</v>
      </c>
      <c r="E86" s="19"/>
      <c r="F86" s="5" t="s">
        <v>81</v>
      </c>
      <c r="G86" s="20">
        <v>0.1</v>
      </c>
      <c r="I86" s="19">
        <f t="shared" si="7"/>
        <v>0</v>
      </c>
      <c r="J86" s="22">
        <f t="array" ref="J86">MAX(IF($N$3:$HA$3=$J$3,N86:HA86))</f>
        <v>0</v>
      </c>
      <c r="K86" s="22">
        <f t="array" ref="K86">MAX(IF($N$3:$HA$3=$J$3,N86:HA86))</f>
        <v>0</v>
      </c>
      <c r="L86" s="19"/>
      <c r="O86" s="20"/>
      <c r="P86" s="20"/>
      <c r="Q86" s="20"/>
      <c r="R86" s="20"/>
      <c r="V86" s="20"/>
      <c r="W86" s="20"/>
      <c r="X86" s="20"/>
      <c r="Y86" s="23">
        <v>0</v>
      </c>
      <c r="AC86" s="20"/>
      <c r="AD86" s="20"/>
      <c r="AE86" s="20"/>
      <c r="AF86" s="23">
        <v>0</v>
      </c>
      <c r="AJ86" s="20"/>
      <c r="AK86" s="20"/>
      <c r="AL86" s="20"/>
      <c r="AM86" s="23">
        <v>0.5</v>
      </c>
      <c r="AQ86" s="20"/>
      <c r="AR86" s="20"/>
      <c r="AS86" s="20"/>
      <c r="AT86" s="23">
        <v>0.5</v>
      </c>
      <c r="AX86" s="20"/>
      <c r="AY86" s="23"/>
      <c r="AZ86" s="20"/>
      <c r="BA86" s="23">
        <v>0.8</v>
      </c>
      <c r="BE86" s="20"/>
      <c r="BF86" s="23">
        <v>1</v>
      </c>
      <c r="BG86" s="20"/>
      <c r="BH86" s="23">
        <v>1</v>
      </c>
      <c r="BJ86" s="10"/>
      <c r="BL86" s="20"/>
      <c r="BM86" s="20"/>
      <c r="BN86" s="20"/>
      <c r="BO86" s="20"/>
      <c r="BS86" s="20"/>
      <c r="BT86" s="20"/>
      <c r="BU86" s="20"/>
      <c r="BV86" s="20"/>
      <c r="BX86" s="10"/>
      <c r="BZ86" s="20"/>
      <c r="CA86" s="20"/>
      <c r="CB86" s="20"/>
      <c r="CC86" s="20"/>
      <c r="CE86" s="10"/>
      <c r="CG86" s="20"/>
      <c r="CH86" s="20"/>
      <c r="CI86" s="20"/>
      <c r="CJ86" s="20"/>
      <c r="CL86" s="10"/>
      <c r="CN86" s="20"/>
      <c r="CO86" s="20"/>
      <c r="CP86" s="20"/>
      <c r="CQ86" s="20"/>
      <c r="CS86" s="10"/>
      <c r="CU86" s="20"/>
      <c r="CV86" s="20"/>
      <c r="CW86" s="20"/>
      <c r="CX86" s="20"/>
      <c r="CZ86" s="10"/>
      <c r="DB86" s="20"/>
      <c r="DC86" s="20"/>
      <c r="DD86" s="20"/>
      <c r="DE86" s="20"/>
      <c r="DG86" s="10"/>
      <c r="DI86" s="20"/>
      <c r="DJ86" s="20"/>
      <c r="DK86" s="20"/>
      <c r="DL86" s="20"/>
      <c r="DN86" s="10"/>
      <c r="DP86" s="20"/>
      <c r="DQ86" s="20"/>
      <c r="DR86" s="20"/>
      <c r="DS86" s="20"/>
      <c r="DU86" s="10"/>
      <c r="DW86" s="20"/>
      <c r="DX86" s="20"/>
      <c r="DY86" s="20"/>
      <c r="DZ86" s="20"/>
    </row>
    <row r="87" spans="2:130" ht="15.75" customHeight="1" x14ac:dyDescent="0.25">
      <c r="C87" s="8"/>
      <c r="BJ87" s="10"/>
      <c r="BX87" s="10"/>
      <c r="CE87" s="10"/>
      <c r="CL87" s="10"/>
      <c r="CS87" s="10"/>
      <c r="CZ87" s="10"/>
      <c r="DG87" s="10"/>
      <c r="DN87" s="10"/>
      <c r="DU87" s="10"/>
    </row>
    <row r="88" spans="2:130" ht="15.75" customHeight="1" x14ac:dyDescent="0.25">
      <c r="C88" s="8"/>
      <c r="BJ88" s="10"/>
      <c r="BX88" s="10"/>
      <c r="CE88" s="10"/>
      <c r="CL88" s="10"/>
      <c r="CS88" s="10"/>
      <c r="CZ88" s="10"/>
      <c r="DG88" s="10"/>
      <c r="DN88" s="10"/>
      <c r="DU88" s="10"/>
    </row>
    <row r="89" spans="2:130" ht="15.75" customHeight="1" x14ac:dyDescent="0.25">
      <c r="C89" s="8"/>
      <c r="BJ89" s="10"/>
      <c r="BX89" s="10"/>
      <c r="CE89" s="10"/>
      <c r="CL89" s="10"/>
      <c r="CS89" s="10"/>
      <c r="CZ89" s="10"/>
      <c r="DG89" s="10"/>
      <c r="DN89" s="10"/>
      <c r="DU89" s="10"/>
    </row>
    <row r="90" spans="2:130" ht="15.75" customHeight="1" x14ac:dyDescent="0.25">
      <c r="C90" s="17"/>
      <c r="BJ90" s="10"/>
      <c r="BX90" s="10"/>
      <c r="CE90" s="10"/>
      <c r="CL90" s="10"/>
      <c r="CS90" s="10"/>
      <c r="CZ90" s="10"/>
      <c r="DG90" s="10"/>
      <c r="DN90" s="10"/>
      <c r="DU90" s="10"/>
    </row>
    <row r="91" spans="2:130" ht="15.75" customHeight="1" x14ac:dyDescent="0.25">
      <c r="C91" s="8"/>
      <c r="BJ91" s="10"/>
      <c r="BX91" s="10"/>
      <c r="CE91" s="10"/>
      <c r="CL91" s="10"/>
      <c r="CS91" s="10"/>
      <c r="CZ91" s="10"/>
      <c r="DG91" s="10"/>
      <c r="DN91" s="10"/>
      <c r="DU91" s="10"/>
    </row>
    <row r="92" spans="2:130" ht="15.75" customHeight="1" x14ac:dyDescent="0.25">
      <c r="C92" s="8"/>
      <c r="BJ92" s="10"/>
      <c r="BX92" s="10"/>
      <c r="CE92" s="10"/>
      <c r="CL92" s="10"/>
      <c r="CS92" s="10"/>
      <c r="CZ92" s="10"/>
      <c r="DG92" s="10"/>
      <c r="DN92" s="10"/>
      <c r="DU92" s="10"/>
    </row>
    <row r="93" spans="2:130" ht="15.75" customHeight="1" x14ac:dyDescent="0.25">
      <c r="C93" s="8"/>
      <c r="BJ93" s="10"/>
      <c r="BX93" s="10"/>
      <c r="CE93" s="10"/>
      <c r="CL93" s="10"/>
      <c r="CS93" s="10"/>
      <c r="CZ93" s="10"/>
      <c r="DG93" s="10"/>
      <c r="DN93" s="10"/>
      <c r="DU93" s="10"/>
    </row>
    <row r="94" spans="2:130" ht="15.75" customHeight="1" x14ac:dyDescent="0.25">
      <c r="C94" s="8"/>
      <c r="BJ94" s="10"/>
      <c r="BX94" s="10"/>
      <c r="CE94" s="10"/>
      <c r="CL94" s="10"/>
      <c r="CS94" s="10"/>
      <c r="CZ94" s="10"/>
      <c r="DG94" s="10"/>
      <c r="DN94" s="10"/>
      <c r="DU94" s="10"/>
    </row>
    <row r="95" spans="2:130" ht="15.75" customHeight="1" x14ac:dyDescent="0.25">
      <c r="C95" s="8"/>
      <c r="BJ95" s="10"/>
      <c r="BX95" s="10"/>
      <c r="CE95" s="10"/>
      <c r="CL95" s="10"/>
      <c r="CS95" s="10"/>
      <c r="CZ95" s="10"/>
      <c r="DG95" s="10"/>
      <c r="DN95" s="10"/>
      <c r="DU95" s="10"/>
    </row>
    <row r="96" spans="2:130" ht="15.75" customHeight="1" x14ac:dyDescent="0.25">
      <c r="C96" s="8"/>
      <c r="BJ96" s="10"/>
      <c r="BX96" s="10"/>
      <c r="CE96" s="10"/>
      <c r="CL96" s="10"/>
      <c r="CS96" s="10"/>
      <c r="CZ96" s="10"/>
      <c r="DG96" s="10"/>
      <c r="DN96" s="10"/>
      <c r="DU96" s="10"/>
    </row>
    <row r="97" spans="3:125" ht="15.75" customHeight="1" x14ac:dyDescent="0.25">
      <c r="C97" s="8"/>
      <c r="BJ97" s="10"/>
      <c r="BX97" s="10"/>
      <c r="CE97" s="10"/>
      <c r="CL97" s="10"/>
      <c r="CS97" s="10"/>
      <c r="CZ97" s="10"/>
      <c r="DG97" s="10"/>
      <c r="DN97" s="10"/>
      <c r="DU97" s="10"/>
    </row>
    <row r="98" spans="3:125" ht="15.75" customHeight="1" x14ac:dyDescent="0.25">
      <c r="C98" s="8"/>
      <c r="BJ98" s="10"/>
      <c r="BX98" s="10"/>
      <c r="CE98" s="10"/>
      <c r="CL98" s="10"/>
      <c r="CS98" s="10"/>
      <c r="CZ98" s="10"/>
      <c r="DG98" s="10"/>
      <c r="DN98" s="10"/>
      <c r="DU98" s="10"/>
    </row>
    <row r="99" spans="3:125" ht="15.75" customHeight="1" x14ac:dyDescent="0.25">
      <c r="C99" s="8"/>
      <c r="BJ99" s="10"/>
      <c r="BX99" s="10"/>
      <c r="CE99" s="10"/>
      <c r="CL99" s="10"/>
      <c r="CS99" s="10"/>
      <c r="CZ99" s="10"/>
      <c r="DG99" s="10"/>
      <c r="DN99" s="10"/>
      <c r="DU99" s="10"/>
    </row>
    <row r="100" spans="3:125" ht="15.75" customHeight="1" x14ac:dyDescent="0.25">
      <c r="C100" s="8"/>
      <c r="BJ100" s="10"/>
      <c r="BX100" s="10"/>
      <c r="CE100" s="10"/>
      <c r="CL100" s="10"/>
      <c r="CS100" s="10"/>
      <c r="CZ100" s="10"/>
      <c r="DG100" s="10"/>
      <c r="DN100" s="10"/>
      <c r="DU100" s="10"/>
    </row>
    <row r="101" spans="3:125" ht="15.75" customHeight="1" x14ac:dyDescent="0.25">
      <c r="C101" s="8"/>
      <c r="BJ101" s="10"/>
      <c r="BX101" s="10"/>
      <c r="CE101" s="10"/>
      <c r="CL101" s="10"/>
      <c r="CS101" s="10"/>
      <c r="CZ101" s="10"/>
      <c r="DG101" s="10"/>
      <c r="DN101" s="10"/>
      <c r="DU101" s="10"/>
    </row>
    <row r="102" spans="3:125" ht="15.75" customHeight="1" x14ac:dyDescent="0.25">
      <c r="C102" s="8"/>
      <c r="BJ102" s="10"/>
      <c r="BX102" s="10"/>
      <c r="CE102" s="10"/>
      <c r="CL102" s="10"/>
      <c r="CS102" s="10"/>
      <c r="CZ102" s="10"/>
      <c r="DG102" s="10"/>
      <c r="DN102" s="10"/>
      <c r="DU102" s="10"/>
    </row>
    <row r="103" spans="3:125" ht="15.75" customHeight="1" x14ac:dyDescent="0.25">
      <c r="C103" s="8"/>
      <c r="BJ103" s="10"/>
      <c r="BX103" s="10"/>
      <c r="CE103" s="10"/>
      <c r="CL103" s="10"/>
      <c r="CS103" s="10"/>
      <c r="CZ103" s="10"/>
      <c r="DG103" s="10"/>
      <c r="DN103" s="10"/>
      <c r="DU103" s="10"/>
    </row>
    <row r="104" spans="3:125" ht="15.75" customHeight="1" x14ac:dyDescent="0.25">
      <c r="C104" s="8"/>
      <c r="BJ104" s="10"/>
      <c r="BX104" s="10"/>
      <c r="CE104" s="10"/>
      <c r="CL104" s="10"/>
      <c r="CS104" s="10"/>
      <c r="CZ104" s="10"/>
      <c r="DG104" s="10"/>
      <c r="DN104" s="10"/>
      <c r="DU104" s="10"/>
    </row>
    <row r="105" spans="3:125" ht="15.75" customHeight="1" x14ac:dyDescent="0.25">
      <c r="C105" s="8"/>
      <c r="BJ105" s="10"/>
      <c r="BX105" s="10"/>
      <c r="CE105" s="10"/>
      <c r="CL105" s="10"/>
      <c r="CS105" s="10"/>
      <c r="CZ105" s="10"/>
      <c r="DG105" s="10"/>
      <c r="DN105" s="10"/>
      <c r="DU105" s="10"/>
    </row>
    <row r="106" spans="3:125" ht="15.75" customHeight="1" x14ac:dyDescent="0.25">
      <c r="C106" s="8"/>
      <c r="BJ106" s="10"/>
      <c r="BX106" s="10"/>
      <c r="CE106" s="10"/>
      <c r="CL106" s="10"/>
      <c r="CS106" s="10"/>
      <c r="CZ106" s="10"/>
      <c r="DG106" s="10"/>
      <c r="DN106" s="10"/>
      <c r="DU106" s="10"/>
    </row>
    <row r="107" spans="3:125" ht="15.75" customHeight="1" x14ac:dyDescent="0.25">
      <c r="C107" s="8"/>
      <c r="BJ107" s="10"/>
      <c r="BX107" s="10"/>
      <c r="CE107" s="10"/>
      <c r="CL107" s="10"/>
      <c r="CS107" s="10"/>
      <c r="CZ107" s="10"/>
      <c r="DG107" s="10"/>
      <c r="DN107" s="10"/>
      <c r="DU107" s="10"/>
    </row>
    <row r="108" spans="3:125" ht="15.75" customHeight="1" x14ac:dyDescent="0.25">
      <c r="C108" s="8"/>
      <c r="BJ108" s="10"/>
      <c r="BX108" s="10"/>
      <c r="CE108" s="10"/>
      <c r="CL108" s="10"/>
      <c r="CS108" s="10"/>
      <c r="CZ108" s="10"/>
      <c r="DG108" s="10"/>
      <c r="DN108" s="10"/>
      <c r="DU108" s="10"/>
    </row>
    <row r="109" spans="3:125" ht="15.75" customHeight="1" x14ac:dyDescent="0.25">
      <c r="C109" s="8"/>
      <c r="BJ109" s="10"/>
      <c r="BX109" s="10"/>
      <c r="CE109" s="10"/>
      <c r="CL109" s="10"/>
      <c r="CS109" s="10"/>
      <c r="CZ109" s="10"/>
      <c r="DG109" s="10"/>
      <c r="DN109" s="10"/>
      <c r="DU109" s="10"/>
    </row>
    <row r="110" spans="3:125" ht="15.75" customHeight="1" x14ac:dyDescent="0.25">
      <c r="C110" s="8"/>
      <c r="BJ110" s="10"/>
      <c r="BX110" s="10"/>
      <c r="CE110" s="10"/>
      <c r="CL110" s="10"/>
      <c r="CS110" s="10"/>
      <c r="CZ110" s="10"/>
      <c r="DG110" s="10"/>
      <c r="DN110" s="10"/>
      <c r="DU110" s="10"/>
    </row>
    <row r="111" spans="3:125" ht="15.75" customHeight="1" x14ac:dyDescent="0.25">
      <c r="C111" s="8"/>
      <c r="BJ111" s="10"/>
      <c r="BX111" s="10"/>
      <c r="CE111" s="10"/>
      <c r="CL111" s="10"/>
      <c r="CS111" s="10"/>
      <c r="CZ111" s="10"/>
      <c r="DG111" s="10"/>
      <c r="DN111" s="10"/>
      <c r="DU111" s="10"/>
    </row>
    <row r="112" spans="3:125" ht="15.75" customHeight="1" x14ac:dyDescent="0.25">
      <c r="C112" s="8"/>
      <c r="BJ112" s="10"/>
      <c r="BX112" s="10"/>
      <c r="CE112" s="10"/>
      <c r="CL112" s="10"/>
      <c r="CS112" s="10"/>
      <c r="CZ112" s="10"/>
      <c r="DG112" s="10"/>
      <c r="DN112" s="10"/>
      <c r="DU112" s="10"/>
    </row>
    <row r="113" spans="3:125" ht="15.75" customHeight="1" x14ac:dyDescent="0.25">
      <c r="C113" s="8"/>
      <c r="BJ113" s="10"/>
      <c r="BX113" s="10"/>
      <c r="CE113" s="10"/>
      <c r="CL113" s="10"/>
      <c r="CS113" s="10"/>
      <c r="CZ113" s="10"/>
      <c r="DG113" s="10"/>
      <c r="DN113" s="10"/>
      <c r="DU113" s="10"/>
    </row>
    <row r="114" spans="3:125" ht="15.75" customHeight="1" x14ac:dyDescent="0.25">
      <c r="C114" s="8"/>
      <c r="BJ114" s="10"/>
      <c r="BX114" s="10"/>
      <c r="CE114" s="10"/>
      <c r="CL114" s="10"/>
      <c r="CS114" s="10"/>
      <c r="CZ114" s="10"/>
      <c r="DG114" s="10"/>
      <c r="DN114" s="10"/>
      <c r="DU114" s="10"/>
    </row>
    <row r="115" spans="3:125" ht="15.75" customHeight="1" x14ac:dyDescent="0.25">
      <c r="C115" s="8"/>
      <c r="BJ115" s="10"/>
      <c r="BX115" s="10"/>
      <c r="CE115" s="10"/>
      <c r="CL115" s="10"/>
      <c r="CS115" s="10"/>
      <c r="CZ115" s="10"/>
      <c r="DG115" s="10"/>
      <c r="DN115" s="10"/>
      <c r="DU115" s="10"/>
    </row>
    <row r="116" spans="3:125" ht="15.75" customHeight="1" x14ac:dyDescent="0.25">
      <c r="C116" s="8"/>
      <c r="BJ116" s="10"/>
      <c r="BX116" s="10"/>
      <c r="CE116" s="10"/>
      <c r="CL116" s="10"/>
      <c r="CS116" s="10"/>
      <c r="CZ116" s="10"/>
      <c r="DG116" s="10"/>
      <c r="DN116" s="10"/>
      <c r="DU116" s="10"/>
    </row>
    <row r="117" spans="3:125" ht="15.75" customHeight="1" x14ac:dyDescent="0.25">
      <c r="C117" s="8"/>
      <c r="BJ117" s="10"/>
      <c r="BX117" s="10"/>
      <c r="CE117" s="10"/>
      <c r="CL117" s="10"/>
      <c r="CS117" s="10"/>
      <c r="CZ117" s="10"/>
      <c r="DG117" s="10"/>
      <c r="DN117" s="10"/>
      <c r="DU117" s="10"/>
    </row>
    <row r="118" spans="3:125" ht="15.75" customHeight="1" x14ac:dyDescent="0.25">
      <c r="C118" s="8"/>
      <c r="BJ118" s="10"/>
      <c r="BX118" s="10"/>
      <c r="CE118" s="10"/>
      <c r="CL118" s="10"/>
      <c r="CS118" s="10"/>
      <c r="CZ118" s="10"/>
      <c r="DG118" s="10"/>
      <c r="DN118" s="10"/>
      <c r="DU118" s="10"/>
    </row>
    <row r="119" spans="3:125" ht="15.75" customHeight="1" x14ac:dyDescent="0.25">
      <c r="C119" s="8"/>
      <c r="BJ119" s="10"/>
      <c r="BX119" s="10"/>
      <c r="CE119" s="10"/>
      <c r="CL119" s="10"/>
      <c r="CS119" s="10"/>
      <c r="CZ119" s="10"/>
      <c r="DG119" s="10"/>
      <c r="DN119" s="10"/>
      <c r="DU119" s="10"/>
    </row>
    <row r="120" spans="3:125" ht="15.75" customHeight="1" x14ac:dyDescent="0.25">
      <c r="C120" s="8"/>
      <c r="BJ120" s="10"/>
      <c r="BX120" s="10"/>
      <c r="CE120" s="10"/>
      <c r="CL120" s="10"/>
      <c r="CS120" s="10"/>
      <c r="CZ120" s="10"/>
      <c r="DG120" s="10"/>
      <c r="DN120" s="10"/>
      <c r="DU120" s="10"/>
    </row>
    <row r="121" spans="3:125" ht="15.75" customHeight="1" x14ac:dyDescent="0.25">
      <c r="C121" s="8"/>
      <c r="BJ121" s="10"/>
      <c r="BX121" s="10"/>
      <c r="CE121" s="10"/>
      <c r="CL121" s="10"/>
      <c r="CS121" s="10"/>
      <c r="CZ121" s="10"/>
      <c r="DG121" s="10"/>
      <c r="DN121" s="10"/>
      <c r="DU121" s="10"/>
    </row>
    <row r="122" spans="3:125" ht="15.75" customHeight="1" x14ac:dyDescent="0.25">
      <c r="C122" s="8"/>
      <c r="BJ122" s="10"/>
      <c r="BX122" s="10"/>
      <c r="CE122" s="10"/>
      <c r="CL122" s="10"/>
      <c r="CS122" s="10"/>
      <c r="CZ122" s="10"/>
      <c r="DG122" s="10"/>
      <c r="DN122" s="10"/>
      <c r="DU122" s="10"/>
    </row>
    <row r="123" spans="3:125" ht="15.75" customHeight="1" x14ac:dyDescent="0.25">
      <c r="C123" s="8"/>
      <c r="BJ123" s="10"/>
      <c r="BX123" s="10"/>
      <c r="CE123" s="10"/>
      <c r="CL123" s="10"/>
      <c r="CS123" s="10"/>
      <c r="CZ123" s="10"/>
      <c r="DG123" s="10"/>
      <c r="DN123" s="10"/>
      <c r="DU123" s="10"/>
    </row>
    <row r="124" spans="3:125" ht="15.75" customHeight="1" x14ac:dyDescent="0.25">
      <c r="C124" s="8"/>
      <c r="BJ124" s="10"/>
      <c r="BX124" s="10"/>
      <c r="CE124" s="10"/>
      <c r="CL124" s="10"/>
      <c r="CS124" s="10"/>
      <c r="CZ124" s="10"/>
      <c r="DG124" s="10"/>
      <c r="DN124" s="10"/>
      <c r="DU124" s="10"/>
    </row>
    <row r="125" spans="3:125" ht="15.75" customHeight="1" x14ac:dyDescent="0.25">
      <c r="C125" s="8"/>
      <c r="BJ125" s="10"/>
      <c r="BX125" s="10"/>
      <c r="CE125" s="10"/>
      <c r="CL125" s="10"/>
      <c r="CS125" s="10"/>
      <c r="CZ125" s="10"/>
      <c r="DG125" s="10"/>
      <c r="DN125" s="10"/>
      <c r="DU125" s="10"/>
    </row>
    <row r="126" spans="3:125" ht="15.75" customHeight="1" x14ac:dyDescent="0.25">
      <c r="C126" s="8"/>
      <c r="BJ126" s="10"/>
      <c r="BX126" s="10"/>
      <c r="CE126" s="10"/>
      <c r="CL126" s="10"/>
      <c r="CS126" s="10"/>
      <c r="CZ126" s="10"/>
      <c r="DG126" s="10"/>
      <c r="DN126" s="10"/>
      <c r="DU126" s="10"/>
    </row>
    <row r="127" spans="3:125" ht="15.75" customHeight="1" x14ac:dyDescent="0.25">
      <c r="C127" s="8"/>
      <c r="BJ127" s="10"/>
      <c r="BX127" s="10"/>
      <c r="CE127" s="10"/>
      <c r="CL127" s="10"/>
      <c r="CS127" s="10"/>
      <c r="CZ127" s="10"/>
      <c r="DG127" s="10"/>
      <c r="DN127" s="10"/>
      <c r="DU127" s="10"/>
    </row>
    <row r="128" spans="3:125" ht="15.75" customHeight="1" x14ac:dyDescent="0.25">
      <c r="C128" s="8"/>
      <c r="BJ128" s="10"/>
      <c r="BX128" s="10"/>
      <c r="CE128" s="10"/>
      <c r="CL128" s="10"/>
      <c r="CS128" s="10"/>
      <c r="CZ128" s="10"/>
      <c r="DG128" s="10"/>
      <c r="DN128" s="10"/>
      <c r="DU128" s="10"/>
    </row>
    <row r="129" spans="3:125" ht="15.75" customHeight="1" x14ac:dyDescent="0.25">
      <c r="C129" s="8"/>
      <c r="BJ129" s="10"/>
      <c r="BX129" s="10"/>
      <c r="CE129" s="10"/>
      <c r="CL129" s="10"/>
      <c r="CS129" s="10"/>
      <c r="CZ129" s="10"/>
      <c r="DG129" s="10"/>
      <c r="DN129" s="10"/>
      <c r="DU129" s="10"/>
    </row>
    <row r="130" spans="3:125" ht="15.75" customHeight="1" x14ac:dyDescent="0.25">
      <c r="C130" s="8"/>
      <c r="BJ130" s="10"/>
      <c r="BX130" s="10"/>
      <c r="CE130" s="10"/>
      <c r="CL130" s="10"/>
      <c r="CS130" s="10"/>
      <c r="CZ130" s="10"/>
      <c r="DG130" s="10"/>
      <c r="DN130" s="10"/>
      <c r="DU130" s="10"/>
    </row>
    <row r="131" spans="3:125" ht="15.75" customHeight="1" x14ac:dyDescent="0.25">
      <c r="C131" s="8"/>
      <c r="BJ131" s="10"/>
      <c r="BX131" s="10"/>
      <c r="CE131" s="10"/>
      <c r="CL131" s="10"/>
      <c r="CS131" s="10"/>
      <c r="CZ131" s="10"/>
      <c r="DG131" s="10"/>
      <c r="DN131" s="10"/>
      <c r="DU131" s="10"/>
    </row>
    <row r="132" spans="3:125" ht="15.75" customHeight="1" x14ac:dyDescent="0.25">
      <c r="C132" s="8"/>
      <c r="BJ132" s="10"/>
      <c r="BX132" s="10"/>
      <c r="CE132" s="10"/>
      <c r="CL132" s="10"/>
      <c r="CS132" s="10"/>
      <c r="CZ132" s="10"/>
      <c r="DG132" s="10"/>
      <c r="DN132" s="10"/>
      <c r="DU132" s="10"/>
    </row>
    <row r="133" spans="3:125" ht="15.75" customHeight="1" x14ac:dyDescent="0.25">
      <c r="C133" s="8"/>
      <c r="BJ133" s="10"/>
      <c r="BX133" s="10"/>
      <c r="CE133" s="10"/>
      <c r="CL133" s="10"/>
      <c r="CS133" s="10"/>
      <c r="CZ133" s="10"/>
      <c r="DG133" s="10"/>
      <c r="DN133" s="10"/>
      <c r="DU133" s="10"/>
    </row>
    <row r="134" spans="3:125" ht="15.75" customHeight="1" x14ac:dyDescent="0.25">
      <c r="C134" s="8"/>
      <c r="BJ134" s="10"/>
      <c r="BX134" s="10"/>
      <c r="CE134" s="10"/>
      <c r="CL134" s="10"/>
      <c r="CS134" s="10"/>
      <c r="CZ134" s="10"/>
      <c r="DG134" s="10"/>
      <c r="DN134" s="10"/>
      <c r="DU134" s="10"/>
    </row>
    <row r="135" spans="3:125" ht="15.75" customHeight="1" x14ac:dyDescent="0.25">
      <c r="C135" s="8"/>
      <c r="BJ135" s="10"/>
      <c r="BX135" s="10"/>
      <c r="CE135" s="10"/>
      <c r="CL135" s="10"/>
      <c r="CS135" s="10"/>
      <c r="CZ135" s="10"/>
      <c r="DG135" s="10"/>
      <c r="DN135" s="10"/>
      <c r="DU135" s="10"/>
    </row>
    <row r="136" spans="3:125" ht="15.75" customHeight="1" x14ac:dyDescent="0.25">
      <c r="C136" s="8"/>
      <c r="BJ136" s="10"/>
      <c r="BX136" s="10"/>
      <c r="CE136" s="10"/>
      <c r="CL136" s="10"/>
      <c r="CS136" s="10"/>
      <c r="CZ136" s="10"/>
      <c r="DG136" s="10"/>
      <c r="DN136" s="10"/>
      <c r="DU136" s="10"/>
    </row>
    <row r="137" spans="3:125" ht="15.75" customHeight="1" x14ac:dyDescent="0.25">
      <c r="C137" s="8"/>
      <c r="BJ137" s="10"/>
      <c r="BX137" s="10"/>
      <c r="CE137" s="10"/>
      <c r="CL137" s="10"/>
      <c r="CS137" s="10"/>
      <c r="CZ137" s="10"/>
      <c r="DG137" s="10"/>
      <c r="DN137" s="10"/>
      <c r="DU137" s="10"/>
    </row>
    <row r="138" spans="3:125" ht="15.75" customHeight="1" x14ac:dyDescent="0.25">
      <c r="C138" s="8"/>
      <c r="BJ138" s="10"/>
      <c r="BX138" s="10"/>
      <c r="CE138" s="10"/>
      <c r="CL138" s="10"/>
      <c r="CS138" s="10"/>
      <c r="CZ138" s="10"/>
      <c r="DG138" s="10"/>
      <c r="DN138" s="10"/>
      <c r="DU138" s="10"/>
    </row>
    <row r="139" spans="3:125" ht="15.75" customHeight="1" x14ac:dyDescent="0.25">
      <c r="C139" s="8"/>
      <c r="BJ139" s="10"/>
      <c r="BX139" s="10"/>
      <c r="CE139" s="10"/>
      <c r="CL139" s="10"/>
      <c r="CS139" s="10"/>
      <c r="CZ139" s="10"/>
      <c r="DG139" s="10"/>
      <c r="DN139" s="10"/>
      <c r="DU139" s="10"/>
    </row>
    <row r="140" spans="3:125" ht="15.75" customHeight="1" x14ac:dyDescent="0.25">
      <c r="C140" s="8"/>
      <c r="BJ140" s="10"/>
      <c r="BX140" s="10"/>
      <c r="CE140" s="10"/>
      <c r="CL140" s="10"/>
      <c r="CS140" s="10"/>
      <c r="CZ140" s="10"/>
      <c r="DG140" s="10"/>
      <c r="DN140" s="10"/>
      <c r="DU140" s="10"/>
    </row>
    <row r="141" spans="3:125" ht="15.75" customHeight="1" x14ac:dyDescent="0.25">
      <c r="C141" s="8"/>
      <c r="BJ141" s="10"/>
      <c r="BX141" s="10"/>
      <c r="CE141" s="10"/>
      <c r="CL141" s="10"/>
      <c r="CS141" s="10"/>
      <c r="CZ141" s="10"/>
      <c r="DG141" s="10"/>
      <c r="DN141" s="10"/>
      <c r="DU141" s="10"/>
    </row>
    <row r="142" spans="3:125" ht="15.75" customHeight="1" x14ac:dyDescent="0.25">
      <c r="C142" s="8"/>
      <c r="BJ142" s="10"/>
      <c r="BX142" s="10"/>
      <c r="CE142" s="10"/>
      <c r="CL142" s="10"/>
      <c r="CS142" s="10"/>
      <c r="CZ142" s="10"/>
      <c r="DG142" s="10"/>
      <c r="DN142" s="10"/>
      <c r="DU142" s="10"/>
    </row>
    <row r="143" spans="3:125" ht="15.75" customHeight="1" x14ac:dyDescent="0.25">
      <c r="C143" s="8"/>
      <c r="BJ143" s="10"/>
      <c r="BX143" s="10"/>
      <c r="CE143" s="10"/>
      <c r="CL143" s="10"/>
      <c r="CS143" s="10"/>
      <c r="CZ143" s="10"/>
      <c r="DG143" s="10"/>
      <c r="DN143" s="10"/>
      <c r="DU143" s="10"/>
    </row>
    <row r="144" spans="3:125" ht="15.75" customHeight="1" x14ac:dyDescent="0.25">
      <c r="C144" s="8"/>
      <c r="BJ144" s="10"/>
      <c r="BX144" s="10"/>
      <c r="CE144" s="10"/>
      <c r="CL144" s="10"/>
      <c r="CS144" s="10"/>
      <c r="CZ144" s="10"/>
      <c r="DG144" s="10"/>
      <c r="DN144" s="10"/>
      <c r="DU144" s="10"/>
    </row>
    <row r="145" spans="3:125" ht="15.75" customHeight="1" x14ac:dyDescent="0.25">
      <c r="C145" s="8"/>
      <c r="BJ145" s="10"/>
      <c r="BX145" s="10"/>
      <c r="CE145" s="10"/>
      <c r="CL145" s="10"/>
      <c r="CS145" s="10"/>
      <c r="CZ145" s="10"/>
      <c r="DG145" s="10"/>
      <c r="DN145" s="10"/>
      <c r="DU145" s="10"/>
    </row>
    <row r="146" spans="3:125" ht="15.75" customHeight="1" x14ac:dyDescent="0.25">
      <c r="C146" s="8"/>
      <c r="BJ146" s="10"/>
      <c r="BX146" s="10"/>
      <c r="CE146" s="10"/>
      <c r="CL146" s="10"/>
      <c r="CS146" s="10"/>
      <c r="CZ146" s="10"/>
      <c r="DG146" s="10"/>
      <c r="DN146" s="10"/>
      <c r="DU146" s="10"/>
    </row>
    <row r="147" spans="3:125" ht="15.75" customHeight="1" x14ac:dyDescent="0.25">
      <c r="C147" s="8"/>
      <c r="BJ147" s="10"/>
      <c r="BX147" s="10"/>
      <c r="CE147" s="10"/>
      <c r="CL147" s="10"/>
      <c r="CS147" s="10"/>
      <c r="CZ147" s="10"/>
      <c r="DG147" s="10"/>
      <c r="DN147" s="10"/>
      <c r="DU147" s="10"/>
    </row>
    <row r="148" spans="3:125" ht="15.75" customHeight="1" x14ac:dyDescent="0.25">
      <c r="C148" s="8"/>
      <c r="BJ148" s="10"/>
      <c r="BX148" s="10"/>
      <c r="CE148" s="10"/>
      <c r="CL148" s="10"/>
      <c r="CS148" s="10"/>
      <c r="CZ148" s="10"/>
      <c r="DG148" s="10"/>
      <c r="DN148" s="10"/>
      <c r="DU148" s="10"/>
    </row>
    <row r="149" spans="3:125" ht="15.75" customHeight="1" x14ac:dyDescent="0.25">
      <c r="C149" s="8"/>
      <c r="BJ149" s="10"/>
      <c r="BX149" s="10"/>
      <c r="CE149" s="10"/>
      <c r="CL149" s="10"/>
      <c r="CS149" s="10"/>
      <c r="CZ149" s="10"/>
      <c r="DG149" s="10"/>
      <c r="DN149" s="10"/>
      <c r="DU149" s="10"/>
    </row>
    <row r="150" spans="3:125" ht="15.75" customHeight="1" x14ac:dyDescent="0.25">
      <c r="C150" s="8"/>
      <c r="BJ150" s="10"/>
      <c r="BX150" s="10"/>
      <c r="CE150" s="10"/>
      <c r="CL150" s="10"/>
      <c r="CS150" s="10"/>
      <c r="CZ150" s="10"/>
      <c r="DG150" s="10"/>
      <c r="DN150" s="10"/>
      <c r="DU150" s="10"/>
    </row>
    <row r="151" spans="3:125" ht="15.75" customHeight="1" x14ac:dyDescent="0.25">
      <c r="C151" s="8"/>
      <c r="BJ151" s="10"/>
      <c r="BX151" s="10"/>
      <c r="CE151" s="10"/>
      <c r="CL151" s="10"/>
      <c r="CS151" s="10"/>
      <c r="CZ151" s="10"/>
      <c r="DG151" s="10"/>
      <c r="DN151" s="10"/>
      <c r="DU151" s="10"/>
    </row>
    <row r="152" spans="3:125" ht="15.75" customHeight="1" x14ac:dyDescent="0.25">
      <c r="C152" s="8"/>
      <c r="BJ152" s="10"/>
      <c r="BX152" s="10"/>
      <c r="CE152" s="10"/>
      <c r="CL152" s="10"/>
      <c r="CS152" s="10"/>
      <c r="CZ152" s="10"/>
      <c r="DG152" s="10"/>
      <c r="DN152" s="10"/>
      <c r="DU152" s="10"/>
    </row>
    <row r="153" spans="3:125" ht="15.75" customHeight="1" x14ac:dyDescent="0.25">
      <c r="C153" s="8"/>
      <c r="BJ153" s="10"/>
      <c r="BX153" s="10"/>
      <c r="CE153" s="10"/>
      <c r="CL153" s="10"/>
      <c r="CS153" s="10"/>
      <c r="CZ153" s="10"/>
      <c r="DG153" s="10"/>
      <c r="DN153" s="10"/>
      <c r="DU153" s="10"/>
    </row>
    <row r="154" spans="3:125" ht="15.75" customHeight="1" x14ac:dyDescent="0.25">
      <c r="C154" s="8"/>
      <c r="BJ154" s="10"/>
      <c r="BX154" s="10"/>
      <c r="CE154" s="10"/>
      <c r="CL154" s="10"/>
      <c r="CS154" s="10"/>
      <c r="CZ154" s="10"/>
      <c r="DG154" s="10"/>
      <c r="DN154" s="10"/>
      <c r="DU154" s="10"/>
    </row>
    <row r="155" spans="3:125" ht="15.75" customHeight="1" x14ac:dyDescent="0.25">
      <c r="C155" s="8"/>
      <c r="BJ155" s="10"/>
      <c r="BX155" s="10"/>
      <c r="CE155" s="10"/>
      <c r="CL155" s="10"/>
      <c r="CS155" s="10"/>
      <c r="CZ155" s="10"/>
      <c r="DG155" s="10"/>
      <c r="DN155" s="10"/>
      <c r="DU155" s="10"/>
    </row>
    <row r="156" spans="3:125" ht="15.75" customHeight="1" x14ac:dyDescent="0.25">
      <c r="C156" s="8"/>
      <c r="BJ156" s="10"/>
      <c r="BX156" s="10"/>
      <c r="CE156" s="10"/>
      <c r="CL156" s="10"/>
      <c r="CS156" s="10"/>
      <c r="CZ156" s="10"/>
      <c r="DG156" s="10"/>
      <c r="DN156" s="10"/>
      <c r="DU156" s="10"/>
    </row>
    <row r="157" spans="3:125" ht="15.75" customHeight="1" x14ac:dyDescent="0.25">
      <c r="C157" s="8"/>
      <c r="BJ157" s="10"/>
      <c r="BX157" s="10"/>
      <c r="CE157" s="10"/>
      <c r="CL157" s="10"/>
      <c r="CS157" s="10"/>
      <c r="CZ157" s="10"/>
      <c r="DG157" s="10"/>
      <c r="DN157" s="10"/>
      <c r="DU157" s="10"/>
    </row>
    <row r="158" spans="3:125" ht="15.75" customHeight="1" x14ac:dyDescent="0.25">
      <c r="C158" s="8"/>
      <c r="BJ158" s="10"/>
      <c r="BX158" s="10"/>
      <c r="CE158" s="10"/>
      <c r="CL158" s="10"/>
      <c r="CS158" s="10"/>
      <c r="CZ158" s="10"/>
      <c r="DG158" s="10"/>
      <c r="DN158" s="10"/>
      <c r="DU158" s="10"/>
    </row>
    <row r="159" spans="3:125" ht="15.75" customHeight="1" x14ac:dyDescent="0.25">
      <c r="C159" s="8"/>
      <c r="BJ159" s="10"/>
      <c r="BX159" s="10"/>
      <c r="CE159" s="10"/>
      <c r="CL159" s="10"/>
      <c r="CS159" s="10"/>
      <c r="CZ159" s="10"/>
      <c r="DG159" s="10"/>
      <c r="DN159" s="10"/>
      <c r="DU159" s="10"/>
    </row>
    <row r="160" spans="3:125" ht="15.75" customHeight="1" x14ac:dyDescent="0.25">
      <c r="C160" s="8"/>
      <c r="BJ160" s="10"/>
      <c r="BX160" s="10"/>
      <c r="CE160" s="10"/>
      <c r="CL160" s="10"/>
      <c r="CS160" s="10"/>
      <c r="CZ160" s="10"/>
      <c r="DG160" s="10"/>
      <c r="DN160" s="10"/>
      <c r="DU160" s="10"/>
    </row>
    <row r="161" spans="3:125" ht="15.75" customHeight="1" x14ac:dyDescent="0.25">
      <c r="C161" s="8"/>
      <c r="BJ161" s="10"/>
      <c r="BX161" s="10"/>
      <c r="CE161" s="10"/>
      <c r="CL161" s="10"/>
      <c r="CS161" s="10"/>
      <c r="CZ161" s="10"/>
      <c r="DG161" s="10"/>
      <c r="DN161" s="10"/>
      <c r="DU161" s="10"/>
    </row>
    <row r="162" spans="3:125" ht="15.75" customHeight="1" x14ac:dyDescent="0.25">
      <c r="C162" s="8"/>
      <c r="BJ162" s="10"/>
      <c r="BX162" s="10"/>
      <c r="CE162" s="10"/>
      <c r="CL162" s="10"/>
      <c r="CS162" s="10"/>
      <c r="CZ162" s="10"/>
      <c r="DG162" s="10"/>
      <c r="DN162" s="10"/>
      <c r="DU162" s="10"/>
    </row>
    <row r="163" spans="3:125" ht="15.75" customHeight="1" x14ac:dyDescent="0.25">
      <c r="C163" s="8"/>
      <c r="BJ163" s="10"/>
      <c r="BX163" s="10"/>
      <c r="CE163" s="10"/>
      <c r="CL163" s="10"/>
      <c r="CS163" s="10"/>
      <c r="CZ163" s="10"/>
      <c r="DG163" s="10"/>
      <c r="DN163" s="10"/>
      <c r="DU163" s="10"/>
    </row>
    <row r="164" spans="3:125" ht="15.75" customHeight="1" x14ac:dyDescent="0.25">
      <c r="C164" s="8"/>
      <c r="BJ164" s="10"/>
      <c r="BX164" s="10"/>
      <c r="CE164" s="10"/>
      <c r="CL164" s="10"/>
      <c r="CS164" s="10"/>
      <c r="CZ164" s="10"/>
      <c r="DG164" s="10"/>
      <c r="DN164" s="10"/>
      <c r="DU164" s="10"/>
    </row>
    <row r="165" spans="3:125" ht="15.75" customHeight="1" x14ac:dyDescent="0.25">
      <c r="C165" s="8"/>
      <c r="BJ165" s="10"/>
      <c r="BX165" s="10"/>
      <c r="CE165" s="10"/>
      <c r="CL165" s="10"/>
      <c r="CS165" s="10"/>
      <c r="CZ165" s="10"/>
      <c r="DG165" s="10"/>
      <c r="DN165" s="10"/>
      <c r="DU165" s="10"/>
    </row>
    <row r="166" spans="3:125" ht="15.75" customHeight="1" x14ac:dyDescent="0.25">
      <c r="C166" s="8"/>
      <c r="BJ166" s="10"/>
      <c r="BX166" s="10"/>
      <c r="CE166" s="10"/>
      <c r="CL166" s="10"/>
      <c r="CS166" s="10"/>
      <c r="CZ166" s="10"/>
      <c r="DG166" s="10"/>
      <c r="DN166" s="10"/>
      <c r="DU166" s="10"/>
    </row>
    <row r="167" spans="3:125" ht="15.75" customHeight="1" x14ac:dyDescent="0.25">
      <c r="C167" s="8"/>
      <c r="BJ167" s="10"/>
      <c r="BX167" s="10"/>
      <c r="CE167" s="10"/>
      <c r="CL167" s="10"/>
      <c r="CS167" s="10"/>
      <c r="CZ167" s="10"/>
      <c r="DG167" s="10"/>
      <c r="DN167" s="10"/>
      <c r="DU167" s="10"/>
    </row>
    <row r="168" spans="3:125" ht="15.75" customHeight="1" x14ac:dyDescent="0.25">
      <c r="C168" s="8"/>
      <c r="BJ168" s="10"/>
      <c r="BX168" s="10"/>
      <c r="CE168" s="10"/>
      <c r="CL168" s="10"/>
      <c r="CS168" s="10"/>
      <c r="CZ168" s="10"/>
      <c r="DG168" s="10"/>
      <c r="DN168" s="10"/>
      <c r="DU168" s="10"/>
    </row>
    <row r="169" spans="3:125" ht="15.75" customHeight="1" x14ac:dyDescent="0.25">
      <c r="C169" s="8"/>
      <c r="BJ169" s="10"/>
      <c r="BX169" s="10"/>
      <c r="CE169" s="10"/>
      <c r="CL169" s="10"/>
      <c r="CS169" s="10"/>
      <c r="CZ169" s="10"/>
      <c r="DG169" s="10"/>
      <c r="DN169" s="10"/>
      <c r="DU169" s="10"/>
    </row>
    <row r="170" spans="3:125" ht="15.75" customHeight="1" x14ac:dyDescent="0.25">
      <c r="C170" s="8"/>
      <c r="BJ170" s="10"/>
      <c r="BX170" s="10"/>
      <c r="CE170" s="10"/>
      <c r="CL170" s="10"/>
      <c r="CS170" s="10"/>
      <c r="CZ170" s="10"/>
      <c r="DG170" s="10"/>
      <c r="DN170" s="10"/>
      <c r="DU170" s="10"/>
    </row>
    <row r="171" spans="3:125" ht="15.75" customHeight="1" x14ac:dyDescent="0.25">
      <c r="C171" s="8"/>
      <c r="BJ171" s="10"/>
      <c r="BX171" s="10"/>
      <c r="CE171" s="10"/>
      <c r="CL171" s="10"/>
      <c r="CS171" s="10"/>
      <c r="CZ171" s="10"/>
      <c r="DG171" s="10"/>
      <c r="DN171" s="10"/>
      <c r="DU171" s="10"/>
    </row>
    <row r="172" spans="3:125" ht="15.75" customHeight="1" x14ac:dyDescent="0.25">
      <c r="C172" s="8"/>
      <c r="BJ172" s="10"/>
      <c r="BX172" s="10"/>
      <c r="CE172" s="10"/>
      <c r="CL172" s="10"/>
      <c r="CS172" s="10"/>
      <c r="CZ172" s="10"/>
      <c r="DG172" s="10"/>
      <c r="DN172" s="10"/>
      <c r="DU172" s="10"/>
    </row>
    <row r="173" spans="3:125" ht="15.75" customHeight="1" x14ac:dyDescent="0.25">
      <c r="C173" s="8"/>
      <c r="BJ173" s="10"/>
      <c r="BX173" s="10"/>
      <c r="CE173" s="10"/>
      <c r="CL173" s="10"/>
      <c r="CS173" s="10"/>
      <c r="CZ173" s="10"/>
      <c r="DG173" s="10"/>
      <c r="DN173" s="10"/>
      <c r="DU173" s="10"/>
    </row>
    <row r="174" spans="3:125" ht="15.75" customHeight="1" x14ac:dyDescent="0.25">
      <c r="C174" s="8"/>
      <c r="BJ174" s="10"/>
      <c r="BX174" s="10"/>
      <c r="CE174" s="10"/>
      <c r="CL174" s="10"/>
      <c r="CS174" s="10"/>
      <c r="CZ174" s="10"/>
      <c r="DG174" s="10"/>
      <c r="DN174" s="10"/>
      <c r="DU174" s="10"/>
    </row>
    <row r="175" spans="3:125" ht="15.75" customHeight="1" x14ac:dyDescent="0.25">
      <c r="C175" s="8"/>
      <c r="BJ175" s="10"/>
      <c r="BX175" s="10"/>
      <c r="CE175" s="10"/>
      <c r="CL175" s="10"/>
      <c r="CS175" s="10"/>
      <c r="CZ175" s="10"/>
      <c r="DG175" s="10"/>
      <c r="DN175" s="10"/>
      <c r="DU175" s="10"/>
    </row>
    <row r="176" spans="3:125" ht="15.75" customHeight="1" x14ac:dyDescent="0.25">
      <c r="C176" s="8"/>
      <c r="BJ176" s="10"/>
      <c r="BX176" s="10"/>
      <c r="CE176" s="10"/>
      <c r="CL176" s="10"/>
      <c r="CS176" s="10"/>
      <c r="CZ176" s="10"/>
      <c r="DG176" s="10"/>
      <c r="DN176" s="10"/>
      <c r="DU176" s="10"/>
    </row>
    <row r="177" spans="3:125" ht="15.75" customHeight="1" x14ac:dyDescent="0.25">
      <c r="C177" s="8"/>
      <c r="BJ177" s="10"/>
      <c r="BX177" s="10"/>
      <c r="CE177" s="10"/>
      <c r="CL177" s="10"/>
      <c r="CS177" s="10"/>
      <c r="CZ177" s="10"/>
      <c r="DG177" s="10"/>
      <c r="DN177" s="10"/>
      <c r="DU177" s="10"/>
    </row>
    <row r="178" spans="3:125" ht="15.75" customHeight="1" x14ac:dyDescent="0.25">
      <c r="C178" s="8"/>
      <c r="BJ178" s="10"/>
      <c r="BX178" s="10"/>
      <c r="CE178" s="10"/>
      <c r="CL178" s="10"/>
      <c r="CS178" s="10"/>
      <c r="CZ178" s="10"/>
      <c r="DG178" s="10"/>
      <c r="DN178" s="10"/>
      <c r="DU178" s="10"/>
    </row>
    <row r="179" spans="3:125" ht="15.75" customHeight="1" x14ac:dyDescent="0.25">
      <c r="C179" s="8"/>
      <c r="BJ179" s="10"/>
      <c r="BX179" s="10"/>
      <c r="CE179" s="10"/>
      <c r="CL179" s="10"/>
      <c r="CS179" s="10"/>
      <c r="CZ179" s="10"/>
      <c r="DG179" s="10"/>
      <c r="DN179" s="10"/>
      <c r="DU179" s="10"/>
    </row>
    <row r="180" spans="3:125" ht="15.75" customHeight="1" x14ac:dyDescent="0.25">
      <c r="C180" s="8"/>
      <c r="BJ180" s="10"/>
      <c r="BX180" s="10"/>
      <c r="CE180" s="10"/>
      <c r="CL180" s="10"/>
      <c r="CS180" s="10"/>
      <c r="CZ180" s="10"/>
      <c r="DG180" s="10"/>
      <c r="DN180" s="10"/>
      <c r="DU180" s="10"/>
    </row>
    <row r="181" spans="3:125" ht="15.75" customHeight="1" x14ac:dyDescent="0.25">
      <c r="C181" s="8"/>
      <c r="BJ181" s="10"/>
      <c r="BX181" s="10"/>
      <c r="CE181" s="10"/>
      <c r="CL181" s="10"/>
      <c r="CS181" s="10"/>
      <c r="CZ181" s="10"/>
      <c r="DG181" s="10"/>
      <c r="DN181" s="10"/>
      <c r="DU181" s="10"/>
    </row>
    <row r="182" spans="3:125" ht="15.75" customHeight="1" x14ac:dyDescent="0.25">
      <c r="C182" s="8"/>
      <c r="BJ182" s="10"/>
      <c r="BX182" s="10"/>
      <c r="CE182" s="10"/>
      <c r="CL182" s="10"/>
      <c r="CS182" s="10"/>
      <c r="CZ182" s="10"/>
      <c r="DG182" s="10"/>
      <c r="DN182" s="10"/>
      <c r="DU182" s="10"/>
    </row>
    <row r="183" spans="3:125" ht="15.75" customHeight="1" x14ac:dyDescent="0.25">
      <c r="C183" s="8"/>
      <c r="BJ183" s="10"/>
      <c r="BX183" s="10"/>
      <c r="CE183" s="10"/>
      <c r="CL183" s="10"/>
      <c r="CS183" s="10"/>
      <c r="CZ183" s="10"/>
      <c r="DG183" s="10"/>
      <c r="DN183" s="10"/>
      <c r="DU183" s="10"/>
    </row>
    <row r="184" spans="3:125" ht="15.75" customHeight="1" x14ac:dyDescent="0.25">
      <c r="C184" s="8"/>
      <c r="BJ184" s="10"/>
      <c r="BX184" s="10"/>
      <c r="CE184" s="10"/>
      <c r="CL184" s="10"/>
      <c r="CS184" s="10"/>
      <c r="CZ184" s="10"/>
      <c r="DG184" s="10"/>
      <c r="DN184" s="10"/>
      <c r="DU184" s="10"/>
    </row>
    <row r="185" spans="3:125" ht="15.75" customHeight="1" x14ac:dyDescent="0.25">
      <c r="C185" s="8"/>
      <c r="BJ185" s="10"/>
      <c r="BX185" s="10"/>
      <c r="CE185" s="10"/>
      <c r="CL185" s="10"/>
      <c r="CS185" s="10"/>
      <c r="CZ185" s="10"/>
      <c r="DG185" s="10"/>
      <c r="DN185" s="10"/>
      <c r="DU185" s="10"/>
    </row>
    <row r="186" spans="3:125" ht="15.75" customHeight="1" x14ac:dyDescent="0.25">
      <c r="C186" s="8"/>
      <c r="BJ186" s="10"/>
      <c r="BX186" s="10"/>
      <c r="CE186" s="10"/>
      <c r="CL186" s="10"/>
      <c r="CS186" s="10"/>
      <c r="CZ186" s="10"/>
      <c r="DG186" s="10"/>
      <c r="DN186" s="10"/>
      <c r="DU186" s="10"/>
    </row>
    <row r="187" spans="3:125" ht="15.75" customHeight="1" x14ac:dyDescent="0.25">
      <c r="C187" s="8"/>
      <c r="BJ187" s="10"/>
      <c r="BX187" s="10"/>
      <c r="CE187" s="10"/>
      <c r="CL187" s="10"/>
      <c r="CS187" s="10"/>
      <c r="CZ187" s="10"/>
      <c r="DG187" s="10"/>
      <c r="DN187" s="10"/>
      <c r="DU187" s="10"/>
    </row>
    <row r="188" spans="3:125" ht="15.75" customHeight="1" x14ac:dyDescent="0.25">
      <c r="C188" s="8"/>
      <c r="BJ188" s="10"/>
      <c r="BX188" s="10"/>
      <c r="CE188" s="10"/>
      <c r="CL188" s="10"/>
      <c r="CS188" s="10"/>
      <c r="CZ188" s="10"/>
      <c r="DG188" s="10"/>
      <c r="DN188" s="10"/>
      <c r="DU188" s="10"/>
    </row>
    <row r="189" spans="3:125" ht="15.75" customHeight="1" x14ac:dyDescent="0.25">
      <c r="C189" s="8"/>
      <c r="BJ189" s="10"/>
      <c r="BX189" s="10"/>
      <c r="CE189" s="10"/>
      <c r="CL189" s="10"/>
      <c r="CS189" s="10"/>
      <c r="CZ189" s="10"/>
      <c r="DG189" s="10"/>
      <c r="DN189" s="10"/>
      <c r="DU189" s="10"/>
    </row>
    <row r="190" spans="3:125" ht="15.75" customHeight="1" x14ac:dyDescent="0.25">
      <c r="C190" s="8"/>
      <c r="BJ190" s="10"/>
      <c r="BX190" s="10"/>
      <c r="CE190" s="10"/>
      <c r="CL190" s="10"/>
      <c r="CS190" s="10"/>
      <c r="CZ190" s="10"/>
      <c r="DG190" s="10"/>
      <c r="DN190" s="10"/>
      <c r="DU190" s="10"/>
    </row>
    <row r="191" spans="3:125" ht="15.75" customHeight="1" x14ac:dyDescent="0.25">
      <c r="C191" s="8"/>
      <c r="BJ191" s="10"/>
      <c r="BX191" s="10"/>
      <c r="CE191" s="10"/>
      <c r="CL191" s="10"/>
      <c r="CS191" s="10"/>
      <c r="CZ191" s="10"/>
      <c r="DG191" s="10"/>
      <c r="DN191" s="10"/>
      <c r="DU191" s="10"/>
    </row>
    <row r="192" spans="3:125" ht="15.75" customHeight="1" x14ac:dyDescent="0.25">
      <c r="C192" s="8"/>
      <c r="BJ192" s="10"/>
      <c r="BX192" s="10"/>
      <c r="CE192" s="10"/>
      <c r="CL192" s="10"/>
      <c r="CS192" s="10"/>
      <c r="CZ192" s="10"/>
      <c r="DG192" s="10"/>
      <c r="DN192" s="10"/>
      <c r="DU192" s="10"/>
    </row>
    <row r="193" spans="3:125" ht="15.75" customHeight="1" x14ac:dyDescent="0.25">
      <c r="C193" s="8"/>
      <c r="BJ193" s="10"/>
      <c r="BX193" s="10"/>
      <c r="CE193" s="10"/>
      <c r="CL193" s="10"/>
      <c r="CS193" s="10"/>
      <c r="CZ193" s="10"/>
      <c r="DG193" s="10"/>
      <c r="DN193" s="10"/>
      <c r="DU193" s="10"/>
    </row>
    <row r="194" spans="3:125" ht="15.75" customHeight="1" x14ac:dyDescent="0.25">
      <c r="C194" s="8"/>
      <c r="BJ194" s="10"/>
      <c r="BX194" s="10"/>
      <c r="CE194" s="10"/>
      <c r="CL194" s="10"/>
      <c r="CS194" s="10"/>
      <c r="CZ194" s="10"/>
      <c r="DG194" s="10"/>
      <c r="DN194" s="10"/>
      <c r="DU194" s="10"/>
    </row>
    <row r="195" spans="3:125" ht="15.75" customHeight="1" x14ac:dyDescent="0.25">
      <c r="C195" s="8"/>
      <c r="BJ195" s="10"/>
      <c r="BX195" s="10"/>
      <c r="CE195" s="10"/>
      <c r="CL195" s="10"/>
      <c r="CS195" s="10"/>
      <c r="CZ195" s="10"/>
      <c r="DG195" s="10"/>
      <c r="DN195" s="10"/>
      <c r="DU195" s="10"/>
    </row>
    <row r="196" spans="3:125" ht="15.75" customHeight="1" x14ac:dyDescent="0.25">
      <c r="C196" s="8"/>
      <c r="BJ196" s="10"/>
      <c r="BX196" s="10"/>
      <c r="CE196" s="10"/>
      <c r="CL196" s="10"/>
      <c r="CS196" s="10"/>
      <c r="CZ196" s="10"/>
      <c r="DG196" s="10"/>
      <c r="DN196" s="10"/>
      <c r="DU196" s="10"/>
    </row>
    <row r="197" spans="3:125" ht="15.75" customHeight="1" x14ac:dyDescent="0.25">
      <c r="C197" s="8"/>
      <c r="BJ197" s="10"/>
      <c r="BX197" s="10"/>
      <c r="CE197" s="10"/>
      <c r="CL197" s="10"/>
      <c r="CS197" s="10"/>
      <c r="CZ197" s="10"/>
      <c r="DG197" s="10"/>
      <c r="DN197" s="10"/>
      <c r="DU197" s="10"/>
    </row>
    <row r="198" spans="3:125" ht="15.75" customHeight="1" x14ac:dyDescent="0.25">
      <c r="C198" s="8"/>
      <c r="BJ198" s="10"/>
      <c r="BX198" s="10"/>
      <c r="CE198" s="10"/>
      <c r="CL198" s="10"/>
      <c r="CS198" s="10"/>
      <c r="CZ198" s="10"/>
      <c r="DG198" s="10"/>
      <c r="DN198" s="10"/>
      <c r="DU198" s="10"/>
    </row>
    <row r="199" spans="3:125" ht="15.75" customHeight="1" x14ac:dyDescent="0.25">
      <c r="C199" s="8"/>
      <c r="BJ199" s="10"/>
      <c r="BX199" s="10"/>
      <c r="CE199" s="10"/>
      <c r="CL199" s="10"/>
      <c r="CS199" s="10"/>
      <c r="CZ199" s="10"/>
      <c r="DG199" s="10"/>
      <c r="DN199" s="10"/>
      <c r="DU199" s="10"/>
    </row>
    <row r="200" spans="3:125" ht="15.75" customHeight="1" x14ac:dyDescent="0.25">
      <c r="C200" s="8"/>
      <c r="BJ200" s="10"/>
      <c r="BX200" s="10"/>
      <c r="CE200" s="10"/>
      <c r="CL200" s="10"/>
      <c r="CS200" s="10"/>
      <c r="CZ200" s="10"/>
      <c r="DG200" s="10"/>
      <c r="DN200" s="10"/>
      <c r="DU200" s="10"/>
    </row>
    <row r="201" spans="3:125" ht="15.75" customHeight="1" x14ac:dyDescent="0.25">
      <c r="C201" s="8"/>
      <c r="BJ201" s="10"/>
      <c r="BX201" s="10"/>
      <c r="CE201" s="10"/>
      <c r="CL201" s="10"/>
      <c r="CS201" s="10"/>
      <c r="CZ201" s="10"/>
      <c r="DG201" s="10"/>
      <c r="DN201" s="10"/>
      <c r="DU201" s="10"/>
    </row>
    <row r="202" spans="3:125" ht="15.75" customHeight="1" x14ac:dyDescent="0.25">
      <c r="C202" s="8"/>
      <c r="BJ202" s="10"/>
      <c r="BX202" s="10"/>
      <c r="CE202" s="10"/>
      <c r="CL202" s="10"/>
      <c r="CS202" s="10"/>
      <c r="CZ202" s="10"/>
      <c r="DG202" s="10"/>
      <c r="DN202" s="10"/>
      <c r="DU202" s="10"/>
    </row>
    <row r="203" spans="3:125" ht="15.75" customHeight="1" x14ac:dyDescent="0.25">
      <c r="C203" s="8"/>
      <c r="BJ203" s="10"/>
      <c r="BX203" s="10"/>
      <c r="CE203" s="10"/>
      <c r="CL203" s="10"/>
      <c r="CS203" s="10"/>
      <c r="CZ203" s="10"/>
      <c r="DG203" s="10"/>
      <c r="DN203" s="10"/>
      <c r="DU203" s="10"/>
    </row>
    <row r="204" spans="3:125" ht="15.75" customHeight="1" x14ac:dyDescent="0.25">
      <c r="C204" s="8"/>
      <c r="BJ204" s="10"/>
      <c r="BX204" s="10"/>
      <c r="CE204" s="10"/>
      <c r="CL204" s="10"/>
      <c r="CS204" s="10"/>
      <c r="CZ204" s="10"/>
      <c r="DG204" s="10"/>
      <c r="DN204" s="10"/>
      <c r="DU204" s="10"/>
    </row>
    <row r="205" spans="3:125" ht="15.75" customHeight="1" x14ac:dyDescent="0.25">
      <c r="C205" s="8"/>
      <c r="BJ205" s="10"/>
      <c r="BX205" s="10"/>
      <c r="CE205" s="10"/>
      <c r="CL205" s="10"/>
      <c r="CS205" s="10"/>
      <c r="CZ205" s="10"/>
      <c r="DG205" s="10"/>
      <c r="DN205" s="10"/>
      <c r="DU205" s="10"/>
    </row>
    <row r="206" spans="3:125" ht="15.75" customHeight="1" x14ac:dyDescent="0.25">
      <c r="C206" s="8"/>
      <c r="BJ206" s="10"/>
      <c r="BX206" s="10"/>
      <c r="CE206" s="10"/>
      <c r="CL206" s="10"/>
      <c r="CS206" s="10"/>
      <c r="CZ206" s="10"/>
      <c r="DG206" s="10"/>
      <c r="DN206" s="10"/>
      <c r="DU206" s="10"/>
    </row>
    <row r="207" spans="3:125" ht="15.75" customHeight="1" x14ac:dyDescent="0.25">
      <c r="C207" s="8"/>
      <c r="BJ207" s="10"/>
      <c r="BX207" s="10"/>
      <c r="CE207" s="10"/>
      <c r="CL207" s="10"/>
      <c r="CS207" s="10"/>
      <c r="CZ207" s="10"/>
      <c r="DG207" s="10"/>
      <c r="DN207" s="10"/>
      <c r="DU207" s="10"/>
    </row>
    <row r="208" spans="3:125" ht="15.75" customHeight="1" x14ac:dyDescent="0.25">
      <c r="C208" s="8"/>
      <c r="BJ208" s="10"/>
      <c r="BX208" s="10"/>
      <c r="CE208" s="10"/>
      <c r="CL208" s="10"/>
      <c r="CS208" s="10"/>
      <c r="CZ208" s="10"/>
      <c r="DG208" s="10"/>
      <c r="DN208" s="10"/>
      <c r="DU208" s="10"/>
    </row>
    <row r="209" spans="3:125" ht="15.75" customHeight="1" x14ac:dyDescent="0.25">
      <c r="C209" s="8"/>
      <c r="BJ209" s="10"/>
      <c r="BX209" s="10"/>
      <c r="CE209" s="10"/>
      <c r="CL209" s="10"/>
      <c r="CS209" s="10"/>
      <c r="CZ209" s="10"/>
      <c r="DG209" s="10"/>
      <c r="DN209" s="10"/>
      <c r="DU209" s="10"/>
    </row>
    <row r="210" spans="3:125" ht="15.75" customHeight="1" x14ac:dyDescent="0.25">
      <c r="C210" s="8"/>
      <c r="BJ210" s="10"/>
      <c r="BX210" s="10"/>
      <c r="CE210" s="10"/>
      <c r="CL210" s="10"/>
      <c r="CS210" s="10"/>
      <c r="CZ210" s="10"/>
      <c r="DG210" s="10"/>
      <c r="DN210" s="10"/>
      <c r="DU210" s="10"/>
    </row>
    <row r="211" spans="3:125" ht="15.75" customHeight="1" x14ac:dyDescent="0.25">
      <c r="C211" s="8"/>
      <c r="BJ211" s="10"/>
      <c r="BX211" s="10"/>
      <c r="CE211" s="10"/>
      <c r="CL211" s="10"/>
      <c r="CS211" s="10"/>
      <c r="CZ211" s="10"/>
      <c r="DG211" s="10"/>
      <c r="DN211" s="10"/>
      <c r="DU211" s="10"/>
    </row>
    <row r="212" spans="3:125" ht="15.75" customHeight="1" x14ac:dyDescent="0.25">
      <c r="C212" s="8"/>
      <c r="BJ212" s="10"/>
      <c r="BX212" s="10"/>
      <c r="CE212" s="10"/>
      <c r="CL212" s="10"/>
      <c r="CS212" s="10"/>
      <c r="CZ212" s="10"/>
      <c r="DG212" s="10"/>
      <c r="DN212" s="10"/>
      <c r="DU212" s="10"/>
    </row>
    <row r="213" spans="3:125" ht="15.75" customHeight="1" x14ac:dyDescent="0.25">
      <c r="C213" s="8"/>
      <c r="BJ213" s="10"/>
      <c r="BX213" s="10"/>
      <c r="CE213" s="10"/>
      <c r="CL213" s="10"/>
      <c r="CS213" s="10"/>
      <c r="CZ213" s="10"/>
      <c r="DG213" s="10"/>
      <c r="DN213" s="10"/>
      <c r="DU213" s="10"/>
    </row>
    <row r="214" spans="3:125" ht="15.75" customHeight="1" x14ac:dyDescent="0.25">
      <c r="C214" s="8"/>
      <c r="BJ214" s="10"/>
      <c r="BX214" s="10"/>
      <c r="CE214" s="10"/>
      <c r="CL214" s="10"/>
      <c r="CS214" s="10"/>
      <c r="CZ214" s="10"/>
      <c r="DG214" s="10"/>
      <c r="DN214" s="10"/>
      <c r="DU214" s="10"/>
    </row>
    <row r="215" spans="3:125" ht="15.75" customHeight="1" x14ac:dyDescent="0.25">
      <c r="C215" s="8"/>
      <c r="BJ215" s="10"/>
      <c r="BX215" s="10"/>
      <c r="CE215" s="10"/>
      <c r="CL215" s="10"/>
      <c r="CS215" s="10"/>
      <c r="CZ215" s="10"/>
      <c r="DG215" s="10"/>
      <c r="DN215" s="10"/>
      <c r="DU215" s="10"/>
    </row>
    <row r="216" spans="3:125" ht="15.75" customHeight="1" x14ac:dyDescent="0.25">
      <c r="C216" s="8"/>
      <c r="BJ216" s="10"/>
      <c r="BX216" s="10"/>
      <c r="CE216" s="10"/>
      <c r="CL216" s="10"/>
      <c r="CS216" s="10"/>
      <c r="CZ216" s="10"/>
      <c r="DG216" s="10"/>
      <c r="DN216" s="10"/>
      <c r="DU216" s="10"/>
    </row>
    <row r="217" spans="3:125" ht="15.75" customHeight="1" x14ac:dyDescent="0.25">
      <c r="C217" s="8"/>
      <c r="BJ217" s="10"/>
      <c r="BX217" s="10"/>
      <c r="CE217" s="10"/>
      <c r="CL217" s="10"/>
      <c r="CS217" s="10"/>
      <c r="CZ217" s="10"/>
      <c r="DG217" s="10"/>
      <c r="DN217" s="10"/>
      <c r="DU217" s="10"/>
    </row>
    <row r="218" spans="3:125" ht="15.75" customHeight="1" x14ac:dyDescent="0.25">
      <c r="C218" s="8"/>
      <c r="BJ218" s="10"/>
      <c r="BX218" s="10"/>
      <c r="CE218" s="10"/>
      <c r="CL218" s="10"/>
      <c r="CS218" s="10"/>
      <c r="CZ218" s="10"/>
      <c r="DG218" s="10"/>
      <c r="DN218" s="10"/>
      <c r="DU218" s="10"/>
    </row>
    <row r="219" spans="3:125" ht="15.75" customHeight="1" x14ac:dyDescent="0.25">
      <c r="C219" s="8"/>
      <c r="BJ219" s="10"/>
      <c r="BX219" s="10"/>
      <c r="CE219" s="10"/>
      <c r="CL219" s="10"/>
      <c r="CS219" s="10"/>
      <c r="CZ219" s="10"/>
      <c r="DG219" s="10"/>
      <c r="DN219" s="10"/>
      <c r="DU219" s="10"/>
    </row>
    <row r="220" spans="3:125" ht="15.75" customHeight="1" x14ac:dyDescent="0.25">
      <c r="C220" s="8"/>
      <c r="BJ220" s="10"/>
      <c r="BX220" s="10"/>
      <c r="CE220" s="10"/>
      <c r="CL220" s="10"/>
      <c r="CS220" s="10"/>
      <c r="CZ220" s="10"/>
      <c r="DG220" s="10"/>
      <c r="DN220" s="10"/>
      <c r="DU220" s="10"/>
    </row>
    <row r="221" spans="3:125" ht="15.75" customHeight="1" x14ac:dyDescent="0.25">
      <c r="C221" s="8"/>
      <c r="BJ221" s="10"/>
      <c r="BX221" s="10"/>
      <c r="CE221" s="10"/>
      <c r="CL221" s="10"/>
      <c r="CS221" s="10"/>
      <c r="CZ221" s="10"/>
      <c r="DG221" s="10"/>
      <c r="DN221" s="10"/>
      <c r="DU221" s="10"/>
    </row>
    <row r="222" spans="3:125" ht="15.75" customHeight="1" x14ac:dyDescent="0.25">
      <c r="C222" s="8"/>
      <c r="BJ222" s="10"/>
      <c r="BX222" s="10"/>
      <c r="CE222" s="10"/>
      <c r="CL222" s="10"/>
      <c r="CS222" s="10"/>
      <c r="CZ222" s="10"/>
      <c r="DG222" s="10"/>
      <c r="DN222" s="10"/>
      <c r="DU222" s="10"/>
    </row>
    <row r="223" spans="3:125" ht="15.75" customHeight="1" x14ac:dyDescent="0.25">
      <c r="C223" s="8"/>
      <c r="BJ223" s="10"/>
      <c r="BX223" s="10"/>
      <c r="CE223" s="10"/>
      <c r="CL223" s="10"/>
      <c r="CS223" s="10"/>
      <c r="CZ223" s="10"/>
      <c r="DG223" s="10"/>
      <c r="DN223" s="10"/>
      <c r="DU223" s="10"/>
    </row>
    <row r="224" spans="3:125" ht="15.75" customHeight="1" x14ac:dyDescent="0.25">
      <c r="C224" s="8"/>
      <c r="BJ224" s="10"/>
      <c r="BX224" s="10"/>
      <c r="CE224" s="10"/>
      <c r="CL224" s="10"/>
      <c r="CS224" s="10"/>
      <c r="CZ224" s="10"/>
      <c r="DG224" s="10"/>
      <c r="DN224" s="10"/>
      <c r="DU224" s="10"/>
    </row>
    <row r="225" spans="3:125" ht="15.75" customHeight="1" x14ac:dyDescent="0.25">
      <c r="C225" s="8"/>
      <c r="BJ225" s="10"/>
      <c r="BX225" s="10"/>
      <c r="CE225" s="10"/>
      <c r="CL225" s="10"/>
      <c r="CS225" s="10"/>
      <c r="CZ225" s="10"/>
      <c r="DG225" s="10"/>
      <c r="DN225" s="10"/>
      <c r="DU225" s="10"/>
    </row>
    <row r="226" spans="3:125" ht="15.75" customHeight="1" x14ac:dyDescent="0.25">
      <c r="C226" s="8"/>
      <c r="BJ226" s="10"/>
      <c r="BX226" s="10"/>
      <c r="CE226" s="10"/>
      <c r="CL226" s="10"/>
      <c r="CS226" s="10"/>
      <c r="CZ226" s="10"/>
      <c r="DG226" s="10"/>
      <c r="DN226" s="10"/>
      <c r="DU226" s="10"/>
    </row>
    <row r="227" spans="3:125" ht="15.75" customHeight="1" x14ac:dyDescent="0.25">
      <c r="C227" s="8"/>
      <c r="BJ227" s="10"/>
      <c r="BX227" s="10"/>
      <c r="CE227" s="10"/>
      <c r="CL227" s="10"/>
      <c r="CS227" s="10"/>
      <c r="CZ227" s="10"/>
      <c r="DG227" s="10"/>
      <c r="DN227" s="10"/>
      <c r="DU227" s="10"/>
    </row>
    <row r="228" spans="3:125" ht="15.75" customHeight="1" x14ac:dyDescent="0.25">
      <c r="C228" s="8"/>
      <c r="BJ228" s="10"/>
      <c r="BX228" s="10"/>
      <c r="CE228" s="10"/>
      <c r="CL228" s="10"/>
      <c r="CS228" s="10"/>
      <c r="CZ228" s="10"/>
      <c r="DG228" s="10"/>
      <c r="DN228" s="10"/>
      <c r="DU228" s="10"/>
    </row>
    <row r="229" spans="3:125" ht="15.75" customHeight="1" x14ac:dyDescent="0.25">
      <c r="C229" s="8"/>
      <c r="BJ229" s="10"/>
      <c r="BX229" s="10"/>
      <c r="CE229" s="10"/>
      <c r="CL229" s="10"/>
      <c r="CS229" s="10"/>
      <c r="CZ229" s="10"/>
      <c r="DG229" s="10"/>
      <c r="DN229" s="10"/>
      <c r="DU229" s="10"/>
    </row>
    <row r="230" spans="3:125" ht="15.75" customHeight="1" x14ac:dyDescent="0.25">
      <c r="C230" s="8"/>
      <c r="BJ230" s="10"/>
      <c r="BX230" s="10"/>
      <c r="CE230" s="10"/>
      <c r="CL230" s="10"/>
      <c r="CS230" s="10"/>
      <c r="CZ230" s="10"/>
      <c r="DG230" s="10"/>
      <c r="DN230" s="10"/>
      <c r="DU230" s="10"/>
    </row>
    <row r="231" spans="3:125" ht="15.75" customHeight="1" x14ac:dyDescent="0.25">
      <c r="C231" s="8"/>
      <c r="BJ231" s="10"/>
      <c r="BX231" s="10"/>
      <c r="CE231" s="10"/>
      <c r="CL231" s="10"/>
      <c r="CS231" s="10"/>
      <c r="CZ231" s="10"/>
      <c r="DG231" s="10"/>
      <c r="DN231" s="10"/>
      <c r="DU231" s="10"/>
    </row>
    <row r="232" spans="3:125" ht="15.75" customHeight="1" x14ac:dyDescent="0.25">
      <c r="C232" s="8"/>
      <c r="BJ232" s="10"/>
      <c r="BX232" s="10"/>
      <c r="CE232" s="10"/>
      <c r="CL232" s="10"/>
      <c r="CS232" s="10"/>
      <c r="CZ232" s="10"/>
      <c r="DG232" s="10"/>
      <c r="DN232" s="10"/>
      <c r="DU232" s="10"/>
    </row>
    <row r="233" spans="3:125" ht="15.75" customHeight="1" x14ac:dyDescent="0.25">
      <c r="C233" s="8"/>
      <c r="BJ233" s="10"/>
      <c r="BX233" s="10"/>
      <c r="CE233" s="10"/>
      <c r="CL233" s="10"/>
      <c r="CS233" s="10"/>
      <c r="CZ233" s="10"/>
      <c r="DG233" s="10"/>
      <c r="DN233" s="10"/>
      <c r="DU233" s="10"/>
    </row>
    <row r="234" spans="3:125" ht="15.75" customHeight="1" x14ac:dyDescent="0.25">
      <c r="C234" s="8"/>
      <c r="BJ234" s="10"/>
      <c r="BX234" s="10"/>
      <c r="CE234" s="10"/>
      <c r="CL234" s="10"/>
      <c r="CS234" s="10"/>
      <c r="CZ234" s="10"/>
      <c r="DG234" s="10"/>
      <c r="DN234" s="10"/>
      <c r="DU234" s="10"/>
    </row>
    <row r="235" spans="3:125" ht="15.75" customHeight="1" x14ac:dyDescent="0.25">
      <c r="C235" s="8"/>
      <c r="BJ235" s="10"/>
      <c r="BX235" s="10"/>
      <c r="CE235" s="10"/>
      <c r="CL235" s="10"/>
      <c r="CS235" s="10"/>
      <c r="CZ235" s="10"/>
      <c r="DG235" s="10"/>
      <c r="DN235" s="10"/>
      <c r="DU235" s="10"/>
    </row>
    <row r="236" spans="3:125" ht="15.75" customHeight="1" x14ac:dyDescent="0.25">
      <c r="C236" s="8"/>
      <c r="BJ236" s="10"/>
      <c r="BX236" s="10"/>
      <c r="CE236" s="10"/>
      <c r="CL236" s="10"/>
      <c r="CS236" s="10"/>
      <c r="CZ236" s="10"/>
      <c r="DG236" s="10"/>
      <c r="DN236" s="10"/>
      <c r="DU236" s="10"/>
    </row>
    <row r="237" spans="3:125" ht="15.75" customHeight="1" x14ac:dyDescent="0.25">
      <c r="C237" s="8"/>
      <c r="BJ237" s="10"/>
      <c r="BX237" s="10"/>
      <c r="CE237" s="10"/>
      <c r="CL237" s="10"/>
      <c r="CS237" s="10"/>
      <c r="CZ237" s="10"/>
      <c r="DG237" s="10"/>
      <c r="DN237" s="10"/>
      <c r="DU237" s="10"/>
    </row>
    <row r="238" spans="3:125" ht="15.75" customHeight="1" x14ac:dyDescent="0.25">
      <c r="C238" s="8"/>
      <c r="BJ238" s="10"/>
      <c r="BX238" s="10"/>
      <c r="CE238" s="10"/>
      <c r="CL238" s="10"/>
      <c r="CS238" s="10"/>
      <c r="CZ238" s="10"/>
      <c r="DG238" s="10"/>
      <c r="DN238" s="10"/>
      <c r="DU238" s="10"/>
    </row>
    <row r="239" spans="3:125" ht="15.75" customHeight="1" x14ac:dyDescent="0.25">
      <c r="C239" s="8"/>
      <c r="BJ239" s="10"/>
      <c r="BX239" s="10"/>
      <c r="CE239" s="10"/>
      <c r="CL239" s="10"/>
      <c r="CS239" s="10"/>
      <c r="CZ239" s="10"/>
      <c r="DG239" s="10"/>
      <c r="DN239" s="10"/>
      <c r="DU239" s="10"/>
    </row>
    <row r="240" spans="3:125" ht="15.75" customHeight="1" x14ac:dyDescent="0.25">
      <c r="C240" s="8"/>
      <c r="BJ240" s="10"/>
      <c r="BX240" s="10"/>
      <c r="CE240" s="10"/>
      <c r="CL240" s="10"/>
      <c r="CS240" s="10"/>
      <c r="CZ240" s="10"/>
      <c r="DG240" s="10"/>
      <c r="DN240" s="10"/>
      <c r="DU240" s="10"/>
    </row>
    <row r="241" spans="3:125" ht="15.75" customHeight="1" x14ac:dyDescent="0.25">
      <c r="C241" s="8"/>
      <c r="BJ241" s="10"/>
      <c r="BX241" s="10"/>
      <c r="CE241" s="10"/>
      <c r="CL241" s="10"/>
      <c r="CS241" s="10"/>
      <c r="CZ241" s="10"/>
      <c r="DG241" s="10"/>
      <c r="DN241" s="10"/>
      <c r="DU241" s="10"/>
    </row>
    <row r="242" spans="3:125" ht="15.75" customHeight="1" x14ac:dyDescent="0.25">
      <c r="C242" s="8"/>
      <c r="BJ242" s="10"/>
      <c r="BX242" s="10"/>
      <c r="CE242" s="10"/>
      <c r="CL242" s="10"/>
      <c r="CS242" s="10"/>
      <c r="CZ242" s="10"/>
      <c r="DG242" s="10"/>
      <c r="DN242" s="10"/>
      <c r="DU242" s="10"/>
    </row>
    <row r="243" spans="3:125" ht="15.75" customHeight="1" x14ac:dyDescent="0.25">
      <c r="C243" s="8"/>
      <c r="BJ243" s="10"/>
      <c r="BX243" s="10"/>
      <c r="CE243" s="10"/>
      <c r="CL243" s="10"/>
      <c r="CS243" s="10"/>
      <c r="CZ243" s="10"/>
      <c r="DG243" s="10"/>
      <c r="DN243" s="10"/>
      <c r="DU243" s="10"/>
    </row>
    <row r="244" spans="3:125" ht="15.75" customHeight="1" x14ac:dyDescent="0.25">
      <c r="C244" s="8"/>
      <c r="BJ244" s="10"/>
      <c r="BX244" s="10"/>
      <c r="CE244" s="10"/>
      <c r="CL244" s="10"/>
      <c r="CS244" s="10"/>
      <c r="CZ244" s="10"/>
      <c r="DG244" s="10"/>
      <c r="DN244" s="10"/>
      <c r="DU244" s="10"/>
    </row>
    <row r="245" spans="3:125" ht="15.75" customHeight="1" x14ac:dyDescent="0.25">
      <c r="C245" s="8"/>
      <c r="BJ245" s="10"/>
      <c r="BX245" s="10"/>
      <c r="CE245" s="10"/>
      <c r="CL245" s="10"/>
      <c r="CS245" s="10"/>
      <c r="CZ245" s="10"/>
      <c r="DG245" s="10"/>
      <c r="DN245" s="10"/>
      <c r="DU245" s="10"/>
    </row>
    <row r="246" spans="3:125" ht="15.75" customHeight="1" x14ac:dyDescent="0.25">
      <c r="C246" s="8"/>
      <c r="BJ246" s="10"/>
      <c r="BX246" s="10"/>
      <c r="CE246" s="10"/>
      <c r="CL246" s="10"/>
      <c r="CS246" s="10"/>
      <c r="CZ246" s="10"/>
      <c r="DG246" s="10"/>
      <c r="DN246" s="10"/>
      <c r="DU246" s="10"/>
    </row>
    <row r="247" spans="3:125" ht="15.75" customHeight="1" x14ac:dyDescent="0.25">
      <c r="C247" s="8"/>
      <c r="BJ247" s="10"/>
      <c r="BX247" s="10"/>
      <c r="CE247" s="10"/>
      <c r="CL247" s="10"/>
      <c r="CS247" s="10"/>
      <c r="CZ247" s="10"/>
      <c r="DG247" s="10"/>
      <c r="DN247" s="10"/>
      <c r="DU247" s="10"/>
    </row>
    <row r="248" spans="3:125" ht="15.75" customHeight="1" x14ac:dyDescent="0.25">
      <c r="C248" s="8"/>
      <c r="BJ248" s="10"/>
      <c r="BX248" s="10"/>
      <c r="CE248" s="10"/>
      <c r="CL248" s="10"/>
      <c r="CS248" s="10"/>
      <c r="CZ248" s="10"/>
      <c r="DG248" s="10"/>
      <c r="DN248" s="10"/>
      <c r="DU248" s="10"/>
    </row>
    <row r="249" spans="3:125" ht="15.75" customHeight="1" x14ac:dyDescent="0.25">
      <c r="C249" s="8"/>
      <c r="BJ249" s="10"/>
      <c r="BX249" s="10"/>
      <c r="CE249" s="10"/>
      <c r="CL249" s="10"/>
      <c r="CS249" s="10"/>
      <c r="CZ249" s="10"/>
      <c r="DG249" s="10"/>
      <c r="DN249" s="10"/>
      <c r="DU249" s="10"/>
    </row>
    <row r="250" spans="3:125" ht="15.75" customHeight="1" x14ac:dyDescent="0.25">
      <c r="C250" s="8"/>
      <c r="BJ250" s="10"/>
      <c r="BX250" s="10"/>
      <c r="CE250" s="10"/>
      <c r="CL250" s="10"/>
      <c r="CS250" s="10"/>
      <c r="CZ250" s="10"/>
      <c r="DG250" s="10"/>
      <c r="DN250" s="10"/>
      <c r="DU250" s="10"/>
    </row>
    <row r="251" spans="3:125" ht="15.75" customHeight="1" x14ac:dyDescent="0.25">
      <c r="C251" s="8"/>
      <c r="BJ251" s="10"/>
      <c r="BX251" s="10"/>
      <c r="CE251" s="10"/>
      <c r="CL251" s="10"/>
      <c r="CS251" s="10"/>
      <c r="CZ251" s="10"/>
      <c r="DG251" s="10"/>
      <c r="DN251" s="10"/>
      <c r="DU251" s="10"/>
    </row>
    <row r="252" spans="3:125" ht="15.75" customHeight="1" x14ac:dyDescent="0.25">
      <c r="C252" s="8"/>
      <c r="BJ252" s="10"/>
      <c r="BX252" s="10"/>
      <c r="CE252" s="10"/>
      <c r="CL252" s="10"/>
      <c r="CS252" s="10"/>
      <c r="CZ252" s="10"/>
      <c r="DG252" s="10"/>
      <c r="DN252" s="10"/>
      <c r="DU252" s="10"/>
    </row>
    <row r="253" spans="3:125" ht="15.75" customHeight="1" x14ac:dyDescent="0.25">
      <c r="C253" s="8"/>
      <c r="BJ253" s="10"/>
      <c r="BX253" s="10"/>
      <c r="CE253" s="10"/>
      <c r="CL253" s="10"/>
      <c r="CS253" s="10"/>
      <c r="CZ253" s="10"/>
      <c r="DG253" s="10"/>
      <c r="DN253" s="10"/>
      <c r="DU253" s="10"/>
    </row>
    <row r="254" spans="3:125" ht="15.75" customHeight="1" x14ac:dyDescent="0.25">
      <c r="C254" s="8"/>
      <c r="BJ254" s="10"/>
      <c r="BX254" s="10"/>
      <c r="CE254" s="10"/>
      <c r="CL254" s="10"/>
      <c r="CS254" s="10"/>
      <c r="CZ254" s="10"/>
      <c r="DG254" s="10"/>
      <c r="DN254" s="10"/>
      <c r="DU254" s="10"/>
    </row>
    <row r="255" spans="3:125" ht="15.75" customHeight="1" x14ac:dyDescent="0.25">
      <c r="C255" s="8"/>
      <c r="BJ255" s="10"/>
      <c r="BX255" s="10"/>
      <c r="CE255" s="10"/>
      <c r="CL255" s="10"/>
      <c r="CS255" s="10"/>
      <c r="CZ255" s="10"/>
      <c r="DG255" s="10"/>
      <c r="DN255" s="10"/>
      <c r="DU255" s="10"/>
    </row>
    <row r="256" spans="3:125" ht="15.75" customHeight="1" x14ac:dyDescent="0.25">
      <c r="C256" s="8"/>
      <c r="BJ256" s="10"/>
      <c r="BX256" s="10"/>
      <c r="CE256" s="10"/>
      <c r="CL256" s="10"/>
      <c r="CS256" s="10"/>
      <c r="CZ256" s="10"/>
      <c r="DG256" s="10"/>
      <c r="DN256" s="10"/>
      <c r="DU256" s="10"/>
    </row>
    <row r="257" spans="3:125" ht="15.75" customHeight="1" x14ac:dyDescent="0.25">
      <c r="C257" s="8"/>
      <c r="BJ257" s="10"/>
      <c r="BX257" s="10"/>
      <c r="CE257" s="10"/>
      <c r="CL257" s="10"/>
      <c r="CS257" s="10"/>
      <c r="CZ257" s="10"/>
      <c r="DG257" s="10"/>
      <c r="DN257" s="10"/>
      <c r="DU257" s="10"/>
    </row>
    <row r="258" spans="3:125" ht="15.75" customHeight="1" x14ac:dyDescent="0.25">
      <c r="C258" s="8"/>
      <c r="BJ258" s="10"/>
      <c r="BX258" s="10"/>
      <c r="CE258" s="10"/>
      <c r="CL258" s="10"/>
      <c r="CS258" s="10"/>
      <c r="CZ258" s="10"/>
      <c r="DG258" s="10"/>
      <c r="DN258" s="10"/>
      <c r="DU258" s="10"/>
    </row>
    <row r="259" spans="3:125" ht="15.75" customHeight="1" x14ac:dyDescent="0.25">
      <c r="C259" s="8"/>
      <c r="BJ259" s="10"/>
      <c r="BX259" s="10"/>
      <c r="CE259" s="10"/>
      <c r="CL259" s="10"/>
      <c r="CS259" s="10"/>
      <c r="CZ259" s="10"/>
      <c r="DG259" s="10"/>
      <c r="DN259" s="10"/>
      <c r="DU259" s="10"/>
    </row>
    <row r="260" spans="3:125" ht="15.75" customHeight="1" x14ac:dyDescent="0.25">
      <c r="C260" s="8"/>
      <c r="BJ260" s="10"/>
      <c r="BX260" s="10"/>
      <c r="CE260" s="10"/>
      <c r="CL260" s="10"/>
      <c r="CS260" s="10"/>
      <c r="CZ260" s="10"/>
      <c r="DG260" s="10"/>
      <c r="DN260" s="10"/>
      <c r="DU260" s="10"/>
    </row>
    <row r="261" spans="3:125" ht="15.75" customHeight="1" x14ac:dyDescent="0.25">
      <c r="C261" s="8"/>
      <c r="BJ261" s="10"/>
      <c r="BX261" s="10"/>
      <c r="CE261" s="10"/>
      <c r="CL261" s="10"/>
      <c r="CS261" s="10"/>
      <c r="CZ261" s="10"/>
      <c r="DG261" s="10"/>
      <c r="DN261" s="10"/>
      <c r="DU261" s="10"/>
    </row>
    <row r="262" spans="3:125" ht="15.75" customHeight="1" x14ac:dyDescent="0.25">
      <c r="C262" s="8"/>
      <c r="BJ262" s="10"/>
      <c r="BX262" s="10"/>
      <c r="CE262" s="10"/>
      <c r="CL262" s="10"/>
      <c r="CS262" s="10"/>
      <c r="CZ262" s="10"/>
      <c r="DG262" s="10"/>
      <c r="DN262" s="10"/>
      <c r="DU262" s="10"/>
    </row>
    <row r="263" spans="3:125" ht="15.75" customHeight="1" x14ac:dyDescent="0.25">
      <c r="C263" s="8"/>
      <c r="BJ263" s="10"/>
      <c r="BX263" s="10"/>
      <c r="CE263" s="10"/>
      <c r="CL263" s="10"/>
      <c r="CS263" s="10"/>
      <c r="CZ263" s="10"/>
      <c r="DG263" s="10"/>
      <c r="DN263" s="10"/>
      <c r="DU263" s="10"/>
    </row>
    <row r="264" spans="3:125" ht="15.75" customHeight="1" x14ac:dyDescent="0.25">
      <c r="C264" s="8"/>
      <c r="BJ264" s="10"/>
      <c r="BX264" s="10"/>
      <c r="CE264" s="10"/>
      <c r="CL264" s="10"/>
      <c r="CS264" s="10"/>
      <c r="CZ264" s="10"/>
      <c r="DG264" s="10"/>
      <c r="DN264" s="10"/>
      <c r="DU264" s="10"/>
    </row>
    <row r="265" spans="3:125" ht="15.75" customHeight="1" x14ac:dyDescent="0.25">
      <c r="C265" s="8"/>
      <c r="BJ265" s="10"/>
      <c r="BX265" s="10"/>
      <c r="CE265" s="10"/>
      <c r="CL265" s="10"/>
      <c r="CS265" s="10"/>
      <c r="CZ265" s="10"/>
      <c r="DG265" s="10"/>
      <c r="DN265" s="10"/>
      <c r="DU265" s="10"/>
    </row>
    <row r="266" spans="3:125" ht="15.75" customHeight="1" x14ac:dyDescent="0.25">
      <c r="C266" s="8"/>
      <c r="BJ266" s="10"/>
      <c r="BX266" s="10"/>
      <c r="CE266" s="10"/>
      <c r="CL266" s="10"/>
      <c r="CS266" s="10"/>
      <c r="CZ266" s="10"/>
      <c r="DG266" s="10"/>
      <c r="DN266" s="10"/>
      <c r="DU266" s="10"/>
    </row>
    <row r="267" spans="3:125" ht="15.75" customHeight="1" x14ac:dyDescent="0.25">
      <c r="C267" s="8"/>
      <c r="BJ267" s="10"/>
      <c r="BX267" s="10"/>
      <c r="CE267" s="10"/>
      <c r="CL267" s="10"/>
      <c r="CS267" s="10"/>
      <c r="CZ267" s="10"/>
      <c r="DG267" s="10"/>
      <c r="DN267" s="10"/>
      <c r="DU267" s="10"/>
    </row>
    <row r="268" spans="3:125" ht="15.75" customHeight="1" x14ac:dyDescent="0.25">
      <c r="C268" s="8"/>
      <c r="BJ268" s="10"/>
      <c r="BX268" s="10"/>
      <c r="CE268" s="10"/>
      <c r="CL268" s="10"/>
      <c r="CS268" s="10"/>
      <c r="CZ268" s="10"/>
      <c r="DG268" s="10"/>
      <c r="DN268" s="10"/>
      <c r="DU268" s="10"/>
    </row>
    <row r="269" spans="3:125" ht="15.75" customHeight="1" x14ac:dyDescent="0.25">
      <c r="C269" s="8"/>
      <c r="BJ269" s="10"/>
      <c r="BX269" s="10"/>
      <c r="CE269" s="10"/>
      <c r="CL269" s="10"/>
      <c r="CS269" s="10"/>
      <c r="CZ269" s="10"/>
      <c r="DG269" s="10"/>
      <c r="DN269" s="10"/>
      <c r="DU269" s="10"/>
    </row>
    <row r="270" spans="3:125" ht="15.75" customHeight="1" x14ac:dyDescent="0.25">
      <c r="C270" s="8"/>
      <c r="BJ270" s="10"/>
      <c r="BX270" s="10"/>
      <c r="CE270" s="10"/>
      <c r="CL270" s="10"/>
      <c r="CS270" s="10"/>
      <c r="CZ270" s="10"/>
      <c r="DG270" s="10"/>
      <c r="DN270" s="10"/>
      <c r="DU270" s="10"/>
    </row>
    <row r="271" spans="3:125" ht="15.75" customHeight="1" x14ac:dyDescent="0.25">
      <c r="C271" s="8"/>
      <c r="BJ271" s="10"/>
      <c r="BX271" s="10"/>
      <c r="CE271" s="10"/>
      <c r="CL271" s="10"/>
      <c r="CS271" s="10"/>
      <c r="CZ271" s="10"/>
      <c r="DG271" s="10"/>
      <c r="DN271" s="10"/>
      <c r="DU271" s="10"/>
    </row>
    <row r="272" spans="3:125" ht="15.75" customHeight="1" x14ac:dyDescent="0.25">
      <c r="C272" s="8"/>
      <c r="BJ272" s="10"/>
      <c r="BX272" s="10"/>
      <c r="CE272" s="10"/>
      <c r="CL272" s="10"/>
      <c r="CS272" s="10"/>
      <c r="CZ272" s="10"/>
      <c r="DG272" s="10"/>
      <c r="DN272" s="10"/>
      <c r="DU272" s="10"/>
    </row>
    <row r="273" spans="3:125" ht="15.75" customHeight="1" x14ac:dyDescent="0.25">
      <c r="C273" s="8"/>
      <c r="BJ273" s="10"/>
      <c r="BX273" s="10"/>
      <c r="CE273" s="10"/>
      <c r="CL273" s="10"/>
      <c r="CS273" s="10"/>
      <c r="CZ273" s="10"/>
      <c r="DG273" s="10"/>
      <c r="DN273" s="10"/>
      <c r="DU273" s="10"/>
    </row>
    <row r="274" spans="3:125" ht="15.75" customHeight="1" x14ac:dyDescent="0.25">
      <c r="C274" s="8"/>
      <c r="BJ274" s="10"/>
      <c r="BX274" s="10"/>
      <c r="CE274" s="10"/>
      <c r="CL274" s="10"/>
      <c r="CS274" s="10"/>
      <c r="CZ274" s="10"/>
      <c r="DG274" s="10"/>
      <c r="DN274" s="10"/>
      <c r="DU274" s="10"/>
    </row>
    <row r="275" spans="3:125" ht="15.75" customHeight="1" x14ac:dyDescent="0.25">
      <c r="C275" s="8"/>
      <c r="BJ275" s="10"/>
      <c r="BX275" s="10"/>
      <c r="CE275" s="10"/>
      <c r="CL275" s="10"/>
      <c r="CS275" s="10"/>
      <c r="CZ275" s="10"/>
      <c r="DG275" s="10"/>
      <c r="DN275" s="10"/>
      <c r="DU275" s="10"/>
    </row>
    <row r="276" spans="3:125" ht="15.75" customHeight="1" x14ac:dyDescent="0.25">
      <c r="C276" s="8"/>
      <c r="BJ276" s="10"/>
      <c r="BX276" s="10"/>
      <c r="CE276" s="10"/>
      <c r="CL276" s="10"/>
      <c r="CS276" s="10"/>
      <c r="CZ276" s="10"/>
      <c r="DG276" s="10"/>
      <c r="DN276" s="10"/>
      <c r="DU276" s="10"/>
    </row>
    <row r="277" spans="3:125" ht="15.75" customHeight="1" x14ac:dyDescent="0.25">
      <c r="C277" s="8"/>
      <c r="BJ277" s="10"/>
      <c r="BX277" s="10"/>
      <c r="CE277" s="10"/>
      <c r="CL277" s="10"/>
      <c r="CS277" s="10"/>
      <c r="CZ277" s="10"/>
      <c r="DG277" s="10"/>
      <c r="DN277" s="10"/>
      <c r="DU277" s="10"/>
    </row>
    <row r="278" spans="3:125" ht="15.75" customHeight="1" x14ac:dyDescent="0.25">
      <c r="C278" s="8"/>
      <c r="BJ278" s="10"/>
      <c r="BX278" s="10"/>
      <c r="CE278" s="10"/>
      <c r="CL278" s="10"/>
      <c r="CS278" s="10"/>
      <c r="CZ278" s="10"/>
      <c r="DG278" s="10"/>
      <c r="DN278" s="10"/>
      <c r="DU278" s="10"/>
    </row>
    <row r="279" spans="3:125" ht="15.75" customHeight="1" x14ac:dyDescent="0.25">
      <c r="C279" s="8"/>
      <c r="BJ279" s="10"/>
      <c r="BX279" s="10"/>
      <c r="CE279" s="10"/>
      <c r="CL279" s="10"/>
      <c r="CS279" s="10"/>
      <c r="CZ279" s="10"/>
      <c r="DG279" s="10"/>
      <c r="DN279" s="10"/>
      <c r="DU279" s="10"/>
    </row>
    <row r="280" spans="3:125" ht="15.75" customHeight="1" x14ac:dyDescent="0.25">
      <c r="C280" s="8"/>
      <c r="BJ280" s="10"/>
      <c r="BX280" s="10"/>
      <c r="CE280" s="10"/>
      <c r="CL280" s="10"/>
      <c r="CS280" s="10"/>
      <c r="CZ280" s="10"/>
      <c r="DG280" s="10"/>
      <c r="DN280" s="10"/>
      <c r="DU280" s="10"/>
    </row>
    <row r="281" spans="3:125" ht="15.75" customHeight="1" x14ac:dyDescent="0.25">
      <c r="C281" s="8"/>
      <c r="BJ281" s="10"/>
      <c r="BX281" s="10"/>
      <c r="CE281" s="10"/>
      <c r="CL281" s="10"/>
      <c r="CS281" s="10"/>
      <c r="CZ281" s="10"/>
      <c r="DG281" s="10"/>
      <c r="DN281" s="10"/>
      <c r="DU281" s="10"/>
    </row>
    <row r="282" spans="3:125" ht="15.75" customHeight="1" x14ac:dyDescent="0.25">
      <c r="C282" s="8"/>
      <c r="BJ282" s="10"/>
      <c r="BX282" s="10"/>
      <c r="CE282" s="10"/>
      <c r="CL282" s="10"/>
      <c r="CS282" s="10"/>
      <c r="CZ282" s="10"/>
      <c r="DG282" s="10"/>
      <c r="DN282" s="10"/>
      <c r="DU282" s="10"/>
    </row>
    <row r="283" spans="3:125" ht="15.75" customHeight="1" x14ac:dyDescent="0.25">
      <c r="C283" s="8"/>
      <c r="BJ283" s="10"/>
      <c r="BX283" s="10"/>
      <c r="CE283" s="10"/>
      <c r="CL283" s="10"/>
      <c r="CS283" s="10"/>
      <c r="CZ283" s="10"/>
      <c r="DG283" s="10"/>
      <c r="DN283" s="10"/>
      <c r="DU283" s="10"/>
    </row>
    <row r="284" spans="3:125" ht="15.75" customHeight="1" x14ac:dyDescent="0.25">
      <c r="C284" s="8"/>
      <c r="BJ284" s="10"/>
      <c r="BX284" s="10"/>
      <c r="CE284" s="10"/>
      <c r="CL284" s="10"/>
      <c r="CS284" s="10"/>
      <c r="CZ284" s="10"/>
      <c r="DG284" s="10"/>
      <c r="DN284" s="10"/>
      <c r="DU284" s="10"/>
    </row>
    <row r="285" spans="3:125" ht="15.75" customHeight="1" x14ac:dyDescent="0.25">
      <c r="C285" s="8"/>
      <c r="BJ285" s="10"/>
      <c r="BX285" s="10"/>
      <c r="CE285" s="10"/>
      <c r="CL285" s="10"/>
      <c r="CS285" s="10"/>
      <c r="CZ285" s="10"/>
      <c r="DG285" s="10"/>
      <c r="DN285" s="10"/>
      <c r="DU285" s="10"/>
    </row>
    <row r="286" spans="3:125" ht="15.75" customHeight="1" x14ac:dyDescent="0.25">
      <c r="C286" s="8"/>
      <c r="BJ286" s="10"/>
      <c r="BX286" s="10"/>
      <c r="CE286" s="10"/>
      <c r="CL286" s="10"/>
      <c r="CS286" s="10"/>
      <c r="CZ286" s="10"/>
      <c r="DG286" s="10"/>
      <c r="DN286" s="10"/>
      <c r="DU286" s="10"/>
    </row>
    <row r="287" spans="3:125" ht="15.75" customHeight="1" x14ac:dyDescent="0.25">
      <c r="C287" s="8"/>
      <c r="BJ287" s="10"/>
      <c r="BX287" s="10"/>
      <c r="CE287" s="10"/>
      <c r="CL287" s="10"/>
      <c r="CS287" s="10"/>
      <c r="CZ287" s="10"/>
      <c r="DG287" s="10"/>
      <c r="DN287" s="10"/>
      <c r="DU287" s="10"/>
    </row>
    <row r="288" spans="3:125" ht="15.75" customHeight="1" x14ac:dyDescent="0.25">
      <c r="C288" s="8"/>
      <c r="BJ288" s="10"/>
      <c r="BX288" s="10"/>
      <c r="CE288" s="10"/>
      <c r="CL288" s="10"/>
      <c r="CS288" s="10"/>
      <c r="CZ288" s="10"/>
      <c r="DG288" s="10"/>
      <c r="DN288" s="10"/>
      <c r="DU288" s="10"/>
    </row>
    <row r="289" spans="3:125" ht="15.75" customHeight="1" x14ac:dyDescent="0.25">
      <c r="C289" s="8"/>
      <c r="BJ289" s="10"/>
      <c r="BX289" s="10"/>
      <c r="CE289" s="10"/>
      <c r="CL289" s="10"/>
      <c r="CS289" s="10"/>
      <c r="CZ289" s="10"/>
      <c r="DG289" s="10"/>
      <c r="DN289" s="10"/>
      <c r="DU289" s="10"/>
    </row>
    <row r="290" spans="3:125" ht="15.75" customHeight="1" x14ac:dyDescent="0.25">
      <c r="C290" s="8"/>
      <c r="BJ290" s="10"/>
      <c r="BX290" s="10"/>
      <c r="CE290" s="10"/>
      <c r="CL290" s="10"/>
      <c r="CS290" s="10"/>
      <c r="CZ290" s="10"/>
      <c r="DG290" s="10"/>
      <c r="DN290" s="10"/>
      <c r="DU290" s="10"/>
    </row>
    <row r="291" spans="3:125" ht="15.75" customHeight="1" x14ac:dyDescent="0.25">
      <c r="C291" s="8"/>
      <c r="BJ291" s="10"/>
      <c r="BX291" s="10"/>
      <c r="CE291" s="10"/>
      <c r="CL291" s="10"/>
      <c r="CS291" s="10"/>
      <c r="CZ291" s="10"/>
      <c r="DG291" s="10"/>
      <c r="DN291" s="10"/>
      <c r="DU291" s="10"/>
    </row>
    <row r="292" spans="3:125" ht="15.75" customHeight="1" x14ac:dyDescent="0.25">
      <c r="C292" s="8"/>
      <c r="BJ292" s="10"/>
      <c r="BX292" s="10"/>
      <c r="CE292" s="10"/>
      <c r="CL292" s="10"/>
      <c r="CS292" s="10"/>
      <c r="CZ292" s="10"/>
      <c r="DG292" s="10"/>
      <c r="DN292" s="10"/>
      <c r="DU292" s="10"/>
    </row>
    <row r="293" spans="3:125" ht="15.75" customHeight="1" x14ac:dyDescent="0.25">
      <c r="C293" s="8"/>
      <c r="BJ293" s="10"/>
      <c r="BX293" s="10"/>
      <c r="CE293" s="10"/>
      <c r="CL293" s="10"/>
      <c r="CS293" s="10"/>
      <c r="CZ293" s="10"/>
      <c r="DG293" s="10"/>
      <c r="DN293" s="10"/>
      <c r="DU293" s="10"/>
    </row>
    <row r="294" spans="3:125" ht="15.75" customHeight="1" x14ac:dyDescent="0.25">
      <c r="C294" s="8"/>
      <c r="BJ294" s="10"/>
      <c r="BX294" s="10"/>
      <c r="CE294" s="10"/>
      <c r="CL294" s="10"/>
      <c r="CS294" s="10"/>
      <c r="CZ294" s="10"/>
      <c r="DG294" s="10"/>
      <c r="DN294" s="10"/>
      <c r="DU294" s="10"/>
    </row>
    <row r="295" spans="3:125" ht="15.75" customHeight="1" x14ac:dyDescent="0.25">
      <c r="C295" s="8"/>
      <c r="BJ295" s="10"/>
      <c r="BX295" s="10"/>
      <c r="CE295" s="10"/>
      <c r="CL295" s="10"/>
      <c r="CS295" s="10"/>
      <c r="CZ295" s="10"/>
      <c r="DG295" s="10"/>
      <c r="DN295" s="10"/>
      <c r="DU295" s="10"/>
    </row>
    <row r="296" spans="3:125" ht="15.75" customHeight="1" x14ac:dyDescent="0.25">
      <c r="C296" s="8"/>
      <c r="BJ296" s="10"/>
      <c r="BX296" s="10"/>
      <c r="CE296" s="10"/>
      <c r="CL296" s="10"/>
      <c r="CS296" s="10"/>
      <c r="CZ296" s="10"/>
      <c r="DG296" s="10"/>
      <c r="DN296" s="10"/>
      <c r="DU296" s="10"/>
    </row>
    <row r="297" spans="3:125" ht="15.75" customHeight="1" x14ac:dyDescent="0.25">
      <c r="C297" s="8"/>
      <c r="BJ297" s="10"/>
      <c r="BX297" s="10"/>
      <c r="CE297" s="10"/>
      <c r="CL297" s="10"/>
      <c r="CS297" s="10"/>
      <c r="CZ297" s="10"/>
      <c r="DG297" s="10"/>
      <c r="DN297" s="10"/>
      <c r="DU297" s="10"/>
    </row>
    <row r="298" spans="3:125" ht="15.75" customHeight="1" x14ac:dyDescent="0.25">
      <c r="C298" s="8"/>
      <c r="BJ298" s="10"/>
      <c r="BX298" s="10"/>
      <c r="CE298" s="10"/>
      <c r="CL298" s="10"/>
      <c r="CS298" s="10"/>
      <c r="CZ298" s="10"/>
      <c r="DG298" s="10"/>
      <c r="DN298" s="10"/>
      <c r="DU298" s="10"/>
    </row>
    <row r="299" spans="3:125" ht="15.75" customHeight="1" x14ac:dyDescent="0.25">
      <c r="C299" s="8"/>
      <c r="BJ299" s="10"/>
      <c r="BX299" s="10"/>
      <c r="CE299" s="10"/>
      <c r="CL299" s="10"/>
      <c r="CS299" s="10"/>
      <c r="CZ299" s="10"/>
      <c r="DG299" s="10"/>
      <c r="DN299" s="10"/>
      <c r="DU299" s="10"/>
    </row>
    <row r="300" spans="3:125" ht="15.75" customHeight="1" x14ac:dyDescent="0.25">
      <c r="C300" s="8"/>
      <c r="BJ300" s="10"/>
      <c r="BX300" s="10"/>
      <c r="CE300" s="10"/>
      <c r="CL300" s="10"/>
      <c r="CS300" s="10"/>
      <c r="CZ300" s="10"/>
      <c r="DG300" s="10"/>
      <c r="DN300" s="10"/>
      <c r="DU300" s="10"/>
    </row>
    <row r="301" spans="3:125" ht="15.75" customHeight="1" x14ac:dyDescent="0.25">
      <c r="C301" s="8"/>
      <c r="BJ301" s="10"/>
      <c r="BX301" s="10"/>
      <c r="CE301" s="10"/>
      <c r="CL301" s="10"/>
      <c r="CS301" s="10"/>
      <c r="CZ301" s="10"/>
      <c r="DG301" s="10"/>
      <c r="DN301" s="10"/>
      <c r="DU301" s="10"/>
    </row>
    <row r="302" spans="3:125" ht="15.75" customHeight="1" x14ac:dyDescent="0.25">
      <c r="C302" s="8"/>
      <c r="BJ302" s="10"/>
      <c r="BX302" s="10"/>
      <c r="CE302" s="10"/>
      <c r="CL302" s="10"/>
      <c r="CS302" s="10"/>
      <c r="CZ302" s="10"/>
      <c r="DG302" s="10"/>
      <c r="DN302" s="10"/>
      <c r="DU302" s="10"/>
    </row>
    <row r="303" spans="3:125" ht="15.75" customHeight="1" x14ac:dyDescent="0.25">
      <c r="C303" s="8"/>
      <c r="BJ303" s="10"/>
      <c r="BX303" s="10"/>
      <c r="CE303" s="10"/>
      <c r="CL303" s="10"/>
      <c r="CS303" s="10"/>
      <c r="CZ303" s="10"/>
      <c r="DG303" s="10"/>
      <c r="DN303" s="10"/>
      <c r="DU303" s="10"/>
    </row>
    <row r="304" spans="3:125" ht="15.75" customHeight="1" x14ac:dyDescent="0.25">
      <c r="C304" s="8"/>
      <c r="BJ304" s="10"/>
      <c r="BX304" s="10"/>
      <c r="CE304" s="10"/>
      <c r="CL304" s="10"/>
      <c r="CS304" s="10"/>
      <c r="CZ304" s="10"/>
      <c r="DG304" s="10"/>
      <c r="DN304" s="10"/>
      <c r="DU304" s="10"/>
    </row>
    <row r="305" spans="3:125" ht="15.75" customHeight="1" x14ac:dyDescent="0.25">
      <c r="C305" s="8"/>
      <c r="BJ305" s="10"/>
      <c r="BX305" s="10"/>
      <c r="CE305" s="10"/>
      <c r="CL305" s="10"/>
      <c r="CS305" s="10"/>
      <c r="CZ305" s="10"/>
      <c r="DG305" s="10"/>
      <c r="DN305" s="10"/>
      <c r="DU305" s="10"/>
    </row>
    <row r="306" spans="3:125" ht="15.75" customHeight="1" x14ac:dyDescent="0.25">
      <c r="C306" s="8"/>
      <c r="BJ306" s="10"/>
      <c r="BX306" s="10"/>
      <c r="CE306" s="10"/>
      <c r="CL306" s="10"/>
      <c r="CS306" s="10"/>
      <c r="CZ306" s="10"/>
      <c r="DG306" s="10"/>
      <c r="DN306" s="10"/>
      <c r="DU306" s="10"/>
    </row>
    <row r="307" spans="3:125" ht="15.75" customHeight="1" x14ac:dyDescent="0.25">
      <c r="C307" s="8"/>
      <c r="BJ307" s="10"/>
      <c r="BX307" s="10"/>
      <c r="CE307" s="10"/>
      <c r="CL307" s="10"/>
      <c r="CS307" s="10"/>
      <c r="CZ307" s="10"/>
      <c r="DG307" s="10"/>
      <c r="DN307" s="10"/>
      <c r="DU307" s="10"/>
    </row>
    <row r="308" spans="3:125" ht="15.75" customHeight="1" x14ac:dyDescent="0.25">
      <c r="C308" s="8"/>
      <c r="BJ308" s="10"/>
      <c r="BX308" s="10"/>
      <c r="CE308" s="10"/>
      <c r="CL308" s="10"/>
      <c r="CS308" s="10"/>
      <c r="CZ308" s="10"/>
      <c r="DG308" s="10"/>
      <c r="DN308" s="10"/>
      <c r="DU308" s="10"/>
    </row>
    <row r="309" spans="3:125" ht="15.75" customHeight="1" x14ac:dyDescent="0.25">
      <c r="C309" s="8"/>
      <c r="BJ309" s="10"/>
      <c r="BX309" s="10"/>
      <c r="CE309" s="10"/>
      <c r="CL309" s="10"/>
      <c r="CS309" s="10"/>
      <c r="CZ309" s="10"/>
      <c r="DG309" s="10"/>
      <c r="DN309" s="10"/>
      <c r="DU309" s="10"/>
    </row>
    <row r="310" spans="3:125" ht="15.75" customHeight="1" x14ac:dyDescent="0.25">
      <c r="C310" s="8"/>
      <c r="BJ310" s="10"/>
      <c r="BX310" s="10"/>
      <c r="CE310" s="10"/>
      <c r="CL310" s="10"/>
      <c r="CS310" s="10"/>
      <c r="CZ310" s="10"/>
      <c r="DG310" s="10"/>
      <c r="DN310" s="10"/>
      <c r="DU310" s="10"/>
    </row>
    <row r="311" spans="3:125" ht="15.75" customHeight="1" x14ac:dyDescent="0.25">
      <c r="C311" s="8"/>
      <c r="BJ311" s="10"/>
      <c r="BX311" s="10"/>
      <c r="CE311" s="10"/>
      <c r="CL311" s="10"/>
      <c r="CS311" s="10"/>
      <c r="CZ311" s="10"/>
      <c r="DG311" s="10"/>
      <c r="DN311" s="10"/>
      <c r="DU311" s="10"/>
    </row>
    <row r="312" spans="3:125" ht="15.75" customHeight="1" x14ac:dyDescent="0.25">
      <c r="C312" s="8"/>
      <c r="BJ312" s="10"/>
      <c r="BX312" s="10"/>
      <c r="CE312" s="10"/>
      <c r="CL312" s="10"/>
      <c r="CS312" s="10"/>
      <c r="CZ312" s="10"/>
      <c r="DG312" s="10"/>
      <c r="DN312" s="10"/>
      <c r="DU312" s="10"/>
    </row>
    <row r="313" spans="3:125" ht="15.75" customHeight="1" x14ac:dyDescent="0.25">
      <c r="C313" s="8"/>
      <c r="BJ313" s="10"/>
      <c r="BX313" s="10"/>
      <c r="CE313" s="10"/>
      <c r="CL313" s="10"/>
      <c r="CS313" s="10"/>
      <c r="CZ313" s="10"/>
      <c r="DG313" s="10"/>
      <c r="DN313" s="10"/>
      <c r="DU313" s="10"/>
    </row>
    <row r="314" spans="3:125" ht="15.75" customHeight="1" x14ac:dyDescent="0.25">
      <c r="C314" s="8"/>
      <c r="BJ314" s="10"/>
      <c r="BX314" s="10"/>
      <c r="CE314" s="10"/>
      <c r="CL314" s="10"/>
      <c r="CS314" s="10"/>
      <c r="CZ314" s="10"/>
      <c r="DG314" s="10"/>
      <c r="DN314" s="10"/>
      <c r="DU314" s="10"/>
    </row>
    <row r="315" spans="3:125" ht="15.75" customHeight="1" x14ac:dyDescent="0.25">
      <c r="C315" s="8"/>
      <c r="BJ315" s="10"/>
      <c r="BX315" s="10"/>
      <c r="CE315" s="10"/>
      <c r="CL315" s="10"/>
      <c r="CS315" s="10"/>
      <c r="CZ315" s="10"/>
      <c r="DG315" s="10"/>
      <c r="DN315" s="10"/>
      <c r="DU315" s="10"/>
    </row>
    <row r="316" spans="3:125" ht="15.75" customHeight="1" x14ac:dyDescent="0.25">
      <c r="C316" s="8"/>
      <c r="BJ316" s="10"/>
      <c r="BX316" s="10"/>
      <c r="CE316" s="10"/>
      <c r="CL316" s="10"/>
      <c r="CS316" s="10"/>
      <c r="CZ316" s="10"/>
      <c r="DG316" s="10"/>
      <c r="DN316" s="10"/>
      <c r="DU316" s="10"/>
    </row>
    <row r="317" spans="3:125" ht="15.75" customHeight="1" x14ac:dyDescent="0.25">
      <c r="C317" s="8"/>
      <c r="BJ317" s="10"/>
      <c r="BX317" s="10"/>
      <c r="CE317" s="10"/>
      <c r="CL317" s="10"/>
      <c r="CS317" s="10"/>
      <c r="CZ317" s="10"/>
      <c r="DG317" s="10"/>
      <c r="DN317" s="10"/>
      <c r="DU317" s="10"/>
    </row>
    <row r="318" spans="3:125" ht="15.75" customHeight="1" x14ac:dyDescent="0.25">
      <c r="C318" s="8"/>
      <c r="BJ318" s="10"/>
      <c r="BX318" s="10"/>
      <c r="CE318" s="10"/>
      <c r="CL318" s="10"/>
      <c r="CS318" s="10"/>
      <c r="CZ318" s="10"/>
      <c r="DG318" s="10"/>
      <c r="DN318" s="10"/>
      <c r="DU318" s="10"/>
    </row>
    <row r="319" spans="3:125" ht="15.75" customHeight="1" x14ac:dyDescent="0.25">
      <c r="C319" s="8"/>
      <c r="BJ319" s="10"/>
      <c r="BX319" s="10"/>
      <c r="CE319" s="10"/>
      <c r="CL319" s="10"/>
      <c r="CS319" s="10"/>
      <c r="CZ319" s="10"/>
      <c r="DG319" s="10"/>
      <c r="DN319" s="10"/>
      <c r="DU319" s="10"/>
    </row>
    <row r="320" spans="3:125" ht="15.75" customHeight="1" x14ac:dyDescent="0.25">
      <c r="C320" s="8"/>
      <c r="BJ320" s="10"/>
      <c r="BX320" s="10"/>
      <c r="CE320" s="10"/>
      <c r="CL320" s="10"/>
      <c r="CS320" s="10"/>
      <c r="CZ320" s="10"/>
      <c r="DG320" s="10"/>
      <c r="DN320" s="10"/>
      <c r="DU320" s="10"/>
    </row>
    <row r="321" spans="3:125" ht="15.75" customHeight="1" x14ac:dyDescent="0.25">
      <c r="C321" s="8"/>
      <c r="BJ321" s="10"/>
      <c r="BX321" s="10"/>
      <c r="CE321" s="10"/>
      <c r="CL321" s="10"/>
      <c r="CS321" s="10"/>
      <c r="CZ321" s="10"/>
      <c r="DG321" s="10"/>
      <c r="DN321" s="10"/>
      <c r="DU321" s="10"/>
    </row>
    <row r="322" spans="3:125" ht="15.75" customHeight="1" x14ac:dyDescent="0.25">
      <c r="C322" s="8"/>
      <c r="BJ322" s="10"/>
      <c r="BX322" s="10"/>
      <c r="CE322" s="10"/>
      <c r="CL322" s="10"/>
      <c r="CS322" s="10"/>
      <c r="CZ322" s="10"/>
      <c r="DG322" s="10"/>
      <c r="DN322" s="10"/>
      <c r="DU322" s="10"/>
    </row>
    <row r="323" spans="3:125" ht="15.75" customHeight="1" x14ac:dyDescent="0.25">
      <c r="C323" s="8"/>
      <c r="BJ323" s="10"/>
      <c r="BX323" s="10"/>
      <c r="CE323" s="10"/>
      <c r="CL323" s="10"/>
      <c r="CS323" s="10"/>
      <c r="CZ323" s="10"/>
      <c r="DG323" s="10"/>
      <c r="DN323" s="10"/>
      <c r="DU323" s="10"/>
    </row>
    <row r="324" spans="3:125" ht="15.75" customHeight="1" x14ac:dyDescent="0.25">
      <c r="C324" s="8"/>
      <c r="BJ324" s="10"/>
      <c r="BX324" s="10"/>
      <c r="CE324" s="10"/>
      <c r="CL324" s="10"/>
      <c r="CS324" s="10"/>
      <c r="CZ324" s="10"/>
      <c r="DG324" s="10"/>
      <c r="DN324" s="10"/>
      <c r="DU324" s="10"/>
    </row>
    <row r="325" spans="3:125" ht="15.75" customHeight="1" x14ac:dyDescent="0.25">
      <c r="C325" s="8"/>
      <c r="BJ325" s="10"/>
      <c r="BX325" s="10"/>
      <c r="CE325" s="10"/>
      <c r="CL325" s="10"/>
      <c r="CS325" s="10"/>
      <c r="CZ325" s="10"/>
      <c r="DG325" s="10"/>
      <c r="DN325" s="10"/>
      <c r="DU325" s="10"/>
    </row>
    <row r="326" spans="3:125" ht="15.75" customHeight="1" x14ac:dyDescent="0.25">
      <c r="C326" s="8"/>
      <c r="BJ326" s="10"/>
      <c r="BX326" s="10"/>
      <c r="CE326" s="10"/>
      <c r="CL326" s="10"/>
      <c r="CS326" s="10"/>
      <c r="CZ326" s="10"/>
      <c r="DG326" s="10"/>
      <c r="DN326" s="10"/>
      <c r="DU326" s="10"/>
    </row>
    <row r="327" spans="3:125" ht="15.75" customHeight="1" x14ac:dyDescent="0.25">
      <c r="C327" s="8"/>
      <c r="BJ327" s="10"/>
      <c r="BX327" s="10"/>
      <c r="CE327" s="10"/>
      <c r="CL327" s="10"/>
      <c r="CS327" s="10"/>
      <c r="CZ327" s="10"/>
      <c r="DG327" s="10"/>
      <c r="DN327" s="10"/>
      <c r="DU327" s="10"/>
    </row>
    <row r="328" spans="3:125" ht="15.75" customHeight="1" x14ac:dyDescent="0.25">
      <c r="C328" s="8"/>
      <c r="BJ328" s="10"/>
      <c r="BX328" s="10"/>
      <c r="CE328" s="10"/>
      <c r="CL328" s="10"/>
      <c r="CS328" s="10"/>
      <c r="CZ328" s="10"/>
      <c r="DG328" s="10"/>
      <c r="DN328" s="10"/>
      <c r="DU328" s="10"/>
    </row>
    <row r="329" spans="3:125" ht="15.75" customHeight="1" x14ac:dyDescent="0.25">
      <c r="C329" s="8"/>
      <c r="BJ329" s="10"/>
      <c r="BX329" s="10"/>
      <c r="CE329" s="10"/>
      <c r="CL329" s="10"/>
      <c r="CS329" s="10"/>
      <c r="CZ329" s="10"/>
      <c r="DG329" s="10"/>
      <c r="DN329" s="10"/>
      <c r="DU329" s="10"/>
    </row>
    <row r="330" spans="3:125" ht="15.75" customHeight="1" x14ac:dyDescent="0.25">
      <c r="C330" s="8"/>
      <c r="BJ330" s="10"/>
      <c r="BX330" s="10"/>
      <c r="CE330" s="10"/>
      <c r="CL330" s="10"/>
      <c r="CS330" s="10"/>
      <c r="CZ330" s="10"/>
      <c r="DG330" s="10"/>
      <c r="DN330" s="10"/>
      <c r="DU330" s="10"/>
    </row>
    <row r="331" spans="3:125" ht="15.75" customHeight="1" x14ac:dyDescent="0.25">
      <c r="C331" s="8"/>
      <c r="BJ331" s="10"/>
      <c r="BX331" s="10"/>
      <c r="CE331" s="10"/>
      <c r="CL331" s="10"/>
      <c r="CS331" s="10"/>
      <c r="CZ331" s="10"/>
      <c r="DG331" s="10"/>
      <c r="DN331" s="10"/>
      <c r="DU331" s="10"/>
    </row>
    <row r="332" spans="3:125" ht="15.75" customHeight="1" x14ac:dyDescent="0.25">
      <c r="C332" s="8"/>
      <c r="BJ332" s="10"/>
      <c r="BX332" s="10"/>
      <c r="CE332" s="10"/>
      <c r="CL332" s="10"/>
      <c r="CS332" s="10"/>
      <c r="CZ332" s="10"/>
      <c r="DG332" s="10"/>
      <c r="DN332" s="10"/>
      <c r="DU332" s="10"/>
    </row>
    <row r="333" spans="3:125" ht="15.75" customHeight="1" x14ac:dyDescent="0.25">
      <c r="C333" s="8"/>
      <c r="BJ333" s="10"/>
      <c r="BX333" s="10"/>
      <c r="CE333" s="10"/>
      <c r="CL333" s="10"/>
      <c r="CS333" s="10"/>
      <c r="CZ333" s="10"/>
      <c r="DG333" s="10"/>
      <c r="DN333" s="10"/>
      <c r="DU333" s="10"/>
    </row>
    <row r="334" spans="3:125" ht="15.75" customHeight="1" x14ac:dyDescent="0.25">
      <c r="C334" s="8"/>
      <c r="BJ334" s="10"/>
      <c r="BX334" s="10"/>
      <c r="CE334" s="10"/>
      <c r="CL334" s="10"/>
      <c r="CS334" s="10"/>
      <c r="CZ334" s="10"/>
      <c r="DG334" s="10"/>
      <c r="DN334" s="10"/>
      <c r="DU334" s="10"/>
    </row>
    <row r="335" spans="3:125" ht="15.75" customHeight="1" x14ac:dyDescent="0.25">
      <c r="C335" s="8"/>
      <c r="BJ335" s="10"/>
      <c r="BX335" s="10"/>
      <c r="CE335" s="10"/>
      <c r="CL335" s="10"/>
      <c r="CS335" s="10"/>
      <c r="CZ335" s="10"/>
      <c r="DG335" s="10"/>
      <c r="DN335" s="10"/>
      <c r="DU335" s="10"/>
    </row>
    <row r="336" spans="3:125" ht="15.75" customHeight="1" x14ac:dyDescent="0.25">
      <c r="C336" s="8"/>
      <c r="BJ336" s="10"/>
      <c r="BX336" s="10"/>
      <c r="CE336" s="10"/>
      <c r="CL336" s="10"/>
      <c r="CS336" s="10"/>
      <c r="CZ336" s="10"/>
      <c r="DG336" s="10"/>
      <c r="DN336" s="10"/>
      <c r="DU336" s="10"/>
    </row>
    <row r="337" spans="3:125" ht="15.75" customHeight="1" x14ac:dyDescent="0.25">
      <c r="C337" s="8"/>
      <c r="BJ337" s="10"/>
      <c r="BX337" s="10"/>
      <c r="CE337" s="10"/>
      <c r="CL337" s="10"/>
      <c r="CS337" s="10"/>
      <c r="CZ337" s="10"/>
      <c r="DG337" s="10"/>
      <c r="DN337" s="10"/>
      <c r="DU337" s="10"/>
    </row>
    <row r="338" spans="3:125" ht="15.75" customHeight="1" x14ac:dyDescent="0.25">
      <c r="C338" s="8"/>
      <c r="BJ338" s="10"/>
      <c r="BX338" s="10"/>
      <c r="CE338" s="10"/>
      <c r="CL338" s="10"/>
      <c r="CS338" s="10"/>
      <c r="CZ338" s="10"/>
      <c r="DG338" s="10"/>
      <c r="DN338" s="10"/>
      <c r="DU338" s="10"/>
    </row>
    <row r="339" spans="3:125" ht="15.75" customHeight="1" x14ac:dyDescent="0.25">
      <c r="C339" s="8"/>
      <c r="BJ339" s="10"/>
      <c r="BX339" s="10"/>
      <c r="CE339" s="10"/>
      <c r="CL339" s="10"/>
      <c r="CS339" s="10"/>
      <c r="CZ339" s="10"/>
      <c r="DG339" s="10"/>
      <c r="DN339" s="10"/>
      <c r="DU339" s="10"/>
    </row>
    <row r="340" spans="3:125" ht="15.75" customHeight="1" x14ac:dyDescent="0.25">
      <c r="C340" s="8"/>
      <c r="BJ340" s="10"/>
      <c r="BX340" s="10"/>
      <c r="CE340" s="10"/>
      <c r="CL340" s="10"/>
      <c r="CS340" s="10"/>
      <c r="CZ340" s="10"/>
      <c r="DG340" s="10"/>
      <c r="DN340" s="10"/>
      <c r="DU340" s="10"/>
    </row>
    <row r="341" spans="3:125" ht="15.75" customHeight="1" x14ac:dyDescent="0.25">
      <c r="C341" s="8"/>
      <c r="BJ341" s="10"/>
      <c r="BX341" s="10"/>
      <c r="CE341" s="10"/>
      <c r="CL341" s="10"/>
      <c r="CS341" s="10"/>
      <c r="CZ341" s="10"/>
      <c r="DG341" s="10"/>
      <c r="DN341" s="10"/>
      <c r="DU341" s="10"/>
    </row>
    <row r="342" spans="3:125" ht="15.75" customHeight="1" x14ac:dyDescent="0.25">
      <c r="C342" s="8"/>
      <c r="BJ342" s="10"/>
      <c r="BX342" s="10"/>
      <c r="CE342" s="10"/>
      <c r="CL342" s="10"/>
      <c r="CS342" s="10"/>
      <c r="CZ342" s="10"/>
      <c r="DG342" s="10"/>
      <c r="DN342" s="10"/>
      <c r="DU342" s="10"/>
    </row>
    <row r="343" spans="3:125" ht="15.75" customHeight="1" x14ac:dyDescent="0.25">
      <c r="C343" s="8"/>
      <c r="BJ343" s="10"/>
      <c r="BX343" s="10"/>
      <c r="CE343" s="10"/>
      <c r="CL343" s="10"/>
      <c r="CS343" s="10"/>
      <c r="CZ343" s="10"/>
      <c r="DG343" s="10"/>
      <c r="DN343" s="10"/>
      <c r="DU343" s="10"/>
    </row>
    <row r="344" spans="3:125" ht="15.75" customHeight="1" x14ac:dyDescent="0.25">
      <c r="C344" s="8"/>
      <c r="BJ344" s="10"/>
      <c r="BX344" s="10"/>
      <c r="CE344" s="10"/>
      <c r="CL344" s="10"/>
      <c r="CS344" s="10"/>
      <c r="CZ344" s="10"/>
      <c r="DG344" s="10"/>
      <c r="DN344" s="10"/>
      <c r="DU344" s="10"/>
    </row>
    <row r="345" spans="3:125" ht="15.75" customHeight="1" x14ac:dyDescent="0.25">
      <c r="C345" s="8"/>
      <c r="BJ345" s="10"/>
      <c r="BX345" s="10"/>
      <c r="CE345" s="10"/>
      <c r="CL345" s="10"/>
      <c r="CS345" s="10"/>
      <c r="CZ345" s="10"/>
      <c r="DG345" s="10"/>
      <c r="DN345" s="10"/>
      <c r="DU345" s="10"/>
    </row>
    <row r="346" spans="3:125" ht="15.75" customHeight="1" x14ac:dyDescent="0.25">
      <c r="C346" s="8"/>
      <c r="BJ346" s="10"/>
      <c r="BX346" s="10"/>
      <c r="CE346" s="10"/>
      <c r="CL346" s="10"/>
      <c r="CS346" s="10"/>
      <c r="CZ346" s="10"/>
      <c r="DG346" s="10"/>
      <c r="DN346" s="10"/>
      <c r="DU346" s="10"/>
    </row>
    <row r="347" spans="3:125" ht="15.75" customHeight="1" x14ac:dyDescent="0.25">
      <c r="C347" s="8"/>
      <c r="BJ347" s="10"/>
      <c r="BX347" s="10"/>
      <c r="CE347" s="10"/>
      <c r="CL347" s="10"/>
      <c r="CS347" s="10"/>
      <c r="CZ347" s="10"/>
      <c r="DG347" s="10"/>
      <c r="DN347" s="10"/>
      <c r="DU347" s="10"/>
    </row>
    <row r="348" spans="3:125" ht="15.75" customHeight="1" x14ac:dyDescent="0.25">
      <c r="C348" s="8"/>
      <c r="BJ348" s="10"/>
      <c r="BX348" s="10"/>
      <c r="CE348" s="10"/>
      <c r="CL348" s="10"/>
      <c r="CS348" s="10"/>
      <c r="CZ348" s="10"/>
      <c r="DG348" s="10"/>
      <c r="DN348" s="10"/>
      <c r="DU348" s="10"/>
    </row>
    <row r="349" spans="3:125" ht="15.75" customHeight="1" x14ac:dyDescent="0.25">
      <c r="C349" s="8"/>
      <c r="BJ349" s="10"/>
      <c r="BX349" s="10"/>
      <c r="CE349" s="10"/>
      <c r="CL349" s="10"/>
      <c r="CS349" s="10"/>
      <c r="CZ349" s="10"/>
      <c r="DG349" s="10"/>
      <c r="DN349" s="10"/>
      <c r="DU349" s="10"/>
    </row>
    <row r="350" spans="3:125" ht="15.75" customHeight="1" x14ac:dyDescent="0.25">
      <c r="C350" s="8"/>
      <c r="BJ350" s="10"/>
      <c r="BX350" s="10"/>
      <c r="CE350" s="10"/>
      <c r="CL350" s="10"/>
      <c r="CS350" s="10"/>
      <c r="CZ350" s="10"/>
      <c r="DG350" s="10"/>
      <c r="DN350" s="10"/>
      <c r="DU350" s="10"/>
    </row>
    <row r="351" spans="3:125" ht="15.75" customHeight="1" x14ac:dyDescent="0.25">
      <c r="C351" s="8"/>
      <c r="BJ351" s="10"/>
      <c r="BX351" s="10"/>
      <c r="CE351" s="10"/>
      <c r="CL351" s="10"/>
      <c r="CS351" s="10"/>
      <c r="CZ351" s="10"/>
      <c r="DG351" s="10"/>
      <c r="DN351" s="10"/>
      <c r="DU351" s="10"/>
    </row>
    <row r="352" spans="3:125" ht="15.75" customHeight="1" x14ac:dyDescent="0.25">
      <c r="C352" s="8"/>
      <c r="BJ352" s="10"/>
      <c r="BX352" s="10"/>
      <c r="CE352" s="10"/>
      <c r="CL352" s="10"/>
      <c r="CS352" s="10"/>
      <c r="CZ352" s="10"/>
      <c r="DG352" s="10"/>
      <c r="DN352" s="10"/>
      <c r="DU352" s="10"/>
    </row>
    <row r="353" spans="3:125" ht="15.75" customHeight="1" x14ac:dyDescent="0.25">
      <c r="C353" s="8"/>
      <c r="BJ353" s="10"/>
      <c r="BX353" s="10"/>
      <c r="CE353" s="10"/>
      <c r="CL353" s="10"/>
      <c r="CS353" s="10"/>
      <c r="CZ353" s="10"/>
      <c r="DG353" s="10"/>
      <c r="DN353" s="10"/>
      <c r="DU353" s="10"/>
    </row>
    <row r="354" spans="3:125" ht="15.75" customHeight="1" x14ac:dyDescent="0.25">
      <c r="C354" s="8"/>
      <c r="BJ354" s="10"/>
      <c r="BX354" s="10"/>
      <c r="CE354" s="10"/>
      <c r="CL354" s="10"/>
      <c r="CS354" s="10"/>
      <c r="CZ354" s="10"/>
      <c r="DG354" s="10"/>
      <c r="DN354" s="10"/>
      <c r="DU354" s="10"/>
    </row>
    <row r="355" spans="3:125" ht="15.75" customHeight="1" x14ac:dyDescent="0.25">
      <c r="C355" s="8"/>
      <c r="BJ355" s="10"/>
      <c r="BX355" s="10"/>
      <c r="CE355" s="10"/>
      <c r="CL355" s="10"/>
      <c r="CS355" s="10"/>
      <c r="CZ355" s="10"/>
      <c r="DG355" s="10"/>
      <c r="DN355" s="10"/>
      <c r="DU355" s="10"/>
    </row>
    <row r="356" spans="3:125" ht="15.75" customHeight="1" x14ac:dyDescent="0.25">
      <c r="C356" s="8"/>
      <c r="BJ356" s="10"/>
      <c r="BX356" s="10"/>
      <c r="CE356" s="10"/>
      <c r="CL356" s="10"/>
      <c r="CS356" s="10"/>
      <c r="CZ356" s="10"/>
      <c r="DG356" s="10"/>
      <c r="DN356" s="10"/>
      <c r="DU356" s="10"/>
    </row>
    <row r="357" spans="3:125" ht="15.75" customHeight="1" x14ac:dyDescent="0.25">
      <c r="C357" s="8"/>
      <c r="BJ357" s="10"/>
      <c r="BX357" s="10"/>
      <c r="CE357" s="10"/>
      <c r="CL357" s="10"/>
      <c r="CS357" s="10"/>
      <c r="CZ357" s="10"/>
      <c r="DG357" s="10"/>
      <c r="DN357" s="10"/>
      <c r="DU357" s="10"/>
    </row>
    <row r="358" spans="3:125" ht="15.75" customHeight="1" x14ac:dyDescent="0.25">
      <c r="C358" s="8"/>
      <c r="BJ358" s="10"/>
      <c r="BX358" s="10"/>
      <c r="CE358" s="10"/>
      <c r="CL358" s="10"/>
      <c r="CS358" s="10"/>
      <c r="CZ358" s="10"/>
      <c r="DG358" s="10"/>
      <c r="DN358" s="10"/>
      <c r="DU358" s="10"/>
    </row>
    <row r="359" spans="3:125" ht="15.75" customHeight="1" x14ac:dyDescent="0.25">
      <c r="C359" s="8"/>
      <c r="BJ359" s="10"/>
      <c r="BX359" s="10"/>
      <c r="CE359" s="10"/>
      <c r="CL359" s="10"/>
      <c r="CS359" s="10"/>
      <c r="CZ359" s="10"/>
      <c r="DG359" s="10"/>
      <c r="DN359" s="10"/>
      <c r="DU359" s="10"/>
    </row>
    <row r="360" spans="3:125" ht="15.75" customHeight="1" x14ac:dyDescent="0.25">
      <c r="C360" s="8"/>
      <c r="BJ360" s="10"/>
      <c r="BX360" s="10"/>
      <c r="CE360" s="10"/>
      <c r="CL360" s="10"/>
      <c r="CS360" s="10"/>
      <c r="CZ360" s="10"/>
      <c r="DG360" s="10"/>
      <c r="DN360" s="10"/>
      <c r="DU360" s="10"/>
    </row>
    <row r="361" spans="3:125" ht="15.75" customHeight="1" x14ac:dyDescent="0.25">
      <c r="C361" s="8"/>
      <c r="BJ361" s="10"/>
      <c r="BX361" s="10"/>
      <c r="CE361" s="10"/>
      <c r="CL361" s="10"/>
      <c r="CS361" s="10"/>
      <c r="CZ361" s="10"/>
      <c r="DG361" s="10"/>
      <c r="DN361" s="10"/>
      <c r="DU361" s="10"/>
    </row>
    <row r="362" spans="3:125" ht="15.75" customHeight="1" x14ac:dyDescent="0.25">
      <c r="C362" s="8"/>
      <c r="BJ362" s="10"/>
      <c r="BX362" s="10"/>
      <c r="CE362" s="10"/>
      <c r="CL362" s="10"/>
      <c r="CS362" s="10"/>
      <c r="CZ362" s="10"/>
      <c r="DG362" s="10"/>
      <c r="DN362" s="10"/>
      <c r="DU362" s="10"/>
    </row>
    <row r="363" spans="3:125" ht="15.75" customHeight="1" x14ac:dyDescent="0.25">
      <c r="C363" s="8"/>
      <c r="BJ363" s="10"/>
      <c r="BX363" s="10"/>
      <c r="CE363" s="10"/>
      <c r="CL363" s="10"/>
      <c r="CS363" s="10"/>
      <c r="CZ363" s="10"/>
      <c r="DG363" s="10"/>
      <c r="DN363" s="10"/>
      <c r="DU363" s="10"/>
    </row>
    <row r="364" spans="3:125" ht="15.75" customHeight="1" x14ac:dyDescent="0.25">
      <c r="C364" s="8"/>
      <c r="BJ364" s="10"/>
      <c r="BX364" s="10"/>
      <c r="CE364" s="10"/>
      <c r="CL364" s="10"/>
      <c r="CS364" s="10"/>
      <c r="CZ364" s="10"/>
      <c r="DG364" s="10"/>
      <c r="DN364" s="10"/>
      <c r="DU364" s="10"/>
    </row>
    <row r="365" spans="3:125" ht="15.75" customHeight="1" x14ac:dyDescent="0.25">
      <c r="C365" s="8"/>
      <c r="BJ365" s="10"/>
      <c r="BX365" s="10"/>
      <c r="CE365" s="10"/>
      <c r="CL365" s="10"/>
      <c r="CS365" s="10"/>
      <c r="CZ365" s="10"/>
      <c r="DG365" s="10"/>
      <c r="DN365" s="10"/>
      <c r="DU365" s="10"/>
    </row>
    <row r="366" spans="3:125" ht="15.75" customHeight="1" x14ac:dyDescent="0.25">
      <c r="C366" s="8"/>
      <c r="BJ366" s="10"/>
      <c r="BX366" s="10"/>
      <c r="CE366" s="10"/>
      <c r="CL366" s="10"/>
      <c r="CS366" s="10"/>
      <c r="CZ366" s="10"/>
      <c r="DG366" s="10"/>
      <c r="DN366" s="10"/>
      <c r="DU366" s="10"/>
    </row>
    <row r="367" spans="3:125" ht="15.75" customHeight="1" x14ac:dyDescent="0.25">
      <c r="C367" s="8"/>
      <c r="BJ367" s="10"/>
      <c r="BX367" s="10"/>
      <c r="CE367" s="10"/>
      <c r="CL367" s="10"/>
      <c r="CS367" s="10"/>
      <c r="CZ367" s="10"/>
      <c r="DG367" s="10"/>
      <c r="DN367" s="10"/>
      <c r="DU367" s="10"/>
    </row>
    <row r="368" spans="3:125" ht="15.75" customHeight="1" x14ac:dyDescent="0.25">
      <c r="C368" s="8"/>
      <c r="BJ368" s="10"/>
      <c r="BX368" s="10"/>
      <c r="CE368" s="10"/>
      <c r="CL368" s="10"/>
      <c r="CS368" s="10"/>
      <c r="CZ368" s="10"/>
      <c r="DG368" s="10"/>
      <c r="DN368" s="10"/>
      <c r="DU368" s="10"/>
    </row>
    <row r="369" spans="3:125" ht="15.75" customHeight="1" x14ac:dyDescent="0.25">
      <c r="C369" s="8"/>
      <c r="BJ369" s="10"/>
      <c r="BX369" s="10"/>
      <c r="CE369" s="10"/>
      <c r="CL369" s="10"/>
      <c r="CS369" s="10"/>
      <c r="CZ369" s="10"/>
      <c r="DG369" s="10"/>
      <c r="DN369" s="10"/>
      <c r="DU369" s="10"/>
    </row>
    <row r="370" spans="3:125" ht="15.75" customHeight="1" x14ac:dyDescent="0.25">
      <c r="C370" s="8"/>
      <c r="BJ370" s="10"/>
      <c r="BX370" s="10"/>
      <c r="CE370" s="10"/>
      <c r="CL370" s="10"/>
      <c r="CS370" s="10"/>
      <c r="CZ370" s="10"/>
      <c r="DG370" s="10"/>
      <c r="DN370" s="10"/>
      <c r="DU370" s="10"/>
    </row>
    <row r="371" spans="3:125" ht="15.75" customHeight="1" x14ac:dyDescent="0.25">
      <c r="C371" s="8"/>
      <c r="BJ371" s="10"/>
      <c r="BX371" s="10"/>
      <c r="CE371" s="10"/>
      <c r="CL371" s="10"/>
      <c r="CS371" s="10"/>
      <c r="CZ371" s="10"/>
      <c r="DG371" s="10"/>
      <c r="DN371" s="10"/>
      <c r="DU371" s="10"/>
    </row>
    <row r="372" spans="3:125" ht="15.75" customHeight="1" x14ac:dyDescent="0.25">
      <c r="C372" s="8"/>
      <c r="BJ372" s="10"/>
      <c r="BX372" s="10"/>
      <c r="CE372" s="10"/>
      <c r="CL372" s="10"/>
      <c r="CS372" s="10"/>
      <c r="CZ372" s="10"/>
      <c r="DG372" s="10"/>
      <c r="DN372" s="10"/>
      <c r="DU372" s="10"/>
    </row>
    <row r="373" spans="3:125" ht="15.75" customHeight="1" x14ac:dyDescent="0.25">
      <c r="C373" s="8"/>
      <c r="BJ373" s="10"/>
      <c r="BX373" s="10"/>
      <c r="CE373" s="10"/>
      <c r="CL373" s="10"/>
      <c r="CS373" s="10"/>
      <c r="CZ373" s="10"/>
      <c r="DG373" s="10"/>
      <c r="DN373" s="10"/>
      <c r="DU373" s="10"/>
    </row>
    <row r="374" spans="3:125" ht="15.75" customHeight="1" x14ac:dyDescent="0.25">
      <c r="C374" s="8"/>
      <c r="BJ374" s="10"/>
      <c r="BX374" s="10"/>
      <c r="CE374" s="10"/>
      <c r="CL374" s="10"/>
      <c r="CS374" s="10"/>
      <c r="CZ374" s="10"/>
      <c r="DG374" s="10"/>
      <c r="DN374" s="10"/>
      <c r="DU374" s="10"/>
    </row>
    <row r="375" spans="3:125" ht="15.75" customHeight="1" x14ac:dyDescent="0.25">
      <c r="C375" s="8"/>
      <c r="BJ375" s="10"/>
      <c r="BX375" s="10"/>
      <c r="CE375" s="10"/>
      <c r="CL375" s="10"/>
      <c r="CS375" s="10"/>
      <c r="CZ375" s="10"/>
      <c r="DG375" s="10"/>
      <c r="DN375" s="10"/>
      <c r="DU375" s="10"/>
    </row>
    <row r="376" spans="3:125" ht="15.75" customHeight="1" x14ac:dyDescent="0.25">
      <c r="C376" s="8"/>
      <c r="BJ376" s="10"/>
      <c r="BX376" s="10"/>
      <c r="CE376" s="10"/>
      <c r="CL376" s="10"/>
      <c r="CS376" s="10"/>
      <c r="CZ376" s="10"/>
      <c r="DG376" s="10"/>
      <c r="DN376" s="10"/>
      <c r="DU376" s="10"/>
    </row>
    <row r="377" spans="3:125" ht="15.75" customHeight="1" x14ac:dyDescent="0.25">
      <c r="C377" s="8"/>
      <c r="BJ377" s="10"/>
      <c r="BX377" s="10"/>
      <c r="CE377" s="10"/>
      <c r="CL377" s="10"/>
      <c r="CS377" s="10"/>
      <c r="CZ377" s="10"/>
      <c r="DG377" s="10"/>
      <c r="DN377" s="10"/>
      <c r="DU377" s="10"/>
    </row>
    <row r="378" spans="3:125" ht="15.75" customHeight="1" x14ac:dyDescent="0.25">
      <c r="C378" s="8"/>
      <c r="BJ378" s="10"/>
      <c r="BX378" s="10"/>
      <c r="CE378" s="10"/>
      <c r="CL378" s="10"/>
      <c r="CS378" s="10"/>
      <c r="CZ378" s="10"/>
      <c r="DG378" s="10"/>
      <c r="DN378" s="10"/>
      <c r="DU378" s="10"/>
    </row>
    <row r="379" spans="3:125" ht="15.75" customHeight="1" x14ac:dyDescent="0.25">
      <c r="C379" s="8"/>
      <c r="BJ379" s="10"/>
      <c r="BX379" s="10"/>
      <c r="CE379" s="10"/>
      <c r="CL379" s="10"/>
      <c r="CS379" s="10"/>
      <c r="CZ379" s="10"/>
      <c r="DG379" s="10"/>
      <c r="DN379" s="10"/>
      <c r="DU379" s="10"/>
    </row>
    <row r="380" spans="3:125" ht="15.75" customHeight="1" x14ac:dyDescent="0.25">
      <c r="C380" s="8"/>
      <c r="BJ380" s="10"/>
      <c r="BX380" s="10"/>
      <c r="CE380" s="10"/>
      <c r="CL380" s="10"/>
      <c r="CS380" s="10"/>
      <c r="CZ380" s="10"/>
      <c r="DG380" s="10"/>
      <c r="DN380" s="10"/>
      <c r="DU380" s="10"/>
    </row>
    <row r="381" spans="3:125" ht="15.75" customHeight="1" x14ac:dyDescent="0.25">
      <c r="C381" s="8"/>
      <c r="BJ381" s="10"/>
      <c r="BX381" s="10"/>
      <c r="CE381" s="10"/>
      <c r="CL381" s="10"/>
      <c r="CS381" s="10"/>
      <c r="CZ381" s="10"/>
      <c r="DG381" s="10"/>
      <c r="DN381" s="10"/>
      <c r="DU381" s="10"/>
    </row>
    <row r="382" spans="3:125" ht="15.75" customHeight="1" x14ac:dyDescent="0.25">
      <c r="C382" s="8"/>
      <c r="BJ382" s="10"/>
      <c r="BX382" s="10"/>
      <c r="CE382" s="10"/>
      <c r="CL382" s="10"/>
      <c r="CS382" s="10"/>
      <c r="CZ382" s="10"/>
      <c r="DG382" s="10"/>
      <c r="DN382" s="10"/>
      <c r="DU382" s="10"/>
    </row>
    <row r="383" spans="3:125" ht="15.75" customHeight="1" x14ac:dyDescent="0.25">
      <c r="C383" s="8"/>
      <c r="BJ383" s="10"/>
      <c r="BX383" s="10"/>
      <c r="CE383" s="10"/>
      <c r="CL383" s="10"/>
      <c r="CS383" s="10"/>
      <c r="CZ383" s="10"/>
      <c r="DG383" s="10"/>
      <c r="DN383" s="10"/>
      <c r="DU383" s="10"/>
    </row>
    <row r="384" spans="3:125" ht="15.75" customHeight="1" x14ac:dyDescent="0.25">
      <c r="C384" s="8"/>
      <c r="BJ384" s="10"/>
      <c r="BX384" s="10"/>
      <c r="CE384" s="10"/>
      <c r="CL384" s="10"/>
      <c r="CS384" s="10"/>
      <c r="CZ384" s="10"/>
      <c r="DG384" s="10"/>
      <c r="DN384" s="10"/>
      <c r="DU384" s="10"/>
    </row>
    <row r="385" spans="3:125" ht="15.75" customHeight="1" x14ac:dyDescent="0.25">
      <c r="C385" s="8"/>
      <c r="BJ385" s="10"/>
      <c r="BX385" s="10"/>
      <c r="CE385" s="10"/>
      <c r="CL385" s="10"/>
      <c r="CS385" s="10"/>
      <c r="CZ385" s="10"/>
      <c r="DG385" s="10"/>
      <c r="DN385" s="10"/>
      <c r="DU385" s="10"/>
    </row>
    <row r="386" spans="3:125" ht="15.75" customHeight="1" x14ac:dyDescent="0.25">
      <c r="C386" s="8"/>
      <c r="BJ386" s="10"/>
      <c r="BX386" s="10"/>
      <c r="CE386" s="10"/>
      <c r="CL386" s="10"/>
      <c r="CS386" s="10"/>
      <c r="CZ386" s="10"/>
      <c r="DG386" s="10"/>
      <c r="DN386" s="10"/>
      <c r="DU386" s="10"/>
    </row>
    <row r="387" spans="3:125" ht="15.75" customHeight="1" x14ac:dyDescent="0.25">
      <c r="C387" s="8"/>
      <c r="BJ387" s="10"/>
      <c r="BX387" s="10"/>
      <c r="CE387" s="10"/>
      <c r="CL387" s="10"/>
      <c r="CS387" s="10"/>
      <c r="CZ387" s="10"/>
      <c r="DG387" s="10"/>
      <c r="DN387" s="10"/>
      <c r="DU387" s="10"/>
    </row>
    <row r="388" spans="3:125" ht="15.75" customHeight="1" x14ac:dyDescent="0.25">
      <c r="C388" s="8"/>
      <c r="BJ388" s="10"/>
      <c r="BX388" s="10"/>
      <c r="CE388" s="10"/>
      <c r="CL388" s="10"/>
      <c r="CS388" s="10"/>
      <c r="CZ388" s="10"/>
      <c r="DG388" s="10"/>
      <c r="DN388" s="10"/>
      <c r="DU388" s="10"/>
    </row>
    <row r="389" spans="3:125" ht="15.75" customHeight="1" x14ac:dyDescent="0.25">
      <c r="C389" s="8"/>
      <c r="BJ389" s="10"/>
      <c r="BX389" s="10"/>
      <c r="CE389" s="10"/>
      <c r="CL389" s="10"/>
      <c r="CS389" s="10"/>
      <c r="CZ389" s="10"/>
      <c r="DG389" s="10"/>
      <c r="DN389" s="10"/>
      <c r="DU389" s="10"/>
    </row>
    <row r="390" spans="3:125" ht="15.75" customHeight="1" x14ac:dyDescent="0.25">
      <c r="C390" s="8"/>
      <c r="BJ390" s="10"/>
      <c r="BX390" s="10"/>
      <c r="CE390" s="10"/>
      <c r="CL390" s="10"/>
      <c r="CS390" s="10"/>
      <c r="CZ390" s="10"/>
      <c r="DG390" s="10"/>
      <c r="DN390" s="10"/>
      <c r="DU390" s="10"/>
    </row>
    <row r="391" spans="3:125" ht="15.75" customHeight="1" x14ac:dyDescent="0.25">
      <c r="C391" s="8"/>
      <c r="BJ391" s="10"/>
      <c r="BX391" s="10"/>
      <c r="CE391" s="10"/>
      <c r="CL391" s="10"/>
      <c r="CS391" s="10"/>
      <c r="CZ391" s="10"/>
      <c r="DG391" s="10"/>
      <c r="DN391" s="10"/>
      <c r="DU391" s="10"/>
    </row>
    <row r="392" spans="3:125" ht="15.75" customHeight="1" x14ac:dyDescent="0.25">
      <c r="C392" s="8"/>
      <c r="BJ392" s="10"/>
      <c r="BX392" s="10"/>
      <c r="CE392" s="10"/>
      <c r="CL392" s="10"/>
      <c r="CS392" s="10"/>
      <c r="CZ392" s="10"/>
      <c r="DG392" s="10"/>
      <c r="DN392" s="10"/>
      <c r="DU392" s="10"/>
    </row>
    <row r="393" spans="3:125" ht="15.75" customHeight="1" x14ac:dyDescent="0.25">
      <c r="C393" s="8"/>
      <c r="BJ393" s="10"/>
      <c r="BX393" s="10"/>
      <c r="CE393" s="10"/>
      <c r="CL393" s="10"/>
      <c r="CS393" s="10"/>
      <c r="CZ393" s="10"/>
      <c r="DG393" s="10"/>
      <c r="DN393" s="10"/>
      <c r="DU393" s="10"/>
    </row>
    <row r="394" spans="3:125" ht="15.75" customHeight="1" x14ac:dyDescent="0.25">
      <c r="C394" s="8"/>
      <c r="BJ394" s="10"/>
      <c r="BX394" s="10"/>
      <c r="CE394" s="10"/>
      <c r="CL394" s="10"/>
      <c r="CS394" s="10"/>
      <c r="CZ394" s="10"/>
      <c r="DG394" s="10"/>
      <c r="DN394" s="10"/>
      <c r="DU394" s="10"/>
    </row>
    <row r="395" spans="3:125" ht="15.75" customHeight="1" x14ac:dyDescent="0.25">
      <c r="C395" s="8"/>
      <c r="BJ395" s="10"/>
      <c r="BX395" s="10"/>
      <c r="CE395" s="10"/>
      <c r="CL395" s="10"/>
      <c r="CS395" s="10"/>
      <c r="CZ395" s="10"/>
      <c r="DG395" s="10"/>
      <c r="DN395" s="10"/>
      <c r="DU395" s="10"/>
    </row>
    <row r="396" spans="3:125" ht="15.75" customHeight="1" x14ac:dyDescent="0.25">
      <c r="C396" s="8"/>
      <c r="BJ396" s="10"/>
      <c r="BX396" s="10"/>
      <c r="CE396" s="10"/>
      <c r="CL396" s="10"/>
      <c r="CS396" s="10"/>
      <c r="CZ396" s="10"/>
      <c r="DG396" s="10"/>
      <c r="DN396" s="10"/>
      <c r="DU396" s="10"/>
    </row>
    <row r="397" spans="3:125" ht="15.75" customHeight="1" x14ac:dyDescent="0.25">
      <c r="C397" s="8"/>
      <c r="BJ397" s="10"/>
      <c r="BX397" s="10"/>
      <c r="CE397" s="10"/>
      <c r="CL397" s="10"/>
      <c r="CS397" s="10"/>
      <c r="CZ397" s="10"/>
      <c r="DG397" s="10"/>
      <c r="DN397" s="10"/>
      <c r="DU397" s="10"/>
    </row>
    <row r="398" spans="3:125" ht="15.75" customHeight="1" x14ac:dyDescent="0.25">
      <c r="C398" s="8"/>
      <c r="BJ398" s="10"/>
      <c r="BX398" s="10"/>
      <c r="CE398" s="10"/>
      <c r="CL398" s="10"/>
      <c r="CS398" s="10"/>
      <c r="CZ398" s="10"/>
      <c r="DG398" s="10"/>
      <c r="DN398" s="10"/>
      <c r="DU398" s="10"/>
    </row>
    <row r="399" spans="3:125" ht="15.75" customHeight="1" x14ac:dyDescent="0.25">
      <c r="C399" s="8"/>
      <c r="BJ399" s="10"/>
      <c r="BX399" s="10"/>
      <c r="CE399" s="10"/>
      <c r="CL399" s="10"/>
      <c r="CS399" s="10"/>
      <c r="CZ399" s="10"/>
      <c r="DG399" s="10"/>
      <c r="DN399" s="10"/>
      <c r="DU399" s="10"/>
    </row>
    <row r="400" spans="3:125" ht="15.75" customHeight="1" x14ac:dyDescent="0.25">
      <c r="C400" s="8"/>
      <c r="BJ400" s="10"/>
      <c r="BX400" s="10"/>
      <c r="CE400" s="10"/>
      <c r="CL400" s="10"/>
      <c r="CS400" s="10"/>
      <c r="CZ400" s="10"/>
      <c r="DG400" s="10"/>
      <c r="DN400" s="10"/>
      <c r="DU400" s="10"/>
    </row>
    <row r="401" spans="3:125" ht="15.75" customHeight="1" x14ac:dyDescent="0.25">
      <c r="C401" s="8"/>
      <c r="BJ401" s="10"/>
      <c r="BX401" s="10"/>
      <c r="CE401" s="10"/>
      <c r="CL401" s="10"/>
      <c r="CS401" s="10"/>
      <c r="CZ401" s="10"/>
      <c r="DG401" s="10"/>
      <c r="DN401" s="10"/>
      <c r="DU401" s="10"/>
    </row>
    <row r="402" spans="3:125" ht="15.75" customHeight="1" x14ac:dyDescent="0.25">
      <c r="C402" s="8"/>
      <c r="BJ402" s="10"/>
      <c r="BX402" s="10"/>
      <c r="CE402" s="10"/>
      <c r="CL402" s="10"/>
      <c r="CS402" s="10"/>
      <c r="CZ402" s="10"/>
      <c r="DG402" s="10"/>
      <c r="DN402" s="10"/>
      <c r="DU402" s="10"/>
    </row>
    <row r="403" spans="3:125" ht="15.75" customHeight="1" x14ac:dyDescent="0.25">
      <c r="C403" s="8"/>
      <c r="BJ403" s="10"/>
      <c r="BX403" s="10"/>
      <c r="CE403" s="10"/>
      <c r="CL403" s="10"/>
      <c r="CS403" s="10"/>
      <c r="CZ403" s="10"/>
      <c r="DG403" s="10"/>
      <c r="DN403" s="10"/>
      <c r="DU403" s="10"/>
    </row>
    <row r="404" spans="3:125" ht="15.75" customHeight="1" x14ac:dyDescent="0.25">
      <c r="C404" s="8"/>
      <c r="BJ404" s="10"/>
      <c r="BX404" s="10"/>
      <c r="CE404" s="10"/>
      <c r="CL404" s="10"/>
      <c r="CS404" s="10"/>
      <c r="CZ404" s="10"/>
      <c r="DG404" s="10"/>
      <c r="DN404" s="10"/>
      <c r="DU404" s="10"/>
    </row>
    <row r="405" spans="3:125" ht="15.75" customHeight="1" x14ac:dyDescent="0.25">
      <c r="C405" s="8"/>
      <c r="BJ405" s="10"/>
      <c r="BX405" s="10"/>
      <c r="CE405" s="10"/>
      <c r="CL405" s="10"/>
      <c r="CS405" s="10"/>
      <c r="CZ405" s="10"/>
      <c r="DG405" s="10"/>
      <c r="DN405" s="10"/>
      <c r="DU405" s="10"/>
    </row>
    <row r="406" spans="3:125" ht="15.75" customHeight="1" x14ac:dyDescent="0.25">
      <c r="C406" s="8"/>
      <c r="BJ406" s="10"/>
      <c r="BX406" s="10"/>
      <c r="CE406" s="10"/>
      <c r="CL406" s="10"/>
      <c r="CS406" s="10"/>
      <c r="CZ406" s="10"/>
      <c r="DG406" s="10"/>
      <c r="DN406" s="10"/>
      <c r="DU406" s="10"/>
    </row>
    <row r="407" spans="3:125" ht="15.75" customHeight="1" x14ac:dyDescent="0.25">
      <c r="C407" s="8"/>
      <c r="BJ407" s="10"/>
      <c r="BX407" s="10"/>
      <c r="CE407" s="10"/>
      <c r="CL407" s="10"/>
      <c r="CS407" s="10"/>
      <c r="CZ407" s="10"/>
      <c r="DG407" s="10"/>
      <c r="DN407" s="10"/>
      <c r="DU407" s="10"/>
    </row>
    <row r="408" spans="3:125" ht="15.75" customHeight="1" x14ac:dyDescent="0.25">
      <c r="C408" s="8"/>
      <c r="BJ408" s="10"/>
      <c r="BX408" s="10"/>
      <c r="CE408" s="10"/>
      <c r="CL408" s="10"/>
      <c r="CS408" s="10"/>
      <c r="CZ408" s="10"/>
      <c r="DG408" s="10"/>
      <c r="DN408" s="10"/>
      <c r="DU408" s="10"/>
    </row>
    <row r="409" spans="3:125" ht="15.75" customHeight="1" x14ac:dyDescent="0.25">
      <c r="C409" s="8"/>
      <c r="BJ409" s="10"/>
      <c r="BX409" s="10"/>
      <c r="CE409" s="10"/>
      <c r="CL409" s="10"/>
      <c r="CS409" s="10"/>
      <c r="CZ409" s="10"/>
      <c r="DG409" s="10"/>
      <c r="DN409" s="10"/>
      <c r="DU409" s="10"/>
    </row>
    <row r="410" spans="3:125" ht="15.75" customHeight="1" x14ac:dyDescent="0.25">
      <c r="C410" s="8"/>
      <c r="BJ410" s="10"/>
      <c r="BX410" s="10"/>
      <c r="CE410" s="10"/>
      <c r="CL410" s="10"/>
      <c r="CS410" s="10"/>
      <c r="CZ410" s="10"/>
      <c r="DG410" s="10"/>
      <c r="DN410" s="10"/>
      <c r="DU410" s="10"/>
    </row>
    <row r="411" spans="3:125" ht="15.75" customHeight="1" x14ac:dyDescent="0.25">
      <c r="C411" s="8"/>
      <c r="BJ411" s="10"/>
      <c r="BX411" s="10"/>
      <c r="CE411" s="10"/>
      <c r="CL411" s="10"/>
      <c r="CS411" s="10"/>
      <c r="CZ411" s="10"/>
      <c r="DG411" s="10"/>
      <c r="DN411" s="10"/>
      <c r="DU411" s="10"/>
    </row>
    <row r="412" spans="3:125" ht="15.75" customHeight="1" x14ac:dyDescent="0.25">
      <c r="C412" s="8"/>
      <c r="BJ412" s="10"/>
      <c r="BX412" s="10"/>
      <c r="CE412" s="10"/>
      <c r="CL412" s="10"/>
      <c r="CS412" s="10"/>
      <c r="CZ412" s="10"/>
      <c r="DG412" s="10"/>
      <c r="DN412" s="10"/>
      <c r="DU412" s="10"/>
    </row>
    <row r="413" spans="3:125" ht="15.75" customHeight="1" x14ac:dyDescent="0.25">
      <c r="C413" s="8"/>
      <c r="BJ413" s="10"/>
      <c r="BX413" s="10"/>
      <c r="CE413" s="10"/>
      <c r="CL413" s="10"/>
      <c r="CS413" s="10"/>
      <c r="CZ413" s="10"/>
      <c r="DG413" s="10"/>
      <c r="DN413" s="10"/>
      <c r="DU413" s="10"/>
    </row>
    <row r="414" spans="3:125" ht="15.75" customHeight="1" x14ac:dyDescent="0.25">
      <c r="C414" s="8"/>
      <c r="BJ414" s="10"/>
      <c r="BX414" s="10"/>
      <c r="CE414" s="10"/>
      <c r="CL414" s="10"/>
      <c r="CS414" s="10"/>
      <c r="CZ414" s="10"/>
      <c r="DG414" s="10"/>
      <c r="DN414" s="10"/>
      <c r="DU414" s="10"/>
    </row>
    <row r="415" spans="3:125" ht="15.75" customHeight="1" x14ac:dyDescent="0.25">
      <c r="C415" s="8"/>
      <c r="BJ415" s="10"/>
      <c r="BX415" s="10"/>
      <c r="CE415" s="10"/>
      <c r="CL415" s="10"/>
      <c r="CS415" s="10"/>
      <c r="CZ415" s="10"/>
      <c r="DG415" s="10"/>
      <c r="DN415" s="10"/>
      <c r="DU415" s="10"/>
    </row>
    <row r="416" spans="3:125" ht="15.75" customHeight="1" x14ac:dyDescent="0.25">
      <c r="C416" s="8"/>
      <c r="BJ416" s="10"/>
      <c r="BX416" s="10"/>
      <c r="CE416" s="10"/>
      <c r="CL416" s="10"/>
      <c r="CS416" s="10"/>
      <c r="CZ416" s="10"/>
      <c r="DG416" s="10"/>
      <c r="DN416" s="10"/>
      <c r="DU416" s="10"/>
    </row>
    <row r="417" spans="3:125" ht="15.75" customHeight="1" x14ac:dyDescent="0.25">
      <c r="C417" s="8"/>
      <c r="BJ417" s="10"/>
      <c r="BX417" s="10"/>
      <c r="CE417" s="10"/>
      <c r="CL417" s="10"/>
      <c r="CS417" s="10"/>
      <c r="CZ417" s="10"/>
      <c r="DG417" s="10"/>
      <c r="DN417" s="10"/>
      <c r="DU417" s="10"/>
    </row>
    <row r="418" spans="3:125" ht="15.75" customHeight="1" x14ac:dyDescent="0.25">
      <c r="C418" s="8"/>
      <c r="BJ418" s="10"/>
      <c r="BX418" s="10"/>
      <c r="CE418" s="10"/>
      <c r="CL418" s="10"/>
      <c r="CS418" s="10"/>
      <c r="CZ418" s="10"/>
      <c r="DG418" s="10"/>
      <c r="DN418" s="10"/>
      <c r="DU418" s="10"/>
    </row>
    <row r="419" spans="3:125" ht="15.75" customHeight="1" x14ac:dyDescent="0.25">
      <c r="C419" s="8"/>
      <c r="BJ419" s="10"/>
      <c r="BX419" s="10"/>
      <c r="CE419" s="10"/>
      <c r="CL419" s="10"/>
      <c r="CS419" s="10"/>
      <c r="CZ419" s="10"/>
      <c r="DG419" s="10"/>
      <c r="DN419" s="10"/>
      <c r="DU419" s="10"/>
    </row>
    <row r="420" spans="3:125" ht="15.75" customHeight="1" x14ac:dyDescent="0.25">
      <c r="C420" s="8"/>
      <c r="BJ420" s="10"/>
      <c r="BX420" s="10"/>
      <c r="CE420" s="10"/>
      <c r="CL420" s="10"/>
      <c r="CS420" s="10"/>
      <c r="CZ420" s="10"/>
      <c r="DG420" s="10"/>
      <c r="DN420" s="10"/>
      <c r="DU420" s="10"/>
    </row>
    <row r="421" spans="3:125" ht="15.75" customHeight="1" x14ac:dyDescent="0.25">
      <c r="C421" s="8"/>
      <c r="BJ421" s="10"/>
      <c r="BX421" s="10"/>
      <c r="CE421" s="10"/>
      <c r="CL421" s="10"/>
      <c r="CS421" s="10"/>
      <c r="CZ421" s="10"/>
      <c r="DG421" s="10"/>
      <c r="DN421" s="10"/>
      <c r="DU421" s="10"/>
    </row>
    <row r="422" spans="3:125" ht="15.75" customHeight="1" x14ac:dyDescent="0.25">
      <c r="C422" s="8"/>
      <c r="BJ422" s="10"/>
      <c r="BX422" s="10"/>
      <c r="CE422" s="10"/>
      <c r="CL422" s="10"/>
      <c r="CS422" s="10"/>
      <c r="CZ422" s="10"/>
      <c r="DG422" s="10"/>
      <c r="DN422" s="10"/>
      <c r="DU422" s="10"/>
    </row>
    <row r="423" spans="3:125" ht="15.75" customHeight="1" x14ac:dyDescent="0.25">
      <c r="C423" s="8"/>
      <c r="BJ423" s="10"/>
      <c r="BX423" s="10"/>
      <c r="CE423" s="10"/>
      <c r="CL423" s="10"/>
      <c r="CS423" s="10"/>
      <c r="CZ423" s="10"/>
      <c r="DG423" s="10"/>
      <c r="DN423" s="10"/>
      <c r="DU423" s="10"/>
    </row>
    <row r="424" spans="3:125" ht="15.75" customHeight="1" x14ac:dyDescent="0.25">
      <c r="C424" s="8"/>
      <c r="BJ424" s="10"/>
      <c r="BX424" s="10"/>
      <c r="CE424" s="10"/>
      <c r="CL424" s="10"/>
      <c r="CS424" s="10"/>
      <c r="CZ424" s="10"/>
      <c r="DG424" s="10"/>
      <c r="DN424" s="10"/>
      <c r="DU424" s="10"/>
    </row>
    <row r="425" spans="3:125" ht="15.75" customHeight="1" x14ac:dyDescent="0.25">
      <c r="C425" s="8"/>
      <c r="BJ425" s="10"/>
      <c r="BX425" s="10"/>
      <c r="CE425" s="10"/>
      <c r="CL425" s="10"/>
      <c r="CS425" s="10"/>
      <c r="CZ425" s="10"/>
      <c r="DG425" s="10"/>
      <c r="DN425" s="10"/>
      <c r="DU425" s="10"/>
    </row>
    <row r="426" spans="3:125" ht="15.75" customHeight="1" x14ac:dyDescent="0.25">
      <c r="C426" s="8"/>
      <c r="BJ426" s="10"/>
      <c r="BX426" s="10"/>
      <c r="CE426" s="10"/>
      <c r="CL426" s="10"/>
      <c r="CS426" s="10"/>
      <c r="CZ426" s="10"/>
      <c r="DG426" s="10"/>
      <c r="DN426" s="10"/>
      <c r="DU426" s="10"/>
    </row>
    <row r="427" spans="3:125" ht="15.75" customHeight="1" x14ac:dyDescent="0.25">
      <c r="C427" s="8"/>
      <c r="BJ427" s="10"/>
      <c r="BX427" s="10"/>
      <c r="CE427" s="10"/>
      <c r="CL427" s="10"/>
      <c r="CS427" s="10"/>
      <c r="CZ427" s="10"/>
      <c r="DG427" s="10"/>
      <c r="DN427" s="10"/>
      <c r="DU427" s="10"/>
    </row>
    <row r="428" spans="3:125" ht="15.75" customHeight="1" x14ac:dyDescent="0.25">
      <c r="C428" s="8"/>
      <c r="BJ428" s="10"/>
      <c r="BX428" s="10"/>
      <c r="CE428" s="10"/>
      <c r="CL428" s="10"/>
      <c r="CS428" s="10"/>
      <c r="CZ428" s="10"/>
      <c r="DG428" s="10"/>
      <c r="DN428" s="10"/>
      <c r="DU428" s="10"/>
    </row>
    <row r="429" spans="3:125" ht="15.75" customHeight="1" x14ac:dyDescent="0.25">
      <c r="C429" s="8"/>
      <c r="BJ429" s="10"/>
      <c r="BX429" s="10"/>
      <c r="CE429" s="10"/>
      <c r="CL429" s="10"/>
      <c r="CS429" s="10"/>
      <c r="CZ429" s="10"/>
      <c r="DG429" s="10"/>
      <c r="DN429" s="10"/>
      <c r="DU429" s="10"/>
    </row>
    <row r="430" spans="3:125" ht="15.75" customHeight="1" x14ac:dyDescent="0.25">
      <c r="C430" s="8"/>
      <c r="BJ430" s="10"/>
      <c r="BX430" s="10"/>
      <c r="CE430" s="10"/>
      <c r="CL430" s="10"/>
      <c r="CS430" s="10"/>
      <c r="CZ430" s="10"/>
      <c r="DG430" s="10"/>
      <c r="DN430" s="10"/>
      <c r="DU430" s="10"/>
    </row>
    <row r="431" spans="3:125" ht="15.75" customHeight="1" x14ac:dyDescent="0.25">
      <c r="C431" s="8"/>
      <c r="BJ431" s="10"/>
      <c r="BX431" s="10"/>
      <c r="CE431" s="10"/>
      <c r="CL431" s="10"/>
      <c r="CS431" s="10"/>
      <c r="CZ431" s="10"/>
      <c r="DG431" s="10"/>
      <c r="DN431" s="10"/>
      <c r="DU431" s="10"/>
    </row>
    <row r="432" spans="3:125" ht="15.75" customHeight="1" x14ac:dyDescent="0.25">
      <c r="C432" s="8"/>
      <c r="BJ432" s="10"/>
      <c r="BX432" s="10"/>
      <c r="CE432" s="10"/>
      <c r="CL432" s="10"/>
      <c r="CS432" s="10"/>
      <c r="CZ432" s="10"/>
      <c r="DG432" s="10"/>
      <c r="DN432" s="10"/>
      <c r="DU432" s="10"/>
    </row>
    <row r="433" spans="3:125" ht="15.75" customHeight="1" x14ac:dyDescent="0.25">
      <c r="C433" s="8"/>
      <c r="BJ433" s="10"/>
      <c r="BX433" s="10"/>
      <c r="CE433" s="10"/>
      <c r="CL433" s="10"/>
      <c r="CS433" s="10"/>
      <c r="CZ433" s="10"/>
      <c r="DG433" s="10"/>
      <c r="DN433" s="10"/>
      <c r="DU433" s="10"/>
    </row>
    <row r="434" spans="3:125" ht="15.75" customHeight="1" x14ac:dyDescent="0.25">
      <c r="C434" s="8"/>
      <c r="BJ434" s="10"/>
      <c r="BX434" s="10"/>
      <c r="CE434" s="10"/>
      <c r="CL434" s="10"/>
      <c r="CS434" s="10"/>
      <c r="CZ434" s="10"/>
      <c r="DG434" s="10"/>
      <c r="DN434" s="10"/>
      <c r="DU434" s="10"/>
    </row>
    <row r="435" spans="3:125" ht="15.75" customHeight="1" x14ac:dyDescent="0.25">
      <c r="C435" s="8"/>
      <c r="BJ435" s="10"/>
      <c r="BX435" s="10"/>
      <c r="CE435" s="10"/>
      <c r="CL435" s="10"/>
      <c r="CS435" s="10"/>
      <c r="CZ435" s="10"/>
      <c r="DG435" s="10"/>
      <c r="DN435" s="10"/>
      <c r="DU435" s="10"/>
    </row>
    <row r="436" spans="3:125" ht="15.75" customHeight="1" x14ac:dyDescent="0.25">
      <c r="C436" s="8"/>
      <c r="BJ436" s="10"/>
      <c r="BX436" s="10"/>
      <c r="CE436" s="10"/>
      <c r="CL436" s="10"/>
      <c r="CS436" s="10"/>
      <c r="CZ436" s="10"/>
      <c r="DG436" s="10"/>
      <c r="DN436" s="10"/>
      <c r="DU436" s="10"/>
    </row>
    <row r="437" spans="3:125" ht="15.75" customHeight="1" x14ac:dyDescent="0.25">
      <c r="C437" s="8"/>
      <c r="BJ437" s="10"/>
      <c r="BX437" s="10"/>
      <c r="CE437" s="10"/>
      <c r="CL437" s="10"/>
      <c r="CS437" s="10"/>
      <c r="CZ437" s="10"/>
      <c r="DG437" s="10"/>
      <c r="DN437" s="10"/>
      <c r="DU437" s="10"/>
    </row>
    <row r="438" spans="3:125" ht="15.75" customHeight="1" x14ac:dyDescent="0.25">
      <c r="C438" s="8"/>
      <c r="BJ438" s="10"/>
      <c r="BX438" s="10"/>
      <c r="CE438" s="10"/>
      <c r="CL438" s="10"/>
      <c r="CS438" s="10"/>
      <c r="CZ438" s="10"/>
      <c r="DG438" s="10"/>
      <c r="DN438" s="10"/>
      <c r="DU438" s="10"/>
    </row>
    <row r="439" spans="3:125" ht="15.75" customHeight="1" x14ac:dyDescent="0.25">
      <c r="C439" s="8"/>
      <c r="BJ439" s="10"/>
      <c r="BX439" s="10"/>
      <c r="CE439" s="10"/>
      <c r="CL439" s="10"/>
      <c r="CS439" s="10"/>
      <c r="CZ439" s="10"/>
      <c r="DG439" s="10"/>
      <c r="DN439" s="10"/>
      <c r="DU439" s="10"/>
    </row>
    <row r="440" spans="3:125" ht="15.75" customHeight="1" x14ac:dyDescent="0.25">
      <c r="C440" s="8"/>
      <c r="BJ440" s="10"/>
      <c r="BX440" s="10"/>
      <c r="CE440" s="10"/>
      <c r="CL440" s="10"/>
      <c r="CS440" s="10"/>
      <c r="CZ440" s="10"/>
      <c r="DG440" s="10"/>
      <c r="DN440" s="10"/>
      <c r="DU440" s="10"/>
    </row>
    <row r="441" spans="3:125" ht="15.75" customHeight="1" x14ac:dyDescent="0.25">
      <c r="C441" s="8"/>
      <c r="BJ441" s="10"/>
      <c r="BX441" s="10"/>
      <c r="CE441" s="10"/>
      <c r="CL441" s="10"/>
      <c r="CS441" s="10"/>
      <c r="CZ441" s="10"/>
      <c r="DG441" s="10"/>
      <c r="DN441" s="10"/>
      <c r="DU441" s="10"/>
    </row>
    <row r="442" spans="3:125" ht="15.75" customHeight="1" x14ac:dyDescent="0.25">
      <c r="C442" s="8"/>
      <c r="BJ442" s="10"/>
      <c r="BX442" s="10"/>
      <c r="CE442" s="10"/>
      <c r="CL442" s="10"/>
      <c r="CS442" s="10"/>
      <c r="CZ442" s="10"/>
      <c r="DG442" s="10"/>
      <c r="DN442" s="10"/>
      <c r="DU442" s="10"/>
    </row>
    <row r="443" spans="3:125" ht="15.75" customHeight="1" x14ac:dyDescent="0.25">
      <c r="C443" s="8"/>
      <c r="BJ443" s="10"/>
      <c r="BX443" s="10"/>
      <c r="CE443" s="10"/>
      <c r="CL443" s="10"/>
      <c r="CS443" s="10"/>
      <c r="CZ443" s="10"/>
      <c r="DG443" s="10"/>
      <c r="DN443" s="10"/>
      <c r="DU443" s="10"/>
    </row>
    <row r="444" spans="3:125" ht="15.75" customHeight="1" x14ac:dyDescent="0.25">
      <c r="C444" s="8"/>
      <c r="BJ444" s="10"/>
      <c r="BX444" s="10"/>
      <c r="CE444" s="10"/>
      <c r="CL444" s="10"/>
      <c r="CS444" s="10"/>
      <c r="CZ444" s="10"/>
      <c r="DG444" s="10"/>
      <c r="DN444" s="10"/>
      <c r="DU444" s="10"/>
    </row>
    <row r="445" spans="3:125" ht="15.75" customHeight="1" x14ac:dyDescent="0.25">
      <c r="C445" s="8"/>
      <c r="BJ445" s="10"/>
      <c r="BX445" s="10"/>
      <c r="CE445" s="10"/>
      <c r="CL445" s="10"/>
      <c r="CS445" s="10"/>
      <c r="CZ445" s="10"/>
      <c r="DG445" s="10"/>
      <c r="DN445" s="10"/>
      <c r="DU445" s="10"/>
    </row>
    <row r="446" spans="3:125" ht="15.75" customHeight="1" x14ac:dyDescent="0.25">
      <c r="C446" s="8"/>
      <c r="BJ446" s="10"/>
      <c r="BX446" s="10"/>
      <c r="CE446" s="10"/>
      <c r="CL446" s="10"/>
      <c r="CS446" s="10"/>
      <c r="CZ446" s="10"/>
      <c r="DG446" s="10"/>
      <c r="DN446" s="10"/>
      <c r="DU446" s="10"/>
    </row>
    <row r="447" spans="3:125" ht="15.75" customHeight="1" x14ac:dyDescent="0.25">
      <c r="C447" s="8"/>
      <c r="BJ447" s="10"/>
      <c r="BX447" s="10"/>
      <c r="CE447" s="10"/>
      <c r="CL447" s="10"/>
      <c r="CS447" s="10"/>
      <c r="CZ447" s="10"/>
      <c r="DG447" s="10"/>
      <c r="DN447" s="10"/>
      <c r="DU447" s="10"/>
    </row>
    <row r="448" spans="3:125" ht="15.75" customHeight="1" x14ac:dyDescent="0.25">
      <c r="C448" s="8"/>
      <c r="BJ448" s="10"/>
      <c r="BX448" s="10"/>
      <c r="CE448" s="10"/>
      <c r="CL448" s="10"/>
      <c r="CS448" s="10"/>
      <c r="CZ448" s="10"/>
      <c r="DG448" s="10"/>
      <c r="DN448" s="10"/>
      <c r="DU448" s="10"/>
    </row>
    <row r="449" spans="3:125" ht="15.75" customHeight="1" x14ac:dyDescent="0.25">
      <c r="C449" s="8"/>
      <c r="BJ449" s="10"/>
      <c r="BX449" s="10"/>
      <c r="CE449" s="10"/>
      <c r="CL449" s="10"/>
      <c r="CS449" s="10"/>
      <c r="CZ449" s="10"/>
      <c r="DG449" s="10"/>
      <c r="DN449" s="10"/>
      <c r="DU449" s="10"/>
    </row>
    <row r="450" spans="3:125" ht="15.75" customHeight="1" x14ac:dyDescent="0.25">
      <c r="C450" s="8"/>
      <c r="BJ450" s="10"/>
      <c r="BX450" s="10"/>
      <c r="CE450" s="10"/>
      <c r="CL450" s="10"/>
      <c r="CS450" s="10"/>
      <c r="CZ450" s="10"/>
      <c r="DG450" s="10"/>
      <c r="DN450" s="10"/>
      <c r="DU450" s="10"/>
    </row>
    <row r="451" spans="3:125" ht="15.75" customHeight="1" x14ac:dyDescent="0.25">
      <c r="C451" s="8"/>
      <c r="BJ451" s="10"/>
      <c r="BX451" s="10"/>
      <c r="CE451" s="10"/>
      <c r="CL451" s="10"/>
      <c r="CS451" s="10"/>
      <c r="CZ451" s="10"/>
      <c r="DG451" s="10"/>
      <c r="DN451" s="10"/>
      <c r="DU451" s="10"/>
    </row>
    <row r="452" spans="3:125" ht="15.75" customHeight="1" x14ac:dyDescent="0.25">
      <c r="C452" s="8"/>
      <c r="BJ452" s="10"/>
      <c r="BX452" s="10"/>
      <c r="CE452" s="10"/>
      <c r="CL452" s="10"/>
      <c r="CS452" s="10"/>
      <c r="CZ452" s="10"/>
      <c r="DG452" s="10"/>
      <c r="DN452" s="10"/>
      <c r="DU452" s="10"/>
    </row>
    <row r="453" spans="3:125" ht="15.75" customHeight="1" x14ac:dyDescent="0.25">
      <c r="C453" s="8"/>
      <c r="BJ453" s="10"/>
      <c r="BX453" s="10"/>
      <c r="CE453" s="10"/>
      <c r="CL453" s="10"/>
      <c r="CS453" s="10"/>
      <c r="CZ453" s="10"/>
      <c r="DG453" s="10"/>
      <c r="DN453" s="10"/>
      <c r="DU453" s="10"/>
    </row>
    <row r="454" spans="3:125" ht="15.75" customHeight="1" x14ac:dyDescent="0.25">
      <c r="C454" s="8"/>
      <c r="BJ454" s="10"/>
      <c r="BX454" s="10"/>
      <c r="CE454" s="10"/>
      <c r="CL454" s="10"/>
      <c r="CS454" s="10"/>
      <c r="CZ454" s="10"/>
      <c r="DG454" s="10"/>
      <c r="DN454" s="10"/>
      <c r="DU454" s="10"/>
    </row>
    <row r="455" spans="3:125" ht="15.75" customHeight="1" x14ac:dyDescent="0.25">
      <c r="C455" s="8"/>
      <c r="BJ455" s="10"/>
      <c r="BX455" s="10"/>
      <c r="CE455" s="10"/>
      <c r="CL455" s="10"/>
      <c r="CS455" s="10"/>
      <c r="CZ455" s="10"/>
      <c r="DG455" s="10"/>
      <c r="DN455" s="10"/>
      <c r="DU455" s="10"/>
    </row>
    <row r="456" spans="3:125" ht="15.75" customHeight="1" x14ac:dyDescent="0.25">
      <c r="C456" s="8"/>
      <c r="BJ456" s="10"/>
      <c r="BX456" s="10"/>
      <c r="CE456" s="10"/>
      <c r="CL456" s="10"/>
      <c r="CS456" s="10"/>
      <c r="CZ456" s="10"/>
      <c r="DG456" s="10"/>
      <c r="DN456" s="10"/>
      <c r="DU456" s="10"/>
    </row>
    <row r="457" spans="3:125" ht="15.75" customHeight="1" x14ac:dyDescent="0.25">
      <c r="C457" s="8"/>
      <c r="BJ457" s="10"/>
      <c r="BX457" s="10"/>
      <c r="CE457" s="10"/>
      <c r="CL457" s="10"/>
      <c r="CS457" s="10"/>
      <c r="CZ457" s="10"/>
      <c r="DG457" s="10"/>
      <c r="DN457" s="10"/>
      <c r="DU457" s="10"/>
    </row>
    <row r="458" spans="3:125" ht="15.75" customHeight="1" x14ac:dyDescent="0.25">
      <c r="C458" s="8"/>
      <c r="BJ458" s="10"/>
      <c r="BX458" s="10"/>
      <c r="CE458" s="10"/>
      <c r="CL458" s="10"/>
      <c r="CS458" s="10"/>
      <c r="CZ458" s="10"/>
      <c r="DG458" s="10"/>
      <c r="DN458" s="10"/>
      <c r="DU458" s="10"/>
    </row>
    <row r="459" spans="3:125" ht="15.75" customHeight="1" x14ac:dyDescent="0.25">
      <c r="C459" s="8"/>
      <c r="BJ459" s="10"/>
      <c r="BX459" s="10"/>
      <c r="CE459" s="10"/>
      <c r="CL459" s="10"/>
      <c r="CS459" s="10"/>
      <c r="CZ459" s="10"/>
      <c r="DG459" s="10"/>
      <c r="DN459" s="10"/>
      <c r="DU459" s="10"/>
    </row>
    <row r="460" spans="3:125" ht="15.75" customHeight="1" x14ac:dyDescent="0.25">
      <c r="C460" s="8"/>
      <c r="BJ460" s="10"/>
      <c r="BX460" s="10"/>
      <c r="CE460" s="10"/>
      <c r="CL460" s="10"/>
      <c r="CS460" s="10"/>
      <c r="CZ460" s="10"/>
      <c r="DG460" s="10"/>
      <c r="DN460" s="10"/>
      <c r="DU460" s="10"/>
    </row>
    <row r="461" spans="3:125" ht="15.75" customHeight="1" x14ac:dyDescent="0.25">
      <c r="C461" s="8"/>
      <c r="BJ461" s="10"/>
      <c r="BX461" s="10"/>
      <c r="CE461" s="10"/>
      <c r="CL461" s="10"/>
      <c r="CS461" s="10"/>
      <c r="CZ461" s="10"/>
      <c r="DG461" s="10"/>
      <c r="DN461" s="10"/>
      <c r="DU461" s="10"/>
    </row>
    <row r="462" spans="3:125" ht="15.75" customHeight="1" x14ac:dyDescent="0.25">
      <c r="C462" s="8"/>
      <c r="BJ462" s="10"/>
      <c r="BX462" s="10"/>
      <c r="CE462" s="10"/>
      <c r="CL462" s="10"/>
      <c r="CS462" s="10"/>
      <c r="CZ462" s="10"/>
      <c r="DG462" s="10"/>
      <c r="DN462" s="10"/>
      <c r="DU462" s="10"/>
    </row>
    <row r="463" spans="3:125" ht="15.75" customHeight="1" x14ac:dyDescent="0.25">
      <c r="C463" s="8"/>
      <c r="BJ463" s="10"/>
      <c r="BX463" s="10"/>
      <c r="CE463" s="10"/>
      <c r="CL463" s="10"/>
      <c r="CS463" s="10"/>
      <c r="CZ463" s="10"/>
      <c r="DG463" s="10"/>
      <c r="DN463" s="10"/>
      <c r="DU463" s="10"/>
    </row>
    <row r="464" spans="3:125" ht="15.75" customHeight="1" x14ac:dyDescent="0.25">
      <c r="C464" s="8"/>
      <c r="BJ464" s="10"/>
      <c r="BX464" s="10"/>
      <c r="CE464" s="10"/>
      <c r="CL464" s="10"/>
      <c r="CS464" s="10"/>
      <c r="CZ464" s="10"/>
      <c r="DG464" s="10"/>
      <c r="DN464" s="10"/>
      <c r="DU464" s="10"/>
    </row>
    <row r="465" spans="3:125" ht="15.75" customHeight="1" x14ac:dyDescent="0.25">
      <c r="C465" s="8"/>
      <c r="BJ465" s="10"/>
      <c r="BX465" s="10"/>
      <c r="CE465" s="10"/>
      <c r="CL465" s="10"/>
      <c r="CS465" s="10"/>
      <c r="CZ465" s="10"/>
      <c r="DG465" s="10"/>
      <c r="DN465" s="10"/>
      <c r="DU465" s="10"/>
    </row>
    <row r="466" spans="3:125" ht="15.75" customHeight="1" x14ac:dyDescent="0.25">
      <c r="C466" s="8"/>
      <c r="BJ466" s="10"/>
      <c r="BX466" s="10"/>
      <c r="CE466" s="10"/>
      <c r="CL466" s="10"/>
      <c r="CS466" s="10"/>
      <c r="CZ466" s="10"/>
      <c r="DG466" s="10"/>
      <c r="DN466" s="10"/>
      <c r="DU466" s="10"/>
    </row>
    <row r="467" spans="3:125" ht="15.75" customHeight="1" x14ac:dyDescent="0.25">
      <c r="C467" s="8"/>
      <c r="BJ467" s="10"/>
      <c r="BX467" s="10"/>
      <c r="CE467" s="10"/>
      <c r="CL467" s="10"/>
      <c r="CS467" s="10"/>
      <c r="CZ467" s="10"/>
      <c r="DG467" s="10"/>
      <c r="DN467" s="10"/>
      <c r="DU467" s="10"/>
    </row>
    <row r="468" spans="3:125" ht="15.75" customHeight="1" x14ac:dyDescent="0.25">
      <c r="C468" s="8"/>
      <c r="BJ468" s="10"/>
      <c r="BX468" s="10"/>
      <c r="CE468" s="10"/>
      <c r="CL468" s="10"/>
      <c r="CS468" s="10"/>
      <c r="CZ468" s="10"/>
      <c r="DG468" s="10"/>
      <c r="DN468" s="10"/>
      <c r="DU468" s="10"/>
    </row>
    <row r="469" spans="3:125" ht="15.75" customHeight="1" x14ac:dyDescent="0.25">
      <c r="C469" s="8"/>
      <c r="BJ469" s="10"/>
      <c r="BX469" s="10"/>
      <c r="CE469" s="10"/>
      <c r="CL469" s="10"/>
      <c r="CS469" s="10"/>
      <c r="CZ469" s="10"/>
      <c r="DG469" s="10"/>
      <c r="DN469" s="10"/>
      <c r="DU469" s="10"/>
    </row>
    <row r="470" spans="3:125" ht="15.75" customHeight="1" x14ac:dyDescent="0.25">
      <c r="C470" s="8"/>
      <c r="BJ470" s="10"/>
      <c r="BX470" s="10"/>
      <c r="CE470" s="10"/>
      <c r="CL470" s="10"/>
      <c r="CS470" s="10"/>
      <c r="CZ470" s="10"/>
      <c r="DG470" s="10"/>
      <c r="DN470" s="10"/>
      <c r="DU470" s="10"/>
    </row>
    <row r="471" spans="3:125" ht="15.75" customHeight="1" x14ac:dyDescent="0.25">
      <c r="C471" s="8"/>
      <c r="BJ471" s="10"/>
      <c r="BX471" s="10"/>
      <c r="CE471" s="10"/>
      <c r="CL471" s="10"/>
      <c r="CS471" s="10"/>
      <c r="CZ471" s="10"/>
      <c r="DG471" s="10"/>
      <c r="DN471" s="10"/>
      <c r="DU471" s="10"/>
    </row>
    <row r="472" spans="3:125" ht="15.75" customHeight="1" x14ac:dyDescent="0.25">
      <c r="C472" s="8"/>
      <c r="BJ472" s="10"/>
      <c r="BX472" s="10"/>
      <c r="CE472" s="10"/>
      <c r="CL472" s="10"/>
      <c r="CS472" s="10"/>
      <c r="CZ472" s="10"/>
      <c r="DG472" s="10"/>
      <c r="DN472" s="10"/>
      <c r="DU472" s="10"/>
    </row>
    <row r="473" spans="3:125" ht="15.75" customHeight="1" x14ac:dyDescent="0.25">
      <c r="C473" s="8"/>
      <c r="BJ473" s="10"/>
      <c r="BX473" s="10"/>
      <c r="CE473" s="10"/>
      <c r="CL473" s="10"/>
      <c r="CS473" s="10"/>
      <c r="CZ473" s="10"/>
      <c r="DG473" s="10"/>
      <c r="DN473" s="10"/>
      <c r="DU473" s="10"/>
    </row>
    <row r="474" spans="3:125" ht="15.75" customHeight="1" x14ac:dyDescent="0.25">
      <c r="C474" s="8"/>
      <c r="BJ474" s="10"/>
      <c r="BX474" s="10"/>
      <c r="CE474" s="10"/>
      <c r="CL474" s="10"/>
      <c r="CS474" s="10"/>
      <c r="CZ474" s="10"/>
      <c r="DG474" s="10"/>
      <c r="DN474" s="10"/>
      <c r="DU474" s="10"/>
    </row>
    <row r="475" spans="3:125" ht="15.75" customHeight="1" x14ac:dyDescent="0.25">
      <c r="C475" s="8"/>
      <c r="BJ475" s="10"/>
      <c r="BX475" s="10"/>
      <c r="CE475" s="10"/>
      <c r="CL475" s="10"/>
      <c r="CS475" s="10"/>
      <c r="CZ475" s="10"/>
      <c r="DG475" s="10"/>
      <c r="DN475" s="10"/>
      <c r="DU475" s="10"/>
    </row>
    <row r="476" spans="3:125" ht="15.75" customHeight="1" x14ac:dyDescent="0.25">
      <c r="C476" s="8"/>
      <c r="BJ476" s="10"/>
      <c r="BX476" s="10"/>
      <c r="CE476" s="10"/>
      <c r="CL476" s="10"/>
      <c r="CS476" s="10"/>
      <c r="CZ476" s="10"/>
      <c r="DG476" s="10"/>
      <c r="DN476" s="10"/>
      <c r="DU476" s="10"/>
    </row>
    <row r="477" spans="3:125" ht="15.75" customHeight="1" x14ac:dyDescent="0.25">
      <c r="C477" s="8"/>
      <c r="BJ477" s="10"/>
      <c r="BX477" s="10"/>
      <c r="CE477" s="10"/>
      <c r="CL477" s="10"/>
      <c r="CS477" s="10"/>
      <c r="CZ477" s="10"/>
      <c r="DG477" s="10"/>
      <c r="DN477" s="10"/>
      <c r="DU477" s="10"/>
    </row>
    <row r="478" spans="3:125" ht="15.75" customHeight="1" x14ac:dyDescent="0.25">
      <c r="C478" s="8"/>
      <c r="BJ478" s="10"/>
      <c r="BX478" s="10"/>
      <c r="CE478" s="10"/>
      <c r="CL478" s="10"/>
      <c r="CS478" s="10"/>
      <c r="CZ478" s="10"/>
      <c r="DG478" s="10"/>
      <c r="DN478" s="10"/>
      <c r="DU478" s="10"/>
    </row>
    <row r="479" spans="3:125" ht="15.75" customHeight="1" x14ac:dyDescent="0.25">
      <c r="C479" s="8"/>
      <c r="BJ479" s="10"/>
      <c r="BX479" s="10"/>
      <c r="CE479" s="10"/>
      <c r="CL479" s="10"/>
      <c r="CS479" s="10"/>
      <c r="CZ479" s="10"/>
      <c r="DG479" s="10"/>
      <c r="DN479" s="10"/>
      <c r="DU479" s="10"/>
    </row>
    <row r="480" spans="3:125" ht="15.75" customHeight="1" x14ac:dyDescent="0.25">
      <c r="C480" s="8"/>
      <c r="BJ480" s="10"/>
      <c r="BX480" s="10"/>
      <c r="CE480" s="10"/>
      <c r="CL480" s="10"/>
      <c r="CS480" s="10"/>
      <c r="CZ480" s="10"/>
      <c r="DG480" s="10"/>
      <c r="DN480" s="10"/>
      <c r="DU480" s="10"/>
    </row>
    <row r="481" spans="3:125" ht="15.75" customHeight="1" x14ac:dyDescent="0.25">
      <c r="C481" s="8"/>
      <c r="BJ481" s="10"/>
      <c r="BX481" s="10"/>
      <c r="CE481" s="10"/>
      <c r="CL481" s="10"/>
      <c r="CS481" s="10"/>
      <c r="CZ481" s="10"/>
      <c r="DG481" s="10"/>
      <c r="DN481" s="10"/>
      <c r="DU481" s="10"/>
    </row>
    <row r="482" spans="3:125" ht="15.75" customHeight="1" x14ac:dyDescent="0.25">
      <c r="C482" s="8"/>
      <c r="BJ482" s="10"/>
      <c r="BX482" s="10"/>
      <c r="CE482" s="10"/>
      <c r="CL482" s="10"/>
      <c r="CS482" s="10"/>
      <c r="CZ482" s="10"/>
      <c r="DG482" s="10"/>
      <c r="DN482" s="10"/>
      <c r="DU482" s="10"/>
    </row>
    <row r="483" spans="3:125" ht="15.75" customHeight="1" x14ac:dyDescent="0.25">
      <c r="C483" s="8"/>
      <c r="BJ483" s="10"/>
      <c r="BX483" s="10"/>
      <c r="CE483" s="10"/>
      <c r="CL483" s="10"/>
      <c r="CS483" s="10"/>
      <c r="CZ483" s="10"/>
      <c r="DG483" s="10"/>
      <c r="DN483" s="10"/>
      <c r="DU483" s="10"/>
    </row>
    <row r="484" spans="3:125" ht="15.75" customHeight="1" x14ac:dyDescent="0.25">
      <c r="C484" s="8"/>
      <c r="BJ484" s="10"/>
      <c r="BX484" s="10"/>
      <c r="CE484" s="10"/>
      <c r="CL484" s="10"/>
      <c r="CS484" s="10"/>
      <c r="CZ484" s="10"/>
      <c r="DG484" s="10"/>
      <c r="DN484" s="10"/>
      <c r="DU484" s="10"/>
    </row>
    <row r="485" spans="3:125" ht="15.75" customHeight="1" x14ac:dyDescent="0.25">
      <c r="C485" s="8"/>
      <c r="BJ485" s="10"/>
      <c r="BX485" s="10"/>
      <c r="CE485" s="10"/>
      <c r="CL485" s="10"/>
      <c r="CS485" s="10"/>
      <c r="CZ485" s="10"/>
      <c r="DG485" s="10"/>
      <c r="DN485" s="10"/>
      <c r="DU485" s="10"/>
    </row>
    <row r="486" spans="3:125" ht="15.75" customHeight="1" x14ac:dyDescent="0.25">
      <c r="C486" s="8"/>
      <c r="BJ486" s="10"/>
      <c r="BX486" s="10"/>
      <c r="CE486" s="10"/>
      <c r="CL486" s="10"/>
      <c r="CS486" s="10"/>
      <c r="CZ486" s="10"/>
      <c r="DG486" s="10"/>
      <c r="DN486" s="10"/>
      <c r="DU486" s="10"/>
    </row>
    <row r="487" spans="3:125" ht="15.75" customHeight="1" x14ac:dyDescent="0.25">
      <c r="C487" s="8"/>
      <c r="BJ487" s="10"/>
      <c r="BX487" s="10"/>
      <c r="CE487" s="10"/>
      <c r="CL487" s="10"/>
      <c r="CS487" s="10"/>
      <c r="CZ487" s="10"/>
      <c r="DG487" s="10"/>
      <c r="DN487" s="10"/>
      <c r="DU487" s="10"/>
    </row>
    <row r="488" spans="3:125" ht="15.75" customHeight="1" x14ac:dyDescent="0.25">
      <c r="C488" s="8"/>
      <c r="BJ488" s="10"/>
      <c r="BX488" s="10"/>
      <c r="CE488" s="10"/>
      <c r="CL488" s="10"/>
      <c r="CS488" s="10"/>
      <c r="CZ488" s="10"/>
      <c r="DG488" s="10"/>
      <c r="DN488" s="10"/>
      <c r="DU488" s="10"/>
    </row>
    <row r="489" spans="3:125" ht="15.75" customHeight="1" x14ac:dyDescent="0.25">
      <c r="C489" s="8"/>
      <c r="BJ489" s="10"/>
      <c r="BX489" s="10"/>
      <c r="CE489" s="10"/>
      <c r="CL489" s="10"/>
      <c r="CS489" s="10"/>
      <c r="CZ489" s="10"/>
      <c r="DG489" s="10"/>
      <c r="DN489" s="10"/>
      <c r="DU489" s="10"/>
    </row>
    <row r="490" spans="3:125" ht="15.75" customHeight="1" x14ac:dyDescent="0.25">
      <c r="C490" s="8"/>
      <c r="BJ490" s="10"/>
      <c r="BX490" s="10"/>
      <c r="CE490" s="10"/>
      <c r="CL490" s="10"/>
      <c r="CS490" s="10"/>
      <c r="CZ490" s="10"/>
      <c r="DG490" s="10"/>
      <c r="DN490" s="10"/>
      <c r="DU490" s="10"/>
    </row>
    <row r="491" spans="3:125" ht="15.75" customHeight="1" x14ac:dyDescent="0.25">
      <c r="C491" s="8"/>
      <c r="BJ491" s="10"/>
      <c r="BX491" s="10"/>
      <c r="CE491" s="10"/>
      <c r="CL491" s="10"/>
      <c r="CS491" s="10"/>
      <c r="CZ491" s="10"/>
      <c r="DG491" s="10"/>
      <c r="DN491" s="10"/>
      <c r="DU491" s="10"/>
    </row>
    <row r="492" spans="3:125" ht="15.75" customHeight="1" x14ac:dyDescent="0.25">
      <c r="C492" s="8"/>
      <c r="BJ492" s="10"/>
      <c r="BX492" s="10"/>
      <c r="CE492" s="10"/>
      <c r="CL492" s="10"/>
      <c r="CS492" s="10"/>
      <c r="CZ492" s="10"/>
      <c r="DG492" s="10"/>
      <c r="DN492" s="10"/>
      <c r="DU492" s="10"/>
    </row>
    <row r="493" spans="3:125" ht="15.75" customHeight="1" x14ac:dyDescent="0.25">
      <c r="C493" s="8"/>
      <c r="BJ493" s="10"/>
      <c r="BX493" s="10"/>
      <c r="CE493" s="10"/>
      <c r="CL493" s="10"/>
      <c r="CS493" s="10"/>
      <c r="CZ493" s="10"/>
      <c r="DG493" s="10"/>
      <c r="DN493" s="10"/>
      <c r="DU493" s="10"/>
    </row>
    <row r="494" spans="3:125" ht="15.75" customHeight="1" x14ac:dyDescent="0.25">
      <c r="C494" s="8"/>
      <c r="BJ494" s="10"/>
      <c r="BX494" s="10"/>
      <c r="CE494" s="10"/>
      <c r="CL494" s="10"/>
      <c r="CS494" s="10"/>
      <c r="CZ494" s="10"/>
      <c r="DG494" s="10"/>
      <c r="DN494" s="10"/>
      <c r="DU494" s="10"/>
    </row>
    <row r="495" spans="3:125" ht="15.75" customHeight="1" x14ac:dyDescent="0.25">
      <c r="C495" s="8"/>
      <c r="BJ495" s="10"/>
      <c r="BX495" s="10"/>
      <c r="CE495" s="10"/>
      <c r="CL495" s="10"/>
      <c r="CS495" s="10"/>
      <c r="CZ495" s="10"/>
      <c r="DG495" s="10"/>
      <c r="DN495" s="10"/>
      <c r="DU495" s="10"/>
    </row>
    <row r="496" spans="3:125" ht="15.75" customHeight="1" x14ac:dyDescent="0.25">
      <c r="C496" s="8"/>
      <c r="BJ496" s="10"/>
      <c r="BX496" s="10"/>
      <c r="CE496" s="10"/>
      <c r="CL496" s="10"/>
      <c r="CS496" s="10"/>
      <c r="CZ496" s="10"/>
      <c r="DG496" s="10"/>
      <c r="DN496" s="10"/>
      <c r="DU496" s="10"/>
    </row>
    <row r="497" spans="3:125" ht="15.75" customHeight="1" x14ac:dyDescent="0.25">
      <c r="C497" s="8"/>
      <c r="BJ497" s="10"/>
      <c r="BX497" s="10"/>
      <c r="CE497" s="10"/>
      <c r="CL497" s="10"/>
      <c r="CS497" s="10"/>
      <c r="CZ497" s="10"/>
      <c r="DG497" s="10"/>
      <c r="DN497" s="10"/>
      <c r="DU497" s="10"/>
    </row>
    <row r="498" spans="3:125" ht="15.75" customHeight="1" x14ac:dyDescent="0.25">
      <c r="C498" s="8"/>
      <c r="BJ498" s="10"/>
      <c r="BX498" s="10"/>
      <c r="CE498" s="10"/>
      <c r="CL498" s="10"/>
      <c r="CS498" s="10"/>
      <c r="CZ498" s="10"/>
      <c r="DG498" s="10"/>
      <c r="DN498" s="10"/>
      <c r="DU498" s="10"/>
    </row>
    <row r="499" spans="3:125" ht="15.75" customHeight="1" x14ac:dyDescent="0.25">
      <c r="C499" s="8"/>
      <c r="BJ499" s="10"/>
      <c r="BX499" s="10"/>
      <c r="CE499" s="10"/>
      <c r="CL499" s="10"/>
      <c r="CS499" s="10"/>
      <c r="CZ499" s="10"/>
      <c r="DG499" s="10"/>
      <c r="DN499" s="10"/>
      <c r="DU499" s="10"/>
    </row>
    <row r="500" spans="3:125" ht="15.75" customHeight="1" x14ac:dyDescent="0.25">
      <c r="C500" s="8"/>
      <c r="BJ500" s="10"/>
      <c r="BX500" s="10"/>
      <c r="CE500" s="10"/>
      <c r="CL500" s="10"/>
      <c r="CS500" s="10"/>
      <c r="CZ500" s="10"/>
      <c r="DG500" s="10"/>
      <c r="DN500" s="10"/>
      <c r="DU500" s="10"/>
    </row>
    <row r="501" spans="3:125" ht="15.75" customHeight="1" x14ac:dyDescent="0.25">
      <c r="C501" s="8"/>
      <c r="BJ501" s="10"/>
      <c r="BX501" s="10"/>
      <c r="CE501" s="10"/>
      <c r="CL501" s="10"/>
      <c r="CS501" s="10"/>
      <c r="CZ501" s="10"/>
      <c r="DG501" s="10"/>
      <c r="DN501" s="10"/>
      <c r="DU501" s="10"/>
    </row>
    <row r="502" spans="3:125" ht="15.75" customHeight="1" x14ac:dyDescent="0.25">
      <c r="C502" s="8"/>
      <c r="BJ502" s="10"/>
      <c r="BX502" s="10"/>
      <c r="CE502" s="10"/>
      <c r="CL502" s="10"/>
      <c r="CS502" s="10"/>
      <c r="CZ502" s="10"/>
      <c r="DG502" s="10"/>
      <c r="DN502" s="10"/>
      <c r="DU502" s="10"/>
    </row>
    <row r="503" spans="3:125" ht="15.75" customHeight="1" x14ac:dyDescent="0.25">
      <c r="C503" s="8"/>
      <c r="BJ503" s="10"/>
      <c r="BX503" s="10"/>
      <c r="CE503" s="10"/>
      <c r="CL503" s="10"/>
      <c r="CS503" s="10"/>
      <c r="CZ503" s="10"/>
      <c r="DG503" s="10"/>
      <c r="DN503" s="10"/>
      <c r="DU503" s="10"/>
    </row>
    <row r="504" spans="3:125" ht="15.75" customHeight="1" x14ac:dyDescent="0.25">
      <c r="C504" s="8"/>
      <c r="BJ504" s="10"/>
      <c r="BX504" s="10"/>
      <c r="CE504" s="10"/>
      <c r="CL504" s="10"/>
      <c r="CS504" s="10"/>
      <c r="CZ504" s="10"/>
      <c r="DG504" s="10"/>
      <c r="DN504" s="10"/>
      <c r="DU504" s="10"/>
    </row>
    <row r="505" spans="3:125" ht="15.75" customHeight="1" x14ac:dyDescent="0.25">
      <c r="C505" s="8"/>
      <c r="BJ505" s="10"/>
      <c r="BX505" s="10"/>
      <c r="CE505" s="10"/>
      <c r="CL505" s="10"/>
      <c r="CS505" s="10"/>
      <c r="CZ505" s="10"/>
      <c r="DG505" s="10"/>
      <c r="DN505" s="10"/>
      <c r="DU505" s="10"/>
    </row>
    <row r="506" spans="3:125" ht="15.75" customHeight="1" x14ac:dyDescent="0.25">
      <c r="C506" s="8"/>
      <c r="BJ506" s="10"/>
      <c r="BX506" s="10"/>
      <c r="CE506" s="10"/>
      <c r="CL506" s="10"/>
      <c r="CS506" s="10"/>
      <c r="CZ506" s="10"/>
      <c r="DG506" s="10"/>
      <c r="DN506" s="10"/>
      <c r="DU506" s="10"/>
    </row>
    <row r="507" spans="3:125" ht="15.75" customHeight="1" x14ac:dyDescent="0.25">
      <c r="C507" s="8"/>
      <c r="BJ507" s="10"/>
      <c r="BX507" s="10"/>
      <c r="CE507" s="10"/>
      <c r="CL507" s="10"/>
      <c r="CS507" s="10"/>
      <c r="CZ507" s="10"/>
      <c r="DG507" s="10"/>
      <c r="DN507" s="10"/>
      <c r="DU507" s="10"/>
    </row>
    <row r="508" spans="3:125" ht="15.75" customHeight="1" x14ac:dyDescent="0.25">
      <c r="C508" s="8"/>
      <c r="BJ508" s="10"/>
      <c r="BX508" s="10"/>
      <c r="CE508" s="10"/>
      <c r="CL508" s="10"/>
      <c r="CS508" s="10"/>
      <c r="CZ508" s="10"/>
      <c r="DG508" s="10"/>
      <c r="DN508" s="10"/>
      <c r="DU508" s="10"/>
    </row>
    <row r="509" spans="3:125" ht="15.75" customHeight="1" x14ac:dyDescent="0.25">
      <c r="C509" s="8"/>
      <c r="BJ509" s="10"/>
      <c r="BX509" s="10"/>
      <c r="CE509" s="10"/>
      <c r="CL509" s="10"/>
      <c r="CS509" s="10"/>
      <c r="CZ509" s="10"/>
      <c r="DG509" s="10"/>
      <c r="DN509" s="10"/>
      <c r="DU509" s="10"/>
    </row>
    <row r="510" spans="3:125" ht="15.75" customHeight="1" x14ac:dyDescent="0.25">
      <c r="C510" s="8"/>
      <c r="BJ510" s="10"/>
      <c r="BX510" s="10"/>
      <c r="CE510" s="10"/>
      <c r="CL510" s="10"/>
      <c r="CS510" s="10"/>
      <c r="CZ510" s="10"/>
      <c r="DG510" s="10"/>
      <c r="DN510" s="10"/>
      <c r="DU510" s="10"/>
    </row>
    <row r="511" spans="3:125" ht="15.75" customHeight="1" x14ac:dyDescent="0.25">
      <c r="C511" s="8"/>
      <c r="BJ511" s="10"/>
      <c r="BX511" s="10"/>
      <c r="CE511" s="10"/>
      <c r="CL511" s="10"/>
      <c r="CS511" s="10"/>
      <c r="CZ511" s="10"/>
      <c r="DG511" s="10"/>
      <c r="DN511" s="10"/>
      <c r="DU511" s="10"/>
    </row>
    <row r="512" spans="3:125" ht="15.75" customHeight="1" x14ac:dyDescent="0.25">
      <c r="C512" s="8"/>
      <c r="BJ512" s="10"/>
      <c r="BX512" s="10"/>
      <c r="CE512" s="10"/>
      <c r="CL512" s="10"/>
      <c r="CS512" s="10"/>
      <c r="CZ512" s="10"/>
      <c r="DG512" s="10"/>
      <c r="DN512" s="10"/>
      <c r="DU512" s="10"/>
    </row>
    <row r="513" spans="3:125" ht="15.75" customHeight="1" x14ac:dyDescent="0.25">
      <c r="C513" s="8"/>
      <c r="BJ513" s="10"/>
      <c r="BX513" s="10"/>
      <c r="CE513" s="10"/>
      <c r="CL513" s="10"/>
      <c r="CS513" s="10"/>
      <c r="CZ513" s="10"/>
      <c r="DG513" s="10"/>
      <c r="DN513" s="10"/>
      <c r="DU513" s="10"/>
    </row>
    <row r="514" spans="3:125" ht="15.75" customHeight="1" x14ac:dyDescent="0.25">
      <c r="C514" s="8"/>
      <c r="BJ514" s="10"/>
      <c r="BX514" s="10"/>
      <c r="CE514" s="10"/>
      <c r="CL514" s="10"/>
      <c r="CS514" s="10"/>
      <c r="CZ514" s="10"/>
      <c r="DG514" s="10"/>
      <c r="DN514" s="10"/>
      <c r="DU514" s="10"/>
    </row>
    <row r="515" spans="3:125" ht="15.75" customHeight="1" x14ac:dyDescent="0.25">
      <c r="C515" s="8"/>
      <c r="BJ515" s="10"/>
      <c r="BX515" s="10"/>
      <c r="CE515" s="10"/>
      <c r="CL515" s="10"/>
      <c r="CS515" s="10"/>
      <c r="CZ515" s="10"/>
      <c r="DG515" s="10"/>
      <c r="DN515" s="10"/>
      <c r="DU515" s="10"/>
    </row>
    <row r="516" spans="3:125" ht="15.75" customHeight="1" x14ac:dyDescent="0.25">
      <c r="C516" s="8"/>
      <c r="BJ516" s="10"/>
      <c r="BX516" s="10"/>
      <c r="CE516" s="10"/>
      <c r="CL516" s="10"/>
      <c r="CS516" s="10"/>
      <c r="CZ516" s="10"/>
      <c r="DG516" s="10"/>
      <c r="DN516" s="10"/>
      <c r="DU516" s="10"/>
    </row>
    <row r="517" spans="3:125" ht="15.75" customHeight="1" x14ac:dyDescent="0.25">
      <c r="C517" s="8"/>
      <c r="BJ517" s="10"/>
      <c r="BX517" s="10"/>
      <c r="CE517" s="10"/>
      <c r="CL517" s="10"/>
      <c r="CS517" s="10"/>
      <c r="CZ517" s="10"/>
      <c r="DG517" s="10"/>
      <c r="DN517" s="10"/>
      <c r="DU517" s="10"/>
    </row>
    <row r="518" spans="3:125" ht="15.75" customHeight="1" x14ac:dyDescent="0.25">
      <c r="C518" s="8"/>
      <c r="BJ518" s="10"/>
      <c r="BX518" s="10"/>
      <c r="CE518" s="10"/>
      <c r="CL518" s="10"/>
      <c r="CS518" s="10"/>
      <c r="CZ518" s="10"/>
      <c r="DG518" s="10"/>
      <c r="DN518" s="10"/>
      <c r="DU518" s="10"/>
    </row>
    <row r="519" spans="3:125" ht="15.75" customHeight="1" x14ac:dyDescent="0.25">
      <c r="C519" s="8"/>
      <c r="BJ519" s="10"/>
      <c r="BX519" s="10"/>
      <c r="CE519" s="10"/>
      <c r="CL519" s="10"/>
      <c r="CS519" s="10"/>
      <c r="CZ519" s="10"/>
      <c r="DG519" s="10"/>
      <c r="DN519" s="10"/>
      <c r="DU519" s="10"/>
    </row>
    <row r="520" spans="3:125" ht="15.75" customHeight="1" x14ac:dyDescent="0.25">
      <c r="C520" s="8"/>
      <c r="BJ520" s="10"/>
      <c r="BX520" s="10"/>
      <c r="CE520" s="10"/>
      <c r="CL520" s="10"/>
      <c r="CS520" s="10"/>
      <c r="CZ520" s="10"/>
      <c r="DG520" s="10"/>
      <c r="DN520" s="10"/>
      <c r="DU520" s="10"/>
    </row>
    <row r="521" spans="3:125" ht="15.75" customHeight="1" x14ac:dyDescent="0.25">
      <c r="C521" s="8"/>
      <c r="BJ521" s="10"/>
      <c r="BX521" s="10"/>
      <c r="CE521" s="10"/>
      <c r="CL521" s="10"/>
      <c r="CS521" s="10"/>
      <c r="CZ521" s="10"/>
      <c r="DG521" s="10"/>
      <c r="DN521" s="10"/>
      <c r="DU521" s="10"/>
    </row>
    <row r="522" spans="3:125" ht="15.75" customHeight="1" x14ac:dyDescent="0.25">
      <c r="C522" s="8"/>
      <c r="BJ522" s="10"/>
      <c r="BX522" s="10"/>
      <c r="CE522" s="10"/>
      <c r="CL522" s="10"/>
      <c r="CS522" s="10"/>
      <c r="CZ522" s="10"/>
      <c r="DG522" s="10"/>
      <c r="DN522" s="10"/>
      <c r="DU522" s="10"/>
    </row>
    <row r="523" spans="3:125" ht="15.75" customHeight="1" x14ac:dyDescent="0.25">
      <c r="C523" s="8"/>
      <c r="BJ523" s="10"/>
      <c r="BX523" s="10"/>
      <c r="CE523" s="10"/>
      <c r="CL523" s="10"/>
      <c r="CS523" s="10"/>
      <c r="CZ523" s="10"/>
      <c r="DG523" s="10"/>
      <c r="DN523" s="10"/>
      <c r="DU523" s="10"/>
    </row>
    <row r="524" spans="3:125" ht="15.75" customHeight="1" x14ac:dyDescent="0.25">
      <c r="C524" s="8"/>
      <c r="BJ524" s="10"/>
      <c r="BX524" s="10"/>
      <c r="CE524" s="10"/>
      <c r="CL524" s="10"/>
      <c r="CS524" s="10"/>
      <c r="CZ524" s="10"/>
      <c r="DG524" s="10"/>
      <c r="DN524" s="10"/>
      <c r="DU524" s="10"/>
    </row>
    <row r="525" spans="3:125" ht="15.75" customHeight="1" x14ac:dyDescent="0.25">
      <c r="C525" s="8"/>
      <c r="BJ525" s="10"/>
      <c r="BX525" s="10"/>
      <c r="CE525" s="10"/>
      <c r="CL525" s="10"/>
      <c r="CS525" s="10"/>
      <c r="CZ525" s="10"/>
      <c r="DG525" s="10"/>
      <c r="DN525" s="10"/>
      <c r="DU525" s="10"/>
    </row>
    <row r="526" spans="3:125" ht="15.75" customHeight="1" x14ac:dyDescent="0.25">
      <c r="C526" s="8"/>
      <c r="BJ526" s="10"/>
      <c r="BX526" s="10"/>
      <c r="CE526" s="10"/>
      <c r="CL526" s="10"/>
      <c r="CS526" s="10"/>
      <c r="CZ526" s="10"/>
      <c r="DG526" s="10"/>
      <c r="DN526" s="10"/>
      <c r="DU526" s="10"/>
    </row>
    <row r="527" spans="3:125" ht="15.75" customHeight="1" x14ac:dyDescent="0.25">
      <c r="C527" s="8"/>
      <c r="BJ527" s="10"/>
      <c r="BX527" s="10"/>
      <c r="CE527" s="10"/>
      <c r="CL527" s="10"/>
      <c r="CS527" s="10"/>
      <c r="CZ527" s="10"/>
      <c r="DG527" s="10"/>
      <c r="DN527" s="10"/>
      <c r="DU527" s="10"/>
    </row>
    <row r="528" spans="3:125" ht="15.75" customHeight="1" x14ac:dyDescent="0.25">
      <c r="C528" s="8"/>
      <c r="BJ528" s="10"/>
      <c r="BX528" s="10"/>
      <c r="CE528" s="10"/>
      <c r="CL528" s="10"/>
      <c r="CS528" s="10"/>
      <c r="CZ528" s="10"/>
      <c r="DG528" s="10"/>
      <c r="DN528" s="10"/>
      <c r="DU528" s="10"/>
    </row>
    <row r="529" spans="3:125" ht="15.75" customHeight="1" x14ac:dyDescent="0.25">
      <c r="C529" s="8"/>
      <c r="BJ529" s="10"/>
      <c r="BX529" s="10"/>
      <c r="CE529" s="10"/>
      <c r="CL529" s="10"/>
      <c r="CS529" s="10"/>
      <c r="CZ529" s="10"/>
      <c r="DG529" s="10"/>
      <c r="DN529" s="10"/>
      <c r="DU529" s="10"/>
    </row>
    <row r="530" spans="3:125" ht="15.75" customHeight="1" x14ac:dyDescent="0.25">
      <c r="C530" s="8"/>
      <c r="BJ530" s="10"/>
      <c r="BX530" s="10"/>
      <c r="CE530" s="10"/>
      <c r="CL530" s="10"/>
      <c r="CS530" s="10"/>
      <c r="CZ530" s="10"/>
      <c r="DG530" s="10"/>
      <c r="DN530" s="10"/>
      <c r="DU530" s="10"/>
    </row>
    <row r="531" spans="3:125" ht="15.75" customHeight="1" x14ac:dyDescent="0.25">
      <c r="C531" s="8"/>
      <c r="BJ531" s="10"/>
      <c r="BX531" s="10"/>
      <c r="CE531" s="10"/>
      <c r="CL531" s="10"/>
      <c r="CS531" s="10"/>
      <c r="CZ531" s="10"/>
      <c r="DG531" s="10"/>
      <c r="DN531" s="10"/>
      <c r="DU531" s="10"/>
    </row>
    <row r="532" spans="3:125" ht="15.75" customHeight="1" x14ac:dyDescent="0.25">
      <c r="C532" s="8"/>
      <c r="BJ532" s="10"/>
      <c r="BX532" s="10"/>
      <c r="CE532" s="10"/>
      <c r="CL532" s="10"/>
      <c r="CS532" s="10"/>
      <c r="CZ532" s="10"/>
      <c r="DG532" s="10"/>
      <c r="DN532" s="10"/>
      <c r="DU532" s="10"/>
    </row>
    <row r="533" spans="3:125" ht="15.75" customHeight="1" x14ac:dyDescent="0.25">
      <c r="C533" s="8"/>
      <c r="BJ533" s="10"/>
      <c r="BX533" s="10"/>
      <c r="CE533" s="10"/>
      <c r="CL533" s="10"/>
      <c r="CS533" s="10"/>
      <c r="CZ533" s="10"/>
      <c r="DG533" s="10"/>
      <c r="DN533" s="10"/>
      <c r="DU533" s="10"/>
    </row>
    <row r="534" spans="3:125" ht="15.75" customHeight="1" x14ac:dyDescent="0.25">
      <c r="C534" s="8"/>
      <c r="BJ534" s="10"/>
      <c r="BX534" s="10"/>
      <c r="CE534" s="10"/>
      <c r="CL534" s="10"/>
      <c r="CS534" s="10"/>
      <c r="CZ534" s="10"/>
      <c r="DG534" s="10"/>
      <c r="DN534" s="10"/>
      <c r="DU534" s="10"/>
    </row>
    <row r="535" spans="3:125" ht="15.75" customHeight="1" x14ac:dyDescent="0.25">
      <c r="C535" s="8"/>
      <c r="BJ535" s="10"/>
      <c r="BX535" s="10"/>
      <c r="CE535" s="10"/>
      <c r="CL535" s="10"/>
      <c r="CS535" s="10"/>
      <c r="CZ535" s="10"/>
      <c r="DG535" s="10"/>
      <c r="DN535" s="10"/>
      <c r="DU535" s="10"/>
    </row>
    <row r="536" spans="3:125" ht="15.75" customHeight="1" x14ac:dyDescent="0.25">
      <c r="C536" s="8"/>
      <c r="BJ536" s="10"/>
      <c r="BX536" s="10"/>
      <c r="CE536" s="10"/>
      <c r="CL536" s="10"/>
      <c r="CS536" s="10"/>
      <c r="CZ536" s="10"/>
      <c r="DG536" s="10"/>
      <c r="DN536" s="10"/>
      <c r="DU536" s="10"/>
    </row>
    <row r="537" spans="3:125" ht="15.75" customHeight="1" x14ac:dyDescent="0.25">
      <c r="C537" s="8"/>
      <c r="BJ537" s="10"/>
      <c r="BX537" s="10"/>
      <c r="CE537" s="10"/>
      <c r="CL537" s="10"/>
      <c r="CS537" s="10"/>
      <c r="CZ537" s="10"/>
      <c r="DG537" s="10"/>
      <c r="DN537" s="10"/>
      <c r="DU537" s="10"/>
    </row>
    <row r="538" spans="3:125" ht="15.75" customHeight="1" x14ac:dyDescent="0.25">
      <c r="C538" s="8"/>
      <c r="BJ538" s="10"/>
      <c r="BX538" s="10"/>
      <c r="CE538" s="10"/>
      <c r="CL538" s="10"/>
      <c r="CS538" s="10"/>
      <c r="CZ538" s="10"/>
      <c r="DG538" s="10"/>
      <c r="DN538" s="10"/>
      <c r="DU538" s="10"/>
    </row>
    <row r="539" spans="3:125" ht="15.75" customHeight="1" x14ac:dyDescent="0.25">
      <c r="C539" s="8"/>
      <c r="BJ539" s="10"/>
      <c r="BX539" s="10"/>
      <c r="CE539" s="10"/>
      <c r="CL539" s="10"/>
      <c r="CS539" s="10"/>
      <c r="CZ539" s="10"/>
      <c r="DG539" s="10"/>
      <c r="DN539" s="10"/>
      <c r="DU539" s="10"/>
    </row>
    <row r="540" spans="3:125" ht="15.75" customHeight="1" x14ac:dyDescent="0.25">
      <c r="C540" s="8"/>
      <c r="BJ540" s="10"/>
      <c r="BX540" s="10"/>
      <c r="CE540" s="10"/>
      <c r="CL540" s="10"/>
      <c r="CS540" s="10"/>
      <c r="CZ540" s="10"/>
      <c r="DG540" s="10"/>
      <c r="DN540" s="10"/>
      <c r="DU540" s="10"/>
    </row>
    <row r="541" spans="3:125" ht="15.75" customHeight="1" x14ac:dyDescent="0.25">
      <c r="C541" s="8"/>
      <c r="BJ541" s="10"/>
      <c r="BX541" s="10"/>
      <c r="CE541" s="10"/>
      <c r="CL541" s="10"/>
      <c r="CS541" s="10"/>
      <c r="CZ541" s="10"/>
      <c r="DG541" s="10"/>
      <c r="DN541" s="10"/>
      <c r="DU541" s="10"/>
    </row>
    <row r="542" spans="3:125" ht="15.75" customHeight="1" x14ac:dyDescent="0.25">
      <c r="C542" s="8"/>
      <c r="BJ542" s="10"/>
      <c r="BX542" s="10"/>
      <c r="CE542" s="10"/>
      <c r="CL542" s="10"/>
      <c r="CS542" s="10"/>
      <c r="CZ542" s="10"/>
      <c r="DG542" s="10"/>
      <c r="DN542" s="10"/>
      <c r="DU542" s="10"/>
    </row>
    <row r="543" spans="3:125" ht="15.75" customHeight="1" x14ac:dyDescent="0.25">
      <c r="C543" s="8"/>
      <c r="BJ543" s="10"/>
      <c r="BX543" s="10"/>
      <c r="CE543" s="10"/>
      <c r="CL543" s="10"/>
      <c r="CS543" s="10"/>
      <c r="CZ543" s="10"/>
      <c r="DG543" s="10"/>
      <c r="DN543" s="10"/>
      <c r="DU543" s="10"/>
    </row>
    <row r="544" spans="3:125" ht="15.75" customHeight="1" x14ac:dyDescent="0.25">
      <c r="C544" s="8"/>
      <c r="BJ544" s="10"/>
      <c r="BX544" s="10"/>
      <c r="CE544" s="10"/>
      <c r="CL544" s="10"/>
      <c r="CS544" s="10"/>
      <c r="CZ544" s="10"/>
      <c r="DG544" s="10"/>
      <c r="DN544" s="10"/>
      <c r="DU544" s="10"/>
    </row>
    <row r="545" spans="3:125" ht="15.75" customHeight="1" x14ac:dyDescent="0.25">
      <c r="C545" s="8"/>
      <c r="BJ545" s="10"/>
      <c r="BX545" s="10"/>
      <c r="CE545" s="10"/>
      <c r="CL545" s="10"/>
      <c r="CS545" s="10"/>
      <c r="CZ545" s="10"/>
      <c r="DG545" s="10"/>
      <c r="DN545" s="10"/>
      <c r="DU545" s="10"/>
    </row>
    <row r="546" spans="3:125" ht="15.75" customHeight="1" x14ac:dyDescent="0.25">
      <c r="C546" s="8"/>
      <c r="BJ546" s="10"/>
      <c r="BX546" s="10"/>
      <c r="CE546" s="10"/>
      <c r="CL546" s="10"/>
      <c r="CS546" s="10"/>
      <c r="CZ546" s="10"/>
      <c r="DG546" s="10"/>
      <c r="DN546" s="10"/>
      <c r="DU546" s="10"/>
    </row>
    <row r="547" spans="3:125" ht="15.75" customHeight="1" x14ac:dyDescent="0.25">
      <c r="C547" s="8"/>
      <c r="BJ547" s="10"/>
      <c r="BX547" s="10"/>
      <c r="CE547" s="10"/>
      <c r="CL547" s="10"/>
      <c r="CS547" s="10"/>
      <c r="CZ547" s="10"/>
      <c r="DG547" s="10"/>
      <c r="DN547" s="10"/>
      <c r="DU547" s="10"/>
    </row>
    <row r="548" spans="3:125" ht="15.75" customHeight="1" x14ac:dyDescent="0.25">
      <c r="C548" s="8"/>
      <c r="BJ548" s="10"/>
      <c r="BX548" s="10"/>
      <c r="CE548" s="10"/>
      <c r="CL548" s="10"/>
      <c r="CS548" s="10"/>
      <c r="CZ548" s="10"/>
      <c r="DG548" s="10"/>
      <c r="DN548" s="10"/>
      <c r="DU548" s="10"/>
    </row>
    <row r="549" spans="3:125" ht="15.75" customHeight="1" x14ac:dyDescent="0.25">
      <c r="C549" s="8"/>
      <c r="BJ549" s="10"/>
      <c r="BX549" s="10"/>
      <c r="CE549" s="10"/>
      <c r="CL549" s="10"/>
      <c r="CS549" s="10"/>
      <c r="CZ549" s="10"/>
      <c r="DG549" s="10"/>
      <c r="DN549" s="10"/>
      <c r="DU549" s="10"/>
    </row>
    <row r="550" spans="3:125" ht="15.75" customHeight="1" x14ac:dyDescent="0.25">
      <c r="C550" s="8"/>
      <c r="BJ550" s="10"/>
      <c r="BX550" s="10"/>
      <c r="CE550" s="10"/>
      <c r="CL550" s="10"/>
      <c r="CS550" s="10"/>
      <c r="CZ550" s="10"/>
      <c r="DG550" s="10"/>
      <c r="DN550" s="10"/>
      <c r="DU550" s="10"/>
    </row>
    <row r="551" spans="3:125" ht="15.75" customHeight="1" x14ac:dyDescent="0.25">
      <c r="C551" s="8"/>
      <c r="BJ551" s="10"/>
      <c r="BX551" s="10"/>
      <c r="CE551" s="10"/>
      <c r="CL551" s="10"/>
      <c r="CS551" s="10"/>
      <c r="CZ551" s="10"/>
      <c r="DG551" s="10"/>
      <c r="DN551" s="10"/>
      <c r="DU551" s="10"/>
    </row>
    <row r="552" spans="3:125" ht="15.75" customHeight="1" x14ac:dyDescent="0.25">
      <c r="C552" s="8"/>
      <c r="BJ552" s="10"/>
      <c r="BX552" s="10"/>
      <c r="CE552" s="10"/>
      <c r="CL552" s="10"/>
      <c r="CS552" s="10"/>
      <c r="CZ552" s="10"/>
      <c r="DG552" s="10"/>
      <c r="DN552" s="10"/>
      <c r="DU552" s="10"/>
    </row>
    <row r="553" spans="3:125" ht="15.75" customHeight="1" x14ac:dyDescent="0.25">
      <c r="C553" s="8"/>
      <c r="BJ553" s="10"/>
      <c r="BX553" s="10"/>
      <c r="CE553" s="10"/>
      <c r="CL553" s="10"/>
      <c r="CS553" s="10"/>
      <c r="CZ553" s="10"/>
      <c r="DG553" s="10"/>
      <c r="DN553" s="10"/>
      <c r="DU553" s="10"/>
    </row>
    <row r="554" spans="3:125" ht="15.75" customHeight="1" x14ac:dyDescent="0.25">
      <c r="C554" s="8"/>
      <c r="BJ554" s="10"/>
      <c r="BX554" s="10"/>
      <c r="CE554" s="10"/>
      <c r="CL554" s="10"/>
      <c r="CS554" s="10"/>
      <c r="CZ554" s="10"/>
      <c r="DG554" s="10"/>
      <c r="DN554" s="10"/>
      <c r="DU554" s="10"/>
    </row>
    <row r="555" spans="3:125" ht="15.75" customHeight="1" x14ac:dyDescent="0.25">
      <c r="C555" s="8"/>
      <c r="BJ555" s="10"/>
      <c r="BX555" s="10"/>
      <c r="CE555" s="10"/>
      <c r="CL555" s="10"/>
      <c r="CS555" s="10"/>
      <c r="CZ555" s="10"/>
      <c r="DG555" s="10"/>
      <c r="DN555" s="10"/>
      <c r="DU555" s="10"/>
    </row>
    <row r="556" spans="3:125" ht="15.75" customHeight="1" x14ac:dyDescent="0.25">
      <c r="C556" s="8"/>
      <c r="BJ556" s="10"/>
      <c r="BX556" s="10"/>
      <c r="CE556" s="10"/>
      <c r="CL556" s="10"/>
      <c r="CS556" s="10"/>
      <c r="CZ556" s="10"/>
      <c r="DG556" s="10"/>
      <c r="DN556" s="10"/>
      <c r="DU556" s="10"/>
    </row>
    <row r="557" spans="3:125" ht="15.75" customHeight="1" x14ac:dyDescent="0.25">
      <c r="C557" s="8"/>
      <c r="BJ557" s="10"/>
      <c r="BX557" s="10"/>
      <c r="CE557" s="10"/>
      <c r="CL557" s="10"/>
      <c r="CS557" s="10"/>
      <c r="CZ557" s="10"/>
      <c r="DG557" s="10"/>
      <c r="DN557" s="10"/>
      <c r="DU557" s="10"/>
    </row>
    <row r="558" spans="3:125" ht="15.75" customHeight="1" x14ac:dyDescent="0.25">
      <c r="C558" s="8"/>
      <c r="BJ558" s="10"/>
      <c r="BX558" s="10"/>
      <c r="CE558" s="10"/>
      <c r="CL558" s="10"/>
      <c r="CS558" s="10"/>
      <c r="CZ558" s="10"/>
      <c r="DG558" s="10"/>
      <c r="DN558" s="10"/>
      <c r="DU558" s="10"/>
    </row>
    <row r="559" spans="3:125" ht="15.75" customHeight="1" x14ac:dyDescent="0.25">
      <c r="C559" s="8"/>
      <c r="BJ559" s="10"/>
      <c r="BX559" s="10"/>
      <c r="CE559" s="10"/>
      <c r="CL559" s="10"/>
      <c r="CS559" s="10"/>
      <c r="CZ559" s="10"/>
      <c r="DG559" s="10"/>
      <c r="DN559" s="10"/>
      <c r="DU559" s="10"/>
    </row>
    <row r="560" spans="3:125" ht="15.75" customHeight="1" x14ac:dyDescent="0.25">
      <c r="C560" s="8"/>
      <c r="BJ560" s="10"/>
      <c r="BX560" s="10"/>
      <c r="CE560" s="10"/>
      <c r="CL560" s="10"/>
      <c r="CS560" s="10"/>
      <c r="CZ560" s="10"/>
      <c r="DG560" s="10"/>
      <c r="DN560" s="10"/>
      <c r="DU560" s="10"/>
    </row>
    <row r="561" spans="3:125" ht="15.75" customHeight="1" x14ac:dyDescent="0.25">
      <c r="C561" s="8"/>
      <c r="BJ561" s="10"/>
      <c r="BX561" s="10"/>
      <c r="CE561" s="10"/>
      <c r="CL561" s="10"/>
      <c r="CS561" s="10"/>
      <c r="CZ561" s="10"/>
      <c r="DG561" s="10"/>
      <c r="DN561" s="10"/>
      <c r="DU561" s="10"/>
    </row>
    <row r="562" spans="3:125" ht="15.75" customHeight="1" x14ac:dyDescent="0.25">
      <c r="C562" s="8"/>
      <c r="BJ562" s="10"/>
      <c r="BX562" s="10"/>
      <c r="CE562" s="10"/>
      <c r="CL562" s="10"/>
      <c r="CS562" s="10"/>
      <c r="CZ562" s="10"/>
      <c r="DG562" s="10"/>
      <c r="DN562" s="10"/>
      <c r="DU562" s="10"/>
    </row>
    <row r="563" spans="3:125" ht="15.75" customHeight="1" x14ac:dyDescent="0.25">
      <c r="C563" s="8"/>
      <c r="BJ563" s="10"/>
      <c r="BX563" s="10"/>
      <c r="CE563" s="10"/>
      <c r="CL563" s="10"/>
      <c r="CS563" s="10"/>
      <c r="CZ563" s="10"/>
      <c r="DG563" s="10"/>
      <c r="DN563" s="10"/>
      <c r="DU563" s="10"/>
    </row>
    <row r="564" spans="3:125" ht="15.75" customHeight="1" x14ac:dyDescent="0.25">
      <c r="C564" s="8"/>
      <c r="BJ564" s="10"/>
      <c r="BX564" s="10"/>
      <c r="CE564" s="10"/>
      <c r="CL564" s="10"/>
      <c r="CS564" s="10"/>
      <c r="CZ564" s="10"/>
      <c r="DG564" s="10"/>
      <c r="DN564" s="10"/>
      <c r="DU564" s="10"/>
    </row>
    <row r="565" spans="3:125" ht="15.75" customHeight="1" x14ac:dyDescent="0.25">
      <c r="C565" s="8"/>
      <c r="BJ565" s="10"/>
      <c r="BX565" s="10"/>
      <c r="CE565" s="10"/>
      <c r="CL565" s="10"/>
      <c r="CS565" s="10"/>
      <c r="CZ565" s="10"/>
      <c r="DG565" s="10"/>
      <c r="DN565" s="10"/>
      <c r="DU565" s="10"/>
    </row>
    <row r="566" spans="3:125" ht="15.75" customHeight="1" x14ac:dyDescent="0.25">
      <c r="C566" s="8"/>
      <c r="BJ566" s="10"/>
      <c r="BX566" s="10"/>
      <c r="CE566" s="10"/>
      <c r="CL566" s="10"/>
      <c r="CS566" s="10"/>
      <c r="CZ566" s="10"/>
      <c r="DG566" s="10"/>
      <c r="DN566" s="10"/>
      <c r="DU566" s="10"/>
    </row>
    <row r="567" spans="3:125" ht="15.75" customHeight="1" x14ac:dyDescent="0.25">
      <c r="C567" s="8"/>
      <c r="BJ567" s="10"/>
      <c r="BX567" s="10"/>
      <c r="CE567" s="10"/>
      <c r="CL567" s="10"/>
      <c r="CS567" s="10"/>
      <c r="CZ567" s="10"/>
      <c r="DG567" s="10"/>
      <c r="DN567" s="10"/>
      <c r="DU567" s="10"/>
    </row>
    <row r="568" spans="3:125" ht="15.75" customHeight="1" x14ac:dyDescent="0.25">
      <c r="C568" s="8"/>
      <c r="BJ568" s="10"/>
      <c r="BX568" s="10"/>
      <c r="CE568" s="10"/>
      <c r="CL568" s="10"/>
      <c r="CS568" s="10"/>
      <c r="CZ568" s="10"/>
      <c r="DG568" s="10"/>
      <c r="DN568" s="10"/>
      <c r="DU568" s="10"/>
    </row>
    <row r="569" spans="3:125" ht="15.75" customHeight="1" x14ac:dyDescent="0.25">
      <c r="C569" s="8"/>
      <c r="BJ569" s="10"/>
      <c r="BX569" s="10"/>
      <c r="CE569" s="10"/>
      <c r="CL569" s="10"/>
      <c r="CS569" s="10"/>
      <c r="CZ569" s="10"/>
      <c r="DG569" s="10"/>
      <c r="DN569" s="10"/>
      <c r="DU569" s="10"/>
    </row>
    <row r="570" spans="3:125" ht="15.75" customHeight="1" x14ac:dyDescent="0.25">
      <c r="C570" s="8"/>
      <c r="BJ570" s="10"/>
      <c r="BX570" s="10"/>
      <c r="CE570" s="10"/>
      <c r="CL570" s="10"/>
      <c r="CS570" s="10"/>
      <c r="CZ570" s="10"/>
      <c r="DG570" s="10"/>
      <c r="DN570" s="10"/>
      <c r="DU570" s="10"/>
    </row>
    <row r="571" spans="3:125" ht="15.75" customHeight="1" x14ac:dyDescent="0.25">
      <c r="C571" s="8"/>
      <c r="BJ571" s="10"/>
      <c r="BX571" s="10"/>
      <c r="CE571" s="10"/>
      <c r="CL571" s="10"/>
      <c r="CS571" s="10"/>
      <c r="CZ571" s="10"/>
      <c r="DG571" s="10"/>
      <c r="DN571" s="10"/>
      <c r="DU571" s="10"/>
    </row>
    <row r="572" spans="3:125" ht="15.75" customHeight="1" x14ac:dyDescent="0.25">
      <c r="C572" s="8"/>
      <c r="BJ572" s="10"/>
      <c r="BX572" s="10"/>
      <c r="CE572" s="10"/>
      <c r="CL572" s="10"/>
      <c r="CS572" s="10"/>
      <c r="CZ572" s="10"/>
      <c r="DG572" s="10"/>
      <c r="DN572" s="10"/>
      <c r="DU572" s="10"/>
    </row>
    <row r="573" spans="3:125" ht="15.75" customHeight="1" x14ac:dyDescent="0.25">
      <c r="C573" s="8"/>
      <c r="BJ573" s="10"/>
      <c r="BX573" s="10"/>
      <c r="CE573" s="10"/>
      <c r="CL573" s="10"/>
      <c r="CS573" s="10"/>
      <c r="CZ573" s="10"/>
      <c r="DG573" s="10"/>
      <c r="DN573" s="10"/>
      <c r="DU573" s="10"/>
    </row>
    <row r="574" spans="3:125" ht="15.75" customHeight="1" x14ac:dyDescent="0.25">
      <c r="C574" s="8"/>
      <c r="BJ574" s="10"/>
      <c r="BX574" s="10"/>
      <c r="CE574" s="10"/>
      <c r="CL574" s="10"/>
      <c r="CS574" s="10"/>
      <c r="CZ574" s="10"/>
      <c r="DG574" s="10"/>
      <c r="DN574" s="10"/>
      <c r="DU574" s="10"/>
    </row>
    <row r="575" spans="3:125" ht="15.75" customHeight="1" x14ac:dyDescent="0.25">
      <c r="C575" s="8"/>
      <c r="BJ575" s="10"/>
      <c r="BX575" s="10"/>
      <c r="CE575" s="10"/>
      <c r="CL575" s="10"/>
      <c r="CS575" s="10"/>
      <c r="CZ575" s="10"/>
      <c r="DG575" s="10"/>
      <c r="DN575" s="10"/>
      <c r="DU575" s="10"/>
    </row>
    <row r="576" spans="3:125" ht="15.75" customHeight="1" x14ac:dyDescent="0.25">
      <c r="C576" s="8"/>
      <c r="BJ576" s="10"/>
      <c r="BX576" s="10"/>
      <c r="CE576" s="10"/>
      <c r="CL576" s="10"/>
      <c r="CS576" s="10"/>
      <c r="CZ576" s="10"/>
      <c r="DG576" s="10"/>
      <c r="DN576" s="10"/>
      <c r="DU576" s="10"/>
    </row>
    <row r="577" spans="3:125" ht="15.75" customHeight="1" x14ac:dyDescent="0.25">
      <c r="C577" s="8"/>
      <c r="BJ577" s="10"/>
      <c r="BX577" s="10"/>
      <c r="CE577" s="10"/>
      <c r="CL577" s="10"/>
      <c r="CS577" s="10"/>
      <c r="CZ577" s="10"/>
      <c r="DG577" s="10"/>
      <c r="DN577" s="10"/>
      <c r="DU577" s="10"/>
    </row>
    <row r="578" spans="3:125" ht="15.75" customHeight="1" x14ac:dyDescent="0.25">
      <c r="C578" s="8"/>
      <c r="BJ578" s="10"/>
      <c r="BX578" s="10"/>
      <c r="CE578" s="10"/>
      <c r="CL578" s="10"/>
      <c r="CS578" s="10"/>
      <c r="CZ578" s="10"/>
      <c r="DG578" s="10"/>
      <c r="DN578" s="10"/>
      <c r="DU578" s="10"/>
    </row>
    <row r="579" spans="3:125" ht="15.75" customHeight="1" x14ac:dyDescent="0.25">
      <c r="C579" s="8"/>
      <c r="BJ579" s="10"/>
      <c r="BX579" s="10"/>
      <c r="CE579" s="10"/>
      <c r="CL579" s="10"/>
      <c r="CS579" s="10"/>
      <c r="CZ579" s="10"/>
      <c r="DG579" s="10"/>
      <c r="DN579" s="10"/>
      <c r="DU579" s="10"/>
    </row>
    <row r="580" spans="3:125" ht="15.75" customHeight="1" x14ac:dyDescent="0.25">
      <c r="C580" s="8"/>
      <c r="BJ580" s="10"/>
      <c r="BX580" s="10"/>
      <c r="CE580" s="10"/>
      <c r="CL580" s="10"/>
      <c r="CS580" s="10"/>
      <c r="CZ580" s="10"/>
      <c r="DG580" s="10"/>
      <c r="DN580" s="10"/>
      <c r="DU580" s="10"/>
    </row>
    <row r="581" spans="3:125" ht="15.75" customHeight="1" x14ac:dyDescent="0.25">
      <c r="C581" s="8"/>
      <c r="BJ581" s="10"/>
      <c r="BX581" s="10"/>
      <c r="CE581" s="10"/>
      <c r="CL581" s="10"/>
      <c r="CS581" s="10"/>
      <c r="CZ581" s="10"/>
      <c r="DG581" s="10"/>
      <c r="DN581" s="10"/>
      <c r="DU581" s="10"/>
    </row>
    <row r="582" spans="3:125" ht="15.75" customHeight="1" x14ac:dyDescent="0.25">
      <c r="C582" s="8"/>
      <c r="BJ582" s="10"/>
      <c r="BX582" s="10"/>
      <c r="CE582" s="10"/>
      <c r="CL582" s="10"/>
      <c r="CS582" s="10"/>
      <c r="CZ582" s="10"/>
      <c r="DG582" s="10"/>
      <c r="DN582" s="10"/>
      <c r="DU582" s="10"/>
    </row>
    <row r="583" spans="3:125" ht="15.75" customHeight="1" x14ac:dyDescent="0.25">
      <c r="C583" s="8"/>
      <c r="BJ583" s="10"/>
      <c r="BX583" s="10"/>
      <c r="CE583" s="10"/>
      <c r="CL583" s="10"/>
      <c r="CS583" s="10"/>
      <c r="CZ583" s="10"/>
      <c r="DG583" s="10"/>
      <c r="DN583" s="10"/>
      <c r="DU583" s="10"/>
    </row>
    <row r="584" spans="3:125" ht="15.75" customHeight="1" x14ac:dyDescent="0.25">
      <c r="C584" s="8"/>
      <c r="BJ584" s="10"/>
      <c r="BX584" s="10"/>
      <c r="CE584" s="10"/>
      <c r="CL584" s="10"/>
      <c r="CS584" s="10"/>
      <c r="CZ584" s="10"/>
      <c r="DG584" s="10"/>
      <c r="DN584" s="10"/>
      <c r="DU584" s="10"/>
    </row>
    <row r="585" spans="3:125" ht="15.75" customHeight="1" x14ac:dyDescent="0.25">
      <c r="C585" s="8"/>
      <c r="BJ585" s="10"/>
      <c r="BX585" s="10"/>
      <c r="CE585" s="10"/>
      <c r="CL585" s="10"/>
      <c r="CS585" s="10"/>
      <c r="CZ585" s="10"/>
      <c r="DG585" s="10"/>
      <c r="DN585" s="10"/>
      <c r="DU585" s="10"/>
    </row>
    <row r="586" spans="3:125" ht="15.75" customHeight="1" x14ac:dyDescent="0.25">
      <c r="C586" s="8"/>
      <c r="BJ586" s="10"/>
      <c r="BX586" s="10"/>
      <c r="CE586" s="10"/>
      <c r="CL586" s="10"/>
      <c r="CS586" s="10"/>
      <c r="CZ586" s="10"/>
      <c r="DG586" s="10"/>
      <c r="DN586" s="10"/>
      <c r="DU586" s="10"/>
    </row>
    <row r="587" spans="3:125" ht="15.75" customHeight="1" x14ac:dyDescent="0.25">
      <c r="C587" s="8"/>
      <c r="BJ587" s="10"/>
      <c r="BX587" s="10"/>
      <c r="CE587" s="10"/>
      <c r="CL587" s="10"/>
      <c r="CS587" s="10"/>
      <c r="CZ587" s="10"/>
      <c r="DG587" s="10"/>
      <c r="DN587" s="10"/>
      <c r="DU587" s="10"/>
    </row>
    <row r="588" spans="3:125" ht="15.75" customHeight="1" x14ac:dyDescent="0.25">
      <c r="C588" s="8"/>
      <c r="BJ588" s="10"/>
      <c r="BX588" s="10"/>
      <c r="CE588" s="10"/>
      <c r="CL588" s="10"/>
      <c r="CS588" s="10"/>
      <c r="CZ588" s="10"/>
      <c r="DG588" s="10"/>
      <c r="DN588" s="10"/>
      <c r="DU588" s="10"/>
    </row>
    <row r="589" spans="3:125" ht="15.75" customHeight="1" x14ac:dyDescent="0.25">
      <c r="C589" s="8"/>
      <c r="BJ589" s="10"/>
      <c r="BX589" s="10"/>
      <c r="CE589" s="10"/>
      <c r="CL589" s="10"/>
      <c r="CS589" s="10"/>
      <c r="CZ589" s="10"/>
      <c r="DG589" s="10"/>
      <c r="DN589" s="10"/>
      <c r="DU589" s="10"/>
    </row>
    <row r="590" spans="3:125" ht="15.75" customHeight="1" x14ac:dyDescent="0.25">
      <c r="C590" s="8"/>
      <c r="BJ590" s="10"/>
      <c r="BX590" s="10"/>
      <c r="CE590" s="10"/>
      <c r="CL590" s="10"/>
      <c r="CS590" s="10"/>
      <c r="CZ590" s="10"/>
      <c r="DG590" s="10"/>
      <c r="DN590" s="10"/>
      <c r="DU590" s="10"/>
    </row>
    <row r="591" spans="3:125" ht="15.75" customHeight="1" x14ac:dyDescent="0.25">
      <c r="C591" s="8"/>
      <c r="BJ591" s="10"/>
      <c r="BX591" s="10"/>
      <c r="CE591" s="10"/>
      <c r="CL591" s="10"/>
      <c r="CS591" s="10"/>
      <c r="CZ591" s="10"/>
      <c r="DG591" s="10"/>
      <c r="DN591" s="10"/>
      <c r="DU591" s="10"/>
    </row>
    <row r="592" spans="3:125" ht="15.75" customHeight="1" x14ac:dyDescent="0.25">
      <c r="C592" s="8"/>
      <c r="BJ592" s="10"/>
      <c r="BX592" s="10"/>
      <c r="CE592" s="10"/>
      <c r="CL592" s="10"/>
      <c r="CS592" s="10"/>
      <c r="CZ592" s="10"/>
      <c r="DG592" s="10"/>
      <c r="DN592" s="10"/>
      <c r="DU592" s="10"/>
    </row>
    <row r="593" spans="3:125" ht="15.75" customHeight="1" x14ac:dyDescent="0.25">
      <c r="C593" s="8"/>
      <c r="BJ593" s="10"/>
      <c r="BX593" s="10"/>
      <c r="CE593" s="10"/>
      <c r="CL593" s="10"/>
      <c r="CS593" s="10"/>
      <c r="CZ593" s="10"/>
      <c r="DG593" s="10"/>
      <c r="DN593" s="10"/>
      <c r="DU593" s="10"/>
    </row>
    <row r="594" spans="3:125" ht="15.75" customHeight="1" x14ac:dyDescent="0.25">
      <c r="C594" s="8"/>
      <c r="BJ594" s="10"/>
      <c r="BX594" s="10"/>
      <c r="CE594" s="10"/>
      <c r="CL594" s="10"/>
      <c r="CS594" s="10"/>
      <c r="CZ594" s="10"/>
      <c r="DG594" s="10"/>
      <c r="DN594" s="10"/>
      <c r="DU594" s="10"/>
    </row>
    <row r="595" spans="3:125" ht="15.75" customHeight="1" x14ac:dyDescent="0.25">
      <c r="C595" s="8"/>
      <c r="BJ595" s="10"/>
      <c r="BX595" s="10"/>
      <c r="CE595" s="10"/>
      <c r="CL595" s="10"/>
      <c r="CS595" s="10"/>
      <c r="CZ595" s="10"/>
      <c r="DG595" s="10"/>
      <c r="DN595" s="10"/>
      <c r="DU595" s="10"/>
    </row>
    <row r="596" spans="3:125" ht="15.75" customHeight="1" x14ac:dyDescent="0.25">
      <c r="C596" s="8"/>
      <c r="BJ596" s="10"/>
      <c r="BX596" s="10"/>
      <c r="CE596" s="10"/>
      <c r="CL596" s="10"/>
      <c r="CS596" s="10"/>
      <c r="CZ596" s="10"/>
      <c r="DG596" s="10"/>
      <c r="DN596" s="10"/>
      <c r="DU596" s="10"/>
    </row>
    <row r="597" spans="3:125" ht="15.75" customHeight="1" x14ac:dyDescent="0.25">
      <c r="C597" s="8"/>
      <c r="BJ597" s="10"/>
      <c r="BX597" s="10"/>
      <c r="CE597" s="10"/>
      <c r="CL597" s="10"/>
      <c r="CS597" s="10"/>
      <c r="CZ597" s="10"/>
      <c r="DG597" s="10"/>
      <c r="DN597" s="10"/>
      <c r="DU597" s="10"/>
    </row>
    <row r="598" spans="3:125" ht="15.75" customHeight="1" x14ac:dyDescent="0.25">
      <c r="C598" s="8"/>
      <c r="BJ598" s="10"/>
      <c r="BX598" s="10"/>
      <c r="CE598" s="10"/>
      <c r="CL598" s="10"/>
      <c r="CS598" s="10"/>
      <c r="CZ598" s="10"/>
      <c r="DG598" s="10"/>
      <c r="DN598" s="10"/>
      <c r="DU598" s="10"/>
    </row>
    <row r="599" spans="3:125" ht="15.75" customHeight="1" x14ac:dyDescent="0.25">
      <c r="C599" s="8"/>
      <c r="BJ599" s="10"/>
      <c r="BX599" s="10"/>
      <c r="CE599" s="10"/>
      <c r="CL599" s="10"/>
      <c r="CS599" s="10"/>
      <c r="CZ599" s="10"/>
      <c r="DG599" s="10"/>
      <c r="DN599" s="10"/>
      <c r="DU599" s="10"/>
    </row>
    <row r="600" spans="3:125" ht="15.75" customHeight="1" x14ac:dyDescent="0.25">
      <c r="C600" s="8"/>
      <c r="BJ600" s="10"/>
      <c r="BX600" s="10"/>
      <c r="CE600" s="10"/>
      <c r="CL600" s="10"/>
      <c r="CS600" s="10"/>
      <c r="CZ600" s="10"/>
      <c r="DG600" s="10"/>
      <c r="DN600" s="10"/>
      <c r="DU600" s="10"/>
    </row>
    <row r="601" spans="3:125" ht="15.75" customHeight="1" x14ac:dyDescent="0.25">
      <c r="C601" s="8"/>
      <c r="BJ601" s="10"/>
      <c r="BX601" s="10"/>
      <c r="CE601" s="10"/>
      <c r="CL601" s="10"/>
      <c r="CS601" s="10"/>
      <c r="CZ601" s="10"/>
      <c r="DG601" s="10"/>
      <c r="DN601" s="10"/>
      <c r="DU601" s="10"/>
    </row>
    <row r="602" spans="3:125" ht="15.75" customHeight="1" x14ac:dyDescent="0.25">
      <c r="C602" s="8"/>
      <c r="BJ602" s="10"/>
      <c r="BX602" s="10"/>
      <c r="CE602" s="10"/>
      <c r="CL602" s="10"/>
      <c r="CS602" s="10"/>
      <c r="CZ602" s="10"/>
      <c r="DG602" s="10"/>
      <c r="DN602" s="10"/>
      <c r="DU602" s="10"/>
    </row>
    <row r="603" spans="3:125" ht="15.75" customHeight="1" x14ac:dyDescent="0.25">
      <c r="C603" s="8"/>
      <c r="BJ603" s="10"/>
      <c r="BX603" s="10"/>
      <c r="CE603" s="10"/>
      <c r="CL603" s="10"/>
      <c r="CS603" s="10"/>
      <c r="CZ603" s="10"/>
      <c r="DG603" s="10"/>
      <c r="DN603" s="10"/>
      <c r="DU603" s="10"/>
    </row>
    <row r="604" spans="3:125" ht="15.75" customHeight="1" x14ac:dyDescent="0.25">
      <c r="C604" s="8"/>
      <c r="BJ604" s="10"/>
      <c r="BX604" s="10"/>
      <c r="CE604" s="10"/>
      <c r="CL604" s="10"/>
      <c r="CS604" s="10"/>
      <c r="CZ604" s="10"/>
      <c r="DG604" s="10"/>
      <c r="DN604" s="10"/>
      <c r="DU604" s="10"/>
    </row>
    <row r="605" spans="3:125" ht="15.75" customHeight="1" x14ac:dyDescent="0.25">
      <c r="C605" s="8"/>
      <c r="BJ605" s="10"/>
      <c r="BX605" s="10"/>
      <c r="CE605" s="10"/>
      <c r="CL605" s="10"/>
      <c r="CS605" s="10"/>
      <c r="CZ605" s="10"/>
      <c r="DG605" s="10"/>
      <c r="DN605" s="10"/>
      <c r="DU605" s="10"/>
    </row>
    <row r="606" spans="3:125" ht="15.75" customHeight="1" x14ac:dyDescent="0.25">
      <c r="C606" s="8"/>
      <c r="BJ606" s="10"/>
      <c r="BX606" s="10"/>
      <c r="CE606" s="10"/>
      <c r="CL606" s="10"/>
      <c r="CS606" s="10"/>
      <c r="CZ606" s="10"/>
      <c r="DG606" s="10"/>
      <c r="DN606" s="10"/>
      <c r="DU606" s="10"/>
    </row>
    <row r="607" spans="3:125" ht="15.75" customHeight="1" x14ac:dyDescent="0.25">
      <c r="C607" s="8"/>
      <c r="BJ607" s="10"/>
      <c r="BX607" s="10"/>
      <c r="CE607" s="10"/>
      <c r="CL607" s="10"/>
      <c r="CS607" s="10"/>
      <c r="CZ607" s="10"/>
      <c r="DG607" s="10"/>
      <c r="DN607" s="10"/>
      <c r="DU607" s="10"/>
    </row>
    <row r="608" spans="3:125" ht="15.75" customHeight="1" x14ac:dyDescent="0.25">
      <c r="C608" s="8"/>
      <c r="BJ608" s="10"/>
      <c r="BX608" s="10"/>
      <c r="CE608" s="10"/>
      <c r="CL608" s="10"/>
      <c r="CS608" s="10"/>
      <c r="CZ608" s="10"/>
      <c r="DG608" s="10"/>
      <c r="DN608" s="10"/>
      <c r="DU608" s="10"/>
    </row>
    <row r="609" spans="3:125" ht="15.75" customHeight="1" x14ac:dyDescent="0.25">
      <c r="C609" s="8"/>
      <c r="BJ609" s="10"/>
      <c r="BX609" s="10"/>
      <c r="CE609" s="10"/>
      <c r="CL609" s="10"/>
      <c r="CS609" s="10"/>
      <c r="CZ609" s="10"/>
      <c r="DG609" s="10"/>
      <c r="DN609" s="10"/>
      <c r="DU609" s="10"/>
    </row>
    <row r="610" spans="3:125" ht="15.75" customHeight="1" x14ac:dyDescent="0.25">
      <c r="C610" s="8"/>
      <c r="BJ610" s="10"/>
      <c r="BX610" s="10"/>
      <c r="CE610" s="10"/>
      <c r="CL610" s="10"/>
      <c r="CS610" s="10"/>
      <c r="CZ610" s="10"/>
      <c r="DG610" s="10"/>
      <c r="DN610" s="10"/>
      <c r="DU610" s="10"/>
    </row>
    <row r="611" spans="3:125" ht="15.75" customHeight="1" x14ac:dyDescent="0.25">
      <c r="C611" s="8"/>
      <c r="BJ611" s="10"/>
      <c r="BX611" s="10"/>
      <c r="CE611" s="10"/>
      <c r="CL611" s="10"/>
      <c r="CS611" s="10"/>
      <c r="CZ611" s="10"/>
      <c r="DG611" s="10"/>
      <c r="DN611" s="10"/>
      <c r="DU611" s="10"/>
    </row>
    <row r="612" spans="3:125" ht="15.75" customHeight="1" x14ac:dyDescent="0.25">
      <c r="C612" s="8"/>
      <c r="BJ612" s="10"/>
      <c r="BX612" s="10"/>
      <c r="CE612" s="10"/>
      <c r="CL612" s="10"/>
      <c r="CS612" s="10"/>
      <c r="CZ612" s="10"/>
      <c r="DG612" s="10"/>
      <c r="DN612" s="10"/>
      <c r="DU612" s="10"/>
    </row>
    <row r="613" spans="3:125" ht="15.75" customHeight="1" x14ac:dyDescent="0.25">
      <c r="C613" s="8"/>
      <c r="BJ613" s="10"/>
      <c r="BX613" s="10"/>
      <c r="CE613" s="10"/>
      <c r="CL613" s="10"/>
      <c r="CS613" s="10"/>
      <c r="CZ613" s="10"/>
      <c r="DG613" s="10"/>
      <c r="DN613" s="10"/>
      <c r="DU613" s="10"/>
    </row>
    <row r="614" spans="3:125" ht="15.75" customHeight="1" x14ac:dyDescent="0.25">
      <c r="C614" s="8"/>
      <c r="BJ614" s="10"/>
      <c r="BX614" s="10"/>
      <c r="CE614" s="10"/>
      <c r="CL614" s="10"/>
      <c r="CS614" s="10"/>
      <c r="CZ614" s="10"/>
      <c r="DG614" s="10"/>
      <c r="DN614" s="10"/>
      <c r="DU614" s="10"/>
    </row>
    <row r="615" spans="3:125" ht="15.75" customHeight="1" x14ac:dyDescent="0.25">
      <c r="C615" s="8"/>
      <c r="BJ615" s="10"/>
      <c r="BX615" s="10"/>
      <c r="CE615" s="10"/>
      <c r="CL615" s="10"/>
      <c r="CS615" s="10"/>
      <c r="CZ615" s="10"/>
      <c r="DG615" s="10"/>
      <c r="DN615" s="10"/>
      <c r="DU615" s="10"/>
    </row>
    <row r="616" spans="3:125" ht="15.75" customHeight="1" x14ac:dyDescent="0.25">
      <c r="C616" s="8"/>
      <c r="BJ616" s="10"/>
      <c r="BX616" s="10"/>
      <c r="CE616" s="10"/>
      <c r="CL616" s="10"/>
      <c r="CS616" s="10"/>
      <c r="CZ616" s="10"/>
      <c r="DG616" s="10"/>
      <c r="DN616" s="10"/>
      <c r="DU616" s="10"/>
    </row>
    <row r="617" spans="3:125" ht="15.75" customHeight="1" x14ac:dyDescent="0.25">
      <c r="C617" s="8"/>
      <c r="BJ617" s="10"/>
      <c r="BX617" s="10"/>
      <c r="CE617" s="10"/>
      <c r="CL617" s="10"/>
      <c r="CS617" s="10"/>
      <c r="CZ617" s="10"/>
      <c r="DG617" s="10"/>
      <c r="DN617" s="10"/>
      <c r="DU617" s="10"/>
    </row>
    <row r="618" spans="3:125" ht="15.75" customHeight="1" x14ac:dyDescent="0.25">
      <c r="C618" s="8"/>
      <c r="BJ618" s="10"/>
      <c r="BX618" s="10"/>
      <c r="CE618" s="10"/>
      <c r="CL618" s="10"/>
      <c r="CS618" s="10"/>
      <c r="CZ618" s="10"/>
      <c r="DG618" s="10"/>
      <c r="DN618" s="10"/>
      <c r="DU618" s="10"/>
    </row>
    <row r="619" spans="3:125" ht="15.75" customHeight="1" x14ac:dyDescent="0.25">
      <c r="C619" s="8"/>
      <c r="BJ619" s="10"/>
      <c r="BX619" s="10"/>
      <c r="CE619" s="10"/>
      <c r="CL619" s="10"/>
      <c r="CS619" s="10"/>
      <c r="CZ619" s="10"/>
      <c r="DG619" s="10"/>
      <c r="DN619" s="10"/>
      <c r="DU619" s="10"/>
    </row>
    <row r="620" spans="3:125" ht="15.75" customHeight="1" x14ac:dyDescent="0.25">
      <c r="C620" s="8"/>
      <c r="BJ620" s="10"/>
      <c r="BX620" s="10"/>
      <c r="CE620" s="10"/>
      <c r="CL620" s="10"/>
      <c r="CS620" s="10"/>
      <c r="CZ620" s="10"/>
      <c r="DG620" s="10"/>
      <c r="DN620" s="10"/>
      <c r="DU620" s="10"/>
    </row>
    <row r="621" spans="3:125" ht="15.75" customHeight="1" x14ac:dyDescent="0.25">
      <c r="C621" s="8"/>
      <c r="BJ621" s="10"/>
      <c r="BX621" s="10"/>
      <c r="CE621" s="10"/>
      <c r="CL621" s="10"/>
      <c r="CS621" s="10"/>
      <c r="CZ621" s="10"/>
      <c r="DG621" s="10"/>
      <c r="DN621" s="10"/>
      <c r="DU621" s="10"/>
    </row>
    <row r="622" spans="3:125" ht="15.75" customHeight="1" x14ac:dyDescent="0.25">
      <c r="C622" s="8"/>
      <c r="BJ622" s="10"/>
      <c r="BX622" s="10"/>
      <c r="CE622" s="10"/>
      <c r="CL622" s="10"/>
      <c r="CS622" s="10"/>
      <c r="CZ622" s="10"/>
      <c r="DG622" s="10"/>
      <c r="DN622" s="10"/>
      <c r="DU622" s="10"/>
    </row>
    <row r="623" spans="3:125" ht="15.75" customHeight="1" x14ac:dyDescent="0.25">
      <c r="C623" s="8"/>
      <c r="BJ623" s="10"/>
      <c r="BX623" s="10"/>
      <c r="CE623" s="10"/>
      <c r="CL623" s="10"/>
      <c r="CS623" s="10"/>
      <c r="CZ623" s="10"/>
      <c r="DG623" s="10"/>
      <c r="DN623" s="10"/>
      <c r="DU623" s="10"/>
    </row>
    <row r="624" spans="3:125" ht="15.75" customHeight="1" x14ac:dyDescent="0.25">
      <c r="C624" s="8"/>
      <c r="BJ624" s="10"/>
      <c r="BX624" s="10"/>
      <c r="CE624" s="10"/>
      <c r="CL624" s="10"/>
      <c r="CS624" s="10"/>
      <c r="CZ624" s="10"/>
      <c r="DG624" s="10"/>
      <c r="DN624" s="10"/>
      <c r="DU624" s="10"/>
    </row>
    <row r="625" spans="3:125" ht="15.75" customHeight="1" x14ac:dyDescent="0.25">
      <c r="C625" s="8"/>
      <c r="BJ625" s="10"/>
      <c r="BX625" s="10"/>
      <c r="CE625" s="10"/>
      <c r="CL625" s="10"/>
      <c r="CS625" s="10"/>
      <c r="CZ625" s="10"/>
      <c r="DG625" s="10"/>
      <c r="DN625" s="10"/>
      <c r="DU625" s="10"/>
    </row>
    <row r="626" spans="3:125" ht="15.75" customHeight="1" x14ac:dyDescent="0.25">
      <c r="C626" s="8"/>
      <c r="BJ626" s="10"/>
      <c r="BX626" s="10"/>
      <c r="CE626" s="10"/>
      <c r="CL626" s="10"/>
      <c r="CS626" s="10"/>
      <c r="CZ626" s="10"/>
      <c r="DG626" s="10"/>
      <c r="DN626" s="10"/>
      <c r="DU626" s="10"/>
    </row>
    <row r="627" spans="3:125" ht="15.75" customHeight="1" x14ac:dyDescent="0.25">
      <c r="C627" s="8"/>
      <c r="BJ627" s="10"/>
      <c r="BX627" s="10"/>
      <c r="CE627" s="10"/>
      <c r="CL627" s="10"/>
      <c r="CS627" s="10"/>
      <c r="CZ627" s="10"/>
      <c r="DG627" s="10"/>
      <c r="DN627" s="10"/>
      <c r="DU627" s="10"/>
    </row>
    <row r="628" spans="3:125" ht="15.75" customHeight="1" x14ac:dyDescent="0.25">
      <c r="C628" s="8"/>
      <c r="BJ628" s="10"/>
      <c r="BX628" s="10"/>
      <c r="CE628" s="10"/>
      <c r="CL628" s="10"/>
      <c r="CS628" s="10"/>
      <c r="CZ628" s="10"/>
      <c r="DG628" s="10"/>
      <c r="DN628" s="10"/>
      <c r="DU628" s="10"/>
    </row>
    <row r="629" spans="3:125" ht="15.75" customHeight="1" x14ac:dyDescent="0.25">
      <c r="C629" s="8"/>
      <c r="BJ629" s="10"/>
      <c r="BX629" s="10"/>
      <c r="CE629" s="10"/>
      <c r="CL629" s="10"/>
      <c r="CS629" s="10"/>
      <c r="CZ629" s="10"/>
      <c r="DG629" s="10"/>
      <c r="DN629" s="10"/>
      <c r="DU629" s="10"/>
    </row>
    <row r="630" spans="3:125" ht="15.75" customHeight="1" x14ac:dyDescent="0.25">
      <c r="C630" s="8"/>
      <c r="BJ630" s="10"/>
      <c r="BX630" s="10"/>
      <c r="CE630" s="10"/>
      <c r="CL630" s="10"/>
      <c r="CS630" s="10"/>
      <c r="CZ630" s="10"/>
      <c r="DG630" s="10"/>
      <c r="DN630" s="10"/>
      <c r="DU630" s="10"/>
    </row>
    <row r="631" spans="3:125" ht="15.75" customHeight="1" x14ac:dyDescent="0.25">
      <c r="C631" s="8"/>
      <c r="BJ631" s="10"/>
      <c r="BX631" s="10"/>
      <c r="CE631" s="10"/>
      <c r="CL631" s="10"/>
      <c r="CS631" s="10"/>
      <c r="CZ631" s="10"/>
      <c r="DG631" s="10"/>
      <c r="DN631" s="10"/>
      <c r="DU631" s="10"/>
    </row>
    <row r="632" spans="3:125" ht="15.75" customHeight="1" x14ac:dyDescent="0.25">
      <c r="C632" s="8"/>
      <c r="BJ632" s="10"/>
      <c r="BX632" s="10"/>
      <c r="CE632" s="10"/>
      <c r="CL632" s="10"/>
      <c r="CS632" s="10"/>
      <c r="CZ632" s="10"/>
      <c r="DG632" s="10"/>
      <c r="DN632" s="10"/>
      <c r="DU632" s="10"/>
    </row>
    <row r="633" spans="3:125" ht="15.75" customHeight="1" x14ac:dyDescent="0.25">
      <c r="C633" s="8"/>
      <c r="BJ633" s="10"/>
      <c r="BX633" s="10"/>
      <c r="CE633" s="10"/>
      <c r="CL633" s="10"/>
      <c r="CS633" s="10"/>
      <c r="CZ633" s="10"/>
      <c r="DG633" s="10"/>
      <c r="DN633" s="10"/>
      <c r="DU633" s="10"/>
    </row>
    <row r="634" spans="3:125" ht="15.75" customHeight="1" x14ac:dyDescent="0.25">
      <c r="C634" s="8"/>
      <c r="BJ634" s="10"/>
      <c r="BX634" s="10"/>
      <c r="CE634" s="10"/>
      <c r="CL634" s="10"/>
      <c r="CS634" s="10"/>
      <c r="CZ634" s="10"/>
      <c r="DG634" s="10"/>
      <c r="DN634" s="10"/>
      <c r="DU634" s="10"/>
    </row>
    <row r="635" spans="3:125" ht="15.75" customHeight="1" x14ac:dyDescent="0.25">
      <c r="C635" s="8"/>
      <c r="BJ635" s="10"/>
      <c r="BX635" s="10"/>
      <c r="CE635" s="10"/>
      <c r="CL635" s="10"/>
      <c r="CS635" s="10"/>
      <c r="CZ635" s="10"/>
      <c r="DG635" s="10"/>
      <c r="DN635" s="10"/>
      <c r="DU635" s="10"/>
    </row>
    <row r="636" spans="3:125" ht="15.75" customHeight="1" x14ac:dyDescent="0.25">
      <c r="C636" s="8"/>
      <c r="BJ636" s="10"/>
      <c r="BX636" s="10"/>
      <c r="CE636" s="10"/>
      <c r="CL636" s="10"/>
      <c r="CS636" s="10"/>
      <c r="CZ636" s="10"/>
      <c r="DG636" s="10"/>
      <c r="DN636" s="10"/>
      <c r="DU636" s="10"/>
    </row>
    <row r="637" spans="3:125" ht="15.75" customHeight="1" x14ac:dyDescent="0.25">
      <c r="C637" s="8"/>
      <c r="BJ637" s="10"/>
      <c r="BX637" s="10"/>
      <c r="CE637" s="10"/>
      <c r="CL637" s="10"/>
      <c r="CS637" s="10"/>
      <c r="CZ637" s="10"/>
      <c r="DG637" s="10"/>
      <c r="DN637" s="10"/>
      <c r="DU637" s="10"/>
    </row>
    <row r="638" spans="3:125" ht="15.75" customHeight="1" x14ac:dyDescent="0.25">
      <c r="C638" s="8"/>
      <c r="BJ638" s="10"/>
      <c r="BX638" s="10"/>
      <c r="CE638" s="10"/>
      <c r="CL638" s="10"/>
      <c r="CS638" s="10"/>
      <c r="CZ638" s="10"/>
      <c r="DG638" s="10"/>
      <c r="DN638" s="10"/>
      <c r="DU638" s="10"/>
    </row>
    <row r="639" spans="3:125" ht="15.75" customHeight="1" x14ac:dyDescent="0.25">
      <c r="C639" s="8"/>
      <c r="BJ639" s="10"/>
      <c r="BX639" s="10"/>
      <c r="CE639" s="10"/>
      <c r="CL639" s="10"/>
      <c r="CS639" s="10"/>
      <c r="CZ639" s="10"/>
      <c r="DG639" s="10"/>
      <c r="DN639" s="10"/>
      <c r="DU639" s="10"/>
    </row>
    <row r="640" spans="3:125" ht="15.75" customHeight="1" x14ac:dyDescent="0.25">
      <c r="C640" s="8"/>
      <c r="BJ640" s="10"/>
      <c r="BX640" s="10"/>
      <c r="CE640" s="10"/>
      <c r="CL640" s="10"/>
      <c r="CS640" s="10"/>
      <c r="CZ640" s="10"/>
      <c r="DG640" s="10"/>
      <c r="DN640" s="10"/>
      <c r="DU640" s="10"/>
    </row>
    <row r="641" spans="3:125" ht="15.75" customHeight="1" x14ac:dyDescent="0.25">
      <c r="C641" s="8"/>
      <c r="BJ641" s="10"/>
      <c r="BX641" s="10"/>
      <c r="CE641" s="10"/>
      <c r="CL641" s="10"/>
      <c r="CS641" s="10"/>
      <c r="CZ641" s="10"/>
      <c r="DG641" s="10"/>
      <c r="DN641" s="10"/>
      <c r="DU641" s="10"/>
    </row>
    <row r="642" spans="3:125" ht="15.75" customHeight="1" x14ac:dyDescent="0.25">
      <c r="C642" s="8"/>
      <c r="BJ642" s="10"/>
      <c r="BX642" s="10"/>
      <c r="CE642" s="10"/>
      <c r="CL642" s="10"/>
      <c r="CS642" s="10"/>
      <c r="CZ642" s="10"/>
      <c r="DG642" s="10"/>
      <c r="DN642" s="10"/>
      <c r="DU642" s="10"/>
    </row>
    <row r="643" spans="3:125" ht="15.75" customHeight="1" x14ac:dyDescent="0.25">
      <c r="C643" s="8"/>
      <c r="BJ643" s="10"/>
      <c r="BX643" s="10"/>
      <c r="CE643" s="10"/>
      <c r="CL643" s="10"/>
      <c r="CS643" s="10"/>
      <c r="CZ643" s="10"/>
      <c r="DG643" s="10"/>
      <c r="DN643" s="10"/>
      <c r="DU643" s="10"/>
    </row>
    <row r="644" spans="3:125" ht="15.75" customHeight="1" x14ac:dyDescent="0.25">
      <c r="C644" s="8"/>
      <c r="BJ644" s="10"/>
      <c r="BX644" s="10"/>
      <c r="CE644" s="10"/>
      <c r="CL644" s="10"/>
      <c r="CS644" s="10"/>
      <c r="CZ644" s="10"/>
      <c r="DG644" s="10"/>
      <c r="DN644" s="10"/>
      <c r="DU644" s="10"/>
    </row>
    <row r="645" spans="3:125" ht="15.75" customHeight="1" x14ac:dyDescent="0.25">
      <c r="C645" s="8"/>
      <c r="BJ645" s="10"/>
      <c r="BX645" s="10"/>
      <c r="CE645" s="10"/>
      <c r="CL645" s="10"/>
      <c r="CS645" s="10"/>
      <c r="CZ645" s="10"/>
      <c r="DG645" s="10"/>
      <c r="DN645" s="10"/>
      <c r="DU645" s="10"/>
    </row>
    <row r="646" spans="3:125" ht="15.75" customHeight="1" x14ac:dyDescent="0.25">
      <c r="C646" s="8"/>
      <c r="BJ646" s="10"/>
      <c r="BX646" s="10"/>
      <c r="CE646" s="10"/>
      <c r="CL646" s="10"/>
      <c r="CS646" s="10"/>
      <c r="CZ646" s="10"/>
      <c r="DG646" s="10"/>
      <c r="DN646" s="10"/>
      <c r="DU646" s="10"/>
    </row>
    <row r="647" spans="3:125" ht="15.75" customHeight="1" x14ac:dyDescent="0.25">
      <c r="C647" s="8"/>
      <c r="BJ647" s="10"/>
      <c r="BX647" s="10"/>
      <c r="CE647" s="10"/>
      <c r="CL647" s="10"/>
      <c r="CS647" s="10"/>
      <c r="CZ647" s="10"/>
      <c r="DG647" s="10"/>
      <c r="DN647" s="10"/>
      <c r="DU647" s="10"/>
    </row>
    <row r="648" spans="3:125" ht="15.75" customHeight="1" x14ac:dyDescent="0.25">
      <c r="C648" s="8"/>
      <c r="BJ648" s="10"/>
      <c r="BX648" s="10"/>
      <c r="CE648" s="10"/>
      <c r="CL648" s="10"/>
      <c r="CS648" s="10"/>
      <c r="CZ648" s="10"/>
      <c r="DG648" s="10"/>
      <c r="DN648" s="10"/>
      <c r="DU648" s="10"/>
    </row>
    <row r="649" spans="3:125" ht="15.75" customHeight="1" x14ac:dyDescent="0.25">
      <c r="C649" s="8"/>
      <c r="BJ649" s="10"/>
      <c r="BX649" s="10"/>
      <c r="CE649" s="10"/>
      <c r="CL649" s="10"/>
      <c r="CS649" s="10"/>
      <c r="CZ649" s="10"/>
      <c r="DG649" s="10"/>
      <c r="DN649" s="10"/>
      <c r="DU649" s="10"/>
    </row>
    <row r="650" spans="3:125" ht="15.75" customHeight="1" x14ac:dyDescent="0.25">
      <c r="C650" s="8"/>
      <c r="BJ650" s="10"/>
      <c r="BX650" s="10"/>
      <c r="CE650" s="10"/>
      <c r="CL650" s="10"/>
      <c r="CS650" s="10"/>
      <c r="CZ650" s="10"/>
      <c r="DG650" s="10"/>
      <c r="DN650" s="10"/>
      <c r="DU650" s="10"/>
    </row>
    <row r="651" spans="3:125" ht="15.75" customHeight="1" x14ac:dyDescent="0.25">
      <c r="C651" s="8"/>
      <c r="BJ651" s="10"/>
      <c r="BX651" s="10"/>
      <c r="CE651" s="10"/>
      <c r="CL651" s="10"/>
      <c r="CS651" s="10"/>
      <c r="CZ651" s="10"/>
      <c r="DG651" s="10"/>
      <c r="DN651" s="10"/>
      <c r="DU651" s="10"/>
    </row>
    <row r="652" spans="3:125" ht="15.75" customHeight="1" x14ac:dyDescent="0.25">
      <c r="C652" s="8"/>
      <c r="BJ652" s="10"/>
      <c r="BX652" s="10"/>
      <c r="CE652" s="10"/>
      <c r="CL652" s="10"/>
      <c r="CS652" s="10"/>
      <c r="CZ652" s="10"/>
      <c r="DG652" s="10"/>
      <c r="DN652" s="10"/>
      <c r="DU652" s="10"/>
    </row>
    <row r="653" spans="3:125" ht="15.75" customHeight="1" x14ac:dyDescent="0.25">
      <c r="C653" s="8"/>
      <c r="BJ653" s="10"/>
      <c r="BX653" s="10"/>
      <c r="CE653" s="10"/>
      <c r="CL653" s="10"/>
      <c r="CS653" s="10"/>
      <c r="CZ653" s="10"/>
      <c r="DG653" s="10"/>
      <c r="DN653" s="10"/>
      <c r="DU653" s="10"/>
    </row>
    <row r="654" spans="3:125" ht="15.75" customHeight="1" x14ac:dyDescent="0.25">
      <c r="C654" s="8"/>
      <c r="BJ654" s="10"/>
      <c r="BX654" s="10"/>
      <c r="CE654" s="10"/>
      <c r="CL654" s="10"/>
      <c r="CS654" s="10"/>
      <c r="CZ654" s="10"/>
      <c r="DG654" s="10"/>
      <c r="DN654" s="10"/>
      <c r="DU654" s="10"/>
    </row>
    <row r="655" spans="3:125" ht="15.75" customHeight="1" x14ac:dyDescent="0.25">
      <c r="C655" s="8"/>
      <c r="BJ655" s="10"/>
      <c r="BX655" s="10"/>
      <c r="CE655" s="10"/>
      <c r="CL655" s="10"/>
      <c r="CS655" s="10"/>
      <c r="CZ655" s="10"/>
      <c r="DG655" s="10"/>
      <c r="DN655" s="10"/>
      <c r="DU655" s="10"/>
    </row>
    <row r="656" spans="3:125" ht="15.75" customHeight="1" x14ac:dyDescent="0.25">
      <c r="C656" s="8"/>
      <c r="BJ656" s="10"/>
      <c r="BX656" s="10"/>
      <c r="CE656" s="10"/>
      <c r="CL656" s="10"/>
      <c r="CS656" s="10"/>
      <c r="CZ656" s="10"/>
      <c r="DG656" s="10"/>
      <c r="DN656" s="10"/>
      <c r="DU656" s="10"/>
    </row>
    <row r="657" spans="3:125" ht="15.75" customHeight="1" x14ac:dyDescent="0.25">
      <c r="C657" s="8"/>
      <c r="BJ657" s="10"/>
      <c r="BX657" s="10"/>
      <c r="CE657" s="10"/>
      <c r="CL657" s="10"/>
      <c r="CS657" s="10"/>
      <c r="CZ657" s="10"/>
      <c r="DG657" s="10"/>
      <c r="DN657" s="10"/>
      <c r="DU657" s="10"/>
    </row>
    <row r="658" spans="3:125" ht="15.75" customHeight="1" x14ac:dyDescent="0.25">
      <c r="C658" s="8"/>
      <c r="BJ658" s="10"/>
      <c r="BX658" s="10"/>
      <c r="CE658" s="10"/>
      <c r="CL658" s="10"/>
      <c r="CS658" s="10"/>
      <c r="CZ658" s="10"/>
      <c r="DG658" s="10"/>
      <c r="DN658" s="10"/>
      <c r="DU658" s="10"/>
    </row>
    <row r="659" spans="3:125" ht="15.75" customHeight="1" x14ac:dyDescent="0.25">
      <c r="C659" s="8"/>
      <c r="BJ659" s="10"/>
      <c r="BX659" s="10"/>
      <c r="CE659" s="10"/>
      <c r="CL659" s="10"/>
      <c r="CS659" s="10"/>
      <c r="CZ659" s="10"/>
      <c r="DG659" s="10"/>
      <c r="DN659" s="10"/>
      <c r="DU659" s="10"/>
    </row>
    <row r="660" spans="3:125" ht="15.75" customHeight="1" x14ac:dyDescent="0.25">
      <c r="C660" s="8"/>
      <c r="BJ660" s="10"/>
      <c r="BX660" s="10"/>
      <c r="CE660" s="10"/>
      <c r="CL660" s="10"/>
      <c r="CS660" s="10"/>
      <c r="CZ660" s="10"/>
      <c r="DG660" s="10"/>
      <c r="DN660" s="10"/>
      <c r="DU660" s="10"/>
    </row>
    <row r="661" spans="3:125" ht="15.75" customHeight="1" x14ac:dyDescent="0.25">
      <c r="C661" s="8"/>
      <c r="BJ661" s="10"/>
      <c r="BX661" s="10"/>
      <c r="CE661" s="10"/>
      <c r="CL661" s="10"/>
      <c r="CS661" s="10"/>
      <c r="CZ661" s="10"/>
      <c r="DG661" s="10"/>
      <c r="DN661" s="10"/>
      <c r="DU661" s="10"/>
    </row>
    <row r="662" spans="3:125" ht="15.75" customHeight="1" x14ac:dyDescent="0.25">
      <c r="C662" s="8"/>
      <c r="BJ662" s="10"/>
      <c r="BX662" s="10"/>
      <c r="CE662" s="10"/>
      <c r="CL662" s="10"/>
      <c r="CS662" s="10"/>
      <c r="CZ662" s="10"/>
      <c r="DG662" s="10"/>
      <c r="DN662" s="10"/>
      <c r="DU662" s="10"/>
    </row>
    <row r="663" spans="3:125" ht="15.75" customHeight="1" x14ac:dyDescent="0.25">
      <c r="C663" s="8"/>
      <c r="BJ663" s="10"/>
      <c r="BX663" s="10"/>
      <c r="CE663" s="10"/>
      <c r="CL663" s="10"/>
      <c r="CS663" s="10"/>
      <c r="CZ663" s="10"/>
      <c r="DG663" s="10"/>
      <c r="DN663" s="10"/>
      <c r="DU663" s="10"/>
    </row>
    <row r="664" spans="3:125" ht="15.75" customHeight="1" x14ac:dyDescent="0.25">
      <c r="C664" s="8"/>
      <c r="BJ664" s="10"/>
      <c r="BX664" s="10"/>
      <c r="CE664" s="10"/>
      <c r="CL664" s="10"/>
      <c r="CS664" s="10"/>
      <c r="CZ664" s="10"/>
      <c r="DG664" s="10"/>
      <c r="DN664" s="10"/>
      <c r="DU664" s="10"/>
    </row>
    <row r="665" spans="3:125" ht="15.75" customHeight="1" x14ac:dyDescent="0.25">
      <c r="C665" s="8"/>
      <c r="BJ665" s="10"/>
      <c r="BX665" s="10"/>
      <c r="CE665" s="10"/>
      <c r="CL665" s="10"/>
      <c r="CS665" s="10"/>
      <c r="CZ665" s="10"/>
      <c r="DG665" s="10"/>
      <c r="DN665" s="10"/>
      <c r="DU665" s="10"/>
    </row>
    <row r="666" spans="3:125" ht="15.75" customHeight="1" x14ac:dyDescent="0.25">
      <c r="C666" s="8"/>
      <c r="BJ666" s="10"/>
      <c r="BX666" s="10"/>
      <c r="CE666" s="10"/>
      <c r="CL666" s="10"/>
      <c r="CS666" s="10"/>
      <c r="CZ666" s="10"/>
      <c r="DG666" s="10"/>
      <c r="DN666" s="10"/>
      <c r="DU666" s="10"/>
    </row>
    <row r="667" spans="3:125" ht="15.75" customHeight="1" x14ac:dyDescent="0.25">
      <c r="C667" s="8"/>
      <c r="BJ667" s="10"/>
      <c r="BX667" s="10"/>
      <c r="CE667" s="10"/>
      <c r="CL667" s="10"/>
      <c r="CS667" s="10"/>
      <c r="CZ667" s="10"/>
      <c r="DG667" s="10"/>
      <c r="DN667" s="10"/>
      <c r="DU667" s="10"/>
    </row>
    <row r="668" spans="3:125" ht="15.75" customHeight="1" x14ac:dyDescent="0.25">
      <c r="C668" s="8"/>
      <c r="BJ668" s="10"/>
      <c r="BX668" s="10"/>
      <c r="CE668" s="10"/>
      <c r="CL668" s="10"/>
      <c r="CS668" s="10"/>
      <c r="CZ668" s="10"/>
      <c r="DG668" s="10"/>
      <c r="DN668" s="10"/>
      <c r="DU668" s="10"/>
    </row>
    <row r="669" spans="3:125" ht="15.75" customHeight="1" x14ac:dyDescent="0.25">
      <c r="C669" s="8"/>
      <c r="BJ669" s="10"/>
      <c r="BX669" s="10"/>
      <c r="CE669" s="10"/>
      <c r="CL669" s="10"/>
      <c r="CS669" s="10"/>
      <c r="CZ669" s="10"/>
      <c r="DG669" s="10"/>
      <c r="DN669" s="10"/>
      <c r="DU669" s="10"/>
    </row>
    <row r="670" spans="3:125" ht="15.75" customHeight="1" x14ac:dyDescent="0.25">
      <c r="C670" s="8"/>
      <c r="BJ670" s="10"/>
      <c r="BX670" s="10"/>
      <c r="CE670" s="10"/>
      <c r="CL670" s="10"/>
      <c r="CS670" s="10"/>
      <c r="CZ670" s="10"/>
      <c r="DG670" s="10"/>
      <c r="DN670" s="10"/>
      <c r="DU670" s="10"/>
    </row>
    <row r="671" spans="3:125" ht="15.75" customHeight="1" x14ac:dyDescent="0.25">
      <c r="C671" s="8"/>
      <c r="BJ671" s="10"/>
      <c r="BX671" s="10"/>
      <c r="CE671" s="10"/>
      <c r="CL671" s="10"/>
      <c r="CS671" s="10"/>
      <c r="CZ671" s="10"/>
      <c r="DG671" s="10"/>
      <c r="DN671" s="10"/>
      <c r="DU671" s="10"/>
    </row>
    <row r="672" spans="3:125" ht="15.75" customHeight="1" x14ac:dyDescent="0.25">
      <c r="C672" s="8"/>
      <c r="BJ672" s="10"/>
      <c r="BX672" s="10"/>
      <c r="CE672" s="10"/>
      <c r="CL672" s="10"/>
      <c r="CS672" s="10"/>
      <c r="CZ672" s="10"/>
      <c r="DG672" s="10"/>
      <c r="DN672" s="10"/>
      <c r="DU672" s="10"/>
    </row>
    <row r="673" spans="3:125" ht="15.75" customHeight="1" x14ac:dyDescent="0.25">
      <c r="C673" s="8"/>
      <c r="BJ673" s="10"/>
      <c r="BX673" s="10"/>
      <c r="CE673" s="10"/>
      <c r="CL673" s="10"/>
      <c r="CS673" s="10"/>
      <c r="CZ673" s="10"/>
      <c r="DG673" s="10"/>
      <c r="DN673" s="10"/>
      <c r="DU673" s="10"/>
    </row>
    <row r="674" spans="3:125" ht="15.75" customHeight="1" x14ac:dyDescent="0.25">
      <c r="C674" s="8"/>
      <c r="BJ674" s="10"/>
      <c r="BX674" s="10"/>
      <c r="CE674" s="10"/>
      <c r="CL674" s="10"/>
      <c r="CS674" s="10"/>
      <c r="CZ674" s="10"/>
      <c r="DG674" s="10"/>
      <c r="DN674" s="10"/>
      <c r="DU674" s="10"/>
    </row>
    <row r="675" spans="3:125" ht="15.75" customHeight="1" x14ac:dyDescent="0.25">
      <c r="C675" s="8"/>
      <c r="BJ675" s="10"/>
      <c r="BX675" s="10"/>
      <c r="CE675" s="10"/>
      <c r="CL675" s="10"/>
      <c r="CS675" s="10"/>
      <c r="CZ675" s="10"/>
      <c r="DG675" s="10"/>
      <c r="DN675" s="10"/>
      <c r="DU675" s="10"/>
    </row>
    <row r="676" spans="3:125" ht="15.75" customHeight="1" x14ac:dyDescent="0.25">
      <c r="C676" s="8"/>
      <c r="BJ676" s="10"/>
      <c r="BX676" s="10"/>
      <c r="CE676" s="10"/>
      <c r="CL676" s="10"/>
      <c r="CS676" s="10"/>
      <c r="CZ676" s="10"/>
      <c r="DG676" s="10"/>
      <c r="DN676" s="10"/>
      <c r="DU676" s="10"/>
    </row>
    <row r="677" spans="3:125" ht="15.75" customHeight="1" x14ac:dyDescent="0.25">
      <c r="C677" s="8"/>
      <c r="BJ677" s="10"/>
      <c r="BX677" s="10"/>
      <c r="CE677" s="10"/>
      <c r="CL677" s="10"/>
      <c r="CS677" s="10"/>
      <c r="CZ677" s="10"/>
      <c r="DG677" s="10"/>
      <c r="DN677" s="10"/>
      <c r="DU677" s="10"/>
    </row>
    <row r="678" spans="3:125" ht="15.75" customHeight="1" x14ac:dyDescent="0.25">
      <c r="C678" s="8"/>
      <c r="BJ678" s="10"/>
      <c r="BX678" s="10"/>
      <c r="CE678" s="10"/>
      <c r="CL678" s="10"/>
      <c r="CS678" s="10"/>
      <c r="CZ678" s="10"/>
      <c r="DG678" s="10"/>
      <c r="DN678" s="10"/>
      <c r="DU678" s="10"/>
    </row>
    <row r="679" spans="3:125" ht="15.75" customHeight="1" x14ac:dyDescent="0.25">
      <c r="C679" s="8"/>
      <c r="BJ679" s="10"/>
      <c r="BX679" s="10"/>
      <c r="CE679" s="10"/>
      <c r="CL679" s="10"/>
      <c r="CS679" s="10"/>
      <c r="CZ679" s="10"/>
      <c r="DG679" s="10"/>
      <c r="DN679" s="10"/>
      <c r="DU679" s="10"/>
    </row>
    <row r="680" spans="3:125" ht="15.75" customHeight="1" x14ac:dyDescent="0.25">
      <c r="C680" s="8"/>
      <c r="BJ680" s="10"/>
      <c r="BX680" s="10"/>
      <c r="CE680" s="10"/>
      <c r="CL680" s="10"/>
      <c r="CS680" s="10"/>
      <c r="CZ680" s="10"/>
      <c r="DG680" s="10"/>
      <c r="DN680" s="10"/>
      <c r="DU680" s="10"/>
    </row>
    <row r="681" spans="3:125" ht="15.75" customHeight="1" x14ac:dyDescent="0.25">
      <c r="C681" s="8"/>
      <c r="BJ681" s="10"/>
      <c r="BX681" s="10"/>
      <c r="CE681" s="10"/>
      <c r="CL681" s="10"/>
      <c r="CS681" s="10"/>
      <c r="CZ681" s="10"/>
      <c r="DG681" s="10"/>
      <c r="DN681" s="10"/>
      <c r="DU681" s="10"/>
    </row>
    <row r="682" spans="3:125" ht="15.75" customHeight="1" x14ac:dyDescent="0.25">
      <c r="C682" s="8"/>
      <c r="BJ682" s="10"/>
      <c r="BX682" s="10"/>
      <c r="CE682" s="10"/>
      <c r="CL682" s="10"/>
      <c r="CS682" s="10"/>
      <c r="CZ682" s="10"/>
      <c r="DG682" s="10"/>
      <c r="DN682" s="10"/>
      <c r="DU682" s="10"/>
    </row>
    <row r="683" spans="3:125" ht="15.75" customHeight="1" x14ac:dyDescent="0.25">
      <c r="C683" s="8"/>
      <c r="BJ683" s="10"/>
      <c r="BX683" s="10"/>
      <c r="CE683" s="10"/>
      <c r="CL683" s="10"/>
      <c r="CS683" s="10"/>
      <c r="CZ683" s="10"/>
      <c r="DG683" s="10"/>
      <c r="DN683" s="10"/>
      <c r="DU683" s="10"/>
    </row>
    <row r="684" spans="3:125" ht="15.75" customHeight="1" x14ac:dyDescent="0.25">
      <c r="C684" s="8"/>
      <c r="BJ684" s="10"/>
      <c r="BX684" s="10"/>
      <c r="CE684" s="10"/>
      <c r="CL684" s="10"/>
      <c r="CS684" s="10"/>
      <c r="CZ684" s="10"/>
      <c r="DG684" s="10"/>
      <c r="DN684" s="10"/>
      <c r="DU684" s="10"/>
    </row>
    <row r="685" spans="3:125" ht="15.75" customHeight="1" x14ac:dyDescent="0.25">
      <c r="C685" s="8"/>
      <c r="BJ685" s="10"/>
      <c r="BX685" s="10"/>
      <c r="CE685" s="10"/>
      <c r="CL685" s="10"/>
      <c r="CS685" s="10"/>
      <c r="CZ685" s="10"/>
      <c r="DG685" s="10"/>
      <c r="DN685" s="10"/>
      <c r="DU685" s="10"/>
    </row>
    <row r="686" spans="3:125" ht="15.75" customHeight="1" x14ac:dyDescent="0.25">
      <c r="C686" s="8"/>
      <c r="BJ686" s="10"/>
      <c r="BX686" s="10"/>
      <c r="CE686" s="10"/>
      <c r="CL686" s="10"/>
      <c r="CS686" s="10"/>
      <c r="CZ686" s="10"/>
      <c r="DG686" s="10"/>
      <c r="DN686" s="10"/>
      <c r="DU686" s="10"/>
    </row>
    <row r="687" spans="3:125" ht="15.75" customHeight="1" x14ac:dyDescent="0.25">
      <c r="C687" s="8"/>
      <c r="BJ687" s="10"/>
      <c r="BX687" s="10"/>
      <c r="CE687" s="10"/>
      <c r="CL687" s="10"/>
      <c r="CS687" s="10"/>
      <c r="CZ687" s="10"/>
      <c r="DG687" s="10"/>
      <c r="DN687" s="10"/>
      <c r="DU687" s="10"/>
    </row>
    <row r="688" spans="3:125" ht="15.75" customHeight="1" x14ac:dyDescent="0.25">
      <c r="C688" s="8"/>
      <c r="BJ688" s="10"/>
      <c r="BX688" s="10"/>
      <c r="CE688" s="10"/>
      <c r="CL688" s="10"/>
      <c r="CS688" s="10"/>
      <c r="CZ688" s="10"/>
      <c r="DG688" s="10"/>
      <c r="DN688" s="10"/>
      <c r="DU688" s="10"/>
    </row>
    <row r="689" spans="3:125" ht="15.75" customHeight="1" x14ac:dyDescent="0.25">
      <c r="C689" s="8"/>
      <c r="BJ689" s="10"/>
      <c r="BX689" s="10"/>
      <c r="CE689" s="10"/>
      <c r="CL689" s="10"/>
      <c r="CS689" s="10"/>
      <c r="CZ689" s="10"/>
      <c r="DG689" s="10"/>
      <c r="DN689" s="10"/>
      <c r="DU689" s="10"/>
    </row>
    <row r="690" spans="3:125" ht="15.75" customHeight="1" x14ac:dyDescent="0.25">
      <c r="C690" s="8"/>
      <c r="BJ690" s="10"/>
      <c r="BX690" s="10"/>
      <c r="CE690" s="10"/>
      <c r="CL690" s="10"/>
      <c r="CS690" s="10"/>
      <c r="CZ690" s="10"/>
      <c r="DG690" s="10"/>
      <c r="DN690" s="10"/>
      <c r="DU690" s="10"/>
    </row>
    <row r="691" spans="3:125" ht="15.75" customHeight="1" x14ac:dyDescent="0.25">
      <c r="C691" s="8"/>
      <c r="BJ691" s="10"/>
      <c r="BX691" s="10"/>
      <c r="CE691" s="10"/>
      <c r="CL691" s="10"/>
      <c r="CS691" s="10"/>
      <c r="CZ691" s="10"/>
      <c r="DG691" s="10"/>
      <c r="DN691" s="10"/>
      <c r="DU691" s="10"/>
    </row>
    <row r="692" spans="3:125" ht="15.75" customHeight="1" x14ac:dyDescent="0.25">
      <c r="C692" s="8"/>
      <c r="BJ692" s="10"/>
      <c r="BX692" s="10"/>
      <c r="CE692" s="10"/>
      <c r="CL692" s="10"/>
      <c r="CS692" s="10"/>
      <c r="CZ692" s="10"/>
      <c r="DG692" s="10"/>
      <c r="DN692" s="10"/>
      <c r="DU692" s="10"/>
    </row>
    <row r="693" spans="3:125" ht="15.75" customHeight="1" x14ac:dyDescent="0.25">
      <c r="C693" s="8"/>
      <c r="BJ693" s="10"/>
      <c r="BX693" s="10"/>
      <c r="CE693" s="10"/>
      <c r="CL693" s="10"/>
      <c r="CS693" s="10"/>
      <c r="CZ693" s="10"/>
      <c r="DG693" s="10"/>
      <c r="DN693" s="10"/>
      <c r="DU693" s="10"/>
    </row>
    <row r="694" spans="3:125" ht="15.75" customHeight="1" x14ac:dyDescent="0.25">
      <c r="C694" s="8"/>
      <c r="BJ694" s="10"/>
      <c r="BX694" s="10"/>
      <c r="CE694" s="10"/>
      <c r="CL694" s="10"/>
      <c r="CS694" s="10"/>
      <c r="CZ694" s="10"/>
      <c r="DG694" s="10"/>
      <c r="DN694" s="10"/>
      <c r="DU694" s="10"/>
    </row>
    <row r="695" spans="3:125" ht="15.75" customHeight="1" x14ac:dyDescent="0.25">
      <c r="C695" s="8"/>
      <c r="BJ695" s="10"/>
      <c r="BX695" s="10"/>
      <c r="CE695" s="10"/>
      <c r="CL695" s="10"/>
      <c r="CS695" s="10"/>
      <c r="CZ695" s="10"/>
      <c r="DG695" s="10"/>
      <c r="DN695" s="10"/>
      <c r="DU695" s="10"/>
    </row>
    <row r="696" spans="3:125" ht="15.75" customHeight="1" x14ac:dyDescent="0.25">
      <c r="C696" s="8"/>
      <c r="BJ696" s="10"/>
      <c r="BX696" s="10"/>
      <c r="CE696" s="10"/>
      <c r="CL696" s="10"/>
      <c r="CS696" s="10"/>
      <c r="CZ696" s="10"/>
      <c r="DG696" s="10"/>
      <c r="DN696" s="10"/>
      <c r="DU696" s="10"/>
    </row>
    <row r="697" spans="3:125" ht="15.75" customHeight="1" x14ac:dyDescent="0.25">
      <c r="C697" s="8"/>
      <c r="BJ697" s="10"/>
      <c r="BX697" s="10"/>
      <c r="CE697" s="10"/>
      <c r="CL697" s="10"/>
      <c r="CS697" s="10"/>
      <c r="CZ697" s="10"/>
      <c r="DG697" s="10"/>
      <c r="DN697" s="10"/>
      <c r="DU697" s="10"/>
    </row>
    <row r="698" spans="3:125" ht="15.75" customHeight="1" x14ac:dyDescent="0.25">
      <c r="C698" s="8"/>
      <c r="BJ698" s="10"/>
      <c r="BX698" s="10"/>
      <c r="CE698" s="10"/>
      <c r="CL698" s="10"/>
      <c r="CS698" s="10"/>
      <c r="CZ698" s="10"/>
      <c r="DG698" s="10"/>
      <c r="DN698" s="10"/>
      <c r="DU698" s="10"/>
    </row>
    <row r="699" spans="3:125" ht="15.75" customHeight="1" x14ac:dyDescent="0.25">
      <c r="C699" s="8"/>
      <c r="BJ699" s="10"/>
      <c r="BX699" s="10"/>
      <c r="CE699" s="10"/>
      <c r="CL699" s="10"/>
      <c r="CS699" s="10"/>
      <c r="CZ699" s="10"/>
      <c r="DG699" s="10"/>
      <c r="DN699" s="10"/>
      <c r="DU699" s="10"/>
    </row>
    <row r="700" spans="3:125" ht="15.75" customHeight="1" x14ac:dyDescent="0.25">
      <c r="C700" s="8"/>
      <c r="BJ700" s="10"/>
      <c r="BX700" s="10"/>
      <c r="CE700" s="10"/>
      <c r="CL700" s="10"/>
      <c r="CS700" s="10"/>
      <c r="CZ700" s="10"/>
      <c r="DG700" s="10"/>
      <c r="DN700" s="10"/>
      <c r="DU700" s="10"/>
    </row>
    <row r="701" spans="3:125" ht="15.75" customHeight="1" x14ac:dyDescent="0.25">
      <c r="C701" s="8"/>
      <c r="BJ701" s="10"/>
      <c r="BX701" s="10"/>
      <c r="CE701" s="10"/>
      <c r="CL701" s="10"/>
      <c r="CS701" s="10"/>
      <c r="CZ701" s="10"/>
      <c r="DG701" s="10"/>
      <c r="DN701" s="10"/>
      <c r="DU701" s="10"/>
    </row>
    <row r="702" spans="3:125" ht="15.75" customHeight="1" x14ac:dyDescent="0.25">
      <c r="C702" s="8"/>
      <c r="BJ702" s="10"/>
      <c r="BX702" s="10"/>
      <c r="CE702" s="10"/>
      <c r="CL702" s="10"/>
      <c r="CS702" s="10"/>
      <c r="CZ702" s="10"/>
      <c r="DG702" s="10"/>
      <c r="DN702" s="10"/>
      <c r="DU702" s="10"/>
    </row>
    <row r="703" spans="3:125" ht="15.75" customHeight="1" x14ac:dyDescent="0.25">
      <c r="C703" s="8"/>
      <c r="BJ703" s="10"/>
      <c r="BX703" s="10"/>
      <c r="CE703" s="10"/>
      <c r="CL703" s="10"/>
      <c r="CS703" s="10"/>
      <c r="CZ703" s="10"/>
      <c r="DG703" s="10"/>
      <c r="DN703" s="10"/>
      <c r="DU703" s="10"/>
    </row>
    <row r="704" spans="3:125" ht="15.75" customHeight="1" x14ac:dyDescent="0.25">
      <c r="C704" s="8"/>
      <c r="BJ704" s="10"/>
      <c r="BX704" s="10"/>
      <c r="CE704" s="10"/>
      <c r="CL704" s="10"/>
      <c r="CS704" s="10"/>
      <c r="CZ704" s="10"/>
      <c r="DG704" s="10"/>
      <c r="DN704" s="10"/>
      <c r="DU704" s="10"/>
    </row>
    <row r="705" spans="3:125" ht="15.75" customHeight="1" x14ac:dyDescent="0.25">
      <c r="C705" s="8"/>
      <c r="BJ705" s="10"/>
      <c r="BX705" s="10"/>
      <c r="CE705" s="10"/>
      <c r="CL705" s="10"/>
      <c r="CS705" s="10"/>
      <c r="CZ705" s="10"/>
      <c r="DG705" s="10"/>
      <c r="DN705" s="10"/>
      <c r="DU705" s="10"/>
    </row>
    <row r="706" spans="3:125" ht="15.75" customHeight="1" x14ac:dyDescent="0.25">
      <c r="C706" s="8"/>
      <c r="BJ706" s="10"/>
      <c r="BX706" s="10"/>
      <c r="CE706" s="10"/>
      <c r="CL706" s="10"/>
      <c r="CS706" s="10"/>
      <c r="CZ706" s="10"/>
      <c r="DG706" s="10"/>
      <c r="DN706" s="10"/>
      <c r="DU706" s="10"/>
    </row>
    <row r="707" spans="3:125" ht="15.75" customHeight="1" x14ac:dyDescent="0.25">
      <c r="C707" s="8"/>
      <c r="BJ707" s="10"/>
      <c r="BX707" s="10"/>
      <c r="CE707" s="10"/>
      <c r="CL707" s="10"/>
      <c r="CS707" s="10"/>
      <c r="CZ707" s="10"/>
      <c r="DG707" s="10"/>
      <c r="DN707" s="10"/>
      <c r="DU707" s="10"/>
    </row>
    <row r="708" spans="3:125" ht="15.75" customHeight="1" x14ac:dyDescent="0.25">
      <c r="C708" s="8"/>
      <c r="BJ708" s="10"/>
      <c r="BX708" s="10"/>
      <c r="CE708" s="10"/>
      <c r="CL708" s="10"/>
      <c r="CS708" s="10"/>
      <c r="CZ708" s="10"/>
      <c r="DG708" s="10"/>
      <c r="DN708" s="10"/>
      <c r="DU708" s="10"/>
    </row>
    <row r="709" spans="3:125" ht="15.75" customHeight="1" x14ac:dyDescent="0.25">
      <c r="C709" s="8"/>
      <c r="BJ709" s="10"/>
      <c r="BX709" s="10"/>
      <c r="CE709" s="10"/>
      <c r="CL709" s="10"/>
      <c r="CS709" s="10"/>
      <c r="CZ709" s="10"/>
      <c r="DG709" s="10"/>
      <c r="DN709" s="10"/>
      <c r="DU709" s="10"/>
    </row>
    <row r="710" spans="3:125" ht="15.75" customHeight="1" x14ac:dyDescent="0.25">
      <c r="C710" s="8"/>
      <c r="BJ710" s="10"/>
      <c r="BX710" s="10"/>
      <c r="CE710" s="10"/>
      <c r="CL710" s="10"/>
      <c r="CS710" s="10"/>
      <c r="CZ710" s="10"/>
      <c r="DG710" s="10"/>
      <c r="DN710" s="10"/>
      <c r="DU710" s="10"/>
    </row>
    <row r="711" spans="3:125" ht="15.75" customHeight="1" x14ac:dyDescent="0.25">
      <c r="C711" s="8"/>
      <c r="BJ711" s="10"/>
      <c r="BX711" s="10"/>
      <c r="CE711" s="10"/>
      <c r="CL711" s="10"/>
      <c r="CS711" s="10"/>
      <c r="CZ711" s="10"/>
      <c r="DG711" s="10"/>
      <c r="DN711" s="10"/>
      <c r="DU711" s="10"/>
    </row>
    <row r="712" spans="3:125" ht="15.75" customHeight="1" x14ac:dyDescent="0.25">
      <c r="C712" s="8"/>
      <c r="BJ712" s="10"/>
      <c r="BX712" s="10"/>
      <c r="CE712" s="10"/>
      <c r="CL712" s="10"/>
      <c r="CS712" s="10"/>
      <c r="CZ712" s="10"/>
      <c r="DG712" s="10"/>
      <c r="DN712" s="10"/>
      <c r="DU712" s="10"/>
    </row>
    <row r="713" spans="3:125" ht="15.75" customHeight="1" x14ac:dyDescent="0.25">
      <c r="C713" s="8"/>
      <c r="BJ713" s="10"/>
      <c r="BX713" s="10"/>
      <c r="CE713" s="10"/>
      <c r="CL713" s="10"/>
      <c r="CS713" s="10"/>
      <c r="CZ713" s="10"/>
      <c r="DG713" s="10"/>
      <c r="DN713" s="10"/>
      <c r="DU713" s="10"/>
    </row>
    <row r="714" spans="3:125" ht="15.75" customHeight="1" x14ac:dyDescent="0.25">
      <c r="C714" s="8"/>
      <c r="BJ714" s="10"/>
      <c r="BX714" s="10"/>
      <c r="CE714" s="10"/>
      <c r="CL714" s="10"/>
      <c r="CS714" s="10"/>
      <c r="CZ714" s="10"/>
      <c r="DG714" s="10"/>
      <c r="DN714" s="10"/>
      <c r="DU714" s="10"/>
    </row>
    <row r="715" spans="3:125" ht="15.75" customHeight="1" x14ac:dyDescent="0.25">
      <c r="C715" s="8"/>
      <c r="BJ715" s="10"/>
      <c r="BX715" s="10"/>
      <c r="CE715" s="10"/>
      <c r="CL715" s="10"/>
      <c r="CS715" s="10"/>
      <c r="CZ715" s="10"/>
      <c r="DG715" s="10"/>
      <c r="DN715" s="10"/>
      <c r="DU715" s="10"/>
    </row>
    <row r="716" spans="3:125" ht="15.75" customHeight="1" x14ac:dyDescent="0.25">
      <c r="C716" s="8"/>
      <c r="BJ716" s="10"/>
      <c r="BX716" s="10"/>
      <c r="CE716" s="10"/>
      <c r="CL716" s="10"/>
      <c r="CS716" s="10"/>
      <c r="CZ716" s="10"/>
      <c r="DG716" s="10"/>
      <c r="DN716" s="10"/>
      <c r="DU716" s="10"/>
    </row>
    <row r="717" spans="3:125" ht="15.75" customHeight="1" x14ac:dyDescent="0.25">
      <c r="C717" s="8"/>
      <c r="BJ717" s="10"/>
      <c r="BX717" s="10"/>
      <c r="CE717" s="10"/>
      <c r="CL717" s="10"/>
      <c r="CS717" s="10"/>
      <c r="CZ717" s="10"/>
      <c r="DG717" s="10"/>
      <c r="DN717" s="10"/>
      <c r="DU717" s="10"/>
    </row>
    <row r="718" spans="3:125" ht="15.75" customHeight="1" x14ac:dyDescent="0.25">
      <c r="C718" s="8"/>
      <c r="BJ718" s="10"/>
      <c r="BX718" s="10"/>
      <c r="CE718" s="10"/>
      <c r="CL718" s="10"/>
      <c r="CS718" s="10"/>
      <c r="CZ718" s="10"/>
      <c r="DG718" s="10"/>
      <c r="DN718" s="10"/>
      <c r="DU718" s="10"/>
    </row>
    <row r="719" spans="3:125" ht="15.75" customHeight="1" x14ac:dyDescent="0.25">
      <c r="C719" s="8"/>
      <c r="BJ719" s="10"/>
      <c r="BX719" s="10"/>
      <c r="CE719" s="10"/>
      <c r="CL719" s="10"/>
      <c r="CS719" s="10"/>
      <c r="CZ719" s="10"/>
      <c r="DG719" s="10"/>
      <c r="DN719" s="10"/>
      <c r="DU719" s="10"/>
    </row>
    <row r="720" spans="3:125" ht="15.75" customHeight="1" x14ac:dyDescent="0.25">
      <c r="C720" s="8"/>
      <c r="BJ720" s="10"/>
      <c r="BX720" s="10"/>
      <c r="CE720" s="10"/>
      <c r="CL720" s="10"/>
      <c r="CS720" s="10"/>
      <c r="CZ720" s="10"/>
      <c r="DG720" s="10"/>
      <c r="DN720" s="10"/>
      <c r="DU720" s="10"/>
    </row>
    <row r="721" spans="3:125" ht="15.75" customHeight="1" x14ac:dyDescent="0.25">
      <c r="C721" s="8"/>
      <c r="BJ721" s="10"/>
      <c r="BX721" s="10"/>
      <c r="CE721" s="10"/>
      <c r="CL721" s="10"/>
      <c r="CS721" s="10"/>
      <c r="CZ721" s="10"/>
      <c r="DG721" s="10"/>
      <c r="DN721" s="10"/>
      <c r="DU721" s="10"/>
    </row>
    <row r="722" spans="3:125" ht="15.75" customHeight="1" x14ac:dyDescent="0.25">
      <c r="C722" s="8"/>
      <c r="BJ722" s="10"/>
      <c r="BX722" s="10"/>
      <c r="CE722" s="10"/>
      <c r="CL722" s="10"/>
      <c r="CS722" s="10"/>
      <c r="CZ722" s="10"/>
      <c r="DG722" s="10"/>
      <c r="DN722" s="10"/>
      <c r="DU722" s="10"/>
    </row>
    <row r="723" spans="3:125" ht="15.75" customHeight="1" x14ac:dyDescent="0.25">
      <c r="C723" s="8"/>
      <c r="BJ723" s="10"/>
      <c r="BX723" s="10"/>
      <c r="CE723" s="10"/>
      <c r="CL723" s="10"/>
      <c r="CS723" s="10"/>
      <c r="CZ723" s="10"/>
      <c r="DG723" s="10"/>
      <c r="DN723" s="10"/>
      <c r="DU723" s="10"/>
    </row>
    <row r="724" spans="3:125" ht="15.75" customHeight="1" x14ac:dyDescent="0.25">
      <c r="C724" s="8"/>
      <c r="BJ724" s="10"/>
      <c r="BX724" s="10"/>
      <c r="CE724" s="10"/>
      <c r="CL724" s="10"/>
      <c r="CS724" s="10"/>
      <c r="CZ724" s="10"/>
      <c r="DG724" s="10"/>
      <c r="DN724" s="10"/>
      <c r="DU724" s="10"/>
    </row>
    <row r="725" spans="3:125" ht="15.75" customHeight="1" x14ac:dyDescent="0.25">
      <c r="C725" s="8"/>
      <c r="BJ725" s="10"/>
      <c r="BX725" s="10"/>
      <c r="CE725" s="10"/>
      <c r="CL725" s="10"/>
      <c r="CS725" s="10"/>
      <c r="CZ725" s="10"/>
      <c r="DG725" s="10"/>
      <c r="DN725" s="10"/>
      <c r="DU725" s="10"/>
    </row>
    <row r="726" spans="3:125" ht="15.75" customHeight="1" x14ac:dyDescent="0.25">
      <c r="C726" s="8"/>
      <c r="BJ726" s="10"/>
      <c r="BX726" s="10"/>
      <c r="CE726" s="10"/>
      <c r="CL726" s="10"/>
      <c r="CS726" s="10"/>
      <c r="CZ726" s="10"/>
      <c r="DG726" s="10"/>
      <c r="DN726" s="10"/>
      <c r="DU726" s="10"/>
    </row>
    <row r="727" spans="3:125" ht="15.75" customHeight="1" x14ac:dyDescent="0.25">
      <c r="C727" s="8"/>
      <c r="BJ727" s="10"/>
      <c r="BX727" s="10"/>
      <c r="CE727" s="10"/>
      <c r="CL727" s="10"/>
      <c r="CS727" s="10"/>
      <c r="CZ727" s="10"/>
      <c r="DG727" s="10"/>
      <c r="DN727" s="10"/>
      <c r="DU727" s="10"/>
    </row>
    <row r="728" spans="3:125" ht="15.75" customHeight="1" x14ac:dyDescent="0.25">
      <c r="C728" s="8"/>
      <c r="BJ728" s="10"/>
      <c r="BX728" s="10"/>
      <c r="CE728" s="10"/>
      <c r="CL728" s="10"/>
      <c r="CS728" s="10"/>
      <c r="CZ728" s="10"/>
      <c r="DG728" s="10"/>
      <c r="DN728" s="10"/>
      <c r="DU728" s="10"/>
    </row>
    <row r="729" spans="3:125" ht="15.75" customHeight="1" x14ac:dyDescent="0.25">
      <c r="C729" s="8"/>
      <c r="BJ729" s="10"/>
      <c r="BX729" s="10"/>
      <c r="CE729" s="10"/>
      <c r="CL729" s="10"/>
      <c r="CS729" s="10"/>
      <c r="CZ729" s="10"/>
      <c r="DG729" s="10"/>
      <c r="DN729" s="10"/>
      <c r="DU729" s="10"/>
    </row>
    <row r="730" spans="3:125" ht="15.75" customHeight="1" x14ac:dyDescent="0.25">
      <c r="C730" s="8"/>
      <c r="BJ730" s="10"/>
      <c r="BX730" s="10"/>
      <c r="CE730" s="10"/>
      <c r="CL730" s="10"/>
      <c r="CS730" s="10"/>
      <c r="CZ730" s="10"/>
      <c r="DG730" s="10"/>
      <c r="DN730" s="10"/>
      <c r="DU730" s="10"/>
    </row>
    <row r="731" spans="3:125" ht="15.75" customHeight="1" x14ac:dyDescent="0.25">
      <c r="C731" s="8"/>
      <c r="BJ731" s="10"/>
      <c r="BX731" s="10"/>
      <c r="CE731" s="10"/>
      <c r="CL731" s="10"/>
      <c r="CS731" s="10"/>
      <c r="CZ731" s="10"/>
      <c r="DG731" s="10"/>
      <c r="DN731" s="10"/>
      <c r="DU731" s="10"/>
    </row>
    <row r="732" spans="3:125" ht="15.75" customHeight="1" x14ac:dyDescent="0.25">
      <c r="C732" s="8"/>
      <c r="BJ732" s="10"/>
      <c r="BX732" s="10"/>
      <c r="CE732" s="10"/>
      <c r="CL732" s="10"/>
      <c r="CS732" s="10"/>
      <c r="CZ732" s="10"/>
      <c r="DG732" s="10"/>
      <c r="DN732" s="10"/>
      <c r="DU732" s="10"/>
    </row>
    <row r="733" spans="3:125" ht="15.75" customHeight="1" x14ac:dyDescent="0.25">
      <c r="C733" s="8"/>
      <c r="BJ733" s="10"/>
      <c r="BX733" s="10"/>
      <c r="CE733" s="10"/>
      <c r="CL733" s="10"/>
      <c r="CS733" s="10"/>
      <c r="CZ733" s="10"/>
      <c r="DG733" s="10"/>
      <c r="DN733" s="10"/>
      <c r="DU733" s="10"/>
    </row>
    <row r="734" spans="3:125" ht="15.75" customHeight="1" x14ac:dyDescent="0.25">
      <c r="C734" s="8"/>
      <c r="BJ734" s="10"/>
      <c r="BX734" s="10"/>
      <c r="CE734" s="10"/>
      <c r="CL734" s="10"/>
      <c r="CS734" s="10"/>
      <c r="CZ734" s="10"/>
      <c r="DG734" s="10"/>
      <c r="DN734" s="10"/>
      <c r="DU734" s="10"/>
    </row>
    <row r="735" spans="3:125" ht="15.75" customHeight="1" x14ac:dyDescent="0.25">
      <c r="C735" s="8"/>
      <c r="BJ735" s="10"/>
      <c r="BX735" s="10"/>
      <c r="CE735" s="10"/>
      <c r="CL735" s="10"/>
      <c r="CS735" s="10"/>
      <c r="CZ735" s="10"/>
      <c r="DG735" s="10"/>
      <c r="DN735" s="10"/>
      <c r="DU735" s="10"/>
    </row>
    <row r="736" spans="3:125" ht="15.75" customHeight="1" x14ac:dyDescent="0.25">
      <c r="C736" s="8"/>
      <c r="BJ736" s="10"/>
      <c r="BX736" s="10"/>
      <c r="CE736" s="10"/>
      <c r="CL736" s="10"/>
      <c r="CS736" s="10"/>
      <c r="CZ736" s="10"/>
      <c r="DG736" s="10"/>
      <c r="DN736" s="10"/>
      <c r="DU736" s="10"/>
    </row>
    <row r="737" spans="3:125" ht="15.75" customHeight="1" x14ac:dyDescent="0.25">
      <c r="C737" s="8"/>
      <c r="BJ737" s="10"/>
      <c r="BX737" s="10"/>
      <c r="CE737" s="10"/>
      <c r="CL737" s="10"/>
      <c r="CS737" s="10"/>
      <c r="CZ737" s="10"/>
      <c r="DG737" s="10"/>
      <c r="DN737" s="10"/>
      <c r="DU737" s="10"/>
    </row>
    <row r="738" spans="3:125" ht="15.75" customHeight="1" x14ac:dyDescent="0.25">
      <c r="C738" s="8"/>
      <c r="BJ738" s="10"/>
      <c r="BX738" s="10"/>
      <c r="CE738" s="10"/>
      <c r="CL738" s="10"/>
      <c r="CS738" s="10"/>
      <c r="CZ738" s="10"/>
      <c r="DG738" s="10"/>
      <c r="DN738" s="10"/>
      <c r="DU738" s="10"/>
    </row>
    <row r="739" spans="3:125" ht="15.75" customHeight="1" x14ac:dyDescent="0.25">
      <c r="C739" s="8"/>
      <c r="BJ739" s="10"/>
      <c r="BX739" s="10"/>
      <c r="CE739" s="10"/>
      <c r="CL739" s="10"/>
      <c r="CS739" s="10"/>
      <c r="CZ739" s="10"/>
      <c r="DG739" s="10"/>
      <c r="DN739" s="10"/>
      <c r="DU739" s="10"/>
    </row>
    <row r="740" spans="3:125" ht="15.75" customHeight="1" x14ac:dyDescent="0.25">
      <c r="C740" s="8"/>
      <c r="BJ740" s="10"/>
      <c r="BX740" s="10"/>
      <c r="CE740" s="10"/>
      <c r="CL740" s="10"/>
      <c r="CS740" s="10"/>
      <c r="CZ740" s="10"/>
      <c r="DG740" s="10"/>
      <c r="DN740" s="10"/>
      <c r="DU740" s="10"/>
    </row>
    <row r="741" spans="3:125" ht="15.75" customHeight="1" x14ac:dyDescent="0.25">
      <c r="C741" s="8"/>
      <c r="BJ741" s="10"/>
      <c r="BX741" s="10"/>
      <c r="CE741" s="10"/>
      <c r="CL741" s="10"/>
      <c r="CS741" s="10"/>
      <c r="CZ741" s="10"/>
      <c r="DG741" s="10"/>
      <c r="DN741" s="10"/>
      <c r="DU741" s="10"/>
    </row>
    <row r="742" spans="3:125" ht="15.75" customHeight="1" x14ac:dyDescent="0.25">
      <c r="C742" s="8"/>
      <c r="BJ742" s="10"/>
      <c r="BX742" s="10"/>
      <c r="CE742" s="10"/>
      <c r="CL742" s="10"/>
      <c r="CS742" s="10"/>
      <c r="CZ742" s="10"/>
      <c r="DG742" s="10"/>
      <c r="DN742" s="10"/>
      <c r="DU742" s="10"/>
    </row>
    <row r="743" spans="3:125" ht="15.75" customHeight="1" x14ac:dyDescent="0.25">
      <c r="C743" s="8"/>
      <c r="BJ743" s="10"/>
      <c r="BX743" s="10"/>
      <c r="CE743" s="10"/>
      <c r="CL743" s="10"/>
      <c r="CS743" s="10"/>
      <c r="CZ743" s="10"/>
      <c r="DG743" s="10"/>
      <c r="DN743" s="10"/>
      <c r="DU743" s="10"/>
    </row>
    <row r="744" spans="3:125" ht="15.75" customHeight="1" x14ac:dyDescent="0.25">
      <c r="C744" s="8"/>
      <c r="BJ744" s="10"/>
      <c r="BX744" s="10"/>
      <c r="CE744" s="10"/>
      <c r="CL744" s="10"/>
      <c r="CS744" s="10"/>
      <c r="CZ744" s="10"/>
      <c r="DG744" s="10"/>
      <c r="DN744" s="10"/>
      <c r="DU744" s="10"/>
    </row>
    <row r="745" spans="3:125" ht="15.75" customHeight="1" x14ac:dyDescent="0.25">
      <c r="C745" s="8"/>
      <c r="BJ745" s="10"/>
      <c r="BX745" s="10"/>
      <c r="CE745" s="10"/>
      <c r="CL745" s="10"/>
      <c r="CS745" s="10"/>
      <c r="CZ745" s="10"/>
      <c r="DG745" s="10"/>
      <c r="DN745" s="10"/>
      <c r="DU745" s="10"/>
    </row>
    <row r="746" spans="3:125" ht="15.75" customHeight="1" x14ac:dyDescent="0.25">
      <c r="C746" s="8"/>
      <c r="BJ746" s="10"/>
      <c r="BX746" s="10"/>
      <c r="CE746" s="10"/>
      <c r="CL746" s="10"/>
      <c r="CS746" s="10"/>
      <c r="CZ746" s="10"/>
      <c r="DG746" s="10"/>
      <c r="DN746" s="10"/>
      <c r="DU746" s="10"/>
    </row>
    <row r="747" spans="3:125" ht="15.75" customHeight="1" x14ac:dyDescent="0.25">
      <c r="C747" s="8"/>
      <c r="BJ747" s="10"/>
      <c r="BX747" s="10"/>
      <c r="CE747" s="10"/>
      <c r="CL747" s="10"/>
      <c r="CS747" s="10"/>
      <c r="CZ747" s="10"/>
      <c r="DG747" s="10"/>
      <c r="DN747" s="10"/>
      <c r="DU747" s="10"/>
    </row>
    <row r="748" spans="3:125" ht="15.75" customHeight="1" x14ac:dyDescent="0.25">
      <c r="C748" s="8"/>
      <c r="BJ748" s="10"/>
      <c r="BX748" s="10"/>
      <c r="CE748" s="10"/>
      <c r="CL748" s="10"/>
      <c r="CS748" s="10"/>
      <c r="CZ748" s="10"/>
      <c r="DG748" s="10"/>
      <c r="DN748" s="10"/>
      <c r="DU748" s="10"/>
    </row>
    <row r="749" spans="3:125" ht="15.75" customHeight="1" x14ac:dyDescent="0.25">
      <c r="C749" s="8"/>
      <c r="BJ749" s="10"/>
      <c r="BX749" s="10"/>
      <c r="CE749" s="10"/>
      <c r="CL749" s="10"/>
      <c r="CS749" s="10"/>
      <c r="CZ749" s="10"/>
      <c r="DG749" s="10"/>
      <c r="DN749" s="10"/>
      <c r="DU749" s="10"/>
    </row>
    <row r="750" spans="3:125" ht="15.75" customHeight="1" x14ac:dyDescent="0.25">
      <c r="C750" s="8"/>
      <c r="BJ750" s="10"/>
      <c r="BX750" s="10"/>
      <c r="CE750" s="10"/>
      <c r="CL750" s="10"/>
      <c r="CS750" s="10"/>
      <c r="CZ750" s="10"/>
      <c r="DG750" s="10"/>
      <c r="DN750" s="10"/>
      <c r="DU750" s="10"/>
    </row>
    <row r="751" spans="3:125" ht="15.75" customHeight="1" x14ac:dyDescent="0.25">
      <c r="C751" s="8"/>
      <c r="BJ751" s="10"/>
      <c r="BX751" s="10"/>
      <c r="CE751" s="10"/>
      <c r="CL751" s="10"/>
      <c r="CS751" s="10"/>
      <c r="CZ751" s="10"/>
      <c r="DG751" s="10"/>
      <c r="DN751" s="10"/>
      <c r="DU751" s="10"/>
    </row>
    <row r="752" spans="3:125" ht="15.75" customHeight="1" x14ac:dyDescent="0.25">
      <c r="C752" s="8"/>
      <c r="BJ752" s="10"/>
      <c r="BX752" s="10"/>
      <c r="CE752" s="10"/>
      <c r="CL752" s="10"/>
      <c r="CS752" s="10"/>
      <c r="CZ752" s="10"/>
      <c r="DG752" s="10"/>
      <c r="DN752" s="10"/>
      <c r="DU752" s="10"/>
    </row>
    <row r="753" spans="3:125" ht="15.75" customHeight="1" x14ac:dyDescent="0.25">
      <c r="C753" s="8"/>
      <c r="BJ753" s="10"/>
      <c r="BX753" s="10"/>
      <c r="CE753" s="10"/>
      <c r="CL753" s="10"/>
      <c r="CS753" s="10"/>
      <c r="CZ753" s="10"/>
      <c r="DG753" s="10"/>
      <c r="DN753" s="10"/>
      <c r="DU753" s="10"/>
    </row>
    <row r="754" spans="3:125" ht="15.75" customHeight="1" x14ac:dyDescent="0.25">
      <c r="C754" s="8"/>
      <c r="BJ754" s="10"/>
      <c r="BX754" s="10"/>
      <c r="CE754" s="10"/>
      <c r="CL754" s="10"/>
      <c r="CS754" s="10"/>
      <c r="CZ754" s="10"/>
      <c r="DG754" s="10"/>
      <c r="DN754" s="10"/>
      <c r="DU754" s="10"/>
    </row>
    <row r="755" spans="3:125" ht="15.75" customHeight="1" x14ac:dyDescent="0.25">
      <c r="C755" s="8"/>
      <c r="BJ755" s="10"/>
      <c r="BX755" s="10"/>
      <c r="CE755" s="10"/>
      <c r="CL755" s="10"/>
      <c r="CS755" s="10"/>
      <c r="CZ755" s="10"/>
      <c r="DG755" s="10"/>
      <c r="DN755" s="10"/>
      <c r="DU755" s="10"/>
    </row>
    <row r="756" spans="3:125" ht="15.75" customHeight="1" x14ac:dyDescent="0.25">
      <c r="C756" s="8"/>
      <c r="BJ756" s="10"/>
      <c r="BX756" s="10"/>
      <c r="CE756" s="10"/>
      <c r="CL756" s="10"/>
      <c r="CS756" s="10"/>
      <c r="CZ756" s="10"/>
      <c r="DG756" s="10"/>
      <c r="DN756" s="10"/>
      <c r="DU756" s="10"/>
    </row>
    <row r="757" spans="3:125" ht="15.75" customHeight="1" x14ac:dyDescent="0.25">
      <c r="C757" s="8"/>
      <c r="BJ757" s="10"/>
      <c r="BX757" s="10"/>
      <c r="CE757" s="10"/>
      <c r="CL757" s="10"/>
      <c r="CS757" s="10"/>
      <c r="CZ757" s="10"/>
      <c r="DG757" s="10"/>
      <c r="DN757" s="10"/>
      <c r="DU757" s="10"/>
    </row>
    <row r="758" spans="3:125" ht="15.75" customHeight="1" x14ac:dyDescent="0.25">
      <c r="C758" s="8"/>
      <c r="BJ758" s="10"/>
      <c r="BX758" s="10"/>
      <c r="CE758" s="10"/>
      <c r="CL758" s="10"/>
      <c r="CS758" s="10"/>
      <c r="CZ758" s="10"/>
      <c r="DG758" s="10"/>
      <c r="DN758" s="10"/>
      <c r="DU758" s="10"/>
    </row>
    <row r="759" spans="3:125" ht="15.75" customHeight="1" x14ac:dyDescent="0.25">
      <c r="C759" s="8"/>
      <c r="BJ759" s="10"/>
      <c r="BX759" s="10"/>
      <c r="CE759" s="10"/>
      <c r="CL759" s="10"/>
      <c r="CS759" s="10"/>
      <c r="CZ759" s="10"/>
      <c r="DG759" s="10"/>
      <c r="DN759" s="10"/>
      <c r="DU759" s="10"/>
    </row>
    <row r="760" spans="3:125" ht="15.75" customHeight="1" x14ac:dyDescent="0.25">
      <c r="C760" s="8"/>
      <c r="BJ760" s="10"/>
      <c r="BX760" s="10"/>
      <c r="CE760" s="10"/>
      <c r="CL760" s="10"/>
      <c r="CS760" s="10"/>
      <c r="CZ760" s="10"/>
      <c r="DG760" s="10"/>
      <c r="DN760" s="10"/>
      <c r="DU760" s="10"/>
    </row>
    <row r="761" spans="3:125" ht="15.75" customHeight="1" x14ac:dyDescent="0.25">
      <c r="C761" s="8"/>
      <c r="BJ761" s="10"/>
      <c r="BX761" s="10"/>
      <c r="CE761" s="10"/>
      <c r="CL761" s="10"/>
      <c r="CS761" s="10"/>
      <c r="CZ761" s="10"/>
      <c r="DG761" s="10"/>
      <c r="DN761" s="10"/>
      <c r="DU761" s="10"/>
    </row>
    <row r="762" spans="3:125" ht="15.75" customHeight="1" x14ac:dyDescent="0.25">
      <c r="C762" s="8"/>
      <c r="BJ762" s="10"/>
      <c r="BX762" s="10"/>
      <c r="CE762" s="10"/>
      <c r="CL762" s="10"/>
      <c r="CS762" s="10"/>
      <c r="CZ762" s="10"/>
      <c r="DG762" s="10"/>
      <c r="DN762" s="10"/>
      <c r="DU762" s="10"/>
    </row>
    <row r="763" spans="3:125" ht="15.75" customHeight="1" x14ac:dyDescent="0.25">
      <c r="C763" s="8"/>
      <c r="BJ763" s="10"/>
      <c r="BX763" s="10"/>
      <c r="CE763" s="10"/>
      <c r="CL763" s="10"/>
      <c r="CS763" s="10"/>
      <c r="CZ763" s="10"/>
      <c r="DG763" s="10"/>
      <c r="DN763" s="10"/>
      <c r="DU763" s="10"/>
    </row>
    <row r="764" spans="3:125" ht="15.75" customHeight="1" x14ac:dyDescent="0.25">
      <c r="C764" s="8"/>
      <c r="BJ764" s="10"/>
      <c r="BX764" s="10"/>
      <c r="CE764" s="10"/>
      <c r="CL764" s="10"/>
      <c r="CS764" s="10"/>
      <c r="CZ764" s="10"/>
      <c r="DG764" s="10"/>
      <c r="DN764" s="10"/>
      <c r="DU764" s="10"/>
    </row>
    <row r="765" spans="3:125" ht="15.75" customHeight="1" x14ac:dyDescent="0.25">
      <c r="C765" s="8"/>
      <c r="BJ765" s="10"/>
      <c r="BX765" s="10"/>
      <c r="CE765" s="10"/>
      <c r="CL765" s="10"/>
      <c r="CS765" s="10"/>
      <c r="CZ765" s="10"/>
      <c r="DG765" s="10"/>
      <c r="DN765" s="10"/>
      <c r="DU765" s="10"/>
    </row>
    <row r="766" spans="3:125" ht="15.75" customHeight="1" x14ac:dyDescent="0.25">
      <c r="C766" s="8"/>
      <c r="BJ766" s="10"/>
      <c r="BX766" s="10"/>
      <c r="CE766" s="10"/>
      <c r="CL766" s="10"/>
      <c r="CS766" s="10"/>
      <c r="CZ766" s="10"/>
      <c r="DG766" s="10"/>
      <c r="DN766" s="10"/>
      <c r="DU766" s="10"/>
    </row>
    <row r="767" spans="3:125" ht="15.75" customHeight="1" x14ac:dyDescent="0.25">
      <c r="C767" s="8"/>
      <c r="BJ767" s="10"/>
      <c r="BX767" s="10"/>
      <c r="CE767" s="10"/>
      <c r="CL767" s="10"/>
      <c r="CS767" s="10"/>
      <c r="CZ767" s="10"/>
      <c r="DG767" s="10"/>
      <c r="DN767" s="10"/>
      <c r="DU767" s="10"/>
    </row>
    <row r="768" spans="3:125" ht="15.75" customHeight="1" x14ac:dyDescent="0.25">
      <c r="C768" s="8"/>
      <c r="BJ768" s="10"/>
      <c r="BX768" s="10"/>
      <c r="CE768" s="10"/>
      <c r="CL768" s="10"/>
      <c r="CS768" s="10"/>
      <c r="CZ768" s="10"/>
      <c r="DG768" s="10"/>
      <c r="DN768" s="10"/>
      <c r="DU768" s="10"/>
    </row>
    <row r="769" spans="3:125" ht="15.75" customHeight="1" x14ac:dyDescent="0.25">
      <c r="C769" s="8"/>
      <c r="BJ769" s="10"/>
      <c r="BX769" s="10"/>
      <c r="CE769" s="10"/>
      <c r="CL769" s="10"/>
      <c r="CS769" s="10"/>
      <c r="CZ769" s="10"/>
      <c r="DG769" s="10"/>
      <c r="DN769" s="10"/>
      <c r="DU769" s="10"/>
    </row>
    <row r="770" spans="3:125" ht="15.75" customHeight="1" x14ac:dyDescent="0.25">
      <c r="C770" s="8"/>
      <c r="BJ770" s="10"/>
      <c r="BX770" s="10"/>
      <c r="CE770" s="10"/>
      <c r="CL770" s="10"/>
      <c r="CS770" s="10"/>
      <c r="CZ770" s="10"/>
      <c r="DG770" s="10"/>
      <c r="DN770" s="10"/>
      <c r="DU770" s="10"/>
    </row>
    <row r="771" spans="3:125" ht="15.75" customHeight="1" x14ac:dyDescent="0.25">
      <c r="C771" s="8"/>
      <c r="BJ771" s="10"/>
      <c r="BX771" s="10"/>
      <c r="CE771" s="10"/>
      <c r="CL771" s="10"/>
      <c r="CS771" s="10"/>
      <c r="CZ771" s="10"/>
      <c r="DG771" s="10"/>
      <c r="DN771" s="10"/>
      <c r="DU771" s="10"/>
    </row>
    <row r="772" spans="3:125" ht="15.75" customHeight="1" x14ac:dyDescent="0.25">
      <c r="C772" s="8"/>
      <c r="BJ772" s="10"/>
      <c r="BX772" s="10"/>
      <c r="CE772" s="10"/>
      <c r="CL772" s="10"/>
      <c r="CS772" s="10"/>
      <c r="CZ772" s="10"/>
      <c r="DG772" s="10"/>
      <c r="DN772" s="10"/>
      <c r="DU772" s="10"/>
    </row>
    <row r="773" spans="3:125" ht="15.75" customHeight="1" x14ac:dyDescent="0.25">
      <c r="C773" s="8"/>
      <c r="BJ773" s="10"/>
      <c r="BX773" s="10"/>
      <c r="CE773" s="10"/>
      <c r="CL773" s="10"/>
      <c r="CS773" s="10"/>
      <c r="CZ773" s="10"/>
      <c r="DG773" s="10"/>
      <c r="DN773" s="10"/>
      <c r="DU773" s="10"/>
    </row>
    <row r="774" spans="3:125" ht="15.75" customHeight="1" x14ac:dyDescent="0.25">
      <c r="C774" s="8"/>
      <c r="BJ774" s="10"/>
      <c r="BX774" s="10"/>
      <c r="CE774" s="10"/>
      <c r="CL774" s="10"/>
      <c r="CS774" s="10"/>
      <c r="CZ774" s="10"/>
      <c r="DG774" s="10"/>
      <c r="DN774" s="10"/>
      <c r="DU774" s="10"/>
    </row>
    <row r="775" spans="3:125" ht="15.75" customHeight="1" x14ac:dyDescent="0.25">
      <c r="C775" s="8"/>
      <c r="BJ775" s="10"/>
      <c r="BX775" s="10"/>
      <c r="CE775" s="10"/>
      <c r="CL775" s="10"/>
      <c r="CS775" s="10"/>
      <c r="CZ775" s="10"/>
      <c r="DG775" s="10"/>
      <c r="DN775" s="10"/>
      <c r="DU775" s="10"/>
    </row>
    <row r="776" spans="3:125" ht="15.75" customHeight="1" x14ac:dyDescent="0.25">
      <c r="C776" s="8"/>
      <c r="BJ776" s="10"/>
      <c r="BX776" s="10"/>
      <c r="CE776" s="10"/>
      <c r="CL776" s="10"/>
      <c r="CS776" s="10"/>
      <c r="CZ776" s="10"/>
      <c r="DG776" s="10"/>
      <c r="DN776" s="10"/>
      <c r="DU776" s="10"/>
    </row>
    <row r="777" spans="3:125" ht="15.75" customHeight="1" x14ac:dyDescent="0.25">
      <c r="C777" s="8"/>
      <c r="BJ777" s="10"/>
      <c r="BX777" s="10"/>
      <c r="CE777" s="10"/>
      <c r="CL777" s="10"/>
      <c r="CS777" s="10"/>
      <c r="CZ777" s="10"/>
      <c r="DG777" s="10"/>
      <c r="DN777" s="10"/>
      <c r="DU777" s="10"/>
    </row>
    <row r="778" spans="3:125" ht="15.75" customHeight="1" x14ac:dyDescent="0.25">
      <c r="C778" s="8"/>
      <c r="BJ778" s="10"/>
      <c r="BX778" s="10"/>
      <c r="CE778" s="10"/>
      <c r="CL778" s="10"/>
      <c r="CS778" s="10"/>
      <c r="CZ778" s="10"/>
      <c r="DG778" s="10"/>
      <c r="DN778" s="10"/>
      <c r="DU778" s="10"/>
    </row>
    <row r="779" spans="3:125" ht="15.75" customHeight="1" x14ac:dyDescent="0.25">
      <c r="C779" s="8"/>
      <c r="BJ779" s="10"/>
      <c r="BX779" s="10"/>
      <c r="CE779" s="10"/>
      <c r="CL779" s="10"/>
      <c r="CS779" s="10"/>
      <c r="CZ779" s="10"/>
      <c r="DG779" s="10"/>
      <c r="DN779" s="10"/>
      <c r="DU779" s="10"/>
    </row>
    <row r="780" spans="3:125" ht="15.75" customHeight="1" x14ac:dyDescent="0.25">
      <c r="C780" s="8"/>
      <c r="BJ780" s="10"/>
      <c r="BX780" s="10"/>
      <c r="CE780" s="10"/>
      <c r="CL780" s="10"/>
      <c r="CS780" s="10"/>
      <c r="CZ780" s="10"/>
      <c r="DG780" s="10"/>
      <c r="DN780" s="10"/>
      <c r="DU780" s="10"/>
    </row>
    <row r="781" spans="3:125" ht="15.75" customHeight="1" x14ac:dyDescent="0.25">
      <c r="C781" s="8"/>
      <c r="BJ781" s="10"/>
      <c r="BX781" s="10"/>
      <c r="CE781" s="10"/>
      <c r="CL781" s="10"/>
      <c r="CS781" s="10"/>
      <c r="CZ781" s="10"/>
      <c r="DG781" s="10"/>
      <c r="DN781" s="10"/>
      <c r="DU781" s="10"/>
    </row>
    <row r="782" spans="3:125" ht="15.75" customHeight="1" x14ac:dyDescent="0.25">
      <c r="C782" s="8"/>
      <c r="BJ782" s="10"/>
      <c r="BX782" s="10"/>
      <c r="CE782" s="10"/>
      <c r="CL782" s="10"/>
      <c r="CS782" s="10"/>
      <c r="CZ782" s="10"/>
      <c r="DG782" s="10"/>
      <c r="DN782" s="10"/>
      <c r="DU782" s="10"/>
    </row>
    <row r="783" spans="3:125" ht="15.75" customHeight="1" x14ac:dyDescent="0.25">
      <c r="C783" s="8"/>
      <c r="BJ783" s="10"/>
      <c r="BX783" s="10"/>
      <c r="CE783" s="10"/>
      <c r="CL783" s="10"/>
      <c r="CS783" s="10"/>
      <c r="CZ783" s="10"/>
      <c r="DG783" s="10"/>
      <c r="DN783" s="10"/>
      <c r="DU783" s="10"/>
    </row>
    <row r="784" spans="3:125" ht="15.75" customHeight="1" x14ac:dyDescent="0.25">
      <c r="C784" s="8"/>
      <c r="BJ784" s="10"/>
      <c r="BX784" s="10"/>
      <c r="CE784" s="10"/>
      <c r="CL784" s="10"/>
      <c r="CS784" s="10"/>
      <c r="CZ784" s="10"/>
      <c r="DG784" s="10"/>
      <c r="DN784" s="10"/>
      <c r="DU784" s="10"/>
    </row>
    <row r="785" spans="3:125" ht="15.75" customHeight="1" x14ac:dyDescent="0.25">
      <c r="C785" s="8"/>
      <c r="BJ785" s="10"/>
      <c r="BX785" s="10"/>
      <c r="CE785" s="10"/>
      <c r="CL785" s="10"/>
      <c r="CS785" s="10"/>
      <c r="CZ785" s="10"/>
      <c r="DG785" s="10"/>
      <c r="DN785" s="10"/>
      <c r="DU785" s="10"/>
    </row>
    <row r="786" spans="3:125" ht="15.75" customHeight="1" x14ac:dyDescent="0.25">
      <c r="C786" s="8"/>
      <c r="BJ786" s="10"/>
      <c r="BX786" s="10"/>
      <c r="CE786" s="10"/>
      <c r="CL786" s="10"/>
      <c r="CS786" s="10"/>
      <c r="CZ786" s="10"/>
      <c r="DG786" s="10"/>
      <c r="DN786" s="10"/>
      <c r="DU786" s="10"/>
    </row>
    <row r="787" spans="3:125" ht="15.75" customHeight="1" x14ac:dyDescent="0.25">
      <c r="C787" s="8"/>
      <c r="BJ787" s="10"/>
      <c r="BX787" s="10"/>
      <c r="CE787" s="10"/>
      <c r="CL787" s="10"/>
      <c r="CS787" s="10"/>
      <c r="CZ787" s="10"/>
      <c r="DG787" s="10"/>
      <c r="DN787" s="10"/>
      <c r="DU787" s="10"/>
    </row>
    <row r="788" spans="3:125" ht="15.75" customHeight="1" x14ac:dyDescent="0.25">
      <c r="C788" s="8"/>
      <c r="BJ788" s="10"/>
      <c r="BX788" s="10"/>
      <c r="CE788" s="10"/>
      <c r="CL788" s="10"/>
      <c r="CS788" s="10"/>
      <c r="CZ788" s="10"/>
      <c r="DG788" s="10"/>
      <c r="DN788" s="10"/>
      <c r="DU788" s="10"/>
    </row>
    <row r="789" spans="3:125" ht="15.75" customHeight="1" x14ac:dyDescent="0.25">
      <c r="C789" s="8"/>
      <c r="BJ789" s="10"/>
      <c r="BX789" s="10"/>
      <c r="CE789" s="10"/>
      <c r="CL789" s="10"/>
      <c r="CS789" s="10"/>
      <c r="CZ789" s="10"/>
      <c r="DG789" s="10"/>
      <c r="DN789" s="10"/>
      <c r="DU789" s="10"/>
    </row>
    <row r="790" spans="3:125" ht="15.75" customHeight="1" x14ac:dyDescent="0.25">
      <c r="C790" s="8"/>
      <c r="BJ790" s="10"/>
      <c r="BX790" s="10"/>
      <c r="CE790" s="10"/>
      <c r="CL790" s="10"/>
      <c r="CS790" s="10"/>
      <c r="CZ790" s="10"/>
      <c r="DG790" s="10"/>
      <c r="DN790" s="10"/>
      <c r="DU790" s="10"/>
    </row>
    <row r="791" spans="3:125" ht="15.75" customHeight="1" x14ac:dyDescent="0.25">
      <c r="C791" s="8"/>
      <c r="BJ791" s="10"/>
      <c r="BX791" s="10"/>
      <c r="CE791" s="10"/>
      <c r="CL791" s="10"/>
      <c r="CS791" s="10"/>
      <c r="CZ791" s="10"/>
      <c r="DG791" s="10"/>
      <c r="DN791" s="10"/>
      <c r="DU791" s="10"/>
    </row>
    <row r="792" spans="3:125" ht="15.75" customHeight="1" x14ac:dyDescent="0.25">
      <c r="C792" s="8"/>
      <c r="BJ792" s="10"/>
      <c r="BX792" s="10"/>
      <c r="CE792" s="10"/>
      <c r="CL792" s="10"/>
      <c r="CS792" s="10"/>
      <c r="CZ792" s="10"/>
      <c r="DG792" s="10"/>
      <c r="DN792" s="10"/>
      <c r="DU792" s="10"/>
    </row>
    <row r="793" spans="3:125" ht="15.75" customHeight="1" x14ac:dyDescent="0.25">
      <c r="C793" s="8"/>
      <c r="BJ793" s="10"/>
      <c r="BX793" s="10"/>
      <c r="CE793" s="10"/>
      <c r="CL793" s="10"/>
      <c r="CS793" s="10"/>
      <c r="CZ793" s="10"/>
      <c r="DG793" s="10"/>
      <c r="DN793" s="10"/>
      <c r="DU793" s="10"/>
    </row>
    <row r="794" spans="3:125" ht="15.75" customHeight="1" x14ac:dyDescent="0.25">
      <c r="C794" s="8"/>
      <c r="BJ794" s="10"/>
      <c r="BX794" s="10"/>
      <c r="CE794" s="10"/>
      <c r="CL794" s="10"/>
      <c r="CS794" s="10"/>
      <c r="CZ794" s="10"/>
      <c r="DG794" s="10"/>
      <c r="DN794" s="10"/>
      <c r="DU794" s="10"/>
    </row>
    <row r="795" spans="3:125" ht="15.75" customHeight="1" x14ac:dyDescent="0.25">
      <c r="C795" s="8"/>
      <c r="BJ795" s="10"/>
      <c r="BX795" s="10"/>
      <c r="CE795" s="10"/>
      <c r="CL795" s="10"/>
      <c r="CS795" s="10"/>
      <c r="CZ795" s="10"/>
      <c r="DG795" s="10"/>
      <c r="DN795" s="10"/>
      <c r="DU795" s="10"/>
    </row>
    <row r="796" spans="3:125" ht="15.75" customHeight="1" x14ac:dyDescent="0.25">
      <c r="C796" s="8"/>
      <c r="BJ796" s="10"/>
      <c r="BX796" s="10"/>
      <c r="CE796" s="10"/>
      <c r="CL796" s="10"/>
      <c r="CS796" s="10"/>
      <c r="CZ796" s="10"/>
      <c r="DG796" s="10"/>
      <c r="DN796" s="10"/>
      <c r="DU796" s="10"/>
    </row>
    <row r="797" spans="3:125" ht="15.75" customHeight="1" x14ac:dyDescent="0.25">
      <c r="C797" s="8"/>
      <c r="BJ797" s="10"/>
      <c r="BX797" s="10"/>
      <c r="CE797" s="10"/>
      <c r="CL797" s="10"/>
      <c r="CS797" s="10"/>
      <c r="CZ797" s="10"/>
      <c r="DG797" s="10"/>
      <c r="DN797" s="10"/>
      <c r="DU797" s="10"/>
    </row>
    <row r="798" spans="3:125" ht="15.75" customHeight="1" x14ac:dyDescent="0.25">
      <c r="C798" s="8"/>
      <c r="BJ798" s="10"/>
      <c r="BX798" s="10"/>
      <c r="CE798" s="10"/>
      <c r="CL798" s="10"/>
      <c r="CS798" s="10"/>
      <c r="CZ798" s="10"/>
      <c r="DG798" s="10"/>
      <c r="DN798" s="10"/>
      <c r="DU798" s="10"/>
    </row>
    <row r="799" spans="3:125" ht="15.75" customHeight="1" x14ac:dyDescent="0.25">
      <c r="C799" s="8"/>
      <c r="BJ799" s="10"/>
      <c r="BX799" s="10"/>
      <c r="CE799" s="10"/>
      <c r="CL799" s="10"/>
      <c r="CS799" s="10"/>
      <c r="CZ799" s="10"/>
      <c r="DG799" s="10"/>
      <c r="DN799" s="10"/>
      <c r="DU799" s="10"/>
    </row>
    <row r="800" spans="3:125" ht="15.75" customHeight="1" x14ac:dyDescent="0.25">
      <c r="C800" s="8"/>
      <c r="BJ800" s="10"/>
      <c r="BX800" s="10"/>
      <c r="CE800" s="10"/>
      <c r="CL800" s="10"/>
      <c r="CS800" s="10"/>
      <c r="CZ800" s="10"/>
      <c r="DG800" s="10"/>
      <c r="DN800" s="10"/>
      <c r="DU800" s="10"/>
    </row>
    <row r="801" spans="3:125" ht="15.75" customHeight="1" x14ac:dyDescent="0.25">
      <c r="C801" s="8"/>
      <c r="BJ801" s="10"/>
      <c r="BX801" s="10"/>
      <c r="CE801" s="10"/>
      <c r="CL801" s="10"/>
      <c r="CS801" s="10"/>
      <c r="CZ801" s="10"/>
      <c r="DG801" s="10"/>
      <c r="DN801" s="10"/>
      <c r="DU801" s="10"/>
    </row>
    <row r="802" spans="3:125" ht="15.75" customHeight="1" x14ac:dyDescent="0.25">
      <c r="C802" s="8"/>
      <c r="BJ802" s="10"/>
      <c r="BX802" s="10"/>
      <c r="CE802" s="10"/>
      <c r="CL802" s="10"/>
      <c r="CS802" s="10"/>
      <c r="CZ802" s="10"/>
      <c r="DG802" s="10"/>
      <c r="DN802" s="10"/>
      <c r="DU802" s="10"/>
    </row>
    <row r="803" spans="3:125" ht="15.75" customHeight="1" x14ac:dyDescent="0.25">
      <c r="C803" s="8"/>
      <c r="BJ803" s="10"/>
      <c r="BX803" s="10"/>
      <c r="CE803" s="10"/>
      <c r="CL803" s="10"/>
      <c r="CS803" s="10"/>
      <c r="CZ803" s="10"/>
      <c r="DG803" s="10"/>
      <c r="DN803" s="10"/>
      <c r="DU803" s="10"/>
    </row>
    <row r="804" spans="3:125" ht="15.75" customHeight="1" x14ac:dyDescent="0.25">
      <c r="C804" s="8"/>
      <c r="BJ804" s="10"/>
      <c r="BX804" s="10"/>
      <c r="CE804" s="10"/>
      <c r="CL804" s="10"/>
      <c r="CS804" s="10"/>
      <c r="CZ804" s="10"/>
      <c r="DG804" s="10"/>
      <c r="DN804" s="10"/>
      <c r="DU804" s="10"/>
    </row>
    <row r="805" spans="3:125" ht="15.75" customHeight="1" x14ac:dyDescent="0.25">
      <c r="C805" s="8"/>
      <c r="BJ805" s="10"/>
      <c r="BX805" s="10"/>
      <c r="CE805" s="10"/>
      <c r="CL805" s="10"/>
      <c r="CS805" s="10"/>
      <c r="CZ805" s="10"/>
      <c r="DG805" s="10"/>
      <c r="DN805" s="10"/>
      <c r="DU805" s="10"/>
    </row>
    <row r="806" spans="3:125" ht="15.75" customHeight="1" x14ac:dyDescent="0.25">
      <c r="C806" s="8"/>
      <c r="BJ806" s="10"/>
      <c r="BX806" s="10"/>
      <c r="CE806" s="10"/>
      <c r="CL806" s="10"/>
      <c r="CS806" s="10"/>
      <c r="CZ806" s="10"/>
      <c r="DG806" s="10"/>
      <c r="DN806" s="10"/>
      <c r="DU806" s="10"/>
    </row>
    <row r="807" spans="3:125" ht="15.75" customHeight="1" x14ac:dyDescent="0.25">
      <c r="C807" s="8"/>
      <c r="BJ807" s="10"/>
      <c r="BX807" s="10"/>
      <c r="CE807" s="10"/>
      <c r="CL807" s="10"/>
      <c r="CS807" s="10"/>
      <c r="CZ807" s="10"/>
      <c r="DG807" s="10"/>
      <c r="DN807" s="10"/>
      <c r="DU807" s="10"/>
    </row>
    <row r="808" spans="3:125" ht="15.75" customHeight="1" x14ac:dyDescent="0.25">
      <c r="C808" s="8"/>
      <c r="BJ808" s="10"/>
      <c r="BX808" s="10"/>
      <c r="CE808" s="10"/>
      <c r="CL808" s="10"/>
      <c r="CS808" s="10"/>
      <c r="CZ808" s="10"/>
      <c r="DG808" s="10"/>
      <c r="DN808" s="10"/>
      <c r="DU808" s="10"/>
    </row>
    <row r="809" spans="3:125" ht="15.75" customHeight="1" x14ac:dyDescent="0.25">
      <c r="C809" s="8"/>
      <c r="BJ809" s="10"/>
      <c r="BX809" s="10"/>
      <c r="CE809" s="10"/>
      <c r="CL809" s="10"/>
      <c r="CS809" s="10"/>
      <c r="CZ809" s="10"/>
      <c r="DG809" s="10"/>
      <c r="DN809" s="10"/>
      <c r="DU809" s="10"/>
    </row>
    <row r="810" spans="3:125" ht="15.75" customHeight="1" x14ac:dyDescent="0.25">
      <c r="C810" s="8"/>
      <c r="BJ810" s="10"/>
      <c r="BX810" s="10"/>
      <c r="CE810" s="10"/>
      <c r="CL810" s="10"/>
      <c r="CS810" s="10"/>
      <c r="CZ810" s="10"/>
      <c r="DG810" s="10"/>
      <c r="DN810" s="10"/>
      <c r="DU810" s="10"/>
    </row>
    <row r="811" spans="3:125" ht="15.75" customHeight="1" x14ac:dyDescent="0.25">
      <c r="C811" s="8"/>
      <c r="BJ811" s="10"/>
      <c r="BX811" s="10"/>
      <c r="CE811" s="10"/>
      <c r="CL811" s="10"/>
      <c r="CS811" s="10"/>
      <c r="CZ811" s="10"/>
      <c r="DG811" s="10"/>
      <c r="DN811" s="10"/>
      <c r="DU811" s="10"/>
    </row>
    <row r="812" spans="3:125" ht="15.75" customHeight="1" x14ac:dyDescent="0.25">
      <c r="C812" s="8"/>
      <c r="BJ812" s="10"/>
      <c r="BX812" s="10"/>
      <c r="CE812" s="10"/>
      <c r="CL812" s="10"/>
      <c r="CS812" s="10"/>
      <c r="CZ812" s="10"/>
      <c r="DG812" s="10"/>
      <c r="DN812" s="10"/>
      <c r="DU812" s="10"/>
    </row>
    <row r="813" spans="3:125" ht="15.75" customHeight="1" x14ac:dyDescent="0.25">
      <c r="C813" s="8"/>
      <c r="BJ813" s="10"/>
      <c r="BX813" s="10"/>
      <c r="CE813" s="10"/>
      <c r="CL813" s="10"/>
      <c r="CS813" s="10"/>
      <c r="CZ813" s="10"/>
      <c r="DG813" s="10"/>
      <c r="DN813" s="10"/>
      <c r="DU813" s="10"/>
    </row>
    <row r="814" spans="3:125" ht="15.75" customHeight="1" x14ac:dyDescent="0.25">
      <c r="C814" s="8"/>
      <c r="BJ814" s="10"/>
      <c r="BX814" s="10"/>
      <c r="CE814" s="10"/>
      <c r="CL814" s="10"/>
      <c r="CS814" s="10"/>
      <c r="CZ814" s="10"/>
      <c r="DG814" s="10"/>
      <c r="DN814" s="10"/>
      <c r="DU814" s="10"/>
    </row>
    <row r="815" spans="3:125" ht="15.75" customHeight="1" x14ac:dyDescent="0.25">
      <c r="C815" s="8"/>
      <c r="BJ815" s="10"/>
      <c r="BX815" s="10"/>
      <c r="CE815" s="10"/>
      <c r="CL815" s="10"/>
      <c r="CS815" s="10"/>
      <c r="CZ815" s="10"/>
      <c r="DG815" s="10"/>
      <c r="DN815" s="10"/>
      <c r="DU815" s="10"/>
    </row>
    <row r="816" spans="3:125" ht="15.75" customHeight="1" x14ac:dyDescent="0.25">
      <c r="C816" s="8"/>
      <c r="BJ816" s="10"/>
      <c r="BX816" s="10"/>
      <c r="CE816" s="10"/>
      <c r="CL816" s="10"/>
      <c r="CS816" s="10"/>
      <c r="CZ816" s="10"/>
      <c r="DG816" s="10"/>
      <c r="DN816" s="10"/>
      <c r="DU816" s="10"/>
    </row>
    <row r="817" spans="3:125" ht="15.75" customHeight="1" x14ac:dyDescent="0.25">
      <c r="C817" s="8"/>
      <c r="BJ817" s="10"/>
      <c r="BX817" s="10"/>
      <c r="CE817" s="10"/>
      <c r="CL817" s="10"/>
      <c r="CS817" s="10"/>
      <c r="CZ817" s="10"/>
      <c r="DG817" s="10"/>
      <c r="DN817" s="10"/>
      <c r="DU817" s="10"/>
    </row>
    <row r="818" spans="3:125" ht="15.75" customHeight="1" x14ac:dyDescent="0.25">
      <c r="C818" s="8"/>
      <c r="BJ818" s="10"/>
      <c r="BX818" s="10"/>
      <c r="CE818" s="10"/>
      <c r="CL818" s="10"/>
      <c r="CS818" s="10"/>
      <c r="CZ818" s="10"/>
      <c r="DG818" s="10"/>
      <c r="DN818" s="10"/>
      <c r="DU818" s="10"/>
    </row>
    <row r="819" spans="3:125" ht="15.75" customHeight="1" x14ac:dyDescent="0.25">
      <c r="C819" s="8"/>
      <c r="BJ819" s="10"/>
      <c r="BX819" s="10"/>
      <c r="CE819" s="10"/>
      <c r="CL819" s="10"/>
      <c r="CS819" s="10"/>
      <c r="CZ819" s="10"/>
      <c r="DG819" s="10"/>
      <c r="DN819" s="10"/>
      <c r="DU819" s="10"/>
    </row>
    <row r="820" spans="3:125" ht="15.75" customHeight="1" x14ac:dyDescent="0.25">
      <c r="C820" s="8"/>
      <c r="BJ820" s="10"/>
      <c r="BX820" s="10"/>
      <c r="CE820" s="10"/>
      <c r="CL820" s="10"/>
      <c r="CS820" s="10"/>
      <c r="CZ820" s="10"/>
      <c r="DG820" s="10"/>
      <c r="DN820" s="10"/>
      <c r="DU820" s="10"/>
    </row>
    <row r="821" spans="3:125" ht="15.75" customHeight="1" x14ac:dyDescent="0.25">
      <c r="C821" s="8"/>
      <c r="BJ821" s="10"/>
      <c r="BX821" s="10"/>
      <c r="CE821" s="10"/>
      <c r="CL821" s="10"/>
      <c r="CS821" s="10"/>
      <c r="CZ821" s="10"/>
      <c r="DG821" s="10"/>
      <c r="DN821" s="10"/>
      <c r="DU821" s="10"/>
    </row>
    <row r="822" spans="3:125" ht="15.75" customHeight="1" x14ac:dyDescent="0.25">
      <c r="C822" s="8"/>
      <c r="BJ822" s="10"/>
      <c r="BX822" s="10"/>
      <c r="CE822" s="10"/>
      <c r="CL822" s="10"/>
      <c r="CS822" s="10"/>
      <c r="CZ822" s="10"/>
      <c r="DG822" s="10"/>
      <c r="DN822" s="10"/>
      <c r="DU822" s="10"/>
    </row>
    <row r="823" spans="3:125" ht="15.75" customHeight="1" x14ac:dyDescent="0.25">
      <c r="C823" s="8"/>
      <c r="BJ823" s="10"/>
      <c r="BX823" s="10"/>
      <c r="CE823" s="10"/>
      <c r="CL823" s="10"/>
      <c r="CS823" s="10"/>
      <c r="CZ823" s="10"/>
      <c r="DG823" s="10"/>
      <c r="DN823" s="10"/>
      <c r="DU823" s="10"/>
    </row>
    <row r="824" spans="3:125" ht="15.75" customHeight="1" x14ac:dyDescent="0.25">
      <c r="C824" s="8"/>
      <c r="BJ824" s="10"/>
      <c r="BX824" s="10"/>
      <c r="CE824" s="10"/>
      <c r="CL824" s="10"/>
      <c r="CS824" s="10"/>
      <c r="CZ824" s="10"/>
      <c r="DG824" s="10"/>
      <c r="DN824" s="10"/>
      <c r="DU824" s="10"/>
    </row>
    <row r="825" spans="3:125" ht="15.75" customHeight="1" x14ac:dyDescent="0.25">
      <c r="C825" s="8"/>
      <c r="BJ825" s="10"/>
      <c r="BX825" s="10"/>
      <c r="CE825" s="10"/>
      <c r="CL825" s="10"/>
      <c r="CS825" s="10"/>
      <c r="CZ825" s="10"/>
      <c r="DG825" s="10"/>
      <c r="DN825" s="10"/>
      <c r="DU825" s="10"/>
    </row>
    <row r="826" spans="3:125" ht="15.75" customHeight="1" x14ac:dyDescent="0.25">
      <c r="C826" s="8"/>
      <c r="BJ826" s="10"/>
      <c r="BX826" s="10"/>
      <c r="CE826" s="10"/>
      <c r="CL826" s="10"/>
      <c r="CS826" s="10"/>
      <c r="CZ826" s="10"/>
      <c r="DG826" s="10"/>
      <c r="DN826" s="10"/>
      <c r="DU826" s="10"/>
    </row>
    <row r="827" spans="3:125" ht="15.75" customHeight="1" x14ac:dyDescent="0.25">
      <c r="C827" s="8"/>
      <c r="BJ827" s="10"/>
      <c r="BX827" s="10"/>
      <c r="CE827" s="10"/>
      <c r="CL827" s="10"/>
      <c r="CS827" s="10"/>
      <c r="CZ827" s="10"/>
      <c r="DG827" s="10"/>
      <c r="DN827" s="10"/>
      <c r="DU827" s="10"/>
    </row>
    <row r="828" spans="3:125" ht="15.75" customHeight="1" x14ac:dyDescent="0.25">
      <c r="C828" s="8"/>
      <c r="BJ828" s="10"/>
      <c r="BX828" s="10"/>
      <c r="CE828" s="10"/>
      <c r="CL828" s="10"/>
      <c r="CS828" s="10"/>
      <c r="CZ828" s="10"/>
      <c r="DG828" s="10"/>
      <c r="DN828" s="10"/>
      <c r="DU828" s="10"/>
    </row>
    <row r="829" spans="3:125" ht="15.75" customHeight="1" x14ac:dyDescent="0.25">
      <c r="C829" s="8"/>
      <c r="BJ829" s="10"/>
      <c r="BX829" s="10"/>
      <c r="CE829" s="10"/>
      <c r="CL829" s="10"/>
      <c r="CS829" s="10"/>
      <c r="CZ829" s="10"/>
      <c r="DG829" s="10"/>
      <c r="DN829" s="10"/>
      <c r="DU829" s="10"/>
    </row>
    <row r="830" spans="3:125" ht="15.75" customHeight="1" x14ac:dyDescent="0.25">
      <c r="C830" s="8"/>
      <c r="BJ830" s="10"/>
      <c r="BX830" s="10"/>
      <c r="CE830" s="10"/>
      <c r="CL830" s="10"/>
      <c r="CS830" s="10"/>
      <c r="CZ830" s="10"/>
      <c r="DG830" s="10"/>
      <c r="DN830" s="10"/>
      <c r="DU830" s="10"/>
    </row>
    <row r="831" spans="3:125" ht="15.75" customHeight="1" x14ac:dyDescent="0.25">
      <c r="C831" s="8"/>
      <c r="BJ831" s="10"/>
      <c r="BX831" s="10"/>
      <c r="CE831" s="10"/>
      <c r="CL831" s="10"/>
      <c r="CS831" s="10"/>
      <c r="CZ831" s="10"/>
      <c r="DG831" s="10"/>
      <c r="DN831" s="10"/>
      <c r="DU831" s="10"/>
    </row>
    <row r="832" spans="3:125" ht="15.75" customHeight="1" x14ac:dyDescent="0.25">
      <c r="C832" s="8"/>
      <c r="BJ832" s="10"/>
      <c r="BX832" s="10"/>
      <c r="CE832" s="10"/>
      <c r="CL832" s="10"/>
      <c r="CS832" s="10"/>
      <c r="CZ832" s="10"/>
      <c r="DG832" s="10"/>
      <c r="DN832" s="10"/>
      <c r="DU832" s="10"/>
    </row>
    <row r="833" spans="3:125" ht="15.75" customHeight="1" x14ac:dyDescent="0.25">
      <c r="C833" s="8"/>
      <c r="BJ833" s="10"/>
      <c r="BX833" s="10"/>
      <c r="CE833" s="10"/>
      <c r="CL833" s="10"/>
      <c r="CS833" s="10"/>
      <c r="CZ833" s="10"/>
      <c r="DG833" s="10"/>
      <c r="DN833" s="10"/>
      <c r="DU833" s="10"/>
    </row>
    <row r="834" spans="3:125" ht="15.75" customHeight="1" x14ac:dyDescent="0.25">
      <c r="C834" s="8"/>
      <c r="BJ834" s="10"/>
      <c r="BX834" s="10"/>
      <c r="CE834" s="10"/>
      <c r="CL834" s="10"/>
      <c r="CS834" s="10"/>
      <c r="CZ834" s="10"/>
      <c r="DG834" s="10"/>
      <c r="DN834" s="10"/>
      <c r="DU834" s="10"/>
    </row>
    <row r="835" spans="3:125" ht="15.75" customHeight="1" x14ac:dyDescent="0.25">
      <c r="C835" s="8"/>
      <c r="BJ835" s="10"/>
      <c r="BX835" s="10"/>
      <c r="CE835" s="10"/>
      <c r="CL835" s="10"/>
      <c r="CS835" s="10"/>
      <c r="CZ835" s="10"/>
      <c r="DG835" s="10"/>
      <c r="DN835" s="10"/>
      <c r="DU835" s="10"/>
    </row>
    <row r="836" spans="3:125" ht="15.75" customHeight="1" x14ac:dyDescent="0.25">
      <c r="C836" s="8"/>
      <c r="BJ836" s="10"/>
      <c r="BX836" s="10"/>
      <c r="CE836" s="10"/>
      <c r="CL836" s="10"/>
      <c r="CS836" s="10"/>
      <c r="CZ836" s="10"/>
      <c r="DG836" s="10"/>
      <c r="DN836" s="10"/>
      <c r="DU836" s="10"/>
    </row>
    <row r="837" spans="3:125" ht="15.75" customHeight="1" x14ac:dyDescent="0.25">
      <c r="C837" s="8"/>
      <c r="BJ837" s="10"/>
      <c r="BX837" s="10"/>
      <c r="CE837" s="10"/>
      <c r="CL837" s="10"/>
      <c r="CS837" s="10"/>
      <c r="CZ837" s="10"/>
      <c r="DG837" s="10"/>
      <c r="DN837" s="10"/>
      <c r="DU837" s="10"/>
    </row>
    <row r="838" spans="3:125" ht="15.75" customHeight="1" x14ac:dyDescent="0.25">
      <c r="C838" s="8"/>
      <c r="BJ838" s="10"/>
      <c r="BX838" s="10"/>
      <c r="CE838" s="10"/>
      <c r="CL838" s="10"/>
      <c r="CS838" s="10"/>
      <c r="CZ838" s="10"/>
      <c r="DG838" s="10"/>
      <c r="DN838" s="10"/>
      <c r="DU838" s="10"/>
    </row>
    <row r="839" spans="3:125" ht="15.75" customHeight="1" x14ac:dyDescent="0.25">
      <c r="C839" s="8"/>
      <c r="BJ839" s="10"/>
      <c r="BX839" s="10"/>
      <c r="CE839" s="10"/>
      <c r="CL839" s="10"/>
      <c r="CS839" s="10"/>
      <c r="CZ839" s="10"/>
      <c r="DG839" s="10"/>
      <c r="DN839" s="10"/>
      <c r="DU839" s="10"/>
    </row>
    <row r="840" spans="3:125" ht="15.75" customHeight="1" x14ac:dyDescent="0.25">
      <c r="C840" s="8"/>
      <c r="BJ840" s="10"/>
      <c r="BX840" s="10"/>
      <c r="CE840" s="10"/>
      <c r="CL840" s="10"/>
      <c r="CS840" s="10"/>
      <c r="CZ840" s="10"/>
      <c r="DG840" s="10"/>
      <c r="DN840" s="10"/>
      <c r="DU840" s="10"/>
    </row>
    <row r="841" spans="3:125" ht="15.75" customHeight="1" x14ac:dyDescent="0.25">
      <c r="C841" s="8"/>
      <c r="BJ841" s="10"/>
      <c r="BX841" s="10"/>
      <c r="CE841" s="10"/>
      <c r="CL841" s="10"/>
      <c r="CS841" s="10"/>
      <c r="CZ841" s="10"/>
      <c r="DG841" s="10"/>
      <c r="DN841" s="10"/>
      <c r="DU841" s="10"/>
    </row>
    <row r="842" spans="3:125" ht="15.75" customHeight="1" x14ac:dyDescent="0.25">
      <c r="C842" s="8"/>
      <c r="BJ842" s="10"/>
      <c r="BX842" s="10"/>
      <c r="CE842" s="10"/>
      <c r="CL842" s="10"/>
      <c r="CS842" s="10"/>
      <c r="CZ842" s="10"/>
      <c r="DG842" s="10"/>
      <c r="DN842" s="10"/>
      <c r="DU842" s="10"/>
    </row>
    <row r="843" spans="3:125" ht="15.75" customHeight="1" x14ac:dyDescent="0.25">
      <c r="C843" s="8"/>
      <c r="BJ843" s="10"/>
      <c r="BX843" s="10"/>
      <c r="CE843" s="10"/>
      <c r="CL843" s="10"/>
      <c r="CS843" s="10"/>
      <c r="CZ843" s="10"/>
      <c r="DG843" s="10"/>
      <c r="DN843" s="10"/>
      <c r="DU843" s="10"/>
    </row>
    <row r="844" spans="3:125" ht="15.75" customHeight="1" x14ac:dyDescent="0.25">
      <c r="C844" s="8"/>
      <c r="BJ844" s="10"/>
      <c r="BX844" s="10"/>
      <c r="CE844" s="10"/>
      <c r="CL844" s="10"/>
      <c r="CS844" s="10"/>
      <c r="CZ844" s="10"/>
      <c r="DG844" s="10"/>
      <c r="DN844" s="10"/>
      <c r="DU844" s="10"/>
    </row>
    <row r="845" spans="3:125" ht="15.75" customHeight="1" x14ac:dyDescent="0.25">
      <c r="C845" s="8"/>
      <c r="BJ845" s="10"/>
      <c r="BX845" s="10"/>
      <c r="CE845" s="10"/>
      <c r="CL845" s="10"/>
      <c r="CS845" s="10"/>
      <c r="CZ845" s="10"/>
      <c r="DG845" s="10"/>
      <c r="DN845" s="10"/>
      <c r="DU845" s="10"/>
    </row>
    <row r="846" spans="3:125" ht="15.75" customHeight="1" x14ac:dyDescent="0.25">
      <c r="C846" s="8"/>
      <c r="BJ846" s="10"/>
      <c r="BX846" s="10"/>
      <c r="CE846" s="10"/>
      <c r="CL846" s="10"/>
      <c r="CS846" s="10"/>
      <c r="CZ846" s="10"/>
      <c r="DG846" s="10"/>
      <c r="DN846" s="10"/>
      <c r="DU846" s="10"/>
    </row>
    <row r="847" spans="3:125" ht="15.75" customHeight="1" x14ac:dyDescent="0.25">
      <c r="C847" s="8"/>
      <c r="BJ847" s="10"/>
      <c r="BX847" s="10"/>
      <c r="CE847" s="10"/>
      <c r="CL847" s="10"/>
      <c r="CS847" s="10"/>
      <c r="CZ847" s="10"/>
      <c r="DG847" s="10"/>
      <c r="DN847" s="10"/>
      <c r="DU847" s="10"/>
    </row>
    <row r="848" spans="3:125" ht="15.75" customHeight="1" x14ac:dyDescent="0.25">
      <c r="C848" s="8"/>
      <c r="BJ848" s="10"/>
      <c r="BX848" s="10"/>
      <c r="CE848" s="10"/>
      <c r="CL848" s="10"/>
      <c r="CS848" s="10"/>
      <c r="CZ848" s="10"/>
      <c r="DG848" s="10"/>
      <c r="DN848" s="10"/>
      <c r="DU848" s="10"/>
    </row>
    <row r="849" spans="3:125" ht="15.75" customHeight="1" x14ac:dyDescent="0.25">
      <c r="C849" s="8"/>
      <c r="BJ849" s="10"/>
      <c r="BX849" s="10"/>
      <c r="CE849" s="10"/>
      <c r="CL849" s="10"/>
      <c r="CS849" s="10"/>
      <c r="CZ849" s="10"/>
      <c r="DG849" s="10"/>
      <c r="DN849" s="10"/>
      <c r="DU849" s="10"/>
    </row>
    <row r="850" spans="3:125" ht="15.75" customHeight="1" x14ac:dyDescent="0.25">
      <c r="C850" s="8"/>
      <c r="BJ850" s="10"/>
      <c r="BX850" s="10"/>
      <c r="CE850" s="10"/>
      <c r="CL850" s="10"/>
      <c r="CS850" s="10"/>
      <c r="CZ850" s="10"/>
      <c r="DG850" s="10"/>
      <c r="DN850" s="10"/>
      <c r="DU850" s="10"/>
    </row>
    <row r="851" spans="3:125" ht="15.75" customHeight="1" x14ac:dyDescent="0.25">
      <c r="C851" s="8"/>
      <c r="BJ851" s="10"/>
      <c r="BX851" s="10"/>
      <c r="CE851" s="10"/>
      <c r="CL851" s="10"/>
      <c r="CS851" s="10"/>
      <c r="CZ851" s="10"/>
      <c r="DG851" s="10"/>
      <c r="DN851" s="10"/>
      <c r="DU851" s="10"/>
    </row>
    <row r="852" spans="3:125" ht="15.75" customHeight="1" x14ac:dyDescent="0.25">
      <c r="C852" s="8"/>
      <c r="BJ852" s="10"/>
      <c r="BX852" s="10"/>
      <c r="CE852" s="10"/>
      <c r="CL852" s="10"/>
      <c r="CS852" s="10"/>
      <c r="CZ852" s="10"/>
      <c r="DG852" s="10"/>
      <c r="DN852" s="10"/>
      <c r="DU852" s="10"/>
    </row>
    <row r="853" spans="3:125" ht="15.75" customHeight="1" x14ac:dyDescent="0.25">
      <c r="C853" s="8"/>
      <c r="BJ853" s="10"/>
      <c r="BX853" s="10"/>
      <c r="CE853" s="10"/>
      <c r="CL853" s="10"/>
      <c r="CS853" s="10"/>
      <c r="CZ853" s="10"/>
      <c r="DG853" s="10"/>
      <c r="DN853" s="10"/>
      <c r="DU853" s="10"/>
    </row>
    <row r="854" spans="3:125" ht="15.75" customHeight="1" x14ac:dyDescent="0.25">
      <c r="C854" s="8"/>
      <c r="BJ854" s="10"/>
      <c r="BX854" s="10"/>
      <c r="CE854" s="10"/>
      <c r="CL854" s="10"/>
      <c r="CS854" s="10"/>
      <c r="CZ854" s="10"/>
      <c r="DG854" s="10"/>
      <c r="DN854" s="10"/>
      <c r="DU854" s="10"/>
    </row>
    <row r="855" spans="3:125" ht="15.75" customHeight="1" x14ac:dyDescent="0.25">
      <c r="C855" s="8"/>
      <c r="BJ855" s="10"/>
      <c r="BX855" s="10"/>
      <c r="CE855" s="10"/>
      <c r="CL855" s="10"/>
      <c r="CS855" s="10"/>
      <c r="CZ855" s="10"/>
      <c r="DG855" s="10"/>
      <c r="DN855" s="10"/>
      <c r="DU855" s="10"/>
    </row>
    <row r="856" spans="3:125" ht="15.75" customHeight="1" x14ac:dyDescent="0.25">
      <c r="C856" s="8"/>
      <c r="BJ856" s="10"/>
      <c r="BX856" s="10"/>
      <c r="CE856" s="10"/>
      <c r="CL856" s="10"/>
      <c r="CS856" s="10"/>
      <c r="CZ856" s="10"/>
      <c r="DG856" s="10"/>
      <c r="DN856" s="10"/>
      <c r="DU856" s="10"/>
    </row>
    <row r="857" spans="3:125" ht="15.75" customHeight="1" x14ac:dyDescent="0.25">
      <c r="C857" s="8"/>
      <c r="BJ857" s="10"/>
      <c r="BX857" s="10"/>
      <c r="CE857" s="10"/>
      <c r="CL857" s="10"/>
      <c r="CS857" s="10"/>
      <c r="CZ857" s="10"/>
      <c r="DG857" s="10"/>
      <c r="DN857" s="10"/>
      <c r="DU857" s="10"/>
    </row>
    <row r="858" spans="3:125" ht="15.75" customHeight="1" x14ac:dyDescent="0.25">
      <c r="C858" s="8"/>
      <c r="BJ858" s="10"/>
      <c r="BX858" s="10"/>
      <c r="CE858" s="10"/>
      <c r="CL858" s="10"/>
      <c r="CS858" s="10"/>
      <c r="CZ858" s="10"/>
      <c r="DG858" s="10"/>
      <c r="DN858" s="10"/>
      <c r="DU858" s="10"/>
    </row>
    <row r="859" spans="3:125" ht="15.75" customHeight="1" x14ac:dyDescent="0.25">
      <c r="C859" s="8"/>
      <c r="BJ859" s="10"/>
      <c r="BX859" s="10"/>
      <c r="CE859" s="10"/>
      <c r="CL859" s="10"/>
      <c r="CS859" s="10"/>
      <c r="CZ859" s="10"/>
      <c r="DG859" s="10"/>
      <c r="DN859" s="10"/>
      <c r="DU859" s="10"/>
    </row>
    <row r="860" spans="3:125" ht="15.75" customHeight="1" x14ac:dyDescent="0.25">
      <c r="C860" s="8"/>
      <c r="BJ860" s="10"/>
      <c r="BX860" s="10"/>
      <c r="CE860" s="10"/>
      <c r="CL860" s="10"/>
      <c r="CS860" s="10"/>
      <c r="CZ860" s="10"/>
      <c r="DG860" s="10"/>
      <c r="DN860" s="10"/>
      <c r="DU860" s="10"/>
    </row>
    <row r="861" spans="3:125" ht="15.75" customHeight="1" x14ac:dyDescent="0.25">
      <c r="C861" s="8"/>
      <c r="BJ861" s="10"/>
      <c r="BX861" s="10"/>
      <c r="CE861" s="10"/>
      <c r="CL861" s="10"/>
      <c r="CS861" s="10"/>
      <c r="CZ861" s="10"/>
      <c r="DG861" s="10"/>
      <c r="DN861" s="10"/>
      <c r="DU861" s="10"/>
    </row>
    <row r="862" spans="3:125" ht="15.75" customHeight="1" x14ac:dyDescent="0.25">
      <c r="C862" s="8"/>
      <c r="BJ862" s="10"/>
      <c r="BX862" s="10"/>
      <c r="CE862" s="10"/>
      <c r="CL862" s="10"/>
      <c r="CS862" s="10"/>
      <c r="CZ862" s="10"/>
      <c r="DG862" s="10"/>
      <c r="DN862" s="10"/>
      <c r="DU862" s="10"/>
    </row>
    <row r="863" spans="3:125" ht="15.75" customHeight="1" x14ac:dyDescent="0.25">
      <c r="C863" s="8"/>
      <c r="BJ863" s="10"/>
      <c r="BX863" s="10"/>
      <c r="CE863" s="10"/>
      <c r="CL863" s="10"/>
      <c r="CS863" s="10"/>
      <c r="CZ863" s="10"/>
      <c r="DG863" s="10"/>
      <c r="DN863" s="10"/>
      <c r="DU863" s="10"/>
    </row>
    <row r="864" spans="3:125" ht="15.75" customHeight="1" x14ac:dyDescent="0.25">
      <c r="C864" s="8"/>
      <c r="BJ864" s="10"/>
      <c r="BX864" s="10"/>
      <c r="CE864" s="10"/>
      <c r="CL864" s="10"/>
      <c r="CS864" s="10"/>
      <c r="CZ864" s="10"/>
      <c r="DG864" s="10"/>
      <c r="DN864" s="10"/>
      <c r="DU864" s="10"/>
    </row>
    <row r="865" spans="3:125" ht="15.75" customHeight="1" x14ac:dyDescent="0.25">
      <c r="C865" s="8"/>
      <c r="BJ865" s="10"/>
      <c r="BX865" s="10"/>
      <c r="CE865" s="10"/>
      <c r="CL865" s="10"/>
      <c r="CS865" s="10"/>
      <c r="CZ865" s="10"/>
      <c r="DG865" s="10"/>
      <c r="DN865" s="10"/>
      <c r="DU865" s="10"/>
    </row>
    <row r="866" spans="3:125" ht="15.75" customHeight="1" x14ac:dyDescent="0.25">
      <c r="C866" s="8"/>
      <c r="BJ866" s="10"/>
      <c r="BX866" s="10"/>
      <c r="CE866" s="10"/>
      <c r="CL866" s="10"/>
      <c r="CS866" s="10"/>
      <c r="CZ866" s="10"/>
      <c r="DG866" s="10"/>
      <c r="DN866" s="10"/>
      <c r="DU866" s="10"/>
    </row>
    <row r="867" spans="3:125" ht="15.75" customHeight="1" x14ac:dyDescent="0.25">
      <c r="C867" s="8"/>
      <c r="BJ867" s="10"/>
      <c r="BX867" s="10"/>
      <c r="CE867" s="10"/>
      <c r="CL867" s="10"/>
      <c r="CS867" s="10"/>
      <c r="CZ867" s="10"/>
      <c r="DG867" s="10"/>
      <c r="DN867" s="10"/>
      <c r="DU867" s="10"/>
    </row>
    <row r="868" spans="3:125" ht="15.75" customHeight="1" x14ac:dyDescent="0.25">
      <c r="C868" s="8"/>
      <c r="BJ868" s="10"/>
      <c r="BX868" s="10"/>
      <c r="CE868" s="10"/>
      <c r="CL868" s="10"/>
      <c r="CS868" s="10"/>
      <c r="CZ868" s="10"/>
      <c r="DG868" s="10"/>
      <c r="DN868" s="10"/>
      <c r="DU868" s="10"/>
    </row>
    <row r="869" spans="3:125" ht="15.75" customHeight="1" x14ac:dyDescent="0.25">
      <c r="C869" s="8"/>
      <c r="BJ869" s="10"/>
      <c r="BX869" s="10"/>
      <c r="CE869" s="10"/>
      <c r="CL869" s="10"/>
      <c r="CS869" s="10"/>
      <c r="CZ869" s="10"/>
      <c r="DG869" s="10"/>
      <c r="DN869" s="10"/>
      <c r="DU869" s="10"/>
    </row>
    <row r="870" spans="3:125" ht="15.75" customHeight="1" x14ac:dyDescent="0.25">
      <c r="C870" s="8"/>
      <c r="BJ870" s="10"/>
      <c r="BX870" s="10"/>
      <c r="CE870" s="10"/>
      <c r="CL870" s="10"/>
      <c r="CS870" s="10"/>
      <c r="CZ870" s="10"/>
      <c r="DG870" s="10"/>
      <c r="DN870" s="10"/>
      <c r="DU870" s="10"/>
    </row>
    <row r="871" spans="3:125" ht="15.75" customHeight="1" x14ac:dyDescent="0.25">
      <c r="C871" s="8"/>
      <c r="BJ871" s="10"/>
      <c r="BX871" s="10"/>
      <c r="CE871" s="10"/>
      <c r="CL871" s="10"/>
      <c r="CS871" s="10"/>
      <c r="CZ871" s="10"/>
      <c r="DG871" s="10"/>
      <c r="DN871" s="10"/>
      <c r="DU871" s="10"/>
    </row>
    <row r="872" spans="3:125" ht="15.75" customHeight="1" x14ac:dyDescent="0.25">
      <c r="C872" s="8"/>
      <c r="BJ872" s="10"/>
      <c r="BX872" s="10"/>
      <c r="CE872" s="10"/>
      <c r="CL872" s="10"/>
      <c r="CS872" s="10"/>
      <c r="CZ872" s="10"/>
      <c r="DG872" s="10"/>
      <c r="DN872" s="10"/>
      <c r="DU872" s="10"/>
    </row>
    <row r="873" spans="3:125" ht="15.75" customHeight="1" x14ac:dyDescent="0.25">
      <c r="C873" s="8"/>
      <c r="BJ873" s="10"/>
      <c r="BX873" s="10"/>
      <c r="CE873" s="10"/>
      <c r="CL873" s="10"/>
      <c r="CS873" s="10"/>
      <c r="CZ873" s="10"/>
      <c r="DG873" s="10"/>
      <c r="DN873" s="10"/>
      <c r="DU873" s="10"/>
    </row>
    <row r="874" spans="3:125" ht="15.75" customHeight="1" x14ac:dyDescent="0.25">
      <c r="C874" s="8"/>
      <c r="BJ874" s="10"/>
      <c r="BX874" s="10"/>
      <c r="CE874" s="10"/>
      <c r="CL874" s="10"/>
      <c r="CS874" s="10"/>
      <c r="CZ874" s="10"/>
      <c r="DG874" s="10"/>
      <c r="DN874" s="10"/>
      <c r="DU874" s="10"/>
    </row>
    <row r="875" spans="3:125" ht="15.75" customHeight="1" x14ac:dyDescent="0.25">
      <c r="C875" s="8"/>
      <c r="BJ875" s="10"/>
      <c r="BX875" s="10"/>
      <c r="CE875" s="10"/>
      <c r="CL875" s="10"/>
      <c r="CS875" s="10"/>
      <c r="CZ875" s="10"/>
      <c r="DG875" s="10"/>
      <c r="DN875" s="10"/>
      <c r="DU875" s="10"/>
    </row>
    <row r="876" spans="3:125" ht="15.75" customHeight="1" x14ac:dyDescent="0.25">
      <c r="C876" s="8"/>
      <c r="BJ876" s="10"/>
      <c r="BX876" s="10"/>
      <c r="CE876" s="10"/>
      <c r="CL876" s="10"/>
      <c r="CS876" s="10"/>
      <c r="CZ876" s="10"/>
      <c r="DG876" s="10"/>
      <c r="DN876" s="10"/>
      <c r="DU876" s="10"/>
    </row>
    <row r="877" spans="3:125" ht="15.75" customHeight="1" x14ac:dyDescent="0.25">
      <c r="C877" s="8"/>
      <c r="BJ877" s="10"/>
      <c r="BX877" s="10"/>
      <c r="CE877" s="10"/>
      <c r="CL877" s="10"/>
      <c r="CS877" s="10"/>
      <c r="CZ877" s="10"/>
      <c r="DG877" s="10"/>
      <c r="DN877" s="10"/>
      <c r="DU877" s="10"/>
    </row>
    <row r="878" spans="3:125" ht="15.75" customHeight="1" x14ac:dyDescent="0.25">
      <c r="C878" s="8"/>
      <c r="BJ878" s="10"/>
      <c r="BX878" s="10"/>
      <c r="CE878" s="10"/>
      <c r="CL878" s="10"/>
      <c r="CS878" s="10"/>
      <c r="CZ878" s="10"/>
      <c r="DG878" s="10"/>
      <c r="DN878" s="10"/>
      <c r="DU878" s="10"/>
    </row>
    <row r="879" spans="3:125" ht="15.75" customHeight="1" x14ac:dyDescent="0.25">
      <c r="C879" s="8"/>
      <c r="BJ879" s="10"/>
      <c r="BX879" s="10"/>
      <c r="CE879" s="10"/>
      <c r="CL879" s="10"/>
      <c r="CS879" s="10"/>
      <c r="CZ879" s="10"/>
      <c r="DG879" s="10"/>
      <c r="DN879" s="10"/>
      <c r="DU879" s="10"/>
    </row>
    <row r="880" spans="3:125" ht="15.75" customHeight="1" x14ac:dyDescent="0.25">
      <c r="C880" s="8"/>
      <c r="BJ880" s="10"/>
      <c r="BX880" s="10"/>
      <c r="CE880" s="10"/>
      <c r="CL880" s="10"/>
      <c r="CS880" s="10"/>
      <c r="CZ880" s="10"/>
      <c r="DG880" s="10"/>
      <c r="DN880" s="10"/>
      <c r="DU880" s="10"/>
    </row>
    <row r="881" spans="3:125" ht="15.75" customHeight="1" x14ac:dyDescent="0.25">
      <c r="C881" s="8"/>
      <c r="BJ881" s="10"/>
      <c r="BX881" s="10"/>
      <c r="CE881" s="10"/>
      <c r="CL881" s="10"/>
      <c r="CS881" s="10"/>
      <c r="CZ881" s="10"/>
      <c r="DG881" s="10"/>
      <c r="DN881" s="10"/>
      <c r="DU881" s="10"/>
    </row>
    <row r="882" spans="3:125" ht="15.75" customHeight="1" x14ac:dyDescent="0.25">
      <c r="C882" s="8"/>
      <c r="BJ882" s="10"/>
      <c r="BX882" s="10"/>
      <c r="CE882" s="10"/>
      <c r="CL882" s="10"/>
      <c r="CS882" s="10"/>
      <c r="CZ882" s="10"/>
      <c r="DG882" s="10"/>
      <c r="DN882" s="10"/>
      <c r="DU882" s="10"/>
    </row>
    <row r="883" spans="3:125" ht="15.75" customHeight="1" x14ac:dyDescent="0.25">
      <c r="C883" s="8"/>
      <c r="BJ883" s="10"/>
      <c r="BX883" s="10"/>
      <c r="CE883" s="10"/>
      <c r="CL883" s="10"/>
      <c r="CS883" s="10"/>
      <c r="CZ883" s="10"/>
      <c r="DG883" s="10"/>
      <c r="DN883" s="10"/>
      <c r="DU883" s="10"/>
    </row>
    <row r="884" spans="3:125" ht="15.75" customHeight="1" x14ac:dyDescent="0.25">
      <c r="C884" s="8"/>
      <c r="BJ884" s="10"/>
      <c r="BX884" s="10"/>
      <c r="CE884" s="10"/>
      <c r="CL884" s="10"/>
      <c r="CS884" s="10"/>
      <c r="CZ884" s="10"/>
      <c r="DG884" s="10"/>
      <c r="DN884" s="10"/>
      <c r="DU884" s="10"/>
    </row>
    <row r="885" spans="3:125" ht="15.75" customHeight="1" x14ac:dyDescent="0.25">
      <c r="C885" s="8"/>
      <c r="BJ885" s="10"/>
      <c r="BX885" s="10"/>
      <c r="CE885" s="10"/>
      <c r="CL885" s="10"/>
      <c r="CS885" s="10"/>
      <c r="CZ885" s="10"/>
      <c r="DG885" s="10"/>
      <c r="DN885" s="10"/>
      <c r="DU885" s="10"/>
    </row>
    <row r="886" spans="3:125" ht="15.75" customHeight="1" x14ac:dyDescent="0.25">
      <c r="C886" s="8"/>
      <c r="BJ886" s="10"/>
      <c r="BX886" s="10"/>
      <c r="CE886" s="10"/>
      <c r="CL886" s="10"/>
      <c r="CS886" s="10"/>
      <c r="CZ886" s="10"/>
      <c r="DG886" s="10"/>
      <c r="DN886" s="10"/>
      <c r="DU886" s="10"/>
    </row>
    <row r="887" spans="3:125" ht="15.75" customHeight="1" x14ac:dyDescent="0.25">
      <c r="C887" s="8"/>
      <c r="BJ887" s="10"/>
      <c r="BX887" s="10"/>
      <c r="CE887" s="10"/>
      <c r="CL887" s="10"/>
      <c r="CS887" s="10"/>
      <c r="CZ887" s="10"/>
      <c r="DG887" s="10"/>
      <c r="DN887" s="10"/>
      <c r="DU887" s="10"/>
    </row>
    <row r="888" spans="3:125" ht="15.75" customHeight="1" x14ac:dyDescent="0.25">
      <c r="C888" s="8"/>
      <c r="BJ888" s="10"/>
      <c r="BX888" s="10"/>
      <c r="CE888" s="10"/>
      <c r="CL888" s="10"/>
      <c r="CS888" s="10"/>
      <c r="CZ888" s="10"/>
      <c r="DG888" s="10"/>
      <c r="DN888" s="10"/>
      <c r="DU888" s="10"/>
    </row>
    <row r="889" spans="3:125" ht="15.75" customHeight="1" x14ac:dyDescent="0.25">
      <c r="C889" s="8"/>
      <c r="BJ889" s="10"/>
      <c r="BX889" s="10"/>
      <c r="CE889" s="10"/>
      <c r="CL889" s="10"/>
      <c r="CS889" s="10"/>
      <c r="CZ889" s="10"/>
      <c r="DG889" s="10"/>
      <c r="DN889" s="10"/>
      <c r="DU889" s="10"/>
    </row>
    <row r="890" spans="3:125" ht="15.75" customHeight="1" x14ac:dyDescent="0.25">
      <c r="C890" s="8"/>
      <c r="BJ890" s="10"/>
      <c r="BX890" s="10"/>
      <c r="CE890" s="10"/>
      <c r="CL890" s="10"/>
      <c r="CS890" s="10"/>
      <c r="CZ890" s="10"/>
      <c r="DG890" s="10"/>
      <c r="DN890" s="10"/>
      <c r="DU890" s="10"/>
    </row>
    <row r="891" spans="3:125" ht="15.75" customHeight="1" x14ac:dyDescent="0.25">
      <c r="C891" s="8"/>
      <c r="BJ891" s="10"/>
      <c r="BX891" s="10"/>
      <c r="CE891" s="10"/>
      <c r="CL891" s="10"/>
      <c r="CS891" s="10"/>
      <c r="CZ891" s="10"/>
      <c r="DG891" s="10"/>
      <c r="DN891" s="10"/>
      <c r="DU891" s="10"/>
    </row>
    <row r="892" spans="3:125" ht="15.75" customHeight="1" x14ac:dyDescent="0.25">
      <c r="C892" s="8"/>
      <c r="BJ892" s="10"/>
      <c r="BX892" s="10"/>
      <c r="CE892" s="10"/>
      <c r="CL892" s="10"/>
      <c r="CS892" s="10"/>
      <c r="CZ892" s="10"/>
      <c r="DG892" s="10"/>
      <c r="DN892" s="10"/>
      <c r="DU892" s="10"/>
    </row>
    <row r="893" spans="3:125" ht="15.75" customHeight="1" x14ac:dyDescent="0.25">
      <c r="C893" s="8"/>
      <c r="BJ893" s="10"/>
      <c r="BX893" s="10"/>
      <c r="CE893" s="10"/>
      <c r="CL893" s="10"/>
      <c r="CS893" s="10"/>
      <c r="CZ893" s="10"/>
      <c r="DG893" s="10"/>
      <c r="DN893" s="10"/>
      <c r="DU893" s="10"/>
    </row>
    <row r="894" spans="3:125" ht="15.75" customHeight="1" x14ac:dyDescent="0.25">
      <c r="C894" s="8"/>
      <c r="BJ894" s="10"/>
      <c r="BX894" s="10"/>
      <c r="CE894" s="10"/>
      <c r="CL894" s="10"/>
      <c r="CS894" s="10"/>
      <c r="CZ894" s="10"/>
      <c r="DG894" s="10"/>
      <c r="DN894" s="10"/>
      <c r="DU894" s="10"/>
    </row>
    <row r="895" spans="3:125" ht="15.75" customHeight="1" x14ac:dyDescent="0.25">
      <c r="C895" s="8"/>
      <c r="BJ895" s="10"/>
      <c r="BX895" s="10"/>
      <c r="CE895" s="10"/>
      <c r="CL895" s="10"/>
      <c r="CS895" s="10"/>
      <c r="CZ895" s="10"/>
      <c r="DG895" s="10"/>
      <c r="DN895" s="10"/>
      <c r="DU895" s="10"/>
    </row>
    <row r="896" spans="3:125" ht="15.75" customHeight="1" x14ac:dyDescent="0.25">
      <c r="C896" s="8"/>
      <c r="BJ896" s="10"/>
      <c r="BX896" s="10"/>
      <c r="CE896" s="10"/>
      <c r="CL896" s="10"/>
      <c r="CS896" s="10"/>
      <c r="CZ896" s="10"/>
      <c r="DG896" s="10"/>
      <c r="DN896" s="10"/>
      <c r="DU896" s="10"/>
    </row>
    <row r="897" spans="3:125" ht="15.75" customHeight="1" x14ac:dyDescent="0.25">
      <c r="C897" s="8"/>
      <c r="BJ897" s="10"/>
      <c r="BX897" s="10"/>
      <c r="CE897" s="10"/>
      <c r="CL897" s="10"/>
      <c r="CS897" s="10"/>
      <c r="CZ897" s="10"/>
      <c r="DG897" s="10"/>
      <c r="DN897" s="10"/>
      <c r="DU897" s="10"/>
    </row>
    <row r="898" spans="3:125" ht="15.75" customHeight="1" x14ac:dyDescent="0.25">
      <c r="C898" s="8"/>
      <c r="BJ898" s="10"/>
      <c r="BX898" s="10"/>
      <c r="CE898" s="10"/>
      <c r="CL898" s="10"/>
      <c r="CS898" s="10"/>
      <c r="CZ898" s="10"/>
      <c r="DG898" s="10"/>
      <c r="DN898" s="10"/>
      <c r="DU898" s="10"/>
    </row>
    <row r="899" spans="3:125" ht="15.75" customHeight="1" x14ac:dyDescent="0.25">
      <c r="C899" s="8"/>
      <c r="BJ899" s="10"/>
      <c r="BX899" s="10"/>
      <c r="CE899" s="10"/>
      <c r="CL899" s="10"/>
      <c r="CS899" s="10"/>
      <c r="CZ899" s="10"/>
      <c r="DG899" s="10"/>
      <c r="DN899" s="10"/>
      <c r="DU899" s="10"/>
    </row>
    <row r="900" spans="3:125" ht="15.75" customHeight="1" x14ac:dyDescent="0.25">
      <c r="C900" s="8"/>
      <c r="BJ900" s="10"/>
      <c r="BX900" s="10"/>
      <c r="CE900" s="10"/>
      <c r="CL900" s="10"/>
      <c r="CS900" s="10"/>
      <c r="CZ900" s="10"/>
      <c r="DG900" s="10"/>
      <c r="DN900" s="10"/>
      <c r="DU900" s="10"/>
    </row>
    <row r="901" spans="3:125" ht="15.75" customHeight="1" x14ac:dyDescent="0.25">
      <c r="C901" s="8"/>
      <c r="BJ901" s="10"/>
      <c r="BX901" s="10"/>
      <c r="CE901" s="10"/>
      <c r="CL901" s="10"/>
      <c r="CS901" s="10"/>
      <c r="CZ901" s="10"/>
      <c r="DG901" s="10"/>
      <c r="DN901" s="10"/>
      <c r="DU901" s="10"/>
    </row>
    <row r="902" spans="3:125" ht="15.75" customHeight="1" x14ac:dyDescent="0.25">
      <c r="C902" s="8"/>
      <c r="BJ902" s="10"/>
      <c r="BX902" s="10"/>
      <c r="CE902" s="10"/>
      <c r="CL902" s="10"/>
      <c r="CS902" s="10"/>
      <c r="CZ902" s="10"/>
      <c r="DG902" s="10"/>
      <c r="DN902" s="10"/>
      <c r="DU902" s="10"/>
    </row>
    <row r="903" spans="3:125" ht="15.75" customHeight="1" x14ac:dyDescent="0.25">
      <c r="C903" s="8"/>
      <c r="BJ903" s="10"/>
      <c r="BX903" s="10"/>
      <c r="CE903" s="10"/>
      <c r="CL903" s="10"/>
      <c r="CS903" s="10"/>
      <c r="CZ903" s="10"/>
      <c r="DG903" s="10"/>
      <c r="DN903" s="10"/>
      <c r="DU903" s="10"/>
    </row>
    <row r="904" spans="3:125" ht="15.75" customHeight="1" x14ac:dyDescent="0.25">
      <c r="C904" s="8"/>
      <c r="BJ904" s="10"/>
      <c r="BX904" s="10"/>
      <c r="CE904" s="10"/>
      <c r="CL904" s="10"/>
      <c r="CS904" s="10"/>
      <c r="CZ904" s="10"/>
      <c r="DG904" s="10"/>
      <c r="DN904" s="10"/>
      <c r="DU904" s="10"/>
    </row>
    <row r="905" spans="3:125" ht="15.75" customHeight="1" x14ac:dyDescent="0.25">
      <c r="C905" s="8"/>
      <c r="BJ905" s="10"/>
      <c r="BX905" s="10"/>
      <c r="CE905" s="10"/>
      <c r="CL905" s="10"/>
      <c r="CS905" s="10"/>
      <c r="CZ905" s="10"/>
      <c r="DG905" s="10"/>
      <c r="DN905" s="10"/>
      <c r="DU905" s="10"/>
    </row>
    <row r="906" spans="3:125" ht="15.75" customHeight="1" x14ac:dyDescent="0.25">
      <c r="C906" s="8"/>
      <c r="BJ906" s="10"/>
      <c r="BX906" s="10"/>
      <c r="CE906" s="10"/>
      <c r="CL906" s="10"/>
      <c r="CS906" s="10"/>
      <c r="CZ906" s="10"/>
      <c r="DG906" s="10"/>
      <c r="DN906" s="10"/>
      <c r="DU906" s="10"/>
    </row>
    <row r="907" spans="3:125" ht="15.75" customHeight="1" x14ac:dyDescent="0.25">
      <c r="C907" s="8"/>
      <c r="BJ907" s="10"/>
      <c r="BX907" s="10"/>
      <c r="CE907" s="10"/>
      <c r="CL907" s="10"/>
      <c r="CS907" s="10"/>
      <c r="CZ907" s="10"/>
      <c r="DG907" s="10"/>
      <c r="DN907" s="10"/>
      <c r="DU907" s="10"/>
    </row>
    <row r="908" spans="3:125" ht="15.75" customHeight="1" x14ac:dyDescent="0.25">
      <c r="C908" s="8"/>
      <c r="BJ908" s="10"/>
      <c r="BX908" s="10"/>
      <c r="CE908" s="10"/>
      <c r="CL908" s="10"/>
      <c r="CS908" s="10"/>
      <c r="CZ908" s="10"/>
      <c r="DG908" s="10"/>
      <c r="DN908" s="10"/>
      <c r="DU908" s="10"/>
    </row>
    <row r="909" spans="3:125" ht="15.75" customHeight="1" x14ac:dyDescent="0.25">
      <c r="C909" s="8"/>
      <c r="BJ909" s="10"/>
      <c r="BX909" s="10"/>
      <c r="CE909" s="10"/>
      <c r="CL909" s="10"/>
      <c r="CS909" s="10"/>
      <c r="CZ909" s="10"/>
      <c r="DG909" s="10"/>
      <c r="DN909" s="10"/>
      <c r="DU909" s="10"/>
    </row>
    <row r="910" spans="3:125" ht="15.75" customHeight="1" x14ac:dyDescent="0.25">
      <c r="C910" s="8"/>
      <c r="BJ910" s="10"/>
      <c r="BX910" s="10"/>
      <c r="CE910" s="10"/>
      <c r="CL910" s="10"/>
      <c r="CS910" s="10"/>
      <c r="CZ910" s="10"/>
      <c r="DG910" s="10"/>
      <c r="DN910" s="10"/>
      <c r="DU910" s="10"/>
    </row>
    <row r="911" spans="3:125" ht="15.75" customHeight="1" x14ac:dyDescent="0.25">
      <c r="C911" s="8"/>
      <c r="BJ911" s="10"/>
      <c r="BX911" s="10"/>
      <c r="CE911" s="10"/>
      <c r="CL911" s="10"/>
      <c r="CS911" s="10"/>
      <c r="CZ911" s="10"/>
      <c r="DG911" s="10"/>
      <c r="DN911" s="10"/>
      <c r="DU911" s="10"/>
    </row>
    <row r="912" spans="3:125" ht="15.75" customHeight="1" x14ac:dyDescent="0.25">
      <c r="C912" s="8"/>
      <c r="BJ912" s="10"/>
      <c r="BX912" s="10"/>
      <c r="CE912" s="10"/>
      <c r="CL912" s="10"/>
      <c r="CS912" s="10"/>
      <c r="CZ912" s="10"/>
      <c r="DG912" s="10"/>
      <c r="DN912" s="10"/>
      <c r="DU912" s="10"/>
    </row>
    <row r="913" spans="3:125" ht="15.75" customHeight="1" x14ac:dyDescent="0.25">
      <c r="C913" s="8"/>
      <c r="BJ913" s="10"/>
      <c r="BX913" s="10"/>
      <c r="CE913" s="10"/>
      <c r="CL913" s="10"/>
      <c r="CS913" s="10"/>
      <c r="CZ913" s="10"/>
      <c r="DG913" s="10"/>
      <c r="DN913" s="10"/>
      <c r="DU913" s="10"/>
    </row>
    <row r="914" spans="3:125" ht="15.75" customHeight="1" x14ac:dyDescent="0.25">
      <c r="C914" s="8"/>
      <c r="BJ914" s="10"/>
      <c r="BX914" s="10"/>
      <c r="CE914" s="10"/>
      <c r="CL914" s="10"/>
      <c r="CS914" s="10"/>
      <c r="CZ914" s="10"/>
      <c r="DG914" s="10"/>
      <c r="DN914" s="10"/>
      <c r="DU914" s="10"/>
    </row>
    <row r="915" spans="3:125" ht="15.75" customHeight="1" x14ac:dyDescent="0.25">
      <c r="C915" s="8"/>
      <c r="BJ915" s="10"/>
      <c r="BX915" s="10"/>
      <c r="CE915" s="10"/>
      <c r="CL915" s="10"/>
      <c r="CS915" s="10"/>
      <c r="CZ915" s="10"/>
      <c r="DG915" s="10"/>
      <c r="DN915" s="10"/>
      <c r="DU915" s="10"/>
    </row>
    <row r="916" spans="3:125" ht="15.75" customHeight="1" x14ac:dyDescent="0.25">
      <c r="C916" s="8"/>
      <c r="BJ916" s="10"/>
      <c r="BX916" s="10"/>
      <c r="CE916" s="10"/>
      <c r="CL916" s="10"/>
      <c r="CS916" s="10"/>
      <c r="CZ916" s="10"/>
      <c r="DG916" s="10"/>
      <c r="DN916" s="10"/>
      <c r="DU916" s="10"/>
    </row>
    <row r="917" spans="3:125" ht="15.75" customHeight="1" x14ac:dyDescent="0.25">
      <c r="C917" s="8"/>
      <c r="BJ917" s="10"/>
      <c r="BX917" s="10"/>
      <c r="CE917" s="10"/>
      <c r="CL917" s="10"/>
      <c r="CS917" s="10"/>
      <c r="CZ917" s="10"/>
      <c r="DG917" s="10"/>
      <c r="DN917" s="10"/>
      <c r="DU917" s="10"/>
    </row>
    <row r="918" spans="3:125" ht="15.75" customHeight="1" x14ac:dyDescent="0.25">
      <c r="C918" s="8"/>
      <c r="BJ918" s="10"/>
      <c r="BX918" s="10"/>
      <c r="CE918" s="10"/>
      <c r="CL918" s="10"/>
      <c r="CS918" s="10"/>
      <c r="CZ918" s="10"/>
      <c r="DG918" s="10"/>
      <c r="DN918" s="10"/>
      <c r="DU918" s="10"/>
    </row>
    <row r="919" spans="3:125" ht="15.75" customHeight="1" x14ac:dyDescent="0.25">
      <c r="C919" s="8"/>
      <c r="BJ919" s="10"/>
      <c r="BX919" s="10"/>
      <c r="CE919" s="10"/>
      <c r="CL919" s="10"/>
      <c r="CS919" s="10"/>
      <c r="CZ919" s="10"/>
      <c r="DG919" s="10"/>
      <c r="DN919" s="10"/>
      <c r="DU919" s="10"/>
    </row>
    <row r="920" spans="3:125" ht="15.75" customHeight="1" x14ac:dyDescent="0.25">
      <c r="C920" s="8"/>
      <c r="BJ920" s="10"/>
      <c r="BX920" s="10"/>
      <c r="CE920" s="10"/>
      <c r="CL920" s="10"/>
      <c r="CS920" s="10"/>
      <c r="CZ920" s="10"/>
      <c r="DG920" s="10"/>
      <c r="DN920" s="10"/>
      <c r="DU920" s="10"/>
    </row>
    <row r="921" spans="3:125" ht="15.75" customHeight="1" x14ac:dyDescent="0.25">
      <c r="C921" s="8"/>
      <c r="BJ921" s="10"/>
      <c r="BX921" s="10"/>
      <c r="CE921" s="10"/>
      <c r="CL921" s="10"/>
      <c r="CS921" s="10"/>
      <c r="CZ921" s="10"/>
      <c r="DG921" s="10"/>
      <c r="DN921" s="10"/>
      <c r="DU921" s="10"/>
    </row>
    <row r="922" spans="3:125" ht="15.75" customHeight="1" x14ac:dyDescent="0.25">
      <c r="C922" s="8"/>
      <c r="BJ922" s="10"/>
      <c r="BX922" s="10"/>
      <c r="CE922" s="10"/>
      <c r="CL922" s="10"/>
      <c r="CS922" s="10"/>
      <c r="CZ922" s="10"/>
      <c r="DG922" s="10"/>
      <c r="DN922" s="10"/>
      <c r="DU922" s="10"/>
    </row>
    <row r="923" spans="3:125" ht="15.75" customHeight="1" x14ac:dyDescent="0.25">
      <c r="C923" s="8"/>
      <c r="BJ923" s="10"/>
      <c r="BX923" s="10"/>
      <c r="CE923" s="10"/>
      <c r="CL923" s="10"/>
      <c r="CS923" s="10"/>
      <c r="CZ923" s="10"/>
      <c r="DG923" s="10"/>
      <c r="DN923" s="10"/>
      <c r="DU923" s="10"/>
    </row>
    <row r="924" spans="3:125" ht="15.75" customHeight="1" x14ac:dyDescent="0.25">
      <c r="C924" s="8"/>
      <c r="BJ924" s="10"/>
      <c r="BX924" s="10"/>
      <c r="CE924" s="10"/>
      <c r="CL924" s="10"/>
      <c r="CS924" s="10"/>
      <c r="CZ924" s="10"/>
      <c r="DG924" s="10"/>
      <c r="DN924" s="10"/>
      <c r="DU924" s="10"/>
    </row>
    <row r="925" spans="3:125" ht="15.75" customHeight="1" x14ac:dyDescent="0.25">
      <c r="C925" s="8"/>
      <c r="BJ925" s="10"/>
      <c r="BX925" s="10"/>
      <c r="CE925" s="10"/>
      <c r="CL925" s="10"/>
      <c r="CS925" s="10"/>
      <c r="CZ925" s="10"/>
      <c r="DG925" s="10"/>
      <c r="DN925" s="10"/>
      <c r="DU925" s="10"/>
    </row>
    <row r="926" spans="3:125" ht="15.75" customHeight="1" x14ac:dyDescent="0.25">
      <c r="C926" s="8"/>
      <c r="BJ926" s="10"/>
      <c r="BX926" s="10"/>
      <c r="CE926" s="10"/>
      <c r="CL926" s="10"/>
      <c r="CS926" s="10"/>
      <c r="CZ926" s="10"/>
      <c r="DG926" s="10"/>
      <c r="DN926" s="10"/>
      <c r="DU926" s="10"/>
    </row>
    <row r="927" spans="3:125" ht="15.75" customHeight="1" x14ac:dyDescent="0.25">
      <c r="C927" s="8"/>
      <c r="BJ927" s="10"/>
      <c r="BX927" s="10"/>
      <c r="CE927" s="10"/>
      <c r="CL927" s="10"/>
      <c r="CS927" s="10"/>
      <c r="CZ927" s="10"/>
      <c r="DG927" s="10"/>
      <c r="DN927" s="10"/>
      <c r="DU927" s="10"/>
    </row>
    <row r="928" spans="3:125" ht="15.75" customHeight="1" x14ac:dyDescent="0.25">
      <c r="C928" s="8"/>
      <c r="BJ928" s="10"/>
      <c r="BX928" s="10"/>
      <c r="CE928" s="10"/>
      <c r="CL928" s="10"/>
      <c r="CS928" s="10"/>
      <c r="CZ928" s="10"/>
      <c r="DG928" s="10"/>
      <c r="DN928" s="10"/>
      <c r="DU928" s="10"/>
    </row>
    <row r="929" spans="3:125" ht="15.75" customHeight="1" x14ac:dyDescent="0.25">
      <c r="C929" s="8"/>
      <c r="BJ929" s="10"/>
      <c r="BX929" s="10"/>
      <c r="CE929" s="10"/>
      <c r="CL929" s="10"/>
      <c r="CS929" s="10"/>
      <c r="CZ929" s="10"/>
      <c r="DG929" s="10"/>
      <c r="DN929" s="10"/>
      <c r="DU929" s="10"/>
    </row>
    <row r="930" spans="3:125" ht="15.75" customHeight="1" x14ac:dyDescent="0.25">
      <c r="C930" s="8"/>
      <c r="BJ930" s="10"/>
      <c r="BX930" s="10"/>
      <c r="CE930" s="10"/>
      <c r="CL930" s="10"/>
      <c r="CS930" s="10"/>
      <c r="CZ930" s="10"/>
      <c r="DG930" s="10"/>
      <c r="DN930" s="10"/>
      <c r="DU930" s="10"/>
    </row>
    <row r="931" spans="3:125" ht="15.75" customHeight="1" x14ac:dyDescent="0.25">
      <c r="C931" s="8"/>
      <c r="BJ931" s="10"/>
      <c r="BX931" s="10"/>
      <c r="CE931" s="10"/>
      <c r="CL931" s="10"/>
      <c r="CS931" s="10"/>
      <c r="CZ931" s="10"/>
      <c r="DG931" s="10"/>
      <c r="DN931" s="10"/>
      <c r="DU931" s="10"/>
    </row>
    <row r="932" spans="3:125" ht="15.75" customHeight="1" x14ac:dyDescent="0.25">
      <c r="C932" s="8"/>
      <c r="BJ932" s="10"/>
      <c r="BX932" s="10"/>
      <c r="CE932" s="10"/>
      <c r="CL932" s="10"/>
      <c r="CS932" s="10"/>
      <c r="CZ932" s="10"/>
      <c r="DG932" s="10"/>
      <c r="DN932" s="10"/>
      <c r="DU932" s="10"/>
    </row>
    <row r="933" spans="3:125" ht="15.75" customHeight="1" x14ac:dyDescent="0.25">
      <c r="C933" s="8"/>
      <c r="BJ933" s="10"/>
      <c r="BX933" s="10"/>
      <c r="CE933" s="10"/>
      <c r="CL933" s="10"/>
      <c r="CS933" s="10"/>
      <c r="CZ933" s="10"/>
      <c r="DG933" s="10"/>
      <c r="DN933" s="10"/>
      <c r="DU933" s="10"/>
    </row>
    <row r="934" spans="3:125" ht="15.75" customHeight="1" x14ac:dyDescent="0.25">
      <c r="C934" s="8"/>
      <c r="BJ934" s="10"/>
      <c r="BX934" s="10"/>
      <c r="CE934" s="10"/>
      <c r="CL934" s="10"/>
      <c r="CS934" s="10"/>
      <c r="CZ934" s="10"/>
      <c r="DG934" s="10"/>
      <c r="DN934" s="10"/>
      <c r="DU934" s="10"/>
    </row>
    <row r="935" spans="3:125" ht="15.75" customHeight="1" x14ac:dyDescent="0.25">
      <c r="C935" s="8"/>
      <c r="BJ935" s="10"/>
      <c r="BX935" s="10"/>
      <c r="CE935" s="10"/>
      <c r="CL935" s="10"/>
      <c r="CS935" s="10"/>
      <c r="CZ935" s="10"/>
      <c r="DG935" s="10"/>
      <c r="DN935" s="10"/>
      <c r="DU935" s="10"/>
    </row>
    <row r="936" spans="3:125" ht="15.75" customHeight="1" x14ac:dyDescent="0.25">
      <c r="C936" s="8"/>
      <c r="BJ936" s="10"/>
      <c r="BX936" s="10"/>
      <c r="CE936" s="10"/>
      <c r="CL936" s="10"/>
      <c r="CS936" s="10"/>
      <c r="CZ936" s="10"/>
      <c r="DG936" s="10"/>
      <c r="DN936" s="10"/>
      <c r="DU936" s="10"/>
    </row>
    <row r="937" spans="3:125" ht="15.75" customHeight="1" x14ac:dyDescent="0.25">
      <c r="C937" s="8"/>
      <c r="BJ937" s="10"/>
      <c r="BX937" s="10"/>
      <c r="CE937" s="10"/>
      <c r="CL937" s="10"/>
      <c r="CS937" s="10"/>
      <c r="CZ937" s="10"/>
      <c r="DG937" s="10"/>
      <c r="DN937" s="10"/>
      <c r="DU937" s="10"/>
    </row>
    <row r="938" spans="3:125" ht="15.75" customHeight="1" x14ac:dyDescent="0.25">
      <c r="C938" s="8"/>
      <c r="BJ938" s="10"/>
      <c r="BX938" s="10"/>
      <c r="CE938" s="10"/>
      <c r="CL938" s="10"/>
      <c r="CS938" s="10"/>
      <c r="CZ938" s="10"/>
      <c r="DG938" s="10"/>
      <c r="DN938" s="10"/>
      <c r="DU938" s="10"/>
    </row>
    <row r="939" spans="3:125" ht="15.75" customHeight="1" x14ac:dyDescent="0.25">
      <c r="C939" s="8"/>
      <c r="BJ939" s="10"/>
      <c r="BX939" s="10"/>
      <c r="CE939" s="10"/>
      <c r="CL939" s="10"/>
      <c r="CS939" s="10"/>
      <c r="CZ939" s="10"/>
      <c r="DG939" s="10"/>
      <c r="DN939" s="10"/>
      <c r="DU939" s="10"/>
    </row>
    <row r="940" spans="3:125" ht="15.75" customHeight="1" x14ac:dyDescent="0.25">
      <c r="C940" s="8"/>
      <c r="BJ940" s="10"/>
      <c r="BX940" s="10"/>
      <c r="CE940" s="10"/>
      <c r="CL940" s="10"/>
      <c r="CS940" s="10"/>
      <c r="CZ940" s="10"/>
      <c r="DG940" s="10"/>
      <c r="DN940" s="10"/>
      <c r="DU940" s="10"/>
    </row>
    <row r="941" spans="3:125" ht="15.75" customHeight="1" x14ac:dyDescent="0.25">
      <c r="C941" s="8"/>
      <c r="BJ941" s="10"/>
      <c r="BX941" s="10"/>
      <c r="CE941" s="10"/>
      <c r="CL941" s="10"/>
      <c r="CS941" s="10"/>
      <c r="CZ941" s="10"/>
      <c r="DG941" s="10"/>
      <c r="DN941" s="10"/>
      <c r="DU941" s="10"/>
    </row>
    <row r="942" spans="3:125" ht="15.75" customHeight="1" x14ac:dyDescent="0.25">
      <c r="C942" s="8"/>
      <c r="BJ942" s="10"/>
      <c r="BX942" s="10"/>
      <c r="CE942" s="10"/>
      <c r="CL942" s="10"/>
      <c r="CS942" s="10"/>
      <c r="CZ942" s="10"/>
      <c r="DG942" s="10"/>
      <c r="DN942" s="10"/>
      <c r="DU942" s="10"/>
    </row>
    <row r="943" spans="3:125" ht="15.75" customHeight="1" x14ac:dyDescent="0.25">
      <c r="C943" s="8"/>
      <c r="BJ943" s="10"/>
      <c r="BX943" s="10"/>
      <c r="CE943" s="10"/>
      <c r="CL943" s="10"/>
      <c r="CS943" s="10"/>
      <c r="CZ943" s="10"/>
      <c r="DG943" s="10"/>
      <c r="DN943" s="10"/>
      <c r="DU943" s="10"/>
    </row>
    <row r="944" spans="3:125" ht="15.75" customHeight="1" x14ac:dyDescent="0.25">
      <c r="C944" s="8"/>
      <c r="BJ944" s="10"/>
      <c r="BX944" s="10"/>
      <c r="CE944" s="10"/>
      <c r="CL944" s="10"/>
      <c r="CS944" s="10"/>
      <c r="CZ944" s="10"/>
      <c r="DG944" s="10"/>
      <c r="DN944" s="10"/>
      <c r="DU944" s="10"/>
    </row>
    <row r="945" spans="3:125" ht="15.75" customHeight="1" x14ac:dyDescent="0.25">
      <c r="C945" s="8"/>
      <c r="BJ945" s="10"/>
      <c r="BX945" s="10"/>
      <c r="CE945" s="10"/>
      <c r="CL945" s="10"/>
      <c r="CS945" s="10"/>
      <c r="CZ945" s="10"/>
      <c r="DG945" s="10"/>
      <c r="DN945" s="10"/>
      <c r="DU945" s="10"/>
    </row>
    <row r="946" spans="3:125" ht="15.75" customHeight="1" x14ac:dyDescent="0.25">
      <c r="C946" s="8"/>
      <c r="BJ946" s="10"/>
      <c r="BX946" s="10"/>
      <c r="CE946" s="10"/>
      <c r="CL946" s="10"/>
      <c r="CS946" s="10"/>
      <c r="CZ946" s="10"/>
      <c r="DG946" s="10"/>
      <c r="DN946" s="10"/>
      <c r="DU946" s="10"/>
    </row>
    <row r="947" spans="3:125" ht="15.75" customHeight="1" x14ac:dyDescent="0.25">
      <c r="C947" s="8"/>
      <c r="BJ947" s="10"/>
      <c r="BX947" s="10"/>
      <c r="CE947" s="10"/>
      <c r="CL947" s="10"/>
      <c r="CS947" s="10"/>
      <c r="CZ947" s="10"/>
      <c r="DG947" s="10"/>
      <c r="DN947" s="10"/>
      <c r="DU947" s="10"/>
    </row>
    <row r="948" spans="3:125" ht="15.75" customHeight="1" x14ac:dyDescent="0.25">
      <c r="C948" s="8"/>
      <c r="BJ948" s="10"/>
      <c r="BX948" s="10"/>
      <c r="CE948" s="10"/>
      <c r="CL948" s="10"/>
      <c r="CS948" s="10"/>
      <c r="CZ948" s="10"/>
      <c r="DG948" s="10"/>
      <c r="DN948" s="10"/>
      <c r="DU948" s="10"/>
    </row>
    <row r="949" spans="3:125" ht="15.75" customHeight="1" x14ac:dyDescent="0.25">
      <c r="C949" s="8"/>
      <c r="BJ949" s="10"/>
      <c r="BX949" s="10"/>
      <c r="CE949" s="10"/>
      <c r="CL949" s="10"/>
      <c r="CS949" s="10"/>
      <c r="CZ949" s="10"/>
      <c r="DG949" s="10"/>
      <c r="DN949" s="10"/>
      <c r="DU949" s="10"/>
    </row>
    <row r="950" spans="3:125" ht="15.75" customHeight="1" x14ac:dyDescent="0.25">
      <c r="C950" s="8"/>
      <c r="BJ950" s="10"/>
      <c r="BX950" s="10"/>
      <c r="CE950" s="10"/>
      <c r="CL950" s="10"/>
      <c r="CS950" s="10"/>
      <c r="CZ950" s="10"/>
      <c r="DG950" s="10"/>
      <c r="DN950" s="10"/>
      <c r="DU950" s="10"/>
    </row>
    <row r="951" spans="3:125" ht="15.75" customHeight="1" x14ac:dyDescent="0.25">
      <c r="C951" s="8"/>
      <c r="BJ951" s="10"/>
      <c r="BX951" s="10"/>
      <c r="CE951" s="10"/>
      <c r="CL951" s="10"/>
      <c r="CS951" s="10"/>
      <c r="CZ951" s="10"/>
      <c r="DG951" s="10"/>
      <c r="DN951" s="10"/>
      <c r="DU951" s="10"/>
    </row>
    <row r="952" spans="3:125" ht="15.75" customHeight="1" x14ac:dyDescent="0.25">
      <c r="C952" s="8"/>
      <c r="BJ952" s="10"/>
      <c r="BX952" s="10"/>
      <c r="CE952" s="10"/>
      <c r="CL952" s="10"/>
      <c r="CS952" s="10"/>
      <c r="CZ952" s="10"/>
      <c r="DG952" s="10"/>
      <c r="DN952" s="10"/>
      <c r="DU952" s="10"/>
    </row>
    <row r="953" spans="3:125" ht="15.75" customHeight="1" x14ac:dyDescent="0.25">
      <c r="C953" s="8"/>
      <c r="BJ953" s="10"/>
      <c r="BX953" s="10"/>
      <c r="CE953" s="10"/>
      <c r="CL953" s="10"/>
      <c r="CS953" s="10"/>
      <c r="CZ953" s="10"/>
      <c r="DG953" s="10"/>
      <c r="DN953" s="10"/>
      <c r="DU953" s="10"/>
    </row>
    <row r="954" spans="3:125" ht="15.75" customHeight="1" x14ac:dyDescent="0.25">
      <c r="C954" s="8"/>
      <c r="BJ954" s="10"/>
      <c r="BX954" s="10"/>
      <c r="CE954" s="10"/>
      <c r="CL954" s="10"/>
      <c r="CS954" s="10"/>
      <c r="CZ954" s="10"/>
      <c r="DG954" s="10"/>
      <c r="DN954" s="10"/>
      <c r="DU954" s="10"/>
    </row>
    <row r="955" spans="3:125" ht="15.75" customHeight="1" x14ac:dyDescent="0.25">
      <c r="C955" s="8"/>
      <c r="BJ955" s="10"/>
      <c r="BX955" s="10"/>
      <c r="CE955" s="10"/>
      <c r="CL955" s="10"/>
      <c r="CS955" s="10"/>
      <c r="CZ955" s="10"/>
      <c r="DG955" s="10"/>
      <c r="DN955" s="10"/>
      <c r="DU955" s="10"/>
    </row>
    <row r="956" spans="3:125" ht="15.75" customHeight="1" x14ac:dyDescent="0.25">
      <c r="C956" s="8"/>
      <c r="BJ956" s="10"/>
      <c r="BX956" s="10"/>
      <c r="CE956" s="10"/>
      <c r="CL956" s="10"/>
      <c r="CS956" s="10"/>
      <c r="CZ956" s="10"/>
      <c r="DG956" s="10"/>
      <c r="DN956" s="10"/>
      <c r="DU956" s="10"/>
    </row>
    <row r="957" spans="3:125" ht="15.75" customHeight="1" x14ac:dyDescent="0.25">
      <c r="C957" s="8"/>
      <c r="BJ957" s="10"/>
      <c r="BX957" s="10"/>
      <c r="CE957" s="10"/>
      <c r="CL957" s="10"/>
      <c r="CS957" s="10"/>
      <c r="CZ957" s="10"/>
      <c r="DG957" s="10"/>
      <c r="DN957" s="10"/>
      <c r="DU957" s="10"/>
    </row>
    <row r="958" spans="3:125" ht="15.75" customHeight="1" x14ac:dyDescent="0.25">
      <c r="C958" s="8"/>
      <c r="BJ958" s="10"/>
      <c r="BX958" s="10"/>
      <c r="CE958" s="10"/>
      <c r="CL958" s="10"/>
      <c r="CS958" s="10"/>
      <c r="CZ958" s="10"/>
      <c r="DG958" s="10"/>
      <c r="DN958" s="10"/>
      <c r="DU958" s="10"/>
    </row>
    <row r="959" spans="3:125" ht="15.75" customHeight="1" x14ac:dyDescent="0.25">
      <c r="C959" s="8"/>
      <c r="BJ959" s="10"/>
      <c r="BX959" s="10"/>
      <c r="CE959" s="10"/>
      <c r="CL959" s="10"/>
      <c r="CS959" s="10"/>
      <c r="CZ959" s="10"/>
      <c r="DG959" s="10"/>
      <c r="DN959" s="10"/>
      <c r="DU959" s="10"/>
    </row>
    <row r="960" spans="3:125" ht="15.75" customHeight="1" x14ac:dyDescent="0.25">
      <c r="C960" s="8"/>
      <c r="BJ960" s="10"/>
      <c r="BX960" s="10"/>
      <c r="CE960" s="10"/>
      <c r="CL960" s="10"/>
      <c r="CS960" s="10"/>
      <c r="CZ960" s="10"/>
      <c r="DG960" s="10"/>
      <c r="DN960" s="10"/>
      <c r="DU960" s="10"/>
    </row>
    <row r="961" spans="3:125" ht="15.75" customHeight="1" x14ac:dyDescent="0.25">
      <c r="C961" s="8"/>
      <c r="BJ961" s="10"/>
      <c r="BX961" s="10"/>
      <c r="CE961" s="10"/>
      <c r="CL961" s="10"/>
      <c r="CS961" s="10"/>
      <c r="CZ961" s="10"/>
      <c r="DG961" s="10"/>
      <c r="DN961" s="10"/>
      <c r="DU961" s="10"/>
    </row>
    <row r="962" spans="3:125" ht="15.75" customHeight="1" x14ac:dyDescent="0.25">
      <c r="C962" s="8"/>
      <c r="BJ962" s="10"/>
      <c r="BX962" s="10"/>
      <c r="CE962" s="10"/>
      <c r="CL962" s="10"/>
      <c r="CS962" s="10"/>
      <c r="CZ962" s="10"/>
      <c r="DG962" s="10"/>
      <c r="DN962" s="10"/>
      <c r="DU962" s="10"/>
    </row>
    <row r="963" spans="3:125" ht="15.75" customHeight="1" x14ac:dyDescent="0.25">
      <c r="C963" s="8"/>
      <c r="BJ963" s="10"/>
      <c r="BX963" s="10"/>
      <c r="CE963" s="10"/>
      <c r="CL963" s="10"/>
      <c r="CS963" s="10"/>
      <c r="CZ963" s="10"/>
      <c r="DG963" s="10"/>
      <c r="DN963" s="10"/>
      <c r="DU963" s="10"/>
    </row>
    <row r="964" spans="3:125" ht="15.75" customHeight="1" x14ac:dyDescent="0.25">
      <c r="C964" s="8"/>
      <c r="BJ964" s="10"/>
      <c r="BX964" s="10"/>
      <c r="CE964" s="10"/>
      <c r="CL964" s="10"/>
      <c r="CS964" s="10"/>
      <c r="CZ964" s="10"/>
      <c r="DG964" s="10"/>
      <c r="DN964" s="10"/>
      <c r="DU964" s="10"/>
    </row>
    <row r="965" spans="3:125" ht="15.75" customHeight="1" x14ac:dyDescent="0.25">
      <c r="C965" s="8"/>
      <c r="BJ965" s="10"/>
      <c r="BX965" s="10"/>
      <c r="CE965" s="10"/>
      <c r="CL965" s="10"/>
      <c r="CS965" s="10"/>
      <c r="CZ965" s="10"/>
      <c r="DG965" s="10"/>
      <c r="DN965" s="10"/>
      <c r="DU965" s="10"/>
    </row>
    <row r="966" spans="3:125" ht="15.75" customHeight="1" x14ac:dyDescent="0.25">
      <c r="C966" s="8"/>
      <c r="BJ966" s="10"/>
      <c r="BX966" s="10"/>
      <c r="CE966" s="10"/>
      <c r="CL966" s="10"/>
      <c r="CS966" s="10"/>
      <c r="CZ966" s="10"/>
      <c r="DG966" s="10"/>
      <c r="DN966" s="10"/>
      <c r="DU966" s="10"/>
    </row>
    <row r="967" spans="3:125" ht="15.75" customHeight="1" x14ac:dyDescent="0.25">
      <c r="C967" s="8"/>
      <c r="BJ967" s="10"/>
      <c r="BX967" s="10"/>
      <c r="CE967" s="10"/>
      <c r="CL967" s="10"/>
      <c r="CS967" s="10"/>
      <c r="CZ967" s="10"/>
      <c r="DG967" s="10"/>
      <c r="DN967" s="10"/>
      <c r="DU967" s="10"/>
    </row>
    <row r="968" spans="3:125" ht="15.75" customHeight="1" x14ac:dyDescent="0.25">
      <c r="C968" s="8"/>
      <c r="BJ968" s="10"/>
      <c r="BX968" s="10"/>
      <c r="CE968" s="10"/>
      <c r="CL968" s="10"/>
      <c r="CS968" s="10"/>
      <c r="CZ968" s="10"/>
      <c r="DG968" s="10"/>
      <c r="DN968" s="10"/>
      <c r="DU968" s="10"/>
    </row>
    <row r="969" spans="3:125" ht="15.75" customHeight="1" x14ac:dyDescent="0.25">
      <c r="C969" s="8"/>
      <c r="BJ969" s="10"/>
      <c r="BX969" s="10"/>
      <c r="CE969" s="10"/>
      <c r="CL969" s="10"/>
      <c r="CS969" s="10"/>
      <c r="CZ969" s="10"/>
      <c r="DG969" s="10"/>
      <c r="DN969" s="10"/>
      <c r="DU969" s="10"/>
    </row>
    <row r="970" spans="3:125" ht="15.75" customHeight="1" x14ac:dyDescent="0.25">
      <c r="C970" s="8"/>
      <c r="BJ970" s="10"/>
      <c r="BX970" s="10"/>
      <c r="CE970" s="10"/>
      <c r="CL970" s="10"/>
      <c r="CS970" s="10"/>
      <c r="CZ970" s="10"/>
      <c r="DG970" s="10"/>
      <c r="DN970" s="10"/>
      <c r="DU970" s="10"/>
    </row>
    <row r="971" spans="3:125" ht="15.75" customHeight="1" x14ac:dyDescent="0.25">
      <c r="C971" s="8"/>
      <c r="BJ971" s="10"/>
      <c r="BX971" s="10"/>
      <c r="CE971" s="10"/>
      <c r="CL971" s="10"/>
      <c r="CS971" s="10"/>
      <c r="CZ971" s="10"/>
      <c r="DG971" s="10"/>
      <c r="DN971" s="10"/>
      <c r="DU971" s="10"/>
    </row>
    <row r="972" spans="3:125" ht="15.75" customHeight="1" x14ac:dyDescent="0.25">
      <c r="C972" s="8"/>
      <c r="BJ972" s="10"/>
      <c r="BX972" s="10"/>
      <c r="CE972" s="10"/>
      <c r="CL972" s="10"/>
      <c r="CS972" s="10"/>
      <c r="CZ972" s="10"/>
      <c r="DG972" s="10"/>
      <c r="DN972" s="10"/>
      <c r="DU972" s="10"/>
    </row>
    <row r="973" spans="3:125" ht="15.75" customHeight="1" x14ac:dyDescent="0.25">
      <c r="C973" s="8"/>
      <c r="BJ973" s="10"/>
      <c r="BX973" s="10"/>
      <c r="CE973" s="10"/>
      <c r="CL973" s="10"/>
      <c r="CS973" s="10"/>
      <c r="CZ973" s="10"/>
      <c r="DG973" s="10"/>
      <c r="DN973" s="10"/>
      <c r="DU973" s="10"/>
    </row>
    <row r="974" spans="3:125" ht="15.75" customHeight="1" x14ac:dyDescent="0.25">
      <c r="C974" s="8"/>
      <c r="BJ974" s="10"/>
      <c r="BX974" s="10"/>
      <c r="CE974" s="10"/>
      <c r="CL974" s="10"/>
      <c r="CS974" s="10"/>
      <c r="CZ974" s="10"/>
      <c r="DG974" s="10"/>
      <c r="DN974" s="10"/>
      <c r="DU974" s="10"/>
    </row>
    <row r="975" spans="3:125" ht="15.75" customHeight="1" x14ac:dyDescent="0.25">
      <c r="C975" s="8"/>
      <c r="BJ975" s="10"/>
      <c r="BX975" s="10"/>
      <c r="CE975" s="10"/>
      <c r="CL975" s="10"/>
      <c r="CS975" s="10"/>
      <c r="CZ975" s="10"/>
      <c r="DG975" s="10"/>
      <c r="DN975" s="10"/>
      <c r="DU975" s="10"/>
    </row>
    <row r="976" spans="3:125" ht="15.75" customHeight="1" x14ac:dyDescent="0.25">
      <c r="C976" s="8"/>
      <c r="BJ976" s="10"/>
      <c r="BX976" s="10"/>
      <c r="CE976" s="10"/>
      <c r="CL976" s="10"/>
      <c r="CS976" s="10"/>
      <c r="CZ976" s="10"/>
      <c r="DG976" s="10"/>
      <c r="DN976" s="10"/>
      <c r="DU976" s="10"/>
    </row>
    <row r="977" spans="3:125" ht="15.75" customHeight="1" x14ac:dyDescent="0.25">
      <c r="C977" s="8"/>
      <c r="BJ977" s="10"/>
      <c r="BX977" s="10"/>
      <c r="CE977" s="10"/>
      <c r="CL977" s="10"/>
      <c r="CS977" s="10"/>
      <c r="CZ977" s="10"/>
      <c r="DG977" s="10"/>
      <c r="DN977" s="10"/>
      <c r="DU977" s="10"/>
    </row>
    <row r="978" spans="3:125" ht="15.75" customHeight="1" x14ac:dyDescent="0.25">
      <c r="C978" s="8"/>
      <c r="BJ978" s="10"/>
      <c r="BX978" s="10"/>
      <c r="CE978" s="10"/>
      <c r="CL978" s="10"/>
      <c r="CS978" s="10"/>
      <c r="CZ978" s="10"/>
      <c r="DG978" s="10"/>
      <c r="DN978" s="10"/>
      <c r="DU978" s="10"/>
    </row>
    <row r="979" spans="3:125" ht="15.75" customHeight="1" x14ac:dyDescent="0.25">
      <c r="C979" s="8"/>
      <c r="BJ979" s="10"/>
      <c r="BX979" s="10"/>
      <c r="CE979" s="10"/>
      <c r="CL979" s="10"/>
      <c r="CS979" s="10"/>
      <c r="CZ979" s="10"/>
      <c r="DG979" s="10"/>
      <c r="DN979" s="10"/>
      <c r="DU979" s="10"/>
    </row>
    <row r="980" spans="3:125" ht="15.75" customHeight="1" x14ac:dyDescent="0.25">
      <c r="C980" s="8"/>
      <c r="BJ980" s="10"/>
      <c r="BX980" s="10"/>
      <c r="CE980" s="10"/>
      <c r="CL980" s="10"/>
      <c r="CS980" s="10"/>
      <c r="CZ980" s="10"/>
      <c r="DG980" s="10"/>
      <c r="DN980" s="10"/>
      <c r="DU980" s="10"/>
    </row>
    <row r="981" spans="3:125" ht="15.75" customHeight="1" x14ac:dyDescent="0.25">
      <c r="C981" s="8"/>
      <c r="BJ981" s="10"/>
      <c r="BX981" s="10"/>
      <c r="CE981" s="10"/>
      <c r="CL981" s="10"/>
      <c r="CS981" s="10"/>
      <c r="CZ981" s="10"/>
      <c r="DG981" s="10"/>
      <c r="DN981" s="10"/>
      <c r="DU981" s="10"/>
    </row>
    <row r="982" spans="3:125" ht="15.75" customHeight="1" x14ac:dyDescent="0.25">
      <c r="C982" s="8"/>
      <c r="BJ982" s="10"/>
      <c r="BX982" s="10"/>
      <c r="CE982" s="10"/>
      <c r="CL982" s="10"/>
      <c r="CS982" s="10"/>
      <c r="CZ982" s="10"/>
      <c r="DG982" s="10"/>
      <c r="DN982" s="10"/>
      <c r="DU982" s="10"/>
    </row>
    <row r="983" spans="3:125" ht="15.75" customHeight="1" x14ac:dyDescent="0.25">
      <c r="C983" s="8"/>
      <c r="BJ983" s="10"/>
      <c r="BX983" s="10"/>
      <c r="CE983" s="10"/>
      <c r="CL983" s="10"/>
      <c r="CS983" s="10"/>
      <c r="CZ983" s="10"/>
      <c r="DG983" s="10"/>
      <c r="DN983" s="10"/>
      <c r="DU983" s="10"/>
    </row>
    <row r="984" spans="3:125" ht="15.75" customHeight="1" x14ac:dyDescent="0.25">
      <c r="C984" s="8"/>
      <c r="BJ984" s="10"/>
      <c r="BX984" s="10"/>
      <c r="CE984" s="10"/>
      <c r="CL984" s="10"/>
      <c r="CS984" s="10"/>
      <c r="CZ984" s="10"/>
      <c r="DG984" s="10"/>
      <c r="DN984" s="10"/>
      <c r="DU984" s="10"/>
    </row>
    <row r="985" spans="3:125" ht="15.75" customHeight="1" x14ac:dyDescent="0.25">
      <c r="C985" s="8"/>
      <c r="BJ985" s="10"/>
      <c r="BX985" s="10"/>
      <c r="CE985" s="10"/>
      <c r="CL985" s="10"/>
      <c r="CS985" s="10"/>
      <c r="CZ985" s="10"/>
      <c r="DG985" s="10"/>
      <c r="DN985" s="10"/>
      <c r="DU985" s="10"/>
    </row>
    <row r="986" spans="3:125" ht="15.75" customHeight="1" x14ac:dyDescent="0.25">
      <c r="C986" s="8"/>
      <c r="BJ986" s="10"/>
      <c r="BX986" s="10"/>
      <c r="CE986" s="10"/>
      <c r="CL986" s="10"/>
      <c r="CS986" s="10"/>
      <c r="CZ986" s="10"/>
      <c r="DG986" s="10"/>
      <c r="DN986" s="10"/>
      <c r="DU986" s="10"/>
    </row>
    <row r="987" spans="3:125" ht="15.75" customHeight="1" x14ac:dyDescent="0.25">
      <c r="C987" s="8"/>
      <c r="BJ987" s="10"/>
      <c r="BX987" s="10"/>
      <c r="CE987" s="10"/>
      <c r="CL987" s="10"/>
      <c r="CS987" s="10"/>
      <c r="CZ987" s="10"/>
      <c r="DG987" s="10"/>
      <c r="DN987" s="10"/>
      <c r="DU987" s="10"/>
    </row>
    <row r="988" spans="3:125" ht="15.75" customHeight="1" x14ac:dyDescent="0.25">
      <c r="C988" s="8"/>
      <c r="BJ988" s="10"/>
      <c r="BX988" s="10"/>
      <c r="CE988" s="10"/>
      <c r="CL988" s="10"/>
      <c r="CS988" s="10"/>
      <c r="CZ988" s="10"/>
      <c r="DG988" s="10"/>
      <c r="DN988" s="10"/>
      <c r="DU988" s="10"/>
    </row>
    <row r="989" spans="3:125" ht="15.75" customHeight="1" x14ac:dyDescent="0.25">
      <c r="C989" s="8"/>
      <c r="BJ989" s="10"/>
      <c r="BX989" s="10"/>
      <c r="CE989" s="10"/>
      <c r="CL989" s="10"/>
      <c r="CS989" s="10"/>
      <c r="CZ989" s="10"/>
      <c r="DG989" s="10"/>
      <c r="DN989" s="10"/>
      <c r="DU989" s="10"/>
    </row>
    <row r="990" spans="3:125" ht="15.75" customHeight="1" x14ac:dyDescent="0.25">
      <c r="C990" s="8"/>
      <c r="BJ990" s="10"/>
      <c r="BX990" s="10"/>
      <c r="CE990" s="10"/>
      <c r="CL990" s="10"/>
      <c r="CS990" s="10"/>
      <c r="CZ990" s="10"/>
      <c r="DG990" s="10"/>
      <c r="DN990" s="10"/>
      <c r="DU990" s="10"/>
    </row>
    <row r="991" spans="3:125" ht="15.75" customHeight="1" x14ac:dyDescent="0.25">
      <c r="C991" s="8"/>
      <c r="BJ991" s="10"/>
      <c r="BX991" s="10"/>
      <c r="CE991" s="10"/>
      <c r="CL991" s="10"/>
      <c r="CS991" s="10"/>
      <c r="CZ991" s="10"/>
      <c r="DG991" s="10"/>
      <c r="DN991" s="10"/>
      <c r="DU991" s="10"/>
    </row>
    <row r="992" spans="3:125" ht="15.75" customHeight="1" x14ac:dyDescent="0.25">
      <c r="C992" s="8"/>
      <c r="BJ992" s="10"/>
      <c r="BX992" s="10"/>
      <c r="CE992" s="10"/>
      <c r="CL992" s="10"/>
      <c r="CS992" s="10"/>
      <c r="CZ992" s="10"/>
      <c r="DG992" s="10"/>
      <c r="DN992" s="10"/>
      <c r="DU992" s="10"/>
    </row>
    <row r="993" spans="3:125" ht="15.75" customHeight="1" x14ac:dyDescent="0.25">
      <c r="C993" s="8"/>
      <c r="BJ993" s="10"/>
      <c r="BX993" s="10"/>
      <c r="CE993" s="10"/>
      <c r="CL993" s="10"/>
      <c r="CS993" s="10"/>
      <c r="CZ993" s="10"/>
      <c r="DG993" s="10"/>
      <c r="DN993" s="10"/>
      <c r="DU993" s="10"/>
    </row>
  </sheetData>
  <mergeCells count="18">
    <mergeCell ref="DV2:EA2"/>
    <mergeCell ref="BD2:BI2"/>
    <mergeCell ref="BK2:BP2"/>
    <mergeCell ref="BR2:BW2"/>
    <mergeCell ref="BY2:CD2"/>
    <mergeCell ref="CF2:CK2"/>
    <mergeCell ref="CM2:CR2"/>
    <mergeCell ref="CT2:CY2"/>
    <mergeCell ref="AP2:AU2"/>
    <mergeCell ref="AW2:BB2"/>
    <mergeCell ref="DA2:DF2"/>
    <mergeCell ref="DH2:DM2"/>
    <mergeCell ref="DO2:DT2"/>
    <mergeCell ref="I2:L2"/>
    <mergeCell ref="N2:S2"/>
    <mergeCell ref="U2:Z2"/>
    <mergeCell ref="AB2:AG2"/>
    <mergeCell ref="AI2:AN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27"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26"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25"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24"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23"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22"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21"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20"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9"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8" priority="11">
      <formula>IF(Q25&gt;=R25,IF(Q25="",FALSE,TRUE))</formula>
    </cfRule>
  </conditionalFormatting>
  <conditionalFormatting sqref="O20 V20 AC20 AJ20 AQ20 AX20 BE20 BL20 BS20 BZ20 CG20 CN20 CU20 DB20 DI20 DP20 DW20">
    <cfRule type="expression" dxfId="17" priority="12">
      <formula>OR(IF(O20&lt;P20,TRUE),IF(AND(P20="",O20&lt;&gt;""),TRUE))</formula>
    </cfRule>
  </conditionalFormatting>
  <conditionalFormatting sqref="O20 V20 AC20 AJ20 AQ20 AX20 BE20 BL20 BS20 BZ20 CG20 CN20 CU20 DB20 DI20 DP20 DW20">
    <cfRule type="expression" dxfId="16" priority="13">
      <formula>IF(O20&gt;=P20,IF(O20="",FALSE,TRUE))</formula>
    </cfRule>
  </conditionalFormatting>
  <conditionalFormatting sqref="Q20 X20 AE20 AL20 AS20 AZ20 BG20 BN20 BU20 CB20 CI20 CP20 CW20 DD20 DK20 DR20 DY20">
    <cfRule type="expression" dxfId="15" priority="14">
      <formula>OR(IF(Q20&lt;R20,TRUE),IF(AND(R20="",Q20&lt;&gt;""),TRUE))</formula>
    </cfRule>
  </conditionalFormatting>
  <conditionalFormatting sqref="Q20 X20 AE20 AL20 AS20 AZ20 BG20 BN20 BU20 CB20 CI20 CP20 CW20 DD20 DK20 DR20 DY20">
    <cfRule type="expression" dxfId="14"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3"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2"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count="1">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baseColWidth="10" defaultColWidth="11.25" defaultRowHeight="15" customHeight="1" x14ac:dyDescent="0.25"/>
  <cols>
    <col min="1" max="1" width="16.75" customWidth="1"/>
    <col min="2" max="2" width="19.125" customWidth="1"/>
    <col min="3" max="3" width="18.125" customWidth="1"/>
    <col min="4" max="4" width="19.5" customWidth="1"/>
    <col min="5" max="7" width="10.625" customWidth="1"/>
    <col min="8" max="8" width="15.125" customWidth="1"/>
    <col min="9" max="9" width="10.625" customWidth="1"/>
    <col min="10" max="10" width="42" customWidth="1"/>
    <col min="11" max="11" width="28.5" customWidth="1"/>
    <col min="12" max="26" width="10.625" customWidth="1"/>
  </cols>
  <sheetData>
    <row r="1" spans="1:11" ht="15.75" customHeight="1" x14ac:dyDescent="0.25">
      <c r="A1" s="26" t="s">
        <v>105</v>
      </c>
      <c r="B1" s="27" t="s">
        <v>106</v>
      </c>
      <c r="C1" s="27" t="s">
        <v>107</v>
      </c>
      <c r="D1" s="27" t="s">
        <v>108</v>
      </c>
      <c r="E1" s="28" t="s">
        <v>109</v>
      </c>
      <c r="F1" s="28" t="s">
        <v>110</v>
      </c>
      <c r="G1" s="28" t="s">
        <v>111</v>
      </c>
      <c r="H1" s="28" t="s">
        <v>112</v>
      </c>
      <c r="I1" s="28" t="s">
        <v>113</v>
      </c>
      <c r="J1" s="28" t="s">
        <v>114</v>
      </c>
      <c r="K1" s="28" t="s">
        <v>115</v>
      </c>
    </row>
    <row r="2" spans="1:11" ht="15.75" customHeight="1" x14ac:dyDescent="0.25">
      <c r="A2" s="29">
        <v>44118</v>
      </c>
      <c r="B2" s="26"/>
      <c r="C2" s="26"/>
      <c r="D2" s="30">
        <v>1</v>
      </c>
      <c r="E2" s="31"/>
      <c r="F2" s="31"/>
      <c r="G2" s="31"/>
      <c r="H2" s="31"/>
      <c r="I2" s="31"/>
      <c r="J2" s="31"/>
      <c r="K2" s="31"/>
    </row>
    <row r="3" spans="1:11" ht="15.75" customHeight="1" x14ac:dyDescent="0.25">
      <c r="A3" s="29">
        <v>44119</v>
      </c>
      <c r="B3" s="26"/>
      <c r="C3" s="26"/>
      <c r="D3" s="26"/>
      <c r="E3" s="31"/>
      <c r="F3" s="31"/>
      <c r="G3" s="31"/>
      <c r="H3" s="31"/>
      <c r="I3" s="31"/>
      <c r="J3" s="31"/>
      <c r="K3" s="31"/>
    </row>
    <row r="4" spans="1:11" ht="15.75" customHeight="1" x14ac:dyDescent="0.25">
      <c r="A4" s="29">
        <v>44120</v>
      </c>
      <c r="B4" s="26"/>
      <c r="C4" s="26"/>
      <c r="D4" s="26"/>
      <c r="E4" s="31"/>
      <c r="F4" s="31"/>
      <c r="G4" s="31"/>
      <c r="H4" s="31"/>
      <c r="I4" s="31"/>
      <c r="J4" s="31"/>
      <c r="K4" s="31"/>
    </row>
    <row r="5" spans="1:11" ht="15.75" customHeight="1" x14ac:dyDescent="0.25">
      <c r="A5" s="29">
        <v>44121</v>
      </c>
      <c r="B5" s="26"/>
      <c r="C5" s="26"/>
      <c r="D5" s="26"/>
      <c r="E5" s="31"/>
      <c r="F5" s="31"/>
      <c r="G5" s="31"/>
      <c r="H5" s="31"/>
      <c r="I5" s="31"/>
      <c r="J5" s="31"/>
      <c r="K5" s="31"/>
    </row>
    <row r="6" spans="1:11" ht="15.75" customHeight="1" x14ac:dyDescent="0.25">
      <c r="A6" s="29">
        <v>44122</v>
      </c>
      <c r="B6" s="26"/>
      <c r="C6" s="26"/>
      <c r="D6" s="26"/>
      <c r="E6" s="31"/>
      <c r="F6" s="31"/>
      <c r="G6" s="31"/>
      <c r="H6" s="31"/>
      <c r="I6" s="31"/>
      <c r="J6" s="31"/>
      <c r="K6" s="31"/>
    </row>
    <row r="7" spans="1:11" ht="15.75" customHeight="1" x14ac:dyDescent="0.25">
      <c r="A7" s="29">
        <v>44123</v>
      </c>
      <c r="B7" s="26"/>
      <c r="C7" s="26"/>
      <c r="D7" s="26"/>
      <c r="E7" s="31"/>
      <c r="F7" s="31"/>
      <c r="G7" s="31"/>
      <c r="H7" s="31"/>
      <c r="I7" s="31"/>
      <c r="J7" s="31"/>
      <c r="K7" s="31"/>
    </row>
    <row r="8" spans="1:11" ht="15.75" customHeight="1" x14ac:dyDescent="0.25">
      <c r="A8" s="29">
        <v>44124</v>
      </c>
      <c r="B8" s="26"/>
      <c r="C8" s="26"/>
      <c r="D8" s="26"/>
      <c r="E8" s="31"/>
      <c r="F8" s="31"/>
      <c r="G8" s="31"/>
      <c r="H8" s="31"/>
      <c r="I8" s="31"/>
      <c r="J8" s="31"/>
      <c r="K8" s="31"/>
    </row>
    <row r="9" spans="1:11" ht="15.75" customHeight="1" x14ac:dyDescent="0.25">
      <c r="A9" s="29">
        <v>44125</v>
      </c>
      <c r="B9" s="26"/>
      <c r="C9" s="26"/>
      <c r="D9" s="26"/>
      <c r="E9" s="31"/>
      <c r="F9" s="31"/>
      <c r="G9" s="31"/>
      <c r="H9" s="31"/>
      <c r="I9" s="31"/>
      <c r="J9" s="31"/>
      <c r="K9" s="31"/>
    </row>
    <row r="10" spans="1:11" ht="15.75" customHeight="1" x14ac:dyDescent="0.25">
      <c r="A10" s="29">
        <v>44126</v>
      </c>
      <c r="B10" s="26"/>
      <c r="C10" s="26"/>
      <c r="D10" s="26"/>
      <c r="E10" s="31"/>
      <c r="F10" s="31"/>
      <c r="G10" s="31"/>
      <c r="H10" s="31"/>
      <c r="I10" s="31"/>
      <c r="J10" s="31"/>
      <c r="K10" s="31"/>
    </row>
    <row r="11" spans="1:11" ht="15.75" customHeight="1" x14ac:dyDescent="0.25">
      <c r="A11" s="29">
        <v>44127</v>
      </c>
      <c r="B11" s="26"/>
      <c r="C11" s="26"/>
      <c r="D11" s="26"/>
      <c r="E11" s="31"/>
      <c r="F11" s="31"/>
      <c r="G11" s="31"/>
      <c r="H11" s="31"/>
      <c r="I11" s="31"/>
      <c r="J11" s="31"/>
      <c r="K11" s="31"/>
    </row>
    <row r="12" spans="1:11" ht="15.75" customHeight="1" x14ac:dyDescent="0.25">
      <c r="A12" s="29">
        <v>44128</v>
      </c>
      <c r="B12" s="26"/>
      <c r="C12" s="26"/>
      <c r="D12" s="26"/>
      <c r="E12" s="31"/>
      <c r="F12" s="31"/>
      <c r="G12" s="31"/>
      <c r="H12" s="31"/>
      <c r="I12" s="31"/>
      <c r="J12" s="31"/>
      <c r="K12" s="31"/>
    </row>
    <row r="13" spans="1:11" ht="15.75" customHeight="1" x14ac:dyDescent="0.25">
      <c r="A13" s="29">
        <v>44129</v>
      </c>
      <c r="B13" s="26"/>
      <c r="C13" s="26"/>
      <c r="D13" s="26"/>
      <c r="E13" s="31"/>
      <c r="F13" s="31"/>
      <c r="G13" s="31"/>
      <c r="H13" s="31"/>
      <c r="I13" s="31"/>
      <c r="J13" s="31"/>
      <c r="K13" s="31"/>
    </row>
    <row r="14" spans="1:11" ht="15.75" customHeight="1" x14ac:dyDescent="0.25">
      <c r="A14" s="29">
        <v>44130</v>
      </c>
      <c r="B14" s="26"/>
      <c r="C14" s="26"/>
      <c r="D14" s="26"/>
      <c r="E14" s="31"/>
      <c r="F14" s="31"/>
      <c r="G14" s="31"/>
      <c r="H14" s="31"/>
      <c r="I14" s="31"/>
      <c r="J14" s="31"/>
      <c r="K14" s="31"/>
    </row>
    <row r="15" spans="1:11" ht="15.75" customHeight="1" x14ac:dyDescent="0.25">
      <c r="A15" s="29">
        <v>44131</v>
      </c>
      <c r="B15" s="26"/>
      <c r="C15" s="26"/>
      <c r="D15" s="26"/>
      <c r="E15" s="31"/>
      <c r="F15" s="31"/>
      <c r="G15" s="31"/>
      <c r="H15" s="31"/>
      <c r="I15" s="31"/>
      <c r="J15" s="31"/>
      <c r="K15" s="31"/>
    </row>
    <row r="16" spans="1:11" ht="15.75" customHeight="1" x14ac:dyDescent="0.25">
      <c r="A16" s="29">
        <v>44132</v>
      </c>
      <c r="B16" s="26"/>
      <c r="C16" s="26"/>
      <c r="D16" s="26"/>
      <c r="E16" s="31"/>
      <c r="F16" s="31"/>
      <c r="G16" s="31"/>
      <c r="H16" s="31"/>
      <c r="I16" s="31"/>
      <c r="J16" s="31"/>
      <c r="K16" s="31"/>
    </row>
    <row r="17" spans="1:11" ht="15.75" customHeight="1" x14ac:dyDescent="0.25">
      <c r="A17" s="29">
        <v>44133</v>
      </c>
      <c r="B17" s="26"/>
      <c r="C17" s="26"/>
      <c r="D17" s="26"/>
      <c r="E17" s="31"/>
      <c r="F17" s="31"/>
      <c r="G17" s="31"/>
      <c r="H17" s="31"/>
      <c r="I17" s="31"/>
      <c r="J17" s="31"/>
      <c r="K17" s="31"/>
    </row>
    <row r="18" spans="1:11" ht="15.75" customHeight="1" x14ac:dyDescent="0.25">
      <c r="A18" s="29">
        <v>44134</v>
      </c>
      <c r="B18" s="26"/>
      <c r="C18" s="26"/>
      <c r="D18" s="26"/>
      <c r="E18" s="31"/>
      <c r="F18" s="31"/>
      <c r="G18" s="31"/>
      <c r="H18" s="31"/>
      <c r="I18" s="31"/>
      <c r="J18" s="31"/>
      <c r="K18" s="31"/>
    </row>
    <row r="19" spans="1:11" ht="15.75" customHeight="1" x14ac:dyDescent="0.25">
      <c r="A19" s="29">
        <v>44135</v>
      </c>
      <c r="B19" s="26"/>
      <c r="C19" s="26"/>
      <c r="D19" s="26"/>
      <c r="E19" s="31"/>
      <c r="F19" s="31"/>
      <c r="G19" s="31"/>
      <c r="H19" s="31"/>
      <c r="I19" s="31"/>
      <c r="J19" s="31"/>
      <c r="K19" s="31"/>
    </row>
    <row r="20" spans="1:11" ht="15.75" customHeight="1" x14ac:dyDescent="0.25">
      <c r="A20" s="29">
        <v>44136</v>
      </c>
      <c r="B20" s="26"/>
      <c r="C20" s="26"/>
      <c r="D20" s="26"/>
      <c r="E20" s="31"/>
      <c r="F20" s="31"/>
      <c r="G20" s="31"/>
      <c r="H20" s="31"/>
      <c r="I20" s="31"/>
      <c r="J20" s="31"/>
      <c r="K20" s="31"/>
    </row>
    <row r="21" spans="1:11" ht="15.75" customHeight="1" x14ac:dyDescent="0.25">
      <c r="A21" s="29">
        <v>44137</v>
      </c>
      <c r="B21" s="26"/>
      <c r="C21" s="26"/>
      <c r="D21" s="26"/>
      <c r="E21" s="31"/>
      <c r="F21" s="31"/>
      <c r="G21" s="31"/>
      <c r="H21" s="31"/>
      <c r="I21" s="31"/>
      <c r="J21" s="31"/>
      <c r="K21" s="31"/>
    </row>
    <row r="22" spans="1:11" ht="15.75" customHeight="1" x14ac:dyDescent="0.25">
      <c r="A22" s="29">
        <v>44138</v>
      </c>
      <c r="B22" s="26"/>
      <c r="C22" s="26"/>
      <c r="D22" s="26"/>
      <c r="E22" s="31"/>
      <c r="F22" s="31"/>
      <c r="G22" s="31"/>
      <c r="H22" s="31"/>
      <c r="I22" s="31"/>
      <c r="J22" s="31"/>
      <c r="K22" s="31"/>
    </row>
    <row r="23" spans="1:11" ht="15.75" customHeight="1" x14ac:dyDescent="0.25">
      <c r="A23" s="29">
        <v>44139</v>
      </c>
      <c r="B23" s="26"/>
      <c r="C23" s="26"/>
      <c r="D23" s="26"/>
      <c r="E23" s="31"/>
      <c r="F23" s="31"/>
      <c r="G23" s="31"/>
      <c r="H23" s="31"/>
      <c r="I23" s="31"/>
      <c r="J23" s="31"/>
      <c r="K23" s="31"/>
    </row>
    <row r="24" spans="1:11" ht="15.75" customHeight="1" x14ac:dyDescent="0.25">
      <c r="A24" s="29">
        <v>44140</v>
      </c>
      <c r="B24" s="26"/>
      <c r="C24" s="26"/>
      <c r="D24" s="26"/>
      <c r="E24" s="31"/>
      <c r="F24" s="31"/>
      <c r="G24" s="31"/>
      <c r="H24" s="31"/>
      <c r="I24" s="31"/>
      <c r="J24" s="31"/>
      <c r="K24" s="31"/>
    </row>
    <row r="25" spans="1:11" ht="15.75" customHeight="1" x14ac:dyDescent="0.25">
      <c r="A25" s="29">
        <v>44141</v>
      </c>
      <c r="B25" s="26"/>
      <c r="C25" s="26"/>
      <c r="D25" s="26"/>
      <c r="E25" s="31"/>
      <c r="F25" s="31"/>
      <c r="G25" s="31"/>
      <c r="H25" s="31"/>
      <c r="I25" s="31"/>
      <c r="J25" s="31"/>
      <c r="K25" s="31"/>
    </row>
    <row r="26" spans="1:11" ht="15.75" customHeight="1" x14ac:dyDescent="0.25">
      <c r="A26" s="29">
        <v>44142</v>
      </c>
      <c r="B26" s="26"/>
      <c r="C26" s="26"/>
      <c r="D26" s="26"/>
      <c r="E26" s="31"/>
      <c r="F26" s="31"/>
      <c r="G26" s="31"/>
      <c r="H26" s="31"/>
      <c r="I26" s="31"/>
      <c r="J26" s="31"/>
      <c r="K26" s="31"/>
    </row>
    <row r="27" spans="1:11" ht="15.75" customHeight="1" x14ac:dyDescent="0.25">
      <c r="A27" s="29">
        <v>44143</v>
      </c>
      <c r="B27" s="26"/>
      <c r="C27" s="26"/>
      <c r="D27" s="26"/>
      <c r="E27" s="31"/>
      <c r="F27" s="31"/>
      <c r="G27" s="31"/>
      <c r="H27" s="31"/>
      <c r="I27" s="31"/>
      <c r="J27" s="31"/>
      <c r="K27" s="31"/>
    </row>
    <row r="28" spans="1:11" ht="15.75" customHeight="1" x14ac:dyDescent="0.25">
      <c r="A28" s="29">
        <v>44144</v>
      </c>
      <c r="B28" s="26"/>
      <c r="C28" s="26"/>
      <c r="D28" s="26"/>
      <c r="E28" s="31"/>
      <c r="F28" s="31"/>
      <c r="G28" s="31"/>
      <c r="H28" s="31"/>
      <c r="I28" s="31"/>
      <c r="J28" s="31"/>
      <c r="K28" s="31"/>
    </row>
    <row r="29" spans="1:11" ht="15.75" customHeight="1" x14ac:dyDescent="0.25">
      <c r="A29" s="29">
        <v>44145</v>
      </c>
      <c r="B29" s="26"/>
      <c r="C29" s="26"/>
      <c r="D29" s="26"/>
      <c r="E29" s="31"/>
      <c r="F29" s="31"/>
      <c r="G29" s="31"/>
      <c r="H29" s="31"/>
      <c r="I29" s="31"/>
      <c r="J29" s="31"/>
      <c r="K29" s="31"/>
    </row>
    <row r="30" spans="1:11" ht="15.75" customHeight="1" x14ac:dyDescent="0.25">
      <c r="A30" s="29">
        <v>44146</v>
      </c>
      <c r="B30" s="26"/>
      <c r="C30" s="26"/>
      <c r="D30" s="26"/>
      <c r="E30" s="31"/>
      <c r="F30" s="31"/>
      <c r="G30" s="31"/>
      <c r="H30" s="31"/>
      <c r="I30" s="31"/>
      <c r="J30" s="31"/>
      <c r="K30" s="31"/>
    </row>
    <row r="31" spans="1:11" ht="15.75" customHeight="1" x14ac:dyDescent="0.25">
      <c r="A31" s="29">
        <v>44147</v>
      </c>
      <c r="B31" s="26"/>
      <c r="C31" s="26"/>
      <c r="D31" s="26"/>
      <c r="E31" s="31"/>
      <c r="F31" s="31"/>
      <c r="G31" s="31"/>
      <c r="H31" s="31"/>
      <c r="I31" s="31"/>
      <c r="J31" s="31"/>
      <c r="K31" s="31"/>
    </row>
    <row r="32" spans="1:11" ht="15.75" customHeight="1" x14ac:dyDescent="0.25">
      <c r="A32" s="29">
        <v>44148</v>
      </c>
      <c r="B32" s="26"/>
      <c r="C32" s="26"/>
      <c r="D32" s="26"/>
      <c r="E32" s="31"/>
      <c r="F32" s="31"/>
      <c r="G32" s="31"/>
      <c r="H32" s="31"/>
      <c r="I32" s="31"/>
      <c r="J32" s="31"/>
      <c r="K32" s="31"/>
    </row>
    <row r="33" spans="1:11" ht="15.75" customHeight="1" x14ac:dyDescent="0.25">
      <c r="A33" s="29">
        <v>44149</v>
      </c>
      <c r="B33" s="26"/>
      <c r="C33" s="26"/>
      <c r="D33" s="26"/>
      <c r="E33" s="31"/>
      <c r="F33" s="31"/>
      <c r="G33" s="31"/>
      <c r="H33" s="31"/>
      <c r="I33" s="31"/>
      <c r="J33" s="31"/>
      <c r="K33" s="31"/>
    </row>
    <row r="34" spans="1:11" ht="15.75" customHeight="1" x14ac:dyDescent="0.25">
      <c r="A34" s="29">
        <v>44150</v>
      </c>
      <c r="B34" s="26"/>
      <c r="C34" s="26"/>
      <c r="D34" s="26"/>
      <c r="E34" s="31"/>
      <c r="F34" s="31"/>
      <c r="G34" s="31"/>
      <c r="H34" s="31"/>
      <c r="I34" s="31"/>
      <c r="J34" s="31"/>
      <c r="K34" s="31"/>
    </row>
    <row r="35" spans="1:11" ht="15.75" customHeight="1" x14ac:dyDescent="0.25">
      <c r="A35" s="29">
        <v>44151</v>
      </c>
      <c r="B35" s="26"/>
      <c r="C35" s="26"/>
      <c r="D35" s="26"/>
      <c r="E35" s="31"/>
      <c r="F35" s="31"/>
      <c r="G35" s="31"/>
      <c r="H35" s="31"/>
      <c r="I35" s="31"/>
      <c r="J35" s="31"/>
      <c r="K35" s="31"/>
    </row>
    <row r="36" spans="1:11" ht="15.75" customHeight="1" x14ac:dyDescent="0.25">
      <c r="A36" s="29">
        <v>44152</v>
      </c>
      <c r="B36" s="26"/>
      <c r="C36" s="26"/>
      <c r="D36" s="26"/>
      <c r="E36" s="31"/>
      <c r="F36" s="31"/>
      <c r="G36" s="31"/>
      <c r="H36" s="31"/>
      <c r="I36" s="31"/>
      <c r="J36" s="31"/>
      <c r="K36" s="31"/>
    </row>
    <row r="37" spans="1:11" ht="15.75" customHeight="1" x14ac:dyDescent="0.25">
      <c r="A37" s="29">
        <v>44153</v>
      </c>
      <c r="B37" s="26"/>
      <c r="C37" s="26"/>
      <c r="D37" s="26"/>
      <c r="E37" s="31"/>
      <c r="F37" s="31"/>
      <c r="G37" s="31"/>
      <c r="H37" s="31"/>
      <c r="I37" s="31"/>
      <c r="J37" s="31"/>
      <c r="K37" s="31"/>
    </row>
    <row r="38" spans="1:11" ht="15.75" customHeight="1" x14ac:dyDescent="0.25">
      <c r="A38" s="29">
        <v>44154</v>
      </c>
      <c r="B38" s="26"/>
      <c r="C38" s="26"/>
      <c r="D38" s="26"/>
      <c r="E38" s="31"/>
      <c r="F38" s="31"/>
      <c r="G38" s="31"/>
      <c r="H38" s="31"/>
      <c r="I38" s="31"/>
      <c r="J38" s="31"/>
      <c r="K38" s="31"/>
    </row>
    <row r="39" spans="1:11" ht="15.75" customHeight="1" x14ac:dyDescent="0.25">
      <c r="A39" s="29">
        <v>44155</v>
      </c>
      <c r="B39" s="26"/>
      <c r="C39" s="26"/>
      <c r="D39" s="26"/>
      <c r="E39" s="31"/>
      <c r="F39" s="31"/>
      <c r="G39" s="31"/>
      <c r="H39" s="31"/>
      <c r="I39" s="31"/>
      <c r="J39" s="31"/>
      <c r="K39" s="31"/>
    </row>
    <row r="40" spans="1:11" ht="15.75" customHeight="1" x14ac:dyDescent="0.25">
      <c r="A40" s="29">
        <v>44156</v>
      </c>
      <c r="B40" s="26"/>
      <c r="C40" s="26"/>
      <c r="D40" s="26"/>
      <c r="E40" s="31"/>
      <c r="F40" s="31"/>
      <c r="G40" s="31"/>
      <c r="H40" s="31"/>
      <c r="I40" s="31"/>
      <c r="J40" s="31"/>
      <c r="K40" s="31"/>
    </row>
    <row r="41" spans="1:11" ht="15.75" customHeight="1" x14ac:dyDescent="0.25">
      <c r="A41" s="29">
        <v>44157</v>
      </c>
      <c r="B41" s="26"/>
      <c r="C41" s="26"/>
      <c r="D41" s="26"/>
      <c r="E41" s="31"/>
      <c r="F41" s="31"/>
      <c r="G41" s="31"/>
      <c r="H41" s="31"/>
      <c r="I41" s="31"/>
      <c r="J41" s="31"/>
      <c r="K41" s="31"/>
    </row>
    <row r="42" spans="1:11" ht="15.75" customHeight="1" x14ac:dyDescent="0.25">
      <c r="A42" s="29">
        <v>44158</v>
      </c>
      <c r="B42" s="26"/>
      <c r="C42" s="26"/>
      <c r="D42" s="26"/>
      <c r="E42" s="31"/>
      <c r="F42" s="31"/>
      <c r="G42" s="31"/>
      <c r="H42" s="31"/>
      <c r="I42" s="31"/>
      <c r="J42" s="31"/>
      <c r="K42" s="31"/>
    </row>
    <row r="43" spans="1:11" ht="15.75" customHeight="1" x14ac:dyDescent="0.25">
      <c r="A43" s="29">
        <v>44159</v>
      </c>
      <c r="B43" s="26"/>
      <c r="C43" s="26"/>
      <c r="D43" s="26"/>
      <c r="E43" s="31"/>
      <c r="F43" s="31"/>
      <c r="G43" s="31"/>
      <c r="H43" s="31"/>
      <c r="I43" s="31"/>
      <c r="J43" s="31"/>
      <c r="K43" s="31"/>
    </row>
    <row r="44" spans="1:11" ht="15.75" customHeight="1" x14ac:dyDescent="0.25">
      <c r="A44" s="29">
        <v>44160</v>
      </c>
      <c r="B44" s="26"/>
      <c r="C44" s="26"/>
      <c r="D44" s="26"/>
      <c r="E44" s="31"/>
      <c r="F44" s="31"/>
      <c r="G44" s="31"/>
      <c r="H44" s="31"/>
      <c r="I44" s="31"/>
      <c r="J44" s="31"/>
      <c r="K44" s="31"/>
    </row>
    <row r="45" spans="1:11" ht="15.75" customHeight="1" x14ac:dyDescent="0.25">
      <c r="A45" s="29">
        <v>44161</v>
      </c>
      <c r="B45" s="26"/>
      <c r="C45" s="26"/>
      <c r="D45" s="26"/>
      <c r="E45" s="31"/>
      <c r="F45" s="31"/>
      <c r="G45" s="31"/>
      <c r="H45" s="31"/>
      <c r="I45" s="31"/>
      <c r="J45" s="31"/>
      <c r="K45" s="31"/>
    </row>
    <row r="46" spans="1:11" ht="15.75" customHeight="1" x14ac:dyDescent="0.25">
      <c r="A46" s="29">
        <v>44162</v>
      </c>
      <c r="B46" s="26"/>
      <c r="C46" s="26"/>
      <c r="D46" s="26"/>
      <c r="E46" s="31"/>
      <c r="F46" s="31"/>
      <c r="G46" s="31"/>
      <c r="H46" s="31"/>
      <c r="I46" s="31"/>
      <c r="J46" s="31"/>
      <c r="K46" s="31"/>
    </row>
    <row r="47" spans="1:11" ht="15.75" customHeight="1" x14ac:dyDescent="0.25">
      <c r="A47" s="19"/>
      <c r="B47" s="19"/>
      <c r="C47" s="19"/>
      <c r="D47" s="19"/>
    </row>
    <row r="48" spans="1:11" ht="15.75" customHeight="1" x14ac:dyDescent="0.25">
      <c r="A48" s="19"/>
      <c r="B48" s="19"/>
      <c r="C48" s="19"/>
      <c r="D48" s="19"/>
    </row>
    <row r="49" spans="1:4" ht="15.75" customHeight="1" x14ac:dyDescent="0.25">
      <c r="A49" s="19"/>
      <c r="B49" s="19"/>
      <c r="C49" s="19"/>
      <c r="D49" s="19"/>
    </row>
    <row r="50" spans="1:4" ht="15.75" customHeight="1" x14ac:dyDescent="0.25">
      <c r="A50" s="19"/>
      <c r="B50" s="19"/>
      <c r="C50" s="19"/>
      <c r="D50" s="19"/>
    </row>
    <row r="51" spans="1:4" ht="15.75" customHeight="1" x14ac:dyDescent="0.25">
      <c r="A51" s="19"/>
      <c r="B51" s="19"/>
      <c r="C51" s="19"/>
      <c r="D51" s="19"/>
    </row>
    <row r="52" spans="1:4" ht="15.75" customHeight="1" x14ac:dyDescent="0.25">
      <c r="A52" s="19"/>
      <c r="B52" s="19"/>
      <c r="C52" s="19"/>
      <c r="D52" s="19"/>
    </row>
    <row r="53" spans="1:4" ht="15.75" customHeight="1" x14ac:dyDescent="0.25">
      <c r="A53" s="19"/>
      <c r="B53" s="19"/>
      <c r="C53" s="19"/>
      <c r="D53" s="19"/>
    </row>
    <row r="54" spans="1:4" ht="15.75" customHeight="1" x14ac:dyDescent="0.25">
      <c r="A54" s="19"/>
      <c r="B54" s="19"/>
      <c r="C54" s="19"/>
      <c r="D54" s="19"/>
    </row>
    <row r="55" spans="1:4" ht="15.75" customHeight="1" x14ac:dyDescent="0.25">
      <c r="A55" s="19"/>
      <c r="B55" s="19"/>
      <c r="C55" s="19"/>
      <c r="D55" s="19"/>
    </row>
    <row r="56" spans="1:4" ht="15.75" customHeight="1" x14ac:dyDescent="0.25">
      <c r="A56" s="19"/>
      <c r="B56" s="19"/>
      <c r="C56" s="19"/>
      <c r="D56" s="19"/>
    </row>
    <row r="57" spans="1:4" ht="15.75" customHeight="1" x14ac:dyDescent="0.25">
      <c r="A57" s="19"/>
      <c r="B57" s="19"/>
      <c r="C57" s="19"/>
      <c r="D57" s="19"/>
    </row>
    <row r="58" spans="1:4" ht="15.75" customHeight="1" x14ac:dyDescent="0.25">
      <c r="A58" s="19"/>
      <c r="B58" s="19"/>
      <c r="C58" s="19"/>
      <c r="D58" s="19"/>
    </row>
    <row r="59" spans="1:4" ht="15.75" customHeight="1" x14ac:dyDescent="0.25">
      <c r="A59" s="19"/>
      <c r="B59" s="19"/>
      <c r="C59" s="19"/>
      <c r="D59" s="19"/>
    </row>
    <row r="60" spans="1:4" ht="15.75" customHeight="1" x14ac:dyDescent="0.25">
      <c r="A60" s="19"/>
      <c r="B60" s="19"/>
      <c r="C60" s="19"/>
      <c r="D60" s="19"/>
    </row>
    <row r="61" spans="1:4" ht="15.75" customHeight="1" x14ac:dyDescent="0.25">
      <c r="A61" s="19"/>
      <c r="B61" s="19"/>
      <c r="C61" s="19"/>
      <c r="D61" s="19"/>
    </row>
    <row r="62" spans="1:4" ht="15.75" customHeight="1" x14ac:dyDescent="0.25">
      <c r="A62" s="19"/>
      <c r="B62" s="19"/>
      <c r="C62" s="19"/>
      <c r="D62" s="19"/>
    </row>
    <row r="63" spans="1:4" ht="15.75" customHeight="1" x14ac:dyDescent="0.25">
      <c r="A63" s="19"/>
      <c r="B63" s="19"/>
      <c r="C63" s="19"/>
      <c r="D63" s="19"/>
    </row>
    <row r="64" spans="1:4" ht="15.75" customHeight="1" x14ac:dyDescent="0.25">
      <c r="A64" s="19"/>
      <c r="B64" s="19"/>
      <c r="C64" s="19"/>
      <c r="D64" s="19"/>
    </row>
    <row r="65" spans="1:4" ht="15.75" customHeight="1" x14ac:dyDescent="0.25">
      <c r="A65" s="19"/>
      <c r="B65" s="19"/>
      <c r="C65" s="19"/>
      <c r="D65" s="19"/>
    </row>
    <row r="66" spans="1:4" ht="15.75" customHeight="1" x14ac:dyDescent="0.25">
      <c r="A66" s="19"/>
      <c r="B66" s="19"/>
      <c r="C66" s="19"/>
      <c r="D66" s="19"/>
    </row>
    <row r="67" spans="1:4" ht="15.75" customHeight="1" x14ac:dyDescent="0.25">
      <c r="A67" s="19"/>
      <c r="B67" s="19"/>
      <c r="C67" s="19"/>
      <c r="D67" s="19"/>
    </row>
    <row r="68" spans="1:4" ht="15.75" customHeight="1" x14ac:dyDescent="0.25">
      <c r="A68" s="19"/>
      <c r="B68" s="19"/>
      <c r="C68" s="19"/>
      <c r="D68" s="19"/>
    </row>
    <row r="69" spans="1:4" ht="15.75" customHeight="1" x14ac:dyDescent="0.25">
      <c r="A69" s="19"/>
      <c r="B69" s="19"/>
      <c r="C69" s="19"/>
      <c r="D69" s="19"/>
    </row>
    <row r="70" spans="1:4" ht="15.75" customHeight="1" x14ac:dyDescent="0.25">
      <c r="A70" s="19"/>
      <c r="B70" s="19"/>
      <c r="C70" s="19"/>
      <c r="D70" s="19"/>
    </row>
    <row r="71" spans="1:4" ht="15.75" customHeight="1" x14ac:dyDescent="0.25">
      <c r="A71" s="19"/>
      <c r="B71" s="19"/>
      <c r="C71" s="19"/>
      <c r="D71" s="19"/>
    </row>
    <row r="72" spans="1:4" ht="15.75" customHeight="1" x14ac:dyDescent="0.25">
      <c r="A72" s="19"/>
      <c r="B72" s="19"/>
      <c r="C72" s="19"/>
      <c r="D72" s="19"/>
    </row>
    <row r="73" spans="1:4" ht="15.75" customHeight="1" x14ac:dyDescent="0.25">
      <c r="A73" s="19"/>
      <c r="B73" s="19"/>
      <c r="C73" s="19"/>
      <c r="D73" s="19"/>
    </row>
    <row r="74" spans="1:4" ht="15.75" customHeight="1" x14ac:dyDescent="0.25">
      <c r="A74" s="19"/>
      <c r="B74" s="19"/>
      <c r="C74" s="19"/>
      <c r="D74" s="19"/>
    </row>
    <row r="75" spans="1:4" ht="15.75" customHeight="1" x14ac:dyDescent="0.25">
      <c r="A75" s="19"/>
      <c r="B75" s="19"/>
      <c r="C75" s="19"/>
      <c r="D75" s="19"/>
    </row>
    <row r="76" spans="1:4" ht="15.75" customHeight="1" x14ac:dyDescent="0.25">
      <c r="A76" s="19"/>
      <c r="B76" s="19"/>
      <c r="C76" s="19"/>
      <c r="D76" s="19"/>
    </row>
    <row r="77" spans="1:4" ht="15.75" customHeight="1" x14ac:dyDescent="0.25">
      <c r="A77" s="19"/>
      <c r="B77" s="19"/>
      <c r="C77" s="19"/>
      <c r="D77" s="19"/>
    </row>
    <row r="78" spans="1:4" ht="15.75" customHeight="1" x14ac:dyDescent="0.25">
      <c r="A78" s="19"/>
      <c r="B78" s="19"/>
      <c r="C78" s="19"/>
      <c r="D78" s="19"/>
    </row>
    <row r="79" spans="1:4" ht="15.75" customHeight="1" x14ac:dyDescent="0.25">
      <c r="A79" s="19"/>
      <c r="B79" s="19"/>
      <c r="C79" s="19"/>
      <c r="D79" s="19"/>
    </row>
    <row r="80" spans="1:4" ht="15.75" customHeight="1" x14ac:dyDescent="0.25">
      <c r="A80" s="19"/>
      <c r="B80" s="19"/>
      <c r="C80" s="19"/>
      <c r="D80" s="19"/>
    </row>
    <row r="81" spans="1:4" ht="15.75" customHeight="1" x14ac:dyDescent="0.25">
      <c r="A81" s="19"/>
      <c r="B81" s="19"/>
      <c r="C81" s="19"/>
      <c r="D81" s="19"/>
    </row>
    <row r="82" spans="1:4" ht="15.75" customHeight="1" x14ac:dyDescent="0.25">
      <c r="A82" s="19"/>
      <c r="B82" s="19"/>
      <c r="C82" s="19"/>
      <c r="D82" s="19"/>
    </row>
    <row r="83" spans="1:4" ht="15.75" customHeight="1" x14ac:dyDescent="0.25">
      <c r="A83" s="19"/>
      <c r="B83" s="19"/>
      <c r="C83" s="19"/>
      <c r="D83" s="19"/>
    </row>
    <row r="84" spans="1:4" ht="15.75" customHeight="1" x14ac:dyDescent="0.25">
      <c r="A84" s="19"/>
      <c r="B84" s="19"/>
      <c r="C84" s="19"/>
      <c r="D84" s="19"/>
    </row>
    <row r="85" spans="1:4" ht="15.75" customHeight="1" x14ac:dyDescent="0.25">
      <c r="A85" s="19"/>
      <c r="B85" s="19"/>
      <c r="C85" s="19"/>
      <c r="D85" s="19"/>
    </row>
    <row r="86" spans="1:4" ht="15.75" customHeight="1" x14ac:dyDescent="0.25">
      <c r="A86" s="19"/>
      <c r="B86" s="19"/>
      <c r="C86" s="19"/>
      <c r="D86" s="19"/>
    </row>
    <row r="87" spans="1:4" ht="15.75" customHeight="1" x14ac:dyDescent="0.25">
      <c r="A87" s="19"/>
      <c r="B87" s="19"/>
      <c r="C87" s="19"/>
      <c r="D87" s="19"/>
    </row>
    <row r="88" spans="1:4" ht="15.75" customHeight="1" x14ac:dyDescent="0.25">
      <c r="A88" s="19"/>
      <c r="B88" s="19"/>
      <c r="C88" s="19"/>
      <c r="D88" s="19"/>
    </row>
    <row r="89" spans="1:4" ht="15.75" customHeight="1" x14ac:dyDescent="0.25">
      <c r="A89" s="19"/>
      <c r="B89" s="19"/>
      <c r="C89" s="19"/>
      <c r="D89" s="19"/>
    </row>
    <row r="90" spans="1:4" ht="15.75" customHeight="1" x14ac:dyDescent="0.25">
      <c r="A90" s="19"/>
      <c r="B90" s="19"/>
      <c r="C90" s="19"/>
      <c r="D90" s="19"/>
    </row>
    <row r="91" spans="1:4" ht="15.75" customHeight="1" x14ac:dyDescent="0.25">
      <c r="A91" s="19"/>
      <c r="B91" s="19"/>
      <c r="C91" s="19"/>
      <c r="D91" s="19"/>
    </row>
    <row r="92" spans="1:4" ht="15.75" customHeight="1" x14ac:dyDescent="0.25">
      <c r="A92" s="19"/>
      <c r="B92" s="19"/>
      <c r="C92" s="19"/>
      <c r="D92" s="19"/>
    </row>
    <row r="93" spans="1:4" ht="15.75" customHeight="1" x14ac:dyDescent="0.25">
      <c r="A93" s="19"/>
      <c r="B93" s="19"/>
      <c r="C93" s="19"/>
      <c r="D93" s="19"/>
    </row>
    <row r="94" spans="1:4" ht="15.75" customHeight="1" x14ac:dyDescent="0.25">
      <c r="A94" s="19"/>
      <c r="B94" s="19"/>
      <c r="C94" s="19"/>
      <c r="D94" s="19"/>
    </row>
    <row r="95" spans="1:4" ht="15.75" customHeight="1" x14ac:dyDescent="0.25">
      <c r="A95" s="19"/>
      <c r="B95" s="19"/>
      <c r="C95" s="19"/>
      <c r="D95" s="19"/>
    </row>
    <row r="96" spans="1:4" ht="15.75" customHeight="1" x14ac:dyDescent="0.25">
      <c r="A96" s="19"/>
      <c r="B96" s="19"/>
      <c r="C96" s="19"/>
      <c r="D96" s="19"/>
    </row>
    <row r="97" spans="1:4" ht="15.75" customHeight="1" x14ac:dyDescent="0.25">
      <c r="A97" s="19"/>
      <c r="B97" s="19"/>
      <c r="C97" s="19"/>
      <c r="D97" s="19"/>
    </row>
    <row r="98" spans="1:4" ht="15.75" customHeight="1" x14ac:dyDescent="0.25">
      <c r="A98" s="19"/>
      <c r="B98" s="19"/>
      <c r="C98" s="19"/>
      <c r="D98" s="19"/>
    </row>
    <row r="99" spans="1:4" ht="15.75" customHeight="1" x14ac:dyDescent="0.25">
      <c r="A99" s="19"/>
      <c r="B99" s="19"/>
      <c r="C99" s="19"/>
      <c r="D99" s="19"/>
    </row>
    <row r="100" spans="1:4" ht="15.75" customHeight="1" x14ac:dyDescent="0.25">
      <c r="A100" s="19"/>
      <c r="B100" s="19"/>
      <c r="C100" s="19"/>
      <c r="D100" s="19"/>
    </row>
    <row r="101" spans="1:4" ht="15.75" customHeight="1" x14ac:dyDescent="0.25">
      <c r="A101" s="19"/>
      <c r="B101" s="19"/>
      <c r="C101" s="19"/>
      <c r="D101" s="19"/>
    </row>
    <row r="102" spans="1:4" ht="15.75" customHeight="1" x14ac:dyDescent="0.25">
      <c r="A102" s="19"/>
      <c r="B102" s="19"/>
      <c r="C102" s="19"/>
      <c r="D102" s="19"/>
    </row>
    <row r="103" spans="1:4" ht="15.75" customHeight="1" x14ac:dyDescent="0.25">
      <c r="A103" s="19"/>
      <c r="B103" s="19"/>
      <c r="C103" s="19"/>
      <c r="D103" s="19"/>
    </row>
    <row r="104" spans="1:4" ht="15.75" customHeight="1" x14ac:dyDescent="0.25">
      <c r="A104" s="19"/>
      <c r="B104" s="19"/>
      <c r="C104" s="19"/>
      <c r="D104" s="19"/>
    </row>
    <row r="105" spans="1:4" ht="15.75" customHeight="1" x14ac:dyDescent="0.25">
      <c r="A105" s="19"/>
      <c r="B105" s="19"/>
      <c r="C105" s="19"/>
      <c r="D105" s="19"/>
    </row>
    <row r="106" spans="1:4" ht="15.75" customHeight="1" x14ac:dyDescent="0.25">
      <c r="A106" s="19"/>
      <c r="B106" s="19"/>
      <c r="C106" s="19"/>
      <c r="D106" s="19"/>
    </row>
    <row r="107" spans="1:4" ht="15.75" customHeight="1" x14ac:dyDescent="0.25">
      <c r="A107" s="19"/>
      <c r="B107" s="19"/>
      <c r="C107" s="19"/>
      <c r="D107" s="19"/>
    </row>
    <row r="108" spans="1:4" ht="15.75" customHeight="1" x14ac:dyDescent="0.25">
      <c r="A108" s="19"/>
      <c r="B108" s="19"/>
      <c r="C108" s="19"/>
      <c r="D108" s="19"/>
    </row>
    <row r="109" spans="1:4" ht="15.75" customHeight="1" x14ac:dyDescent="0.25">
      <c r="A109" s="19"/>
      <c r="B109" s="19"/>
      <c r="C109" s="19"/>
      <c r="D109" s="19"/>
    </row>
    <row r="110" spans="1:4" ht="15.75" customHeight="1" x14ac:dyDescent="0.25">
      <c r="A110" s="19"/>
      <c r="B110" s="19"/>
      <c r="C110" s="19"/>
      <c r="D110" s="19"/>
    </row>
    <row r="111" spans="1:4" ht="15.75" customHeight="1" x14ac:dyDescent="0.25">
      <c r="A111" s="19"/>
      <c r="B111" s="19"/>
      <c r="C111" s="19"/>
      <c r="D111" s="19"/>
    </row>
    <row r="112" spans="1:4" ht="15.75" customHeight="1" x14ac:dyDescent="0.25">
      <c r="A112" s="19"/>
      <c r="B112" s="19"/>
      <c r="C112" s="19"/>
      <c r="D112" s="19"/>
    </row>
    <row r="113" spans="1:4" ht="15.75" customHeight="1" x14ac:dyDescent="0.25">
      <c r="A113" s="19"/>
      <c r="B113" s="19"/>
      <c r="C113" s="19"/>
      <c r="D113" s="19"/>
    </row>
    <row r="114" spans="1:4" ht="15.75" customHeight="1" x14ac:dyDescent="0.25">
      <c r="A114" s="19"/>
      <c r="B114" s="19"/>
      <c r="C114" s="19"/>
      <c r="D114" s="19"/>
    </row>
    <row r="115" spans="1:4" ht="15.75" customHeight="1" x14ac:dyDescent="0.25">
      <c r="A115" s="19"/>
      <c r="B115" s="19"/>
      <c r="C115" s="19"/>
      <c r="D115" s="19"/>
    </row>
    <row r="116" spans="1:4" ht="15.75" customHeight="1" x14ac:dyDescent="0.25">
      <c r="A116" s="19"/>
      <c r="B116" s="19"/>
      <c r="C116" s="19"/>
      <c r="D116" s="19"/>
    </row>
    <row r="117" spans="1:4" ht="15.75" customHeight="1" x14ac:dyDescent="0.25">
      <c r="A117" s="19"/>
      <c r="B117" s="19"/>
      <c r="C117" s="19"/>
      <c r="D117" s="19"/>
    </row>
    <row r="118" spans="1:4" ht="15.75" customHeight="1" x14ac:dyDescent="0.25">
      <c r="A118" s="19"/>
      <c r="B118" s="19"/>
      <c r="C118" s="19"/>
      <c r="D118" s="19"/>
    </row>
    <row r="119" spans="1:4" ht="15.75" customHeight="1" x14ac:dyDescent="0.25">
      <c r="A119" s="19"/>
      <c r="B119" s="19"/>
      <c r="C119" s="19"/>
      <c r="D119" s="19"/>
    </row>
    <row r="120" spans="1:4" ht="15.75" customHeight="1" x14ac:dyDescent="0.25">
      <c r="A120" s="19"/>
      <c r="B120" s="19"/>
      <c r="C120" s="19"/>
      <c r="D120" s="19"/>
    </row>
    <row r="121" spans="1:4" ht="15.75" customHeight="1" x14ac:dyDescent="0.25">
      <c r="A121" s="19"/>
      <c r="B121" s="19"/>
      <c r="C121" s="19"/>
      <c r="D121" s="19"/>
    </row>
    <row r="122" spans="1:4" ht="15.75" customHeight="1" x14ac:dyDescent="0.25">
      <c r="A122" s="19"/>
      <c r="B122" s="19"/>
      <c r="C122" s="19"/>
      <c r="D122" s="19"/>
    </row>
    <row r="123" spans="1:4" ht="15.75" customHeight="1" x14ac:dyDescent="0.25">
      <c r="A123" s="19"/>
      <c r="B123" s="19"/>
      <c r="C123" s="19"/>
      <c r="D123" s="19"/>
    </row>
    <row r="124" spans="1:4" ht="15.75" customHeight="1" x14ac:dyDescent="0.25">
      <c r="A124" s="19"/>
      <c r="B124" s="19"/>
      <c r="C124" s="19"/>
      <c r="D124" s="19"/>
    </row>
    <row r="125" spans="1:4" ht="15.75" customHeight="1" x14ac:dyDescent="0.25">
      <c r="A125" s="19"/>
      <c r="B125" s="19"/>
      <c r="C125" s="19"/>
      <c r="D125" s="19"/>
    </row>
    <row r="126" spans="1:4" ht="15.75" customHeight="1" x14ac:dyDescent="0.25">
      <c r="A126" s="19"/>
      <c r="B126" s="19"/>
      <c r="C126" s="19"/>
      <c r="D126" s="19"/>
    </row>
    <row r="127" spans="1:4" ht="15.75" customHeight="1" x14ac:dyDescent="0.25">
      <c r="A127" s="19"/>
      <c r="B127" s="19"/>
      <c r="C127" s="19"/>
      <c r="D127" s="19"/>
    </row>
    <row r="128" spans="1:4" ht="15.75" customHeight="1" x14ac:dyDescent="0.25">
      <c r="A128" s="19"/>
      <c r="B128" s="19"/>
      <c r="C128" s="19"/>
      <c r="D128" s="19"/>
    </row>
    <row r="129" spans="1:4" ht="15.75" customHeight="1" x14ac:dyDescent="0.25">
      <c r="A129" s="19"/>
      <c r="B129" s="19"/>
      <c r="C129" s="19"/>
      <c r="D129" s="19"/>
    </row>
    <row r="130" spans="1:4" ht="15.75" customHeight="1" x14ac:dyDescent="0.25">
      <c r="A130" s="19"/>
      <c r="B130" s="19"/>
      <c r="C130" s="19"/>
      <c r="D130" s="19"/>
    </row>
    <row r="131" spans="1:4" ht="15.75" customHeight="1" x14ac:dyDescent="0.25">
      <c r="A131" s="19"/>
      <c r="B131" s="19"/>
      <c r="C131" s="19"/>
      <c r="D131" s="19"/>
    </row>
    <row r="132" spans="1:4" ht="15.75" customHeight="1" x14ac:dyDescent="0.25">
      <c r="A132" s="19"/>
      <c r="B132" s="19"/>
      <c r="C132" s="19"/>
      <c r="D132" s="19"/>
    </row>
    <row r="133" spans="1:4" ht="15.75" customHeight="1" x14ac:dyDescent="0.25">
      <c r="A133" s="19"/>
      <c r="B133" s="19"/>
      <c r="C133" s="19"/>
      <c r="D133" s="19"/>
    </row>
    <row r="134" spans="1:4" ht="15.75" customHeight="1" x14ac:dyDescent="0.25">
      <c r="A134" s="19"/>
      <c r="B134" s="19"/>
      <c r="C134" s="19"/>
      <c r="D134" s="19"/>
    </row>
    <row r="135" spans="1:4" ht="15.75" customHeight="1" x14ac:dyDescent="0.25">
      <c r="A135" s="19"/>
      <c r="B135" s="19"/>
      <c r="C135" s="19"/>
      <c r="D135" s="19"/>
    </row>
    <row r="136" spans="1:4" ht="15.75" customHeight="1" x14ac:dyDescent="0.25">
      <c r="A136" s="19"/>
      <c r="B136" s="19"/>
      <c r="C136" s="19"/>
      <c r="D136" s="19"/>
    </row>
    <row r="137" spans="1:4" ht="15.75" customHeight="1" x14ac:dyDescent="0.25">
      <c r="A137" s="19"/>
      <c r="B137" s="19"/>
      <c r="C137" s="19"/>
      <c r="D137" s="19"/>
    </row>
    <row r="138" spans="1:4" ht="15.75" customHeight="1" x14ac:dyDescent="0.25">
      <c r="A138" s="19"/>
      <c r="B138" s="19"/>
      <c r="C138" s="19"/>
      <c r="D138" s="19"/>
    </row>
    <row r="139" spans="1:4" ht="15.75" customHeight="1" x14ac:dyDescent="0.25">
      <c r="A139" s="19"/>
      <c r="B139" s="19"/>
      <c r="C139" s="19"/>
      <c r="D139" s="19"/>
    </row>
    <row r="140" spans="1:4" ht="15.75" customHeight="1" x14ac:dyDescent="0.25">
      <c r="A140" s="19"/>
      <c r="B140" s="19"/>
      <c r="C140" s="19"/>
      <c r="D140" s="19"/>
    </row>
    <row r="141" spans="1:4" ht="15.75" customHeight="1" x14ac:dyDescent="0.25">
      <c r="A141" s="19"/>
      <c r="B141" s="19"/>
      <c r="C141" s="19"/>
      <c r="D141" s="19"/>
    </row>
    <row r="142" spans="1:4" ht="15.75" customHeight="1" x14ac:dyDescent="0.25">
      <c r="A142" s="19"/>
      <c r="B142" s="19"/>
      <c r="C142" s="19"/>
      <c r="D142" s="19"/>
    </row>
    <row r="143" spans="1:4" ht="15.75" customHeight="1" x14ac:dyDescent="0.25">
      <c r="A143" s="19"/>
      <c r="B143" s="19"/>
      <c r="C143" s="19"/>
      <c r="D143" s="19"/>
    </row>
    <row r="144" spans="1:4" ht="15.75" customHeight="1" x14ac:dyDescent="0.25">
      <c r="A144" s="19"/>
      <c r="B144" s="19"/>
      <c r="C144" s="19"/>
      <c r="D144" s="19"/>
    </row>
    <row r="145" spans="1:4" ht="15.75" customHeight="1" x14ac:dyDescent="0.25">
      <c r="A145" s="19"/>
      <c r="B145" s="19"/>
      <c r="C145" s="19"/>
      <c r="D145" s="19"/>
    </row>
    <row r="146" spans="1:4" ht="15.75" customHeight="1" x14ac:dyDescent="0.25">
      <c r="A146" s="19"/>
      <c r="B146" s="19"/>
      <c r="C146" s="19"/>
      <c r="D146" s="19"/>
    </row>
    <row r="147" spans="1:4" ht="15.75" customHeight="1" x14ac:dyDescent="0.25">
      <c r="A147" s="19"/>
      <c r="B147" s="19"/>
      <c r="C147" s="19"/>
      <c r="D147" s="19"/>
    </row>
    <row r="148" spans="1:4" ht="15.75" customHeight="1" x14ac:dyDescent="0.25">
      <c r="A148" s="19"/>
      <c r="B148" s="19"/>
      <c r="C148" s="19"/>
      <c r="D148" s="19"/>
    </row>
    <row r="149" spans="1:4" ht="15.75" customHeight="1" x14ac:dyDescent="0.25">
      <c r="A149" s="19"/>
      <c r="B149" s="19"/>
      <c r="C149" s="19"/>
      <c r="D149" s="19"/>
    </row>
    <row r="150" spans="1:4" ht="15.75" customHeight="1" x14ac:dyDescent="0.25">
      <c r="A150" s="19"/>
      <c r="B150" s="19"/>
      <c r="C150" s="19"/>
      <c r="D150" s="19"/>
    </row>
    <row r="151" spans="1:4" ht="15.75" customHeight="1" x14ac:dyDescent="0.25">
      <c r="A151" s="19"/>
      <c r="B151" s="19"/>
      <c r="C151" s="19"/>
      <c r="D151" s="19"/>
    </row>
    <row r="152" spans="1:4" ht="15.75" customHeight="1" x14ac:dyDescent="0.25">
      <c r="A152" s="19"/>
      <c r="B152" s="19"/>
      <c r="C152" s="19"/>
      <c r="D152" s="19"/>
    </row>
    <row r="153" spans="1:4" ht="15.75" customHeight="1" x14ac:dyDescent="0.25">
      <c r="A153" s="19"/>
      <c r="B153" s="19"/>
      <c r="C153" s="19"/>
      <c r="D153" s="19"/>
    </row>
    <row r="154" spans="1:4" ht="15.75" customHeight="1" x14ac:dyDescent="0.25">
      <c r="A154" s="19"/>
      <c r="B154" s="19"/>
      <c r="C154" s="19"/>
      <c r="D154" s="19"/>
    </row>
    <row r="155" spans="1:4" ht="15.75" customHeight="1" x14ac:dyDescent="0.25">
      <c r="A155" s="19"/>
      <c r="B155" s="19"/>
      <c r="C155" s="19"/>
      <c r="D155" s="19"/>
    </row>
    <row r="156" spans="1:4" ht="15.75" customHeight="1" x14ac:dyDescent="0.25">
      <c r="A156" s="19"/>
      <c r="B156" s="19"/>
      <c r="C156" s="19"/>
      <c r="D156" s="19"/>
    </row>
    <row r="157" spans="1:4" ht="15.75" customHeight="1" x14ac:dyDescent="0.25">
      <c r="A157" s="19"/>
      <c r="B157" s="19"/>
      <c r="C157" s="19"/>
      <c r="D157" s="19"/>
    </row>
    <row r="158" spans="1:4" ht="15.75" customHeight="1" x14ac:dyDescent="0.25">
      <c r="A158" s="19"/>
      <c r="B158" s="19"/>
      <c r="C158" s="19"/>
      <c r="D158" s="19"/>
    </row>
    <row r="159" spans="1:4" ht="15.75" customHeight="1" x14ac:dyDescent="0.25">
      <c r="A159" s="19"/>
      <c r="B159" s="19"/>
      <c r="C159" s="19"/>
      <c r="D159" s="19"/>
    </row>
    <row r="160" spans="1:4" ht="15.75" customHeight="1" x14ac:dyDescent="0.25">
      <c r="A160" s="19"/>
      <c r="B160" s="19"/>
      <c r="C160" s="19"/>
      <c r="D160" s="19"/>
    </row>
    <row r="161" spans="1:4" ht="15.75" customHeight="1" x14ac:dyDescent="0.25">
      <c r="A161" s="19"/>
      <c r="B161" s="19"/>
      <c r="C161" s="19"/>
      <c r="D161" s="19"/>
    </row>
    <row r="162" spans="1:4" ht="15.75" customHeight="1" x14ac:dyDescent="0.25">
      <c r="A162" s="19"/>
      <c r="B162" s="19"/>
      <c r="C162" s="19"/>
      <c r="D162" s="19"/>
    </row>
    <row r="163" spans="1:4" ht="15.75" customHeight="1" x14ac:dyDescent="0.25">
      <c r="A163" s="19"/>
      <c r="B163" s="19"/>
      <c r="C163" s="19"/>
      <c r="D163" s="19"/>
    </row>
    <row r="164" spans="1:4" ht="15.75" customHeight="1" x14ac:dyDescent="0.25">
      <c r="A164" s="19"/>
      <c r="B164" s="19"/>
      <c r="C164" s="19"/>
      <c r="D164" s="19"/>
    </row>
    <row r="165" spans="1:4" ht="15.75" customHeight="1" x14ac:dyDescent="0.25">
      <c r="A165" s="19"/>
      <c r="B165" s="19"/>
      <c r="C165" s="19"/>
      <c r="D165" s="19"/>
    </row>
    <row r="166" spans="1:4" ht="15.75" customHeight="1" x14ac:dyDescent="0.25">
      <c r="A166" s="19"/>
      <c r="B166" s="19"/>
      <c r="C166" s="19"/>
      <c r="D166" s="19"/>
    </row>
    <row r="167" spans="1:4" ht="15.75" customHeight="1" x14ac:dyDescent="0.25">
      <c r="A167" s="19"/>
      <c r="B167" s="19"/>
      <c r="C167" s="19"/>
      <c r="D167" s="19"/>
    </row>
    <row r="168" spans="1:4" ht="15.75" customHeight="1" x14ac:dyDescent="0.25">
      <c r="A168" s="19"/>
      <c r="B168" s="19"/>
      <c r="C168" s="19"/>
      <c r="D168" s="19"/>
    </row>
    <row r="169" spans="1:4" ht="15.75" customHeight="1" x14ac:dyDescent="0.25">
      <c r="A169" s="19"/>
      <c r="B169" s="19"/>
      <c r="C169" s="19"/>
      <c r="D169" s="19"/>
    </row>
    <row r="170" spans="1:4" ht="15.75" customHeight="1" x14ac:dyDescent="0.25">
      <c r="A170" s="19"/>
      <c r="B170" s="19"/>
      <c r="C170" s="19"/>
      <c r="D170" s="19"/>
    </row>
    <row r="171" spans="1:4" ht="15.75" customHeight="1" x14ac:dyDescent="0.25">
      <c r="A171" s="19"/>
      <c r="B171" s="19"/>
      <c r="C171" s="19"/>
      <c r="D171" s="19"/>
    </row>
    <row r="172" spans="1:4" ht="15.75" customHeight="1" x14ac:dyDescent="0.25">
      <c r="A172" s="19"/>
      <c r="B172" s="19"/>
      <c r="C172" s="19"/>
      <c r="D172" s="19"/>
    </row>
    <row r="173" spans="1:4" ht="15.75" customHeight="1" x14ac:dyDescent="0.25">
      <c r="A173" s="19"/>
      <c r="B173" s="19"/>
      <c r="C173" s="19"/>
      <c r="D173" s="19"/>
    </row>
    <row r="174" spans="1:4" ht="15.75" customHeight="1" x14ac:dyDescent="0.25">
      <c r="A174" s="19"/>
      <c r="B174" s="19"/>
      <c r="C174" s="19"/>
      <c r="D174" s="19"/>
    </row>
    <row r="175" spans="1:4" ht="15.75" customHeight="1" x14ac:dyDescent="0.25">
      <c r="A175" s="19"/>
      <c r="B175" s="19"/>
      <c r="C175" s="19"/>
      <c r="D175" s="19"/>
    </row>
    <row r="176" spans="1:4" ht="15.75" customHeight="1" x14ac:dyDescent="0.25">
      <c r="A176" s="19"/>
      <c r="B176" s="19"/>
      <c r="C176" s="19"/>
      <c r="D176" s="19"/>
    </row>
    <row r="177" spans="1:4" ht="15.75" customHeight="1" x14ac:dyDescent="0.25">
      <c r="A177" s="19"/>
      <c r="B177" s="19"/>
      <c r="C177" s="19"/>
      <c r="D177" s="19"/>
    </row>
    <row r="178" spans="1:4" ht="15.75" customHeight="1" x14ac:dyDescent="0.25">
      <c r="A178" s="19"/>
      <c r="B178" s="19"/>
      <c r="C178" s="19"/>
      <c r="D178" s="19"/>
    </row>
    <row r="179" spans="1:4" ht="15.75" customHeight="1" x14ac:dyDescent="0.25">
      <c r="A179" s="19"/>
      <c r="B179" s="19"/>
      <c r="C179" s="19"/>
      <c r="D179" s="19"/>
    </row>
    <row r="180" spans="1:4" ht="15.75" customHeight="1" x14ac:dyDescent="0.25">
      <c r="A180" s="19"/>
      <c r="B180" s="19"/>
      <c r="C180" s="19"/>
      <c r="D180" s="19"/>
    </row>
    <row r="181" spans="1:4" ht="15.75" customHeight="1" x14ac:dyDescent="0.25">
      <c r="A181" s="19"/>
      <c r="B181" s="19"/>
      <c r="C181" s="19"/>
      <c r="D181" s="19"/>
    </row>
    <row r="182" spans="1:4" ht="15.75" customHeight="1" x14ac:dyDescent="0.25">
      <c r="A182" s="19"/>
      <c r="B182" s="19"/>
      <c r="C182" s="19"/>
      <c r="D182" s="19"/>
    </row>
    <row r="183" spans="1:4" ht="15.75" customHeight="1" x14ac:dyDescent="0.25">
      <c r="A183" s="19"/>
      <c r="B183" s="19"/>
      <c r="C183" s="19"/>
      <c r="D183" s="19"/>
    </row>
    <row r="184" spans="1:4" ht="15.75" customHeight="1" x14ac:dyDescent="0.25">
      <c r="A184" s="19"/>
      <c r="B184" s="19"/>
      <c r="C184" s="19"/>
      <c r="D184" s="19"/>
    </row>
    <row r="185" spans="1:4" ht="15.75" customHeight="1" x14ac:dyDescent="0.25">
      <c r="A185" s="19"/>
      <c r="B185" s="19"/>
      <c r="C185" s="19"/>
      <c r="D185" s="19"/>
    </row>
    <row r="186" spans="1:4" ht="15.75" customHeight="1" x14ac:dyDescent="0.25">
      <c r="A186" s="19"/>
      <c r="B186" s="19"/>
      <c r="C186" s="19"/>
      <c r="D186" s="19"/>
    </row>
    <row r="187" spans="1:4" ht="15.75" customHeight="1" x14ac:dyDescent="0.25">
      <c r="A187" s="19"/>
      <c r="B187" s="19"/>
      <c r="C187" s="19"/>
      <c r="D187" s="19"/>
    </row>
    <row r="188" spans="1:4" ht="15.75" customHeight="1" x14ac:dyDescent="0.25">
      <c r="A188" s="19"/>
      <c r="B188" s="19"/>
      <c r="C188" s="19"/>
      <c r="D188" s="19"/>
    </row>
    <row r="189" spans="1:4" ht="15.75" customHeight="1" x14ac:dyDescent="0.25">
      <c r="A189" s="19"/>
      <c r="B189" s="19"/>
      <c r="C189" s="19"/>
      <c r="D189" s="19"/>
    </row>
    <row r="190" spans="1:4" ht="15.75" customHeight="1" x14ac:dyDescent="0.25">
      <c r="A190" s="19"/>
      <c r="B190" s="19"/>
      <c r="C190" s="19"/>
      <c r="D190" s="19"/>
    </row>
    <row r="191" spans="1:4" ht="15.75" customHeight="1" x14ac:dyDescent="0.25">
      <c r="A191" s="19"/>
      <c r="B191" s="19"/>
      <c r="C191" s="19"/>
      <c r="D191" s="19"/>
    </row>
    <row r="192" spans="1:4" ht="15.75" customHeight="1" x14ac:dyDescent="0.25">
      <c r="A192" s="19"/>
      <c r="B192" s="19"/>
      <c r="C192" s="19"/>
      <c r="D192" s="19"/>
    </row>
    <row r="193" spans="1:4" ht="15.75" customHeight="1" x14ac:dyDescent="0.25">
      <c r="A193" s="19"/>
      <c r="B193" s="19"/>
      <c r="C193" s="19"/>
      <c r="D193" s="19"/>
    </row>
    <row r="194" spans="1:4" ht="15.75" customHeight="1" x14ac:dyDescent="0.25">
      <c r="A194" s="19"/>
      <c r="B194" s="19"/>
      <c r="C194" s="19"/>
      <c r="D194" s="19"/>
    </row>
    <row r="195" spans="1:4" ht="15.75" customHeight="1" x14ac:dyDescent="0.25">
      <c r="A195" s="19"/>
      <c r="B195" s="19"/>
      <c r="C195" s="19"/>
      <c r="D195" s="19"/>
    </row>
    <row r="196" spans="1:4" ht="15.75" customHeight="1" x14ac:dyDescent="0.25">
      <c r="A196" s="19"/>
      <c r="B196" s="19"/>
      <c r="C196" s="19"/>
      <c r="D196" s="19"/>
    </row>
    <row r="197" spans="1:4" ht="15.75" customHeight="1" x14ac:dyDescent="0.25">
      <c r="A197" s="19"/>
      <c r="B197" s="19"/>
      <c r="C197" s="19"/>
      <c r="D197" s="19"/>
    </row>
    <row r="198" spans="1:4" ht="15.75" customHeight="1" x14ac:dyDescent="0.25">
      <c r="A198" s="19"/>
      <c r="B198" s="19"/>
      <c r="C198" s="19"/>
      <c r="D198" s="19"/>
    </row>
    <row r="199" spans="1:4" ht="15.75" customHeight="1" x14ac:dyDescent="0.25">
      <c r="A199" s="19"/>
      <c r="B199" s="19"/>
      <c r="C199" s="19"/>
      <c r="D199" s="19"/>
    </row>
    <row r="200" spans="1:4" ht="15.75" customHeight="1" x14ac:dyDescent="0.25">
      <c r="A200" s="19"/>
      <c r="B200" s="19"/>
      <c r="C200" s="19"/>
      <c r="D200" s="19"/>
    </row>
    <row r="201" spans="1:4" ht="15.75" customHeight="1" x14ac:dyDescent="0.25">
      <c r="A201" s="19"/>
      <c r="B201" s="19"/>
      <c r="C201" s="19"/>
      <c r="D201" s="19"/>
    </row>
    <row r="202" spans="1:4" ht="15.75" customHeight="1" x14ac:dyDescent="0.25">
      <c r="A202" s="19"/>
      <c r="B202" s="19"/>
      <c r="C202" s="19"/>
      <c r="D202" s="19"/>
    </row>
    <row r="203" spans="1:4" ht="15.75" customHeight="1" x14ac:dyDescent="0.25">
      <c r="A203" s="19"/>
      <c r="B203" s="19"/>
      <c r="C203" s="19"/>
      <c r="D203" s="19"/>
    </row>
    <row r="204" spans="1:4" ht="15.75" customHeight="1" x14ac:dyDescent="0.25">
      <c r="A204" s="19"/>
      <c r="B204" s="19"/>
      <c r="C204" s="19"/>
      <c r="D204" s="19"/>
    </row>
    <row r="205" spans="1:4" ht="15.75" customHeight="1" x14ac:dyDescent="0.25">
      <c r="A205" s="19"/>
      <c r="B205" s="19"/>
      <c r="C205" s="19"/>
      <c r="D205" s="19"/>
    </row>
    <row r="206" spans="1:4" ht="15.75" customHeight="1" x14ac:dyDescent="0.25">
      <c r="A206" s="19"/>
      <c r="B206" s="19"/>
      <c r="C206" s="19"/>
      <c r="D206" s="19"/>
    </row>
    <row r="207" spans="1:4" ht="15.75" customHeight="1" x14ac:dyDescent="0.25">
      <c r="A207" s="19"/>
      <c r="B207" s="19"/>
      <c r="C207" s="19"/>
      <c r="D207" s="19"/>
    </row>
    <row r="208" spans="1:4" ht="15.75" customHeight="1" x14ac:dyDescent="0.25">
      <c r="A208" s="19"/>
      <c r="B208" s="19"/>
      <c r="C208" s="19"/>
      <c r="D208" s="19"/>
    </row>
    <row r="209" spans="1:4" ht="15.75" customHeight="1" x14ac:dyDescent="0.25">
      <c r="A209" s="19"/>
      <c r="B209" s="19"/>
      <c r="C209" s="19"/>
      <c r="D209" s="19"/>
    </row>
    <row r="210" spans="1:4" ht="15.75" customHeight="1" x14ac:dyDescent="0.25">
      <c r="A210" s="19"/>
      <c r="B210" s="19"/>
      <c r="C210" s="19"/>
      <c r="D210" s="19"/>
    </row>
    <row r="211" spans="1:4" ht="15.75" customHeight="1" x14ac:dyDescent="0.25">
      <c r="A211" s="19"/>
      <c r="B211" s="19"/>
      <c r="C211" s="19"/>
      <c r="D211" s="19"/>
    </row>
    <row r="212" spans="1:4" ht="15.75" customHeight="1" x14ac:dyDescent="0.25">
      <c r="A212" s="19"/>
      <c r="B212" s="19"/>
      <c r="C212" s="19"/>
      <c r="D212" s="19"/>
    </row>
    <row r="213" spans="1:4" ht="15.75" customHeight="1" x14ac:dyDescent="0.25">
      <c r="A213" s="19"/>
      <c r="B213" s="19"/>
      <c r="C213" s="19"/>
      <c r="D213" s="19"/>
    </row>
    <row r="214" spans="1:4" ht="15.75" customHeight="1" x14ac:dyDescent="0.25">
      <c r="A214" s="19"/>
      <c r="B214" s="19"/>
      <c r="C214" s="19"/>
      <c r="D214" s="19"/>
    </row>
    <row r="215" spans="1:4" ht="15.75" customHeight="1" x14ac:dyDescent="0.25">
      <c r="A215" s="19"/>
      <c r="B215" s="19"/>
      <c r="C215" s="19"/>
      <c r="D215" s="19"/>
    </row>
    <row r="216" spans="1:4" ht="15.75" customHeight="1" x14ac:dyDescent="0.25">
      <c r="A216" s="19"/>
      <c r="B216" s="19"/>
      <c r="C216" s="19"/>
      <c r="D216" s="19"/>
    </row>
    <row r="217" spans="1:4" ht="15.75" customHeight="1" x14ac:dyDescent="0.25">
      <c r="A217" s="19"/>
      <c r="B217" s="19"/>
      <c r="C217" s="19"/>
      <c r="D217" s="19"/>
    </row>
    <row r="218" spans="1:4" ht="15.75" customHeight="1" x14ac:dyDescent="0.25">
      <c r="A218" s="19"/>
      <c r="B218" s="19"/>
      <c r="C218" s="19"/>
      <c r="D218" s="19"/>
    </row>
    <row r="219" spans="1:4" ht="15.75" customHeight="1" x14ac:dyDescent="0.25">
      <c r="A219" s="19"/>
      <c r="B219" s="19"/>
      <c r="C219" s="19"/>
      <c r="D219" s="19"/>
    </row>
    <row r="220" spans="1:4" ht="15.75" customHeight="1" x14ac:dyDescent="0.25">
      <c r="A220" s="19"/>
      <c r="B220" s="19"/>
      <c r="C220" s="19"/>
      <c r="D220" s="19"/>
    </row>
    <row r="221" spans="1:4" ht="15.75" customHeight="1" x14ac:dyDescent="0.25">
      <c r="A221" s="19"/>
      <c r="B221" s="19"/>
      <c r="C221" s="19"/>
      <c r="D221" s="19"/>
    </row>
    <row r="222" spans="1:4" ht="15.75" customHeight="1" x14ac:dyDescent="0.25">
      <c r="A222" s="19"/>
      <c r="B222" s="19"/>
      <c r="C222" s="19"/>
      <c r="D222" s="19"/>
    </row>
    <row r="223" spans="1:4" ht="15.75" customHeight="1" x14ac:dyDescent="0.25">
      <c r="A223" s="19"/>
      <c r="B223" s="19"/>
      <c r="C223" s="19"/>
      <c r="D223" s="19"/>
    </row>
    <row r="224" spans="1:4" ht="15.75" customHeight="1" x14ac:dyDescent="0.25">
      <c r="A224" s="19"/>
      <c r="B224" s="19"/>
      <c r="C224" s="19"/>
      <c r="D224" s="19"/>
    </row>
    <row r="225" spans="1:4" ht="15.75" customHeight="1" x14ac:dyDescent="0.25">
      <c r="A225" s="19"/>
      <c r="B225" s="19"/>
      <c r="C225" s="19"/>
      <c r="D225" s="19"/>
    </row>
    <row r="226" spans="1:4" ht="15.75" customHeight="1" x14ac:dyDescent="0.25">
      <c r="A226" s="19"/>
      <c r="B226" s="19"/>
      <c r="C226" s="19"/>
      <c r="D226" s="19"/>
    </row>
    <row r="227" spans="1:4" ht="15.75" customHeight="1" x14ac:dyDescent="0.25">
      <c r="A227" s="19"/>
      <c r="B227" s="19"/>
      <c r="C227" s="19"/>
      <c r="D227" s="19"/>
    </row>
    <row r="228" spans="1:4" ht="15.75" customHeight="1" x14ac:dyDescent="0.25">
      <c r="A228" s="19"/>
      <c r="B228" s="19"/>
      <c r="C228" s="19"/>
      <c r="D228" s="19"/>
    </row>
    <row r="229" spans="1:4" ht="15.75" customHeight="1" x14ac:dyDescent="0.25">
      <c r="A229" s="19"/>
      <c r="B229" s="19"/>
      <c r="C229" s="19"/>
      <c r="D229" s="19"/>
    </row>
    <row r="230" spans="1:4" ht="15.75" customHeight="1" x14ac:dyDescent="0.25">
      <c r="A230" s="19"/>
      <c r="B230" s="19"/>
      <c r="C230" s="19"/>
      <c r="D230" s="19"/>
    </row>
    <row r="231" spans="1:4" ht="15.75" customHeight="1" x14ac:dyDescent="0.25">
      <c r="A231" s="19"/>
      <c r="B231" s="19"/>
      <c r="C231" s="19"/>
      <c r="D231" s="19"/>
    </row>
    <row r="232" spans="1:4" ht="15.75" customHeight="1" x14ac:dyDescent="0.25">
      <c r="A232" s="19"/>
      <c r="B232" s="19"/>
      <c r="C232" s="19"/>
      <c r="D232" s="19"/>
    </row>
    <row r="233" spans="1:4" ht="15.75" customHeight="1" x14ac:dyDescent="0.25">
      <c r="A233" s="19"/>
      <c r="B233" s="19"/>
      <c r="C233" s="19"/>
      <c r="D233" s="19"/>
    </row>
    <row r="234" spans="1:4" ht="15.75" customHeight="1" x14ac:dyDescent="0.25">
      <c r="A234" s="19"/>
      <c r="B234" s="19"/>
      <c r="C234" s="19"/>
      <c r="D234" s="19"/>
    </row>
    <row r="235" spans="1:4" ht="15.75" customHeight="1" x14ac:dyDescent="0.25">
      <c r="A235" s="19"/>
      <c r="B235" s="19"/>
      <c r="C235" s="19"/>
      <c r="D235" s="19"/>
    </row>
    <row r="236" spans="1:4" ht="15.75" customHeight="1" x14ac:dyDescent="0.25">
      <c r="A236" s="19"/>
      <c r="B236" s="19"/>
      <c r="C236" s="19"/>
      <c r="D236" s="19"/>
    </row>
    <row r="237" spans="1:4" ht="15.75" customHeight="1" x14ac:dyDescent="0.25">
      <c r="A237" s="19"/>
      <c r="B237" s="19"/>
      <c r="C237" s="19"/>
      <c r="D237" s="19"/>
    </row>
    <row r="238" spans="1:4" ht="15.75" customHeight="1" x14ac:dyDescent="0.25">
      <c r="A238" s="19"/>
      <c r="B238" s="19"/>
      <c r="C238" s="19"/>
      <c r="D238" s="19"/>
    </row>
    <row r="239" spans="1:4" ht="15.75" customHeight="1" x14ac:dyDescent="0.25">
      <c r="A239" s="19"/>
      <c r="B239" s="19"/>
      <c r="C239" s="19"/>
      <c r="D239" s="19"/>
    </row>
    <row r="240" spans="1:4" ht="15.75" customHeight="1" x14ac:dyDescent="0.25">
      <c r="A240" s="19"/>
      <c r="B240" s="19"/>
      <c r="C240" s="19"/>
      <c r="D240" s="19"/>
    </row>
    <row r="241" spans="1:4" ht="15.75" customHeight="1" x14ac:dyDescent="0.25">
      <c r="A241" s="19"/>
      <c r="B241" s="19"/>
      <c r="C241" s="19"/>
      <c r="D241" s="19"/>
    </row>
    <row r="242" spans="1:4" ht="15.75" customHeight="1" x14ac:dyDescent="0.25">
      <c r="A242" s="19"/>
      <c r="B242" s="19"/>
      <c r="C242" s="19"/>
      <c r="D242" s="19"/>
    </row>
    <row r="243" spans="1:4" ht="15.75" customHeight="1" x14ac:dyDescent="0.25">
      <c r="A243" s="19"/>
      <c r="B243" s="19"/>
      <c r="C243" s="19"/>
      <c r="D243" s="19"/>
    </row>
    <row r="244" spans="1:4" ht="15.75" customHeight="1" x14ac:dyDescent="0.25">
      <c r="A244" s="19"/>
      <c r="B244" s="19"/>
      <c r="C244" s="19"/>
      <c r="D244" s="19"/>
    </row>
    <row r="245" spans="1:4" ht="15.75" customHeight="1" x14ac:dyDescent="0.25">
      <c r="A245" s="19"/>
      <c r="B245" s="19"/>
      <c r="C245" s="19"/>
      <c r="D245" s="19"/>
    </row>
    <row r="246" spans="1:4" ht="15.75" customHeight="1" x14ac:dyDescent="0.25">
      <c r="A246" s="19"/>
      <c r="B246" s="19"/>
      <c r="C246" s="19"/>
      <c r="D246" s="19"/>
    </row>
    <row r="247" spans="1:4" ht="15.75" customHeight="1" x14ac:dyDescent="0.25">
      <c r="A247" s="19"/>
      <c r="B247" s="19"/>
      <c r="C247" s="19"/>
      <c r="D247" s="19"/>
    </row>
    <row r="248" spans="1:4" ht="15.75" customHeight="1" x14ac:dyDescent="0.25">
      <c r="A248" s="19"/>
      <c r="B248" s="19"/>
      <c r="C248" s="19"/>
      <c r="D248" s="19"/>
    </row>
    <row r="249" spans="1:4" ht="15.75" customHeight="1" x14ac:dyDescent="0.25">
      <c r="A249" s="19"/>
      <c r="B249" s="19"/>
      <c r="C249" s="19"/>
      <c r="D249" s="19"/>
    </row>
    <row r="250" spans="1:4" ht="15.75" customHeight="1" x14ac:dyDescent="0.25">
      <c r="A250" s="19"/>
      <c r="B250" s="19"/>
      <c r="C250" s="19"/>
      <c r="D250" s="19"/>
    </row>
    <row r="251" spans="1:4" ht="15.75" customHeight="1" x14ac:dyDescent="0.25">
      <c r="A251" s="19"/>
      <c r="B251" s="19"/>
      <c r="C251" s="19"/>
      <c r="D251" s="19"/>
    </row>
    <row r="252" spans="1:4" ht="15.75" customHeight="1" x14ac:dyDescent="0.25">
      <c r="A252" s="19"/>
      <c r="B252" s="19"/>
      <c r="C252" s="19"/>
      <c r="D252" s="19"/>
    </row>
    <row r="253" spans="1:4" ht="15.75" customHeight="1" x14ac:dyDescent="0.25">
      <c r="A253" s="19"/>
      <c r="B253" s="19"/>
      <c r="C253" s="19"/>
      <c r="D253" s="19"/>
    </row>
    <row r="254" spans="1:4" ht="15.75" customHeight="1" x14ac:dyDescent="0.25">
      <c r="A254" s="19"/>
      <c r="B254" s="19"/>
      <c r="C254" s="19"/>
      <c r="D254" s="19"/>
    </row>
    <row r="255" spans="1:4" ht="15.75" customHeight="1" x14ac:dyDescent="0.25">
      <c r="A255" s="19"/>
      <c r="B255" s="19"/>
      <c r="C255" s="19"/>
      <c r="D255" s="19"/>
    </row>
    <row r="256" spans="1:4" ht="15.75" customHeight="1" x14ac:dyDescent="0.25">
      <c r="A256" s="19"/>
      <c r="B256" s="19"/>
      <c r="C256" s="19"/>
      <c r="D256" s="19"/>
    </row>
    <row r="257" spans="1:4" ht="15.75" customHeight="1" x14ac:dyDescent="0.25">
      <c r="A257" s="19"/>
      <c r="B257" s="19"/>
      <c r="C257" s="19"/>
      <c r="D257" s="19"/>
    </row>
    <row r="258" spans="1:4" ht="15.75" customHeight="1" x14ac:dyDescent="0.25">
      <c r="A258" s="19"/>
      <c r="B258" s="19"/>
      <c r="C258" s="19"/>
      <c r="D258" s="19"/>
    </row>
    <row r="259" spans="1:4" ht="15.75" customHeight="1" x14ac:dyDescent="0.25">
      <c r="A259" s="19"/>
      <c r="B259" s="19"/>
      <c r="C259" s="19"/>
      <c r="D259" s="19"/>
    </row>
    <row r="260" spans="1:4" ht="15.75" customHeight="1" x14ac:dyDescent="0.25">
      <c r="A260" s="19"/>
      <c r="B260" s="19"/>
      <c r="C260" s="19"/>
      <c r="D260" s="19"/>
    </row>
    <row r="261" spans="1:4" ht="15.75" customHeight="1" x14ac:dyDescent="0.25">
      <c r="A261" s="19"/>
      <c r="B261" s="19"/>
      <c r="C261" s="19"/>
      <c r="D261" s="19"/>
    </row>
    <row r="262" spans="1:4" ht="15.75" customHeight="1" x14ac:dyDescent="0.25">
      <c r="A262" s="19"/>
      <c r="B262" s="19"/>
      <c r="C262" s="19"/>
      <c r="D262" s="19"/>
    </row>
    <row r="263" spans="1:4" ht="15.75" customHeight="1" x14ac:dyDescent="0.25">
      <c r="A263" s="19"/>
      <c r="B263" s="19"/>
      <c r="C263" s="19"/>
      <c r="D263" s="19"/>
    </row>
    <row r="264" spans="1:4" ht="15.75" customHeight="1" x14ac:dyDescent="0.25">
      <c r="A264" s="19"/>
      <c r="B264" s="19"/>
      <c r="C264" s="19"/>
      <c r="D264" s="19"/>
    </row>
    <row r="265" spans="1:4" ht="15.75" customHeight="1" x14ac:dyDescent="0.25">
      <c r="A265" s="19"/>
      <c r="B265" s="19"/>
      <c r="C265" s="19"/>
      <c r="D265" s="19"/>
    </row>
    <row r="266" spans="1:4" ht="15.75" customHeight="1" x14ac:dyDescent="0.25">
      <c r="A266" s="19"/>
      <c r="B266" s="19"/>
      <c r="C266" s="19"/>
      <c r="D266" s="19"/>
    </row>
    <row r="267" spans="1:4" ht="15.75" customHeight="1" x14ac:dyDescent="0.25">
      <c r="A267" s="19"/>
      <c r="B267" s="19"/>
      <c r="C267" s="19"/>
      <c r="D267" s="19"/>
    </row>
    <row r="268" spans="1:4" ht="15.75" customHeight="1" x14ac:dyDescent="0.25">
      <c r="A268" s="19"/>
      <c r="B268" s="19"/>
      <c r="C268" s="19"/>
      <c r="D268" s="19"/>
    </row>
    <row r="269" spans="1:4" ht="15.75" customHeight="1" x14ac:dyDescent="0.25">
      <c r="A269" s="19"/>
      <c r="B269" s="19"/>
      <c r="C269" s="19"/>
      <c r="D269" s="19"/>
    </row>
    <row r="270" spans="1:4" ht="15.75" customHeight="1" x14ac:dyDescent="0.25">
      <c r="A270" s="19"/>
      <c r="B270" s="19"/>
      <c r="C270" s="19"/>
      <c r="D270" s="19"/>
    </row>
    <row r="271" spans="1:4" ht="15.75" customHeight="1" x14ac:dyDescent="0.25">
      <c r="A271" s="19"/>
      <c r="B271" s="19"/>
      <c r="C271" s="19"/>
      <c r="D271" s="19"/>
    </row>
    <row r="272" spans="1:4" ht="15.75" customHeight="1" x14ac:dyDescent="0.25">
      <c r="A272" s="19"/>
      <c r="B272" s="19"/>
      <c r="C272" s="19"/>
      <c r="D272" s="19"/>
    </row>
    <row r="273" spans="1:4" ht="15.75" customHeight="1" x14ac:dyDescent="0.25">
      <c r="A273" s="19"/>
      <c r="B273" s="19"/>
      <c r="C273" s="19"/>
      <c r="D273" s="19"/>
    </row>
    <row r="274" spans="1:4" ht="15.75" customHeight="1" x14ac:dyDescent="0.25">
      <c r="A274" s="19"/>
      <c r="B274" s="19"/>
      <c r="C274" s="19"/>
      <c r="D274" s="19"/>
    </row>
    <row r="275" spans="1:4" ht="15.75" customHeight="1" x14ac:dyDescent="0.25">
      <c r="A275" s="19"/>
      <c r="B275" s="19"/>
      <c r="C275" s="19"/>
      <c r="D275" s="19"/>
    </row>
    <row r="276" spans="1:4" ht="15.75" customHeight="1" x14ac:dyDescent="0.25">
      <c r="A276" s="19"/>
      <c r="B276" s="19"/>
      <c r="C276" s="19"/>
      <c r="D276" s="19"/>
    </row>
    <row r="277" spans="1:4" ht="15.75" customHeight="1" x14ac:dyDescent="0.25">
      <c r="A277" s="19"/>
      <c r="B277" s="19"/>
      <c r="C277" s="19"/>
      <c r="D277" s="19"/>
    </row>
    <row r="278" spans="1:4" ht="15.75" customHeight="1" x14ac:dyDescent="0.25">
      <c r="A278" s="19"/>
      <c r="B278" s="19"/>
      <c r="C278" s="19"/>
      <c r="D278" s="19"/>
    </row>
    <row r="279" spans="1:4" ht="15.75" customHeight="1" x14ac:dyDescent="0.25">
      <c r="A279" s="19"/>
      <c r="B279" s="19"/>
      <c r="C279" s="19"/>
      <c r="D279" s="19"/>
    </row>
    <row r="280" spans="1:4" ht="15.75" customHeight="1" x14ac:dyDescent="0.25">
      <c r="A280" s="19"/>
      <c r="B280" s="19"/>
      <c r="C280" s="19"/>
      <c r="D280" s="19"/>
    </row>
    <row r="281" spans="1:4" ht="15.75" customHeight="1" x14ac:dyDescent="0.25">
      <c r="A281" s="19"/>
      <c r="B281" s="19"/>
      <c r="C281" s="19"/>
      <c r="D281" s="19"/>
    </row>
    <row r="282" spans="1:4" ht="15.75" customHeight="1" x14ac:dyDescent="0.25">
      <c r="A282" s="19"/>
      <c r="B282" s="19"/>
      <c r="C282" s="19"/>
      <c r="D282" s="19"/>
    </row>
    <row r="283" spans="1:4" ht="15.75" customHeight="1" x14ac:dyDescent="0.25">
      <c r="A283" s="19"/>
      <c r="B283" s="19"/>
      <c r="C283" s="19"/>
      <c r="D283" s="19"/>
    </row>
    <row r="284" spans="1:4" ht="15.75" customHeight="1" x14ac:dyDescent="0.25">
      <c r="A284" s="19"/>
      <c r="B284" s="19"/>
      <c r="C284" s="19"/>
      <c r="D284" s="19"/>
    </row>
    <row r="285" spans="1:4" ht="15.75" customHeight="1" x14ac:dyDescent="0.25">
      <c r="A285" s="19"/>
      <c r="B285" s="19"/>
      <c r="C285" s="19"/>
      <c r="D285" s="19"/>
    </row>
    <row r="286" spans="1:4" ht="15.75" customHeight="1" x14ac:dyDescent="0.25">
      <c r="A286" s="19"/>
      <c r="B286" s="19"/>
      <c r="C286" s="19"/>
      <c r="D286" s="19"/>
    </row>
    <row r="287" spans="1:4" ht="15.75" customHeight="1" x14ac:dyDescent="0.25">
      <c r="A287" s="19"/>
      <c r="B287" s="19"/>
      <c r="C287" s="19"/>
      <c r="D287" s="19"/>
    </row>
    <row r="288" spans="1:4" ht="15.75" customHeight="1" x14ac:dyDescent="0.25">
      <c r="A288" s="19"/>
      <c r="B288" s="19"/>
      <c r="C288" s="19"/>
      <c r="D288" s="19"/>
    </row>
    <row r="289" spans="1:4" ht="15.75" customHeight="1" x14ac:dyDescent="0.25">
      <c r="A289" s="19"/>
      <c r="B289" s="19"/>
      <c r="C289" s="19"/>
      <c r="D289" s="19"/>
    </row>
    <row r="290" spans="1:4" ht="15.75" customHeight="1" x14ac:dyDescent="0.25">
      <c r="A290" s="19"/>
      <c r="B290" s="19"/>
      <c r="C290" s="19"/>
      <c r="D290" s="19"/>
    </row>
    <row r="291" spans="1:4" ht="15.75" customHeight="1" x14ac:dyDescent="0.25">
      <c r="A291" s="19"/>
      <c r="B291" s="19"/>
      <c r="C291" s="19"/>
      <c r="D291" s="19"/>
    </row>
    <row r="292" spans="1:4" ht="15.75" customHeight="1" x14ac:dyDescent="0.25">
      <c r="A292" s="19"/>
      <c r="B292" s="19"/>
      <c r="C292" s="19"/>
      <c r="D292" s="19"/>
    </row>
    <row r="293" spans="1:4" ht="15.75" customHeight="1" x14ac:dyDescent="0.25">
      <c r="A293" s="19"/>
      <c r="B293" s="19"/>
      <c r="C293" s="19"/>
      <c r="D293" s="19"/>
    </row>
    <row r="294" spans="1:4" ht="15.75" customHeight="1" x14ac:dyDescent="0.25">
      <c r="A294" s="19"/>
      <c r="B294" s="19"/>
      <c r="C294" s="19"/>
      <c r="D294" s="19"/>
    </row>
    <row r="295" spans="1:4" ht="15.75" customHeight="1" x14ac:dyDescent="0.25">
      <c r="A295" s="19"/>
      <c r="B295" s="19"/>
      <c r="C295" s="19"/>
      <c r="D295" s="19"/>
    </row>
    <row r="296" spans="1:4" ht="15.75" customHeight="1" x14ac:dyDescent="0.25">
      <c r="A296" s="19"/>
      <c r="B296" s="19"/>
      <c r="C296" s="19"/>
      <c r="D296" s="19"/>
    </row>
    <row r="297" spans="1:4" ht="15.75" customHeight="1" x14ac:dyDescent="0.25">
      <c r="A297" s="19"/>
      <c r="B297" s="19"/>
      <c r="C297" s="19"/>
      <c r="D297" s="19"/>
    </row>
    <row r="298" spans="1:4" ht="15.75" customHeight="1" x14ac:dyDescent="0.25">
      <c r="A298" s="19"/>
      <c r="B298" s="19"/>
      <c r="C298" s="19"/>
      <c r="D298" s="19"/>
    </row>
    <row r="299" spans="1:4" ht="15.75" customHeight="1" x14ac:dyDescent="0.25">
      <c r="A299" s="19"/>
      <c r="B299" s="19"/>
      <c r="C299" s="19"/>
      <c r="D299" s="19"/>
    </row>
    <row r="300" spans="1:4" ht="15.75" customHeight="1" x14ac:dyDescent="0.25">
      <c r="A300" s="19"/>
      <c r="B300" s="19"/>
      <c r="C300" s="19"/>
      <c r="D300" s="19"/>
    </row>
    <row r="301" spans="1:4" ht="15.75" customHeight="1" x14ac:dyDescent="0.25">
      <c r="A301" s="19"/>
      <c r="B301" s="19"/>
      <c r="C301" s="19"/>
      <c r="D301" s="19"/>
    </row>
    <row r="302" spans="1:4" ht="15.75" customHeight="1" x14ac:dyDescent="0.25">
      <c r="A302" s="19"/>
      <c r="B302" s="19"/>
      <c r="C302" s="19"/>
      <c r="D302" s="19"/>
    </row>
    <row r="303" spans="1:4" ht="15.75" customHeight="1" x14ac:dyDescent="0.25">
      <c r="A303" s="19"/>
      <c r="B303" s="19"/>
      <c r="C303" s="19"/>
      <c r="D303" s="19"/>
    </row>
    <row r="304" spans="1:4" ht="15.75" customHeight="1" x14ac:dyDescent="0.25">
      <c r="A304" s="19"/>
      <c r="B304" s="19"/>
      <c r="C304" s="19"/>
      <c r="D304" s="19"/>
    </row>
    <row r="305" spans="1:4" ht="15.75" customHeight="1" x14ac:dyDescent="0.25">
      <c r="A305" s="19"/>
      <c r="B305" s="19"/>
      <c r="C305" s="19"/>
      <c r="D305" s="19"/>
    </row>
    <row r="306" spans="1:4" ht="15.75" customHeight="1" x14ac:dyDescent="0.25">
      <c r="A306" s="19"/>
      <c r="B306" s="19"/>
      <c r="C306" s="19"/>
      <c r="D306" s="19"/>
    </row>
    <row r="307" spans="1:4" ht="15.75" customHeight="1" x14ac:dyDescent="0.25">
      <c r="A307" s="19"/>
      <c r="B307" s="19"/>
      <c r="C307" s="19"/>
      <c r="D307" s="19"/>
    </row>
    <row r="308" spans="1:4" ht="15.75" customHeight="1" x14ac:dyDescent="0.25">
      <c r="A308" s="19"/>
      <c r="B308" s="19"/>
      <c r="C308" s="19"/>
      <c r="D308" s="19"/>
    </row>
    <row r="309" spans="1:4" ht="15.75" customHeight="1" x14ac:dyDescent="0.25">
      <c r="A309" s="19"/>
      <c r="B309" s="19"/>
      <c r="C309" s="19"/>
      <c r="D309" s="19"/>
    </row>
    <row r="310" spans="1:4" ht="15.75" customHeight="1" x14ac:dyDescent="0.25">
      <c r="A310" s="19"/>
      <c r="B310" s="19"/>
      <c r="C310" s="19"/>
      <c r="D310" s="19"/>
    </row>
    <row r="311" spans="1:4" ht="15.75" customHeight="1" x14ac:dyDescent="0.25">
      <c r="A311" s="19"/>
      <c r="B311" s="19"/>
      <c r="C311" s="19"/>
      <c r="D311" s="19"/>
    </row>
    <row r="312" spans="1:4" ht="15.75" customHeight="1" x14ac:dyDescent="0.25">
      <c r="A312" s="19"/>
      <c r="B312" s="19"/>
      <c r="C312" s="19"/>
      <c r="D312" s="19"/>
    </row>
    <row r="313" spans="1:4" ht="15.75" customHeight="1" x14ac:dyDescent="0.25">
      <c r="A313" s="19"/>
      <c r="B313" s="19"/>
      <c r="C313" s="19"/>
      <c r="D313" s="19"/>
    </row>
    <row r="314" spans="1:4" ht="15.75" customHeight="1" x14ac:dyDescent="0.25">
      <c r="A314" s="19"/>
      <c r="B314" s="19"/>
      <c r="C314" s="19"/>
      <c r="D314" s="19"/>
    </row>
    <row r="315" spans="1:4" ht="15.75" customHeight="1" x14ac:dyDescent="0.25">
      <c r="A315" s="19"/>
      <c r="B315" s="19"/>
      <c r="C315" s="19"/>
      <c r="D315" s="19"/>
    </row>
    <row r="316" spans="1:4" ht="15.75" customHeight="1" x14ac:dyDescent="0.25">
      <c r="A316" s="19"/>
      <c r="B316" s="19"/>
      <c r="C316" s="19"/>
      <c r="D316" s="19"/>
    </row>
    <row r="317" spans="1:4" ht="15.75" customHeight="1" x14ac:dyDescent="0.25">
      <c r="A317" s="19"/>
      <c r="B317" s="19"/>
      <c r="C317" s="19"/>
      <c r="D317" s="19"/>
    </row>
    <row r="318" spans="1:4" ht="15.75" customHeight="1" x14ac:dyDescent="0.25">
      <c r="A318" s="19"/>
      <c r="B318" s="19"/>
      <c r="C318" s="19"/>
      <c r="D318" s="19"/>
    </row>
    <row r="319" spans="1:4" ht="15.75" customHeight="1" x14ac:dyDescent="0.25">
      <c r="A319" s="19"/>
      <c r="B319" s="19"/>
      <c r="C319" s="19"/>
      <c r="D319" s="19"/>
    </row>
    <row r="320" spans="1:4" ht="15.75" customHeight="1" x14ac:dyDescent="0.25">
      <c r="A320" s="19"/>
      <c r="B320" s="19"/>
      <c r="C320" s="19"/>
      <c r="D320" s="19"/>
    </row>
    <row r="321" spans="1:4" ht="15.75" customHeight="1" x14ac:dyDescent="0.25">
      <c r="A321" s="19"/>
      <c r="B321" s="19"/>
      <c r="C321" s="19"/>
      <c r="D321" s="19"/>
    </row>
    <row r="322" spans="1:4" ht="15.75" customHeight="1" x14ac:dyDescent="0.25">
      <c r="A322" s="19"/>
      <c r="B322" s="19"/>
      <c r="C322" s="19"/>
      <c r="D322" s="19"/>
    </row>
    <row r="323" spans="1:4" ht="15.75" customHeight="1" x14ac:dyDescent="0.25">
      <c r="A323" s="19"/>
      <c r="B323" s="19"/>
      <c r="C323" s="19"/>
      <c r="D323" s="19"/>
    </row>
    <row r="324" spans="1:4" ht="15.75" customHeight="1" x14ac:dyDescent="0.25">
      <c r="A324" s="19"/>
      <c r="B324" s="19"/>
      <c r="C324" s="19"/>
      <c r="D324" s="19"/>
    </row>
    <row r="325" spans="1:4" ht="15.75" customHeight="1" x14ac:dyDescent="0.25">
      <c r="A325" s="19"/>
      <c r="B325" s="19"/>
      <c r="C325" s="19"/>
      <c r="D325" s="19"/>
    </row>
    <row r="326" spans="1:4" ht="15.75" customHeight="1" x14ac:dyDescent="0.25">
      <c r="A326" s="19"/>
      <c r="B326" s="19"/>
      <c r="C326" s="19"/>
      <c r="D326" s="19"/>
    </row>
    <row r="327" spans="1:4" ht="15.75" customHeight="1" x14ac:dyDescent="0.25">
      <c r="A327" s="19"/>
      <c r="B327" s="19"/>
      <c r="C327" s="19"/>
      <c r="D327" s="19"/>
    </row>
    <row r="328" spans="1:4" ht="15.75" customHeight="1" x14ac:dyDescent="0.25">
      <c r="A328" s="19"/>
      <c r="B328" s="19"/>
      <c r="C328" s="19"/>
      <c r="D328" s="19"/>
    </row>
    <row r="329" spans="1:4" ht="15.75" customHeight="1" x14ac:dyDescent="0.25">
      <c r="A329" s="19"/>
      <c r="B329" s="19"/>
      <c r="C329" s="19"/>
      <c r="D329" s="19"/>
    </row>
    <row r="330" spans="1:4" ht="15.75" customHeight="1" x14ac:dyDescent="0.25">
      <c r="A330" s="19"/>
      <c r="B330" s="19"/>
      <c r="C330" s="19"/>
      <c r="D330" s="19"/>
    </row>
    <row r="331" spans="1:4" ht="15.75" customHeight="1" x14ac:dyDescent="0.25">
      <c r="A331" s="19"/>
      <c r="B331" s="19"/>
      <c r="C331" s="19"/>
      <c r="D331" s="19"/>
    </row>
    <row r="332" spans="1:4" ht="15.75" customHeight="1" x14ac:dyDescent="0.25">
      <c r="A332" s="19"/>
      <c r="B332" s="19"/>
      <c r="C332" s="19"/>
      <c r="D332" s="19"/>
    </row>
    <row r="333" spans="1:4" ht="15.75" customHeight="1" x14ac:dyDescent="0.25">
      <c r="A333" s="19"/>
      <c r="B333" s="19"/>
      <c r="C333" s="19"/>
      <c r="D333" s="19"/>
    </row>
    <row r="334" spans="1:4" ht="15.75" customHeight="1" x14ac:dyDescent="0.25">
      <c r="A334" s="19"/>
      <c r="B334" s="19"/>
      <c r="C334" s="19"/>
      <c r="D334" s="19"/>
    </row>
    <row r="335" spans="1:4" ht="15.75" customHeight="1" x14ac:dyDescent="0.25">
      <c r="A335" s="19"/>
      <c r="B335" s="19"/>
      <c r="C335" s="19"/>
      <c r="D335" s="19"/>
    </row>
    <row r="336" spans="1:4" ht="15.75" customHeight="1" x14ac:dyDescent="0.25">
      <c r="A336" s="19"/>
      <c r="B336" s="19"/>
      <c r="C336" s="19"/>
      <c r="D336" s="19"/>
    </row>
    <row r="337" spans="1:4" ht="15.75" customHeight="1" x14ac:dyDescent="0.25">
      <c r="A337" s="19"/>
      <c r="B337" s="19"/>
      <c r="C337" s="19"/>
      <c r="D337" s="19"/>
    </row>
    <row r="338" spans="1:4" ht="15.75" customHeight="1" x14ac:dyDescent="0.25">
      <c r="A338" s="19"/>
      <c r="B338" s="19"/>
      <c r="C338" s="19"/>
      <c r="D338" s="19"/>
    </row>
    <row r="339" spans="1:4" ht="15.75" customHeight="1" x14ac:dyDescent="0.25">
      <c r="A339" s="19"/>
      <c r="B339" s="19"/>
      <c r="C339" s="19"/>
      <c r="D339" s="19"/>
    </row>
    <row r="340" spans="1:4" ht="15.75" customHeight="1" x14ac:dyDescent="0.25">
      <c r="A340" s="19"/>
      <c r="B340" s="19"/>
      <c r="C340" s="19"/>
      <c r="D340" s="19"/>
    </row>
    <row r="341" spans="1:4" ht="15.75" customHeight="1" x14ac:dyDescent="0.25">
      <c r="A341" s="19"/>
      <c r="B341" s="19"/>
      <c r="C341" s="19"/>
      <c r="D341" s="19"/>
    </row>
    <row r="342" spans="1:4" ht="15.75" customHeight="1" x14ac:dyDescent="0.25">
      <c r="A342" s="19"/>
      <c r="B342" s="19"/>
      <c r="C342" s="19"/>
      <c r="D342" s="19"/>
    </row>
    <row r="343" spans="1:4" ht="15.75" customHeight="1" x14ac:dyDescent="0.25">
      <c r="A343" s="19"/>
      <c r="B343" s="19"/>
      <c r="C343" s="19"/>
      <c r="D343" s="19"/>
    </row>
    <row r="344" spans="1:4" ht="15.75" customHeight="1" x14ac:dyDescent="0.25">
      <c r="A344" s="19"/>
      <c r="B344" s="19"/>
      <c r="C344" s="19"/>
      <c r="D344" s="19"/>
    </row>
    <row r="345" spans="1:4" ht="15.75" customHeight="1" x14ac:dyDescent="0.25">
      <c r="A345" s="19"/>
      <c r="B345" s="19"/>
      <c r="C345" s="19"/>
      <c r="D345" s="19"/>
    </row>
    <row r="346" spans="1:4" ht="15.75" customHeight="1" x14ac:dyDescent="0.25">
      <c r="A346" s="19"/>
      <c r="B346" s="19"/>
      <c r="C346" s="19"/>
      <c r="D346" s="19"/>
    </row>
    <row r="347" spans="1:4" ht="15.75" customHeight="1" x14ac:dyDescent="0.25">
      <c r="A347" s="19"/>
      <c r="B347" s="19"/>
      <c r="C347" s="19"/>
      <c r="D347" s="19"/>
    </row>
    <row r="348" spans="1:4" ht="15.75" customHeight="1" x14ac:dyDescent="0.25">
      <c r="A348" s="19"/>
      <c r="B348" s="19"/>
      <c r="C348" s="19"/>
      <c r="D348" s="19"/>
    </row>
    <row r="349" spans="1:4" ht="15.75" customHeight="1" x14ac:dyDescent="0.25">
      <c r="A349" s="19"/>
      <c r="B349" s="19"/>
      <c r="C349" s="19"/>
      <c r="D349" s="19"/>
    </row>
    <row r="350" spans="1:4" ht="15.75" customHeight="1" x14ac:dyDescent="0.25">
      <c r="A350" s="19"/>
      <c r="B350" s="19"/>
      <c r="C350" s="19"/>
      <c r="D350" s="19"/>
    </row>
    <row r="351" spans="1:4" ht="15.75" customHeight="1" x14ac:dyDescent="0.25">
      <c r="A351" s="19"/>
      <c r="B351" s="19"/>
      <c r="C351" s="19"/>
      <c r="D351" s="19"/>
    </row>
    <row r="352" spans="1:4" ht="15.75" customHeight="1" x14ac:dyDescent="0.25">
      <c r="A352" s="19"/>
      <c r="B352" s="19"/>
      <c r="C352" s="19"/>
      <c r="D352" s="19"/>
    </row>
    <row r="353" spans="1:4" ht="15.75" customHeight="1" x14ac:dyDescent="0.25">
      <c r="A353" s="19"/>
      <c r="B353" s="19"/>
      <c r="C353" s="19"/>
      <c r="D353" s="19"/>
    </row>
    <row r="354" spans="1:4" ht="15.75" customHeight="1" x14ac:dyDescent="0.25">
      <c r="A354" s="19"/>
      <c r="B354" s="19"/>
      <c r="C354" s="19"/>
      <c r="D354" s="19"/>
    </row>
    <row r="355" spans="1:4" ht="15.75" customHeight="1" x14ac:dyDescent="0.25">
      <c r="A355" s="19"/>
      <c r="B355" s="19"/>
      <c r="C355" s="19"/>
      <c r="D355" s="19"/>
    </row>
    <row r="356" spans="1:4" ht="15.75" customHeight="1" x14ac:dyDescent="0.25">
      <c r="A356" s="19"/>
      <c r="B356" s="19"/>
      <c r="C356" s="19"/>
      <c r="D356" s="19"/>
    </row>
    <row r="357" spans="1:4" ht="15.75" customHeight="1" x14ac:dyDescent="0.25">
      <c r="A357" s="19"/>
      <c r="B357" s="19"/>
      <c r="C357" s="19"/>
      <c r="D357" s="19"/>
    </row>
    <row r="358" spans="1:4" ht="15.75" customHeight="1" x14ac:dyDescent="0.25">
      <c r="A358" s="19"/>
      <c r="B358" s="19"/>
      <c r="C358" s="19"/>
      <c r="D358" s="19"/>
    </row>
    <row r="359" spans="1:4" ht="15.75" customHeight="1" x14ac:dyDescent="0.25">
      <c r="A359" s="19"/>
      <c r="B359" s="19"/>
      <c r="C359" s="19"/>
      <c r="D359" s="19"/>
    </row>
    <row r="360" spans="1:4" ht="15.75" customHeight="1" x14ac:dyDescent="0.25">
      <c r="A360" s="19"/>
      <c r="B360" s="19"/>
      <c r="C360" s="19"/>
      <c r="D360" s="19"/>
    </row>
    <row r="361" spans="1:4" ht="15.75" customHeight="1" x14ac:dyDescent="0.25">
      <c r="A361" s="19"/>
      <c r="B361" s="19"/>
      <c r="C361" s="19"/>
      <c r="D361" s="19"/>
    </row>
    <row r="362" spans="1:4" ht="15.75" customHeight="1" x14ac:dyDescent="0.25">
      <c r="A362" s="19"/>
      <c r="B362" s="19"/>
      <c r="C362" s="19"/>
      <c r="D362" s="19"/>
    </row>
    <row r="363" spans="1:4" ht="15.75" customHeight="1" x14ac:dyDescent="0.25">
      <c r="A363" s="19"/>
      <c r="B363" s="19"/>
      <c r="C363" s="19"/>
      <c r="D363" s="19"/>
    </row>
    <row r="364" spans="1:4" ht="15.75" customHeight="1" x14ac:dyDescent="0.25">
      <c r="A364" s="19"/>
      <c r="B364" s="19"/>
      <c r="C364" s="19"/>
      <c r="D364" s="19"/>
    </row>
    <row r="365" spans="1:4" ht="15.75" customHeight="1" x14ac:dyDescent="0.25">
      <c r="A365" s="19"/>
      <c r="B365" s="19"/>
      <c r="C365" s="19"/>
      <c r="D365" s="19"/>
    </row>
    <row r="366" spans="1:4" ht="15.75" customHeight="1" x14ac:dyDescent="0.25">
      <c r="A366" s="19"/>
      <c r="B366" s="19"/>
      <c r="C366" s="19"/>
      <c r="D366" s="19"/>
    </row>
    <row r="367" spans="1:4" ht="15.75" customHeight="1" x14ac:dyDescent="0.25">
      <c r="A367" s="19"/>
      <c r="B367" s="19"/>
      <c r="C367" s="19"/>
      <c r="D367" s="19"/>
    </row>
    <row r="368" spans="1:4" ht="15.75" customHeight="1" x14ac:dyDescent="0.25">
      <c r="A368" s="19"/>
      <c r="B368" s="19"/>
      <c r="C368" s="19"/>
      <c r="D368" s="19"/>
    </row>
    <row r="369" spans="1:4" ht="15.75" customHeight="1" x14ac:dyDescent="0.25">
      <c r="A369" s="19"/>
      <c r="B369" s="19"/>
      <c r="C369" s="19"/>
      <c r="D369" s="19"/>
    </row>
    <row r="370" spans="1:4" ht="15.75" customHeight="1" x14ac:dyDescent="0.25">
      <c r="A370" s="19"/>
      <c r="B370" s="19"/>
      <c r="C370" s="19"/>
      <c r="D370" s="19"/>
    </row>
    <row r="371" spans="1:4" ht="15.75" customHeight="1" x14ac:dyDescent="0.25">
      <c r="A371" s="19"/>
      <c r="B371" s="19"/>
      <c r="C371" s="19"/>
      <c r="D371" s="19"/>
    </row>
    <row r="372" spans="1:4" ht="15.75" customHeight="1" x14ac:dyDescent="0.25">
      <c r="A372" s="19"/>
      <c r="B372" s="19"/>
      <c r="C372" s="19"/>
      <c r="D372" s="19"/>
    </row>
    <row r="373" spans="1:4" ht="15.75" customHeight="1" x14ac:dyDescent="0.25">
      <c r="A373" s="19"/>
      <c r="B373" s="19"/>
      <c r="C373" s="19"/>
      <c r="D373" s="19"/>
    </row>
    <row r="374" spans="1:4" ht="15.75" customHeight="1" x14ac:dyDescent="0.25">
      <c r="A374" s="19"/>
      <c r="B374" s="19"/>
      <c r="C374" s="19"/>
      <c r="D374" s="19"/>
    </row>
    <row r="375" spans="1:4" ht="15.75" customHeight="1" x14ac:dyDescent="0.25">
      <c r="A375" s="19"/>
      <c r="B375" s="19"/>
      <c r="C375" s="19"/>
      <c r="D375" s="19"/>
    </row>
    <row r="376" spans="1:4" ht="15.75" customHeight="1" x14ac:dyDescent="0.25">
      <c r="A376" s="19"/>
      <c r="B376" s="19"/>
      <c r="C376" s="19"/>
      <c r="D376" s="19"/>
    </row>
    <row r="377" spans="1:4" ht="15.75" customHeight="1" x14ac:dyDescent="0.25">
      <c r="A377" s="19"/>
      <c r="B377" s="19"/>
      <c r="C377" s="19"/>
      <c r="D377" s="19"/>
    </row>
    <row r="378" spans="1:4" ht="15.75" customHeight="1" x14ac:dyDescent="0.25">
      <c r="A378" s="19"/>
      <c r="B378" s="19"/>
      <c r="C378" s="19"/>
      <c r="D378" s="19"/>
    </row>
    <row r="379" spans="1:4" ht="15.75" customHeight="1" x14ac:dyDescent="0.25">
      <c r="A379" s="19"/>
      <c r="B379" s="19"/>
      <c r="C379" s="19"/>
      <c r="D379" s="19"/>
    </row>
    <row r="380" spans="1:4" ht="15.75" customHeight="1" x14ac:dyDescent="0.25">
      <c r="A380" s="19"/>
      <c r="B380" s="19"/>
      <c r="C380" s="19"/>
      <c r="D380" s="19"/>
    </row>
    <row r="381" spans="1:4" ht="15.75" customHeight="1" x14ac:dyDescent="0.25">
      <c r="A381" s="19"/>
      <c r="B381" s="19"/>
      <c r="C381" s="19"/>
      <c r="D381" s="19"/>
    </row>
    <row r="382" spans="1:4" ht="15.75" customHeight="1" x14ac:dyDescent="0.25">
      <c r="A382" s="19"/>
      <c r="B382" s="19"/>
      <c r="C382" s="19"/>
      <c r="D382" s="19"/>
    </row>
    <row r="383" spans="1:4" ht="15.75" customHeight="1" x14ac:dyDescent="0.25">
      <c r="A383" s="19"/>
      <c r="B383" s="19"/>
      <c r="C383" s="19"/>
      <c r="D383" s="19"/>
    </row>
    <row r="384" spans="1:4" ht="15.75" customHeight="1" x14ac:dyDescent="0.25">
      <c r="A384" s="19"/>
      <c r="B384" s="19"/>
      <c r="C384" s="19"/>
      <c r="D384" s="19"/>
    </row>
    <row r="385" spans="1:4" ht="15.75" customHeight="1" x14ac:dyDescent="0.25">
      <c r="A385" s="19"/>
      <c r="B385" s="19"/>
      <c r="C385" s="19"/>
      <c r="D385" s="19"/>
    </row>
    <row r="386" spans="1:4" ht="15.75" customHeight="1" x14ac:dyDescent="0.25">
      <c r="A386" s="19"/>
      <c r="B386" s="19"/>
      <c r="C386" s="19"/>
      <c r="D386" s="19"/>
    </row>
    <row r="387" spans="1:4" ht="15.75" customHeight="1" x14ac:dyDescent="0.25">
      <c r="A387" s="19"/>
      <c r="B387" s="19"/>
      <c r="C387" s="19"/>
      <c r="D387" s="19"/>
    </row>
    <row r="388" spans="1:4" ht="15.75" customHeight="1" x14ac:dyDescent="0.25">
      <c r="A388" s="19"/>
      <c r="B388" s="19"/>
      <c r="C388" s="19"/>
      <c r="D388" s="19"/>
    </row>
    <row r="389" spans="1:4" ht="15.75" customHeight="1" x14ac:dyDescent="0.25">
      <c r="A389" s="19"/>
      <c r="B389" s="19"/>
      <c r="C389" s="19"/>
      <c r="D389" s="19"/>
    </row>
    <row r="390" spans="1:4" ht="15.75" customHeight="1" x14ac:dyDescent="0.25">
      <c r="A390" s="19"/>
      <c r="B390" s="19"/>
      <c r="C390" s="19"/>
      <c r="D390" s="19"/>
    </row>
    <row r="391" spans="1:4" ht="15.75" customHeight="1" x14ac:dyDescent="0.25">
      <c r="A391" s="19"/>
      <c r="B391" s="19"/>
      <c r="C391" s="19"/>
      <c r="D391" s="19"/>
    </row>
    <row r="392" spans="1:4" ht="15.75" customHeight="1" x14ac:dyDescent="0.25">
      <c r="A392" s="19"/>
      <c r="B392" s="19"/>
      <c r="C392" s="19"/>
      <c r="D392" s="19"/>
    </row>
    <row r="393" spans="1:4" ht="15.75" customHeight="1" x14ac:dyDescent="0.25">
      <c r="A393" s="19"/>
      <c r="B393" s="19"/>
      <c r="C393" s="19"/>
      <c r="D393" s="19"/>
    </row>
    <row r="394" spans="1:4" ht="15.75" customHeight="1" x14ac:dyDescent="0.25">
      <c r="A394" s="19"/>
      <c r="B394" s="19"/>
      <c r="C394" s="19"/>
      <c r="D394" s="19"/>
    </row>
    <row r="395" spans="1:4" ht="15.75" customHeight="1" x14ac:dyDescent="0.25">
      <c r="A395" s="19"/>
      <c r="B395" s="19"/>
      <c r="C395" s="19"/>
      <c r="D395" s="19"/>
    </row>
    <row r="396" spans="1:4" ht="15.75" customHeight="1" x14ac:dyDescent="0.25">
      <c r="A396" s="19"/>
      <c r="B396" s="19"/>
      <c r="C396" s="19"/>
      <c r="D396" s="19"/>
    </row>
    <row r="397" spans="1:4" ht="15.75" customHeight="1" x14ac:dyDescent="0.25">
      <c r="A397" s="19"/>
      <c r="B397" s="19"/>
      <c r="C397" s="19"/>
      <c r="D397" s="19"/>
    </row>
    <row r="398" spans="1:4" ht="15.75" customHeight="1" x14ac:dyDescent="0.25">
      <c r="A398" s="19"/>
      <c r="B398" s="19"/>
      <c r="C398" s="19"/>
      <c r="D398" s="19"/>
    </row>
    <row r="399" spans="1:4" ht="15.75" customHeight="1" x14ac:dyDescent="0.25">
      <c r="A399" s="19"/>
      <c r="B399" s="19"/>
      <c r="C399" s="19"/>
      <c r="D399" s="19"/>
    </row>
    <row r="400" spans="1:4" ht="15.75" customHeight="1" x14ac:dyDescent="0.25">
      <c r="A400" s="19"/>
      <c r="B400" s="19"/>
      <c r="C400" s="19"/>
      <c r="D400" s="19"/>
    </row>
    <row r="401" spans="1:4" ht="15.75" customHeight="1" x14ac:dyDescent="0.25">
      <c r="A401" s="19"/>
      <c r="B401" s="19"/>
      <c r="C401" s="19"/>
      <c r="D401" s="19"/>
    </row>
    <row r="402" spans="1:4" ht="15.75" customHeight="1" x14ac:dyDescent="0.25">
      <c r="A402" s="19"/>
      <c r="B402" s="19"/>
      <c r="C402" s="19"/>
      <c r="D402" s="19"/>
    </row>
    <row r="403" spans="1:4" ht="15.75" customHeight="1" x14ac:dyDescent="0.25">
      <c r="A403" s="19"/>
      <c r="B403" s="19"/>
      <c r="C403" s="19"/>
      <c r="D403" s="19"/>
    </row>
    <row r="404" spans="1:4" ht="15.75" customHeight="1" x14ac:dyDescent="0.25">
      <c r="A404" s="19"/>
      <c r="B404" s="19"/>
      <c r="C404" s="19"/>
      <c r="D404" s="19"/>
    </row>
    <row r="405" spans="1:4" ht="15.75" customHeight="1" x14ac:dyDescent="0.25">
      <c r="A405" s="19"/>
      <c r="B405" s="19"/>
      <c r="C405" s="19"/>
      <c r="D405" s="19"/>
    </row>
    <row r="406" spans="1:4" ht="15.75" customHeight="1" x14ac:dyDescent="0.25">
      <c r="A406" s="19"/>
      <c r="B406" s="19"/>
      <c r="C406" s="19"/>
      <c r="D406" s="19"/>
    </row>
    <row r="407" spans="1:4" ht="15.75" customHeight="1" x14ac:dyDescent="0.25">
      <c r="A407" s="19"/>
      <c r="B407" s="19"/>
      <c r="C407" s="19"/>
      <c r="D407" s="19"/>
    </row>
    <row r="408" spans="1:4" ht="15.75" customHeight="1" x14ac:dyDescent="0.25">
      <c r="A408" s="19"/>
      <c r="B408" s="19"/>
      <c r="C408" s="19"/>
      <c r="D408" s="19"/>
    </row>
    <row r="409" spans="1:4" ht="15.75" customHeight="1" x14ac:dyDescent="0.25">
      <c r="A409" s="19"/>
      <c r="B409" s="19"/>
      <c r="C409" s="19"/>
      <c r="D409" s="19"/>
    </row>
    <row r="410" spans="1:4" ht="15.75" customHeight="1" x14ac:dyDescent="0.25">
      <c r="A410" s="19"/>
      <c r="B410" s="19"/>
      <c r="C410" s="19"/>
      <c r="D410" s="19"/>
    </row>
    <row r="411" spans="1:4" ht="15.75" customHeight="1" x14ac:dyDescent="0.25">
      <c r="A411" s="19"/>
      <c r="B411" s="19"/>
      <c r="C411" s="19"/>
      <c r="D411" s="19"/>
    </row>
    <row r="412" spans="1:4" ht="15.75" customHeight="1" x14ac:dyDescent="0.25">
      <c r="A412" s="19"/>
      <c r="B412" s="19"/>
      <c r="C412" s="19"/>
      <c r="D412" s="19"/>
    </row>
    <row r="413" spans="1:4" ht="15.75" customHeight="1" x14ac:dyDescent="0.25">
      <c r="A413" s="19"/>
      <c r="B413" s="19"/>
      <c r="C413" s="19"/>
      <c r="D413" s="19"/>
    </row>
    <row r="414" spans="1:4" ht="15.75" customHeight="1" x14ac:dyDescent="0.25">
      <c r="A414" s="19"/>
      <c r="B414" s="19"/>
      <c r="C414" s="19"/>
      <c r="D414" s="19"/>
    </row>
    <row r="415" spans="1:4" ht="15.75" customHeight="1" x14ac:dyDescent="0.25">
      <c r="A415" s="19"/>
      <c r="B415" s="19"/>
      <c r="C415" s="19"/>
      <c r="D415" s="19"/>
    </row>
    <row r="416" spans="1:4" ht="15.75" customHeight="1" x14ac:dyDescent="0.25">
      <c r="A416" s="19"/>
      <c r="B416" s="19"/>
      <c r="C416" s="19"/>
      <c r="D416" s="19"/>
    </row>
    <row r="417" spans="1:4" ht="15.75" customHeight="1" x14ac:dyDescent="0.25">
      <c r="A417" s="19"/>
      <c r="B417" s="19"/>
      <c r="C417" s="19"/>
      <c r="D417" s="19"/>
    </row>
    <row r="418" spans="1:4" ht="15.75" customHeight="1" x14ac:dyDescent="0.25">
      <c r="A418" s="19"/>
      <c r="B418" s="19"/>
      <c r="C418" s="19"/>
      <c r="D418" s="19"/>
    </row>
    <row r="419" spans="1:4" ht="15.75" customHeight="1" x14ac:dyDescent="0.25">
      <c r="A419" s="19"/>
      <c r="B419" s="19"/>
      <c r="C419" s="19"/>
      <c r="D419" s="19"/>
    </row>
    <row r="420" spans="1:4" ht="15.75" customHeight="1" x14ac:dyDescent="0.25">
      <c r="A420" s="19"/>
      <c r="B420" s="19"/>
      <c r="C420" s="19"/>
      <c r="D420" s="19"/>
    </row>
    <row r="421" spans="1:4" ht="15.75" customHeight="1" x14ac:dyDescent="0.25">
      <c r="A421" s="19"/>
      <c r="B421" s="19"/>
      <c r="C421" s="19"/>
      <c r="D421" s="19"/>
    </row>
    <row r="422" spans="1:4" ht="15.75" customHeight="1" x14ac:dyDescent="0.25">
      <c r="A422" s="19"/>
      <c r="B422" s="19"/>
      <c r="C422" s="19"/>
      <c r="D422" s="19"/>
    </row>
    <row r="423" spans="1:4" ht="15.75" customHeight="1" x14ac:dyDescent="0.25">
      <c r="A423" s="19"/>
      <c r="B423" s="19"/>
      <c r="C423" s="19"/>
      <c r="D423" s="19"/>
    </row>
    <row r="424" spans="1:4" ht="15.75" customHeight="1" x14ac:dyDescent="0.25">
      <c r="A424" s="19"/>
      <c r="B424" s="19"/>
      <c r="C424" s="19"/>
      <c r="D424" s="19"/>
    </row>
    <row r="425" spans="1:4" ht="15.75" customHeight="1" x14ac:dyDescent="0.25">
      <c r="A425" s="19"/>
      <c r="B425" s="19"/>
      <c r="C425" s="19"/>
      <c r="D425" s="19"/>
    </row>
    <row r="426" spans="1:4" ht="15.75" customHeight="1" x14ac:dyDescent="0.25">
      <c r="A426" s="19"/>
      <c r="B426" s="19"/>
      <c r="C426" s="19"/>
      <c r="D426" s="19"/>
    </row>
    <row r="427" spans="1:4" ht="15.75" customHeight="1" x14ac:dyDescent="0.25">
      <c r="A427" s="19"/>
      <c r="B427" s="19"/>
      <c r="C427" s="19"/>
      <c r="D427" s="19"/>
    </row>
    <row r="428" spans="1:4" ht="15.75" customHeight="1" x14ac:dyDescent="0.25">
      <c r="A428" s="19"/>
      <c r="B428" s="19"/>
      <c r="C428" s="19"/>
      <c r="D428" s="19"/>
    </row>
    <row r="429" spans="1:4" ht="15.75" customHeight="1" x14ac:dyDescent="0.25">
      <c r="A429" s="19"/>
      <c r="B429" s="19"/>
      <c r="C429" s="19"/>
      <c r="D429" s="19"/>
    </row>
    <row r="430" spans="1:4" ht="15.75" customHeight="1" x14ac:dyDescent="0.25">
      <c r="A430" s="19"/>
      <c r="B430" s="19"/>
      <c r="C430" s="19"/>
      <c r="D430" s="19"/>
    </row>
    <row r="431" spans="1:4" ht="15.75" customHeight="1" x14ac:dyDescent="0.25">
      <c r="A431" s="19"/>
      <c r="B431" s="19"/>
      <c r="C431" s="19"/>
      <c r="D431" s="19"/>
    </row>
    <row r="432" spans="1:4" ht="15.75" customHeight="1" x14ac:dyDescent="0.25">
      <c r="A432" s="19"/>
      <c r="B432" s="19"/>
      <c r="C432" s="19"/>
      <c r="D432" s="19"/>
    </row>
    <row r="433" spans="1:4" ht="15.75" customHeight="1" x14ac:dyDescent="0.25">
      <c r="A433" s="19"/>
      <c r="B433" s="19"/>
      <c r="C433" s="19"/>
      <c r="D433" s="19"/>
    </row>
    <row r="434" spans="1:4" ht="15.75" customHeight="1" x14ac:dyDescent="0.25">
      <c r="A434" s="19"/>
      <c r="B434" s="19"/>
      <c r="C434" s="19"/>
      <c r="D434" s="19"/>
    </row>
    <row r="435" spans="1:4" ht="15.75" customHeight="1" x14ac:dyDescent="0.25">
      <c r="A435" s="19"/>
      <c r="B435" s="19"/>
      <c r="C435" s="19"/>
      <c r="D435" s="19"/>
    </row>
    <row r="436" spans="1:4" ht="15.75" customHeight="1" x14ac:dyDescent="0.25">
      <c r="A436" s="19"/>
      <c r="B436" s="19"/>
      <c r="C436" s="19"/>
      <c r="D436" s="19"/>
    </row>
    <row r="437" spans="1:4" ht="15.75" customHeight="1" x14ac:dyDescent="0.25">
      <c r="A437" s="19"/>
      <c r="B437" s="19"/>
      <c r="C437" s="19"/>
      <c r="D437" s="19"/>
    </row>
    <row r="438" spans="1:4" ht="15.75" customHeight="1" x14ac:dyDescent="0.25">
      <c r="A438" s="19"/>
      <c r="B438" s="19"/>
      <c r="C438" s="19"/>
      <c r="D438" s="19"/>
    </row>
    <row r="439" spans="1:4" ht="15.75" customHeight="1" x14ac:dyDescent="0.25">
      <c r="A439" s="19"/>
      <c r="B439" s="19"/>
      <c r="C439" s="19"/>
      <c r="D439" s="19"/>
    </row>
    <row r="440" spans="1:4" ht="15.75" customHeight="1" x14ac:dyDescent="0.25">
      <c r="A440" s="19"/>
      <c r="B440" s="19"/>
      <c r="C440" s="19"/>
      <c r="D440" s="19"/>
    </row>
    <row r="441" spans="1:4" ht="15.75" customHeight="1" x14ac:dyDescent="0.25">
      <c r="A441" s="19"/>
      <c r="B441" s="19"/>
      <c r="C441" s="19"/>
      <c r="D441" s="19"/>
    </row>
    <row r="442" spans="1:4" ht="15.75" customHeight="1" x14ac:dyDescent="0.25">
      <c r="A442" s="19"/>
      <c r="B442" s="19"/>
      <c r="C442" s="19"/>
      <c r="D442" s="19"/>
    </row>
    <row r="443" spans="1:4" ht="15.75" customHeight="1" x14ac:dyDescent="0.25">
      <c r="A443" s="19"/>
      <c r="B443" s="19"/>
      <c r="C443" s="19"/>
      <c r="D443" s="19"/>
    </row>
    <row r="444" spans="1:4" ht="15.75" customHeight="1" x14ac:dyDescent="0.25">
      <c r="A444" s="19"/>
      <c r="B444" s="19"/>
      <c r="C444" s="19"/>
      <c r="D444" s="19"/>
    </row>
    <row r="445" spans="1:4" ht="15.75" customHeight="1" x14ac:dyDescent="0.25">
      <c r="A445" s="19"/>
      <c r="B445" s="19"/>
      <c r="C445" s="19"/>
      <c r="D445" s="19"/>
    </row>
    <row r="446" spans="1:4" ht="15.75" customHeight="1" x14ac:dyDescent="0.25">
      <c r="A446" s="19"/>
      <c r="B446" s="19"/>
      <c r="C446" s="19"/>
      <c r="D446" s="19"/>
    </row>
    <row r="447" spans="1:4" ht="15.75" customHeight="1" x14ac:dyDescent="0.25">
      <c r="A447" s="19"/>
      <c r="B447" s="19"/>
      <c r="C447" s="19"/>
      <c r="D447" s="19"/>
    </row>
    <row r="448" spans="1:4" ht="15.75" customHeight="1" x14ac:dyDescent="0.25">
      <c r="A448" s="19"/>
      <c r="B448" s="19"/>
      <c r="C448" s="19"/>
      <c r="D448" s="19"/>
    </row>
    <row r="449" spans="1:4" ht="15.75" customHeight="1" x14ac:dyDescent="0.25">
      <c r="A449" s="19"/>
      <c r="B449" s="19"/>
      <c r="C449" s="19"/>
      <c r="D449" s="19"/>
    </row>
    <row r="450" spans="1:4" ht="15.75" customHeight="1" x14ac:dyDescent="0.25">
      <c r="A450" s="19"/>
      <c r="B450" s="19"/>
      <c r="C450" s="19"/>
      <c r="D450" s="19"/>
    </row>
    <row r="451" spans="1:4" ht="15.75" customHeight="1" x14ac:dyDescent="0.25">
      <c r="A451" s="19"/>
      <c r="B451" s="19"/>
      <c r="C451" s="19"/>
      <c r="D451" s="19"/>
    </row>
    <row r="452" spans="1:4" ht="15.75" customHeight="1" x14ac:dyDescent="0.25">
      <c r="A452" s="19"/>
      <c r="B452" s="19"/>
      <c r="C452" s="19"/>
      <c r="D452" s="19"/>
    </row>
    <row r="453" spans="1:4" ht="15.75" customHeight="1" x14ac:dyDescent="0.25">
      <c r="A453" s="19"/>
      <c r="B453" s="19"/>
      <c r="C453" s="19"/>
      <c r="D453" s="19"/>
    </row>
    <row r="454" spans="1:4" ht="15.75" customHeight="1" x14ac:dyDescent="0.25">
      <c r="A454" s="19"/>
      <c r="B454" s="19"/>
      <c r="C454" s="19"/>
      <c r="D454" s="19"/>
    </row>
    <row r="455" spans="1:4" ht="15.75" customHeight="1" x14ac:dyDescent="0.25">
      <c r="A455" s="19"/>
      <c r="B455" s="19"/>
      <c r="C455" s="19"/>
      <c r="D455" s="19"/>
    </row>
    <row r="456" spans="1:4" ht="15.75" customHeight="1" x14ac:dyDescent="0.25">
      <c r="A456" s="19"/>
      <c r="B456" s="19"/>
      <c r="C456" s="19"/>
      <c r="D456" s="19"/>
    </row>
    <row r="457" spans="1:4" ht="15.75" customHeight="1" x14ac:dyDescent="0.25">
      <c r="A457" s="19"/>
      <c r="B457" s="19"/>
      <c r="C457" s="19"/>
      <c r="D457" s="19"/>
    </row>
    <row r="458" spans="1:4" ht="15.75" customHeight="1" x14ac:dyDescent="0.25">
      <c r="A458" s="19"/>
      <c r="B458" s="19"/>
      <c r="C458" s="19"/>
      <c r="D458" s="19"/>
    </row>
    <row r="459" spans="1:4" ht="15.75" customHeight="1" x14ac:dyDescent="0.25">
      <c r="A459" s="19"/>
      <c r="B459" s="19"/>
      <c r="C459" s="19"/>
      <c r="D459" s="19"/>
    </row>
    <row r="460" spans="1:4" ht="15.75" customHeight="1" x14ac:dyDescent="0.25">
      <c r="A460" s="19"/>
      <c r="B460" s="19"/>
      <c r="C460" s="19"/>
      <c r="D460" s="19"/>
    </row>
    <row r="461" spans="1:4" ht="15.75" customHeight="1" x14ac:dyDescent="0.25">
      <c r="A461" s="19"/>
      <c r="B461" s="19"/>
      <c r="C461" s="19"/>
      <c r="D461" s="19"/>
    </row>
    <row r="462" spans="1:4" ht="15.75" customHeight="1" x14ac:dyDescent="0.25">
      <c r="A462" s="19"/>
      <c r="B462" s="19"/>
      <c r="C462" s="19"/>
      <c r="D462" s="19"/>
    </row>
    <row r="463" spans="1:4" ht="15.75" customHeight="1" x14ac:dyDescent="0.25">
      <c r="A463" s="19"/>
      <c r="B463" s="19"/>
      <c r="C463" s="19"/>
      <c r="D463" s="19"/>
    </row>
    <row r="464" spans="1:4" ht="15.75" customHeight="1" x14ac:dyDescent="0.25">
      <c r="A464" s="19"/>
      <c r="B464" s="19"/>
      <c r="C464" s="19"/>
      <c r="D464" s="19"/>
    </row>
    <row r="465" spans="1:4" ht="15.75" customHeight="1" x14ac:dyDescent="0.25">
      <c r="A465" s="19"/>
      <c r="B465" s="19"/>
      <c r="C465" s="19"/>
      <c r="D465" s="19"/>
    </row>
    <row r="466" spans="1:4" ht="15.75" customHeight="1" x14ac:dyDescent="0.25">
      <c r="A466" s="19"/>
      <c r="B466" s="19"/>
      <c r="C466" s="19"/>
      <c r="D466" s="19"/>
    </row>
    <row r="467" spans="1:4" ht="15.75" customHeight="1" x14ac:dyDescent="0.25">
      <c r="A467" s="19"/>
      <c r="B467" s="19"/>
      <c r="C467" s="19"/>
      <c r="D467" s="19"/>
    </row>
    <row r="468" spans="1:4" ht="15.75" customHeight="1" x14ac:dyDescent="0.25">
      <c r="A468" s="19"/>
      <c r="B468" s="19"/>
      <c r="C468" s="19"/>
      <c r="D468" s="19"/>
    </row>
    <row r="469" spans="1:4" ht="15.75" customHeight="1" x14ac:dyDescent="0.25">
      <c r="A469" s="19"/>
      <c r="B469" s="19"/>
      <c r="C469" s="19"/>
      <c r="D469" s="19"/>
    </row>
    <row r="470" spans="1:4" ht="15.75" customHeight="1" x14ac:dyDescent="0.25">
      <c r="A470" s="19"/>
      <c r="B470" s="19"/>
      <c r="C470" s="19"/>
      <c r="D470" s="19"/>
    </row>
    <row r="471" spans="1:4" ht="15.75" customHeight="1" x14ac:dyDescent="0.25">
      <c r="A471" s="19"/>
      <c r="B471" s="19"/>
      <c r="C471" s="19"/>
      <c r="D471" s="19"/>
    </row>
    <row r="472" spans="1:4" ht="15.75" customHeight="1" x14ac:dyDescent="0.25">
      <c r="A472" s="19"/>
      <c r="B472" s="19"/>
      <c r="C472" s="19"/>
      <c r="D472" s="19"/>
    </row>
    <row r="473" spans="1:4" ht="15.75" customHeight="1" x14ac:dyDescent="0.25">
      <c r="A473" s="19"/>
      <c r="B473" s="19"/>
      <c r="C473" s="19"/>
      <c r="D473" s="19"/>
    </row>
    <row r="474" spans="1:4" ht="15.75" customHeight="1" x14ac:dyDescent="0.25">
      <c r="A474" s="19"/>
      <c r="B474" s="19"/>
      <c r="C474" s="19"/>
      <c r="D474" s="19"/>
    </row>
    <row r="475" spans="1:4" ht="15.75" customHeight="1" x14ac:dyDescent="0.25">
      <c r="A475" s="19"/>
      <c r="B475" s="19"/>
      <c r="C475" s="19"/>
      <c r="D475" s="19"/>
    </row>
    <row r="476" spans="1:4" ht="15.75" customHeight="1" x14ac:dyDescent="0.25">
      <c r="A476" s="19"/>
      <c r="B476" s="19"/>
      <c r="C476" s="19"/>
      <c r="D476" s="19"/>
    </row>
    <row r="477" spans="1:4" ht="15.75" customHeight="1" x14ac:dyDescent="0.25">
      <c r="A477" s="19"/>
      <c r="B477" s="19"/>
      <c r="C477" s="19"/>
      <c r="D477" s="19"/>
    </row>
    <row r="478" spans="1:4" ht="15.75" customHeight="1" x14ac:dyDescent="0.25">
      <c r="A478" s="19"/>
      <c r="B478" s="19"/>
      <c r="C478" s="19"/>
      <c r="D478" s="19"/>
    </row>
    <row r="479" spans="1:4" ht="15.75" customHeight="1" x14ac:dyDescent="0.25">
      <c r="A479" s="19"/>
      <c r="B479" s="19"/>
      <c r="C479" s="19"/>
      <c r="D479" s="19"/>
    </row>
    <row r="480" spans="1:4" ht="15.75" customHeight="1" x14ac:dyDescent="0.25">
      <c r="A480" s="19"/>
      <c r="B480" s="19"/>
      <c r="C480" s="19"/>
      <c r="D480" s="19"/>
    </row>
    <row r="481" spans="1:4" ht="15.75" customHeight="1" x14ac:dyDescent="0.25">
      <c r="A481" s="19"/>
      <c r="B481" s="19"/>
      <c r="C481" s="19"/>
      <c r="D481" s="19"/>
    </row>
    <row r="482" spans="1:4" ht="15.75" customHeight="1" x14ac:dyDescent="0.25">
      <c r="A482" s="19"/>
      <c r="B482" s="19"/>
      <c r="C482" s="19"/>
      <c r="D482" s="19"/>
    </row>
    <row r="483" spans="1:4" ht="15.75" customHeight="1" x14ac:dyDescent="0.25">
      <c r="A483" s="19"/>
      <c r="B483" s="19"/>
      <c r="C483" s="19"/>
      <c r="D483" s="19"/>
    </row>
    <row r="484" spans="1:4" ht="15.75" customHeight="1" x14ac:dyDescent="0.25">
      <c r="A484" s="19"/>
      <c r="B484" s="19"/>
      <c r="C484" s="19"/>
      <c r="D484" s="19"/>
    </row>
    <row r="485" spans="1:4" ht="15.75" customHeight="1" x14ac:dyDescent="0.25">
      <c r="A485" s="19"/>
      <c r="B485" s="19"/>
      <c r="C485" s="19"/>
      <c r="D485" s="19"/>
    </row>
    <row r="486" spans="1:4" ht="15.75" customHeight="1" x14ac:dyDescent="0.25">
      <c r="A486" s="19"/>
      <c r="B486" s="19"/>
      <c r="C486" s="19"/>
      <c r="D486" s="19"/>
    </row>
    <row r="487" spans="1:4" ht="15.75" customHeight="1" x14ac:dyDescent="0.25">
      <c r="A487" s="19"/>
      <c r="B487" s="19"/>
      <c r="C487" s="19"/>
      <c r="D487" s="19"/>
    </row>
    <row r="488" spans="1:4" ht="15.75" customHeight="1" x14ac:dyDescent="0.25">
      <c r="A488" s="19"/>
      <c r="B488" s="19"/>
      <c r="C488" s="19"/>
      <c r="D488" s="19"/>
    </row>
    <row r="489" spans="1:4" ht="15.75" customHeight="1" x14ac:dyDescent="0.25">
      <c r="A489" s="19"/>
      <c r="B489" s="19"/>
      <c r="C489" s="19"/>
      <c r="D489" s="19"/>
    </row>
    <row r="490" spans="1:4" ht="15.75" customHeight="1" x14ac:dyDescent="0.25">
      <c r="A490" s="19"/>
      <c r="B490" s="19"/>
      <c r="C490" s="19"/>
      <c r="D490" s="19"/>
    </row>
    <row r="491" spans="1:4" ht="15.75" customHeight="1" x14ac:dyDescent="0.25">
      <c r="A491" s="19"/>
      <c r="B491" s="19"/>
      <c r="C491" s="19"/>
      <c r="D491" s="19"/>
    </row>
    <row r="492" spans="1:4" ht="15.75" customHeight="1" x14ac:dyDescent="0.25">
      <c r="A492" s="19"/>
      <c r="B492" s="19"/>
      <c r="C492" s="19"/>
      <c r="D492" s="19"/>
    </row>
    <row r="493" spans="1:4" ht="15.75" customHeight="1" x14ac:dyDescent="0.25">
      <c r="A493" s="19"/>
      <c r="B493" s="19"/>
      <c r="C493" s="19"/>
      <c r="D493" s="19"/>
    </row>
    <row r="494" spans="1:4" ht="15.75" customHeight="1" x14ac:dyDescent="0.25">
      <c r="A494" s="19"/>
      <c r="B494" s="19"/>
      <c r="C494" s="19"/>
      <c r="D494" s="19"/>
    </row>
    <row r="495" spans="1:4" ht="15.75" customHeight="1" x14ac:dyDescent="0.25">
      <c r="A495" s="19"/>
      <c r="B495" s="19"/>
      <c r="C495" s="19"/>
      <c r="D495" s="19"/>
    </row>
    <row r="496" spans="1:4" ht="15.75" customHeight="1" x14ac:dyDescent="0.25">
      <c r="A496" s="19"/>
      <c r="B496" s="19"/>
      <c r="C496" s="19"/>
      <c r="D496" s="19"/>
    </row>
    <row r="497" spans="1:4" ht="15.75" customHeight="1" x14ac:dyDescent="0.25">
      <c r="A497" s="19"/>
      <c r="B497" s="19"/>
      <c r="C497" s="19"/>
      <c r="D497" s="19"/>
    </row>
    <row r="498" spans="1:4" ht="15.75" customHeight="1" x14ac:dyDescent="0.25">
      <c r="A498" s="19"/>
      <c r="B498" s="19"/>
      <c r="C498" s="19"/>
      <c r="D498" s="19"/>
    </row>
    <row r="499" spans="1:4" ht="15.75" customHeight="1" x14ac:dyDescent="0.25">
      <c r="A499" s="19"/>
      <c r="B499" s="19"/>
      <c r="C499" s="19"/>
      <c r="D499" s="19"/>
    </row>
    <row r="500" spans="1:4" ht="15.75" customHeight="1" x14ac:dyDescent="0.25">
      <c r="A500" s="19"/>
      <c r="B500" s="19"/>
      <c r="C500" s="19"/>
      <c r="D500" s="19"/>
    </row>
    <row r="501" spans="1:4" ht="15.75" customHeight="1" x14ac:dyDescent="0.25">
      <c r="A501" s="19"/>
      <c r="B501" s="19"/>
      <c r="C501" s="19"/>
      <c r="D501" s="19"/>
    </row>
    <row r="502" spans="1:4" ht="15.75" customHeight="1" x14ac:dyDescent="0.25">
      <c r="A502" s="19"/>
      <c r="B502" s="19"/>
      <c r="C502" s="19"/>
      <c r="D502" s="19"/>
    </row>
    <row r="503" spans="1:4" ht="15.75" customHeight="1" x14ac:dyDescent="0.25">
      <c r="A503" s="19"/>
      <c r="B503" s="19"/>
      <c r="C503" s="19"/>
      <c r="D503" s="19"/>
    </row>
    <row r="504" spans="1:4" ht="15.75" customHeight="1" x14ac:dyDescent="0.25">
      <c r="A504" s="19"/>
      <c r="B504" s="19"/>
      <c r="C504" s="19"/>
      <c r="D504" s="19"/>
    </row>
    <row r="505" spans="1:4" ht="15.75" customHeight="1" x14ac:dyDescent="0.25">
      <c r="A505" s="19"/>
      <c r="B505" s="19"/>
      <c r="C505" s="19"/>
      <c r="D505" s="19"/>
    </row>
    <row r="506" spans="1:4" ht="15.75" customHeight="1" x14ac:dyDescent="0.25">
      <c r="A506" s="19"/>
      <c r="B506" s="19"/>
      <c r="C506" s="19"/>
      <c r="D506" s="19"/>
    </row>
    <row r="507" spans="1:4" ht="15.75" customHeight="1" x14ac:dyDescent="0.25">
      <c r="A507" s="19"/>
      <c r="B507" s="19"/>
      <c r="C507" s="19"/>
      <c r="D507" s="19"/>
    </row>
    <row r="508" spans="1:4" ht="15.75" customHeight="1" x14ac:dyDescent="0.25">
      <c r="A508" s="19"/>
      <c r="B508" s="19"/>
      <c r="C508" s="19"/>
      <c r="D508" s="19"/>
    </row>
    <row r="509" spans="1:4" ht="15.75" customHeight="1" x14ac:dyDescent="0.25">
      <c r="A509" s="19"/>
      <c r="B509" s="19"/>
      <c r="C509" s="19"/>
      <c r="D509" s="19"/>
    </row>
    <row r="510" spans="1:4" ht="15.75" customHeight="1" x14ac:dyDescent="0.25">
      <c r="A510" s="19"/>
      <c r="B510" s="19"/>
      <c r="C510" s="19"/>
      <c r="D510" s="19"/>
    </row>
    <row r="511" spans="1:4" ht="15.75" customHeight="1" x14ac:dyDescent="0.25">
      <c r="A511" s="19"/>
      <c r="B511" s="19"/>
      <c r="C511" s="19"/>
      <c r="D511" s="19"/>
    </row>
    <row r="512" spans="1:4" ht="15.75" customHeight="1" x14ac:dyDescent="0.25">
      <c r="A512" s="19"/>
      <c r="B512" s="19"/>
      <c r="C512" s="19"/>
      <c r="D512" s="19"/>
    </row>
    <row r="513" spans="1:4" ht="15.75" customHeight="1" x14ac:dyDescent="0.25">
      <c r="A513" s="19"/>
      <c r="B513" s="19"/>
      <c r="C513" s="19"/>
      <c r="D513" s="19"/>
    </row>
    <row r="514" spans="1:4" ht="15.75" customHeight="1" x14ac:dyDescent="0.25">
      <c r="A514" s="19"/>
      <c r="B514" s="19"/>
      <c r="C514" s="19"/>
      <c r="D514" s="19"/>
    </row>
    <row r="515" spans="1:4" ht="15.75" customHeight="1" x14ac:dyDescent="0.25">
      <c r="A515" s="19"/>
      <c r="B515" s="19"/>
      <c r="C515" s="19"/>
      <c r="D515" s="19"/>
    </row>
    <row r="516" spans="1:4" ht="15.75" customHeight="1" x14ac:dyDescent="0.25">
      <c r="A516" s="19"/>
      <c r="B516" s="19"/>
      <c r="C516" s="19"/>
      <c r="D516" s="19"/>
    </row>
    <row r="517" spans="1:4" ht="15.75" customHeight="1" x14ac:dyDescent="0.25">
      <c r="A517" s="19"/>
      <c r="B517" s="19"/>
      <c r="C517" s="19"/>
      <c r="D517" s="19"/>
    </row>
    <row r="518" spans="1:4" ht="15.75" customHeight="1" x14ac:dyDescent="0.25">
      <c r="A518" s="19"/>
      <c r="B518" s="19"/>
      <c r="C518" s="19"/>
      <c r="D518" s="19"/>
    </row>
    <row r="519" spans="1:4" ht="15.75" customHeight="1" x14ac:dyDescent="0.25">
      <c r="A519" s="19"/>
      <c r="B519" s="19"/>
      <c r="C519" s="19"/>
      <c r="D519" s="19"/>
    </row>
    <row r="520" spans="1:4" ht="15.75" customHeight="1" x14ac:dyDescent="0.25">
      <c r="A520" s="19"/>
      <c r="B520" s="19"/>
      <c r="C520" s="19"/>
      <c r="D520" s="19"/>
    </row>
    <row r="521" spans="1:4" ht="15.75" customHeight="1" x14ac:dyDescent="0.25">
      <c r="A521" s="19"/>
      <c r="B521" s="19"/>
      <c r="C521" s="19"/>
      <c r="D521" s="19"/>
    </row>
    <row r="522" spans="1:4" ht="15.75" customHeight="1" x14ac:dyDescent="0.25">
      <c r="A522" s="19"/>
      <c r="B522" s="19"/>
      <c r="C522" s="19"/>
      <c r="D522" s="19"/>
    </row>
    <row r="523" spans="1:4" ht="15.75" customHeight="1" x14ac:dyDescent="0.25">
      <c r="A523" s="19"/>
      <c r="B523" s="19"/>
      <c r="C523" s="19"/>
      <c r="D523" s="19"/>
    </row>
    <row r="524" spans="1:4" ht="15.75" customHeight="1" x14ac:dyDescent="0.25">
      <c r="A524" s="19"/>
      <c r="B524" s="19"/>
      <c r="C524" s="19"/>
      <c r="D524" s="19"/>
    </row>
    <row r="525" spans="1:4" ht="15.75" customHeight="1" x14ac:dyDescent="0.25">
      <c r="A525" s="19"/>
      <c r="B525" s="19"/>
      <c r="C525" s="19"/>
      <c r="D525" s="19"/>
    </row>
    <row r="526" spans="1:4" ht="15.75" customHeight="1" x14ac:dyDescent="0.25">
      <c r="A526" s="19"/>
      <c r="B526" s="19"/>
      <c r="C526" s="19"/>
      <c r="D526" s="19"/>
    </row>
    <row r="527" spans="1:4" ht="15.75" customHeight="1" x14ac:dyDescent="0.25">
      <c r="A527" s="19"/>
      <c r="B527" s="19"/>
      <c r="C527" s="19"/>
      <c r="D527" s="19"/>
    </row>
    <row r="528" spans="1:4" ht="15.75" customHeight="1" x14ac:dyDescent="0.25">
      <c r="A528" s="19"/>
      <c r="B528" s="19"/>
      <c r="C528" s="19"/>
      <c r="D528" s="19"/>
    </row>
    <row r="529" spans="1:4" ht="15.75" customHeight="1" x14ac:dyDescent="0.25">
      <c r="A529" s="19"/>
      <c r="B529" s="19"/>
      <c r="C529" s="19"/>
      <c r="D529" s="19"/>
    </row>
    <row r="530" spans="1:4" ht="15.75" customHeight="1" x14ac:dyDescent="0.25">
      <c r="A530" s="19"/>
      <c r="B530" s="19"/>
      <c r="C530" s="19"/>
      <c r="D530" s="19"/>
    </row>
    <row r="531" spans="1:4" ht="15.75" customHeight="1" x14ac:dyDescent="0.25">
      <c r="A531" s="19"/>
      <c r="B531" s="19"/>
      <c r="C531" s="19"/>
      <c r="D531" s="19"/>
    </row>
    <row r="532" spans="1:4" ht="15.75" customHeight="1" x14ac:dyDescent="0.25">
      <c r="A532" s="19"/>
      <c r="B532" s="19"/>
      <c r="C532" s="19"/>
      <c r="D532" s="19"/>
    </row>
    <row r="533" spans="1:4" ht="15.75" customHeight="1" x14ac:dyDescent="0.25">
      <c r="A533" s="19"/>
      <c r="B533" s="19"/>
      <c r="C533" s="19"/>
      <c r="D533" s="19"/>
    </row>
    <row r="534" spans="1:4" ht="15.75" customHeight="1" x14ac:dyDescent="0.25">
      <c r="A534" s="19"/>
      <c r="B534" s="19"/>
      <c r="C534" s="19"/>
      <c r="D534" s="19"/>
    </row>
    <row r="535" spans="1:4" ht="15.75" customHeight="1" x14ac:dyDescent="0.25">
      <c r="A535" s="19"/>
      <c r="B535" s="19"/>
      <c r="C535" s="19"/>
      <c r="D535" s="19"/>
    </row>
    <row r="536" spans="1:4" ht="15.75" customHeight="1" x14ac:dyDescent="0.25">
      <c r="A536" s="19"/>
      <c r="B536" s="19"/>
      <c r="C536" s="19"/>
      <c r="D536" s="19"/>
    </row>
    <row r="537" spans="1:4" ht="15.75" customHeight="1" x14ac:dyDescent="0.25">
      <c r="A537" s="19"/>
      <c r="B537" s="19"/>
      <c r="C537" s="19"/>
      <c r="D537" s="19"/>
    </row>
    <row r="538" spans="1:4" ht="15.75" customHeight="1" x14ac:dyDescent="0.25">
      <c r="A538" s="19"/>
      <c r="B538" s="19"/>
      <c r="C538" s="19"/>
      <c r="D538" s="19"/>
    </row>
    <row r="539" spans="1:4" ht="15.75" customHeight="1" x14ac:dyDescent="0.25">
      <c r="A539" s="19"/>
      <c r="B539" s="19"/>
      <c r="C539" s="19"/>
      <c r="D539" s="19"/>
    </row>
    <row r="540" spans="1:4" ht="15.75" customHeight="1" x14ac:dyDescent="0.25">
      <c r="A540" s="19"/>
      <c r="B540" s="19"/>
      <c r="C540" s="19"/>
      <c r="D540" s="19"/>
    </row>
    <row r="541" spans="1:4" ht="15.75" customHeight="1" x14ac:dyDescent="0.25">
      <c r="A541" s="19"/>
      <c r="B541" s="19"/>
      <c r="C541" s="19"/>
      <c r="D541" s="19"/>
    </row>
    <row r="542" spans="1:4" ht="15.75" customHeight="1" x14ac:dyDescent="0.25">
      <c r="A542" s="19"/>
      <c r="B542" s="19"/>
      <c r="C542" s="19"/>
      <c r="D542" s="19"/>
    </row>
    <row r="543" spans="1:4" ht="15.75" customHeight="1" x14ac:dyDescent="0.25">
      <c r="A543" s="19"/>
      <c r="B543" s="19"/>
      <c r="C543" s="19"/>
      <c r="D543" s="19"/>
    </row>
    <row r="544" spans="1:4" ht="15.75" customHeight="1" x14ac:dyDescent="0.25">
      <c r="A544" s="19"/>
      <c r="B544" s="19"/>
      <c r="C544" s="19"/>
      <c r="D544" s="19"/>
    </row>
    <row r="545" spans="1:4" ht="15.75" customHeight="1" x14ac:dyDescent="0.25">
      <c r="A545" s="19"/>
      <c r="B545" s="19"/>
      <c r="C545" s="19"/>
      <c r="D545" s="19"/>
    </row>
    <row r="546" spans="1:4" ht="15.75" customHeight="1" x14ac:dyDescent="0.25">
      <c r="A546" s="19"/>
      <c r="B546" s="19"/>
      <c r="C546" s="19"/>
      <c r="D546" s="19"/>
    </row>
    <row r="547" spans="1:4" ht="15.75" customHeight="1" x14ac:dyDescent="0.25">
      <c r="A547" s="19"/>
      <c r="B547" s="19"/>
      <c r="C547" s="19"/>
      <c r="D547" s="19"/>
    </row>
    <row r="548" spans="1:4" ht="15.75" customHeight="1" x14ac:dyDescent="0.25">
      <c r="A548" s="19"/>
      <c r="B548" s="19"/>
      <c r="C548" s="19"/>
      <c r="D548" s="19"/>
    </row>
    <row r="549" spans="1:4" ht="15.75" customHeight="1" x14ac:dyDescent="0.25">
      <c r="A549" s="19"/>
      <c r="B549" s="19"/>
      <c r="C549" s="19"/>
      <c r="D549" s="19"/>
    </row>
    <row r="550" spans="1:4" ht="15.75" customHeight="1" x14ac:dyDescent="0.25">
      <c r="A550" s="19"/>
      <c r="B550" s="19"/>
      <c r="C550" s="19"/>
      <c r="D550" s="19"/>
    </row>
    <row r="551" spans="1:4" ht="15.75" customHeight="1" x14ac:dyDescent="0.25">
      <c r="A551" s="19"/>
      <c r="B551" s="19"/>
      <c r="C551" s="19"/>
      <c r="D551" s="19"/>
    </row>
    <row r="552" spans="1:4" ht="15.75" customHeight="1" x14ac:dyDescent="0.25">
      <c r="A552" s="19"/>
      <c r="B552" s="19"/>
      <c r="C552" s="19"/>
      <c r="D552" s="19"/>
    </row>
    <row r="553" spans="1:4" ht="15.75" customHeight="1" x14ac:dyDescent="0.25">
      <c r="A553" s="19"/>
      <c r="B553" s="19"/>
      <c r="C553" s="19"/>
      <c r="D553" s="19"/>
    </row>
    <row r="554" spans="1:4" ht="15.75" customHeight="1" x14ac:dyDescent="0.25">
      <c r="A554" s="19"/>
      <c r="B554" s="19"/>
      <c r="C554" s="19"/>
      <c r="D554" s="19"/>
    </row>
    <row r="555" spans="1:4" ht="15.75" customHeight="1" x14ac:dyDescent="0.25">
      <c r="A555" s="19"/>
      <c r="B555" s="19"/>
      <c r="C555" s="19"/>
      <c r="D555" s="19"/>
    </row>
    <row r="556" spans="1:4" ht="15.75" customHeight="1" x14ac:dyDescent="0.25">
      <c r="A556" s="19"/>
      <c r="B556" s="19"/>
      <c r="C556" s="19"/>
      <c r="D556" s="19"/>
    </row>
    <row r="557" spans="1:4" ht="15.75" customHeight="1" x14ac:dyDescent="0.25">
      <c r="A557" s="19"/>
      <c r="B557" s="19"/>
      <c r="C557" s="19"/>
      <c r="D557" s="19"/>
    </row>
    <row r="558" spans="1:4" ht="15.75" customHeight="1" x14ac:dyDescent="0.25">
      <c r="A558" s="19"/>
      <c r="B558" s="19"/>
      <c r="C558" s="19"/>
      <c r="D558" s="19"/>
    </row>
    <row r="559" spans="1:4" ht="15.75" customHeight="1" x14ac:dyDescent="0.25">
      <c r="A559" s="19"/>
      <c r="B559" s="19"/>
      <c r="C559" s="19"/>
      <c r="D559" s="19"/>
    </row>
    <row r="560" spans="1:4" ht="15.75" customHeight="1" x14ac:dyDescent="0.25">
      <c r="A560" s="19"/>
      <c r="B560" s="19"/>
      <c r="C560" s="19"/>
      <c r="D560" s="19"/>
    </row>
    <row r="561" spans="1:4" ht="15.75" customHeight="1" x14ac:dyDescent="0.25">
      <c r="A561" s="19"/>
      <c r="B561" s="19"/>
      <c r="C561" s="19"/>
      <c r="D561" s="19"/>
    </row>
    <row r="562" spans="1:4" ht="15.75" customHeight="1" x14ac:dyDescent="0.25">
      <c r="A562" s="19"/>
      <c r="B562" s="19"/>
      <c r="C562" s="19"/>
      <c r="D562" s="19"/>
    </row>
    <row r="563" spans="1:4" ht="15.75" customHeight="1" x14ac:dyDescent="0.25">
      <c r="A563" s="19"/>
      <c r="B563" s="19"/>
      <c r="C563" s="19"/>
      <c r="D563" s="19"/>
    </row>
    <row r="564" spans="1:4" ht="15.75" customHeight="1" x14ac:dyDescent="0.25">
      <c r="A564" s="19"/>
      <c r="B564" s="19"/>
      <c r="C564" s="19"/>
      <c r="D564" s="19"/>
    </row>
    <row r="565" spans="1:4" ht="15.75" customHeight="1" x14ac:dyDescent="0.25">
      <c r="A565" s="19"/>
      <c r="B565" s="19"/>
      <c r="C565" s="19"/>
      <c r="D565" s="19"/>
    </row>
    <row r="566" spans="1:4" ht="15.75" customHeight="1" x14ac:dyDescent="0.25">
      <c r="A566" s="19"/>
      <c r="B566" s="19"/>
      <c r="C566" s="19"/>
      <c r="D566" s="19"/>
    </row>
    <row r="567" spans="1:4" ht="15.75" customHeight="1" x14ac:dyDescent="0.25">
      <c r="A567" s="19"/>
      <c r="B567" s="19"/>
      <c r="C567" s="19"/>
      <c r="D567" s="19"/>
    </row>
    <row r="568" spans="1:4" ht="15.75" customHeight="1" x14ac:dyDescent="0.25">
      <c r="A568" s="19"/>
      <c r="B568" s="19"/>
      <c r="C568" s="19"/>
      <c r="D568" s="19"/>
    </row>
    <row r="569" spans="1:4" ht="15.75" customHeight="1" x14ac:dyDescent="0.25">
      <c r="A569" s="19"/>
      <c r="B569" s="19"/>
      <c r="C569" s="19"/>
      <c r="D569" s="19"/>
    </row>
    <row r="570" spans="1:4" ht="15.75" customHeight="1" x14ac:dyDescent="0.25">
      <c r="A570" s="19"/>
      <c r="B570" s="19"/>
      <c r="C570" s="19"/>
      <c r="D570" s="19"/>
    </row>
    <row r="571" spans="1:4" ht="15.75" customHeight="1" x14ac:dyDescent="0.25">
      <c r="A571" s="19"/>
      <c r="B571" s="19"/>
      <c r="C571" s="19"/>
      <c r="D571" s="19"/>
    </row>
    <row r="572" spans="1:4" ht="15.75" customHeight="1" x14ac:dyDescent="0.25">
      <c r="A572" s="19"/>
      <c r="B572" s="19"/>
      <c r="C572" s="19"/>
      <c r="D572" s="19"/>
    </row>
    <row r="573" spans="1:4" ht="15.75" customHeight="1" x14ac:dyDescent="0.25">
      <c r="A573" s="19"/>
      <c r="B573" s="19"/>
      <c r="C573" s="19"/>
      <c r="D573" s="19"/>
    </row>
    <row r="574" spans="1:4" ht="15.75" customHeight="1" x14ac:dyDescent="0.25">
      <c r="A574" s="19"/>
      <c r="B574" s="19"/>
      <c r="C574" s="19"/>
      <c r="D574" s="19"/>
    </row>
    <row r="575" spans="1:4" ht="15.75" customHeight="1" x14ac:dyDescent="0.25">
      <c r="A575" s="19"/>
      <c r="B575" s="19"/>
      <c r="C575" s="19"/>
      <c r="D575" s="19"/>
    </row>
    <row r="576" spans="1:4" ht="15.75" customHeight="1" x14ac:dyDescent="0.25">
      <c r="A576" s="19"/>
      <c r="B576" s="19"/>
      <c r="C576" s="19"/>
      <c r="D576" s="19"/>
    </row>
    <row r="577" spans="1:4" ht="15.75" customHeight="1" x14ac:dyDescent="0.25">
      <c r="A577" s="19"/>
      <c r="B577" s="19"/>
      <c r="C577" s="19"/>
      <c r="D577" s="19"/>
    </row>
    <row r="578" spans="1:4" ht="15.75" customHeight="1" x14ac:dyDescent="0.25">
      <c r="A578" s="19"/>
      <c r="B578" s="19"/>
      <c r="C578" s="19"/>
      <c r="D578" s="19"/>
    </row>
    <row r="579" spans="1:4" ht="15.75" customHeight="1" x14ac:dyDescent="0.25">
      <c r="A579" s="19"/>
      <c r="B579" s="19"/>
      <c r="C579" s="19"/>
      <c r="D579" s="19"/>
    </row>
    <row r="580" spans="1:4" ht="15.75" customHeight="1" x14ac:dyDescent="0.25">
      <c r="A580" s="19"/>
      <c r="B580" s="19"/>
      <c r="C580" s="19"/>
      <c r="D580" s="19"/>
    </row>
    <row r="581" spans="1:4" ht="15.75" customHeight="1" x14ac:dyDescent="0.25">
      <c r="A581" s="19"/>
      <c r="B581" s="19"/>
      <c r="C581" s="19"/>
      <c r="D581" s="19"/>
    </row>
    <row r="582" spans="1:4" ht="15.75" customHeight="1" x14ac:dyDescent="0.25">
      <c r="A582" s="19"/>
      <c r="B582" s="19"/>
      <c r="C582" s="19"/>
      <c r="D582" s="19"/>
    </row>
    <row r="583" spans="1:4" ht="15.75" customHeight="1" x14ac:dyDescent="0.25">
      <c r="A583" s="19"/>
      <c r="B583" s="19"/>
      <c r="C583" s="19"/>
      <c r="D583" s="19"/>
    </row>
    <row r="584" spans="1:4" ht="15.75" customHeight="1" x14ac:dyDescent="0.25">
      <c r="A584" s="19"/>
      <c r="B584" s="19"/>
      <c r="C584" s="19"/>
      <c r="D584" s="19"/>
    </row>
    <row r="585" spans="1:4" ht="15.75" customHeight="1" x14ac:dyDescent="0.25">
      <c r="A585" s="19"/>
      <c r="B585" s="19"/>
      <c r="C585" s="19"/>
      <c r="D585" s="19"/>
    </row>
    <row r="586" spans="1:4" ht="15.75" customHeight="1" x14ac:dyDescent="0.25">
      <c r="A586" s="19"/>
      <c r="B586" s="19"/>
      <c r="C586" s="19"/>
      <c r="D586" s="19"/>
    </row>
    <row r="587" spans="1:4" ht="15.75" customHeight="1" x14ac:dyDescent="0.25">
      <c r="A587" s="19"/>
      <c r="B587" s="19"/>
      <c r="C587" s="19"/>
      <c r="D587" s="19"/>
    </row>
    <row r="588" spans="1:4" ht="15.75" customHeight="1" x14ac:dyDescent="0.25">
      <c r="A588" s="19"/>
      <c r="B588" s="19"/>
      <c r="C588" s="19"/>
      <c r="D588" s="19"/>
    </row>
    <row r="589" spans="1:4" ht="15.75" customHeight="1" x14ac:dyDescent="0.25">
      <c r="A589" s="19"/>
      <c r="B589" s="19"/>
      <c r="C589" s="19"/>
      <c r="D589" s="19"/>
    </row>
    <row r="590" spans="1:4" ht="15.75" customHeight="1" x14ac:dyDescent="0.25">
      <c r="A590" s="19"/>
      <c r="B590" s="19"/>
      <c r="C590" s="19"/>
      <c r="D590" s="19"/>
    </row>
    <row r="591" spans="1:4" ht="15.75" customHeight="1" x14ac:dyDescent="0.25">
      <c r="A591" s="19"/>
      <c r="B591" s="19"/>
      <c r="C591" s="19"/>
      <c r="D591" s="19"/>
    </row>
    <row r="592" spans="1:4" ht="15.75" customHeight="1" x14ac:dyDescent="0.25">
      <c r="A592" s="19"/>
      <c r="B592" s="19"/>
      <c r="C592" s="19"/>
      <c r="D592" s="19"/>
    </row>
    <row r="593" spans="1:4" ht="15.75" customHeight="1" x14ac:dyDescent="0.25">
      <c r="A593" s="19"/>
      <c r="B593" s="19"/>
      <c r="C593" s="19"/>
      <c r="D593" s="19"/>
    </row>
    <row r="594" spans="1:4" ht="15.75" customHeight="1" x14ac:dyDescent="0.25">
      <c r="A594" s="19"/>
      <c r="B594" s="19"/>
      <c r="C594" s="19"/>
      <c r="D594" s="19"/>
    </row>
    <row r="595" spans="1:4" ht="15.75" customHeight="1" x14ac:dyDescent="0.25">
      <c r="A595" s="19"/>
      <c r="B595" s="19"/>
      <c r="C595" s="19"/>
      <c r="D595" s="19"/>
    </row>
    <row r="596" spans="1:4" ht="15.75" customHeight="1" x14ac:dyDescent="0.25">
      <c r="A596" s="19"/>
      <c r="B596" s="19"/>
      <c r="C596" s="19"/>
      <c r="D596" s="19"/>
    </row>
    <row r="597" spans="1:4" ht="15.75" customHeight="1" x14ac:dyDescent="0.25">
      <c r="A597" s="19"/>
      <c r="B597" s="19"/>
      <c r="C597" s="19"/>
      <c r="D597" s="19"/>
    </row>
    <row r="598" spans="1:4" ht="15.75" customHeight="1" x14ac:dyDescent="0.25">
      <c r="A598" s="19"/>
      <c r="B598" s="19"/>
      <c r="C598" s="19"/>
      <c r="D598" s="19"/>
    </row>
    <row r="599" spans="1:4" ht="15.75" customHeight="1" x14ac:dyDescent="0.25">
      <c r="A599" s="19"/>
      <c r="B599" s="19"/>
      <c r="C599" s="19"/>
      <c r="D599" s="19"/>
    </row>
    <row r="600" spans="1:4" ht="15.75" customHeight="1" x14ac:dyDescent="0.25">
      <c r="A600" s="19"/>
      <c r="B600" s="19"/>
      <c r="C600" s="19"/>
      <c r="D600" s="19"/>
    </row>
    <row r="601" spans="1:4" ht="15.75" customHeight="1" x14ac:dyDescent="0.25">
      <c r="A601" s="19"/>
      <c r="B601" s="19"/>
      <c r="C601" s="19"/>
      <c r="D601" s="19"/>
    </row>
    <row r="602" spans="1:4" ht="15.75" customHeight="1" x14ac:dyDescent="0.25">
      <c r="A602" s="19"/>
      <c r="B602" s="19"/>
      <c r="C602" s="19"/>
      <c r="D602" s="19"/>
    </row>
    <row r="603" spans="1:4" ht="15.75" customHeight="1" x14ac:dyDescent="0.25">
      <c r="A603" s="19"/>
      <c r="B603" s="19"/>
      <c r="C603" s="19"/>
      <c r="D603" s="19"/>
    </row>
    <row r="604" spans="1:4" ht="15.75" customHeight="1" x14ac:dyDescent="0.25">
      <c r="A604" s="19"/>
      <c r="B604" s="19"/>
      <c r="C604" s="19"/>
      <c r="D604" s="19"/>
    </row>
    <row r="605" spans="1:4" ht="15.75" customHeight="1" x14ac:dyDescent="0.25">
      <c r="A605" s="19"/>
      <c r="B605" s="19"/>
      <c r="C605" s="19"/>
      <c r="D605" s="19"/>
    </row>
    <row r="606" spans="1:4" ht="15.75" customHeight="1" x14ac:dyDescent="0.25">
      <c r="A606" s="19"/>
      <c r="B606" s="19"/>
      <c r="C606" s="19"/>
      <c r="D606" s="19"/>
    </row>
    <row r="607" spans="1:4" ht="15.75" customHeight="1" x14ac:dyDescent="0.25">
      <c r="A607" s="19"/>
      <c r="B607" s="19"/>
      <c r="C607" s="19"/>
      <c r="D607" s="19"/>
    </row>
    <row r="608" spans="1:4" ht="15.75" customHeight="1" x14ac:dyDescent="0.25">
      <c r="A608" s="19"/>
      <c r="B608" s="19"/>
      <c r="C608" s="19"/>
      <c r="D608" s="19"/>
    </row>
    <row r="609" spans="1:4" ht="15.75" customHeight="1" x14ac:dyDescent="0.25">
      <c r="A609" s="19"/>
      <c r="B609" s="19"/>
      <c r="C609" s="19"/>
      <c r="D609" s="19"/>
    </row>
    <row r="610" spans="1:4" ht="15.75" customHeight="1" x14ac:dyDescent="0.25">
      <c r="A610" s="19"/>
      <c r="B610" s="19"/>
      <c r="C610" s="19"/>
      <c r="D610" s="19"/>
    </row>
    <row r="611" spans="1:4" ht="15.75" customHeight="1" x14ac:dyDescent="0.25">
      <c r="A611" s="19"/>
      <c r="B611" s="19"/>
      <c r="C611" s="19"/>
      <c r="D611" s="19"/>
    </row>
    <row r="612" spans="1:4" ht="15.75" customHeight="1" x14ac:dyDescent="0.25">
      <c r="A612" s="19"/>
      <c r="B612" s="19"/>
      <c r="C612" s="19"/>
      <c r="D612" s="19"/>
    </row>
    <row r="613" spans="1:4" ht="15.75" customHeight="1" x14ac:dyDescent="0.25">
      <c r="A613" s="19"/>
      <c r="B613" s="19"/>
      <c r="C613" s="19"/>
      <c r="D613" s="19"/>
    </row>
    <row r="614" spans="1:4" ht="15.75" customHeight="1" x14ac:dyDescent="0.25">
      <c r="A614" s="19"/>
      <c r="B614" s="19"/>
      <c r="C614" s="19"/>
      <c r="D614" s="19"/>
    </row>
    <row r="615" spans="1:4" ht="15.75" customHeight="1" x14ac:dyDescent="0.25">
      <c r="A615" s="19"/>
      <c r="B615" s="19"/>
      <c r="C615" s="19"/>
      <c r="D615" s="19"/>
    </row>
    <row r="616" spans="1:4" ht="15.75" customHeight="1" x14ac:dyDescent="0.25">
      <c r="A616" s="19"/>
      <c r="B616" s="19"/>
      <c r="C616" s="19"/>
      <c r="D616" s="19"/>
    </row>
    <row r="617" spans="1:4" ht="15.75" customHeight="1" x14ac:dyDescent="0.25">
      <c r="A617" s="19"/>
      <c r="B617" s="19"/>
      <c r="C617" s="19"/>
      <c r="D617" s="19"/>
    </row>
    <row r="618" spans="1:4" ht="15.75" customHeight="1" x14ac:dyDescent="0.25">
      <c r="A618" s="19"/>
      <c r="B618" s="19"/>
      <c r="C618" s="19"/>
      <c r="D618" s="19"/>
    </row>
    <row r="619" spans="1:4" ht="15.75" customHeight="1" x14ac:dyDescent="0.25">
      <c r="A619" s="19"/>
      <c r="B619" s="19"/>
      <c r="C619" s="19"/>
      <c r="D619" s="19"/>
    </row>
    <row r="620" spans="1:4" ht="15.75" customHeight="1" x14ac:dyDescent="0.25">
      <c r="A620" s="19"/>
      <c r="B620" s="19"/>
      <c r="C620" s="19"/>
      <c r="D620" s="19"/>
    </row>
    <row r="621" spans="1:4" ht="15.75" customHeight="1" x14ac:dyDescent="0.25">
      <c r="A621" s="19"/>
      <c r="B621" s="19"/>
      <c r="C621" s="19"/>
      <c r="D621" s="19"/>
    </row>
    <row r="622" spans="1:4" ht="15.75" customHeight="1" x14ac:dyDescent="0.25">
      <c r="A622" s="19"/>
      <c r="B622" s="19"/>
      <c r="C622" s="19"/>
      <c r="D622" s="19"/>
    </row>
    <row r="623" spans="1:4" ht="15.75" customHeight="1" x14ac:dyDescent="0.25">
      <c r="A623" s="19"/>
      <c r="B623" s="19"/>
      <c r="C623" s="19"/>
      <c r="D623" s="19"/>
    </row>
    <row r="624" spans="1:4" ht="15.75" customHeight="1" x14ac:dyDescent="0.25">
      <c r="A624" s="19"/>
      <c r="B624" s="19"/>
      <c r="C624" s="19"/>
      <c r="D624" s="19"/>
    </row>
    <row r="625" spans="1:4" ht="15.75" customHeight="1" x14ac:dyDescent="0.25">
      <c r="A625" s="19"/>
      <c r="B625" s="19"/>
      <c r="C625" s="19"/>
      <c r="D625" s="19"/>
    </row>
    <row r="626" spans="1:4" ht="15.75" customHeight="1" x14ac:dyDescent="0.25">
      <c r="A626" s="19"/>
      <c r="B626" s="19"/>
      <c r="C626" s="19"/>
      <c r="D626" s="19"/>
    </row>
    <row r="627" spans="1:4" ht="15.75" customHeight="1" x14ac:dyDescent="0.25">
      <c r="A627" s="19"/>
      <c r="B627" s="19"/>
      <c r="C627" s="19"/>
      <c r="D627" s="19"/>
    </row>
    <row r="628" spans="1:4" ht="15.75" customHeight="1" x14ac:dyDescent="0.25">
      <c r="A628" s="19"/>
      <c r="B628" s="19"/>
      <c r="C628" s="19"/>
      <c r="D628" s="19"/>
    </row>
    <row r="629" spans="1:4" ht="15.75" customHeight="1" x14ac:dyDescent="0.25">
      <c r="A629" s="19"/>
      <c r="B629" s="19"/>
      <c r="C629" s="19"/>
      <c r="D629" s="19"/>
    </row>
    <row r="630" spans="1:4" ht="15.75" customHeight="1" x14ac:dyDescent="0.25">
      <c r="A630" s="19"/>
      <c r="B630" s="19"/>
      <c r="C630" s="19"/>
      <c r="D630" s="19"/>
    </row>
    <row r="631" spans="1:4" ht="15.75" customHeight="1" x14ac:dyDescent="0.25">
      <c r="A631" s="19"/>
      <c r="B631" s="19"/>
      <c r="C631" s="19"/>
      <c r="D631" s="19"/>
    </row>
    <row r="632" spans="1:4" ht="15.75" customHeight="1" x14ac:dyDescent="0.25">
      <c r="A632" s="19"/>
      <c r="B632" s="19"/>
      <c r="C632" s="19"/>
      <c r="D632" s="19"/>
    </row>
    <row r="633" spans="1:4" ht="15.75" customHeight="1" x14ac:dyDescent="0.25">
      <c r="A633" s="19"/>
      <c r="B633" s="19"/>
      <c r="C633" s="19"/>
      <c r="D633" s="19"/>
    </row>
    <row r="634" spans="1:4" ht="15.75" customHeight="1" x14ac:dyDescent="0.25">
      <c r="A634" s="19"/>
      <c r="B634" s="19"/>
      <c r="C634" s="19"/>
      <c r="D634" s="19"/>
    </row>
    <row r="635" spans="1:4" ht="15.75" customHeight="1" x14ac:dyDescent="0.25">
      <c r="A635" s="19"/>
      <c r="B635" s="19"/>
      <c r="C635" s="19"/>
      <c r="D635" s="19"/>
    </row>
    <row r="636" spans="1:4" ht="15.75" customHeight="1" x14ac:dyDescent="0.25">
      <c r="A636" s="19"/>
      <c r="B636" s="19"/>
      <c r="C636" s="19"/>
      <c r="D636" s="19"/>
    </row>
    <row r="637" spans="1:4" ht="15.75" customHeight="1" x14ac:dyDescent="0.25">
      <c r="A637" s="19"/>
      <c r="B637" s="19"/>
      <c r="C637" s="19"/>
      <c r="D637" s="19"/>
    </row>
    <row r="638" spans="1:4" ht="15.75" customHeight="1" x14ac:dyDescent="0.25">
      <c r="A638" s="19"/>
      <c r="B638" s="19"/>
      <c r="C638" s="19"/>
      <c r="D638" s="19"/>
    </row>
    <row r="639" spans="1:4" ht="15.75" customHeight="1" x14ac:dyDescent="0.25">
      <c r="A639" s="19"/>
      <c r="B639" s="19"/>
      <c r="C639" s="19"/>
      <c r="D639" s="19"/>
    </row>
    <row r="640" spans="1:4" ht="15.75" customHeight="1" x14ac:dyDescent="0.25">
      <c r="A640" s="19"/>
      <c r="B640" s="19"/>
      <c r="C640" s="19"/>
      <c r="D640" s="19"/>
    </row>
    <row r="641" spans="1:4" ht="15.75" customHeight="1" x14ac:dyDescent="0.25">
      <c r="A641" s="19"/>
      <c r="B641" s="19"/>
      <c r="C641" s="19"/>
      <c r="D641" s="19"/>
    </row>
    <row r="642" spans="1:4" ht="15.75" customHeight="1" x14ac:dyDescent="0.25">
      <c r="A642" s="19"/>
      <c r="B642" s="19"/>
      <c r="C642" s="19"/>
      <c r="D642" s="19"/>
    </row>
    <row r="643" spans="1:4" ht="15.75" customHeight="1" x14ac:dyDescent="0.25">
      <c r="A643" s="19"/>
      <c r="B643" s="19"/>
      <c r="C643" s="19"/>
      <c r="D643" s="19"/>
    </row>
    <row r="644" spans="1:4" ht="15.75" customHeight="1" x14ac:dyDescent="0.25">
      <c r="A644" s="19"/>
      <c r="B644" s="19"/>
      <c r="C644" s="19"/>
      <c r="D644" s="19"/>
    </row>
    <row r="645" spans="1:4" ht="15.75" customHeight="1" x14ac:dyDescent="0.25">
      <c r="A645" s="19"/>
      <c r="B645" s="19"/>
      <c r="C645" s="19"/>
      <c r="D645" s="19"/>
    </row>
    <row r="646" spans="1:4" ht="15.75" customHeight="1" x14ac:dyDescent="0.25">
      <c r="A646" s="19"/>
      <c r="B646" s="19"/>
      <c r="C646" s="19"/>
      <c r="D646" s="19"/>
    </row>
    <row r="647" spans="1:4" ht="15.75" customHeight="1" x14ac:dyDescent="0.25">
      <c r="A647" s="19"/>
      <c r="B647" s="19"/>
      <c r="C647" s="19"/>
      <c r="D647" s="19"/>
    </row>
    <row r="648" spans="1:4" ht="15.75" customHeight="1" x14ac:dyDescent="0.25">
      <c r="A648" s="19"/>
      <c r="B648" s="19"/>
      <c r="C648" s="19"/>
      <c r="D648" s="19"/>
    </row>
    <row r="649" spans="1:4" ht="15.75" customHeight="1" x14ac:dyDescent="0.25">
      <c r="A649" s="19"/>
      <c r="B649" s="19"/>
      <c r="C649" s="19"/>
      <c r="D649" s="19"/>
    </row>
    <row r="650" spans="1:4" ht="15.75" customHeight="1" x14ac:dyDescent="0.25">
      <c r="A650" s="19"/>
      <c r="B650" s="19"/>
      <c r="C650" s="19"/>
      <c r="D650" s="19"/>
    </row>
    <row r="651" spans="1:4" ht="15.75" customHeight="1" x14ac:dyDescent="0.25">
      <c r="A651" s="19"/>
      <c r="B651" s="19"/>
      <c r="C651" s="19"/>
      <c r="D651" s="19"/>
    </row>
    <row r="652" spans="1:4" ht="15.75" customHeight="1" x14ac:dyDescent="0.25">
      <c r="A652" s="19"/>
      <c r="B652" s="19"/>
      <c r="C652" s="19"/>
      <c r="D652" s="19"/>
    </row>
    <row r="653" spans="1:4" ht="15.75" customHeight="1" x14ac:dyDescent="0.25">
      <c r="A653" s="19"/>
      <c r="B653" s="19"/>
      <c r="C653" s="19"/>
      <c r="D653" s="19"/>
    </row>
    <row r="654" spans="1:4" ht="15.75" customHeight="1" x14ac:dyDescent="0.25">
      <c r="A654" s="19"/>
      <c r="B654" s="19"/>
      <c r="C654" s="19"/>
      <c r="D654" s="19"/>
    </row>
    <row r="655" spans="1:4" ht="15.75" customHeight="1" x14ac:dyDescent="0.25">
      <c r="A655" s="19"/>
      <c r="B655" s="19"/>
      <c r="C655" s="19"/>
      <c r="D655" s="19"/>
    </row>
    <row r="656" spans="1:4" ht="15.75" customHeight="1" x14ac:dyDescent="0.25">
      <c r="A656" s="19"/>
      <c r="B656" s="19"/>
      <c r="C656" s="19"/>
      <c r="D656" s="19"/>
    </row>
    <row r="657" spans="1:4" ht="15.75" customHeight="1" x14ac:dyDescent="0.25">
      <c r="A657" s="19"/>
      <c r="B657" s="19"/>
      <c r="C657" s="19"/>
      <c r="D657" s="19"/>
    </row>
    <row r="658" spans="1:4" ht="15.75" customHeight="1" x14ac:dyDescent="0.25">
      <c r="A658" s="19"/>
      <c r="B658" s="19"/>
      <c r="C658" s="19"/>
      <c r="D658" s="19"/>
    </row>
    <row r="659" spans="1:4" ht="15.75" customHeight="1" x14ac:dyDescent="0.25">
      <c r="A659" s="19"/>
      <c r="B659" s="19"/>
      <c r="C659" s="19"/>
      <c r="D659" s="19"/>
    </row>
    <row r="660" spans="1:4" ht="15.75" customHeight="1" x14ac:dyDescent="0.25">
      <c r="A660" s="19"/>
      <c r="B660" s="19"/>
      <c r="C660" s="19"/>
      <c r="D660" s="19"/>
    </row>
    <row r="661" spans="1:4" ht="15.75" customHeight="1" x14ac:dyDescent="0.25">
      <c r="A661" s="19"/>
      <c r="B661" s="19"/>
      <c r="C661" s="19"/>
      <c r="D661" s="19"/>
    </row>
    <row r="662" spans="1:4" ht="15.75" customHeight="1" x14ac:dyDescent="0.25">
      <c r="A662" s="19"/>
      <c r="B662" s="19"/>
      <c r="C662" s="19"/>
      <c r="D662" s="19"/>
    </row>
    <row r="663" spans="1:4" ht="15.75" customHeight="1" x14ac:dyDescent="0.25">
      <c r="A663" s="19"/>
      <c r="B663" s="19"/>
      <c r="C663" s="19"/>
      <c r="D663" s="19"/>
    </row>
    <row r="664" spans="1:4" ht="15.75" customHeight="1" x14ac:dyDescent="0.25">
      <c r="A664" s="19"/>
      <c r="B664" s="19"/>
      <c r="C664" s="19"/>
      <c r="D664" s="19"/>
    </row>
    <row r="665" spans="1:4" ht="15.75" customHeight="1" x14ac:dyDescent="0.25">
      <c r="A665" s="19"/>
      <c r="B665" s="19"/>
      <c r="C665" s="19"/>
      <c r="D665" s="19"/>
    </row>
    <row r="666" spans="1:4" ht="15.75" customHeight="1" x14ac:dyDescent="0.25">
      <c r="A666" s="19"/>
      <c r="B666" s="19"/>
      <c r="C666" s="19"/>
      <c r="D666" s="19"/>
    </row>
    <row r="667" spans="1:4" ht="15.75" customHeight="1" x14ac:dyDescent="0.25">
      <c r="A667" s="19"/>
      <c r="B667" s="19"/>
      <c r="C667" s="19"/>
      <c r="D667" s="19"/>
    </row>
    <row r="668" spans="1:4" ht="15.75" customHeight="1" x14ac:dyDescent="0.25">
      <c r="A668" s="19"/>
      <c r="B668" s="19"/>
      <c r="C668" s="19"/>
      <c r="D668" s="19"/>
    </row>
    <row r="669" spans="1:4" ht="15.75" customHeight="1" x14ac:dyDescent="0.25">
      <c r="A669" s="19"/>
      <c r="B669" s="19"/>
      <c r="C669" s="19"/>
      <c r="D669" s="19"/>
    </row>
    <row r="670" spans="1:4" ht="15.75" customHeight="1" x14ac:dyDescent="0.25">
      <c r="A670" s="19"/>
      <c r="B670" s="19"/>
      <c r="C670" s="19"/>
      <c r="D670" s="19"/>
    </row>
    <row r="671" spans="1:4" ht="15.75" customHeight="1" x14ac:dyDescent="0.25">
      <c r="A671" s="19"/>
      <c r="B671" s="19"/>
      <c r="C671" s="19"/>
      <c r="D671" s="19"/>
    </row>
    <row r="672" spans="1:4" ht="15.75" customHeight="1" x14ac:dyDescent="0.25">
      <c r="A672" s="19"/>
      <c r="B672" s="19"/>
      <c r="C672" s="19"/>
      <c r="D672" s="19"/>
    </row>
    <row r="673" spans="1:4" ht="15.75" customHeight="1" x14ac:dyDescent="0.25">
      <c r="A673" s="19"/>
      <c r="B673" s="19"/>
      <c r="C673" s="19"/>
      <c r="D673" s="19"/>
    </row>
    <row r="674" spans="1:4" ht="15.75" customHeight="1" x14ac:dyDescent="0.25">
      <c r="A674" s="19"/>
      <c r="B674" s="19"/>
      <c r="C674" s="19"/>
      <c r="D674" s="19"/>
    </row>
    <row r="675" spans="1:4" ht="15.75" customHeight="1" x14ac:dyDescent="0.25">
      <c r="A675" s="19"/>
      <c r="B675" s="19"/>
      <c r="C675" s="19"/>
      <c r="D675" s="19"/>
    </row>
    <row r="676" spans="1:4" ht="15.75" customHeight="1" x14ac:dyDescent="0.25">
      <c r="A676" s="19"/>
      <c r="B676" s="19"/>
      <c r="C676" s="19"/>
      <c r="D676" s="19"/>
    </row>
    <row r="677" spans="1:4" ht="15.75" customHeight="1" x14ac:dyDescent="0.25">
      <c r="A677" s="19"/>
      <c r="B677" s="19"/>
      <c r="C677" s="19"/>
      <c r="D677" s="19"/>
    </row>
    <row r="678" spans="1:4" ht="15.75" customHeight="1" x14ac:dyDescent="0.25">
      <c r="A678" s="19"/>
      <c r="B678" s="19"/>
      <c r="C678" s="19"/>
      <c r="D678" s="19"/>
    </row>
    <row r="679" spans="1:4" ht="15.75" customHeight="1" x14ac:dyDescent="0.25">
      <c r="A679" s="19"/>
      <c r="B679" s="19"/>
      <c r="C679" s="19"/>
      <c r="D679" s="19"/>
    </row>
    <row r="680" spans="1:4" ht="15.75" customHeight="1" x14ac:dyDescent="0.25">
      <c r="A680" s="19"/>
      <c r="B680" s="19"/>
      <c r="C680" s="19"/>
      <c r="D680" s="19"/>
    </row>
    <row r="681" spans="1:4" ht="15.75" customHeight="1" x14ac:dyDescent="0.25">
      <c r="A681" s="19"/>
      <c r="B681" s="19"/>
      <c r="C681" s="19"/>
      <c r="D681" s="19"/>
    </row>
    <row r="682" spans="1:4" ht="15.75" customHeight="1" x14ac:dyDescent="0.25">
      <c r="A682" s="19"/>
      <c r="B682" s="19"/>
      <c r="C682" s="19"/>
      <c r="D682" s="19"/>
    </row>
    <row r="683" spans="1:4" ht="15.75" customHeight="1" x14ac:dyDescent="0.25">
      <c r="A683" s="19"/>
      <c r="B683" s="19"/>
      <c r="C683" s="19"/>
      <c r="D683" s="19"/>
    </row>
    <row r="684" spans="1:4" ht="15.75" customHeight="1" x14ac:dyDescent="0.25">
      <c r="A684" s="19"/>
      <c r="B684" s="19"/>
      <c r="C684" s="19"/>
      <c r="D684" s="19"/>
    </row>
    <row r="685" spans="1:4" ht="15.75" customHeight="1" x14ac:dyDescent="0.25">
      <c r="A685" s="19"/>
      <c r="B685" s="19"/>
      <c r="C685" s="19"/>
      <c r="D685" s="19"/>
    </row>
    <row r="686" spans="1:4" ht="15.75" customHeight="1" x14ac:dyDescent="0.25">
      <c r="A686" s="19"/>
      <c r="B686" s="19"/>
      <c r="C686" s="19"/>
      <c r="D686" s="19"/>
    </row>
    <row r="687" spans="1:4" ht="15.75" customHeight="1" x14ac:dyDescent="0.25">
      <c r="A687" s="19"/>
      <c r="B687" s="19"/>
      <c r="C687" s="19"/>
      <c r="D687" s="19"/>
    </row>
    <row r="688" spans="1:4" ht="15.75" customHeight="1" x14ac:dyDescent="0.25">
      <c r="A688" s="19"/>
      <c r="B688" s="19"/>
      <c r="C688" s="19"/>
      <c r="D688" s="19"/>
    </row>
    <row r="689" spans="1:4" ht="15.75" customHeight="1" x14ac:dyDescent="0.25">
      <c r="A689" s="19"/>
      <c r="B689" s="19"/>
      <c r="C689" s="19"/>
      <c r="D689" s="19"/>
    </row>
    <row r="690" spans="1:4" ht="15.75" customHeight="1" x14ac:dyDescent="0.25">
      <c r="A690" s="19"/>
      <c r="B690" s="19"/>
      <c r="C690" s="19"/>
      <c r="D690" s="19"/>
    </row>
    <row r="691" spans="1:4" ht="15.75" customHeight="1" x14ac:dyDescent="0.25">
      <c r="A691" s="19"/>
      <c r="B691" s="19"/>
      <c r="C691" s="19"/>
      <c r="D691" s="19"/>
    </row>
    <row r="692" spans="1:4" ht="15.75" customHeight="1" x14ac:dyDescent="0.25">
      <c r="A692" s="19"/>
      <c r="B692" s="19"/>
      <c r="C692" s="19"/>
      <c r="D692" s="19"/>
    </row>
    <row r="693" spans="1:4" ht="15.75" customHeight="1" x14ac:dyDescent="0.25">
      <c r="A693" s="19"/>
      <c r="B693" s="19"/>
      <c r="C693" s="19"/>
      <c r="D693" s="19"/>
    </row>
    <row r="694" spans="1:4" ht="15.75" customHeight="1" x14ac:dyDescent="0.25">
      <c r="A694" s="19"/>
      <c r="B694" s="19"/>
      <c r="C694" s="19"/>
      <c r="D694" s="19"/>
    </row>
    <row r="695" spans="1:4" ht="15.75" customHeight="1" x14ac:dyDescent="0.25">
      <c r="A695" s="19"/>
      <c r="B695" s="19"/>
      <c r="C695" s="19"/>
      <c r="D695" s="19"/>
    </row>
    <row r="696" spans="1:4" ht="15.75" customHeight="1" x14ac:dyDescent="0.25">
      <c r="A696" s="19"/>
      <c r="B696" s="19"/>
      <c r="C696" s="19"/>
      <c r="D696" s="19"/>
    </row>
    <row r="697" spans="1:4" ht="15.75" customHeight="1" x14ac:dyDescent="0.25">
      <c r="A697" s="19"/>
      <c r="B697" s="19"/>
      <c r="C697" s="19"/>
      <c r="D697" s="19"/>
    </row>
    <row r="698" spans="1:4" ht="15.75" customHeight="1" x14ac:dyDescent="0.25">
      <c r="A698" s="19"/>
      <c r="B698" s="19"/>
      <c r="C698" s="19"/>
      <c r="D698" s="19"/>
    </row>
    <row r="699" spans="1:4" ht="15.75" customHeight="1" x14ac:dyDescent="0.25">
      <c r="A699" s="19"/>
      <c r="B699" s="19"/>
      <c r="C699" s="19"/>
      <c r="D699" s="19"/>
    </row>
    <row r="700" spans="1:4" ht="15.75" customHeight="1" x14ac:dyDescent="0.25">
      <c r="A700" s="19"/>
      <c r="B700" s="19"/>
      <c r="C700" s="19"/>
      <c r="D700" s="19"/>
    </row>
    <row r="701" spans="1:4" ht="15.75" customHeight="1" x14ac:dyDescent="0.25">
      <c r="A701" s="19"/>
      <c r="B701" s="19"/>
      <c r="C701" s="19"/>
      <c r="D701" s="19"/>
    </row>
    <row r="702" spans="1:4" ht="15.75" customHeight="1" x14ac:dyDescent="0.25">
      <c r="A702" s="19"/>
      <c r="B702" s="19"/>
      <c r="C702" s="19"/>
      <c r="D702" s="19"/>
    </row>
    <row r="703" spans="1:4" ht="15.75" customHeight="1" x14ac:dyDescent="0.25">
      <c r="A703" s="19"/>
      <c r="B703" s="19"/>
      <c r="C703" s="19"/>
      <c r="D703" s="19"/>
    </row>
    <row r="704" spans="1:4" ht="15.75" customHeight="1" x14ac:dyDescent="0.25">
      <c r="A704" s="19"/>
      <c r="B704" s="19"/>
      <c r="C704" s="19"/>
      <c r="D704" s="19"/>
    </row>
    <row r="705" spans="1:4" ht="15.75" customHeight="1" x14ac:dyDescent="0.25">
      <c r="A705" s="19"/>
      <c r="B705" s="19"/>
      <c r="C705" s="19"/>
      <c r="D705" s="19"/>
    </row>
    <row r="706" spans="1:4" ht="15.75" customHeight="1" x14ac:dyDescent="0.25">
      <c r="A706" s="19"/>
      <c r="B706" s="19"/>
      <c r="C706" s="19"/>
      <c r="D706" s="19"/>
    </row>
    <row r="707" spans="1:4" ht="15.75" customHeight="1" x14ac:dyDescent="0.25">
      <c r="A707" s="19"/>
      <c r="B707" s="19"/>
      <c r="C707" s="19"/>
      <c r="D707" s="19"/>
    </row>
    <row r="708" spans="1:4" ht="15.75" customHeight="1" x14ac:dyDescent="0.25">
      <c r="A708" s="19"/>
      <c r="B708" s="19"/>
      <c r="C708" s="19"/>
      <c r="D708" s="19"/>
    </row>
    <row r="709" spans="1:4" ht="15.75" customHeight="1" x14ac:dyDescent="0.25">
      <c r="A709" s="19"/>
      <c r="B709" s="19"/>
      <c r="C709" s="19"/>
      <c r="D709" s="19"/>
    </row>
    <row r="710" spans="1:4" ht="15.75" customHeight="1" x14ac:dyDescent="0.25">
      <c r="A710" s="19"/>
      <c r="B710" s="19"/>
      <c r="C710" s="19"/>
      <c r="D710" s="19"/>
    </row>
    <row r="711" spans="1:4" ht="15.75" customHeight="1" x14ac:dyDescent="0.25">
      <c r="A711" s="19"/>
      <c r="B711" s="19"/>
      <c r="C711" s="19"/>
      <c r="D711" s="19"/>
    </row>
    <row r="712" spans="1:4" ht="15.75" customHeight="1" x14ac:dyDescent="0.25">
      <c r="A712" s="19"/>
      <c r="B712" s="19"/>
      <c r="C712" s="19"/>
      <c r="D712" s="19"/>
    </row>
    <row r="713" spans="1:4" ht="15.75" customHeight="1" x14ac:dyDescent="0.25">
      <c r="A713" s="19"/>
      <c r="B713" s="19"/>
      <c r="C713" s="19"/>
      <c r="D713" s="19"/>
    </row>
    <row r="714" spans="1:4" ht="15.75" customHeight="1" x14ac:dyDescent="0.25">
      <c r="A714" s="19"/>
      <c r="B714" s="19"/>
      <c r="C714" s="19"/>
      <c r="D714" s="19"/>
    </row>
    <row r="715" spans="1:4" ht="15.75" customHeight="1" x14ac:dyDescent="0.25">
      <c r="A715" s="19"/>
      <c r="B715" s="19"/>
      <c r="C715" s="19"/>
      <c r="D715" s="19"/>
    </row>
    <row r="716" spans="1:4" ht="15.75" customHeight="1" x14ac:dyDescent="0.25">
      <c r="A716" s="19"/>
      <c r="B716" s="19"/>
      <c r="C716" s="19"/>
      <c r="D716" s="19"/>
    </row>
    <row r="717" spans="1:4" ht="15.75" customHeight="1" x14ac:dyDescent="0.25">
      <c r="A717" s="19"/>
      <c r="B717" s="19"/>
      <c r="C717" s="19"/>
      <c r="D717" s="19"/>
    </row>
    <row r="718" spans="1:4" ht="15.75" customHeight="1" x14ac:dyDescent="0.25">
      <c r="A718" s="19"/>
      <c r="B718" s="19"/>
      <c r="C718" s="19"/>
      <c r="D718" s="19"/>
    </row>
    <row r="719" spans="1:4" ht="15.75" customHeight="1" x14ac:dyDescent="0.25">
      <c r="A719" s="19"/>
      <c r="B719" s="19"/>
      <c r="C719" s="19"/>
      <c r="D719" s="19"/>
    </row>
    <row r="720" spans="1:4" ht="15.75" customHeight="1" x14ac:dyDescent="0.25">
      <c r="A720" s="19"/>
      <c r="B720" s="19"/>
      <c r="C720" s="19"/>
      <c r="D720" s="19"/>
    </row>
    <row r="721" spans="1:4" ht="15.75" customHeight="1" x14ac:dyDescent="0.25">
      <c r="A721" s="19"/>
      <c r="B721" s="19"/>
      <c r="C721" s="19"/>
      <c r="D721" s="19"/>
    </row>
    <row r="722" spans="1:4" ht="15.75" customHeight="1" x14ac:dyDescent="0.25">
      <c r="A722" s="19"/>
      <c r="B722" s="19"/>
      <c r="C722" s="19"/>
      <c r="D722" s="19"/>
    </row>
    <row r="723" spans="1:4" ht="15.75" customHeight="1" x14ac:dyDescent="0.25">
      <c r="A723" s="19"/>
      <c r="B723" s="19"/>
      <c r="C723" s="19"/>
      <c r="D723" s="19"/>
    </row>
    <row r="724" spans="1:4" ht="15.75" customHeight="1" x14ac:dyDescent="0.25">
      <c r="A724" s="19"/>
      <c r="B724" s="19"/>
      <c r="C724" s="19"/>
      <c r="D724" s="19"/>
    </row>
    <row r="725" spans="1:4" ht="15.75" customHeight="1" x14ac:dyDescent="0.25">
      <c r="A725" s="19"/>
      <c r="B725" s="19"/>
      <c r="C725" s="19"/>
      <c r="D725" s="19"/>
    </row>
    <row r="726" spans="1:4" ht="15.75" customHeight="1" x14ac:dyDescent="0.25">
      <c r="A726" s="19"/>
      <c r="B726" s="19"/>
      <c r="C726" s="19"/>
      <c r="D726" s="19"/>
    </row>
    <row r="727" spans="1:4" ht="15.75" customHeight="1" x14ac:dyDescent="0.25">
      <c r="A727" s="19"/>
      <c r="B727" s="19"/>
      <c r="C727" s="19"/>
      <c r="D727" s="19"/>
    </row>
    <row r="728" spans="1:4" ht="15.75" customHeight="1" x14ac:dyDescent="0.25">
      <c r="A728" s="19"/>
      <c r="B728" s="19"/>
      <c r="C728" s="19"/>
      <c r="D728" s="19"/>
    </row>
    <row r="729" spans="1:4" ht="15.75" customHeight="1" x14ac:dyDescent="0.25">
      <c r="A729" s="19"/>
      <c r="B729" s="19"/>
      <c r="C729" s="19"/>
      <c r="D729" s="19"/>
    </row>
    <row r="730" spans="1:4" ht="15.75" customHeight="1" x14ac:dyDescent="0.25">
      <c r="A730" s="19"/>
      <c r="B730" s="19"/>
      <c r="C730" s="19"/>
      <c r="D730" s="19"/>
    </row>
    <row r="731" spans="1:4" ht="15.75" customHeight="1" x14ac:dyDescent="0.25">
      <c r="A731" s="19"/>
      <c r="B731" s="19"/>
      <c r="C731" s="19"/>
      <c r="D731" s="19"/>
    </row>
    <row r="732" spans="1:4" ht="15.75" customHeight="1" x14ac:dyDescent="0.25">
      <c r="A732" s="19"/>
      <c r="B732" s="19"/>
      <c r="C732" s="19"/>
      <c r="D732" s="19"/>
    </row>
    <row r="733" spans="1:4" ht="15.75" customHeight="1" x14ac:dyDescent="0.25">
      <c r="A733" s="19"/>
      <c r="B733" s="19"/>
      <c r="C733" s="19"/>
      <c r="D733" s="19"/>
    </row>
    <row r="734" spans="1:4" ht="15.75" customHeight="1" x14ac:dyDescent="0.25">
      <c r="A734" s="19"/>
      <c r="B734" s="19"/>
      <c r="C734" s="19"/>
      <c r="D734" s="19"/>
    </row>
    <row r="735" spans="1:4" ht="15.75" customHeight="1" x14ac:dyDescent="0.25">
      <c r="A735" s="19"/>
      <c r="B735" s="19"/>
      <c r="C735" s="19"/>
      <c r="D735" s="19"/>
    </row>
    <row r="736" spans="1:4" ht="15.75" customHeight="1" x14ac:dyDescent="0.25">
      <c r="A736" s="19"/>
      <c r="B736" s="19"/>
      <c r="C736" s="19"/>
      <c r="D736" s="19"/>
    </row>
    <row r="737" spans="1:4" ht="15.75" customHeight="1" x14ac:dyDescent="0.25">
      <c r="A737" s="19"/>
      <c r="B737" s="19"/>
      <c r="C737" s="19"/>
      <c r="D737" s="19"/>
    </row>
    <row r="738" spans="1:4" ht="15.75" customHeight="1" x14ac:dyDescent="0.25">
      <c r="A738" s="19"/>
      <c r="B738" s="19"/>
      <c r="C738" s="19"/>
      <c r="D738" s="19"/>
    </row>
    <row r="739" spans="1:4" ht="15.75" customHeight="1" x14ac:dyDescent="0.25">
      <c r="A739" s="19"/>
      <c r="B739" s="19"/>
      <c r="C739" s="19"/>
      <c r="D739" s="19"/>
    </row>
    <row r="740" spans="1:4" ht="15.75" customHeight="1" x14ac:dyDescent="0.25">
      <c r="A740" s="19"/>
      <c r="B740" s="19"/>
      <c r="C740" s="19"/>
      <c r="D740" s="19"/>
    </row>
    <row r="741" spans="1:4" ht="15.75" customHeight="1" x14ac:dyDescent="0.25">
      <c r="A741" s="19"/>
      <c r="B741" s="19"/>
      <c r="C741" s="19"/>
      <c r="D741" s="19"/>
    </row>
    <row r="742" spans="1:4" ht="15.75" customHeight="1" x14ac:dyDescent="0.25">
      <c r="A742" s="19"/>
      <c r="B742" s="19"/>
      <c r="C742" s="19"/>
      <c r="D742" s="19"/>
    </row>
    <row r="743" spans="1:4" ht="15.75" customHeight="1" x14ac:dyDescent="0.25">
      <c r="A743" s="19"/>
      <c r="B743" s="19"/>
      <c r="C743" s="19"/>
      <c r="D743" s="19"/>
    </row>
    <row r="744" spans="1:4" ht="15.75" customHeight="1" x14ac:dyDescent="0.25">
      <c r="A744" s="19"/>
      <c r="B744" s="19"/>
      <c r="C744" s="19"/>
      <c r="D744" s="19"/>
    </row>
    <row r="745" spans="1:4" ht="15.75" customHeight="1" x14ac:dyDescent="0.25">
      <c r="A745" s="19"/>
      <c r="B745" s="19"/>
      <c r="C745" s="19"/>
      <c r="D745" s="19"/>
    </row>
    <row r="746" spans="1:4" ht="15.75" customHeight="1" x14ac:dyDescent="0.25">
      <c r="A746" s="19"/>
      <c r="B746" s="19"/>
      <c r="C746" s="19"/>
      <c r="D746" s="19"/>
    </row>
    <row r="747" spans="1:4" ht="15.75" customHeight="1" x14ac:dyDescent="0.25">
      <c r="A747" s="19"/>
      <c r="B747" s="19"/>
      <c r="C747" s="19"/>
      <c r="D747" s="19"/>
    </row>
    <row r="748" spans="1:4" ht="15.75" customHeight="1" x14ac:dyDescent="0.25">
      <c r="A748" s="19"/>
      <c r="B748" s="19"/>
      <c r="C748" s="19"/>
      <c r="D748" s="19"/>
    </row>
    <row r="749" spans="1:4" ht="15.75" customHeight="1" x14ac:dyDescent="0.25">
      <c r="A749" s="19"/>
      <c r="B749" s="19"/>
      <c r="C749" s="19"/>
      <c r="D749" s="19"/>
    </row>
    <row r="750" spans="1:4" ht="15.75" customHeight="1" x14ac:dyDescent="0.25">
      <c r="A750" s="19"/>
      <c r="B750" s="19"/>
      <c r="C750" s="19"/>
      <c r="D750" s="19"/>
    </row>
    <row r="751" spans="1:4" ht="15.75" customHeight="1" x14ac:dyDescent="0.25">
      <c r="A751" s="19"/>
      <c r="B751" s="19"/>
      <c r="C751" s="19"/>
      <c r="D751" s="19"/>
    </row>
    <row r="752" spans="1:4" ht="15.75" customHeight="1" x14ac:dyDescent="0.25">
      <c r="A752" s="19"/>
      <c r="B752" s="19"/>
      <c r="C752" s="19"/>
      <c r="D752" s="19"/>
    </row>
    <row r="753" spans="1:4" ht="15.75" customHeight="1" x14ac:dyDescent="0.25">
      <c r="A753" s="19"/>
      <c r="B753" s="19"/>
      <c r="C753" s="19"/>
      <c r="D753" s="19"/>
    </row>
    <row r="754" spans="1:4" ht="15.75" customHeight="1" x14ac:dyDescent="0.25">
      <c r="A754" s="19"/>
      <c r="B754" s="19"/>
      <c r="C754" s="19"/>
      <c r="D754" s="19"/>
    </row>
    <row r="755" spans="1:4" ht="15.75" customHeight="1" x14ac:dyDescent="0.25">
      <c r="A755" s="19"/>
      <c r="B755" s="19"/>
      <c r="C755" s="19"/>
      <c r="D755" s="19"/>
    </row>
    <row r="756" spans="1:4" ht="15.75" customHeight="1" x14ac:dyDescent="0.25">
      <c r="A756" s="19"/>
      <c r="B756" s="19"/>
      <c r="C756" s="19"/>
      <c r="D756" s="19"/>
    </row>
    <row r="757" spans="1:4" ht="15.75" customHeight="1" x14ac:dyDescent="0.25">
      <c r="A757" s="19"/>
      <c r="B757" s="19"/>
      <c r="C757" s="19"/>
      <c r="D757" s="19"/>
    </row>
    <row r="758" spans="1:4" ht="15.75" customHeight="1" x14ac:dyDescent="0.25">
      <c r="A758" s="19"/>
      <c r="B758" s="19"/>
      <c r="C758" s="19"/>
      <c r="D758" s="19"/>
    </row>
    <row r="759" spans="1:4" ht="15.75" customHeight="1" x14ac:dyDescent="0.25">
      <c r="A759" s="19"/>
      <c r="B759" s="19"/>
      <c r="C759" s="19"/>
      <c r="D759" s="19"/>
    </row>
    <row r="760" spans="1:4" ht="15.75" customHeight="1" x14ac:dyDescent="0.25">
      <c r="A760" s="19"/>
      <c r="B760" s="19"/>
      <c r="C760" s="19"/>
      <c r="D760" s="19"/>
    </row>
    <row r="761" spans="1:4" ht="15.75" customHeight="1" x14ac:dyDescent="0.25">
      <c r="A761" s="19"/>
      <c r="B761" s="19"/>
      <c r="C761" s="19"/>
      <c r="D761" s="19"/>
    </row>
    <row r="762" spans="1:4" ht="15.75" customHeight="1" x14ac:dyDescent="0.25">
      <c r="A762" s="19"/>
      <c r="B762" s="19"/>
      <c r="C762" s="19"/>
      <c r="D762" s="19"/>
    </row>
    <row r="763" spans="1:4" ht="15.75" customHeight="1" x14ac:dyDescent="0.25">
      <c r="A763" s="19"/>
      <c r="B763" s="19"/>
      <c r="C763" s="19"/>
      <c r="D763" s="19"/>
    </row>
    <row r="764" spans="1:4" ht="15.75" customHeight="1" x14ac:dyDescent="0.25">
      <c r="A764" s="19"/>
      <c r="B764" s="19"/>
      <c r="C764" s="19"/>
      <c r="D764" s="19"/>
    </row>
    <row r="765" spans="1:4" ht="15.75" customHeight="1" x14ac:dyDescent="0.25">
      <c r="A765" s="19"/>
      <c r="B765" s="19"/>
      <c r="C765" s="19"/>
      <c r="D765" s="19"/>
    </row>
    <row r="766" spans="1:4" ht="15.75" customHeight="1" x14ac:dyDescent="0.25">
      <c r="A766" s="19"/>
      <c r="B766" s="19"/>
      <c r="C766" s="19"/>
      <c r="D766" s="19"/>
    </row>
    <row r="767" spans="1:4" ht="15.75" customHeight="1" x14ac:dyDescent="0.25">
      <c r="A767" s="19"/>
      <c r="B767" s="19"/>
      <c r="C767" s="19"/>
      <c r="D767" s="19"/>
    </row>
    <row r="768" spans="1:4" ht="15.75" customHeight="1" x14ac:dyDescent="0.25">
      <c r="A768" s="19"/>
      <c r="B768" s="19"/>
      <c r="C768" s="19"/>
      <c r="D768" s="19"/>
    </row>
    <row r="769" spans="1:4" ht="15.75" customHeight="1" x14ac:dyDescent="0.25">
      <c r="A769" s="19"/>
      <c r="B769" s="19"/>
      <c r="C769" s="19"/>
      <c r="D769" s="19"/>
    </row>
    <row r="770" spans="1:4" ht="15.75" customHeight="1" x14ac:dyDescent="0.25">
      <c r="A770" s="19"/>
      <c r="B770" s="19"/>
      <c r="C770" s="19"/>
      <c r="D770" s="19"/>
    </row>
    <row r="771" spans="1:4" ht="15.75" customHeight="1" x14ac:dyDescent="0.25">
      <c r="A771" s="19"/>
      <c r="B771" s="19"/>
      <c r="C771" s="19"/>
      <c r="D771" s="19"/>
    </row>
    <row r="772" spans="1:4" ht="15.75" customHeight="1" x14ac:dyDescent="0.25">
      <c r="A772" s="19"/>
      <c r="B772" s="19"/>
      <c r="C772" s="19"/>
      <c r="D772" s="19"/>
    </row>
    <row r="773" spans="1:4" ht="15.75" customHeight="1" x14ac:dyDescent="0.25">
      <c r="A773" s="19"/>
      <c r="B773" s="19"/>
      <c r="C773" s="19"/>
      <c r="D773" s="19"/>
    </row>
    <row r="774" spans="1:4" ht="15.75" customHeight="1" x14ac:dyDescent="0.25">
      <c r="A774" s="19"/>
      <c r="B774" s="19"/>
      <c r="C774" s="19"/>
      <c r="D774" s="19"/>
    </row>
    <row r="775" spans="1:4" ht="15.75" customHeight="1" x14ac:dyDescent="0.25">
      <c r="A775" s="19"/>
      <c r="B775" s="19"/>
      <c r="C775" s="19"/>
      <c r="D775" s="19"/>
    </row>
    <row r="776" spans="1:4" ht="15.75" customHeight="1" x14ac:dyDescent="0.25">
      <c r="A776" s="19"/>
      <c r="B776" s="19"/>
      <c r="C776" s="19"/>
      <c r="D776" s="19"/>
    </row>
    <row r="777" spans="1:4" ht="15.75" customHeight="1" x14ac:dyDescent="0.25">
      <c r="A777" s="19"/>
      <c r="B777" s="19"/>
      <c r="C777" s="19"/>
      <c r="D777" s="19"/>
    </row>
    <row r="778" spans="1:4" ht="15.75" customHeight="1" x14ac:dyDescent="0.25">
      <c r="A778" s="19"/>
      <c r="B778" s="19"/>
      <c r="C778" s="19"/>
      <c r="D778" s="19"/>
    </row>
    <row r="779" spans="1:4" ht="15.75" customHeight="1" x14ac:dyDescent="0.25">
      <c r="A779" s="19"/>
      <c r="B779" s="19"/>
      <c r="C779" s="19"/>
      <c r="D779" s="19"/>
    </row>
    <row r="780" spans="1:4" ht="15.75" customHeight="1" x14ac:dyDescent="0.25">
      <c r="A780" s="19"/>
      <c r="B780" s="19"/>
      <c r="C780" s="19"/>
      <c r="D780" s="19"/>
    </row>
    <row r="781" spans="1:4" ht="15.75" customHeight="1" x14ac:dyDescent="0.25">
      <c r="A781" s="19"/>
      <c r="B781" s="19"/>
      <c r="C781" s="19"/>
      <c r="D781" s="19"/>
    </row>
    <row r="782" spans="1:4" ht="15.75" customHeight="1" x14ac:dyDescent="0.25">
      <c r="A782" s="19"/>
      <c r="B782" s="19"/>
      <c r="C782" s="19"/>
      <c r="D782" s="19"/>
    </row>
    <row r="783" spans="1:4" ht="15.75" customHeight="1" x14ac:dyDescent="0.25">
      <c r="A783" s="19"/>
      <c r="B783" s="19"/>
      <c r="C783" s="19"/>
      <c r="D783" s="19"/>
    </row>
    <row r="784" spans="1:4" ht="15.75" customHeight="1" x14ac:dyDescent="0.25">
      <c r="A784" s="19"/>
      <c r="B784" s="19"/>
      <c r="C784" s="19"/>
      <c r="D784" s="19"/>
    </row>
    <row r="785" spans="1:4" ht="15.75" customHeight="1" x14ac:dyDescent="0.25">
      <c r="A785" s="19"/>
      <c r="B785" s="19"/>
      <c r="C785" s="19"/>
      <c r="D785" s="19"/>
    </row>
    <row r="786" spans="1:4" ht="15.75" customHeight="1" x14ac:dyDescent="0.25">
      <c r="A786" s="19"/>
      <c r="B786" s="19"/>
      <c r="C786" s="19"/>
      <c r="D786" s="19"/>
    </row>
    <row r="787" spans="1:4" ht="15.75" customHeight="1" x14ac:dyDescent="0.25">
      <c r="A787" s="19"/>
      <c r="B787" s="19"/>
      <c r="C787" s="19"/>
      <c r="D787" s="19"/>
    </row>
    <row r="788" spans="1:4" ht="15.75" customHeight="1" x14ac:dyDescent="0.25">
      <c r="A788" s="19"/>
      <c r="B788" s="19"/>
      <c r="C788" s="19"/>
      <c r="D788" s="19"/>
    </row>
    <row r="789" spans="1:4" ht="15.75" customHeight="1" x14ac:dyDescent="0.25">
      <c r="A789" s="19"/>
      <c r="B789" s="19"/>
      <c r="C789" s="19"/>
      <c r="D789" s="19"/>
    </row>
    <row r="790" spans="1:4" ht="15.75" customHeight="1" x14ac:dyDescent="0.25">
      <c r="A790" s="19"/>
      <c r="B790" s="19"/>
      <c r="C790" s="19"/>
      <c r="D790" s="19"/>
    </row>
    <row r="791" spans="1:4" ht="15.75" customHeight="1" x14ac:dyDescent="0.25">
      <c r="A791" s="19"/>
      <c r="B791" s="19"/>
      <c r="C791" s="19"/>
      <c r="D791" s="19"/>
    </row>
    <row r="792" spans="1:4" ht="15.75" customHeight="1" x14ac:dyDescent="0.25">
      <c r="A792" s="19"/>
      <c r="B792" s="19"/>
      <c r="C792" s="19"/>
      <c r="D792" s="19"/>
    </row>
    <row r="793" spans="1:4" ht="15.75" customHeight="1" x14ac:dyDescent="0.25">
      <c r="A793" s="19"/>
      <c r="B793" s="19"/>
      <c r="C793" s="19"/>
      <c r="D793" s="19"/>
    </row>
    <row r="794" spans="1:4" ht="15.75" customHeight="1" x14ac:dyDescent="0.25">
      <c r="A794" s="19"/>
      <c r="B794" s="19"/>
      <c r="C794" s="19"/>
      <c r="D794" s="19"/>
    </row>
    <row r="795" spans="1:4" ht="15.75" customHeight="1" x14ac:dyDescent="0.25">
      <c r="A795" s="19"/>
      <c r="B795" s="19"/>
      <c r="C795" s="19"/>
      <c r="D795" s="19"/>
    </row>
    <row r="796" spans="1:4" ht="15.75" customHeight="1" x14ac:dyDescent="0.25">
      <c r="A796" s="19"/>
      <c r="B796" s="19"/>
      <c r="C796" s="19"/>
      <c r="D796" s="19"/>
    </row>
    <row r="797" spans="1:4" ht="15.75" customHeight="1" x14ac:dyDescent="0.25">
      <c r="A797" s="19"/>
      <c r="B797" s="19"/>
      <c r="C797" s="19"/>
      <c r="D797" s="19"/>
    </row>
    <row r="798" spans="1:4" ht="15.75" customHeight="1" x14ac:dyDescent="0.25">
      <c r="A798" s="19"/>
      <c r="B798" s="19"/>
      <c r="C798" s="19"/>
      <c r="D798" s="19"/>
    </row>
    <row r="799" spans="1:4" ht="15.75" customHeight="1" x14ac:dyDescent="0.25">
      <c r="A799" s="19"/>
      <c r="B799" s="19"/>
      <c r="C799" s="19"/>
      <c r="D799" s="19"/>
    </row>
    <row r="800" spans="1:4" ht="15.75" customHeight="1" x14ac:dyDescent="0.25">
      <c r="A800" s="19"/>
      <c r="B800" s="19"/>
      <c r="C800" s="19"/>
      <c r="D800" s="19"/>
    </row>
    <row r="801" spans="1:4" ht="15.75" customHeight="1" x14ac:dyDescent="0.25">
      <c r="A801" s="19"/>
      <c r="B801" s="19"/>
      <c r="C801" s="19"/>
      <c r="D801" s="19"/>
    </row>
    <row r="802" spans="1:4" ht="15.75" customHeight="1" x14ac:dyDescent="0.25">
      <c r="A802" s="19"/>
      <c r="B802" s="19"/>
      <c r="C802" s="19"/>
      <c r="D802" s="19"/>
    </row>
    <row r="803" spans="1:4" ht="15.75" customHeight="1" x14ac:dyDescent="0.25">
      <c r="A803" s="19"/>
      <c r="B803" s="19"/>
      <c r="C803" s="19"/>
      <c r="D803" s="19"/>
    </row>
    <row r="804" spans="1:4" ht="15.75" customHeight="1" x14ac:dyDescent="0.25">
      <c r="A804" s="19"/>
      <c r="B804" s="19"/>
      <c r="C804" s="19"/>
      <c r="D804" s="19"/>
    </row>
    <row r="805" spans="1:4" ht="15.75" customHeight="1" x14ac:dyDescent="0.25">
      <c r="A805" s="19"/>
      <c r="B805" s="19"/>
      <c r="C805" s="19"/>
      <c r="D805" s="19"/>
    </row>
    <row r="806" spans="1:4" ht="15.75" customHeight="1" x14ac:dyDescent="0.25">
      <c r="A806" s="19"/>
      <c r="B806" s="19"/>
      <c r="C806" s="19"/>
      <c r="D806" s="19"/>
    </row>
    <row r="807" spans="1:4" ht="15.75" customHeight="1" x14ac:dyDescent="0.25">
      <c r="A807" s="19"/>
      <c r="B807" s="19"/>
      <c r="C807" s="19"/>
      <c r="D807" s="19"/>
    </row>
    <row r="808" spans="1:4" ht="15.75" customHeight="1" x14ac:dyDescent="0.25">
      <c r="A808" s="19"/>
      <c r="B808" s="19"/>
      <c r="C808" s="19"/>
      <c r="D808" s="19"/>
    </row>
    <row r="809" spans="1:4" ht="15.75" customHeight="1" x14ac:dyDescent="0.25">
      <c r="A809" s="19"/>
      <c r="B809" s="19"/>
      <c r="C809" s="19"/>
      <c r="D809" s="19"/>
    </row>
    <row r="810" spans="1:4" ht="15.75" customHeight="1" x14ac:dyDescent="0.25">
      <c r="A810" s="19"/>
      <c r="B810" s="19"/>
      <c r="C810" s="19"/>
      <c r="D810" s="19"/>
    </row>
    <row r="811" spans="1:4" ht="15.75" customHeight="1" x14ac:dyDescent="0.25">
      <c r="A811" s="19"/>
      <c r="B811" s="19"/>
      <c r="C811" s="19"/>
      <c r="D811" s="19"/>
    </row>
    <row r="812" spans="1:4" ht="15.75" customHeight="1" x14ac:dyDescent="0.25">
      <c r="A812" s="19"/>
      <c r="B812" s="19"/>
      <c r="C812" s="19"/>
      <c r="D812" s="19"/>
    </row>
    <row r="813" spans="1:4" ht="15.75" customHeight="1" x14ac:dyDescent="0.25">
      <c r="A813" s="19"/>
      <c r="B813" s="19"/>
      <c r="C813" s="19"/>
      <c r="D813" s="19"/>
    </row>
    <row r="814" spans="1:4" ht="15.75" customHeight="1" x14ac:dyDescent="0.25">
      <c r="A814" s="19"/>
      <c r="B814" s="19"/>
      <c r="C814" s="19"/>
      <c r="D814" s="19"/>
    </row>
    <row r="815" spans="1:4" ht="15.75" customHeight="1" x14ac:dyDescent="0.25">
      <c r="A815" s="19"/>
      <c r="B815" s="19"/>
      <c r="C815" s="19"/>
      <c r="D815" s="19"/>
    </row>
    <row r="816" spans="1:4" ht="15.75" customHeight="1" x14ac:dyDescent="0.25">
      <c r="A816" s="19"/>
      <c r="B816" s="19"/>
      <c r="C816" s="19"/>
      <c r="D816" s="19"/>
    </row>
    <row r="817" spans="1:4" ht="15.75" customHeight="1" x14ac:dyDescent="0.25">
      <c r="A817" s="19"/>
      <c r="B817" s="19"/>
      <c r="C817" s="19"/>
      <c r="D817" s="19"/>
    </row>
    <row r="818" spans="1:4" ht="15.75" customHeight="1" x14ac:dyDescent="0.25">
      <c r="A818" s="19"/>
      <c r="B818" s="19"/>
      <c r="C818" s="19"/>
      <c r="D818" s="19"/>
    </row>
    <row r="819" spans="1:4" ht="15.75" customHeight="1" x14ac:dyDescent="0.25">
      <c r="A819" s="19"/>
      <c r="B819" s="19"/>
      <c r="C819" s="19"/>
      <c r="D819" s="19"/>
    </row>
    <row r="820" spans="1:4" ht="15.75" customHeight="1" x14ac:dyDescent="0.25">
      <c r="A820" s="19"/>
      <c r="B820" s="19"/>
      <c r="C820" s="19"/>
      <c r="D820" s="19"/>
    </row>
    <row r="821" spans="1:4" ht="15.75" customHeight="1" x14ac:dyDescent="0.25">
      <c r="A821" s="19"/>
      <c r="B821" s="19"/>
      <c r="C821" s="19"/>
      <c r="D821" s="19"/>
    </row>
    <row r="822" spans="1:4" ht="15.75" customHeight="1" x14ac:dyDescent="0.25">
      <c r="A822" s="19"/>
      <c r="B822" s="19"/>
      <c r="C822" s="19"/>
      <c r="D822" s="19"/>
    </row>
    <row r="823" spans="1:4" ht="15.75" customHeight="1" x14ac:dyDescent="0.25">
      <c r="A823" s="19"/>
      <c r="B823" s="19"/>
      <c r="C823" s="19"/>
      <c r="D823" s="19"/>
    </row>
    <row r="824" spans="1:4" ht="15.75" customHeight="1" x14ac:dyDescent="0.25">
      <c r="A824" s="19"/>
      <c r="B824" s="19"/>
      <c r="C824" s="19"/>
      <c r="D824" s="19"/>
    </row>
    <row r="825" spans="1:4" ht="15.75" customHeight="1" x14ac:dyDescent="0.25">
      <c r="A825" s="19"/>
      <c r="B825" s="19"/>
      <c r="C825" s="19"/>
      <c r="D825" s="19"/>
    </row>
    <row r="826" spans="1:4" ht="15.75" customHeight="1" x14ac:dyDescent="0.25">
      <c r="A826" s="19"/>
      <c r="B826" s="19"/>
      <c r="C826" s="19"/>
      <c r="D826" s="19"/>
    </row>
    <row r="827" spans="1:4" ht="15.75" customHeight="1" x14ac:dyDescent="0.25">
      <c r="A827" s="19"/>
      <c r="B827" s="19"/>
      <c r="C827" s="19"/>
      <c r="D827" s="19"/>
    </row>
    <row r="828" spans="1:4" ht="15.75" customHeight="1" x14ac:dyDescent="0.25">
      <c r="A828" s="19"/>
      <c r="B828" s="19"/>
      <c r="C828" s="19"/>
      <c r="D828" s="19"/>
    </row>
    <row r="829" spans="1:4" ht="15.75" customHeight="1" x14ac:dyDescent="0.25">
      <c r="A829" s="19"/>
      <c r="B829" s="19"/>
      <c r="C829" s="19"/>
      <c r="D829" s="19"/>
    </row>
    <row r="830" spans="1:4" ht="15.75" customHeight="1" x14ac:dyDescent="0.25">
      <c r="A830" s="19"/>
      <c r="B830" s="19"/>
      <c r="C830" s="19"/>
      <c r="D830" s="19"/>
    </row>
    <row r="831" spans="1:4" ht="15.75" customHeight="1" x14ac:dyDescent="0.25">
      <c r="A831" s="19"/>
      <c r="B831" s="19"/>
      <c r="C831" s="19"/>
      <c r="D831" s="19"/>
    </row>
    <row r="832" spans="1:4" ht="15.75" customHeight="1" x14ac:dyDescent="0.25">
      <c r="A832" s="19"/>
      <c r="B832" s="19"/>
      <c r="C832" s="19"/>
      <c r="D832" s="19"/>
    </row>
    <row r="833" spans="1:4" ht="15.75" customHeight="1" x14ac:dyDescent="0.25">
      <c r="A833" s="19"/>
      <c r="B833" s="19"/>
      <c r="C833" s="19"/>
      <c r="D833" s="19"/>
    </row>
    <row r="834" spans="1:4" ht="15.75" customHeight="1" x14ac:dyDescent="0.25">
      <c r="A834" s="19"/>
      <c r="B834" s="19"/>
      <c r="C834" s="19"/>
      <c r="D834" s="19"/>
    </row>
    <row r="835" spans="1:4" ht="15.75" customHeight="1" x14ac:dyDescent="0.25">
      <c r="A835" s="19"/>
      <c r="B835" s="19"/>
      <c r="C835" s="19"/>
      <c r="D835" s="19"/>
    </row>
    <row r="836" spans="1:4" ht="15.75" customHeight="1" x14ac:dyDescent="0.25">
      <c r="A836" s="19"/>
      <c r="B836" s="19"/>
      <c r="C836" s="19"/>
      <c r="D836" s="19"/>
    </row>
    <row r="837" spans="1:4" ht="15.75" customHeight="1" x14ac:dyDescent="0.25">
      <c r="A837" s="19"/>
      <c r="B837" s="19"/>
      <c r="C837" s="19"/>
      <c r="D837" s="19"/>
    </row>
    <row r="838" spans="1:4" ht="15.75" customHeight="1" x14ac:dyDescent="0.25">
      <c r="A838" s="19"/>
      <c r="B838" s="19"/>
      <c r="C838" s="19"/>
      <c r="D838" s="19"/>
    </row>
    <row r="839" spans="1:4" ht="15.75" customHeight="1" x14ac:dyDescent="0.25">
      <c r="A839" s="19"/>
      <c r="B839" s="19"/>
      <c r="C839" s="19"/>
      <c r="D839" s="19"/>
    </row>
    <row r="840" spans="1:4" ht="15.75" customHeight="1" x14ac:dyDescent="0.25">
      <c r="A840" s="19"/>
      <c r="B840" s="19"/>
      <c r="C840" s="19"/>
      <c r="D840" s="19"/>
    </row>
    <row r="841" spans="1:4" ht="15.75" customHeight="1" x14ac:dyDescent="0.25">
      <c r="A841" s="19"/>
      <c r="B841" s="19"/>
      <c r="C841" s="19"/>
      <c r="D841" s="19"/>
    </row>
    <row r="842" spans="1:4" ht="15.75" customHeight="1" x14ac:dyDescent="0.25">
      <c r="A842" s="19"/>
      <c r="B842" s="19"/>
      <c r="C842" s="19"/>
      <c r="D842" s="19"/>
    </row>
    <row r="843" spans="1:4" ht="15.75" customHeight="1" x14ac:dyDescent="0.25">
      <c r="A843" s="19"/>
      <c r="B843" s="19"/>
      <c r="C843" s="19"/>
      <c r="D843" s="19"/>
    </row>
    <row r="844" spans="1:4" ht="15.75" customHeight="1" x14ac:dyDescent="0.25">
      <c r="A844" s="19"/>
      <c r="B844" s="19"/>
      <c r="C844" s="19"/>
      <c r="D844" s="19"/>
    </row>
    <row r="845" spans="1:4" ht="15.75" customHeight="1" x14ac:dyDescent="0.25">
      <c r="A845" s="19"/>
      <c r="B845" s="19"/>
      <c r="C845" s="19"/>
      <c r="D845" s="19"/>
    </row>
    <row r="846" spans="1:4" ht="15.75" customHeight="1" x14ac:dyDescent="0.25">
      <c r="A846" s="19"/>
      <c r="B846" s="19"/>
      <c r="C846" s="19"/>
      <c r="D846" s="19"/>
    </row>
    <row r="847" spans="1:4" ht="15.75" customHeight="1" x14ac:dyDescent="0.25">
      <c r="A847" s="19"/>
      <c r="B847" s="19"/>
      <c r="C847" s="19"/>
      <c r="D847" s="19"/>
    </row>
    <row r="848" spans="1:4" ht="15.75" customHeight="1" x14ac:dyDescent="0.25">
      <c r="A848" s="19"/>
      <c r="B848" s="19"/>
      <c r="C848" s="19"/>
      <c r="D848" s="19"/>
    </row>
    <row r="849" spans="1:4" ht="15.75" customHeight="1" x14ac:dyDescent="0.25">
      <c r="A849" s="19"/>
      <c r="B849" s="19"/>
      <c r="C849" s="19"/>
      <c r="D849" s="19"/>
    </row>
    <row r="850" spans="1:4" ht="15.75" customHeight="1" x14ac:dyDescent="0.25">
      <c r="A850" s="19"/>
      <c r="B850" s="19"/>
      <c r="C850" s="19"/>
      <c r="D850" s="19"/>
    </row>
    <row r="851" spans="1:4" ht="15.75" customHeight="1" x14ac:dyDescent="0.25">
      <c r="A851" s="19"/>
      <c r="B851" s="19"/>
      <c r="C851" s="19"/>
      <c r="D851" s="19"/>
    </row>
    <row r="852" spans="1:4" ht="15.75" customHeight="1" x14ac:dyDescent="0.25">
      <c r="A852" s="19"/>
      <c r="B852" s="19"/>
      <c r="C852" s="19"/>
      <c r="D852" s="19"/>
    </row>
    <row r="853" spans="1:4" ht="15.75" customHeight="1" x14ac:dyDescent="0.25">
      <c r="A853" s="19"/>
      <c r="B853" s="19"/>
      <c r="C853" s="19"/>
      <c r="D853" s="19"/>
    </row>
    <row r="854" spans="1:4" ht="15.75" customHeight="1" x14ac:dyDescent="0.25">
      <c r="A854" s="19"/>
      <c r="B854" s="19"/>
      <c r="C854" s="19"/>
      <c r="D854" s="19"/>
    </row>
    <row r="855" spans="1:4" ht="15.75" customHeight="1" x14ac:dyDescent="0.25">
      <c r="A855" s="19"/>
      <c r="B855" s="19"/>
      <c r="C855" s="19"/>
      <c r="D855" s="19"/>
    </row>
    <row r="856" spans="1:4" ht="15.75" customHeight="1" x14ac:dyDescent="0.25">
      <c r="A856" s="19"/>
      <c r="B856" s="19"/>
      <c r="C856" s="19"/>
      <c r="D856" s="19"/>
    </row>
    <row r="857" spans="1:4" ht="15.75" customHeight="1" x14ac:dyDescent="0.25">
      <c r="A857" s="19"/>
      <c r="B857" s="19"/>
      <c r="C857" s="19"/>
      <c r="D857" s="19"/>
    </row>
    <row r="858" spans="1:4" ht="15.75" customHeight="1" x14ac:dyDescent="0.25">
      <c r="A858" s="19"/>
      <c r="B858" s="19"/>
      <c r="C858" s="19"/>
      <c r="D858" s="19"/>
    </row>
    <row r="859" spans="1:4" ht="15.75" customHeight="1" x14ac:dyDescent="0.25">
      <c r="A859" s="19"/>
      <c r="B859" s="19"/>
      <c r="C859" s="19"/>
      <c r="D859" s="19"/>
    </row>
    <row r="860" spans="1:4" ht="15.75" customHeight="1" x14ac:dyDescent="0.25">
      <c r="A860" s="19"/>
      <c r="B860" s="19"/>
      <c r="C860" s="19"/>
      <c r="D860" s="19"/>
    </row>
    <row r="861" spans="1:4" ht="15.75" customHeight="1" x14ac:dyDescent="0.25">
      <c r="A861" s="19"/>
      <c r="B861" s="19"/>
      <c r="C861" s="19"/>
      <c r="D861" s="19"/>
    </row>
    <row r="862" spans="1:4" ht="15.75" customHeight="1" x14ac:dyDescent="0.25">
      <c r="A862" s="19"/>
      <c r="B862" s="19"/>
      <c r="C862" s="19"/>
      <c r="D862" s="19"/>
    </row>
    <row r="863" spans="1:4" ht="15.75" customHeight="1" x14ac:dyDescent="0.25">
      <c r="A863" s="19"/>
      <c r="B863" s="19"/>
      <c r="C863" s="19"/>
      <c r="D863" s="19"/>
    </row>
    <row r="864" spans="1:4" ht="15.75" customHeight="1" x14ac:dyDescent="0.25">
      <c r="A864" s="19"/>
      <c r="B864" s="19"/>
      <c r="C864" s="19"/>
      <c r="D864" s="19"/>
    </row>
    <row r="865" spans="1:4" ht="15.75" customHeight="1" x14ac:dyDescent="0.25">
      <c r="A865" s="19"/>
      <c r="B865" s="19"/>
      <c r="C865" s="19"/>
      <c r="D865" s="19"/>
    </row>
    <row r="866" spans="1:4" ht="15.75" customHeight="1" x14ac:dyDescent="0.25">
      <c r="A866" s="19"/>
      <c r="B866" s="19"/>
      <c r="C866" s="19"/>
      <c r="D866" s="19"/>
    </row>
    <row r="867" spans="1:4" ht="15.75" customHeight="1" x14ac:dyDescent="0.25">
      <c r="A867" s="19"/>
      <c r="B867" s="19"/>
      <c r="C867" s="19"/>
      <c r="D867" s="19"/>
    </row>
    <row r="868" spans="1:4" ht="15.75" customHeight="1" x14ac:dyDescent="0.25">
      <c r="A868" s="19"/>
      <c r="B868" s="19"/>
      <c r="C868" s="19"/>
      <c r="D868" s="19"/>
    </row>
    <row r="869" spans="1:4" ht="15.75" customHeight="1" x14ac:dyDescent="0.25">
      <c r="A869" s="19"/>
      <c r="B869" s="19"/>
      <c r="C869" s="19"/>
      <c r="D869" s="19"/>
    </row>
    <row r="870" spans="1:4" ht="15.75" customHeight="1" x14ac:dyDescent="0.25">
      <c r="A870" s="19"/>
      <c r="B870" s="19"/>
      <c r="C870" s="19"/>
      <c r="D870" s="19"/>
    </row>
    <row r="871" spans="1:4" ht="15.75" customHeight="1" x14ac:dyDescent="0.25">
      <c r="A871" s="19"/>
      <c r="B871" s="19"/>
      <c r="C871" s="19"/>
      <c r="D871" s="19"/>
    </row>
    <row r="872" spans="1:4" ht="15.75" customHeight="1" x14ac:dyDescent="0.25">
      <c r="A872" s="19"/>
      <c r="B872" s="19"/>
      <c r="C872" s="19"/>
      <c r="D872" s="19"/>
    </row>
    <row r="873" spans="1:4" ht="15.75" customHeight="1" x14ac:dyDescent="0.25">
      <c r="A873" s="19"/>
      <c r="B873" s="19"/>
      <c r="C873" s="19"/>
      <c r="D873" s="19"/>
    </row>
    <row r="874" spans="1:4" ht="15.75" customHeight="1" x14ac:dyDescent="0.25">
      <c r="A874" s="19"/>
      <c r="B874" s="19"/>
      <c r="C874" s="19"/>
      <c r="D874" s="19"/>
    </row>
    <row r="875" spans="1:4" ht="15.75" customHeight="1" x14ac:dyDescent="0.25">
      <c r="A875" s="19"/>
      <c r="B875" s="19"/>
      <c r="C875" s="19"/>
      <c r="D875" s="19"/>
    </row>
    <row r="876" spans="1:4" ht="15.75" customHeight="1" x14ac:dyDescent="0.25">
      <c r="A876" s="19"/>
      <c r="B876" s="19"/>
      <c r="C876" s="19"/>
      <c r="D876" s="19"/>
    </row>
    <row r="877" spans="1:4" ht="15.75" customHeight="1" x14ac:dyDescent="0.25">
      <c r="A877" s="19"/>
      <c r="B877" s="19"/>
      <c r="C877" s="19"/>
      <c r="D877" s="19"/>
    </row>
    <row r="878" spans="1:4" ht="15.75" customHeight="1" x14ac:dyDescent="0.25">
      <c r="A878" s="19"/>
      <c r="B878" s="19"/>
      <c r="C878" s="19"/>
      <c r="D878" s="19"/>
    </row>
    <row r="879" spans="1:4" ht="15.75" customHeight="1" x14ac:dyDescent="0.25">
      <c r="A879" s="19"/>
      <c r="B879" s="19"/>
      <c r="C879" s="19"/>
      <c r="D879" s="19"/>
    </row>
    <row r="880" spans="1:4" ht="15.75" customHeight="1" x14ac:dyDescent="0.25">
      <c r="A880" s="19"/>
      <c r="B880" s="19"/>
      <c r="C880" s="19"/>
      <c r="D880" s="19"/>
    </row>
    <row r="881" spans="1:4" ht="15.75" customHeight="1" x14ac:dyDescent="0.25">
      <c r="A881" s="19"/>
      <c r="B881" s="19"/>
      <c r="C881" s="19"/>
      <c r="D881" s="19"/>
    </row>
    <row r="882" spans="1:4" ht="15.75" customHeight="1" x14ac:dyDescent="0.25">
      <c r="A882" s="19"/>
      <c r="B882" s="19"/>
      <c r="C882" s="19"/>
      <c r="D882" s="19"/>
    </row>
    <row r="883" spans="1:4" ht="15.75" customHeight="1" x14ac:dyDescent="0.25">
      <c r="A883" s="19"/>
      <c r="B883" s="19"/>
      <c r="C883" s="19"/>
      <c r="D883" s="19"/>
    </row>
    <row r="884" spans="1:4" ht="15.75" customHeight="1" x14ac:dyDescent="0.25">
      <c r="A884" s="19"/>
      <c r="B884" s="19"/>
      <c r="C884" s="19"/>
      <c r="D884" s="19"/>
    </row>
    <row r="885" spans="1:4" ht="15.75" customHeight="1" x14ac:dyDescent="0.25">
      <c r="A885" s="19"/>
      <c r="B885" s="19"/>
      <c r="C885" s="19"/>
      <c r="D885" s="19"/>
    </row>
    <row r="886" spans="1:4" ht="15.75" customHeight="1" x14ac:dyDescent="0.25">
      <c r="A886" s="19"/>
      <c r="B886" s="19"/>
      <c r="C886" s="19"/>
      <c r="D886" s="19"/>
    </row>
    <row r="887" spans="1:4" ht="15.75" customHeight="1" x14ac:dyDescent="0.25">
      <c r="A887" s="19"/>
      <c r="B887" s="19"/>
      <c r="C887" s="19"/>
      <c r="D887" s="19"/>
    </row>
    <row r="888" spans="1:4" ht="15.75" customHeight="1" x14ac:dyDescent="0.25">
      <c r="A888" s="19"/>
      <c r="B888" s="19"/>
      <c r="C888" s="19"/>
      <c r="D888" s="19"/>
    </row>
    <row r="889" spans="1:4" ht="15.75" customHeight="1" x14ac:dyDescent="0.25">
      <c r="A889" s="19"/>
      <c r="B889" s="19"/>
      <c r="C889" s="19"/>
      <c r="D889" s="19"/>
    </row>
    <row r="890" spans="1:4" ht="15.75" customHeight="1" x14ac:dyDescent="0.25">
      <c r="A890" s="19"/>
      <c r="B890" s="19"/>
      <c r="C890" s="19"/>
      <c r="D890" s="19"/>
    </row>
    <row r="891" spans="1:4" ht="15.75" customHeight="1" x14ac:dyDescent="0.25">
      <c r="A891" s="19"/>
      <c r="B891" s="19"/>
      <c r="C891" s="19"/>
      <c r="D891" s="19"/>
    </row>
    <row r="892" spans="1:4" ht="15.75" customHeight="1" x14ac:dyDescent="0.25">
      <c r="A892" s="19"/>
      <c r="B892" s="19"/>
      <c r="C892" s="19"/>
      <c r="D892" s="19"/>
    </row>
    <row r="893" spans="1:4" ht="15.75" customHeight="1" x14ac:dyDescent="0.25">
      <c r="A893" s="19"/>
      <c r="B893" s="19"/>
      <c r="C893" s="19"/>
      <c r="D893" s="19"/>
    </row>
    <row r="894" spans="1:4" ht="15.75" customHeight="1" x14ac:dyDescent="0.25">
      <c r="A894" s="19"/>
      <c r="B894" s="19"/>
      <c r="C894" s="19"/>
      <c r="D894" s="19"/>
    </row>
    <row r="895" spans="1:4" ht="15.75" customHeight="1" x14ac:dyDescent="0.25">
      <c r="A895" s="19"/>
      <c r="B895" s="19"/>
      <c r="C895" s="19"/>
      <c r="D895" s="19"/>
    </row>
    <row r="896" spans="1:4" ht="15.75" customHeight="1" x14ac:dyDescent="0.25">
      <c r="A896" s="19"/>
      <c r="B896" s="19"/>
      <c r="C896" s="19"/>
      <c r="D896" s="19"/>
    </row>
    <row r="897" spans="1:4" ht="15.75" customHeight="1" x14ac:dyDescent="0.25">
      <c r="A897" s="19"/>
      <c r="B897" s="19"/>
      <c r="C897" s="19"/>
      <c r="D897" s="19"/>
    </row>
    <row r="898" spans="1:4" ht="15.75" customHeight="1" x14ac:dyDescent="0.25">
      <c r="A898" s="19"/>
      <c r="B898" s="19"/>
      <c r="C898" s="19"/>
      <c r="D898" s="19"/>
    </row>
    <row r="899" spans="1:4" ht="15.75" customHeight="1" x14ac:dyDescent="0.25">
      <c r="A899" s="19"/>
      <c r="B899" s="19"/>
      <c r="C899" s="19"/>
      <c r="D899" s="19"/>
    </row>
    <row r="900" spans="1:4" ht="15.75" customHeight="1" x14ac:dyDescent="0.25">
      <c r="A900" s="19"/>
      <c r="B900" s="19"/>
      <c r="C900" s="19"/>
      <c r="D900" s="19"/>
    </row>
    <row r="901" spans="1:4" ht="15.75" customHeight="1" x14ac:dyDescent="0.25">
      <c r="A901" s="19"/>
      <c r="B901" s="19"/>
      <c r="C901" s="19"/>
      <c r="D901" s="19"/>
    </row>
    <row r="902" spans="1:4" ht="15.75" customHeight="1" x14ac:dyDescent="0.25">
      <c r="A902" s="19"/>
      <c r="B902" s="19"/>
      <c r="C902" s="19"/>
      <c r="D902" s="19"/>
    </row>
    <row r="903" spans="1:4" ht="15.75" customHeight="1" x14ac:dyDescent="0.25">
      <c r="A903" s="19"/>
      <c r="B903" s="19"/>
      <c r="C903" s="19"/>
      <c r="D903" s="19"/>
    </row>
    <row r="904" spans="1:4" ht="15.75" customHeight="1" x14ac:dyDescent="0.25">
      <c r="A904" s="19"/>
      <c r="B904" s="19"/>
      <c r="C904" s="19"/>
      <c r="D904" s="19"/>
    </row>
    <row r="905" spans="1:4" ht="15.75" customHeight="1" x14ac:dyDescent="0.25">
      <c r="A905" s="19"/>
      <c r="B905" s="19"/>
      <c r="C905" s="19"/>
      <c r="D905" s="19"/>
    </row>
    <row r="906" spans="1:4" ht="15.75" customHeight="1" x14ac:dyDescent="0.25">
      <c r="A906" s="19"/>
      <c r="B906" s="19"/>
      <c r="C906" s="19"/>
      <c r="D906" s="19"/>
    </row>
    <row r="907" spans="1:4" ht="15.75" customHeight="1" x14ac:dyDescent="0.25">
      <c r="A907" s="19"/>
      <c r="B907" s="19"/>
      <c r="C907" s="19"/>
      <c r="D907" s="19"/>
    </row>
    <row r="908" spans="1:4" ht="15.75" customHeight="1" x14ac:dyDescent="0.25">
      <c r="A908" s="19"/>
      <c r="B908" s="19"/>
      <c r="C908" s="19"/>
      <c r="D908" s="19"/>
    </row>
    <row r="909" spans="1:4" ht="15.75" customHeight="1" x14ac:dyDescent="0.25">
      <c r="A909" s="19"/>
      <c r="B909" s="19"/>
      <c r="C909" s="19"/>
      <c r="D909" s="19"/>
    </row>
    <row r="910" spans="1:4" ht="15.75" customHeight="1" x14ac:dyDescent="0.25">
      <c r="A910" s="19"/>
      <c r="B910" s="19"/>
      <c r="C910" s="19"/>
      <c r="D910" s="19"/>
    </row>
    <row r="911" spans="1:4" ht="15.75" customHeight="1" x14ac:dyDescent="0.25">
      <c r="A911" s="19"/>
      <c r="B911" s="19"/>
      <c r="C911" s="19"/>
      <c r="D911" s="19"/>
    </row>
    <row r="912" spans="1:4" ht="15.75" customHeight="1" x14ac:dyDescent="0.25">
      <c r="A912" s="19"/>
      <c r="B912" s="19"/>
      <c r="C912" s="19"/>
      <c r="D912" s="19"/>
    </row>
    <row r="913" spans="1:4" ht="15.75" customHeight="1" x14ac:dyDescent="0.25">
      <c r="A913" s="19"/>
      <c r="B913" s="19"/>
      <c r="C913" s="19"/>
      <c r="D913" s="19"/>
    </row>
    <row r="914" spans="1:4" ht="15.75" customHeight="1" x14ac:dyDescent="0.25">
      <c r="A914" s="19"/>
      <c r="B914" s="19"/>
      <c r="C914" s="19"/>
      <c r="D914" s="19"/>
    </row>
    <row r="915" spans="1:4" ht="15.75" customHeight="1" x14ac:dyDescent="0.25">
      <c r="A915" s="19"/>
      <c r="B915" s="19"/>
      <c r="C915" s="19"/>
      <c r="D915" s="19"/>
    </row>
    <row r="916" spans="1:4" ht="15.75" customHeight="1" x14ac:dyDescent="0.25">
      <c r="A916" s="19"/>
      <c r="B916" s="19"/>
      <c r="C916" s="19"/>
      <c r="D916" s="19"/>
    </row>
    <row r="917" spans="1:4" ht="15.75" customHeight="1" x14ac:dyDescent="0.25">
      <c r="A917" s="19"/>
      <c r="B917" s="19"/>
      <c r="C917" s="19"/>
      <c r="D917" s="19"/>
    </row>
    <row r="918" spans="1:4" ht="15.75" customHeight="1" x14ac:dyDescent="0.25">
      <c r="A918" s="19"/>
      <c r="B918" s="19"/>
      <c r="C918" s="19"/>
      <c r="D918" s="19"/>
    </row>
    <row r="919" spans="1:4" ht="15.75" customHeight="1" x14ac:dyDescent="0.25">
      <c r="A919" s="19"/>
      <c r="B919" s="19"/>
      <c r="C919" s="19"/>
      <c r="D919" s="19"/>
    </row>
    <row r="920" spans="1:4" ht="15.75" customHeight="1" x14ac:dyDescent="0.25">
      <c r="A920" s="19"/>
      <c r="B920" s="19"/>
      <c r="C920" s="19"/>
      <c r="D920" s="19"/>
    </row>
    <row r="921" spans="1:4" ht="15.75" customHeight="1" x14ac:dyDescent="0.25">
      <c r="A921" s="19"/>
      <c r="B921" s="19"/>
      <c r="C921" s="19"/>
      <c r="D921" s="19"/>
    </row>
    <row r="922" spans="1:4" ht="15.75" customHeight="1" x14ac:dyDescent="0.25">
      <c r="A922" s="19"/>
      <c r="B922" s="19"/>
      <c r="C922" s="19"/>
      <c r="D922" s="19"/>
    </row>
    <row r="923" spans="1:4" ht="15.75" customHeight="1" x14ac:dyDescent="0.25">
      <c r="A923" s="19"/>
      <c r="B923" s="19"/>
      <c r="C923" s="19"/>
      <c r="D923" s="19"/>
    </row>
    <row r="924" spans="1:4" ht="15.75" customHeight="1" x14ac:dyDescent="0.25">
      <c r="A924" s="19"/>
      <c r="B924" s="19"/>
      <c r="C924" s="19"/>
      <c r="D924" s="19"/>
    </row>
    <row r="925" spans="1:4" ht="15.75" customHeight="1" x14ac:dyDescent="0.25">
      <c r="A925" s="19"/>
      <c r="B925" s="19"/>
      <c r="C925" s="19"/>
      <c r="D925" s="19"/>
    </row>
    <row r="926" spans="1:4" ht="15.75" customHeight="1" x14ac:dyDescent="0.25">
      <c r="A926" s="19"/>
      <c r="B926" s="19"/>
      <c r="C926" s="19"/>
      <c r="D926" s="19"/>
    </row>
    <row r="927" spans="1:4" ht="15.75" customHeight="1" x14ac:dyDescent="0.25">
      <c r="A927" s="19"/>
      <c r="B927" s="19"/>
      <c r="C927" s="19"/>
      <c r="D927" s="19"/>
    </row>
    <row r="928" spans="1:4" ht="15.75" customHeight="1" x14ac:dyDescent="0.25">
      <c r="A928" s="19"/>
      <c r="B928" s="19"/>
      <c r="C928" s="19"/>
      <c r="D928" s="19"/>
    </row>
    <row r="929" spans="1:4" ht="15.75" customHeight="1" x14ac:dyDescent="0.25">
      <c r="A929" s="19"/>
      <c r="B929" s="19"/>
      <c r="C929" s="19"/>
      <c r="D929" s="19"/>
    </row>
    <row r="930" spans="1:4" ht="15.75" customHeight="1" x14ac:dyDescent="0.25">
      <c r="A930" s="19"/>
      <c r="B930" s="19"/>
      <c r="C930" s="19"/>
      <c r="D930" s="19"/>
    </row>
    <row r="931" spans="1:4" ht="15.75" customHeight="1" x14ac:dyDescent="0.25">
      <c r="A931" s="19"/>
      <c r="B931" s="19"/>
      <c r="C931" s="19"/>
      <c r="D931" s="19"/>
    </row>
    <row r="932" spans="1:4" ht="15.75" customHeight="1" x14ac:dyDescent="0.25">
      <c r="A932" s="19"/>
      <c r="B932" s="19"/>
      <c r="C932" s="19"/>
      <c r="D932" s="19"/>
    </row>
    <row r="933" spans="1:4" ht="15.75" customHeight="1" x14ac:dyDescent="0.25">
      <c r="A933" s="19"/>
      <c r="B933" s="19"/>
      <c r="C933" s="19"/>
      <c r="D933" s="19"/>
    </row>
    <row r="934" spans="1:4" ht="15.75" customHeight="1" x14ac:dyDescent="0.25">
      <c r="A934" s="19"/>
      <c r="B934" s="19"/>
      <c r="C934" s="19"/>
      <c r="D934" s="19"/>
    </row>
    <row r="935" spans="1:4" ht="15.75" customHeight="1" x14ac:dyDescent="0.25">
      <c r="A935" s="19"/>
      <c r="B935" s="19"/>
      <c r="C935" s="19"/>
      <c r="D935" s="19"/>
    </row>
    <row r="936" spans="1:4" ht="15.75" customHeight="1" x14ac:dyDescent="0.25">
      <c r="A936" s="19"/>
      <c r="B936" s="19"/>
      <c r="C936" s="19"/>
      <c r="D936" s="19"/>
    </row>
    <row r="937" spans="1:4" ht="15.75" customHeight="1" x14ac:dyDescent="0.25">
      <c r="A937" s="19"/>
      <c r="B937" s="19"/>
      <c r="C937" s="19"/>
      <c r="D937" s="19"/>
    </row>
    <row r="938" spans="1:4" ht="15.75" customHeight="1" x14ac:dyDescent="0.25">
      <c r="A938" s="19"/>
      <c r="B938" s="19"/>
      <c r="C938" s="19"/>
      <c r="D938" s="19"/>
    </row>
    <row r="939" spans="1:4" ht="15.75" customHeight="1" x14ac:dyDescent="0.25">
      <c r="A939" s="19"/>
      <c r="B939" s="19"/>
      <c r="C939" s="19"/>
      <c r="D939" s="19"/>
    </row>
    <row r="940" spans="1:4" ht="15.75" customHeight="1" x14ac:dyDescent="0.25">
      <c r="A940" s="19"/>
      <c r="B940" s="19"/>
      <c r="C940" s="19"/>
      <c r="D940" s="19"/>
    </row>
    <row r="941" spans="1:4" ht="15.75" customHeight="1" x14ac:dyDescent="0.25">
      <c r="A941" s="19"/>
      <c r="B941" s="19"/>
      <c r="C941" s="19"/>
      <c r="D941" s="19"/>
    </row>
    <row r="942" spans="1:4" ht="15.75" customHeight="1" x14ac:dyDescent="0.25">
      <c r="A942" s="19"/>
      <c r="B942" s="19"/>
      <c r="C942" s="19"/>
      <c r="D942" s="19"/>
    </row>
    <row r="943" spans="1:4" ht="15.75" customHeight="1" x14ac:dyDescent="0.25">
      <c r="A943" s="19"/>
      <c r="B943" s="19"/>
      <c r="C943" s="19"/>
      <c r="D943" s="19"/>
    </row>
    <row r="944" spans="1:4" ht="15.75" customHeight="1" x14ac:dyDescent="0.25">
      <c r="A944" s="19"/>
      <c r="B944" s="19"/>
      <c r="C944" s="19"/>
      <c r="D944" s="19"/>
    </row>
    <row r="945" spans="1:4" ht="15.75" customHeight="1" x14ac:dyDescent="0.25">
      <c r="A945" s="19"/>
      <c r="B945" s="19"/>
      <c r="C945" s="19"/>
      <c r="D945" s="19"/>
    </row>
    <row r="946" spans="1:4" ht="15.75" customHeight="1" x14ac:dyDescent="0.25">
      <c r="A946" s="19"/>
      <c r="B946" s="19"/>
      <c r="C946" s="19"/>
      <c r="D946" s="19"/>
    </row>
    <row r="947" spans="1:4" ht="15.75" customHeight="1" x14ac:dyDescent="0.25">
      <c r="A947" s="19"/>
      <c r="B947" s="19"/>
      <c r="C947" s="19"/>
      <c r="D947" s="19"/>
    </row>
    <row r="948" spans="1:4" ht="15.75" customHeight="1" x14ac:dyDescent="0.25">
      <c r="A948" s="19"/>
      <c r="B948" s="19"/>
      <c r="C948" s="19"/>
      <c r="D948" s="19"/>
    </row>
    <row r="949" spans="1:4" ht="15.75" customHeight="1" x14ac:dyDescent="0.25">
      <c r="A949" s="19"/>
      <c r="B949" s="19"/>
      <c r="C949" s="19"/>
      <c r="D949" s="19"/>
    </row>
    <row r="950" spans="1:4" ht="15.75" customHeight="1" x14ac:dyDescent="0.25">
      <c r="A950" s="19"/>
      <c r="B950" s="19"/>
      <c r="C950" s="19"/>
      <c r="D950" s="19"/>
    </row>
    <row r="951" spans="1:4" ht="15.75" customHeight="1" x14ac:dyDescent="0.25">
      <c r="A951" s="19"/>
      <c r="B951" s="19"/>
      <c r="C951" s="19"/>
      <c r="D951" s="19"/>
    </row>
    <row r="952" spans="1:4" ht="15.75" customHeight="1" x14ac:dyDescent="0.25">
      <c r="A952" s="19"/>
      <c r="B952" s="19"/>
      <c r="C952" s="19"/>
      <c r="D952" s="19"/>
    </row>
    <row r="953" spans="1:4" ht="15.75" customHeight="1" x14ac:dyDescent="0.25">
      <c r="A953" s="19"/>
      <c r="B953" s="19"/>
      <c r="C953" s="19"/>
      <c r="D953" s="19"/>
    </row>
    <row r="954" spans="1:4" ht="15.75" customHeight="1" x14ac:dyDescent="0.25">
      <c r="A954" s="19"/>
      <c r="B954" s="19"/>
      <c r="C954" s="19"/>
      <c r="D954" s="19"/>
    </row>
    <row r="955" spans="1:4" ht="15.75" customHeight="1" x14ac:dyDescent="0.25">
      <c r="A955" s="19"/>
      <c r="B955" s="19"/>
      <c r="C955" s="19"/>
      <c r="D955" s="19"/>
    </row>
    <row r="956" spans="1:4" ht="15.75" customHeight="1" x14ac:dyDescent="0.25">
      <c r="A956" s="19"/>
      <c r="B956" s="19"/>
      <c r="C956" s="19"/>
      <c r="D956" s="19"/>
    </row>
    <row r="957" spans="1:4" ht="15.75" customHeight="1" x14ac:dyDescent="0.25">
      <c r="A957" s="19"/>
      <c r="B957" s="19"/>
      <c r="C957" s="19"/>
      <c r="D957" s="19"/>
    </row>
    <row r="958" spans="1:4" ht="15.75" customHeight="1" x14ac:dyDescent="0.25">
      <c r="A958" s="19"/>
      <c r="B958" s="19"/>
      <c r="C958" s="19"/>
      <c r="D958" s="19"/>
    </row>
    <row r="959" spans="1:4" ht="15.75" customHeight="1" x14ac:dyDescent="0.25">
      <c r="A959" s="19"/>
      <c r="B959" s="19"/>
      <c r="C959" s="19"/>
      <c r="D959" s="19"/>
    </row>
    <row r="960" spans="1:4" ht="15.75" customHeight="1" x14ac:dyDescent="0.25">
      <c r="A960" s="19"/>
      <c r="B960" s="19"/>
      <c r="C960" s="19"/>
      <c r="D960" s="19"/>
    </row>
    <row r="961" spans="1:4" ht="15.75" customHeight="1" x14ac:dyDescent="0.25">
      <c r="A961" s="19"/>
      <c r="B961" s="19"/>
      <c r="C961" s="19"/>
      <c r="D961" s="19"/>
    </row>
    <row r="962" spans="1:4" ht="15.75" customHeight="1" x14ac:dyDescent="0.25">
      <c r="A962" s="19"/>
      <c r="B962" s="19"/>
      <c r="C962" s="19"/>
      <c r="D962" s="19"/>
    </row>
    <row r="963" spans="1:4" ht="15.75" customHeight="1" x14ac:dyDescent="0.25">
      <c r="A963" s="19"/>
      <c r="B963" s="19"/>
      <c r="C963" s="19"/>
      <c r="D963" s="19"/>
    </row>
    <row r="964" spans="1:4" ht="15.75" customHeight="1" x14ac:dyDescent="0.25">
      <c r="A964" s="19"/>
      <c r="B964" s="19"/>
      <c r="C964" s="19"/>
      <c r="D964" s="19"/>
    </row>
    <row r="965" spans="1:4" ht="15.75" customHeight="1" x14ac:dyDescent="0.25">
      <c r="A965" s="19"/>
      <c r="B965" s="19"/>
      <c r="C965" s="19"/>
      <c r="D965" s="19"/>
    </row>
    <row r="966" spans="1:4" ht="15.75" customHeight="1" x14ac:dyDescent="0.25">
      <c r="A966" s="19"/>
      <c r="B966" s="19"/>
      <c r="C966" s="19"/>
      <c r="D966" s="19"/>
    </row>
    <row r="967" spans="1:4" ht="15.75" customHeight="1" x14ac:dyDescent="0.25">
      <c r="A967" s="19"/>
      <c r="B967" s="19"/>
      <c r="C967" s="19"/>
      <c r="D967" s="19"/>
    </row>
    <row r="968" spans="1:4" ht="15.75" customHeight="1" x14ac:dyDescent="0.25">
      <c r="A968" s="19"/>
      <c r="B968" s="19"/>
      <c r="C968" s="19"/>
      <c r="D968" s="19"/>
    </row>
    <row r="969" spans="1:4" ht="15.75" customHeight="1" x14ac:dyDescent="0.25">
      <c r="A969" s="19"/>
      <c r="B969" s="19"/>
      <c r="C969" s="19"/>
      <c r="D969" s="19"/>
    </row>
    <row r="970" spans="1:4" ht="15.75" customHeight="1" x14ac:dyDescent="0.25">
      <c r="A970" s="19"/>
      <c r="B970" s="19"/>
      <c r="C970" s="19"/>
      <c r="D970" s="19"/>
    </row>
    <row r="971" spans="1:4" ht="15.75" customHeight="1" x14ac:dyDescent="0.25">
      <c r="A971" s="19"/>
      <c r="B971" s="19"/>
      <c r="C971" s="19"/>
      <c r="D971" s="19"/>
    </row>
    <row r="972" spans="1:4" ht="15.75" customHeight="1" x14ac:dyDescent="0.25">
      <c r="A972" s="19"/>
      <c r="B972" s="19"/>
      <c r="C972" s="19"/>
      <c r="D972" s="19"/>
    </row>
    <row r="973" spans="1:4" ht="15.75" customHeight="1" x14ac:dyDescent="0.25">
      <c r="A973" s="19"/>
      <c r="B973" s="19"/>
      <c r="C973" s="19"/>
      <c r="D973" s="19"/>
    </row>
    <row r="974" spans="1:4" ht="15.75" customHeight="1" x14ac:dyDescent="0.25">
      <c r="A974" s="19"/>
      <c r="B974" s="19"/>
      <c r="C974" s="19"/>
      <c r="D974" s="19"/>
    </row>
    <row r="975" spans="1:4" ht="15.75" customHeight="1" x14ac:dyDescent="0.25">
      <c r="A975" s="19"/>
      <c r="B975" s="19"/>
      <c r="C975" s="19"/>
      <c r="D975" s="19"/>
    </row>
    <row r="976" spans="1:4" ht="15.75" customHeight="1" x14ac:dyDescent="0.25">
      <c r="A976" s="19"/>
      <c r="B976" s="19"/>
      <c r="C976" s="19"/>
      <c r="D976" s="19"/>
    </row>
    <row r="977" spans="1:4" ht="15.75" customHeight="1" x14ac:dyDescent="0.25">
      <c r="A977" s="19"/>
      <c r="B977" s="19"/>
      <c r="C977" s="19"/>
      <c r="D977" s="19"/>
    </row>
    <row r="978" spans="1:4" ht="15.75" customHeight="1" x14ac:dyDescent="0.25">
      <c r="A978" s="19"/>
      <c r="B978" s="19"/>
      <c r="C978" s="19"/>
      <c r="D978" s="19"/>
    </row>
    <row r="979" spans="1:4" ht="15.75" customHeight="1" x14ac:dyDescent="0.25">
      <c r="A979" s="19"/>
      <c r="B979" s="19"/>
      <c r="C979" s="19"/>
      <c r="D979" s="19"/>
    </row>
    <row r="980" spans="1:4" ht="15.75" customHeight="1" x14ac:dyDescent="0.25">
      <c r="A980" s="19"/>
      <c r="B980" s="19"/>
      <c r="C980" s="19"/>
      <c r="D980" s="19"/>
    </row>
    <row r="981" spans="1:4" ht="15.75" customHeight="1" x14ac:dyDescent="0.25">
      <c r="A981" s="19"/>
      <c r="B981" s="19"/>
      <c r="C981" s="19"/>
      <c r="D981" s="19"/>
    </row>
    <row r="982" spans="1:4" ht="15.75" customHeight="1" x14ac:dyDescent="0.25">
      <c r="A982" s="19"/>
      <c r="B982" s="19"/>
      <c r="C982" s="19"/>
      <c r="D982" s="19"/>
    </row>
    <row r="983" spans="1:4" ht="15.75" customHeight="1" x14ac:dyDescent="0.25">
      <c r="A983" s="19"/>
      <c r="B983" s="19"/>
      <c r="C983" s="19"/>
      <c r="D983" s="19"/>
    </row>
    <row r="984" spans="1:4" ht="15.75" customHeight="1" x14ac:dyDescent="0.25">
      <c r="A984" s="19"/>
      <c r="B984" s="19"/>
      <c r="C984" s="19"/>
      <c r="D984" s="19"/>
    </row>
    <row r="985" spans="1:4" ht="15.75" customHeight="1" x14ac:dyDescent="0.25">
      <c r="A985" s="19"/>
      <c r="B985" s="19"/>
      <c r="C985" s="19"/>
      <c r="D985" s="19"/>
    </row>
    <row r="986" spans="1:4" ht="15.75" customHeight="1" x14ac:dyDescent="0.25">
      <c r="A986" s="19"/>
      <c r="B986" s="19"/>
      <c r="C986" s="19"/>
      <c r="D986" s="19"/>
    </row>
    <row r="987" spans="1:4" ht="15.75" customHeight="1" x14ac:dyDescent="0.25">
      <c r="A987" s="19"/>
      <c r="B987" s="19"/>
      <c r="C987" s="19"/>
      <c r="D987" s="19"/>
    </row>
    <row r="988" spans="1:4" ht="15.75" customHeight="1" x14ac:dyDescent="0.25">
      <c r="A988" s="19"/>
      <c r="B988" s="19"/>
      <c r="C988" s="19"/>
      <c r="D988" s="19"/>
    </row>
    <row r="989" spans="1:4" ht="15.75" customHeight="1" x14ac:dyDescent="0.25">
      <c r="A989" s="19"/>
      <c r="B989" s="19"/>
      <c r="C989" s="19"/>
      <c r="D989" s="19"/>
    </row>
    <row r="990" spans="1:4" ht="15.75" customHeight="1" x14ac:dyDescent="0.25">
      <c r="A990" s="19"/>
      <c r="B990" s="19"/>
      <c r="C990" s="19"/>
      <c r="D990" s="19"/>
    </row>
    <row r="991" spans="1:4" ht="15.75" customHeight="1" x14ac:dyDescent="0.25">
      <c r="A991" s="19"/>
      <c r="B991" s="19"/>
      <c r="C991" s="19"/>
      <c r="D991" s="19"/>
    </row>
    <row r="992" spans="1:4" ht="15.75" customHeight="1" x14ac:dyDescent="0.25">
      <c r="A992" s="19"/>
      <c r="B992" s="19"/>
      <c r="C992" s="19"/>
      <c r="D992" s="19"/>
    </row>
    <row r="993" spans="1:4" ht="15.75" customHeight="1" x14ac:dyDescent="0.25">
      <c r="A993" s="19"/>
      <c r="B993" s="19"/>
      <c r="C993" s="19"/>
      <c r="D993" s="19"/>
    </row>
    <row r="994" spans="1:4" ht="15.75" customHeight="1" x14ac:dyDescent="0.25">
      <c r="A994" s="19"/>
      <c r="B994" s="19"/>
      <c r="C994" s="19"/>
      <c r="D994" s="19"/>
    </row>
    <row r="995" spans="1:4" ht="15.75" customHeight="1" x14ac:dyDescent="0.25">
      <c r="A995" s="19"/>
      <c r="B995" s="19"/>
      <c r="C995" s="19"/>
      <c r="D995" s="19"/>
    </row>
    <row r="996" spans="1:4" ht="15.75" customHeight="1" x14ac:dyDescent="0.25">
      <c r="A996" s="19"/>
      <c r="B996" s="19"/>
      <c r="C996" s="19"/>
      <c r="D996" s="19"/>
    </row>
    <row r="997" spans="1:4" ht="15.75" customHeight="1" x14ac:dyDescent="0.25">
      <c r="A997" s="19"/>
      <c r="B997" s="19"/>
      <c r="C997" s="19"/>
      <c r="D997" s="19"/>
    </row>
    <row r="998" spans="1:4" ht="15.75" customHeight="1" x14ac:dyDescent="0.25">
      <c r="A998" s="19"/>
      <c r="B998" s="19"/>
      <c r="C998" s="19"/>
      <c r="D998" s="19"/>
    </row>
    <row r="999" spans="1:4" ht="15.75" customHeight="1" x14ac:dyDescent="0.25">
      <c r="A999" s="19"/>
      <c r="B999" s="19"/>
      <c r="C999" s="19"/>
      <c r="D999" s="19"/>
    </row>
    <row r="1000" spans="1:4" ht="15.75" customHeight="1" x14ac:dyDescent="0.25">
      <c r="A1000" s="19"/>
      <c r="B1000" s="19"/>
      <c r="C1000" s="19"/>
      <c r="D1000" s="19"/>
    </row>
  </sheetData>
  <conditionalFormatting sqref="B2:B46">
    <cfRule type="cellIs" dxfId="11" priority="1" operator="equal">
      <formula>"Ja"</formula>
    </cfRule>
  </conditionalFormatting>
  <conditionalFormatting sqref="B2:B46">
    <cfRule type="cellIs" dxfId="10" priority="2" operator="equal">
      <formula>"Nein"</formula>
    </cfRule>
  </conditionalFormatting>
  <conditionalFormatting sqref="D2">
    <cfRule type="cellIs" dxfId="9" priority="3" operator="equal">
      <formula>1</formula>
    </cfRule>
  </conditionalFormatting>
  <conditionalFormatting sqref="D2">
    <cfRule type="cellIs" dxfId="8" priority="4" operator="equal">
      <formula>0.8</formula>
    </cfRule>
  </conditionalFormatting>
  <conditionalFormatting sqref="D2">
    <cfRule type="cellIs" dxfId="7" priority="5" operator="equal">
      <formula>0.6</formula>
    </cfRule>
  </conditionalFormatting>
  <conditionalFormatting sqref="D2">
    <cfRule type="cellIs" dxfId="6" priority="6" operator="equal">
      <formula>0.4</formula>
    </cfRule>
  </conditionalFormatting>
  <conditionalFormatting sqref="D2">
    <cfRule type="cellIs" dxfId="5" priority="7" operator="equal">
      <formula>0.2</formula>
    </cfRule>
  </conditionalFormatting>
  <conditionalFormatting sqref="D2">
    <cfRule type="cellIs" dxfId="4" priority="8" operator="equal">
      <formula>0</formula>
    </cfRule>
  </conditionalFormatting>
  <conditionalFormatting sqref="B2:B46">
    <cfRule type="cellIs" dxfId="3" priority="9" operator="equal">
      <formula>"Ja"</formula>
    </cfRule>
  </conditionalFormatting>
  <conditionalFormatting sqref="C2:C46">
    <cfRule type="cellIs" dxfId="2" priority="10" operator="equal">
      <formula>"Ja"</formula>
    </cfRule>
  </conditionalFormatting>
  <conditionalFormatting sqref="C2:C46">
    <cfRule type="cellIs" dxfId="1" priority="11" operator="equal">
      <formula>"Nein"</formula>
    </cfRule>
  </conditionalFormatting>
  <conditionalFormatting sqref="C2:C46">
    <cfRule type="cellIs" dxfId="0" priority="12" operator="equal">
      <formula>"Ja"</formula>
    </cfRule>
  </conditionalFormatting>
  <dataValidations count="2">
    <dataValidation type="list" allowBlank="1" showErrorMessage="1" sqref="B2:C46" xr:uid="{00000000-0002-0000-0200-000000000000}">
      <formula1>"Ja,Nein"</formula1>
    </dataValidation>
    <dataValidation type="list" allowBlank="1" showErrorMessage="1" sqref="D2" xr:uid="{00000000-0002-0000-0200-000001000000}">
      <formula1>"1.0,0.8,0.6,0.4,0.2,0.0"</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25" defaultRowHeight="15" customHeight="1" x14ac:dyDescent="0.25"/>
  <cols>
    <col min="1" max="26" width="10.625" customWidth="1"/>
  </cols>
  <sheetData>
    <row r="1" spans="1:8" ht="15.75" customHeight="1" x14ac:dyDescent="0.4">
      <c r="B1" s="32" t="s">
        <v>116</v>
      </c>
    </row>
    <row r="2" spans="1:8" ht="15.75" customHeight="1" x14ac:dyDescent="0.25"/>
    <row r="3" spans="1:8" ht="15.75" customHeight="1" x14ac:dyDescent="0.25"/>
    <row r="4" spans="1:8" ht="15.75" customHeight="1" x14ac:dyDescent="0.25">
      <c r="B4" s="3" t="s">
        <v>117</v>
      </c>
      <c r="C4" s="3" t="s">
        <v>118</v>
      </c>
      <c r="D4" s="3" t="s">
        <v>119</v>
      </c>
      <c r="E4" s="3" t="s">
        <v>120</v>
      </c>
      <c r="F4" s="3" t="s">
        <v>121</v>
      </c>
      <c r="G4" s="3" t="s">
        <v>122</v>
      </c>
      <c r="H4" s="3" t="s">
        <v>123</v>
      </c>
    </row>
    <row r="5" spans="1:8" ht="15.75" customHeight="1" x14ac:dyDescent="0.25">
      <c r="A5" s="33">
        <v>0.16666666666666666</v>
      </c>
    </row>
    <row r="6" spans="1:8" ht="15.75" customHeight="1" x14ac:dyDescent="0.25">
      <c r="A6" s="33">
        <v>0.1875</v>
      </c>
    </row>
    <row r="7" spans="1:8" ht="15.75" customHeight="1" x14ac:dyDescent="0.25">
      <c r="A7" s="33">
        <v>0.20833333333333301</v>
      </c>
    </row>
    <row r="8" spans="1:8" ht="15.75" customHeight="1" x14ac:dyDescent="0.25">
      <c r="A8" s="33">
        <v>0.22916666666666699</v>
      </c>
    </row>
    <row r="9" spans="1:8" ht="15.75" customHeight="1" x14ac:dyDescent="0.25">
      <c r="A9" s="33">
        <v>0.25</v>
      </c>
    </row>
    <row r="10" spans="1:8" ht="15.75" customHeight="1" x14ac:dyDescent="0.25">
      <c r="A10" s="33">
        <v>0.27083333333333398</v>
      </c>
    </row>
    <row r="11" spans="1:8" ht="15.75" customHeight="1" x14ac:dyDescent="0.25">
      <c r="A11" s="33">
        <v>0.29166666666666702</v>
      </c>
    </row>
    <row r="12" spans="1:8" ht="15.75" customHeight="1" x14ac:dyDescent="0.25">
      <c r="A12" s="33">
        <v>0.3125</v>
      </c>
    </row>
    <row r="13" spans="1:8" ht="15.75" customHeight="1" x14ac:dyDescent="0.25">
      <c r="A13" s="33">
        <v>0.33333333333333398</v>
      </c>
    </row>
    <row r="14" spans="1:8" ht="15.75" customHeight="1" x14ac:dyDescent="0.25">
      <c r="A14" s="33">
        <v>0.35416666666666702</v>
      </c>
    </row>
    <row r="15" spans="1:8" ht="15.75" customHeight="1" x14ac:dyDescent="0.25">
      <c r="A15" s="33">
        <v>0.375</v>
      </c>
    </row>
    <row r="16" spans="1:8" ht="15.75" customHeight="1" x14ac:dyDescent="0.25">
      <c r="A16" s="33">
        <v>0.39583333333333398</v>
      </c>
    </row>
    <row r="17" spans="1:1" ht="15.75" customHeight="1" x14ac:dyDescent="0.25">
      <c r="A17" s="33">
        <v>0.41666666666666702</v>
      </c>
    </row>
    <row r="18" spans="1:1" ht="15.75" customHeight="1" x14ac:dyDescent="0.25">
      <c r="A18" s="33">
        <v>0.4375</v>
      </c>
    </row>
    <row r="19" spans="1:1" ht="15.75" customHeight="1" x14ac:dyDescent="0.25">
      <c r="A19" s="33">
        <v>0.45833333333333398</v>
      </c>
    </row>
    <row r="20" spans="1:1" ht="15.75" customHeight="1" x14ac:dyDescent="0.25">
      <c r="A20" s="33">
        <v>0.47916666666666702</v>
      </c>
    </row>
    <row r="21" spans="1:1" ht="15.75" customHeight="1" x14ac:dyDescent="0.25">
      <c r="A21" s="33">
        <v>0.5</v>
      </c>
    </row>
    <row r="22" spans="1:1" ht="15.75" customHeight="1" x14ac:dyDescent="0.25">
      <c r="A22" s="33">
        <v>0.52083333333333404</v>
      </c>
    </row>
    <row r="23" spans="1:1" ht="15.75" customHeight="1" x14ac:dyDescent="0.25">
      <c r="A23" s="33">
        <v>0.54166666666666696</v>
      </c>
    </row>
    <row r="24" spans="1:1" ht="15.75" customHeight="1" x14ac:dyDescent="0.25">
      <c r="A24" s="33">
        <v>0.5625</v>
      </c>
    </row>
    <row r="25" spans="1:1" ht="15.75" customHeight="1" x14ac:dyDescent="0.25">
      <c r="A25" s="33">
        <v>0.58333333333333404</v>
      </c>
    </row>
    <row r="26" spans="1:1" ht="15.75" customHeight="1" x14ac:dyDescent="0.25">
      <c r="A26" s="33">
        <v>0.60416666666666696</v>
      </c>
    </row>
    <row r="27" spans="1:1" ht="15.75" customHeight="1" x14ac:dyDescent="0.25">
      <c r="A27" s="33">
        <v>0.625000000000001</v>
      </c>
    </row>
    <row r="28" spans="1:1" ht="15.75" customHeight="1" x14ac:dyDescent="0.25">
      <c r="A28" s="33">
        <v>0.64583333333333404</v>
      </c>
    </row>
    <row r="29" spans="1:1" ht="15.75" customHeight="1" x14ac:dyDescent="0.25">
      <c r="A29" s="33">
        <v>0.66666666666666696</v>
      </c>
    </row>
    <row r="30" spans="1:1" ht="15.75" customHeight="1" x14ac:dyDescent="0.25">
      <c r="A30" s="33">
        <v>0.687500000000001</v>
      </c>
    </row>
    <row r="31" spans="1:1" ht="15.75" customHeight="1" x14ac:dyDescent="0.25">
      <c r="A31" s="33">
        <v>0.70833333333333404</v>
      </c>
    </row>
    <row r="32" spans="1:1" ht="15.75" customHeight="1" x14ac:dyDescent="0.25">
      <c r="A32" s="33">
        <v>0.72916666666666696</v>
      </c>
    </row>
    <row r="33" spans="1:1" ht="15.75" customHeight="1" x14ac:dyDescent="0.25">
      <c r="A33" s="33">
        <v>0.750000000000001</v>
      </c>
    </row>
    <row r="34" spans="1:1" ht="15.75" customHeight="1" x14ac:dyDescent="0.25">
      <c r="A34" s="33">
        <v>0.77083333333333404</v>
      </c>
    </row>
    <row r="35" spans="1:1" ht="15.75" customHeight="1" x14ac:dyDescent="0.25">
      <c r="A35" s="33">
        <v>0.79166666666666696</v>
      </c>
    </row>
    <row r="36" spans="1:1" ht="15.75" customHeight="1" x14ac:dyDescent="0.25">
      <c r="A36" s="33">
        <v>0.812500000000001</v>
      </c>
    </row>
    <row r="37" spans="1:1" ht="15.75" customHeight="1" x14ac:dyDescent="0.25">
      <c r="A37" s="33">
        <v>0.83333333333333404</v>
      </c>
    </row>
    <row r="38" spans="1:1" ht="15.75" customHeight="1" x14ac:dyDescent="0.25">
      <c r="A38" s="33">
        <v>0.85416666666666696</v>
      </c>
    </row>
    <row r="39" spans="1:1" ht="15.75" customHeight="1" x14ac:dyDescent="0.25">
      <c r="A39" s="33">
        <v>0.875000000000001</v>
      </c>
    </row>
    <row r="40" spans="1:1" ht="15.75" customHeight="1" x14ac:dyDescent="0.25">
      <c r="A40" s="33">
        <v>0.89583333333333404</v>
      </c>
    </row>
    <row r="41" spans="1:1" ht="15.75" customHeight="1" x14ac:dyDescent="0.25">
      <c r="A41" s="33">
        <v>0.91666666666666696</v>
      </c>
    </row>
    <row r="42" spans="1:1" ht="15.75" customHeight="1" x14ac:dyDescent="0.25">
      <c r="A42" s="33">
        <v>0.937500000000001</v>
      </c>
    </row>
    <row r="43" spans="1:1" ht="15.75" customHeight="1" x14ac:dyDescent="0.25">
      <c r="A43" s="33">
        <v>0.95833333333333404</v>
      </c>
    </row>
    <row r="44" spans="1:1" ht="15.75" customHeight="1" x14ac:dyDescent="0.25">
      <c r="A44" s="33">
        <v>0.97916666666666696</v>
      </c>
    </row>
    <row r="45" spans="1:1" ht="15.75" customHeight="1" x14ac:dyDescent="0.25">
      <c r="A45" s="33">
        <v>1</v>
      </c>
    </row>
    <row r="46" spans="1:1" ht="15.75" customHeight="1" x14ac:dyDescent="0.25">
      <c r="A46" s="33">
        <v>1.0208333333333299</v>
      </c>
    </row>
    <row r="47" spans="1:1" ht="15.75" customHeight="1" x14ac:dyDescent="0.25">
      <c r="A47" s="33">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baseColWidth="10" defaultColWidth="11.25" defaultRowHeight="15" customHeight="1" x14ac:dyDescent="0.25"/>
  <cols>
    <col min="1" max="26" width="10.625" customWidth="1"/>
  </cols>
  <sheetData>
    <row r="1" spans="1:8" ht="15.75" customHeight="1" x14ac:dyDescent="0.4">
      <c r="B1" s="32" t="s">
        <v>116</v>
      </c>
    </row>
    <row r="2" spans="1:8" ht="15.75" customHeight="1" x14ac:dyDescent="0.25"/>
    <row r="3" spans="1:8" ht="15.75" customHeight="1" x14ac:dyDescent="0.25"/>
    <row r="4" spans="1:8" ht="15.75" customHeight="1" x14ac:dyDescent="0.25">
      <c r="B4" s="3" t="s">
        <v>117</v>
      </c>
      <c r="C4" s="3" t="s">
        <v>118</v>
      </c>
      <c r="D4" s="3" t="s">
        <v>119</v>
      </c>
      <c r="E4" s="3" t="s">
        <v>120</v>
      </c>
      <c r="F4" s="3" t="s">
        <v>121</v>
      </c>
      <c r="G4" s="3" t="s">
        <v>122</v>
      </c>
      <c r="H4" s="3" t="s">
        <v>123</v>
      </c>
    </row>
    <row r="5" spans="1:8" ht="15.75" customHeight="1" x14ac:dyDescent="0.25">
      <c r="A5" s="33">
        <v>0.16666666666666666</v>
      </c>
    </row>
    <row r="6" spans="1:8" ht="15.75" customHeight="1" x14ac:dyDescent="0.25">
      <c r="A6" s="33">
        <v>0.1875</v>
      </c>
    </row>
    <row r="7" spans="1:8" ht="15.75" customHeight="1" x14ac:dyDescent="0.25">
      <c r="A7" s="33">
        <v>0.20833333333333301</v>
      </c>
    </row>
    <row r="8" spans="1:8" ht="15.75" customHeight="1" x14ac:dyDescent="0.25">
      <c r="A8" s="33">
        <v>0.22916666666666699</v>
      </c>
    </row>
    <row r="9" spans="1:8" ht="15.75" customHeight="1" x14ac:dyDescent="0.25">
      <c r="A9" s="33">
        <v>0.25</v>
      </c>
    </row>
    <row r="10" spans="1:8" ht="15.75" customHeight="1" x14ac:dyDescent="0.25">
      <c r="A10" s="33">
        <v>0.27083333333333398</v>
      </c>
    </row>
    <row r="11" spans="1:8" ht="15.75" customHeight="1" x14ac:dyDescent="0.25">
      <c r="A11" s="33">
        <v>0.29166666666666702</v>
      </c>
    </row>
    <row r="12" spans="1:8" ht="15.75" customHeight="1" x14ac:dyDescent="0.25">
      <c r="A12" s="33">
        <v>0.3125</v>
      </c>
    </row>
    <row r="13" spans="1:8" ht="15.75" customHeight="1" x14ac:dyDescent="0.25">
      <c r="A13" s="33">
        <v>0.33333333333333398</v>
      </c>
    </row>
    <row r="14" spans="1:8" ht="15.75" customHeight="1" x14ac:dyDescent="0.25">
      <c r="A14" s="33">
        <v>0.35416666666666702</v>
      </c>
    </row>
    <row r="15" spans="1:8" ht="15.75" customHeight="1" x14ac:dyDescent="0.25">
      <c r="A15" s="33">
        <v>0.375</v>
      </c>
    </row>
    <row r="16" spans="1:8" ht="15.75" customHeight="1" x14ac:dyDescent="0.25">
      <c r="A16" s="33">
        <v>0.39583333333333398</v>
      </c>
    </row>
    <row r="17" spans="1:1" ht="15.75" customHeight="1" x14ac:dyDescent="0.25">
      <c r="A17" s="33">
        <v>0.41666666666666702</v>
      </c>
    </row>
    <row r="18" spans="1:1" ht="15.75" customHeight="1" x14ac:dyDescent="0.25">
      <c r="A18" s="33">
        <v>0.4375</v>
      </c>
    </row>
    <row r="19" spans="1:1" ht="15.75" customHeight="1" x14ac:dyDescent="0.25">
      <c r="A19" s="33">
        <v>0.45833333333333398</v>
      </c>
    </row>
    <row r="20" spans="1:1" ht="15.75" customHeight="1" x14ac:dyDescent="0.25">
      <c r="A20" s="33">
        <v>0.47916666666666702</v>
      </c>
    </row>
    <row r="21" spans="1:1" ht="15.75" customHeight="1" x14ac:dyDescent="0.25">
      <c r="A21" s="33">
        <v>0.5</v>
      </c>
    </row>
    <row r="22" spans="1:1" ht="15.75" customHeight="1" x14ac:dyDescent="0.25">
      <c r="A22" s="33">
        <v>0.52083333333333404</v>
      </c>
    </row>
    <row r="23" spans="1:1" ht="15.75" customHeight="1" x14ac:dyDescent="0.25">
      <c r="A23" s="33">
        <v>0.54166666666666696</v>
      </c>
    </row>
    <row r="24" spans="1:1" ht="15.75" customHeight="1" x14ac:dyDescent="0.25">
      <c r="A24" s="33">
        <v>0.5625</v>
      </c>
    </row>
    <row r="25" spans="1:1" ht="15.75" customHeight="1" x14ac:dyDescent="0.25">
      <c r="A25" s="33">
        <v>0.58333333333333404</v>
      </c>
    </row>
    <row r="26" spans="1:1" ht="15.75" customHeight="1" x14ac:dyDescent="0.25">
      <c r="A26" s="33">
        <v>0.60416666666666696</v>
      </c>
    </row>
    <row r="27" spans="1:1" ht="15.75" customHeight="1" x14ac:dyDescent="0.25">
      <c r="A27" s="33">
        <v>0.625000000000001</v>
      </c>
    </row>
    <row r="28" spans="1:1" ht="15.75" customHeight="1" x14ac:dyDescent="0.25">
      <c r="A28" s="33">
        <v>0.64583333333333404</v>
      </c>
    </row>
    <row r="29" spans="1:1" ht="15.75" customHeight="1" x14ac:dyDescent="0.25">
      <c r="A29" s="33">
        <v>0.66666666666666696</v>
      </c>
    </row>
    <row r="30" spans="1:1" ht="15.75" customHeight="1" x14ac:dyDescent="0.25">
      <c r="A30" s="33">
        <v>0.687500000000001</v>
      </c>
    </row>
    <row r="31" spans="1:1" ht="15.75" customHeight="1" x14ac:dyDescent="0.25">
      <c r="A31" s="33">
        <v>0.70833333333333404</v>
      </c>
    </row>
    <row r="32" spans="1:1" ht="15.75" customHeight="1" x14ac:dyDescent="0.25">
      <c r="A32" s="33">
        <v>0.72916666666666696</v>
      </c>
    </row>
    <row r="33" spans="1:1" ht="15.75" customHeight="1" x14ac:dyDescent="0.25">
      <c r="A33" s="33">
        <v>0.750000000000001</v>
      </c>
    </row>
    <row r="34" spans="1:1" ht="15.75" customHeight="1" x14ac:dyDescent="0.25">
      <c r="A34" s="33">
        <v>0.77083333333333404</v>
      </c>
    </row>
    <row r="35" spans="1:1" ht="15.75" customHeight="1" x14ac:dyDescent="0.25">
      <c r="A35" s="33">
        <v>0.79166666666666696</v>
      </c>
    </row>
    <row r="36" spans="1:1" ht="15.75" customHeight="1" x14ac:dyDescent="0.25">
      <c r="A36" s="33">
        <v>0.812500000000001</v>
      </c>
    </row>
    <row r="37" spans="1:1" ht="15.75" customHeight="1" x14ac:dyDescent="0.25">
      <c r="A37" s="33">
        <v>0.83333333333333404</v>
      </c>
    </row>
    <row r="38" spans="1:1" ht="15.75" customHeight="1" x14ac:dyDescent="0.25">
      <c r="A38" s="33">
        <v>0.85416666666666696</v>
      </c>
    </row>
    <row r="39" spans="1:1" ht="15.75" customHeight="1" x14ac:dyDescent="0.25">
      <c r="A39" s="33">
        <v>0.875000000000001</v>
      </c>
    </row>
    <row r="40" spans="1:1" ht="15.75" customHeight="1" x14ac:dyDescent="0.25">
      <c r="A40" s="33">
        <v>0.89583333333333404</v>
      </c>
    </row>
    <row r="41" spans="1:1" ht="15.75" customHeight="1" x14ac:dyDescent="0.25">
      <c r="A41" s="33">
        <v>0.91666666666666696</v>
      </c>
    </row>
    <row r="42" spans="1:1" ht="15.75" customHeight="1" x14ac:dyDescent="0.25">
      <c r="A42" s="33">
        <v>0.937500000000001</v>
      </c>
    </row>
    <row r="43" spans="1:1" ht="15.75" customHeight="1" x14ac:dyDescent="0.25">
      <c r="A43" s="33">
        <v>0.95833333333333404</v>
      </c>
    </row>
    <row r="44" spans="1:1" ht="15.75" customHeight="1" x14ac:dyDescent="0.25">
      <c r="A44" s="33">
        <v>0.97916666666666696</v>
      </c>
    </row>
    <row r="45" spans="1:1" ht="15.75" customHeight="1" x14ac:dyDescent="0.25">
      <c r="A45" s="33">
        <v>1</v>
      </c>
    </row>
    <row r="46" spans="1:1" ht="15.75" customHeight="1" x14ac:dyDescent="0.25">
      <c r="A46" s="33">
        <v>1.0208333333333299</v>
      </c>
    </row>
    <row r="47" spans="1:1" ht="15.75" customHeight="1" x14ac:dyDescent="0.25">
      <c r="A47" s="33">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Victoria Müller</cp:lastModifiedBy>
  <dcterms:created xsi:type="dcterms:W3CDTF">2020-04-19T13:33:28Z</dcterms:created>
  <dcterms:modified xsi:type="dcterms:W3CDTF">2022-08-31T14:01:12Z</dcterms:modified>
</cp:coreProperties>
</file>