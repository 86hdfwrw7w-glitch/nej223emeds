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https://d.docs.live.net/f4df3ce78edcec9e/Dokumente/"/>
    </mc:Choice>
  </mc:AlternateContent>
  <xr:revisionPtr revIDLastSave="1187" documentId="14_{82870DA0-8B21-49A1-84DB-52B334607DD2}" xr6:coauthVersionLast="46" xr6:coauthVersionMax="46" xr10:uidLastSave="{C232D87A-702E-41E9-B811-9DD8FFC1EF11}"/>
  <bookViews>
    <workbookView xWindow="-28920" yWindow="-1425" windowWidth="29040" windowHeight="15840"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9" i="7" l="1"/>
  <c r="AW35" i="7"/>
  <c r="AI35" i="7"/>
  <c r="U35" i="7"/>
  <c r="DW121" i="7"/>
  <c r="DW107" i="7"/>
  <c r="DW93" i="7"/>
  <c r="DW83" i="7"/>
  <c r="DW72" i="7"/>
  <c r="DW59" i="7"/>
  <c r="DW49" i="7"/>
  <c r="DW35" i="7"/>
  <c r="DW26" i="7"/>
  <c r="DW18" i="7"/>
  <c r="DW4" i="7"/>
  <c r="DO121" i="7"/>
  <c r="DO107" i="7"/>
  <c r="DO93" i="7"/>
  <c r="DO83" i="7"/>
  <c r="DO72" i="7"/>
  <c r="DO59" i="7"/>
  <c r="DO49" i="7"/>
  <c r="DO35" i="7"/>
  <c r="DO26" i="7"/>
  <c r="DO18" i="7"/>
  <c r="DO4" i="7"/>
  <c r="DH121" i="7"/>
  <c r="DH107" i="7"/>
  <c r="DH93" i="7"/>
  <c r="DH83" i="7"/>
  <c r="DH72" i="7"/>
  <c r="DH59" i="7"/>
  <c r="DH49" i="7"/>
  <c r="DH35" i="7"/>
  <c r="DH26" i="7"/>
  <c r="DH18" i="7"/>
  <c r="DH4" i="7"/>
  <c r="DA121" i="7"/>
  <c r="DA107" i="7"/>
  <c r="DA93" i="7"/>
  <c r="DA83" i="7"/>
  <c r="DA72" i="7"/>
  <c r="DA59" i="7"/>
  <c r="DA49" i="7"/>
  <c r="DA35" i="7"/>
  <c r="DA26" i="7"/>
  <c r="DA18" i="7"/>
  <c r="DA4" i="7"/>
  <c r="CT121" i="7"/>
  <c r="CT107" i="7"/>
  <c r="CT93" i="7"/>
  <c r="CT83" i="7"/>
  <c r="CT72" i="7"/>
  <c r="CT59" i="7"/>
  <c r="CT49" i="7"/>
  <c r="CT35" i="7"/>
  <c r="CT26" i="7"/>
  <c r="CT18" i="7"/>
  <c r="CT4" i="7"/>
  <c r="CM121" i="7"/>
  <c r="CM107" i="7"/>
  <c r="CM93" i="7"/>
  <c r="CM83" i="7"/>
  <c r="CM72" i="7"/>
  <c r="CM59" i="7"/>
  <c r="CM49" i="7"/>
  <c r="CM35" i="7"/>
  <c r="CM26" i="7"/>
  <c r="CM18" i="7"/>
  <c r="CM4" i="7"/>
  <c r="CF4" i="7"/>
  <c r="CF18" i="7"/>
  <c r="CF26" i="7"/>
  <c r="CF35" i="7"/>
  <c r="CF49" i="7"/>
  <c r="CF59" i="7"/>
  <c r="CF72" i="7"/>
  <c r="CF83" i="7"/>
  <c r="CF93" i="7"/>
  <c r="CF107" i="7"/>
  <c r="CF121" i="7"/>
  <c r="BY121" i="7"/>
  <c r="BY107" i="7"/>
  <c r="BY93" i="7"/>
  <c r="BY83" i="7"/>
  <c r="BY72" i="7"/>
  <c r="BY59" i="7"/>
  <c r="BY49" i="7"/>
  <c r="BY35" i="7"/>
  <c r="BY26" i="7"/>
  <c r="BY18" i="7"/>
  <c r="BY4" i="7"/>
  <c r="BR121" i="7"/>
  <c r="BR107" i="7"/>
  <c r="BR93" i="7"/>
  <c r="BR83" i="7"/>
  <c r="BR72" i="7"/>
  <c r="BR59" i="7"/>
  <c r="BR49" i="7"/>
  <c r="BR35" i="7"/>
  <c r="BR26" i="7"/>
  <c r="BR18" i="7"/>
  <c r="BR4" i="7"/>
  <c r="BK121" i="7"/>
  <c r="BK107" i="7"/>
  <c r="BK93" i="7"/>
  <c r="BK83" i="7"/>
  <c r="BK72" i="7"/>
  <c r="BK59" i="7"/>
  <c r="BK49" i="7"/>
  <c r="BK35" i="7"/>
  <c r="BK26" i="7"/>
  <c r="BK18" i="7"/>
  <c r="BK4" i="7"/>
  <c r="N4" i="7"/>
  <c r="K48" i="7"/>
  <c r="J48" i="7"/>
  <c r="I48" i="7"/>
  <c r="G18" i="7"/>
  <c r="G4" i="7"/>
  <c r="K133" i="7"/>
  <c r="J133" i="7"/>
  <c r="I133" i="7"/>
  <c r="K132" i="7"/>
  <c r="J132" i="7"/>
  <c r="I132" i="7"/>
  <c r="K131" i="7"/>
  <c r="J131" i="7"/>
  <c r="I131" i="7"/>
  <c r="K130" i="7"/>
  <c r="J130" i="7"/>
  <c r="I130" i="7"/>
  <c r="K129" i="7"/>
  <c r="J129" i="7"/>
  <c r="I129" i="7"/>
  <c r="K128" i="7"/>
  <c r="J128" i="7"/>
  <c r="I128" i="7"/>
  <c r="K127" i="7"/>
  <c r="J127" i="7"/>
  <c r="I127" i="7"/>
  <c r="K126" i="7"/>
  <c r="J126" i="7"/>
  <c r="I126" i="7"/>
  <c r="K125" i="7"/>
  <c r="J125" i="7"/>
  <c r="I125" i="7"/>
  <c r="K124" i="7"/>
  <c r="J124" i="7"/>
  <c r="I124" i="7"/>
  <c r="K123" i="7"/>
  <c r="J123" i="7"/>
  <c r="I123" i="7"/>
  <c r="K122" i="7"/>
  <c r="J122" i="7"/>
  <c r="I122" i="7"/>
  <c r="BD121" i="7"/>
  <c r="AW121" i="7"/>
  <c r="AP121" i="7"/>
  <c r="AI121" i="7"/>
  <c r="AB121" i="7"/>
  <c r="U121" i="7"/>
  <c r="N121" i="7"/>
  <c r="G121" i="7"/>
  <c r="K119" i="7"/>
  <c r="J119" i="7"/>
  <c r="I119" i="7"/>
  <c r="K118" i="7"/>
  <c r="J118" i="7"/>
  <c r="I118" i="7"/>
  <c r="K117" i="7"/>
  <c r="J117" i="7"/>
  <c r="I117" i="7"/>
  <c r="K116" i="7"/>
  <c r="J116" i="7"/>
  <c r="I116" i="7"/>
  <c r="K115" i="7"/>
  <c r="J115" i="7"/>
  <c r="I115" i="7"/>
  <c r="K114" i="7"/>
  <c r="J114" i="7"/>
  <c r="I114" i="7"/>
  <c r="K113" i="7"/>
  <c r="J113" i="7"/>
  <c r="I113" i="7"/>
  <c r="K112" i="7"/>
  <c r="J112" i="7"/>
  <c r="I112" i="7"/>
  <c r="K111" i="7"/>
  <c r="J111" i="7"/>
  <c r="I111" i="7"/>
  <c r="K110" i="7"/>
  <c r="J110" i="7"/>
  <c r="I110" i="7"/>
  <c r="K109" i="7"/>
  <c r="J109" i="7"/>
  <c r="I109" i="7"/>
  <c r="K108" i="7"/>
  <c r="J108" i="7"/>
  <c r="I108" i="7"/>
  <c r="BD107" i="7"/>
  <c r="AW107" i="7"/>
  <c r="AP107" i="7"/>
  <c r="AI107" i="7"/>
  <c r="AB107" i="7"/>
  <c r="U107" i="7"/>
  <c r="N107" i="7"/>
  <c r="G107" i="7"/>
  <c r="K105" i="7"/>
  <c r="J105" i="7"/>
  <c r="I105" i="7"/>
  <c r="K104" i="7"/>
  <c r="J104" i="7"/>
  <c r="I104" i="7"/>
  <c r="K103" i="7"/>
  <c r="J103" i="7"/>
  <c r="I103" i="7"/>
  <c r="K102" i="7"/>
  <c r="J102" i="7"/>
  <c r="I102" i="7"/>
  <c r="K101" i="7"/>
  <c r="J101" i="7"/>
  <c r="I101" i="7"/>
  <c r="K100" i="7"/>
  <c r="J100" i="7"/>
  <c r="I100" i="7"/>
  <c r="K99" i="7"/>
  <c r="J99" i="7"/>
  <c r="I99" i="7"/>
  <c r="K98" i="7"/>
  <c r="J98" i="7"/>
  <c r="I98" i="7"/>
  <c r="K97" i="7"/>
  <c r="J97" i="7"/>
  <c r="I97" i="7"/>
  <c r="K96" i="7"/>
  <c r="J96" i="7"/>
  <c r="I96" i="7"/>
  <c r="K95" i="7"/>
  <c r="J95" i="7"/>
  <c r="I95" i="7"/>
  <c r="K94" i="7"/>
  <c r="J94" i="7"/>
  <c r="I94" i="7"/>
  <c r="BD93" i="7"/>
  <c r="AW93" i="7"/>
  <c r="AP93" i="7"/>
  <c r="AI93" i="7"/>
  <c r="AB93" i="7"/>
  <c r="U93" i="7"/>
  <c r="N93" i="7"/>
  <c r="G93" i="7"/>
  <c r="K91" i="7"/>
  <c r="J91" i="7"/>
  <c r="I91" i="7"/>
  <c r="K90" i="7"/>
  <c r="J90" i="7"/>
  <c r="I90" i="7"/>
  <c r="K89" i="7"/>
  <c r="J89" i="7"/>
  <c r="I89" i="7"/>
  <c r="K88" i="7"/>
  <c r="J88" i="7"/>
  <c r="I88" i="7"/>
  <c r="K87" i="7"/>
  <c r="J87" i="7"/>
  <c r="I87" i="7"/>
  <c r="K86" i="7"/>
  <c r="J86" i="7"/>
  <c r="I86" i="7"/>
  <c r="K85" i="7"/>
  <c r="J85" i="7"/>
  <c r="I85" i="7"/>
  <c r="K84" i="7"/>
  <c r="J84" i="7"/>
  <c r="I84" i="7"/>
  <c r="BD83" i="7"/>
  <c r="AW83" i="7"/>
  <c r="AP83" i="7"/>
  <c r="AI83" i="7"/>
  <c r="AB83" i="7"/>
  <c r="U83" i="7"/>
  <c r="N83" i="7"/>
  <c r="G83" i="7"/>
  <c r="K81" i="7"/>
  <c r="J81" i="7"/>
  <c r="I81" i="7"/>
  <c r="K80" i="7"/>
  <c r="J80" i="7"/>
  <c r="I80" i="7"/>
  <c r="K79" i="7"/>
  <c r="J79" i="7"/>
  <c r="I79" i="7"/>
  <c r="K78" i="7"/>
  <c r="J78" i="7"/>
  <c r="I78" i="7"/>
  <c r="K77" i="7"/>
  <c r="J77" i="7"/>
  <c r="I77" i="7"/>
  <c r="K76" i="7"/>
  <c r="J76" i="7"/>
  <c r="I76" i="7"/>
  <c r="K75" i="7"/>
  <c r="J75" i="7"/>
  <c r="I75" i="7"/>
  <c r="K74" i="7"/>
  <c r="J74" i="7"/>
  <c r="I74" i="7"/>
  <c r="K73" i="7"/>
  <c r="J73" i="7"/>
  <c r="I73" i="7"/>
  <c r="BD72" i="7"/>
  <c r="AW72" i="7"/>
  <c r="AP72" i="7"/>
  <c r="AI72" i="7"/>
  <c r="AB72" i="7"/>
  <c r="U72" i="7"/>
  <c r="N72" i="7"/>
  <c r="G72" i="7"/>
  <c r="K70" i="7"/>
  <c r="J70" i="7"/>
  <c r="I70" i="7"/>
  <c r="K69" i="7"/>
  <c r="J69" i="7"/>
  <c r="I69" i="7"/>
  <c r="K68" i="7"/>
  <c r="J68" i="7"/>
  <c r="I68" i="7"/>
  <c r="K67" i="7"/>
  <c r="J67" i="7"/>
  <c r="I67" i="7"/>
  <c r="K66" i="7"/>
  <c r="J66" i="7"/>
  <c r="I66" i="7"/>
  <c r="K65" i="7"/>
  <c r="J65" i="7"/>
  <c r="I65" i="7"/>
  <c r="K64" i="7"/>
  <c r="J64" i="7"/>
  <c r="I64" i="7"/>
  <c r="K63" i="7"/>
  <c r="J63" i="7"/>
  <c r="I63" i="7"/>
  <c r="K62" i="7"/>
  <c r="J62" i="7"/>
  <c r="I62" i="7"/>
  <c r="K61" i="7"/>
  <c r="J61" i="7"/>
  <c r="I61" i="7"/>
  <c r="K60" i="7"/>
  <c r="J60" i="7"/>
  <c r="I60" i="7"/>
  <c r="BD59" i="7"/>
  <c r="AW59" i="7"/>
  <c r="AP59" i="7"/>
  <c r="AI59" i="7"/>
  <c r="AB59" i="7"/>
  <c r="U59" i="7"/>
  <c r="N59" i="7"/>
  <c r="G59" i="7"/>
  <c r="K57" i="7"/>
  <c r="J57" i="7"/>
  <c r="I57" i="7"/>
  <c r="K56" i="7"/>
  <c r="J56" i="7"/>
  <c r="I56" i="7"/>
  <c r="K55" i="7"/>
  <c r="J55" i="7"/>
  <c r="I55" i="7"/>
  <c r="K54" i="7"/>
  <c r="J54" i="7"/>
  <c r="I54" i="7"/>
  <c r="K53" i="7"/>
  <c r="J53" i="7"/>
  <c r="I53" i="7"/>
  <c r="K52" i="7"/>
  <c r="J52" i="7"/>
  <c r="I52" i="7"/>
  <c r="K51" i="7"/>
  <c r="J51" i="7"/>
  <c r="I51" i="7"/>
  <c r="K50" i="7"/>
  <c r="J50" i="7"/>
  <c r="I50" i="7"/>
  <c r="BD49" i="7"/>
  <c r="AW49" i="7"/>
  <c r="AP49" i="7"/>
  <c r="AI49" i="7"/>
  <c r="AB49" i="7"/>
  <c r="U49" i="7"/>
  <c r="N49" i="7"/>
  <c r="K47" i="7"/>
  <c r="J47" i="7"/>
  <c r="I47" i="7"/>
  <c r="K46" i="7"/>
  <c r="J46" i="7"/>
  <c r="I46" i="7"/>
  <c r="K45" i="7"/>
  <c r="J45" i="7"/>
  <c r="I45" i="7"/>
  <c r="K44" i="7"/>
  <c r="J44" i="7"/>
  <c r="I44" i="7"/>
  <c r="K43" i="7"/>
  <c r="J43" i="7"/>
  <c r="I43" i="7"/>
  <c r="K42" i="7"/>
  <c r="J42" i="7"/>
  <c r="I42" i="7"/>
  <c r="K41" i="7"/>
  <c r="J41" i="7"/>
  <c r="I41" i="7"/>
  <c r="K40" i="7"/>
  <c r="J40" i="7"/>
  <c r="I40" i="7"/>
  <c r="K39" i="7"/>
  <c r="J39" i="7"/>
  <c r="I39" i="7"/>
  <c r="K38" i="7"/>
  <c r="J38" i="7"/>
  <c r="I38" i="7"/>
  <c r="K37" i="7"/>
  <c r="J37" i="7"/>
  <c r="I37" i="7"/>
  <c r="K36" i="7"/>
  <c r="J36" i="7"/>
  <c r="I36" i="7"/>
  <c r="BD35" i="7"/>
  <c r="AP35" i="7"/>
  <c r="AB35" i="7"/>
  <c r="N35" i="7"/>
  <c r="G35" i="7"/>
  <c r="K107" i="7" l="1"/>
  <c r="J35" i="7"/>
  <c r="K35" i="7"/>
  <c r="K49" i="7"/>
  <c r="J59" i="7"/>
  <c r="K59" i="7"/>
  <c r="J83" i="7"/>
  <c r="K83" i="7"/>
  <c r="K93" i="7"/>
  <c r="I107" i="7"/>
  <c r="J107" i="7"/>
  <c r="I121" i="7"/>
  <c r="J121" i="7"/>
  <c r="I35" i="7"/>
  <c r="I49" i="7"/>
  <c r="J49" i="7"/>
  <c r="I59" i="7"/>
  <c r="K72" i="7"/>
  <c r="I72" i="7"/>
  <c r="J72" i="7"/>
  <c r="I83" i="7"/>
  <c r="I93" i="7"/>
  <c r="J93" i="7"/>
  <c r="K121" i="7"/>
  <c r="AP18" i="7"/>
  <c r="AI18" i="7"/>
  <c r="AB18" i="7"/>
  <c r="U18" i="7"/>
  <c r="BD4" i="7"/>
  <c r="AW4" i="7"/>
  <c r="AP4" i="7"/>
  <c r="AI4" i="7"/>
  <c r="AB4" i="7"/>
  <c r="U4" i="7"/>
  <c r="N18" i="7"/>
  <c r="AP26" i="7"/>
  <c r="AI26" i="7"/>
  <c r="AB26" i="7"/>
  <c r="U26" i="7"/>
  <c r="I32" i="7"/>
  <c r="I31" i="7"/>
  <c r="I30" i="7"/>
  <c r="I29" i="7"/>
  <c r="I28" i="7"/>
  <c r="I27" i="7"/>
  <c r="I24" i="7"/>
  <c r="I23" i="7"/>
  <c r="I22" i="7"/>
  <c r="I21" i="7"/>
  <c r="I20" i="7"/>
  <c r="I19" i="7"/>
  <c r="I6" i="7"/>
  <c r="I7" i="7"/>
  <c r="I8" i="7"/>
  <c r="I9" i="7"/>
  <c r="I10" i="7"/>
  <c r="I11" i="7"/>
  <c r="I12" i="7"/>
  <c r="I5" i="7"/>
  <c r="N26" i="7"/>
  <c r="K32" i="7"/>
  <c r="J32" i="7"/>
  <c r="K31" i="7"/>
  <c r="J31" i="7"/>
  <c r="K30" i="7"/>
  <c r="J30" i="7"/>
  <c r="K29" i="7"/>
  <c r="J29" i="7"/>
  <c r="K28" i="7"/>
  <c r="J28" i="7"/>
  <c r="K27" i="7"/>
  <c r="J27" i="7"/>
  <c r="G26" i="7"/>
  <c r="J5" i="7"/>
  <c r="K24" i="7"/>
  <c r="J24" i="7"/>
  <c r="K23" i="7"/>
  <c r="J23" i="7"/>
  <c r="K22" i="7"/>
  <c r="J22" i="7"/>
  <c r="K21" i="7"/>
  <c r="J21" i="7"/>
  <c r="K20" i="7"/>
  <c r="J20" i="7"/>
  <c r="K19" i="7"/>
  <c r="J19" i="7"/>
  <c r="K6" i="7"/>
  <c r="K7" i="7"/>
  <c r="K8" i="7"/>
  <c r="K9" i="7"/>
  <c r="K10" i="7"/>
  <c r="K11" i="7"/>
  <c r="K12" i="7"/>
  <c r="J6" i="7"/>
  <c r="J7" i="7"/>
  <c r="J8" i="7"/>
  <c r="J9" i="7"/>
  <c r="J10" i="7"/>
  <c r="J11" i="7"/>
  <c r="J12" i="7"/>
  <c r="K5" i="7"/>
  <c r="I26" i="7" l="1"/>
  <c r="J26" i="7"/>
  <c r="K26" i="7"/>
  <c r="I18" i="7"/>
  <c r="J18" i="7"/>
  <c r="K18" i="7"/>
  <c r="K4" i="7"/>
  <c r="I4" i="7" l="1"/>
  <c r="J4" i="7"/>
</calcChain>
</file>

<file path=xl/sharedStrings.xml><?xml version="1.0" encoding="utf-8"?>
<sst xmlns="http://schemas.openxmlformats.org/spreadsheetml/2006/main" count="497" uniqueCount="152">
  <si>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</si>
  <si>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</si>
  <si>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</si>
  <si>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</si>
  <si>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</si>
  <si>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</si>
  <si>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</si>
  <si>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</si>
  <si>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</si>
  <si>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</si>
  <si>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</si>
  <si>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</si>
  <si>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</si>
  <si>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</si>
  <si>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</si>
  <si>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</si>
  <si>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</si>
  <si>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</si>
  <si>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</si>
  <si>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</si>
  <si>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</si>
  <si>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</si>
  <si>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</si>
  <si>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</si>
  <si>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</si>
  <si>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</si>
  <si>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</si>
  <si>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</si>
  <si>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</si>
  <si>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</si>
  <si>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</si>
  <si>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</si>
  <si>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9) Preis</t>
  </si>
  <si>
    <t>10) Kommunikation</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</si>
  <si>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</si>
  <si>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</si>
  <si>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</si>
  <si>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</si>
  <si>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</si>
  <si>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</si>
  <si>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</si>
  <si>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</si>
  <si>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</si>
  <si>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</si>
  <si>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</si>
  <si>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</si>
  <si>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</si>
  <si>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</si>
  <si>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</si>
  <si>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</si>
  <si>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</si>
  <si>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</si>
  <si>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</si>
  <si>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</si>
  <si>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</si>
  <si>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Produktion</t>
  </si>
  <si>
    <t>1) Einführung und Grundlagen</t>
  </si>
  <si>
    <t>2) Marketing-Management</t>
  </si>
  <si>
    <t>3) Käuferverhalten</t>
  </si>
  <si>
    <t>4) Marktforschung</t>
  </si>
  <si>
    <t>5) Marketing-Mix: Produktpolitik</t>
  </si>
  <si>
    <t>6) Marketing-Mis: Preispolitik</t>
  </si>
  <si>
    <t>7) Marketing-Mix: Kommunikationspolitik</t>
  </si>
  <si>
    <t>8) Marketing-Mix: Distributionspolitik</t>
  </si>
  <si>
    <t>VWL: Makroökonomie</t>
  </si>
  <si>
    <t>Betriebswirtschaftliche Primärprozesse: Marketing</t>
  </si>
  <si>
    <t>Betriebswirtschaftliche Primärprozesse: Produktion</t>
  </si>
  <si>
    <t>Betriebswirtschaftliche Primärprozesse: Materialwirtschaft</t>
  </si>
  <si>
    <t>Statistik</t>
  </si>
  <si>
    <t>Finanzen 2: Externes Rechnungswesen</t>
  </si>
  <si>
    <t>Finanzen 2: Internes Rechnungswesen</t>
  </si>
  <si>
    <t>Finanzen 2: Investition und Finanzierung</t>
  </si>
  <si>
    <t xml:space="preserve">1) Einführung-Grundfragen </t>
  </si>
  <si>
    <t>2) Produktionsprogrammplanung</t>
  </si>
  <si>
    <t>3) Planung zeitlicher Verteilung</t>
  </si>
  <si>
    <t>5) Auftragsgrößenplanung</t>
  </si>
  <si>
    <t>6) Ablaufplanung</t>
  </si>
  <si>
    <t>4) Produktionsaufteilungsplanung (Theorie)</t>
  </si>
  <si>
    <t>2) Materialsortiment und -rationalisierung</t>
  </si>
  <si>
    <t>3) Beschaffung</t>
  </si>
  <si>
    <t>4) Bedarfsermittlung</t>
  </si>
  <si>
    <t>5) Bestands- und Bestellplanung</t>
  </si>
  <si>
    <t>6) Lagerhaltung</t>
  </si>
  <si>
    <t>1) Steuersystem der BRD</t>
  </si>
  <si>
    <t>2) Einführung Einkommenssteuer</t>
  </si>
  <si>
    <t>3) Persönliche Steuerpflicht</t>
  </si>
  <si>
    <t>4) Steuergegenstand</t>
  </si>
  <si>
    <t>5) Einkünfte aus nichtselbständiger Arbeit</t>
  </si>
  <si>
    <t>6) Einkünfte aus Kapitalvermögen</t>
  </si>
  <si>
    <t>7) Einkünfte aus Vermietung und Verpachtung</t>
  </si>
  <si>
    <t>8) Sonstige Einkünfte</t>
  </si>
  <si>
    <t>9) Körperschaftssteuer</t>
  </si>
  <si>
    <t>10) Gewerbesteuer</t>
  </si>
  <si>
    <t>11) Einkünfte aus Gewerbebetrieb</t>
  </si>
  <si>
    <t>12) Einkünfte aus Vermietung und Verpachtung</t>
  </si>
  <si>
    <t>13) Einkünfte aus selbständiger Arbeit</t>
  </si>
  <si>
    <t>1) Kapitel A</t>
  </si>
  <si>
    <t>2) Kapitel B</t>
  </si>
  <si>
    <t>3) Kapitel C</t>
  </si>
  <si>
    <t>2) Das klassische Modell</t>
  </si>
  <si>
    <t>3) Die offene klassische Volkswirtschaft</t>
  </si>
  <si>
    <t>4) Geld und Inflation</t>
  </si>
  <si>
    <t xml:space="preserve">5) Arbeitslosigkeit </t>
  </si>
  <si>
    <t>6) Wachstum</t>
  </si>
  <si>
    <t>7) Lang- und kurzfristiges Modell</t>
  </si>
  <si>
    <t>8) Das IS/LM-Modell</t>
  </si>
  <si>
    <t>9) Wirtschaftspolitische Analyse IS/LM-Modell</t>
  </si>
  <si>
    <t>10) Mundell-Fleming-Modell</t>
  </si>
  <si>
    <t>11) Konjunkturanalyse mit dem IS/LM-Modell</t>
  </si>
  <si>
    <t>VWL: Mikroökonomie</t>
  </si>
  <si>
    <t>1) Einführung in die Volkswirtschaftslehre</t>
  </si>
  <si>
    <t>2) Grundbegriffe der Volkswirtschaftslehre</t>
  </si>
  <si>
    <t>3) Arbeitsteilung am Modell der Robinsonade</t>
  </si>
  <si>
    <t>6) Unternehmenstheorie</t>
  </si>
  <si>
    <t xml:space="preserve">4) Angebotsanalyse </t>
  </si>
  <si>
    <t>5) Nachfrageanalyse</t>
  </si>
  <si>
    <t>7) Haushaltstheorie</t>
  </si>
  <si>
    <t>8) Marktformen</t>
  </si>
  <si>
    <t>9) Spieltheorie und Marktversagen</t>
  </si>
  <si>
    <t>24.05. - 30.05</t>
  </si>
  <si>
    <t>31.05. - 06.06</t>
  </si>
  <si>
    <t>07.06. - 13.06</t>
  </si>
  <si>
    <t>14.06. - 20.06</t>
  </si>
  <si>
    <t>21.06. - 27.06</t>
  </si>
  <si>
    <t>28.06. - 04.07</t>
  </si>
  <si>
    <t>Finanzen 1: Steuern (70% Anteil Modulnote)</t>
  </si>
  <si>
    <t>Finanzen 1: Buchführung (30% Anteil Modulnote)</t>
  </si>
  <si>
    <t>Ab dieser Woche Klausuren Betriebswirtschaftliche Prinärprozesse, Finanzen 1 und VWL</t>
  </si>
  <si>
    <t>05.07. - 11.07</t>
  </si>
  <si>
    <t>12.07. - 18.07</t>
  </si>
  <si>
    <t>19.07. - 25.07</t>
  </si>
  <si>
    <t>26.07. - 01.08</t>
  </si>
  <si>
    <t>02.08. - 08.08</t>
  </si>
  <si>
    <t>09.08. - 15.08</t>
  </si>
  <si>
    <t>16.08. - 22.08</t>
  </si>
  <si>
    <t>23.08 - 29.08</t>
  </si>
  <si>
    <t>30.08. - 05.09</t>
  </si>
  <si>
    <t>06.09. - 12.09</t>
  </si>
  <si>
    <t>Ab 13.09</t>
  </si>
  <si>
    <t>Ab dieser Woche Klausuren Finanzen 2 und Statistik</t>
  </si>
  <si>
    <t>4) Kapitel E</t>
  </si>
  <si>
    <t>5) Kapitel F</t>
  </si>
  <si>
    <t>6) Kapitel G</t>
  </si>
  <si>
    <t>7) Kapitel H</t>
  </si>
  <si>
    <t>8) Kapitel J</t>
  </si>
  <si>
    <t>2) Kurzeinführung in IBM-SPSS</t>
  </si>
  <si>
    <t>3) Grundbegriffe der angewandten Statistik</t>
  </si>
  <si>
    <t>4) Betriebsiwrtschaftliche Zusammenhangsanalyse</t>
  </si>
  <si>
    <t>5) Betriebswirtsch. Entscheidungen und Risikoquantifizierung</t>
  </si>
  <si>
    <t>6) Wahrscheinlichkeitsverteilung</t>
  </si>
  <si>
    <t>7) Statistische Schätzverfahren</t>
  </si>
  <si>
    <t>8) Statistische Testverfahren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</si>
</sst>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FF99FF"/>
      <name val="Calibri"/>
      <family val="2"/>
      <scheme val="minor"/>
    </font>
    <font>
      <sz val="12"/>
      <color theme="4"/>
      <name val="Calibri"/>
      <family val="2"/>
      <scheme val="minor"/>
    </font>
    <font>
      <sz val="12"/>
      <color theme="7"/>
      <name val="Calibri"/>
      <family val="2"/>
      <scheme val="minor"/>
    </font>
    <font>
      <sz val="12"/>
      <color theme="2" tint="-0.499984740745262"/>
      <name val="Calibri"/>
      <family val="2"/>
      <scheme val="minor"/>
    </font>
    <font>
      <sz val="12"/>
      <color rgb="FF00CC00"/>
      <name val="Calibri"/>
      <family val="2"/>
      <scheme val="minor"/>
    </font>
  </fonts>
  <fills count="6">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35">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6" fillId="0" borderId="0" xfId="0" applyFont="1" applyAlignment="1">
      <alignment horizontal="center"/>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xf>
    <xf numFmtId="0" fontId="1" fillId="2" borderId="0" xfId="0" applyFont="1" applyFill="1" applyAlignment="1">
      <alignment horizontal="center"/>
    </xf>
    <xf numFmtId="0" fontId="1" fillId="4" borderId="0" xfId="0" applyFont="1" applyFill="1" applyAlignment="1">
      <alignment horizontal="center" vertical="top" wrapText="1"/>
    </xf>
    <xf numFmtId="0" fontId="0" fillId="5" borderId="0" xfId="0" applyFill="1" applyAlignment="1">
      <alignment horizontal="center"/>
    </xf>
    <xf numFmtId="0" fontId="1" fillId="5" borderId="0" xfId="0" applyFont="1" applyFill="1" applyAlignment="1">
      <alignment horizontal="center"/>
    </xf>
    <xf numFmtId="0" fontId="0" fillId="4" borderId="0" xfId="0" applyFill="1" applyAlignment="1">
      <alignment horizontal="center" vertical="top"/>
    </xf>
    <xf numFmtId="0" fontId="1" fillId="4" borderId="0" xfId="0" applyFont="1" applyFill="1" applyAlignment="1">
      <alignment horizontal="center" vertical="top"/>
    </xf>
  </cellXfs>
  <cellStyles count="1">
    <cellStyle name="Standard" xfId="0" builtinId="0"/>
  </cellStyles>
  <dxfs count="581">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CC00"/>
      <color rgb="FFFF99FF"/>
      <color rgb="FF66FFFF"/>
      <color rgb="FF00FFFF"/>
      <color rgb="FF00FF29"/>
      <color rgb="FF56FF5E"/>
      <color rgb="FFC4FF87"/>
      <color rgb="FFFFDE7F"/>
      <color rgb="FFFF755A"/>
      <color rgb="FFFDFF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580">
  <autoFilter ref="A1:K46" xr:uid="{6E266E34-2786-2747-BCE7-51B74867A564}"/>
  <tableColumns count="11">
    <tableColumn id="1" xr3:uid="{95FD92F7-3DC8-704D-A103-A7EDDAB255AB}" name="Datum" dataDxfId="579"/>
    <tableColumn id="2" xr3:uid="{F464D510-8166-E740-A343-FB84BDEF877F}" name="Lerneinheiten durchgezogen" dataDxfId="578"/>
    <tableColumn id="3" xr3:uid="{75F52B08-1A00-0848-BBE6-1EDF7B31B1AD}" name="Tagesplan erstellt" dataDxfId="577"/>
    <tableColumn id="4" xr3:uid="{E6B18D89-E799-AD48-9DAA-37AEE1D29011}" name="Konzentrationslevel" dataDxfId="57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25" defaultRowHeight="15.75"/>
  <cols>
    <col min="2" max="2" width="161" customWidth="1"/>
    <col min="3" max="3" width="10.875" style="2"/>
  </cols>
  <sheetData>
    <row r="4" spans="2:2" ht="21">
      <c r="B4" s="4" t="s">
        <v>17</v>
      </c>
    </row>
    <row r="6" spans="2:2">
      <c r="B6" s="3" t="s">
        <v>14</v>
      </c>
    </row>
    <row r="7" spans="2:2" ht="47.25">
      <c r="B7" s="1" t="s">
        <v>15</v>
      </c>
    </row>
    <row r="9" spans="2:2">
      <c r="B9" s="3" t="s">
        <v>16</v>
      </c>
    </row>
    <row r="10" spans="2:2" ht="63">
      <c r="B10" s="1" t="s">
        <v>41</v>
      </c>
    </row>
    <row r="12" spans="2:2">
      <c r="B12" s="3" t="s">
        <v>18</v>
      </c>
    </row>
    <row r="13" spans="2:2" ht="126">
      <c r="B13" s="1" t="s">
        <v>19</v>
      </c>
    </row>
    <row r="15" spans="2:2">
      <c r="B15" s="3" t="s">
        <v>20</v>
      </c>
    </row>
    <row r="16" spans="2:2" ht="110.25">
      <c r="B16" s="1" t="s">
        <v>21</v>
      </c>
    </row>
    <row r="17" spans="2:2">
      <c r="B17" s="1"/>
    </row>
    <row r="18" spans="2:2">
      <c r="B18" s="3" t="s">
        <v>40</v>
      </c>
    </row>
    <row r="19" spans="2:2" ht="141.75">
      <c r="B19" s="1" t="s">
        <v>42</v>
      </c>
    </row>
    <row r="21" spans="2:2">
      <c r="B21" s="3" t="s">
        <v>22</v>
      </c>
    </row>
    <row r="22" spans="2:2" ht="110.25">
      <c r="B22" s="1" t="s">
        <v>43</v>
      </c>
    </row>
    <row r="24" spans="2:2">
      <c r="B24" s="3" t="s">
        <v>23</v>
      </c>
    </row>
    <row r="25" spans="2:2" ht="126">
      <c r="B25"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B134"/>
  <sheetViews>
    <sheetView showGridLines="0" tabSelected="1" zoomScale="90" zoomScaleNormal="90" workbookViewId="0">
      <pane xSplit="7" topLeftCell="H1" activePane="topRight" state="frozen"/>
      <selection pane="topRight" activeCell="G91" sqref="G91"/>
    </sheetView>
  </sheetViews>
  <sheetFormatPr baseColWidth="10" defaultColWidth="8.875" defaultRowHeight="15.75" outlineLevelRow="1"/>
  <cols>
    <col min="3" max="3" width="9.5" bestFit="1" customWidth="1"/>
    <col min="4" max="4" width="44.375" customWidth="1"/>
    <col min="5" max="5" width="4.875" bestFit="1" customWidth="1"/>
    <col min="6" max="6" width="36"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75"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75" bestFit="1" customWidth="1"/>
    <col min="111" max="111" width="2.5" customWidth="1"/>
    <col min="113" max="113" width="12.5" bestFit="1" customWidth="1"/>
    <col min="114" max="114" width="6.375" customWidth="1"/>
    <col min="115" max="115" width="14.875" bestFit="1" customWidth="1"/>
    <col min="116" max="116" width="6" customWidth="1"/>
    <col min="117" max="117" width="12.875" customWidth="1"/>
    <col min="118" max="118" width="2.5" customWidth="1"/>
    <col min="120" max="120" width="12.5" bestFit="1" customWidth="1"/>
    <col min="121" max="121" width="6.375" customWidth="1"/>
    <col min="122" max="122" width="14.875" bestFit="1" customWidth="1"/>
    <col min="123" max="123" width="6" customWidth="1"/>
    <col min="124" max="124" width="12.75" bestFit="1" customWidth="1"/>
    <col min="125" max="126" width="2.5" customWidth="1"/>
    <col min="128" max="128" width="12.5" bestFit="1" customWidth="1"/>
    <col min="129" max="129" width="6.375" customWidth="1"/>
    <col min="130" max="130" width="14.875" bestFit="1" customWidth="1"/>
    <col min="131" max="131" width="6" customWidth="1"/>
    <col min="132" max="132" width="12.75" bestFit="1" customWidth="1"/>
    <col min="133" max="133" width="2.5" customWidth="1"/>
  </cols>
  <sheetData>
    <row r="1" spans="2:132" ht="33.75">
      <c r="B1" s="5" t="s">
        <v>0</v>
      </c>
      <c r="D1" s="5"/>
      <c r="G1" s="15" t="s">
        <v>39</v>
      </c>
      <c r="I1" s="15" t="s">
        <v>39</v>
      </c>
      <c r="J1" s="15" t="s">
        <v>39</v>
      </c>
      <c r="K1" s="15" t="s">
        <v>39</v>
      </c>
      <c r="BD1" s="30" t="s">
        <v>127</v>
      </c>
      <c r="BE1" s="30"/>
      <c r="BF1" s="30"/>
      <c r="BG1" s="30"/>
      <c r="BH1" s="30"/>
      <c r="BI1" s="30"/>
      <c r="DW1" s="34" t="s">
        <v>139</v>
      </c>
      <c r="DX1" s="33"/>
      <c r="DY1" s="33"/>
      <c r="DZ1" s="33"/>
      <c r="EA1" s="33"/>
      <c r="EB1" s="33"/>
    </row>
    <row r="2" spans="2:132">
      <c r="I2" s="29" t="s">
        <v>28</v>
      </c>
      <c r="J2" s="29"/>
      <c r="K2" s="29"/>
      <c r="L2" s="29"/>
      <c r="N2" s="29" t="s">
        <v>119</v>
      </c>
      <c r="O2" s="29"/>
      <c r="P2" s="29"/>
      <c r="Q2" s="29"/>
      <c r="R2" s="29"/>
      <c r="S2" s="29"/>
      <c r="U2" s="29" t="s">
        <v>120</v>
      </c>
      <c r="V2" s="29"/>
      <c r="W2" s="29"/>
      <c r="X2" s="29"/>
      <c r="Y2" s="29"/>
      <c r="Z2" s="29"/>
      <c r="AB2" s="29" t="s">
        <v>121</v>
      </c>
      <c r="AC2" s="29"/>
      <c r="AD2" s="29"/>
      <c r="AE2" s="29"/>
      <c r="AF2" s="29"/>
      <c r="AG2" s="29"/>
      <c r="AI2" s="29" t="s">
        <v>122</v>
      </c>
      <c r="AJ2" s="29"/>
      <c r="AK2" s="29"/>
      <c r="AL2" s="29"/>
      <c r="AM2" s="29"/>
      <c r="AN2" s="29"/>
      <c r="AP2" s="29" t="s">
        <v>123</v>
      </c>
      <c r="AQ2" s="29"/>
      <c r="AR2" s="29"/>
      <c r="AS2" s="29"/>
      <c r="AT2" s="29"/>
      <c r="AU2" s="29"/>
      <c r="AW2" s="29" t="s">
        <v>124</v>
      </c>
      <c r="AX2" s="29"/>
      <c r="AY2" s="29"/>
      <c r="AZ2" s="29"/>
      <c r="BA2" s="29"/>
      <c r="BB2" s="29"/>
      <c r="BD2" s="32" t="s">
        <v>128</v>
      </c>
      <c r="BE2" s="31"/>
      <c r="BF2" s="31"/>
      <c r="BG2" s="31"/>
      <c r="BH2" s="31"/>
      <c r="BI2" s="31"/>
      <c r="BK2" s="29" t="s">
        <v>129</v>
      </c>
      <c r="BL2" s="29"/>
      <c r="BM2" s="29"/>
      <c r="BN2" s="29"/>
      <c r="BO2" s="29"/>
      <c r="BP2" s="29"/>
      <c r="BR2" s="29" t="s">
        <v>130</v>
      </c>
      <c r="BS2" s="29"/>
      <c r="BT2" s="29"/>
      <c r="BU2" s="29"/>
      <c r="BV2" s="29"/>
      <c r="BW2" s="29"/>
      <c r="BY2" s="29" t="s">
        <v>131</v>
      </c>
      <c r="BZ2" s="29"/>
      <c r="CA2" s="29"/>
      <c r="CB2" s="29"/>
      <c r="CC2" s="29"/>
      <c r="CD2" s="29"/>
      <c r="CF2" s="29" t="s">
        <v>132</v>
      </c>
      <c r="CG2" s="29"/>
      <c r="CH2" s="29"/>
      <c r="CI2" s="29"/>
      <c r="CJ2" s="29"/>
      <c r="CK2" s="29"/>
      <c r="CM2" s="29" t="s">
        <v>133</v>
      </c>
      <c r="CN2" s="29"/>
      <c r="CO2" s="29"/>
      <c r="CP2" s="29"/>
      <c r="CQ2" s="29"/>
      <c r="CR2" s="29"/>
      <c r="CT2" s="29" t="s">
        <v>134</v>
      </c>
      <c r="CU2" s="29"/>
      <c r="CV2" s="29"/>
      <c r="CW2" s="29"/>
      <c r="CX2" s="29"/>
      <c r="CY2" s="29"/>
      <c r="DA2" s="29" t="s">
        <v>135</v>
      </c>
      <c r="DB2" s="29"/>
      <c r="DC2" s="29"/>
      <c r="DD2" s="29"/>
      <c r="DE2" s="29"/>
      <c r="DF2" s="29"/>
      <c r="DH2" s="29" t="s">
        <v>136</v>
      </c>
      <c r="DI2" s="29"/>
      <c r="DJ2" s="29"/>
      <c r="DK2" s="29"/>
      <c r="DL2" s="29"/>
      <c r="DM2" s="29"/>
      <c r="DO2" s="29" t="s">
        <v>137</v>
      </c>
      <c r="DP2" s="29"/>
      <c r="DQ2" s="29"/>
      <c r="DR2" s="29"/>
      <c r="DS2" s="29"/>
      <c r="DT2" s="29"/>
      <c r="DW2" s="29" t="s">
        <v>138</v>
      </c>
      <c r="DX2" s="29"/>
      <c r="DY2" s="29"/>
      <c r="DZ2" s="29"/>
      <c r="EA2" s="29"/>
      <c r="EB2" s="29"/>
    </row>
    <row r="3" spans="2:132">
      <c r="B3" s="6" t="s">
        <v>27</v>
      </c>
      <c r="C3" s="6" t="s">
        <v>1</v>
      </c>
      <c r="D3" s="6" t="s">
        <v>25</v>
      </c>
      <c r="E3" s="7" t="s">
        <v>36</v>
      </c>
      <c r="F3" s="6" t="s">
        <v>30</v>
      </c>
      <c r="G3" s="6" t="s">
        <v>37</v>
      </c>
      <c r="I3" s="7" t="s">
        <v>12</v>
      </c>
      <c r="J3" s="7" t="s">
        <v>3</v>
      </c>
      <c r="K3" s="7" t="s">
        <v>4</v>
      </c>
      <c r="L3" s="7" t="s">
        <v>13</v>
      </c>
      <c r="N3" s="6" t="s">
        <v>12</v>
      </c>
      <c r="O3" s="6" t="s">
        <v>3</v>
      </c>
      <c r="P3" s="6" t="s">
        <v>38</v>
      </c>
      <c r="Q3" s="6" t="s">
        <v>4</v>
      </c>
      <c r="R3" s="6" t="s">
        <v>38</v>
      </c>
      <c r="S3" s="6" t="s">
        <v>13</v>
      </c>
      <c r="U3" s="6" t="s">
        <v>12</v>
      </c>
      <c r="V3" s="6" t="s">
        <v>3</v>
      </c>
      <c r="W3" s="6" t="s">
        <v>38</v>
      </c>
      <c r="X3" s="6" t="s">
        <v>4</v>
      </c>
      <c r="Y3" s="6" t="s">
        <v>38</v>
      </c>
      <c r="Z3" s="6" t="s">
        <v>13</v>
      </c>
      <c r="AB3" s="6" t="s">
        <v>12</v>
      </c>
      <c r="AC3" s="6" t="s">
        <v>3</v>
      </c>
      <c r="AD3" s="6" t="s">
        <v>38</v>
      </c>
      <c r="AE3" s="6" t="s">
        <v>4</v>
      </c>
      <c r="AF3" s="6" t="s">
        <v>38</v>
      </c>
      <c r="AG3" s="6" t="s">
        <v>13</v>
      </c>
      <c r="AI3" s="6" t="s">
        <v>12</v>
      </c>
      <c r="AJ3" s="6" t="s">
        <v>3</v>
      </c>
      <c r="AK3" s="6" t="s">
        <v>38</v>
      </c>
      <c r="AL3" s="6" t="s">
        <v>4</v>
      </c>
      <c r="AM3" s="6" t="s">
        <v>38</v>
      </c>
      <c r="AN3" s="6" t="s">
        <v>13</v>
      </c>
      <c r="AP3" s="6" t="s">
        <v>12</v>
      </c>
      <c r="AQ3" s="6" t="s">
        <v>3</v>
      </c>
      <c r="AR3" s="6" t="s">
        <v>38</v>
      </c>
      <c r="AS3" s="6" t="s">
        <v>4</v>
      </c>
      <c r="AT3" s="6" t="s">
        <v>38</v>
      </c>
      <c r="AU3" s="6" t="s">
        <v>13</v>
      </c>
      <c r="AW3" s="6" t="s">
        <v>12</v>
      </c>
      <c r="AX3" s="6" t="s">
        <v>3</v>
      </c>
      <c r="AY3" s="6" t="s">
        <v>38</v>
      </c>
      <c r="AZ3" s="6" t="s">
        <v>4</v>
      </c>
      <c r="BA3" s="6" t="s">
        <v>38</v>
      </c>
      <c r="BB3" s="6" t="s">
        <v>13</v>
      </c>
      <c r="BD3" s="6" t="s">
        <v>12</v>
      </c>
      <c r="BE3" s="6" t="s">
        <v>3</v>
      </c>
      <c r="BF3" s="6" t="s">
        <v>38</v>
      </c>
      <c r="BG3" s="6" t="s">
        <v>4</v>
      </c>
      <c r="BH3" s="6" t="s">
        <v>38</v>
      </c>
      <c r="BI3" s="6" t="s">
        <v>13</v>
      </c>
      <c r="BK3" s="6" t="s">
        <v>12</v>
      </c>
      <c r="BL3" s="6" t="s">
        <v>3</v>
      </c>
      <c r="BM3" s="6" t="s">
        <v>38</v>
      </c>
      <c r="BN3" s="6" t="s">
        <v>4</v>
      </c>
      <c r="BO3" s="6" t="s">
        <v>38</v>
      </c>
      <c r="BP3" s="6" t="s">
        <v>13</v>
      </c>
      <c r="BR3" s="6" t="s">
        <v>12</v>
      </c>
      <c r="BS3" s="6" t="s">
        <v>3</v>
      </c>
      <c r="BT3" s="6" t="s">
        <v>38</v>
      </c>
      <c r="BU3" s="6" t="s">
        <v>4</v>
      </c>
      <c r="BV3" s="6" t="s">
        <v>38</v>
      </c>
      <c r="BW3" s="6" t="s">
        <v>13</v>
      </c>
      <c r="BY3" s="6" t="s">
        <v>12</v>
      </c>
      <c r="BZ3" s="6" t="s">
        <v>3</v>
      </c>
      <c r="CA3" s="6" t="s">
        <v>38</v>
      </c>
      <c r="CB3" s="6" t="s">
        <v>4</v>
      </c>
      <c r="CC3" s="6" t="s">
        <v>38</v>
      </c>
      <c r="CD3" s="6" t="s">
        <v>13</v>
      </c>
      <c r="CF3" s="6" t="s">
        <v>12</v>
      </c>
      <c r="CG3" s="6" t="s">
        <v>3</v>
      </c>
      <c r="CH3" s="6" t="s">
        <v>38</v>
      </c>
      <c r="CI3" s="6" t="s">
        <v>4</v>
      </c>
      <c r="CJ3" s="6" t="s">
        <v>38</v>
      </c>
      <c r="CK3" s="6" t="s">
        <v>13</v>
      </c>
      <c r="CM3" s="6" t="s">
        <v>12</v>
      </c>
      <c r="CN3" s="6" t="s">
        <v>3</v>
      </c>
      <c r="CO3" s="6" t="s">
        <v>38</v>
      </c>
      <c r="CP3" s="6" t="s">
        <v>4</v>
      </c>
      <c r="CQ3" s="6" t="s">
        <v>38</v>
      </c>
      <c r="CR3" s="6" t="s">
        <v>13</v>
      </c>
      <c r="CT3" s="6" t="s">
        <v>12</v>
      </c>
      <c r="CU3" s="6" t="s">
        <v>3</v>
      </c>
      <c r="CV3" s="6" t="s">
        <v>38</v>
      </c>
      <c r="CW3" s="6" t="s">
        <v>4</v>
      </c>
      <c r="CX3" s="6" t="s">
        <v>38</v>
      </c>
      <c r="CY3" s="6" t="s">
        <v>13</v>
      </c>
      <c r="DA3" s="6" t="s">
        <v>12</v>
      </c>
      <c r="DB3" s="6" t="s">
        <v>3</v>
      </c>
      <c r="DC3" s="6" t="s">
        <v>38</v>
      </c>
      <c r="DD3" s="6" t="s">
        <v>4</v>
      </c>
      <c r="DE3" s="6" t="s">
        <v>38</v>
      </c>
      <c r="DF3" s="6" t="s">
        <v>13</v>
      </c>
      <c r="DH3" s="6" t="s">
        <v>12</v>
      </c>
      <c r="DI3" s="6" t="s">
        <v>3</v>
      </c>
      <c r="DJ3" s="6" t="s">
        <v>38</v>
      </c>
      <c r="DK3" s="6" t="s">
        <v>4</v>
      </c>
      <c r="DL3" s="6" t="s">
        <v>38</v>
      </c>
      <c r="DM3" s="6" t="s">
        <v>13</v>
      </c>
      <c r="DO3" s="6" t="s">
        <v>12</v>
      </c>
      <c r="DP3" s="6" t="s">
        <v>3</v>
      </c>
      <c r="DQ3" s="6" t="s">
        <v>38</v>
      </c>
      <c r="DR3" s="6" t="s">
        <v>4</v>
      </c>
      <c r="DS3" s="6" t="s">
        <v>38</v>
      </c>
      <c r="DT3" s="6" t="s">
        <v>13</v>
      </c>
      <c r="DW3" s="6" t="s">
        <v>12</v>
      </c>
      <c r="DX3" s="6" t="s">
        <v>3</v>
      </c>
      <c r="DY3" s="6" t="s">
        <v>38</v>
      </c>
      <c r="DZ3" s="6" t="s">
        <v>4</v>
      </c>
      <c r="EA3" s="6" t="s">
        <v>38</v>
      </c>
      <c r="EB3" s="6" t="s">
        <v>13</v>
      </c>
    </row>
    <row r="4" spans="2:132">
      <c r="B4" s="19" t="s">
        <v>28</v>
      </c>
      <c r="C4" s="19" t="s">
        <v>65</v>
      </c>
      <c r="D4" s="19"/>
      <c r="E4" s="24">
        <v>6</v>
      </c>
      <c r="G4" s="12">
        <f>+SUM(G5:G16)</f>
        <v>1</v>
      </c>
      <c r="I4" s="14">
        <f>+SUM(I5:I16)</f>
        <v>12</v>
      </c>
      <c r="J4" s="13">
        <f>+SUMPRODUCT(G5:G16,J5:J16)</f>
        <v>0</v>
      </c>
      <c r="K4" s="13">
        <f>+SUMPRODUCT(G5:G16,K5:K16)</f>
        <v>0</v>
      </c>
      <c r="L4" s="11"/>
      <c r="N4" s="14">
        <f>+SUM(N5:N16)</f>
        <v>2</v>
      </c>
      <c r="U4" s="14">
        <f>+SUM(U5:U16)</f>
        <v>2</v>
      </c>
      <c r="AB4" s="14">
        <f>+SUM(AB5:AB16)</f>
        <v>2</v>
      </c>
      <c r="AI4" s="14">
        <f>+SUM(AI5:AI16)</f>
        <v>2</v>
      </c>
      <c r="AP4" s="14">
        <f>+SUM(AP5:AP16)</f>
        <v>2</v>
      </c>
      <c r="AW4" s="14">
        <f>+SUM(AW5:AW16)</f>
        <v>2</v>
      </c>
      <c r="BD4" s="14">
        <f>+SUM(BD5:BD16)</f>
        <v>0</v>
      </c>
      <c r="BK4" s="14">
        <f>+SUM(BK5:BK16)</f>
        <v>0</v>
      </c>
      <c r="BR4" s="14">
        <f>+SUM(BR5:BR16)</f>
        <v>0</v>
      </c>
      <c r="BY4" s="14">
        <f>+SUM(BY5:BY16)</f>
        <v>0</v>
      </c>
      <c r="CF4" s="14">
        <f>+SUM(CF5:CF16)</f>
        <v>0</v>
      </c>
      <c r="CM4" s="14">
        <f>+SUM(CM5:CM16)</f>
        <v>0</v>
      </c>
      <c r="CT4" s="14">
        <f>+SUM(CT5:CT16)</f>
        <v>0</v>
      </c>
      <c r="DA4" s="14">
        <f>+SUM(DA5:DA16)</f>
        <v>0</v>
      </c>
      <c r="DH4" s="14">
        <f>+SUM(DH5:DH16)</f>
        <v>0</v>
      </c>
      <c r="DO4" s="14">
        <f>+SUM(DO5:DO16)</f>
        <v>0</v>
      </c>
      <c r="DW4" s="14">
        <f>+SUM(DW5:DW16)</f>
        <v>0</v>
      </c>
    </row>
    <row r="5" spans="2:132" hidden="1" outlineLevel="1">
      <c r="B5" t="s">
        <v>29</v>
      </c>
      <c r="C5" t="s">
        <v>2</v>
      </c>
      <c r="E5" s="11"/>
      <c r="F5" t="s">
        <v>56</v>
      </c>
      <c r="G5" s="12">
        <v>0.15</v>
      </c>
      <c r="I5" s="11">
        <f>+SUMIF($N$3:$ZZ$3,I$3,$N5:$ZZ5)</f>
        <v>1.5</v>
      </c>
      <c r="J5" s="13">
        <f t="shared" ref="J5:K12" si="0">+_xlfn.MAXIFS($N5:$ZF5,$N$3:$ZF$3,J$3)</f>
        <v>0</v>
      </c>
      <c r="K5" s="13">
        <f t="shared" si="0"/>
        <v>0</v>
      </c>
      <c r="L5" s="11"/>
      <c r="N5">
        <v>0.5</v>
      </c>
      <c r="O5" s="12"/>
      <c r="P5" s="12">
        <v>0.5</v>
      </c>
      <c r="Q5" s="12"/>
      <c r="R5" s="12">
        <v>0.5</v>
      </c>
      <c r="V5" s="12"/>
      <c r="W5" s="12">
        <v>0.5</v>
      </c>
      <c r="X5" s="12"/>
      <c r="Y5" s="12">
        <v>0.5</v>
      </c>
      <c r="AB5">
        <v>0.5</v>
      </c>
      <c r="AC5" s="12"/>
      <c r="AD5" s="12">
        <v>0.8</v>
      </c>
      <c r="AE5" s="12"/>
      <c r="AF5" s="12">
        <v>0.8</v>
      </c>
      <c r="AJ5" s="12"/>
      <c r="AK5" s="12">
        <v>0.8</v>
      </c>
      <c r="AL5" s="12"/>
      <c r="AM5" s="12">
        <v>0.8</v>
      </c>
      <c r="AP5">
        <v>0.5</v>
      </c>
      <c r="AQ5" s="12"/>
      <c r="AR5" s="12">
        <v>1</v>
      </c>
      <c r="AS5" s="12"/>
      <c r="AT5" s="12">
        <v>1</v>
      </c>
      <c r="AX5" s="12"/>
      <c r="AY5" s="12">
        <v>1</v>
      </c>
      <c r="AZ5" s="12"/>
      <c r="BA5" s="12">
        <v>1</v>
      </c>
      <c r="BE5" s="12"/>
      <c r="BF5" s="12"/>
      <c r="BG5" s="12"/>
      <c r="BH5" s="12"/>
      <c r="BL5" s="12"/>
      <c r="BM5" s="12">
        <v>1</v>
      </c>
      <c r="BN5" s="12"/>
      <c r="BO5" s="12">
        <v>1</v>
      </c>
      <c r="BS5" s="12"/>
      <c r="BT5" s="12"/>
      <c r="BU5" s="12"/>
      <c r="BV5" s="12"/>
      <c r="BZ5" s="12"/>
      <c r="CA5" s="12"/>
      <c r="CB5" s="12"/>
      <c r="CC5" s="12"/>
      <c r="CG5" s="12"/>
      <c r="CH5" s="12"/>
      <c r="CI5" s="12"/>
      <c r="CJ5" s="12"/>
      <c r="CN5" s="12"/>
      <c r="CO5" s="12"/>
      <c r="CP5" s="12"/>
      <c r="CQ5" s="12"/>
      <c r="CU5" s="12"/>
      <c r="CV5" s="12"/>
      <c r="CW5" s="12"/>
      <c r="CX5" s="12"/>
      <c r="DB5" s="12"/>
      <c r="DC5" s="12"/>
      <c r="DD5" s="12"/>
      <c r="DE5" s="12"/>
      <c r="DI5" s="12"/>
      <c r="DJ5" s="12"/>
      <c r="DK5" s="12"/>
      <c r="DL5" s="12"/>
      <c r="DP5" s="12"/>
      <c r="DQ5" s="12"/>
      <c r="DR5" s="12"/>
      <c r="DS5" s="12"/>
      <c r="DX5" s="12"/>
      <c r="DY5" s="12"/>
      <c r="DZ5" s="12"/>
      <c r="EA5" s="12"/>
    </row>
    <row r="6" spans="2:132" hidden="1" outlineLevel="1">
      <c r="B6" t="s">
        <v>29</v>
      </c>
      <c r="C6" t="s">
        <v>2</v>
      </c>
      <c r="E6" s="11"/>
      <c r="F6" t="s">
        <v>57</v>
      </c>
      <c r="G6" s="12">
        <v>0.05</v>
      </c>
      <c r="I6" s="11">
        <f t="shared" ref="I6:I12" si="1">+SUMIF($N$3:$ZZ$3,I$3,$N6:$ZZ6)</f>
        <v>1.5</v>
      </c>
      <c r="J6" s="13">
        <f t="shared" si="0"/>
        <v>0</v>
      </c>
      <c r="K6" s="13">
        <f t="shared" si="0"/>
        <v>0</v>
      </c>
      <c r="L6" s="11"/>
      <c r="N6">
        <v>0.5</v>
      </c>
      <c r="O6" s="12"/>
      <c r="P6" s="12">
        <v>0.5</v>
      </c>
      <c r="Q6" s="12"/>
      <c r="R6" s="12">
        <v>0.5</v>
      </c>
      <c r="V6" s="12"/>
      <c r="W6" s="12">
        <v>0.5</v>
      </c>
      <c r="X6" s="12"/>
      <c r="Y6" s="12">
        <v>0.5</v>
      </c>
      <c r="AB6">
        <v>0.5</v>
      </c>
      <c r="AC6" s="12"/>
      <c r="AD6" s="12">
        <v>0.8</v>
      </c>
      <c r="AE6" s="12"/>
      <c r="AF6" s="12">
        <v>0.8</v>
      </c>
      <c r="AJ6" s="12"/>
      <c r="AK6" s="12">
        <v>0.8</v>
      </c>
      <c r="AL6" s="12"/>
      <c r="AM6" s="12">
        <v>0.8</v>
      </c>
      <c r="AP6">
        <v>0.5</v>
      </c>
      <c r="AQ6" s="12"/>
      <c r="AR6" s="12">
        <v>1</v>
      </c>
      <c r="AS6" s="12"/>
      <c r="AT6" s="12">
        <v>1</v>
      </c>
      <c r="AX6" s="12"/>
      <c r="AY6" s="12">
        <v>1</v>
      </c>
      <c r="AZ6" s="12"/>
      <c r="BA6" s="12">
        <v>1</v>
      </c>
      <c r="BE6" s="12"/>
      <c r="BF6" s="12"/>
      <c r="BG6" s="12"/>
      <c r="BH6" s="12"/>
      <c r="BL6" s="12"/>
      <c r="BM6" s="12">
        <v>1</v>
      </c>
      <c r="BN6" s="12"/>
      <c r="BO6" s="12">
        <v>1</v>
      </c>
      <c r="BS6" s="12"/>
      <c r="BT6" s="12"/>
      <c r="BU6" s="12"/>
      <c r="BV6" s="12"/>
      <c r="BZ6" s="12"/>
      <c r="CA6" s="12"/>
      <c r="CB6" s="12"/>
      <c r="CC6" s="12"/>
      <c r="CG6" s="12"/>
      <c r="CH6" s="12"/>
      <c r="CI6" s="12"/>
      <c r="CJ6" s="12"/>
      <c r="CN6" s="12"/>
      <c r="CO6" s="12"/>
      <c r="CP6" s="12"/>
      <c r="CQ6" s="12"/>
      <c r="CU6" s="12"/>
      <c r="CV6" s="12"/>
      <c r="CW6" s="12"/>
      <c r="CX6" s="12"/>
      <c r="DB6" s="12"/>
      <c r="DC6" s="12"/>
      <c r="DD6" s="12"/>
      <c r="DE6" s="12"/>
      <c r="DI6" s="12"/>
      <c r="DJ6" s="12"/>
      <c r="DK6" s="12"/>
      <c r="DL6" s="12"/>
      <c r="DP6" s="12"/>
      <c r="DQ6" s="12"/>
      <c r="DR6" s="12"/>
      <c r="DS6" s="12"/>
      <c r="DX6" s="12"/>
      <c r="DY6" s="12"/>
      <c r="DZ6" s="12"/>
      <c r="EA6" s="12"/>
    </row>
    <row r="7" spans="2:132" hidden="1" outlineLevel="1">
      <c r="B7" t="s">
        <v>29</v>
      </c>
      <c r="C7" t="s">
        <v>2</v>
      </c>
      <c r="E7" s="11"/>
      <c r="F7" t="s">
        <v>58</v>
      </c>
      <c r="G7" s="12">
        <v>0.05</v>
      </c>
      <c r="I7" s="11">
        <f t="shared" si="1"/>
        <v>1.5</v>
      </c>
      <c r="J7" s="13">
        <f t="shared" si="0"/>
        <v>0</v>
      </c>
      <c r="K7" s="13">
        <f t="shared" si="0"/>
        <v>0</v>
      </c>
      <c r="L7" s="11"/>
      <c r="N7">
        <v>0.5</v>
      </c>
      <c r="O7" s="12"/>
      <c r="P7" s="12">
        <v>0.5</v>
      </c>
      <c r="Q7" s="12"/>
      <c r="R7" s="12">
        <v>0.5</v>
      </c>
      <c r="V7" s="12"/>
      <c r="W7" s="12">
        <v>0.5</v>
      </c>
      <c r="X7" s="12"/>
      <c r="Y7" s="12">
        <v>0.5</v>
      </c>
      <c r="AB7">
        <v>0.5</v>
      </c>
      <c r="AC7" s="12"/>
      <c r="AD7" s="12">
        <v>0.8</v>
      </c>
      <c r="AE7" s="12"/>
      <c r="AF7" s="12">
        <v>0.8</v>
      </c>
      <c r="AJ7" s="12"/>
      <c r="AK7" s="12">
        <v>0.8</v>
      </c>
      <c r="AL7" s="12"/>
      <c r="AM7" s="12">
        <v>0.8</v>
      </c>
      <c r="AP7">
        <v>0.5</v>
      </c>
      <c r="AQ7" s="12"/>
      <c r="AR7" s="12">
        <v>1</v>
      </c>
      <c r="AS7" s="12"/>
      <c r="AT7" s="12">
        <v>1</v>
      </c>
      <c r="AX7" s="12"/>
      <c r="AY7" s="12">
        <v>1</v>
      </c>
      <c r="AZ7" s="12"/>
      <c r="BA7" s="12">
        <v>1</v>
      </c>
      <c r="BE7" s="12"/>
      <c r="BF7" s="12"/>
      <c r="BG7" s="12"/>
      <c r="BH7" s="12"/>
      <c r="BL7" s="12"/>
      <c r="BM7" s="12">
        <v>1</v>
      </c>
      <c r="BN7" s="12"/>
      <c r="BO7" s="12">
        <v>1</v>
      </c>
      <c r="BS7" s="12"/>
      <c r="BT7" s="12"/>
      <c r="BU7" s="12"/>
      <c r="BV7" s="12"/>
      <c r="BZ7" s="12"/>
      <c r="CA7" s="12"/>
      <c r="CB7" s="12"/>
      <c r="CC7" s="12"/>
      <c r="CG7" s="12"/>
      <c r="CH7" s="12"/>
      <c r="CI7" s="12"/>
      <c r="CJ7" s="12"/>
      <c r="CN7" s="12"/>
      <c r="CO7" s="12"/>
      <c r="CP7" s="12"/>
      <c r="CQ7" s="12"/>
      <c r="CU7" s="12"/>
      <c r="CV7" s="12"/>
      <c r="CW7" s="12"/>
      <c r="CX7" s="12"/>
      <c r="DB7" s="12"/>
      <c r="DC7" s="12"/>
      <c r="DD7" s="12"/>
      <c r="DE7" s="12"/>
      <c r="DI7" s="12"/>
      <c r="DJ7" s="12"/>
      <c r="DK7" s="12"/>
      <c r="DL7" s="12"/>
      <c r="DP7" s="12"/>
      <c r="DQ7" s="12"/>
      <c r="DR7" s="12"/>
      <c r="DS7" s="12"/>
      <c r="DX7" s="12"/>
      <c r="DY7" s="12"/>
      <c r="DZ7" s="12"/>
      <c r="EA7" s="12"/>
    </row>
    <row r="8" spans="2:132" hidden="1" outlineLevel="1">
      <c r="B8" t="s">
        <v>29</v>
      </c>
      <c r="C8" t="s">
        <v>2</v>
      </c>
      <c r="E8" s="11"/>
      <c r="F8" t="s">
        <v>59</v>
      </c>
      <c r="G8" s="12">
        <v>0.05</v>
      </c>
      <c r="I8" s="11">
        <f t="shared" si="1"/>
        <v>1.5</v>
      </c>
      <c r="J8" s="13">
        <f t="shared" si="0"/>
        <v>0</v>
      </c>
      <c r="K8" s="13">
        <f t="shared" si="0"/>
        <v>0</v>
      </c>
      <c r="L8" s="11"/>
      <c r="N8">
        <v>0.5</v>
      </c>
      <c r="O8" s="12"/>
      <c r="P8" s="12">
        <v>0.5</v>
      </c>
      <c r="Q8" s="12"/>
      <c r="R8" s="12">
        <v>0.5</v>
      </c>
      <c r="V8" s="12"/>
      <c r="W8" s="12">
        <v>0.5</v>
      </c>
      <c r="X8" s="12"/>
      <c r="Y8" s="12">
        <v>0.5</v>
      </c>
      <c r="AB8">
        <v>0.5</v>
      </c>
      <c r="AC8" s="12"/>
      <c r="AD8" s="12">
        <v>0.8</v>
      </c>
      <c r="AE8" s="12"/>
      <c r="AF8" s="12">
        <v>0.8</v>
      </c>
      <c r="AJ8" s="12"/>
      <c r="AK8" s="12">
        <v>0.8</v>
      </c>
      <c r="AL8" s="12"/>
      <c r="AM8" s="12">
        <v>0.8</v>
      </c>
      <c r="AP8">
        <v>0.5</v>
      </c>
      <c r="AQ8" s="12"/>
      <c r="AR8" s="12">
        <v>1</v>
      </c>
      <c r="AS8" s="12"/>
      <c r="AT8" s="12">
        <v>1</v>
      </c>
      <c r="AX8" s="12"/>
      <c r="AY8" s="12">
        <v>1</v>
      </c>
      <c r="AZ8" s="12"/>
      <c r="BA8" s="12">
        <v>1</v>
      </c>
      <c r="BE8" s="12"/>
      <c r="BF8" s="12"/>
      <c r="BG8" s="12"/>
      <c r="BH8" s="12"/>
      <c r="BL8" s="12"/>
      <c r="BM8" s="12">
        <v>1</v>
      </c>
      <c r="BN8" s="12"/>
      <c r="BO8" s="12">
        <v>1</v>
      </c>
      <c r="BS8" s="12"/>
      <c r="BT8" s="12"/>
      <c r="BU8" s="12"/>
      <c r="BV8" s="12"/>
      <c r="BZ8" s="12"/>
      <c r="CA8" s="12"/>
      <c r="CB8" s="12"/>
      <c r="CC8" s="12"/>
      <c r="CG8" s="12"/>
      <c r="CH8" s="12"/>
      <c r="CI8" s="12"/>
      <c r="CJ8" s="12"/>
      <c r="CN8" s="12"/>
      <c r="CO8" s="12"/>
      <c r="CP8" s="12"/>
      <c r="CQ8" s="12"/>
      <c r="CU8" s="12"/>
      <c r="CV8" s="12"/>
      <c r="CW8" s="12"/>
      <c r="CX8" s="12"/>
      <c r="DB8" s="12"/>
      <c r="DC8" s="12"/>
      <c r="DD8" s="12"/>
      <c r="DE8" s="12"/>
      <c r="DI8" s="12"/>
      <c r="DJ8" s="12"/>
      <c r="DK8" s="12"/>
      <c r="DL8" s="12"/>
      <c r="DP8" s="12"/>
      <c r="DQ8" s="12"/>
      <c r="DR8" s="12"/>
      <c r="DS8" s="12"/>
      <c r="DX8" s="12"/>
      <c r="DY8" s="12"/>
      <c r="DZ8" s="12"/>
      <c r="EA8" s="12"/>
    </row>
    <row r="9" spans="2:132" hidden="1" outlineLevel="1">
      <c r="B9" t="s">
        <v>29</v>
      </c>
      <c r="C9" t="s">
        <v>2</v>
      </c>
      <c r="E9" s="11"/>
      <c r="F9" t="s">
        <v>60</v>
      </c>
      <c r="G9" s="12">
        <v>0.25</v>
      </c>
      <c r="I9" s="11">
        <f t="shared" si="1"/>
        <v>1.5</v>
      </c>
      <c r="J9" s="13">
        <f t="shared" si="0"/>
        <v>0</v>
      </c>
      <c r="K9" s="13">
        <f t="shared" si="0"/>
        <v>0</v>
      </c>
      <c r="L9" s="11"/>
      <c r="O9" s="12"/>
      <c r="P9" s="12"/>
      <c r="Q9" s="12"/>
      <c r="R9" s="12"/>
      <c r="U9">
        <v>0.5</v>
      </c>
      <c r="V9" s="12"/>
      <c r="W9" s="12">
        <v>0.5</v>
      </c>
      <c r="X9" s="12"/>
      <c r="Y9" s="12">
        <v>0.5</v>
      </c>
      <c r="AC9" s="12"/>
      <c r="AD9" s="12">
        <v>0.5</v>
      </c>
      <c r="AE9" s="12"/>
      <c r="AF9" s="12">
        <v>0.5</v>
      </c>
      <c r="AI9">
        <v>0.5</v>
      </c>
      <c r="AJ9" s="12"/>
      <c r="AK9" s="12">
        <v>0.8</v>
      </c>
      <c r="AL9" s="12"/>
      <c r="AM9" s="12">
        <v>0.8</v>
      </c>
      <c r="AQ9" s="12"/>
      <c r="AR9" s="12">
        <v>0.8</v>
      </c>
      <c r="AS9" s="12"/>
      <c r="AT9" s="12">
        <v>0.8</v>
      </c>
      <c r="AW9">
        <v>0.5</v>
      </c>
      <c r="AX9" s="12"/>
      <c r="AY9" s="12">
        <v>1</v>
      </c>
      <c r="AZ9" s="12"/>
      <c r="BA9" s="12">
        <v>1</v>
      </c>
      <c r="BE9" s="12"/>
      <c r="BF9" s="12"/>
      <c r="BG9" s="12"/>
      <c r="BH9" s="12"/>
      <c r="BL9" s="12"/>
      <c r="BM9" s="12">
        <v>1</v>
      </c>
      <c r="BN9" s="12"/>
      <c r="BO9" s="12">
        <v>1</v>
      </c>
      <c r="BS9" s="12"/>
      <c r="BT9" s="12"/>
      <c r="BU9" s="12"/>
      <c r="BV9" s="12"/>
      <c r="BZ9" s="12"/>
      <c r="CA9" s="12"/>
      <c r="CB9" s="12"/>
      <c r="CC9" s="12"/>
      <c r="CG9" s="12"/>
      <c r="CH9" s="12"/>
      <c r="CI9" s="12"/>
      <c r="CJ9" s="12"/>
      <c r="CN9" s="12"/>
      <c r="CO9" s="12"/>
      <c r="CP9" s="12"/>
      <c r="CQ9" s="12"/>
      <c r="CU9" s="12"/>
      <c r="CV9" s="12"/>
      <c r="CW9" s="12"/>
      <c r="CX9" s="12"/>
      <c r="DB9" s="12"/>
      <c r="DC9" s="12"/>
      <c r="DD9" s="12"/>
      <c r="DE9" s="12"/>
      <c r="DI9" s="12"/>
      <c r="DJ9" s="12"/>
      <c r="DK9" s="12"/>
      <c r="DL9" s="12"/>
      <c r="DP9" s="12"/>
      <c r="DQ9" s="12"/>
      <c r="DR9" s="12"/>
      <c r="DS9" s="12"/>
      <c r="DX9" s="12"/>
      <c r="DY9" s="12"/>
      <c r="DZ9" s="12"/>
      <c r="EA9" s="12"/>
    </row>
    <row r="10" spans="2:132" hidden="1" outlineLevel="1">
      <c r="B10" t="s">
        <v>29</v>
      </c>
      <c r="C10" t="s">
        <v>2</v>
      </c>
      <c r="E10" s="11"/>
      <c r="F10" t="s">
        <v>61</v>
      </c>
      <c r="G10" s="12">
        <v>0.35</v>
      </c>
      <c r="I10" s="11">
        <f t="shared" si="1"/>
        <v>1.5</v>
      </c>
      <c r="J10" s="13">
        <f t="shared" si="0"/>
        <v>0</v>
      </c>
      <c r="K10" s="13">
        <f t="shared" si="0"/>
        <v>0</v>
      </c>
      <c r="L10" s="11"/>
      <c r="O10" s="12"/>
      <c r="P10" s="12"/>
      <c r="Q10" s="12"/>
      <c r="R10" s="12"/>
      <c r="U10">
        <v>0.5</v>
      </c>
      <c r="V10" s="12"/>
      <c r="W10" s="12">
        <v>0.5</v>
      </c>
      <c r="X10" s="12"/>
      <c r="Y10" s="12">
        <v>0.5</v>
      </c>
      <c r="AC10" s="12"/>
      <c r="AD10" s="12">
        <v>0.5</v>
      </c>
      <c r="AE10" s="12"/>
      <c r="AF10" s="12">
        <v>0.5</v>
      </c>
      <c r="AI10">
        <v>0.5</v>
      </c>
      <c r="AJ10" s="12"/>
      <c r="AK10" s="12">
        <v>0.8</v>
      </c>
      <c r="AL10" s="12"/>
      <c r="AM10" s="12">
        <v>0.8</v>
      </c>
      <c r="AQ10" s="12"/>
      <c r="AR10" s="12">
        <v>0.8</v>
      </c>
      <c r="AS10" s="12"/>
      <c r="AT10" s="12">
        <v>0.8</v>
      </c>
      <c r="AW10">
        <v>0.5</v>
      </c>
      <c r="AX10" s="12"/>
      <c r="AY10" s="12">
        <v>1</v>
      </c>
      <c r="AZ10" s="12"/>
      <c r="BA10" s="12">
        <v>1</v>
      </c>
      <c r="BE10" s="12"/>
      <c r="BF10" s="12"/>
      <c r="BG10" s="12"/>
      <c r="BH10" s="12"/>
      <c r="BL10" s="12"/>
      <c r="BM10" s="12">
        <v>1</v>
      </c>
      <c r="BN10" s="12"/>
      <c r="BO10" s="12">
        <v>1</v>
      </c>
      <c r="BS10" s="12"/>
      <c r="BT10" s="12"/>
      <c r="BU10" s="12"/>
      <c r="BV10" s="12"/>
      <c r="BZ10" s="12"/>
      <c r="CA10" s="12"/>
      <c r="CB10" s="12"/>
      <c r="CC10" s="12"/>
      <c r="CG10" s="12"/>
      <c r="CH10" s="12"/>
      <c r="CI10" s="12"/>
      <c r="CJ10" s="12"/>
      <c r="CN10" s="12"/>
      <c r="CO10" s="12"/>
      <c r="CP10" s="12"/>
      <c r="CQ10" s="12"/>
      <c r="CU10" s="12"/>
      <c r="CV10" s="12"/>
      <c r="CW10" s="12"/>
      <c r="CX10" s="12"/>
      <c r="DB10" s="12"/>
      <c r="DC10" s="12"/>
      <c r="DD10" s="12"/>
      <c r="DE10" s="12"/>
      <c r="DI10" s="12"/>
      <c r="DJ10" s="12"/>
      <c r="DK10" s="12"/>
      <c r="DL10" s="12"/>
      <c r="DP10" s="12"/>
      <c r="DQ10" s="12"/>
      <c r="DR10" s="12"/>
      <c r="DS10" s="12"/>
      <c r="DX10" s="12"/>
      <c r="DY10" s="12"/>
      <c r="DZ10" s="12"/>
      <c r="EA10" s="12"/>
    </row>
    <row r="11" spans="2:132" hidden="1" outlineLevel="1">
      <c r="B11" t="s">
        <v>29</v>
      </c>
      <c r="C11" t="s">
        <v>2</v>
      </c>
      <c r="E11" s="11"/>
      <c r="F11" t="s">
        <v>62</v>
      </c>
      <c r="G11" s="12">
        <v>0.05</v>
      </c>
      <c r="I11" s="11">
        <f t="shared" si="1"/>
        <v>1.5</v>
      </c>
      <c r="J11" s="13">
        <f t="shared" si="0"/>
        <v>0</v>
      </c>
      <c r="K11" s="13">
        <f t="shared" si="0"/>
        <v>0</v>
      </c>
      <c r="L11" s="11"/>
      <c r="O11" s="12"/>
      <c r="P11" s="12"/>
      <c r="Q11" s="12"/>
      <c r="R11" s="12"/>
      <c r="U11">
        <v>0.5</v>
      </c>
      <c r="V11" s="12"/>
      <c r="W11" s="12">
        <v>0.5</v>
      </c>
      <c r="X11" s="12"/>
      <c r="Y11" s="12">
        <v>0.5</v>
      </c>
      <c r="AC11" s="12"/>
      <c r="AD11" s="12">
        <v>0.5</v>
      </c>
      <c r="AE11" s="12"/>
      <c r="AF11" s="12">
        <v>0.5</v>
      </c>
      <c r="AI11">
        <v>0.5</v>
      </c>
      <c r="AJ11" s="12"/>
      <c r="AK11" s="12">
        <v>0.8</v>
      </c>
      <c r="AL11" s="12"/>
      <c r="AM11" s="12">
        <v>0.8</v>
      </c>
      <c r="AQ11" s="12"/>
      <c r="AR11" s="12">
        <v>0.8</v>
      </c>
      <c r="AS11" s="12"/>
      <c r="AT11" s="12">
        <v>0.8</v>
      </c>
      <c r="AW11">
        <v>0.5</v>
      </c>
      <c r="AX11" s="12"/>
      <c r="AY11" s="12">
        <v>1</v>
      </c>
      <c r="AZ11" s="12"/>
      <c r="BA11" s="12">
        <v>1</v>
      </c>
      <c r="BE11" s="12"/>
      <c r="BF11" s="12"/>
      <c r="BG11" s="12"/>
      <c r="BH11" s="12"/>
      <c r="BL11" s="12"/>
      <c r="BM11" s="12">
        <v>1</v>
      </c>
      <c r="BN11" s="12"/>
      <c r="BO11" s="12">
        <v>1</v>
      </c>
      <c r="BS11" s="12"/>
      <c r="BT11" s="12"/>
      <c r="BU11" s="12"/>
      <c r="BV11" s="12"/>
      <c r="BZ11" s="12"/>
      <c r="CA11" s="12"/>
      <c r="CB11" s="12"/>
      <c r="CC11" s="12"/>
      <c r="CG11" s="12"/>
      <c r="CH11" s="12"/>
      <c r="CI11" s="12"/>
      <c r="CJ11" s="12"/>
      <c r="CN11" s="12"/>
      <c r="CO11" s="12"/>
      <c r="CP11" s="12"/>
      <c r="CQ11" s="12"/>
      <c r="CU11" s="12"/>
      <c r="CV11" s="12"/>
      <c r="CW11" s="12"/>
      <c r="CX11" s="12"/>
      <c r="DB11" s="12"/>
      <c r="DC11" s="12"/>
      <c r="DD11" s="12"/>
      <c r="DE11" s="12"/>
      <c r="DI11" s="12"/>
      <c r="DJ11" s="12"/>
      <c r="DK11" s="12"/>
      <c r="DL11" s="12"/>
      <c r="DP11" s="12"/>
      <c r="DQ11" s="12"/>
      <c r="DR11" s="12"/>
      <c r="DS11" s="12"/>
      <c r="DX11" s="12"/>
      <c r="DY11" s="12"/>
      <c r="DZ11" s="12"/>
      <c r="EA11" s="12"/>
    </row>
    <row r="12" spans="2:132" hidden="1" outlineLevel="1">
      <c r="B12" t="s">
        <v>29</v>
      </c>
      <c r="C12" t="s">
        <v>2</v>
      </c>
      <c r="E12" s="11"/>
      <c r="F12" t="s">
        <v>63</v>
      </c>
      <c r="G12" s="12">
        <v>0.05</v>
      </c>
      <c r="I12" s="11">
        <f t="shared" si="1"/>
        <v>1.5</v>
      </c>
      <c r="J12" s="13">
        <f t="shared" si="0"/>
        <v>0</v>
      </c>
      <c r="K12" s="13">
        <f t="shared" si="0"/>
        <v>0</v>
      </c>
      <c r="L12" s="11"/>
      <c r="O12" s="12"/>
      <c r="P12" s="12"/>
      <c r="Q12" s="12"/>
      <c r="R12" s="12"/>
      <c r="U12">
        <v>0.5</v>
      </c>
      <c r="V12" s="12"/>
      <c r="W12" s="12">
        <v>0.5</v>
      </c>
      <c r="X12" s="12"/>
      <c r="Y12" s="12">
        <v>0.5</v>
      </c>
      <c r="AC12" s="12"/>
      <c r="AD12" s="12">
        <v>0.5</v>
      </c>
      <c r="AE12" s="12"/>
      <c r="AF12" s="12">
        <v>0.5</v>
      </c>
      <c r="AI12">
        <v>0.5</v>
      </c>
      <c r="AJ12" s="12"/>
      <c r="AK12" s="12">
        <v>0.8</v>
      </c>
      <c r="AL12" s="12"/>
      <c r="AM12" s="12">
        <v>0.8</v>
      </c>
      <c r="AQ12" s="12"/>
      <c r="AR12" s="12">
        <v>0.8</v>
      </c>
      <c r="AS12" s="12"/>
      <c r="AT12" s="12">
        <v>0.8</v>
      </c>
      <c r="AW12">
        <v>0.5</v>
      </c>
      <c r="AX12" s="12"/>
      <c r="AY12" s="12">
        <v>1</v>
      </c>
      <c r="AZ12" s="12"/>
      <c r="BA12" s="12">
        <v>1</v>
      </c>
      <c r="BE12" s="12"/>
      <c r="BF12" s="12"/>
      <c r="BG12" s="12"/>
      <c r="BH12" s="12"/>
      <c r="BL12" s="12"/>
      <c r="BM12" s="12">
        <v>1</v>
      </c>
      <c r="BN12" s="12"/>
      <c r="BO12" s="12">
        <v>1</v>
      </c>
      <c r="BS12" s="12"/>
      <c r="BT12" s="12"/>
      <c r="BU12" s="12"/>
      <c r="BV12" s="12"/>
      <c r="BZ12" s="12"/>
      <c r="CA12" s="12"/>
      <c r="CB12" s="12"/>
      <c r="CC12" s="12"/>
      <c r="CG12" s="12"/>
      <c r="CH12" s="12"/>
      <c r="CI12" s="12"/>
      <c r="CJ12" s="12"/>
      <c r="CN12" s="12"/>
      <c r="CO12" s="12"/>
      <c r="CP12" s="12"/>
      <c r="CQ12" s="12"/>
      <c r="CU12" s="12"/>
      <c r="CV12" s="12"/>
      <c r="CW12" s="12"/>
      <c r="CX12" s="12"/>
      <c r="DB12" s="12"/>
      <c r="DC12" s="12"/>
      <c r="DD12" s="12"/>
      <c r="DE12" s="12"/>
      <c r="DI12" s="12"/>
      <c r="DJ12" s="12"/>
      <c r="DK12" s="12"/>
      <c r="DL12" s="12"/>
      <c r="DP12" s="12"/>
      <c r="DQ12" s="12"/>
      <c r="DR12" s="12"/>
      <c r="DS12" s="12"/>
      <c r="DX12" s="12"/>
      <c r="DY12" s="12"/>
      <c r="DZ12" s="12"/>
      <c r="EA12" s="12"/>
    </row>
    <row r="13" spans="2:132" hidden="1" outlineLevel="1">
      <c r="E13" s="11"/>
      <c r="G13" s="12"/>
      <c r="I13" s="11"/>
      <c r="J13" s="13"/>
      <c r="K13" s="13"/>
      <c r="L13" s="11"/>
      <c r="O13" s="12"/>
      <c r="P13" s="12"/>
      <c r="Q13" s="12"/>
      <c r="R13" s="12"/>
      <c r="V13" s="12"/>
      <c r="W13" s="12"/>
      <c r="X13" s="12"/>
      <c r="Y13" s="12"/>
      <c r="AC13" s="12"/>
      <c r="AD13" s="12"/>
      <c r="AE13" s="12"/>
      <c r="AF13" s="12"/>
      <c r="AJ13" s="12"/>
      <c r="AK13" s="12"/>
      <c r="AL13" s="12"/>
      <c r="AM13" s="12"/>
      <c r="AQ13" s="12"/>
      <c r="AR13" s="12"/>
      <c r="AS13" s="12"/>
      <c r="AT13" s="12"/>
      <c r="AX13" s="12"/>
      <c r="AY13" s="12"/>
      <c r="AZ13" s="12"/>
      <c r="BA13" s="12"/>
      <c r="BE13" s="12"/>
      <c r="BF13" s="12"/>
      <c r="BG13" s="12"/>
      <c r="BH13" s="12"/>
      <c r="BL13" s="12"/>
      <c r="BM13" s="12"/>
      <c r="BN13" s="12"/>
      <c r="BO13" s="12"/>
      <c r="BS13" s="12"/>
      <c r="BT13" s="12"/>
      <c r="BU13" s="12"/>
      <c r="BV13" s="12"/>
      <c r="BZ13" s="12"/>
      <c r="CA13" s="12"/>
      <c r="CB13" s="12"/>
      <c r="CC13" s="12"/>
      <c r="CG13" s="12"/>
      <c r="CH13" s="12"/>
      <c r="CI13" s="12"/>
      <c r="CJ13" s="12"/>
      <c r="CN13" s="12"/>
      <c r="CO13" s="12"/>
      <c r="CP13" s="12"/>
      <c r="CQ13" s="12"/>
      <c r="CU13" s="12"/>
      <c r="CV13" s="12"/>
      <c r="CW13" s="12"/>
      <c r="CX13" s="12"/>
      <c r="DB13" s="12"/>
      <c r="DC13" s="12"/>
      <c r="DD13" s="12"/>
      <c r="DE13" s="12"/>
      <c r="DI13" s="12"/>
      <c r="DJ13" s="12"/>
      <c r="DK13" s="12"/>
      <c r="DL13" s="12"/>
      <c r="DP13" s="12"/>
      <c r="DQ13" s="12"/>
      <c r="DR13" s="12"/>
      <c r="DS13" s="12"/>
      <c r="DX13" s="12"/>
      <c r="DY13" s="12"/>
      <c r="DZ13" s="12"/>
      <c r="EA13" s="12"/>
    </row>
    <row r="14" spans="2:132" hidden="1" outlineLevel="1">
      <c r="E14" s="11"/>
      <c r="G14" s="12"/>
      <c r="I14" s="11"/>
      <c r="J14" s="13"/>
      <c r="K14" s="13"/>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c r="BG14" s="12"/>
      <c r="BH14" s="12"/>
      <c r="BL14" s="12"/>
      <c r="BM14" s="12"/>
      <c r="BN14" s="12"/>
      <c r="BO14" s="12"/>
      <c r="BS14" s="12"/>
      <c r="BT14" s="12"/>
      <c r="BU14" s="12"/>
      <c r="BV14" s="12"/>
      <c r="BZ14" s="12"/>
      <c r="CA14" s="12"/>
      <c r="CB14" s="12"/>
      <c r="CC14" s="12"/>
      <c r="CG14" s="12"/>
      <c r="CH14" s="12"/>
      <c r="CI14" s="12"/>
      <c r="CJ14" s="12"/>
      <c r="CN14" s="12"/>
      <c r="CO14" s="12"/>
      <c r="CP14" s="12"/>
      <c r="CQ14" s="12"/>
      <c r="CU14" s="12"/>
      <c r="CV14" s="12"/>
      <c r="CW14" s="12"/>
      <c r="CX14" s="12"/>
      <c r="DB14" s="12"/>
      <c r="DC14" s="12"/>
      <c r="DD14" s="12"/>
      <c r="DE14" s="12"/>
      <c r="DI14" s="12"/>
      <c r="DJ14" s="12"/>
      <c r="DK14" s="12"/>
      <c r="DL14" s="12"/>
      <c r="DP14" s="12"/>
      <c r="DQ14" s="12"/>
      <c r="DR14" s="12"/>
      <c r="DS14" s="12"/>
      <c r="DX14" s="12"/>
      <c r="DY14" s="12"/>
      <c r="DZ14" s="12"/>
      <c r="EA14" s="12"/>
    </row>
    <row r="15" spans="2:132" hidden="1" outlineLevel="1">
      <c r="E15" s="11"/>
      <c r="G15" s="12"/>
      <c r="I15" s="11"/>
      <c r="J15" s="13"/>
      <c r="K15" s="13"/>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c r="BG15" s="12"/>
      <c r="BH15" s="12"/>
      <c r="BL15" s="12"/>
      <c r="BM15" s="12"/>
      <c r="BN15" s="12"/>
      <c r="BO15" s="12"/>
      <c r="BS15" s="12"/>
      <c r="BT15" s="12"/>
      <c r="BU15" s="12"/>
      <c r="BV15" s="12"/>
      <c r="BZ15" s="12"/>
      <c r="CA15" s="12"/>
      <c r="CB15" s="12"/>
      <c r="CC15" s="12"/>
      <c r="CG15" s="12"/>
      <c r="CH15" s="12"/>
      <c r="CI15" s="12"/>
      <c r="CJ15" s="12"/>
      <c r="CN15" s="12"/>
      <c r="CO15" s="12"/>
      <c r="CP15" s="12"/>
      <c r="CQ15" s="12"/>
      <c r="CU15" s="12"/>
      <c r="CV15" s="12"/>
      <c r="CW15" s="12"/>
      <c r="CX15" s="12"/>
      <c r="DB15" s="12"/>
      <c r="DC15" s="12"/>
      <c r="DD15" s="12"/>
      <c r="DE15" s="12"/>
      <c r="DI15" s="12"/>
      <c r="DJ15" s="12"/>
      <c r="DK15" s="12"/>
      <c r="DL15" s="12"/>
      <c r="DP15" s="12"/>
      <c r="DQ15" s="12"/>
      <c r="DR15" s="12"/>
      <c r="DS15" s="12"/>
      <c r="DX15" s="12"/>
      <c r="DY15" s="12"/>
      <c r="DZ15" s="12"/>
      <c r="EA15" s="12"/>
    </row>
    <row r="16" spans="2:132" hidden="1" outlineLevel="1">
      <c r="E16" s="11"/>
      <c r="G16" s="12"/>
      <c r="I16" s="11"/>
      <c r="J16" s="13"/>
      <c r="K16" s="13"/>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c r="BG16" s="12"/>
      <c r="BH16" s="12"/>
      <c r="BL16" s="12"/>
      <c r="BM16" s="12"/>
      <c r="BN16" s="12"/>
      <c r="BO16" s="12"/>
      <c r="BS16" s="12"/>
      <c r="BT16" s="12"/>
      <c r="BU16" s="12"/>
      <c r="BV16" s="12"/>
      <c r="BZ16" s="12"/>
      <c r="CA16" s="12"/>
      <c r="CB16" s="12"/>
      <c r="CC16" s="12"/>
      <c r="CG16" s="12"/>
      <c r="CH16" s="12"/>
      <c r="CI16" s="12"/>
      <c r="CJ16" s="12"/>
      <c r="CN16" s="12"/>
      <c r="CO16" s="12"/>
      <c r="CP16" s="12"/>
      <c r="CQ16" s="12"/>
      <c r="CU16" s="12"/>
      <c r="CV16" s="12"/>
      <c r="CW16" s="12"/>
      <c r="CX16" s="12"/>
      <c r="DB16" s="12"/>
      <c r="DC16" s="12"/>
      <c r="DD16" s="12"/>
      <c r="DE16" s="12"/>
      <c r="DI16" s="12"/>
      <c r="DJ16" s="12"/>
      <c r="DK16" s="12"/>
      <c r="DL16" s="12"/>
      <c r="DP16" s="12"/>
      <c r="DQ16" s="12"/>
      <c r="DR16" s="12"/>
      <c r="DS16" s="12"/>
      <c r="DX16" s="12"/>
      <c r="DY16" s="12"/>
      <c r="DZ16" s="12"/>
      <c r="EA16" s="12"/>
    </row>
    <row r="17" spans="2:131" collapsed="1">
      <c r="O17" s="9"/>
      <c r="V17" s="9"/>
      <c r="AC17" s="9"/>
      <c r="AJ17" s="9"/>
      <c r="AQ17" s="9"/>
      <c r="AX17" s="9"/>
      <c r="BE17" s="9"/>
      <c r="BL17" s="9"/>
      <c r="BS17" s="9"/>
      <c r="BZ17" s="9"/>
      <c r="CG17" s="9"/>
      <c r="CN17" s="9"/>
      <c r="CU17" s="9"/>
      <c r="DB17" s="9"/>
      <c r="DI17" s="9"/>
      <c r="DP17" s="9"/>
      <c r="DX17" s="9"/>
    </row>
    <row r="18" spans="2:131">
      <c r="B18" s="19" t="s">
        <v>28</v>
      </c>
      <c r="C18" s="19" t="s">
        <v>66</v>
      </c>
      <c r="D18" s="19"/>
      <c r="E18" s="11"/>
      <c r="G18" s="12">
        <f>+SUM(G19:G24)</f>
        <v>1</v>
      </c>
      <c r="I18" s="14">
        <f>+SUM(I19:I24)</f>
        <v>18</v>
      </c>
      <c r="J18" s="13">
        <f>+SUMPRODUCT(G19:G24,J19:J24)</f>
        <v>0</v>
      </c>
      <c r="K18" s="13">
        <f>+SUMPRODUCT(G19:G24,K19:K24)</f>
        <v>0</v>
      </c>
      <c r="L18" s="11"/>
      <c r="N18" s="14">
        <f>+SUM(N19:N24)</f>
        <v>3</v>
      </c>
      <c r="U18" s="14">
        <f>+SUM(U19:U24)</f>
        <v>3</v>
      </c>
      <c r="AB18" s="14">
        <f>+SUM(AB19:AB24)</f>
        <v>3</v>
      </c>
      <c r="AI18" s="14">
        <f>+SUM(AI19:AI24)</f>
        <v>3</v>
      </c>
      <c r="AP18" s="14">
        <f>+SUM(AP19:AP24)</f>
        <v>3</v>
      </c>
      <c r="BK18" s="14">
        <f>+SUM(BK19:BK24)</f>
        <v>0</v>
      </c>
      <c r="BR18" s="14">
        <f>+SUM(BR19:BR24)</f>
        <v>0</v>
      </c>
      <c r="BY18" s="14">
        <f>+SUM(BY19:BY24)</f>
        <v>0</v>
      </c>
      <c r="CF18" s="14">
        <f>+SUM(CF19:CF24)</f>
        <v>0</v>
      </c>
      <c r="CM18" s="14">
        <f>+SUM(CM19:CM24)</f>
        <v>0</v>
      </c>
      <c r="CT18" s="14">
        <f>+SUM(CT19:CT24)</f>
        <v>0</v>
      </c>
      <c r="DA18" s="14">
        <f>+SUM(DA19:DA24)</f>
        <v>0</v>
      </c>
      <c r="DH18" s="14">
        <f>+SUM(DH19:DH24)</f>
        <v>0</v>
      </c>
      <c r="DO18" s="14">
        <f>+SUM(DO19:DO24)</f>
        <v>0</v>
      </c>
      <c r="DW18" s="14">
        <f>+SUM(DW19:DW24)</f>
        <v>0</v>
      </c>
    </row>
    <row r="19" spans="2:131" ht="15.75" hidden="1" customHeight="1" outlineLevel="1">
      <c r="B19" t="s">
        <v>29</v>
      </c>
      <c r="C19" t="s">
        <v>55</v>
      </c>
      <c r="E19" s="11"/>
      <c r="F19" t="s">
        <v>72</v>
      </c>
      <c r="G19" s="12">
        <v>0.05</v>
      </c>
      <c r="I19" s="11">
        <f t="shared" ref="I19:I24" si="2">+SUMIF($N$3:$ZZ$3,I$3,$N19:$ZZ19)</f>
        <v>3</v>
      </c>
      <c r="J19" s="13">
        <f t="shared" ref="J19:K24" si="3">+_xlfn.MAXIFS($N19:$ZF19,$N$3:$ZF$3,J$3)</f>
        <v>0</v>
      </c>
      <c r="K19" s="13">
        <f t="shared" si="3"/>
        <v>0</v>
      </c>
      <c r="L19" s="11"/>
      <c r="N19">
        <v>1</v>
      </c>
      <c r="O19" s="12"/>
      <c r="P19" s="12">
        <v>0.5</v>
      </c>
      <c r="Q19" s="12"/>
      <c r="R19" s="12">
        <v>0.5</v>
      </c>
      <c r="V19" s="12"/>
      <c r="W19" s="12">
        <v>0.5</v>
      </c>
      <c r="X19" s="12"/>
      <c r="Y19" s="12">
        <v>0.5</v>
      </c>
      <c r="AB19">
        <v>1</v>
      </c>
      <c r="AC19" s="12"/>
      <c r="AD19" s="12">
        <v>0.8</v>
      </c>
      <c r="AE19" s="12"/>
      <c r="AF19" s="12">
        <v>0.8</v>
      </c>
      <c r="AJ19" s="12"/>
      <c r="AK19" s="12">
        <v>0.8</v>
      </c>
      <c r="AL19" s="12"/>
      <c r="AM19" s="12">
        <v>0.8</v>
      </c>
      <c r="AP19">
        <v>1</v>
      </c>
      <c r="AQ19" s="12"/>
      <c r="AR19" s="12">
        <v>1</v>
      </c>
      <c r="AS19" s="12"/>
      <c r="AT19" s="12">
        <v>1</v>
      </c>
      <c r="AX19" s="12"/>
      <c r="AY19" s="12">
        <v>1</v>
      </c>
      <c r="AZ19" s="12"/>
      <c r="BA19" s="12">
        <v>1</v>
      </c>
      <c r="BE19" s="12"/>
      <c r="BF19" s="12"/>
      <c r="BG19" s="12"/>
      <c r="BH19" s="12"/>
      <c r="BL19" s="12"/>
      <c r="BM19" s="12">
        <v>1</v>
      </c>
      <c r="BN19" s="12"/>
      <c r="BO19" s="12">
        <v>1</v>
      </c>
      <c r="BS19" s="12"/>
      <c r="BT19" s="12"/>
      <c r="BU19" s="12"/>
      <c r="BV19" s="12"/>
      <c r="BZ19" s="12"/>
      <c r="CA19" s="12"/>
      <c r="CB19" s="12"/>
      <c r="CC19" s="12"/>
      <c r="CG19" s="12"/>
      <c r="CH19" s="12"/>
      <c r="CI19" s="12"/>
      <c r="CJ19" s="12"/>
      <c r="CN19" s="12"/>
      <c r="CO19" s="12"/>
      <c r="CP19" s="12"/>
      <c r="CQ19" s="12"/>
      <c r="CU19" s="12"/>
      <c r="CV19" s="12"/>
      <c r="CW19" s="12"/>
      <c r="CX19" s="12"/>
      <c r="DB19" s="12"/>
      <c r="DC19" s="12"/>
      <c r="DD19" s="12"/>
      <c r="DE19" s="12"/>
      <c r="DI19" s="12"/>
      <c r="DJ19" s="12"/>
      <c r="DK19" s="12"/>
      <c r="DL19" s="12"/>
      <c r="DP19" s="12"/>
      <c r="DQ19" s="12"/>
      <c r="DR19" s="12"/>
      <c r="DS19" s="12"/>
      <c r="DX19" s="12"/>
      <c r="DY19" s="12"/>
      <c r="DZ19" s="12"/>
      <c r="EA19" s="12"/>
    </row>
    <row r="20" spans="2:131" ht="15.75" hidden="1" customHeight="1" outlineLevel="1">
      <c r="B20" t="s">
        <v>29</v>
      </c>
      <c r="C20" t="s">
        <v>55</v>
      </c>
      <c r="E20" s="11"/>
      <c r="F20" t="s">
        <v>73</v>
      </c>
      <c r="G20" s="12">
        <v>0.2</v>
      </c>
      <c r="I20" s="11">
        <f t="shared" si="2"/>
        <v>3</v>
      </c>
      <c r="J20" s="13">
        <f t="shared" si="3"/>
        <v>0</v>
      </c>
      <c r="K20" s="13">
        <f t="shared" si="3"/>
        <v>0</v>
      </c>
      <c r="L20" s="11"/>
      <c r="N20">
        <v>1</v>
      </c>
      <c r="O20" s="12"/>
      <c r="P20" s="12">
        <v>0.5</v>
      </c>
      <c r="Q20" s="12"/>
      <c r="R20" s="12">
        <v>0.5</v>
      </c>
      <c r="V20" s="12"/>
      <c r="W20" s="12">
        <v>0.5</v>
      </c>
      <c r="X20" s="12"/>
      <c r="Y20" s="12">
        <v>0.5</v>
      </c>
      <c r="AB20">
        <v>1</v>
      </c>
      <c r="AC20" s="12"/>
      <c r="AD20" s="12">
        <v>0.8</v>
      </c>
      <c r="AE20" s="12"/>
      <c r="AF20" s="12">
        <v>0.8</v>
      </c>
      <c r="AJ20" s="12"/>
      <c r="AK20" s="12">
        <v>0.8</v>
      </c>
      <c r="AL20" s="12"/>
      <c r="AM20" s="12">
        <v>0.8</v>
      </c>
      <c r="AP20">
        <v>1</v>
      </c>
      <c r="AQ20" s="12"/>
      <c r="AR20" s="12">
        <v>1</v>
      </c>
      <c r="AS20" s="12"/>
      <c r="AT20" s="12">
        <v>1</v>
      </c>
      <c r="AX20" s="12"/>
      <c r="AY20" s="12">
        <v>1</v>
      </c>
      <c r="AZ20" s="12"/>
      <c r="BA20" s="12">
        <v>1</v>
      </c>
      <c r="BE20" s="12"/>
      <c r="BF20" s="12"/>
      <c r="BG20" s="12"/>
      <c r="BH20" s="12"/>
      <c r="BL20" s="12"/>
      <c r="BM20" s="12">
        <v>1</v>
      </c>
      <c r="BN20" s="12"/>
      <c r="BO20" s="12">
        <v>1</v>
      </c>
      <c r="BS20" s="12"/>
      <c r="BT20" s="12"/>
      <c r="BU20" s="12"/>
      <c r="BV20" s="12"/>
      <c r="BZ20" s="12"/>
      <c r="CA20" s="12"/>
      <c r="CB20" s="12"/>
      <c r="CC20" s="12"/>
      <c r="CG20" s="12"/>
      <c r="CH20" s="12"/>
      <c r="CI20" s="12"/>
      <c r="CJ20" s="12"/>
      <c r="CN20" s="12"/>
      <c r="CO20" s="12"/>
      <c r="CP20" s="12"/>
      <c r="CQ20" s="12"/>
      <c r="CU20" s="12"/>
      <c r="CV20" s="12"/>
      <c r="CW20" s="12"/>
      <c r="CX20" s="12"/>
      <c r="DB20" s="12"/>
      <c r="DC20" s="12"/>
      <c r="DD20" s="12"/>
      <c r="DE20" s="12"/>
      <c r="DI20" s="12"/>
      <c r="DJ20" s="12"/>
      <c r="DK20" s="12"/>
      <c r="DL20" s="12"/>
      <c r="DP20" s="12"/>
      <c r="DQ20" s="12"/>
      <c r="DR20" s="12"/>
      <c r="DS20" s="12"/>
      <c r="DX20" s="12"/>
      <c r="DY20" s="12"/>
      <c r="DZ20" s="12"/>
      <c r="EA20" s="12"/>
    </row>
    <row r="21" spans="2:131" ht="15.75" hidden="1" customHeight="1" outlineLevel="1">
      <c r="B21" t="s">
        <v>29</v>
      </c>
      <c r="C21" t="s">
        <v>55</v>
      </c>
      <c r="E21" s="11"/>
      <c r="F21" t="s">
        <v>74</v>
      </c>
      <c r="G21" s="12">
        <v>0.2</v>
      </c>
      <c r="I21" s="11">
        <f t="shared" si="2"/>
        <v>3</v>
      </c>
      <c r="J21" s="13">
        <f t="shared" si="3"/>
        <v>0</v>
      </c>
      <c r="K21" s="13">
        <f t="shared" si="3"/>
        <v>0</v>
      </c>
      <c r="L21" s="11"/>
      <c r="N21">
        <v>1</v>
      </c>
      <c r="O21" s="12"/>
      <c r="P21" s="12">
        <v>0.5</v>
      </c>
      <c r="Q21" s="12"/>
      <c r="R21" s="12">
        <v>0.5</v>
      </c>
      <c r="V21" s="12"/>
      <c r="W21" s="12">
        <v>0.5</v>
      </c>
      <c r="X21" s="12"/>
      <c r="Y21" s="12">
        <v>0.5</v>
      </c>
      <c r="AB21">
        <v>1</v>
      </c>
      <c r="AC21" s="12"/>
      <c r="AD21" s="12">
        <v>0.8</v>
      </c>
      <c r="AE21" s="12"/>
      <c r="AF21" s="12">
        <v>0.8</v>
      </c>
      <c r="AJ21" s="12"/>
      <c r="AK21" s="12">
        <v>0.8</v>
      </c>
      <c r="AL21" s="12"/>
      <c r="AM21" s="12">
        <v>0.8</v>
      </c>
      <c r="AP21">
        <v>1</v>
      </c>
      <c r="AQ21" s="12"/>
      <c r="AR21" s="12">
        <v>1</v>
      </c>
      <c r="AS21" s="12"/>
      <c r="AT21" s="12">
        <v>1</v>
      </c>
      <c r="AX21" s="12"/>
      <c r="AY21" s="12">
        <v>1</v>
      </c>
      <c r="AZ21" s="12"/>
      <c r="BA21" s="12">
        <v>1</v>
      </c>
      <c r="BE21" s="12"/>
      <c r="BF21" s="12"/>
      <c r="BG21" s="12"/>
      <c r="BH21" s="12"/>
      <c r="BL21" s="12"/>
      <c r="BM21" s="12">
        <v>1</v>
      </c>
      <c r="BN21" s="12"/>
      <c r="BO21" s="12">
        <v>1</v>
      </c>
      <c r="BS21" s="12"/>
      <c r="BT21" s="12"/>
      <c r="BU21" s="12"/>
      <c r="BV21" s="12"/>
      <c r="BZ21" s="12"/>
      <c r="CA21" s="12"/>
      <c r="CB21" s="12"/>
      <c r="CC21" s="12"/>
      <c r="CG21" s="12"/>
      <c r="CH21" s="12"/>
      <c r="CI21" s="12"/>
      <c r="CJ21" s="12"/>
      <c r="CN21" s="12"/>
      <c r="CO21" s="12"/>
      <c r="CP21" s="12"/>
      <c r="CQ21" s="12"/>
      <c r="CU21" s="12"/>
      <c r="CV21" s="12"/>
      <c r="CW21" s="12"/>
      <c r="CX21" s="12"/>
      <c r="DB21" s="12"/>
      <c r="DC21" s="12"/>
      <c r="DD21" s="12"/>
      <c r="DE21" s="12"/>
      <c r="DI21" s="12"/>
      <c r="DJ21" s="12"/>
      <c r="DK21" s="12"/>
      <c r="DL21" s="12"/>
      <c r="DP21" s="12"/>
      <c r="DQ21" s="12"/>
      <c r="DR21" s="12"/>
      <c r="DS21" s="12"/>
      <c r="DX21" s="12"/>
      <c r="DY21" s="12"/>
      <c r="DZ21" s="12"/>
      <c r="EA21" s="12"/>
    </row>
    <row r="22" spans="2:131" ht="15.75" hidden="1" customHeight="1" outlineLevel="1">
      <c r="B22" t="s">
        <v>29</v>
      </c>
      <c r="C22" t="s">
        <v>55</v>
      </c>
      <c r="E22" s="11"/>
      <c r="F22" t="s">
        <v>77</v>
      </c>
      <c r="G22" s="12">
        <v>0.2</v>
      </c>
      <c r="I22" s="11">
        <f t="shared" si="2"/>
        <v>3</v>
      </c>
      <c r="J22" s="13">
        <f t="shared" si="3"/>
        <v>0</v>
      </c>
      <c r="K22" s="13">
        <f t="shared" si="3"/>
        <v>0</v>
      </c>
      <c r="L22" s="11"/>
      <c r="O22" s="12"/>
      <c r="P22" s="12"/>
      <c r="Q22" s="12"/>
      <c r="R22" s="12"/>
      <c r="U22">
        <v>1</v>
      </c>
      <c r="V22" s="12"/>
      <c r="W22" s="12">
        <v>0.5</v>
      </c>
      <c r="X22" s="12"/>
      <c r="Y22" s="12">
        <v>0.5</v>
      </c>
      <c r="AC22" s="12"/>
      <c r="AD22" s="12">
        <v>0.5</v>
      </c>
      <c r="AE22" s="12"/>
      <c r="AF22" s="12">
        <v>0.5</v>
      </c>
      <c r="AI22">
        <v>1</v>
      </c>
      <c r="AJ22" s="12"/>
      <c r="AK22" s="12">
        <v>0.8</v>
      </c>
      <c r="AL22" s="12"/>
      <c r="AM22" s="12">
        <v>0.8</v>
      </c>
      <c r="AQ22" s="12"/>
      <c r="AR22" s="12">
        <v>0.8</v>
      </c>
      <c r="AS22" s="12"/>
      <c r="AT22" s="12">
        <v>0.8</v>
      </c>
      <c r="AW22">
        <v>1</v>
      </c>
      <c r="AX22" s="12"/>
      <c r="AY22" s="12">
        <v>1</v>
      </c>
      <c r="AZ22" s="12"/>
      <c r="BA22" s="12">
        <v>1</v>
      </c>
      <c r="BE22" s="12"/>
      <c r="BF22" s="12"/>
      <c r="BG22" s="12"/>
      <c r="BH22" s="12"/>
      <c r="BL22" s="12"/>
      <c r="BM22" s="12">
        <v>1</v>
      </c>
      <c r="BN22" s="12"/>
      <c r="BO22" s="12">
        <v>1</v>
      </c>
      <c r="BS22" s="12"/>
      <c r="BT22" s="12"/>
      <c r="BU22" s="12"/>
      <c r="BV22" s="12"/>
      <c r="BZ22" s="12"/>
      <c r="CA22" s="12"/>
      <c r="CB22" s="12"/>
      <c r="CC22" s="12"/>
      <c r="CG22" s="12"/>
      <c r="CH22" s="12"/>
      <c r="CI22" s="12"/>
      <c r="CJ22" s="12"/>
      <c r="CN22" s="12"/>
      <c r="CO22" s="12"/>
      <c r="CP22" s="12"/>
      <c r="CQ22" s="12"/>
      <c r="CU22" s="12"/>
      <c r="CV22" s="12"/>
      <c r="CW22" s="12"/>
      <c r="CX22" s="12"/>
      <c r="DB22" s="12"/>
      <c r="DC22" s="12"/>
      <c r="DD22" s="12"/>
      <c r="DE22" s="12"/>
      <c r="DI22" s="12"/>
      <c r="DJ22" s="12"/>
      <c r="DK22" s="12"/>
      <c r="DL22" s="12"/>
      <c r="DP22" s="12"/>
      <c r="DQ22" s="12"/>
      <c r="DR22" s="12"/>
      <c r="DS22" s="12"/>
      <c r="DX22" s="12"/>
      <c r="DY22" s="12"/>
      <c r="DZ22" s="12"/>
      <c r="EA22" s="12"/>
    </row>
    <row r="23" spans="2:131" ht="15.75" hidden="1" customHeight="1" outlineLevel="1">
      <c r="B23" t="s">
        <v>29</v>
      </c>
      <c r="C23" t="s">
        <v>55</v>
      </c>
      <c r="E23" s="11"/>
      <c r="F23" t="s">
        <v>75</v>
      </c>
      <c r="G23" s="12">
        <v>0.2</v>
      </c>
      <c r="I23" s="11">
        <f t="shared" si="2"/>
        <v>3</v>
      </c>
      <c r="J23" s="13">
        <f t="shared" si="3"/>
        <v>0</v>
      </c>
      <c r="K23" s="13">
        <f t="shared" si="3"/>
        <v>0</v>
      </c>
      <c r="L23" s="11"/>
      <c r="O23" s="12"/>
      <c r="P23" s="12"/>
      <c r="Q23" s="12"/>
      <c r="R23" s="12"/>
      <c r="U23">
        <v>1</v>
      </c>
      <c r="V23" s="12"/>
      <c r="W23" s="12">
        <v>0.5</v>
      </c>
      <c r="X23" s="12"/>
      <c r="Y23" s="12">
        <v>0.5</v>
      </c>
      <c r="AC23" s="12"/>
      <c r="AD23" s="12">
        <v>0.5</v>
      </c>
      <c r="AE23" s="12"/>
      <c r="AF23" s="12">
        <v>0.5</v>
      </c>
      <c r="AI23">
        <v>1</v>
      </c>
      <c r="AJ23" s="12"/>
      <c r="AK23" s="12">
        <v>0.8</v>
      </c>
      <c r="AL23" s="12"/>
      <c r="AM23" s="12">
        <v>0.8</v>
      </c>
      <c r="AQ23" s="12"/>
      <c r="AR23" s="12">
        <v>0.8</v>
      </c>
      <c r="AS23" s="12"/>
      <c r="AT23" s="12">
        <v>0.8</v>
      </c>
      <c r="AW23">
        <v>1</v>
      </c>
      <c r="AX23" s="12"/>
      <c r="AY23" s="12">
        <v>1</v>
      </c>
      <c r="AZ23" s="12"/>
      <c r="BA23" s="12">
        <v>1</v>
      </c>
      <c r="BE23" s="12"/>
      <c r="BF23" s="12"/>
      <c r="BG23" s="12"/>
      <c r="BH23" s="12"/>
      <c r="BL23" s="12"/>
      <c r="BM23" s="12">
        <v>1</v>
      </c>
      <c r="BN23" s="12"/>
      <c r="BO23" s="12">
        <v>1</v>
      </c>
      <c r="BS23" s="12"/>
      <c r="BT23" s="12"/>
      <c r="BU23" s="12"/>
      <c r="BV23" s="12"/>
      <c r="BZ23" s="12"/>
      <c r="CA23" s="12"/>
      <c r="CB23" s="12"/>
      <c r="CC23" s="12"/>
      <c r="CG23" s="12"/>
      <c r="CH23" s="12"/>
      <c r="CI23" s="12"/>
      <c r="CJ23" s="12"/>
      <c r="CN23" s="12"/>
      <c r="CO23" s="12"/>
      <c r="CP23" s="12"/>
      <c r="CQ23" s="12"/>
      <c r="CU23" s="12"/>
      <c r="CV23" s="12"/>
      <c r="CW23" s="12"/>
      <c r="CX23" s="12"/>
      <c r="DB23" s="12"/>
      <c r="DC23" s="12"/>
      <c r="DD23" s="12"/>
      <c r="DE23" s="12"/>
      <c r="DI23" s="12"/>
      <c r="DJ23" s="12"/>
      <c r="DK23" s="12"/>
      <c r="DL23" s="12"/>
      <c r="DP23" s="12"/>
      <c r="DQ23" s="12"/>
      <c r="DR23" s="12"/>
      <c r="DS23" s="12"/>
      <c r="DX23" s="12"/>
      <c r="DY23" s="12"/>
      <c r="DZ23" s="12"/>
      <c r="EA23" s="12"/>
    </row>
    <row r="24" spans="2:131" ht="15.75" hidden="1" customHeight="1" outlineLevel="1">
      <c r="B24" t="s">
        <v>29</v>
      </c>
      <c r="C24" t="s">
        <v>55</v>
      </c>
      <c r="E24" s="11"/>
      <c r="F24" t="s">
        <v>76</v>
      </c>
      <c r="G24" s="12">
        <v>0.15</v>
      </c>
      <c r="I24" s="11">
        <f t="shared" si="2"/>
        <v>3</v>
      </c>
      <c r="J24" s="13">
        <f t="shared" si="3"/>
        <v>0</v>
      </c>
      <c r="K24" s="13">
        <f t="shared" si="3"/>
        <v>0</v>
      </c>
      <c r="L24" s="11"/>
      <c r="O24" s="12"/>
      <c r="P24" s="12"/>
      <c r="Q24" s="12"/>
      <c r="R24" s="12"/>
      <c r="U24">
        <v>1</v>
      </c>
      <c r="V24" s="12"/>
      <c r="W24" s="12">
        <v>0.5</v>
      </c>
      <c r="X24" s="12"/>
      <c r="Y24" s="12">
        <v>0.5</v>
      </c>
      <c r="AC24" s="12"/>
      <c r="AD24" s="12">
        <v>0.5</v>
      </c>
      <c r="AE24" s="12"/>
      <c r="AF24" s="12">
        <v>0.5</v>
      </c>
      <c r="AI24">
        <v>1</v>
      </c>
      <c r="AJ24" s="12"/>
      <c r="AK24" s="12">
        <v>0.8</v>
      </c>
      <c r="AL24" s="12"/>
      <c r="AM24" s="12">
        <v>0.8</v>
      </c>
      <c r="AQ24" s="12"/>
      <c r="AR24" s="12">
        <v>0.8</v>
      </c>
      <c r="AS24" s="12"/>
      <c r="AT24" s="12">
        <v>0.8</v>
      </c>
      <c r="AW24">
        <v>1</v>
      </c>
      <c r="AX24" s="12"/>
      <c r="AY24" s="12">
        <v>1</v>
      </c>
      <c r="AZ24" s="12"/>
      <c r="BA24" s="12">
        <v>1</v>
      </c>
      <c r="BE24" s="12"/>
      <c r="BF24" s="12"/>
      <c r="BG24" s="12"/>
      <c r="BH24" s="12"/>
      <c r="BL24" s="12"/>
      <c r="BM24" s="12">
        <v>1</v>
      </c>
      <c r="BN24" s="12"/>
      <c r="BO24" s="12">
        <v>1</v>
      </c>
      <c r="BS24" s="12"/>
      <c r="BT24" s="12"/>
      <c r="BU24" s="12"/>
      <c r="BV24" s="12"/>
      <c r="BZ24" s="12"/>
      <c r="CA24" s="12"/>
      <c r="CB24" s="12"/>
      <c r="CC24" s="12"/>
      <c r="CG24" s="12"/>
      <c r="CH24" s="12"/>
      <c r="CI24" s="12"/>
      <c r="CJ24" s="12"/>
      <c r="CN24" s="12"/>
      <c r="CO24" s="12"/>
      <c r="CP24" s="12"/>
      <c r="CQ24" s="12"/>
      <c r="CU24" s="12"/>
      <c r="CV24" s="12"/>
      <c r="CW24" s="12"/>
      <c r="CX24" s="12"/>
      <c r="DB24" s="12"/>
      <c r="DC24" s="12"/>
      <c r="DD24" s="12"/>
      <c r="DE24" s="12"/>
      <c r="DI24" s="12"/>
      <c r="DJ24" s="12"/>
      <c r="DK24" s="12"/>
      <c r="DL24" s="12"/>
      <c r="DP24" s="12"/>
      <c r="DQ24" s="12"/>
      <c r="DR24" s="12"/>
      <c r="DS24" s="12"/>
      <c r="DX24" s="12"/>
      <c r="DY24" s="12"/>
      <c r="DZ24" s="12"/>
      <c r="EA24" s="12"/>
    </row>
    <row r="25" spans="2:131" collapsed="1"/>
    <row r="26" spans="2:131">
      <c r="B26" s="19" t="s">
        <v>28</v>
      </c>
      <c r="C26" s="19" t="s">
        <v>67</v>
      </c>
      <c r="D26" s="19"/>
      <c r="E26" s="11"/>
      <c r="G26" s="12">
        <f>+SUM(G27:G32)</f>
        <v>1</v>
      </c>
      <c r="I26" s="14">
        <f>+SUM(I27:I32)</f>
        <v>38</v>
      </c>
      <c r="J26" s="13">
        <f>+SUMPRODUCT(G27:G32,J27:J32)</f>
        <v>0</v>
      </c>
      <c r="K26" s="13">
        <f>+SUMPRODUCT(G27:G32,K27:K32)</f>
        <v>0</v>
      </c>
      <c r="L26" s="11"/>
      <c r="N26" s="14">
        <f>+SUM(N27:N32)</f>
        <v>3</v>
      </c>
      <c r="U26" s="14">
        <f>+SUM(U27:U32)</f>
        <v>3</v>
      </c>
      <c r="AB26" s="14">
        <f>+SUM(AB27:AB32)</f>
        <v>3</v>
      </c>
      <c r="AI26" s="14">
        <f>+SUM(AI27:AI32)</f>
        <v>3</v>
      </c>
      <c r="AP26" s="14">
        <f>+SUM(AP27:AP32)</f>
        <v>3</v>
      </c>
      <c r="BK26" s="14">
        <f>+SUM(BK27:BK32)</f>
        <v>2</v>
      </c>
      <c r="BR26" s="14">
        <f>+SUM(BR27:BR32)</f>
        <v>2</v>
      </c>
      <c r="BY26" s="14">
        <f>+SUM(BY27:BY32)</f>
        <v>2</v>
      </c>
      <c r="CF26" s="14">
        <f>+SUM(CF27:CF32)</f>
        <v>2</v>
      </c>
      <c r="CM26" s="14">
        <f>+SUM(CM27:CM32)</f>
        <v>2</v>
      </c>
      <c r="CT26" s="14">
        <f>+SUM(CT27:CT32)</f>
        <v>2</v>
      </c>
      <c r="DA26" s="14">
        <f>+SUM(DA27:DA32)</f>
        <v>2</v>
      </c>
      <c r="DH26" s="14">
        <f>+SUM(DH27:DH32)</f>
        <v>2</v>
      </c>
      <c r="DO26" s="14">
        <f>+SUM(DO27:DO32)</f>
        <v>2</v>
      </c>
      <c r="DW26" s="14">
        <f>+SUM(DW27:DW32)</f>
        <v>2</v>
      </c>
    </row>
    <row r="27" spans="2:131" ht="15.75" hidden="1" customHeight="1" outlineLevel="1">
      <c r="B27" t="s">
        <v>29</v>
      </c>
      <c r="E27" s="11"/>
      <c r="F27" t="s">
        <v>31</v>
      </c>
      <c r="G27" s="12">
        <v>0.1</v>
      </c>
      <c r="I27" s="11">
        <f t="shared" ref="I27:I32" si="4">+SUMIF($N$3:$ZZ$3,I$3,$N27:$ZZ27)</f>
        <v>21</v>
      </c>
      <c r="J27" s="13">
        <f t="shared" ref="J27:K32" si="5">+_xlfn.MAXIFS($N27:$ZF27,$N$3:$ZF$3,J$3)</f>
        <v>0</v>
      </c>
      <c r="K27" s="13">
        <f t="shared" si="5"/>
        <v>0</v>
      </c>
      <c r="L27" s="11"/>
      <c r="N27">
        <v>1</v>
      </c>
      <c r="O27" s="12"/>
      <c r="P27" s="12">
        <v>0.5</v>
      </c>
      <c r="Q27" s="12"/>
      <c r="R27" s="12">
        <v>0.5</v>
      </c>
      <c r="V27" s="12"/>
      <c r="W27" s="12">
        <v>0.5</v>
      </c>
      <c r="X27" s="12"/>
      <c r="Y27" s="12">
        <v>0.5</v>
      </c>
      <c r="AB27">
        <v>1</v>
      </c>
      <c r="AC27" s="12"/>
      <c r="AD27" s="12">
        <v>0.8</v>
      </c>
      <c r="AE27" s="12"/>
      <c r="AF27" s="12">
        <v>0.8</v>
      </c>
      <c r="AJ27" s="12"/>
      <c r="AK27" s="12">
        <v>0.8</v>
      </c>
      <c r="AL27" s="12"/>
      <c r="AM27" s="12">
        <v>0.8</v>
      </c>
      <c r="AP27">
        <v>1</v>
      </c>
      <c r="AQ27" s="12"/>
      <c r="AR27" s="12">
        <v>1</v>
      </c>
      <c r="AS27" s="12"/>
      <c r="AT27" s="12">
        <v>1</v>
      </c>
      <c r="AX27" s="12"/>
      <c r="AY27" s="12">
        <v>1</v>
      </c>
      <c r="AZ27" s="12"/>
      <c r="BA27" s="12">
        <v>1</v>
      </c>
      <c r="BE27" s="12"/>
      <c r="BF27" s="12"/>
      <c r="BG27" s="12"/>
      <c r="BH27" s="12"/>
      <c r="BK27">
        <v>0</v>
      </c>
      <c r="BL27" s="12"/>
      <c r="BM27" s="12">
        <v>1</v>
      </c>
      <c r="BN27" s="12"/>
      <c r="BO27" s="12">
        <v>1</v>
      </c>
      <c r="BR27">
        <v>2</v>
      </c>
      <c r="BS27" s="12"/>
      <c r="BT27" s="12">
        <v>0.8</v>
      </c>
      <c r="BU27" s="12"/>
      <c r="BV27" s="12">
        <v>0.8</v>
      </c>
      <c r="BY27">
        <v>2</v>
      </c>
      <c r="BZ27" s="12"/>
      <c r="CA27" s="12">
        <v>0.8</v>
      </c>
      <c r="CB27" s="12"/>
      <c r="CC27" s="12">
        <v>0.8</v>
      </c>
      <c r="CF27">
        <v>2</v>
      </c>
      <c r="CG27" s="12"/>
      <c r="CH27" s="12">
        <v>0.8</v>
      </c>
      <c r="CI27" s="12"/>
      <c r="CJ27" s="12">
        <v>0.8</v>
      </c>
      <c r="CM27">
        <v>2</v>
      </c>
      <c r="CN27" s="12"/>
      <c r="CO27" s="12">
        <v>0.8</v>
      </c>
      <c r="CP27" s="12"/>
      <c r="CQ27" s="12">
        <v>0.8</v>
      </c>
      <c r="CT27">
        <v>2</v>
      </c>
      <c r="CU27" s="12"/>
      <c r="CV27" s="12">
        <v>0.8</v>
      </c>
      <c r="CW27" s="12"/>
      <c r="CX27" s="12">
        <v>0.8</v>
      </c>
      <c r="DA27">
        <v>2</v>
      </c>
      <c r="DB27" s="12"/>
      <c r="DC27" s="12">
        <v>0.8</v>
      </c>
      <c r="DD27" s="12"/>
      <c r="DE27" s="12">
        <v>0.8</v>
      </c>
      <c r="DH27">
        <v>2</v>
      </c>
      <c r="DI27" s="12"/>
      <c r="DJ27" s="12">
        <v>0.8</v>
      </c>
      <c r="DK27" s="12"/>
      <c r="DL27" s="12">
        <v>0.8</v>
      </c>
      <c r="DO27">
        <v>2</v>
      </c>
      <c r="DP27" s="12"/>
      <c r="DQ27" s="12">
        <v>0.8</v>
      </c>
      <c r="DR27" s="12"/>
      <c r="DS27" s="12">
        <v>0.8</v>
      </c>
      <c r="DW27">
        <v>2</v>
      </c>
      <c r="DX27" s="12"/>
      <c r="DY27" s="12">
        <v>0.8</v>
      </c>
      <c r="DZ27" s="12"/>
      <c r="EA27" s="12">
        <v>0.8</v>
      </c>
    </row>
    <row r="28" spans="2:131" ht="15.75" hidden="1" customHeight="1" outlineLevel="1">
      <c r="B28" t="s">
        <v>29</v>
      </c>
      <c r="E28" s="11"/>
      <c r="F28" t="s">
        <v>78</v>
      </c>
      <c r="G28" s="12">
        <v>0.05</v>
      </c>
      <c r="I28" s="11">
        <f t="shared" si="4"/>
        <v>3</v>
      </c>
      <c r="J28" s="13">
        <f t="shared" si="5"/>
        <v>0</v>
      </c>
      <c r="K28" s="13">
        <f t="shared" si="5"/>
        <v>0</v>
      </c>
      <c r="L28" s="11"/>
      <c r="N28">
        <v>1</v>
      </c>
      <c r="O28" s="12"/>
      <c r="P28" s="12">
        <v>0.5</v>
      </c>
      <c r="Q28" s="12"/>
      <c r="R28" s="12">
        <v>0.5</v>
      </c>
      <c r="V28" s="12"/>
      <c r="W28" s="12">
        <v>0.5</v>
      </c>
      <c r="X28" s="12"/>
      <c r="Y28" s="12">
        <v>0.5</v>
      </c>
      <c r="AB28">
        <v>1</v>
      </c>
      <c r="AC28" s="12"/>
      <c r="AD28" s="12">
        <v>0.8</v>
      </c>
      <c r="AE28" s="12"/>
      <c r="AF28" s="12">
        <v>0.8</v>
      </c>
      <c r="AJ28" s="12"/>
      <c r="AK28" s="12">
        <v>0.8</v>
      </c>
      <c r="AL28" s="12"/>
      <c r="AM28" s="12">
        <v>0.8</v>
      </c>
      <c r="AP28">
        <v>1</v>
      </c>
      <c r="AQ28" s="12"/>
      <c r="AR28" s="12">
        <v>1</v>
      </c>
      <c r="AS28" s="12"/>
      <c r="AT28" s="12">
        <v>1</v>
      </c>
      <c r="AX28" s="12"/>
      <c r="AY28" s="12">
        <v>1</v>
      </c>
      <c r="AZ28" s="12"/>
      <c r="BA28" s="12">
        <v>1</v>
      </c>
      <c r="BE28" s="12"/>
      <c r="BF28" s="12"/>
      <c r="BG28" s="12"/>
      <c r="BH28" s="12"/>
      <c r="BK28">
        <v>0</v>
      </c>
      <c r="BL28" s="12"/>
      <c r="BM28" s="12">
        <v>1</v>
      </c>
      <c r="BN28" s="12"/>
      <c r="BO28" s="12">
        <v>1</v>
      </c>
      <c r="BS28" s="12"/>
      <c r="BT28" s="12">
        <v>0.8</v>
      </c>
      <c r="BU28" s="12"/>
      <c r="BV28" s="12">
        <v>0.8</v>
      </c>
      <c r="BZ28" s="12"/>
      <c r="CA28" s="12">
        <v>0.8</v>
      </c>
      <c r="CB28" s="12"/>
      <c r="CC28" s="12">
        <v>0.8</v>
      </c>
      <c r="CG28" s="12"/>
      <c r="CH28" s="12">
        <v>0.8</v>
      </c>
      <c r="CI28" s="12"/>
      <c r="CJ28" s="12">
        <v>0.8</v>
      </c>
      <c r="CN28" s="12"/>
      <c r="CO28" s="12">
        <v>0.8</v>
      </c>
      <c r="CP28" s="12"/>
      <c r="CQ28" s="12">
        <v>0.8</v>
      </c>
      <c r="CU28" s="12"/>
      <c r="CV28" s="12">
        <v>0.8</v>
      </c>
      <c r="CW28" s="12"/>
      <c r="CX28" s="12">
        <v>0.8</v>
      </c>
      <c r="DB28" s="12"/>
      <c r="DC28" s="12">
        <v>0.8</v>
      </c>
      <c r="DD28" s="12"/>
      <c r="DE28" s="12">
        <v>0.8</v>
      </c>
      <c r="DI28" s="12"/>
      <c r="DJ28" s="12">
        <v>0.8</v>
      </c>
      <c r="DK28" s="12"/>
      <c r="DL28" s="12">
        <v>0.8</v>
      </c>
      <c r="DP28" s="12"/>
      <c r="DQ28" s="12">
        <v>0.8</v>
      </c>
      <c r="DR28" s="12"/>
      <c r="DS28" s="12">
        <v>0.8</v>
      </c>
      <c r="DX28" s="12"/>
      <c r="DY28" s="12">
        <v>0.8</v>
      </c>
      <c r="DZ28" s="12"/>
      <c r="EA28" s="12">
        <v>0.8</v>
      </c>
    </row>
    <row r="29" spans="2:131" ht="15.75" hidden="1" customHeight="1" outlineLevel="1">
      <c r="B29" t="s">
        <v>29</v>
      </c>
      <c r="E29" s="11"/>
      <c r="F29" t="s">
        <v>79</v>
      </c>
      <c r="G29" s="12">
        <v>0.2</v>
      </c>
      <c r="I29" s="11">
        <f t="shared" si="4"/>
        <v>3</v>
      </c>
      <c r="J29" s="13">
        <f t="shared" si="5"/>
        <v>0</v>
      </c>
      <c r="K29" s="13">
        <f t="shared" si="5"/>
        <v>0</v>
      </c>
      <c r="L29" s="11"/>
      <c r="N29">
        <v>1</v>
      </c>
      <c r="O29" s="12"/>
      <c r="P29" s="12">
        <v>0.5</v>
      </c>
      <c r="Q29" s="12"/>
      <c r="R29" s="12">
        <v>0.5</v>
      </c>
      <c r="V29" s="12"/>
      <c r="W29" s="12">
        <v>0.5</v>
      </c>
      <c r="X29" s="12"/>
      <c r="Y29" s="12">
        <v>0.5</v>
      </c>
      <c r="AB29">
        <v>1</v>
      </c>
      <c r="AC29" s="12"/>
      <c r="AD29" s="12">
        <v>0.8</v>
      </c>
      <c r="AE29" s="12"/>
      <c r="AF29" s="12">
        <v>0.8</v>
      </c>
      <c r="AJ29" s="12"/>
      <c r="AK29" s="12">
        <v>0.8</v>
      </c>
      <c r="AL29" s="12"/>
      <c r="AM29" s="12">
        <v>0.8</v>
      </c>
      <c r="AP29">
        <v>1</v>
      </c>
      <c r="AQ29" s="12"/>
      <c r="AR29" s="12">
        <v>1</v>
      </c>
      <c r="AS29" s="12"/>
      <c r="AT29" s="12">
        <v>1</v>
      </c>
      <c r="AX29" s="12"/>
      <c r="AY29" s="12">
        <v>1</v>
      </c>
      <c r="AZ29" s="12"/>
      <c r="BA29" s="12">
        <v>1</v>
      </c>
      <c r="BE29" s="12"/>
      <c r="BF29" s="12"/>
      <c r="BG29" s="12"/>
      <c r="BH29" s="12"/>
      <c r="BK29">
        <v>0</v>
      </c>
      <c r="BL29" s="12"/>
      <c r="BM29" s="12">
        <v>1</v>
      </c>
      <c r="BN29" s="12"/>
      <c r="BO29" s="12">
        <v>1</v>
      </c>
      <c r="BS29" s="12"/>
      <c r="BT29" s="12">
        <v>0.5</v>
      </c>
      <c r="BU29" s="12"/>
      <c r="BV29" s="12">
        <v>0.5</v>
      </c>
      <c r="BZ29" s="12"/>
      <c r="CA29" s="12">
        <v>0.5</v>
      </c>
      <c r="CB29" s="12"/>
      <c r="CC29" s="12">
        <v>0.5</v>
      </c>
      <c r="CG29" s="12"/>
      <c r="CH29" s="12">
        <v>0.5</v>
      </c>
      <c r="CI29" s="12"/>
      <c r="CJ29" s="12">
        <v>0.5</v>
      </c>
      <c r="CN29" s="12"/>
      <c r="CO29" s="12">
        <v>0.5</v>
      </c>
      <c r="CP29" s="12"/>
      <c r="CQ29" s="12">
        <v>0.5</v>
      </c>
      <c r="CU29" s="12"/>
      <c r="CV29" s="12">
        <v>0.5</v>
      </c>
      <c r="CW29" s="12"/>
      <c r="CX29" s="12">
        <v>0.5</v>
      </c>
      <c r="DB29" s="12"/>
      <c r="DC29" s="12">
        <v>0.5</v>
      </c>
      <c r="DD29" s="12"/>
      <c r="DE29" s="12">
        <v>0.5</v>
      </c>
      <c r="DI29" s="12"/>
      <c r="DJ29" s="12">
        <v>0.5</v>
      </c>
      <c r="DK29" s="12"/>
      <c r="DL29" s="12">
        <v>0.5</v>
      </c>
      <c r="DP29" s="12"/>
      <c r="DQ29" s="12">
        <v>0.5</v>
      </c>
      <c r="DR29" s="12"/>
      <c r="DS29" s="12">
        <v>0.5</v>
      </c>
      <c r="DX29" s="12"/>
      <c r="DY29" s="12">
        <v>0.5</v>
      </c>
      <c r="DZ29" s="12"/>
      <c r="EA29" s="12">
        <v>0.5</v>
      </c>
    </row>
    <row r="30" spans="2:131" ht="15.75" hidden="1" customHeight="1" outlineLevel="1">
      <c r="B30" t="s">
        <v>29</v>
      </c>
      <c r="E30" s="11"/>
      <c r="F30" t="s">
        <v>80</v>
      </c>
      <c r="G30" s="12">
        <v>0.3</v>
      </c>
      <c r="I30" s="11">
        <f t="shared" si="4"/>
        <v>3</v>
      </c>
      <c r="J30" s="13">
        <f t="shared" si="5"/>
        <v>0</v>
      </c>
      <c r="K30" s="13">
        <f t="shared" si="5"/>
        <v>0</v>
      </c>
      <c r="L30" s="11"/>
      <c r="O30" s="12"/>
      <c r="P30" s="12"/>
      <c r="Q30" s="12"/>
      <c r="R30" s="12"/>
      <c r="U30">
        <v>1</v>
      </c>
      <c r="V30" s="12"/>
      <c r="W30" s="12">
        <v>0.5</v>
      </c>
      <c r="X30" s="12"/>
      <c r="Y30" s="12">
        <v>0.5</v>
      </c>
      <c r="AC30" s="12"/>
      <c r="AD30" s="12">
        <v>0.5</v>
      </c>
      <c r="AE30" s="12"/>
      <c r="AF30" s="12">
        <v>0.5</v>
      </c>
      <c r="AI30">
        <v>1</v>
      </c>
      <c r="AJ30" s="12"/>
      <c r="AK30" s="12">
        <v>0.8</v>
      </c>
      <c r="AL30" s="12"/>
      <c r="AM30" s="12">
        <v>0.8</v>
      </c>
      <c r="AQ30" s="12"/>
      <c r="AR30" s="12">
        <v>0.8</v>
      </c>
      <c r="AS30" s="12"/>
      <c r="AT30" s="12">
        <v>0.8</v>
      </c>
      <c r="AW30">
        <v>1</v>
      </c>
      <c r="AX30" s="12"/>
      <c r="AY30" s="12">
        <v>1</v>
      </c>
      <c r="AZ30" s="12"/>
      <c r="BA30" s="12">
        <v>1</v>
      </c>
      <c r="BE30" s="12"/>
      <c r="BF30" s="12"/>
      <c r="BG30" s="12"/>
      <c r="BH30" s="12"/>
      <c r="BK30">
        <v>0</v>
      </c>
      <c r="BL30" s="12"/>
      <c r="BM30" s="12">
        <v>1</v>
      </c>
      <c r="BN30" s="12"/>
      <c r="BO30" s="12">
        <v>1</v>
      </c>
      <c r="BS30" s="12"/>
      <c r="BT30" s="12">
        <v>0.5</v>
      </c>
      <c r="BU30" s="12"/>
      <c r="BV30" s="12">
        <v>0.5</v>
      </c>
      <c r="BZ30" s="12"/>
      <c r="CA30" s="12">
        <v>0.5</v>
      </c>
      <c r="CB30" s="12"/>
      <c r="CC30" s="12">
        <v>0.5</v>
      </c>
      <c r="CG30" s="12"/>
      <c r="CH30" s="12">
        <v>0.5</v>
      </c>
      <c r="CI30" s="12"/>
      <c r="CJ30" s="12">
        <v>0.5</v>
      </c>
      <c r="CN30" s="12"/>
      <c r="CO30" s="12">
        <v>0.5</v>
      </c>
      <c r="CP30" s="12"/>
      <c r="CQ30" s="12">
        <v>0.5</v>
      </c>
      <c r="CU30" s="12"/>
      <c r="CV30" s="12">
        <v>0.5</v>
      </c>
      <c r="CW30" s="12"/>
      <c r="CX30" s="12">
        <v>0.5</v>
      </c>
      <c r="DB30" s="12"/>
      <c r="DC30" s="12">
        <v>0.5</v>
      </c>
      <c r="DD30" s="12"/>
      <c r="DE30" s="12">
        <v>0.5</v>
      </c>
      <c r="DI30" s="12"/>
      <c r="DJ30" s="12">
        <v>0.5</v>
      </c>
      <c r="DK30" s="12"/>
      <c r="DL30" s="12">
        <v>0.5</v>
      </c>
      <c r="DP30" s="12"/>
      <c r="DQ30" s="12">
        <v>0.5</v>
      </c>
      <c r="DR30" s="12"/>
      <c r="DS30" s="12">
        <v>0.5</v>
      </c>
      <c r="DX30" s="12"/>
      <c r="DY30" s="12">
        <v>0.5</v>
      </c>
      <c r="DZ30" s="12"/>
      <c r="EA30" s="12">
        <v>0.5</v>
      </c>
    </row>
    <row r="31" spans="2:131" ht="15.75" hidden="1" customHeight="1" outlineLevel="1">
      <c r="B31" t="s">
        <v>29</v>
      </c>
      <c r="E31" s="11"/>
      <c r="F31" t="s">
        <v>81</v>
      </c>
      <c r="G31" s="12">
        <v>0.3</v>
      </c>
      <c r="I31" s="11">
        <f t="shared" si="4"/>
        <v>3</v>
      </c>
      <c r="J31" s="13">
        <f t="shared" si="5"/>
        <v>0</v>
      </c>
      <c r="K31" s="13">
        <f t="shared" si="5"/>
        <v>0</v>
      </c>
      <c r="L31" s="11"/>
      <c r="O31" s="12"/>
      <c r="P31" s="12"/>
      <c r="Q31" s="12"/>
      <c r="R31" s="12"/>
      <c r="U31">
        <v>1</v>
      </c>
      <c r="V31" s="12"/>
      <c r="W31" s="12">
        <v>0.5</v>
      </c>
      <c r="X31" s="12"/>
      <c r="Y31" s="12">
        <v>0.5</v>
      </c>
      <c r="AC31" s="12"/>
      <c r="AD31" s="12">
        <v>0.5</v>
      </c>
      <c r="AE31" s="12"/>
      <c r="AF31" s="12">
        <v>0.5</v>
      </c>
      <c r="AI31">
        <v>1</v>
      </c>
      <c r="AJ31" s="12"/>
      <c r="AK31" s="12">
        <v>0.8</v>
      </c>
      <c r="AL31" s="12"/>
      <c r="AM31" s="12">
        <v>0.8</v>
      </c>
      <c r="AQ31" s="12"/>
      <c r="AR31" s="12">
        <v>0.8</v>
      </c>
      <c r="AS31" s="12"/>
      <c r="AT31" s="12">
        <v>0.8</v>
      </c>
      <c r="AW31">
        <v>1</v>
      </c>
      <c r="AX31" s="12"/>
      <c r="AY31" s="12">
        <v>1</v>
      </c>
      <c r="AZ31" s="12"/>
      <c r="BA31" s="12">
        <v>1</v>
      </c>
      <c r="BE31" s="12"/>
      <c r="BF31" s="12"/>
      <c r="BG31" s="12"/>
      <c r="BH31" s="12"/>
      <c r="BK31">
        <v>0</v>
      </c>
      <c r="BL31" s="12"/>
      <c r="BM31" s="12">
        <v>1</v>
      </c>
      <c r="BN31" s="12"/>
      <c r="BO31" s="12">
        <v>1</v>
      </c>
      <c r="BS31" s="12"/>
      <c r="BT31" s="12">
        <v>0.5</v>
      </c>
      <c r="BU31" s="12"/>
      <c r="BV31" s="12">
        <v>0.5</v>
      </c>
      <c r="BZ31" s="12"/>
      <c r="CA31" s="12">
        <v>0.5</v>
      </c>
      <c r="CB31" s="12"/>
      <c r="CC31" s="12">
        <v>0.5</v>
      </c>
      <c r="CG31" s="12"/>
      <c r="CH31" s="12">
        <v>0.5</v>
      </c>
      <c r="CI31" s="12"/>
      <c r="CJ31" s="12">
        <v>0.5</v>
      </c>
      <c r="CN31" s="12"/>
      <c r="CO31" s="12">
        <v>0.5</v>
      </c>
      <c r="CP31" s="12"/>
      <c r="CQ31" s="12">
        <v>0.5</v>
      </c>
      <c r="CU31" s="12"/>
      <c r="CV31" s="12">
        <v>0.5</v>
      </c>
      <c r="CW31" s="12"/>
      <c r="CX31" s="12">
        <v>0.5</v>
      </c>
      <c r="DB31" s="12"/>
      <c r="DC31" s="12">
        <v>0.5</v>
      </c>
      <c r="DD31" s="12"/>
      <c r="DE31" s="12">
        <v>0.5</v>
      </c>
      <c r="DI31" s="12"/>
      <c r="DJ31" s="12">
        <v>0.5</v>
      </c>
      <c r="DK31" s="12"/>
      <c r="DL31" s="12">
        <v>0.5</v>
      </c>
      <c r="DP31" s="12"/>
      <c r="DQ31" s="12">
        <v>0.5</v>
      </c>
      <c r="DR31" s="12"/>
      <c r="DS31" s="12">
        <v>0.5</v>
      </c>
      <c r="DX31" s="12"/>
      <c r="DY31" s="12">
        <v>0.5</v>
      </c>
      <c r="DZ31" s="12"/>
      <c r="EA31" s="12">
        <v>0.5</v>
      </c>
    </row>
    <row r="32" spans="2:131" ht="15.75" hidden="1" customHeight="1" outlineLevel="1">
      <c r="B32" t="s">
        <v>29</v>
      </c>
      <c r="E32" s="11"/>
      <c r="F32" t="s">
        <v>82</v>
      </c>
      <c r="G32" s="12">
        <v>0.05</v>
      </c>
      <c r="I32" s="11">
        <f t="shared" si="4"/>
        <v>5</v>
      </c>
      <c r="J32" s="13">
        <f t="shared" si="5"/>
        <v>0</v>
      </c>
      <c r="K32" s="13">
        <f t="shared" si="5"/>
        <v>0</v>
      </c>
      <c r="L32" s="11"/>
      <c r="O32" s="12"/>
      <c r="P32" s="12"/>
      <c r="Q32" s="12"/>
      <c r="R32" s="12"/>
      <c r="U32">
        <v>1</v>
      </c>
      <c r="V32" s="12"/>
      <c r="W32" s="12">
        <v>0.5</v>
      </c>
      <c r="X32" s="12"/>
      <c r="Y32" s="12">
        <v>0.5</v>
      </c>
      <c r="AC32" s="12"/>
      <c r="AD32" s="12">
        <v>0.5</v>
      </c>
      <c r="AE32" s="12"/>
      <c r="AF32" s="12">
        <v>0.5</v>
      </c>
      <c r="AI32">
        <v>1</v>
      </c>
      <c r="AJ32" s="12"/>
      <c r="AK32" s="12">
        <v>0.8</v>
      </c>
      <c r="AL32" s="12"/>
      <c r="AM32" s="12">
        <v>0.8</v>
      </c>
      <c r="AQ32" s="12"/>
      <c r="AR32" s="12">
        <v>0.8</v>
      </c>
      <c r="AS32" s="12"/>
      <c r="AT32" s="12">
        <v>0.8</v>
      </c>
      <c r="AW32">
        <v>1</v>
      </c>
      <c r="AX32" s="12"/>
      <c r="AY32" s="12">
        <v>1</v>
      </c>
      <c r="AZ32" s="12"/>
      <c r="BA32" s="12">
        <v>1</v>
      </c>
      <c r="BE32" s="12"/>
      <c r="BF32" s="12"/>
      <c r="BG32" s="12"/>
      <c r="BH32" s="12"/>
      <c r="BK32">
        <v>2</v>
      </c>
      <c r="BL32" s="12"/>
      <c r="BM32" s="12">
        <v>1</v>
      </c>
      <c r="BN32" s="12"/>
      <c r="BO32" s="12">
        <v>1</v>
      </c>
      <c r="BS32" s="12"/>
      <c r="BT32" s="12">
        <v>0.3</v>
      </c>
      <c r="BU32" s="12"/>
      <c r="BV32" s="12">
        <v>0.3</v>
      </c>
      <c r="BZ32" s="12"/>
      <c r="CA32" s="12">
        <v>0.3</v>
      </c>
      <c r="CB32" s="12"/>
      <c r="CC32" s="12">
        <v>0.3</v>
      </c>
      <c r="CG32" s="12"/>
      <c r="CH32" s="12">
        <v>0.3</v>
      </c>
      <c r="CI32" s="12"/>
      <c r="CJ32" s="12">
        <v>0.3</v>
      </c>
      <c r="CN32" s="12"/>
      <c r="CO32" s="12">
        <v>0.3</v>
      </c>
      <c r="CP32" s="12"/>
      <c r="CQ32" s="12">
        <v>0.3</v>
      </c>
      <c r="CU32" s="12"/>
      <c r="CV32" s="12">
        <v>0.3</v>
      </c>
      <c r="CW32" s="12"/>
      <c r="CX32" s="12">
        <v>0.3</v>
      </c>
      <c r="DB32" s="12"/>
      <c r="DC32" s="12">
        <v>0.3</v>
      </c>
      <c r="DD32" s="12"/>
      <c r="DE32" s="12">
        <v>0.3</v>
      </c>
      <c r="DI32" s="12"/>
      <c r="DJ32" s="12">
        <v>0.3</v>
      </c>
      <c r="DK32" s="12"/>
      <c r="DL32" s="12">
        <v>0.3</v>
      </c>
      <c r="DP32" s="12"/>
      <c r="DQ32" s="12">
        <v>0.3</v>
      </c>
      <c r="DR32" s="12"/>
      <c r="DS32" s="12">
        <v>0.3</v>
      </c>
      <c r="DX32" s="12"/>
      <c r="DY32" s="12">
        <v>0.3</v>
      </c>
      <c r="DZ32" s="12"/>
      <c r="EA32" s="12">
        <v>0.3</v>
      </c>
    </row>
    <row r="33" spans="2:131" collapsed="1"/>
    <row r="35" spans="2:131">
      <c r="B35" s="20" t="s">
        <v>28</v>
      </c>
      <c r="C35" s="20" t="s">
        <v>125</v>
      </c>
      <c r="D35" s="20"/>
      <c r="E35" s="25">
        <v>7</v>
      </c>
      <c r="G35" s="12">
        <f>+SUM(G36:G47)</f>
        <v>0.99999999999999989</v>
      </c>
      <c r="I35" s="14">
        <f>+SUM(I36:I47)</f>
        <v>36.799999999999997</v>
      </c>
      <c r="J35" s="13">
        <f>+SUMPRODUCT(G36:G47,J36:J47)</f>
        <v>0</v>
      </c>
      <c r="K35" s="13">
        <f>+SUMPRODUCT(G36:G47,K36:K47)</f>
        <v>0</v>
      </c>
      <c r="L35" s="11"/>
      <c r="N35" s="14">
        <f>+SUM(N36:N47)</f>
        <v>6.9</v>
      </c>
      <c r="U35" s="14">
        <f>+SUM(U36:U48)</f>
        <v>6.9</v>
      </c>
      <c r="AB35" s="14">
        <f>+SUM(AB36:AB47)</f>
        <v>6.9</v>
      </c>
      <c r="AI35" s="14">
        <f>+SUM(AI36:AI48)</f>
        <v>6.9</v>
      </c>
      <c r="AP35" s="14">
        <f>+SUM(AP36:AP47)</f>
        <v>6.9</v>
      </c>
      <c r="AW35" s="14">
        <f>+SUM(AW36:AW48)</f>
        <v>5.75</v>
      </c>
      <c r="BD35" s="14">
        <f>+SUM(BD36:BD47)</f>
        <v>0</v>
      </c>
      <c r="BK35" s="14">
        <f>+SUM(BK36:BK47)</f>
        <v>0</v>
      </c>
      <c r="BR35" s="14">
        <f>+SUM(BR36:BR47)</f>
        <v>0</v>
      </c>
      <c r="BY35" s="14">
        <f>+SUM(BY36:BY47)</f>
        <v>0</v>
      </c>
      <c r="CF35" s="14">
        <f>+SUM(CF36:CF47)</f>
        <v>0</v>
      </c>
      <c r="CM35" s="14">
        <f>+SUM(CM36:CM47)</f>
        <v>0</v>
      </c>
      <c r="CT35" s="14">
        <f>+SUM(CT36:CT47)</f>
        <v>0</v>
      </c>
      <c r="DA35" s="14">
        <f>+SUM(DA36:DA47)</f>
        <v>0</v>
      </c>
      <c r="DH35" s="14">
        <f>+SUM(DH36:DH47)</f>
        <v>0</v>
      </c>
      <c r="DO35" s="14">
        <f>+SUM(DO36:DO47)</f>
        <v>0</v>
      </c>
      <c r="DW35" s="14">
        <f>+SUM(DW36:DW47)</f>
        <v>0</v>
      </c>
    </row>
    <row r="36" spans="2:131" ht="15.75" hidden="1" customHeight="1" outlineLevel="1">
      <c r="B36" t="s">
        <v>29</v>
      </c>
      <c r="E36" s="11"/>
      <c r="F36" t="s">
        <v>83</v>
      </c>
      <c r="G36" s="12">
        <v>0.05</v>
      </c>
      <c r="I36" s="11">
        <f>+SUMIF($N$3:$ZZ$3,I$3,$N36:$ZZ36)</f>
        <v>2.2999999999999998</v>
      </c>
      <c r="J36" s="13">
        <f t="shared" ref="J36:K48" si="6">+_xlfn.MAXIFS($N36:$ZF36,$N$3:$ZF$3,J$3)</f>
        <v>0</v>
      </c>
      <c r="K36" s="13">
        <f t="shared" si="6"/>
        <v>0</v>
      </c>
      <c r="L36" s="11"/>
      <c r="O36" s="12"/>
      <c r="P36" s="12">
        <v>0.5</v>
      </c>
      <c r="Q36" s="12"/>
      <c r="R36" s="12">
        <v>0.5</v>
      </c>
      <c r="U36">
        <v>1.1499999999999999</v>
      </c>
      <c r="V36" s="12"/>
      <c r="W36" s="12">
        <v>0.8</v>
      </c>
      <c r="X36" s="12"/>
      <c r="Y36" s="12">
        <v>0.8</v>
      </c>
      <c r="AC36" s="12"/>
      <c r="AD36" s="12">
        <v>0.8</v>
      </c>
      <c r="AE36" s="12"/>
      <c r="AF36" s="12">
        <v>0.8</v>
      </c>
      <c r="AI36">
        <v>1.1499999999999999</v>
      </c>
      <c r="AJ36" s="12"/>
      <c r="AK36" s="12">
        <v>1</v>
      </c>
      <c r="AL36" s="12"/>
      <c r="AM36" s="12"/>
      <c r="AQ36" s="12"/>
      <c r="AR36" s="12">
        <v>1</v>
      </c>
      <c r="AS36" s="12"/>
      <c r="AT36" s="12">
        <v>1</v>
      </c>
      <c r="AX36" s="12"/>
      <c r="AY36" s="12">
        <v>1</v>
      </c>
      <c r="AZ36" s="12"/>
      <c r="BA36" s="12">
        <v>1</v>
      </c>
      <c r="BE36" s="12"/>
      <c r="BF36" s="12"/>
      <c r="BG36" s="12"/>
      <c r="BH36" s="12"/>
      <c r="BL36" s="12"/>
      <c r="BM36" s="12">
        <v>1</v>
      </c>
      <c r="BN36" s="12"/>
      <c r="BO36" s="12">
        <v>1</v>
      </c>
      <c r="BS36" s="12"/>
      <c r="BT36" s="12"/>
      <c r="BU36" s="12"/>
      <c r="BV36" s="12"/>
      <c r="BZ36" s="12"/>
      <c r="CA36" s="12"/>
      <c r="CB36" s="12"/>
      <c r="CC36" s="12"/>
      <c r="CG36" s="12"/>
      <c r="CH36" s="12"/>
      <c r="CI36" s="12"/>
      <c r="CJ36" s="12"/>
      <c r="CN36" s="12"/>
      <c r="CO36" s="12"/>
      <c r="CP36" s="12"/>
      <c r="CQ36" s="12"/>
      <c r="CU36" s="12"/>
      <c r="CV36" s="12"/>
      <c r="CW36" s="12"/>
      <c r="CX36" s="12"/>
      <c r="DB36" s="12"/>
      <c r="DC36" s="12"/>
      <c r="DD36" s="12"/>
      <c r="DE36" s="12"/>
      <c r="DI36" s="12"/>
      <c r="DJ36" s="12"/>
      <c r="DK36" s="12"/>
      <c r="DL36" s="12"/>
      <c r="DP36" s="12"/>
      <c r="DQ36" s="12"/>
      <c r="DR36" s="12"/>
      <c r="DS36" s="12"/>
      <c r="DX36" s="12"/>
      <c r="DY36" s="12"/>
      <c r="DZ36" s="12"/>
      <c r="EA36" s="12"/>
    </row>
    <row r="37" spans="2:131" ht="15.75" hidden="1" customHeight="1" outlineLevel="1">
      <c r="B37" t="s">
        <v>29</v>
      </c>
      <c r="E37" s="11"/>
      <c r="F37" t="s">
        <v>84</v>
      </c>
      <c r="G37" s="12">
        <v>0.05</v>
      </c>
      <c r="I37" s="11">
        <f t="shared" ref="I37:I46" si="7">+SUMIF($N$3:$ZZ$3,I$3,$N37:$ZZ37)</f>
        <v>2.2999999999999998</v>
      </c>
      <c r="J37" s="13">
        <f t="shared" si="6"/>
        <v>0</v>
      </c>
      <c r="K37" s="13">
        <f t="shared" si="6"/>
        <v>0</v>
      </c>
      <c r="L37" s="11"/>
      <c r="O37" s="12"/>
      <c r="P37" s="12">
        <v>0.5</v>
      </c>
      <c r="Q37" s="12"/>
      <c r="R37" s="12">
        <v>0.5</v>
      </c>
      <c r="U37">
        <v>1.1499999999999999</v>
      </c>
      <c r="V37" s="12"/>
      <c r="W37" s="12">
        <v>0.8</v>
      </c>
      <c r="X37" s="12"/>
      <c r="Y37" s="12">
        <v>0.8</v>
      </c>
      <c r="AC37" s="12"/>
      <c r="AD37" s="12">
        <v>0.8</v>
      </c>
      <c r="AE37" s="12"/>
      <c r="AF37" s="12">
        <v>0.8</v>
      </c>
      <c r="AI37">
        <v>1.1499999999999999</v>
      </c>
      <c r="AJ37" s="12"/>
      <c r="AK37" s="12">
        <v>1</v>
      </c>
      <c r="AL37" s="12"/>
      <c r="AM37" s="12"/>
      <c r="AQ37" s="12"/>
      <c r="AR37" s="12">
        <v>1</v>
      </c>
      <c r="AS37" s="12"/>
      <c r="AT37" s="12">
        <v>1</v>
      </c>
      <c r="AX37" s="12"/>
      <c r="AY37" s="12">
        <v>1</v>
      </c>
      <c r="AZ37" s="12"/>
      <c r="BA37" s="12">
        <v>1</v>
      </c>
      <c r="BE37" s="12"/>
      <c r="BF37" s="12"/>
      <c r="BG37" s="12"/>
      <c r="BH37" s="12"/>
      <c r="BL37" s="12"/>
      <c r="BM37" s="12">
        <v>1</v>
      </c>
      <c r="BN37" s="12"/>
      <c r="BO37" s="12">
        <v>1</v>
      </c>
      <c r="BS37" s="12"/>
      <c r="BT37" s="12"/>
      <c r="BU37" s="12"/>
      <c r="BV37" s="12"/>
      <c r="BZ37" s="12"/>
      <c r="CA37" s="12"/>
      <c r="CB37" s="12"/>
      <c r="CC37" s="12"/>
      <c r="CG37" s="12"/>
      <c r="CH37" s="12"/>
      <c r="CI37" s="12"/>
      <c r="CJ37" s="12"/>
      <c r="CN37" s="12"/>
      <c r="CO37" s="12"/>
      <c r="CP37" s="12"/>
      <c r="CQ37" s="12"/>
      <c r="CU37" s="12"/>
      <c r="CV37" s="12"/>
      <c r="CW37" s="12"/>
      <c r="CX37" s="12"/>
      <c r="DB37" s="12"/>
      <c r="DC37" s="12"/>
      <c r="DD37" s="12"/>
      <c r="DE37" s="12"/>
      <c r="DI37" s="12"/>
      <c r="DJ37" s="12"/>
      <c r="DK37" s="12"/>
      <c r="DL37" s="12"/>
      <c r="DP37" s="12"/>
      <c r="DQ37" s="12"/>
      <c r="DR37" s="12"/>
      <c r="DS37" s="12"/>
      <c r="DX37" s="12"/>
      <c r="DY37" s="12"/>
      <c r="DZ37" s="12"/>
      <c r="EA37" s="12"/>
    </row>
    <row r="38" spans="2:131" ht="15.75" hidden="1" customHeight="1" outlineLevel="1">
      <c r="B38" t="s">
        <v>29</v>
      </c>
      <c r="E38" s="11"/>
      <c r="F38" t="s">
        <v>85</v>
      </c>
      <c r="G38" s="12">
        <v>0.05</v>
      </c>
      <c r="I38" s="11">
        <f t="shared" si="7"/>
        <v>2.2999999999999998</v>
      </c>
      <c r="J38" s="13">
        <f t="shared" si="6"/>
        <v>0</v>
      </c>
      <c r="K38" s="13">
        <f t="shared" si="6"/>
        <v>0</v>
      </c>
      <c r="L38" s="11"/>
      <c r="O38" s="12"/>
      <c r="P38" s="12">
        <v>0.5</v>
      </c>
      <c r="Q38" s="12"/>
      <c r="R38" s="12">
        <v>0.5</v>
      </c>
      <c r="U38">
        <v>1.1499999999999999</v>
      </c>
      <c r="V38" s="12"/>
      <c r="W38" s="12">
        <v>0.8</v>
      </c>
      <c r="X38" s="12"/>
      <c r="Y38" s="12">
        <v>0.8</v>
      </c>
      <c r="AC38" s="12"/>
      <c r="AD38" s="12">
        <v>0.8</v>
      </c>
      <c r="AE38" s="12"/>
      <c r="AF38" s="12">
        <v>0.8</v>
      </c>
      <c r="AJ38" s="12"/>
      <c r="AK38" s="12">
        <v>0.8</v>
      </c>
      <c r="AL38" s="12"/>
      <c r="AM38" s="12"/>
      <c r="AP38">
        <v>1.1499999999999999</v>
      </c>
      <c r="AQ38" s="12"/>
      <c r="AR38" s="12">
        <v>1</v>
      </c>
      <c r="AS38" s="12"/>
      <c r="AT38" s="12">
        <v>1</v>
      </c>
      <c r="AX38" s="12"/>
      <c r="AY38" s="12">
        <v>1</v>
      </c>
      <c r="AZ38" s="12"/>
      <c r="BA38" s="12">
        <v>1</v>
      </c>
      <c r="BE38" s="12"/>
      <c r="BF38" s="12"/>
      <c r="BG38" s="12"/>
      <c r="BH38" s="12"/>
      <c r="BL38" s="12"/>
      <c r="BM38" s="12">
        <v>1</v>
      </c>
      <c r="BN38" s="12"/>
      <c r="BO38" s="12">
        <v>1</v>
      </c>
      <c r="BS38" s="12"/>
      <c r="BT38" s="12"/>
      <c r="BU38" s="12"/>
      <c r="BV38" s="12"/>
      <c r="BZ38" s="12"/>
      <c r="CA38" s="12"/>
      <c r="CB38" s="12"/>
      <c r="CC38" s="12"/>
      <c r="CG38" s="12"/>
      <c r="CH38" s="12"/>
      <c r="CI38" s="12"/>
      <c r="CJ38" s="12"/>
      <c r="CN38" s="12"/>
      <c r="CO38" s="12"/>
      <c r="CP38" s="12"/>
      <c r="CQ38" s="12"/>
      <c r="CU38" s="12"/>
      <c r="CV38" s="12"/>
      <c r="CW38" s="12"/>
      <c r="CX38" s="12"/>
      <c r="DB38" s="12"/>
      <c r="DC38" s="12"/>
      <c r="DD38" s="12"/>
      <c r="DE38" s="12"/>
      <c r="DI38" s="12"/>
      <c r="DJ38" s="12"/>
      <c r="DK38" s="12"/>
      <c r="DL38" s="12"/>
      <c r="DP38" s="12"/>
      <c r="DQ38" s="12"/>
      <c r="DR38" s="12"/>
      <c r="DS38" s="12"/>
      <c r="DX38" s="12"/>
      <c r="DY38" s="12"/>
      <c r="DZ38" s="12"/>
      <c r="EA38" s="12"/>
    </row>
    <row r="39" spans="2:131" ht="15.75" hidden="1" customHeight="1" outlineLevel="1">
      <c r="B39" t="s">
        <v>29</v>
      </c>
      <c r="E39" s="11"/>
      <c r="F39" t="s">
        <v>86</v>
      </c>
      <c r="G39" s="12">
        <v>0.05</v>
      </c>
      <c r="I39" s="11">
        <f t="shared" si="7"/>
        <v>2.2999999999999998</v>
      </c>
      <c r="J39" s="13">
        <f t="shared" si="6"/>
        <v>0</v>
      </c>
      <c r="K39" s="13">
        <f t="shared" si="6"/>
        <v>0</v>
      </c>
      <c r="L39" s="11"/>
      <c r="O39" s="12"/>
      <c r="P39" s="12">
        <v>0.5</v>
      </c>
      <c r="Q39" s="12"/>
      <c r="R39" s="12">
        <v>0.5</v>
      </c>
      <c r="V39" s="12"/>
      <c r="W39" s="12">
        <v>0.5</v>
      </c>
      <c r="X39" s="12"/>
      <c r="Y39" s="12">
        <v>0.5</v>
      </c>
      <c r="AB39">
        <v>1.1499999999999999</v>
      </c>
      <c r="AC39" s="12"/>
      <c r="AD39" s="12">
        <v>0.8</v>
      </c>
      <c r="AE39" s="12"/>
      <c r="AF39" s="12">
        <v>0.8</v>
      </c>
      <c r="AJ39" s="12"/>
      <c r="AK39" s="12">
        <v>0.8</v>
      </c>
      <c r="AL39" s="12"/>
      <c r="AM39" s="12"/>
      <c r="AP39">
        <v>1.1499999999999999</v>
      </c>
      <c r="AQ39" s="12"/>
      <c r="AR39" s="12">
        <v>1</v>
      </c>
      <c r="AS39" s="12"/>
      <c r="AT39" s="12">
        <v>1</v>
      </c>
      <c r="AX39" s="12"/>
      <c r="AY39" s="12">
        <v>1</v>
      </c>
      <c r="AZ39" s="12"/>
      <c r="BA39" s="12">
        <v>1</v>
      </c>
      <c r="BE39" s="12"/>
      <c r="BF39" s="12"/>
      <c r="BG39" s="12"/>
      <c r="BH39" s="12"/>
      <c r="BL39" s="12"/>
      <c r="BM39" s="12">
        <v>1</v>
      </c>
      <c r="BN39" s="12"/>
      <c r="BO39" s="12">
        <v>1</v>
      </c>
      <c r="BS39" s="12"/>
      <c r="BT39" s="12"/>
      <c r="BU39" s="12"/>
      <c r="BV39" s="12"/>
      <c r="BZ39" s="12"/>
      <c r="CA39" s="12"/>
      <c r="CB39" s="12"/>
      <c r="CC39" s="12"/>
      <c r="CG39" s="12"/>
      <c r="CH39" s="12"/>
      <c r="CI39" s="12"/>
      <c r="CJ39" s="12"/>
      <c r="CN39" s="12"/>
      <c r="CO39" s="12"/>
      <c r="CP39" s="12"/>
      <c r="CQ39" s="12"/>
      <c r="CU39" s="12"/>
      <c r="CV39" s="12"/>
      <c r="CW39" s="12"/>
      <c r="CX39" s="12"/>
      <c r="DB39" s="12"/>
      <c r="DC39" s="12"/>
      <c r="DD39" s="12"/>
      <c r="DE39" s="12"/>
      <c r="DI39" s="12"/>
      <c r="DJ39" s="12"/>
      <c r="DK39" s="12"/>
      <c r="DL39" s="12"/>
      <c r="DP39" s="12"/>
      <c r="DQ39" s="12"/>
      <c r="DR39" s="12"/>
      <c r="DS39" s="12"/>
      <c r="DX39" s="12"/>
      <c r="DY39" s="12"/>
      <c r="DZ39" s="12"/>
      <c r="EA39" s="12"/>
    </row>
    <row r="40" spans="2:131" ht="15.75" hidden="1" customHeight="1" outlineLevel="1">
      <c r="B40" t="s">
        <v>29</v>
      </c>
      <c r="E40" s="11"/>
      <c r="F40" t="s">
        <v>87</v>
      </c>
      <c r="G40" s="12">
        <v>0.1</v>
      </c>
      <c r="I40" s="11">
        <f t="shared" si="7"/>
        <v>3.4499999999999997</v>
      </c>
      <c r="J40" s="13">
        <f t="shared" si="6"/>
        <v>0</v>
      </c>
      <c r="K40" s="13">
        <f t="shared" si="6"/>
        <v>0</v>
      </c>
      <c r="L40" s="11"/>
      <c r="N40">
        <v>1.1499999999999999</v>
      </c>
      <c r="O40" s="12"/>
      <c r="P40" s="12">
        <v>0.5</v>
      </c>
      <c r="Q40" s="12"/>
      <c r="R40" s="12">
        <v>0.5</v>
      </c>
      <c r="V40" s="12"/>
      <c r="W40" s="12">
        <v>0.5</v>
      </c>
      <c r="X40" s="12"/>
      <c r="Y40" s="12">
        <v>0.5</v>
      </c>
      <c r="AB40">
        <v>1.1499999999999999</v>
      </c>
      <c r="AC40" s="12"/>
      <c r="AD40" s="12">
        <v>0.8</v>
      </c>
      <c r="AE40" s="12"/>
      <c r="AF40" s="12">
        <v>0.8</v>
      </c>
      <c r="AJ40" s="12"/>
      <c r="AK40" s="12">
        <v>0.8</v>
      </c>
      <c r="AL40" s="12"/>
      <c r="AM40" s="12"/>
      <c r="AP40">
        <v>1.1499999999999999</v>
      </c>
      <c r="AQ40" s="12"/>
      <c r="AR40" s="12">
        <v>1</v>
      </c>
      <c r="AS40" s="12"/>
      <c r="AT40" s="12">
        <v>1</v>
      </c>
      <c r="AX40" s="12"/>
      <c r="AY40" s="12">
        <v>1</v>
      </c>
      <c r="AZ40" s="12"/>
      <c r="BA40" s="12">
        <v>1</v>
      </c>
      <c r="BE40" s="12"/>
      <c r="BF40" s="12"/>
      <c r="BG40" s="12"/>
      <c r="BH40" s="12"/>
      <c r="BL40" s="12"/>
      <c r="BM40" s="12">
        <v>1</v>
      </c>
      <c r="BN40" s="12"/>
      <c r="BO40" s="12">
        <v>1</v>
      </c>
      <c r="BS40" s="12"/>
      <c r="BT40" s="12"/>
      <c r="BU40" s="12"/>
      <c r="BV40" s="12"/>
      <c r="BZ40" s="12"/>
      <c r="CA40" s="12"/>
      <c r="CB40" s="12"/>
      <c r="CC40" s="12"/>
      <c r="CG40" s="12"/>
      <c r="CH40" s="12"/>
      <c r="CI40" s="12"/>
      <c r="CJ40" s="12"/>
      <c r="CN40" s="12"/>
      <c r="CO40" s="12"/>
      <c r="CP40" s="12"/>
      <c r="CQ40" s="12"/>
      <c r="CU40" s="12"/>
      <c r="CV40" s="12"/>
      <c r="CW40" s="12"/>
      <c r="CX40" s="12"/>
      <c r="DB40" s="12"/>
      <c r="DC40" s="12"/>
      <c r="DD40" s="12"/>
      <c r="DE40" s="12"/>
      <c r="DI40" s="12"/>
      <c r="DJ40" s="12"/>
      <c r="DK40" s="12"/>
      <c r="DL40" s="12"/>
      <c r="DP40" s="12"/>
      <c r="DQ40" s="12"/>
      <c r="DR40" s="12"/>
      <c r="DS40" s="12"/>
      <c r="DX40" s="12"/>
      <c r="DY40" s="12"/>
      <c r="DZ40" s="12"/>
      <c r="EA40" s="12"/>
    </row>
    <row r="41" spans="2:131" ht="15.75" hidden="1" customHeight="1" outlineLevel="1">
      <c r="B41" t="s">
        <v>29</v>
      </c>
      <c r="E41" s="11"/>
      <c r="F41" t="s">
        <v>88</v>
      </c>
      <c r="G41" s="12">
        <v>0.1</v>
      </c>
      <c r="I41" s="11">
        <f t="shared" si="7"/>
        <v>3.4499999999999997</v>
      </c>
      <c r="J41" s="13">
        <f t="shared" si="6"/>
        <v>0</v>
      </c>
      <c r="K41" s="13">
        <f t="shared" si="6"/>
        <v>0</v>
      </c>
      <c r="L41" s="11"/>
      <c r="N41">
        <v>1.1499999999999999</v>
      </c>
      <c r="O41" s="12"/>
      <c r="P41" s="12">
        <v>0.5</v>
      </c>
      <c r="Q41" s="12"/>
      <c r="R41" s="12">
        <v>0.5</v>
      </c>
      <c r="V41" s="12"/>
      <c r="W41" s="12">
        <v>0.5</v>
      </c>
      <c r="X41" s="12"/>
      <c r="Y41" s="12">
        <v>0.5</v>
      </c>
      <c r="AB41">
        <v>1.1499999999999999</v>
      </c>
      <c r="AC41" s="12"/>
      <c r="AD41" s="12">
        <v>0.8</v>
      </c>
      <c r="AE41" s="12"/>
      <c r="AF41" s="12">
        <v>0.8</v>
      </c>
      <c r="AJ41" s="12"/>
      <c r="AK41" s="12">
        <v>0.8</v>
      </c>
      <c r="AL41" s="12"/>
      <c r="AM41" s="12"/>
      <c r="AP41">
        <v>1.1499999999999999</v>
      </c>
      <c r="AQ41" s="12"/>
      <c r="AR41" s="12">
        <v>1</v>
      </c>
      <c r="AS41" s="12"/>
      <c r="AT41" s="12">
        <v>1</v>
      </c>
      <c r="AX41" s="12"/>
      <c r="AY41" s="12">
        <v>1</v>
      </c>
      <c r="AZ41" s="12"/>
      <c r="BA41" s="12">
        <v>1</v>
      </c>
      <c r="BE41" s="12"/>
      <c r="BF41" s="12"/>
      <c r="BG41" s="12"/>
      <c r="BH41" s="12"/>
      <c r="BL41" s="12"/>
      <c r="BM41" s="12">
        <v>1</v>
      </c>
      <c r="BN41" s="12"/>
      <c r="BO41" s="12">
        <v>1</v>
      </c>
      <c r="BS41" s="12"/>
      <c r="BT41" s="12"/>
      <c r="BU41" s="12"/>
      <c r="BV41" s="12"/>
      <c r="BZ41" s="12"/>
      <c r="CA41" s="12"/>
      <c r="CB41" s="12"/>
      <c r="CC41" s="12"/>
      <c r="CG41" s="12"/>
      <c r="CH41" s="12"/>
      <c r="CI41" s="12"/>
      <c r="CJ41" s="12"/>
      <c r="CN41" s="12"/>
      <c r="CO41" s="12"/>
      <c r="CP41" s="12"/>
      <c r="CQ41" s="12"/>
      <c r="CU41" s="12"/>
      <c r="CV41" s="12"/>
      <c r="CW41" s="12"/>
      <c r="CX41" s="12"/>
      <c r="DB41" s="12"/>
      <c r="DC41" s="12"/>
      <c r="DD41" s="12"/>
      <c r="DE41" s="12"/>
      <c r="DI41" s="12"/>
      <c r="DJ41" s="12"/>
      <c r="DK41" s="12"/>
      <c r="DL41" s="12"/>
      <c r="DP41" s="12"/>
      <c r="DQ41" s="12"/>
      <c r="DR41" s="12"/>
      <c r="DS41" s="12"/>
      <c r="DX41" s="12"/>
      <c r="DY41" s="12"/>
      <c r="DZ41" s="12"/>
      <c r="EA41" s="12"/>
    </row>
    <row r="42" spans="2:131" ht="15.75" hidden="1" customHeight="1" outlineLevel="1">
      <c r="B42" t="s">
        <v>29</v>
      </c>
      <c r="E42" s="11"/>
      <c r="F42" t="s">
        <v>89</v>
      </c>
      <c r="G42" s="12">
        <v>0.1</v>
      </c>
      <c r="I42" s="11">
        <f t="shared" si="7"/>
        <v>3.4499999999999997</v>
      </c>
      <c r="J42" s="13">
        <f t="shared" si="6"/>
        <v>0</v>
      </c>
      <c r="K42" s="13">
        <f t="shared" si="6"/>
        <v>0</v>
      </c>
      <c r="L42" s="11"/>
      <c r="N42">
        <v>1.1499999999999999</v>
      </c>
      <c r="O42" s="12"/>
      <c r="P42" s="12">
        <v>0.5</v>
      </c>
      <c r="Q42" s="12"/>
      <c r="R42" s="12">
        <v>0.5</v>
      </c>
      <c r="V42" s="12"/>
      <c r="W42" s="12">
        <v>0.5</v>
      </c>
      <c r="X42" s="12"/>
      <c r="Y42" s="12">
        <v>0.5</v>
      </c>
      <c r="AB42">
        <v>1.1499999999999999</v>
      </c>
      <c r="AC42" s="12"/>
      <c r="AD42" s="12">
        <v>0.8</v>
      </c>
      <c r="AE42" s="12"/>
      <c r="AF42" s="12">
        <v>0.8</v>
      </c>
      <c r="AJ42" s="12"/>
      <c r="AK42" s="12">
        <v>0.8</v>
      </c>
      <c r="AL42" s="12"/>
      <c r="AM42" s="12"/>
      <c r="AP42">
        <v>1.1499999999999999</v>
      </c>
      <c r="AQ42" s="12"/>
      <c r="AR42" s="12">
        <v>1</v>
      </c>
      <c r="AS42" s="12"/>
      <c r="AT42" s="12">
        <v>1</v>
      </c>
      <c r="AX42" s="12"/>
      <c r="AY42" s="12">
        <v>1</v>
      </c>
      <c r="AZ42" s="12"/>
      <c r="BA42" s="12">
        <v>1</v>
      </c>
      <c r="BE42" s="12"/>
      <c r="BF42" s="12"/>
      <c r="BG42" s="12"/>
      <c r="BH42" s="12"/>
      <c r="BL42" s="12"/>
      <c r="BM42" s="12">
        <v>1</v>
      </c>
      <c r="BN42" s="12"/>
      <c r="BO42" s="12">
        <v>1</v>
      </c>
      <c r="BS42" s="12"/>
      <c r="BT42" s="12"/>
      <c r="BU42" s="12"/>
      <c r="BV42" s="12"/>
      <c r="BZ42" s="12"/>
      <c r="CA42" s="12"/>
      <c r="CB42" s="12"/>
      <c r="CC42" s="12"/>
      <c r="CG42" s="12"/>
      <c r="CH42" s="12"/>
      <c r="CI42" s="12"/>
      <c r="CJ42" s="12"/>
      <c r="CN42" s="12"/>
      <c r="CO42" s="12"/>
      <c r="CP42" s="12"/>
      <c r="CQ42" s="12"/>
      <c r="CU42" s="12"/>
      <c r="CV42" s="12"/>
      <c r="CW42" s="12"/>
      <c r="CX42" s="12"/>
      <c r="DB42" s="12"/>
      <c r="DC42" s="12"/>
      <c r="DD42" s="12"/>
      <c r="DE42" s="12"/>
      <c r="DI42" s="12"/>
      <c r="DJ42" s="12"/>
      <c r="DK42" s="12"/>
      <c r="DL42" s="12"/>
      <c r="DP42" s="12"/>
      <c r="DQ42" s="12"/>
      <c r="DR42" s="12"/>
      <c r="DS42" s="12"/>
      <c r="DX42" s="12"/>
      <c r="DY42" s="12"/>
      <c r="DZ42" s="12"/>
      <c r="EA42" s="12"/>
    </row>
    <row r="43" spans="2:131" ht="15.75" hidden="1" customHeight="1" outlineLevel="1">
      <c r="B43" t="s">
        <v>29</v>
      </c>
      <c r="E43" s="11"/>
      <c r="F43" t="s">
        <v>90</v>
      </c>
      <c r="G43" s="12">
        <v>0.1</v>
      </c>
      <c r="I43" s="11">
        <f t="shared" si="7"/>
        <v>3.4499999999999997</v>
      </c>
      <c r="J43" s="13">
        <f t="shared" si="6"/>
        <v>0</v>
      </c>
      <c r="K43" s="13">
        <f t="shared" si="6"/>
        <v>0</v>
      </c>
      <c r="L43" s="11"/>
      <c r="N43">
        <v>1.1499999999999999</v>
      </c>
      <c r="O43" s="12"/>
      <c r="P43" s="12">
        <v>0.5</v>
      </c>
      <c r="Q43" s="12"/>
      <c r="R43" s="12">
        <v>0.5</v>
      </c>
      <c r="V43" s="12"/>
      <c r="W43" s="12">
        <v>0.5</v>
      </c>
      <c r="X43" s="12"/>
      <c r="Y43" s="12">
        <v>0.5</v>
      </c>
      <c r="AB43">
        <v>1.1499999999999999</v>
      </c>
      <c r="AC43" s="12"/>
      <c r="AD43" s="12">
        <v>0.8</v>
      </c>
      <c r="AE43" s="12"/>
      <c r="AF43" s="12">
        <v>0.8</v>
      </c>
      <c r="AJ43" s="12"/>
      <c r="AK43" s="12">
        <v>0.8</v>
      </c>
      <c r="AL43" s="12"/>
      <c r="AM43" s="12"/>
      <c r="AP43">
        <v>1.1499999999999999</v>
      </c>
      <c r="AQ43" s="12"/>
      <c r="AR43" s="12">
        <v>1</v>
      </c>
      <c r="AS43" s="12"/>
      <c r="AT43" s="12">
        <v>1</v>
      </c>
      <c r="AX43" s="12"/>
      <c r="AY43" s="12">
        <v>1</v>
      </c>
      <c r="AZ43" s="12"/>
      <c r="BA43" s="12">
        <v>1</v>
      </c>
      <c r="BE43" s="12"/>
      <c r="BF43" s="12"/>
      <c r="BG43" s="12"/>
      <c r="BH43" s="12"/>
      <c r="BL43" s="12"/>
      <c r="BM43" s="12">
        <v>1</v>
      </c>
      <c r="BN43" s="12"/>
      <c r="BO43" s="12">
        <v>1</v>
      </c>
      <c r="BS43" s="12"/>
      <c r="BT43" s="12"/>
      <c r="BU43" s="12"/>
      <c r="BV43" s="12"/>
      <c r="BZ43" s="12"/>
      <c r="CA43" s="12"/>
      <c r="CB43" s="12"/>
      <c r="CC43" s="12"/>
      <c r="CG43" s="12"/>
      <c r="CH43" s="12"/>
      <c r="CI43" s="12"/>
      <c r="CJ43" s="12"/>
      <c r="CN43" s="12"/>
      <c r="CO43" s="12"/>
      <c r="CP43" s="12"/>
      <c r="CQ43" s="12"/>
      <c r="CU43" s="12"/>
      <c r="CV43" s="12"/>
      <c r="CW43" s="12"/>
      <c r="CX43" s="12"/>
      <c r="DB43" s="12"/>
      <c r="DC43" s="12"/>
      <c r="DD43" s="12"/>
      <c r="DE43" s="12"/>
      <c r="DI43" s="12"/>
      <c r="DJ43" s="12"/>
      <c r="DK43" s="12"/>
      <c r="DL43" s="12"/>
      <c r="DP43" s="12"/>
      <c r="DQ43" s="12"/>
      <c r="DR43" s="12"/>
      <c r="DS43" s="12"/>
      <c r="DX43" s="12"/>
      <c r="DY43" s="12"/>
      <c r="DZ43" s="12"/>
      <c r="EA43" s="12"/>
    </row>
    <row r="44" spans="2:131" ht="15.75" hidden="1" customHeight="1" outlineLevel="1">
      <c r="B44" t="s">
        <v>29</v>
      </c>
      <c r="E44" s="11"/>
      <c r="F44" t="s">
        <v>91</v>
      </c>
      <c r="G44" s="12">
        <v>0.1</v>
      </c>
      <c r="I44" s="11">
        <f t="shared" si="7"/>
        <v>3.4499999999999997</v>
      </c>
      <c r="J44" s="13">
        <f t="shared" si="6"/>
        <v>0</v>
      </c>
      <c r="K44" s="13">
        <f t="shared" si="6"/>
        <v>0</v>
      </c>
      <c r="L44" s="11"/>
      <c r="N44">
        <v>1.1499999999999999</v>
      </c>
      <c r="O44" s="12"/>
      <c r="P44" s="12">
        <v>0.5</v>
      </c>
      <c r="Q44" s="12"/>
      <c r="R44" s="12">
        <v>0.5</v>
      </c>
      <c r="V44" s="12"/>
      <c r="W44" s="12">
        <v>0.5</v>
      </c>
      <c r="X44" s="12"/>
      <c r="Y44" s="12">
        <v>0.5</v>
      </c>
      <c r="AB44">
        <v>1.1499999999999999</v>
      </c>
      <c r="AC44" s="12"/>
      <c r="AD44" s="12">
        <v>0.8</v>
      </c>
      <c r="AE44" s="12"/>
      <c r="AF44" s="12">
        <v>0.8</v>
      </c>
      <c r="AJ44" s="12"/>
      <c r="AK44" s="12">
        <v>0.8</v>
      </c>
      <c r="AL44" s="12"/>
      <c r="AM44" s="12"/>
      <c r="AQ44" s="12"/>
      <c r="AR44" s="12">
        <v>0.8</v>
      </c>
      <c r="AS44" s="12"/>
      <c r="AT44" s="12">
        <v>0.8</v>
      </c>
      <c r="AW44">
        <v>1.1499999999999999</v>
      </c>
      <c r="AX44" s="12"/>
      <c r="AY44" s="12">
        <v>1</v>
      </c>
      <c r="AZ44" s="12"/>
      <c r="BA44" s="12">
        <v>1</v>
      </c>
      <c r="BE44" s="12"/>
      <c r="BF44" s="12"/>
      <c r="BG44" s="12"/>
      <c r="BH44" s="12"/>
      <c r="BL44" s="12"/>
      <c r="BM44" s="12">
        <v>1</v>
      </c>
      <c r="BN44" s="12"/>
      <c r="BO44" s="12">
        <v>1</v>
      </c>
      <c r="BS44" s="12"/>
      <c r="BT44" s="12"/>
      <c r="BU44" s="12"/>
      <c r="BV44" s="12"/>
      <c r="BZ44" s="12"/>
      <c r="CA44" s="12"/>
      <c r="CB44" s="12"/>
      <c r="CC44" s="12"/>
      <c r="CG44" s="12"/>
      <c r="CH44" s="12"/>
      <c r="CI44" s="12"/>
      <c r="CJ44" s="12"/>
      <c r="CN44" s="12"/>
      <c r="CO44" s="12"/>
      <c r="CP44" s="12"/>
      <c r="CQ44" s="12"/>
      <c r="CU44" s="12"/>
      <c r="CV44" s="12"/>
      <c r="CW44" s="12"/>
      <c r="CX44" s="12"/>
      <c r="DB44" s="12"/>
      <c r="DC44" s="12"/>
      <c r="DD44" s="12"/>
      <c r="DE44" s="12"/>
      <c r="DI44" s="12"/>
      <c r="DJ44" s="12"/>
      <c r="DK44" s="12"/>
      <c r="DL44" s="12"/>
      <c r="DP44" s="12"/>
      <c r="DQ44" s="12"/>
      <c r="DR44" s="12"/>
      <c r="DS44" s="12"/>
      <c r="DX44" s="12"/>
      <c r="DY44" s="12"/>
      <c r="DZ44" s="12"/>
      <c r="EA44" s="12"/>
    </row>
    <row r="45" spans="2:131" ht="15.75" hidden="1" customHeight="1" outlineLevel="1">
      <c r="B45" t="s">
        <v>29</v>
      </c>
      <c r="E45" s="11"/>
      <c r="F45" t="s">
        <v>92</v>
      </c>
      <c r="G45" s="12">
        <v>0.1</v>
      </c>
      <c r="I45" s="11">
        <f t="shared" si="7"/>
        <v>3.4499999999999997</v>
      </c>
      <c r="J45" s="13">
        <f t="shared" si="6"/>
        <v>0</v>
      </c>
      <c r="K45" s="13">
        <f t="shared" si="6"/>
        <v>0</v>
      </c>
      <c r="L45" s="11"/>
      <c r="N45">
        <v>1.1499999999999999</v>
      </c>
      <c r="O45" s="12"/>
      <c r="P45" s="12">
        <v>0.5</v>
      </c>
      <c r="Q45" s="12"/>
      <c r="R45" s="12">
        <v>0.5</v>
      </c>
      <c r="V45" s="12"/>
      <c r="W45" s="12">
        <v>0.5</v>
      </c>
      <c r="X45" s="12"/>
      <c r="Y45" s="12">
        <v>0.5</v>
      </c>
      <c r="AC45" s="12"/>
      <c r="AD45" s="12">
        <v>0.5</v>
      </c>
      <c r="AE45" s="12"/>
      <c r="AF45" s="12">
        <v>0.5</v>
      </c>
      <c r="AI45">
        <v>1.1499999999999999</v>
      </c>
      <c r="AJ45" s="12"/>
      <c r="AK45" s="12">
        <v>0.8</v>
      </c>
      <c r="AL45" s="12"/>
      <c r="AM45" s="12"/>
      <c r="AQ45" s="12"/>
      <c r="AR45" s="12">
        <v>0.8</v>
      </c>
      <c r="AS45" s="12"/>
      <c r="AT45" s="12">
        <v>0.8</v>
      </c>
      <c r="AW45">
        <v>1.1499999999999999</v>
      </c>
      <c r="AX45" s="12"/>
      <c r="AY45" s="12">
        <v>1</v>
      </c>
      <c r="AZ45" s="12"/>
      <c r="BA45" s="12">
        <v>1</v>
      </c>
      <c r="BE45" s="12"/>
      <c r="BF45" s="12"/>
      <c r="BG45" s="12"/>
      <c r="BH45" s="12"/>
      <c r="BL45" s="12"/>
      <c r="BM45" s="12">
        <v>1</v>
      </c>
      <c r="BN45" s="12"/>
      <c r="BO45" s="12">
        <v>1</v>
      </c>
      <c r="BS45" s="12"/>
      <c r="BT45" s="12"/>
      <c r="BU45" s="12"/>
      <c r="BV45" s="12"/>
      <c r="BZ45" s="12"/>
      <c r="CA45" s="12"/>
      <c r="CB45" s="12"/>
      <c r="CC45" s="12"/>
      <c r="CG45" s="12"/>
      <c r="CH45" s="12"/>
      <c r="CI45" s="12"/>
      <c r="CJ45" s="12"/>
      <c r="CN45" s="12"/>
      <c r="CO45" s="12"/>
      <c r="CP45" s="12"/>
      <c r="CQ45" s="12"/>
      <c r="CU45" s="12"/>
      <c r="CV45" s="12"/>
      <c r="CW45" s="12"/>
      <c r="CX45" s="12"/>
      <c r="DB45" s="12"/>
      <c r="DC45" s="12"/>
      <c r="DD45" s="12"/>
      <c r="DE45" s="12"/>
      <c r="DI45" s="12"/>
      <c r="DJ45" s="12"/>
      <c r="DK45" s="12"/>
      <c r="DL45" s="12"/>
      <c r="DP45" s="12"/>
      <c r="DQ45" s="12"/>
      <c r="DR45" s="12"/>
      <c r="DS45" s="12"/>
      <c r="DX45" s="12"/>
      <c r="DY45" s="12"/>
      <c r="DZ45" s="12"/>
      <c r="EA45" s="12"/>
    </row>
    <row r="46" spans="2:131" ht="15.75" hidden="1" customHeight="1" outlineLevel="1">
      <c r="B46" t="s">
        <v>29</v>
      </c>
      <c r="E46" s="11"/>
      <c r="F46" t="s">
        <v>93</v>
      </c>
      <c r="G46" s="12">
        <v>0.1</v>
      </c>
      <c r="I46" s="11">
        <f t="shared" si="7"/>
        <v>3.4499999999999997</v>
      </c>
      <c r="J46" s="13">
        <f t="shared" si="6"/>
        <v>0</v>
      </c>
      <c r="K46" s="13">
        <f t="shared" si="6"/>
        <v>0</v>
      </c>
      <c r="L46" s="11"/>
      <c r="O46" s="12"/>
      <c r="P46" s="12"/>
      <c r="Q46" s="12"/>
      <c r="R46" s="12"/>
      <c r="U46">
        <v>1.1499999999999999</v>
      </c>
      <c r="V46" s="12"/>
      <c r="W46" s="12">
        <v>0.5</v>
      </c>
      <c r="X46" s="12"/>
      <c r="Y46" s="12">
        <v>0.5</v>
      </c>
      <c r="AC46" s="12"/>
      <c r="AD46" s="12">
        <v>0.5</v>
      </c>
      <c r="AE46" s="12"/>
      <c r="AF46" s="12">
        <v>0.5</v>
      </c>
      <c r="AI46">
        <v>1.1499999999999999</v>
      </c>
      <c r="AJ46" s="12"/>
      <c r="AK46" s="12">
        <v>0.8</v>
      </c>
      <c r="AL46" s="12"/>
      <c r="AM46" s="12"/>
      <c r="AQ46" s="12"/>
      <c r="AR46" s="12">
        <v>0.8</v>
      </c>
      <c r="AS46" s="12"/>
      <c r="AT46" s="12">
        <v>0.8</v>
      </c>
      <c r="AW46">
        <v>1.1499999999999999</v>
      </c>
      <c r="AX46" s="12"/>
      <c r="AY46" s="12">
        <v>1</v>
      </c>
      <c r="AZ46" s="12"/>
      <c r="BA46" s="12">
        <v>1</v>
      </c>
      <c r="BE46" s="12"/>
      <c r="BF46" s="12"/>
      <c r="BG46" s="12"/>
      <c r="BH46" s="12"/>
      <c r="BL46" s="12"/>
      <c r="BM46" s="12">
        <v>1</v>
      </c>
      <c r="BN46" s="12"/>
      <c r="BO46" s="12">
        <v>1</v>
      </c>
      <c r="BS46" s="12"/>
      <c r="BT46" s="12"/>
      <c r="BU46" s="12"/>
      <c r="BV46" s="12"/>
      <c r="BZ46" s="12"/>
      <c r="CA46" s="12"/>
      <c r="CB46" s="12"/>
      <c r="CC46" s="12"/>
      <c r="CG46" s="12"/>
      <c r="CH46" s="12"/>
      <c r="CI46" s="12"/>
      <c r="CJ46" s="12"/>
      <c r="CN46" s="12"/>
      <c r="CO46" s="12"/>
      <c r="CP46" s="12"/>
      <c r="CQ46" s="12"/>
      <c r="CU46" s="12"/>
      <c r="CV46" s="12"/>
      <c r="CW46" s="12"/>
      <c r="CX46" s="12"/>
      <c r="DB46" s="12"/>
      <c r="DC46" s="12"/>
      <c r="DD46" s="12"/>
      <c r="DE46" s="12"/>
      <c r="DI46" s="12"/>
      <c r="DJ46" s="12"/>
      <c r="DK46" s="12"/>
      <c r="DL46" s="12"/>
      <c r="DP46" s="12"/>
      <c r="DQ46" s="12"/>
      <c r="DR46" s="12"/>
      <c r="DS46" s="12"/>
      <c r="DX46" s="12"/>
      <c r="DY46" s="12"/>
      <c r="DZ46" s="12"/>
      <c r="EA46" s="12"/>
    </row>
    <row r="47" spans="2:131" ht="17.25" hidden="1" customHeight="1" outlineLevel="1">
      <c r="B47" t="s">
        <v>29</v>
      </c>
      <c r="E47" s="11"/>
      <c r="F47" t="s">
        <v>94</v>
      </c>
      <c r="G47" s="12">
        <v>0.1</v>
      </c>
      <c r="I47" s="11">
        <f>+SUMIF($N$3:$ZZ$3,I$3,$N47:$ZZ47)</f>
        <v>3.4499999999999997</v>
      </c>
      <c r="J47" s="13">
        <f t="shared" si="6"/>
        <v>0</v>
      </c>
      <c r="K47" s="13">
        <f t="shared" si="6"/>
        <v>0</v>
      </c>
      <c r="L47" s="11"/>
      <c r="O47" s="12"/>
      <c r="P47" s="12"/>
      <c r="Q47" s="12"/>
      <c r="R47" s="12"/>
      <c r="U47">
        <v>1.1499999999999999</v>
      </c>
      <c r="V47" s="12"/>
      <c r="W47" s="12">
        <v>0.5</v>
      </c>
      <c r="X47" s="12"/>
      <c r="Y47" s="12">
        <v>0.5</v>
      </c>
      <c r="AC47" s="12"/>
      <c r="AD47" s="12">
        <v>0.5</v>
      </c>
      <c r="AE47" s="12"/>
      <c r="AF47" s="12">
        <v>0.5</v>
      </c>
      <c r="AI47">
        <v>1.1499999999999999</v>
      </c>
      <c r="AJ47" s="12"/>
      <c r="AK47" s="12">
        <v>0.8</v>
      </c>
      <c r="AL47" s="12"/>
      <c r="AM47" s="12"/>
      <c r="AQ47" s="12"/>
      <c r="AR47" s="12">
        <v>0.8</v>
      </c>
      <c r="AS47" s="12"/>
      <c r="AT47" s="12">
        <v>0.8</v>
      </c>
      <c r="AW47">
        <v>1.1499999999999999</v>
      </c>
      <c r="AX47" s="12"/>
      <c r="AY47" s="12">
        <v>1</v>
      </c>
      <c r="AZ47" s="12"/>
      <c r="BA47" s="12">
        <v>1</v>
      </c>
      <c r="BE47" s="12"/>
      <c r="BF47" s="12"/>
      <c r="BG47" s="12"/>
      <c r="BH47" s="12"/>
      <c r="BL47" s="12"/>
      <c r="BM47" s="12">
        <v>1</v>
      </c>
      <c r="BN47" s="12"/>
      <c r="BO47" s="12">
        <v>1</v>
      </c>
      <c r="BS47" s="12"/>
      <c r="BT47" s="12"/>
      <c r="BU47" s="12"/>
      <c r="BV47" s="12"/>
      <c r="BZ47" s="12"/>
      <c r="CA47" s="12"/>
      <c r="CB47" s="12"/>
      <c r="CC47" s="12"/>
      <c r="CG47" s="12"/>
      <c r="CH47" s="12"/>
      <c r="CI47" s="12"/>
      <c r="CJ47" s="12"/>
      <c r="CN47" s="12"/>
      <c r="CO47" s="12"/>
      <c r="CP47" s="12"/>
      <c r="CQ47" s="12"/>
      <c r="CU47" s="12"/>
      <c r="CV47" s="12"/>
      <c r="CW47" s="12"/>
      <c r="CX47" s="12"/>
      <c r="DB47" s="12"/>
      <c r="DC47" s="12"/>
      <c r="DD47" s="12"/>
      <c r="DE47" s="12"/>
      <c r="DI47" s="12"/>
      <c r="DJ47" s="12"/>
      <c r="DK47" s="12"/>
      <c r="DL47" s="12"/>
      <c r="DP47" s="12"/>
      <c r="DQ47" s="12"/>
      <c r="DR47" s="12"/>
      <c r="DS47" s="12"/>
      <c r="DX47" s="12"/>
      <c r="DY47" s="12"/>
      <c r="DZ47" s="12"/>
      <c r="EA47" s="12"/>
    </row>
    <row r="48" spans="2:131" ht="17.25" hidden="1" customHeight="1" outlineLevel="1">
      <c r="B48" t="s">
        <v>29</v>
      </c>
      <c r="E48" s="11"/>
      <c r="F48" t="s">
        <v>95</v>
      </c>
      <c r="G48" s="12">
        <v>0.1</v>
      </c>
      <c r="I48" s="11">
        <f>+SUMIF($N$3:$ZZ$3,I$3,$N48:$ZZ48)</f>
        <v>3.4499999999999997</v>
      </c>
      <c r="J48" s="13">
        <f t="shared" si="6"/>
        <v>0</v>
      </c>
      <c r="K48" s="13">
        <f t="shared" si="6"/>
        <v>0</v>
      </c>
      <c r="L48" s="11"/>
      <c r="O48" s="12"/>
      <c r="P48" s="12"/>
      <c r="Q48" s="12"/>
      <c r="R48" s="12"/>
      <c r="U48">
        <v>1.1499999999999999</v>
      </c>
      <c r="V48" s="12"/>
      <c r="W48" s="12">
        <v>0.5</v>
      </c>
      <c r="X48" s="12"/>
      <c r="Y48" s="12">
        <v>0.5</v>
      </c>
      <c r="AC48" s="12"/>
      <c r="AD48" s="12">
        <v>0.5</v>
      </c>
      <c r="AE48" s="12"/>
      <c r="AF48" s="12">
        <v>0.5</v>
      </c>
      <c r="AI48">
        <v>1.1499999999999999</v>
      </c>
      <c r="AJ48" s="12"/>
      <c r="AK48" s="12">
        <v>0.8</v>
      </c>
      <c r="AL48" s="12"/>
      <c r="AM48" s="12"/>
      <c r="AQ48" s="12"/>
      <c r="AR48" s="12">
        <v>0.8</v>
      </c>
      <c r="AS48" s="12"/>
      <c r="AT48" s="12">
        <v>0.8</v>
      </c>
      <c r="AW48">
        <v>1.1499999999999999</v>
      </c>
      <c r="AX48" s="12"/>
      <c r="AY48" s="12">
        <v>1</v>
      </c>
      <c r="AZ48" s="12"/>
      <c r="BA48" s="12">
        <v>1</v>
      </c>
      <c r="BE48" s="12"/>
      <c r="BF48" s="12"/>
      <c r="BG48" s="12"/>
      <c r="BH48" s="12"/>
      <c r="BL48" s="12"/>
      <c r="BM48" s="12">
        <v>1</v>
      </c>
      <c r="BN48" s="12"/>
      <c r="BO48" s="12">
        <v>1</v>
      </c>
      <c r="BS48" s="12"/>
      <c r="BT48" s="12"/>
      <c r="BU48" s="12"/>
      <c r="BV48" s="12"/>
      <c r="BZ48" s="12"/>
      <c r="CA48" s="12"/>
      <c r="CB48" s="12"/>
      <c r="CC48" s="12"/>
      <c r="CG48" s="12"/>
      <c r="CH48" s="12"/>
      <c r="CI48" s="12"/>
      <c r="CJ48" s="12"/>
      <c r="CN48" s="12"/>
      <c r="CO48" s="12"/>
      <c r="CP48" s="12"/>
      <c r="CQ48" s="12"/>
      <c r="CU48" s="12"/>
      <c r="CV48" s="12"/>
      <c r="CW48" s="12"/>
      <c r="CX48" s="12"/>
      <c r="DB48" s="12"/>
      <c r="DC48" s="12"/>
      <c r="DD48" s="12"/>
      <c r="DE48" s="12"/>
      <c r="DI48" s="12"/>
      <c r="DJ48" s="12"/>
      <c r="DK48" s="12"/>
      <c r="DL48" s="12"/>
      <c r="DP48" s="12"/>
      <c r="DQ48" s="12"/>
      <c r="DR48" s="12"/>
      <c r="DS48" s="12"/>
      <c r="DX48" s="12"/>
      <c r="DY48" s="12"/>
      <c r="DZ48" s="12"/>
      <c r="EA48" s="12"/>
    </row>
    <row r="49" spans="2:131" ht="32.25" customHeight="1" collapsed="1">
      <c r="B49" s="20" t="s">
        <v>28</v>
      </c>
      <c r="C49" s="20" t="s">
        <v>126</v>
      </c>
      <c r="D49" s="20"/>
      <c r="E49" s="11"/>
      <c r="G49" s="12">
        <f>+SUM(G50:G57)</f>
        <v>0.94999999999999984</v>
      </c>
      <c r="I49" s="14">
        <f>+SUM(I50:I57)</f>
        <v>48</v>
      </c>
      <c r="J49" s="13">
        <f>+SUMPRODUCT(G50:G57,J50:J57)</f>
        <v>0</v>
      </c>
      <c r="K49" s="13">
        <f>+SUMPRODUCT(G50:G57,K50:K57)</f>
        <v>0</v>
      </c>
      <c r="L49" s="11"/>
      <c r="N49" s="14">
        <f>+SUM(N50:N57)</f>
        <v>8</v>
      </c>
      <c r="U49" s="14">
        <f>+SUM(U50:U57)</f>
        <v>8</v>
      </c>
      <c r="AB49" s="14">
        <f>+SUM(AB50:AB57)</f>
        <v>8</v>
      </c>
      <c r="AI49" s="14">
        <f>+SUM(AI50:AI57)</f>
        <v>8</v>
      </c>
      <c r="AP49" s="14">
        <f>+SUM(AP50:AP57)</f>
        <v>8</v>
      </c>
      <c r="AW49" s="14">
        <f>+SUM(AW50:AW57)</f>
        <v>8</v>
      </c>
      <c r="BD49" s="14">
        <f>+SUM(BD50:BD57)</f>
        <v>0</v>
      </c>
      <c r="BK49" s="14">
        <f>+SUM(BK50:BK57)</f>
        <v>0</v>
      </c>
      <c r="BR49" s="14">
        <f>+SUM(BR50:BR57)</f>
        <v>0</v>
      </c>
      <c r="BY49" s="14">
        <f>+SUM(BY50:BY57)</f>
        <v>0</v>
      </c>
      <c r="CF49" s="14">
        <f>+SUM(CF50:CF57)</f>
        <v>0</v>
      </c>
      <c r="CM49" s="14">
        <f>+SUM(CM50:CM57)</f>
        <v>0</v>
      </c>
      <c r="CT49" s="14">
        <f>+SUM(CT50:CT57)</f>
        <v>0</v>
      </c>
      <c r="DA49" s="14">
        <f>+SUM(DA50:DA57)</f>
        <v>0</v>
      </c>
      <c r="DH49" s="14">
        <f>+SUM(DH50:DH57)</f>
        <v>0</v>
      </c>
      <c r="DO49" s="14">
        <f>+SUM(DO50:DO57)</f>
        <v>0</v>
      </c>
      <c r="DW49" s="14">
        <f>+SUM(DW50:DW57)</f>
        <v>0</v>
      </c>
    </row>
    <row r="50" spans="2:131" ht="15.75" hidden="1" customHeight="1" outlineLevel="1">
      <c r="B50" t="s">
        <v>29</v>
      </c>
      <c r="C50" t="s">
        <v>2</v>
      </c>
      <c r="E50" s="11"/>
      <c r="F50" t="s">
        <v>96</v>
      </c>
      <c r="G50" s="12">
        <v>0.05</v>
      </c>
      <c r="I50" s="11">
        <f>+SUMIF($N$3:$ZZ$3,I$3,$N50:$ZZ50)</f>
        <v>6</v>
      </c>
      <c r="J50" s="13">
        <f t="shared" ref="J50:K57" si="8">+_xlfn.MAXIFS($N50:$ZF50,$N$3:$ZF$3,J$3)</f>
        <v>0</v>
      </c>
      <c r="K50" s="13">
        <f t="shared" si="8"/>
        <v>0</v>
      </c>
      <c r="L50" s="11"/>
      <c r="N50">
        <v>2</v>
      </c>
      <c r="O50" s="12"/>
      <c r="P50" s="12">
        <v>0.5</v>
      </c>
      <c r="Q50" s="12"/>
      <c r="R50" s="12">
        <v>0.5</v>
      </c>
      <c r="V50" s="12"/>
      <c r="W50" s="12">
        <v>0.5</v>
      </c>
      <c r="X50" s="12"/>
      <c r="Y50" s="12">
        <v>0.5</v>
      </c>
      <c r="AB50">
        <v>2</v>
      </c>
      <c r="AC50" s="12"/>
      <c r="AD50" s="12">
        <v>0.8</v>
      </c>
      <c r="AE50" s="12"/>
      <c r="AF50" s="12">
        <v>0.8</v>
      </c>
      <c r="AJ50" s="12"/>
      <c r="AK50" s="12">
        <v>0.8</v>
      </c>
      <c r="AL50" s="12"/>
      <c r="AM50" s="12">
        <v>0.8</v>
      </c>
      <c r="AP50">
        <v>2</v>
      </c>
      <c r="AQ50" s="12"/>
      <c r="AR50" s="12">
        <v>1</v>
      </c>
      <c r="AS50" s="12"/>
      <c r="AT50" s="12">
        <v>1</v>
      </c>
      <c r="AX50" s="12"/>
      <c r="AY50" s="12">
        <v>1</v>
      </c>
      <c r="AZ50" s="12"/>
      <c r="BA50" s="12">
        <v>1</v>
      </c>
      <c r="BE50" s="12"/>
      <c r="BF50" s="12"/>
      <c r="BG50" s="12"/>
      <c r="BH50" s="12"/>
      <c r="BL50" s="12"/>
      <c r="BM50" s="12">
        <v>1</v>
      </c>
      <c r="BN50" s="12"/>
      <c r="BO50" s="12">
        <v>1</v>
      </c>
      <c r="BS50" s="12"/>
      <c r="BT50" s="12"/>
      <c r="BU50" s="12"/>
      <c r="BV50" s="12"/>
      <c r="BZ50" s="12"/>
      <c r="CA50" s="12"/>
      <c r="CB50" s="12"/>
      <c r="CC50" s="12"/>
      <c r="CG50" s="12"/>
      <c r="CH50" s="12"/>
      <c r="CI50" s="12"/>
      <c r="CJ50" s="12"/>
      <c r="CN50" s="12"/>
      <c r="CO50" s="12"/>
      <c r="CP50" s="12"/>
      <c r="CQ50" s="12"/>
      <c r="CU50" s="12"/>
      <c r="CV50" s="12"/>
      <c r="CW50" s="12"/>
      <c r="CX50" s="12"/>
      <c r="DB50" s="12"/>
      <c r="DC50" s="12"/>
      <c r="DD50" s="12"/>
      <c r="DE50" s="12"/>
      <c r="DI50" s="12"/>
      <c r="DJ50" s="12"/>
      <c r="DK50" s="12"/>
      <c r="DL50" s="12"/>
      <c r="DP50" s="12"/>
      <c r="DQ50" s="12"/>
      <c r="DR50" s="12"/>
      <c r="DS50" s="12"/>
      <c r="DX50" s="12"/>
      <c r="DY50" s="12"/>
      <c r="DZ50" s="12"/>
      <c r="EA50" s="12"/>
    </row>
    <row r="51" spans="2:131" ht="15.75" hidden="1" customHeight="1" outlineLevel="1">
      <c r="B51" t="s">
        <v>29</v>
      </c>
      <c r="C51" t="s">
        <v>2</v>
      </c>
      <c r="E51" s="11"/>
      <c r="F51" t="s">
        <v>97</v>
      </c>
      <c r="G51" s="12">
        <v>0.05</v>
      </c>
      <c r="I51" s="11">
        <f t="shared" ref="I51:I57" si="9">+SUMIF($N$3:$ZZ$3,I$3,$N51:$ZZ51)</f>
        <v>6</v>
      </c>
      <c r="J51" s="13">
        <f t="shared" si="8"/>
        <v>0</v>
      </c>
      <c r="K51" s="13">
        <f t="shared" si="8"/>
        <v>0</v>
      </c>
      <c r="L51" s="11"/>
      <c r="N51">
        <v>2</v>
      </c>
      <c r="O51" s="12"/>
      <c r="P51" s="12">
        <v>0.5</v>
      </c>
      <c r="Q51" s="12"/>
      <c r="R51" s="12">
        <v>0.5</v>
      </c>
      <c r="V51" s="12"/>
      <c r="W51" s="12">
        <v>0.5</v>
      </c>
      <c r="X51" s="12"/>
      <c r="Y51" s="12">
        <v>0.5</v>
      </c>
      <c r="AB51">
        <v>2</v>
      </c>
      <c r="AC51" s="12"/>
      <c r="AD51" s="12">
        <v>0.8</v>
      </c>
      <c r="AE51" s="12"/>
      <c r="AF51" s="12">
        <v>0.8</v>
      </c>
      <c r="AJ51" s="12"/>
      <c r="AK51" s="12">
        <v>0.8</v>
      </c>
      <c r="AL51" s="12"/>
      <c r="AM51" s="12">
        <v>0.8</v>
      </c>
      <c r="AP51">
        <v>2</v>
      </c>
      <c r="AQ51" s="12"/>
      <c r="AR51" s="12">
        <v>1</v>
      </c>
      <c r="AS51" s="12"/>
      <c r="AT51" s="12">
        <v>1</v>
      </c>
      <c r="AX51" s="12"/>
      <c r="AY51" s="12">
        <v>1</v>
      </c>
      <c r="AZ51" s="12"/>
      <c r="BA51" s="12">
        <v>1</v>
      </c>
      <c r="BE51" s="12"/>
      <c r="BF51" s="12"/>
      <c r="BG51" s="12"/>
      <c r="BH51" s="12"/>
      <c r="BL51" s="12"/>
      <c r="BM51" s="12">
        <v>1</v>
      </c>
      <c r="BN51" s="12"/>
      <c r="BO51" s="12">
        <v>1</v>
      </c>
      <c r="BS51" s="12"/>
      <c r="BT51" s="12"/>
      <c r="BU51" s="12"/>
      <c r="BV51" s="12"/>
      <c r="BZ51" s="12"/>
      <c r="CA51" s="12"/>
      <c r="CB51" s="12"/>
      <c r="CC51" s="12"/>
      <c r="CG51" s="12"/>
      <c r="CH51" s="12"/>
      <c r="CI51" s="12"/>
      <c r="CJ51" s="12"/>
      <c r="CN51" s="12"/>
      <c r="CO51" s="12"/>
      <c r="CP51" s="12"/>
      <c r="CQ51" s="12"/>
      <c r="CU51" s="12"/>
      <c r="CV51" s="12"/>
      <c r="CW51" s="12"/>
      <c r="CX51" s="12"/>
      <c r="DB51" s="12"/>
      <c r="DC51" s="12"/>
      <c r="DD51" s="12"/>
      <c r="DE51" s="12"/>
      <c r="DI51" s="12"/>
      <c r="DJ51" s="12"/>
      <c r="DK51" s="12"/>
      <c r="DL51" s="12"/>
      <c r="DP51" s="12"/>
      <c r="DQ51" s="12"/>
      <c r="DR51" s="12"/>
      <c r="DS51" s="12"/>
      <c r="DX51" s="12"/>
      <c r="DY51" s="12"/>
      <c r="DZ51" s="12"/>
      <c r="EA51" s="12"/>
    </row>
    <row r="52" spans="2:131" ht="15.75" hidden="1" customHeight="1" outlineLevel="1">
      <c r="B52" t="s">
        <v>29</v>
      </c>
      <c r="C52" t="s">
        <v>2</v>
      </c>
      <c r="E52" s="11"/>
      <c r="F52" t="s">
        <v>98</v>
      </c>
      <c r="G52" s="12">
        <v>0.15</v>
      </c>
      <c r="I52" s="11">
        <f t="shared" si="9"/>
        <v>6</v>
      </c>
      <c r="J52" s="13">
        <f t="shared" si="8"/>
        <v>0</v>
      </c>
      <c r="K52" s="13">
        <f t="shared" si="8"/>
        <v>0</v>
      </c>
      <c r="L52" s="11"/>
      <c r="N52">
        <v>2</v>
      </c>
      <c r="O52" s="12"/>
      <c r="P52" s="12">
        <v>0.5</v>
      </c>
      <c r="Q52" s="12"/>
      <c r="R52" s="12">
        <v>0.5</v>
      </c>
      <c r="V52" s="12"/>
      <c r="W52" s="12">
        <v>0.5</v>
      </c>
      <c r="X52" s="12"/>
      <c r="Y52" s="12">
        <v>0.5</v>
      </c>
      <c r="AB52">
        <v>2</v>
      </c>
      <c r="AC52" s="12"/>
      <c r="AD52" s="12">
        <v>0.8</v>
      </c>
      <c r="AE52" s="12"/>
      <c r="AF52" s="12">
        <v>0.8</v>
      </c>
      <c r="AJ52" s="12"/>
      <c r="AK52" s="12">
        <v>0.8</v>
      </c>
      <c r="AL52" s="12"/>
      <c r="AM52" s="12">
        <v>0.8</v>
      </c>
      <c r="AP52">
        <v>2</v>
      </c>
      <c r="AQ52" s="12"/>
      <c r="AR52" s="12">
        <v>1</v>
      </c>
      <c r="AS52" s="12"/>
      <c r="AT52" s="12">
        <v>1</v>
      </c>
      <c r="AX52" s="12"/>
      <c r="AY52" s="12">
        <v>1</v>
      </c>
      <c r="AZ52" s="12"/>
      <c r="BA52" s="12">
        <v>1</v>
      </c>
      <c r="BE52" s="12"/>
      <c r="BF52" s="12"/>
      <c r="BG52" s="12"/>
      <c r="BH52" s="12"/>
      <c r="BL52" s="12"/>
      <c r="BM52" s="12">
        <v>1</v>
      </c>
      <c r="BN52" s="12"/>
      <c r="BO52" s="12">
        <v>1</v>
      </c>
      <c r="BS52" s="12"/>
      <c r="BT52" s="12"/>
      <c r="BU52" s="12"/>
      <c r="BV52" s="12"/>
      <c r="BZ52" s="12"/>
      <c r="CA52" s="12"/>
      <c r="CB52" s="12"/>
      <c r="CC52" s="12"/>
      <c r="CG52" s="12"/>
      <c r="CH52" s="12"/>
      <c r="CI52" s="12"/>
      <c r="CJ52" s="12"/>
      <c r="CN52" s="12"/>
      <c r="CO52" s="12"/>
      <c r="CP52" s="12"/>
      <c r="CQ52" s="12"/>
      <c r="CU52" s="12"/>
      <c r="CV52" s="12"/>
      <c r="CW52" s="12"/>
      <c r="CX52" s="12"/>
      <c r="DB52" s="12"/>
      <c r="DC52" s="12"/>
      <c r="DD52" s="12"/>
      <c r="DE52" s="12"/>
      <c r="DI52" s="12"/>
      <c r="DJ52" s="12"/>
      <c r="DK52" s="12"/>
      <c r="DL52" s="12"/>
      <c r="DP52" s="12"/>
      <c r="DQ52" s="12"/>
      <c r="DR52" s="12"/>
      <c r="DS52" s="12"/>
      <c r="DX52" s="12"/>
      <c r="DY52" s="12"/>
      <c r="DZ52" s="12"/>
      <c r="EA52" s="12"/>
    </row>
    <row r="53" spans="2:131" ht="15.75" hidden="1" customHeight="1" outlineLevel="1">
      <c r="B53" t="s">
        <v>29</v>
      </c>
      <c r="C53" t="s">
        <v>2</v>
      </c>
      <c r="E53" s="11"/>
      <c r="F53" t="s">
        <v>140</v>
      </c>
      <c r="G53" s="12">
        <v>0.1</v>
      </c>
      <c r="I53" s="11">
        <f t="shared" si="9"/>
        <v>6</v>
      </c>
      <c r="J53" s="13">
        <f t="shared" si="8"/>
        <v>0</v>
      </c>
      <c r="K53" s="13">
        <f t="shared" si="8"/>
        <v>0</v>
      </c>
      <c r="L53" s="11"/>
      <c r="N53">
        <v>2</v>
      </c>
      <c r="O53" s="12"/>
      <c r="P53" s="12">
        <v>0.5</v>
      </c>
      <c r="Q53" s="12"/>
      <c r="R53" s="12">
        <v>0.5</v>
      </c>
      <c r="V53" s="12"/>
      <c r="W53" s="12">
        <v>0.5</v>
      </c>
      <c r="X53" s="12"/>
      <c r="Y53" s="12">
        <v>0.5</v>
      </c>
      <c r="AB53">
        <v>2</v>
      </c>
      <c r="AC53" s="12"/>
      <c r="AD53" s="12">
        <v>0.8</v>
      </c>
      <c r="AE53" s="12"/>
      <c r="AF53" s="12">
        <v>0.8</v>
      </c>
      <c r="AJ53" s="12"/>
      <c r="AK53" s="12">
        <v>0.8</v>
      </c>
      <c r="AL53" s="12"/>
      <c r="AM53" s="12">
        <v>0.8</v>
      </c>
      <c r="AP53">
        <v>2</v>
      </c>
      <c r="AQ53" s="12"/>
      <c r="AR53" s="12">
        <v>1</v>
      </c>
      <c r="AS53" s="12"/>
      <c r="AT53" s="12">
        <v>1</v>
      </c>
      <c r="AX53" s="12"/>
      <c r="AY53" s="12">
        <v>1</v>
      </c>
      <c r="AZ53" s="12"/>
      <c r="BA53" s="12">
        <v>1</v>
      </c>
      <c r="BE53" s="12"/>
      <c r="BF53" s="12"/>
      <c r="BG53" s="12"/>
      <c r="BH53" s="12"/>
      <c r="BL53" s="12"/>
      <c r="BM53" s="12">
        <v>1</v>
      </c>
      <c r="BN53" s="12"/>
      <c r="BO53" s="12">
        <v>1</v>
      </c>
      <c r="BS53" s="12"/>
      <c r="BT53" s="12"/>
      <c r="BU53" s="12"/>
      <c r="BV53" s="12"/>
      <c r="BZ53" s="12"/>
      <c r="CA53" s="12"/>
      <c r="CB53" s="12"/>
      <c r="CC53" s="12"/>
      <c r="CG53" s="12"/>
      <c r="CH53" s="12"/>
      <c r="CI53" s="12"/>
      <c r="CJ53" s="12"/>
      <c r="CN53" s="12"/>
      <c r="CO53" s="12"/>
      <c r="CP53" s="12"/>
      <c r="CQ53" s="12"/>
      <c r="CU53" s="12"/>
      <c r="CV53" s="12"/>
      <c r="CW53" s="12"/>
      <c r="CX53" s="12"/>
      <c r="DB53" s="12"/>
      <c r="DC53" s="12"/>
      <c r="DD53" s="12"/>
      <c r="DE53" s="12"/>
      <c r="DI53" s="12"/>
      <c r="DJ53" s="12"/>
      <c r="DK53" s="12"/>
      <c r="DL53" s="12"/>
      <c r="DP53" s="12"/>
      <c r="DQ53" s="12"/>
      <c r="DR53" s="12"/>
      <c r="DS53" s="12"/>
      <c r="DX53" s="12"/>
      <c r="DY53" s="12"/>
      <c r="DZ53" s="12"/>
      <c r="EA53" s="12"/>
    </row>
    <row r="54" spans="2:131" ht="15.75" hidden="1" customHeight="1" outlineLevel="1">
      <c r="B54" t="s">
        <v>29</v>
      </c>
      <c r="C54" t="s">
        <v>2</v>
      </c>
      <c r="E54" s="11"/>
      <c r="F54" t="s">
        <v>141</v>
      </c>
      <c r="G54" s="12">
        <v>0.1</v>
      </c>
      <c r="I54" s="11">
        <f t="shared" si="9"/>
        <v>6</v>
      </c>
      <c r="J54" s="13">
        <f t="shared" si="8"/>
        <v>0</v>
      </c>
      <c r="K54" s="13">
        <f t="shared" si="8"/>
        <v>0</v>
      </c>
      <c r="L54" s="11"/>
      <c r="O54" s="12"/>
      <c r="P54" s="12"/>
      <c r="Q54" s="12"/>
      <c r="R54" s="12"/>
      <c r="U54">
        <v>2</v>
      </c>
      <c r="V54" s="12"/>
      <c r="W54" s="12">
        <v>0.5</v>
      </c>
      <c r="X54" s="12"/>
      <c r="Y54" s="12">
        <v>0.5</v>
      </c>
      <c r="AC54" s="12"/>
      <c r="AD54" s="12">
        <v>0.5</v>
      </c>
      <c r="AE54" s="12"/>
      <c r="AF54" s="12">
        <v>0.5</v>
      </c>
      <c r="AI54">
        <v>2</v>
      </c>
      <c r="AJ54" s="12"/>
      <c r="AK54" s="12">
        <v>0.8</v>
      </c>
      <c r="AL54" s="12"/>
      <c r="AM54" s="12">
        <v>0.8</v>
      </c>
      <c r="AQ54" s="12"/>
      <c r="AR54" s="12">
        <v>0.8</v>
      </c>
      <c r="AS54" s="12"/>
      <c r="AT54" s="12">
        <v>0.8</v>
      </c>
      <c r="AW54">
        <v>2</v>
      </c>
      <c r="AX54" s="12"/>
      <c r="AY54" s="12">
        <v>1</v>
      </c>
      <c r="AZ54" s="12"/>
      <c r="BA54" s="12">
        <v>1</v>
      </c>
      <c r="BE54" s="12"/>
      <c r="BF54" s="12"/>
      <c r="BG54" s="12"/>
      <c r="BH54" s="12"/>
      <c r="BL54" s="12"/>
      <c r="BM54" s="12">
        <v>1</v>
      </c>
      <c r="BN54" s="12"/>
      <c r="BO54" s="12">
        <v>1</v>
      </c>
      <c r="BS54" s="12"/>
      <c r="BT54" s="12"/>
      <c r="BU54" s="12"/>
      <c r="BV54" s="12"/>
      <c r="BZ54" s="12"/>
      <c r="CA54" s="12"/>
      <c r="CB54" s="12"/>
      <c r="CC54" s="12"/>
      <c r="CG54" s="12"/>
      <c r="CH54" s="12"/>
      <c r="CI54" s="12"/>
      <c r="CJ54" s="12"/>
      <c r="CN54" s="12"/>
      <c r="CO54" s="12"/>
      <c r="CP54" s="12"/>
      <c r="CQ54" s="12"/>
      <c r="CU54" s="12"/>
      <c r="CV54" s="12"/>
      <c r="CW54" s="12"/>
      <c r="CX54" s="12"/>
      <c r="DB54" s="12"/>
      <c r="DC54" s="12"/>
      <c r="DD54" s="12"/>
      <c r="DE54" s="12"/>
      <c r="DI54" s="12"/>
      <c r="DJ54" s="12"/>
      <c r="DK54" s="12"/>
      <c r="DL54" s="12"/>
      <c r="DP54" s="12"/>
      <c r="DQ54" s="12"/>
      <c r="DR54" s="12"/>
      <c r="DS54" s="12"/>
      <c r="DX54" s="12"/>
      <c r="DY54" s="12"/>
      <c r="DZ54" s="12"/>
      <c r="EA54" s="12"/>
    </row>
    <row r="55" spans="2:131" ht="15.75" hidden="1" customHeight="1" outlineLevel="1">
      <c r="B55" t="s">
        <v>29</v>
      </c>
      <c r="C55" t="s">
        <v>2</v>
      </c>
      <c r="E55" s="11"/>
      <c r="F55" t="s">
        <v>142</v>
      </c>
      <c r="G55" s="12">
        <v>0.1</v>
      </c>
      <c r="I55" s="11">
        <f t="shared" si="9"/>
        <v>6</v>
      </c>
      <c r="J55" s="13">
        <f t="shared" si="8"/>
        <v>0</v>
      </c>
      <c r="K55" s="13">
        <f t="shared" si="8"/>
        <v>0</v>
      </c>
      <c r="L55" s="11"/>
      <c r="O55" s="12"/>
      <c r="P55" s="12"/>
      <c r="Q55" s="12"/>
      <c r="R55" s="12"/>
      <c r="U55">
        <v>2</v>
      </c>
      <c r="V55" s="12"/>
      <c r="W55" s="12">
        <v>0.5</v>
      </c>
      <c r="X55" s="12"/>
      <c r="Y55" s="12">
        <v>0.5</v>
      </c>
      <c r="AC55" s="12"/>
      <c r="AD55" s="12">
        <v>0.5</v>
      </c>
      <c r="AE55" s="12"/>
      <c r="AF55" s="12">
        <v>0.5</v>
      </c>
      <c r="AI55">
        <v>2</v>
      </c>
      <c r="AJ55" s="12"/>
      <c r="AK55" s="12">
        <v>0.8</v>
      </c>
      <c r="AL55" s="12"/>
      <c r="AM55" s="12">
        <v>0.8</v>
      </c>
      <c r="AQ55" s="12"/>
      <c r="AR55" s="12">
        <v>0.8</v>
      </c>
      <c r="AS55" s="12"/>
      <c r="AT55" s="12">
        <v>0.8</v>
      </c>
      <c r="AW55">
        <v>2</v>
      </c>
      <c r="AX55" s="12"/>
      <c r="AY55" s="12">
        <v>1</v>
      </c>
      <c r="AZ55" s="12"/>
      <c r="BA55" s="12">
        <v>1</v>
      </c>
      <c r="BE55" s="12"/>
      <c r="BF55" s="12"/>
      <c r="BG55" s="12"/>
      <c r="BH55" s="12"/>
      <c r="BL55" s="12"/>
      <c r="BM55" s="12">
        <v>1</v>
      </c>
      <c r="BN55" s="12"/>
      <c r="BO55" s="12">
        <v>1</v>
      </c>
      <c r="BS55" s="12"/>
      <c r="BT55" s="12"/>
      <c r="BU55" s="12"/>
      <c r="BV55" s="12"/>
      <c r="BZ55" s="12"/>
      <c r="CA55" s="12"/>
      <c r="CB55" s="12"/>
      <c r="CC55" s="12"/>
      <c r="CG55" s="12"/>
      <c r="CH55" s="12"/>
      <c r="CI55" s="12"/>
      <c r="CJ55" s="12"/>
      <c r="CN55" s="12"/>
      <c r="CO55" s="12"/>
      <c r="CP55" s="12"/>
      <c r="CQ55" s="12"/>
      <c r="CU55" s="12"/>
      <c r="CV55" s="12"/>
      <c r="CW55" s="12"/>
      <c r="CX55" s="12"/>
      <c r="DB55" s="12"/>
      <c r="DC55" s="12"/>
      <c r="DD55" s="12"/>
      <c r="DE55" s="12"/>
      <c r="DI55" s="12"/>
      <c r="DJ55" s="12"/>
      <c r="DK55" s="12"/>
      <c r="DL55" s="12"/>
      <c r="DP55" s="12"/>
      <c r="DQ55" s="12"/>
      <c r="DR55" s="12"/>
      <c r="DS55" s="12"/>
      <c r="DX55" s="12"/>
      <c r="DY55" s="12"/>
      <c r="DZ55" s="12"/>
      <c r="EA55" s="12"/>
    </row>
    <row r="56" spans="2:131" ht="15.75" hidden="1" customHeight="1" outlineLevel="1">
      <c r="B56" t="s">
        <v>29</v>
      </c>
      <c r="C56" t="s">
        <v>2</v>
      </c>
      <c r="E56" s="11"/>
      <c r="F56" t="s">
        <v>143</v>
      </c>
      <c r="G56" s="12">
        <v>0.3</v>
      </c>
      <c r="I56" s="11">
        <f t="shared" si="9"/>
        <v>6</v>
      </c>
      <c r="J56" s="13">
        <f t="shared" si="8"/>
        <v>0</v>
      </c>
      <c r="K56" s="13">
        <f t="shared" si="8"/>
        <v>0</v>
      </c>
      <c r="L56" s="11"/>
      <c r="O56" s="12"/>
      <c r="P56" s="12"/>
      <c r="Q56" s="12"/>
      <c r="R56" s="12"/>
      <c r="U56">
        <v>2</v>
      </c>
      <c r="V56" s="12"/>
      <c r="W56" s="12">
        <v>0.5</v>
      </c>
      <c r="X56" s="12"/>
      <c r="Y56" s="12">
        <v>0.5</v>
      </c>
      <c r="AC56" s="12"/>
      <c r="AD56" s="12">
        <v>0.5</v>
      </c>
      <c r="AE56" s="12"/>
      <c r="AF56" s="12">
        <v>0.5</v>
      </c>
      <c r="AI56">
        <v>2</v>
      </c>
      <c r="AJ56" s="12"/>
      <c r="AK56" s="12">
        <v>0.8</v>
      </c>
      <c r="AL56" s="12"/>
      <c r="AM56" s="12">
        <v>0.8</v>
      </c>
      <c r="AQ56" s="12"/>
      <c r="AR56" s="12">
        <v>0.8</v>
      </c>
      <c r="AS56" s="12"/>
      <c r="AT56" s="12">
        <v>0.8</v>
      </c>
      <c r="AW56">
        <v>2</v>
      </c>
      <c r="AX56" s="12"/>
      <c r="AY56" s="12">
        <v>1</v>
      </c>
      <c r="AZ56" s="12"/>
      <c r="BA56" s="12">
        <v>1</v>
      </c>
      <c r="BE56" s="12"/>
      <c r="BF56" s="12"/>
      <c r="BG56" s="12"/>
      <c r="BH56" s="12"/>
      <c r="BL56" s="12"/>
      <c r="BM56" s="12">
        <v>1</v>
      </c>
      <c r="BN56" s="12"/>
      <c r="BO56" s="12">
        <v>1</v>
      </c>
      <c r="BS56" s="12"/>
      <c r="BT56" s="12"/>
      <c r="BU56" s="12"/>
      <c r="BV56" s="12"/>
      <c r="BZ56" s="12"/>
      <c r="CA56" s="12"/>
      <c r="CB56" s="12"/>
      <c r="CC56" s="12"/>
      <c r="CG56" s="12"/>
      <c r="CH56" s="12"/>
      <c r="CI56" s="12"/>
      <c r="CJ56" s="12"/>
      <c r="CN56" s="12"/>
      <c r="CO56" s="12"/>
      <c r="CP56" s="12"/>
      <c r="CQ56" s="12"/>
      <c r="CU56" s="12"/>
      <c r="CV56" s="12"/>
      <c r="CW56" s="12"/>
      <c r="CX56" s="12"/>
      <c r="DB56" s="12"/>
      <c r="DC56" s="12"/>
      <c r="DD56" s="12"/>
      <c r="DE56" s="12"/>
      <c r="DI56" s="12"/>
      <c r="DJ56" s="12"/>
      <c r="DK56" s="12"/>
      <c r="DL56" s="12"/>
      <c r="DP56" s="12"/>
      <c r="DQ56" s="12"/>
      <c r="DR56" s="12"/>
      <c r="DS56" s="12"/>
      <c r="DX56" s="12"/>
      <c r="DY56" s="12"/>
      <c r="DZ56" s="12"/>
      <c r="EA56" s="12"/>
    </row>
    <row r="57" spans="2:131" ht="15.75" hidden="1" customHeight="1" outlineLevel="1">
      <c r="B57" t="s">
        <v>29</v>
      </c>
      <c r="C57" t="s">
        <v>2</v>
      </c>
      <c r="E57" s="11"/>
      <c r="F57" t="s">
        <v>144</v>
      </c>
      <c r="G57" s="12">
        <v>0.1</v>
      </c>
      <c r="I57" s="11">
        <f t="shared" si="9"/>
        <v>6</v>
      </c>
      <c r="J57" s="13">
        <f t="shared" si="8"/>
        <v>0</v>
      </c>
      <c r="K57" s="13">
        <f t="shared" si="8"/>
        <v>0</v>
      </c>
      <c r="L57" s="11"/>
      <c r="O57" s="12"/>
      <c r="P57" s="12"/>
      <c r="Q57" s="12"/>
      <c r="R57" s="12"/>
      <c r="U57">
        <v>2</v>
      </c>
      <c r="V57" s="12"/>
      <c r="W57" s="12">
        <v>0.5</v>
      </c>
      <c r="X57" s="12"/>
      <c r="Y57" s="12">
        <v>0.5</v>
      </c>
      <c r="AC57" s="12"/>
      <c r="AD57" s="12">
        <v>0.5</v>
      </c>
      <c r="AE57" s="12"/>
      <c r="AF57" s="12">
        <v>0.5</v>
      </c>
      <c r="AI57">
        <v>2</v>
      </c>
      <c r="AJ57" s="12"/>
      <c r="AK57" s="12">
        <v>0.8</v>
      </c>
      <c r="AL57" s="12"/>
      <c r="AM57" s="12">
        <v>0.8</v>
      </c>
      <c r="AQ57" s="12"/>
      <c r="AR57" s="12">
        <v>0.8</v>
      </c>
      <c r="AS57" s="12"/>
      <c r="AT57" s="12">
        <v>0.8</v>
      </c>
      <c r="AW57">
        <v>2</v>
      </c>
      <c r="AX57" s="12"/>
      <c r="AY57" s="12">
        <v>1</v>
      </c>
      <c r="AZ57" s="12"/>
      <c r="BA57" s="12">
        <v>1</v>
      </c>
      <c r="BE57" s="12"/>
      <c r="BF57" s="12"/>
      <c r="BG57" s="12"/>
      <c r="BH57" s="12"/>
      <c r="BL57" s="12"/>
      <c r="BM57" s="12">
        <v>1</v>
      </c>
      <c r="BN57" s="12"/>
      <c r="BO57" s="12">
        <v>1</v>
      </c>
      <c r="BS57" s="12"/>
      <c r="BT57" s="12"/>
      <c r="BU57" s="12"/>
      <c r="BV57" s="12"/>
      <c r="BZ57" s="12"/>
      <c r="CA57" s="12"/>
      <c r="CB57" s="12"/>
      <c r="CC57" s="12"/>
      <c r="CG57" s="12"/>
      <c r="CH57" s="12"/>
      <c r="CI57" s="12"/>
      <c r="CJ57" s="12"/>
      <c r="CN57" s="12"/>
      <c r="CO57" s="12"/>
      <c r="CP57" s="12"/>
      <c r="CQ57" s="12"/>
      <c r="CU57" s="12"/>
      <c r="CV57" s="12"/>
      <c r="CW57" s="12"/>
      <c r="CX57" s="12"/>
      <c r="DB57" s="12"/>
      <c r="DC57" s="12"/>
      <c r="DD57" s="12"/>
      <c r="DE57" s="12"/>
      <c r="DI57" s="12"/>
      <c r="DJ57" s="12"/>
      <c r="DK57" s="12"/>
      <c r="DL57" s="12"/>
      <c r="DP57" s="12"/>
      <c r="DQ57" s="12"/>
      <c r="DR57" s="12"/>
      <c r="DS57" s="12"/>
      <c r="DX57" s="12"/>
      <c r="DY57" s="12"/>
      <c r="DZ57" s="12"/>
      <c r="EA57" s="12"/>
    </row>
    <row r="58" spans="2:131" collapsed="1"/>
    <row r="59" spans="2:131">
      <c r="B59" s="21" t="s">
        <v>28</v>
      </c>
      <c r="C59" s="21" t="s">
        <v>64</v>
      </c>
      <c r="D59" s="21"/>
      <c r="E59" s="26">
        <v>7</v>
      </c>
      <c r="G59" s="12">
        <f>+SUM(G60:G70)</f>
        <v>1</v>
      </c>
      <c r="I59" s="14">
        <f>+SUM(I60:I70)</f>
        <v>45</v>
      </c>
      <c r="J59" s="13">
        <f>+SUMPRODUCT(G60:G70,J60:J70)</f>
        <v>0</v>
      </c>
      <c r="K59" s="13">
        <f>+SUMPRODUCT(G60:G70,K60:K70)</f>
        <v>0</v>
      </c>
      <c r="L59" s="11"/>
      <c r="N59" s="14">
        <f>+SUM(N60:N70)</f>
        <v>7.5</v>
      </c>
      <c r="U59" s="14">
        <f>+SUM(U60:U70)</f>
        <v>7.5</v>
      </c>
      <c r="AB59" s="14">
        <f>+SUM(AB60:AB70)</f>
        <v>7.5</v>
      </c>
      <c r="AI59" s="14">
        <f>+SUM(AI60:AI70)</f>
        <v>7.5</v>
      </c>
      <c r="AP59" s="14">
        <f>+SUM(AP60:AP70)</f>
        <v>7.5</v>
      </c>
      <c r="AW59" s="14">
        <f>+SUM(AW60:AW70)</f>
        <v>7.5</v>
      </c>
      <c r="BD59" s="14">
        <f>+SUM(BD60:BD70)</f>
        <v>0</v>
      </c>
      <c r="BK59" s="14">
        <f>+SUM(BK60:BK70)</f>
        <v>0</v>
      </c>
      <c r="BR59" s="14">
        <f>+SUM(BR60:BR70)</f>
        <v>0</v>
      </c>
      <c r="BY59" s="14">
        <f>+SUM(BY60:BY70)</f>
        <v>0</v>
      </c>
      <c r="CF59" s="14">
        <f>+SUM(CF60:CF70)</f>
        <v>0</v>
      </c>
      <c r="CM59" s="14">
        <f>+SUM(CM60:CM70)</f>
        <v>0</v>
      </c>
      <c r="CT59" s="14">
        <f>+SUM(CT60:CT70)</f>
        <v>0</v>
      </c>
      <c r="DA59" s="14">
        <f>+SUM(DA60:DA70)</f>
        <v>0</v>
      </c>
      <c r="DH59" s="14">
        <f>+SUM(DH60:DH70)</f>
        <v>0</v>
      </c>
      <c r="DO59" s="14">
        <f>+SUM(DO60:DO70)</f>
        <v>0</v>
      </c>
      <c r="DW59" s="14">
        <f>+SUM(DW60:DW70)</f>
        <v>0</v>
      </c>
    </row>
    <row r="60" spans="2:131" ht="15.75" hidden="1" customHeight="1" outlineLevel="1">
      <c r="B60" t="s">
        <v>29</v>
      </c>
      <c r="C60" t="s">
        <v>2</v>
      </c>
      <c r="E60" s="11"/>
      <c r="F60" t="s">
        <v>56</v>
      </c>
      <c r="G60" s="12">
        <v>0.15</v>
      </c>
      <c r="I60" s="11">
        <f>+SUMIF($N$3:$ZZ$3,I$3,$N60:$ZZ60)</f>
        <v>4.5</v>
      </c>
      <c r="J60" s="13">
        <f t="shared" ref="J60:K70" si="10">+_xlfn.MAXIFS($N60:$ZF60,$N$3:$ZF$3,J$3)</f>
        <v>0</v>
      </c>
      <c r="K60" s="13">
        <f t="shared" si="10"/>
        <v>0</v>
      </c>
      <c r="L60" s="11"/>
      <c r="N60">
        <v>1.5</v>
      </c>
      <c r="O60" s="12"/>
      <c r="P60" s="12">
        <v>0.5</v>
      </c>
      <c r="Q60" s="12"/>
      <c r="R60" s="12">
        <v>0.5</v>
      </c>
      <c r="V60" s="12"/>
      <c r="W60" s="12">
        <v>0.5</v>
      </c>
      <c r="X60" s="12"/>
      <c r="Y60" s="12">
        <v>0.5</v>
      </c>
      <c r="AB60">
        <v>1.5</v>
      </c>
      <c r="AC60" s="12"/>
      <c r="AD60" s="12">
        <v>0.8</v>
      </c>
      <c r="AE60" s="12"/>
      <c r="AF60" s="12">
        <v>0.8</v>
      </c>
      <c r="AJ60" s="12"/>
      <c r="AK60" s="12">
        <v>0.8</v>
      </c>
      <c r="AL60" s="12"/>
      <c r="AM60" s="12">
        <v>0.8</v>
      </c>
      <c r="AP60">
        <v>1.5</v>
      </c>
      <c r="AQ60" s="12"/>
      <c r="AR60" s="12">
        <v>1</v>
      </c>
      <c r="AS60" s="12"/>
      <c r="AT60" s="12">
        <v>1</v>
      </c>
      <c r="AX60" s="12"/>
      <c r="AY60" s="12">
        <v>1</v>
      </c>
      <c r="AZ60" s="12"/>
      <c r="BA60" s="12">
        <v>1</v>
      </c>
      <c r="BE60" s="12"/>
      <c r="BF60" s="12"/>
      <c r="BG60" s="12"/>
      <c r="BH60" s="12"/>
      <c r="BL60" s="12"/>
      <c r="BM60" s="12">
        <v>1</v>
      </c>
      <c r="BN60" s="12"/>
      <c r="BO60" s="12">
        <v>1</v>
      </c>
      <c r="BS60" s="12"/>
      <c r="BT60" s="12"/>
      <c r="BU60" s="12"/>
      <c r="BV60" s="12"/>
      <c r="BZ60" s="12"/>
      <c r="CA60" s="12"/>
      <c r="CB60" s="12"/>
      <c r="CC60" s="12"/>
      <c r="CG60" s="12"/>
      <c r="CH60" s="12"/>
      <c r="CI60" s="12"/>
      <c r="CJ60" s="12"/>
      <c r="CN60" s="12"/>
      <c r="CO60" s="12"/>
      <c r="CP60" s="12"/>
      <c r="CQ60" s="12"/>
      <c r="CU60" s="12"/>
      <c r="CV60" s="12"/>
      <c r="CW60" s="12"/>
      <c r="CX60" s="12"/>
      <c r="DB60" s="12"/>
      <c r="DC60" s="12"/>
      <c r="DD60" s="12"/>
      <c r="DE60" s="12"/>
      <c r="DI60" s="12"/>
      <c r="DJ60" s="12"/>
      <c r="DK60" s="12"/>
      <c r="DL60" s="12"/>
      <c r="DP60" s="12"/>
      <c r="DQ60" s="12"/>
      <c r="DR60" s="12"/>
      <c r="DS60" s="12"/>
      <c r="DX60" s="12"/>
      <c r="DY60" s="12"/>
      <c r="DZ60" s="12"/>
      <c r="EA60" s="12"/>
    </row>
    <row r="61" spans="2:131" ht="15.75" hidden="1" customHeight="1" outlineLevel="1">
      <c r="B61" t="s">
        <v>29</v>
      </c>
      <c r="C61" t="s">
        <v>2</v>
      </c>
      <c r="E61" s="11"/>
      <c r="F61" t="s">
        <v>99</v>
      </c>
      <c r="G61" s="12">
        <v>0.15</v>
      </c>
      <c r="I61" s="11">
        <f t="shared" ref="I61:I70" si="11">+SUMIF($N$3:$ZZ$3,I$3,$N61:$ZZ61)</f>
        <v>4.5</v>
      </c>
      <c r="J61" s="13">
        <f t="shared" si="10"/>
        <v>0</v>
      </c>
      <c r="K61" s="13">
        <f t="shared" si="10"/>
        <v>0</v>
      </c>
      <c r="L61" s="11"/>
      <c r="N61">
        <v>1.5</v>
      </c>
      <c r="O61" s="12"/>
      <c r="P61" s="12">
        <v>0.5</v>
      </c>
      <c r="Q61" s="12"/>
      <c r="R61" s="12">
        <v>0.5</v>
      </c>
      <c r="V61" s="12"/>
      <c r="W61" s="12">
        <v>0.5</v>
      </c>
      <c r="X61" s="12"/>
      <c r="Y61" s="12">
        <v>0.5</v>
      </c>
      <c r="AB61">
        <v>1.5</v>
      </c>
      <c r="AC61" s="12"/>
      <c r="AD61" s="12">
        <v>0.8</v>
      </c>
      <c r="AE61" s="12"/>
      <c r="AF61" s="12">
        <v>0.8</v>
      </c>
      <c r="AJ61" s="12"/>
      <c r="AK61" s="12">
        <v>0.8</v>
      </c>
      <c r="AL61" s="12"/>
      <c r="AM61" s="12">
        <v>0.8</v>
      </c>
      <c r="AP61">
        <v>1.5</v>
      </c>
      <c r="AQ61" s="12"/>
      <c r="AR61" s="12">
        <v>1</v>
      </c>
      <c r="AS61" s="12"/>
      <c r="AT61" s="12">
        <v>1</v>
      </c>
      <c r="AX61" s="12"/>
      <c r="AY61" s="12">
        <v>1</v>
      </c>
      <c r="AZ61" s="12"/>
      <c r="BA61" s="12">
        <v>1</v>
      </c>
      <c r="BE61" s="12"/>
      <c r="BF61" s="12"/>
      <c r="BG61" s="12"/>
      <c r="BH61" s="12"/>
      <c r="BL61" s="12"/>
      <c r="BM61" s="12">
        <v>1</v>
      </c>
      <c r="BN61" s="12"/>
      <c r="BO61" s="12">
        <v>1</v>
      </c>
      <c r="BS61" s="12"/>
      <c r="BT61" s="12"/>
      <c r="BU61" s="12"/>
      <c r="BV61" s="12"/>
      <c r="BZ61" s="12"/>
      <c r="CA61" s="12"/>
      <c r="CB61" s="12"/>
      <c r="CC61" s="12"/>
      <c r="CG61" s="12"/>
      <c r="CH61" s="12"/>
      <c r="CI61" s="12"/>
      <c r="CJ61" s="12"/>
      <c r="CN61" s="12"/>
      <c r="CO61" s="12"/>
      <c r="CP61" s="12"/>
      <c r="CQ61" s="12"/>
      <c r="CU61" s="12"/>
      <c r="CV61" s="12"/>
      <c r="CW61" s="12"/>
      <c r="CX61" s="12"/>
      <c r="DB61" s="12"/>
      <c r="DC61" s="12"/>
      <c r="DD61" s="12"/>
      <c r="DE61" s="12"/>
      <c r="DI61" s="12"/>
      <c r="DJ61" s="12"/>
      <c r="DK61" s="12"/>
      <c r="DL61" s="12"/>
      <c r="DP61" s="12"/>
      <c r="DQ61" s="12"/>
      <c r="DR61" s="12"/>
      <c r="DS61" s="12"/>
      <c r="DX61" s="12"/>
      <c r="DY61" s="12"/>
      <c r="DZ61" s="12"/>
      <c r="EA61" s="12"/>
    </row>
    <row r="62" spans="2:131" ht="15.75" hidden="1" customHeight="1" outlineLevel="1">
      <c r="B62" t="s">
        <v>29</v>
      </c>
      <c r="C62" t="s">
        <v>2</v>
      </c>
      <c r="E62" s="11"/>
      <c r="F62" t="s">
        <v>100</v>
      </c>
      <c r="G62" s="12">
        <v>0.05</v>
      </c>
      <c r="I62" s="11">
        <f t="shared" si="11"/>
        <v>4.5</v>
      </c>
      <c r="J62" s="13">
        <f t="shared" si="10"/>
        <v>0</v>
      </c>
      <c r="K62" s="13">
        <f t="shared" si="10"/>
        <v>0</v>
      </c>
      <c r="L62" s="11"/>
      <c r="N62">
        <v>1.5</v>
      </c>
      <c r="O62" s="12"/>
      <c r="P62" s="12">
        <v>0.5</v>
      </c>
      <c r="Q62" s="12"/>
      <c r="R62" s="12">
        <v>0.5</v>
      </c>
      <c r="V62" s="12"/>
      <c r="W62" s="12">
        <v>0.5</v>
      </c>
      <c r="X62" s="12"/>
      <c r="Y62" s="12">
        <v>0.5</v>
      </c>
      <c r="AB62">
        <v>1.5</v>
      </c>
      <c r="AC62" s="12"/>
      <c r="AD62" s="12">
        <v>0.8</v>
      </c>
      <c r="AE62" s="12"/>
      <c r="AF62" s="12">
        <v>0.8</v>
      </c>
      <c r="AJ62" s="12"/>
      <c r="AK62" s="12">
        <v>0.8</v>
      </c>
      <c r="AL62" s="12"/>
      <c r="AM62" s="12">
        <v>0.8</v>
      </c>
      <c r="AP62">
        <v>1.5</v>
      </c>
      <c r="AQ62" s="12"/>
      <c r="AR62" s="12">
        <v>1</v>
      </c>
      <c r="AS62" s="12"/>
      <c r="AT62" s="12">
        <v>1</v>
      </c>
      <c r="AX62" s="12"/>
      <c r="AY62" s="12">
        <v>1</v>
      </c>
      <c r="AZ62" s="12"/>
      <c r="BA62" s="12">
        <v>1</v>
      </c>
      <c r="BE62" s="12"/>
      <c r="BF62" s="12"/>
      <c r="BG62" s="12"/>
      <c r="BH62" s="12"/>
      <c r="BL62" s="12"/>
      <c r="BM62" s="12">
        <v>1</v>
      </c>
      <c r="BN62" s="12"/>
      <c r="BO62" s="12">
        <v>1</v>
      </c>
      <c r="BS62" s="12"/>
      <c r="BT62" s="12"/>
      <c r="BU62" s="12"/>
      <c r="BV62" s="12"/>
      <c r="BZ62" s="12"/>
      <c r="CA62" s="12"/>
      <c r="CB62" s="12"/>
      <c r="CC62" s="12"/>
      <c r="CG62" s="12"/>
      <c r="CH62" s="12"/>
      <c r="CI62" s="12"/>
      <c r="CJ62" s="12"/>
      <c r="CN62" s="12"/>
      <c r="CO62" s="12"/>
      <c r="CP62" s="12"/>
      <c r="CQ62" s="12"/>
      <c r="CU62" s="12"/>
      <c r="CV62" s="12"/>
      <c r="CW62" s="12"/>
      <c r="CX62" s="12"/>
      <c r="DB62" s="12"/>
      <c r="DC62" s="12"/>
      <c r="DD62" s="12"/>
      <c r="DE62" s="12"/>
      <c r="DI62" s="12"/>
      <c r="DJ62" s="12"/>
      <c r="DK62" s="12"/>
      <c r="DL62" s="12"/>
      <c r="DP62" s="12"/>
      <c r="DQ62" s="12"/>
      <c r="DR62" s="12"/>
      <c r="DS62" s="12"/>
      <c r="DX62" s="12"/>
      <c r="DY62" s="12"/>
      <c r="DZ62" s="12"/>
      <c r="EA62" s="12"/>
    </row>
    <row r="63" spans="2:131" ht="15.75" hidden="1" customHeight="1" outlineLevel="1">
      <c r="B63" t="s">
        <v>29</v>
      </c>
      <c r="C63" t="s">
        <v>2</v>
      </c>
      <c r="E63" s="11"/>
      <c r="F63" t="s">
        <v>101</v>
      </c>
      <c r="G63" s="12">
        <v>0.05</v>
      </c>
      <c r="I63" s="11">
        <f t="shared" si="11"/>
        <v>4.5</v>
      </c>
      <c r="J63" s="13">
        <f t="shared" si="10"/>
        <v>0</v>
      </c>
      <c r="K63" s="13">
        <f t="shared" si="10"/>
        <v>0</v>
      </c>
      <c r="L63" s="11"/>
      <c r="N63">
        <v>1.5</v>
      </c>
      <c r="O63" s="12"/>
      <c r="P63" s="12">
        <v>0.5</v>
      </c>
      <c r="Q63" s="12"/>
      <c r="R63" s="12">
        <v>0.5</v>
      </c>
      <c r="V63" s="12"/>
      <c r="W63" s="12">
        <v>0.5</v>
      </c>
      <c r="X63" s="12"/>
      <c r="Y63" s="12">
        <v>0.5</v>
      </c>
      <c r="AB63">
        <v>1.5</v>
      </c>
      <c r="AC63" s="12"/>
      <c r="AD63" s="12">
        <v>0.8</v>
      </c>
      <c r="AE63" s="12"/>
      <c r="AF63" s="12">
        <v>0.8</v>
      </c>
      <c r="AJ63" s="12"/>
      <c r="AK63" s="12">
        <v>0.8</v>
      </c>
      <c r="AL63" s="12"/>
      <c r="AM63" s="12">
        <v>0.8</v>
      </c>
      <c r="AQ63" s="12"/>
      <c r="AR63" s="12">
        <v>0.8</v>
      </c>
      <c r="AS63" s="12"/>
      <c r="AT63" s="12">
        <v>0.8</v>
      </c>
      <c r="AW63">
        <v>1.5</v>
      </c>
      <c r="AX63" s="12"/>
      <c r="AY63" s="12">
        <v>1</v>
      </c>
      <c r="AZ63" s="12"/>
      <c r="BA63" s="12">
        <v>1</v>
      </c>
      <c r="BE63" s="12"/>
      <c r="BF63" s="12"/>
      <c r="BG63" s="12"/>
      <c r="BH63" s="12"/>
      <c r="BL63" s="12"/>
      <c r="BM63" s="12">
        <v>1</v>
      </c>
      <c r="BN63" s="12"/>
      <c r="BO63" s="12">
        <v>1</v>
      </c>
      <c r="BS63" s="12"/>
      <c r="BT63" s="12"/>
      <c r="BU63" s="12"/>
      <c r="BV63" s="12"/>
      <c r="BZ63" s="12"/>
      <c r="CA63" s="12"/>
      <c r="CB63" s="12"/>
      <c r="CC63" s="12"/>
      <c r="CG63" s="12"/>
      <c r="CH63" s="12"/>
      <c r="CI63" s="12"/>
      <c r="CJ63" s="12"/>
      <c r="CN63" s="12"/>
      <c r="CO63" s="12"/>
      <c r="CP63" s="12"/>
      <c r="CQ63" s="12"/>
      <c r="CU63" s="12"/>
      <c r="CV63" s="12"/>
      <c r="CW63" s="12"/>
      <c r="CX63" s="12"/>
      <c r="DB63" s="12"/>
      <c r="DC63" s="12"/>
      <c r="DD63" s="12"/>
      <c r="DE63" s="12"/>
      <c r="DI63" s="12"/>
      <c r="DJ63" s="12"/>
      <c r="DK63" s="12"/>
      <c r="DL63" s="12"/>
      <c r="DP63" s="12"/>
      <c r="DQ63" s="12"/>
      <c r="DR63" s="12"/>
      <c r="DS63" s="12"/>
      <c r="DX63" s="12"/>
      <c r="DY63" s="12"/>
      <c r="DZ63" s="12"/>
      <c r="EA63" s="12"/>
    </row>
    <row r="64" spans="2:131" ht="15.75" hidden="1" customHeight="1" outlineLevel="1">
      <c r="B64" t="s">
        <v>29</v>
      </c>
      <c r="C64" t="s">
        <v>2</v>
      </c>
      <c r="E64" s="11"/>
      <c r="F64" t="s">
        <v>102</v>
      </c>
      <c r="G64" s="12">
        <v>0.05</v>
      </c>
      <c r="I64" s="11">
        <f t="shared" si="11"/>
        <v>4.5</v>
      </c>
      <c r="J64" s="13">
        <f t="shared" si="10"/>
        <v>0</v>
      </c>
      <c r="K64" s="13">
        <f t="shared" si="10"/>
        <v>0</v>
      </c>
      <c r="L64" s="11"/>
      <c r="N64">
        <v>1.5</v>
      </c>
      <c r="O64" s="12"/>
      <c r="P64" s="12">
        <v>0.5</v>
      </c>
      <c r="Q64" s="12"/>
      <c r="R64" s="12">
        <v>0.5</v>
      </c>
      <c r="V64" s="12"/>
      <c r="W64" s="12">
        <v>0.5</v>
      </c>
      <c r="X64" s="12"/>
      <c r="Y64" s="12">
        <v>0.5</v>
      </c>
      <c r="AC64" s="12"/>
      <c r="AD64" s="12">
        <v>0.5</v>
      </c>
      <c r="AE64" s="12"/>
      <c r="AF64" s="12">
        <v>0.5</v>
      </c>
      <c r="AI64">
        <v>1.5</v>
      </c>
      <c r="AJ64" s="12"/>
      <c r="AK64" s="12">
        <v>0.8</v>
      </c>
      <c r="AL64" s="12"/>
      <c r="AM64" s="12">
        <v>0.8</v>
      </c>
      <c r="AQ64" s="12"/>
      <c r="AR64" s="12">
        <v>0.8</v>
      </c>
      <c r="AS64" s="12"/>
      <c r="AT64" s="12">
        <v>0.8</v>
      </c>
      <c r="AW64">
        <v>1.5</v>
      </c>
      <c r="AX64" s="12"/>
      <c r="AY64" s="12">
        <v>1</v>
      </c>
      <c r="AZ64" s="12"/>
      <c r="BA64" s="12">
        <v>1</v>
      </c>
      <c r="BE64" s="12"/>
      <c r="BF64" s="12"/>
      <c r="BG64" s="12"/>
      <c r="BH64" s="12"/>
      <c r="BL64" s="12"/>
      <c r="BM64" s="12">
        <v>1</v>
      </c>
      <c r="BN64" s="12"/>
      <c r="BO64" s="12">
        <v>1</v>
      </c>
      <c r="BS64" s="12"/>
      <c r="BT64" s="12"/>
      <c r="BU64" s="12"/>
      <c r="BV64" s="12"/>
      <c r="BZ64" s="12"/>
      <c r="CA64" s="12"/>
      <c r="CB64" s="12"/>
      <c r="CC64" s="12"/>
      <c r="CG64" s="12"/>
      <c r="CH64" s="12"/>
      <c r="CI64" s="12"/>
      <c r="CJ64" s="12"/>
      <c r="CN64" s="12"/>
      <c r="CO64" s="12"/>
      <c r="CP64" s="12"/>
      <c r="CQ64" s="12"/>
      <c r="CU64" s="12"/>
      <c r="CV64" s="12"/>
      <c r="CW64" s="12"/>
      <c r="CX64" s="12"/>
      <c r="DB64" s="12"/>
      <c r="DC64" s="12"/>
      <c r="DD64" s="12"/>
      <c r="DE64" s="12"/>
      <c r="DI64" s="12"/>
      <c r="DJ64" s="12"/>
      <c r="DK64" s="12"/>
      <c r="DL64" s="12"/>
      <c r="DP64" s="12"/>
      <c r="DQ64" s="12"/>
      <c r="DR64" s="12"/>
      <c r="DS64" s="12"/>
      <c r="DX64" s="12"/>
      <c r="DY64" s="12"/>
      <c r="DZ64" s="12"/>
      <c r="EA64" s="12"/>
    </row>
    <row r="65" spans="2:131" ht="15.75" hidden="1" customHeight="1" outlineLevel="1">
      <c r="B65" t="s">
        <v>29</v>
      </c>
      <c r="C65" t="s">
        <v>2</v>
      </c>
      <c r="E65" s="11"/>
      <c r="F65" t="s">
        <v>103</v>
      </c>
      <c r="G65" s="12">
        <v>0.05</v>
      </c>
      <c r="I65" s="11">
        <f t="shared" si="11"/>
        <v>4.5</v>
      </c>
      <c r="J65" s="13">
        <f t="shared" si="10"/>
        <v>0</v>
      </c>
      <c r="K65" s="13">
        <f t="shared" si="10"/>
        <v>0</v>
      </c>
      <c r="L65" s="11"/>
      <c r="O65" s="12"/>
      <c r="P65" s="12"/>
      <c r="Q65" s="12"/>
      <c r="R65" s="12"/>
      <c r="U65">
        <v>1.5</v>
      </c>
      <c r="V65" s="12"/>
      <c r="W65" s="12">
        <v>0.5</v>
      </c>
      <c r="X65" s="12"/>
      <c r="Y65" s="12">
        <v>0.5</v>
      </c>
      <c r="AC65" s="12"/>
      <c r="AD65" s="12">
        <v>0.5</v>
      </c>
      <c r="AE65" s="12"/>
      <c r="AF65" s="12">
        <v>0.5</v>
      </c>
      <c r="AI65">
        <v>1.5</v>
      </c>
      <c r="AJ65" s="12"/>
      <c r="AK65" s="12">
        <v>0.8</v>
      </c>
      <c r="AL65" s="12"/>
      <c r="AM65" s="12">
        <v>0.8</v>
      </c>
      <c r="AQ65" s="12"/>
      <c r="AR65" s="12">
        <v>0.8</v>
      </c>
      <c r="AS65" s="12"/>
      <c r="AT65" s="12">
        <v>0.8</v>
      </c>
      <c r="AW65">
        <v>1.5</v>
      </c>
      <c r="AX65" s="12"/>
      <c r="AY65" s="12">
        <v>1</v>
      </c>
      <c r="AZ65" s="12"/>
      <c r="BA65" s="12">
        <v>1</v>
      </c>
      <c r="BE65" s="12"/>
      <c r="BF65" s="12"/>
      <c r="BG65" s="12"/>
      <c r="BH65" s="12"/>
      <c r="BL65" s="12"/>
      <c r="BM65" s="12">
        <v>1</v>
      </c>
      <c r="BN65" s="12"/>
      <c r="BO65" s="12">
        <v>1</v>
      </c>
      <c r="BS65" s="12"/>
      <c r="BT65" s="12"/>
      <c r="BU65" s="12"/>
      <c r="BV65" s="12"/>
      <c r="BZ65" s="12"/>
      <c r="CA65" s="12"/>
      <c r="CB65" s="12"/>
      <c r="CC65" s="12"/>
      <c r="CG65" s="12"/>
      <c r="CH65" s="12"/>
      <c r="CI65" s="12"/>
      <c r="CJ65" s="12"/>
      <c r="CN65" s="12"/>
      <c r="CO65" s="12"/>
      <c r="CP65" s="12"/>
      <c r="CQ65" s="12"/>
      <c r="CU65" s="12"/>
      <c r="CV65" s="12"/>
      <c r="CW65" s="12"/>
      <c r="CX65" s="12"/>
      <c r="DB65" s="12"/>
      <c r="DC65" s="12"/>
      <c r="DD65" s="12"/>
      <c r="DE65" s="12"/>
      <c r="DI65" s="12"/>
      <c r="DJ65" s="12"/>
      <c r="DK65" s="12"/>
      <c r="DL65" s="12"/>
      <c r="DP65" s="12"/>
      <c r="DQ65" s="12"/>
      <c r="DR65" s="12"/>
      <c r="DS65" s="12"/>
      <c r="DX65" s="12"/>
      <c r="DY65" s="12"/>
      <c r="DZ65" s="12"/>
      <c r="EA65" s="12"/>
    </row>
    <row r="66" spans="2:131" ht="15.75" hidden="1" customHeight="1" outlineLevel="1">
      <c r="B66" t="s">
        <v>29</v>
      </c>
      <c r="C66" t="s">
        <v>2</v>
      </c>
      <c r="E66" s="11"/>
      <c r="F66" t="s">
        <v>104</v>
      </c>
      <c r="G66" s="12">
        <v>0.05</v>
      </c>
      <c r="I66" s="11">
        <f t="shared" si="11"/>
        <v>4.5</v>
      </c>
      <c r="J66" s="13">
        <f t="shared" si="10"/>
        <v>0</v>
      </c>
      <c r="K66" s="13">
        <f t="shared" si="10"/>
        <v>0</v>
      </c>
      <c r="L66" s="11"/>
      <c r="O66" s="12"/>
      <c r="P66" s="12"/>
      <c r="Q66" s="12"/>
      <c r="R66" s="12"/>
      <c r="U66">
        <v>1.5</v>
      </c>
      <c r="V66" s="12"/>
      <c r="W66" s="12">
        <v>0.5</v>
      </c>
      <c r="X66" s="12"/>
      <c r="Y66" s="12">
        <v>0.5</v>
      </c>
      <c r="AC66" s="12"/>
      <c r="AD66" s="12">
        <v>0.5</v>
      </c>
      <c r="AE66" s="12"/>
      <c r="AF66" s="12">
        <v>0.5</v>
      </c>
      <c r="AI66">
        <v>1.5</v>
      </c>
      <c r="AJ66" s="12"/>
      <c r="AK66" s="12">
        <v>0.8</v>
      </c>
      <c r="AL66" s="12"/>
      <c r="AM66" s="12">
        <v>0.8</v>
      </c>
      <c r="AQ66" s="12"/>
      <c r="AR66" s="12">
        <v>0.8</v>
      </c>
      <c r="AS66" s="12"/>
      <c r="AT66" s="12">
        <v>0.8</v>
      </c>
      <c r="AW66">
        <v>1.5</v>
      </c>
      <c r="AX66" s="12"/>
      <c r="AY66" s="12">
        <v>1</v>
      </c>
      <c r="AZ66" s="12"/>
      <c r="BA66" s="12">
        <v>1</v>
      </c>
      <c r="BE66" s="12"/>
      <c r="BF66" s="12"/>
      <c r="BG66" s="12"/>
      <c r="BH66" s="12"/>
      <c r="BL66" s="12"/>
      <c r="BM66" s="12">
        <v>1</v>
      </c>
      <c r="BN66" s="12"/>
      <c r="BO66" s="12">
        <v>1</v>
      </c>
      <c r="BS66" s="12"/>
      <c r="BT66" s="12"/>
      <c r="BU66" s="12"/>
      <c r="BV66" s="12"/>
      <c r="BZ66" s="12"/>
      <c r="CA66" s="12"/>
      <c r="CB66" s="12"/>
      <c r="CC66" s="12"/>
      <c r="CG66" s="12"/>
      <c r="CH66" s="12"/>
      <c r="CI66" s="12"/>
      <c r="CJ66" s="12"/>
      <c r="CN66" s="12"/>
      <c r="CO66" s="12"/>
      <c r="CP66" s="12"/>
      <c r="CQ66" s="12"/>
      <c r="CU66" s="12"/>
      <c r="CV66" s="12"/>
      <c r="CW66" s="12"/>
      <c r="CX66" s="12"/>
      <c r="DB66" s="12"/>
      <c r="DC66" s="12"/>
      <c r="DD66" s="12"/>
      <c r="DE66" s="12"/>
      <c r="DI66" s="12"/>
      <c r="DJ66" s="12"/>
      <c r="DK66" s="12"/>
      <c r="DL66" s="12"/>
      <c r="DP66" s="12"/>
      <c r="DQ66" s="12"/>
      <c r="DR66" s="12"/>
      <c r="DS66" s="12"/>
      <c r="DX66" s="12"/>
      <c r="DY66" s="12"/>
      <c r="DZ66" s="12"/>
      <c r="EA66" s="12"/>
    </row>
    <row r="67" spans="2:131" ht="15.75" hidden="1" customHeight="1" outlineLevel="1">
      <c r="B67" t="s">
        <v>29</v>
      </c>
      <c r="C67" t="s">
        <v>2</v>
      </c>
      <c r="E67" s="11"/>
      <c r="F67" t="s">
        <v>105</v>
      </c>
      <c r="G67" s="12">
        <v>0.15</v>
      </c>
      <c r="I67" s="11">
        <f t="shared" si="11"/>
        <v>4.5</v>
      </c>
      <c r="J67" s="13">
        <f t="shared" si="10"/>
        <v>0</v>
      </c>
      <c r="K67" s="13">
        <f t="shared" si="10"/>
        <v>0</v>
      </c>
      <c r="L67" s="11"/>
      <c r="O67" s="12"/>
      <c r="P67" s="12"/>
      <c r="Q67" s="12"/>
      <c r="R67" s="12"/>
      <c r="U67">
        <v>1.5</v>
      </c>
      <c r="V67" s="12"/>
      <c r="W67" s="12">
        <v>0.5</v>
      </c>
      <c r="X67" s="12"/>
      <c r="Y67" s="12">
        <v>0.5</v>
      </c>
      <c r="AC67" s="12"/>
      <c r="AD67" s="12">
        <v>0.5</v>
      </c>
      <c r="AE67" s="12"/>
      <c r="AF67" s="12">
        <v>0.5</v>
      </c>
      <c r="AI67">
        <v>1.5</v>
      </c>
      <c r="AJ67" s="12"/>
      <c r="AK67" s="12">
        <v>0.8</v>
      </c>
      <c r="AL67" s="12"/>
      <c r="AM67" s="12">
        <v>0.8</v>
      </c>
      <c r="AQ67" s="12"/>
      <c r="AR67" s="12">
        <v>0.8</v>
      </c>
      <c r="AS67" s="12"/>
      <c r="AT67" s="12">
        <v>0.8</v>
      </c>
      <c r="AW67">
        <v>1.5</v>
      </c>
      <c r="AX67" s="12"/>
      <c r="AY67" s="12">
        <v>1</v>
      </c>
      <c r="AZ67" s="12"/>
      <c r="BA67" s="12">
        <v>1</v>
      </c>
      <c r="BE67" s="12"/>
      <c r="BF67" s="12"/>
      <c r="BG67" s="12"/>
      <c r="BH67" s="12"/>
      <c r="BL67" s="12"/>
      <c r="BM67" s="12">
        <v>1</v>
      </c>
      <c r="BN67" s="12"/>
      <c r="BO67" s="12">
        <v>1</v>
      </c>
      <c r="BS67" s="12"/>
      <c r="BT67" s="12"/>
      <c r="BU67" s="12"/>
      <c r="BV67" s="12"/>
      <c r="BZ67" s="12"/>
      <c r="CA67" s="12"/>
      <c r="CB67" s="12"/>
      <c r="CC67" s="12"/>
      <c r="CG67" s="12"/>
      <c r="CH67" s="12"/>
      <c r="CI67" s="12"/>
      <c r="CJ67" s="12"/>
      <c r="CN67" s="12"/>
      <c r="CO67" s="12"/>
      <c r="CP67" s="12"/>
      <c r="CQ67" s="12"/>
      <c r="CU67" s="12"/>
      <c r="CV67" s="12"/>
      <c r="CW67" s="12"/>
      <c r="CX67" s="12"/>
      <c r="DB67" s="12"/>
      <c r="DC67" s="12"/>
      <c r="DD67" s="12"/>
      <c r="DE67" s="12"/>
      <c r="DI67" s="12"/>
      <c r="DJ67" s="12"/>
      <c r="DK67" s="12"/>
      <c r="DL67" s="12"/>
      <c r="DP67" s="12"/>
      <c r="DQ67" s="12"/>
      <c r="DR67" s="12"/>
      <c r="DS67" s="12"/>
      <c r="DX67" s="12"/>
      <c r="DY67" s="12"/>
      <c r="DZ67" s="12"/>
      <c r="EA67" s="12"/>
    </row>
    <row r="68" spans="2:131" ht="15.75" hidden="1" customHeight="1" outlineLevel="1">
      <c r="B68" t="s">
        <v>29</v>
      </c>
      <c r="C68" t="s">
        <v>2</v>
      </c>
      <c r="E68" s="11"/>
      <c r="F68" t="s">
        <v>106</v>
      </c>
      <c r="G68" s="12">
        <v>0.2</v>
      </c>
      <c r="I68" s="11">
        <f t="shared" si="11"/>
        <v>3</v>
      </c>
      <c r="J68" s="13">
        <f t="shared" si="10"/>
        <v>0</v>
      </c>
      <c r="K68" s="13">
        <f t="shared" si="10"/>
        <v>0</v>
      </c>
      <c r="L68" s="11"/>
      <c r="O68" s="12"/>
      <c r="P68" s="12"/>
      <c r="Q68" s="12"/>
      <c r="R68" s="12"/>
      <c r="U68">
        <v>1.5</v>
      </c>
      <c r="V68" s="12"/>
      <c r="W68" s="12">
        <v>0.5</v>
      </c>
      <c r="X68" s="12"/>
      <c r="Y68" s="12">
        <v>0.5</v>
      </c>
      <c r="AC68" s="12"/>
      <c r="AD68" s="12">
        <v>0.5</v>
      </c>
      <c r="AE68" s="12"/>
      <c r="AF68" s="12">
        <v>0.5</v>
      </c>
      <c r="AI68">
        <v>1.5</v>
      </c>
      <c r="AJ68" s="12"/>
      <c r="AK68" s="12">
        <v>0.8</v>
      </c>
      <c r="AL68" s="12"/>
      <c r="AM68" s="12">
        <v>0.8</v>
      </c>
      <c r="AQ68" s="12"/>
      <c r="AR68" s="12">
        <v>0.8</v>
      </c>
      <c r="AS68" s="12"/>
      <c r="AT68" s="12">
        <v>0.8</v>
      </c>
      <c r="AX68" s="12"/>
      <c r="AY68" s="12"/>
      <c r="AZ68" s="12"/>
      <c r="BA68" s="12"/>
      <c r="BE68" s="12"/>
      <c r="BF68" s="12"/>
      <c r="BG68" s="12"/>
      <c r="BH68" s="12"/>
      <c r="BL68" s="12"/>
      <c r="BM68" s="12">
        <v>1</v>
      </c>
      <c r="BN68" s="12"/>
      <c r="BO68" s="12">
        <v>1</v>
      </c>
      <c r="BS68" s="12"/>
      <c r="BT68" s="12"/>
      <c r="BU68" s="12"/>
      <c r="BV68" s="12"/>
      <c r="BZ68" s="12"/>
      <c r="CA68" s="12"/>
      <c r="CB68" s="12"/>
      <c r="CC68" s="12"/>
      <c r="CG68" s="12"/>
      <c r="CH68" s="12"/>
      <c r="CI68" s="12"/>
      <c r="CJ68" s="12"/>
      <c r="CN68" s="12"/>
      <c r="CO68" s="12"/>
      <c r="CP68" s="12"/>
      <c r="CQ68" s="12"/>
      <c r="CU68" s="12"/>
      <c r="CV68" s="12"/>
      <c r="CW68" s="12"/>
      <c r="CX68" s="12"/>
      <c r="DB68" s="12"/>
      <c r="DC68" s="12"/>
      <c r="DD68" s="12"/>
      <c r="DE68" s="12"/>
      <c r="DI68" s="12"/>
      <c r="DJ68" s="12"/>
      <c r="DK68" s="12"/>
      <c r="DL68" s="12"/>
      <c r="DP68" s="12"/>
      <c r="DQ68" s="12"/>
      <c r="DR68" s="12"/>
      <c r="DS68" s="12"/>
      <c r="DX68" s="12"/>
      <c r="DY68" s="12"/>
      <c r="DZ68" s="12"/>
      <c r="EA68" s="12"/>
    </row>
    <row r="69" spans="2:131" ht="15.75" hidden="1" customHeight="1" outlineLevel="1">
      <c r="B69" t="s">
        <v>29</v>
      </c>
      <c r="C69" t="s">
        <v>2</v>
      </c>
      <c r="E69" s="11"/>
      <c r="F69" t="s">
        <v>107</v>
      </c>
      <c r="G69" s="12">
        <v>0.05</v>
      </c>
      <c r="I69" s="11">
        <f t="shared" si="11"/>
        <v>3</v>
      </c>
      <c r="J69" s="13">
        <f t="shared" si="10"/>
        <v>0</v>
      </c>
      <c r="K69" s="13">
        <f t="shared" si="10"/>
        <v>0</v>
      </c>
      <c r="L69" s="11"/>
      <c r="O69" s="12"/>
      <c r="P69" s="12"/>
      <c r="Q69" s="12"/>
      <c r="R69" s="12"/>
      <c r="U69">
        <v>1.5</v>
      </c>
      <c r="V69" s="12"/>
      <c r="W69" s="12">
        <v>0.5</v>
      </c>
      <c r="X69" s="12"/>
      <c r="Y69" s="12">
        <v>0.5</v>
      </c>
      <c r="AC69" s="12"/>
      <c r="AD69" s="12">
        <v>0.5</v>
      </c>
      <c r="AE69" s="12"/>
      <c r="AF69" s="12">
        <v>0.5</v>
      </c>
      <c r="AJ69" s="12"/>
      <c r="AK69" s="12">
        <v>0.5</v>
      </c>
      <c r="AL69" s="12"/>
      <c r="AM69" s="12">
        <v>0.5</v>
      </c>
      <c r="AP69">
        <v>1.5</v>
      </c>
      <c r="AQ69" s="12"/>
      <c r="AR69" s="12">
        <v>0.8</v>
      </c>
      <c r="AS69" s="12"/>
      <c r="AT69" s="12">
        <v>0.8</v>
      </c>
      <c r="AX69" s="12"/>
      <c r="AY69" s="12"/>
      <c r="AZ69" s="12"/>
      <c r="BA69" s="12"/>
      <c r="BE69" s="12"/>
      <c r="BF69" s="12"/>
      <c r="BG69" s="12"/>
      <c r="BH69" s="12"/>
      <c r="BL69" s="12"/>
      <c r="BM69" s="12">
        <v>1</v>
      </c>
      <c r="BN69" s="12"/>
      <c r="BO69" s="12">
        <v>1</v>
      </c>
      <c r="BS69" s="12"/>
      <c r="BT69" s="12"/>
      <c r="BU69" s="12"/>
      <c r="BV69" s="12"/>
      <c r="BZ69" s="12"/>
      <c r="CA69" s="12"/>
      <c r="CB69" s="12"/>
      <c r="CC69" s="12"/>
      <c r="CG69" s="12"/>
      <c r="CH69" s="12"/>
      <c r="CI69" s="12"/>
      <c r="CJ69" s="12"/>
      <c r="CN69" s="12"/>
      <c r="CO69" s="12"/>
      <c r="CP69" s="12"/>
      <c r="CQ69" s="12"/>
      <c r="CU69" s="12"/>
      <c r="CV69" s="12"/>
      <c r="CW69" s="12"/>
      <c r="CX69" s="12"/>
      <c r="DB69" s="12"/>
      <c r="DC69" s="12"/>
      <c r="DD69" s="12"/>
      <c r="DE69" s="12"/>
      <c r="DI69" s="12"/>
      <c r="DJ69" s="12"/>
      <c r="DK69" s="12"/>
      <c r="DL69" s="12"/>
      <c r="DP69" s="12"/>
      <c r="DQ69" s="12"/>
      <c r="DR69" s="12"/>
      <c r="DS69" s="12"/>
      <c r="DX69" s="12"/>
      <c r="DY69" s="12"/>
      <c r="DZ69" s="12"/>
      <c r="EA69" s="12"/>
    </row>
    <row r="70" spans="2:131" ht="15.75" hidden="1" customHeight="1" outlineLevel="1">
      <c r="B70" t="s">
        <v>29</v>
      </c>
      <c r="C70" t="s">
        <v>2</v>
      </c>
      <c r="E70" s="11"/>
      <c r="F70" t="s">
        <v>108</v>
      </c>
      <c r="G70" s="12">
        <v>0.05</v>
      </c>
      <c r="I70" s="11">
        <f t="shared" si="11"/>
        <v>3</v>
      </c>
      <c r="J70" s="13">
        <f t="shared" si="10"/>
        <v>0</v>
      </c>
      <c r="K70" s="13">
        <f t="shared" si="10"/>
        <v>0</v>
      </c>
      <c r="L70" s="11"/>
      <c r="O70" s="12"/>
      <c r="P70" s="12"/>
      <c r="Q70" s="12"/>
      <c r="R70" s="12"/>
      <c r="V70" s="12"/>
      <c r="W70" s="12"/>
      <c r="X70" s="12"/>
      <c r="Y70" s="12"/>
      <c r="AB70">
        <v>1.5</v>
      </c>
      <c r="AC70" s="12"/>
      <c r="AD70" s="12">
        <v>0.5</v>
      </c>
      <c r="AE70" s="12"/>
      <c r="AF70" s="12">
        <v>0.5</v>
      </c>
      <c r="AJ70" s="12"/>
      <c r="AK70" s="12">
        <v>0.5</v>
      </c>
      <c r="AL70" s="12"/>
      <c r="AM70" s="12">
        <v>0.5</v>
      </c>
      <c r="AP70">
        <v>1.5</v>
      </c>
      <c r="AQ70" s="12"/>
      <c r="AR70" s="12">
        <v>0.8</v>
      </c>
      <c r="AS70" s="12"/>
      <c r="AT70" s="12">
        <v>0.8</v>
      </c>
      <c r="AX70" s="12"/>
      <c r="AY70" s="12"/>
      <c r="AZ70" s="12"/>
      <c r="BA70" s="12"/>
      <c r="BE70" s="12"/>
      <c r="BF70" s="12"/>
      <c r="BG70" s="12"/>
      <c r="BH70" s="12"/>
      <c r="BL70" s="12"/>
      <c r="BM70" s="12">
        <v>1</v>
      </c>
      <c r="BN70" s="12"/>
      <c r="BO70" s="12">
        <v>1</v>
      </c>
      <c r="BS70" s="12"/>
      <c r="BT70" s="12"/>
      <c r="BU70" s="12"/>
      <c r="BV70" s="12"/>
      <c r="BZ70" s="12"/>
      <c r="CA70" s="12"/>
      <c r="CB70" s="12"/>
      <c r="CC70" s="12"/>
      <c r="CG70" s="12"/>
      <c r="CH70" s="12"/>
      <c r="CI70" s="12"/>
      <c r="CJ70" s="12"/>
      <c r="CN70" s="12"/>
      <c r="CO70" s="12"/>
      <c r="CP70" s="12"/>
      <c r="CQ70" s="12"/>
      <c r="CU70" s="12"/>
      <c r="CV70" s="12"/>
      <c r="CW70" s="12"/>
      <c r="CX70" s="12"/>
      <c r="DB70" s="12"/>
      <c r="DC70" s="12"/>
      <c r="DD70" s="12"/>
      <c r="DE70" s="12"/>
      <c r="DI70" s="12"/>
      <c r="DJ70" s="12"/>
      <c r="DK70" s="12"/>
      <c r="DL70" s="12"/>
      <c r="DP70" s="12"/>
      <c r="DQ70" s="12"/>
      <c r="DR70" s="12"/>
      <c r="DS70" s="12"/>
      <c r="DX70" s="12"/>
      <c r="DY70" s="12"/>
      <c r="DZ70" s="12"/>
      <c r="EA70" s="12"/>
    </row>
    <row r="71" spans="2:131" collapsed="1"/>
    <row r="72" spans="2:131">
      <c r="B72" s="21" t="s">
        <v>28</v>
      </c>
      <c r="C72" s="21" t="s">
        <v>109</v>
      </c>
      <c r="D72" s="21"/>
      <c r="E72" s="11"/>
      <c r="G72" s="12">
        <f>+SUM(G73:G81)</f>
        <v>0.7</v>
      </c>
      <c r="I72" s="14">
        <f>+SUM(I73:I81)</f>
        <v>40.5</v>
      </c>
      <c r="J72" s="13">
        <f>+SUMPRODUCT(G73:G81,J73:J81)</f>
        <v>0</v>
      </c>
      <c r="K72" s="13">
        <f>+SUMPRODUCT(G73:G81,K73:K81)</f>
        <v>0</v>
      </c>
      <c r="L72" s="11"/>
      <c r="N72" s="14">
        <f>+SUM(N73:N81)</f>
        <v>6</v>
      </c>
      <c r="U72" s="14">
        <f>+SUM(U73:U81)</f>
        <v>6</v>
      </c>
      <c r="AB72" s="14">
        <f>+SUM(AB73:AB81)</f>
        <v>6</v>
      </c>
      <c r="AI72" s="14">
        <f>+SUM(AI73:AI81)</f>
        <v>6</v>
      </c>
      <c r="AP72" s="14">
        <f>+SUM(AP73:AP81)</f>
        <v>7.5</v>
      </c>
      <c r="AW72" s="14">
        <f>+SUM(AW73:AW81)</f>
        <v>9</v>
      </c>
      <c r="BD72" s="14">
        <f>+SUM(BD73:BD81)</f>
        <v>0</v>
      </c>
      <c r="BK72" s="14">
        <f>+SUM(BK73:BK81)</f>
        <v>0</v>
      </c>
      <c r="BR72" s="14">
        <f>+SUM(BR73:BR81)</f>
        <v>0</v>
      </c>
      <c r="BY72" s="14">
        <f>+SUM(BY73:BY81)</f>
        <v>0</v>
      </c>
      <c r="CF72" s="14">
        <f>+SUM(CF73:CF81)</f>
        <v>0</v>
      </c>
      <c r="CM72" s="14">
        <f>+SUM(CM73:CM81)</f>
        <v>0</v>
      </c>
      <c r="CT72" s="14">
        <f>+SUM(CT73:CT81)</f>
        <v>0</v>
      </c>
      <c r="DA72" s="14">
        <f>+SUM(DA73:DA81)</f>
        <v>0</v>
      </c>
      <c r="DH72" s="14">
        <f>+SUM(DH73:DH81)</f>
        <v>0</v>
      </c>
      <c r="DO72" s="14">
        <f>+SUM(DO73:DO81)</f>
        <v>0</v>
      </c>
      <c r="DW72" s="14">
        <f>+SUM(DW73:DW81)</f>
        <v>0</v>
      </c>
    </row>
    <row r="73" spans="2:131" ht="15.75" hidden="1" customHeight="1" outlineLevel="1">
      <c r="B73" t="s">
        <v>29</v>
      </c>
      <c r="C73" t="s">
        <v>2</v>
      </c>
      <c r="E73" s="11"/>
      <c r="F73" t="s">
        <v>110</v>
      </c>
      <c r="G73" s="12">
        <v>0.1</v>
      </c>
      <c r="I73" s="11">
        <f>+SUMIF($N$3:$ZZ$3,I$3,$N73:$ZZ73)</f>
        <v>4.5</v>
      </c>
      <c r="J73" s="13">
        <f t="shared" ref="J73:K81" si="12">+_xlfn.MAXIFS($N73:$ZF73,$N$3:$ZF$3,J$3)</f>
        <v>0</v>
      </c>
      <c r="K73" s="13">
        <f t="shared" si="12"/>
        <v>0</v>
      </c>
      <c r="L73" s="11"/>
      <c r="N73">
        <v>1.5</v>
      </c>
      <c r="O73" s="12"/>
      <c r="P73" s="12">
        <v>0.5</v>
      </c>
      <c r="Q73" s="12"/>
      <c r="R73" s="12">
        <v>0.5</v>
      </c>
      <c r="V73" s="12"/>
      <c r="W73" s="12">
        <v>0.5</v>
      </c>
      <c r="X73" s="12"/>
      <c r="Y73" s="12">
        <v>0.5</v>
      </c>
      <c r="AB73">
        <v>1.5</v>
      </c>
      <c r="AC73" s="12"/>
      <c r="AD73" s="12">
        <v>0.8</v>
      </c>
      <c r="AE73" s="12"/>
      <c r="AF73" s="12">
        <v>0.8</v>
      </c>
      <c r="AJ73" s="12"/>
      <c r="AK73" s="12">
        <v>0.8</v>
      </c>
      <c r="AL73" s="12"/>
      <c r="AM73" s="12">
        <v>0.8</v>
      </c>
      <c r="AP73">
        <v>1.5</v>
      </c>
      <c r="AQ73" s="12"/>
      <c r="AR73" s="12">
        <v>1</v>
      </c>
      <c r="AS73" s="12"/>
      <c r="AT73" s="12">
        <v>1</v>
      </c>
      <c r="AX73" s="12"/>
      <c r="AY73" s="12">
        <v>1</v>
      </c>
      <c r="AZ73" s="12"/>
      <c r="BA73" s="12">
        <v>1</v>
      </c>
      <c r="BE73" s="12"/>
      <c r="BF73" s="12"/>
      <c r="BG73" s="12"/>
      <c r="BH73" s="12"/>
      <c r="BL73" s="12"/>
      <c r="BM73" s="12">
        <v>1</v>
      </c>
      <c r="BN73" s="12"/>
      <c r="BO73" s="12">
        <v>1</v>
      </c>
      <c r="BS73" s="12"/>
      <c r="BT73" s="12"/>
      <c r="BU73" s="12"/>
      <c r="BV73" s="12"/>
      <c r="BZ73" s="12"/>
      <c r="CA73" s="12"/>
      <c r="CB73" s="12"/>
      <c r="CC73" s="12"/>
      <c r="CG73" s="12"/>
      <c r="CH73" s="12"/>
      <c r="CI73" s="12"/>
      <c r="CJ73" s="12"/>
      <c r="CN73" s="12"/>
      <c r="CO73" s="12"/>
      <c r="CP73" s="12"/>
      <c r="CQ73" s="12"/>
      <c r="CU73" s="12"/>
      <c r="CV73" s="12"/>
      <c r="CW73" s="12"/>
      <c r="CX73" s="12"/>
      <c r="DB73" s="12"/>
      <c r="DC73" s="12"/>
      <c r="DD73" s="12"/>
      <c r="DE73" s="12"/>
      <c r="DI73" s="12"/>
      <c r="DJ73" s="12"/>
      <c r="DK73" s="12"/>
      <c r="DL73" s="12"/>
      <c r="DP73" s="12"/>
      <c r="DQ73" s="12"/>
      <c r="DR73" s="12"/>
      <c r="DS73" s="12"/>
      <c r="DX73" s="12"/>
      <c r="DY73" s="12"/>
      <c r="DZ73" s="12"/>
      <c r="EA73" s="12"/>
    </row>
    <row r="74" spans="2:131" ht="15.75" hidden="1" customHeight="1" outlineLevel="1">
      <c r="B74" t="s">
        <v>29</v>
      </c>
      <c r="C74" t="s">
        <v>2</v>
      </c>
      <c r="E74" s="11"/>
      <c r="F74" t="s">
        <v>111</v>
      </c>
      <c r="G74" s="12">
        <v>0.05</v>
      </c>
      <c r="I74" s="11">
        <f t="shared" ref="I74:I81" si="13">+SUMIF($N$3:$ZZ$3,I$3,$N74:$ZZ74)</f>
        <v>4.5</v>
      </c>
      <c r="J74" s="13">
        <f t="shared" si="12"/>
        <v>0</v>
      </c>
      <c r="K74" s="13">
        <f t="shared" si="12"/>
        <v>0</v>
      </c>
      <c r="L74" s="11"/>
      <c r="N74">
        <v>1.5</v>
      </c>
      <c r="O74" s="12"/>
      <c r="P74" s="12">
        <v>0.5</v>
      </c>
      <c r="Q74" s="12"/>
      <c r="R74" s="12">
        <v>0.5</v>
      </c>
      <c r="V74" s="12"/>
      <c r="W74" s="12">
        <v>0.5</v>
      </c>
      <c r="X74" s="12"/>
      <c r="Y74" s="12">
        <v>0.5</v>
      </c>
      <c r="AB74">
        <v>1.5</v>
      </c>
      <c r="AC74" s="12"/>
      <c r="AD74" s="12">
        <v>0.8</v>
      </c>
      <c r="AE74" s="12"/>
      <c r="AF74" s="12">
        <v>0.8</v>
      </c>
      <c r="AJ74" s="12"/>
      <c r="AK74" s="12">
        <v>0.8</v>
      </c>
      <c r="AL74" s="12"/>
      <c r="AM74" s="12">
        <v>0.8</v>
      </c>
      <c r="AP74">
        <v>1.5</v>
      </c>
      <c r="AQ74" s="12"/>
      <c r="AR74" s="12">
        <v>1</v>
      </c>
      <c r="AS74" s="12"/>
      <c r="AT74" s="12">
        <v>1</v>
      </c>
      <c r="AX74" s="12"/>
      <c r="AY74" s="12">
        <v>1</v>
      </c>
      <c r="AZ74" s="12"/>
      <c r="BA74" s="12">
        <v>1</v>
      </c>
      <c r="BE74" s="12"/>
      <c r="BF74" s="12"/>
      <c r="BG74" s="12"/>
      <c r="BH74" s="12"/>
      <c r="BL74" s="12"/>
      <c r="BM74" s="12">
        <v>1</v>
      </c>
      <c r="BN74" s="12"/>
      <c r="BO74" s="12">
        <v>1</v>
      </c>
      <c r="BS74" s="12"/>
      <c r="BT74" s="12"/>
      <c r="BU74" s="12"/>
      <c r="BV74" s="12"/>
      <c r="BZ74" s="12"/>
      <c r="CA74" s="12"/>
      <c r="CB74" s="12"/>
      <c r="CC74" s="12"/>
      <c r="CG74" s="12"/>
      <c r="CH74" s="12"/>
      <c r="CI74" s="12"/>
      <c r="CJ74" s="12"/>
      <c r="CN74" s="12"/>
      <c r="CO74" s="12"/>
      <c r="CP74" s="12"/>
      <c r="CQ74" s="12"/>
      <c r="CU74" s="12"/>
      <c r="CV74" s="12"/>
      <c r="CW74" s="12"/>
      <c r="CX74" s="12"/>
      <c r="DB74" s="12"/>
      <c r="DC74" s="12"/>
      <c r="DD74" s="12"/>
      <c r="DE74" s="12"/>
      <c r="DI74" s="12"/>
      <c r="DJ74" s="12"/>
      <c r="DK74" s="12"/>
      <c r="DL74" s="12"/>
      <c r="DP74" s="12"/>
      <c r="DQ74" s="12"/>
      <c r="DR74" s="12"/>
      <c r="DS74" s="12"/>
      <c r="DX74" s="12"/>
      <c r="DY74" s="12"/>
      <c r="DZ74" s="12"/>
      <c r="EA74" s="12"/>
    </row>
    <row r="75" spans="2:131" ht="15.75" hidden="1" customHeight="1" outlineLevel="1">
      <c r="B75" t="s">
        <v>29</v>
      </c>
      <c r="C75" t="s">
        <v>2</v>
      </c>
      <c r="E75" s="11"/>
      <c r="F75" t="s">
        <v>112</v>
      </c>
      <c r="G75" s="12">
        <v>0.05</v>
      </c>
      <c r="I75" s="11">
        <f t="shared" si="13"/>
        <v>4.5</v>
      </c>
      <c r="J75" s="13">
        <f t="shared" si="12"/>
        <v>0</v>
      </c>
      <c r="K75" s="13">
        <f t="shared" si="12"/>
        <v>0</v>
      </c>
      <c r="L75" s="11"/>
      <c r="N75">
        <v>1.5</v>
      </c>
      <c r="O75" s="12"/>
      <c r="P75" s="12">
        <v>0.5</v>
      </c>
      <c r="Q75" s="12"/>
      <c r="R75" s="12">
        <v>0.5</v>
      </c>
      <c r="V75" s="12"/>
      <c r="W75" s="12">
        <v>0.5</v>
      </c>
      <c r="X75" s="12"/>
      <c r="Y75" s="12">
        <v>0.5</v>
      </c>
      <c r="AB75">
        <v>1.5</v>
      </c>
      <c r="AC75" s="12"/>
      <c r="AD75" s="12">
        <v>0.8</v>
      </c>
      <c r="AE75" s="12"/>
      <c r="AF75" s="12">
        <v>0.8</v>
      </c>
      <c r="AJ75" s="12"/>
      <c r="AK75" s="12">
        <v>0.8</v>
      </c>
      <c r="AL75" s="12"/>
      <c r="AM75" s="12">
        <v>0.8</v>
      </c>
      <c r="AP75">
        <v>1.5</v>
      </c>
      <c r="AQ75" s="12"/>
      <c r="AR75" s="12">
        <v>1</v>
      </c>
      <c r="AS75" s="12"/>
      <c r="AT75" s="12">
        <v>1</v>
      </c>
      <c r="AX75" s="12"/>
      <c r="AY75" s="12">
        <v>1</v>
      </c>
      <c r="AZ75" s="12"/>
      <c r="BA75" s="12">
        <v>1</v>
      </c>
      <c r="BE75" s="12"/>
      <c r="BF75" s="12"/>
      <c r="BG75" s="12"/>
      <c r="BH75" s="12"/>
      <c r="BL75" s="12"/>
      <c r="BM75" s="12">
        <v>1</v>
      </c>
      <c r="BN75" s="12"/>
      <c r="BO75" s="12">
        <v>1</v>
      </c>
      <c r="BS75" s="12"/>
      <c r="BT75" s="12"/>
      <c r="BU75" s="12"/>
      <c r="BV75" s="12"/>
      <c r="BZ75" s="12"/>
      <c r="CA75" s="12"/>
      <c r="CB75" s="12"/>
      <c r="CC75" s="12"/>
      <c r="CG75" s="12"/>
      <c r="CH75" s="12"/>
      <c r="CI75" s="12"/>
      <c r="CJ75" s="12"/>
      <c r="CN75" s="12"/>
      <c r="CO75" s="12"/>
      <c r="CP75" s="12"/>
      <c r="CQ75" s="12"/>
      <c r="CU75" s="12"/>
      <c r="CV75" s="12"/>
      <c r="CW75" s="12"/>
      <c r="CX75" s="12"/>
      <c r="DB75" s="12"/>
      <c r="DC75" s="12"/>
      <c r="DD75" s="12"/>
      <c r="DE75" s="12"/>
      <c r="DI75" s="12"/>
      <c r="DJ75" s="12"/>
      <c r="DK75" s="12"/>
      <c r="DL75" s="12"/>
      <c r="DP75" s="12"/>
      <c r="DQ75" s="12"/>
      <c r="DR75" s="12"/>
      <c r="DS75" s="12"/>
      <c r="DX75" s="12"/>
      <c r="DY75" s="12"/>
      <c r="DZ75" s="12"/>
      <c r="EA75" s="12"/>
    </row>
    <row r="76" spans="2:131" ht="15.75" hidden="1" customHeight="1" outlineLevel="1">
      <c r="B76" t="s">
        <v>29</v>
      </c>
      <c r="C76" t="s">
        <v>2</v>
      </c>
      <c r="E76" s="11"/>
      <c r="F76" t="s">
        <v>114</v>
      </c>
      <c r="G76" s="12">
        <v>0.05</v>
      </c>
      <c r="I76" s="11">
        <f t="shared" si="13"/>
        <v>4.5</v>
      </c>
      <c r="J76" s="13">
        <f t="shared" si="12"/>
        <v>0</v>
      </c>
      <c r="K76" s="13">
        <f t="shared" si="12"/>
        <v>0</v>
      </c>
      <c r="L76" s="11"/>
      <c r="N76">
        <v>1.5</v>
      </c>
      <c r="O76" s="12"/>
      <c r="P76" s="12">
        <v>0.5</v>
      </c>
      <c r="Q76" s="12"/>
      <c r="R76" s="12">
        <v>0.5</v>
      </c>
      <c r="V76" s="12"/>
      <c r="W76" s="12">
        <v>0.5</v>
      </c>
      <c r="X76" s="12"/>
      <c r="Y76" s="12">
        <v>0.5</v>
      </c>
      <c r="AC76" s="12"/>
      <c r="AD76" s="12">
        <v>0.5</v>
      </c>
      <c r="AE76" s="12"/>
      <c r="AF76" s="12">
        <v>0.5</v>
      </c>
      <c r="AI76">
        <v>1.5</v>
      </c>
      <c r="AJ76" s="12"/>
      <c r="AK76" s="12">
        <v>0.8</v>
      </c>
      <c r="AL76" s="12"/>
      <c r="AM76" s="12">
        <v>0.8</v>
      </c>
      <c r="AQ76" s="12"/>
      <c r="AR76" s="12">
        <v>0.8</v>
      </c>
      <c r="AS76" s="12"/>
      <c r="AT76" s="12">
        <v>0.8</v>
      </c>
      <c r="AW76">
        <v>1.5</v>
      </c>
      <c r="AX76" s="12"/>
      <c r="AY76" s="12">
        <v>1</v>
      </c>
      <c r="AZ76" s="12"/>
      <c r="BA76" s="12">
        <v>1</v>
      </c>
      <c r="BE76" s="12"/>
      <c r="BF76" s="12"/>
      <c r="BG76" s="12"/>
      <c r="BH76" s="12"/>
      <c r="BL76" s="12"/>
      <c r="BM76" s="12">
        <v>1</v>
      </c>
      <c r="BN76" s="12"/>
      <c r="BO76" s="12">
        <v>1</v>
      </c>
      <c r="BS76" s="12"/>
      <c r="BT76" s="12"/>
      <c r="BU76" s="12"/>
      <c r="BV76" s="12"/>
      <c r="BZ76" s="12"/>
      <c r="CA76" s="12"/>
      <c r="CB76" s="12"/>
      <c r="CC76" s="12"/>
      <c r="CG76" s="12"/>
      <c r="CH76" s="12"/>
      <c r="CI76" s="12"/>
      <c r="CJ76" s="12"/>
      <c r="CN76" s="12"/>
      <c r="CO76" s="12"/>
      <c r="CP76" s="12"/>
      <c r="CQ76" s="12"/>
      <c r="CU76" s="12"/>
      <c r="CV76" s="12"/>
      <c r="CW76" s="12"/>
      <c r="CX76" s="12"/>
      <c r="DB76" s="12"/>
      <c r="DC76" s="12"/>
      <c r="DD76" s="12"/>
      <c r="DE76" s="12"/>
      <c r="DI76" s="12"/>
      <c r="DJ76" s="12"/>
      <c r="DK76" s="12"/>
      <c r="DL76" s="12"/>
      <c r="DP76" s="12"/>
      <c r="DQ76" s="12"/>
      <c r="DR76" s="12"/>
      <c r="DS76" s="12"/>
      <c r="DX76" s="12"/>
      <c r="DY76" s="12"/>
      <c r="DZ76" s="12"/>
      <c r="EA76" s="12"/>
    </row>
    <row r="77" spans="2:131" ht="15.75" hidden="1" customHeight="1" outlineLevel="1">
      <c r="B77" t="s">
        <v>29</v>
      </c>
      <c r="C77" t="s">
        <v>2</v>
      </c>
      <c r="E77" s="11"/>
      <c r="F77" t="s">
        <v>115</v>
      </c>
      <c r="G77" s="12">
        <v>0.05</v>
      </c>
      <c r="I77" s="11">
        <f t="shared" si="13"/>
        <v>4.5</v>
      </c>
      <c r="J77" s="13">
        <f t="shared" si="12"/>
        <v>0</v>
      </c>
      <c r="K77" s="13">
        <f t="shared" si="12"/>
        <v>0</v>
      </c>
      <c r="L77" s="11"/>
      <c r="O77" s="12"/>
      <c r="P77" s="12"/>
      <c r="Q77" s="12"/>
      <c r="R77" s="12"/>
      <c r="U77">
        <v>1.5</v>
      </c>
      <c r="V77" s="12"/>
      <c r="W77" s="12">
        <v>0.5</v>
      </c>
      <c r="X77" s="12"/>
      <c r="Y77" s="12">
        <v>0.5</v>
      </c>
      <c r="AC77" s="12"/>
      <c r="AD77" s="12">
        <v>0.5</v>
      </c>
      <c r="AE77" s="12"/>
      <c r="AF77" s="12">
        <v>0.5</v>
      </c>
      <c r="AI77">
        <v>1.5</v>
      </c>
      <c r="AJ77" s="12"/>
      <c r="AK77" s="12">
        <v>0.8</v>
      </c>
      <c r="AL77" s="12"/>
      <c r="AM77" s="12">
        <v>0.8</v>
      </c>
      <c r="AQ77" s="12"/>
      <c r="AR77" s="12">
        <v>0.8</v>
      </c>
      <c r="AS77" s="12"/>
      <c r="AT77" s="12">
        <v>0.8</v>
      </c>
      <c r="AW77">
        <v>1.5</v>
      </c>
      <c r="AX77" s="12"/>
      <c r="AY77" s="12">
        <v>1</v>
      </c>
      <c r="AZ77" s="12"/>
      <c r="BA77" s="12">
        <v>1</v>
      </c>
      <c r="BE77" s="12"/>
      <c r="BF77" s="12"/>
      <c r="BG77" s="12"/>
      <c r="BH77" s="12"/>
      <c r="BL77" s="12"/>
      <c r="BM77" s="12">
        <v>1</v>
      </c>
      <c r="BN77" s="12"/>
      <c r="BO77" s="12">
        <v>1</v>
      </c>
      <c r="BS77" s="12"/>
      <c r="BT77" s="12"/>
      <c r="BU77" s="12"/>
      <c r="BV77" s="12"/>
      <c r="BZ77" s="12"/>
      <c r="CA77" s="12"/>
      <c r="CB77" s="12"/>
      <c r="CC77" s="12"/>
      <c r="CG77" s="12"/>
      <c r="CH77" s="12"/>
      <c r="CI77" s="12"/>
      <c r="CJ77" s="12"/>
      <c r="CN77" s="12"/>
      <c r="CO77" s="12"/>
      <c r="CP77" s="12"/>
      <c r="CQ77" s="12"/>
      <c r="CU77" s="12"/>
      <c r="CV77" s="12"/>
      <c r="CW77" s="12"/>
      <c r="CX77" s="12"/>
      <c r="DB77" s="12"/>
      <c r="DC77" s="12"/>
      <c r="DD77" s="12"/>
      <c r="DE77" s="12"/>
      <c r="DI77" s="12"/>
      <c r="DJ77" s="12"/>
      <c r="DK77" s="12"/>
      <c r="DL77" s="12"/>
      <c r="DP77" s="12"/>
      <c r="DQ77" s="12"/>
      <c r="DR77" s="12"/>
      <c r="DS77" s="12"/>
      <c r="DX77" s="12"/>
      <c r="DY77" s="12"/>
      <c r="DZ77" s="12"/>
      <c r="EA77" s="12"/>
    </row>
    <row r="78" spans="2:131" ht="15.75" hidden="1" customHeight="1" outlineLevel="1">
      <c r="B78" t="s">
        <v>29</v>
      </c>
      <c r="C78" t="s">
        <v>2</v>
      </c>
      <c r="E78" s="11"/>
      <c r="F78" t="s">
        <v>113</v>
      </c>
      <c r="G78" s="12">
        <v>0.1</v>
      </c>
      <c r="I78" s="11">
        <f t="shared" si="13"/>
        <v>4.5</v>
      </c>
      <c r="J78" s="13">
        <f t="shared" si="12"/>
        <v>0</v>
      </c>
      <c r="K78" s="13">
        <f t="shared" si="12"/>
        <v>0</v>
      </c>
      <c r="L78" s="11"/>
      <c r="O78" s="12"/>
      <c r="P78" s="12"/>
      <c r="Q78" s="12"/>
      <c r="R78" s="12"/>
      <c r="U78">
        <v>1.5</v>
      </c>
      <c r="V78" s="12"/>
      <c r="W78" s="12">
        <v>0.5</v>
      </c>
      <c r="X78" s="12"/>
      <c r="Y78" s="12">
        <v>0.5</v>
      </c>
      <c r="AC78" s="12"/>
      <c r="AD78" s="12">
        <v>0.5</v>
      </c>
      <c r="AE78" s="12"/>
      <c r="AF78" s="12">
        <v>0.5</v>
      </c>
      <c r="AI78">
        <v>1.5</v>
      </c>
      <c r="AJ78" s="12"/>
      <c r="AK78" s="12">
        <v>0.8</v>
      </c>
      <c r="AL78" s="12"/>
      <c r="AM78" s="12">
        <v>0.8</v>
      </c>
      <c r="AQ78" s="12"/>
      <c r="AR78" s="12">
        <v>0.8</v>
      </c>
      <c r="AS78" s="12"/>
      <c r="AT78" s="12">
        <v>0.8</v>
      </c>
      <c r="AW78">
        <v>1.5</v>
      </c>
      <c r="AX78" s="12"/>
      <c r="AY78" s="12">
        <v>1</v>
      </c>
      <c r="AZ78" s="12"/>
      <c r="BA78" s="12">
        <v>1</v>
      </c>
      <c r="BE78" s="12"/>
      <c r="BF78" s="12"/>
      <c r="BG78" s="12"/>
      <c r="BH78" s="12"/>
      <c r="BL78" s="12"/>
      <c r="BM78" s="12">
        <v>1</v>
      </c>
      <c r="BN78" s="12"/>
      <c r="BO78" s="12">
        <v>1</v>
      </c>
      <c r="BS78" s="12"/>
      <c r="BT78" s="12"/>
      <c r="BU78" s="12"/>
      <c r="BV78" s="12"/>
      <c r="BZ78" s="12"/>
      <c r="CA78" s="12"/>
      <c r="CB78" s="12"/>
      <c r="CC78" s="12"/>
      <c r="CG78" s="12"/>
      <c r="CH78" s="12"/>
      <c r="CI78" s="12"/>
      <c r="CJ78" s="12"/>
      <c r="CN78" s="12"/>
      <c r="CO78" s="12"/>
      <c r="CP78" s="12"/>
      <c r="CQ78" s="12"/>
      <c r="CU78" s="12"/>
      <c r="CV78" s="12"/>
      <c r="CW78" s="12"/>
      <c r="CX78" s="12"/>
      <c r="DB78" s="12"/>
      <c r="DC78" s="12"/>
      <c r="DD78" s="12"/>
      <c r="DE78" s="12"/>
      <c r="DI78" s="12"/>
      <c r="DJ78" s="12"/>
      <c r="DK78" s="12"/>
      <c r="DL78" s="12"/>
      <c r="DP78" s="12"/>
      <c r="DQ78" s="12"/>
      <c r="DR78" s="12"/>
      <c r="DS78" s="12"/>
      <c r="DX78" s="12"/>
      <c r="DY78" s="12"/>
      <c r="DZ78" s="12"/>
      <c r="EA78" s="12"/>
    </row>
    <row r="79" spans="2:131" ht="15.75" hidden="1" customHeight="1" outlineLevel="1">
      <c r="B79" t="s">
        <v>29</v>
      </c>
      <c r="C79" t="s">
        <v>2</v>
      </c>
      <c r="E79" s="11"/>
      <c r="F79" t="s">
        <v>116</v>
      </c>
      <c r="G79" s="12">
        <v>0.1</v>
      </c>
      <c r="I79" s="11">
        <f t="shared" si="13"/>
        <v>4.5</v>
      </c>
      <c r="J79" s="13">
        <f t="shared" si="12"/>
        <v>0</v>
      </c>
      <c r="K79" s="13">
        <f t="shared" si="12"/>
        <v>0</v>
      </c>
      <c r="L79" s="11"/>
      <c r="O79" s="12"/>
      <c r="P79" s="12"/>
      <c r="Q79" s="12"/>
      <c r="R79" s="12"/>
      <c r="U79">
        <v>1.5</v>
      </c>
      <c r="V79" s="12"/>
      <c r="W79" s="12">
        <v>0.5</v>
      </c>
      <c r="X79" s="12"/>
      <c r="Y79" s="12">
        <v>0.5</v>
      </c>
      <c r="AC79" s="12"/>
      <c r="AD79" s="12">
        <v>0.5</v>
      </c>
      <c r="AE79" s="12"/>
      <c r="AF79" s="12">
        <v>0.5</v>
      </c>
      <c r="AI79">
        <v>1.5</v>
      </c>
      <c r="AJ79" s="12"/>
      <c r="AK79" s="12">
        <v>0.8</v>
      </c>
      <c r="AL79" s="12"/>
      <c r="AM79" s="12">
        <v>0.8</v>
      </c>
      <c r="AQ79" s="12"/>
      <c r="AR79" s="12">
        <v>0.8</v>
      </c>
      <c r="AS79" s="12"/>
      <c r="AT79" s="12">
        <v>0.8</v>
      </c>
      <c r="AW79">
        <v>1.5</v>
      </c>
      <c r="AX79" s="12"/>
      <c r="AY79" s="12">
        <v>1</v>
      </c>
      <c r="AZ79" s="12"/>
      <c r="BA79" s="12">
        <v>1</v>
      </c>
      <c r="BE79" s="12"/>
      <c r="BF79" s="12"/>
      <c r="BG79" s="12"/>
      <c r="BH79" s="12"/>
      <c r="BL79" s="12"/>
      <c r="BM79" s="12">
        <v>1</v>
      </c>
      <c r="BN79" s="12"/>
      <c r="BO79" s="12">
        <v>1</v>
      </c>
      <c r="BS79" s="12"/>
      <c r="BT79" s="12"/>
      <c r="BU79" s="12"/>
      <c r="BV79" s="12"/>
      <c r="BZ79" s="12"/>
      <c r="CA79" s="12"/>
      <c r="CB79" s="12"/>
      <c r="CC79" s="12"/>
      <c r="CG79" s="12"/>
      <c r="CH79" s="12"/>
      <c r="CI79" s="12"/>
      <c r="CJ79" s="12"/>
      <c r="CN79" s="12"/>
      <c r="CO79" s="12"/>
      <c r="CP79" s="12"/>
      <c r="CQ79" s="12"/>
      <c r="CU79" s="12"/>
      <c r="CV79" s="12"/>
      <c r="CW79" s="12"/>
      <c r="CX79" s="12"/>
      <c r="DB79" s="12"/>
      <c r="DC79" s="12"/>
      <c r="DD79" s="12"/>
      <c r="DE79" s="12"/>
      <c r="DI79" s="12"/>
      <c r="DJ79" s="12"/>
      <c r="DK79" s="12"/>
      <c r="DL79" s="12"/>
      <c r="DP79" s="12"/>
      <c r="DQ79" s="12"/>
      <c r="DR79" s="12"/>
      <c r="DS79" s="12"/>
      <c r="DX79" s="12"/>
      <c r="DY79" s="12"/>
      <c r="DZ79" s="12"/>
      <c r="EA79" s="12"/>
    </row>
    <row r="80" spans="2:131" ht="15.75" hidden="1" customHeight="1" outlineLevel="1">
      <c r="B80" t="s">
        <v>29</v>
      </c>
      <c r="C80" t="s">
        <v>2</v>
      </c>
      <c r="E80" s="11"/>
      <c r="F80" t="s">
        <v>117</v>
      </c>
      <c r="G80" s="12">
        <v>0.1</v>
      </c>
      <c r="I80" s="11">
        <f t="shared" si="13"/>
        <v>4.5</v>
      </c>
      <c r="J80" s="13">
        <f t="shared" si="12"/>
        <v>0</v>
      </c>
      <c r="K80" s="13">
        <f t="shared" si="12"/>
        <v>0</v>
      </c>
      <c r="L80" s="11"/>
      <c r="O80" s="12"/>
      <c r="P80" s="12"/>
      <c r="Q80" s="12"/>
      <c r="R80" s="12"/>
      <c r="U80">
        <v>1.5</v>
      </c>
      <c r="V80" s="12"/>
      <c r="W80" s="12">
        <v>0.5</v>
      </c>
      <c r="X80" s="12"/>
      <c r="Y80" s="12">
        <v>0.5</v>
      </c>
      <c r="AC80" s="12"/>
      <c r="AD80" s="12">
        <v>0.5</v>
      </c>
      <c r="AE80" s="12"/>
      <c r="AF80" s="12">
        <v>0.5</v>
      </c>
      <c r="AJ80" s="12"/>
      <c r="AK80" s="12">
        <v>0.5</v>
      </c>
      <c r="AL80" s="12"/>
      <c r="AM80" s="12">
        <v>0.5</v>
      </c>
      <c r="AP80">
        <v>1.5</v>
      </c>
      <c r="AQ80" s="12"/>
      <c r="AR80" s="12">
        <v>0.8</v>
      </c>
      <c r="AS80" s="12"/>
      <c r="AT80" s="12">
        <v>0.8</v>
      </c>
      <c r="AW80">
        <v>1.5</v>
      </c>
      <c r="AX80" s="12"/>
      <c r="AY80" s="12">
        <v>1</v>
      </c>
      <c r="AZ80" s="12"/>
      <c r="BA80" s="12">
        <v>1</v>
      </c>
      <c r="BE80" s="12"/>
      <c r="BF80" s="12"/>
      <c r="BG80" s="12"/>
      <c r="BH80" s="12"/>
      <c r="BL80" s="12"/>
      <c r="BM80" s="12">
        <v>1</v>
      </c>
      <c r="BN80" s="12"/>
      <c r="BO80" s="12">
        <v>1</v>
      </c>
      <c r="BS80" s="12"/>
      <c r="BT80" s="12"/>
      <c r="BU80" s="12"/>
      <c r="BV80" s="12"/>
      <c r="BZ80" s="12"/>
      <c r="CA80" s="12"/>
      <c r="CB80" s="12"/>
      <c r="CC80" s="12"/>
      <c r="CG80" s="12"/>
      <c r="CH80" s="12"/>
      <c r="CI80" s="12"/>
      <c r="CJ80" s="12"/>
      <c r="CN80" s="12"/>
      <c r="CO80" s="12"/>
      <c r="CP80" s="12"/>
      <c r="CQ80" s="12"/>
      <c r="CU80" s="12"/>
      <c r="CV80" s="12"/>
      <c r="CW80" s="12"/>
      <c r="CX80" s="12"/>
      <c r="DB80" s="12"/>
      <c r="DC80" s="12"/>
      <c r="DD80" s="12"/>
      <c r="DE80" s="12"/>
      <c r="DI80" s="12"/>
      <c r="DJ80" s="12"/>
      <c r="DK80" s="12"/>
      <c r="DL80" s="12"/>
      <c r="DP80" s="12"/>
      <c r="DQ80" s="12"/>
      <c r="DR80" s="12"/>
      <c r="DS80" s="12"/>
      <c r="DX80" s="12"/>
      <c r="DY80" s="12"/>
      <c r="DZ80" s="12"/>
      <c r="EA80" s="12"/>
    </row>
    <row r="81" spans="2:131" ht="15.75" hidden="1" customHeight="1" outlineLevel="1">
      <c r="B81" t="s">
        <v>29</v>
      </c>
      <c r="C81" t="s">
        <v>2</v>
      </c>
      <c r="E81" s="11"/>
      <c r="F81" t="s">
        <v>118</v>
      </c>
      <c r="G81" s="12">
        <v>0.1</v>
      </c>
      <c r="I81" s="11">
        <f t="shared" si="13"/>
        <v>4.5</v>
      </c>
      <c r="J81" s="13">
        <f t="shared" si="12"/>
        <v>0</v>
      </c>
      <c r="K81" s="13">
        <f t="shared" si="12"/>
        <v>0</v>
      </c>
      <c r="L81" s="11"/>
      <c r="O81" s="12"/>
      <c r="P81" s="12"/>
      <c r="Q81" s="12"/>
      <c r="R81" s="12"/>
      <c r="V81" s="12"/>
      <c r="W81" s="12"/>
      <c r="X81" s="12"/>
      <c r="Y81" s="12"/>
      <c r="AB81">
        <v>1.5</v>
      </c>
      <c r="AC81" s="12"/>
      <c r="AD81" s="12">
        <v>0.5</v>
      </c>
      <c r="AE81" s="12"/>
      <c r="AF81" s="12">
        <v>0.5</v>
      </c>
      <c r="AJ81" s="12"/>
      <c r="AK81" s="12">
        <v>0.5</v>
      </c>
      <c r="AL81" s="12"/>
      <c r="AM81" s="12">
        <v>0.5</v>
      </c>
      <c r="AP81">
        <v>1.5</v>
      </c>
      <c r="AQ81" s="12"/>
      <c r="AR81" s="12">
        <v>0.8</v>
      </c>
      <c r="AS81" s="12"/>
      <c r="AT81" s="12">
        <v>0.8</v>
      </c>
      <c r="AW81">
        <v>1.5</v>
      </c>
      <c r="AX81" s="12"/>
      <c r="AY81" s="12">
        <v>1</v>
      </c>
      <c r="AZ81" s="12"/>
      <c r="BA81" s="12">
        <v>1</v>
      </c>
      <c r="BE81" s="12"/>
      <c r="BF81" s="12"/>
      <c r="BG81" s="12"/>
      <c r="BH81" s="12"/>
      <c r="BL81" s="12"/>
      <c r="BM81" s="12">
        <v>1</v>
      </c>
      <c r="BN81" s="12"/>
      <c r="BO81" s="12">
        <v>1</v>
      </c>
      <c r="BS81" s="12"/>
      <c r="BT81" s="12"/>
      <c r="BU81" s="12"/>
      <c r="BV81" s="12"/>
      <c r="BZ81" s="12"/>
      <c r="CA81" s="12"/>
      <c r="CB81" s="12"/>
      <c r="CC81" s="12"/>
      <c r="CG81" s="12"/>
      <c r="CH81" s="12"/>
      <c r="CI81" s="12"/>
      <c r="CJ81" s="12"/>
      <c r="CN81" s="12"/>
      <c r="CO81" s="12"/>
      <c r="CP81" s="12"/>
      <c r="CQ81" s="12"/>
      <c r="CU81" s="12"/>
      <c r="CV81" s="12"/>
      <c r="CW81" s="12"/>
      <c r="CX81" s="12"/>
      <c r="DB81" s="12"/>
      <c r="DC81" s="12"/>
      <c r="DD81" s="12"/>
      <c r="DE81" s="12"/>
      <c r="DI81" s="12"/>
      <c r="DJ81" s="12"/>
      <c r="DK81" s="12"/>
      <c r="DL81" s="12"/>
      <c r="DP81" s="12"/>
      <c r="DQ81" s="12"/>
      <c r="DR81" s="12"/>
      <c r="DS81" s="12"/>
      <c r="DX81" s="12"/>
      <c r="DY81" s="12"/>
      <c r="DZ81" s="12"/>
      <c r="EA81" s="12"/>
    </row>
    <row r="82" spans="2:131" collapsed="1"/>
    <row r="83" spans="2:131">
      <c r="B83" s="22" t="s">
        <v>28</v>
      </c>
      <c r="C83" s="22" t="s">
        <v>68</v>
      </c>
      <c r="E83" s="27">
        <v>5</v>
      </c>
      <c r="G83" s="12">
        <f>+SUM(G84:G91)</f>
        <v>0.6</v>
      </c>
      <c r="I83" s="14">
        <f>+SUM(I84:I91)</f>
        <v>0</v>
      </c>
      <c r="J83" s="13">
        <f>+SUMPRODUCT(G84:G91,J84:J91)</f>
        <v>0</v>
      </c>
      <c r="K83" s="13">
        <f>+SUMPRODUCT(G84:G91,K84:K91)</f>
        <v>0</v>
      </c>
      <c r="L83" s="11"/>
      <c r="N83" s="14">
        <f>+SUM(N84:N91)</f>
        <v>0</v>
      </c>
      <c r="U83" s="14">
        <f>+SUM(U84:U91)</f>
        <v>0</v>
      </c>
      <c r="AB83" s="14">
        <f>+SUM(AB84:AB91)</f>
        <v>0</v>
      </c>
      <c r="AI83" s="14">
        <f>+SUM(AI84:AI91)</f>
        <v>0</v>
      </c>
      <c r="AP83" s="14">
        <f>+SUM(AP84:AP91)</f>
        <v>0</v>
      </c>
      <c r="AW83" s="14">
        <f>+SUM(AW84:AW91)</f>
        <v>0</v>
      </c>
      <c r="BD83" s="14">
        <f>+SUM(BD84:BD91)</f>
        <v>0</v>
      </c>
      <c r="BK83" s="14">
        <f>+SUM(BK84:BK91)</f>
        <v>0</v>
      </c>
      <c r="BR83" s="14">
        <f>+SUM(BR84:BR91)</f>
        <v>0</v>
      </c>
      <c r="BY83" s="14">
        <f>+SUM(BY84:BY91)</f>
        <v>0</v>
      </c>
      <c r="CF83" s="14">
        <f>+SUM(CF84:CF91)</f>
        <v>0</v>
      </c>
      <c r="CM83" s="14">
        <f>+SUM(CM84:CM91)</f>
        <v>0</v>
      </c>
      <c r="CT83" s="14">
        <f>+SUM(CT84:CT91)</f>
        <v>0</v>
      </c>
      <c r="DA83" s="14">
        <f>+SUM(DA84:DA91)</f>
        <v>0</v>
      </c>
      <c r="DH83" s="14">
        <f>+SUM(DH84:DH91)</f>
        <v>0</v>
      </c>
      <c r="DO83" s="14">
        <f>+SUM(DO84:DO91)</f>
        <v>0</v>
      </c>
      <c r="DW83" s="14">
        <f>+SUM(DW84:DW91)</f>
        <v>0</v>
      </c>
    </row>
    <row r="84" spans="2:131" ht="15.75" customHeight="1" outlineLevel="1">
      <c r="B84" t="s">
        <v>29</v>
      </c>
      <c r="C84" t="s">
        <v>2</v>
      </c>
      <c r="E84" s="11"/>
      <c r="F84" t="s">
        <v>31</v>
      </c>
      <c r="G84" s="12">
        <v>0.1</v>
      </c>
      <c r="I84" s="11">
        <f>+SUMIF($N$3:$ZZ$3,I$3,$N84:$ZZ84)</f>
        <v>0</v>
      </c>
      <c r="J84" s="13">
        <f t="shared" ref="J84:K91" si="14">+_xlfn.MAXIFS($N84:$ZF84,$N$3:$ZF$3,J$3)</f>
        <v>0</v>
      </c>
      <c r="K84" s="13">
        <f t="shared" si="14"/>
        <v>0</v>
      </c>
      <c r="L84" s="11"/>
      <c r="O84" s="12"/>
      <c r="P84" s="12"/>
      <c r="Q84" s="12"/>
      <c r="R84" s="12"/>
      <c r="V84" s="12"/>
      <c r="W84" s="12"/>
      <c r="X84" s="12"/>
      <c r="Y84" s="12"/>
      <c r="AC84" s="12"/>
      <c r="AD84" s="12"/>
      <c r="AE84" s="12"/>
      <c r="AF84" s="12"/>
      <c r="AJ84" s="12"/>
      <c r="AK84" s="12"/>
      <c r="AL84" s="12"/>
      <c r="AM84" s="12"/>
      <c r="AQ84" s="12"/>
      <c r="AR84" s="12">
        <v>1</v>
      </c>
      <c r="AS84" s="12"/>
      <c r="AT84" s="12">
        <v>1</v>
      </c>
      <c r="AX84" s="12"/>
      <c r="AY84" s="12"/>
      <c r="AZ84" s="12"/>
      <c r="BA84" s="12"/>
      <c r="BE84" s="12"/>
      <c r="BF84" s="12"/>
      <c r="BG84" s="12"/>
      <c r="BH84" s="12"/>
      <c r="BL84" s="12"/>
      <c r="BM84" s="12">
        <v>1</v>
      </c>
      <c r="BN84" s="12"/>
      <c r="BO84" s="12">
        <v>1</v>
      </c>
      <c r="BS84" s="12"/>
      <c r="BT84" s="12"/>
      <c r="BU84" s="12"/>
      <c r="BV84" s="12"/>
      <c r="BZ84" s="12"/>
      <c r="CA84" s="12"/>
      <c r="CB84" s="12"/>
      <c r="CC84" s="12"/>
      <c r="CG84" s="12"/>
      <c r="CH84" s="12"/>
      <c r="CI84" s="12"/>
      <c r="CJ84" s="12"/>
      <c r="CN84" s="12"/>
      <c r="CO84" s="12"/>
      <c r="CP84" s="12"/>
      <c r="CQ84" s="12"/>
      <c r="CU84" s="12"/>
      <c r="CV84" s="12"/>
      <c r="CW84" s="12"/>
      <c r="CX84" s="12"/>
      <c r="DB84" s="12"/>
      <c r="DC84" s="12"/>
      <c r="DD84" s="12"/>
      <c r="DE84" s="12"/>
      <c r="DI84" s="12"/>
      <c r="DJ84" s="12"/>
      <c r="DK84" s="12"/>
      <c r="DL84" s="12"/>
      <c r="DP84" s="12"/>
      <c r="DQ84" s="12"/>
      <c r="DR84" s="12"/>
      <c r="DS84" s="12"/>
      <c r="DX84" s="12"/>
      <c r="DY84" s="12"/>
      <c r="DZ84" s="12"/>
      <c r="EA84" s="12"/>
    </row>
    <row r="85" spans="2:131" ht="15.75" customHeight="1" outlineLevel="1">
      <c r="B85" t="s">
        <v>29</v>
      </c>
      <c r="C85" t="s">
        <v>2</v>
      </c>
      <c r="E85" s="11"/>
      <c r="F85" t="s">
        <v>145</v>
      </c>
      <c r="G85" s="12">
        <v>0.05</v>
      </c>
      <c r="I85" s="11">
        <f t="shared" ref="I85:I91" si="15">+SUMIF($N$3:$ZZ$3,I$3,$N85:$ZZ85)</f>
        <v>0</v>
      </c>
      <c r="J85" s="13">
        <f t="shared" si="14"/>
        <v>0</v>
      </c>
      <c r="K85" s="13">
        <f t="shared" si="14"/>
        <v>0</v>
      </c>
      <c r="L85" s="11"/>
      <c r="O85" s="12"/>
      <c r="P85" s="12"/>
      <c r="Q85" s="12"/>
      <c r="R85" s="12"/>
      <c r="V85" s="12"/>
      <c r="W85" s="12"/>
      <c r="X85" s="12"/>
      <c r="Y85" s="12"/>
      <c r="AC85" s="12"/>
      <c r="AD85" s="12"/>
      <c r="AE85" s="12"/>
      <c r="AF85" s="12"/>
      <c r="AJ85" s="12"/>
      <c r="AK85" s="12"/>
      <c r="AL85" s="12"/>
      <c r="AM85" s="12"/>
      <c r="AQ85" s="12"/>
      <c r="AR85" s="12">
        <v>1</v>
      </c>
      <c r="AS85" s="12"/>
      <c r="AT85" s="12">
        <v>1</v>
      </c>
      <c r="AX85" s="12"/>
      <c r="AY85" s="12"/>
      <c r="AZ85" s="12"/>
      <c r="BA85" s="12"/>
      <c r="BE85" s="12"/>
      <c r="BF85" s="12"/>
      <c r="BG85" s="12"/>
      <c r="BH85" s="12"/>
      <c r="BL85" s="12"/>
      <c r="BM85" s="12">
        <v>1</v>
      </c>
      <c r="BN85" s="12"/>
      <c r="BO85" s="12">
        <v>1</v>
      </c>
      <c r="BS85" s="12"/>
      <c r="BT85" s="12"/>
      <c r="BU85" s="12"/>
      <c r="BV85" s="12"/>
      <c r="BZ85" s="12"/>
      <c r="CA85" s="12"/>
      <c r="CB85" s="12"/>
      <c r="CC85" s="12"/>
      <c r="CG85" s="12"/>
      <c r="CH85" s="12"/>
      <c r="CI85" s="12"/>
      <c r="CJ85" s="12"/>
      <c r="CN85" s="12"/>
      <c r="CO85" s="12"/>
      <c r="CP85" s="12"/>
      <c r="CQ85" s="12"/>
      <c r="CU85" s="12"/>
      <c r="CV85" s="12"/>
      <c r="CW85" s="12"/>
      <c r="CX85" s="12"/>
      <c r="DB85" s="12"/>
      <c r="DC85" s="12"/>
      <c r="DD85" s="12"/>
      <c r="DE85" s="12"/>
      <c r="DI85" s="12"/>
      <c r="DJ85" s="12"/>
      <c r="DK85" s="12"/>
      <c r="DL85" s="12"/>
      <c r="DP85" s="12"/>
      <c r="DQ85" s="12"/>
      <c r="DR85" s="12"/>
      <c r="DS85" s="12"/>
      <c r="DX85" s="12"/>
      <c r="DY85" s="12"/>
      <c r="DZ85" s="12"/>
      <c r="EA85" s="12"/>
    </row>
    <row r="86" spans="2:131" ht="15.75" customHeight="1" outlineLevel="1">
      <c r="B86" t="s">
        <v>29</v>
      </c>
      <c r="C86" t="s">
        <v>2</v>
      </c>
      <c r="E86" s="11"/>
      <c r="F86" t="s">
        <v>146</v>
      </c>
      <c r="G86" s="12">
        <v>0.05</v>
      </c>
      <c r="I86" s="11">
        <f t="shared" si="15"/>
        <v>0</v>
      </c>
      <c r="J86" s="13">
        <f t="shared" si="14"/>
        <v>0</v>
      </c>
      <c r="K86" s="13">
        <f t="shared" si="14"/>
        <v>0</v>
      </c>
      <c r="L86" s="11"/>
      <c r="O86" s="12"/>
      <c r="P86" s="12"/>
      <c r="Q86" s="12"/>
      <c r="R86" s="12"/>
      <c r="V86" s="12"/>
      <c r="W86" s="12"/>
      <c r="X86" s="12"/>
      <c r="Y86" s="12"/>
      <c r="AC86" s="12"/>
      <c r="AD86" s="12"/>
      <c r="AE86" s="12"/>
      <c r="AF86" s="12"/>
      <c r="AJ86" s="12"/>
      <c r="AK86" s="12"/>
      <c r="AL86" s="12"/>
      <c r="AM86" s="12"/>
      <c r="AQ86" s="12"/>
      <c r="AR86" s="12">
        <v>1</v>
      </c>
      <c r="AS86" s="12"/>
      <c r="AT86" s="12">
        <v>1</v>
      </c>
      <c r="AX86" s="12"/>
      <c r="AY86" s="12"/>
      <c r="AZ86" s="12"/>
      <c r="BA86" s="12"/>
      <c r="BE86" s="12"/>
      <c r="BF86" s="12"/>
      <c r="BG86" s="12"/>
      <c r="BH86" s="12"/>
      <c r="BL86" s="12"/>
      <c r="BM86" s="12">
        <v>1</v>
      </c>
      <c r="BN86" s="12"/>
      <c r="BO86" s="12">
        <v>1</v>
      </c>
      <c r="BS86" s="12"/>
      <c r="BT86" s="12"/>
      <c r="BU86" s="12"/>
      <c r="BV86" s="12"/>
      <c r="BZ86" s="12"/>
      <c r="CA86" s="12"/>
      <c r="CB86" s="12"/>
      <c r="CC86" s="12"/>
      <c r="CG86" s="12"/>
      <c r="CH86" s="12"/>
      <c r="CI86" s="12"/>
      <c r="CJ86" s="12"/>
      <c r="CN86" s="12"/>
      <c r="CO86" s="12"/>
      <c r="CP86" s="12"/>
      <c r="CQ86" s="12"/>
      <c r="CU86" s="12"/>
      <c r="CV86" s="12"/>
      <c r="CW86" s="12"/>
      <c r="CX86" s="12"/>
      <c r="DB86" s="12"/>
      <c r="DC86" s="12"/>
      <c r="DD86" s="12"/>
      <c r="DE86" s="12"/>
      <c r="DI86" s="12"/>
      <c r="DJ86" s="12"/>
      <c r="DK86" s="12"/>
      <c r="DL86" s="12"/>
      <c r="DP86" s="12"/>
      <c r="DQ86" s="12"/>
      <c r="DR86" s="12"/>
      <c r="DS86" s="12"/>
      <c r="DX86" s="12"/>
      <c r="DY86" s="12"/>
      <c r="DZ86" s="12"/>
      <c r="EA86" s="12"/>
    </row>
    <row r="87" spans="2:131" ht="15.75" customHeight="1" outlineLevel="1">
      <c r="B87" t="s">
        <v>29</v>
      </c>
      <c r="C87" t="s">
        <v>2</v>
      </c>
      <c r="E87" s="11"/>
      <c r="F87" t="s">
        <v>147</v>
      </c>
      <c r="G87" s="12">
        <v>0.05</v>
      </c>
      <c r="I87" s="11">
        <f t="shared" si="15"/>
        <v>0</v>
      </c>
      <c r="J87" s="13">
        <f t="shared" si="14"/>
        <v>0</v>
      </c>
      <c r="K87" s="13">
        <f t="shared" si="14"/>
        <v>0</v>
      </c>
      <c r="L87" s="11"/>
      <c r="O87" s="12"/>
      <c r="P87" s="12"/>
      <c r="Q87" s="12"/>
      <c r="R87" s="12"/>
      <c r="V87" s="12"/>
      <c r="W87" s="12"/>
      <c r="X87" s="12"/>
      <c r="Y87" s="12"/>
      <c r="AC87" s="12"/>
      <c r="AD87" s="12"/>
      <c r="AE87" s="12"/>
      <c r="AF87" s="12"/>
      <c r="AJ87" s="12"/>
      <c r="AK87" s="12"/>
      <c r="AL87" s="12"/>
      <c r="AM87" s="12"/>
      <c r="AQ87" s="12"/>
      <c r="AR87" s="12">
        <v>1</v>
      </c>
      <c r="AS87" s="12"/>
      <c r="AT87" s="12">
        <v>1</v>
      </c>
      <c r="AX87" s="12"/>
      <c r="AY87" s="12"/>
      <c r="AZ87" s="12"/>
      <c r="BA87" s="12"/>
      <c r="BE87" s="12"/>
      <c r="BF87" s="12"/>
      <c r="BG87" s="12"/>
      <c r="BH87" s="12"/>
      <c r="BL87" s="12"/>
      <c r="BM87" s="12">
        <v>1</v>
      </c>
      <c r="BN87" s="12"/>
      <c r="BO87" s="12">
        <v>1</v>
      </c>
      <c r="BS87" s="12"/>
      <c r="BT87" s="12"/>
      <c r="BU87" s="12"/>
      <c r="BV87" s="12"/>
      <c r="BZ87" s="12"/>
      <c r="CA87" s="12"/>
      <c r="CB87" s="12"/>
      <c r="CC87" s="12"/>
      <c r="CG87" s="12"/>
      <c r="CH87" s="12"/>
      <c r="CI87" s="12"/>
      <c r="CJ87" s="12"/>
      <c r="CN87" s="12"/>
      <c r="CO87" s="12"/>
      <c r="CP87" s="12"/>
      <c r="CQ87" s="12"/>
      <c r="CU87" s="12"/>
      <c r="CV87" s="12"/>
      <c r="CW87" s="12"/>
      <c r="CX87" s="12"/>
      <c r="DB87" s="12"/>
      <c r="DC87" s="12"/>
      <c r="DD87" s="12"/>
      <c r="DE87" s="12"/>
      <c r="DI87" s="12"/>
      <c r="DJ87" s="12"/>
      <c r="DK87" s="12"/>
      <c r="DL87" s="12"/>
      <c r="DP87" s="12"/>
      <c r="DQ87" s="12"/>
      <c r="DR87" s="12"/>
      <c r="DS87" s="12"/>
      <c r="DX87" s="12"/>
      <c r="DY87" s="12"/>
      <c r="DZ87" s="12"/>
      <c r="EA87" s="12"/>
    </row>
    <row r="88" spans="2:131" ht="15.75" customHeight="1" outlineLevel="1">
      <c r="B88" t="s">
        <v>29</v>
      </c>
      <c r="C88" t="s">
        <v>2</v>
      </c>
      <c r="E88" s="11"/>
      <c r="F88" t="s">
        <v>148</v>
      </c>
      <c r="G88" s="12">
        <v>0.05</v>
      </c>
      <c r="I88" s="11">
        <f t="shared" si="15"/>
        <v>0</v>
      </c>
      <c r="J88" s="13">
        <f t="shared" si="14"/>
        <v>0</v>
      </c>
      <c r="K88" s="13">
        <f t="shared" si="14"/>
        <v>0</v>
      </c>
      <c r="L88" s="11"/>
      <c r="O88" s="12"/>
      <c r="P88" s="12"/>
      <c r="Q88" s="12"/>
      <c r="R88" s="12"/>
      <c r="V88" s="12"/>
      <c r="W88" s="12"/>
      <c r="X88" s="12"/>
      <c r="Y88" s="12"/>
      <c r="AC88" s="12"/>
      <c r="AD88" s="12"/>
      <c r="AE88" s="12"/>
      <c r="AF88" s="12"/>
      <c r="AJ88" s="12"/>
      <c r="AK88" s="12"/>
      <c r="AL88" s="12"/>
      <c r="AM88" s="12"/>
      <c r="AQ88" s="12"/>
      <c r="AR88" s="12">
        <v>1</v>
      </c>
      <c r="AS88" s="12"/>
      <c r="AT88" s="12">
        <v>1</v>
      </c>
      <c r="AX88" s="12"/>
      <c r="AY88" s="12"/>
      <c r="AZ88" s="12"/>
      <c r="BA88" s="12"/>
      <c r="BE88" s="12"/>
      <c r="BF88" s="12"/>
      <c r="BG88" s="12"/>
      <c r="BH88" s="12"/>
      <c r="BL88" s="12"/>
      <c r="BM88" s="12">
        <v>1</v>
      </c>
      <c r="BN88" s="12"/>
      <c r="BO88" s="12">
        <v>1</v>
      </c>
      <c r="BS88" s="12"/>
      <c r="BT88" s="12"/>
      <c r="BU88" s="12"/>
      <c r="BV88" s="12"/>
      <c r="BZ88" s="12"/>
      <c r="CA88" s="12"/>
      <c r="CB88" s="12"/>
      <c r="CC88" s="12"/>
      <c r="CG88" s="12"/>
      <c r="CH88" s="12"/>
      <c r="CI88" s="12"/>
      <c r="CJ88" s="12"/>
      <c r="CN88" s="12"/>
      <c r="CO88" s="12"/>
      <c r="CP88" s="12"/>
      <c r="CQ88" s="12"/>
      <c r="CU88" s="12"/>
      <c r="CV88" s="12"/>
      <c r="CW88" s="12"/>
      <c r="CX88" s="12"/>
      <c r="DB88" s="12"/>
      <c r="DC88" s="12"/>
      <c r="DD88" s="12"/>
      <c r="DE88" s="12"/>
      <c r="DI88" s="12"/>
      <c r="DJ88" s="12"/>
      <c r="DK88" s="12"/>
      <c r="DL88" s="12"/>
      <c r="DP88" s="12"/>
      <c r="DQ88" s="12"/>
      <c r="DR88" s="12"/>
      <c r="DS88" s="12"/>
      <c r="DX88" s="12"/>
      <c r="DY88" s="12"/>
      <c r="DZ88" s="12"/>
      <c r="EA88" s="12"/>
    </row>
    <row r="89" spans="2:131" ht="15.75" customHeight="1" outlineLevel="1">
      <c r="B89" t="s">
        <v>29</v>
      </c>
      <c r="C89" t="s">
        <v>2</v>
      </c>
      <c r="E89" s="11"/>
      <c r="F89" t="s">
        <v>149</v>
      </c>
      <c r="G89" s="12">
        <v>0.1</v>
      </c>
      <c r="I89" s="11">
        <f t="shared" si="15"/>
        <v>0</v>
      </c>
      <c r="J89" s="13">
        <f t="shared" si="14"/>
        <v>0</v>
      </c>
      <c r="K89" s="13">
        <f t="shared" si="14"/>
        <v>0</v>
      </c>
      <c r="L89" s="11"/>
      <c r="O89" s="12"/>
      <c r="P89" s="12"/>
      <c r="Q89" s="12"/>
      <c r="R89" s="12"/>
      <c r="V89" s="12"/>
      <c r="W89" s="12"/>
      <c r="X89" s="12"/>
      <c r="Y89" s="12"/>
      <c r="AC89" s="12"/>
      <c r="AD89" s="12"/>
      <c r="AE89" s="12"/>
      <c r="AF89" s="12"/>
      <c r="AJ89" s="12"/>
      <c r="AK89" s="12"/>
      <c r="AL89" s="12"/>
      <c r="AM89" s="12"/>
      <c r="AQ89" s="12"/>
      <c r="AR89" s="12">
        <v>1</v>
      </c>
      <c r="AS89" s="12"/>
      <c r="AT89" s="12">
        <v>1</v>
      </c>
      <c r="AX89" s="12"/>
      <c r="AY89" s="12"/>
      <c r="AZ89" s="12"/>
      <c r="BA89" s="12"/>
      <c r="BE89" s="12"/>
      <c r="BF89" s="12"/>
      <c r="BG89" s="12"/>
      <c r="BH89" s="12"/>
      <c r="BL89" s="12"/>
      <c r="BM89" s="12">
        <v>1</v>
      </c>
      <c r="BN89" s="12"/>
      <c r="BO89" s="12">
        <v>1</v>
      </c>
      <c r="BS89" s="12"/>
      <c r="BT89" s="12"/>
      <c r="BU89" s="12"/>
      <c r="BV89" s="12"/>
      <c r="BZ89" s="12"/>
      <c r="CA89" s="12"/>
      <c r="CB89" s="12"/>
      <c r="CC89" s="12"/>
      <c r="CG89" s="12"/>
      <c r="CH89" s="12"/>
      <c r="CI89" s="12"/>
      <c r="CJ89" s="12"/>
      <c r="CN89" s="12"/>
      <c r="CO89" s="12"/>
      <c r="CP89" s="12"/>
      <c r="CQ89" s="12"/>
      <c r="CU89" s="12"/>
      <c r="CV89" s="12"/>
      <c r="CW89" s="12"/>
      <c r="CX89" s="12"/>
      <c r="DB89" s="12"/>
      <c r="DC89" s="12"/>
      <c r="DD89" s="12"/>
      <c r="DE89" s="12"/>
      <c r="DI89" s="12"/>
      <c r="DJ89" s="12"/>
      <c r="DK89" s="12"/>
      <c r="DL89" s="12"/>
      <c r="DP89" s="12"/>
      <c r="DQ89" s="12"/>
      <c r="DR89" s="12"/>
      <c r="DS89" s="12"/>
      <c r="DX89" s="12"/>
      <c r="DY89" s="12"/>
      <c r="DZ89" s="12"/>
      <c r="EA89" s="12"/>
    </row>
    <row r="90" spans="2:131" ht="15.75" customHeight="1" outlineLevel="1">
      <c r="B90" t="s">
        <v>29</v>
      </c>
      <c r="C90" t="s">
        <v>2</v>
      </c>
      <c r="E90" s="11"/>
      <c r="F90" t="s">
        <v>150</v>
      </c>
      <c r="G90" s="12">
        <v>0.1</v>
      </c>
      <c r="I90" s="11">
        <f t="shared" si="15"/>
        <v>0</v>
      </c>
      <c r="J90" s="13">
        <f t="shared" si="14"/>
        <v>0</v>
      </c>
      <c r="K90" s="13">
        <f t="shared" si="14"/>
        <v>0</v>
      </c>
      <c r="L90" s="11"/>
      <c r="O90" s="12"/>
      <c r="P90" s="12"/>
      <c r="Q90" s="12"/>
      <c r="R90" s="12"/>
      <c r="V90" s="12"/>
      <c r="W90" s="12"/>
      <c r="X90" s="12"/>
      <c r="Y90" s="12"/>
      <c r="AC90" s="12"/>
      <c r="AD90" s="12"/>
      <c r="AE90" s="12"/>
      <c r="AF90" s="12"/>
      <c r="AJ90" s="12"/>
      <c r="AK90" s="12"/>
      <c r="AL90" s="12"/>
      <c r="AM90" s="12"/>
      <c r="AQ90" s="12"/>
      <c r="AR90" s="12">
        <v>1</v>
      </c>
      <c r="AS90" s="12"/>
      <c r="AT90" s="12">
        <v>1</v>
      </c>
      <c r="AX90" s="12"/>
      <c r="AY90" s="12"/>
      <c r="AZ90" s="12"/>
      <c r="BA90" s="12"/>
      <c r="BE90" s="12"/>
      <c r="BF90" s="12"/>
      <c r="BG90" s="12"/>
      <c r="BH90" s="12"/>
      <c r="BL90" s="12"/>
      <c r="BM90" s="12">
        <v>1</v>
      </c>
      <c r="BN90" s="12"/>
      <c r="BO90" s="12">
        <v>1</v>
      </c>
      <c r="BS90" s="12"/>
      <c r="BT90" s="12"/>
      <c r="BU90" s="12"/>
      <c r="BV90" s="12"/>
      <c r="BZ90" s="12"/>
      <c r="CA90" s="12"/>
      <c r="CB90" s="12"/>
      <c r="CC90" s="12"/>
      <c r="CG90" s="12"/>
      <c r="CH90" s="12"/>
      <c r="CI90" s="12"/>
      <c r="CJ90" s="12"/>
      <c r="CN90" s="12"/>
      <c r="CO90" s="12"/>
      <c r="CP90" s="12"/>
      <c r="CQ90" s="12"/>
      <c r="CU90" s="12"/>
      <c r="CV90" s="12"/>
      <c r="CW90" s="12"/>
      <c r="CX90" s="12"/>
      <c r="DB90" s="12"/>
      <c r="DC90" s="12"/>
      <c r="DD90" s="12"/>
      <c r="DE90" s="12"/>
      <c r="DI90" s="12"/>
      <c r="DJ90" s="12"/>
      <c r="DK90" s="12"/>
      <c r="DL90" s="12"/>
      <c r="DP90" s="12"/>
      <c r="DQ90" s="12"/>
      <c r="DR90" s="12"/>
      <c r="DS90" s="12"/>
      <c r="DX90" s="12"/>
      <c r="DY90" s="12"/>
      <c r="DZ90" s="12"/>
      <c r="EA90" s="12"/>
    </row>
    <row r="91" spans="2:131" ht="15.75" customHeight="1" outlineLevel="1">
      <c r="B91" t="s">
        <v>29</v>
      </c>
      <c r="C91" t="s">
        <v>2</v>
      </c>
      <c r="E91" s="11"/>
      <c r="F91" t="s">
        <v>151</v>
      </c>
      <c r="G91" s="12">
        <v>0.1</v>
      </c>
      <c r="I91" s="11">
        <f t="shared" si="15"/>
        <v>0</v>
      </c>
      <c r="J91" s="13">
        <f t="shared" si="14"/>
        <v>0</v>
      </c>
      <c r="K91" s="13">
        <f t="shared" si="14"/>
        <v>0</v>
      </c>
      <c r="L91" s="11"/>
      <c r="O91" s="12"/>
      <c r="P91" s="12"/>
      <c r="Q91" s="12"/>
      <c r="R91" s="12"/>
      <c r="V91" s="12"/>
      <c r="W91" s="12"/>
      <c r="X91" s="12"/>
      <c r="Y91" s="12"/>
      <c r="AC91" s="12"/>
      <c r="AD91" s="12"/>
      <c r="AE91" s="12"/>
      <c r="AF91" s="12"/>
      <c r="AJ91" s="12"/>
      <c r="AK91" s="12"/>
      <c r="AL91" s="12"/>
      <c r="AM91" s="12"/>
      <c r="AQ91" s="12"/>
      <c r="AR91" s="12">
        <v>1</v>
      </c>
      <c r="AS91" s="12"/>
      <c r="AT91" s="12">
        <v>1</v>
      </c>
      <c r="AX91" s="12"/>
      <c r="AY91" s="12"/>
      <c r="AZ91" s="12"/>
      <c r="BA91" s="12"/>
      <c r="BE91" s="12"/>
      <c r="BF91" s="12"/>
      <c r="BG91" s="12"/>
      <c r="BH91" s="12"/>
      <c r="BL91" s="12"/>
      <c r="BM91" s="12">
        <v>1</v>
      </c>
      <c r="BN91" s="12"/>
      <c r="BO91" s="12">
        <v>1</v>
      </c>
      <c r="BS91" s="12"/>
      <c r="BT91" s="12"/>
      <c r="BU91" s="12"/>
      <c r="BV91" s="12"/>
      <c r="BZ91" s="12"/>
      <c r="CA91" s="12"/>
      <c r="CB91" s="12"/>
      <c r="CC91" s="12"/>
      <c r="CG91" s="12"/>
      <c r="CH91" s="12"/>
      <c r="CI91" s="12"/>
      <c r="CJ91" s="12"/>
      <c r="CN91" s="12"/>
      <c r="CO91" s="12"/>
      <c r="CP91" s="12"/>
      <c r="CQ91" s="12"/>
      <c r="CU91" s="12"/>
      <c r="CV91" s="12"/>
      <c r="CW91" s="12"/>
      <c r="CX91" s="12"/>
      <c r="DB91" s="12"/>
      <c r="DC91" s="12"/>
      <c r="DD91" s="12"/>
      <c r="DE91" s="12"/>
      <c r="DI91" s="12"/>
      <c r="DJ91" s="12"/>
      <c r="DK91" s="12"/>
      <c r="DL91" s="12"/>
      <c r="DP91" s="12"/>
      <c r="DQ91" s="12"/>
      <c r="DR91" s="12"/>
      <c r="DS91" s="12"/>
      <c r="DX91" s="12"/>
      <c r="DY91" s="12"/>
      <c r="DZ91" s="12"/>
      <c r="EA91" s="12"/>
    </row>
    <row r="93" spans="2:131">
      <c r="B93" s="23" t="s">
        <v>28</v>
      </c>
      <c r="C93" s="23" t="s">
        <v>69</v>
      </c>
      <c r="D93" s="23"/>
      <c r="E93" s="28">
        <v>7</v>
      </c>
      <c r="G93" s="12">
        <f>+SUM(G94:G105)</f>
        <v>0.99999999999999989</v>
      </c>
      <c r="I93" s="14">
        <f>+SUM(I94:I105)</f>
        <v>0</v>
      </c>
      <c r="J93" s="13">
        <f>+SUMPRODUCT(G94:G105,J94:J105)</f>
        <v>0</v>
      </c>
      <c r="K93" s="13">
        <f>+SUMPRODUCT(G94:G105,K94:K105)</f>
        <v>0</v>
      </c>
      <c r="L93" s="11"/>
      <c r="N93" s="14">
        <f>+SUM(N94:N105)</f>
        <v>0</v>
      </c>
      <c r="U93" s="14">
        <f>+SUM(U94:U105)</f>
        <v>0</v>
      </c>
      <c r="AB93" s="14">
        <f>+SUM(AB94:AB105)</f>
        <v>0</v>
      </c>
      <c r="AI93" s="14">
        <f>+SUM(AI94:AI105)</f>
        <v>0</v>
      </c>
      <c r="AP93" s="14">
        <f>+SUM(AP94:AP105)</f>
        <v>0</v>
      </c>
      <c r="AW93" s="14">
        <f>+SUM(AW94:AW105)</f>
        <v>0</v>
      </c>
      <c r="BD93" s="14">
        <f>+SUM(BD94:BD105)</f>
        <v>0</v>
      </c>
      <c r="BK93" s="14">
        <f>+SUM(BK94:BK105)</f>
        <v>0</v>
      </c>
      <c r="BR93" s="14">
        <f>+SUM(BR94:BR105)</f>
        <v>0</v>
      </c>
      <c r="BY93" s="14">
        <f>+SUM(BY94:BY105)</f>
        <v>0</v>
      </c>
      <c r="CF93" s="14">
        <f>+SUM(CF94:CF105)</f>
        <v>0</v>
      </c>
      <c r="CM93" s="14">
        <f>+SUM(CM94:CM105)</f>
        <v>0</v>
      </c>
      <c r="CT93" s="14">
        <f>+SUM(CT94:CT105)</f>
        <v>0</v>
      </c>
      <c r="DA93" s="14">
        <f>+SUM(DA94:DA105)</f>
        <v>0</v>
      </c>
      <c r="DH93" s="14">
        <f>+SUM(DH94:DH105)</f>
        <v>0</v>
      </c>
      <c r="DO93" s="14">
        <f>+SUM(DO94:DO105)</f>
        <v>0</v>
      </c>
      <c r="DW93" s="14">
        <f>+SUM(DW94:DW105)</f>
        <v>0</v>
      </c>
    </row>
    <row r="94" spans="2:131" ht="15.75" hidden="1" customHeight="1" outlineLevel="1">
      <c r="B94" t="s">
        <v>29</v>
      </c>
      <c r="C94" t="s">
        <v>2</v>
      </c>
      <c r="E94" s="11"/>
      <c r="F94" t="s">
        <v>56</v>
      </c>
      <c r="G94" s="12">
        <v>0.1</v>
      </c>
      <c r="I94" s="11">
        <f>+SUMIF($N$3:$ZZ$3,I$3,$N94:$ZZ94)</f>
        <v>0</v>
      </c>
      <c r="J94" s="13">
        <f t="shared" ref="J94:K105" si="16">+_xlfn.MAXIFS($N94:$ZF94,$N$3:$ZF$3,J$3)</f>
        <v>0</v>
      </c>
      <c r="K94" s="13">
        <f t="shared" si="16"/>
        <v>0</v>
      </c>
      <c r="L94" s="11"/>
      <c r="O94" s="12"/>
      <c r="P94" s="12"/>
      <c r="Q94" s="12"/>
      <c r="R94" s="12"/>
      <c r="V94" s="12"/>
      <c r="W94" s="12"/>
      <c r="X94" s="12"/>
      <c r="Y94" s="12"/>
      <c r="AC94" s="12"/>
      <c r="AD94" s="12"/>
      <c r="AE94" s="12"/>
      <c r="AF94" s="12"/>
      <c r="AJ94" s="12"/>
      <c r="AK94" s="12"/>
      <c r="AL94" s="12"/>
      <c r="AM94" s="12"/>
      <c r="AQ94" s="12"/>
      <c r="AR94" s="12">
        <v>1</v>
      </c>
      <c r="AS94" s="12"/>
      <c r="AT94" s="12">
        <v>1</v>
      </c>
      <c r="AX94" s="12"/>
      <c r="AY94" s="12"/>
      <c r="AZ94" s="12"/>
      <c r="BA94" s="12"/>
      <c r="BE94" s="12"/>
      <c r="BF94" s="12"/>
      <c r="BG94" s="12"/>
      <c r="BH94" s="12"/>
      <c r="BL94" s="12"/>
      <c r="BM94" s="12">
        <v>1</v>
      </c>
      <c r="BN94" s="12"/>
      <c r="BO94" s="12">
        <v>1</v>
      </c>
      <c r="BS94" s="12"/>
      <c r="BT94" s="12"/>
      <c r="BU94" s="12"/>
      <c r="BV94" s="12"/>
      <c r="BZ94" s="12"/>
      <c r="CA94" s="12"/>
      <c r="CB94" s="12"/>
      <c r="CC94" s="12"/>
      <c r="CG94" s="12"/>
      <c r="CH94" s="12"/>
      <c r="CI94" s="12"/>
      <c r="CJ94" s="12"/>
      <c r="CN94" s="12"/>
      <c r="CO94" s="12"/>
      <c r="CP94" s="12"/>
      <c r="CQ94" s="12"/>
      <c r="CU94" s="12"/>
      <c r="CV94" s="12"/>
      <c r="CW94" s="12"/>
      <c r="CX94" s="12"/>
      <c r="DB94" s="12"/>
      <c r="DC94" s="12"/>
      <c r="DD94" s="12"/>
      <c r="DE94" s="12"/>
      <c r="DI94" s="12"/>
      <c r="DJ94" s="12"/>
      <c r="DK94" s="12"/>
      <c r="DL94" s="12"/>
      <c r="DP94" s="12"/>
      <c r="DQ94" s="12"/>
      <c r="DR94" s="12"/>
      <c r="DS94" s="12"/>
      <c r="DX94" s="12"/>
      <c r="DY94" s="12"/>
      <c r="DZ94" s="12"/>
      <c r="EA94" s="12"/>
    </row>
    <row r="95" spans="2:131" ht="15.75" hidden="1" customHeight="1" outlineLevel="1">
      <c r="B95" t="s">
        <v>29</v>
      </c>
      <c r="C95" t="s">
        <v>2</v>
      </c>
      <c r="E95" s="11"/>
      <c r="F95" t="s">
        <v>57</v>
      </c>
      <c r="G95" s="12">
        <v>0.05</v>
      </c>
      <c r="I95" s="11">
        <f t="shared" ref="I95:I104" si="17">+SUMIF($N$3:$ZZ$3,I$3,$N95:$ZZ95)</f>
        <v>0</v>
      </c>
      <c r="J95" s="13">
        <f t="shared" si="16"/>
        <v>0</v>
      </c>
      <c r="K95" s="13">
        <f t="shared" si="16"/>
        <v>0</v>
      </c>
      <c r="L95" s="11"/>
      <c r="O95" s="12"/>
      <c r="P95" s="12"/>
      <c r="Q95" s="12"/>
      <c r="R95" s="12"/>
      <c r="V95" s="12"/>
      <c r="W95" s="12"/>
      <c r="X95" s="12"/>
      <c r="Y95" s="12"/>
      <c r="AC95" s="12"/>
      <c r="AD95" s="12"/>
      <c r="AE95" s="12"/>
      <c r="AF95" s="12"/>
      <c r="AJ95" s="12"/>
      <c r="AK95" s="12"/>
      <c r="AL95" s="12"/>
      <c r="AM95" s="12"/>
      <c r="AQ95" s="12"/>
      <c r="AR95" s="12">
        <v>1</v>
      </c>
      <c r="AS95" s="12"/>
      <c r="AT95" s="12">
        <v>1</v>
      </c>
      <c r="AX95" s="12"/>
      <c r="AY95" s="12"/>
      <c r="AZ95" s="12"/>
      <c r="BA95" s="12"/>
      <c r="BE95" s="12"/>
      <c r="BF95" s="12"/>
      <c r="BG95" s="12"/>
      <c r="BH95" s="12"/>
      <c r="BL95" s="12"/>
      <c r="BM95" s="12">
        <v>1</v>
      </c>
      <c r="BN95" s="12"/>
      <c r="BO95" s="12">
        <v>1</v>
      </c>
      <c r="BS95" s="12"/>
      <c r="BT95" s="12"/>
      <c r="BU95" s="12"/>
      <c r="BV95" s="12"/>
      <c r="BZ95" s="12"/>
      <c r="CA95" s="12"/>
      <c r="CB95" s="12"/>
      <c r="CC95" s="12"/>
      <c r="CG95" s="12"/>
      <c r="CH95" s="12"/>
      <c r="CI95" s="12"/>
      <c r="CJ95" s="12"/>
      <c r="CN95" s="12"/>
      <c r="CO95" s="12"/>
      <c r="CP95" s="12"/>
      <c r="CQ95" s="12"/>
      <c r="CU95" s="12"/>
      <c r="CV95" s="12"/>
      <c r="CW95" s="12"/>
      <c r="CX95" s="12"/>
      <c r="DB95" s="12"/>
      <c r="DC95" s="12"/>
      <c r="DD95" s="12"/>
      <c r="DE95" s="12"/>
      <c r="DI95" s="12"/>
      <c r="DJ95" s="12"/>
      <c r="DK95" s="12"/>
      <c r="DL95" s="12"/>
      <c r="DP95" s="12"/>
      <c r="DQ95" s="12"/>
      <c r="DR95" s="12"/>
      <c r="DS95" s="12"/>
      <c r="DX95" s="12"/>
      <c r="DY95" s="12"/>
      <c r="DZ95" s="12"/>
      <c r="EA95" s="12"/>
    </row>
    <row r="96" spans="2:131" ht="15.75" hidden="1" customHeight="1" outlineLevel="1">
      <c r="B96" t="s">
        <v>29</v>
      </c>
      <c r="C96" t="s">
        <v>2</v>
      </c>
      <c r="E96" s="11"/>
      <c r="F96" t="s">
        <v>58</v>
      </c>
      <c r="G96" s="12">
        <v>0.05</v>
      </c>
      <c r="I96" s="11">
        <f t="shared" si="17"/>
        <v>0</v>
      </c>
      <c r="J96" s="13">
        <f t="shared" si="16"/>
        <v>0</v>
      </c>
      <c r="K96" s="13">
        <f t="shared" si="16"/>
        <v>0</v>
      </c>
      <c r="L96" s="11"/>
      <c r="O96" s="12"/>
      <c r="P96" s="12"/>
      <c r="Q96" s="12"/>
      <c r="R96" s="12"/>
      <c r="V96" s="12"/>
      <c r="W96" s="12"/>
      <c r="X96" s="12"/>
      <c r="Y96" s="12"/>
      <c r="AC96" s="12"/>
      <c r="AD96" s="12"/>
      <c r="AE96" s="12"/>
      <c r="AF96" s="12"/>
      <c r="AJ96" s="12"/>
      <c r="AK96" s="12"/>
      <c r="AL96" s="12"/>
      <c r="AM96" s="12"/>
      <c r="AQ96" s="12"/>
      <c r="AR96" s="12">
        <v>1</v>
      </c>
      <c r="AS96" s="12"/>
      <c r="AT96" s="12">
        <v>1</v>
      </c>
      <c r="AX96" s="12"/>
      <c r="AY96" s="12"/>
      <c r="AZ96" s="12"/>
      <c r="BA96" s="12"/>
      <c r="BE96" s="12"/>
      <c r="BF96" s="12"/>
      <c r="BG96" s="12"/>
      <c r="BH96" s="12"/>
      <c r="BL96" s="12"/>
      <c r="BM96" s="12">
        <v>1</v>
      </c>
      <c r="BN96" s="12"/>
      <c r="BO96" s="12">
        <v>1</v>
      </c>
      <c r="BS96" s="12"/>
      <c r="BT96" s="12"/>
      <c r="BU96" s="12"/>
      <c r="BV96" s="12"/>
      <c r="BZ96" s="12"/>
      <c r="CA96" s="12"/>
      <c r="CB96" s="12"/>
      <c r="CC96" s="12"/>
      <c r="CG96" s="12"/>
      <c r="CH96" s="12"/>
      <c r="CI96" s="12"/>
      <c r="CJ96" s="12"/>
      <c r="CN96" s="12"/>
      <c r="CO96" s="12"/>
      <c r="CP96" s="12"/>
      <c r="CQ96" s="12"/>
      <c r="CU96" s="12"/>
      <c r="CV96" s="12"/>
      <c r="CW96" s="12"/>
      <c r="CX96" s="12"/>
      <c r="DB96" s="12"/>
      <c r="DC96" s="12"/>
      <c r="DD96" s="12"/>
      <c r="DE96" s="12"/>
      <c r="DI96" s="12"/>
      <c r="DJ96" s="12"/>
      <c r="DK96" s="12"/>
      <c r="DL96" s="12"/>
      <c r="DP96" s="12"/>
      <c r="DQ96" s="12"/>
      <c r="DR96" s="12"/>
      <c r="DS96" s="12"/>
      <c r="DX96" s="12"/>
      <c r="DY96" s="12"/>
      <c r="DZ96" s="12"/>
      <c r="EA96" s="12"/>
    </row>
    <row r="97" spans="2:131" ht="15.75" hidden="1" customHeight="1" outlineLevel="1">
      <c r="B97" t="s">
        <v>29</v>
      </c>
      <c r="C97" t="s">
        <v>2</v>
      </c>
      <c r="E97" s="11"/>
      <c r="F97" t="s">
        <v>59</v>
      </c>
      <c r="G97" s="12">
        <v>0.05</v>
      </c>
      <c r="I97" s="11">
        <f t="shared" si="17"/>
        <v>0</v>
      </c>
      <c r="J97" s="13">
        <f t="shared" si="16"/>
        <v>0</v>
      </c>
      <c r="K97" s="13">
        <f t="shared" si="16"/>
        <v>0</v>
      </c>
      <c r="L97" s="11"/>
      <c r="O97" s="12"/>
      <c r="P97" s="12"/>
      <c r="Q97" s="12"/>
      <c r="R97" s="12"/>
      <c r="V97" s="12"/>
      <c r="W97" s="12"/>
      <c r="X97" s="12"/>
      <c r="Y97" s="12"/>
      <c r="AC97" s="12"/>
      <c r="AD97" s="12"/>
      <c r="AE97" s="12"/>
      <c r="AF97" s="12"/>
      <c r="AJ97" s="12"/>
      <c r="AK97" s="12"/>
      <c r="AL97" s="12"/>
      <c r="AM97" s="12"/>
      <c r="AQ97" s="12"/>
      <c r="AR97" s="12">
        <v>1</v>
      </c>
      <c r="AS97" s="12"/>
      <c r="AT97" s="12">
        <v>1</v>
      </c>
      <c r="AX97" s="12"/>
      <c r="AY97" s="12"/>
      <c r="AZ97" s="12"/>
      <c r="BA97" s="12"/>
      <c r="BE97" s="12"/>
      <c r="BF97" s="12"/>
      <c r="BG97" s="12"/>
      <c r="BH97" s="12"/>
      <c r="BL97" s="12"/>
      <c r="BM97" s="12">
        <v>1</v>
      </c>
      <c r="BN97" s="12"/>
      <c r="BO97" s="12">
        <v>1</v>
      </c>
      <c r="BS97" s="12"/>
      <c r="BT97" s="12"/>
      <c r="BU97" s="12"/>
      <c r="BV97" s="12"/>
      <c r="BZ97" s="12"/>
      <c r="CA97" s="12"/>
      <c r="CB97" s="12"/>
      <c r="CC97" s="12"/>
      <c r="CG97" s="12"/>
      <c r="CH97" s="12"/>
      <c r="CI97" s="12"/>
      <c r="CJ97" s="12"/>
      <c r="CN97" s="12"/>
      <c r="CO97" s="12"/>
      <c r="CP97" s="12"/>
      <c r="CQ97" s="12"/>
      <c r="CU97" s="12"/>
      <c r="CV97" s="12"/>
      <c r="CW97" s="12"/>
      <c r="CX97" s="12"/>
      <c r="DB97" s="12"/>
      <c r="DC97" s="12"/>
      <c r="DD97" s="12"/>
      <c r="DE97" s="12"/>
      <c r="DI97" s="12"/>
      <c r="DJ97" s="12"/>
      <c r="DK97" s="12"/>
      <c r="DL97" s="12"/>
      <c r="DP97" s="12"/>
      <c r="DQ97" s="12"/>
      <c r="DR97" s="12"/>
      <c r="DS97" s="12"/>
      <c r="DX97" s="12"/>
      <c r="DY97" s="12"/>
      <c r="DZ97" s="12"/>
      <c r="EA97" s="12"/>
    </row>
    <row r="98" spans="2:131" ht="15.75" hidden="1" customHeight="1" outlineLevel="1">
      <c r="B98" t="s">
        <v>29</v>
      </c>
      <c r="C98" t="s">
        <v>2</v>
      </c>
      <c r="E98" s="11"/>
      <c r="F98" t="s">
        <v>60</v>
      </c>
      <c r="G98" s="12">
        <v>0.05</v>
      </c>
      <c r="I98" s="11">
        <f t="shared" si="17"/>
        <v>0</v>
      </c>
      <c r="J98" s="13">
        <f t="shared" si="16"/>
        <v>0</v>
      </c>
      <c r="K98" s="13">
        <f t="shared" si="16"/>
        <v>0</v>
      </c>
      <c r="L98" s="11"/>
      <c r="O98" s="12"/>
      <c r="P98" s="12"/>
      <c r="Q98" s="12"/>
      <c r="R98" s="12"/>
      <c r="V98" s="12"/>
      <c r="W98" s="12"/>
      <c r="X98" s="12"/>
      <c r="Y98" s="12"/>
      <c r="AC98" s="12"/>
      <c r="AD98" s="12"/>
      <c r="AE98" s="12"/>
      <c r="AF98" s="12"/>
      <c r="AJ98" s="12"/>
      <c r="AK98" s="12"/>
      <c r="AL98" s="12"/>
      <c r="AM98" s="12"/>
      <c r="AQ98" s="12"/>
      <c r="AR98" s="12">
        <v>1</v>
      </c>
      <c r="AS98" s="12"/>
      <c r="AT98" s="12">
        <v>1</v>
      </c>
      <c r="AX98" s="12"/>
      <c r="AY98" s="12"/>
      <c r="AZ98" s="12"/>
      <c r="BA98" s="12"/>
      <c r="BE98" s="12"/>
      <c r="BF98" s="12"/>
      <c r="BG98" s="12"/>
      <c r="BH98" s="12"/>
      <c r="BL98" s="12"/>
      <c r="BM98" s="12">
        <v>1</v>
      </c>
      <c r="BN98" s="12"/>
      <c r="BO98" s="12">
        <v>1</v>
      </c>
      <c r="BS98" s="12"/>
      <c r="BT98" s="12"/>
      <c r="BU98" s="12"/>
      <c r="BV98" s="12"/>
      <c r="BZ98" s="12"/>
      <c r="CA98" s="12"/>
      <c r="CB98" s="12"/>
      <c r="CC98" s="12"/>
      <c r="CG98" s="12"/>
      <c r="CH98" s="12"/>
      <c r="CI98" s="12"/>
      <c r="CJ98" s="12"/>
      <c r="CN98" s="12"/>
      <c r="CO98" s="12"/>
      <c r="CP98" s="12"/>
      <c r="CQ98" s="12"/>
      <c r="CU98" s="12"/>
      <c r="CV98" s="12"/>
      <c r="CW98" s="12"/>
      <c r="CX98" s="12"/>
      <c r="DB98" s="12"/>
      <c r="DC98" s="12"/>
      <c r="DD98" s="12"/>
      <c r="DE98" s="12"/>
      <c r="DI98" s="12"/>
      <c r="DJ98" s="12"/>
      <c r="DK98" s="12"/>
      <c r="DL98" s="12"/>
      <c r="DP98" s="12"/>
      <c r="DQ98" s="12"/>
      <c r="DR98" s="12"/>
      <c r="DS98" s="12"/>
      <c r="DX98" s="12"/>
      <c r="DY98" s="12"/>
      <c r="DZ98" s="12"/>
      <c r="EA98" s="12"/>
    </row>
    <row r="99" spans="2:131" ht="15.75" hidden="1" customHeight="1" outlineLevel="1">
      <c r="B99" t="s">
        <v>29</v>
      </c>
      <c r="C99" t="s">
        <v>2</v>
      </c>
      <c r="E99" s="11"/>
      <c r="F99" t="s">
        <v>61</v>
      </c>
      <c r="G99" s="12">
        <v>0.1</v>
      </c>
      <c r="I99" s="11">
        <f t="shared" si="17"/>
        <v>0</v>
      </c>
      <c r="J99" s="13">
        <f t="shared" si="16"/>
        <v>0</v>
      </c>
      <c r="K99" s="13">
        <f t="shared" si="16"/>
        <v>0</v>
      </c>
      <c r="L99" s="11"/>
      <c r="O99" s="12"/>
      <c r="P99" s="12"/>
      <c r="Q99" s="12"/>
      <c r="R99" s="12"/>
      <c r="V99" s="12"/>
      <c r="W99" s="12"/>
      <c r="X99" s="12"/>
      <c r="Y99" s="12"/>
      <c r="AC99" s="12"/>
      <c r="AD99" s="12"/>
      <c r="AE99" s="12"/>
      <c r="AF99" s="12"/>
      <c r="AJ99" s="12"/>
      <c r="AK99" s="12"/>
      <c r="AL99" s="12"/>
      <c r="AM99" s="12"/>
      <c r="AQ99" s="12"/>
      <c r="AR99" s="12">
        <v>1</v>
      </c>
      <c r="AS99" s="12"/>
      <c r="AT99" s="12">
        <v>1</v>
      </c>
      <c r="AX99" s="12"/>
      <c r="AY99" s="12"/>
      <c r="AZ99" s="12"/>
      <c r="BA99" s="12"/>
      <c r="BE99" s="12"/>
      <c r="BF99" s="12"/>
      <c r="BG99" s="12"/>
      <c r="BH99" s="12"/>
      <c r="BL99" s="12"/>
      <c r="BM99" s="12">
        <v>1</v>
      </c>
      <c r="BN99" s="12"/>
      <c r="BO99" s="12">
        <v>1</v>
      </c>
      <c r="BS99" s="12"/>
      <c r="BT99" s="12"/>
      <c r="BU99" s="12"/>
      <c r="BV99" s="12"/>
      <c r="BZ99" s="12"/>
      <c r="CA99" s="12"/>
      <c r="CB99" s="12"/>
      <c r="CC99" s="12"/>
      <c r="CG99" s="12"/>
      <c r="CH99" s="12"/>
      <c r="CI99" s="12"/>
      <c r="CJ99" s="12"/>
      <c r="CN99" s="12"/>
      <c r="CO99" s="12"/>
      <c r="CP99" s="12"/>
      <c r="CQ99" s="12"/>
      <c r="CU99" s="12"/>
      <c r="CV99" s="12"/>
      <c r="CW99" s="12"/>
      <c r="CX99" s="12"/>
      <c r="DB99" s="12"/>
      <c r="DC99" s="12"/>
      <c r="DD99" s="12"/>
      <c r="DE99" s="12"/>
      <c r="DI99" s="12"/>
      <c r="DJ99" s="12"/>
      <c r="DK99" s="12"/>
      <c r="DL99" s="12"/>
      <c r="DP99" s="12"/>
      <c r="DQ99" s="12"/>
      <c r="DR99" s="12"/>
      <c r="DS99" s="12"/>
      <c r="DX99" s="12"/>
      <c r="DY99" s="12"/>
      <c r="DZ99" s="12"/>
      <c r="EA99" s="12"/>
    </row>
    <row r="100" spans="2:131" ht="15.75" hidden="1" customHeight="1" outlineLevel="1">
      <c r="B100" t="s">
        <v>29</v>
      </c>
      <c r="C100" t="s">
        <v>2</v>
      </c>
      <c r="E100" s="11"/>
      <c r="F100" t="s">
        <v>62</v>
      </c>
      <c r="G100" s="12">
        <v>0.1</v>
      </c>
      <c r="I100" s="11">
        <f t="shared" si="17"/>
        <v>0</v>
      </c>
      <c r="J100" s="13">
        <f t="shared" si="16"/>
        <v>0</v>
      </c>
      <c r="K100" s="13">
        <f t="shared" si="16"/>
        <v>0</v>
      </c>
      <c r="L100" s="11"/>
      <c r="O100" s="12"/>
      <c r="P100" s="12"/>
      <c r="Q100" s="12"/>
      <c r="R100" s="12"/>
      <c r="V100" s="12"/>
      <c r="W100" s="12"/>
      <c r="X100" s="12"/>
      <c r="Y100" s="12"/>
      <c r="AC100" s="12"/>
      <c r="AD100" s="12"/>
      <c r="AE100" s="12"/>
      <c r="AF100" s="12"/>
      <c r="AJ100" s="12"/>
      <c r="AK100" s="12"/>
      <c r="AL100" s="12"/>
      <c r="AM100" s="12"/>
      <c r="AQ100" s="12"/>
      <c r="AR100" s="12">
        <v>1</v>
      </c>
      <c r="AS100" s="12"/>
      <c r="AT100" s="12">
        <v>1</v>
      </c>
      <c r="AX100" s="12"/>
      <c r="AY100" s="12"/>
      <c r="AZ100" s="12"/>
      <c r="BA100" s="12"/>
      <c r="BE100" s="12"/>
      <c r="BF100" s="12"/>
      <c r="BG100" s="12"/>
      <c r="BH100" s="12"/>
      <c r="BL100" s="12"/>
      <c r="BM100" s="12">
        <v>1</v>
      </c>
      <c r="BN100" s="12"/>
      <c r="BO100" s="12">
        <v>1</v>
      </c>
      <c r="BS100" s="12"/>
      <c r="BT100" s="12"/>
      <c r="BU100" s="12"/>
      <c r="BV100" s="12"/>
      <c r="BZ100" s="12"/>
      <c r="CA100" s="12"/>
      <c r="CB100" s="12"/>
      <c r="CC100" s="12"/>
      <c r="CG100" s="12"/>
      <c r="CH100" s="12"/>
      <c r="CI100" s="12"/>
      <c r="CJ100" s="12"/>
      <c r="CN100" s="12"/>
      <c r="CO100" s="12"/>
      <c r="CP100" s="12"/>
      <c r="CQ100" s="12"/>
      <c r="CU100" s="12"/>
      <c r="CV100" s="12"/>
      <c r="CW100" s="12"/>
      <c r="CX100" s="12"/>
      <c r="DB100" s="12"/>
      <c r="DC100" s="12"/>
      <c r="DD100" s="12"/>
      <c r="DE100" s="12"/>
      <c r="DI100" s="12"/>
      <c r="DJ100" s="12"/>
      <c r="DK100" s="12"/>
      <c r="DL100" s="12"/>
      <c r="DP100" s="12"/>
      <c r="DQ100" s="12"/>
      <c r="DR100" s="12"/>
      <c r="DS100" s="12"/>
      <c r="DX100" s="12"/>
      <c r="DY100" s="12"/>
      <c r="DZ100" s="12"/>
      <c r="EA100" s="12"/>
    </row>
    <row r="101" spans="2:131" ht="15.75" hidden="1" customHeight="1" outlineLevel="1">
      <c r="B101" t="s">
        <v>29</v>
      </c>
      <c r="C101" t="s">
        <v>2</v>
      </c>
      <c r="E101" s="11"/>
      <c r="F101" t="s">
        <v>63</v>
      </c>
      <c r="G101" s="12">
        <v>0.1</v>
      </c>
      <c r="I101" s="11">
        <f t="shared" si="17"/>
        <v>0</v>
      </c>
      <c r="J101" s="13">
        <f t="shared" si="16"/>
        <v>0</v>
      </c>
      <c r="K101" s="13">
        <f t="shared" si="16"/>
        <v>0</v>
      </c>
      <c r="L101" s="11"/>
      <c r="O101" s="12"/>
      <c r="P101" s="12"/>
      <c r="Q101" s="12"/>
      <c r="R101" s="12"/>
      <c r="V101" s="12"/>
      <c r="W101" s="12"/>
      <c r="X101" s="12"/>
      <c r="Y101" s="12"/>
      <c r="AC101" s="12"/>
      <c r="AD101" s="12"/>
      <c r="AE101" s="12"/>
      <c r="AF101" s="12"/>
      <c r="AJ101" s="12"/>
      <c r="AK101" s="12"/>
      <c r="AL101" s="12"/>
      <c r="AM101" s="12"/>
      <c r="AQ101" s="12"/>
      <c r="AR101" s="12">
        <v>1</v>
      </c>
      <c r="AS101" s="12"/>
      <c r="AT101" s="12">
        <v>1</v>
      </c>
      <c r="AX101" s="12"/>
      <c r="AY101" s="12"/>
      <c r="AZ101" s="12"/>
      <c r="BA101" s="12"/>
      <c r="BE101" s="12"/>
      <c r="BF101" s="12"/>
      <c r="BG101" s="12"/>
      <c r="BH101" s="12"/>
      <c r="BL101" s="12"/>
      <c r="BM101" s="12">
        <v>1</v>
      </c>
      <c r="BN101" s="12"/>
      <c r="BO101" s="12">
        <v>1</v>
      </c>
      <c r="BS101" s="12"/>
      <c r="BT101" s="12"/>
      <c r="BU101" s="12"/>
      <c r="BV101" s="12"/>
      <c r="BZ101" s="12"/>
      <c r="CA101" s="12"/>
      <c r="CB101" s="12"/>
      <c r="CC101" s="12"/>
      <c r="CG101" s="12"/>
      <c r="CH101" s="12"/>
      <c r="CI101" s="12"/>
      <c r="CJ101" s="12"/>
      <c r="CN101" s="12"/>
      <c r="CO101" s="12"/>
      <c r="CP101" s="12"/>
      <c r="CQ101" s="12"/>
      <c r="CU101" s="12"/>
      <c r="CV101" s="12"/>
      <c r="CW101" s="12"/>
      <c r="CX101" s="12"/>
      <c r="DB101" s="12"/>
      <c r="DC101" s="12"/>
      <c r="DD101" s="12"/>
      <c r="DE101" s="12"/>
      <c r="DI101" s="12"/>
      <c r="DJ101" s="12"/>
      <c r="DK101" s="12"/>
      <c r="DL101" s="12"/>
      <c r="DP101" s="12"/>
      <c r="DQ101" s="12"/>
      <c r="DR101" s="12"/>
      <c r="DS101" s="12"/>
      <c r="DX101" s="12"/>
      <c r="DY101" s="12"/>
      <c r="DZ101" s="12"/>
      <c r="EA101" s="12"/>
    </row>
    <row r="102" spans="2:131" ht="15.75" hidden="1" customHeight="1" outlineLevel="1">
      <c r="B102" t="s">
        <v>29</v>
      </c>
      <c r="C102" t="s">
        <v>2</v>
      </c>
      <c r="E102" s="11"/>
      <c r="F102" t="s">
        <v>32</v>
      </c>
      <c r="G102" s="12">
        <v>0.1</v>
      </c>
      <c r="I102" s="11">
        <f t="shared" si="17"/>
        <v>0</v>
      </c>
      <c r="J102" s="13">
        <f t="shared" si="16"/>
        <v>0</v>
      </c>
      <c r="K102" s="13">
        <f t="shared" si="16"/>
        <v>0</v>
      </c>
      <c r="L102" s="11"/>
      <c r="O102" s="12"/>
      <c r="P102" s="12"/>
      <c r="Q102" s="12"/>
      <c r="R102" s="12"/>
      <c r="V102" s="12"/>
      <c r="W102" s="12"/>
      <c r="X102" s="12"/>
      <c r="Y102" s="12"/>
      <c r="AC102" s="12"/>
      <c r="AD102" s="12"/>
      <c r="AE102" s="12"/>
      <c r="AF102" s="12"/>
      <c r="AJ102" s="12"/>
      <c r="AK102" s="12"/>
      <c r="AL102" s="12"/>
      <c r="AM102" s="12"/>
      <c r="AQ102" s="12"/>
      <c r="AR102" s="12">
        <v>1</v>
      </c>
      <c r="AS102" s="12"/>
      <c r="AT102" s="12">
        <v>1</v>
      </c>
      <c r="AX102" s="12"/>
      <c r="AY102" s="12"/>
      <c r="AZ102" s="12"/>
      <c r="BA102" s="12"/>
      <c r="BE102" s="12"/>
      <c r="BF102" s="12"/>
      <c r="BG102" s="12"/>
      <c r="BH102" s="12"/>
      <c r="BL102" s="12"/>
      <c r="BM102" s="12">
        <v>1</v>
      </c>
      <c r="BN102" s="12"/>
      <c r="BO102" s="12">
        <v>1</v>
      </c>
      <c r="BS102" s="12"/>
      <c r="BT102" s="12"/>
      <c r="BU102" s="12"/>
      <c r="BV102" s="12"/>
      <c r="BZ102" s="12"/>
      <c r="CA102" s="12"/>
      <c r="CB102" s="12"/>
      <c r="CC102" s="12"/>
      <c r="CG102" s="12"/>
      <c r="CH102" s="12"/>
      <c r="CI102" s="12"/>
      <c r="CJ102" s="12"/>
      <c r="CN102" s="12"/>
      <c r="CO102" s="12"/>
      <c r="CP102" s="12"/>
      <c r="CQ102" s="12"/>
      <c r="CU102" s="12"/>
      <c r="CV102" s="12"/>
      <c r="CW102" s="12"/>
      <c r="CX102" s="12"/>
      <c r="DB102" s="12"/>
      <c r="DC102" s="12"/>
      <c r="DD102" s="12"/>
      <c r="DE102" s="12"/>
      <c r="DI102" s="12"/>
      <c r="DJ102" s="12"/>
      <c r="DK102" s="12"/>
      <c r="DL102" s="12"/>
      <c r="DP102" s="12"/>
      <c r="DQ102" s="12"/>
      <c r="DR102" s="12"/>
      <c r="DS102" s="12"/>
      <c r="DX102" s="12"/>
      <c r="DY102" s="12"/>
      <c r="DZ102" s="12"/>
      <c r="EA102" s="12"/>
    </row>
    <row r="103" spans="2:131" ht="15.75" hidden="1" customHeight="1" outlineLevel="1">
      <c r="B103" t="s">
        <v>29</v>
      </c>
      <c r="C103" t="s">
        <v>2</v>
      </c>
      <c r="E103" s="11"/>
      <c r="F103" t="s">
        <v>33</v>
      </c>
      <c r="G103" s="12">
        <v>0.1</v>
      </c>
      <c r="I103" s="11">
        <f t="shared" si="17"/>
        <v>0</v>
      </c>
      <c r="J103" s="13">
        <f t="shared" si="16"/>
        <v>0</v>
      </c>
      <c r="K103" s="13">
        <f t="shared" si="16"/>
        <v>0</v>
      </c>
      <c r="L103" s="11"/>
      <c r="O103" s="12"/>
      <c r="P103" s="12"/>
      <c r="Q103" s="12"/>
      <c r="R103" s="12"/>
      <c r="V103" s="12"/>
      <c r="W103" s="12"/>
      <c r="X103" s="12"/>
      <c r="Y103" s="12"/>
      <c r="AC103" s="12"/>
      <c r="AD103" s="12"/>
      <c r="AE103" s="12"/>
      <c r="AF103" s="12"/>
      <c r="AJ103" s="12"/>
      <c r="AK103" s="12"/>
      <c r="AL103" s="12"/>
      <c r="AM103" s="12"/>
      <c r="AQ103" s="12"/>
      <c r="AR103" s="12">
        <v>1</v>
      </c>
      <c r="AS103" s="12"/>
      <c r="AT103" s="12">
        <v>1</v>
      </c>
      <c r="AX103" s="12"/>
      <c r="AY103" s="12"/>
      <c r="AZ103" s="12"/>
      <c r="BA103" s="12"/>
      <c r="BE103" s="12"/>
      <c r="BF103" s="12"/>
      <c r="BG103" s="12"/>
      <c r="BH103" s="12"/>
      <c r="BL103" s="12"/>
      <c r="BM103" s="12">
        <v>1</v>
      </c>
      <c r="BN103" s="12"/>
      <c r="BO103" s="12">
        <v>1</v>
      </c>
      <c r="BS103" s="12"/>
      <c r="BT103" s="12"/>
      <c r="BU103" s="12"/>
      <c r="BV103" s="12"/>
      <c r="BZ103" s="12"/>
      <c r="CA103" s="12"/>
      <c r="CB103" s="12"/>
      <c r="CC103" s="12"/>
      <c r="CG103" s="12"/>
      <c r="CH103" s="12"/>
      <c r="CI103" s="12"/>
      <c r="CJ103" s="12"/>
      <c r="CN103" s="12"/>
      <c r="CO103" s="12"/>
      <c r="CP103" s="12"/>
      <c r="CQ103" s="12"/>
      <c r="CU103" s="12"/>
      <c r="CV103" s="12"/>
      <c r="CW103" s="12"/>
      <c r="CX103" s="12"/>
      <c r="DB103" s="12"/>
      <c r="DC103" s="12"/>
      <c r="DD103" s="12"/>
      <c r="DE103" s="12"/>
      <c r="DI103" s="12"/>
      <c r="DJ103" s="12"/>
      <c r="DK103" s="12"/>
      <c r="DL103" s="12"/>
      <c r="DP103" s="12"/>
      <c r="DQ103" s="12"/>
      <c r="DR103" s="12"/>
      <c r="DS103" s="12"/>
      <c r="DX103" s="12"/>
      <c r="DY103" s="12"/>
      <c r="DZ103" s="12"/>
      <c r="EA103" s="12"/>
    </row>
    <row r="104" spans="2:131" ht="15.75" hidden="1" customHeight="1" outlineLevel="1">
      <c r="B104" t="s">
        <v>29</v>
      </c>
      <c r="C104" t="s">
        <v>2</v>
      </c>
      <c r="E104" s="11"/>
      <c r="F104" t="s">
        <v>34</v>
      </c>
      <c r="G104" s="12">
        <v>0.1</v>
      </c>
      <c r="I104" s="11">
        <f t="shared" si="17"/>
        <v>0</v>
      </c>
      <c r="J104" s="13">
        <f t="shared" si="16"/>
        <v>0</v>
      </c>
      <c r="K104" s="13">
        <f t="shared" si="16"/>
        <v>0</v>
      </c>
      <c r="L104" s="11"/>
      <c r="O104" s="12"/>
      <c r="P104" s="12"/>
      <c r="Q104" s="12"/>
      <c r="R104" s="12"/>
      <c r="V104" s="12"/>
      <c r="W104" s="12"/>
      <c r="X104" s="12"/>
      <c r="Y104" s="12"/>
      <c r="AC104" s="12"/>
      <c r="AD104" s="12"/>
      <c r="AE104" s="12"/>
      <c r="AF104" s="12"/>
      <c r="AJ104" s="12"/>
      <c r="AK104" s="12"/>
      <c r="AL104" s="12"/>
      <c r="AM104" s="12"/>
      <c r="AQ104" s="12"/>
      <c r="AR104" s="12">
        <v>1</v>
      </c>
      <c r="AS104" s="12"/>
      <c r="AT104" s="12">
        <v>1</v>
      </c>
      <c r="AX104" s="12"/>
      <c r="AY104" s="12"/>
      <c r="AZ104" s="12"/>
      <c r="BA104" s="12"/>
      <c r="BE104" s="12"/>
      <c r="BF104" s="12"/>
      <c r="BG104" s="12"/>
      <c r="BH104" s="12"/>
      <c r="BL104" s="12"/>
      <c r="BM104" s="12">
        <v>1</v>
      </c>
      <c r="BN104" s="12"/>
      <c r="BO104" s="12">
        <v>1</v>
      </c>
      <c r="BS104" s="12"/>
      <c r="BT104" s="12"/>
      <c r="BU104" s="12"/>
      <c r="BV104" s="12"/>
      <c r="BZ104" s="12"/>
      <c r="CA104" s="12"/>
      <c r="CB104" s="12"/>
      <c r="CC104" s="12"/>
      <c r="CG104" s="12"/>
      <c r="CH104" s="12"/>
      <c r="CI104" s="12"/>
      <c r="CJ104" s="12"/>
      <c r="CN104" s="12"/>
      <c r="CO104" s="12"/>
      <c r="CP104" s="12"/>
      <c r="CQ104" s="12"/>
      <c r="CU104" s="12"/>
      <c r="CV104" s="12"/>
      <c r="CW104" s="12"/>
      <c r="CX104" s="12"/>
      <c r="DB104" s="12"/>
      <c r="DC104" s="12"/>
      <c r="DD104" s="12"/>
      <c r="DE104" s="12"/>
      <c r="DI104" s="12"/>
      <c r="DJ104" s="12"/>
      <c r="DK104" s="12"/>
      <c r="DL104" s="12"/>
      <c r="DP104" s="12"/>
      <c r="DQ104" s="12"/>
      <c r="DR104" s="12"/>
      <c r="DS104" s="12"/>
      <c r="DX104" s="12"/>
      <c r="DY104" s="12"/>
      <c r="DZ104" s="12"/>
      <c r="EA104" s="12"/>
    </row>
    <row r="105" spans="2:131" ht="15.75" hidden="1" customHeight="1" outlineLevel="1">
      <c r="B105" t="s">
        <v>29</v>
      </c>
      <c r="C105" t="s">
        <v>2</v>
      </c>
      <c r="E105" s="11"/>
      <c r="F105" t="s">
        <v>35</v>
      </c>
      <c r="G105" s="12">
        <v>0.1</v>
      </c>
      <c r="I105" s="11">
        <f>+SUMIF($N$3:$ZZ$3,I$3,$N105:$ZZ105)</f>
        <v>0</v>
      </c>
      <c r="J105" s="13">
        <f t="shared" si="16"/>
        <v>0</v>
      </c>
      <c r="K105" s="13">
        <f t="shared" si="16"/>
        <v>0</v>
      </c>
      <c r="L105" s="11"/>
      <c r="O105" s="12"/>
      <c r="P105" s="12"/>
      <c r="Q105" s="12"/>
      <c r="R105" s="12"/>
      <c r="V105" s="12"/>
      <c r="W105" s="12"/>
      <c r="X105" s="12"/>
      <c r="Y105" s="12"/>
      <c r="AC105" s="12"/>
      <c r="AD105" s="12"/>
      <c r="AE105" s="12"/>
      <c r="AF105" s="12"/>
      <c r="AJ105" s="12"/>
      <c r="AK105" s="12"/>
      <c r="AL105" s="12"/>
      <c r="AM105" s="12"/>
      <c r="AQ105" s="12"/>
      <c r="AR105" s="12">
        <v>1</v>
      </c>
      <c r="AS105" s="12"/>
      <c r="AT105" s="12">
        <v>1</v>
      </c>
      <c r="AX105" s="12"/>
      <c r="AY105" s="12"/>
      <c r="AZ105" s="12"/>
      <c r="BA105" s="12"/>
      <c r="BE105" s="12"/>
      <c r="BF105" s="12"/>
      <c r="BG105" s="12"/>
      <c r="BH105" s="12"/>
      <c r="BL105" s="12"/>
      <c r="BM105" s="12">
        <v>1</v>
      </c>
      <c r="BN105" s="12"/>
      <c r="BO105" s="12">
        <v>1</v>
      </c>
      <c r="BS105" s="12"/>
      <c r="BT105" s="12"/>
      <c r="BU105" s="12"/>
      <c r="BV105" s="12"/>
      <c r="BZ105" s="12"/>
      <c r="CA105" s="12"/>
      <c r="CB105" s="12"/>
      <c r="CC105" s="12"/>
      <c r="CG105" s="12"/>
      <c r="CH105" s="12"/>
      <c r="CI105" s="12"/>
      <c r="CJ105" s="12"/>
      <c r="CN105" s="12"/>
      <c r="CO105" s="12"/>
      <c r="CP105" s="12"/>
      <c r="CQ105" s="12"/>
      <c r="CU105" s="12"/>
      <c r="CV105" s="12"/>
      <c r="CW105" s="12"/>
      <c r="CX105" s="12"/>
      <c r="DB105" s="12"/>
      <c r="DC105" s="12"/>
      <c r="DD105" s="12"/>
      <c r="DE105" s="12"/>
      <c r="DI105" s="12"/>
      <c r="DJ105" s="12"/>
      <c r="DK105" s="12"/>
      <c r="DL105" s="12"/>
      <c r="DP105" s="12"/>
      <c r="DQ105" s="12"/>
      <c r="DR105" s="12"/>
      <c r="DS105" s="12"/>
      <c r="DX105" s="12"/>
      <c r="DY105" s="12"/>
      <c r="DZ105" s="12"/>
      <c r="EA105" s="12"/>
    </row>
    <row r="106" spans="2:131" collapsed="1"/>
    <row r="107" spans="2:131">
      <c r="B107" s="23" t="s">
        <v>28</v>
      </c>
      <c r="C107" s="23" t="s">
        <v>70</v>
      </c>
      <c r="D107" s="23"/>
      <c r="E107" s="11"/>
      <c r="G107" s="12">
        <f>+SUM(G108:G119)</f>
        <v>0.99999999999999989</v>
      </c>
      <c r="I107" s="14">
        <f>+SUM(I108:I119)</f>
        <v>0</v>
      </c>
      <c r="J107" s="13">
        <f>+SUMPRODUCT(G108:G119,J108:J119)</f>
        <v>0</v>
      </c>
      <c r="K107" s="13">
        <f>+SUMPRODUCT(G108:G119,K108:K119)</f>
        <v>0</v>
      </c>
      <c r="L107" s="11"/>
      <c r="N107" s="14">
        <f>+SUM(N108:N119)</f>
        <v>0</v>
      </c>
      <c r="U107" s="14">
        <f>+SUM(U108:U119)</f>
        <v>0</v>
      </c>
      <c r="AB107" s="14">
        <f>+SUM(AB108:AB119)</f>
        <v>0</v>
      </c>
      <c r="AI107" s="14">
        <f>+SUM(AI108:AI119)</f>
        <v>0</v>
      </c>
      <c r="AP107" s="14">
        <f>+SUM(AP108:AP119)</f>
        <v>0</v>
      </c>
      <c r="AW107" s="14">
        <f>+SUM(AW108:AW119)</f>
        <v>0</v>
      </c>
      <c r="BD107" s="14">
        <f>+SUM(BD108:BD119)</f>
        <v>0</v>
      </c>
      <c r="BK107" s="14">
        <f>+SUM(BK108:BK119)</f>
        <v>0</v>
      </c>
      <c r="BR107" s="14">
        <f>+SUM(BR108:BR119)</f>
        <v>0</v>
      </c>
      <c r="BY107" s="14">
        <f>+SUM(BY108:BY119)</f>
        <v>0</v>
      </c>
      <c r="CF107" s="14">
        <f>+SUM(CF108:CF119)</f>
        <v>0</v>
      </c>
      <c r="CM107" s="14">
        <f>+SUM(CM108:CM119)</f>
        <v>0</v>
      </c>
      <c r="CT107" s="14">
        <f>+SUM(CT108:CT119)</f>
        <v>0</v>
      </c>
      <c r="DA107" s="14">
        <f>+SUM(DA108:DA119)</f>
        <v>0</v>
      </c>
      <c r="DH107" s="14">
        <f>+SUM(DH108:DH119)</f>
        <v>0</v>
      </c>
      <c r="DO107" s="14">
        <f>+SUM(DO108:DO119)</f>
        <v>0</v>
      </c>
      <c r="DW107" s="14">
        <f>+SUM(DW108:DW119)</f>
        <v>0</v>
      </c>
    </row>
    <row r="108" spans="2:131" ht="15.75" hidden="1" customHeight="1" outlineLevel="1">
      <c r="B108" t="s">
        <v>29</v>
      </c>
      <c r="C108" t="s">
        <v>2</v>
      </c>
      <c r="E108" s="11"/>
      <c r="F108" t="s">
        <v>56</v>
      </c>
      <c r="G108" s="12">
        <v>0.1</v>
      </c>
      <c r="I108" s="11">
        <f>+SUMIF($N$3:$ZZ$3,I$3,$N108:$ZZ108)</f>
        <v>0</v>
      </c>
      <c r="J108" s="13">
        <f t="shared" ref="J108:K119" si="18">+_xlfn.MAXIFS($N108:$ZF108,$N$3:$ZF$3,J$3)</f>
        <v>0</v>
      </c>
      <c r="K108" s="13">
        <f t="shared" si="18"/>
        <v>0</v>
      </c>
      <c r="L108" s="11"/>
      <c r="O108" s="12"/>
      <c r="P108" s="12"/>
      <c r="Q108" s="12"/>
      <c r="R108" s="12"/>
      <c r="V108" s="12"/>
      <c r="W108" s="12"/>
      <c r="X108" s="12"/>
      <c r="Y108" s="12"/>
      <c r="AC108" s="12"/>
      <c r="AD108" s="12"/>
      <c r="AE108" s="12"/>
      <c r="AF108" s="12"/>
      <c r="AJ108" s="12"/>
      <c r="AK108" s="12"/>
      <c r="AL108" s="12"/>
      <c r="AM108" s="12"/>
      <c r="AQ108" s="12"/>
      <c r="AR108" s="12">
        <v>1</v>
      </c>
      <c r="AS108" s="12"/>
      <c r="AT108" s="12">
        <v>1</v>
      </c>
      <c r="AX108" s="12"/>
      <c r="AY108" s="12"/>
      <c r="AZ108" s="12"/>
      <c r="BA108" s="12"/>
      <c r="BE108" s="12"/>
      <c r="BF108" s="12"/>
      <c r="BG108" s="12"/>
      <c r="BH108" s="12"/>
      <c r="BL108" s="12"/>
      <c r="BM108" s="12">
        <v>1</v>
      </c>
      <c r="BN108" s="12"/>
      <c r="BO108" s="12">
        <v>1</v>
      </c>
      <c r="BS108" s="12"/>
      <c r="BT108" s="12"/>
      <c r="BU108" s="12"/>
      <c r="BV108" s="12"/>
      <c r="BZ108" s="12"/>
      <c r="CA108" s="12"/>
      <c r="CB108" s="12"/>
      <c r="CC108" s="12"/>
      <c r="CG108" s="12"/>
      <c r="CH108" s="12"/>
      <c r="CI108" s="12"/>
      <c r="CJ108" s="12"/>
      <c r="CN108" s="12"/>
      <c r="CO108" s="12"/>
      <c r="CP108" s="12"/>
      <c r="CQ108" s="12"/>
      <c r="CU108" s="12"/>
      <c r="CV108" s="12"/>
      <c r="CW108" s="12"/>
      <c r="CX108" s="12"/>
      <c r="DB108" s="12"/>
      <c r="DC108" s="12"/>
      <c r="DD108" s="12"/>
      <c r="DE108" s="12"/>
      <c r="DI108" s="12"/>
      <c r="DJ108" s="12"/>
      <c r="DK108" s="12"/>
      <c r="DL108" s="12"/>
      <c r="DP108" s="12"/>
      <c r="DQ108" s="12"/>
      <c r="DR108" s="12"/>
      <c r="DS108" s="12"/>
      <c r="DX108" s="12"/>
      <c r="DY108" s="12"/>
      <c r="DZ108" s="12"/>
      <c r="EA108" s="12"/>
    </row>
    <row r="109" spans="2:131" ht="15.75" hidden="1" customHeight="1" outlineLevel="1">
      <c r="B109" t="s">
        <v>29</v>
      </c>
      <c r="C109" t="s">
        <v>2</v>
      </c>
      <c r="E109" s="11"/>
      <c r="F109" t="s">
        <v>57</v>
      </c>
      <c r="G109" s="12">
        <v>0.05</v>
      </c>
      <c r="I109" s="11">
        <f t="shared" ref="I109:I118" si="19">+SUMIF($N$3:$ZZ$3,I$3,$N109:$ZZ109)</f>
        <v>0</v>
      </c>
      <c r="J109" s="13">
        <f t="shared" si="18"/>
        <v>0</v>
      </c>
      <c r="K109" s="13">
        <f t="shared" si="18"/>
        <v>0</v>
      </c>
      <c r="L109" s="11"/>
      <c r="O109" s="12"/>
      <c r="P109" s="12"/>
      <c r="Q109" s="12"/>
      <c r="R109" s="12"/>
      <c r="V109" s="12"/>
      <c r="W109" s="12"/>
      <c r="X109" s="12"/>
      <c r="Y109" s="12"/>
      <c r="AC109" s="12"/>
      <c r="AD109" s="12"/>
      <c r="AE109" s="12"/>
      <c r="AF109" s="12"/>
      <c r="AJ109" s="12"/>
      <c r="AK109" s="12"/>
      <c r="AL109" s="12"/>
      <c r="AM109" s="12"/>
      <c r="AQ109" s="12"/>
      <c r="AR109" s="12">
        <v>1</v>
      </c>
      <c r="AS109" s="12"/>
      <c r="AT109" s="12">
        <v>1</v>
      </c>
      <c r="AX109" s="12"/>
      <c r="AY109" s="12"/>
      <c r="AZ109" s="12"/>
      <c r="BA109" s="12"/>
      <c r="BE109" s="12"/>
      <c r="BF109" s="12"/>
      <c r="BG109" s="12"/>
      <c r="BH109" s="12"/>
      <c r="BL109" s="12"/>
      <c r="BM109" s="12">
        <v>1</v>
      </c>
      <c r="BN109" s="12"/>
      <c r="BO109" s="12">
        <v>1</v>
      </c>
      <c r="BS109" s="12"/>
      <c r="BT109" s="12"/>
      <c r="BU109" s="12"/>
      <c r="BV109" s="12"/>
      <c r="BZ109" s="12"/>
      <c r="CA109" s="12"/>
      <c r="CB109" s="12"/>
      <c r="CC109" s="12"/>
      <c r="CG109" s="12"/>
      <c r="CH109" s="12"/>
      <c r="CI109" s="12"/>
      <c r="CJ109" s="12"/>
      <c r="CN109" s="12"/>
      <c r="CO109" s="12"/>
      <c r="CP109" s="12"/>
      <c r="CQ109" s="12"/>
      <c r="CU109" s="12"/>
      <c r="CV109" s="12"/>
      <c r="CW109" s="12"/>
      <c r="CX109" s="12"/>
      <c r="DB109" s="12"/>
      <c r="DC109" s="12"/>
      <c r="DD109" s="12"/>
      <c r="DE109" s="12"/>
      <c r="DI109" s="12"/>
      <c r="DJ109" s="12"/>
      <c r="DK109" s="12"/>
      <c r="DL109" s="12"/>
      <c r="DP109" s="12"/>
      <c r="DQ109" s="12"/>
      <c r="DR109" s="12"/>
      <c r="DS109" s="12"/>
      <c r="DX109" s="12"/>
      <c r="DY109" s="12"/>
      <c r="DZ109" s="12"/>
      <c r="EA109" s="12"/>
    </row>
    <row r="110" spans="2:131" ht="15.75" hidden="1" customHeight="1" outlineLevel="1">
      <c r="B110" t="s">
        <v>29</v>
      </c>
      <c r="C110" t="s">
        <v>2</v>
      </c>
      <c r="E110" s="11"/>
      <c r="F110" t="s">
        <v>58</v>
      </c>
      <c r="G110" s="12">
        <v>0.05</v>
      </c>
      <c r="I110" s="11">
        <f t="shared" si="19"/>
        <v>0</v>
      </c>
      <c r="J110" s="13">
        <f t="shared" si="18"/>
        <v>0</v>
      </c>
      <c r="K110" s="13">
        <f t="shared" si="18"/>
        <v>0</v>
      </c>
      <c r="L110" s="11"/>
      <c r="O110" s="12"/>
      <c r="P110" s="12"/>
      <c r="Q110" s="12"/>
      <c r="R110" s="12"/>
      <c r="V110" s="12"/>
      <c r="W110" s="12"/>
      <c r="X110" s="12"/>
      <c r="Y110" s="12"/>
      <c r="AC110" s="12"/>
      <c r="AD110" s="12"/>
      <c r="AE110" s="12"/>
      <c r="AF110" s="12"/>
      <c r="AJ110" s="12"/>
      <c r="AK110" s="12"/>
      <c r="AL110" s="12"/>
      <c r="AM110" s="12"/>
      <c r="AQ110" s="12"/>
      <c r="AR110" s="12">
        <v>1</v>
      </c>
      <c r="AS110" s="12"/>
      <c r="AT110" s="12">
        <v>1</v>
      </c>
      <c r="AX110" s="12"/>
      <c r="AY110" s="12"/>
      <c r="AZ110" s="12"/>
      <c r="BA110" s="12"/>
      <c r="BE110" s="12"/>
      <c r="BF110" s="12"/>
      <c r="BG110" s="12"/>
      <c r="BH110" s="12"/>
      <c r="BL110" s="12"/>
      <c r="BM110" s="12">
        <v>1</v>
      </c>
      <c r="BN110" s="12"/>
      <c r="BO110" s="12">
        <v>1</v>
      </c>
      <c r="BS110" s="12"/>
      <c r="BT110" s="12"/>
      <c r="BU110" s="12"/>
      <c r="BV110" s="12"/>
      <c r="BZ110" s="12"/>
      <c r="CA110" s="12"/>
      <c r="CB110" s="12"/>
      <c r="CC110" s="12"/>
      <c r="CG110" s="12"/>
      <c r="CH110" s="12"/>
      <c r="CI110" s="12"/>
      <c r="CJ110" s="12"/>
      <c r="CN110" s="12"/>
      <c r="CO110" s="12"/>
      <c r="CP110" s="12"/>
      <c r="CQ110" s="12"/>
      <c r="CU110" s="12"/>
      <c r="CV110" s="12"/>
      <c r="CW110" s="12"/>
      <c r="CX110" s="12"/>
      <c r="DB110" s="12"/>
      <c r="DC110" s="12"/>
      <c r="DD110" s="12"/>
      <c r="DE110" s="12"/>
      <c r="DI110" s="12"/>
      <c r="DJ110" s="12"/>
      <c r="DK110" s="12"/>
      <c r="DL110" s="12"/>
      <c r="DP110" s="12"/>
      <c r="DQ110" s="12"/>
      <c r="DR110" s="12"/>
      <c r="DS110" s="12"/>
      <c r="DX110" s="12"/>
      <c r="DY110" s="12"/>
      <c r="DZ110" s="12"/>
      <c r="EA110" s="12"/>
    </row>
    <row r="111" spans="2:131" ht="15.75" hidden="1" customHeight="1" outlineLevel="1">
      <c r="B111" t="s">
        <v>29</v>
      </c>
      <c r="C111" t="s">
        <v>2</v>
      </c>
      <c r="E111" s="11"/>
      <c r="F111" t="s">
        <v>59</v>
      </c>
      <c r="G111" s="12">
        <v>0.05</v>
      </c>
      <c r="I111" s="11">
        <f t="shared" si="19"/>
        <v>0</v>
      </c>
      <c r="J111" s="13">
        <f t="shared" si="18"/>
        <v>0</v>
      </c>
      <c r="K111" s="13">
        <f t="shared" si="18"/>
        <v>0</v>
      </c>
      <c r="L111" s="11"/>
      <c r="O111" s="12"/>
      <c r="P111" s="12"/>
      <c r="Q111" s="12"/>
      <c r="R111" s="12"/>
      <c r="V111" s="12"/>
      <c r="W111" s="12"/>
      <c r="X111" s="12"/>
      <c r="Y111" s="12"/>
      <c r="AC111" s="12"/>
      <c r="AD111" s="12"/>
      <c r="AE111" s="12"/>
      <c r="AF111" s="12"/>
      <c r="AJ111" s="12"/>
      <c r="AK111" s="12"/>
      <c r="AL111" s="12"/>
      <c r="AM111" s="12"/>
      <c r="AQ111" s="12"/>
      <c r="AR111" s="12">
        <v>1</v>
      </c>
      <c r="AS111" s="12"/>
      <c r="AT111" s="12">
        <v>1</v>
      </c>
      <c r="AX111" s="12"/>
      <c r="AY111" s="12"/>
      <c r="AZ111" s="12"/>
      <c r="BA111" s="12"/>
      <c r="BE111" s="12"/>
      <c r="BF111" s="12"/>
      <c r="BG111" s="12"/>
      <c r="BH111" s="12"/>
      <c r="BL111" s="12"/>
      <c r="BM111" s="12">
        <v>1</v>
      </c>
      <c r="BN111" s="12"/>
      <c r="BO111" s="12">
        <v>1</v>
      </c>
      <c r="BS111" s="12"/>
      <c r="BT111" s="12"/>
      <c r="BU111" s="12"/>
      <c r="BV111" s="12"/>
      <c r="BZ111" s="12"/>
      <c r="CA111" s="12"/>
      <c r="CB111" s="12"/>
      <c r="CC111" s="12"/>
      <c r="CG111" s="12"/>
      <c r="CH111" s="12"/>
      <c r="CI111" s="12"/>
      <c r="CJ111" s="12"/>
      <c r="CN111" s="12"/>
      <c r="CO111" s="12"/>
      <c r="CP111" s="12"/>
      <c r="CQ111" s="12"/>
      <c r="CU111" s="12"/>
      <c r="CV111" s="12"/>
      <c r="CW111" s="12"/>
      <c r="CX111" s="12"/>
      <c r="DB111" s="12"/>
      <c r="DC111" s="12"/>
      <c r="DD111" s="12"/>
      <c r="DE111" s="12"/>
      <c r="DI111" s="12"/>
      <c r="DJ111" s="12"/>
      <c r="DK111" s="12"/>
      <c r="DL111" s="12"/>
      <c r="DP111" s="12"/>
      <c r="DQ111" s="12"/>
      <c r="DR111" s="12"/>
      <c r="DS111" s="12"/>
      <c r="DX111" s="12"/>
      <c r="DY111" s="12"/>
      <c r="DZ111" s="12"/>
      <c r="EA111" s="12"/>
    </row>
    <row r="112" spans="2:131" ht="15.75" hidden="1" customHeight="1" outlineLevel="1">
      <c r="B112" t="s">
        <v>29</v>
      </c>
      <c r="C112" t="s">
        <v>2</v>
      </c>
      <c r="E112" s="11"/>
      <c r="F112" t="s">
        <v>60</v>
      </c>
      <c r="G112" s="12">
        <v>0.05</v>
      </c>
      <c r="I112" s="11">
        <f t="shared" si="19"/>
        <v>0</v>
      </c>
      <c r="J112" s="13">
        <f t="shared" si="18"/>
        <v>0</v>
      </c>
      <c r="K112" s="13">
        <f t="shared" si="18"/>
        <v>0</v>
      </c>
      <c r="L112" s="11"/>
      <c r="O112" s="12"/>
      <c r="P112" s="12"/>
      <c r="Q112" s="12"/>
      <c r="R112" s="12"/>
      <c r="V112" s="12"/>
      <c r="W112" s="12"/>
      <c r="X112" s="12"/>
      <c r="Y112" s="12"/>
      <c r="AC112" s="12"/>
      <c r="AD112" s="12"/>
      <c r="AE112" s="12"/>
      <c r="AF112" s="12"/>
      <c r="AJ112" s="12"/>
      <c r="AK112" s="12"/>
      <c r="AL112" s="12"/>
      <c r="AM112" s="12"/>
      <c r="AQ112" s="12"/>
      <c r="AR112" s="12">
        <v>1</v>
      </c>
      <c r="AS112" s="12"/>
      <c r="AT112" s="12">
        <v>1</v>
      </c>
      <c r="AX112" s="12"/>
      <c r="AY112" s="12"/>
      <c r="AZ112" s="12"/>
      <c r="BA112" s="12"/>
      <c r="BE112" s="12"/>
      <c r="BF112" s="12"/>
      <c r="BG112" s="12"/>
      <c r="BH112" s="12"/>
      <c r="BL112" s="12"/>
      <c r="BM112" s="12">
        <v>1</v>
      </c>
      <c r="BN112" s="12"/>
      <c r="BO112" s="12">
        <v>1</v>
      </c>
      <c r="BS112" s="12"/>
      <c r="BT112" s="12"/>
      <c r="BU112" s="12"/>
      <c r="BV112" s="12"/>
      <c r="BZ112" s="12"/>
      <c r="CA112" s="12"/>
      <c r="CB112" s="12"/>
      <c r="CC112" s="12"/>
      <c r="CG112" s="12"/>
      <c r="CH112" s="12"/>
      <c r="CI112" s="12"/>
      <c r="CJ112" s="12"/>
      <c r="CN112" s="12"/>
      <c r="CO112" s="12"/>
      <c r="CP112" s="12"/>
      <c r="CQ112" s="12"/>
      <c r="CU112" s="12"/>
      <c r="CV112" s="12"/>
      <c r="CW112" s="12"/>
      <c r="CX112" s="12"/>
      <c r="DB112" s="12"/>
      <c r="DC112" s="12"/>
      <c r="DD112" s="12"/>
      <c r="DE112" s="12"/>
      <c r="DI112" s="12"/>
      <c r="DJ112" s="12"/>
      <c r="DK112" s="12"/>
      <c r="DL112" s="12"/>
      <c r="DP112" s="12"/>
      <c r="DQ112" s="12"/>
      <c r="DR112" s="12"/>
      <c r="DS112" s="12"/>
      <c r="DX112" s="12"/>
      <c r="DY112" s="12"/>
      <c r="DZ112" s="12"/>
      <c r="EA112" s="12"/>
    </row>
    <row r="113" spans="2:131" ht="15.75" hidden="1" customHeight="1" outlineLevel="1">
      <c r="B113" t="s">
        <v>29</v>
      </c>
      <c r="C113" t="s">
        <v>2</v>
      </c>
      <c r="E113" s="11"/>
      <c r="F113" t="s">
        <v>61</v>
      </c>
      <c r="G113" s="12">
        <v>0.1</v>
      </c>
      <c r="I113" s="11">
        <f t="shared" si="19"/>
        <v>0</v>
      </c>
      <c r="J113" s="13">
        <f t="shared" si="18"/>
        <v>0</v>
      </c>
      <c r="K113" s="13">
        <f t="shared" si="18"/>
        <v>0</v>
      </c>
      <c r="L113" s="11"/>
      <c r="O113" s="12"/>
      <c r="P113" s="12"/>
      <c r="Q113" s="12"/>
      <c r="R113" s="12"/>
      <c r="V113" s="12"/>
      <c r="W113" s="12"/>
      <c r="X113" s="12"/>
      <c r="Y113" s="12"/>
      <c r="AC113" s="12"/>
      <c r="AD113" s="12"/>
      <c r="AE113" s="12"/>
      <c r="AF113" s="12"/>
      <c r="AJ113" s="12"/>
      <c r="AK113" s="12"/>
      <c r="AL113" s="12"/>
      <c r="AM113" s="12"/>
      <c r="AQ113" s="12"/>
      <c r="AR113" s="12">
        <v>1</v>
      </c>
      <c r="AS113" s="12"/>
      <c r="AT113" s="12">
        <v>1</v>
      </c>
      <c r="AX113" s="12"/>
      <c r="AY113" s="12"/>
      <c r="AZ113" s="12"/>
      <c r="BA113" s="12"/>
      <c r="BE113" s="12"/>
      <c r="BF113" s="12"/>
      <c r="BG113" s="12"/>
      <c r="BH113" s="12"/>
      <c r="BL113" s="12"/>
      <c r="BM113" s="12">
        <v>1</v>
      </c>
      <c r="BN113" s="12"/>
      <c r="BO113" s="12">
        <v>1</v>
      </c>
      <c r="BS113" s="12"/>
      <c r="BT113" s="12"/>
      <c r="BU113" s="12"/>
      <c r="BV113" s="12"/>
      <c r="BZ113" s="12"/>
      <c r="CA113" s="12"/>
      <c r="CB113" s="12"/>
      <c r="CC113" s="12"/>
      <c r="CG113" s="12"/>
      <c r="CH113" s="12"/>
      <c r="CI113" s="12"/>
      <c r="CJ113" s="12"/>
      <c r="CN113" s="12"/>
      <c r="CO113" s="12"/>
      <c r="CP113" s="12"/>
      <c r="CQ113" s="12"/>
      <c r="CU113" s="12"/>
      <c r="CV113" s="12"/>
      <c r="CW113" s="12"/>
      <c r="CX113" s="12"/>
      <c r="DB113" s="12"/>
      <c r="DC113" s="12"/>
      <c r="DD113" s="12"/>
      <c r="DE113" s="12"/>
      <c r="DI113" s="12"/>
      <c r="DJ113" s="12"/>
      <c r="DK113" s="12"/>
      <c r="DL113" s="12"/>
      <c r="DP113" s="12"/>
      <c r="DQ113" s="12"/>
      <c r="DR113" s="12"/>
      <c r="DS113" s="12"/>
      <c r="DX113" s="12"/>
      <c r="DY113" s="12"/>
      <c r="DZ113" s="12"/>
      <c r="EA113" s="12"/>
    </row>
    <row r="114" spans="2:131" ht="15.75" hidden="1" customHeight="1" outlineLevel="1">
      <c r="B114" t="s">
        <v>29</v>
      </c>
      <c r="C114" t="s">
        <v>2</v>
      </c>
      <c r="E114" s="11"/>
      <c r="F114" t="s">
        <v>62</v>
      </c>
      <c r="G114" s="12">
        <v>0.1</v>
      </c>
      <c r="I114" s="11">
        <f t="shared" si="19"/>
        <v>0</v>
      </c>
      <c r="J114" s="13">
        <f t="shared" si="18"/>
        <v>0</v>
      </c>
      <c r="K114" s="13">
        <f t="shared" si="18"/>
        <v>0</v>
      </c>
      <c r="L114" s="11"/>
      <c r="O114" s="12"/>
      <c r="P114" s="12"/>
      <c r="Q114" s="12"/>
      <c r="R114" s="12"/>
      <c r="V114" s="12"/>
      <c r="W114" s="12"/>
      <c r="X114" s="12"/>
      <c r="Y114" s="12"/>
      <c r="AC114" s="12"/>
      <c r="AD114" s="12"/>
      <c r="AE114" s="12"/>
      <c r="AF114" s="12"/>
      <c r="AJ114" s="12"/>
      <c r="AK114" s="12"/>
      <c r="AL114" s="12"/>
      <c r="AM114" s="12"/>
      <c r="AQ114" s="12"/>
      <c r="AR114" s="12">
        <v>1</v>
      </c>
      <c r="AS114" s="12"/>
      <c r="AT114" s="12">
        <v>1</v>
      </c>
      <c r="AX114" s="12"/>
      <c r="AY114" s="12"/>
      <c r="AZ114" s="12"/>
      <c r="BA114" s="12"/>
      <c r="BE114" s="12"/>
      <c r="BF114" s="12"/>
      <c r="BG114" s="12"/>
      <c r="BH114" s="12"/>
      <c r="BL114" s="12"/>
      <c r="BM114" s="12">
        <v>1</v>
      </c>
      <c r="BN114" s="12"/>
      <c r="BO114" s="12">
        <v>1</v>
      </c>
      <c r="BS114" s="12"/>
      <c r="BT114" s="12"/>
      <c r="BU114" s="12"/>
      <c r="BV114" s="12"/>
      <c r="BZ114" s="12"/>
      <c r="CA114" s="12"/>
      <c r="CB114" s="12"/>
      <c r="CC114" s="12"/>
      <c r="CG114" s="12"/>
      <c r="CH114" s="12"/>
      <c r="CI114" s="12"/>
      <c r="CJ114" s="12"/>
      <c r="CN114" s="12"/>
      <c r="CO114" s="12"/>
      <c r="CP114" s="12"/>
      <c r="CQ114" s="12"/>
      <c r="CU114" s="12"/>
      <c r="CV114" s="12"/>
      <c r="CW114" s="12"/>
      <c r="CX114" s="12"/>
      <c r="DB114" s="12"/>
      <c r="DC114" s="12"/>
      <c r="DD114" s="12"/>
      <c r="DE114" s="12"/>
      <c r="DI114" s="12"/>
      <c r="DJ114" s="12"/>
      <c r="DK114" s="12"/>
      <c r="DL114" s="12"/>
      <c r="DP114" s="12"/>
      <c r="DQ114" s="12"/>
      <c r="DR114" s="12"/>
      <c r="DS114" s="12"/>
      <c r="DX114" s="12"/>
      <c r="DY114" s="12"/>
      <c r="DZ114" s="12"/>
      <c r="EA114" s="12"/>
    </row>
    <row r="115" spans="2:131" ht="15.75" hidden="1" customHeight="1" outlineLevel="1">
      <c r="B115" t="s">
        <v>29</v>
      </c>
      <c r="C115" t="s">
        <v>2</v>
      </c>
      <c r="E115" s="11"/>
      <c r="F115" t="s">
        <v>63</v>
      </c>
      <c r="G115" s="12">
        <v>0.1</v>
      </c>
      <c r="I115" s="11">
        <f t="shared" si="19"/>
        <v>0</v>
      </c>
      <c r="J115" s="13">
        <f t="shared" si="18"/>
        <v>0</v>
      </c>
      <c r="K115" s="13">
        <f t="shared" si="18"/>
        <v>0</v>
      </c>
      <c r="L115" s="11"/>
      <c r="O115" s="12"/>
      <c r="P115" s="12"/>
      <c r="Q115" s="12"/>
      <c r="R115" s="12"/>
      <c r="V115" s="12"/>
      <c r="W115" s="12"/>
      <c r="X115" s="12"/>
      <c r="Y115" s="12"/>
      <c r="AC115" s="12"/>
      <c r="AD115" s="12"/>
      <c r="AE115" s="12"/>
      <c r="AF115" s="12"/>
      <c r="AJ115" s="12"/>
      <c r="AK115" s="12"/>
      <c r="AL115" s="12"/>
      <c r="AM115" s="12"/>
      <c r="AQ115" s="12"/>
      <c r="AR115" s="12">
        <v>1</v>
      </c>
      <c r="AS115" s="12"/>
      <c r="AT115" s="12">
        <v>1</v>
      </c>
      <c r="AX115" s="12"/>
      <c r="AY115" s="12"/>
      <c r="AZ115" s="12"/>
      <c r="BA115" s="12"/>
      <c r="BE115" s="12"/>
      <c r="BF115" s="12"/>
      <c r="BG115" s="12"/>
      <c r="BH115" s="12"/>
      <c r="BL115" s="12"/>
      <c r="BM115" s="12">
        <v>1</v>
      </c>
      <c r="BN115" s="12"/>
      <c r="BO115" s="12">
        <v>1</v>
      </c>
      <c r="BS115" s="12"/>
      <c r="BT115" s="12"/>
      <c r="BU115" s="12"/>
      <c r="BV115" s="12"/>
      <c r="BZ115" s="12"/>
      <c r="CA115" s="12"/>
      <c r="CB115" s="12"/>
      <c r="CC115" s="12"/>
      <c r="CG115" s="12"/>
      <c r="CH115" s="12"/>
      <c r="CI115" s="12"/>
      <c r="CJ115" s="12"/>
      <c r="CN115" s="12"/>
      <c r="CO115" s="12"/>
      <c r="CP115" s="12"/>
      <c r="CQ115" s="12"/>
      <c r="CU115" s="12"/>
      <c r="CV115" s="12"/>
      <c r="CW115" s="12"/>
      <c r="CX115" s="12"/>
      <c r="DB115" s="12"/>
      <c r="DC115" s="12"/>
      <c r="DD115" s="12"/>
      <c r="DE115" s="12"/>
      <c r="DI115" s="12"/>
      <c r="DJ115" s="12"/>
      <c r="DK115" s="12"/>
      <c r="DL115" s="12"/>
      <c r="DP115" s="12"/>
      <c r="DQ115" s="12"/>
      <c r="DR115" s="12"/>
      <c r="DS115" s="12"/>
      <c r="DX115" s="12"/>
      <c r="DY115" s="12"/>
      <c r="DZ115" s="12"/>
      <c r="EA115" s="12"/>
    </row>
    <row r="116" spans="2:131" ht="15.75" hidden="1" customHeight="1" outlineLevel="1">
      <c r="B116" t="s">
        <v>29</v>
      </c>
      <c r="C116" t="s">
        <v>2</v>
      </c>
      <c r="E116" s="11"/>
      <c r="F116" t="s">
        <v>32</v>
      </c>
      <c r="G116" s="12">
        <v>0.1</v>
      </c>
      <c r="I116" s="11">
        <f t="shared" si="19"/>
        <v>0</v>
      </c>
      <c r="J116" s="13">
        <f t="shared" si="18"/>
        <v>0</v>
      </c>
      <c r="K116" s="13">
        <f t="shared" si="18"/>
        <v>0</v>
      </c>
      <c r="L116" s="11"/>
      <c r="O116" s="12"/>
      <c r="P116" s="12"/>
      <c r="Q116" s="12"/>
      <c r="R116" s="12"/>
      <c r="V116" s="12"/>
      <c r="W116" s="12"/>
      <c r="X116" s="12"/>
      <c r="Y116" s="12"/>
      <c r="AC116" s="12"/>
      <c r="AD116" s="12"/>
      <c r="AE116" s="12"/>
      <c r="AF116" s="12"/>
      <c r="AJ116" s="12"/>
      <c r="AK116" s="12"/>
      <c r="AL116" s="12"/>
      <c r="AM116" s="12"/>
      <c r="AQ116" s="12"/>
      <c r="AR116" s="12">
        <v>1</v>
      </c>
      <c r="AS116" s="12"/>
      <c r="AT116" s="12">
        <v>1</v>
      </c>
      <c r="AX116" s="12"/>
      <c r="AY116" s="12"/>
      <c r="AZ116" s="12"/>
      <c r="BA116" s="12"/>
      <c r="BE116" s="12"/>
      <c r="BF116" s="12"/>
      <c r="BG116" s="12"/>
      <c r="BH116" s="12"/>
      <c r="BL116" s="12"/>
      <c r="BM116" s="12">
        <v>1</v>
      </c>
      <c r="BN116" s="12"/>
      <c r="BO116" s="12">
        <v>1</v>
      </c>
      <c r="BS116" s="12"/>
      <c r="BT116" s="12"/>
      <c r="BU116" s="12"/>
      <c r="BV116" s="12"/>
      <c r="BZ116" s="12"/>
      <c r="CA116" s="12"/>
      <c r="CB116" s="12"/>
      <c r="CC116" s="12"/>
      <c r="CG116" s="12"/>
      <c r="CH116" s="12"/>
      <c r="CI116" s="12"/>
      <c r="CJ116" s="12"/>
      <c r="CN116" s="12"/>
      <c r="CO116" s="12"/>
      <c r="CP116" s="12"/>
      <c r="CQ116" s="12"/>
      <c r="CU116" s="12"/>
      <c r="CV116" s="12"/>
      <c r="CW116" s="12"/>
      <c r="CX116" s="12"/>
      <c r="DB116" s="12"/>
      <c r="DC116" s="12"/>
      <c r="DD116" s="12"/>
      <c r="DE116" s="12"/>
      <c r="DI116" s="12"/>
      <c r="DJ116" s="12"/>
      <c r="DK116" s="12"/>
      <c r="DL116" s="12"/>
      <c r="DP116" s="12"/>
      <c r="DQ116" s="12"/>
      <c r="DR116" s="12"/>
      <c r="DS116" s="12"/>
      <c r="DX116" s="12"/>
      <c r="DY116" s="12"/>
      <c r="DZ116" s="12"/>
      <c r="EA116" s="12"/>
    </row>
    <row r="117" spans="2:131" ht="15.75" hidden="1" customHeight="1" outlineLevel="1">
      <c r="B117" t="s">
        <v>29</v>
      </c>
      <c r="C117" t="s">
        <v>2</v>
      </c>
      <c r="E117" s="11"/>
      <c r="F117" t="s">
        <v>33</v>
      </c>
      <c r="G117" s="12">
        <v>0.1</v>
      </c>
      <c r="I117" s="11">
        <f t="shared" si="19"/>
        <v>0</v>
      </c>
      <c r="J117" s="13">
        <f t="shared" si="18"/>
        <v>0</v>
      </c>
      <c r="K117" s="13">
        <f t="shared" si="18"/>
        <v>0</v>
      </c>
      <c r="L117" s="11"/>
      <c r="O117" s="12"/>
      <c r="P117" s="12"/>
      <c r="Q117" s="12"/>
      <c r="R117" s="12"/>
      <c r="V117" s="12"/>
      <c r="W117" s="12"/>
      <c r="X117" s="12"/>
      <c r="Y117" s="12"/>
      <c r="AC117" s="12"/>
      <c r="AD117" s="12"/>
      <c r="AE117" s="12"/>
      <c r="AF117" s="12"/>
      <c r="AJ117" s="12"/>
      <c r="AK117" s="12"/>
      <c r="AL117" s="12"/>
      <c r="AM117" s="12"/>
      <c r="AQ117" s="12"/>
      <c r="AR117" s="12">
        <v>1</v>
      </c>
      <c r="AS117" s="12"/>
      <c r="AT117" s="12">
        <v>1</v>
      </c>
      <c r="AX117" s="12"/>
      <c r="AY117" s="12"/>
      <c r="AZ117" s="12"/>
      <c r="BA117" s="12"/>
      <c r="BE117" s="12"/>
      <c r="BF117" s="12"/>
      <c r="BG117" s="12"/>
      <c r="BH117" s="12"/>
      <c r="BL117" s="12"/>
      <c r="BM117" s="12">
        <v>1</v>
      </c>
      <c r="BN117" s="12"/>
      <c r="BO117" s="12">
        <v>1</v>
      </c>
      <c r="BS117" s="12"/>
      <c r="BT117" s="12"/>
      <c r="BU117" s="12"/>
      <c r="BV117" s="12"/>
      <c r="BZ117" s="12"/>
      <c r="CA117" s="12"/>
      <c r="CB117" s="12"/>
      <c r="CC117" s="12"/>
      <c r="CG117" s="12"/>
      <c r="CH117" s="12"/>
      <c r="CI117" s="12"/>
      <c r="CJ117" s="12"/>
      <c r="CN117" s="12"/>
      <c r="CO117" s="12"/>
      <c r="CP117" s="12"/>
      <c r="CQ117" s="12"/>
      <c r="CU117" s="12"/>
      <c r="CV117" s="12"/>
      <c r="CW117" s="12"/>
      <c r="CX117" s="12"/>
      <c r="DB117" s="12"/>
      <c r="DC117" s="12"/>
      <c r="DD117" s="12"/>
      <c r="DE117" s="12"/>
      <c r="DI117" s="12"/>
      <c r="DJ117" s="12"/>
      <c r="DK117" s="12"/>
      <c r="DL117" s="12"/>
      <c r="DP117" s="12"/>
      <c r="DQ117" s="12"/>
      <c r="DR117" s="12"/>
      <c r="DS117" s="12"/>
      <c r="DX117" s="12"/>
      <c r="DY117" s="12"/>
      <c r="DZ117" s="12"/>
      <c r="EA117" s="12"/>
    </row>
    <row r="118" spans="2:131" ht="15.75" hidden="1" customHeight="1" outlineLevel="1">
      <c r="B118" t="s">
        <v>29</v>
      </c>
      <c r="C118" t="s">
        <v>2</v>
      </c>
      <c r="E118" s="11"/>
      <c r="F118" t="s">
        <v>34</v>
      </c>
      <c r="G118" s="12">
        <v>0.1</v>
      </c>
      <c r="I118" s="11">
        <f t="shared" si="19"/>
        <v>0</v>
      </c>
      <c r="J118" s="13">
        <f t="shared" si="18"/>
        <v>0</v>
      </c>
      <c r="K118" s="13">
        <f t="shared" si="18"/>
        <v>0</v>
      </c>
      <c r="L118" s="11"/>
      <c r="O118" s="12"/>
      <c r="P118" s="12"/>
      <c r="Q118" s="12"/>
      <c r="R118" s="12"/>
      <c r="V118" s="12"/>
      <c r="W118" s="12"/>
      <c r="X118" s="12"/>
      <c r="Y118" s="12"/>
      <c r="AC118" s="12"/>
      <c r="AD118" s="12"/>
      <c r="AE118" s="12"/>
      <c r="AF118" s="12"/>
      <c r="AJ118" s="12"/>
      <c r="AK118" s="12"/>
      <c r="AL118" s="12"/>
      <c r="AM118" s="12"/>
      <c r="AQ118" s="12"/>
      <c r="AR118" s="12">
        <v>1</v>
      </c>
      <c r="AS118" s="12"/>
      <c r="AT118" s="12">
        <v>1</v>
      </c>
      <c r="AX118" s="12"/>
      <c r="AY118" s="12"/>
      <c r="AZ118" s="12"/>
      <c r="BA118" s="12"/>
      <c r="BE118" s="12"/>
      <c r="BF118" s="12"/>
      <c r="BG118" s="12"/>
      <c r="BH118" s="12"/>
      <c r="BL118" s="12"/>
      <c r="BM118" s="12">
        <v>1</v>
      </c>
      <c r="BN118" s="12"/>
      <c r="BO118" s="12">
        <v>1</v>
      </c>
      <c r="BS118" s="12"/>
      <c r="BT118" s="12"/>
      <c r="BU118" s="12"/>
      <c r="BV118" s="12"/>
      <c r="BZ118" s="12"/>
      <c r="CA118" s="12"/>
      <c r="CB118" s="12"/>
      <c r="CC118" s="12"/>
      <c r="CG118" s="12"/>
      <c r="CH118" s="12"/>
      <c r="CI118" s="12"/>
      <c r="CJ118" s="12"/>
      <c r="CN118" s="12"/>
      <c r="CO118" s="12"/>
      <c r="CP118" s="12"/>
      <c r="CQ118" s="12"/>
      <c r="CU118" s="12"/>
      <c r="CV118" s="12"/>
      <c r="CW118" s="12"/>
      <c r="CX118" s="12"/>
      <c r="DB118" s="12"/>
      <c r="DC118" s="12"/>
      <c r="DD118" s="12"/>
      <c r="DE118" s="12"/>
      <c r="DI118" s="12"/>
      <c r="DJ118" s="12"/>
      <c r="DK118" s="12"/>
      <c r="DL118" s="12"/>
      <c r="DP118" s="12"/>
      <c r="DQ118" s="12"/>
      <c r="DR118" s="12"/>
      <c r="DS118" s="12"/>
      <c r="DX118" s="12"/>
      <c r="DY118" s="12"/>
      <c r="DZ118" s="12"/>
      <c r="EA118" s="12"/>
    </row>
    <row r="119" spans="2:131" ht="15.75" hidden="1" customHeight="1" outlineLevel="1">
      <c r="B119" t="s">
        <v>29</v>
      </c>
      <c r="C119" t="s">
        <v>2</v>
      </c>
      <c r="E119" s="11"/>
      <c r="F119" t="s">
        <v>35</v>
      </c>
      <c r="G119" s="12">
        <v>0.1</v>
      </c>
      <c r="I119" s="11">
        <f>+SUMIF($N$3:$ZZ$3,I$3,$N119:$ZZ119)</f>
        <v>0</v>
      </c>
      <c r="J119" s="13">
        <f t="shared" si="18"/>
        <v>0</v>
      </c>
      <c r="K119" s="13">
        <f t="shared" si="18"/>
        <v>0</v>
      </c>
      <c r="L119" s="11"/>
      <c r="O119" s="12"/>
      <c r="P119" s="12"/>
      <c r="Q119" s="12"/>
      <c r="R119" s="12"/>
      <c r="V119" s="12"/>
      <c r="W119" s="12"/>
      <c r="X119" s="12"/>
      <c r="Y119" s="12"/>
      <c r="AC119" s="12"/>
      <c r="AD119" s="12"/>
      <c r="AE119" s="12"/>
      <c r="AF119" s="12"/>
      <c r="AJ119" s="12"/>
      <c r="AK119" s="12"/>
      <c r="AL119" s="12"/>
      <c r="AM119" s="12"/>
      <c r="AQ119" s="12"/>
      <c r="AR119" s="12">
        <v>1</v>
      </c>
      <c r="AS119" s="12"/>
      <c r="AT119" s="12">
        <v>1</v>
      </c>
      <c r="AX119" s="12"/>
      <c r="AY119" s="12"/>
      <c r="AZ119" s="12"/>
      <c r="BA119" s="12"/>
      <c r="BE119" s="12"/>
      <c r="BF119" s="12"/>
      <c r="BG119" s="12"/>
      <c r="BH119" s="12"/>
      <c r="BL119" s="12"/>
      <c r="BM119" s="12">
        <v>1</v>
      </c>
      <c r="BN119" s="12"/>
      <c r="BO119" s="12">
        <v>1</v>
      </c>
      <c r="BS119" s="12"/>
      <c r="BT119" s="12"/>
      <c r="BU119" s="12"/>
      <c r="BV119" s="12"/>
      <c r="BZ119" s="12"/>
      <c r="CA119" s="12"/>
      <c r="CB119" s="12"/>
      <c r="CC119" s="12"/>
      <c r="CG119" s="12"/>
      <c r="CH119" s="12"/>
      <c r="CI119" s="12"/>
      <c r="CJ119" s="12"/>
      <c r="CN119" s="12"/>
      <c r="CO119" s="12"/>
      <c r="CP119" s="12"/>
      <c r="CQ119" s="12"/>
      <c r="CU119" s="12"/>
      <c r="CV119" s="12"/>
      <c r="CW119" s="12"/>
      <c r="CX119" s="12"/>
      <c r="DB119" s="12"/>
      <c r="DC119" s="12"/>
      <c r="DD119" s="12"/>
      <c r="DE119" s="12"/>
      <c r="DI119" s="12"/>
      <c r="DJ119" s="12"/>
      <c r="DK119" s="12"/>
      <c r="DL119" s="12"/>
      <c r="DP119" s="12"/>
      <c r="DQ119" s="12"/>
      <c r="DR119" s="12"/>
      <c r="DS119" s="12"/>
      <c r="DX119" s="12"/>
      <c r="DY119" s="12"/>
      <c r="DZ119" s="12"/>
      <c r="EA119" s="12"/>
    </row>
    <row r="120" spans="2:131" collapsed="1"/>
    <row r="121" spans="2:131">
      <c r="B121" s="23" t="s">
        <v>28</v>
      </c>
      <c r="C121" s="23" t="s">
        <v>71</v>
      </c>
      <c r="D121" s="23"/>
      <c r="E121" s="11"/>
      <c r="G121" s="12">
        <f>+SUM(G122:G133)</f>
        <v>0.99999999999999989</v>
      </c>
      <c r="I121" s="14">
        <f>+SUM(I122:I133)</f>
        <v>0</v>
      </c>
      <c r="J121" s="13">
        <f>+SUMPRODUCT(G122:G133,J122:J133)</f>
        <v>0</v>
      </c>
      <c r="K121" s="13">
        <f>+SUMPRODUCT(G122:G133,K122:K133)</f>
        <v>0</v>
      </c>
      <c r="L121" s="11"/>
      <c r="N121" s="14">
        <f>+SUM(N122:N133)</f>
        <v>0</v>
      </c>
      <c r="U121" s="14">
        <f>+SUM(U122:U133)</f>
        <v>0</v>
      </c>
      <c r="AB121" s="14">
        <f>+SUM(AB122:AB133)</f>
        <v>0</v>
      </c>
      <c r="AI121" s="14">
        <f>+SUM(AI122:AI133)</f>
        <v>0</v>
      </c>
      <c r="AP121" s="14">
        <f>+SUM(AP122:AP133)</f>
        <v>0</v>
      </c>
      <c r="AW121" s="14">
        <f>+SUM(AW122:AW133)</f>
        <v>0</v>
      </c>
      <c r="BD121" s="14">
        <f>+SUM(BD122:BD133)</f>
        <v>0</v>
      </c>
      <c r="BK121" s="14">
        <f>+SUM(BK122:BK133)</f>
        <v>0</v>
      </c>
      <c r="BR121" s="14">
        <f>+SUM(BR122:BR133)</f>
        <v>0</v>
      </c>
      <c r="BY121" s="14">
        <f>+SUM(BY122:BY133)</f>
        <v>0</v>
      </c>
      <c r="CF121" s="14">
        <f>+SUM(CF122:CF133)</f>
        <v>0</v>
      </c>
      <c r="CM121" s="14">
        <f>+SUM(CM122:CM133)</f>
        <v>0</v>
      </c>
      <c r="CT121" s="14">
        <f>+SUM(CT122:CT133)</f>
        <v>0</v>
      </c>
      <c r="DA121" s="14">
        <f>+SUM(DA122:DA133)</f>
        <v>0</v>
      </c>
      <c r="DH121" s="14">
        <f>+SUM(DH122:DH133)</f>
        <v>0</v>
      </c>
      <c r="DO121" s="14">
        <f>+SUM(DO122:DO133)</f>
        <v>0</v>
      </c>
      <c r="DW121" s="14">
        <f>+SUM(DW122:DW133)</f>
        <v>0</v>
      </c>
    </row>
    <row r="122" spans="2:131" ht="15.75" hidden="1" customHeight="1" outlineLevel="1">
      <c r="B122" t="s">
        <v>29</v>
      </c>
      <c r="C122" t="s">
        <v>2</v>
      </c>
      <c r="E122" s="11"/>
      <c r="F122" t="s">
        <v>56</v>
      </c>
      <c r="G122" s="12">
        <v>0.1</v>
      </c>
      <c r="I122" s="11">
        <f>+SUMIF($N$3:$ZZ$3,I$3,$N122:$ZZ122)</f>
        <v>0</v>
      </c>
      <c r="J122" s="13">
        <f t="shared" ref="J122:K133" si="20">+_xlfn.MAXIFS($N122:$ZF122,$N$3:$ZF$3,J$3)</f>
        <v>0</v>
      </c>
      <c r="K122" s="13">
        <f t="shared" si="20"/>
        <v>0</v>
      </c>
      <c r="L122" s="11"/>
      <c r="O122" s="12"/>
      <c r="P122" s="12"/>
      <c r="Q122" s="12"/>
      <c r="R122" s="12"/>
      <c r="V122" s="12"/>
      <c r="W122" s="12"/>
      <c r="X122" s="12"/>
      <c r="Y122" s="12"/>
      <c r="AC122" s="12"/>
      <c r="AD122" s="12"/>
      <c r="AE122" s="12"/>
      <c r="AF122" s="12"/>
      <c r="AJ122" s="12"/>
      <c r="AK122" s="12"/>
      <c r="AL122" s="12"/>
      <c r="AM122" s="12"/>
      <c r="AQ122" s="12"/>
      <c r="AR122" s="12">
        <v>1</v>
      </c>
      <c r="AS122" s="12"/>
      <c r="AT122" s="12">
        <v>1</v>
      </c>
      <c r="AX122" s="12"/>
      <c r="AY122" s="12"/>
      <c r="AZ122" s="12"/>
      <c r="BA122" s="12"/>
      <c r="BE122" s="12"/>
      <c r="BF122" s="12"/>
      <c r="BG122" s="12"/>
      <c r="BH122" s="12"/>
      <c r="BL122" s="12"/>
      <c r="BM122" s="12">
        <v>1</v>
      </c>
      <c r="BN122" s="12"/>
      <c r="BO122" s="12">
        <v>1</v>
      </c>
      <c r="BS122" s="12"/>
      <c r="BT122" s="12"/>
      <c r="BU122" s="12"/>
      <c r="BV122" s="12"/>
      <c r="BZ122" s="12"/>
      <c r="CA122" s="12"/>
      <c r="CB122" s="12"/>
      <c r="CC122" s="12"/>
      <c r="CG122" s="12"/>
      <c r="CH122" s="12"/>
      <c r="CI122" s="12"/>
      <c r="CJ122" s="12"/>
      <c r="CN122" s="12"/>
      <c r="CO122" s="12"/>
      <c r="CP122" s="12"/>
      <c r="CQ122" s="12"/>
      <c r="CU122" s="12"/>
      <c r="CV122" s="12"/>
      <c r="CW122" s="12"/>
      <c r="CX122" s="12"/>
      <c r="DB122" s="12"/>
      <c r="DC122" s="12"/>
      <c r="DD122" s="12"/>
      <c r="DE122" s="12"/>
      <c r="DI122" s="12"/>
      <c r="DJ122" s="12"/>
      <c r="DK122" s="12"/>
      <c r="DL122" s="12"/>
      <c r="DP122" s="12"/>
      <c r="DQ122" s="12"/>
      <c r="DR122" s="12"/>
      <c r="DS122" s="12"/>
      <c r="DX122" s="12"/>
      <c r="DY122" s="12"/>
      <c r="DZ122" s="12"/>
      <c r="EA122" s="12"/>
    </row>
    <row r="123" spans="2:131" ht="15.75" hidden="1" customHeight="1" outlineLevel="1">
      <c r="B123" t="s">
        <v>29</v>
      </c>
      <c r="C123" t="s">
        <v>2</v>
      </c>
      <c r="E123" s="11"/>
      <c r="F123" t="s">
        <v>57</v>
      </c>
      <c r="G123" s="12">
        <v>0.05</v>
      </c>
      <c r="I123" s="11">
        <f t="shared" ref="I123:I132" si="21">+SUMIF($N$3:$ZZ$3,I$3,$N123:$ZZ123)</f>
        <v>0</v>
      </c>
      <c r="J123" s="13">
        <f t="shared" si="20"/>
        <v>0</v>
      </c>
      <c r="K123" s="13">
        <f t="shared" si="20"/>
        <v>0</v>
      </c>
      <c r="L123" s="11"/>
      <c r="O123" s="12"/>
      <c r="P123" s="12"/>
      <c r="Q123" s="12"/>
      <c r="R123" s="12"/>
      <c r="V123" s="12"/>
      <c r="W123" s="12"/>
      <c r="X123" s="12"/>
      <c r="Y123" s="12"/>
      <c r="AC123" s="12"/>
      <c r="AD123" s="12"/>
      <c r="AE123" s="12"/>
      <c r="AF123" s="12"/>
      <c r="AJ123" s="12"/>
      <c r="AK123" s="12"/>
      <c r="AL123" s="12"/>
      <c r="AM123" s="12"/>
      <c r="AQ123" s="12"/>
      <c r="AR123" s="12">
        <v>1</v>
      </c>
      <c r="AS123" s="12"/>
      <c r="AT123" s="12">
        <v>1</v>
      </c>
      <c r="AX123" s="12"/>
      <c r="AY123" s="12"/>
      <c r="AZ123" s="12"/>
      <c r="BA123" s="12"/>
      <c r="BE123" s="12"/>
      <c r="BF123" s="12"/>
      <c r="BG123" s="12"/>
      <c r="BH123" s="12"/>
      <c r="BL123" s="12"/>
      <c r="BM123" s="12">
        <v>1</v>
      </c>
      <c r="BN123" s="12"/>
      <c r="BO123" s="12">
        <v>1</v>
      </c>
      <c r="BS123" s="12"/>
      <c r="BT123" s="12"/>
      <c r="BU123" s="12"/>
      <c r="BV123" s="12"/>
      <c r="BZ123" s="12"/>
      <c r="CA123" s="12"/>
      <c r="CB123" s="12"/>
      <c r="CC123" s="12"/>
      <c r="CG123" s="12"/>
      <c r="CH123" s="12"/>
      <c r="CI123" s="12"/>
      <c r="CJ123" s="12"/>
      <c r="CN123" s="12"/>
      <c r="CO123" s="12"/>
      <c r="CP123" s="12"/>
      <c r="CQ123" s="12"/>
      <c r="CU123" s="12"/>
      <c r="CV123" s="12"/>
      <c r="CW123" s="12"/>
      <c r="CX123" s="12"/>
      <c r="DB123" s="12"/>
      <c r="DC123" s="12"/>
      <c r="DD123" s="12"/>
      <c r="DE123" s="12"/>
      <c r="DI123" s="12"/>
      <c r="DJ123" s="12"/>
      <c r="DK123" s="12"/>
      <c r="DL123" s="12"/>
      <c r="DP123" s="12"/>
      <c r="DQ123" s="12"/>
      <c r="DR123" s="12"/>
      <c r="DS123" s="12"/>
      <c r="DX123" s="12"/>
      <c r="DY123" s="12"/>
      <c r="DZ123" s="12"/>
      <c r="EA123" s="12"/>
    </row>
    <row r="124" spans="2:131" ht="15.75" hidden="1" customHeight="1" outlineLevel="1">
      <c r="B124" t="s">
        <v>29</v>
      </c>
      <c r="C124" t="s">
        <v>2</v>
      </c>
      <c r="E124" s="11"/>
      <c r="F124" t="s">
        <v>58</v>
      </c>
      <c r="G124" s="12">
        <v>0.05</v>
      </c>
      <c r="I124" s="11">
        <f t="shared" si="21"/>
        <v>0</v>
      </c>
      <c r="J124" s="13">
        <f t="shared" si="20"/>
        <v>0</v>
      </c>
      <c r="K124" s="13">
        <f t="shared" si="20"/>
        <v>0</v>
      </c>
      <c r="L124" s="11"/>
      <c r="O124" s="12"/>
      <c r="P124" s="12"/>
      <c r="Q124" s="12"/>
      <c r="R124" s="12"/>
      <c r="V124" s="12"/>
      <c r="W124" s="12"/>
      <c r="X124" s="12"/>
      <c r="Y124" s="12"/>
      <c r="AC124" s="12"/>
      <c r="AD124" s="12"/>
      <c r="AE124" s="12"/>
      <c r="AF124" s="12"/>
      <c r="AJ124" s="12"/>
      <c r="AK124" s="12"/>
      <c r="AL124" s="12"/>
      <c r="AM124" s="12"/>
      <c r="AQ124" s="12"/>
      <c r="AR124" s="12">
        <v>1</v>
      </c>
      <c r="AS124" s="12"/>
      <c r="AT124" s="12">
        <v>1</v>
      </c>
      <c r="AX124" s="12"/>
      <c r="AY124" s="12"/>
      <c r="AZ124" s="12"/>
      <c r="BA124" s="12"/>
      <c r="BE124" s="12"/>
      <c r="BF124" s="12"/>
      <c r="BG124" s="12"/>
      <c r="BH124" s="12"/>
      <c r="BL124" s="12"/>
      <c r="BM124" s="12">
        <v>1</v>
      </c>
      <c r="BN124" s="12"/>
      <c r="BO124" s="12">
        <v>1</v>
      </c>
      <c r="BS124" s="12"/>
      <c r="BT124" s="12"/>
      <c r="BU124" s="12"/>
      <c r="BV124" s="12"/>
      <c r="BZ124" s="12"/>
      <c r="CA124" s="12"/>
      <c r="CB124" s="12"/>
      <c r="CC124" s="12"/>
      <c r="CG124" s="12"/>
      <c r="CH124" s="12"/>
      <c r="CI124" s="12"/>
      <c r="CJ124" s="12"/>
      <c r="CN124" s="12"/>
      <c r="CO124" s="12"/>
      <c r="CP124" s="12"/>
      <c r="CQ124" s="12"/>
      <c r="CU124" s="12"/>
      <c r="CV124" s="12"/>
      <c r="CW124" s="12"/>
      <c r="CX124" s="12"/>
      <c r="DB124" s="12"/>
      <c r="DC124" s="12"/>
      <c r="DD124" s="12"/>
      <c r="DE124" s="12"/>
      <c r="DI124" s="12"/>
      <c r="DJ124" s="12"/>
      <c r="DK124" s="12"/>
      <c r="DL124" s="12"/>
      <c r="DP124" s="12"/>
      <c r="DQ124" s="12"/>
      <c r="DR124" s="12"/>
      <c r="DS124" s="12"/>
      <c r="DX124" s="12"/>
      <c r="DY124" s="12"/>
      <c r="DZ124" s="12"/>
      <c r="EA124" s="12"/>
    </row>
    <row r="125" spans="2:131" ht="15.75" hidden="1" customHeight="1" outlineLevel="1">
      <c r="B125" t="s">
        <v>29</v>
      </c>
      <c r="C125" t="s">
        <v>2</v>
      </c>
      <c r="E125" s="11"/>
      <c r="F125" t="s">
        <v>59</v>
      </c>
      <c r="G125" s="12">
        <v>0.05</v>
      </c>
      <c r="I125" s="11">
        <f t="shared" si="21"/>
        <v>0</v>
      </c>
      <c r="J125" s="13">
        <f t="shared" si="20"/>
        <v>0</v>
      </c>
      <c r="K125" s="13">
        <f t="shared" si="20"/>
        <v>0</v>
      </c>
      <c r="L125" s="11"/>
      <c r="O125" s="12"/>
      <c r="P125" s="12"/>
      <c r="Q125" s="12"/>
      <c r="R125" s="12"/>
      <c r="V125" s="12"/>
      <c r="W125" s="12"/>
      <c r="X125" s="12"/>
      <c r="Y125" s="12"/>
      <c r="AC125" s="12"/>
      <c r="AD125" s="12"/>
      <c r="AE125" s="12"/>
      <c r="AF125" s="12"/>
      <c r="AJ125" s="12"/>
      <c r="AK125" s="12"/>
      <c r="AL125" s="12"/>
      <c r="AM125" s="12"/>
      <c r="AQ125" s="12"/>
      <c r="AR125" s="12">
        <v>1</v>
      </c>
      <c r="AS125" s="12"/>
      <c r="AT125" s="12">
        <v>1</v>
      </c>
      <c r="AX125" s="12"/>
      <c r="AY125" s="12"/>
      <c r="AZ125" s="12"/>
      <c r="BA125" s="12"/>
      <c r="BE125" s="12"/>
      <c r="BF125" s="12"/>
      <c r="BG125" s="12"/>
      <c r="BH125" s="12"/>
      <c r="BL125" s="12"/>
      <c r="BM125" s="12">
        <v>1</v>
      </c>
      <c r="BN125" s="12"/>
      <c r="BO125" s="12">
        <v>1</v>
      </c>
      <c r="BS125" s="12"/>
      <c r="BT125" s="12"/>
      <c r="BU125" s="12"/>
      <c r="BV125" s="12"/>
      <c r="BZ125" s="12"/>
      <c r="CA125" s="12"/>
      <c r="CB125" s="12"/>
      <c r="CC125" s="12"/>
      <c r="CG125" s="12"/>
      <c r="CH125" s="12"/>
      <c r="CI125" s="12"/>
      <c r="CJ125" s="12"/>
      <c r="CN125" s="12"/>
      <c r="CO125" s="12"/>
      <c r="CP125" s="12"/>
      <c r="CQ125" s="12"/>
      <c r="CU125" s="12"/>
      <c r="CV125" s="12"/>
      <c r="CW125" s="12"/>
      <c r="CX125" s="12"/>
      <c r="DB125" s="12"/>
      <c r="DC125" s="12"/>
      <c r="DD125" s="12"/>
      <c r="DE125" s="12"/>
      <c r="DI125" s="12"/>
      <c r="DJ125" s="12"/>
      <c r="DK125" s="12"/>
      <c r="DL125" s="12"/>
      <c r="DP125" s="12"/>
      <c r="DQ125" s="12"/>
      <c r="DR125" s="12"/>
      <c r="DS125" s="12"/>
      <c r="DX125" s="12"/>
      <c r="DY125" s="12"/>
      <c r="DZ125" s="12"/>
      <c r="EA125" s="12"/>
    </row>
    <row r="126" spans="2:131" ht="15.75" hidden="1" customHeight="1" outlineLevel="1">
      <c r="B126" t="s">
        <v>29</v>
      </c>
      <c r="C126" t="s">
        <v>2</v>
      </c>
      <c r="E126" s="11"/>
      <c r="F126" t="s">
        <v>60</v>
      </c>
      <c r="G126" s="12">
        <v>0.05</v>
      </c>
      <c r="I126" s="11">
        <f t="shared" si="21"/>
        <v>0</v>
      </c>
      <c r="J126" s="13">
        <f t="shared" si="20"/>
        <v>0</v>
      </c>
      <c r="K126" s="13">
        <f t="shared" si="20"/>
        <v>0</v>
      </c>
      <c r="L126" s="11"/>
      <c r="O126" s="12"/>
      <c r="P126" s="12"/>
      <c r="Q126" s="12"/>
      <c r="R126" s="12"/>
      <c r="V126" s="12"/>
      <c r="W126" s="12"/>
      <c r="X126" s="12"/>
      <c r="Y126" s="12"/>
      <c r="AC126" s="12"/>
      <c r="AD126" s="12"/>
      <c r="AE126" s="12"/>
      <c r="AF126" s="12"/>
      <c r="AJ126" s="12"/>
      <c r="AK126" s="12"/>
      <c r="AL126" s="12"/>
      <c r="AM126" s="12"/>
      <c r="AQ126" s="12"/>
      <c r="AR126" s="12">
        <v>1</v>
      </c>
      <c r="AS126" s="12"/>
      <c r="AT126" s="12">
        <v>1</v>
      </c>
      <c r="AX126" s="12"/>
      <c r="AY126" s="12"/>
      <c r="AZ126" s="12"/>
      <c r="BA126" s="12"/>
      <c r="BE126" s="12"/>
      <c r="BF126" s="12"/>
      <c r="BG126" s="12"/>
      <c r="BH126" s="12"/>
      <c r="BL126" s="12"/>
      <c r="BM126" s="12">
        <v>1</v>
      </c>
      <c r="BN126" s="12"/>
      <c r="BO126" s="12">
        <v>1</v>
      </c>
      <c r="BS126" s="12"/>
      <c r="BT126" s="12"/>
      <c r="BU126" s="12"/>
      <c r="BV126" s="12"/>
      <c r="BZ126" s="12"/>
      <c r="CA126" s="12"/>
      <c r="CB126" s="12"/>
      <c r="CC126" s="12"/>
      <c r="CG126" s="12"/>
      <c r="CH126" s="12"/>
      <c r="CI126" s="12"/>
      <c r="CJ126" s="12"/>
      <c r="CN126" s="12"/>
      <c r="CO126" s="12"/>
      <c r="CP126" s="12"/>
      <c r="CQ126" s="12"/>
      <c r="CU126" s="12"/>
      <c r="CV126" s="12"/>
      <c r="CW126" s="12"/>
      <c r="CX126" s="12"/>
      <c r="DB126" s="12"/>
      <c r="DC126" s="12"/>
      <c r="DD126" s="12"/>
      <c r="DE126" s="12"/>
      <c r="DI126" s="12"/>
      <c r="DJ126" s="12"/>
      <c r="DK126" s="12"/>
      <c r="DL126" s="12"/>
      <c r="DP126" s="12"/>
      <c r="DQ126" s="12"/>
      <c r="DR126" s="12"/>
      <c r="DS126" s="12"/>
      <c r="DX126" s="12"/>
      <c r="DY126" s="12"/>
      <c r="DZ126" s="12"/>
      <c r="EA126" s="12"/>
    </row>
    <row r="127" spans="2:131" ht="15.75" hidden="1" customHeight="1" outlineLevel="1">
      <c r="B127" t="s">
        <v>29</v>
      </c>
      <c r="C127" t="s">
        <v>2</v>
      </c>
      <c r="E127" s="11"/>
      <c r="F127" t="s">
        <v>61</v>
      </c>
      <c r="G127" s="12">
        <v>0.1</v>
      </c>
      <c r="I127" s="11">
        <f t="shared" si="21"/>
        <v>0</v>
      </c>
      <c r="J127" s="13">
        <f t="shared" si="20"/>
        <v>0</v>
      </c>
      <c r="K127" s="13">
        <f t="shared" si="20"/>
        <v>0</v>
      </c>
      <c r="L127" s="11"/>
      <c r="O127" s="12"/>
      <c r="P127" s="12"/>
      <c r="Q127" s="12"/>
      <c r="R127" s="12"/>
      <c r="V127" s="12"/>
      <c r="W127" s="12"/>
      <c r="X127" s="12"/>
      <c r="Y127" s="12"/>
      <c r="AC127" s="12"/>
      <c r="AD127" s="12"/>
      <c r="AE127" s="12"/>
      <c r="AF127" s="12"/>
      <c r="AJ127" s="12"/>
      <c r="AK127" s="12"/>
      <c r="AL127" s="12"/>
      <c r="AM127" s="12"/>
      <c r="AQ127" s="12"/>
      <c r="AR127" s="12">
        <v>1</v>
      </c>
      <c r="AS127" s="12"/>
      <c r="AT127" s="12">
        <v>1</v>
      </c>
      <c r="AX127" s="12"/>
      <c r="AY127" s="12"/>
      <c r="AZ127" s="12"/>
      <c r="BA127" s="12"/>
      <c r="BE127" s="12"/>
      <c r="BF127" s="12"/>
      <c r="BG127" s="12"/>
      <c r="BH127" s="12"/>
      <c r="BL127" s="12"/>
      <c r="BM127" s="12">
        <v>1</v>
      </c>
      <c r="BN127" s="12"/>
      <c r="BO127" s="12">
        <v>1</v>
      </c>
      <c r="BS127" s="12"/>
      <c r="BT127" s="12"/>
      <c r="BU127" s="12"/>
      <c r="BV127" s="12"/>
      <c r="BZ127" s="12"/>
      <c r="CA127" s="12"/>
      <c r="CB127" s="12"/>
      <c r="CC127" s="12"/>
      <c r="CG127" s="12"/>
      <c r="CH127" s="12"/>
      <c r="CI127" s="12"/>
      <c r="CJ127" s="12"/>
      <c r="CN127" s="12"/>
      <c r="CO127" s="12"/>
      <c r="CP127" s="12"/>
      <c r="CQ127" s="12"/>
      <c r="CU127" s="12"/>
      <c r="CV127" s="12"/>
      <c r="CW127" s="12"/>
      <c r="CX127" s="12"/>
      <c r="DB127" s="12"/>
      <c r="DC127" s="12"/>
      <c r="DD127" s="12"/>
      <c r="DE127" s="12"/>
      <c r="DI127" s="12"/>
      <c r="DJ127" s="12"/>
      <c r="DK127" s="12"/>
      <c r="DL127" s="12"/>
      <c r="DP127" s="12"/>
      <c r="DQ127" s="12"/>
      <c r="DR127" s="12"/>
      <c r="DS127" s="12"/>
      <c r="DX127" s="12"/>
      <c r="DY127" s="12"/>
      <c r="DZ127" s="12"/>
      <c r="EA127" s="12"/>
    </row>
    <row r="128" spans="2:131" ht="15.75" hidden="1" customHeight="1" outlineLevel="1">
      <c r="B128" t="s">
        <v>29</v>
      </c>
      <c r="C128" t="s">
        <v>2</v>
      </c>
      <c r="E128" s="11"/>
      <c r="F128" t="s">
        <v>62</v>
      </c>
      <c r="G128" s="12">
        <v>0.1</v>
      </c>
      <c r="I128" s="11">
        <f t="shared" si="21"/>
        <v>0</v>
      </c>
      <c r="J128" s="13">
        <f t="shared" si="20"/>
        <v>0</v>
      </c>
      <c r="K128" s="13">
        <f t="shared" si="20"/>
        <v>0</v>
      </c>
      <c r="L128" s="11"/>
      <c r="O128" s="12"/>
      <c r="P128" s="12"/>
      <c r="Q128" s="12"/>
      <c r="R128" s="12"/>
      <c r="V128" s="12"/>
      <c r="W128" s="12"/>
      <c r="X128" s="12"/>
      <c r="Y128" s="12"/>
      <c r="AC128" s="12"/>
      <c r="AD128" s="12"/>
      <c r="AE128" s="12"/>
      <c r="AF128" s="12"/>
      <c r="AJ128" s="12"/>
      <c r="AK128" s="12"/>
      <c r="AL128" s="12"/>
      <c r="AM128" s="12"/>
      <c r="AQ128" s="12"/>
      <c r="AR128" s="12">
        <v>1</v>
      </c>
      <c r="AS128" s="12"/>
      <c r="AT128" s="12">
        <v>1</v>
      </c>
      <c r="AX128" s="12"/>
      <c r="AY128" s="12"/>
      <c r="AZ128" s="12"/>
      <c r="BA128" s="12"/>
      <c r="BE128" s="12"/>
      <c r="BF128" s="12"/>
      <c r="BG128" s="12"/>
      <c r="BH128" s="12"/>
      <c r="BL128" s="12"/>
      <c r="BM128" s="12">
        <v>1</v>
      </c>
      <c r="BN128" s="12"/>
      <c r="BO128" s="12">
        <v>1</v>
      </c>
      <c r="BS128" s="12"/>
      <c r="BT128" s="12"/>
      <c r="BU128" s="12"/>
      <c r="BV128" s="12"/>
      <c r="BZ128" s="12"/>
      <c r="CA128" s="12"/>
      <c r="CB128" s="12"/>
      <c r="CC128" s="12"/>
      <c r="CG128" s="12"/>
      <c r="CH128" s="12"/>
      <c r="CI128" s="12"/>
      <c r="CJ128" s="12"/>
      <c r="CN128" s="12"/>
      <c r="CO128" s="12"/>
      <c r="CP128" s="12"/>
      <c r="CQ128" s="12"/>
      <c r="CU128" s="12"/>
      <c r="CV128" s="12"/>
      <c r="CW128" s="12"/>
      <c r="CX128" s="12"/>
      <c r="DB128" s="12"/>
      <c r="DC128" s="12"/>
      <c r="DD128" s="12"/>
      <c r="DE128" s="12"/>
      <c r="DI128" s="12"/>
      <c r="DJ128" s="12"/>
      <c r="DK128" s="12"/>
      <c r="DL128" s="12"/>
      <c r="DP128" s="12"/>
      <c r="DQ128" s="12"/>
      <c r="DR128" s="12"/>
      <c r="DS128" s="12"/>
      <c r="DX128" s="12"/>
      <c r="DY128" s="12"/>
      <c r="DZ128" s="12"/>
      <c r="EA128" s="12"/>
    </row>
    <row r="129" spans="2:131" ht="15.75" hidden="1" customHeight="1" outlineLevel="1">
      <c r="B129" t="s">
        <v>29</v>
      </c>
      <c r="C129" t="s">
        <v>2</v>
      </c>
      <c r="E129" s="11"/>
      <c r="F129" t="s">
        <v>63</v>
      </c>
      <c r="G129" s="12">
        <v>0.1</v>
      </c>
      <c r="I129" s="11">
        <f t="shared" si="21"/>
        <v>0</v>
      </c>
      <c r="J129" s="13">
        <f t="shared" si="20"/>
        <v>0</v>
      </c>
      <c r="K129" s="13">
        <f t="shared" si="20"/>
        <v>0</v>
      </c>
      <c r="L129" s="11"/>
      <c r="O129" s="12"/>
      <c r="P129" s="12"/>
      <c r="Q129" s="12"/>
      <c r="R129" s="12"/>
      <c r="V129" s="12"/>
      <c r="W129" s="12"/>
      <c r="X129" s="12"/>
      <c r="Y129" s="12"/>
      <c r="AC129" s="12"/>
      <c r="AD129" s="12"/>
      <c r="AE129" s="12"/>
      <c r="AF129" s="12"/>
      <c r="AJ129" s="12"/>
      <c r="AK129" s="12"/>
      <c r="AL129" s="12"/>
      <c r="AM129" s="12"/>
      <c r="AQ129" s="12"/>
      <c r="AR129" s="12">
        <v>1</v>
      </c>
      <c r="AS129" s="12"/>
      <c r="AT129" s="12">
        <v>1</v>
      </c>
      <c r="AX129" s="12"/>
      <c r="AY129" s="12"/>
      <c r="AZ129" s="12"/>
      <c r="BA129" s="12"/>
      <c r="BE129" s="12"/>
      <c r="BF129" s="12"/>
      <c r="BG129" s="12"/>
      <c r="BH129" s="12"/>
      <c r="BL129" s="12"/>
      <c r="BM129" s="12">
        <v>1</v>
      </c>
      <c r="BN129" s="12"/>
      <c r="BO129" s="12">
        <v>1</v>
      </c>
      <c r="BS129" s="12"/>
      <c r="BT129" s="12"/>
      <c r="BU129" s="12"/>
      <c r="BV129" s="12"/>
      <c r="BZ129" s="12"/>
      <c r="CA129" s="12"/>
      <c r="CB129" s="12"/>
      <c r="CC129" s="12"/>
      <c r="CG129" s="12"/>
      <c r="CH129" s="12"/>
      <c r="CI129" s="12"/>
      <c r="CJ129" s="12"/>
      <c r="CN129" s="12"/>
      <c r="CO129" s="12"/>
      <c r="CP129" s="12"/>
      <c r="CQ129" s="12"/>
      <c r="CU129" s="12"/>
      <c r="CV129" s="12"/>
      <c r="CW129" s="12"/>
      <c r="CX129" s="12"/>
      <c r="DB129" s="12"/>
      <c r="DC129" s="12"/>
      <c r="DD129" s="12"/>
      <c r="DE129" s="12"/>
      <c r="DI129" s="12"/>
      <c r="DJ129" s="12"/>
      <c r="DK129" s="12"/>
      <c r="DL129" s="12"/>
      <c r="DP129" s="12"/>
      <c r="DQ129" s="12"/>
      <c r="DR129" s="12"/>
      <c r="DS129" s="12"/>
      <c r="DX129" s="12"/>
      <c r="DY129" s="12"/>
      <c r="DZ129" s="12"/>
      <c r="EA129" s="12"/>
    </row>
    <row r="130" spans="2:131" ht="15.75" hidden="1" customHeight="1" outlineLevel="1">
      <c r="B130" t="s">
        <v>29</v>
      </c>
      <c r="C130" t="s">
        <v>2</v>
      </c>
      <c r="E130" s="11"/>
      <c r="F130" t="s">
        <v>32</v>
      </c>
      <c r="G130" s="12">
        <v>0.1</v>
      </c>
      <c r="I130" s="11">
        <f t="shared" si="21"/>
        <v>0</v>
      </c>
      <c r="J130" s="13">
        <f t="shared" si="20"/>
        <v>0</v>
      </c>
      <c r="K130" s="13">
        <f t="shared" si="20"/>
        <v>0</v>
      </c>
      <c r="L130" s="11"/>
      <c r="O130" s="12"/>
      <c r="P130" s="12"/>
      <c r="Q130" s="12"/>
      <c r="R130" s="12"/>
      <c r="V130" s="12"/>
      <c r="W130" s="12"/>
      <c r="X130" s="12"/>
      <c r="Y130" s="12"/>
      <c r="AC130" s="12"/>
      <c r="AD130" s="12"/>
      <c r="AE130" s="12"/>
      <c r="AF130" s="12"/>
      <c r="AJ130" s="12"/>
      <c r="AK130" s="12"/>
      <c r="AL130" s="12"/>
      <c r="AM130" s="12"/>
      <c r="AQ130" s="12"/>
      <c r="AR130" s="12">
        <v>1</v>
      </c>
      <c r="AS130" s="12"/>
      <c r="AT130" s="12">
        <v>1</v>
      </c>
      <c r="AX130" s="12"/>
      <c r="AY130" s="12"/>
      <c r="AZ130" s="12"/>
      <c r="BA130" s="12"/>
      <c r="BE130" s="12"/>
      <c r="BF130" s="12"/>
      <c r="BG130" s="12"/>
      <c r="BH130" s="12"/>
      <c r="BL130" s="12"/>
      <c r="BM130" s="12">
        <v>1</v>
      </c>
      <c r="BN130" s="12"/>
      <c r="BO130" s="12">
        <v>1</v>
      </c>
      <c r="BS130" s="12"/>
      <c r="BT130" s="12"/>
      <c r="BU130" s="12"/>
      <c r="BV130" s="12"/>
      <c r="BZ130" s="12"/>
      <c r="CA130" s="12"/>
      <c r="CB130" s="12"/>
      <c r="CC130" s="12"/>
      <c r="CG130" s="12"/>
      <c r="CH130" s="12"/>
      <c r="CI130" s="12"/>
      <c r="CJ130" s="12"/>
      <c r="CN130" s="12"/>
      <c r="CO130" s="12"/>
      <c r="CP130" s="12"/>
      <c r="CQ130" s="12"/>
      <c r="CU130" s="12"/>
      <c r="CV130" s="12"/>
      <c r="CW130" s="12"/>
      <c r="CX130" s="12"/>
      <c r="DB130" s="12"/>
      <c r="DC130" s="12"/>
      <c r="DD130" s="12"/>
      <c r="DE130" s="12"/>
      <c r="DI130" s="12"/>
      <c r="DJ130" s="12"/>
      <c r="DK130" s="12"/>
      <c r="DL130" s="12"/>
      <c r="DP130" s="12"/>
      <c r="DQ130" s="12"/>
      <c r="DR130" s="12"/>
      <c r="DS130" s="12"/>
      <c r="DX130" s="12"/>
      <c r="DY130" s="12"/>
      <c r="DZ130" s="12"/>
      <c r="EA130" s="12"/>
    </row>
    <row r="131" spans="2:131" ht="15.75" hidden="1" customHeight="1" outlineLevel="1">
      <c r="B131" t="s">
        <v>29</v>
      </c>
      <c r="C131" t="s">
        <v>2</v>
      </c>
      <c r="E131" s="11"/>
      <c r="F131" t="s">
        <v>33</v>
      </c>
      <c r="G131" s="12">
        <v>0.1</v>
      </c>
      <c r="I131" s="11">
        <f t="shared" si="21"/>
        <v>0</v>
      </c>
      <c r="J131" s="13">
        <f t="shared" si="20"/>
        <v>0</v>
      </c>
      <c r="K131" s="13">
        <f t="shared" si="20"/>
        <v>0</v>
      </c>
      <c r="L131" s="11"/>
      <c r="O131" s="12"/>
      <c r="P131" s="12"/>
      <c r="Q131" s="12"/>
      <c r="R131" s="12"/>
      <c r="V131" s="12"/>
      <c r="W131" s="12"/>
      <c r="X131" s="12"/>
      <c r="Y131" s="12"/>
      <c r="AC131" s="12"/>
      <c r="AD131" s="12"/>
      <c r="AE131" s="12"/>
      <c r="AF131" s="12"/>
      <c r="AJ131" s="12"/>
      <c r="AK131" s="12"/>
      <c r="AL131" s="12"/>
      <c r="AM131" s="12"/>
      <c r="AQ131" s="12"/>
      <c r="AR131" s="12">
        <v>1</v>
      </c>
      <c r="AS131" s="12"/>
      <c r="AT131" s="12">
        <v>1</v>
      </c>
      <c r="AX131" s="12"/>
      <c r="AY131" s="12"/>
      <c r="AZ131" s="12"/>
      <c r="BA131" s="12"/>
      <c r="BE131" s="12"/>
      <c r="BF131" s="12"/>
      <c r="BG131" s="12"/>
      <c r="BH131" s="12"/>
      <c r="BL131" s="12"/>
      <c r="BM131" s="12">
        <v>1</v>
      </c>
      <c r="BN131" s="12"/>
      <c r="BO131" s="12">
        <v>1</v>
      </c>
      <c r="BS131" s="12"/>
      <c r="BT131" s="12"/>
      <c r="BU131" s="12"/>
      <c r="BV131" s="12"/>
      <c r="BZ131" s="12"/>
      <c r="CA131" s="12"/>
      <c r="CB131" s="12"/>
      <c r="CC131" s="12"/>
      <c r="CG131" s="12"/>
      <c r="CH131" s="12"/>
      <c r="CI131" s="12"/>
      <c r="CJ131" s="12"/>
      <c r="CN131" s="12"/>
      <c r="CO131" s="12"/>
      <c r="CP131" s="12"/>
      <c r="CQ131" s="12"/>
      <c r="CU131" s="12"/>
      <c r="CV131" s="12"/>
      <c r="CW131" s="12"/>
      <c r="CX131" s="12"/>
      <c r="DB131" s="12"/>
      <c r="DC131" s="12"/>
      <c r="DD131" s="12"/>
      <c r="DE131" s="12"/>
      <c r="DI131" s="12"/>
      <c r="DJ131" s="12"/>
      <c r="DK131" s="12"/>
      <c r="DL131" s="12"/>
      <c r="DP131" s="12"/>
      <c r="DQ131" s="12"/>
      <c r="DR131" s="12"/>
      <c r="DS131" s="12"/>
      <c r="DX131" s="12"/>
      <c r="DY131" s="12"/>
      <c r="DZ131" s="12"/>
      <c r="EA131" s="12"/>
    </row>
    <row r="132" spans="2:131" ht="15.75" hidden="1" customHeight="1" outlineLevel="1">
      <c r="B132" t="s">
        <v>29</v>
      </c>
      <c r="C132" t="s">
        <v>2</v>
      </c>
      <c r="E132" s="11"/>
      <c r="F132" t="s">
        <v>34</v>
      </c>
      <c r="G132" s="12">
        <v>0.1</v>
      </c>
      <c r="I132" s="11">
        <f t="shared" si="21"/>
        <v>0</v>
      </c>
      <c r="J132" s="13">
        <f t="shared" si="20"/>
        <v>0</v>
      </c>
      <c r="K132" s="13">
        <f t="shared" si="20"/>
        <v>0</v>
      </c>
      <c r="L132" s="11"/>
      <c r="O132" s="12"/>
      <c r="P132" s="12"/>
      <c r="Q132" s="12"/>
      <c r="R132" s="12"/>
      <c r="V132" s="12"/>
      <c r="W132" s="12"/>
      <c r="X132" s="12"/>
      <c r="Y132" s="12"/>
      <c r="AC132" s="12"/>
      <c r="AD132" s="12"/>
      <c r="AE132" s="12"/>
      <c r="AF132" s="12"/>
      <c r="AJ132" s="12"/>
      <c r="AK132" s="12"/>
      <c r="AL132" s="12"/>
      <c r="AM132" s="12"/>
      <c r="AQ132" s="12"/>
      <c r="AR132" s="12">
        <v>1</v>
      </c>
      <c r="AS132" s="12"/>
      <c r="AT132" s="12">
        <v>1</v>
      </c>
      <c r="AX132" s="12"/>
      <c r="AY132" s="12"/>
      <c r="AZ132" s="12"/>
      <c r="BA132" s="12"/>
      <c r="BE132" s="12"/>
      <c r="BF132" s="12"/>
      <c r="BG132" s="12"/>
      <c r="BH132" s="12"/>
      <c r="BL132" s="12"/>
      <c r="BM132" s="12">
        <v>1</v>
      </c>
      <c r="BN132" s="12"/>
      <c r="BO132" s="12">
        <v>1</v>
      </c>
      <c r="BS132" s="12"/>
      <c r="BT132" s="12"/>
      <c r="BU132" s="12"/>
      <c r="BV132" s="12"/>
      <c r="BZ132" s="12"/>
      <c r="CA132" s="12"/>
      <c r="CB132" s="12"/>
      <c r="CC132" s="12"/>
      <c r="CG132" s="12"/>
      <c r="CH132" s="12"/>
      <c r="CI132" s="12"/>
      <c r="CJ132" s="12"/>
      <c r="CN132" s="12"/>
      <c r="CO132" s="12"/>
      <c r="CP132" s="12"/>
      <c r="CQ132" s="12"/>
      <c r="CU132" s="12"/>
      <c r="CV132" s="12"/>
      <c r="CW132" s="12"/>
      <c r="CX132" s="12"/>
      <c r="DB132" s="12"/>
      <c r="DC132" s="12"/>
      <c r="DD132" s="12"/>
      <c r="DE132" s="12"/>
      <c r="DI132" s="12"/>
      <c r="DJ132" s="12"/>
      <c r="DK132" s="12"/>
      <c r="DL132" s="12"/>
      <c r="DP132" s="12"/>
      <c r="DQ132" s="12"/>
      <c r="DR132" s="12"/>
      <c r="DS132" s="12"/>
      <c r="DX132" s="12"/>
      <c r="DY132" s="12"/>
      <c r="DZ132" s="12"/>
      <c r="EA132" s="12"/>
    </row>
    <row r="133" spans="2:131" ht="15.75" hidden="1" customHeight="1" outlineLevel="1">
      <c r="B133" t="s">
        <v>29</v>
      </c>
      <c r="C133" t="s">
        <v>2</v>
      </c>
      <c r="E133" s="11"/>
      <c r="F133" t="s">
        <v>35</v>
      </c>
      <c r="G133" s="12">
        <v>0.1</v>
      </c>
      <c r="I133" s="11">
        <f>+SUMIF($N$3:$ZZ$3,I$3,$N133:$ZZ133)</f>
        <v>0</v>
      </c>
      <c r="J133" s="13">
        <f t="shared" si="20"/>
        <v>0</v>
      </c>
      <c r="K133" s="13">
        <f t="shared" si="20"/>
        <v>0</v>
      </c>
      <c r="L133" s="11"/>
      <c r="O133" s="12"/>
      <c r="P133" s="12"/>
      <c r="Q133" s="12"/>
      <c r="R133" s="12"/>
      <c r="V133" s="12"/>
      <c r="W133" s="12"/>
      <c r="X133" s="12"/>
      <c r="Y133" s="12"/>
      <c r="AC133" s="12"/>
      <c r="AD133" s="12"/>
      <c r="AE133" s="12"/>
      <c r="AF133" s="12"/>
      <c r="AJ133" s="12"/>
      <c r="AK133" s="12"/>
      <c r="AL133" s="12"/>
      <c r="AM133" s="12"/>
      <c r="AQ133" s="12"/>
      <c r="AR133" s="12">
        <v>1</v>
      </c>
      <c r="AS133" s="12"/>
      <c r="AT133" s="12">
        <v>1</v>
      </c>
      <c r="AX133" s="12"/>
      <c r="AY133" s="12"/>
      <c r="AZ133" s="12"/>
      <c r="BA133" s="12"/>
      <c r="BE133" s="12"/>
      <c r="BF133" s="12"/>
      <c r="BG133" s="12"/>
      <c r="BH133" s="12"/>
      <c r="BL133" s="12"/>
      <c r="BM133" s="12">
        <v>1</v>
      </c>
      <c r="BN133" s="12"/>
      <c r="BO133" s="12">
        <v>1</v>
      </c>
      <c r="BS133" s="12"/>
      <c r="BT133" s="12"/>
      <c r="BU133" s="12"/>
      <c r="BV133" s="12"/>
      <c r="BZ133" s="12"/>
      <c r="CA133" s="12"/>
      <c r="CB133" s="12"/>
      <c r="CC133" s="12"/>
      <c r="CG133" s="12"/>
      <c r="CH133" s="12"/>
      <c r="CI133" s="12"/>
      <c r="CJ133" s="12"/>
      <c r="CN133" s="12"/>
      <c r="CO133" s="12"/>
      <c r="CP133" s="12"/>
      <c r="CQ133" s="12"/>
      <c r="CU133" s="12"/>
      <c r="CV133" s="12"/>
      <c r="CW133" s="12"/>
      <c r="CX133" s="12"/>
      <c r="DB133" s="12"/>
      <c r="DC133" s="12"/>
      <c r="DD133" s="12"/>
      <c r="DE133" s="12"/>
      <c r="DI133" s="12"/>
      <c r="DJ133" s="12"/>
      <c r="DK133" s="12"/>
      <c r="DL133" s="12"/>
      <c r="DP133" s="12"/>
      <c r="DQ133" s="12"/>
      <c r="DR133" s="12"/>
      <c r="DS133" s="12"/>
      <c r="DX133" s="12"/>
      <c r="DY133" s="12"/>
      <c r="DZ133" s="12"/>
      <c r="EA133" s="12"/>
    </row>
    <row r="134" spans="2:131" collapsed="1"/>
  </sheetData>
  <mergeCells count="20">
    <mergeCell ref="DO2:DT2"/>
    <mergeCell ref="DW2:EB2"/>
    <mergeCell ref="DW1:EB1"/>
    <mergeCell ref="CM2:CR2"/>
    <mergeCell ref="CT2:CY2"/>
    <mergeCell ref="BD2:BI2"/>
    <mergeCell ref="DA2:DF2"/>
    <mergeCell ref="DH2:DM2"/>
    <mergeCell ref="BK2:BP2"/>
    <mergeCell ref="BR2:BW2"/>
    <mergeCell ref="BY2:CD2"/>
    <mergeCell ref="CF2:CK2"/>
    <mergeCell ref="I2:L2"/>
    <mergeCell ref="N2:S2"/>
    <mergeCell ref="BD1:BI1"/>
    <mergeCell ref="U2:Z2"/>
    <mergeCell ref="AB2:AG2"/>
    <mergeCell ref="AI2:AN2"/>
    <mergeCell ref="AP2:AU2"/>
    <mergeCell ref="AW2:BB2"/>
  </mergeCells>
  <phoneticPr fontId="5" type="noConversion"/>
  <conditionalFormatting sqref="J5:K16">
    <cfRule type="colorScale" priority="823">
      <colorScale>
        <cfvo type="percent" val="0"/>
        <cfvo type="percent" val="100"/>
        <color rgb="FFFF231B"/>
        <color rgb="FF10FF07"/>
      </colorScale>
    </cfRule>
  </conditionalFormatting>
  <conditionalFormatting sqref="O19:O23 Q19:Q23 O5:O16 AJ29:AJ32 AL29:AL32 AX29:AX32 AZ29:AZ32 Q29:Q32 O29:O32 BG29:BG32 X29:X32 V29:V32 AE29:AE32 AC29:AC32 AS29:AS32 AQ29:AQ32 BE29:BE32 O60:O70 Q60:Q70 AQ60:AQ70 AS60:AS70 BE60:BE70 BG60:BG70 V60:V70 X60:X70 AC60:AC70 AE60:AE70 AJ60:AJ70 AL60:AL70 AX60:AX70 AZ60:AZ70 O73:O81 Q73:Q81 AQ73:AQ81 AS73:AS81 BE73:BE81 BG73:BG81 V73:V81 X73:X81 AC73:AC81 AE73:AE81 AJ73:AJ81 AL73:AL81 AX73:AX81 AZ73:AZ81 O50:O57 Q50:Q57 AQ50:AQ57 AS50:AS57 BE50:BE57 BG50:BG57 V50:V57 X50:X57 AC50:AC57 AE50:AE57 AJ50:AJ57 AL50:AL57 AX50:AX57 AZ50:AZ57 BL50:BL57 BN50:BN57 BS50:BS57 BU50:BU57 BZ50:BZ57 CB50:CB57 CG50:CG57 CI50:CI57 CN50:CN57 CP50:CP57 CU50:CU57 CW50:CW57 DB50:DB57 DD50:DD57 DI50:DI57 DK50:DK57 DP50:DP57 DR50:DR57 DX50:DX57 DZ50:DZ57 O84:O91 Q84:Q91 AQ84:AQ91 AS84:AS91 BE84:BE91 BG84:BG91 V84:V91 X84:X91 AC84:AC91 AE84:AE91 AJ84:AJ91 AL84:AL91 AX84:AX91 AZ84:AZ91 BL84:BL91 BN84:BN91 BS84:BS91 BU84:BU91 BZ84:BZ91 CB84:CB91 CG84:CG91 CI84:CI91 CN84:CN91 CP84:CP91 CU84:CU91 CW84:CW91 DB84:DB91 DD84:DD91 DI84:DI91 DK84:DK91 DP84:DP91 DR84:DR91 DX84:DX91 DZ84:DZ91">
    <cfRule type="expression" dxfId="575" priority="821">
      <formula>OR(IF(O5&lt;P5,TRUE),IF(AND(P5="",O5&lt;&gt;""),TRUE))</formula>
    </cfRule>
    <cfRule type="expression" dxfId="574" priority="822">
      <formula>IF(O5&gt;=P5,IF(O5="",FALSE,TRUE))</formula>
    </cfRule>
  </conditionalFormatting>
  <conditionalFormatting sqref="Q5:Q16">
    <cfRule type="expression" dxfId="573" priority="819">
      <formula>OR(IF(Q5&lt;R5,TRUE),IF(AND(R5="",Q5&lt;&gt;""),TRUE))</formula>
    </cfRule>
    <cfRule type="expression" dxfId="572" priority="820">
      <formula>IF(Q5&gt;=R5,IF(Q5="",FALSE,TRUE))</formula>
    </cfRule>
  </conditionalFormatting>
  <conditionalFormatting sqref="AQ19:AQ23 AS19:AS23 AQ5:AQ16">
    <cfRule type="expression" dxfId="571" priority="688">
      <formula>OR(IF(AQ5&lt;AR5,TRUE),IF(AND(AR5="",AQ5&lt;&gt;""),TRUE))</formula>
    </cfRule>
    <cfRule type="expression" dxfId="570" priority="689">
      <formula>IF(AQ5&gt;=AR5,IF(AQ5="",FALSE,TRUE))</formula>
    </cfRule>
  </conditionalFormatting>
  <conditionalFormatting sqref="AS5:AS16">
    <cfRule type="expression" dxfId="569" priority="686">
      <formula>OR(IF(AS5&lt;AT5,TRUE),IF(AND(AT5="",AS5&lt;&gt;""),TRUE))</formula>
    </cfRule>
    <cfRule type="expression" dxfId="568" priority="687">
      <formula>IF(AS5&gt;=AT5,IF(AS5="",FALSE,TRUE))</formula>
    </cfRule>
  </conditionalFormatting>
  <conditionalFormatting sqref="J19:K24">
    <cfRule type="colorScale" priority="824">
      <colorScale>
        <cfvo type="percent" val="0"/>
        <cfvo type="percent" val="100"/>
        <color rgb="FFFF231B"/>
        <color rgb="FF10FF07"/>
      </colorScale>
    </cfRule>
  </conditionalFormatting>
  <conditionalFormatting sqref="O27:O28">
    <cfRule type="expression" dxfId="567" priority="762">
      <formula>OR(IF(O27&lt;P27,TRUE),IF(AND(P27="",O27&lt;&gt;""),TRUE))</formula>
    </cfRule>
    <cfRule type="expression" dxfId="566" priority="763">
      <formula>IF(O27&gt;=P27,IF(O27="",FALSE,TRUE))</formula>
    </cfRule>
  </conditionalFormatting>
  <conditionalFormatting sqref="Q27:Q28">
    <cfRule type="expression" dxfId="565" priority="760">
      <formula>OR(IF(Q27&lt;R27,TRUE),IF(AND(R27="",Q27&lt;&gt;""),TRUE))</formula>
    </cfRule>
    <cfRule type="expression" dxfId="564" priority="761">
      <formula>IF(Q27&gt;=R27,IF(Q27="",FALSE,TRUE))</formula>
    </cfRule>
  </conditionalFormatting>
  <conditionalFormatting sqref="AZ24">
    <cfRule type="expression" dxfId="563" priority="662">
      <formula>OR(IF(AZ24&lt;BA24,TRUE),IF(AND(BA24="",AZ24&lt;&gt;""),TRUE))</formula>
    </cfRule>
    <cfRule type="expression" dxfId="562" priority="663">
      <formula>IF(AZ24&gt;=BA24,IF(AZ24="",FALSE,TRUE))</formula>
    </cfRule>
  </conditionalFormatting>
  <conditionalFormatting sqref="BE19:BE23 BG19:BG23 BE5:BE16">
    <cfRule type="expression" dxfId="561" priority="656">
      <formula>OR(IF(BE5&lt;BF5,TRUE),IF(AND(BF5="",BE5&lt;&gt;""),TRUE))</formula>
    </cfRule>
    <cfRule type="expression" dxfId="560" priority="657">
      <formula>IF(BE5&gt;=BF5,IF(BE5="",FALSE,TRUE))</formula>
    </cfRule>
  </conditionalFormatting>
  <conditionalFormatting sqref="BG5:BG16">
    <cfRule type="expression" dxfId="559" priority="654">
      <formula>OR(IF(BG5&lt;BH5,TRUE),IF(AND(BH5="",BG5&lt;&gt;""),TRUE))</formula>
    </cfRule>
    <cfRule type="expression" dxfId="558" priority="655">
      <formula>IF(BG5&gt;=BH5,IF(BG5="",FALSE,TRUE))</formula>
    </cfRule>
  </conditionalFormatting>
  <conditionalFormatting sqref="BE27:BE28">
    <cfRule type="expression" dxfId="557" priority="652">
      <formula>OR(IF(BE27&lt;BF27,TRUE),IF(AND(BF27="",BE27&lt;&gt;""),TRUE))</formula>
    </cfRule>
    <cfRule type="expression" dxfId="556" priority="653">
      <formula>IF(BE27&gt;=BF27,IF(BE27="",FALSE,TRUE))</formula>
    </cfRule>
  </conditionalFormatting>
  <conditionalFormatting sqref="O24">
    <cfRule type="expression" dxfId="555" priority="744">
      <formula>OR(IF(O24&lt;P24,TRUE),IF(AND(P24="",O24&lt;&gt;""),TRUE))</formula>
    </cfRule>
    <cfRule type="expression" dxfId="554" priority="745">
      <formula>IF(O24&gt;=P24,IF(O24="",FALSE,TRUE))</formula>
    </cfRule>
  </conditionalFormatting>
  <conditionalFormatting sqref="Q24">
    <cfRule type="expression" dxfId="553" priority="742">
      <formula>OR(IF(Q24&lt;R24,TRUE),IF(AND(R24="",Q24&lt;&gt;""),TRUE))</formula>
    </cfRule>
    <cfRule type="expression" dxfId="552" priority="743">
      <formula>IF(Q24&gt;=R24,IF(Q24="",FALSE,TRUE))</formula>
    </cfRule>
  </conditionalFormatting>
  <conditionalFormatting sqref="V19:V23 X19:X23 V5:V16">
    <cfRule type="expression" dxfId="551" priority="736">
      <formula>OR(IF(V5&lt;W5,TRUE),IF(AND(W5="",V5&lt;&gt;""),TRUE))</formula>
    </cfRule>
    <cfRule type="expression" dxfId="550" priority="737">
      <formula>IF(V5&gt;=W5,IF(V5="",FALSE,TRUE))</formula>
    </cfRule>
  </conditionalFormatting>
  <conditionalFormatting sqref="X5:X16">
    <cfRule type="expression" dxfId="549" priority="734">
      <formula>OR(IF(X5&lt;Y5,TRUE),IF(AND(Y5="",X5&lt;&gt;""),TRUE))</formula>
    </cfRule>
    <cfRule type="expression" dxfId="548" priority="735">
      <formula>IF(X5&gt;=Y5,IF(X5="",FALSE,TRUE))</formula>
    </cfRule>
  </conditionalFormatting>
  <conditionalFormatting sqref="V27:V28">
    <cfRule type="expression" dxfId="547" priority="732">
      <formula>OR(IF(V27&lt;W27,TRUE),IF(AND(W27="",V27&lt;&gt;""),TRUE))</formula>
    </cfRule>
    <cfRule type="expression" dxfId="546" priority="733">
      <formula>IF(V27&gt;=W27,IF(V27="",FALSE,TRUE))</formula>
    </cfRule>
  </conditionalFormatting>
  <conditionalFormatting sqref="X27:X28">
    <cfRule type="expression" dxfId="545" priority="730">
      <formula>OR(IF(X27&lt;Y27,TRUE),IF(AND(Y27="",X27&lt;&gt;""),TRUE))</formula>
    </cfRule>
    <cfRule type="expression" dxfId="544" priority="731">
      <formula>IF(X27&gt;=Y27,IF(X27="",FALSE,TRUE))</formula>
    </cfRule>
  </conditionalFormatting>
  <conditionalFormatting sqref="V24">
    <cfRule type="expression" dxfId="543" priority="728">
      <formula>OR(IF(V24&lt;W24,TRUE),IF(AND(W24="",V24&lt;&gt;""),TRUE))</formula>
    </cfRule>
    <cfRule type="expression" dxfId="542" priority="729">
      <formula>IF(V24&gt;=W24,IF(V24="",FALSE,TRUE))</formula>
    </cfRule>
  </conditionalFormatting>
  <conditionalFormatting sqref="X24">
    <cfRule type="expression" dxfId="541" priority="726">
      <formula>OR(IF(X24&lt;Y24,TRUE),IF(AND(Y24="",X24&lt;&gt;""),TRUE))</formula>
    </cfRule>
    <cfRule type="expression" dxfId="540" priority="727">
      <formula>IF(X24&gt;=Y24,IF(X24="",FALSE,TRUE))</formula>
    </cfRule>
  </conditionalFormatting>
  <conditionalFormatting sqref="AC19:AC23 AE19:AE23 AC5:AC16">
    <cfRule type="expression" dxfId="539" priority="720">
      <formula>OR(IF(AC5&lt;AD5,TRUE),IF(AND(AD5="",AC5&lt;&gt;""),TRUE))</formula>
    </cfRule>
    <cfRule type="expression" dxfId="538" priority="721">
      <formula>IF(AC5&gt;=AD5,IF(AC5="",FALSE,TRUE))</formula>
    </cfRule>
  </conditionalFormatting>
  <conditionalFormatting sqref="AE5:AE16">
    <cfRule type="expression" dxfId="537" priority="718">
      <formula>OR(IF(AE5&lt;AF5,TRUE),IF(AND(AF5="",AE5&lt;&gt;""),TRUE))</formula>
    </cfRule>
    <cfRule type="expression" dxfId="536" priority="719">
      <formula>IF(AE5&gt;=AF5,IF(AE5="",FALSE,TRUE))</formula>
    </cfRule>
  </conditionalFormatting>
  <conditionalFormatting sqref="AC27:AC28">
    <cfRule type="expression" dxfId="535" priority="716">
      <formula>OR(IF(AC27&lt;AD27,TRUE),IF(AND(AD27="",AC27&lt;&gt;""),TRUE))</formula>
    </cfRule>
    <cfRule type="expression" dxfId="534" priority="717">
      <formula>IF(AC27&gt;=AD27,IF(AC27="",FALSE,TRUE))</formula>
    </cfRule>
  </conditionalFormatting>
  <conditionalFormatting sqref="AE27:AE28">
    <cfRule type="expression" dxfId="533" priority="714">
      <formula>OR(IF(AE27&lt;AF27,TRUE),IF(AND(AF27="",AE27&lt;&gt;""),TRUE))</formula>
    </cfRule>
    <cfRule type="expression" dxfId="532" priority="715">
      <formula>IF(AE27&gt;=AF27,IF(AE27="",FALSE,TRUE))</formula>
    </cfRule>
  </conditionalFormatting>
  <conditionalFormatting sqref="AC24">
    <cfRule type="expression" dxfId="531" priority="712">
      <formula>OR(IF(AC24&lt;AD24,TRUE),IF(AND(AD24="",AC24&lt;&gt;""),TRUE))</formula>
    </cfRule>
    <cfRule type="expression" dxfId="530" priority="713">
      <formula>IF(AC24&gt;=AD24,IF(AC24="",FALSE,TRUE))</formula>
    </cfRule>
  </conditionalFormatting>
  <conditionalFormatting sqref="AE24">
    <cfRule type="expression" dxfId="529" priority="710">
      <formula>OR(IF(AE24&lt;AF24,TRUE),IF(AND(AF24="",AE24&lt;&gt;""),TRUE))</formula>
    </cfRule>
    <cfRule type="expression" dxfId="528" priority="711">
      <formula>IF(AE24&gt;=AF24,IF(AE24="",FALSE,TRUE))</formula>
    </cfRule>
  </conditionalFormatting>
  <conditionalFormatting sqref="AJ19:AJ23 AL19:AL23 AJ5:AJ16">
    <cfRule type="expression" dxfId="527" priority="704">
      <formula>OR(IF(AJ5&lt;AK5,TRUE),IF(AND(AK5="",AJ5&lt;&gt;""),TRUE))</formula>
    </cfRule>
    <cfRule type="expression" dxfId="526" priority="705">
      <formula>IF(AJ5&gt;=AK5,IF(AJ5="",FALSE,TRUE))</formula>
    </cfRule>
  </conditionalFormatting>
  <conditionalFormatting sqref="AL5:AL16">
    <cfRule type="expression" dxfId="525" priority="702">
      <formula>OR(IF(AL5&lt;AM5,TRUE),IF(AND(AM5="",AL5&lt;&gt;""),TRUE))</formula>
    </cfRule>
    <cfRule type="expression" dxfId="524" priority="703">
      <formula>IF(AL5&gt;=AM5,IF(AL5="",FALSE,TRUE))</formula>
    </cfRule>
  </conditionalFormatting>
  <conditionalFormatting sqref="AJ27:AJ28">
    <cfRule type="expression" dxfId="523" priority="700">
      <formula>OR(IF(AJ27&lt;AK27,TRUE),IF(AND(AK27="",AJ27&lt;&gt;""),TRUE))</formula>
    </cfRule>
    <cfRule type="expression" dxfId="522" priority="701">
      <formula>IF(AJ27&gt;=AK27,IF(AJ27="",FALSE,TRUE))</formula>
    </cfRule>
  </conditionalFormatting>
  <conditionalFormatting sqref="AL27:AL28">
    <cfRule type="expression" dxfId="521" priority="698">
      <formula>OR(IF(AL27&lt;AM27,TRUE),IF(AND(AM27="",AL27&lt;&gt;""),TRUE))</formula>
    </cfRule>
    <cfRule type="expression" dxfId="520" priority="699">
      <formula>IF(AL27&gt;=AM27,IF(AL27="",FALSE,TRUE))</formula>
    </cfRule>
  </conditionalFormatting>
  <conditionalFormatting sqref="AJ24">
    <cfRule type="expression" dxfId="519" priority="696">
      <formula>OR(IF(AJ24&lt;AK24,TRUE),IF(AND(AK24="",AJ24&lt;&gt;""),TRUE))</formula>
    </cfRule>
    <cfRule type="expression" dxfId="518" priority="697">
      <formula>IF(AJ24&gt;=AK24,IF(AJ24="",FALSE,TRUE))</formula>
    </cfRule>
  </conditionalFormatting>
  <conditionalFormatting sqref="AL24">
    <cfRule type="expression" dxfId="517" priority="694">
      <formula>OR(IF(AL24&lt;AM24,TRUE),IF(AND(AM24="",AL24&lt;&gt;""),TRUE))</formula>
    </cfRule>
    <cfRule type="expression" dxfId="516" priority="695">
      <formula>IF(AL24&gt;=AM24,IF(AL24="",FALSE,TRUE))</formula>
    </cfRule>
  </conditionalFormatting>
  <conditionalFormatting sqref="AQ27:AQ28">
    <cfRule type="expression" dxfId="515" priority="684">
      <formula>OR(IF(AQ27&lt;AR27,TRUE),IF(AND(AR27="",AQ27&lt;&gt;""),TRUE))</formula>
    </cfRule>
    <cfRule type="expression" dxfId="514" priority="685">
      <formula>IF(AQ27&gt;=AR27,IF(AQ27="",FALSE,TRUE))</formula>
    </cfRule>
  </conditionalFormatting>
  <conditionalFormatting sqref="AS27:AS28">
    <cfRule type="expression" dxfId="513" priority="682">
      <formula>OR(IF(AS27&lt;AT27,TRUE),IF(AND(AT27="",AS27&lt;&gt;""),TRUE))</formula>
    </cfRule>
    <cfRule type="expression" dxfId="512" priority="683">
      <formula>IF(AS27&gt;=AT27,IF(AS27="",FALSE,TRUE))</formula>
    </cfRule>
  </conditionalFormatting>
  <conditionalFormatting sqref="AQ24">
    <cfRule type="expression" dxfId="511" priority="680">
      <formula>OR(IF(AQ24&lt;AR24,TRUE),IF(AND(AR24="",AQ24&lt;&gt;""),TRUE))</formula>
    </cfRule>
    <cfRule type="expression" dxfId="510" priority="681">
      <formula>IF(AQ24&gt;=AR24,IF(AQ24="",FALSE,TRUE))</formula>
    </cfRule>
  </conditionalFormatting>
  <conditionalFormatting sqref="AS24">
    <cfRule type="expression" dxfId="509" priority="678">
      <formula>OR(IF(AS24&lt;AT24,TRUE),IF(AND(AT24="",AS24&lt;&gt;""),TRUE))</formula>
    </cfRule>
    <cfRule type="expression" dxfId="508" priority="679">
      <formula>IF(AS24&gt;=AT24,IF(AS24="",FALSE,TRUE))</formula>
    </cfRule>
  </conditionalFormatting>
  <conditionalFormatting sqref="AX19:AX23 AZ19:AZ23 AX5:AX16">
    <cfRule type="expression" dxfId="507" priority="672">
      <formula>OR(IF(AX5&lt;AY5,TRUE),IF(AND(AY5="",AX5&lt;&gt;""),TRUE))</formula>
    </cfRule>
    <cfRule type="expression" dxfId="506" priority="673">
      <formula>IF(AX5&gt;=AY5,IF(AX5="",FALSE,TRUE))</formula>
    </cfRule>
  </conditionalFormatting>
  <conditionalFormatting sqref="AZ5:AZ16">
    <cfRule type="expression" dxfId="505" priority="670">
      <formula>OR(IF(AZ5&lt;BA5,TRUE),IF(AND(BA5="",AZ5&lt;&gt;""),TRUE))</formula>
    </cfRule>
    <cfRule type="expression" dxfId="504" priority="671">
      <formula>IF(AZ5&gt;=BA5,IF(AZ5="",FALSE,TRUE))</formula>
    </cfRule>
  </conditionalFormatting>
  <conditionalFormatting sqref="AX27:AX28">
    <cfRule type="expression" dxfId="503" priority="668">
      <formula>OR(IF(AX27&lt;AY27,TRUE),IF(AND(AY27="",AX27&lt;&gt;""),TRUE))</formula>
    </cfRule>
    <cfRule type="expression" dxfId="502" priority="669">
      <formula>IF(AX27&gt;=AY27,IF(AX27="",FALSE,TRUE))</formula>
    </cfRule>
  </conditionalFormatting>
  <conditionalFormatting sqref="AZ27:AZ28">
    <cfRule type="expression" dxfId="501" priority="666">
      <formula>OR(IF(AZ27&lt;BA27,TRUE),IF(AND(BA27="",AZ27&lt;&gt;""),TRUE))</formula>
    </cfRule>
    <cfRule type="expression" dxfId="500" priority="667">
      <formula>IF(AZ27&gt;=BA27,IF(AZ27="",FALSE,TRUE))</formula>
    </cfRule>
  </conditionalFormatting>
  <conditionalFormatting sqref="AX24">
    <cfRule type="expression" dxfId="499" priority="664">
      <formula>OR(IF(AX24&lt;AY24,TRUE),IF(AND(AY24="",AX24&lt;&gt;""),TRUE))</formula>
    </cfRule>
    <cfRule type="expression" dxfId="498" priority="665">
      <formula>IF(AX24&gt;=AY24,IF(AX24="",FALSE,TRUE))</formula>
    </cfRule>
  </conditionalFormatting>
  <conditionalFormatting sqref="BG27:BG28">
    <cfRule type="expression" dxfId="497" priority="650">
      <formula>OR(IF(BG27&lt;BH27,TRUE),IF(AND(BH27="",BG27&lt;&gt;""),TRUE))</formula>
    </cfRule>
    <cfRule type="expression" dxfId="496" priority="651">
      <formula>IF(BG27&gt;=BH27,IF(BG27="",FALSE,TRUE))</formula>
    </cfRule>
  </conditionalFormatting>
  <conditionalFormatting sqref="BE24">
    <cfRule type="expression" dxfId="495" priority="648">
      <formula>OR(IF(BE24&lt;BF24,TRUE),IF(AND(BF24="",BE24&lt;&gt;""),TRUE))</formula>
    </cfRule>
    <cfRule type="expression" dxfId="494" priority="649">
      <formula>IF(BE24&gt;=BF24,IF(BE24="",FALSE,TRUE))</formula>
    </cfRule>
  </conditionalFormatting>
  <conditionalFormatting sqref="BG24">
    <cfRule type="expression" dxfId="493" priority="646">
      <formula>OR(IF(BG24&lt;BH24,TRUE),IF(AND(BH24="",BG24&lt;&gt;""),TRUE))</formula>
    </cfRule>
    <cfRule type="expression" dxfId="492" priority="647">
      <formula>IF(BG24&gt;=BH24,IF(BG24="",FALSE,TRUE))</formula>
    </cfRule>
  </conditionalFormatting>
  <conditionalFormatting sqref="J36:K47">
    <cfRule type="colorScale" priority="641">
      <colorScale>
        <cfvo type="percent" val="0"/>
        <cfvo type="percent" val="100"/>
        <color rgb="FFFF231B"/>
        <color rgb="FF10FF07"/>
      </colorScale>
    </cfRule>
  </conditionalFormatting>
  <conditionalFormatting sqref="O36:O47">
    <cfRule type="expression" dxfId="491" priority="639">
      <formula>OR(IF(O36&lt;P36,TRUE),IF(AND(P36="",O36&lt;&gt;""),TRUE))</formula>
    </cfRule>
    <cfRule type="expression" dxfId="490" priority="640">
      <formula>IF(O36&gt;=P36,IF(O36="",FALSE,TRUE))</formula>
    </cfRule>
  </conditionalFormatting>
  <conditionalFormatting sqref="Q36:Q47">
    <cfRule type="expression" dxfId="489" priority="637">
      <formula>OR(IF(Q36&lt;R36,TRUE),IF(AND(R36="",Q36&lt;&gt;""),TRUE))</formula>
    </cfRule>
    <cfRule type="expression" dxfId="488" priority="638">
      <formula>IF(Q36&gt;=R36,IF(Q36="",FALSE,TRUE))</formula>
    </cfRule>
  </conditionalFormatting>
  <conditionalFormatting sqref="AQ36:AQ47">
    <cfRule type="expression" dxfId="487" priority="623">
      <formula>OR(IF(AQ36&lt;AR36,TRUE),IF(AND(AR36="",AQ36&lt;&gt;""),TRUE))</formula>
    </cfRule>
    <cfRule type="expression" dxfId="486" priority="624">
      <formula>IF(AQ36&gt;=AR36,IF(AQ36="",FALSE,TRUE))</formula>
    </cfRule>
  </conditionalFormatting>
  <conditionalFormatting sqref="AS36:AS47">
    <cfRule type="expression" dxfId="485" priority="621">
      <formula>OR(IF(AS36&lt;AT36,TRUE),IF(AND(AT36="",AS36&lt;&gt;""),TRUE))</formula>
    </cfRule>
    <cfRule type="expression" dxfId="484" priority="622">
      <formula>IF(AS36&gt;=AT36,IF(AS36="",FALSE,TRUE))</formula>
    </cfRule>
  </conditionalFormatting>
  <conditionalFormatting sqref="BE36:BE47">
    <cfRule type="expression" dxfId="483" priority="615">
      <formula>OR(IF(BE36&lt;BF36,TRUE),IF(AND(BF36="",BE36&lt;&gt;""),TRUE))</formula>
    </cfRule>
    <cfRule type="expression" dxfId="482" priority="616">
      <formula>IF(BE36&gt;=BF36,IF(BE36="",FALSE,TRUE))</formula>
    </cfRule>
  </conditionalFormatting>
  <conditionalFormatting sqref="BG36:BG47">
    <cfRule type="expression" dxfId="481" priority="613">
      <formula>OR(IF(BG36&lt;BH36,TRUE),IF(AND(BH36="",BG36&lt;&gt;""),TRUE))</formula>
    </cfRule>
    <cfRule type="expression" dxfId="480" priority="614">
      <formula>IF(BG36&gt;=BH36,IF(BG36="",FALSE,TRUE))</formula>
    </cfRule>
  </conditionalFormatting>
  <conditionalFormatting sqref="V36:V47">
    <cfRule type="expression" dxfId="479" priority="635">
      <formula>OR(IF(V36&lt;W36,TRUE),IF(AND(W36="",V36&lt;&gt;""),TRUE))</formula>
    </cfRule>
    <cfRule type="expression" dxfId="478" priority="636">
      <formula>IF(V36&gt;=W36,IF(V36="",FALSE,TRUE))</formula>
    </cfRule>
  </conditionalFormatting>
  <conditionalFormatting sqref="X36:X47">
    <cfRule type="expression" dxfId="477" priority="633">
      <formula>OR(IF(X36&lt;Y36,TRUE),IF(AND(Y36="",X36&lt;&gt;""),TRUE))</formula>
    </cfRule>
    <cfRule type="expression" dxfId="476" priority="634">
      <formula>IF(X36&gt;=Y36,IF(X36="",FALSE,TRUE))</formula>
    </cfRule>
  </conditionalFormatting>
  <conditionalFormatting sqref="AC36:AC47">
    <cfRule type="expression" dxfId="475" priority="631">
      <formula>OR(IF(AC36&lt;AD36,TRUE),IF(AND(AD36="",AC36&lt;&gt;""),TRUE))</formula>
    </cfRule>
    <cfRule type="expression" dxfId="474" priority="632">
      <formula>IF(AC36&gt;=AD36,IF(AC36="",FALSE,TRUE))</formula>
    </cfRule>
  </conditionalFormatting>
  <conditionalFormatting sqref="AE36:AE47">
    <cfRule type="expression" dxfId="473" priority="629">
      <formula>OR(IF(AE36&lt;AF36,TRUE),IF(AND(AF36="",AE36&lt;&gt;""),TRUE))</formula>
    </cfRule>
    <cfRule type="expression" dxfId="472" priority="630">
      <formula>IF(AE36&gt;=AF36,IF(AE36="",FALSE,TRUE))</formula>
    </cfRule>
  </conditionalFormatting>
  <conditionalFormatting sqref="AJ36:AJ47">
    <cfRule type="expression" dxfId="471" priority="627">
      <formula>OR(IF(AJ36&lt;AK36,TRUE),IF(AND(AK36="",AJ36&lt;&gt;""),TRUE))</formula>
    </cfRule>
    <cfRule type="expression" dxfId="470" priority="628">
      <formula>IF(AJ36&gt;=AK36,IF(AJ36="",FALSE,TRUE))</formula>
    </cfRule>
  </conditionalFormatting>
  <conditionalFormatting sqref="AL36:AL47">
    <cfRule type="expression" dxfId="469" priority="625">
      <formula>OR(IF(AL36&lt;AM36,TRUE),IF(AND(AM36="",AL36&lt;&gt;""),TRUE))</formula>
    </cfRule>
    <cfRule type="expression" dxfId="468" priority="626">
      <formula>IF(AL36&gt;=AM36,IF(AL36="",FALSE,TRUE))</formula>
    </cfRule>
  </conditionalFormatting>
  <conditionalFormatting sqref="AX36:AX47">
    <cfRule type="expression" dxfId="467" priority="619">
      <formula>OR(IF(AX36&lt;AY36,TRUE),IF(AND(AY36="",AX36&lt;&gt;""),TRUE))</formula>
    </cfRule>
    <cfRule type="expression" dxfId="466" priority="620">
      <formula>IF(AX36&gt;=AY36,IF(AX36="",FALSE,TRUE))</formula>
    </cfRule>
  </conditionalFormatting>
  <conditionalFormatting sqref="AZ36:AZ47">
    <cfRule type="expression" dxfId="465" priority="617">
      <formula>OR(IF(AZ36&lt;BA36,TRUE),IF(AND(BA36="",AZ36&lt;&gt;""),TRUE))</formula>
    </cfRule>
    <cfRule type="expression" dxfId="464" priority="618">
      <formula>IF(AZ36&gt;=BA36,IF(AZ36="",FALSE,TRUE))</formula>
    </cfRule>
  </conditionalFormatting>
  <conditionalFormatting sqref="BG122:BG133">
    <cfRule type="expression" dxfId="463" priority="410">
      <formula>OR(IF(BG122&lt;BH122,TRUE),IF(AND(BH122="",BG122&lt;&gt;""),TRUE))</formula>
    </cfRule>
    <cfRule type="expression" dxfId="462" priority="411">
      <formula>IF(BG122&gt;=BH122,IF(BG122="",FALSE,TRUE))</formula>
    </cfRule>
  </conditionalFormatting>
  <conditionalFormatting sqref="J94:K105">
    <cfRule type="colorScale" priority="496">
      <colorScale>
        <cfvo type="percent" val="0"/>
        <cfvo type="percent" val="100"/>
        <color rgb="FFFF231B"/>
        <color rgb="FF10FF07"/>
      </colorScale>
    </cfRule>
  </conditionalFormatting>
  <conditionalFormatting sqref="O94:O105">
    <cfRule type="expression" dxfId="461" priority="494">
      <formula>OR(IF(O94&lt;P94,TRUE),IF(AND(P94="",O94&lt;&gt;""),TRUE))</formula>
    </cfRule>
    <cfRule type="expression" dxfId="460" priority="495">
      <formula>IF(O94&gt;=P94,IF(O94="",FALSE,TRUE))</formula>
    </cfRule>
  </conditionalFormatting>
  <conditionalFormatting sqref="Q94:Q105">
    <cfRule type="expression" dxfId="459" priority="492">
      <formula>OR(IF(Q94&lt;R94,TRUE),IF(AND(R94="",Q94&lt;&gt;""),TRUE))</formula>
    </cfRule>
    <cfRule type="expression" dxfId="458" priority="493">
      <formula>IF(Q94&gt;=R94,IF(Q94="",FALSE,TRUE))</formula>
    </cfRule>
  </conditionalFormatting>
  <conditionalFormatting sqref="AQ94:AQ105">
    <cfRule type="expression" dxfId="457" priority="478">
      <formula>OR(IF(AQ94&lt;AR94,TRUE),IF(AND(AR94="",AQ94&lt;&gt;""),TRUE))</formula>
    </cfRule>
    <cfRule type="expression" dxfId="456" priority="479">
      <formula>IF(AQ94&gt;=AR94,IF(AQ94="",FALSE,TRUE))</formula>
    </cfRule>
  </conditionalFormatting>
  <conditionalFormatting sqref="AS94:AS105">
    <cfRule type="expression" dxfId="455" priority="476">
      <formula>OR(IF(AS94&lt;AT94,TRUE),IF(AND(AT94="",AS94&lt;&gt;""),TRUE))</formula>
    </cfRule>
    <cfRule type="expression" dxfId="454" priority="477">
      <formula>IF(AS94&gt;=AT94,IF(AS94="",FALSE,TRUE))</formula>
    </cfRule>
  </conditionalFormatting>
  <conditionalFormatting sqref="BE94:BE105">
    <cfRule type="expression" dxfId="453" priority="470">
      <formula>OR(IF(BE94&lt;BF94,TRUE),IF(AND(BF94="",BE94&lt;&gt;""),TRUE))</formula>
    </cfRule>
    <cfRule type="expression" dxfId="452" priority="471">
      <formula>IF(BE94&gt;=BF94,IF(BE94="",FALSE,TRUE))</formula>
    </cfRule>
  </conditionalFormatting>
  <conditionalFormatting sqref="BG94:BG105">
    <cfRule type="expression" dxfId="451" priority="468">
      <formula>OR(IF(BG94&lt;BH94,TRUE),IF(AND(BH94="",BG94&lt;&gt;""),TRUE))</formula>
    </cfRule>
    <cfRule type="expression" dxfId="450" priority="469">
      <formula>IF(BG94&gt;=BH94,IF(BG94="",FALSE,TRUE))</formula>
    </cfRule>
  </conditionalFormatting>
  <conditionalFormatting sqref="V94:V105">
    <cfRule type="expression" dxfId="449" priority="490">
      <formula>OR(IF(V94&lt;W94,TRUE),IF(AND(W94="",V94&lt;&gt;""),TRUE))</formula>
    </cfRule>
    <cfRule type="expression" dxfId="448" priority="491">
      <formula>IF(V94&gt;=W94,IF(V94="",FALSE,TRUE))</formula>
    </cfRule>
  </conditionalFormatting>
  <conditionalFormatting sqref="X94:X105">
    <cfRule type="expression" dxfId="447" priority="488">
      <formula>OR(IF(X94&lt;Y94,TRUE),IF(AND(Y94="",X94&lt;&gt;""),TRUE))</formula>
    </cfRule>
    <cfRule type="expression" dxfId="446" priority="489">
      <formula>IF(X94&gt;=Y94,IF(X94="",FALSE,TRUE))</formula>
    </cfRule>
  </conditionalFormatting>
  <conditionalFormatting sqref="AC94:AC105">
    <cfRule type="expression" dxfId="445" priority="486">
      <formula>OR(IF(AC94&lt;AD94,TRUE),IF(AND(AD94="",AC94&lt;&gt;""),TRUE))</formula>
    </cfRule>
    <cfRule type="expression" dxfId="444" priority="487">
      <formula>IF(AC94&gt;=AD94,IF(AC94="",FALSE,TRUE))</formula>
    </cfRule>
  </conditionalFormatting>
  <conditionalFormatting sqref="AE94:AE105">
    <cfRule type="expression" dxfId="443" priority="484">
      <formula>OR(IF(AE94&lt;AF94,TRUE),IF(AND(AF94="",AE94&lt;&gt;""),TRUE))</formula>
    </cfRule>
    <cfRule type="expression" dxfId="442" priority="485">
      <formula>IF(AE94&gt;=AF94,IF(AE94="",FALSE,TRUE))</formula>
    </cfRule>
  </conditionalFormatting>
  <conditionalFormatting sqref="AJ94:AJ105">
    <cfRule type="expression" dxfId="441" priority="482">
      <formula>OR(IF(AJ94&lt;AK94,TRUE),IF(AND(AK94="",AJ94&lt;&gt;""),TRUE))</formula>
    </cfRule>
    <cfRule type="expression" dxfId="440" priority="483">
      <formula>IF(AJ94&gt;=AK94,IF(AJ94="",FALSE,TRUE))</formula>
    </cfRule>
  </conditionalFormatting>
  <conditionalFormatting sqref="AL94:AL105">
    <cfRule type="expression" dxfId="439" priority="480">
      <formula>OR(IF(AL94&lt;AM94,TRUE),IF(AND(AM94="",AL94&lt;&gt;""),TRUE))</formula>
    </cfRule>
    <cfRule type="expression" dxfId="438" priority="481">
      <formula>IF(AL94&gt;=AM94,IF(AL94="",FALSE,TRUE))</formula>
    </cfRule>
  </conditionalFormatting>
  <conditionalFormatting sqref="AX94:AX105">
    <cfRule type="expression" dxfId="437" priority="474">
      <formula>OR(IF(AX94&lt;AY94,TRUE),IF(AND(AY94="",AX94&lt;&gt;""),TRUE))</formula>
    </cfRule>
    <cfRule type="expression" dxfId="436" priority="475">
      <formula>IF(AX94&gt;=AY94,IF(AX94="",FALSE,TRUE))</formula>
    </cfRule>
  </conditionalFormatting>
  <conditionalFormatting sqref="AZ94:AZ105">
    <cfRule type="expression" dxfId="435" priority="472">
      <formula>OR(IF(AZ94&lt;BA94,TRUE),IF(AND(BA94="",AZ94&lt;&gt;""),TRUE))</formula>
    </cfRule>
    <cfRule type="expression" dxfId="434" priority="473">
      <formula>IF(AZ94&gt;=BA94,IF(AZ94="",FALSE,TRUE))</formula>
    </cfRule>
  </conditionalFormatting>
  <conditionalFormatting sqref="J108:K119">
    <cfRule type="colorScale" priority="467">
      <colorScale>
        <cfvo type="percent" val="0"/>
        <cfvo type="percent" val="100"/>
        <color rgb="FFFF231B"/>
        <color rgb="FF10FF07"/>
      </colorScale>
    </cfRule>
  </conditionalFormatting>
  <conditionalFormatting sqref="O108:O119">
    <cfRule type="expression" dxfId="433" priority="465">
      <formula>OR(IF(O108&lt;P108,TRUE),IF(AND(P108="",O108&lt;&gt;""),TRUE))</formula>
    </cfRule>
    <cfRule type="expression" dxfId="432" priority="466">
      <formula>IF(O108&gt;=P108,IF(O108="",FALSE,TRUE))</formula>
    </cfRule>
  </conditionalFormatting>
  <conditionalFormatting sqref="Q108:Q119">
    <cfRule type="expression" dxfId="431" priority="463">
      <formula>OR(IF(Q108&lt;R108,TRUE),IF(AND(R108="",Q108&lt;&gt;""),TRUE))</formula>
    </cfRule>
    <cfRule type="expression" dxfId="430" priority="464">
      <formula>IF(Q108&gt;=R108,IF(Q108="",FALSE,TRUE))</formula>
    </cfRule>
  </conditionalFormatting>
  <conditionalFormatting sqref="AQ108:AQ119">
    <cfRule type="expression" dxfId="429" priority="449">
      <formula>OR(IF(AQ108&lt;AR108,TRUE),IF(AND(AR108="",AQ108&lt;&gt;""),TRUE))</formula>
    </cfRule>
    <cfRule type="expression" dxfId="428" priority="450">
      <formula>IF(AQ108&gt;=AR108,IF(AQ108="",FALSE,TRUE))</formula>
    </cfRule>
  </conditionalFormatting>
  <conditionalFormatting sqref="AS108:AS119">
    <cfRule type="expression" dxfId="427" priority="447">
      <formula>OR(IF(AS108&lt;AT108,TRUE),IF(AND(AT108="",AS108&lt;&gt;""),TRUE))</formula>
    </cfRule>
    <cfRule type="expression" dxfId="426" priority="448">
      <formula>IF(AS108&gt;=AT108,IF(AS108="",FALSE,TRUE))</formula>
    </cfRule>
  </conditionalFormatting>
  <conditionalFormatting sqref="BE108:BE119">
    <cfRule type="expression" dxfId="425" priority="441">
      <formula>OR(IF(BE108&lt;BF108,TRUE),IF(AND(BF108="",BE108&lt;&gt;""),TRUE))</formula>
    </cfRule>
    <cfRule type="expression" dxfId="424" priority="442">
      <formula>IF(BE108&gt;=BF108,IF(BE108="",FALSE,TRUE))</formula>
    </cfRule>
  </conditionalFormatting>
  <conditionalFormatting sqref="BG108:BG119">
    <cfRule type="expression" dxfId="423" priority="439">
      <formula>OR(IF(BG108&lt;BH108,TRUE),IF(AND(BH108="",BG108&lt;&gt;""),TRUE))</formula>
    </cfRule>
    <cfRule type="expression" dxfId="422" priority="440">
      <formula>IF(BG108&gt;=BH108,IF(BG108="",FALSE,TRUE))</formula>
    </cfRule>
  </conditionalFormatting>
  <conditionalFormatting sqref="V108:V119">
    <cfRule type="expression" dxfId="421" priority="461">
      <formula>OR(IF(V108&lt;W108,TRUE),IF(AND(W108="",V108&lt;&gt;""),TRUE))</formula>
    </cfRule>
    <cfRule type="expression" dxfId="420" priority="462">
      <formula>IF(V108&gt;=W108,IF(V108="",FALSE,TRUE))</formula>
    </cfRule>
  </conditionalFormatting>
  <conditionalFormatting sqref="X108:X119">
    <cfRule type="expression" dxfId="419" priority="459">
      <formula>OR(IF(X108&lt;Y108,TRUE),IF(AND(Y108="",X108&lt;&gt;""),TRUE))</formula>
    </cfRule>
    <cfRule type="expression" dxfId="418" priority="460">
      <formula>IF(X108&gt;=Y108,IF(X108="",FALSE,TRUE))</formula>
    </cfRule>
  </conditionalFormatting>
  <conditionalFormatting sqref="AC108:AC119">
    <cfRule type="expression" dxfId="417" priority="457">
      <formula>OR(IF(AC108&lt;AD108,TRUE),IF(AND(AD108="",AC108&lt;&gt;""),TRUE))</formula>
    </cfRule>
    <cfRule type="expression" dxfId="416" priority="458">
      <formula>IF(AC108&gt;=AD108,IF(AC108="",FALSE,TRUE))</formula>
    </cfRule>
  </conditionalFormatting>
  <conditionalFormatting sqref="AE108:AE119">
    <cfRule type="expression" dxfId="415" priority="455">
      <formula>OR(IF(AE108&lt;AF108,TRUE),IF(AND(AF108="",AE108&lt;&gt;""),TRUE))</formula>
    </cfRule>
    <cfRule type="expression" dxfId="414" priority="456">
      <formula>IF(AE108&gt;=AF108,IF(AE108="",FALSE,TRUE))</formula>
    </cfRule>
  </conditionalFormatting>
  <conditionalFormatting sqref="AJ108:AJ119">
    <cfRule type="expression" dxfId="413" priority="453">
      <formula>OR(IF(AJ108&lt;AK108,TRUE),IF(AND(AK108="",AJ108&lt;&gt;""),TRUE))</formula>
    </cfRule>
    <cfRule type="expression" dxfId="412" priority="454">
      <formula>IF(AJ108&gt;=AK108,IF(AJ108="",FALSE,TRUE))</formula>
    </cfRule>
  </conditionalFormatting>
  <conditionalFormatting sqref="AL108:AL119">
    <cfRule type="expression" dxfId="411" priority="451">
      <formula>OR(IF(AL108&lt;AM108,TRUE),IF(AND(AM108="",AL108&lt;&gt;""),TRUE))</formula>
    </cfRule>
    <cfRule type="expression" dxfId="410" priority="452">
      <formula>IF(AL108&gt;=AM108,IF(AL108="",FALSE,TRUE))</formula>
    </cfRule>
  </conditionalFormatting>
  <conditionalFormatting sqref="AX108:AX119">
    <cfRule type="expression" dxfId="409" priority="445">
      <formula>OR(IF(AX108&lt;AY108,TRUE),IF(AND(AY108="",AX108&lt;&gt;""),TRUE))</formula>
    </cfRule>
    <cfRule type="expression" dxfId="408" priority="446">
      <formula>IF(AX108&gt;=AY108,IF(AX108="",FALSE,TRUE))</formula>
    </cfRule>
  </conditionalFormatting>
  <conditionalFormatting sqref="AZ108:AZ119">
    <cfRule type="expression" dxfId="407" priority="443">
      <formula>OR(IF(AZ108&lt;BA108,TRUE),IF(AND(BA108="",AZ108&lt;&gt;""),TRUE))</formula>
    </cfRule>
    <cfRule type="expression" dxfId="406" priority="444">
      <formula>IF(AZ108&gt;=BA108,IF(AZ108="",FALSE,TRUE))</formula>
    </cfRule>
  </conditionalFormatting>
  <conditionalFormatting sqref="J122:K133">
    <cfRule type="colorScale" priority="438">
      <colorScale>
        <cfvo type="percent" val="0"/>
        <cfvo type="percent" val="100"/>
        <color rgb="FFFF231B"/>
        <color rgb="FF10FF07"/>
      </colorScale>
    </cfRule>
  </conditionalFormatting>
  <conditionalFormatting sqref="O122:O133">
    <cfRule type="expression" dxfId="405" priority="436">
      <formula>OR(IF(O122&lt;P122,TRUE),IF(AND(P122="",O122&lt;&gt;""),TRUE))</formula>
    </cfRule>
    <cfRule type="expression" dxfId="404" priority="437">
      <formula>IF(O122&gt;=P122,IF(O122="",FALSE,TRUE))</formula>
    </cfRule>
  </conditionalFormatting>
  <conditionalFormatting sqref="Q122:Q133">
    <cfRule type="expression" dxfId="403" priority="434">
      <formula>OR(IF(Q122&lt;R122,TRUE),IF(AND(R122="",Q122&lt;&gt;""),TRUE))</formula>
    </cfRule>
    <cfRule type="expression" dxfId="402" priority="435">
      <formula>IF(Q122&gt;=R122,IF(Q122="",FALSE,TRUE))</formula>
    </cfRule>
  </conditionalFormatting>
  <conditionalFormatting sqref="AQ122:AQ133">
    <cfRule type="expression" dxfId="401" priority="420">
      <formula>OR(IF(AQ122&lt;AR122,TRUE),IF(AND(AR122="",AQ122&lt;&gt;""),TRUE))</formula>
    </cfRule>
    <cfRule type="expression" dxfId="400" priority="421">
      <formula>IF(AQ122&gt;=AR122,IF(AQ122="",FALSE,TRUE))</formula>
    </cfRule>
  </conditionalFormatting>
  <conditionalFormatting sqref="AS122:AS133">
    <cfRule type="expression" dxfId="399" priority="418">
      <formula>OR(IF(AS122&lt;AT122,TRUE),IF(AND(AT122="",AS122&lt;&gt;""),TRUE))</formula>
    </cfRule>
    <cfRule type="expression" dxfId="398" priority="419">
      <formula>IF(AS122&gt;=AT122,IF(AS122="",FALSE,TRUE))</formula>
    </cfRule>
  </conditionalFormatting>
  <conditionalFormatting sqref="BE122:BE133">
    <cfRule type="expression" dxfId="397" priority="412">
      <formula>OR(IF(BE122&lt;BF122,TRUE),IF(AND(BF122="",BE122&lt;&gt;""),TRUE))</formula>
    </cfRule>
    <cfRule type="expression" dxfId="396" priority="413">
      <formula>IF(BE122&gt;=BF122,IF(BE122="",FALSE,TRUE))</formula>
    </cfRule>
  </conditionalFormatting>
  <conditionalFormatting sqref="V122:V133">
    <cfRule type="expression" dxfId="395" priority="432">
      <formula>OR(IF(V122&lt;W122,TRUE),IF(AND(W122="",V122&lt;&gt;""),TRUE))</formula>
    </cfRule>
    <cfRule type="expression" dxfId="394" priority="433">
      <formula>IF(V122&gt;=W122,IF(V122="",FALSE,TRUE))</formula>
    </cfRule>
  </conditionalFormatting>
  <conditionalFormatting sqref="X122:X133">
    <cfRule type="expression" dxfId="393" priority="430">
      <formula>OR(IF(X122&lt;Y122,TRUE),IF(AND(Y122="",X122&lt;&gt;""),TRUE))</formula>
    </cfRule>
    <cfRule type="expression" dxfId="392" priority="431">
      <formula>IF(X122&gt;=Y122,IF(X122="",FALSE,TRUE))</formula>
    </cfRule>
  </conditionalFormatting>
  <conditionalFormatting sqref="AC122:AC133">
    <cfRule type="expression" dxfId="391" priority="428">
      <formula>OR(IF(AC122&lt;AD122,TRUE),IF(AND(AD122="",AC122&lt;&gt;""),TRUE))</formula>
    </cfRule>
    <cfRule type="expression" dxfId="390" priority="429">
      <formula>IF(AC122&gt;=AD122,IF(AC122="",FALSE,TRUE))</formula>
    </cfRule>
  </conditionalFormatting>
  <conditionalFormatting sqref="AE122:AE133">
    <cfRule type="expression" dxfId="389" priority="426">
      <formula>OR(IF(AE122&lt;AF122,TRUE),IF(AND(AF122="",AE122&lt;&gt;""),TRUE))</formula>
    </cfRule>
    <cfRule type="expression" dxfId="388" priority="427">
      <formula>IF(AE122&gt;=AF122,IF(AE122="",FALSE,TRUE))</formula>
    </cfRule>
  </conditionalFormatting>
  <conditionalFormatting sqref="AJ122:AJ133">
    <cfRule type="expression" dxfId="387" priority="424">
      <formula>OR(IF(AJ122&lt;AK122,TRUE),IF(AND(AK122="",AJ122&lt;&gt;""),TRUE))</formula>
    </cfRule>
    <cfRule type="expression" dxfId="386" priority="425">
      <formula>IF(AJ122&gt;=AK122,IF(AJ122="",FALSE,TRUE))</formula>
    </cfRule>
  </conditionalFormatting>
  <conditionalFormatting sqref="AL122:AL133">
    <cfRule type="expression" dxfId="385" priority="422">
      <formula>OR(IF(AL122&lt;AM122,TRUE),IF(AND(AM122="",AL122&lt;&gt;""),TRUE))</formula>
    </cfRule>
    <cfRule type="expression" dxfId="384" priority="423">
      <formula>IF(AL122&gt;=AM122,IF(AL122="",FALSE,TRUE))</formula>
    </cfRule>
  </conditionalFormatting>
  <conditionalFormatting sqref="AX122:AX133">
    <cfRule type="expression" dxfId="383" priority="416">
      <formula>OR(IF(AX122&lt;AY122,TRUE),IF(AND(AY122="",AX122&lt;&gt;""),TRUE))</formula>
    </cfRule>
    <cfRule type="expression" dxfId="382" priority="417">
      <formula>IF(AX122&gt;=AY122,IF(AX122="",FALSE,TRUE))</formula>
    </cfRule>
  </conditionalFormatting>
  <conditionalFormatting sqref="AZ122:AZ133">
    <cfRule type="expression" dxfId="381" priority="414">
      <formula>OR(IF(AZ122&lt;BA122,TRUE),IF(AND(BA122="",AZ122&lt;&gt;""),TRUE))</formula>
    </cfRule>
    <cfRule type="expression" dxfId="380" priority="415">
      <formula>IF(AZ122&gt;=BA122,IF(AZ122="",FALSE,TRUE))</formula>
    </cfRule>
  </conditionalFormatting>
  <conditionalFormatting sqref="J27:K32">
    <cfRule type="colorScale" priority="829">
      <colorScale>
        <cfvo type="percent" val="0"/>
        <cfvo type="percent" val="100"/>
        <color rgb="FFFF231B"/>
        <color rgb="FF10FF07"/>
      </colorScale>
    </cfRule>
  </conditionalFormatting>
  <conditionalFormatting sqref="J48:K48">
    <cfRule type="colorScale" priority="409">
      <colorScale>
        <cfvo type="percent" val="0"/>
        <cfvo type="percent" val="100"/>
        <color rgb="FFFF231B"/>
        <color rgb="FF10FF07"/>
      </colorScale>
    </cfRule>
  </conditionalFormatting>
  <conditionalFormatting sqref="O48">
    <cfRule type="expression" dxfId="379" priority="407">
      <formula>OR(IF(O48&lt;P48,TRUE),IF(AND(P48="",O48&lt;&gt;""),TRUE))</formula>
    </cfRule>
    <cfRule type="expression" dxfId="378" priority="408">
      <formula>IF(O48&gt;=P48,IF(O48="",FALSE,TRUE))</formula>
    </cfRule>
  </conditionalFormatting>
  <conditionalFormatting sqref="Q48">
    <cfRule type="expression" dxfId="377" priority="405">
      <formula>OR(IF(Q48&lt;R48,TRUE),IF(AND(R48="",Q48&lt;&gt;""),TRUE))</formula>
    </cfRule>
    <cfRule type="expression" dxfId="376" priority="406">
      <formula>IF(Q48&gt;=R48,IF(Q48="",FALSE,TRUE))</formula>
    </cfRule>
  </conditionalFormatting>
  <conditionalFormatting sqref="AQ48">
    <cfRule type="expression" dxfId="375" priority="391">
      <formula>OR(IF(AQ48&lt;AR48,TRUE),IF(AND(AR48="",AQ48&lt;&gt;""),TRUE))</formula>
    </cfRule>
    <cfRule type="expression" dxfId="374" priority="392">
      <formula>IF(AQ48&gt;=AR48,IF(AQ48="",FALSE,TRUE))</formula>
    </cfRule>
  </conditionalFormatting>
  <conditionalFormatting sqref="AS48">
    <cfRule type="expression" dxfId="373" priority="389">
      <formula>OR(IF(AS48&lt;AT48,TRUE),IF(AND(AT48="",AS48&lt;&gt;""),TRUE))</formula>
    </cfRule>
    <cfRule type="expression" dxfId="372" priority="390">
      <formula>IF(AS48&gt;=AT48,IF(AS48="",FALSE,TRUE))</formula>
    </cfRule>
  </conditionalFormatting>
  <conditionalFormatting sqref="BE48">
    <cfRule type="expression" dxfId="371" priority="383">
      <formula>OR(IF(BE48&lt;BF48,TRUE),IF(AND(BF48="",BE48&lt;&gt;""),TRUE))</formula>
    </cfRule>
    <cfRule type="expression" dxfId="370" priority="384">
      <formula>IF(BE48&gt;=BF48,IF(BE48="",FALSE,TRUE))</formula>
    </cfRule>
  </conditionalFormatting>
  <conditionalFormatting sqref="BG48">
    <cfRule type="expression" dxfId="369" priority="381">
      <formula>OR(IF(BG48&lt;BH48,TRUE),IF(AND(BH48="",BG48&lt;&gt;""),TRUE))</formula>
    </cfRule>
    <cfRule type="expression" dxfId="368" priority="382">
      <formula>IF(BG48&gt;=BH48,IF(BG48="",FALSE,TRUE))</formula>
    </cfRule>
  </conditionalFormatting>
  <conditionalFormatting sqref="V48">
    <cfRule type="expression" dxfId="367" priority="403">
      <formula>OR(IF(V48&lt;W48,TRUE),IF(AND(W48="",V48&lt;&gt;""),TRUE))</formula>
    </cfRule>
    <cfRule type="expression" dxfId="366" priority="404">
      <formula>IF(V48&gt;=W48,IF(V48="",FALSE,TRUE))</formula>
    </cfRule>
  </conditionalFormatting>
  <conditionalFormatting sqref="X48">
    <cfRule type="expression" dxfId="365" priority="401">
      <formula>OR(IF(X48&lt;Y48,TRUE),IF(AND(Y48="",X48&lt;&gt;""),TRUE))</formula>
    </cfRule>
    <cfRule type="expression" dxfId="364" priority="402">
      <formula>IF(X48&gt;=Y48,IF(X48="",FALSE,TRUE))</formula>
    </cfRule>
  </conditionalFormatting>
  <conditionalFormatting sqref="AC48">
    <cfRule type="expression" dxfId="363" priority="399">
      <formula>OR(IF(AC48&lt;AD48,TRUE),IF(AND(AD48="",AC48&lt;&gt;""),TRUE))</formula>
    </cfRule>
    <cfRule type="expression" dxfId="362" priority="400">
      <formula>IF(AC48&gt;=AD48,IF(AC48="",FALSE,TRUE))</formula>
    </cfRule>
  </conditionalFormatting>
  <conditionalFormatting sqref="AE48">
    <cfRule type="expression" dxfId="361" priority="397">
      <formula>OR(IF(AE48&lt;AF48,TRUE),IF(AND(AF48="",AE48&lt;&gt;""),TRUE))</formula>
    </cfRule>
    <cfRule type="expression" dxfId="360" priority="398">
      <formula>IF(AE48&gt;=AF48,IF(AE48="",FALSE,TRUE))</formula>
    </cfRule>
  </conditionalFormatting>
  <conditionalFormatting sqref="AJ48">
    <cfRule type="expression" dxfId="359" priority="395">
      <formula>OR(IF(AJ48&lt;AK48,TRUE),IF(AND(AK48="",AJ48&lt;&gt;""),TRUE))</formula>
    </cfRule>
    <cfRule type="expression" dxfId="358" priority="396">
      <formula>IF(AJ48&gt;=AK48,IF(AJ48="",FALSE,TRUE))</formula>
    </cfRule>
  </conditionalFormatting>
  <conditionalFormatting sqref="AL48">
    <cfRule type="expression" dxfId="357" priority="393">
      <formula>OR(IF(AL48&lt;AM48,TRUE),IF(AND(AM48="",AL48&lt;&gt;""),TRUE))</formula>
    </cfRule>
    <cfRule type="expression" dxfId="356" priority="394">
      <formula>IF(AL48&gt;=AM48,IF(AL48="",FALSE,TRUE))</formula>
    </cfRule>
  </conditionalFormatting>
  <conditionalFormatting sqref="AX48">
    <cfRule type="expression" dxfId="355" priority="387">
      <formula>OR(IF(AX48&lt;AY48,TRUE),IF(AND(AY48="",AX48&lt;&gt;""),TRUE))</formula>
    </cfRule>
    <cfRule type="expression" dxfId="354" priority="388">
      <formula>IF(AX48&gt;=AY48,IF(AX48="",FALSE,TRUE))</formula>
    </cfRule>
  </conditionalFormatting>
  <conditionalFormatting sqref="AZ48">
    <cfRule type="expression" dxfId="353" priority="385">
      <formula>OR(IF(AZ48&lt;BA48,TRUE),IF(AND(BA48="",AZ48&lt;&gt;""),TRUE))</formula>
    </cfRule>
    <cfRule type="expression" dxfId="352" priority="386">
      <formula>IF(AZ48&gt;=BA48,IF(AZ48="",FALSE,TRUE))</formula>
    </cfRule>
  </conditionalFormatting>
  <conditionalFormatting sqref="J60:K70">
    <cfRule type="colorScale" priority="831">
      <colorScale>
        <cfvo type="percent" val="0"/>
        <cfvo type="percent" val="100"/>
        <color rgb="FFFF231B"/>
        <color rgb="FF10FF07"/>
      </colorScale>
    </cfRule>
  </conditionalFormatting>
  <conditionalFormatting sqref="J73:K81">
    <cfRule type="colorScale" priority="832">
      <colorScale>
        <cfvo type="percent" val="0"/>
        <cfvo type="percent" val="100"/>
        <color rgb="FFFF231B"/>
        <color rgb="FF10FF07"/>
      </colorScale>
    </cfRule>
  </conditionalFormatting>
  <conditionalFormatting sqref="BN48">
    <cfRule type="expression" dxfId="351" priority="343">
      <formula>OR(IF(BN48&lt;BO48,TRUE),IF(AND(BO48="",BN48&lt;&gt;""),TRUE))</formula>
    </cfRule>
    <cfRule type="expression" dxfId="350" priority="344">
      <formula>IF(BN48&gt;=BO48,IF(BN48="",FALSE,TRUE))</formula>
    </cfRule>
  </conditionalFormatting>
  <conditionalFormatting sqref="DD48">
    <cfRule type="expression" dxfId="349" priority="115">
      <formula>OR(IF(DD48&lt;DE48,TRUE),IF(AND(DE48="",DD48&lt;&gt;""),TRUE))</formula>
    </cfRule>
    <cfRule type="expression" dxfId="348" priority="116">
      <formula>IF(DD48&gt;=DE48,IF(DD48="",FALSE,TRUE))</formula>
    </cfRule>
  </conditionalFormatting>
  <conditionalFormatting sqref="DZ48">
    <cfRule type="expression" dxfId="347" priority="1">
      <formula>OR(IF(DZ48&lt;EA48,TRUE),IF(AND(EA48="",DZ48&lt;&gt;""),TRUE))</formula>
    </cfRule>
    <cfRule type="expression" dxfId="346" priority="2">
      <formula>IF(DZ48&gt;=EA48,IF(DZ48="",FALSE,TRUE))</formula>
    </cfRule>
  </conditionalFormatting>
  <conditionalFormatting sqref="BN29:BN32 BL29:BL32 BL60:BL70 BN60:BN70 BL73:BL81 BN73:BN81">
    <cfRule type="expression" dxfId="345" priority="379">
      <formula>OR(IF(BL29&lt;BM29,TRUE),IF(AND(BM29="",BL29&lt;&gt;""),TRUE))</formula>
    </cfRule>
    <cfRule type="expression" dxfId="344" priority="380">
      <formula>IF(BL29&gt;=BM29,IF(BL29="",FALSE,TRUE))</formula>
    </cfRule>
  </conditionalFormatting>
  <conditionalFormatting sqref="BL19:BL23 BN19:BN23 BL5:BL16">
    <cfRule type="expression" dxfId="343" priority="377">
      <formula>OR(IF(BL5&lt;BM5,TRUE),IF(AND(BM5="",BL5&lt;&gt;""),TRUE))</formula>
    </cfRule>
    <cfRule type="expression" dxfId="342" priority="378">
      <formula>IF(BL5&gt;=BM5,IF(BL5="",FALSE,TRUE))</formula>
    </cfRule>
  </conditionalFormatting>
  <conditionalFormatting sqref="BN5:BN16">
    <cfRule type="expression" dxfId="341" priority="375">
      <formula>OR(IF(BN5&lt;BO5,TRUE),IF(AND(BO5="",BN5&lt;&gt;""),TRUE))</formula>
    </cfRule>
    <cfRule type="expression" dxfId="340" priority="376">
      <formula>IF(BN5&gt;=BO5,IF(BN5="",FALSE,TRUE))</formula>
    </cfRule>
  </conditionalFormatting>
  <conditionalFormatting sqref="BL27:BL28">
    <cfRule type="expression" dxfId="339" priority="373">
      <formula>OR(IF(BL27&lt;BM27,TRUE),IF(AND(BM27="",BL27&lt;&gt;""),TRUE))</formula>
    </cfRule>
    <cfRule type="expression" dxfId="338" priority="374">
      <formula>IF(BL27&gt;=BM27,IF(BL27="",FALSE,TRUE))</formula>
    </cfRule>
  </conditionalFormatting>
  <conditionalFormatting sqref="BN27:BN28">
    <cfRule type="expression" dxfId="337" priority="371">
      <formula>OR(IF(BN27&lt;BO27,TRUE),IF(AND(BO27="",BN27&lt;&gt;""),TRUE))</formula>
    </cfRule>
    <cfRule type="expression" dxfId="336" priority="372">
      <formula>IF(BN27&gt;=BO27,IF(BN27="",FALSE,TRUE))</formula>
    </cfRule>
  </conditionalFormatting>
  <conditionalFormatting sqref="BL24">
    <cfRule type="expression" dxfId="335" priority="369">
      <formula>OR(IF(BL24&lt;BM24,TRUE),IF(AND(BM24="",BL24&lt;&gt;""),TRUE))</formula>
    </cfRule>
    <cfRule type="expression" dxfId="334" priority="370">
      <formula>IF(BL24&gt;=BM24,IF(BL24="",FALSE,TRUE))</formula>
    </cfRule>
  </conditionalFormatting>
  <conditionalFormatting sqref="BN24">
    <cfRule type="expression" dxfId="333" priority="367">
      <formula>OR(IF(BN24&lt;BO24,TRUE),IF(AND(BO24="",BN24&lt;&gt;""),TRUE))</formula>
    </cfRule>
    <cfRule type="expression" dxfId="332" priority="368">
      <formula>IF(BN24&gt;=BO24,IF(BN24="",FALSE,TRUE))</formula>
    </cfRule>
  </conditionalFormatting>
  <conditionalFormatting sqref="BL36:BL47">
    <cfRule type="expression" dxfId="331" priority="365">
      <formula>OR(IF(BL36&lt;BM36,TRUE),IF(AND(BM36="",BL36&lt;&gt;""),TRUE))</formula>
    </cfRule>
    <cfRule type="expression" dxfId="330" priority="366">
      <formula>IF(BL36&gt;=BM36,IF(BL36="",FALSE,TRUE))</formula>
    </cfRule>
  </conditionalFormatting>
  <conditionalFormatting sqref="BN36:BN47">
    <cfRule type="expression" dxfId="329" priority="363">
      <formula>OR(IF(BN36&lt;BO36,TRUE),IF(AND(BO36="",BN36&lt;&gt;""),TRUE))</formula>
    </cfRule>
    <cfRule type="expression" dxfId="328" priority="364">
      <formula>IF(BN36&gt;=BO36,IF(BN36="",FALSE,TRUE))</formula>
    </cfRule>
  </conditionalFormatting>
  <conditionalFormatting sqref="BL94:BL105">
    <cfRule type="expression" dxfId="327" priority="357">
      <formula>OR(IF(BL94&lt;BM94,TRUE),IF(AND(BM94="",BL94&lt;&gt;""),TRUE))</formula>
    </cfRule>
    <cfRule type="expression" dxfId="326" priority="358">
      <formula>IF(BL94&gt;=BM94,IF(BL94="",FALSE,TRUE))</formula>
    </cfRule>
  </conditionalFormatting>
  <conditionalFormatting sqref="BN94:BN105">
    <cfRule type="expression" dxfId="325" priority="355">
      <formula>OR(IF(BN94&lt;BO94,TRUE),IF(AND(BO94="",BN94&lt;&gt;""),TRUE))</formula>
    </cfRule>
    <cfRule type="expression" dxfId="324" priority="356">
      <formula>IF(BN94&gt;=BO94,IF(BN94="",FALSE,TRUE))</formula>
    </cfRule>
  </conditionalFormatting>
  <conditionalFormatting sqref="BL108:BL119">
    <cfRule type="expression" dxfId="323" priority="353">
      <formula>OR(IF(BL108&lt;BM108,TRUE),IF(AND(BM108="",BL108&lt;&gt;""),TRUE))</formula>
    </cfRule>
    <cfRule type="expression" dxfId="322" priority="354">
      <formula>IF(BL108&gt;=BM108,IF(BL108="",FALSE,TRUE))</formula>
    </cfRule>
  </conditionalFormatting>
  <conditionalFormatting sqref="BN108:BN119">
    <cfRule type="expression" dxfId="321" priority="351">
      <formula>OR(IF(BN108&lt;BO108,TRUE),IF(AND(BO108="",BN108&lt;&gt;""),TRUE))</formula>
    </cfRule>
    <cfRule type="expression" dxfId="320" priority="352">
      <formula>IF(BN108&gt;=BO108,IF(BN108="",FALSE,TRUE))</formula>
    </cfRule>
  </conditionalFormatting>
  <conditionalFormatting sqref="BL122:BL133">
    <cfRule type="expression" dxfId="319" priority="349">
      <formula>OR(IF(BL122&lt;BM122,TRUE),IF(AND(BM122="",BL122&lt;&gt;""),TRUE))</formula>
    </cfRule>
    <cfRule type="expression" dxfId="318" priority="350">
      <formula>IF(BL122&gt;=BM122,IF(BL122="",FALSE,TRUE))</formula>
    </cfRule>
  </conditionalFormatting>
  <conditionalFormatting sqref="BN122:BN133">
    <cfRule type="expression" dxfId="317" priority="347">
      <formula>OR(IF(BN122&lt;BO122,TRUE),IF(AND(BO122="",BN122&lt;&gt;""),TRUE))</formula>
    </cfRule>
    <cfRule type="expression" dxfId="316" priority="348">
      <formula>IF(BN122&gt;=BO122,IF(BN122="",FALSE,TRUE))</formula>
    </cfRule>
  </conditionalFormatting>
  <conditionalFormatting sqref="BL48">
    <cfRule type="expression" dxfId="315" priority="345">
      <formula>OR(IF(BL48&lt;BM48,TRUE),IF(AND(BM48="",BL48&lt;&gt;""),TRUE))</formula>
    </cfRule>
    <cfRule type="expression" dxfId="314" priority="346">
      <formula>IF(BL48&gt;=BM48,IF(BL48="",FALSE,TRUE))</formula>
    </cfRule>
  </conditionalFormatting>
  <conditionalFormatting sqref="BU29:BU32 BS29:BS32 BS60:BS70 BU60:BU70 BS73:BS81 BU73:BU81">
    <cfRule type="expression" dxfId="313" priority="341">
      <formula>OR(IF(BS29&lt;BT29,TRUE),IF(AND(BT29="",BS29&lt;&gt;""),TRUE))</formula>
    </cfRule>
    <cfRule type="expression" dxfId="312" priority="342">
      <formula>IF(BS29&gt;=BT29,IF(BS29="",FALSE,TRUE))</formula>
    </cfRule>
  </conditionalFormatting>
  <conditionalFormatting sqref="BS19:BS23 BU19:BU23 BS5:BS16">
    <cfRule type="expression" dxfId="311" priority="339">
      <formula>OR(IF(BS5&lt;BT5,TRUE),IF(AND(BT5="",BS5&lt;&gt;""),TRUE))</formula>
    </cfRule>
    <cfRule type="expression" dxfId="310" priority="340">
      <formula>IF(BS5&gt;=BT5,IF(BS5="",FALSE,TRUE))</formula>
    </cfRule>
  </conditionalFormatting>
  <conditionalFormatting sqref="BU5:BU16">
    <cfRule type="expression" dxfId="309" priority="337">
      <formula>OR(IF(BU5&lt;BV5,TRUE),IF(AND(BV5="",BU5&lt;&gt;""),TRUE))</formula>
    </cfRule>
    <cfRule type="expression" dxfId="308" priority="338">
      <formula>IF(BU5&gt;=BV5,IF(BU5="",FALSE,TRUE))</formula>
    </cfRule>
  </conditionalFormatting>
  <conditionalFormatting sqref="BS27:BS28">
    <cfRule type="expression" dxfId="307" priority="335">
      <formula>OR(IF(BS27&lt;BT27,TRUE),IF(AND(BT27="",BS27&lt;&gt;""),TRUE))</formula>
    </cfRule>
    <cfRule type="expression" dxfId="306" priority="336">
      <formula>IF(BS27&gt;=BT27,IF(BS27="",FALSE,TRUE))</formula>
    </cfRule>
  </conditionalFormatting>
  <conditionalFormatting sqref="BU27:BU28">
    <cfRule type="expression" dxfId="305" priority="333">
      <formula>OR(IF(BU27&lt;BV27,TRUE),IF(AND(BV27="",BU27&lt;&gt;""),TRUE))</formula>
    </cfRule>
    <cfRule type="expression" dxfId="304" priority="334">
      <formula>IF(BU27&gt;=BV27,IF(BU27="",FALSE,TRUE))</formula>
    </cfRule>
  </conditionalFormatting>
  <conditionalFormatting sqref="BS24">
    <cfRule type="expression" dxfId="303" priority="331">
      <formula>OR(IF(BS24&lt;BT24,TRUE),IF(AND(BT24="",BS24&lt;&gt;""),TRUE))</formula>
    </cfRule>
    <cfRule type="expression" dxfId="302" priority="332">
      <formula>IF(BS24&gt;=BT24,IF(BS24="",FALSE,TRUE))</formula>
    </cfRule>
  </conditionalFormatting>
  <conditionalFormatting sqref="BU24">
    <cfRule type="expression" dxfId="301" priority="329">
      <formula>OR(IF(BU24&lt;BV24,TRUE),IF(AND(BV24="",BU24&lt;&gt;""),TRUE))</formula>
    </cfRule>
    <cfRule type="expression" dxfId="300" priority="330">
      <formula>IF(BU24&gt;=BV24,IF(BU24="",FALSE,TRUE))</formula>
    </cfRule>
  </conditionalFormatting>
  <conditionalFormatting sqref="BS36:BS47">
    <cfRule type="expression" dxfId="299" priority="327">
      <formula>OR(IF(BS36&lt;BT36,TRUE),IF(AND(BT36="",BS36&lt;&gt;""),TRUE))</formula>
    </cfRule>
    <cfRule type="expression" dxfId="298" priority="328">
      <formula>IF(BS36&gt;=BT36,IF(BS36="",FALSE,TRUE))</formula>
    </cfRule>
  </conditionalFormatting>
  <conditionalFormatting sqref="BU36:BU47">
    <cfRule type="expression" dxfId="297" priority="325">
      <formula>OR(IF(BU36&lt;BV36,TRUE),IF(AND(BV36="",BU36&lt;&gt;""),TRUE))</formula>
    </cfRule>
    <cfRule type="expression" dxfId="296" priority="326">
      <formula>IF(BU36&gt;=BV36,IF(BU36="",FALSE,TRUE))</formula>
    </cfRule>
  </conditionalFormatting>
  <conditionalFormatting sqref="BS94:BS105">
    <cfRule type="expression" dxfId="295" priority="319">
      <formula>OR(IF(BS94&lt;BT94,TRUE),IF(AND(BT94="",BS94&lt;&gt;""),TRUE))</formula>
    </cfRule>
    <cfRule type="expression" dxfId="294" priority="320">
      <formula>IF(BS94&gt;=BT94,IF(BS94="",FALSE,TRUE))</formula>
    </cfRule>
  </conditionalFormatting>
  <conditionalFormatting sqref="BU94:BU105">
    <cfRule type="expression" dxfId="293" priority="317">
      <formula>OR(IF(BU94&lt;BV94,TRUE),IF(AND(BV94="",BU94&lt;&gt;""),TRUE))</formula>
    </cfRule>
    <cfRule type="expression" dxfId="292" priority="318">
      <formula>IF(BU94&gt;=BV94,IF(BU94="",FALSE,TRUE))</formula>
    </cfRule>
  </conditionalFormatting>
  <conditionalFormatting sqref="BS108:BS119">
    <cfRule type="expression" dxfId="291" priority="315">
      <formula>OR(IF(BS108&lt;BT108,TRUE),IF(AND(BT108="",BS108&lt;&gt;""),TRUE))</formula>
    </cfRule>
    <cfRule type="expression" dxfId="290" priority="316">
      <formula>IF(BS108&gt;=BT108,IF(BS108="",FALSE,TRUE))</formula>
    </cfRule>
  </conditionalFormatting>
  <conditionalFormatting sqref="BU108:BU119">
    <cfRule type="expression" dxfId="289" priority="313">
      <formula>OR(IF(BU108&lt;BV108,TRUE),IF(AND(BV108="",BU108&lt;&gt;""),TRUE))</formula>
    </cfRule>
    <cfRule type="expression" dxfId="288" priority="314">
      <formula>IF(BU108&gt;=BV108,IF(BU108="",FALSE,TRUE))</formula>
    </cfRule>
  </conditionalFormatting>
  <conditionalFormatting sqref="BS122:BS133">
    <cfRule type="expression" dxfId="287" priority="311">
      <formula>OR(IF(BS122&lt;BT122,TRUE),IF(AND(BT122="",BS122&lt;&gt;""),TRUE))</formula>
    </cfRule>
    <cfRule type="expression" dxfId="286" priority="312">
      <formula>IF(BS122&gt;=BT122,IF(BS122="",FALSE,TRUE))</formula>
    </cfRule>
  </conditionalFormatting>
  <conditionalFormatting sqref="BU122:BU133">
    <cfRule type="expression" dxfId="285" priority="309">
      <formula>OR(IF(BU122&lt;BV122,TRUE),IF(AND(BV122="",BU122&lt;&gt;""),TRUE))</formula>
    </cfRule>
    <cfRule type="expression" dxfId="284" priority="310">
      <formula>IF(BU122&gt;=BV122,IF(BU122="",FALSE,TRUE))</formula>
    </cfRule>
  </conditionalFormatting>
  <conditionalFormatting sqref="BS48">
    <cfRule type="expression" dxfId="283" priority="307">
      <formula>OR(IF(BS48&lt;BT48,TRUE),IF(AND(BT48="",BS48&lt;&gt;""),TRUE))</formula>
    </cfRule>
    <cfRule type="expression" dxfId="282" priority="308">
      <formula>IF(BS48&gt;=BT48,IF(BS48="",FALSE,TRUE))</formula>
    </cfRule>
  </conditionalFormatting>
  <conditionalFormatting sqref="BU48">
    <cfRule type="expression" dxfId="281" priority="305">
      <formula>OR(IF(BU48&lt;BV48,TRUE),IF(AND(BV48="",BU48&lt;&gt;""),TRUE))</formula>
    </cfRule>
    <cfRule type="expression" dxfId="280" priority="306">
      <formula>IF(BU48&gt;=BV48,IF(BU48="",FALSE,TRUE))</formula>
    </cfRule>
  </conditionalFormatting>
  <conditionalFormatting sqref="CB29:CB32 BZ29:BZ32 BZ60:BZ70 CB60:CB70 BZ73:BZ81 CB73:CB81">
    <cfRule type="expression" dxfId="279" priority="303">
      <formula>OR(IF(BZ29&lt;CA29,TRUE),IF(AND(CA29="",BZ29&lt;&gt;""),TRUE))</formula>
    </cfRule>
    <cfRule type="expression" dxfId="278" priority="304">
      <formula>IF(BZ29&gt;=CA29,IF(BZ29="",FALSE,TRUE))</formula>
    </cfRule>
  </conditionalFormatting>
  <conditionalFormatting sqref="BZ19:BZ23 CB19:CB23 BZ5:BZ16">
    <cfRule type="expression" dxfId="277" priority="301">
      <formula>OR(IF(BZ5&lt;CA5,TRUE),IF(AND(CA5="",BZ5&lt;&gt;""),TRUE))</formula>
    </cfRule>
    <cfRule type="expression" dxfId="276" priority="302">
      <formula>IF(BZ5&gt;=CA5,IF(BZ5="",FALSE,TRUE))</formula>
    </cfRule>
  </conditionalFormatting>
  <conditionalFormatting sqref="CB5:CB16">
    <cfRule type="expression" dxfId="275" priority="299">
      <formula>OR(IF(CB5&lt;CC5,TRUE),IF(AND(CC5="",CB5&lt;&gt;""),TRUE))</formula>
    </cfRule>
    <cfRule type="expression" dxfId="274" priority="300">
      <formula>IF(CB5&gt;=CC5,IF(CB5="",FALSE,TRUE))</formula>
    </cfRule>
  </conditionalFormatting>
  <conditionalFormatting sqref="BZ27:BZ28">
    <cfRule type="expression" dxfId="273" priority="297">
      <formula>OR(IF(BZ27&lt;CA27,TRUE),IF(AND(CA27="",BZ27&lt;&gt;""),TRUE))</formula>
    </cfRule>
    <cfRule type="expression" dxfId="272" priority="298">
      <formula>IF(BZ27&gt;=CA27,IF(BZ27="",FALSE,TRUE))</formula>
    </cfRule>
  </conditionalFormatting>
  <conditionalFormatting sqref="CB27:CB28">
    <cfRule type="expression" dxfId="271" priority="295">
      <formula>OR(IF(CB27&lt;CC27,TRUE),IF(AND(CC27="",CB27&lt;&gt;""),TRUE))</formula>
    </cfRule>
    <cfRule type="expression" dxfId="270" priority="296">
      <formula>IF(CB27&gt;=CC27,IF(CB27="",FALSE,TRUE))</formula>
    </cfRule>
  </conditionalFormatting>
  <conditionalFormatting sqref="BZ24">
    <cfRule type="expression" dxfId="269" priority="293">
      <formula>OR(IF(BZ24&lt;CA24,TRUE),IF(AND(CA24="",BZ24&lt;&gt;""),TRUE))</formula>
    </cfRule>
    <cfRule type="expression" dxfId="268" priority="294">
      <formula>IF(BZ24&gt;=CA24,IF(BZ24="",FALSE,TRUE))</formula>
    </cfRule>
  </conditionalFormatting>
  <conditionalFormatting sqref="CB24">
    <cfRule type="expression" dxfId="267" priority="291">
      <formula>OR(IF(CB24&lt;CC24,TRUE),IF(AND(CC24="",CB24&lt;&gt;""),TRUE))</formula>
    </cfRule>
    <cfRule type="expression" dxfId="266" priority="292">
      <formula>IF(CB24&gt;=CC24,IF(CB24="",FALSE,TRUE))</formula>
    </cfRule>
  </conditionalFormatting>
  <conditionalFormatting sqref="BZ36:BZ47">
    <cfRule type="expression" dxfId="265" priority="289">
      <formula>OR(IF(BZ36&lt;CA36,TRUE),IF(AND(CA36="",BZ36&lt;&gt;""),TRUE))</formula>
    </cfRule>
    <cfRule type="expression" dxfId="264" priority="290">
      <formula>IF(BZ36&gt;=CA36,IF(BZ36="",FALSE,TRUE))</formula>
    </cfRule>
  </conditionalFormatting>
  <conditionalFormatting sqref="CB36:CB47">
    <cfRule type="expression" dxfId="263" priority="287">
      <formula>OR(IF(CB36&lt;CC36,TRUE),IF(AND(CC36="",CB36&lt;&gt;""),TRUE))</formula>
    </cfRule>
    <cfRule type="expression" dxfId="262" priority="288">
      <formula>IF(CB36&gt;=CC36,IF(CB36="",FALSE,TRUE))</formula>
    </cfRule>
  </conditionalFormatting>
  <conditionalFormatting sqref="BZ94:BZ105">
    <cfRule type="expression" dxfId="261" priority="281">
      <formula>OR(IF(BZ94&lt;CA94,TRUE),IF(AND(CA94="",BZ94&lt;&gt;""),TRUE))</formula>
    </cfRule>
    <cfRule type="expression" dxfId="260" priority="282">
      <formula>IF(BZ94&gt;=CA94,IF(BZ94="",FALSE,TRUE))</formula>
    </cfRule>
  </conditionalFormatting>
  <conditionalFormatting sqref="CB94:CB105">
    <cfRule type="expression" dxfId="259" priority="279">
      <formula>OR(IF(CB94&lt;CC94,TRUE),IF(AND(CC94="",CB94&lt;&gt;""),TRUE))</formula>
    </cfRule>
    <cfRule type="expression" dxfId="258" priority="280">
      <formula>IF(CB94&gt;=CC94,IF(CB94="",FALSE,TRUE))</formula>
    </cfRule>
  </conditionalFormatting>
  <conditionalFormatting sqref="BZ108:BZ119">
    <cfRule type="expression" dxfId="257" priority="277">
      <formula>OR(IF(BZ108&lt;CA108,TRUE),IF(AND(CA108="",BZ108&lt;&gt;""),TRUE))</formula>
    </cfRule>
    <cfRule type="expression" dxfId="256" priority="278">
      <formula>IF(BZ108&gt;=CA108,IF(BZ108="",FALSE,TRUE))</formula>
    </cfRule>
  </conditionalFormatting>
  <conditionalFormatting sqref="CB108:CB119">
    <cfRule type="expression" dxfId="255" priority="275">
      <formula>OR(IF(CB108&lt;CC108,TRUE),IF(AND(CC108="",CB108&lt;&gt;""),TRUE))</formula>
    </cfRule>
    <cfRule type="expression" dxfId="254" priority="276">
      <formula>IF(CB108&gt;=CC108,IF(CB108="",FALSE,TRUE))</formula>
    </cfRule>
  </conditionalFormatting>
  <conditionalFormatting sqref="BZ122:BZ133">
    <cfRule type="expression" dxfId="253" priority="273">
      <formula>OR(IF(BZ122&lt;CA122,TRUE),IF(AND(CA122="",BZ122&lt;&gt;""),TRUE))</formula>
    </cfRule>
    <cfRule type="expression" dxfId="252" priority="274">
      <formula>IF(BZ122&gt;=CA122,IF(BZ122="",FALSE,TRUE))</formula>
    </cfRule>
  </conditionalFormatting>
  <conditionalFormatting sqref="CB122:CB133">
    <cfRule type="expression" dxfId="251" priority="271">
      <formula>OR(IF(CB122&lt;CC122,TRUE),IF(AND(CC122="",CB122&lt;&gt;""),TRUE))</formula>
    </cfRule>
    <cfRule type="expression" dxfId="250" priority="272">
      <formula>IF(CB122&gt;=CC122,IF(CB122="",FALSE,TRUE))</formula>
    </cfRule>
  </conditionalFormatting>
  <conditionalFormatting sqref="BZ48">
    <cfRule type="expression" dxfId="249" priority="269">
      <formula>OR(IF(BZ48&lt;CA48,TRUE),IF(AND(CA48="",BZ48&lt;&gt;""),TRUE))</formula>
    </cfRule>
    <cfRule type="expression" dxfId="248" priority="270">
      <formula>IF(BZ48&gt;=CA48,IF(BZ48="",FALSE,TRUE))</formula>
    </cfRule>
  </conditionalFormatting>
  <conditionalFormatting sqref="CB48">
    <cfRule type="expression" dxfId="247" priority="267">
      <formula>OR(IF(CB48&lt;CC48,TRUE),IF(AND(CC48="",CB48&lt;&gt;""),TRUE))</formula>
    </cfRule>
    <cfRule type="expression" dxfId="246" priority="268">
      <formula>IF(CB48&gt;=CC48,IF(CB48="",FALSE,TRUE))</formula>
    </cfRule>
  </conditionalFormatting>
  <conditionalFormatting sqref="CI29:CI32 CG29:CG32 CG60:CG70 CI60:CI70 CG73:CG81 CI73:CI81">
    <cfRule type="expression" dxfId="245" priority="265">
      <formula>OR(IF(CG29&lt;CH29,TRUE),IF(AND(CH29="",CG29&lt;&gt;""),TRUE))</formula>
    </cfRule>
    <cfRule type="expression" dxfId="244" priority="266">
      <formula>IF(CG29&gt;=CH29,IF(CG29="",FALSE,TRUE))</formula>
    </cfRule>
  </conditionalFormatting>
  <conditionalFormatting sqref="CG19:CG23 CI19:CI23 CG5:CG16">
    <cfRule type="expression" dxfId="243" priority="263">
      <formula>OR(IF(CG5&lt;CH5,TRUE),IF(AND(CH5="",CG5&lt;&gt;""),TRUE))</formula>
    </cfRule>
    <cfRule type="expression" dxfId="242" priority="264">
      <formula>IF(CG5&gt;=CH5,IF(CG5="",FALSE,TRUE))</formula>
    </cfRule>
  </conditionalFormatting>
  <conditionalFormatting sqref="CI5:CI16">
    <cfRule type="expression" dxfId="241" priority="261">
      <formula>OR(IF(CI5&lt;CJ5,TRUE),IF(AND(CJ5="",CI5&lt;&gt;""),TRUE))</formula>
    </cfRule>
    <cfRule type="expression" dxfId="240" priority="262">
      <formula>IF(CI5&gt;=CJ5,IF(CI5="",FALSE,TRUE))</formula>
    </cfRule>
  </conditionalFormatting>
  <conditionalFormatting sqref="CG27:CG28">
    <cfRule type="expression" dxfId="239" priority="259">
      <formula>OR(IF(CG27&lt;CH27,TRUE),IF(AND(CH27="",CG27&lt;&gt;""),TRUE))</formula>
    </cfRule>
    <cfRule type="expression" dxfId="238" priority="260">
      <formula>IF(CG27&gt;=CH27,IF(CG27="",FALSE,TRUE))</formula>
    </cfRule>
  </conditionalFormatting>
  <conditionalFormatting sqref="CI27:CI28">
    <cfRule type="expression" dxfId="237" priority="257">
      <formula>OR(IF(CI27&lt;CJ27,TRUE),IF(AND(CJ27="",CI27&lt;&gt;""),TRUE))</formula>
    </cfRule>
    <cfRule type="expression" dxfId="236" priority="258">
      <formula>IF(CI27&gt;=CJ27,IF(CI27="",FALSE,TRUE))</formula>
    </cfRule>
  </conditionalFormatting>
  <conditionalFormatting sqref="CG24">
    <cfRule type="expression" dxfId="235" priority="255">
      <formula>OR(IF(CG24&lt;CH24,TRUE),IF(AND(CH24="",CG24&lt;&gt;""),TRUE))</formula>
    </cfRule>
    <cfRule type="expression" dxfId="234" priority="256">
      <formula>IF(CG24&gt;=CH24,IF(CG24="",FALSE,TRUE))</formula>
    </cfRule>
  </conditionalFormatting>
  <conditionalFormatting sqref="CI24">
    <cfRule type="expression" dxfId="233" priority="253">
      <formula>OR(IF(CI24&lt;CJ24,TRUE),IF(AND(CJ24="",CI24&lt;&gt;""),TRUE))</formula>
    </cfRule>
    <cfRule type="expression" dxfId="232" priority="254">
      <formula>IF(CI24&gt;=CJ24,IF(CI24="",FALSE,TRUE))</formula>
    </cfRule>
  </conditionalFormatting>
  <conditionalFormatting sqref="CG36:CG47">
    <cfRule type="expression" dxfId="231" priority="251">
      <formula>OR(IF(CG36&lt;CH36,TRUE),IF(AND(CH36="",CG36&lt;&gt;""),TRUE))</formula>
    </cfRule>
    <cfRule type="expression" dxfId="230" priority="252">
      <formula>IF(CG36&gt;=CH36,IF(CG36="",FALSE,TRUE))</formula>
    </cfRule>
  </conditionalFormatting>
  <conditionalFormatting sqref="CI36:CI47">
    <cfRule type="expression" dxfId="229" priority="249">
      <formula>OR(IF(CI36&lt;CJ36,TRUE),IF(AND(CJ36="",CI36&lt;&gt;""),TRUE))</formula>
    </cfRule>
    <cfRule type="expression" dxfId="228" priority="250">
      <formula>IF(CI36&gt;=CJ36,IF(CI36="",FALSE,TRUE))</formula>
    </cfRule>
  </conditionalFormatting>
  <conditionalFormatting sqref="CG94:CG105">
    <cfRule type="expression" dxfId="227" priority="243">
      <formula>OR(IF(CG94&lt;CH94,TRUE),IF(AND(CH94="",CG94&lt;&gt;""),TRUE))</formula>
    </cfRule>
    <cfRule type="expression" dxfId="226" priority="244">
      <formula>IF(CG94&gt;=CH94,IF(CG94="",FALSE,TRUE))</formula>
    </cfRule>
  </conditionalFormatting>
  <conditionalFormatting sqref="CI94:CI105">
    <cfRule type="expression" dxfId="225" priority="241">
      <formula>OR(IF(CI94&lt;CJ94,TRUE),IF(AND(CJ94="",CI94&lt;&gt;""),TRUE))</formula>
    </cfRule>
    <cfRule type="expression" dxfId="224" priority="242">
      <formula>IF(CI94&gt;=CJ94,IF(CI94="",FALSE,TRUE))</formula>
    </cfRule>
  </conditionalFormatting>
  <conditionalFormatting sqref="CG108:CG119">
    <cfRule type="expression" dxfId="223" priority="239">
      <formula>OR(IF(CG108&lt;CH108,TRUE),IF(AND(CH108="",CG108&lt;&gt;""),TRUE))</formula>
    </cfRule>
    <cfRule type="expression" dxfId="222" priority="240">
      <formula>IF(CG108&gt;=CH108,IF(CG108="",FALSE,TRUE))</formula>
    </cfRule>
  </conditionalFormatting>
  <conditionalFormatting sqref="CI108:CI119">
    <cfRule type="expression" dxfId="221" priority="237">
      <formula>OR(IF(CI108&lt;CJ108,TRUE),IF(AND(CJ108="",CI108&lt;&gt;""),TRUE))</formula>
    </cfRule>
    <cfRule type="expression" dxfId="220" priority="238">
      <formula>IF(CI108&gt;=CJ108,IF(CI108="",FALSE,TRUE))</formula>
    </cfRule>
  </conditionalFormatting>
  <conditionalFormatting sqref="CG122:CG133">
    <cfRule type="expression" dxfId="219" priority="235">
      <formula>OR(IF(CG122&lt;CH122,TRUE),IF(AND(CH122="",CG122&lt;&gt;""),TRUE))</formula>
    </cfRule>
    <cfRule type="expression" dxfId="218" priority="236">
      <formula>IF(CG122&gt;=CH122,IF(CG122="",FALSE,TRUE))</formula>
    </cfRule>
  </conditionalFormatting>
  <conditionalFormatting sqref="CI122:CI133">
    <cfRule type="expression" dxfId="217" priority="233">
      <formula>OR(IF(CI122&lt;CJ122,TRUE),IF(AND(CJ122="",CI122&lt;&gt;""),TRUE))</formula>
    </cfRule>
    <cfRule type="expression" dxfId="216" priority="234">
      <formula>IF(CI122&gt;=CJ122,IF(CI122="",FALSE,TRUE))</formula>
    </cfRule>
  </conditionalFormatting>
  <conditionalFormatting sqref="CG48">
    <cfRule type="expression" dxfId="215" priority="231">
      <formula>OR(IF(CG48&lt;CH48,TRUE),IF(AND(CH48="",CG48&lt;&gt;""),TRUE))</formula>
    </cfRule>
    <cfRule type="expression" dxfId="214" priority="232">
      <formula>IF(CG48&gt;=CH48,IF(CG48="",FALSE,TRUE))</formula>
    </cfRule>
  </conditionalFormatting>
  <conditionalFormatting sqref="CI48">
    <cfRule type="expression" dxfId="213" priority="229">
      <formula>OR(IF(CI48&lt;CJ48,TRUE),IF(AND(CJ48="",CI48&lt;&gt;""),TRUE))</formula>
    </cfRule>
    <cfRule type="expression" dxfId="212" priority="230">
      <formula>IF(CI48&gt;=CJ48,IF(CI48="",FALSE,TRUE))</formula>
    </cfRule>
  </conditionalFormatting>
  <conditionalFormatting sqref="CP29:CP32 CN29:CN32 CN60:CN70 CP60:CP70 CN73:CN81 CP73:CP81">
    <cfRule type="expression" dxfId="211" priority="227">
      <formula>OR(IF(CN29&lt;CO29,TRUE),IF(AND(CO29="",CN29&lt;&gt;""),TRUE))</formula>
    </cfRule>
    <cfRule type="expression" dxfId="210" priority="228">
      <formula>IF(CN29&gt;=CO29,IF(CN29="",FALSE,TRUE))</formula>
    </cfRule>
  </conditionalFormatting>
  <conditionalFormatting sqref="CN19:CN23 CP19:CP23 CN5:CN16">
    <cfRule type="expression" dxfId="209" priority="225">
      <formula>OR(IF(CN5&lt;CO5,TRUE),IF(AND(CO5="",CN5&lt;&gt;""),TRUE))</formula>
    </cfRule>
    <cfRule type="expression" dxfId="208" priority="226">
      <formula>IF(CN5&gt;=CO5,IF(CN5="",FALSE,TRUE))</formula>
    </cfRule>
  </conditionalFormatting>
  <conditionalFormatting sqref="CP5:CP16">
    <cfRule type="expression" dxfId="207" priority="223">
      <formula>OR(IF(CP5&lt;CQ5,TRUE),IF(AND(CQ5="",CP5&lt;&gt;""),TRUE))</formula>
    </cfRule>
    <cfRule type="expression" dxfId="206" priority="224">
      <formula>IF(CP5&gt;=CQ5,IF(CP5="",FALSE,TRUE))</formula>
    </cfRule>
  </conditionalFormatting>
  <conditionalFormatting sqref="CN27:CN28">
    <cfRule type="expression" dxfId="205" priority="221">
      <formula>OR(IF(CN27&lt;CO27,TRUE),IF(AND(CO27="",CN27&lt;&gt;""),TRUE))</formula>
    </cfRule>
    <cfRule type="expression" dxfId="204" priority="222">
      <formula>IF(CN27&gt;=CO27,IF(CN27="",FALSE,TRUE))</formula>
    </cfRule>
  </conditionalFormatting>
  <conditionalFormatting sqref="CP27:CP28">
    <cfRule type="expression" dxfId="203" priority="219">
      <formula>OR(IF(CP27&lt;CQ27,TRUE),IF(AND(CQ27="",CP27&lt;&gt;""),TRUE))</formula>
    </cfRule>
    <cfRule type="expression" dxfId="202" priority="220">
      <formula>IF(CP27&gt;=CQ27,IF(CP27="",FALSE,TRUE))</formula>
    </cfRule>
  </conditionalFormatting>
  <conditionalFormatting sqref="CN24">
    <cfRule type="expression" dxfId="201" priority="217">
      <formula>OR(IF(CN24&lt;CO24,TRUE),IF(AND(CO24="",CN24&lt;&gt;""),TRUE))</formula>
    </cfRule>
    <cfRule type="expression" dxfId="200" priority="218">
      <formula>IF(CN24&gt;=CO24,IF(CN24="",FALSE,TRUE))</formula>
    </cfRule>
  </conditionalFormatting>
  <conditionalFormatting sqref="CP24">
    <cfRule type="expression" dxfId="199" priority="215">
      <formula>OR(IF(CP24&lt;CQ24,TRUE),IF(AND(CQ24="",CP24&lt;&gt;""),TRUE))</formula>
    </cfRule>
    <cfRule type="expression" dxfId="198" priority="216">
      <formula>IF(CP24&gt;=CQ24,IF(CP24="",FALSE,TRUE))</formula>
    </cfRule>
  </conditionalFormatting>
  <conditionalFormatting sqref="CN36:CN47">
    <cfRule type="expression" dxfId="197" priority="213">
      <formula>OR(IF(CN36&lt;CO36,TRUE),IF(AND(CO36="",CN36&lt;&gt;""),TRUE))</formula>
    </cfRule>
    <cfRule type="expression" dxfId="196" priority="214">
      <formula>IF(CN36&gt;=CO36,IF(CN36="",FALSE,TRUE))</formula>
    </cfRule>
  </conditionalFormatting>
  <conditionalFormatting sqref="CP36:CP47">
    <cfRule type="expression" dxfId="195" priority="211">
      <formula>OR(IF(CP36&lt;CQ36,TRUE),IF(AND(CQ36="",CP36&lt;&gt;""),TRUE))</formula>
    </cfRule>
    <cfRule type="expression" dxfId="194" priority="212">
      <formula>IF(CP36&gt;=CQ36,IF(CP36="",FALSE,TRUE))</formula>
    </cfRule>
  </conditionalFormatting>
  <conditionalFormatting sqref="CN94:CN105">
    <cfRule type="expression" dxfId="193" priority="205">
      <formula>OR(IF(CN94&lt;CO94,TRUE),IF(AND(CO94="",CN94&lt;&gt;""),TRUE))</formula>
    </cfRule>
    <cfRule type="expression" dxfId="192" priority="206">
      <formula>IF(CN94&gt;=CO94,IF(CN94="",FALSE,TRUE))</formula>
    </cfRule>
  </conditionalFormatting>
  <conditionalFormatting sqref="CP94:CP105">
    <cfRule type="expression" dxfId="191" priority="203">
      <formula>OR(IF(CP94&lt;CQ94,TRUE),IF(AND(CQ94="",CP94&lt;&gt;""),TRUE))</formula>
    </cfRule>
    <cfRule type="expression" dxfId="190" priority="204">
      <formula>IF(CP94&gt;=CQ94,IF(CP94="",FALSE,TRUE))</formula>
    </cfRule>
  </conditionalFormatting>
  <conditionalFormatting sqref="CN108:CN119">
    <cfRule type="expression" dxfId="189" priority="201">
      <formula>OR(IF(CN108&lt;CO108,TRUE),IF(AND(CO108="",CN108&lt;&gt;""),TRUE))</formula>
    </cfRule>
    <cfRule type="expression" dxfId="188" priority="202">
      <formula>IF(CN108&gt;=CO108,IF(CN108="",FALSE,TRUE))</formula>
    </cfRule>
  </conditionalFormatting>
  <conditionalFormatting sqref="CP108:CP119">
    <cfRule type="expression" dxfId="187" priority="199">
      <formula>OR(IF(CP108&lt;CQ108,TRUE),IF(AND(CQ108="",CP108&lt;&gt;""),TRUE))</formula>
    </cfRule>
    <cfRule type="expression" dxfId="186" priority="200">
      <formula>IF(CP108&gt;=CQ108,IF(CP108="",FALSE,TRUE))</formula>
    </cfRule>
  </conditionalFormatting>
  <conditionalFormatting sqref="CN122:CN133">
    <cfRule type="expression" dxfId="185" priority="197">
      <formula>OR(IF(CN122&lt;CO122,TRUE),IF(AND(CO122="",CN122&lt;&gt;""),TRUE))</formula>
    </cfRule>
    <cfRule type="expression" dxfId="184" priority="198">
      <formula>IF(CN122&gt;=CO122,IF(CN122="",FALSE,TRUE))</formula>
    </cfRule>
  </conditionalFormatting>
  <conditionalFormatting sqref="CP122:CP133">
    <cfRule type="expression" dxfId="183" priority="195">
      <formula>OR(IF(CP122&lt;CQ122,TRUE),IF(AND(CQ122="",CP122&lt;&gt;""),TRUE))</formula>
    </cfRule>
    <cfRule type="expression" dxfId="182" priority="196">
      <formula>IF(CP122&gt;=CQ122,IF(CP122="",FALSE,TRUE))</formula>
    </cfRule>
  </conditionalFormatting>
  <conditionalFormatting sqref="CN48">
    <cfRule type="expression" dxfId="181" priority="193">
      <formula>OR(IF(CN48&lt;CO48,TRUE),IF(AND(CO48="",CN48&lt;&gt;""),TRUE))</formula>
    </cfRule>
    <cfRule type="expression" dxfId="180" priority="194">
      <formula>IF(CN48&gt;=CO48,IF(CN48="",FALSE,TRUE))</formula>
    </cfRule>
  </conditionalFormatting>
  <conditionalFormatting sqref="CP48">
    <cfRule type="expression" dxfId="179" priority="191">
      <formula>OR(IF(CP48&lt;CQ48,TRUE),IF(AND(CQ48="",CP48&lt;&gt;""),TRUE))</formula>
    </cfRule>
    <cfRule type="expression" dxfId="178" priority="192">
      <formula>IF(CP48&gt;=CQ48,IF(CP48="",FALSE,TRUE))</formula>
    </cfRule>
  </conditionalFormatting>
  <conditionalFormatting sqref="CW29:CW32 CU29:CU32 CU60:CU70 CW60:CW70 CU73:CU81 CW73:CW81">
    <cfRule type="expression" dxfId="177" priority="189">
      <formula>OR(IF(CU29&lt;CV29,TRUE),IF(AND(CV29="",CU29&lt;&gt;""),TRUE))</formula>
    </cfRule>
    <cfRule type="expression" dxfId="176" priority="190">
      <formula>IF(CU29&gt;=CV29,IF(CU29="",FALSE,TRUE))</formula>
    </cfRule>
  </conditionalFormatting>
  <conditionalFormatting sqref="CU19:CU23 CW19:CW23 CU5:CU16">
    <cfRule type="expression" dxfId="175" priority="187">
      <formula>OR(IF(CU5&lt;CV5,TRUE),IF(AND(CV5="",CU5&lt;&gt;""),TRUE))</formula>
    </cfRule>
    <cfRule type="expression" dxfId="174" priority="188">
      <formula>IF(CU5&gt;=CV5,IF(CU5="",FALSE,TRUE))</formula>
    </cfRule>
  </conditionalFormatting>
  <conditionalFormatting sqref="CW5:CW16">
    <cfRule type="expression" dxfId="173" priority="185">
      <formula>OR(IF(CW5&lt;CX5,TRUE),IF(AND(CX5="",CW5&lt;&gt;""),TRUE))</formula>
    </cfRule>
    <cfRule type="expression" dxfId="172" priority="186">
      <formula>IF(CW5&gt;=CX5,IF(CW5="",FALSE,TRUE))</formula>
    </cfRule>
  </conditionalFormatting>
  <conditionalFormatting sqref="CU27:CU28">
    <cfRule type="expression" dxfId="171" priority="183">
      <formula>OR(IF(CU27&lt;CV27,TRUE),IF(AND(CV27="",CU27&lt;&gt;""),TRUE))</formula>
    </cfRule>
    <cfRule type="expression" dxfId="170" priority="184">
      <formula>IF(CU27&gt;=CV27,IF(CU27="",FALSE,TRUE))</formula>
    </cfRule>
  </conditionalFormatting>
  <conditionalFormatting sqref="CW27:CW28">
    <cfRule type="expression" dxfId="169" priority="181">
      <formula>OR(IF(CW27&lt;CX27,TRUE),IF(AND(CX27="",CW27&lt;&gt;""),TRUE))</formula>
    </cfRule>
    <cfRule type="expression" dxfId="168" priority="182">
      <formula>IF(CW27&gt;=CX27,IF(CW27="",FALSE,TRUE))</formula>
    </cfRule>
  </conditionalFormatting>
  <conditionalFormatting sqref="CU24">
    <cfRule type="expression" dxfId="167" priority="179">
      <formula>OR(IF(CU24&lt;CV24,TRUE),IF(AND(CV24="",CU24&lt;&gt;""),TRUE))</formula>
    </cfRule>
    <cfRule type="expression" dxfId="166" priority="180">
      <formula>IF(CU24&gt;=CV24,IF(CU24="",FALSE,TRUE))</formula>
    </cfRule>
  </conditionalFormatting>
  <conditionalFormatting sqref="CW24">
    <cfRule type="expression" dxfId="165" priority="177">
      <formula>OR(IF(CW24&lt;CX24,TRUE),IF(AND(CX24="",CW24&lt;&gt;""),TRUE))</formula>
    </cfRule>
    <cfRule type="expression" dxfId="164" priority="178">
      <formula>IF(CW24&gt;=CX24,IF(CW24="",FALSE,TRUE))</formula>
    </cfRule>
  </conditionalFormatting>
  <conditionalFormatting sqref="CU36:CU47">
    <cfRule type="expression" dxfId="163" priority="175">
      <formula>OR(IF(CU36&lt;CV36,TRUE),IF(AND(CV36="",CU36&lt;&gt;""),TRUE))</formula>
    </cfRule>
    <cfRule type="expression" dxfId="162" priority="176">
      <formula>IF(CU36&gt;=CV36,IF(CU36="",FALSE,TRUE))</formula>
    </cfRule>
  </conditionalFormatting>
  <conditionalFormatting sqref="CW36:CW47">
    <cfRule type="expression" dxfId="161" priority="173">
      <formula>OR(IF(CW36&lt;CX36,TRUE),IF(AND(CX36="",CW36&lt;&gt;""),TRUE))</formula>
    </cfRule>
    <cfRule type="expression" dxfId="160" priority="174">
      <formula>IF(CW36&gt;=CX36,IF(CW36="",FALSE,TRUE))</formula>
    </cfRule>
  </conditionalFormatting>
  <conditionalFormatting sqref="CU94:CU105">
    <cfRule type="expression" dxfId="159" priority="167">
      <formula>OR(IF(CU94&lt;CV94,TRUE),IF(AND(CV94="",CU94&lt;&gt;""),TRUE))</formula>
    </cfRule>
    <cfRule type="expression" dxfId="158" priority="168">
      <formula>IF(CU94&gt;=CV94,IF(CU94="",FALSE,TRUE))</formula>
    </cfRule>
  </conditionalFormatting>
  <conditionalFormatting sqref="CW94:CW105">
    <cfRule type="expression" dxfId="157" priority="165">
      <formula>OR(IF(CW94&lt;CX94,TRUE),IF(AND(CX94="",CW94&lt;&gt;""),TRUE))</formula>
    </cfRule>
    <cfRule type="expression" dxfId="156" priority="166">
      <formula>IF(CW94&gt;=CX94,IF(CW94="",FALSE,TRUE))</formula>
    </cfRule>
  </conditionalFormatting>
  <conditionalFormatting sqref="CU108:CU119">
    <cfRule type="expression" dxfId="155" priority="163">
      <formula>OR(IF(CU108&lt;CV108,TRUE),IF(AND(CV108="",CU108&lt;&gt;""),TRUE))</formula>
    </cfRule>
    <cfRule type="expression" dxfId="154" priority="164">
      <formula>IF(CU108&gt;=CV108,IF(CU108="",FALSE,TRUE))</formula>
    </cfRule>
  </conditionalFormatting>
  <conditionalFormatting sqref="CW108:CW119">
    <cfRule type="expression" dxfId="153" priority="161">
      <formula>OR(IF(CW108&lt;CX108,TRUE),IF(AND(CX108="",CW108&lt;&gt;""),TRUE))</formula>
    </cfRule>
    <cfRule type="expression" dxfId="152" priority="162">
      <formula>IF(CW108&gt;=CX108,IF(CW108="",FALSE,TRUE))</formula>
    </cfRule>
  </conditionalFormatting>
  <conditionalFormatting sqref="CU122:CU133">
    <cfRule type="expression" dxfId="151" priority="159">
      <formula>OR(IF(CU122&lt;CV122,TRUE),IF(AND(CV122="",CU122&lt;&gt;""),TRUE))</formula>
    </cfRule>
    <cfRule type="expression" dxfId="150" priority="160">
      <formula>IF(CU122&gt;=CV122,IF(CU122="",FALSE,TRUE))</formula>
    </cfRule>
  </conditionalFormatting>
  <conditionalFormatting sqref="CW122:CW133">
    <cfRule type="expression" dxfId="149" priority="157">
      <formula>OR(IF(CW122&lt;CX122,TRUE),IF(AND(CX122="",CW122&lt;&gt;""),TRUE))</formula>
    </cfRule>
    <cfRule type="expression" dxfId="148" priority="158">
      <formula>IF(CW122&gt;=CX122,IF(CW122="",FALSE,TRUE))</formula>
    </cfRule>
  </conditionalFormatting>
  <conditionalFormatting sqref="CU48">
    <cfRule type="expression" dxfId="147" priority="155">
      <formula>OR(IF(CU48&lt;CV48,TRUE),IF(AND(CV48="",CU48&lt;&gt;""),TRUE))</formula>
    </cfRule>
    <cfRule type="expression" dxfId="146" priority="156">
      <formula>IF(CU48&gt;=CV48,IF(CU48="",FALSE,TRUE))</formula>
    </cfRule>
  </conditionalFormatting>
  <conditionalFormatting sqref="CW48">
    <cfRule type="expression" dxfId="145" priority="153">
      <formula>OR(IF(CW48&lt;CX48,TRUE),IF(AND(CX48="",CW48&lt;&gt;""),TRUE))</formula>
    </cfRule>
    <cfRule type="expression" dxfId="144" priority="154">
      <formula>IF(CW48&gt;=CX48,IF(CW48="",FALSE,TRUE))</formula>
    </cfRule>
  </conditionalFormatting>
  <conditionalFormatting sqref="DD29:DD32 DB29:DB32 DB60:DB70 DD60:DD70 DB73:DB81 DD73:DD81">
    <cfRule type="expression" dxfId="143" priority="151">
      <formula>OR(IF(DB29&lt;DC29,TRUE),IF(AND(DC29="",DB29&lt;&gt;""),TRUE))</formula>
    </cfRule>
    <cfRule type="expression" dxfId="142" priority="152">
      <formula>IF(DB29&gt;=DC29,IF(DB29="",FALSE,TRUE))</formula>
    </cfRule>
  </conditionalFormatting>
  <conditionalFormatting sqref="DB19:DB23 DD19:DD23 DB5:DB16">
    <cfRule type="expression" dxfId="141" priority="149">
      <formula>OR(IF(DB5&lt;DC5,TRUE),IF(AND(DC5="",DB5&lt;&gt;""),TRUE))</formula>
    </cfRule>
    <cfRule type="expression" dxfId="140" priority="150">
      <formula>IF(DB5&gt;=DC5,IF(DB5="",FALSE,TRUE))</formula>
    </cfRule>
  </conditionalFormatting>
  <conditionalFormatting sqref="DD5:DD16">
    <cfRule type="expression" dxfId="139" priority="147">
      <formula>OR(IF(DD5&lt;DE5,TRUE),IF(AND(DE5="",DD5&lt;&gt;""),TRUE))</formula>
    </cfRule>
    <cfRule type="expression" dxfId="138" priority="148">
      <formula>IF(DD5&gt;=DE5,IF(DD5="",FALSE,TRUE))</formula>
    </cfRule>
  </conditionalFormatting>
  <conditionalFormatting sqref="DB27:DB28">
    <cfRule type="expression" dxfId="137" priority="145">
      <formula>OR(IF(DB27&lt;DC27,TRUE),IF(AND(DC27="",DB27&lt;&gt;""),TRUE))</formula>
    </cfRule>
    <cfRule type="expression" dxfId="136" priority="146">
      <formula>IF(DB27&gt;=DC27,IF(DB27="",FALSE,TRUE))</formula>
    </cfRule>
  </conditionalFormatting>
  <conditionalFormatting sqref="DD27:DD28">
    <cfRule type="expression" dxfId="135" priority="143">
      <formula>OR(IF(DD27&lt;DE27,TRUE),IF(AND(DE27="",DD27&lt;&gt;""),TRUE))</formula>
    </cfRule>
    <cfRule type="expression" dxfId="134" priority="144">
      <formula>IF(DD27&gt;=DE27,IF(DD27="",FALSE,TRUE))</formula>
    </cfRule>
  </conditionalFormatting>
  <conditionalFormatting sqref="DB24">
    <cfRule type="expression" dxfId="133" priority="141">
      <formula>OR(IF(DB24&lt;DC24,TRUE),IF(AND(DC24="",DB24&lt;&gt;""),TRUE))</formula>
    </cfRule>
    <cfRule type="expression" dxfId="132" priority="142">
      <formula>IF(DB24&gt;=DC24,IF(DB24="",FALSE,TRUE))</formula>
    </cfRule>
  </conditionalFormatting>
  <conditionalFormatting sqref="DD24">
    <cfRule type="expression" dxfId="131" priority="139">
      <formula>OR(IF(DD24&lt;DE24,TRUE),IF(AND(DE24="",DD24&lt;&gt;""),TRUE))</formula>
    </cfRule>
    <cfRule type="expression" dxfId="130" priority="140">
      <formula>IF(DD24&gt;=DE24,IF(DD24="",FALSE,TRUE))</formula>
    </cfRule>
  </conditionalFormatting>
  <conditionalFormatting sqref="DB36:DB47">
    <cfRule type="expression" dxfId="129" priority="137">
      <formula>OR(IF(DB36&lt;DC36,TRUE),IF(AND(DC36="",DB36&lt;&gt;""),TRUE))</formula>
    </cfRule>
    <cfRule type="expression" dxfId="128" priority="138">
      <formula>IF(DB36&gt;=DC36,IF(DB36="",FALSE,TRUE))</formula>
    </cfRule>
  </conditionalFormatting>
  <conditionalFormatting sqref="DD36:DD47">
    <cfRule type="expression" dxfId="127" priority="135">
      <formula>OR(IF(DD36&lt;DE36,TRUE),IF(AND(DE36="",DD36&lt;&gt;""),TRUE))</formula>
    </cfRule>
    <cfRule type="expression" dxfId="126" priority="136">
      <formula>IF(DD36&gt;=DE36,IF(DD36="",FALSE,TRUE))</formula>
    </cfRule>
  </conditionalFormatting>
  <conditionalFormatting sqref="DB94:DB105">
    <cfRule type="expression" dxfId="125" priority="129">
      <formula>OR(IF(DB94&lt;DC94,TRUE),IF(AND(DC94="",DB94&lt;&gt;""),TRUE))</formula>
    </cfRule>
    <cfRule type="expression" dxfId="124" priority="130">
      <formula>IF(DB94&gt;=DC94,IF(DB94="",FALSE,TRUE))</formula>
    </cfRule>
  </conditionalFormatting>
  <conditionalFormatting sqref="DD94:DD105">
    <cfRule type="expression" dxfId="123" priority="127">
      <formula>OR(IF(DD94&lt;DE94,TRUE),IF(AND(DE94="",DD94&lt;&gt;""),TRUE))</formula>
    </cfRule>
    <cfRule type="expression" dxfId="122" priority="128">
      <formula>IF(DD94&gt;=DE94,IF(DD94="",FALSE,TRUE))</formula>
    </cfRule>
  </conditionalFormatting>
  <conditionalFormatting sqref="DB108:DB119">
    <cfRule type="expression" dxfId="121" priority="125">
      <formula>OR(IF(DB108&lt;DC108,TRUE),IF(AND(DC108="",DB108&lt;&gt;""),TRUE))</formula>
    </cfRule>
    <cfRule type="expression" dxfId="120" priority="126">
      <formula>IF(DB108&gt;=DC108,IF(DB108="",FALSE,TRUE))</formula>
    </cfRule>
  </conditionalFormatting>
  <conditionalFormatting sqref="DD108:DD119">
    <cfRule type="expression" dxfId="119" priority="123">
      <formula>OR(IF(DD108&lt;DE108,TRUE),IF(AND(DE108="",DD108&lt;&gt;""),TRUE))</formula>
    </cfRule>
    <cfRule type="expression" dxfId="118" priority="124">
      <formula>IF(DD108&gt;=DE108,IF(DD108="",FALSE,TRUE))</formula>
    </cfRule>
  </conditionalFormatting>
  <conditionalFormatting sqref="DB122:DB133">
    <cfRule type="expression" dxfId="117" priority="121">
      <formula>OR(IF(DB122&lt;DC122,TRUE),IF(AND(DC122="",DB122&lt;&gt;""),TRUE))</formula>
    </cfRule>
    <cfRule type="expression" dxfId="116" priority="122">
      <formula>IF(DB122&gt;=DC122,IF(DB122="",FALSE,TRUE))</formula>
    </cfRule>
  </conditionalFormatting>
  <conditionalFormatting sqref="DD122:DD133">
    <cfRule type="expression" dxfId="115" priority="119">
      <formula>OR(IF(DD122&lt;DE122,TRUE),IF(AND(DE122="",DD122&lt;&gt;""),TRUE))</formula>
    </cfRule>
    <cfRule type="expression" dxfId="114" priority="120">
      <formula>IF(DD122&gt;=DE122,IF(DD122="",FALSE,TRUE))</formula>
    </cfRule>
  </conditionalFormatting>
  <conditionalFormatting sqref="DB48">
    <cfRule type="expression" dxfId="113" priority="117">
      <formula>OR(IF(DB48&lt;DC48,TRUE),IF(AND(DC48="",DB48&lt;&gt;""),TRUE))</formula>
    </cfRule>
    <cfRule type="expression" dxfId="112" priority="118">
      <formula>IF(DB48&gt;=DC48,IF(DB48="",FALSE,TRUE))</formula>
    </cfRule>
  </conditionalFormatting>
  <conditionalFormatting sqref="DK48">
    <cfRule type="expression" dxfId="111" priority="77">
      <formula>OR(IF(DK48&lt;DL48,TRUE),IF(AND(DL48="",DK48&lt;&gt;""),TRUE))</formula>
    </cfRule>
    <cfRule type="expression" dxfId="110" priority="78">
      <formula>IF(DK48&gt;=DL48,IF(DK48="",FALSE,TRUE))</formula>
    </cfRule>
  </conditionalFormatting>
  <conditionalFormatting sqref="DK29:DK32 DI29:DI32 DI60:DI70 DK60:DK70 DI73:DI81 DK73:DK81">
    <cfRule type="expression" dxfId="109" priority="113">
      <formula>OR(IF(DI29&lt;DJ29,TRUE),IF(AND(DJ29="",DI29&lt;&gt;""),TRUE))</formula>
    </cfRule>
    <cfRule type="expression" dxfId="108" priority="114">
      <formula>IF(DI29&gt;=DJ29,IF(DI29="",FALSE,TRUE))</formula>
    </cfRule>
  </conditionalFormatting>
  <conditionalFormatting sqref="DI19:DI23 DK19:DK23 DI5:DI16">
    <cfRule type="expression" dxfId="107" priority="111">
      <formula>OR(IF(DI5&lt;DJ5,TRUE),IF(AND(DJ5="",DI5&lt;&gt;""),TRUE))</formula>
    </cfRule>
    <cfRule type="expression" dxfId="106" priority="112">
      <formula>IF(DI5&gt;=DJ5,IF(DI5="",FALSE,TRUE))</formula>
    </cfRule>
  </conditionalFormatting>
  <conditionalFormatting sqref="DK5:DK16">
    <cfRule type="expression" dxfId="105" priority="109">
      <formula>OR(IF(DK5&lt;DL5,TRUE),IF(AND(DL5="",DK5&lt;&gt;""),TRUE))</formula>
    </cfRule>
    <cfRule type="expression" dxfId="104" priority="110">
      <formula>IF(DK5&gt;=DL5,IF(DK5="",FALSE,TRUE))</formula>
    </cfRule>
  </conditionalFormatting>
  <conditionalFormatting sqref="DI27:DI28">
    <cfRule type="expression" dxfId="103" priority="107">
      <formula>OR(IF(DI27&lt;DJ27,TRUE),IF(AND(DJ27="",DI27&lt;&gt;""),TRUE))</formula>
    </cfRule>
    <cfRule type="expression" dxfId="102" priority="108">
      <formula>IF(DI27&gt;=DJ27,IF(DI27="",FALSE,TRUE))</formula>
    </cfRule>
  </conditionalFormatting>
  <conditionalFormatting sqref="DK27:DK28">
    <cfRule type="expression" dxfId="101" priority="105">
      <formula>OR(IF(DK27&lt;DL27,TRUE),IF(AND(DL27="",DK27&lt;&gt;""),TRUE))</formula>
    </cfRule>
    <cfRule type="expression" dxfId="100" priority="106">
      <formula>IF(DK27&gt;=DL27,IF(DK27="",FALSE,TRUE))</formula>
    </cfRule>
  </conditionalFormatting>
  <conditionalFormatting sqref="DI24">
    <cfRule type="expression" dxfId="99" priority="103">
      <formula>OR(IF(DI24&lt;DJ24,TRUE),IF(AND(DJ24="",DI24&lt;&gt;""),TRUE))</formula>
    </cfRule>
    <cfRule type="expression" dxfId="98" priority="104">
      <formula>IF(DI24&gt;=DJ24,IF(DI24="",FALSE,TRUE))</formula>
    </cfRule>
  </conditionalFormatting>
  <conditionalFormatting sqref="DK24">
    <cfRule type="expression" dxfId="97" priority="101">
      <formula>OR(IF(DK24&lt;DL24,TRUE),IF(AND(DL24="",DK24&lt;&gt;""),TRUE))</formula>
    </cfRule>
    <cfRule type="expression" dxfId="96" priority="102">
      <formula>IF(DK24&gt;=DL24,IF(DK24="",FALSE,TRUE))</formula>
    </cfRule>
  </conditionalFormatting>
  <conditionalFormatting sqref="DI36:DI47">
    <cfRule type="expression" dxfId="95" priority="99">
      <formula>OR(IF(DI36&lt;DJ36,TRUE),IF(AND(DJ36="",DI36&lt;&gt;""),TRUE))</formula>
    </cfRule>
    <cfRule type="expression" dxfId="94" priority="100">
      <formula>IF(DI36&gt;=DJ36,IF(DI36="",FALSE,TRUE))</formula>
    </cfRule>
  </conditionalFormatting>
  <conditionalFormatting sqref="DK36:DK47">
    <cfRule type="expression" dxfId="93" priority="97">
      <formula>OR(IF(DK36&lt;DL36,TRUE),IF(AND(DL36="",DK36&lt;&gt;""),TRUE))</formula>
    </cfRule>
    <cfRule type="expression" dxfId="92" priority="98">
      <formula>IF(DK36&gt;=DL36,IF(DK36="",FALSE,TRUE))</formula>
    </cfRule>
  </conditionalFormatting>
  <conditionalFormatting sqref="DI94:DI105">
    <cfRule type="expression" dxfId="91" priority="91">
      <formula>OR(IF(DI94&lt;DJ94,TRUE),IF(AND(DJ94="",DI94&lt;&gt;""),TRUE))</formula>
    </cfRule>
    <cfRule type="expression" dxfId="90" priority="92">
      <formula>IF(DI94&gt;=DJ94,IF(DI94="",FALSE,TRUE))</formula>
    </cfRule>
  </conditionalFormatting>
  <conditionalFormatting sqref="DK94:DK105">
    <cfRule type="expression" dxfId="89" priority="89">
      <formula>OR(IF(DK94&lt;DL94,TRUE),IF(AND(DL94="",DK94&lt;&gt;""),TRUE))</formula>
    </cfRule>
    <cfRule type="expression" dxfId="88" priority="90">
      <formula>IF(DK94&gt;=DL94,IF(DK94="",FALSE,TRUE))</formula>
    </cfRule>
  </conditionalFormatting>
  <conditionalFormatting sqref="DI108:DI119">
    <cfRule type="expression" dxfId="87" priority="87">
      <formula>OR(IF(DI108&lt;DJ108,TRUE),IF(AND(DJ108="",DI108&lt;&gt;""),TRUE))</formula>
    </cfRule>
    <cfRule type="expression" dxfId="86" priority="88">
      <formula>IF(DI108&gt;=DJ108,IF(DI108="",FALSE,TRUE))</formula>
    </cfRule>
  </conditionalFormatting>
  <conditionalFormatting sqref="DK108:DK119">
    <cfRule type="expression" dxfId="85" priority="85">
      <formula>OR(IF(DK108&lt;DL108,TRUE),IF(AND(DL108="",DK108&lt;&gt;""),TRUE))</formula>
    </cfRule>
    <cfRule type="expression" dxfId="84" priority="86">
      <formula>IF(DK108&gt;=DL108,IF(DK108="",FALSE,TRUE))</formula>
    </cfRule>
  </conditionalFormatting>
  <conditionalFormatting sqref="DI122:DI133">
    <cfRule type="expression" dxfId="83" priority="83">
      <formula>OR(IF(DI122&lt;DJ122,TRUE),IF(AND(DJ122="",DI122&lt;&gt;""),TRUE))</formula>
    </cfRule>
    <cfRule type="expression" dxfId="82" priority="84">
      <formula>IF(DI122&gt;=DJ122,IF(DI122="",FALSE,TRUE))</formula>
    </cfRule>
  </conditionalFormatting>
  <conditionalFormatting sqref="DK122:DK133">
    <cfRule type="expression" dxfId="81" priority="81">
      <formula>OR(IF(DK122&lt;DL122,TRUE),IF(AND(DL122="",DK122&lt;&gt;""),TRUE))</formula>
    </cfRule>
    <cfRule type="expression" dxfId="80" priority="82">
      <formula>IF(DK122&gt;=DL122,IF(DK122="",FALSE,TRUE))</formula>
    </cfRule>
  </conditionalFormatting>
  <conditionalFormatting sqref="DI48">
    <cfRule type="expression" dxfId="79" priority="79">
      <formula>OR(IF(DI48&lt;DJ48,TRUE),IF(AND(DJ48="",DI48&lt;&gt;""),TRUE))</formula>
    </cfRule>
    <cfRule type="expression" dxfId="78" priority="80">
      <formula>IF(DI48&gt;=DJ48,IF(DI48="",FALSE,TRUE))</formula>
    </cfRule>
  </conditionalFormatting>
  <conditionalFormatting sqref="DR48">
    <cfRule type="expression" dxfId="77" priority="39">
      <formula>OR(IF(DR48&lt;DS48,TRUE),IF(AND(DS48="",DR48&lt;&gt;""),TRUE))</formula>
    </cfRule>
    <cfRule type="expression" dxfId="76" priority="40">
      <formula>IF(DR48&gt;=DS48,IF(DR48="",FALSE,TRUE))</formula>
    </cfRule>
  </conditionalFormatting>
  <conditionalFormatting sqref="DR29:DR32 DP29:DP32 DP60:DP70 DR60:DR70 DP73:DP81 DR73:DR81">
    <cfRule type="expression" dxfId="75" priority="75">
      <formula>OR(IF(DP29&lt;DQ29,TRUE),IF(AND(DQ29="",DP29&lt;&gt;""),TRUE))</formula>
    </cfRule>
    <cfRule type="expression" dxfId="74" priority="76">
      <formula>IF(DP29&gt;=DQ29,IF(DP29="",FALSE,TRUE))</formula>
    </cfRule>
  </conditionalFormatting>
  <conditionalFormatting sqref="DP19:DP23 DR19:DR23 DP5:DP16">
    <cfRule type="expression" dxfId="73" priority="73">
      <formula>OR(IF(DP5&lt;DQ5,TRUE),IF(AND(DQ5="",DP5&lt;&gt;""),TRUE))</formula>
    </cfRule>
    <cfRule type="expression" dxfId="72" priority="74">
      <formula>IF(DP5&gt;=DQ5,IF(DP5="",FALSE,TRUE))</formula>
    </cfRule>
  </conditionalFormatting>
  <conditionalFormatting sqref="DR5:DR16">
    <cfRule type="expression" dxfId="71" priority="71">
      <formula>OR(IF(DR5&lt;DS5,TRUE),IF(AND(DS5="",DR5&lt;&gt;""),TRUE))</formula>
    </cfRule>
    <cfRule type="expression" dxfId="70" priority="72">
      <formula>IF(DR5&gt;=DS5,IF(DR5="",FALSE,TRUE))</formula>
    </cfRule>
  </conditionalFormatting>
  <conditionalFormatting sqref="DP27:DP28">
    <cfRule type="expression" dxfId="69" priority="69">
      <formula>OR(IF(DP27&lt;DQ27,TRUE),IF(AND(DQ27="",DP27&lt;&gt;""),TRUE))</formula>
    </cfRule>
    <cfRule type="expression" dxfId="68" priority="70">
      <formula>IF(DP27&gt;=DQ27,IF(DP27="",FALSE,TRUE))</formula>
    </cfRule>
  </conditionalFormatting>
  <conditionalFormatting sqref="DR27:DR28">
    <cfRule type="expression" dxfId="67" priority="67">
      <formula>OR(IF(DR27&lt;DS27,TRUE),IF(AND(DS27="",DR27&lt;&gt;""),TRUE))</formula>
    </cfRule>
    <cfRule type="expression" dxfId="66" priority="68">
      <formula>IF(DR27&gt;=DS27,IF(DR27="",FALSE,TRUE))</formula>
    </cfRule>
  </conditionalFormatting>
  <conditionalFormatting sqref="DP24">
    <cfRule type="expression" dxfId="65" priority="65">
      <formula>OR(IF(DP24&lt;DQ24,TRUE),IF(AND(DQ24="",DP24&lt;&gt;""),TRUE))</formula>
    </cfRule>
    <cfRule type="expression" dxfId="64" priority="66">
      <formula>IF(DP24&gt;=DQ24,IF(DP24="",FALSE,TRUE))</formula>
    </cfRule>
  </conditionalFormatting>
  <conditionalFormatting sqref="DR24">
    <cfRule type="expression" dxfId="63" priority="63">
      <formula>OR(IF(DR24&lt;DS24,TRUE),IF(AND(DS24="",DR24&lt;&gt;""),TRUE))</formula>
    </cfRule>
    <cfRule type="expression" dxfId="62" priority="64">
      <formula>IF(DR24&gt;=DS24,IF(DR24="",FALSE,TRUE))</formula>
    </cfRule>
  </conditionalFormatting>
  <conditionalFormatting sqref="DP36:DP47">
    <cfRule type="expression" dxfId="61" priority="61">
      <formula>OR(IF(DP36&lt;DQ36,TRUE),IF(AND(DQ36="",DP36&lt;&gt;""),TRUE))</formula>
    </cfRule>
    <cfRule type="expression" dxfId="60" priority="62">
      <formula>IF(DP36&gt;=DQ36,IF(DP36="",FALSE,TRUE))</formula>
    </cfRule>
  </conditionalFormatting>
  <conditionalFormatting sqref="DR36:DR47">
    <cfRule type="expression" dxfId="59" priority="59">
      <formula>OR(IF(DR36&lt;DS36,TRUE),IF(AND(DS36="",DR36&lt;&gt;""),TRUE))</formula>
    </cfRule>
    <cfRule type="expression" dxfId="58" priority="60">
      <formula>IF(DR36&gt;=DS36,IF(DR36="",FALSE,TRUE))</formula>
    </cfRule>
  </conditionalFormatting>
  <conditionalFormatting sqref="DP94:DP105">
    <cfRule type="expression" dxfId="57" priority="53">
      <formula>OR(IF(DP94&lt;DQ94,TRUE),IF(AND(DQ94="",DP94&lt;&gt;""),TRUE))</formula>
    </cfRule>
    <cfRule type="expression" dxfId="56" priority="54">
      <formula>IF(DP94&gt;=DQ94,IF(DP94="",FALSE,TRUE))</formula>
    </cfRule>
  </conditionalFormatting>
  <conditionalFormatting sqref="DR94:DR105">
    <cfRule type="expression" dxfId="55" priority="51">
      <formula>OR(IF(DR94&lt;DS94,TRUE),IF(AND(DS94="",DR94&lt;&gt;""),TRUE))</formula>
    </cfRule>
    <cfRule type="expression" dxfId="54" priority="52">
      <formula>IF(DR94&gt;=DS94,IF(DR94="",FALSE,TRUE))</formula>
    </cfRule>
  </conditionalFormatting>
  <conditionalFormatting sqref="DP108:DP119">
    <cfRule type="expression" dxfId="53" priority="49">
      <formula>OR(IF(DP108&lt;DQ108,TRUE),IF(AND(DQ108="",DP108&lt;&gt;""),TRUE))</formula>
    </cfRule>
    <cfRule type="expression" dxfId="52" priority="50">
      <formula>IF(DP108&gt;=DQ108,IF(DP108="",FALSE,TRUE))</formula>
    </cfRule>
  </conditionalFormatting>
  <conditionalFormatting sqref="DR108:DR119">
    <cfRule type="expression" dxfId="51" priority="47">
      <formula>OR(IF(DR108&lt;DS108,TRUE),IF(AND(DS108="",DR108&lt;&gt;""),TRUE))</formula>
    </cfRule>
    <cfRule type="expression" dxfId="50" priority="48">
      <formula>IF(DR108&gt;=DS108,IF(DR108="",FALSE,TRUE))</formula>
    </cfRule>
  </conditionalFormatting>
  <conditionalFormatting sqref="DP122:DP133">
    <cfRule type="expression" dxfId="49" priority="45">
      <formula>OR(IF(DP122&lt;DQ122,TRUE),IF(AND(DQ122="",DP122&lt;&gt;""),TRUE))</formula>
    </cfRule>
    <cfRule type="expression" dxfId="48" priority="46">
      <formula>IF(DP122&gt;=DQ122,IF(DP122="",FALSE,TRUE))</formula>
    </cfRule>
  </conditionalFormatting>
  <conditionalFormatting sqref="DR122:DR133">
    <cfRule type="expression" dxfId="47" priority="43">
      <formula>OR(IF(DR122&lt;DS122,TRUE),IF(AND(DS122="",DR122&lt;&gt;""),TRUE))</formula>
    </cfRule>
    <cfRule type="expression" dxfId="46" priority="44">
      <formula>IF(DR122&gt;=DS122,IF(DR122="",FALSE,TRUE))</formula>
    </cfRule>
  </conditionalFormatting>
  <conditionalFormatting sqref="DP48">
    <cfRule type="expression" dxfId="45" priority="41">
      <formula>OR(IF(DP48&lt;DQ48,TRUE),IF(AND(DQ48="",DP48&lt;&gt;""),TRUE))</formula>
    </cfRule>
    <cfRule type="expression" dxfId="44" priority="42">
      <formula>IF(DP48&gt;=DQ48,IF(DP48="",FALSE,TRUE))</formula>
    </cfRule>
  </conditionalFormatting>
  <conditionalFormatting sqref="DZ29:DZ32 DX29:DX32 DX60:DX70 DZ60:DZ70 DX73:DX81 DZ73:DZ81">
    <cfRule type="expression" dxfId="43" priority="37">
      <formula>OR(IF(DX29&lt;DY29,TRUE),IF(AND(DY29="",DX29&lt;&gt;""),TRUE))</formula>
    </cfRule>
    <cfRule type="expression" dxfId="42" priority="38">
      <formula>IF(DX29&gt;=DY29,IF(DX29="",FALSE,TRUE))</formula>
    </cfRule>
  </conditionalFormatting>
  <conditionalFormatting sqref="DX19:DX23 DZ19:DZ23 DX5:DX16">
    <cfRule type="expression" dxfId="41" priority="35">
      <formula>OR(IF(DX5&lt;DY5,TRUE),IF(AND(DY5="",DX5&lt;&gt;""),TRUE))</formula>
    </cfRule>
    <cfRule type="expression" dxfId="40" priority="36">
      <formula>IF(DX5&gt;=DY5,IF(DX5="",FALSE,TRUE))</formula>
    </cfRule>
  </conditionalFormatting>
  <conditionalFormatting sqref="DZ5:DZ16">
    <cfRule type="expression" dxfId="39" priority="33">
      <formula>OR(IF(DZ5&lt;EA5,TRUE),IF(AND(EA5="",DZ5&lt;&gt;""),TRUE))</formula>
    </cfRule>
    <cfRule type="expression" dxfId="38" priority="34">
      <formula>IF(DZ5&gt;=EA5,IF(DZ5="",FALSE,TRUE))</formula>
    </cfRule>
  </conditionalFormatting>
  <conditionalFormatting sqref="DX27:DX28">
    <cfRule type="expression" dxfId="37" priority="31">
      <formula>OR(IF(DX27&lt;DY27,TRUE),IF(AND(DY27="",DX27&lt;&gt;""),TRUE))</formula>
    </cfRule>
    <cfRule type="expression" dxfId="36" priority="32">
      <formula>IF(DX27&gt;=DY27,IF(DX27="",FALSE,TRUE))</formula>
    </cfRule>
  </conditionalFormatting>
  <conditionalFormatting sqref="DZ27:DZ28">
    <cfRule type="expression" dxfId="35" priority="29">
      <formula>OR(IF(DZ27&lt;EA27,TRUE),IF(AND(EA27="",DZ27&lt;&gt;""),TRUE))</formula>
    </cfRule>
    <cfRule type="expression" dxfId="34" priority="30">
      <formula>IF(DZ27&gt;=EA27,IF(DZ27="",FALSE,TRUE))</formula>
    </cfRule>
  </conditionalFormatting>
  <conditionalFormatting sqref="DX24">
    <cfRule type="expression" dxfId="33" priority="27">
      <formula>OR(IF(DX24&lt;DY24,TRUE),IF(AND(DY24="",DX24&lt;&gt;""),TRUE))</formula>
    </cfRule>
    <cfRule type="expression" dxfId="32" priority="28">
      <formula>IF(DX24&gt;=DY24,IF(DX24="",FALSE,TRUE))</formula>
    </cfRule>
  </conditionalFormatting>
  <conditionalFormatting sqref="DZ24">
    <cfRule type="expression" dxfId="31" priority="25">
      <formula>OR(IF(DZ24&lt;EA24,TRUE),IF(AND(EA24="",DZ24&lt;&gt;""),TRUE))</formula>
    </cfRule>
    <cfRule type="expression" dxfId="30" priority="26">
      <formula>IF(DZ24&gt;=EA24,IF(DZ24="",FALSE,TRUE))</formula>
    </cfRule>
  </conditionalFormatting>
  <conditionalFormatting sqref="DX36:DX47">
    <cfRule type="expression" dxfId="29" priority="23">
      <formula>OR(IF(DX36&lt;DY36,TRUE),IF(AND(DY36="",DX36&lt;&gt;""),TRUE))</formula>
    </cfRule>
    <cfRule type="expression" dxfId="28" priority="24">
      <formula>IF(DX36&gt;=DY36,IF(DX36="",FALSE,TRUE))</formula>
    </cfRule>
  </conditionalFormatting>
  <conditionalFormatting sqref="DZ36:DZ47">
    <cfRule type="expression" dxfId="27" priority="21">
      <formula>OR(IF(DZ36&lt;EA36,TRUE),IF(AND(EA36="",DZ36&lt;&gt;""),TRUE))</formula>
    </cfRule>
    <cfRule type="expression" dxfId="26" priority="22">
      <formula>IF(DZ36&gt;=EA36,IF(DZ36="",FALSE,TRUE))</formula>
    </cfRule>
  </conditionalFormatting>
  <conditionalFormatting sqref="DX94:DX105">
    <cfRule type="expression" dxfId="25" priority="15">
      <formula>OR(IF(DX94&lt;DY94,TRUE),IF(AND(DY94="",DX94&lt;&gt;""),TRUE))</formula>
    </cfRule>
    <cfRule type="expression" dxfId="24" priority="16">
      <formula>IF(DX94&gt;=DY94,IF(DX94="",FALSE,TRUE))</formula>
    </cfRule>
  </conditionalFormatting>
  <conditionalFormatting sqref="DZ94:DZ105">
    <cfRule type="expression" dxfId="23" priority="13">
      <formula>OR(IF(DZ94&lt;EA94,TRUE),IF(AND(EA94="",DZ94&lt;&gt;""),TRUE))</formula>
    </cfRule>
    <cfRule type="expression" dxfId="22" priority="14">
      <formula>IF(DZ94&gt;=EA94,IF(DZ94="",FALSE,TRUE))</formula>
    </cfRule>
  </conditionalFormatting>
  <conditionalFormatting sqref="DX108:DX119">
    <cfRule type="expression" dxfId="21" priority="11">
      <formula>OR(IF(DX108&lt;DY108,TRUE),IF(AND(DY108="",DX108&lt;&gt;""),TRUE))</formula>
    </cfRule>
    <cfRule type="expression" dxfId="20" priority="12">
      <formula>IF(DX108&gt;=DY108,IF(DX108="",FALSE,TRUE))</formula>
    </cfRule>
  </conditionalFormatting>
  <conditionalFormatting sqref="DZ108:DZ119">
    <cfRule type="expression" dxfId="19" priority="9">
      <formula>OR(IF(DZ108&lt;EA108,TRUE),IF(AND(EA108="",DZ108&lt;&gt;""),TRUE))</formula>
    </cfRule>
    <cfRule type="expression" dxfId="18" priority="10">
      <formula>IF(DZ108&gt;=EA108,IF(DZ108="",FALSE,TRUE))</formula>
    </cfRule>
  </conditionalFormatting>
  <conditionalFormatting sqref="DX122:DX133">
    <cfRule type="expression" dxfId="17" priority="7">
      <formula>OR(IF(DX122&lt;DY122,TRUE),IF(AND(DY122="",DX122&lt;&gt;""),TRUE))</formula>
    </cfRule>
    <cfRule type="expression" dxfId="16" priority="8">
      <formula>IF(DX122&gt;=DY122,IF(DX122="",FALSE,TRUE))</formula>
    </cfRule>
  </conditionalFormatting>
  <conditionalFormatting sqref="DZ122:DZ133">
    <cfRule type="expression" dxfId="15" priority="5">
      <formula>OR(IF(DZ122&lt;EA122,TRUE),IF(AND(EA122="",DZ122&lt;&gt;""),TRUE))</formula>
    </cfRule>
    <cfRule type="expression" dxfId="14" priority="6">
      <formula>IF(DZ122&gt;=EA122,IF(DZ122="",FALSE,TRUE))</formula>
    </cfRule>
  </conditionalFormatting>
  <conditionalFormatting sqref="DX48">
    <cfRule type="expression" dxfId="13" priority="3">
      <formula>OR(IF(DX48&lt;DY48,TRUE),IF(AND(DY48="",DX48&lt;&gt;""),TRUE))</formula>
    </cfRule>
    <cfRule type="expression" dxfId="12" priority="4">
      <formula>IF(DX48&gt;=DY48,IF(DX48="",FALSE,TRUE))</formula>
    </cfRule>
  </conditionalFormatting>
  <conditionalFormatting sqref="J50:K57">
    <cfRule type="colorScale" priority="861">
      <colorScale>
        <cfvo type="percent" val="0"/>
        <cfvo type="percent" val="100"/>
        <color rgb="FFFF231B"/>
        <color rgb="FF10FF07"/>
      </colorScale>
    </cfRule>
  </conditionalFormatting>
  <conditionalFormatting sqref="J84:K91">
    <cfRule type="colorScale" priority="862">
      <colorScale>
        <cfvo type="percent" val="0"/>
        <cfvo type="percent" val="100"/>
        <color rgb="FFFF231B"/>
        <color rgb="FF10FF07"/>
      </colorScale>
    </cfRule>
  </conditionalFormatting>
  <dataValidations disablePrompts="1" count="1">
    <dataValidation type="list" allowBlank="1" showInputMessage="1" showErrorMessage="1" sqref="O19:R24 O5:R16 V27:Y32 V19:Y24 V5:Y16 AC27:AF32 AC19:AF24 AC5:AF16 AJ27:AM32 AJ19:AM24 AJ5:AM16 AQ27:AT32 AQ5:AT16 BE27:BH32 AQ19:AT24 AX19:BA24 AX5:BA16 AX27:BA32 BE19:BH24 BE5:BH16 O27:R32 O36:R48 V36:Y48 AC36:AF48 AJ36:AM48 AQ36:AT48 AX36:BA48 BE36:BH48 O50:R57 V50:Y57 AC50:AF57 AJ50:AM57 AQ50:AT57 AX50:BA57 BE50:BH57 O60:R70 V60:Y70 AC60:AF70 AJ60:AM70 AQ60:AT70 AX60:BA70 BE60:BH70 O73:R81 V73:Y81 AC73:AF81 AJ73:AM81 AQ73:AT81 AX73:BA81 BE73:BH81 O84:R91 V84:Y91 AC84:AF91 AJ84:AM91 AQ84:AT91 AX84:BA91 BE84:BH91 O94:R105 V94:Y105 AC94:AF105 AJ94:AM105 AQ94:AT105 AX94:BA105 BE94:BH105 O108:R119 V108:Y119 AC108:AF119 AJ108:AM119 AQ108:AT119 AX108:BA119 BE108:BH119 O122:R133 V122:Y133 AC122:AF133 AJ122:AM133 AQ122:AT133 AX122:BA133 BE122:BH133 BL27:BO32 BL5:BO16 BL19:BO24 BL36:BO48 BL50:BO57 BL60:BO70 BL73:BO81 BL84:BO91 BL94:BO105 BL108:BO119 BL122:BO133 BS27:BV32 BS19:BV24 BS5:BV16 BS36:BV48 BS50:BV57 BS60:BV70 BS73:BV81 BS84:BV91 BS94:BV105 BS108:BV119 BS122:BV133 BZ27:CC32 BZ19:CC24 BZ5:CC16 BZ36:CC48 BZ50:CC57 BZ60:CC70 BZ73:CC81 BZ84:CC91 BZ94:CC105 BZ108:CC119 BZ122:CC133 CG27:CJ32 CG19:CJ24 CG5:CJ16 CG36:CJ48 CG50:CJ57 CG60:CJ70 CG73:CJ81 CG84:CJ91 CG94:CJ105 CG108:CJ119 CG122:CJ133 CN27:CQ32 CN19:CQ24 CN5:CQ16 CN36:CQ48 CN50:CQ57 CN60:CQ70 CN73:CQ81 CN84:CQ91 CN94:CQ105 CN108:CQ119 CN122:CQ133 CU27:CX32 CU19:CX24 CU5:CX16 CU36:CX48 CU50:CX57 CU60:CX70 CU73:CX81 CU84:CX91 CU94:CX105 CU108:CX119 CU122:CX133 DB27:DE32 DB19:DE24 DB5:DE16 DB36:DE48 DB50:DE57 DB60:DE70 DB73:DE81 DB84:DE91 DB94:DE105 DB108:DE119 DB122:DE133 DI27:DL32 DI19:DL24 DI5:DL16 DI36:DL48 DI50:DL57 DI60:DL70 DI73:DL81 DI84:DL91 DI94:DL105 DI108:DL119 DI122:DL133 DP27:DS32 DP19:DS24 DP5:DS16 DP36:DS48 DP50:DS57 DP60:DS70 DP73:DS81 DP84:DS91 DP94:DS105 DP108:DS119 DP122:DS133 DX27:EA32 DX19:EA24 DX5:EA16 DX36:EA48 DX50:EA57 DX60:EA70 DX73:EA81 DX84:EA91 DX94:EA105 DX108:EA119 DX122:EA133" xr:uid="{DF46768B-76BD-4AD1-BDD9-05E5E50A35C8}">
      <formula1>"10%,20%,30%,40%,50%,60%,70%,80%,90%,100%"</formula1>
    </dataValidation>
  </dataValidation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K2" sqref="K2"/>
    </sheetView>
  </sheetViews>
  <sheetFormatPr baseColWidth="10"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47</v>
      </c>
      <c r="B1" s="17" t="s">
        <v>44</v>
      </c>
      <c r="C1" s="17" t="s">
        <v>45</v>
      </c>
      <c r="D1" s="17" t="s">
        <v>46</v>
      </c>
      <c r="E1" s="1" t="s">
        <v>48</v>
      </c>
      <c r="F1" s="1" t="s">
        <v>49</v>
      </c>
      <c r="G1" s="1" t="s">
        <v>50</v>
      </c>
      <c r="H1" s="1" t="s">
        <v>51</v>
      </c>
      <c r="I1" s="1" t="s">
        <v>52</v>
      </c>
      <c r="J1" s="1" t="s">
        <v>53</v>
      </c>
      <c r="K1" s="1" t="s">
        <v>54</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B5" sqref="B5:B9"/>
    </sheetView>
  </sheetViews>
  <sheetFormatPr baseColWidth="10" defaultColWidth="10.625" defaultRowHeight="15.75"/>
  <sheetData>
    <row r="1" spans="1:8" ht="26.25">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2CB7343BA547449EFCF5C98A5DFF1C" ma:contentTypeVersion="4" ma:contentTypeDescription="Create a new document." ma:contentTypeScope="" ma:versionID="ac9ea53247fbce5f68481a04f0c964aa">
  <xsd:schema xmlns:xsd="http://www.w3.org/2001/XMLSchema" xmlns:xs="http://www.w3.org/2001/XMLSchema" xmlns:p="http://schemas.microsoft.com/office/2006/metadata/properties" xmlns:ns3="b4014bb8-251f-47f0-b2a4-8b6d0a98918a" targetNamespace="http://schemas.microsoft.com/office/2006/metadata/properties" ma:root="true" ma:fieldsID="0e2212d90717770274580d128d1ef761" ns3:_="">
    <xsd:import namespace="b4014bb8-251f-47f0-b2a4-8b6d0a98918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014bb8-251f-47f0-b2a4-8b6d0a9891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77F422-49C1-4BE9-A263-A4BD16925F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014bb8-251f-47f0-b2a4-8b6d0a9891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3E0DDD-1FE5-4958-BF67-33F134ABD4B2}">
  <ds:schemaRefs>
    <ds:schemaRef ds:uri="http://schemas.openxmlformats.org/package/2006/metadata/core-properties"/>
    <ds:schemaRef ds:uri="http://schemas.microsoft.com/office/2006/documentManagement/types"/>
    <ds:schemaRef ds:uri="http://purl.org/dc/elements/1.1/"/>
    <ds:schemaRef ds:uri="http://www.w3.org/XML/1998/namespace"/>
    <ds:schemaRef ds:uri="http://schemas.microsoft.com/office/2006/metadata/properties"/>
    <ds:schemaRef ds:uri="http://schemas.microsoft.com/office/infopath/2007/PartnerControls"/>
    <ds:schemaRef ds:uri="http://purl.org/dc/terms/"/>
    <ds:schemaRef ds:uri="b4014bb8-251f-47f0-b2a4-8b6d0a98918a"/>
    <ds:schemaRef ds:uri="http://purl.org/dc/dcmitype/"/>
  </ds:schemaRefs>
</ds:datastoreItem>
</file>

<file path=customXml/itemProps3.xml><?xml version="1.0" encoding="utf-8"?>
<ds:datastoreItem xmlns:ds="http://schemas.openxmlformats.org/officeDocument/2006/customXml" ds:itemID="{9441FCE0-1869-4AC1-8AEB-72330DD22D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Alina Klass</cp:lastModifiedBy>
  <dcterms:created xsi:type="dcterms:W3CDTF">2020-04-19T13:33:28Z</dcterms:created>
  <dcterms:modified xsi:type="dcterms:W3CDTF">2021-05-24T13:07:31Z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0x010100F62CB7343BA547449EFCF5C98A5DFF1C</vt:lpwstr>
  </property>
</Properties>
</file>