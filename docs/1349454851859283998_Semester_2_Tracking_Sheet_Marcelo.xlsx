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arcelorodrigues/Library/Mobile Documents/com~apple~CloudDocs/2.Semester/"/>
    </mc:Choice>
  </mc:AlternateContent>
  <xr:revisionPtr revIDLastSave="0" documentId="13_ncr:1_{03AF5FB6-44DB-BC45-9EB0-8C8717ABBCD3}" xr6:coauthVersionLast="47" xr6:coauthVersionMax="47" xr10:uidLastSave="{00000000-0000-0000-0000-000000000000}"/>
  <bookViews>
    <workbookView xWindow="17180" yWindow="940" windowWidth="16860" windowHeight="197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7" l="1"/>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G57" i="7"/>
  <c r="G42" i="7"/>
  <c r="K100" i="7" a="1"/>
  <c r="K100" i="7" s="1"/>
  <c r="J100" i="7" a="1"/>
  <c r="J100" i="7" s="1"/>
  <c r="I100" i="7"/>
  <c r="K99" i="7" a="1"/>
  <c r="K99" i="7" s="1"/>
  <c r="J99" i="7" a="1"/>
  <c r="J99" i="7" s="1"/>
  <c r="I99" i="7"/>
  <c r="K98" i="7" a="1"/>
  <c r="K98" i="7" s="1"/>
  <c r="J98" i="7" a="1"/>
  <c r="J98" i="7" s="1"/>
  <c r="I98" i="7"/>
  <c r="K97" i="7" a="1"/>
  <c r="K97" i="7" s="1"/>
  <c r="J97" i="7" a="1"/>
  <c r="J97" i="7" s="1"/>
  <c r="I97" i="7"/>
  <c r="K96" i="7" a="1"/>
  <c r="K96" i="7" s="1"/>
  <c r="J96" i="7" a="1"/>
  <c r="J96" i="7" s="1"/>
  <c r="I96" i="7"/>
  <c r="K95" i="7" a="1"/>
  <c r="K95" i="7" s="1"/>
  <c r="J95" i="7" a="1"/>
  <c r="J95" i="7" s="1"/>
  <c r="I95" i="7"/>
  <c r="K94" i="7" a="1"/>
  <c r="K94" i="7" s="1"/>
  <c r="J94" i="7" a="1"/>
  <c r="J94" i="7" s="1"/>
  <c r="I94" i="7"/>
  <c r="G93"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K40" i="7" a="1"/>
  <c r="K40" i="7" s="1"/>
  <c r="J40" i="7" a="1"/>
  <c r="J40" i="7" s="1"/>
  <c r="I40"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55" i="7" a="1"/>
  <c r="K55" i="7" s="1"/>
  <c r="J55" i="7" a="1"/>
  <c r="J55" i="7" s="1"/>
  <c r="I55"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G19" i="7"/>
  <c r="I20" i="7"/>
  <c r="J20" i="7" a="1"/>
  <c r="J20" i="7" s="1"/>
  <c r="K20" i="7" a="1"/>
  <c r="K20" i="7" s="1"/>
  <c r="I21" i="7"/>
  <c r="J21" i="7" a="1"/>
  <c r="J21" i="7" s="1"/>
  <c r="K21" i="7" a="1"/>
  <c r="K21" i="7" s="1"/>
  <c r="I22" i="7"/>
  <c r="J22" i="7" a="1"/>
  <c r="J22" i="7" s="1"/>
  <c r="K22" i="7" a="1"/>
  <c r="K22" i="7" s="1"/>
  <c r="I23" i="7"/>
  <c r="J23" i="7" a="1"/>
  <c r="J23" i="7" s="1"/>
  <c r="K23" i="7" a="1"/>
  <c r="K23" i="7" s="1"/>
  <c r="K91" i="7" a="1"/>
  <c r="K91" i="7" s="1"/>
  <c r="J91" i="7" a="1"/>
  <c r="J91" i="7" s="1"/>
  <c r="I91" i="7"/>
  <c r="K90" i="7" a="1"/>
  <c r="K90" i="7" s="1"/>
  <c r="J90" i="7" a="1"/>
  <c r="J90" i="7" s="1"/>
  <c r="I90" i="7"/>
  <c r="K89" i="7" a="1"/>
  <c r="K89" i="7" s="1"/>
  <c r="J89" i="7" a="1"/>
  <c r="J89" i="7" s="1"/>
  <c r="I89" i="7"/>
  <c r="K88" i="7" a="1"/>
  <c r="K88" i="7" s="1"/>
  <c r="J88" i="7" a="1"/>
  <c r="J88" i="7" s="1"/>
  <c r="I88" i="7"/>
  <c r="K87" i="7" a="1"/>
  <c r="K87" i="7" s="1"/>
  <c r="J87" i="7" a="1"/>
  <c r="J87" i="7" s="1"/>
  <c r="I87" i="7"/>
  <c r="G86"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G72" i="7"/>
  <c r="K59" i="7" a="1"/>
  <c r="K59" i="7" s="1"/>
  <c r="J59" i="7" a="1"/>
  <c r="J59" i="7" s="1"/>
  <c r="I59" i="7"/>
  <c r="K60" i="7" a="1"/>
  <c r="K60" i="7" s="1"/>
  <c r="J60" i="7" a="1"/>
  <c r="J60" i="7" s="1"/>
  <c r="I60" i="7"/>
  <c r="K47" i="7" a="1"/>
  <c r="K47" i="7" s="1"/>
  <c r="J47" i="7" a="1"/>
  <c r="J47" i="7" s="1"/>
  <c r="I47" i="7"/>
  <c r="K46" i="7" a="1"/>
  <c r="K46" i="7" s="1"/>
  <c r="J46" i="7" a="1"/>
  <c r="J46" i="7" s="1"/>
  <c r="I46" i="7"/>
  <c r="K45" i="7" a="1"/>
  <c r="K45" i="7" s="1"/>
  <c r="J45" i="7" a="1"/>
  <c r="J45" i="7" s="1"/>
  <c r="I45" i="7"/>
  <c r="K62" i="7" a="1"/>
  <c r="K62" i="7" s="1"/>
  <c r="J62" i="7" a="1"/>
  <c r="J62" i="7" s="1"/>
  <c r="I62" i="7"/>
  <c r="K61" i="7" a="1"/>
  <c r="K61" i="7" s="1"/>
  <c r="J61" i="7" a="1"/>
  <c r="J61" i="7" s="1"/>
  <c r="I61" i="7"/>
  <c r="K58" i="7" a="1"/>
  <c r="K58" i="7" s="1"/>
  <c r="J58" i="7" a="1"/>
  <c r="J58" i="7" s="1"/>
  <c r="I58" i="7"/>
  <c r="K57" i="7" a="1"/>
  <c r="K57" i="7" s="1"/>
  <c r="J57" i="7" a="1"/>
  <c r="J57" i="7" s="1"/>
  <c r="I57" i="7"/>
  <c r="K44" i="7" a="1"/>
  <c r="K44" i="7" s="1"/>
  <c r="J44" i="7" a="1"/>
  <c r="J44" i="7" s="1"/>
  <c r="I44" i="7"/>
  <c r="K43" i="7" a="1"/>
  <c r="K43" i="7" s="1"/>
  <c r="J43" i="7" a="1"/>
  <c r="J43" i="7" s="1"/>
  <c r="I43" i="7"/>
  <c r="K7" i="7" a="1"/>
  <c r="K7" i="7" s="1"/>
  <c r="J7" i="7" a="1"/>
  <c r="J7" i="7" s="1"/>
  <c r="I7" i="7"/>
  <c r="K6" i="7" a="1"/>
  <c r="K6" i="7" s="1"/>
  <c r="J6" i="7" a="1"/>
  <c r="J6" i="7" s="1"/>
  <c r="I6" i="7"/>
  <c r="K34" i="7" a="1"/>
  <c r="K34" i="7" s="1"/>
  <c r="J34" i="7" a="1"/>
  <c r="J34" i="7" s="1"/>
  <c r="I34"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K26" i="7" a="1"/>
  <c r="K26" i="7" s="1"/>
  <c r="J26" i="7" a="1"/>
  <c r="J26" i="7" s="1"/>
  <c r="I26" i="7"/>
  <c r="G25" i="7"/>
  <c r="C12" i="10"/>
  <c r="K12" i="7" a="1"/>
  <c r="K12" i="7" s="1"/>
  <c r="J12" i="7" a="1"/>
  <c r="J12" i="7" s="1"/>
  <c r="K11" i="7" a="1"/>
  <c r="K11" i="7" s="1"/>
  <c r="J11" i="7" a="1"/>
  <c r="J11" i="7" s="1"/>
  <c r="K10" i="7" a="1"/>
  <c r="K10" i="7" s="1"/>
  <c r="J10" i="7" a="1"/>
  <c r="J10" i="7" s="1"/>
  <c r="K9" i="7" a="1"/>
  <c r="K9" i="7" s="1"/>
  <c r="J9" i="7" a="1"/>
  <c r="J9" i="7" s="1"/>
  <c r="K8" i="7" a="1"/>
  <c r="K8" i="7" s="1"/>
  <c r="J8" i="7" a="1"/>
  <c r="J8" i="7" s="1"/>
  <c r="K5" i="7" a="1"/>
  <c r="K5" i="7" s="1"/>
  <c r="J5" i="7" a="1"/>
  <c r="J5" i="7" s="1"/>
  <c r="I12" i="7"/>
  <c r="I11" i="7"/>
  <c r="I10" i="7"/>
  <c r="I9" i="7"/>
  <c r="I8" i="7"/>
  <c r="I5" i="7"/>
  <c r="J93" i="7" l="1"/>
  <c r="K93" i="7"/>
  <c r="K19" i="7"/>
  <c r="J19" i="7"/>
  <c r="K86" i="7"/>
  <c r="J86" i="7"/>
  <c r="K72" i="7"/>
  <c r="J72" i="7"/>
  <c r="J25" i="7"/>
  <c r="K25" i="7"/>
  <c r="J4" i="7"/>
  <c r="K4" i="7"/>
  <c r="J42" i="7"/>
  <c r="K4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<sst xmlns="http://schemas.openxmlformats.org/spreadsheetml/2006/main" count="388" uniqueCount="174">
  <si>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</si>
  <si>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</si>
  <si>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</si>
  <si>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</si>
  <si>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</si>
  <si>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</si>
  <si>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</si>
  <si>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</si>
  <si>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</si>
  <si>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</si>
  <si>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</si>
  <si>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</si>
  <si>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</si>
  <si>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</si>
  <si>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</si>
  <si>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</si>
  <si>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</si>
  <si>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</si>
  <si>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</si>
  <si>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</si>
  <si>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</si>
  <si>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</si>
  <si>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</si>
  <si>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</si>
  <si>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</si>
  <si>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</si>
  <si>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</si>
  <si>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</si>
  <si>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</si>
  <si>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</si>
  <si>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</si>
  <si>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</si>
  <si>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</si>
  <si>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</si>
  <si>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</si>
  <si>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</si>
  <si>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</si>
  <si>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</si>
  <si>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</si>
  <si>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</si>
  <si>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</si>
  <si>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</si>
  <si>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</si>
  <si>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</si>
  <si>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</si>
  <si>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</si>
  <si>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</si>
  <si>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</si>
  <si>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</si>
  <si>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</si>
  <si>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</si>
  <si>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</si>
  <si>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</si>
  <si>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</si>
  <si>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</si>
  <si>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</si>
  <si>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</si>
  <si>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</si>
  <si>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</si>
  <si>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</si>
  <si>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</si>
  <si>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</si>
  <si>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</si>
  <si>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</si>
  <si>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</si>
  <si>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</si>
  <si>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</si>
  <si>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</si>
  <si>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</si>
  <si>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</si>
  <si>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</si>
  <si>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</si>
  <si>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</si>
  <si>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</si>
  <si>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</si>
  <si>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</si>
  <si>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</si>
  <si>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</si>
  <si>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</si>
  <si>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</si>
  <si>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</si>
  <si>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</si>
  <si>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</si>
  <si>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</si>
  <si>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</si>
  <si>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</si>
  <si>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</si>
  <si>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.7,5</t>
  </si>
  <si>
    <t xml:space="preserve"> </t>
  </si>
  <si>
    <t>1) Einführung &amp; Grundlagen des Zivilrechts</t>
  </si>
  <si>
    <t>2) Juristische Arbeitstechnik</t>
  </si>
  <si>
    <t>3) Das Rechtsgeschäft</t>
  </si>
  <si>
    <t>4) Der Tatbestand der Willenserklärung</t>
  </si>
  <si>
    <t>5) Wirksamwerden der Willenserklärung</t>
  </si>
  <si>
    <t>6) Die Auslegung</t>
  </si>
  <si>
    <t>7) Der Vertragsschluss</t>
  </si>
  <si>
    <t>8) Bedingung, Befristung &amp; Zustimmung</t>
  </si>
  <si>
    <t>9) Rechtssubjekte &amp; Rechtsfähigkeit</t>
  </si>
  <si>
    <t>10)Rechtshindernde Einwendungen</t>
  </si>
  <si>
    <t>11) Die Stellvertretung</t>
  </si>
  <si>
    <t>12) Rechtsvernichtende Einwendungen</t>
  </si>
  <si>
    <t>13) Rückabwicklung bei Unwirksamkeit von Verpflichtungs-/Verfügungsgeschäft</t>
  </si>
  <si>
    <t>14) Rechtshemmende Einwendungen</t>
  </si>
  <si>
    <t>15) Allgemeine Geschäftsbedingungen</t>
  </si>
  <si>
    <t>´1,5</t>
  </si>
  <si>
    <t>Makroökonomie</t>
  </si>
  <si>
    <t>Deskriptive Statistik</t>
  </si>
  <si>
    <t>MO: Mathematische Optimierung</t>
  </si>
  <si>
    <t>Internationale Wirtschaftsbeziehungen</t>
  </si>
  <si>
    <t>KW 14 (10.03-16.03)</t>
  </si>
  <si>
    <r>
      <rPr>
        <b/>
        <sz val="12"/>
        <color rgb="FFFF0000"/>
        <rFont val="Calibri (Textkörper)"/>
      </rPr>
      <t>Semesterbeginn!!!</t>
    </r>
    <r>
      <rPr>
        <b/>
        <sz val="12"/>
        <color theme="1"/>
        <rFont val="Calibri"/>
        <family val="2"/>
        <scheme val="minor"/>
      </rPr>
      <t xml:space="preserve"> KW 15 (17.03-23.03)</t>
    </r>
  </si>
  <si>
    <t>KW 16 (24.02-30.02)</t>
  </si>
  <si>
    <t>KW 17 (31.03-06.04)</t>
  </si>
  <si>
    <t>KW 18 (07.04-13.04)</t>
  </si>
  <si>
    <t>KW 19 (14.04-20.04)</t>
  </si>
  <si>
    <t>KW 20 (21.04-27.04)</t>
  </si>
  <si>
    <t>KW 21 (21.04-27.04)</t>
  </si>
  <si>
    <t>KW 22 (28.04-04.05)</t>
  </si>
  <si>
    <t>KW 23 (05.05-11.05)</t>
  </si>
  <si>
    <r>
      <rPr>
        <b/>
        <sz val="12"/>
        <color rgb="FFFF0000"/>
        <rFont val="Calibri (Textkörper)"/>
      </rPr>
      <t xml:space="preserve">Praktikum Ende!!! </t>
    </r>
    <r>
      <rPr>
        <b/>
        <sz val="12"/>
        <color theme="1"/>
        <rFont val="Calibri"/>
        <family val="2"/>
        <scheme val="minor"/>
      </rPr>
      <t>KW 24 (12.05-18.05)</t>
    </r>
  </si>
  <si>
    <r>
      <rPr>
        <b/>
        <sz val="12"/>
        <color rgb="FFFF0000"/>
        <rFont val="Calibri (Textkörper)"/>
      </rPr>
      <t xml:space="preserve">100% Lernstoff!!! Beginn Klausurenphase </t>
    </r>
    <r>
      <rPr>
        <b/>
        <sz val="12"/>
        <color theme="1"/>
        <rFont val="Calibri"/>
        <family val="2"/>
        <scheme val="minor"/>
      </rPr>
      <t>KW 25 19.05-25.05</t>
    </r>
  </si>
  <si>
    <t>KW 27 (02.06-08.06)</t>
  </si>
  <si>
    <t>KW 28 (09.06-15.06)</t>
  </si>
  <si>
    <t>KW 29 (16.06-22.06)</t>
  </si>
  <si>
    <t>KW 30 (23.06-29.06)</t>
  </si>
  <si>
    <t>Grundlagen des Vertragsrechts 1</t>
  </si>
  <si>
    <t>VM2 Recht im Unternehmen (Vertragsmanagement, Verträge und Digitalisierung) Kombiklausur</t>
  </si>
  <si>
    <t xml:space="preserve">Accounting / Grundlagen der Kosten- und Leistungsrechnung </t>
  </si>
  <si>
    <t>1) Struktur, Konzepte, Begriffe- (Grundlegende Begriffe und Konzepte	5%
- Unterschied Finanzbuchhaltung vs. Kostenrechnung	5%
- Kostenarten, Kostenstellen, Kostenträger	5%
- Abgrenzung zwischen Aufwand und Kosten	5%
- Ziel und Zweck der Kostenrechnung	5%)
- Unterschied Finanzbuchhaltung vs. Kostenrechnung	5%
- Kostenarten, Kostenstellen, Kostenträger	5%
- Abgrenzung zwischen Aufwand und Kosten	5%
- Ziel und Zweck der Kostenrechnung	5%
Kapitel 2: Kostenartenrechnung	25%
- Welche Kosten sind angefallen?	5%
- Abgleich zwischen Aufwand und Kosten	5%
- Fixe vs. Variable Kosten	5%
- Einzel- und Gemeinkosten	5%
- Kalkulatorische Kosten (z. B. Abschreibungen, Zinsen)	5%)</t>
  </si>
  <si>
    <t>2) Kostenartenrechnung (- Welche Kosten sind angefallen?	5%
- Abgleich zwischen Aufwand und Kosten	5%
- Fixe vs. Variable Kosten	5%
- Einzel- und Gemeinkosten	5%
- Kalkulatorische Kosten (z. B. Abschreibungen, Zinsen))</t>
  </si>
  <si>
    <t>3) Kostenstellenrechnung (- Wo sind die Kosten angefallen?	5%
- Definition und Struktur von Kostenstellen	5%
- Kostenverteilung auf Kostenstellen	5%
- Primäre und sekundäre Gemeinkostenverrechnung	5%
- Kostenstellenrechnung als Basis für Kalkulation	5%)</t>
  </si>
  <si>
    <t>4) Kostenträgerrechnung (- Wofür sind die Kosten angefallen?	5%
- Zuschlagskalkulation	5%
- Prozesskostenrechnung	5%
- Deckungsbeitragsrechnung	5%
- Break-even-Analyse	5%)</t>
  </si>
  <si>
    <t>Verträge und Digitalisierung</t>
  </si>
  <si>
    <t>1) Vertragssschluss im digitalen Raum</t>
  </si>
  <si>
    <t>2) Sicherheit im Internet, Verschlüsselung und digitale Signaturen</t>
  </si>
  <si>
    <t>3) Einblicke in das Datenschutzrecht</t>
  </si>
  <si>
    <t>4) Wichitge Grundbegriffe des Immaterialgüterrechts</t>
  </si>
  <si>
    <t>5) Eckpunkte des neuen Schuldrechts 2022</t>
  </si>
  <si>
    <t>6) Verbraucherverträge über digitale Produkte (§ 327ff. BGB)</t>
  </si>
  <si>
    <t>7) Besonderheiten des Verbrauchsgüterkaufs von Waren mit digitalen Elementen</t>
  </si>
  <si>
    <t>Vertragsmanagement</t>
  </si>
  <si>
    <t>30.06.2025 60min VM 30min VuD</t>
  </si>
  <si>
    <t>1) Introduction to International Economics</t>
  </si>
  <si>
    <t>2) National Accounting &amp; Balance of Payments</t>
  </si>
  <si>
    <t>3) Open Economy &amp; Mundell-Fleming Model</t>
  </si>
  <si>
    <t xml:space="preserve">4) Trade Theory &amp; Free Trade </t>
  </si>
  <si>
    <t>5) International Factor Allocation</t>
  </si>
  <si>
    <t>6) Trade Policy &amp; Trade Barriers</t>
  </si>
  <si>
    <t>7) Is Trade Always Beneficial? - A Critical Discussion</t>
  </si>
  <si>
    <t>Unternehmensbesteuerung</t>
  </si>
  <si>
    <t>Management: Strukturen und Entscheidungen 2credits / Unternehmensbesteuerung 4credits</t>
  </si>
  <si>
    <t>1) Überblick über die Unternehmensbesteuerung</t>
  </si>
  <si>
    <t>2) Umsatzsteuer</t>
  </si>
  <si>
    <t>3) Einkommenssteuer</t>
  </si>
  <si>
    <t>4) Gewerbesteuer</t>
  </si>
  <si>
    <t>5) Körperschaftssteuer</t>
  </si>
  <si>
    <t>6) Erbschafts- und Schenkungsteuer</t>
  </si>
  <si>
    <t>7) Steuerliche Grundbegriffe &amp; Rechtquellen</t>
  </si>
  <si>
    <t>8) Besteuerungsverfahren &amp; Steuerbestände</t>
  </si>
  <si>
    <t>9) Sonderfälle &amp; Steuerplanung</t>
  </si>
  <si>
    <t>Management: Strukturen und Entscheidungen</t>
  </si>
  <si>
    <t>2) Konstitutive Entscheidungen</t>
  </si>
  <si>
    <t>3) Organistation</t>
  </si>
  <si>
    <t>kein stoff</t>
  </si>
  <si>
    <t>Freitag, 14. März 2025, 12:00 gibt es noch nd alles aber es hat viel auf studydrive</t>
  </si>
  <si>
    <t>1) Einführung in mathematische Optimierung &amp; Lineare Programmierung</t>
  </si>
  <si>
    <t>2) Symplex Algorithmus &amp; Sonderfälle</t>
  </si>
  <si>
    <t>3) Dualität und LP Software</t>
  </si>
  <si>
    <t>4) Netzbasierte Optimierungsprobleme</t>
  </si>
  <si>
    <t>5) Netzplantechnik</t>
  </si>
  <si>
    <r>
      <rPr>
        <b/>
        <sz val="12"/>
        <color rgb="FFFF0000"/>
        <rFont val="Calibri (Textkörper)"/>
      </rPr>
      <t xml:space="preserve">Klausuren!!! </t>
    </r>
    <r>
      <rPr>
        <b/>
        <sz val="12"/>
        <color theme="1"/>
        <rFont val="Calibri"/>
        <family val="2"/>
        <scheme val="minor"/>
      </rPr>
      <t>KW 32 (07.06-13.07)</t>
    </r>
  </si>
  <si>
    <r>
      <rPr>
        <b/>
        <sz val="12"/>
        <color rgb="FFFF0000"/>
        <rFont val="Calibri (Textkörper)"/>
      </rPr>
      <t>Klausuren!!!</t>
    </r>
    <r>
      <rPr>
        <b/>
        <sz val="12"/>
        <color theme="1"/>
        <rFont val="Calibri"/>
        <family val="2"/>
        <scheme val="minor"/>
      </rPr>
      <t xml:space="preserve"> KW 31 (30.06-06.07)</t>
    </r>
  </si>
  <si>
    <r>
      <rPr>
        <b/>
        <sz val="12"/>
        <color rgb="FFFF0000"/>
        <rFont val="Calibri (Textkörper)"/>
      </rPr>
      <t xml:space="preserve">KW 26 Klausurenphase </t>
    </r>
    <r>
      <rPr>
        <b/>
        <sz val="12"/>
        <color theme="1"/>
        <rFont val="Calibri"/>
        <family val="2"/>
        <scheme val="minor"/>
      </rPr>
      <t>(26.05-01.06)</t>
    </r>
  </si>
  <si>
    <t>1) Entscheidungstheorie 
Grundlagen (10 % von Management = 3,3 % der Gesamtprüfung)
Entscheidungsfindung bei Sicherheit (10 % von Management = 3,3 %)
Entscheidungsfindung bei Ungewissheit (10 % von Management = 3,3 %)
Entscheidungsfindung bei Risiko (10 % von Management = 3,3 %))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</si>
</sst>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b/>
      <sz val="12"/>
      <color rgb="FFFF0000"/>
      <name val="Calibri (Textkörper)"/>
    </font>
    <font>
      <sz val="12"/>
      <color rgb="FF000000"/>
      <name val="Calibri"/>
      <family val="2"/>
      <scheme val="minor"/>
    </font>
    <font>
      <sz val="12"/>
      <color rgb="FF000000"/>
      <name val="Calibri"/>
      <family val="2"/>
    </font>
    <font>
      <b/>
      <sz val="12"/>
      <color theme="1"/>
      <name val="Calibri (Textkörpe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rgb="FF000000"/>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9" fontId="6" fillId="7" borderId="0" xfId="0" applyNumberFormat="1" applyFont="1" applyFill="1"/>
    <xf numFmtId="0" fontId="1" fillId="2" borderId="0" xfId="0" applyFont="1" applyFill="1" applyAlignment="1">
      <alignment horizontal="center"/>
    </xf>
    <xf numFmtId="0" fontId="7" fillId="0" borderId="0" xfId="0" applyFont="1" applyAlignment="1">
      <alignment wrapText="1"/>
    </xf>
    <xf numFmtId="16" fontId="0" fillId="0" borderId="0" xfId="0" applyNumberFormat="1"/>
    <xf numFmtId="0" fontId="8" fillId="2" borderId="0" xfId="0" applyFont="1" applyFill="1" applyAlignment="1">
      <alignment horizontal="center"/>
    </xf>
  </cellXfs>
  <cellStyles count="1">
    <cellStyle name="Standard" xfId="0" builtinId="0"/>
  </cellStyles>
  <dxfs count="16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66">
  <autoFilter ref="A1:K46" xr:uid="{6E266E34-2786-2747-BCE7-51B74867A564}"/>
  <tableColumns count="11">
    <tableColumn id="1" xr3:uid="{95FD92F7-3DC8-704D-A103-A7EDDAB255AB}" name="Datum" dataDxfId="165"/>
    <tableColumn id="2" xr3:uid="{F464D510-8166-E740-A343-FB84BDEF877F}" name="Lerneinheiten durchgezogen" dataDxfId="164"/>
    <tableColumn id="3" xr3:uid="{75F52B08-1A00-0848-BBE6-1EDF7B31B1AD}" name="Tagesplan erstellt" dataDxfId="163"/>
    <tableColumn id="4" xr3:uid="{E6B18D89-E799-AD48-9DAA-37AEE1D29011}" name="Konzentrationslevel" dataDxfId="16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A4" zoomScale="288" workbookViewId="0">
      <selection activeCell="C10" sqref="C10"/>
    </sheetView>
  </sheetViews>
  <sheetFormatPr baseColWidth="10" defaultRowHeight="16"/>
  <cols>
    <col min="1" max="1" width="11.83203125" customWidth="1"/>
    <col min="2" max="2" width="62.6640625" customWidth="1"/>
  </cols>
  <sheetData>
    <row r="2" spans="1:4">
      <c r="C2" s="18" t="s">
        <v>71</v>
      </c>
    </row>
    <row r="3" spans="1:4">
      <c r="C3" s="17" t="s">
        <v>56</v>
      </c>
    </row>
    <row r="4" spans="1:4">
      <c r="C4" s="16" t="s">
        <v>70</v>
      </c>
    </row>
    <row r="5" spans="1:4">
      <c r="A5" s="2" t="s">
        <v>53</v>
      </c>
      <c r="B5" s="2" t="s">
        <v>54</v>
      </c>
      <c r="C5" s="2" t="s">
        <v>55</v>
      </c>
      <c r="D5" s="2" t="s">
        <v>57</v>
      </c>
    </row>
    <row r="6" spans="1:4">
      <c r="A6" t="s">
        <v>49</v>
      </c>
      <c r="B6" s="18" t="s">
        <v>52</v>
      </c>
      <c r="D6" t="s">
        <v>86</v>
      </c>
    </row>
    <row r="7" spans="1:4">
      <c r="A7" t="s">
        <v>60</v>
      </c>
      <c r="B7" t="s">
        <v>61</v>
      </c>
      <c r="C7" s="16">
        <v>97</v>
      </c>
    </row>
    <row r="8" spans="1:4">
      <c r="A8" t="s">
        <v>51</v>
      </c>
      <c r="B8" s="18" t="s">
        <v>50</v>
      </c>
      <c r="C8" s="23">
        <v>45838</v>
      </c>
      <c r="D8" t="s">
        <v>74</v>
      </c>
    </row>
    <row r="9" spans="1:4">
      <c r="A9" t="s">
        <v>59</v>
      </c>
      <c r="B9" s="18" t="s">
        <v>72</v>
      </c>
      <c r="D9" t="s">
        <v>75</v>
      </c>
    </row>
    <row r="10" spans="1:4">
      <c r="A10" t="s">
        <v>63</v>
      </c>
      <c r="B10" t="s">
        <v>62</v>
      </c>
      <c r="C10" s="16">
        <v>13</v>
      </c>
      <c r="D10" t="s">
        <v>58</v>
      </c>
    </row>
    <row r="11" spans="1:4">
      <c r="A11" t="s">
        <v>64</v>
      </c>
      <c r="B11" t="s">
        <v>66</v>
      </c>
      <c r="C11" s="16">
        <v>291</v>
      </c>
      <c r="D11" t="s">
        <v>65</v>
      </c>
    </row>
    <row r="12" spans="1:4">
      <c r="A12" t="s">
        <v>68</v>
      </c>
      <c r="B12" t="s">
        <v>67</v>
      </c>
      <c r="C12" s="17">
        <f>C11/C10</f>
        <v>22.384615384615383</v>
      </c>
    </row>
    <row r="13" spans="1:4">
      <c r="A13" t="s">
        <v>73</v>
      </c>
      <c r="B13" t="s">
        <v>69</v>
      </c>
      <c r="D13" t="s">
        <v>76</v>
      </c>
    </row>
    <row r="14" spans="1:4">
      <c r="A14" t="s">
        <v>77</v>
      </c>
      <c r="B14" t="s">
        <v>78</v>
      </c>
      <c r="D14" t="s">
        <v>79</v>
      </c>
    </row>
    <row r="15" spans="1:4">
      <c r="A15" t="s">
        <v>80</v>
      </c>
      <c r="B15" s="18" t="s">
        <v>81</v>
      </c>
    </row>
    <row r="16" spans="1:4">
      <c r="A16" t="s">
        <v>84</v>
      </c>
      <c r="B16" s="18"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U100"/>
  <sheetViews>
    <sheetView showGridLines="0" tabSelected="1" zoomScale="10" zoomScaleNormal="20" workbookViewId="0">
      <pane xSplit="12" topLeftCell="O1" activePane="topRight" state="frozen"/>
      <selection pane="topRight" activeCell="C4" sqref="C4"/>
    </sheetView>
  </sheetViews>
  <sheetFormatPr baseColWidth="10" defaultColWidth="8.83203125" defaultRowHeight="16" outlineLevelRow="1"/>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1.832031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6" width="2.5" customWidth="1"/>
    <col min="58" max="58" width="12.5" bestFit="1" customWidth="1"/>
    <col min="59" max="59" width="6.33203125" customWidth="1"/>
    <col min="60" max="60" width="14.83203125" bestFit="1" customWidth="1"/>
    <col min="61" max="61" width="6" customWidth="1"/>
    <col min="62" max="62" width="12.6640625" bestFit="1" customWidth="1"/>
    <col min="63" max="63" width="2.5" customWidth="1"/>
    <col min="65" max="65" width="12.5" bestFit="1" customWidth="1"/>
    <col min="66" max="66" width="6.33203125" customWidth="1"/>
    <col min="67" max="67" width="14.83203125" bestFit="1" customWidth="1"/>
    <col min="68" max="68" width="6" customWidth="1"/>
    <col min="69" max="69" width="12.6640625" bestFit="1" customWidth="1"/>
    <col min="70" max="70" width="2.5" customWidth="1"/>
    <col min="72" max="72" width="12.5" bestFit="1" customWidth="1"/>
    <col min="73" max="73" width="6.33203125" customWidth="1"/>
    <col min="74" max="74" width="14.83203125" bestFit="1" customWidth="1"/>
    <col min="75" max="75" width="6" customWidth="1"/>
    <col min="76" max="76" width="12.6640625" bestFit="1" customWidth="1"/>
    <col min="77" max="77" width="2.5" customWidth="1"/>
    <col min="79" max="79" width="12.5" bestFit="1" customWidth="1"/>
    <col min="80" max="80" width="6.33203125" customWidth="1"/>
    <col min="81" max="81" width="14.83203125" bestFit="1" customWidth="1"/>
    <col min="82" max="82" width="6" customWidth="1"/>
    <col min="83" max="83" width="12.6640625" bestFit="1" customWidth="1"/>
    <col min="84" max="84" width="2.5" customWidth="1"/>
    <col min="86" max="86" width="12.5" bestFit="1" customWidth="1"/>
    <col min="87" max="87" width="6.33203125" customWidth="1"/>
    <col min="88" max="88" width="14.83203125" bestFit="1" customWidth="1"/>
    <col min="89" max="89" width="6" customWidth="1"/>
    <col min="90" max="90" width="12.6640625" bestFit="1" customWidth="1"/>
    <col min="91" max="91" width="2.83203125" customWidth="1"/>
    <col min="93" max="93" width="12.5" bestFit="1" customWidth="1"/>
    <col min="94" max="94" width="6.33203125" customWidth="1"/>
    <col min="95" max="95" width="14.83203125" bestFit="1" customWidth="1"/>
    <col min="96" max="96" width="6" customWidth="1"/>
    <col min="97" max="97" width="12.6640625" bestFit="1" customWidth="1"/>
    <col min="100" max="100" width="12.5" bestFit="1" customWidth="1"/>
    <col min="101" max="101" width="6.33203125" customWidth="1"/>
    <col min="102" max="102" width="14.83203125" bestFit="1" customWidth="1"/>
    <col min="103" max="103" width="6" customWidth="1"/>
    <col min="104" max="104" width="12.6640625" bestFit="1" customWidth="1"/>
    <col min="106" max="106" width="2.83203125" customWidth="1"/>
    <col min="108" max="108" width="12.5" bestFit="1" customWidth="1"/>
    <col min="109" max="109" width="6.33203125" customWidth="1"/>
    <col min="110" max="110" width="14.83203125" bestFit="1" customWidth="1"/>
    <col min="111" max="111" width="6" customWidth="1"/>
    <col min="112" max="112" width="12.6640625" bestFit="1" customWidth="1"/>
    <col min="114" max="114" width="2.83203125" customWidth="1"/>
    <col min="116" max="116" width="12.5" bestFit="1" customWidth="1"/>
    <col min="117" max="117" width="6.33203125" customWidth="1"/>
    <col min="118" max="118" width="14.83203125" bestFit="1" customWidth="1"/>
    <col min="119" max="119" width="6" customWidth="1"/>
    <col min="120" max="120" width="12.6640625" bestFit="1" customWidth="1"/>
    <col min="122" max="122" width="2.83203125" customWidth="1"/>
    <col min="124" max="124" width="12.5" bestFit="1" customWidth="1"/>
    <col min="125" max="125" width="6.33203125" customWidth="1"/>
    <col min="126" max="126" width="14.83203125" bestFit="1" customWidth="1"/>
    <col min="127" max="127" width="6" customWidth="1"/>
    <col min="128" max="128" width="12.6640625" bestFit="1" customWidth="1"/>
    <col min="130" max="130" width="2.83203125" customWidth="1"/>
    <col min="132" max="132" width="12.5" bestFit="1" customWidth="1"/>
    <col min="133" max="133" width="6.33203125" customWidth="1"/>
    <col min="134" max="134" width="14.83203125" bestFit="1" customWidth="1"/>
    <col min="135" max="135" width="6" customWidth="1"/>
    <col min="136" max="136" width="12.6640625" bestFit="1" customWidth="1"/>
    <col min="138" max="138" width="2.83203125" customWidth="1"/>
    <col min="140" max="140" width="12.5" bestFit="1" customWidth="1"/>
    <col min="141" max="141" width="6.33203125" customWidth="1"/>
    <col min="142" max="142" width="14.83203125" bestFit="1" customWidth="1"/>
    <col min="143" max="143" width="6" customWidth="1"/>
    <col min="144" max="144" width="12.6640625" bestFit="1" customWidth="1"/>
    <col min="147" max="147" width="12.5" bestFit="1" customWidth="1"/>
    <col min="148" max="148" width="6.33203125" customWidth="1"/>
    <col min="149" max="149" width="14.83203125" bestFit="1" customWidth="1"/>
    <col min="150" max="150" width="6" customWidth="1"/>
    <col min="151" max="151" width="12.6640625" bestFit="1" customWidth="1"/>
  </cols>
  <sheetData>
    <row r="1" spans="2:151" ht="34">
      <c r="B1" s="4" t="s">
        <v>0</v>
      </c>
      <c r="D1" s="4"/>
      <c r="G1" s="13" t="s">
        <v>33</v>
      </c>
      <c r="I1" s="13" t="s">
        <v>33</v>
      </c>
      <c r="J1" s="13" t="s">
        <v>33</v>
      </c>
      <c r="K1" s="13" t="s">
        <v>33</v>
      </c>
    </row>
    <row r="2" spans="2:151">
      <c r="B2" t="s">
        <v>88</v>
      </c>
      <c r="I2" s="21" t="s">
        <v>27</v>
      </c>
      <c r="J2" s="21"/>
      <c r="K2" s="21"/>
      <c r="L2" s="21"/>
      <c r="M2" s="6"/>
      <c r="N2" s="21" t="s">
        <v>109</v>
      </c>
      <c r="O2" s="21"/>
      <c r="P2" s="21"/>
      <c r="Q2" s="21"/>
      <c r="R2" s="21"/>
      <c r="S2" s="21"/>
      <c r="U2" s="21" t="s">
        <v>110</v>
      </c>
      <c r="V2" s="21"/>
      <c r="W2" s="21"/>
      <c r="X2" s="21"/>
      <c r="Y2" s="21"/>
      <c r="Z2" s="21"/>
      <c r="AB2" s="21" t="s">
        <v>111</v>
      </c>
      <c r="AC2" s="21"/>
      <c r="AD2" s="21"/>
      <c r="AE2" s="21"/>
      <c r="AF2" s="21"/>
      <c r="AG2" s="21"/>
      <c r="AI2" s="21" t="s">
        <v>112</v>
      </c>
      <c r="AJ2" s="21"/>
      <c r="AK2" s="21"/>
      <c r="AL2" s="21"/>
      <c r="AM2" s="21"/>
      <c r="AN2" s="21"/>
      <c r="AP2" s="21" t="s">
        <v>113</v>
      </c>
      <c r="AQ2" s="21"/>
      <c r="AR2" s="21"/>
      <c r="AS2" s="21"/>
      <c r="AT2" s="21"/>
      <c r="AU2" s="21"/>
      <c r="AW2" s="21" t="s">
        <v>114</v>
      </c>
      <c r="AX2" s="21"/>
      <c r="AY2" s="21"/>
      <c r="AZ2" s="21"/>
      <c r="BA2" s="21"/>
      <c r="BB2" s="21"/>
      <c r="BE2" s="21" t="s">
        <v>115</v>
      </c>
      <c r="BF2" s="21"/>
      <c r="BG2" s="21"/>
      <c r="BH2" s="21"/>
      <c r="BI2" s="21"/>
      <c r="BJ2" s="21"/>
      <c r="BL2" s="21" t="s">
        <v>116</v>
      </c>
      <c r="BM2" s="21"/>
      <c r="BN2" s="21"/>
      <c r="BO2" s="21"/>
      <c r="BP2" s="21"/>
      <c r="BQ2" s="21"/>
      <c r="BS2" s="21" t="s">
        <v>117</v>
      </c>
      <c r="BT2" s="21"/>
      <c r="BU2" s="21"/>
      <c r="BV2" s="21"/>
      <c r="BW2" s="21"/>
      <c r="BX2" s="21"/>
      <c r="BZ2" s="21" t="s">
        <v>118</v>
      </c>
      <c r="CA2" s="21"/>
      <c r="CB2" s="21"/>
      <c r="CC2" s="21"/>
      <c r="CD2" s="21"/>
      <c r="CE2" s="21"/>
      <c r="CG2" s="21" t="s">
        <v>119</v>
      </c>
      <c r="CH2" s="21"/>
      <c r="CI2" s="21"/>
      <c r="CJ2" s="21"/>
      <c r="CK2" s="21"/>
      <c r="CL2" s="21"/>
      <c r="CN2" s="21" t="s">
        <v>120</v>
      </c>
      <c r="CO2" s="21"/>
      <c r="CP2" s="21"/>
      <c r="CQ2" s="21"/>
      <c r="CR2" s="21"/>
      <c r="CS2" s="21"/>
      <c r="CU2" s="21" t="s">
        <v>172</v>
      </c>
      <c r="CV2" s="21"/>
      <c r="CW2" s="21"/>
      <c r="CX2" s="21"/>
      <c r="CY2" s="21"/>
      <c r="CZ2" s="21"/>
      <c r="DC2" s="21" t="s">
        <v>121</v>
      </c>
      <c r="DD2" s="21"/>
      <c r="DE2" s="21"/>
      <c r="DF2" s="21"/>
      <c r="DG2" s="21"/>
      <c r="DH2" s="21"/>
      <c r="DK2" s="21" t="s">
        <v>122</v>
      </c>
      <c r="DL2" s="21"/>
      <c r="DM2" s="21"/>
      <c r="DN2" s="21"/>
      <c r="DO2" s="21"/>
      <c r="DP2" s="21"/>
      <c r="DS2" s="24" t="s">
        <v>123</v>
      </c>
      <c r="DT2" s="21"/>
      <c r="DU2" s="21"/>
      <c r="DV2" s="21"/>
      <c r="DW2" s="21"/>
      <c r="DX2" s="21"/>
      <c r="EA2" s="21" t="s">
        <v>124</v>
      </c>
      <c r="EB2" s="21"/>
      <c r="EC2" s="21"/>
      <c r="ED2" s="21"/>
      <c r="EE2" s="21"/>
      <c r="EF2" s="21"/>
      <c r="EI2" s="21" t="s">
        <v>171</v>
      </c>
      <c r="EJ2" s="21"/>
      <c r="EK2" s="21"/>
      <c r="EL2" s="21"/>
      <c r="EM2" s="21"/>
      <c r="EN2" s="21"/>
      <c r="EP2" s="21" t="s">
        <v>170</v>
      </c>
      <c r="EQ2" s="21"/>
      <c r="ER2" s="21"/>
      <c r="ES2" s="21"/>
      <c r="ET2" s="21"/>
      <c r="EU2" s="21"/>
    </row>
    <row r="3" spans="2:151">
      <c r="B3" s="5" t="s">
        <v>26</v>
      </c>
      <c r="C3" s="5" t="s">
        <v>1</v>
      </c>
      <c r="D3" s="5" t="s">
        <v>24</v>
      </c>
      <c r="E3" s="6" t="s">
        <v>30</v>
      </c>
      <c r="F3" s="5" t="s">
        <v>29</v>
      </c>
      <c r="G3" s="5" t="s">
        <v>31</v>
      </c>
      <c r="I3" s="6" t="s">
        <v>11</v>
      </c>
      <c r="J3" s="6" t="s">
        <v>2</v>
      </c>
      <c r="K3" s="6" t="s">
        <v>3</v>
      </c>
      <c r="L3" s="6" t="s">
        <v>12</v>
      </c>
      <c r="M3" s="6"/>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E3" s="5" t="s">
        <v>11</v>
      </c>
      <c r="BF3" s="5" t="s">
        <v>2</v>
      </c>
      <c r="BG3" s="5" t="s">
        <v>32</v>
      </c>
      <c r="BH3" s="5" t="s">
        <v>3</v>
      </c>
      <c r="BI3" s="5" t="s">
        <v>32</v>
      </c>
      <c r="BJ3" s="5" t="s">
        <v>12</v>
      </c>
      <c r="BL3" s="5" t="s">
        <v>11</v>
      </c>
      <c r="BM3" s="5" t="s">
        <v>2</v>
      </c>
      <c r="BN3" s="5" t="s">
        <v>32</v>
      </c>
      <c r="BO3" s="5" t="s">
        <v>3</v>
      </c>
      <c r="BP3" s="5" t="s">
        <v>32</v>
      </c>
      <c r="BQ3" s="5" t="s">
        <v>12</v>
      </c>
      <c r="BS3" s="5" t="s">
        <v>11</v>
      </c>
      <c r="BT3" s="5" t="s">
        <v>2</v>
      </c>
      <c r="BU3" s="5" t="s">
        <v>32</v>
      </c>
      <c r="BV3" s="5" t="s">
        <v>3</v>
      </c>
      <c r="BW3" s="5" t="s">
        <v>32</v>
      </c>
      <c r="BX3" s="5" t="s">
        <v>12</v>
      </c>
      <c r="BZ3" s="5" t="s">
        <v>11</v>
      </c>
      <c r="CA3" s="5" t="s">
        <v>2</v>
      </c>
      <c r="CB3" s="5" t="s">
        <v>32</v>
      </c>
      <c r="CC3" s="5" t="s">
        <v>3</v>
      </c>
      <c r="CD3" s="5" t="s">
        <v>32</v>
      </c>
      <c r="CE3" s="5" t="s">
        <v>12</v>
      </c>
      <c r="CG3" s="5" t="s">
        <v>11</v>
      </c>
      <c r="CH3" s="5" t="s">
        <v>2</v>
      </c>
      <c r="CI3" s="5" t="s">
        <v>32</v>
      </c>
      <c r="CJ3" s="5" t="s">
        <v>3</v>
      </c>
      <c r="CK3" s="5" t="s">
        <v>32</v>
      </c>
      <c r="CL3" s="5" t="s">
        <v>12</v>
      </c>
      <c r="CN3" s="5" t="s">
        <v>11</v>
      </c>
      <c r="CO3" s="5" t="s">
        <v>2</v>
      </c>
      <c r="CP3" s="5" t="s">
        <v>32</v>
      </c>
      <c r="CQ3" s="5" t="s">
        <v>3</v>
      </c>
      <c r="CR3" s="5" t="s">
        <v>32</v>
      </c>
      <c r="CS3" s="5" t="s">
        <v>12</v>
      </c>
      <c r="CU3" s="5" t="s">
        <v>11</v>
      </c>
      <c r="CV3" s="5" t="s">
        <v>2</v>
      </c>
      <c r="CW3" s="5" t="s">
        <v>32</v>
      </c>
      <c r="CX3" s="5" t="s">
        <v>3</v>
      </c>
      <c r="CY3" s="5" t="s">
        <v>32</v>
      </c>
      <c r="CZ3" s="5" t="s">
        <v>12</v>
      </c>
      <c r="DC3" s="5" t="s">
        <v>11</v>
      </c>
      <c r="DD3" s="5" t="s">
        <v>2</v>
      </c>
      <c r="DE3" s="5" t="s">
        <v>32</v>
      </c>
      <c r="DF3" s="5" t="s">
        <v>3</v>
      </c>
      <c r="DG3" s="5" t="s">
        <v>32</v>
      </c>
      <c r="DH3" s="5" t="s">
        <v>12</v>
      </c>
      <c r="DK3" s="5" t="s">
        <v>11</v>
      </c>
      <c r="DL3" s="5" t="s">
        <v>2</v>
      </c>
      <c r="DM3" s="5" t="s">
        <v>32</v>
      </c>
      <c r="DN3" s="5" t="s">
        <v>3</v>
      </c>
      <c r="DO3" s="5" t="s">
        <v>32</v>
      </c>
      <c r="DP3" s="5" t="s">
        <v>12</v>
      </c>
      <c r="DS3" s="5" t="s">
        <v>11</v>
      </c>
      <c r="DT3" s="5" t="s">
        <v>2</v>
      </c>
      <c r="DU3" s="5" t="s">
        <v>32</v>
      </c>
      <c r="DV3" s="5" t="s">
        <v>3</v>
      </c>
      <c r="DW3" s="5" t="s">
        <v>32</v>
      </c>
      <c r="DX3" s="5" t="s">
        <v>12</v>
      </c>
      <c r="EA3" s="5" t="s">
        <v>11</v>
      </c>
      <c r="EB3" s="5" t="s">
        <v>2</v>
      </c>
      <c r="EC3" s="5" t="s">
        <v>32</v>
      </c>
      <c r="ED3" s="5" t="s">
        <v>3</v>
      </c>
      <c r="EE3" s="5" t="s">
        <v>32</v>
      </c>
      <c r="EF3" s="5" t="s">
        <v>12</v>
      </c>
      <c r="EI3" s="5" t="s">
        <v>11</v>
      </c>
      <c r="EJ3" s="5" t="s">
        <v>2</v>
      </c>
      <c r="EK3" s="5" t="s">
        <v>32</v>
      </c>
      <c r="EL3" s="5" t="s">
        <v>3</v>
      </c>
      <c r="EM3" s="5" t="s">
        <v>32</v>
      </c>
      <c r="EN3" s="5" t="s">
        <v>12</v>
      </c>
      <c r="EP3" s="5" t="s">
        <v>11</v>
      </c>
      <c r="EQ3" s="5" t="s">
        <v>2</v>
      </c>
      <c r="ER3" s="5" t="s">
        <v>32</v>
      </c>
      <c r="ES3" s="5" t="s">
        <v>3</v>
      </c>
      <c r="ET3" s="5" t="s">
        <v>32</v>
      </c>
      <c r="EU3" s="5" t="s">
        <v>12</v>
      </c>
    </row>
    <row r="4" spans="2:151">
      <c r="B4" t="s">
        <v>27</v>
      </c>
      <c r="C4" t="s">
        <v>150</v>
      </c>
      <c r="D4" s="19">
        <v>45838</v>
      </c>
      <c r="E4" s="9">
        <v>6</v>
      </c>
      <c r="G4" s="10">
        <f>+SUM(G5:G17)</f>
        <v>1.4480000000000002</v>
      </c>
      <c r="I4" s="12">
        <v>9</v>
      </c>
      <c r="J4" s="11">
        <f>+SUMPRODUCT(G5:G12,J5:J12)</f>
        <v>0.54600000000000004</v>
      </c>
      <c r="K4" s="11">
        <f>+SUMPRODUCT(G5:G12,K5:K12)</f>
        <v>0.54600000000000004</v>
      </c>
      <c r="L4" s="9"/>
      <c r="M4" s="9"/>
      <c r="N4" s="12">
        <v>3</v>
      </c>
      <c r="U4" s="12"/>
      <c r="AB4" s="12"/>
      <c r="AI4" s="12"/>
    </row>
    <row r="5" spans="2:151" ht="16" customHeight="1" outlineLevel="1">
      <c r="B5" t="s">
        <v>28</v>
      </c>
      <c r="C5" t="s">
        <v>149</v>
      </c>
      <c r="E5" s="9">
        <v>4</v>
      </c>
      <c r="F5" t="s">
        <v>151</v>
      </c>
      <c r="G5" s="10">
        <v>0.125</v>
      </c>
      <c r="I5" s="9">
        <f>+SUMIF($N$3:$YH$3,I$3,$N5:$YH5)</f>
        <v>0</v>
      </c>
      <c r="J5" s="11" cm="1">
        <f t="array" ref="J5">MAX(IF($N$3:$DT$3=$J$3,N5:DT5))</f>
        <v>0.8</v>
      </c>
      <c r="K5" s="11" cm="1">
        <f t="array" ref="K5">MAX(IF($N$3:$DT$3=$J$3,N5:DT5))</f>
        <v>0.8</v>
      </c>
      <c r="L5" s="9"/>
      <c r="M5" s="9"/>
      <c r="O5" s="10"/>
      <c r="P5" s="10"/>
      <c r="Q5" s="10"/>
      <c r="R5" s="10"/>
      <c r="V5" s="10"/>
      <c r="W5" s="10">
        <v>1</v>
      </c>
      <c r="X5" s="10"/>
      <c r="Y5" s="10">
        <v>1</v>
      </c>
      <c r="AC5" s="10">
        <v>0.3</v>
      </c>
      <c r="AD5" s="10">
        <v>1</v>
      </c>
      <c r="AE5" s="10">
        <v>0.3</v>
      </c>
      <c r="AF5" s="10">
        <v>1</v>
      </c>
      <c r="AJ5" s="10"/>
      <c r="AK5" s="10">
        <v>1</v>
      </c>
      <c r="AL5" s="10"/>
      <c r="AM5" s="10">
        <v>1</v>
      </c>
      <c r="AQ5" s="10"/>
      <c r="AR5" s="10">
        <v>1</v>
      </c>
      <c r="AS5" s="10"/>
      <c r="AT5" s="10">
        <v>1</v>
      </c>
      <c r="AX5" s="10"/>
      <c r="AY5" s="10">
        <v>1</v>
      </c>
      <c r="AZ5" s="10"/>
      <c r="BA5" s="10">
        <v>1</v>
      </c>
      <c r="BF5" s="10"/>
      <c r="BG5" s="10">
        <v>1</v>
      </c>
      <c r="BH5" s="10"/>
      <c r="BI5" s="10">
        <v>1</v>
      </c>
      <c r="BM5" s="10"/>
      <c r="BN5" s="10">
        <v>1</v>
      </c>
      <c r="BO5" s="10"/>
      <c r="BP5" s="10">
        <v>1</v>
      </c>
      <c r="BT5" s="10"/>
      <c r="BU5" s="10">
        <v>1</v>
      </c>
      <c r="BV5" s="10"/>
      <c r="BW5" s="10">
        <v>1</v>
      </c>
      <c r="CA5" s="10">
        <v>0.8</v>
      </c>
      <c r="CB5" s="10">
        <v>1</v>
      </c>
      <c r="CC5" s="10"/>
      <c r="CD5" s="10">
        <v>1</v>
      </c>
      <c r="CH5" s="10"/>
      <c r="CI5" s="10">
        <v>1</v>
      </c>
      <c r="CJ5" s="10"/>
      <c r="CK5" s="10">
        <v>1</v>
      </c>
      <c r="CO5" s="10"/>
      <c r="CP5" s="10">
        <v>1</v>
      </c>
      <c r="CQ5" s="10"/>
      <c r="CR5" s="10">
        <v>1</v>
      </c>
      <c r="CV5" s="10"/>
      <c r="CW5" s="10"/>
      <c r="CX5" s="10"/>
      <c r="CY5" s="10"/>
      <c r="DD5" s="10"/>
      <c r="DE5" s="10"/>
      <c r="DF5" s="10"/>
      <c r="DG5" s="10"/>
      <c r="DL5" s="10"/>
      <c r="DM5" s="10"/>
      <c r="DN5" s="10"/>
      <c r="DO5" s="10"/>
      <c r="DT5" s="10"/>
      <c r="DU5" s="10"/>
      <c r="DV5" s="10"/>
      <c r="DW5" s="10"/>
      <c r="EB5" s="10"/>
      <c r="EC5" s="10"/>
      <c r="ED5" s="10"/>
      <c r="EE5" s="10"/>
      <c r="EJ5" s="10"/>
      <c r="EK5" s="10"/>
      <c r="EL5" s="10"/>
      <c r="EM5" s="10"/>
      <c r="EQ5" s="10"/>
      <c r="ER5" s="10"/>
      <c r="ES5" s="10"/>
      <c r="ET5" s="10"/>
    </row>
    <row r="6" spans="2:151" ht="16" customHeight="1" outlineLevel="1">
      <c r="B6" t="s">
        <v>28</v>
      </c>
      <c r="E6" s="9"/>
      <c r="F6" t="s">
        <v>152</v>
      </c>
      <c r="G6" s="10">
        <v>0.13</v>
      </c>
      <c r="I6" s="9">
        <f>+SUMIF($N$3:$YH$3,I$3,$N6:$YH6)</f>
        <v>0</v>
      </c>
      <c r="J6" s="11" cm="1">
        <f t="array" ref="J6">MAX(IF($N$3:$DT$3=$J$3,N6:DT6))</f>
        <v>0.8</v>
      </c>
      <c r="K6" s="11" cm="1">
        <f t="array" ref="K6">MAX(IF($N$3:$DT$3=$J$3,N6:DT6))</f>
        <v>0.8</v>
      </c>
      <c r="L6" s="9"/>
      <c r="M6" s="9"/>
      <c r="O6" s="10"/>
      <c r="P6" s="10"/>
      <c r="Q6" s="10"/>
      <c r="R6" s="10"/>
      <c r="V6" s="10"/>
      <c r="W6" s="10">
        <v>0.8</v>
      </c>
      <c r="X6" s="10"/>
      <c r="Y6" s="10">
        <v>0.8</v>
      </c>
      <c r="AC6" s="10"/>
      <c r="AD6" s="10">
        <v>0.8</v>
      </c>
      <c r="AE6" s="10"/>
      <c r="AF6" s="10">
        <v>0.8</v>
      </c>
      <c r="AJ6" s="10"/>
      <c r="AK6" s="10">
        <v>1</v>
      </c>
      <c r="AL6" s="10"/>
      <c r="AM6" s="10">
        <v>1</v>
      </c>
      <c r="AQ6" s="10"/>
      <c r="AR6" s="10">
        <v>1</v>
      </c>
      <c r="AS6" s="10"/>
      <c r="AT6" s="10">
        <v>1</v>
      </c>
      <c r="AX6" s="10"/>
      <c r="AY6" s="10">
        <v>1</v>
      </c>
      <c r="AZ6" s="10"/>
      <c r="BA6" s="10">
        <v>1</v>
      </c>
      <c r="BF6" s="10"/>
      <c r="BG6" s="10">
        <v>1</v>
      </c>
      <c r="BH6" s="10"/>
      <c r="BI6" s="10">
        <v>1</v>
      </c>
      <c r="BM6" s="10"/>
      <c r="BN6" s="10">
        <v>1</v>
      </c>
      <c r="BO6" s="10"/>
      <c r="BP6" s="10">
        <v>1</v>
      </c>
      <c r="BT6" s="10"/>
      <c r="BU6" s="10">
        <v>1</v>
      </c>
      <c r="BV6" s="10"/>
      <c r="BW6" s="10">
        <v>1</v>
      </c>
      <c r="CA6" s="10">
        <v>0.8</v>
      </c>
      <c r="CB6" s="10">
        <v>1</v>
      </c>
      <c r="CC6" s="10"/>
      <c r="CD6" s="10">
        <v>1</v>
      </c>
      <c r="CH6" s="10"/>
      <c r="CI6" s="10">
        <v>1</v>
      </c>
      <c r="CJ6" s="10"/>
      <c r="CK6" s="10">
        <v>1</v>
      </c>
      <c r="CO6" s="10"/>
      <c r="CP6" s="10">
        <v>1</v>
      </c>
      <c r="CQ6" s="10"/>
      <c r="CR6" s="10">
        <v>1</v>
      </c>
      <c r="CV6" s="10"/>
      <c r="CW6" s="10"/>
      <c r="CX6" s="10"/>
      <c r="CY6" s="10"/>
      <c r="DD6" s="10"/>
      <c r="DE6" s="10"/>
      <c r="DF6" s="10"/>
      <c r="DG6" s="10"/>
      <c r="DL6" s="10"/>
      <c r="DM6" s="10"/>
      <c r="DN6" s="10"/>
      <c r="DO6" s="10"/>
      <c r="DT6" s="10"/>
      <c r="DU6" s="10"/>
      <c r="DV6" s="10"/>
      <c r="DW6" s="10"/>
      <c r="EB6" s="10"/>
      <c r="EC6" s="10"/>
      <c r="ED6" s="10"/>
      <c r="EE6" s="10"/>
      <c r="EJ6" s="10"/>
      <c r="EK6" s="10"/>
      <c r="EL6" s="10"/>
      <c r="EM6" s="10"/>
      <c r="EQ6" s="10"/>
      <c r="ER6" s="10"/>
      <c r="ES6" s="10"/>
      <c r="ET6" s="10"/>
    </row>
    <row r="7" spans="2:151" ht="16" customHeight="1" outlineLevel="1">
      <c r="B7" t="s">
        <v>28</v>
      </c>
      <c r="E7" s="9"/>
      <c r="F7" t="s">
        <v>153</v>
      </c>
      <c r="G7" s="10">
        <v>0.13</v>
      </c>
      <c r="I7" s="9">
        <f>+SUMIF($N$3:$YH$3,I$3,$N7:$YH7)</f>
        <v>0</v>
      </c>
      <c r="J7" s="11" cm="1">
        <f t="array" ref="J7">MAX(IF($N$3:$DT$3=$J$3,N7:DT7))</f>
        <v>0.5</v>
      </c>
      <c r="K7" s="11" cm="1">
        <f t="array" ref="K7">MAX(IF($N$3:$DT$3=$J$3,N7:DT7))</f>
        <v>0.5</v>
      </c>
      <c r="L7" s="9"/>
      <c r="M7" s="9"/>
      <c r="O7" s="10"/>
      <c r="P7" s="10"/>
      <c r="Q7" s="10"/>
      <c r="R7" s="10"/>
      <c r="V7" s="10"/>
      <c r="W7" s="10">
        <v>0.8</v>
      </c>
      <c r="X7" s="10"/>
      <c r="Y7" s="10">
        <v>0.8</v>
      </c>
      <c r="AC7" s="10"/>
      <c r="AD7" s="10">
        <v>0.8</v>
      </c>
      <c r="AE7" s="10"/>
      <c r="AF7" s="10">
        <v>0.8</v>
      </c>
      <c r="AJ7" s="10"/>
      <c r="AK7" s="10">
        <v>1</v>
      </c>
      <c r="AL7" s="10"/>
      <c r="AM7" s="10">
        <v>1</v>
      </c>
      <c r="AQ7" s="10"/>
      <c r="AR7" s="10">
        <v>1</v>
      </c>
      <c r="AS7" s="10"/>
      <c r="AT7" s="10">
        <v>1</v>
      </c>
      <c r="AX7" s="10"/>
      <c r="AY7" s="10">
        <v>1</v>
      </c>
      <c r="AZ7" s="10"/>
      <c r="BA7" s="10">
        <v>1</v>
      </c>
      <c r="BF7" s="10"/>
      <c r="BG7" s="10">
        <v>1</v>
      </c>
      <c r="BH7" s="10"/>
      <c r="BI7" s="10">
        <v>1</v>
      </c>
      <c r="BM7" s="10"/>
      <c r="BN7" s="10">
        <v>1</v>
      </c>
      <c r="BO7" s="10"/>
      <c r="BP7" s="10">
        <v>1</v>
      </c>
      <c r="BT7" s="10"/>
      <c r="BU7" s="10">
        <v>1</v>
      </c>
      <c r="BV7" s="10"/>
      <c r="BW7" s="10">
        <v>1</v>
      </c>
      <c r="CA7" s="10">
        <v>0.5</v>
      </c>
      <c r="CB7" s="10">
        <v>1</v>
      </c>
      <c r="CC7" s="10"/>
      <c r="CD7" s="10">
        <v>1</v>
      </c>
      <c r="CH7" s="10"/>
      <c r="CI7" s="10">
        <v>1</v>
      </c>
      <c r="CJ7" s="10"/>
      <c r="CK7" s="10">
        <v>1</v>
      </c>
      <c r="CO7" s="10"/>
      <c r="CP7" s="10">
        <v>1</v>
      </c>
      <c r="CQ7" s="10"/>
      <c r="CR7" s="10">
        <v>1</v>
      </c>
      <c r="CV7" s="10"/>
      <c r="CW7" s="10"/>
      <c r="CX7" s="10"/>
      <c r="CY7" s="10"/>
      <c r="DD7" s="10"/>
      <c r="DE7" s="10"/>
      <c r="DF7" s="10"/>
      <c r="DG7" s="10"/>
      <c r="DL7" s="10"/>
      <c r="DM7" s="10"/>
      <c r="DN7" s="10"/>
      <c r="DO7" s="10"/>
      <c r="DT7" s="10"/>
      <c r="DU7" s="10"/>
      <c r="DV7" s="10"/>
      <c r="DW7" s="10"/>
      <c r="EB7" s="10"/>
      <c r="EC7" s="10"/>
      <c r="ED7" s="10"/>
      <c r="EE7" s="10"/>
      <c r="EJ7" s="10"/>
      <c r="EK7" s="10"/>
      <c r="EL7" s="10"/>
      <c r="EM7" s="10"/>
      <c r="EQ7" s="10"/>
      <c r="ER7" s="10"/>
      <c r="ES7" s="10"/>
      <c r="ET7" s="10"/>
    </row>
    <row r="8" spans="2:151" ht="16" customHeight="1" outlineLevel="1">
      <c r="B8" t="s">
        <v>28</v>
      </c>
      <c r="E8" s="9"/>
      <c r="F8" t="s">
        <v>154</v>
      </c>
      <c r="G8" s="10">
        <v>0.13</v>
      </c>
      <c r="I8" s="9">
        <f>+SUMIF($N$3:$YH$3,I$3,$N8:$YH8)</f>
        <v>0</v>
      </c>
      <c r="J8" s="11" cm="1">
        <f t="array" ref="J8">MAX(IF($N$3:$DT$3=$J$3,N8:DT8))</f>
        <v>0.1</v>
      </c>
      <c r="K8" s="11" cm="1">
        <f t="array" ref="K8">MAX(IF($N$3:$DT$3=$J$3,N8:DT8))</f>
        <v>0.1</v>
      </c>
      <c r="L8" s="9"/>
      <c r="M8" s="9"/>
      <c r="O8" s="10"/>
      <c r="P8" s="10"/>
      <c r="Q8" s="10"/>
      <c r="R8" s="10"/>
      <c r="V8" s="10"/>
      <c r="W8" s="10">
        <v>0.8</v>
      </c>
      <c r="X8" s="10"/>
      <c r="Y8" s="10">
        <v>0.8</v>
      </c>
      <c r="AC8" s="10"/>
      <c r="AD8" s="10">
        <v>0.8</v>
      </c>
      <c r="AE8" s="10"/>
      <c r="AF8" s="10">
        <v>0.8</v>
      </c>
      <c r="AJ8" s="10"/>
      <c r="AK8" s="10">
        <v>0.8</v>
      </c>
      <c r="AL8" s="10"/>
      <c r="AM8" s="10">
        <v>0.8</v>
      </c>
      <c r="AQ8" s="10"/>
      <c r="AR8" s="10">
        <v>1</v>
      </c>
      <c r="AS8" s="10"/>
      <c r="AT8" s="10">
        <v>1</v>
      </c>
      <c r="AX8" s="10"/>
      <c r="AY8" s="10">
        <v>1</v>
      </c>
      <c r="AZ8" s="10"/>
      <c r="BA8" s="10">
        <v>1</v>
      </c>
      <c r="BF8" s="10"/>
      <c r="BG8" s="10">
        <v>1</v>
      </c>
      <c r="BH8" s="10"/>
      <c r="BI8" s="10">
        <v>1</v>
      </c>
      <c r="BM8" s="10"/>
      <c r="BN8" s="10">
        <v>1</v>
      </c>
      <c r="BO8" s="10"/>
      <c r="BP8" s="10">
        <v>1</v>
      </c>
      <c r="BT8" s="10"/>
      <c r="BU8" s="10">
        <v>1</v>
      </c>
      <c r="BV8" s="10"/>
      <c r="BW8" s="10">
        <v>1</v>
      </c>
      <c r="CA8" s="10">
        <v>0.1</v>
      </c>
      <c r="CB8" s="10">
        <v>1</v>
      </c>
      <c r="CC8" s="10"/>
      <c r="CD8" s="10">
        <v>1</v>
      </c>
      <c r="CH8" s="10"/>
      <c r="CI8" s="10">
        <v>1</v>
      </c>
      <c r="CJ8" s="10"/>
      <c r="CK8" s="10">
        <v>1</v>
      </c>
      <c r="CO8" s="10"/>
      <c r="CP8" s="10">
        <v>1</v>
      </c>
      <c r="CQ8" s="10"/>
      <c r="CR8" s="10">
        <v>1</v>
      </c>
      <c r="CV8" s="10"/>
      <c r="CW8" s="10"/>
      <c r="CX8" s="10"/>
      <c r="CY8" s="10"/>
      <c r="DD8" s="10"/>
      <c r="DE8" s="10"/>
      <c r="DF8" s="10"/>
      <c r="DG8" s="10"/>
      <c r="DL8" s="10"/>
      <c r="DM8" s="10"/>
      <c r="DN8" s="10"/>
      <c r="DO8" s="10"/>
      <c r="DT8" s="10"/>
      <c r="DU8" s="10"/>
      <c r="DV8" s="10"/>
      <c r="DW8" s="10"/>
      <c r="EB8" s="10"/>
      <c r="EC8" s="10"/>
      <c r="ED8" s="10"/>
      <c r="EE8" s="10"/>
      <c r="EJ8" s="10"/>
      <c r="EK8" s="10"/>
      <c r="EL8" s="10"/>
      <c r="EM8" s="10"/>
      <c r="EQ8" s="10"/>
      <c r="ER8" s="10"/>
      <c r="ES8" s="10"/>
      <c r="ET8" s="10"/>
    </row>
    <row r="9" spans="2:151" ht="16" customHeight="1" outlineLevel="1">
      <c r="B9" t="s">
        <v>28</v>
      </c>
      <c r="E9" s="9"/>
      <c r="F9" t="s">
        <v>155</v>
      </c>
      <c r="G9" s="10">
        <v>0.12</v>
      </c>
      <c r="I9" s="9">
        <f>+SUMIF($N$3:$YH$3,I$3,$N9:$YH9)</f>
        <v>0</v>
      </c>
      <c r="J9" s="11" cm="1">
        <f t="array" ref="J9">MAX(IF($N$3:$DT$3=$J$3,N9:DT9))</f>
        <v>0.8</v>
      </c>
      <c r="K9" s="11" cm="1">
        <f t="array" ref="K9">MAX(IF($N$3:$DT$3=$J$3,N9:DT9))</f>
        <v>0.8</v>
      </c>
      <c r="L9" s="9"/>
      <c r="M9" s="9"/>
      <c r="O9" s="10"/>
      <c r="P9" s="10"/>
      <c r="Q9" s="10"/>
      <c r="R9" s="10"/>
      <c r="V9" s="10"/>
      <c r="W9" s="10">
        <v>0.8</v>
      </c>
      <c r="X9" s="10"/>
      <c r="Y9" s="10">
        <v>0.8</v>
      </c>
      <c r="AC9" s="10"/>
      <c r="AD9" s="10">
        <v>0.8</v>
      </c>
      <c r="AE9" s="10"/>
      <c r="AF9" s="10">
        <v>0.8</v>
      </c>
      <c r="AJ9" s="10"/>
      <c r="AK9" s="10">
        <v>0.8</v>
      </c>
      <c r="AL9" s="10"/>
      <c r="AM9" s="10">
        <v>0.8</v>
      </c>
      <c r="AQ9" s="10"/>
      <c r="AR9" s="10">
        <v>0.8</v>
      </c>
      <c r="AS9" s="10"/>
      <c r="AT9" s="10">
        <v>0.8</v>
      </c>
      <c r="AX9" s="10"/>
      <c r="AY9" s="10">
        <v>1</v>
      </c>
      <c r="AZ9" s="10"/>
      <c r="BA9" s="10">
        <v>1</v>
      </c>
      <c r="BF9" s="10"/>
      <c r="BG9" s="10">
        <v>1</v>
      </c>
      <c r="BH9" s="10"/>
      <c r="BI9" s="10">
        <v>1</v>
      </c>
      <c r="BM9" s="10"/>
      <c r="BN9" s="10">
        <v>1</v>
      </c>
      <c r="BO9" s="10"/>
      <c r="BP9" s="10">
        <v>1</v>
      </c>
      <c r="BT9" s="10"/>
      <c r="BU9" s="10">
        <v>1</v>
      </c>
      <c r="BV9" s="10"/>
      <c r="BW9" s="10">
        <v>1</v>
      </c>
      <c r="CA9" s="10">
        <v>0.8</v>
      </c>
      <c r="CB9" s="10">
        <v>1</v>
      </c>
      <c r="CC9" s="10"/>
      <c r="CD9" s="10">
        <v>1</v>
      </c>
      <c r="CH9" s="10"/>
      <c r="CI9" s="10">
        <v>1</v>
      </c>
      <c r="CJ9" s="10"/>
      <c r="CK9" s="10">
        <v>1</v>
      </c>
      <c r="CO9" s="10"/>
      <c r="CP9" s="10">
        <v>1</v>
      </c>
      <c r="CQ9" s="10"/>
      <c r="CR9" s="10">
        <v>1</v>
      </c>
      <c r="CV9" s="10"/>
      <c r="CW9" s="10"/>
      <c r="CX9" s="10"/>
      <c r="CY9" s="10"/>
      <c r="DD9" s="10"/>
      <c r="DE9" s="10"/>
      <c r="DF9" s="10"/>
      <c r="DG9" s="10"/>
      <c r="DL9" s="10"/>
      <c r="DM9" s="10"/>
      <c r="DN9" s="10"/>
      <c r="DO9" s="10"/>
      <c r="DT9" s="10"/>
      <c r="DU9" s="10"/>
      <c r="DV9" s="10"/>
      <c r="DW9" s="10"/>
      <c r="EB9" s="10"/>
      <c r="EC9" s="10"/>
      <c r="ED9" s="10"/>
      <c r="EE9" s="10"/>
      <c r="EJ9" s="10"/>
      <c r="EK9" s="10"/>
      <c r="EL9" s="10"/>
      <c r="EM9" s="10"/>
      <c r="EQ9" s="10"/>
      <c r="ER9" s="10"/>
      <c r="ES9" s="10"/>
      <c r="ET9" s="10"/>
    </row>
    <row r="10" spans="2:151" ht="16" customHeight="1" outlineLevel="1">
      <c r="B10" t="s">
        <v>28</v>
      </c>
      <c r="E10" s="9"/>
      <c r="F10" t="s">
        <v>156</v>
      </c>
      <c r="G10" s="10">
        <v>0.12</v>
      </c>
      <c r="I10" s="9">
        <f>+SUMIF($N$3:$YH$3,I$3,$N10:$YH10)</f>
        <v>0</v>
      </c>
      <c r="J10" s="11" cm="1">
        <f t="array" ref="J10">MAX(IF($N$3:$DT$3=$J$3,N10:DT10))</f>
        <v>0.8</v>
      </c>
      <c r="K10" s="11" cm="1">
        <f t="array" ref="K10">MAX(IF($N$3:$DT$3=$J$3,N10:DT10))</f>
        <v>0.8</v>
      </c>
      <c r="L10" s="9"/>
      <c r="M10" s="9"/>
      <c r="O10" s="10"/>
      <c r="P10" s="10"/>
      <c r="Q10" s="10"/>
      <c r="R10" s="10"/>
      <c r="V10" s="10"/>
      <c r="W10" s="10">
        <v>0.5</v>
      </c>
      <c r="X10" s="10"/>
      <c r="Y10" s="10">
        <v>0.5</v>
      </c>
      <c r="AC10" s="10"/>
      <c r="AD10" s="10">
        <v>0.5</v>
      </c>
      <c r="AE10" s="10"/>
      <c r="AF10" s="10">
        <v>0.5</v>
      </c>
      <c r="AJ10" s="10"/>
      <c r="AK10" s="10">
        <v>0.5</v>
      </c>
      <c r="AL10" s="10"/>
      <c r="AM10" s="10">
        <v>0.5</v>
      </c>
      <c r="AQ10" s="10"/>
      <c r="AR10" s="10">
        <v>0.5</v>
      </c>
      <c r="AS10" s="10"/>
      <c r="AT10" s="10">
        <v>0.5</v>
      </c>
      <c r="AX10" s="10"/>
      <c r="AY10" s="10">
        <v>0.5</v>
      </c>
      <c r="AZ10" s="10"/>
      <c r="BA10" s="10">
        <v>0.5</v>
      </c>
      <c r="BF10" s="10"/>
      <c r="BG10" s="10">
        <v>0.8</v>
      </c>
      <c r="BH10" s="10"/>
      <c r="BI10" s="10">
        <v>0.8</v>
      </c>
      <c r="BM10" s="10"/>
      <c r="BN10" s="10">
        <v>1</v>
      </c>
      <c r="BO10" s="10"/>
      <c r="BP10" s="10">
        <v>1</v>
      </c>
      <c r="BT10" s="10"/>
      <c r="BU10" s="10">
        <v>1</v>
      </c>
      <c r="BV10" s="10"/>
      <c r="BW10" s="10">
        <v>1</v>
      </c>
      <c r="CA10" s="10">
        <v>0.8</v>
      </c>
      <c r="CB10" s="10">
        <v>1</v>
      </c>
      <c r="CC10" s="10"/>
      <c r="CD10" s="10">
        <v>1</v>
      </c>
      <c r="CH10" s="10"/>
      <c r="CI10" s="10">
        <v>1</v>
      </c>
      <c r="CJ10" s="10"/>
      <c r="CK10" s="10">
        <v>1</v>
      </c>
      <c r="CO10" s="10"/>
      <c r="CP10" s="10">
        <v>1</v>
      </c>
      <c r="CQ10" s="10"/>
      <c r="CR10" s="10">
        <v>1</v>
      </c>
      <c r="CV10" s="10"/>
      <c r="CW10" s="10"/>
      <c r="CX10" s="10"/>
      <c r="CY10" s="10"/>
      <c r="DD10" s="10"/>
      <c r="DE10" s="10"/>
      <c r="DF10" s="10"/>
      <c r="DG10" s="10"/>
      <c r="DL10" s="10"/>
      <c r="DM10" s="10"/>
      <c r="DN10" s="10"/>
      <c r="DO10" s="10"/>
      <c r="DT10" s="10"/>
      <c r="DU10" s="10"/>
      <c r="DV10" s="10"/>
      <c r="DW10" s="10"/>
      <c r="EB10" s="10"/>
      <c r="EC10" s="10"/>
      <c r="ED10" s="10"/>
      <c r="EE10" s="10"/>
      <c r="EJ10" s="10"/>
      <c r="EK10" s="10"/>
      <c r="EL10" s="10"/>
      <c r="EM10" s="10"/>
      <c r="EQ10" s="10"/>
      <c r="ER10" s="10"/>
      <c r="ES10" s="10"/>
      <c r="ET10" s="10"/>
    </row>
    <row r="11" spans="2:151" ht="16" customHeight="1" outlineLevel="1">
      <c r="B11" t="s">
        <v>28</v>
      </c>
      <c r="E11" s="9"/>
      <c r="F11" t="s">
        <v>157</v>
      </c>
      <c r="G11" s="10">
        <v>0.12</v>
      </c>
      <c r="I11" s="9">
        <f>+SUMIF($N$3:$YH$3,I$3,$N11:$YH11)</f>
        <v>0</v>
      </c>
      <c r="J11" s="11" cm="1">
        <f t="array" ref="J11">MAX(IF($N$3:$DT$3=$J$3,N11:DT11))</f>
        <v>0.5</v>
      </c>
      <c r="K11" s="11" cm="1">
        <f t="array" ref="K11">MAX(IF($N$3:$DT$3=$J$3,N11:DT11))</f>
        <v>0.5</v>
      </c>
      <c r="L11" s="9"/>
      <c r="M11" s="9"/>
      <c r="O11" s="10"/>
      <c r="P11" s="10"/>
      <c r="Q11" s="10"/>
      <c r="R11" s="10"/>
      <c r="V11" s="10"/>
      <c r="W11" s="10">
        <v>0.5</v>
      </c>
      <c r="X11" s="10"/>
      <c r="Y11" s="10">
        <v>0.5</v>
      </c>
      <c r="AC11" s="10"/>
      <c r="AD11" s="10">
        <v>0.5</v>
      </c>
      <c r="AE11" s="10"/>
      <c r="AF11" s="10">
        <v>0.5</v>
      </c>
      <c r="AJ11" s="10"/>
      <c r="AK11" s="10">
        <v>0.5</v>
      </c>
      <c r="AL11" s="10"/>
      <c r="AM11" s="10">
        <v>0.5</v>
      </c>
      <c r="AQ11" s="10"/>
      <c r="AR11" s="10">
        <v>0.5</v>
      </c>
      <c r="AS11" s="10"/>
      <c r="AT11" s="10">
        <v>0.5</v>
      </c>
      <c r="AX11" s="10"/>
      <c r="AY11" s="10">
        <v>0.5</v>
      </c>
      <c r="AZ11" s="10"/>
      <c r="BA11" s="10">
        <v>0.5</v>
      </c>
      <c r="BF11" s="10"/>
      <c r="BG11" s="10">
        <v>0.8</v>
      </c>
      <c r="BH11" s="10"/>
      <c r="BI11" s="10">
        <v>0.8</v>
      </c>
      <c r="BM11" s="10"/>
      <c r="BN11" s="10">
        <v>0.8</v>
      </c>
      <c r="BO11" s="10"/>
      <c r="BP11" s="10">
        <v>0.8</v>
      </c>
      <c r="BT11" s="10"/>
      <c r="BU11" s="10">
        <v>0.8</v>
      </c>
      <c r="BV11" s="10"/>
      <c r="BW11" s="10">
        <v>0.8</v>
      </c>
      <c r="CA11" s="10">
        <v>0.5</v>
      </c>
      <c r="CB11" s="10">
        <v>0.8</v>
      </c>
      <c r="CC11" s="10"/>
      <c r="CD11" s="10">
        <v>0.8</v>
      </c>
      <c r="CH11" s="10"/>
      <c r="CI11" s="10">
        <v>1</v>
      </c>
      <c r="CJ11" s="10"/>
      <c r="CK11" s="10">
        <v>1</v>
      </c>
      <c r="CO11" s="10"/>
      <c r="CP11" s="10">
        <v>1</v>
      </c>
      <c r="CQ11" s="10"/>
      <c r="CR11" s="10">
        <v>1</v>
      </c>
      <c r="CV11" s="10"/>
      <c r="CW11" s="10"/>
      <c r="CX11" s="10"/>
      <c r="CY11" s="10"/>
      <c r="DD11" s="10"/>
      <c r="DE11" s="10"/>
      <c r="DF11" s="10"/>
      <c r="DG11" s="10"/>
      <c r="DL11" s="10"/>
      <c r="DM11" s="10"/>
      <c r="DN11" s="10"/>
      <c r="DO11" s="10"/>
      <c r="DT11" s="10"/>
      <c r="DU11" s="10"/>
      <c r="DV11" s="10"/>
      <c r="DW11" s="10"/>
      <c r="EB11" s="10"/>
      <c r="EC11" s="10"/>
      <c r="ED11" s="10"/>
      <c r="EE11" s="10"/>
      <c r="EJ11" s="10"/>
      <c r="EK11" s="10"/>
      <c r="EL11" s="10"/>
      <c r="EM11" s="10"/>
      <c r="EQ11" s="10"/>
      <c r="ER11" s="10"/>
      <c r="ES11" s="10"/>
      <c r="ET11" s="10"/>
    </row>
    <row r="12" spans="2:151" ht="16" customHeight="1" outlineLevel="1">
      <c r="B12" t="s">
        <v>28</v>
      </c>
      <c r="E12" s="9"/>
      <c r="F12" t="s">
        <v>158</v>
      </c>
      <c r="G12" s="10">
        <v>0.12</v>
      </c>
      <c r="I12" s="9">
        <f>+SUMIF($N$3:$YH$3,I$3,$N12:$YH12)</f>
        <v>0</v>
      </c>
      <c r="J12" s="11" cm="1">
        <f t="array" ref="J12">MAX(IF($N$3:$DT$3=$J$3,N12:DT12))</f>
        <v>0.1</v>
      </c>
      <c r="K12" s="11" cm="1">
        <f t="array" ref="K12">MAX(IF($N$3:$DT$3=$J$3,N12:DT12))</f>
        <v>0.1</v>
      </c>
      <c r="L12" s="9"/>
      <c r="M12" s="9"/>
      <c r="O12" s="10"/>
      <c r="P12" s="10"/>
      <c r="Q12" s="10"/>
      <c r="R12" s="10"/>
      <c r="V12" s="10"/>
      <c r="W12" s="10">
        <v>0.5</v>
      </c>
      <c r="X12" s="10"/>
      <c r="Y12" s="10">
        <v>0.5</v>
      </c>
      <c r="AC12" s="10"/>
      <c r="AD12" s="10">
        <v>0.5</v>
      </c>
      <c r="AE12" s="10"/>
      <c r="AF12" s="10">
        <v>0.5</v>
      </c>
      <c r="AJ12" s="10"/>
      <c r="AK12" s="10">
        <v>0.5</v>
      </c>
      <c r="AL12" s="10"/>
      <c r="AM12" s="10">
        <v>0.5</v>
      </c>
      <c r="AQ12" s="10"/>
      <c r="AR12" s="10">
        <v>0.5</v>
      </c>
      <c r="AS12" s="10"/>
      <c r="AT12" s="10">
        <v>0.5</v>
      </c>
      <c r="AX12" s="10"/>
      <c r="AY12" s="10">
        <v>0.5</v>
      </c>
      <c r="AZ12" s="10"/>
      <c r="BA12" s="10">
        <v>0.5</v>
      </c>
      <c r="BF12" s="10"/>
      <c r="BG12" s="10">
        <v>0.5</v>
      </c>
      <c r="BH12" s="10"/>
      <c r="BI12" s="10">
        <v>0.5</v>
      </c>
      <c r="BM12" s="10"/>
      <c r="BN12" s="10">
        <v>0.5</v>
      </c>
      <c r="BO12" s="10"/>
      <c r="BP12" s="10">
        <v>0.5</v>
      </c>
      <c r="BT12" s="10"/>
      <c r="BU12" s="10">
        <v>0.8</v>
      </c>
      <c r="BV12" s="10"/>
      <c r="BW12" s="10">
        <v>0.8</v>
      </c>
      <c r="CA12" s="10">
        <v>0.1</v>
      </c>
      <c r="CB12" s="10">
        <v>0.8</v>
      </c>
      <c r="CC12" s="10"/>
      <c r="CD12" s="10">
        <v>0.8</v>
      </c>
      <c r="CH12" s="10"/>
      <c r="CI12" s="10">
        <v>0.8</v>
      </c>
      <c r="CJ12" s="10"/>
      <c r="CK12" s="10">
        <v>0.8</v>
      </c>
      <c r="CO12" s="10"/>
      <c r="CP12" s="10">
        <v>1</v>
      </c>
      <c r="CQ12" s="10"/>
      <c r="CR12" s="10">
        <v>1</v>
      </c>
      <c r="CV12" s="10"/>
      <c r="CW12" s="10"/>
      <c r="CX12" s="10"/>
      <c r="CY12" s="10"/>
      <c r="DD12" s="10"/>
      <c r="DE12" s="10"/>
      <c r="DF12" s="10"/>
      <c r="DG12" s="10"/>
      <c r="DL12" s="10"/>
      <c r="DM12" s="10"/>
      <c r="DN12" s="10"/>
      <c r="DO12" s="10"/>
      <c r="DT12" s="10"/>
      <c r="DU12" s="10"/>
      <c r="DV12" s="10"/>
      <c r="DW12" s="10"/>
      <c r="EB12" s="10"/>
      <c r="EC12" s="10"/>
      <c r="ED12" s="10"/>
      <c r="EE12" s="10"/>
      <c r="EJ12" s="10"/>
      <c r="EK12" s="10"/>
      <c r="EL12" s="10"/>
      <c r="EM12" s="10"/>
      <c r="EQ12" s="10"/>
      <c r="ER12" s="10"/>
      <c r="ES12" s="10"/>
      <c r="ET12" s="10"/>
    </row>
    <row r="13" spans="2:151" ht="16" customHeight="1" outlineLevel="1">
      <c r="B13" t="s">
        <v>28</v>
      </c>
      <c r="E13" s="9"/>
      <c r="F13" t="s">
        <v>159</v>
      </c>
      <c r="G13" s="10">
        <v>0.12</v>
      </c>
      <c r="I13" s="9">
        <f>+SUMIF($N$3:$YH$3,I$3,$N13:$YH13)</f>
        <v>0</v>
      </c>
      <c r="J13" s="11" cm="1">
        <f t="array" ref="J13">MAX(IF($N$3:$DT$3=$J$3,N13:DT13))</f>
        <v>0</v>
      </c>
      <c r="K13" s="11" cm="1">
        <f t="array" ref="K13">MAX(IF($N$3:$DT$3=$J$3,N13:DT13))</f>
        <v>0</v>
      </c>
      <c r="L13" s="9"/>
      <c r="M13" s="9"/>
      <c r="O13" s="10"/>
      <c r="P13" s="10"/>
      <c r="Q13" s="10"/>
      <c r="R13" s="10"/>
      <c r="V13" s="10"/>
      <c r="W13" s="10">
        <v>0.1</v>
      </c>
      <c r="X13" s="10"/>
      <c r="Y13" s="10">
        <v>0.1</v>
      </c>
      <c r="AC13" s="10"/>
      <c r="AD13" s="10">
        <v>0.1</v>
      </c>
      <c r="AE13" s="10"/>
      <c r="AF13" s="10">
        <v>0.1</v>
      </c>
      <c r="AJ13" s="10"/>
      <c r="AK13" s="10">
        <v>0.1</v>
      </c>
      <c r="AL13" s="10"/>
      <c r="AM13" s="10">
        <v>0.1</v>
      </c>
      <c r="AQ13" s="10"/>
      <c r="AR13" s="10">
        <v>0.1</v>
      </c>
      <c r="AS13" s="10"/>
      <c r="AT13" s="10">
        <v>0.1</v>
      </c>
      <c r="AX13" s="10"/>
      <c r="AY13" s="10">
        <v>0.5</v>
      </c>
      <c r="AZ13" s="10"/>
      <c r="BA13" s="10">
        <v>0.5</v>
      </c>
      <c r="BF13" s="10"/>
      <c r="BG13" s="10">
        <v>0.5</v>
      </c>
      <c r="BH13" s="10"/>
      <c r="BI13" s="10">
        <v>0.5</v>
      </c>
      <c r="BM13" s="10"/>
      <c r="BN13" s="10">
        <v>0.5</v>
      </c>
      <c r="BO13" s="10"/>
      <c r="BP13" s="10">
        <v>0.5</v>
      </c>
      <c r="BT13" s="10"/>
      <c r="BU13" s="10">
        <v>0.5</v>
      </c>
      <c r="BV13" s="10"/>
      <c r="BW13" s="10">
        <v>0.5</v>
      </c>
      <c r="CA13" s="10"/>
      <c r="CB13" s="10">
        <v>0.8</v>
      </c>
      <c r="CC13" s="10"/>
      <c r="CD13" s="10">
        <v>0.8</v>
      </c>
      <c r="CH13" s="10"/>
      <c r="CI13" s="10">
        <v>0.8</v>
      </c>
      <c r="CJ13" s="10"/>
      <c r="CK13" s="10">
        <v>0.8</v>
      </c>
      <c r="CO13" s="10"/>
      <c r="CP13" s="10">
        <v>1</v>
      </c>
      <c r="CQ13" s="10"/>
      <c r="CR13" s="10">
        <v>1</v>
      </c>
      <c r="CV13" s="10"/>
      <c r="CW13" s="10"/>
      <c r="CX13" s="10"/>
      <c r="CY13" s="10"/>
      <c r="DD13" s="10"/>
      <c r="DE13" s="10"/>
      <c r="DF13" s="10"/>
      <c r="DG13" s="10"/>
      <c r="DL13" s="10"/>
      <c r="DM13" s="10"/>
      <c r="DN13" s="10"/>
      <c r="DO13" s="10"/>
      <c r="DT13" s="10"/>
      <c r="DU13" s="10"/>
      <c r="DV13" s="10"/>
      <c r="DW13" s="10"/>
      <c r="EB13" s="10"/>
      <c r="EC13" s="10"/>
      <c r="ED13" s="10"/>
      <c r="EE13" s="10"/>
      <c r="EJ13" s="10"/>
      <c r="EK13" s="10"/>
      <c r="EL13" s="10"/>
      <c r="EM13" s="10"/>
      <c r="EQ13" s="10"/>
      <c r="ER13" s="10"/>
      <c r="ES13" s="10"/>
      <c r="ET13" s="10"/>
    </row>
    <row r="14" spans="2:151" ht="16" customHeight="1" outlineLevel="1">
      <c r="B14" t="s">
        <v>28</v>
      </c>
      <c r="E14" s="9"/>
      <c r="G14" s="10"/>
      <c r="I14" s="9">
        <f>+SUMIF($N$3:$YH$3,I$3,$N14:$YH14)</f>
        <v>0</v>
      </c>
      <c r="J14" s="11" cm="1">
        <f t="array" ref="J14">MAX(IF($N$3:$DT$3=$J$3,N14:DT14))</f>
        <v>0</v>
      </c>
      <c r="K14" s="11" cm="1">
        <f t="array" ref="K14">MAX(IF($N$3:$DT$3=$J$3,N14:DT14))</f>
        <v>0</v>
      </c>
      <c r="L14" s="9"/>
      <c r="M14" s="9"/>
      <c r="O14" s="10"/>
      <c r="P14" s="10"/>
      <c r="Q14" s="10"/>
      <c r="R14" s="10"/>
      <c r="V14" s="10"/>
      <c r="W14" s="10">
        <v>0.1</v>
      </c>
      <c r="X14" s="10"/>
      <c r="Y14" s="10">
        <v>0.1</v>
      </c>
      <c r="AC14" s="10"/>
      <c r="AD14" s="10">
        <v>0.1</v>
      </c>
      <c r="AE14" s="10"/>
      <c r="AF14" s="10">
        <v>0.1</v>
      </c>
      <c r="AJ14" s="10"/>
      <c r="AK14" s="10">
        <v>0.1</v>
      </c>
      <c r="AL14" s="10"/>
      <c r="AM14" s="10">
        <v>0.1</v>
      </c>
      <c r="AQ14" s="10"/>
      <c r="AR14" s="10">
        <v>0.1</v>
      </c>
      <c r="AS14" s="10"/>
      <c r="AT14" s="10">
        <v>0.1</v>
      </c>
      <c r="AX14" s="10"/>
      <c r="AY14" s="10">
        <v>0.5</v>
      </c>
      <c r="AZ14" s="10"/>
      <c r="BA14" s="10">
        <v>0.5</v>
      </c>
      <c r="BF14" s="10"/>
      <c r="BG14" s="10">
        <v>0.5</v>
      </c>
      <c r="BH14" s="10"/>
      <c r="BI14" s="10">
        <v>0.5</v>
      </c>
      <c r="BM14" s="10"/>
      <c r="BN14" s="10">
        <v>0.5</v>
      </c>
      <c r="BO14" s="10"/>
      <c r="BP14" s="10">
        <v>0.5</v>
      </c>
      <c r="BT14" s="10"/>
      <c r="BU14" s="10">
        <v>0.5</v>
      </c>
      <c r="BV14" s="10"/>
      <c r="BW14" s="10">
        <v>0.5</v>
      </c>
      <c r="CA14" s="10"/>
      <c r="CB14" s="10">
        <v>0.8</v>
      </c>
      <c r="CC14" s="10"/>
      <c r="CD14" s="10">
        <v>0.8</v>
      </c>
      <c r="CH14" s="10"/>
      <c r="CI14" s="10">
        <v>0.8</v>
      </c>
      <c r="CJ14" s="10"/>
      <c r="CK14" s="10">
        <v>0.8</v>
      </c>
      <c r="CO14" s="10"/>
      <c r="CP14" s="10">
        <v>1</v>
      </c>
      <c r="CQ14" s="10"/>
      <c r="CR14" s="10">
        <v>1</v>
      </c>
      <c r="CV14" s="10"/>
      <c r="CW14" s="10"/>
      <c r="CX14" s="10"/>
      <c r="CY14" s="10"/>
      <c r="DD14" s="10"/>
      <c r="DE14" s="10"/>
      <c r="DF14" s="10"/>
      <c r="DG14" s="10"/>
      <c r="DL14" s="10"/>
      <c r="DM14" s="10"/>
      <c r="DN14" s="10"/>
      <c r="DO14" s="10"/>
      <c r="DT14" s="10"/>
      <c r="DU14" s="10"/>
      <c r="DV14" s="10"/>
      <c r="DW14" s="10"/>
      <c r="EB14" s="10"/>
      <c r="EC14" s="10"/>
      <c r="ED14" s="10"/>
      <c r="EE14" s="10"/>
      <c r="EJ14" s="10"/>
      <c r="EK14" s="10"/>
      <c r="EL14" s="10"/>
      <c r="EM14" s="10"/>
      <c r="EQ14" s="10"/>
      <c r="ER14" s="10"/>
      <c r="ES14" s="10"/>
      <c r="ET14" s="10"/>
    </row>
    <row r="15" spans="2:151" ht="16" customHeight="1" outlineLevel="1">
      <c r="B15" t="s">
        <v>28</v>
      </c>
      <c r="C15" t="s">
        <v>160</v>
      </c>
      <c r="E15" s="9">
        <v>2</v>
      </c>
      <c r="F15" s="1" t="s">
        <v>173</v>
      </c>
      <c r="G15" s="10">
        <v>0.13300000000000001</v>
      </c>
      <c r="I15" s="9">
        <f>+SUMIF($N$3:$YH$3,I$3,$N15:$YH15)</f>
        <v>0</v>
      </c>
      <c r="J15" s="11" cm="1">
        <f t="array" ref="J15">MAX(IF($N$3:$DT$3=$J$3,N15:DT15))</f>
        <v>0</v>
      </c>
      <c r="K15" s="11" cm="1">
        <f t="array" ref="K15">MAX(IF($N$3:$DT$3=$J$3,N15:DT15))</f>
        <v>0</v>
      </c>
      <c r="L15" s="9"/>
      <c r="M15" s="9"/>
      <c r="O15" s="10"/>
      <c r="P15" s="10"/>
      <c r="Q15" s="10"/>
      <c r="R15" s="10"/>
      <c r="V15" s="10"/>
      <c r="W15" s="10">
        <v>0.1</v>
      </c>
      <c r="X15" s="10"/>
      <c r="Y15" s="10">
        <v>0.1</v>
      </c>
      <c r="AC15" s="10"/>
      <c r="AD15" s="10">
        <v>0.1</v>
      </c>
      <c r="AE15" s="10"/>
      <c r="AF15" s="10">
        <v>0.1</v>
      </c>
      <c r="AJ15" s="10"/>
      <c r="AK15" s="10">
        <v>0.1</v>
      </c>
      <c r="AL15" s="10"/>
      <c r="AM15" s="10">
        <v>0.1</v>
      </c>
      <c r="AQ15" s="10"/>
      <c r="AR15" s="10">
        <v>0.1</v>
      </c>
      <c r="AS15" s="10"/>
      <c r="AT15" s="10">
        <v>0.1</v>
      </c>
      <c r="AX15" s="10"/>
      <c r="AY15" s="10">
        <v>0.5</v>
      </c>
      <c r="AZ15" s="10"/>
      <c r="BA15" s="10">
        <v>0.5</v>
      </c>
      <c r="BF15" s="10"/>
      <c r="BG15" s="10">
        <v>0.5</v>
      </c>
      <c r="BH15" s="10"/>
      <c r="BI15" s="10">
        <v>0.5</v>
      </c>
      <c r="BM15" s="10"/>
      <c r="BN15" s="10">
        <v>0.5</v>
      </c>
      <c r="BO15" s="10"/>
      <c r="BP15" s="10">
        <v>0.5</v>
      </c>
      <c r="BT15" s="10"/>
      <c r="BU15" s="10">
        <v>0.5</v>
      </c>
      <c r="BV15" s="10"/>
      <c r="BW15" s="10">
        <v>0.5</v>
      </c>
      <c r="CA15" s="10"/>
      <c r="CB15" s="10">
        <v>0.8</v>
      </c>
      <c r="CC15" s="10"/>
      <c r="CD15" s="10">
        <v>0.8</v>
      </c>
      <c r="CH15" s="10"/>
      <c r="CI15" s="10">
        <v>0.8</v>
      </c>
      <c r="CJ15" s="10"/>
      <c r="CK15" s="10">
        <v>0.8</v>
      </c>
      <c r="CO15" s="10"/>
      <c r="CP15" s="10">
        <v>1</v>
      </c>
      <c r="CQ15" s="10"/>
      <c r="CR15" s="10">
        <v>1</v>
      </c>
      <c r="CV15" s="10"/>
      <c r="CW15" s="10"/>
      <c r="CX15" s="10"/>
      <c r="CY15" s="10"/>
      <c r="DD15" s="10"/>
      <c r="DE15" s="10"/>
      <c r="DF15" s="10"/>
      <c r="DG15" s="10"/>
      <c r="DL15" s="10"/>
      <c r="DM15" s="10"/>
      <c r="DN15" s="10"/>
      <c r="DO15" s="10"/>
      <c r="DT15" s="10"/>
      <c r="DU15" s="10"/>
      <c r="DV15" s="10"/>
      <c r="DW15" s="10"/>
      <c r="EB15" s="10"/>
      <c r="EC15" s="10"/>
      <c r="ED15" s="10"/>
      <c r="EE15" s="10"/>
      <c r="EJ15" s="10"/>
      <c r="EK15" s="10"/>
      <c r="EL15" s="10"/>
      <c r="EM15" s="10"/>
      <c r="EQ15" s="10"/>
      <c r="ER15" s="10"/>
      <c r="ES15" s="10"/>
      <c r="ET15" s="10"/>
    </row>
    <row r="16" spans="2:151" ht="16" customHeight="1" outlineLevel="1">
      <c r="B16" t="s">
        <v>28</v>
      </c>
      <c r="E16" s="9"/>
      <c r="F16" t="s">
        <v>161</v>
      </c>
      <c r="G16" s="10">
        <v>0.1</v>
      </c>
      <c r="I16" s="9">
        <f>+SUMIF($N$3:$YH$3,I$3,$N16:$YH16)</f>
        <v>0</v>
      </c>
      <c r="J16" s="11" cm="1">
        <f t="array" ref="J16">MAX(IF($N$3:$DT$3=$J$3,N16:DT16))</f>
        <v>0</v>
      </c>
      <c r="K16" s="11" cm="1">
        <f t="array" ref="K16">MAX(IF($N$3:$DT$3=$J$3,N16:DT16))</f>
        <v>0</v>
      </c>
      <c r="L16" s="9"/>
      <c r="M16" s="9"/>
      <c r="O16" s="10"/>
      <c r="P16" s="10"/>
      <c r="Q16" s="10"/>
      <c r="R16" s="10"/>
      <c r="V16" s="10"/>
      <c r="W16" s="10">
        <v>0.1</v>
      </c>
      <c r="X16" s="10"/>
      <c r="Y16" s="10">
        <v>0.1</v>
      </c>
      <c r="AC16" s="10"/>
      <c r="AD16" s="10">
        <v>0.1</v>
      </c>
      <c r="AE16" s="10"/>
      <c r="AF16" s="10">
        <v>0.1</v>
      </c>
      <c r="AJ16" s="10"/>
      <c r="AK16" s="10">
        <v>0.1</v>
      </c>
      <c r="AL16" s="10"/>
      <c r="AM16" s="10">
        <v>0.1</v>
      </c>
      <c r="AQ16" s="10"/>
      <c r="AR16" s="10">
        <v>0.1</v>
      </c>
      <c r="AS16" s="10"/>
      <c r="AT16" s="10">
        <v>0.1</v>
      </c>
      <c r="AX16" s="10"/>
      <c r="AY16" s="10">
        <v>0.5</v>
      </c>
      <c r="AZ16" s="10"/>
      <c r="BA16" s="10">
        <v>0.5</v>
      </c>
      <c r="BF16" s="10"/>
      <c r="BG16" s="10">
        <v>0.5</v>
      </c>
      <c r="BH16" s="10"/>
      <c r="BI16" s="10">
        <v>0.5</v>
      </c>
      <c r="BM16" s="10"/>
      <c r="BN16" s="10">
        <v>0.5</v>
      </c>
      <c r="BO16" s="10"/>
      <c r="BP16" s="10">
        <v>0.5</v>
      </c>
      <c r="BT16" s="10"/>
      <c r="BU16" s="10">
        <v>0.5</v>
      </c>
      <c r="BV16" s="10"/>
      <c r="BW16" s="10">
        <v>0.5</v>
      </c>
      <c r="CA16" s="10"/>
      <c r="CB16" s="10">
        <v>0.8</v>
      </c>
      <c r="CC16" s="10"/>
      <c r="CD16" s="10">
        <v>0.8</v>
      </c>
      <c r="CH16" s="10"/>
      <c r="CI16" s="10">
        <v>0.8</v>
      </c>
      <c r="CJ16" s="10"/>
      <c r="CK16" s="10">
        <v>0.8</v>
      </c>
      <c r="CO16" s="10"/>
      <c r="CP16" s="10">
        <v>1</v>
      </c>
      <c r="CQ16" s="10"/>
      <c r="CR16" s="10">
        <v>1</v>
      </c>
      <c r="CV16" s="10"/>
      <c r="CW16" s="10"/>
      <c r="CX16" s="10"/>
      <c r="CY16" s="10"/>
      <c r="DD16" s="10"/>
      <c r="DE16" s="10"/>
      <c r="DF16" s="10"/>
      <c r="DG16" s="10"/>
      <c r="DL16" s="10"/>
      <c r="DM16" s="10"/>
      <c r="DN16" s="10"/>
      <c r="DO16" s="10"/>
      <c r="DT16" s="10"/>
      <c r="DU16" s="10"/>
      <c r="DV16" s="10"/>
      <c r="DW16" s="10"/>
      <c r="EB16" s="10"/>
      <c r="EC16" s="10"/>
      <c r="ED16" s="10"/>
      <c r="EE16" s="10"/>
      <c r="EJ16" s="10"/>
      <c r="EK16" s="10"/>
      <c r="EL16" s="10"/>
      <c r="EM16" s="10"/>
      <c r="EQ16" s="10"/>
      <c r="ER16" s="10"/>
      <c r="ES16" s="10"/>
      <c r="ET16" s="10"/>
    </row>
    <row r="17" spans="2:150" ht="16" customHeight="1" outlineLevel="1">
      <c r="B17" t="s">
        <v>28</v>
      </c>
      <c r="E17" s="9"/>
      <c r="F17" t="s">
        <v>162</v>
      </c>
      <c r="G17" s="10">
        <v>0.1</v>
      </c>
      <c r="I17" s="9">
        <f>+SUMIF($N$3:$YH$3,I$3,$N17:$YH17)</f>
        <v>0</v>
      </c>
      <c r="J17" s="11" cm="1">
        <f t="array" ref="J17">MAX(IF($N$3:$DT$3=$J$3,N17:DT17))</f>
        <v>0</v>
      </c>
      <c r="K17" s="11" cm="1">
        <f t="array" ref="K17">MAX(IF($N$3:$DT$3=$J$3,N17:DT17))</f>
        <v>0</v>
      </c>
      <c r="L17" s="9"/>
      <c r="M17" s="9"/>
      <c r="O17" s="10"/>
      <c r="P17" s="10"/>
      <c r="Q17" s="10"/>
      <c r="R17" s="10"/>
      <c r="V17" s="10"/>
      <c r="W17" s="10">
        <v>0.1</v>
      </c>
      <c r="X17" s="10"/>
      <c r="Y17" s="10">
        <v>0.1</v>
      </c>
      <c r="AC17" s="10"/>
      <c r="AD17" s="10">
        <v>0.1</v>
      </c>
      <c r="AE17" s="10"/>
      <c r="AF17" s="10">
        <v>0.1</v>
      </c>
      <c r="AJ17" s="10"/>
      <c r="AK17" s="10">
        <v>0.1</v>
      </c>
      <c r="AL17" s="10"/>
      <c r="AM17" s="10">
        <v>0.1</v>
      </c>
      <c r="AQ17" s="10"/>
      <c r="AR17" s="10">
        <v>0.1</v>
      </c>
      <c r="AS17" s="10"/>
      <c r="AT17" s="10">
        <v>0.1</v>
      </c>
      <c r="AX17" s="10"/>
      <c r="AY17" s="10">
        <v>0.5</v>
      </c>
      <c r="AZ17" s="10"/>
      <c r="BA17" s="10">
        <v>0.5</v>
      </c>
      <c r="BF17" s="10"/>
      <c r="BG17" s="10">
        <v>0.5</v>
      </c>
      <c r="BH17" s="10"/>
      <c r="BI17" s="10">
        <v>0.5</v>
      </c>
      <c r="BM17" s="10"/>
      <c r="BN17" s="10">
        <v>0.5</v>
      </c>
      <c r="BO17" s="10"/>
      <c r="BP17" s="10">
        <v>0.5</v>
      </c>
      <c r="BT17" s="10"/>
      <c r="BU17" s="10">
        <v>0.5</v>
      </c>
      <c r="BV17" s="10"/>
      <c r="BW17" s="10">
        <v>0.5</v>
      </c>
      <c r="CA17" s="10"/>
      <c r="CB17" s="10">
        <v>0.8</v>
      </c>
      <c r="CC17" s="10"/>
      <c r="CD17" s="10">
        <v>0.8</v>
      </c>
      <c r="CH17" s="10"/>
      <c r="CI17" s="10">
        <v>0.8</v>
      </c>
      <c r="CJ17" s="10"/>
      <c r="CK17" s="10">
        <v>0.8</v>
      </c>
      <c r="CO17" s="10"/>
      <c r="CP17" s="10">
        <v>1</v>
      </c>
      <c r="CQ17" s="10"/>
      <c r="CR17" s="10">
        <v>1</v>
      </c>
      <c r="CV17" s="10"/>
      <c r="CW17" s="10"/>
      <c r="CX17" s="10"/>
      <c r="CY17" s="10"/>
      <c r="DD17" s="10"/>
      <c r="DE17" s="10"/>
      <c r="DF17" s="10"/>
      <c r="DG17" s="10"/>
      <c r="DL17" s="10"/>
      <c r="DM17" s="10"/>
      <c r="DN17" s="10"/>
      <c r="DO17" s="10"/>
      <c r="DT17" s="10"/>
      <c r="DU17" s="10"/>
      <c r="DV17" s="10"/>
      <c r="DW17" s="10"/>
      <c r="EB17" s="10"/>
      <c r="EC17" s="10"/>
      <c r="ED17" s="10"/>
      <c r="EE17" s="10"/>
      <c r="EJ17" s="10"/>
      <c r="EK17" s="10"/>
      <c r="EL17" s="10"/>
      <c r="EM17" s="10"/>
      <c r="EQ17" s="10"/>
      <c r="ER17" s="10"/>
      <c r="ES17" s="10"/>
      <c r="ET17" s="10"/>
    </row>
    <row r="18" spans="2:150" ht="16" customHeight="1" outlineLevel="1">
      <c r="E18" s="9"/>
      <c r="G18" s="10"/>
      <c r="I18" s="9"/>
      <c r="J18" s="11"/>
      <c r="K18" s="11"/>
      <c r="L18" s="9"/>
      <c r="M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F18" s="10"/>
      <c r="BG18" s="10"/>
      <c r="BH18" s="10"/>
      <c r="BI18" s="10"/>
      <c r="BM18" s="10"/>
      <c r="BN18" s="10"/>
      <c r="BO18" s="10"/>
      <c r="BP18" s="10"/>
      <c r="BT18" s="10"/>
      <c r="BU18" s="10"/>
      <c r="BV18" s="10"/>
      <c r="BW18" s="10"/>
      <c r="CA18" s="10"/>
      <c r="CB18" s="10"/>
      <c r="CC18" s="10"/>
      <c r="CD18" s="10"/>
      <c r="CH18" s="10"/>
      <c r="CI18" s="10"/>
      <c r="CJ18" s="10"/>
      <c r="CK18" s="10"/>
      <c r="CO18" s="10"/>
      <c r="CP18" s="10"/>
      <c r="CQ18" s="10"/>
      <c r="CR18" s="10"/>
      <c r="CV18" s="10"/>
      <c r="CW18" s="10"/>
      <c r="CX18" s="10"/>
      <c r="CY18" s="10"/>
      <c r="DD18" s="10"/>
      <c r="DE18" s="10"/>
      <c r="DF18" s="10"/>
      <c r="DG18" s="10"/>
      <c r="DL18" s="10"/>
      <c r="DM18" s="10"/>
      <c r="DN18" s="10"/>
      <c r="DO18" s="10"/>
      <c r="DT18" s="10"/>
      <c r="DU18" s="10"/>
      <c r="DV18" s="10"/>
      <c r="DW18" s="10"/>
      <c r="EB18" s="10"/>
      <c r="EC18" s="10"/>
      <c r="ED18" s="10"/>
      <c r="EE18" s="10"/>
      <c r="EJ18" s="10"/>
      <c r="EK18" s="10"/>
      <c r="EL18" s="10"/>
      <c r="EM18" s="10"/>
      <c r="EQ18" s="10"/>
      <c r="ER18" s="10"/>
      <c r="ES18" s="10"/>
      <c r="ET18" s="10"/>
    </row>
    <row r="19" spans="2:150" ht="17" customHeight="1">
      <c r="B19" t="s">
        <v>27</v>
      </c>
      <c r="C19" t="s">
        <v>127</v>
      </c>
      <c r="D19" s="19">
        <v>45838</v>
      </c>
      <c r="E19" s="9">
        <v>5</v>
      </c>
      <c r="G19" s="10">
        <f>+SUM(G20:G23)</f>
        <v>1</v>
      </c>
      <c r="I19" s="12" t="s">
        <v>87</v>
      </c>
      <c r="J19" s="11">
        <f>+SUMPRODUCT(G20:G23,J20:J23)</f>
        <v>0.57499999999999996</v>
      </c>
      <c r="K19" s="11">
        <f>+SUMPRODUCT(G20:G23,K20:K23)</f>
        <v>0.57499999999999996</v>
      </c>
      <c r="L19" s="9"/>
      <c r="M19" s="9"/>
      <c r="N19" s="12">
        <v>5</v>
      </c>
    </row>
    <row r="20" spans="2:150" ht="16" customHeight="1" outlineLevel="1">
      <c r="B20" t="s">
        <v>28</v>
      </c>
      <c r="E20" s="9"/>
      <c r="F20" s="22" t="s">
        <v>128</v>
      </c>
      <c r="G20" s="10">
        <v>0.25</v>
      </c>
      <c r="I20" s="9">
        <f>+SUMIF($N$3:$YH$3,I$3,$N20:$YH20)</f>
        <v>0</v>
      </c>
      <c r="J20" s="11" cm="1">
        <f t="array" ref="J20">MAX(IF($N$3:$DT$3=$J$3,N20:DT20))</f>
        <v>0.8</v>
      </c>
      <c r="K20" s="11" cm="1">
        <f t="array" ref="K20">MAX(IF($N$3:$DT$3=$J$3,N20:DT20))</f>
        <v>0.8</v>
      </c>
      <c r="L20" s="9"/>
      <c r="M20" s="9"/>
      <c r="O20" s="10">
        <v>0.8</v>
      </c>
      <c r="P20" s="10"/>
      <c r="Q20" s="10">
        <v>0.8</v>
      </c>
      <c r="R20" s="10"/>
      <c r="V20" s="10"/>
      <c r="W20" s="10">
        <v>1</v>
      </c>
      <c r="X20" s="10"/>
      <c r="Y20" s="10">
        <v>1</v>
      </c>
      <c r="AC20" s="10">
        <v>0.5</v>
      </c>
      <c r="AD20" s="10">
        <v>1</v>
      </c>
      <c r="AE20" s="10">
        <v>0.5</v>
      </c>
      <c r="AF20" s="10">
        <v>1</v>
      </c>
      <c r="AJ20" s="10"/>
      <c r="AK20" s="10">
        <v>1</v>
      </c>
      <c r="AL20" s="10"/>
      <c r="AM20" s="10">
        <v>1</v>
      </c>
      <c r="AQ20" s="10"/>
      <c r="AR20" s="10">
        <v>1</v>
      </c>
      <c r="AS20" s="10"/>
      <c r="AT20" s="10">
        <v>1</v>
      </c>
      <c r="AX20" s="10"/>
      <c r="AY20" s="10">
        <v>1</v>
      </c>
      <c r="AZ20" s="10"/>
      <c r="BA20" s="10">
        <v>1</v>
      </c>
      <c r="BF20" s="10"/>
      <c r="BG20" s="10">
        <v>1</v>
      </c>
      <c r="BH20" s="10"/>
      <c r="BI20" s="10">
        <v>1</v>
      </c>
      <c r="BM20" s="10"/>
      <c r="BN20" s="10">
        <v>1</v>
      </c>
      <c r="BO20" s="10"/>
      <c r="BP20" s="10">
        <v>1</v>
      </c>
      <c r="BT20" s="10"/>
      <c r="BU20" s="10">
        <v>1</v>
      </c>
      <c r="BV20" s="10"/>
      <c r="BW20" s="10">
        <v>1</v>
      </c>
      <c r="CA20" s="10">
        <v>0.8</v>
      </c>
      <c r="CB20" s="10">
        <v>1</v>
      </c>
      <c r="CC20" s="10"/>
      <c r="CD20" s="10">
        <v>1</v>
      </c>
      <c r="CH20" s="10"/>
      <c r="CI20" s="10">
        <v>1</v>
      </c>
      <c r="CJ20" s="10"/>
      <c r="CK20" s="10">
        <v>1</v>
      </c>
      <c r="CO20" s="10"/>
      <c r="CP20" s="10">
        <v>1</v>
      </c>
      <c r="CQ20" s="10"/>
      <c r="CR20" s="10">
        <v>1</v>
      </c>
      <c r="CV20" s="10"/>
      <c r="CW20" s="10"/>
      <c r="CX20" s="10"/>
      <c r="CY20" s="10"/>
      <c r="DD20" s="10"/>
      <c r="DE20" s="10"/>
      <c r="DF20" s="10"/>
      <c r="DG20" s="10"/>
      <c r="DL20" s="10"/>
      <c r="DM20" s="10"/>
      <c r="DN20" s="10"/>
      <c r="DO20" s="10"/>
      <c r="DT20" s="10"/>
      <c r="DU20" s="10"/>
      <c r="DV20" s="10"/>
      <c r="DW20" s="10"/>
      <c r="EB20" s="10"/>
      <c r="EC20" s="10"/>
      <c r="ED20" s="10"/>
      <c r="EE20" s="10"/>
      <c r="EJ20" s="10"/>
      <c r="EK20" s="10"/>
      <c r="EL20" s="10"/>
      <c r="EM20" s="10"/>
      <c r="EQ20" s="10"/>
      <c r="ER20" s="10"/>
      <c r="ES20" s="10"/>
      <c r="ET20" s="10"/>
    </row>
    <row r="21" spans="2:150" ht="16" customHeight="1" outlineLevel="1">
      <c r="B21" t="s">
        <v>28</v>
      </c>
      <c r="E21" s="9"/>
      <c r="F21" s="22" t="s">
        <v>129</v>
      </c>
      <c r="G21" s="10">
        <v>0.25</v>
      </c>
      <c r="I21" s="9">
        <f>+SUMIF($N$3:$YH$3,I$3,$N21:$YH21)</f>
        <v>0</v>
      </c>
      <c r="J21" s="11" cm="1">
        <f t="array" ref="J21">MAX(IF($N$3:$DT$3=$J$3,N21:DT21))</f>
        <v>0.5</v>
      </c>
      <c r="K21" s="11" cm="1">
        <f t="array" ref="K21">MAX(IF($N$3:$DT$3=$J$3,N21:DT21))</f>
        <v>0.5</v>
      </c>
      <c r="L21" s="9"/>
      <c r="M21" s="9"/>
      <c r="O21" s="10"/>
      <c r="P21" s="10"/>
      <c r="R21" s="10"/>
      <c r="V21" s="10"/>
      <c r="W21" s="10">
        <v>1</v>
      </c>
      <c r="Y21" s="10">
        <v>1</v>
      </c>
      <c r="AC21" s="10">
        <v>0.5</v>
      </c>
      <c r="AD21" s="10">
        <v>1</v>
      </c>
      <c r="AE21" s="10">
        <v>0.5</v>
      </c>
      <c r="AF21" s="10">
        <v>1</v>
      </c>
      <c r="AJ21" s="10"/>
      <c r="AK21" s="10">
        <v>1</v>
      </c>
      <c r="AM21" s="10">
        <v>1</v>
      </c>
      <c r="AQ21" s="10"/>
      <c r="AR21" s="10">
        <v>1</v>
      </c>
      <c r="AT21" s="10">
        <v>1</v>
      </c>
      <c r="AX21" s="10"/>
      <c r="AY21" s="10">
        <v>1</v>
      </c>
      <c r="BA21" s="10">
        <v>1</v>
      </c>
      <c r="BF21" s="10"/>
      <c r="BG21" s="10">
        <v>1</v>
      </c>
      <c r="BI21" s="10">
        <v>1</v>
      </c>
      <c r="BM21" s="10"/>
      <c r="BN21" s="10">
        <v>1</v>
      </c>
      <c r="BP21" s="10">
        <v>1</v>
      </c>
      <c r="BT21" s="10"/>
      <c r="BU21" s="10">
        <v>1</v>
      </c>
      <c r="BW21" s="10">
        <v>1</v>
      </c>
      <c r="CA21" s="10">
        <v>0.5</v>
      </c>
      <c r="CB21" s="10">
        <v>1</v>
      </c>
      <c r="CD21" s="10">
        <v>1</v>
      </c>
      <c r="CH21" s="10"/>
      <c r="CI21" s="10">
        <v>1</v>
      </c>
      <c r="CJ21" s="10"/>
      <c r="CK21" s="10">
        <v>1</v>
      </c>
      <c r="CO21" s="10"/>
      <c r="CP21" s="10">
        <v>1</v>
      </c>
      <c r="CQ21" s="10"/>
      <c r="CR21" s="10">
        <v>1</v>
      </c>
      <c r="CV21" s="10"/>
      <c r="CW21" s="10"/>
      <c r="CX21" s="10"/>
      <c r="CY21" s="10"/>
      <c r="DD21" s="10"/>
      <c r="DE21" s="10"/>
      <c r="DF21" s="10"/>
      <c r="DG21" s="10"/>
      <c r="DL21" s="10"/>
      <c r="DM21" s="10"/>
      <c r="DN21" s="10"/>
      <c r="DO21" s="10"/>
      <c r="DT21" s="10"/>
      <c r="DU21" s="10"/>
      <c r="DV21" s="10"/>
      <c r="DW21" s="10"/>
      <c r="EB21" s="10"/>
      <c r="EC21" s="10"/>
      <c r="ED21" s="10"/>
      <c r="EE21" s="10"/>
      <c r="EJ21" s="10"/>
      <c r="EK21" s="10"/>
      <c r="EL21" s="10"/>
      <c r="EM21" s="10"/>
      <c r="EQ21" s="10"/>
      <c r="ER21" s="10"/>
      <c r="ES21" s="10"/>
      <c r="ET21" s="10"/>
    </row>
    <row r="22" spans="2:150" ht="16" customHeight="1" outlineLevel="1">
      <c r="B22" t="s">
        <v>28</v>
      </c>
      <c r="E22" s="9"/>
      <c r="F22" s="22" t="s">
        <v>130</v>
      </c>
      <c r="G22" s="10">
        <v>0.25</v>
      </c>
      <c r="I22" s="9">
        <f>+SUMIF($N$3:$YH$3,I$3,$N22:$YH22)</f>
        <v>0</v>
      </c>
      <c r="J22" s="11" cm="1">
        <f t="array" ref="J22">MAX(IF($N$3:$DT$3=$J$3,N22:DT22))</f>
        <v>0.5</v>
      </c>
      <c r="K22" s="11" cm="1">
        <f t="array" ref="K22">MAX(IF($N$3:$DT$3=$J$3,N22:DT22))</f>
        <v>0.5</v>
      </c>
      <c r="L22" s="9"/>
      <c r="M22" s="9"/>
      <c r="O22" s="10"/>
      <c r="P22" s="10"/>
      <c r="Q22" s="10"/>
      <c r="R22" s="10"/>
      <c r="V22" s="10"/>
      <c r="W22" s="10">
        <v>0.8</v>
      </c>
      <c r="X22" s="10"/>
      <c r="Y22" s="10">
        <v>0.8</v>
      </c>
      <c r="AC22" s="10">
        <v>0.5</v>
      </c>
      <c r="AD22" s="10">
        <v>0.8</v>
      </c>
      <c r="AE22" s="10">
        <v>0.5</v>
      </c>
      <c r="AF22" s="10">
        <v>0.8</v>
      </c>
      <c r="AJ22" s="10"/>
      <c r="AK22" s="10">
        <v>1</v>
      </c>
      <c r="AL22" s="10"/>
      <c r="AM22" s="10">
        <v>1</v>
      </c>
      <c r="AQ22" s="10"/>
      <c r="AR22" s="10">
        <v>1</v>
      </c>
      <c r="AS22" s="10"/>
      <c r="AT22" s="10">
        <v>1</v>
      </c>
      <c r="AX22" s="10"/>
      <c r="AY22" s="10">
        <v>1</v>
      </c>
      <c r="AZ22" s="10"/>
      <c r="BA22" s="10">
        <v>1</v>
      </c>
      <c r="BF22" s="10"/>
      <c r="BG22" s="10">
        <v>1</v>
      </c>
      <c r="BH22" s="10"/>
      <c r="BI22" s="10">
        <v>1</v>
      </c>
      <c r="BM22" s="10"/>
      <c r="BN22" s="10">
        <v>1</v>
      </c>
      <c r="BO22" s="10"/>
      <c r="BP22" s="10">
        <v>1</v>
      </c>
      <c r="BT22" s="10"/>
      <c r="BU22" s="10">
        <v>1</v>
      </c>
      <c r="BV22" s="10"/>
      <c r="BW22" s="10">
        <v>1</v>
      </c>
      <c r="CA22" s="10">
        <v>0.5</v>
      </c>
      <c r="CB22" s="10">
        <v>1</v>
      </c>
      <c r="CC22" s="10"/>
      <c r="CD22" s="10">
        <v>1</v>
      </c>
      <c r="CH22" s="10"/>
      <c r="CI22" s="10">
        <v>1</v>
      </c>
      <c r="CJ22" s="10"/>
      <c r="CK22" s="10">
        <v>1</v>
      </c>
      <c r="CO22" s="10"/>
      <c r="CP22" s="10">
        <v>1</v>
      </c>
      <c r="CQ22" s="10"/>
      <c r="CR22" s="10">
        <v>1</v>
      </c>
      <c r="CV22" s="10"/>
      <c r="CW22" s="10"/>
      <c r="CX22" s="10"/>
      <c r="CY22" s="10"/>
      <c r="DD22" s="10"/>
      <c r="DE22" s="10"/>
      <c r="DF22" s="10"/>
      <c r="DG22" s="10"/>
      <c r="DL22" s="10"/>
      <c r="DM22" s="10"/>
      <c r="DN22" s="10"/>
      <c r="DO22" s="10"/>
      <c r="DT22" s="10"/>
      <c r="DU22" s="10"/>
      <c r="DV22" s="10"/>
      <c r="DW22" s="10"/>
      <c r="EB22" s="10"/>
      <c r="EC22" s="10"/>
      <c r="ED22" s="10"/>
      <c r="EE22" s="10"/>
      <c r="EJ22" s="10"/>
      <c r="EK22" s="10"/>
      <c r="EL22" s="10"/>
      <c r="EM22" s="10"/>
      <c r="EQ22" s="10"/>
      <c r="ER22" s="10"/>
      <c r="ES22" s="10"/>
      <c r="ET22" s="10"/>
    </row>
    <row r="23" spans="2:150" ht="16" customHeight="1" outlineLevel="1">
      <c r="B23" t="s">
        <v>28</v>
      </c>
      <c r="E23" s="9"/>
      <c r="F23" s="22" t="s">
        <v>131</v>
      </c>
      <c r="G23" s="10">
        <v>0.25</v>
      </c>
      <c r="I23" s="9">
        <f>+SUMIF($N$3:$YH$3,I$3,$N23:$YH23)</f>
        <v>0</v>
      </c>
      <c r="J23" s="11" cm="1">
        <f t="array" ref="J23">MAX(IF($N$3:$DT$3=$J$3,N23:DT23))</f>
        <v>0.5</v>
      </c>
      <c r="K23" s="11" cm="1">
        <f t="array" ref="K23">MAX(IF($N$3:$DT$3=$J$3,N23:DT23))</f>
        <v>0.5</v>
      </c>
      <c r="L23" s="9"/>
      <c r="M23" s="9"/>
      <c r="O23" s="10"/>
      <c r="P23" s="10"/>
      <c r="Q23" s="10"/>
      <c r="R23" s="10"/>
      <c r="V23" s="10"/>
      <c r="W23" s="10">
        <v>0.8</v>
      </c>
      <c r="X23" s="10"/>
      <c r="Y23" s="10">
        <v>0.8</v>
      </c>
      <c r="AC23" s="10"/>
      <c r="AD23" s="10">
        <v>0.8</v>
      </c>
      <c r="AE23" s="10"/>
      <c r="AF23" s="10">
        <v>0.8</v>
      </c>
      <c r="AJ23" s="10"/>
      <c r="AK23" s="10">
        <v>0.8</v>
      </c>
      <c r="AL23" s="10"/>
      <c r="AM23" s="10">
        <v>0.8</v>
      </c>
      <c r="AQ23" s="10"/>
      <c r="AR23" s="10">
        <v>0.8</v>
      </c>
      <c r="AS23" s="10"/>
      <c r="AT23" s="10">
        <v>0.8</v>
      </c>
      <c r="AX23" s="10"/>
      <c r="AY23" s="10">
        <v>0.8</v>
      </c>
      <c r="AZ23" s="10"/>
      <c r="BA23" s="10">
        <v>0.8</v>
      </c>
      <c r="BF23" s="10"/>
      <c r="BG23" s="10">
        <v>0.8</v>
      </c>
      <c r="BH23" s="10"/>
      <c r="BI23" s="10">
        <v>0.8</v>
      </c>
      <c r="BM23" s="10"/>
      <c r="BN23" s="10">
        <v>1</v>
      </c>
      <c r="BO23" s="10"/>
      <c r="BP23" s="10">
        <v>1</v>
      </c>
      <c r="BT23" s="10"/>
      <c r="BU23" s="10">
        <v>1</v>
      </c>
      <c r="BV23" s="10"/>
      <c r="BW23" s="10">
        <v>1</v>
      </c>
      <c r="CA23" s="10">
        <v>0.5</v>
      </c>
      <c r="CB23" s="10">
        <v>1</v>
      </c>
      <c r="CC23" s="10"/>
      <c r="CD23" s="10">
        <v>1</v>
      </c>
      <c r="CH23" s="10"/>
      <c r="CI23" s="10">
        <v>1</v>
      </c>
      <c r="CJ23" s="10"/>
      <c r="CK23" s="10">
        <v>1</v>
      </c>
      <c r="CO23" s="10"/>
      <c r="CP23" s="10">
        <v>1</v>
      </c>
      <c r="CQ23" s="10"/>
      <c r="CR23" s="10">
        <v>1</v>
      </c>
      <c r="CV23" s="10"/>
      <c r="CW23" s="10"/>
      <c r="CX23" s="10"/>
      <c r="CY23" s="10"/>
      <c r="DD23" s="10"/>
      <c r="DE23" s="10"/>
      <c r="DF23" s="10"/>
      <c r="DG23" s="10"/>
      <c r="DL23" s="10"/>
      <c r="DM23" s="10"/>
      <c r="DN23" s="10"/>
      <c r="DO23" s="10"/>
      <c r="DT23" s="10"/>
      <c r="DU23" s="10"/>
      <c r="DV23" s="10"/>
      <c r="DW23" s="10"/>
      <c r="EB23" s="10"/>
      <c r="EC23" s="10"/>
      <c r="ED23" s="10"/>
      <c r="EE23" s="10"/>
      <c r="EJ23" s="10"/>
      <c r="EK23" s="10"/>
      <c r="EL23" s="10"/>
      <c r="EM23" s="10"/>
      <c r="EQ23" s="10"/>
      <c r="ER23" s="10"/>
      <c r="ES23" s="10"/>
      <c r="ET23" s="10"/>
    </row>
    <row r="25" spans="2:150">
      <c r="B25" t="s">
        <v>27</v>
      </c>
      <c r="C25" t="s">
        <v>125</v>
      </c>
      <c r="D25" s="19">
        <v>45838</v>
      </c>
      <c r="E25" s="9">
        <v>5</v>
      </c>
      <c r="G25" s="10">
        <f>+SUM(G26:G40)</f>
        <v>1.0004999999999999</v>
      </c>
      <c r="I25" s="12" t="s">
        <v>87</v>
      </c>
      <c r="J25" s="11">
        <f>+SUMPRODUCT(G26:G40,J26:J40)</f>
        <v>0.42020999999999997</v>
      </c>
      <c r="K25" s="11">
        <f>+SUMPRODUCT(G26:G40,K26:K40)</f>
        <v>0.42020999999999997</v>
      </c>
      <c r="L25" s="9"/>
      <c r="M25" s="9"/>
      <c r="N25" s="12"/>
    </row>
    <row r="26" spans="2:150" ht="16" customHeight="1" outlineLevel="1">
      <c r="B26" t="s">
        <v>28</v>
      </c>
      <c r="E26" s="9"/>
      <c r="F26" t="s">
        <v>89</v>
      </c>
      <c r="G26" s="10">
        <v>6.6699999999999995E-2</v>
      </c>
      <c r="I26" s="9">
        <f>+SUMIF($N$3:$YH$3,I$3,$N26:$YH26)</f>
        <v>0</v>
      </c>
      <c r="J26" s="11" cm="1">
        <f t="array" ref="J26">MAX(IF($N$3:$DT$3=$J$3,N26:DT26))</f>
        <v>0.8</v>
      </c>
      <c r="K26" s="11" cm="1">
        <f t="array" ref="K26">MAX(IF($N$3:$DT$3=$J$3,N26:DT26))</f>
        <v>0.8</v>
      </c>
      <c r="L26" s="9"/>
      <c r="M26" s="9"/>
      <c r="O26" s="10">
        <v>0.3</v>
      </c>
      <c r="P26" s="10"/>
      <c r="Q26" s="10">
        <v>0.3</v>
      </c>
      <c r="R26" s="10"/>
      <c r="V26" s="10"/>
      <c r="W26" s="10">
        <v>1</v>
      </c>
      <c r="X26" s="10"/>
      <c r="Y26" s="10">
        <v>1</v>
      </c>
      <c r="AC26" s="10">
        <v>0.5</v>
      </c>
      <c r="AD26" s="10">
        <v>1</v>
      </c>
      <c r="AE26" s="10">
        <v>0.5</v>
      </c>
      <c r="AF26" s="10">
        <v>1</v>
      </c>
      <c r="AJ26" s="10"/>
      <c r="AK26" s="10">
        <v>1</v>
      </c>
      <c r="AL26" s="10"/>
      <c r="AM26" s="10">
        <v>1</v>
      </c>
      <c r="AQ26" s="10"/>
      <c r="AR26" s="10">
        <v>1</v>
      </c>
      <c r="AS26" s="10"/>
      <c r="AT26" s="10">
        <v>1</v>
      </c>
      <c r="AX26" s="10"/>
      <c r="AY26" s="10">
        <v>1</v>
      </c>
      <c r="AZ26" s="10"/>
      <c r="BA26" s="10">
        <v>1</v>
      </c>
      <c r="BF26" s="10"/>
      <c r="BG26" s="10">
        <v>1</v>
      </c>
      <c r="BH26" s="10"/>
      <c r="BI26" s="10">
        <v>1</v>
      </c>
      <c r="BM26" s="10"/>
      <c r="BN26" s="10">
        <v>1</v>
      </c>
      <c r="BO26" s="10"/>
      <c r="BP26" s="10">
        <v>1</v>
      </c>
      <c r="BT26" s="10"/>
      <c r="BU26" s="10">
        <v>1</v>
      </c>
      <c r="BV26" s="10"/>
      <c r="BW26" s="10">
        <v>1</v>
      </c>
      <c r="CA26" s="10">
        <v>0.8</v>
      </c>
      <c r="CB26" s="10">
        <v>1</v>
      </c>
      <c r="CC26" s="10"/>
      <c r="CD26" s="10">
        <v>1</v>
      </c>
      <c r="CH26" s="10"/>
      <c r="CI26" s="10">
        <v>1</v>
      </c>
      <c r="CJ26" s="10"/>
      <c r="CK26" s="10">
        <v>1</v>
      </c>
      <c r="CO26" s="10"/>
      <c r="CP26" s="10">
        <v>1</v>
      </c>
      <c r="CQ26" s="10"/>
      <c r="CR26" s="10">
        <v>1</v>
      </c>
      <c r="CV26" s="10"/>
      <c r="CW26" s="10"/>
      <c r="CX26" s="10"/>
      <c r="CY26" s="10"/>
      <c r="DD26" s="10"/>
      <c r="DE26" s="10"/>
      <c r="DF26" s="10"/>
      <c r="DG26" s="10"/>
      <c r="DL26" s="10"/>
      <c r="DM26" s="10"/>
      <c r="DN26" s="10"/>
      <c r="DO26" s="10"/>
      <c r="DT26" s="10"/>
      <c r="DU26" s="10"/>
      <c r="DV26" s="10"/>
      <c r="DW26" s="10"/>
      <c r="EB26" s="10"/>
      <c r="EC26" s="10"/>
      <c r="ED26" s="10"/>
      <c r="EE26" s="10"/>
      <c r="EJ26" s="10"/>
      <c r="EK26" s="10"/>
      <c r="EL26" s="10"/>
      <c r="EM26" s="10"/>
      <c r="EQ26" s="10"/>
      <c r="ER26" s="10"/>
      <c r="ES26" s="10"/>
      <c r="ET26" s="10"/>
    </row>
    <row r="27" spans="2:150" ht="16" customHeight="1" outlineLevel="1">
      <c r="B27" t="s">
        <v>28</v>
      </c>
      <c r="E27" s="9"/>
      <c r="F27" t="s">
        <v>90</v>
      </c>
      <c r="G27" s="10">
        <v>6.6699999999999995E-2</v>
      </c>
      <c r="I27" s="9">
        <f>+SUMIF($N$3:$YH$3,I$3,$N27:$YH27)</f>
        <v>0</v>
      </c>
      <c r="J27" s="11" cm="1">
        <f t="array" ref="J27">MAX(IF($N$3:$DT$3=$J$3,N27:DT27))</f>
        <v>0.8</v>
      </c>
      <c r="K27" s="11" cm="1">
        <f t="array" ref="K27">MAX(IF($N$3:$DT$3=$J$3,N27:DT27))</f>
        <v>0.8</v>
      </c>
      <c r="L27" s="9"/>
      <c r="M27" s="9"/>
      <c r="O27" s="10">
        <v>0.3</v>
      </c>
      <c r="P27" s="10"/>
      <c r="Q27" s="10">
        <v>0.3</v>
      </c>
      <c r="R27" s="10"/>
      <c r="V27" s="10"/>
      <c r="W27" s="10">
        <v>1</v>
      </c>
      <c r="X27" s="10"/>
      <c r="Y27" s="10">
        <v>1</v>
      </c>
      <c r="AC27" s="10"/>
      <c r="AD27" s="10">
        <v>1</v>
      </c>
      <c r="AE27" s="10"/>
      <c r="AF27" s="10">
        <v>1</v>
      </c>
      <c r="AJ27" s="10"/>
      <c r="AK27" s="10">
        <v>1</v>
      </c>
      <c r="AL27" s="10"/>
      <c r="AM27" s="10">
        <v>1</v>
      </c>
      <c r="AQ27" s="10"/>
      <c r="AR27" s="10">
        <v>1</v>
      </c>
      <c r="AS27" s="10"/>
      <c r="AT27" s="10">
        <v>1</v>
      </c>
      <c r="AX27" s="10"/>
      <c r="AY27" s="10">
        <v>1</v>
      </c>
      <c r="AZ27" s="10"/>
      <c r="BA27" s="10">
        <v>1</v>
      </c>
      <c r="BF27" s="10"/>
      <c r="BG27" s="10">
        <v>1</v>
      </c>
      <c r="BH27" s="10"/>
      <c r="BI27" s="10">
        <v>1</v>
      </c>
      <c r="BM27" s="10"/>
      <c r="BN27" s="10">
        <v>1</v>
      </c>
      <c r="BO27" s="10"/>
      <c r="BP27" s="10">
        <v>1</v>
      </c>
      <c r="BT27" s="10"/>
      <c r="BU27" s="10">
        <v>1</v>
      </c>
      <c r="BV27" s="10"/>
      <c r="BW27" s="10">
        <v>1</v>
      </c>
      <c r="CA27" s="10">
        <v>0.8</v>
      </c>
      <c r="CB27" s="10">
        <v>1</v>
      </c>
      <c r="CC27" s="10"/>
      <c r="CD27" s="10">
        <v>1</v>
      </c>
      <c r="CH27" s="10"/>
      <c r="CI27" s="10">
        <v>1</v>
      </c>
      <c r="CJ27" s="10"/>
      <c r="CK27" s="10">
        <v>1</v>
      </c>
      <c r="CO27" s="10"/>
      <c r="CP27" s="10">
        <v>1</v>
      </c>
      <c r="CQ27" s="10"/>
      <c r="CR27" s="10">
        <v>1</v>
      </c>
      <c r="CV27" s="10"/>
      <c r="CW27" s="10"/>
      <c r="CX27" s="10"/>
      <c r="CY27" s="10"/>
      <c r="DD27" s="10"/>
      <c r="DE27" s="10"/>
      <c r="DF27" s="10"/>
      <c r="DG27" s="10"/>
      <c r="DL27" s="10"/>
      <c r="DM27" s="10"/>
      <c r="DN27" s="10"/>
      <c r="DO27" s="10"/>
      <c r="DT27" s="10"/>
      <c r="DU27" s="10"/>
      <c r="DV27" s="10"/>
      <c r="DW27" s="10"/>
      <c r="EB27" s="10"/>
      <c r="EC27" s="10"/>
      <c r="ED27" s="10"/>
      <c r="EE27" s="10"/>
      <c r="EJ27" s="10"/>
      <c r="EK27" s="10"/>
      <c r="EL27" s="10"/>
      <c r="EM27" s="10"/>
      <c r="EQ27" s="10"/>
      <c r="ER27" s="10"/>
      <c r="ES27" s="10"/>
      <c r="ET27" s="10"/>
    </row>
    <row r="28" spans="2:150" ht="16" customHeight="1" outlineLevel="1">
      <c r="B28" t="s">
        <v>28</v>
      </c>
      <c r="E28" s="9"/>
      <c r="F28" t="s">
        <v>91</v>
      </c>
      <c r="G28" s="10">
        <v>6.6699999999999995E-2</v>
      </c>
      <c r="I28" s="9">
        <f>+SUMIF($N$3:$YH$3,I$3,$N28:$YH28)</f>
        <v>0</v>
      </c>
      <c r="J28" s="11" cm="1">
        <f t="array" ref="J28">MAX(IF($N$3:$DT$3=$J$3,N28:DT28))</f>
        <v>0.8</v>
      </c>
      <c r="K28" s="11" cm="1">
        <f t="array" ref="K28">MAX(IF($N$3:$DT$3=$J$3,N28:DT28))</f>
        <v>0.8</v>
      </c>
      <c r="L28" s="9"/>
      <c r="M28" s="9"/>
      <c r="O28" s="10"/>
      <c r="P28" s="10"/>
      <c r="Q28" s="10"/>
      <c r="R28" s="10"/>
      <c r="V28" s="10"/>
      <c r="W28" s="10">
        <v>1</v>
      </c>
      <c r="X28" s="10"/>
      <c r="Y28" s="10">
        <v>1</v>
      </c>
      <c r="AC28" s="10"/>
      <c r="AD28" s="10">
        <v>1</v>
      </c>
      <c r="AE28" s="10"/>
      <c r="AF28" s="10">
        <v>1</v>
      </c>
      <c r="AJ28" s="10"/>
      <c r="AK28" s="10">
        <v>1</v>
      </c>
      <c r="AL28" s="10"/>
      <c r="AM28" s="10">
        <v>1</v>
      </c>
      <c r="AQ28" s="10"/>
      <c r="AR28" s="10">
        <v>1</v>
      </c>
      <c r="AS28" s="10"/>
      <c r="AT28" s="10">
        <v>1</v>
      </c>
      <c r="AX28" s="10"/>
      <c r="AY28" s="10">
        <v>1</v>
      </c>
      <c r="AZ28" s="10"/>
      <c r="BA28" s="10">
        <v>1</v>
      </c>
      <c r="BF28" s="10"/>
      <c r="BG28" s="10">
        <v>1</v>
      </c>
      <c r="BH28" s="10"/>
      <c r="BI28" s="10">
        <v>1</v>
      </c>
      <c r="BM28" s="10"/>
      <c r="BN28" s="10">
        <v>1</v>
      </c>
      <c r="BO28" s="10"/>
      <c r="BP28" s="10">
        <v>1</v>
      </c>
      <c r="BT28" s="10"/>
      <c r="BU28" s="10">
        <v>1</v>
      </c>
      <c r="BV28" s="10"/>
      <c r="BW28" s="10">
        <v>1</v>
      </c>
      <c r="CA28" s="10">
        <v>0.8</v>
      </c>
      <c r="CB28" s="10">
        <v>1</v>
      </c>
      <c r="CC28" s="10"/>
      <c r="CD28" s="10">
        <v>1</v>
      </c>
      <c r="CH28" s="10"/>
      <c r="CI28" s="10">
        <v>1</v>
      </c>
      <c r="CJ28" s="10"/>
      <c r="CK28" s="10">
        <v>1</v>
      </c>
      <c r="CO28" s="10"/>
      <c r="CP28" s="10">
        <v>1</v>
      </c>
      <c r="CQ28" s="10"/>
      <c r="CR28" s="10">
        <v>1</v>
      </c>
      <c r="CV28" s="10"/>
      <c r="CW28" s="10"/>
      <c r="CX28" s="10"/>
      <c r="CY28" s="10"/>
      <c r="DD28" s="10"/>
      <c r="DE28" s="10"/>
      <c r="DF28" s="10"/>
      <c r="DG28" s="10"/>
      <c r="DL28" s="10"/>
      <c r="DM28" s="10"/>
      <c r="DN28" s="10"/>
      <c r="DO28" s="10"/>
      <c r="DT28" s="10"/>
      <c r="DU28" s="10"/>
      <c r="DV28" s="10"/>
      <c r="DW28" s="10"/>
      <c r="EB28" s="10"/>
      <c r="EC28" s="10"/>
      <c r="ED28" s="10"/>
      <c r="EE28" s="10"/>
      <c r="EJ28" s="10"/>
      <c r="EK28" s="10"/>
      <c r="EL28" s="10"/>
      <c r="EM28" s="10"/>
      <c r="EQ28" s="10"/>
      <c r="ER28" s="10"/>
      <c r="ES28" s="10"/>
      <c r="ET28" s="10"/>
    </row>
    <row r="29" spans="2:150" ht="16" customHeight="1" outlineLevel="1">
      <c r="B29" t="s">
        <v>28</v>
      </c>
      <c r="E29" s="9"/>
      <c r="F29" t="s">
        <v>92</v>
      </c>
      <c r="G29" s="10">
        <v>6.6699999999999995E-2</v>
      </c>
      <c r="I29" s="9">
        <f>+SUMIF($N$3:$YH$3,I$3,$N29:$YH29)</f>
        <v>0</v>
      </c>
      <c r="J29" s="11" cm="1">
        <f t="array" ref="J29">MAX(IF($N$3:$DT$3=$J$3,N29:DT29))</f>
        <v>0.8</v>
      </c>
      <c r="K29" s="11" cm="1">
        <f t="array" ref="K29">MAX(IF($N$3:$DT$3=$J$3,N29:DT29))</f>
        <v>0.8</v>
      </c>
      <c r="L29" s="9"/>
      <c r="M29" s="9"/>
      <c r="O29" s="10"/>
      <c r="P29" s="10"/>
      <c r="Q29" s="10"/>
      <c r="R29" s="10"/>
      <c r="V29" s="10"/>
      <c r="W29" s="10">
        <v>1</v>
      </c>
      <c r="X29" s="10"/>
      <c r="Y29" s="10">
        <v>1</v>
      </c>
      <c r="AC29" s="10"/>
      <c r="AD29" s="10">
        <v>1</v>
      </c>
      <c r="AE29" s="10"/>
      <c r="AF29" s="10">
        <v>1</v>
      </c>
      <c r="AJ29" s="10"/>
      <c r="AK29" s="10">
        <v>1</v>
      </c>
      <c r="AL29" s="10"/>
      <c r="AM29" s="10">
        <v>1</v>
      </c>
      <c r="AQ29" s="10"/>
      <c r="AR29" s="10">
        <v>1</v>
      </c>
      <c r="AS29" s="10"/>
      <c r="AT29" s="10">
        <v>1</v>
      </c>
      <c r="AX29" s="10"/>
      <c r="AY29" s="10">
        <v>1</v>
      </c>
      <c r="AZ29" s="10"/>
      <c r="BA29" s="10">
        <v>1</v>
      </c>
      <c r="BF29" s="10"/>
      <c r="BG29" s="10">
        <v>1</v>
      </c>
      <c r="BH29" s="10"/>
      <c r="BI29" s="10">
        <v>1</v>
      </c>
      <c r="BM29" s="10"/>
      <c r="BN29" s="10">
        <v>1</v>
      </c>
      <c r="BO29" s="10"/>
      <c r="BP29" s="10">
        <v>1</v>
      </c>
      <c r="BT29" s="10"/>
      <c r="BU29" s="10">
        <v>1</v>
      </c>
      <c r="BV29" s="10"/>
      <c r="BW29" s="10">
        <v>1</v>
      </c>
      <c r="CA29" s="10">
        <v>0.8</v>
      </c>
      <c r="CB29" s="10">
        <v>1</v>
      </c>
      <c r="CC29" s="10"/>
      <c r="CD29" s="10">
        <v>1</v>
      </c>
      <c r="CH29" s="10"/>
      <c r="CI29" s="10">
        <v>1</v>
      </c>
      <c r="CJ29" s="10"/>
      <c r="CK29" s="10">
        <v>1</v>
      </c>
      <c r="CO29" s="10"/>
      <c r="CP29" s="10">
        <v>1</v>
      </c>
      <c r="CQ29" s="10"/>
      <c r="CR29" s="10">
        <v>1</v>
      </c>
      <c r="CV29" s="10"/>
      <c r="CW29" s="10"/>
      <c r="CX29" s="10"/>
      <c r="CY29" s="10"/>
      <c r="DD29" s="10"/>
      <c r="DE29" s="10"/>
      <c r="DF29" s="10"/>
      <c r="DG29" s="10"/>
      <c r="DL29" s="10"/>
      <c r="DM29" s="10"/>
      <c r="DN29" s="10"/>
      <c r="DO29" s="10"/>
      <c r="DT29" s="10"/>
      <c r="DU29" s="10"/>
      <c r="DV29" s="10"/>
      <c r="DW29" s="10"/>
      <c r="EB29" s="10"/>
      <c r="EC29" s="10"/>
      <c r="ED29" s="10"/>
      <c r="EE29" s="10"/>
      <c r="EJ29" s="10"/>
      <c r="EK29" s="10"/>
      <c r="EL29" s="10"/>
      <c r="EM29" s="10"/>
      <c r="EQ29" s="10"/>
      <c r="ER29" s="10"/>
      <c r="ES29" s="10"/>
      <c r="ET29" s="10"/>
    </row>
    <row r="30" spans="2:150" ht="16" customHeight="1" outlineLevel="1">
      <c r="B30" t="s">
        <v>28</v>
      </c>
      <c r="E30" s="9"/>
      <c r="F30" t="s">
        <v>93</v>
      </c>
      <c r="G30" s="10">
        <v>6.6699999999999995E-2</v>
      </c>
      <c r="I30" s="9">
        <f>+SUMIF($N$3:$YH$3,I$3,$N30:$YH30)</f>
        <v>0</v>
      </c>
      <c r="J30" s="11" cm="1">
        <f t="array" ref="J30">MAX(IF($N$3:$DT$3=$J$3,N30:DT30))</f>
        <v>0.8</v>
      </c>
      <c r="K30" s="11" cm="1">
        <f t="array" ref="K30">MAX(IF($N$3:$DT$3=$J$3,N30:DT30))</f>
        <v>0.8</v>
      </c>
      <c r="L30" s="9"/>
      <c r="M30" s="9"/>
      <c r="O30" s="10"/>
      <c r="P30" s="10"/>
      <c r="Q30" s="10"/>
      <c r="R30" s="10"/>
      <c r="V30" s="10"/>
      <c r="W30" s="10">
        <v>0.8</v>
      </c>
      <c r="X30" s="10"/>
      <c r="Y30" s="10">
        <v>0.8</v>
      </c>
      <c r="AC30" s="10"/>
      <c r="AD30" s="10">
        <v>0.8</v>
      </c>
      <c r="AE30" s="10"/>
      <c r="AF30" s="10">
        <v>0.8</v>
      </c>
      <c r="AJ30" s="10"/>
      <c r="AK30" s="10">
        <v>1</v>
      </c>
      <c r="AL30" s="10"/>
      <c r="AM30" s="10">
        <v>1</v>
      </c>
      <c r="AQ30" s="10"/>
      <c r="AR30" s="10">
        <v>1</v>
      </c>
      <c r="AS30" s="10"/>
      <c r="AT30" s="10">
        <v>1</v>
      </c>
      <c r="AX30" s="10"/>
      <c r="AY30" s="10">
        <v>1</v>
      </c>
      <c r="AZ30" s="10"/>
      <c r="BA30" s="10">
        <v>1</v>
      </c>
      <c r="BF30" s="10"/>
      <c r="BG30" s="10">
        <v>1</v>
      </c>
      <c r="BH30" s="10"/>
      <c r="BI30" s="10">
        <v>1</v>
      </c>
      <c r="BM30" s="10"/>
      <c r="BN30" s="10">
        <v>1</v>
      </c>
      <c r="BO30" s="10"/>
      <c r="BP30" s="10">
        <v>1</v>
      </c>
      <c r="BT30" s="10"/>
      <c r="BU30" s="10">
        <v>1</v>
      </c>
      <c r="BV30" s="10"/>
      <c r="BW30" s="10">
        <v>1</v>
      </c>
      <c r="CA30" s="10">
        <v>0.8</v>
      </c>
      <c r="CB30" s="10">
        <v>1</v>
      </c>
      <c r="CC30" s="10"/>
      <c r="CD30" s="10">
        <v>1</v>
      </c>
      <c r="CH30" s="10"/>
      <c r="CI30" s="10">
        <v>1</v>
      </c>
      <c r="CJ30" s="10"/>
      <c r="CK30" s="10">
        <v>1</v>
      </c>
      <c r="CO30" s="10"/>
      <c r="CP30" s="10">
        <v>1</v>
      </c>
      <c r="CQ30" s="10"/>
      <c r="CR30" s="10">
        <v>1</v>
      </c>
      <c r="CV30" s="10"/>
      <c r="CW30" s="10"/>
      <c r="CX30" s="10"/>
      <c r="CY30" s="10"/>
      <c r="DD30" s="10"/>
      <c r="DE30" s="10"/>
      <c r="DF30" s="10"/>
      <c r="DG30" s="10"/>
      <c r="DL30" s="10"/>
      <c r="DM30" s="10"/>
      <c r="DN30" s="10"/>
      <c r="DO30" s="10"/>
      <c r="DT30" s="10"/>
      <c r="DU30" s="10"/>
      <c r="DV30" s="10"/>
      <c r="DW30" s="10"/>
      <c r="EB30" s="10"/>
      <c r="EC30" s="10"/>
      <c r="ED30" s="10"/>
      <c r="EE30" s="10"/>
      <c r="EJ30" s="10"/>
      <c r="EK30" s="10"/>
      <c r="EL30" s="10"/>
      <c r="EM30" s="10"/>
      <c r="EQ30" s="10"/>
      <c r="ER30" s="10"/>
      <c r="ES30" s="10"/>
      <c r="ET30" s="10"/>
    </row>
    <row r="31" spans="2:150" ht="16" customHeight="1" outlineLevel="1">
      <c r="B31" t="s">
        <v>28</v>
      </c>
      <c r="E31" s="9"/>
      <c r="F31" t="s">
        <v>94</v>
      </c>
      <c r="G31" s="10">
        <v>6.6699999999999995E-2</v>
      </c>
      <c r="I31" s="9">
        <f>+SUMIF($N$3:$YH$3,I$3,$N31:$YH31)</f>
        <v>0</v>
      </c>
      <c r="J31" s="11" cm="1">
        <f t="array" ref="J31">MAX(IF($N$3:$DT$3=$J$3,N31:DT31))</f>
        <v>0.8</v>
      </c>
      <c r="K31" s="11" cm="1">
        <f t="array" ref="K31">MAX(IF($N$3:$DT$3=$J$3,N31:DT31))</f>
        <v>0.8</v>
      </c>
      <c r="L31" s="9"/>
      <c r="M31" s="9"/>
      <c r="O31" s="10"/>
      <c r="P31" s="10"/>
      <c r="Q31" s="10"/>
      <c r="R31" s="10"/>
      <c r="V31" s="10"/>
      <c r="W31" s="10">
        <v>0.8</v>
      </c>
      <c r="X31" s="10"/>
      <c r="Y31" s="10">
        <v>0.8</v>
      </c>
      <c r="AC31" s="10"/>
      <c r="AD31" s="10">
        <v>0.8</v>
      </c>
      <c r="AE31" s="10"/>
      <c r="AF31" s="10">
        <v>0.8</v>
      </c>
      <c r="AJ31" s="10"/>
      <c r="AK31" s="10">
        <v>1</v>
      </c>
      <c r="AL31" s="10"/>
      <c r="AM31" s="10">
        <v>1</v>
      </c>
      <c r="AQ31" s="10"/>
      <c r="AR31" s="10">
        <v>1</v>
      </c>
      <c r="AS31" s="10"/>
      <c r="AT31" s="10">
        <v>1</v>
      </c>
      <c r="AX31" s="10"/>
      <c r="AY31" s="10">
        <v>1</v>
      </c>
      <c r="AZ31" s="10"/>
      <c r="BA31" s="10">
        <v>1</v>
      </c>
      <c r="BF31" s="10"/>
      <c r="BG31" s="10">
        <v>1</v>
      </c>
      <c r="BH31" s="10"/>
      <c r="BI31" s="10">
        <v>1</v>
      </c>
      <c r="BM31" s="10"/>
      <c r="BN31" s="10">
        <v>1</v>
      </c>
      <c r="BO31" s="10"/>
      <c r="BP31" s="10">
        <v>1</v>
      </c>
      <c r="BT31" s="10"/>
      <c r="BU31" s="10">
        <v>1</v>
      </c>
      <c r="BV31" s="10"/>
      <c r="BW31" s="10">
        <v>1</v>
      </c>
      <c r="CA31" s="10">
        <v>0.8</v>
      </c>
      <c r="CB31" s="10">
        <v>1</v>
      </c>
      <c r="CC31" s="10"/>
      <c r="CD31" s="10">
        <v>1</v>
      </c>
      <c r="CH31" s="10"/>
      <c r="CI31" s="10">
        <v>1</v>
      </c>
      <c r="CJ31" s="10"/>
      <c r="CK31" s="10">
        <v>1</v>
      </c>
      <c r="CO31" s="10"/>
      <c r="CP31" s="10">
        <v>1</v>
      </c>
      <c r="CQ31" s="10"/>
      <c r="CR31" s="10">
        <v>1</v>
      </c>
      <c r="CV31" s="10"/>
      <c r="CW31" s="10"/>
      <c r="CX31" s="10"/>
      <c r="CY31" s="10"/>
      <c r="DD31" s="10"/>
      <c r="DE31" s="10"/>
      <c r="DF31" s="10"/>
      <c r="DG31" s="10"/>
      <c r="DL31" s="10"/>
      <c r="DM31" s="10"/>
      <c r="DN31" s="10"/>
      <c r="DO31" s="10"/>
      <c r="DT31" s="10"/>
      <c r="DU31" s="10"/>
      <c r="DV31" s="10"/>
      <c r="DW31" s="10"/>
      <c r="EB31" s="10"/>
      <c r="EC31" s="10"/>
      <c r="ED31" s="10"/>
      <c r="EE31" s="10"/>
      <c r="EJ31" s="10"/>
      <c r="EK31" s="10"/>
      <c r="EL31" s="10"/>
      <c r="EM31" s="10"/>
      <c r="EQ31" s="10"/>
      <c r="ER31" s="10"/>
      <c r="ES31" s="10"/>
      <c r="ET31" s="10"/>
    </row>
    <row r="32" spans="2:150" ht="16" customHeight="1" outlineLevel="1">
      <c r="B32" t="s">
        <v>28</v>
      </c>
      <c r="E32" s="9"/>
      <c r="F32" t="s">
        <v>95</v>
      </c>
      <c r="G32" s="10">
        <v>6.6699999999999995E-2</v>
      </c>
      <c r="I32" s="9">
        <f>+SUMIF($N$3:$YH$3,I$3,$N32:$YH32)</f>
        <v>0</v>
      </c>
      <c r="J32" s="11" cm="1">
        <f t="array" ref="J32">MAX(IF($N$3:$DT$3=$J$3,N32:DT32))</f>
        <v>0.5</v>
      </c>
      <c r="K32" s="11" cm="1">
        <f t="array" ref="K32">MAX(IF($N$3:$DT$3=$J$3,N32:DT32))</f>
        <v>0.5</v>
      </c>
      <c r="L32" s="9"/>
      <c r="M32" s="9"/>
      <c r="O32" s="10"/>
      <c r="P32" s="10"/>
      <c r="Q32" s="10"/>
      <c r="R32" s="10"/>
      <c r="V32" s="10"/>
      <c r="W32" s="10">
        <v>0.8</v>
      </c>
      <c r="X32" s="10"/>
      <c r="Y32" s="10">
        <v>0.8</v>
      </c>
      <c r="AC32" s="10"/>
      <c r="AD32" s="10">
        <v>0.8</v>
      </c>
      <c r="AE32" s="10"/>
      <c r="AF32" s="10">
        <v>0.8</v>
      </c>
      <c r="AJ32" s="10"/>
      <c r="AK32" s="10">
        <v>0.8</v>
      </c>
      <c r="AL32" s="10"/>
      <c r="AM32" s="10">
        <v>0.8</v>
      </c>
      <c r="AQ32" s="10"/>
      <c r="AR32" s="10">
        <v>1</v>
      </c>
      <c r="AS32" s="10"/>
      <c r="AT32" s="10">
        <v>1</v>
      </c>
      <c r="AX32" s="10"/>
      <c r="AY32" s="10">
        <v>1</v>
      </c>
      <c r="AZ32" s="10"/>
      <c r="BA32" s="10">
        <v>1</v>
      </c>
      <c r="BF32" s="10"/>
      <c r="BG32" s="10">
        <v>1</v>
      </c>
      <c r="BH32" s="10"/>
      <c r="BI32" s="10">
        <v>1</v>
      </c>
      <c r="BM32" s="10"/>
      <c r="BN32" s="10">
        <v>1</v>
      </c>
      <c r="BO32" s="10"/>
      <c r="BP32" s="10">
        <v>1</v>
      </c>
      <c r="BT32" s="10"/>
      <c r="BU32" s="10">
        <v>1</v>
      </c>
      <c r="BV32" s="10"/>
      <c r="BW32" s="10">
        <v>1</v>
      </c>
      <c r="CA32" s="10">
        <v>0.5</v>
      </c>
      <c r="CB32" s="10">
        <v>1</v>
      </c>
      <c r="CC32" s="10"/>
      <c r="CD32" s="10">
        <v>1</v>
      </c>
      <c r="CH32" s="10"/>
      <c r="CI32" s="10">
        <v>1</v>
      </c>
      <c r="CJ32" s="10"/>
      <c r="CK32" s="10">
        <v>1</v>
      </c>
      <c r="CO32" s="10"/>
      <c r="CP32" s="10">
        <v>1</v>
      </c>
      <c r="CQ32" s="10"/>
      <c r="CR32" s="10">
        <v>1</v>
      </c>
      <c r="CV32" s="10"/>
      <c r="CW32" s="10"/>
      <c r="CX32" s="10"/>
      <c r="CY32" s="10"/>
      <c r="DD32" s="10"/>
      <c r="DE32" s="10"/>
      <c r="DF32" s="10"/>
      <c r="DG32" s="10"/>
      <c r="DL32" s="10"/>
      <c r="DM32" s="10"/>
      <c r="DN32" s="10"/>
      <c r="DO32" s="10"/>
      <c r="DT32" s="10"/>
      <c r="DU32" s="10"/>
      <c r="DV32" s="10"/>
      <c r="DW32" s="10"/>
      <c r="EB32" s="10"/>
      <c r="EC32" s="10"/>
      <c r="ED32" s="10"/>
      <c r="EE32" s="10"/>
      <c r="EJ32" s="10"/>
      <c r="EK32" s="10"/>
      <c r="EL32" s="10"/>
      <c r="EM32" s="10"/>
      <c r="EQ32" s="10"/>
      <c r="ER32" s="10"/>
      <c r="ES32" s="10"/>
      <c r="ET32" s="10"/>
    </row>
    <row r="33" spans="2:150" ht="16" customHeight="1" outlineLevel="1">
      <c r="B33" t="s">
        <v>28</v>
      </c>
      <c r="E33" s="9"/>
      <c r="F33" t="s">
        <v>96</v>
      </c>
      <c r="G33" s="10">
        <v>6.6699999999999995E-2</v>
      </c>
      <c r="I33" s="9">
        <f>+SUMIF($N$3:$YH$3,I$3,$N33:$YH33)</f>
        <v>0</v>
      </c>
      <c r="J33" s="11" cm="1">
        <f t="array" ref="J33">MAX(IF($N$3:$DT$3=$J$3,N33:DT33))</f>
        <v>0.5</v>
      </c>
      <c r="K33" s="11" cm="1">
        <f t="array" ref="K33">MAX(IF($N$3:$DT$3=$J$3,N33:DT33))</f>
        <v>0.5</v>
      </c>
      <c r="L33" s="9"/>
      <c r="M33" s="9"/>
      <c r="O33" s="10"/>
      <c r="P33" s="10"/>
      <c r="Q33" s="10"/>
      <c r="R33" s="10"/>
      <c r="V33" s="10"/>
      <c r="W33" s="10">
        <v>0.5</v>
      </c>
      <c r="X33" s="10"/>
      <c r="Y33" s="10">
        <v>0.5</v>
      </c>
      <c r="AC33" s="10"/>
      <c r="AD33" s="10">
        <v>0.8</v>
      </c>
      <c r="AE33" s="10"/>
      <c r="AF33" s="10">
        <v>0.8</v>
      </c>
      <c r="AJ33" s="10"/>
      <c r="AK33" s="10">
        <v>0.8</v>
      </c>
      <c r="AL33" s="10"/>
      <c r="AM33" s="10">
        <v>0.8</v>
      </c>
      <c r="AQ33" s="10"/>
      <c r="AR33" s="10">
        <v>0.8</v>
      </c>
      <c r="AS33" s="10"/>
      <c r="AT33" s="10">
        <v>0.8</v>
      </c>
      <c r="AX33" s="10"/>
      <c r="AY33" s="10">
        <v>1</v>
      </c>
      <c r="AZ33" s="10"/>
      <c r="BA33" s="10">
        <v>1</v>
      </c>
      <c r="BF33" s="10"/>
      <c r="BG33" s="10">
        <v>1</v>
      </c>
      <c r="BH33" s="10"/>
      <c r="BI33" s="10">
        <v>1</v>
      </c>
      <c r="BM33" s="10"/>
      <c r="BN33" s="10">
        <v>1</v>
      </c>
      <c r="BO33" s="10"/>
      <c r="BP33" s="10">
        <v>1</v>
      </c>
      <c r="BT33" s="10"/>
      <c r="BU33" s="10">
        <v>1</v>
      </c>
      <c r="BV33" s="10"/>
      <c r="BW33" s="10">
        <v>1</v>
      </c>
      <c r="CA33" s="10">
        <v>0.5</v>
      </c>
      <c r="CB33" s="10">
        <v>1</v>
      </c>
      <c r="CC33" s="10"/>
      <c r="CD33" s="10">
        <v>1</v>
      </c>
      <c r="CH33" s="10"/>
      <c r="CI33" s="10">
        <v>1</v>
      </c>
      <c r="CJ33" s="10"/>
      <c r="CK33" s="10">
        <v>1</v>
      </c>
      <c r="CO33" s="10"/>
      <c r="CP33" s="10">
        <v>1</v>
      </c>
      <c r="CQ33" s="10"/>
      <c r="CR33" s="10">
        <v>1</v>
      </c>
      <c r="CV33" s="10"/>
      <c r="CW33" s="10"/>
      <c r="CX33" s="10"/>
      <c r="CY33" s="10"/>
      <c r="DD33" s="10"/>
      <c r="DE33" s="10"/>
      <c r="DF33" s="10"/>
      <c r="DG33" s="10"/>
      <c r="DL33" s="10"/>
      <c r="DM33" s="10"/>
      <c r="DN33" s="10"/>
      <c r="DO33" s="10"/>
      <c r="DT33" s="10"/>
      <c r="DU33" s="10"/>
      <c r="DV33" s="10"/>
      <c r="DW33" s="10"/>
      <c r="EB33" s="10"/>
      <c r="EC33" s="10"/>
      <c r="ED33" s="10"/>
      <c r="EE33" s="10"/>
      <c r="EJ33" s="10"/>
      <c r="EK33" s="10"/>
      <c r="EL33" s="10"/>
      <c r="EM33" s="10"/>
      <c r="EQ33" s="10"/>
      <c r="ER33" s="10"/>
      <c r="ES33" s="10"/>
      <c r="ET33" s="10"/>
    </row>
    <row r="34" spans="2:150" ht="16" customHeight="1" outlineLevel="1">
      <c r="B34" t="s">
        <v>28</v>
      </c>
      <c r="E34" s="9"/>
      <c r="F34" t="s">
        <v>97</v>
      </c>
      <c r="G34" s="10">
        <v>6.6699999999999995E-2</v>
      </c>
      <c r="I34" s="9">
        <f>+SUMIF($N$3:$YH$3,I$3,$N34:$YH34)</f>
        <v>0</v>
      </c>
      <c r="J34" s="11" cm="1">
        <f t="array" ref="J34">MAX(IF($N$3:$DT$3=$J$3,N34:DT34))</f>
        <v>0.5</v>
      </c>
      <c r="K34" s="11" cm="1">
        <f t="array" ref="K34">MAX(IF($N$3:$DT$3=$J$3,N34:DT34))</f>
        <v>0.5</v>
      </c>
      <c r="L34" s="9"/>
      <c r="M34" s="9"/>
      <c r="O34" s="10"/>
      <c r="P34" s="10"/>
      <c r="Q34" s="10"/>
      <c r="R34" s="10"/>
      <c r="V34" s="10"/>
      <c r="W34" s="10">
        <v>0.5</v>
      </c>
      <c r="X34" s="10"/>
      <c r="Y34" s="10">
        <v>0.5</v>
      </c>
      <c r="AC34" s="10"/>
      <c r="AD34" s="10">
        <v>0.8</v>
      </c>
      <c r="AE34" s="10"/>
      <c r="AF34" s="10">
        <v>0.8</v>
      </c>
      <c r="AJ34" s="10"/>
      <c r="AK34" s="10">
        <v>0.8</v>
      </c>
      <c r="AL34" s="10"/>
      <c r="AM34" s="10">
        <v>0.8</v>
      </c>
      <c r="AQ34" s="10"/>
      <c r="AR34" s="10">
        <v>0.8</v>
      </c>
      <c r="AS34" s="10"/>
      <c r="AT34" s="10">
        <v>0.8</v>
      </c>
      <c r="AX34" s="10"/>
      <c r="AY34" s="10">
        <v>0.8</v>
      </c>
      <c r="AZ34" s="10"/>
      <c r="BA34" s="10">
        <v>0.8</v>
      </c>
      <c r="BF34" s="10"/>
      <c r="BG34" s="10">
        <v>1</v>
      </c>
      <c r="BH34" s="10"/>
      <c r="BI34" s="10">
        <v>1</v>
      </c>
      <c r="BM34" s="10"/>
      <c r="BN34" s="10">
        <v>1</v>
      </c>
      <c r="BO34" s="10"/>
      <c r="BP34" s="10">
        <v>1</v>
      </c>
      <c r="BT34" s="10"/>
      <c r="BU34" s="10">
        <v>1</v>
      </c>
      <c r="BV34" s="10"/>
      <c r="BW34" s="10">
        <v>1</v>
      </c>
      <c r="CA34" s="10">
        <v>0.5</v>
      </c>
      <c r="CB34" s="10">
        <v>1</v>
      </c>
      <c r="CC34" s="10"/>
      <c r="CD34" s="10">
        <v>1</v>
      </c>
      <c r="CH34" s="10"/>
      <c r="CI34" s="10">
        <v>1</v>
      </c>
      <c r="CJ34" s="10"/>
      <c r="CK34" s="10">
        <v>1</v>
      </c>
      <c r="CO34" s="10"/>
      <c r="CP34" s="10">
        <v>1</v>
      </c>
      <c r="CQ34" s="10"/>
      <c r="CR34" s="10">
        <v>1</v>
      </c>
      <c r="CV34" s="10"/>
      <c r="CW34" s="10"/>
      <c r="CX34" s="10"/>
      <c r="CY34" s="10"/>
      <c r="DD34" s="10"/>
      <c r="DE34" s="10"/>
      <c r="DF34" s="10"/>
      <c r="DG34" s="10"/>
      <c r="DL34" s="10"/>
      <c r="DM34" s="10"/>
      <c r="DN34" s="10"/>
      <c r="DO34" s="10"/>
      <c r="DT34" s="10"/>
      <c r="DU34" s="10"/>
      <c r="DV34" s="10"/>
      <c r="DW34" s="10"/>
      <c r="EB34" s="10"/>
      <c r="EC34" s="10"/>
      <c r="ED34" s="10"/>
      <c r="EE34" s="10"/>
      <c r="EJ34" s="10"/>
      <c r="EK34" s="10"/>
      <c r="EL34" s="10"/>
      <c r="EM34" s="10"/>
      <c r="EQ34" s="10"/>
      <c r="ER34" s="10"/>
      <c r="ES34" s="10"/>
      <c r="ET34" s="10"/>
    </row>
    <row r="35" spans="2:150" ht="16" customHeight="1" outlineLevel="1">
      <c r="B35" t="s">
        <v>28</v>
      </c>
      <c r="E35" s="9"/>
      <c r="F35" t="s">
        <v>98</v>
      </c>
      <c r="G35" s="10">
        <v>6.6699999999999995E-2</v>
      </c>
      <c r="I35" s="9">
        <f>+SUMIF($N$3:$YH$3,I$3,$N35:$YH35)</f>
        <v>0</v>
      </c>
      <c r="J35" s="11" cm="1">
        <f t="array" ref="J35">MAX(IF($N$3:$DT$3=$J$3,N35:DT35))</f>
        <v>0</v>
      </c>
      <c r="K35" s="11" cm="1">
        <f t="array" ref="K35">MAX(IF($N$3:$DT$3=$J$3,N35:DT35))</f>
        <v>0</v>
      </c>
      <c r="L35" s="9"/>
      <c r="M35" s="9"/>
      <c r="O35" s="10"/>
      <c r="P35" s="10"/>
      <c r="Q35" s="10"/>
      <c r="R35" s="10"/>
      <c r="V35" s="10"/>
      <c r="W35" s="10">
        <v>0.5</v>
      </c>
      <c r="X35" s="10"/>
      <c r="Y35" s="10">
        <v>0.5</v>
      </c>
      <c r="AC35" s="10"/>
      <c r="AD35" s="10">
        <v>0.5</v>
      </c>
      <c r="AE35" s="10"/>
      <c r="AF35" s="10">
        <v>0.5</v>
      </c>
      <c r="AJ35" s="10"/>
      <c r="AK35" s="10">
        <v>0.5</v>
      </c>
      <c r="AL35" s="10"/>
      <c r="AM35" s="10">
        <v>0.5</v>
      </c>
      <c r="AQ35" s="10"/>
      <c r="AR35" s="10">
        <v>0.8</v>
      </c>
      <c r="AS35" s="10"/>
      <c r="AT35" s="10">
        <v>0.8</v>
      </c>
      <c r="AX35" s="10"/>
      <c r="AY35" s="10">
        <v>0.8</v>
      </c>
      <c r="AZ35" s="10"/>
      <c r="BA35" s="10">
        <v>0.8</v>
      </c>
      <c r="BF35" s="10"/>
      <c r="BG35" s="10">
        <v>0.8</v>
      </c>
      <c r="BH35" s="10"/>
      <c r="BI35" s="10">
        <v>0.8</v>
      </c>
      <c r="BM35" s="10"/>
      <c r="BN35" s="10">
        <v>1</v>
      </c>
      <c r="BO35" s="10"/>
      <c r="BP35" s="10">
        <v>1</v>
      </c>
      <c r="BT35" s="10"/>
      <c r="BU35" s="10">
        <v>1</v>
      </c>
      <c r="BV35" s="10"/>
      <c r="BW35" s="10">
        <v>1</v>
      </c>
      <c r="CA35" s="10"/>
      <c r="CB35" s="10">
        <v>1</v>
      </c>
      <c r="CC35" s="10"/>
      <c r="CD35" s="10">
        <v>1</v>
      </c>
      <c r="CH35" s="10"/>
      <c r="CI35" s="10">
        <v>1</v>
      </c>
      <c r="CJ35" s="10"/>
      <c r="CK35" s="10">
        <v>1</v>
      </c>
      <c r="CO35" s="10"/>
      <c r="CP35" s="10">
        <v>1</v>
      </c>
      <c r="CQ35" s="10"/>
      <c r="CR35" s="10">
        <v>1</v>
      </c>
      <c r="CV35" s="10"/>
      <c r="CW35" s="10"/>
      <c r="CX35" s="10"/>
      <c r="CY35" s="10"/>
      <c r="DD35" s="10"/>
      <c r="DE35" s="10"/>
      <c r="DF35" s="10"/>
      <c r="DG35" s="10"/>
      <c r="DL35" s="10"/>
      <c r="DM35" s="10"/>
      <c r="DN35" s="10"/>
      <c r="DO35" s="10"/>
      <c r="DT35" s="10"/>
      <c r="DU35" s="10"/>
      <c r="DV35" s="10"/>
      <c r="DW35" s="10"/>
      <c r="EB35" s="10"/>
      <c r="EC35" s="10"/>
      <c r="ED35" s="10"/>
      <c r="EE35" s="10"/>
      <c r="EJ35" s="10"/>
      <c r="EK35" s="10"/>
      <c r="EL35" s="10"/>
      <c r="EM35" s="10"/>
      <c r="EQ35" s="10"/>
      <c r="ER35" s="10"/>
      <c r="ES35" s="10"/>
      <c r="ET35" s="10"/>
    </row>
    <row r="36" spans="2:150" ht="16" customHeight="1" outlineLevel="1">
      <c r="B36" t="s">
        <v>28</v>
      </c>
      <c r="E36" s="9"/>
      <c r="F36" t="s">
        <v>99</v>
      </c>
      <c r="G36" s="10">
        <v>6.6699999999999995E-2</v>
      </c>
      <c r="I36" s="9">
        <f>+SUMIF($N$3:$YH$3,I$3,$N36:$YH36)</f>
        <v>0</v>
      </c>
      <c r="J36" s="11" cm="1">
        <f t="array" ref="J36">MAX(IF($N$3:$DT$3=$J$3,N36:DT36))</f>
        <v>0</v>
      </c>
      <c r="K36" s="11" cm="1">
        <f t="array" ref="K36">MAX(IF($N$3:$DT$3=$J$3,N36:DT36))</f>
        <v>0</v>
      </c>
      <c r="L36" s="9"/>
      <c r="M36" s="9"/>
      <c r="O36" s="10"/>
      <c r="P36" s="10"/>
      <c r="Q36" s="10"/>
      <c r="R36" s="10"/>
      <c r="V36" s="10"/>
      <c r="W36" s="10">
        <v>0.5</v>
      </c>
      <c r="X36" s="10"/>
      <c r="Y36" s="10">
        <v>0.5</v>
      </c>
      <c r="AC36" s="10"/>
      <c r="AD36" s="10">
        <v>0.5</v>
      </c>
      <c r="AE36" s="10"/>
      <c r="AF36" s="10">
        <v>0.5</v>
      </c>
      <c r="AJ36" s="10"/>
      <c r="AK36" s="10">
        <v>0.5</v>
      </c>
      <c r="AL36" s="10"/>
      <c r="AM36" s="10">
        <v>0.5</v>
      </c>
      <c r="AQ36" s="10"/>
      <c r="AR36" s="10">
        <v>0.5</v>
      </c>
      <c r="AS36" s="10"/>
      <c r="AT36" s="10">
        <v>0.5</v>
      </c>
      <c r="AX36" s="10"/>
      <c r="AY36" s="10">
        <v>0.8</v>
      </c>
      <c r="AZ36" s="10"/>
      <c r="BA36" s="10">
        <v>0.8</v>
      </c>
      <c r="BF36" s="10"/>
      <c r="BG36" s="10">
        <v>0.8</v>
      </c>
      <c r="BH36" s="10"/>
      <c r="BI36" s="10">
        <v>0.8</v>
      </c>
      <c r="BM36" s="10"/>
      <c r="BN36" s="10">
        <v>1</v>
      </c>
      <c r="BO36" s="10"/>
      <c r="BP36" s="10">
        <v>1</v>
      </c>
      <c r="BT36" s="10"/>
      <c r="BU36" s="10">
        <v>1</v>
      </c>
      <c r="BV36" s="10"/>
      <c r="BW36" s="10">
        <v>1</v>
      </c>
      <c r="CA36" s="10"/>
      <c r="CB36" s="10">
        <v>1</v>
      </c>
      <c r="CC36" s="10"/>
      <c r="CD36" s="10">
        <v>1</v>
      </c>
      <c r="CH36" s="10"/>
      <c r="CI36" s="10">
        <v>1</v>
      </c>
      <c r="CJ36" s="10"/>
      <c r="CK36" s="10">
        <v>1</v>
      </c>
      <c r="CO36" s="10"/>
      <c r="CP36" s="10">
        <v>1</v>
      </c>
      <c r="CQ36" s="10"/>
      <c r="CR36" s="10">
        <v>1</v>
      </c>
      <c r="CV36" s="10"/>
      <c r="CW36" s="10"/>
      <c r="CX36" s="10"/>
      <c r="CY36" s="10"/>
      <c r="DD36" s="10"/>
      <c r="DE36" s="10"/>
      <c r="DF36" s="10"/>
      <c r="DG36" s="10"/>
      <c r="DL36" s="10"/>
      <c r="DM36" s="10"/>
      <c r="DN36" s="10"/>
      <c r="DO36" s="10"/>
      <c r="DT36" s="10"/>
      <c r="DU36" s="10"/>
      <c r="DV36" s="10"/>
      <c r="DW36" s="10"/>
      <c r="EB36" s="10"/>
      <c r="EC36" s="10"/>
      <c r="ED36" s="10"/>
      <c r="EE36" s="10"/>
      <c r="EJ36" s="10"/>
      <c r="EK36" s="10"/>
      <c r="EL36" s="10"/>
      <c r="EM36" s="10"/>
      <c r="EQ36" s="10"/>
      <c r="ER36" s="10"/>
      <c r="ES36" s="10"/>
      <c r="ET36" s="10"/>
    </row>
    <row r="37" spans="2:150" ht="16" customHeight="1" outlineLevel="1">
      <c r="B37" t="s">
        <v>28</v>
      </c>
      <c r="E37" s="9"/>
      <c r="F37" t="s">
        <v>100</v>
      </c>
      <c r="G37" s="10">
        <v>6.6699999999999995E-2</v>
      </c>
      <c r="I37" s="9">
        <f>+SUMIF($N$3:$YH$3,I$3,$N37:$YH37)</f>
        <v>0</v>
      </c>
      <c r="J37" s="11" cm="1">
        <f t="array" ref="J37">MAX(IF($N$3:$DT$3=$J$3,N37:DT37))</f>
        <v>0</v>
      </c>
      <c r="K37" s="11" cm="1">
        <f t="array" ref="K37">MAX(IF($N$3:$DT$3=$J$3,N37:DT37))</f>
        <v>0</v>
      </c>
      <c r="L37" s="9"/>
      <c r="M37" s="9"/>
      <c r="O37" s="10"/>
      <c r="P37" s="10"/>
      <c r="Q37" s="10"/>
      <c r="R37" s="10"/>
      <c r="V37" s="10"/>
      <c r="W37" s="10">
        <v>0.5</v>
      </c>
      <c r="X37" s="10"/>
      <c r="Y37" s="10">
        <v>0.5</v>
      </c>
      <c r="AC37" s="10"/>
      <c r="AD37" s="10">
        <v>0.5</v>
      </c>
      <c r="AE37" s="10"/>
      <c r="AF37" s="10">
        <v>0.5</v>
      </c>
      <c r="AJ37" s="10"/>
      <c r="AK37" s="10">
        <v>0.5</v>
      </c>
      <c r="AL37" s="10"/>
      <c r="AM37" s="10">
        <v>0.5</v>
      </c>
      <c r="AQ37" s="10"/>
      <c r="AR37" s="10">
        <v>0.5</v>
      </c>
      <c r="AS37" s="10"/>
      <c r="AT37" s="10">
        <v>0.5</v>
      </c>
      <c r="AX37" s="10"/>
      <c r="AY37" s="10">
        <v>0.5</v>
      </c>
      <c r="AZ37" s="10"/>
      <c r="BA37" s="10">
        <v>0.5</v>
      </c>
      <c r="BF37" s="10"/>
      <c r="BG37" s="10">
        <v>0.8</v>
      </c>
      <c r="BH37" s="10"/>
      <c r="BI37" s="10">
        <v>0.8</v>
      </c>
      <c r="BM37" s="10"/>
      <c r="BN37" s="10">
        <v>0.8</v>
      </c>
      <c r="BO37" s="10"/>
      <c r="BP37" s="10">
        <v>0.8</v>
      </c>
      <c r="BT37" s="10"/>
      <c r="BU37" s="10">
        <v>1</v>
      </c>
      <c r="BV37" s="10"/>
      <c r="BW37" s="10">
        <v>1</v>
      </c>
      <c r="CA37" s="10"/>
      <c r="CB37" s="10">
        <v>1</v>
      </c>
      <c r="CC37" s="10"/>
      <c r="CD37" s="10">
        <v>1</v>
      </c>
      <c r="CH37" s="10"/>
      <c r="CI37" s="10">
        <v>1</v>
      </c>
      <c r="CJ37" s="10"/>
      <c r="CK37" s="10">
        <v>1</v>
      </c>
      <c r="CO37" s="10"/>
      <c r="CP37" s="10">
        <v>1</v>
      </c>
      <c r="CQ37" s="10"/>
      <c r="CR37" s="10">
        <v>1</v>
      </c>
      <c r="CV37" s="10"/>
      <c r="CW37" s="10"/>
      <c r="CX37" s="10"/>
      <c r="CY37" s="10"/>
      <c r="DD37" s="10"/>
      <c r="DE37" s="10"/>
      <c r="DF37" s="10"/>
      <c r="DG37" s="10"/>
      <c r="DL37" s="10"/>
      <c r="DM37" s="10"/>
      <c r="DN37" s="10"/>
      <c r="DO37" s="10"/>
      <c r="DT37" s="10"/>
      <c r="DU37" s="10"/>
      <c r="DV37" s="10"/>
      <c r="DW37" s="10"/>
      <c r="EB37" s="10"/>
      <c r="EC37" s="10"/>
      <c r="ED37" s="10"/>
      <c r="EE37" s="10"/>
      <c r="EJ37" s="10"/>
      <c r="EK37" s="10"/>
      <c r="EL37" s="10"/>
      <c r="EM37" s="10"/>
      <c r="EQ37" s="10"/>
      <c r="ER37" s="10"/>
      <c r="ES37" s="10"/>
      <c r="ET37" s="10"/>
    </row>
    <row r="38" spans="2:150" ht="16" customHeight="1" outlineLevel="1">
      <c r="B38" t="s">
        <v>28</v>
      </c>
      <c r="E38" s="9"/>
      <c r="F38" t="s">
        <v>101</v>
      </c>
      <c r="G38" s="10">
        <v>6.6699999999999995E-2</v>
      </c>
      <c r="I38" s="9">
        <f>+SUMIF($N$3:$YH$3,I$3,$N38:$YH38)</f>
        <v>0</v>
      </c>
      <c r="J38" s="11" cm="1">
        <f t="array" ref="J38">MAX(IF($N$3:$DT$3=$J$3,N38:DT38))</f>
        <v>0</v>
      </c>
      <c r="K38" s="11" cm="1">
        <f t="array" ref="K38">MAX(IF($N$3:$DT$3=$J$3,N38:DT38))</f>
        <v>0</v>
      </c>
      <c r="L38" s="9"/>
      <c r="M38" s="9"/>
      <c r="O38" s="10"/>
      <c r="P38" s="10"/>
      <c r="Q38" s="10"/>
      <c r="R38" s="10"/>
      <c r="V38" s="10"/>
      <c r="W38" s="10">
        <v>0.1</v>
      </c>
      <c r="X38" s="10"/>
      <c r="Y38" s="10">
        <v>0.1</v>
      </c>
      <c r="AC38" s="10"/>
      <c r="AD38" s="10">
        <v>0.1</v>
      </c>
      <c r="AE38" s="10"/>
      <c r="AF38" s="10">
        <v>0.1</v>
      </c>
      <c r="AJ38" s="10"/>
      <c r="AK38" s="10">
        <v>0.1</v>
      </c>
      <c r="AL38" s="10"/>
      <c r="AM38" s="10">
        <v>0.1</v>
      </c>
      <c r="AQ38" s="10"/>
      <c r="AR38" s="10">
        <v>0.1</v>
      </c>
      <c r="AS38" s="10"/>
      <c r="AT38" s="10">
        <v>0.1</v>
      </c>
      <c r="AX38" s="10"/>
      <c r="AY38" s="10">
        <v>0.1</v>
      </c>
      <c r="AZ38" s="10"/>
      <c r="BA38" s="10">
        <v>0.1</v>
      </c>
      <c r="BF38" s="10"/>
      <c r="BG38" s="10">
        <v>0.5</v>
      </c>
      <c r="BH38" s="10"/>
      <c r="BI38" s="10">
        <v>0.5</v>
      </c>
      <c r="BM38" s="10"/>
      <c r="BN38" s="10">
        <v>0.5</v>
      </c>
      <c r="BO38" s="10"/>
      <c r="BP38" s="10">
        <v>0.5</v>
      </c>
      <c r="BT38" s="10"/>
      <c r="BU38" s="10">
        <v>0.8</v>
      </c>
      <c r="BV38" s="10"/>
      <c r="BW38" s="10">
        <v>0.8</v>
      </c>
      <c r="CA38" s="10"/>
      <c r="CB38" s="10">
        <v>0.8</v>
      </c>
      <c r="CC38" s="10"/>
      <c r="CD38" s="10">
        <v>0.8</v>
      </c>
      <c r="CH38" s="10"/>
      <c r="CI38" s="10">
        <v>1</v>
      </c>
      <c r="CJ38" s="10"/>
      <c r="CK38" s="10">
        <v>1</v>
      </c>
      <c r="CO38" s="10"/>
      <c r="CP38" s="10">
        <v>1</v>
      </c>
      <c r="CQ38" s="10"/>
      <c r="CR38" s="10">
        <v>1</v>
      </c>
      <c r="CV38" s="10"/>
      <c r="CW38" s="10"/>
      <c r="CX38" s="10"/>
      <c r="CY38" s="10"/>
      <c r="DD38" s="10"/>
      <c r="DE38" s="10"/>
      <c r="DF38" s="10"/>
      <c r="DG38" s="10"/>
      <c r="DL38" s="10"/>
      <c r="DM38" s="10"/>
      <c r="DN38" s="10"/>
      <c r="DO38" s="10"/>
      <c r="DT38" s="10"/>
      <c r="DU38" s="10"/>
      <c r="DV38" s="10"/>
      <c r="DW38" s="10"/>
      <c r="EB38" s="10"/>
      <c r="EC38" s="10"/>
      <c r="ED38" s="10"/>
      <c r="EE38" s="10"/>
      <c r="EJ38" s="10"/>
      <c r="EK38" s="10"/>
      <c r="EL38" s="10"/>
      <c r="EM38" s="10"/>
      <c r="EQ38" s="10"/>
      <c r="ER38" s="10"/>
      <c r="ES38" s="10"/>
      <c r="ET38" s="10"/>
    </row>
    <row r="39" spans="2:150" ht="16" customHeight="1" outlineLevel="1">
      <c r="B39" t="s">
        <v>28</v>
      </c>
      <c r="E39" s="9"/>
      <c r="F39" t="s">
        <v>102</v>
      </c>
      <c r="G39" s="10">
        <v>6.6699999999999995E-2</v>
      </c>
      <c r="I39" s="9">
        <f>+SUMIF($N$3:$YH$3,I$3,$N39:$YH39)</f>
        <v>0</v>
      </c>
      <c r="J39" s="11" cm="1">
        <f t="array" ref="J39">MAX(IF($N$3:$DT$3=$J$3,N39:DT39))</f>
        <v>0</v>
      </c>
      <c r="K39" s="11" cm="1">
        <f t="array" ref="K39">MAX(IF($N$3:$DT$3=$J$3,N39:DT39))</f>
        <v>0</v>
      </c>
      <c r="L39" s="9"/>
      <c r="M39" s="9"/>
      <c r="O39" s="10"/>
      <c r="P39" s="10"/>
      <c r="Q39" s="10"/>
      <c r="R39" s="10"/>
      <c r="V39" s="10"/>
      <c r="W39" s="10">
        <v>0.1</v>
      </c>
      <c r="X39" s="10"/>
      <c r="Y39" s="10">
        <v>0.1</v>
      </c>
      <c r="AC39" s="10"/>
      <c r="AD39" s="10">
        <v>0.1</v>
      </c>
      <c r="AE39" s="10"/>
      <c r="AF39" s="10">
        <v>0.1</v>
      </c>
      <c r="AJ39" s="10"/>
      <c r="AK39" s="10">
        <v>0.1</v>
      </c>
      <c r="AL39" s="10"/>
      <c r="AM39" s="10">
        <v>0.1</v>
      </c>
      <c r="AQ39" s="10"/>
      <c r="AR39" s="10">
        <v>0.1</v>
      </c>
      <c r="AS39" s="10"/>
      <c r="AT39" s="10">
        <v>0.1</v>
      </c>
      <c r="AX39" s="10"/>
      <c r="AY39" s="10">
        <v>0.1</v>
      </c>
      <c r="AZ39" s="10"/>
      <c r="BA39" s="10">
        <v>0.1</v>
      </c>
      <c r="BF39" s="10"/>
      <c r="BG39" s="10">
        <v>0.5</v>
      </c>
      <c r="BH39" s="10"/>
      <c r="BI39" s="10">
        <v>0.5</v>
      </c>
      <c r="BM39" s="10"/>
      <c r="BN39" s="10">
        <v>0.5</v>
      </c>
      <c r="BO39" s="10"/>
      <c r="BP39" s="10">
        <v>0.5</v>
      </c>
      <c r="BT39" s="10"/>
      <c r="BU39" s="10">
        <v>0.5</v>
      </c>
      <c r="BV39" s="10"/>
      <c r="BW39" s="10">
        <v>0.5</v>
      </c>
      <c r="CA39" s="10"/>
      <c r="CB39" s="10">
        <v>0.8</v>
      </c>
      <c r="CC39" s="10"/>
      <c r="CD39" s="10">
        <v>0.8</v>
      </c>
      <c r="CH39" s="10"/>
      <c r="CI39" s="10">
        <v>0.8</v>
      </c>
      <c r="CJ39" s="10"/>
      <c r="CK39" s="10">
        <v>0.8</v>
      </c>
      <c r="CO39" s="10"/>
      <c r="CP39" s="10">
        <v>1</v>
      </c>
      <c r="CQ39" s="10"/>
      <c r="CR39" s="10">
        <v>1</v>
      </c>
      <c r="CV39" s="10"/>
      <c r="CW39" s="10"/>
      <c r="CX39" s="10"/>
      <c r="CY39" s="10"/>
      <c r="DD39" s="10"/>
      <c r="DE39" s="10"/>
      <c r="DF39" s="10"/>
      <c r="DG39" s="10"/>
      <c r="DL39" s="10"/>
      <c r="DM39" s="10"/>
      <c r="DN39" s="10"/>
      <c r="DO39" s="10"/>
      <c r="DT39" s="10"/>
      <c r="DU39" s="10"/>
      <c r="DV39" s="10"/>
      <c r="DW39" s="10"/>
      <c r="EB39" s="10"/>
      <c r="EC39" s="10"/>
      <c r="ED39" s="10"/>
      <c r="EE39" s="10"/>
      <c r="EJ39" s="10"/>
      <c r="EK39" s="10"/>
      <c r="EL39" s="10"/>
      <c r="EM39" s="10"/>
      <c r="EQ39" s="10"/>
      <c r="ER39" s="10"/>
      <c r="ES39" s="10"/>
      <c r="ET39" s="10"/>
    </row>
    <row r="40" spans="2:150" ht="16" customHeight="1" outlineLevel="1">
      <c r="B40" t="s">
        <v>28</v>
      </c>
      <c r="E40" s="9"/>
      <c r="F40" t="s">
        <v>103</v>
      </c>
      <c r="G40" s="10">
        <v>6.6699999999999995E-2</v>
      </c>
      <c r="I40" s="9">
        <f>+SUMIF($N$3:$YH$3,I$3,$N40:$YH40)</f>
        <v>0</v>
      </c>
      <c r="J40" s="11" cm="1">
        <f t="array" ref="J40">MAX(IF($N$3:$DT$3=$J$3,N40:DT40))</f>
        <v>0</v>
      </c>
      <c r="K40" s="11" cm="1">
        <f t="array" ref="K40">MAX(IF($N$3:$DT$3=$J$3,N40:DT40))</f>
        <v>0</v>
      </c>
      <c r="L40" s="9"/>
      <c r="M40" s="9"/>
      <c r="O40" s="10"/>
      <c r="P40" s="10"/>
      <c r="Q40" s="10"/>
      <c r="R40" s="10"/>
      <c r="V40" s="10"/>
      <c r="W40" s="10">
        <v>0.1</v>
      </c>
      <c r="X40" s="10"/>
      <c r="Y40" s="10">
        <v>0.1</v>
      </c>
      <c r="AC40" s="10"/>
      <c r="AD40" s="10">
        <v>0.1</v>
      </c>
      <c r="AE40" s="10"/>
      <c r="AF40" s="10">
        <v>0.1</v>
      </c>
      <c r="AJ40" s="10"/>
      <c r="AK40" s="10">
        <v>0.1</v>
      </c>
      <c r="AL40" s="10"/>
      <c r="AM40" s="10">
        <v>0.1</v>
      </c>
      <c r="AQ40" s="10"/>
      <c r="AR40" s="10">
        <v>0.1</v>
      </c>
      <c r="AS40" s="10"/>
      <c r="AT40" s="10">
        <v>0.1</v>
      </c>
      <c r="AX40" s="10"/>
      <c r="AY40" s="10">
        <v>0.1</v>
      </c>
      <c r="AZ40" s="10"/>
      <c r="BA40" s="10">
        <v>0.1</v>
      </c>
      <c r="BF40" s="10"/>
      <c r="BG40" s="10">
        <v>0.5</v>
      </c>
      <c r="BH40" s="10"/>
      <c r="BI40" s="10">
        <v>0.5</v>
      </c>
      <c r="BM40" s="10"/>
      <c r="BN40" s="10">
        <v>0.5</v>
      </c>
      <c r="BO40" s="10"/>
      <c r="BP40" s="10">
        <v>0.5</v>
      </c>
      <c r="BT40" s="10"/>
      <c r="BU40" s="10">
        <v>0.5</v>
      </c>
      <c r="BV40" s="10"/>
      <c r="BW40" s="10">
        <v>0.5</v>
      </c>
      <c r="CA40" s="10"/>
      <c r="CB40" s="10">
        <v>0.8</v>
      </c>
      <c r="CC40" s="10"/>
      <c r="CD40" s="10">
        <v>0.8</v>
      </c>
      <c r="CH40" s="10"/>
      <c r="CI40" s="10">
        <v>0.8</v>
      </c>
      <c r="CJ40" s="10"/>
      <c r="CK40" s="10">
        <v>0.8</v>
      </c>
      <c r="CO40" s="10"/>
      <c r="CP40" s="10">
        <v>1</v>
      </c>
      <c r="CQ40" s="10"/>
      <c r="CR40" s="10">
        <v>1</v>
      </c>
      <c r="CV40" s="10"/>
      <c r="CW40" s="10"/>
      <c r="CX40" s="10"/>
      <c r="CY40" s="10"/>
      <c r="DD40" s="10"/>
      <c r="DE40" s="10"/>
      <c r="DF40" s="10"/>
      <c r="DG40" s="10"/>
      <c r="DL40" s="10"/>
      <c r="DM40" s="10"/>
      <c r="DN40" s="10"/>
      <c r="DO40" s="10"/>
      <c r="DT40" s="10"/>
      <c r="DU40" s="10"/>
      <c r="DV40" s="10"/>
      <c r="DW40" s="10"/>
      <c r="EB40" s="10"/>
      <c r="EC40" s="10"/>
      <c r="ED40" s="10"/>
      <c r="EE40" s="10"/>
      <c r="EJ40" s="10"/>
      <c r="EK40" s="10"/>
      <c r="EL40" s="10"/>
      <c r="EM40" s="10"/>
      <c r="EQ40" s="10"/>
      <c r="ER40" s="10"/>
      <c r="ES40" s="10"/>
      <c r="ET40" s="10"/>
    </row>
    <row r="42" spans="2:150">
      <c r="B42" t="s">
        <v>27</v>
      </c>
      <c r="C42" t="s">
        <v>105</v>
      </c>
      <c r="D42" s="19">
        <v>45838</v>
      </c>
      <c r="E42" s="9">
        <v>5</v>
      </c>
      <c r="G42" s="10">
        <f>+SUM(G43:G55)</f>
        <v>1.1299999999999999</v>
      </c>
      <c r="I42" s="12">
        <v>9</v>
      </c>
      <c r="J42" s="11">
        <f>+SUMPRODUCT(G43:G70,J43:J70)</f>
        <v>2.0049999999999999</v>
      </c>
      <c r="K42" s="11">
        <f>+SUMPRODUCT(G43:G70,K43:K70)</f>
        <v>2.0049999999999999</v>
      </c>
      <c r="L42" s="9"/>
      <c r="M42" s="9"/>
      <c r="N42" s="12">
        <v>3</v>
      </c>
      <c r="U42">
        <v>4.5</v>
      </c>
    </row>
    <row r="43" spans="2:150" ht="16" customHeight="1" outlineLevel="1">
      <c r="B43" t="s">
        <v>28</v>
      </c>
      <c r="C43" t="s">
        <v>163</v>
      </c>
      <c r="E43" s="9"/>
      <c r="G43" s="10">
        <v>0.08</v>
      </c>
      <c r="I43" s="9">
        <f>+SUMIF($N$3:$YH$3,I$3,$N43:$YH43)</f>
        <v>0</v>
      </c>
      <c r="J43" s="11" cm="1">
        <f t="array" ref="J43">MAX(IF($N$3:$DT$3=$J$3,N43:DT43))</f>
        <v>0.8</v>
      </c>
      <c r="K43" s="11" cm="1">
        <f t="array" ref="K43">MAX(IF($N$3:$DT$3=$J$3,N43:DT43))</f>
        <v>0.8</v>
      </c>
      <c r="L43" s="9"/>
      <c r="M43" s="9"/>
      <c r="O43" s="10">
        <v>0.5</v>
      </c>
      <c r="P43" s="10"/>
      <c r="Q43" s="10">
        <v>0.3</v>
      </c>
      <c r="R43" s="10"/>
      <c r="V43" s="10"/>
      <c r="W43" s="10">
        <v>1</v>
      </c>
      <c r="X43" s="10"/>
      <c r="Y43" s="10">
        <v>1</v>
      </c>
      <c r="AC43" s="10">
        <v>0.5</v>
      </c>
      <c r="AD43" s="10">
        <v>1</v>
      </c>
      <c r="AE43" s="10">
        <v>0.5</v>
      </c>
      <c r="AF43" s="10">
        <v>1</v>
      </c>
      <c r="AJ43" s="10"/>
      <c r="AK43" s="10">
        <v>1</v>
      </c>
      <c r="AL43" s="10"/>
      <c r="AM43" s="10">
        <v>1</v>
      </c>
      <c r="AQ43" s="10"/>
      <c r="AR43" s="10">
        <v>1</v>
      </c>
      <c r="AS43" s="10"/>
      <c r="AT43" s="10">
        <v>1</v>
      </c>
      <c r="AX43" s="10"/>
      <c r="AY43" s="10">
        <v>1</v>
      </c>
      <c r="AZ43" s="10"/>
      <c r="BA43" s="10">
        <v>1</v>
      </c>
      <c r="BF43" s="10"/>
      <c r="BG43" s="10">
        <v>1</v>
      </c>
      <c r="BH43" s="10"/>
      <c r="BI43" s="10">
        <v>1</v>
      </c>
      <c r="BM43" s="10"/>
      <c r="BN43" s="10">
        <v>1</v>
      </c>
      <c r="BO43" s="10"/>
      <c r="BP43" s="10">
        <v>1</v>
      </c>
      <c r="BT43" s="10"/>
      <c r="BU43" s="10">
        <v>1</v>
      </c>
      <c r="BV43" s="10"/>
      <c r="BW43" s="10">
        <v>1</v>
      </c>
      <c r="CA43" s="10">
        <v>0.8</v>
      </c>
      <c r="CB43" s="10">
        <v>1</v>
      </c>
      <c r="CC43" s="10"/>
      <c r="CD43" s="10">
        <v>1</v>
      </c>
      <c r="CH43" s="10"/>
      <c r="CI43" s="10">
        <v>1</v>
      </c>
      <c r="CJ43" s="10"/>
      <c r="CK43" s="10">
        <v>1</v>
      </c>
      <c r="CO43" s="10"/>
      <c r="CP43" s="10">
        <v>1</v>
      </c>
      <c r="CQ43" s="10"/>
      <c r="CR43" s="10">
        <v>1</v>
      </c>
      <c r="CV43" s="10"/>
      <c r="CW43" s="10"/>
      <c r="CX43" s="10"/>
      <c r="CY43" s="10"/>
      <c r="DD43" s="10"/>
      <c r="DE43" s="10"/>
      <c r="DF43" s="10"/>
      <c r="DG43" s="10"/>
      <c r="DL43" s="10"/>
      <c r="DM43" s="10"/>
      <c r="DN43" s="10"/>
      <c r="DO43" s="10"/>
      <c r="DT43" s="10"/>
      <c r="DU43" s="10"/>
      <c r="DV43" s="10"/>
      <c r="DW43" s="10"/>
      <c r="EB43" s="10"/>
      <c r="EC43" s="10"/>
      <c r="ED43" s="10"/>
      <c r="EE43" s="10"/>
      <c r="EJ43" s="10"/>
      <c r="EK43" s="10"/>
      <c r="EL43" s="10"/>
      <c r="EM43" s="10"/>
      <c r="EQ43" s="10"/>
      <c r="ER43" s="10"/>
      <c r="ES43" s="10"/>
      <c r="ET43" s="10"/>
    </row>
    <row r="44" spans="2:150" ht="16" customHeight="1" outlineLevel="1">
      <c r="B44" t="s">
        <v>28</v>
      </c>
      <c r="E44" s="9"/>
      <c r="G44" s="10">
        <v>0.08</v>
      </c>
      <c r="I44" s="9">
        <f>+SUMIF($N$3:$YH$3,I$3,$N44:$YH44)</f>
        <v>0</v>
      </c>
      <c r="J44" s="11" cm="1">
        <f t="array" ref="J44">MAX(IF($N$3:$DT$3=$J$3,N44:DT44))</f>
        <v>0.8</v>
      </c>
      <c r="K44" s="11" cm="1">
        <f t="array" ref="K44">MAX(IF($N$3:$DT$3=$J$3,N44:DT44))</f>
        <v>0.8</v>
      </c>
      <c r="L44" s="9"/>
      <c r="M44" s="9"/>
      <c r="O44" s="10">
        <v>0.5</v>
      </c>
      <c r="P44" s="10"/>
      <c r="Q44" s="10">
        <v>0.1</v>
      </c>
      <c r="R44" s="10"/>
      <c r="V44" s="10"/>
      <c r="W44" s="10">
        <v>1</v>
      </c>
      <c r="X44" s="10"/>
      <c r="Y44" s="10">
        <v>1</v>
      </c>
      <c r="AC44" s="10">
        <v>0.5</v>
      </c>
      <c r="AD44" s="10">
        <v>1</v>
      </c>
      <c r="AE44" s="10">
        <v>0.5</v>
      </c>
      <c r="AF44" s="10">
        <v>1</v>
      </c>
      <c r="AJ44" s="10"/>
      <c r="AK44" s="10">
        <v>1</v>
      </c>
      <c r="AL44" s="10"/>
      <c r="AM44" s="10">
        <v>1</v>
      </c>
      <c r="AQ44" s="10"/>
      <c r="AR44" s="10">
        <v>1</v>
      </c>
      <c r="AS44" s="10"/>
      <c r="AT44" s="10">
        <v>1</v>
      </c>
      <c r="AX44" s="10"/>
      <c r="AY44" s="10">
        <v>1</v>
      </c>
      <c r="AZ44" s="10"/>
      <c r="BA44" s="10">
        <v>1</v>
      </c>
      <c r="BF44" s="10"/>
      <c r="BG44" s="10">
        <v>1</v>
      </c>
      <c r="BH44" s="10"/>
      <c r="BI44" s="10">
        <v>1</v>
      </c>
      <c r="BM44" s="10"/>
      <c r="BN44" s="10">
        <v>1</v>
      </c>
      <c r="BO44" s="10"/>
      <c r="BP44" s="10">
        <v>1</v>
      </c>
      <c r="BT44" s="10"/>
      <c r="BU44" s="10">
        <v>1</v>
      </c>
      <c r="BV44" s="10"/>
      <c r="BW44" s="10">
        <v>1</v>
      </c>
      <c r="CA44" s="10">
        <v>0.8</v>
      </c>
      <c r="CB44" s="10">
        <v>1</v>
      </c>
      <c r="CC44" s="10"/>
      <c r="CD44" s="10">
        <v>1</v>
      </c>
      <c r="CH44" s="10"/>
      <c r="CI44" s="10">
        <v>1</v>
      </c>
      <c r="CJ44" s="10"/>
      <c r="CK44" s="10">
        <v>1</v>
      </c>
      <c r="CO44" s="10"/>
      <c r="CP44" s="10">
        <v>1</v>
      </c>
      <c r="CQ44" s="10"/>
      <c r="CR44" s="10">
        <v>1</v>
      </c>
      <c r="CV44" s="10"/>
      <c r="CW44" s="10"/>
      <c r="CX44" s="10"/>
      <c r="CY44" s="10"/>
      <c r="DD44" s="10"/>
      <c r="DE44" s="10"/>
      <c r="DF44" s="10"/>
      <c r="DG44" s="10"/>
      <c r="DL44" s="10"/>
      <c r="DM44" s="10"/>
      <c r="DN44" s="10"/>
      <c r="DO44" s="10"/>
      <c r="DT44" s="10"/>
      <c r="DU44" s="10"/>
      <c r="DV44" s="10"/>
      <c r="DW44" s="10"/>
      <c r="EB44" s="10"/>
      <c r="EC44" s="10"/>
      <c r="ED44" s="10"/>
      <c r="EE44" s="10"/>
      <c r="EJ44" s="10"/>
      <c r="EK44" s="10"/>
      <c r="EL44" s="10"/>
      <c r="EM44" s="10"/>
      <c r="EQ44" s="10"/>
      <c r="ER44" s="10"/>
      <c r="ES44" s="10"/>
      <c r="ET44" s="10"/>
    </row>
    <row r="45" spans="2:150" ht="16" customHeight="1" outlineLevel="1">
      <c r="B45" t="s">
        <v>28</v>
      </c>
      <c r="E45" s="9"/>
      <c r="G45" s="10">
        <v>0.08</v>
      </c>
      <c r="I45" s="9">
        <f>+SUMIF($N$3:$YH$3,I$3,$N45:$YH45)</f>
        <v>0</v>
      </c>
      <c r="J45" s="11" cm="1">
        <f t="array" ref="J45">MAX(IF($N$3:$DT$3=$J$3,N45:DT45))</f>
        <v>0.5</v>
      </c>
      <c r="K45" s="11" cm="1">
        <f t="array" ref="K45">MAX(IF($N$3:$DT$3=$J$3,N45:DT45))</f>
        <v>0.5</v>
      </c>
      <c r="L45" s="9"/>
      <c r="M45" s="9"/>
      <c r="O45" s="10"/>
      <c r="P45" s="10"/>
      <c r="R45" s="10"/>
      <c r="V45" s="10"/>
      <c r="W45" s="10">
        <v>1</v>
      </c>
      <c r="X45" s="10"/>
      <c r="Y45" s="10">
        <v>1</v>
      </c>
      <c r="AC45" s="10">
        <v>0.5</v>
      </c>
      <c r="AD45" s="10">
        <v>1</v>
      </c>
      <c r="AE45" s="10">
        <v>0.5</v>
      </c>
      <c r="AF45" s="10">
        <v>1</v>
      </c>
      <c r="AJ45" s="10"/>
      <c r="AK45" s="10">
        <v>1</v>
      </c>
      <c r="AL45" s="10"/>
      <c r="AM45" s="10">
        <v>1</v>
      </c>
      <c r="AQ45" s="10"/>
      <c r="AR45" s="10">
        <v>1</v>
      </c>
      <c r="AS45" s="10"/>
      <c r="AT45" s="10">
        <v>1</v>
      </c>
      <c r="AX45" s="10"/>
      <c r="AY45" s="10">
        <v>1</v>
      </c>
      <c r="AZ45" s="10"/>
      <c r="BA45" s="10">
        <v>1</v>
      </c>
      <c r="BF45" s="10"/>
      <c r="BG45" s="10">
        <v>1</v>
      </c>
      <c r="BH45" s="10"/>
      <c r="BI45" s="10">
        <v>1</v>
      </c>
      <c r="BM45" s="10"/>
      <c r="BN45" s="10">
        <v>1</v>
      </c>
      <c r="BO45" s="10"/>
      <c r="BP45" s="10">
        <v>1</v>
      </c>
      <c r="BT45" s="10"/>
      <c r="BU45" s="10">
        <v>1</v>
      </c>
      <c r="BV45" s="10"/>
      <c r="BW45" s="10">
        <v>1</v>
      </c>
      <c r="CA45" s="10">
        <v>0.5</v>
      </c>
      <c r="CB45" s="10">
        <v>1</v>
      </c>
      <c r="CC45" s="10"/>
      <c r="CD45" s="10">
        <v>1</v>
      </c>
      <c r="CH45" s="10"/>
      <c r="CI45" s="10">
        <v>1</v>
      </c>
      <c r="CJ45" s="10"/>
      <c r="CK45" s="10">
        <v>1</v>
      </c>
      <c r="CO45" s="10"/>
      <c r="CP45" s="10">
        <v>1</v>
      </c>
      <c r="CQ45" s="10"/>
      <c r="CR45" s="10">
        <v>1</v>
      </c>
      <c r="CV45" s="10"/>
      <c r="CW45" s="10"/>
      <c r="CX45" s="10"/>
      <c r="CY45" s="10"/>
      <c r="DD45" s="10"/>
      <c r="DE45" s="10"/>
      <c r="DF45" s="10"/>
      <c r="DG45" s="10"/>
      <c r="DL45" s="10"/>
      <c r="DM45" s="10"/>
      <c r="DN45" s="10"/>
      <c r="DO45" s="10"/>
      <c r="DT45" s="10"/>
      <c r="DU45" s="10"/>
      <c r="DV45" s="10"/>
      <c r="DW45" s="10"/>
      <c r="EB45" s="10"/>
      <c r="EC45" s="10"/>
      <c r="ED45" s="10"/>
      <c r="EE45" s="10"/>
      <c r="EJ45" s="10"/>
      <c r="EK45" s="10"/>
      <c r="EL45" s="10"/>
      <c r="EM45" s="10"/>
      <c r="EQ45" s="10"/>
      <c r="ER45" s="10"/>
      <c r="ES45" s="10"/>
      <c r="ET45" s="10"/>
    </row>
    <row r="46" spans="2:150" ht="16" customHeight="1" outlineLevel="1">
      <c r="B46" t="s">
        <v>28</v>
      </c>
      <c r="E46" s="9"/>
      <c r="G46" s="10">
        <v>0.08</v>
      </c>
      <c r="I46" s="9">
        <f>+SUMIF($N$3:$YH$3,I$3,$N46:$YH46)</f>
        <v>0</v>
      </c>
      <c r="J46" s="11" cm="1">
        <f t="array" ref="J46">MAX(IF($N$3:$DT$3=$J$3,N46:DT46))</f>
        <v>0.5</v>
      </c>
      <c r="K46" s="11" cm="1">
        <f t="array" ref="K46">MAX(IF($N$3:$DT$3=$J$3,N46:DT46))</f>
        <v>0.5</v>
      </c>
      <c r="L46" s="9"/>
      <c r="M46" s="9"/>
      <c r="O46" s="10"/>
      <c r="P46" s="10"/>
      <c r="Q46" s="10"/>
      <c r="R46" s="10"/>
      <c r="V46" s="10"/>
      <c r="W46" s="10">
        <v>0.8</v>
      </c>
      <c r="X46" s="10"/>
      <c r="Y46" s="10">
        <v>0.8</v>
      </c>
      <c r="AC46" s="10"/>
      <c r="AD46" s="10">
        <v>0.8</v>
      </c>
      <c r="AE46" s="10"/>
      <c r="AF46" s="10">
        <v>0.8</v>
      </c>
      <c r="AJ46" s="10"/>
      <c r="AK46" s="10">
        <v>1</v>
      </c>
      <c r="AL46" s="10"/>
      <c r="AM46" s="10">
        <v>1</v>
      </c>
      <c r="AQ46" s="10"/>
      <c r="AR46" s="10">
        <v>1</v>
      </c>
      <c r="AS46" s="10"/>
      <c r="AT46" s="10">
        <v>1</v>
      </c>
      <c r="AX46" s="10"/>
      <c r="AY46" s="10">
        <v>1</v>
      </c>
      <c r="AZ46" s="10"/>
      <c r="BA46" s="10">
        <v>1</v>
      </c>
      <c r="BF46" s="10"/>
      <c r="BG46" s="10">
        <v>1</v>
      </c>
      <c r="BH46" s="10"/>
      <c r="BI46" s="10">
        <v>1</v>
      </c>
      <c r="BM46" s="10"/>
      <c r="BN46" s="10">
        <v>1</v>
      </c>
      <c r="BO46" s="10"/>
      <c r="BP46" s="10">
        <v>1</v>
      </c>
      <c r="BT46" s="10"/>
      <c r="BU46" s="10">
        <v>1</v>
      </c>
      <c r="BV46" s="10"/>
      <c r="BW46" s="10">
        <v>1</v>
      </c>
      <c r="CA46" s="10">
        <v>0.5</v>
      </c>
      <c r="CB46" s="10">
        <v>1</v>
      </c>
      <c r="CC46" s="10"/>
      <c r="CD46" s="10">
        <v>1</v>
      </c>
      <c r="CH46" s="10"/>
      <c r="CI46" s="10">
        <v>1</v>
      </c>
      <c r="CJ46" s="10"/>
      <c r="CK46" s="10">
        <v>1</v>
      </c>
      <c r="CO46" s="10"/>
      <c r="CP46" s="10">
        <v>1</v>
      </c>
      <c r="CQ46" s="10"/>
      <c r="CR46" s="10">
        <v>1</v>
      </c>
      <c r="CV46" s="10"/>
      <c r="CW46" s="10"/>
      <c r="CX46" s="10"/>
      <c r="CY46" s="10"/>
      <c r="DD46" s="10"/>
      <c r="DE46" s="10"/>
      <c r="DF46" s="10"/>
      <c r="DG46" s="10"/>
      <c r="DL46" s="10"/>
      <c r="DM46" s="10"/>
      <c r="DN46" s="10"/>
      <c r="DO46" s="10"/>
      <c r="DT46" s="10"/>
      <c r="DU46" s="10"/>
      <c r="DV46" s="10"/>
      <c r="DW46" s="10"/>
      <c r="EB46" s="10"/>
      <c r="EC46" s="10"/>
      <c r="ED46" s="10"/>
      <c r="EE46" s="10"/>
      <c r="EJ46" s="10"/>
      <c r="EK46" s="10"/>
      <c r="EL46" s="10"/>
      <c r="EM46" s="10"/>
      <c r="EQ46" s="10"/>
      <c r="ER46" s="10"/>
      <c r="ES46" s="10"/>
      <c r="ET46" s="10"/>
    </row>
    <row r="47" spans="2:150" ht="16" customHeight="1" outlineLevel="1">
      <c r="B47" t="s">
        <v>28</v>
      </c>
      <c r="E47" s="9"/>
      <c r="G47" s="10">
        <v>0.09</v>
      </c>
      <c r="I47" s="9">
        <f>+SUMIF($N$3:$YH$3,I$3,$N47:$YH47)</f>
        <v>0</v>
      </c>
      <c r="J47" s="11" cm="1">
        <f t="array" ref="J47">MAX(IF($N$3:$DT$3=$J$3,N47:DT47))</f>
        <v>0.5</v>
      </c>
      <c r="K47" s="11" cm="1">
        <f t="array" ref="K47">MAX(IF($N$3:$DT$3=$J$3,N47:DT47))</f>
        <v>0.5</v>
      </c>
      <c r="L47" s="9"/>
      <c r="M47" s="9"/>
      <c r="O47" s="10"/>
      <c r="P47" s="10"/>
      <c r="Q47" s="10"/>
      <c r="R47" s="10"/>
      <c r="V47" s="10"/>
      <c r="W47" s="10">
        <v>0.8</v>
      </c>
      <c r="X47" s="10"/>
      <c r="Y47" s="10">
        <v>0.8</v>
      </c>
      <c r="AC47" s="10"/>
      <c r="AD47" s="10">
        <v>0.8</v>
      </c>
      <c r="AE47" s="10"/>
      <c r="AF47" s="10">
        <v>0.8</v>
      </c>
      <c r="AJ47" s="10"/>
      <c r="AK47" s="10">
        <v>0.8</v>
      </c>
      <c r="AL47" s="10"/>
      <c r="AM47" s="10">
        <v>0.8</v>
      </c>
      <c r="AQ47" s="10"/>
      <c r="AR47" s="10">
        <v>0.8</v>
      </c>
      <c r="AS47" s="10"/>
      <c r="AT47" s="10">
        <v>0.8</v>
      </c>
      <c r="AX47" s="10"/>
      <c r="AY47" s="10">
        <v>1</v>
      </c>
      <c r="AZ47" s="10"/>
      <c r="BA47" s="10">
        <v>1</v>
      </c>
      <c r="BF47" s="10"/>
      <c r="BG47" s="10">
        <v>1</v>
      </c>
      <c r="BH47" s="10"/>
      <c r="BI47" s="10">
        <v>1</v>
      </c>
      <c r="BM47" s="10"/>
      <c r="BN47" s="10">
        <v>1</v>
      </c>
      <c r="BO47" s="10"/>
      <c r="BP47" s="10">
        <v>1</v>
      </c>
      <c r="BT47" s="10"/>
      <c r="BU47" s="10">
        <v>1</v>
      </c>
      <c r="BV47" s="10"/>
      <c r="BW47" s="10">
        <v>1</v>
      </c>
      <c r="CA47" s="10">
        <v>0.5</v>
      </c>
      <c r="CB47" s="10">
        <v>1</v>
      </c>
      <c r="CC47" s="10"/>
      <c r="CD47" s="10">
        <v>1</v>
      </c>
      <c r="CH47" s="10"/>
      <c r="CI47" s="10">
        <v>1</v>
      </c>
      <c r="CJ47" s="10"/>
      <c r="CK47" s="10">
        <v>1</v>
      </c>
      <c r="CO47" s="10"/>
      <c r="CP47" s="10">
        <v>1</v>
      </c>
      <c r="CQ47" s="10"/>
      <c r="CR47" s="10">
        <v>1</v>
      </c>
      <c r="CV47" s="10"/>
      <c r="CW47" s="10"/>
      <c r="CX47" s="10"/>
      <c r="CY47" s="10"/>
      <c r="DD47" s="10"/>
      <c r="DE47" s="10"/>
      <c r="DF47" s="10"/>
      <c r="DG47" s="10"/>
      <c r="DL47" s="10"/>
      <c r="DM47" s="10"/>
      <c r="DN47" s="10"/>
      <c r="DO47" s="10"/>
      <c r="DT47" s="10"/>
      <c r="DU47" s="10"/>
      <c r="DV47" s="10"/>
      <c r="DW47" s="10"/>
      <c r="EB47" s="10"/>
      <c r="EC47" s="10"/>
      <c r="ED47" s="10"/>
      <c r="EE47" s="10"/>
      <c r="EJ47" s="10"/>
      <c r="EK47" s="10"/>
      <c r="EL47" s="10"/>
      <c r="EM47" s="10"/>
      <c r="EQ47" s="10"/>
      <c r="ER47" s="10"/>
      <c r="ES47" s="10"/>
      <c r="ET47" s="10"/>
    </row>
    <row r="48" spans="2:150" ht="16" customHeight="1" outlineLevel="1">
      <c r="B48" t="s">
        <v>28</v>
      </c>
      <c r="E48" s="9"/>
      <c r="G48" s="10">
        <v>0.09</v>
      </c>
      <c r="I48" s="9">
        <f>+SUMIF($N$3:$YH$3,I$3,$N48:$YH48)</f>
        <v>0</v>
      </c>
      <c r="J48" s="11" cm="1">
        <f t="array" ref="J48">MAX(IF($N$3:$DT$3=$J$3,N48:DT48))</f>
        <v>0.5</v>
      </c>
      <c r="K48" s="11" cm="1">
        <f t="array" ref="K48">MAX(IF($N$3:$DT$3=$J$3,N48:DT48))</f>
        <v>0.5</v>
      </c>
      <c r="L48" s="9"/>
      <c r="M48" s="9"/>
      <c r="O48" s="10"/>
      <c r="P48" s="10"/>
      <c r="Q48" s="10"/>
      <c r="R48" s="10"/>
      <c r="V48" s="10"/>
      <c r="W48" s="10">
        <v>0.5</v>
      </c>
      <c r="X48" s="10"/>
      <c r="Y48" s="10">
        <v>0.5</v>
      </c>
      <c r="AC48" s="10"/>
      <c r="AD48" s="10">
        <v>0.8</v>
      </c>
      <c r="AE48" s="10"/>
      <c r="AF48" s="10">
        <v>0.8</v>
      </c>
      <c r="AJ48" s="10"/>
      <c r="AK48" s="10">
        <v>0.8</v>
      </c>
      <c r="AL48" s="10"/>
      <c r="AM48" s="10">
        <v>0.8</v>
      </c>
      <c r="AQ48" s="10"/>
      <c r="AR48" s="10">
        <v>0.8</v>
      </c>
      <c r="AS48" s="10"/>
      <c r="AT48" s="10">
        <v>0.8</v>
      </c>
      <c r="AX48" s="10"/>
      <c r="AY48" s="10">
        <v>0.8</v>
      </c>
      <c r="AZ48" s="10"/>
      <c r="BA48" s="10">
        <v>0.8</v>
      </c>
      <c r="BF48" s="10"/>
      <c r="BG48" s="10">
        <v>1</v>
      </c>
      <c r="BH48" s="10"/>
      <c r="BI48" s="10">
        <v>1</v>
      </c>
      <c r="BM48" s="10"/>
      <c r="BN48" s="10">
        <v>1</v>
      </c>
      <c r="BO48" s="10"/>
      <c r="BP48" s="10">
        <v>1</v>
      </c>
      <c r="BT48" s="10"/>
      <c r="BU48" s="10">
        <v>1</v>
      </c>
      <c r="BV48" s="10"/>
      <c r="BW48" s="10">
        <v>1</v>
      </c>
      <c r="CA48" s="20">
        <v>0.5</v>
      </c>
      <c r="CB48" s="10">
        <v>1</v>
      </c>
      <c r="CC48" s="10"/>
      <c r="CD48" s="10">
        <v>1</v>
      </c>
      <c r="CH48" s="10"/>
      <c r="CI48" s="10">
        <v>1</v>
      </c>
      <c r="CJ48" s="10"/>
      <c r="CK48" s="10">
        <v>1</v>
      </c>
      <c r="CO48" s="10"/>
      <c r="CP48" s="10">
        <v>1</v>
      </c>
      <c r="CQ48" s="10"/>
      <c r="CR48" s="10">
        <v>1</v>
      </c>
      <c r="CV48" s="10"/>
      <c r="CW48" s="10"/>
      <c r="CX48" s="10"/>
      <c r="CY48" s="10"/>
      <c r="DD48" s="10"/>
      <c r="DE48" s="10"/>
      <c r="DF48" s="10"/>
      <c r="DG48" s="10"/>
      <c r="DL48" s="10"/>
      <c r="DM48" s="10"/>
      <c r="DN48" s="10"/>
      <c r="DO48" s="10"/>
      <c r="DT48" s="10"/>
      <c r="DU48" s="10"/>
      <c r="DV48" s="10"/>
      <c r="DW48" s="10"/>
      <c r="EB48" s="10"/>
      <c r="EC48" s="10"/>
      <c r="ED48" s="10"/>
      <c r="EE48" s="10"/>
      <c r="EJ48" s="10"/>
      <c r="EK48" s="10"/>
      <c r="EL48" s="10"/>
      <c r="EM48" s="10"/>
      <c r="EQ48" s="10"/>
      <c r="ER48" s="10"/>
      <c r="ES48" s="10"/>
      <c r="ET48" s="10"/>
    </row>
    <row r="49" spans="2:150" ht="16" customHeight="1" outlineLevel="1">
      <c r="B49" t="s">
        <v>28</v>
      </c>
      <c r="E49" s="9"/>
      <c r="G49" s="10">
        <v>0.09</v>
      </c>
      <c r="I49" s="9">
        <f>+SUMIF($N$3:$YH$3,I$3,$N49:$YH49)</f>
        <v>0</v>
      </c>
      <c r="J49" s="11" cm="1">
        <f t="array" ref="J49">MAX(IF($N$3:$DT$3=$J$3,N49:DT49))</f>
        <v>0.5</v>
      </c>
      <c r="K49" s="11" cm="1">
        <f t="array" ref="K49">MAX(IF($N$3:$DT$3=$J$3,N49:DT49))</f>
        <v>0.5</v>
      </c>
      <c r="L49" s="9"/>
      <c r="M49" s="9"/>
      <c r="O49" s="10"/>
      <c r="P49" s="10"/>
      <c r="Q49" s="10"/>
      <c r="R49" s="10"/>
      <c r="V49" s="10"/>
      <c r="W49" s="10">
        <v>0.5</v>
      </c>
      <c r="X49" s="10"/>
      <c r="Y49" s="10">
        <v>0.5</v>
      </c>
      <c r="AC49" s="10"/>
      <c r="AD49" s="10">
        <v>0.5</v>
      </c>
      <c r="AE49" s="10"/>
      <c r="AF49" s="10">
        <v>0.5</v>
      </c>
      <c r="AJ49" s="10"/>
      <c r="AK49" s="10">
        <v>0.8</v>
      </c>
      <c r="AL49" s="10"/>
      <c r="AM49" s="10">
        <v>0.8</v>
      </c>
      <c r="AQ49" s="10"/>
      <c r="AR49" s="10">
        <v>0.8</v>
      </c>
      <c r="AS49" s="10"/>
      <c r="AT49" s="10">
        <v>0.8</v>
      </c>
      <c r="AX49" s="10"/>
      <c r="AY49" s="10">
        <v>0.8</v>
      </c>
      <c r="AZ49" s="10"/>
      <c r="BA49" s="10">
        <v>0.8</v>
      </c>
      <c r="BF49" s="10"/>
      <c r="BG49" s="10">
        <v>1</v>
      </c>
      <c r="BH49" s="10"/>
      <c r="BI49" s="10">
        <v>1</v>
      </c>
      <c r="BM49" s="10"/>
      <c r="BN49" s="10">
        <v>1</v>
      </c>
      <c r="BO49" s="10"/>
      <c r="BP49" s="10">
        <v>1</v>
      </c>
      <c r="BT49" s="10"/>
      <c r="BU49" s="10">
        <v>1</v>
      </c>
      <c r="BV49" s="10"/>
      <c r="BW49" s="10">
        <v>1</v>
      </c>
      <c r="CA49" s="20">
        <v>0.5</v>
      </c>
      <c r="CB49" s="10">
        <v>1</v>
      </c>
      <c r="CC49" s="10"/>
      <c r="CD49" s="10">
        <v>1</v>
      </c>
      <c r="CH49" s="10"/>
      <c r="CI49" s="10">
        <v>1</v>
      </c>
      <c r="CJ49" s="10"/>
      <c r="CK49" s="10">
        <v>1</v>
      </c>
      <c r="CO49" s="10"/>
      <c r="CP49" s="10">
        <v>1</v>
      </c>
      <c r="CQ49" s="10"/>
      <c r="CR49" s="10">
        <v>1</v>
      </c>
      <c r="CV49" s="10"/>
      <c r="CW49" s="10"/>
      <c r="CX49" s="10"/>
      <c r="CY49" s="10"/>
      <c r="DD49" s="10"/>
      <c r="DE49" s="10"/>
      <c r="DF49" s="10"/>
      <c r="DG49" s="10"/>
      <c r="DL49" s="10"/>
      <c r="DM49" s="10"/>
      <c r="DN49" s="10"/>
      <c r="DO49" s="10"/>
      <c r="DT49" s="10"/>
      <c r="DU49" s="10"/>
      <c r="DV49" s="10"/>
      <c r="DW49" s="10"/>
      <c r="EB49" s="10"/>
      <c r="EC49" s="10"/>
      <c r="ED49" s="10"/>
      <c r="EE49" s="10"/>
      <c r="EJ49" s="10"/>
      <c r="EK49" s="10"/>
      <c r="EL49" s="10"/>
      <c r="EM49" s="10"/>
      <c r="EQ49" s="10"/>
      <c r="ER49" s="10"/>
      <c r="ES49" s="10"/>
      <c r="ET49" s="10"/>
    </row>
    <row r="50" spans="2:150" ht="16" customHeight="1" outlineLevel="1">
      <c r="B50" t="s">
        <v>28</v>
      </c>
      <c r="E50" s="9"/>
      <c r="G50" s="10">
        <v>0.09</v>
      </c>
      <c r="I50" s="9">
        <f>+SUMIF($N$3:$YH$3,I$3,$N50:$YH50)</f>
        <v>0</v>
      </c>
      <c r="J50" s="11" cm="1">
        <f t="array" ref="J50">MAX(IF($N$3:$DT$3=$J$3,N50:DT50))</f>
        <v>0</v>
      </c>
      <c r="K50" s="11" cm="1">
        <f t="array" ref="K50">MAX(IF($N$3:$DT$3=$J$3,N50:DT50))</f>
        <v>0</v>
      </c>
      <c r="L50" s="9"/>
      <c r="M50" s="9"/>
      <c r="O50" s="10"/>
      <c r="P50" s="10"/>
      <c r="Q50" s="10"/>
      <c r="R50" s="10"/>
      <c r="V50" s="10"/>
      <c r="W50" s="10">
        <v>0.5</v>
      </c>
      <c r="X50" s="10"/>
      <c r="Y50" s="10">
        <v>0.5</v>
      </c>
      <c r="AC50" s="10"/>
      <c r="AD50" s="10">
        <v>0.5</v>
      </c>
      <c r="AE50" s="10"/>
      <c r="AF50" s="10">
        <v>0.5</v>
      </c>
      <c r="AJ50" s="10"/>
      <c r="AK50" s="10">
        <v>0.8</v>
      </c>
      <c r="AL50" s="10"/>
      <c r="AM50" s="10">
        <v>0.8</v>
      </c>
      <c r="AQ50" s="10"/>
      <c r="AR50" s="10">
        <v>0.8</v>
      </c>
      <c r="AS50" s="10"/>
      <c r="AT50" s="10">
        <v>0.8</v>
      </c>
      <c r="AX50" s="10"/>
      <c r="AY50" s="10">
        <v>0.8</v>
      </c>
      <c r="AZ50" s="10"/>
      <c r="BA50" s="10">
        <v>0.8</v>
      </c>
      <c r="BF50" s="10"/>
      <c r="BG50" s="10">
        <v>0.8</v>
      </c>
      <c r="BH50" s="10"/>
      <c r="BI50" s="10">
        <v>0.8</v>
      </c>
      <c r="BM50" s="10"/>
      <c r="BN50" s="10">
        <v>1</v>
      </c>
      <c r="BO50" s="10"/>
      <c r="BP50" s="10">
        <v>1</v>
      </c>
      <c r="BT50" s="10"/>
      <c r="BU50" s="10">
        <v>1</v>
      </c>
      <c r="BV50" s="10"/>
      <c r="BW50" s="10">
        <v>1</v>
      </c>
      <c r="CA50" s="10"/>
      <c r="CB50" s="10">
        <v>1</v>
      </c>
      <c r="CC50" s="10"/>
      <c r="CD50" s="10">
        <v>1</v>
      </c>
      <c r="CH50" s="10"/>
      <c r="CI50" s="10">
        <v>1</v>
      </c>
      <c r="CJ50" s="10"/>
      <c r="CK50" s="10">
        <v>1</v>
      </c>
      <c r="CO50" s="10"/>
      <c r="CP50" s="10">
        <v>1</v>
      </c>
      <c r="CQ50" s="10"/>
      <c r="CR50" s="10">
        <v>1</v>
      </c>
      <c r="CV50" s="10"/>
      <c r="CW50" s="10"/>
      <c r="CX50" s="10"/>
      <c r="CY50" s="10"/>
      <c r="DD50" s="10"/>
      <c r="DE50" s="10"/>
      <c r="DF50" s="10"/>
      <c r="DG50" s="10"/>
      <c r="DL50" s="10"/>
      <c r="DM50" s="10"/>
      <c r="DN50" s="10"/>
      <c r="DO50" s="10"/>
      <c r="DT50" s="10"/>
      <c r="DU50" s="10"/>
      <c r="DV50" s="10"/>
      <c r="DW50" s="10"/>
      <c r="EB50" s="10"/>
      <c r="EC50" s="10"/>
      <c r="ED50" s="10"/>
      <c r="EE50" s="10"/>
      <c r="EJ50" s="10"/>
      <c r="EK50" s="10"/>
      <c r="EL50" s="10"/>
      <c r="EM50" s="10"/>
      <c r="EQ50" s="10"/>
      <c r="ER50" s="10"/>
      <c r="ES50" s="10"/>
      <c r="ET50" s="10"/>
    </row>
    <row r="51" spans="2:150" ht="16" customHeight="1" outlineLevel="1">
      <c r="B51" t="s">
        <v>28</v>
      </c>
      <c r="E51" s="9"/>
      <c r="G51" s="10">
        <v>0.09</v>
      </c>
      <c r="I51" s="9">
        <f>+SUMIF($N$3:$YH$3,I$3,$N51:$YH51)</f>
        <v>0</v>
      </c>
      <c r="J51" s="11" cm="1">
        <f t="array" ref="J51">MAX(IF($N$3:$DT$3=$J$3,N51:DT51))</f>
        <v>0</v>
      </c>
      <c r="K51" s="11" cm="1">
        <f t="array" ref="K51">MAX(IF($N$3:$DT$3=$J$3,N51:DT51))</f>
        <v>0</v>
      </c>
      <c r="L51" s="9"/>
      <c r="M51" s="9"/>
      <c r="O51" s="10"/>
      <c r="P51" s="10"/>
      <c r="Q51" s="10"/>
      <c r="R51" s="10"/>
      <c r="V51" s="10"/>
      <c r="W51" s="10">
        <v>0.5</v>
      </c>
      <c r="X51" s="10"/>
      <c r="Y51" s="10">
        <v>0.5</v>
      </c>
      <c r="AC51" s="10"/>
      <c r="AD51" s="10">
        <v>0.5</v>
      </c>
      <c r="AE51" s="10"/>
      <c r="AF51" s="10">
        <v>0.5</v>
      </c>
      <c r="AJ51" s="10"/>
      <c r="AK51" s="10">
        <v>0.5</v>
      </c>
      <c r="AL51" s="10"/>
      <c r="AM51" s="10">
        <v>0.5</v>
      </c>
      <c r="AQ51" s="10"/>
      <c r="AR51" s="10">
        <v>0.8</v>
      </c>
      <c r="AS51" s="10"/>
      <c r="AT51" s="10">
        <v>0.8</v>
      </c>
      <c r="AX51" s="10"/>
      <c r="AY51" s="10">
        <v>0.8</v>
      </c>
      <c r="AZ51" s="10"/>
      <c r="BA51" s="10">
        <v>0.8</v>
      </c>
      <c r="BF51" s="10"/>
      <c r="BG51" s="10">
        <v>0.8</v>
      </c>
      <c r="BH51" s="10"/>
      <c r="BI51" s="10">
        <v>0.8</v>
      </c>
      <c r="BM51" s="10"/>
      <c r="BN51" s="10">
        <v>0.8</v>
      </c>
      <c r="BO51" s="10"/>
      <c r="BP51" s="10">
        <v>0.8</v>
      </c>
      <c r="BT51" s="10"/>
      <c r="BU51" s="10">
        <v>1</v>
      </c>
      <c r="BV51" s="10"/>
      <c r="BW51" s="10">
        <v>1</v>
      </c>
      <c r="CA51" s="10"/>
      <c r="CB51" s="10">
        <v>1</v>
      </c>
      <c r="CC51" s="10"/>
      <c r="CD51" s="10">
        <v>1</v>
      </c>
      <c r="CH51" s="10"/>
      <c r="CI51" s="10">
        <v>1</v>
      </c>
      <c r="CJ51" s="10"/>
      <c r="CK51" s="10">
        <v>1</v>
      </c>
      <c r="CO51" s="10"/>
      <c r="CP51" s="10">
        <v>1</v>
      </c>
      <c r="CQ51" s="10"/>
      <c r="CR51" s="10">
        <v>1</v>
      </c>
      <c r="CV51" s="10"/>
      <c r="CW51" s="10"/>
      <c r="CX51" s="10"/>
      <c r="CY51" s="10"/>
      <c r="DD51" s="10"/>
      <c r="DE51" s="10"/>
      <c r="DF51" s="10"/>
      <c r="DG51" s="10"/>
      <c r="DL51" s="10"/>
      <c r="DM51" s="10"/>
      <c r="DN51" s="10"/>
      <c r="DO51" s="10"/>
      <c r="DT51" s="10"/>
      <c r="DU51" s="10"/>
      <c r="DV51" s="10"/>
      <c r="DW51" s="10"/>
      <c r="EB51" s="10"/>
      <c r="EC51" s="10"/>
      <c r="ED51" s="10"/>
      <c r="EE51" s="10"/>
      <c r="EJ51" s="10"/>
      <c r="EK51" s="10"/>
      <c r="EL51" s="10"/>
      <c r="EM51" s="10"/>
      <c r="EQ51" s="10"/>
      <c r="ER51" s="10"/>
      <c r="ES51" s="10"/>
      <c r="ET51" s="10"/>
    </row>
    <row r="52" spans="2:150" ht="16" customHeight="1" outlineLevel="1">
      <c r="B52" t="s">
        <v>28</v>
      </c>
      <c r="E52" s="9"/>
      <c r="G52" s="10">
        <v>0.09</v>
      </c>
      <c r="I52" s="9">
        <f>+SUMIF($N$3:$YH$3,I$3,$N52:$YH52)</f>
        <v>0</v>
      </c>
      <c r="J52" s="11" cm="1">
        <f t="array" ref="J52">MAX(IF($N$3:$DT$3=$J$3,N52:DT52))</f>
        <v>0</v>
      </c>
      <c r="K52" s="11" cm="1">
        <f t="array" ref="K52">MAX(IF($N$3:$DT$3=$J$3,N52:DT52))</f>
        <v>0</v>
      </c>
      <c r="L52" s="9"/>
      <c r="M52" s="9"/>
      <c r="O52" s="10"/>
      <c r="P52" s="10"/>
      <c r="Q52" s="10"/>
      <c r="R52" s="10"/>
      <c r="V52" s="10"/>
      <c r="W52" s="10">
        <v>0.5</v>
      </c>
      <c r="X52" s="10"/>
      <c r="Y52" s="10">
        <v>0.5</v>
      </c>
      <c r="AC52" s="10"/>
      <c r="AD52" s="10">
        <v>0.5</v>
      </c>
      <c r="AE52" s="10"/>
      <c r="AF52" s="10">
        <v>0.5</v>
      </c>
      <c r="AJ52" s="10"/>
      <c r="AK52" s="10">
        <v>0.5</v>
      </c>
      <c r="AL52" s="10"/>
      <c r="AM52" s="10">
        <v>0.5</v>
      </c>
      <c r="AQ52" s="10"/>
      <c r="AR52" s="10">
        <v>0.5</v>
      </c>
      <c r="AS52" s="10"/>
      <c r="AT52" s="10">
        <v>0.5</v>
      </c>
      <c r="AX52" s="10"/>
      <c r="AY52" s="10">
        <v>0.5</v>
      </c>
      <c r="AZ52" s="10"/>
      <c r="BA52" s="10">
        <v>0.5</v>
      </c>
      <c r="BF52" s="10"/>
      <c r="BG52" s="10">
        <v>0.8</v>
      </c>
      <c r="BH52" s="10"/>
      <c r="BI52" s="10">
        <v>0.8</v>
      </c>
      <c r="BM52" s="10"/>
      <c r="BN52" s="10">
        <v>0.8</v>
      </c>
      <c r="BO52" s="10"/>
      <c r="BP52" s="10">
        <v>0.8</v>
      </c>
      <c r="BT52" s="10"/>
      <c r="BU52" s="10">
        <v>0.8</v>
      </c>
      <c r="BV52" s="10"/>
      <c r="BW52" s="10">
        <v>0.8</v>
      </c>
      <c r="CA52" s="10"/>
      <c r="CB52" s="10">
        <v>0.8</v>
      </c>
      <c r="CC52" s="10"/>
      <c r="CD52" s="10">
        <v>0.8</v>
      </c>
      <c r="CH52" s="10"/>
      <c r="CI52" s="10">
        <v>1</v>
      </c>
      <c r="CJ52" s="10"/>
      <c r="CK52" s="10">
        <v>1</v>
      </c>
      <c r="CO52" s="10"/>
      <c r="CP52" s="10">
        <v>1</v>
      </c>
      <c r="CQ52" s="10"/>
      <c r="CR52" s="10">
        <v>1</v>
      </c>
      <c r="CV52" s="10"/>
      <c r="CW52" s="10"/>
      <c r="CX52" s="10"/>
      <c r="CY52" s="10"/>
      <c r="DD52" s="10"/>
      <c r="DE52" s="10"/>
      <c r="DF52" s="10"/>
      <c r="DG52" s="10"/>
      <c r="DL52" s="10"/>
      <c r="DM52" s="10"/>
      <c r="DN52" s="10"/>
      <c r="DO52" s="10"/>
      <c r="DT52" s="10"/>
      <c r="DU52" s="10"/>
      <c r="DV52" s="10"/>
      <c r="DW52" s="10"/>
      <c r="EB52" s="10"/>
      <c r="EC52" s="10"/>
      <c r="ED52" s="10"/>
      <c r="EE52" s="10"/>
      <c r="EJ52" s="10"/>
      <c r="EK52" s="10"/>
      <c r="EL52" s="10"/>
      <c r="EM52" s="10"/>
      <c r="EQ52" s="10"/>
      <c r="ER52" s="10"/>
      <c r="ES52" s="10"/>
      <c r="ET52" s="10"/>
    </row>
    <row r="53" spans="2:150" ht="16" customHeight="1" outlineLevel="1">
      <c r="B53" t="s">
        <v>28</v>
      </c>
      <c r="E53" s="9"/>
      <c r="G53" s="10">
        <v>0.09</v>
      </c>
      <c r="I53" s="9">
        <f>+SUMIF($N$3:$YH$3,I$3,$N53:$YH53)</f>
        <v>0</v>
      </c>
      <c r="J53" s="11" cm="1">
        <f t="array" ref="J53">MAX(IF($N$3:$DT$3=$J$3,N53:DT53))</f>
        <v>0</v>
      </c>
      <c r="K53" s="11" cm="1">
        <f t="array" ref="K53">MAX(IF($N$3:$DT$3=$J$3,N53:DT53))</f>
        <v>0</v>
      </c>
      <c r="L53" s="9"/>
      <c r="M53" s="9"/>
      <c r="O53" s="10"/>
      <c r="P53" s="10"/>
      <c r="Q53" s="10"/>
      <c r="R53" s="10"/>
      <c r="V53" s="10"/>
      <c r="W53" s="10">
        <v>0.1</v>
      </c>
      <c r="X53" s="10"/>
      <c r="Y53" s="10">
        <v>0.1</v>
      </c>
      <c r="AC53" s="10"/>
      <c r="AD53" s="10">
        <v>0.1</v>
      </c>
      <c r="AE53" s="10"/>
      <c r="AF53" s="10">
        <v>0.1</v>
      </c>
      <c r="AJ53" s="10"/>
      <c r="AK53" s="10">
        <v>0.1</v>
      </c>
      <c r="AL53" s="10"/>
      <c r="AM53" s="10">
        <v>0.1</v>
      </c>
      <c r="AQ53" s="10"/>
      <c r="AR53" s="10">
        <v>0.5</v>
      </c>
      <c r="AS53" s="10"/>
      <c r="AT53" s="10">
        <v>0.5</v>
      </c>
      <c r="AX53" s="10"/>
      <c r="AY53" s="10">
        <v>0.5</v>
      </c>
      <c r="AZ53" s="10"/>
      <c r="BA53" s="10">
        <v>0.5</v>
      </c>
      <c r="BF53" s="10"/>
      <c r="BG53" s="10">
        <v>0.5</v>
      </c>
      <c r="BH53" s="10"/>
      <c r="BI53" s="10">
        <v>0.5</v>
      </c>
      <c r="BM53" s="10"/>
      <c r="BN53" s="10">
        <v>0.5</v>
      </c>
      <c r="BO53" s="10"/>
      <c r="BP53" s="10">
        <v>0.5</v>
      </c>
      <c r="BT53" s="10"/>
      <c r="BU53" s="10">
        <v>0.8</v>
      </c>
      <c r="BV53" s="10"/>
      <c r="BW53" s="10">
        <v>0.8</v>
      </c>
      <c r="CA53" s="10"/>
      <c r="CB53" s="10">
        <v>0.8</v>
      </c>
      <c r="CC53" s="10"/>
      <c r="CD53" s="10">
        <v>0.8</v>
      </c>
      <c r="CH53" s="10"/>
      <c r="CI53" s="10">
        <v>1</v>
      </c>
      <c r="CJ53" s="10"/>
      <c r="CK53" s="10">
        <v>1</v>
      </c>
      <c r="CO53" s="10"/>
      <c r="CP53" s="10">
        <v>1</v>
      </c>
      <c r="CQ53" s="10"/>
      <c r="CR53" s="10">
        <v>1</v>
      </c>
      <c r="CV53" s="10"/>
      <c r="CW53" s="10"/>
      <c r="CX53" s="10"/>
      <c r="CY53" s="10"/>
      <c r="DD53" s="10"/>
      <c r="DE53" s="10"/>
      <c r="DF53" s="10"/>
      <c r="DG53" s="10"/>
      <c r="DL53" s="10"/>
      <c r="DM53" s="10"/>
      <c r="DN53" s="10"/>
      <c r="DO53" s="10"/>
      <c r="DT53" s="10"/>
      <c r="DU53" s="10"/>
      <c r="DV53" s="10"/>
      <c r="DW53" s="10"/>
      <c r="EB53" s="10"/>
      <c r="EC53" s="10"/>
      <c r="ED53" s="10"/>
      <c r="EE53" s="10"/>
      <c r="EJ53" s="10"/>
      <c r="EK53" s="10"/>
      <c r="EL53" s="10"/>
      <c r="EM53" s="10"/>
      <c r="EQ53" s="10"/>
      <c r="ER53" s="10"/>
      <c r="ES53" s="10"/>
      <c r="ET53" s="10"/>
    </row>
    <row r="54" spans="2:150" ht="16" customHeight="1" outlineLevel="1">
      <c r="B54" t="s">
        <v>28</v>
      </c>
      <c r="E54" s="9"/>
      <c r="G54" s="10">
        <v>0.09</v>
      </c>
      <c r="I54" s="9">
        <f>+SUMIF($N$3:$YH$3,I$3,$N54:$YH54)</f>
        <v>0</v>
      </c>
      <c r="J54" s="11" cm="1">
        <f t="array" ref="J54">MAX(IF($N$3:$DT$3=$J$3,N54:DT54))</f>
        <v>0</v>
      </c>
      <c r="K54" s="11" cm="1">
        <f t="array" ref="K54">MAX(IF($N$3:$DT$3=$J$3,N54:DT54))</f>
        <v>0</v>
      </c>
      <c r="L54" s="9"/>
      <c r="M54" s="9"/>
      <c r="O54" s="10"/>
      <c r="P54" s="10"/>
      <c r="Q54" s="10"/>
      <c r="R54" s="10"/>
      <c r="V54" s="10"/>
      <c r="W54" s="10">
        <v>0.1</v>
      </c>
      <c r="X54" s="10"/>
      <c r="Y54" s="10">
        <v>0.1</v>
      </c>
      <c r="AC54" s="10"/>
      <c r="AD54" s="10">
        <v>0.1</v>
      </c>
      <c r="AE54" s="10"/>
      <c r="AF54" s="10">
        <v>0.1</v>
      </c>
      <c r="AJ54" s="10"/>
      <c r="AK54" s="10">
        <v>0.1</v>
      </c>
      <c r="AL54" s="10"/>
      <c r="AM54" s="10">
        <v>0.1</v>
      </c>
      <c r="AQ54" s="10"/>
      <c r="AR54" s="10">
        <v>0.1</v>
      </c>
      <c r="AS54" s="10"/>
      <c r="AT54" s="10">
        <v>0.1</v>
      </c>
      <c r="AX54" s="10"/>
      <c r="AY54" s="10">
        <v>0.1</v>
      </c>
      <c r="AZ54" s="10"/>
      <c r="BA54" s="10">
        <v>0.1</v>
      </c>
      <c r="BF54" s="10"/>
      <c r="BG54" s="10">
        <v>0.5</v>
      </c>
      <c r="BH54" s="10"/>
      <c r="BI54" s="10">
        <v>0.5</v>
      </c>
      <c r="BM54" s="10"/>
      <c r="BN54" s="10">
        <v>0.5</v>
      </c>
      <c r="BO54" s="10"/>
      <c r="BP54" s="10">
        <v>0.5</v>
      </c>
      <c r="BT54" s="10"/>
      <c r="BU54" s="10">
        <v>0.5</v>
      </c>
      <c r="BV54" s="10"/>
      <c r="BW54" s="10">
        <v>0.5</v>
      </c>
      <c r="CA54" s="10"/>
      <c r="CB54" s="10">
        <v>0.8</v>
      </c>
      <c r="CC54" s="10"/>
      <c r="CD54" s="10">
        <v>0.8</v>
      </c>
      <c r="CH54" s="10"/>
      <c r="CI54" s="10">
        <v>0.8</v>
      </c>
      <c r="CJ54" s="10"/>
      <c r="CK54" s="10">
        <v>0.8</v>
      </c>
      <c r="CO54" s="10"/>
      <c r="CP54" s="10">
        <v>1</v>
      </c>
      <c r="CQ54" s="10"/>
      <c r="CR54" s="10">
        <v>1</v>
      </c>
      <c r="CV54" s="10"/>
      <c r="CW54" s="10"/>
      <c r="CX54" s="10"/>
      <c r="CY54" s="10"/>
      <c r="DD54" s="10"/>
      <c r="DE54" s="10"/>
      <c r="DF54" s="10"/>
      <c r="DG54" s="10"/>
      <c r="DL54" s="10"/>
      <c r="DM54" s="10"/>
      <c r="DN54" s="10"/>
      <c r="DO54" s="10"/>
      <c r="DT54" s="10"/>
      <c r="DU54" s="10"/>
      <c r="DV54" s="10"/>
      <c r="DW54" s="10"/>
      <c r="EB54" s="10"/>
      <c r="EC54" s="10"/>
      <c r="ED54" s="10"/>
      <c r="EE54" s="10"/>
      <c r="EJ54" s="10"/>
      <c r="EK54" s="10"/>
      <c r="EL54" s="10"/>
      <c r="EM54" s="10"/>
      <c r="EQ54" s="10"/>
      <c r="ER54" s="10"/>
      <c r="ES54" s="10"/>
      <c r="ET54" s="10"/>
    </row>
    <row r="55" spans="2:150" ht="16" customHeight="1" outlineLevel="1">
      <c r="B55" t="s">
        <v>28</v>
      </c>
      <c r="E55" s="9"/>
      <c r="G55" s="10">
        <v>0.09</v>
      </c>
      <c r="I55" s="9">
        <f>+SUMIF($N$3:$YH$3,I$3,$N55:$YH55)</f>
        <v>0</v>
      </c>
      <c r="J55" s="11" cm="1">
        <f t="array" ref="J55">MAX(IF($N$3:$DT$3=$J$3,N55:DT55))</f>
        <v>0</v>
      </c>
      <c r="K55" s="11" cm="1">
        <f t="array" ref="K55">MAX(IF($N$3:$DT$3=$J$3,N55:DT55))</f>
        <v>0</v>
      </c>
      <c r="L55" s="9"/>
      <c r="M55" s="9"/>
      <c r="O55" s="10"/>
      <c r="P55" s="10"/>
      <c r="Q55" s="10"/>
      <c r="R55" s="10"/>
      <c r="V55" s="10"/>
      <c r="W55" s="10">
        <v>0.1</v>
      </c>
      <c r="X55" s="10"/>
      <c r="Y55" s="10">
        <v>0.1</v>
      </c>
      <c r="AC55" s="10"/>
      <c r="AD55" s="10">
        <v>0.1</v>
      </c>
      <c r="AE55" s="10"/>
      <c r="AF55" s="10">
        <v>0.1</v>
      </c>
      <c r="AJ55" s="10"/>
      <c r="AK55" s="10">
        <v>0.1</v>
      </c>
      <c r="AL55" s="10"/>
      <c r="AM55" s="10">
        <v>0.1</v>
      </c>
      <c r="AQ55" s="10"/>
      <c r="AR55" s="10">
        <v>0.1</v>
      </c>
      <c r="AS55" s="10"/>
      <c r="AT55" s="10">
        <v>0.1</v>
      </c>
      <c r="AX55" s="10"/>
      <c r="AY55" s="10">
        <v>0.1</v>
      </c>
      <c r="AZ55" s="10"/>
      <c r="BA55" s="10">
        <v>0.1</v>
      </c>
      <c r="BF55" s="10"/>
      <c r="BG55" s="10">
        <v>0.1</v>
      </c>
      <c r="BH55" s="10"/>
      <c r="BI55" s="10">
        <v>0.1</v>
      </c>
      <c r="BM55" s="10"/>
      <c r="BN55" s="10">
        <v>0.5</v>
      </c>
      <c r="BO55" s="10"/>
      <c r="BP55" s="10">
        <v>0.5</v>
      </c>
      <c r="BT55" s="10"/>
      <c r="BU55" s="10">
        <v>0.5</v>
      </c>
      <c r="BV55" s="10"/>
      <c r="BW55" s="10">
        <v>0.5</v>
      </c>
      <c r="CA55" s="10"/>
      <c r="CB55" s="10">
        <v>0.8</v>
      </c>
      <c r="CC55" s="10"/>
      <c r="CD55" s="10">
        <v>0.8</v>
      </c>
      <c r="CH55" s="10"/>
      <c r="CI55" s="10">
        <v>0.8</v>
      </c>
      <c r="CJ55" s="10"/>
      <c r="CK55" s="10">
        <v>0.8</v>
      </c>
      <c r="CO55" s="10"/>
      <c r="CP55" s="10">
        <v>1</v>
      </c>
      <c r="CQ55" s="10"/>
      <c r="CR55" s="10">
        <v>1</v>
      </c>
      <c r="CV55" s="10"/>
      <c r="CW55" s="10"/>
      <c r="CX55" s="10"/>
      <c r="CY55" s="10"/>
      <c r="DD55" s="10"/>
      <c r="DE55" s="10"/>
      <c r="DF55" s="10"/>
      <c r="DG55" s="10"/>
      <c r="DL55" s="10"/>
      <c r="DM55" s="10"/>
      <c r="DN55" s="10"/>
      <c r="DO55" s="10"/>
      <c r="DT55" s="10"/>
      <c r="DU55" s="10"/>
      <c r="DV55" s="10"/>
      <c r="DW55" s="10"/>
      <c r="EB55" s="10"/>
      <c r="EC55" s="10"/>
      <c r="ED55" s="10"/>
      <c r="EE55" s="10"/>
      <c r="EJ55" s="10"/>
      <c r="EK55" s="10"/>
      <c r="EL55" s="10"/>
      <c r="EM55" s="10"/>
      <c r="EQ55" s="10"/>
      <c r="ER55" s="10"/>
      <c r="ES55" s="10"/>
      <c r="ET55" s="10"/>
    </row>
    <row r="56" spans="2:150" ht="16" customHeight="1" outlineLevel="1">
      <c r="E56" s="9"/>
      <c r="G56" s="10"/>
      <c r="I56" s="9"/>
      <c r="J56" s="11"/>
      <c r="K56" s="11"/>
      <c r="L56" s="9"/>
      <c r="M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F56" s="10"/>
      <c r="BG56" s="10"/>
      <c r="BH56" s="10"/>
      <c r="BI56" s="10"/>
      <c r="BM56" s="10"/>
      <c r="BN56" s="10"/>
      <c r="BO56" s="10"/>
      <c r="BP56" s="10"/>
      <c r="BT56" s="10"/>
      <c r="BU56" s="10"/>
      <c r="BV56" s="10"/>
      <c r="BW56" s="10"/>
      <c r="CA56" s="10"/>
      <c r="CB56" s="10"/>
      <c r="CC56" s="10"/>
      <c r="CD56" s="10"/>
      <c r="CH56" s="10"/>
      <c r="CI56" s="10"/>
      <c r="CJ56" s="10"/>
      <c r="CK56" s="10"/>
      <c r="CO56" s="10"/>
      <c r="CP56" s="10"/>
      <c r="CQ56" s="10"/>
      <c r="CR56" s="10"/>
      <c r="CV56" s="10"/>
      <c r="CW56" s="10"/>
      <c r="CX56" s="10"/>
      <c r="CY56" s="10"/>
      <c r="DD56" s="10"/>
      <c r="DE56" s="10"/>
      <c r="DF56" s="10"/>
      <c r="DG56" s="10"/>
      <c r="DL56" s="10"/>
      <c r="DM56" s="10"/>
      <c r="DN56" s="10"/>
      <c r="DO56" s="10"/>
      <c r="DT56" s="10"/>
      <c r="DU56" s="10"/>
      <c r="DV56" s="10"/>
      <c r="DW56" s="10"/>
      <c r="EB56" s="10"/>
      <c r="EC56" s="10"/>
      <c r="ED56" s="10"/>
      <c r="EE56" s="10"/>
      <c r="EJ56" s="10"/>
      <c r="EK56" s="10"/>
      <c r="EL56" s="10"/>
      <c r="EM56" s="10"/>
      <c r="EQ56" s="10"/>
      <c r="ER56" s="10"/>
      <c r="ES56" s="10"/>
      <c r="ET56" s="10"/>
    </row>
    <row r="57" spans="2:150" ht="16" customHeight="1" outlineLevel="1">
      <c r="C57" t="s">
        <v>126</v>
      </c>
      <c r="D57" s="19" t="s">
        <v>141</v>
      </c>
      <c r="E57" s="9"/>
      <c r="G57" s="10">
        <f>+SUM(G58:G70)</f>
        <v>1.1399999999999999</v>
      </c>
      <c r="I57" s="9">
        <f>+SUMIF($N$3:$YH$3,I$3,$N57:$YH57)</f>
        <v>0</v>
      </c>
      <c r="J57" s="11" cm="1">
        <f t="array" ref="J57">MAX(IF($N$3:$DT$3=$J$3,N57:DT57))</f>
        <v>0.8</v>
      </c>
      <c r="K57" s="11" cm="1">
        <f t="array" ref="K57">MAX(IF($N$3:$DT$3=$J$3,N57:DT57))</f>
        <v>0.8</v>
      </c>
      <c r="L57" s="9"/>
      <c r="M57" s="9"/>
      <c r="O57" s="10">
        <v>0.8</v>
      </c>
      <c r="P57" s="10"/>
      <c r="Q57" s="10">
        <v>0.5</v>
      </c>
      <c r="R57" s="10"/>
      <c r="V57" s="10"/>
      <c r="W57" s="10">
        <v>1</v>
      </c>
      <c r="X57" s="10"/>
      <c r="Y57" s="10">
        <v>1</v>
      </c>
      <c r="AC57" s="10">
        <v>0.8</v>
      </c>
      <c r="AD57" s="10">
        <v>1</v>
      </c>
      <c r="AE57" s="10">
        <v>0.5</v>
      </c>
      <c r="AF57" s="10">
        <v>1</v>
      </c>
      <c r="AJ57" s="10"/>
      <c r="AK57" s="10">
        <v>1</v>
      </c>
      <c r="AL57" s="10"/>
      <c r="AM57" s="10">
        <v>1</v>
      </c>
      <c r="AQ57" s="10"/>
      <c r="AR57" s="10">
        <v>1</v>
      </c>
      <c r="AS57" s="10"/>
      <c r="AT57" s="10">
        <v>1</v>
      </c>
      <c r="AX57" s="10"/>
      <c r="AY57" s="10">
        <v>1</v>
      </c>
      <c r="AZ57" s="10"/>
      <c r="BA57" s="10">
        <v>1</v>
      </c>
      <c r="BF57" s="10"/>
      <c r="BG57" s="10">
        <v>1</v>
      </c>
      <c r="BH57" s="10"/>
      <c r="BI57" s="10">
        <v>1</v>
      </c>
      <c r="BM57" s="10"/>
      <c r="BN57" s="10">
        <v>1</v>
      </c>
      <c r="BO57" s="10"/>
      <c r="BP57" s="10">
        <v>1</v>
      </c>
      <c r="BT57" s="10"/>
      <c r="BU57" s="10">
        <v>1</v>
      </c>
      <c r="BV57" s="10"/>
      <c r="BW57" s="10">
        <v>1</v>
      </c>
      <c r="CA57" s="10">
        <v>0.8</v>
      </c>
      <c r="CB57" s="10">
        <v>1</v>
      </c>
      <c r="CC57" s="10"/>
      <c r="CD57" s="10">
        <v>1</v>
      </c>
      <c r="CH57" s="10"/>
      <c r="CI57" s="10">
        <v>1</v>
      </c>
      <c r="CJ57" s="10"/>
      <c r="CK57" s="10">
        <v>1</v>
      </c>
      <c r="CO57" s="10"/>
      <c r="CP57" s="10">
        <v>1</v>
      </c>
      <c r="CQ57" s="10"/>
      <c r="CR57" s="10">
        <v>1</v>
      </c>
      <c r="CV57" s="10"/>
      <c r="CW57" s="10"/>
      <c r="CX57" s="10"/>
      <c r="CY57" s="10"/>
      <c r="DD57" s="10"/>
      <c r="DE57" s="10"/>
      <c r="DF57" s="10"/>
      <c r="DG57" s="10"/>
      <c r="DL57" s="10"/>
      <c r="DM57" s="10"/>
      <c r="DN57" s="10"/>
      <c r="DO57" s="10"/>
      <c r="DT57" s="10"/>
      <c r="DU57" s="10"/>
      <c r="DV57" s="10"/>
      <c r="DW57" s="10"/>
      <c r="EB57" s="10"/>
      <c r="EC57" s="10"/>
      <c r="ED57" s="10"/>
      <c r="EE57" s="10"/>
      <c r="EJ57" s="10"/>
      <c r="EK57" s="10"/>
      <c r="EL57" s="10"/>
      <c r="EM57" s="10"/>
      <c r="EQ57" s="10"/>
      <c r="ER57" s="10"/>
      <c r="ES57" s="10"/>
      <c r="ET57" s="10"/>
    </row>
    <row r="58" spans="2:150" ht="16" customHeight="1" outlineLevel="1">
      <c r="B58" t="s">
        <v>28</v>
      </c>
      <c r="C58" t="s">
        <v>132</v>
      </c>
      <c r="E58" s="9"/>
      <c r="F58" t="s">
        <v>133</v>
      </c>
      <c r="G58" s="10">
        <v>0.08</v>
      </c>
      <c r="I58" s="9">
        <f>+SUMIF($N$3:$YH$3,I$3,$N58:$YH58)</f>
        <v>0</v>
      </c>
      <c r="J58" s="11" cm="1">
        <f t="array" ref="J58">MAX(IF($N$3:$DT$3=$J$3,N58:DT58))</f>
        <v>0.8</v>
      </c>
      <c r="K58" s="11" cm="1">
        <f t="array" ref="K58">MAX(IF($N$3:$DT$3=$J$3,N58:DT58))</f>
        <v>0.8</v>
      </c>
      <c r="L58" s="9"/>
      <c r="M58" s="9"/>
      <c r="O58" s="10">
        <v>0.6</v>
      </c>
      <c r="P58" s="10"/>
      <c r="Q58" s="10">
        <v>0.3</v>
      </c>
      <c r="R58" s="10"/>
      <c r="V58" s="10"/>
      <c r="W58" s="10">
        <v>1</v>
      </c>
      <c r="X58" s="10"/>
      <c r="Y58" s="10">
        <v>1</v>
      </c>
      <c r="AC58" s="10">
        <v>0.8</v>
      </c>
      <c r="AD58" s="10">
        <v>1</v>
      </c>
      <c r="AE58" s="10">
        <v>0.5</v>
      </c>
      <c r="AF58" s="10">
        <v>1</v>
      </c>
      <c r="AJ58" s="10"/>
      <c r="AK58" s="10">
        <v>1</v>
      </c>
      <c r="AL58" s="10"/>
      <c r="AM58" s="10">
        <v>1</v>
      </c>
      <c r="AQ58" s="10"/>
      <c r="AR58" s="10">
        <v>1</v>
      </c>
      <c r="AS58" s="10"/>
      <c r="AT58" s="10">
        <v>1</v>
      </c>
      <c r="AX58" s="10"/>
      <c r="AY58" s="10">
        <v>1</v>
      </c>
      <c r="AZ58" s="10"/>
      <c r="BA58" s="10">
        <v>1</v>
      </c>
      <c r="BF58" s="10"/>
      <c r="BG58" s="10">
        <v>1</v>
      </c>
      <c r="BH58" s="10"/>
      <c r="BI58" s="10">
        <v>1</v>
      </c>
      <c r="BM58" s="10"/>
      <c r="BN58" s="10">
        <v>1</v>
      </c>
      <c r="BO58" s="10"/>
      <c r="BP58" s="10">
        <v>1</v>
      </c>
      <c r="BT58" s="10"/>
      <c r="BU58" s="10">
        <v>1</v>
      </c>
      <c r="BV58" s="10"/>
      <c r="BW58" s="10">
        <v>1</v>
      </c>
      <c r="CA58" s="10">
        <v>0.8</v>
      </c>
      <c r="CB58" s="10">
        <v>1</v>
      </c>
      <c r="CC58" s="10"/>
      <c r="CD58" s="10">
        <v>1</v>
      </c>
      <c r="CH58" s="10"/>
      <c r="CI58" s="10">
        <v>1</v>
      </c>
      <c r="CJ58" s="10"/>
      <c r="CK58" s="10">
        <v>1</v>
      </c>
      <c r="CO58" s="10"/>
      <c r="CP58" s="10">
        <v>1</v>
      </c>
      <c r="CQ58" s="10"/>
      <c r="CR58" s="10">
        <v>1</v>
      </c>
      <c r="CV58" s="10"/>
      <c r="CW58" s="10"/>
      <c r="CX58" s="10"/>
      <c r="CY58" s="10"/>
      <c r="DD58" s="10"/>
      <c r="DE58" s="10"/>
      <c r="DF58" s="10"/>
      <c r="DG58" s="10"/>
      <c r="DL58" s="10"/>
      <c r="DM58" s="10"/>
      <c r="DN58" s="10"/>
      <c r="DO58" s="10"/>
      <c r="DT58" s="10"/>
      <c r="DU58" s="10"/>
      <c r="DV58" s="10"/>
      <c r="DW58" s="10"/>
      <c r="EB58" s="10"/>
      <c r="EC58" s="10"/>
      <c r="ED58" s="10"/>
      <c r="EE58" s="10"/>
      <c r="EJ58" s="10"/>
      <c r="EK58" s="10"/>
      <c r="EL58" s="10"/>
      <c r="EM58" s="10"/>
      <c r="EQ58" s="10"/>
      <c r="ER58" s="10"/>
      <c r="ES58" s="10"/>
      <c r="ET58" s="10"/>
    </row>
    <row r="59" spans="2:150" ht="16" customHeight="1" outlineLevel="1">
      <c r="B59" t="s">
        <v>28</v>
      </c>
      <c r="E59" s="9"/>
      <c r="F59" t="s">
        <v>134</v>
      </c>
      <c r="G59" s="10">
        <v>0.08</v>
      </c>
      <c r="I59" s="9">
        <f>+SUMIF($N$3:$YH$3,I$3,$N59:$YH59)</f>
        <v>0</v>
      </c>
      <c r="J59" s="11" cm="1">
        <f t="array" ref="J59">MAX(IF($N$3:$DT$3=$J$3,N59:DT59))</f>
        <v>0.8</v>
      </c>
      <c r="K59" s="11" cm="1">
        <f t="array" ref="K59">MAX(IF($N$3:$DT$3=$J$3,N59:DT59))</f>
        <v>0.8</v>
      </c>
      <c r="L59" s="9"/>
      <c r="M59" s="9"/>
      <c r="O59" s="10"/>
      <c r="P59" s="10"/>
      <c r="Q59" s="10"/>
      <c r="R59" s="10"/>
      <c r="V59" s="10"/>
      <c r="W59" s="10">
        <v>1</v>
      </c>
      <c r="X59" s="10"/>
      <c r="Y59" s="10">
        <v>1</v>
      </c>
      <c r="AC59" s="10">
        <v>0.8</v>
      </c>
      <c r="AD59" s="10">
        <v>1</v>
      </c>
      <c r="AE59" s="10">
        <v>0.5</v>
      </c>
      <c r="AF59" s="10">
        <v>1</v>
      </c>
      <c r="AJ59" s="10"/>
      <c r="AK59" s="10">
        <v>1</v>
      </c>
      <c r="AL59" s="10"/>
      <c r="AM59" s="10">
        <v>1</v>
      </c>
      <c r="AQ59" s="10"/>
      <c r="AR59" s="10">
        <v>1</v>
      </c>
      <c r="AS59" s="10"/>
      <c r="AT59" s="10">
        <v>1</v>
      </c>
      <c r="AX59" s="10"/>
      <c r="AY59" s="10">
        <v>1</v>
      </c>
      <c r="AZ59" s="10"/>
      <c r="BA59" s="10">
        <v>1</v>
      </c>
      <c r="BF59" s="10"/>
      <c r="BG59" s="10">
        <v>1</v>
      </c>
      <c r="BH59" s="10"/>
      <c r="BI59" s="10">
        <v>1</v>
      </c>
      <c r="BM59" s="10"/>
      <c r="BN59" s="10">
        <v>1</v>
      </c>
      <c r="BO59" s="10"/>
      <c r="BP59" s="10">
        <v>1</v>
      </c>
      <c r="BT59" s="10"/>
      <c r="BU59" s="10">
        <v>1</v>
      </c>
      <c r="BV59" s="10"/>
      <c r="BW59" s="10">
        <v>1</v>
      </c>
      <c r="CA59" s="10">
        <v>0.8</v>
      </c>
      <c r="CB59" s="10">
        <v>1</v>
      </c>
      <c r="CC59" s="10"/>
      <c r="CD59" s="10">
        <v>1</v>
      </c>
      <c r="CH59" s="10"/>
      <c r="CI59" s="10">
        <v>1</v>
      </c>
      <c r="CJ59" s="10"/>
      <c r="CK59" s="10">
        <v>1</v>
      </c>
      <c r="CO59" s="10"/>
      <c r="CP59" s="10">
        <v>1</v>
      </c>
      <c r="CQ59" s="10"/>
      <c r="CR59" s="10">
        <v>1</v>
      </c>
      <c r="CV59" s="10"/>
      <c r="CW59" s="10"/>
      <c r="CX59" s="10"/>
      <c r="CY59" s="10"/>
      <c r="DD59" s="10"/>
      <c r="DE59" s="10"/>
      <c r="DF59" s="10"/>
      <c r="DG59" s="10"/>
      <c r="DL59" s="10"/>
      <c r="DM59" s="10"/>
      <c r="DN59" s="10"/>
      <c r="DO59" s="10"/>
      <c r="DT59" s="10"/>
      <c r="DU59" s="10"/>
      <c r="DV59" s="10"/>
      <c r="DW59" s="10"/>
      <c r="EB59" s="10"/>
      <c r="EC59" s="10"/>
      <c r="ED59" s="10"/>
      <c r="EE59" s="10"/>
      <c r="EJ59" s="10"/>
      <c r="EK59" s="10"/>
      <c r="EL59" s="10"/>
      <c r="EM59" s="10"/>
      <c r="EQ59" s="10"/>
      <c r="ER59" s="10"/>
      <c r="ES59" s="10"/>
      <c r="ET59" s="10"/>
    </row>
    <row r="60" spans="2:150" ht="16" customHeight="1" outlineLevel="1">
      <c r="B60" t="s">
        <v>28</v>
      </c>
      <c r="E60" s="9"/>
      <c r="F60" t="s">
        <v>135</v>
      </c>
      <c r="G60" s="10">
        <v>0.08</v>
      </c>
      <c r="I60" s="9">
        <f>+SUMIF($N$3:$YH$3,I$3,$N60:$YH60)</f>
        <v>0</v>
      </c>
      <c r="J60" s="11" cm="1">
        <f t="array" ref="J60">MAX(IF($N$3:$DT$3=$J$3,N60:DT60))</f>
        <v>0.8</v>
      </c>
      <c r="K60" s="11" cm="1">
        <f t="array" ref="K60">MAX(IF($N$3:$DT$3=$J$3,N60:DT60))</f>
        <v>0.8</v>
      </c>
      <c r="L60" s="9"/>
      <c r="M60" s="9"/>
      <c r="O60" s="10"/>
      <c r="P60" s="10"/>
      <c r="Q60" s="10"/>
      <c r="R60" s="10"/>
      <c r="V60" s="10"/>
      <c r="W60" s="10">
        <v>1</v>
      </c>
      <c r="X60" s="10"/>
      <c r="Y60" s="10">
        <v>1</v>
      </c>
      <c r="AC60" s="10"/>
      <c r="AD60" s="10">
        <v>1</v>
      </c>
      <c r="AE60" s="10"/>
      <c r="AF60" s="10">
        <v>1</v>
      </c>
      <c r="AJ60" s="10"/>
      <c r="AK60" s="10">
        <v>1</v>
      </c>
      <c r="AL60" s="10"/>
      <c r="AM60" s="10">
        <v>1</v>
      </c>
      <c r="AQ60" s="10"/>
      <c r="AR60" s="10">
        <v>1</v>
      </c>
      <c r="AS60" s="10"/>
      <c r="AT60" s="10">
        <v>1</v>
      </c>
      <c r="AX60" s="10"/>
      <c r="AY60" s="10">
        <v>1</v>
      </c>
      <c r="AZ60" s="10"/>
      <c r="BA60" s="10">
        <v>1</v>
      </c>
      <c r="BF60" s="10"/>
      <c r="BG60" s="10">
        <v>1</v>
      </c>
      <c r="BH60" s="10"/>
      <c r="BI60" s="10">
        <v>1</v>
      </c>
      <c r="BM60" s="10"/>
      <c r="BN60" s="10">
        <v>1</v>
      </c>
      <c r="BO60" s="10"/>
      <c r="BP60" s="10">
        <v>1</v>
      </c>
      <c r="BT60" s="10"/>
      <c r="BU60" s="10">
        <v>1</v>
      </c>
      <c r="BV60" s="10"/>
      <c r="BW60" s="10">
        <v>1</v>
      </c>
      <c r="CA60" s="10">
        <v>0.8</v>
      </c>
      <c r="CB60" s="10">
        <v>1</v>
      </c>
      <c r="CC60" s="10"/>
      <c r="CD60" s="10">
        <v>1</v>
      </c>
      <c r="CH60" s="10"/>
      <c r="CI60" s="10">
        <v>1</v>
      </c>
      <c r="CJ60" s="10"/>
      <c r="CK60" s="10">
        <v>1</v>
      </c>
      <c r="CO60" s="10"/>
      <c r="CP60" s="10">
        <v>1</v>
      </c>
      <c r="CQ60" s="10"/>
      <c r="CR60" s="10">
        <v>1</v>
      </c>
      <c r="CV60" s="10"/>
      <c r="CW60" s="10"/>
      <c r="CX60" s="10"/>
      <c r="CY60" s="10"/>
      <c r="DD60" s="10"/>
      <c r="DE60" s="10"/>
      <c r="DF60" s="10"/>
      <c r="DG60" s="10"/>
      <c r="DL60" s="10"/>
      <c r="DM60" s="10"/>
      <c r="DN60" s="10"/>
      <c r="DO60" s="10"/>
      <c r="DT60" s="10"/>
      <c r="DU60" s="10"/>
      <c r="DV60" s="10"/>
      <c r="DW60" s="10"/>
      <c r="EB60" s="10"/>
      <c r="EC60" s="10"/>
      <c r="ED60" s="10"/>
      <c r="EE60" s="10"/>
      <c r="EJ60" s="10"/>
      <c r="EK60" s="10"/>
      <c r="EL60" s="10"/>
      <c r="EM60" s="10"/>
      <c r="EQ60" s="10"/>
      <c r="ER60" s="10"/>
      <c r="ES60" s="10"/>
      <c r="ET60" s="10"/>
    </row>
    <row r="61" spans="2:150" ht="16" customHeight="1" outlineLevel="1">
      <c r="B61" t="s">
        <v>28</v>
      </c>
      <c r="E61" s="9"/>
      <c r="F61" t="s">
        <v>136</v>
      </c>
      <c r="G61" s="10">
        <v>0.09</v>
      </c>
      <c r="I61" s="9">
        <f>+SUMIF($N$3:$YH$3,I$3,$N61:$YH61)</f>
        <v>0</v>
      </c>
      <c r="J61" s="11" cm="1">
        <f t="array" ref="J61">MAX(IF($N$3:$DT$3=$J$3,N61:DT61))</f>
        <v>0.8</v>
      </c>
      <c r="K61" s="11" cm="1">
        <f t="array" ref="K61">MAX(IF($N$3:$DT$3=$J$3,N61:DT61))</f>
        <v>0.8</v>
      </c>
      <c r="L61" s="9"/>
      <c r="M61" s="9"/>
      <c r="O61" s="10"/>
      <c r="P61" s="10"/>
      <c r="Q61" s="10"/>
      <c r="R61" s="10"/>
      <c r="V61" s="10"/>
      <c r="W61" s="10">
        <v>0.8</v>
      </c>
      <c r="X61" s="10"/>
      <c r="Y61" s="10">
        <v>0.8</v>
      </c>
      <c r="AC61" s="10"/>
      <c r="AD61" s="10">
        <v>0.8</v>
      </c>
      <c r="AE61" s="10"/>
      <c r="AF61" s="10">
        <v>0.8</v>
      </c>
      <c r="AJ61" s="10"/>
      <c r="AK61" s="10">
        <v>1</v>
      </c>
      <c r="AL61" s="10"/>
      <c r="AM61" s="10">
        <v>1</v>
      </c>
      <c r="AQ61" s="10"/>
      <c r="AR61" s="10">
        <v>1</v>
      </c>
      <c r="AS61" s="10"/>
      <c r="AT61" s="10">
        <v>1</v>
      </c>
      <c r="AX61" s="10"/>
      <c r="AY61" s="10">
        <v>1</v>
      </c>
      <c r="AZ61" s="10"/>
      <c r="BA61" s="10">
        <v>1</v>
      </c>
      <c r="BF61" s="10"/>
      <c r="BG61" s="10">
        <v>1</v>
      </c>
      <c r="BH61" s="10"/>
      <c r="BI61" s="10">
        <v>1</v>
      </c>
      <c r="BM61" s="10"/>
      <c r="BN61" s="10">
        <v>1</v>
      </c>
      <c r="BO61" s="10"/>
      <c r="BP61" s="10">
        <v>1</v>
      </c>
      <c r="BT61" s="10"/>
      <c r="BU61" s="10">
        <v>1</v>
      </c>
      <c r="BV61" s="10"/>
      <c r="BW61" s="10">
        <v>1</v>
      </c>
      <c r="CA61" s="10">
        <v>0.8</v>
      </c>
      <c r="CB61" s="10">
        <v>1</v>
      </c>
      <c r="CC61" s="10"/>
      <c r="CD61" s="10">
        <v>1</v>
      </c>
      <c r="CH61" s="10"/>
      <c r="CI61" s="10">
        <v>1</v>
      </c>
      <c r="CJ61" s="10"/>
      <c r="CK61" s="10">
        <v>1</v>
      </c>
      <c r="CO61" s="10"/>
      <c r="CP61" s="10">
        <v>1</v>
      </c>
      <c r="CQ61" s="10"/>
      <c r="CR61" s="10">
        <v>1</v>
      </c>
      <c r="CV61" s="10"/>
      <c r="CW61" s="10"/>
      <c r="CX61" s="10"/>
      <c r="CY61" s="10"/>
      <c r="DD61" s="10"/>
      <c r="DE61" s="10"/>
      <c r="DF61" s="10"/>
      <c r="DG61" s="10"/>
      <c r="DL61" s="10"/>
      <c r="DM61" s="10"/>
      <c r="DN61" s="10"/>
      <c r="DO61" s="10"/>
      <c r="DT61" s="10"/>
      <c r="DU61" s="10"/>
      <c r="DV61" s="10"/>
      <c r="DW61" s="10"/>
      <c r="EB61" s="10"/>
      <c r="EC61" s="10"/>
      <c r="ED61" s="10"/>
      <c r="EE61" s="10"/>
      <c r="EJ61" s="10"/>
      <c r="EK61" s="10"/>
      <c r="EL61" s="10"/>
      <c r="EM61" s="10"/>
      <c r="EQ61" s="10"/>
      <c r="ER61" s="10"/>
      <c r="ES61" s="10"/>
      <c r="ET61" s="10"/>
    </row>
    <row r="62" spans="2:150" ht="16" customHeight="1" outlineLevel="1">
      <c r="B62" t="s">
        <v>28</v>
      </c>
      <c r="E62" s="9"/>
      <c r="F62" t="s">
        <v>137</v>
      </c>
      <c r="G62" s="10">
        <v>0.09</v>
      </c>
      <c r="I62" s="9">
        <f>+SUMIF($N$3:$YH$3,I$3,$N62:$YH62)</f>
        <v>0</v>
      </c>
      <c r="J62" s="11" cm="1">
        <f t="array" ref="J62">MAX(IF($N$3:$DT$3=$J$3,N62:DT62))</f>
        <v>0.8</v>
      </c>
      <c r="K62" s="11" cm="1">
        <f t="array" ref="K62">MAX(IF($N$3:$DT$3=$J$3,N62:DT62))</f>
        <v>0.8</v>
      </c>
      <c r="L62" s="9"/>
      <c r="M62" s="9"/>
      <c r="O62" s="10"/>
      <c r="P62" s="10"/>
      <c r="Q62" s="10"/>
      <c r="R62" s="10"/>
      <c r="V62" s="10"/>
      <c r="W62" s="10">
        <v>0.8</v>
      </c>
      <c r="X62" s="10"/>
      <c r="Y62" s="10">
        <v>0.8</v>
      </c>
      <c r="AC62" s="10"/>
      <c r="AD62" s="10">
        <v>0.8</v>
      </c>
      <c r="AE62" s="10"/>
      <c r="AF62" s="10">
        <v>0.8</v>
      </c>
      <c r="AJ62" s="10"/>
      <c r="AK62" s="10">
        <v>0.8</v>
      </c>
      <c r="AL62" s="10"/>
      <c r="AM62" s="10">
        <v>0.8</v>
      </c>
      <c r="AQ62" s="10"/>
      <c r="AR62" s="10">
        <v>0.8</v>
      </c>
      <c r="AS62" s="10"/>
      <c r="AT62" s="10">
        <v>0.8</v>
      </c>
      <c r="AX62" s="10"/>
      <c r="AY62" s="10">
        <v>1</v>
      </c>
      <c r="AZ62" s="10"/>
      <c r="BA62" s="10">
        <v>1</v>
      </c>
      <c r="BF62" s="10"/>
      <c r="BG62" s="10">
        <v>1</v>
      </c>
      <c r="BH62" s="10"/>
      <c r="BI62" s="10">
        <v>1</v>
      </c>
      <c r="BM62" s="10"/>
      <c r="BN62" s="10">
        <v>1</v>
      </c>
      <c r="BO62" s="10"/>
      <c r="BP62" s="10">
        <v>1</v>
      </c>
      <c r="BT62" s="10"/>
      <c r="BU62" s="10">
        <v>1</v>
      </c>
      <c r="BV62" s="10"/>
      <c r="BW62" s="10">
        <v>1</v>
      </c>
      <c r="CA62" s="10">
        <v>0.8</v>
      </c>
      <c r="CB62" s="10">
        <v>1</v>
      </c>
      <c r="CC62" s="10"/>
      <c r="CD62" s="10">
        <v>1</v>
      </c>
      <c r="CH62" s="10"/>
      <c r="CI62" s="10">
        <v>1</v>
      </c>
      <c r="CJ62" s="10"/>
      <c r="CK62" s="10">
        <v>1</v>
      </c>
      <c r="CO62" s="10"/>
      <c r="CP62" s="10">
        <v>1</v>
      </c>
      <c r="CQ62" s="10"/>
      <c r="CR62" s="10">
        <v>1</v>
      </c>
      <c r="CV62" s="10"/>
      <c r="CW62" s="10"/>
      <c r="CX62" s="10"/>
      <c r="CY62" s="10"/>
      <c r="DD62" s="10"/>
      <c r="DE62" s="10"/>
      <c r="DF62" s="10"/>
      <c r="DG62" s="10"/>
      <c r="DL62" s="10"/>
      <c r="DM62" s="10"/>
      <c r="DN62" s="10"/>
      <c r="DO62" s="10"/>
      <c r="DT62" s="10"/>
      <c r="DU62" s="10"/>
      <c r="DV62" s="10"/>
      <c r="DW62" s="10"/>
      <c r="EB62" s="10"/>
      <c r="EC62" s="10"/>
      <c r="ED62" s="10"/>
      <c r="EE62" s="10"/>
      <c r="EJ62" s="10"/>
      <c r="EK62" s="10"/>
      <c r="EL62" s="10"/>
      <c r="EM62" s="10"/>
      <c r="EQ62" s="10"/>
      <c r="ER62" s="10"/>
      <c r="ES62" s="10"/>
      <c r="ET62" s="10"/>
    </row>
    <row r="63" spans="2:150" ht="16" customHeight="1" outlineLevel="1">
      <c r="B63" t="s">
        <v>28</v>
      </c>
      <c r="E63" s="9"/>
      <c r="F63" t="s">
        <v>138</v>
      </c>
      <c r="G63" s="10">
        <v>0.09</v>
      </c>
      <c r="I63" s="9">
        <f>+SUMIF($N$3:$YH$3,I$3,$N63:$YH63)</f>
        <v>0</v>
      </c>
      <c r="J63" s="11" cm="1">
        <f t="array" ref="J63">MAX(IF($N$3:$DT$3=$J$3,N63:DT63))</f>
        <v>0.8</v>
      </c>
      <c r="K63" s="11" cm="1">
        <f t="array" ref="K63">MAX(IF($N$3:$DT$3=$J$3,N63:DT63))</f>
        <v>0.8</v>
      </c>
      <c r="L63" s="9"/>
      <c r="M63" s="9"/>
      <c r="O63" s="10"/>
      <c r="P63" s="10"/>
      <c r="Q63" s="10"/>
      <c r="R63" s="10"/>
      <c r="V63" s="10"/>
      <c r="W63" s="10">
        <v>0.8</v>
      </c>
      <c r="X63" s="10"/>
      <c r="Y63" s="10">
        <v>0.8</v>
      </c>
      <c r="AC63" s="10"/>
      <c r="AD63" s="10">
        <v>0.8</v>
      </c>
      <c r="AE63" s="10"/>
      <c r="AF63" s="10">
        <v>0.8</v>
      </c>
      <c r="AJ63" s="10"/>
      <c r="AK63" s="10">
        <v>0.8</v>
      </c>
      <c r="AL63" s="10"/>
      <c r="AM63" s="10">
        <v>0.8</v>
      </c>
      <c r="AQ63" s="10"/>
      <c r="AR63" s="10">
        <v>0.8</v>
      </c>
      <c r="AS63" s="10"/>
      <c r="AT63" s="10">
        <v>0.8</v>
      </c>
      <c r="AX63" s="10"/>
      <c r="AY63" s="10">
        <v>0.8</v>
      </c>
      <c r="AZ63" s="10"/>
      <c r="BA63" s="10">
        <v>0.8</v>
      </c>
      <c r="BF63" s="10"/>
      <c r="BG63" s="10">
        <v>1</v>
      </c>
      <c r="BH63" s="10"/>
      <c r="BI63" s="10">
        <v>1</v>
      </c>
      <c r="BM63" s="10"/>
      <c r="BN63" s="10">
        <v>1</v>
      </c>
      <c r="BO63" s="10"/>
      <c r="BP63" s="10">
        <v>1</v>
      </c>
      <c r="BT63" s="10"/>
      <c r="BU63" s="10">
        <v>1</v>
      </c>
      <c r="BV63" s="10"/>
      <c r="BW63" s="10">
        <v>1</v>
      </c>
      <c r="CA63" s="10">
        <v>0.8</v>
      </c>
      <c r="CB63" s="10">
        <v>1</v>
      </c>
      <c r="CC63" s="10"/>
      <c r="CD63" s="10">
        <v>1</v>
      </c>
      <c r="CH63" s="10"/>
      <c r="CI63" s="10">
        <v>1</v>
      </c>
      <c r="CJ63" s="10"/>
      <c r="CK63" s="10">
        <v>1</v>
      </c>
      <c r="CO63" s="10"/>
      <c r="CP63" s="10">
        <v>1</v>
      </c>
      <c r="CQ63" s="10"/>
      <c r="CR63" s="10">
        <v>1</v>
      </c>
      <c r="CV63" s="10"/>
      <c r="CW63" s="10"/>
      <c r="CX63" s="10"/>
      <c r="CY63" s="10"/>
      <c r="DD63" s="10"/>
      <c r="DE63" s="10"/>
      <c r="DF63" s="10"/>
      <c r="DG63" s="10"/>
      <c r="DL63" s="10"/>
      <c r="DM63" s="10"/>
      <c r="DN63" s="10"/>
      <c r="DO63" s="10"/>
      <c r="DT63" s="10"/>
      <c r="DU63" s="10"/>
      <c r="DV63" s="10"/>
      <c r="DW63" s="10"/>
      <c r="EB63" s="10"/>
      <c r="EC63" s="10"/>
      <c r="ED63" s="10"/>
      <c r="EE63" s="10"/>
      <c r="EJ63" s="10"/>
      <c r="EK63" s="10"/>
      <c r="EL63" s="10"/>
      <c r="EM63" s="10"/>
      <c r="EQ63" s="10"/>
      <c r="ER63" s="10"/>
      <c r="ES63" s="10"/>
      <c r="ET63" s="10"/>
    </row>
    <row r="64" spans="2:150" ht="16" customHeight="1" outlineLevel="1">
      <c r="B64" t="s">
        <v>28</v>
      </c>
      <c r="E64" s="9"/>
      <c r="F64" t="s">
        <v>139</v>
      </c>
      <c r="G64" s="10">
        <v>0.09</v>
      </c>
      <c r="I64" s="9">
        <f>+SUMIF($N$3:$YH$3,I$3,$N64:$YH64)</f>
        <v>0</v>
      </c>
      <c r="J64" s="11" cm="1">
        <f t="array" ref="J64">MAX(IF($N$3:$DT$3=$J$3,N64:DT64))</f>
        <v>0.8</v>
      </c>
      <c r="K64" s="11" cm="1">
        <f t="array" ref="K64">MAX(IF($N$3:$DT$3=$J$3,N64:DT64))</f>
        <v>0.8</v>
      </c>
      <c r="L64" s="9"/>
      <c r="M64" s="9"/>
      <c r="O64" s="10"/>
      <c r="P64" s="10"/>
      <c r="Q64" s="10"/>
      <c r="R64" s="10"/>
      <c r="V64" s="10"/>
      <c r="W64" s="10">
        <v>0.5</v>
      </c>
      <c r="X64" s="10"/>
      <c r="Y64" s="10">
        <v>0.5</v>
      </c>
      <c r="AC64" s="10"/>
      <c r="AD64" s="10">
        <v>0.8</v>
      </c>
      <c r="AE64" s="10"/>
      <c r="AF64" s="10">
        <v>0.8</v>
      </c>
      <c r="AJ64" s="10"/>
      <c r="AK64" s="10">
        <v>0.8</v>
      </c>
      <c r="AL64" s="10"/>
      <c r="AM64" s="10">
        <v>0.8</v>
      </c>
      <c r="AQ64" s="10"/>
      <c r="AR64" s="10">
        <v>0.8</v>
      </c>
      <c r="AS64" s="10"/>
      <c r="AT64" s="10">
        <v>0.8</v>
      </c>
      <c r="AX64" s="10"/>
      <c r="AY64" s="10">
        <v>0.8</v>
      </c>
      <c r="AZ64" s="10"/>
      <c r="BA64" s="10">
        <v>0.8</v>
      </c>
      <c r="BF64" s="10"/>
      <c r="BG64" s="10">
        <v>1</v>
      </c>
      <c r="BH64" s="10"/>
      <c r="BI64" s="10">
        <v>1</v>
      </c>
      <c r="BM64" s="10"/>
      <c r="BN64" s="10">
        <v>1</v>
      </c>
      <c r="BO64" s="10"/>
      <c r="BP64" s="10">
        <v>1</v>
      </c>
      <c r="BT64" s="10"/>
      <c r="BU64" s="10">
        <v>1</v>
      </c>
      <c r="BV64" s="10"/>
      <c r="BW64" s="10">
        <v>1</v>
      </c>
      <c r="CA64" s="10">
        <v>0.8</v>
      </c>
      <c r="CB64" s="10">
        <v>1</v>
      </c>
      <c r="CC64" s="10"/>
      <c r="CD64" s="10">
        <v>1</v>
      </c>
      <c r="CH64" s="10"/>
      <c r="CI64" s="10">
        <v>1</v>
      </c>
      <c r="CJ64" s="10"/>
      <c r="CK64" s="10">
        <v>1</v>
      </c>
      <c r="CO64" s="10"/>
      <c r="CP64" s="10">
        <v>1</v>
      </c>
      <c r="CQ64" s="10"/>
      <c r="CR64" s="10">
        <v>1</v>
      </c>
      <c r="CV64" s="10"/>
      <c r="CW64" s="10"/>
      <c r="CX64" s="10"/>
      <c r="CY64" s="10"/>
      <c r="DD64" s="10"/>
      <c r="DE64" s="10"/>
      <c r="DF64" s="10"/>
      <c r="DG64" s="10"/>
      <c r="DL64" s="10"/>
      <c r="DM64" s="10"/>
      <c r="DN64" s="10"/>
      <c r="DO64" s="10"/>
      <c r="DT64" s="10"/>
      <c r="DU64" s="10"/>
      <c r="DV64" s="10"/>
      <c r="DW64" s="10"/>
      <c r="EB64" s="10"/>
      <c r="EC64" s="10"/>
      <c r="ED64" s="10"/>
      <c r="EE64" s="10"/>
      <c r="EJ64" s="10"/>
      <c r="EK64" s="10"/>
      <c r="EL64" s="10"/>
      <c r="EM64" s="10"/>
      <c r="EQ64" s="10"/>
      <c r="ER64" s="10"/>
      <c r="ES64" s="10"/>
      <c r="ET64" s="10"/>
    </row>
    <row r="65" spans="2:150" ht="16" customHeight="1" outlineLevel="1">
      <c r="B65" t="s">
        <v>28</v>
      </c>
      <c r="C65" t="s">
        <v>140</v>
      </c>
      <c r="E65" s="9"/>
      <c r="G65" s="10">
        <v>0.09</v>
      </c>
      <c r="I65" s="9">
        <f>+SUMIF($N$3:$YH$3,I$3,$N65:$YH65)</f>
        <v>0</v>
      </c>
      <c r="J65" s="11" cm="1">
        <f t="array" ref="J65">MAX(IF($N$3:$DT$3=$J$3,N65:DT65))</f>
        <v>0.5</v>
      </c>
      <c r="K65" s="11" cm="1">
        <f t="array" ref="K65">MAX(IF($N$3:$DT$3=$J$3,N65:DT65))</f>
        <v>0.5</v>
      </c>
      <c r="L65" s="9"/>
      <c r="M65" s="9"/>
      <c r="O65" s="10"/>
      <c r="P65" s="10"/>
      <c r="Q65" s="10"/>
      <c r="R65" s="10"/>
      <c r="V65" s="10"/>
      <c r="W65" s="10">
        <v>0.5</v>
      </c>
      <c r="X65" s="10"/>
      <c r="Y65" s="10">
        <v>0.5</v>
      </c>
      <c r="AC65" s="10"/>
      <c r="AD65" s="10">
        <v>0.8</v>
      </c>
      <c r="AE65" s="10"/>
      <c r="AF65" s="10">
        <v>0.8</v>
      </c>
      <c r="AJ65" s="10"/>
      <c r="AK65" s="10">
        <v>0.8</v>
      </c>
      <c r="AL65" s="10"/>
      <c r="AM65" s="10">
        <v>0.8</v>
      </c>
      <c r="AQ65" s="10"/>
      <c r="AR65" s="10">
        <v>0.8</v>
      </c>
      <c r="AS65" s="10"/>
      <c r="AT65" s="10">
        <v>0.8</v>
      </c>
      <c r="AX65" s="10"/>
      <c r="AY65" s="10">
        <v>0.8</v>
      </c>
      <c r="AZ65" s="10"/>
      <c r="BA65" s="10">
        <v>0.8</v>
      </c>
      <c r="BF65" s="10"/>
      <c r="BG65" s="10">
        <v>0.8</v>
      </c>
      <c r="BH65" s="10"/>
      <c r="BI65" s="10">
        <v>0.8</v>
      </c>
      <c r="BM65" s="10"/>
      <c r="BN65" s="10">
        <v>1</v>
      </c>
      <c r="BO65" s="10"/>
      <c r="BP65" s="10">
        <v>1</v>
      </c>
      <c r="BT65" s="10"/>
      <c r="BU65" s="10">
        <v>1</v>
      </c>
      <c r="BV65" s="10"/>
      <c r="BW65" s="10">
        <v>1</v>
      </c>
      <c r="CA65" s="10">
        <v>0.5</v>
      </c>
      <c r="CB65" s="10">
        <v>1</v>
      </c>
      <c r="CC65" s="10"/>
      <c r="CD65" s="10">
        <v>1</v>
      </c>
      <c r="CH65" s="10"/>
      <c r="CI65" s="10">
        <v>1</v>
      </c>
      <c r="CJ65" s="10"/>
      <c r="CK65" s="10">
        <v>1</v>
      </c>
      <c r="CO65" s="10"/>
      <c r="CP65" s="10">
        <v>1</v>
      </c>
      <c r="CQ65" s="10"/>
      <c r="CR65" s="10">
        <v>1</v>
      </c>
      <c r="CV65" s="10"/>
      <c r="CW65" s="10"/>
      <c r="CX65" s="10"/>
      <c r="CY65" s="10"/>
      <c r="DD65" s="10"/>
      <c r="DE65" s="10"/>
      <c r="DF65" s="10"/>
      <c r="DG65" s="10"/>
      <c r="DL65" s="10"/>
      <c r="DM65" s="10"/>
      <c r="DN65" s="10"/>
      <c r="DO65" s="10"/>
      <c r="DT65" s="10"/>
      <c r="DU65" s="10"/>
      <c r="DV65" s="10"/>
      <c r="DW65" s="10"/>
      <c r="EB65" s="10"/>
      <c r="EC65" s="10"/>
      <c r="ED65" s="10"/>
      <c r="EE65" s="10"/>
      <c r="EJ65" s="10"/>
      <c r="EK65" s="10"/>
      <c r="EL65" s="10"/>
      <c r="EM65" s="10"/>
      <c r="EQ65" s="10"/>
      <c r="ER65" s="10"/>
      <c r="ES65" s="10"/>
      <c r="ET65" s="10"/>
    </row>
    <row r="66" spans="2:150" ht="16" customHeight="1" outlineLevel="1">
      <c r="B66" t="s">
        <v>28</v>
      </c>
      <c r="C66" t="s">
        <v>163</v>
      </c>
      <c r="E66" s="9"/>
      <c r="G66" s="10">
        <v>0.09</v>
      </c>
      <c r="I66" s="9">
        <f>+SUMIF($N$3:$YH$3,I$3,$N66:$YH66)</f>
        <v>0</v>
      </c>
      <c r="J66" s="11" cm="1">
        <f t="array" ref="J66">MAX(IF($N$3:$DT$3=$J$3,N66:DT66))</f>
        <v>0.5</v>
      </c>
      <c r="K66" s="11" cm="1">
        <f t="array" ref="K66">MAX(IF($N$3:$DT$3=$J$3,N66:DT66))</f>
        <v>0.5</v>
      </c>
      <c r="L66" s="9"/>
      <c r="M66" s="9"/>
      <c r="O66" s="10"/>
      <c r="P66" s="10"/>
      <c r="Q66" s="10"/>
      <c r="R66" s="10"/>
      <c r="V66" s="10"/>
      <c r="W66" s="10">
        <v>0.5</v>
      </c>
      <c r="X66" s="10"/>
      <c r="Y66" s="10">
        <v>0.5</v>
      </c>
      <c r="AC66" s="10"/>
      <c r="AD66" s="10">
        <v>0.8</v>
      </c>
      <c r="AE66" s="10"/>
      <c r="AF66" s="10">
        <v>0.8</v>
      </c>
      <c r="AJ66" s="10"/>
      <c r="AK66" s="10">
        <v>0.8</v>
      </c>
      <c r="AL66" s="10"/>
      <c r="AM66" s="10">
        <v>0.8</v>
      </c>
      <c r="AQ66" s="10"/>
      <c r="AR66" s="10">
        <v>0.8</v>
      </c>
      <c r="AS66" s="10"/>
      <c r="AT66" s="10">
        <v>0.8</v>
      </c>
      <c r="AX66" s="10"/>
      <c r="AY66" s="10">
        <v>0.8</v>
      </c>
      <c r="AZ66" s="10"/>
      <c r="BA66" s="10">
        <v>0.8</v>
      </c>
      <c r="BF66" s="10"/>
      <c r="BG66" s="10">
        <v>0.8</v>
      </c>
      <c r="BH66" s="10"/>
      <c r="BI66" s="10">
        <v>0.8</v>
      </c>
      <c r="BM66" s="10"/>
      <c r="BN66" s="10">
        <v>0.8</v>
      </c>
      <c r="BO66" s="10"/>
      <c r="BP66" s="10">
        <v>0.8</v>
      </c>
      <c r="BT66" s="10"/>
      <c r="BU66" s="10">
        <v>1</v>
      </c>
      <c r="BV66" s="10"/>
      <c r="BW66" s="10">
        <v>1</v>
      </c>
      <c r="CA66" s="10">
        <v>0.5</v>
      </c>
      <c r="CB66" s="10">
        <v>1</v>
      </c>
      <c r="CC66" s="10"/>
      <c r="CD66" s="10">
        <v>1</v>
      </c>
      <c r="CH66" s="10"/>
      <c r="CI66" s="10">
        <v>1</v>
      </c>
      <c r="CJ66" s="10"/>
      <c r="CK66" s="10">
        <v>1</v>
      </c>
      <c r="CO66" s="10"/>
      <c r="CP66" s="10">
        <v>1</v>
      </c>
      <c r="CQ66" s="10"/>
      <c r="CR66" s="10">
        <v>1</v>
      </c>
      <c r="CV66" s="10"/>
      <c r="CW66" s="10"/>
      <c r="CX66" s="10"/>
      <c r="CY66" s="10"/>
      <c r="DD66" s="10"/>
      <c r="DE66" s="10"/>
      <c r="DF66" s="10"/>
      <c r="DG66" s="10"/>
      <c r="DL66" s="10"/>
      <c r="DM66" s="10"/>
      <c r="DN66" s="10"/>
      <c r="DO66" s="10"/>
      <c r="DT66" s="10"/>
      <c r="DU66" s="10"/>
      <c r="DV66" s="10"/>
      <c r="DW66" s="10"/>
      <c r="EB66" s="10"/>
      <c r="EC66" s="10"/>
      <c r="ED66" s="10"/>
      <c r="EE66" s="10"/>
      <c r="EJ66" s="10"/>
      <c r="EK66" s="10"/>
      <c r="EL66" s="10"/>
      <c r="EM66" s="10"/>
      <c r="EQ66" s="10"/>
      <c r="ER66" s="10"/>
      <c r="ES66" s="10"/>
      <c r="ET66" s="10"/>
    </row>
    <row r="67" spans="2:150" ht="16" customHeight="1" outlineLevel="1">
      <c r="B67" t="s">
        <v>28</v>
      </c>
      <c r="E67" s="9"/>
      <c r="G67" s="10">
        <v>0.09</v>
      </c>
      <c r="I67" s="9">
        <f>+SUMIF($N$3:$YH$3,I$3,$N67:$YH67)</f>
        <v>0</v>
      </c>
      <c r="J67" s="11" cm="1">
        <f t="array" ref="J67">MAX(IF($N$3:$DT$3=$J$3,N67:DT67))</f>
        <v>0.5</v>
      </c>
      <c r="K67" s="11" cm="1">
        <f t="array" ref="K67">MAX(IF($N$3:$DT$3=$J$3,N67:DT67))</f>
        <v>0.5</v>
      </c>
      <c r="L67" s="9"/>
      <c r="M67" s="9"/>
      <c r="O67" s="10"/>
      <c r="P67" s="10"/>
      <c r="Q67" s="10"/>
      <c r="R67" s="10"/>
      <c r="V67" s="10"/>
      <c r="W67" s="10">
        <v>0.5</v>
      </c>
      <c r="X67" s="10"/>
      <c r="Y67" s="10">
        <v>0.5</v>
      </c>
      <c r="AC67" s="10"/>
      <c r="AD67" s="10">
        <v>0.5</v>
      </c>
      <c r="AE67" s="10"/>
      <c r="AF67" s="10">
        <v>0.5</v>
      </c>
      <c r="AJ67" s="10"/>
      <c r="AK67" s="10">
        <v>0.5</v>
      </c>
      <c r="AL67" s="10"/>
      <c r="AM67" s="10">
        <v>0.5</v>
      </c>
      <c r="AQ67" s="10"/>
      <c r="AR67" s="10">
        <v>0.8</v>
      </c>
      <c r="AS67" s="10"/>
      <c r="AT67" s="10">
        <v>0.8</v>
      </c>
      <c r="AX67" s="10"/>
      <c r="AY67" s="10">
        <v>0.8</v>
      </c>
      <c r="AZ67" s="10"/>
      <c r="BA67" s="10">
        <v>0.8</v>
      </c>
      <c r="BF67" s="10"/>
      <c r="BG67" s="10">
        <v>0.8</v>
      </c>
      <c r="BH67" s="10"/>
      <c r="BI67" s="10">
        <v>0.8</v>
      </c>
      <c r="BM67" s="10"/>
      <c r="BN67" s="10">
        <v>0.8</v>
      </c>
      <c r="BO67" s="10"/>
      <c r="BP67" s="10">
        <v>0.8</v>
      </c>
      <c r="BT67" s="10"/>
      <c r="BU67" s="10">
        <v>0.8</v>
      </c>
      <c r="BV67" s="10"/>
      <c r="BW67" s="10">
        <v>0.8</v>
      </c>
      <c r="CA67" s="10">
        <v>0.5</v>
      </c>
      <c r="CB67" s="10">
        <v>0.8</v>
      </c>
      <c r="CC67" s="10"/>
      <c r="CD67" s="10">
        <v>0.8</v>
      </c>
      <c r="CH67" s="10"/>
      <c r="CI67" s="10">
        <v>1</v>
      </c>
      <c r="CJ67" s="10"/>
      <c r="CK67" s="10">
        <v>1</v>
      </c>
      <c r="CO67" s="10"/>
      <c r="CP67" s="10">
        <v>1</v>
      </c>
      <c r="CQ67" s="10"/>
      <c r="CR67" s="10">
        <v>1</v>
      </c>
      <c r="CV67" s="10"/>
      <c r="CW67" s="10"/>
      <c r="CX67" s="10"/>
      <c r="CY67" s="10"/>
      <c r="DD67" s="10"/>
      <c r="DE67" s="10"/>
      <c r="DF67" s="10"/>
      <c r="DG67" s="10"/>
      <c r="DL67" s="10"/>
      <c r="DM67" s="10"/>
      <c r="DN67" s="10"/>
      <c r="DO67" s="10"/>
      <c r="DT67" s="10"/>
      <c r="DU67" s="10"/>
      <c r="DV67" s="10"/>
      <c r="DW67" s="10"/>
      <c r="EB67" s="10"/>
      <c r="EC67" s="10"/>
      <c r="ED67" s="10"/>
      <c r="EE67" s="10"/>
      <c r="EJ67" s="10"/>
      <c r="EK67" s="10"/>
      <c r="EL67" s="10"/>
      <c r="EM67" s="10"/>
      <c r="EQ67" s="10"/>
      <c r="ER67" s="10"/>
      <c r="ES67" s="10"/>
      <c r="ET67" s="10"/>
    </row>
    <row r="68" spans="2:150" ht="16" customHeight="1" outlineLevel="1">
      <c r="B68" t="s">
        <v>28</v>
      </c>
      <c r="E68" s="9"/>
      <c r="G68" s="10">
        <v>0.09</v>
      </c>
      <c r="I68" s="9">
        <f>+SUMIF($N$3:$YH$3,I$3,$N68:$YH68)</f>
        <v>0</v>
      </c>
      <c r="J68" s="11" cm="1">
        <f t="array" ref="J68">MAX(IF($N$3:$DT$3=$J$3,N68:DT68))</f>
        <v>0.5</v>
      </c>
      <c r="K68" s="11" cm="1">
        <f t="array" ref="K68">MAX(IF($N$3:$DT$3=$J$3,N68:DT68))</f>
        <v>0.5</v>
      </c>
      <c r="L68" s="9"/>
      <c r="M68" s="9"/>
      <c r="O68" s="10"/>
      <c r="P68" s="10"/>
      <c r="Q68" s="10"/>
      <c r="R68" s="10"/>
      <c r="V68" s="10"/>
      <c r="W68" s="10">
        <v>0.5</v>
      </c>
      <c r="X68" s="10"/>
      <c r="Y68" s="10">
        <v>0.5</v>
      </c>
      <c r="AC68" s="10"/>
      <c r="AD68" s="10">
        <v>0.5</v>
      </c>
      <c r="AE68" s="10"/>
      <c r="AF68" s="10">
        <v>0.5</v>
      </c>
      <c r="AJ68" s="10"/>
      <c r="AK68" s="10">
        <v>0.5</v>
      </c>
      <c r="AL68" s="10"/>
      <c r="AM68" s="10">
        <v>0.5</v>
      </c>
      <c r="AQ68" s="10"/>
      <c r="AR68" s="10">
        <v>0.5</v>
      </c>
      <c r="AS68" s="10"/>
      <c r="AT68" s="10">
        <v>0.5</v>
      </c>
      <c r="AX68" s="10"/>
      <c r="AY68" s="10">
        <v>0.5</v>
      </c>
      <c r="AZ68" s="10"/>
      <c r="BA68" s="10">
        <v>0.5</v>
      </c>
      <c r="BF68" s="10"/>
      <c r="BG68" s="10">
        <v>0.5</v>
      </c>
      <c r="BH68" s="10"/>
      <c r="BI68" s="10">
        <v>0.5</v>
      </c>
      <c r="BM68" s="10"/>
      <c r="BN68" s="10">
        <v>0.5</v>
      </c>
      <c r="BO68" s="10"/>
      <c r="BP68" s="10">
        <v>0.5</v>
      </c>
      <c r="BT68" s="10"/>
      <c r="BU68" s="10">
        <v>0.8</v>
      </c>
      <c r="BV68" s="10"/>
      <c r="BW68" s="10">
        <v>0.8</v>
      </c>
      <c r="CA68" s="10">
        <v>0.5</v>
      </c>
      <c r="CB68" s="10">
        <v>0.8</v>
      </c>
      <c r="CC68" s="10"/>
      <c r="CD68" s="10">
        <v>0.8</v>
      </c>
      <c r="CH68" s="10"/>
      <c r="CI68" s="10">
        <v>1</v>
      </c>
      <c r="CJ68" s="10"/>
      <c r="CK68" s="10">
        <v>1</v>
      </c>
      <c r="CO68" s="10"/>
      <c r="CP68" s="10">
        <v>1</v>
      </c>
      <c r="CQ68" s="10"/>
      <c r="CR68" s="10">
        <v>1</v>
      </c>
      <c r="CV68" s="10"/>
      <c r="CW68" s="10"/>
      <c r="CX68" s="10"/>
      <c r="CY68" s="10"/>
      <c r="DD68" s="10"/>
      <c r="DE68" s="10"/>
      <c r="DF68" s="10"/>
      <c r="DG68" s="10"/>
      <c r="DL68" s="10"/>
      <c r="DM68" s="10"/>
      <c r="DN68" s="10"/>
      <c r="DO68" s="10"/>
      <c r="DT68" s="10"/>
      <c r="DU68" s="10"/>
      <c r="DV68" s="10"/>
      <c r="DW68" s="10"/>
      <c r="EB68" s="10"/>
      <c r="EC68" s="10"/>
      <c r="ED68" s="10"/>
      <c r="EE68" s="10"/>
      <c r="EJ68" s="10"/>
      <c r="EK68" s="10"/>
      <c r="EL68" s="10"/>
      <c r="EM68" s="10"/>
      <c r="EQ68" s="10"/>
      <c r="ER68" s="10"/>
      <c r="ES68" s="10"/>
      <c r="ET68" s="10"/>
    </row>
    <row r="69" spans="2:150" ht="16" customHeight="1" outlineLevel="1">
      <c r="B69" t="s">
        <v>28</v>
      </c>
      <c r="E69" s="9"/>
      <c r="G69" s="10">
        <v>0.09</v>
      </c>
      <c r="I69" s="9">
        <f>+SUMIF($N$3:$YH$3,I$3,$N69:$YH69)</f>
        <v>0</v>
      </c>
      <c r="J69" s="11" cm="1">
        <f t="array" ref="J69">MAX(IF($N$3:$DT$3=$J$3,N69:DT69))</f>
        <v>0.5</v>
      </c>
      <c r="K69" s="11" cm="1">
        <f t="array" ref="K69">MAX(IF($N$3:$DT$3=$J$3,N69:DT69))</f>
        <v>0.5</v>
      </c>
      <c r="L69" s="9"/>
      <c r="M69" s="9"/>
      <c r="O69" s="10"/>
      <c r="P69" s="10"/>
      <c r="Q69" s="10"/>
      <c r="R69" s="10"/>
      <c r="V69" s="10"/>
      <c r="W69" s="10">
        <v>0.1</v>
      </c>
      <c r="X69" s="10"/>
      <c r="Y69" s="10">
        <v>0.1</v>
      </c>
      <c r="AC69" s="10"/>
      <c r="AD69" s="10">
        <v>0.1</v>
      </c>
      <c r="AE69" s="10"/>
      <c r="AF69" s="10">
        <v>0.1</v>
      </c>
      <c r="AJ69" s="10"/>
      <c r="AK69" s="10">
        <v>0.1</v>
      </c>
      <c r="AL69" s="10"/>
      <c r="AM69" s="10">
        <v>0.1</v>
      </c>
      <c r="AQ69" s="10"/>
      <c r="AR69" s="10">
        <v>0.1</v>
      </c>
      <c r="AS69" s="10"/>
      <c r="AT69" s="10">
        <v>0.1</v>
      </c>
      <c r="AX69" s="10"/>
      <c r="AY69" s="10">
        <v>0.1</v>
      </c>
      <c r="AZ69" s="10"/>
      <c r="BA69" s="10">
        <v>0.1</v>
      </c>
      <c r="BF69" s="10"/>
      <c r="BG69" s="10">
        <v>0.5</v>
      </c>
      <c r="BH69" s="10"/>
      <c r="BI69" s="10">
        <v>0.5</v>
      </c>
      <c r="BM69" s="10"/>
      <c r="BN69" s="10">
        <v>0.5</v>
      </c>
      <c r="BO69" s="10"/>
      <c r="BP69" s="10">
        <v>0.5</v>
      </c>
      <c r="BT69" s="10"/>
      <c r="BU69" s="10">
        <v>0.5</v>
      </c>
      <c r="BV69" s="10"/>
      <c r="BW69" s="10">
        <v>0.5</v>
      </c>
      <c r="CA69" s="10">
        <v>0.5</v>
      </c>
      <c r="CB69" s="10">
        <v>0.8</v>
      </c>
      <c r="CC69" s="10"/>
      <c r="CD69" s="10">
        <v>0.8</v>
      </c>
      <c r="CH69" s="10"/>
      <c r="CI69" s="10">
        <v>0.8</v>
      </c>
      <c r="CJ69" s="10"/>
      <c r="CK69" s="10">
        <v>0.8</v>
      </c>
      <c r="CO69" s="10"/>
      <c r="CP69" s="10">
        <v>1</v>
      </c>
      <c r="CQ69" s="10"/>
      <c r="CR69" s="10">
        <v>1</v>
      </c>
      <c r="CV69" s="10"/>
      <c r="CW69" s="10"/>
      <c r="CX69" s="10"/>
      <c r="CY69" s="10"/>
      <c r="DD69" s="10"/>
      <c r="DE69" s="10"/>
      <c r="DF69" s="10"/>
      <c r="DG69" s="10"/>
      <c r="DL69" s="10"/>
      <c r="DM69" s="10"/>
      <c r="DN69" s="10"/>
      <c r="DO69" s="10"/>
      <c r="DT69" s="10"/>
      <c r="DU69" s="10"/>
      <c r="DV69" s="10"/>
      <c r="DW69" s="10"/>
      <c r="EB69" s="10"/>
      <c r="EC69" s="10"/>
      <c r="ED69" s="10"/>
      <c r="EE69" s="10"/>
      <c r="EJ69" s="10"/>
      <c r="EK69" s="10"/>
      <c r="EL69" s="10"/>
      <c r="EM69" s="10"/>
      <c r="EQ69" s="10"/>
      <c r="ER69" s="10"/>
      <c r="ES69" s="10"/>
      <c r="ET69" s="10"/>
    </row>
    <row r="70" spans="2:150" ht="16" customHeight="1" outlineLevel="1">
      <c r="B70" t="s">
        <v>28</v>
      </c>
      <c r="E70" s="9"/>
      <c r="G70" s="10">
        <v>0.09</v>
      </c>
      <c r="I70" s="9">
        <f>+SUMIF($N$3:$YH$3,I$3,$N70:$YH70)</f>
        <v>0</v>
      </c>
      <c r="J70" s="11" cm="1">
        <f t="array" ref="J70">MAX(IF($N$3:$DT$3=$J$3,N70:DT70))</f>
        <v>0.5</v>
      </c>
      <c r="K70" s="11" cm="1">
        <f t="array" ref="K70">MAX(IF($N$3:$DT$3=$J$3,N70:DT70))</f>
        <v>0.5</v>
      </c>
      <c r="L70" s="9"/>
      <c r="M70" s="9"/>
      <c r="O70" s="10"/>
      <c r="P70" s="10"/>
      <c r="Q70" s="10"/>
      <c r="R70" s="10"/>
      <c r="V70" s="10"/>
      <c r="W70" s="10">
        <v>0.1</v>
      </c>
      <c r="X70" s="10"/>
      <c r="Y70" s="10">
        <v>0.1</v>
      </c>
      <c r="AC70" s="10"/>
      <c r="AD70" s="10">
        <v>0.1</v>
      </c>
      <c r="AE70" s="10"/>
      <c r="AF70" s="10">
        <v>0.1</v>
      </c>
      <c r="AJ70" s="10"/>
      <c r="AK70" s="10">
        <v>0.1</v>
      </c>
      <c r="AL70" s="10"/>
      <c r="AM70" s="10">
        <v>0.1</v>
      </c>
      <c r="AQ70" s="10"/>
      <c r="AR70" s="10">
        <v>0.1</v>
      </c>
      <c r="AS70" s="10"/>
      <c r="AT70" s="10">
        <v>0.1</v>
      </c>
      <c r="AX70" s="10"/>
      <c r="AY70" s="10">
        <v>0.1</v>
      </c>
      <c r="AZ70" s="10"/>
      <c r="BA70" s="10">
        <v>0.1</v>
      </c>
      <c r="BF70" s="10"/>
      <c r="BG70" s="10">
        <v>0.1</v>
      </c>
      <c r="BH70" s="10"/>
      <c r="BI70" s="10">
        <v>0.1</v>
      </c>
      <c r="BM70" s="10"/>
      <c r="BN70" s="10">
        <v>0.5</v>
      </c>
      <c r="BO70" s="10"/>
      <c r="BP70" s="10">
        <v>0.5</v>
      </c>
      <c r="BT70" s="10"/>
      <c r="BU70" s="10">
        <v>0.5</v>
      </c>
      <c r="BV70" s="10"/>
      <c r="BW70" s="10">
        <v>0.5</v>
      </c>
      <c r="CA70" s="10">
        <v>0.5</v>
      </c>
      <c r="CB70" s="10">
        <v>0.8</v>
      </c>
      <c r="CC70" s="10"/>
      <c r="CD70" s="10">
        <v>0.8</v>
      </c>
      <c r="CH70" s="10"/>
      <c r="CI70" s="10">
        <v>0.8</v>
      </c>
      <c r="CJ70" s="10"/>
      <c r="CK70" s="10">
        <v>0.8</v>
      </c>
      <c r="CO70" s="10"/>
      <c r="CP70" s="10">
        <v>1</v>
      </c>
      <c r="CQ70" s="10"/>
      <c r="CR70" s="10">
        <v>1</v>
      </c>
      <c r="CV70" s="10"/>
      <c r="CW70" s="10"/>
      <c r="CX70" s="10"/>
      <c r="CY70" s="10"/>
      <c r="DD70" s="10"/>
      <c r="DE70" s="10"/>
      <c r="DF70" s="10"/>
      <c r="DG70" s="10"/>
      <c r="DL70" s="10"/>
      <c r="DM70" s="10"/>
      <c r="DN70" s="10"/>
      <c r="DO70" s="10"/>
      <c r="DT70" s="10"/>
      <c r="DU70" s="10"/>
      <c r="DV70" s="10"/>
      <c r="DW70" s="10"/>
      <c r="EB70" s="10"/>
      <c r="EC70" s="10"/>
      <c r="ED70" s="10"/>
      <c r="EE70" s="10"/>
      <c r="EJ70" s="10"/>
      <c r="EK70" s="10"/>
      <c r="EL70" s="10"/>
      <c r="EM70" s="10"/>
      <c r="EQ70" s="10"/>
      <c r="ER70" s="10"/>
      <c r="ES70" s="10"/>
      <c r="ET70" s="10"/>
    </row>
    <row r="71" spans="2:150">
      <c r="E71" s="9"/>
      <c r="G71" s="10"/>
      <c r="I71" s="9"/>
      <c r="J71" s="11"/>
      <c r="K71" s="11"/>
      <c r="L71" s="9"/>
      <c r="M71" s="9"/>
    </row>
    <row r="72" spans="2:150">
      <c r="B72" t="s">
        <v>27</v>
      </c>
      <c r="C72" t="s">
        <v>106</v>
      </c>
      <c r="D72" s="19">
        <v>45838</v>
      </c>
      <c r="E72" s="9">
        <v>3</v>
      </c>
      <c r="G72" s="10">
        <f>+SUM(G73:G79)</f>
        <v>1</v>
      </c>
      <c r="I72" s="12">
        <v>9</v>
      </c>
      <c r="J72" s="11">
        <f>+SUMPRODUCT(G73:G79,J73:J79)</f>
        <v>0.34800000000000003</v>
      </c>
      <c r="K72" s="11">
        <f>+SUMPRODUCT(G73:G79,K73:K79)</f>
        <v>0.34800000000000003</v>
      </c>
      <c r="L72" s="9"/>
      <c r="M72" s="9"/>
      <c r="N72" s="12" t="s">
        <v>104</v>
      </c>
    </row>
    <row r="73" spans="2:150" ht="16" customHeight="1" outlineLevel="1">
      <c r="B73" t="s">
        <v>28</v>
      </c>
      <c r="C73" t="s">
        <v>164</v>
      </c>
      <c r="E73" s="9"/>
      <c r="G73" s="10">
        <v>0.15</v>
      </c>
      <c r="I73" s="9">
        <f>+SUMIF($N$3:$YH$3,I$3,$N73:$YH73)</f>
        <v>0</v>
      </c>
      <c r="J73" s="11" cm="1">
        <f t="array" ref="J73">MAX(IF($N$3:$DT$3=$J$3,N73:DT73))</f>
        <v>0.6</v>
      </c>
      <c r="K73" s="11" cm="1">
        <f t="array" ref="K73">MAX(IF($N$3:$DT$3=$J$3,N73:DT73))</f>
        <v>0.6</v>
      </c>
      <c r="L73" s="9"/>
      <c r="M73" s="9"/>
      <c r="O73" s="10">
        <v>0.6</v>
      </c>
      <c r="P73" s="10"/>
      <c r="Q73" s="10">
        <v>0.6</v>
      </c>
      <c r="R73" s="10"/>
      <c r="V73" s="10"/>
      <c r="W73" s="10">
        <v>1</v>
      </c>
      <c r="X73" s="10"/>
      <c r="Y73" s="10">
        <v>1</v>
      </c>
      <c r="AC73" s="10">
        <v>0.6</v>
      </c>
      <c r="AD73" s="10">
        <v>1</v>
      </c>
      <c r="AE73" s="10">
        <v>0.6</v>
      </c>
      <c r="AF73" s="10">
        <v>1</v>
      </c>
      <c r="AJ73" s="10"/>
      <c r="AK73" s="10">
        <v>1</v>
      </c>
      <c r="AL73" s="10"/>
      <c r="AM73" s="10">
        <v>1</v>
      </c>
      <c r="AQ73" s="10"/>
      <c r="AR73" s="10">
        <v>1</v>
      </c>
      <c r="AS73" s="10"/>
      <c r="AT73" s="10">
        <v>1</v>
      </c>
      <c r="AX73" s="10"/>
      <c r="AY73" s="10">
        <v>1</v>
      </c>
      <c r="AZ73" s="10"/>
      <c r="BA73" s="10">
        <v>1</v>
      </c>
      <c r="BF73" s="10"/>
      <c r="BG73" s="10">
        <v>1</v>
      </c>
      <c r="BH73" s="10"/>
      <c r="BI73" s="10">
        <v>1</v>
      </c>
      <c r="BM73" s="10"/>
      <c r="BN73" s="10">
        <v>1</v>
      </c>
      <c r="BO73" s="10"/>
      <c r="BP73" s="10">
        <v>1</v>
      </c>
      <c r="BT73" s="10"/>
      <c r="BU73" s="10">
        <v>1</v>
      </c>
      <c r="BV73" s="10"/>
      <c r="BW73" s="10">
        <v>1</v>
      </c>
      <c r="CA73" s="10"/>
      <c r="CB73" s="10">
        <v>1</v>
      </c>
      <c r="CC73" s="10"/>
      <c r="CD73" s="10">
        <v>1</v>
      </c>
      <c r="CH73" s="10"/>
      <c r="CI73" s="10">
        <v>1</v>
      </c>
      <c r="CJ73" s="10"/>
      <c r="CK73" s="10">
        <v>1</v>
      </c>
      <c r="CO73" s="10"/>
      <c r="CP73" s="10">
        <v>1</v>
      </c>
      <c r="CQ73" s="10"/>
      <c r="CR73" s="10">
        <v>1</v>
      </c>
      <c r="CV73" s="10"/>
      <c r="CW73" s="10"/>
      <c r="CX73" s="10"/>
      <c r="CY73" s="10"/>
      <c r="DD73" s="10"/>
      <c r="DE73" s="10"/>
      <c r="DF73" s="10"/>
      <c r="DG73" s="10"/>
      <c r="DL73" s="10"/>
      <c r="DM73" s="10"/>
      <c r="DN73" s="10"/>
      <c r="DO73" s="10"/>
      <c r="DT73" s="10"/>
      <c r="DU73" s="10"/>
      <c r="DV73" s="10"/>
      <c r="DW73" s="10"/>
      <c r="EB73" s="10"/>
      <c r="EC73" s="10"/>
      <c r="ED73" s="10"/>
      <c r="EE73" s="10"/>
      <c r="EJ73" s="10"/>
      <c r="EK73" s="10"/>
      <c r="EL73" s="10"/>
      <c r="EM73" s="10"/>
      <c r="EQ73" s="10"/>
      <c r="ER73" s="10"/>
      <c r="ES73" s="10"/>
      <c r="ET73" s="10"/>
    </row>
    <row r="74" spans="2:150" ht="16" customHeight="1" outlineLevel="1">
      <c r="B74" t="s">
        <v>28</v>
      </c>
      <c r="E74" s="9"/>
      <c r="G74" s="10">
        <v>0.15</v>
      </c>
      <c r="I74" s="9">
        <f>+SUMIF($N$3:$YH$3,I$3,$N74:$YH74)</f>
        <v>0</v>
      </c>
      <c r="J74" s="11" cm="1">
        <f t="array" ref="J74">MAX(IF($N$3:$DT$3=$J$3,N74:DT74))</f>
        <v>0.6</v>
      </c>
      <c r="K74" s="11" cm="1">
        <f t="array" ref="K74">MAX(IF($N$3:$DT$3=$J$3,N74:DT74))</f>
        <v>0.6</v>
      </c>
      <c r="L74" s="9"/>
      <c r="M74" s="9"/>
      <c r="O74" s="10">
        <v>0.5</v>
      </c>
      <c r="P74" s="10"/>
      <c r="Q74" s="10">
        <v>0.3</v>
      </c>
      <c r="R74" s="10"/>
      <c r="V74" s="10"/>
      <c r="W74" s="10">
        <v>1</v>
      </c>
      <c r="X74" s="10"/>
      <c r="Y74" s="10">
        <v>1</v>
      </c>
      <c r="AC74" s="10">
        <v>0.6</v>
      </c>
      <c r="AD74" s="10">
        <v>1</v>
      </c>
      <c r="AE74" s="10">
        <v>0.6</v>
      </c>
      <c r="AF74" s="10">
        <v>1</v>
      </c>
      <c r="AJ74" s="10"/>
      <c r="AK74" s="10">
        <v>1</v>
      </c>
      <c r="AL74" s="10"/>
      <c r="AM74" s="10">
        <v>1</v>
      </c>
      <c r="AQ74" s="10"/>
      <c r="AR74" s="10">
        <v>1</v>
      </c>
      <c r="AS74" s="10"/>
      <c r="AT74" s="10">
        <v>1</v>
      </c>
      <c r="AX74" s="10"/>
      <c r="AY74" s="10">
        <v>1</v>
      </c>
      <c r="AZ74" s="10"/>
      <c r="BA74" s="10">
        <v>1</v>
      </c>
      <c r="BF74" s="10"/>
      <c r="BG74" s="10">
        <v>1</v>
      </c>
      <c r="BH74" s="10"/>
      <c r="BI74" s="10">
        <v>1</v>
      </c>
      <c r="BM74" s="10"/>
      <c r="BN74" s="10">
        <v>1</v>
      </c>
      <c r="BO74" s="10"/>
      <c r="BP74" s="10">
        <v>1</v>
      </c>
      <c r="BT74" s="10"/>
      <c r="BU74" s="10">
        <v>1</v>
      </c>
      <c r="BV74" s="10"/>
      <c r="BW74" s="10">
        <v>1</v>
      </c>
      <c r="CA74" s="10"/>
      <c r="CB74" s="10">
        <v>1</v>
      </c>
      <c r="CC74" s="10"/>
      <c r="CD74" s="10">
        <v>1</v>
      </c>
      <c r="CH74" s="10"/>
      <c r="CI74" s="10">
        <v>1</v>
      </c>
      <c r="CJ74" s="10"/>
      <c r="CK74" s="10">
        <v>1</v>
      </c>
      <c r="CO74" s="10"/>
      <c r="CP74" s="10">
        <v>1</v>
      </c>
      <c r="CQ74" s="10"/>
      <c r="CR74" s="10">
        <v>1</v>
      </c>
      <c r="CV74" s="10"/>
      <c r="CW74" s="10"/>
      <c r="CX74" s="10"/>
      <c r="CY74" s="10"/>
      <c r="DD74" s="10"/>
      <c r="DE74" s="10"/>
      <c r="DF74" s="10"/>
      <c r="DG74" s="10"/>
      <c r="DL74" s="10"/>
      <c r="DM74" s="10"/>
      <c r="DN74" s="10"/>
      <c r="DO74" s="10"/>
      <c r="DT74" s="10"/>
      <c r="DU74" s="10"/>
      <c r="DV74" s="10"/>
      <c r="DW74" s="10"/>
      <c r="EB74" s="10"/>
      <c r="EC74" s="10"/>
      <c r="ED74" s="10"/>
      <c r="EE74" s="10"/>
      <c r="EJ74" s="10"/>
      <c r="EK74" s="10"/>
      <c r="EL74" s="10"/>
      <c r="EM74" s="10"/>
      <c r="EQ74" s="10"/>
      <c r="ER74" s="10"/>
      <c r="ES74" s="10"/>
      <c r="ET74" s="10"/>
    </row>
    <row r="75" spans="2:150" ht="16" customHeight="1" outlineLevel="1">
      <c r="B75" t="s">
        <v>28</v>
      </c>
      <c r="E75" s="9"/>
      <c r="G75" s="10">
        <v>0.14000000000000001</v>
      </c>
      <c r="I75" s="9">
        <f>+SUMIF($N$3:$YH$3,I$3,$N75:$YH75)</f>
        <v>0</v>
      </c>
      <c r="J75" s="11" cm="1">
        <f t="array" ref="J75">MAX(IF($N$3:$DT$3=$J$3,N75:DT75))</f>
        <v>0.6</v>
      </c>
      <c r="K75" s="11" cm="1">
        <f t="array" ref="K75">MAX(IF($N$3:$DT$3=$J$3,N75:DT75))</f>
        <v>0.6</v>
      </c>
      <c r="L75" s="9"/>
      <c r="M75" s="9"/>
      <c r="O75" s="10">
        <v>0.6</v>
      </c>
      <c r="P75" s="10"/>
      <c r="Q75" s="10">
        <v>0.3</v>
      </c>
      <c r="R75" s="10"/>
      <c r="V75" s="10"/>
      <c r="W75" s="10">
        <v>0.8</v>
      </c>
      <c r="X75" s="10"/>
      <c r="Y75" s="10">
        <v>0.8</v>
      </c>
      <c r="AC75" s="10">
        <v>0.6</v>
      </c>
      <c r="AD75" s="10">
        <v>0.8</v>
      </c>
      <c r="AE75" s="10">
        <v>0.6</v>
      </c>
      <c r="AF75" s="10">
        <v>0.8</v>
      </c>
      <c r="AJ75" s="10"/>
      <c r="AK75" s="10">
        <v>1</v>
      </c>
      <c r="AL75" s="10"/>
      <c r="AM75" s="10">
        <v>1</v>
      </c>
      <c r="AQ75" s="10"/>
      <c r="AR75" s="10">
        <v>1</v>
      </c>
      <c r="AS75" s="10"/>
      <c r="AT75" s="10">
        <v>1</v>
      </c>
      <c r="AX75" s="10"/>
      <c r="AY75" s="10">
        <v>1</v>
      </c>
      <c r="AZ75" s="10"/>
      <c r="BA75" s="10">
        <v>1</v>
      </c>
      <c r="BF75" s="10"/>
      <c r="BG75" s="10">
        <v>1</v>
      </c>
      <c r="BH75" s="10"/>
      <c r="BI75" s="10">
        <v>1</v>
      </c>
      <c r="BM75" s="10"/>
      <c r="BN75" s="10">
        <v>1</v>
      </c>
      <c r="BO75" s="10"/>
      <c r="BP75" s="10">
        <v>1</v>
      </c>
      <c r="BT75" s="10"/>
      <c r="BU75" s="10">
        <v>1</v>
      </c>
      <c r="BV75" s="10"/>
      <c r="BW75" s="10">
        <v>1</v>
      </c>
      <c r="CA75" s="10"/>
      <c r="CB75" s="10">
        <v>1</v>
      </c>
      <c r="CC75" s="10"/>
      <c r="CD75" s="10">
        <v>1</v>
      </c>
      <c r="CH75" s="10"/>
      <c r="CI75" s="10">
        <v>1</v>
      </c>
      <c r="CJ75" s="10"/>
      <c r="CK75" s="10">
        <v>1</v>
      </c>
      <c r="CO75" s="10"/>
      <c r="CP75" s="10">
        <v>1</v>
      </c>
      <c r="CQ75" s="10"/>
      <c r="CR75" s="10">
        <v>1</v>
      </c>
      <c r="CV75" s="10"/>
      <c r="CW75" s="10"/>
      <c r="CX75" s="10"/>
      <c r="CY75" s="10"/>
      <c r="DD75" s="10"/>
      <c r="DE75" s="10"/>
      <c r="DF75" s="10"/>
      <c r="DG75" s="10"/>
      <c r="DL75" s="10"/>
      <c r="DM75" s="10"/>
      <c r="DN75" s="10"/>
      <c r="DO75" s="10"/>
      <c r="DT75" s="10"/>
      <c r="DU75" s="10"/>
      <c r="DV75" s="10"/>
      <c r="DW75" s="10"/>
      <c r="EB75" s="10"/>
      <c r="EC75" s="10"/>
      <c r="ED75" s="10"/>
      <c r="EE75" s="10"/>
      <c r="EJ75" s="10"/>
      <c r="EK75" s="10"/>
      <c r="EL75" s="10"/>
      <c r="EM75" s="10"/>
      <c r="EQ75" s="10"/>
      <c r="ER75" s="10"/>
      <c r="ES75" s="10"/>
      <c r="ET75" s="10"/>
    </row>
    <row r="76" spans="2:150" ht="16" customHeight="1" outlineLevel="1">
      <c r="B76" t="s">
        <v>28</v>
      </c>
      <c r="E76" s="9"/>
      <c r="G76" s="10">
        <v>0.14000000000000001</v>
      </c>
      <c r="I76" s="9">
        <f>+SUMIF($N$3:$YH$3,I$3,$N76:$YH76)</f>
        <v>0</v>
      </c>
      <c r="J76" s="11" cm="1">
        <f t="array" ref="J76">MAX(IF($N$3:$DT$3=$J$3,N76:DT76))</f>
        <v>0.6</v>
      </c>
      <c r="K76" s="11" cm="1">
        <f t="array" ref="K76">MAX(IF($N$3:$DT$3=$J$3,N76:DT76))</f>
        <v>0.6</v>
      </c>
      <c r="L76" s="9"/>
      <c r="M76" s="9"/>
      <c r="O76" s="10"/>
      <c r="P76" s="10"/>
      <c r="Q76" s="10"/>
      <c r="R76" s="10"/>
      <c r="V76" s="10"/>
      <c r="W76" s="10">
        <v>0.8</v>
      </c>
      <c r="X76" s="10"/>
      <c r="Y76" s="10">
        <v>0.8</v>
      </c>
      <c r="AC76" s="10">
        <v>0.6</v>
      </c>
      <c r="AD76" s="10">
        <v>0.8</v>
      </c>
      <c r="AE76" s="10">
        <v>0.6</v>
      </c>
      <c r="AF76" s="10">
        <v>0.8</v>
      </c>
      <c r="AJ76" s="10"/>
      <c r="AK76" s="10">
        <v>0.8</v>
      </c>
      <c r="AL76" s="10"/>
      <c r="AM76" s="10">
        <v>0.8</v>
      </c>
      <c r="AQ76" s="10"/>
      <c r="AR76" s="10">
        <v>0.8</v>
      </c>
      <c r="AS76" s="10"/>
      <c r="AT76" s="10">
        <v>0.8</v>
      </c>
      <c r="AX76" s="10"/>
      <c r="AY76" s="10">
        <v>1</v>
      </c>
      <c r="AZ76" s="10"/>
      <c r="BA76" s="10">
        <v>1</v>
      </c>
      <c r="BF76" s="10"/>
      <c r="BG76" s="10">
        <v>1</v>
      </c>
      <c r="BH76" s="10"/>
      <c r="BI76" s="10">
        <v>1</v>
      </c>
      <c r="BM76" s="10"/>
      <c r="BN76" s="10">
        <v>1</v>
      </c>
      <c r="BO76" s="10"/>
      <c r="BP76" s="10">
        <v>1</v>
      </c>
      <c r="BT76" s="10"/>
      <c r="BU76" s="10">
        <v>1</v>
      </c>
      <c r="BV76" s="10"/>
      <c r="BW76" s="10">
        <v>1</v>
      </c>
      <c r="CA76" s="10"/>
      <c r="CB76" s="10">
        <v>1</v>
      </c>
      <c r="CC76" s="10"/>
      <c r="CD76" s="10">
        <v>1</v>
      </c>
      <c r="CH76" s="10"/>
      <c r="CI76" s="10">
        <v>1</v>
      </c>
      <c r="CJ76" s="10"/>
      <c r="CK76" s="10">
        <v>1</v>
      </c>
      <c r="CO76" s="10"/>
      <c r="CP76" s="10">
        <v>1</v>
      </c>
      <c r="CQ76" s="10"/>
      <c r="CR76" s="10">
        <v>1</v>
      </c>
      <c r="CV76" s="10"/>
      <c r="CW76" s="10"/>
      <c r="CX76" s="10"/>
      <c r="CY76" s="10"/>
      <c r="DD76" s="10"/>
      <c r="DE76" s="10"/>
      <c r="DF76" s="10"/>
      <c r="DG76" s="10"/>
      <c r="DL76" s="10"/>
      <c r="DM76" s="10"/>
      <c r="DN76" s="10"/>
      <c r="DO76" s="10"/>
      <c r="DT76" s="10"/>
      <c r="DU76" s="10"/>
      <c r="DV76" s="10"/>
      <c r="DW76" s="10"/>
      <c r="EB76" s="10"/>
      <c r="EC76" s="10"/>
      <c r="ED76" s="10"/>
      <c r="EE76" s="10"/>
      <c r="EJ76" s="10"/>
      <c r="EK76" s="10"/>
      <c r="EL76" s="10"/>
      <c r="EM76" s="10"/>
      <c r="EQ76" s="10"/>
      <c r="ER76" s="10"/>
      <c r="ES76" s="10"/>
      <c r="ET76" s="10"/>
    </row>
    <row r="77" spans="2:150" ht="16" customHeight="1" outlineLevel="1">
      <c r="B77" t="s">
        <v>28</v>
      </c>
      <c r="E77" s="9"/>
      <c r="G77" s="10">
        <v>0.14000000000000001</v>
      </c>
      <c r="I77" s="9">
        <f>+SUMIF($N$3:$YH$3,I$3,$N77:$YH77)</f>
        <v>0</v>
      </c>
      <c r="J77" s="11" cm="1">
        <f t="array" ref="J77">MAX(IF($N$3:$DT$3=$J$3,N77:DT77))</f>
        <v>0</v>
      </c>
      <c r="K77" s="11" cm="1">
        <f t="array" ref="K77">MAX(IF($N$3:$DT$3=$J$3,N77:DT77))</f>
        <v>0</v>
      </c>
      <c r="L77" s="9"/>
      <c r="M77" s="9"/>
      <c r="O77" s="10"/>
      <c r="P77" s="10"/>
      <c r="Q77" s="10"/>
      <c r="R77" s="10"/>
      <c r="V77" s="10"/>
      <c r="W77" s="10">
        <v>0.5</v>
      </c>
      <c r="X77" s="10"/>
      <c r="Y77" s="10">
        <v>0.5</v>
      </c>
      <c r="AC77" s="10"/>
      <c r="AD77" s="10">
        <v>0.8</v>
      </c>
      <c r="AE77" s="10"/>
      <c r="AF77" s="10">
        <v>0.8</v>
      </c>
      <c r="AJ77" s="10"/>
      <c r="AK77" s="10">
        <v>0.8</v>
      </c>
      <c r="AL77" s="10"/>
      <c r="AM77" s="10">
        <v>0.8</v>
      </c>
      <c r="AQ77" s="10"/>
      <c r="AR77" s="10">
        <v>0.8</v>
      </c>
      <c r="AS77" s="10"/>
      <c r="AT77" s="10">
        <v>0.8</v>
      </c>
      <c r="AX77" s="10"/>
      <c r="AY77" s="10">
        <v>0.8</v>
      </c>
      <c r="AZ77" s="10"/>
      <c r="BA77" s="10">
        <v>0.8</v>
      </c>
      <c r="BF77" s="10"/>
      <c r="BG77" s="10">
        <v>1</v>
      </c>
      <c r="BH77" s="10"/>
      <c r="BI77" s="10">
        <v>1</v>
      </c>
      <c r="BM77" s="10"/>
      <c r="BN77" s="10">
        <v>1</v>
      </c>
      <c r="BO77" s="10"/>
      <c r="BP77" s="10">
        <v>1</v>
      </c>
      <c r="BT77" s="10"/>
      <c r="BU77" s="10">
        <v>1</v>
      </c>
      <c r="BV77" s="10"/>
      <c r="BW77" s="10">
        <v>1</v>
      </c>
      <c r="CA77" s="10"/>
      <c r="CB77" s="10">
        <v>1</v>
      </c>
      <c r="CC77" s="10"/>
      <c r="CD77" s="10">
        <v>1</v>
      </c>
      <c r="CH77" s="10"/>
      <c r="CI77" s="10">
        <v>1</v>
      </c>
      <c r="CJ77" s="10"/>
      <c r="CK77" s="10">
        <v>1</v>
      </c>
      <c r="CO77" s="10"/>
      <c r="CP77" s="10">
        <v>1</v>
      </c>
      <c r="CQ77" s="10"/>
      <c r="CR77" s="10">
        <v>1</v>
      </c>
      <c r="CV77" s="10"/>
      <c r="CW77" s="10"/>
      <c r="CX77" s="10"/>
      <c r="CY77" s="10"/>
      <c r="DD77" s="10"/>
      <c r="DE77" s="10"/>
      <c r="DF77" s="10"/>
      <c r="DG77" s="10"/>
      <c r="DL77" s="10"/>
      <c r="DM77" s="10"/>
      <c r="DN77" s="10"/>
      <c r="DO77" s="10"/>
      <c r="DT77" s="10"/>
      <c r="DU77" s="10"/>
      <c r="DV77" s="10"/>
      <c r="DW77" s="10"/>
      <c r="EB77" s="10"/>
      <c r="EC77" s="10"/>
      <c r="ED77" s="10"/>
      <c r="EE77" s="10"/>
      <c r="EJ77" s="10"/>
      <c r="EK77" s="10"/>
      <c r="EL77" s="10"/>
      <c r="EM77" s="10"/>
      <c r="EQ77" s="10"/>
      <c r="ER77" s="10"/>
      <c r="ES77" s="10"/>
      <c r="ET77" s="10"/>
    </row>
    <row r="78" spans="2:150" ht="16" customHeight="1" outlineLevel="1">
      <c r="B78" t="s">
        <v>28</v>
      </c>
      <c r="E78" s="9"/>
      <c r="G78" s="10">
        <v>0.14000000000000001</v>
      </c>
      <c r="I78" s="9">
        <f>+SUMIF($N$3:$YH$3,I$3,$N78:$YH78)</f>
        <v>0</v>
      </c>
      <c r="J78" s="11" cm="1">
        <f t="array" ref="J78">MAX(IF($N$3:$DT$3=$J$3,N78:DT78))</f>
        <v>0</v>
      </c>
      <c r="K78" s="11" cm="1">
        <f t="array" ref="K78">MAX(IF($N$3:$DT$3=$J$3,N78:DT78))</f>
        <v>0</v>
      </c>
      <c r="L78" s="9"/>
      <c r="M78" s="9"/>
      <c r="O78" s="10"/>
      <c r="P78" s="10"/>
      <c r="Q78" s="10"/>
      <c r="R78" s="10"/>
      <c r="V78" s="10"/>
      <c r="W78" s="10">
        <v>0.5</v>
      </c>
      <c r="X78" s="10"/>
      <c r="Y78" s="10">
        <v>0.5</v>
      </c>
      <c r="AC78" s="10"/>
      <c r="AD78" s="10">
        <v>0.5</v>
      </c>
      <c r="AE78" s="10"/>
      <c r="AF78" s="10">
        <v>0.5</v>
      </c>
      <c r="AJ78" s="10"/>
      <c r="AK78" s="10">
        <v>0.5</v>
      </c>
      <c r="AL78" s="10"/>
      <c r="AM78" s="10">
        <v>0.5</v>
      </c>
      <c r="AQ78" s="10"/>
      <c r="AR78" s="10">
        <v>0.8</v>
      </c>
      <c r="AS78" s="10"/>
      <c r="AT78" s="10">
        <v>0.8</v>
      </c>
      <c r="AX78" s="10"/>
      <c r="AY78" s="10">
        <v>0.8</v>
      </c>
      <c r="AZ78" s="10"/>
      <c r="BA78" s="10">
        <v>0.8</v>
      </c>
      <c r="BF78" s="10"/>
      <c r="BG78" s="10">
        <v>1</v>
      </c>
      <c r="BH78" s="10"/>
      <c r="BI78" s="10">
        <v>1</v>
      </c>
      <c r="BM78" s="10"/>
      <c r="BN78" s="10">
        <v>1</v>
      </c>
      <c r="BO78" s="10"/>
      <c r="BP78" s="10">
        <v>1</v>
      </c>
      <c r="BT78" s="10"/>
      <c r="BU78" s="10">
        <v>1</v>
      </c>
      <c r="BV78" s="10"/>
      <c r="BW78" s="10">
        <v>1</v>
      </c>
      <c r="CA78" s="10"/>
      <c r="CB78" s="10">
        <v>1</v>
      </c>
      <c r="CC78" s="10"/>
      <c r="CD78" s="10">
        <v>1</v>
      </c>
      <c r="CH78" s="10"/>
      <c r="CI78" s="10">
        <v>1</v>
      </c>
      <c r="CJ78" s="10"/>
      <c r="CK78" s="10">
        <v>1</v>
      </c>
      <c r="CO78" s="10"/>
      <c r="CP78" s="10">
        <v>1</v>
      </c>
      <c r="CQ78" s="10"/>
      <c r="CR78" s="10">
        <v>1</v>
      </c>
      <c r="CV78" s="10"/>
      <c r="CW78" s="10"/>
      <c r="CX78" s="10"/>
      <c r="CY78" s="10"/>
      <c r="DD78" s="10"/>
      <c r="DE78" s="10"/>
      <c r="DF78" s="10"/>
      <c r="DG78" s="10"/>
      <c r="DL78" s="10"/>
      <c r="DM78" s="10"/>
      <c r="DN78" s="10"/>
      <c r="DO78" s="10"/>
      <c r="DT78" s="10"/>
      <c r="DU78" s="10"/>
      <c r="DV78" s="10"/>
      <c r="DW78" s="10"/>
      <c r="EB78" s="10"/>
      <c r="EC78" s="10"/>
      <c r="ED78" s="10"/>
      <c r="EE78" s="10"/>
      <c r="EJ78" s="10"/>
      <c r="EK78" s="10"/>
      <c r="EL78" s="10"/>
      <c r="EM78" s="10"/>
      <c r="EQ78" s="10"/>
      <c r="ER78" s="10"/>
      <c r="ES78" s="10"/>
      <c r="ET78" s="10"/>
    </row>
    <row r="79" spans="2:150" ht="16" customHeight="1" outlineLevel="1">
      <c r="B79" t="s">
        <v>28</v>
      </c>
      <c r="E79" s="9"/>
      <c r="G79" s="10">
        <v>0.14000000000000001</v>
      </c>
      <c r="I79" s="9">
        <f>+SUMIF($N$3:$YH$3,I$3,$N79:$YH79)</f>
        <v>0</v>
      </c>
      <c r="J79" s="11" cm="1">
        <f t="array" ref="J79">MAX(IF($N$3:$DT$3=$J$3,N79:DT79))</f>
        <v>0</v>
      </c>
      <c r="K79" s="11" cm="1">
        <f t="array" ref="K79">MAX(IF($N$3:$DT$3=$J$3,N79:DT79))</f>
        <v>0</v>
      </c>
      <c r="L79" s="9"/>
      <c r="M79" s="9"/>
      <c r="O79" s="10"/>
      <c r="P79" s="10"/>
      <c r="Q79" s="10"/>
      <c r="R79" s="10"/>
      <c r="V79" s="10"/>
      <c r="W79" s="10">
        <v>0.1</v>
      </c>
      <c r="X79" s="10"/>
      <c r="Y79" s="10">
        <v>0.1</v>
      </c>
      <c r="AC79" s="10"/>
      <c r="AD79" s="10">
        <v>0.1</v>
      </c>
      <c r="AE79" s="10"/>
      <c r="AF79" s="10">
        <v>0.1</v>
      </c>
      <c r="AJ79" s="10"/>
      <c r="AK79" s="10">
        <v>0.5</v>
      </c>
      <c r="AL79" s="10"/>
      <c r="AM79" s="10">
        <v>0.5</v>
      </c>
      <c r="AQ79" s="10"/>
      <c r="AR79" s="10">
        <v>0.5</v>
      </c>
      <c r="AS79" s="10"/>
      <c r="AT79" s="10">
        <v>0.5</v>
      </c>
      <c r="AX79" s="10"/>
      <c r="AY79" s="10">
        <v>0.8</v>
      </c>
      <c r="AZ79" s="10"/>
      <c r="BA79" s="10">
        <v>0.8</v>
      </c>
      <c r="BF79" s="10"/>
      <c r="BG79" s="10">
        <v>0.8</v>
      </c>
      <c r="BH79" s="10"/>
      <c r="BI79" s="10">
        <v>0.8</v>
      </c>
      <c r="BM79" s="10"/>
      <c r="BN79" s="10">
        <v>1</v>
      </c>
      <c r="BO79" s="10"/>
      <c r="BP79" s="10">
        <v>1</v>
      </c>
      <c r="BT79" s="10"/>
      <c r="BU79" s="10">
        <v>1</v>
      </c>
      <c r="BV79" s="10"/>
      <c r="BW79" s="10">
        <v>1</v>
      </c>
      <c r="CA79" s="10"/>
      <c r="CB79" s="10">
        <v>1</v>
      </c>
      <c r="CC79" s="10"/>
      <c r="CD79" s="10">
        <v>1</v>
      </c>
      <c r="CH79" s="10"/>
      <c r="CI79" s="10">
        <v>1</v>
      </c>
      <c r="CJ79" s="10"/>
      <c r="CK79" s="10">
        <v>1</v>
      </c>
      <c r="CO79" s="10"/>
      <c r="CP79" s="10">
        <v>1</v>
      </c>
      <c r="CQ79" s="10"/>
      <c r="CR79" s="10">
        <v>1</v>
      </c>
      <c r="CV79" s="10"/>
      <c r="CW79" s="10"/>
      <c r="CX79" s="10"/>
      <c r="CY79" s="10"/>
      <c r="DD79" s="10"/>
      <c r="DE79" s="10"/>
      <c r="DF79" s="10"/>
      <c r="DG79" s="10"/>
      <c r="DL79" s="10"/>
      <c r="DM79" s="10"/>
      <c r="DN79" s="10"/>
      <c r="DO79" s="10"/>
      <c r="DT79" s="10"/>
      <c r="DU79" s="10"/>
      <c r="DV79" s="10"/>
      <c r="DW79" s="10"/>
      <c r="EB79" s="10"/>
      <c r="EC79" s="10"/>
      <c r="ED79" s="10"/>
      <c r="EE79" s="10"/>
      <c r="EJ79" s="10"/>
      <c r="EK79" s="10"/>
      <c r="EL79" s="10"/>
      <c r="EM79" s="10"/>
      <c r="EQ79" s="10"/>
      <c r="ER79" s="10"/>
      <c r="ES79" s="10"/>
      <c r="ET79" s="10"/>
    </row>
    <row r="80" spans="2:150" ht="16" customHeight="1" outlineLevel="1">
      <c r="B80" t="s">
        <v>28</v>
      </c>
      <c r="E80" s="9"/>
      <c r="G80" s="10">
        <v>0.14000000000000001</v>
      </c>
      <c r="I80" s="9">
        <f>+SUMIF($N$3:$YH$3,I$3,$N80:$YH80)</f>
        <v>0</v>
      </c>
      <c r="J80" s="11" cm="1">
        <f t="array" ref="J80">MAX(IF($N$3:$DT$3=$J$3,N80:DT80))</f>
        <v>0</v>
      </c>
      <c r="K80" s="11" cm="1">
        <f t="array" ref="K80">MAX(IF($N$3:$DT$3=$J$3,N80:DT80))</f>
        <v>0</v>
      </c>
      <c r="L80" s="9"/>
      <c r="M80" s="9"/>
      <c r="O80" s="10"/>
      <c r="P80" s="10"/>
      <c r="Q80" s="10"/>
      <c r="R80" s="10"/>
      <c r="V80" s="10"/>
      <c r="W80" s="10">
        <v>0.1</v>
      </c>
      <c r="X80" s="10"/>
      <c r="Y80" s="10">
        <v>0.1</v>
      </c>
      <c r="AC80" s="10"/>
      <c r="AD80" s="10">
        <v>0.1</v>
      </c>
      <c r="AE80" s="10"/>
      <c r="AF80" s="10">
        <v>0.1</v>
      </c>
      <c r="AJ80" s="10"/>
      <c r="AK80" s="10">
        <v>0.1</v>
      </c>
      <c r="AL80" s="10"/>
      <c r="AM80" s="10">
        <v>0.1</v>
      </c>
      <c r="AQ80" s="10"/>
      <c r="AR80" s="10">
        <v>0.1</v>
      </c>
      <c r="AS80" s="10"/>
      <c r="AT80" s="10">
        <v>0.1</v>
      </c>
      <c r="AX80" s="10"/>
      <c r="AY80" s="10">
        <v>0.5</v>
      </c>
      <c r="AZ80" s="10"/>
      <c r="BA80" s="10">
        <v>0.5</v>
      </c>
      <c r="BF80" s="10"/>
      <c r="BG80" s="10">
        <v>0.8</v>
      </c>
      <c r="BH80" s="10"/>
      <c r="BI80" s="10">
        <v>0.8</v>
      </c>
      <c r="BM80" s="10"/>
      <c r="BN80" s="10">
        <v>0.8</v>
      </c>
      <c r="BO80" s="10"/>
      <c r="BP80" s="10">
        <v>0.8</v>
      </c>
      <c r="BT80" s="10"/>
      <c r="BU80" s="10">
        <v>1</v>
      </c>
      <c r="BV80" s="10"/>
      <c r="BW80" s="10">
        <v>1</v>
      </c>
      <c r="CA80" s="10"/>
      <c r="CB80" s="10">
        <v>1</v>
      </c>
      <c r="CC80" s="10"/>
      <c r="CD80" s="10">
        <v>1</v>
      </c>
      <c r="CH80" s="10"/>
      <c r="CI80" s="10">
        <v>1</v>
      </c>
      <c r="CJ80" s="10"/>
      <c r="CK80" s="10">
        <v>1</v>
      </c>
      <c r="CO80" s="10"/>
      <c r="CP80" s="10">
        <v>1</v>
      </c>
      <c r="CQ80" s="10"/>
      <c r="CR80" s="10">
        <v>1</v>
      </c>
      <c r="CV80" s="10"/>
      <c r="CW80" s="10"/>
      <c r="CX80" s="10"/>
      <c r="CY80" s="10"/>
      <c r="DD80" s="10"/>
      <c r="DE80" s="10"/>
      <c r="DF80" s="10"/>
      <c r="DG80" s="10"/>
      <c r="DL80" s="10"/>
      <c r="DM80" s="10"/>
      <c r="DN80" s="10"/>
      <c r="DO80" s="10"/>
      <c r="DT80" s="10"/>
      <c r="DU80" s="10"/>
      <c r="DV80" s="10"/>
      <c r="DW80" s="10"/>
      <c r="EB80" s="10"/>
      <c r="EC80" s="10"/>
      <c r="ED80" s="10"/>
      <c r="EE80" s="10"/>
      <c r="EJ80" s="10"/>
      <c r="EK80" s="10"/>
      <c r="EL80" s="10"/>
      <c r="EM80" s="10"/>
      <c r="EQ80" s="10"/>
      <c r="ER80" s="10"/>
      <c r="ES80" s="10"/>
      <c r="ET80" s="10"/>
    </row>
    <row r="81" spans="2:150" ht="16" customHeight="1" outlineLevel="1">
      <c r="B81" t="s">
        <v>28</v>
      </c>
      <c r="E81" s="9"/>
      <c r="G81" s="10">
        <v>0.14000000000000001</v>
      </c>
      <c r="I81" s="9">
        <f>+SUMIF($N$3:$YH$3,I$3,$N81:$YH81)</f>
        <v>0</v>
      </c>
      <c r="J81" s="11" cm="1">
        <f t="array" ref="J81">MAX(IF($N$3:$DT$3=$J$3,N81:DT81))</f>
        <v>0</v>
      </c>
      <c r="K81" s="11" cm="1">
        <f t="array" ref="K81">MAX(IF($N$3:$DT$3=$J$3,N81:DT81))</f>
        <v>0</v>
      </c>
      <c r="L81" s="9"/>
      <c r="M81" s="9"/>
      <c r="O81" s="10"/>
      <c r="P81" s="10"/>
      <c r="Q81" s="10"/>
      <c r="R81" s="10"/>
      <c r="V81" s="10"/>
      <c r="W81" s="10">
        <v>0.1</v>
      </c>
      <c r="X81" s="10"/>
      <c r="Y81" s="10">
        <v>0.1</v>
      </c>
      <c r="AC81" s="10"/>
      <c r="AD81" s="10">
        <v>0.1</v>
      </c>
      <c r="AE81" s="10"/>
      <c r="AF81" s="10">
        <v>0.1</v>
      </c>
      <c r="AJ81" s="10"/>
      <c r="AK81" s="10">
        <v>0.1</v>
      </c>
      <c r="AL81" s="10"/>
      <c r="AM81" s="10">
        <v>0.1</v>
      </c>
      <c r="AQ81" s="10"/>
      <c r="AR81" s="10">
        <v>0.1</v>
      </c>
      <c r="AS81" s="10"/>
      <c r="AT81" s="10">
        <v>0.1</v>
      </c>
      <c r="AX81" s="10"/>
      <c r="AY81" s="10">
        <v>0.1</v>
      </c>
      <c r="AZ81" s="10"/>
      <c r="BA81" s="10">
        <v>0.1</v>
      </c>
      <c r="BF81" s="10"/>
      <c r="BG81" s="10">
        <v>0.8</v>
      </c>
      <c r="BH81" s="10"/>
      <c r="BI81" s="10">
        <v>0.8</v>
      </c>
      <c r="BM81" s="10"/>
      <c r="BN81" s="10">
        <v>0.8</v>
      </c>
      <c r="BO81" s="10"/>
      <c r="BP81" s="10">
        <v>0.8</v>
      </c>
      <c r="BT81" s="10"/>
      <c r="BU81" s="10">
        <v>0.8</v>
      </c>
      <c r="BV81" s="10"/>
      <c r="BW81" s="10">
        <v>0.8</v>
      </c>
      <c r="CA81" s="10"/>
      <c r="CB81" s="10">
        <v>0.8</v>
      </c>
      <c r="CC81" s="10"/>
      <c r="CD81" s="10">
        <v>0.8</v>
      </c>
      <c r="CH81" s="10"/>
      <c r="CI81" s="10">
        <v>1</v>
      </c>
      <c r="CJ81" s="10"/>
      <c r="CK81" s="10">
        <v>1</v>
      </c>
      <c r="CO81" s="10"/>
      <c r="CP81" s="10">
        <v>1</v>
      </c>
      <c r="CQ81" s="10"/>
      <c r="CR81" s="10">
        <v>1</v>
      </c>
      <c r="CV81" s="10"/>
      <c r="CW81" s="10"/>
      <c r="CX81" s="10"/>
      <c r="CY81" s="10"/>
      <c r="DD81" s="10"/>
      <c r="DE81" s="10"/>
      <c r="DF81" s="10"/>
      <c r="DG81" s="10"/>
      <c r="DL81" s="10"/>
      <c r="DM81" s="10"/>
      <c r="DN81" s="10"/>
      <c r="DO81" s="10"/>
      <c r="DT81" s="10"/>
      <c r="DU81" s="10"/>
      <c r="DV81" s="10"/>
      <c r="DW81" s="10"/>
      <c r="EB81" s="10"/>
      <c r="EC81" s="10"/>
      <c r="ED81" s="10"/>
      <c r="EE81" s="10"/>
      <c r="EJ81" s="10"/>
      <c r="EK81" s="10"/>
      <c r="EL81" s="10"/>
      <c r="EM81" s="10"/>
      <c r="EQ81" s="10"/>
      <c r="ER81" s="10"/>
      <c r="ES81" s="10"/>
      <c r="ET81" s="10"/>
    </row>
    <row r="82" spans="2:150" ht="16" customHeight="1" outlineLevel="1">
      <c r="B82" t="s">
        <v>28</v>
      </c>
      <c r="E82" s="9"/>
      <c r="G82" s="10">
        <v>0.14000000000000001</v>
      </c>
      <c r="I82" s="9">
        <f>+SUMIF($N$3:$YH$3,I$3,$N82:$YH82)</f>
        <v>0</v>
      </c>
      <c r="J82" s="11" cm="1">
        <f t="array" ref="J82">MAX(IF($N$3:$DT$3=$J$3,N82:DT82))</f>
        <v>0</v>
      </c>
      <c r="K82" s="11" cm="1">
        <f t="array" ref="K82">MAX(IF($N$3:$DT$3=$J$3,N82:DT82))</f>
        <v>0</v>
      </c>
      <c r="L82" s="9"/>
      <c r="M82" s="9"/>
      <c r="O82" s="10"/>
      <c r="P82" s="10"/>
      <c r="Q82" s="10"/>
      <c r="R82" s="10"/>
      <c r="V82" s="10"/>
      <c r="W82" s="10">
        <v>0.1</v>
      </c>
      <c r="X82" s="10"/>
      <c r="Y82" s="10">
        <v>0.1</v>
      </c>
      <c r="AC82" s="10"/>
      <c r="AD82" s="10">
        <v>0.1</v>
      </c>
      <c r="AE82" s="10"/>
      <c r="AF82" s="10">
        <v>0.1</v>
      </c>
      <c r="AJ82" s="10"/>
      <c r="AK82" s="10">
        <v>0.1</v>
      </c>
      <c r="AL82" s="10"/>
      <c r="AM82" s="10">
        <v>0.1</v>
      </c>
      <c r="AQ82" s="10"/>
      <c r="AR82" s="10">
        <v>0.1</v>
      </c>
      <c r="AS82" s="10"/>
      <c r="AT82" s="10">
        <v>0.1</v>
      </c>
      <c r="AX82" s="10"/>
      <c r="AY82" s="10">
        <v>0.1</v>
      </c>
      <c r="AZ82" s="10"/>
      <c r="BA82" s="10">
        <v>0.1</v>
      </c>
      <c r="BF82" s="10"/>
      <c r="BG82" s="10">
        <v>0.5</v>
      </c>
      <c r="BH82" s="10"/>
      <c r="BI82" s="10">
        <v>0.5</v>
      </c>
      <c r="BM82" s="10"/>
      <c r="BN82" s="10">
        <v>0.5</v>
      </c>
      <c r="BO82" s="10"/>
      <c r="BP82" s="10">
        <v>0.5</v>
      </c>
      <c r="BT82" s="10"/>
      <c r="BU82" s="10">
        <v>0.8</v>
      </c>
      <c r="BV82" s="10"/>
      <c r="BW82" s="10">
        <v>0.8</v>
      </c>
      <c r="CA82" s="10"/>
      <c r="CB82" s="10">
        <v>0.8</v>
      </c>
      <c r="CC82" s="10"/>
      <c r="CD82" s="10">
        <v>0.8</v>
      </c>
      <c r="CH82" s="10"/>
      <c r="CI82" s="10">
        <v>1</v>
      </c>
      <c r="CJ82" s="10"/>
      <c r="CK82" s="10">
        <v>1</v>
      </c>
      <c r="CO82" s="10"/>
      <c r="CP82" s="10">
        <v>1</v>
      </c>
      <c r="CQ82" s="10"/>
      <c r="CR82" s="10">
        <v>1</v>
      </c>
      <c r="CV82" s="10"/>
      <c r="CW82" s="10"/>
      <c r="CX82" s="10"/>
      <c r="CY82" s="10"/>
      <c r="DD82" s="10"/>
      <c r="DE82" s="10"/>
      <c r="DF82" s="10"/>
      <c r="DG82" s="10"/>
      <c r="DL82" s="10"/>
      <c r="DM82" s="10"/>
      <c r="DN82" s="10"/>
      <c r="DO82" s="10"/>
      <c r="DT82" s="10"/>
      <c r="DU82" s="10"/>
      <c r="DV82" s="10"/>
      <c r="DW82" s="10"/>
      <c r="EB82" s="10"/>
      <c r="EC82" s="10"/>
      <c r="ED82" s="10"/>
      <c r="EE82" s="10"/>
      <c r="EJ82" s="10"/>
      <c r="EK82" s="10"/>
      <c r="EL82" s="10"/>
      <c r="EM82" s="10"/>
      <c r="EQ82" s="10"/>
      <c r="ER82" s="10"/>
      <c r="ES82" s="10"/>
      <c r="ET82" s="10"/>
    </row>
    <row r="83" spans="2:150" ht="16" customHeight="1" outlineLevel="1">
      <c r="B83" t="s">
        <v>28</v>
      </c>
      <c r="E83" s="9"/>
      <c r="G83" s="10">
        <v>0.14000000000000001</v>
      </c>
      <c r="I83" s="9">
        <f>+SUMIF($N$3:$YH$3,I$3,$N83:$YH83)</f>
        <v>0</v>
      </c>
      <c r="J83" s="11" cm="1">
        <f t="array" ref="J83">MAX(IF($N$3:$DT$3=$J$3,N83:DT83))</f>
        <v>0</v>
      </c>
      <c r="K83" s="11" cm="1">
        <f t="array" ref="K83">MAX(IF($N$3:$DT$3=$J$3,N83:DT83))</f>
        <v>0</v>
      </c>
      <c r="L83" s="9"/>
      <c r="M83" s="9"/>
      <c r="O83" s="10"/>
      <c r="P83" s="10"/>
      <c r="Q83" s="10"/>
      <c r="R83" s="10"/>
      <c r="V83" s="10"/>
      <c r="W83" s="10">
        <v>0.1</v>
      </c>
      <c r="X83" s="10"/>
      <c r="Y83" s="10">
        <v>0.1</v>
      </c>
      <c r="AC83" s="10"/>
      <c r="AD83" s="10">
        <v>0.1</v>
      </c>
      <c r="AE83" s="10"/>
      <c r="AF83" s="10">
        <v>0.1</v>
      </c>
      <c r="AJ83" s="10"/>
      <c r="AK83" s="10">
        <v>0.1</v>
      </c>
      <c r="AL83" s="10"/>
      <c r="AM83" s="10">
        <v>0.1</v>
      </c>
      <c r="AQ83" s="10"/>
      <c r="AR83" s="10">
        <v>0.1</v>
      </c>
      <c r="AS83" s="10"/>
      <c r="AT83" s="10">
        <v>0.1</v>
      </c>
      <c r="AX83" s="10"/>
      <c r="AY83" s="10">
        <v>0.1</v>
      </c>
      <c r="AZ83" s="10"/>
      <c r="BA83" s="10">
        <v>0.1</v>
      </c>
      <c r="BF83" s="10"/>
      <c r="BG83" s="10">
        <v>0.5</v>
      </c>
      <c r="BH83" s="10"/>
      <c r="BI83" s="10">
        <v>0.5</v>
      </c>
      <c r="BM83" s="10"/>
      <c r="BN83" s="10">
        <v>0.5</v>
      </c>
      <c r="BO83" s="10"/>
      <c r="BP83" s="10">
        <v>0.5</v>
      </c>
      <c r="BT83" s="10"/>
      <c r="BU83" s="10">
        <v>0.5</v>
      </c>
      <c r="BV83" s="10"/>
      <c r="BW83" s="10">
        <v>0.5</v>
      </c>
      <c r="CA83" s="10"/>
      <c r="CB83" s="10">
        <v>0.8</v>
      </c>
      <c r="CC83" s="10"/>
      <c r="CD83" s="10">
        <v>0.8</v>
      </c>
      <c r="CH83" s="10"/>
      <c r="CI83" s="10">
        <v>0.8</v>
      </c>
      <c r="CJ83" s="10"/>
      <c r="CK83" s="10">
        <v>0.8</v>
      </c>
      <c r="CO83" s="10"/>
      <c r="CP83" s="10">
        <v>1</v>
      </c>
      <c r="CQ83" s="10"/>
      <c r="CR83" s="10">
        <v>1</v>
      </c>
      <c r="CV83" s="10"/>
      <c r="CW83" s="10"/>
      <c r="CX83" s="10"/>
      <c r="CY83" s="10"/>
      <c r="DD83" s="10"/>
      <c r="DE83" s="10"/>
      <c r="DF83" s="10"/>
      <c r="DG83" s="10"/>
      <c r="DL83" s="10"/>
      <c r="DM83" s="10"/>
      <c r="DN83" s="10"/>
      <c r="DO83" s="10"/>
      <c r="DT83" s="10"/>
      <c r="DU83" s="10"/>
      <c r="DV83" s="10"/>
      <c r="DW83" s="10"/>
      <c r="EB83" s="10"/>
      <c r="EC83" s="10"/>
      <c r="ED83" s="10"/>
      <c r="EE83" s="10"/>
      <c r="EJ83" s="10"/>
      <c r="EK83" s="10"/>
      <c r="EL83" s="10"/>
      <c r="EM83" s="10"/>
      <c r="EQ83" s="10"/>
      <c r="ER83" s="10"/>
      <c r="ES83" s="10"/>
      <c r="ET83" s="10"/>
    </row>
    <row r="84" spans="2:150" ht="16" customHeight="1" outlineLevel="1">
      <c r="B84" t="s">
        <v>28</v>
      </c>
      <c r="E84" s="9"/>
      <c r="G84" s="10">
        <v>0.14000000000000001</v>
      </c>
      <c r="I84" s="9">
        <f>+SUMIF($N$3:$YH$3,I$3,$N84:$YH84)</f>
        <v>0</v>
      </c>
      <c r="J84" s="11" cm="1">
        <f t="array" ref="J84">MAX(IF($N$3:$DT$3=$J$3,N84:DT84))</f>
        <v>0</v>
      </c>
      <c r="K84" s="11" cm="1">
        <f t="array" ref="K84">MAX(IF($N$3:$DT$3=$J$3,N84:DT84))</f>
        <v>0</v>
      </c>
      <c r="L84" s="9"/>
      <c r="M84" s="9"/>
      <c r="O84" s="10"/>
      <c r="P84" s="10"/>
      <c r="Q84" s="10"/>
      <c r="R84" s="10"/>
      <c r="V84" s="10"/>
      <c r="W84" s="10">
        <v>0.1</v>
      </c>
      <c r="X84" s="10"/>
      <c r="Y84" s="10">
        <v>0.1</v>
      </c>
      <c r="AC84" s="10"/>
      <c r="AD84" s="10">
        <v>0.1</v>
      </c>
      <c r="AE84" s="10"/>
      <c r="AF84" s="10">
        <v>0.1</v>
      </c>
      <c r="AJ84" s="10"/>
      <c r="AK84" s="10">
        <v>0.1</v>
      </c>
      <c r="AL84" s="10"/>
      <c r="AM84" s="10">
        <v>0.1</v>
      </c>
      <c r="AQ84" s="10"/>
      <c r="AR84" s="10">
        <v>0.1</v>
      </c>
      <c r="AS84" s="10"/>
      <c r="AT84" s="10">
        <v>0.1</v>
      </c>
      <c r="AX84" s="10"/>
      <c r="AY84" s="10">
        <v>0.1</v>
      </c>
      <c r="AZ84" s="10"/>
      <c r="BA84" s="10">
        <v>0.1</v>
      </c>
      <c r="BF84" s="10"/>
      <c r="BG84" s="10">
        <v>0.1</v>
      </c>
      <c r="BH84" s="10"/>
      <c r="BI84" s="10">
        <v>0.1</v>
      </c>
      <c r="BM84" s="10"/>
      <c r="BN84" s="10">
        <v>0.5</v>
      </c>
      <c r="BO84" s="10"/>
      <c r="BP84" s="10">
        <v>0.5</v>
      </c>
      <c r="BT84" s="10"/>
      <c r="BU84" s="10">
        <v>0.5</v>
      </c>
      <c r="BV84" s="10"/>
      <c r="BW84" s="10">
        <v>0.5</v>
      </c>
      <c r="CA84" s="10"/>
      <c r="CB84" s="10">
        <v>0.8</v>
      </c>
      <c r="CC84" s="10"/>
      <c r="CD84" s="10">
        <v>0.8</v>
      </c>
      <c r="CH84" s="10"/>
      <c r="CI84" s="10">
        <v>0.8</v>
      </c>
      <c r="CJ84" s="10"/>
      <c r="CK84" s="10">
        <v>0.8</v>
      </c>
      <c r="CO84" s="10"/>
      <c r="CP84" s="10">
        <v>1</v>
      </c>
      <c r="CQ84" s="10"/>
      <c r="CR84" s="10">
        <v>1</v>
      </c>
      <c r="CV84" s="10"/>
      <c r="CW84" s="10"/>
      <c r="CX84" s="10"/>
      <c r="CY84" s="10"/>
      <c r="DD84" s="10"/>
      <c r="DE84" s="10"/>
      <c r="DF84" s="10"/>
      <c r="DG84" s="10"/>
      <c r="DL84" s="10"/>
      <c r="DM84" s="10"/>
      <c r="DN84" s="10"/>
      <c r="DO84" s="10"/>
      <c r="DT84" s="10"/>
      <c r="DU84" s="10"/>
      <c r="DV84" s="10"/>
      <c r="DW84" s="10"/>
      <c r="EB84" s="10"/>
      <c r="EC84" s="10"/>
      <c r="ED84" s="10"/>
      <c r="EE84" s="10"/>
      <c r="EJ84" s="10"/>
      <c r="EK84" s="10"/>
      <c r="EL84" s="10"/>
      <c r="EM84" s="10"/>
      <c r="EQ84" s="10"/>
      <c r="ER84" s="10"/>
      <c r="ES84" s="10"/>
      <c r="ET84" s="10"/>
    </row>
    <row r="85" spans="2:150">
      <c r="U85" s="10"/>
      <c r="V85" s="10"/>
      <c r="W85" s="10"/>
      <c r="X85" s="10"/>
      <c r="AB85" s="10"/>
      <c r="AC85" s="10"/>
      <c r="AD85" s="10"/>
      <c r="AE85" s="10"/>
      <c r="AI85" s="10"/>
      <c r="AJ85" s="10"/>
      <c r="AK85" s="10"/>
      <c r="AL85" s="10"/>
      <c r="AP85" s="10"/>
      <c r="AQ85" s="10"/>
      <c r="AR85" s="10"/>
      <c r="AS85" s="10"/>
      <c r="AW85" s="10"/>
      <c r="AX85" s="10"/>
      <c r="AY85" s="10"/>
      <c r="AZ85" s="10"/>
    </row>
    <row r="86" spans="2:150">
      <c r="B86" t="s">
        <v>27</v>
      </c>
      <c r="C86" t="s">
        <v>107</v>
      </c>
      <c r="D86" s="19">
        <v>45838</v>
      </c>
      <c r="E86" s="9">
        <v>2</v>
      </c>
      <c r="G86" s="10">
        <f>+SUM(G87:G91)</f>
        <v>0.63500000000000001</v>
      </c>
      <c r="I86" s="12">
        <v>9</v>
      </c>
      <c r="J86" s="11">
        <f>+SUMPRODUCT(G87:G91,J87:J91)</f>
        <v>0.3175</v>
      </c>
      <c r="K86" s="11">
        <f>+SUMPRODUCT(G87:G91,K87:K91)</f>
        <v>0.3175</v>
      </c>
      <c r="L86" s="9"/>
      <c r="M86" s="9"/>
      <c r="N86" s="12">
        <v>2</v>
      </c>
      <c r="U86" s="10"/>
      <c r="V86" s="10"/>
      <c r="W86" s="10"/>
      <c r="X86" s="10"/>
      <c r="AB86" s="10"/>
      <c r="AC86" s="10"/>
      <c r="AD86" s="10"/>
      <c r="AE86" s="10"/>
      <c r="AI86" s="10"/>
      <c r="AJ86" s="10"/>
      <c r="AK86" s="10"/>
      <c r="AL86" s="10"/>
      <c r="AP86" s="10"/>
      <c r="AQ86" s="10"/>
      <c r="AR86" s="10"/>
      <c r="AS86" s="10"/>
      <c r="AW86" s="10"/>
      <c r="AX86" s="10"/>
      <c r="AY86" s="10"/>
      <c r="AZ86" s="10"/>
    </row>
    <row r="87" spans="2:150" ht="16" customHeight="1" outlineLevel="1">
      <c r="B87" t="s">
        <v>28</v>
      </c>
      <c r="E87" s="9"/>
      <c r="F87" t="s">
        <v>165</v>
      </c>
      <c r="G87" s="10">
        <v>0.125</v>
      </c>
      <c r="I87" s="9">
        <f>+SUMIF($N$3:$YH$3,I$3,$N87:$YH87)</f>
        <v>3</v>
      </c>
      <c r="J87" s="11" cm="1">
        <f t="array" ref="J87">MAX(IF($N$3:$DT$3=$J$3,N87:DT87))</f>
        <v>0.5</v>
      </c>
      <c r="K87" s="11" cm="1">
        <f t="array" ref="K87">MAX(IF($N$3:$DT$3=$J$3,N87:DT87))</f>
        <v>0.5</v>
      </c>
      <c r="L87" s="9"/>
      <c r="M87" s="9"/>
      <c r="O87" s="10">
        <v>0.5</v>
      </c>
      <c r="P87" s="10"/>
      <c r="Q87" s="10">
        <v>0.5</v>
      </c>
      <c r="R87" s="10"/>
      <c r="U87">
        <v>3</v>
      </c>
      <c r="V87" s="10"/>
      <c r="W87" s="10">
        <v>1</v>
      </c>
      <c r="X87" s="10"/>
      <c r="Y87" s="10">
        <v>1</v>
      </c>
      <c r="AC87" s="10">
        <v>0.5</v>
      </c>
      <c r="AD87" s="10">
        <v>1</v>
      </c>
      <c r="AE87" s="10">
        <v>0.5</v>
      </c>
      <c r="AF87" s="10">
        <v>1</v>
      </c>
      <c r="AJ87" s="10"/>
      <c r="AK87" s="10">
        <v>1</v>
      </c>
      <c r="AL87" s="10"/>
      <c r="AM87" s="10">
        <v>1</v>
      </c>
      <c r="AQ87" s="10"/>
      <c r="AR87" s="10">
        <v>1</v>
      </c>
      <c r="AS87" s="10"/>
      <c r="AT87" s="10">
        <v>1</v>
      </c>
      <c r="AX87" s="10"/>
      <c r="AY87" s="10">
        <v>1</v>
      </c>
      <c r="AZ87" s="10"/>
      <c r="BA87" s="10">
        <v>1</v>
      </c>
      <c r="BC87" s="10"/>
      <c r="BF87" s="10"/>
      <c r="BG87" s="10"/>
      <c r="BH87" s="10"/>
      <c r="BI87" s="10"/>
      <c r="BM87" s="10"/>
      <c r="BN87" s="10"/>
      <c r="BO87" s="10"/>
      <c r="BP87" s="10"/>
      <c r="BT87" s="10"/>
      <c r="BU87" s="10"/>
      <c r="BV87" s="10"/>
      <c r="BW87" s="10"/>
      <c r="CA87" s="10"/>
      <c r="CB87" s="10"/>
      <c r="CC87" s="10"/>
      <c r="CD87" s="10"/>
      <c r="CH87" s="10"/>
      <c r="CI87" s="10"/>
      <c r="CJ87" s="10"/>
      <c r="CK87" s="10"/>
      <c r="CO87" s="10"/>
      <c r="CP87" s="10"/>
      <c r="CQ87" s="10"/>
      <c r="CR87" s="10"/>
      <c r="CV87" s="10"/>
      <c r="CW87" s="10"/>
      <c r="CX87" s="10"/>
      <c r="CY87" s="10"/>
      <c r="DD87" s="10"/>
      <c r="DE87" s="10"/>
      <c r="DF87" s="10"/>
      <c r="DG87" s="10"/>
      <c r="DL87" s="10"/>
      <c r="DM87" s="10"/>
      <c r="DN87" s="10"/>
      <c r="DO87" s="10"/>
      <c r="DT87" s="10"/>
      <c r="DU87" s="10"/>
      <c r="DV87" s="10"/>
      <c r="DW87" s="10"/>
      <c r="EB87" s="10"/>
      <c r="EC87" s="10"/>
      <c r="ED87" s="10"/>
      <c r="EE87" s="10"/>
      <c r="EJ87" s="10"/>
      <c r="EK87" s="10"/>
      <c r="EL87" s="10"/>
      <c r="EM87" s="10"/>
      <c r="EQ87" s="10"/>
      <c r="ER87" s="10"/>
      <c r="ES87" s="10"/>
      <c r="ET87" s="10"/>
    </row>
    <row r="88" spans="2:150" ht="16" customHeight="1" outlineLevel="1">
      <c r="B88" t="s">
        <v>28</v>
      </c>
      <c r="E88" s="9"/>
      <c r="F88" t="s">
        <v>166</v>
      </c>
      <c r="G88" s="10">
        <v>0.13</v>
      </c>
      <c r="I88" s="9">
        <f>+SUMIF($N$3:$YH$3,I$3,$N88:$YH88)</f>
        <v>0</v>
      </c>
      <c r="J88" s="11" cm="1">
        <f t="array" ref="J88">MAX(IF($N$3:$DT$3=$J$3,N88:DT88))</f>
        <v>0.5</v>
      </c>
      <c r="K88" s="11" cm="1">
        <f t="array" ref="K88">MAX(IF($N$3:$DT$3=$J$3,N88:DT88))</f>
        <v>0.5</v>
      </c>
      <c r="L88" s="9"/>
      <c r="M88" s="9"/>
      <c r="O88" s="10">
        <v>0.3</v>
      </c>
      <c r="P88" s="10"/>
      <c r="Q88" s="10">
        <v>0.3</v>
      </c>
      <c r="R88" s="10"/>
      <c r="V88" s="10"/>
      <c r="W88" s="10">
        <v>1</v>
      </c>
      <c r="X88" s="10"/>
      <c r="Y88" s="10">
        <v>1</v>
      </c>
      <c r="AC88" s="10">
        <v>0.5</v>
      </c>
      <c r="AD88" s="10">
        <v>1</v>
      </c>
      <c r="AE88" s="10">
        <v>0.5</v>
      </c>
      <c r="AF88" s="10">
        <v>1</v>
      </c>
      <c r="AJ88" s="10"/>
      <c r="AK88" s="10">
        <v>1</v>
      </c>
      <c r="AL88" s="10"/>
      <c r="AM88" s="10">
        <v>1</v>
      </c>
      <c r="AQ88" s="10"/>
      <c r="AR88" s="10">
        <v>1</v>
      </c>
      <c r="AS88" s="10"/>
      <c r="AT88" s="10">
        <v>1</v>
      </c>
      <c r="AX88" s="10"/>
      <c r="AY88" s="10">
        <v>1</v>
      </c>
      <c r="AZ88" s="10"/>
      <c r="BA88" s="10">
        <v>1</v>
      </c>
      <c r="BC88" s="10"/>
      <c r="BF88" s="10"/>
      <c r="BG88" s="10"/>
      <c r="BH88" s="10"/>
      <c r="BI88" s="10"/>
      <c r="BM88" s="10"/>
      <c r="BN88" s="10"/>
      <c r="BO88" s="10"/>
      <c r="BP88" s="10"/>
      <c r="BT88" s="10"/>
      <c r="BU88" s="10"/>
      <c r="BV88" s="10"/>
      <c r="BW88" s="10"/>
      <c r="CA88" s="10"/>
      <c r="CB88" s="10"/>
      <c r="CC88" s="10"/>
      <c r="CD88" s="10"/>
      <c r="CH88" s="10"/>
      <c r="CI88" s="10"/>
      <c r="CJ88" s="10"/>
      <c r="CK88" s="10"/>
      <c r="CO88" s="10"/>
      <c r="CP88" s="10"/>
      <c r="CQ88" s="10"/>
      <c r="CR88" s="10"/>
      <c r="CV88" s="10"/>
      <c r="CW88" s="10"/>
      <c r="CX88" s="10"/>
      <c r="CY88" s="10"/>
      <c r="DD88" s="10"/>
      <c r="DE88" s="10"/>
      <c r="DF88" s="10"/>
      <c r="DG88" s="10"/>
      <c r="DL88" s="10"/>
      <c r="DM88" s="10"/>
      <c r="DN88" s="10"/>
      <c r="DO88" s="10"/>
      <c r="DT88" s="10"/>
      <c r="DU88" s="10"/>
      <c r="DV88" s="10"/>
      <c r="DW88" s="10"/>
      <c r="EB88" s="10"/>
      <c r="EC88" s="10"/>
      <c r="ED88" s="10"/>
      <c r="EE88" s="10"/>
      <c r="EJ88" s="10"/>
      <c r="EK88" s="10"/>
      <c r="EL88" s="10"/>
      <c r="EM88" s="10"/>
      <c r="EQ88" s="10"/>
      <c r="ER88" s="10"/>
      <c r="ES88" s="10"/>
      <c r="ET88" s="10"/>
    </row>
    <row r="89" spans="2:150" ht="16" customHeight="1" outlineLevel="1">
      <c r="B89" t="s">
        <v>28</v>
      </c>
      <c r="E89" s="9"/>
      <c r="F89" t="s">
        <v>167</v>
      </c>
      <c r="G89" s="10">
        <v>0.13</v>
      </c>
      <c r="I89" s="9">
        <f>+SUMIF($N$3:$YH$3,I$3,$N89:$YH89)</f>
        <v>0</v>
      </c>
      <c r="J89" s="11" cm="1">
        <f t="array" ref="J89">MAX(IF($N$3:$DT$3=$J$3,N89:DT89))</f>
        <v>0.5</v>
      </c>
      <c r="K89" s="11" cm="1">
        <f t="array" ref="K89">MAX(IF($N$3:$DT$3=$J$3,N89:DT89))</f>
        <v>0.5</v>
      </c>
      <c r="L89" s="9"/>
      <c r="M89" s="9"/>
      <c r="O89" s="10">
        <v>0.3</v>
      </c>
      <c r="P89" s="10"/>
      <c r="Q89" s="10">
        <v>0.3</v>
      </c>
      <c r="R89" s="10"/>
      <c r="V89" s="10"/>
      <c r="W89" s="10">
        <v>1</v>
      </c>
      <c r="X89" s="10"/>
      <c r="Y89" s="10">
        <v>1</v>
      </c>
      <c r="AC89" s="10">
        <v>0.5</v>
      </c>
      <c r="AD89" s="10">
        <v>1</v>
      </c>
      <c r="AE89" s="10">
        <v>0.5</v>
      </c>
      <c r="AF89" s="10">
        <v>1</v>
      </c>
      <c r="AJ89" s="10"/>
      <c r="AK89" s="10">
        <v>1</v>
      </c>
      <c r="AL89" s="10"/>
      <c r="AM89" s="10">
        <v>1</v>
      </c>
      <c r="AQ89" s="10"/>
      <c r="AR89" s="10">
        <v>1</v>
      </c>
      <c r="AS89" s="10"/>
      <c r="AT89" s="10">
        <v>1</v>
      </c>
      <c r="AX89" s="10"/>
      <c r="AY89" s="10">
        <v>1</v>
      </c>
      <c r="AZ89" s="10"/>
      <c r="BA89" s="10">
        <v>1</v>
      </c>
      <c r="BC89" s="10"/>
      <c r="BF89" s="10"/>
      <c r="BG89" s="10"/>
      <c r="BH89" s="10"/>
      <c r="BI89" s="10"/>
      <c r="BM89" s="10"/>
      <c r="BN89" s="10"/>
      <c r="BO89" s="10"/>
      <c r="BP89" s="10"/>
      <c r="BT89" s="10"/>
      <c r="BU89" s="10"/>
      <c r="BV89" s="10"/>
      <c r="BW89" s="10"/>
      <c r="CA89" s="10"/>
      <c r="CB89" s="10"/>
      <c r="CC89" s="10"/>
      <c r="CD89" s="10"/>
      <c r="CH89" s="10"/>
      <c r="CI89" s="10"/>
      <c r="CJ89" s="10"/>
      <c r="CK89" s="10"/>
      <c r="CO89" s="10"/>
      <c r="CP89" s="10"/>
      <c r="CQ89" s="10"/>
      <c r="CR89" s="10"/>
      <c r="CV89" s="10"/>
      <c r="CW89" s="10"/>
      <c r="CX89" s="10"/>
      <c r="CY89" s="10"/>
      <c r="DD89" s="10"/>
      <c r="DE89" s="10"/>
      <c r="DF89" s="10"/>
      <c r="DG89" s="10"/>
      <c r="DL89" s="10"/>
      <c r="DM89" s="10"/>
      <c r="DN89" s="10"/>
      <c r="DO89" s="10"/>
      <c r="DT89" s="10"/>
      <c r="DU89" s="10"/>
      <c r="DV89" s="10"/>
      <c r="DW89" s="10"/>
      <c r="EB89" s="10"/>
      <c r="EC89" s="10"/>
      <c r="ED89" s="10"/>
      <c r="EE89" s="10"/>
      <c r="EJ89" s="10"/>
      <c r="EK89" s="10"/>
      <c r="EL89" s="10"/>
      <c r="EM89" s="10"/>
      <c r="EQ89" s="10"/>
      <c r="ER89" s="10"/>
      <c r="ES89" s="10"/>
      <c r="ET89" s="10"/>
    </row>
    <row r="90" spans="2:150" ht="16" customHeight="1" outlineLevel="1">
      <c r="B90" t="s">
        <v>28</v>
      </c>
      <c r="E90" s="9"/>
      <c r="F90" t="s">
        <v>168</v>
      </c>
      <c r="G90" s="10">
        <v>0.13</v>
      </c>
      <c r="I90" s="9">
        <f>+SUMIF($N$3:$YH$3,I$3,$N90:$YH90)</f>
        <v>0</v>
      </c>
      <c r="J90" s="11" cm="1">
        <f t="array" ref="J90">MAX(IF($N$3:$DT$3=$J$3,N90:DT90))</f>
        <v>0.5</v>
      </c>
      <c r="K90" s="11" cm="1">
        <f t="array" ref="K90">MAX(IF($N$3:$DT$3=$J$3,N90:DT90))</f>
        <v>0.5</v>
      </c>
      <c r="L90" s="9"/>
      <c r="M90" s="9"/>
      <c r="O90" s="10">
        <v>0.3</v>
      </c>
      <c r="P90" s="10"/>
      <c r="Q90" s="10">
        <v>0.3</v>
      </c>
      <c r="R90" s="10"/>
      <c r="V90" s="10"/>
      <c r="W90" s="10">
        <v>1</v>
      </c>
      <c r="X90" s="10"/>
      <c r="Y90" s="10">
        <v>1</v>
      </c>
      <c r="AC90" s="10">
        <v>0.5</v>
      </c>
      <c r="AD90" s="10">
        <v>1</v>
      </c>
      <c r="AE90" s="10">
        <v>0.5</v>
      </c>
      <c r="AF90" s="10">
        <v>1</v>
      </c>
      <c r="AJ90" s="10"/>
      <c r="AK90" s="10">
        <v>1</v>
      </c>
      <c r="AL90" s="10"/>
      <c r="AM90" s="10">
        <v>1</v>
      </c>
      <c r="AQ90" s="10"/>
      <c r="AR90" s="10">
        <v>1</v>
      </c>
      <c r="AS90" s="10"/>
      <c r="AT90" s="10">
        <v>1</v>
      </c>
      <c r="AX90" s="10"/>
      <c r="AY90" s="10">
        <v>1</v>
      </c>
      <c r="AZ90" s="10"/>
      <c r="BA90" s="10">
        <v>1</v>
      </c>
      <c r="BC90" s="10"/>
      <c r="BF90" s="10"/>
      <c r="BG90" s="10"/>
      <c r="BH90" s="10"/>
      <c r="BI90" s="10"/>
      <c r="BM90" s="10"/>
      <c r="BN90" s="10"/>
      <c r="BO90" s="10"/>
      <c r="BP90" s="10"/>
      <c r="BT90" s="10"/>
      <c r="BU90" s="10"/>
      <c r="BV90" s="10"/>
      <c r="BW90" s="10"/>
      <c r="CA90" s="10"/>
      <c r="CB90" s="10"/>
      <c r="CC90" s="10"/>
      <c r="CD90" s="10"/>
      <c r="CH90" s="10"/>
      <c r="CI90" s="10"/>
      <c r="CJ90" s="10"/>
      <c r="CK90" s="10"/>
      <c r="CO90" s="10"/>
      <c r="CP90" s="10"/>
      <c r="CQ90" s="10"/>
      <c r="CR90" s="10"/>
      <c r="CV90" s="10"/>
      <c r="CW90" s="10"/>
      <c r="CX90" s="10"/>
      <c r="CY90" s="10"/>
      <c r="DD90" s="10"/>
      <c r="DE90" s="10"/>
      <c r="DF90" s="10"/>
      <c r="DG90" s="10"/>
      <c r="DL90" s="10"/>
      <c r="DM90" s="10"/>
      <c r="DN90" s="10"/>
      <c r="DO90" s="10"/>
      <c r="DT90" s="10"/>
      <c r="DU90" s="10"/>
      <c r="DV90" s="10"/>
      <c r="DW90" s="10"/>
      <c r="EB90" s="10"/>
      <c r="EC90" s="10"/>
      <c r="ED90" s="10"/>
      <c r="EE90" s="10"/>
      <c r="EJ90" s="10"/>
      <c r="EK90" s="10"/>
      <c r="EL90" s="10"/>
      <c r="EM90" s="10"/>
      <c r="EQ90" s="10"/>
      <c r="ER90" s="10"/>
      <c r="ES90" s="10"/>
      <c r="ET90" s="10"/>
    </row>
    <row r="91" spans="2:150" ht="16" customHeight="1" outlineLevel="1">
      <c r="B91" t="s">
        <v>28</v>
      </c>
      <c r="E91" s="9"/>
      <c r="F91" t="s">
        <v>169</v>
      </c>
      <c r="G91" s="10">
        <v>0.12</v>
      </c>
      <c r="I91" s="9">
        <f>+SUMIF($N$3:$YH$3,I$3,$N91:$YH91)</f>
        <v>0</v>
      </c>
      <c r="J91" s="11" cm="1">
        <f t="array" ref="J91">MAX(IF($N$3:$DT$3=$J$3,N91:DT91))</f>
        <v>0.5</v>
      </c>
      <c r="K91" s="11" cm="1">
        <f t="array" ref="K91">MAX(IF($N$3:$DT$3=$J$3,N91:DT91))</f>
        <v>0.5</v>
      </c>
      <c r="L91" s="9"/>
      <c r="M91" s="9"/>
      <c r="O91" s="10">
        <v>0.3</v>
      </c>
      <c r="P91" s="10"/>
      <c r="Q91" s="10">
        <v>0.3</v>
      </c>
      <c r="R91" s="10"/>
      <c r="V91" s="10"/>
      <c r="W91" s="10">
        <v>1</v>
      </c>
      <c r="X91" s="10"/>
      <c r="Y91" s="10">
        <v>1</v>
      </c>
      <c r="AC91" s="10">
        <v>0.5</v>
      </c>
      <c r="AD91" s="10">
        <v>1</v>
      </c>
      <c r="AE91" s="10">
        <v>0.5</v>
      </c>
      <c r="AF91" s="10">
        <v>1</v>
      </c>
      <c r="AJ91" s="10"/>
      <c r="AK91" s="10">
        <v>1</v>
      </c>
      <c r="AL91" s="10"/>
      <c r="AM91" s="10">
        <v>1</v>
      </c>
      <c r="AQ91" s="10"/>
      <c r="AR91" s="10">
        <v>1</v>
      </c>
      <c r="AS91" s="10"/>
      <c r="AT91" s="10">
        <v>1</v>
      </c>
      <c r="AX91" s="10"/>
      <c r="AY91" s="10">
        <v>1</v>
      </c>
      <c r="AZ91" s="10"/>
      <c r="BA91" s="10">
        <v>1</v>
      </c>
      <c r="BC91" s="10"/>
      <c r="BF91" s="10"/>
      <c r="BG91" s="10"/>
      <c r="BH91" s="10"/>
      <c r="BI91" s="10"/>
      <c r="BM91" s="10"/>
      <c r="BN91" s="10"/>
      <c r="BO91" s="10"/>
      <c r="BP91" s="10"/>
      <c r="BT91" s="10"/>
      <c r="BU91" s="10"/>
      <c r="BV91" s="10"/>
      <c r="BW91" s="10"/>
      <c r="CA91" s="10"/>
      <c r="CB91" s="10"/>
      <c r="CC91" s="10"/>
      <c r="CD91" s="10"/>
      <c r="CH91" s="10"/>
      <c r="CI91" s="10"/>
      <c r="CJ91" s="10"/>
      <c r="CK91" s="10"/>
      <c r="CO91" s="10"/>
      <c r="CP91" s="10"/>
      <c r="CQ91" s="10"/>
      <c r="CR91" s="10"/>
      <c r="CV91" s="10"/>
      <c r="CW91" s="10"/>
      <c r="CX91" s="10"/>
      <c r="CY91" s="10"/>
      <c r="DD91" s="10"/>
      <c r="DE91" s="10"/>
      <c r="DF91" s="10"/>
      <c r="DG91" s="10"/>
      <c r="DL91" s="10"/>
      <c r="DM91" s="10"/>
      <c r="DN91" s="10"/>
      <c r="DO91" s="10"/>
      <c r="DT91" s="10"/>
      <c r="DU91" s="10"/>
      <c r="DV91" s="10"/>
      <c r="DW91" s="10"/>
      <c r="EB91" s="10"/>
      <c r="EC91" s="10"/>
      <c r="ED91" s="10"/>
      <c r="EE91" s="10"/>
      <c r="EJ91" s="10"/>
      <c r="EK91" s="10"/>
      <c r="EL91" s="10"/>
      <c r="EM91" s="10"/>
      <c r="EQ91" s="10"/>
      <c r="ER91" s="10"/>
      <c r="ES91" s="10"/>
      <c r="ET91" s="10"/>
    </row>
    <row r="92" spans="2:150">
      <c r="BC92" s="10"/>
    </row>
    <row r="93" spans="2:150">
      <c r="B93" t="s">
        <v>27</v>
      </c>
      <c r="C93" t="s">
        <v>108</v>
      </c>
      <c r="D93" s="19">
        <v>45838</v>
      </c>
      <c r="E93" s="9">
        <v>5</v>
      </c>
      <c r="G93" s="10">
        <f>+SUM(G94:G100)</f>
        <v>1</v>
      </c>
      <c r="I93" s="12">
        <v>9</v>
      </c>
      <c r="J93" s="11">
        <f>+SUMPRODUCT(G94:G100,J94:J100)</f>
        <v>0.5</v>
      </c>
      <c r="K93" s="11">
        <f>+SUMPRODUCT(G94:G100,K94:K100)</f>
        <v>0.5</v>
      </c>
      <c r="L93" s="9"/>
      <c r="M93" s="9"/>
      <c r="N93" s="12">
        <v>2</v>
      </c>
      <c r="U93" s="10"/>
      <c r="V93" s="10"/>
      <c r="W93" s="10"/>
      <c r="X93" s="10"/>
      <c r="AB93" s="10"/>
      <c r="AC93" s="10"/>
      <c r="AD93" s="10"/>
      <c r="AE93" s="10"/>
      <c r="AI93" s="10"/>
      <c r="AJ93" s="10"/>
      <c r="AK93" s="10"/>
      <c r="AL93" s="10"/>
      <c r="AP93" s="10"/>
      <c r="AQ93" s="10"/>
      <c r="AR93" s="10"/>
      <c r="AS93" s="10"/>
      <c r="AW93" s="10"/>
      <c r="AX93" s="10"/>
      <c r="AY93" s="10"/>
      <c r="AZ93" s="10"/>
    </row>
    <row r="94" spans="2:150" ht="16" customHeight="1" outlineLevel="1">
      <c r="B94" t="s">
        <v>28</v>
      </c>
      <c r="E94" s="9"/>
      <c r="F94" t="s">
        <v>142</v>
      </c>
      <c r="G94" s="10">
        <v>0.1</v>
      </c>
      <c r="I94" s="9">
        <f>+SUMIF($N$3:$YH$3,I$3,$N94:$YH94)</f>
        <v>3</v>
      </c>
      <c r="J94" s="11" cm="1">
        <f t="array" ref="J94">MAX(IF($N$3:$DT$3=$J$3,N94:DT94))</f>
        <v>0.5</v>
      </c>
      <c r="K94" s="11" cm="1">
        <f t="array" ref="K94">MAX(IF($N$3:$DT$3=$J$3,N94:DT94))</f>
        <v>0.5</v>
      </c>
      <c r="L94" s="9"/>
      <c r="M94" s="9"/>
      <c r="O94" s="10">
        <v>0.5</v>
      </c>
      <c r="P94" s="10"/>
      <c r="Q94" s="10">
        <v>0.5</v>
      </c>
      <c r="R94" s="10"/>
      <c r="U94">
        <v>3</v>
      </c>
      <c r="V94" s="10"/>
      <c r="W94" s="10">
        <v>1</v>
      </c>
      <c r="X94" s="10"/>
      <c r="Y94" s="10">
        <v>1</v>
      </c>
      <c r="AC94" s="10">
        <v>0.5</v>
      </c>
      <c r="AD94" s="10">
        <v>1</v>
      </c>
      <c r="AE94" s="10">
        <v>0.5</v>
      </c>
      <c r="AF94" s="10">
        <v>1</v>
      </c>
      <c r="AJ94" s="10"/>
      <c r="AK94" s="10">
        <v>1</v>
      </c>
      <c r="AL94" s="10"/>
      <c r="AM94" s="10">
        <v>1</v>
      </c>
      <c r="AQ94" s="10"/>
      <c r="AR94" s="10">
        <v>1</v>
      </c>
      <c r="AS94" s="10"/>
      <c r="AT94" s="10">
        <v>1</v>
      </c>
      <c r="AX94" s="10"/>
      <c r="AY94" s="10">
        <v>1</v>
      </c>
      <c r="AZ94" s="10"/>
      <c r="BA94" s="10">
        <v>1</v>
      </c>
      <c r="BC94" s="10"/>
      <c r="BF94" s="10"/>
      <c r="BG94" s="10"/>
      <c r="BH94" s="10"/>
      <c r="BI94" s="10"/>
      <c r="BM94" s="10"/>
      <c r="BN94" s="10"/>
      <c r="BO94" s="10"/>
      <c r="BP94" s="10"/>
      <c r="BT94" s="10"/>
      <c r="BU94" s="10"/>
      <c r="BV94" s="10"/>
      <c r="BW94" s="10"/>
      <c r="CA94" s="10"/>
      <c r="CB94" s="10"/>
      <c r="CC94" s="10"/>
      <c r="CD94" s="10"/>
      <c r="CH94" s="10"/>
      <c r="CI94" s="10"/>
      <c r="CJ94" s="10"/>
      <c r="CK94" s="10"/>
      <c r="CO94" s="10"/>
      <c r="CP94" s="10"/>
      <c r="CQ94" s="10"/>
      <c r="CR94" s="10"/>
      <c r="CV94" s="10"/>
      <c r="CW94" s="10"/>
      <c r="CX94" s="10"/>
      <c r="CY94" s="10"/>
      <c r="DD94" s="10"/>
      <c r="DE94" s="10"/>
      <c r="DF94" s="10"/>
      <c r="DG94" s="10"/>
      <c r="DL94" s="10"/>
      <c r="DM94" s="10"/>
      <c r="DN94" s="10"/>
      <c r="DO94" s="10"/>
      <c r="DT94" s="10"/>
      <c r="DU94" s="10"/>
      <c r="DV94" s="10"/>
      <c r="DW94" s="10"/>
      <c r="EB94" s="10"/>
      <c r="EC94" s="10"/>
      <c r="ED94" s="10"/>
      <c r="EE94" s="10"/>
      <c r="EJ94" s="10"/>
      <c r="EK94" s="10"/>
      <c r="EL94" s="10"/>
      <c r="EM94" s="10"/>
      <c r="EQ94" s="10"/>
      <c r="ER94" s="10"/>
      <c r="ES94" s="10"/>
      <c r="ET94" s="10"/>
    </row>
    <row r="95" spans="2:150" ht="16" customHeight="1" outlineLevel="1">
      <c r="B95" t="s">
        <v>28</v>
      </c>
      <c r="E95" s="9"/>
      <c r="F95" t="s">
        <v>143</v>
      </c>
      <c r="G95" s="10">
        <v>0.1</v>
      </c>
      <c r="I95" s="9">
        <f>+SUMIF($N$3:$YH$3,I$3,$N95:$YH95)</f>
        <v>0</v>
      </c>
      <c r="J95" s="11" cm="1">
        <f t="array" ref="J95">MAX(IF($N$3:$DT$3=$J$3,N95:DT95))</f>
        <v>0.5</v>
      </c>
      <c r="K95" s="11" cm="1">
        <f t="array" ref="K95">MAX(IF($N$3:$DT$3=$J$3,N95:DT95))</f>
        <v>0.5</v>
      </c>
      <c r="L95" s="9"/>
      <c r="M95" s="9"/>
      <c r="O95" s="10">
        <v>0.3</v>
      </c>
      <c r="P95" s="10"/>
      <c r="Q95" s="10">
        <v>0.3</v>
      </c>
      <c r="R95" s="10"/>
      <c r="V95" s="10"/>
      <c r="W95" s="10">
        <v>1</v>
      </c>
      <c r="X95" s="10"/>
      <c r="Y95" s="10">
        <v>1</v>
      </c>
      <c r="AC95" s="10">
        <v>0.5</v>
      </c>
      <c r="AD95" s="10">
        <v>1</v>
      </c>
      <c r="AE95" s="10">
        <v>0.5</v>
      </c>
      <c r="AF95" s="10">
        <v>1</v>
      </c>
      <c r="AJ95" s="10"/>
      <c r="AK95" s="10">
        <v>1</v>
      </c>
      <c r="AL95" s="10"/>
      <c r="AM95" s="10">
        <v>1</v>
      </c>
      <c r="AQ95" s="10"/>
      <c r="AR95" s="10">
        <v>1</v>
      </c>
      <c r="AS95" s="10"/>
      <c r="AT95" s="10">
        <v>1</v>
      </c>
      <c r="AX95" s="10"/>
      <c r="AY95" s="10">
        <v>1</v>
      </c>
      <c r="AZ95" s="10"/>
      <c r="BA95" s="10">
        <v>1</v>
      </c>
      <c r="BC95" s="10"/>
      <c r="BF95" s="10"/>
      <c r="BG95" s="10"/>
      <c r="BH95" s="10"/>
      <c r="BI95" s="10"/>
      <c r="BM95" s="10"/>
      <c r="BN95" s="10"/>
      <c r="BO95" s="10"/>
      <c r="BP95" s="10"/>
      <c r="BT95" s="10"/>
      <c r="BU95" s="10"/>
      <c r="BV95" s="10"/>
      <c r="BW95" s="10"/>
      <c r="CA95" s="10"/>
      <c r="CB95" s="10"/>
      <c r="CC95" s="10"/>
      <c r="CD95" s="10"/>
      <c r="CH95" s="10"/>
      <c r="CI95" s="10"/>
      <c r="CJ95" s="10"/>
      <c r="CK95" s="10"/>
      <c r="CO95" s="10"/>
      <c r="CP95" s="10"/>
      <c r="CQ95" s="10"/>
      <c r="CR95" s="10"/>
      <c r="CV95" s="10"/>
      <c r="CW95" s="10"/>
      <c r="CX95" s="10"/>
      <c r="CY95" s="10"/>
      <c r="DD95" s="10"/>
      <c r="DE95" s="10"/>
      <c r="DF95" s="10"/>
      <c r="DG95" s="10"/>
      <c r="DL95" s="10"/>
      <c r="DM95" s="10"/>
      <c r="DN95" s="10"/>
      <c r="DO95" s="10"/>
      <c r="DT95" s="10"/>
      <c r="DU95" s="10"/>
      <c r="DV95" s="10"/>
      <c r="DW95" s="10"/>
      <c r="EB95" s="10"/>
      <c r="EC95" s="10"/>
      <c r="ED95" s="10"/>
      <c r="EE95" s="10"/>
      <c r="EJ95" s="10"/>
      <c r="EK95" s="10"/>
      <c r="EL95" s="10"/>
      <c r="EM95" s="10"/>
      <c r="EQ95" s="10"/>
      <c r="ER95" s="10"/>
      <c r="ES95" s="10"/>
      <c r="ET95" s="10"/>
    </row>
    <row r="96" spans="2:150" ht="16" customHeight="1" outlineLevel="1">
      <c r="B96" t="s">
        <v>28</v>
      </c>
      <c r="E96" s="9"/>
      <c r="F96" t="s">
        <v>144</v>
      </c>
      <c r="G96" s="10">
        <v>0.15</v>
      </c>
      <c r="I96" s="9">
        <f>+SUMIF($N$3:$YH$3,I$3,$N96:$YH96)</f>
        <v>0</v>
      </c>
      <c r="J96" s="11" cm="1">
        <f t="array" ref="J96">MAX(IF($N$3:$DT$3=$J$3,N96:DT96))</f>
        <v>0.5</v>
      </c>
      <c r="K96" s="11" cm="1">
        <f t="array" ref="K96">MAX(IF($N$3:$DT$3=$J$3,N96:DT96))</f>
        <v>0.5</v>
      </c>
      <c r="L96" s="9"/>
      <c r="M96" s="9"/>
      <c r="O96" s="10">
        <v>0.3</v>
      </c>
      <c r="P96" s="10"/>
      <c r="Q96" s="10">
        <v>0.3</v>
      </c>
      <c r="R96" s="10"/>
      <c r="V96" s="10"/>
      <c r="W96" s="10">
        <v>1</v>
      </c>
      <c r="X96" s="10"/>
      <c r="Y96" s="10">
        <v>1</v>
      </c>
      <c r="AC96" s="10">
        <v>0.5</v>
      </c>
      <c r="AD96" s="10">
        <v>1</v>
      </c>
      <c r="AE96" s="10">
        <v>0.5</v>
      </c>
      <c r="AF96" s="10">
        <v>1</v>
      </c>
      <c r="AJ96" s="10"/>
      <c r="AK96" s="10">
        <v>1</v>
      </c>
      <c r="AL96" s="10"/>
      <c r="AM96" s="10">
        <v>1</v>
      </c>
      <c r="AQ96" s="10"/>
      <c r="AR96" s="10">
        <v>1</v>
      </c>
      <c r="AS96" s="10"/>
      <c r="AT96" s="10">
        <v>1</v>
      </c>
      <c r="AX96" s="10"/>
      <c r="AY96" s="10">
        <v>1</v>
      </c>
      <c r="AZ96" s="10"/>
      <c r="BA96" s="10">
        <v>1</v>
      </c>
      <c r="BC96" s="10"/>
      <c r="BF96" s="10"/>
      <c r="BG96" s="10"/>
      <c r="BH96" s="10"/>
      <c r="BI96" s="10"/>
      <c r="BM96" s="10"/>
      <c r="BN96" s="10"/>
      <c r="BO96" s="10"/>
      <c r="BP96" s="10"/>
      <c r="BT96" s="10"/>
      <c r="BU96" s="10"/>
      <c r="BV96" s="10"/>
      <c r="BW96" s="10"/>
      <c r="CA96" s="10"/>
      <c r="CB96" s="10"/>
      <c r="CC96" s="10"/>
      <c r="CD96" s="10"/>
      <c r="CH96" s="10"/>
      <c r="CI96" s="10"/>
      <c r="CJ96" s="10"/>
      <c r="CK96" s="10"/>
      <c r="CO96" s="10"/>
      <c r="CP96" s="10"/>
      <c r="CQ96" s="10"/>
      <c r="CR96" s="10"/>
      <c r="CV96" s="10"/>
      <c r="CW96" s="10"/>
      <c r="CX96" s="10"/>
      <c r="CY96" s="10"/>
      <c r="DD96" s="10"/>
      <c r="DE96" s="10"/>
      <c r="DF96" s="10"/>
      <c r="DG96" s="10"/>
      <c r="DL96" s="10"/>
      <c r="DM96" s="10"/>
      <c r="DN96" s="10"/>
      <c r="DO96" s="10"/>
      <c r="DT96" s="10"/>
      <c r="DU96" s="10"/>
      <c r="DV96" s="10"/>
      <c r="DW96" s="10"/>
      <c r="EB96" s="10"/>
      <c r="EC96" s="10"/>
      <c r="ED96" s="10"/>
      <c r="EE96" s="10"/>
      <c r="EJ96" s="10"/>
      <c r="EK96" s="10"/>
      <c r="EL96" s="10"/>
      <c r="EM96" s="10"/>
      <c r="EQ96" s="10"/>
      <c r="ER96" s="10"/>
      <c r="ES96" s="10"/>
      <c r="ET96" s="10"/>
    </row>
    <row r="97" spans="2:150" ht="16" customHeight="1" outlineLevel="1">
      <c r="B97" t="s">
        <v>28</v>
      </c>
      <c r="E97" s="9"/>
      <c r="F97" t="s">
        <v>145</v>
      </c>
      <c r="G97" s="10">
        <v>0.2</v>
      </c>
      <c r="I97" s="9">
        <f>+SUMIF($N$3:$YH$3,I$3,$N97:$YH97)</f>
        <v>0</v>
      </c>
      <c r="J97" s="11" cm="1">
        <f t="array" ref="J97">MAX(IF($N$3:$DT$3=$J$3,N97:DT97))</f>
        <v>0.5</v>
      </c>
      <c r="K97" s="11" cm="1">
        <f t="array" ref="K97">MAX(IF($N$3:$DT$3=$J$3,N97:DT97))</f>
        <v>0.5</v>
      </c>
      <c r="L97" s="9"/>
      <c r="M97" s="9"/>
      <c r="O97" s="10">
        <v>0.3</v>
      </c>
      <c r="P97" s="10"/>
      <c r="Q97" s="10">
        <v>0.3</v>
      </c>
      <c r="R97" s="10"/>
      <c r="V97" s="10"/>
      <c r="W97" s="10">
        <v>1</v>
      </c>
      <c r="X97" s="10"/>
      <c r="Y97" s="10">
        <v>1</v>
      </c>
      <c r="AC97" s="10">
        <v>0.5</v>
      </c>
      <c r="AD97" s="10">
        <v>1</v>
      </c>
      <c r="AE97" s="10">
        <v>0.5</v>
      </c>
      <c r="AF97" s="10">
        <v>1</v>
      </c>
      <c r="AJ97" s="10"/>
      <c r="AK97" s="10">
        <v>1</v>
      </c>
      <c r="AL97" s="10"/>
      <c r="AM97" s="10">
        <v>1</v>
      </c>
      <c r="AQ97" s="10"/>
      <c r="AR97" s="10">
        <v>1</v>
      </c>
      <c r="AS97" s="10"/>
      <c r="AT97" s="10">
        <v>1</v>
      </c>
      <c r="AX97" s="10"/>
      <c r="AY97" s="10">
        <v>1</v>
      </c>
      <c r="AZ97" s="10"/>
      <c r="BA97" s="10">
        <v>1</v>
      </c>
      <c r="BC97" s="10"/>
      <c r="BF97" s="10"/>
      <c r="BG97" s="10"/>
      <c r="BH97" s="10"/>
      <c r="BI97" s="10"/>
      <c r="BM97" s="10"/>
      <c r="BN97" s="10"/>
      <c r="BO97" s="10"/>
      <c r="BP97" s="10"/>
      <c r="BT97" s="10"/>
      <c r="BU97" s="10"/>
      <c r="BV97" s="10"/>
      <c r="BW97" s="10"/>
      <c r="CA97" s="10"/>
      <c r="CB97" s="10"/>
      <c r="CC97" s="10"/>
      <c r="CD97" s="10"/>
      <c r="CH97" s="10"/>
      <c r="CI97" s="10"/>
      <c r="CJ97" s="10"/>
      <c r="CK97" s="10"/>
      <c r="CO97" s="10"/>
      <c r="CP97" s="10"/>
      <c r="CQ97" s="10"/>
      <c r="CR97" s="10"/>
      <c r="CV97" s="10"/>
      <c r="CW97" s="10"/>
      <c r="CX97" s="10"/>
      <c r="CY97" s="10"/>
      <c r="DD97" s="10"/>
      <c r="DE97" s="10"/>
      <c r="DF97" s="10"/>
      <c r="DG97" s="10"/>
      <c r="DL97" s="10"/>
      <c r="DM97" s="10"/>
      <c r="DN97" s="10"/>
      <c r="DO97" s="10"/>
      <c r="DT97" s="10"/>
      <c r="DU97" s="10"/>
      <c r="DV97" s="10"/>
      <c r="DW97" s="10"/>
      <c r="EB97" s="10"/>
      <c r="EC97" s="10"/>
      <c r="ED97" s="10"/>
      <c r="EE97" s="10"/>
      <c r="EJ97" s="10"/>
      <c r="EK97" s="10"/>
      <c r="EL97" s="10"/>
      <c r="EM97" s="10"/>
      <c r="EQ97" s="10"/>
      <c r="ER97" s="10"/>
      <c r="ES97" s="10"/>
      <c r="ET97" s="10"/>
    </row>
    <row r="98" spans="2:150" ht="16" customHeight="1" outlineLevel="1">
      <c r="B98" t="s">
        <v>28</v>
      </c>
      <c r="E98" s="9"/>
      <c r="F98" t="s">
        <v>146</v>
      </c>
      <c r="G98" s="10">
        <v>0.15</v>
      </c>
      <c r="I98" s="9">
        <f>+SUMIF($N$3:$YH$3,I$3,$N98:$YH98)</f>
        <v>0</v>
      </c>
      <c r="J98" s="11" cm="1">
        <f t="array" ref="J98">MAX(IF($N$3:$DT$3=$J$3,N98:DT98))</f>
        <v>0.5</v>
      </c>
      <c r="K98" s="11" cm="1">
        <f t="array" ref="K98">MAX(IF($N$3:$DT$3=$J$3,N98:DT98))</f>
        <v>0.5</v>
      </c>
      <c r="L98" s="9"/>
      <c r="M98" s="9"/>
      <c r="O98" s="10">
        <v>0.3</v>
      </c>
      <c r="P98" s="10"/>
      <c r="Q98" s="10">
        <v>0.3</v>
      </c>
      <c r="R98" s="10"/>
      <c r="V98" s="10"/>
      <c r="W98" s="10">
        <v>1</v>
      </c>
      <c r="X98" s="10"/>
      <c r="Y98" s="10">
        <v>1</v>
      </c>
      <c r="AC98" s="10">
        <v>0.5</v>
      </c>
      <c r="AD98" s="10">
        <v>1</v>
      </c>
      <c r="AE98" s="10">
        <v>0.5</v>
      </c>
      <c r="AF98" s="10">
        <v>1</v>
      </c>
      <c r="AJ98" s="10"/>
      <c r="AK98" s="10">
        <v>1</v>
      </c>
      <c r="AL98" s="10"/>
      <c r="AM98" s="10">
        <v>1</v>
      </c>
      <c r="AQ98" s="10"/>
      <c r="AR98" s="10">
        <v>1</v>
      </c>
      <c r="AS98" s="10"/>
      <c r="AT98" s="10">
        <v>1</v>
      </c>
      <c r="AX98" s="10"/>
      <c r="AY98" s="10">
        <v>1</v>
      </c>
      <c r="AZ98" s="10"/>
      <c r="BA98" s="10">
        <v>1</v>
      </c>
      <c r="BC98" s="10"/>
      <c r="BF98" s="10"/>
      <c r="BG98" s="10"/>
      <c r="BH98" s="10"/>
      <c r="BI98" s="10"/>
      <c r="BM98" s="10"/>
      <c r="BN98" s="10"/>
      <c r="BO98" s="10"/>
      <c r="BP98" s="10"/>
      <c r="BT98" s="10"/>
      <c r="BU98" s="10"/>
      <c r="BV98" s="10"/>
      <c r="BW98" s="10"/>
      <c r="CA98" s="10"/>
      <c r="CB98" s="10"/>
      <c r="CC98" s="10"/>
      <c r="CD98" s="10"/>
      <c r="CH98" s="10"/>
      <c r="CI98" s="10"/>
      <c r="CJ98" s="10"/>
      <c r="CK98" s="10"/>
      <c r="CO98" s="10"/>
      <c r="CP98" s="10"/>
      <c r="CQ98" s="10"/>
      <c r="CR98" s="10"/>
      <c r="CV98" s="10"/>
      <c r="CW98" s="10"/>
      <c r="CX98" s="10"/>
      <c r="CY98" s="10"/>
      <c r="DD98" s="10"/>
      <c r="DE98" s="10"/>
      <c r="DF98" s="10"/>
      <c r="DG98" s="10"/>
      <c r="DL98" s="10"/>
      <c r="DM98" s="10"/>
      <c r="DN98" s="10"/>
      <c r="DO98" s="10"/>
      <c r="DT98" s="10"/>
      <c r="DU98" s="10"/>
      <c r="DV98" s="10"/>
      <c r="DW98" s="10"/>
      <c r="EB98" s="10"/>
      <c r="EC98" s="10"/>
      <c r="ED98" s="10"/>
      <c r="EE98" s="10"/>
      <c r="EJ98" s="10"/>
      <c r="EK98" s="10"/>
      <c r="EL98" s="10"/>
      <c r="EM98" s="10"/>
      <c r="EQ98" s="10"/>
      <c r="ER98" s="10"/>
      <c r="ES98" s="10"/>
      <c r="ET98" s="10"/>
    </row>
    <row r="99" spans="2:150" ht="16" customHeight="1" outlineLevel="1">
      <c r="B99" t="s">
        <v>28</v>
      </c>
      <c r="E99" s="9"/>
      <c r="F99" t="s">
        <v>147</v>
      </c>
      <c r="G99" s="10">
        <v>0.15</v>
      </c>
      <c r="I99" s="9">
        <f>+SUMIF($N$3:$YH$3,I$3,$N99:$YH99)</f>
        <v>0</v>
      </c>
      <c r="J99" s="11" cm="1">
        <f t="array" ref="J99">MAX(IF($N$3:$DT$3=$J$3,N99:DT99))</f>
        <v>0.5</v>
      </c>
      <c r="K99" s="11" cm="1">
        <f t="array" ref="K99">MAX(IF($N$3:$DT$3=$J$3,N99:DT99))</f>
        <v>0.5</v>
      </c>
      <c r="L99" s="9"/>
      <c r="M99" s="9"/>
      <c r="O99" s="10">
        <v>0.3</v>
      </c>
      <c r="P99" s="10"/>
      <c r="Q99" s="10">
        <v>0.1</v>
      </c>
      <c r="R99" s="10"/>
      <c r="V99" s="10"/>
      <c r="W99" s="10">
        <v>1</v>
      </c>
      <c r="X99" s="10"/>
      <c r="Y99" s="10">
        <v>1</v>
      </c>
      <c r="AC99" s="10">
        <v>0.5</v>
      </c>
      <c r="AD99" s="10">
        <v>1</v>
      </c>
      <c r="AE99" s="10">
        <v>0.5</v>
      </c>
      <c r="AF99" s="10">
        <v>1</v>
      </c>
      <c r="AJ99" s="10"/>
      <c r="AK99" s="10">
        <v>1</v>
      </c>
      <c r="AL99" s="10"/>
      <c r="AM99" s="10">
        <v>1</v>
      </c>
      <c r="AQ99" s="10"/>
      <c r="AR99" s="10">
        <v>1</v>
      </c>
      <c r="AS99" s="10"/>
      <c r="AT99" s="10">
        <v>1</v>
      </c>
      <c r="AX99" s="10"/>
      <c r="AY99" s="10">
        <v>1</v>
      </c>
      <c r="AZ99" s="10"/>
      <c r="BA99" s="10">
        <v>1</v>
      </c>
      <c r="BC99" s="10"/>
      <c r="BF99" s="10"/>
      <c r="BG99" s="10"/>
      <c r="BH99" s="10"/>
      <c r="BI99" s="10"/>
      <c r="BM99" s="10"/>
      <c r="BN99" s="10"/>
      <c r="BO99" s="10"/>
      <c r="BP99" s="10"/>
      <c r="BT99" s="10"/>
      <c r="BU99" s="10"/>
      <c r="BV99" s="10"/>
      <c r="BW99" s="10"/>
      <c r="CA99" s="10"/>
      <c r="CB99" s="10"/>
      <c r="CC99" s="10"/>
      <c r="CD99" s="10"/>
      <c r="CH99" s="10"/>
      <c r="CI99" s="10"/>
      <c r="CJ99" s="10"/>
      <c r="CK99" s="10"/>
      <c r="CO99" s="10"/>
      <c r="CP99" s="10"/>
      <c r="CQ99" s="10"/>
      <c r="CR99" s="10"/>
      <c r="CV99" s="10"/>
      <c r="CW99" s="10"/>
      <c r="CX99" s="10"/>
      <c r="CY99" s="10"/>
      <c r="DD99" s="10"/>
      <c r="DE99" s="10"/>
      <c r="DF99" s="10"/>
      <c r="DG99" s="10"/>
      <c r="DL99" s="10"/>
      <c r="DM99" s="10"/>
      <c r="DN99" s="10"/>
      <c r="DO99" s="10"/>
      <c r="DT99" s="10"/>
      <c r="DU99" s="10"/>
      <c r="DV99" s="10"/>
      <c r="DW99" s="10"/>
      <c r="EB99" s="10"/>
      <c r="EC99" s="10"/>
      <c r="ED99" s="10"/>
      <c r="EE99" s="10"/>
      <c r="EJ99" s="10"/>
      <c r="EK99" s="10"/>
      <c r="EL99" s="10"/>
      <c r="EM99" s="10"/>
      <c r="EQ99" s="10"/>
      <c r="ER99" s="10"/>
      <c r="ES99" s="10"/>
      <c r="ET99" s="10"/>
    </row>
    <row r="100" spans="2:150" ht="16" customHeight="1" outlineLevel="1">
      <c r="B100" t="s">
        <v>28</v>
      </c>
      <c r="E100" s="9"/>
      <c r="F100" t="s">
        <v>148</v>
      </c>
      <c r="G100" s="10">
        <v>0.15</v>
      </c>
      <c r="I100" s="9">
        <f>+SUMIF($N$3:$YH$3,I$3,$N100:$YH100)</f>
        <v>0</v>
      </c>
      <c r="J100" s="11" cm="1">
        <f t="array" ref="J100">MAX(IF($N$3:$DT$3=$J$3,N100:DT100))</f>
        <v>0.5</v>
      </c>
      <c r="K100" s="11" cm="1">
        <f t="array" ref="K100">MAX(IF($N$3:$DT$3=$J$3,N100:DT100))</f>
        <v>0.5</v>
      </c>
      <c r="L100" s="9"/>
      <c r="M100" s="9"/>
      <c r="O100" s="10">
        <v>0.3</v>
      </c>
      <c r="P100" s="10"/>
      <c r="Q100" s="10">
        <v>0.1</v>
      </c>
      <c r="R100" s="10"/>
      <c r="V100" s="10"/>
      <c r="W100" s="10">
        <v>1</v>
      </c>
      <c r="X100" s="10"/>
      <c r="Y100" s="10">
        <v>1</v>
      </c>
      <c r="AC100" s="10">
        <v>0.5</v>
      </c>
      <c r="AD100" s="10">
        <v>1</v>
      </c>
      <c r="AE100" s="10">
        <v>0.5</v>
      </c>
      <c r="AF100" s="10">
        <v>1</v>
      </c>
      <c r="AJ100" s="10"/>
      <c r="AK100" s="10">
        <v>1</v>
      </c>
      <c r="AL100" s="10"/>
      <c r="AM100" s="10">
        <v>1</v>
      </c>
      <c r="AQ100" s="10"/>
      <c r="AR100" s="10">
        <v>1</v>
      </c>
      <c r="AS100" s="10"/>
      <c r="AT100" s="10">
        <v>1</v>
      </c>
      <c r="AX100" s="10"/>
      <c r="AY100" s="10">
        <v>1</v>
      </c>
      <c r="AZ100" s="10"/>
      <c r="BA100" s="10">
        <v>1</v>
      </c>
      <c r="BC100" s="10"/>
      <c r="BF100" s="10"/>
      <c r="BG100" s="10"/>
      <c r="BH100" s="10"/>
      <c r="BI100" s="10"/>
      <c r="BM100" s="10"/>
      <c r="BN100" s="10"/>
      <c r="BO100" s="10"/>
      <c r="BP100" s="10"/>
      <c r="BT100" s="10"/>
      <c r="BU100" s="10"/>
      <c r="BV100" s="10"/>
      <c r="BW100" s="10"/>
      <c r="CA100" s="10"/>
      <c r="CB100" s="10"/>
      <c r="CC100" s="10"/>
      <c r="CD100" s="10"/>
      <c r="CH100" s="10"/>
      <c r="CI100" s="10"/>
      <c r="CJ100" s="10"/>
      <c r="CK100" s="10"/>
      <c r="CO100" s="10"/>
      <c r="CP100" s="10"/>
      <c r="CQ100" s="10"/>
      <c r="CR100" s="10"/>
      <c r="CV100" s="10"/>
      <c r="CW100" s="10"/>
      <c r="CX100" s="10"/>
      <c r="CY100" s="10"/>
      <c r="DD100" s="10"/>
      <c r="DE100" s="10"/>
      <c r="DF100" s="10"/>
      <c r="DG100" s="10"/>
      <c r="DL100" s="10"/>
      <c r="DM100" s="10"/>
      <c r="DN100" s="10"/>
      <c r="DO100" s="10"/>
      <c r="DT100" s="10"/>
      <c r="DU100" s="10"/>
      <c r="DV100" s="10"/>
      <c r="DW100" s="10"/>
      <c r="EB100" s="10"/>
      <c r="EC100" s="10"/>
      <c r="ED100" s="10"/>
      <c r="EE100" s="10"/>
      <c r="EJ100" s="10"/>
      <c r="EK100" s="10"/>
      <c r="EL100" s="10"/>
      <c r="EM100" s="10"/>
      <c r="EQ100" s="10"/>
      <c r="ER100" s="10"/>
      <c r="ES100" s="10"/>
      <c r="ET100" s="10"/>
    </row>
  </sheetData>
  <mergeCells count="20">
    <mergeCell ref="EP2:EU2"/>
    <mergeCell ref="EI2:EN2"/>
    <mergeCell ref="CU2:CZ2"/>
    <mergeCell ref="DC2:DH2"/>
    <mergeCell ref="DK2:DP2"/>
    <mergeCell ref="DS2:DX2"/>
    <mergeCell ref="EA2:EF2"/>
    <mergeCell ref="I2:L2"/>
    <mergeCell ref="AW2:BB2"/>
    <mergeCell ref="N2:S2"/>
    <mergeCell ref="U2:Z2"/>
    <mergeCell ref="AB2:AG2"/>
    <mergeCell ref="AI2:AN2"/>
    <mergeCell ref="AP2:AU2"/>
    <mergeCell ref="CG2:CL2"/>
    <mergeCell ref="CN2:CS2"/>
    <mergeCell ref="BE2:BJ2"/>
    <mergeCell ref="BL2:BQ2"/>
    <mergeCell ref="BS2:BX2"/>
    <mergeCell ref="BZ2:CE2"/>
  </mergeCells>
  <conditionalFormatting sqref="J6">
    <cfRule type="colorScale" priority="882">
      <colorScale>
        <cfvo type="percent" val="0"/>
        <cfvo type="percent" val="100"/>
        <color rgb="FFFF231B"/>
        <color rgb="FF10FF07"/>
      </colorScale>
    </cfRule>
  </conditionalFormatting>
  <conditionalFormatting sqref="J7">
    <cfRule type="colorScale" priority="863">
      <colorScale>
        <cfvo type="percent" val="0"/>
        <cfvo type="percent" val="100"/>
        <color rgb="FFFF231B"/>
        <color rgb="FF10FF07"/>
      </colorScale>
    </cfRule>
  </conditionalFormatting>
  <conditionalFormatting sqref="J26:J40">
    <cfRule type="colorScale" priority="1487">
      <colorScale>
        <cfvo type="percent" val="0"/>
        <cfvo type="percent" val="100"/>
        <color rgb="FFFF231B"/>
        <color rgb="FF10FF07"/>
      </colorScale>
    </cfRule>
  </conditionalFormatting>
  <conditionalFormatting sqref="J43:J70">
    <cfRule type="colorScale" priority="1496">
      <colorScale>
        <cfvo type="percent" val="0"/>
        <cfvo type="percent" val="100"/>
        <color rgb="FFFF231B"/>
        <color rgb="FF10FF07"/>
      </colorScale>
    </cfRule>
  </conditionalFormatting>
  <conditionalFormatting sqref="J71">
    <cfRule type="colorScale" priority="550">
      <colorScale>
        <cfvo type="percent" val="0"/>
        <cfvo type="percent" val="100"/>
        <color rgb="FFFF231B"/>
        <color rgb="FF10FF07"/>
      </colorScale>
    </cfRule>
  </conditionalFormatting>
  <conditionalFormatting sqref="J73:J84">
    <cfRule type="colorScale" priority="547">
      <colorScale>
        <cfvo type="percent" val="0"/>
        <cfvo type="percent" val="100"/>
        <color rgb="FFFF231B"/>
        <color rgb="FF10FF07"/>
      </colorScale>
    </cfRule>
  </conditionalFormatting>
  <conditionalFormatting sqref="J88">
    <cfRule type="colorScale" priority="456">
      <colorScale>
        <cfvo type="percent" val="0"/>
        <cfvo type="percent" val="100"/>
        <color rgb="FFFF231B"/>
        <color rgb="FF10FF07"/>
      </colorScale>
    </cfRule>
  </conditionalFormatting>
  <conditionalFormatting sqref="J89">
    <cfRule type="colorScale" priority="439">
      <colorScale>
        <cfvo type="percent" val="0"/>
        <cfvo type="percent" val="100"/>
        <color rgb="FFFF231B"/>
        <color rgb="FF10FF07"/>
      </colorScale>
    </cfRule>
  </conditionalFormatting>
  <conditionalFormatting sqref="J95">
    <cfRule type="colorScale" priority="83">
      <colorScale>
        <cfvo type="percent" val="0"/>
        <cfvo type="percent" val="100"/>
        <color rgb="FFFF231B"/>
        <color rgb="FF10FF07"/>
      </colorScale>
    </cfRule>
  </conditionalFormatting>
  <conditionalFormatting sqref="J96">
    <cfRule type="colorScale" priority="76">
      <colorScale>
        <cfvo type="percent" val="0"/>
        <cfvo type="percent" val="100"/>
        <color rgb="FFFF231B"/>
        <color rgb="FF10FF07"/>
      </colorScale>
    </cfRule>
  </conditionalFormatting>
  <conditionalFormatting sqref="J6:K6">
    <cfRule type="colorScale" priority="883">
      <colorScale>
        <cfvo type="percent" val="0"/>
        <cfvo type="percent" val="100"/>
        <color rgb="FFFF231B"/>
        <color rgb="FF10FF07"/>
      </colorScale>
    </cfRule>
  </conditionalFormatting>
  <conditionalFormatting sqref="J7:K7">
    <cfRule type="colorScale" priority="864">
      <colorScale>
        <cfvo type="percent" val="0"/>
        <cfvo type="percent" val="100"/>
        <color rgb="FFFF231B"/>
        <color rgb="FF10FF07"/>
      </colorScale>
    </cfRule>
  </conditionalFormatting>
  <conditionalFormatting sqref="J8:K12">
    <cfRule type="colorScale" priority="1117">
      <colorScale>
        <cfvo type="percent" val="0"/>
        <cfvo type="percent" val="100"/>
        <color rgb="FFFF231B"/>
        <color rgb="FF10FF07"/>
      </colorScale>
    </cfRule>
  </conditionalFormatting>
  <conditionalFormatting sqref="J27:K40">
    <cfRule type="colorScale" priority="1486">
      <colorScale>
        <cfvo type="percent" val="0"/>
        <cfvo type="percent" val="100"/>
        <color rgb="FFFF231B"/>
        <color rgb="FF10FF07"/>
      </colorScale>
    </cfRule>
  </conditionalFormatting>
  <conditionalFormatting sqref="J64:K64">
    <cfRule type="colorScale" priority="399">
      <colorScale>
        <cfvo type="percent" val="0"/>
        <cfvo type="percent" val="100"/>
        <color rgb="FFFF231B"/>
        <color rgb="FF10FF07"/>
      </colorScale>
    </cfRule>
  </conditionalFormatting>
  <conditionalFormatting sqref="J65:K65">
    <cfRule type="colorScale" priority="398">
      <colorScale>
        <cfvo type="percent" val="0"/>
        <cfvo type="percent" val="100"/>
        <color rgb="FFFF231B"/>
        <color rgb="FF10FF07"/>
      </colorScale>
    </cfRule>
  </conditionalFormatting>
  <conditionalFormatting sqref="J66:K71 J44:K63">
    <cfRule type="colorScale" priority="735">
      <colorScale>
        <cfvo type="percent" val="0"/>
        <cfvo type="percent" val="100"/>
        <color rgb="FFFF231B"/>
        <color rgb="FF10FF07"/>
      </colorScale>
    </cfRule>
  </conditionalFormatting>
  <conditionalFormatting sqref="J74:K79">
    <cfRule type="colorScale" priority="546">
      <colorScale>
        <cfvo type="percent" val="0"/>
        <cfvo type="percent" val="100"/>
        <color rgb="FFFF231B"/>
        <color rgb="FF10FF07"/>
      </colorScale>
    </cfRule>
  </conditionalFormatting>
  <conditionalFormatting sqref="J80:K80">
    <cfRule type="colorScale" priority="465">
      <colorScale>
        <cfvo type="percent" val="0"/>
        <cfvo type="percent" val="100"/>
        <color rgb="FFFF231B"/>
        <color rgb="FF10FF07"/>
      </colorScale>
    </cfRule>
  </conditionalFormatting>
  <conditionalFormatting sqref="J81:K81">
    <cfRule type="colorScale" priority="464">
      <colorScale>
        <cfvo type="percent" val="0"/>
        <cfvo type="percent" val="100"/>
        <color rgb="FFFF231B"/>
        <color rgb="FF10FF07"/>
      </colorScale>
    </cfRule>
  </conditionalFormatting>
  <conditionalFormatting sqref="J82:K82">
    <cfRule type="colorScale" priority="463">
      <colorScale>
        <cfvo type="percent" val="0"/>
        <cfvo type="percent" val="100"/>
        <color rgb="FFFF231B"/>
        <color rgb="FF10FF07"/>
      </colorScale>
    </cfRule>
  </conditionalFormatting>
  <conditionalFormatting sqref="J83:K83">
    <cfRule type="colorScale" priority="462">
      <colorScale>
        <cfvo type="percent" val="0"/>
        <cfvo type="percent" val="100"/>
        <color rgb="FFFF231B"/>
        <color rgb="FF10FF07"/>
      </colorScale>
    </cfRule>
  </conditionalFormatting>
  <conditionalFormatting sqref="J84:K84">
    <cfRule type="colorScale" priority="461">
      <colorScale>
        <cfvo type="percent" val="0"/>
        <cfvo type="percent" val="100"/>
        <color rgb="FFFF231B"/>
        <color rgb="FF10FF07"/>
      </colorScale>
    </cfRule>
  </conditionalFormatting>
  <conditionalFormatting sqref="J88:K88">
    <cfRule type="colorScale" priority="457">
      <colorScale>
        <cfvo type="percent" val="0"/>
        <cfvo type="percent" val="100"/>
        <color rgb="FFFF231B"/>
        <color rgb="FF10FF07"/>
      </colorScale>
    </cfRule>
  </conditionalFormatting>
  <conditionalFormatting sqref="J89:K89">
    <cfRule type="colorScale" priority="440">
      <colorScale>
        <cfvo type="percent" val="0"/>
        <cfvo type="percent" val="100"/>
        <color rgb="FFFF231B"/>
        <color rgb="FF10FF07"/>
      </colorScale>
    </cfRule>
  </conditionalFormatting>
  <conditionalFormatting sqref="J95:K95">
    <cfRule type="colorScale" priority="84">
      <colorScale>
        <cfvo type="percent" val="0"/>
        <cfvo type="percent" val="100"/>
        <color rgb="FFFF231B"/>
        <color rgb="FF10FF07"/>
      </colorScale>
    </cfRule>
  </conditionalFormatting>
  <conditionalFormatting sqref="J96:K96">
    <cfRule type="colorScale" priority="77">
      <colorScale>
        <cfvo type="percent" val="0"/>
        <cfvo type="percent" val="100"/>
        <color rgb="FFFF231B"/>
        <color rgb="FF10FF07"/>
      </colorScale>
    </cfRule>
  </conditionalFormatting>
  <conditionalFormatting sqref="K6">
    <cfRule type="colorScale" priority="881">
      <colorScale>
        <cfvo type="percent" val="0"/>
        <cfvo type="percent" val="100"/>
        <color rgb="FFFF231B"/>
        <color rgb="FF10FF07"/>
      </colorScale>
    </cfRule>
  </conditionalFormatting>
  <conditionalFormatting sqref="K7">
    <cfRule type="colorScale" priority="862">
      <colorScale>
        <cfvo type="percent" val="0"/>
        <cfvo type="percent" val="100"/>
        <color rgb="FFFF231B"/>
        <color rgb="FF10FF07"/>
      </colorScale>
    </cfRule>
  </conditionalFormatting>
  <conditionalFormatting sqref="K26:K40">
    <cfRule type="colorScale" priority="1489">
      <colorScale>
        <cfvo type="percent" val="0"/>
        <cfvo type="percent" val="100"/>
        <color rgb="FFFF231B"/>
        <color rgb="FF10FF07"/>
      </colorScale>
    </cfRule>
  </conditionalFormatting>
  <conditionalFormatting sqref="K43:K71">
    <cfRule type="colorScale" priority="1501">
      <colorScale>
        <cfvo type="percent" val="0"/>
        <cfvo type="percent" val="100"/>
        <color rgb="FFFF231B"/>
        <color rgb="FF10FF07"/>
      </colorScale>
    </cfRule>
  </conditionalFormatting>
  <conditionalFormatting sqref="K73:K84">
    <cfRule type="colorScale" priority="548">
      <colorScale>
        <cfvo type="percent" val="0"/>
        <cfvo type="percent" val="100"/>
        <color rgb="FFFF231B"/>
        <color rgb="FF10FF07"/>
      </colorScale>
    </cfRule>
  </conditionalFormatting>
  <conditionalFormatting sqref="K88">
    <cfRule type="colorScale" priority="455">
      <colorScale>
        <cfvo type="percent" val="0"/>
        <cfvo type="percent" val="100"/>
        <color rgb="FFFF231B"/>
        <color rgb="FF10FF07"/>
      </colorScale>
    </cfRule>
  </conditionalFormatting>
  <conditionalFormatting sqref="K89">
    <cfRule type="colorScale" priority="438">
      <colorScale>
        <cfvo type="percent" val="0"/>
        <cfvo type="percent" val="100"/>
        <color rgb="FFFF231B"/>
        <color rgb="FF10FF07"/>
      </colorScale>
    </cfRule>
  </conditionalFormatting>
  <conditionalFormatting sqref="K95">
    <cfRule type="colorScale" priority="82">
      <colorScale>
        <cfvo type="percent" val="0"/>
        <cfvo type="percent" val="100"/>
        <color rgb="FFFF231B"/>
        <color rgb="FF10FF07"/>
      </colorScale>
    </cfRule>
  </conditionalFormatting>
  <conditionalFormatting sqref="K96">
    <cfRule type="colorScale" priority="75">
      <colorScale>
        <cfvo type="percent" val="0"/>
        <cfvo type="percent" val="100"/>
        <color rgb="FFFF231B"/>
        <color rgb="FF10FF07"/>
      </colorScale>
    </cfRule>
  </conditionalFormatting>
  <conditionalFormatting sqref="CA20:CA21 Q43 V43 O43:O55 X43:X70 AC43:AC70 AE43:AE70 AJ43:AJ70 AL43:AL70 AQ43:AQ70 AS43:AS70 AX43:AX70 AZ43:AZ70 BF43:BF70 BH43:BH70 BM43:BM70 BO43:BO70 BT43:BT70 BV43:BV70 CC43:CC70 CH43:CH70 CJ43:CJ70 CO43:CO70 CQ43:CQ70 CV43:CV70 CX43:CX70 DD43:DD70 DF43:DF70 DL43:DL70 DN43:DN70 DT43:DT70 DV43:DV70 EB43:EB70 ED43:ED70 EJ43:EJ70 EL43:EL70 Q46:Q70 V48:V70 CA50:CA70 Q22:Q23 CA23 O20:O23 V20:V23 X20:X23 AC20:AC23 AE20:AE23 AJ20:AJ23 AL20:AL23 AQ20:AQ23 AS20:AS23 AX20:AX23 AZ20:AZ23 BF20:BF23 BH20:BH23 BM20:BM23 BO20:BO23 BT20:BT23 BV20:BV23 CC20:CC23 CH20:CH23 CJ20:CJ23 CO20:CO23 CQ20:CQ23 CV20:CV23 CX20:CX23 DD20:DD23 DF20:DF23 DL20:DL23 DN20:DN23 DT20:DT23 DV20:DV23 EB20:EB23 ED20:ED23 EJ20:EJ23 EL20:EL23 EQ20:EQ23 ES20:ES23 O94:O100 Q94:Q100 V94:V100 X94:X100 AC94:AC100 AE94:AE100 AJ94:AJ100 AL94:AL100 AQ94:AQ100 AS94:AS100 AX94:AX100 AZ94:AZ100 BF94:BF100 BH94:BH100 BM94:BM100 BO94:BO100 BT94:BT100 BV94:BV100 CA94:CA100 CC94:CC100 CH94:CH100 CJ94:CJ100 CO94:CO100 CQ94:CQ100 CV94:CV100 CX94:CX100 DD94:DD100 DF94:DF100 DL94:DL100 DN94:DN100 DT94:DT100 DV94:DV100 EB94:EB100 ED94:ED100 EJ94:EJ100 EL94:EL100 EQ94:EQ100 ES94:ES100 O5:O18 Q5:Q18 V5:V18 X5:X18 AC5:AC18 AE5:AE18 AJ5:AJ18 AL5:AL18 AQ5:AQ18 AS5:AS18 AX5:AX18 AZ5:AZ18 BF5:BF18 BH5:BH18 BM5:BM18 BO5:BO18 BT5:BT18 BV5:BV18 CA5:CA18 CC5:CC18 CH5:CH18 CJ5:CJ18 CO5:CO18 CQ5:CQ18 CV5:CV18 CX5:CX18 DD5:DD18 DF5:DF18 DL5:DL18 DN5:DN18 DT5:DT18 DV5:DV18 EB5:EB18 ED5:ED18 EJ5:EJ18 EL5:EL18 EQ5:EQ18 ES5:ES18 O87:O91 Q87:Q91 V87:V91 X87:X91 AC87:AC91 AE87:AE91 AJ87:AJ91 AL87:AL91 AQ87:AQ91 AS87:AS91 AX87:AX91 AZ87:AZ91 BF87:BF91 BH87:BH91 BM87:BM91 BO87:BO91 BT87:BT91 BV87:BV91 CA87:CA91 CC87:CC91 CH87:CH91 CJ87:CJ91 CO87:CO91 CQ87:CQ91 CV87:CV91 CX87:CX91 DD87:DD91 DF87:DF91 DL87:DL91 DN87:DN91 DT87:DT91 DV87:DV91 EB87:EB91 ED87:ED91 EJ87:EJ91 EL87:EL91 EQ87:EQ91 ES87:ES91">
    <cfRule type="expression" dxfId="161" priority="877">
      <formula>OR(IF(O5&lt;P5,TRUE),IF(AND(P5="",O5&lt;&gt;""),TRUE))</formula>
    </cfRule>
    <cfRule type="expression" dxfId="160" priority="878">
      <formula>IF(O5&gt;=P5,IF(O5="",FALSE,TRUE))</formula>
    </cfRule>
  </conditionalFormatting>
  <conditionalFormatting sqref="O26:O40 Q26:Q40">
    <cfRule type="expression" dxfId="159" priority="1302">
      <formula>OR(IF(O26&lt;P26,TRUE),IF(AND(P26="",O26&lt;&gt;""),TRUE))</formula>
    </cfRule>
    <cfRule type="expression" dxfId="158" priority="1303">
      <formula>IF(O26&gt;=P26,IF(O26="",FALSE,TRUE))</formula>
    </cfRule>
  </conditionalFormatting>
  <conditionalFormatting sqref="O57:O70">
    <cfRule type="expression" dxfId="153" priority="88">
      <formula>OR(IF(O57&lt;P57,TRUE),IF(AND(P57="",O57&lt;&gt;""),TRUE))</formula>
    </cfRule>
    <cfRule type="expression" dxfId="152" priority="89">
      <formula>IF(O57&gt;=P57,IF(O57="",FALSE,TRUE))</formula>
    </cfRule>
  </conditionalFormatting>
  <conditionalFormatting sqref="O73:O84">
    <cfRule type="expression" dxfId="151" priority="540">
      <formula>OR(IF(O73&lt;P73,TRUE),IF(AND(P73="",O73&lt;&gt;""),TRUE))</formula>
    </cfRule>
    <cfRule type="expression" dxfId="150" priority="541">
      <formula>IF(O73&gt;=P73,IF(O73="",FALSE,TRUE))</formula>
    </cfRule>
  </conditionalFormatting>
  <conditionalFormatting sqref="Q20 CA22 Q44 V44:V47 O56">
    <cfRule type="expression" dxfId="149" priority="1492">
      <formula>OR(IF(O20&lt;P21,TRUE),IF(AND(P21="",O20&lt;&gt;""),TRUE))</formula>
    </cfRule>
    <cfRule type="expression" dxfId="148" priority="1493">
      <formula>IF(O20&gt;=P21,IF(O20="",FALSE,TRUE))</formula>
    </cfRule>
  </conditionalFormatting>
  <conditionalFormatting sqref="Q73:Q84">
    <cfRule type="expression" dxfId="147" priority="538">
      <formula>OR(IF(Q73&lt;R73,TRUE),IF(AND(R73="",Q73&lt;&gt;""),TRUE))</formula>
    </cfRule>
    <cfRule type="expression" dxfId="146" priority="539">
      <formula>IF(Q73&gt;=R73,IF(Q73="",FALSE,TRUE))</formula>
    </cfRule>
  </conditionalFormatting>
  <conditionalFormatting sqref="U85:U86 W85:W86">
    <cfRule type="expression" dxfId="145" priority="114">
      <formula>OR(IF(U85&lt;V85,TRUE),IF(AND(V85="",U85&lt;&gt;""),TRUE))</formula>
    </cfRule>
    <cfRule type="expression" dxfId="144" priority="115">
      <formula>IF(U85&gt;=V85,IF(U85="",FALSE,TRUE))</formula>
    </cfRule>
  </conditionalFormatting>
  <conditionalFormatting sqref="U93 W93">
    <cfRule type="expression" dxfId="143" priority="25">
      <formula>OR(IF(U93&lt;V93,TRUE),IF(AND(V93="",U93&lt;&gt;""),TRUE))</formula>
    </cfRule>
    <cfRule type="expression" dxfId="142" priority="26">
      <formula>IF(U93&gt;=V93,IF(U93="",FALSE,TRUE))</formula>
    </cfRule>
  </conditionalFormatting>
  <conditionalFormatting sqref="V26:V40 X26:X40">
    <cfRule type="expression" dxfId="141" priority="100">
      <formula>OR(IF(V26&lt;W26,TRUE),IF(AND(W26="",V26&lt;&gt;""),TRUE))</formula>
    </cfRule>
    <cfRule type="expression" dxfId="140" priority="101">
      <formula>IF(V26&gt;=W26,IF(V26="",FALSE,TRUE))</formula>
    </cfRule>
  </conditionalFormatting>
  <conditionalFormatting sqref="V73:V84">
    <cfRule type="expression" dxfId="139" priority="94">
      <formula>OR(IF(V73&lt;W73,TRUE),IF(AND(W73="",V73&lt;&gt;""),TRUE))</formula>
    </cfRule>
    <cfRule type="expression" dxfId="138" priority="95">
      <formula>IF(V73&gt;=W73,IF(V73="",FALSE,TRUE))</formula>
    </cfRule>
  </conditionalFormatting>
  <conditionalFormatting sqref="X73:X84">
    <cfRule type="expression" dxfId="137" priority="92">
      <formula>OR(IF(X73&lt;Y73,TRUE),IF(AND(Y73="",X73&lt;&gt;""),TRUE))</formula>
    </cfRule>
    <cfRule type="expression" dxfId="136" priority="93">
      <formula>IF(X73&gt;=Y73,IF(X73="",FALSE,TRUE))</formula>
    </cfRule>
  </conditionalFormatting>
  <conditionalFormatting sqref="AB85:AB86 AD85:AD86">
    <cfRule type="expression" dxfId="135" priority="140">
      <formula>OR(IF(AB85&lt;AC85,TRUE),IF(AND(AC85="",AB85&lt;&gt;""),TRUE))</formula>
    </cfRule>
    <cfRule type="expression" dxfId="134" priority="141">
      <formula>IF(AB85&gt;=AC85,IF(AB85="",FALSE,TRUE))</formula>
    </cfRule>
  </conditionalFormatting>
  <conditionalFormatting sqref="AB93 AD93">
    <cfRule type="expression" dxfId="133" priority="29">
      <formula>OR(IF(AB93&lt;AC93,TRUE),IF(AND(AC93="",AB93&lt;&gt;""),TRUE))</formula>
    </cfRule>
    <cfRule type="expression" dxfId="132" priority="30">
      <formula>IF(AB93&gt;=AC93,IF(AB93="",FALSE,TRUE))</formula>
    </cfRule>
  </conditionalFormatting>
  <conditionalFormatting sqref="AC26:AC40 AE26:AE40">
    <cfRule type="expression" dxfId="131" priority="126">
      <formula>OR(IF(AC26&lt;AD26,TRUE),IF(AND(AD26="",AC26&lt;&gt;""),TRUE))</formula>
    </cfRule>
    <cfRule type="expression" dxfId="130" priority="127">
      <formula>IF(AC26&gt;=AD26,IF(AC26="",FALSE,TRUE))</formula>
    </cfRule>
  </conditionalFormatting>
  <conditionalFormatting sqref="AC73:AC84">
    <cfRule type="expression" dxfId="129" priority="120">
      <formula>OR(IF(AC73&lt;AD73,TRUE),IF(AND(AD73="",AC73&lt;&gt;""),TRUE))</formula>
    </cfRule>
    <cfRule type="expression" dxfId="128" priority="121">
      <formula>IF(AC73&gt;=AD73,IF(AC73="",FALSE,TRUE))</formula>
    </cfRule>
  </conditionalFormatting>
  <conditionalFormatting sqref="AE73:AE84">
    <cfRule type="expression" dxfId="127" priority="118">
      <formula>OR(IF(AE73&lt;AF73,TRUE),IF(AND(AF73="",AE73&lt;&gt;""),TRUE))</formula>
    </cfRule>
    <cfRule type="expression" dxfId="126" priority="119">
      <formula>IF(AE73&gt;=AF73,IF(AE73="",FALSE,TRUE))</formula>
    </cfRule>
  </conditionalFormatting>
  <conditionalFormatting sqref="AI85:AI86 AK85:AK86">
    <cfRule type="expression" dxfId="125" priority="166">
      <formula>OR(IF(AI85&lt;AJ85,TRUE),IF(AND(AJ85="",AI85&lt;&gt;""),TRUE))</formula>
    </cfRule>
    <cfRule type="expression" dxfId="124" priority="167">
      <formula>IF(AI85&gt;=AJ85,IF(AI85="",FALSE,TRUE))</formula>
    </cfRule>
  </conditionalFormatting>
  <conditionalFormatting sqref="AI93 AK93">
    <cfRule type="expression" dxfId="123" priority="33">
      <formula>OR(IF(AI93&lt;AJ93,TRUE),IF(AND(AJ93="",AI93&lt;&gt;""),TRUE))</formula>
    </cfRule>
    <cfRule type="expression" dxfId="122" priority="34">
      <formula>IF(AI93&gt;=AJ93,IF(AI93="",FALSE,TRUE))</formula>
    </cfRule>
  </conditionalFormatting>
  <conditionalFormatting sqref="AJ26:AJ40 AL26:AL40">
    <cfRule type="expression" dxfId="121" priority="152">
      <formula>OR(IF(AJ26&lt;AK26,TRUE),IF(AND(AK26="",AJ26&lt;&gt;""),TRUE))</formula>
    </cfRule>
    <cfRule type="expression" dxfId="120" priority="153">
      <formula>IF(AJ26&gt;=AK26,IF(AJ26="",FALSE,TRUE))</formula>
    </cfRule>
  </conditionalFormatting>
  <conditionalFormatting sqref="AJ73:AJ84">
    <cfRule type="expression" dxfId="119" priority="146">
      <formula>OR(IF(AJ73&lt;AK73,TRUE),IF(AND(AK73="",AJ73&lt;&gt;""),TRUE))</formula>
    </cfRule>
    <cfRule type="expression" dxfId="118" priority="147">
      <formula>IF(AJ73&gt;=AK73,IF(AJ73="",FALSE,TRUE))</formula>
    </cfRule>
  </conditionalFormatting>
  <conditionalFormatting sqref="AL73:AL84">
    <cfRule type="expression" dxfId="117" priority="144">
      <formula>OR(IF(AL73&lt;AM73,TRUE),IF(AND(AM73="",AL73&lt;&gt;""),TRUE))</formula>
    </cfRule>
    <cfRule type="expression" dxfId="116" priority="145">
      <formula>IF(AL73&gt;=AM73,IF(AL73="",FALSE,TRUE))</formula>
    </cfRule>
  </conditionalFormatting>
  <conditionalFormatting sqref="AP85:AP86 AR85:AR86">
    <cfRule type="expression" dxfId="115" priority="192">
      <formula>OR(IF(AP85&lt;AQ85,TRUE),IF(AND(AQ85="",AP85&lt;&gt;""),TRUE))</formula>
    </cfRule>
    <cfRule type="expression" dxfId="114" priority="193">
      <formula>IF(AP85&gt;=AQ85,IF(AP85="",FALSE,TRUE))</formula>
    </cfRule>
  </conditionalFormatting>
  <conditionalFormatting sqref="AP93 AR93">
    <cfRule type="expression" dxfId="113" priority="37">
      <formula>OR(IF(AP93&lt;AQ93,TRUE),IF(AND(AQ93="",AP93&lt;&gt;""),TRUE))</formula>
    </cfRule>
    <cfRule type="expression" dxfId="112" priority="38">
      <formula>IF(AP93&gt;=AQ93,IF(AP93="",FALSE,TRUE))</formula>
    </cfRule>
  </conditionalFormatting>
  <conditionalFormatting sqref="AQ26:AQ40 AS26:AS40">
    <cfRule type="expression" dxfId="111" priority="178">
      <formula>OR(IF(AQ26&lt;AR26,TRUE),IF(AND(AR26="",AQ26&lt;&gt;""),TRUE))</formula>
    </cfRule>
    <cfRule type="expression" dxfId="110" priority="179">
      <formula>IF(AQ26&gt;=AR26,IF(AQ26="",FALSE,TRUE))</formula>
    </cfRule>
  </conditionalFormatting>
  <conditionalFormatting sqref="AQ73:AQ84">
    <cfRule type="expression" dxfId="109" priority="172">
      <formula>OR(IF(AQ73&lt;AR73,TRUE),IF(AND(AR73="",AQ73&lt;&gt;""),TRUE))</formula>
    </cfRule>
    <cfRule type="expression" dxfId="108" priority="173">
      <formula>IF(AQ73&gt;=AR73,IF(AQ73="",FALSE,TRUE))</formula>
    </cfRule>
  </conditionalFormatting>
  <conditionalFormatting sqref="AS73:AS84">
    <cfRule type="expression" dxfId="107" priority="170">
      <formula>OR(IF(AS73&lt;AT73,TRUE),IF(AND(AT73="",AS73&lt;&gt;""),TRUE))</formula>
    </cfRule>
    <cfRule type="expression" dxfId="106" priority="171">
      <formula>IF(AS73&gt;=AT73,IF(AS73="",FALSE,TRUE))</formula>
    </cfRule>
  </conditionalFormatting>
  <conditionalFormatting sqref="AW85:AW86 AY85:AY86">
    <cfRule type="expression" dxfId="105" priority="218">
      <formula>OR(IF(AW85&lt;AX85,TRUE),IF(AND(AX85="",AW85&lt;&gt;""),TRUE))</formula>
    </cfRule>
    <cfRule type="expression" dxfId="104" priority="219">
      <formula>IF(AW85&gt;=AX85,IF(AW85="",FALSE,TRUE))</formula>
    </cfRule>
  </conditionalFormatting>
  <conditionalFormatting sqref="AW93 AY93">
    <cfRule type="expression" dxfId="103" priority="41">
      <formula>OR(IF(AW93&lt;AX93,TRUE),IF(AND(AX93="",AW93&lt;&gt;""),TRUE))</formula>
    </cfRule>
    <cfRule type="expression" dxfId="102" priority="42">
      <formula>IF(AW93&gt;=AX93,IF(AW93="",FALSE,TRUE))</formula>
    </cfRule>
  </conditionalFormatting>
  <conditionalFormatting sqref="AX26:AX40 AZ26:AZ40">
    <cfRule type="expression" dxfId="101" priority="204">
      <formula>OR(IF(AX26&lt;AY26,TRUE),IF(AND(AY26="",AX26&lt;&gt;""),TRUE))</formula>
    </cfRule>
    <cfRule type="expression" dxfId="100" priority="205">
      <formula>IF(AX26&gt;=AY26,IF(AX26="",FALSE,TRUE))</formula>
    </cfRule>
  </conditionalFormatting>
  <conditionalFormatting sqref="AX73:AX84">
    <cfRule type="expression" dxfId="99" priority="198">
      <formula>OR(IF(AX73&lt;AY73,TRUE),IF(AND(AY73="",AX73&lt;&gt;""),TRUE))</formula>
    </cfRule>
    <cfRule type="expression" dxfId="98" priority="199">
      <formula>IF(AX73&gt;=AY73,IF(AX73="",FALSE,TRUE))</formula>
    </cfRule>
  </conditionalFormatting>
  <conditionalFormatting sqref="AZ73:AZ84">
    <cfRule type="expression" dxfId="97" priority="196">
      <formula>OR(IF(AZ73&lt;BA73,TRUE),IF(AND(BA73="",AZ73&lt;&gt;""),TRUE))</formula>
    </cfRule>
    <cfRule type="expression" dxfId="96" priority="197">
      <formula>IF(AZ73&gt;=BA73,IF(AZ73="",FALSE,TRUE))</formula>
    </cfRule>
  </conditionalFormatting>
  <conditionalFormatting sqref="BC94:BC100 BC87:BC92">
    <cfRule type="expression" dxfId="95" priority="1494">
      <formula>OR(IF(BC87&lt;#REF!,TRUE),IF(AND(#REF!="",BC87&lt;&gt;""),TRUE))</formula>
    </cfRule>
    <cfRule type="expression" dxfId="94" priority="1495">
      <formula>IF(BC87&gt;=#REF!,IF(BC87="",FALSE,TRUE))</formula>
    </cfRule>
  </conditionalFormatting>
  <conditionalFormatting sqref="BF26:BF40 BH26:BH40">
    <cfRule type="expression" dxfId="93" priority="284">
      <formula>OR(IF(BF26&lt;BG26,TRUE),IF(AND(BG26="",BF26&lt;&gt;""),TRUE))</formula>
    </cfRule>
    <cfRule type="expression" dxfId="92" priority="285">
      <formula>IF(BF26&gt;=BG26,IF(BF26="",FALSE,TRUE))</formula>
    </cfRule>
  </conditionalFormatting>
  <conditionalFormatting sqref="BF73:BF84">
    <cfRule type="expression" dxfId="91" priority="278">
      <formula>OR(IF(BF73&lt;BG73,TRUE),IF(AND(BG73="",BF73&lt;&gt;""),TRUE))</formula>
    </cfRule>
    <cfRule type="expression" dxfId="90" priority="279">
      <formula>IF(BF73&gt;=BG73,IF(BF73="",FALSE,TRUE))</formula>
    </cfRule>
  </conditionalFormatting>
  <conditionalFormatting sqref="BH73:BH84">
    <cfRule type="expression" dxfId="89" priority="276">
      <formula>OR(IF(BH73&lt;BI73,TRUE),IF(AND(BI73="",BH73&lt;&gt;""),TRUE))</formula>
    </cfRule>
    <cfRule type="expression" dxfId="88" priority="277">
      <formula>IF(BH73&gt;=BI73,IF(BH73="",FALSE,TRUE))</formula>
    </cfRule>
  </conditionalFormatting>
  <conditionalFormatting sqref="BM26:BM40 BO26:BO40">
    <cfRule type="expression" dxfId="87" priority="308">
      <formula>OR(IF(BM26&lt;BN26,TRUE),IF(AND(BN26="",BM26&lt;&gt;""),TRUE))</formula>
    </cfRule>
    <cfRule type="expression" dxfId="86" priority="309">
      <formula>IF(BM26&gt;=BN26,IF(BM26="",FALSE,TRUE))</formula>
    </cfRule>
  </conditionalFormatting>
  <conditionalFormatting sqref="BM73:BM84">
    <cfRule type="expression" dxfId="85" priority="302">
      <formula>OR(IF(BM73&lt;BN73,TRUE),IF(AND(BN73="",BM73&lt;&gt;""),TRUE))</formula>
    </cfRule>
    <cfRule type="expression" dxfId="84" priority="303">
      <formula>IF(BM73&gt;=BN73,IF(BM73="",FALSE,TRUE))</formula>
    </cfRule>
  </conditionalFormatting>
  <conditionalFormatting sqref="BO73:BO84">
    <cfRule type="expression" dxfId="83" priority="300">
      <formula>OR(IF(BO73&lt;BP73,TRUE),IF(AND(BP73="",BO73&lt;&gt;""),TRUE))</formula>
    </cfRule>
    <cfRule type="expression" dxfId="82" priority="301">
      <formula>IF(BO73&gt;=BP73,IF(BO73="",FALSE,TRUE))</formula>
    </cfRule>
  </conditionalFormatting>
  <conditionalFormatting sqref="BT26:BT40 BV26:BV40">
    <cfRule type="expression" dxfId="81" priority="332">
      <formula>OR(IF(BT26&lt;BU26,TRUE),IF(AND(BU26="",BT26&lt;&gt;""),TRUE))</formula>
    </cfRule>
    <cfRule type="expression" dxfId="80" priority="333">
      <formula>IF(BT26&gt;=BU26,IF(BT26="",FALSE,TRUE))</formula>
    </cfRule>
  </conditionalFormatting>
  <conditionalFormatting sqref="BT73:BT84">
    <cfRule type="expression" dxfId="79" priority="326">
      <formula>OR(IF(BT73&lt;BU73,TRUE),IF(AND(BU73="",BT73&lt;&gt;""),TRUE))</formula>
    </cfRule>
    <cfRule type="expression" dxfId="78" priority="327">
      <formula>IF(BT73&gt;=BU73,IF(BT73="",FALSE,TRUE))</formula>
    </cfRule>
  </conditionalFormatting>
  <conditionalFormatting sqref="BV73:BV84">
    <cfRule type="expression" dxfId="77" priority="324">
      <formula>OR(IF(BV73&lt;BW73,TRUE),IF(AND(BW73="",BV73&lt;&gt;""),TRUE))</formula>
    </cfRule>
    <cfRule type="expression" dxfId="76" priority="325">
      <formula>IF(BV73&gt;=BW73,IF(BV73="",FALSE,TRUE))</formula>
    </cfRule>
  </conditionalFormatting>
  <conditionalFormatting sqref="CA26:CA40 CC26:CC40">
    <cfRule type="expression" dxfId="75" priority="356">
      <formula>OR(IF(CA26&lt;CB26,TRUE),IF(AND(CB26="",CA26&lt;&gt;""),TRUE))</formula>
    </cfRule>
    <cfRule type="expression" dxfId="74" priority="357">
      <formula>IF(CA26&gt;=CB26,IF(CA26="",FALSE,TRUE))</formula>
    </cfRule>
  </conditionalFormatting>
  <conditionalFormatting sqref="CA43:CA47">
    <cfRule type="expression" dxfId="73" priority="352">
      <formula>OR(IF(CA43&lt;CB43,TRUE),IF(AND(CB43="",CA43&lt;&gt;""),TRUE))</formula>
    </cfRule>
    <cfRule type="expression" dxfId="72" priority="353">
      <formula>IF(CA43&gt;=CB43,IF(CA43="",FALSE,TRUE))</formula>
    </cfRule>
  </conditionalFormatting>
  <conditionalFormatting sqref="CA73:CA84">
    <cfRule type="expression" dxfId="71" priority="350">
      <formula>OR(IF(CA73&lt;CB73,TRUE),IF(AND(CB73="",CA73&lt;&gt;""),TRUE))</formula>
    </cfRule>
    <cfRule type="expression" dxfId="70" priority="351">
      <formula>IF(CA73&gt;=CB73,IF(CA73="",FALSE,TRUE))</formula>
    </cfRule>
  </conditionalFormatting>
  <conditionalFormatting sqref="CC73:CC84">
    <cfRule type="expression" dxfId="69" priority="348">
      <formula>OR(IF(CC73&lt;CD73,TRUE),IF(AND(CD73="",CC73&lt;&gt;""),TRUE))</formula>
    </cfRule>
    <cfRule type="expression" dxfId="68" priority="349">
      <formula>IF(CC73&gt;=CD73,IF(CC73="",FALSE,TRUE))</formula>
    </cfRule>
  </conditionalFormatting>
  <conditionalFormatting sqref="CH26:CH40 CJ26:CJ40">
    <cfRule type="expression" dxfId="67" priority="380">
      <formula>OR(IF(CH26&lt;CI26,TRUE),IF(AND(CI26="",CH26&lt;&gt;""),TRUE))</formula>
    </cfRule>
    <cfRule type="expression" dxfId="66" priority="381">
      <formula>IF(CH26&gt;=CI26,IF(CH26="",FALSE,TRUE))</formula>
    </cfRule>
  </conditionalFormatting>
  <conditionalFormatting sqref="CH73:CH84">
    <cfRule type="expression" dxfId="65" priority="374">
      <formula>OR(IF(CH73&lt;CI73,TRUE),IF(AND(CI73="",CH73&lt;&gt;""),TRUE))</formula>
    </cfRule>
    <cfRule type="expression" dxfId="64" priority="375">
      <formula>IF(CH73&gt;=CI73,IF(CH73="",FALSE,TRUE))</formula>
    </cfRule>
  </conditionalFormatting>
  <conditionalFormatting sqref="CJ73:CJ84">
    <cfRule type="expression" dxfId="63" priority="372">
      <formula>OR(IF(CJ73&lt;CK73,TRUE),IF(AND(CK73="",CJ73&lt;&gt;""),TRUE))</formula>
    </cfRule>
    <cfRule type="expression" dxfId="62" priority="373">
      <formula>IF(CJ73&gt;=CK73,IF(CJ73="",FALSE,TRUE))</formula>
    </cfRule>
  </conditionalFormatting>
  <conditionalFormatting sqref="CO26:CO40 CQ26:CQ40">
    <cfRule type="expression" dxfId="61" priority="579">
      <formula>OR(IF(CO26&lt;CP26,TRUE),IF(AND(CP26="",CO26&lt;&gt;""),TRUE))</formula>
    </cfRule>
    <cfRule type="expression" dxfId="60" priority="580">
      <formula>IF(CO26&gt;=CP26,IF(CO26="",FALSE,TRUE))</formula>
    </cfRule>
  </conditionalFormatting>
  <conditionalFormatting sqref="CO73:CO84">
    <cfRule type="expression" dxfId="59" priority="472">
      <formula>OR(IF(CO73&lt;CP73,TRUE),IF(AND(CP73="",CO73&lt;&gt;""),TRUE))</formula>
    </cfRule>
    <cfRule type="expression" dxfId="58" priority="473">
      <formula>IF(CO73&gt;=CP73,IF(CO73="",FALSE,TRUE))</formula>
    </cfRule>
  </conditionalFormatting>
  <conditionalFormatting sqref="CQ73:CQ84">
    <cfRule type="expression" dxfId="57" priority="470">
      <formula>OR(IF(CQ73&lt;CR73,TRUE),IF(AND(CR73="",CQ73&lt;&gt;""),TRUE))</formula>
    </cfRule>
    <cfRule type="expression" dxfId="56" priority="471">
      <formula>IF(CQ73&gt;=CR73,IF(CQ73="",FALSE,TRUE))</formula>
    </cfRule>
  </conditionalFormatting>
  <conditionalFormatting sqref="CV26:CV40 CX26:CX40">
    <cfRule type="expression" dxfId="55" priority="719">
      <formula>OR(IF(CV26&lt;CW26,TRUE),IF(AND(CW26="",CV26&lt;&gt;""),TRUE))</formula>
    </cfRule>
    <cfRule type="expression" dxfId="54" priority="720">
      <formula>IF(CV26&gt;=CW26,IF(CV26="",FALSE,TRUE))</formula>
    </cfRule>
  </conditionalFormatting>
  <conditionalFormatting sqref="CV73:CV84">
    <cfRule type="expression" dxfId="53" priority="496">
      <formula>OR(IF(CV73&lt;CW73,TRUE),IF(AND(CW73="",CV73&lt;&gt;""),TRUE))</formula>
    </cfRule>
    <cfRule type="expression" dxfId="52" priority="497">
      <formula>IF(CV73&gt;=CW73,IF(CV73="",FALSE,TRUE))</formula>
    </cfRule>
  </conditionalFormatting>
  <conditionalFormatting sqref="CX73:CX84">
    <cfRule type="expression" dxfId="51" priority="494">
      <formula>OR(IF(CX73&lt;CY73,TRUE),IF(AND(CY73="",CX73&lt;&gt;""),TRUE))</formula>
    </cfRule>
    <cfRule type="expression" dxfId="50" priority="495">
      <formula>IF(CX73&gt;=CY73,IF(CX73="",FALSE,TRUE))</formula>
    </cfRule>
  </conditionalFormatting>
  <conditionalFormatting sqref="DD26:DD40 DF26:DF40">
    <cfRule type="expression" dxfId="49" priority="705">
      <formula>OR(IF(DD26&lt;DE26,TRUE),IF(AND(DE26="",DD26&lt;&gt;""),TRUE))</formula>
    </cfRule>
    <cfRule type="expression" dxfId="48" priority="706">
      <formula>IF(DD26&gt;=DE26,IF(DD26="",FALSE,TRUE))</formula>
    </cfRule>
  </conditionalFormatting>
  <conditionalFormatting sqref="DD73:DD84">
    <cfRule type="expression" dxfId="47" priority="492">
      <formula>OR(IF(DD73&lt;DE73,TRUE),IF(AND(DE73="",DD73&lt;&gt;""),TRUE))</formula>
    </cfRule>
    <cfRule type="expression" dxfId="46" priority="493">
      <formula>IF(DD73&gt;=DE73,IF(DD73="",FALSE,TRUE))</formula>
    </cfRule>
  </conditionalFormatting>
  <conditionalFormatting sqref="DF73:DF84">
    <cfRule type="expression" dxfId="45" priority="490">
      <formula>OR(IF(DF73&lt;DG73,TRUE),IF(AND(DG73="",DF73&lt;&gt;""),TRUE))</formula>
    </cfRule>
    <cfRule type="expression" dxfId="44" priority="491">
      <formula>IF(DF73&gt;=DG73,IF(DF73="",FALSE,TRUE))</formula>
    </cfRule>
  </conditionalFormatting>
  <conditionalFormatting sqref="DL26:DL40 DN26:DN40">
    <cfRule type="expression" dxfId="43" priority="691">
      <formula>OR(IF(DL26&lt;DM26,TRUE),IF(AND(DM26="",DL26&lt;&gt;""),TRUE))</formula>
    </cfRule>
    <cfRule type="expression" dxfId="42" priority="692">
      <formula>IF(DL26&gt;=DM26,IF(DL26="",FALSE,TRUE))</formula>
    </cfRule>
  </conditionalFormatting>
  <conditionalFormatting sqref="DL73:DL84">
    <cfRule type="expression" dxfId="41" priority="488">
      <formula>OR(IF(DL73&lt;DM73,TRUE),IF(AND(DM73="",DL73&lt;&gt;""),TRUE))</formula>
    </cfRule>
    <cfRule type="expression" dxfId="40" priority="489">
      <formula>IF(DL73&gt;=DM73,IF(DL73="",FALSE,TRUE))</formula>
    </cfRule>
  </conditionalFormatting>
  <conditionalFormatting sqref="DN73:DN84">
    <cfRule type="expression" dxfId="39" priority="486">
      <formula>OR(IF(DN73&lt;DO73,TRUE),IF(AND(DO73="",DN73&lt;&gt;""),TRUE))</formula>
    </cfRule>
    <cfRule type="expression" dxfId="38" priority="487">
      <formula>IF(DN73&gt;=DO73,IF(DN73="",FALSE,TRUE))</formula>
    </cfRule>
  </conditionalFormatting>
  <conditionalFormatting sqref="DT26:DT40 DV26:DV40">
    <cfRule type="expression" dxfId="37" priority="677">
      <formula>OR(IF(DT26&lt;DU26,TRUE),IF(AND(DU26="",DT26&lt;&gt;""),TRUE))</formula>
    </cfRule>
    <cfRule type="expression" dxfId="36" priority="678">
      <formula>IF(DT26&gt;=DU26,IF(DT26="",FALSE,TRUE))</formula>
    </cfRule>
  </conditionalFormatting>
  <conditionalFormatting sqref="DT73:DT84">
    <cfRule type="expression" dxfId="35" priority="484">
      <formula>OR(IF(DT73&lt;DU73,TRUE),IF(AND(DU73="",DT73&lt;&gt;""),TRUE))</formula>
    </cfRule>
    <cfRule type="expression" dxfId="34" priority="485">
      <formula>IF(DT73&gt;=DU73,IF(DT73="",FALSE,TRUE))</formula>
    </cfRule>
  </conditionalFormatting>
  <conditionalFormatting sqref="DV73:DV84">
    <cfRule type="expression" dxfId="33" priority="482">
      <formula>OR(IF(DV73&lt;DW73,TRUE),IF(AND(DW73="",DV73&lt;&gt;""),TRUE))</formula>
    </cfRule>
    <cfRule type="expression" dxfId="32" priority="483">
      <formula>IF(DV73&gt;=DW73,IF(DV73="",FALSE,TRUE))</formula>
    </cfRule>
  </conditionalFormatting>
  <conditionalFormatting sqref="EB26:EB40 ED26:ED40">
    <cfRule type="expression" dxfId="31" priority="663">
      <formula>OR(IF(EB26&lt;EC26,TRUE),IF(AND(EC26="",EB26&lt;&gt;""),TRUE))</formula>
    </cfRule>
    <cfRule type="expression" dxfId="30" priority="664">
      <formula>IF(EB26&gt;=EC26,IF(EB26="",FALSE,TRUE))</formula>
    </cfRule>
  </conditionalFormatting>
  <conditionalFormatting sqref="EB73:EB84">
    <cfRule type="expression" dxfId="29" priority="480">
      <formula>OR(IF(EB73&lt;EC73,TRUE),IF(AND(EC73="",EB73&lt;&gt;""),TRUE))</formula>
    </cfRule>
    <cfRule type="expression" dxfId="28" priority="481">
      <formula>IF(EB73&gt;=EC73,IF(EB73="",FALSE,TRUE))</formula>
    </cfRule>
  </conditionalFormatting>
  <conditionalFormatting sqref="ED73:ED84">
    <cfRule type="expression" dxfId="27" priority="478">
      <formula>OR(IF(ED73&lt;EE73,TRUE),IF(AND(EE73="",ED73&lt;&gt;""),TRUE))</formula>
    </cfRule>
    <cfRule type="expression" dxfId="26" priority="479">
      <formula>IF(ED73&gt;=EE73,IF(ED73="",FALSE,TRUE))</formula>
    </cfRule>
  </conditionalFormatting>
  <conditionalFormatting sqref="EJ26:EJ40 EL26:EL40">
    <cfRule type="expression" dxfId="25" priority="649">
      <formula>OR(IF(EJ26&lt;EK26,TRUE),IF(AND(EK26="",EJ26&lt;&gt;""),TRUE))</formula>
    </cfRule>
    <cfRule type="expression" dxfId="24" priority="650">
      <formula>IF(EJ26&gt;=EK26,IF(EJ26="",FALSE,TRUE))</formula>
    </cfRule>
  </conditionalFormatting>
  <conditionalFormatting sqref="EJ73:EJ84">
    <cfRule type="expression" dxfId="23" priority="476">
      <formula>OR(IF(EJ73&lt;EK73,TRUE),IF(AND(EK73="",EJ73&lt;&gt;""),TRUE))</formula>
    </cfRule>
    <cfRule type="expression" dxfId="22" priority="477">
      <formula>IF(EJ73&gt;=EK73,IF(EJ73="",FALSE,TRUE))</formula>
    </cfRule>
  </conditionalFormatting>
  <conditionalFormatting sqref="EL73:EL84">
    <cfRule type="expression" dxfId="21" priority="474">
      <formula>OR(IF(EL73&lt;EM73,TRUE),IF(AND(EM73="",EL73&lt;&gt;""),TRUE))</formula>
    </cfRule>
    <cfRule type="expression" dxfId="20" priority="475">
      <formula>IF(EL73&gt;=EM73,IF(EL73="",FALSE,TRUE))</formula>
    </cfRule>
  </conditionalFormatting>
  <conditionalFormatting sqref="EQ26:EQ40 ES26:ES40">
    <cfRule type="expression" dxfId="19" priority="19">
      <formula>OR(IF(EQ26&lt;ER26,TRUE),IF(AND(ER26="",EQ26&lt;&gt;""),TRUE))</formula>
    </cfRule>
    <cfRule type="expression" dxfId="18" priority="20">
      <formula>IF(EQ26&gt;=ER26,IF(EQ26="",FALSE,TRUE))</formula>
    </cfRule>
  </conditionalFormatting>
  <conditionalFormatting sqref="EQ43:EQ70 ES43:ES70">
    <cfRule type="expression" dxfId="17" priority="21">
      <formula>OR(IF(EQ43&lt;ER43,TRUE),IF(AND(ER43="",EQ43&lt;&gt;""),TRUE))</formula>
    </cfRule>
    <cfRule type="expression" dxfId="16" priority="22">
      <formula>IF(EQ43&gt;=ER43,IF(EQ43="",FALSE,TRUE))</formula>
    </cfRule>
  </conditionalFormatting>
  <conditionalFormatting sqref="EQ73:EQ84">
    <cfRule type="expression" dxfId="15" priority="11">
      <formula>OR(IF(EQ73&lt;ER73,TRUE),IF(AND(ER73="",EQ73&lt;&gt;""),TRUE))</formula>
    </cfRule>
    <cfRule type="expression" dxfId="14" priority="12">
      <formula>IF(EQ73&gt;=ER73,IF(EQ73="",FALSE,TRUE))</formula>
    </cfRule>
  </conditionalFormatting>
  <conditionalFormatting sqref="ES73:ES84">
    <cfRule type="expression" dxfId="13" priority="9">
      <formula>OR(IF(ES73&lt;ET73,TRUE),IF(AND(ET73="",ES73&lt;&gt;""),TRUE))</formula>
    </cfRule>
    <cfRule type="expression" dxfId="12" priority="10">
      <formula>IF(ES73&gt;=ET73,IF(ES73="",FALSE,TRUE))</formula>
    </cfRule>
  </conditionalFormatting>
  <conditionalFormatting sqref="J20:J23">
    <cfRule type="colorScale" priority="1505">
      <colorScale>
        <cfvo type="percent" val="0"/>
        <cfvo type="percent" val="100"/>
        <color rgb="FFFF231B"/>
        <color rgb="FF10FF07"/>
      </colorScale>
    </cfRule>
  </conditionalFormatting>
  <conditionalFormatting sqref="J21:K23">
    <cfRule type="colorScale" priority="1508">
      <colorScale>
        <cfvo type="percent" val="0"/>
        <cfvo type="percent" val="100"/>
        <color rgb="FFFF231B"/>
        <color rgb="FF10FF07"/>
      </colorScale>
    </cfRule>
  </conditionalFormatting>
  <conditionalFormatting sqref="K20:K23">
    <cfRule type="colorScale" priority="1510">
      <colorScale>
        <cfvo type="percent" val="0"/>
        <cfvo type="percent" val="100"/>
        <color rgb="FFFF231B"/>
        <color rgb="FF10FF07"/>
      </colorScale>
    </cfRule>
  </conditionalFormatting>
  <conditionalFormatting sqref="J97:J100 J94">
    <cfRule type="colorScale" priority="1511">
      <colorScale>
        <cfvo type="percent" val="0"/>
        <cfvo type="percent" val="100"/>
        <color rgb="FFFF231B"/>
        <color rgb="FF10FF07"/>
      </colorScale>
    </cfRule>
  </conditionalFormatting>
  <conditionalFormatting sqref="J97:K100">
    <cfRule type="colorScale" priority="1513">
      <colorScale>
        <cfvo type="percent" val="0"/>
        <cfvo type="percent" val="100"/>
        <color rgb="FFFF231B"/>
        <color rgb="FF10FF07"/>
      </colorScale>
    </cfRule>
  </conditionalFormatting>
  <conditionalFormatting sqref="K97:K100 K94">
    <cfRule type="colorScale" priority="1514">
      <colorScale>
        <cfvo type="percent" val="0"/>
        <cfvo type="percent" val="100"/>
        <color rgb="FFFF231B"/>
        <color rgb="FF10FF07"/>
      </colorScale>
    </cfRule>
  </conditionalFormatting>
  <conditionalFormatting sqref="J13:K13">
    <cfRule type="colorScale" priority="6">
      <colorScale>
        <cfvo type="percent" val="0"/>
        <cfvo type="percent" val="100"/>
        <color rgb="FFFF231B"/>
        <color rgb="FF10FF07"/>
      </colorScale>
    </cfRule>
  </conditionalFormatting>
  <conditionalFormatting sqref="J14:K14">
    <cfRule type="colorScale" priority="5">
      <colorScale>
        <cfvo type="percent" val="0"/>
        <cfvo type="percent" val="100"/>
        <color rgb="FFFF231B"/>
        <color rgb="FF10FF07"/>
      </colorScale>
    </cfRule>
  </conditionalFormatting>
  <conditionalFormatting sqref="J15:K15">
    <cfRule type="colorScale" priority="4">
      <colorScale>
        <cfvo type="percent" val="0"/>
        <cfvo type="percent" val="100"/>
        <color rgb="FFFF231B"/>
        <color rgb="FF10FF07"/>
      </colorScale>
    </cfRule>
  </conditionalFormatting>
  <conditionalFormatting sqref="J16:K16">
    <cfRule type="colorScale" priority="3">
      <colorScale>
        <cfvo type="percent" val="0"/>
        <cfvo type="percent" val="100"/>
        <color rgb="FFFF231B"/>
        <color rgb="FF10FF07"/>
      </colorScale>
    </cfRule>
  </conditionalFormatting>
  <conditionalFormatting sqref="J17:K17">
    <cfRule type="colorScale" priority="2">
      <colorScale>
        <cfvo type="percent" val="0"/>
        <cfvo type="percent" val="100"/>
        <color rgb="FFFF231B"/>
        <color rgb="FF10FF07"/>
      </colorScale>
    </cfRule>
  </conditionalFormatting>
  <conditionalFormatting sqref="J18:K18">
    <cfRule type="colorScale" priority="1">
      <colorScale>
        <cfvo type="percent" val="0"/>
        <cfvo type="percent" val="100"/>
        <color rgb="FFFF231B"/>
        <color rgb="FF10FF07"/>
      </colorScale>
    </cfRule>
  </conditionalFormatting>
  <conditionalFormatting sqref="J8:J18 J5">
    <cfRule type="colorScale" priority="1515">
      <colorScale>
        <cfvo type="percent" val="0"/>
        <cfvo type="percent" val="100"/>
        <color rgb="FFFF231B"/>
        <color rgb="FF10FF07"/>
      </colorScale>
    </cfRule>
  </conditionalFormatting>
  <conditionalFormatting sqref="K8:K18 K5">
    <cfRule type="colorScale" priority="1521">
      <colorScale>
        <cfvo type="percent" val="0"/>
        <cfvo type="percent" val="100"/>
        <color rgb="FFFF231B"/>
        <color rgb="FF10FF07"/>
      </colorScale>
    </cfRule>
  </conditionalFormatting>
  <conditionalFormatting sqref="J90:J91 J87">
    <cfRule type="colorScale" priority="1522">
      <colorScale>
        <cfvo type="percent" val="0"/>
        <cfvo type="percent" val="100"/>
        <color rgb="FFFF231B"/>
        <color rgb="FF10FF07"/>
      </colorScale>
    </cfRule>
  </conditionalFormatting>
  <conditionalFormatting sqref="J90:K91">
    <cfRule type="colorScale" priority="1524">
      <colorScale>
        <cfvo type="percent" val="0"/>
        <cfvo type="percent" val="100"/>
        <color rgb="FFFF231B"/>
        <color rgb="FF10FF07"/>
      </colorScale>
    </cfRule>
  </conditionalFormatting>
  <conditionalFormatting sqref="K90:K91 K87">
    <cfRule type="colorScale" priority="1525">
      <colorScale>
        <cfvo type="percent" val="0"/>
        <cfvo type="percent" val="100"/>
        <color rgb="FFFF231B"/>
        <color rgb="FF10FF07"/>
      </colorScale>
    </cfRule>
  </conditionalFormatting>
  <dataValidations count="1">
    <dataValidation type="list" allowBlank="1" showInputMessage="1" showErrorMessage="1" sqref="AB85:AE86 AQ87:AT91 AX73:BA84 BF20:BI23 BF73:BI84 BT87:BW91 CA26:CD40 BF26:BI40 AX87:BA91 AI85:AL86 AC26:AF40 O73:R84 BM26:BP40 BT26:BW40 CO73:CR84 EJ20:EM23 EJ73:EM84 CV73:CY84 DD73:DG84 DL73:DO84 DT73:DW84 EB73:EE84 CA20:CD23 O43:R44 AJ26:AM40 AP85:AS86 BF43:BI70 BF87:BI91 CO87:CR91 CA87:CD91 CH87:CK91 EJ87:EM91 BM87:BP91 CV87:CY91 DD87:DG91 DL87:DO91 DT87:DW91 EB87:EE91 BT20:BW23 BM20:BP23 AC20:AF23 AQ26:AT40 AW85:AZ86 AJ20:AM23 CH26:CK40 AC87:AF91 EJ26:EM40 EB26:EE40 DT26:DW40 DL26:DO40 DD26:DG40 CV26:CY40 CH20:CK23 CO26:CR40 O26:R40 AQ20:AT23 AX26:BA40 CA73:CD84 EB20:EE23 DT20:DW23 DL20:DO23 DD20:DG23 CV20:CY23 CO20:CR23 CH73:CK84 BT73:BW84 BM73:BP84 AC73:AF84 AJ73:AM84 AX20:BA23 AQ73:AT84 AJ87:AM91 U85:X86 V26:Y40 V20:Y23 V73:Y84 V87:Y91 Q20 O22:R23 O20:P21 R20:R21 R45 O45:P45 O87:R91 CA43:CA47 CA50:CA70 CB43:CD70 O46:R70 AX43:BA70 AQ43:AT70 AC43:AF70 AJ43:AM70 DL43:DO70 DD43:DG70 CV43:CY70 EJ43:EM70 CO43:CR70 EB43:EE70 V43:Y70 CH43:CK70 DT43:DW70 BT43:BW70 BM43:BP70 AB93:AE93 AQ94:AT100 BT94:BW100 AX94:BA100 AI93:AL93 AP93:AS93 BF94:BI100 CO94:CR100 CA94:CD100 CH94:CK100 EJ94:EM100 BM94:BP100 CV94:CY100 DD94:DG100 DL94:DO100 DT94:DW100 EB94:EE100 AW93:AZ93 AC94:AF100 AJ94:AM100 U93:X93 V94:Y100 O94:R100 BC94:BC100 EQ94:ET100 EQ20:ET23 EQ73:ET84 EQ87:ET91 EQ26:ET40 EQ43:ET70 EQ5:ET18 CA5:CD18 V5:Y18 AC5:AF18 CH5:CK18 BM5:BP18 BT5:BW18 AX5:BA18 AQ5:AT18 BF5:BI18 EB5:EE18 DT5:DW18 DL5:DO18 DD5:DG18 CV5:CY18 EJ5:EM18 CO5:CR18 AJ5:AM18 O5:R18 BC87:BC92"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9" zoomScale="136" workbookViewId="0">
      <selection activeCell="B25" sqref="B25"/>
    </sheetView>
  </sheetViews>
  <sheetFormatPr baseColWidth="10" defaultColWidth="10.6640625" defaultRowHeight="16"/>
  <cols>
    <col min="2" max="2" width="161" customWidth="1"/>
    <col min="3" max="3" width="10.83203125"/>
  </cols>
  <sheetData>
    <row r="4" spans="2:2" ht="21">
      <c r="B4" s="3" t="s">
        <v>16</v>
      </c>
    </row>
    <row r="6" spans="2:2">
      <c r="B6" s="2" t="s">
        <v>13</v>
      </c>
    </row>
    <row r="7" spans="2:2" ht="51">
      <c r="B7" s="1" t="s">
        <v>14</v>
      </c>
    </row>
    <row r="9" spans="2:2">
      <c r="B9" s="2" t="s">
        <v>15</v>
      </c>
    </row>
    <row r="10" spans="2:2" ht="68">
      <c r="B10" s="1" t="s">
        <v>35</v>
      </c>
    </row>
    <row r="12" spans="2:2">
      <c r="B12" s="2" t="s">
        <v>17</v>
      </c>
    </row>
    <row r="13" spans="2:2" ht="153">
      <c r="B13" s="1" t="s">
        <v>18</v>
      </c>
    </row>
    <row r="15" spans="2:2">
      <c r="B15" s="2" t="s">
        <v>19</v>
      </c>
    </row>
    <row r="16" spans="2:2" ht="119">
      <c r="B16" s="1" t="s">
        <v>20</v>
      </c>
    </row>
    <row r="17" spans="2:2">
      <c r="B17" s="1"/>
    </row>
    <row r="18" spans="2:2">
      <c r="B18" s="2" t="s">
        <v>34</v>
      </c>
    </row>
    <row r="19" spans="2:2" ht="153">
      <c r="B19" s="1" t="s">
        <v>36</v>
      </c>
    </row>
    <row r="21" spans="2:2">
      <c r="B21" s="2" t="s">
        <v>21</v>
      </c>
    </row>
    <row r="22" spans="2:2" ht="136">
      <c r="B22" s="1" t="s">
        <v>37</v>
      </c>
    </row>
    <row r="24" spans="2:2">
      <c r="B24" s="2" t="s">
        <v>22</v>
      </c>
    </row>
    <row r="25" spans="2:2" ht="13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K2" sqref="K2"/>
    </sheetView>
  </sheetViews>
  <sheetFormatPr baseColWidth="10" defaultColWidth="10.6640625" defaultRowHeight="16"/>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c r="A1" s="9" t="s">
        <v>41</v>
      </c>
      <c r="B1" s="15" t="s">
        <v>38</v>
      </c>
      <c r="C1" s="15" t="s">
        <v>39</v>
      </c>
      <c r="D1" s="15" t="s">
        <v>40</v>
      </c>
      <c r="E1" s="1" t="s">
        <v>42</v>
      </c>
      <c r="F1" s="1" t="s">
        <v>43</v>
      </c>
      <c r="G1" s="1" t="s">
        <v>44</v>
      </c>
      <c r="H1" s="1" t="s">
        <v>45</v>
      </c>
      <c r="I1" s="1" t="s">
        <v>46</v>
      </c>
      <c r="J1" s="1" t="s">
        <v>47</v>
      </c>
      <c r="K1" s="1" t="s">
        <v>48</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25" workbookViewId="0">
      <selection activeCell="B12" sqref="B12"/>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Marcelo Rodrigues</cp:lastModifiedBy>
  <dcterms:created xsi:type="dcterms:W3CDTF">2020-04-19T13:33:28Z</dcterms:created>
  <dcterms:modified xsi:type="dcterms:W3CDTF">2025-03-12T18:51:30Z</dcterms:modified>
</cp:coreProperties>
</file>