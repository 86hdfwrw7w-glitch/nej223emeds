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1"/>
  <workbookPr defaultThemeVersion="166925"/>
  <mc:AlternateContent xmlns:mc="http://schemas.openxmlformats.org/markup-compatibility/2006">
    <mc:Choice Requires="x15">
      <x15ac:absPath xmlns:x15ac="http://schemas.microsoft.com/office/spreadsheetml/2010/11/ac" url="C:\Users\evadeak\Desktop\"/>
    </mc:Choice>
  </mc:AlternateContent>
  <xr:revisionPtr revIDLastSave="0" documentId="8_{08675B75-3914-C748-9E34-31AC15CF3E1C}" xr6:coauthVersionLast="47" xr6:coauthVersionMax="47" xr10:uidLastSave="{00000000-0000-0000-0000-000000000000}"/>
  <bookViews>
    <workbookView xWindow="-108" yWindow="-108" windowWidth="23256" windowHeight="12576" activeTab="1" xr2:uid="{50F29292-BE80-0C47-A0D2-DD086CB3D310}"/>
  </bookViews>
  <sheets>
    <sheet name="ANLEITUNG" sheetId="10" r:id="rId1"/>
    <sheet name="Semesterplan" sheetId="7" r:id="rId2"/>
    <sheet name="Best-Practices" sheetId="2" r:id="rId3"/>
    <sheet name="COMMITTMENT" sheetId="9" r:id="rId4"/>
    <sheet name="Wochenplan KW 19"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7" l="1"/>
  <c r="I10" i="7"/>
  <c r="I27" i="7"/>
  <c r="I28" i="7"/>
  <c r="I29" i="7"/>
  <c r="I30" i="7"/>
  <c r="I31" i="7"/>
  <c r="I32" i="7"/>
  <c r="I33" i="7"/>
  <c r="I34" i="7"/>
  <c r="I35" i="7"/>
  <c r="I36" i="7"/>
  <c r="J27" i="7" a="1"/>
  <c r="J27" i="7"/>
  <c r="J28" i="7" a="1"/>
  <c r="J28" i="7"/>
  <c r="J29" i="7" a="1"/>
  <c r="J29" i="7"/>
  <c r="J30" i="7" a="1"/>
  <c r="J30" i="7"/>
  <c r="J31" i="7" a="1"/>
  <c r="J31" i="7"/>
  <c r="J32" i="7" a="1"/>
  <c r="J32" i="7"/>
  <c r="J33" i="7" a="1"/>
  <c r="J33" i="7"/>
  <c r="J34" i="7" a="1"/>
  <c r="J34" i="7"/>
  <c r="J35" i="7" a="1"/>
  <c r="J35" i="7"/>
  <c r="J36" i="7" a="1"/>
  <c r="J36" i="7"/>
  <c r="K27" i="7" a="1"/>
  <c r="K27" i="7"/>
  <c r="K28" i="7" a="1"/>
  <c r="K28" i="7"/>
  <c r="K29" i="7" a="1"/>
  <c r="K29" i="7"/>
  <c r="K30" i="7" a="1"/>
  <c r="K30" i="7"/>
  <c r="K31" i="7" a="1"/>
  <c r="K31" i="7"/>
  <c r="K32" i="7" a="1"/>
  <c r="K32" i="7"/>
  <c r="K33" i="7" a="1"/>
  <c r="K33" i="7"/>
  <c r="K34" i="7" a="1"/>
  <c r="K34" i="7"/>
  <c r="K35" i="7" a="1"/>
  <c r="K35" i="7"/>
  <c r="K36" i="7" a="1"/>
  <c r="K36" i="7"/>
  <c r="N26" i="7"/>
  <c r="U26" i="7"/>
  <c r="AB26" i="7"/>
  <c r="AI26" i="7"/>
  <c r="AP26" i="7"/>
  <c r="I40" i="7"/>
  <c r="I41" i="7"/>
  <c r="I42" i="7"/>
  <c r="I43" i="7"/>
  <c r="J41" i="7" a="1"/>
  <c r="J41" i="7"/>
  <c r="J42" i="7" a="1"/>
  <c r="J42" i="7"/>
  <c r="J43" i="7" a="1"/>
  <c r="J43" i="7"/>
  <c r="K41" i="7" a="1"/>
  <c r="K41" i="7"/>
  <c r="K42" i="7" a="1"/>
  <c r="K42" i="7"/>
  <c r="K43" i="7" a="1"/>
  <c r="K43" i="7"/>
  <c r="N39" i="7"/>
  <c r="I85" i="7"/>
  <c r="I86" i="7"/>
  <c r="I87" i="7"/>
  <c r="I88" i="7"/>
  <c r="I89" i="7"/>
  <c r="I90" i="7"/>
  <c r="I91" i="7"/>
  <c r="I92" i="7"/>
  <c r="I93" i="7"/>
  <c r="I94" i="7"/>
  <c r="N84" i="7"/>
  <c r="J85" i="7" a="1"/>
  <c r="J85" i="7"/>
  <c r="K85" i="7" a="1"/>
  <c r="K85" i="7"/>
  <c r="J86" i="7" a="1"/>
  <c r="J86" i="7"/>
  <c r="K86" i="7" a="1"/>
  <c r="K86" i="7"/>
  <c r="J87" i="7" a="1"/>
  <c r="J87" i="7"/>
  <c r="K87" i="7" a="1"/>
  <c r="K87" i="7"/>
  <c r="J88" i="7" a="1"/>
  <c r="J88" i="7"/>
  <c r="K88" i="7" a="1"/>
  <c r="K88" i="7"/>
  <c r="J89" i="7" a="1"/>
  <c r="J89" i="7"/>
  <c r="K89" i="7" a="1"/>
  <c r="K89" i="7"/>
  <c r="J90" i="7" a="1"/>
  <c r="J90" i="7"/>
  <c r="K90" i="7" a="1"/>
  <c r="K90" i="7"/>
  <c r="J91" i="7" a="1"/>
  <c r="J91" i="7"/>
  <c r="K91" i="7" a="1"/>
  <c r="K91" i="7"/>
  <c r="J92" i="7" a="1"/>
  <c r="J92" i="7"/>
  <c r="K92" i="7" a="1"/>
  <c r="K92" i="7"/>
  <c r="J93" i="7" a="1"/>
  <c r="J93" i="7"/>
  <c r="K93" i="7" a="1"/>
  <c r="K93" i="7"/>
  <c r="J94" i="7" a="1"/>
  <c r="J94" i="7"/>
  <c r="K94" i="7" a="1"/>
  <c r="K94" i="7"/>
  <c r="I97" i="7"/>
  <c r="I98" i="7"/>
  <c r="I99" i="7"/>
  <c r="I100" i="7"/>
  <c r="I101" i="7"/>
  <c r="I102" i="7"/>
  <c r="I103" i="7"/>
  <c r="I104" i="7"/>
  <c r="I105" i="7"/>
  <c r="I106" i="7"/>
  <c r="N96" i="7"/>
  <c r="J97" i="7" a="1"/>
  <c r="J97" i="7"/>
  <c r="K97" i="7" a="1"/>
  <c r="K97" i="7"/>
  <c r="J98" i="7" a="1"/>
  <c r="J98" i="7"/>
  <c r="K98" i="7" a="1"/>
  <c r="K98" i="7"/>
  <c r="J99" i="7" a="1"/>
  <c r="J99" i="7"/>
  <c r="K99" i="7" a="1"/>
  <c r="K99" i="7"/>
  <c r="J100" i="7" a="1"/>
  <c r="J100" i="7"/>
  <c r="K100" i="7" a="1"/>
  <c r="K100" i="7"/>
  <c r="J101" i="7" a="1"/>
  <c r="J101" i="7"/>
  <c r="K101" i="7" a="1"/>
  <c r="K101" i="7"/>
  <c r="J102" i="7" a="1"/>
  <c r="J102" i="7"/>
  <c r="K102" i="7" a="1"/>
  <c r="K102" i="7"/>
  <c r="J103" i="7" a="1"/>
  <c r="J103" i="7"/>
  <c r="K103" i="7" a="1"/>
  <c r="K103" i="7"/>
  <c r="J104" i="7" a="1"/>
  <c r="J104" i="7"/>
  <c r="K104" i="7" a="1"/>
  <c r="K104" i="7"/>
  <c r="J105" i="7" a="1"/>
  <c r="J105" i="7"/>
  <c r="K105" i="7" a="1"/>
  <c r="K105" i="7"/>
  <c r="J106" i="7" a="1"/>
  <c r="J106" i="7"/>
  <c r="K106" i="7" a="1"/>
  <c r="K106" i="7"/>
  <c r="DO4" i="7"/>
  <c r="DH4" i="7"/>
  <c r="DA4" i="7"/>
  <c r="CT4" i="7"/>
  <c r="CM4" i="7"/>
  <c r="CF4" i="7"/>
  <c r="BY4" i="7"/>
  <c r="BR4" i="7"/>
  <c r="I19" i="7"/>
  <c r="I18" i="7"/>
  <c r="BK4" i="7"/>
  <c r="C12" i="10"/>
  <c r="K21" i="7" a="1"/>
  <c r="K21" i="7"/>
  <c r="J21" i="7" a="1"/>
  <c r="J21" i="7"/>
  <c r="K20" i="7" a="1"/>
  <c r="K20" i="7"/>
  <c r="J20" i="7" a="1"/>
  <c r="J20" i="7"/>
  <c r="AP16" i="7"/>
  <c r="AI16" i="7"/>
  <c r="AB16" i="7"/>
  <c r="U16" i="7"/>
  <c r="BD4" i="7"/>
  <c r="AW4" i="7"/>
  <c r="AP4" i="7"/>
  <c r="AI4" i="7"/>
  <c r="AB4" i="7"/>
  <c r="U4" i="7"/>
  <c r="G4" i="7"/>
  <c r="I21" i="7"/>
  <c r="I20" i="7"/>
  <c r="I17" i="7"/>
  <c r="I6" i="7"/>
  <c r="I7" i="7"/>
  <c r="I8" i="7"/>
  <c r="I9" i="7"/>
  <c r="I5" i="7"/>
  <c r="I39" i="7"/>
  <c r="K84" i="7"/>
  <c r="K96" i="7"/>
  <c r="J84" i="7"/>
  <c r="K39" i="7"/>
  <c r="I96" i="7"/>
  <c r="I84" i="7"/>
  <c r="J39" i="7"/>
  <c r="J96" i="7"/>
  <c r="K26" i="7"/>
  <c r="J26" i="7"/>
  <c r="I26" i="7"/>
  <c r="J16" i="7"/>
  <c r="I16" i="7"/>
  <c r="I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<sst xmlns="http://schemas.openxmlformats.org/spreadsheetml/2006/main" count="466" uniqueCount="161">
  <si>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</si>
  <si>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</si>
  <si>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</si>
  <si>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</si>
  <si>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</si>
  <si>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</si>
  <si>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</si>
  <si>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</si>
  <si>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</si>
  <si>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</si>
  <si>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</si>
  <si>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</si>
  <si>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</si>
  <si>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</si>
  <si>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</si>
  <si>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</si>
  <si>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</si>
  <si>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</si>
  <si>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</si>
  <si>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</si>
  <si>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</si>
  <si>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</si>
  <si>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</si>
  <si>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</si>
  <si>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</si>
  <si>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</si>
  <si>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</si>
  <si>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</si>
  <si>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</si>
  <si>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</si>
  <si>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</si>
  <si>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</si>
  <si>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</si>
  <si>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</si>
  <si>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</si>
  <si>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</si>
  <si>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</si>
  <si>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</si>
  <si>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</si>
  <si>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</si>
  <si>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</si>
  <si>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</si>
  <si>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</si>
  <si>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</si>
  <si>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</si>
  <si>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</si>
  <si>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</si>
  <si>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</si>
  <si>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</si>
  <si>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</si>
  <si>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</si>
  <si>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</si>
  <si>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</si>
  <si>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</si>
  <si>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</si>
  <si>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</si>
  <si>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</si>
  <si>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</si>
  <si>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</si>
  <si>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</si>
  <si>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</si>
  <si>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</si>
  <si>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</si>
  <si>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</si>
  <si>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</si>
  <si>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</si>
  <si>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</si>
  <si>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</si>
  <si>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</si>
  <si>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</si>
  <si>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</si>
  <si>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</si>
  <si>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</si>
  <si>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</si>
  <si>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</si>
  <si>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</si>
  <si>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</si>
  <si>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</si>
  <si>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</si>
  <si>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</si>
  <si>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</si>
  <si>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</si>
  <si>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</si>
  <si>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</si>
  <si>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</si>
  <si>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</si>
  <si>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</si>
  <si>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 xml:space="preserve">Aufstehen </t>
  </si>
  <si>
    <t xml:space="preserve">Prinzip der Level Ups: </t>
  </si>
  <si>
    <t xml:space="preserve"> 0-30</t>
  </si>
  <si>
    <t xml:space="preserve">Halbes Level = 1 h Invest </t>
  </si>
  <si>
    <t xml:space="preserve">30-50 </t>
  </si>
  <si>
    <t xml:space="preserve">1 Level = 2 h Invest </t>
  </si>
  <si>
    <t xml:space="preserve">50-80 </t>
  </si>
  <si>
    <t>0-50</t>
  </si>
  <si>
    <t>BWL Basics</t>
  </si>
  <si>
    <t>Recht 1</t>
  </si>
  <si>
    <t>Mathematik</t>
  </si>
  <si>
    <t xml:space="preserve">Platzhalter </t>
  </si>
  <si>
    <t xml:space="preserve">Pflichtmodul </t>
  </si>
  <si>
    <t>—</t>
  </si>
  <si>
    <t xml:space="preserve">Grundlagen des Vertragsrechts </t>
  </si>
  <si>
    <t xml:space="preserve">Grundzüge des Rechnungswesens </t>
  </si>
  <si>
    <t xml:space="preserve">1) Übersicht über die BWL </t>
  </si>
  <si>
    <t xml:space="preserve">2) Basics der Unternehmensgründung </t>
  </si>
  <si>
    <t xml:space="preserve">3) Value Chain Activities </t>
  </si>
  <si>
    <t xml:space="preserve">4) Purchasing and SCM </t>
  </si>
  <si>
    <t xml:space="preserve">5) Operations (Production) </t>
  </si>
  <si>
    <t xml:space="preserve">6) Finanzen </t>
  </si>
  <si>
    <t xml:space="preserve">Thema </t>
  </si>
  <si>
    <t xml:space="preserve">7) Personalwesen </t>
  </si>
  <si>
    <t xml:space="preserve">8) Grundbegriffe der IT </t>
  </si>
  <si>
    <t xml:space="preserve">BWL Basics </t>
  </si>
  <si>
    <t xml:space="preserve">9) Management and Leadership </t>
  </si>
  <si>
    <t xml:space="preserve">1) Grundlagen des betrieblichen Rechnungswesens </t>
  </si>
  <si>
    <t xml:space="preserve">2) Buchführung (GuV, Inventur, Bilanz etc.)  </t>
  </si>
  <si>
    <t>3) Grundlagen der integrierten Erfolgsrechnung</t>
  </si>
  <si>
    <t xml:space="preserve">4) Grundlagen der integrierten Finanzrechnung </t>
  </si>
  <si>
    <t xml:space="preserve">5) Grundlagen der integrierten Bilanzrechnung </t>
  </si>
  <si>
    <t>1) Begriffe/ Rechtsquellen Wirtschaftsprivatrecht</t>
  </si>
  <si>
    <t>2) Personen und Gegenstände des Rechtsverkehrs</t>
  </si>
  <si>
    <t xml:space="preserve">3) Willenserklärung und Vertrag </t>
  </si>
  <si>
    <t xml:space="preserve">4) Mängel beim Rechtsgeschäft </t>
  </si>
  <si>
    <t xml:space="preserve">5) Stellvertretung </t>
  </si>
  <si>
    <t xml:space="preserve">6) Fristen und Verjährung </t>
  </si>
  <si>
    <t xml:space="preserve">7) Inhalt vertraglicher Schuldverhältnisse </t>
  </si>
  <si>
    <t xml:space="preserve">8) Allgemeine Geschäftsbedingungen </t>
  </si>
  <si>
    <t xml:space="preserve">9) Schadensersatzpflicht </t>
  </si>
  <si>
    <t xml:space="preserve">10) Leistungsstörungen </t>
  </si>
  <si>
    <t xml:space="preserve">1) Mathematische Grundlagen </t>
  </si>
  <si>
    <t xml:space="preserve">2) Anwendung von Methoden der Analysis </t>
  </si>
  <si>
    <t xml:space="preserve">3) Anwendung linearer Gleichungssysteme </t>
  </si>
  <si>
    <t xml:space="preserve">4) Finanzmathematische Verfahren </t>
  </si>
  <si>
    <t>Uni</t>
  </si>
  <si>
    <t xml:space="preserve">KW 2 (Lernwoche 15) Klausur?  </t>
  </si>
  <si>
    <t>L</t>
  </si>
  <si>
    <t>Englisch 1</t>
  </si>
  <si>
    <t>ReWes</t>
  </si>
  <si>
    <t xml:space="preserve">Englisch </t>
  </si>
  <si>
    <t xml:space="preserve">Deutsch/Englisch </t>
  </si>
  <si>
    <t xml:space="preserve">KW 43 (Lernwoche 1) </t>
  </si>
  <si>
    <t xml:space="preserve">KW 44 (Lernwoche 2) </t>
  </si>
  <si>
    <t xml:space="preserve">KW 45 (Lernwoche 3) </t>
  </si>
  <si>
    <t xml:space="preserve">KW 46 (Lernwoche 4) </t>
  </si>
  <si>
    <t xml:space="preserve">KW 47 (Lernwoche 5) </t>
  </si>
  <si>
    <t xml:space="preserve">KW 48 (Lernwoche 6) </t>
  </si>
  <si>
    <t xml:space="preserve">KW 49 (Lernwoche 7) </t>
  </si>
  <si>
    <t xml:space="preserve">KW 50 (Lernwoche 8) </t>
  </si>
  <si>
    <t xml:space="preserve">KW 51 (Lernwoche 9) </t>
  </si>
  <si>
    <t xml:space="preserve">KW 1 2024 WIEDERHOLUNG Lernwoche 11 </t>
  </si>
  <si>
    <t xml:space="preserve">KW 2 WIEDERHOLUNG (Lernwoche 11)  </t>
  </si>
  <si>
    <t xml:space="preserve">KW 52 WIEDERHOLUNG (Lernwoche 10) </t>
  </si>
  <si>
    <t xml:space="preserve">KW 3 Klausurwoche 1  </t>
  </si>
  <si>
    <t>KW 4 Klausurwoche 2</t>
  </si>
  <si>
    <t>1) Thema 1</t>
  </si>
  <si>
    <t>2) Thema 2</t>
  </si>
  <si>
    <t>3) Thema 3</t>
  </si>
  <si>
    <t xml:space="preserve">10 Levelups pro Woche/9 Lernwochen </t>
  </si>
  <si>
    <t>LevelUp pro Woche: 3</t>
  </si>
  <si>
    <t>LevelUp pro Woche : 2</t>
  </si>
  <si>
    <t>LevelUp pro Woche: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</si>
</sst>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9"/>
      <color theme="1"/>
      <name val="Arial Rounded MT Bold"/>
      <family val="34"/>
      <charset val="77"/>
    </font>
  </fonts>
  <fills count="12">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4"/>
        <bgColor indexed="64"/>
      </patternFill>
    </fill>
    <fill>
      <patternFill patternType="solid">
        <fgColor rgb="FFC00000"/>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3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5" fillId="0" borderId="0" xfId="0" applyFont="1"/>
    <xf numFmtId="9" fontId="0" fillId="8" borderId="0" xfId="0" applyNumberFormat="1" applyFill="1" applyAlignment="1">
      <alignment horizontal="center"/>
    </xf>
    <xf numFmtId="0" fontId="0" fillId="7" borderId="0" xfId="0" applyFill="1"/>
    <xf numFmtId="0" fontId="0" fillId="10" borderId="0" xfId="0" applyFill="1"/>
    <xf numFmtId="9" fontId="0" fillId="4" borderId="0" xfId="0" applyNumberFormat="1" applyFill="1"/>
    <xf numFmtId="9" fontId="0" fillId="0" borderId="0" xfId="0" applyNumberFormat="1" applyFill="1"/>
    <xf numFmtId="9" fontId="0" fillId="3" borderId="0" xfId="0" applyNumberFormat="1" applyFill="1"/>
    <xf numFmtId="9" fontId="0" fillId="11" borderId="0" xfId="0" applyNumberFormat="1" applyFill="1"/>
    <xf numFmtId="0" fontId="1" fillId="2" borderId="0" xfId="0" applyFont="1" applyFill="1" applyAlignment="1">
      <alignment horizontal="center"/>
    </xf>
    <xf numFmtId="0" fontId="1" fillId="9" borderId="0" xfId="0" applyFont="1" applyFill="1" applyAlignment="1">
      <alignment horizontal="center"/>
    </xf>
    <xf numFmtId="0" fontId="1" fillId="4" borderId="0" xfId="0" applyFont="1" applyFill="1" applyAlignment="1">
      <alignment horizontal="center"/>
    </xf>
    <xf numFmtId="0" fontId="0" fillId="4" borderId="0" xfId="0" applyFont="1" applyFill="1" applyAlignment="1">
      <alignment horizontal="center"/>
    </xf>
  </cellXfs>
  <cellStyles count="1">
    <cellStyle name="Normal" xfId="0" builtinId="0"/>
  </cellStyles>
  <dxfs count="333">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FDFF05"/>
      <color rgb="FFE0E0E0"/>
      <color rgb="FF00FF29"/>
      <color rgb="FF56FF5E"/>
      <color rgb="FFC4FF87"/>
      <color rgb="FFFFDE7F"/>
      <color rgb="FFFF755A"/>
      <color rgb="FF10FF07"/>
      <color rgb="FFFF231B"/>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32">
  <autoFilter ref="A1:K46" xr:uid="{6E266E34-2786-2747-BCE7-51B74867A564}"/>
  <tableColumns count="11">
    <tableColumn id="1" xr3:uid="{95FD92F7-3DC8-704D-A103-A7EDDAB255AB}" name="Datum" dataDxfId="331"/>
    <tableColumn id="2" xr3:uid="{F464D510-8166-E740-A343-FB84BDEF877F}" name="Lerneinheiten durchgezogen" dataDxfId="330"/>
    <tableColumn id="3" xr3:uid="{75F52B08-1A00-0848-BBE6-1EDF7B31B1AD}" name="Tagesplan erstellt" dataDxfId="329"/>
    <tableColumn id="4" xr3:uid="{E6B18D89-E799-AD48-9DAA-37AEE1D29011}" name="Konzentrationslevel" dataDxfId="328"/>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G25"/>
  <sheetViews>
    <sheetView zoomScale="70" zoomScaleNormal="70" workbookViewId="0">
      <selection activeCell="B23" sqref="B23"/>
    </sheetView>
  </sheetViews>
  <sheetFormatPr defaultColWidth="10.8515625" defaultRowHeight="15" x14ac:dyDescent="0.2"/>
  <cols>
    <col min="1" max="1" width="11.8359375" customWidth="1"/>
    <col min="2" max="2" width="62.640625" customWidth="1"/>
  </cols>
  <sheetData>
    <row r="2" spans="1:4" x14ac:dyDescent="0.2">
      <c r="C2" s="21" t="s">
        <v>71</v>
      </c>
    </row>
    <row r="3" spans="1:4" x14ac:dyDescent="0.2">
      <c r="C3" s="20" t="s">
        <v>56</v>
      </c>
    </row>
    <row r="4" spans="1:4" x14ac:dyDescent="0.2">
      <c r="C4" s="19" t="s">
        <v>70</v>
      </c>
    </row>
    <row r="5" spans="1:4" x14ac:dyDescent="0.2">
      <c r="A5" s="3" t="s">
        <v>53</v>
      </c>
      <c r="B5" s="3" t="s">
        <v>54</v>
      </c>
      <c r="C5" s="3" t="s">
        <v>55</v>
      </c>
      <c r="D5" s="3" t="s">
        <v>57</v>
      </c>
    </row>
    <row r="6" spans="1:4" x14ac:dyDescent="0.2">
      <c r="A6" t="s">
        <v>49</v>
      </c>
      <c r="B6" s="21" t="s">
        <v>52</v>
      </c>
      <c r="D6" t="s">
        <v>86</v>
      </c>
    </row>
    <row r="7" spans="1:4" x14ac:dyDescent="0.2">
      <c r="A7" t="s">
        <v>60</v>
      </c>
      <c r="B7" t="s">
        <v>61</v>
      </c>
      <c r="C7" s="19">
        <v>31</v>
      </c>
    </row>
    <row r="8" spans="1:4" x14ac:dyDescent="0.2">
      <c r="A8" t="s">
        <v>51</v>
      </c>
      <c r="B8" s="21" t="s">
        <v>50</v>
      </c>
      <c r="C8" s="9"/>
      <c r="D8" t="s">
        <v>74</v>
      </c>
    </row>
    <row r="9" spans="1:4" x14ac:dyDescent="0.2">
      <c r="A9" t="s">
        <v>59</v>
      </c>
      <c r="B9" s="21" t="s">
        <v>72</v>
      </c>
      <c r="D9" t="s">
        <v>75</v>
      </c>
    </row>
    <row r="10" spans="1:4" x14ac:dyDescent="0.2">
      <c r="A10" t="s">
        <v>63</v>
      </c>
      <c r="B10" t="s">
        <v>62</v>
      </c>
      <c r="C10" s="19">
        <v>9</v>
      </c>
      <c r="D10" t="s">
        <v>58</v>
      </c>
    </row>
    <row r="11" spans="1:4" x14ac:dyDescent="0.2">
      <c r="A11" t="s">
        <v>64</v>
      </c>
      <c r="B11" t="s">
        <v>66</v>
      </c>
      <c r="C11" s="19">
        <v>93</v>
      </c>
      <c r="D11" t="s">
        <v>65</v>
      </c>
    </row>
    <row r="12" spans="1:4" x14ac:dyDescent="0.2">
      <c r="A12" t="s">
        <v>68</v>
      </c>
      <c r="B12" t="s">
        <v>67</v>
      </c>
      <c r="C12" s="20">
        <f>C11/C10</f>
        <v>10.333333333333334</v>
      </c>
    </row>
    <row r="13" spans="1:4" x14ac:dyDescent="0.2">
      <c r="A13" t="s">
        <v>73</v>
      </c>
      <c r="B13" t="s">
        <v>69</v>
      </c>
      <c r="D13" t="s">
        <v>76</v>
      </c>
    </row>
    <row r="14" spans="1:4" x14ac:dyDescent="0.2">
      <c r="A14" t="s">
        <v>77</v>
      </c>
      <c r="B14" t="s">
        <v>78</v>
      </c>
      <c r="D14" t="s">
        <v>79</v>
      </c>
    </row>
    <row r="15" spans="1:4" x14ac:dyDescent="0.2">
      <c r="A15" t="s">
        <v>80</v>
      </c>
      <c r="B15" s="21" t="s">
        <v>81</v>
      </c>
    </row>
    <row r="16" spans="1:4" x14ac:dyDescent="0.2">
      <c r="A16" t="s">
        <v>84</v>
      </c>
      <c r="B16" s="21" t="s">
        <v>82</v>
      </c>
    </row>
    <row r="17" spans="1:7" x14ac:dyDescent="0.2">
      <c r="A17" t="s">
        <v>85</v>
      </c>
      <c r="B17" t="s">
        <v>83</v>
      </c>
    </row>
    <row r="19" spans="1:7" x14ac:dyDescent="0.2">
      <c r="D19" t="s">
        <v>157</v>
      </c>
    </row>
    <row r="22" spans="1:7" x14ac:dyDescent="0.2">
      <c r="D22" t="s">
        <v>88</v>
      </c>
      <c r="F22" t="s">
        <v>89</v>
      </c>
      <c r="G22" t="s">
        <v>90</v>
      </c>
    </row>
    <row r="23" spans="1:7" x14ac:dyDescent="0.2">
      <c r="F23" t="s">
        <v>91</v>
      </c>
      <c r="G23" t="s">
        <v>90</v>
      </c>
    </row>
    <row r="24" spans="1:7" x14ac:dyDescent="0.2">
      <c r="F24" t="s">
        <v>93</v>
      </c>
      <c r="G24" t="s">
        <v>92</v>
      </c>
    </row>
    <row r="25" spans="1:7" x14ac:dyDescent="0.2">
      <c r="F25" t="s">
        <v>94</v>
      </c>
      <c r="G25" t="s">
        <v>92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T107"/>
  <sheetViews>
    <sheetView showGridLines="0" tabSelected="1" topLeftCell="B1" zoomScale="50" zoomScaleNormal="50" workbookViewId="0">
      <pane xSplit="6" topLeftCell="AS1" activePane="topRight" state="frozen"/>
      <selection activeCell="A1056" sqref="A1056"/>
      <selection pane="topRight" activeCell="Y60" sqref="Y60"/>
    </sheetView>
  </sheetViews>
  <sheetFormatPr defaultColWidth="8.875" defaultRowHeight="15" outlineLevelRow="1" x14ac:dyDescent="0.2"/>
  <cols>
    <col min="3" max="3" width="9.4921875" bestFit="1" customWidth="1"/>
    <col min="4" max="4" width="12.9453125" bestFit="1" customWidth="1"/>
    <col min="5" max="5" width="4.80859375" bestFit="1" customWidth="1"/>
    <col min="6" max="6" width="41.18359375" bestFit="1" customWidth="1"/>
    <col min="7" max="7" width="15.53515625" bestFit="1" customWidth="1"/>
    <col min="8" max="8" width="2.46484375" customWidth="1"/>
    <col min="10" max="10" width="12.453125" bestFit="1" customWidth="1"/>
    <col min="11" max="11" width="14.796875" bestFit="1" customWidth="1"/>
    <col min="12" max="12" width="12.69921875" bestFit="1" customWidth="1"/>
    <col min="13" max="13" width="2.46484375" customWidth="1"/>
    <col min="15" max="15" width="12.453125" bestFit="1" customWidth="1"/>
    <col min="16" max="16" width="6.28515625" customWidth="1"/>
    <col min="17" max="17" width="14.796875" bestFit="1" customWidth="1"/>
    <col min="18" max="18" width="6.0390625" customWidth="1"/>
    <col min="19" max="19" width="12.69921875" bestFit="1" customWidth="1"/>
    <col min="20" max="20" width="2.46484375" customWidth="1"/>
    <col min="22" max="22" width="12.453125" bestFit="1" customWidth="1"/>
    <col min="23" max="23" width="6.28515625" customWidth="1"/>
    <col min="24" max="24" width="14.796875" bestFit="1" customWidth="1"/>
    <col min="25" max="25" width="6.0390625" customWidth="1"/>
    <col min="26" max="26" width="12.69921875" bestFit="1" customWidth="1"/>
    <col min="27" max="27" width="2.46484375" customWidth="1"/>
    <col min="29" max="29" width="12.453125" bestFit="1" customWidth="1"/>
    <col min="30" max="30" width="6.28515625" customWidth="1"/>
    <col min="31" max="31" width="14.796875" bestFit="1" customWidth="1"/>
    <col min="32" max="32" width="6.0390625" customWidth="1"/>
    <col min="33" max="33" width="12.69921875" bestFit="1" customWidth="1"/>
    <col min="34" max="34" width="2.46484375" customWidth="1"/>
    <col min="36" max="36" width="12.453125" bestFit="1" customWidth="1"/>
    <col min="37" max="37" width="6.28515625" customWidth="1"/>
    <col min="38" max="38" width="14.796875" bestFit="1" customWidth="1"/>
    <col min="39" max="39" width="6.0390625" customWidth="1"/>
    <col min="40" max="40" width="12.69921875" bestFit="1" customWidth="1"/>
    <col min="41" max="41" width="2.46484375" customWidth="1"/>
    <col min="43" max="43" width="12.453125" bestFit="1" customWidth="1"/>
    <col min="44" max="44" width="6.28515625" customWidth="1"/>
    <col min="45" max="45" width="14.796875" bestFit="1" customWidth="1"/>
    <col min="46" max="46" width="6.0390625" customWidth="1"/>
    <col min="47" max="47" width="12.69921875" bestFit="1" customWidth="1"/>
    <col min="48" max="48" width="1.72265625" customWidth="1"/>
    <col min="50" max="50" width="12.453125" bestFit="1" customWidth="1"/>
    <col min="51" max="51" width="6.28515625" customWidth="1"/>
    <col min="52" max="52" width="14.796875" bestFit="1" customWidth="1"/>
    <col min="53" max="53" width="6.0390625" customWidth="1"/>
    <col min="54" max="54" width="12.69921875" bestFit="1" customWidth="1"/>
    <col min="55" max="55" width="2.46484375" customWidth="1"/>
    <col min="57" max="57" width="12.453125" bestFit="1" customWidth="1"/>
    <col min="58" max="58" width="6.28515625" customWidth="1"/>
    <col min="59" max="59" width="14.796875" bestFit="1" customWidth="1"/>
    <col min="60" max="60" width="6.0390625" customWidth="1"/>
    <col min="61" max="61" width="12.69921875" bestFit="1" customWidth="1"/>
    <col min="62" max="62" width="2.46484375" customWidth="1"/>
    <col min="64" max="64" width="12.453125" bestFit="1" customWidth="1"/>
    <col min="65" max="65" width="6.28515625" customWidth="1"/>
    <col min="66" max="66" width="14.796875" bestFit="1" customWidth="1"/>
    <col min="67" max="67" width="6.0390625" customWidth="1"/>
    <col min="68" max="68" width="12.69921875" bestFit="1" customWidth="1"/>
    <col min="69" max="69" width="2.46484375" customWidth="1"/>
    <col min="71" max="71" width="12.453125" bestFit="1" customWidth="1"/>
    <col min="72" max="72" width="6.28515625" customWidth="1"/>
    <col min="73" max="73" width="14.796875" bestFit="1" customWidth="1"/>
    <col min="74" max="74" width="6.0390625" customWidth="1"/>
    <col min="75" max="75" width="12.69921875" bestFit="1" customWidth="1"/>
    <col min="76" max="76" width="2.46484375" customWidth="1"/>
    <col min="78" max="78" width="12.453125" bestFit="1" customWidth="1"/>
    <col min="79" max="79" width="6.28515625" customWidth="1"/>
    <col min="80" max="80" width="14.796875" bestFit="1" customWidth="1"/>
    <col min="81" max="81" width="6.0390625" customWidth="1"/>
    <col min="82" max="82" width="12.69921875" bestFit="1" customWidth="1"/>
    <col min="83" max="83" width="2.46484375" customWidth="1"/>
    <col min="85" max="85" width="12.453125" bestFit="1" customWidth="1"/>
    <col min="86" max="86" width="6.28515625" customWidth="1"/>
    <col min="87" max="87" width="14.796875" bestFit="1" customWidth="1"/>
    <col min="88" max="88" width="6.0390625" customWidth="1"/>
    <col min="89" max="89" width="12.69921875" bestFit="1" customWidth="1"/>
    <col min="90" max="90" width="2.46484375" customWidth="1"/>
    <col min="92" max="92" width="12.453125" bestFit="1" customWidth="1"/>
    <col min="93" max="93" width="6.28515625" customWidth="1"/>
    <col min="94" max="94" width="14.796875" bestFit="1" customWidth="1"/>
    <col min="95" max="95" width="6.0390625" customWidth="1"/>
    <col min="96" max="96" width="12.69921875" bestFit="1" customWidth="1"/>
    <col min="97" max="97" width="2.46484375" customWidth="1"/>
    <col min="98" max="98" width="8.75390625" customWidth="1"/>
    <col min="99" max="99" width="12.453125" bestFit="1" customWidth="1"/>
    <col min="100" max="100" width="6.28515625" customWidth="1"/>
    <col min="101" max="101" width="14.796875" bestFit="1" customWidth="1"/>
    <col min="102" max="102" width="6.0390625" customWidth="1"/>
    <col min="103" max="103" width="12.69921875" bestFit="1" customWidth="1"/>
    <col min="104" max="104" width="2.46484375" customWidth="1"/>
    <col min="106" max="106" width="12.453125" bestFit="1" customWidth="1"/>
    <col min="107" max="107" width="6.28515625" customWidth="1"/>
    <col min="108" max="108" width="14.796875" bestFit="1" customWidth="1"/>
    <col min="109" max="109" width="6.0390625" customWidth="1"/>
    <col min="110" max="110" width="12.69921875" bestFit="1" customWidth="1"/>
    <col min="111" max="111" width="2.46484375" customWidth="1"/>
    <col min="113" max="113" width="12.453125" bestFit="1" customWidth="1"/>
    <col min="114" max="114" width="6.28515625" customWidth="1"/>
    <col min="115" max="115" width="14.796875" bestFit="1" customWidth="1"/>
    <col min="116" max="116" width="6.0390625" customWidth="1"/>
    <col min="117" max="117" width="12.69921875" bestFit="1" customWidth="1"/>
    <col min="118" max="118" width="2.46484375" customWidth="1"/>
    <col min="119" max="119" width="9.24609375" customWidth="1"/>
    <col min="120" max="120" width="12.453125" bestFit="1" customWidth="1"/>
    <col min="121" max="121" width="6.28515625" customWidth="1"/>
    <col min="122" max="122" width="14.796875" bestFit="1" customWidth="1"/>
    <col min="123" max="123" width="6.0390625" customWidth="1"/>
    <col min="124" max="124" width="12.69921875" bestFit="1" customWidth="1"/>
  </cols>
  <sheetData>
    <row r="1" spans="2:124" ht="33" x14ac:dyDescent="0.45">
      <c r="B1" s="5" t="s">
        <v>0</v>
      </c>
      <c r="D1" s="5"/>
      <c r="G1" s="15" t="s">
        <v>33</v>
      </c>
      <c r="I1" s="15" t="s">
        <v>33</v>
      </c>
      <c r="J1" s="15" t="s">
        <v>33</v>
      </c>
      <c r="K1" s="15" t="s">
        <v>33</v>
      </c>
    </row>
    <row r="2" spans="2:124" x14ac:dyDescent="0.2">
      <c r="I2" s="31" t="s">
        <v>27</v>
      </c>
      <c r="J2" s="31"/>
      <c r="K2" s="31"/>
      <c r="L2" s="31"/>
      <c r="N2" s="31" t="s">
        <v>140</v>
      </c>
      <c r="O2" s="31"/>
      <c r="P2" s="31"/>
      <c r="Q2" s="31"/>
      <c r="R2" s="31"/>
      <c r="S2" s="31"/>
      <c r="U2" s="31" t="s">
        <v>141</v>
      </c>
      <c r="V2" s="31"/>
      <c r="W2" s="31"/>
      <c r="X2" s="31"/>
      <c r="Y2" s="31"/>
      <c r="Z2" s="31"/>
      <c r="AB2" s="31" t="s">
        <v>142</v>
      </c>
      <c r="AC2" s="31"/>
      <c r="AD2" s="31"/>
      <c r="AE2" s="31"/>
      <c r="AF2" s="31"/>
      <c r="AG2" s="31"/>
      <c r="AI2" s="31" t="s">
        <v>143</v>
      </c>
      <c r="AJ2" s="31"/>
      <c r="AK2" s="31"/>
      <c r="AL2" s="31"/>
      <c r="AM2" s="31"/>
      <c r="AN2" s="31"/>
      <c r="AP2" s="31" t="s">
        <v>144</v>
      </c>
      <c r="AQ2" s="31"/>
      <c r="AR2" s="31"/>
      <c r="AS2" s="31"/>
      <c r="AT2" s="31"/>
      <c r="AU2" s="31"/>
      <c r="AW2" s="31" t="s">
        <v>145</v>
      </c>
      <c r="AX2" s="31"/>
      <c r="AY2" s="31"/>
      <c r="AZ2" s="31"/>
      <c r="BA2" s="31"/>
      <c r="BB2" s="31"/>
      <c r="BD2" s="31" t="s">
        <v>146</v>
      </c>
      <c r="BE2" s="31"/>
      <c r="BF2" s="31"/>
      <c r="BG2" s="31"/>
      <c r="BH2" s="31"/>
      <c r="BI2" s="31"/>
      <c r="BK2" s="31" t="s">
        <v>147</v>
      </c>
      <c r="BL2" s="31"/>
      <c r="BM2" s="31"/>
      <c r="BN2" s="31"/>
      <c r="BO2" s="31"/>
      <c r="BP2" s="31"/>
      <c r="BR2" s="31" t="s">
        <v>148</v>
      </c>
      <c r="BS2" s="31"/>
      <c r="BT2" s="31"/>
      <c r="BU2" s="31"/>
      <c r="BV2" s="31"/>
      <c r="BW2" s="31"/>
      <c r="BY2" s="32" t="s">
        <v>151</v>
      </c>
      <c r="BZ2" s="32"/>
      <c r="CA2" s="32"/>
      <c r="CB2" s="32"/>
      <c r="CC2" s="32"/>
      <c r="CD2" s="32"/>
      <c r="CF2" s="32" t="s">
        <v>149</v>
      </c>
      <c r="CG2" s="32"/>
      <c r="CH2" s="32"/>
      <c r="CI2" s="32"/>
      <c r="CJ2" s="32"/>
      <c r="CK2" s="32"/>
      <c r="CM2" s="32" t="s">
        <v>150</v>
      </c>
      <c r="CN2" s="32"/>
      <c r="CO2" s="32"/>
      <c r="CP2" s="32"/>
      <c r="CQ2" s="32"/>
      <c r="CR2" s="32"/>
      <c r="CT2" s="33" t="s">
        <v>152</v>
      </c>
      <c r="CU2" s="33"/>
      <c r="CV2" s="33"/>
      <c r="CW2" s="33"/>
      <c r="CX2" s="33"/>
      <c r="CY2" s="33"/>
      <c r="DA2" s="34" t="s">
        <v>153</v>
      </c>
      <c r="DB2" s="34"/>
      <c r="DC2" s="34"/>
      <c r="DD2" s="34"/>
      <c r="DE2" s="34"/>
      <c r="DF2" s="34"/>
      <c r="DH2" s="31" t="s">
        <v>134</v>
      </c>
      <c r="DI2" s="31"/>
      <c r="DJ2" s="31"/>
      <c r="DK2" s="31"/>
      <c r="DL2" s="31"/>
      <c r="DM2" s="31"/>
      <c r="DO2" s="31"/>
      <c r="DP2" s="31"/>
      <c r="DQ2" s="31"/>
      <c r="DR2" s="31"/>
      <c r="DS2" s="31"/>
      <c r="DT2" s="31"/>
    </row>
    <row r="3" spans="2:124" x14ac:dyDescent="0.2">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row>
    <row r="4" spans="2:124" x14ac:dyDescent="0.2">
      <c r="B4" t="s">
        <v>27</v>
      </c>
      <c r="C4" s="23" t="s">
        <v>112</v>
      </c>
      <c r="D4" s="22">
        <v>45306</v>
      </c>
      <c r="E4" s="11">
        <v>5</v>
      </c>
      <c r="F4" t="s">
        <v>139</v>
      </c>
      <c r="G4" s="12">
        <f>+SUM(G5:G14)</f>
        <v>0</v>
      </c>
      <c r="I4" s="14">
        <f>+SUM(I5:I14)</f>
        <v>0</v>
      </c>
      <c r="J4" s="13">
        <v>0</v>
      </c>
      <c r="K4" s="13">
        <v>0</v>
      </c>
      <c r="L4" s="11"/>
      <c r="N4" s="14"/>
      <c r="U4" s="14">
        <f>+SUM(U5:U14)</f>
        <v>0</v>
      </c>
      <c r="AB4" s="14">
        <f>+SUM(AB5:AB14)</f>
        <v>0</v>
      </c>
      <c r="AI4" s="14">
        <f>+SUM(AI5:AI14)</f>
        <v>0</v>
      </c>
      <c r="AP4" s="14">
        <f>+SUM(AP5:AP14)</f>
        <v>0</v>
      </c>
      <c r="AW4" s="14">
        <f>+SUM(AW5:AW14)</f>
        <v>0</v>
      </c>
      <c r="BD4" s="14">
        <f>+SUM(BD5:BD14)</f>
        <v>0</v>
      </c>
      <c r="BK4" s="14">
        <f>+SUM(BK5:BK14)</f>
        <v>0</v>
      </c>
      <c r="BR4" s="14">
        <f>+SUM(BR5:BR14)</f>
        <v>0</v>
      </c>
      <c r="BY4" s="14">
        <f>+SUM(BY5:BY14)</f>
        <v>0</v>
      </c>
      <c r="CF4" s="14">
        <f>+SUM(CF5:CF14)</f>
        <v>0</v>
      </c>
      <c r="CM4" s="14">
        <f>+SUM(CM5:CM14)</f>
        <v>0</v>
      </c>
      <c r="CT4" s="14">
        <f>+SUM(CT5:CT14)</f>
        <v>0</v>
      </c>
      <c r="DA4" s="14">
        <f>+SUM(DA5:DA14)</f>
        <v>0</v>
      </c>
      <c r="DH4" s="14">
        <f>+SUM(DH5:DH14)</f>
        <v>0</v>
      </c>
      <c r="DO4" s="14">
        <f>+SUM(DO5:DO14)</f>
        <v>0</v>
      </c>
    </row>
    <row r="5" spans="2:124" outlineLevel="1" x14ac:dyDescent="0.2">
      <c r="B5" t="s">
        <v>28</v>
      </c>
      <c r="C5" s="23" t="s">
        <v>95</v>
      </c>
      <c r="E5" s="11"/>
      <c r="F5" t="s">
        <v>103</v>
      </c>
      <c r="G5" s="12"/>
      <c r="I5" s="11">
        <f>+SUMIF($N$3:$ZZ$3,I$3,$N5:$ZZ5)</f>
        <v>0</v>
      </c>
      <c r="J5" s="24">
        <v>0</v>
      </c>
      <c r="K5" s="24">
        <v>0</v>
      </c>
      <c r="L5" s="11"/>
      <c r="O5" s="27"/>
      <c r="P5" s="12"/>
      <c r="Q5" s="27"/>
      <c r="R5" s="12"/>
      <c r="T5" t="s">
        <v>135</v>
      </c>
      <c r="V5" s="12"/>
      <c r="W5" s="12">
        <v>0.5</v>
      </c>
      <c r="X5" s="12"/>
      <c r="Y5" s="12">
        <v>0.5</v>
      </c>
      <c r="AC5" s="12"/>
      <c r="AD5" s="12">
        <v>0.5</v>
      </c>
      <c r="AE5" s="12"/>
      <c r="AF5" s="12">
        <v>0.5</v>
      </c>
      <c r="AJ5" s="12"/>
      <c r="AK5" s="12">
        <v>0.5</v>
      </c>
      <c r="AL5" s="12"/>
      <c r="AM5" s="12">
        <v>0.5</v>
      </c>
      <c r="AO5" t="s">
        <v>135</v>
      </c>
      <c r="AQ5" s="12"/>
      <c r="AR5" s="12">
        <v>0.8</v>
      </c>
      <c r="AS5" s="12"/>
      <c r="AT5" s="12">
        <v>0.8</v>
      </c>
      <c r="AX5" s="12"/>
      <c r="AY5" s="12">
        <v>0.8</v>
      </c>
      <c r="AZ5" s="12"/>
      <c r="BA5" s="12">
        <v>0.8</v>
      </c>
      <c r="BE5" s="12"/>
      <c r="BF5" s="12">
        <v>0.8</v>
      </c>
      <c r="BG5" s="12"/>
      <c r="BH5" s="12">
        <v>0.8</v>
      </c>
      <c r="BJ5" t="s">
        <v>135</v>
      </c>
      <c r="BL5" s="12"/>
      <c r="BM5" s="12">
        <v>1</v>
      </c>
      <c r="BN5" s="12"/>
      <c r="BO5" s="12">
        <v>1</v>
      </c>
      <c r="BS5" s="12"/>
      <c r="BT5" s="12">
        <v>1</v>
      </c>
      <c r="BU5" s="12"/>
      <c r="BV5" s="12">
        <v>1</v>
      </c>
      <c r="BZ5" s="12">
        <v>1</v>
      </c>
      <c r="CA5" s="12">
        <v>1</v>
      </c>
      <c r="CB5" s="12">
        <v>1</v>
      </c>
      <c r="CC5" s="12">
        <v>1</v>
      </c>
      <c r="CG5" s="12">
        <v>1</v>
      </c>
      <c r="CH5" s="12">
        <v>1</v>
      </c>
      <c r="CI5" s="12">
        <v>1</v>
      </c>
      <c r="CJ5" s="12">
        <v>1</v>
      </c>
      <c r="CN5" s="12">
        <v>1</v>
      </c>
      <c r="CO5" s="12">
        <v>1</v>
      </c>
      <c r="CP5" s="12">
        <v>1</v>
      </c>
      <c r="CQ5" s="12">
        <v>1</v>
      </c>
      <c r="CU5" s="12"/>
      <c r="CV5" s="12"/>
      <c r="CW5" s="12"/>
      <c r="CX5" s="12"/>
      <c r="DB5" s="12"/>
      <c r="DC5" s="12"/>
      <c r="DD5" s="12"/>
      <c r="DE5" s="12"/>
      <c r="DI5" s="12"/>
      <c r="DJ5" s="12"/>
      <c r="DK5" s="12"/>
      <c r="DL5" s="12"/>
      <c r="DP5" s="12"/>
      <c r="DQ5" s="12"/>
      <c r="DR5" s="12"/>
      <c r="DS5" s="12"/>
    </row>
    <row r="6" spans="2:124" outlineLevel="1" x14ac:dyDescent="0.2">
      <c r="B6" t="s">
        <v>28</v>
      </c>
      <c r="C6" s="23" t="s">
        <v>95</v>
      </c>
      <c r="E6" s="11"/>
      <c r="F6" t="s">
        <v>104</v>
      </c>
      <c r="G6" s="12"/>
      <c r="I6" s="11">
        <f t="shared" ref="I6:I11" si="0">+SUMIF($N$3:$ZZ$3,I$3,$N6:$ZZ6)</f>
        <v>0</v>
      </c>
      <c r="J6" s="24">
        <v>0</v>
      </c>
      <c r="K6" s="24">
        <v>0</v>
      </c>
      <c r="L6" s="11"/>
      <c r="O6" s="27"/>
      <c r="P6" s="12"/>
      <c r="Q6" s="27"/>
      <c r="R6" s="12"/>
      <c r="T6" t="s">
        <v>135</v>
      </c>
      <c r="V6" s="12"/>
      <c r="W6" s="12">
        <v>0.5</v>
      </c>
      <c r="X6" s="12"/>
      <c r="Y6" s="12">
        <v>0.5</v>
      </c>
      <c r="AC6" s="12"/>
      <c r="AD6" s="12">
        <v>0.5</v>
      </c>
      <c r="AE6" s="12"/>
      <c r="AF6" s="12">
        <v>0.5</v>
      </c>
      <c r="AJ6" s="12"/>
      <c r="AK6" s="12">
        <v>0.5</v>
      </c>
      <c r="AL6" s="12"/>
      <c r="AM6" s="12">
        <v>0.5</v>
      </c>
      <c r="AO6" t="s">
        <v>135</v>
      </c>
      <c r="AQ6" s="12"/>
      <c r="AR6" s="12">
        <v>0.8</v>
      </c>
      <c r="AS6" s="12"/>
      <c r="AT6" s="12">
        <v>0.8</v>
      </c>
      <c r="AX6" s="12"/>
      <c r="AY6" s="12">
        <v>0.8</v>
      </c>
      <c r="AZ6" s="12"/>
      <c r="BA6" s="12">
        <v>0.8</v>
      </c>
      <c r="BE6" s="12"/>
      <c r="BF6" s="12">
        <v>0.8</v>
      </c>
      <c r="BG6" s="12"/>
      <c r="BH6" s="12">
        <v>0.8</v>
      </c>
      <c r="BJ6" t="s">
        <v>135</v>
      </c>
      <c r="BL6" s="12"/>
      <c r="BM6" s="12">
        <v>1</v>
      </c>
      <c r="BN6" s="12"/>
      <c r="BO6" s="12">
        <v>1</v>
      </c>
      <c r="BS6" s="12"/>
      <c r="BT6" s="12">
        <v>1</v>
      </c>
      <c r="BU6" s="12"/>
      <c r="BV6" s="12">
        <v>1</v>
      </c>
      <c r="BZ6" s="12">
        <v>1</v>
      </c>
      <c r="CA6" s="12">
        <v>1</v>
      </c>
      <c r="CB6" s="12">
        <v>1</v>
      </c>
      <c r="CC6" s="12">
        <v>1</v>
      </c>
      <c r="CG6" s="12">
        <v>1</v>
      </c>
      <c r="CH6" s="12">
        <v>1</v>
      </c>
      <c r="CI6" s="12">
        <v>1</v>
      </c>
      <c r="CJ6" s="12">
        <v>1</v>
      </c>
      <c r="CN6" s="12">
        <v>1</v>
      </c>
      <c r="CO6" s="12">
        <v>1</v>
      </c>
      <c r="CP6" s="12">
        <v>1</v>
      </c>
      <c r="CQ6" s="12">
        <v>1</v>
      </c>
      <c r="CU6" s="12"/>
      <c r="CV6" s="12"/>
      <c r="CW6" s="12"/>
      <c r="CX6" s="12"/>
      <c r="DB6" s="12"/>
      <c r="DC6" s="12"/>
      <c r="DD6" s="12"/>
      <c r="DE6" s="12"/>
      <c r="DI6" s="12"/>
      <c r="DJ6" s="12"/>
      <c r="DK6" s="12"/>
      <c r="DL6" s="12"/>
      <c r="DP6" s="12"/>
      <c r="DQ6" s="12"/>
      <c r="DR6" s="12"/>
      <c r="DS6" s="12"/>
    </row>
    <row r="7" spans="2:124" outlineLevel="1" x14ac:dyDescent="0.2">
      <c r="B7" t="s">
        <v>28</v>
      </c>
      <c r="C7" s="23" t="s">
        <v>95</v>
      </c>
      <c r="E7" s="11"/>
      <c r="F7" t="s">
        <v>105</v>
      </c>
      <c r="G7" s="12"/>
      <c r="I7" s="11">
        <f t="shared" si="0"/>
        <v>0</v>
      </c>
      <c r="J7" s="24">
        <v>0</v>
      </c>
      <c r="K7" s="24">
        <v>0</v>
      </c>
      <c r="L7" s="11"/>
      <c r="O7" s="27"/>
      <c r="P7" s="12"/>
      <c r="Q7" s="27"/>
      <c r="R7" s="12"/>
      <c r="T7" t="s">
        <v>135</v>
      </c>
      <c r="V7" s="12"/>
      <c r="W7" s="12">
        <v>0.5</v>
      </c>
      <c r="X7" s="12"/>
      <c r="Y7" s="12">
        <v>0.5</v>
      </c>
      <c r="AC7" s="12"/>
      <c r="AD7" s="12">
        <v>0.5</v>
      </c>
      <c r="AE7" s="12"/>
      <c r="AF7" s="12">
        <v>0.5</v>
      </c>
      <c r="AJ7" s="12"/>
      <c r="AK7" s="12">
        <v>0.5</v>
      </c>
      <c r="AL7" s="12"/>
      <c r="AM7" s="12">
        <v>0.5</v>
      </c>
      <c r="AO7" t="s">
        <v>135</v>
      </c>
      <c r="AQ7" s="12"/>
      <c r="AR7" s="12">
        <v>0.8</v>
      </c>
      <c r="AS7" s="12"/>
      <c r="AT7" s="12">
        <v>0.8</v>
      </c>
      <c r="AX7" s="12"/>
      <c r="AY7" s="12">
        <v>0.8</v>
      </c>
      <c r="AZ7" s="12"/>
      <c r="BA7" s="12">
        <v>0.8</v>
      </c>
      <c r="BE7" s="12"/>
      <c r="BF7" s="12">
        <v>0.8</v>
      </c>
      <c r="BG7" s="12"/>
      <c r="BH7" s="12">
        <v>0.8</v>
      </c>
      <c r="BJ7" t="s">
        <v>135</v>
      </c>
      <c r="BL7" s="12"/>
      <c r="BM7" s="12">
        <v>1</v>
      </c>
      <c r="BN7" s="12"/>
      <c r="BO7" s="12">
        <v>1</v>
      </c>
      <c r="BS7" s="12"/>
      <c r="BT7" s="12">
        <v>1</v>
      </c>
      <c r="BU7" s="12"/>
      <c r="BV7" s="12">
        <v>1</v>
      </c>
      <c r="BZ7" s="12">
        <v>1</v>
      </c>
      <c r="CA7" s="12">
        <v>1</v>
      </c>
      <c r="CB7" s="12">
        <v>1</v>
      </c>
      <c r="CC7" s="12">
        <v>1</v>
      </c>
      <c r="CG7" s="12">
        <v>1</v>
      </c>
      <c r="CH7" s="12">
        <v>1</v>
      </c>
      <c r="CI7" s="12">
        <v>1</v>
      </c>
      <c r="CJ7" s="12">
        <v>1</v>
      </c>
      <c r="CN7" s="12">
        <v>1</v>
      </c>
      <c r="CO7" s="12">
        <v>1</v>
      </c>
      <c r="CP7" s="12">
        <v>1</v>
      </c>
      <c r="CQ7" s="12">
        <v>1</v>
      </c>
      <c r="CU7" s="12"/>
      <c r="CV7" s="12"/>
      <c r="CW7" s="12"/>
      <c r="CX7" s="12"/>
      <c r="DB7" s="12"/>
      <c r="DC7" s="12"/>
      <c r="DD7" s="12"/>
      <c r="DE7" s="12"/>
      <c r="DI7" s="12"/>
      <c r="DJ7" s="12"/>
      <c r="DK7" s="12"/>
      <c r="DL7" s="12"/>
      <c r="DP7" s="12"/>
      <c r="DQ7" s="12"/>
      <c r="DR7" s="12"/>
      <c r="DS7" s="12"/>
    </row>
    <row r="8" spans="2:124" outlineLevel="1" x14ac:dyDescent="0.2">
      <c r="B8" t="s">
        <v>28</v>
      </c>
      <c r="C8" s="23" t="s">
        <v>95</v>
      </c>
      <c r="E8" s="11"/>
      <c r="F8" t="s">
        <v>106</v>
      </c>
      <c r="G8" s="12"/>
      <c r="I8" s="11">
        <f t="shared" si="0"/>
        <v>0</v>
      </c>
      <c r="J8" s="24">
        <v>0</v>
      </c>
      <c r="K8" s="24">
        <v>0</v>
      </c>
      <c r="L8" s="11"/>
      <c r="O8" s="12"/>
      <c r="P8" s="12"/>
      <c r="Q8" s="12"/>
      <c r="R8" s="12"/>
      <c r="V8" s="27"/>
      <c r="W8" s="12"/>
      <c r="X8" s="27"/>
      <c r="Y8" s="12"/>
      <c r="AA8" t="s">
        <v>135</v>
      </c>
      <c r="AC8" s="12"/>
      <c r="AD8" s="12">
        <v>0.5</v>
      </c>
      <c r="AE8" s="12"/>
      <c r="AF8" s="12">
        <v>0.5</v>
      </c>
      <c r="AJ8" s="12"/>
      <c r="AK8" s="12">
        <v>0.5</v>
      </c>
      <c r="AL8" s="12"/>
      <c r="AM8" s="12">
        <v>0.5</v>
      </c>
      <c r="AQ8" s="12"/>
      <c r="AR8" s="12">
        <v>0.5</v>
      </c>
      <c r="AS8" s="12"/>
      <c r="AT8" s="12">
        <v>0.5</v>
      </c>
      <c r="AV8" t="s">
        <v>135</v>
      </c>
      <c r="AX8" s="12"/>
      <c r="AY8" s="12">
        <v>0.8</v>
      </c>
      <c r="AZ8" s="12"/>
      <c r="BA8" s="12">
        <v>0.8</v>
      </c>
      <c r="BE8" s="12"/>
      <c r="BF8" s="12">
        <v>0.8</v>
      </c>
      <c r="BG8" s="12"/>
      <c r="BH8" s="12">
        <v>0.8</v>
      </c>
      <c r="BL8" s="12"/>
      <c r="BM8" s="12">
        <v>0.8</v>
      </c>
      <c r="BN8" s="12"/>
      <c r="BO8" s="12">
        <v>0.8</v>
      </c>
      <c r="BQ8" t="s">
        <v>135</v>
      </c>
      <c r="BS8" s="12"/>
      <c r="BT8" s="12">
        <v>1</v>
      </c>
      <c r="BU8" s="12"/>
      <c r="BV8" s="12">
        <v>1</v>
      </c>
      <c r="BZ8" s="12">
        <v>1</v>
      </c>
      <c r="CA8" s="12">
        <v>1</v>
      </c>
      <c r="CB8" s="12">
        <v>1</v>
      </c>
      <c r="CC8" s="12">
        <v>1</v>
      </c>
      <c r="CG8" s="12">
        <v>1</v>
      </c>
      <c r="CH8" s="12">
        <v>1</v>
      </c>
      <c r="CI8" s="12">
        <v>1</v>
      </c>
      <c r="CJ8" s="12">
        <v>1</v>
      </c>
      <c r="CN8" s="12">
        <v>1</v>
      </c>
      <c r="CO8" s="12">
        <v>1</v>
      </c>
      <c r="CP8" s="12">
        <v>1</v>
      </c>
      <c r="CQ8" s="12">
        <v>1</v>
      </c>
      <c r="CU8" s="12"/>
      <c r="CV8" s="12"/>
      <c r="CW8" s="12"/>
      <c r="CX8" s="12"/>
      <c r="DB8" s="12"/>
      <c r="DC8" s="12"/>
      <c r="DD8" s="12"/>
      <c r="DE8" s="12"/>
      <c r="DI8" s="12"/>
      <c r="DJ8" s="12"/>
      <c r="DK8" s="12"/>
      <c r="DL8" s="12"/>
      <c r="DP8" s="12"/>
      <c r="DQ8" s="12"/>
      <c r="DR8" s="12"/>
      <c r="DS8" s="12"/>
    </row>
    <row r="9" spans="2:124" ht="16.899999999999999" customHeight="1" outlineLevel="1" x14ac:dyDescent="0.2">
      <c r="B9" t="s">
        <v>28</v>
      </c>
      <c r="C9" s="23" t="s">
        <v>95</v>
      </c>
      <c r="E9" s="11"/>
      <c r="F9" t="s">
        <v>107</v>
      </c>
      <c r="G9" s="12"/>
      <c r="I9" s="11">
        <f t="shared" si="0"/>
        <v>0</v>
      </c>
      <c r="J9" s="24">
        <v>0</v>
      </c>
      <c r="K9" s="24">
        <v>0</v>
      </c>
      <c r="L9" s="11"/>
      <c r="O9" s="12"/>
      <c r="P9" s="12"/>
      <c r="Q9" s="12"/>
      <c r="R9" s="12"/>
      <c r="V9" s="27"/>
      <c r="W9" s="12"/>
      <c r="X9" s="27"/>
      <c r="Y9" s="12"/>
      <c r="AA9" t="s">
        <v>135</v>
      </c>
      <c r="AC9" s="12"/>
      <c r="AD9" s="12">
        <v>0.5</v>
      </c>
      <c r="AE9" s="12"/>
      <c r="AF9" s="12">
        <v>0.5</v>
      </c>
      <c r="AJ9" s="12"/>
      <c r="AK9" s="12">
        <v>0.5</v>
      </c>
      <c r="AL9" s="12"/>
      <c r="AM9" s="12">
        <v>0.5</v>
      </c>
      <c r="AQ9" s="12"/>
      <c r="AR9" s="12">
        <v>0.5</v>
      </c>
      <c r="AS9" s="12"/>
      <c r="AT9" s="12">
        <v>0.5</v>
      </c>
      <c r="AV9" t="s">
        <v>135</v>
      </c>
      <c r="AX9" s="12"/>
      <c r="AY9" s="12">
        <v>0.8</v>
      </c>
      <c r="AZ9" s="12"/>
      <c r="BA9" s="12">
        <v>0.8</v>
      </c>
      <c r="BE9" s="12"/>
      <c r="BF9" s="12">
        <v>0.8</v>
      </c>
      <c r="BG9" s="12"/>
      <c r="BH9" s="12">
        <v>0.8</v>
      </c>
      <c r="BL9" s="12"/>
      <c r="BM9" s="12">
        <v>0.8</v>
      </c>
      <c r="BN9" s="12"/>
      <c r="BO9" s="12">
        <v>0.8</v>
      </c>
      <c r="BQ9" t="s">
        <v>135</v>
      </c>
      <c r="BS9" s="12"/>
      <c r="BT9" s="12">
        <v>1</v>
      </c>
      <c r="BU9" s="12"/>
      <c r="BV9" s="12">
        <v>1</v>
      </c>
      <c r="BZ9" s="12">
        <v>1</v>
      </c>
      <c r="CA9" s="12">
        <v>1</v>
      </c>
      <c r="CB9" s="12">
        <v>1</v>
      </c>
      <c r="CC9" s="12">
        <v>1</v>
      </c>
      <c r="CG9" s="12">
        <v>1</v>
      </c>
      <c r="CH9" s="12">
        <v>1</v>
      </c>
      <c r="CI9" s="12">
        <v>1</v>
      </c>
      <c r="CJ9" s="12">
        <v>1</v>
      </c>
      <c r="CN9" s="12">
        <v>1</v>
      </c>
      <c r="CO9" s="12">
        <v>1</v>
      </c>
      <c r="CP9" s="12">
        <v>1</v>
      </c>
      <c r="CQ9" s="12">
        <v>1</v>
      </c>
      <c r="CU9" s="12"/>
      <c r="CV9" s="12"/>
      <c r="CW9" s="12"/>
      <c r="CX9" s="12"/>
      <c r="DB9" s="12"/>
      <c r="DC9" s="12"/>
      <c r="DD9" s="12"/>
      <c r="DE9" s="12"/>
      <c r="DI9" s="12"/>
      <c r="DJ9" s="12"/>
      <c r="DK9" s="12"/>
      <c r="DL9" s="12"/>
      <c r="DP9" s="12"/>
      <c r="DQ9" s="12"/>
      <c r="DR9" s="12"/>
      <c r="DS9" s="12"/>
    </row>
    <row r="10" spans="2:124" outlineLevel="1" x14ac:dyDescent="0.2">
      <c r="B10" t="s">
        <v>109</v>
      </c>
      <c r="C10" s="23" t="s">
        <v>95</v>
      </c>
      <c r="E10" s="11"/>
      <c r="F10" t="s">
        <v>108</v>
      </c>
      <c r="G10" s="12"/>
      <c r="I10" s="11">
        <f t="shared" si="0"/>
        <v>0</v>
      </c>
      <c r="J10" s="13"/>
      <c r="K10" s="13"/>
      <c r="L10" s="11"/>
      <c r="O10" s="12"/>
      <c r="P10" s="12"/>
      <c r="Q10" s="12"/>
      <c r="R10" s="12"/>
      <c r="V10" s="27"/>
      <c r="W10" s="12"/>
      <c r="X10" s="27"/>
      <c r="Y10" s="12"/>
      <c r="AA10" t="s">
        <v>135</v>
      </c>
      <c r="AC10" s="30"/>
      <c r="AD10" s="12">
        <v>0.5</v>
      </c>
      <c r="AE10" s="30"/>
      <c r="AF10" s="12">
        <v>0.5</v>
      </c>
      <c r="AJ10" s="12"/>
      <c r="AK10" s="12">
        <v>0.5</v>
      </c>
      <c r="AL10" s="12"/>
      <c r="AM10" s="12">
        <v>0.5</v>
      </c>
      <c r="AQ10" s="12"/>
      <c r="AR10" s="12">
        <v>0.5</v>
      </c>
      <c r="AS10" s="12"/>
      <c r="AT10" s="12">
        <v>0.5</v>
      </c>
      <c r="AV10" t="s">
        <v>135</v>
      </c>
      <c r="AX10" s="12"/>
      <c r="AY10" s="12">
        <v>0.8</v>
      </c>
      <c r="AZ10" s="12"/>
      <c r="BA10" s="12">
        <v>0.8</v>
      </c>
      <c r="BE10" s="12"/>
      <c r="BF10" s="12">
        <v>0.8</v>
      </c>
      <c r="BG10" s="12"/>
      <c r="BH10" s="12">
        <v>0.8</v>
      </c>
      <c r="BL10" s="12"/>
      <c r="BM10" s="12">
        <v>0.8</v>
      </c>
      <c r="BN10" s="12"/>
      <c r="BO10" s="12">
        <v>0.8</v>
      </c>
      <c r="BQ10" t="s">
        <v>135</v>
      </c>
      <c r="BS10" s="12"/>
      <c r="BT10" s="12">
        <v>1</v>
      </c>
      <c r="BU10" s="12"/>
      <c r="BV10" s="12">
        <v>1</v>
      </c>
      <c r="BZ10" s="12">
        <v>1</v>
      </c>
      <c r="CA10" s="12">
        <v>1</v>
      </c>
      <c r="CB10" s="12">
        <v>1</v>
      </c>
      <c r="CC10" s="12">
        <v>1</v>
      </c>
      <c r="CG10" s="12">
        <v>1</v>
      </c>
      <c r="CH10" s="12">
        <v>1</v>
      </c>
      <c r="CI10" s="12">
        <v>1</v>
      </c>
      <c r="CJ10" s="12">
        <v>1</v>
      </c>
      <c r="CN10" s="12">
        <v>1</v>
      </c>
      <c r="CO10" s="12">
        <v>1</v>
      </c>
      <c r="CP10" s="12">
        <v>1</v>
      </c>
      <c r="CQ10" s="12">
        <v>1</v>
      </c>
      <c r="CU10" s="12"/>
      <c r="CV10" s="12"/>
      <c r="CW10" s="12"/>
      <c r="CX10" s="12"/>
      <c r="DB10" s="12"/>
      <c r="DC10" s="12"/>
      <c r="DD10" s="12"/>
      <c r="DE10" s="12"/>
      <c r="DI10" s="12"/>
      <c r="DJ10" s="12"/>
      <c r="DK10" s="12"/>
      <c r="DL10" s="12"/>
      <c r="DP10" s="12"/>
      <c r="DQ10" s="12"/>
      <c r="DR10" s="12"/>
      <c r="DS10" s="12"/>
    </row>
    <row r="11" spans="2:124" outlineLevel="1" x14ac:dyDescent="0.2">
      <c r="B11" t="s">
        <v>109</v>
      </c>
      <c r="C11" s="23" t="s">
        <v>95</v>
      </c>
      <c r="E11" s="11"/>
      <c r="F11" t="s">
        <v>110</v>
      </c>
      <c r="G11" s="12"/>
      <c r="I11" s="11">
        <f t="shared" si="0"/>
        <v>0</v>
      </c>
      <c r="J11" s="13"/>
      <c r="K11" s="13"/>
      <c r="L11" s="11"/>
      <c r="O11" s="12"/>
      <c r="P11" s="12"/>
      <c r="Q11" s="12"/>
      <c r="R11" s="12"/>
      <c r="V11" s="12"/>
      <c r="W11" s="12"/>
      <c r="X11" s="12"/>
      <c r="Y11" s="12"/>
      <c r="AC11" s="27"/>
      <c r="AD11" s="12"/>
      <c r="AE11" s="27"/>
      <c r="AF11" s="12"/>
      <c r="AH11" t="s">
        <v>135</v>
      </c>
      <c r="AJ11" s="30"/>
      <c r="AK11" s="12">
        <v>0.5</v>
      </c>
      <c r="AL11" s="30"/>
      <c r="AM11" s="12">
        <v>0.5</v>
      </c>
      <c r="AQ11" s="12"/>
      <c r="AR11" s="12">
        <v>0.5</v>
      </c>
      <c r="AS11" s="12"/>
      <c r="AT11" s="12">
        <v>0.5</v>
      </c>
      <c r="AX11" s="12"/>
      <c r="AY11" s="12">
        <v>0.5</v>
      </c>
      <c r="AZ11" s="12"/>
      <c r="BA11" s="12">
        <v>0.5</v>
      </c>
      <c r="BC11" t="s">
        <v>135</v>
      </c>
      <c r="BE11" s="12"/>
      <c r="BF11" s="12">
        <v>0.8</v>
      </c>
      <c r="BG11" s="12"/>
      <c r="BH11" s="12">
        <v>0.8</v>
      </c>
      <c r="BL11" s="12"/>
      <c r="BM11" s="12">
        <v>0.8</v>
      </c>
      <c r="BN11" s="12"/>
      <c r="BO11" s="12">
        <v>0.8</v>
      </c>
      <c r="BS11" s="12"/>
      <c r="BT11" s="12">
        <v>0.8</v>
      </c>
      <c r="BU11" s="12"/>
      <c r="BV11" s="12">
        <v>0.8</v>
      </c>
      <c r="BX11" t="s">
        <v>135</v>
      </c>
      <c r="BZ11" s="12">
        <v>1</v>
      </c>
      <c r="CA11" s="12">
        <v>1</v>
      </c>
      <c r="CB11" s="12">
        <v>1</v>
      </c>
      <c r="CC11" s="12">
        <v>1</v>
      </c>
      <c r="CG11" s="12">
        <v>1</v>
      </c>
      <c r="CH11" s="12">
        <v>1</v>
      </c>
      <c r="CI11" s="12">
        <v>1</v>
      </c>
      <c r="CJ11" s="12">
        <v>1</v>
      </c>
      <c r="CN11" s="12">
        <v>1</v>
      </c>
      <c r="CO11" s="12">
        <v>1</v>
      </c>
      <c r="CP11" s="12">
        <v>1</v>
      </c>
      <c r="CQ11" s="12">
        <v>1</v>
      </c>
      <c r="CU11" s="12"/>
      <c r="CV11" s="12"/>
      <c r="CW11" s="12"/>
      <c r="CX11" s="12"/>
      <c r="DB11" s="12"/>
      <c r="DC11" s="12"/>
      <c r="DD11" s="12"/>
      <c r="DE11" s="12"/>
      <c r="DI11" s="12"/>
      <c r="DJ11" s="12"/>
      <c r="DK11" s="12"/>
      <c r="DL11" s="12"/>
      <c r="DP11" s="12"/>
      <c r="DQ11" s="12"/>
      <c r="DR11" s="12"/>
      <c r="DS11" s="12"/>
    </row>
    <row r="12" spans="2:124" outlineLevel="1" x14ac:dyDescent="0.2">
      <c r="B12" t="s">
        <v>109</v>
      </c>
      <c r="C12" s="23" t="s">
        <v>95</v>
      </c>
      <c r="E12" s="11"/>
      <c r="F12" t="s">
        <v>111</v>
      </c>
      <c r="G12" s="12"/>
      <c r="I12" s="11"/>
      <c r="J12" s="13"/>
      <c r="K12" s="13"/>
      <c r="L12" s="11"/>
      <c r="O12" s="12"/>
      <c r="P12" s="12"/>
      <c r="Q12" s="12"/>
      <c r="R12" s="12"/>
      <c r="V12" s="12"/>
      <c r="W12" s="12"/>
      <c r="X12" s="12"/>
      <c r="Y12" s="12"/>
      <c r="AC12" s="27"/>
      <c r="AD12" s="12"/>
      <c r="AE12" s="27"/>
      <c r="AF12" s="12"/>
      <c r="AH12" t="s">
        <v>135</v>
      </c>
      <c r="AJ12" s="12"/>
      <c r="AK12" s="12">
        <v>0.5</v>
      </c>
      <c r="AL12" s="12"/>
      <c r="AM12" s="12">
        <v>0.5</v>
      </c>
      <c r="AQ12" s="30"/>
      <c r="AR12" s="28">
        <v>0.5</v>
      </c>
      <c r="AS12" s="30"/>
      <c r="AT12" s="28">
        <v>0.5</v>
      </c>
      <c r="AX12" s="12"/>
      <c r="AY12" s="12">
        <v>0.5</v>
      </c>
      <c r="AZ12" s="12"/>
      <c r="BA12" s="12">
        <v>0.5</v>
      </c>
      <c r="BC12" t="s">
        <v>135</v>
      </c>
      <c r="BE12" s="12"/>
      <c r="BF12" s="12">
        <v>0.8</v>
      </c>
      <c r="BG12" s="12"/>
      <c r="BH12" s="12">
        <v>0.8</v>
      </c>
      <c r="BL12" s="12"/>
      <c r="BM12" s="12">
        <v>0.8</v>
      </c>
      <c r="BN12" s="12"/>
      <c r="BO12" s="12">
        <v>0.8</v>
      </c>
      <c r="BQ12" s="26"/>
      <c r="BS12" s="12"/>
      <c r="BT12" s="12">
        <v>0.8</v>
      </c>
      <c r="BU12" s="12"/>
      <c r="BV12" s="12">
        <v>0.8</v>
      </c>
      <c r="BX12" t="s">
        <v>135</v>
      </c>
      <c r="BZ12" s="12">
        <v>1</v>
      </c>
      <c r="CA12" s="12">
        <v>1</v>
      </c>
      <c r="CB12" s="12">
        <v>1</v>
      </c>
      <c r="CC12" s="12">
        <v>1</v>
      </c>
      <c r="CG12" s="12">
        <v>1</v>
      </c>
      <c r="CH12" s="12">
        <v>1</v>
      </c>
      <c r="CI12" s="12">
        <v>1</v>
      </c>
      <c r="CJ12" s="12">
        <v>1</v>
      </c>
      <c r="CN12" s="12">
        <v>1</v>
      </c>
      <c r="CO12" s="12">
        <v>1</v>
      </c>
      <c r="CP12" s="12">
        <v>1</v>
      </c>
      <c r="CQ12" s="12">
        <v>1</v>
      </c>
      <c r="CU12" s="12"/>
      <c r="CV12" s="12"/>
      <c r="CW12" s="12"/>
      <c r="CX12" s="12"/>
      <c r="DB12" s="12"/>
      <c r="DC12" s="12"/>
      <c r="DD12" s="12"/>
      <c r="DE12" s="12"/>
      <c r="DI12" s="12"/>
      <c r="DJ12" s="12"/>
      <c r="DK12" s="12"/>
      <c r="DL12" s="12"/>
      <c r="DP12" s="12"/>
      <c r="DQ12" s="12"/>
      <c r="DR12" s="12"/>
      <c r="DS12" s="12"/>
    </row>
    <row r="13" spans="2:124" outlineLevel="1" x14ac:dyDescent="0.2">
      <c r="B13" t="s">
        <v>109</v>
      </c>
      <c r="C13" s="23" t="s">
        <v>112</v>
      </c>
      <c r="E13" s="11"/>
      <c r="F13" t="s">
        <v>113</v>
      </c>
      <c r="G13" s="12"/>
      <c r="I13" s="11"/>
      <c r="J13" s="13"/>
      <c r="K13" s="13"/>
      <c r="L13" s="11"/>
      <c r="O13" s="12"/>
      <c r="P13" s="12"/>
      <c r="Q13" s="12"/>
      <c r="R13" s="12"/>
      <c r="V13" s="12"/>
      <c r="W13" s="12"/>
      <c r="X13" s="12"/>
      <c r="Y13" s="12"/>
      <c r="AC13" s="27"/>
      <c r="AD13" s="12"/>
      <c r="AE13" s="27"/>
      <c r="AF13" s="12"/>
      <c r="AH13" t="s">
        <v>135</v>
      </c>
      <c r="AJ13" s="12"/>
      <c r="AK13" s="12">
        <v>0.5</v>
      </c>
      <c r="AL13" s="12"/>
      <c r="AM13" s="12">
        <v>0.5</v>
      </c>
      <c r="AQ13" s="30"/>
      <c r="AR13" s="28">
        <v>0.5</v>
      </c>
      <c r="AS13" s="30"/>
      <c r="AT13" s="28">
        <v>0.5</v>
      </c>
      <c r="AX13" s="12"/>
      <c r="AY13" s="12">
        <v>0.5</v>
      </c>
      <c r="AZ13" s="12"/>
      <c r="BA13" s="12">
        <v>0.5</v>
      </c>
      <c r="BC13" t="s">
        <v>135</v>
      </c>
      <c r="BE13" s="12"/>
      <c r="BF13" s="12">
        <v>0.8</v>
      </c>
      <c r="BG13" s="12"/>
      <c r="BH13" s="12">
        <v>0.8</v>
      </c>
      <c r="BL13" s="12"/>
      <c r="BM13" s="12">
        <v>0.8</v>
      </c>
      <c r="BN13" s="12"/>
      <c r="BO13" s="12">
        <v>0.8</v>
      </c>
      <c r="BQ13" s="26"/>
      <c r="BS13" s="12"/>
      <c r="BT13" s="12">
        <v>0.8</v>
      </c>
      <c r="BU13" s="12"/>
      <c r="BV13" s="12">
        <v>0.8</v>
      </c>
      <c r="BX13" s="9" t="s">
        <v>135</v>
      </c>
      <c r="BZ13" s="12">
        <v>1</v>
      </c>
      <c r="CA13" s="12">
        <v>1</v>
      </c>
      <c r="CB13" s="12">
        <v>1</v>
      </c>
      <c r="CC13" s="12">
        <v>1</v>
      </c>
      <c r="CG13" s="12">
        <v>1</v>
      </c>
      <c r="CH13" s="12">
        <v>1</v>
      </c>
      <c r="CI13" s="12">
        <v>1</v>
      </c>
      <c r="CJ13" s="12">
        <v>1</v>
      </c>
      <c r="CN13" s="12">
        <v>1</v>
      </c>
      <c r="CO13" s="12">
        <v>1</v>
      </c>
      <c r="CP13" s="12">
        <v>1</v>
      </c>
      <c r="CQ13" s="12">
        <v>1</v>
      </c>
      <c r="CU13" s="12"/>
      <c r="CV13" s="12"/>
      <c r="CW13" s="12"/>
      <c r="CX13" s="12"/>
      <c r="DB13" s="12"/>
      <c r="DC13" s="12"/>
      <c r="DD13" s="12"/>
      <c r="DE13" s="12"/>
      <c r="DI13" s="12"/>
      <c r="DJ13" s="12"/>
      <c r="DK13" s="12"/>
      <c r="DL13" s="12"/>
      <c r="DP13" s="12"/>
      <c r="DQ13" s="12"/>
      <c r="DR13" s="12"/>
      <c r="DS13" s="12"/>
    </row>
    <row r="14" spans="2:124" outlineLevel="1" x14ac:dyDescent="0.2">
      <c r="B14" t="s">
        <v>158</v>
      </c>
      <c r="C14" s="23"/>
      <c r="E14" s="11"/>
      <c r="G14" s="12"/>
      <c r="I14" s="11"/>
      <c r="J14" s="13"/>
      <c r="K14" s="13"/>
      <c r="L14" s="11"/>
      <c r="O14" s="12"/>
      <c r="P14" s="12"/>
      <c r="Q14" s="12"/>
      <c r="R14" s="12"/>
      <c r="V14" s="12"/>
      <c r="W14" s="12"/>
      <c r="X14" s="12"/>
      <c r="Y14" s="12"/>
      <c r="AC14" s="12"/>
      <c r="AD14" s="12"/>
      <c r="AE14" s="12"/>
      <c r="AF14" s="12"/>
      <c r="AJ14" s="12"/>
      <c r="AK14" s="12"/>
      <c r="AL14" s="12"/>
      <c r="AM14" s="12"/>
      <c r="AQ14" s="12"/>
      <c r="AR14" s="12"/>
      <c r="AS14" s="12"/>
      <c r="AT14" s="12"/>
      <c r="AX14" s="12"/>
      <c r="AY14" s="12"/>
      <c r="AZ14" s="12"/>
      <c r="BA14" s="12"/>
      <c r="BE14" s="12"/>
      <c r="BF14" s="12"/>
      <c r="BG14" s="12"/>
      <c r="BL14" s="12"/>
      <c r="BM14" s="12"/>
      <c r="BN14" s="12"/>
      <c r="BO14" s="12"/>
      <c r="BQ14" s="26"/>
      <c r="BS14" s="12"/>
      <c r="BT14" s="12"/>
      <c r="BU14" s="12"/>
      <c r="BV14" s="12"/>
      <c r="BZ14" s="12"/>
      <c r="CA14" s="12"/>
      <c r="CB14" s="12"/>
      <c r="CC14" s="12"/>
      <c r="CG14" s="12"/>
      <c r="CH14" s="12"/>
      <c r="CI14" s="12"/>
      <c r="CJ14" s="12"/>
      <c r="CN14" s="12"/>
      <c r="CO14" s="12"/>
      <c r="CP14" s="12"/>
      <c r="CQ14" s="12"/>
      <c r="CU14" s="12"/>
      <c r="CV14" s="12"/>
      <c r="CW14" s="12"/>
      <c r="CX14" s="12"/>
      <c r="DB14" s="12"/>
      <c r="DC14" s="12"/>
      <c r="DD14" s="12"/>
      <c r="DE14" s="12"/>
      <c r="DI14" s="12"/>
      <c r="DJ14" s="12"/>
      <c r="DK14" s="12"/>
      <c r="DL14" s="12"/>
      <c r="DP14" s="12"/>
      <c r="DQ14" s="12"/>
      <c r="DR14" s="12"/>
      <c r="DS14" s="12"/>
    </row>
    <row r="15" spans="2:124" x14ac:dyDescent="0.2">
      <c r="C15" s="23"/>
      <c r="O15" s="9"/>
      <c r="V15" s="9"/>
      <c r="AC15" s="9"/>
      <c r="AJ15" s="9"/>
      <c r="AQ15" s="9"/>
      <c r="AX15" s="9"/>
      <c r="BE15" s="9"/>
      <c r="BL15" s="9"/>
      <c r="BQ15" s="26"/>
      <c r="BS15" s="9"/>
      <c r="BZ15" s="9"/>
      <c r="CG15" s="9"/>
      <c r="CN15" s="9"/>
      <c r="CU15" s="9"/>
      <c r="DB15" s="9"/>
      <c r="DI15" s="9"/>
      <c r="DP15" s="9"/>
    </row>
    <row r="16" spans="2:124" x14ac:dyDescent="0.2">
      <c r="B16" t="s">
        <v>27</v>
      </c>
      <c r="C16" s="23" t="s">
        <v>137</v>
      </c>
      <c r="D16" s="22">
        <v>45308</v>
      </c>
      <c r="E16" s="11">
        <v>5</v>
      </c>
      <c r="F16" t="s">
        <v>102</v>
      </c>
      <c r="G16" s="12"/>
      <c r="I16" s="14">
        <f>+SUM(I17:I24)</f>
        <v>0</v>
      </c>
      <c r="J16" s="13">
        <f>+SUMPRODUCT(G17:G24,J17:J24)</f>
        <v>0</v>
      </c>
      <c r="K16" s="13">
        <v>0.8</v>
      </c>
      <c r="L16" s="11"/>
      <c r="N16" s="14"/>
      <c r="U16" s="14">
        <f>+SUM(U17:U24)</f>
        <v>0</v>
      </c>
      <c r="AB16" s="14">
        <f>+SUM(AB17:AB24)</f>
        <v>0</v>
      </c>
      <c r="AI16" s="14">
        <f>+SUM(AI17:AI24)</f>
        <v>0</v>
      </c>
      <c r="AP16" s="14">
        <f>+SUM(AP17:AP24)</f>
        <v>0</v>
      </c>
      <c r="BQ16" s="26"/>
      <c r="CG16" s="12"/>
      <c r="CH16" s="12"/>
      <c r="CI16" s="12"/>
      <c r="CJ16" s="12"/>
    </row>
    <row r="17" spans="2:123" outlineLevel="1" x14ac:dyDescent="0.2">
      <c r="B17" t="s">
        <v>28</v>
      </c>
      <c r="C17" s="23" t="s">
        <v>137</v>
      </c>
      <c r="E17" s="11"/>
      <c r="F17" t="s">
        <v>114</v>
      </c>
      <c r="G17" s="12"/>
      <c r="I17" s="11">
        <f t="shared" ref="I17:I21" si="1">+SUMIF($N$3:$ZZ$3,I$3,$N17:$ZZ17)</f>
        <v>0</v>
      </c>
      <c r="J17" s="13">
        <v>0</v>
      </c>
      <c r="K17" s="13">
        <v>0</v>
      </c>
      <c r="L17" s="11"/>
      <c r="O17" s="12"/>
      <c r="P17" s="12"/>
      <c r="Q17" s="29"/>
      <c r="R17" s="12"/>
      <c r="T17" t="s">
        <v>135</v>
      </c>
      <c r="V17" s="12"/>
      <c r="W17" s="12"/>
      <c r="X17" s="12"/>
      <c r="Y17" s="12">
        <v>0.5</v>
      </c>
      <c r="AC17" s="12"/>
      <c r="AD17" s="12">
        <v>0.5</v>
      </c>
      <c r="AE17" s="12"/>
      <c r="AF17" s="12">
        <v>0.5</v>
      </c>
      <c r="AJ17" s="12"/>
      <c r="AK17" s="12">
        <v>0.5</v>
      </c>
      <c r="AL17" s="12"/>
      <c r="AM17" s="12">
        <v>0.5</v>
      </c>
      <c r="AO17" t="s">
        <v>135</v>
      </c>
      <c r="AQ17" s="12"/>
      <c r="AR17" s="12">
        <v>0.8</v>
      </c>
      <c r="AS17" s="12"/>
      <c r="AT17" s="12">
        <v>0.8</v>
      </c>
      <c r="AX17" s="12"/>
      <c r="AY17" s="12">
        <v>0.8</v>
      </c>
      <c r="AZ17" s="12"/>
      <c r="BA17" s="12">
        <v>0.8</v>
      </c>
      <c r="BE17" s="12"/>
      <c r="BF17" s="12">
        <v>0.8</v>
      </c>
      <c r="BG17" s="12"/>
      <c r="BH17" s="12">
        <v>0.8</v>
      </c>
      <c r="BJ17" t="s">
        <v>135</v>
      </c>
      <c r="BL17" s="12"/>
      <c r="BM17" s="12">
        <v>1</v>
      </c>
      <c r="BN17" s="12"/>
      <c r="BO17" s="12">
        <v>1</v>
      </c>
      <c r="BQ17" s="26"/>
      <c r="BS17" s="12"/>
      <c r="BT17" s="12">
        <v>1</v>
      </c>
      <c r="BU17" s="12"/>
      <c r="BV17" s="12">
        <v>1</v>
      </c>
      <c r="BZ17" s="12">
        <v>1</v>
      </c>
      <c r="CA17" s="12">
        <v>1</v>
      </c>
      <c r="CB17" s="12">
        <v>1</v>
      </c>
      <c r="CC17" s="12">
        <v>1</v>
      </c>
      <c r="CG17" s="12">
        <v>1</v>
      </c>
      <c r="CH17" s="12">
        <v>1</v>
      </c>
      <c r="CI17" s="12">
        <v>1</v>
      </c>
      <c r="CJ17" s="12">
        <v>1</v>
      </c>
      <c r="CN17" s="12">
        <v>1</v>
      </c>
      <c r="CO17" s="12">
        <v>1</v>
      </c>
      <c r="CP17" s="12">
        <v>1</v>
      </c>
      <c r="CQ17" s="12">
        <v>1</v>
      </c>
      <c r="CR17" s="12"/>
      <c r="CU17" s="12"/>
      <c r="CV17" s="12"/>
      <c r="CW17" s="12"/>
      <c r="CX17" s="12"/>
      <c r="DB17" s="12"/>
      <c r="DC17" s="12"/>
      <c r="DD17" s="12"/>
      <c r="DE17" s="12"/>
      <c r="DI17" s="12"/>
      <c r="DJ17" s="12"/>
      <c r="DK17" s="12"/>
      <c r="DL17" s="12"/>
      <c r="DP17" s="12"/>
      <c r="DQ17" s="12"/>
      <c r="DR17" s="12"/>
      <c r="DS17" s="12"/>
    </row>
    <row r="18" spans="2:123" outlineLevel="1" x14ac:dyDescent="0.2">
      <c r="B18" t="s">
        <v>28</v>
      </c>
      <c r="C18" s="23" t="s">
        <v>137</v>
      </c>
      <c r="E18" s="11"/>
      <c r="F18" t="s">
        <v>115</v>
      </c>
      <c r="G18" s="12"/>
      <c r="I18" s="11">
        <f t="shared" si="1"/>
        <v>0</v>
      </c>
      <c r="J18" s="13">
        <v>0</v>
      </c>
      <c r="K18" s="13">
        <v>0</v>
      </c>
      <c r="L18" s="11"/>
      <c r="O18" s="12"/>
      <c r="P18" s="12"/>
      <c r="Q18" s="12"/>
      <c r="R18" s="12"/>
      <c r="V18" s="12"/>
      <c r="W18" s="12"/>
      <c r="X18" s="28"/>
      <c r="Y18" s="12"/>
      <c r="AC18" s="27"/>
      <c r="AD18" s="12"/>
      <c r="AE18" s="27"/>
      <c r="AF18" s="12"/>
      <c r="AH18" t="s">
        <v>135</v>
      </c>
      <c r="AJ18" s="12"/>
      <c r="AK18" s="12">
        <v>0.5</v>
      </c>
      <c r="AL18" s="12"/>
      <c r="AM18" s="12">
        <v>0.5</v>
      </c>
      <c r="AQ18" s="12"/>
      <c r="AR18" s="12">
        <v>0.5</v>
      </c>
      <c r="AS18" s="12"/>
      <c r="AT18" s="12">
        <v>0.5</v>
      </c>
      <c r="AV18" t="s">
        <v>135</v>
      </c>
      <c r="AX18" s="12"/>
      <c r="AY18" s="12">
        <v>0.8</v>
      </c>
      <c r="AZ18" s="12"/>
      <c r="BA18" s="12">
        <v>0.8</v>
      </c>
      <c r="BE18" s="12"/>
      <c r="BF18" s="12">
        <v>0.8</v>
      </c>
      <c r="BG18" s="12"/>
      <c r="BH18" s="12">
        <v>0.8</v>
      </c>
      <c r="BL18" s="12"/>
      <c r="BM18" s="12">
        <v>0.8</v>
      </c>
      <c r="BN18" s="12"/>
      <c r="BO18" s="12">
        <v>0.8</v>
      </c>
      <c r="BQ18" s="26" t="s">
        <v>135</v>
      </c>
      <c r="BS18" s="12"/>
      <c r="BT18" s="12">
        <v>1</v>
      </c>
      <c r="BU18" s="12"/>
      <c r="BV18" s="12">
        <v>1</v>
      </c>
      <c r="BZ18" s="12">
        <v>1</v>
      </c>
      <c r="CA18" s="12">
        <v>1</v>
      </c>
      <c r="CB18" s="12">
        <v>1</v>
      </c>
      <c r="CC18" s="12">
        <v>1</v>
      </c>
      <c r="CG18" s="12">
        <v>1</v>
      </c>
      <c r="CH18" s="12">
        <v>1</v>
      </c>
      <c r="CI18" s="12">
        <v>1</v>
      </c>
      <c r="CJ18" s="12">
        <v>1</v>
      </c>
      <c r="CN18" s="12">
        <v>1</v>
      </c>
      <c r="CO18" s="12">
        <v>1</v>
      </c>
      <c r="CP18" s="12">
        <v>1</v>
      </c>
      <c r="CQ18" s="12">
        <v>1</v>
      </c>
      <c r="CU18" s="12"/>
      <c r="CV18" s="12"/>
      <c r="CW18" s="12"/>
      <c r="CX18" s="12"/>
      <c r="DB18" s="12"/>
      <c r="DC18" s="12"/>
      <c r="DD18" s="12"/>
      <c r="DE18" s="12"/>
      <c r="DI18" s="12"/>
      <c r="DJ18" s="12"/>
      <c r="DK18" s="12"/>
      <c r="DL18" s="12"/>
      <c r="DP18" s="12"/>
      <c r="DQ18" s="12"/>
      <c r="DR18" s="12"/>
      <c r="DS18" s="12"/>
    </row>
    <row r="19" spans="2:123" outlineLevel="1" x14ac:dyDescent="0.2">
      <c r="B19" t="s">
        <v>28</v>
      </c>
      <c r="C19" s="23" t="s">
        <v>137</v>
      </c>
      <c r="E19" s="11"/>
      <c r="F19" t="s">
        <v>116</v>
      </c>
      <c r="G19" s="12"/>
      <c r="I19" s="11">
        <f t="shared" si="1"/>
        <v>0</v>
      </c>
      <c r="J19" s="13">
        <v>0</v>
      </c>
      <c r="K19" s="13">
        <v>0</v>
      </c>
      <c r="L19" s="11"/>
      <c r="O19" s="12"/>
      <c r="P19" s="12"/>
      <c r="Q19" s="12"/>
      <c r="R19" s="12"/>
      <c r="V19" s="12"/>
      <c r="W19" s="12"/>
      <c r="X19" s="12"/>
      <c r="Y19" s="12"/>
      <c r="AC19" s="29"/>
      <c r="AD19" s="12"/>
      <c r="AE19" s="29"/>
      <c r="AF19" s="12"/>
      <c r="AH19" t="s">
        <v>135</v>
      </c>
      <c r="AJ19" s="12"/>
      <c r="AK19" s="12">
        <v>0.5</v>
      </c>
      <c r="AL19" s="12"/>
      <c r="AM19" s="12">
        <v>0.5</v>
      </c>
      <c r="AQ19" s="12"/>
      <c r="AR19" s="12">
        <v>0.5</v>
      </c>
      <c r="AS19" s="12"/>
      <c r="AT19" s="12">
        <v>0.5</v>
      </c>
      <c r="AV19" t="s">
        <v>135</v>
      </c>
      <c r="AX19" s="12"/>
      <c r="AY19" s="12">
        <v>0.8</v>
      </c>
      <c r="AZ19" s="12"/>
      <c r="BA19" s="12">
        <v>0.8</v>
      </c>
      <c r="BE19" s="12"/>
      <c r="BF19" s="12">
        <v>0.8</v>
      </c>
      <c r="BG19" s="12"/>
      <c r="BH19" s="12">
        <v>0.8</v>
      </c>
      <c r="BL19" s="12"/>
      <c r="BM19" s="12">
        <v>0.8</v>
      </c>
      <c r="BN19" s="12"/>
      <c r="BO19" s="12">
        <v>0.8</v>
      </c>
      <c r="BQ19" s="26" t="s">
        <v>135</v>
      </c>
      <c r="BS19" s="12"/>
      <c r="BT19" s="12">
        <v>1</v>
      </c>
      <c r="BU19" s="12"/>
      <c r="BV19" s="12">
        <v>1</v>
      </c>
      <c r="BZ19" s="12">
        <v>1</v>
      </c>
      <c r="CA19" s="12">
        <v>1</v>
      </c>
      <c r="CB19" s="12">
        <v>1</v>
      </c>
      <c r="CC19" s="12">
        <v>1</v>
      </c>
      <c r="CG19" s="12">
        <v>1</v>
      </c>
      <c r="CH19" s="12">
        <v>1</v>
      </c>
      <c r="CI19" s="12">
        <v>1</v>
      </c>
      <c r="CJ19" s="12">
        <v>1</v>
      </c>
      <c r="CN19" s="12">
        <v>1</v>
      </c>
      <c r="CO19" s="12">
        <v>1</v>
      </c>
      <c r="CP19" s="12">
        <v>1</v>
      </c>
      <c r="CQ19" s="12">
        <v>1</v>
      </c>
      <c r="CU19" s="12"/>
      <c r="CV19" s="12"/>
      <c r="CW19" s="12"/>
      <c r="CX19" s="12"/>
      <c r="DB19" s="12"/>
      <c r="DC19" s="12"/>
      <c r="DD19" s="12"/>
      <c r="DE19" s="12"/>
      <c r="DI19" s="12"/>
      <c r="DJ19" s="12"/>
      <c r="DK19" s="12"/>
      <c r="DL19" s="12"/>
      <c r="DP19" s="12"/>
      <c r="DQ19" s="12"/>
      <c r="DR19" s="12"/>
      <c r="DS19" s="12"/>
    </row>
    <row r="20" spans="2:123" outlineLevel="1" x14ac:dyDescent="0.2">
      <c r="B20" t="s">
        <v>28</v>
      </c>
      <c r="C20" s="23" t="s">
        <v>137</v>
      </c>
      <c r="E20" s="11"/>
      <c r="F20" t="s">
        <v>117</v>
      </c>
      <c r="G20" s="12"/>
      <c r="I20" s="11">
        <f t="shared" si="1"/>
        <v>0</v>
      </c>
      <c r="J20" s="13" cm="1">
        <f t="array" ref="J20">MAX(IF($N$3:$EH$3=$J$3,N20:EH20))</f>
        <v>1</v>
      </c>
      <c r="K20" s="13" cm="1">
        <f t="array" ref="K20">MAX(IF($N$3:$EH$3=$J$3,N20:EH20))</f>
        <v>1</v>
      </c>
      <c r="L20" s="11"/>
      <c r="O20" s="12"/>
      <c r="P20" s="12"/>
      <c r="Q20" s="12"/>
      <c r="R20" s="12"/>
      <c r="V20" s="12"/>
      <c r="W20" s="12"/>
      <c r="X20" s="12"/>
      <c r="Y20" s="12"/>
      <c r="AC20" s="12"/>
      <c r="AD20" s="12"/>
      <c r="AE20" s="12"/>
      <c r="AF20" s="12"/>
      <c r="AJ20" s="27"/>
      <c r="AK20" s="12"/>
      <c r="AL20" s="27"/>
      <c r="AM20" s="12"/>
      <c r="AO20" t="s">
        <v>135</v>
      </c>
      <c r="AQ20" s="12"/>
      <c r="AR20" s="12">
        <v>0.5</v>
      </c>
      <c r="AS20" s="12"/>
      <c r="AT20" s="12">
        <v>0.5</v>
      </c>
      <c r="AX20" s="12"/>
      <c r="AY20" s="12">
        <v>0.5</v>
      </c>
      <c r="AZ20" s="12"/>
      <c r="BA20" s="12">
        <v>0.5</v>
      </c>
      <c r="BC20" t="s">
        <v>135</v>
      </c>
      <c r="BE20" s="12"/>
      <c r="BF20" s="12">
        <v>0.8</v>
      </c>
      <c r="BG20" s="12"/>
      <c r="BH20" s="12">
        <v>0.8</v>
      </c>
      <c r="BL20" s="12"/>
      <c r="BM20" s="12">
        <v>0.8</v>
      </c>
      <c r="BN20" s="12"/>
      <c r="BO20" s="12">
        <v>0.8</v>
      </c>
      <c r="BQ20" s="26"/>
      <c r="BS20" s="12"/>
      <c r="BT20" s="12">
        <v>0.8</v>
      </c>
      <c r="BU20" s="12"/>
      <c r="BV20" s="12">
        <v>0.8</v>
      </c>
      <c r="BX20" t="s">
        <v>135</v>
      </c>
      <c r="BZ20" s="12">
        <v>1</v>
      </c>
      <c r="CA20" s="12">
        <v>1</v>
      </c>
      <c r="CB20" s="12">
        <v>1</v>
      </c>
      <c r="CC20" s="12">
        <v>1</v>
      </c>
      <c r="CG20" s="12">
        <v>1</v>
      </c>
      <c r="CH20" s="12">
        <v>1</v>
      </c>
      <c r="CI20" s="12">
        <v>1</v>
      </c>
      <c r="CJ20" s="12">
        <v>1</v>
      </c>
      <c r="CN20" s="12">
        <v>1</v>
      </c>
      <c r="CO20" s="12">
        <v>1</v>
      </c>
      <c r="CP20" s="12">
        <v>1</v>
      </c>
      <c r="CQ20" s="12">
        <v>1</v>
      </c>
      <c r="CU20" s="12"/>
      <c r="CV20" s="12"/>
      <c r="CW20" s="12"/>
      <c r="CX20" s="12"/>
      <c r="DB20" s="12"/>
      <c r="DC20" s="12"/>
      <c r="DD20" s="12"/>
      <c r="DE20" s="12"/>
      <c r="DI20" s="12"/>
      <c r="DJ20" s="12"/>
      <c r="DK20" s="12"/>
      <c r="DL20" s="12"/>
      <c r="DP20" s="12"/>
      <c r="DQ20" s="12"/>
      <c r="DR20" s="12"/>
      <c r="DS20" s="12"/>
    </row>
    <row r="21" spans="2:123" outlineLevel="1" x14ac:dyDescent="0.2">
      <c r="B21" t="s">
        <v>28</v>
      </c>
      <c r="C21" s="23" t="s">
        <v>137</v>
      </c>
      <c r="E21" s="11"/>
      <c r="F21" t="s">
        <v>118</v>
      </c>
      <c r="G21" s="12"/>
      <c r="I21" s="11">
        <f t="shared" si="1"/>
        <v>0</v>
      </c>
      <c r="J21" s="13" cm="1">
        <f t="array" ref="J21">MAX(IF($N$3:$EH$3=$J$3,N21:EH21))</f>
        <v>1</v>
      </c>
      <c r="K21" s="13" cm="1">
        <f t="array" ref="K21">MAX(IF($N$3:$EH$3=$J$3,N21:EH21))</f>
        <v>1</v>
      </c>
      <c r="L21" s="11"/>
      <c r="O21" s="12"/>
      <c r="P21" s="12"/>
      <c r="Q21" s="12"/>
      <c r="R21" s="12"/>
      <c r="V21" s="12"/>
      <c r="W21" s="12"/>
      <c r="X21" s="12"/>
      <c r="Y21" s="12"/>
      <c r="AC21" s="12"/>
      <c r="AD21" s="12"/>
      <c r="AE21" s="12"/>
      <c r="AF21" s="12"/>
      <c r="AJ21" s="12"/>
      <c r="AK21" s="12"/>
      <c r="AL21" s="12"/>
      <c r="AM21" s="12"/>
      <c r="AQ21" s="12"/>
      <c r="AR21" s="12"/>
      <c r="AS21" s="12"/>
      <c r="AT21" s="12"/>
      <c r="AX21" s="27"/>
      <c r="AY21" s="12"/>
      <c r="AZ21" s="27"/>
      <c r="BA21" s="12"/>
      <c r="BC21" t="s">
        <v>135</v>
      </c>
      <c r="BE21" s="12"/>
      <c r="BF21" s="12">
        <v>0.5</v>
      </c>
      <c r="BG21" s="12"/>
      <c r="BH21" s="12">
        <v>0.5</v>
      </c>
      <c r="BJ21" t="s">
        <v>135</v>
      </c>
      <c r="BL21" s="12"/>
      <c r="BM21" s="12">
        <v>0.8</v>
      </c>
      <c r="BN21" s="12"/>
      <c r="BO21" s="12">
        <v>0.8</v>
      </c>
      <c r="BQ21" s="26"/>
      <c r="BS21" s="12"/>
      <c r="BT21" s="12">
        <v>0.8</v>
      </c>
      <c r="BU21" s="12"/>
      <c r="BV21" s="12">
        <v>0.8</v>
      </c>
      <c r="BX21" t="s">
        <v>135</v>
      </c>
      <c r="BZ21" s="12">
        <v>1</v>
      </c>
      <c r="CA21" s="12">
        <v>1</v>
      </c>
      <c r="CB21" s="12">
        <v>1</v>
      </c>
      <c r="CC21" s="12">
        <v>1</v>
      </c>
      <c r="CG21" s="12">
        <v>1</v>
      </c>
      <c r="CH21" s="12">
        <v>1</v>
      </c>
      <c r="CI21" s="12">
        <v>1</v>
      </c>
      <c r="CJ21" s="12">
        <v>1</v>
      </c>
      <c r="CN21" s="12">
        <v>1</v>
      </c>
      <c r="CO21" s="12">
        <v>1</v>
      </c>
      <c r="CP21" s="12">
        <v>1</v>
      </c>
      <c r="CQ21" s="12">
        <v>1</v>
      </c>
      <c r="CU21" s="12"/>
      <c r="CV21" s="12"/>
      <c r="CW21" s="12"/>
      <c r="CX21" s="12"/>
      <c r="DB21" s="12"/>
      <c r="DC21" s="12"/>
      <c r="DD21" s="12"/>
      <c r="DE21" s="12"/>
      <c r="DI21" s="12"/>
      <c r="DJ21" s="12"/>
      <c r="DK21" s="12"/>
      <c r="DL21" s="12"/>
      <c r="DP21" s="12"/>
      <c r="DQ21" s="12"/>
      <c r="DR21" s="12"/>
      <c r="DS21" s="12"/>
    </row>
    <row r="22" spans="2:123" outlineLevel="1" x14ac:dyDescent="0.2">
      <c r="B22" t="s">
        <v>159</v>
      </c>
      <c r="C22" s="23"/>
      <c r="E22" s="11"/>
      <c r="G22" s="12"/>
      <c r="I22" s="11"/>
      <c r="J22" s="13"/>
      <c r="K22" s="13"/>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c r="BL22" s="12"/>
      <c r="BM22" s="12"/>
      <c r="BN22" s="12"/>
      <c r="BO22" s="12"/>
      <c r="BQ22" s="26"/>
      <c r="BS22" s="12"/>
      <c r="BT22" s="12"/>
      <c r="BU22" s="12"/>
      <c r="BV22" s="12"/>
      <c r="BZ22" s="12"/>
      <c r="CA22" s="12"/>
      <c r="CB22" s="12"/>
      <c r="CC22" s="12"/>
      <c r="CG22" s="12"/>
      <c r="CH22" s="12"/>
      <c r="CI22" s="12"/>
      <c r="CJ22" s="12"/>
      <c r="CN22" s="12"/>
      <c r="CO22" s="12"/>
      <c r="CP22" s="12"/>
      <c r="CQ22" s="12"/>
      <c r="CU22" s="12"/>
      <c r="CV22" s="12"/>
      <c r="CW22" s="12"/>
      <c r="CX22" s="12"/>
      <c r="DB22" s="12"/>
      <c r="DC22" s="12"/>
      <c r="DD22" s="12"/>
      <c r="DE22" s="12"/>
      <c r="DI22" s="12"/>
      <c r="DJ22" s="12"/>
      <c r="DK22" s="12"/>
      <c r="DL22" s="12"/>
      <c r="DP22" s="12"/>
      <c r="DQ22" s="12"/>
      <c r="DR22" s="12"/>
      <c r="DS22" s="12"/>
    </row>
    <row r="23" spans="2:123" outlineLevel="1" x14ac:dyDescent="0.2">
      <c r="C23" s="23"/>
      <c r="E23" s="11"/>
      <c r="G23" s="12"/>
      <c r="I23" s="11"/>
      <c r="J23" s="13"/>
      <c r="K23" s="13"/>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c r="BL23" s="12"/>
      <c r="BM23" s="12"/>
      <c r="BN23" s="12"/>
      <c r="BO23" s="12"/>
      <c r="BQ23" s="26"/>
      <c r="BS23" s="12"/>
      <c r="BT23" s="12"/>
      <c r="BU23" s="12"/>
      <c r="BV23" s="12"/>
      <c r="BZ23" s="12"/>
      <c r="CA23" s="12"/>
      <c r="CB23" s="12"/>
      <c r="CC23" s="12"/>
      <c r="CG23" s="12"/>
      <c r="CH23" s="12"/>
      <c r="CI23" s="12"/>
      <c r="CJ23" s="12"/>
      <c r="CN23" s="12"/>
      <c r="CO23" s="12"/>
      <c r="CP23" s="12"/>
      <c r="CQ23" s="12"/>
      <c r="CU23" s="12"/>
      <c r="CV23" s="12"/>
      <c r="CW23" s="12"/>
      <c r="CX23" s="12"/>
      <c r="DB23" s="12"/>
      <c r="DC23" s="12"/>
      <c r="DD23" s="12"/>
      <c r="DE23" s="12"/>
      <c r="DI23" s="12"/>
      <c r="DJ23" s="12"/>
      <c r="DK23" s="12"/>
      <c r="DL23" s="12"/>
      <c r="DP23" s="12"/>
      <c r="DQ23" s="12"/>
      <c r="DR23" s="12"/>
      <c r="DS23" s="12"/>
    </row>
    <row r="24" spans="2:123" outlineLevel="1" x14ac:dyDescent="0.2">
      <c r="C24" s="23"/>
      <c r="E24" s="11"/>
      <c r="G24" s="12"/>
      <c r="I24" s="11"/>
      <c r="J24" s="13"/>
      <c r="K24" s="13"/>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c r="BL24" s="12"/>
      <c r="BM24" s="12"/>
      <c r="BN24" s="12"/>
      <c r="BO24" s="12"/>
      <c r="BQ24" s="26"/>
      <c r="BS24" s="12"/>
      <c r="BT24" s="12"/>
      <c r="BU24" s="12"/>
      <c r="BV24" s="12"/>
      <c r="BZ24" s="12"/>
      <c r="CA24" s="12"/>
      <c r="CB24" s="12"/>
      <c r="CC24" s="12"/>
      <c r="CG24" s="12"/>
      <c r="CH24" s="12"/>
      <c r="CI24" s="12"/>
      <c r="CJ24" s="12"/>
      <c r="CN24" s="12"/>
      <c r="CO24" s="12"/>
      <c r="CP24" s="12"/>
      <c r="CQ24" s="12"/>
      <c r="CU24" s="12"/>
      <c r="CV24" s="12"/>
      <c r="CW24" s="12"/>
      <c r="CX24" s="12"/>
      <c r="DB24" s="12"/>
      <c r="DC24" s="12"/>
      <c r="DD24" s="12"/>
      <c r="DE24" s="12"/>
      <c r="DI24" s="12"/>
      <c r="DJ24" s="12"/>
      <c r="DK24" s="12"/>
      <c r="DL24" s="12"/>
      <c r="DP24" s="12"/>
      <c r="DQ24" s="12"/>
      <c r="DR24" s="12"/>
      <c r="DS24" s="12"/>
    </row>
    <row r="25" spans="2:123" x14ac:dyDescent="0.2">
      <c r="C25" s="23"/>
      <c r="BE25" s="12"/>
      <c r="BF25" s="12"/>
      <c r="BG25" s="12"/>
      <c r="BH25" s="12"/>
      <c r="BQ25" s="26"/>
      <c r="CG25" s="12"/>
      <c r="CH25" s="12"/>
      <c r="CI25" s="12"/>
      <c r="CJ25" s="12"/>
    </row>
    <row r="26" spans="2:123" x14ac:dyDescent="0.2">
      <c r="B26" t="s">
        <v>27</v>
      </c>
      <c r="C26" s="23" t="s">
        <v>96</v>
      </c>
      <c r="D26" s="22">
        <v>45310</v>
      </c>
      <c r="E26" s="11">
        <v>5</v>
      </c>
      <c r="F26" t="s">
        <v>101</v>
      </c>
      <c r="G26" s="12"/>
      <c r="I26" s="14">
        <f>+SUM(I27:I37)</f>
        <v>0</v>
      </c>
      <c r="J26" s="13">
        <f>+SUMPRODUCT(G27:G37,J27:J37)</f>
        <v>0</v>
      </c>
      <c r="K26" s="13">
        <f>+SUMPRODUCT(G27:G37,K27:K37)</f>
        <v>0</v>
      </c>
      <c r="L26" s="11"/>
      <c r="N26" s="14">
        <f>+SUM(N27:N37)</f>
        <v>0</v>
      </c>
      <c r="U26" s="14">
        <f>+SUM(U27:U37)</f>
        <v>0</v>
      </c>
      <c r="AB26" s="14">
        <f>+SUM(AB27:AB37)</f>
        <v>0</v>
      </c>
      <c r="AI26" s="14">
        <f>+SUM(AI27:AI37)</f>
        <v>0</v>
      </c>
      <c r="AP26" s="14">
        <f>+SUM(AP27:AP37)</f>
        <v>0</v>
      </c>
      <c r="BQ26" s="26"/>
    </row>
    <row r="27" spans="2:123" outlineLevel="1" x14ac:dyDescent="0.2">
      <c r="B27" t="s">
        <v>28</v>
      </c>
      <c r="C27" s="23" t="s">
        <v>96</v>
      </c>
      <c r="E27" s="11"/>
      <c r="F27" t="s">
        <v>119</v>
      </c>
      <c r="G27" s="12"/>
      <c r="I27" s="11">
        <f t="shared" ref="I27:I36" si="2">+SUMIF($N$3:$ZZ$3,I$3,$N27:$ZZ27)</f>
        <v>0</v>
      </c>
      <c r="J27" s="13" cm="1">
        <f t="array" ref="J27">MAX(IF($N$3:$EH$3=$J$3,N27:EH27))</f>
        <v>1</v>
      </c>
      <c r="K27" s="13" cm="1">
        <f t="array" ref="K27">MAX(IF($N$3:$EH$3=$J$3,N27:EH27))</f>
        <v>1</v>
      </c>
      <c r="L27" s="11"/>
      <c r="O27" s="12"/>
      <c r="P27" s="12"/>
      <c r="Q27" s="12"/>
      <c r="R27" s="12"/>
      <c r="S27" s="19"/>
      <c r="T27" t="s">
        <v>135</v>
      </c>
      <c r="V27" s="12"/>
      <c r="W27" s="12"/>
      <c r="X27" s="12"/>
      <c r="Y27" s="12">
        <v>0.3</v>
      </c>
      <c r="AC27" s="12"/>
      <c r="AD27" s="12">
        <v>0.5</v>
      </c>
      <c r="AE27" s="12"/>
      <c r="AF27" s="12">
        <v>0.5</v>
      </c>
      <c r="AH27" t="s">
        <v>135</v>
      </c>
      <c r="AJ27" s="12"/>
      <c r="AK27" s="12">
        <v>0.8</v>
      </c>
      <c r="AL27" s="12"/>
      <c r="AM27" s="12">
        <v>0.8</v>
      </c>
      <c r="AQ27" s="12"/>
      <c r="AR27" s="12">
        <v>0.8</v>
      </c>
      <c r="AS27" s="12"/>
      <c r="AT27" s="12">
        <v>0.8</v>
      </c>
      <c r="AX27" s="12"/>
      <c r="AY27" s="12">
        <v>0.8</v>
      </c>
      <c r="AZ27" s="12"/>
      <c r="BA27" s="12">
        <v>0.8</v>
      </c>
      <c r="BC27" t="s">
        <v>135</v>
      </c>
      <c r="BE27" s="12"/>
      <c r="BF27" s="12">
        <v>1</v>
      </c>
      <c r="BG27" s="12"/>
      <c r="BH27" s="12">
        <v>1</v>
      </c>
      <c r="BL27" s="12"/>
      <c r="BM27" s="12">
        <v>1</v>
      </c>
      <c r="BN27" s="12"/>
      <c r="BO27" s="12">
        <v>1</v>
      </c>
      <c r="BQ27" s="26"/>
      <c r="BS27" s="12"/>
      <c r="BT27" s="12">
        <v>1</v>
      </c>
      <c r="BU27" s="12"/>
      <c r="BV27" s="12">
        <v>1</v>
      </c>
      <c r="BZ27" s="12">
        <v>1</v>
      </c>
      <c r="CA27" s="12">
        <v>1</v>
      </c>
      <c r="CB27" s="12">
        <v>1</v>
      </c>
      <c r="CC27" s="12">
        <v>1</v>
      </c>
      <c r="CG27" s="12">
        <v>1</v>
      </c>
      <c r="CH27" s="12">
        <v>1</v>
      </c>
      <c r="CI27" s="12">
        <v>1</v>
      </c>
      <c r="CJ27" s="12">
        <v>1</v>
      </c>
      <c r="CN27" s="12">
        <v>1</v>
      </c>
      <c r="CO27" s="12">
        <v>1</v>
      </c>
      <c r="CP27" s="12">
        <v>1</v>
      </c>
      <c r="CQ27" s="12">
        <v>1</v>
      </c>
      <c r="CU27" s="12"/>
      <c r="CV27" s="12"/>
      <c r="CW27" s="12"/>
      <c r="CX27" s="12"/>
      <c r="DB27" s="12"/>
      <c r="DC27" s="12"/>
      <c r="DD27" s="12"/>
      <c r="DE27" s="12"/>
      <c r="DI27" s="12"/>
      <c r="DJ27" s="12"/>
      <c r="DK27" s="12"/>
      <c r="DL27" s="12"/>
      <c r="DP27" s="12"/>
      <c r="DQ27" s="12"/>
      <c r="DR27" s="12"/>
      <c r="DS27" s="12"/>
    </row>
    <row r="28" spans="2:123" outlineLevel="1" x14ac:dyDescent="0.2">
      <c r="B28" t="s">
        <v>28</v>
      </c>
      <c r="C28" s="23" t="s">
        <v>96</v>
      </c>
      <c r="E28" s="11"/>
      <c r="F28" t="s">
        <v>120</v>
      </c>
      <c r="G28" s="12"/>
      <c r="I28" s="11">
        <f t="shared" si="2"/>
        <v>0</v>
      </c>
      <c r="J28" s="13" cm="1">
        <f t="array" ref="J28">MAX(IF($N$3:$EH$3=$J$3,N28:EH28))</f>
        <v>1</v>
      </c>
      <c r="K28" s="13" cm="1">
        <f t="array" ref="K28">MAX(IF($N$3:$EH$3=$J$3,N28:EH28))</f>
        <v>1</v>
      </c>
      <c r="L28" s="11"/>
      <c r="O28" s="12"/>
      <c r="P28" s="12"/>
      <c r="Q28" s="12"/>
      <c r="R28" s="12"/>
      <c r="S28" s="19"/>
      <c r="T28" t="s">
        <v>135</v>
      </c>
      <c r="V28" s="12"/>
      <c r="W28" s="12"/>
      <c r="X28" s="12"/>
      <c r="Y28" s="12">
        <v>0.3</v>
      </c>
      <c r="AC28" s="12"/>
      <c r="AD28" s="12">
        <v>0.5</v>
      </c>
      <c r="AE28" s="12"/>
      <c r="AF28" s="12">
        <v>0.5</v>
      </c>
      <c r="AH28" t="s">
        <v>135</v>
      </c>
      <c r="AJ28" s="12"/>
      <c r="AK28" s="12">
        <v>0.8</v>
      </c>
      <c r="AL28" s="12"/>
      <c r="AM28" s="12">
        <v>0.8</v>
      </c>
      <c r="AQ28" s="12"/>
      <c r="AR28" s="12">
        <v>0.8</v>
      </c>
      <c r="AS28" s="12"/>
      <c r="AT28" s="12">
        <v>0.8</v>
      </c>
      <c r="AX28" s="12"/>
      <c r="AY28" s="12">
        <v>0.8</v>
      </c>
      <c r="AZ28" s="12"/>
      <c r="BA28" s="12">
        <v>0.8</v>
      </c>
      <c r="BE28" s="12"/>
      <c r="BF28" s="12">
        <v>0.8</v>
      </c>
      <c r="BG28" s="12"/>
      <c r="BH28" s="12">
        <v>0.8</v>
      </c>
      <c r="BJ28" t="s">
        <v>135</v>
      </c>
      <c r="BL28" s="12"/>
      <c r="BM28" s="12">
        <v>1</v>
      </c>
      <c r="BN28" s="12"/>
      <c r="BO28" s="12">
        <v>1</v>
      </c>
      <c r="BQ28" s="26"/>
      <c r="BS28" s="12"/>
      <c r="BT28" s="12">
        <v>1</v>
      </c>
      <c r="BU28" s="12"/>
      <c r="BV28" s="12">
        <v>1</v>
      </c>
      <c r="BZ28" s="12">
        <v>1</v>
      </c>
      <c r="CA28" s="12">
        <v>1</v>
      </c>
      <c r="CB28" s="12">
        <v>1</v>
      </c>
      <c r="CC28" s="12">
        <v>1</v>
      </c>
      <c r="CG28" s="12">
        <v>1</v>
      </c>
      <c r="CH28" s="12">
        <v>1</v>
      </c>
      <c r="CI28" s="12">
        <v>1</v>
      </c>
      <c r="CJ28" s="12">
        <v>1</v>
      </c>
      <c r="CN28" s="12">
        <v>1</v>
      </c>
      <c r="CO28" s="12">
        <v>1</v>
      </c>
      <c r="CP28" s="12">
        <v>1</v>
      </c>
      <c r="CQ28" s="12">
        <v>1</v>
      </c>
      <c r="CU28" s="12"/>
      <c r="CV28" s="12"/>
      <c r="CW28" s="12"/>
      <c r="CX28" s="12"/>
      <c r="DB28" s="12"/>
      <c r="DC28" s="12"/>
      <c r="DD28" s="12"/>
      <c r="DE28" s="12"/>
      <c r="DI28" s="12"/>
      <c r="DJ28" s="12"/>
      <c r="DK28" s="12"/>
      <c r="DL28" s="12"/>
      <c r="DP28" s="12"/>
      <c r="DQ28" s="12"/>
      <c r="DR28" s="12"/>
      <c r="DS28" s="12"/>
    </row>
    <row r="29" spans="2:123" outlineLevel="1" x14ac:dyDescent="0.2">
      <c r="B29" t="s">
        <v>28</v>
      </c>
      <c r="C29" s="23" t="s">
        <v>96</v>
      </c>
      <c r="E29" s="11"/>
      <c r="F29" t="s">
        <v>121</v>
      </c>
      <c r="G29" s="12"/>
      <c r="I29" s="11">
        <f t="shared" si="2"/>
        <v>0</v>
      </c>
      <c r="J29" s="13" cm="1">
        <f t="array" ref="J29">MAX(IF($N$3:$EH$3=$J$3,N29:EH29))</f>
        <v>1</v>
      </c>
      <c r="K29" s="13" cm="1">
        <f t="array" ref="K29">MAX(IF($N$3:$EH$3=$J$3,N29:EH29))</f>
        <v>1</v>
      </c>
      <c r="L29" s="11"/>
      <c r="O29" s="12"/>
      <c r="P29" s="12"/>
      <c r="Q29" s="12"/>
      <c r="R29" s="12"/>
      <c r="S29" s="19"/>
      <c r="T29" t="s">
        <v>135</v>
      </c>
      <c r="V29" s="12"/>
      <c r="W29" s="12"/>
      <c r="X29" s="12"/>
      <c r="Y29" s="12">
        <v>0.3</v>
      </c>
      <c r="AC29" s="12"/>
      <c r="AD29" s="12">
        <v>0.5</v>
      </c>
      <c r="AE29" s="12"/>
      <c r="AF29" s="12">
        <v>0.5</v>
      </c>
      <c r="AJ29" s="12"/>
      <c r="AK29" s="12">
        <v>0.5</v>
      </c>
      <c r="AL29" s="12"/>
      <c r="AM29" s="12">
        <v>0.5</v>
      </c>
      <c r="AO29" t="s">
        <v>135</v>
      </c>
      <c r="AQ29" s="12"/>
      <c r="AR29" s="12">
        <v>0.8</v>
      </c>
      <c r="AS29" s="12"/>
      <c r="AT29" s="12">
        <v>0.8</v>
      </c>
      <c r="AX29" s="12"/>
      <c r="AY29" s="12">
        <v>0.8</v>
      </c>
      <c r="AZ29" s="12"/>
      <c r="BA29" s="12">
        <v>0.8</v>
      </c>
      <c r="BE29" s="12"/>
      <c r="BF29" s="12">
        <v>0.8</v>
      </c>
      <c r="BG29" s="12"/>
      <c r="BH29" s="12">
        <v>0.8</v>
      </c>
      <c r="BJ29" t="s">
        <v>135</v>
      </c>
      <c r="BL29" s="12"/>
      <c r="BM29" s="12">
        <v>1</v>
      </c>
      <c r="BN29" s="12"/>
      <c r="BO29" s="12">
        <v>1</v>
      </c>
      <c r="BQ29" s="26"/>
      <c r="BS29" s="12"/>
      <c r="BT29" s="12">
        <v>1</v>
      </c>
      <c r="BU29" s="12"/>
      <c r="BV29" s="12">
        <v>1</v>
      </c>
      <c r="BZ29" s="12">
        <v>1</v>
      </c>
      <c r="CA29" s="12">
        <v>1</v>
      </c>
      <c r="CB29" s="12">
        <v>1</v>
      </c>
      <c r="CC29" s="12">
        <v>1</v>
      </c>
      <c r="CG29" s="12">
        <v>1</v>
      </c>
      <c r="CH29" s="12">
        <v>1</v>
      </c>
      <c r="CI29" s="12">
        <v>1</v>
      </c>
      <c r="CJ29" s="12">
        <v>1</v>
      </c>
      <c r="CN29" s="12">
        <v>1</v>
      </c>
      <c r="CO29" s="12">
        <v>1</v>
      </c>
      <c r="CP29" s="12">
        <v>1</v>
      </c>
      <c r="CQ29" s="12">
        <v>1</v>
      </c>
      <c r="CU29" s="12"/>
      <c r="CV29" s="12"/>
      <c r="CW29" s="12"/>
      <c r="CX29" s="12"/>
      <c r="DB29" s="12"/>
      <c r="DC29" s="12"/>
      <c r="DD29" s="12"/>
      <c r="DE29" s="12"/>
      <c r="DI29" s="12"/>
      <c r="DJ29" s="12"/>
      <c r="DK29" s="12"/>
      <c r="DL29" s="12"/>
      <c r="DP29" s="12"/>
      <c r="DQ29" s="12"/>
      <c r="DR29" s="12"/>
      <c r="DS29" s="12"/>
    </row>
    <row r="30" spans="2:123" outlineLevel="1" x14ac:dyDescent="0.2">
      <c r="B30" t="s">
        <v>28</v>
      </c>
      <c r="C30" s="23" t="s">
        <v>96</v>
      </c>
      <c r="E30" s="11"/>
      <c r="F30" t="s">
        <v>122</v>
      </c>
      <c r="G30" s="12"/>
      <c r="I30" s="11">
        <f t="shared" si="2"/>
        <v>0</v>
      </c>
      <c r="J30" s="13" cm="1">
        <f t="array" ref="J30">MAX(IF($N$3:$EH$3=$J$3,N30:EH30))</f>
        <v>1</v>
      </c>
      <c r="K30" s="13" cm="1">
        <f t="array" ref="K30">MAX(IF($N$3:$EH$3=$J$3,N30:EH30))</f>
        <v>1</v>
      </c>
      <c r="L30" s="11"/>
      <c r="O30" s="12"/>
      <c r="P30" s="12"/>
      <c r="Q30" s="12"/>
      <c r="R30" s="12"/>
      <c r="S30" s="19"/>
      <c r="T30" t="s">
        <v>135</v>
      </c>
      <c r="V30" s="12"/>
      <c r="W30" s="12"/>
      <c r="X30" s="12"/>
      <c r="Y30" s="12">
        <v>0.3</v>
      </c>
      <c r="AC30" s="12"/>
      <c r="AD30" s="12">
        <v>0.5</v>
      </c>
      <c r="AE30" s="12"/>
      <c r="AF30" s="12">
        <v>0.5</v>
      </c>
      <c r="AJ30" s="12"/>
      <c r="AK30" s="12">
        <v>0.5</v>
      </c>
      <c r="AL30" s="12"/>
      <c r="AM30" s="12">
        <v>0.5</v>
      </c>
      <c r="AO30" t="s">
        <v>135</v>
      </c>
      <c r="AQ30" s="12"/>
      <c r="AR30" s="12">
        <v>0.8</v>
      </c>
      <c r="AS30" s="12"/>
      <c r="AT30" s="12">
        <v>0.8</v>
      </c>
      <c r="AX30" s="12"/>
      <c r="AY30" s="12">
        <v>0.8</v>
      </c>
      <c r="AZ30" s="12"/>
      <c r="BA30" s="12">
        <v>0.8</v>
      </c>
      <c r="BE30" s="12"/>
      <c r="BF30" s="12">
        <v>0.8</v>
      </c>
      <c r="BG30" s="12"/>
      <c r="BH30" s="12">
        <v>0.8</v>
      </c>
      <c r="BJ30" t="s">
        <v>135</v>
      </c>
      <c r="BL30" s="12"/>
      <c r="BM30" s="12">
        <v>1</v>
      </c>
      <c r="BN30" s="12"/>
      <c r="BO30" s="12">
        <v>1</v>
      </c>
      <c r="BQ30" s="26"/>
      <c r="BS30" s="12"/>
      <c r="BT30" s="12">
        <v>1</v>
      </c>
      <c r="BU30" s="12"/>
      <c r="BV30" s="12">
        <v>1</v>
      </c>
      <c r="BZ30" s="12">
        <v>1</v>
      </c>
      <c r="CA30" s="12">
        <v>1</v>
      </c>
      <c r="CB30" s="12">
        <v>1</v>
      </c>
      <c r="CC30" s="12">
        <v>1</v>
      </c>
      <c r="CG30" s="12">
        <v>1</v>
      </c>
      <c r="CH30" s="12">
        <v>1</v>
      </c>
      <c r="CI30" s="12">
        <v>1</v>
      </c>
      <c r="CJ30" s="12">
        <v>1</v>
      </c>
      <c r="CN30" s="12">
        <v>1</v>
      </c>
      <c r="CO30" s="12">
        <v>1</v>
      </c>
      <c r="CP30" s="12">
        <v>1</v>
      </c>
      <c r="CQ30" s="12">
        <v>1</v>
      </c>
      <c r="CU30" s="12"/>
      <c r="CV30" s="12"/>
      <c r="CW30" s="12"/>
      <c r="CX30" s="12"/>
      <c r="DB30" s="12"/>
      <c r="DC30" s="12"/>
      <c r="DD30" s="12"/>
      <c r="DE30" s="12"/>
      <c r="DI30" s="12"/>
      <c r="DJ30" s="12"/>
      <c r="DK30" s="12"/>
      <c r="DL30" s="12"/>
      <c r="DP30" s="12"/>
      <c r="DQ30" s="12"/>
      <c r="DR30" s="12"/>
      <c r="DS30" s="12"/>
    </row>
    <row r="31" spans="2:123" outlineLevel="1" x14ac:dyDescent="0.2">
      <c r="B31" t="s">
        <v>28</v>
      </c>
      <c r="C31" s="23" t="s">
        <v>96</v>
      </c>
      <c r="E31" s="11"/>
      <c r="F31" t="s">
        <v>123</v>
      </c>
      <c r="G31" s="12"/>
      <c r="I31" s="11">
        <f t="shared" si="2"/>
        <v>0</v>
      </c>
      <c r="J31" s="13" cm="1">
        <f t="array" ref="J31">MAX(IF($N$3:$EH$3=$J$3,N31:EH31))</f>
        <v>1</v>
      </c>
      <c r="K31" s="13" cm="1">
        <f t="array" ref="K31">MAX(IF($N$3:$EH$3=$J$3,N31:EH31))</f>
        <v>1</v>
      </c>
      <c r="L31" s="11"/>
      <c r="O31" s="12"/>
      <c r="P31" s="12"/>
      <c r="Q31" s="12"/>
      <c r="R31" s="12"/>
      <c r="S31" s="19"/>
      <c r="T31" t="s">
        <v>135</v>
      </c>
      <c r="V31" s="12"/>
      <c r="W31" s="12"/>
      <c r="X31" s="29"/>
      <c r="Y31" s="12">
        <v>0.3</v>
      </c>
      <c r="AC31" s="12"/>
      <c r="AD31" s="12">
        <v>0.5</v>
      </c>
      <c r="AE31" s="12"/>
      <c r="AF31" s="12">
        <v>0.5</v>
      </c>
      <c r="AJ31" s="12"/>
      <c r="AK31" s="12">
        <v>0.5</v>
      </c>
      <c r="AL31" s="12"/>
      <c r="AM31" s="12">
        <v>0.5</v>
      </c>
      <c r="AO31" t="s">
        <v>135</v>
      </c>
      <c r="AQ31" s="12"/>
      <c r="AR31" s="12">
        <v>0.8</v>
      </c>
      <c r="AS31" s="12"/>
      <c r="AT31" s="12">
        <v>0.8</v>
      </c>
      <c r="AX31" s="12"/>
      <c r="AY31" s="12">
        <v>0.8</v>
      </c>
      <c r="AZ31" s="12"/>
      <c r="BA31" s="12">
        <v>0.8</v>
      </c>
      <c r="BE31" s="12"/>
      <c r="BF31" s="12">
        <v>0.8</v>
      </c>
      <c r="BG31" s="12"/>
      <c r="BH31" s="12">
        <v>0.8</v>
      </c>
      <c r="BL31" s="12"/>
      <c r="BM31" s="12">
        <v>0.8</v>
      </c>
      <c r="BN31" s="12"/>
      <c r="BO31" s="12">
        <v>0.8</v>
      </c>
      <c r="BQ31" s="26" t="s">
        <v>135</v>
      </c>
      <c r="BS31" s="12"/>
      <c r="BT31" s="12">
        <v>1</v>
      </c>
      <c r="BU31" s="12"/>
      <c r="BV31" s="12">
        <v>1</v>
      </c>
      <c r="BZ31" s="12">
        <v>1</v>
      </c>
      <c r="CA31" s="12">
        <v>1</v>
      </c>
      <c r="CB31" s="12">
        <v>1</v>
      </c>
      <c r="CC31" s="12">
        <v>1</v>
      </c>
      <c r="CG31" s="12">
        <v>1</v>
      </c>
      <c r="CH31" s="12">
        <v>1</v>
      </c>
      <c r="CI31" s="12">
        <v>1</v>
      </c>
      <c r="CJ31" s="12">
        <v>1</v>
      </c>
      <c r="CN31" s="12">
        <v>1</v>
      </c>
      <c r="CO31" s="12">
        <v>1</v>
      </c>
      <c r="CP31" s="12">
        <v>1</v>
      </c>
      <c r="CQ31" s="12">
        <v>1</v>
      </c>
      <c r="CU31" s="12"/>
      <c r="CV31" s="12"/>
      <c r="CW31" s="12"/>
      <c r="CX31" s="12"/>
      <c r="DB31" s="12"/>
      <c r="DC31" s="12"/>
      <c r="DD31" s="12"/>
      <c r="DE31" s="12"/>
      <c r="DI31" s="12"/>
      <c r="DJ31" s="12"/>
      <c r="DK31" s="12"/>
      <c r="DL31" s="12"/>
      <c r="DP31" s="12"/>
      <c r="DQ31" s="12"/>
      <c r="DR31" s="12"/>
      <c r="DS31" s="12"/>
    </row>
    <row r="32" spans="2:123" outlineLevel="1" x14ac:dyDescent="0.2">
      <c r="B32" t="s">
        <v>28</v>
      </c>
      <c r="C32" s="23" t="s">
        <v>96</v>
      </c>
      <c r="E32" s="11"/>
      <c r="F32" t="s">
        <v>124</v>
      </c>
      <c r="G32" s="12"/>
      <c r="I32" s="11">
        <f t="shared" si="2"/>
        <v>0</v>
      </c>
      <c r="J32" s="13" cm="1">
        <f t="array" ref="J32">MAX(IF($N$3:$EH$3=$J$3,N32:EH32))</f>
        <v>1</v>
      </c>
      <c r="K32" s="13" cm="1">
        <f t="array" ref="K32">MAX(IF($N$3:$EH$3=$J$3,N32:EH32))</f>
        <v>1</v>
      </c>
      <c r="L32" s="11"/>
      <c r="O32" s="12"/>
      <c r="P32" s="12"/>
      <c r="Q32" s="12"/>
      <c r="R32" s="12"/>
      <c r="V32" s="12"/>
      <c r="W32" s="12"/>
      <c r="X32" s="29"/>
      <c r="Y32" s="12"/>
      <c r="AA32" t="s">
        <v>135</v>
      </c>
      <c r="AC32" s="12"/>
      <c r="AD32" s="12">
        <v>0.5</v>
      </c>
      <c r="AE32" s="12"/>
      <c r="AF32" s="12">
        <v>0.5</v>
      </c>
      <c r="AJ32" s="12"/>
      <c r="AK32" s="12">
        <v>0.5</v>
      </c>
      <c r="AL32" s="12"/>
      <c r="AM32" s="12">
        <v>0.5</v>
      </c>
      <c r="AQ32" s="12"/>
      <c r="AR32" s="12">
        <v>0.5</v>
      </c>
      <c r="AS32" s="12"/>
      <c r="AT32" s="12">
        <v>0.5</v>
      </c>
      <c r="AV32" t="s">
        <v>135</v>
      </c>
      <c r="AX32" s="12"/>
      <c r="AY32" s="12">
        <v>0.8</v>
      </c>
      <c r="AZ32" s="12"/>
      <c r="BA32" s="12">
        <v>0.8</v>
      </c>
      <c r="BE32" s="12"/>
      <c r="BF32" s="12">
        <v>0.8</v>
      </c>
      <c r="BG32" s="12"/>
      <c r="BH32" s="12">
        <v>0.8</v>
      </c>
      <c r="BL32" s="12"/>
      <c r="BM32" s="12">
        <v>0.8</v>
      </c>
      <c r="BN32" s="12"/>
      <c r="BO32" s="12">
        <v>0.8</v>
      </c>
      <c r="BQ32" s="26" t="s">
        <v>135</v>
      </c>
      <c r="BS32" s="12"/>
      <c r="BT32" s="12">
        <v>1</v>
      </c>
      <c r="BU32" s="12"/>
      <c r="BV32" s="12">
        <v>1</v>
      </c>
      <c r="BZ32" s="12">
        <v>1</v>
      </c>
      <c r="CA32" s="12">
        <v>1</v>
      </c>
      <c r="CB32" s="12">
        <v>1</v>
      </c>
      <c r="CC32" s="12">
        <v>1</v>
      </c>
      <c r="CG32" s="12">
        <v>1</v>
      </c>
      <c r="CH32" s="12">
        <v>1</v>
      </c>
      <c r="CI32" s="12">
        <v>1</v>
      </c>
      <c r="CJ32" s="12">
        <v>1</v>
      </c>
      <c r="CN32" s="12">
        <v>1</v>
      </c>
      <c r="CO32" s="12">
        <v>1</v>
      </c>
      <c r="CP32" s="12">
        <v>1</v>
      </c>
      <c r="CQ32" s="12">
        <v>1</v>
      </c>
      <c r="CU32" s="12"/>
      <c r="CV32" s="12"/>
      <c r="CW32" s="12"/>
      <c r="CX32" s="12"/>
      <c r="DB32" s="12"/>
      <c r="DC32" s="12"/>
      <c r="DD32" s="12"/>
      <c r="DE32" s="12"/>
      <c r="DI32" s="12"/>
      <c r="DJ32" s="12"/>
      <c r="DK32" s="12"/>
      <c r="DL32" s="12"/>
      <c r="DP32" s="12"/>
      <c r="DQ32" s="12"/>
      <c r="DR32" s="12"/>
      <c r="DS32" s="12"/>
    </row>
    <row r="33" spans="2:123" outlineLevel="1" x14ac:dyDescent="0.2">
      <c r="B33" t="s">
        <v>28</v>
      </c>
      <c r="C33" s="23" t="s">
        <v>96</v>
      </c>
      <c r="E33" s="11"/>
      <c r="F33" t="s">
        <v>125</v>
      </c>
      <c r="G33" s="12"/>
      <c r="I33" s="11">
        <f t="shared" si="2"/>
        <v>0</v>
      </c>
      <c r="J33" s="13" cm="1">
        <f t="array" ref="J33">MAX(IF($N$3:$EH$3=$J$3,N33:EH33))</f>
        <v>1</v>
      </c>
      <c r="K33" s="13" cm="1">
        <f t="array" ref="K33">MAX(IF($N$3:$EH$3=$J$3,N33:EH33))</f>
        <v>1</v>
      </c>
      <c r="L33" s="11"/>
      <c r="O33" s="12"/>
      <c r="P33" s="12"/>
      <c r="Q33" s="12"/>
      <c r="R33" s="12"/>
      <c r="V33" s="12"/>
      <c r="W33" s="12"/>
      <c r="X33" s="29"/>
      <c r="Y33" s="12"/>
      <c r="AA33" t="s">
        <v>135</v>
      </c>
      <c r="AC33" s="12"/>
      <c r="AD33" s="12">
        <v>0.5</v>
      </c>
      <c r="AE33" s="12"/>
      <c r="AF33" s="12">
        <v>0.5</v>
      </c>
      <c r="AJ33" s="12"/>
      <c r="AK33" s="12">
        <v>0.5</v>
      </c>
      <c r="AL33" s="12"/>
      <c r="AM33" s="12">
        <v>0.5</v>
      </c>
      <c r="AQ33" s="12"/>
      <c r="AR33" s="12">
        <v>0.5</v>
      </c>
      <c r="AS33" s="12"/>
      <c r="AT33" s="12">
        <v>0.5</v>
      </c>
      <c r="AV33" t="s">
        <v>135</v>
      </c>
      <c r="AX33" s="12"/>
      <c r="AY33" s="12">
        <v>0.8</v>
      </c>
      <c r="AZ33" s="12"/>
      <c r="BA33" s="12">
        <v>0.8</v>
      </c>
      <c r="BE33" s="12"/>
      <c r="BF33" s="12">
        <v>0.8</v>
      </c>
      <c r="BG33" s="12"/>
      <c r="BH33" s="12">
        <v>0.8</v>
      </c>
      <c r="BL33" s="12"/>
      <c r="BM33" s="12">
        <v>0.8</v>
      </c>
      <c r="BN33" s="12"/>
      <c r="BO33" s="12">
        <v>0.8</v>
      </c>
      <c r="BQ33" s="26" t="s">
        <v>135</v>
      </c>
      <c r="BS33" s="12"/>
      <c r="BT33" s="12">
        <v>1</v>
      </c>
      <c r="BU33" s="12"/>
      <c r="BV33" s="12">
        <v>1</v>
      </c>
      <c r="BZ33" s="12">
        <v>1</v>
      </c>
      <c r="CA33" s="12">
        <v>1</v>
      </c>
      <c r="CB33" s="12">
        <v>1</v>
      </c>
      <c r="CC33" s="12">
        <v>1</v>
      </c>
      <c r="CG33" s="12">
        <v>1</v>
      </c>
      <c r="CH33" s="12">
        <v>1</v>
      </c>
      <c r="CI33" s="12">
        <v>1</v>
      </c>
      <c r="CJ33" s="12">
        <v>1</v>
      </c>
      <c r="CN33" s="12">
        <v>1</v>
      </c>
      <c r="CO33" s="12">
        <v>1</v>
      </c>
      <c r="CP33" s="12">
        <v>1</v>
      </c>
      <c r="CQ33" s="12">
        <v>1</v>
      </c>
      <c r="CU33" s="12"/>
      <c r="CV33" s="12"/>
      <c r="CW33" s="12"/>
      <c r="CX33" s="12"/>
      <c r="DB33" s="12"/>
      <c r="DC33" s="12"/>
      <c r="DD33" s="12"/>
      <c r="DE33" s="12"/>
      <c r="DI33" s="12"/>
      <c r="DJ33" s="12"/>
      <c r="DK33" s="12"/>
      <c r="DL33" s="12"/>
      <c r="DP33" s="12"/>
      <c r="DQ33" s="12"/>
      <c r="DR33" s="12"/>
      <c r="DS33" s="12"/>
    </row>
    <row r="34" spans="2:123" outlineLevel="1" x14ac:dyDescent="0.2">
      <c r="B34" t="s">
        <v>28</v>
      </c>
      <c r="C34" s="23" t="s">
        <v>96</v>
      </c>
      <c r="E34" s="11"/>
      <c r="F34" t="s">
        <v>126</v>
      </c>
      <c r="G34" s="12"/>
      <c r="I34" s="11">
        <f t="shared" si="2"/>
        <v>0</v>
      </c>
      <c r="J34" s="13" cm="1">
        <f t="array" ref="J34">MAX(IF($N$3:$EH$3=$J$3,N34:EH34))</f>
        <v>1</v>
      </c>
      <c r="K34" s="13" cm="1">
        <f t="array" ref="K34">MAX(IF($N$3:$EH$3=$J$3,N34:EH34))</f>
        <v>1</v>
      </c>
      <c r="L34" s="11"/>
      <c r="O34" s="12"/>
      <c r="P34" s="12"/>
      <c r="Q34" s="12"/>
      <c r="R34" s="12"/>
      <c r="V34" s="12"/>
      <c r="W34" s="12"/>
      <c r="X34" s="27"/>
      <c r="Y34" s="12"/>
      <c r="AA34" t="s">
        <v>135</v>
      </c>
      <c r="AC34" s="29"/>
      <c r="AD34" s="12">
        <v>0.5</v>
      </c>
      <c r="AE34" s="29"/>
      <c r="AF34" s="12">
        <v>0.5</v>
      </c>
      <c r="AJ34" s="12"/>
      <c r="AK34" s="12">
        <v>0.5</v>
      </c>
      <c r="AL34" s="12"/>
      <c r="AM34" s="12">
        <v>0.5</v>
      </c>
      <c r="AQ34" s="12"/>
      <c r="AR34" s="12">
        <v>0.5</v>
      </c>
      <c r="AS34" s="12"/>
      <c r="AT34" s="12">
        <v>0.5</v>
      </c>
      <c r="AV34" t="s">
        <v>135</v>
      </c>
      <c r="AX34" s="12"/>
      <c r="AY34" s="12">
        <v>0.8</v>
      </c>
      <c r="AZ34" s="12"/>
      <c r="BA34" s="12">
        <v>0.8</v>
      </c>
      <c r="BE34" s="12"/>
      <c r="BF34" s="12">
        <v>0.8</v>
      </c>
      <c r="BG34" s="12"/>
      <c r="BH34" s="12">
        <v>0.8</v>
      </c>
      <c r="BL34" s="12"/>
      <c r="BM34" s="12">
        <v>0.8</v>
      </c>
      <c r="BN34" s="12"/>
      <c r="BO34" s="12">
        <v>0.8</v>
      </c>
      <c r="BQ34" s="26"/>
      <c r="BS34" s="12"/>
      <c r="BT34" s="12">
        <v>0.8</v>
      </c>
      <c r="BU34" s="12"/>
      <c r="BV34" s="12">
        <v>0.8</v>
      </c>
      <c r="BX34" t="s">
        <v>135</v>
      </c>
      <c r="BZ34" s="12">
        <v>1</v>
      </c>
      <c r="CA34" s="12">
        <v>1</v>
      </c>
      <c r="CB34" s="12">
        <v>1</v>
      </c>
      <c r="CC34" s="12">
        <v>1</v>
      </c>
      <c r="CG34" s="12">
        <v>1</v>
      </c>
      <c r="CH34" s="12">
        <v>1</v>
      </c>
      <c r="CI34" s="12">
        <v>1</v>
      </c>
      <c r="CJ34" s="12">
        <v>1</v>
      </c>
      <c r="CN34" s="12">
        <v>1</v>
      </c>
      <c r="CO34" s="12">
        <v>1</v>
      </c>
      <c r="CP34" s="12">
        <v>1</v>
      </c>
      <c r="CQ34" s="12">
        <v>1</v>
      </c>
      <c r="CU34" s="12"/>
      <c r="CV34" s="12"/>
      <c r="CW34" s="12"/>
      <c r="CX34" s="12"/>
      <c r="DB34" s="12"/>
      <c r="DC34" s="12"/>
      <c r="DD34" s="12"/>
      <c r="DE34" s="12"/>
      <c r="DI34" s="12"/>
      <c r="DJ34" s="12"/>
      <c r="DK34" s="12"/>
      <c r="DL34" s="12"/>
      <c r="DP34" s="12"/>
      <c r="DQ34" s="12"/>
      <c r="DR34" s="12"/>
      <c r="DS34" s="12"/>
    </row>
    <row r="35" spans="2:123" outlineLevel="1" x14ac:dyDescent="0.2">
      <c r="B35" t="s">
        <v>28</v>
      </c>
      <c r="C35" s="23" t="s">
        <v>96</v>
      </c>
      <c r="E35" s="11"/>
      <c r="F35" t="s">
        <v>127</v>
      </c>
      <c r="G35" s="12"/>
      <c r="I35" s="11">
        <f t="shared" si="2"/>
        <v>0</v>
      </c>
      <c r="J35" s="13" cm="1">
        <f t="array" ref="J35">MAX(IF($N$3:$EH$3=$J$3,N35:EH35))</f>
        <v>1</v>
      </c>
      <c r="K35" s="13" cm="1">
        <f t="array" ref="K35">MAX(IF($N$3:$EH$3=$J$3,N35:EH35))</f>
        <v>1</v>
      </c>
      <c r="L35" s="11"/>
      <c r="O35" s="12"/>
      <c r="P35" s="12"/>
      <c r="Q35" s="12"/>
      <c r="R35" s="12"/>
      <c r="V35" s="12"/>
      <c r="W35" s="12"/>
      <c r="X35" s="27"/>
      <c r="Y35" s="12"/>
      <c r="AA35" t="s">
        <v>135</v>
      </c>
      <c r="AC35" s="12"/>
      <c r="AD35" s="12">
        <v>0.5</v>
      </c>
      <c r="AE35" s="12"/>
      <c r="AF35" s="12">
        <v>0.5</v>
      </c>
      <c r="AJ35" s="29"/>
      <c r="AK35" s="12">
        <v>0.5</v>
      </c>
      <c r="AL35" s="29"/>
      <c r="AM35" s="12">
        <v>0.5</v>
      </c>
      <c r="AQ35" s="12"/>
      <c r="AR35" s="12">
        <v>0.5</v>
      </c>
      <c r="AS35" s="12"/>
      <c r="AT35" s="12">
        <v>0.5</v>
      </c>
      <c r="AX35" s="12"/>
      <c r="AY35" s="12">
        <v>0.5</v>
      </c>
      <c r="AZ35" s="12"/>
      <c r="BA35" s="12">
        <v>0.5</v>
      </c>
      <c r="BC35" t="s">
        <v>135</v>
      </c>
      <c r="BE35" s="12"/>
      <c r="BF35" s="12">
        <v>0.8</v>
      </c>
      <c r="BG35" s="12"/>
      <c r="BH35" s="12">
        <v>0.8</v>
      </c>
      <c r="BL35" s="12"/>
      <c r="BM35" s="12">
        <v>0.8</v>
      </c>
      <c r="BN35" s="12"/>
      <c r="BO35" s="12">
        <v>0.8</v>
      </c>
      <c r="BQ35" s="26"/>
      <c r="BS35" s="12"/>
      <c r="BT35" s="12">
        <v>0.8</v>
      </c>
      <c r="BU35" s="12"/>
      <c r="BV35" s="12">
        <v>0.8</v>
      </c>
      <c r="BX35" t="s">
        <v>135</v>
      </c>
      <c r="BZ35" s="12">
        <v>1</v>
      </c>
      <c r="CA35" s="12">
        <v>1</v>
      </c>
      <c r="CB35" s="12">
        <v>1</v>
      </c>
      <c r="CC35" s="12">
        <v>1</v>
      </c>
      <c r="CG35" s="12">
        <v>1</v>
      </c>
      <c r="CH35" s="12">
        <v>1</v>
      </c>
      <c r="CI35" s="12">
        <v>1</v>
      </c>
      <c r="CJ35" s="12">
        <v>1</v>
      </c>
      <c r="CN35" s="12">
        <v>1</v>
      </c>
      <c r="CO35" s="12">
        <v>1</v>
      </c>
      <c r="CP35" s="12">
        <v>1</v>
      </c>
      <c r="CQ35" s="12">
        <v>1</v>
      </c>
      <c r="CU35" s="12"/>
      <c r="CV35" s="12"/>
      <c r="CW35" s="12"/>
      <c r="CX35" s="12"/>
      <c r="DB35" s="12"/>
      <c r="DC35" s="12"/>
      <c r="DD35" s="12"/>
      <c r="DE35" s="12"/>
      <c r="DI35" s="12"/>
      <c r="DJ35" s="12"/>
      <c r="DK35" s="12"/>
      <c r="DL35" s="12"/>
      <c r="DP35" s="12"/>
      <c r="DQ35" s="12"/>
      <c r="DR35" s="12"/>
      <c r="DS35" s="12"/>
    </row>
    <row r="36" spans="2:123" outlineLevel="1" x14ac:dyDescent="0.2">
      <c r="B36" t="s">
        <v>28</v>
      </c>
      <c r="C36" s="23" t="s">
        <v>96</v>
      </c>
      <c r="E36" s="11"/>
      <c r="F36" t="s">
        <v>128</v>
      </c>
      <c r="G36" s="12"/>
      <c r="I36" s="11">
        <f t="shared" si="2"/>
        <v>0</v>
      </c>
      <c r="J36" s="13" cm="1">
        <f t="array" ref="J36">MAX(IF($N$3:$EH$3=$J$3,N36:EH36))</f>
        <v>1</v>
      </c>
      <c r="K36" s="13" cm="1">
        <f t="array" ref="K36">MAX(IF($N$3:$EH$3=$J$3,N36:EH36))</f>
        <v>1</v>
      </c>
      <c r="L36" s="11"/>
      <c r="O36" s="12"/>
      <c r="P36" s="12"/>
      <c r="Q36" s="12"/>
      <c r="R36" s="12"/>
      <c r="V36" s="12"/>
      <c r="W36" s="12"/>
      <c r="X36" s="12"/>
      <c r="Y36" s="12"/>
      <c r="AC36" s="27"/>
      <c r="AD36" s="12"/>
      <c r="AE36" s="27"/>
      <c r="AF36" s="12"/>
      <c r="AH36" t="s">
        <v>135</v>
      </c>
      <c r="AJ36" s="30"/>
      <c r="AK36" s="28">
        <v>0.5</v>
      </c>
      <c r="AL36" s="30"/>
      <c r="AM36" s="28">
        <v>0.5</v>
      </c>
      <c r="AQ36" s="12"/>
      <c r="AR36" s="12">
        <v>0.5</v>
      </c>
      <c r="AS36" s="12"/>
      <c r="AT36" s="12">
        <v>0.5</v>
      </c>
      <c r="AX36" s="12"/>
      <c r="AY36" s="12">
        <v>0.5</v>
      </c>
      <c r="AZ36" s="12"/>
      <c r="BA36" s="12">
        <v>0.5</v>
      </c>
      <c r="BC36" t="s">
        <v>135</v>
      </c>
      <c r="BE36" s="12"/>
      <c r="BF36" s="12">
        <v>0.8</v>
      </c>
      <c r="BG36" s="12"/>
      <c r="BH36" s="12">
        <v>0.8</v>
      </c>
      <c r="BL36" s="12"/>
      <c r="BM36" s="12">
        <v>0.8</v>
      </c>
      <c r="BN36" s="12"/>
      <c r="BO36" s="12">
        <v>0.8</v>
      </c>
      <c r="BQ36" s="26"/>
      <c r="BS36" s="12"/>
      <c r="BT36" s="12">
        <v>0.8</v>
      </c>
      <c r="BU36" s="12"/>
      <c r="BV36" s="12">
        <v>0.8</v>
      </c>
      <c r="BX36" t="s">
        <v>135</v>
      </c>
      <c r="BZ36" s="12">
        <v>1</v>
      </c>
      <c r="CA36" s="12">
        <v>1</v>
      </c>
      <c r="CB36" s="12">
        <v>1</v>
      </c>
      <c r="CC36" s="12">
        <v>1</v>
      </c>
      <c r="CG36" s="12">
        <v>1</v>
      </c>
      <c r="CH36" s="12">
        <v>1</v>
      </c>
      <c r="CI36" s="12">
        <v>1</v>
      </c>
      <c r="CJ36" s="12">
        <v>1</v>
      </c>
      <c r="CN36" s="12">
        <v>1</v>
      </c>
      <c r="CO36" s="12">
        <v>1</v>
      </c>
      <c r="CP36" s="12">
        <v>1</v>
      </c>
      <c r="CQ36" s="12">
        <v>1</v>
      </c>
      <c r="CU36" s="12"/>
      <c r="CV36" s="12"/>
      <c r="CW36" s="12"/>
      <c r="CX36" s="12"/>
      <c r="DB36" s="12"/>
      <c r="DC36" s="12"/>
      <c r="DD36" s="12"/>
      <c r="DE36" s="12"/>
      <c r="DI36" s="12"/>
      <c r="DJ36" s="12"/>
      <c r="DK36" s="12"/>
      <c r="DL36" s="12"/>
      <c r="DP36" s="12"/>
      <c r="DQ36" s="12"/>
      <c r="DR36" s="12"/>
      <c r="DS36" s="12"/>
    </row>
    <row r="37" spans="2:123" outlineLevel="1" x14ac:dyDescent="0.2">
      <c r="B37" t="s">
        <v>158</v>
      </c>
      <c r="C37" s="23"/>
      <c r="E37" s="11"/>
      <c r="G37" s="12"/>
      <c r="I37" s="11"/>
      <c r="J37" s="13"/>
      <c r="K37" s="13"/>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c r="BL37" s="12"/>
      <c r="BM37" s="12"/>
      <c r="BN37" s="12"/>
      <c r="BO37" s="12"/>
      <c r="BQ37" s="26"/>
      <c r="BS37" s="12"/>
      <c r="BT37" s="12"/>
      <c r="BU37" s="12"/>
      <c r="BV37" s="12"/>
      <c r="BZ37" s="12"/>
      <c r="CA37" s="12"/>
      <c r="CB37" s="12"/>
      <c r="CC37" s="12"/>
      <c r="CG37" s="12"/>
      <c r="CH37" s="12"/>
      <c r="CI37" s="12"/>
      <c r="CJ37" s="12"/>
      <c r="CN37" s="12"/>
      <c r="CO37" s="12"/>
      <c r="CP37" s="12"/>
      <c r="CQ37" s="12"/>
      <c r="CU37" s="12"/>
      <c r="CV37" s="12"/>
      <c r="CW37" s="12"/>
      <c r="CX37" s="12"/>
      <c r="DB37" s="12"/>
      <c r="DC37" s="12"/>
      <c r="DD37" s="12"/>
      <c r="DE37" s="12"/>
      <c r="DI37" s="12"/>
      <c r="DJ37" s="12"/>
      <c r="DK37" s="12"/>
      <c r="DL37" s="12"/>
      <c r="DP37" s="12"/>
      <c r="DQ37" s="12"/>
      <c r="DR37" s="12"/>
      <c r="DS37" s="12"/>
    </row>
    <row r="38" spans="2:123" x14ac:dyDescent="0.2">
      <c r="C38" s="23"/>
      <c r="BQ38" s="26"/>
    </row>
    <row r="39" spans="2:123" x14ac:dyDescent="0.2">
      <c r="B39" t="s">
        <v>27</v>
      </c>
      <c r="C39" s="23" t="s">
        <v>97</v>
      </c>
      <c r="D39" s="22">
        <v>45313</v>
      </c>
      <c r="E39" s="11">
        <v>5</v>
      </c>
      <c r="F39" t="s">
        <v>99</v>
      </c>
      <c r="G39" s="12"/>
      <c r="I39" s="14">
        <f>+SUM(I40:I46)</f>
        <v>0</v>
      </c>
      <c r="J39" s="13">
        <f>+SUMPRODUCT(G40:G46,J40:J46)</f>
        <v>0</v>
      </c>
      <c r="K39" s="13">
        <f>+SUMPRODUCT(G40:G46,K40:K46)</f>
        <v>0</v>
      </c>
      <c r="L39" s="11"/>
      <c r="N39" s="14">
        <f>+SUM(N40:N46)</f>
        <v>0</v>
      </c>
      <c r="U39" s="14"/>
      <c r="AB39" s="14"/>
      <c r="AI39" s="14"/>
      <c r="AP39" s="14"/>
      <c r="BQ39" s="26"/>
    </row>
    <row r="40" spans="2:123" outlineLevel="1" x14ac:dyDescent="0.2">
      <c r="B40" t="s">
        <v>28</v>
      </c>
      <c r="C40" s="23" t="s">
        <v>97</v>
      </c>
      <c r="E40" s="11"/>
      <c r="F40" t="s">
        <v>129</v>
      </c>
      <c r="G40" s="12"/>
      <c r="I40" s="11">
        <f t="shared" ref="I40:I43" si="3">+SUMIF($N$3:$ZZ$3,I$3,$N40:$ZZ40)</f>
        <v>0</v>
      </c>
      <c r="J40" s="13">
        <v>0</v>
      </c>
      <c r="K40" s="13">
        <v>0</v>
      </c>
      <c r="L40" s="11"/>
      <c r="O40" s="12"/>
      <c r="P40" s="12"/>
      <c r="Q40" s="12"/>
      <c r="R40" s="12"/>
      <c r="V40" s="12"/>
      <c r="W40" s="12"/>
      <c r="X40" s="29"/>
      <c r="Y40" s="12"/>
      <c r="AA40" t="s">
        <v>135</v>
      </c>
      <c r="AC40" s="12"/>
      <c r="AD40" s="12">
        <v>0.3</v>
      </c>
      <c r="AE40" s="12"/>
      <c r="AF40" s="12">
        <v>0.3</v>
      </c>
      <c r="AJ40" s="12"/>
      <c r="AK40" s="12">
        <v>0.3</v>
      </c>
      <c r="AL40" s="12"/>
      <c r="AM40" s="12">
        <v>0.3</v>
      </c>
      <c r="AO40" t="s">
        <v>135</v>
      </c>
      <c r="AQ40" s="12"/>
      <c r="AR40" s="12">
        <v>0.5</v>
      </c>
      <c r="AS40" s="12"/>
      <c r="AT40" s="12">
        <v>0.5</v>
      </c>
      <c r="AX40" s="12"/>
      <c r="AY40" s="12">
        <v>0.5</v>
      </c>
      <c r="AZ40" s="12"/>
      <c r="BA40" s="12">
        <v>0.5</v>
      </c>
      <c r="BC40" t="s">
        <v>135</v>
      </c>
      <c r="BE40" s="12"/>
      <c r="BF40" s="12">
        <v>0.8</v>
      </c>
      <c r="BG40" s="12"/>
      <c r="BH40" s="12">
        <v>0.8</v>
      </c>
      <c r="BL40" s="12"/>
      <c r="BM40" s="12">
        <v>0.8</v>
      </c>
      <c r="BN40" s="12"/>
      <c r="BO40" s="12">
        <v>0.8</v>
      </c>
      <c r="BQ40" s="26" t="s">
        <v>135</v>
      </c>
      <c r="BS40" s="12"/>
      <c r="BT40" s="12">
        <v>1</v>
      </c>
      <c r="BU40" s="12"/>
      <c r="BV40" s="12">
        <v>1</v>
      </c>
      <c r="BZ40" s="12">
        <v>1</v>
      </c>
      <c r="CA40" s="12">
        <v>1</v>
      </c>
      <c r="CB40" s="12">
        <v>1</v>
      </c>
      <c r="CC40" s="12">
        <v>1</v>
      </c>
      <c r="CG40" s="12">
        <v>1</v>
      </c>
      <c r="CH40" s="12">
        <v>1</v>
      </c>
      <c r="CI40" s="12">
        <v>1</v>
      </c>
      <c r="CJ40" s="12">
        <v>1</v>
      </c>
      <c r="CN40" s="12">
        <v>1</v>
      </c>
      <c r="CO40" s="12">
        <v>1</v>
      </c>
      <c r="CP40" s="12">
        <v>1</v>
      </c>
      <c r="CQ40" s="12">
        <v>1</v>
      </c>
      <c r="CU40" s="12"/>
      <c r="CV40" s="12"/>
      <c r="CW40" s="12"/>
      <c r="CX40" s="12"/>
      <c r="DB40" s="12"/>
      <c r="DC40" s="12"/>
      <c r="DD40" s="12"/>
      <c r="DE40" s="12"/>
      <c r="DI40" s="12"/>
      <c r="DJ40" s="12"/>
      <c r="DK40" s="12"/>
      <c r="DL40" s="12"/>
      <c r="DP40" s="12"/>
      <c r="DQ40" s="12"/>
      <c r="DR40" s="12"/>
      <c r="DS40" s="12"/>
    </row>
    <row r="41" spans="2:123" outlineLevel="1" x14ac:dyDescent="0.2">
      <c r="B41" t="s">
        <v>28</v>
      </c>
      <c r="C41" s="23" t="s">
        <v>97</v>
      </c>
      <c r="E41" s="11"/>
      <c r="F41" t="s">
        <v>130</v>
      </c>
      <c r="G41" s="12"/>
      <c r="I41" s="11">
        <f t="shared" si="3"/>
        <v>0</v>
      </c>
      <c r="J41" s="13" cm="1">
        <f t="array" ref="J41">MAX(IF($N$3:$EH$3=$J$3,N41:EH41))</f>
        <v>1</v>
      </c>
      <c r="K41" s="13" cm="1">
        <f t="array" ref="K41">MAX(IF($N$3:$EH$3=$J$3,N41:EH41))</f>
        <v>1</v>
      </c>
      <c r="L41" s="11"/>
      <c r="O41" s="12"/>
      <c r="P41" s="12"/>
      <c r="Q41" s="12"/>
      <c r="R41" s="12"/>
      <c r="V41" s="12"/>
      <c r="W41" s="12"/>
      <c r="X41" s="29"/>
      <c r="Y41" s="12"/>
      <c r="AA41" t="s">
        <v>135</v>
      </c>
      <c r="AC41" s="29"/>
      <c r="AD41" s="12">
        <v>0.3</v>
      </c>
      <c r="AE41" s="29"/>
      <c r="AF41" s="12">
        <v>0.3</v>
      </c>
      <c r="AJ41" s="12"/>
      <c r="AK41" s="12">
        <v>0.3</v>
      </c>
      <c r="AL41" s="12"/>
      <c r="AM41" s="12">
        <v>0.3</v>
      </c>
      <c r="AO41" t="s">
        <v>135</v>
      </c>
      <c r="AQ41" s="12"/>
      <c r="AR41" s="12">
        <v>0.5</v>
      </c>
      <c r="AS41" s="12"/>
      <c r="AT41" s="12">
        <v>0.5</v>
      </c>
      <c r="AX41" s="12"/>
      <c r="AY41" s="12">
        <v>0.5</v>
      </c>
      <c r="AZ41" s="12"/>
      <c r="BA41" s="12">
        <v>0.5</v>
      </c>
      <c r="BC41" t="s">
        <v>135</v>
      </c>
      <c r="BE41" s="12"/>
      <c r="BF41" s="12">
        <v>0.8</v>
      </c>
      <c r="BG41" s="12"/>
      <c r="BH41" s="12">
        <v>0.8</v>
      </c>
      <c r="BL41" s="12"/>
      <c r="BM41" s="12">
        <v>0.8</v>
      </c>
      <c r="BN41" s="12"/>
      <c r="BO41" s="12">
        <v>0.8</v>
      </c>
      <c r="BQ41" s="26" t="s">
        <v>135</v>
      </c>
      <c r="BS41" s="12"/>
      <c r="BT41" s="12">
        <v>1</v>
      </c>
      <c r="BU41" s="12"/>
      <c r="BV41" s="12">
        <v>1</v>
      </c>
      <c r="BZ41" s="12">
        <v>1</v>
      </c>
      <c r="CA41" s="12">
        <v>1</v>
      </c>
      <c r="CB41" s="12">
        <v>1</v>
      </c>
      <c r="CC41" s="12">
        <v>1</v>
      </c>
      <c r="CG41" s="12">
        <v>1</v>
      </c>
      <c r="CH41" s="12">
        <v>1</v>
      </c>
      <c r="CI41" s="12">
        <v>1</v>
      </c>
      <c r="CJ41" s="12">
        <v>1</v>
      </c>
      <c r="CN41" s="12">
        <v>1</v>
      </c>
      <c r="CO41" s="12">
        <v>1</v>
      </c>
      <c r="CP41" s="12">
        <v>1</v>
      </c>
      <c r="CQ41" s="12">
        <v>1</v>
      </c>
      <c r="CU41" s="12"/>
      <c r="CV41" s="12"/>
      <c r="CW41" s="12"/>
      <c r="CX41" s="12"/>
      <c r="DB41" s="12"/>
      <c r="DC41" s="12"/>
      <c r="DD41" s="12"/>
      <c r="DE41" s="12"/>
      <c r="DI41" s="12"/>
      <c r="DJ41" s="12"/>
      <c r="DK41" s="12"/>
      <c r="DL41" s="12"/>
      <c r="DP41" s="12"/>
      <c r="DQ41" s="12"/>
      <c r="DR41" s="12"/>
      <c r="DS41" s="12"/>
    </row>
    <row r="42" spans="2:123" outlineLevel="1" x14ac:dyDescent="0.2">
      <c r="B42" t="s">
        <v>28</v>
      </c>
      <c r="C42" s="23" t="s">
        <v>97</v>
      </c>
      <c r="E42" s="11"/>
      <c r="F42" t="s">
        <v>131</v>
      </c>
      <c r="G42" s="12"/>
      <c r="I42" s="11">
        <f t="shared" si="3"/>
        <v>0</v>
      </c>
      <c r="J42" s="13" cm="1">
        <f t="array" ref="J42">MAX(IF($N$3:$EH$3=$J$3,N42:EH42))</f>
        <v>1</v>
      </c>
      <c r="K42" s="13" cm="1">
        <f t="array" ref="K42">MAX(IF($N$3:$EH$3=$J$3,N42:EH42))</f>
        <v>1</v>
      </c>
      <c r="L42" s="11"/>
      <c r="O42" s="12"/>
      <c r="P42" s="12"/>
      <c r="Q42" s="12"/>
      <c r="R42" s="12"/>
      <c r="V42" s="12"/>
      <c r="W42" s="12"/>
      <c r="X42" s="28"/>
      <c r="Y42" s="12"/>
      <c r="AC42" s="27"/>
      <c r="AD42" s="12"/>
      <c r="AE42" s="27"/>
      <c r="AF42" s="12"/>
      <c r="AH42" t="s">
        <v>135</v>
      </c>
      <c r="AJ42" s="29"/>
      <c r="AK42" s="12">
        <v>0.3</v>
      </c>
      <c r="AL42" s="29"/>
      <c r="AM42" s="12">
        <v>0.3</v>
      </c>
      <c r="AQ42" s="12"/>
      <c r="AR42" s="12">
        <v>0.3</v>
      </c>
      <c r="AS42" s="12"/>
      <c r="AT42" s="12">
        <v>0.3</v>
      </c>
      <c r="AV42" t="s">
        <v>135</v>
      </c>
      <c r="AX42" s="12"/>
      <c r="AY42" s="12">
        <v>0.5</v>
      </c>
      <c r="AZ42" s="12"/>
      <c r="BA42" s="12">
        <v>0.5</v>
      </c>
      <c r="BE42" s="12"/>
      <c r="BF42" s="12">
        <v>0.5</v>
      </c>
      <c r="BG42" s="12"/>
      <c r="BH42" s="12">
        <v>0.5</v>
      </c>
      <c r="BJ42" t="s">
        <v>135</v>
      </c>
      <c r="BL42" s="12"/>
      <c r="BM42" s="12">
        <v>0.8</v>
      </c>
      <c r="BN42" s="12"/>
      <c r="BO42" s="12">
        <v>0.8</v>
      </c>
      <c r="BQ42" s="26"/>
      <c r="BS42" s="12"/>
      <c r="BT42" s="12">
        <v>0.8</v>
      </c>
      <c r="BU42" s="12"/>
      <c r="BV42" s="12">
        <v>0.8</v>
      </c>
      <c r="BX42" t="s">
        <v>135</v>
      </c>
      <c r="BZ42" s="12">
        <v>1</v>
      </c>
      <c r="CA42" s="12">
        <v>1</v>
      </c>
      <c r="CB42" s="12">
        <v>1</v>
      </c>
      <c r="CC42" s="12">
        <v>1</v>
      </c>
      <c r="CG42" s="12">
        <v>1</v>
      </c>
      <c r="CH42" s="12">
        <v>1</v>
      </c>
      <c r="CI42" s="12">
        <v>1</v>
      </c>
      <c r="CJ42" s="12">
        <v>1</v>
      </c>
      <c r="CN42" s="12">
        <v>1</v>
      </c>
      <c r="CO42" s="12">
        <v>1</v>
      </c>
      <c r="CP42" s="12">
        <v>1</v>
      </c>
      <c r="CQ42" s="12">
        <v>1</v>
      </c>
      <c r="CU42" s="12"/>
      <c r="CV42" s="12"/>
      <c r="CW42" s="12"/>
      <c r="CX42" s="12"/>
      <c r="DB42" s="12"/>
      <c r="DC42" s="12"/>
      <c r="DD42" s="12"/>
      <c r="DE42" s="12"/>
      <c r="DI42" s="12"/>
      <c r="DJ42" s="12"/>
      <c r="DK42" s="12"/>
      <c r="DL42" s="12"/>
      <c r="DP42" s="12"/>
      <c r="DQ42" s="12"/>
      <c r="DR42" s="12"/>
      <c r="DS42" s="12"/>
    </row>
    <row r="43" spans="2:123" outlineLevel="1" x14ac:dyDescent="0.2">
      <c r="B43" t="s">
        <v>28</v>
      </c>
      <c r="C43" s="23" t="s">
        <v>97</v>
      </c>
      <c r="E43" s="11"/>
      <c r="F43" t="s">
        <v>132</v>
      </c>
      <c r="G43" s="12"/>
      <c r="I43" s="11">
        <f t="shared" si="3"/>
        <v>0</v>
      </c>
      <c r="J43" s="13" cm="1">
        <f t="array" ref="J43">MAX(IF($N$3:$EH$3=$J$3,N43:EH43))</f>
        <v>1</v>
      </c>
      <c r="K43" s="13" cm="1">
        <f t="array" ref="K43">MAX(IF($N$3:$EH$3=$J$3,N43:EH43))</f>
        <v>1</v>
      </c>
      <c r="L43" s="11"/>
      <c r="O43" s="12"/>
      <c r="P43" s="12"/>
      <c r="Q43" s="12"/>
      <c r="R43" s="12"/>
      <c r="V43" s="12"/>
      <c r="W43" s="12"/>
      <c r="X43" s="12"/>
      <c r="Y43" s="12"/>
      <c r="AC43" s="27"/>
      <c r="AD43" s="12"/>
      <c r="AE43" s="27"/>
      <c r="AF43" s="12"/>
      <c r="AH43" t="s">
        <v>135</v>
      </c>
      <c r="AJ43" s="12"/>
      <c r="AK43" s="12">
        <v>0.3</v>
      </c>
      <c r="AL43" s="12"/>
      <c r="AM43" s="12">
        <v>0.3</v>
      </c>
      <c r="AQ43" s="27"/>
      <c r="AR43" s="12">
        <v>0.3</v>
      </c>
      <c r="AS43" s="27"/>
      <c r="AT43" s="12">
        <v>0.3</v>
      </c>
      <c r="AV43" t="s">
        <v>135</v>
      </c>
      <c r="AX43" s="12"/>
      <c r="AY43" s="12">
        <v>0.5</v>
      </c>
      <c r="AZ43" s="12"/>
      <c r="BA43" s="12">
        <v>0.5</v>
      </c>
      <c r="BE43" s="12"/>
      <c r="BF43" s="12">
        <v>0.5</v>
      </c>
      <c r="BG43" s="12"/>
      <c r="BH43" s="12">
        <v>0.5</v>
      </c>
      <c r="BJ43" t="s">
        <v>135</v>
      </c>
      <c r="BL43" s="12"/>
      <c r="BM43" s="12">
        <v>0.8</v>
      </c>
      <c r="BN43" s="12"/>
      <c r="BO43" s="12">
        <v>0.8</v>
      </c>
      <c r="BQ43" s="26"/>
      <c r="BS43" s="12"/>
      <c r="BT43" s="12">
        <v>0.8</v>
      </c>
      <c r="BU43" s="12"/>
      <c r="BV43" s="12">
        <v>0.8</v>
      </c>
      <c r="BX43" t="s">
        <v>135</v>
      </c>
      <c r="BZ43" s="12">
        <v>1</v>
      </c>
      <c r="CA43" s="12">
        <v>1</v>
      </c>
      <c r="CB43" s="12">
        <v>1</v>
      </c>
      <c r="CC43" s="12">
        <v>1</v>
      </c>
      <c r="CG43" s="12">
        <v>1</v>
      </c>
      <c r="CH43" s="12">
        <v>1</v>
      </c>
      <c r="CI43" s="12">
        <v>1</v>
      </c>
      <c r="CJ43" s="12">
        <v>1</v>
      </c>
      <c r="CN43" s="12">
        <v>1</v>
      </c>
      <c r="CO43" s="12">
        <v>1</v>
      </c>
      <c r="CP43" s="12">
        <v>1</v>
      </c>
      <c r="CQ43" s="12">
        <v>1</v>
      </c>
      <c r="CU43" s="12"/>
      <c r="CV43" s="12"/>
      <c r="CW43" s="12"/>
      <c r="CX43" s="12"/>
      <c r="DB43" s="12"/>
      <c r="DC43" s="12"/>
      <c r="DD43" s="12"/>
      <c r="DE43" s="12"/>
      <c r="DI43" s="12"/>
      <c r="DJ43" s="12"/>
      <c r="DK43" s="12"/>
      <c r="DL43" s="12"/>
      <c r="DP43" s="12"/>
      <c r="DQ43" s="12"/>
      <c r="DR43" s="12"/>
      <c r="DS43" s="12"/>
    </row>
    <row r="44" spans="2:123" outlineLevel="1" x14ac:dyDescent="0.2">
      <c r="B44" t="s">
        <v>160</v>
      </c>
      <c r="C44" s="23"/>
      <c r="E44" s="11"/>
      <c r="G44" s="12"/>
      <c r="I44" s="11"/>
      <c r="J44" s="13"/>
      <c r="K44" s="13"/>
      <c r="L44" s="11"/>
      <c r="O44" s="12"/>
      <c r="P44" s="12"/>
      <c r="Q44" s="12"/>
      <c r="R44" s="12"/>
      <c r="V44" s="12"/>
      <c r="W44" s="12"/>
      <c r="X44" s="12"/>
      <c r="Y44" s="12"/>
      <c r="AC44" s="12"/>
      <c r="AD44" s="12"/>
      <c r="AE44" s="12"/>
      <c r="AF44" s="12"/>
      <c r="AJ44" s="12"/>
      <c r="AK44" s="12"/>
      <c r="AL44" s="12"/>
      <c r="AM44" s="12"/>
      <c r="AQ44" s="12"/>
      <c r="AR44" s="12"/>
      <c r="AS44" s="12"/>
      <c r="AT44" s="12"/>
      <c r="AX44" s="12"/>
      <c r="AY44" s="12"/>
      <c r="AZ44" s="12"/>
      <c r="BA44" s="12"/>
      <c r="BE44" s="12"/>
      <c r="BF44" s="12"/>
      <c r="BG44" s="12"/>
      <c r="BH44" s="12"/>
      <c r="BL44" s="12"/>
      <c r="BM44" s="12"/>
      <c r="BN44" s="12"/>
      <c r="BO44" s="12"/>
      <c r="BQ44" s="26"/>
      <c r="BS44" s="12"/>
      <c r="BT44" s="12"/>
      <c r="BU44" s="12"/>
      <c r="BV44" s="12"/>
      <c r="BZ44" s="12"/>
      <c r="CA44" s="12"/>
      <c r="CB44" s="12"/>
      <c r="CC44" s="12"/>
      <c r="CG44" s="12"/>
      <c r="CH44" s="12"/>
      <c r="CI44" s="12"/>
      <c r="CJ44" s="12"/>
      <c r="CN44" s="12"/>
      <c r="CO44" s="12"/>
      <c r="CP44" s="12"/>
      <c r="CQ44" s="12"/>
      <c r="CU44" s="12"/>
      <c r="CV44" s="12"/>
      <c r="CW44" s="12"/>
      <c r="CX44" s="12"/>
      <c r="DB44" s="12"/>
      <c r="DC44" s="12"/>
      <c r="DD44" s="12"/>
      <c r="DE44" s="12"/>
      <c r="DI44" s="12"/>
      <c r="DJ44" s="12"/>
      <c r="DK44" s="12"/>
      <c r="DL44" s="12"/>
      <c r="DP44" s="12"/>
      <c r="DQ44" s="12"/>
      <c r="DR44" s="12"/>
      <c r="DS44" s="12"/>
    </row>
    <row r="45" spans="2:123" outlineLevel="1" x14ac:dyDescent="0.2">
      <c r="C45" s="23"/>
      <c r="E45" s="11"/>
      <c r="G45" s="12"/>
      <c r="I45" s="11"/>
      <c r="J45" s="13"/>
      <c r="K45" s="13"/>
      <c r="L45" s="11"/>
      <c r="O45" s="12"/>
      <c r="P45" s="12"/>
      <c r="Q45" s="12"/>
      <c r="R45" s="12"/>
      <c r="V45" s="12"/>
      <c r="W45" s="12"/>
      <c r="X45" s="12"/>
      <c r="Y45" s="12"/>
      <c r="AC45" s="12"/>
      <c r="AD45" s="12"/>
      <c r="AE45" s="12"/>
      <c r="AF45" s="12"/>
      <c r="AJ45" s="12"/>
      <c r="AK45" s="12"/>
      <c r="AL45" s="12"/>
      <c r="AM45" s="12"/>
      <c r="AQ45" s="12"/>
      <c r="AR45" s="12"/>
      <c r="AS45" s="12"/>
      <c r="AT45" s="12"/>
      <c r="AX45" s="12"/>
      <c r="AY45" s="12"/>
      <c r="AZ45" s="12"/>
      <c r="BA45" s="12"/>
      <c r="BE45" s="12"/>
      <c r="BF45" s="12"/>
      <c r="BG45" s="12"/>
      <c r="BH45" s="12"/>
      <c r="BL45" s="12"/>
      <c r="BM45" s="12"/>
      <c r="BN45" s="12"/>
      <c r="BO45" s="12"/>
      <c r="BQ45" s="26"/>
      <c r="BS45" s="12"/>
      <c r="BT45" s="12"/>
      <c r="BU45" s="12"/>
      <c r="BV45" s="12"/>
      <c r="BZ45" s="12"/>
      <c r="CA45" s="12"/>
      <c r="CB45" s="12"/>
      <c r="CC45" s="12"/>
      <c r="CG45" s="12"/>
      <c r="CH45" s="12"/>
      <c r="CI45" s="12"/>
      <c r="CJ45" s="12"/>
      <c r="CN45" s="12"/>
      <c r="CO45" s="12"/>
      <c r="CP45" s="12"/>
      <c r="CQ45" s="12"/>
      <c r="CU45" s="12"/>
      <c r="CV45" s="12"/>
      <c r="CW45" s="12"/>
      <c r="CX45" s="12"/>
      <c r="DB45" s="12"/>
      <c r="DC45" s="12"/>
      <c r="DD45" s="12"/>
      <c r="DE45" s="12"/>
      <c r="DI45" s="12"/>
      <c r="DJ45" s="12"/>
      <c r="DK45" s="12"/>
      <c r="DL45" s="12"/>
      <c r="DP45" s="12"/>
      <c r="DQ45" s="12"/>
      <c r="DR45" s="12"/>
      <c r="DS45" s="12"/>
    </row>
    <row r="46" spans="2:123" outlineLevel="1" x14ac:dyDescent="0.2">
      <c r="C46" s="23"/>
      <c r="E46" s="11"/>
      <c r="G46" s="12"/>
      <c r="I46" s="11"/>
      <c r="J46" s="13"/>
      <c r="K46" s="13"/>
      <c r="L46" s="11"/>
      <c r="O46" s="12"/>
      <c r="P46" s="12"/>
      <c r="Q46" s="12"/>
      <c r="R46" s="12"/>
      <c r="V46" s="12"/>
      <c r="W46" s="12"/>
      <c r="X46" s="12"/>
      <c r="Y46" s="12"/>
      <c r="AC46" s="12"/>
      <c r="AD46" s="12"/>
      <c r="AE46" s="12"/>
      <c r="AF46" s="12"/>
      <c r="AJ46" s="12"/>
      <c r="AK46" s="12"/>
      <c r="AL46" s="12"/>
      <c r="AM46" s="12"/>
      <c r="AQ46" s="12"/>
      <c r="AR46" s="12"/>
      <c r="AS46" s="12"/>
      <c r="AT46" s="12"/>
      <c r="AX46" s="12"/>
      <c r="AY46" s="12"/>
      <c r="AZ46" s="12"/>
      <c r="BA46" s="12"/>
      <c r="BE46" s="12"/>
      <c r="BF46" s="12"/>
      <c r="BG46" s="12"/>
      <c r="BH46" s="12"/>
      <c r="BL46" s="12"/>
      <c r="BM46" s="12"/>
      <c r="BN46" s="12"/>
      <c r="BO46" s="12"/>
      <c r="BQ46" s="26"/>
      <c r="BS46" s="12"/>
      <c r="BT46" s="12"/>
      <c r="BU46" s="12"/>
      <c r="BV46" s="12"/>
      <c r="BZ46" s="12"/>
      <c r="CA46" s="12"/>
      <c r="CB46" s="12"/>
      <c r="CC46" s="12"/>
      <c r="CG46" s="12"/>
      <c r="CH46" s="12"/>
      <c r="CI46" s="12"/>
      <c r="CJ46" s="12"/>
      <c r="CN46" s="12"/>
      <c r="CO46" s="12"/>
      <c r="CP46" s="12"/>
      <c r="CQ46" s="12"/>
      <c r="CU46" s="12"/>
      <c r="CV46" s="12"/>
      <c r="CW46" s="12"/>
      <c r="CX46" s="12"/>
      <c r="DB46" s="12"/>
      <c r="DC46" s="12"/>
      <c r="DD46" s="12"/>
      <c r="DE46" s="12"/>
      <c r="DI46" s="12"/>
      <c r="DJ46" s="12"/>
      <c r="DK46" s="12"/>
      <c r="DL46" s="12"/>
      <c r="DP46" s="12"/>
      <c r="DQ46" s="12"/>
      <c r="DR46" s="12"/>
      <c r="DS46" s="12"/>
    </row>
    <row r="47" spans="2:123" x14ac:dyDescent="0.2">
      <c r="C47" s="23"/>
      <c r="BQ47" s="26"/>
    </row>
    <row r="48" spans="2:123" x14ac:dyDescent="0.2">
      <c r="B48" t="s">
        <v>27</v>
      </c>
      <c r="C48" s="23" t="s">
        <v>136</v>
      </c>
      <c r="D48" s="22">
        <v>45315</v>
      </c>
      <c r="E48" s="11">
        <v>2</v>
      </c>
      <c r="F48" t="s">
        <v>138</v>
      </c>
      <c r="G48" s="12"/>
      <c r="I48" s="14"/>
      <c r="J48" s="13"/>
      <c r="K48" s="13"/>
      <c r="L48" s="11"/>
      <c r="N48" s="14"/>
      <c r="U48" s="14"/>
      <c r="AB48" s="14"/>
      <c r="AI48" s="14"/>
      <c r="AP48" s="14"/>
      <c r="BQ48" s="26"/>
    </row>
    <row r="49" spans="2:123" hidden="1" outlineLevel="1" x14ac:dyDescent="0.2">
      <c r="C49" s="23"/>
      <c r="E49" s="11"/>
      <c r="F49" t="s">
        <v>154</v>
      </c>
      <c r="G49" s="12"/>
      <c r="I49" s="11"/>
      <c r="J49" s="13"/>
      <c r="K49" s="13"/>
      <c r="L49" s="11"/>
      <c r="O49" s="12"/>
      <c r="P49" s="12"/>
      <c r="Q49" s="12"/>
      <c r="R49" s="12"/>
      <c r="V49" s="12"/>
      <c r="W49" s="12"/>
      <c r="X49" s="12"/>
      <c r="Y49" s="12"/>
      <c r="AC49" s="12"/>
      <c r="AD49" s="12"/>
      <c r="AE49" s="12"/>
      <c r="AF49" s="12">
        <v>0.8</v>
      </c>
      <c r="AJ49" s="12"/>
      <c r="AK49" s="12"/>
      <c r="AL49" s="12"/>
      <c r="AM49" s="12">
        <v>0.8</v>
      </c>
      <c r="AQ49" s="12"/>
      <c r="AR49" s="12"/>
      <c r="AS49" s="12"/>
      <c r="AT49" s="12">
        <v>0.8</v>
      </c>
      <c r="AV49" t="s">
        <v>135</v>
      </c>
      <c r="AX49" s="12"/>
      <c r="AY49" s="12">
        <v>1</v>
      </c>
      <c r="AZ49" s="12"/>
      <c r="BA49" s="12">
        <v>1</v>
      </c>
      <c r="BE49" s="12"/>
      <c r="BF49" s="12">
        <v>1</v>
      </c>
      <c r="BG49" s="12"/>
      <c r="BH49" s="12">
        <v>1</v>
      </c>
      <c r="BL49" s="12"/>
      <c r="BM49" s="12">
        <v>1</v>
      </c>
      <c r="BN49" s="12"/>
      <c r="BO49" s="12">
        <v>1</v>
      </c>
      <c r="BQ49" s="26"/>
      <c r="BS49" s="12"/>
      <c r="BT49" s="12">
        <v>1</v>
      </c>
      <c r="BU49" s="12"/>
      <c r="BV49" s="12">
        <v>1</v>
      </c>
      <c r="BZ49" s="12">
        <v>1</v>
      </c>
      <c r="CA49" s="12">
        <v>1</v>
      </c>
      <c r="CB49" s="12">
        <v>1</v>
      </c>
      <c r="CC49" s="12">
        <v>1</v>
      </c>
      <c r="CG49" s="12">
        <v>1</v>
      </c>
      <c r="CH49" s="12">
        <v>1</v>
      </c>
      <c r="CI49" s="12">
        <v>1</v>
      </c>
      <c r="CJ49" s="12">
        <v>1</v>
      </c>
      <c r="CN49" s="12">
        <v>1</v>
      </c>
      <c r="CO49" s="12">
        <v>1</v>
      </c>
      <c r="CP49" s="12">
        <v>1</v>
      </c>
      <c r="CQ49" s="12">
        <v>1</v>
      </c>
      <c r="CU49" s="12"/>
      <c r="CV49" s="12"/>
      <c r="CW49" s="12"/>
      <c r="CX49" s="12"/>
      <c r="DB49" s="12"/>
      <c r="DC49" s="12"/>
      <c r="DD49" s="12"/>
      <c r="DE49" s="12"/>
      <c r="DI49" s="12"/>
      <c r="DJ49" s="12"/>
      <c r="DK49" s="12"/>
      <c r="DL49" s="12"/>
      <c r="DP49" s="12"/>
      <c r="DQ49" s="12"/>
      <c r="DR49" s="12"/>
      <c r="DS49" s="12"/>
    </row>
    <row r="50" spans="2:123" hidden="1" outlineLevel="1" x14ac:dyDescent="0.2">
      <c r="C50" s="23"/>
      <c r="E50" s="11"/>
      <c r="F50" t="s">
        <v>155</v>
      </c>
      <c r="G50" s="12"/>
      <c r="I50" s="11"/>
      <c r="J50" s="13"/>
      <c r="K50" s="13"/>
      <c r="L50" s="11"/>
      <c r="O50" s="12"/>
      <c r="P50" s="12"/>
      <c r="Q50" s="12"/>
      <c r="R50" s="12"/>
      <c r="V50" s="12"/>
      <c r="W50" s="12"/>
      <c r="X50" s="12"/>
      <c r="Y50" s="12"/>
      <c r="AC50" s="12"/>
      <c r="AD50" s="12"/>
      <c r="AE50" s="29"/>
      <c r="AF50" s="12"/>
      <c r="AH50" t="s">
        <v>135</v>
      </c>
      <c r="AJ50" s="12"/>
      <c r="AK50" s="12"/>
      <c r="AL50" s="12"/>
      <c r="AM50" s="12">
        <v>0.5</v>
      </c>
      <c r="AO50" t="s">
        <v>135</v>
      </c>
      <c r="AQ50" s="12"/>
      <c r="AR50" s="12"/>
      <c r="AS50" s="12"/>
      <c r="AT50" s="12">
        <v>0.8</v>
      </c>
      <c r="AX50" s="12"/>
      <c r="AY50" s="12">
        <v>0.8</v>
      </c>
      <c r="AZ50" s="12"/>
      <c r="BA50" s="12">
        <v>0.8</v>
      </c>
      <c r="BC50" t="s">
        <v>135</v>
      </c>
      <c r="BE50" s="12"/>
      <c r="BF50" s="12">
        <v>1</v>
      </c>
      <c r="BG50" s="12"/>
      <c r="BH50" s="12">
        <v>1</v>
      </c>
      <c r="BL50" s="12"/>
      <c r="BM50" s="12">
        <v>1</v>
      </c>
      <c r="BN50" s="12"/>
      <c r="BO50" s="12">
        <v>1</v>
      </c>
      <c r="BQ50" s="26"/>
      <c r="BS50" s="12"/>
      <c r="BT50" s="12">
        <v>1</v>
      </c>
      <c r="BU50" s="12"/>
      <c r="BV50" s="12">
        <v>1</v>
      </c>
      <c r="BZ50" s="12">
        <v>1</v>
      </c>
      <c r="CA50" s="12">
        <v>1</v>
      </c>
      <c r="CB50" s="12">
        <v>1</v>
      </c>
      <c r="CC50" s="12">
        <v>1</v>
      </c>
      <c r="CG50" s="12">
        <v>1</v>
      </c>
      <c r="CH50" s="12">
        <v>1</v>
      </c>
      <c r="CI50" s="12">
        <v>1</v>
      </c>
      <c r="CJ50" s="12">
        <v>1</v>
      </c>
      <c r="CN50" s="12">
        <v>1</v>
      </c>
      <c r="CO50" s="12">
        <v>1</v>
      </c>
      <c r="CP50" s="12">
        <v>1</v>
      </c>
      <c r="CQ50" s="12">
        <v>1</v>
      </c>
      <c r="CU50" s="12"/>
      <c r="CV50" s="12"/>
      <c r="CW50" s="12"/>
      <c r="CX50" s="12"/>
      <c r="DB50" s="12"/>
      <c r="DC50" s="12"/>
      <c r="DD50" s="12"/>
      <c r="DE50" s="12"/>
      <c r="DI50" s="12"/>
      <c r="DJ50" s="12"/>
      <c r="DK50" s="12"/>
      <c r="DL50" s="12"/>
      <c r="DP50" s="12"/>
      <c r="DQ50" s="12"/>
      <c r="DR50" s="12"/>
      <c r="DS50" s="12"/>
    </row>
    <row r="51" spans="2:123" hidden="1" outlineLevel="1" x14ac:dyDescent="0.2">
      <c r="C51" s="23"/>
      <c r="E51" s="11"/>
      <c r="F51" t="s">
        <v>156</v>
      </c>
      <c r="G51" s="12"/>
      <c r="I51" s="11"/>
      <c r="J51" s="13"/>
      <c r="K51" s="13"/>
      <c r="L51" s="11"/>
      <c r="O51" s="12"/>
      <c r="P51" s="12"/>
      <c r="Q51" s="12"/>
      <c r="R51" s="12"/>
      <c r="V51" s="12"/>
      <c r="W51" s="12"/>
      <c r="X51" s="12"/>
      <c r="Y51" s="12"/>
      <c r="AC51" s="12"/>
      <c r="AD51" s="12"/>
      <c r="AE51" s="12"/>
      <c r="AF51" s="12"/>
      <c r="AJ51" s="12"/>
      <c r="AK51" s="12"/>
      <c r="AL51" s="12"/>
      <c r="AM51" s="12"/>
      <c r="AQ51" s="12"/>
      <c r="AR51" s="12"/>
      <c r="AS51" s="27"/>
      <c r="AT51" s="12"/>
      <c r="AV51" t="s">
        <v>135</v>
      </c>
      <c r="AX51" s="12"/>
      <c r="AY51" s="12">
        <v>0.5</v>
      </c>
      <c r="AZ51" s="12"/>
      <c r="BA51" s="12">
        <v>0.5</v>
      </c>
      <c r="BE51" s="12"/>
      <c r="BF51" s="12">
        <v>0.5</v>
      </c>
      <c r="BG51" s="12"/>
      <c r="BH51" s="12">
        <v>0.5</v>
      </c>
      <c r="BJ51" t="s">
        <v>135</v>
      </c>
      <c r="BL51" s="12"/>
      <c r="BM51" s="12">
        <v>0.8</v>
      </c>
      <c r="BN51" s="12"/>
      <c r="BO51" s="12">
        <v>0.8</v>
      </c>
      <c r="BQ51" s="26" t="s">
        <v>135</v>
      </c>
      <c r="BS51" s="12"/>
      <c r="BT51" s="12">
        <v>1</v>
      </c>
      <c r="BU51" s="12"/>
      <c r="BV51" s="12">
        <v>1</v>
      </c>
      <c r="BZ51" s="12">
        <v>1</v>
      </c>
      <c r="CA51" s="12">
        <v>1</v>
      </c>
      <c r="CB51" s="12">
        <v>1</v>
      </c>
      <c r="CC51" s="12">
        <v>1</v>
      </c>
      <c r="CG51" s="12">
        <v>1</v>
      </c>
      <c r="CH51" s="12">
        <v>1</v>
      </c>
      <c r="CI51" s="12">
        <v>1</v>
      </c>
      <c r="CJ51" s="12">
        <v>1</v>
      </c>
      <c r="CN51" s="12">
        <v>1</v>
      </c>
      <c r="CO51" s="12">
        <v>1</v>
      </c>
      <c r="CP51" s="12">
        <v>1</v>
      </c>
      <c r="CQ51" s="12">
        <v>1</v>
      </c>
      <c r="CU51" s="12"/>
      <c r="CV51" s="12"/>
      <c r="CW51" s="12"/>
      <c r="CX51" s="12"/>
      <c r="DB51" s="12"/>
      <c r="DC51" s="12"/>
      <c r="DD51" s="12"/>
      <c r="DE51" s="12"/>
      <c r="DI51" s="12"/>
      <c r="DJ51" s="12"/>
      <c r="DK51" s="12"/>
      <c r="DL51" s="12"/>
      <c r="DP51" s="12"/>
      <c r="DQ51" s="12"/>
      <c r="DR51" s="12"/>
      <c r="DS51" s="12"/>
    </row>
    <row r="52" spans="2:123" hidden="1" outlineLevel="1" x14ac:dyDescent="0.2">
      <c r="B52" t="s">
        <v>160</v>
      </c>
      <c r="C52" s="23"/>
      <c r="E52" s="11"/>
      <c r="G52" s="12"/>
      <c r="I52" s="11"/>
      <c r="J52" s="13"/>
      <c r="K52" s="13"/>
      <c r="L52" s="11"/>
      <c r="O52" s="12"/>
      <c r="P52" s="12"/>
      <c r="Q52" s="12"/>
      <c r="R52" s="12"/>
      <c r="V52" s="12"/>
      <c r="W52" s="12"/>
      <c r="X52" s="12"/>
      <c r="Y52" s="12"/>
      <c r="AC52" s="12"/>
      <c r="AD52" s="12"/>
      <c r="AE52" s="12"/>
      <c r="AF52" s="12"/>
      <c r="AJ52" s="12"/>
      <c r="AK52" s="12"/>
      <c r="AL52" s="12"/>
      <c r="AM52" s="12"/>
      <c r="AQ52" s="12"/>
      <c r="AR52" s="12"/>
      <c r="AS52" s="12"/>
      <c r="AT52" s="12"/>
      <c r="AX52" s="12"/>
      <c r="AY52" s="12"/>
      <c r="AZ52" s="12"/>
      <c r="BA52" s="12"/>
      <c r="BE52" s="12"/>
      <c r="BF52" s="12"/>
      <c r="BG52" s="12"/>
      <c r="BH52" s="12"/>
      <c r="BL52" s="12"/>
      <c r="BM52" s="12"/>
      <c r="BN52" s="12"/>
      <c r="BO52" s="12"/>
      <c r="BQ52" s="26"/>
      <c r="BS52" s="12"/>
      <c r="BT52" s="12"/>
      <c r="BU52" s="12"/>
      <c r="BV52" s="12"/>
      <c r="BZ52" s="12">
        <v>1</v>
      </c>
      <c r="CA52" s="12">
        <v>1</v>
      </c>
      <c r="CB52" s="12">
        <v>1</v>
      </c>
      <c r="CC52" s="12">
        <v>1</v>
      </c>
      <c r="CG52" s="12">
        <v>1</v>
      </c>
      <c r="CH52" s="12">
        <v>1</v>
      </c>
      <c r="CI52" s="12">
        <v>1</v>
      </c>
      <c r="CJ52" s="12">
        <v>1</v>
      </c>
      <c r="CN52" s="12">
        <v>1</v>
      </c>
      <c r="CO52" s="12">
        <v>1</v>
      </c>
      <c r="CP52" s="12">
        <v>1</v>
      </c>
      <c r="CQ52" s="12">
        <v>1</v>
      </c>
      <c r="CU52" s="12"/>
      <c r="CV52" s="12"/>
      <c r="CW52" s="12"/>
      <c r="CX52" s="12"/>
      <c r="DB52" s="12"/>
      <c r="DC52" s="12"/>
      <c r="DD52" s="12"/>
      <c r="DE52" s="12"/>
      <c r="DI52" s="12"/>
      <c r="DJ52" s="12"/>
      <c r="DK52" s="12"/>
      <c r="DL52" s="12"/>
      <c r="DP52" s="12"/>
      <c r="DQ52" s="12"/>
      <c r="DR52" s="12"/>
      <c r="DS52" s="12"/>
    </row>
    <row r="53" spans="2:123" hidden="1" outlineLevel="1" x14ac:dyDescent="0.2">
      <c r="C53" s="23"/>
      <c r="E53" s="11"/>
      <c r="G53" s="12"/>
      <c r="I53" s="11"/>
      <c r="J53" s="13"/>
      <c r="K53" s="13"/>
      <c r="L53" s="11"/>
      <c r="O53" s="12"/>
      <c r="P53" s="12"/>
      <c r="Q53" s="12"/>
      <c r="R53" s="12"/>
      <c r="V53" s="12"/>
      <c r="W53" s="12"/>
      <c r="X53" s="12"/>
      <c r="Y53" s="12"/>
      <c r="AC53" s="12"/>
      <c r="AD53" s="12"/>
      <c r="AE53" s="12"/>
      <c r="AF53" s="12"/>
      <c r="AJ53" s="12"/>
      <c r="AK53" s="12"/>
      <c r="AL53" s="12"/>
      <c r="AM53" s="12"/>
      <c r="AQ53" s="12"/>
      <c r="AR53" s="12"/>
      <c r="AS53" s="12"/>
      <c r="AT53" s="12"/>
      <c r="AX53" s="12"/>
      <c r="AY53" s="12"/>
      <c r="AZ53" s="12"/>
      <c r="BA53" s="12"/>
      <c r="BE53" s="12"/>
      <c r="BF53" s="12"/>
      <c r="BG53" s="12"/>
      <c r="BH53" s="12"/>
      <c r="BL53" s="12"/>
      <c r="BM53" s="12"/>
      <c r="BN53" s="12"/>
      <c r="BO53" s="12"/>
      <c r="BQ53" s="26"/>
      <c r="BS53" s="12"/>
      <c r="BT53" s="12"/>
      <c r="BU53" s="12"/>
      <c r="BV53" s="12"/>
      <c r="BZ53" s="12"/>
      <c r="CA53" s="12"/>
      <c r="CB53" s="12"/>
      <c r="CC53" s="12"/>
      <c r="CG53" s="12"/>
      <c r="CH53" s="12"/>
      <c r="CI53" s="12"/>
      <c r="CJ53" s="12"/>
      <c r="CN53" s="12"/>
      <c r="CO53" s="12"/>
      <c r="CP53" s="12"/>
      <c r="CQ53" s="12"/>
      <c r="CU53" s="12"/>
      <c r="CV53" s="12"/>
      <c r="CW53" s="12"/>
      <c r="CX53" s="12"/>
      <c r="DB53" s="12"/>
      <c r="DC53" s="12"/>
      <c r="DD53" s="12"/>
      <c r="DE53" s="12"/>
      <c r="DI53" s="12"/>
      <c r="DJ53" s="12"/>
      <c r="DK53" s="12"/>
      <c r="DL53" s="12"/>
      <c r="DP53" s="12"/>
      <c r="DQ53" s="12"/>
      <c r="DR53" s="12"/>
      <c r="DS53" s="12"/>
    </row>
    <row r="54" spans="2:123" hidden="1" outlineLevel="1" x14ac:dyDescent="0.2">
      <c r="C54" s="23"/>
      <c r="E54" s="11"/>
      <c r="G54" s="12"/>
      <c r="I54" s="11"/>
      <c r="J54" s="13"/>
      <c r="K54" s="13"/>
      <c r="L54" s="11"/>
      <c r="O54" s="12"/>
      <c r="P54" s="12"/>
      <c r="Q54" s="12"/>
      <c r="R54" s="12"/>
      <c r="V54" s="12"/>
      <c r="W54" s="12"/>
      <c r="X54" s="12"/>
      <c r="Y54" s="12"/>
      <c r="AC54" s="12"/>
      <c r="AD54" s="12"/>
      <c r="AE54" s="12"/>
      <c r="AF54" s="12"/>
      <c r="AJ54" s="12"/>
      <c r="AK54" s="12"/>
      <c r="AL54" s="12"/>
      <c r="AM54" s="12"/>
      <c r="AQ54" s="12"/>
      <c r="AR54" s="12"/>
      <c r="AS54" s="12"/>
      <c r="AT54" s="12"/>
      <c r="AX54" s="12"/>
      <c r="AY54" s="12"/>
      <c r="AZ54" s="12"/>
      <c r="BA54" s="12"/>
      <c r="BE54" s="12"/>
      <c r="BF54" s="12"/>
      <c r="BG54" s="12"/>
      <c r="BH54" s="12"/>
      <c r="BL54" s="12"/>
      <c r="BM54" s="12"/>
      <c r="BN54" s="12"/>
      <c r="BO54" s="12"/>
      <c r="BQ54" s="26"/>
      <c r="BS54" s="12"/>
      <c r="BT54" s="12"/>
      <c r="BU54" s="12"/>
      <c r="BV54" s="12"/>
      <c r="BZ54" s="12"/>
      <c r="CA54" s="12"/>
      <c r="CB54" s="12"/>
      <c r="CC54" s="12"/>
      <c r="CG54" s="12"/>
      <c r="CH54" s="12"/>
      <c r="CI54" s="12"/>
      <c r="CJ54" s="12"/>
      <c r="CN54" s="12"/>
      <c r="CO54" s="12"/>
      <c r="CP54" s="12"/>
      <c r="CQ54" s="12"/>
      <c r="CU54" s="12"/>
      <c r="CV54" s="12"/>
      <c r="CW54" s="12"/>
      <c r="CX54" s="12"/>
      <c r="DB54" s="12"/>
      <c r="DC54" s="12"/>
      <c r="DD54" s="12"/>
      <c r="DE54" s="12"/>
      <c r="DI54" s="12"/>
      <c r="DJ54" s="12"/>
      <c r="DK54" s="12"/>
      <c r="DL54" s="12"/>
      <c r="DP54" s="12"/>
      <c r="DQ54" s="12"/>
      <c r="DR54" s="12"/>
      <c r="DS54" s="12"/>
    </row>
    <row r="55" spans="2:123" hidden="1" outlineLevel="1" x14ac:dyDescent="0.2">
      <c r="C55" s="23"/>
      <c r="E55" s="11"/>
      <c r="G55" s="12"/>
      <c r="I55" s="11"/>
      <c r="J55" s="13"/>
      <c r="K55" s="13"/>
      <c r="L55" s="11"/>
      <c r="O55" s="12"/>
      <c r="P55" s="12"/>
      <c r="Q55" s="12"/>
      <c r="R55" s="12"/>
      <c r="V55" s="12"/>
      <c r="W55" s="12"/>
      <c r="X55" s="12"/>
      <c r="Y55" s="12"/>
      <c r="AC55" s="12"/>
      <c r="AD55" s="12"/>
      <c r="AE55" s="12"/>
      <c r="AF55" s="12"/>
      <c r="AJ55" s="12"/>
      <c r="AK55" s="12"/>
      <c r="AL55" s="12"/>
      <c r="AM55" s="12"/>
      <c r="AQ55" s="12"/>
      <c r="AR55" s="12"/>
      <c r="AS55" s="12"/>
      <c r="AT55" s="12"/>
      <c r="AX55" s="12"/>
      <c r="AY55" s="12"/>
      <c r="AZ55" s="12"/>
      <c r="BA55" s="12"/>
      <c r="BE55" s="12"/>
      <c r="BF55" s="12"/>
      <c r="BG55" s="12"/>
      <c r="BH55" s="12"/>
      <c r="BL55" s="12"/>
      <c r="BM55" s="12"/>
      <c r="BN55" s="12"/>
      <c r="BO55" s="12"/>
      <c r="BQ55" s="26"/>
      <c r="BS55" s="12"/>
      <c r="BT55" s="12"/>
      <c r="BU55" s="12"/>
      <c r="BV55" s="12"/>
      <c r="BZ55" s="12"/>
      <c r="CA55" s="12"/>
      <c r="CB55" s="12"/>
      <c r="CC55" s="12"/>
      <c r="CG55" s="12"/>
      <c r="CH55" s="12"/>
      <c r="CI55" s="12"/>
      <c r="CJ55" s="12"/>
      <c r="CN55" s="12"/>
      <c r="CO55" s="12"/>
      <c r="CP55" s="12"/>
      <c r="CQ55" s="12"/>
      <c r="CU55" s="12"/>
      <c r="CV55" s="12"/>
      <c r="CW55" s="12"/>
      <c r="CX55" s="12"/>
      <c r="DB55" s="12"/>
      <c r="DC55" s="12"/>
      <c r="DD55" s="12"/>
      <c r="DE55" s="12"/>
      <c r="DI55" s="12"/>
      <c r="DJ55" s="12"/>
      <c r="DK55" s="12"/>
      <c r="DL55" s="12"/>
      <c r="DP55" s="12"/>
      <c r="DQ55" s="12"/>
      <c r="DR55" s="12"/>
      <c r="DS55" s="12"/>
    </row>
    <row r="56" spans="2:123" hidden="1" outlineLevel="1" x14ac:dyDescent="0.2">
      <c r="C56" s="23"/>
      <c r="E56" s="11"/>
      <c r="G56" s="12"/>
      <c r="I56" s="11"/>
      <c r="J56" s="13"/>
      <c r="K56" s="13"/>
      <c r="L56" s="11"/>
      <c r="O56" s="12"/>
      <c r="P56" s="12"/>
      <c r="Q56" s="12"/>
      <c r="R56" s="12"/>
      <c r="V56" s="12"/>
      <c r="W56" s="12"/>
      <c r="X56" s="12"/>
      <c r="Y56" s="12"/>
      <c r="AC56" s="12"/>
      <c r="AD56" s="12"/>
      <c r="AE56" s="12"/>
      <c r="AF56" s="12"/>
      <c r="AJ56" s="12"/>
      <c r="AK56" s="12"/>
      <c r="AL56" s="12"/>
      <c r="AM56" s="12"/>
      <c r="AQ56" s="12"/>
      <c r="AR56" s="12"/>
      <c r="AS56" s="12"/>
      <c r="AT56" s="12"/>
      <c r="AX56" s="12"/>
      <c r="AY56" s="12"/>
      <c r="AZ56" s="12"/>
      <c r="BA56" s="12"/>
      <c r="BE56" s="12"/>
      <c r="BF56" s="12"/>
      <c r="BG56" s="12"/>
      <c r="BH56" s="12"/>
      <c r="BL56" s="12"/>
      <c r="BM56" s="12"/>
      <c r="BN56" s="12"/>
      <c r="BO56" s="12"/>
      <c r="BQ56" s="26"/>
      <c r="BS56" s="12"/>
      <c r="BT56" s="12"/>
      <c r="BU56" s="12"/>
      <c r="BV56" s="12"/>
      <c r="BZ56" s="12"/>
      <c r="CA56" s="12"/>
      <c r="CB56" s="12"/>
      <c r="CC56" s="12"/>
      <c r="CG56" s="12"/>
      <c r="CH56" s="12"/>
      <c r="CI56" s="12"/>
      <c r="CJ56" s="12"/>
      <c r="CN56" s="12"/>
      <c r="CO56" s="12"/>
      <c r="CP56" s="12"/>
      <c r="CQ56" s="12"/>
      <c r="CU56" s="12"/>
      <c r="CV56" s="12"/>
      <c r="CW56" s="12"/>
      <c r="CX56" s="12"/>
      <c r="DB56" s="12"/>
      <c r="DC56" s="12"/>
      <c r="DD56" s="12"/>
      <c r="DE56" s="12"/>
      <c r="DI56" s="12"/>
      <c r="DJ56" s="12"/>
      <c r="DK56" s="12"/>
      <c r="DL56" s="12"/>
      <c r="DP56" s="12"/>
      <c r="DQ56" s="12"/>
      <c r="DR56" s="12"/>
      <c r="DS56" s="12"/>
    </row>
    <row r="57" spans="2:123" hidden="1" outlineLevel="1" x14ac:dyDescent="0.2">
      <c r="C57" s="23"/>
      <c r="E57" s="11"/>
      <c r="G57" s="12"/>
      <c r="I57" s="11"/>
      <c r="J57" s="13"/>
      <c r="K57" s="13"/>
      <c r="L57" s="11"/>
      <c r="O57" s="12"/>
      <c r="P57" s="12"/>
      <c r="Q57" s="12"/>
      <c r="R57" s="12"/>
      <c r="V57" s="12"/>
      <c r="W57" s="12"/>
      <c r="X57" s="12"/>
      <c r="Y57" s="12"/>
      <c r="AC57" s="12"/>
      <c r="AD57" s="12"/>
      <c r="AE57" s="12"/>
      <c r="AF57" s="12"/>
      <c r="AJ57" s="12"/>
      <c r="AK57" s="12"/>
      <c r="AL57" s="12"/>
      <c r="AM57" s="12"/>
      <c r="AQ57" s="12"/>
      <c r="AR57" s="12"/>
      <c r="AS57" s="12"/>
      <c r="AT57" s="12"/>
      <c r="AX57" s="12"/>
      <c r="AY57" s="12"/>
      <c r="AZ57" s="12"/>
      <c r="BA57" s="12"/>
      <c r="BE57" s="12"/>
      <c r="BF57" s="12"/>
      <c r="BG57" s="12"/>
      <c r="BH57" s="12"/>
      <c r="BL57" s="12"/>
      <c r="BM57" s="12"/>
      <c r="BN57" s="12"/>
      <c r="BO57" s="12"/>
      <c r="BQ57" s="26"/>
      <c r="BS57" s="12"/>
      <c r="BT57" s="12"/>
      <c r="BU57" s="12"/>
      <c r="BV57" s="12"/>
      <c r="BZ57" s="12"/>
      <c r="CA57" s="12"/>
      <c r="CB57" s="12"/>
      <c r="CC57" s="12"/>
      <c r="CG57" s="12"/>
      <c r="CH57" s="12"/>
      <c r="CI57" s="12"/>
      <c r="CJ57" s="12"/>
      <c r="CN57" s="12"/>
      <c r="CO57" s="12"/>
      <c r="CP57" s="12"/>
      <c r="CQ57" s="12"/>
      <c r="CU57" s="12"/>
      <c r="CV57" s="12"/>
      <c r="CW57" s="12"/>
      <c r="CX57" s="12"/>
      <c r="DB57" s="12"/>
      <c r="DC57" s="12"/>
      <c r="DD57" s="12"/>
      <c r="DE57" s="12"/>
      <c r="DI57" s="12"/>
      <c r="DJ57" s="12"/>
      <c r="DK57" s="12"/>
      <c r="DL57" s="12"/>
      <c r="DP57" s="12"/>
      <c r="DQ57" s="12"/>
      <c r="DR57" s="12"/>
      <c r="DS57" s="12"/>
    </row>
    <row r="58" spans="2:123" hidden="1" outlineLevel="1" x14ac:dyDescent="0.2">
      <c r="C58" s="23"/>
      <c r="E58" s="11"/>
      <c r="G58" s="12"/>
      <c r="I58" s="11"/>
      <c r="J58" s="13"/>
      <c r="K58" s="13"/>
      <c r="L58" s="11"/>
      <c r="O58" s="12"/>
      <c r="P58" s="12"/>
      <c r="Q58" s="12"/>
      <c r="R58" s="12"/>
      <c r="V58" s="12"/>
      <c r="W58" s="12"/>
      <c r="X58" s="12"/>
      <c r="Y58" s="12"/>
      <c r="AC58" s="12"/>
      <c r="AD58" s="12"/>
      <c r="AE58" s="12"/>
      <c r="AF58" s="12"/>
      <c r="AJ58" s="12"/>
      <c r="AK58" s="12"/>
      <c r="AL58" s="12"/>
      <c r="AM58" s="12"/>
      <c r="AQ58" s="12"/>
      <c r="AR58" s="12"/>
      <c r="AS58" s="12"/>
      <c r="AT58" s="12"/>
      <c r="AX58" s="12"/>
      <c r="AY58" s="12"/>
      <c r="AZ58" s="12"/>
      <c r="BA58" s="12"/>
      <c r="BE58" s="12"/>
      <c r="BF58" s="12"/>
      <c r="BG58" s="12"/>
      <c r="BH58" s="12"/>
      <c r="BL58" s="12"/>
      <c r="BM58" s="12"/>
      <c r="BN58" s="12"/>
      <c r="BO58" s="12"/>
      <c r="BS58" s="12"/>
      <c r="BT58" s="12"/>
      <c r="BU58" s="12"/>
      <c r="BV58" s="12"/>
      <c r="BZ58" s="12"/>
      <c r="CA58" s="12"/>
      <c r="CB58" s="12"/>
      <c r="CC58" s="12"/>
      <c r="CG58" s="12"/>
      <c r="CH58" s="12"/>
      <c r="CI58" s="12"/>
      <c r="CJ58" s="12"/>
      <c r="CN58" s="12"/>
      <c r="CO58" s="12"/>
      <c r="CP58" s="12"/>
      <c r="CQ58" s="12"/>
      <c r="CU58" s="12"/>
      <c r="CV58" s="12"/>
      <c r="CW58" s="12"/>
      <c r="CX58" s="12"/>
      <c r="DB58" s="12"/>
      <c r="DC58" s="12"/>
      <c r="DD58" s="12"/>
      <c r="DE58" s="12"/>
      <c r="DI58" s="12"/>
      <c r="DJ58" s="12"/>
      <c r="DK58" s="12"/>
      <c r="DL58" s="12"/>
      <c r="DP58" s="12"/>
      <c r="DQ58" s="12"/>
      <c r="DR58" s="12"/>
      <c r="DS58" s="12"/>
    </row>
    <row r="59" spans="2:123" collapsed="1" x14ac:dyDescent="0.2">
      <c r="C59" s="23"/>
    </row>
    <row r="60" spans="2:123" x14ac:dyDescent="0.2">
      <c r="C60" s="23"/>
      <c r="D60" s="22"/>
      <c r="E60" s="11"/>
      <c r="G60" s="12"/>
      <c r="I60" s="14"/>
      <c r="J60" s="13"/>
      <c r="K60" s="13"/>
      <c r="L60" s="11"/>
      <c r="N60" s="14"/>
      <c r="U60" s="14"/>
      <c r="AB60" s="14"/>
      <c r="AI60" s="14"/>
      <c r="AP60" s="14"/>
    </row>
    <row r="61" spans="2:123" hidden="1" outlineLevel="1" x14ac:dyDescent="0.2">
      <c r="C61" s="23"/>
      <c r="E61" s="11"/>
      <c r="G61" s="12"/>
      <c r="I61" s="11"/>
      <c r="J61" s="13"/>
      <c r="K61" s="13"/>
      <c r="L61" s="11"/>
      <c r="O61" s="12"/>
      <c r="P61" s="12"/>
      <c r="Q61" s="12"/>
      <c r="R61" s="12"/>
      <c r="V61" s="12"/>
      <c r="W61" s="12"/>
      <c r="X61" s="12"/>
      <c r="Y61" s="12"/>
      <c r="AC61" s="12"/>
      <c r="AD61" s="12"/>
      <c r="AE61" s="12"/>
      <c r="AF61" s="12"/>
      <c r="AJ61" s="12"/>
      <c r="AK61" s="12"/>
      <c r="AL61" s="12"/>
      <c r="AM61" s="12"/>
      <c r="AQ61" s="12"/>
      <c r="AR61" s="12"/>
      <c r="AS61" s="12"/>
      <c r="AT61" s="12"/>
      <c r="AX61" s="12"/>
      <c r="AY61" s="12"/>
      <c r="AZ61" s="12"/>
      <c r="BA61" s="12"/>
      <c r="BE61" s="12"/>
      <c r="BF61" s="12"/>
      <c r="BG61" s="12"/>
      <c r="BH61" s="12"/>
      <c r="BL61" s="12"/>
      <c r="BM61" s="12"/>
      <c r="BN61" s="12"/>
      <c r="BO61" s="12"/>
      <c r="BS61" s="12"/>
      <c r="BT61" s="12"/>
      <c r="BU61" s="12"/>
      <c r="BV61" s="12"/>
      <c r="BZ61" s="12"/>
      <c r="CA61" s="12"/>
      <c r="CB61" s="12"/>
      <c r="CC61" s="12"/>
      <c r="CG61" s="12"/>
      <c r="CH61" s="12"/>
      <c r="CI61" s="12"/>
      <c r="CJ61" s="12"/>
      <c r="CN61" s="12"/>
      <c r="CO61" s="12"/>
      <c r="CP61" s="12"/>
      <c r="CQ61" s="12"/>
      <c r="CU61" s="12"/>
      <c r="CV61" s="12"/>
      <c r="CW61" s="12"/>
      <c r="CX61" s="12"/>
      <c r="DB61" s="12"/>
      <c r="DC61" s="12"/>
      <c r="DD61" s="12"/>
      <c r="DE61" s="12"/>
      <c r="DI61" s="12"/>
      <c r="DJ61" s="12"/>
      <c r="DK61" s="12"/>
      <c r="DL61" s="12"/>
      <c r="DP61" s="12"/>
      <c r="DQ61" s="12"/>
      <c r="DR61" s="12"/>
      <c r="DS61" s="12"/>
    </row>
    <row r="62" spans="2:123" hidden="1" outlineLevel="1" x14ac:dyDescent="0.2">
      <c r="C62" s="23"/>
      <c r="E62" s="11"/>
      <c r="G62" s="12"/>
      <c r="I62" s="11"/>
      <c r="J62" s="13"/>
      <c r="K62" s="13"/>
      <c r="L62" s="11"/>
      <c r="O62" s="12"/>
      <c r="P62" s="12"/>
      <c r="Q62" s="12"/>
      <c r="R62" s="12"/>
      <c r="V62" s="12"/>
      <c r="W62" s="12"/>
      <c r="X62" s="12"/>
      <c r="Y62" s="12"/>
      <c r="AC62" s="12"/>
      <c r="AD62" s="12"/>
      <c r="AE62" s="12"/>
      <c r="AF62" s="12"/>
      <c r="AJ62" s="12"/>
      <c r="AK62" s="12"/>
      <c r="AL62" s="12"/>
      <c r="AM62" s="12"/>
      <c r="AQ62" s="12"/>
      <c r="AR62" s="12"/>
      <c r="AS62" s="12"/>
      <c r="AT62" s="12"/>
      <c r="AX62" s="12"/>
      <c r="AY62" s="12"/>
      <c r="AZ62" s="12"/>
      <c r="BA62" s="12"/>
      <c r="BE62" s="12"/>
      <c r="BF62" s="12"/>
      <c r="BG62" s="12"/>
      <c r="BH62" s="12"/>
      <c r="BL62" s="12"/>
      <c r="BM62" s="12"/>
      <c r="BN62" s="12"/>
      <c r="BO62" s="12"/>
      <c r="BS62" s="12"/>
      <c r="BT62" s="12"/>
      <c r="BU62" s="12"/>
      <c r="BV62" s="12"/>
      <c r="BZ62" s="12"/>
      <c r="CA62" s="12"/>
      <c r="CB62" s="12"/>
      <c r="CC62" s="12"/>
      <c r="CG62" s="12"/>
      <c r="CH62" s="12"/>
      <c r="CI62" s="12"/>
      <c r="CJ62" s="12"/>
      <c r="CN62" s="12"/>
      <c r="CO62" s="12"/>
      <c r="CP62" s="12"/>
      <c r="CQ62" s="12"/>
      <c r="CU62" s="12"/>
      <c r="CV62" s="12"/>
      <c r="CW62" s="12"/>
      <c r="CX62" s="12"/>
      <c r="DB62" s="12"/>
      <c r="DC62" s="12"/>
      <c r="DD62" s="12"/>
      <c r="DE62" s="12"/>
      <c r="DI62" s="12"/>
      <c r="DJ62" s="12"/>
      <c r="DK62" s="12"/>
      <c r="DL62" s="12"/>
      <c r="DP62" s="12"/>
      <c r="DQ62" s="12"/>
      <c r="DR62" s="12"/>
      <c r="DS62" s="12"/>
    </row>
    <row r="63" spans="2:123" hidden="1" outlineLevel="1" x14ac:dyDescent="0.2">
      <c r="C63" s="23"/>
      <c r="E63" s="11"/>
      <c r="G63" s="12"/>
      <c r="I63" s="11"/>
      <c r="J63" s="13"/>
      <c r="K63" s="13"/>
      <c r="L63" s="11"/>
      <c r="O63" s="12"/>
      <c r="P63" s="12"/>
      <c r="Q63" s="12"/>
      <c r="R63" s="12"/>
      <c r="V63" s="12"/>
      <c r="W63" s="12"/>
      <c r="X63" s="12"/>
      <c r="Y63" s="12"/>
      <c r="AC63" s="12"/>
      <c r="AD63" s="12"/>
      <c r="AE63" s="12"/>
      <c r="AF63" s="12"/>
      <c r="AJ63" s="12"/>
      <c r="AK63" s="12"/>
      <c r="AL63" s="12"/>
      <c r="AM63" s="12"/>
      <c r="AQ63" s="12"/>
      <c r="AR63" s="12"/>
      <c r="AS63" s="12"/>
      <c r="AT63" s="12"/>
      <c r="AX63" s="12"/>
      <c r="AY63" s="12"/>
      <c r="AZ63" s="12"/>
      <c r="BA63" s="12"/>
      <c r="BE63" s="12"/>
      <c r="BF63" s="12"/>
      <c r="BG63" s="12"/>
      <c r="BH63" s="12"/>
      <c r="BL63" s="12"/>
      <c r="BM63" s="12"/>
      <c r="BN63" s="12"/>
      <c r="BO63" s="12"/>
      <c r="BS63" s="12"/>
      <c r="BT63" s="12"/>
      <c r="BU63" s="12"/>
      <c r="BV63" s="12"/>
      <c r="BZ63" s="12"/>
      <c r="CA63" s="12"/>
      <c r="CB63" s="12"/>
      <c r="CC63" s="12"/>
      <c r="CG63" s="12"/>
      <c r="CH63" s="12"/>
      <c r="CI63" s="12"/>
      <c r="CJ63" s="12"/>
      <c r="CN63" s="12"/>
      <c r="CO63" s="12"/>
      <c r="CP63" s="12"/>
      <c r="CQ63" s="12"/>
      <c r="CU63" s="12"/>
      <c r="CV63" s="12"/>
      <c r="CW63" s="12"/>
      <c r="CX63" s="12"/>
      <c r="DB63" s="12"/>
      <c r="DC63" s="12"/>
      <c r="DD63" s="12"/>
      <c r="DE63" s="12"/>
      <c r="DI63" s="12"/>
      <c r="DJ63" s="12"/>
      <c r="DK63" s="12"/>
      <c r="DL63" s="12"/>
      <c r="DP63" s="12"/>
      <c r="DQ63" s="12"/>
      <c r="DR63" s="12"/>
      <c r="DS63" s="12"/>
    </row>
    <row r="64" spans="2:123" hidden="1" outlineLevel="1" x14ac:dyDescent="0.2">
      <c r="C64" s="23"/>
      <c r="E64" s="11"/>
      <c r="G64" s="12"/>
      <c r="I64" s="11"/>
      <c r="J64" s="13"/>
      <c r="K64" s="13"/>
      <c r="L64" s="11"/>
      <c r="O64" s="12"/>
      <c r="P64" s="12"/>
      <c r="Q64" s="12"/>
      <c r="R64" s="12"/>
      <c r="V64" s="12"/>
      <c r="W64" s="12"/>
      <c r="X64" s="12"/>
      <c r="Y64" s="12"/>
      <c r="AC64" s="12"/>
      <c r="AD64" s="12"/>
      <c r="AE64" s="12"/>
      <c r="AF64" s="12"/>
      <c r="AJ64" s="12"/>
      <c r="AK64" s="12"/>
      <c r="AL64" s="12"/>
      <c r="AM64" s="12"/>
      <c r="AQ64" s="12"/>
      <c r="AR64" s="12"/>
      <c r="AS64" s="12"/>
      <c r="AT64" s="12"/>
      <c r="AX64" s="12"/>
      <c r="AY64" s="12"/>
      <c r="AZ64" s="12"/>
      <c r="BA64" s="12"/>
      <c r="BE64" s="12"/>
      <c r="BF64" s="12"/>
      <c r="BG64" s="12"/>
      <c r="BH64" s="12"/>
      <c r="BL64" s="12"/>
      <c r="BM64" s="12"/>
      <c r="BN64" s="12"/>
      <c r="BO64" s="12"/>
      <c r="BQ64" s="25"/>
      <c r="BS64" s="12"/>
      <c r="BT64" s="12"/>
      <c r="BU64" s="12"/>
      <c r="BV64" s="12"/>
      <c r="BZ64" s="12"/>
      <c r="CA64" s="12"/>
      <c r="CB64" s="12"/>
      <c r="CC64" s="12"/>
      <c r="CG64" s="12"/>
      <c r="CH64" s="12"/>
      <c r="CI64" s="12"/>
      <c r="CJ64" s="12"/>
      <c r="CN64" s="12"/>
      <c r="CO64" s="12"/>
      <c r="CP64" s="12"/>
      <c r="CQ64" s="12"/>
      <c r="CU64" s="12"/>
      <c r="CV64" s="12"/>
      <c r="CW64" s="12"/>
      <c r="CX64" s="12"/>
      <c r="DB64" s="12"/>
      <c r="DC64" s="12"/>
      <c r="DD64" s="12"/>
      <c r="DE64" s="12"/>
      <c r="DI64" s="12"/>
      <c r="DJ64" s="12"/>
      <c r="DK64" s="12"/>
      <c r="DL64" s="12"/>
      <c r="DP64" s="12"/>
      <c r="DQ64" s="12"/>
      <c r="DR64" s="12"/>
      <c r="DS64" s="12"/>
    </row>
    <row r="65" spans="3:123" hidden="1" outlineLevel="1" x14ac:dyDescent="0.2">
      <c r="C65" s="23"/>
      <c r="E65" s="11"/>
      <c r="G65" s="12"/>
      <c r="I65" s="11"/>
      <c r="J65" s="13"/>
      <c r="K65" s="13"/>
      <c r="L65" s="11"/>
      <c r="O65" s="12"/>
      <c r="P65" s="12"/>
      <c r="Q65" s="12"/>
      <c r="R65" s="12"/>
      <c r="V65" s="12"/>
      <c r="W65" s="12"/>
      <c r="X65" s="12"/>
      <c r="Y65" s="12"/>
      <c r="AC65" s="12"/>
      <c r="AD65" s="12"/>
      <c r="AE65" s="12"/>
      <c r="AF65" s="12"/>
      <c r="AJ65" s="12"/>
      <c r="AK65" s="12"/>
      <c r="AL65" s="12"/>
      <c r="AM65" s="12"/>
      <c r="AQ65" s="12"/>
      <c r="AR65" s="12"/>
      <c r="AS65" s="12"/>
      <c r="AT65" s="12"/>
      <c r="AX65" s="12"/>
      <c r="AY65" s="12"/>
      <c r="AZ65" s="12"/>
      <c r="BA65" s="12"/>
      <c r="BE65" s="12"/>
      <c r="BF65" s="12"/>
      <c r="BG65" s="12"/>
      <c r="BH65" s="12"/>
      <c r="BL65" s="12"/>
      <c r="BM65" s="12"/>
      <c r="BN65" s="12"/>
      <c r="BO65" s="12"/>
      <c r="BQ65" s="25"/>
      <c r="BS65" s="12"/>
      <c r="BT65" s="12"/>
      <c r="BU65" s="12"/>
      <c r="BV65" s="12"/>
      <c r="BZ65" s="12"/>
      <c r="CA65" s="12"/>
      <c r="CB65" s="12"/>
      <c r="CC65" s="12"/>
      <c r="CG65" s="12"/>
      <c r="CH65" s="12"/>
      <c r="CI65" s="12"/>
      <c r="CJ65" s="12"/>
      <c r="CN65" s="12"/>
      <c r="CO65" s="12"/>
      <c r="CP65" s="12"/>
      <c r="CQ65" s="12"/>
      <c r="CU65" s="12"/>
      <c r="CV65" s="12"/>
      <c r="CW65" s="12"/>
      <c r="CX65" s="12"/>
      <c r="DB65" s="12"/>
      <c r="DC65" s="12"/>
      <c r="DD65" s="12"/>
      <c r="DE65" s="12"/>
      <c r="DI65" s="12"/>
      <c r="DJ65" s="12"/>
      <c r="DK65" s="12"/>
      <c r="DL65" s="12"/>
      <c r="DP65" s="12"/>
      <c r="DQ65" s="12"/>
      <c r="DR65" s="12"/>
      <c r="DS65" s="12"/>
    </row>
    <row r="66" spans="3:123" hidden="1" outlineLevel="1" x14ac:dyDescent="0.2">
      <c r="C66" s="23"/>
      <c r="E66" s="11"/>
      <c r="G66" s="12"/>
      <c r="I66" s="11"/>
      <c r="J66" s="13"/>
      <c r="K66" s="13"/>
      <c r="L66" s="11"/>
      <c r="O66" s="12"/>
      <c r="P66" s="12"/>
      <c r="Q66" s="12"/>
      <c r="R66" s="12"/>
      <c r="V66" s="12"/>
      <c r="W66" s="12"/>
      <c r="X66" s="12"/>
      <c r="Y66" s="12"/>
      <c r="AC66" s="12"/>
      <c r="AD66" s="12"/>
      <c r="AE66" s="12"/>
      <c r="AF66" s="12"/>
      <c r="AJ66" s="12"/>
      <c r="AK66" s="12"/>
      <c r="AL66" s="12"/>
      <c r="AM66" s="12"/>
      <c r="AQ66" s="12"/>
      <c r="AR66" s="12"/>
      <c r="AS66" s="12"/>
      <c r="AT66" s="12"/>
      <c r="AX66" s="12"/>
      <c r="AY66" s="12"/>
      <c r="AZ66" s="12"/>
      <c r="BA66" s="12"/>
      <c r="BE66" s="12"/>
      <c r="BF66" s="12"/>
      <c r="BG66" s="12"/>
      <c r="BH66" s="12"/>
      <c r="BL66" s="12"/>
      <c r="BM66" s="12"/>
      <c r="BN66" s="12"/>
      <c r="BO66" s="12"/>
      <c r="BS66" s="12"/>
      <c r="BT66" s="12"/>
      <c r="BU66" s="12"/>
      <c r="BV66" s="12"/>
      <c r="BZ66" s="12"/>
      <c r="CA66" s="12"/>
      <c r="CB66" s="12"/>
      <c r="CC66" s="12"/>
      <c r="CG66" s="12"/>
      <c r="CH66" s="12"/>
      <c r="CI66" s="12"/>
      <c r="CJ66" s="12"/>
      <c r="CN66" s="12"/>
      <c r="CO66" s="12"/>
      <c r="CP66" s="12"/>
      <c r="CQ66" s="12"/>
      <c r="CU66" s="12"/>
      <c r="CV66" s="12"/>
      <c r="CW66" s="12"/>
      <c r="CX66" s="12"/>
      <c r="DB66" s="12"/>
      <c r="DC66" s="12"/>
      <c r="DD66" s="12"/>
      <c r="DE66" s="12"/>
      <c r="DI66" s="12"/>
      <c r="DJ66" s="12"/>
      <c r="DK66" s="12"/>
      <c r="DL66" s="12"/>
      <c r="DP66" s="12"/>
      <c r="DQ66" s="12"/>
      <c r="DR66" s="12"/>
      <c r="DS66" s="12"/>
    </row>
    <row r="67" spans="3:123" hidden="1" outlineLevel="1" x14ac:dyDescent="0.2">
      <c r="C67" s="23"/>
      <c r="E67" s="11"/>
      <c r="G67" s="12"/>
      <c r="I67" s="11"/>
      <c r="J67" s="13"/>
      <c r="K67" s="13"/>
      <c r="L67" s="11"/>
      <c r="O67" s="12"/>
      <c r="P67" s="12"/>
      <c r="Q67" s="12"/>
      <c r="R67" s="12"/>
      <c r="V67" s="12"/>
      <c r="W67" s="12"/>
      <c r="X67" s="12"/>
      <c r="Y67" s="12"/>
      <c r="AC67" s="12"/>
      <c r="AD67" s="12"/>
      <c r="AE67" s="12"/>
      <c r="AF67" s="12"/>
      <c r="AJ67" s="12"/>
      <c r="AK67" s="12"/>
      <c r="AL67" s="12"/>
      <c r="AM67" s="12"/>
      <c r="AQ67" s="12"/>
      <c r="AR67" s="12"/>
      <c r="AS67" s="12"/>
      <c r="AT67" s="12"/>
      <c r="AX67" s="12"/>
      <c r="AY67" s="12"/>
      <c r="AZ67" s="12"/>
      <c r="BA67" s="12"/>
      <c r="BE67" s="12"/>
      <c r="BF67" s="12"/>
      <c r="BG67" s="12"/>
      <c r="BH67" s="12"/>
      <c r="BL67" s="12"/>
      <c r="BM67" s="12"/>
      <c r="BN67" s="12"/>
      <c r="BO67" s="12"/>
      <c r="BS67" s="12"/>
      <c r="BT67" s="12"/>
      <c r="BU67" s="12"/>
      <c r="BV67" s="12"/>
      <c r="BZ67" s="12"/>
      <c r="CA67" s="12"/>
      <c r="CB67" s="12"/>
      <c r="CC67" s="12"/>
      <c r="CG67" s="12"/>
      <c r="CH67" s="12"/>
      <c r="CI67" s="12"/>
      <c r="CJ67" s="12"/>
      <c r="CN67" s="12"/>
      <c r="CO67" s="12"/>
      <c r="CP67" s="12"/>
      <c r="CQ67" s="12"/>
      <c r="CU67" s="12"/>
      <c r="CV67" s="12"/>
      <c r="CW67" s="12"/>
      <c r="CX67" s="12"/>
      <c r="DB67" s="12"/>
      <c r="DC67" s="12"/>
      <c r="DD67" s="12"/>
      <c r="DE67" s="12"/>
      <c r="DI67" s="12"/>
      <c r="DJ67" s="12"/>
      <c r="DK67" s="12"/>
      <c r="DL67" s="12"/>
      <c r="DP67" s="12"/>
      <c r="DQ67" s="12"/>
      <c r="DR67" s="12"/>
      <c r="DS67" s="12"/>
    </row>
    <row r="68" spans="3:123" hidden="1" outlineLevel="1" x14ac:dyDescent="0.2">
      <c r="C68" s="23"/>
      <c r="E68" s="11"/>
      <c r="G68" s="12"/>
      <c r="I68" s="11"/>
      <c r="J68" s="13"/>
      <c r="K68" s="13"/>
      <c r="L68" s="11"/>
      <c r="O68" s="12"/>
      <c r="P68" s="12"/>
      <c r="Q68" s="12"/>
      <c r="R68" s="12"/>
      <c r="V68" s="12"/>
      <c r="W68" s="12"/>
      <c r="X68" s="12"/>
      <c r="Y68" s="12"/>
      <c r="AC68" s="12"/>
      <c r="AD68" s="12"/>
      <c r="AE68" s="12"/>
      <c r="AF68" s="12"/>
      <c r="AJ68" s="12"/>
      <c r="AK68" s="12"/>
      <c r="AL68" s="12"/>
      <c r="AM68" s="12"/>
      <c r="AQ68" s="12"/>
      <c r="AR68" s="12"/>
      <c r="AS68" s="12"/>
      <c r="AT68" s="12"/>
      <c r="AX68" s="12"/>
      <c r="AY68" s="12"/>
      <c r="AZ68" s="12"/>
      <c r="BA68" s="12"/>
      <c r="BE68" s="12"/>
      <c r="BF68" s="12"/>
      <c r="BG68" s="12"/>
      <c r="BH68" s="12"/>
      <c r="BL68" s="12"/>
      <c r="BM68" s="12"/>
      <c r="BN68" s="12"/>
      <c r="BO68" s="12"/>
      <c r="BS68" s="12"/>
      <c r="BT68" s="12"/>
      <c r="BU68" s="12"/>
      <c r="BV68" s="12"/>
      <c r="BZ68" s="12"/>
      <c r="CA68" s="12"/>
      <c r="CB68" s="12"/>
      <c r="CC68" s="12"/>
      <c r="CG68" s="12"/>
      <c r="CH68" s="12"/>
      <c r="CI68" s="12"/>
      <c r="CJ68" s="12"/>
      <c r="CN68" s="12"/>
      <c r="CO68" s="12"/>
      <c r="CP68" s="12"/>
      <c r="CQ68" s="12"/>
      <c r="CU68" s="12"/>
      <c r="CV68" s="12"/>
      <c r="CW68" s="12"/>
      <c r="CX68" s="12"/>
      <c r="DB68" s="12"/>
      <c r="DC68" s="12"/>
      <c r="DD68" s="12"/>
      <c r="DE68" s="12"/>
      <c r="DI68" s="12"/>
      <c r="DJ68" s="12"/>
      <c r="DK68" s="12"/>
      <c r="DL68" s="12"/>
      <c r="DP68" s="12"/>
      <c r="DQ68" s="12"/>
      <c r="DR68" s="12"/>
      <c r="DS68" s="12"/>
    </row>
    <row r="69" spans="3:123" hidden="1" outlineLevel="1" x14ac:dyDescent="0.2">
      <c r="C69" s="23"/>
      <c r="E69" s="11"/>
      <c r="G69" s="12"/>
      <c r="I69" s="11"/>
      <c r="J69" s="13"/>
      <c r="K69" s="13"/>
      <c r="L69" s="11"/>
      <c r="O69" s="12"/>
      <c r="P69" s="12"/>
      <c r="Q69" s="12"/>
      <c r="R69" s="12"/>
      <c r="V69" s="12"/>
      <c r="W69" s="12"/>
      <c r="X69" s="12"/>
      <c r="Y69" s="12"/>
      <c r="AC69" s="12"/>
      <c r="AD69" s="12"/>
      <c r="AE69" s="12"/>
      <c r="AF69" s="12"/>
      <c r="AJ69" s="12"/>
      <c r="AK69" s="12"/>
      <c r="AL69" s="12"/>
      <c r="AM69" s="12"/>
      <c r="AQ69" s="12"/>
      <c r="AR69" s="12"/>
      <c r="AS69" s="12"/>
      <c r="AT69" s="12"/>
      <c r="AX69" s="12"/>
      <c r="AY69" s="12"/>
      <c r="AZ69" s="12"/>
      <c r="BA69" s="12"/>
      <c r="BE69" s="12"/>
      <c r="BF69" s="12"/>
      <c r="BG69" s="12"/>
      <c r="BH69" s="12"/>
      <c r="BL69" s="12"/>
      <c r="BM69" s="12"/>
      <c r="BN69" s="12"/>
      <c r="BO69" s="12"/>
      <c r="BS69" s="12"/>
      <c r="BT69" s="12"/>
      <c r="BU69" s="12"/>
      <c r="BV69" s="12"/>
      <c r="BZ69" s="12"/>
      <c r="CA69" s="12"/>
      <c r="CB69" s="12"/>
      <c r="CC69" s="12"/>
      <c r="CG69" s="12"/>
      <c r="CH69" s="12"/>
      <c r="CI69" s="12"/>
      <c r="CJ69" s="12"/>
      <c r="CN69" s="12"/>
      <c r="CO69" s="12"/>
      <c r="CP69" s="12"/>
      <c r="CQ69" s="12"/>
      <c r="CU69" s="12"/>
      <c r="CV69" s="12"/>
      <c r="CW69" s="12"/>
      <c r="CX69" s="12"/>
      <c r="DB69" s="12"/>
      <c r="DC69" s="12"/>
      <c r="DD69" s="12"/>
      <c r="DE69" s="12"/>
      <c r="DI69" s="12"/>
      <c r="DJ69" s="12"/>
      <c r="DK69" s="12"/>
      <c r="DL69" s="12"/>
      <c r="DP69" s="12"/>
      <c r="DQ69" s="12"/>
      <c r="DR69" s="12"/>
      <c r="DS69" s="12"/>
    </row>
    <row r="70" spans="3:123" hidden="1" outlineLevel="1" x14ac:dyDescent="0.2">
      <c r="C70" s="23"/>
      <c r="E70" s="11"/>
      <c r="G70" s="12"/>
      <c r="I70" s="11"/>
      <c r="J70" s="13"/>
      <c r="K70" s="13"/>
      <c r="L70" s="11"/>
      <c r="O70" s="12"/>
      <c r="P70" s="12"/>
      <c r="Q70" s="12"/>
      <c r="R70" s="12"/>
      <c r="V70" s="12"/>
      <c r="W70" s="12"/>
      <c r="X70" s="12"/>
      <c r="Y70" s="12"/>
      <c r="AC70" s="12"/>
      <c r="AD70" s="12"/>
      <c r="AE70" s="12"/>
      <c r="AF70" s="12"/>
      <c r="AJ70" s="12"/>
      <c r="AK70" s="12"/>
      <c r="AL70" s="12"/>
      <c r="AM70" s="12"/>
      <c r="AQ70" s="12"/>
      <c r="AR70" s="12"/>
      <c r="AS70" s="12"/>
      <c r="AT70" s="12"/>
      <c r="AX70" s="12"/>
      <c r="AY70" s="12"/>
      <c r="AZ70" s="12"/>
      <c r="BA70" s="12"/>
      <c r="BE70" s="12"/>
      <c r="BF70" s="12"/>
      <c r="BG70" s="12"/>
      <c r="BH70" s="12"/>
      <c r="BL70" s="12"/>
      <c r="BM70" s="12"/>
      <c r="BN70" s="12"/>
      <c r="BO70" s="12"/>
      <c r="BS70" s="12"/>
      <c r="BT70" s="12"/>
      <c r="BU70" s="12"/>
      <c r="BV70" s="12"/>
      <c r="BZ70" s="12"/>
      <c r="CA70" s="12"/>
      <c r="CB70" s="12"/>
      <c r="CC70" s="12"/>
      <c r="CG70" s="12"/>
      <c r="CH70" s="12"/>
      <c r="CI70" s="12"/>
      <c r="CJ70" s="12"/>
      <c r="CN70" s="12"/>
      <c r="CO70" s="12"/>
      <c r="CP70" s="12"/>
      <c r="CQ70" s="12"/>
      <c r="CU70" s="12"/>
      <c r="CV70" s="12"/>
      <c r="CW70" s="12"/>
      <c r="CX70" s="12"/>
      <c r="DB70" s="12"/>
      <c r="DC70" s="12"/>
      <c r="DD70" s="12"/>
      <c r="DE70" s="12"/>
      <c r="DI70" s="12"/>
      <c r="DJ70" s="12"/>
      <c r="DK70" s="12"/>
      <c r="DL70" s="12"/>
      <c r="DP70" s="12"/>
      <c r="DQ70" s="12"/>
      <c r="DR70" s="12"/>
      <c r="DS70" s="12"/>
    </row>
    <row r="71" spans="3:123" collapsed="1" x14ac:dyDescent="0.2">
      <c r="C71" s="23"/>
    </row>
    <row r="72" spans="3:123" x14ac:dyDescent="0.2">
      <c r="C72" s="23"/>
      <c r="D72" s="22"/>
      <c r="E72" s="11"/>
      <c r="G72" s="12"/>
      <c r="I72" s="14"/>
      <c r="J72" s="13"/>
      <c r="K72" s="13"/>
      <c r="L72" s="11"/>
      <c r="N72" s="14"/>
      <c r="U72" s="14"/>
      <c r="AB72" s="14"/>
      <c r="AI72" s="14"/>
      <c r="AP72" s="14"/>
      <c r="CH72" s="12"/>
      <c r="CJ72" s="12"/>
    </row>
    <row r="73" spans="3:123" hidden="1" outlineLevel="1" x14ac:dyDescent="0.2">
      <c r="C73" s="23"/>
      <c r="E73" s="11"/>
      <c r="G73" s="12"/>
      <c r="I73" s="11"/>
      <c r="J73" s="13"/>
      <c r="K73" s="13"/>
      <c r="L73" s="11"/>
      <c r="O73" s="12"/>
      <c r="P73" s="12"/>
      <c r="Q73" s="12"/>
      <c r="R73" s="12"/>
      <c r="V73" s="12"/>
      <c r="W73" s="12"/>
      <c r="X73" s="12"/>
      <c r="Y73" s="12"/>
      <c r="AC73" s="12"/>
      <c r="AD73" s="12"/>
      <c r="AE73" s="12"/>
      <c r="AF73" s="12"/>
      <c r="AJ73" s="12"/>
      <c r="AK73" s="12"/>
      <c r="AL73" s="12"/>
      <c r="AM73" s="12"/>
      <c r="AQ73" s="12"/>
      <c r="AR73" s="12"/>
      <c r="AS73" s="12"/>
      <c r="AT73" s="12"/>
      <c r="AX73" s="12"/>
      <c r="AY73" s="12"/>
      <c r="AZ73" s="12"/>
      <c r="BA73" s="12"/>
      <c r="BE73" s="12"/>
      <c r="BF73" s="12"/>
      <c r="BG73" s="12"/>
      <c r="BH73" s="12"/>
      <c r="BL73" s="12"/>
      <c r="BM73" s="12"/>
      <c r="BN73" s="12"/>
      <c r="BO73" s="12"/>
      <c r="BS73" s="12"/>
      <c r="BT73" s="12"/>
      <c r="BU73" s="12"/>
      <c r="BV73" s="12"/>
      <c r="BZ73" s="12"/>
      <c r="CA73" s="12"/>
      <c r="CB73" s="12"/>
      <c r="CC73" s="12"/>
      <c r="CG73" s="12"/>
      <c r="CH73" s="12"/>
      <c r="CI73" s="12"/>
      <c r="CJ73" s="12"/>
      <c r="CN73" s="12"/>
      <c r="CO73" s="12"/>
      <c r="CP73" s="12"/>
      <c r="CQ73" s="12"/>
      <c r="CU73" s="12"/>
      <c r="CV73" s="12"/>
      <c r="CW73" s="12"/>
      <c r="CX73" s="12"/>
      <c r="DB73" s="12"/>
      <c r="DC73" s="12"/>
      <c r="DD73" s="12"/>
      <c r="DE73" s="12"/>
      <c r="DI73" s="12"/>
      <c r="DJ73" s="12"/>
      <c r="DK73" s="12"/>
      <c r="DL73" s="12"/>
      <c r="DP73" s="12"/>
      <c r="DQ73" s="12"/>
      <c r="DR73" s="12"/>
      <c r="DS73" s="12"/>
    </row>
    <row r="74" spans="3:123" hidden="1" outlineLevel="1" x14ac:dyDescent="0.2">
      <c r="C74" s="23"/>
      <c r="E74" s="11"/>
      <c r="G74" s="12"/>
      <c r="I74" s="11"/>
      <c r="J74" s="13"/>
      <c r="K74" s="13"/>
      <c r="L74" s="11"/>
      <c r="O74" s="12"/>
      <c r="P74" s="12"/>
      <c r="Q74" s="12"/>
      <c r="R74" s="12"/>
      <c r="V74" s="12"/>
      <c r="W74" s="12"/>
      <c r="X74" s="12"/>
      <c r="Y74" s="12"/>
      <c r="AC74" s="12"/>
      <c r="AD74" s="12"/>
      <c r="AE74" s="12"/>
      <c r="AF74" s="12"/>
      <c r="AJ74" s="12"/>
      <c r="AK74" s="12"/>
      <c r="AL74" s="12"/>
      <c r="AM74" s="12"/>
      <c r="AQ74" s="12"/>
      <c r="AR74" s="12"/>
      <c r="AS74" s="12"/>
      <c r="AT74" s="12"/>
      <c r="AX74" s="12"/>
      <c r="AY74" s="12"/>
      <c r="AZ74" s="12"/>
      <c r="BA74" s="12"/>
      <c r="BE74" s="12"/>
      <c r="BF74" s="12"/>
      <c r="BG74" s="12"/>
      <c r="BH74" s="12"/>
      <c r="BL74" s="12"/>
      <c r="BM74" s="12"/>
      <c r="BN74" s="12"/>
      <c r="BO74" s="12"/>
      <c r="BS74" s="12"/>
      <c r="BT74" s="12"/>
      <c r="BU74" s="12"/>
      <c r="BV74" s="12"/>
      <c r="BZ74" s="12"/>
      <c r="CA74" s="12"/>
      <c r="CB74" s="12"/>
      <c r="CC74" s="12"/>
      <c r="CG74" s="12"/>
      <c r="CH74" s="12"/>
      <c r="CI74" s="12"/>
      <c r="CJ74" s="12"/>
      <c r="CN74" s="12"/>
      <c r="CO74" s="12"/>
      <c r="CP74" s="12"/>
      <c r="CQ74" s="12"/>
      <c r="CU74" s="12"/>
      <c r="CV74" s="12"/>
      <c r="CW74" s="12"/>
      <c r="CX74" s="12"/>
      <c r="DB74" s="12"/>
      <c r="DC74" s="12"/>
      <c r="DD74" s="12"/>
      <c r="DE74" s="12"/>
      <c r="DI74" s="12"/>
      <c r="DJ74" s="12"/>
      <c r="DK74" s="12"/>
      <c r="DL74" s="12"/>
      <c r="DP74" s="12"/>
      <c r="DQ74" s="12"/>
      <c r="DR74" s="12"/>
      <c r="DS74" s="12"/>
    </row>
    <row r="75" spans="3:123" hidden="1" outlineLevel="1" x14ac:dyDescent="0.2">
      <c r="C75" s="23"/>
      <c r="E75" s="11"/>
      <c r="G75" s="12"/>
      <c r="I75" s="11"/>
      <c r="J75" s="13"/>
      <c r="K75" s="13"/>
      <c r="L75" s="11"/>
      <c r="O75" s="12"/>
      <c r="P75" s="12"/>
      <c r="Q75" s="12"/>
      <c r="R75" s="12"/>
      <c r="V75" s="12"/>
      <c r="W75" s="12"/>
      <c r="X75" s="12"/>
      <c r="Y75" s="12"/>
      <c r="AC75" s="12"/>
      <c r="AD75" s="12"/>
      <c r="AE75" s="12"/>
      <c r="AF75" s="12"/>
      <c r="AJ75" s="12"/>
      <c r="AK75" s="12"/>
      <c r="AL75" s="12"/>
      <c r="AM75" s="12"/>
      <c r="AQ75" s="12"/>
      <c r="AR75" s="12"/>
      <c r="AS75" s="12"/>
      <c r="AT75" s="12"/>
      <c r="AX75" s="12"/>
      <c r="AY75" s="12"/>
      <c r="AZ75" s="12"/>
      <c r="BA75" s="12"/>
      <c r="BE75" s="12"/>
      <c r="BF75" s="12"/>
      <c r="BG75" s="12"/>
      <c r="BH75" s="12"/>
      <c r="BL75" s="12"/>
      <c r="BM75" s="12"/>
      <c r="BN75" s="12"/>
      <c r="BO75" s="12"/>
      <c r="BS75" s="12"/>
      <c r="BT75" s="12"/>
      <c r="BU75" s="12"/>
      <c r="BV75" s="12"/>
      <c r="BZ75" s="12"/>
      <c r="CA75" s="12"/>
      <c r="CB75" s="12"/>
      <c r="CC75" s="12"/>
      <c r="CG75" s="12"/>
      <c r="CH75" s="12"/>
      <c r="CI75" s="12"/>
      <c r="CJ75" s="12"/>
      <c r="CN75" s="12"/>
      <c r="CO75" s="12"/>
      <c r="CP75" s="12"/>
      <c r="CQ75" s="12"/>
      <c r="CU75" s="12"/>
      <c r="CV75" s="12"/>
      <c r="CW75" s="12"/>
      <c r="CX75" s="12"/>
      <c r="DB75" s="12"/>
      <c r="DC75" s="12"/>
      <c r="DD75" s="12"/>
      <c r="DE75" s="12"/>
      <c r="DI75" s="12"/>
      <c r="DJ75" s="12"/>
      <c r="DK75" s="12"/>
      <c r="DL75" s="12"/>
      <c r="DP75" s="12"/>
      <c r="DQ75" s="12"/>
      <c r="DR75" s="12"/>
      <c r="DS75" s="12"/>
    </row>
    <row r="76" spans="3:123" hidden="1" outlineLevel="1" x14ac:dyDescent="0.2">
      <c r="C76" s="23"/>
      <c r="E76" s="11"/>
      <c r="G76" s="12"/>
      <c r="I76" s="11"/>
      <c r="J76" s="13"/>
      <c r="K76" s="13"/>
      <c r="L76" s="11"/>
      <c r="O76" s="12"/>
      <c r="P76" s="12"/>
      <c r="Q76" s="12"/>
      <c r="R76" s="12"/>
      <c r="V76" s="12"/>
      <c r="W76" s="12"/>
      <c r="X76" s="12"/>
      <c r="Y76" s="12"/>
      <c r="AC76" s="12"/>
      <c r="AD76" s="12"/>
      <c r="AE76" s="12"/>
      <c r="AF76" s="12"/>
      <c r="AJ76" s="12"/>
      <c r="AK76" s="12"/>
      <c r="AL76" s="12"/>
      <c r="AM76" s="12"/>
      <c r="AQ76" s="12"/>
      <c r="AR76" s="12"/>
      <c r="AS76" s="12"/>
      <c r="AT76" s="12"/>
      <c r="AX76" s="12"/>
      <c r="AY76" s="12"/>
      <c r="AZ76" s="12"/>
      <c r="BA76" s="12"/>
      <c r="BE76" s="12"/>
      <c r="BF76" s="12"/>
      <c r="BG76" s="12"/>
      <c r="BH76" s="12"/>
      <c r="BL76" s="12"/>
      <c r="BM76" s="12"/>
      <c r="BN76" s="12"/>
      <c r="BO76" s="12"/>
      <c r="BQ76" s="25"/>
      <c r="BS76" s="12"/>
      <c r="BT76" s="12"/>
      <c r="BU76" s="12"/>
      <c r="BV76" s="12"/>
      <c r="BZ76" s="12"/>
      <c r="CA76" s="12"/>
      <c r="CB76" s="12"/>
      <c r="CC76" s="12"/>
      <c r="CG76" s="12"/>
      <c r="CH76" s="12"/>
      <c r="CI76" s="12"/>
      <c r="CJ76" s="12"/>
      <c r="CN76" s="12"/>
      <c r="CO76" s="12"/>
      <c r="CP76" s="12"/>
      <c r="CQ76" s="12"/>
      <c r="CU76" s="12"/>
      <c r="CV76" s="12"/>
      <c r="CW76" s="12"/>
      <c r="CX76" s="12"/>
      <c r="DB76" s="12"/>
      <c r="DC76" s="12"/>
      <c r="DD76" s="12"/>
      <c r="DE76" s="12"/>
      <c r="DI76" s="12"/>
      <c r="DJ76" s="12"/>
      <c r="DK76" s="12"/>
      <c r="DL76" s="12"/>
      <c r="DP76" s="12"/>
      <c r="DQ76" s="12"/>
      <c r="DR76" s="12"/>
      <c r="DS76" s="12"/>
    </row>
    <row r="77" spans="3:123" hidden="1" outlineLevel="1" x14ac:dyDescent="0.2">
      <c r="C77" s="23"/>
      <c r="E77" s="11"/>
      <c r="G77" s="12"/>
      <c r="I77" s="11"/>
      <c r="J77" s="13"/>
      <c r="K77" s="13"/>
      <c r="L77" s="11"/>
      <c r="O77" s="12"/>
      <c r="P77" s="12"/>
      <c r="Q77" s="12"/>
      <c r="R77" s="12"/>
      <c r="V77" s="12"/>
      <c r="W77" s="12"/>
      <c r="X77" s="12"/>
      <c r="Y77" s="12"/>
      <c r="AC77" s="12"/>
      <c r="AD77" s="12"/>
      <c r="AE77" s="12"/>
      <c r="AF77" s="12"/>
      <c r="AJ77" s="12"/>
      <c r="AK77" s="12"/>
      <c r="AL77" s="12"/>
      <c r="AM77" s="12"/>
      <c r="AQ77" s="12"/>
      <c r="AR77" s="12"/>
      <c r="AS77" s="12"/>
      <c r="AT77" s="12"/>
      <c r="AX77" s="12"/>
      <c r="AY77" s="12"/>
      <c r="AZ77" s="12"/>
      <c r="BA77" s="12"/>
      <c r="BE77" s="12"/>
      <c r="BF77" s="12"/>
      <c r="BG77" s="12"/>
      <c r="BH77" s="12"/>
      <c r="BL77" s="12"/>
      <c r="BM77" s="12"/>
      <c r="BN77" s="12"/>
      <c r="BO77" s="12"/>
      <c r="BS77" s="12"/>
      <c r="BT77" s="12"/>
      <c r="BU77" s="12"/>
      <c r="BV77" s="12"/>
      <c r="BZ77" s="12"/>
      <c r="CA77" s="12"/>
      <c r="CB77" s="12"/>
      <c r="CC77" s="12"/>
      <c r="CG77" s="12"/>
      <c r="CH77" s="12"/>
      <c r="CI77" s="12"/>
      <c r="CJ77" s="12"/>
      <c r="CN77" s="12"/>
      <c r="CO77" s="12"/>
      <c r="CP77" s="12"/>
      <c r="CQ77" s="12"/>
      <c r="CU77" s="12"/>
      <c r="CV77" s="12"/>
      <c r="CW77" s="12"/>
      <c r="CX77" s="12"/>
      <c r="DB77" s="12"/>
      <c r="DC77" s="12"/>
      <c r="DD77" s="12"/>
      <c r="DE77" s="12"/>
      <c r="DI77" s="12"/>
      <c r="DJ77" s="12"/>
      <c r="DK77" s="12"/>
      <c r="DL77" s="12"/>
      <c r="DP77" s="12"/>
      <c r="DQ77" s="12"/>
      <c r="DR77" s="12"/>
      <c r="DS77" s="12"/>
    </row>
    <row r="78" spans="3:123" hidden="1" outlineLevel="1" x14ac:dyDescent="0.2">
      <c r="C78" s="23"/>
      <c r="E78" s="11"/>
      <c r="G78" s="12"/>
      <c r="I78" s="11"/>
      <c r="J78" s="13"/>
      <c r="K78" s="13"/>
      <c r="L78" s="11"/>
      <c r="O78" s="12"/>
      <c r="P78" s="12"/>
      <c r="Q78" s="12"/>
      <c r="R78" s="12"/>
      <c r="V78" s="12"/>
      <c r="W78" s="12"/>
      <c r="X78" s="12"/>
      <c r="Y78" s="12"/>
      <c r="AC78" s="12"/>
      <c r="AD78" s="12"/>
      <c r="AE78" s="12"/>
      <c r="AF78" s="12"/>
      <c r="AJ78" s="12"/>
      <c r="AK78" s="12"/>
      <c r="AL78" s="12"/>
      <c r="AM78" s="12"/>
      <c r="AQ78" s="12"/>
      <c r="AR78" s="12"/>
      <c r="AS78" s="12"/>
      <c r="AT78" s="12"/>
      <c r="AX78" s="12"/>
      <c r="AY78" s="12"/>
      <c r="AZ78" s="12"/>
      <c r="BA78" s="12"/>
      <c r="BE78" s="12"/>
      <c r="BF78" s="12"/>
      <c r="BG78" s="12"/>
      <c r="BH78" s="12"/>
      <c r="BL78" s="12"/>
      <c r="BM78" s="12"/>
      <c r="BN78" s="12"/>
      <c r="BO78" s="12"/>
      <c r="BS78" s="12"/>
      <c r="BT78" s="12"/>
      <c r="BU78" s="12"/>
      <c r="BV78" s="12"/>
      <c r="BZ78" s="12"/>
      <c r="CA78" s="12"/>
      <c r="CB78" s="12"/>
      <c r="CC78" s="12"/>
      <c r="CG78" s="12"/>
      <c r="CH78" s="12"/>
      <c r="CI78" s="12"/>
      <c r="CJ78" s="12"/>
      <c r="CN78" s="12"/>
      <c r="CO78" s="12"/>
      <c r="CP78" s="12"/>
      <c r="CQ78" s="12"/>
      <c r="CU78" s="12"/>
      <c r="CV78" s="12"/>
      <c r="CW78" s="12"/>
      <c r="CX78" s="12"/>
      <c r="DB78" s="12"/>
      <c r="DC78" s="12"/>
      <c r="DD78" s="12"/>
      <c r="DE78" s="12"/>
      <c r="DI78" s="12"/>
      <c r="DJ78" s="12"/>
      <c r="DK78" s="12"/>
      <c r="DL78" s="12"/>
      <c r="DP78" s="12"/>
      <c r="DQ78" s="12"/>
      <c r="DR78" s="12"/>
      <c r="DS78" s="12"/>
    </row>
    <row r="79" spans="3:123" hidden="1" outlineLevel="1" x14ac:dyDescent="0.2">
      <c r="C79" s="23"/>
      <c r="E79" s="11"/>
      <c r="G79" s="12"/>
      <c r="I79" s="11"/>
      <c r="J79" s="13"/>
      <c r="K79" s="13"/>
      <c r="L79" s="11"/>
      <c r="O79" s="12"/>
      <c r="P79" s="12"/>
      <c r="Q79" s="12"/>
      <c r="R79" s="12"/>
      <c r="V79" s="12"/>
      <c r="W79" s="12"/>
      <c r="X79" s="12"/>
      <c r="Y79" s="12"/>
      <c r="AC79" s="12"/>
      <c r="AD79" s="12"/>
      <c r="AE79" s="12"/>
      <c r="AF79" s="12"/>
      <c r="AJ79" s="12"/>
      <c r="AK79" s="12"/>
      <c r="AL79" s="12"/>
      <c r="AM79" s="12"/>
      <c r="AQ79" s="12"/>
      <c r="AR79" s="12"/>
      <c r="AS79" s="12"/>
      <c r="AT79" s="12"/>
      <c r="AX79" s="12"/>
      <c r="AY79" s="12"/>
      <c r="AZ79" s="12"/>
      <c r="BA79" s="12"/>
      <c r="BE79" s="12"/>
      <c r="BF79" s="12"/>
      <c r="BG79" s="12"/>
      <c r="BH79" s="12"/>
      <c r="BL79" s="12"/>
      <c r="BM79" s="12"/>
      <c r="BN79" s="12"/>
      <c r="BO79" s="12"/>
      <c r="BS79" s="12"/>
      <c r="BT79" s="12"/>
      <c r="BU79" s="12"/>
      <c r="BV79" s="12"/>
      <c r="BZ79" s="12"/>
      <c r="CA79" s="12"/>
      <c r="CB79" s="12"/>
      <c r="CC79" s="12"/>
      <c r="CG79" s="12"/>
      <c r="CH79" s="12"/>
      <c r="CI79" s="12"/>
      <c r="CJ79" s="12"/>
      <c r="CN79" s="12"/>
      <c r="CO79" s="12"/>
      <c r="CP79" s="12"/>
      <c r="CQ79" s="12"/>
      <c r="CU79" s="12"/>
      <c r="CV79" s="12"/>
      <c r="CW79" s="12"/>
      <c r="CX79" s="12"/>
      <c r="DB79" s="12"/>
      <c r="DC79" s="12"/>
      <c r="DD79" s="12"/>
      <c r="DE79" s="12"/>
      <c r="DI79" s="12"/>
      <c r="DJ79" s="12"/>
      <c r="DK79" s="12"/>
      <c r="DL79" s="12"/>
      <c r="DP79" s="12"/>
      <c r="DQ79" s="12"/>
      <c r="DR79" s="12"/>
      <c r="DS79" s="12"/>
    </row>
    <row r="80" spans="3:123" hidden="1" outlineLevel="1" x14ac:dyDescent="0.2">
      <c r="C80" s="23"/>
      <c r="E80" s="11"/>
      <c r="G80" s="12"/>
      <c r="I80" s="11"/>
      <c r="J80" s="13"/>
      <c r="K80" s="13"/>
      <c r="L80" s="11"/>
      <c r="O80" s="12"/>
      <c r="P80" s="12"/>
      <c r="Q80" s="12"/>
      <c r="R80" s="12"/>
      <c r="V80" s="12"/>
      <c r="W80" s="12"/>
      <c r="X80" s="12"/>
      <c r="Y80" s="12"/>
      <c r="AC80" s="12"/>
      <c r="AD80" s="12"/>
      <c r="AE80" s="12"/>
      <c r="AF80" s="12"/>
      <c r="AJ80" s="12"/>
      <c r="AK80" s="12"/>
      <c r="AL80" s="12"/>
      <c r="AM80" s="12"/>
      <c r="AQ80" s="12"/>
      <c r="AR80" s="12"/>
      <c r="AS80" s="12"/>
      <c r="AT80" s="12"/>
      <c r="AX80" s="12"/>
      <c r="AY80" s="12"/>
      <c r="AZ80" s="12"/>
      <c r="BA80" s="12"/>
      <c r="BE80" s="12"/>
      <c r="BF80" s="12"/>
      <c r="BG80" s="12"/>
      <c r="BH80" s="12"/>
      <c r="BL80" s="12"/>
      <c r="BM80" s="12"/>
      <c r="BN80" s="12"/>
      <c r="BO80" s="12"/>
      <c r="BS80" s="12"/>
      <c r="BT80" s="12"/>
      <c r="BU80" s="12"/>
      <c r="BV80" s="12"/>
      <c r="BZ80" s="12"/>
      <c r="CA80" s="12"/>
      <c r="CB80" s="12"/>
      <c r="CC80" s="12"/>
      <c r="CG80" s="12"/>
      <c r="CH80" s="12"/>
      <c r="CI80" s="12"/>
      <c r="CJ80" s="12"/>
      <c r="CN80" s="12"/>
      <c r="CO80" s="12"/>
      <c r="CP80" s="12"/>
      <c r="CQ80" s="12"/>
      <c r="CU80" s="12"/>
      <c r="CV80" s="12"/>
      <c r="CW80" s="12"/>
      <c r="CX80" s="12"/>
      <c r="DB80" s="12"/>
      <c r="DC80" s="12"/>
      <c r="DD80" s="12"/>
      <c r="DE80" s="12"/>
      <c r="DI80" s="12"/>
      <c r="DJ80" s="12"/>
      <c r="DK80" s="12"/>
      <c r="DL80" s="12"/>
      <c r="DP80" s="12"/>
      <c r="DQ80" s="12"/>
      <c r="DR80" s="12"/>
      <c r="DS80" s="12"/>
    </row>
    <row r="81" spans="2:123" hidden="1" outlineLevel="1" x14ac:dyDescent="0.2">
      <c r="C81" s="23"/>
      <c r="E81" s="11"/>
      <c r="G81" s="12"/>
      <c r="I81" s="11"/>
      <c r="J81" s="13"/>
      <c r="K81" s="13"/>
      <c r="L81" s="11"/>
      <c r="O81" s="12"/>
      <c r="P81" s="12"/>
      <c r="Q81" s="12"/>
      <c r="R81" s="12"/>
      <c r="V81" s="12"/>
      <c r="W81" s="12"/>
      <c r="X81" s="12"/>
      <c r="Y81" s="12"/>
      <c r="AC81" s="12"/>
      <c r="AD81" s="12"/>
      <c r="AE81" s="12"/>
      <c r="AF81" s="12"/>
      <c r="AJ81" s="12"/>
      <c r="AK81" s="12"/>
      <c r="AL81" s="12"/>
      <c r="AM81" s="12"/>
      <c r="AQ81" s="12"/>
      <c r="AR81" s="12"/>
      <c r="AS81" s="12"/>
      <c r="AT81" s="12"/>
      <c r="AX81" s="12"/>
      <c r="AY81" s="12"/>
      <c r="AZ81" s="12"/>
      <c r="BA81" s="12"/>
      <c r="BE81" s="12"/>
      <c r="BF81" s="12"/>
      <c r="BG81" s="12"/>
      <c r="BH81" s="12"/>
      <c r="BL81" s="12"/>
      <c r="BM81" s="12"/>
      <c r="BN81" s="12"/>
      <c r="BO81" s="12"/>
      <c r="BS81" s="12"/>
      <c r="BT81" s="12"/>
      <c r="BU81" s="12"/>
      <c r="BV81" s="12"/>
      <c r="BZ81" s="12"/>
      <c r="CA81" s="12"/>
      <c r="CB81" s="12"/>
      <c r="CC81" s="12"/>
      <c r="CG81" s="12"/>
      <c r="CH81" s="12"/>
      <c r="CI81" s="12"/>
      <c r="CJ81" s="12"/>
      <c r="CN81" s="12"/>
      <c r="CO81" s="12"/>
      <c r="CP81" s="12"/>
      <c r="CQ81" s="12"/>
      <c r="CU81" s="12"/>
      <c r="CV81" s="12"/>
      <c r="CW81" s="12"/>
      <c r="CX81" s="12"/>
      <c r="DB81" s="12"/>
      <c r="DC81" s="12"/>
      <c r="DD81" s="12"/>
      <c r="DE81" s="12"/>
      <c r="DI81" s="12"/>
      <c r="DJ81" s="12"/>
      <c r="DK81" s="12"/>
      <c r="DL81" s="12"/>
      <c r="DP81" s="12"/>
      <c r="DQ81" s="12"/>
      <c r="DR81" s="12"/>
      <c r="DS81" s="12"/>
    </row>
    <row r="82" spans="2:123" hidden="1" outlineLevel="1" x14ac:dyDescent="0.2">
      <c r="C82" s="23"/>
      <c r="E82" s="11"/>
      <c r="G82" s="12"/>
      <c r="I82" s="11"/>
      <c r="J82" s="13"/>
      <c r="K82" s="13"/>
      <c r="L82" s="11"/>
      <c r="O82" s="12"/>
      <c r="P82" s="12"/>
      <c r="Q82" s="12"/>
      <c r="R82" s="12"/>
      <c r="V82" s="12"/>
      <c r="W82" s="12"/>
      <c r="X82" s="12"/>
      <c r="Y82" s="12"/>
      <c r="AC82" s="12"/>
      <c r="AD82" s="12"/>
      <c r="AE82" s="12"/>
      <c r="AF82" s="12"/>
      <c r="AJ82" s="12"/>
      <c r="AK82" s="12"/>
      <c r="AL82" s="12"/>
      <c r="AM82" s="12"/>
      <c r="AQ82" s="12"/>
      <c r="AR82" s="12"/>
      <c r="AS82" s="12"/>
      <c r="AT82" s="12"/>
      <c r="AX82" s="12"/>
      <c r="AY82" s="12"/>
      <c r="AZ82" s="12"/>
      <c r="BA82" s="12"/>
      <c r="BE82" s="12"/>
      <c r="BF82" s="12"/>
      <c r="BG82" s="12"/>
      <c r="BH82" s="12"/>
      <c r="BL82" s="12"/>
      <c r="BM82" s="12"/>
      <c r="BN82" s="12"/>
      <c r="BO82" s="12"/>
      <c r="BS82" s="12"/>
      <c r="BT82" s="12"/>
      <c r="BU82" s="12"/>
      <c r="BV82" s="12"/>
      <c r="BZ82" s="12"/>
      <c r="CA82" s="12"/>
      <c r="CB82" s="12"/>
      <c r="CC82" s="12"/>
      <c r="CG82" s="12"/>
      <c r="CH82" s="12"/>
      <c r="CI82" s="12"/>
      <c r="CJ82" s="12"/>
      <c r="CN82" s="12"/>
      <c r="CO82" s="12"/>
      <c r="CP82" s="12"/>
      <c r="CQ82" s="12"/>
      <c r="CU82" s="12"/>
      <c r="CV82" s="12"/>
      <c r="CW82" s="12"/>
      <c r="CX82" s="12"/>
      <c r="DB82" s="12"/>
      <c r="DC82" s="12"/>
      <c r="DD82" s="12"/>
      <c r="DE82" s="12"/>
      <c r="DI82" s="12"/>
      <c r="DJ82" s="12"/>
      <c r="DK82" s="12"/>
      <c r="DL82" s="12"/>
      <c r="DP82" s="12"/>
      <c r="DQ82" s="12"/>
      <c r="DR82" s="12"/>
      <c r="DS82" s="12"/>
    </row>
    <row r="83" spans="2:123" collapsed="1" x14ac:dyDescent="0.2">
      <c r="C83" s="23"/>
    </row>
    <row r="84" spans="2:123" ht="18" customHeight="1" x14ac:dyDescent="0.2">
      <c r="C84" s="23" t="s">
        <v>98</v>
      </c>
      <c r="D84" s="22"/>
      <c r="E84" s="11">
        <v>0</v>
      </c>
      <c r="F84" t="s">
        <v>100</v>
      </c>
      <c r="G84" s="12">
        <v>0</v>
      </c>
      <c r="I84" s="14">
        <f>+SUM(I85:I94)</f>
        <v>0</v>
      </c>
      <c r="J84" s="13">
        <f>+SUMPRODUCT(G85:G94,J85:J94)</f>
        <v>0</v>
      </c>
      <c r="K84" s="13">
        <f>+SUMPRODUCT(G85:G94,K85:K94)</f>
        <v>0</v>
      </c>
      <c r="L84" s="11"/>
      <c r="N84" s="14">
        <f>+SUM(N85:N94)</f>
        <v>0</v>
      </c>
      <c r="U84" s="14"/>
      <c r="AB84" s="14"/>
      <c r="AI84" s="14"/>
      <c r="AP84" s="14"/>
    </row>
    <row r="85" spans="2:123" hidden="1" outlineLevel="1" x14ac:dyDescent="0.2">
      <c r="B85" t="s">
        <v>28</v>
      </c>
      <c r="C85" s="23" t="s">
        <v>98</v>
      </c>
      <c r="E85" s="11"/>
      <c r="G85" s="12">
        <v>0.1</v>
      </c>
      <c r="I85" s="11">
        <f t="shared" ref="I85:I94" si="4">+SUMIF($N$3:$ZZ$3,I$3,$N85:$ZZ85)</f>
        <v>0</v>
      </c>
      <c r="J85" s="13" cm="1">
        <f t="array" ref="J85">MAX(IF($N$3:$EH$3=$J$3,N85:EH85))</f>
        <v>0</v>
      </c>
      <c r="K85" s="13" cm="1">
        <f t="array" ref="K85">MAX(IF($N$3:$EH$3=$J$3,N85:EH85))</f>
        <v>0</v>
      </c>
      <c r="L85" s="11"/>
      <c r="O85" s="12"/>
      <c r="P85" s="12"/>
      <c r="Q85" s="12"/>
      <c r="R85" s="12"/>
      <c r="V85" s="12"/>
      <c r="W85" s="12"/>
      <c r="X85" s="12"/>
      <c r="Y85" s="12"/>
      <c r="AC85" s="12"/>
      <c r="AD85" s="12"/>
      <c r="AE85" s="12"/>
      <c r="AF85" s="12"/>
      <c r="AJ85" s="12"/>
      <c r="AK85" s="12"/>
      <c r="AL85" s="12"/>
      <c r="AM85" s="12"/>
      <c r="AQ85" s="12"/>
      <c r="AR85" s="12"/>
      <c r="AS85" s="12"/>
      <c r="AT85" s="12"/>
      <c r="AX85" s="12"/>
      <c r="AY85" s="12"/>
      <c r="AZ85" s="12"/>
      <c r="BA85" s="12"/>
      <c r="BE85" s="12"/>
      <c r="BF85" s="12"/>
      <c r="BG85" s="12"/>
      <c r="BH85" s="12"/>
      <c r="BL85" s="12"/>
      <c r="BM85" s="12"/>
      <c r="BN85" s="12"/>
      <c r="BO85" s="12"/>
      <c r="BS85" s="12"/>
      <c r="BT85" s="12"/>
      <c r="BU85" s="12"/>
      <c r="BV85" s="12"/>
      <c r="BZ85" s="12"/>
      <c r="CA85" s="12"/>
      <c r="CB85" s="12"/>
      <c r="CC85" s="12"/>
      <c r="CG85" s="12"/>
      <c r="CH85" s="12"/>
      <c r="CI85" s="12"/>
      <c r="CJ85" s="12"/>
      <c r="CN85" s="12"/>
      <c r="CO85" s="12"/>
      <c r="CP85" s="12"/>
      <c r="CQ85" s="12"/>
      <c r="CU85" s="12"/>
      <c r="CV85" s="12"/>
      <c r="CW85" s="12"/>
      <c r="CX85" s="12"/>
      <c r="DB85" s="12"/>
      <c r="DC85" s="12"/>
      <c r="DD85" s="12"/>
      <c r="DE85" s="12"/>
      <c r="DI85" s="12"/>
      <c r="DJ85" s="12"/>
      <c r="DK85" s="12"/>
      <c r="DL85" s="12"/>
      <c r="DP85" s="12"/>
      <c r="DQ85" s="12"/>
      <c r="DR85" s="12"/>
      <c r="DS85" s="12"/>
    </row>
    <row r="86" spans="2:123" hidden="1" outlineLevel="1" x14ac:dyDescent="0.2">
      <c r="B86" t="s">
        <v>28</v>
      </c>
      <c r="C86" s="23" t="s">
        <v>98</v>
      </c>
      <c r="E86" s="11"/>
      <c r="G86" s="12">
        <v>0.05</v>
      </c>
      <c r="I86" s="11">
        <f t="shared" si="4"/>
        <v>0</v>
      </c>
      <c r="J86" s="13" cm="1">
        <f t="array" ref="J86">MAX(IF($N$3:$EH$3=$J$3,N86:EH86))</f>
        <v>0</v>
      </c>
      <c r="K86" s="13" cm="1">
        <f t="array" ref="K86">MAX(IF($N$3:$EH$3=$J$3,N86:EH86))</f>
        <v>0</v>
      </c>
      <c r="L86" s="11"/>
      <c r="O86" s="12"/>
      <c r="P86" s="12"/>
      <c r="Q86" s="12"/>
      <c r="R86" s="12"/>
      <c r="V86" s="12"/>
      <c r="W86" s="12"/>
      <c r="X86" s="12"/>
      <c r="Y86" s="12"/>
      <c r="AC86" s="12"/>
      <c r="AD86" s="12"/>
      <c r="AE86" s="12"/>
      <c r="AF86" s="12"/>
      <c r="AJ86" s="12"/>
      <c r="AK86" s="12"/>
      <c r="AL86" s="12"/>
      <c r="AM86" s="12"/>
      <c r="AQ86" s="12"/>
      <c r="AR86" s="12"/>
      <c r="AS86" s="12"/>
      <c r="AT86" s="12"/>
      <c r="AX86" s="12"/>
      <c r="AY86" s="12"/>
      <c r="AZ86" s="12"/>
      <c r="BA86" s="12"/>
      <c r="BE86" s="12"/>
      <c r="BF86" s="12"/>
      <c r="BG86" s="12"/>
      <c r="BH86" s="12"/>
      <c r="BL86" s="12"/>
      <c r="BM86" s="12"/>
      <c r="BN86" s="12"/>
      <c r="BO86" s="12"/>
      <c r="BS86" s="12"/>
      <c r="BT86" s="12"/>
      <c r="BU86" s="12"/>
      <c r="BV86" s="12"/>
      <c r="BZ86" s="12"/>
      <c r="CA86" s="12"/>
      <c r="CB86" s="12"/>
      <c r="CC86" s="12"/>
      <c r="CG86" s="12"/>
      <c r="CH86" s="12"/>
      <c r="CI86" s="12"/>
      <c r="CJ86" s="12"/>
      <c r="CN86" s="12"/>
      <c r="CO86" s="12"/>
      <c r="CP86" s="12"/>
      <c r="CQ86" s="12"/>
      <c r="CU86" s="12"/>
      <c r="CV86" s="12"/>
      <c r="CW86" s="12"/>
      <c r="CX86" s="12"/>
      <c r="DB86" s="12"/>
      <c r="DC86" s="12"/>
      <c r="DD86" s="12"/>
      <c r="DE86" s="12"/>
      <c r="DI86" s="12"/>
      <c r="DJ86" s="12"/>
      <c r="DK86" s="12"/>
      <c r="DL86" s="12"/>
      <c r="DP86" s="12"/>
      <c r="DQ86" s="12"/>
      <c r="DR86" s="12"/>
      <c r="DS86" s="12"/>
    </row>
    <row r="87" spans="2:123" hidden="1" outlineLevel="1" x14ac:dyDescent="0.2">
      <c r="B87" t="s">
        <v>28</v>
      </c>
      <c r="C87" s="23" t="s">
        <v>98</v>
      </c>
      <c r="E87" s="11"/>
      <c r="G87" s="12">
        <v>0.05</v>
      </c>
      <c r="I87" s="11">
        <f t="shared" si="4"/>
        <v>0</v>
      </c>
      <c r="J87" s="13" cm="1">
        <f t="array" ref="J87">MAX(IF($N$3:$EH$3=$J$3,N87:EH87))</f>
        <v>0</v>
      </c>
      <c r="K87" s="13" cm="1">
        <f t="array" ref="K87">MAX(IF($N$3:$EH$3=$J$3,N87:EH87))</f>
        <v>0</v>
      </c>
      <c r="L87" s="11"/>
      <c r="O87" s="12"/>
      <c r="P87" s="12"/>
      <c r="Q87" s="12"/>
      <c r="R87" s="12"/>
      <c r="V87" s="12"/>
      <c r="W87" s="12"/>
      <c r="X87" s="12"/>
      <c r="Y87" s="12"/>
      <c r="AC87" s="12"/>
      <c r="AD87" s="12"/>
      <c r="AE87" s="12"/>
      <c r="AF87" s="12"/>
      <c r="AJ87" s="12"/>
      <c r="AK87" s="12"/>
      <c r="AL87" s="12"/>
      <c r="AM87" s="12"/>
      <c r="AQ87" s="12"/>
      <c r="AR87" s="12"/>
      <c r="AS87" s="12"/>
      <c r="AT87" s="12"/>
      <c r="AX87" s="12"/>
      <c r="AY87" s="12"/>
      <c r="AZ87" s="12"/>
      <c r="BA87" s="12"/>
      <c r="BE87" s="12"/>
      <c r="BF87" s="12"/>
      <c r="BG87" s="12"/>
      <c r="BH87" s="12"/>
      <c r="BL87" s="12"/>
      <c r="BM87" s="12"/>
      <c r="BN87" s="12"/>
      <c r="BO87" s="12"/>
      <c r="BS87" s="12"/>
      <c r="BT87" s="12"/>
      <c r="BU87" s="12"/>
      <c r="BV87" s="12"/>
      <c r="BZ87" s="12"/>
      <c r="CA87" s="12"/>
      <c r="CB87" s="12"/>
      <c r="CC87" s="12"/>
      <c r="CG87" s="12"/>
      <c r="CH87" s="12"/>
      <c r="CI87" s="12"/>
      <c r="CJ87" s="12"/>
      <c r="CN87" s="12"/>
      <c r="CO87" s="12"/>
      <c r="CP87" s="12"/>
      <c r="CQ87" s="12"/>
      <c r="CU87" s="12"/>
      <c r="CV87" s="12"/>
      <c r="CW87" s="12"/>
      <c r="CX87" s="12"/>
      <c r="DB87" s="12"/>
      <c r="DC87" s="12"/>
      <c r="DD87" s="12"/>
      <c r="DE87" s="12"/>
      <c r="DI87" s="12"/>
      <c r="DJ87" s="12"/>
      <c r="DK87" s="12"/>
      <c r="DL87" s="12"/>
      <c r="DP87" s="12"/>
      <c r="DQ87" s="12"/>
      <c r="DR87" s="12"/>
      <c r="DS87" s="12"/>
    </row>
    <row r="88" spans="2:123" hidden="1" outlineLevel="1" x14ac:dyDescent="0.2">
      <c r="B88" t="s">
        <v>28</v>
      </c>
      <c r="C88" s="23" t="s">
        <v>98</v>
      </c>
      <c r="E88" s="11"/>
      <c r="G88" s="12">
        <v>0.1</v>
      </c>
      <c r="I88" s="11">
        <f t="shared" si="4"/>
        <v>0</v>
      </c>
      <c r="J88" s="13" cm="1">
        <f t="array" ref="J88">MAX(IF($N$3:$EH$3=$J$3,N88:EH88))</f>
        <v>0</v>
      </c>
      <c r="K88" s="13" cm="1">
        <f t="array" ref="K88">MAX(IF($N$3:$EH$3=$J$3,N88:EH88))</f>
        <v>0</v>
      </c>
      <c r="L88" s="11"/>
      <c r="O88" s="12"/>
      <c r="P88" s="12"/>
      <c r="Q88" s="12"/>
      <c r="R88" s="12"/>
      <c r="V88" s="12"/>
      <c r="W88" s="12"/>
      <c r="X88" s="12"/>
      <c r="Y88" s="12"/>
      <c r="AC88" s="12"/>
      <c r="AD88" s="12"/>
      <c r="AE88" s="12"/>
      <c r="AF88" s="12"/>
      <c r="AJ88" s="12"/>
      <c r="AK88" s="12"/>
      <c r="AL88" s="12"/>
      <c r="AM88" s="12"/>
      <c r="AQ88" s="12"/>
      <c r="AR88" s="12"/>
      <c r="AS88" s="12"/>
      <c r="AT88" s="12"/>
      <c r="AX88" s="12"/>
      <c r="AY88" s="12"/>
      <c r="AZ88" s="12"/>
      <c r="BA88" s="12"/>
      <c r="BE88" s="12"/>
      <c r="BF88" s="12"/>
      <c r="BG88" s="12"/>
      <c r="BH88" s="12"/>
      <c r="BL88" s="12"/>
      <c r="BM88" s="12"/>
      <c r="BN88" s="12"/>
      <c r="BO88" s="12"/>
      <c r="BS88" s="12"/>
      <c r="BT88" s="12"/>
      <c r="BU88" s="12"/>
      <c r="BV88" s="12"/>
      <c r="BZ88" s="12"/>
      <c r="CA88" s="12"/>
      <c r="CB88" s="12"/>
      <c r="CC88" s="12"/>
      <c r="CG88" s="12"/>
      <c r="CH88" s="12"/>
      <c r="CI88" s="12"/>
      <c r="CJ88" s="12"/>
      <c r="CN88" s="12"/>
      <c r="CO88" s="12"/>
      <c r="CP88" s="12"/>
      <c r="CQ88" s="12"/>
      <c r="CU88" s="12"/>
      <c r="CV88" s="12"/>
      <c r="CW88" s="12"/>
      <c r="CX88" s="12"/>
      <c r="DB88" s="12"/>
      <c r="DC88" s="12"/>
      <c r="DD88" s="12"/>
      <c r="DE88" s="12"/>
      <c r="DI88" s="12"/>
      <c r="DJ88" s="12"/>
      <c r="DK88" s="12"/>
      <c r="DL88" s="12"/>
      <c r="DP88" s="12"/>
      <c r="DQ88" s="12"/>
      <c r="DR88" s="12"/>
      <c r="DS88" s="12"/>
    </row>
    <row r="89" spans="2:123" hidden="1" outlineLevel="1" x14ac:dyDescent="0.2">
      <c r="B89" t="s">
        <v>28</v>
      </c>
      <c r="C89" s="23" t="s">
        <v>98</v>
      </c>
      <c r="E89" s="11"/>
      <c r="G89" s="12">
        <v>0.1</v>
      </c>
      <c r="I89" s="11">
        <f t="shared" si="4"/>
        <v>0</v>
      </c>
      <c r="J89" s="13" cm="1">
        <f t="array" ref="J89">MAX(IF($N$3:$EH$3=$J$3,N89:EH89))</f>
        <v>0</v>
      </c>
      <c r="K89" s="13" cm="1">
        <f t="array" ref="K89">MAX(IF($N$3:$EH$3=$J$3,N89:EH89))</f>
        <v>0</v>
      </c>
      <c r="L89" s="11"/>
      <c r="O89" s="12"/>
      <c r="P89" s="12"/>
      <c r="Q89" s="12"/>
      <c r="R89" s="12"/>
      <c r="V89" s="12"/>
      <c r="W89" s="12"/>
      <c r="X89" s="12"/>
      <c r="Y89" s="12"/>
      <c r="AC89" s="12"/>
      <c r="AD89" s="12"/>
      <c r="AE89" s="12"/>
      <c r="AF89" s="12"/>
      <c r="AJ89" s="12"/>
      <c r="AK89" s="12"/>
      <c r="AL89" s="12"/>
      <c r="AM89" s="12"/>
      <c r="AQ89" s="12"/>
      <c r="AR89" s="12"/>
      <c r="AS89" s="12"/>
      <c r="AT89" s="12"/>
      <c r="AX89" s="12"/>
      <c r="AY89" s="12"/>
      <c r="AZ89" s="12"/>
      <c r="BA89" s="12"/>
      <c r="BE89" s="12"/>
      <c r="BF89" s="12"/>
      <c r="BG89" s="12"/>
      <c r="BH89" s="12"/>
      <c r="BL89" s="12"/>
      <c r="BM89" s="12"/>
      <c r="BN89" s="12"/>
      <c r="BO89" s="12"/>
      <c r="BS89" s="12"/>
      <c r="BT89" s="12"/>
      <c r="BU89" s="12"/>
      <c r="BV89" s="12"/>
      <c r="BZ89" s="12"/>
      <c r="CA89" s="12"/>
      <c r="CB89" s="12"/>
      <c r="CC89" s="12"/>
      <c r="CG89" s="12"/>
      <c r="CH89" s="12"/>
      <c r="CI89" s="12"/>
      <c r="CJ89" s="12"/>
      <c r="CN89" s="12"/>
      <c r="CO89" s="12"/>
      <c r="CP89" s="12"/>
      <c r="CQ89" s="12"/>
      <c r="CU89" s="12"/>
      <c r="CV89" s="12"/>
      <c r="CW89" s="12"/>
      <c r="CX89" s="12"/>
      <c r="DB89" s="12"/>
      <c r="DC89" s="12"/>
      <c r="DD89" s="12"/>
      <c r="DE89" s="12"/>
      <c r="DI89" s="12"/>
      <c r="DJ89" s="12"/>
      <c r="DK89" s="12"/>
      <c r="DL89" s="12"/>
      <c r="DP89" s="12"/>
      <c r="DQ89" s="12"/>
      <c r="DR89" s="12"/>
      <c r="DS89" s="12"/>
    </row>
    <row r="90" spans="2:123" hidden="1" outlineLevel="1" x14ac:dyDescent="0.2">
      <c r="B90" t="s">
        <v>28</v>
      </c>
      <c r="C90" s="23" t="s">
        <v>98</v>
      </c>
      <c r="E90" s="11"/>
      <c r="G90" s="12">
        <v>0.1</v>
      </c>
      <c r="I90" s="11">
        <f t="shared" si="4"/>
        <v>0</v>
      </c>
      <c r="J90" s="13" cm="1">
        <f t="array" ref="J90">MAX(IF($N$3:$EH$3=$J$3,N90:EH90))</f>
        <v>0</v>
      </c>
      <c r="K90" s="13" cm="1">
        <f t="array" ref="K90">MAX(IF($N$3:$EH$3=$J$3,N90:EH90))</f>
        <v>0</v>
      </c>
      <c r="L90" s="11"/>
      <c r="O90" s="12"/>
      <c r="P90" s="12"/>
      <c r="Q90" s="12"/>
      <c r="R90" s="12"/>
      <c r="V90" s="12"/>
      <c r="W90" s="12"/>
      <c r="X90" s="12"/>
      <c r="Y90" s="12"/>
      <c r="AC90" s="12"/>
      <c r="AD90" s="12"/>
      <c r="AE90" s="12"/>
      <c r="AF90" s="12"/>
      <c r="AJ90" s="12"/>
      <c r="AK90" s="12"/>
      <c r="AL90" s="12"/>
      <c r="AM90" s="12"/>
      <c r="AQ90" s="12"/>
      <c r="AR90" s="12"/>
      <c r="AS90" s="12"/>
      <c r="AT90" s="12"/>
      <c r="AX90" s="12"/>
      <c r="AY90" s="12"/>
      <c r="AZ90" s="12"/>
      <c r="BA90" s="12"/>
      <c r="BE90" s="12"/>
      <c r="BF90" s="12"/>
      <c r="BG90" s="12"/>
      <c r="BH90" s="12"/>
      <c r="BL90" s="12"/>
      <c r="BM90" s="12"/>
      <c r="BN90" s="12"/>
      <c r="BO90" s="12"/>
      <c r="BS90" s="12"/>
      <c r="BT90" s="12"/>
      <c r="BU90" s="12"/>
      <c r="BV90" s="12"/>
      <c r="BZ90" s="12"/>
      <c r="CA90" s="12"/>
      <c r="CB90" s="12"/>
      <c r="CC90" s="12"/>
      <c r="CG90" s="12"/>
      <c r="CH90" s="12"/>
      <c r="CI90" s="12"/>
      <c r="CJ90" s="12"/>
      <c r="CN90" s="12"/>
      <c r="CO90" s="12"/>
      <c r="CP90" s="12"/>
      <c r="CQ90" s="12"/>
      <c r="CU90" s="12"/>
      <c r="CV90" s="12"/>
      <c r="CW90" s="12"/>
      <c r="CX90" s="12"/>
      <c r="DB90" s="12"/>
      <c r="DC90" s="12"/>
      <c r="DD90" s="12"/>
      <c r="DE90" s="12"/>
      <c r="DI90" s="12"/>
      <c r="DJ90" s="12"/>
      <c r="DK90" s="12"/>
      <c r="DL90" s="12"/>
      <c r="DP90" s="12"/>
      <c r="DQ90" s="12"/>
      <c r="DR90" s="12"/>
      <c r="DS90" s="12"/>
    </row>
    <row r="91" spans="2:123" hidden="1" outlineLevel="1" x14ac:dyDescent="0.2">
      <c r="B91" t="s">
        <v>28</v>
      </c>
      <c r="C91" s="23" t="s">
        <v>98</v>
      </c>
      <c r="E91" s="11"/>
      <c r="G91" s="12">
        <v>0.1</v>
      </c>
      <c r="I91" s="11">
        <f t="shared" si="4"/>
        <v>0</v>
      </c>
      <c r="J91" s="13" cm="1">
        <f t="array" ref="J91">MAX(IF($N$3:$EH$3=$J$3,N91:EH91))</f>
        <v>0</v>
      </c>
      <c r="K91" s="13" cm="1">
        <f t="array" ref="K91">MAX(IF($N$3:$EH$3=$J$3,N91:EH91))</f>
        <v>0</v>
      </c>
      <c r="L91" s="11"/>
      <c r="O91" s="12"/>
      <c r="P91" s="12"/>
      <c r="Q91" s="12"/>
      <c r="R91" s="12"/>
      <c r="V91" s="12"/>
      <c r="W91" s="12"/>
      <c r="X91" s="12"/>
      <c r="Y91" s="12"/>
      <c r="AC91" s="12"/>
      <c r="AD91" s="12"/>
      <c r="AE91" s="12"/>
      <c r="AF91" s="12"/>
      <c r="AJ91" s="12"/>
      <c r="AK91" s="12"/>
      <c r="AL91" s="12"/>
      <c r="AM91" s="12"/>
      <c r="AQ91" s="12"/>
      <c r="AR91" s="12"/>
      <c r="AS91" s="12"/>
      <c r="AT91" s="12"/>
      <c r="AX91" s="12"/>
      <c r="AY91" s="12"/>
      <c r="AZ91" s="12"/>
      <c r="BA91" s="12"/>
      <c r="BE91" s="12"/>
      <c r="BF91" s="12"/>
      <c r="BG91" s="12"/>
      <c r="BH91" s="12"/>
      <c r="BL91" s="12"/>
      <c r="BM91" s="12"/>
      <c r="BN91" s="12"/>
      <c r="BO91" s="12"/>
      <c r="BS91" s="12"/>
      <c r="BT91" s="12"/>
      <c r="BU91" s="12"/>
      <c r="BV91" s="12"/>
      <c r="BZ91" s="12"/>
      <c r="CA91" s="12"/>
      <c r="CB91" s="12"/>
      <c r="CC91" s="12"/>
      <c r="CG91" s="12"/>
      <c r="CH91" s="12"/>
      <c r="CI91" s="12"/>
      <c r="CJ91" s="12"/>
      <c r="CN91" s="12"/>
      <c r="CO91" s="12"/>
      <c r="CP91" s="12"/>
      <c r="CQ91" s="12"/>
      <c r="CU91" s="12"/>
      <c r="CV91" s="12"/>
      <c r="CW91" s="12"/>
      <c r="CX91" s="12"/>
      <c r="DB91" s="12"/>
      <c r="DC91" s="12"/>
      <c r="DD91" s="12"/>
      <c r="DE91" s="12"/>
      <c r="DI91" s="12"/>
      <c r="DJ91" s="12"/>
      <c r="DK91" s="12"/>
      <c r="DL91" s="12"/>
      <c r="DP91" s="12"/>
      <c r="DQ91" s="12"/>
      <c r="DR91" s="12"/>
      <c r="DS91" s="12"/>
    </row>
    <row r="92" spans="2:123" hidden="1" outlineLevel="1" x14ac:dyDescent="0.2">
      <c r="B92" t="s">
        <v>28</v>
      </c>
      <c r="C92" s="23" t="s">
        <v>98</v>
      </c>
      <c r="E92" s="11"/>
      <c r="G92" s="12">
        <v>0.1</v>
      </c>
      <c r="I92" s="11">
        <f t="shared" si="4"/>
        <v>0</v>
      </c>
      <c r="J92" s="13" cm="1">
        <f t="array" ref="J92">MAX(IF($N$3:$EH$3=$J$3,N92:EH92))</f>
        <v>0</v>
      </c>
      <c r="K92" s="13" cm="1">
        <f t="array" ref="K92">MAX(IF($N$3:$EH$3=$J$3,N92:EH92))</f>
        <v>0</v>
      </c>
      <c r="L92" s="11"/>
      <c r="O92" s="12"/>
      <c r="P92" s="12"/>
      <c r="Q92" s="12"/>
      <c r="R92" s="12"/>
      <c r="V92" s="12"/>
      <c r="W92" s="12"/>
      <c r="X92" s="12"/>
      <c r="Y92" s="12"/>
      <c r="AC92" s="12"/>
      <c r="AD92" s="12"/>
      <c r="AE92" s="12"/>
      <c r="AF92" s="12"/>
      <c r="AJ92" s="12"/>
      <c r="AK92" s="12"/>
      <c r="AL92" s="12"/>
      <c r="AM92" s="12"/>
      <c r="AQ92" s="12"/>
      <c r="AR92" s="12"/>
      <c r="AS92" s="12"/>
      <c r="AT92" s="12"/>
      <c r="AX92" s="12"/>
      <c r="AY92" s="12"/>
      <c r="AZ92" s="12"/>
      <c r="BA92" s="12"/>
      <c r="BE92" s="12"/>
      <c r="BF92" s="12"/>
      <c r="BG92" s="12"/>
      <c r="BH92" s="12"/>
      <c r="BL92" s="12"/>
      <c r="BM92" s="12"/>
      <c r="BN92" s="12"/>
      <c r="BO92" s="12"/>
      <c r="BS92" s="12"/>
      <c r="BT92" s="12"/>
      <c r="BU92" s="12"/>
      <c r="BV92" s="12"/>
      <c r="BZ92" s="12"/>
      <c r="CA92" s="12"/>
      <c r="CB92" s="12"/>
      <c r="CC92" s="12"/>
      <c r="CG92" s="12"/>
      <c r="CH92" s="12"/>
      <c r="CI92" s="12"/>
      <c r="CJ92" s="12"/>
      <c r="CN92" s="12"/>
      <c r="CO92" s="12"/>
      <c r="CP92" s="12"/>
      <c r="CQ92" s="12"/>
      <c r="CU92" s="12"/>
      <c r="CV92" s="12"/>
      <c r="CW92" s="12"/>
      <c r="CX92" s="12"/>
      <c r="DB92" s="12"/>
      <c r="DC92" s="12"/>
      <c r="DD92" s="12"/>
      <c r="DE92" s="12"/>
      <c r="DI92" s="12"/>
      <c r="DJ92" s="12"/>
      <c r="DK92" s="12"/>
      <c r="DL92" s="12"/>
      <c r="DP92" s="12"/>
      <c r="DQ92" s="12"/>
      <c r="DR92" s="12"/>
      <c r="DS92" s="12"/>
    </row>
    <row r="93" spans="2:123" hidden="1" outlineLevel="1" x14ac:dyDescent="0.2">
      <c r="B93" t="s">
        <v>28</v>
      </c>
      <c r="C93" s="23" t="s">
        <v>98</v>
      </c>
      <c r="E93" s="11"/>
      <c r="G93" s="12">
        <v>0.1</v>
      </c>
      <c r="I93" s="11">
        <f t="shared" si="4"/>
        <v>0</v>
      </c>
      <c r="J93" s="13" cm="1">
        <f t="array" ref="J93">MAX(IF($N$3:$EH$3=$J$3,N93:EH93))</f>
        <v>0</v>
      </c>
      <c r="K93" s="13" cm="1">
        <f t="array" ref="K93">MAX(IF($N$3:$EH$3=$J$3,N93:EH93))</f>
        <v>0</v>
      </c>
      <c r="L93" s="11"/>
      <c r="O93" s="12"/>
      <c r="P93" s="12"/>
      <c r="Q93" s="12"/>
      <c r="R93" s="12"/>
      <c r="V93" s="12"/>
      <c r="W93" s="12"/>
      <c r="X93" s="12"/>
      <c r="Y93" s="12"/>
      <c r="AC93" s="12"/>
      <c r="AD93" s="12"/>
      <c r="AE93" s="12"/>
      <c r="AF93" s="12"/>
      <c r="AJ93" s="12"/>
      <c r="AK93" s="12"/>
      <c r="AL93" s="12"/>
      <c r="AM93" s="12"/>
      <c r="AQ93" s="12"/>
      <c r="AR93" s="12"/>
      <c r="AS93" s="12"/>
      <c r="AT93" s="12"/>
      <c r="AX93" s="12"/>
      <c r="AY93" s="12"/>
      <c r="AZ93" s="12"/>
      <c r="BA93" s="12"/>
      <c r="BE93" s="12"/>
      <c r="BF93" s="12"/>
      <c r="BG93" s="12"/>
      <c r="BH93" s="12"/>
      <c r="BL93" s="12"/>
      <c r="BM93" s="12"/>
      <c r="BN93" s="12"/>
      <c r="BO93" s="12"/>
      <c r="BS93" s="12"/>
      <c r="BT93" s="12"/>
      <c r="BU93" s="12"/>
      <c r="BV93" s="12"/>
      <c r="BZ93" s="12"/>
      <c r="CA93" s="12"/>
      <c r="CB93" s="12"/>
      <c r="CC93" s="12"/>
      <c r="CG93" s="12"/>
      <c r="CH93" s="12"/>
      <c r="CI93" s="12"/>
      <c r="CJ93" s="12"/>
      <c r="CN93" s="12"/>
      <c r="CO93" s="12"/>
      <c r="CP93" s="12"/>
      <c r="CQ93" s="12"/>
      <c r="CU93" s="12"/>
      <c r="CV93" s="12"/>
      <c r="CW93" s="12"/>
      <c r="CX93" s="12"/>
      <c r="DB93" s="12"/>
      <c r="DC93" s="12"/>
      <c r="DD93" s="12"/>
      <c r="DE93" s="12"/>
      <c r="DI93" s="12"/>
      <c r="DJ93" s="12"/>
      <c r="DK93" s="12"/>
      <c r="DL93" s="12"/>
      <c r="DP93" s="12"/>
      <c r="DQ93" s="12"/>
      <c r="DR93" s="12"/>
      <c r="DS93" s="12"/>
    </row>
    <row r="94" spans="2:123" hidden="1" outlineLevel="1" x14ac:dyDescent="0.2">
      <c r="B94" t="s">
        <v>28</v>
      </c>
      <c r="C94" s="23" t="s">
        <v>98</v>
      </c>
      <c r="E94" s="11"/>
      <c r="G94" s="12">
        <v>0.1</v>
      </c>
      <c r="I94" s="11">
        <f t="shared" si="4"/>
        <v>0</v>
      </c>
      <c r="J94" s="13" cm="1">
        <f t="array" ref="J94">MAX(IF($N$3:$EH$3=$J$3,N94:EH94))</f>
        <v>0</v>
      </c>
      <c r="K94" s="13" cm="1">
        <f t="array" ref="K94">MAX(IF($N$3:$EH$3=$J$3,N94:EH94))</f>
        <v>0</v>
      </c>
      <c r="L94" s="11"/>
      <c r="O94" s="12"/>
      <c r="P94" s="12"/>
      <c r="Q94" s="12"/>
      <c r="R94" s="12"/>
      <c r="V94" s="12"/>
      <c r="W94" s="12"/>
      <c r="X94" s="12"/>
      <c r="Y94" s="12"/>
      <c r="AC94" s="12"/>
      <c r="AD94" s="12"/>
      <c r="AE94" s="12"/>
      <c r="AF94" s="12"/>
      <c r="AJ94" s="12"/>
      <c r="AK94" s="12"/>
      <c r="AL94" s="12"/>
      <c r="AM94" s="12"/>
      <c r="AQ94" s="12"/>
      <c r="AR94" s="12"/>
      <c r="AS94" s="12"/>
      <c r="AT94" s="12"/>
      <c r="AX94" s="12"/>
      <c r="AY94" s="12"/>
      <c r="AZ94" s="12"/>
      <c r="BA94" s="12"/>
      <c r="BE94" s="12"/>
      <c r="BF94" s="12"/>
      <c r="BG94" s="12"/>
      <c r="BH94" s="12"/>
      <c r="BL94" s="12"/>
      <c r="BM94" s="12"/>
      <c r="BN94" s="12"/>
      <c r="BO94" s="12"/>
      <c r="BS94" s="12"/>
      <c r="BT94" s="12"/>
      <c r="BU94" s="12"/>
      <c r="BV94" s="12"/>
      <c r="BZ94" s="12"/>
      <c r="CA94" s="12"/>
      <c r="CB94" s="12"/>
      <c r="CC94" s="12"/>
      <c r="CG94" s="12"/>
      <c r="CH94" s="12"/>
      <c r="CI94" s="12"/>
      <c r="CJ94" s="12"/>
      <c r="CN94" s="12"/>
      <c r="CO94" s="12"/>
      <c r="CP94" s="12"/>
      <c r="CQ94" s="12"/>
      <c r="CU94" s="12"/>
      <c r="CV94" s="12"/>
      <c r="CW94" s="12"/>
      <c r="CX94" s="12"/>
      <c r="DB94" s="12"/>
      <c r="DC94" s="12"/>
      <c r="DD94" s="12"/>
      <c r="DE94" s="12"/>
      <c r="DI94" s="12"/>
      <c r="DJ94" s="12"/>
      <c r="DK94" s="12"/>
      <c r="DL94" s="12"/>
      <c r="DP94" s="12"/>
      <c r="DQ94" s="12"/>
      <c r="DR94" s="12"/>
      <c r="DS94" s="12"/>
    </row>
    <row r="95" spans="2:123" collapsed="1" x14ac:dyDescent="0.2">
      <c r="C95" s="23"/>
    </row>
    <row r="96" spans="2:123" x14ac:dyDescent="0.2">
      <c r="C96" s="23" t="s">
        <v>98</v>
      </c>
      <c r="D96" s="22"/>
      <c r="E96" s="11">
        <v>0</v>
      </c>
      <c r="F96" t="s">
        <v>100</v>
      </c>
      <c r="G96" s="12">
        <v>0</v>
      </c>
      <c r="I96" s="14">
        <f>+SUM(I97:I106)</f>
        <v>0</v>
      </c>
      <c r="J96" s="13">
        <f>+SUMPRODUCT(G97:G106,J97:J106)</f>
        <v>0</v>
      </c>
      <c r="K96" s="13">
        <f>+SUMPRODUCT(G97:G106,K97:K106)</f>
        <v>0</v>
      </c>
      <c r="L96" s="11"/>
      <c r="N96" s="14">
        <f>+SUM(N97:N106)</f>
        <v>0</v>
      </c>
      <c r="U96" s="14"/>
      <c r="AB96" s="14"/>
      <c r="AI96" s="14"/>
      <c r="AP96" s="14"/>
    </row>
    <row r="97" spans="2:123" hidden="1" outlineLevel="1" x14ac:dyDescent="0.2">
      <c r="B97" t="s">
        <v>28</v>
      </c>
      <c r="C97" s="23" t="s">
        <v>98</v>
      </c>
      <c r="E97" s="11"/>
      <c r="G97" s="12">
        <v>0.1</v>
      </c>
      <c r="I97" s="11">
        <f t="shared" ref="I97:I106" si="5">+SUMIF($N$3:$ZZ$3,I$3,$N97:$ZZ97)</f>
        <v>0</v>
      </c>
      <c r="J97" s="13" cm="1">
        <f t="array" ref="J97">MAX(IF($N$3:$EH$3=$J$3,N97:EH97))</f>
        <v>0</v>
      </c>
      <c r="K97" s="13" cm="1">
        <f t="array" ref="K97">MAX(IF($N$3:$EH$3=$J$3,N97:EH97))</f>
        <v>0</v>
      </c>
      <c r="L97" s="11"/>
      <c r="O97" s="12"/>
      <c r="P97" s="12"/>
      <c r="Q97" s="12"/>
      <c r="R97" s="12"/>
      <c r="V97" s="12"/>
      <c r="W97" s="12"/>
      <c r="X97" s="12"/>
      <c r="Y97" s="12"/>
      <c r="AC97" s="12"/>
      <c r="AD97" s="12"/>
      <c r="AE97" s="12"/>
      <c r="AF97" s="12"/>
      <c r="AJ97" s="12"/>
      <c r="AK97" s="12"/>
      <c r="AL97" s="12"/>
      <c r="AM97" s="12"/>
      <c r="AQ97" s="12"/>
      <c r="AR97" s="12"/>
      <c r="AS97" s="12"/>
      <c r="AT97" s="12"/>
      <c r="AX97" s="12"/>
      <c r="AY97" s="12"/>
      <c r="AZ97" s="12"/>
      <c r="BA97" s="12"/>
      <c r="BE97" s="12"/>
      <c r="BF97" s="12"/>
      <c r="BG97" s="12"/>
      <c r="BH97" s="12"/>
      <c r="BL97" s="12"/>
      <c r="BM97" s="12"/>
      <c r="BN97" s="12"/>
      <c r="BO97" s="12"/>
      <c r="BS97" s="12"/>
      <c r="BT97" s="12"/>
      <c r="BU97" s="12"/>
      <c r="BV97" s="12"/>
      <c r="BZ97" s="12"/>
      <c r="CA97" s="12"/>
      <c r="CB97" s="12"/>
      <c r="CC97" s="12"/>
      <c r="CG97" s="12"/>
      <c r="CH97" s="12"/>
      <c r="CI97" s="12"/>
      <c r="CJ97" s="12"/>
      <c r="CN97" s="12"/>
      <c r="CO97" s="12"/>
      <c r="CP97" s="12"/>
      <c r="CQ97" s="12"/>
      <c r="CU97" s="12"/>
      <c r="CV97" s="12"/>
      <c r="CW97" s="12"/>
      <c r="CX97" s="12"/>
      <c r="DB97" s="12"/>
      <c r="DC97" s="12"/>
      <c r="DD97" s="12"/>
      <c r="DE97" s="12"/>
      <c r="DI97" s="12"/>
      <c r="DJ97" s="12"/>
      <c r="DK97" s="12"/>
      <c r="DL97" s="12"/>
      <c r="DP97" s="12"/>
      <c r="DQ97" s="12"/>
      <c r="DR97" s="12"/>
      <c r="DS97" s="12"/>
    </row>
    <row r="98" spans="2:123" hidden="1" outlineLevel="1" x14ac:dyDescent="0.2">
      <c r="B98" t="s">
        <v>28</v>
      </c>
      <c r="C98" s="23" t="s">
        <v>98</v>
      </c>
      <c r="E98" s="11"/>
      <c r="G98" s="12">
        <v>0.05</v>
      </c>
      <c r="I98" s="11">
        <f t="shared" si="5"/>
        <v>0</v>
      </c>
      <c r="J98" s="13" cm="1">
        <f t="array" ref="J98">MAX(IF($N$3:$EH$3=$J$3,N98:EH98))</f>
        <v>0</v>
      </c>
      <c r="K98" s="13" cm="1">
        <f t="array" ref="K98">MAX(IF($N$3:$EH$3=$J$3,N98:EH98))</f>
        <v>0</v>
      </c>
      <c r="L98" s="11"/>
      <c r="O98" s="12"/>
      <c r="P98" s="12"/>
      <c r="Q98" s="12"/>
      <c r="R98" s="12"/>
      <c r="V98" s="12"/>
      <c r="W98" s="12"/>
      <c r="X98" s="12"/>
      <c r="Y98" s="12"/>
      <c r="AC98" s="12"/>
      <c r="AD98" s="12"/>
      <c r="AE98" s="12"/>
      <c r="AF98" s="12"/>
      <c r="AJ98" s="12"/>
      <c r="AK98" s="12"/>
      <c r="AL98" s="12"/>
      <c r="AM98" s="12"/>
      <c r="AQ98" s="12"/>
      <c r="AR98" s="12"/>
      <c r="AS98" s="12"/>
      <c r="AT98" s="12"/>
      <c r="AX98" s="12"/>
      <c r="AY98" s="12"/>
      <c r="AZ98" s="12"/>
      <c r="BA98" s="12"/>
      <c r="BE98" s="12"/>
      <c r="BF98" s="12"/>
      <c r="BG98" s="12"/>
      <c r="BH98" s="12"/>
      <c r="BL98" s="12"/>
      <c r="BM98" s="12"/>
      <c r="BN98" s="12"/>
      <c r="BO98" s="12"/>
      <c r="BS98" s="12"/>
      <c r="BT98" s="12"/>
      <c r="BU98" s="12"/>
      <c r="BV98" s="12"/>
      <c r="BZ98" s="12"/>
      <c r="CA98" s="12"/>
      <c r="CB98" s="12"/>
      <c r="CC98" s="12"/>
      <c r="CG98" s="12"/>
      <c r="CH98" s="12"/>
      <c r="CI98" s="12"/>
      <c r="CJ98" s="12"/>
      <c r="CN98" s="12"/>
      <c r="CO98" s="12"/>
      <c r="CP98" s="12"/>
      <c r="CQ98" s="12"/>
      <c r="CU98" s="12"/>
      <c r="CV98" s="12"/>
      <c r="CW98" s="12"/>
      <c r="CX98" s="12"/>
      <c r="DB98" s="12"/>
      <c r="DC98" s="12"/>
      <c r="DD98" s="12"/>
      <c r="DE98" s="12"/>
      <c r="DI98" s="12"/>
      <c r="DJ98" s="12"/>
      <c r="DK98" s="12"/>
      <c r="DL98" s="12"/>
      <c r="DP98" s="12"/>
      <c r="DQ98" s="12"/>
      <c r="DR98" s="12"/>
      <c r="DS98" s="12"/>
    </row>
    <row r="99" spans="2:123" hidden="1" outlineLevel="1" x14ac:dyDescent="0.2">
      <c r="B99" t="s">
        <v>28</v>
      </c>
      <c r="C99" s="23" t="s">
        <v>98</v>
      </c>
      <c r="E99" s="11"/>
      <c r="G99" s="12">
        <v>0.05</v>
      </c>
      <c r="I99" s="11">
        <f t="shared" si="5"/>
        <v>0</v>
      </c>
      <c r="J99" s="13" cm="1">
        <f t="array" ref="J99">MAX(IF($N$3:$EH$3=$J$3,N99:EH99))</f>
        <v>0</v>
      </c>
      <c r="K99" s="13" cm="1">
        <f t="array" ref="K99">MAX(IF($N$3:$EH$3=$J$3,N99:EH99))</f>
        <v>0</v>
      </c>
      <c r="L99" s="11"/>
      <c r="O99" s="12"/>
      <c r="P99" s="12"/>
      <c r="Q99" s="12"/>
      <c r="R99" s="12"/>
      <c r="V99" s="12"/>
      <c r="W99" s="12"/>
      <c r="X99" s="12"/>
      <c r="Y99" s="12"/>
      <c r="AC99" s="12"/>
      <c r="AD99" s="12"/>
      <c r="AE99" s="12"/>
      <c r="AF99" s="12"/>
      <c r="AJ99" s="12"/>
      <c r="AK99" s="12"/>
      <c r="AL99" s="12"/>
      <c r="AM99" s="12"/>
      <c r="AQ99" s="12"/>
      <c r="AR99" s="12"/>
      <c r="AS99" s="12"/>
      <c r="AT99" s="12"/>
      <c r="AX99" s="12"/>
      <c r="AY99" s="12"/>
      <c r="AZ99" s="12"/>
      <c r="BA99" s="12"/>
      <c r="BE99" s="12"/>
      <c r="BF99" s="12"/>
      <c r="BG99" s="12"/>
      <c r="BH99" s="12"/>
      <c r="BL99" s="12"/>
      <c r="BM99" s="12"/>
      <c r="BN99" s="12"/>
      <c r="BO99" s="12"/>
      <c r="BS99" s="12"/>
      <c r="BT99" s="12"/>
      <c r="BU99" s="12"/>
      <c r="BV99" s="12"/>
      <c r="BZ99" s="12"/>
      <c r="CA99" s="12"/>
      <c r="CB99" s="12"/>
      <c r="CC99" s="12"/>
      <c r="CG99" s="12"/>
      <c r="CH99" s="12"/>
      <c r="CI99" s="12"/>
      <c r="CJ99" s="12"/>
      <c r="CN99" s="12"/>
      <c r="CO99" s="12"/>
      <c r="CP99" s="12"/>
      <c r="CQ99" s="12"/>
      <c r="CU99" s="12"/>
      <c r="CV99" s="12"/>
      <c r="CW99" s="12"/>
      <c r="CX99" s="12"/>
      <c r="DB99" s="12"/>
      <c r="DC99" s="12"/>
      <c r="DD99" s="12"/>
      <c r="DE99" s="12"/>
      <c r="DI99" s="12"/>
      <c r="DJ99" s="12"/>
      <c r="DK99" s="12"/>
      <c r="DL99" s="12"/>
      <c r="DP99" s="12"/>
      <c r="DQ99" s="12"/>
      <c r="DR99" s="12"/>
      <c r="DS99" s="12"/>
    </row>
    <row r="100" spans="2:123" hidden="1" outlineLevel="1" x14ac:dyDescent="0.2">
      <c r="B100" t="s">
        <v>28</v>
      </c>
      <c r="C100" s="23" t="s">
        <v>98</v>
      </c>
      <c r="E100" s="11"/>
      <c r="G100" s="12">
        <v>0.1</v>
      </c>
      <c r="I100" s="11">
        <f t="shared" si="5"/>
        <v>0</v>
      </c>
      <c r="J100" s="13" cm="1">
        <f t="array" ref="J100">MAX(IF($N$3:$EH$3=$J$3,N100:EH100))</f>
        <v>0</v>
      </c>
      <c r="K100" s="13" cm="1">
        <f t="array" ref="K100">MAX(IF($N$3:$EH$3=$J$3,N100:EH100))</f>
        <v>0</v>
      </c>
      <c r="L100" s="11"/>
      <c r="O100" s="12"/>
      <c r="P100" s="12"/>
      <c r="Q100" s="12"/>
      <c r="R100" s="12"/>
      <c r="V100" s="12"/>
      <c r="W100" s="12"/>
      <c r="X100" s="12"/>
      <c r="Y100" s="12"/>
      <c r="AC100" s="12"/>
      <c r="AD100" s="12"/>
      <c r="AE100" s="12"/>
      <c r="AF100" s="12"/>
      <c r="AJ100" s="12"/>
      <c r="AK100" s="12"/>
      <c r="AL100" s="12"/>
      <c r="AM100" s="12"/>
      <c r="AQ100" s="12"/>
      <c r="AR100" s="12"/>
      <c r="AS100" s="12"/>
      <c r="AT100" s="12"/>
      <c r="AX100" s="12"/>
      <c r="AY100" s="12"/>
      <c r="AZ100" s="12"/>
      <c r="BA100" s="12"/>
      <c r="BE100" s="12"/>
      <c r="BF100" s="12"/>
      <c r="BG100" s="12"/>
      <c r="BH100" s="12"/>
      <c r="BL100" s="12"/>
      <c r="BM100" s="12"/>
      <c r="BN100" s="12"/>
      <c r="BO100" s="12"/>
      <c r="BS100" s="12"/>
      <c r="BT100" s="12"/>
      <c r="BU100" s="12"/>
      <c r="BV100" s="12"/>
      <c r="BZ100" s="12"/>
      <c r="CA100" s="12"/>
      <c r="CB100" s="12"/>
      <c r="CC100" s="12"/>
      <c r="CG100" s="12"/>
      <c r="CH100" s="12"/>
      <c r="CI100" s="12"/>
      <c r="CJ100" s="12"/>
      <c r="CN100" s="12"/>
      <c r="CO100" s="12"/>
      <c r="CP100" s="12"/>
      <c r="CQ100" s="12"/>
      <c r="CU100" s="12"/>
      <c r="CV100" s="12"/>
      <c r="CW100" s="12"/>
      <c r="CX100" s="12"/>
      <c r="DB100" s="12"/>
      <c r="DC100" s="12"/>
      <c r="DD100" s="12"/>
      <c r="DE100" s="12"/>
      <c r="DI100" s="12"/>
      <c r="DJ100" s="12"/>
      <c r="DK100" s="12"/>
      <c r="DL100" s="12"/>
      <c r="DP100" s="12"/>
      <c r="DQ100" s="12"/>
      <c r="DR100" s="12"/>
      <c r="DS100" s="12"/>
    </row>
    <row r="101" spans="2:123" hidden="1" outlineLevel="1" x14ac:dyDescent="0.2">
      <c r="B101" t="s">
        <v>28</v>
      </c>
      <c r="C101" s="23" t="s">
        <v>98</v>
      </c>
      <c r="E101" s="11"/>
      <c r="G101" s="12">
        <v>0.1</v>
      </c>
      <c r="I101" s="11">
        <f t="shared" si="5"/>
        <v>0</v>
      </c>
      <c r="J101" s="13" cm="1">
        <f t="array" ref="J101">MAX(IF($N$3:$EH$3=$J$3,N101:EH101))</f>
        <v>0</v>
      </c>
      <c r="K101" s="13" cm="1">
        <f t="array" ref="K101">MAX(IF($N$3:$EH$3=$J$3,N101:EH101))</f>
        <v>0</v>
      </c>
      <c r="L101" s="11"/>
      <c r="O101" s="12"/>
      <c r="P101" s="12"/>
      <c r="Q101" s="12"/>
      <c r="R101" s="12"/>
      <c r="V101" s="12"/>
      <c r="W101" s="12"/>
      <c r="X101" s="12"/>
      <c r="Y101" s="12"/>
      <c r="AC101" s="12"/>
      <c r="AD101" s="12"/>
      <c r="AE101" s="12"/>
      <c r="AF101" s="12"/>
      <c r="AJ101" s="12"/>
      <c r="AK101" s="12"/>
      <c r="AL101" s="12"/>
      <c r="AM101" s="12"/>
      <c r="AQ101" s="12"/>
      <c r="AR101" s="12"/>
      <c r="AS101" s="12"/>
      <c r="AT101" s="12"/>
      <c r="AX101" s="12"/>
      <c r="AY101" s="12"/>
      <c r="AZ101" s="12"/>
      <c r="BA101" s="12"/>
      <c r="BE101" s="12"/>
      <c r="BF101" s="12"/>
      <c r="BG101" s="12"/>
      <c r="BH101" s="12"/>
      <c r="BL101" s="12"/>
      <c r="BM101" s="12"/>
      <c r="BN101" s="12"/>
      <c r="BO101" s="12"/>
      <c r="BS101" s="12"/>
      <c r="BT101" s="12"/>
      <c r="BU101" s="12"/>
      <c r="BV101" s="12"/>
      <c r="BZ101" s="12"/>
      <c r="CA101" s="12"/>
      <c r="CB101" s="12"/>
      <c r="CC101" s="12"/>
      <c r="CG101" s="12"/>
      <c r="CH101" s="12"/>
      <c r="CI101" s="12"/>
      <c r="CJ101" s="12"/>
      <c r="CN101" s="12"/>
      <c r="CO101" s="12"/>
      <c r="CP101" s="12"/>
      <c r="CQ101" s="12"/>
      <c r="CU101" s="12"/>
      <c r="CV101" s="12"/>
      <c r="CW101" s="12"/>
      <c r="CX101" s="12"/>
      <c r="DB101" s="12"/>
      <c r="DC101" s="12"/>
      <c r="DD101" s="12"/>
      <c r="DE101" s="12"/>
      <c r="DI101" s="12"/>
      <c r="DJ101" s="12"/>
      <c r="DK101" s="12"/>
      <c r="DL101" s="12"/>
      <c r="DP101" s="12"/>
      <c r="DQ101" s="12"/>
      <c r="DR101" s="12"/>
      <c r="DS101" s="12"/>
    </row>
    <row r="102" spans="2:123" hidden="1" outlineLevel="1" x14ac:dyDescent="0.2">
      <c r="B102" t="s">
        <v>28</v>
      </c>
      <c r="C102" s="23" t="s">
        <v>98</v>
      </c>
      <c r="E102" s="11"/>
      <c r="G102" s="12">
        <v>0.1</v>
      </c>
      <c r="I102" s="11">
        <f t="shared" si="5"/>
        <v>0</v>
      </c>
      <c r="J102" s="13" cm="1">
        <f t="array" ref="J102">MAX(IF($N$3:$EH$3=$J$3,N102:EH102))</f>
        <v>0</v>
      </c>
      <c r="K102" s="13" cm="1">
        <f t="array" ref="K102">MAX(IF($N$3:$EH$3=$J$3,N102:EH102))</f>
        <v>0</v>
      </c>
      <c r="L102" s="11"/>
      <c r="O102" s="12"/>
      <c r="P102" s="12"/>
      <c r="Q102" s="12"/>
      <c r="R102" s="12"/>
      <c r="V102" s="12"/>
      <c r="W102" s="12"/>
      <c r="X102" s="12"/>
      <c r="Y102" s="12"/>
      <c r="AC102" s="12"/>
      <c r="AD102" s="12"/>
      <c r="AE102" s="12"/>
      <c r="AF102" s="12"/>
      <c r="AJ102" s="12"/>
      <c r="AK102" s="12"/>
      <c r="AL102" s="12"/>
      <c r="AM102" s="12"/>
      <c r="AQ102" s="12"/>
      <c r="AR102" s="12"/>
      <c r="AS102" s="12"/>
      <c r="AT102" s="12"/>
      <c r="AX102" s="12"/>
      <c r="AY102" s="12"/>
      <c r="AZ102" s="12"/>
      <c r="BA102" s="12"/>
      <c r="BE102" s="12"/>
      <c r="BF102" s="12"/>
      <c r="BG102" s="12"/>
      <c r="BH102" s="12"/>
      <c r="BL102" s="12"/>
      <c r="BM102" s="12"/>
      <c r="BN102" s="12"/>
      <c r="BO102" s="12"/>
      <c r="BS102" s="12"/>
      <c r="BT102" s="12"/>
      <c r="BU102" s="12"/>
      <c r="BV102" s="12"/>
      <c r="BZ102" s="12"/>
      <c r="CA102" s="12"/>
      <c r="CB102" s="12"/>
      <c r="CC102" s="12"/>
      <c r="CG102" s="12"/>
      <c r="CH102" s="12"/>
      <c r="CI102" s="12"/>
      <c r="CJ102" s="12"/>
      <c r="CN102" s="12"/>
      <c r="CO102" s="12"/>
      <c r="CP102" s="12"/>
      <c r="CQ102" s="12"/>
      <c r="CU102" s="12"/>
      <c r="CV102" s="12"/>
      <c r="CW102" s="12"/>
      <c r="CX102" s="12"/>
      <c r="DB102" s="12"/>
      <c r="DC102" s="12"/>
      <c r="DD102" s="12"/>
      <c r="DE102" s="12"/>
      <c r="DI102" s="12"/>
      <c r="DJ102" s="12"/>
      <c r="DK102" s="12"/>
      <c r="DL102" s="12"/>
      <c r="DP102" s="12"/>
      <c r="DQ102" s="12"/>
      <c r="DR102" s="12"/>
      <c r="DS102" s="12"/>
    </row>
    <row r="103" spans="2:123" hidden="1" outlineLevel="1" x14ac:dyDescent="0.2">
      <c r="B103" t="s">
        <v>28</v>
      </c>
      <c r="C103" s="23" t="s">
        <v>98</v>
      </c>
      <c r="E103" s="11"/>
      <c r="G103" s="12">
        <v>0.1</v>
      </c>
      <c r="I103" s="11">
        <f t="shared" si="5"/>
        <v>0</v>
      </c>
      <c r="J103" s="13" cm="1">
        <f t="array" ref="J103">MAX(IF($N$3:$EH$3=$J$3,N103:EH103))</f>
        <v>0</v>
      </c>
      <c r="K103" s="13" cm="1">
        <f t="array" ref="K103">MAX(IF($N$3:$EH$3=$J$3,N103:EH103))</f>
        <v>0</v>
      </c>
      <c r="L103" s="11"/>
      <c r="O103" s="12"/>
      <c r="P103" s="12"/>
      <c r="Q103" s="12"/>
      <c r="R103" s="12"/>
      <c r="V103" s="12"/>
      <c r="W103" s="12"/>
      <c r="X103" s="12"/>
      <c r="Y103" s="12"/>
      <c r="AC103" s="12"/>
      <c r="AD103" s="12"/>
      <c r="AE103" s="12"/>
      <c r="AF103" s="12"/>
      <c r="AJ103" s="12"/>
      <c r="AK103" s="12"/>
      <c r="AL103" s="12"/>
      <c r="AM103" s="12"/>
      <c r="AQ103" s="12"/>
      <c r="AR103" s="12"/>
      <c r="AS103" s="12"/>
      <c r="AT103" s="12"/>
      <c r="AX103" s="12"/>
      <c r="AY103" s="12"/>
      <c r="AZ103" s="12"/>
      <c r="BA103" s="12"/>
      <c r="BE103" s="12"/>
      <c r="BF103" s="12"/>
      <c r="BG103" s="12"/>
      <c r="BH103" s="12"/>
      <c r="BL103" s="12"/>
      <c r="BM103" s="12"/>
      <c r="BN103" s="12"/>
      <c r="BO103" s="12"/>
      <c r="BS103" s="12"/>
      <c r="BT103" s="12"/>
      <c r="BU103" s="12"/>
      <c r="BV103" s="12"/>
      <c r="BZ103" s="12"/>
      <c r="CA103" s="12"/>
      <c r="CB103" s="12"/>
      <c r="CC103" s="12"/>
      <c r="CG103" s="12"/>
      <c r="CH103" s="12"/>
      <c r="CI103" s="12"/>
      <c r="CJ103" s="12"/>
      <c r="CN103" s="12"/>
      <c r="CO103" s="12"/>
      <c r="CP103" s="12"/>
      <c r="CQ103" s="12"/>
      <c r="CU103" s="12"/>
      <c r="CV103" s="12"/>
      <c r="CW103" s="12"/>
      <c r="CX103" s="12"/>
      <c r="DB103" s="12"/>
      <c r="DC103" s="12"/>
      <c r="DD103" s="12"/>
      <c r="DE103" s="12"/>
      <c r="DI103" s="12"/>
      <c r="DJ103" s="12"/>
      <c r="DK103" s="12"/>
      <c r="DL103" s="12"/>
      <c r="DP103" s="12"/>
      <c r="DQ103" s="12"/>
      <c r="DR103" s="12"/>
      <c r="DS103" s="12"/>
    </row>
    <row r="104" spans="2:123" hidden="1" outlineLevel="1" x14ac:dyDescent="0.2">
      <c r="B104" t="s">
        <v>28</v>
      </c>
      <c r="C104" s="23" t="s">
        <v>98</v>
      </c>
      <c r="E104" s="11"/>
      <c r="G104" s="12">
        <v>0.1</v>
      </c>
      <c r="I104" s="11">
        <f t="shared" si="5"/>
        <v>0</v>
      </c>
      <c r="J104" s="13" cm="1">
        <f t="array" ref="J104">MAX(IF($N$3:$EH$3=$J$3,N104:EH104))</f>
        <v>0</v>
      </c>
      <c r="K104" s="13" cm="1">
        <f t="array" ref="K104">MAX(IF($N$3:$EH$3=$J$3,N104:EH104))</f>
        <v>0</v>
      </c>
      <c r="L104" s="11"/>
      <c r="O104" s="12"/>
      <c r="P104" s="12"/>
      <c r="Q104" s="12"/>
      <c r="R104" s="12"/>
      <c r="V104" s="12"/>
      <c r="W104" s="12"/>
      <c r="X104" s="12"/>
      <c r="Y104" s="12"/>
      <c r="AC104" s="12"/>
      <c r="AD104" s="12"/>
      <c r="AE104" s="12"/>
      <c r="AF104" s="12"/>
      <c r="AJ104" s="12"/>
      <c r="AK104" s="12"/>
      <c r="AL104" s="12"/>
      <c r="AM104" s="12"/>
      <c r="AQ104" s="12"/>
      <c r="AR104" s="12"/>
      <c r="AS104" s="12"/>
      <c r="AT104" s="12"/>
      <c r="AX104" s="12"/>
      <c r="AY104" s="12"/>
      <c r="AZ104" s="12"/>
      <c r="BA104" s="12"/>
      <c r="BE104" s="12"/>
      <c r="BF104" s="12"/>
      <c r="BG104" s="12"/>
      <c r="BH104" s="12"/>
      <c r="BL104" s="12"/>
      <c r="BM104" s="12"/>
      <c r="BN104" s="12"/>
      <c r="BO104" s="12"/>
      <c r="BS104" s="12"/>
      <c r="BT104" s="12"/>
      <c r="BU104" s="12"/>
      <c r="BV104" s="12"/>
      <c r="BZ104" s="12"/>
      <c r="CA104" s="12"/>
      <c r="CB104" s="12"/>
      <c r="CC104" s="12"/>
      <c r="CG104" s="12"/>
      <c r="CH104" s="12"/>
      <c r="CI104" s="12"/>
      <c r="CJ104" s="12"/>
      <c r="CN104" s="12"/>
      <c r="CO104" s="12"/>
      <c r="CP104" s="12"/>
      <c r="CQ104" s="12"/>
      <c r="CU104" s="12"/>
      <c r="CV104" s="12"/>
      <c r="CW104" s="12"/>
      <c r="CX104" s="12"/>
      <c r="DB104" s="12"/>
      <c r="DC104" s="12"/>
      <c r="DD104" s="12"/>
      <c r="DE104" s="12"/>
      <c r="DI104" s="12"/>
      <c r="DJ104" s="12"/>
      <c r="DK104" s="12"/>
      <c r="DL104" s="12"/>
      <c r="DP104" s="12"/>
      <c r="DQ104" s="12"/>
      <c r="DR104" s="12"/>
      <c r="DS104" s="12"/>
    </row>
    <row r="105" spans="2:123" hidden="1" outlineLevel="1" x14ac:dyDescent="0.2">
      <c r="B105" t="s">
        <v>28</v>
      </c>
      <c r="C105" s="23" t="s">
        <v>98</v>
      </c>
      <c r="E105" s="11"/>
      <c r="G105" s="12">
        <v>0.1</v>
      </c>
      <c r="I105" s="11">
        <f t="shared" si="5"/>
        <v>0</v>
      </c>
      <c r="J105" s="13" cm="1">
        <f t="array" ref="J105">MAX(IF($N$3:$EH$3=$J$3,N105:EH105))</f>
        <v>0</v>
      </c>
      <c r="K105" s="13" cm="1">
        <f t="array" ref="K105">MAX(IF($N$3:$EH$3=$J$3,N105:EH105))</f>
        <v>0</v>
      </c>
      <c r="L105" s="11"/>
      <c r="O105" s="12"/>
      <c r="P105" s="12"/>
      <c r="Q105" s="12"/>
      <c r="R105" s="12"/>
      <c r="V105" s="12"/>
      <c r="W105" s="12"/>
      <c r="X105" s="12"/>
      <c r="Y105" s="12"/>
      <c r="AC105" s="12"/>
      <c r="AD105" s="12"/>
      <c r="AE105" s="12"/>
      <c r="AF105" s="12"/>
      <c r="AJ105" s="12"/>
      <c r="AK105" s="12"/>
      <c r="AL105" s="12"/>
      <c r="AM105" s="12"/>
      <c r="AQ105" s="12"/>
      <c r="AR105" s="12"/>
      <c r="AS105" s="12"/>
      <c r="AT105" s="12"/>
      <c r="AX105" s="12"/>
      <c r="AY105" s="12"/>
      <c r="AZ105" s="12"/>
      <c r="BA105" s="12"/>
      <c r="BE105" s="12"/>
      <c r="BF105" s="12"/>
      <c r="BG105" s="12"/>
      <c r="BH105" s="12"/>
      <c r="BL105" s="12"/>
      <c r="BM105" s="12"/>
      <c r="BN105" s="12"/>
      <c r="BO105" s="12"/>
      <c r="BS105" s="12"/>
      <c r="BT105" s="12"/>
      <c r="BU105" s="12"/>
      <c r="BV105" s="12"/>
      <c r="BZ105" s="12"/>
      <c r="CA105" s="12"/>
      <c r="CB105" s="12"/>
      <c r="CC105" s="12"/>
      <c r="CG105" s="12"/>
      <c r="CH105" s="12"/>
      <c r="CI105" s="12"/>
      <c r="CJ105" s="12"/>
      <c r="CN105" s="12"/>
      <c r="CO105" s="12"/>
      <c r="CP105" s="12"/>
      <c r="CQ105" s="12"/>
      <c r="CU105" s="12"/>
      <c r="CV105" s="12"/>
      <c r="CW105" s="12"/>
      <c r="CX105" s="12"/>
      <c r="DB105" s="12"/>
      <c r="DC105" s="12"/>
      <c r="DD105" s="12"/>
      <c r="DE105" s="12"/>
      <c r="DI105" s="12"/>
      <c r="DJ105" s="12"/>
      <c r="DK105" s="12"/>
      <c r="DL105" s="12"/>
      <c r="DP105" s="12"/>
      <c r="DQ105" s="12"/>
      <c r="DR105" s="12"/>
      <c r="DS105" s="12"/>
    </row>
    <row r="106" spans="2:123" hidden="1" outlineLevel="1" x14ac:dyDescent="0.2">
      <c r="B106" t="s">
        <v>28</v>
      </c>
      <c r="C106" s="23" t="s">
        <v>98</v>
      </c>
      <c r="E106" s="11"/>
      <c r="G106" s="12">
        <v>0.1</v>
      </c>
      <c r="I106" s="11">
        <f t="shared" si="5"/>
        <v>0</v>
      </c>
      <c r="J106" s="13" cm="1">
        <f t="array" ref="J106">MAX(IF($N$3:$EH$3=$J$3,N106:EH106))</f>
        <v>0</v>
      </c>
      <c r="K106" s="13" cm="1">
        <f t="array" ref="K106">MAX(IF($N$3:$EH$3=$J$3,N106:EH106))</f>
        <v>0</v>
      </c>
      <c r="L106" s="11"/>
      <c r="O106" s="12"/>
      <c r="P106" s="12"/>
      <c r="Q106" s="12"/>
      <c r="R106" s="12"/>
      <c r="V106" s="12"/>
      <c r="W106" s="12"/>
      <c r="X106" s="12"/>
      <c r="Y106" s="12"/>
      <c r="AC106" s="12"/>
      <c r="AD106" s="12"/>
      <c r="AE106" s="12"/>
      <c r="AF106" s="12"/>
      <c r="AJ106" s="12"/>
      <c r="AK106" s="12"/>
      <c r="AL106" s="12"/>
      <c r="AM106" s="12"/>
      <c r="AQ106" s="12"/>
      <c r="AR106" s="12"/>
      <c r="AS106" s="12"/>
      <c r="AT106" s="12"/>
      <c r="AX106" s="12"/>
      <c r="AY106" s="12"/>
      <c r="AZ106" s="12"/>
      <c r="BA106" s="12"/>
      <c r="BE106" s="12"/>
      <c r="BF106" s="12"/>
      <c r="BG106" s="12"/>
      <c r="BH106" s="12"/>
      <c r="BL106" s="12"/>
      <c r="BM106" s="12"/>
      <c r="BN106" s="12"/>
      <c r="BO106" s="12"/>
      <c r="BS106" s="12"/>
      <c r="BT106" s="12"/>
      <c r="BU106" s="12"/>
      <c r="BV106" s="12"/>
      <c r="BZ106" s="12"/>
      <c r="CA106" s="12"/>
      <c r="CB106" s="12"/>
      <c r="CC106" s="12"/>
      <c r="CG106" s="12"/>
      <c r="CH106" s="12"/>
      <c r="CI106" s="12"/>
      <c r="CJ106" s="12"/>
      <c r="CN106" s="12"/>
      <c r="CO106" s="12"/>
      <c r="CP106" s="12"/>
      <c r="CQ106" s="12"/>
      <c r="CU106" s="12"/>
      <c r="CV106" s="12"/>
      <c r="CW106" s="12"/>
      <c r="CX106" s="12"/>
      <c r="DB106" s="12"/>
      <c r="DC106" s="12"/>
      <c r="DD106" s="12"/>
      <c r="DE106" s="12"/>
      <c r="DI106" s="12"/>
      <c r="DJ106" s="12"/>
      <c r="DK106" s="12"/>
      <c r="DL106" s="12"/>
      <c r="DP106" s="12"/>
      <c r="DQ106" s="12"/>
      <c r="DR106" s="12"/>
      <c r="DS106" s="12"/>
    </row>
    <row r="107" spans="2:123" collapsed="1" x14ac:dyDescent="0.2"/>
  </sheetData>
  <mergeCells count="17">
    <mergeCell ref="BY2:CD2"/>
    <mergeCell ref="CF2:CK2"/>
    <mergeCell ref="CM2:CR2"/>
    <mergeCell ref="DH2:DM2"/>
    <mergeCell ref="DO2:DT2"/>
    <mergeCell ref="CT2:CY2"/>
    <mergeCell ref="DA2:DF2"/>
    <mergeCell ref="BK2:BP2"/>
    <mergeCell ref="BR2:BW2"/>
    <mergeCell ref="I2:L2"/>
    <mergeCell ref="N2:S2"/>
    <mergeCell ref="BD2:BI2"/>
    <mergeCell ref="U2:Z2"/>
    <mergeCell ref="AB2:AG2"/>
    <mergeCell ref="AI2:AN2"/>
    <mergeCell ref="AP2:AU2"/>
    <mergeCell ref="AW2:BB2"/>
  </mergeCells>
  <conditionalFormatting sqref="J5">
    <cfRule type="colorScale" priority="645">
      <colorScale>
        <cfvo type="percent" val="0"/>
        <cfvo type="percent" val="100"/>
        <color rgb="FFFF231B"/>
        <color rgb="FF10FF07"/>
      </colorScale>
    </cfRule>
  </conditionalFormatting>
  <conditionalFormatting sqref="J5:J14">
    <cfRule type="colorScale" priority="1473">
      <colorScale>
        <cfvo type="percent" val="0"/>
        <cfvo type="percent" val="100"/>
        <color rgb="FFFF231B"/>
        <color rgb="FF10FF07"/>
      </colorScale>
    </cfRule>
  </conditionalFormatting>
  <conditionalFormatting sqref="J18">
    <cfRule type="colorScale" priority="1021">
      <colorScale>
        <cfvo type="percent" val="0"/>
        <cfvo type="percent" val="100"/>
        <color rgb="FFFF231B"/>
        <color rgb="FF10FF07"/>
      </colorScale>
    </cfRule>
  </conditionalFormatting>
  <conditionalFormatting sqref="J19">
    <cfRule type="colorScale" priority="1002">
      <colorScale>
        <cfvo type="percent" val="0"/>
        <cfvo type="percent" val="100"/>
        <color rgb="FFFF231B"/>
        <color rgb="FF10FF07"/>
      </colorScale>
    </cfRule>
  </conditionalFormatting>
  <conditionalFormatting sqref="J20:J24 J17">
    <cfRule type="colorScale" priority="1255">
      <colorScale>
        <cfvo type="percent" val="0"/>
        <cfvo type="percent" val="100"/>
        <color rgb="FFFF231B"/>
        <color rgb="FF10FF07"/>
      </colorScale>
    </cfRule>
  </conditionalFormatting>
  <conditionalFormatting sqref="J27:J37">
    <cfRule type="colorScale" priority="1533">
      <colorScale>
        <cfvo type="percent" val="0"/>
        <cfvo type="percent" val="100"/>
        <color rgb="FFFF231B"/>
        <color rgb="FF10FF07"/>
      </colorScale>
    </cfRule>
  </conditionalFormatting>
  <conditionalFormatting sqref="J40:J46">
    <cfRule type="colorScale" priority="1566">
      <colorScale>
        <cfvo type="percent" val="0"/>
        <cfvo type="percent" val="100"/>
        <color rgb="FFFF231B"/>
        <color rgb="FF10FF07"/>
      </colorScale>
    </cfRule>
  </conditionalFormatting>
  <conditionalFormatting sqref="J49:J58">
    <cfRule type="colorScale" priority="1626">
      <colorScale>
        <cfvo type="percent" val="0"/>
        <cfvo type="percent" val="100"/>
        <color rgb="FFFF231B"/>
        <color rgb="FF10FF07"/>
      </colorScale>
    </cfRule>
  </conditionalFormatting>
  <conditionalFormatting sqref="J61:J70">
    <cfRule type="colorScale" priority="818">
      <colorScale>
        <cfvo type="percent" val="0"/>
        <cfvo type="percent" val="100"/>
        <color rgb="FFFF231B"/>
        <color rgb="FF10FF07"/>
      </colorScale>
    </cfRule>
  </conditionalFormatting>
  <conditionalFormatting sqref="J73:J82">
    <cfRule type="colorScale" priority="801">
      <colorScale>
        <cfvo type="percent" val="0"/>
        <cfvo type="percent" val="100"/>
        <color rgb="FFFF231B"/>
        <color rgb="FF10FF07"/>
      </colorScale>
    </cfRule>
  </conditionalFormatting>
  <conditionalFormatting sqref="J85:J94">
    <cfRule type="colorScale" priority="750">
      <colorScale>
        <cfvo type="percent" val="0"/>
        <cfvo type="percent" val="100"/>
        <color rgb="FFFF231B"/>
        <color rgb="FF10FF07"/>
      </colorScale>
    </cfRule>
  </conditionalFormatting>
  <conditionalFormatting sqref="J97:J106">
    <cfRule type="colorScale" priority="733">
      <colorScale>
        <cfvo type="percent" val="0"/>
        <cfvo type="percent" val="100"/>
        <color rgb="FFFF231B"/>
        <color rgb="FF10FF07"/>
      </colorScale>
    </cfRule>
  </conditionalFormatting>
  <conditionalFormatting sqref="J6:K14">
    <cfRule type="colorScale" priority="1444">
      <colorScale>
        <cfvo type="percent" val="0"/>
        <cfvo type="percent" val="100"/>
        <color rgb="FFFF231B"/>
        <color rgb="FF10FF07"/>
      </colorScale>
    </cfRule>
  </conditionalFormatting>
  <conditionalFormatting sqref="J18:K18">
    <cfRule type="colorScale" priority="1022">
      <colorScale>
        <cfvo type="percent" val="0"/>
        <cfvo type="percent" val="100"/>
        <color rgb="FFFF231B"/>
        <color rgb="FF10FF07"/>
      </colorScale>
    </cfRule>
  </conditionalFormatting>
  <conditionalFormatting sqref="J19:K19">
    <cfRule type="colorScale" priority="1003">
      <colorScale>
        <cfvo type="percent" val="0"/>
        <cfvo type="percent" val="100"/>
        <color rgb="FFFF231B"/>
        <color rgb="FF10FF07"/>
      </colorScale>
    </cfRule>
  </conditionalFormatting>
  <conditionalFormatting sqref="J20:K24">
    <cfRule type="colorScale" priority="1256">
      <colorScale>
        <cfvo type="percent" val="0"/>
        <cfvo type="percent" val="100"/>
        <color rgb="FFFF231B"/>
        <color rgb="FF10FF07"/>
      </colorScale>
    </cfRule>
  </conditionalFormatting>
  <conditionalFormatting sqref="J28:K37">
    <cfRule type="colorScale" priority="1531">
      <colorScale>
        <cfvo type="percent" val="0"/>
        <cfvo type="percent" val="100"/>
        <color rgb="FFFF231B"/>
        <color rgb="FF10FF07"/>
      </colorScale>
    </cfRule>
  </conditionalFormatting>
  <conditionalFormatting sqref="J41:K46">
    <cfRule type="colorScale" priority="1564">
      <colorScale>
        <cfvo type="percent" val="0"/>
        <cfvo type="percent" val="100"/>
        <color rgb="FFFF231B"/>
        <color rgb="FF10FF07"/>
      </colorScale>
    </cfRule>
  </conditionalFormatting>
  <conditionalFormatting sqref="J50:K58">
    <cfRule type="colorScale" priority="1625">
      <colorScale>
        <cfvo type="percent" val="0"/>
        <cfvo type="percent" val="100"/>
        <color rgb="FFFF231B"/>
        <color rgb="FF10FF07"/>
      </colorScale>
    </cfRule>
  </conditionalFormatting>
  <conditionalFormatting sqref="J62:K70">
    <cfRule type="colorScale" priority="817">
      <colorScale>
        <cfvo type="percent" val="0"/>
        <cfvo type="percent" val="100"/>
        <color rgb="FFFF231B"/>
        <color rgb="FF10FF07"/>
      </colorScale>
    </cfRule>
  </conditionalFormatting>
  <conditionalFormatting sqref="J74:K82">
    <cfRule type="colorScale" priority="800">
      <colorScale>
        <cfvo type="percent" val="0"/>
        <cfvo type="percent" val="100"/>
        <color rgb="FFFF231B"/>
        <color rgb="FF10FF07"/>
      </colorScale>
    </cfRule>
  </conditionalFormatting>
  <conditionalFormatting sqref="J86:K94">
    <cfRule type="colorScale" priority="749">
      <colorScale>
        <cfvo type="percent" val="0"/>
        <cfvo type="percent" val="100"/>
        <color rgb="FFFF231B"/>
        <color rgb="FF10FF07"/>
      </colorScale>
    </cfRule>
  </conditionalFormatting>
  <conditionalFormatting sqref="J98:K106">
    <cfRule type="colorScale" priority="732">
      <colorScale>
        <cfvo type="percent" val="0"/>
        <cfvo type="percent" val="100"/>
        <color rgb="FFFF231B"/>
        <color rgb="FF10FF07"/>
      </colorScale>
    </cfRule>
  </conditionalFormatting>
  <conditionalFormatting sqref="K5:K14">
    <cfRule type="colorScale" priority="1474">
      <colorScale>
        <cfvo type="percent" val="0"/>
        <cfvo type="percent" val="100"/>
        <color rgb="FFFF231B"/>
        <color rgb="FF10FF07"/>
      </colorScale>
    </cfRule>
  </conditionalFormatting>
  <conditionalFormatting sqref="K18">
    <cfRule type="colorScale" priority="1020">
      <colorScale>
        <cfvo type="percent" val="0"/>
        <cfvo type="percent" val="100"/>
        <color rgb="FFFF231B"/>
        <color rgb="FF10FF07"/>
      </colorScale>
    </cfRule>
  </conditionalFormatting>
  <conditionalFormatting sqref="K19">
    <cfRule type="colorScale" priority="1001">
      <colorScale>
        <cfvo type="percent" val="0"/>
        <cfvo type="percent" val="100"/>
        <color rgb="FFFF231B"/>
        <color rgb="FF10FF07"/>
      </colorScale>
    </cfRule>
  </conditionalFormatting>
  <conditionalFormatting sqref="K20:K24 K17">
    <cfRule type="colorScale" priority="1254">
      <colorScale>
        <cfvo type="percent" val="0"/>
        <cfvo type="percent" val="100"/>
        <color rgb="FFFF231B"/>
        <color rgb="FF10FF07"/>
      </colorScale>
    </cfRule>
  </conditionalFormatting>
  <conditionalFormatting sqref="K27:K37">
    <cfRule type="colorScale" priority="1535">
      <colorScale>
        <cfvo type="percent" val="0"/>
        <cfvo type="percent" val="100"/>
        <color rgb="FFFF231B"/>
        <color rgb="FF10FF07"/>
      </colorScale>
    </cfRule>
  </conditionalFormatting>
  <conditionalFormatting sqref="K40">
    <cfRule type="colorScale" priority="864">
      <colorScale>
        <cfvo type="percent" val="0"/>
        <cfvo type="percent" val="100"/>
        <color rgb="FFFF231B"/>
        <color rgb="FF10FF07"/>
      </colorScale>
    </cfRule>
  </conditionalFormatting>
  <conditionalFormatting sqref="K40:K46">
    <cfRule type="colorScale" priority="1568">
      <colorScale>
        <cfvo type="percent" val="0"/>
        <cfvo type="percent" val="100"/>
        <color rgb="FFFF231B"/>
        <color rgb="FF10FF07"/>
      </colorScale>
    </cfRule>
  </conditionalFormatting>
  <conditionalFormatting sqref="K49:K58">
    <cfRule type="colorScale" priority="1628">
      <colorScale>
        <cfvo type="percent" val="0"/>
        <cfvo type="percent" val="100"/>
        <color rgb="FFFF231B"/>
        <color rgb="FF10FF07"/>
      </colorScale>
    </cfRule>
  </conditionalFormatting>
  <conditionalFormatting sqref="K61:K70">
    <cfRule type="colorScale" priority="819">
      <colorScale>
        <cfvo type="percent" val="0"/>
        <cfvo type="percent" val="100"/>
        <color rgb="FFFF231B"/>
        <color rgb="FF10FF07"/>
      </colorScale>
    </cfRule>
  </conditionalFormatting>
  <conditionalFormatting sqref="K73:K82">
    <cfRule type="colorScale" priority="802">
      <colorScale>
        <cfvo type="percent" val="0"/>
        <cfvo type="percent" val="100"/>
        <color rgb="FFFF231B"/>
        <color rgb="FF10FF07"/>
      </colorScale>
    </cfRule>
  </conditionalFormatting>
  <conditionalFormatting sqref="K85:K94">
    <cfRule type="colorScale" priority="751">
      <colorScale>
        <cfvo type="percent" val="0"/>
        <cfvo type="percent" val="100"/>
        <color rgb="FFFF231B"/>
        <color rgb="FF10FF07"/>
      </colorScale>
    </cfRule>
  </conditionalFormatting>
  <conditionalFormatting sqref="K97:K106">
    <cfRule type="colorScale" priority="734">
      <colorScale>
        <cfvo type="percent" val="0"/>
        <cfvo type="percent" val="100"/>
        <color rgb="FFFF231B"/>
        <color rgb="FF10FF07"/>
      </colorScale>
    </cfRule>
  </conditionalFormatting>
  <conditionalFormatting sqref="O17:O24 Q17:Q24">
    <cfRule type="expression" dxfId="327" priority="1016">
      <formula>OR(IF(O17&lt;P17,TRUE),IF(AND(P17="",O17&lt;&gt;""),TRUE))</formula>
    </cfRule>
    <cfRule type="expression" dxfId="326" priority="1017">
      <formula>IF(O17&gt;=P17,IF(O17="",FALSE,TRUE))</formula>
    </cfRule>
  </conditionalFormatting>
  <conditionalFormatting sqref="O27:O37">
    <cfRule type="expression" dxfId="325" priority="1382">
      <formula>OR(IF(O27&lt;P27,TRUE),IF(AND(P27="",O27&lt;&gt;""),TRUE))</formula>
    </cfRule>
    <cfRule type="expression" dxfId="324" priority="1383">
      <formula>IF(O27&gt;=P27,IF(O27="",FALSE,TRUE))</formula>
    </cfRule>
  </conditionalFormatting>
  <conditionalFormatting sqref="O40:O46">
    <cfRule type="expression" dxfId="323" priority="1169">
      <formula>OR(IF(O40&lt;P40,TRUE),IF(AND(P40="",O40&lt;&gt;""),TRUE))</formula>
    </cfRule>
    <cfRule type="expression" dxfId="322" priority="1170">
      <formula>IF(O40&gt;=P40,IF(O40="",FALSE,TRUE))</formula>
    </cfRule>
  </conditionalFormatting>
  <conditionalFormatting sqref="O61:O70 Q61:Q70 V61:V70 X61:X70 AC61:AC70 AE61:AE70 AJ61:AJ70 AL61:AL70 AQ61:AQ70 AS61:AS70 AX61:AX70 AZ61:AZ70 BE61:BE70 BG61:BG70 BL61:BL70 BN61:BN70">
    <cfRule type="expression" dxfId="321" priority="815">
      <formula>OR(IF(O61&lt;P61,TRUE),IF(AND(P61="",O61&lt;&gt;""),TRUE))</formula>
    </cfRule>
    <cfRule type="expression" dxfId="320" priority="816">
      <formula>IF(O61&gt;=P61,IF(O61="",FALSE,TRUE))</formula>
    </cfRule>
  </conditionalFormatting>
  <conditionalFormatting sqref="O73:O82 Q73:Q82 V73:V82 X73:X82 AC73:AC82 AE73:AE82 AJ73:AJ82 AL73:AL82 AQ73:AQ82 AS73:AS82 AX73:AX82 AZ73:AZ82 BE73:BE82 BG73:BG82 BL73:BL82 BN73:BN82">
    <cfRule type="expression" dxfId="319" priority="798">
      <formula>OR(IF(O73&lt;P73,TRUE),IF(AND(P73="",O73&lt;&gt;""),TRUE))</formula>
    </cfRule>
    <cfRule type="expression" dxfId="318" priority="799">
      <formula>IF(O73&gt;=P73,IF(O73="",FALSE,TRUE))</formula>
    </cfRule>
  </conditionalFormatting>
  <conditionalFormatting sqref="O85:O94 Q85:Q94 V85:V94 X85:X94 AC85:AC94 AE85:AE94 AJ85:AJ94 AL85:AL94 AQ85:AQ94 AS85:AS94 AX85:AX94 AZ85:AZ94 BE85:BE94 BG85:BG94 BL85:BL94 BN85:BN94">
    <cfRule type="expression" dxfId="317" priority="748">
      <formula>IF(O85&gt;=P85,IF(O85="",FALSE,TRUE))</formula>
    </cfRule>
    <cfRule type="expression" dxfId="316" priority="747">
      <formula>OR(IF(O85&lt;P85,TRUE),IF(AND(P85="",O85&lt;&gt;""),TRUE))</formula>
    </cfRule>
  </conditionalFormatting>
  <conditionalFormatting sqref="O97:O106 Q97:Q106 V97:V106 X97:X106 AC97:AC106 AE97:AE106 AJ97:AJ106 AL97:AL106 AQ97:AQ106 AS97:AS106 AX97:AX106 AZ97:AZ106 BE97:BE106 BG97:BG106 BL97:BL106 BN97:BN106">
    <cfRule type="expression" dxfId="315" priority="731">
      <formula>IF(O97&gt;=P97,IF(O97="",FALSE,TRUE))</formula>
    </cfRule>
    <cfRule type="expression" dxfId="314" priority="730">
      <formula>OR(IF(O97&lt;P97,TRUE),IF(AND(P97="",O97&lt;&gt;""),TRUE))</formula>
    </cfRule>
  </conditionalFormatting>
  <conditionalFormatting sqref="Q27:Q37">
    <cfRule type="expression" dxfId="313" priority="1381">
      <formula>IF(Q27&gt;=R27,IF(Q27="",FALSE,TRUE))</formula>
    </cfRule>
    <cfRule type="expression" dxfId="312" priority="1380">
      <formula>OR(IF(Q27&lt;R27,TRUE),IF(AND(R27="",Q27&lt;&gt;""),TRUE))</formula>
    </cfRule>
  </conditionalFormatting>
  <conditionalFormatting sqref="Q40:Q46">
    <cfRule type="expression" dxfId="311" priority="1168">
      <formula>IF(Q40&gt;=R40,IF(Q40="",FALSE,TRUE))</formula>
    </cfRule>
    <cfRule type="expression" dxfId="310" priority="1167">
      <formula>OR(IF(Q40&lt;R40,TRUE),IF(AND(R40="",Q40&lt;&gt;""),TRUE))</formula>
    </cfRule>
  </conditionalFormatting>
  <conditionalFormatting sqref="V17:V24 X17:X24">
    <cfRule type="expression" dxfId="309" priority="1015">
      <formula>IF(V17&gt;=W17,IF(V17="",FALSE,TRUE))</formula>
    </cfRule>
    <cfRule type="expression" dxfId="308" priority="1014">
      <formula>OR(IF(V17&lt;W17,TRUE),IF(AND(W17="",V17&lt;&gt;""),TRUE))</formula>
    </cfRule>
  </conditionalFormatting>
  <conditionalFormatting sqref="V27:V37">
    <cfRule type="expression" dxfId="307" priority="1353">
      <formula>IF(V27&gt;=W27,IF(V27="",FALSE,TRUE))</formula>
    </cfRule>
    <cfRule type="expression" dxfId="306" priority="1352">
      <formula>OR(IF(V27&lt;W27,TRUE),IF(AND(W27="",V27&lt;&gt;""),TRUE))</formula>
    </cfRule>
  </conditionalFormatting>
  <conditionalFormatting sqref="V40:V46">
    <cfRule type="expression" dxfId="305" priority="1162">
      <formula>IF(V40&gt;=W40,IF(V40="",FALSE,TRUE))</formula>
    </cfRule>
    <cfRule type="expression" dxfId="304" priority="1161">
      <formula>OR(IF(V40&lt;W40,TRUE),IF(AND(W40="",V40&lt;&gt;""),TRUE))</formula>
    </cfRule>
  </conditionalFormatting>
  <conditionalFormatting sqref="X27:X37">
    <cfRule type="expression" dxfId="303" priority="1350">
      <formula>OR(IF(X27&lt;Y27,TRUE),IF(AND(Y27="",X27&lt;&gt;""),TRUE))</formula>
    </cfRule>
    <cfRule type="expression" dxfId="302" priority="1351">
      <formula>IF(X27&gt;=Y27,IF(X27="",FALSE,TRUE))</formula>
    </cfRule>
  </conditionalFormatting>
  <conditionalFormatting sqref="X40:X46">
    <cfRule type="expression" dxfId="301" priority="1159">
      <formula>OR(IF(X40&lt;Y40,TRUE),IF(AND(Y40="",X40&lt;&gt;""),TRUE))</formula>
    </cfRule>
    <cfRule type="expression" dxfId="300" priority="1160">
      <formula>IF(X40&gt;=Y40,IF(X40="",FALSE,TRUE))</formula>
    </cfRule>
  </conditionalFormatting>
  <conditionalFormatting sqref="AC17:AC24 AE17:AE24">
    <cfRule type="expression" dxfId="299" priority="1013">
      <formula>IF(AC17&gt;=AD17,IF(AC17="",FALSE,TRUE))</formula>
    </cfRule>
    <cfRule type="expression" dxfId="298" priority="1012">
      <formula>OR(IF(AC17&lt;AD17,TRUE),IF(AND(AD17="",AC17&lt;&gt;""),TRUE))</formula>
    </cfRule>
  </conditionalFormatting>
  <conditionalFormatting sqref="AC27:AC37">
    <cfRule type="expression" dxfId="297" priority="7">
      <formula>OR(IF(AC27&lt;AD27,TRUE),IF(AND(AD27="",AC27&lt;&gt;""),TRUE))</formula>
    </cfRule>
    <cfRule type="expression" dxfId="296" priority="8">
      <formula>IF(AC27&gt;=AD27,IF(AC27="",FALSE,TRUE))</formula>
    </cfRule>
  </conditionalFormatting>
  <conditionalFormatting sqref="AC40:AC46">
    <cfRule type="expression" dxfId="295" priority="2">
      <formula>IF(AC40&gt;=AD40,IF(AC40="",FALSE,TRUE))</formula>
    </cfRule>
    <cfRule type="expression" dxfId="294" priority="1">
      <formula>OR(IF(AC40&lt;AD40,TRUE),IF(AND(AD40="",AC40&lt;&gt;""),TRUE))</formula>
    </cfRule>
  </conditionalFormatting>
  <conditionalFormatting sqref="AE27:AE37">
    <cfRule type="expression" dxfId="293" priority="1334">
      <formula>OR(IF(AE27&lt;AF27,TRUE),IF(AND(AF27="",AE27&lt;&gt;""),TRUE))</formula>
    </cfRule>
    <cfRule type="expression" dxfId="292" priority="1335">
      <formula>IF(AE27&gt;=AF27,IF(AE27="",FALSE,TRUE))</formula>
    </cfRule>
  </conditionalFormatting>
  <conditionalFormatting sqref="AE40:AE46">
    <cfRule type="expression" dxfId="291" priority="1151">
      <formula>OR(IF(AE40&lt;AF40,TRUE),IF(AND(AF40="",AE40&lt;&gt;""),TRUE))</formula>
    </cfRule>
    <cfRule type="expression" dxfId="290" priority="1152">
      <formula>IF(AE40&gt;=AF40,IF(AE40="",FALSE,TRUE))</formula>
    </cfRule>
  </conditionalFormatting>
  <conditionalFormatting sqref="AJ17:AJ24 AL17:AL24">
    <cfRule type="expression" dxfId="289" priority="1011">
      <formula>IF(AJ17&gt;=AK17,IF(AJ17="",FALSE,TRUE))</formula>
    </cfRule>
    <cfRule type="expression" dxfId="288" priority="1010">
      <formula>OR(IF(AJ17&lt;AK17,TRUE),IF(AND(AK17="",AJ17&lt;&gt;""),TRUE))</formula>
    </cfRule>
  </conditionalFormatting>
  <conditionalFormatting sqref="AJ27:AJ35">
    <cfRule type="expression" dxfId="287" priority="9">
      <formula>OR(IF(AJ27&lt;AK27,TRUE),IF(AND(AK27="",AJ27&lt;&gt;""),TRUE))</formula>
    </cfRule>
    <cfRule type="expression" dxfId="286" priority="10">
      <formula>IF(AJ27&gt;=AK27,IF(AJ27="",FALSE,TRUE))</formula>
    </cfRule>
  </conditionalFormatting>
  <conditionalFormatting sqref="AJ36">
    <cfRule type="expression" dxfId="285" priority="12">
      <formula>IF(AJ36&gt;=#REF!,IF(AJ36="",FALSE,TRUE))</formula>
    </cfRule>
    <cfRule type="expression" dxfId="284" priority="11">
      <formula>OR(IF(AJ36&lt;#REF!,TRUE),IF(AND(#REF!="",AJ36&lt;&gt;""),TRUE))</formula>
    </cfRule>
  </conditionalFormatting>
  <conditionalFormatting sqref="AJ37">
    <cfRule type="expression" dxfId="283" priority="1321">
      <formula>IF(AJ37&gt;=AK37,IF(AJ37="",FALSE,TRUE))</formula>
    </cfRule>
    <cfRule type="expression" dxfId="282" priority="1320">
      <formula>OR(IF(AJ37&lt;AK37,TRUE),IF(AND(AK37="",AJ37&lt;&gt;""),TRUE))</formula>
    </cfRule>
  </conditionalFormatting>
  <conditionalFormatting sqref="AJ40:AJ46">
    <cfRule type="expression" dxfId="281" priority="4">
      <formula>IF(AJ40&gt;=AK40,IF(AJ40="",FALSE,TRUE))</formula>
    </cfRule>
    <cfRule type="expression" dxfId="280" priority="3">
      <formula>OR(IF(AJ40&lt;AK40,TRUE),IF(AND(AK40="",AJ40&lt;&gt;""),TRUE))</formula>
    </cfRule>
  </conditionalFormatting>
  <conditionalFormatting sqref="AL36">
    <cfRule type="expression" dxfId="279" priority="1640">
      <formula>IF(AL36&gt;=#REF!,IF(AL36="",FALSE,TRUE))</formula>
    </cfRule>
    <cfRule type="expression" dxfId="278" priority="1639">
      <formula>OR(IF(AL36&lt;#REF!,TRUE),IF(AND(#REF!="",AL36&lt;&gt;""),TRUE))</formula>
    </cfRule>
  </conditionalFormatting>
  <conditionalFormatting sqref="AL40:AL46">
    <cfRule type="expression" dxfId="277" priority="1143">
      <formula>OR(IF(AL40&lt;AM40,TRUE),IF(AND(AM40="",AL40&lt;&gt;""),TRUE))</formula>
    </cfRule>
    <cfRule type="expression" dxfId="276" priority="1144">
      <formula>IF(AL40&gt;=AM40,IF(AL40="",FALSE,TRUE))</formula>
    </cfRule>
  </conditionalFormatting>
  <conditionalFormatting sqref="AQ5:AQ7 AS5:AS7 BL5:BL9 BN5:BN9 O5:O14 Q5:Q14 V5:V14 X5:X14 AC5:AC14 AE5:AE14 AJ5:AJ14 AL5:AL14 AX5:AX14 AZ5:AZ14 BE5:BE14 AQ9:AQ14 AS9:AS14 BL11:BL14 BN11:BN14 BG17:BG25 AL27:AL35 AL37 O49:O58 Q49:Q58 V49:V58 X49:X58 AC49:AC58 AE49:AE58 AJ49:AJ58 AL49:AL58 AQ49:AQ58 AS49:AS58 AX49:AX58 AZ49:AZ58 BE49:BE58 BG49:BG58 BL49:BL58 BN49:BN58">
    <cfRule type="expression" dxfId="275" priority="1441">
      <formula>OR(IF(O5&lt;P5,TRUE),IF(AND(P5="",O5&lt;&gt;""),TRUE))</formula>
    </cfRule>
    <cfRule type="expression" dxfId="274" priority="1442">
      <formula>IF(O5&gt;=P5,IF(O5="",FALSE,TRUE))</formula>
    </cfRule>
  </conditionalFormatting>
  <conditionalFormatting sqref="AQ8">
    <cfRule type="expression" dxfId="273" priority="16">
      <formula>IF(AQ8&gt;=AR7,IF(AQ8="",FALSE,TRUE))</formula>
    </cfRule>
    <cfRule type="expression" dxfId="272" priority="15">
      <formula>OR(IF(AQ8&lt;AR7,TRUE),IF(AND(AR7="",AQ8&lt;&gt;""),TRUE))</formula>
    </cfRule>
  </conditionalFormatting>
  <conditionalFormatting sqref="AQ17:AQ24 AS17:AS24">
    <cfRule type="expression" dxfId="271" priority="1009">
      <formula>IF(AQ17&gt;=AR17,IF(AQ17="",FALSE,TRUE))</formula>
    </cfRule>
    <cfRule type="expression" dxfId="270" priority="1008">
      <formula>OR(IF(AQ17&lt;AR17,TRUE),IF(AND(AR17="",AQ17&lt;&gt;""),TRUE))</formula>
    </cfRule>
  </conditionalFormatting>
  <conditionalFormatting sqref="AQ27:AQ37">
    <cfRule type="expression" dxfId="269" priority="13">
      <formula>OR(IF(AQ27&lt;AR27,TRUE),IF(AND(AR27="",AQ27&lt;&gt;""),TRUE))</formula>
    </cfRule>
    <cfRule type="expression" dxfId="268" priority="14">
      <formula>IF(AQ27&gt;=AR27,IF(AQ27="",FALSE,TRUE))</formula>
    </cfRule>
  </conditionalFormatting>
  <conditionalFormatting sqref="AQ40:AQ46">
    <cfRule type="expression" dxfId="267" priority="6">
      <formula>IF(AQ40&gt;=AR40,IF(AQ40="",FALSE,TRUE))</formula>
    </cfRule>
    <cfRule type="expression" dxfId="266" priority="5">
      <formula>OR(IF(AQ40&lt;AR40,TRUE),IF(AND(AR40="",AQ40&lt;&gt;""),TRUE))</formula>
    </cfRule>
  </conditionalFormatting>
  <conditionalFormatting sqref="AS8">
    <cfRule type="expression" dxfId="265" priority="1636">
      <formula>IF(AS8&gt;=AT7,IF(AS8="",FALSE,TRUE))</formula>
    </cfRule>
    <cfRule type="expression" dxfId="264" priority="1635">
      <formula>OR(IF(AS8&lt;AT7,TRUE),IF(AND(AT7="",AS8&lt;&gt;""),TRUE))</formula>
    </cfRule>
  </conditionalFormatting>
  <conditionalFormatting sqref="AS27:AS37">
    <cfRule type="expression" dxfId="263" priority="1303">
      <formula>IF(AS27&gt;=AT27,IF(AS27="",FALSE,TRUE))</formula>
    </cfRule>
    <cfRule type="expression" dxfId="262" priority="1302">
      <formula>OR(IF(AS27&lt;AT27,TRUE),IF(AND(AT27="",AS27&lt;&gt;""),TRUE))</formula>
    </cfRule>
  </conditionalFormatting>
  <conditionalFormatting sqref="AS40:AS46">
    <cfRule type="expression" dxfId="261" priority="1135">
      <formula>OR(IF(AS40&lt;AT40,TRUE),IF(AND(AT40="",AS40&lt;&gt;""),TRUE))</formula>
    </cfRule>
    <cfRule type="expression" dxfId="260" priority="1136">
      <formula>IF(AS40&gt;=AT40,IF(AS40="",FALSE,TRUE))</formula>
    </cfRule>
  </conditionalFormatting>
  <conditionalFormatting sqref="AX17:AX24 AZ17:AZ24">
    <cfRule type="expression" dxfId="259" priority="868">
      <formula>IF(AX17&gt;=AY17,IF(AX17="",FALSE,TRUE))</formula>
    </cfRule>
    <cfRule type="expression" dxfId="258" priority="867">
      <formula>OR(IF(AX17&lt;AY17,TRUE),IF(AND(AY17="",AX17&lt;&gt;""),TRUE))</formula>
    </cfRule>
  </conditionalFormatting>
  <conditionalFormatting sqref="AX27:AX37">
    <cfRule type="expression" dxfId="257" priority="21">
      <formula>OR(IF(AX27&lt;AY27,TRUE),IF(AND(AY27="",AX27&lt;&gt;""),TRUE))</formula>
    </cfRule>
    <cfRule type="expression" dxfId="256" priority="22">
      <formula>IF(AX27&gt;=AY27,IF(AX27="",FALSE,TRUE))</formula>
    </cfRule>
  </conditionalFormatting>
  <conditionalFormatting sqref="AX40:AX46">
    <cfRule type="expression" dxfId="255" priority="20">
      <formula>IF(AX40&gt;=AY40,IF(AX40="",FALSE,TRUE))</formula>
    </cfRule>
    <cfRule type="expression" dxfId="254" priority="19">
      <formula>OR(IF(AX40&lt;AY40,TRUE),IF(AND(AY40="",AX40&lt;&gt;""),TRUE))</formula>
    </cfRule>
  </conditionalFormatting>
  <conditionalFormatting sqref="AZ27:AZ37">
    <cfRule type="expression" dxfId="253" priority="1287">
      <formula>IF(AZ27&gt;=BA27,IF(AZ27="",FALSE,TRUE))</formula>
    </cfRule>
    <cfRule type="expression" dxfId="252" priority="1286">
      <formula>OR(IF(AZ27&lt;BA27,TRUE),IF(AND(BA27="",AZ27&lt;&gt;""),TRUE))</formula>
    </cfRule>
  </conditionalFormatting>
  <conditionalFormatting sqref="AZ40:AZ46">
    <cfRule type="expression" dxfId="251" priority="1128">
      <formula>IF(AZ40&gt;=BA40,IF(AZ40="",FALSE,TRUE))</formula>
    </cfRule>
    <cfRule type="expression" dxfId="250" priority="1127">
      <formula>OR(IF(AZ40&lt;BA40,TRUE),IF(AND(BA40="",AZ40&lt;&gt;""),TRUE))</formula>
    </cfRule>
  </conditionalFormatting>
  <conditionalFormatting sqref="BE17:BE25">
    <cfRule type="expression" dxfId="249" priority="28">
      <formula>IF(BE17&gt;=BF17,IF(BE17="",FALSE,TRUE))</formula>
    </cfRule>
    <cfRule type="expression" dxfId="248" priority="27">
      <formula>OR(IF(BE17&lt;BF17,TRUE),IF(AND(BF17="",BE17&lt;&gt;""),TRUE))</formula>
    </cfRule>
  </conditionalFormatting>
  <conditionalFormatting sqref="BE27:BE37">
    <cfRule type="expression" dxfId="247" priority="26">
      <formula>IF(BE27&gt;=BF27,IF(BE27="",FALSE,TRUE))</formula>
    </cfRule>
    <cfRule type="expression" dxfId="246" priority="25">
      <formula>OR(IF(BE27&lt;BF27,TRUE),IF(AND(BF27="",BE27&lt;&gt;""),TRUE))</formula>
    </cfRule>
  </conditionalFormatting>
  <conditionalFormatting sqref="BE40:BE46">
    <cfRule type="expression" dxfId="245" priority="24">
      <formula>IF(BE40&gt;=BF40,IF(BE40="",FALSE,TRUE))</formula>
    </cfRule>
    <cfRule type="expression" dxfId="244" priority="23">
      <formula>OR(IF(BE40&lt;BF40,TRUE),IF(AND(BF40="",BE40&lt;&gt;""),TRUE))</formula>
    </cfRule>
  </conditionalFormatting>
  <conditionalFormatting sqref="BG5:BG14">
    <cfRule type="expression" dxfId="243" priority="18">
      <formula>IF(BG5&gt;=BH5,IF(BG5="",FALSE,TRUE))</formula>
    </cfRule>
    <cfRule type="expression" dxfId="242" priority="17">
      <formula>OR(IF(BG5&lt;BH5,TRUE),IF(AND(BH5="",BG5&lt;&gt;""),TRUE))</formula>
    </cfRule>
  </conditionalFormatting>
  <conditionalFormatting sqref="BG27:BG37">
    <cfRule type="expression" dxfId="241" priority="1271">
      <formula>IF(BG27&gt;=BH27,IF(BG27="",FALSE,TRUE))</formula>
    </cfRule>
    <cfRule type="expression" dxfId="240" priority="1270">
      <formula>OR(IF(BG27&lt;BH27,TRUE),IF(AND(BH27="",BG27&lt;&gt;""),TRUE))</formula>
    </cfRule>
  </conditionalFormatting>
  <conditionalFormatting sqref="BG40:BG46">
    <cfRule type="expression" dxfId="239" priority="1120">
      <formula>IF(BG40&gt;=BH40,IF(BG40="",FALSE,TRUE))</formula>
    </cfRule>
    <cfRule type="expression" dxfId="238" priority="1119">
      <formula>OR(IF(BG40&lt;BH40,TRUE),IF(AND(BH40="",BG40&lt;&gt;""),TRUE))</formula>
    </cfRule>
  </conditionalFormatting>
  <conditionalFormatting sqref="BL10">
    <cfRule type="expression" dxfId="237" priority="44">
      <formula>IF(BL10&gt;=BM5,IF(BL10="",FALSE,TRUE))</formula>
    </cfRule>
    <cfRule type="expression" dxfId="236" priority="43">
      <formula>OR(IF(BL10&lt;BM5,TRUE),IF(AND(BM5="",BL10&lt;&gt;""),TRUE))</formula>
    </cfRule>
  </conditionalFormatting>
  <conditionalFormatting sqref="BL17:BL24 BN17:BN24">
    <cfRule type="expression" dxfId="235" priority="874">
      <formula>IF(BL17&gt;=BM17,IF(BL17="",FALSE,TRUE))</formula>
    </cfRule>
    <cfRule type="expression" dxfId="234" priority="873">
      <formula>OR(IF(BL17&lt;BM17,TRUE),IF(AND(BM17="",BL17&lt;&gt;""),TRUE))</formula>
    </cfRule>
  </conditionalFormatting>
  <conditionalFormatting sqref="BL27:BL37">
    <cfRule type="expression" dxfId="233" priority="42">
      <formula>IF(BL27&gt;=BM27,IF(BL27="",FALSE,TRUE))</formula>
    </cfRule>
    <cfRule type="expression" dxfId="232" priority="41">
      <formula>OR(IF(BL27&lt;BM27,TRUE),IF(AND(BM27="",BL27&lt;&gt;""),TRUE))</formula>
    </cfRule>
  </conditionalFormatting>
  <conditionalFormatting sqref="BL40:BL46">
    <cfRule type="expression" dxfId="231" priority="1110">
      <formula>OR(IF(BL40&lt;BM40,TRUE),IF(AND(BM40="",BL40&lt;&gt;""),TRUE))</formula>
    </cfRule>
    <cfRule type="expression" dxfId="230" priority="1111">
      <formula>IF(BL40&gt;=BM40,IF(BL40="",FALSE,TRUE))</formula>
    </cfRule>
  </conditionalFormatting>
  <conditionalFormatting sqref="BN10">
    <cfRule type="expression" dxfId="229" priority="1632">
      <formula>IF(BN10&gt;=BO5,IF(BN10="",FALSE,TRUE))</formula>
    </cfRule>
    <cfRule type="expression" dxfId="228" priority="1631">
      <formula>OR(IF(BN10&lt;BO5,TRUE),IF(AND(BO5="",BN10&lt;&gt;""),TRUE))</formula>
    </cfRule>
  </conditionalFormatting>
  <conditionalFormatting sqref="BN27:BN37">
    <cfRule type="expression" dxfId="227" priority="1247">
      <formula>IF(BN27&gt;=BO27,IF(BN27="",FALSE,TRUE))</formula>
    </cfRule>
    <cfRule type="expression" dxfId="226" priority="1246">
      <formula>OR(IF(BN27&lt;BO27,TRUE),IF(AND(BO27="",BN27&lt;&gt;""),TRUE))</formula>
    </cfRule>
  </conditionalFormatting>
  <conditionalFormatting sqref="BN40:BN46">
    <cfRule type="expression" dxfId="225" priority="1109">
      <formula>IF(BN40&gt;=BO40,IF(BN40="",FALSE,TRUE))</formula>
    </cfRule>
    <cfRule type="expression" dxfId="224" priority="1108">
      <formula>OR(IF(BN40&lt;BO40,TRUE),IF(AND(BO40="",BN40&lt;&gt;""),TRUE))</formula>
    </cfRule>
  </conditionalFormatting>
  <conditionalFormatting sqref="BS5:BS14 BU5:BU14">
    <cfRule type="expression" dxfId="223" priority="607">
      <formula>OR(IF(BS5&lt;BT5,TRUE),IF(AND(BT5="",BS5&lt;&gt;""),TRUE))</formula>
    </cfRule>
    <cfRule type="expression" dxfId="222" priority="608">
      <formula>IF(BS5&gt;=BT5,IF(BS5="",FALSE,TRUE))</formula>
    </cfRule>
  </conditionalFormatting>
  <conditionalFormatting sqref="BS17:BS24 BU17:BU24">
    <cfRule type="expression" dxfId="221" priority="980">
      <formula>IF(BS17&gt;=BT17,IF(BS17="",FALSE,TRUE))</formula>
    </cfRule>
    <cfRule type="expression" dxfId="220" priority="979">
      <formula>OR(IF(BS17&lt;BT17,TRUE),IF(AND(BT17="",BS17&lt;&gt;""),TRUE))</formula>
    </cfRule>
  </conditionalFormatting>
  <conditionalFormatting sqref="BS27:BS37">
    <cfRule type="expression" dxfId="219" priority="48">
      <formula>IF(BS27&gt;=BT27,IF(BS27="",FALSE,TRUE))</formula>
    </cfRule>
    <cfRule type="expression" dxfId="218" priority="47">
      <formula>OR(IF(BS27&lt;BT27,TRUE),IF(AND(BT27="",BS27&lt;&gt;""),TRUE))</formula>
    </cfRule>
  </conditionalFormatting>
  <conditionalFormatting sqref="BS40:BS46">
    <cfRule type="expression" dxfId="217" priority="46">
      <formula>IF(BS40&gt;=BT40,IF(BS40="",FALSE,TRUE))</formula>
    </cfRule>
    <cfRule type="expression" dxfId="216" priority="45">
      <formula>OR(IF(BS40&lt;BT40,TRUE),IF(AND(BT40="",BS40&lt;&gt;""),TRUE))</formula>
    </cfRule>
  </conditionalFormatting>
  <conditionalFormatting sqref="BS49:BS58 BU49:BU58">
    <cfRule type="expression" dxfId="215" priority="997">
      <formula>OR(IF(BS49&lt;BT49,TRUE),IF(AND(BT49="",BS49&lt;&gt;""),TRUE))</formula>
    </cfRule>
    <cfRule type="expression" dxfId="214" priority="998">
      <formula>IF(BS49&gt;=BT49,IF(BS49="",FALSE,TRUE))</formula>
    </cfRule>
  </conditionalFormatting>
  <conditionalFormatting sqref="BS61:BS70 BU61:BU70">
    <cfRule type="expression" dxfId="213" priority="813">
      <formula>OR(IF(BS61&lt;BT61,TRUE),IF(AND(BT61="",BS61&lt;&gt;""),TRUE))</formula>
    </cfRule>
    <cfRule type="expression" dxfId="212" priority="814">
      <formula>IF(BS61&gt;=BT61,IF(BS61="",FALSE,TRUE))</formula>
    </cfRule>
  </conditionalFormatting>
  <conditionalFormatting sqref="BS73:BS82 BU73:BU82">
    <cfRule type="expression" dxfId="211" priority="797">
      <formula>IF(BS73&gt;=BT73,IF(BS73="",FALSE,TRUE))</formula>
    </cfRule>
    <cfRule type="expression" dxfId="210" priority="796">
      <formula>OR(IF(BS73&lt;BT73,TRUE),IF(AND(BT73="",BS73&lt;&gt;""),TRUE))</formula>
    </cfRule>
  </conditionalFormatting>
  <conditionalFormatting sqref="BS85:BS94 BU85:BU94">
    <cfRule type="expression" dxfId="209" priority="745">
      <formula>OR(IF(BS85&lt;BT85,TRUE),IF(AND(BT85="",BS85&lt;&gt;""),TRUE))</formula>
    </cfRule>
    <cfRule type="expression" dxfId="208" priority="746">
      <formula>IF(BS85&gt;=BT85,IF(BS85="",FALSE,TRUE))</formula>
    </cfRule>
  </conditionalFormatting>
  <conditionalFormatting sqref="BS97:BS106 BU97:BU106">
    <cfRule type="expression" dxfId="207" priority="729">
      <formula>IF(BS97&gt;=BT97,IF(BS97="",FALSE,TRUE))</formula>
    </cfRule>
    <cfRule type="expression" dxfId="206" priority="728">
      <formula>OR(IF(BS97&lt;BT97,TRUE),IF(AND(BT97="",BS97&lt;&gt;""),TRUE))</formula>
    </cfRule>
  </conditionalFormatting>
  <conditionalFormatting sqref="BU27:BU37">
    <cfRule type="expression" dxfId="205" priority="991">
      <formula>OR(IF(BU27&lt;BV27,TRUE),IF(AND(BV27="",BU27&lt;&gt;""),TRUE))</formula>
    </cfRule>
    <cfRule type="expression" dxfId="204" priority="992">
      <formula>IF(BU27&gt;=BV27,IF(BU27="",FALSE,TRUE))</formula>
    </cfRule>
  </conditionalFormatting>
  <conditionalFormatting sqref="BU40:BU46">
    <cfRule type="expression" dxfId="203" priority="984">
      <formula>IF(BU40&gt;=BV40,IF(BU40="",FALSE,TRUE))</formula>
    </cfRule>
    <cfRule type="expression" dxfId="202" priority="983">
      <formula>OR(IF(BU40&lt;BV40,TRUE),IF(AND(BV40="",BU40&lt;&gt;""),TRUE))</formula>
    </cfRule>
  </conditionalFormatting>
  <conditionalFormatting sqref="BZ5:BZ14">
    <cfRule type="expression" dxfId="201" priority="171">
      <formula>OR(IF(BZ5&lt;CA5,TRUE),IF(AND(CA5="",BZ5&lt;&gt;""),TRUE))</formula>
    </cfRule>
    <cfRule type="expression" dxfId="200" priority="172">
      <formula>IF(BZ5&gt;=CA5,IF(BZ5="",FALSE,TRUE))</formula>
    </cfRule>
  </conditionalFormatting>
  <conditionalFormatting sqref="BZ17:BZ24">
    <cfRule type="expression" dxfId="199" priority="138">
      <formula>IF(BZ17&gt;=CA17,IF(BZ17="",FALSE,TRUE))</formula>
    </cfRule>
    <cfRule type="expression" dxfId="198" priority="137">
      <formula>OR(IF(BZ17&lt;CA17,TRUE),IF(AND(CA17="",BZ17&lt;&gt;""),TRUE))</formula>
    </cfRule>
  </conditionalFormatting>
  <conditionalFormatting sqref="BZ27:BZ37">
    <cfRule type="expression" dxfId="197" priority="81">
      <formula>OR(IF(BZ27&lt;CA27,TRUE),IF(AND(CA27="",BZ27&lt;&gt;""),TRUE))</formula>
    </cfRule>
    <cfRule type="expression" dxfId="196" priority="82">
      <formula>IF(BZ27&gt;=CA27,IF(BZ27="",FALSE,TRUE))</formula>
    </cfRule>
  </conditionalFormatting>
  <conditionalFormatting sqref="BZ40:BZ46">
    <cfRule type="expression" dxfId="195" priority="58">
      <formula>IF(BZ40&gt;=CA40,IF(BZ40="",FALSE,TRUE))</formula>
    </cfRule>
    <cfRule type="expression" dxfId="194" priority="57">
      <formula>OR(IF(BZ40&lt;CA40,TRUE),IF(AND(CA40="",BZ40&lt;&gt;""),TRUE))</formula>
    </cfRule>
  </conditionalFormatting>
  <conditionalFormatting sqref="BZ49:BZ58">
    <cfRule type="expression" dxfId="193" priority="39">
      <formula>OR(IF(BZ49&lt;CA49,TRUE),IF(AND(CA49="",BZ49&lt;&gt;""),TRUE))</formula>
    </cfRule>
    <cfRule type="expression" dxfId="192" priority="40">
      <formula>IF(BZ49&gt;=CA49,IF(BZ49="",FALSE,TRUE))</formula>
    </cfRule>
  </conditionalFormatting>
  <conditionalFormatting sqref="BZ61:BZ70 CB61:CB70">
    <cfRule type="expression" dxfId="191" priority="810">
      <formula>IF(BZ61&gt;=CA61,IF(BZ61="",FALSE,TRUE))</formula>
    </cfRule>
    <cfRule type="expression" dxfId="190" priority="809">
      <formula>OR(IF(BZ61&lt;CA61,TRUE),IF(AND(CA61="",BZ61&lt;&gt;""),TRUE))</formula>
    </cfRule>
  </conditionalFormatting>
  <conditionalFormatting sqref="BZ73:BZ82 CB73:CB82">
    <cfRule type="expression" dxfId="189" priority="792">
      <formula>OR(IF(BZ73&lt;CA73,TRUE),IF(AND(CA73="",BZ73&lt;&gt;""),TRUE))</formula>
    </cfRule>
    <cfRule type="expression" dxfId="188" priority="793">
      <formula>IF(BZ73&gt;=CA73,IF(BZ73="",FALSE,TRUE))</formula>
    </cfRule>
  </conditionalFormatting>
  <conditionalFormatting sqref="BZ85:BZ94 CB85:CB94">
    <cfRule type="expression" dxfId="187" priority="741">
      <formula>OR(IF(BZ85&lt;CA85,TRUE),IF(AND(CA85="",BZ85&lt;&gt;""),TRUE))</formula>
    </cfRule>
    <cfRule type="expression" dxfId="186" priority="742">
      <formula>IF(BZ85&gt;=CA85,IF(BZ85="",FALSE,TRUE))</formula>
    </cfRule>
  </conditionalFormatting>
  <conditionalFormatting sqref="BZ97:BZ106 CB97:CB106">
    <cfRule type="expression" dxfId="185" priority="724">
      <formula>OR(IF(BZ97&lt;CA97,TRUE),IF(AND(CA97="",BZ97&lt;&gt;""),TRUE))</formula>
    </cfRule>
    <cfRule type="expression" dxfId="184" priority="725">
      <formula>IF(BZ97&gt;=CA97,IF(BZ97="",FALSE,TRUE))</formula>
    </cfRule>
  </conditionalFormatting>
  <conditionalFormatting sqref="CB5:CB14">
    <cfRule type="expression" dxfId="183" priority="157">
      <formula>OR(IF(CB5&lt;CC5,TRUE),IF(AND(CC5="",CB5&lt;&gt;""),TRUE))</formula>
    </cfRule>
    <cfRule type="expression" dxfId="182" priority="158">
      <formula>IF(CB5&gt;=CC5,IF(CB5="",FALSE,TRUE))</formula>
    </cfRule>
  </conditionalFormatting>
  <conditionalFormatting sqref="CB17:CB24">
    <cfRule type="expression" dxfId="181" priority="147">
      <formula>OR(IF(CB17&lt;CC17,TRUE),IF(AND(CC17="",CB17&lt;&gt;""),TRUE))</formula>
    </cfRule>
    <cfRule type="expression" dxfId="180" priority="148">
      <formula>IF(CB17&gt;=CC17,IF(CB17="",FALSE,TRUE))</formula>
    </cfRule>
  </conditionalFormatting>
  <conditionalFormatting sqref="CB27:CB37">
    <cfRule type="expression" dxfId="179" priority="65">
      <formula>OR(IF(CB27&lt;CC27,TRUE),IF(AND(CC27="",CB27&lt;&gt;""),TRUE))</formula>
    </cfRule>
    <cfRule type="expression" dxfId="178" priority="66">
      <formula>IF(CB27&gt;=CC27,IF(CB27="",FALSE,TRUE))</formula>
    </cfRule>
  </conditionalFormatting>
  <conditionalFormatting sqref="CB40:CB46">
    <cfRule type="expression" dxfId="177" priority="50">
      <formula>IF(CB40&gt;=CC40,IF(CB40="",FALSE,TRUE))</formula>
    </cfRule>
    <cfRule type="expression" dxfId="176" priority="49">
      <formula>OR(IF(CB40&lt;CC40,TRUE),IF(AND(CC40="",CB40&lt;&gt;""),TRUE))</formula>
    </cfRule>
  </conditionalFormatting>
  <conditionalFormatting sqref="CB49:CB58">
    <cfRule type="expression" dxfId="175" priority="38">
      <formula>IF(CB49&gt;=CC49,IF(CB49="",FALSE,TRUE))</formula>
    </cfRule>
    <cfRule type="expression" dxfId="174" priority="37">
      <formula>OR(IF(CB49&lt;CC49,TRUE),IF(AND(CC49="",CB49&lt;&gt;""),TRUE))</formula>
    </cfRule>
  </conditionalFormatting>
  <conditionalFormatting sqref="CG5:CG14">
    <cfRule type="expression" dxfId="173" priority="280">
      <formula>IF(CG5&gt;=CH5,IF(CG5="",FALSE,TRUE))</formula>
    </cfRule>
    <cfRule type="expression" dxfId="172" priority="279">
      <formula>OR(IF(CG5&lt;CH5,TRUE),IF(AND(CH5="",CG5&lt;&gt;""),TRUE))</formula>
    </cfRule>
  </conditionalFormatting>
  <conditionalFormatting sqref="CG16:CG25">
    <cfRule type="expression" dxfId="171" priority="246">
      <formula>IF(CG16&gt;=CH16,IF(CG16="",FALSE,TRUE))</formula>
    </cfRule>
    <cfRule type="expression" dxfId="170" priority="245">
      <formula>OR(IF(CG16&lt;CH16,TRUE),IF(AND(CH16="",CG16&lt;&gt;""),TRUE))</formula>
    </cfRule>
  </conditionalFormatting>
  <conditionalFormatting sqref="CG27:CG37">
    <cfRule type="expression" dxfId="169" priority="225">
      <formula>OR(IF(CG27&lt;CH27,TRUE),IF(AND(CH27="",CG27&lt;&gt;""),TRUE))</formula>
    </cfRule>
    <cfRule type="expression" dxfId="168" priority="226">
      <formula>IF(CG27&gt;=CH27,IF(CG27="",FALSE,TRUE))</formula>
    </cfRule>
  </conditionalFormatting>
  <conditionalFormatting sqref="CG40:CG46">
    <cfRule type="expression" dxfId="167" priority="215">
      <formula>OR(IF(CG40&lt;CH40,TRUE),IF(AND(CH40="",CG40&lt;&gt;""),TRUE))</formula>
    </cfRule>
    <cfRule type="expression" dxfId="166" priority="216">
      <formula>IF(CG40&gt;=CH40,IF(CG40="",FALSE,TRUE))</formula>
    </cfRule>
  </conditionalFormatting>
  <conditionalFormatting sqref="CG49:CG58">
    <cfRule type="expression" dxfId="165" priority="36">
      <formula>IF(CG49&gt;=CH49,IF(CG49="",FALSE,TRUE))</formula>
    </cfRule>
    <cfRule type="expression" dxfId="164" priority="35">
      <formula>OR(IF(CG49&lt;CH49,TRUE),IF(AND(CH49="",CG49&lt;&gt;""),TRUE))</formula>
    </cfRule>
  </conditionalFormatting>
  <conditionalFormatting sqref="CG61:CG70 CI61:CI70">
    <cfRule type="expression" dxfId="163" priority="808">
      <formula>IF(CG61&gt;=CH61,IF(CG61="",FALSE,TRUE))</formula>
    </cfRule>
    <cfRule type="expression" dxfId="162" priority="807">
      <formula>OR(IF(CG61&lt;CH61,TRUE),IF(AND(CH61="",CG61&lt;&gt;""),TRUE))</formula>
    </cfRule>
  </conditionalFormatting>
  <conditionalFormatting sqref="CG73:CG82 CI73:CI82">
    <cfRule type="expression" dxfId="161" priority="791">
      <formula>IF(CG73&gt;=CH73,IF(CG73="",FALSE,TRUE))</formula>
    </cfRule>
    <cfRule type="expression" dxfId="160" priority="790">
      <formula>OR(IF(CG73&lt;CH73,TRUE),IF(AND(CH73="",CG73&lt;&gt;""),TRUE))</formula>
    </cfRule>
  </conditionalFormatting>
  <conditionalFormatting sqref="CG85:CG94 CI85:CI94">
    <cfRule type="expression" dxfId="159" priority="740">
      <formula>IF(CG85&gt;=CH85,IF(CG85="",FALSE,TRUE))</formula>
    </cfRule>
    <cfRule type="expression" dxfId="158" priority="739">
      <formula>OR(IF(CG85&lt;CH85,TRUE),IF(AND(CH85="",CG85&lt;&gt;""),TRUE))</formula>
    </cfRule>
  </conditionalFormatting>
  <conditionalFormatting sqref="CG97:CG106 CI97:CI106">
    <cfRule type="expression" dxfId="157" priority="722">
      <formula>OR(IF(CG97&lt;CH97,TRUE),IF(AND(CH97="",CG97&lt;&gt;""),TRUE))</formula>
    </cfRule>
    <cfRule type="expression" dxfId="156" priority="723">
      <formula>IF(CG97&gt;=CH97,IF(CG97="",FALSE,TRUE))</formula>
    </cfRule>
  </conditionalFormatting>
  <conditionalFormatting sqref="CI5:CI14">
    <cfRule type="expression" dxfId="155" priority="266">
      <formula>IF(CI5&gt;=CJ5,IF(CI5="",FALSE,TRUE))</formula>
    </cfRule>
    <cfRule type="expression" dxfId="154" priority="265">
      <formula>OR(IF(CI5&lt;CJ5,TRUE),IF(AND(CJ5="",CI5&lt;&gt;""),TRUE))</formula>
    </cfRule>
  </conditionalFormatting>
  <conditionalFormatting sqref="CI16:CI25">
    <cfRule type="expression" dxfId="153" priority="256">
      <formula>IF(CI16&gt;=CJ16,IF(CI16="",FALSE,TRUE))</formula>
    </cfRule>
    <cfRule type="expression" dxfId="152" priority="255">
      <formula>OR(IF(CI16&lt;CJ16,TRUE),IF(AND(CJ16="",CI16&lt;&gt;""),TRUE))</formula>
    </cfRule>
  </conditionalFormatting>
  <conditionalFormatting sqref="CI27:CI37">
    <cfRule type="expression" dxfId="151" priority="192">
      <formula>IF(CI27&gt;=CJ27,IF(CI27="",FALSE,TRUE))</formula>
    </cfRule>
    <cfRule type="expression" dxfId="150" priority="191">
      <formula>OR(IF(CI27&lt;CJ27,TRUE),IF(AND(CJ27="",CI27&lt;&gt;""),TRUE))</formula>
    </cfRule>
  </conditionalFormatting>
  <conditionalFormatting sqref="CI40:CI46">
    <cfRule type="expression" dxfId="149" priority="207">
      <formula>OR(IF(CI40&lt;CJ40,TRUE),IF(AND(CJ40="",CI40&lt;&gt;""),TRUE))</formula>
    </cfRule>
    <cfRule type="expression" dxfId="148" priority="208">
      <formula>IF(CI40&gt;=CJ40,IF(CI40="",FALSE,TRUE))</formula>
    </cfRule>
  </conditionalFormatting>
  <conditionalFormatting sqref="CI49:CI58">
    <cfRule type="expression" dxfId="147" priority="33">
      <formula>OR(IF(CI49&lt;CJ49,TRUE),IF(AND(CJ49="",CI49&lt;&gt;""),TRUE))</formula>
    </cfRule>
    <cfRule type="expression" dxfId="146" priority="34">
      <formula>IF(CI49&gt;=CJ49,IF(CI49="",FALSE,TRUE))</formula>
    </cfRule>
  </conditionalFormatting>
  <conditionalFormatting sqref="CN5:CN14">
    <cfRule type="expression" dxfId="145" priority="620">
      <formula>IF(CN5&gt;=CO5,IF(CN5="",FALSE,TRUE))</formula>
    </cfRule>
    <cfRule type="expression" dxfId="144" priority="619">
      <formula>OR(IF(CN5&lt;CO5,TRUE),IF(AND(CO5="",CN5&lt;&gt;""),TRUE))</formula>
    </cfRule>
  </conditionalFormatting>
  <conditionalFormatting sqref="CN17:CN24">
    <cfRule type="expression" dxfId="143" priority="579">
      <formula>OR(IF(CN17&lt;CO17,TRUE),IF(AND(CO17="",CN17&lt;&gt;""),TRUE))</formula>
    </cfRule>
    <cfRule type="expression" dxfId="142" priority="580">
      <formula>IF(CN17&gt;=CO17,IF(CN17="",FALSE,TRUE))</formula>
    </cfRule>
  </conditionalFormatting>
  <conditionalFormatting sqref="CN27:CN37">
    <cfRule type="expression" dxfId="141" priority="543">
      <formula>OR(IF(CN27&lt;CO27,TRUE),IF(AND(CO27="",CN27&lt;&gt;""),TRUE))</formula>
    </cfRule>
    <cfRule type="expression" dxfId="140" priority="544">
      <formula>IF(CN27&gt;=CO27,IF(CN27="",FALSE,TRUE))</formula>
    </cfRule>
  </conditionalFormatting>
  <conditionalFormatting sqref="CN40:CN46">
    <cfRule type="expression" dxfId="139" priority="524">
      <formula>IF(CN40&gt;=CO40,IF(CN40="",FALSE,TRUE))</formula>
    </cfRule>
    <cfRule type="expression" dxfId="138" priority="523">
      <formula>OR(IF(CN40&lt;CO40,TRUE),IF(AND(CO40="",CN40&lt;&gt;""),TRUE))</formula>
    </cfRule>
  </conditionalFormatting>
  <conditionalFormatting sqref="CN49:CN58">
    <cfRule type="expression" dxfId="137" priority="32">
      <formula>IF(CN49&gt;=CO49,IF(CN49="",FALSE,TRUE))</formula>
    </cfRule>
    <cfRule type="expression" dxfId="136" priority="31">
      <formula>OR(IF(CN49&lt;CO49,TRUE),IF(AND(CO49="",CN49&lt;&gt;""),TRUE))</formula>
    </cfRule>
  </conditionalFormatting>
  <conditionalFormatting sqref="CN61:CN70">
    <cfRule type="expression" dxfId="135" priority="485">
      <formula>OR(IF(CN61&lt;CO61,TRUE),IF(AND(CO61="",CN61&lt;&gt;""),TRUE))</formula>
    </cfRule>
    <cfRule type="expression" dxfId="134" priority="486">
      <formula>IF(CN61&gt;=CO61,IF(CN61="",FALSE,TRUE))</formula>
    </cfRule>
  </conditionalFormatting>
  <conditionalFormatting sqref="CN73:CN82">
    <cfRule type="expression" dxfId="133" priority="468">
      <formula>IF(CN73&gt;=CO73,IF(CN73="",FALSE,TRUE))</formula>
    </cfRule>
    <cfRule type="expression" dxfId="132" priority="467">
      <formula>OR(IF(CN73&lt;CO73,TRUE),IF(AND(CO73="",CN73&lt;&gt;""),TRUE))</formula>
    </cfRule>
  </conditionalFormatting>
  <conditionalFormatting sqref="CN85:CN94 CP85:CP94">
    <cfRule type="expression" dxfId="131" priority="737">
      <formula>OR(IF(CN85&lt;CO85,TRUE),IF(AND(CO85="",CN85&lt;&gt;""),TRUE))</formula>
    </cfRule>
    <cfRule type="expression" dxfId="130" priority="738">
      <formula>IF(CN85&gt;=CO85,IF(CN85="",FALSE,TRUE))</formula>
    </cfRule>
  </conditionalFormatting>
  <conditionalFormatting sqref="CN97:CN106 CP97:CP106">
    <cfRule type="expression" dxfId="129" priority="720">
      <formula>OR(IF(CN97&lt;CO97,TRUE),IF(AND(CO97="",CN97&lt;&gt;""),TRUE))</formula>
    </cfRule>
    <cfRule type="expression" dxfId="128" priority="721">
      <formula>IF(CN97&gt;=CO97,IF(CN97="",FALSE,TRUE))</formula>
    </cfRule>
  </conditionalFormatting>
  <conditionalFormatting sqref="CP5:CP14">
    <cfRule type="expression" dxfId="127" priority="629">
      <formula>OR(IF(CP5&lt;CQ5,TRUE),IF(AND(CQ5="",CP5&lt;&gt;""),TRUE))</formula>
    </cfRule>
    <cfRule type="expression" dxfId="126" priority="630">
      <formula>IF(CP5&gt;=CQ5,IF(CP5="",FALSE,TRUE))</formula>
    </cfRule>
  </conditionalFormatting>
  <conditionalFormatting sqref="CP17:CP24">
    <cfRule type="expression" dxfId="125" priority="564">
      <formula>IF(CP17&gt;=CQ17,IF(CP17="",FALSE,TRUE))</formula>
    </cfRule>
    <cfRule type="expression" dxfId="124" priority="563">
      <formula>OR(IF(CP17&lt;CQ17,TRUE),IF(AND(CQ17="",CP17&lt;&gt;""),TRUE))</formula>
    </cfRule>
  </conditionalFormatting>
  <conditionalFormatting sqref="CP27:CP37">
    <cfRule type="expression" dxfId="123" priority="532">
      <formula>IF(CP27&gt;=CQ27,IF(CP27="",FALSE,TRUE))</formula>
    </cfRule>
    <cfRule type="expression" dxfId="122" priority="531">
      <formula>OR(IF(CP27&lt;CQ27,TRUE),IF(AND(CQ27="",CP27&lt;&gt;""),TRUE))</formula>
    </cfRule>
  </conditionalFormatting>
  <conditionalFormatting sqref="CP40:CP46">
    <cfRule type="expression" dxfId="121" priority="515">
      <formula>OR(IF(CP40&lt;CQ40,TRUE),IF(AND(CQ40="",CP40&lt;&gt;""),TRUE))</formula>
    </cfRule>
    <cfRule type="expression" dxfId="120" priority="516">
      <formula>IF(CP40&gt;=CQ40,IF(CP40="",FALSE,TRUE))</formula>
    </cfRule>
  </conditionalFormatting>
  <conditionalFormatting sqref="CP49:CP58">
    <cfRule type="expression" dxfId="119" priority="30">
      <formula>IF(CP49&gt;=CQ49,IF(CP49="",FALSE,TRUE))</formula>
    </cfRule>
    <cfRule type="expression" dxfId="118" priority="29">
      <formula>OR(IF(CP49&lt;CQ49,TRUE),IF(AND(CQ49="",CP49&lt;&gt;""),TRUE))</formula>
    </cfRule>
  </conditionalFormatting>
  <conditionalFormatting sqref="CP61:CP70">
    <cfRule type="expression" dxfId="117" priority="476">
      <formula>IF(CP61&gt;=CQ61,IF(CP61="",FALSE,TRUE))</formula>
    </cfRule>
    <cfRule type="expression" dxfId="116" priority="475">
      <formula>OR(IF(CP61&lt;CQ61,TRUE),IF(AND(CQ61="",CP61&lt;&gt;""),TRUE))</formula>
    </cfRule>
  </conditionalFormatting>
  <conditionalFormatting sqref="CP73:CP82">
    <cfRule type="expression" dxfId="115" priority="466">
      <formula>IF(CP73&gt;=CQ73,IF(CP73="",FALSE,TRUE))</formula>
    </cfRule>
    <cfRule type="expression" dxfId="114" priority="465">
      <formula>OR(IF(CP73&lt;CQ73,TRUE),IF(AND(CQ73="",CP73&lt;&gt;""),TRUE))</formula>
    </cfRule>
  </conditionalFormatting>
  <conditionalFormatting sqref="CU5:CU14 CW5:CW14">
    <cfRule type="expression" dxfId="113" priority="674">
      <formula>OR(IF(CU5&lt;CV5,TRUE),IF(AND(CV5="",CU5&lt;&gt;""),TRUE))</formula>
    </cfRule>
    <cfRule type="expression" dxfId="112" priority="675">
      <formula>IF(CU5&gt;=CV5,IF(CU5="",FALSE,TRUE))</formula>
    </cfRule>
  </conditionalFormatting>
  <conditionalFormatting sqref="CU17:CU24">
    <cfRule type="expression" dxfId="111" priority="464">
      <formula>IF(CU17&gt;=CV17,IF(CU17="",FALSE,TRUE))</formula>
    </cfRule>
    <cfRule type="expression" dxfId="110" priority="463">
      <formula>OR(IF(CU17&lt;CV17,TRUE),IF(AND(CV17="",CU17&lt;&gt;""),TRUE))</formula>
    </cfRule>
  </conditionalFormatting>
  <conditionalFormatting sqref="CU27:CU37">
    <cfRule type="expression" dxfId="109" priority="459">
      <formula>OR(IF(CU27&lt;CV27,TRUE),IF(AND(CV27="",CU27&lt;&gt;""),TRUE))</formula>
    </cfRule>
    <cfRule type="expression" dxfId="108" priority="460">
      <formula>IF(CU27&gt;=CV27,IF(CU27="",FALSE,TRUE))</formula>
    </cfRule>
  </conditionalFormatting>
  <conditionalFormatting sqref="CU40:CU46">
    <cfRule type="expression" dxfId="107" priority="442">
      <formula>IF(CU40&gt;=CV40,IF(CU40="",FALSE,TRUE))</formula>
    </cfRule>
    <cfRule type="expression" dxfId="106" priority="441">
      <formula>OR(IF(CU40&lt;CV40,TRUE),IF(AND(CV40="",CU40&lt;&gt;""),TRUE))</formula>
    </cfRule>
  </conditionalFormatting>
  <conditionalFormatting sqref="CU49:CU58">
    <cfRule type="expression" dxfId="105" priority="422">
      <formula>IF(CU49&gt;=CV49,IF(CU49="",FALSE,TRUE))</formula>
    </cfRule>
    <cfRule type="expression" dxfId="104" priority="421">
      <formula>OR(IF(CU49&lt;CV49,TRUE),IF(AND(CV49="",CU49&lt;&gt;""),TRUE))</formula>
    </cfRule>
  </conditionalFormatting>
  <conditionalFormatting sqref="CU61:CU70">
    <cfRule type="expression" dxfId="103" priority="403">
      <formula>OR(IF(CU61&lt;CV61,TRUE),IF(AND(CV61="",CU61&lt;&gt;""),TRUE))</formula>
    </cfRule>
    <cfRule type="expression" dxfId="102" priority="404">
      <formula>IF(CU61&gt;=CV61,IF(CU61="",FALSE,TRUE))</formula>
    </cfRule>
  </conditionalFormatting>
  <conditionalFormatting sqref="CU73:CU82">
    <cfRule type="expression" dxfId="101" priority="385">
      <formula>OR(IF(CU73&lt;CV73,TRUE),IF(AND(CV73="",CU73&lt;&gt;""),TRUE))</formula>
    </cfRule>
    <cfRule type="expression" dxfId="100" priority="386">
      <formula>IF(CU73&gt;=CV73,IF(CU73="",FALSE,TRUE))</formula>
    </cfRule>
  </conditionalFormatting>
  <conditionalFormatting sqref="CU85:CU94 CW85:CW94">
    <cfRule type="expression" dxfId="99" priority="735">
      <formula>OR(IF(CU85&lt;CV85,TRUE),IF(AND(CV85="",CU85&lt;&gt;""),TRUE))</formula>
    </cfRule>
    <cfRule type="expression" dxfId="98" priority="736">
      <formula>IF(CU85&gt;=CV85,IF(CU85="",FALSE,TRUE))</formula>
    </cfRule>
  </conditionalFormatting>
  <conditionalFormatting sqref="CU97:CU106 CW97:CW106">
    <cfRule type="expression" dxfId="97" priority="719">
      <formula>IF(CU97&gt;=CV97,IF(CU97="",FALSE,TRUE))</formula>
    </cfRule>
    <cfRule type="expression" dxfId="96" priority="718">
      <formula>OR(IF(CU97&lt;CV97,TRUE),IF(AND(CV97="",CU97&lt;&gt;""),TRUE))</formula>
    </cfRule>
  </conditionalFormatting>
  <conditionalFormatting sqref="CW17:CW24">
    <cfRule type="expression" dxfId="95" priority="461">
      <formula>OR(IF(CW17&lt;CX17,TRUE),IF(AND(CX17="",CW17&lt;&gt;""),TRUE))</formula>
    </cfRule>
    <cfRule type="expression" dxfId="94" priority="462">
      <formula>IF(CW17&gt;=CX17,IF(CW17="",FALSE,TRUE))</formula>
    </cfRule>
  </conditionalFormatting>
  <conditionalFormatting sqref="CW27:CW37">
    <cfRule type="expression" dxfId="93" priority="450">
      <formula>IF(CW27&gt;=CX27,IF(CW27="",FALSE,TRUE))</formula>
    </cfRule>
    <cfRule type="expression" dxfId="92" priority="449">
      <formula>OR(IF(CW27&lt;CX27,TRUE),IF(AND(CX27="",CW27&lt;&gt;""),TRUE))</formula>
    </cfRule>
  </conditionalFormatting>
  <conditionalFormatting sqref="CW40:CW46">
    <cfRule type="expression" dxfId="91" priority="433">
      <formula>OR(IF(CW40&lt;CX40,TRUE),IF(AND(CX40="",CW40&lt;&gt;""),TRUE))</formula>
    </cfRule>
    <cfRule type="expression" dxfId="90" priority="434">
      <formula>IF(CW40&gt;=CX40,IF(CW40="",FALSE,TRUE))</formula>
    </cfRule>
  </conditionalFormatting>
  <conditionalFormatting sqref="CW49:CW58">
    <cfRule type="expression" dxfId="89" priority="414">
      <formula>IF(CW49&gt;=CX49,IF(CW49="",FALSE,TRUE))</formula>
    </cfRule>
    <cfRule type="expression" dxfId="88" priority="413">
      <formula>OR(IF(CW49&lt;CX49,TRUE),IF(AND(CX49="",CW49&lt;&gt;""),TRUE))</formula>
    </cfRule>
  </conditionalFormatting>
  <conditionalFormatting sqref="CW61:CW70">
    <cfRule type="expression" dxfId="87" priority="393">
      <formula>OR(IF(CW61&lt;CX61,TRUE),IF(AND(CX61="",CW61&lt;&gt;""),TRUE))</formula>
    </cfRule>
    <cfRule type="expression" dxfId="86" priority="394">
      <formula>IF(CW61&gt;=CX61,IF(CW61="",FALSE,TRUE))</formula>
    </cfRule>
  </conditionalFormatting>
  <conditionalFormatting sqref="CW73:CW82">
    <cfRule type="expression" dxfId="85" priority="384">
      <formula>IF(CW73&gt;=CX73,IF(CW73="",FALSE,TRUE))</formula>
    </cfRule>
    <cfRule type="expression" dxfId="84" priority="383">
      <formula>OR(IF(CW73&lt;CX73,TRUE),IF(AND(CX73="",CW73&lt;&gt;""),TRUE))</formula>
    </cfRule>
  </conditionalFormatting>
  <conditionalFormatting sqref="DB5:DB14">
    <cfRule type="expression" dxfId="83" priority="670">
      <formula>OR(IF(DB5&lt;DC5,TRUE),IF(AND(DC5="",DB5&lt;&gt;""),TRUE))</formula>
    </cfRule>
    <cfRule type="expression" dxfId="82" priority="671">
      <formula>IF(DB5&gt;=DC5,IF(DB5="",FALSE,TRUE))</formula>
    </cfRule>
  </conditionalFormatting>
  <conditionalFormatting sqref="DB17:DB24">
    <cfRule type="expression" dxfId="81" priority="381">
      <formula>OR(IF(DB17&lt;DC17,TRUE),IF(AND(DC17="",DB17&lt;&gt;""),TRUE))</formula>
    </cfRule>
    <cfRule type="expression" dxfId="80" priority="382">
      <formula>IF(DB17&gt;=DC17,IF(DB17="",FALSE,TRUE))</formula>
    </cfRule>
  </conditionalFormatting>
  <conditionalFormatting sqref="DB27:DB37">
    <cfRule type="expression" dxfId="79" priority="377">
      <formula>OR(IF(DB27&lt;DC27,TRUE),IF(AND(DC27="",DB27&lt;&gt;""),TRUE))</formula>
    </cfRule>
    <cfRule type="expression" dxfId="78" priority="378">
      <formula>IF(DB27&gt;=DC27,IF(DB27="",FALSE,TRUE))</formula>
    </cfRule>
  </conditionalFormatting>
  <conditionalFormatting sqref="DB40:DB46">
    <cfRule type="expression" dxfId="77" priority="359">
      <formula>OR(IF(DB40&lt;DC40,TRUE),IF(AND(DC40="",DB40&lt;&gt;""),TRUE))</formula>
    </cfRule>
    <cfRule type="expression" dxfId="76" priority="360">
      <formula>IF(DB40&gt;=DC40,IF(DB40="",FALSE,TRUE))</formula>
    </cfRule>
  </conditionalFormatting>
  <conditionalFormatting sqref="DB49:DB58">
    <cfRule type="expression" dxfId="75" priority="340">
      <formula>IF(DB49&gt;=DC49,IF(DB49="",FALSE,TRUE))</formula>
    </cfRule>
    <cfRule type="expression" dxfId="74" priority="339">
      <formula>OR(IF(DB49&lt;DC49,TRUE),IF(AND(DC49="",DB49&lt;&gt;""),TRUE))</formula>
    </cfRule>
  </conditionalFormatting>
  <conditionalFormatting sqref="DB61:DB70">
    <cfRule type="expression" dxfId="73" priority="322">
      <formula>IF(DB61&gt;=DC61,IF(DB61="",FALSE,TRUE))</formula>
    </cfRule>
    <cfRule type="expression" dxfId="72" priority="321">
      <formula>OR(IF(DB61&lt;DC61,TRUE),IF(AND(DC61="",DB61&lt;&gt;""),TRUE))</formula>
    </cfRule>
  </conditionalFormatting>
  <conditionalFormatting sqref="DB73:DB82">
    <cfRule type="expression" dxfId="71" priority="303">
      <formula>OR(IF(DB73&lt;DC73,TRUE),IF(AND(DC73="",DB73&lt;&gt;""),TRUE))</formula>
    </cfRule>
    <cfRule type="expression" dxfId="70" priority="304">
      <formula>IF(DB73&gt;=DC73,IF(DB73="",FALSE,TRUE))</formula>
    </cfRule>
  </conditionalFormatting>
  <conditionalFormatting sqref="DB85:DB94 DD85:DD94">
    <cfRule type="expression" dxfId="69" priority="744">
      <formula>IF(DB85&gt;=DC85,IF(DB85="",FALSE,TRUE))</formula>
    </cfRule>
    <cfRule type="expression" dxfId="68" priority="743">
      <formula>OR(IF(DB85&lt;DC85,TRUE),IF(AND(DC85="",DB85&lt;&gt;""),TRUE))</formula>
    </cfRule>
  </conditionalFormatting>
  <conditionalFormatting sqref="DB97:DB106 DD97:DD106">
    <cfRule type="expression" dxfId="67" priority="726">
      <formula>OR(IF(DB97&lt;DC97,TRUE),IF(AND(DC97="",DB97&lt;&gt;""),TRUE))</formula>
    </cfRule>
    <cfRule type="expression" dxfId="66" priority="727">
      <formula>IF(DB97&gt;=DC97,IF(DB97="",FALSE,TRUE))</formula>
    </cfRule>
  </conditionalFormatting>
  <conditionalFormatting sqref="DD5:DD14">
    <cfRule type="expression" dxfId="65" priority="611">
      <formula>OR(IF(DD5&lt;DE5,TRUE),IF(AND(DE5="",DD5&lt;&gt;""),TRUE))</formula>
    </cfRule>
    <cfRule type="expression" dxfId="64" priority="612">
      <formula>IF(DD5&gt;=DE5,IF(DD5="",FALSE,TRUE))</formula>
    </cfRule>
  </conditionalFormatting>
  <conditionalFormatting sqref="DD17:DD24">
    <cfRule type="expression" dxfId="63" priority="380">
      <formula>IF(DD17&gt;=DE17,IF(DD17="",FALSE,TRUE))</formula>
    </cfRule>
    <cfRule type="expression" dxfId="62" priority="379">
      <formula>OR(IF(DD17&lt;DE17,TRUE),IF(AND(DE17="",DD17&lt;&gt;""),TRUE))</formula>
    </cfRule>
  </conditionalFormatting>
  <conditionalFormatting sqref="DD27:DD37">
    <cfRule type="expression" dxfId="61" priority="367">
      <formula>OR(IF(DD27&lt;DE27,TRUE),IF(AND(DE27="",DD27&lt;&gt;""),TRUE))</formula>
    </cfRule>
    <cfRule type="expression" dxfId="60" priority="368">
      <formula>IF(DD27&gt;=DE27,IF(DD27="",FALSE,TRUE))</formula>
    </cfRule>
  </conditionalFormatting>
  <conditionalFormatting sqref="DD40:DD46">
    <cfRule type="expression" dxfId="59" priority="351">
      <formula>OR(IF(DD40&lt;DE40,TRUE),IF(AND(DE40="",DD40&lt;&gt;""),TRUE))</formula>
    </cfRule>
    <cfRule type="expression" dxfId="58" priority="352">
      <formula>IF(DD40&gt;=DE40,IF(DD40="",FALSE,TRUE))</formula>
    </cfRule>
  </conditionalFormatting>
  <conditionalFormatting sqref="DD49:DD58">
    <cfRule type="expression" dxfId="57" priority="332">
      <formula>IF(DD49&gt;=DE49,IF(DD49="",FALSE,TRUE))</formula>
    </cfRule>
    <cfRule type="expression" dxfId="56" priority="331">
      <formula>OR(IF(DD49&lt;DE49,TRUE),IF(AND(DE49="",DD49&lt;&gt;""),TRUE))</formula>
    </cfRule>
  </conditionalFormatting>
  <conditionalFormatting sqref="DD61:DD70">
    <cfRule type="expression" dxfId="55" priority="312">
      <formula>IF(DD61&gt;=DE61,IF(DD61="",FALSE,TRUE))</formula>
    </cfRule>
    <cfRule type="expression" dxfId="54" priority="311">
      <formula>OR(IF(DD61&lt;DE61,TRUE),IF(AND(DE61="",DD61&lt;&gt;""),TRUE))</formula>
    </cfRule>
  </conditionalFormatting>
  <conditionalFormatting sqref="DD73:DD82">
    <cfRule type="expression" dxfId="53" priority="302">
      <formula>IF(DD73&gt;=DE73,IF(DD73="",FALSE,TRUE))</formula>
    </cfRule>
    <cfRule type="expression" dxfId="52" priority="301">
      <formula>OR(IF(DD73&lt;DE73,TRUE),IF(AND(DE73="",DD73&lt;&gt;""),TRUE))</formula>
    </cfRule>
  </conditionalFormatting>
  <conditionalFormatting sqref="DI5:DI14 DK5:DK14 DI49:DI58 DK49:DK58">
    <cfRule type="expression" dxfId="51" priority="717">
      <formula>IF(DI5&gt;=DJ5,IF(DI5="",FALSE,TRUE))</formula>
    </cfRule>
    <cfRule type="expression" dxfId="50" priority="716">
      <formula>OR(IF(DI5&lt;DJ5,TRUE),IF(AND(DJ5="",DI5&lt;&gt;""),TRUE))</formula>
    </cfRule>
  </conditionalFormatting>
  <conditionalFormatting sqref="DI17:DI24 DK17:DK24">
    <cfRule type="expression" dxfId="49" priority="707">
      <formula>IF(DI17&gt;=DJ17,IF(DI17="",FALSE,TRUE))</formula>
    </cfRule>
    <cfRule type="expression" dxfId="48" priority="706">
      <formula>OR(IF(DI17&lt;DJ17,TRUE),IF(AND(DJ17="",DI17&lt;&gt;""),TRUE))</formula>
    </cfRule>
  </conditionalFormatting>
  <conditionalFormatting sqref="DI27:DI37">
    <cfRule type="expression" dxfId="47" priority="715">
      <formula>IF(DI27&gt;=DJ27,IF(DI27="",FALSE,TRUE))</formula>
    </cfRule>
    <cfRule type="expression" dxfId="46" priority="714">
      <formula>OR(IF(DI27&lt;DJ27,TRUE),IF(AND(DJ27="",DI27&lt;&gt;""),TRUE))</formula>
    </cfRule>
  </conditionalFormatting>
  <conditionalFormatting sqref="DI40:DI46">
    <cfRule type="expression" dxfId="45" priority="710">
      <formula>OR(IF(DI40&lt;DJ40,TRUE),IF(AND(DJ40="",DI40&lt;&gt;""),TRUE))</formula>
    </cfRule>
    <cfRule type="expression" dxfId="44" priority="711">
      <formula>IF(DI40&gt;=DJ40,IF(DI40="",FALSE,TRUE))</formula>
    </cfRule>
  </conditionalFormatting>
  <conditionalFormatting sqref="DI61:DI70 DK61:DK70">
    <cfRule type="expression" dxfId="43" priority="704">
      <formula>OR(IF(DI61&lt;DJ61,TRUE),IF(AND(DJ61="",DI61&lt;&gt;""),TRUE))</formula>
    </cfRule>
    <cfRule type="expression" dxfId="42" priority="705">
      <formula>IF(DI61&gt;=DJ61,IF(DI61="",FALSE,TRUE))</formula>
    </cfRule>
  </conditionalFormatting>
  <conditionalFormatting sqref="DI73:DI82 DK73:DK82">
    <cfRule type="expression" dxfId="41" priority="702">
      <formula>OR(IF(DI73&lt;DJ73,TRUE),IF(AND(DJ73="",DI73&lt;&gt;""),TRUE))</formula>
    </cfRule>
    <cfRule type="expression" dxfId="40" priority="703">
      <formula>IF(DI73&gt;=DJ73,IF(DI73="",FALSE,TRUE))</formula>
    </cfRule>
  </conditionalFormatting>
  <conditionalFormatting sqref="DI85:DI94 DK85:DK94">
    <cfRule type="expression" dxfId="39" priority="700">
      <formula>OR(IF(DI85&lt;DJ85,TRUE),IF(AND(DJ85="",DI85&lt;&gt;""),TRUE))</formula>
    </cfRule>
    <cfRule type="expression" dxfId="38" priority="701">
      <formula>IF(DI85&gt;=DJ85,IF(DI85="",FALSE,TRUE))</formula>
    </cfRule>
  </conditionalFormatting>
  <conditionalFormatting sqref="DI97:DI106 DK97:DK106">
    <cfRule type="expression" dxfId="37" priority="699">
      <formula>IF(DI97&gt;=DJ97,IF(DI97="",FALSE,TRUE))</formula>
    </cfRule>
    <cfRule type="expression" dxfId="36" priority="698">
      <formula>OR(IF(DI97&lt;DJ97,TRUE),IF(AND(DJ97="",DI97&lt;&gt;""),TRUE))</formula>
    </cfRule>
  </conditionalFormatting>
  <conditionalFormatting sqref="DK27:DK37">
    <cfRule type="expression" dxfId="35" priority="713">
      <formula>IF(DK27&gt;=DL27,IF(DK27="",FALSE,TRUE))</formula>
    </cfRule>
    <cfRule type="expression" dxfId="34" priority="712">
      <formula>OR(IF(DK27&lt;DL27,TRUE),IF(AND(DL27="",DK27&lt;&gt;""),TRUE))</formula>
    </cfRule>
  </conditionalFormatting>
  <conditionalFormatting sqref="DK40:DK46">
    <cfRule type="expression" dxfId="33" priority="709">
      <formula>IF(DK40&gt;=DL40,IF(DK40="",FALSE,TRUE))</formula>
    </cfRule>
    <cfRule type="expression" dxfId="32" priority="708">
      <formula>OR(IF(DK40&lt;DL40,TRUE),IF(AND(DL40="",DK40&lt;&gt;""),TRUE))</formula>
    </cfRule>
  </conditionalFormatting>
  <conditionalFormatting sqref="DP5:DP14 DR5:DR14 DP49:DP58 DR49:DR58">
    <cfRule type="expression" dxfId="31" priority="696">
      <formula>OR(IF(DP5&lt;DQ5,TRUE),IF(AND(DQ5="",DP5&lt;&gt;""),TRUE))</formula>
    </cfRule>
    <cfRule type="expression" dxfId="30" priority="697">
      <formula>IF(DP5&gt;=DQ5,IF(DP5="",FALSE,TRUE))</formula>
    </cfRule>
  </conditionalFormatting>
  <conditionalFormatting sqref="DP17:DP24 DR17:DR24">
    <cfRule type="expression" dxfId="29" priority="686">
      <formula>OR(IF(DP17&lt;DQ17,TRUE),IF(AND(DQ17="",DP17&lt;&gt;""),TRUE))</formula>
    </cfRule>
    <cfRule type="expression" dxfId="28" priority="687">
      <formula>IF(DP17&gt;=DQ17,IF(DP17="",FALSE,TRUE))</formula>
    </cfRule>
  </conditionalFormatting>
  <conditionalFormatting sqref="DP27:DP37">
    <cfRule type="expression" dxfId="27" priority="695">
      <formula>IF(DP27&gt;=DQ27,IF(DP27="",FALSE,TRUE))</formula>
    </cfRule>
    <cfRule type="expression" dxfId="26" priority="694">
      <formula>OR(IF(DP27&lt;DQ27,TRUE),IF(AND(DQ27="",DP27&lt;&gt;""),TRUE))</formula>
    </cfRule>
  </conditionalFormatting>
  <conditionalFormatting sqref="DP40:DP46">
    <cfRule type="expression" dxfId="25" priority="690">
      <formula>OR(IF(DP40&lt;DQ40,TRUE),IF(AND(DQ40="",DP40&lt;&gt;""),TRUE))</formula>
    </cfRule>
    <cfRule type="expression" dxfId="24" priority="691">
      <formula>IF(DP40&gt;=DQ40,IF(DP40="",FALSE,TRUE))</formula>
    </cfRule>
  </conditionalFormatting>
  <conditionalFormatting sqref="DP61:DP70 DR61:DR70">
    <cfRule type="expression" dxfId="23" priority="684">
      <formula>OR(IF(DP61&lt;DQ61,TRUE),IF(AND(DQ61="",DP61&lt;&gt;""),TRUE))</formula>
    </cfRule>
    <cfRule type="expression" dxfId="22" priority="685">
      <formula>IF(DP61&gt;=DQ61,IF(DP61="",FALSE,TRUE))</formula>
    </cfRule>
  </conditionalFormatting>
  <conditionalFormatting sqref="DP73:DP82 DR73:DR82">
    <cfRule type="expression" dxfId="21" priority="682">
      <formula>OR(IF(DP73&lt;DQ73,TRUE),IF(AND(DQ73="",DP73&lt;&gt;""),TRUE))</formula>
    </cfRule>
    <cfRule type="expression" dxfId="20" priority="683">
      <formula>IF(DP73&gt;=DQ73,IF(DP73="",FALSE,TRUE))</formula>
    </cfRule>
  </conditionalFormatting>
  <conditionalFormatting sqref="DP85:DP94 DR85:DR94">
    <cfRule type="expression" dxfId="19" priority="681">
      <formula>IF(DP85&gt;=DQ85,IF(DP85="",FALSE,TRUE))</formula>
    </cfRule>
    <cfRule type="expression" dxfId="18" priority="680">
      <formula>OR(IF(DP85&lt;DQ85,TRUE),IF(AND(DQ85="",DP85&lt;&gt;""),TRUE))</formula>
    </cfRule>
  </conditionalFormatting>
  <conditionalFormatting sqref="DP97:DP106 DR97:DR106">
    <cfRule type="expression" dxfId="17" priority="678">
      <formula>OR(IF(DP97&lt;DQ97,TRUE),IF(AND(DQ97="",DP97&lt;&gt;""),TRUE))</formula>
    </cfRule>
    <cfRule type="expression" dxfId="16" priority="679">
      <formula>IF(DP97&gt;=DQ97,IF(DP97="",FALSE,TRUE))</formula>
    </cfRule>
  </conditionalFormatting>
  <conditionalFormatting sqref="DR27:DR37">
    <cfRule type="expression" dxfId="15" priority="692">
      <formula>OR(IF(DR27&lt;DS27,TRUE),IF(AND(DS27="",DR27&lt;&gt;""),TRUE))</formula>
    </cfRule>
    <cfRule type="expression" dxfId="14" priority="693">
      <formula>IF(DR27&gt;=DS27,IF(DR27="",FALSE,TRUE))</formula>
    </cfRule>
  </conditionalFormatting>
  <conditionalFormatting sqref="DR40:DR46">
    <cfRule type="expression" dxfId="13" priority="688">
      <formula>OR(IF(DR40&lt;DS40,TRUE),IF(AND(DS40="",DR40&lt;&gt;""),TRUE))</formula>
    </cfRule>
    <cfRule type="expression" dxfId="12" priority="689">
      <formula>IF(DR40&gt;=DS40,IF(DR40="",FALSE,TRUE))</formula>
    </cfRule>
  </conditionalFormatting>
  <dataValidations count="1">
    <dataValidation type="list" allowBlank="1" showInputMessage="1" showErrorMessage="1" sqref="AJ49:AM58 AC5:AF14 AJ5:AM14 AQ8 CN49:CQ58 BZ40:CC46 O5:R14 V17:Y24 AJ17:AM24 AQ17:AT24 CP18:CQ24 BL5:BO14 AX5:BA14 BL17:BO24 O27:R37 AX17:BA24 DB17:DE24 AC17:AF24 AQ27:AT37 AJ27:AM37 V27:Y37 BL40:BO46 O40:R46 AX27:BA37 BE27:BH37 AC27:AF37 AQ40:AT46 AJ40:AM46 V40:Y46 BL49:BO58 BE40:BH46 AQ49:AT58 AC49:AF58 BZ27:CC37 O49:R58 BS27:BV37 CG27:CJ37 BE17:BH25 BS17:BV24 BS49:BV58 BS5:BV14 DB27:DE37 BZ17:CC24 BL27:BO37 DB73:DE82 DB40:DE46 DB5:DE14 BZ5:CC14 O17:R24 V49:Y58 DP97:DS106 CG5:CJ14 CG16:CJ25 CG40:CJ46 CU5:CX14 CH72:CH82 CN27:CQ37 CN40:CQ46 CN5:CQ14 CU73:CX82 CN73:CQ82 CU17:CX24 CU27:CX37 CU40:CX46 AJ61:AM70 BL61:BO70 AX61:BA70 BE61:BH70 AQ61:AT70 AC61:AF70 O61:R70 BS61:BV70 BZ61:CC70 DB49:DE58 V61:Y70 BZ49:CC58 CG49:CJ58 CU49:CX58 AJ73:AM82 BL73:BO82 AX73:BA82 BE73:BH82 AQ73:AT82 AC73:AF82 O73:R82 BS73:BV82 BZ73:CC82 DB61:DE70 V73:Y82 CN61:CQ70 CU61:CX70 AJ85:AM94 BL85:BO94 AX85:BA94 BE85:BH94 AQ85:AT94 AC85:AF94 O85:R94 BS85:BV94 BZ85:CC94 DB85:DE94 V85:Y94 CG85:CJ94 CN85:CQ94 CU85:CX94 AJ97:AM106 BL97:BO106 AX97:BA106 BE97:BH106 AQ97:AT106 AC97:AF106 O97:R106 BS97:BV106 BZ97:CC106 DB97:DE106 V97:Y106 CG97:CJ106 CN97:CQ106 CU97:CX106 DI27:DL37 DI40:DL46 DI49:DL58 DI5:DL14 DI17:DL24 DI61:DL70 DI73:DL82 DI85:DL94 DI97:DL106 DP27:DS37 DP40:DS46 DP49:DS58 DP5:DS14 DP17:DS24 DP61:DS70 DP73:DS82 DP85:DS94 CG61:CJ70 CG73:CG82 CJ72:CJ82 CI73:CI82 CP17:CR17 V5:Y14 BS40:BV46 BE49:BH58 AX40:BA46 AX49:BA58 BG14 AQ9:AT14 AS8 BG13:BH13 BE5:BH12 BE13:BF14 AQ5:AT7 CN17:CO24 AC40:AF4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B1" workbookViewId="0">
      <selection activeCell="B2" sqref="B2"/>
    </sheetView>
  </sheetViews>
  <sheetFormatPr defaultColWidth="10.6015625" defaultRowHeight="15" x14ac:dyDescent="0.2"/>
  <cols>
    <col min="2" max="2" width="161.046875" customWidth="1"/>
    <col min="3" max="3" width="10.8515625" style="2"/>
  </cols>
  <sheetData>
    <row r="4" spans="2:2" ht="21" x14ac:dyDescent="0.3">
      <c r="B4" s="4" t="s">
        <v>16</v>
      </c>
    </row>
    <row r="6" spans="2:2" x14ac:dyDescent="0.2">
      <c r="B6" s="3" t="s">
        <v>13</v>
      </c>
    </row>
    <row r="7" spans="2:2" ht="45" x14ac:dyDescent="0.2">
      <c r="B7" s="1" t="s">
        <v>14</v>
      </c>
    </row>
    <row r="9" spans="2:2" x14ac:dyDescent="0.2">
      <c r="B9" s="3" t="s">
        <v>15</v>
      </c>
    </row>
    <row r="10" spans="2:2" ht="59.25" x14ac:dyDescent="0.2">
      <c r="B10" s="1" t="s">
        <v>35</v>
      </c>
    </row>
    <row r="12" spans="2:2" x14ac:dyDescent="0.2">
      <c r="B12" s="3" t="s">
        <v>17</v>
      </c>
    </row>
    <row r="13" spans="2:2" ht="117.75" x14ac:dyDescent="0.2">
      <c r="B13" s="1" t="s">
        <v>18</v>
      </c>
    </row>
    <row r="15" spans="2:2" x14ac:dyDescent="0.2">
      <c r="B15" s="3" t="s">
        <v>19</v>
      </c>
    </row>
    <row r="16" spans="2:2" ht="103.5" x14ac:dyDescent="0.2">
      <c r="B16" s="1" t="s">
        <v>20</v>
      </c>
    </row>
    <row r="17" spans="2:2" x14ac:dyDescent="0.2">
      <c r="B17" s="1"/>
    </row>
    <row r="18" spans="2:2" x14ac:dyDescent="0.2">
      <c r="B18" s="3" t="s">
        <v>34</v>
      </c>
    </row>
    <row r="19" spans="2:2" ht="132.75" x14ac:dyDescent="0.2">
      <c r="B19" s="1" t="s">
        <v>36</v>
      </c>
    </row>
    <row r="21" spans="2:2" x14ac:dyDescent="0.2">
      <c r="B21" s="3" t="s">
        <v>21</v>
      </c>
    </row>
    <row r="22" spans="2:2" ht="103.5" x14ac:dyDescent="0.2">
      <c r="B22" s="1" t="s">
        <v>37</v>
      </c>
    </row>
    <row r="24" spans="2:2" x14ac:dyDescent="0.2">
      <c r="B24" s="3" t="s">
        <v>22</v>
      </c>
    </row>
    <row r="25" spans="2:2" ht="103.5"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B6" sqref="B6"/>
    </sheetView>
  </sheetViews>
  <sheetFormatPr defaultColWidth="10.6015625" defaultRowHeight="15" x14ac:dyDescent="0.2"/>
  <cols>
    <col min="1" max="1" width="16.76953125" style="11" customWidth="1"/>
    <col min="2" max="2" width="19.11328125" style="11" customWidth="1"/>
    <col min="3" max="3" width="18.125" style="11" customWidth="1"/>
    <col min="4" max="4" width="19.48046875" style="11" customWidth="1"/>
    <col min="8" max="8" width="15.1640625" customWidth="1"/>
    <col min="10" max="10" width="42.046875" customWidth="1"/>
    <col min="11" max="11" width="28.484375" customWidth="1"/>
  </cols>
  <sheetData>
    <row r="1" spans="1:11" ht="30" x14ac:dyDescent="0.2">
      <c r="A1" s="11" t="s">
        <v>41</v>
      </c>
      <c r="B1" s="17" t="s">
        <v>38</v>
      </c>
      <c r="C1" s="17" t="s">
        <v>39</v>
      </c>
      <c r="D1" s="17" t="s">
        <v>40</v>
      </c>
      <c r="E1" s="1" t="s">
        <v>42</v>
      </c>
      <c r="F1" s="1" t="s">
        <v>43</v>
      </c>
      <c r="G1" s="1" t="s">
        <v>44</v>
      </c>
      <c r="H1" s="1" t="s">
        <v>45</v>
      </c>
      <c r="I1" s="1" t="s">
        <v>46</v>
      </c>
      <c r="J1" s="1" t="s">
        <v>47</v>
      </c>
      <c r="K1" s="1" t="s">
        <v>48</v>
      </c>
    </row>
    <row r="2" spans="1:11" x14ac:dyDescent="0.2">
      <c r="A2" s="16">
        <v>44118</v>
      </c>
      <c r="D2" s="18">
        <v>1</v>
      </c>
    </row>
    <row r="3" spans="1:11" x14ac:dyDescent="0.2">
      <c r="A3" s="16">
        <v>44119</v>
      </c>
    </row>
    <row r="4" spans="1:11" x14ac:dyDescent="0.2">
      <c r="A4" s="16">
        <v>44120</v>
      </c>
    </row>
    <row r="5" spans="1:11" x14ac:dyDescent="0.2">
      <c r="A5" s="16">
        <v>44121</v>
      </c>
    </row>
    <row r="6" spans="1:11" x14ac:dyDescent="0.2">
      <c r="A6" s="16">
        <v>44122</v>
      </c>
    </row>
    <row r="7" spans="1:11" x14ac:dyDescent="0.2">
      <c r="A7" s="16">
        <v>44123</v>
      </c>
    </row>
    <row r="8" spans="1:11" x14ac:dyDescent="0.2">
      <c r="A8" s="16">
        <v>44124</v>
      </c>
    </row>
    <row r="9" spans="1:11" x14ac:dyDescent="0.2">
      <c r="A9" s="16">
        <v>44125</v>
      </c>
    </row>
    <row r="10" spans="1:11" x14ac:dyDescent="0.2">
      <c r="A10" s="16">
        <v>44126</v>
      </c>
    </row>
    <row r="11" spans="1:11" x14ac:dyDescent="0.2">
      <c r="A11" s="16">
        <v>44127</v>
      </c>
    </row>
    <row r="12" spans="1:11" x14ac:dyDescent="0.2">
      <c r="A12" s="16">
        <v>44128</v>
      </c>
    </row>
    <row r="13" spans="1:11" x14ac:dyDescent="0.2">
      <c r="A13" s="16">
        <v>44129</v>
      </c>
    </row>
    <row r="14" spans="1:11" x14ac:dyDescent="0.2">
      <c r="A14" s="16">
        <v>44130</v>
      </c>
    </row>
    <row r="15" spans="1:11" x14ac:dyDescent="0.2">
      <c r="A15" s="16">
        <v>44131</v>
      </c>
    </row>
    <row r="16" spans="1:11" x14ac:dyDescent="0.2">
      <c r="A16" s="16">
        <v>44132</v>
      </c>
    </row>
    <row r="17" spans="1:1" x14ac:dyDescent="0.2">
      <c r="A17" s="16">
        <v>44133</v>
      </c>
    </row>
    <row r="18" spans="1:1" x14ac:dyDescent="0.2">
      <c r="A18" s="16">
        <v>44134</v>
      </c>
    </row>
    <row r="19" spans="1:1" x14ac:dyDescent="0.2">
      <c r="A19" s="16">
        <v>44135</v>
      </c>
    </row>
    <row r="20" spans="1:1" x14ac:dyDescent="0.2">
      <c r="A20" s="16">
        <v>44136</v>
      </c>
    </row>
    <row r="21" spans="1:1" x14ac:dyDescent="0.2">
      <c r="A21" s="16">
        <v>44137</v>
      </c>
    </row>
    <row r="22" spans="1:1" x14ac:dyDescent="0.2">
      <c r="A22" s="16">
        <v>44138</v>
      </c>
    </row>
    <row r="23" spans="1:1" x14ac:dyDescent="0.2">
      <c r="A23" s="16">
        <v>44139</v>
      </c>
    </row>
    <row r="24" spans="1:1" x14ac:dyDescent="0.2">
      <c r="A24" s="16">
        <v>44140</v>
      </c>
    </row>
    <row r="25" spans="1:1" x14ac:dyDescent="0.2">
      <c r="A25" s="16">
        <v>44141</v>
      </c>
    </row>
    <row r="26" spans="1:1" x14ac:dyDescent="0.2">
      <c r="A26" s="16">
        <v>44142</v>
      </c>
    </row>
    <row r="27" spans="1:1" x14ac:dyDescent="0.2">
      <c r="A27" s="16">
        <v>44143</v>
      </c>
    </row>
    <row r="28" spans="1:1" x14ac:dyDescent="0.2">
      <c r="A28" s="16">
        <v>44144</v>
      </c>
    </row>
    <row r="29" spans="1:1" x14ac:dyDescent="0.2">
      <c r="A29" s="16">
        <v>44145</v>
      </c>
    </row>
    <row r="30" spans="1:1" x14ac:dyDescent="0.2">
      <c r="A30" s="16">
        <v>44146</v>
      </c>
    </row>
    <row r="31" spans="1:1" x14ac:dyDescent="0.2">
      <c r="A31" s="16">
        <v>44147</v>
      </c>
    </row>
    <row r="32" spans="1:1" x14ac:dyDescent="0.2">
      <c r="A32" s="16">
        <v>44148</v>
      </c>
    </row>
    <row r="33" spans="1:1" x14ac:dyDescent="0.2">
      <c r="A33" s="16">
        <v>44149</v>
      </c>
    </row>
    <row r="34" spans="1:1" x14ac:dyDescent="0.2">
      <c r="A34" s="16">
        <v>44150</v>
      </c>
    </row>
    <row r="35" spans="1:1" x14ac:dyDescent="0.2">
      <c r="A35" s="16">
        <v>44151</v>
      </c>
    </row>
    <row r="36" spans="1:1" x14ac:dyDescent="0.2">
      <c r="A36" s="16">
        <v>44152</v>
      </c>
    </row>
    <row r="37" spans="1:1" x14ac:dyDescent="0.2">
      <c r="A37" s="16">
        <v>44153</v>
      </c>
    </row>
    <row r="38" spans="1:1" x14ac:dyDescent="0.2">
      <c r="A38" s="16">
        <v>44154</v>
      </c>
    </row>
    <row r="39" spans="1:1" x14ac:dyDescent="0.2">
      <c r="A39" s="16">
        <v>44155</v>
      </c>
    </row>
    <row r="40" spans="1:1" x14ac:dyDescent="0.2">
      <c r="A40" s="16">
        <v>44156</v>
      </c>
    </row>
    <row r="41" spans="1:1" x14ac:dyDescent="0.2">
      <c r="A41" s="16">
        <v>44157</v>
      </c>
    </row>
    <row r="42" spans="1:1" x14ac:dyDescent="0.2">
      <c r="A42" s="16">
        <v>44158</v>
      </c>
    </row>
    <row r="43" spans="1:1" x14ac:dyDescent="0.2">
      <c r="A43" s="16">
        <v>44159</v>
      </c>
    </row>
    <row r="44" spans="1:1" x14ac:dyDescent="0.2">
      <c r="A44" s="16">
        <v>44160</v>
      </c>
    </row>
    <row r="45" spans="1:1" x14ac:dyDescent="0.2">
      <c r="A45" s="16">
        <v>44161</v>
      </c>
    </row>
    <row r="46" spans="1:1" x14ac:dyDescent="0.2">
      <c r="A46" s="16">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B23" sqref="B23"/>
    </sheetView>
  </sheetViews>
  <sheetFormatPr defaultColWidth="10.601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c r="B10" t="s">
        <v>87</v>
      </c>
      <c r="C10" t="s">
        <v>87</v>
      </c>
      <c r="D10" t="s">
        <v>87</v>
      </c>
      <c r="E10" t="s">
        <v>87</v>
      </c>
    </row>
    <row r="11" spans="1:8" x14ac:dyDescent="0.2">
      <c r="A11" s="10">
        <v>0.29166666666666702</v>
      </c>
    </row>
    <row r="12" spans="1:8" x14ac:dyDescent="0.2">
      <c r="A12" s="10">
        <v>0.3125</v>
      </c>
    </row>
    <row r="13" spans="1:8" x14ac:dyDescent="0.2">
      <c r="A13" s="10">
        <v>0.33333333333333398</v>
      </c>
    </row>
    <row r="14" spans="1:8" x14ac:dyDescent="0.2">
      <c r="A14" s="10">
        <v>0.35416666666666702</v>
      </c>
      <c r="F14" t="s">
        <v>87</v>
      </c>
      <c r="G14" t="s">
        <v>87</v>
      </c>
    </row>
    <row r="15" spans="1:8" x14ac:dyDescent="0.2">
      <c r="A15" s="10">
        <v>0.375</v>
      </c>
      <c r="H15" t="s">
        <v>87</v>
      </c>
    </row>
    <row r="16" spans="1:8" x14ac:dyDescent="0.2">
      <c r="A16" s="10">
        <v>0.39583333333333398</v>
      </c>
    </row>
    <row r="17" spans="1:5" x14ac:dyDescent="0.2">
      <c r="A17" s="10">
        <v>0.41666666666666702</v>
      </c>
      <c r="C17" t="s">
        <v>133</v>
      </c>
      <c r="D17" t="s">
        <v>133</v>
      </c>
      <c r="E17" t="s">
        <v>133</v>
      </c>
    </row>
    <row r="18" spans="1:5" x14ac:dyDescent="0.2">
      <c r="A18" s="10">
        <v>0.4375</v>
      </c>
      <c r="B18" t="s">
        <v>133</v>
      </c>
    </row>
    <row r="19" spans="1:5" x14ac:dyDescent="0.2">
      <c r="A19" s="10">
        <v>0.45833333333333398</v>
      </c>
    </row>
    <row r="20" spans="1:5" x14ac:dyDescent="0.2">
      <c r="A20" s="10">
        <v>0.47916666666666702</v>
      </c>
    </row>
    <row r="21" spans="1:5" x14ac:dyDescent="0.2">
      <c r="A21" s="10">
        <v>0.5</v>
      </c>
    </row>
    <row r="22" spans="1:5" x14ac:dyDescent="0.2">
      <c r="A22" s="10">
        <v>0.52083333333333404</v>
      </c>
    </row>
    <row r="23" spans="1:5" x14ac:dyDescent="0.2">
      <c r="A23" s="10">
        <v>0.54166666666666696</v>
      </c>
    </row>
    <row r="24" spans="1:5" x14ac:dyDescent="0.2">
      <c r="A24" s="10">
        <v>0.5625</v>
      </c>
    </row>
    <row r="25" spans="1:5" x14ac:dyDescent="0.2">
      <c r="A25" s="10">
        <v>0.58333333333333404</v>
      </c>
    </row>
    <row r="26" spans="1:5" x14ac:dyDescent="0.2">
      <c r="A26" s="10">
        <v>0.60416666666666696</v>
      </c>
    </row>
    <row r="27" spans="1:5" x14ac:dyDescent="0.2">
      <c r="A27" s="10">
        <v>0.625000000000001</v>
      </c>
    </row>
    <row r="28" spans="1:5" x14ac:dyDescent="0.2">
      <c r="A28" s="10">
        <v>0.64583333333333404</v>
      </c>
    </row>
    <row r="29" spans="1:5" x14ac:dyDescent="0.2">
      <c r="A29" s="10">
        <v>0.66666666666666696</v>
      </c>
    </row>
    <row r="30" spans="1:5" x14ac:dyDescent="0.2">
      <c r="A30" s="10">
        <v>0.687500000000001</v>
      </c>
    </row>
    <row r="31" spans="1:5" x14ac:dyDescent="0.2">
      <c r="A31" s="10">
        <v>0.70833333333333404</v>
      </c>
    </row>
    <row r="32" spans="1:5"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Worksheets</vt:lpstr>
      </vt:variant>
      <vt:variant>
        <vt:i4>5</vt:i4>
      </vt:variant>
    </vt:vector>
  </HeadingPairs>
  <TitlesOfParts>
    <vt:vector size="5" baseType="lpstr">
      <vt:lpstr>ANLEITUNG</vt:lpstr>
      <vt:lpstr>Semesterplan</vt:lpstr>
      <vt:lpstr>Best-Practices</vt:lpstr>
      <vt:lpstr>COMMITTMENT</vt:lpstr>
      <vt:lpstr>Wochenplan KW 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Deak, Eva</cp:lastModifiedBy>
  <dcterms:created xsi:type="dcterms:W3CDTF">2020-04-19T13:33:28Z</dcterms:created>
  <dcterms:modified xsi:type="dcterms:W3CDTF">2023-10-29T13:40:59Z</dcterms:modified>
</cp:coreProperties>
</file>