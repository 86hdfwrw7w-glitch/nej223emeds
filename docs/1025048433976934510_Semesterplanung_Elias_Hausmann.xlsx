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66925"/>
  <mc:AlternateContent xmlns:mc="http://schemas.openxmlformats.org/markup-compatibility/2006">
    <mc:Choice Requires="x15">
      <x15ac:absPath xmlns:x15ac="http://schemas.microsoft.com/office/spreadsheetml/2010/11/ac" url="C:\Users\user\Desktop\"/>
    </mc:Choice>
  </mc:AlternateContent>
  <xr:revisionPtr revIDLastSave="0" documentId="13_ncr:1_{C42A9273-1CA0-48E2-9A7E-BA73173B5B1D}" xr6:coauthVersionLast="47" xr6:coauthVersionMax="47" xr10:uidLastSave="{00000000-0000-0000-0000-000000000000}"/>
  <bookViews>
    <workbookView xWindow="-120" yWindow="-120" windowWidth="15600" windowHeight="11160" activeTab="1" xr2:uid="{50F29292-BE80-0C47-A0D2-DD086CB3D310}"/>
  </bookViews>
  <sheets>
    <sheet name="Anleitung" sheetId="2" r:id="rId1"/>
    <sheet name="Semesterplan" sheetId="7" r:id="rId2"/>
    <sheet name="COMMITTMENT" sheetId="9" r:id="rId3"/>
    <sheet name="Wochenplan KW 19" sheetId="3" r:id="rId4"/>
    <sheet name="Wochenplan KW 20" sheetId="8"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CM4" i="7" l="1"/>
  <c r="K15" i="7" a="1"/>
  <c r="K15" i="7" s="1"/>
  <c r="J15" i="7" a="1"/>
  <c r="J15" i="7" s="1"/>
  <c r="I15" i="7"/>
  <c r="K14" i="7" a="1"/>
  <c r="K14" i="7" s="1"/>
  <c r="J14" i="7" a="1"/>
  <c r="J14" i="7" s="1"/>
  <c r="I14" i="7"/>
  <c r="K18" i="7" a="1"/>
  <c r="K18" i="7" s="1"/>
  <c r="J18" i="7" a="1"/>
  <c r="J18" i="7" s="1"/>
  <c r="I18" i="7"/>
  <c r="AP17" i="7"/>
  <c r="AI17" i="7"/>
  <c r="AB17" i="7"/>
  <c r="U17" i="7"/>
  <c r="G17" i="7"/>
  <c r="EJ4" i="7"/>
  <c r="EC4" i="7"/>
  <c r="DV4" i="7"/>
  <c r="DO4" i="7"/>
  <c r="DH4" i="7"/>
  <c r="DA4" i="7"/>
  <c r="CT4" i="7"/>
  <c r="CF4" i="7"/>
  <c r="BY4" i="7"/>
  <c r="BR4" i="7"/>
  <c r="BK4" i="7"/>
  <c r="K60" i="7" a="1"/>
  <c r="K60" i="7" s="1"/>
  <c r="J60" i="7" a="1"/>
  <c r="J60" i="7" s="1"/>
  <c r="I60" i="7"/>
  <c r="K59" i="7" a="1"/>
  <c r="K59" i="7" s="1"/>
  <c r="J59" i="7" a="1"/>
  <c r="J59" i="7" s="1"/>
  <c r="I59" i="7"/>
  <c r="K58" i="7" a="1"/>
  <c r="K58" i="7" s="1"/>
  <c r="J58" i="7" a="1"/>
  <c r="J58" i="7" s="1"/>
  <c r="I58" i="7"/>
  <c r="K57" i="7" a="1"/>
  <c r="K57" i="7" s="1"/>
  <c r="J57" i="7" a="1"/>
  <c r="J57" i="7" s="1"/>
  <c r="I57" i="7"/>
  <c r="K56" i="7" a="1"/>
  <c r="K56" i="7" s="1"/>
  <c r="J56" i="7" a="1"/>
  <c r="J56" i="7" s="1"/>
  <c r="I56" i="7"/>
  <c r="K55" i="7" a="1"/>
  <c r="K55" i="7" s="1"/>
  <c r="J55" i="7" a="1"/>
  <c r="J55" i="7" s="1"/>
  <c r="I55" i="7"/>
  <c r="K54" i="7" a="1"/>
  <c r="K54" i="7" s="1"/>
  <c r="J54" i="7" a="1"/>
  <c r="J54" i="7" s="1"/>
  <c r="I54" i="7"/>
  <c r="K53" i="7" a="1"/>
  <c r="K53" i="7" s="1"/>
  <c r="J53" i="7" a="1"/>
  <c r="J53" i="7" s="1"/>
  <c r="I53" i="7"/>
  <c r="K52" i="7" a="1"/>
  <c r="K52" i="7" s="1"/>
  <c r="J52" i="7" a="1"/>
  <c r="J52" i="7" s="1"/>
  <c r="I52" i="7"/>
  <c r="K51" i="7" a="1"/>
  <c r="K51" i="7" s="1"/>
  <c r="J51" i="7" a="1"/>
  <c r="J51" i="7" s="1"/>
  <c r="I51" i="7"/>
  <c r="AP50" i="7"/>
  <c r="AI50" i="7"/>
  <c r="AB50" i="7"/>
  <c r="U50" i="7"/>
  <c r="G50" i="7"/>
  <c r="K20" i="7" a="1"/>
  <c r="K20" i="7" s="1"/>
  <c r="J20" i="7" a="1"/>
  <c r="J20" i="7" s="1"/>
  <c r="I20" i="7"/>
  <c r="K19" i="7" a="1"/>
  <c r="K19" i="7" s="1"/>
  <c r="J19" i="7" a="1"/>
  <c r="J19" i="7" s="1"/>
  <c r="I19" i="7"/>
  <c r="I50" i="7" l="1"/>
  <c r="K50" i="7"/>
  <c r="J50" i="7"/>
  <c r="K48" i="7" l="1" a="1"/>
  <c r="K48" i="7" s="1"/>
  <c r="J48" i="7" a="1"/>
  <c r="J48" i="7" s="1"/>
  <c r="I48" i="7"/>
  <c r="K47" i="7" a="1"/>
  <c r="K47" i="7" s="1"/>
  <c r="J47" i="7" a="1"/>
  <c r="J47" i="7" s="1"/>
  <c r="I47" i="7"/>
  <c r="K46" i="7" a="1"/>
  <c r="K46" i="7" s="1"/>
  <c r="J46" i="7" a="1"/>
  <c r="J46" i="7" s="1"/>
  <c r="I46" i="7"/>
  <c r="K45" i="7" a="1"/>
  <c r="K45" i="7" s="1"/>
  <c r="J45" i="7" a="1"/>
  <c r="J45" i="7" s="1"/>
  <c r="I45" i="7"/>
  <c r="K44" i="7" a="1"/>
  <c r="K44" i="7" s="1"/>
  <c r="J44" i="7" a="1"/>
  <c r="J44" i="7" s="1"/>
  <c r="I44" i="7"/>
  <c r="K43" i="7" a="1"/>
  <c r="K43" i="7" s="1"/>
  <c r="J43" i="7" a="1"/>
  <c r="J43" i="7" s="1"/>
  <c r="I43" i="7"/>
  <c r="K42" i="7" a="1"/>
  <c r="K42" i="7" s="1"/>
  <c r="J42" i="7" a="1"/>
  <c r="J42" i="7" s="1"/>
  <c r="I42" i="7"/>
  <c r="K41" i="7" a="1"/>
  <c r="K41" i="7" s="1"/>
  <c r="J41" i="7" a="1"/>
  <c r="J41" i="7" s="1"/>
  <c r="I41" i="7"/>
  <c r="K40" i="7" a="1"/>
  <c r="K40" i="7" s="1"/>
  <c r="J40" i="7" a="1"/>
  <c r="J40" i="7" s="1"/>
  <c r="I40" i="7"/>
  <c r="K39" i="7" a="1"/>
  <c r="K39" i="7" s="1"/>
  <c r="J39" i="7" a="1"/>
  <c r="J39" i="7" s="1"/>
  <c r="I39" i="7"/>
  <c r="AP38" i="7"/>
  <c r="AI38" i="7"/>
  <c r="AB38" i="7"/>
  <c r="U38" i="7"/>
  <c r="G38" i="7"/>
  <c r="K36" i="7" a="1"/>
  <c r="K36" i="7" s="1"/>
  <c r="J36" i="7" a="1"/>
  <c r="J36" i="7" s="1"/>
  <c r="I36" i="7"/>
  <c r="K35" i="7" a="1"/>
  <c r="K35" i="7" s="1"/>
  <c r="J35" i="7" a="1"/>
  <c r="J35" i="7" s="1"/>
  <c r="I35" i="7"/>
  <c r="K34" i="7" a="1"/>
  <c r="K34" i="7" s="1"/>
  <c r="J34" i="7" a="1"/>
  <c r="J34" i="7" s="1"/>
  <c r="I34" i="7"/>
  <c r="K33" i="7" a="1"/>
  <c r="K33" i="7" s="1"/>
  <c r="J33" i="7" a="1"/>
  <c r="J33" i="7" s="1"/>
  <c r="I33" i="7"/>
  <c r="K32" i="7" a="1"/>
  <c r="K32" i="7" s="1"/>
  <c r="J32" i="7" a="1"/>
  <c r="J32" i="7" s="1"/>
  <c r="I32" i="7"/>
  <c r="K31" i="7" a="1"/>
  <c r="K31" i="7" s="1"/>
  <c r="J31" i="7" a="1"/>
  <c r="J31" i="7" s="1"/>
  <c r="I31" i="7"/>
  <c r="K30" i="7" a="1"/>
  <c r="K30" i="7" s="1"/>
  <c r="J30" i="7" a="1"/>
  <c r="J30" i="7" s="1"/>
  <c r="I30" i="7"/>
  <c r="K29" i="7" a="1"/>
  <c r="K29" i="7" s="1"/>
  <c r="J29" i="7" a="1"/>
  <c r="J29" i="7" s="1"/>
  <c r="I29" i="7"/>
  <c r="K28" i="7" a="1"/>
  <c r="K28" i="7" s="1"/>
  <c r="J28" i="7" a="1"/>
  <c r="J28" i="7" s="1"/>
  <c r="I28" i="7"/>
  <c r="K27" i="7" a="1"/>
  <c r="K27" i="7" s="1"/>
  <c r="J27" i="7" a="1"/>
  <c r="J27" i="7" s="1"/>
  <c r="I27" i="7"/>
  <c r="AP26" i="7"/>
  <c r="AI26" i="7"/>
  <c r="AB26" i="7"/>
  <c r="U26" i="7"/>
  <c r="G26" i="7"/>
  <c r="K24" i="7" a="1"/>
  <c r="K24" i="7" s="1"/>
  <c r="J24" i="7" a="1"/>
  <c r="J24" i="7" s="1"/>
  <c r="K23" i="7" a="1"/>
  <c r="K23" i="7" s="1"/>
  <c r="J23" i="7" a="1"/>
  <c r="J23" i="7" s="1"/>
  <c r="K22" i="7" a="1"/>
  <c r="K22" i="7" s="1"/>
  <c r="J22" i="7" a="1"/>
  <c r="J22" i="7" s="1"/>
  <c r="K21" i="7" a="1"/>
  <c r="K21" i="7" s="1"/>
  <c r="J21" i="7" a="1"/>
  <c r="J21" i="7" s="1"/>
  <c r="K13" i="7" a="1"/>
  <c r="K13" i="7" s="1"/>
  <c r="J13" i="7" a="1"/>
  <c r="J13" i="7" s="1"/>
  <c r="K12" i="7" a="1"/>
  <c r="K12" i="7" s="1"/>
  <c r="J12" i="7" a="1"/>
  <c r="J12" i="7" s="1"/>
  <c r="K11" i="7" a="1"/>
  <c r="K11" i="7" s="1"/>
  <c r="J11" i="7" a="1"/>
  <c r="J11" i="7" s="1"/>
  <c r="K10" i="7" a="1"/>
  <c r="K10" i="7" s="1"/>
  <c r="J10" i="7" a="1"/>
  <c r="J10" i="7" s="1"/>
  <c r="K9" i="7" a="1"/>
  <c r="K9" i="7" s="1"/>
  <c r="J9" i="7" a="1"/>
  <c r="J9" i="7" s="1"/>
  <c r="K8" i="7" a="1"/>
  <c r="K8" i="7" s="1"/>
  <c r="J8" i="7" a="1"/>
  <c r="J8" i="7" s="1"/>
  <c r="K7" i="7" a="1"/>
  <c r="K7" i="7" s="1"/>
  <c r="J7" i="7" a="1"/>
  <c r="J7" i="7" s="1"/>
  <c r="K6" i="7" a="1"/>
  <c r="K6" i="7" s="1"/>
  <c r="J6" i="7" a="1"/>
  <c r="J6" i="7" s="1"/>
  <c r="K5" i="7" a="1"/>
  <c r="K5" i="7" s="1"/>
  <c r="J5" i="7" a="1"/>
  <c r="J5" i="7" s="1"/>
  <c r="BD4" i="7"/>
  <c r="AW4" i="7"/>
  <c r="AP4" i="7"/>
  <c r="AI4" i="7"/>
  <c r="AB4" i="7"/>
  <c r="U4" i="7"/>
  <c r="N4" i="7"/>
  <c r="G4" i="7"/>
  <c r="I24" i="7"/>
  <c r="I23" i="7"/>
  <c r="I22" i="7"/>
  <c r="I21" i="7"/>
  <c r="I6" i="7"/>
  <c r="I7" i="7"/>
  <c r="I8" i="7"/>
  <c r="I9" i="7"/>
  <c r="I10" i="7"/>
  <c r="I11" i="7"/>
  <c r="I12" i="7"/>
  <c r="I13" i="7"/>
  <c r="I5" i="7"/>
  <c r="I17" i="7" l="1"/>
  <c r="J17" i="7"/>
  <c r="K17" i="7"/>
  <c r="I26" i="7"/>
  <c r="I38" i="7"/>
  <c r="J38" i="7"/>
  <c r="K38" i="7"/>
  <c r="J26" i="7"/>
  <c r="K26" i="7"/>
  <c r="K4" i="7"/>
  <c r="I4" i="7" l="1"/>
  <c r="J4" i="7"/>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<sst xmlns="http://schemas.openxmlformats.org/spreadsheetml/2006/main" count="347" uniqueCount="120">
  <si>
    <t>Semesterplan</t>
  </si>
  <si>
    <t>Fach</t>
  </si>
  <si>
    <t>Skript Niveau</t>
  </si>
  <si>
    <t>Rechnen Niveau</t>
  </si>
  <si>
    <t>Montag</t>
  </si>
  <si>
    <t>Dienstag</t>
  </si>
  <si>
    <t>Mittwoch</t>
  </si>
  <si>
    <t>Donnerstag</t>
  </si>
  <si>
    <t>Samstag</t>
  </si>
  <si>
    <t>Sonntag</t>
  </si>
  <si>
    <t>Freitag</t>
  </si>
  <si>
    <t>Stunden</t>
  </si>
  <si>
    <t>Bemerkungen</t>
  </si>
  <si>
    <t>Enge Deadlines</t>
  </si>
  <si>
    <t>Wir setzen uns für jede Woche klare Deadlines für die einzelnen Inhalte des Semesters, sodass wir nach 70% der Semesterdauer den kompletten Stoff bereits perfekt beherrschen.
Dafür ist es notwendig, dass wir definieren, welchen Stoff wir am Ende (also nach 70% des Semesters) beherrschen müssen. Diesen Stoff teilen wir dann in Wochenziele ein.
So können wir jede Woche auf ein klares Ziel hinarbeiten (den "Wochenstoff" am Ende der Woche perfekt zu beherrschen), wodurch wir vermeiden, planlos umherzulernen.</t>
  </si>
  <si>
    <t>Lernen mit der Klausur im Blick</t>
  </si>
  <si>
    <t>Best Practices für die optimale Semesterplanung</t>
  </si>
  <si>
    <t>Aufteilung des Lernstoffs für passende Wochenziele</t>
  </si>
  <si>
    <t>Es ist sehr wichtig, dass wir die Wochenziele möglichst gleichmäßig über die ersten 70% des Semesters verteilen. So kannst du für jedes Themengebiet initial gleich viel Zeit aufwenden und dann in der heißen Klausurenphase nochmals verstärkten Fokus auf die Fächer legen, wo bei dir noch Verbesserungspotential besteht. Tendenziell können wir für die Wocheneinteilung relativ simpel vorgehen. Wenn dein Skript z.B. 100 Slides hat und 70% des Semesters in 10 Wochen ist, kannst du dir für Woche 1 Slides 1-10, für Woche 2 Slides 11-20, ... als Ziel setzen. 
WICHTIG: Das Wochenziel bezieht sich NICHT ausschließlich auf das Skript, sondern ebenfalls auf die dazugehörigen Aufgaben/Übungen/Tutorien etc. 
Außerdem solltest du die Ziele auch nicht "stumpf" nach der Slide-Anzahl aufteilen, sondern am besten auch grob nach Themen. So kann es sein, dass du für ein bestimmtes Fach in der einen Woche etwas mehr lernen musst als in der folgenden Woche - langfristig wird sich das jedoch relativieren. 
WICHTIG 2.0: Versuche dir tendenziell in den ersten Wochen minimalst zu viel Inhalte reinzupacken, da der Lernstoff am Ende des Semesters meistens am komplexesten wird und man dafür tendenziell länger benötigt als für die Inhalte am Anfang. Bei unserem Beispiel wäre eine etwas bessere Verteilung z.B. Woche 1 Slides 1-15, Woche 2 Slides 16-28, ... Woche 10 Slides 95-100</t>
  </si>
  <si>
    <t>Unnötigen Perfektionismus ablegen</t>
  </si>
  <si>
    <t>Ein weiterer Vorteil unserer Lerntechnik ist, dass wir ziemlich schnell den kompletten Stoff auf einem guten Niveau beherrschen und uns dann am Ende des Semesters den Problemthemen widmen können. Viele Studierende machen den Fehler, sich viel zu lange an einzelnen Themen aufzuhängen und gar nicht mit anderen Themen weitermachen, bis sie dieses eine Thema perfekt beherrschen. Das darf dir nicht passieren! Es ist deutlich besser, wenn du nach den 70% des Semesters 80% des Stoffs auf einem sehr guten Niveau und 20% auf einem mittelmäßigen Niveau beherrscht, anstatt dass du z.B. 40% absolut perfekt kannst, die restlichen 60% aber noch absolut gar nicht sitzen. Halte dich daher jede Woche an deine am Anfang festgelegten Wochenziele. Du darfst gerne vorarbeiten (also bereits den Stoff von der folgenden Woche beginnen), aber du MUSST unbedingt mindestens bis zu deinem geplanten Lernziel kommen - ansonsten musst du später zu viel aufholen. Wenn der Stoff aus Woche 1 am Ende der Woche 1 also noch nicht perfekt sitzt, markierst du dir das in der entsprechenden Zelle und schreibst eine eventuelle Bemerkung, sodass du es zu einem späteren Zeitpunkt wiederholen kannst - aber dann machst du mit der nächsten Woche weiter.</t>
  </si>
  <si>
    <t>Wiederholungen einbauen</t>
  </si>
  <si>
    <t>Wochen- und Tagesplanung perfektionieren</t>
  </si>
  <si>
    <t xml:space="preserve">Du solltest dir pro Woche mindestens 40 Stunden zum Lernen (inkl. Uni-Besuche, wenn es sein muss) einplanen. Das ist die minimale Zeit, die du auch später im Beruf arbeiten wirst, und diese 40 Stunden sollte jeder einbringen können. Gerne kann es auf bis zu 60 Stunden erhöht werden, solange Schlaf und Privatleben nicht zu sehr darunter leiden, um langfristig durchzuziehen. Ich würde dir empfehlen, pro Woche 6 Tage zum Lernen einzuplanen und pro Tag möglichst zu den gleichen Zeiten zu lernen. Mit 7 Stunden Lernen pro Tag kommst du damit auf 42 Stunden pro Woche. Nun gilt es daran, diese 42 Stunden so effektiv wie möglich aufzuteilen. Insbesondere in den ersten Wochen des Semesters würde ich dir empfehlen, deine Stundenaufteilung ganz klar nach der Anzahl der ECTS zu gewichten (im späteren Verlauf des Semester kannst du das dann anpassen, wenn du merkst, dass dir gewisse Fächer deutlich leichter/schwerer fallen). Wenn du also z.B. in einem Semester mit 5 Fächern insgesamt 30 ECTS schreibst (Fach 1-4 je 5 ECTS, Fach 5 mit 10 ECTS), dann solltest du für Fach 5 doppelt so viel Zeit einplanen wie für die anderen Fächer. Hier wäre die Aufteilung also pro ECTS-Punkt 42/30 = 1,4h pro ECTS-Punkt. Für Fach 1-4 also jeweils 7 Stunden pro Woche (z.B. Montag 3h und Donnerstag 4h) und für Fach 5 14 Stunden pro Woche. </t>
  </si>
  <si>
    <t>Klausurdatum</t>
  </si>
  <si>
    <t>Wochenplan</t>
  </si>
  <si>
    <t>Typ</t>
  </si>
  <si>
    <t>Übersicht</t>
  </si>
  <si>
    <t>Thema</t>
  </si>
  <si>
    <t>Fachgebiet</t>
  </si>
  <si>
    <t>ECTS</t>
  </si>
  <si>
    <t>Anteil an Klausur</t>
  </si>
  <si>
    <t>Ziel</t>
  </si>
  <si>
    <t>(Übersicht-Zelle muss angepasst werden)</t>
  </si>
  <si>
    <t>Ziele setzen und Zeiten abschätzen</t>
  </si>
  <si>
    <t>Um den Stoff für das Semester gut verteilen zu können, müssen wir uns am Start des Semesters für jedes Fach einen klaren Überblick darüber verschaffen, was am Ende in der Klausur verlangt wird. Liegt der Fokus beispielsweise v.a. auf Rechenaufgaben oder eher auf Auswendiglernen? Wieviele Kapitel / Slides umfasst das komplette Skript? Hat ein Themenbereich deutlich mehr Anteil als andere Bereiche? Versuche, bereits am Anfang für jeden Themenblock eine möglichst gute Abschätzung über den Anteil an der finalen Klausur abzugeben, sodass du dann im weiteren Verlauf mehr Zeit für die Bereiche einplanen kannst, die ein höheres Gewicht haben.</t>
  </si>
  <si>
    <t>Unser Endziel ist es, nach 70% des Semesters das Skript sowie die Übungsaufgaben zu 100% zu beherrschen, sodass wir uns dann einzig und alleine den Altklausuren, weiteren Übungsaufgaben sowie der Wiederholung des bereits bekannten Stoffes widmen können. Dieses Endziel ist extrem ambitioniert, aber realisierbar. Der Weg zu 100% führt uns über 3 grobe Etappen - für jede von ihnen benötigst du in etwa gleich viel Zeit. Auf einem Level von ca. 50% bist du meistens relativ schnell. Für die nächsten 30% benötigst dann nochmals so lange. Ganz am Ende holst du noch die letzten 15-20% heraus - auch dafür benötigst du in etwa gleich viel Zeit. Für deine Planung solltest du dir deine Zielsetzung also so setzen, dass du von der insgesamten Zeit, die du für jedes Fach zur Verfügung hast, die 1/3 dafür verwendest, den Stoff auf 50% zu beherrschen, 1/3, um den Stoff auf 80% zu pushen, und dann noch 1/3 der Zeit für den Rest benutzen kannst. Ganz genau lässt sich das natürlich nicht immer mit genau dieser Einteilung festlegen, aber grundsätzlich kannst du es dir so vorstellen: Für Themenblock 1 aus Fach A legst du dir für die erste Woche 10 Stunden Lernzeit fest, mit dem Ziel, diesen Themenblock am Ende der Woche zu 50% zu beherrschen. Nun könntest du dir in den vier Folgewochen jeweils 2,5 Stunden (also insgesamt nochmals 10 Stunden) für ebenfalls dieses Thema blocken (Wiederholung), und wirst es dann vermutlich zu 80% drauf haben. Wenn du dann nochmals 2 Wochen mit je 5 Stunden für diesen Themenblock lernst, wirst du es vermutlich nahezu perfekt beherrschen.</t>
  </si>
  <si>
    <t>Am Ende jeder Woche resümierst du für jedes Fach, wie sicher du den Stoff beherrscht. 100% bedeutet, dass du jede Aufgabenvariation perfekt rechnen kannst und jedes einzelne Wort im Skript perfekt beherrscht - 20% bedeutet z.B., dass dies nur bei 1/5 der Inhalte der Fall ist. Je weiter das Semester voranschreitet, desto eher kannst du deinen Fokus auf die Fächer setzen, die du tendenziell schlechter beherrscht. Baue also z.B. in Woche 3 einen dreistündigen Block für die Wiederholung der Woche1-Inhalte von Fach A ein (angenommen, du hast den Woche1-Stoff von Fach A noch nicht perfekt beherrscht) anstelle von einem Lernblock für Fach B (angenommen, dass du Fach B sowieso ziemlich gut beherrscht. Spätestens nach 2-3 Wochen im Semester solltest du ein Gefühl dafür bekommen haben, welche Fächer von dir mehr Wiederholungen/Zeit benötigen und welche weniger. Achte dann darauf, dass alle Inhalte immer besser sitzen und verwende etwas mehr Zeit mit den Fächern, für die du eben mehr lernen musst. Deinen Fortschritt kannst du dann ganz genau tracken, indem du für die nächste Woche wieder einbaust, wie gut du dort vorangekommen bist. Du solltest pro Fach ab Woche 3 des Semesters mindestens eine Lernsession (also 60-90 Minuten) pro Woche für Wiederholungen einplanen, tendenziell sogar mehr.</t>
  </si>
  <si>
    <t>Lerneinheiten durchgezogen</t>
  </si>
  <si>
    <t>Tagesplan erstellt</t>
  </si>
  <si>
    <t>Konzentrationslevel</t>
  </si>
  <si>
    <t>Datum</t>
  </si>
  <si>
    <t>Kcal</t>
  </si>
  <si>
    <t>Fette</t>
  </si>
  <si>
    <t>Eiweiss</t>
  </si>
  <si>
    <t>Kohlenhydrate</t>
  </si>
  <si>
    <t>Gewicht</t>
  </si>
  <si>
    <t>Sonstiges Gefühl</t>
  </si>
  <si>
    <t>Optimierungen</t>
  </si>
  <si>
    <t>BWL I</t>
  </si>
  <si>
    <t>Ma/Sta I</t>
  </si>
  <si>
    <t>1)</t>
  </si>
  <si>
    <t xml:space="preserve">2) </t>
  </si>
  <si>
    <t xml:space="preserve">3) </t>
  </si>
  <si>
    <t>4)</t>
  </si>
  <si>
    <t xml:space="preserve">5) </t>
  </si>
  <si>
    <t xml:space="preserve">6) </t>
  </si>
  <si>
    <t xml:space="preserve">7) </t>
  </si>
  <si>
    <t xml:space="preserve">8) </t>
  </si>
  <si>
    <t xml:space="preserve">9) </t>
  </si>
  <si>
    <t xml:space="preserve">10) </t>
  </si>
  <si>
    <t>Koreanisch I</t>
  </si>
  <si>
    <t>Zivilrecht</t>
  </si>
  <si>
    <t>KW 40</t>
  </si>
  <si>
    <t>KW 41</t>
  </si>
  <si>
    <t>KW 42</t>
  </si>
  <si>
    <t>KW 43</t>
  </si>
  <si>
    <t>KW 44</t>
  </si>
  <si>
    <t>KW 45</t>
  </si>
  <si>
    <t>KW 46</t>
  </si>
  <si>
    <t>KW 47</t>
  </si>
  <si>
    <t>KW 48</t>
  </si>
  <si>
    <t>KW 49</t>
  </si>
  <si>
    <t>KW 51</t>
  </si>
  <si>
    <t>KW 52</t>
  </si>
  <si>
    <t>KW 1</t>
  </si>
  <si>
    <t>KW 3</t>
  </si>
  <si>
    <t>KW 4</t>
  </si>
  <si>
    <t>KW 5</t>
  </si>
  <si>
    <t>1) Grundlagen wirtschaftl. Handelns</t>
  </si>
  <si>
    <t>1.</t>
  </si>
  <si>
    <t>2) Systematik der BWL</t>
  </si>
  <si>
    <t>2.1.</t>
  </si>
  <si>
    <t>2.2.</t>
  </si>
  <si>
    <t>3) Wirtschaftlichkeitsprinzip</t>
  </si>
  <si>
    <t>4) Perspektiven Unternehmensführung</t>
  </si>
  <si>
    <t>3.1.</t>
  </si>
  <si>
    <t>3.2.</t>
  </si>
  <si>
    <t>3.3.</t>
  </si>
  <si>
    <t>3.4.</t>
  </si>
  <si>
    <t>5) Managementprozesse</t>
  </si>
  <si>
    <t>6) Strategische Managementebene</t>
  </si>
  <si>
    <t>7) Grundlagen der Personalführung (reines Literaturstudium)</t>
  </si>
  <si>
    <t>4.1.</t>
  </si>
  <si>
    <t>4.2.</t>
  </si>
  <si>
    <t>4.3.</t>
  </si>
  <si>
    <t>4.4.</t>
  </si>
  <si>
    <t>8) Umfeld von Betrieben</t>
  </si>
  <si>
    <t>10) Grundentscheidung über die Rechtsform von Betrieben</t>
  </si>
  <si>
    <t>9) Grundentscheidung über den Standort von Betrieben</t>
  </si>
  <si>
    <t>11) Grundentscheidung über Selbstständigkeit/Zusammenschluss</t>
  </si>
  <si>
    <t>3) Regressionsanalyse</t>
  </si>
  <si>
    <t>4) Bivariate + Statistik</t>
  </si>
  <si>
    <t>5) Zahlen/Rechenregeln</t>
  </si>
  <si>
    <t>Ma (PDF 1,2)</t>
  </si>
  <si>
    <t>6) Gleichungen und Gleichungssysteme</t>
  </si>
  <si>
    <t>Ma (PDF 3)</t>
  </si>
  <si>
    <t>Ma (PDF 5,6,7,8)</t>
  </si>
  <si>
    <t>7) Funktionen und Ableitungen</t>
  </si>
  <si>
    <t>HR</t>
  </si>
  <si>
    <t>KW 2 (ab hier Klausuren!)</t>
  </si>
  <si>
    <t>KW 39 (aktuell)</t>
  </si>
  <si>
    <t>SoSe</t>
  </si>
  <si>
    <t>KW 50 (hier alles können!)</t>
  </si>
  <si>
    <t>2) Deskriptive Statistik Teil 2</t>
  </si>
  <si>
    <t>Sta I (S1 [62-126])</t>
  </si>
  <si>
    <t>Sta I (S2 [1-59])</t>
  </si>
  <si>
    <t>Sta I (S0 [1-14], S1 [1-61])</t>
  </si>
  <si>
    <t>Sta I (S3 [1-42])</t>
  </si>
  <si>
    <t>1) Formelzeichen, Deskriptive Statistik Teil 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</si>
</sst>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2"/>
      <color theme="1"/>
      <name val="Calibri"/>
      <family val="2"/>
      <scheme val="minor"/>
    </font>
    <font>
      <b/>
      <sz val="12"/>
      <color theme="1"/>
      <name val="Calibri"/>
      <family val="2"/>
      <scheme val="minor"/>
    </font>
    <font>
      <b/>
      <i/>
      <u/>
      <sz val="16"/>
      <color theme="1"/>
      <name val="Calibri"/>
      <family val="2"/>
      <scheme val="minor"/>
    </font>
    <font>
      <b/>
      <sz val="26"/>
      <color theme="1"/>
      <name val="Calibri"/>
      <family val="2"/>
      <scheme val="minor"/>
    </font>
    <font>
      <b/>
      <sz val="20"/>
      <color theme="1"/>
      <name val="Calibri (Body)"/>
    </font>
    <font>
      <sz val="8"/>
      <name val="Calibri"/>
      <family val="2"/>
      <scheme val="minor"/>
    </font>
    <font>
      <sz val="12"/>
      <color rgb="FFFF0000"/>
      <name val="Calibri"/>
      <family val="2"/>
      <scheme val="minor"/>
    </font>
  </fonts>
  <fills count="4">
    <fill>
      <patternFill patternType="none"/>
    </fill>
    <fill>
      <patternFill patternType="gray125"/>
    </fill>
    <fill>
      <patternFill patternType="solid">
        <fgColor rgb="FFE0E0E0"/>
        <bgColor indexed="64"/>
      </patternFill>
    </fill>
    <fill>
      <patternFill patternType="solid">
        <fgColor rgb="FFFDFF05"/>
        <bgColor indexed="64"/>
      </patternFill>
    </fill>
  </fills>
  <borders count="1">
    <border>
      <left/>
      <right/>
      <top/>
      <bottom/>
      <diagonal/>
    </border>
  </borders>
  <cellStyleXfs count="1">
    <xf numFmtId="0" fontId="0" fillId="0" borderId="0"/>
  </cellStyleXfs>
  <cellXfs count="23">
    <xf numFmtId="0" fontId="0" fillId="0" borderId="0" xfId="0"/>
    <xf numFmtId="0" fontId="0" fillId="0" borderId="0" xfId="0" applyAlignment="1">
      <alignment wrapText="1"/>
    </xf>
    <xf numFmtId="0" fontId="0" fillId="0" borderId="0" xfId="0" applyAlignment="1"/>
    <xf numFmtId="0" fontId="1" fillId="0" borderId="0" xfId="0" applyFont="1"/>
    <xf numFmtId="0" fontId="2" fillId="0" borderId="0" xfId="0" applyFont="1"/>
    <xf numFmtId="0" fontId="3" fillId="0" borderId="0" xfId="0" applyFont="1"/>
    <xf numFmtId="0" fontId="1" fillId="2" borderId="0" xfId="0" applyFont="1" applyFill="1"/>
    <xf numFmtId="0" fontId="1" fillId="2" borderId="0" xfId="0" applyFont="1" applyFill="1" applyAlignment="1">
      <alignment horizontal="center"/>
    </xf>
    <xf numFmtId="0" fontId="4" fillId="0" borderId="0" xfId="0" applyFont="1"/>
    <xf numFmtId="0" fontId="0" fillId="0" borderId="0" xfId="0" applyFill="1"/>
    <xf numFmtId="20" fontId="0" fillId="0" borderId="0" xfId="0" applyNumberFormat="1" applyFont="1"/>
    <xf numFmtId="0" fontId="0" fillId="0" borderId="0" xfId="0" applyAlignment="1">
      <alignment horizontal="center"/>
    </xf>
    <xf numFmtId="9" fontId="0" fillId="0" borderId="0" xfId="0" applyNumberFormat="1"/>
    <xf numFmtId="9" fontId="0" fillId="0" borderId="0" xfId="0" applyNumberFormat="1" applyAlignment="1">
      <alignment horizontal="center"/>
    </xf>
    <xf numFmtId="1" fontId="0" fillId="0" borderId="0" xfId="0" applyNumberFormat="1" applyAlignment="1">
      <alignment horizontal="center"/>
    </xf>
    <xf numFmtId="0" fontId="0" fillId="3" borderId="0" xfId="0" applyFill="1"/>
    <xf numFmtId="14" fontId="0" fillId="0" borderId="0" xfId="0" applyNumberFormat="1" applyAlignment="1">
      <alignment horizontal="center"/>
    </xf>
    <xf numFmtId="0" fontId="0" fillId="0" borderId="0" xfId="0" applyAlignment="1">
      <alignment horizontal="center" wrapText="1"/>
    </xf>
    <xf numFmtId="9" fontId="0" fillId="0" borderId="0" xfId="0" applyNumberFormat="1" applyFill="1" applyAlignment="1">
      <alignment horizontal="center"/>
    </xf>
    <xf numFmtId="14" fontId="0" fillId="0" borderId="0" xfId="0" applyNumberFormat="1"/>
    <xf numFmtId="0" fontId="1" fillId="2" borderId="0" xfId="0" applyFont="1" applyFill="1" applyAlignment="1">
      <alignment horizontal="center"/>
    </xf>
    <xf numFmtId="16" fontId="0" fillId="0" borderId="0" xfId="0" applyNumberFormat="1"/>
    <xf numFmtId="0" fontId="6" fillId="0" borderId="0" xfId="0" applyFont="1"/>
  </cellXfs>
  <cellStyles count="1">
    <cellStyle name="Standard" xfId="0" builtinId="0"/>
  </cellStyles>
  <dxfs count="275">
    <dxf>
      <font>
        <b/>
        <i val="0"/>
        <u/>
      </font>
      <fill>
        <patternFill>
          <bgColor rgb="FF00FF29"/>
        </patternFill>
      </fill>
    </dxf>
    <dxf>
      <font>
        <color rgb="FF9C0006"/>
      </font>
      <fill>
        <patternFill>
          <bgColor rgb="FFFFC7CE"/>
        </patternFill>
      </fill>
    </dxf>
    <dxf>
      <font>
        <color rgb="FF006100"/>
      </font>
      <fill>
        <patternFill>
          <bgColor rgb="FFC6EFCE"/>
        </patternFill>
      </fill>
    </dxf>
    <dxf>
      <font>
        <b/>
        <i val="0"/>
        <u/>
      </font>
      <fill>
        <patternFill>
          <bgColor rgb="FF00FF29"/>
        </patternFill>
      </fill>
    </dxf>
    <dxf>
      <fill>
        <patternFill>
          <bgColor rgb="FFFF0000"/>
        </patternFill>
      </fill>
    </dxf>
    <dxf>
      <fill>
        <patternFill>
          <bgColor rgb="FFFF755A"/>
        </patternFill>
      </fill>
    </dxf>
    <dxf>
      <fill>
        <patternFill>
          <bgColor rgb="FFFFDE7F"/>
        </patternFill>
      </fill>
    </dxf>
    <dxf>
      <fill>
        <patternFill>
          <bgColor rgb="FFC4FF87"/>
        </patternFill>
      </fill>
    </dxf>
    <dxf>
      <fill>
        <patternFill>
          <bgColor rgb="FF56FF5E"/>
        </patternFill>
      </fill>
    </dxf>
    <dxf>
      <font>
        <b/>
        <i val="0"/>
        <u/>
      </font>
      <fill>
        <patternFill>
          <bgColor rgb="FF00FF29"/>
        </patternFill>
      </fill>
    </dxf>
    <dxf>
      <font>
        <color rgb="FF9C0006"/>
      </font>
      <fill>
        <patternFill>
          <bgColor rgb="FFFFC7CE"/>
        </patternFill>
      </fill>
    </dxf>
    <dxf>
      <font>
        <color rgb="FF006100"/>
      </font>
      <fill>
        <patternFill>
          <bgColor rgb="FFC6EFCE"/>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alignment horizontal="center" vertical="bottom" textRotation="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64" formatCode="dd/mm/yy"/>
      <alignment horizontal="center" vertical="bottom" textRotation="0" wrapText="0" indent="0" justifyLastLine="0" shrinkToFit="0" readingOrder="0"/>
    </dxf>
    <dxf>
      <alignment horizontal="general" vertical="bottom" textRotation="0" wrapText="1" indent="0" justifyLastLine="0" shrinkToFit="0" readingOrder="0"/>
    </dxf>
  </dxfs>
  <tableStyles count="0" defaultTableStyle="TableStyleMedium2" defaultPivotStyle="PivotStyleLight16"/>
  <colors>
    <mruColors>
      <color rgb="FF00FF29"/>
      <color rgb="FF56FF5E"/>
      <color rgb="FFC4FF87"/>
      <color rgb="FFFFDE7F"/>
      <color rgb="FFFF755A"/>
      <color rgb="FFFDFF05"/>
      <color rgb="FF10FF07"/>
      <color rgb="FFFF231B"/>
      <color rgb="FFE0E0E0"/>
      <color rgb="FF4A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eetMetadata" Target="metadata.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F321BF3-0CFB-EC45-B68D-D7DDE2C6EBFA}" name="Table1" displayName="Table1" ref="A1:K46" totalsRowShown="0" headerRowDxfId="274">
  <autoFilter ref="A1:K46" xr:uid="{6E266E34-2786-2747-BCE7-51B74867A564}"/>
  <tableColumns count="11">
    <tableColumn id="1" xr3:uid="{95FD92F7-3DC8-704D-A103-A7EDDAB255AB}" name="Datum" dataDxfId="273"/>
    <tableColumn id="2" xr3:uid="{F464D510-8166-E740-A343-FB84BDEF877F}" name="Lerneinheiten durchgezogen" dataDxfId="272"/>
    <tableColumn id="3" xr3:uid="{75F52B08-1A00-0848-BBE6-1EDF7B31B1AD}" name="Tagesplan erstellt" dataDxfId="271"/>
    <tableColumn id="4" xr3:uid="{E6B18D89-E799-AD48-9DAA-37AEE1D29011}" name="Konzentrationslevel" dataDxfId="270"/>
    <tableColumn id="5" xr3:uid="{7038951F-EF31-2A4C-8291-6B3B984C5954}" name="Kcal"/>
    <tableColumn id="6" xr3:uid="{024A2E22-9FF9-5042-BCC0-8443A00A1A16}" name="Fette"/>
    <tableColumn id="7" xr3:uid="{FAD520C6-BB43-8B4B-A9FA-C5AEE0F8CD08}" name="Eiweiss"/>
    <tableColumn id="8" xr3:uid="{3816DA9B-3A76-FE4F-B985-3635CF939135}" name="Kohlenhydrate"/>
    <tableColumn id="9" xr3:uid="{1C987FBB-D4BA-7C4F-A887-190E64CF58FE}" name="Gewicht"/>
    <tableColumn id="10" xr3:uid="{823BE59B-AFBA-DB43-8C06-25B0D163DC42}" name="Sonstiges Gefühl"/>
    <tableColumn id="11" xr3:uid="{BB7DF43F-1783-D944-883B-7754E3407C95}" name="Optimierungen"/>
  </tableColumns>
  <tableStyleInfo name="TableStyleLight10"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73550-30B9-8F48-8345-10C51C6D0FC3}">
  <dimension ref="B4:C25"/>
  <sheetViews>
    <sheetView workbookViewId="0">
      <selection activeCell="B2" sqref="B2"/>
    </sheetView>
  </sheetViews>
  <sheetFormatPr baseColWidth="10" defaultColWidth="10.625" defaultRowHeight="15.75"/>
  <cols>
    <col min="2" max="2" width="161" customWidth="1"/>
    <col min="3" max="3" width="10.875" style="2"/>
  </cols>
  <sheetData>
    <row r="4" spans="2:2" ht="21">
      <c r="B4" s="4" t="s">
        <v>16</v>
      </c>
    </row>
    <row r="6" spans="2:2">
      <c r="B6" s="3" t="s">
        <v>13</v>
      </c>
    </row>
    <row r="7" spans="2:2" ht="47.25">
      <c r="B7" s="1" t="s">
        <v>14</v>
      </c>
    </row>
    <row r="9" spans="2:2">
      <c r="B9" s="3" t="s">
        <v>15</v>
      </c>
    </row>
    <row r="10" spans="2:2" ht="63">
      <c r="B10" s="1" t="s">
        <v>35</v>
      </c>
    </row>
    <row r="12" spans="2:2">
      <c r="B12" s="3" t="s">
        <v>17</v>
      </c>
    </row>
    <row r="13" spans="2:2" ht="126">
      <c r="B13" s="1" t="s">
        <v>18</v>
      </c>
    </row>
    <row r="15" spans="2:2">
      <c r="B15" s="3" t="s">
        <v>19</v>
      </c>
    </row>
    <row r="16" spans="2:2" ht="110.25">
      <c r="B16" s="1" t="s">
        <v>20</v>
      </c>
    </row>
    <row r="17" spans="2:2">
      <c r="B17" s="1"/>
    </row>
    <row r="18" spans="2:2">
      <c r="B18" s="3" t="s">
        <v>34</v>
      </c>
    </row>
    <row r="19" spans="2:2" ht="141.75">
      <c r="B19" s="1" t="s">
        <v>36</v>
      </c>
    </row>
    <row r="21" spans="2:2">
      <c r="B21" s="3" t="s">
        <v>21</v>
      </c>
    </row>
    <row r="22" spans="2:2" ht="110.25">
      <c r="B22" s="1" t="s">
        <v>37</v>
      </c>
    </row>
    <row r="24" spans="2:2">
      <c r="B24" s="3" t="s">
        <v>22</v>
      </c>
    </row>
    <row r="25" spans="2:2" ht="126">
      <c r="B25" s="1" t="s">
        <v>23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02FF6-E0D3-4829-9993-E7D2C4D02E9E}">
  <dimension ref="B1:EO60"/>
  <sheetViews>
    <sheetView showGridLines="0" tabSelected="1" topLeftCell="F1" zoomScale="90" zoomScaleNormal="90" workbookViewId="0">
      <pane xSplit="2" topLeftCell="CK1" activePane="topRight" state="frozen"/>
      <selection activeCell="F1" sqref="F1"/>
      <selection pane="topRight" activeCell="CN12" sqref="CN12"/>
    </sheetView>
  </sheetViews>
  <sheetFormatPr baseColWidth="10" defaultColWidth="8.875" defaultRowHeight="15.75" outlineLevelRow="1"/>
  <cols>
    <col min="3" max="3" width="11.125" customWidth="1"/>
    <col min="4" max="4" width="13" bestFit="1" customWidth="1"/>
    <col min="5" max="5" width="4.875" bestFit="1" customWidth="1"/>
    <col min="6" max="6" width="41.125" bestFit="1" customWidth="1"/>
    <col min="7" max="7" width="15.5" bestFit="1" customWidth="1"/>
    <col min="8" max="8" width="2.5" customWidth="1"/>
    <col min="10" max="10" width="12.5" bestFit="1" customWidth="1"/>
    <col min="11" max="11" width="14.875" bestFit="1" customWidth="1"/>
    <col min="12" max="12" width="12.625" bestFit="1" customWidth="1"/>
    <col min="13" max="13" width="2.5" customWidth="1"/>
    <col min="15" max="15" width="12.5" bestFit="1" customWidth="1"/>
    <col min="16" max="16" width="6.375" customWidth="1"/>
    <col min="17" max="17" width="14.875" bestFit="1" customWidth="1"/>
    <col min="18" max="18" width="6" customWidth="1"/>
    <col min="19" max="19" width="12.625" bestFit="1" customWidth="1"/>
    <col min="20" max="20" width="2.5" customWidth="1"/>
    <col min="22" max="22" width="12.5" bestFit="1" customWidth="1"/>
    <col min="23" max="23" width="6.375" customWidth="1"/>
    <col min="24" max="24" width="14.875" bestFit="1" customWidth="1"/>
    <col min="25" max="25" width="6" customWidth="1"/>
    <col min="26" max="26" width="12.625" bestFit="1" customWidth="1"/>
    <col min="27" max="27" width="2.5" customWidth="1"/>
    <col min="29" max="29" width="12.5" bestFit="1" customWidth="1"/>
    <col min="30" max="30" width="6.375" customWidth="1"/>
    <col min="31" max="31" width="14.875" bestFit="1" customWidth="1"/>
    <col min="32" max="32" width="6" customWidth="1"/>
    <col min="33" max="33" width="12.625" bestFit="1" customWidth="1"/>
    <col min="34" max="34" width="2.5" customWidth="1"/>
    <col min="36" max="36" width="12.5" bestFit="1" customWidth="1"/>
    <col min="37" max="37" width="6.375" customWidth="1"/>
    <col min="38" max="38" width="14.875" bestFit="1" customWidth="1"/>
    <col min="39" max="39" width="6" customWidth="1"/>
    <col min="40" max="40" width="12.625" bestFit="1" customWidth="1"/>
    <col min="41" max="41" width="2.5" customWidth="1"/>
    <col min="43" max="43" width="12.5" bestFit="1" customWidth="1"/>
    <col min="44" max="44" width="6.375" customWidth="1"/>
    <col min="45" max="45" width="14.875" bestFit="1" customWidth="1"/>
    <col min="46" max="46" width="6" customWidth="1"/>
    <col min="47" max="47" width="12.625" bestFit="1" customWidth="1"/>
    <col min="48" max="48" width="2.5" customWidth="1"/>
    <col min="50" max="50" width="12.5" bestFit="1" customWidth="1"/>
    <col min="51" max="51" width="6.375" customWidth="1"/>
    <col min="52" max="52" width="14.875" bestFit="1" customWidth="1"/>
    <col min="53" max="53" width="6" customWidth="1"/>
    <col min="54" max="54" width="12.625" customWidth="1"/>
    <col min="55" max="55" width="2.5" customWidth="1"/>
    <col min="57" max="57" width="12.5" bestFit="1" customWidth="1"/>
    <col min="58" max="58" width="6.375" customWidth="1"/>
    <col min="59" max="59" width="14.875" bestFit="1" customWidth="1"/>
    <col min="60" max="60" width="6" customWidth="1"/>
    <col min="61" max="61" width="12.625" bestFit="1" customWidth="1"/>
    <col min="62" max="62" width="2.5" customWidth="1"/>
    <col min="64" max="64" width="12.5" bestFit="1" customWidth="1"/>
    <col min="65" max="65" width="6.375" customWidth="1"/>
    <col min="66" max="66" width="14.875" bestFit="1" customWidth="1"/>
    <col min="67" max="67" width="6" customWidth="1"/>
    <col min="68" max="68" width="12.625" bestFit="1" customWidth="1"/>
    <col min="69" max="69" width="2.5" customWidth="1"/>
    <col min="71" max="71" width="12.5" bestFit="1" customWidth="1"/>
    <col min="72" max="72" width="6.375" customWidth="1"/>
    <col min="73" max="73" width="14.875" bestFit="1" customWidth="1"/>
    <col min="74" max="74" width="6" customWidth="1"/>
    <col min="75" max="75" width="12.625" bestFit="1" customWidth="1"/>
    <col min="76" max="76" width="2.5" customWidth="1"/>
    <col min="78" max="78" width="12.5" bestFit="1" customWidth="1"/>
    <col min="79" max="79" width="6.375" customWidth="1"/>
    <col min="80" max="80" width="14.875" bestFit="1" customWidth="1"/>
    <col min="81" max="81" width="6" customWidth="1"/>
    <col min="82" max="82" width="12.625" bestFit="1" customWidth="1"/>
    <col min="83" max="83" width="2.5" customWidth="1"/>
    <col min="85" max="85" width="12.5" bestFit="1" customWidth="1"/>
    <col min="86" max="86" width="6.375" customWidth="1"/>
    <col min="87" max="87" width="14.875" bestFit="1" customWidth="1"/>
    <col min="88" max="88" width="6" customWidth="1"/>
    <col min="89" max="89" width="12.625" bestFit="1" customWidth="1"/>
    <col min="90" max="90" width="2.5" customWidth="1"/>
    <col min="92" max="92" width="12.5" bestFit="1" customWidth="1"/>
    <col min="93" max="93" width="6.375" customWidth="1"/>
    <col min="94" max="94" width="14.875" bestFit="1" customWidth="1"/>
    <col min="95" max="95" width="6" customWidth="1"/>
    <col min="96" max="96" width="12.625" bestFit="1" customWidth="1"/>
    <col min="97" max="97" width="2.5" customWidth="1"/>
    <col min="99" max="99" width="12.5" bestFit="1" customWidth="1"/>
    <col min="100" max="100" width="6.375" customWidth="1"/>
    <col min="101" max="101" width="14.875" bestFit="1" customWidth="1"/>
    <col min="102" max="102" width="6" customWidth="1"/>
    <col min="103" max="103" width="12.625" bestFit="1" customWidth="1"/>
    <col min="104" max="104" width="2.5" customWidth="1"/>
    <col min="106" max="106" width="12.5" bestFit="1" customWidth="1"/>
    <col min="107" max="107" width="6.375" customWidth="1"/>
    <col min="108" max="108" width="14.875" bestFit="1" customWidth="1"/>
    <col min="109" max="109" width="6" customWidth="1"/>
    <col min="110" max="110" width="12.625" bestFit="1" customWidth="1"/>
    <col min="111" max="111" width="2.5" customWidth="1"/>
    <col min="113" max="113" width="12.5" bestFit="1" customWidth="1"/>
    <col min="114" max="114" width="6.375" customWidth="1"/>
    <col min="115" max="115" width="14.875" bestFit="1" customWidth="1"/>
    <col min="116" max="116" width="6" customWidth="1"/>
    <col min="117" max="117" width="12.625" bestFit="1" customWidth="1"/>
    <col min="118" max="118" width="2.5" customWidth="1"/>
    <col min="120" max="120" width="12.5" bestFit="1" customWidth="1"/>
    <col min="121" max="121" width="6.375" customWidth="1"/>
    <col min="122" max="122" width="14.875" bestFit="1" customWidth="1"/>
    <col min="123" max="123" width="6" customWidth="1"/>
    <col min="124" max="124" width="12.625" bestFit="1" customWidth="1"/>
    <col min="125" max="125" width="2.5" customWidth="1"/>
    <col min="127" max="127" width="12.5" bestFit="1" customWidth="1"/>
    <col min="128" max="128" width="6.375" customWidth="1"/>
    <col min="129" max="129" width="14.875" bestFit="1" customWidth="1"/>
    <col min="130" max="130" width="6" customWidth="1"/>
    <col min="131" max="131" width="12.625" bestFit="1" customWidth="1"/>
    <col min="132" max="132" width="2.5" customWidth="1"/>
    <col min="134" max="134" width="12.5" bestFit="1" customWidth="1"/>
    <col min="135" max="135" width="6.375" customWidth="1"/>
    <col min="136" max="136" width="14.875" bestFit="1" customWidth="1"/>
    <col min="137" max="137" width="6" customWidth="1"/>
    <col min="138" max="138" width="12.625" bestFit="1" customWidth="1"/>
    <col min="139" max="139" width="2.5" customWidth="1"/>
    <col min="141" max="141" width="12.5" bestFit="1" customWidth="1"/>
    <col min="142" max="142" width="6.375" customWidth="1"/>
    <col min="143" max="143" width="14.875" bestFit="1" customWidth="1"/>
    <col min="144" max="144" width="6" customWidth="1"/>
    <col min="145" max="145" width="12.625" bestFit="1" customWidth="1"/>
  </cols>
  <sheetData>
    <row r="1" spans="2:145" ht="33.75">
      <c r="B1" s="5" t="s">
        <v>0</v>
      </c>
      <c r="D1" s="5"/>
      <c r="G1" s="15" t="s">
        <v>33</v>
      </c>
      <c r="I1" s="15" t="s">
        <v>33</v>
      </c>
      <c r="J1" s="15" t="s">
        <v>33</v>
      </c>
      <c r="K1" s="15" t="s">
        <v>33</v>
      </c>
    </row>
    <row r="2" spans="2:145">
      <c r="I2" s="20" t="s">
        <v>27</v>
      </c>
      <c r="J2" s="20"/>
      <c r="K2" s="20"/>
      <c r="L2" s="20"/>
      <c r="N2" s="20" t="s">
        <v>111</v>
      </c>
      <c r="O2" s="20"/>
      <c r="P2" s="20"/>
      <c r="Q2" s="20"/>
      <c r="R2" s="20"/>
      <c r="S2" s="20"/>
      <c r="U2" s="20" t="s">
        <v>63</v>
      </c>
      <c r="V2" s="20"/>
      <c r="W2" s="20"/>
      <c r="X2" s="20"/>
      <c r="Y2" s="20"/>
      <c r="Z2" s="20"/>
      <c r="AB2" s="20" t="s">
        <v>64</v>
      </c>
      <c r="AC2" s="20"/>
      <c r="AD2" s="20"/>
      <c r="AE2" s="20"/>
      <c r="AF2" s="20"/>
      <c r="AG2" s="20"/>
      <c r="AI2" s="20" t="s">
        <v>65</v>
      </c>
      <c r="AJ2" s="20"/>
      <c r="AK2" s="20"/>
      <c r="AL2" s="20"/>
      <c r="AM2" s="20"/>
      <c r="AN2" s="20"/>
      <c r="AP2" s="20" t="s">
        <v>66</v>
      </c>
      <c r="AQ2" s="20"/>
      <c r="AR2" s="20"/>
      <c r="AS2" s="20"/>
      <c r="AT2" s="20"/>
      <c r="AU2" s="20"/>
      <c r="AW2" s="20" t="s">
        <v>67</v>
      </c>
      <c r="AX2" s="20"/>
      <c r="AY2" s="20"/>
      <c r="AZ2" s="20"/>
      <c r="BA2" s="20"/>
      <c r="BB2" s="20"/>
      <c r="BD2" s="20" t="s">
        <v>68</v>
      </c>
      <c r="BE2" s="20"/>
      <c r="BF2" s="20"/>
      <c r="BG2" s="20"/>
      <c r="BH2" s="20"/>
      <c r="BI2" s="20"/>
      <c r="BK2" s="20" t="s">
        <v>69</v>
      </c>
      <c r="BL2" s="20"/>
      <c r="BM2" s="20"/>
      <c r="BN2" s="20"/>
      <c r="BO2" s="20"/>
      <c r="BP2" s="20"/>
      <c r="BR2" s="20" t="s">
        <v>70</v>
      </c>
      <c r="BS2" s="20"/>
      <c r="BT2" s="20"/>
      <c r="BU2" s="20"/>
      <c r="BV2" s="20"/>
      <c r="BW2" s="20"/>
      <c r="BY2" s="20" t="s">
        <v>71</v>
      </c>
      <c r="BZ2" s="20"/>
      <c r="CA2" s="20"/>
      <c r="CB2" s="20"/>
      <c r="CC2" s="20"/>
      <c r="CD2" s="20"/>
      <c r="CF2" s="20" t="s">
        <v>72</v>
      </c>
      <c r="CG2" s="20"/>
      <c r="CH2" s="20"/>
      <c r="CI2" s="20"/>
      <c r="CJ2" s="20"/>
      <c r="CK2" s="20"/>
      <c r="CM2" s="20" t="s">
        <v>113</v>
      </c>
      <c r="CN2" s="20"/>
      <c r="CO2" s="20"/>
      <c r="CP2" s="20"/>
      <c r="CQ2" s="20"/>
      <c r="CR2" s="20"/>
      <c r="CT2" s="20" t="s">
        <v>73</v>
      </c>
      <c r="CU2" s="20"/>
      <c r="CV2" s="20"/>
      <c r="CW2" s="20"/>
      <c r="CX2" s="20"/>
      <c r="CY2" s="20"/>
      <c r="DA2" s="20" t="s">
        <v>74</v>
      </c>
      <c r="DB2" s="20"/>
      <c r="DC2" s="20"/>
      <c r="DD2" s="20"/>
      <c r="DE2" s="20"/>
      <c r="DF2" s="20"/>
      <c r="DH2" s="20" t="s">
        <v>75</v>
      </c>
      <c r="DI2" s="20"/>
      <c r="DJ2" s="20"/>
      <c r="DK2" s="20"/>
      <c r="DL2" s="20"/>
      <c r="DM2" s="20"/>
      <c r="DO2" s="20" t="s">
        <v>110</v>
      </c>
      <c r="DP2" s="20"/>
      <c r="DQ2" s="20"/>
      <c r="DR2" s="20"/>
      <c r="DS2" s="20"/>
      <c r="DT2" s="20"/>
      <c r="DV2" s="20" t="s">
        <v>76</v>
      </c>
      <c r="DW2" s="20"/>
      <c r="DX2" s="20"/>
      <c r="DY2" s="20"/>
      <c r="DZ2" s="20"/>
      <c r="EA2" s="20"/>
      <c r="EC2" s="20" t="s">
        <v>77</v>
      </c>
      <c r="ED2" s="20"/>
      <c r="EE2" s="20"/>
      <c r="EF2" s="20"/>
      <c r="EG2" s="20"/>
      <c r="EH2" s="20"/>
      <c r="EJ2" s="20" t="s">
        <v>78</v>
      </c>
      <c r="EK2" s="20"/>
      <c r="EL2" s="20"/>
      <c r="EM2" s="20"/>
      <c r="EN2" s="20"/>
      <c r="EO2" s="20"/>
    </row>
    <row r="3" spans="2:145">
      <c r="B3" s="6" t="s">
        <v>26</v>
      </c>
      <c r="C3" s="6" t="s">
        <v>1</v>
      </c>
      <c r="D3" s="6" t="s">
        <v>24</v>
      </c>
      <c r="E3" s="7" t="s">
        <v>30</v>
      </c>
      <c r="F3" s="6" t="s">
        <v>29</v>
      </c>
      <c r="G3" s="6" t="s">
        <v>31</v>
      </c>
      <c r="I3" s="7" t="s">
        <v>11</v>
      </c>
      <c r="J3" s="7" t="s">
        <v>2</v>
      </c>
      <c r="K3" s="7" t="s">
        <v>3</v>
      </c>
      <c r="L3" s="7" t="s">
        <v>12</v>
      </c>
      <c r="N3" s="6" t="s">
        <v>11</v>
      </c>
      <c r="O3" s="6" t="s">
        <v>2</v>
      </c>
      <c r="P3" s="6" t="s">
        <v>32</v>
      </c>
      <c r="Q3" s="6" t="s">
        <v>3</v>
      </c>
      <c r="R3" s="6" t="s">
        <v>32</v>
      </c>
      <c r="S3" s="6" t="s">
        <v>12</v>
      </c>
      <c r="U3" s="6" t="s">
        <v>11</v>
      </c>
      <c r="V3" s="6" t="s">
        <v>2</v>
      </c>
      <c r="W3" s="6" t="s">
        <v>32</v>
      </c>
      <c r="X3" s="6" t="s">
        <v>3</v>
      </c>
      <c r="Y3" s="6" t="s">
        <v>32</v>
      </c>
      <c r="Z3" s="6" t="s">
        <v>12</v>
      </c>
      <c r="AB3" s="6" t="s">
        <v>11</v>
      </c>
      <c r="AC3" s="6" t="s">
        <v>2</v>
      </c>
      <c r="AD3" s="6" t="s">
        <v>32</v>
      </c>
      <c r="AE3" s="6" t="s">
        <v>3</v>
      </c>
      <c r="AF3" s="6" t="s">
        <v>32</v>
      </c>
      <c r="AG3" s="6" t="s">
        <v>12</v>
      </c>
      <c r="AI3" s="6" t="s">
        <v>11</v>
      </c>
      <c r="AJ3" s="6" t="s">
        <v>2</v>
      </c>
      <c r="AK3" s="6" t="s">
        <v>32</v>
      </c>
      <c r="AL3" s="6" t="s">
        <v>3</v>
      </c>
      <c r="AM3" s="6" t="s">
        <v>32</v>
      </c>
      <c r="AN3" s="6" t="s">
        <v>12</v>
      </c>
      <c r="AP3" s="6" t="s">
        <v>11</v>
      </c>
      <c r="AQ3" s="6" t="s">
        <v>2</v>
      </c>
      <c r="AR3" s="6" t="s">
        <v>32</v>
      </c>
      <c r="AS3" s="6" t="s">
        <v>3</v>
      </c>
      <c r="AT3" s="6" t="s">
        <v>32</v>
      </c>
      <c r="AU3" s="6" t="s">
        <v>12</v>
      </c>
      <c r="AW3" s="6" t="s">
        <v>11</v>
      </c>
      <c r="AX3" s="6" t="s">
        <v>2</v>
      </c>
      <c r="AY3" s="6" t="s">
        <v>32</v>
      </c>
      <c r="AZ3" s="6" t="s">
        <v>3</v>
      </c>
      <c r="BA3" s="6" t="s">
        <v>32</v>
      </c>
      <c r="BB3" s="6" t="s">
        <v>12</v>
      </c>
      <c r="BD3" s="6" t="s">
        <v>11</v>
      </c>
      <c r="BE3" s="6" t="s">
        <v>2</v>
      </c>
      <c r="BF3" s="6" t="s">
        <v>32</v>
      </c>
      <c r="BG3" s="6" t="s">
        <v>3</v>
      </c>
      <c r="BH3" s="6" t="s">
        <v>32</v>
      </c>
      <c r="BI3" s="6" t="s">
        <v>12</v>
      </c>
      <c r="BK3" s="6" t="s">
        <v>11</v>
      </c>
      <c r="BL3" s="6" t="s">
        <v>2</v>
      </c>
      <c r="BM3" s="6" t="s">
        <v>32</v>
      </c>
      <c r="BN3" s="6" t="s">
        <v>3</v>
      </c>
      <c r="BO3" s="6" t="s">
        <v>32</v>
      </c>
      <c r="BP3" s="6" t="s">
        <v>12</v>
      </c>
      <c r="BR3" s="6" t="s">
        <v>11</v>
      </c>
      <c r="BS3" s="6" t="s">
        <v>2</v>
      </c>
      <c r="BT3" s="6" t="s">
        <v>32</v>
      </c>
      <c r="BU3" s="6" t="s">
        <v>3</v>
      </c>
      <c r="BV3" s="6" t="s">
        <v>32</v>
      </c>
      <c r="BW3" s="6" t="s">
        <v>12</v>
      </c>
      <c r="BY3" s="6" t="s">
        <v>11</v>
      </c>
      <c r="BZ3" s="6" t="s">
        <v>2</v>
      </c>
      <c r="CA3" s="6" t="s">
        <v>32</v>
      </c>
      <c r="CB3" s="6" t="s">
        <v>3</v>
      </c>
      <c r="CC3" s="6" t="s">
        <v>32</v>
      </c>
      <c r="CD3" s="6" t="s">
        <v>12</v>
      </c>
      <c r="CF3" s="6" t="s">
        <v>11</v>
      </c>
      <c r="CG3" s="6" t="s">
        <v>2</v>
      </c>
      <c r="CH3" s="6" t="s">
        <v>32</v>
      </c>
      <c r="CI3" s="6" t="s">
        <v>3</v>
      </c>
      <c r="CJ3" s="6" t="s">
        <v>32</v>
      </c>
      <c r="CK3" s="6" t="s">
        <v>12</v>
      </c>
      <c r="CM3" s="6" t="s">
        <v>11</v>
      </c>
      <c r="CN3" s="6" t="s">
        <v>2</v>
      </c>
      <c r="CO3" s="6" t="s">
        <v>32</v>
      </c>
      <c r="CP3" s="6" t="s">
        <v>3</v>
      </c>
      <c r="CQ3" s="6" t="s">
        <v>32</v>
      </c>
      <c r="CR3" s="6" t="s">
        <v>12</v>
      </c>
      <c r="CT3" s="6" t="s">
        <v>11</v>
      </c>
      <c r="CU3" s="6" t="s">
        <v>2</v>
      </c>
      <c r="CV3" s="6" t="s">
        <v>32</v>
      </c>
      <c r="CW3" s="6" t="s">
        <v>3</v>
      </c>
      <c r="CX3" s="6" t="s">
        <v>32</v>
      </c>
      <c r="CY3" s="6" t="s">
        <v>12</v>
      </c>
      <c r="DA3" s="6" t="s">
        <v>11</v>
      </c>
      <c r="DB3" s="6" t="s">
        <v>2</v>
      </c>
      <c r="DC3" s="6" t="s">
        <v>32</v>
      </c>
      <c r="DD3" s="6" t="s">
        <v>3</v>
      </c>
      <c r="DE3" s="6" t="s">
        <v>32</v>
      </c>
      <c r="DF3" s="6" t="s">
        <v>12</v>
      </c>
      <c r="DH3" s="6" t="s">
        <v>11</v>
      </c>
      <c r="DI3" s="6" t="s">
        <v>2</v>
      </c>
      <c r="DJ3" s="6" t="s">
        <v>32</v>
      </c>
      <c r="DK3" s="6" t="s">
        <v>3</v>
      </c>
      <c r="DL3" s="6" t="s">
        <v>32</v>
      </c>
      <c r="DM3" s="6" t="s">
        <v>12</v>
      </c>
      <c r="DO3" s="6" t="s">
        <v>11</v>
      </c>
      <c r="DP3" s="6" t="s">
        <v>2</v>
      </c>
      <c r="DQ3" s="6" t="s">
        <v>32</v>
      </c>
      <c r="DR3" s="6" t="s">
        <v>3</v>
      </c>
      <c r="DS3" s="6" t="s">
        <v>32</v>
      </c>
      <c r="DT3" s="6" t="s">
        <v>12</v>
      </c>
      <c r="DV3" s="6" t="s">
        <v>11</v>
      </c>
      <c r="DW3" s="6" t="s">
        <v>2</v>
      </c>
      <c r="DX3" s="6" t="s">
        <v>32</v>
      </c>
      <c r="DY3" s="6" t="s">
        <v>3</v>
      </c>
      <c r="DZ3" s="6" t="s">
        <v>32</v>
      </c>
      <c r="EA3" s="6" t="s">
        <v>12</v>
      </c>
      <c r="EC3" s="6" t="s">
        <v>11</v>
      </c>
      <c r="ED3" s="6" t="s">
        <v>2</v>
      </c>
      <c r="EE3" s="6" t="s">
        <v>32</v>
      </c>
      <c r="EF3" s="6" t="s">
        <v>3</v>
      </c>
      <c r="EG3" s="6" t="s">
        <v>32</v>
      </c>
      <c r="EH3" s="6" t="s">
        <v>12</v>
      </c>
      <c r="EJ3" s="6" t="s">
        <v>11</v>
      </c>
      <c r="EK3" s="6" t="s">
        <v>2</v>
      </c>
      <c r="EL3" s="6" t="s">
        <v>32</v>
      </c>
      <c r="EM3" s="6" t="s">
        <v>3</v>
      </c>
      <c r="EN3" s="6" t="s">
        <v>32</v>
      </c>
      <c r="EO3" s="6" t="s">
        <v>12</v>
      </c>
    </row>
    <row r="4" spans="2:145">
      <c r="B4" t="s">
        <v>27</v>
      </c>
      <c r="C4" t="s">
        <v>49</v>
      </c>
      <c r="D4" s="19">
        <v>44570</v>
      </c>
      <c r="E4" s="11">
        <v>6</v>
      </c>
      <c r="G4" s="12">
        <f>+SUM(G5:G13)</f>
        <v>0.7</v>
      </c>
      <c r="I4" s="14">
        <f>+SUM(I5:I13)</f>
        <v>0</v>
      </c>
      <c r="J4" s="13">
        <f>+SUMPRODUCT(G5:G13,J5:J13)</f>
        <v>0</v>
      </c>
      <c r="K4" s="13">
        <f>+SUMPRODUCT(G5:G13,K5:K13)</f>
        <v>0</v>
      </c>
      <c r="L4" s="11"/>
      <c r="N4" s="14">
        <f>+SUM(N5:N13)</f>
        <v>0</v>
      </c>
      <c r="U4" s="14">
        <f>+SUM(U5:U13)</f>
        <v>0</v>
      </c>
      <c r="AB4" s="14">
        <f>+SUM(AB5:AB13)</f>
        <v>0</v>
      </c>
      <c r="AI4" s="14">
        <f>+SUM(AI5:AI13)</f>
        <v>0</v>
      </c>
      <c r="AP4" s="14">
        <f>+SUM(AP5:AP13)</f>
        <v>0</v>
      </c>
      <c r="AW4" s="14">
        <f>+SUM(AW5:AW13)</f>
        <v>0</v>
      </c>
      <c r="BD4" s="14">
        <f>+SUM(BD5:BD13)</f>
        <v>0</v>
      </c>
      <c r="BK4" s="14">
        <f>+SUM(BK5:BK13)</f>
        <v>0</v>
      </c>
      <c r="BR4" s="14">
        <f>+SUM(BR5:BR13)</f>
        <v>0</v>
      </c>
      <c r="BY4" s="14">
        <f>+SUM(BY5:BY13)</f>
        <v>0</v>
      </c>
      <c r="CF4" s="14">
        <f>+SUM(CF5:CF13)</f>
        <v>0</v>
      </c>
      <c r="CJ4" s="12"/>
      <c r="CM4" s="14">
        <f>+SUM(CM5:CM13)</f>
        <v>0</v>
      </c>
      <c r="CP4" s="12"/>
      <c r="CQ4" s="12"/>
      <c r="CT4" s="14">
        <f>+SUM(CT5:CT13)</f>
        <v>0</v>
      </c>
      <c r="DA4" s="14">
        <f>+SUM(DA5:DA13)</f>
        <v>0</v>
      </c>
      <c r="DH4" s="14">
        <f>+SUM(DH5:DH13)</f>
        <v>0</v>
      </c>
      <c r="DO4" s="14">
        <f>+SUM(DO5:DO13)</f>
        <v>0</v>
      </c>
      <c r="DV4" s="14">
        <f>+SUM(DV5:DV13)</f>
        <v>0</v>
      </c>
      <c r="EC4" s="14">
        <f>+SUM(EC5:EC13)</f>
        <v>0</v>
      </c>
      <c r="EJ4" s="14">
        <f>+SUM(EJ5:EJ13)</f>
        <v>0</v>
      </c>
    </row>
    <row r="5" spans="2:145" outlineLevel="1">
      <c r="B5" t="s">
        <v>28</v>
      </c>
      <c r="C5" t="s">
        <v>80</v>
      </c>
      <c r="E5" s="11"/>
      <c r="F5" t="s">
        <v>79</v>
      </c>
      <c r="G5" s="12">
        <v>0.1</v>
      </c>
      <c r="I5" s="11">
        <f>+SUMIF($N$3:$ZZ$3,I$3,$N5:$ZZ5)</f>
        <v>0</v>
      </c>
      <c r="J5" s="13" cm="1">
        <f t="array" ref="J5">MAX(IF($N$3:$EH$3=$J$3,N5:EH5))</f>
        <v>0</v>
      </c>
      <c r="K5" s="13" cm="1">
        <f t="array" ref="K5">MAX(IF($N$3:$EH$3=$J$3,N5:EH5))</f>
        <v>0</v>
      </c>
      <c r="L5" s="11"/>
      <c r="O5" s="12"/>
      <c r="P5" s="12"/>
      <c r="Q5" s="12"/>
      <c r="R5" s="12"/>
      <c r="V5" s="12"/>
      <c r="W5" s="12"/>
      <c r="X5" s="12"/>
      <c r="Y5" s="12"/>
      <c r="AC5" s="12"/>
      <c r="AD5" s="12"/>
      <c r="AE5" s="12"/>
      <c r="AF5" s="12"/>
      <c r="AJ5" s="12"/>
      <c r="AK5" s="12"/>
      <c r="AL5" s="12"/>
      <c r="AM5" s="12"/>
      <c r="AQ5" s="12"/>
      <c r="AR5" s="12">
        <v>1</v>
      </c>
      <c r="AS5" s="12"/>
      <c r="AT5" s="12">
        <v>1</v>
      </c>
      <c r="AX5" s="12"/>
      <c r="AY5" s="12"/>
      <c r="AZ5" s="12"/>
      <c r="BA5" s="12"/>
      <c r="BE5" s="12"/>
      <c r="BF5" s="12"/>
      <c r="BG5" s="12"/>
      <c r="BH5" s="12"/>
      <c r="BL5" s="12"/>
      <c r="BM5" s="12"/>
      <c r="BN5" s="12"/>
      <c r="BO5" s="12"/>
      <c r="BS5" s="12"/>
      <c r="BT5" s="12"/>
      <c r="BU5" s="12"/>
      <c r="BV5" s="12"/>
      <c r="BZ5" s="12"/>
      <c r="CA5" s="12"/>
      <c r="CB5" s="12"/>
      <c r="CC5" s="12"/>
      <c r="CG5" s="12"/>
      <c r="CH5" s="12"/>
      <c r="CI5" s="12"/>
      <c r="CN5" s="12"/>
      <c r="CO5" s="12">
        <v>1</v>
      </c>
      <c r="CP5" s="12"/>
      <c r="CQ5" s="12">
        <v>1</v>
      </c>
      <c r="CU5" s="12"/>
      <c r="CV5" s="12"/>
      <c r="CW5" s="12"/>
      <c r="CX5" s="12"/>
      <c r="DB5" s="12"/>
      <c r="DC5" s="12"/>
      <c r="DD5" s="12"/>
      <c r="DE5" s="12"/>
      <c r="DI5" s="12"/>
      <c r="DJ5" s="12"/>
      <c r="DK5" s="12"/>
      <c r="DL5" s="12"/>
      <c r="DP5" s="12"/>
      <c r="DQ5" s="12"/>
      <c r="DR5" s="12"/>
      <c r="DS5" s="12"/>
      <c r="DW5" s="12"/>
      <c r="DX5" s="12"/>
      <c r="DY5" s="12"/>
      <c r="DZ5" s="12"/>
      <c r="ED5" s="12"/>
      <c r="EE5" s="12"/>
      <c r="EF5" s="12"/>
      <c r="EG5" s="12"/>
      <c r="EK5" s="12"/>
      <c r="EL5" s="12"/>
      <c r="EM5" s="12"/>
      <c r="EN5" s="12"/>
    </row>
    <row r="6" spans="2:145" outlineLevel="1">
      <c r="B6" t="s">
        <v>28</v>
      </c>
      <c r="C6" t="s">
        <v>82</v>
      </c>
      <c r="E6" s="11"/>
      <c r="F6" t="s">
        <v>81</v>
      </c>
      <c r="G6" s="12">
        <v>0.05</v>
      </c>
      <c r="I6" s="11">
        <f t="shared" ref="I6:I15" si="0">+SUMIF($N$3:$ZZ$3,I$3,$N6:$ZZ6)</f>
        <v>0</v>
      </c>
      <c r="J6" s="13" cm="1">
        <f t="array" ref="J6">MAX(IF($N$3:$EH$3=$J$3,N6:EH6))</f>
        <v>0</v>
      </c>
      <c r="K6" s="13" cm="1">
        <f t="array" ref="K6">MAX(IF($N$3:$EH$3=$J$3,N6:EH6))</f>
        <v>0</v>
      </c>
      <c r="L6" s="11"/>
      <c r="O6" s="12"/>
      <c r="P6" s="12"/>
      <c r="Q6" s="12"/>
      <c r="R6" s="12"/>
      <c r="V6" s="12"/>
      <c r="W6" s="12"/>
      <c r="X6" s="12"/>
      <c r="Y6" s="12"/>
      <c r="AC6" s="12"/>
      <c r="AD6" s="12"/>
      <c r="AE6" s="12"/>
      <c r="AF6" s="12"/>
      <c r="AJ6" s="12"/>
      <c r="AK6" s="12"/>
      <c r="AL6" s="12"/>
      <c r="AM6" s="12"/>
      <c r="AQ6" s="12"/>
      <c r="AR6" s="12">
        <v>1</v>
      </c>
      <c r="AS6" s="12"/>
      <c r="AT6" s="12">
        <v>1</v>
      </c>
      <c r="AX6" s="12"/>
      <c r="AY6" s="12"/>
      <c r="AZ6" s="12"/>
      <c r="BA6" s="12"/>
      <c r="BE6" s="12"/>
      <c r="BF6" s="12"/>
      <c r="BG6" s="12"/>
      <c r="BH6" s="12"/>
      <c r="BL6" s="12"/>
      <c r="BM6" s="12"/>
      <c r="BN6" s="12"/>
      <c r="BO6" s="12"/>
      <c r="BS6" s="12"/>
      <c r="BT6" s="12"/>
      <c r="BU6" s="12"/>
      <c r="BV6" s="12"/>
      <c r="BZ6" s="12"/>
      <c r="CA6" s="12"/>
      <c r="CB6" s="12"/>
      <c r="CC6" s="12"/>
      <c r="CG6" s="12"/>
      <c r="CH6" s="12"/>
      <c r="CI6" s="12"/>
      <c r="CJ6" s="12"/>
      <c r="CN6" s="12"/>
      <c r="CO6" s="12">
        <v>1</v>
      </c>
      <c r="CP6" s="12"/>
      <c r="CQ6" s="12">
        <v>1</v>
      </c>
      <c r="CU6" s="12"/>
      <c r="CV6" s="12"/>
      <c r="CW6" s="12"/>
      <c r="CX6" s="12"/>
      <c r="DB6" s="12"/>
      <c r="DC6" s="12"/>
      <c r="DD6" s="12"/>
      <c r="DE6" s="12"/>
      <c r="DI6" s="12"/>
      <c r="DJ6" s="12"/>
      <c r="DK6" s="12"/>
      <c r="DL6" s="12"/>
      <c r="DP6" s="12"/>
      <c r="DQ6" s="12"/>
      <c r="DR6" s="12"/>
      <c r="DS6" s="12"/>
      <c r="DW6" s="12"/>
      <c r="DX6" s="12"/>
      <c r="DY6" s="12"/>
      <c r="DZ6" s="12"/>
      <c r="ED6" s="12"/>
      <c r="EE6" s="12"/>
      <c r="EF6" s="12"/>
      <c r="EG6" s="12"/>
      <c r="EK6" s="12"/>
      <c r="EL6" s="12"/>
      <c r="EM6" s="12"/>
      <c r="EN6" s="12"/>
    </row>
    <row r="7" spans="2:145" outlineLevel="1">
      <c r="B7" t="s">
        <v>28</v>
      </c>
      <c r="C7" t="s">
        <v>83</v>
      </c>
      <c r="E7" s="11"/>
      <c r="F7" t="s">
        <v>84</v>
      </c>
      <c r="G7" s="12">
        <v>0.05</v>
      </c>
      <c r="I7" s="11">
        <f t="shared" si="0"/>
        <v>0</v>
      </c>
      <c r="J7" s="13" cm="1">
        <f t="array" ref="J7">MAX(IF($N$3:$EH$3=$J$3,N7:EH7))</f>
        <v>0</v>
      </c>
      <c r="K7" s="13" cm="1">
        <f t="array" ref="K7">MAX(IF($N$3:$EH$3=$J$3,N7:EH7))</f>
        <v>0</v>
      </c>
      <c r="L7" s="11"/>
      <c r="O7" s="12"/>
      <c r="P7" s="12"/>
      <c r="Q7" s="12"/>
      <c r="R7" s="12"/>
      <c r="V7" s="12"/>
      <c r="W7" s="12"/>
      <c r="X7" s="12"/>
      <c r="Y7" s="12"/>
      <c r="AC7" s="12"/>
      <c r="AD7" s="12"/>
      <c r="AE7" s="12"/>
      <c r="AF7" s="12"/>
      <c r="AJ7" s="12"/>
      <c r="AK7" s="12"/>
      <c r="AL7" s="12"/>
      <c r="AM7" s="12"/>
      <c r="AQ7" s="12"/>
      <c r="AR7" s="12">
        <v>1</v>
      </c>
      <c r="AS7" s="12"/>
      <c r="AT7" s="12">
        <v>1</v>
      </c>
      <c r="AX7" s="12"/>
      <c r="AY7" s="12"/>
      <c r="AZ7" s="12"/>
      <c r="BA7" s="12"/>
      <c r="BE7" s="12"/>
      <c r="BF7" s="12"/>
      <c r="BG7" s="12"/>
      <c r="BH7" s="12"/>
      <c r="BL7" s="12"/>
      <c r="BM7" s="12"/>
      <c r="BN7" s="12"/>
      <c r="BO7" s="12"/>
      <c r="BS7" s="12"/>
      <c r="BT7" s="12"/>
      <c r="BU7" s="12"/>
      <c r="BV7" s="12"/>
      <c r="BZ7" s="12"/>
      <c r="CA7" s="12"/>
      <c r="CB7" s="12"/>
      <c r="CC7" s="12"/>
      <c r="CG7" s="12"/>
      <c r="CH7" s="12"/>
      <c r="CI7" s="12"/>
      <c r="CJ7" s="12"/>
      <c r="CN7" s="12"/>
      <c r="CO7" s="12">
        <v>1</v>
      </c>
      <c r="CP7" s="12"/>
      <c r="CQ7" s="12">
        <v>1</v>
      </c>
      <c r="CU7" s="12"/>
      <c r="CV7" s="12"/>
      <c r="CW7" s="12"/>
      <c r="CX7" s="12"/>
      <c r="DB7" s="12"/>
      <c r="DC7" s="12"/>
      <c r="DD7" s="12"/>
      <c r="DE7" s="12"/>
      <c r="DI7" s="12"/>
      <c r="DJ7" s="12"/>
      <c r="DK7" s="12"/>
      <c r="DL7" s="12"/>
      <c r="DP7" s="12"/>
      <c r="DQ7" s="12"/>
      <c r="DR7" s="12"/>
      <c r="DS7" s="12"/>
      <c r="DW7" s="12"/>
      <c r="DX7" s="12"/>
      <c r="DY7" s="12"/>
      <c r="DZ7" s="12"/>
      <c r="ED7" s="12"/>
      <c r="EE7" s="12"/>
      <c r="EF7" s="12"/>
      <c r="EG7" s="12"/>
      <c r="EK7" s="12"/>
      <c r="EL7" s="12"/>
      <c r="EM7" s="12"/>
      <c r="EN7" s="12"/>
    </row>
    <row r="8" spans="2:145" outlineLevel="1">
      <c r="B8" t="s">
        <v>28</v>
      </c>
      <c r="C8" s="21" t="s">
        <v>86</v>
      </c>
      <c r="E8" s="11"/>
      <c r="F8" t="s">
        <v>85</v>
      </c>
      <c r="G8" s="12">
        <v>0.05</v>
      </c>
      <c r="I8" s="11">
        <f t="shared" si="0"/>
        <v>0</v>
      </c>
      <c r="J8" s="13" cm="1">
        <f t="array" ref="J8">MAX(IF($N$3:$EH$3=$J$3,N8:EH8))</f>
        <v>0</v>
      </c>
      <c r="K8" s="13" cm="1">
        <f t="array" ref="K8">MAX(IF($N$3:$EH$3=$J$3,N8:EH8))</f>
        <v>0</v>
      </c>
      <c r="L8" s="11"/>
      <c r="O8" s="12"/>
      <c r="P8" s="12"/>
      <c r="Q8" s="12"/>
      <c r="R8" s="12"/>
      <c r="V8" s="12"/>
      <c r="W8" s="12"/>
      <c r="X8" s="12"/>
      <c r="Y8" s="12"/>
      <c r="AC8" s="12"/>
      <c r="AD8" s="12"/>
      <c r="AE8" s="12"/>
      <c r="AF8" s="12"/>
      <c r="AJ8" s="12"/>
      <c r="AK8" s="12"/>
      <c r="AL8" s="12"/>
      <c r="AM8" s="12"/>
      <c r="AQ8" s="12"/>
      <c r="AR8" s="12">
        <v>1</v>
      </c>
      <c r="AS8" s="12"/>
      <c r="AT8" s="12">
        <v>1</v>
      </c>
      <c r="AX8" s="12"/>
      <c r="AY8" s="12"/>
      <c r="AZ8" s="12"/>
      <c r="BA8" s="12"/>
      <c r="BE8" s="12"/>
      <c r="BF8" s="12"/>
      <c r="BG8" s="12"/>
      <c r="BH8" s="12"/>
      <c r="BL8" s="12"/>
      <c r="BM8" s="12"/>
      <c r="BN8" s="12"/>
      <c r="BO8" s="12"/>
      <c r="BS8" s="12"/>
      <c r="BT8" s="12"/>
      <c r="BU8" s="12"/>
      <c r="BV8" s="12"/>
      <c r="BZ8" s="12"/>
      <c r="CA8" s="12"/>
      <c r="CB8" s="12"/>
      <c r="CC8" s="12"/>
      <c r="CG8" s="12"/>
      <c r="CH8" s="12"/>
      <c r="CI8" s="12"/>
      <c r="CJ8" s="12"/>
      <c r="CN8" s="12"/>
      <c r="CO8" s="12">
        <v>1</v>
      </c>
      <c r="CP8" s="12"/>
      <c r="CQ8" s="12">
        <v>1</v>
      </c>
      <c r="CU8" s="12"/>
      <c r="CV8" s="12"/>
      <c r="CW8" s="12"/>
      <c r="CX8" s="12"/>
      <c r="DB8" s="12"/>
      <c r="DC8" s="12"/>
      <c r="DD8" s="12"/>
      <c r="DE8" s="12"/>
      <c r="DI8" s="12"/>
      <c r="DJ8" s="12"/>
      <c r="DK8" s="12"/>
      <c r="DL8" s="12"/>
      <c r="DP8" s="12"/>
      <c r="DQ8" s="12"/>
      <c r="DR8" s="12"/>
      <c r="DS8" s="12"/>
      <c r="DW8" s="12"/>
      <c r="DX8" s="12"/>
      <c r="DY8" s="12"/>
      <c r="DZ8" s="12"/>
      <c r="ED8" s="12"/>
      <c r="EE8" s="12"/>
      <c r="EF8" s="12"/>
      <c r="EG8" s="12"/>
      <c r="EK8" s="12"/>
      <c r="EL8" s="12"/>
      <c r="EM8" s="12"/>
      <c r="EN8" s="12"/>
    </row>
    <row r="9" spans="2:145" outlineLevel="1">
      <c r="B9" t="s">
        <v>28</v>
      </c>
      <c r="C9" t="s">
        <v>87</v>
      </c>
      <c r="E9" s="11"/>
      <c r="F9" t="s">
        <v>90</v>
      </c>
      <c r="G9" s="12">
        <v>0.05</v>
      </c>
      <c r="I9" s="11">
        <f t="shared" si="0"/>
        <v>0</v>
      </c>
      <c r="J9" s="13" cm="1">
        <f t="array" ref="J9">MAX(IF($N$3:$EH$3=$J$3,N9:EH9))</f>
        <v>0</v>
      </c>
      <c r="K9" s="13" cm="1">
        <f t="array" ref="K9">MAX(IF($N$3:$EH$3=$J$3,N9:EH9))</f>
        <v>0</v>
      </c>
      <c r="L9" s="11"/>
      <c r="O9" s="12"/>
      <c r="P9" s="12"/>
      <c r="Q9" s="12"/>
      <c r="R9" s="12"/>
      <c r="V9" s="12"/>
      <c r="W9" s="12"/>
      <c r="X9" s="12"/>
      <c r="Y9" s="12"/>
      <c r="AC9" s="12"/>
      <c r="AD9" s="12"/>
      <c r="AE9" s="12"/>
      <c r="AF9" s="12"/>
      <c r="AJ9" s="12"/>
      <c r="AK9" s="12"/>
      <c r="AL9" s="12"/>
      <c r="AM9" s="12"/>
      <c r="AQ9" s="12"/>
      <c r="AR9" s="12">
        <v>1</v>
      </c>
      <c r="AS9" s="12"/>
      <c r="AT9" s="12">
        <v>1</v>
      </c>
      <c r="AX9" s="12"/>
      <c r="AY9" s="12"/>
      <c r="AZ9" s="12"/>
      <c r="BA9" s="12"/>
      <c r="BE9" s="12"/>
      <c r="BF9" s="12"/>
      <c r="BG9" s="12"/>
      <c r="BH9" s="12"/>
      <c r="BL9" s="12"/>
      <c r="BM9" s="12"/>
      <c r="BN9" s="12"/>
      <c r="BO9" s="12"/>
      <c r="BS9" s="12"/>
      <c r="BT9" s="12"/>
      <c r="BU9" s="12"/>
      <c r="BV9" s="12"/>
      <c r="BZ9" s="12"/>
      <c r="CA9" s="12"/>
      <c r="CB9" s="12"/>
      <c r="CC9" s="12"/>
      <c r="CG9" s="12"/>
      <c r="CH9" s="12"/>
      <c r="CI9" s="12"/>
      <c r="CJ9" s="12"/>
      <c r="CN9" s="12"/>
      <c r="CO9" s="12">
        <v>1</v>
      </c>
      <c r="CP9" s="12"/>
      <c r="CQ9" s="12">
        <v>1</v>
      </c>
      <c r="CU9" s="12"/>
      <c r="CV9" s="12"/>
      <c r="CW9" s="12"/>
      <c r="CX9" s="12"/>
      <c r="DB9" s="12"/>
      <c r="DC9" s="12"/>
      <c r="DD9" s="12"/>
      <c r="DE9" s="12"/>
      <c r="DI9" s="12"/>
      <c r="DJ9" s="12"/>
      <c r="DK9" s="12"/>
      <c r="DL9" s="12"/>
      <c r="DP9" s="12"/>
      <c r="DQ9" s="12"/>
      <c r="DR9" s="12"/>
      <c r="DS9" s="12"/>
      <c r="DW9" s="12"/>
      <c r="DX9" s="12"/>
      <c r="DY9" s="12"/>
      <c r="DZ9" s="12"/>
      <c r="ED9" s="12"/>
      <c r="EE9" s="12"/>
      <c r="EF9" s="12"/>
      <c r="EG9" s="12"/>
      <c r="EK9" s="12"/>
      <c r="EL9" s="12"/>
      <c r="EM9" s="12"/>
      <c r="EN9" s="12"/>
    </row>
    <row r="10" spans="2:145" outlineLevel="1">
      <c r="B10" t="s">
        <v>28</v>
      </c>
      <c r="C10" t="s">
        <v>88</v>
      </c>
      <c r="E10" s="11"/>
      <c r="F10" t="s">
        <v>91</v>
      </c>
      <c r="G10" s="12">
        <v>0.1</v>
      </c>
      <c r="I10" s="11">
        <f t="shared" si="0"/>
        <v>0</v>
      </c>
      <c r="J10" s="13" cm="1">
        <f t="array" ref="J10">MAX(IF($N$3:$EH$3=$J$3,N10:EH10))</f>
        <v>0</v>
      </c>
      <c r="K10" s="13" cm="1">
        <f t="array" ref="K10">MAX(IF($N$3:$EH$3=$J$3,N10:EH10))</f>
        <v>0</v>
      </c>
      <c r="L10" s="11"/>
      <c r="O10" s="12"/>
      <c r="P10" s="12"/>
      <c r="Q10" s="12"/>
      <c r="R10" s="12"/>
      <c r="V10" s="12"/>
      <c r="W10" s="12"/>
      <c r="X10" s="12"/>
      <c r="Y10" s="12"/>
      <c r="AC10" s="12"/>
      <c r="AD10" s="12"/>
      <c r="AE10" s="12"/>
      <c r="AF10" s="12"/>
      <c r="AJ10" s="12"/>
      <c r="AK10" s="12"/>
      <c r="AL10" s="12"/>
      <c r="AM10" s="12"/>
      <c r="AQ10" s="12"/>
      <c r="AR10" s="12">
        <v>1</v>
      </c>
      <c r="AS10" s="12"/>
      <c r="AT10" s="12">
        <v>1</v>
      </c>
      <c r="AX10" s="12"/>
      <c r="AY10" s="12"/>
      <c r="AZ10" s="12"/>
      <c r="BA10" s="12"/>
      <c r="BE10" s="12"/>
      <c r="BF10" s="12"/>
      <c r="BG10" s="12"/>
      <c r="BH10" s="12"/>
      <c r="BL10" s="12"/>
      <c r="BM10" s="12"/>
      <c r="BN10" s="12"/>
      <c r="BO10" s="12"/>
      <c r="BS10" s="12"/>
      <c r="BT10" s="12"/>
      <c r="BU10" s="12"/>
      <c r="BV10" s="12"/>
      <c r="BZ10" s="12"/>
      <c r="CA10" s="12"/>
      <c r="CB10" s="12"/>
      <c r="CC10" s="12"/>
      <c r="CG10" s="12"/>
      <c r="CH10" s="12"/>
      <c r="CI10" s="12"/>
      <c r="CJ10" s="12"/>
      <c r="CN10" s="12"/>
      <c r="CO10" s="12">
        <v>1</v>
      </c>
      <c r="CP10" s="12"/>
      <c r="CQ10" s="12">
        <v>1</v>
      </c>
      <c r="CU10" s="12"/>
      <c r="CV10" s="12"/>
      <c r="CW10" s="12"/>
      <c r="CX10" s="12"/>
      <c r="DB10" s="12"/>
      <c r="DC10" s="12"/>
      <c r="DD10" s="12"/>
      <c r="DE10" s="12"/>
      <c r="DI10" s="12"/>
      <c r="DJ10" s="12"/>
      <c r="DK10" s="12"/>
      <c r="DL10" s="12"/>
      <c r="DP10" s="12"/>
      <c r="DQ10" s="12"/>
      <c r="DR10" s="12"/>
      <c r="DS10" s="12"/>
      <c r="DW10" s="12"/>
      <c r="DX10" s="12"/>
      <c r="DY10" s="12"/>
      <c r="DZ10" s="12"/>
      <c r="ED10" s="12"/>
      <c r="EE10" s="12"/>
      <c r="EF10" s="12"/>
      <c r="EG10" s="12"/>
      <c r="EK10" s="12"/>
      <c r="EL10" s="12"/>
      <c r="EM10" s="12"/>
      <c r="EN10" s="12"/>
    </row>
    <row r="11" spans="2:145" outlineLevel="1">
      <c r="B11" t="s">
        <v>28</v>
      </c>
      <c r="C11" t="s">
        <v>89</v>
      </c>
      <c r="E11" s="11"/>
      <c r="F11" t="s">
        <v>92</v>
      </c>
      <c r="G11" s="12">
        <v>0.1</v>
      </c>
      <c r="I11" s="11">
        <f t="shared" si="0"/>
        <v>0</v>
      </c>
      <c r="J11" s="13" cm="1">
        <f t="array" ref="J11">MAX(IF($N$3:$EH$3=$J$3,N11:EH11))</f>
        <v>0</v>
      </c>
      <c r="K11" s="13" cm="1">
        <f t="array" ref="K11">MAX(IF($N$3:$EH$3=$J$3,N11:EH11))</f>
        <v>0</v>
      </c>
      <c r="L11" s="11"/>
      <c r="O11" s="12"/>
      <c r="P11" s="12"/>
      <c r="Q11" s="12"/>
      <c r="R11" s="12"/>
      <c r="V11" s="12"/>
      <c r="W11" s="12"/>
      <c r="X11" s="12"/>
      <c r="Y11" s="12"/>
      <c r="AC11" s="12"/>
      <c r="AD11" s="12"/>
      <c r="AE11" s="12"/>
      <c r="AF11" s="12"/>
      <c r="AJ11" s="12"/>
      <c r="AK11" s="12"/>
      <c r="AL11" s="12"/>
      <c r="AM11" s="12"/>
      <c r="AQ11" s="12"/>
      <c r="AR11" s="12">
        <v>1</v>
      </c>
      <c r="AS11" s="12"/>
      <c r="AT11" s="12">
        <v>1</v>
      </c>
      <c r="AX11" s="12"/>
      <c r="AY11" s="12"/>
      <c r="AZ11" s="12"/>
      <c r="BA11" s="12"/>
      <c r="BE11" s="12"/>
      <c r="BF11" s="12"/>
      <c r="BG11" s="12"/>
      <c r="BH11" s="12"/>
      <c r="BL11" s="12"/>
      <c r="BM11" s="12"/>
      <c r="BN11" s="12"/>
      <c r="BO11" s="12"/>
      <c r="BS11" s="12"/>
      <c r="BT11" s="12"/>
      <c r="BU11" s="12"/>
      <c r="BV11" s="12"/>
      <c r="BZ11" s="12"/>
      <c r="CA11" s="12"/>
      <c r="CB11" s="12"/>
      <c r="CC11" s="12"/>
      <c r="CG11" s="12"/>
      <c r="CH11" s="12"/>
      <c r="CI11" s="12"/>
      <c r="CJ11" s="12"/>
      <c r="CN11" s="12"/>
      <c r="CO11" s="12">
        <v>1</v>
      </c>
      <c r="CP11" s="12"/>
      <c r="CQ11" s="12">
        <v>1</v>
      </c>
      <c r="CU11" s="12"/>
      <c r="CV11" s="12"/>
      <c r="CW11" s="12"/>
      <c r="CX11" s="12"/>
      <c r="DB11" s="12"/>
      <c r="DC11" s="12"/>
      <c r="DD11" s="12"/>
      <c r="DE11" s="12"/>
      <c r="DI11" s="12"/>
      <c r="DJ11" s="12"/>
      <c r="DK11" s="12"/>
      <c r="DL11" s="12"/>
      <c r="DP11" s="12"/>
      <c r="DQ11" s="12"/>
      <c r="DR11" s="12"/>
      <c r="DS11" s="12"/>
      <c r="DW11" s="12"/>
      <c r="DX11" s="12"/>
      <c r="DY11" s="12"/>
      <c r="DZ11" s="12"/>
      <c r="ED11" s="12"/>
      <c r="EE11" s="12"/>
      <c r="EF11" s="12"/>
      <c r="EG11" s="12"/>
      <c r="EK11" s="12"/>
      <c r="EL11" s="12"/>
      <c r="EM11" s="12"/>
      <c r="EN11" s="12"/>
    </row>
    <row r="12" spans="2:145" outlineLevel="1">
      <c r="B12" t="s">
        <v>28</v>
      </c>
      <c r="C12" t="s">
        <v>93</v>
      </c>
      <c r="E12" s="11"/>
      <c r="F12" t="s">
        <v>97</v>
      </c>
      <c r="G12" s="12">
        <v>0.1</v>
      </c>
      <c r="I12" s="11">
        <f t="shared" si="0"/>
        <v>0</v>
      </c>
      <c r="J12" s="13" cm="1">
        <f t="array" ref="J12">MAX(IF($N$3:$EH$3=$J$3,N12:EH12))</f>
        <v>0</v>
      </c>
      <c r="K12" s="13" cm="1">
        <f t="array" ref="K12">MAX(IF($N$3:$EH$3=$J$3,N12:EH12))</f>
        <v>0</v>
      </c>
      <c r="L12" s="11"/>
      <c r="O12" s="12"/>
      <c r="P12" s="12"/>
      <c r="Q12" s="12"/>
      <c r="R12" s="12"/>
      <c r="V12" s="12"/>
      <c r="W12" s="12"/>
      <c r="X12" s="12"/>
      <c r="Y12" s="12"/>
      <c r="AC12" s="12"/>
      <c r="AD12" s="12"/>
      <c r="AE12" s="12"/>
      <c r="AF12" s="12"/>
      <c r="AJ12" s="12"/>
      <c r="AK12" s="12"/>
      <c r="AL12" s="12"/>
      <c r="AM12" s="12"/>
      <c r="AQ12" s="12"/>
      <c r="AR12" s="12">
        <v>1</v>
      </c>
      <c r="AS12" s="12"/>
      <c r="AT12" s="12">
        <v>1</v>
      </c>
      <c r="AX12" s="12"/>
      <c r="AY12" s="12"/>
      <c r="AZ12" s="12"/>
      <c r="BA12" s="12"/>
      <c r="BE12" s="12"/>
      <c r="BF12" s="12"/>
      <c r="BG12" s="12"/>
      <c r="BH12" s="12"/>
      <c r="BL12" s="12"/>
      <c r="BM12" s="12"/>
      <c r="BN12" s="12"/>
      <c r="BO12" s="12"/>
      <c r="BS12" s="12"/>
      <c r="BT12" s="12"/>
      <c r="BU12" s="12"/>
      <c r="BV12" s="12"/>
      <c r="BZ12" s="12"/>
      <c r="CA12" s="12"/>
      <c r="CB12" s="12"/>
      <c r="CC12" s="12"/>
      <c r="CG12" s="12"/>
      <c r="CH12" s="12"/>
      <c r="CI12" s="12"/>
      <c r="CJ12" s="12"/>
      <c r="CN12" s="12"/>
      <c r="CO12" s="12">
        <v>1</v>
      </c>
      <c r="CP12" s="12"/>
      <c r="CQ12" s="12">
        <v>1</v>
      </c>
      <c r="CU12" s="12"/>
      <c r="CV12" s="12"/>
      <c r="CW12" s="12"/>
      <c r="CX12" s="12"/>
      <c r="DB12" s="12"/>
      <c r="DC12" s="12"/>
      <c r="DD12" s="12"/>
      <c r="DE12" s="12"/>
      <c r="DI12" s="12"/>
      <c r="DJ12" s="12"/>
      <c r="DK12" s="12"/>
      <c r="DL12" s="12"/>
      <c r="DP12" s="12"/>
      <c r="DQ12" s="12"/>
      <c r="DR12" s="12"/>
      <c r="DS12" s="12"/>
      <c r="DW12" s="12"/>
      <c r="DX12" s="12"/>
      <c r="DY12" s="12"/>
      <c r="DZ12" s="12"/>
      <c r="ED12" s="12"/>
      <c r="EE12" s="12"/>
      <c r="EF12" s="12"/>
      <c r="EG12" s="12"/>
      <c r="EK12" s="12"/>
      <c r="EL12" s="12"/>
      <c r="EM12" s="12"/>
      <c r="EN12" s="12"/>
    </row>
    <row r="13" spans="2:145" outlineLevel="1">
      <c r="B13" t="s">
        <v>28</v>
      </c>
      <c r="C13" t="s">
        <v>94</v>
      </c>
      <c r="E13" s="11"/>
      <c r="F13" t="s">
        <v>99</v>
      </c>
      <c r="G13" s="12">
        <v>0.1</v>
      </c>
      <c r="I13" s="11">
        <f t="shared" si="0"/>
        <v>0</v>
      </c>
      <c r="J13" s="13" cm="1">
        <f t="array" ref="J13">MAX(IF($N$3:$EH$3=$J$3,N13:EH13))</f>
        <v>0</v>
      </c>
      <c r="K13" s="13" cm="1">
        <f t="array" ref="K13">MAX(IF($N$3:$EH$3=$J$3,N13:EH13))</f>
        <v>0</v>
      </c>
      <c r="L13" s="11"/>
      <c r="O13" s="12"/>
      <c r="P13" s="12"/>
      <c r="Q13" s="12"/>
      <c r="R13" s="12"/>
      <c r="V13" s="12"/>
      <c r="W13" s="12"/>
      <c r="X13" s="12"/>
      <c r="Y13" s="12"/>
      <c r="AC13" s="12"/>
      <c r="AD13" s="12"/>
      <c r="AE13" s="12"/>
      <c r="AF13" s="12"/>
      <c r="AJ13" s="12"/>
      <c r="AK13" s="12"/>
      <c r="AL13" s="12"/>
      <c r="AM13" s="12"/>
      <c r="AQ13" s="12"/>
      <c r="AR13" s="12">
        <v>1</v>
      </c>
      <c r="AS13" s="12"/>
      <c r="AT13" s="12">
        <v>1</v>
      </c>
      <c r="AX13" s="12"/>
      <c r="AY13" s="12"/>
      <c r="AZ13" s="12"/>
      <c r="BA13" s="12"/>
      <c r="BE13" s="12"/>
      <c r="BF13" s="12"/>
      <c r="BG13" s="12"/>
      <c r="BH13" s="12"/>
      <c r="BL13" s="12"/>
      <c r="BM13" s="12"/>
      <c r="BN13" s="12"/>
      <c r="BO13" s="12"/>
      <c r="BS13" s="12"/>
      <c r="BT13" s="12"/>
      <c r="BU13" s="12"/>
      <c r="BV13" s="12"/>
      <c r="BZ13" s="12"/>
      <c r="CA13" s="12"/>
      <c r="CB13" s="12"/>
      <c r="CC13" s="12"/>
      <c r="CG13" s="12"/>
      <c r="CH13" s="12"/>
      <c r="CI13" s="12"/>
      <c r="CJ13" s="12"/>
      <c r="CN13" s="12"/>
      <c r="CO13" s="12">
        <v>1</v>
      </c>
      <c r="CP13" s="12"/>
      <c r="CQ13" s="12">
        <v>1</v>
      </c>
      <c r="CU13" s="12"/>
      <c r="CV13" s="12"/>
      <c r="CW13" s="12"/>
      <c r="CX13" s="12"/>
      <c r="DB13" s="12"/>
      <c r="DC13" s="12"/>
      <c r="DD13" s="12"/>
      <c r="DE13" s="12"/>
      <c r="DI13" s="12"/>
      <c r="DJ13" s="12"/>
      <c r="DK13" s="12"/>
      <c r="DL13" s="12"/>
      <c r="DP13" s="12"/>
      <c r="DQ13" s="12"/>
      <c r="DR13" s="12"/>
      <c r="DS13" s="12"/>
      <c r="DW13" s="12"/>
      <c r="DX13" s="12"/>
      <c r="DY13" s="12"/>
      <c r="DZ13" s="12"/>
      <c r="ED13" s="12"/>
      <c r="EE13" s="12"/>
      <c r="EF13" s="12"/>
      <c r="EG13" s="12"/>
      <c r="EK13" s="12"/>
      <c r="EL13" s="12"/>
      <c r="EM13" s="12"/>
      <c r="EN13" s="12"/>
    </row>
    <row r="14" spans="2:145" outlineLevel="1">
      <c r="B14" t="s">
        <v>28</v>
      </c>
      <c r="C14" t="s">
        <v>95</v>
      </c>
      <c r="E14" s="11"/>
      <c r="F14" t="s">
        <v>98</v>
      </c>
      <c r="G14" s="12">
        <v>0.1</v>
      </c>
      <c r="I14" s="11">
        <f t="shared" si="0"/>
        <v>0</v>
      </c>
      <c r="J14" s="13" cm="1">
        <f t="array" ref="J14">MAX(IF($N$3:$EH$3=$J$3,N14:EH14))</f>
        <v>0</v>
      </c>
      <c r="K14" s="13" cm="1">
        <f t="array" ref="K14">MAX(IF($N$3:$EH$3=$J$3,N14:EH14))</f>
        <v>0</v>
      </c>
      <c r="L14" s="11"/>
      <c r="O14" s="12"/>
      <c r="P14" s="12"/>
      <c r="Q14" s="12"/>
      <c r="R14" s="12"/>
      <c r="V14" s="12"/>
      <c r="W14" s="12"/>
      <c r="X14" s="12"/>
      <c r="Y14" s="12"/>
      <c r="AC14" s="12"/>
      <c r="AD14" s="12"/>
      <c r="AE14" s="12"/>
      <c r="AF14" s="12"/>
      <c r="AJ14" s="12"/>
      <c r="AK14" s="12"/>
      <c r="AL14" s="12"/>
      <c r="AM14" s="12"/>
      <c r="AQ14" s="12"/>
      <c r="AR14" s="12">
        <v>1</v>
      </c>
      <c r="AS14" s="12"/>
      <c r="AT14" s="12">
        <v>1</v>
      </c>
      <c r="AX14" s="12"/>
      <c r="AY14" s="12"/>
      <c r="AZ14" s="12"/>
      <c r="BA14" s="12"/>
      <c r="BE14" s="12"/>
      <c r="BF14" s="12"/>
      <c r="BG14" s="12"/>
      <c r="BH14" s="12"/>
      <c r="BL14" s="12"/>
      <c r="BM14" s="12"/>
      <c r="BN14" s="12"/>
      <c r="BO14" s="12"/>
      <c r="BS14" s="12"/>
      <c r="BT14" s="12"/>
      <c r="BU14" s="12"/>
      <c r="BV14" s="12"/>
      <c r="BZ14" s="12"/>
      <c r="CA14" s="12"/>
      <c r="CB14" s="12"/>
      <c r="CC14" s="12"/>
      <c r="CG14" s="12"/>
      <c r="CH14" s="12"/>
      <c r="CI14" s="12"/>
      <c r="CJ14" s="12"/>
      <c r="CN14" s="12"/>
      <c r="CO14" s="12">
        <v>1</v>
      </c>
      <c r="CP14" s="12"/>
      <c r="CQ14" s="12">
        <v>1</v>
      </c>
      <c r="CU14" s="12"/>
      <c r="CV14" s="12"/>
      <c r="CW14" s="12"/>
      <c r="CX14" s="12"/>
      <c r="DB14" s="12"/>
      <c r="DC14" s="12"/>
      <c r="DD14" s="12"/>
      <c r="DE14" s="12"/>
      <c r="DI14" s="12"/>
      <c r="DJ14" s="12"/>
      <c r="DK14" s="12"/>
      <c r="DL14" s="12"/>
      <c r="DP14" s="12"/>
      <c r="DQ14" s="12"/>
      <c r="DR14" s="12"/>
      <c r="DS14" s="12"/>
      <c r="DW14" s="12"/>
      <c r="DX14" s="12"/>
      <c r="DY14" s="12"/>
      <c r="DZ14" s="12"/>
      <c r="ED14" s="12"/>
      <c r="EE14" s="12"/>
      <c r="EF14" s="12"/>
      <c r="EG14" s="12"/>
      <c r="EK14" s="12"/>
      <c r="EL14" s="12"/>
      <c r="EM14" s="12"/>
      <c r="EN14" s="12"/>
    </row>
    <row r="15" spans="2:145" outlineLevel="1">
      <c r="B15" t="s">
        <v>28</v>
      </c>
      <c r="C15" t="s">
        <v>96</v>
      </c>
      <c r="E15" s="11"/>
      <c r="F15" t="s">
        <v>100</v>
      </c>
      <c r="G15" s="12">
        <v>0.1</v>
      </c>
      <c r="I15" s="11">
        <f t="shared" si="0"/>
        <v>0</v>
      </c>
      <c r="J15" s="13" cm="1">
        <f t="array" ref="J15">MAX(IF($N$3:$EH$3=$J$3,N15:EH15))</f>
        <v>0</v>
      </c>
      <c r="K15" s="13" cm="1">
        <f t="array" ref="K15">MAX(IF($N$3:$EH$3=$J$3,N15:EH15))</f>
        <v>0</v>
      </c>
      <c r="L15" s="11"/>
      <c r="O15" s="12"/>
      <c r="P15" s="12"/>
      <c r="Q15" s="12"/>
      <c r="R15" s="12"/>
      <c r="V15" s="12"/>
      <c r="W15" s="12"/>
      <c r="X15" s="12"/>
      <c r="Y15" s="12"/>
      <c r="AC15" s="12"/>
      <c r="AD15" s="12"/>
      <c r="AE15" s="12"/>
      <c r="AF15" s="12"/>
      <c r="AJ15" s="12"/>
      <c r="AK15" s="12"/>
      <c r="AL15" s="12"/>
      <c r="AM15" s="12"/>
      <c r="AQ15" s="12"/>
      <c r="AR15" s="12">
        <v>1</v>
      </c>
      <c r="AS15" s="12"/>
      <c r="AT15" s="12">
        <v>1</v>
      </c>
      <c r="AX15" s="12"/>
      <c r="AY15" s="12"/>
      <c r="AZ15" s="12"/>
      <c r="BA15" s="12"/>
      <c r="BE15" s="12"/>
      <c r="BF15" s="12"/>
      <c r="BG15" s="12"/>
      <c r="BH15" s="12"/>
      <c r="BL15" s="12"/>
      <c r="BM15" s="12"/>
      <c r="BN15" s="12"/>
      <c r="BO15" s="12"/>
      <c r="BS15" s="12"/>
      <c r="BT15" s="12"/>
      <c r="BU15" s="12"/>
      <c r="BV15" s="12"/>
      <c r="BZ15" s="12"/>
      <c r="CA15" s="12"/>
      <c r="CB15" s="12"/>
      <c r="CC15" s="12"/>
      <c r="CG15" s="12"/>
      <c r="CH15" s="12"/>
      <c r="CI15" s="12"/>
      <c r="CJ15" s="12"/>
      <c r="CN15" s="12"/>
      <c r="CO15" s="12">
        <v>1</v>
      </c>
      <c r="CP15" s="12"/>
      <c r="CQ15" s="12">
        <v>1</v>
      </c>
      <c r="CU15" s="12"/>
      <c r="CV15" s="12"/>
      <c r="CW15" s="12"/>
      <c r="CX15" s="12"/>
      <c r="DB15" s="12"/>
      <c r="DC15" s="12"/>
      <c r="DD15" s="12"/>
      <c r="DE15" s="12"/>
      <c r="DI15" s="12"/>
      <c r="DJ15" s="12"/>
      <c r="DK15" s="12"/>
      <c r="DL15" s="12"/>
      <c r="DP15" s="12"/>
      <c r="DQ15" s="12"/>
      <c r="DR15" s="12"/>
      <c r="DS15" s="12"/>
      <c r="DW15" s="12"/>
      <c r="DX15" s="12"/>
      <c r="DY15" s="12"/>
      <c r="DZ15" s="12"/>
      <c r="ED15" s="12"/>
      <c r="EE15" s="12"/>
      <c r="EF15" s="12"/>
      <c r="EG15" s="12"/>
      <c r="EK15" s="12"/>
      <c r="EL15" s="12"/>
      <c r="EM15" s="12"/>
      <c r="EN15" s="12"/>
    </row>
    <row r="16" spans="2:145">
      <c r="O16" s="9"/>
      <c r="V16" s="9"/>
      <c r="AC16" s="9"/>
      <c r="AJ16" s="9"/>
      <c r="AQ16" s="9"/>
      <c r="AX16" s="9"/>
      <c r="BE16" s="9"/>
      <c r="BL16" s="9"/>
      <c r="BS16" s="9"/>
      <c r="BZ16" s="9"/>
      <c r="CG16" s="9"/>
      <c r="CN16" s="9"/>
      <c r="CU16" s="9"/>
      <c r="DB16" s="9"/>
      <c r="DI16" s="9"/>
      <c r="DP16" s="9"/>
      <c r="DW16" s="9"/>
      <c r="ED16" s="9"/>
      <c r="EK16" s="9"/>
    </row>
    <row r="17" spans="2:144">
      <c r="B17" t="s">
        <v>27</v>
      </c>
      <c r="C17" t="s">
        <v>50</v>
      </c>
      <c r="D17" s="19">
        <v>44570</v>
      </c>
      <c r="E17" s="11">
        <v>5</v>
      </c>
      <c r="G17" s="12">
        <f>+SUM(G18:G24)</f>
        <v>0.5</v>
      </c>
      <c r="I17" s="14">
        <f>+SUM(I18:I24)</f>
        <v>10</v>
      </c>
      <c r="J17" s="13">
        <f>+SUMPRODUCT(G18:G24,J18:J24)</f>
        <v>0</v>
      </c>
      <c r="K17" s="13">
        <f>+SUMPRODUCT(G18:G24,K18:K24)</f>
        <v>0</v>
      </c>
      <c r="L17" s="11"/>
      <c r="N17" s="14"/>
      <c r="U17" s="14">
        <f>+SUM(U18:U24)</f>
        <v>2</v>
      </c>
      <c r="AB17" s="14">
        <f>+SUM(AB18:AB24)</f>
        <v>4</v>
      </c>
      <c r="AI17" s="14">
        <f>+SUM(AI18:AI24)</f>
        <v>0</v>
      </c>
      <c r="AP17" s="14">
        <f>+SUM(AP18:AP24)</f>
        <v>4</v>
      </c>
    </row>
    <row r="18" spans="2:144" ht="15.75" customHeight="1" outlineLevel="1">
      <c r="B18" t="s">
        <v>28</v>
      </c>
      <c r="C18" t="s">
        <v>117</v>
      </c>
      <c r="E18" s="11"/>
      <c r="F18" t="s">
        <v>119</v>
      </c>
      <c r="G18" s="12">
        <v>0.1</v>
      </c>
      <c r="I18" s="11">
        <f t="shared" ref="I18:I24" si="1">+SUMIF($N$3:$ZZ$3,I$3,$N18:$ZZ18)</f>
        <v>6</v>
      </c>
      <c r="J18" s="13" cm="1">
        <f t="array" ref="J18">MAX(IF($N$3:$EH$3=$J$3,N18:EH18))</f>
        <v>0</v>
      </c>
      <c r="K18" s="13" cm="1">
        <f t="array" ref="K18">MAX(IF($N$3:$EH$3=$J$3,N18:EH18))</f>
        <v>0</v>
      </c>
      <c r="L18" s="11"/>
      <c r="O18" s="12"/>
      <c r="P18" s="12"/>
      <c r="Q18" s="12"/>
      <c r="R18" s="12"/>
      <c r="U18">
        <v>2</v>
      </c>
      <c r="V18" s="12"/>
      <c r="W18" s="12">
        <v>0.8</v>
      </c>
      <c r="X18" s="12"/>
      <c r="Y18" s="12">
        <v>0.8</v>
      </c>
      <c r="AB18">
        <v>4</v>
      </c>
      <c r="AC18" s="12"/>
      <c r="AD18" s="12">
        <v>1</v>
      </c>
      <c r="AE18" s="12"/>
      <c r="AF18" s="12">
        <v>1</v>
      </c>
      <c r="AJ18" s="12"/>
      <c r="AK18" s="12">
        <v>1</v>
      </c>
      <c r="AL18" s="12"/>
      <c r="AM18" s="12">
        <v>1</v>
      </c>
      <c r="AP18">
        <v>0</v>
      </c>
      <c r="AQ18" s="12"/>
      <c r="AR18" s="12">
        <v>1</v>
      </c>
      <c r="AS18" s="12"/>
      <c r="AT18" s="12">
        <v>1</v>
      </c>
      <c r="AX18" s="12"/>
      <c r="AY18" s="12"/>
      <c r="AZ18" s="12"/>
      <c r="BA18" s="12"/>
      <c r="BE18" s="12"/>
      <c r="BF18" s="12"/>
      <c r="BG18" s="12"/>
      <c r="BH18" s="12"/>
      <c r="BL18" s="12"/>
      <c r="BM18" s="12"/>
      <c r="BN18" s="12"/>
      <c r="BO18" s="12"/>
      <c r="BS18" s="12"/>
      <c r="BT18" s="12"/>
      <c r="BU18" s="12"/>
      <c r="BV18" s="12"/>
      <c r="BZ18" s="12"/>
      <c r="CA18" s="12"/>
      <c r="CB18" s="12"/>
      <c r="CC18" s="12"/>
      <c r="CG18" s="12"/>
      <c r="CH18" s="12"/>
      <c r="CI18" s="12"/>
      <c r="CJ18" s="12"/>
      <c r="CN18" s="12"/>
      <c r="CO18" s="12">
        <v>1</v>
      </c>
      <c r="CP18" s="12"/>
      <c r="CQ18" s="12">
        <v>1</v>
      </c>
      <c r="CU18" s="12"/>
      <c r="CV18" s="12"/>
      <c r="CW18" s="12"/>
      <c r="CX18" s="12"/>
      <c r="DB18" s="12"/>
      <c r="DC18" s="12"/>
      <c r="DD18" s="12"/>
      <c r="DE18" s="12"/>
      <c r="DI18" s="12"/>
      <c r="DJ18" s="12"/>
      <c r="DK18" s="12"/>
      <c r="DL18" s="12"/>
      <c r="DP18" s="12"/>
      <c r="DQ18" s="12"/>
      <c r="DR18" s="12"/>
      <c r="DS18" s="12"/>
      <c r="DW18" s="12"/>
      <c r="DX18" s="12"/>
      <c r="DY18" s="12"/>
      <c r="DZ18" s="12"/>
      <c r="ED18" s="12"/>
      <c r="EE18" s="12"/>
      <c r="EF18" s="12"/>
      <c r="EG18" s="12"/>
      <c r="EK18" s="12"/>
      <c r="EL18" s="12"/>
      <c r="EM18" s="12"/>
      <c r="EN18" s="12"/>
    </row>
    <row r="19" spans="2:144" ht="15.75" customHeight="1" outlineLevel="1">
      <c r="B19" t="s">
        <v>28</v>
      </c>
      <c r="C19" t="s">
        <v>115</v>
      </c>
      <c r="E19" s="11"/>
      <c r="F19" t="s">
        <v>114</v>
      </c>
      <c r="G19" s="12">
        <v>0.05</v>
      </c>
      <c r="I19" s="11">
        <f t="shared" si="1"/>
        <v>0</v>
      </c>
      <c r="J19" s="13" cm="1">
        <f t="array" ref="J19">MAX(IF($N$3:$EH$3=$J$3,N19:EH19))</f>
        <v>0</v>
      </c>
      <c r="K19" s="13" cm="1">
        <f t="array" ref="K19">MAX(IF($N$3:$EH$3=$J$3,N19:EH19))</f>
        <v>0</v>
      </c>
      <c r="L19" s="11"/>
      <c r="O19" s="12"/>
      <c r="P19" s="12"/>
      <c r="Q19" s="12"/>
      <c r="R19" s="12"/>
      <c r="V19" s="12"/>
      <c r="W19" s="12">
        <v>0.8</v>
      </c>
      <c r="X19" s="12"/>
      <c r="Y19" s="12">
        <v>0.8</v>
      </c>
      <c r="AC19" s="12"/>
      <c r="AD19" s="12">
        <v>1</v>
      </c>
      <c r="AE19" s="12"/>
      <c r="AF19" s="12">
        <v>1</v>
      </c>
      <c r="AJ19" s="12"/>
      <c r="AK19" s="12">
        <v>1</v>
      </c>
      <c r="AL19" s="12"/>
      <c r="AM19" s="12">
        <v>1</v>
      </c>
      <c r="AP19">
        <v>0</v>
      </c>
      <c r="AQ19" s="12"/>
      <c r="AR19" s="12">
        <v>1</v>
      </c>
      <c r="AS19" s="12"/>
      <c r="AT19" s="12">
        <v>1</v>
      </c>
      <c r="AX19" s="12"/>
      <c r="AY19" s="12"/>
      <c r="AZ19" s="12"/>
      <c r="BA19" s="12"/>
      <c r="BE19" s="12"/>
      <c r="BF19" s="12"/>
      <c r="BG19" s="12"/>
      <c r="BH19" s="12"/>
      <c r="BL19" s="12"/>
      <c r="BM19" s="12"/>
      <c r="BN19" s="12"/>
      <c r="BO19" s="12"/>
      <c r="BS19" s="12"/>
      <c r="BT19" s="12"/>
      <c r="BU19" s="12"/>
      <c r="BV19" s="12"/>
      <c r="BZ19" s="12"/>
      <c r="CA19" s="12"/>
      <c r="CB19" s="12"/>
      <c r="CC19" s="12"/>
      <c r="CG19" s="12"/>
      <c r="CH19" s="12"/>
      <c r="CI19" s="12"/>
      <c r="CJ19" s="12"/>
      <c r="CN19" s="12"/>
      <c r="CO19" s="12">
        <v>1</v>
      </c>
      <c r="CP19" s="12"/>
      <c r="CQ19" s="12">
        <v>1</v>
      </c>
      <c r="CU19" s="12"/>
      <c r="CV19" s="12"/>
      <c r="CW19" s="12"/>
      <c r="CX19" s="12"/>
      <c r="DB19" s="12"/>
      <c r="DC19" s="12"/>
      <c r="DD19" s="12"/>
      <c r="DE19" s="12"/>
      <c r="DI19" s="12"/>
      <c r="DJ19" s="12"/>
      <c r="DK19" s="12"/>
      <c r="DL19" s="12"/>
      <c r="DP19" s="12"/>
      <c r="DQ19" s="12"/>
      <c r="DR19" s="12"/>
      <c r="DS19" s="12"/>
      <c r="DW19" s="12"/>
      <c r="DX19" s="12"/>
      <c r="DY19" s="12"/>
      <c r="DZ19" s="12"/>
      <c r="ED19" s="12"/>
      <c r="EE19" s="12"/>
      <c r="EF19" s="12"/>
      <c r="EG19" s="12"/>
      <c r="EK19" s="12"/>
      <c r="EL19" s="12"/>
      <c r="EM19" s="12"/>
      <c r="EN19" s="12"/>
    </row>
    <row r="20" spans="2:144" ht="15.75" customHeight="1" outlineLevel="1">
      <c r="B20" t="s">
        <v>28</v>
      </c>
      <c r="C20" t="s">
        <v>116</v>
      </c>
      <c r="E20" s="11"/>
      <c r="F20" t="s">
        <v>101</v>
      </c>
      <c r="G20" s="12">
        <v>0.05</v>
      </c>
      <c r="I20" s="11">
        <f t="shared" si="1"/>
        <v>0</v>
      </c>
      <c r="J20" s="13" cm="1">
        <f t="array" ref="J20">MAX(IF($N$3:$EH$3=$J$3,N20:EH20))</f>
        <v>0</v>
      </c>
      <c r="K20" s="13" cm="1">
        <f t="array" ref="K20">MAX(IF($N$3:$EH$3=$J$3,N20:EH20))</f>
        <v>0</v>
      </c>
      <c r="L20" s="11"/>
      <c r="O20" s="12"/>
      <c r="P20" s="12"/>
      <c r="Q20" s="12"/>
      <c r="R20" s="12"/>
      <c r="V20" s="12"/>
      <c r="W20" s="12">
        <v>0.5</v>
      </c>
      <c r="X20" s="12"/>
      <c r="Y20" s="12">
        <v>0.5</v>
      </c>
      <c r="AC20" s="12"/>
      <c r="AD20" s="12">
        <v>0.8</v>
      </c>
      <c r="AE20" s="12"/>
      <c r="AF20" s="12">
        <v>0.8</v>
      </c>
      <c r="AJ20" s="12"/>
      <c r="AK20" s="12">
        <v>1</v>
      </c>
      <c r="AL20" s="12"/>
      <c r="AM20" s="12">
        <v>1</v>
      </c>
      <c r="AP20">
        <v>0</v>
      </c>
      <c r="AQ20" s="12"/>
      <c r="AR20" s="12">
        <v>1</v>
      </c>
      <c r="AS20" s="12"/>
      <c r="AT20" s="12">
        <v>1</v>
      </c>
      <c r="AX20" s="12"/>
      <c r="AY20" s="12"/>
      <c r="AZ20" s="12"/>
      <c r="BA20" s="12"/>
      <c r="BE20" s="12"/>
      <c r="BF20" s="12"/>
      <c r="BG20" s="12"/>
      <c r="BH20" s="12"/>
      <c r="BL20" s="12"/>
      <c r="BM20" s="12"/>
      <c r="BN20" s="12"/>
      <c r="BO20" s="12"/>
      <c r="BS20" s="12"/>
      <c r="BT20" s="12"/>
      <c r="BU20" s="12"/>
      <c r="BV20" s="12"/>
      <c r="BZ20" s="12"/>
      <c r="CA20" s="12"/>
      <c r="CB20" s="12"/>
      <c r="CC20" s="12"/>
      <c r="CG20" s="12"/>
      <c r="CH20" s="12"/>
      <c r="CI20" s="12"/>
      <c r="CJ20" s="12"/>
      <c r="CN20" s="12"/>
      <c r="CO20" s="12">
        <v>1</v>
      </c>
      <c r="CP20" s="12"/>
      <c r="CQ20" s="12">
        <v>1</v>
      </c>
      <c r="CU20" s="12"/>
      <c r="CV20" s="12"/>
      <c r="CW20" s="12"/>
      <c r="CX20" s="12"/>
      <c r="DB20" s="12"/>
      <c r="DC20" s="12"/>
      <c r="DD20" s="12"/>
      <c r="DE20" s="12"/>
      <c r="DI20" s="12"/>
      <c r="DJ20" s="12"/>
      <c r="DK20" s="12"/>
      <c r="DL20" s="12"/>
      <c r="DP20" s="12"/>
      <c r="DQ20" s="12"/>
      <c r="DR20" s="12"/>
      <c r="DS20" s="12"/>
      <c r="DW20" s="12"/>
      <c r="DX20" s="12"/>
      <c r="DY20" s="12"/>
      <c r="DZ20" s="12"/>
      <c r="ED20" s="12"/>
      <c r="EE20" s="12"/>
      <c r="EF20" s="12"/>
      <c r="EG20" s="12"/>
      <c r="EK20" s="12"/>
      <c r="EL20" s="12"/>
      <c r="EM20" s="12"/>
      <c r="EN20" s="12"/>
    </row>
    <row r="21" spans="2:144" ht="15.75" customHeight="1" outlineLevel="1">
      <c r="B21" t="s">
        <v>28</v>
      </c>
      <c r="C21" t="s">
        <v>118</v>
      </c>
      <c r="E21" s="11"/>
      <c r="F21" t="s">
        <v>102</v>
      </c>
      <c r="G21" s="12">
        <v>0.05</v>
      </c>
      <c r="I21" s="11">
        <f t="shared" si="1"/>
        <v>0</v>
      </c>
      <c r="J21" s="13" cm="1">
        <f t="array" ref="J21">MAX(IF($N$3:$EH$3=$J$3,N21:EH21))</f>
        <v>0</v>
      </c>
      <c r="K21" s="13" cm="1">
        <f t="array" ref="K21">MAX(IF($N$3:$EH$3=$J$3,N21:EH21))</f>
        <v>0</v>
      </c>
      <c r="L21" s="11"/>
      <c r="O21" s="12"/>
      <c r="P21" s="12"/>
      <c r="Q21" s="12"/>
      <c r="R21" s="12"/>
      <c r="V21" s="12"/>
      <c r="W21" s="12">
        <v>0.5</v>
      </c>
      <c r="X21" s="12"/>
      <c r="Y21" s="12">
        <v>0.5</v>
      </c>
      <c r="AC21" s="12"/>
      <c r="AD21" s="12">
        <v>0.8</v>
      </c>
      <c r="AE21" s="12"/>
      <c r="AF21" s="12">
        <v>0.8</v>
      </c>
      <c r="AJ21" s="12"/>
      <c r="AK21" s="12">
        <v>1</v>
      </c>
      <c r="AL21" s="12"/>
      <c r="AM21" s="12">
        <v>1</v>
      </c>
      <c r="AP21">
        <v>0</v>
      </c>
      <c r="AQ21" s="12"/>
      <c r="AR21" s="12">
        <v>1</v>
      </c>
      <c r="AS21" s="12"/>
      <c r="AT21" s="12">
        <v>1</v>
      </c>
      <c r="AX21" s="12"/>
      <c r="AY21" s="12"/>
      <c r="AZ21" s="12"/>
      <c r="BA21" s="12"/>
      <c r="BE21" s="12"/>
      <c r="BF21" s="12"/>
      <c r="BG21" s="12"/>
      <c r="BH21" s="12"/>
      <c r="BL21" s="12"/>
      <c r="BM21" s="12"/>
      <c r="BN21" s="12"/>
      <c r="BO21" s="12"/>
      <c r="BS21" s="12"/>
      <c r="BT21" s="12"/>
      <c r="BU21" s="12"/>
      <c r="BV21" s="12"/>
      <c r="BZ21" s="12"/>
      <c r="CA21" s="12"/>
      <c r="CB21" s="12"/>
      <c r="CC21" s="12"/>
      <c r="CG21" s="12"/>
      <c r="CH21" s="12"/>
      <c r="CI21" s="12"/>
      <c r="CJ21" s="12"/>
      <c r="CN21" s="12"/>
      <c r="CO21" s="12">
        <v>1</v>
      </c>
      <c r="CP21" s="12"/>
      <c r="CQ21" s="12">
        <v>1</v>
      </c>
      <c r="CU21" s="12"/>
      <c r="CV21" s="12"/>
      <c r="CW21" s="12"/>
      <c r="CX21" s="12"/>
      <c r="DB21" s="12"/>
      <c r="DC21" s="12"/>
      <c r="DD21" s="12"/>
      <c r="DE21" s="12"/>
      <c r="DI21" s="12"/>
      <c r="DJ21" s="12"/>
      <c r="DK21" s="12"/>
      <c r="DL21" s="12"/>
      <c r="DP21" s="12"/>
      <c r="DQ21" s="12"/>
      <c r="DR21" s="12"/>
      <c r="DS21" s="12"/>
      <c r="DW21" s="12"/>
      <c r="DX21" s="12"/>
      <c r="DY21" s="12"/>
      <c r="DZ21" s="12"/>
      <c r="ED21" s="12"/>
      <c r="EE21" s="12"/>
      <c r="EF21" s="12"/>
      <c r="EG21" s="12"/>
      <c r="EK21" s="12"/>
      <c r="EL21" s="12"/>
      <c r="EM21" s="12"/>
      <c r="EN21" s="12"/>
    </row>
    <row r="22" spans="2:144" ht="15.75" customHeight="1" outlineLevel="1">
      <c r="B22" t="s">
        <v>28</v>
      </c>
      <c r="C22" t="s">
        <v>104</v>
      </c>
      <c r="E22" s="11"/>
      <c r="F22" t="s">
        <v>103</v>
      </c>
      <c r="G22" s="12">
        <v>0.05</v>
      </c>
      <c r="I22" s="11">
        <f t="shared" si="1"/>
        <v>0</v>
      </c>
      <c r="J22" s="13" cm="1">
        <f t="array" ref="J22">MAX(IF($N$3:$EH$3=$J$3,N22:EH22))</f>
        <v>0</v>
      </c>
      <c r="K22" s="13" cm="1">
        <f t="array" ref="K22">MAX(IF($N$3:$EH$3=$J$3,N22:EH22))</f>
        <v>0</v>
      </c>
      <c r="L22" s="11"/>
      <c r="O22" s="12"/>
      <c r="P22" s="12"/>
      <c r="Q22" s="12"/>
      <c r="R22" s="12"/>
      <c r="V22" s="12"/>
      <c r="W22" s="12">
        <v>0.5</v>
      </c>
      <c r="X22" s="12"/>
      <c r="Y22" s="12">
        <v>0.5</v>
      </c>
      <c r="AC22" s="12"/>
      <c r="AD22" s="12">
        <v>0.8</v>
      </c>
      <c r="AE22" s="12"/>
      <c r="AF22" s="12">
        <v>0.8</v>
      </c>
      <c r="AJ22" s="12"/>
      <c r="AK22" s="12">
        <v>1</v>
      </c>
      <c r="AL22" s="12"/>
      <c r="AM22" s="12">
        <v>1</v>
      </c>
      <c r="AP22">
        <v>0</v>
      </c>
      <c r="AQ22" s="12"/>
      <c r="AR22" s="12">
        <v>1</v>
      </c>
      <c r="AS22" s="12"/>
      <c r="AT22" s="12">
        <v>1</v>
      </c>
      <c r="AX22" s="12"/>
      <c r="AY22" s="12"/>
      <c r="AZ22" s="12"/>
      <c r="BA22" s="12"/>
      <c r="BE22" s="12"/>
      <c r="BF22" s="12"/>
      <c r="BG22" s="12"/>
      <c r="BH22" s="12"/>
      <c r="BL22" s="12"/>
      <c r="BM22" s="12"/>
      <c r="BN22" s="12"/>
      <c r="BO22" s="12"/>
      <c r="BS22" s="12"/>
      <c r="BT22" s="12"/>
      <c r="BU22" s="12"/>
      <c r="BV22" s="12"/>
      <c r="BZ22" s="12"/>
      <c r="CA22" s="12"/>
      <c r="CB22" s="12"/>
      <c r="CC22" s="12"/>
      <c r="CG22" s="12"/>
      <c r="CH22" s="12"/>
      <c r="CI22" s="12"/>
      <c r="CJ22" s="12"/>
      <c r="CN22" s="12"/>
      <c r="CO22" s="12">
        <v>1</v>
      </c>
      <c r="CP22" s="12"/>
      <c r="CQ22" s="12">
        <v>1</v>
      </c>
      <c r="CU22" s="12"/>
      <c r="CV22" s="12"/>
      <c r="CW22" s="12"/>
      <c r="CX22" s="12"/>
      <c r="DB22" s="12"/>
      <c r="DC22" s="12"/>
      <c r="DD22" s="12"/>
      <c r="DE22" s="12"/>
      <c r="DI22" s="12"/>
      <c r="DJ22" s="12"/>
      <c r="DK22" s="12"/>
      <c r="DL22" s="12"/>
      <c r="DP22" s="12"/>
      <c r="DQ22" s="12"/>
      <c r="DR22" s="12"/>
      <c r="DS22" s="12"/>
      <c r="DW22" s="12"/>
      <c r="DX22" s="12"/>
      <c r="DY22" s="12"/>
      <c r="DZ22" s="12"/>
      <c r="ED22" s="12"/>
      <c r="EE22" s="12"/>
      <c r="EF22" s="12"/>
      <c r="EG22" s="12"/>
      <c r="EK22" s="12"/>
      <c r="EL22" s="12"/>
      <c r="EM22" s="12"/>
      <c r="EN22" s="12"/>
    </row>
    <row r="23" spans="2:144" ht="15.75" customHeight="1" outlineLevel="1">
      <c r="B23" t="s">
        <v>28</v>
      </c>
      <c r="C23" t="s">
        <v>106</v>
      </c>
      <c r="E23" s="11"/>
      <c r="F23" t="s">
        <v>105</v>
      </c>
      <c r="G23" s="12">
        <v>0.1</v>
      </c>
      <c r="I23" s="11">
        <f t="shared" si="1"/>
        <v>2</v>
      </c>
      <c r="J23" s="13" cm="1">
        <f t="array" ref="J23">MAX(IF($N$3:$EH$3=$J$3,N23:EH23))</f>
        <v>0</v>
      </c>
      <c r="K23" s="13" cm="1">
        <f t="array" ref="K23">MAX(IF($N$3:$EH$3=$J$3,N23:EH23))</f>
        <v>0</v>
      </c>
      <c r="L23" s="11"/>
      <c r="O23" s="12"/>
      <c r="P23" s="12"/>
      <c r="Q23" s="12"/>
      <c r="R23" s="12"/>
      <c r="V23" s="12"/>
      <c r="W23" s="12">
        <v>0.3</v>
      </c>
      <c r="X23" s="12"/>
      <c r="Y23" s="12">
        <v>0.3</v>
      </c>
      <c r="AC23" s="12"/>
      <c r="AD23" s="12">
        <v>0.5</v>
      </c>
      <c r="AE23" s="12"/>
      <c r="AF23" s="12">
        <v>0.5</v>
      </c>
      <c r="AJ23" s="12"/>
      <c r="AK23" s="12">
        <v>0.8</v>
      </c>
      <c r="AL23" s="12"/>
      <c r="AM23" s="12">
        <v>0.8</v>
      </c>
      <c r="AP23">
        <v>2</v>
      </c>
      <c r="AQ23" s="12"/>
      <c r="AR23" s="12">
        <v>1</v>
      </c>
      <c r="AS23" s="12"/>
      <c r="AT23" s="12">
        <v>1</v>
      </c>
      <c r="AX23" s="12"/>
      <c r="AY23" s="12"/>
      <c r="AZ23" s="12"/>
      <c r="BA23" s="12"/>
      <c r="BE23" s="12"/>
      <c r="BF23" s="12"/>
      <c r="BG23" s="12"/>
      <c r="BH23" s="12"/>
      <c r="BL23" s="12"/>
      <c r="BM23" s="12"/>
      <c r="BN23" s="12"/>
      <c r="BO23" s="12"/>
      <c r="BS23" s="12"/>
      <c r="BT23" s="12"/>
      <c r="BU23" s="12"/>
      <c r="BV23" s="12"/>
      <c r="BZ23" s="12"/>
      <c r="CA23" s="12"/>
      <c r="CB23" s="12"/>
      <c r="CC23" s="12"/>
      <c r="CG23" s="12"/>
      <c r="CH23" s="12"/>
      <c r="CI23" s="12"/>
      <c r="CJ23" s="12"/>
      <c r="CN23" s="12"/>
      <c r="CO23" s="12">
        <v>1</v>
      </c>
      <c r="CP23" s="12"/>
      <c r="CQ23" s="12">
        <v>1</v>
      </c>
      <c r="CU23" s="12"/>
      <c r="CV23" s="12"/>
      <c r="CW23" s="12"/>
      <c r="CX23" s="12"/>
      <c r="DB23" s="12"/>
      <c r="DC23" s="12"/>
      <c r="DD23" s="12"/>
      <c r="DE23" s="12"/>
      <c r="DI23" s="12"/>
      <c r="DJ23" s="12"/>
      <c r="DK23" s="12"/>
      <c r="DL23" s="12"/>
      <c r="DP23" s="12"/>
      <c r="DQ23" s="12"/>
      <c r="DR23" s="12"/>
      <c r="DS23" s="12"/>
      <c r="DW23" s="12"/>
      <c r="DX23" s="12"/>
      <c r="DY23" s="12"/>
      <c r="DZ23" s="12"/>
      <c r="ED23" s="12"/>
      <c r="EE23" s="12"/>
      <c r="EF23" s="12"/>
      <c r="EG23" s="12"/>
      <c r="EK23" s="12"/>
      <c r="EL23" s="12"/>
      <c r="EM23" s="12"/>
      <c r="EN23" s="12"/>
    </row>
    <row r="24" spans="2:144" ht="15.75" customHeight="1" outlineLevel="1">
      <c r="B24" t="s">
        <v>28</v>
      </c>
      <c r="C24" t="s">
        <v>107</v>
      </c>
      <c r="E24" s="11"/>
      <c r="F24" t="s">
        <v>108</v>
      </c>
      <c r="G24" s="12">
        <v>0.1</v>
      </c>
      <c r="I24" s="11">
        <f t="shared" si="1"/>
        <v>2</v>
      </c>
      <c r="J24" s="13" cm="1">
        <f t="array" ref="J24">MAX(IF($N$3:$EH$3=$J$3,N24:EH24))</f>
        <v>0</v>
      </c>
      <c r="K24" s="13" cm="1">
        <f t="array" ref="K24">MAX(IF($N$3:$EH$3=$J$3,N24:EH24))</f>
        <v>0</v>
      </c>
      <c r="L24" s="11"/>
      <c r="O24" s="12"/>
      <c r="P24" s="12"/>
      <c r="Q24" s="12"/>
      <c r="R24" s="12"/>
      <c r="V24" s="12"/>
      <c r="W24" s="12">
        <v>0.3</v>
      </c>
      <c r="X24" s="12"/>
      <c r="Y24" s="12">
        <v>0.3</v>
      </c>
      <c r="AC24" s="12"/>
      <c r="AD24" s="12">
        <v>0.5</v>
      </c>
      <c r="AE24" s="12"/>
      <c r="AF24" s="12">
        <v>0.5</v>
      </c>
      <c r="AJ24" s="12"/>
      <c r="AK24" s="12">
        <v>0.8</v>
      </c>
      <c r="AL24" s="12"/>
      <c r="AM24" s="12">
        <v>0.8</v>
      </c>
      <c r="AP24">
        <v>2</v>
      </c>
      <c r="AQ24" s="12"/>
      <c r="AR24" s="12">
        <v>1</v>
      </c>
      <c r="AS24" s="12"/>
      <c r="AT24" s="12">
        <v>1</v>
      </c>
      <c r="AX24" s="12"/>
      <c r="AY24" s="12"/>
      <c r="AZ24" s="12"/>
      <c r="BA24" s="12"/>
      <c r="BE24" s="12"/>
      <c r="BF24" s="12"/>
      <c r="BG24" s="12"/>
      <c r="BH24" s="12"/>
      <c r="BL24" s="12"/>
      <c r="BM24" s="12"/>
      <c r="BN24" s="12"/>
      <c r="BO24" s="12"/>
      <c r="BS24" s="12"/>
      <c r="BT24" s="12"/>
      <c r="BU24" s="12"/>
      <c r="BV24" s="12"/>
      <c r="BZ24" s="12"/>
      <c r="CA24" s="12"/>
      <c r="CB24" s="12"/>
      <c r="CC24" s="12"/>
      <c r="CG24" s="12"/>
      <c r="CH24" s="12"/>
      <c r="CI24" s="12"/>
      <c r="CJ24" s="12"/>
      <c r="CN24" s="12"/>
      <c r="CO24" s="12">
        <v>1</v>
      </c>
      <c r="CP24" s="12"/>
      <c r="CQ24" s="12">
        <v>1</v>
      </c>
      <c r="CU24" s="12"/>
      <c r="CV24" s="12"/>
      <c r="CW24" s="12"/>
      <c r="CX24" s="12"/>
      <c r="DB24" s="12"/>
      <c r="DC24" s="12"/>
      <c r="DD24" s="12"/>
      <c r="DE24" s="12"/>
      <c r="DI24" s="12"/>
      <c r="DJ24" s="12"/>
      <c r="DK24" s="12"/>
      <c r="DL24" s="12"/>
      <c r="DP24" s="12"/>
      <c r="DQ24" s="12"/>
      <c r="DR24" s="12"/>
      <c r="DS24" s="12"/>
      <c r="DW24" s="12"/>
      <c r="DX24" s="12"/>
      <c r="DY24" s="12"/>
      <c r="DZ24" s="12"/>
      <c r="ED24" s="12"/>
      <c r="EE24" s="12"/>
      <c r="EF24" s="12"/>
      <c r="EG24" s="12"/>
      <c r="EK24" s="12"/>
      <c r="EL24" s="12"/>
      <c r="EM24" s="12"/>
      <c r="EN24" s="12"/>
    </row>
    <row r="26" spans="2:144">
      <c r="B26" t="s">
        <v>27</v>
      </c>
      <c r="C26" t="s">
        <v>61</v>
      </c>
      <c r="D26" s="19">
        <v>44570</v>
      </c>
      <c r="E26" s="11">
        <v>7</v>
      </c>
      <c r="G26" s="12">
        <f>+SUM(G27:G36)</f>
        <v>0.79999999999999993</v>
      </c>
      <c r="I26" s="14">
        <f>+SUM(I27:I36)</f>
        <v>18</v>
      </c>
      <c r="J26" s="13">
        <f>+SUMPRODUCT(G27:G36,J27:J36)</f>
        <v>0</v>
      </c>
      <c r="K26" s="13">
        <f>+SUMPRODUCT(G27:G36,K27:K36)</f>
        <v>0</v>
      </c>
      <c r="L26" s="11"/>
      <c r="N26" s="14"/>
      <c r="U26" s="14">
        <f>+SUM(U27:U36)</f>
        <v>2</v>
      </c>
      <c r="AB26" s="14">
        <f>+SUM(AB27:AB36)</f>
        <v>4</v>
      </c>
      <c r="AI26" s="14">
        <f>+SUM(AI27:AI36)</f>
        <v>0</v>
      </c>
      <c r="AP26" s="14">
        <f>+SUM(AP27:AP36)</f>
        <v>12</v>
      </c>
    </row>
    <row r="27" spans="2:144" ht="15.75" customHeight="1" outlineLevel="1">
      <c r="B27" t="s">
        <v>28</v>
      </c>
      <c r="C27" t="s">
        <v>61</v>
      </c>
      <c r="E27" s="11"/>
      <c r="F27" t="s">
        <v>51</v>
      </c>
      <c r="G27" s="12">
        <v>0.1</v>
      </c>
      <c r="I27" s="11">
        <f t="shared" ref="I27:I36" si="2">+SUMIF($N$3:$ZZ$3,I$3,$N27:$ZZ27)</f>
        <v>6</v>
      </c>
      <c r="J27" s="13" cm="1">
        <f t="array" ref="J27">MAX(IF($N$3:$EH$3=$J$3,N27:EH27))</f>
        <v>0</v>
      </c>
      <c r="K27" s="13" cm="1">
        <f t="array" ref="K27">MAX(IF($N$3:$EH$3=$J$3,N27:EH27))</f>
        <v>0</v>
      </c>
      <c r="L27" s="11"/>
      <c r="O27" s="12"/>
      <c r="P27" s="12"/>
      <c r="Q27" s="12"/>
      <c r="R27" s="12"/>
      <c r="U27">
        <v>2</v>
      </c>
      <c r="V27" s="12"/>
      <c r="W27" s="12">
        <v>0.8</v>
      </c>
      <c r="X27" s="12"/>
      <c r="Y27" s="12">
        <v>0.8</v>
      </c>
      <c r="AB27">
        <v>4</v>
      </c>
      <c r="AC27" s="12"/>
      <c r="AD27" s="12">
        <v>1</v>
      </c>
      <c r="AE27" s="12"/>
      <c r="AF27" s="12">
        <v>1</v>
      </c>
      <c r="AJ27" s="12"/>
      <c r="AK27" s="12">
        <v>1</v>
      </c>
      <c r="AL27" s="12"/>
      <c r="AM27" s="12">
        <v>1</v>
      </c>
      <c r="AP27">
        <v>0</v>
      </c>
      <c r="AQ27" s="12"/>
      <c r="AR27" s="12">
        <v>1</v>
      </c>
      <c r="AS27" s="12"/>
      <c r="AT27" s="12">
        <v>1</v>
      </c>
      <c r="AX27" s="12"/>
      <c r="AY27" s="12"/>
      <c r="AZ27" s="12"/>
      <c r="BA27" s="12"/>
      <c r="BE27" s="12"/>
      <c r="BF27" s="12"/>
      <c r="BG27" s="12"/>
      <c r="BH27" s="12"/>
      <c r="BL27" s="12"/>
      <c r="BM27" s="12"/>
      <c r="BN27" s="12"/>
      <c r="BO27" s="12"/>
      <c r="BS27" s="12"/>
      <c r="BT27" s="12"/>
      <c r="BU27" s="12"/>
      <c r="BV27" s="12"/>
      <c r="BZ27" s="12"/>
      <c r="CA27" s="12"/>
      <c r="CB27" s="12"/>
      <c r="CC27" s="12"/>
      <c r="CG27" s="12"/>
      <c r="CH27" s="12"/>
      <c r="CI27" s="12"/>
      <c r="CJ27" s="12"/>
      <c r="CN27" s="12"/>
      <c r="CO27" s="12">
        <v>1</v>
      </c>
      <c r="CP27" s="12"/>
      <c r="CQ27" s="12"/>
      <c r="CU27" s="12"/>
      <c r="CV27" s="12"/>
      <c r="CW27" s="12"/>
      <c r="CX27" s="12"/>
      <c r="DB27" s="12"/>
      <c r="DC27" s="12"/>
      <c r="DD27" s="12"/>
      <c r="DE27" s="12"/>
      <c r="DI27" s="12"/>
      <c r="DJ27" s="12"/>
      <c r="DK27" s="12"/>
      <c r="DL27" s="12"/>
      <c r="DP27" s="12"/>
      <c r="DQ27" s="12"/>
      <c r="DR27" s="12"/>
      <c r="DS27" s="12"/>
      <c r="DW27" s="12"/>
      <c r="DX27" s="12"/>
      <c r="DY27" s="12"/>
      <c r="DZ27" s="12"/>
      <c r="ED27" s="12"/>
      <c r="EE27" s="12"/>
      <c r="EF27" s="12"/>
      <c r="EG27" s="12"/>
      <c r="EK27" s="12"/>
      <c r="EL27" s="12"/>
      <c r="EM27" s="12"/>
      <c r="EN27" s="12"/>
    </row>
    <row r="28" spans="2:144" ht="15.75" customHeight="1" outlineLevel="1">
      <c r="B28" t="s">
        <v>28</v>
      </c>
      <c r="C28" t="s">
        <v>61</v>
      </c>
      <c r="E28" s="11"/>
      <c r="F28" t="s">
        <v>52</v>
      </c>
      <c r="G28" s="12">
        <v>0.05</v>
      </c>
      <c r="I28" s="11">
        <f t="shared" si="2"/>
        <v>0</v>
      </c>
      <c r="J28" s="13" cm="1">
        <f t="array" ref="J28">MAX(IF($N$3:$EH$3=$J$3,N28:EH28))</f>
        <v>0</v>
      </c>
      <c r="K28" s="13" cm="1">
        <f t="array" ref="K28">MAX(IF($N$3:$EH$3=$J$3,N28:EH28))</f>
        <v>0</v>
      </c>
      <c r="L28" s="11"/>
      <c r="O28" s="12"/>
      <c r="P28" s="12"/>
      <c r="Q28" s="12"/>
      <c r="R28" s="12"/>
      <c r="V28" s="12"/>
      <c r="W28" s="12">
        <v>0.8</v>
      </c>
      <c r="X28" s="12"/>
      <c r="Y28" s="12">
        <v>0.8</v>
      </c>
      <c r="AC28" s="12"/>
      <c r="AD28" s="12">
        <v>1</v>
      </c>
      <c r="AE28" s="12"/>
      <c r="AF28" s="12">
        <v>1</v>
      </c>
      <c r="AJ28" s="12"/>
      <c r="AK28" s="12">
        <v>1</v>
      </c>
      <c r="AL28" s="12"/>
      <c r="AM28" s="12">
        <v>1</v>
      </c>
      <c r="AP28">
        <v>0</v>
      </c>
      <c r="AQ28" s="12"/>
      <c r="AR28" s="12">
        <v>1</v>
      </c>
      <c r="AS28" s="12"/>
      <c r="AT28" s="12">
        <v>1</v>
      </c>
      <c r="AX28" s="12"/>
      <c r="AY28" s="12"/>
      <c r="AZ28" s="12"/>
      <c r="BA28" s="12"/>
      <c r="BE28" s="12"/>
      <c r="BF28" s="12"/>
      <c r="BG28" s="12"/>
      <c r="BH28" s="12"/>
      <c r="BL28" s="12"/>
      <c r="BM28" s="12"/>
      <c r="BN28" s="12"/>
      <c r="BO28" s="12"/>
      <c r="BS28" s="12"/>
      <c r="BT28" s="12"/>
      <c r="BU28" s="12"/>
      <c r="BV28" s="12"/>
      <c r="BZ28" s="12"/>
      <c r="CA28" s="12"/>
      <c r="CB28" s="12"/>
      <c r="CC28" s="12"/>
      <c r="CG28" s="12"/>
      <c r="CH28" s="12"/>
      <c r="CI28" s="12"/>
      <c r="CJ28" s="12"/>
      <c r="CN28" s="12"/>
      <c r="CO28" s="12">
        <v>1</v>
      </c>
      <c r="CP28" s="12"/>
      <c r="CQ28" s="12"/>
      <c r="CU28" s="12"/>
      <c r="CV28" s="12"/>
      <c r="CW28" s="12"/>
      <c r="CX28" s="12"/>
      <c r="DB28" s="12"/>
      <c r="DC28" s="12"/>
      <c r="DD28" s="12"/>
      <c r="DE28" s="12"/>
      <c r="DI28" s="12"/>
      <c r="DJ28" s="12"/>
      <c r="DK28" s="12"/>
      <c r="DL28" s="12"/>
      <c r="DP28" s="12"/>
      <c r="DQ28" s="12"/>
      <c r="DR28" s="12"/>
      <c r="DS28" s="12"/>
      <c r="DW28" s="12"/>
      <c r="DX28" s="12"/>
      <c r="DY28" s="12"/>
      <c r="DZ28" s="12"/>
      <c r="ED28" s="12"/>
      <c r="EE28" s="12"/>
      <c r="EF28" s="12"/>
      <c r="EG28" s="12"/>
      <c r="EK28" s="12"/>
      <c r="EL28" s="12"/>
      <c r="EM28" s="12"/>
      <c r="EN28" s="12"/>
    </row>
    <row r="29" spans="2:144" ht="15.75" customHeight="1" outlineLevel="1">
      <c r="B29" t="s">
        <v>28</v>
      </c>
      <c r="C29" t="s">
        <v>61</v>
      </c>
      <c r="E29" s="11"/>
      <c r="F29" t="s">
        <v>53</v>
      </c>
      <c r="G29" s="12">
        <v>0.05</v>
      </c>
      <c r="I29" s="11">
        <f t="shared" si="2"/>
        <v>0</v>
      </c>
      <c r="J29" s="13" cm="1">
        <f t="array" ref="J29">MAX(IF($N$3:$EH$3=$J$3,N29:EH29))</f>
        <v>0</v>
      </c>
      <c r="K29" s="13" cm="1">
        <f t="array" ref="K29">MAX(IF($N$3:$EH$3=$J$3,N29:EH29))</f>
        <v>0</v>
      </c>
      <c r="L29" s="11"/>
      <c r="O29" s="12"/>
      <c r="P29" s="12"/>
      <c r="Q29" s="12"/>
      <c r="R29" s="12"/>
      <c r="V29" s="12"/>
      <c r="W29" s="12">
        <v>0.5</v>
      </c>
      <c r="X29" s="12"/>
      <c r="Y29" s="12">
        <v>0.5</v>
      </c>
      <c r="AC29" s="12"/>
      <c r="AD29" s="12">
        <v>0.8</v>
      </c>
      <c r="AE29" s="12"/>
      <c r="AF29" s="12">
        <v>0.8</v>
      </c>
      <c r="AJ29" s="12"/>
      <c r="AK29" s="12">
        <v>1</v>
      </c>
      <c r="AL29" s="12"/>
      <c r="AM29" s="12">
        <v>1</v>
      </c>
      <c r="AP29">
        <v>0</v>
      </c>
      <c r="AQ29" s="12"/>
      <c r="AR29" s="12">
        <v>1</v>
      </c>
      <c r="AS29" s="12"/>
      <c r="AT29" s="12">
        <v>1</v>
      </c>
      <c r="AX29" s="12"/>
      <c r="AY29" s="12"/>
      <c r="AZ29" s="12"/>
      <c r="BA29" s="12"/>
      <c r="BE29" s="12"/>
      <c r="BF29" s="12"/>
      <c r="BG29" s="12"/>
      <c r="BH29" s="12"/>
      <c r="BL29" s="12"/>
      <c r="BM29" s="12"/>
      <c r="BN29" s="12"/>
      <c r="BO29" s="12"/>
      <c r="BS29" s="12"/>
      <c r="BT29" s="12"/>
      <c r="BU29" s="12"/>
      <c r="BV29" s="12"/>
      <c r="BZ29" s="12"/>
      <c r="CA29" s="12"/>
      <c r="CB29" s="12"/>
      <c r="CC29" s="12"/>
      <c r="CG29" s="12"/>
      <c r="CH29" s="12"/>
      <c r="CI29" s="12"/>
      <c r="CJ29" s="12"/>
      <c r="CN29" s="12"/>
      <c r="CO29" s="12">
        <v>1</v>
      </c>
      <c r="CP29" s="12"/>
      <c r="CQ29" s="12"/>
      <c r="CU29" s="12"/>
      <c r="CV29" s="12"/>
      <c r="CW29" s="12"/>
      <c r="CX29" s="12"/>
      <c r="DB29" s="12"/>
      <c r="DC29" s="12"/>
      <c r="DD29" s="12"/>
      <c r="DE29" s="12"/>
      <c r="DI29" s="12"/>
      <c r="DJ29" s="12"/>
      <c r="DK29" s="12"/>
      <c r="DL29" s="12"/>
      <c r="DP29" s="12"/>
      <c r="DQ29" s="12"/>
      <c r="DR29" s="12"/>
      <c r="DS29" s="12"/>
      <c r="DW29" s="12"/>
      <c r="DX29" s="12"/>
      <c r="DY29" s="12"/>
      <c r="DZ29" s="12"/>
      <c r="ED29" s="12"/>
      <c r="EE29" s="12"/>
      <c r="EF29" s="12"/>
      <c r="EG29" s="12"/>
      <c r="EK29" s="12"/>
      <c r="EL29" s="12"/>
      <c r="EM29" s="12"/>
      <c r="EN29" s="12"/>
    </row>
    <row r="30" spans="2:144" ht="15.75" customHeight="1" outlineLevel="1">
      <c r="B30" t="s">
        <v>28</v>
      </c>
      <c r="C30" t="s">
        <v>61</v>
      </c>
      <c r="E30" s="11"/>
      <c r="F30" t="s">
        <v>54</v>
      </c>
      <c r="G30" s="12">
        <v>0.05</v>
      </c>
      <c r="I30" s="11">
        <f t="shared" si="2"/>
        <v>0</v>
      </c>
      <c r="J30" s="13" cm="1">
        <f t="array" ref="J30">MAX(IF($N$3:$EH$3=$J$3,N30:EH30))</f>
        <v>0</v>
      </c>
      <c r="K30" s="13" cm="1">
        <f t="array" ref="K30">MAX(IF($N$3:$EH$3=$J$3,N30:EH30))</f>
        <v>0</v>
      </c>
      <c r="L30" s="11"/>
      <c r="O30" s="12"/>
      <c r="P30" s="12"/>
      <c r="Q30" s="12"/>
      <c r="R30" s="12"/>
      <c r="V30" s="12"/>
      <c r="W30" s="12">
        <v>0.5</v>
      </c>
      <c r="X30" s="12"/>
      <c r="Y30" s="12">
        <v>0.5</v>
      </c>
      <c r="AC30" s="12"/>
      <c r="AD30" s="12">
        <v>0.8</v>
      </c>
      <c r="AE30" s="12"/>
      <c r="AF30" s="12">
        <v>0.8</v>
      </c>
      <c r="AJ30" s="12"/>
      <c r="AK30" s="12">
        <v>1</v>
      </c>
      <c r="AL30" s="12"/>
      <c r="AM30" s="12">
        <v>1</v>
      </c>
      <c r="AP30">
        <v>0</v>
      </c>
      <c r="AQ30" s="12"/>
      <c r="AR30" s="12">
        <v>1</v>
      </c>
      <c r="AS30" s="12"/>
      <c r="AT30" s="12">
        <v>1</v>
      </c>
      <c r="AX30" s="12"/>
      <c r="AY30" s="12"/>
      <c r="AZ30" s="12"/>
      <c r="BA30" s="12"/>
      <c r="BE30" s="12"/>
      <c r="BF30" s="12"/>
      <c r="BG30" s="12"/>
      <c r="BH30" s="12"/>
      <c r="BL30" s="12"/>
      <c r="BM30" s="12"/>
      <c r="BN30" s="12"/>
      <c r="BO30" s="12"/>
      <c r="BS30" s="12"/>
      <c r="BT30" s="12"/>
      <c r="BU30" s="12"/>
      <c r="BV30" s="12"/>
      <c r="BZ30" s="12"/>
      <c r="CA30" s="12"/>
      <c r="CB30" s="12"/>
      <c r="CC30" s="12"/>
      <c r="CG30" s="12"/>
      <c r="CH30" s="12"/>
      <c r="CI30" s="12"/>
      <c r="CJ30" s="12"/>
      <c r="CN30" s="12"/>
      <c r="CO30" s="12">
        <v>1</v>
      </c>
      <c r="CP30" s="12"/>
      <c r="CQ30" s="12"/>
      <c r="CU30" s="12"/>
      <c r="CV30" s="12"/>
      <c r="CW30" s="12"/>
      <c r="CX30" s="12"/>
      <c r="DB30" s="12"/>
      <c r="DC30" s="12"/>
      <c r="DD30" s="12"/>
      <c r="DE30" s="12"/>
      <c r="DI30" s="12"/>
      <c r="DJ30" s="12"/>
      <c r="DK30" s="12"/>
      <c r="DL30" s="12"/>
      <c r="DP30" s="12"/>
      <c r="DQ30" s="12"/>
      <c r="DR30" s="12"/>
      <c r="DS30" s="12"/>
      <c r="DW30" s="12"/>
      <c r="DX30" s="12"/>
      <c r="DY30" s="12"/>
      <c r="DZ30" s="12"/>
      <c r="ED30" s="12"/>
      <c r="EE30" s="12"/>
      <c r="EF30" s="12"/>
      <c r="EG30" s="12"/>
      <c r="EK30" s="12"/>
      <c r="EL30" s="12"/>
      <c r="EM30" s="12"/>
      <c r="EN30" s="12"/>
    </row>
    <row r="31" spans="2:144" ht="15.75" customHeight="1" outlineLevel="1">
      <c r="B31" t="s">
        <v>28</v>
      </c>
      <c r="C31" t="s">
        <v>61</v>
      </c>
      <c r="E31" s="11"/>
      <c r="F31" t="s">
        <v>55</v>
      </c>
      <c r="G31" s="12">
        <v>0.05</v>
      </c>
      <c r="I31" s="11">
        <f t="shared" si="2"/>
        <v>0</v>
      </c>
      <c r="J31" s="13" cm="1">
        <f t="array" ref="J31">MAX(IF($N$3:$EH$3=$J$3,N31:EH31))</f>
        <v>0</v>
      </c>
      <c r="K31" s="13" cm="1">
        <f t="array" ref="K31">MAX(IF($N$3:$EH$3=$J$3,N31:EH31))</f>
        <v>0</v>
      </c>
      <c r="L31" s="11"/>
      <c r="O31" s="12"/>
      <c r="P31" s="12"/>
      <c r="Q31" s="12"/>
      <c r="R31" s="12"/>
      <c r="V31" s="12"/>
      <c r="W31" s="12">
        <v>0.5</v>
      </c>
      <c r="X31" s="12"/>
      <c r="Y31" s="12">
        <v>0.5</v>
      </c>
      <c r="AC31" s="12"/>
      <c r="AD31" s="12">
        <v>0.8</v>
      </c>
      <c r="AE31" s="12"/>
      <c r="AF31" s="12">
        <v>0.8</v>
      </c>
      <c r="AJ31" s="12"/>
      <c r="AK31" s="12">
        <v>1</v>
      </c>
      <c r="AL31" s="12"/>
      <c r="AM31" s="12">
        <v>1</v>
      </c>
      <c r="AP31">
        <v>0</v>
      </c>
      <c r="AQ31" s="12"/>
      <c r="AR31" s="12">
        <v>1</v>
      </c>
      <c r="AS31" s="12"/>
      <c r="AT31" s="12">
        <v>1</v>
      </c>
      <c r="AX31" s="12"/>
      <c r="AY31" s="12"/>
      <c r="AZ31" s="12"/>
      <c r="BA31" s="12"/>
      <c r="BE31" s="12"/>
      <c r="BF31" s="12"/>
      <c r="BG31" s="12"/>
      <c r="BH31" s="12"/>
      <c r="BL31" s="12"/>
      <c r="BM31" s="12"/>
      <c r="BN31" s="12"/>
      <c r="BO31" s="12"/>
      <c r="BS31" s="12"/>
      <c r="BT31" s="12"/>
      <c r="BU31" s="12"/>
      <c r="BV31" s="12"/>
      <c r="BZ31" s="12"/>
      <c r="CA31" s="12"/>
      <c r="CB31" s="12"/>
      <c r="CC31" s="12"/>
      <c r="CG31" s="12"/>
      <c r="CH31" s="12"/>
      <c r="CI31" s="12"/>
      <c r="CJ31" s="12"/>
      <c r="CN31" s="12"/>
      <c r="CO31" s="12">
        <v>1</v>
      </c>
      <c r="CP31" s="12"/>
      <c r="CQ31" s="12"/>
      <c r="CU31" s="12"/>
      <c r="CV31" s="12"/>
      <c r="CW31" s="12"/>
      <c r="CX31" s="12"/>
      <c r="DB31" s="12"/>
      <c r="DC31" s="12"/>
      <c r="DD31" s="12"/>
      <c r="DE31" s="12"/>
      <c r="DI31" s="12"/>
      <c r="DJ31" s="12"/>
      <c r="DK31" s="12"/>
      <c r="DL31" s="12"/>
      <c r="DP31" s="12"/>
      <c r="DQ31" s="12"/>
      <c r="DR31" s="12"/>
      <c r="DS31" s="12"/>
      <c r="DW31" s="12"/>
      <c r="DX31" s="12"/>
      <c r="DY31" s="12"/>
      <c r="DZ31" s="12"/>
      <c r="ED31" s="12"/>
      <c r="EE31" s="12"/>
      <c r="EF31" s="12"/>
      <c r="EG31" s="12"/>
      <c r="EK31" s="12"/>
      <c r="EL31" s="12"/>
      <c r="EM31" s="12"/>
      <c r="EN31" s="12"/>
    </row>
    <row r="32" spans="2:144" ht="15.75" customHeight="1" outlineLevel="1">
      <c r="B32" t="s">
        <v>28</v>
      </c>
      <c r="C32" t="s">
        <v>61</v>
      </c>
      <c r="E32" s="11"/>
      <c r="F32" t="s">
        <v>56</v>
      </c>
      <c r="G32" s="12">
        <v>0.1</v>
      </c>
      <c r="I32" s="11">
        <f t="shared" si="2"/>
        <v>2</v>
      </c>
      <c r="J32" s="13" cm="1">
        <f t="array" ref="J32">MAX(IF($N$3:$EH$3=$J$3,N32:EH32))</f>
        <v>0</v>
      </c>
      <c r="K32" s="13" cm="1">
        <f t="array" ref="K32">MAX(IF($N$3:$EH$3=$J$3,N32:EH32))</f>
        <v>0</v>
      </c>
      <c r="L32" s="11"/>
      <c r="O32" s="12"/>
      <c r="P32" s="12"/>
      <c r="Q32" s="12"/>
      <c r="R32" s="12"/>
      <c r="V32" s="12"/>
      <c r="W32" s="12">
        <v>0.3</v>
      </c>
      <c r="X32" s="12"/>
      <c r="Y32" s="12">
        <v>0.3</v>
      </c>
      <c r="AC32" s="12"/>
      <c r="AD32" s="12">
        <v>0.5</v>
      </c>
      <c r="AE32" s="12"/>
      <c r="AF32" s="12">
        <v>0.5</v>
      </c>
      <c r="AJ32" s="12"/>
      <c r="AK32" s="12">
        <v>0.8</v>
      </c>
      <c r="AL32" s="12"/>
      <c r="AM32" s="12">
        <v>0.8</v>
      </c>
      <c r="AP32">
        <v>2</v>
      </c>
      <c r="AQ32" s="12"/>
      <c r="AR32" s="12">
        <v>1</v>
      </c>
      <c r="AS32" s="12"/>
      <c r="AT32" s="12">
        <v>1</v>
      </c>
      <c r="AX32" s="12"/>
      <c r="AY32" s="12"/>
      <c r="AZ32" s="12"/>
      <c r="BA32" s="12"/>
      <c r="BE32" s="12"/>
      <c r="BF32" s="12"/>
      <c r="BG32" s="12"/>
      <c r="BH32" s="12"/>
      <c r="BL32" s="12"/>
      <c r="BM32" s="12"/>
      <c r="BN32" s="12"/>
      <c r="BO32" s="12"/>
      <c r="BS32" s="12"/>
      <c r="BT32" s="12"/>
      <c r="BU32" s="12"/>
      <c r="BV32" s="12"/>
      <c r="BZ32" s="12"/>
      <c r="CA32" s="12"/>
      <c r="CB32" s="12"/>
      <c r="CC32" s="12"/>
      <c r="CG32" s="12"/>
      <c r="CH32" s="12"/>
      <c r="CI32" s="12"/>
      <c r="CJ32" s="12"/>
      <c r="CN32" s="12"/>
      <c r="CO32" s="12">
        <v>1</v>
      </c>
      <c r="CP32" s="12"/>
      <c r="CQ32" s="12"/>
      <c r="CU32" s="12"/>
      <c r="CV32" s="12"/>
      <c r="CW32" s="12"/>
      <c r="CX32" s="12"/>
      <c r="DB32" s="12"/>
      <c r="DC32" s="12"/>
      <c r="DD32" s="12"/>
      <c r="DE32" s="12"/>
      <c r="DI32" s="12"/>
      <c r="DJ32" s="12"/>
      <c r="DK32" s="12"/>
      <c r="DL32" s="12"/>
      <c r="DP32" s="12"/>
      <c r="DQ32" s="12"/>
      <c r="DR32" s="12"/>
      <c r="DS32" s="12"/>
      <c r="DW32" s="12"/>
      <c r="DX32" s="12"/>
      <c r="DY32" s="12"/>
      <c r="DZ32" s="12"/>
      <c r="ED32" s="12"/>
      <c r="EE32" s="12"/>
      <c r="EF32" s="12"/>
      <c r="EG32" s="12"/>
      <c r="EK32" s="12"/>
      <c r="EL32" s="12"/>
      <c r="EM32" s="12"/>
      <c r="EN32" s="12"/>
    </row>
    <row r="33" spans="2:144" ht="15.75" customHeight="1" outlineLevel="1">
      <c r="B33" t="s">
        <v>28</v>
      </c>
      <c r="C33" t="s">
        <v>61</v>
      </c>
      <c r="E33" s="11"/>
      <c r="F33" t="s">
        <v>57</v>
      </c>
      <c r="G33" s="12">
        <v>0.1</v>
      </c>
      <c r="I33" s="11">
        <f t="shared" si="2"/>
        <v>2</v>
      </c>
      <c r="J33" s="13" cm="1">
        <f t="array" ref="J33">MAX(IF($N$3:$EH$3=$J$3,N33:EH33))</f>
        <v>0</v>
      </c>
      <c r="K33" s="13" cm="1">
        <f t="array" ref="K33">MAX(IF($N$3:$EH$3=$J$3,N33:EH33))</f>
        <v>0</v>
      </c>
      <c r="L33" s="11"/>
      <c r="O33" s="12"/>
      <c r="P33" s="12"/>
      <c r="Q33" s="12"/>
      <c r="R33" s="12"/>
      <c r="V33" s="12"/>
      <c r="W33" s="12">
        <v>0.3</v>
      </c>
      <c r="X33" s="12"/>
      <c r="Y33" s="12">
        <v>0.3</v>
      </c>
      <c r="AC33" s="12"/>
      <c r="AD33" s="12">
        <v>0.5</v>
      </c>
      <c r="AE33" s="12"/>
      <c r="AF33" s="12">
        <v>0.5</v>
      </c>
      <c r="AJ33" s="12"/>
      <c r="AK33" s="12">
        <v>0.8</v>
      </c>
      <c r="AL33" s="12"/>
      <c r="AM33" s="12">
        <v>0.8</v>
      </c>
      <c r="AP33">
        <v>2</v>
      </c>
      <c r="AQ33" s="12"/>
      <c r="AR33" s="12">
        <v>1</v>
      </c>
      <c r="AS33" s="12"/>
      <c r="AT33" s="12">
        <v>1</v>
      </c>
      <c r="AX33" s="12"/>
      <c r="AY33" s="12"/>
      <c r="AZ33" s="12"/>
      <c r="BA33" s="12"/>
      <c r="BE33" s="12"/>
      <c r="BF33" s="12"/>
      <c r="BG33" s="12"/>
      <c r="BH33" s="12"/>
      <c r="BL33" s="12"/>
      <c r="BM33" s="12"/>
      <c r="BN33" s="12"/>
      <c r="BO33" s="12"/>
      <c r="BS33" s="12"/>
      <c r="BT33" s="12"/>
      <c r="BU33" s="12"/>
      <c r="BV33" s="12"/>
      <c r="BZ33" s="12"/>
      <c r="CA33" s="12"/>
      <c r="CB33" s="12"/>
      <c r="CC33" s="12"/>
      <c r="CG33" s="12"/>
      <c r="CH33" s="12"/>
      <c r="CI33" s="12"/>
      <c r="CJ33" s="12"/>
      <c r="CN33" s="12"/>
      <c r="CO33" s="12">
        <v>1</v>
      </c>
      <c r="CP33" s="12"/>
      <c r="CQ33" s="12"/>
      <c r="CU33" s="12"/>
      <c r="CV33" s="12"/>
      <c r="CW33" s="12"/>
      <c r="CX33" s="12"/>
      <c r="DB33" s="12"/>
      <c r="DC33" s="12"/>
      <c r="DD33" s="12"/>
      <c r="DE33" s="12"/>
      <c r="DI33" s="12"/>
      <c r="DJ33" s="12"/>
      <c r="DK33" s="12"/>
      <c r="DL33" s="12"/>
      <c r="DP33" s="12"/>
      <c r="DQ33" s="12"/>
      <c r="DR33" s="12"/>
      <c r="DS33" s="12"/>
      <c r="DW33" s="12"/>
      <c r="DX33" s="12"/>
      <c r="DY33" s="12"/>
      <c r="DZ33" s="12"/>
      <c r="ED33" s="12"/>
      <c r="EE33" s="12"/>
      <c r="EF33" s="12"/>
      <c r="EG33" s="12"/>
      <c r="EK33" s="12"/>
      <c r="EL33" s="12"/>
      <c r="EM33" s="12"/>
      <c r="EN33" s="12"/>
    </row>
    <row r="34" spans="2:144" ht="15.75" customHeight="1" outlineLevel="1">
      <c r="B34" t="s">
        <v>28</v>
      </c>
      <c r="C34" t="s">
        <v>61</v>
      </c>
      <c r="E34" s="11"/>
      <c r="F34" t="s">
        <v>58</v>
      </c>
      <c r="G34" s="12">
        <v>0.1</v>
      </c>
      <c r="I34" s="11">
        <f t="shared" si="2"/>
        <v>2</v>
      </c>
      <c r="J34" s="13" cm="1">
        <f t="array" ref="J34">MAX(IF($N$3:$EH$3=$J$3,N34:EH34))</f>
        <v>0</v>
      </c>
      <c r="K34" s="13" cm="1">
        <f t="array" ref="K34">MAX(IF($N$3:$EH$3=$J$3,N34:EH34))</f>
        <v>0</v>
      </c>
      <c r="L34" s="11"/>
      <c r="O34" s="12"/>
      <c r="P34" s="12"/>
      <c r="Q34" s="12"/>
      <c r="R34" s="12"/>
      <c r="V34" s="12"/>
      <c r="W34" s="12"/>
      <c r="X34" s="12"/>
      <c r="Y34" s="12"/>
      <c r="AC34" s="12"/>
      <c r="AD34" s="12">
        <v>0.5</v>
      </c>
      <c r="AE34" s="12"/>
      <c r="AF34" s="12">
        <v>0.5</v>
      </c>
      <c r="AJ34" s="12"/>
      <c r="AK34" s="12">
        <v>0.8</v>
      </c>
      <c r="AL34" s="12"/>
      <c r="AM34" s="12">
        <v>0.8</v>
      </c>
      <c r="AP34">
        <v>2</v>
      </c>
      <c r="AQ34" s="12"/>
      <c r="AR34" s="12">
        <v>1</v>
      </c>
      <c r="AS34" s="12"/>
      <c r="AT34" s="12">
        <v>1</v>
      </c>
      <c r="AX34" s="12"/>
      <c r="AY34" s="12"/>
      <c r="AZ34" s="12"/>
      <c r="BA34" s="12"/>
      <c r="BE34" s="12"/>
      <c r="BF34" s="12"/>
      <c r="BG34" s="12"/>
      <c r="BH34" s="12"/>
      <c r="BL34" s="12"/>
      <c r="BM34" s="12"/>
      <c r="BN34" s="12"/>
      <c r="BO34" s="12"/>
      <c r="BS34" s="12"/>
      <c r="BT34" s="12"/>
      <c r="BU34" s="12"/>
      <c r="BV34" s="12"/>
      <c r="BZ34" s="12"/>
      <c r="CA34" s="12"/>
      <c r="CB34" s="12"/>
      <c r="CC34" s="12"/>
      <c r="CG34" s="12"/>
      <c r="CH34" s="12"/>
      <c r="CI34" s="12"/>
      <c r="CJ34" s="12"/>
      <c r="CN34" s="12"/>
      <c r="CO34" s="12">
        <v>1</v>
      </c>
      <c r="CP34" s="12"/>
      <c r="CQ34" s="12"/>
      <c r="CU34" s="12"/>
      <c r="CV34" s="12"/>
      <c r="CW34" s="12"/>
      <c r="CX34" s="12"/>
      <c r="DB34" s="12"/>
      <c r="DC34" s="12"/>
      <c r="DD34" s="12"/>
      <c r="DE34" s="12"/>
      <c r="DI34" s="12"/>
      <c r="DJ34" s="12"/>
      <c r="DK34" s="12"/>
      <c r="DL34" s="12"/>
      <c r="DP34" s="12"/>
      <c r="DQ34" s="12"/>
      <c r="DR34" s="12"/>
      <c r="DS34" s="12"/>
      <c r="DW34" s="12"/>
      <c r="DX34" s="12"/>
      <c r="DY34" s="12"/>
      <c r="DZ34" s="12"/>
      <c r="ED34" s="12"/>
      <c r="EE34" s="12"/>
      <c r="EF34" s="12"/>
      <c r="EG34" s="12"/>
      <c r="EK34" s="12"/>
      <c r="EL34" s="12"/>
      <c r="EM34" s="12"/>
      <c r="EN34" s="12"/>
    </row>
    <row r="35" spans="2:144" ht="15.75" customHeight="1" outlineLevel="1">
      <c r="B35" t="s">
        <v>28</v>
      </c>
      <c r="C35" t="s">
        <v>61</v>
      </c>
      <c r="E35" s="11"/>
      <c r="F35" t="s">
        <v>59</v>
      </c>
      <c r="G35" s="12">
        <v>0.1</v>
      </c>
      <c r="I35" s="11">
        <f t="shared" si="2"/>
        <v>2</v>
      </c>
      <c r="J35" s="13" cm="1">
        <f t="array" ref="J35">MAX(IF($N$3:$EH$3=$J$3,N35:EH35))</f>
        <v>0</v>
      </c>
      <c r="K35" s="13" cm="1">
        <f t="array" ref="K35">MAX(IF($N$3:$EH$3=$J$3,N35:EH35))</f>
        <v>0</v>
      </c>
      <c r="L35" s="11"/>
      <c r="O35" s="12"/>
      <c r="P35" s="12"/>
      <c r="Q35" s="12"/>
      <c r="R35" s="12"/>
      <c r="V35" s="12"/>
      <c r="W35" s="12"/>
      <c r="X35" s="12"/>
      <c r="Y35" s="12"/>
      <c r="AC35" s="12"/>
      <c r="AD35" s="12">
        <v>0.5</v>
      </c>
      <c r="AE35" s="12"/>
      <c r="AF35" s="12">
        <v>0.5</v>
      </c>
      <c r="AJ35" s="12"/>
      <c r="AK35" s="12">
        <v>0.8</v>
      </c>
      <c r="AL35" s="12"/>
      <c r="AM35" s="12">
        <v>0.8</v>
      </c>
      <c r="AP35">
        <v>2</v>
      </c>
      <c r="AQ35" s="12"/>
      <c r="AR35" s="12">
        <v>1</v>
      </c>
      <c r="AS35" s="12"/>
      <c r="AT35" s="12">
        <v>1</v>
      </c>
      <c r="AX35" s="12"/>
      <c r="AY35" s="12"/>
      <c r="AZ35" s="12"/>
      <c r="BA35" s="12"/>
      <c r="BE35" s="12"/>
      <c r="BF35" s="12"/>
      <c r="BG35" s="12"/>
      <c r="BH35" s="12"/>
      <c r="BL35" s="12"/>
      <c r="BM35" s="12"/>
      <c r="BN35" s="12"/>
      <c r="BO35" s="12"/>
      <c r="BS35" s="12"/>
      <c r="BT35" s="12"/>
      <c r="BU35" s="12"/>
      <c r="BV35" s="12"/>
      <c r="BZ35" s="12"/>
      <c r="CA35" s="12"/>
      <c r="CB35" s="12"/>
      <c r="CC35" s="12"/>
      <c r="CG35" s="12"/>
      <c r="CH35" s="12"/>
      <c r="CI35" s="12"/>
      <c r="CJ35" s="12"/>
      <c r="CN35" s="12"/>
      <c r="CO35" s="12">
        <v>1</v>
      </c>
      <c r="CP35" s="12"/>
      <c r="CQ35" s="12"/>
      <c r="CU35" s="12"/>
      <c r="CV35" s="12"/>
      <c r="CW35" s="12"/>
      <c r="CX35" s="12"/>
      <c r="DB35" s="12"/>
      <c r="DC35" s="12"/>
      <c r="DD35" s="12"/>
      <c r="DE35" s="12"/>
      <c r="DI35" s="12"/>
      <c r="DJ35" s="12"/>
      <c r="DK35" s="12"/>
      <c r="DL35" s="12"/>
      <c r="DP35" s="12"/>
      <c r="DQ35" s="12"/>
      <c r="DR35" s="12"/>
      <c r="DS35" s="12"/>
      <c r="DW35" s="12"/>
      <c r="DX35" s="12"/>
      <c r="DY35" s="12"/>
      <c r="DZ35" s="12"/>
      <c r="ED35" s="12"/>
      <c r="EE35" s="12"/>
      <c r="EF35" s="12"/>
      <c r="EG35" s="12"/>
      <c r="EK35" s="12"/>
      <c r="EL35" s="12"/>
      <c r="EM35" s="12"/>
      <c r="EN35" s="12"/>
    </row>
    <row r="36" spans="2:144" ht="15.75" customHeight="1" outlineLevel="1">
      <c r="B36" t="s">
        <v>28</v>
      </c>
      <c r="C36" t="s">
        <v>61</v>
      </c>
      <c r="E36" s="11"/>
      <c r="F36" t="s">
        <v>60</v>
      </c>
      <c r="G36" s="12">
        <v>0.1</v>
      </c>
      <c r="I36" s="11">
        <f t="shared" si="2"/>
        <v>4</v>
      </c>
      <c r="J36" s="13" cm="1">
        <f t="array" ref="J36">MAX(IF($N$3:$EH$3=$J$3,N36:EH36))</f>
        <v>0</v>
      </c>
      <c r="K36" s="13" cm="1">
        <f t="array" ref="K36">MAX(IF($N$3:$EH$3=$J$3,N36:EH36))</f>
        <v>0</v>
      </c>
      <c r="L36" s="11"/>
      <c r="O36" s="12"/>
      <c r="P36" s="12"/>
      <c r="Q36" s="12"/>
      <c r="R36" s="12"/>
      <c r="V36" s="12"/>
      <c r="W36" s="12"/>
      <c r="X36" s="12"/>
      <c r="Y36" s="12"/>
      <c r="AC36" s="12"/>
      <c r="AD36" s="12">
        <v>0.3</v>
      </c>
      <c r="AE36" s="12"/>
      <c r="AF36" s="12">
        <v>0.3</v>
      </c>
      <c r="AJ36" s="12"/>
      <c r="AK36" s="12">
        <v>0.5</v>
      </c>
      <c r="AL36" s="12"/>
      <c r="AM36" s="12">
        <v>0.5</v>
      </c>
      <c r="AP36">
        <v>4</v>
      </c>
      <c r="AQ36" s="12"/>
      <c r="AR36" s="12">
        <v>1</v>
      </c>
      <c r="AS36" s="12"/>
      <c r="AT36" s="12">
        <v>1</v>
      </c>
      <c r="AX36" s="12"/>
      <c r="AY36" s="12"/>
      <c r="AZ36" s="12"/>
      <c r="BA36" s="12"/>
      <c r="BE36" s="12"/>
      <c r="BF36" s="12"/>
      <c r="BG36" s="12"/>
      <c r="BH36" s="12"/>
      <c r="BL36" s="12"/>
      <c r="BM36" s="12"/>
      <c r="BN36" s="12"/>
      <c r="BO36" s="12"/>
      <c r="BS36" s="12"/>
      <c r="BT36" s="12"/>
      <c r="BU36" s="12"/>
      <c r="BV36" s="12"/>
      <c r="BZ36" s="12"/>
      <c r="CA36" s="12"/>
      <c r="CB36" s="12"/>
      <c r="CC36" s="12"/>
      <c r="CG36" s="12"/>
      <c r="CH36" s="12"/>
      <c r="CI36" s="12"/>
      <c r="CJ36" s="12"/>
      <c r="CN36" s="12"/>
      <c r="CO36" s="12">
        <v>1</v>
      </c>
      <c r="CP36" s="12"/>
      <c r="CQ36" s="12"/>
      <c r="CU36" s="12"/>
      <c r="CV36" s="12"/>
      <c r="CW36" s="12"/>
      <c r="CX36" s="12"/>
      <c r="DB36" s="12"/>
      <c r="DC36" s="12"/>
      <c r="DD36" s="12"/>
      <c r="DE36" s="12"/>
      <c r="DI36" s="12"/>
      <c r="DJ36" s="12"/>
      <c r="DK36" s="12"/>
      <c r="DL36" s="12"/>
      <c r="DP36" s="12"/>
      <c r="DQ36" s="12"/>
      <c r="DR36" s="12"/>
      <c r="DS36" s="12"/>
      <c r="DW36" s="12"/>
      <c r="DX36" s="12"/>
      <c r="DY36" s="12"/>
      <c r="DZ36" s="12"/>
      <c r="ED36" s="12"/>
      <c r="EE36" s="12"/>
      <c r="EF36" s="12"/>
      <c r="EG36" s="12"/>
      <c r="EK36" s="12"/>
      <c r="EL36" s="12"/>
      <c r="EM36" s="12"/>
      <c r="EN36" s="12"/>
    </row>
    <row r="38" spans="2:144">
      <c r="B38" t="s">
        <v>27</v>
      </c>
      <c r="C38" s="22" t="s">
        <v>62</v>
      </c>
      <c r="D38" s="19" t="s">
        <v>112</v>
      </c>
      <c r="E38" s="11">
        <v>5</v>
      </c>
      <c r="G38" s="12">
        <f>+SUM(G39:G48)</f>
        <v>0.79999999999999993</v>
      </c>
      <c r="I38" s="14">
        <f>+SUM(I39:I48)</f>
        <v>18</v>
      </c>
      <c r="J38" s="13">
        <f>+SUMPRODUCT(G39:G48,J39:J48)</f>
        <v>0</v>
      </c>
      <c r="K38" s="13">
        <f>+SUMPRODUCT(G39:G48,K39:K48)</f>
        <v>0</v>
      </c>
      <c r="L38" s="11"/>
      <c r="N38" s="14"/>
      <c r="U38" s="14">
        <f>+SUM(U39:U48)</f>
        <v>2</v>
      </c>
      <c r="AB38" s="14">
        <f>+SUM(AB39:AB48)</f>
        <v>4</v>
      </c>
      <c r="AI38" s="14">
        <f>+SUM(AI39:AI48)</f>
        <v>0</v>
      </c>
      <c r="AP38" s="14">
        <f>+SUM(AP39:AP48)</f>
        <v>12</v>
      </c>
    </row>
    <row r="39" spans="2:144" outlineLevel="1">
      <c r="B39" t="s">
        <v>28</v>
      </c>
      <c r="C39" t="s">
        <v>62</v>
      </c>
      <c r="E39" s="11"/>
      <c r="F39" t="s">
        <v>51</v>
      </c>
      <c r="G39" s="12">
        <v>0.1</v>
      </c>
      <c r="I39" s="11">
        <f t="shared" ref="I39:I48" si="3">+SUMIF($N$3:$ZZ$3,I$3,$N39:$ZZ39)</f>
        <v>6</v>
      </c>
      <c r="J39" s="13" cm="1">
        <f t="array" ref="J39">MAX(IF($N$3:$EH$3=$J$3,N39:EH39))</f>
        <v>0</v>
      </c>
      <c r="K39" s="13" cm="1">
        <f t="array" ref="K39">MAX(IF($N$3:$EH$3=$J$3,N39:EH39))</f>
        <v>0</v>
      </c>
      <c r="L39" s="11"/>
      <c r="O39" s="12"/>
      <c r="P39" s="12"/>
      <c r="Q39" s="12"/>
      <c r="R39" s="12"/>
      <c r="U39">
        <v>2</v>
      </c>
      <c r="V39" s="12"/>
      <c r="W39" s="12">
        <v>0.8</v>
      </c>
      <c r="X39" s="12"/>
      <c r="Y39" s="12">
        <v>0.8</v>
      </c>
      <c r="AB39">
        <v>4</v>
      </c>
      <c r="AC39" s="12"/>
      <c r="AD39" s="12">
        <v>1</v>
      </c>
      <c r="AE39" s="12"/>
      <c r="AF39" s="12">
        <v>1</v>
      </c>
      <c r="AJ39" s="12"/>
      <c r="AK39" s="12">
        <v>1</v>
      </c>
      <c r="AL39" s="12"/>
      <c r="AM39" s="12">
        <v>1</v>
      </c>
      <c r="AP39">
        <v>0</v>
      </c>
      <c r="AQ39" s="12"/>
      <c r="AR39" s="12">
        <v>1</v>
      </c>
      <c r="AS39" s="12"/>
      <c r="AT39" s="12">
        <v>1</v>
      </c>
      <c r="AX39" s="12"/>
      <c r="AY39" s="12"/>
      <c r="AZ39" s="12"/>
      <c r="BA39" s="12"/>
      <c r="BE39" s="12"/>
      <c r="BF39" s="12"/>
      <c r="BG39" s="12"/>
      <c r="BH39" s="12"/>
      <c r="BL39" s="12"/>
      <c r="BM39" s="12"/>
      <c r="BN39" s="12"/>
      <c r="BO39" s="12"/>
      <c r="BS39" s="12"/>
      <c r="BT39" s="12"/>
      <c r="BU39" s="12"/>
      <c r="BV39" s="12"/>
      <c r="BZ39" s="12"/>
      <c r="CA39" s="12"/>
      <c r="CB39" s="12"/>
      <c r="CC39" s="12"/>
      <c r="CG39" s="12"/>
      <c r="CH39" s="12"/>
      <c r="CI39" s="12"/>
      <c r="CJ39" s="12"/>
      <c r="CN39" s="12"/>
      <c r="CO39" s="12"/>
      <c r="CP39" s="12"/>
      <c r="CQ39" s="12"/>
      <c r="CU39" s="12"/>
      <c r="CV39" s="12"/>
      <c r="CW39" s="12"/>
      <c r="CX39" s="12"/>
      <c r="DB39" s="12"/>
      <c r="DC39" s="12"/>
      <c r="DD39" s="12"/>
      <c r="DE39" s="12"/>
      <c r="DI39" s="12"/>
      <c r="DJ39" s="12"/>
      <c r="DK39" s="12"/>
      <c r="DL39" s="12"/>
      <c r="DP39" s="12"/>
      <c r="DQ39" s="12"/>
      <c r="DR39" s="12"/>
      <c r="DS39" s="12"/>
      <c r="DW39" s="12"/>
      <c r="DX39" s="12"/>
      <c r="DY39" s="12"/>
      <c r="DZ39" s="12"/>
      <c r="ED39" s="12"/>
      <c r="EE39" s="12"/>
      <c r="EF39" s="12"/>
      <c r="EG39" s="12"/>
      <c r="EK39" s="12"/>
      <c r="EL39" s="12"/>
      <c r="EM39" s="12"/>
      <c r="EN39" s="12"/>
    </row>
    <row r="40" spans="2:144" outlineLevel="1">
      <c r="B40" t="s">
        <v>28</v>
      </c>
      <c r="C40" t="s">
        <v>62</v>
      </c>
      <c r="E40" s="11"/>
      <c r="F40" t="s">
        <v>52</v>
      </c>
      <c r="G40" s="12">
        <v>0.05</v>
      </c>
      <c r="I40" s="11">
        <f t="shared" si="3"/>
        <v>0</v>
      </c>
      <c r="J40" s="13" cm="1">
        <f t="array" ref="J40">MAX(IF($N$3:$EH$3=$J$3,N40:EH40))</f>
        <v>0</v>
      </c>
      <c r="K40" s="13" cm="1">
        <f t="array" ref="K40">MAX(IF($N$3:$EH$3=$J$3,N40:EH40))</f>
        <v>0</v>
      </c>
      <c r="L40" s="11"/>
      <c r="O40" s="12"/>
      <c r="P40" s="12"/>
      <c r="Q40" s="12"/>
      <c r="R40" s="12"/>
      <c r="V40" s="12"/>
      <c r="W40" s="12">
        <v>0.8</v>
      </c>
      <c r="X40" s="12"/>
      <c r="Y40" s="12">
        <v>0.8</v>
      </c>
      <c r="AC40" s="12"/>
      <c r="AD40" s="12">
        <v>1</v>
      </c>
      <c r="AE40" s="12"/>
      <c r="AF40" s="12">
        <v>1</v>
      </c>
      <c r="AJ40" s="12"/>
      <c r="AK40" s="12">
        <v>1</v>
      </c>
      <c r="AL40" s="12"/>
      <c r="AM40" s="12">
        <v>1</v>
      </c>
      <c r="AP40">
        <v>0</v>
      </c>
      <c r="AQ40" s="12"/>
      <c r="AR40" s="12">
        <v>1</v>
      </c>
      <c r="AS40" s="12"/>
      <c r="AT40" s="12">
        <v>1</v>
      </c>
      <c r="AX40" s="12"/>
      <c r="AY40" s="12"/>
      <c r="AZ40" s="12"/>
      <c r="BA40" s="12"/>
      <c r="BE40" s="12"/>
      <c r="BF40" s="12"/>
      <c r="BG40" s="12"/>
      <c r="BH40" s="12"/>
      <c r="BL40" s="12"/>
      <c r="BM40" s="12"/>
      <c r="BN40" s="12"/>
      <c r="BO40" s="12"/>
      <c r="BS40" s="12"/>
      <c r="BT40" s="12"/>
      <c r="BU40" s="12"/>
      <c r="BV40" s="12"/>
      <c r="BZ40" s="12"/>
      <c r="CA40" s="12"/>
      <c r="CB40" s="12"/>
      <c r="CC40" s="12"/>
      <c r="CG40" s="12"/>
      <c r="CH40" s="12"/>
      <c r="CI40" s="12"/>
      <c r="CJ40" s="12"/>
      <c r="CN40" s="12"/>
      <c r="CO40" s="12"/>
      <c r="CP40" s="12"/>
      <c r="CQ40" s="12"/>
      <c r="CU40" s="12"/>
      <c r="CV40" s="12"/>
      <c r="CW40" s="12"/>
      <c r="CX40" s="12"/>
      <c r="DB40" s="12"/>
      <c r="DC40" s="12"/>
      <c r="DD40" s="12"/>
      <c r="DE40" s="12"/>
      <c r="DI40" s="12"/>
      <c r="DJ40" s="12"/>
      <c r="DK40" s="12"/>
      <c r="DL40" s="12"/>
      <c r="DP40" s="12"/>
      <c r="DQ40" s="12"/>
      <c r="DR40" s="12"/>
      <c r="DS40" s="12"/>
      <c r="DW40" s="12"/>
      <c r="DX40" s="12"/>
      <c r="DY40" s="12"/>
      <c r="DZ40" s="12"/>
      <c r="ED40" s="12"/>
      <c r="EE40" s="12"/>
      <c r="EF40" s="12"/>
      <c r="EG40" s="12"/>
      <c r="EK40" s="12"/>
      <c r="EL40" s="12"/>
      <c r="EM40" s="12"/>
      <c r="EN40" s="12"/>
    </row>
    <row r="41" spans="2:144" outlineLevel="1">
      <c r="B41" t="s">
        <v>28</v>
      </c>
      <c r="C41" t="s">
        <v>62</v>
      </c>
      <c r="E41" s="11"/>
      <c r="F41" t="s">
        <v>53</v>
      </c>
      <c r="G41" s="12">
        <v>0.05</v>
      </c>
      <c r="I41" s="11">
        <f t="shared" si="3"/>
        <v>0</v>
      </c>
      <c r="J41" s="13" cm="1">
        <f t="array" ref="J41">MAX(IF($N$3:$EH$3=$J$3,N41:EH41))</f>
        <v>0</v>
      </c>
      <c r="K41" s="13" cm="1">
        <f t="array" ref="K41">MAX(IF($N$3:$EH$3=$J$3,N41:EH41))</f>
        <v>0</v>
      </c>
      <c r="L41" s="11"/>
      <c r="O41" s="12"/>
      <c r="P41" s="12"/>
      <c r="Q41" s="12"/>
      <c r="R41" s="12"/>
      <c r="V41" s="12"/>
      <c r="W41" s="12">
        <v>0.5</v>
      </c>
      <c r="X41" s="12"/>
      <c r="Y41" s="12">
        <v>0.5</v>
      </c>
      <c r="AC41" s="12"/>
      <c r="AD41" s="12">
        <v>0.8</v>
      </c>
      <c r="AE41" s="12"/>
      <c r="AF41" s="12">
        <v>0.8</v>
      </c>
      <c r="AJ41" s="12"/>
      <c r="AK41" s="12">
        <v>1</v>
      </c>
      <c r="AL41" s="12"/>
      <c r="AM41" s="12">
        <v>1</v>
      </c>
      <c r="AP41">
        <v>0</v>
      </c>
      <c r="AQ41" s="12"/>
      <c r="AR41" s="12">
        <v>1</v>
      </c>
      <c r="AS41" s="12"/>
      <c r="AT41" s="12">
        <v>1</v>
      </c>
      <c r="AX41" s="12"/>
      <c r="AY41" s="12"/>
      <c r="AZ41" s="12"/>
      <c r="BA41" s="12"/>
      <c r="BE41" s="12"/>
      <c r="BF41" s="12"/>
      <c r="BG41" s="12"/>
      <c r="BH41" s="12"/>
      <c r="BL41" s="12"/>
      <c r="BM41" s="12"/>
      <c r="BN41" s="12"/>
      <c r="BO41" s="12"/>
      <c r="BS41" s="12"/>
      <c r="BT41" s="12"/>
      <c r="BU41" s="12"/>
      <c r="BV41" s="12"/>
      <c r="BZ41" s="12"/>
      <c r="CA41" s="12"/>
      <c r="CB41" s="12"/>
      <c r="CC41" s="12"/>
      <c r="CG41" s="12"/>
      <c r="CH41" s="12"/>
      <c r="CI41" s="12"/>
      <c r="CJ41" s="12"/>
      <c r="CN41" s="12"/>
      <c r="CO41" s="12"/>
      <c r="CP41" s="12"/>
      <c r="CQ41" s="12"/>
      <c r="CU41" s="12"/>
      <c r="CV41" s="12"/>
      <c r="CW41" s="12"/>
      <c r="CX41" s="12"/>
      <c r="DB41" s="12"/>
      <c r="DC41" s="12"/>
      <c r="DD41" s="12"/>
      <c r="DE41" s="12"/>
      <c r="DI41" s="12"/>
      <c r="DJ41" s="12"/>
      <c r="DK41" s="12"/>
      <c r="DL41" s="12"/>
      <c r="DP41" s="12"/>
      <c r="DQ41" s="12"/>
      <c r="DR41" s="12"/>
      <c r="DS41" s="12"/>
      <c r="DW41" s="12"/>
      <c r="DX41" s="12"/>
      <c r="DY41" s="12"/>
      <c r="DZ41" s="12"/>
      <c r="ED41" s="12"/>
      <c r="EE41" s="12"/>
      <c r="EF41" s="12"/>
      <c r="EG41" s="12"/>
      <c r="EK41" s="12"/>
      <c r="EL41" s="12"/>
      <c r="EM41" s="12"/>
      <c r="EN41" s="12"/>
    </row>
    <row r="42" spans="2:144" outlineLevel="1">
      <c r="B42" t="s">
        <v>28</v>
      </c>
      <c r="C42" t="s">
        <v>62</v>
      </c>
      <c r="E42" s="11"/>
      <c r="F42" t="s">
        <v>54</v>
      </c>
      <c r="G42" s="12">
        <v>0.05</v>
      </c>
      <c r="I42" s="11">
        <f t="shared" si="3"/>
        <v>0</v>
      </c>
      <c r="J42" s="13" cm="1">
        <f t="array" ref="J42">MAX(IF($N$3:$EH$3=$J$3,N42:EH42))</f>
        <v>0</v>
      </c>
      <c r="K42" s="13" cm="1">
        <f t="array" ref="K42">MAX(IF($N$3:$EH$3=$J$3,N42:EH42))</f>
        <v>0</v>
      </c>
      <c r="L42" s="11"/>
      <c r="O42" s="12"/>
      <c r="P42" s="12"/>
      <c r="Q42" s="12"/>
      <c r="R42" s="12"/>
      <c r="V42" s="12"/>
      <c r="W42" s="12">
        <v>0.5</v>
      </c>
      <c r="X42" s="12"/>
      <c r="Y42" s="12">
        <v>0.5</v>
      </c>
      <c r="AC42" s="12"/>
      <c r="AD42" s="12">
        <v>0.8</v>
      </c>
      <c r="AE42" s="12"/>
      <c r="AF42" s="12">
        <v>0.8</v>
      </c>
      <c r="AJ42" s="12"/>
      <c r="AK42" s="12">
        <v>1</v>
      </c>
      <c r="AL42" s="12"/>
      <c r="AM42" s="12">
        <v>1</v>
      </c>
      <c r="AP42">
        <v>0</v>
      </c>
      <c r="AQ42" s="12"/>
      <c r="AR42" s="12">
        <v>1</v>
      </c>
      <c r="AS42" s="12"/>
      <c r="AT42" s="12">
        <v>1</v>
      </c>
      <c r="AX42" s="12"/>
      <c r="AY42" s="12"/>
      <c r="AZ42" s="12"/>
      <c r="BA42" s="12"/>
      <c r="BE42" s="12"/>
      <c r="BF42" s="12"/>
      <c r="BG42" s="12"/>
      <c r="BH42" s="12"/>
      <c r="BL42" s="12"/>
      <c r="BM42" s="12"/>
      <c r="BN42" s="12"/>
      <c r="BO42" s="12"/>
      <c r="BS42" s="12"/>
      <c r="BT42" s="12"/>
      <c r="BU42" s="12"/>
      <c r="BV42" s="12"/>
      <c r="BZ42" s="12"/>
      <c r="CA42" s="12"/>
      <c r="CB42" s="12"/>
      <c r="CC42" s="12"/>
      <c r="CG42" s="12"/>
      <c r="CH42" s="12"/>
      <c r="CI42" s="12"/>
      <c r="CJ42" s="12"/>
      <c r="CN42" s="12"/>
      <c r="CO42" s="12"/>
      <c r="CP42" s="12"/>
      <c r="CQ42" s="12"/>
      <c r="CU42" s="12"/>
      <c r="CV42" s="12"/>
      <c r="CW42" s="12"/>
      <c r="CX42" s="12"/>
      <c r="DB42" s="12"/>
      <c r="DC42" s="12"/>
      <c r="DD42" s="12"/>
      <c r="DE42" s="12"/>
      <c r="DI42" s="12"/>
      <c r="DJ42" s="12"/>
      <c r="DK42" s="12"/>
      <c r="DL42" s="12"/>
      <c r="DP42" s="12"/>
      <c r="DQ42" s="12"/>
      <c r="DR42" s="12"/>
      <c r="DS42" s="12"/>
      <c r="DW42" s="12"/>
      <c r="DX42" s="12"/>
      <c r="DY42" s="12"/>
      <c r="DZ42" s="12"/>
      <c r="ED42" s="12"/>
      <c r="EE42" s="12"/>
      <c r="EF42" s="12"/>
      <c r="EG42" s="12"/>
      <c r="EK42" s="12"/>
      <c r="EL42" s="12"/>
      <c r="EM42" s="12"/>
      <c r="EN42" s="12"/>
    </row>
    <row r="43" spans="2:144" outlineLevel="1">
      <c r="B43" t="s">
        <v>28</v>
      </c>
      <c r="C43" t="s">
        <v>62</v>
      </c>
      <c r="E43" s="11"/>
      <c r="F43" t="s">
        <v>55</v>
      </c>
      <c r="G43" s="12">
        <v>0.05</v>
      </c>
      <c r="I43" s="11">
        <f t="shared" si="3"/>
        <v>0</v>
      </c>
      <c r="J43" s="13" cm="1">
        <f t="array" ref="J43">MAX(IF($N$3:$EH$3=$J$3,N43:EH43))</f>
        <v>0</v>
      </c>
      <c r="K43" s="13" cm="1">
        <f t="array" ref="K43">MAX(IF($N$3:$EH$3=$J$3,N43:EH43))</f>
        <v>0</v>
      </c>
      <c r="L43" s="11"/>
      <c r="O43" s="12"/>
      <c r="P43" s="12"/>
      <c r="Q43" s="12"/>
      <c r="R43" s="12"/>
      <c r="V43" s="12"/>
      <c r="W43" s="12">
        <v>0.5</v>
      </c>
      <c r="X43" s="12"/>
      <c r="Y43" s="12">
        <v>0.5</v>
      </c>
      <c r="AC43" s="12"/>
      <c r="AD43" s="12">
        <v>0.8</v>
      </c>
      <c r="AE43" s="12"/>
      <c r="AF43" s="12">
        <v>0.8</v>
      </c>
      <c r="AJ43" s="12"/>
      <c r="AK43" s="12">
        <v>1</v>
      </c>
      <c r="AL43" s="12"/>
      <c r="AM43" s="12">
        <v>1</v>
      </c>
      <c r="AP43">
        <v>0</v>
      </c>
      <c r="AQ43" s="12"/>
      <c r="AR43" s="12">
        <v>1</v>
      </c>
      <c r="AS43" s="12"/>
      <c r="AT43" s="12">
        <v>1</v>
      </c>
      <c r="AX43" s="12"/>
      <c r="AY43" s="12"/>
      <c r="AZ43" s="12"/>
      <c r="BA43" s="12"/>
      <c r="BE43" s="12"/>
      <c r="BF43" s="12"/>
      <c r="BG43" s="12"/>
      <c r="BH43" s="12"/>
      <c r="BL43" s="12"/>
      <c r="BM43" s="12"/>
      <c r="BN43" s="12"/>
      <c r="BO43" s="12"/>
      <c r="BS43" s="12"/>
      <c r="BT43" s="12"/>
      <c r="BU43" s="12"/>
      <c r="BV43" s="12"/>
      <c r="BZ43" s="12"/>
      <c r="CA43" s="12"/>
      <c r="CB43" s="12"/>
      <c r="CC43" s="12"/>
      <c r="CG43" s="12"/>
      <c r="CH43" s="12"/>
      <c r="CI43" s="12"/>
      <c r="CJ43" s="12"/>
      <c r="CN43" s="12"/>
      <c r="CO43" s="12"/>
      <c r="CP43" s="12"/>
      <c r="CQ43" s="12"/>
      <c r="CU43" s="12"/>
      <c r="CV43" s="12"/>
      <c r="CW43" s="12"/>
      <c r="CX43" s="12"/>
      <c r="DB43" s="12"/>
      <c r="DC43" s="12"/>
      <c r="DD43" s="12"/>
      <c r="DE43" s="12"/>
      <c r="DI43" s="12"/>
      <c r="DJ43" s="12"/>
      <c r="DK43" s="12"/>
      <c r="DL43" s="12"/>
      <c r="DP43" s="12"/>
      <c r="DQ43" s="12"/>
      <c r="DR43" s="12"/>
      <c r="DS43" s="12"/>
      <c r="DW43" s="12"/>
      <c r="DX43" s="12"/>
      <c r="DY43" s="12"/>
      <c r="DZ43" s="12"/>
      <c r="ED43" s="12"/>
      <c r="EE43" s="12"/>
      <c r="EF43" s="12"/>
      <c r="EG43" s="12"/>
      <c r="EK43" s="12"/>
      <c r="EL43" s="12"/>
      <c r="EM43" s="12"/>
      <c r="EN43" s="12"/>
    </row>
    <row r="44" spans="2:144" outlineLevel="1">
      <c r="B44" t="s">
        <v>28</v>
      </c>
      <c r="C44" t="s">
        <v>62</v>
      </c>
      <c r="E44" s="11"/>
      <c r="F44" t="s">
        <v>56</v>
      </c>
      <c r="G44" s="12">
        <v>0.1</v>
      </c>
      <c r="I44" s="11">
        <f t="shared" si="3"/>
        <v>2</v>
      </c>
      <c r="J44" s="13" cm="1">
        <f t="array" ref="J44">MAX(IF($N$3:$EH$3=$J$3,N44:EH44))</f>
        <v>0</v>
      </c>
      <c r="K44" s="13" cm="1">
        <f t="array" ref="K44">MAX(IF($N$3:$EH$3=$J$3,N44:EH44))</f>
        <v>0</v>
      </c>
      <c r="L44" s="11"/>
      <c r="O44" s="12"/>
      <c r="P44" s="12"/>
      <c r="Q44" s="12"/>
      <c r="R44" s="12"/>
      <c r="V44" s="12"/>
      <c r="W44" s="12">
        <v>0.3</v>
      </c>
      <c r="X44" s="12"/>
      <c r="Y44" s="12">
        <v>0.3</v>
      </c>
      <c r="AC44" s="12"/>
      <c r="AD44" s="12">
        <v>0.5</v>
      </c>
      <c r="AE44" s="12"/>
      <c r="AF44" s="12">
        <v>0.5</v>
      </c>
      <c r="AJ44" s="12"/>
      <c r="AK44" s="12">
        <v>0.8</v>
      </c>
      <c r="AL44" s="12"/>
      <c r="AM44" s="12">
        <v>0.8</v>
      </c>
      <c r="AP44">
        <v>2</v>
      </c>
      <c r="AQ44" s="12"/>
      <c r="AR44" s="12">
        <v>1</v>
      </c>
      <c r="AS44" s="12"/>
      <c r="AT44" s="12">
        <v>1</v>
      </c>
      <c r="AX44" s="12"/>
      <c r="AY44" s="12"/>
      <c r="AZ44" s="12"/>
      <c r="BA44" s="12"/>
      <c r="BE44" s="12"/>
      <c r="BF44" s="12"/>
      <c r="BG44" s="12"/>
      <c r="BH44" s="12"/>
      <c r="BL44" s="12"/>
      <c r="BM44" s="12"/>
      <c r="BN44" s="12"/>
      <c r="BO44" s="12"/>
      <c r="BS44" s="12"/>
      <c r="BT44" s="12"/>
      <c r="BU44" s="12"/>
      <c r="BV44" s="12"/>
      <c r="BZ44" s="12"/>
      <c r="CA44" s="12"/>
      <c r="CB44" s="12"/>
      <c r="CC44" s="12"/>
      <c r="CG44" s="12"/>
      <c r="CH44" s="12"/>
      <c r="CI44" s="12"/>
      <c r="CJ44" s="12"/>
      <c r="CN44" s="12"/>
      <c r="CO44" s="12"/>
      <c r="CP44" s="12"/>
      <c r="CQ44" s="12"/>
      <c r="CU44" s="12"/>
      <c r="CV44" s="12"/>
      <c r="CW44" s="12"/>
      <c r="CX44" s="12"/>
      <c r="DB44" s="12"/>
      <c r="DC44" s="12"/>
      <c r="DD44" s="12"/>
      <c r="DE44" s="12"/>
      <c r="DI44" s="12"/>
      <c r="DJ44" s="12"/>
      <c r="DK44" s="12"/>
      <c r="DL44" s="12"/>
      <c r="DP44" s="12"/>
      <c r="DQ44" s="12"/>
      <c r="DR44" s="12"/>
      <c r="DS44" s="12"/>
      <c r="DW44" s="12"/>
      <c r="DX44" s="12"/>
      <c r="DY44" s="12"/>
      <c r="DZ44" s="12"/>
      <c r="ED44" s="12"/>
      <c r="EE44" s="12"/>
      <c r="EF44" s="12"/>
      <c r="EG44" s="12"/>
      <c r="EK44" s="12"/>
      <c r="EL44" s="12"/>
      <c r="EM44" s="12"/>
      <c r="EN44" s="12"/>
    </row>
    <row r="45" spans="2:144" outlineLevel="1">
      <c r="B45" t="s">
        <v>28</v>
      </c>
      <c r="C45" t="s">
        <v>62</v>
      </c>
      <c r="E45" s="11"/>
      <c r="F45" t="s">
        <v>57</v>
      </c>
      <c r="G45" s="12">
        <v>0.1</v>
      </c>
      <c r="I45" s="11">
        <f t="shared" si="3"/>
        <v>2</v>
      </c>
      <c r="J45" s="13" cm="1">
        <f t="array" ref="J45">MAX(IF($N$3:$EH$3=$J$3,N45:EH45))</f>
        <v>0</v>
      </c>
      <c r="K45" s="13" cm="1">
        <f t="array" ref="K45">MAX(IF($N$3:$EH$3=$J$3,N45:EH45))</f>
        <v>0</v>
      </c>
      <c r="L45" s="11"/>
      <c r="O45" s="12"/>
      <c r="P45" s="12"/>
      <c r="Q45" s="12"/>
      <c r="R45" s="12"/>
      <c r="V45" s="12"/>
      <c r="W45" s="12">
        <v>0.3</v>
      </c>
      <c r="X45" s="12"/>
      <c r="Y45" s="12">
        <v>0.3</v>
      </c>
      <c r="AC45" s="12"/>
      <c r="AD45" s="12">
        <v>0.5</v>
      </c>
      <c r="AE45" s="12"/>
      <c r="AF45" s="12">
        <v>0.5</v>
      </c>
      <c r="AJ45" s="12"/>
      <c r="AK45" s="12">
        <v>0.8</v>
      </c>
      <c r="AL45" s="12"/>
      <c r="AM45" s="12">
        <v>0.8</v>
      </c>
      <c r="AP45">
        <v>2</v>
      </c>
      <c r="AQ45" s="12"/>
      <c r="AR45" s="12">
        <v>1</v>
      </c>
      <c r="AS45" s="12"/>
      <c r="AT45" s="12">
        <v>1</v>
      </c>
      <c r="AX45" s="12"/>
      <c r="AY45" s="12"/>
      <c r="AZ45" s="12"/>
      <c r="BA45" s="12"/>
      <c r="BE45" s="12"/>
      <c r="BF45" s="12"/>
      <c r="BG45" s="12"/>
      <c r="BH45" s="12"/>
      <c r="BL45" s="12"/>
      <c r="BM45" s="12"/>
      <c r="BN45" s="12"/>
      <c r="BO45" s="12"/>
      <c r="BS45" s="12"/>
      <c r="BT45" s="12"/>
      <c r="BU45" s="12"/>
      <c r="BV45" s="12"/>
      <c r="BZ45" s="12"/>
      <c r="CA45" s="12"/>
      <c r="CB45" s="12"/>
      <c r="CC45" s="12"/>
      <c r="CG45" s="12"/>
      <c r="CH45" s="12"/>
      <c r="CI45" s="12"/>
      <c r="CJ45" s="12"/>
      <c r="CN45" s="12"/>
      <c r="CO45" s="12"/>
      <c r="CP45" s="12"/>
      <c r="CQ45" s="12"/>
      <c r="CU45" s="12"/>
      <c r="CV45" s="12"/>
      <c r="CW45" s="12"/>
      <c r="CX45" s="12"/>
      <c r="DB45" s="12"/>
      <c r="DC45" s="12"/>
      <c r="DD45" s="12"/>
      <c r="DE45" s="12"/>
      <c r="DI45" s="12"/>
      <c r="DJ45" s="12"/>
      <c r="DK45" s="12"/>
      <c r="DL45" s="12"/>
      <c r="DP45" s="12"/>
      <c r="DQ45" s="12"/>
      <c r="DR45" s="12"/>
      <c r="DS45" s="12"/>
      <c r="DW45" s="12"/>
      <c r="DX45" s="12"/>
      <c r="DY45" s="12"/>
      <c r="DZ45" s="12"/>
      <c r="ED45" s="12"/>
      <c r="EE45" s="12"/>
      <c r="EF45" s="12"/>
      <c r="EG45" s="12"/>
      <c r="EK45" s="12"/>
      <c r="EL45" s="12"/>
      <c r="EM45" s="12"/>
      <c r="EN45" s="12"/>
    </row>
    <row r="46" spans="2:144" outlineLevel="1">
      <c r="B46" t="s">
        <v>28</v>
      </c>
      <c r="C46" t="s">
        <v>62</v>
      </c>
      <c r="E46" s="11"/>
      <c r="F46" t="s">
        <v>58</v>
      </c>
      <c r="G46" s="12">
        <v>0.1</v>
      </c>
      <c r="I46" s="11">
        <f t="shared" si="3"/>
        <v>2</v>
      </c>
      <c r="J46" s="13" cm="1">
        <f t="array" ref="J46">MAX(IF($N$3:$EH$3=$J$3,N46:EH46))</f>
        <v>0</v>
      </c>
      <c r="K46" s="13" cm="1">
        <f t="array" ref="K46">MAX(IF($N$3:$EH$3=$J$3,N46:EH46))</f>
        <v>0</v>
      </c>
      <c r="L46" s="11"/>
      <c r="O46" s="12"/>
      <c r="P46" s="12"/>
      <c r="Q46" s="12"/>
      <c r="R46" s="12"/>
      <c r="V46" s="12"/>
      <c r="W46" s="12"/>
      <c r="X46" s="12"/>
      <c r="Y46" s="12"/>
      <c r="AC46" s="12"/>
      <c r="AD46" s="12">
        <v>0.5</v>
      </c>
      <c r="AE46" s="12"/>
      <c r="AF46" s="12">
        <v>0.5</v>
      </c>
      <c r="AJ46" s="12"/>
      <c r="AK46" s="12">
        <v>0.8</v>
      </c>
      <c r="AL46" s="12"/>
      <c r="AM46" s="12">
        <v>0.8</v>
      </c>
      <c r="AP46">
        <v>2</v>
      </c>
      <c r="AQ46" s="12"/>
      <c r="AR46" s="12">
        <v>1</v>
      </c>
      <c r="AS46" s="12"/>
      <c r="AT46" s="12">
        <v>1</v>
      </c>
      <c r="AX46" s="12"/>
      <c r="AY46" s="12"/>
      <c r="AZ46" s="12"/>
      <c r="BA46" s="12"/>
      <c r="BE46" s="12"/>
      <c r="BF46" s="12"/>
      <c r="BG46" s="12"/>
      <c r="BH46" s="12"/>
      <c r="BL46" s="12"/>
      <c r="BM46" s="12"/>
      <c r="BN46" s="12"/>
      <c r="BO46" s="12"/>
      <c r="BS46" s="12"/>
      <c r="BT46" s="12"/>
      <c r="BU46" s="12"/>
      <c r="BV46" s="12"/>
      <c r="BZ46" s="12"/>
      <c r="CA46" s="12"/>
      <c r="CB46" s="12"/>
      <c r="CC46" s="12"/>
      <c r="CG46" s="12"/>
      <c r="CH46" s="12"/>
      <c r="CI46" s="12"/>
      <c r="CJ46" s="12"/>
      <c r="CN46" s="12"/>
      <c r="CO46" s="12"/>
      <c r="CP46" s="12"/>
      <c r="CQ46" s="12"/>
      <c r="CU46" s="12"/>
      <c r="CV46" s="12"/>
      <c r="CW46" s="12"/>
      <c r="CX46" s="12"/>
      <c r="DB46" s="12"/>
      <c r="DC46" s="12"/>
      <c r="DD46" s="12"/>
      <c r="DE46" s="12"/>
      <c r="DI46" s="12"/>
      <c r="DJ46" s="12"/>
      <c r="DK46" s="12"/>
      <c r="DL46" s="12"/>
      <c r="DP46" s="12"/>
      <c r="DQ46" s="12"/>
      <c r="DR46" s="12"/>
      <c r="DS46" s="12"/>
      <c r="DW46" s="12"/>
      <c r="DX46" s="12"/>
      <c r="DY46" s="12"/>
      <c r="DZ46" s="12"/>
      <c r="ED46" s="12"/>
      <c r="EE46" s="12"/>
      <c r="EF46" s="12"/>
      <c r="EG46" s="12"/>
      <c r="EK46" s="12"/>
      <c r="EL46" s="12"/>
      <c r="EM46" s="12"/>
      <c r="EN46" s="12"/>
    </row>
    <row r="47" spans="2:144" outlineLevel="1">
      <c r="B47" t="s">
        <v>28</v>
      </c>
      <c r="C47" t="s">
        <v>62</v>
      </c>
      <c r="E47" s="11"/>
      <c r="F47" t="s">
        <v>59</v>
      </c>
      <c r="G47" s="12">
        <v>0.1</v>
      </c>
      <c r="I47" s="11">
        <f t="shared" si="3"/>
        <v>2</v>
      </c>
      <c r="J47" s="13" cm="1">
        <f t="array" ref="J47">MAX(IF($N$3:$EH$3=$J$3,N47:EH47))</f>
        <v>0</v>
      </c>
      <c r="K47" s="13" cm="1">
        <f t="array" ref="K47">MAX(IF($N$3:$EH$3=$J$3,N47:EH47))</f>
        <v>0</v>
      </c>
      <c r="L47" s="11"/>
      <c r="O47" s="12"/>
      <c r="P47" s="12"/>
      <c r="Q47" s="12"/>
      <c r="R47" s="12"/>
      <c r="V47" s="12"/>
      <c r="W47" s="12"/>
      <c r="X47" s="12"/>
      <c r="Y47" s="12"/>
      <c r="AC47" s="12"/>
      <c r="AD47" s="12">
        <v>0.5</v>
      </c>
      <c r="AE47" s="12"/>
      <c r="AF47" s="12">
        <v>0.5</v>
      </c>
      <c r="AJ47" s="12"/>
      <c r="AK47" s="12">
        <v>0.8</v>
      </c>
      <c r="AL47" s="12"/>
      <c r="AM47" s="12">
        <v>0.8</v>
      </c>
      <c r="AP47">
        <v>2</v>
      </c>
      <c r="AQ47" s="12"/>
      <c r="AR47" s="12">
        <v>1</v>
      </c>
      <c r="AS47" s="12"/>
      <c r="AT47" s="12">
        <v>1</v>
      </c>
      <c r="AX47" s="12"/>
      <c r="AY47" s="12"/>
      <c r="AZ47" s="12"/>
      <c r="BA47" s="12"/>
      <c r="BE47" s="12"/>
      <c r="BF47" s="12"/>
      <c r="BG47" s="12"/>
      <c r="BH47" s="12"/>
      <c r="BL47" s="12"/>
      <c r="BM47" s="12"/>
      <c r="BN47" s="12"/>
      <c r="BO47" s="12"/>
      <c r="BS47" s="12"/>
      <c r="BT47" s="12"/>
      <c r="BU47" s="12"/>
      <c r="BV47" s="12"/>
      <c r="BZ47" s="12"/>
      <c r="CA47" s="12"/>
      <c r="CB47" s="12"/>
      <c r="CC47" s="12"/>
      <c r="CG47" s="12"/>
      <c r="CH47" s="12"/>
      <c r="CI47" s="12"/>
      <c r="CJ47" s="12"/>
      <c r="CN47" s="12"/>
      <c r="CO47" s="12"/>
      <c r="CP47" s="12"/>
      <c r="CQ47" s="12"/>
      <c r="CU47" s="12"/>
      <c r="CV47" s="12"/>
      <c r="CW47" s="12"/>
      <c r="CX47" s="12"/>
      <c r="DB47" s="12"/>
      <c r="DC47" s="12"/>
      <c r="DD47" s="12"/>
      <c r="DE47" s="12"/>
      <c r="DI47" s="12"/>
      <c r="DJ47" s="12"/>
      <c r="DK47" s="12"/>
      <c r="DL47" s="12"/>
      <c r="DP47" s="12"/>
      <c r="DQ47" s="12"/>
      <c r="DR47" s="12"/>
      <c r="DS47" s="12"/>
      <c r="DW47" s="12"/>
      <c r="DX47" s="12"/>
      <c r="DY47" s="12"/>
      <c r="DZ47" s="12"/>
      <c r="ED47" s="12"/>
      <c r="EE47" s="12"/>
      <c r="EF47" s="12"/>
      <c r="EG47" s="12"/>
      <c r="EK47" s="12"/>
      <c r="EL47" s="12"/>
      <c r="EM47" s="12"/>
      <c r="EN47" s="12"/>
    </row>
    <row r="48" spans="2:144" outlineLevel="1">
      <c r="B48" t="s">
        <v>28</v>
      </c>
      <c r="C48" t="s">
        <v>62</v>
      </c>
      <c r="E48" s="11"/>
      <c r="F48" t="s">
        <v>60</v>
      </c>
      <c r="G48" s="12">
        <v>0.1</v>
      </c>
      <c r="I48" s="11">
        <f t="shared" si="3"/>
        <v>4</v>
      </c>
      <c r="J48" s="13" cm="1">
        <f t="array" ref="J48">MAX(IF($N$3:$EH$3=$J$3,N48:EH48))</f>
        <v>0</v>
      </c>
      <c r="K48" s="13" cm="1">
        <f t="array" ref="K48">MAX(IF($N$3:$EH$3=$J$3,N48:EH48))</f>
        <v>0</v>
      </c>
      <c r="L48" s="11"/>
      <c r="O48" s="12"/>
      <c r="P48" s="12"/>
      <c r="Q48" s="12"/>
      <c r="R48" s="12"/>
      <c r="V48" s="12"/>
      <c r="W48" s="12"/>
      <c r="X48" s="12"/>
      <c r="Y48" s="12"/>
      <c r="AC48" s="12"/>
      <c r="AD48" s="12">
        <v>0.3</v>
      </c>
      <c r="AE48" s="12"/>
      <c r="AF48" s="12">
        <v>0.3</v>
      </c>
      <c r="AJ48" s="12"/>
      <c r="AK48" s="12">
        <v>0.5</v>
      </c>
      <c r="AL48" s="12"/>
      <c r="AM48" s="12">
        <v>0.5</v>
      </c>
      <c r="AP48">
        <v>4</v>
      </c>
      <c r="AQ48" s="12"/>
      <c r="AR48" s="12">
        <v>1</v>
      </c>
      <c r="AS48" s="12"/>
      <c r="AT48" s="12">
        <v>1</v>
      </c>
      <c r="AX48" s="12"/>
      <c r="AY48" s="12"/>
      <c r="AZ48" s="12"/>
      <c r="BA48" s="12"/>
      <c r="BE48" s="12"/>
      <c r="BF48" s="12"/>
      <c r="BG48" s="12"/>
      <c r="BH48" s="12"/>
      <c r="BL48" s="12"/>
      <c r="BM48" s="12"/>
      <c r="BN48" s="12"/>
      <c r="BO48" s="12"/>
      <c r="BS48" s="12"/>
      <c r="BT48" s="12"/>
      <c r="BU48" s="12"/>
      <c r="BV48" s="12"/>
      <c r="BZ48" s="12"/>
      <c r="CA48" s="12"/>
      <c r="CB48" s="12"/>
      <c r="CC48" s="12"/>
      <c r="CG48" s="12"/>
      <c r="CH48" s="12"/>
      <c r="CI48" s="12"/>
      <c r="CJ48" s="12"/>
      <c r="CN48" s="12"/>
      <c r="CO48" s="12"/>
      <c r="CP48" s="12"/>
      <c r="CQ48" s="12"/>
      <c r="CU48" s="12"/>
      <c r="CV48" s="12"/>
      <c r="CW48" s="12"/>
      <c r="CX48" s="12"/>
      <c r="DB48" s="12"/>
      <c r="DC48" s="12"/>
      <c r="DD48" s="12"/>
      <c r="DE48" s="12"/>
      <c r="DI48" s="12"/>
      <c r="DJ48" s="12"/>
      <c r="DK48" s="12"/>
      <c r="DL48" s="12"/>
      <c r="DP48" s="12"/>
      <c r="DQ48" s="12"/>
      <c r="DR48" s="12"/>
      <c r="DS48" s="12"/>
      <c r="DW48" s="12"/>
      <c r="DX48" s="12"/>
      <c r="DY48" s="12"/>
      <c r="DZ48" s="12"/>
      <c r="ED48" s="12"/>
      <c r="EE48" s="12"/>
      <c r="EF48" s="12"/>
      <c r="EG48" s="12"/>
      <c r="EK48" s="12"/>
      <c r="EL48" s="12"/>
      <c r="EM48" s="12"/>
      <c r="EN48" s="12"/>
    </row>
    <row r="50" spans="2:144">
      <c r="B50" t="s">
        <v>27</v>
      </c>
      <c r="C50" s="22" t="s">
        <v>109</v>
      </c>
      <c r="D50" s="19" t="s">
        <v>112</v>
      </c>
      <c r="E50" s="11">
        <v>5</v>
      </c>
      <c r="G50" s="12">
        <f>+SUM(G51:G60)</f>
        <v>0.79999999999999993</v>
      </c>
      <c r="I50" s="14">
        <f>+SUM(I51:I60)</f>
        <v>18</v>
      </c>
      <c r="J50" s="13">
        <f>+SUMPRODUCT(G51:G60,J51:J60)</f>
        <v>0</v>
      </c>
      <c r="K50" s="13">
        <f>+SUMPRODUCT(G51:G60,K51:K60)</f>
        <v>0</v>
      </c>
      <c r="L50" s="11"/>
      <c r="N50" s="14"/>
      <c r="U50" s="14">
        <f>+SUM(U51:U60)</f>
        <v>2</v>
      </c>
      <c r="AB50" s="14">
        <f>+SUM(AB51:AB60)</f>
        <v>4</v>
      </c>
      <c r="AI50" s="14">
        <f>+SUM(AI51:AI60)</f>
        <v>0</v>
      </c>
      <c r="AP50" s="14">
        <f>+SUM(AP51:AP60)</f>
        <v>12</v>
      </c>
    </row>
    <row r="51" spans="2:144" outlineLevel="1">
      <c r="B51" t="s">
        <v>28</v>
      </c>
      <c r="C51" t="s">
        <v>109</v>
      </c>
      <c r="E51" s="11"/>
      <c r="F51" t="s">
        <v>51</v>
      </c>
      <c r="G51" s="12">
        <v>0.1</v>
      </c>
      <c r="I51" s="11">
        <f t="shared" ref="I51:I60" si="4">+SUMIF($N$3:$ZZ$3,I$3,$N51:$ZZ51)</f>
        <v>6</v>
      </c>
      <c r="J51" s="13" cm="1">
        <f t="array" ref="J51">MAX(IF($N$3:$EH$3=$J$3,N51:EH51))</f>
        <v>0</v>
      </c>
      <c r="K51" s="13" cm="1">
        <f t="array" ref="K51">MAX(IF($N$3:$EH$3=$J$3,N51:EH51))</f>
        <v>0</v>
      </c>
      <c r="L51" s="11"/>
      <c r="O51" s="12"/>
      <c r="P51" s="12"/>
      <c r="Q51" s="12"/>
      <c r="R51" s="12"/>
      <c r="U51">
        <v>2</v>
      </c>
      <c r="V51" s="12"/>
      <c r="W51" s="12">
        <v>0.8</v>
      </c>
      <c r="X51" s="12"/>
      <c r="Y51" s="12">
        <v>0.8</v>
      </c>
      <c r="AB51">
        <v>4</v>
      </c>
      <c r="AC51" s="12"/>
      <c r="AD51" s="12">
        <v>1</v>
      </c>
      <c r="AE51" s="12"/>
      <c r="AF51" s="12">
        <v>1</v>
      </c>
      <c r="AJ51" s="12"/>
      <c r="AK51" s="12">
        <v>1</v>
      </c>
      <c r="AL51" s="12"/>
      <c r="AM51" s="12">
        <v>1</v>
      </c>
      <c r="AP51">
        <v>0</v>
      </c>
      <c r="AQ51" s="12"/>
      <c r="AR51" s="12">
        <v>1</v>
      </c>
      <c r="AS51" s="12"/>
      <c r="AT51" s="12">
        <v>1</v>
      </c>
      <c r="AX51" s="12"/>
      <c r="AY51" s="12"/>
      <c r="AZ51" s="12"/>
      <c r="BA51" s="12"/>
      <c r="BE51" s="12"/>
      <c r="BF51" s="12"/>
      <c r="BG51" s="12"/>
      <c r="BH51" s="12"/>
      <c r="BL51" s="12"/>
      <c r="BM51" s="12"/>
      <c r="BN51" s="12"/>
      <c r="BO51" s="12"/>
      <c r="BS51" s="12"/>
      <c r="BT51" s="12"/>
      <c r="BU51" s="12"/>
      <c r="BV51" s="12"/>
      <c r="BZ51" s="12"/>
      <c r="CA51" s="12"/>
      <c r="CB51" s="12"/>
      <c r="CC51" s="12"/>
      <c r="CG51" s="12"/>
      <c r="CH51" s="12"/>
      <c r="CI51" s="12"/>
      <c r="CJ51" s="12"/>
      <c r="CN51" s="12"/>
      <c r="CO51" s="12"/>
      <c r="CP51" s="12"/>
      <c r="CQ51" s="12"/>
      <c r="CU51" s="12"/>
      <c r="CV51" s="12"/>
      <c r="CW51" s="12"/>
      <c r="CX51" s="12"/>
      <c r="DB51" s="12"/>
      <c r="DC51" s="12"/>
      <c r="DD51" s="12"/>
      <c r="DE51" s="12"/>
      <c r="DI51" s="12"/>
      <c r="DJ51" s="12"/>
      <c r="DK51" s="12"/>
      <c r="DL51" s="12"/>
      <c r="DP51" s="12"/>
      <c r="DQ51" s="12"/>
      <c r="DR51" s="12"/>
      <c r="DS51" s="12"/>
      <c r="DW51" s="12"/>
      <c r="DX51" s="12"/>
      <c r="DY51" s="12"/>
      <c r="DZ51" s="12"/>
      <c r="ED51" s="12"/>
      <c r="EE51" s="12"/>
      <c r="EF51" s="12"/>
      <c r="EG51" s="12"/>
      <c r="EK51" s="12"/>
      <c r="EL51" s="12"/>
      <c r="EM51" s="12"/>
      <c r="EN51" s="12"/>
    </row>
    <row r="52" spans="2:144" outlineLevel="1">
      <c r="B52" t="s">
        <v>28</v>
      </c>
      <c r="C52" t="s">
        <v>109</v>
      </c>
      <c r="E52" s="11"/>
      <c r="F52" t="s">
        <v>52</v>
      </c>
      <c r="G52" s="12">
        <v>0.05</v>
      </c>
      <c r="I52" s="11">
        <f t="shared" si="4"/>
        <v>0</v>
      </c>
      <c r="J52" s="13" cm="1">
        <f t="array" ref="J52">MAX(IF($N$3:$EH$3=$J$3,N52:EH52))</f>
        <v>0</v>
      </c>
      <c r="K52" s="13" cm="1">
        <f t="array" ref="K52">MAX(IF($N$3:$EH$3=$J$3,N52:EH52))</f>
        <v>0</v>
      </c>
      <c r="L52" s="11"/>
      <c r="O52" s="12"/>
      <c r="P52" s="12"/>
      <c r="Q52" s="12"/>
      <c r="R52" s="12"/>
      <c r="V52" s="12"/>
      <c r="W52" s="12">
        <v>0.8</v>
      </c>
      <c r="X52" s="12"/>
      <c r="Y52" s="12">
        <v>0.8</v>
      </c>
      <c r="AC52" s="12"/>
      <c r="AD52" s="12">
        <v>1</v>
      </c>
      <c r="AE52" s="12"/>
      <c r="AF52" s="12">
        <v>1</v>
      </c>
      <c r="AJ52" s="12"/>
      <c r="AK52" s="12">
        <v>1</v>
      </c>
      <c r="AL52" s="12"/>
      <c r="AM52" s="12">
        <v>1</v>
      </c>
      <c r="AP52">
        <v>0</v>
      </c>
      <c r="AQ52" s="12"/>
      <c r="AR52" s="12">
        <v>1</v>
      </c>
      <c r="AS52" s="12"/>
      <c r="AT52" s="12">
        <v>1</v>
      </c>
      <c r="AX52" s="12"/>
      <c r="AY52" s="12"/>
      <c r="AZ52" s="12"/>
      <c r="BA52" s="12"/>
      <c r="BE52" s="12"/>
      <c r="BF52" s="12"/>
      <c r="BG52" s="12"/>
      <c r="BH52" s="12"/>
      <c r="BL52" s="12"/>
      <c r="BM52" s="12"/>
      <c r="BN52" s="12"/>
      <c r="BO52" s="12"/>
      <c r="BS52" s="12"/>
      <c r="BT52" s="12"/>
      <c r="BU52" s="12"/>
      <c r="BV52" s="12"/>
      <c r="BZ52" s="12"/>
      <c r="CA52" s="12"/>
      <c r="CB52" s="12"/>
      <c r="CC52" s="12"/>
      <c r="CG52" s="12"/>
      <c r="CH52" s="12"/>
      <c r="CI52" s="12"/>
      <c r="CJ52" s="12"/>
      <c r="CN52" s="12"/>
      <c r="CO52" s="12"/>
      <c r="CP52" s="12"/>
      <c r="CQ52" s="12"/>
      <c r="CU52" s="12"/>
      <c r="CV52" s="12"/>
      <c r="CW52" s="12"/>
      <c r="CX52" s="12"/>
      <c r="DB52" s="12"/>
      <c r="DC52" s="12"/>
      <c r="DD52" s="12"/>
      <c r="DE52" s="12"/>
      <c r="DI52" s="12"/>
      <c r="DJ52" s="12"/>
      <c r="DK52" s="12"/>
      <c r="DL52" s="12"/>
      <c r="DP52" s="12"/>
      <c r="DQ52" s="12"/>
      <c r="DR52" s="12"/>
      <c r="DS52" s="12"/>
      <c r="DW52" s="12"/>
      <c r="DX52" s="12"/>
      <c r="DY52" s="12"/>
      <c r="DZ52" s="12"/>
      <c r="ED52" s="12"/>
      <c r="EE52" s="12"/>
      <c r="EF52" s="12"/>
      <c r="EG52" s="12"/>
      <c r="EK52" s="12"/>
      <c r="EL52" s="12"/>
      <c r="EM52" s="12"/>
      <c r="EN52" s="12"/>
    </row>
    <row r="53" spans="2:144" outlineLevel="1">
      <c r="B53" t="s">
        <v>28</v>
      </c>
      <c r="C53" t="s">
        <v>109</v>
      </c>
      <c r="E53" s="11"/>
      <c r="F53" t="s">
        <v>53</v>
      </c>
      <c r="G53" s="12">
        <v>0.05</v>
      </c>
      <c r="I53" s="11">
        <f t="shared" si="4"/>
        <v>0</v>
      </c>
      <c r="J53" s="13" cm="1">
        <f t="array" ref="J53">MAX(IF($N$3:$EH$3=$J$3,N53:EH53))</f>
        <v>0</v>
      </c>
      <c r="K53" s="13" cm="1">
        <f t="array" ref="K53">MAX(IF($N$3:$EH$3=$J$3,N53:EH53))</f>
        <v>0</v>
      </c>
      <c r="L53" s="11"/>
      <c r="O53" s="12"/>
      <c r="P53" s="12"/>
      <c r="Q53" s="12"/>
      <c r="R53" s="12"/>
      <c r="V53" s="12"/>
      <c r="W53" s="12">
        <v>0.5</v>
      </c>
      <c r="X53" s="12"/>
      <c r="Y53" s="12">
        <v>0.5</v>
      </c>
      <c r="AC53" s="12"/>
      <c r="AD53" s="12">
        <v>0.8</v>
      </c>
      <c r="AE53" s="12"/>
      <c r="AF53" s="12">
        <v>0.8</v>
      </c>
      <c r="AJ53" s="12"/>
      <c r="AK53" s="12">
        <v>1</v>
      </c>
      <c r="AL53" s="12"/>
      <c r="AM53" s="12">
        <v>1</v>
      </c>
      <c r="AP53">
        <v>0</v>
      </c>
      <c r="AQ53" s="12"/>
      <c r="AR53" s="12">
        <v>1</v>
      </c>
      <c r="AS53" s="12"/>
      <c r="AT53" s="12">
        <v>1</v>
      </c>
      <c r="AX53" s="12"/>
      <c r="AY53" s="12"/>
      <c r="AZ53" s="12"/>
      <c r="BA53" s="12"/>
      <c r="BE53" s="12"/>
      <c r="BF53" s="12"/>
      <c r="BG53" s="12"/>
      <c r="BH53" s="12"/>
      <c r="BL53" s="12"/>
      <c r="BM53" s="12"/>
      <c r="BN53" s="12"/>
      <c r="BO53" s="12"/>
      <c r="BS53" s="12"/>
      <c r="BT53" s="12"/>
      <c r="BU53" s="12"/>
      <c r="BV53" s="12"/>
      <c r="BZ53" s="12"/>
      <c r="CA53" s="12"/>
      <c r="CB53" s="12"/>
      <c r="CC53" s="12"/>
      <c r="CG53" s="12"/>
      <c r="CH53" s="12"/>
      <c r="CI53" s="12"/>
      <c r="CJ53" s="12"/>
      <c r="CN53" s="12"/>
      <c r="CO53" s="12"/>
      <c r="CP53" s="12"/>
      <c r="CQ53" s="12"/>
      <c r="CU53" s="12"/>
      <c r="CV53" s="12"/>
      <c r="CW53" s="12"/>
      <c r="CX53" s="12"/>
      <c r="DB53" s="12"/>
      <c r="DC53" s="12"/>
      <c r="DD53" s="12"/>
      <c r="DE53" s="12"/>
      <c r="DI53" s="12"/>
      <c r="DJ53" s="12"/>
      <c r="DK53" s="12"/>
      <c r="DL53" s="12"/>
      <c r="DP53" s="12"/>
      <c r="DQ53" s="12"/>
      <c r="DR53" s="12"/>
      <c r="DS53" s="12"/>
      <c r="DW53" s="12"/>
      <c r="DX53" s="12"/>
      <c r="DY53" s="12"/>
      <c r="DZ53" s="12"/>
      <c r="ED53" s="12"/>
      <c r="EE53" s="12"/>
      <c r="EF53" s="12"/>
      <c r="EG53" s="12"/>
      <c r="EK53" s="12"/>
      <c r="EL53" s="12"/>
      <c r="EM53" s="12"/>
      <c r="EN53" s="12"/>
    </row>
    <row r="54" spans="2:144" outlineLevel="1">
      <c r="B54" t="s">
        <v>28</v>
      </c>
      <c r="C54" t="s">
        <v>109</v>
      </c>
      <c r="E54" s="11"/>
      <c r="F54" t="s">
        <v>54</v>
      </c>
      <c r="G54" s="12">
        <v>0.05</v>
      </c>
      <c r="I54" s="11">
        <f t="shared" si="4"/>
        <v>0</v>
      </c>
      <c r="J54" s="13" cm="1">
        <f t="array" ref="J54">MAX(IF($N$3:$EH$3=$J$3,N54:EH54))</f>
        <v>0</v>
      </c>
      <c r="K54" s="13" cm="1">
        <f t="array" ref="K54">MAX(IF($N$3:$EH$3=$J$3,N54:EH54))</f>
        <v>0</v>
      </c>
      <c r="L54" s="11"/>
      <c r="O54" s="12"/>
      <c r="P54" s="12"/>
      <c r="Q54" s="12"/>
      <c r="R54" s="12"/>
      <c r="V54" s="12"/>
      <c r="W54" s="12">
        <v>0.5</v>
      </c>
      <c r="X54" s="12"/>
      <c r="Y54" s="12">
        <v>0.5</v>
      </c>
      <c r="AC54" s="12"/>
      <c r="AD54" s="12">
        <v>0.8</v>
      </c>
      <c r="AE54" s="12"/>
      <c r="AF54" s="12">
        <v>0.8</v>
      </c>
      <c r="AJ54" s="12"/>
      <c r="AK54" s="12">
        <v>1</v>
      </c>
      <c r="AL54" s="12"/>
      <c r="AM54" s="12">
        <v>1</v>
      </c>
      <c r="AP54">
        <v>0</v>
      </c>
      <c r="AQ54" s="12"/>
      <c r="AR54" s="12">
        <v>1</v>
      </c>
      <c r="AS54" s="12"/>
      <c r="AT54" s="12">
        <v>1</v>
      </c>
      <c r="AX54" s="12"/>
      <c r="AY54" s="12"/>
      <c r="AZ54" s="12"/>
      <c r="BA54" s="12"/>
      <c r="BE54" s="12"/>
      <c r="BF54" s="12"/>
      <c r="BG54" s="12"/>
      <c r="BH54" s="12"/>
      <c r="BL54" s="12"/>
      <c r="BM54" s="12"/>
      <c r="BN54" s="12"/>
      <c r="BO54" s="12"/>
      <c r="BS54" s="12"/>
      <c r="BT54" s="12"/>
      <c r="BU54" s="12"/>
      <c r="BV54" s="12"/>
      <c r="BZ54" s="12"/>
      <c r="CA54" s="12"/>
      <c r="CB54" s="12"/>
      <c r="CC54" s="12"/>
      <c r="CG54" s="12"/>
      <c r="CH54" s="12"/>
      <c r="CI54" s="12"/>
      <c r="CJ54" s="12"/>
      <c r="CN54" s="12"/>
      <c r="CO54" s="12"/>
      <c r="CP54" s="12"/>
      <c r="CQ54" s="12"/>
      <c r="CU54" s="12"/>
      <c r="CV54" s="12"/>
      <c r="CW54" s="12"/>
      <c r="CX54" s="12"/>
      <c r="DB54" s="12"/>
      <c r="DC54" s="12"/>
      <c r="DD54" s="12"/>
      <c r="DE54" s="12"/>
      <c r="DI54" s="12"/>
      <c r="DJ54" s="12"/>
      <c r="DK54" s="12"/>
      <c r="DL54" s="12"/>
      <c r="DP54" s="12"/>
      <c r="DQ54" s="12"/>
      <c r="DR54" s="12"/>
      <c r="DS54" s="12"/>
      <c r="DW54" s="12"/>
      <c r="DX54" s="12"/>
      <c r="DY54" s="12"/>
      <c r="DZ54" s="12"/>
      <c r="ED54" s="12"/>
      <c r="EE54" s="12"/>
      <c r="EF54" s="12"/>
      <c r="EG54" s="12"/>
      <c r="EK54" s="12"/>
      <c r="EL54" s="12"/>
      <c r="EM54" s="12"/>
      <c r="EN54" s="12"/>
    </row>
    <row r="55" spans="2:144" outlineLevel="1">
      <c r="B55" t="s">
        <v>28</v>
      </c>
      <c r="C55" t="s">
        <v>109</v>
      </c>
      <c r="E55" s="11"/>
      <c r="F55" t="s">
        <v>55</v>
      </c>
      <c r="G55" s="12">
        <v>0.05</v>
      </c>
      <c r="I55" s="11">
        <f t="shared" si="4"/>
        <v>0</v>
      </c>
      <c r="J55" s="13" cm="1">
        <f t="array" ref="J55">MAX(IF($N$3:$EH$3=$J$3,N55:EH55))</f>
        <v>0</v>
      </c>
      <c r="K55" s="13" cm="1">
        <f t="array" ref="K55">MAX(IF($N$3:$EH$3=$J$3,N55:EH55))</f>
        <v>0</v>
      </c>
      <c r="L55" s="11"/>
      <c r="O55" s="12"/>
      <c r="P55" s="12"/>
      <c r="Q55" s="12"/>
      <c r="R55" s="12"/>
      <c r="V55" s="12"/>
      <c r="W55" s="12">
        <v>0.5</v>
      </c>
      <c r="X55" s="12"/>
      <c r="Y55" s="12">
        <v>0.5</v>
      </c>
      <c r="AC55" s="12"/>
      <c r="AD55" s="12">
        <v>0.8</v>
      </c>
      <c r="AE55" s="12"/>
      <c r="AF55" s="12">
        <v>0.8</v>
      </c>
      <c r="AJ55" s="12"/>
      <c r="AK55" s="12">
        <v>1</v>
      </c>
      <c r="AL55" s="12"/>
      <c r="AM55" s="12">
        <v>1</v>
      </c>
      <c r="AP55">
        <v>0</v>
      </c>
      <c r="AQ55" s="12"/>
      <c r="AR55" s="12">
        <v>1</v>
      </c>
      <c r="AS55" s="12"/>
      <c r="AT55" s="12">
        <v>1</v>
      </c>
      <c r="AX55" s="12"/>
      <c r="AY55" s="12"/>
      <c r="AZ55" s="12"/>
      <c r="BA55" s="12"/>
      <c r="BE55" s="12"/>
      <c r="BF55" s="12"/>
      <c r="BG55" s="12"/>
      <c r="BH55" s="12"/>
      <c r="BL55" s="12"/>
      <c r="BM55" s="12"/>
      <c r="BN55" s="12"/>
      <c r="BO55" s="12"/>
      <c r="BS55" s="12"/>
      <c r="BT55" s="12"/>
      <c r="BU55" s="12"/>
      <c r="BV55" s="12"/>
      <c r="BZ55" s="12"/>
      <c r="CA55" s="12"/>
      <c r="CB55" s="12"/>
      <c r="CC55" s="12"/>
      <c r="CG55" s="12"/>
      <c r="CH55" s="12"/>
      <c r="CI55" s="12"/>
      <c r="CJ55" s="12"/>
      <c r="CN55" s="12"/>
      <c r="CO55" s="12"/>
      <c r="CP55" s="12"/>
      <c r="CQ55" s="12"/>
      <c r="CU55" s="12"/>
      <c r="CV55" s="12"/>
      <c r="CW55" s="12"/>
      <c r="CX55" s="12"/>
      <c r="DB55" s="12"/>
      <c r="DC55" s="12"/>
      <c r="DD55" s="12"/>
      <c r="DE55" s="12"/>
      <c r="DI55" s="12"/>
      <c r="DJ55" s="12"/>
      <c r="DK55" s="12"/>
      <c r="DL55" s="12"/>
      <c r="DP55" s="12"/>
      <c r="DQ55" s="12"/>
      <c r="DR55" s="12"/>
      <c r="DS55" s="12"/>
      <c r="DW55" s="12"/>
      <c r="DX55" s="12"/>
      <c r="DY55" s="12"/>
      <c r="DZ55" s="12"/>
      <c r="ED55" s="12"/>
      <c r="EE55" s="12"/>
      <c r="EF55" s="12"/>
      <c r="EG55" s="12"/>
      <c r="EK55" s="12"/>
      <c r="EL55" s="12"/>
      <c r="EM55" s="12"/>
      <c r="EN55" s="12"/>
    </row>
    <row r="56" spans="2:144" outlineLevel="1">
      <c r="B56" t="s">
        <v>28</v>
      </c>
      <c r="C56" t="s">
        <v>109</v>
      </c>
      <c r="E56" s="11"/>
      <c r="F56" t="s">
        <v>56</v>
      </c>
      <c r="G56" s="12">
        <v>0.1</v>
      </c>
      <c r="I56" s="11">
        <f t="shared" si="4"/>
        <v>2</v>
      </c>
      <c r="J56" s="13" cm="1">
        <f t="array" ref="J56">MAX(IF($N$3:$EH$3=$J$3,N56:EH56))</f>
        <v>0</v>
      </c>
      <c r="K56" s="13" cm="1">
        <f t="array" ref="K56">MAX(IF($N$3:$EH$3=$J$3,N56:EH56))</f>
        <v>0</v>
      </c>
      <c r="L56" s="11"/>
      <c r="O56" s="12"/>
      <c r="P56" s="12"/>
      <c r="Q56" s="12"/>
      <c r="R56" s="12"/>
      <c r="V56" s="12"/>
      <c r="W56" s="12">
        <v>0.3</v>
      </c>
      <c r="X56" s="12"/>
      <c r="Y56" s="12">
        <v>0.3</v>
      </c>
      <c r="AC56" s="12"/>
      <c r="AD56" s="12">
        <v>0.5</v>
      </c>
      <c r="AE56" s="12"/>
      <c r="AF56" s="12">
        <v>0.5</v>
      </c>
      <c r="AJ56" s="12"/>
      <c r="AK56" s="12">
        <v>0.8</v>
      </c>
      <c r="AL56" s="12"/>
      <c r="AM56" s="12">
        <v>0.8</v>
      </c>
      <c r="AP56">
        <v>2</v>
      </c>
      <c r="AQ56" s="12"/>
      <c r="AR56" s="12">
        <v>1</v>
      </c>
      <c r="AS56" s="12"/>
      <c r="AT56" s="12">
        <v>1</v>
      </c>
      <c r="AX56" s="12"/>
      <c r="AY56" s="12"/>
      <c r="AZ56" s="12"/>
      <c r="BA56" s="12"/>
      <c r="BE56" s="12"/>
      <c r="BF56" s="12"/>
      <c r="BG56" s="12"/>
      <c r="BH56" s="12"/>
      <c r="BL56" s="12"/>
      <c r="BM56" s="12"/>
      <c r="BN56" s="12"/>
      <c r="BO56" s="12"/>
      <c r="BS56" s="12"/>
      <c r="BT56" s="12"/>
      <c r="BU56" s="12"/>
      <c r="BV56" s="12"/>
      <c r="BZ56" s="12"/>
      <c r="CA56" s="12"/>
      <c r="CB56" s="12"/>
      <c r="CC56" s="12"/>
      <c r="CG56" s="12"/>
      <c r="CH56" s="12"/>
      <c r="CI56" s="12"/>
      <c r="CJ56" s="12"/>
      <c r="CN56" s="12"/>
      <c r="CO56" s="12"/>
      <c r="CP56" s="12"/>
      <c r="CQ56" s="12"/>
      <c r="CU56" s="12"/>
      <c r="CV56" s="12"/>
      <c r="CW56" s="12"/>
      <c r="CX56" s="12"/>
      <c r="DB56" s="12"/>
      <c r="DC56" s="12"/>
      <c r="DD56" s="12"/>
      <c r="DE56" s="12"/>
      <c r="DI56" s="12"/>
      <c r="DJ56" s="12"/>
      <c r="DK56" s="12"/>
      <c r="DL56" s="12"/>
      <c r="DP56" s="12"/>
      <c r="DQ56" s="12"/>
      <c r="DR56" s="12"/>
      <c r="DS56" s="12"/>
      <c r="DW56" s="12"/>
      <c r="DX56" s="12"/>
      <c r="DY56" s="12"/>
      <c r="DZ56" s="12"/>
      <c r="ED56" s="12"/>
      <c r="EE56" s="12"/>
      <c r="EF56" s="12"/>
      <c r="EG56" s="12"/>
      <c r="EK56" s="12"/>
      <c r="EL56" s="12"/>
      <c r="EM56" s="12"/>
      <c r="EN56" s="12"/>
    </row>
    <row r="57" spans="2:144" outlineLevel="1">
      <c r="B57" t="s">
        <v>28</v>
      </c>
      <c r="C57" t="s">
        <v>109</v>
      </c>
      <c r="E57" s="11"/>
      <c r="F57" t="s">
        <v>57</v>
      </c>
      <c r="G57" s="12">
        <v>0.1</v>
      </c>
      <c r="I57" s="11">
        <f t="shared" si="4"/>
        <v>2</v>
      </c>
      <c r="J57" s="13" cm="1">
        <f t="array" ref="J57">MAX(IF($N$3:$EH$3=$J$3,N57:EH57))</f>
        <v>0</v>
      </c>
      <c r="K57" s="13" cm="1">
        <f t="array" ref="K57">MAX(IF($N$3:$EH$3=$J$3,N57:EH57))</f>
        <v>0</v>
      </c>
      <c r="L57" s="11"/>
      <c r="O57" s="12"/>
      <c r="P57" s="12"/>
      <c r="Q57" s="12"/>
      <c r="R57" s="12"/>
      <c r="V57" s="12"/>
      <c r="W57" s="12">
        <v>0.3</v>
      </c>
      <c r="X57" s="12"/>
      <c r="Y57" s="12">
        <v>0.3</v>
      </c>
      <c r="AC57" s="12"/>
      <c r="AD57" s="12">
        <v>0.5</v>
      </c>
      <c r="AE57" s="12"/>
      <c r="AF57" s="12">
        <v>0.5</v>
      </c>
      <c r="AJ57" s="12"/>
      <c r="AK57" s="12">
        <v>0.8</v>
      </c>
      <c r="AL57" s="12"/>
      <c r="AM57" s="12">
        <v>0.8</v>
      </c>
      <c r="AP57">
        <v>2</v>
      </c>
      <c r="AQ57" s="12"/>
      <c r="AR57" s="12">
        <v>1</v>
      </c>
      <c r="AS57" s="12"/>
      <c r="AT57" s="12">
        <v>1</v>
      </c>
      <c r="AX57" s="12"/>
      <c r="AY57" s="12"/>
      <c r="AZ57" s="12"/>
      <c r="BA57" s="12"/>
      <c r="BE57" s="12"/>
      <c r="BF57" s="12"/>
      <c r="BG57" s="12"/>
      <c r="BH57" s="12"/>
      <c r="BL57" s="12"/>
      <c r="BM57" s="12"/>
      <c r="BN57" s="12"/>
      <c r="BO57" s="12"/>
      <c r="BS57" s="12"/>
      <c r="BT57" s="12"/>
      <c r="BU57" s="12"/>
      <c r="BV57" s="12"/>
      <c r="BZ57" s="12"/>
      <c r="CA57" s="12"/>
      <c r="CB57" s="12"/>
      <c r="CC57" s="12"/>
      <c r="CG57" s="12"/>
      <c r="CH57" s="12"/>
      <c r="CI57" s="12"/>
      <c r="CJ57" s="12"/>
      <c r="CN57" s="12"/>
      <c r="CO57" s="12"/>
      <c r="CP57" s="12"/>
      <c r="CQ57" s="12"/>
      <c r="CU57" s="12"/>
      <c r="CV57" s="12"/>
      <c r="CW57" s="12"/>
      <c r="CX57" s="12"/>
      <c r="DB57" s="12"/>
      <c r="DC57" s="12"/>
      <c r="DD57" s="12"/>
      <c r="DE57" s="12"/>
      <c r="DI57" s="12"/>
      <c r="DJ57" s="12"/>
      <c r="DK57" s="12"/>
      <c r="DL57" s="12"/>
      <c r="DP57" s="12"/>
      <c r="DQ57" s="12"/>
      <c r="DR57" s="12"/>
      <c r="DS57" s="12"/>
      <c r="DW57" s="12"/>
      <c r="DX57" s="12"/>
      <c r="DY57" s="12"/>
      <c r="DZ57" s="12"/>
      <c r="ED57" s="12"/>
      <c r="EE57" s="12"/>
      <c r="EF57" s="12"/>
      <c r="EG57" s="12"/>
      <c r="EK57" s="12"/>
      <c r="EL57" s="12"/>
      <c r="EM57" s="12"/>
      <c r="EN57" s="12"/>
    </row>
    <row r="58" spans="2:144" outlineLevel="1">
      <c r="B58" t="s">
        <v>28</v>
      </c>
      <c r="C58" t="s">
        <v>109</v>
      </c>
      <c r="E58" s="11"/>
      <c r="F58" t="s">
        <v>58</v>
      </c>
      <c r="G58" s="12">
        <v>0.1</v>
      </c>
      <c r="I58" s="11">
        <f t="shared" si="4"/>
        <v>2</v>
      </c>
      <c r="J58" s="13" cm="1">
        <f t="array" ref="J58">MAX(IF($N$3:$EH$3=$J$3,N58:EH58))</f>
        <v>0</v>
      </c>
      <c r="K58" s="13" cm="1">
        <f t="array" ref="K58">MAX(IF($N$3:$EH$3=$J$3,N58:EH58))</f>
        <v>0</v>
      </c>
      <c r="L58" s="11"/>
      <c r="O58" s="12"/>
      <c r="P58" s="12"/>
      <c r="Q58" s="12"/>
      <c r="R58" s="12"/>
      <c r="V58" s="12"/>
      <c r="W58" s="12"/>
      <c r="X58" s="12"/>
      <c r="Y58" s="12"/>
      <c r="AC58" s="12"/>
      <c r="AD58" s="12">
        <v>0.5</v>
      </c>
      <c r="AE58" s="12"/>
      <c r="AF58" s="12">
        <v>0.5</v>
      </c>
      <c r="AJ58" s="12"/>
      <c r="AK58" s="12">
        <v>0.8</v>
      </c>
      <c r="AL58" s="12"/>
      <c r="AM58" s="12">
        <v>0.8</v>
      </c>
      <c r="AP58">
        <v>2</v>
      </c>
      <c r="AQ58" s="12"/>
      <c r="AR58" s="12">
        <v>1</v>
      </c>
      <c r="AS58" s="12"/>
      <c r="AT58" s="12">
        <v>1</v>
      </c>
      <c r="AX58" s="12"/>
      <c r="AY58" s="12"/>
      <c r="AZ58" s="12"/>
      <c r="BA58" s="12"/>
      <c r="BE58" s="12"/>
      <c r="BF58" s="12"/>
      <c r="BG58" s="12"/>
      <c r="BH58" s="12"/>
      <c r="BL58" s="12"/>
      <c r="BM58" s="12"/>
      <c r="BN58" s="12"/>
      <c r="BO58" s="12"/>
      <c r="BS58" s="12"/>
      <c r="BT58" s="12"/>
      <c r="BU58" s="12"/>
      <c r="BV58" s="12"/>
      <c r="BZ58" s="12"/>
      <c r="CA58" s="12"/>
      <c r="CB58" s="12"/>
      <c r="CC58" s="12"/>
      <c r="CG58" s="12"/>
      <c r="CH58" s="12"/>
      <c r="CI58" s="12"/>
      <c r="CJ58" s="12"/>
      <c r="CN58" s="12"/>
      <c r="CO58" s="12"/>
      <c r="CP58" s="12"/>
      <c r="CQ58" s="12"/>
      <c r="CU58" s="12"/>
      <c r="CV58" s="12"/>
      <c r="CW58" s="12"/>
      <c r="CX58" s="12"/>
      <c r="DB58" s="12"/>
      <c r="DC58" s="12"/>
      <c r="DD58" s="12"/>
      <c r="DE58" s="12"/>
      <c r="DI58" s="12"/>
      <c r="DJ58" s="12"/>
      <c r="DK58" s="12"/>
      <c r="DL58" s="12"/>
      <c r="DP58" s="12"/>
      <c r="DQ58" s="12"/>
      <c r="DR58" s="12"/>
      <c r="DS58" s="12"/>
      <c r="DW58" s="12"/>
      <c r="DX58" s="12"/>
      <c r="DY58" s="12"/>
      <c r="DZ58" s="12"/>
      <c r="ED58" s="12"/>
      <c r="EE58" s="12"/>
      <c r="EF58" s="12"/>
      <c r="EG58" s="12"/>
      <c r="EK58" s="12"/>
      <c r="EL58" s="12"/>
      <c r="EM58" s="12"/>
      <c r="EN58" s="12"/>
    </row>
    <row r="59" spans="2:144" outlineLevel="1">
      <c r="B59" t="s">
        <v>28</v>
      </c>
      <c r="C59" t="s">
        <v>109</v>
      </c>
      <c r="E59" s="11"/>
      <c r="F59" t="s">
        <v>59</v>
      </c>
      <c r="G59" s="12">
        <v>0.1</v>
      </c>
      <c r="I59" s="11">
        <f t="shared" si="4"/>
        <v>2</v>
      </c>
      <c r="J59" s="13" cm="1">
        <f t="array" ref="J59">MAX(IF($N$3:$EH$3=$J$3,N59:EH59))</f>
        <v>0</v>
      </c>
      <c r="K59" s="13" cm="1">
        <f t="array" ref="K59">MAX(IF($N$3:$EH$3=$J$3,N59:EH59))</f>
        <v>0</v>
      </c>
      <c r="L59" s="11"/>
      <c r="O59" s="12"/>
      <c r="P59" s="12"/>
      <c r="Q59" s="12"/>
      <c r="R59" s="12"/>
      <c r="V59" s="12"/>
      <c r="W59" s="12"/>
      <c r="X59" s="12"/>
      <c r="Y59" s="12"/>
      <c r="AC59" s="12"/>
      <c r="AD59" s="12">
        <v>0.5</v>
      </c>
      <c r="AE59" s="12"/>
      <c r="AF59" s="12">
        <v>0.5</v>
      </c>
      <c r="AJ59" s="12"/>
      <c r="AK59" s="12">
        <v>0.8</v>
      </c>
      <c r="AL59" s="12"/>
      <c r="AM59" s="12">
        <v>0.8</v>
      </c>
      <c r="AP59">
        <v>2</v>
      </c>
      <c r="AQ59" s="12"/>
      <c r="AR59" s="12">
        <v>1</v>
      </c>
      <c r="AS59" s="12"/>
      <c r="AT59" s="12">
        <v>1</v>
      </c>
      <c r="AX59" s="12"/>
      <c r="AY59" s="12"/>
      <c r="AZ59" s="12"/>
      <c r="BA59" s="12"/>
      <c r="BE59" s="12"/>
      <c r="BF59" s="12"/>
      <c r="BG59" s="12"/>
      <c r="BH59" s="12"/>
      <c r="BL59" s="12"/>
      <c r="BM59" s="12"/>
      <c r="BN59" s="12"/>
      <c r="BO59" s="12"/>
      <c r="BS59" s="12"/>
      <c r="BT59" s="12"/>
      <c r="BU59" s="12"/>
      <c r="BV59" s="12"/>
      <c r="BZ59" s="12"/>
      <c r="CA59" s="12"/>
      <c r="CB59" s="12"/>
      <c r="CC59" s="12"/>
      <c r="CG59" s="12"/>
      <c r="CH59" s="12"/>
      <c r="CI59" s="12"/>
      <c r="CJ59" s="12"/>
      <c r="CN59" s="12"/>
      <c r="CO59" s="12"/>
      <c r="CP59" s="12"/>
      <c r="CQ59" s="12"/>
      <c r="CU59" s="12"/>
      <c r="CV59" s="12"/>
      <c r="CW59" s="12"/>
      <c r="CX59" s="12"/>
      <c r="DB59" s="12"/>
      <c r="DC59" s="12"/>
      <c r="DD59" s="12"/>
      <c r="DE59" s="12"/>
      <c r="DI59" s="12"/>
      <c r="DJ59" s="12"/>
      <c r="DK59" s="12"/>
      <c r="DL59" s="12"/>
      <c r="DP59" s="12"/>
      <c r="DQ59" s="12"/>
      <c r="DR59" s="12"/>
      <c r="DS59" s="12"/>
      <c r="DW59" s="12"/>
      <c r="DX59" s="12"/>
      <c r="DY59" s="12"/>
      <c r="DZ59" s="12"/>
      <c r="ED59" s="12"/>
      <c r="EE59" s="12"/>
      <c r="EF59" s="12"/>
      <c r="EG59" s="12"/>
      <c r="EK59" s="12"/>
      <c r="EL59" s="12"/>
      <c r="EM59" s="12"/>
      <c r="EN59" s="12"/>
    </row>
    <row r="60" spans="2:144" outlineLevel="1">
      <c r="B60" t="s">
        <v>28</v>
      </c>
      <c r="C60" t="s">
        <v>109</v>
      </c>
      <c r="E60" s="11"/>
      <c r="F60" t="s">
        <v>60</v>
      </c>
      <c r="G60" s="12">
        <v>0.1</v>
      </c>
      <c r="I60" s="11">
        <f t="shared" si="4"/>
        <v>4</v>
      </c>
      <c r="J60" s="13" cm="1">
        <f t="array" ref="J60">MAX(IF($N$3:$EH$3=$J$3,N60:EH60))</f>
        <v>0</v>
      </c>
      <c r="K60" s="13" cm="1">
        <f t="array" ref="K60">MAX(IF($N$3:$EH$3=$J$3,N60:EH60))</f>
        <v>0</v>
      </c>
      <c r="L60" s="11"/>
      <c r="O60" s="12"/>
      <c r="P60" s="12"/>
      <c r="Q60" s="12"/>
      <c r="R60" s="12"/>
      <c r="V60" s="12"/>
      <c r="W60" s="12"/>
      <c r="X60" s="12"/>
      <c r="Y60" s="12"/>
      <c r="AC60" s="12"/>
      <c r="AD60" s="12">
        <v>0.3</v>
      </c>
      <c r="AE60" s="12"/>
      <c r="AF60" s="12">
        <v>0.3</v>
      </c>
      <c r="AJ60" s="12"/>
      <c r="AK60" s="12">
        <v>0.5</v>
      </c>
      <c r="AL60" s="12"/>
      <c r="AM60" s="12">
        <v>0.5</v>
      </c>
      <c r="AP60">
        <v>4</v>
      </c>
      <c r="AQ60" s="12"/>
      <c r="AR60" s="12">
        <v>1</v>
      </c>
      <c r="AS60" s="12"/>
      <c r="AT60" s="12">
        <v>1</v>
      </c>
      <c r="AX60" s="12"/>
      <c r="AY60" s="12"/>
      <c r="AZ60" s="12"/>
      <c r="BA60" s="12"/>
      <c r="BE60" s="12"/>
      <c r="BF60" s="12"/>
      <c r="BG60" s="12"/>
      <c r="BH60" s="12"/>
      <c r="BL60" s="12"/>
      <c r="BM60" s="12"/>
      <c r="BN60" s="12"/>
      <c r="BO60" s="12"/>
      <c r="BS60" s="12"/>
      <c r="BT60" s="12"/>
      <c r="BU60" s="12"/>
      <c r="BV60" s="12"/>
      <c r="BZ60" s="12"/>
      <c r="CA60" s="12"/>
      <c r="CB60" s="12"/>
      <c r="CC60" s="12"/>
      <c r="CG60" s="12"/>
      <c r="CH60" s="12"/>
      <c r="CI60" s="12"/>
      <c r="CJ60" s="12"/>
      <c r="CN60" s="12"/>
      <c r="CO60" s="12"/>
      <c r="CP60" s="12"/>
      <c r="CQ60" s="12"/>
      <c r="CU60" s="12"/>
      <c r="CV60" s="12"/>
      <c r="CW60" s="12"/>
      <c r="CX60" s="12"/>
      <c r="DB60" s="12"/>
      <c r="DC60" s="12"/>
      <c r="DD60" s="12"/>
      <c r="DE60" s="12"/>
      <c r="DI60" s="12"/>
      <c r="DJ60" s="12"/>
      <c r="DK60" s="12"/>
      <c r="DL60" s="12"/>
      <c r="DP60" s="12"/>
      <c r="DQ60" s="12"/>
      <c r="DR60" s="12"/>
      <c r="DS60" s="12"/>
      <c r="DW60" s="12"/>
      <c r="DX60" s="12"/>
      <c r="DY60" s="12"/>
      <c r="DZ60" s="12"/>
      <c r="ED60" s="12"/>
      <c r="EE60" s="12"/>
      <c r="EF60" s="12"/>
      <c r="EG60" s="12"/>
      <c r="EK60" s="12"/>
      <c r="EL60" s="12"/>
      <c r="EM60" s="12"/>
      <c r="EN60" s="12"/>
    </row>
  </sheetData>
  <mergeCells count="20">
    <mergeCell ref="I2:L2"/>
    <mergeCell ref="N2:S2"/>
    <mergeCell ref="BD2:BI2"/>
    <mergeCell ref="U2:Z2"/>
    <mergeCell ref="AB2:AG2"/>
    <mergeCell ref="AI2:AN2"/>
    <mergeCell ref="AP2:AU2"/>
    <mergeCell ref="AW2:BB2"/>
    <mergeCell ref="BK2:BP2"/>
    <mergeCell ref="BR2:BW2"/>
    <mergeCell ref="BY2:CD2"/>
    <mergeCell ref="CF2:CK2"/>
    <mergeCell ref="CM2:CR2"/>
    <mergeCell ref="EC2:EH2"/>
    <mergeCell ref="EJ2:EO2"/>
    <mergeCell ref="CT2:CY2"/>
    <mergeCell ref="DA2:DF2"/>
    <mergeCell ref="DH2:DM2"/>
    <mergeCell ref="DO2:DT2"/>
    <mergeCell ref="DV2:EA2"/>
  </mergeCells>
  <phoneticPr fontId="5" type="noConversion"/>
  <conditionalFormatting sqref="AJ29:AJ36 AL29:AL36 AX29:AX36 AZ29:AZ36 Q29:Q36 O29:O36 BG29:BG36 X29:X36 V29:V36 AE29:AE36 AC29:AC36 AS29:AS36 AQ29:AQ36 BE29:BE36 AJ41:AJ48 AL41:AL48 AX41:AX48 AZ41:AZ48 Q41:Q48 O41:O48 BG41:BG48 X41:X48 V41:V48 AE41:AE48 AC41:AC48 AS41:AS48 AQ41:AQ48 BE41:BE48 AJ53:AJ60 AL53:AL60 AX53:AX60 AZ53:AZ60 Q53:Q60 O53:O60 BG53:BG60 X53:X60 V53:V60 AE53:AE60 AC53:AC60 AS53:AS60 AQ53:AQ60 BE53:BE60 O5:O15 Q5:Q15 AQ5:AQ15 AS5:AS15 BE5:BE15 BG5:BG15 V5:V15 X5:X15 AC5:AC15 AE5:AE15 AJ5:AJ15 AL5:AL15 AX5:AX15 AZ5:AZ15 CI6:CI15 CP5:CP15 O18:O24 Q18:Q24 BE18:BE24 V18:V24 X18:X24 AC18:AC24 AE18:AE24 AJ18:AJ24 AL18:AL24 AQ18:AQ24 AS18:AS24 AX18:AX24 AZ18:AZ24 BG18:BG24 BL18:BL24 BN18:BN24 BS18:BS24 BU18:BU24 BZ18:BZ24 CB18:CB24 CG18:CG24 CI18:CI24 CU18:CU24 CW18:CW24 DB18:DB24 DD18:DD24 DI18:DI24 DK18:DK24 DP18:DP24 DR18:DR24 DW18:DW24 DY18:DY24 ED18:ED24 EF18:EF24 EK18:EK24 EM18:EM24 CN18:CN24 CP18:CP24">
    <cfRule type="expression" dxfId="269" priority="708">
      <formula>OR(IF(O5&lt;P5,TRUE),IF(AND(P5="",O5&lt;&gt;""),TRUE))</formula>
    </cfRule>
    <cfRule type="expression" dxfId="268" priority="709">
      <formula>IF(O5&gt;=P5,IF(O5="",FALSE,TRUE))</formula>
    </cfRule>
  </conditionalFormatting>
  <conditionalFormatting sqref="O27:O28">
    <cfRule type="expression" dxfId="267" priority="519">
      <formula>OR(IF(O27&lt;P27,TRUE),IF(AND(P27="",O27&lt;&gt;""),TRUE))</formula>
    </cfRule>
    <cfRule type="expression" dxfId="266" priority="520">
      <formula>IF(O27&gt;=P27,IF(O27="",FALSE,TRUE))</formula>
    </cfRule>
  </conditionalFormatting>
  <conditionalFormatting sqref="Q27:Q28">
    <cfRule type="expression" dxfId="265" priority="517">
      <formula>OR(IF(Q27&lt;R27,TRUE),IF(AND(R27="",Q27&lt;&gt;""),TRUE))</formula>
    </cfRule>
    <cfRule type="expression" dxfId="264" priority="518">
      <formula>IF(Q27&gt;=R27,IF(Q27="",FALSE,TRUE))</formula>
    </cfRule>
  </conditionalFormatting>
  <conditionalFormatting sqref="BE27:BE28">
    <cfRule type="expression" dxfId="263" priority="471">
      <formula>OR(IF(BE27&lt;BF27,TRUE),IF(AND(BF27="",BE27&lt;&gt;""),TRUE))</formula>
    </cfRule>
    <cfRule type="expression" dxfId="262" priority="472">
      <formula>IF(BE27&gt;=BF27,IF(BE27="",FALSE,TRUE))</formula>
    </cfRule>
  </conditionalFormatting>
  <conditionalFormatting sqref="V27:V28">
    <cfRule type="expression" dxfId="261" priority="511">
      <formula>OR(IF(V27&lt;W27,TRUE),IF(AND(W27="",V27&lt;&gt;""),TRUE))</formula>
    </cfRule>
    <cfRule type="expression" dxfId="260" priority="512">
      <formula>IF(V27&gt;=W27,IF(V27="",FALSE,TRUE))</formula>
    </cfRule>
  </conditionalFormatting>
  <conditionalFormatting sqref="X27:X28">
    <cfRule type="expression" dxfId="259" priority="509">
      <formula>OR(IF(X27&lt;Y27,TRUE),IF(AND(Y27="",X27&lt;&gt;""),TRUE))</formula>
    </cfRule>
    <cfRule type="expression" dxfId="258" priority="510">
      <formula>IF(X27&gt;=Y27,IF(X27="",FALSE,TRUE))</formula>
    </cfRule>
  </conditionalFormatting>
  <conditionalFormatting sqref="AC27:AC28">
    <cfRule type="expression" dxfId="257" priority="503">
      <formula>OR(IF(AC27&lt;AD27,TRUE),IF(AND(AD27="",AC27&lt;&gt;""),TRUE))</formula>
    </cfRule>
    <cfRule type="expression" dxfId="256" priority="504">
      <formula>IF(AC27&gt;=AD27,IF(AC27="",FALSE,TRUE))</formula>
    </cfRule>
  </conditionalFormatting>
  <conditionalFormatting sqref="AE27:AE28">
    <cfRule type="expression" dxfId="255" priority="501">
      <formula>OR(IF(AE27&lt;AF27,TRUE),IF(AND(AF27="",AE27&lt;&gt;""),TRUE))</formula>
    </cfRule>
    <cfRule type="expression" dxfId="254" priority="502">
      <formula>IF(AE27&gt;=AF27,IF(AE27="",FALSE,TRUE))</formula>
    </cfRule>
  </conditionalFormatting>
  <conditionalFormatting sqref="AJ27:AJ28">
    <cfRule type="expression" dxfId="253" priority="495">
      <formula>OR(IF(AJ27&lt;AK27,TRUE),IF(AND(AK27="",AJ27&lt;&gt;""),TRUE))</formula>
    </cfRule>
    <cfRule type="expression" dxfId="252" priority="496">
      <formula>IF(AJ27&gt;=AK27,IF(AJ27="",FALSE,TRUE))</formula>
    </cfRule>
  </conditionalFormatting>
  <conditionalFormatting sqref="AL27:AL28">
    <cfRule type="expression" dxfId="251" priority="493">
      <formula>OR(IF(AL27&lt;AM27,TRUE),IF(AND(AM27="",AL27&lt;&gt;""),TRUE))</formula>
    </cfRule>
    <cfRule type="expression" dxfId="250" priority="494">
      <formula>IF(AL27&gt;=AM27,IF(AL27="",FALSE,TRUE))</formula>
    </cfRule>
  </conditionalFormatting>
  <conditionalFormatting sqref="AQ27:AQ28">
    <cfRule type="expression" dxfId="249" priority="487">
      <formula>OR(IF(AQ27&lt;AR27,TRUE),IF(AND(AR27="",AQ27&lt;&gt;""),TRUE))</formula>
    </cfRule>
    <cfRule type="expression" dxfId="248" priority="488">
      <formula>IF(AQ27&gt;=AR27,IF(AQ27="",FALSE,TRUE))</formula>
    </cfRule>
  </conditionalFormatting>
  <conditionalFormatting sqref="AS27:AS28">
    <cfRule type="expression" dxfId="247" priority="485">
      <formula>OR(IF(AS27&lt;AT27,TRUE),IF(AND(AT27="",AS27&lt;&gt;""),TRUE))</formula>
    </cfRule>
    <cfRule type="expression" dxfId="246" priority="486">
      <formula>IF(AS27&gt;=AT27,IF(AS27="",FALSE,TRUE))</formula>
    </cfRule>
  </conditionalFormatting>
  <conditionalFormatting sqref="AX27:AX28">
    <cfRule type="expression" dxfId="245" priority="479">
      <formula>OR(IF(AX27&lt;AY27,TRUE),IF(AND(AY27="",AX27&lt;&gt;""),TRUE))</formula>
    </cfRule>
    <cfRule type="expression" dxfId="244" priority="480">
      <formula>IF(AX27&gt;=AY27,IF(AX27="",FALSE,TRUE))</formula>
    </cfRule>
  </conditionalFormatting>
  <conditionalFormatting sqref="AZ27:AZ28">
    <cfRule type="expression" dxfId="243" priority="477">
      <formula>OR(IF(AZ27&lt;BA27,TRUE),IF(AND(BA27="",AZ27&lt;&gt;""),TRUE))</formula>
    </cfRule>
    <cfRule type="expression" dxfId="242" priority="478">
      <formula>IF(AZ27&gt;=BA27,IF(AZ27="",FALSE,TRUE))</formula>
    </cfRule>
  </conditionalFormatting>
  <conditionalFormatting sqref="BG27:BG28">
    <cfRule type="expression" dxfId="241" priority="469">
      <formula>OR(IF(BG27&lt;BH27,TRUE),IF(AND(BH27="",BG27&lt;&gt;""),TRUE))</formula>
    </cfRule>
    <cfRule type="expression" dxfId="240" priority="470">
      <formula>IF(BG27&gt;=BH27,IF(BG27="",FALSE,TRUE))</formula>
    </cfRule>
  </conditionalFormatting>
  <conditionalFormatting sqref="O39:O40">
    <cfRule type="expression" dxfId="239" priority="460">
      <formula>OR(IF(O39&lt;P39,TRUE),IF(AND(P39="",O39&lt;&gt;""),TRUE))</formula>
    </cfRule>
    <cfRule type="expression" dxfId="238" priority="461">
      <formula>IF(O39&gt;=P39,IF(O39="",FALSE,TRUE))</formula>
    </cfRule>
  </conditionalFormatting>
  <conditionalFormatting sqref="Q39:Q40">
    <cfRule type="expression" dxfId="237" priority="458">
      <formula>OR(IF(Q39&lt;R39,TRUE),IF(AND(R39="",Q39&lt;&gt;""),TRUE))</formula>
    </cfRule>
    <cfRule type="expression" dxfId="236" priority="459">
      <formula>IF(Q39&gt;=R39,IF(Q39="",FALSE,TRUE))</formula>
    </cfRule>
  </conditionalFormatting>
  <conditionalFormatting sqref="BE39:BE40">
    <cfRule type="expression" dxfId="235" priority="412">
      <formula>OR(IF(BE39&lt;BF39,TRUE),IF(AND(BF39="",BE39&lt;&gt;""),TRUE))</formula>
    </cfRule>
    <cfRule type="expression" dxfId="234" priority="413">
      <formula>IF(BE39&gt;=BF39,IF(BE39="",FALSE,TRUE))</formula>
    </cfRule>
  </conditionalFormatting>
  <conditionalFormatting sqref="V39:V40">
    <cfRule type="expression" dxfId="233" priority="452">
      <formula>OR(IF(V39&lt;W39,TRUE),IF(AND(W39="",V39&lt;&gt;""),TRUE))</formula>
    </cfRule>
    <cfRule type="expression" dxfId="232" priority="453">
      <formula>IF(V39&gt;=W39,IF(V39="",FALSE,TRUE))</formula>
    </cfRule>
  </conditionalFormatting>
  <conditionalFormatting sqref="X39:X40">
    <cfRule type="expression" dxfId="231" priority="450">
      <formula>OR(IF(X39&lt;Y39,TRUE),IF(AND(Y39="",X39&lt;&gt;""),TRUE))</formula>
    </cfRule>
    <cfRule type="expression" dxfId="230" priority="451">
      <formula>IF(X39&gt;=Y39,IF(X39="",FALSE,TRUE))</formula>
    </cfRule>
  </conditionalFormatting>
  <conditionalFormatting sqref="AC39:AC40">
    <cfRule type="expression" dxfId="229" priority="444">
      <formula>OR(IF(AC39&lt;AD39,TRUE),IF(AND(AD39="",AC39&lt;&gt;""),TRUE))</formula>
    </cfRule>
    <cfRule type="expression" dxfId="228" priority="445">
      <formula>IF(AC39&gt;=AD39,IF(AC39="",FALSE,TRUE))</formula>
    </cfRule>
  </conditionalFormatting>
  <conditionalFormatting sqref="AE39:AE40">
    <cfRule type="expression" dxfId="227" priority="442">
      <formula>OR(IF(AE39&lt;AF39,TRUE),IF(AND(AF39="",AE39&lt;&gt;""),TRUE))</formula>
    </cfRule>
    <cfRule type="expression" dxfId="226" priority="443">
      <formula>IF(AE39&gt;=AF39,IF(AE39="",FALSE,TRUE))</formula>
    </cfRule>
  </conditionalFormatting>
  <conditionalFormatting sqref="AJ39:AJ40">
    <cfRule type="expression" dxfId="225" priority="436">
      <formula>OR(IF(AJ39&lt;AK39,TRUE),IF(AND(AK39="",AJ39&lt;&gt;""),TRUE))</formula>
    </cfRule>
    <cfRule type="expression" dxfId="224" priority="437">
      <formula>IF(AJ39&gt;=AK39,IF(AJ39="",FALSE,TRUE))</formula>
    </cfRule>
  </conditionalFormatting>
  <conditionalFormatting sqref="AL39:AL40">
    <cfRule type="expression" dxfId="223" priority="434">
      <formula>OR(IF(AL39&lt;AM39,TRUE),IF(AND(AM39="",AL39&lt;&gt;""),TRUE))</formula>
    </cfRule>
    <cfRule type="expression" dxfId="222" priority="435">
      <formula>IF(AL39&gt;=AM39,IF(AL39="",FALSE,TRUE))</formula>
    </cfRule>
  </conditionalFormatting>
  <conditionalFormatting sqref="AQ39:AQ40">
    <cfRule type="expression" dxfId="221" priority="428">
      <formula>OR(IF(AQ39&lt;AR39,TRUE),IF(AND(AR39="",AQ39&lt;&gt;""),TRUE))</formula>
    </cfRule>
    <cfRule type="expression" dxfId="220" priority="429">
      <formula>IF(AQ39&gt;=AR39,IF(AQ39="",FALSE,TRUE))</formula>
    </cfRule>
  </conditionalFormatting>
  <conditionalFormatting sqref="AS39:AS40">
    <cfRule type="expression" dxfId="219" priority="426">
      <formula>OR(IF(AS39&lt;AT39,TRUE),IF(AND(AT39="",AS39&lt;&gt;""),TRUE))</formula>
    </cfRule>
    <cfRule type="expression" dxfId="218" priority="427">
      <formula>IF(AS39&gt;=AT39,IF(AS39="",FALSE,TRUE))</formula>
    </cfRule>
  </conditionalFormatting>
  <conditionalFormatting sqref="AX39:AX40">
    <cfRule type="expression" dxfId="217" priority="420">
      <formula>OR(IF(AX39&lt;AY39,TRUE),IF(AND(AY39="",AX39&lt;&gt;""),TRUE))</formula>
    </cfRule>
    <cfRule type="expression" dxfId="216" priority="421">
      <formula>IF(AX39&gt;=AY39,IF(AX39="",FALSE,TRUE))</formula>
    </cfRule>
  </conditionalFormatting>
  <conditionalFormatting sqref="AZ39:AZ40">
    <cfRule type="expression" dxfId="215" priority="418">
      <formula>OR(IF(AZ39&lt;BA39,TRUE),IF(AND(BA39="",AZ39&lt;&gt;""),TRUE))</formula>
    </cfRule>
    <cfRule type="expression" dxfId="214" priority="419">
      <formula>IF(AZ39&gt;=BA39,IF(AZ39="",FALSE,TRUE))</formula>
    </cfRule>
  </conditionalFormatting>
  <conditionalFormatting sqref="BG39:BG40">
    <cfRule type="expression" dxfId="213" priority="410">
      <formula>OR(IF(BG39&lt;BH39,TRUE),IF(AND(BH39="",BG39&lt;&gt;""),TRUE))</formula>
    </cfRule>
    <cfRule type="expression" dxfId="212" priority="411">
      <formula>IF(BG39&gt;=BH39,IF(BG39="",FALSE,TRUE))</formula>
    </cfRule>
  </conditionalFormatting>
  <conditionalFormatting sqref="J6:K15">
    <cfRule type="colorScale" priority="711">
      <colorScale>
        <cfvo type="percent" val="0"/>
        <cfvo type="percent" val="100"/>
        <color rgb="FFFF231B"/>
        <color rgb="FF10FF07"/>
      </colorScale>
    </cfRule>
  </conditionalFormatting>
  <conditionalFormatting sqref="J5:J15">
    <cfRule type="colorScale" priority="740">
      <colorScale>
        <cfvo type="percent" val="0"/>
        <cfvo type="percent" val="100"/>
        <color rgb="FFFF231B"/>
        <color rgb="FF10FF07"/>
      </colorScale>
    </cfRule>
  </conditionalFormatting>
  <conditionalFormatting sqref="K5:K15">
    <cfRule type="colorScale" priority="741">
      <colorScale>
        <cfvo type="percent" val="0"/>
        <cfvo type="percent" val="100"/>
        <color rgb="FFFF231B"/>
        <color rgb="FF10FF07"/>
      </colorScale>
    </cfRule>
  </conditionalFormatting>
  <conditionalFormatting sqref="O51:O52">
    <cfRule type="expression" dxfId="211" priority="401">
      <formula>OR(IF(O51&lt;P51,TRUE),IF(AND(P51="",O51&lt;&gt;""),TRUE))</formula>
    </cfRule>
    <cfRule type="expression" dxfId="210" priority="402">
      <formula>IF(O51&gt;=P51,IF(O51="",FALSE,TRUE))</formula>
    </cfRule>
  </conditionalFormatting>
  <conditionalFormatting sqref="Q51:Q52">
    <cfRule type="expression" dxfId="209" priority="399">
      <formula>OR(IF(Q51&lt;R51,TRUE),IF(AND(R51="",Q51&lt;&gt;""),TRUE))</formula>
    </cfRule>
    <cfRule type="expression" dxfId="208" priority="400">
      <formula>IF(Q51&gt;=R51,IF(Q51="",FALSE,TRUE))</formula>
    </cfRule>
  </conditionalFormatting>
  <conditionalFormatting sqref="BE51:BE52">
    <cfRule type="expression" dxfId="207" priority="353">
      <formula>OR(IF(BE51&lt;BF51,TRUE),IF(AND(BF51="",BE51&lt;&gt;""),TRUE))</formula>
    </cfRule>
    <cfRule type="expression" dxfId="206" priority="354">
      <formula>IF(BE51&gt;=BF51,IF(BE51="",FALSE,TRUE))</formula>
    </cfRule>
  </conditionalFormatting>
  <conditionalFormatting sqref="V51:V52">
    <cfRule type="expression" dxfId="205" priority="393">
      <formula>OR(IF(V51&lt;W51,TRUE),IF(AND(W51="",V51&lt;&gt;""),TRUE))</formula>
    </cfRule>
    <cfRule type="expression" dxfId="204" priority="394">
      <formula>IF(V51&gt;=W51,IF(V51="",FALSE,TRUE))</formula>
    </cfRule>
  </conditionalFormatting>
  <conditionalFormatting sqref="X51:X52">
    <cfRule type="expression" dxfId="203" priority="391">
      <formula>OR(IF(X51&lt;Y51,TRUE),IF(AND(Y51="",X51&lt;&gt;""),TRUE))</formula>
    </cfRule>
    <cfRule type="expression" dxfId="202" priority="392">
      <formula>IF(X51&gt;=Y51,IF(X51="",FALSE,TRUE))</formula>
    </cfRule>
  </conditionalFormatting>
  <conditionalFormatting sqref="AC51:AC52">
    <cfRule type="expression" dxfId="201" priority="385">
      <formula>OR(IF(AC51&lt;AD51,TRUE),IF(AND(AD51="",AC51&lt;&gt;""),TRUE))</formula>
    </cfRule>
    <cfRule type="expression" dxfId="200" priority="386">
      <formula>IF(AC51&gt;=AD51,IF(AC51="",FALSE,TRUE))</formula>
    </cfRule>
  </conditionalFormatting>
  <conditionalFormatting sqref="AE51:AE52">
    <cfRule type="expression" dxfId="199" priority="383">
      <formula>OR(IF(AE51&lt;AF51,TRUE),IF(AND(AF51="",AE51&lt;&gt;""),TRUE))</formula>
    </cfRule>
    <cfRule type="expression" dxfId="198" priority="384">
      <formula>IF(AE51&gt;=AF51,IF(AE51="",FALSE,TRUE))</formula>
    </cfRule>
  </conditionalFormatting>
  <conditionalFormatting sqref="AJ51:AJ52">
    <cfRule type="expression" dxfId="197" priority="377">
      <formula>OR(IF(AJ51&lt;AK51,TRUE),IF(AND(AK51="",AJ51&lt;&gt;""),TRUE))</formula>
    </cfRule>
    <cfRule type="expression" dxfId="196" priority="378">
      <formula>IF(AJ51&gt;=AK51,IF(AJ51="",FALSE,TRUE))</formula>
    </cfRule>
  </conditionalFormatting>
  <conditionalFormatting sqref="AL51:AL52">
    <cfRule type="expression" dxfId="195" priority="375">
      <formula>OR(IF(AL51&lt;AM51,TRUE),IF(AND(AM51="",AL51&lt;&gt;""),TRUE))</formula>
    </cfRule>
    <cfRule type="expression" dxfId="194" priority="376">
      <formula>IF(AL51&gt;=AM51,IF(AL51="",FALSE,TRUE))</formula>
    </cfRule>
  </conditionalFormatting>
  <conditionalFormatting sqref="AQ51:AQ52">
    <cfRule type="expression" dxfId="193" priority="369">
      <formula>OR(IF(AQ51&lt;AR51,TRUE),IF(AND(AR51="",AQ51&lt;&gt;""),TRUE))</formula>
    </cfRule>
    <cfRule type="expression" dxfId="192" priority="370">
      <formula>IF(AQ51&gt;=AR51,IF(AQ51="",FALSE,TRUE))</formula>
    </cfRule>
  </conditionalFormatting>
  <conditionalFormatting sqref="AS51:AS52">
    <cfRule type="expression" dxfId="191" priority="367">
      <formula>OR(IF(AS51&lt;AT51,TRUE),IF(AND(AT51="",AS51&lt;&gt;""),TRUE))</formula>
    </cfRule>
    <cfRule type="expression" dxfId="190" priority="368">
      <formula>IF(AS51&gt;=AT51,IF(AS51="",FALSE,TRUE))</formula>
    </cfRule>
  </conditionalFormatting>
  <conditionalFormatting sqref="AX51:AX52">
    <cfRule type="expression" dxfId="189" priority="361">
      <formula>OR(IF(AX51&lt;AY51,TRUE),IF(AND(AY51="",AX51&lt;&gt;""),TRUE))</formula>
    </cfRule>
    <cfRule type="expression" dxfId="188" priority="362">
      <formula>IF(AX51&gt;=AY51,IF(AX51="",FALSE,TRUE))</formula>
    </cfRule>
  </conditionalFormatting>
  <conditionalFormatting sqref="AZ51:AZ52">
    <cfRule type="expression" dxfId="187" priority="359">
      <formula>OR(IF(AZ51&lt;BA51,TRUE),IF(AND(BA51="",AZ51&lt;&gt;""),TRUE))</formula>
    </cfRule>
    <cfRule type="expression" dxfId="186" priority="360">
      <formula>IF(AZ51&gt;=BA51,IF(AZ51="",FALSE,TRUE))</formula>
    </cfRule>
  </conditionalFormatting>
  <conditionalFormatting sqref="BG51:BG52">
    <cfRule type="expression" dxfId="185" priority="351">
      <formula>OR(IF(BG51&lt;BH51,TRUE),IF(AND(BH51="",BG51&lt;&gt;""),TRUE))</formula>
    </cfRule>
    <cfRule type="expression" dxfId="184" priority="352">
      <formula>IF(BG51&gt;=BH51,IF(BG51="",FALSE,TRUE))</formula>
    </cfRule>
  </conditionalFormatting>
  <conditionalFormatting sqref="J28:K36">
    <cfRule type="colorScale" priority="801">
      <colorScale>
        <cfvo type="percent" val="0"/>
        <cfvo type="percent" val="100"/>
        <color rgb="FFFF231B"/>
        <color rgb="FF10FF07"/>
      </colorScale>
    </cfRule>
  </conditionalFormatting>
  <conditionalFormatting sqref="J27:J36">
    <cfRule type="colorScale" priority="802">
      <colorScale>
        <cfvo type="percent" val="0"/>
        <cfvo type="percent" val="100"/>
        <color rgb="FFFF231B"/>
        <color rgb="FF10FF07"/>
      </colorScale>
    </cfRule>
  </conditionalFormatting>
  <conditionalFormatting sqref="K27:K36">
    <cfRule type="colorScale" priority="803">
      <colorScale>
        <cfvo type="percent" val="0"/>
        <cfvo type="percent" val="100"/>
        <color rgb="FFFF231B"/>
        <color rgb="FF10FF07"/>
      </colorScale>
    </cfRule>
  </conditionalFormatting>
  <conditionalFormatting sqref="J40:K48">
    <cfRule type="colorScale" priority="832">
      <colorScale>
        <cfvo type="percent" val="0"/>
        <cfvo type="percent" val="100"/>
        <color rgb="FFFF231B"/>
        <color rgb="FF10FF07"/>
      </colorScale>
    </cfRule>
  </conditionalFormatting>
  <conditionalFormatting sqref="J39:J48">
    <cfRule type="colorScale" priority="833">
      <colorScale>
        <cfvo type="percent" val="0"/>
        <cfvo type="percent" val="100"/>
        <color rgb="FFFF231B"/>
        <color rgb="FF10FF07"/>
      </colorScale>
    </cfRule>
  </conditionalFormatting>
  <conditionalFormatting sqref="K39:K48">
    <cfRule type="colorScale" priority="834">
      <colorScale>
        <cfvo type="percent" val="0"/>
        <cfvo type="percent" val="100"/>
        <color rgb="FFFF231B"/>
        <color rgb="FF10FF07"/>
      </colorScale>
    </cfRule>
  </conditionalFormatting>
  <conditionalFormatting sqref="J52:K60">
    <cfRule type="colorScale" priority="863">
      <colorScale>
        <cfvo type="percent" val="0"/>
        <cfvo type="percent" val="100"/>
        <color rgb="FFFF231B"/>
        <color rgb="FF10FF07"/>
      </colorScale>
    </cfRule>
  </conditionalFormatting>
  <conditionalFormatting sqref="J51:J60">
    <cfRule type="colorScale" priority="864">
      <colorScale>
        <cfvo type="percent" val="0"/>
        <cfvo type="percent" val="100"/>
        <color rgb="FFFF231B"/>
        <color rgb="FF10FF07"/>
      </colorScale>
    </cfRule>
  </conditionalFormatting>
  <conditionalFormatting sqref="K51:K60">
    <cfRule type="colorScale" priority="865">
      <colorScale>
        <cfvo type="percent" val="0"/>
        <cfvo type="percent" val="100"/>
        <color rgb="FFFF231B"/>
        <color rgb="FF10FF07"/>
      </colorScale>
    </cfRule>
  </conditionalFormatting>
  <conditionalFormatting sqref="BN29:BN36 BL29:BL36 BN41:BN48 BL41:BL48 BN53:BN60 BL53:BL60 BL5:BL15 BN5:BN15">
    <cfRule type="expression" dxfId="183" priority="283">
      <formula>OR(IF(BL5&lt;BM5,TRUE),IF(AND(BM5="",BL5&lt;&gt;""),TRUE))</formula>
    </cfRule>
    <cfRule type="expression" dxfId="182" priority="284">
      <formula>IF(BL5&gt;=BM5,IF(BL5="",FALSE,TRUE))</formula>
    </cfRule>
  </conditionalFormatting>
  <conditionalFormatting sqref="BL27:BL28">
    <cfRule type="expression" dxfId="181" priority="277">
      <formula>OR(IF(BL27&lt;BM27,TRUE),IF(AND(BM27="",BL27&lt;&gt;""),TRUE))</formula>
    </cfRule>
    <cfRule type="expression" dxfId="180" priority="278">
      <formula>IF(BL27&gt;=BM27,IF(BL27="",FALSE,TRUE))</formula>
    </cfRule>
  </conditionalFormatting>
  <conditionalFormatting sqref="BN27:BN28">
    <cfRule type="expression" dxfId="179" priority="275">
      <formula>OR(IF(BN27&lt;BO27,TRUE),IF(AND(BO27="",BN27&lt;&gt;""),TRUE))</formula>
    </cfRule>
    <cfRule type="expression" dxfId="178" priority="276">
      <formula>IF(BN27&gt;=BO27,IF(BN27="",FALSE,TRUE))</formula>
    </cfRule>
  </conditionalFormatting>
  <conditionalFormatting sqref="BL39:BL40">
    <cfRule type="expression" dxfId="177" priority="273">
      <formula>OR(IF(BL39&lt;BM39,TRUE),IF(AND(BM39="",BL39&lt;&gt;""),TRUE))</formula>
    </cfRule>
    <cfRule type="expression" dxfId="176" priority="274">
      <formula>IF(BL39&gt;=BM39,IF(BL39="",FALSE,TRUE))</formula>
    </cfRule>
  </conditionalFormatting>
  <conditionalFormatting sqref="BN39:BN40">
    <cfRule type="expression" dxfId="175" priority="271">
      <formula>OR(IF(BN39&lt;BO39,TRUE),IF(AND(BO39="",BN39&lt;&gt;""),TRUE))</formula>
    </cfRule>
    <cfRule type="expression" dxfId="174" priority="272">
      <formula>IF(BN39&gt;=BO39,IF(BN39="",FALSE,TRUE))</formula>
    </cfRule>
  </conditionalFormatting>
  <conditionalFormatting sqref="BL51:BL52">
    <cfRule type="expression" dxfId="173" priority="269">
      <formula>OR(IF(BL51&lt;BM51,TRUE),IF(AND(BM51="",BL51&lt;&gt;""),TRUE))</formula>
    </cfRule>
    <cfRule type="expression" dxfId="172" priority="270">
      <formula>IF(BL51&gt;=BM51,IF(BL51="",FALSE,TRUE))</formula>
    </cfRule>
  </conditionalFormatting>
  <conditionalFormatting sqref="BN51:BN52">
    <cfRule type="expression" dxfId="171" priority="267">
      <formula>OR(IF(BN51&lt;BO51,TRUE),IF(AND(BO51="",BN51&lt;&gt;""),TRUE))</formula>
    </cfRule>
    <cfRule type="expression" dxfId="170" priority="268">
      <formula>IF(BN51&gt;=BO51,IF(BN51="",FALSE,TRUE))</formula>
    </cfRule>
  </conditionalFormatting>
  <conditionalFormatting sqref="BU29:BU36 BS29:BS36 BU41:BU48 BS41:BS48 BU53:BU60 BS53:BS60 BS5:BS15 BU5:BU15">
    <cfRule type="expression" dxfId="169" priority="261">
      <formula>OR(IF(BS5&lt;BT5,TRUE),IF(AND(BT5="",BS5&lt;&gt;""),TRUE))</formula>
    </cfRule>
    <cfRule type="expression" dxfId="168" priority="262">
      <formula>IF(BS5&gt;=BT5,IF(BS5="",FALSE,TRUE))</formula>
    </cfRule>
  </conditionalFormatting>
  <conditionalFormatting sqref="BS27:BS28">
    <cfRule type="expression" dxfId="167" priority="255">
      <formula>OR(IF(BS27&lt;BT27,TRUE),IF(AND(BT27="",BS27&lt;&gt;""),TRUE))</formula>
    </cfRule>
    <cfRule type="expression" dxfId="166" priority="256">
      <formula>IF(BS27&gt;=BT27,IF(BS27="",FALSE,TRUE))</formula>
    </cfRule>
  </conditionalFormatting>
  <conditionalFormatting sqref="BU27:BU28">
    <cfRule type="expression" dxfId="165" priority="253">
      <formula>OR(IF(BU27&lt;BV27,TRUE),IF(AND(BV27="",BU27&lt;&gt;""),TRUE))</formula>
    </cfRule>
    <cfRule type="expression" dxfId="164" priority="254">
      <formula>IF(BU27&gt;=BV27,IF(BU27="",FALSE,TRUE))</formula>
    </cfRule>
  </conditionalFormatting>
  <conditionalFormatting sqref="BS39:BS40">
    <cfRule type="expression" dxfId="163" priority="251">
      <formula>OR(IF(BS39&lt;BT39,TRUE),IF(AND(BT39="",BS39&lt;&gt;""),TRUE))</formula>
    </cfRule>
    <cfRule type="expression" dxfId="162" priority="252">
      <formula>IF(BS39&gt;=BT39,IF(BS39="",FALSE,TRUE))</formula>
    </cfRule>
  </conditionalFormatting>
  <conditionalFormatting sqref="BU39:BU40">
    <cfRule type="expression" dxfId="161" priority="249">
      <formula>OR(IF(BU39&lt;BV39,TRUE),IF(AND(BV39="",BU39&lt;&gt;""),TRUE))</formula>
    </cfRule>
    <cfRule type="expression" dxfId="160" priority="250">
      <formula>IF(BU39&gt;=BV39,IF(BU39="",FALSE,TRUE))</formula>
    </cfRule>
  </conditionalFormatting>
  <conditionalFormatting sqref="BS51:BS52">
    <cfRule type="expression" dxfId="159" priority="247">
      <formula>OR(IF(BS51&lt;BT51,TRUE),IF(AND(BT51="",BS51&lt;&gt;""),TRUE))</formula>
    </cfRule>
    <cfRule type="expression" dxfId="158" priority="248">
      <formula>IF(BS51&gt;=BT51,IF(BS51="",FALSE,TRUE))</formula>
    </cfRule>
  </conditionalFormatting>
  <conditionalFormatting sqref="BU51:BU52">
    <cfRule type="expression" dxfId="157" priority="245">
      <formula>OR(IF(BU51&lt;BV51,TRUE),IF(AND(BV51="",BU51&lt;&gt;""),TRUE))</formula>
    </cfRule>
    <cfRule type="expression" dxfId="156" priority="246">
      <formula>IF(BU51&gt;=BV51,IF(BU51="",FALSE,TRUE))</formula>
    </cfRule>
  </conditionalFormatting>
  <conditionalFormatting sqref="CB29:CB36 BZ29:BZ36 CB41:CB48 BZ41:BZ48 CB53:CB60 BZ53:BZ60 BZ5:BZ15 CB5:CB15">
    <cfRule type="expression" dxfId="155" priority="239">
      <formula>OR(IF(BZ5&lt;CA5,TRUE),IF(AND(CA5="",BZ5&lt;&gt;""),TRUE))</formula>
    </cfRule>
    <cfRule type="expression" dxfId="154" priority="240">
      <formula>IF(BZ5&gt;=CA5,IF(BZ5="",FALSE,TRUE))</formula>
    </cfRule>
  </conditionalFormatting>
  <conditionalFormatting sqref="BZ27:BZ28">
    <cfRule type="expression" dxfId="153" priority="233">
      <formula>OR(IF(BZ27&lt;CA27,TRUE),IF(AND(CA27="",BZ27&lt;&gt;""),TRUE))</formula>
    </cfRule>
    <cfRule type="expression" dxfId="152" priority="234">
      <formula>IF(BZ27&gt;=CA27,IF(BZ27="",FALSE,TRUE))</formula>
    </cfRule>
  </conditionalFormatting>
  <conditionalFormatting sqref="CB27:CB28">
    <cfRule type="expression" dxfId="151" priority="231">
      <formula>OR(IF(CB27&lt;CC27,TRUE),IF(AND(CC27="",CB27&lt;&gt;""),TRUE))</formula>
    </cfRule>
    <cfRule type="expression" dxfId="150" priority="232">
      <formula>IF(CB27&gt;=CC27,IF(CB27="",FALSE,TRUE))</formula>
    </cfRule>
  </conditionalFormatting>
  <conditionalFormatting sqref="BZ39:BZ40">
    <cfRule type="expression" dxfId="149" priority="229">
      <formula>OR(IF(BZ39&lt;CA39,TRUE),IF(AND(CA39="",BZ39&lt;&gt;""),TRUE))</formula>
    </cfRule>
    <cfRule type="expression" dxfId="148" priority="230">
      <formula>IF(BZ39&gt;=CA39,IF(BZ39="",FALSE,TRUE))</formula>
    </cfRule>
  </conditionalFormatting>
  <conditionalFormatting sqref="CB39:CB40">
    <cfRule type="expression" dxfId="147" priority="227">
      <formula>OR(IF(CB39&lt;CC39,TRUE),IF(AND(CC39="",CB39&lt;&gt;""),TRUE))</formula>
    </cfRule>
    <cfRule type="expression" dxfId="146" priority="228">
      <formula>IF(CB39&gt;=CC39,IF(CB39="",FALSE,TRUE))</formula>
    </cfRule>
  </conditionalFormatting>
  <conditionalFormatting sqref="BZ51:BZ52">
    <cfRule type="expression" dxfId="145" priority="225">
      <formula>OR(IF(BZ51&lt;CA51,TRUE),IF(AND(CA51="",BZ51&lt;&gt;""),TRUE))</formula>
    </cfRule>
    <cfRule type="expression" dxfId="144" priority="226">
      <formula>IF(BZ51&gt;=CA51,IF(BZ51="",FALSE,TRUE))</formula>
    </cfRule>
  </conditionalFormatting>
  <conditionalFormatting sqref="CB51:CB52">
    <cfRule type="expression" dxfId="143" priority="223">
      <formula>OR(IF(CB51&lt;CC51,TRUE),IF(AND(CC51="",CB51&lt;&gt;""),TRUE))</formula>
    </cfRule>
    <cfRule type="expression" dxfId="142" priority="224">
      <formula>IF(CB51&gt;=CC51,IF(CB51="",FALSE,TRUE))</formula>
    </cfRule>
  </conditionalFormatting>
  <conditionalFormatting sqref="CI29:CI36 CG29:CG36 CI41:CI48 CG41:CG48 CI53:CI60 CG53:CG60 CG5:CG15">
    <cfRule type="expression" dxfId="141" priority="217">
      <formula>OR(IF(CG5&lt;CH5,TRUE),IF(AND(CH5="",CG5&lt;&gt;""),TRUE))</formula>
    </cfRule>
    <cfRule type="expression" dxfId="140" priority="218">
      <formula>IF(CG5&gt;=CH5,IF(CG5="",FALSE,TRUE))</formula>
    </cfRule>
  </conditionalFormatting>
  <conditionalFormatting sqref="CG27:CG28">
    <cfRule type="expression" dxfId="139" priority="211">
      <formula>OR(IF(CG27&lt;CH27,TRUE),IF(AND(CH27="",CG27&lt;&gt;""),TRUE))</formula>
    </cfRule>
    <cfRule type="expression" dxfId="138" priority="212">
      <formula>IF(CG27&gt;=CH27,IF(CG27="",FALSE,TRUE))</formula>
    </cfRule>
  </conditionalFormatting>
  <conditionalFormatting sqref="CI27:CI28">
    <cfRule type="expression" dxfId="137" priority="209">
      <formula>OR(IF(CI27&lt;CJ27,TRUE),IF(AND(CJ27="",CI27&lt;&gt;""),TRUE))</formula>
    </cfRule>
    <cfRule type="expression" dxfId="136" priority="210">
      <formula>IF(CI27&gt;=CJ27,IF(CI27="",FALSE,TRUE))</formula>
    </cfRule>
  </conditionalFormatting>
  <conditionalFormatting sqref="CG39:CG40">
    <cfRule type="expression" dxfId="135" priority="207">
      <formula>OR(IF(CG39&lt;CH39,TRUE),IF(AND(CH39="",CG39&lt;&gt;""),TRUE))</formula>
    </cfRule>
    <cfRule type="expression" dxfId="134" priority="208">
      <formula>IF(CG39&gt;=CH39,IF(CG39="",FALSE,TRUE))</formula>
    </cfRule>
  </conditionalFormatting>
  <conditionalFormatting sqref="CI39:CI40">
    <cfRule type="expression" dxfId="133" priority="205">
      <formula>OR(IF(CI39&lt;CJ39,TRUE),IF(AND(CJ39="",CI39&lt;&gt;""),TRUE))</formula>
    </cfRule>
    <cfRule type="expression" dxfId="132" priority="206">
      <formula>IF(CI39&gt;=CJ39,IF(CI39="",FALSE,TRUE))</formula>
    </cfRule>
  </conditionalFormatting>
  <conditionalFormatting sqref="CG51:CG52">
    <cfRule type="expression" dxfId="131" priority="203">
      <formula>OR(IF(CG51&lt;CH51,TRUE),IF(AND(CH51="",CG51&lt;&gt;""),TRUE))</formula>
    </cfRule>
    <cfRule type="expression" dxfId="130" priority="204">
      <formula>IF(CG51&gt;=CH51,IF(CG51="",FALSE,TRUE))</formula>
    </cfRule>
  </conditionalFormatting>
  <conditionalFormatting sqref="CI51:CI52">
    <cfRule type="expression" dxfId="129" priority="201">
      <formula>OR(IF(CI51&lt;CJ51,TRUE),IF(AND(CJ51="",CI51&lt;&gt;""),TRUE))</formula>
    </cfRule>
    <cfRule type="expression" dxfId="128" priority="202">
      <formula>IF(CI51&gt;=CJ51,IF(CI51="",FALSE,TRUE))</formula>
    </cfRule>
  </conditionalFormatting>
  <conditionalFormatting sqref="CW29:CW36 CU29:CU36 CW41:CW48 CU41:CU48 CW53:CW60 CU53:CU60 CU5:CU15 CW5:CW15">
    <cfRule type="expression" dxfId="127" priority="173">
      <formula>OR(IF(CU5&lt;CV5,TRUE),IF(AND(CV5="",CU5&lt;&gt;""),TRUE))</formula>
    </cfRule>
    <cfRule type="expression" dxfId="126" priority="174">
      <formula>IF(CU5&gt;=CV5,IF(CU5="",FALSE,TRUE))</formula>
    </cfRule>
  </conditionalFormatting>
  <conditionalFormatting sqref="CU27:CU28">
    <cfRule type="expression" dxfId="125" priority="167">
      <formula>OR(IF(CU27&lt;CV27,TRUE),IF(AND(CV27="",CU27&lt;&gt;""),TRUE))</formula>
    </cfRule>
    <cfRule type="expression" dxfId="124" priority="168">
      <formula>IF(CU27&gt;=CV27,IF(CU27="",FALSE,TRUE))</formula>
    </cfRule>
  </conditionalFormatting>
  <conditionalFormatting sqref="CW27:CW28">
    <cfRule type="expression" dxfId="123" priority="165">
      <formula>OR(IF(CW27&lt;CX27,TRUE),IF(AND(CX27="",CW27&lt;&gt;""),TRUE))</formula>
    </cfRule>
    <cfRule type="expression" dxfId="122" priority="166">
      <formula>IF(CW27&gt;=CX27,IF(CW27="",FALSE,TRUE))</formula>
    </cfRule>
  </conditionalFormatting>
  <conditionalFormatting sqref="CU39:CU40">
    <cfRule type="expression" dxfId="121" priority="163">
      <formula>OR(IF(CU39&lt;CV39,TRUE),IF(AND(CV39="",CU39&lt;&gt;""),TRUE))</formula>
    </cfRule>
    <cfRule type="expression" dxfId="120" priority="164">
      <formula>IF(CU39&gt;=CV39,IF(CU39="",FALSE,TRUE))</formula>
    </cfRule>
  </conditionalFormatting>
  <conditionalFormatting sqref="CW39:CW40">
    <cfRule type="expression" dxfId="119" priority="161">
      <formula>OR(IF(CW39&lt;CX39,TRUE),IF(AND(CX39="",CW39&lt;&gt;""),TRUE))</formula>
    </cfRule>
    <cfRule type="expression" dxfId="118" priority="162">
      <formula>IF(CW39&gt;=CX39,IF(CW39="",FALSE,TRUE))</formula>
    </cfRule>
  </conditionalFormatting>
  <conditionalFormatting sqref="CU51:CU52">
    <cfRule type="expression" dxfId="117" priority="159">
      <formula>OR(IF(CU51&lt;CV51,TRUE),IF(AND(CV51="",CU51&lt;&gt;""),TRUE))</formula>
    </cfRule>
    <cfRule type="expression" dxfId="116" priority="160">
      <formula>IF(CU51&gt;=CV51,IF(CU51="",FALSE,TRUE))</formula>
    </cfRule>
  </conditionalFormatting>
  <conditionalFormatting sqref="CW51:CW52">
    <cfRule type="expression" dxfId="115" priority="157">
      <formula>OR(IF(CW51&lt;CX51,TRUE),IF(AND(CX51="",CW51&lt;&gt;""),TRUE))</formula>
    </cfRule>
    <cfRule type="expression" dxfId="114" priority="158">
      <formula>IF(CW51&gt;=CX51,IF(CW51="",FALSE,TRUE))</formula>
    </cfRule>
  </conditionalFormatting>
  <conditionalFormatting sqref="DD29:DD36 DB29:DB36 DD41:DD48 DB41:DB48 DD53:DD60 DB53:DB60 DB5:DB15 DD5:DD15">
    <cfRule type="expression" dxfId="113" priority="151">
      <formula>OR(IF(DB5&lt;DC5,TRUE),IF(AND(DC5="",DB5&lt;&gt;""),TRUE))</formula>
    </cfRule>
    <cfRule type="expression" dxfId="112" priority="152">
      <formula>IF(DB5&gt;=DC5,IF(DB5="",FALSE,TRUE))</formula>
    </cfRule>
  </conditionalFormatting>
  <conditionalFormatting sqref="DB27:DB28">
    <cfRule type="expression" dxfId="111" priority="145">
      <formula>OR(IF(DB27&lt;DC27,TRUE),IF(AND(DC27="",DB27&lt;&gt;""),TRUE))</formula>
    </cfRule>
    <cfRule type="expression" dxfId="110" priority="146">
      <formula>IF(DB27&gt;=DC27,IF(DB27="",FALSE,TRUE))</formula>
    </cfRule>
  </conditionalFormatting>
  <conditionalFormatting sqref="DD27:DD28">
    <cfRule type="expression" dxfId="109" priority="143">
      <formula>OR(IF(DD27&lt;DE27,TRUE),IF(AND(DE27="",DD27&lt;&gt;""),TRUE))</formula>
    </cfRule>
    <cfRule type="expression" dxfId="108" priority="144">
      <formula>IF(DD27&gt;=DE27,IF(DD27="",FALSE,TRUE))</formula>
    </cfRule>
  </conditionalFormatting>
  <conditionalFormatting sqref="DB39:DB40">
    <cfRule type="expression" dxfId="107" priority="141">
      <formula>OR(IF(DB39&lt;DC39,TRUE),IF(AND(DC39="",DB39&lt;&gt;""),TRUE))</formula>
    </cfRule>
    <cfRule type="expression" dxfId="106" priority="142">
      <formula>IF(DB39&gt;=DC39,IF(DB39="",FALSE,TRUE))</formula>
    </cfRule>
  </conditionalFormatting>
  <conditionalFormatting sqref="DD39:DD40">
    <cfRule type="expression" dxfId="105" priority="139">
      <formula>OR(IF(DD39&lt;DE39,TRUE),IF(AND(DE39="",DD39&lt;&gt;""),TRUE))</formula>
    </cfRule>
    <cfRule type="expression" dxfId="104" priority="140">
      <formula>IF(DD39&gt;=DE39,IF(DD39="",FALSE,TRUE))</formula>
    </cfRule>
  </conditionalFormatting>
  <conditionalFormatting sqref="DB51:DB52">
    <cfRule type="expression" dxfId="103" priority="137">
      <formula>OR(IF(DB51&lt;DC51,TRUE),IF(AND(DC51="",DB51&lt;&gt;""),TRUE))</formula>
    </cfRule>
    <cfRule type="expression" dxfId="102" priority="138">
      <formula>IF(DB51&gt;=DC51,IF(DB51="",FALSE,TRUE))</formula>
    </cfRule>
  </conditionalFormatting>
  <conditionalFormatting sqref="DD51:DD52">
    <cfRule type="expression" dxfId="101" priority="135">
      <formula>OR(IF(DD51&lt;DE51,TRUE),IF(AND(DE51="",DD51&lt;&gt;""),TRUE))</formula>
    </cfRule>
    <cfRule type="expression" dxfId="100" priority="136">
      <formula>IF(DD51&gt;=DE51,IF(DD51="",FALSE,TRUE))</formula>
    </cfRule>
  </conditionalFormatting>
  <conditionalFormatting sqref="DK29:DK36 DI29:DI36 DK41:DK48 DI41:DI48 DK53:DK60 DI53:DI60 DI5:DI15 DK5:DK15">
    <cfRule type="expression" dxfId="99" priority="129">
      <formula>OR(IF(DI5&lt;DJ5,TRUE),IF(AND(DJ5="",DI5&lt;&gt;""),TRUE))</formula>
    </cfRule>
    <cfRule type="expression" dxfId="98" priority="130">
      <formula>IF(DI5&gt;=DJ5,IF(DI5="",FALSE,TRUE))</formula>
    </cfRule>
  </conditionalFormatting>
  <conditionalFormatting sqref="DI27:DI28">
    <cfRule type="expression" dxfId="97" priority="123">
      <formula>OR(IF(DI27&lt;DJ27,TRUE),IF(AND(DJ27="",DI27&lt;&gt;""),TRUE))</formula>
    </cfRule>
    <cfRule type="expression" dxfId="96" priority="124">
      <formula>IF(DI27&gt;=DJ27,IF(DI27="",FALSE,TRUE))</formula>
    </cfRule>
  </conditionalFormatting>
  <conditionalFormatting sqref="DK27:DK28">
    <cfRule type="expression" dxfId="95" priority="121">
      <formula>OR(IF(DK27&lt;DL27,TRUE),IF(AND(DL27="",DK27&lt;&gt;""),TRUE))</formula>
    </cfRule>
    <cfRule type="expression" dxfId="94" priority="122">
      <formula>IF(DK27&gt;=DL27,IF(DK27="",FALSE,TRUE))</formula>
    </cfRule>
  </conditionalFormatting>
  <conditionalFormatting sqref="DI39:DI40">
    <cfRule type="expression" dxfId="93" priority="119">
      <formula>OR(IF(DI39&lt;DJ39,TRUE),IF(AND(DJ39="",DI39&lt;&gt;""),TRUE))</formula>
    </cfRule>
    <cfRule type="expression" dxfId="92" priority="120">
      <formula>IF(DI39&gt;=DJ39,IF(DI39="",FALSE,TRUE))</formula>
    </cfRule>
  </conditionalFormatting>
  <conditionalFormatting sqref="DK39:DK40">
    <cfRule type="expression" dxfId="91" priority="117">
      <formula>OR(IF(DK39&lt;DL39,TRUE),IF(AND(DL39="",DK39&lt;&gt;""),TRUE))</formula>
    </cfRule>
    <cfRule type="expression" dxfId="90" priority="118">
      <formula>IF(DK39&gt;=DL39,IF(DK39="",FALSE,TRUE))</formula>
    </cfRule>
  </conditionalFormatting>
  <conditionalFormatting sqref="DI51:DI52">
    <cfRule type="expression" dxfId="89" priority="115">
      <formula>OR(IF(DI51&lt;DJ51,TRUE),IF(AND(DJ51="",DI51&lt;&gt;""),TRUE))</formula>
    </cfRule>
    <cfRule type="expression" dxfId="88" priority="116">
      <formula>IF(DI51&gt;=DJ51,IF(DI51="",FALSE,TRUE))</formula>
    </cfRule>
  </conditionalFormatting>
  <conditionalFormatting sqref="DK51:DK52">
    <cfRule type="expression" dxfId="87" priority="113">
      <formula>OR(IF(DK51&lt;DL51,TRUE),IF(AND(DL51="",DK51&lt;&gt;""),TRUE))</formula>
    </cfRule>
    <cfRule type="expression" dxfId="86" priority="114">
      <formula>IF(DK51&gt;=DL51,IF(DK51="",FALSE,TRUE))</formula>
    </cfRule>
  </conditionalFormatting>
  <conditionalFormatting sqref="DR29:DR36 DP29:DP36 DR41:DR48 DP41:DP48 DR53:DR60 DP53:DP60 DP5:DP15 DR5:DR15">
    <cfRule type="expression" dxfId="85" priority="107">
      <formula>OR(IF(DP5&lt;DQ5,TRUE),IF(AND(DQ5="",DP5&lt;&gt;""),TRUE))</formula>
    </cfRule>
    <cfRule type="expression" dxfId="84" priority="108">
      <formula>IF(DP5&gt;=DQ5,IF(DP5="",FALSE,TRUE))</formula>
    </cfRule>
  </conditionalFormatting>
  <conditionalFormatting sqref="DP27:DP28">
    <cfRule type="expression" dxfId="83" priority="101">
      <formula>OR(IF(DP27&lt;DQ27,TRUE),IF(AND(DQ27="",DP27&lt;&gt;""),TRUE))</formula>
    </cfRule>
    <cfRule type="expression" dxfId="82" priority="102">
      <formula>IF(DP27&gt;=DQ27,IF(DP27="",FALSE,TRUE))</formula>
    </cfRule>
  </conditionalFormatting>
  <conditionalFormatting sqref="DR27:DR28">
    <cfRule type="expression" dxfId="81" priority="99">
      <formula>OR(IF(DR27&lt;DS27,TRUE),IF(AND(DS27="",DR27&lt;&gt;""),TRUE))</formula>
    </cfRule>
    <cfRule type="expression" dxfId="80" priority="100">
      <formula>IF(DR27&gt;=DS27,IF(DR27="",FALSE,TRUE))</formula>
    </cfRule>
  </conditionalFormatting>
  <conditionalFormatting sqref="DP39:DP40">
    <cfRule type="expression" dxfId="79" priority="97">
      <formula>OR(IF(DP39&lt;DQ39,TRUE),IF(AND(DQ39="",DP39&lt;&gt;""),TRUE))</formula>
    </cfRule>
    <cfRule type="expression" dxfId="78" priority="98">
      <formula>IF(DP39&gt;=DQ39,IF(DP39="",FALSE,TRUE))</formula>
    </cfRule>
  </conditionalFormatting>
  <conditionalFormatting sqref="DR39:DR40">
    <cfRule type="expression" dxfId="77" priority="95">
      <formula>OR(IF(DR39&lt;DS39,TRUE),IF(AND(DS39="",DR39&lt;&gt;""),TRUE))</formula>
    </cfRule>
    <cfRule type="expression" dxfId="76" priority="96">
      <formula>IF(DR39&gt;=DS39,IF(DR39="",FALSE,TRUE))</formula>
    </cfRule>
  </conditionalFormatting>
  <conditionalFormatting sqref="DP51:DP52">
    <cfRule type="expression" dxfId="75" priority="93">
      <formula>OR(IF(DP51&lt;DQ51,TRUE),IF(AND(DQ51="",DP51&lt;&gt;""),TRUE))</formula>
    </cfRule>
    <cfRule type="expression" dxfId="74" priority="94">
      <formula>IF(DP51&gt;=DQ51,IF(DP51="",FALSE,TRUE))</formula>
    </cfRule>
  </conditionalFormatting>
  <conditionalFormatting sqref="DR51:DR52">
    <cfRule type="expression" dxfId="73" priority="91">
      <formula>OR(IF(DR51&lt;DS51,TRUE),IF(AND(DS51="",DR51&lt;&gt;""),TRUE))</formula>
    </cfRule>
    <cfRule type="expression" dxfId="72" priority="92">
      <formula>IF(DR51&gt;=DS51,IF(DR51="",FALSE,TRUE))</formula>
    </cfRule>
  </conditionalFormatting>
  <conditionalFormatting sqref="DY29:DY36 DW29:DW36 DY41:DY48 DW41:DW48 DY53:DY60 DW53:DW60 DW5:DW15 DY5:DY15">
    <cfRule type="expression" dxfId="71" priority="85">
      <formula>OR(IF(DW5&lt;DX5,TRUE),IF(AND(DX5="",DW5&lt;&gt;""),TRUE))</formula>
    </cfRule>
    <cfRule type="expression" dxfId="70" priority="86">
      <formula>IF(DW5&gt;=DX5,IF(DW5="",FALSE,TRUE))</formula>
    </cfRule>
  </conditionalFormatting>
  <conditionalFormatting sqref="DW27:DW28">
    <cfRule type="expression" dxfId="69" priority="79">
      <formula>OR(IF(DW27&lt;DX27,TRUE),IF(AND(DX27="",DW27&lt;&gt;""),TRUE))</formula>
    </cfRule>
    <cfRule type="expression" dxfId="68" priority="80">
      <formula>IF(DW27&gt;=DX27,IF(DW27="",FALSE,TRUE))</formula>
    </cfRule>
  </conditionalFormatting>
  <conditionalFormatting sqref="DY27:DY28">
    <cfRule type="expression" dxfId="67" priority="77">
      <formula>OR(IF(DY27&lt;DZ27,TRUE),IF(AND(DZ27="",DY27&lt;&gt;""),TRUE))</formula>
    </cfRule>
    <cfRule type="expression" dxfId="66" priority="78">
      <formula>IF(DY27&gt;=DZ27,IF(DY27="",FALSE,TRUE))</formula>
    </cfRule>
  </conditionalFormatting>
  <conditionalFormatting sqref="DW39:DW40">
    <cfRule type="expression" dxfId="65" priority="75">
      <formula>OR(IF(DW39&lt;DX39,TRUE),IF(AND(DX39="",DW39&lt;&gt;""),TRUE))</formula>
    </cfRule>
    <cfRule type="expression" dxfId="64" priority="76">
      <formula>IF(DW39&gt;=DX39,IF(DW39="",FALSE,TRUE))</formula>
    </cfRule>
  </conditionalFormatting>
  <conditionalFormatting sqref="DY39:DY40">
    <cfRule type="expression" dxfId="63" priority="73">
      <formula>OR(IF(DY39&lt;DZ39,TRUE),IF(AND(DZ39="",DY39&lt;&gt;""),TRUE))</formula>
    </cfRule>
    <cfRule type="expression" dxfId="62" priority="74">
      <formula>IF(DY39&gt;=DZ39,IF(DY39="",FALSE,TRUE))</formula>
    </cfRule>
  </conditionalFormatting>
  <conditionalFormatting sqref="DW51:DW52">
    <cfRule type="expression" dxfId="61" priority="71">
      <formula>OR(IF(DW51&lt;DX51,TRUE),IF(AND(DX51="",DW51&lt;&gt;""),TRUE))</formula>
    </cfRule>
    <cfRule type="expression" dxfId="60" priority="72">
      <formula>IF(DW51&gt;=DX51,IF(DW51="",FALSE,TRUE))</formula>
    </cfRule>
  </conditionalFormatting>
  <conditionalFormatting sqref="DY51:DY52">
    <cfRule type="expression" dxfId="59" priority="69">
      <formula>OR(IF(DY51&lt;DZ51,TRUE),IF(AND(DZ51="",DY51&lt;&gt;""),TRUE))</formula>
    </cfRule>
    <cfRule type="expression" dxfId="58" priority="70">
      <formula>IF(DY51&gt;=DZ51,IF(DY51="",FALSE,TRUE))</formula>
    </cfRule>
  </conditionalFormatting>
  <conditionalFormatting sqref="EF29:EF36 ED29:ED36 EF41:EF48 ED41:ED48 EF53:EF60 ED53:ED60 ED5:ED15 EF5:EF15">
    <cfRule type="expression" dxfId="57" priority="63">
      <formula>OR(IF(ED5&lt;EE5,TRUE),IF(AND(EE5="",ED5&lt;&gt;""),TRUE))</formula>
    </cfRule>
    <cfRule type="expression" dxfId="56" priority="64">
      <formula>IF(ED5&gt;=EE5,IF(ED5="",FALSE,TRUE))</formula>
    </cfRule>
  </conditionalFormatting>
  <conditionalFormatting sqref="ED27:ED28">
    <cfRule type="expression" dxfId="55" priority="57">
      <formula>OR(IF(ED27&lt;EE27,TRUE),IF(AND(EE27="",ED27&lt;&gt;""),TRUE))</formula>
    </cfRule>
    <cfRule type="expression" dxfId="54" priority="58">
      <formula>IF(ED27&gt;=EE27,IF(ED27="",FALSE,TRUE))</formula>
    </cfRule>
  </conditionalFormatting>
  <conditionalFormatting sqref="EF27:EF28">
    <cfRule type="expression" dxfId="53" priority="55">
      <formula>OR(IF(EF27&lt;EG27,TRUE),IF(AND(EG27="",EF27&lt;&gt;""),TRUE))</formula>
    </cfRule>
    <cfRule type="expression" dxfId="52" priority="56">
      <formula>IF(EF27&gt;=EG27,IF(EF27="",FALSE,TRUE))</formula>
    </cfRule>
  </conditionalFormatting>
  <conditionalFormatting sqref="ED39:ED40">
    <cfRule type="expression" dxfId="51" priority="53">
      <formula>OR(IF(ED39&lt;EE39,TRUE),IF(AND(EE39="",ED39&lt;&gt;""),TRUE))</formula>
    </cfRule>
    <cfRule type="expression" dxfId="50" priority="54">
      <formula>IF(ED39&gt;=EE39,IF(ED39="",FALSE,TRUE))</formula>
    </cfRule>
  </conditionalFormatting>
  <conditionalFormatting sqref="EF39:EF40">
    <cfRule type="expression" dxfId="49" priority="51">
      <formula>OR(IF(EF39&lt;EG39,TRUE),IF(AND(EG39="",EF39&lt;&gt;""),TRUE))</formula>
    </cfRule>
    <cfRule type="expression" dxfId="48" priority="52">
      <formula>IF(EF39&gt;=EG39,IF(EF39="",FALSE,TRUE))</formula>
    </cfRule>
  </conditionalFormatting>
  <conditionalFormatting sqref="ED51:ED52">
    <cfRule type="expression" dxfId="47" priority="49">
      <formula>OR(IF(ED51&lt;EE51,TRUE),IF(AND(EE51="",ED51&lt;&gt;""),TRUE))</formula>
    </cfRule>
    <cfRule type="expression" dxfId="46" priority="50">
      <formula>IF(ED51&gt;=EE51,IF(ED51="",FALSE,TRUE))</formula>
    </cfRule>
  </conditionalFormatting>
  <conditionalFormatting sqref="EF51:EF52">
    <cfRule type="expression" dxfId="45" priority="47">
      <formula>OR(IF(EF51&lt;EG51,TRUE),IF(AND(EG51="",EF51&lt;&gt;""),TRUE))</formula>
    </cfRule>
    <cfRule type="expression" dxfId="44" priority="48">
      <formula>IF(EF51&gt;=EG51,IF(EF51="",FALSE,TRUE))</formula>
    </cfRule>
  </conditionalFormatting>
  <conditionalFormatting sqref="EM29:EM36 EK29:EK36 EM41:EM48 EK41:EK48 EM53:EM60 EK53:EK60 EK5:EK15 EM5:EM15">
    <cfRule type="expression" dxfId="43" priority="41">
      <formula>OR(IF(EK5&lt;EL5,TRUE),IF(AND(EL5="",EK5&lt;&gt;""),TRUE))</formula>
    </cfRule>
    <cfRule type="expression" dxfId="42" priority="42">
      <formula>IF(EK5&gt;=EL5,IF(EK5="",FALSE,TRUE))</formula>
    </cfRule>
  </conditionalFormatting>
  <conditionalFormatting sqref="EK27:EK28">
    <cfRule type="expression" dxfId="41" priority="35">
      <formula>OR(IF(EK27&lt;EL27,TRUE),IF(AND(EL27="",EK27&lt;&gt;""),TRUE))</formula>
    </cfRule>
    <cfRule type="expression" dxfId="40" priority="36">
      <formula>IF(EK27&gt;=EL27,IF(EK27="",FALSE,TRUE))</formula>
    </cfRule>
  </conditionalFormatting>
  <conditionalFormatting sqref="EM27:EM28">
    <cfRule type="expression" dxfId="39" priority="33">
      <formula>OR(IF(EM27&lt;EN27,TRUE),IF(AND(EN27="",EM27&lt;&gt;""),TRUE))</formula>
    </cfRule>
    <cfRule type="expression" dxfId="38" priority="34">
      <formula>IF(EM27&gt;=EN27,IF(EM27="",FALSE,TRUE))</formula>
    </cfRule>
  </conditionalFormatting>
  <conditionalFormatting sqref="EK39:EK40">
    <cfRule type="expression" dxfId="37" priority="31">
      <formula>OR(IF(EK39&lt;EL39,TRUE),IF(AND(EL39="",EK39&lt;&gt;""),TRUE))</formula>
    </cfRule>
    <cfRule type="expression" dxfId="36" priority="32">
      <formula>IF(EK39&gt;=EL39,IF(EK39="",FALSE,TRUE))</formula>
    </cfRule>
  </conditionalFormatting>
  <conditionalFormatting sqref="EM39:EM40">
    <cfRule type="expression" dxfId="35" priority="29">
      <formula>OR(IF(EM39&lt;EN39,TRUE),IF(AND(EN39="",EM39&lt;&gt;""),TRUE))</formula>
    </cfRule>
    <cfRule type="expression" dxfId="34" priority="30">
      <formula>IF(EM39&gt;=EN39,IF(EM39="",FALSE,TRUE))</formula>
    </cfRule>
  </conditionalFormatting>
  <conditionalFormatting sqref="EK51:EK52">
    <cfRule type="expression" dxfId="33" priority="27">
      <formula>OR(IF(EK51&lt;EL51,TRUE),IF(AND(EL51="",EK51&lt;&gt;""),TRUE))</formula>
    </cfRule>
    <cfRule type="expression" dxfId="32" priority="28">
      <formula>IF(EK51&gt;=EL51,IF(EK51="",FALSE,TRUE))</formula>
    </cfRule>
  </conditionalFormatting>
  <conditionalFormatting sqref="EM51:EM52">
    <cfRule type="expression" dxfId="31" priority="25">
      <formula>OR(IF(EM51&lt;EN51,TRUE),IF(AND(EN51="",EM51&lt;&gt;""),TRUE))</formula>
    </cfRule>
    <cfRule type="expression" dxfId="30" priority="26">
      <formula>IF(EM51&gt;=EN51,IF(EM51="",FALSE,TRUE))</formula>
    </cfRule>
  </conditionalFormatting>
  <conditionalFormatting sqref="J19:K24">
    <cfRule type="colorScale" priority="925">
      <colorScale>
        <cfvo type="percent" val="0"/>
        <cfvo type="percent" val="100"/>
        <color rgb="FFFF231B"/>
        <color rgb="FF10FF07"/>
      </colorScale>
    </cfRule>
  </conditionalFormatting>
  <conditionalFormatting sqref="CI5">
    <cfRule type="expression" dxfId="29" priority="930">
      <formula>OR(IF(CI5&lt;CJ4,TRUE),IF(AND(CJ4="",CI5&lt;&gt;""),TRUE))</formula>
    </cfRule>
    <cfRule type="expression" dxfId="28" priority="931">
      <formula>IF(CI5&gt;=CJ4,IF(CI5="",FALSE,TRUE))</formula>
    </cfRule>
  </conditionalFormatting>
  <conditionalFormatting sqref="CP29:CP36 CN29:CN36 CP41:CP48 CN41:CN48 CP53:CP60 CN53:CN60 CN5:CN15">
    <cfRule type="expression" dxfId="27" priority="17">
      <formula>OR(IF(CN5&lt;CO5,TRUE),IF(AND(CO5="",CN5&lt;&gt;""),TRUE))</formula>
    </cfRule>
    <cfRule type="expression" dxfId="26" priority="18">
      <formula>IF(CN5&gt;=CO5,IF(CN5="",FALSE,TRUE))</formula>
    </cfRule>
  </conditionalFormatting>
  <conditionalFormatting sqref="CN27:CN28">
    <cfRule type="expression" dxfId="25" priority="11">
      <formula>OR(IF(CN27&lt;CO27,TRUE),IF(AND(CO27="",CN27&lt;&gt;""),TRUE))</formula>
    </cfRule>
    <cfRule type="expression" dxfId="24" priority="12">
      <formula>IF(CN27&gt;=CO27,IF(CN27="",FALSE,TRUE))</formula>
    </cfRule>
  </conditionalFormatting>
  <conditionalFormatting sqref="CP27:CP28">
    <cfRule type="expression" dxfId="23" priority="9">
      <formula>OR(IF(CP27&lt;CQ27,TRUE),IF(AND(CQ27="",CP27&lt;&gt;""),TRUE))</formula>
    </cfRule>
    <cfRule type="expression" dxfId="22" priority="10">
      <formula>IF(CP27&gt;=CQ27,IF(CP27="",FALSE,TRUE))</formula>
    </cfRule>
  </conditionalFormatting>
  <conditionalFormatting sqref="CN39:CN40">
    <cfRule type="expression" dxfId="21" priority="7">
      <formula>OR(IF(CN39&lt;CO39,TRUE),IF(AND(CO39="",CN39&lt;&gt;""),TRUE))</formula>
    </cfRule>
    <cfRule type="expression" dxfId="20" priority="8">
      <formula>IF(CN39&gt;=CO39,IF(CN39="",FALSE,TRUE))</formula>
    </cfRule>
  </conditionalFormatting>
  <conditionalFormatting sqref="CP39:CP40">
    <cfRule type="expression" dxfId="19" priority="5">
      <formula>OR(IF(CP39&lt;CQ39,TRUE),IF(AND(CQ39="",CP39&lt;&gt;""),TRUE))</formula>
    </cfRule>
    <cfRule type="expression" dxfId="18" priority="6">
      <formula>IF(CP39&gt;=CQ39,IF(CP39="",FALSE,TRUE))</formula>
    </cfRule>
  </conditionalFormatting>
  <conditionalFormatting sqref="CN51:CN52">
    <cfRule type="expression" dxfId="17" priority="3">
      <formula>OR(IF(CN51&lt;CO51,TRUE),IF(AND(CO51="",CN51&lt;&gt;""),TRUE))</formula>
    </cfRule>
    <cfRule type="expression" dxfId="16" priority="4">
      <formula>IF(CN51&gt;=CO51,IF(CN51="",FALSE,TRUE))</formula>
    </cfRule>
  </conditionalFormatting>
  <conditionalFormatting sqref="CP51:CP52">
    <cfRule type="expression" dxfId="15" priority="1">
      <formula>OR(IF(CP51&lt;CQ51,TRUE),IF(AND(CQ51="",CP51&lt;&gt;""),TRUE))</formula>
    </cfRule>
    <cfRule type="expression" dxfId="14" priority="2">
      <formula>IF(CP51&gt;=CQ51,IF(CP51="",FALSE,TRUE))</formula>
    </cfRule>
  </conditionalFormatting>
  <conditionalFormatting sqref="CP4">
    <cfRule type="expression" dxfId="13" priority="19">
      <formula>OR(IF(CP4&lt;CQ4,TRUE),IF(AND(CQ4="",CP4&lt;&gt;""),TRUE))</formula>
    </cfRule>
    <cfRule type="expression" dxfId="12" priority="20">
      <formula>IF(CP4&gt;=CQ4,IF(CP4="",FALSE,TRUE))</formula>
    </cfRule>
  </conditionalFormatting>
  <conditionalFormatting sqref="J18:J24">
    <cfRule type="colorScale" priority="1076">
      <colorScale>
        <cfvo type="percent" val="0"/>
        <cfvo type="percent" val="100"/>
        <color rgb="FFFF231B"/>
        <color rgb="FF10FF07"/>
      </colorScale>
    </cfRule>
  </conditionalFormatting>
  <conditionalFormatting sqref="K18:K24">
    <cfRule type="colorScale" priority="1078">
      <colorScale>
        <cfvo type="percent" val="0"/>
        <cfvo type="percent" val="100"/>
        <color rgb="FFFF231B"/>
        <color rgb="FF10FF07"/>
      </colorScale>
    </cfRule>
  </conditionalFormatting>
  <dataValidations count="1">
    <dataValidation type="list" allowBlank="1" showInputMessage="1" showErrorMessage="1" sqref="V5:Y15 AC5:AF15 AJ5:AM15 AQ5:AT15 AX5:BA15 BE5:BH15 BL5:BO15 V27:Y36 AC27:AF36 AJ27:AM36 AQ27:AT36 BE27:BH36 AX27:BA36 O27:R36 V39:Y48 AC39:AF48 AJ39:AM48 AQ39:AT48 BE39:BH48 AX39:BA48 O39:R48 V51:Y60 AC51:AF60 AJ51:AM60 AQ51:AT60 BE51:BH60 AX51:BA60 O51:R60 BS5:BV15 BL27:BO36 BL39:BO48 BL51:BO60 BZ5:CC15 BS27:BV36 BS39:BV48 BS51:BV60 BZ27:CC36 BZ39:CC48 BZ51:CC60 EK51:EN60 CG27:CJ36 CG39:CJ48 CG51:CJ60 O5:R15 CU5:CX15 CJ4 CG6:CJ15 CG5:CI5 DB5:DE15 CU27:CX36 CU39:CX48 CU51:CX60 DI5:DL15 DB27:DE36 DB39:DE48 DB51:DE60 DP5:DS15 DI27:DL36 DI39:DL48 DI51:DL60 DW5:DZ15 DP27:DS36 DP39:DS48 DP51:DS60 ED5:EG15 DW27:DZ36 DW39:DZ48 DW51:DZ60 EK5:EN15 ED27:EG36 ED39:EG48 ED51:EG60 EK27:EN36 EK39:EN48 CN27:CQ36 CN39:CQ48 CN51:CQ60 CP4:CQ4 CN5:CQ15 CN18:CQ24 EK18:EN24 ED18:EG24 DW18:DZ24 DP18:DS24 DI18:DL24 DB18:DE24 CU18:CX24 CG18:CJ24 BZ18:CC24 BS18:BV24 BL18:BO24 O18:R24 AX18:BA24 BE18:BH24 AQ18:AT24 AJ18:AM24 AC18:AF24 V18:Y24" xr:uid="{DF46768B-76BD-4AD1-BDD9-05E5E50A35C8}">
      <formula1>"10%,20%,30%,40%,50%,60%,70%,80%,90%,100%"</formula1>
    </dataValidation>
  </dataValidation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6DC74A-41FF-564E-9985-F60E7FCAF3B0}">
  <dimension ref="A1:K46"/>
  <sheetViews>
    <sheetView workbookViewId="0">
      <selection activeCell="J10" sqref="J10"/>
    </sheetView>
  </sheetViews>
  <sheetFormatPr baseColWidth="10" defaultColWidth="10.625" defaultRowHeight="15.75"/>
  <cols>
    <col min="1" max="1" width="16.875" style="11" customWidth="1"/>
    <col min="2" max="2" width="19.125" style="11" customWidth="1"/>
    <col min="3" max="3" width="18.125" style="11" customWidth="1"/>
    <col min="4" max="4" width="19.5" style="11" customWidth="1"/>
    <col min="8" max="8" width="15.125" customWidth="1"/>
    <col min="10" max="10" width="42" customWidth="1"/>
    <col min="11" max="11" width="28.5" customWidth="1"/>
  </cols>
  <sheetData>
    <row r="1" spans="1:11" ht="31.5">
      <c r="A1" s="11" t="s">
        <v>41</v>
      </c>
      <c r="B1" s="17" t="s">
        <v>38</v>
      </c>
      <c r="C1" s="17" t="s">
        <v>39</v>
      </c>
      <c r="D1" s="17" t="s">
        <v>40</v>
      </c>
      <c r="E1" s="1" t="s">
        <v>42</v>
      </c>
      <c r="F1" s="1" t="s">
        <v>43</v>
      </c>
      <c r="G1" s="1" t="s">
        <v>44</v>
      </c>
      <c r="H1" s="1" t="s">
        <v>45</v>
      </c>
      <c r="I1" s="1" t="s">
        <v>46</v>
      </c>
      <c r="J1" s="1" t="s">
        <v>47</v>
      </c>
      <c r="K1" s="1" t="s">
        <v>48</v>
      </c>
    </row>
    <row r="2" spans="1:11">
      <c r="A2" s="16">
        <v>44118</v>
      </c>
      <c r="D2" s="18">
        <v>1</v>
      </c>
    </row>
    <row r="3" spans="1:11">
      <c r="A3" s="16">
        <v>44119</v>
      </c>
    </row>
    <row r="4" spans="1:11">
      <c r="A4" s="16">
        <v>44120</v>
      </c>
    </row>
    <row r="5" spans="1:11">
      <c r="A5" s="16">
        <v>44121</v>
      </c>
    </row>
    <row r="6" spans="1:11">
      <c r="A6" s="16">
        <v>44122</v>
      </c>
    </row>
    <row r="7" spans="1:11">
      <c r="A7" s="16">
        <v>44123</v>
      </c>
    </row>
    <row r="8" spans="1:11">
      <c r="A8" s="16">
        <v>44124</v>
      </c>
    </row>
    <row r="9" spans="1:11">
      <c r="A9" s="16">
        <v>44125</v>
      </c>
    </row>
    <row r="10" spans="1:11">
      <c r="A10" s="16">
        <v>44126</v>
      </c>
    </row>
    <row r="11" spans="1:11">
      <c r="A11" s="16">
        <v>44127</v>
      </c>
    </row>
    <row r="12" spans="1:11">
      <c r="A12" s="16">
        <v>44128</v>
      </c>
    </row>
    <row r="13" spans="1:11">
      <c r="A13" s="16">
        <v>44129</v>
      </c>
    </row>
    <row r="14" spans="1:11">
      <c r="A14" s="16">
        <v>44130</v>
      </c>
    </row>
    <row r="15" spans="1:11">
      <c r="A15" s="16">
        <v>44131</v>
      </c>
    </row>
    <row r="16" spans="1:11">
      <c r="A16" s="16">
        <v>44132</v>
      </c>
    </row>
    <row r="17" spans="1:1">
      <c r="A17" s="16">
        <v>44133</v>
      </c>
    </row>
    <row r="18" spans="1:1">
      <c r="A18" s="16">
        <v>44134</v>
      </c>
    </row>
    <row r="19" spans="1:1">
      <c r="A19" s="16">
        <v>44135</v>
      </c>
    </row>
    <row r="20" spans="1:1">
      <c r="A20" s="16">
        <v>44136</v>
      </c>
    </row>
    <row r="21" spans="1:1">
      <c r="A21" s="16">
        <v>44137</v>
      </c>
    </row>
    <row r="22" spans="1:1">
      <c r="A22" s="16">
        <v>44138</v>
      </c>
    </row>
    <row r="23" spans="1:1">
      <c r="A23" s="16">
        <v>44139</v>
      </c>
    </row>
    <row r="24" spans="1:1">
      <c r="A24" s="16">
        <v>44140</v>
      </c>
    </row>
    <row r="25" spans="1:1">
      <c r="A25" s="16">
        <v>44141</v>
      </c>
    </row>
    <row r="26" spans="1:1">
      <c r="A26" s="16">
        <v>44142</v>
      </c>
    </row>
    <row r="27" spans="1:1">
      <c r="A27" s="16">
        <v>44143</v>
      </c>
    </row>
    <row r="28" spans="1:1">
      <c r="A28" s="16">
        <v>44144</v>
      </c>
    </row>
    <row r="29" spans="1:1">
      <c r="A29" s="16">
        <v>44145</v>
      </c>
    </row>
    <row r="30" spans="1:1">
      <c r="A30" s="16">
        <v>44146</v>
      </c>
    </row>
    <row r="31" spans="1:1">
      <c r="A31" s="16">
        <v>44147</v>
      </c>
    </row>
    <row r="32" spans="1:1">
      <c r="A32" s="16">
        <v>44148</v>
      </c>
    </row>
    <row r="33" spans="1:1">
      <c r="A33" s="16">
        <v>44149</v>
      </c>
    </row>
    <row r="34" spans="1:1">
      <c r="A34" s="16">
        <v>44150</v>
      </c>
    </row>
    <row r="35" spans="1:1">
      <c r="A35" s="16">
        <v>44151</v>
      </c>
    </row>
    <row r="36" spans="1:1">
      <c r="A36" s="16">
        <v>44152</v>
      </c>
    </row>
    <row r="37" spans="1:1">
      <c r="A37" s="16">
        <v>44153</v>
      </c>
    </row>
    <row r="38" spans="1:1">
      <c r="A38" s="16">
        <v>44154</v>
      </c>
    </row>
    <row r="39" spans="1:1">
      <c r="A39" s="16">
        <v>44155</v>
      </c>
    </row>
    <row r="40" spans="1:1">
      <c r="A40" s="16">
        <v>44156</v>
      </c>
    </row>
    <row r="41" spans="1:1">
      <c r="A41" s="16">
        <v>44157</v>
      </c>
    </row>
    <row r="42" spans="1:1">
      <c r="A42" s="16">
        <v>44158</v>
      </c>
    </row>
    <row r="43" spans="1:1">
      <c r="A43" s="16">
        <v>44159</v>
      </c>
    </row>
    <row r="44" spans="1:1">
      <c r="A44" s="16">
        <v>44160</v>
      </c>
    </row>
    <row r="45" spans="1:1">
      <c r="A45" s="16">
        <v>44161</v>
      </c>
    </row>
    <row r="46" spans="1:1">
      <c r="A46" s="16">
        <v>44162</v>
      </c>
    </row>
  </sheetData>
  <conditionalFormatting sqref="B2:B46">
    <cfRule type="cellIs" dxfId="11" priority="14" operator="equal">
      <formula>"Ja"</formula>
    </cfRule>
    <cfRule type="cellIs" dxfId="10" priority="15" operator="equal">
      <formula>"Nein"</formula>
    </cfRule>
  </conditionalFormatting>
  <conditionalFormatting sqref="D2">
    <cfRule type="cellIs" dxfId="9" priority="6" operator="equal">
      <formula>1</formula>
    </cfRule>
    <cfRule type="cellIs" dxfId="8" priority="7" operator="equal">
      <formula>0.8</formula>
    </cfRule>
    <cfRule type="cellIs" dxfId="7" priority="8" operator="equal">
      <formula>0.6</formula>
    </cfRule>
    <cfRule type="cellIs" dxfId="6" priority="9" operator="equal">
      <formula>0.4</formula>
    </cfRule>
    <cfRule type="cellIs" dxfId="5" priority="10" operator="equal">
      <formula>0.2</formula>
    </cfRule>
    <cfRule type="cellIs" dxfId="4" priority="11" operator="equal">
      <formula>0</formula>
    </cfRule>
  </conditionalFormatting>
  <conditionalFormatting sqref="B2:B46">
    <cfRule type="cellIs" dxfId="3" priority="4" operator="equal">
      <formula>"Ja"</formula>
    </cfRule>
  </conditionalFormatting>
  <conditionalFormatting sqref="C2:C46">
    <cfRule type="cellIs" dxfId="2" priority="2" operator="equal">
      <formula>"Ja"</formula>
    </cfRule>
    <cfRule type="cellIs" dxfId="1" priority="3" operator="equal">
      <formula>"Nein"</formula>
    </cfRule>
  </conditionalFormatting>
  <conditionalFormatting sqref="C2:C46">
    <cfRule type="cellIs" dxfId="0" priority="1" operator="equal">
      <formula>"Ja"</formula>
    </cfRule>
  </conditionalFormatting>
  <dataValidations count="2">
    <dataValidation type="list" allowBlank="1" showInputMessage="1" showErrorMessage="1" sqref="B2:C46" xr:uid="{7FDD2772-70A7-4C43-8D43-0112E4DB6845}">
      <formula1>"Ja,Nein"</formula1>
    </dataValidation>
    <dataValidation type="list" allowBlank="1" showInputMessage="1" showErrorMessage="1" sqref="D2" xr:uid="{B2E161F3-3A4E-9042-B62A-806000DA1055}">
      <formula1>"100%,80%,60%,40%,20%,0%"</formula1>
    </dataValidation>
  </dataValidation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A01029-CCBE-F340-8963-50C19548FA2B}">
  <dimension ref="A1:H47"/>
  <sheetViews>
    <sheetView zoomScale="117" workbookViewId="0">
      <selection activeCell="C8" sqref="C8"/>
    </sheetView>
  </sheetViews>
  <sheetFormatPr baseColWidth="10" defaultColWidth="10.625" defaultRowHeight="15.75"/>
  <sheetData>
    <row r="1" spans="1:8" ht="26.25">
      <c r="B1" s="8" t="s">
        <v>25</v>
      </c>
    </row>
    <row r="4" spans="1:8">
      <c r="B4" s="3" t="s">
        <v>4</v>
      </c>
      <c r="C4" s="3" t="s">
        <v>5</v>
      </c>
      <c r="D4" s="3" t="s">
        <v>6</v>
      </c>
      <c r="E4" s="3" t="s">
        <v>7</v>
      </c>
      <c r="F4" s="3" t="s">
        <v>10</v>
      </c>
      <c r="G4" s="3" t="s">
        <v>8</v>
      </c>
      <c r="H4" s="3" t="s">
        <v>9</v>
      </c>
    </row>
    <row r="5" spans="1:8">
      <c r="A5" s="10">
        <v>0.16666666666666666</v>
      </c>
    </row>
    <row r="6" spans="1:8">
      <c r="A6" s="10">
        <v>0.1875</v>
      </c>
    </row>
    <row r="7" spans="1:8">
      <c r="A7" s="10">
        <v>0.20833333333333301</v>
      </c>
    </row>
    <row r="8" spans="1:8">
      <c r="A8" s="10">
        <v>0.22916666666666699</v>
      </c>
    </row>
    <row r="9" spans="1:8">
      <c r="A9" s="10">
        <v>0.25</v>
      </c>
    </row>
    <row r="10" spans="1:8">
      <c r="A10" s="10">
        <v>0.27083333333333398</v>
      </c>
    </row>
    <row r="11" spans="1:8">
      <c r="A11" s="10">
        <v>0.29166666666666702</v>
      </c>
    </row>
    <row r="12" spans="1:8">
      <c r="A12" s="10">
        <v>0.3125</v>
      </c>
    </row>
    <row r="13" spans="1:8">
      <c r="A13" s="10">
        <v>0.33333333333333398</v>
      </c>
    </row>
    <row r="14" spans="1:8">
      <c r="A14" s="10">
        <v>0.35416666666666702</v>
      </c>
    </row>
    <row r="15" spans="1:8">
      <c r="A15" s="10">
        <v>0.375</v>
      </c>
    </row>
    <row r="16" spans="1:8">
      <c r="A16" s="10">
        <v>0.39583333333333398</v>
      </c>
    </row>
    <row r="17" spans="1:1">
      <c r="A17" s="10">
        <v>0.41666666666666702</v>
      </c>
    </row>
    <row r="18" spans="1:1">
      <c r="A18" s="10">
        <v>0.4375</v>
      </c>
    </row>
    <row r="19" spans="1:1">
      <c r="A19" s="10">
        <v>0.45833333333333398</v>
      </c>
    </row>
    <row r="20" spans="1:1">
      <c r="A20" s="10">
        <v>0.47916666666666702</v>
      </c>
    </row>
    <row r="21" spans="1:1">
      <c r="A21" s="10">
        <v>0.5</v>
      </c>
    </row>
    <row r="22" spans="1:1">
      <c r="A22" s="10">
        <v>0.52083333333333404</v>
      </c>
    </row>
    <row r="23" spans="1:1">
      <c r="A23" s="10">
        <v>0.54166666666666696</v>
      </c>
    </row>
    <row r="24" spans="1:1">
      <c r="A24" s="10">
        <v>0.5625</v>
      </c>
    </row>
    <row r="25" spans="1:1">
      <c r="A25" s="10">
        <v>0.58333333333333404</v>
      </c>
    </row>
    <row r="26" spans="1:1">
      <c r="A26" s="10">
        <v>0.60416666666666696</v>
      </c>
    </row>
    <row r="27" spans="1:1">
      <c r="A27" s="10">
        <v>0.625000000000001</v>
      </c>
    </row>
    <row r="28" spans="1:1">
      <c r="A28" s="10">
        <v>0.64583333333333404</v>
      </c>
    </row>
    <row r="29" spans="1:1">
      <c r="A29" s="10">
        <v>0.66666666666666696</v>
      </c>
    </row>
    <row r="30" spans="1:1">
      <c r="A30" s="10">
        <v>0.687500000000001</v>
      </c>
    </row>
    <row r="31" spans="1:1">
      <c r="A31" s="10">
        <v>0.70833333333333404</v>
      </c>
    </row>
    <row r="32" spans="1:1">
      <c r="A32" s="10">
        <v>0.72916666666666696</v>
      </c>
    </row>
    <row r="33" spans="1:1">
      <c r="A33" s="10">
        <v>0.750000000000001</v>
      </c>
    </row>
    <row r="34" spans="1:1">
      <c r="A34" s="10">
        <v>0.77083333333333404</v>
      </c>
    </row>
    <row r="35" spans="1:1">
      <c r="A35" s="10">
        <v>0.79166666666666696</v>
      </c>
    </row>
    <row r="36" spans="1:1">
      <c r="A36" s="10">
        <v>0.812500000000001</v>
      </c>
    </row>
    <row r="37" spans="1:1">
      <c r="A37" s="10">
        <v>0.83333333333333404</v>
      </c>
    </row>
    <row r="38" spans="1:1">
      <c r="A38" s="10">
        <v>0.85416666666666696</v>
      </c>
    </row>
    <row r="39" spans="1:1">
      <c r="A39" s="10">
        <v>0.875000000000001</v>
      </c>
    </row>
    <row r="40" spans="1:1">
      <c r="A40" s="10">
        <v>0.89583333333333404</v>
      </c>
    </row>
    <row r="41" spans="1:1">
      <c r="A41" s="10">
        <v>0.91666666666666696</v>
      </c>
    </row>
    <row r="42" spans="1:1">
      <c r="A42" s="10">
        <v>0.937500000000001</v>
      </c>
    </row>
    <row r="43" spans="1:1">
      <c r="A43" s="10">
        <v>0.95833333333333404</v>
      </c>
    </row>
    <row r="44" spans="1:1">
      <c r="A44" s="10">
        <v>0.97916666666666696</v>
      </c>
    </row>
    <row r="45" spans="1:1">
      <c r="A45" s="10">
        <v>1</v>
      </c>
    </row>
    <row r="46" spans="1:1">
      <c r="A46" s="10">
        <v>1.0208333333333299</v>
      </c>
    </row>
    <row r="47" spans="1:1">
      <c r="A47" s="10">
        <v>1.0416666666666701</v>
      </c>
    </row>
  </sheetData>
  <pageMargins left="0.7" right="0.7" top="0.75" bottom="0.75" header="0.3" footer="0.3"/>
  <pageSetup paperSize="9" orientation="portrait" horizontalDpi="4294967293" verticalDpi="4294967293"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36C276-AAA2-A74B-8FD8-936D641BB4F1}">
  <dimension ref="A1:H47"/>
  <sheetViews>
    <sheetView zoomScale="117" workbookViewId="0">
      <selection activeCell="C9" sqref="C9:C16"/>
    </sheetView>
  </sheetViews>
  <sheetFormatPr baseColWidth="10" defaultColWidth="10.625" defaultRowHeight="15.75"/>
  <sheetData>
    <row r="1" spans="1:8" ht="26.25">
      <c r="B1" s="8" t="s">
        <v>25</v>
      </c>
    </row>
    <row r="4" spans="1:8">
      <c r="B4" s="3" t="s">
        <v>4</v>
      </c>
      <c r="C4" s="3" t="s">
        <v>5</v>
      </c>
      <c r="D4" s="3" t="s">
        <v>6</v>
      </c>
      <c r="E4" s="3" t="s">
        <v>7</v>
      </c>
      <c r="F4" s="3" t="s">
        <v>10</v>
      </c>
      <c r="G4" s="3" t="s">
        <v>8</v>
      </c>
      <c r="H4" s="3" t="s">
        <v>9</v>
      </c>
    </row>
    <row r="5" spans="1:8">
      <c r="A5" s="10">
        <v>0.16666666666666666</v>
      </c>
    </row>
    <row r="6" spans="1:8">
      <c r="A6" s="10">
        <v>0.1875</v>
      </c>
    </row>
    <row r="7" spans="1:8">
      <c r="A7" s="10">
        <v>0.20833333333333301</v>
      </c>
    </row>
    <row r="8" spans="1:8">
      <c r="A8" s="10">
        <v>0.22916666666666699</v>
      </c>
    </row>
    <row r="9" spans="1:8">
      <c r="A9" s="10">
        <v>0.25</v>
      </c>
    </row>
    <row r="10" spans="1:8">
      <c r="A10" s="10">
        <v>0.27083333333333398</v>
      </c>
    </row>
    <row r="11" spans="1:8">
      <c r="A11" s="10">
        <v>0.29166666666666702</v>
      </c>
    </row>
    <row r="12" spans="1:8">
      <c r="A12" s="10">
        <v>0.3125</v>
      </c>
    </row>
    <row r="13" spans="1:8">
      <c r="A13" s="10">
        <v>0.33333333333333398</v>
      </c>
    </row>
    <row r="14" spans="1:8">
      <c r="A14" s="10">
        <v>0.35416666666666702</v>
      </c>
    </row>
    <row r="15" spans="1:8">
      <c r="A15" s="10">
        <v>0.375</v>
      </c>
    </row>
    <row r="16" spans="1:8">
      <c r="A16" s="10">
        <v>0.39583333333333398</v>
      </c>
    </row>
    <row r="17" spans="1:1">
      <c r="A17" s="10">
        <v>0.41666666666666702</v>
      </c>
    </row>
    <row r="18" spans="1:1">
      <c r="A18" s="10">
        <v>0.4375</v>
      </c>
    </row>
    <row r="19" spans="1:1">
      <c r="A19" s="10">
        <v>0.45833333333333398</v>
      </c>
    </row>
    <row r="20" spans="1:1">
      <c r="A20" s="10">
        <v>0.47916666666666702</v>
      </c>
    </row>
    <row r="21" spans="1:1">
      <c r="A21" s="10">
        <v>0.5</v>
      </c>
    </row>
    <row r="22" spans="1:1">
      <c r="A22" s="10">
        <v>0.52083333333333404</v>
      </c>
    </row>
    <row r="23" spans="1:1">
      <c r="A23" s="10">
        <v>0.54166666666666696</v>
      </c>
    </row>
    <row r="24" spans="1:1">
      <c r="A24" s="10">
        <v>0.5625</v>
      </c>
    </row>
    <row r="25" spans="1:1">
      <c r="A25" s="10">
        <v>0.58333333333333404</v>
      </c>
    </row>
    <row r="26" spans="1:1">
      <c r="A26" s="10">
        <v>0.60416666666666696</v>
      </c>
    </row>
    <row r="27" spans="1:1">
      <c r="A27" s="10">
        <v>0.625000000000001</v>
      </c>
    </row>
    <row r="28" spans="1:1">
      <c r="A28" s="10">
        <v>0.64583333333333404</v>
      </c>
    </row>
    <row r="29" spans="1:1">
      <c r="A29" s="10">
        <v>0.66666666666666696</v>
      </c>
    </row>
    <row r="30" spans="1:1">
      <c r="A30" s="10">
        <v>0.687500000000001</v>
      </c>
    </row>
    <row r="31" spans="1:1">
      <c r="A31" s="10">
        <v>0.70833333333333404</v>
      </c>
    </row>
    <row r="32" spans="1:1">
      <c r="A32" s="10">
        <v>0.72916666666666696</v>
      </c>
    </row>
    <row r="33" spans="1:1">
      <c r="A33" s="10">
        <v>0.750000000000001</v>
      </c>
    </row>
    <row r="34" spans="1:1">
      <c r="A34" s="10">
        <v>0.77083333333333404</v>
      </c>
    </row>
    <row r="35" spans="1:1">
      <c r="A35" s="10">
        <v>0.79166666666666696</v>
      </c>
    </row>
    <row r="36" spans="1:1">
      <c r="A36" s="10">
        <v>0.812500000000001</v>
      </c>
    </row>
    <row r="37" spans="1:1">
      <c r="A37" s="10">
        <v>0.83333333333333404</v>
      </c>
    </row>
    <row r="38" spans="1:1">
      <c r="A38" s="10">
        <v>0.85416666666666696</v>
      </c>
    </row>
    <row r="39" spans="1:1">
      <c r="A39" s="10">
        <v>0.875000000000001</v>
      </c>
    </row>
    <row r="40" spans="1:1">
      <c r="A40" s="10">
        <v>0.89583333333333404</v>
      </c>
    </row>
    <row r="41" spans="1:1">
      <c r="A41" s="10">
        <v>0.91666666666666696</v>
      </c>
    </row>
    <row r="42" spans="1:1">
      <c r="A42" s="10">
        <v>0.937500000000001</v>
      </c>
    </row>
    <row r="43" spans="1:1">
      <c r="A43" s="10">
        <v>0.95833333333333404</v>
      </c>
    </row>
    <row r="44" spans="1:1">
      <c r="A44" s="10">
        <v>0.97916666666666696</v>
      </c>
    </row>
    <row r="45" spans="1:1">
      <c r="A45" s="10">
        <v>1</v>
      </c>
    </row>
    <row r="46" spans="1:1">
      <c r="A46" s="10">
        <v>1.0208333333333299</v>
      </c>
    </row>
    <row r="47" spans="1:1">
      <c r="A47" s="10">
        <v>1.0416666666666701</v>
      </c>
    </row>
  </sheetData>
  <pageMargins left="0.7" right="0.7" top="0.75" bottom="0.75" header="0.3" footer="0.3"/>
  <pageSetup paperSize="9" orientation="portrait" horizontalDpi="4294967293" verticalDpi="4294967293"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5</vt:i4>
      </vt:variant>
    </vt:vector>
  </HeadingPairs>
  <TitlesOfParts>
    <vt:vector size="5" baseType="lpstr">
      <vt:lpstr>Anleitung</vt:lpstr>
      <vt:lpstr>Semesterplan</vt:lpstr>
      <vt:lpstr>COMMITTMENT</vt:lpstr>
      <vt:lpstr>Wochenplan KW 19</vt:lpstr>
      <vt:lpstr>Wochenplan KW 20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Office-Benutzer</dc:creator>
  <cp:lastModifiedBy>user</cp:lastModifiedBy>
  <dcterms:created xsi:type="dcterms:W3CDTF">2020-04-19T13:33:28Z</dcterms:created>
  <dcterms:modified xsi:type="dcterms:W3CDTF">2022-09-29T14:14:00Z</dcterms:modified>
</cp:coreProperties>
</file>