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d.docs.live.net/6594194978a66332/Desktop/"/>
    </mc:Choice>
  </mc:AlternateContent>
  <xr:revisionPtr revIDLastSave="2327" documentId="8_{8EC4F669-AA6D-3E45-9230-6300E9192A2D}" xr6:coauthVersionLast="47" xr6:coauthVersionMax="47" xr10:uidLastSave="{AA8433B5-8F96-4052-8E08-7C7372884FE4}"/>
  <bookViews>
    <workbookView xWindow="-110" yWindow="-110" windowWidth="22780" windowHeight="14540" activeTab="5" xr2:uid="{50F29292-BE80-0C47-A0D2-DD086CB3D310}"/>
  </bookViews>
  <sheets>
    <sheet name="ANLEITUNG" sheetId="10" r:id="rId1"/>
    <sheet name="Semesterplan" sheetId="7" r:id="rId2"/>
    <sheet name="Best-Practices" sheetId="2" r:id="rId3"/>
    <sheet name="COMMITTMENT" sheetId="9" r:id="rId4"/>
    <sheet name="Wochenplan KW 38" sheetId="3" r:id="rId5"/>
    <sheet name="Wochenplan KW 39"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20" i="7" l="1"/>
  <c r="G114" i="7"/>
  <c r="I25" i="7"/>
  <c r="J25" i="7" a="1"/>
  <c r="J25" i="7" s="1"/>
  <c r="K25" i="7" a="1"/>
  <c r="K25" i="7" s="1"/>
  <c r="D112" i="7"/>
  <c r="D120" i="7" s="1"/>
  <c r="G117" i="7"/>
  <c r="G118" i="7"/>
  <c r="G112" i="7"/>
  <c r="F113" i="7"/>
  <c r="F114" i="7"/>
  <c r="F115" i="7"/>
  <c r="F116" i="7"/>
  <c r="F117" i="7"/>
  <c r="F118" i="7"/>
  <c r="F112" i="7"/>
  <c r="E119" i="7"/>
  <c r="E101" i="7"/>
  <c r="D117" i="7"/>
  <c r="D118" i="7"/>
  <c r="D113" i="7"/>
  <c r="G113" i="7" s="1"/>
  <c r="D114" i="7"/>
  <c r="D115" i="7"/>
  <c r="G115" i="7" s="1"/>
  <c r="D116" i="7"/>
  <c r="G116" i="7" s="1"/>
  <c r="C123" i="7"/>
  <c r="C120" i="7"/>
  <c r="I24" i="7"/>
  <c r="I23" i="7"/>
  <c r="K99" i="7" a="1"/>
  <c r="K99" i="7" s="1"/>
  <c r="J99" i="7" a="1"/>
  <c r="J99" i="7" s="1"/>
  <c r="K98" i="7" a="1"/>
  <c r="K98" i="7" s="1"/>
  <c r="J98" i="7" a="1"/>
  <c r="J98" i="7" s="1"/>
  <c r="K97" i="7" a="1"/>
  <c r="K97" i="7" s="1"/>
  <c r="J97" i="7" a="1"/>
  <c r="J97" i="7" s="1"/>
  <c r="K96" i="7" a="1"/>
  <c r="K96" i="7" s="1"/>
  <c r="J96" i="7" a="1"/>
  <c r="J96" i="7" s="1"/>
  <c r="K95" i="7" a="1"/>
  <c r="K95" i="7" s="1"/>
  <c r="J95" i="7" a="1"/>
  <c r="J95" i="7" s="1"/>
  <c r="K94" i="7" a="1"/>
  <c r="K94" i="7" s="1"/>
  <c r="J94" i="7" a="1"/>
  <c r="J94" i="7" s="1"/>
  <c r="K93" i="7" a="1"/>
  <c r="K93" i="7" s="1"/>
  <c r="J93" i="7" a="1"/>
  <c r="J93" i="7" s="1"/>
  <c r="K92" i="7" a="1"/>
  <c r="K92" i="7" s="1"/>
  <c r="J92" i="7" a="1"/>
  <c r="J92" i="7" s="1"/>
  <c r="K91" i="7" a="1"/>
  <c r="K91" i="7" s="1"/>
  <c r="J91" i="7" a="1"/>
  <c r="J91" i="7" s="1"/>
  <c r="K90" i="7" a="1"/>
  <c r="K90" i="7" s="1"/>
  <c r="J90" i="7" a="1"/>
  <c r="J90" i="7" s="1"/>
  <c r="I89" i="7"/>
  <c r="G89" i="7"/>
  <c r="K87" i="7" a="1"/>
  <c r="K87" i="7" s="1"/>
  <c r="J87" i="7" a="1"/>
  <c r="J87" i="7" s="1"/>
  <c r="I87" i="7"/>
  <c r="K86" i="7" a="1"/>
  <c r="K86" i="7" s="1"/>
  <c r="J86" i="7" a="1"/>
  <c r="J86" i="7" s="1"/>
  <c r="I86" i="7"/>
  <c r="K85" i="7" a="1"/>
  <c r="K85" i="7" s="1"/>
  <c r="J85" i="7" a="1"/>
  <c r="J85" i="7" s="1"/>
  <c r="I85" i="7"/>
  <c r="K84" i="7" a="1"/>
  <c r="K84" i="7" s="1"/>
  <c r="J84" i="7" a="1"/>
  <c r="J84" i="7" s="1"/>
  <c r="I84" i="7"/>
  <c r="K83" i="7" a="1"/>
  <c r="K83" i="7" s="1"/>
  <c r="J83" i="7" a="1"/>
  <c r="J83" i="7" s="1"/>
  <c r="I83" i="7"/>
  <c r="K82" i="7" a="1"/>
  <c r="K82" i="7" s="1"/>
  <c r="J82" i="7" a="1"/>
  <c r="J82" i="7" s="1"/>
  <c r="I82" i="7"/>
  <c r="K81" i="7" a="1"/>
  <c r="K81" i="7" s="1"/>
  <c r="J81" i="7" a="1"/>
  <c r="J81" i="7" s="1"/>
  <c r="I81" i="7"/>
  <c r="K80" i="7" a="1"/>
  <c r="K80" i="7" s="1"/>
  <c r="J80" i="7" a="1"/>
  <c r="J80" i="7" s="1"/>
  <c r="I80" i="7"/>
  <c r="K79" i="7" a="1"/>
  <c r="K79" i="7" s="1"/>
  <c r="J79" i="7" a="1"/>
  <c r="J79" i="7" s="1"/>
  <c r="I79" i="7"/>
  <c r="G78" i="7"/>
  <c r="K76" i="7" a="1"/>
  <c r="K76" i="7" s="1"/>
  <c r="J76" i="7" a="1"/>
  <c r="J76" i="7" s="1"/>
  <c r="I76" i="7"/>
  <c r="K75" i="7" a="1"/>
  <c r="K75" i="7" s="1"/>
  <c r="J75" i="7" a="1"/>
  <c r="J75" i="7" s="1"/>
  <c r="I75" i="7"/>
  <c r="K74" i="7" a="1"/>
  <c r="K74" i="7" s="1"/>
  <c r="J74" i="7" a="1"/>
  <c r="J74" i="7" s="1"/>
  <c r="I74" i="7"/>
  <c r="K73" i="7" a="1"/>
  <c r="K73" i="7" s="1"/>
  <c r="J73" i="7" a="1"/>
  <c r="J73" i="7" s="1"/>
  <c r="I73" i="7"/>
  <c r="K72" i="7" a="1"/>
  <c r="K72" i="7" s="1"/>
  <c r="J72" i="7" a="1"/>
  <c r="J72" i="7" s="1"/>
  <c r="I72" i="7"/>
  <c r="K71" i="7" a="1"/>
  <c r="K71" i="7" s="1"/>
  <c r="J71" i="7" a="1"/>
  <c r="J71" i="7" s="1"/>
  <c r="I71" i="7"/>
  <c r="K70" i="7" a="1"/>
  <c r="K70" i="7" s="1"/>
  <c r="J70" i="7" a="1"/>
  <c r="J70" i="7" s="1"/>
  <c r="I70" i="7"/>
  <c r="K69" i="7" a="1"/>
  <c r="K69" i="7" s="1"/>
  <c r="J69" i="7" a="1"/>
  <c r="J69" i="7" s="1"/>
  <c r="I69" i="7"/>
  <c r="K68" i="7" a="1"/>
  <c r="K68" i="7" s="1"/>
  <c r="J68" i="7" a="1"/>
  <c r="J68" i="7" s="1"/>
  <c r="I68" i="7"/>
  <c r="K67" i="7" a="1"/>
  <c r="K67" i="7" s="1"/>
  <c r="J67" i="7" a="1"/>
  <c r="J67" i="7" s="1"/>
  <c r="I67" i="7"/>
  <c r="G66" i="7"/>
  <c r="C7" i="10"/>
  <c r="C11" i="10"/>
  <c r="BE4" i="7"/>
  <c r="K89" i="7" l="1"/>
  <c r="J89" i="7"/>
  <c r="J78" i="7"/>
  <c r="I78" i="7"/>
  <c r="K78" i="7"/>
  <c r="K66" i="7"/>
  <c r="J66" i="7"/>
  <c r="I66" i="7"/>
  <c r="C12" i="10"/>
  <c r="EK4" i="7"/>
  <c r="ED4" i="7"/>
  <c r="DW4" i="7"/>
  <c r="DP4" i="7"/>
  <c r="DI4" i="7"/>
  <c r="DB4" i="7"/>
  <c r="CU4" i="7"/>
  <c r="K64" i="7" a="1"/>
  <c r="K64" i="7" s="1"/>
  <c r="J64" i="7" a="1"/>
  <c r="J64" i="7" s="1"/>
  <c r="I64" i="7"/>
  <c r="K43" i="7" a="1"/>
  <c r="K43" i="7" s="1"/>
  <c r="J43" i="7" a="1"/>
  <c r="J43" i="7" s="1"/>
  <c r="K42" i="7" a="1"/>
  <c r="K42" i="7" s="1"/>
  <c r="J42" i="7" a="1"/>
  <c r="J42" i="7" s="1"/>
  <c r="K41" i="7" a="1"/>
  <c r="K41" i="7" s="1"/>
  <c r="J41" i="7" a="1"/>
  <c r="J41" i="7" s="1"/>
  <c r="K24" i="7" a="1"/>
  <c r="K24" i="7" s="1"/>
  <c r="J24" i="7" a="1"/>
  <c r="J24" i="7" s="1"/>
  <c r="K14" i="7" a="1"/>
  <c r="K14" i="7" s="1"/>
  <c r="J14" i="7" a="1"/>
  <c r="J14" i="7" s="1"/>
  <c r="K12" i="7" a="1"/>
  <c r="K12" i="7" s="1"/>
  <c r="J12" i="7" a="1"/>
  <c r="J12" i="7" s="1"/>
  <c r="K11" i="7" a="1"/>
  <c r="K11" i="7" s="1"/>
  <c r="J11" i="7" a="1"/>
  <c r="J11" i="7" s="1"/>
  <c r="K10" i="7" a="1"/>
  <c r="K10" i="7" s="1"/>
  <c r="J10" i="7" a="1"/>
  <c r="J10" i="7" s="1"/>
  <c r="K9" i="7" a="1"/>
  <c r="K9" i="7" s="1"/>
  <c r="J9" i="7" a="1"/>
  <c r="J9" i="7" s="1"/>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G54"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G45" i="7"/>
  <c r="K40" i="7" a="1"/>
  <c r="K40" i="7" s="1"/>
  <c r="J40" i="7" a="1"/>
  <c r="J40" i="7" s="1"/>
  <c r="K39" i="7" a="1"/>
  <c r="K39" i="7" s="1"/>
  <c r="J39" i="7" a="1"/>
  <c r="J39" i="7" s="1"/>
  <c r="K38" i="7" a="1"/>
  <c r="K38" i="7" s="1"/>
  <c r="J38" i="7" a="1"/>
  <c r="J3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G31" i="7"/>
  <c r="CN4" i="7"/>
  <c r="CG4" i="7"/>
  <c r="BZ4" i="7"/>
  <c r="BS4" i="7"/>
  <c r="BL4" i="7"/>
  <c r="K23" i="7" a="1"/>
  <c r="K23" i="7" s="1"/>
  <c r="J23" i="7" a="1"/>
  <c r="J23" i="7" s="1"/>
  <c r="K22" i="7" a="1"/>
  <c r="K22" i="7" s="1"/>
  <c r="J22" i="7" a="1"/>
  <c r="J22" i="7" s="1"/>
  <c r="I22" i="7"/>
  <c r="K21" i="7" a="1"/>
  <c r="K21" i="7" s="1"/>
  <c r="J21" i="7" a="1"/>
  <c r="J21" i="7" s="1"/>
  <c r="I21" i="7"/>
  <c r="K20" i="7" a="1"/>
  <c r="K20" i="7" s="1"/>
  <c r="J20" i="7" a="1"/>
  <c r="J20" i="7" s="1"/>
  <c r="I20" i="7"/>
  <c r="K19" i="7" a="1"/>
  <c r="K19" i="7" s="1"/>
  <c r="J19" i="7" a="1"/>
  <c r="J19" i="7" s="1"/>
  <c r="I19" i="7"/>
  <c r="K18" i="7" a="1"/>
  <c r="K18" i="7" s="1"/>
  <c r="J18" i="7" a="1"/>
  <c r="J18" i="7" s="1"/>
  <c r="I18" i="7"/>
  <c r="G17" i="7"/>
  <c r="AX4" i="7"/>
  <c r="K15" i="7" a="1"/>
  <c r="K15" i="7" s="1"/>
  <c r="J15" i="7" a="1"/>
  <c r="J15" i="7" s="1"/>
  <c r="K13" i="7" a="1"/>
  <c r="K13" i="7" s="1"/>
  <c r="J13" i="7" a="1"/>
  <c r="J13" i="7" s="1"/>
  <c r="K8" i="7" a="1"/>
  <c r="K8" i="7" s="1"/>
  <c r="J8" i="7" a="1"/>
  <c r="J8" i="7" s="1"/>
  <c r="K7" i="7" a="1"/>
  <c r="K7" i="7" s="1"/>
  <c r="J7" i="7" a="1"/>
  <c r="J7" i="7" s="1"/>
  <c r="K6" i="7" a="1"/>
  <c r="K6" i="7" s="1"/>
  <c r="J6" i="7" a="1"/>
  <c r="J6" i="7" s="1"/>
  <c r="K5" i="7" a="1"/>
  <c r="K5" i="7" s="1"/>
  <c r="J5" i="7" a="1"/>
  <c r="J5" i="7" s="1"/>
  <c r="AQ4" i="7"/>
  <c r="AJ4" i="7"/>
  <c r="AC4" i="7"/>
  <c r="V4" i="7"/>
  <c r="O4" i="7"/>
  <c r="G4" i="7"/>
  <c r="J45" i="7" l="1"/>
  <c r="K54" i="7"/>
  <c r="I54" i="7"/>
  <c r="I45" i="7"/>
  <c r="K45" i="7"/>
  <c r="J54" i="7"/>
  <c r="K31" i="7"/>
  <c r="I31" i="7"/>
  <c r="J31" i="7"/>
  <c r="I17" i="7"/>
  <c r="K17" i="7"/>
  <c r="J17"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<sst xmlns="http://schemas.openxmlformats.org/spreadsheetml/2006/main" count="627" uniqueCount="234">
  <si>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</si>
  <si>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</si>
  <si>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</si>
  <si>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</si>
  <si>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</si>
  <si>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</si>
  <si>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</si>
  <si>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</si>
  <si>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</si>
  <si>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</si>
  <si>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</si>
  <si>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</si>
  <si>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</si>
  <si>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</si>
  <si>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</si>
  <si>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</si>
  <si>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</si>
  <si>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</si>
  <si>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</si>
  <si>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</si>
  <si>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</si>
  <si>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</si>
  <si>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</si>
  <si>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</si>
  <si>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</si>
  <si>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</si>
  <si>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</si>
  <si>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</si>
  <si>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</si>
  <si>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</si>
  <si>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</si>
  <si>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</si>
  <si>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</si>
  <si>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</si>
  <si>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</si>
  <si>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</si>
  <si>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</si>
  <si>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</si>
  <si>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</si>
  <si>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</si>
  <si>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</si>
  <si>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</si>
  <si>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</si>
  <si>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</si>
  <si>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</si>
  <si>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</si>
  <si>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</si>
  <si>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</si>
  <si>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</si>
  <si>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</si>
  <si>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</si>
  <si>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</si>
  <si>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</si>
  <si>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</si>
  <si>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</si>
  <si>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</si>
  <si>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</si>
  <si>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</si>
  <si>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</si>
  <si>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</si>
  <si>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</si>
  <si>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</si>
  <si>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</si>
  <si>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</si>
  <si>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</si>
  <si>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</si>
  <si>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</si>
  <si>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</si>
  <si>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</si>
  <si>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</si>
  <si>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</si>
  <si>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</si>
  <si>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</si>
  <si>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</si>
  <si>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</si>
  <si>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</si>
  <si>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</si>
  <si>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</si>
  <si>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</si>
  <si>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</si>
  <si>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</si>
  <si>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</si>
  <si>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</si>
  <si>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</si>
  <si>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</si>
  <si>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</si>
  <si>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</si>
  <si>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40</t>
  </si>
  <si>
    <t>KW 41</t>
  </si>
  <si>
    <t>KW 42</t>
  </si>
  <si>
    <t>KW 43</t>
  </si>
  <si>
    <t>KW 44</t>
  </si>
  <si>
    <t>KW 45</t>
  </si>
  <si>
    <t>BA</t>
  </si>
  <si>
    <t>BA intro</t>
  </si>
  <si>
    <t>Chinesisch</t>
  </si>
  <si>
    <t>Mathematics A</t>
  </si>
  <si>
    <t>Principles of Financial Accounting</t>
  </si>
  <si>
    <t>Private Law</t>
  </si>
  <si>
    <t>Psychology</t>
  </si>
  <si>
    <t>1) Business Processes</t>
  </si>
  <si>
    <t>2) Market Analysis</t>
  </si>
  <si>
    <t>3) Marketing Strategy</t>
  </si>
  <si>
    <t>4) Marketing Mix I &amp; II</t>
  </si>
  <si>
    <t>5) Controlling and Innovation</t>
  </si>
  <si>
    <t>7) Decisions and Communications</t>
  </si>
  <si>
    <t>9) Structure and Culture</t>
  </si>
  <si>
    <t>10) Leadership and Governance</t>
  </si>
  <si>
    <t>11) Environment and Interaction Issues</t>
  </si>
  <si>
    <t>8) Structuring forces: Strategy and modes of development</t>
  </si>
  <si>
    <t>6) Management and Management Models</t>
  </si>
  <si>
    <t>0: Einstieg</t>
  </si>
  <si>
    <t>1: Begrüssung</t>
  </si>
  <si>
    <t>2: Länder, Nationalitäten</t>
  </si>
  <si>
    <t>3: Familie, Beruf</t>
  </si>
  <si>
    <t>4: Das Aussehen von Personen</t>
  </si>
  <si>
    <t>5: Adressen, Kontaktnummern</t>
  </si>
  <si>
    <t>6: Geburtstage, Einladungen</t>
  </si>
  <si>
    <t>7: Zeit, Verabredungen</t>
  </si>
  <si>
    <t>8: Kleider, Einkaufen</t>
  </si>
  <si>
    <t>Microeconomics I</t>
  </si>
  <si>
    <t>Economics A</t>
  </si>
  <si>
    <t>IAW: Exercises</t>
  </si>
  <si>
    <t>1 Mathematical logic, sequences, series</t>
  </si>
  <si>
    <t>2 Financial mathematics</t>
  </si>
  <si>
    <t>3 Limits of functions, continuity</t>
  </si>
  <si>
    <t>4 Differentiability</t>
  </si>
  <si>
    <t>5 Differentials, rate of change, elasticities</t>
  </si>
  <si>
    <t>6 Taylor polynomials</t>
  </si>
  <si>
    <t>7 Functions of two variables, partial derivatives</t>
  </si>
  <si>
    <t>8 Implicit function theorem</t>
  </si>
  <si>
    <t>9 Optimizaiton of functions of thow variables with without constraints</t>
  </si>
  <si>
    <t>10 Total differential, partial elastities, homogenous funcitons</t>
  </si>
  <si>
    <t>11 Fundamental concepts of probability theory and statistivs</t>
  </si>
  <si>
    <t>12 Optimization problems in evonomics and statistica, overview / short repetition of the topivs of Mathematics A</t>
  </si>
  <si>
    <t>1 Introduction &amp; Cash Book</t>
  </si>
  <si>
    <t>2 Asset Accounts &amp; Booking Entries</t>
  </si>
  <si>
    <t>3 Statement of Financial Position</t>
  </si>
  <si>
    <t>4 Sole Proprietorship &amp; Trading</t>
  </si>
  <si>
    <t>5 Payment Transactions &amp; Production</t>
  </si>
  <si>
    <t>6 Value Adjustments</t>
  </si>
  <si>
    <t>7 Land and Buildings, Accrual, Provisions</t>
  </si>
  <si>
    <t>8 Marketable Securities</t>
  </si>
  <si>
    <t>9 Joint-Stock Company</t>
  </si>
  <si>
    <t>10 Valuation Reserves &amp; Multi-Year Analysis</t>
  </si>
  <si>
    <t>KW 46</t>
  </si>
  <si>
    <t>KW 47</t>
  </si>
  <si>
    <t>KW 48</t>
  </si>
  <si>
    <t>KW 49</t>
  </si>
  <si>
    <t>KW 51</t>
  </si>
  <si>
    <t xml:space="preserve">Lernphase KW 1 </t>
  </si>
  <si>
    <t>Lernphase KW 2</t>
  </si>
  <si>
    <t>Prüfungen KW 3</t>
  </si>
  <si>
    <t>Prüfungen KW 4</t>
  </si>
  <si>
    <t>Prüfungen KW 5</t>
  </si>
  <si>
    <t>Prüfungen KW 6</t>
  </si>
  <si>
    <t>Prüfungen KW 7</t>
  </si>
  <si>
    <t>Accounting</t>
  </si>
  <si>
    <t>Work on SI</t>
  </si>
  <si>
    <t>Eat</t>
  </si>
  <si>
    <t>SI Impact Day</t>
  </si>
  <si>
    <t>Prepare lectures</t>
  </si>
  <si>
    <t>Sleepy time</t>
  </si>
  <si>
    <t>Nachbearbeiten</t>
  </si>
  <si>
    <t>Chill</t>
  </si>
  <si>
    <t>Ja</t>
  </si>
  <si>
    <t>Pretty good, war aber nach langem arbeiten an Semesterplanugn KO</t>
  </si>
  <si>
    <t>Probieren abwechslug einzubauen und nicht NUR im Zimmer zu sein</t>
  </si>
  <si>
    <t>sleepy time</t>
  </si>
  <si>
    <t>Home</t>
  </si>
  <si>
    <t>Gym</t>
  </si>
  <si>
    <t>clean wg and wg stuff</t>
  </si>
  <si>
    <t>SI boarding</t>
  </si>
  <si>
    <t xml:space="preserve">Bro </t>
  </si>
  <si>
    <t>Ja einfach bessere Struktur, aber kann ich jetzt langsam da ich ja wies was kommt</t>
  </si>
  <si>
    <t>School</t>
  </si>
  <si>
    <t>Math</t>
  </si>
  <si>
    <t>Buy Hemd</t>
  </si>
  <si>
    <t>Umziehen</t>
  </si>
  <si>
    <t>Zu HSG</t>
  </si>
  <si>
    <t>SI</t>
  </si>
  <si>
    <t>Home - Essen</t>
  </si>
  <si>
    <t>Prep for tomorrow</t>
  </si>
  <si>
    <t>planning tmrw</t>
  </si>
  <si>
    <t>Ja really tired rn, SI leute sind glaube ich potentiell richtig coole Leute sonst, kommt gut</t>
  </si>
  <si>
    <t>Einkaufen und Mittagessen</t>
  </si>
  <si>
    <t>Microeconomics</t>
  </si>
  <si>
    <t>IAW</t>
  </si>
  <si>
    <t xml:space="preserve">Kochen essen </t>
  </si>
  <si>
    <t>End Day und dann pennen gehen</t>
  </si>
  <si>
    <t>Organise my life</t>
  </si>
  <si>
    <t>Breakfast</t>
  </si>
  <si>
    <t>Breakfast and go to Uni</t>
  </si>
  <si>
    <t>Chinese</t>
  </si>
  <si>
    <t xml:space="preserve">Math </t>
  </si>
  <si>
    <t>1 Introduction and Conclusion of Contracts</t>
  </si>
  <si>
    <t>2 Validity of Contracts, Defects of Intent and Agency</t>
  </si>
  <si>
    <t>3 Obligations Under a Contract and GTC</t>
  </si>
  <si>
    <t>4 Non- Performance</t>
  </si>
  <si>
    <t>5 Bad Performance</t>
  </si>
  <si>
    <t>6 Liability for Products and Termination of the Obligation to Perform</t>
  </si>
  <si>
    <t>7 Exam Prep</t>
  </si>
  <si>
    <t>Chapter 1 - basics</t>
  </si>
  <si>
    <t>Chapter 2 - Gains From Trade</t>
  </si>
  <si>
    <t>Chapter 3 - Markets and Institutions</t>
  </si>
  <si>
    <t>Chapter 4 - S &amp; D under perfect competition</t>
  </si>
  <si>
    <t>Chapter 5 - Normative Economics</t>
  </si>
  <si>
    <t>Chapter 16 - Elasticities</t>
  </si>
  <si>
    <t>Chapter 6 - Externalities and the Limits of Markets</t>
  </si>
  <si>
    <t>Chapter 12 - Costs</t>
  </si>
  <si>
    <t>Chapter 13 - 2nd Look Firm Behavior under perfect comp</t>
  </si>
  <si>
    <t>Chapter 14 - Firm Behavior in Monopolistic Markets</t>
  </si>
  <si>
    <t>Chapter 9 - Principles of Game Theory</t>
  </si>
  <si>
    <t>Chapter 15 - Firm Behavior in Oligopolistic Markets</t>
  </si>
  <si>
    <t>Literatur Research</t>
  </si>
  <si>
    <t>Einleitung schreiben</t>
  </si>
  <si>
    <t>Methodiken vorstellen</t>
  </si>
  <si>
    <t>Abstract und conclusion schreiben</t>
  </si>
  <si>
    <t>Definitionen schreiben</t>
  </si>
  <si>
    <t xml:space="preserve">Hauptteil Teil 1 </t>
  </si>
  <si>
    <t>Hauptteil Teil 2</t>
  </si>
  <si>
    <t>Finale checks</t>
  </si>
  <si>
    <t>Feedback einholen und einarbeiten</t>
  </si>
  <si>
    <t>Struktur Überlegen &amp; Feedback dazu bekommen</t>
  </si>
  <si>
    <t>Weihnachten und Neu Jahrswoche</t>
  </si>
  <si>
    <t>Lvl ups left</t>
  </si>
  <si>
    <t>weeks left</t>
  </si>
  <si>
    <t>lvl p week</t>
  </si>
  <si>
    <t>micro</t>
  </si>
  <si>
    <t>Law</t>
  </si>
  <si>
    <t>Acc</t>
  </si>
  <si>
    <t>Psych</t>
  </si>
  <si>
    <t>t pro lvl up</t>
  </si>
  <si>
    <t>w /fach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</si>
</sst>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13" fontId="0" fillId="0" borderId="0" xfId="0" applyNumberFormat="1"/>
    <xf numFmtId="12" fontId="0" fillId="0" borderId="0" xfId="0" applyNumberFormat="1"/>
    <xf numFmtId="0" fontId="1" fillId="2" borderId="0" xfId="0" applyFont="1" applyFill="1" applyAlignment="1">
      <alignment horizontal="center"/>
    </xf>
  </cellXfs>
  <cellStyles count="1">
    <cellStyle name="Normal" xfId="0" builtinId="0"/>
  </cellStyles>
  <dxfs count="239">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38">
  <autoFilter ref="A1:K46" xr:uid="{6E266E34-2786-2747-BCE7-51B74867A564}"/>
  <tableColumns count="11">
    <tableColumn id="1" xr3:uid="{95FD92F7-3DC8-704D-A103-A7EDDAB255AB}" name="Datum" dataDxfId="237"/>
    <tableColumn id="2" xr3:uid="{F464D510-8166-E740-A343-FB84BDEF877F}" name="Lerneinheiten durchgezogen" dataDxfId="236"/>
    <tableColumn id="3" xr3:uid="{75F52B08-1A00-0848-BBE6-1EDF7B31B1AD}" name="Tagesplan erstellt" dataDxfId="235"/>
    <tableColumn id="4" xr3:uid="{E6B18D89-E799-AD48-9DAA-37AEE1D29011}" name="Konzentrationslevel" dataDxfId="23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8" sqref="C8"/>
    </sheetView>
  </sheetViews>
  <sheetFormatPr defaultColWidth="11" defaultRowHeight="15.5"/>
  <cols>
    <col min="1" max="1" width="11.83203125" customWidth="1"/>
    <col min="2" max="2" width="62.58203125" customWidth="1"/>
  </cols>
  <sheetData>
    <row r="2" spans="1:4">
      <c r="C2" s="18" t="s">
        <v>71</v>
      </c>
    </row>
    <row r="3" spans="1:4">
      <c r="C3" s="17" t="s">
        <v>56</v>
      </c>
    </row>
    <row r="4" spans="1:4">
      <c r="C4" s="16" t="s">
        <v>70</v>
      </c>
    </row>
    <row r="5" spans="1:4">
      <c r="A5" s="2" t="s">
        <v>53</v>
      </c>
      <c r="B5" s="2" t="s">
        <v>54</v>
      </c>
      <c r="C5" s="2" t="s">
        <v>55</v>
      </c>
      <c r="D5" s="2" t="s">
        <v>57</v>
      </c>
    </row>
    <row r="6" spans="1:4">
      <c r="A6" t="s">
        <v>49</v>
      </c>
      <c r="B6" s="18" t="s">
        <v>52</v>
      </c>
      <c r="D6" t="s">
        <v>86</v>
      </c>
    </row>
    <row r="7" spans="1:4">
      <c r="A7" t="s">
        <v>60</v>
      </c>
      <c r="B7" t="s">
        <v>61</v>
      </c>
      <c r="C7" s="16">
        <f>11+12+10+12+10+6+10</f>
        <v>71</v>
      </c>
    </row>
    <row r="8" spans="1:4">
      <c r="A8" t="s">
        <v>51</v>
      </c>
      <c r="B8" s="18" t="s">
        <v>50</v>
      </c>
      <c r="D8" t="s">
        <v>74</v>
      </c>
    </row>
    <row r="9" spans="1:4">
      <c r="A9" t="s">
        <v>59</v>
      </c>
      <c r="B9" s="18" t="s">
        <v>72</v>
      </c>
      <c r="C9">
        <v>12</v>
      </c>
      <c r="D9" t="s">
        <v>75</v>
      </c>
    </row>
    <row r="10" spans="1:4">
      <c r="A10" t="s">
        <v>63</v>
      </c>
      <c r="B10" t="s">
        <v>62</v>
      </c>
      <c r="C10" s="16">
        <v>12.8</v>
      </c>
      <c r="D10" t="s">
        <v>58</v>
      </c>
    </row>
    <row r="11" spans="1:4">
      <c r="A11" t="s">
        <v>64</v>
      </c>
      <c r="B11" t="s">
        <v>66</v>
      </c>
      <c r="C11" s="16">
        <f>C7*3</f>
        <v>213</v>
      </c>
      <c r="D11" t="s">
        <v>65</v>
      </c>
    </row>
    <row r="12" spans="1:4">
      <c r="A12" t="s">
        <v>68</v>
      </c>
      <c r="B12" t="s">
        <v>67</v>
      </c>
      <c r="C12" s="17">
        <f>C11/C10</f>
        <v>16.640625</v>
      </c>
    </row>
    <row r="13" spans="1:4">
      <c r="A13" t="s">
        <v>73</v>
      </c>
      <c r="B13" t="s">
        <v>69</v>
      </c>
      <c r="D13" t="s">
        <v>76</v>
      </c>
    </row>
    <row r="14" spans="1:4">
      <c r="A14" t="s">
        <v>77</v>
      </c>
      <c r="B14" t="s">
        <v>78</v>
      </c>
      <c r="D14" t="s">
        <v>79</v>
      </c>
    </row>
    <row r="15" spans="1:4">
      <c r="A15" t="s">
        <v>80</v>
      </c>
      <c r="B15" s="18" t="s">
        <v>81</v>
      </c>
    </row>
    <row r="16" spans="1:4">
      <c r="A16" t="s">
        <v>84</v>
      </c>
      <c r="B16" s="18" t="s">
        <v>82</v>
      </c>
    </row>
    <row r="17" spans="1: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P123"/>
  <sheetViews>
    <sheetView showGridLines="0" zoomScale="65" zoomScaleNormal="85" workbookViewId="0">
      <selection activeCell="J113" sqref="J113"/>
    </sheetView>
  </sheetViews>
  <sheetFormatPr defaultColWidth="8.83203125" defaultRowHeight="15.5" outlineLevelRow="1"/>
  <cols>
    <col min="3" max="3" width="16" customWidth="1"/>
    <col min="4" max="4" width="11.08203125" customWidth="1"/>
    <col min="5" max="5" width="7.9140625" bestFit="1" customWidth="1"/>
    <col min="6" max="6" width="41.08203125" bestFit="1" customWidth="1"/>
    <col min="7" max="7" width="15.5" bestFit="1" customWidth="1"/>
    <col min="8" max="8" width="2.5" customWidth="1"/>
    <col min="10" max="10" width="12.5" bestFit="1" customWidth="1"/>
    <col min="11" max="11" width="14.83203125" bestFit="1" customWidth="1"/>
    <col min="12" max="12" width="12.58203125" bestFit="1" customWidth="1"/>
    <col min="13" max="14" width="2.5" customWidth="1"/>
    <col min="16" max="16" width="12.5" bestFit="1" customWidth="1"/>
    <col min="17" max="17" width="6.33203125" customWidth="1"/>
    <col min="18" max="18" width="14.83203125" bestFit="1" customWidth="1"/>
    <col min="19" max="19" width="6" customWidth="1"/>
    <col min="20" max="20" width="12.58203125" bestFit="1" customWidth="1"/>
    <col min="21" max="21" width="2.5" customWidth="1"/>
    <col min="23" max="23" width="12.5" bestFit="1" customWidth="1"/>
    <col min="24" max="24" width="6.33203125" customWidth="1"/>
    <col min="25" max="25" width="14.83203125" bestFit="1" customWidth="1"/>
    <col min="26" max="26" width="6" customWidth="1"/>
    <col min="27" max="27" width="12.58203125" bestFit="1" customWidth="1"/>
    <col min="28" max="28" width="2.5" customWidth="1"/>
    <col min="30" max="30" width="12.5" bestFit="1" customWidth="1"/>
    <col min="31" max="31" width="6.33203125" customWidth="1"/>
    <col min="32" max="32" width="14.83203125" bestFit="1" customWidth="1"/>
    <col min="33" max="33" width="6" customWidth="1"/>
    <col min="34" max="34" width="12.58203125" bestFit="1" customWidth="1"/>
    <col min="35" max="35" width="2.5" customWidth="1"/>
    <col min="37" max="37" width="12.5" bestFit="1" customWidth="1"/>
    <col min="38" max="38" width="6.33203125" customWidth="1"/>
    <col min="39" max="39" width="14.83203125" bestFit="1" customWidth="1"/>
    <col min="40" max="40" width="6" customWidth="1"/>
    <col min="41" max="41" width="12.58203125" bestFit="1" customWidth="1"/>
    <col min="42" max="42" width="2.5" customWidth="1"/>
    <col min="44" max="44" width="12.5" bestFit="1" customWidth="1"/>
    <col min="45" max="45" width="6.33203125" customWidth="1"/>
    <col min="46" max="46" width="14.83203125" bestFit="1" customWidth="1"/>
    <col min="47" max="47" width="6" customWidth="1"/>
    <col min="48" max="48" width="12.58203125" bestFit="1" customWidth="1"/>
    <col min="49" max="49" width="2.5" customWidth="1"/>
    <col min="51" max="51" width="12.5" bestFit="1" customWidth="1"/>
    <col min="52" max="52" width="6.33203125" customWidth="1"/>
    <col min="53" max="53" width="14.83203125" bestFit="1" customWidth="1"/>
    <col min="54" max="54" width="6" customWidth="1"/>
    <col min="55" max="55" width="12.58203125" bestFit="1" customWidth="1"/>
    <col min="56" max="56" width="2.5" customWidth="1"/>
    <col min="58" max="58" width="12.5" bestFit="1" customWidth="1"/>
    <col min="59" max="59" width="6.33203125" customWidth="1"/>
    <col min="60" max="60" width="14.83203125" bestFit="1" customWidth="1"/>
    <col min="61" max="61" width="6" customWidth="1"/>
    <col min="62" max="62" width="12.58203125" bestFit="1" customWidth="1"/>
    <col min="63" max="63" width="2.5" customWidth="1"/>
    <col min="65" max="65" width="12.5" bestFit="1" customWidth="1"/>
    <col min="66" max="66" width="6.33203125" customWidth="1"/>
    <col min="67" max="67" width="14.83203125" bestFit="1" customWidth="1"/>
    <col min="68" max="68" width="6" customWidth="1"/>
    <col min="69" max="69" width="12.58203125" bestFit="1" customWidth="1"/>
    <col min="70" max="70" width="2.5" customWidth="1"/>
    <col min="72" max="72" width="12.5" bestFit="1" customWidth="1"/>
    <col min="73" max="73" width="6.33203125" customWidth="1"/>
    <col min="74" max="74" width="14.83203125" bestFit="1" customWidth="1"/>
    <col min="75" max="75" width="6" customWidth="1"/>
    <col min="76" max="76" width="12.58203125" bestFit="1" customWidth="1"/>
    <col min="77" max="77" width="2.5" customWidth="1"/>
    <col min="79" max="79" width="12.5" bestFit="1" customWidth="1"/>
    <col min="80" max="80" width="6.33203125" customWidth="1"/>
    <col min="81" max="81" width="14.83203125" bestFit="1" customWidth="1"/>
    <col min="82" max="82" width="6" customWidth="1"/>
    <col min="83" max="83" width="12.58203125" bestFit="1" customWidth="1"/>
    <col min="84" max="84" width="2.5" customWidth="1"/>
    <col min="86" max="86" width="12.5" bestFit="1" customWidth="1"/>
    <col min="87" max="87" width="6.33203125" customWidth="1"/>
    <col min="88" max="88" width="14.83203125" bestFit="1" customWidth="1"/>
    <col min="89" max="89" width="6" customWidth="1"/>
    <col min="90" max="90" width="12.58203125" bestFit="1" customWidth="1"/>
    <col min="91" max="91" width="2.5" customWidth="1"/>
    <col min="93" max="93" width="12.5" bestFit="1" customWidth="1"/>
    <col min="94" max="94" width="6.33203125" customWidth="1"/>
    <col min="95" max="95" width="14.83203125" bestFit="1" customWidth="1"/>
    <col min="96" max="96" width="6" customWidth="1"/>
    <col min="97" max="97" width="12.58203125" bestFit="1" customWidth="1"/>
    <col min="100" max="100" width="12.5" bestFit="1" customWidth="1"/>
    <col min="101" max="101" width="6.33203125" customWidth="1"/>
    <col min="102" max="102" width="14.83203125" bestFit="1" customWidth="1"/>
    <col min="103" max="103" width="6" customWidth="1"/>
    <col min="104" max="104" width="12.58203125" bestFit="1" customWidth="1"/>
    <col min="107" max="107" width="12.5" bestFit="1" customWidth="1"/>
    <col min="108" max="108" width="6.33203125" customWidth="1"/>
    <col min="109" max="109" width="14.83203125" bestFit="1" customWidth="1"/>
    <col min="110" max="110" width="6" customWidth="1"/>
    <col min="111" max="111" width="12.58203125" bestFit="1" customWidth="1"/>
    <col min="114" max="114" width="12.5" bestFit="1" customWidth="1"/>
    <col min="115" max="115" width="6.33203125" customWidth="1"/>
    <col min="116" max="116" width="14.83203125" bestFit="1" customWidth="1"/>
    <col min="117" max="117" width="6" customWidth="1"/>
    <col min="118" max="118" width="12.58203125" bestFit="1" customWidth="1"/>
    <col min="121" max="121" width="12.5" bestFit="1" customWidth="1"/>
    <col min="122" max="122" width="6.33203125" customWidth="1"/>
    <col min="123" max="123" width="14.83203125" bestFit="1" customWidth="1"/>
    <col min="124" max="124" width="6" customWidth="1"/>
    <col min="125" max="125" width="12.58203125" bestFit="1" customWidth="1"/>
    <col min="128" max="128" width="12.5" bestFit="1" customWidth="1"/>
    <col min="129" max="129" width="6.33203125" customWidth="1"/>
    <col min="130" max="130" width="14.83203125" bestFit="1" customWidth="1"/>
    <col min="131" max="131" width="6" customWidth="1"/>
    <col min="132" max="132" width="12.58203125" bestFit="1" customWidth="1"/>
    <col min="135" max="135" width="12.5" bestFit="1" customWidth="1"/>
    <col min="136" max="136" width="6.33203125" customWidth="1"/>
    <col min="137" max="137" width="14.83203125" bestFit="1" customWidth="1"/>
    <col min="138" max="138" width="6" customWidth="1"/>
    <col min="139" max="139" width="12.58203125" bestFit="1" customWidth="1"/>
    <col min="142" max="142" width="12.5" bestFit="1" customWidth="1"/>
    <col min="143" max="143" width="6.33203125" customWidth="1"/>
    <col min="144" max="144" width="14.83203125" bestFit="1" customWidth="1"/>
    <col min="145" max="145" width="6" customWidth="1"/>
    <col min="146" max="146" width="12.58203125" bestFit="1" customWidth="1"/>
  </cols>
  <sheetData>
    <row r="1" spans="2:146" ht="33.5">
      <c r="B1" s="4" t="s">
        <v>0</v>
      </c>
      <c r="D1" s="4"/>
      <c r="G1" s="13" t="s">
        <v>33</v>
      </c>
      <c r="I1" s="13" t="s">
        <v>33</v>
      </c>
      <c r="J1" s="13" t="s">
        <v>33</v>
      </c>
      <c r="K1" s="13" t="s">
        <v>33</v>
      </c>
    </row>
    <row r="2" spans="2:146">
      <c r="I2" s="22" t="s">
        <v>27</v>
      </c>
      <c r="J2" s="22"/>
      <c r="K2" s="22"/>
      <c r="L2" s="22"/>
      <c r="O2" s="22" t="s">
        <v>87</v>
      </c>
      <c r="P2" s="22"/>
      <c r="Q2" s="22"/>
      <c r="R2" s="22"/>
      <c r="S2" s="22"/>
      <c r="T2" s="22"/>
      <c r="V2" s="22" t="s">
        <v>88</v>
      </c>
      <c r="W2" s="22"/>
      <c r="X2" s="22"/>
      <c r="Y2" s="22"/>
      <c r="Z2" s="22"/>
      <c r="AA2" s="22"/>
      <c r="AC2" s="22" t="s">
        <v>89</v>
      </c>
      <c r="AD2" s="22"/>
      <c r="AE2" s="22"/>
      <c r="AF2" s="22"/>
      <c r="AG2" s="22"/>
      <c r="AH2" s="22"/>
      <c r="AJ2" s="22" t="s">
        <v>90</v>
      </c>
      <c r="AK2" s="22"/>
      <c r="AL2" s="22"/>
      <c r="AM2" s="22"/>
      <c r="AN2" s="22"/>
      <c r="AO2" s="22"/>
      <c r="AQ2" s="22" t="s">
        <v>91</v>
      </c>
      <c r="AR2" s="22"/>
      <c r="AS2" s="22"/>
      <c r="AT2" s="22"/>
      <c r="AU2" s="22"/>
      <c r="AV2" s="22"/>
      <c r="AX2" s="22" t="s">
        <v>92</v>
      </c>
      <c r="AY2" s="22"/>
      <c r="AZ2" s="22"/>
      <c r="BA2" s="22"/>
      <c r="BB2" s="22"/>
      <c r="BC2" s="22"/>
      <c r="BE2" s="22" t="s">
        <v>145</v>
      </c>
      <c r="BF2" s="22"/>
      <c r="BG2" s="22"/>
      <c r="BH2" s="22"/>
      <c r="BI2" s="22"/>
      <c r="BJ2" s="22"/>
      <c r="BL2" s="22" t="s">
        <v>146</v>
      </c>
      <c r="BM2" s="22"/>
      <c r="BN2" s="22"/>
      <c r="BO2" s="22"/>
      <c r="BP2" s="22"/>
      <c r="BQ2" s="22"/>
      <c r="BS2" s="22" t="s">
        <v>147</v>
      </c>
      <c r="BT2" s="22"/>
      <c r="BU2" s="22"/>
      <c r="BV2" s="22"/>
      <c r="BW2" s="22"/>
      <c r="BX2" s="22"/>
      <c r="BZ2" s="22" t="s">
        <v>148</v>
      </c>
      <c r="CA2" s="22"/>
      <c r="CB2" s="22"/>
      <c r="CC2" s="22"/>
      <c r="CD2" s="22"/>
      <c r="CE2" s="22"/>
      <c r="CG2" s="22" t="s">
        <v>149</v>
      </c>
      <c r="CH2" s="22"/>
      <c r="CI2" s="22"/>
      <c r="CJ2" s="22"/>
      <c r="CK2" s="22"/>
      <c r="CL2" s="22"/>
      <c r="CN2" s="22" t="s">
        <v>224</v>
      </c>
      <c r="CO2" s="22"/>
      <c r="CP2" s="22"/>
      <c r="CQ2" s="22"/>
      <c r="CR2" s="22"/>
      <c r="CS2" s="22"/>
      <c r="CU2" s="22" t="s">
        <v>150</v>
      </c>
      <c r="CV2" s="22"/>
      <c r="CW2" s="22"/>
      <c r="CX2" s="22"/>
      <c r="CY2" s="22"/>
      <c r="CZ2" s="22"/>
      <c r="DB2" s="22" t="s">
        <v>151</v>
      </c>
      <c r="DC2" s="22"/>
      <c r="DD2" s="22"/>
      <c r="DE2" s="22"/>
      <c r="DF2" s="22"/>
      <c r="DG2" s="22"/>
      <c r="DI2" s="22" t="s">
        <v>152</v>
      </c>
      <c r="DJ2" s="22"/>
      <c r="DK2" s="22"/>
      <c r="DL2" s="22"/>
      <c r="DM2" s="22"/>
      <c r="DN2" s="22"/>
      <c r="DP2" s="22" t="s">
        <v>153</v>
      </c>
      <c r="DQ2" s="22"/>
      <c r="DR2" s="22"/>
      <c r="DS2" s="22"/>
      <c r="DT2" s="22"/>
      <c r="DU2" s="22"/>
      <c r="DW2" s="22" t="s">
        <v>154</v>
      </c>
      <c r="DX2" s="22"/>
      <c r="DY2" s="22"/>
      <c r="DZ2" s="22"/>
      <c r="EA2" s="22"/>
      <c r="EB2" s="22"/>
      <c r="ED2" s="22" t="s">
        <v>155</v>
      </c>
      <c r="EE2" s="22"/>
      <c r="EF2" s="22"/>
      <c r="EG2" s="22"/>
      <c r="EH2" s="22"/>
      <c r="EI2" s="22"/>
      <c r="EK2" s="22" t="s">
        <v>156</v>
      </c>
      <c r="EL2" s="22"/>
      <c r="EM2" s="22"/>
      <c r="EN2" s="22"/>
      <c r="EO2" s="22"/>
      <c r="EP2" s="22"/>
    </row>
    <row r="3" spans="2:146">
      <c r="B3" s="5" t="s">
        <v>26</v>
      </c>
      <c r="C3" s="5" t="s">
        <v>1</v>
      </c>
      <c r="D3" s="5" t="s">
        <v>24</v>
      </c>
      <c r="E3" s="6" t="s">
        <v>30</v>
      </c>
      <c r="F3" s="5" t="s">
        <v>29</v>
      </c>
      <c r="G3" s="5" t="s">
        <v>31</v>
      </c>
      <c r="I3" s="6" t="s">
        <v>11</v>
      </c>
      <c r="J3" s="6" t="s">
        <v>2</v>
      </c>
      <c r="K3" s="6" t="s">
        <v>3</v>
      </c>
      <c r="L3" s="6" t="s">
        <v>12</v>
      </c>
      <c r="O3" s="5" t="s">
        <v>11</v>
      </c>
      <c r="P3" s="5" t="s">
        <v>2</v>
      </c>
      <c r="Q3" s="5" t="s">
        <v>32</v>
      </c>
      <c r="R3" s="5" t="s">
        <v>3</v>
      </c>
      <c r="S3" s="5" t="s">
        <v>32</v>
      </c>
      <c r="T3" s="5" t="s">
        <v>12</v>
      </c>
      <c r="V3" s="5" t="s">
        <v>11</v>
      </c>
      <c r="W3" s="5" t="s">
        <v>2</v>
      </c>
      <c r="X3" s="5" t="s">
        <v>32</v>
      </c>
      <c r="Y3" s="5" t="s">
        <v>3</v>
      </c>
      <c r="Z3" s="5" t="s">
        <v>32</v>
      </c>
      <c r="AA3" s="5" t="s">
        <v>12</v>
      </c>
      <c r="AC3" s="5" t="s">
        <v>11</v>
      </c>
      <c r="AD3" s="5" t="s">
        <v>2</v>
      </c>
      <c r="AE3" s="5" t="s">
        <v>32</v>
      </c>
      <c r="AF3" s="5" t="s">
        <v>3</v>
      </c>
      <c r="AG3" s="5" t="s">
        <v>32</v>
      </c>
      <c r="AH3" s="5" t="s">
        <v>12</v>
      </c>
      <c r="AJ3" s="5" t="s">
        <v>11</v>
      </c>
      <c r="AK3" s="5" t="s">
        <v>2</v>
      </c>
      <c r="AL3" s="5" t="s">
        <v>32</v>
      </c>
      <c r="AM3" s="5" t="s">
        <v>3</v>
      </c>
      <c r="AN3" s="5" t="s">
        <v>32</v>
      </c>
      <c r="AO3" s="5" t="s">
        <v>12</v>
      </c>
      <c r="AQ3" s="5" t="s">
        <v>11</v>
      </c>
      <c r="AR3" s="5" t="s">
        <v>2</v>
      </c>
      <c r="AS3" s="5" t="s">
        <v>32</v>
      </c>
      <c r="AT3" s="5" t="s">
        <v>3</v>
      </c>
      <c r="AU3" s="5" t="s">
        <v>32</v>
      </c>
      <c r="AV3" s="5" t="s">
        <v>12</v>
      </c>
      <c r="AX3" s="5" t="s">
        <v>11</v>
      </c>
      <c r="AY3" s="5" t="s">
        <v>2</v>
      </c>
      <c r="AZ3" s="5" t="s">
        <v>32</v>
      </c>
      <c r="BA3" s="5" t="s">
        <v>3</v>
      </c>
      <c r="BB3" s="5" t="s">
        <v>32</v>
      </c>
      <c r="BC3" s="5" t="s">
        <v>12</v>
      </c>
      <c r="BE3" s="5" t="s">
        <v>11</v>
      </c>
      <c r="BF3" s="5" t="s">
        <v>2</v>
      </c>
      <c r="BG3" s="5" t="s">
        <v>32</v>
      </c>
      <c r="BH3" s="5" t="s">
        <v>3</v>
      </c>
      <c r="BI3" s="5" t="s">
        <v>32</v>
      </c>
      <c r="BJ3" s="5" t="s">
        <v>12</v>
      </c>
      <c r="BL3" s="5" t="s">
        <v>11</v>
      </c>
      <c r="BM3" s="5" t="s">
        <v>2</v>
      </c>
      <c r="BN3" s="5" t="s">
        <v>32</v>
      </c>
      <c r="BO3" s="5" t="s">
        <v>3</v>
      </c>
      <c r="BP3" s="5" t="s">
        <v>32</v>
      </c>
      <c r="BQ3" s="5" t="s">
        <v>12</v>
      </c>
      <c r="BS3" s="5" t="s">
        <v>11</v>
      </c>
      <c r="BT3" s="5" t="s">
        <v>2</v>
      </c>
      <c r="BU3" s="5" t="s">
        <v>32</v>
      </c>
      <c r="BV3" s="5" t="s">
        <v>3</v>
      </c>
      <c r="BW3" s="5" t="s">
        <v>32</v>
      </c>
      <c r="BX3" s="5" t="s">
        <v>12</v>
      </c>
      <c r="BZ3" s="5" t="s">
        <v>11</v>
      </c>
      <c r="CA3" s="5" t="s">
        <v>2</v>
      </c>
      <c r="CB3" s="5" t="s">
        <v>32</v>
      </c>
      <c r="CC3" s="5" t="s">
        <v>3</v>
      </c>
      <c r="CD3" s="5" t="s">
        <v>32</v>
      </c>
      <c r="CE3" s="5" t="s">
        <v>12</v>
      </c>
      <c r="CG3" s="5" t="s">
        <v>11</v>
      </c>
      <c r="CH3" s="5" t="s">
        <v>2</v>
      </c>
      <c r="CI3" s="5" t="s">
        <v>32</v>
      </c>
      <c r="CJ3" s="5" t="s">
        <v>3</v>
      </c>
      <c r="CK3" s="5" t="s">
        <v>32</v>
      </c>
      <c r="CL3" s="5" t="s">
        <v>12</v>
      </c>
      <c r="CN3" s="5" t="s">
        <v>11</v>
      </c>
      <c r="CO3" s="5" t="s">
        <v>2</v>
      </c>
      <c r="CP3" s="5" t="s">
        <v>32</v>
      </c>
      <c r="CQ3" s="5" t="s">
        <v>3</v>
      </c>
      <c r="CR3" s="5" t="s">
        <v>32</v>
      </c>
      <c r="CS3" s="5" t="s">
        <v>12</v>
      </c>
      <c r="CU3" s="5" t="s">
        <v>11</v>
      </c>
      <c r="CV3" s="5" t="s">
        <v>2</v>
      </c>
      <c r="CW3" s="5" t="s">
        <v>32</v>
      </c>
      <c r="CX3" s="5" t="s">
        <v>3</v>
      </c>
      <c r="CY3" s="5" t="s">
        <v>32</v>
      </c>
      <c r="CZ3" s="5" t="s">
        <v>12</v>
      </c>
      <c r="DB3" s="5" t="s">
        <v>11</v>
      </c>
      <c r="DC3" s="5" t="s">
        <v>2</v>
      </c>
      <c r="DD3" s="5" t="s">
        <v>32</v>
      </c>
      <c r="DE3" s="5" t="s">
        <v>3</v>
      </c>
      <c r="DF3" s="5" t="s">
        <v>32</v>
      </c>
      <c r="DG3" s="5" t="s">
        <v>12</v>
      </c>
      <c r="DI3" s="5" t="s">
        <v>11</v>
      </c>
      <c r="DJ3" s="5" t="s">
        <v>2</v>
      </c>
      <c r="DK3" s="5" t="s">
        <v>32</v>
      </c>
      <c r="DL3" s="5" t="s">
        <v>3</v>
      </c>
      <c r="DM3" s="5" t="s">
        <v>32</v>
      </c>
      <c r="DN3" s="5" t="s">
        <v>12</v>
      </c>
      <c r="DP3" s="5" t="s">
        <v>11</v>
      </c>
      <c r="DQ3" s="5" t="s">
        <v>2</v>
      </c>
      <c r="DR3" s="5" t="s">
        <v>32</v>
      </c>
      <c r="DS3" s="5" t="s">
        <v>3</v>
      </c>
      <c r="DT3" s="5" t="s">
        <v>32</v>
      </c>
      <c r="DU3" s="5" t="s">
        <v>12</v>
      </c>
      <c r="DW3" s="5" t="s">
        <v>11</v>
      </c>
      <c r="DX3" s="5" t="s">
        <v>2</v>
      </c>
      <c r="DY3" s="5" t="s">
        <v>32</v>
      </c>
      <c r="DZ3" s="5" t="s">
        <v>3</v>
      </c>
      <c r="EA3" s="5" t="s">
        <v>32</v>
      </c>
      <c r="EB3" s="5" t="s">
        <v>12</v>
      </c>
      <c r="ED3" s="5" t="s">
        <v>11</v>
      </c>
      <c r="EE3" s="5" t="s">
        <v>2</v>
      </c>
      <c r="EF3" s="5" t="s">
        <v>32</v>
      </c>
      <c r="EG3" s="5" t="s">
        <v>3</v>
      </c>
      <c r="EH3" s="5" t="s">
        <v>32</v>
      </c>
      <c r="EI3" s="5" t="s">
        <v>12</v>
      </c>
      <c r="EK3" s="5" t="s">
        <v>11</v>
      </c>
      <c r="EL3" s="5" t="s">
        <v>2</v>
      </c>
      <c r="EM3" s="5" t="s">
        <v>32</v>
      </c>
      <c r="EN3" s="5" t="s">
        <v>3</v>
      </c>
      <c r="EO3" s="5" t="s">
        <v>32</v>
      </c>
      <c r="EP3" s="5" t="s">
        <v>12</v>
      </c>
    </row>
    <row r="4" spans="2:146">
      <c r="B4" t="s">
        <v>27</v>
      </c>
      <c r="C4" t="s">
        <v>94</v>
      </c>
      <c r="D4" s="19">
        <v>45306</v>
      </c>
      <c r="E4" s="9">
        <v>5.5</v>
      </c>
      <c r="G4" s="10">
        <f>+SUM(G5:G15)</f>
        <v>1.0000000000000002</v>
      </c>
      <c r="I4" s="12">
        <f>+SUM(I5:I15)</f>
        <v>0</v>
      </c>
      <c r="J4" s="11">
        <f>+SUMPRODUCT(G5:G15,J5:J15)</f>
        <v>0.13636363636363635</v>
      </c>
      <c r="K4" s="11">
        <f>+SUMPRODUCT(G5:G15,K5:K15)</f>
        <v>0.13636363636363635</v>
      </c>
      <c r="L4" s="9"/>
      <c r="O4" s="12">
        <f>+SUM(O5:O15)</f>
        <v>0</v>
      </c>
      <c r="V4" s="12">
        <f>+SUM(V5:V15)</f>
        <v>0</v>
      </c>
      <c r="AC4" s="12">
        <f>+SUM(AC5:AC15)</f>
        <v>0</v>
      </c>
      <c r="AJ4" s="12">
        <f>+SUM(AJ5:AJ15)</f>
        <v>0</v>
      </c>
      <c r="AQ4" s="12">
        <f>+SUM(AQ5:AQ15)</f>
        <v>0</v>
      </c>
      <c r="AX4" s="12">
        <f>+SUM(AX5:AX15)</f>
        <v>0</v>
      </c>
      <c r="BE4" s="12">
        <f>+SUM(BE5:BE15)</f>
        <v>0</v>
      </c>
      <c r="BL4" s="12">
        <f>+SUM(BL5:BL15)</f>
        <v>0</v>
      </c>
      <c r="BS4" s="12">
        <f>+SUM(BS5:BS15)</f>
        <v>0</v>
      </c>
      <c r="BZ4" s="12">
        <f>+SUM(BZ5:BZ15)</f>
        <v>0</v>
      </c>
      <c r="CG4" s="12">
        <f>+SUM(CG5:CG15)</f>
        <v>0</v>
      </c>
      <c r="CN4" s="12">
        <f>+SUM(CN5:CN15)</f>
        <v>0</v>
      </c>
      <c r="CU4" s="12">
        <f>+SUM(CU5:CU15)</f>
        <v>0</v>
      </c>
      <c r="DB4" s="12">
        <f>+SUM(DB5:DB15)</f>
        <v>0</v>
      </c>
      <c r="DI4" s="12">
        <f>+SUM(DI5:DI15)</f>
        <v>0</v>
      </c>
      <c r="DP4" s="12">
        <f>+SUM(DP5:DP15)</f>
        <v>0</v>
      </c>
      <c r="DW4" s="12">
        <f>+SUM(DW5:DW15)</f>
        <v>0</v>
      </c>
      <c r="ED4" s="12">
        <f>+SUM(ED5:ED15)</f>
        <v>0</v>
      </c>
      <c r="EK4" s="12">
        <f>+SUM(EK5:EK15)</f>
        <v>0</v>
      </c>
    </row>
    <row r="5" spans="2:146" hidden="1" outlineLevel="1">
      <c r="B5" t="s">
        <v>28</v>
      </c>
      <c r="C5" t="s">
        <v>93</v>
      </c>
      <c r="E5" s="9"/>
      <c r="F5" t="s">
        <v>100</v>
      </c>
      <c r="G5" s="20">
        <v>9.0909090909090912E-2</v>
      </c>
      <c r="I5" s="9"/>
      <c r="J5" s="11" cm="1">
        <f t="array" ref="J5">MAX(IF($N$3:$DU$3=$J$3,N5:DU5))</f>
        <v>0.5</v>
      </c>
      <c r="K5" s="11" cm="1">
        <f t="array" ref="K5">MAX(IF($N$3:$DU$3=$J$3,N5:DU5))</f>
        <v>0.5</v>
      </c>
      <c r="L5" s="9"/>
      <c r="P5" s="10">
        <v>0.5</v>
      </c>
      <c r="Q5" s="10">
        <v>0.5</v>
      </c>
      <c r="R5" s="10">
        <v>0.5</v>
      </c>
      <c r="S5" s="10">
        <v>0.5</v>
      </c>
      <c r="W5" s="10"/>
      <c r="X5" s="10">
        <v>0.5</v>
      </c>
      <c r="Y5" s="10"/>
      <c r="Z5" s="10">
        <v>0.5</v>
      </c>
      <c r="AD5" s="10"/>
      <c r="AE5" s="10">
        <v>0.8</v>
      </c>
      <c r="AF5" s="10"/>
      <c r="AG5" s="10">
        <v>0.8</v>
      </c>
      <c r="AK5" s="10"/>
      <c r="AL5" s="10">
        <v>0.8</v>
      </c>
      <c r="AM5" s="10"/>
      <c r="AN5" s="10">
        <v>0.8</v>
      </c>
      <c r="AR5" s="10"/>
      <c r="AS5" s="10">
        <v>0.8</v>
      </c>
      <c r="AT5" s="10"/>
      <c r="AU5" s="10">
        <v>0.8</v>
      </c>
      <c r="AY5" s="10"/>
      <c r="AZ5" s="10">
        <v>1</v>
      </c>
      <c r="BA5" s="10"/>
      <c r="BB5" s="10">
        <v>1</v>
      </c>
      <c r="BF5" s="10"/>
      <c r="BG5" s="10">
        <v>1</v>
      </c>
      <c r="BH5" s="10"/>
      <c r="BI5" s="10">
        <v>1</v>
      </c>
      <c r="BM5" s="10"/>
      <c r="BN5" s="10">
        <v>1</v>
      </c>
      <c r="BO5" s="10"/>
      <c r="BP5" s="10">
        <v>1</v>
      </c>
      <c r="BT5" s="10"/>
      <c r="BU5" s="10">
        <v>1</v>
      </c>
      <c r="BV5" s="10"/>
      <c r="BW5" s="10">
        <v>1</v>
      </c>
      <c r="CA5" s="10"/>
      <c r="CB5" s="10">
        <v>1</v>
      </c>
      <c r="CC5" s="10"/>
      <c r="CD5" s="10">
        <v>1</v>
      </c>
      <c r="CH5" s="10"/>
      <c r="CI5" s="10">
        <v>1</v>
      </c>
      <c r="CJ5" s="10"/>
      <c r="CK5" s="10">
        <v>1</v>
      </c>
      <c r="CO5" s="10"/>
      <c r="CP5" s="10">
        <v>1</v>
      </c>
      <c r="CQ5" s="10"/>
      <c r="CR5" s="10">
        <v>1</v>
      </c>
      <c r="CV5" s="10"/>
      <c r="CW5" s="10">
        <v>1</v>
      </c>
      <c r="CX5" s="10"/>
      <c r="CY5" s="10">
        <v>1</v>
      </c>
      <c r="DC5" s="10"/>
      <c r="DD5" s="10"/>
      <c r="DE5" s="10"/>
      <c r="DF5" s="10"/>
      <c r="DJ5" s="10"/>
      <c r="DK5" s="10"/>
      <c r="DL5" s="10"/>
      <c r="DM5" s="10"/>
      <c r="DQ5" s="10"/>
      <c r="DR5" s="10"/>
      <c r="DS5" s="10"/>
      <c r="DT5" s="10"/>
      <c r="DX5" s="10"/>
      <c r="DY5" s="10"/>
      <c r="DZ5" s="10"/>
      <c r="EA5" s="10"/>
      <c r="EE5" s="10"/>
      <c r="EF5" s="10"/>
      <c r="EG5" s="10"/>
      <c r="EH5" s="10"/>
      <c r="EL5" s="10"/>
      <c r="EM5" s="10"/>
      <c r="EN5" s="10"/>
      <c r="EO5" s="10"/>
    </row>
    <row r="6" spans="2:146" hidden="1" outlineLevel="1">
      <c r="B6" t="s">
        <v>28</v>
      </c>
      <c r="C6" t="s">
        <v>93</v>
      </c>
      <c r="E6" s="9"/>
      <c r="F6" t="s">
        <v>101</v>
      </c>
      <c r="G6" s="20">
        <v>9.0909090909090912E-2</v>
      </c>
      <c r="I6" s="9"/>
      <c r="J6" s="11" cm="1">
        <f t="array" ref="J6">MAX(IF($N$3:$DU$3=$J$3,N6:DU6))</f>
        <v>0.5</v>
      </c>
      <c r="K6" s="11" cm="1">
        <f t="array" ref="K6">MAX(IF($N$3:$DU$3=$J$3,N6:DU6))</f>
        <v>0.5</v>
      </c>
      <c r="L6" s="9"/>
      <c r="P6" s="10">
        <v>0.5</v>
      </c>
      <c r="Q6" s="10">
        <v>0.5</v>
      </c>
      <c r="R6" s="10">
        <v>0.5</v>
      </c>
      <c r="S6" s="10">
        <v>0.5</v>
      </c>
      <c r="W6" s="10"/>
      <c r="X6" s="10">
        <v>0.5</v>
      </c>
      <c r="Y6" s="10"/>
      <c r="Z6" s="10">
        <v>0.5</v>
      </c>
      <c r="AD6" s="10"/>
      <c r="AE6" s="10">
        <v>0.8</v>
      </c>
      <c r="AF6" s="10"/>
      <c r="AG6" s="10">
        <v>0.8</v>
      </c>
      <c r="AK6" s="10"/>
      <c r="AL6" s="10">
        <v>0.8</v>
      </c>
      <c r="AM6" s="10"/>
      <c r="AN6" s="10">
        <v>0.8</v>
      </c>
      <c r="AR6" s="10"/>
      <c r="AS6" s="10">
        <v>0.8</v>
      </c>
      <c r="AT6" s="10"/>
      <c r="AU6" s="10">
        <v>0.8</v>
      </c>
      <c r="AY6" s="10"/>
      <c r="AZ6" s="10">
        <v>0.8</v>
      </c>
      <c r="BA6" s="10"/>
      <c r="BB6" s="10">
        <v>0.8</v>
      </c>
      <c r="BF6" s="10"/>
      <c r="BG6" s="10">
        <v>1</v>
      </c>
      <c r="BH6" s="10"/>
      <c r="BI6" s="10">
        <v>1</v>
      </c>
      <c r="BM6" s="10"/>
      <c r="BN6" s="10">
        <v>1</v>
      </c>
      <c r="BO6" s="10"/>
      <c r="BP6" s="10">
        <v>1</v>
      </c>
      <c r="BT6" s="10"/>
      <c r="BU6" s="10">
        <v>1</v>
      </c>
      <c r="BV6" s="10"/>
      <c r="BW6" s="10">
        <v>1</v>
      </c>
      <c r="CA6" s="10"/>
      <c r="CB6" s="10">
        <v>1</v>
      </c>
      <c r="CC6" s="10"/>
      <c r="CD6" s="10">
        <v>1</v>
      </c>
      <c r="CH6" s="10"/>
      <c r="CI6" s="10">
        <v>1</v>
      </c>
      <c r="CJ6" s="10"/>
      <c r="CK6" s="10">
        <v>1</v>
      </c>
      <c r="CO6" s="10"/>
      <c r="CP6" s="10">
        <v>1</v>
      </c>
      <c r="CQ6" s="10"/>
      <c r="CR6" s="10">
        <v>1</v>
      </c>
      <c r="CV6" s="10"/>
      <c r="CW6" s="10">
        <v>1</v>
      </c>
      <c r="CX6" s="10"/>
      <c r="CY6" s="10">
        <v>1</v>
      </c>
      <c r="DC6" s="10"/>
      <c r="DD6" s="10"/>
      <c r="DE6" s="10"/>
      <c r="DF6" s="10"/>
      <c r="DJ6" s="10"/>
      <c r="DK6" s="10"/>
      <c r="DL6" s="10"/>
      <c r="DM6" s="10"/>
      <c r="DQ6" s="10"/>
      <c r="DR6" s="10"/>
      <c r="DS6" s="10"/>
      <c r="DT6" s="10"/>
      <c r="DX6" s="10"/>
      <c r="DY6" s="10"/>
      <c r="DZ6" s="10"/>
      <c r="EA6" s="10"/>
      <c r="EE6" s="10"/>
      <c r="EF6" s="10"/>
      <c r="EG6" s="10"/>
      <c r="EH6" s="10"/>
      <c r="EL6" s="10"/>
      <c r="EM6" s="10"/>
      <c r="EN6" s="10"/>
      <c r="EO6" s="10"/>
    </row>
    <row r="7" spans="2:146" hidden="1" outlineLevel="1">
      <c r="B7" t="s">
        <v>28</v>
      </c>
      <c r="C7" t="s">
        <v>93</v>
      </c>
      <c r="E7" s="9"/>
      <c r="F7" t="s">
        <v>102</v>
      </c>
      <c r="G7" s="20">
        <v>9.0909090909090912E-2</v>
      </c>
      <c r="I7" s="9"/>
      <c r="J7" s="11" cm="1">
        <f t="array" ref="J7">MAX(IF($N$3:$DU$3=$J$3,N7:DU7))</f>
        <v>0.5</v>
      </c>
      <c r="K7" s="11" cm="1">
        <f t="array" ref="K7">MAX(IF($N$3:$DU$3=$J$3,N7:DU7))</f>
        <v>0.5</v>
      </c>
      <c r="L7" s="9"/>
      <c r="P7" s="10">
        <v>0.5</v>
      </c>
      <c r="Q7" s="10">
        <v>0.5</v>
      </c>
      <c r="R7" s="10">
        <v>0.5</v>
      </c>
      <c r="S7" s="10">
        <v>0.5</v>
      </c>
      <c r="W7" s="10"/>
      <c r="X7" s="10">
        <v>0.5</v>
      </c>
      <c r="Y7" s="10"/>
      <c r="Z7" s="10">
        <v>0.5</v>
      </c>
      <c r="AD7" s="10"/>
      <c r="AE7" s="10">
        <v>0.5</v>
      </c>
      <c r="AF7" s="10"/>
      <c r="AG7" s="10">
        <v>0.5</v>
      </c>
      <c r="AK7" s="10"/>
      <c r="AL7" s="10">
        <v>0.8</v>
      </c>
      <c r="AM7" s="10"/>
      <c r="AN7" s="10">
        <v>0.8</v>
      </c>
      <c r="AR7" s="10"/>
      <c r="AS7" s="10">
        <v>0.8</v>
      </c>
      <c r="AT7" s="10"/>
      <c r="AU7" s="10">
        <v>0.8</v>
      </c>
      <c r="AY7" s="10"/>
      <c r="AZ7" s="10">
        <v>0.8</v>
      </c>
      <c r="BA7" s="10"/>
      <c r="BB7" s="10">
        <v>0.8</v>
      </c>
      <c r="BF7" s="10"/>
      <c r="BG7" s="10">
        <v>0.8</v>
      </c>
      <c r="BH7" s="10"/>
      <c r="BI7" s="10">
        <v>0.8</v>
      </c>
      <c r="BM7" s="10"/>
      <c r="BN7" s="10">
        <v>1</v>
      </c>
      <c r="BO7" s="10"/>
      <c r="BP7" s="10">
        <v>1</v>
      </c>
      <c r="BT7" s="10"/>
      <c r="BU7" s="10">
        <v>1</v>
      </c>
      <c r="BV7" s="10"/>
      <c r="BW7" s="10">
        <v>1</v>
      </c>
      <c r="CA7" s="10"/>
      <c r="CB7" s="10">
        <v>1</v>
      </c>
      <c r="CC7" s="10"/>
      <c r="CD7" s="10">
        <v>1</v>
      </c>
      <c r="CH7" s="10"/>
      <c r="CI7" s="10">
        <v>1</v>
      </c>
      <c r="CJ7" s="10"/>
      <c r="CK7" s="10">
        <v>1</v>
      </c>
      <c r="CO7" s="10"/>
      <c r="CP7" s="10">
        <v>1</v>
      </c>
      <c r="CQ7" s="10"/>
      <c r="CR7" s="10">
        <v>1</v>
      </c>
      <c r="CV7" s="10"/>
      <c r="CW7" s="10">
        <v>1</v>
      </c>
      <c r="CX7" s="10"/>
      <c r="CY7" s="10">
        <v>1</v>
      </c>
      <c r="DC7" s="10"/>
      <c r="DD7" s="10"/>
      <c r="DE7" s="10"/>
      <c r="DF7" s="10"/>
      <c r="DJ7" s="10"/>
      <c r="DK7" s="10"/>
      <c r="DL7" s="10"/>
      <c r="DM7" s="10"/>
      <c r="DQ7" s="10"/>
      <c r="DR7" s="10"/>
      <c r="DS7" s="10"/>
      <c r="DT7" s="10"/>
      <c r="DX7" s="10"/>
      <c r="DY7" s="10"/>
      <c r="DZ7" s="10"/>
      <c r="EA7" s="10"/>
      <c r="EE7" s="10"/>
      <c r="EF7" s="10"/>
      <c r="EG7" s="10"/>
      <c r="EH7" s="10"/>
      <c r="EL7" s="10"/>
      <c r="EM7" s="10"/>
      <c r="EN7" s="10"/>
      <c r="EO7" s="10"/>
    </row>
    <row r="8" spans="2:146" hidden="1" outlineLevel="1">
      <c r="B8" t="s">
        <v>28</v>
      </c>
      <c r="C8" t="s">
        <v>93</v>
      </c>
      <c r="E8" s="9"/>
      <c r="F8" t="s">
        <v>103</v>
      </c>
      <c r="G8" s="20">
        <v>9.0909090909090912E-2</v>
      </c>
      <c r="I8" s="9"/>
      <c r="J8" s="11" cm="1">
        <f t="array" ref="J8">MAX(IF($N$3:$DU$3=$J$3,N8:DU8))</f>
        <v>0</v>
      </c>
      <c r="K8" s="11" cm="1">
        <f t="array" ref="K8">MAX(IF($N$3:$DU$3=$J$3,N8:DU8))</f>
        <v>0</v>
      </c>
      <c r="L8" s="9"/>
      <c r="P8" s="10"/>
      <c r="Q8" s="10"/>
      <c r="R8" s="10"/>
      <c r="S8" s="10"/>
      <c r="W8" s="10"/>
      <c r="X8" s="10">
        <v>0.5</v>
      </c>
      <c r="Y8" s="10"/>
      <c r="Z8" s="10">
        <v>0.5</v>
      </c>
      <c r="AD8" s="10"/>
      <c r="AE8" s="10">
        <v>0.5</v>
      </c>
      <c r="AF8" s="10"/>
      <c r="AG8" s="10">
        <v>0.5</v>
      </c>
      <c r="AK8" s="10"/>
      <c r="AL8" s="10">
        <v>0.5</v>
      </c>
      <c r="AM8" s="10"/>
      <c r="AN8" s="10">
        <v>0.5</v>
      </c>
      <c r="AR8" s="10"/>
      <c r="AS8" s="10">
        <v>0.8</v>
      </c>
      <c r="AT8" s="10"/>
      <c r="AU8" s="10">
        <v>0.8</v>
      </c>
      <c r="AY8" s="10"/>
      <c r="AZ8" s="10">
        <v>0.8</v>
      </c>
      <c r="BA8" s="10"/>
      <c r="BB8" s="10">
        <v>0.8</v>
      </c>
      <c r="BF8" s="10"/>
      <c r="BG8" s="10">
        <v>0.8</v>
      </c>
      <c r="BH8" s="10"/>
      <c r="BI8" s="10">
        <v>0.8</v>
      </c>
      <c r="BM8" s="10"/>
      <c r="BN8" s="10">
        <v>0.8</v>
      </c>
      <c r="BO8" s="10"/>
      <c r="BP8" s="10">
        <v>0.8</v>
      </c>
      <c r="BT8" s="10"/>
      <c r="BU8" s="10">
        <v>1</v>
      </c>
      <c r="BV8" s="10"/>
      <c r="BW8" s="10">
        <v>1</v>
      </c>
      <c r="CA8" s="10"/>
      <c r="CB8" s="10">
        <v>1</v>
      </c>
      <c r="CC8" s="10"/>
      <c r="CD8" s="10">
        <v>1</v>
      </c>
      <c r="CH8" s="10"/>
      <c r="CI8" s="10">
        <v>1</v>
      </c>
      <c r="CJ8" s="10"/>
      <c r="CK8" s="10">
        <v>1</v>
      </c>
      <c r="CO8" s="10"/>
      <c r="CP8" s="10">
        <v>1</v>
      </c>
      <c r="CQ8" s="10"/>
      <c r="CR8" s="10">
        <v>1</v>
      </c>
      <c r="CV8" s="10"/>
      <c r="CW8" s="10">
        <v>1</v>
      </c>
      <c r="CX8" s="10"/>
      <c r="CY8" s="10">
        <v>1</v>
      </c>
      <c r="DC8" s="10"/>
      <c r="DD8" s="10"/>
      <c r="DE8" s="10"/>
      <c r="DF8" s="10"/>
      <c r="DJ8" s="10"/>
      <c r="DK8" s="10"/>
      <c r="DL8" s="10"/>
      <c r="DM8" s="10"/>
      <c r="DQ8" s="10"/>
      <c r="DR8" s="10"/>
      <c r="DS8" s="10"/>
      <c r="DT8" s="10"/>
      <c r="DX8" s="10"/>
      <c r="DY8" s="10"/>
      <c r="DZ8" s="10"/>
      <c r="EA8" s="10"/>
      <c r="EE8" s="10"/>
      <c r="EF8" s="10"/>
      <c r="EG8" s="10"/>
      <c r="EH8" s="10"/>
      <c r="EL8" s="10"/>
      <c r="EM8" s="10"/>
      <c r="EN8" s="10"/>
      <c r="EO8" s="10"/>
    </row>
    <row r="9" spans="2:146" hidden="1" outlineLevel="1">
      <c r="B9" t="s">
        <v>28</v>
      </c>
      <c r="C9" t="s">
        <v>93</v>
      </c>
      <c r="E9" s="9"/>
      <c r="F9" t="s">
        <v>104</v>
      </c>
      <c r="G9" s="20">
        <v>9.0909090909090912E-2</v>
      </c>
      <c r="I9" s="9"/>
      <c r="J9" s="11" cm="1">
        <f t="array" ref="J9">MAX(IF($N$3:$DU$3=$J$3,N9:DU9))</f>
        <v>0</v>
      </c>
      <c r="K9" s="11" cm="1">
        <f t="array" ref="K9">MAX(IF($N$3:$DU$3=$J$3,N9:DU9))</f>
        <v>0</v>
      </c>
      <c r="L9" s="9"/>
      <c r="P9" s="10"/>
      <c r="Q9" s="10"/>
      <c r="R9" s="10"/>
      <c r="S9" s="10"/>
      <c r="W9" s="10"/>
      <c r="X9" s="10">
        <v>0.5</v>
      </c>
      <c r="Y9" s="10"/>
      <c r="Z9" s="10">
        <v>0.5</v>
      </c>
      <c r="AD9" s="10"/>
      <c r="AE9" s="10">
        <v>0.5</v>
      </c>
      <c r="AF9" s="10"/>
      <c r="AG9" s="10">
        <v>0.5</v>
      </c>
      <c r="AK9" s="10"/>
      <c r="AL9" s="10">
        <v>0.5</v>
      </c>
      <c r="AM9" s="10"/>
      <c r="AN9" s="10">
        <v>0.5</v>
      </c>
      <c r="AR9" s="10"/>
      <c r="AS9" s="10">
        <v>0.8</v>
      </c>
      <c r="AT9" s="10"/>
      <c r="AU9" s="10">
        <v>0.8</v>
      </c>
      <c r="AY9" s="10"/>
      <c r="AZ9" s="10">
        <v>0.8</v>
      </c>
      <c r="BA9" s="10"/>
      <c r="BB9" s="10">
        <v>0.8</v>
      </c>
      <c r="BF9" s="10"/>
      <c r="BG9" s="10">
        <v>0.8</v>
      </c>
      <c r="BH9" s="10"/>
      <c r="BI9" s="10">
        <v>0.8</v>
      </c>
      <c r="BM9" s="10"/>
      <c r="BN9" s="10">
        <v>0.8</v>
      </c>
      <c r="BO9" s="10"/>
      <c r="BP9" s="10">
        <v>0.8</v>
      </c>
      <c r="BT9" s="10"/>
      <c r="BU9" s="10">
        <v>0.8</v>
      </c>
      <c r="BV9" s="10"/>
      <c r="BW9" s="10">
        <v>0.8</v>
      </c>
      <c r="CA9" s="10"/>
      <c r="CB9" s="10">
        <v>1</v>
      </c>
      <c r="CC9" s="10"/>
      <c r="CD9" s="10">
        <v>1</v>
      </c>
      <c r="CH9" s="10"/>
      <c r="CI9" s="10">
        <v>1</v>
      </c>
      <c r="CJ9" s="10"/>
      <c r="CK9" s="10">
        <v>1</v>
      </c>
      <c r="CO9" s="10"/>
      <c r="CP9" s="10">
        <v>1</v>
      </c>
      <c r="CQ9" s="10"/>
      <c r="CR9" s="10">
        <v>1</v>
      </c>
      <c r="CV9" s="10"/>
      <c r="CW9" s="10">
        <v>1</v>
      </c>
      <c r="CX9" s="10"/>
      <c r="CY9" s="10">
        <v>1</v>
      </c>
      <c r="DC9" s="10"/>
      <c r="DD9" s="10"/>
      <c r="DE9" s="10"/>
      <c r="DF9" s="10"/>
      <c r="DJ9" s="10"/>
      <c r="DK9" s="10"/>
      <c r="DL9" s="10"/>
      <c r="DM9" s="10"/>
      <c r="DQ9" s="10"/>
      <c r="DR9" s="10"/>
      <c r="DS9" s="10"/>
      <c r="DT9" s="10"/>
      <c r="DX9" s="10"/>
      <c r="DY9" s="10"/>
      <c r="DZ9" s="10"/>
      <c r="EA9" s="10"/>
      <c r="EE9" s="10"/>
      <c r="EF9" s="10"/>
      <c r="EG9" s="10"/>
      <c r="EH9" s="10"/>
      <c r="EL9" s="10"/>
      <c r="EM9" s="10"/>
      <c r="EN9" s="10"/>
      <c r="EO9" s="10"/>
    </row>
    <row r="10" spans="2:146" hidden="1" outlineLevel="1">
      <c r="B10" t="s">
        <v>28</v>
      </c>
      <c r="C10" t="s">
        <v>93</v>
      </c>
      <c r="E10" s="9"/>
      <c r="F10" t="s">
        <v>110</v>
      </c>
      <c r="G10" s="20">
        <v>9.0909090909090912E-2</v>
      </c>
      <c r="I10" s="9"/>
      <c r="J10" s="11" cm="1">
        <f t="array" ref="J10">MAX(IF($N$3:$DU$3=$J$3,N10:DU10))</f>
        <v>0</v>
      </c>
      <c r="K10" s="11" cm="1">
        <f t="array" ref="K10">MAX(IF($N$3:$DU$3=$J$3,N10:DU10))</f>
        <v>0</v>
      </c>
      <c r="L10" s="9"/>
      <c r="P10" s="10"/>
      <c r="Q10" s="10"/>
      <c r="R10" s="10"/>
      <c r="S10" s="10"/>
      <c r="W10" s="10"/>
      <c r="X10" s="10">
        <v>0.5</v>
      </c>
      <c r="Y10" s="10"/>
      <c r="Z10" s="10">
        <v>0.5</v>
      </c>
      <c r="AD10" s="10"/>
      <c r="AE10" s="10">
        <v>0.5</v>
      </c>
      <c r="AF10" s="10"/>
      <c r="AG10" s="10">
        <v>0.5</v>
      </c>
      <c r="AK10" s="10"/>
      <c r="AL10" s="10">
        <v>0.5</v>
      </c>
      <c r="AM10" s="10"/>
      <c r="AN10" s="10">
        <v>0.5</v>
      </c>
      <c r="AR10" s="10"/>
      <c r="AS10" s="10">
        <v>0.5</v>
      </c>
      <c r="AT10" s="10"/>
      <c r="AU10" s="10">
        <v>0.5</v>
      </c>
      <c r="AY10" s="10"/>
      <c r="AZ10" s="10">
        <v>0.5</v>
      </c>
      <c r="BA10" s="10"/>
      <c r="BB10" s="10">
        <v>0.5</v>
      </c>
      <c r="BF10" s="10"/>
      <c r="BG10" s="10">
        <v>0.8</v>
      </c>
      <c r="BH10" s="10"/>
      <c r="BI10" s="10">
        <v>0.8</v>
      </c>
      <c r="BM10" s="10"/>
      <c r="BN10" s="10">
        <v>0.8</v>
      </c>
      <c r="BO10" s="10"/>
      <c r="BP10" s="10">
        <v>0.8</v>
      </c>
      <c r="BT10" s="10"/>
      <c r="BU10" s="10">
        <v>0.8</v>
      </c>
      <c r="BV10" s="10"/>
      <c r="BW10" s="10">
        <v>0.8</v>
      </c>
      <c r="CA10" s="10"/>
      <c r="CB10" s="10">
        <v>0.8</v>
      </c>
      <c r="CC10" s="10"/>
      <c r="CD10" s="10">
        <v>0.8</v>
      </c>
      <c r="CH10" s="10"/>
      <c r="CI10" s="10">
        <v>1</v>
      </c>
      <c r="CJ10" s="10"/>
      <c r="CK10" s="10">
        <v>1</v>
      </c>
      <c r="CO10" s="10"/>
      <c r="CP10" s="10">
        <v>1</v>
      </c>
      <c r="CQ10" s="10"/>
      <c r="CR10" s="10">
        <v>1</v>
      </c>
      <c r="CV10" s="10"/>
      <c r="CW10" s="10">
        <v>1</v>
      </c>
      <c r="CX10" s="10"/>
      <c r="CY10" s="10">
        <v>1</v>
      </c>
      <c r="DC10" s="10"/>
      <c r="DD10" s="10"/>
      <c r="DE10" s="10"/>
      <c r="DF10" s="10"/>
      <c r="DJ10" s="10"/>
      <c r="DK10" s="10"/>
      <c r="DL10" s="10"/>
      <c r="DM10" s="10"/>
      <c r="DQ10" s="10"/>
      <c r="DR10" s="10"/>
      <c r="DS10" s="10"/>
      <c r="DT10" s="10"/>
      <c r="DX10" s="10"/>
      <c r="DY10" s="10"/>
      <c r="DZ10" s="10"/>
      <c r="EA10" s="10"/>
      <c r="EE10" s="10"/>
      <c r="EF10" s="10"/>
      <c r="EG10" s="10"/>
      <c r="EH10" s="10"/>
      <c r="EL10" s="10"/>
      <c r="EM10" s="10"/>
      <c r="EN10" s="10"/>
      <c r="EO10" s="10"/>
    </row>
    <row r="11" spans="2:146" hidden="1" outlineLevel="1">
      <c r="B11" t="s">
        <v>28</v>
      </c>
      <c r="C11" t="s">
        <v>93</v>
      </c>
      <c r="E11" s="9"/>
      <c r="F11" t="s">
        <v>105</v>
      </c>
      <c r="G11" s="20">
        <v>9.0909090909090912E-2</v>
      </c>
      <c r="I11" s="9"/>
      <c r="J11" s="11" cm="1">
        <f t="array" ref="J11">MAX(IF($N$3:$DU$3=$J$3,N11:DU11))</f>
        <v>0</v>
      </c>
      <c r="K11" s="11" cm="1">
        <f t="array" ref="K11">MAX(IF($N$3:$DU$3=$J$3,N11:DU11))</f>
        <v>0</v>
      </c>
      <c r="L11" s="9"/>
      <c r="P11" s="10"/>
      <c r="Q11" s="10"/>
      <c r="R11" s="10"/>
      <c r="S11" s="10"/>
      <c r="W11" s="10"/>
      <c r="X11" s="10"/>
      <c r="Y11" s="10"/>
      <c r="Z11" s="10"/>
      <c r="AD11" s="10"/>
      <c r="AE11" s="10">
        <v>0.5</v>
      </c>
      <c r="AF11" s="10"/>
      <c r="AG11" s="10">
        <v>0.5</v>
      </c>
      <c r="AK11" s="10"/>
      <c r="AL11" s="10">
        <v>0.5</v>
      </c>
      <c r="AM11" s="10"/>
      <c r="AN11" s="10">
        <v>0.5</v>
      </c>
      <c r="AR11" s="10"/>
      <c r="AS11" s="10">
        <v>0.5</v>
      </c>
      <c r="AT11" s="10"/>
      <c r="AU11" s="10">
        <v>0.5</v>
      </c>
      <c r="AY11" s="10"/>
      <c r="AZ11" s="10">
        <v>0.5</v>
      </c>
      <c r="BA11" s="10"/>
      <c r="BB11" s="10">
        <v>0.5</v>
      </c>
      <c r="BF11" s="10"/>
      <c r="BG11" s="10">
        <v>0.8</v>
      </c>
      <c r="BH11" s="10"/>
      <c r="BI11" s="10">
        <v>0.8</v>
      </c>
      <c r="BM11" s="10"/>
      <c r="BN11" s="10">
        <v>0.8</v>
      </c>
      <c r="BO11" s="10"/>
      <c r="BP11" s="10">
        <v>0.8</v>
      </c>
      <c r="BT11" s="10"/>
      <c r="BU11" s="10">
        <v>0.8</v>
      </c>
      <c r="BV11" s="10"/>
      <c r="BW11" s="10">
        <v>0.8</v>
      </c>
      <c r="CA11" s="10"/>
      <c r="CB11" s="10">
        <v>0.8</v>
      </c>
      <c r="CC11" s="10"/>
      <c r="CD11" s="10">
        <v>0.8</v>
      </c>
      <c r="CH11" s="10"/>
      <c r="CI11" s="10">
        <v>1</v>
      </c>
      <c r="CJ11" s="10"/>
      <c r="CK11" s="10">
        <v>1</v>
      </c>
      <c r="CO11" s="10"/>
      <c r="CP11" s="10">
        <v>1</v>
      </c>
      <c r="CQ11" s="10"/>
      <c r="CR11" s="10">
        <v>1</v>
      </c>
      <c r="CV11" s="10"/>
      <c r="CW11" s="10">
        <v>1</v>
      </c>
      <c r="CX11" s="10"/>
      <c r="CY11" s="10">
        <v>1</v>
      </c>
      <c r="DC11" s="10"/>
      <c r="DD11" s="10"/>
      <c r="DE11" s="10"/>
      <c r="DF11" s="10"/>
      <c r="DJ11" s="10"/>
      <c r="DK11" s="10"/>
      <c r="DL11" s="10"/>
      <c r="DM11" s="10"/>
      <c r="DQ11" s="10"/>
      <c r="DR11" s="10"/>
      <c r="DS11" s="10"/>
      <c r="DT11" s="10"/>
      <c r="DX11" s="10"/>
      <c r="DY11" s="10"/>
      <c r="DZ11" s="10"/>
      <c r="EA11" s="10"/>
      <c r="EE11" s="10"/>
      <c r="EF11" s="10"/>
      <c r="EG11" s="10"/>
      <c r="EH11" s="10"/>
      <c r="EL11" s="10"/>
      <c r="EM11" s="10"/>
      <c r="EN11" s="10"/>
      <c r="EO11" s="10"/>
    </row>
    <row r="12" spans="2:146" hidden="1" outlineLevel="1">
      <c r="B12" t="s">
        <v>28</v>
      </c>
      <c r="C12" t="s">
        <v>93</v>
      </c>
      <c r="E12" s="9"/>
      <c r="F12" t="s">
        <v>109</v>
      </c>
      <c r="G12" s="20">
        <v>9.0909090909090912E-2</v>
      </c>
      <c r="I12" s="9"/>
      <c r="J12" s="11" cm="1">
        <f t="array" ref="J12">MAX(IF($N$3:$DU$3=$J$3,N12:DU12))</f>
        <v>0</v>
      </c>
      <c r="K12" s="11" cm="1">
        <f t="array" ref="K12">MAX(IF($N$3:$DU$3=$J$3,N12:DU12))</f>
        <v>0</v>
      </c>
      <c r="L12" s="9"/>
      <c r="P12" s="10"/>
      <c r="Q12" s="10"/>
      <c r="R12" s="10"/>
      <c r="S12" s="10"/>
      <c r="W12" s="10"/>
      <c r="X12" s="10"/>
      <c r="Y12" s="10"/>
      <c r="Z12" s="10"/>
      <c r="AD12" s="10"/>
      <c r="AE12" s="10"/>
      <c r="AF12" s="10"/>
      <c r="AG12" s="10"/>
      <c r="AK12" s="10"/>
      <c r="AL12" s="10">
        <v>0.5</v>
      </c>
      <c r="AM12" s="10"/>
      <c r="AN12" s="10">
        <v>0.5</v>
      </c>
      <c r="AR12" s="10"/>
      <c r="AS12" s="10">
        <v>0.5</v>
      </c>
      <c r="AT12" s="10"/>
      <c r="AU12" s="10">
        <v>0.5</v>
      </c>
      <c r="AY12" s="10"/>
      <c r="AZ12" s="10">
        <v>0.5</v>
      </c>
      <c r="BA12" s="10"/>
      <c r="BB12" s="10">
        <v>0.5</v>
      </c>
      <c r="BF12" s="10"/>
      <c r="BG12" s="10">
        <v>0.5</v>
      </c>
      <c r="BH12" s="10"/>
      <c r="BI12" s="10">
        <v>0.5</v>
      </c>
      <c r="BM12" s="10"/>
      <c r="BN12" s="10">
        <v>0.8</v>
      </c>
      <c r="BO12" s="10"/>
      <c r="BP12" s="10">
        <v>0.8</v>
      </c>
      <c r="BT12" s="10"/>
      <c r="BU12" s="10">
        <v>0.8</v>
      </c>
      <c r="BV12" s="10"/>
      <c r="BW12" s="10">
        <v>0.8</v>
      </c>
      <c r="CA12" s="10"/>
      <c r="CB12" s="10">
        <v>0.8</v>
      </c>
      <c r="CC12" s="10"/>
      <c r="CD12" s="10">
        <v>0.8</v>
      </c>
      <c r="CH12" s="10"/>
      <c r="CI12" s="10">
        <v>1</v>
      </c>
      <c r="CJ12" s="10"/>
      <c r="CK12" s="10">
        <v>1</v>
      </c>
      <c r="CO12" s="10"/>
      <c r="CP12" s="10">
        <v>1</v>
      </c>
      <c r="CQ12" s="10"/>
      <c r="CR12" s="10">
        <v>1</v>
      </c>
      <c r="CV12" s="10"/>
      <c r="CW12" s="10">
        <v>1</v>
      </c>
      <c r="CX12" s="10"/>
      <c r="CY12" s="10">
        <v>1</v>
      </c>
      <c r="DC12" s="10"/>
      <c r="DD12" s="10"/>
      <c r="DE12" s="10"/>
      <c r="DF12" s="10"/>
      <c r="DJ12" s="10"/>
      <c r="DK12" s="10"/>
      <c r="DL12" s="10"/>
      <c r="DM12" s="10"/>
      <c r="DQ12" s="10"/>
      <c r="DR12" s="10"/>
      <c r="DS12" s="10"/>
      <c r="DT12" s="10"/>
      <c r="DX12" s="10"/>
      <c r="DY12" s="10"/>
      <c r="DZ12" s="10"/>
      <c r="EA12" s="10"/>
      <c r="EE12" s="10"/>
      <c r="EF12" s="10"/>
      <c r="EG12" s="10"/>
      <c r="EH12" s="10"/>
      <c r="EL12" s="10"/>
      <c r="EM12" s="10"/>
      <c r="EN12" s="10"/>
      <c r="EO12" s="10"/>
    </row>
    <row r="13" spans="2:146" hidden="1" outlineLevel="1">
      <c r="B13" t="s">
        <v>28</v>
      </c>
      <c r="C13" t="s">
        <v>93</v>
      </c>
      <c r="E13" s="9"/>
      <c r="F13" t="s">
        <v>106</v>
      </c>
      <c r="G13" s="20">
        <v>9.0909090909090912E-2</v>
      </c>
      <c r="I13" s="9"/>
      <c r="J13" s="11" cm="1">
        <f t="array" ref="J13">MAX(IF($N$3:$DU$3=$J$3,N13:DU13))</f>
        <v>0</v>
      </c>
      <c r="K13" s="11" cm="1">
        <f t="array" ref="K13">MAX(IF($N$3:$DU$3=$J$3,N13:DU13))</f>
        <v>0</v>
      </c>
      <c r="L13" s="9"/>
      <c r="P13" s="10"/>
      <c r="Q13" s="10"/>
      <c r="R13" s="10"/>
      <c r="S13" s="10"/>
      <c r="W13" s="10"/>
      <c r="X13" s="10"/>
      <c r="Y13" s="10"/>
      <c r="Z13" s="10"/>
      <c r="AD13" s="10"/>
      <c r="AE13" s="10"/>
      <c r="AF13" s="10"/>
      <c r="AG13" s="10"/>
      <c r="AK13" s="10"/>
      <c r="AL13" s="10">
        <v>0.5</v>
      </c>
      <c r="AM13" s="10"/>
      <c r="AN13" s="10">
        <v>0.5</v>
      </c>
      <c r="AR13" s="10"/>
      <c r="AS13" s="10">
        <v>0.5</v>
      </c>
      <c r="AT13" s="10"/>
      <c r="AU13" s="10">
        <v>0.5</v>
      </c>
      <c r="AY13" s="10"/>
      <c r="AZ13" s="10">
        <v>0.5</v>
      </c>
      <c r="BA13" s="10"/>
      <c r="BB13" s="10">
        <v>0.5</v>
      </c>
      <c r="BF13" s="10"/>
      <c r="BG13" s="10">
        <v>0.5</v>
      </c>
      <c r="BH13" s="10"/>
      <c r="BI13" s="10">
        <v>0.5</v>
      </c>
      <c r="BM13" s="10"/>
      <c r="BN13" s="10">
        <v>0.5</v>
      </c>
      <c r="BO13" s="10"/>
      <c r="BP13" s="10">
        <v>0.5</v>
      </c>
      <c r="BT13" s="10"/>
      <c r="BU13" s="10">
        <v>0.8</v>
      </c>
      <c r="BV13" s="10"/>
      <c r="BW13" s="10">
        <v>0.8</v>
      </c>
      <c r="CA13" s="10"/>
      <c r="CB13" s="10">
        <v>0.8</v>
      </c>
      <c r="CC13" s="10"/>
      <c r="CD13" s="10">
        <v>0.8</v>
      </c>
      <c r="CH13" s="10"/>
      <c r="CI13" s="10">
        <v>0.8</v>
      </c>
      <c r="CJ13" s="10"/>
      <c r="CK13" s="10">
        <v>0.8</v>
      </c>
      <c r="CO13" s="10"/>
      <c r="CP13" s="10">
        <v>0.8</v>
      </c>
      <c r="CQ13" s="10"/>
      <c r="CR13" s="10">
        <v>0.8</v>
      </c>
      <c r="CV13" s="10"/>
      <c r="CW13" s="10">
        <v>1</v>
      </c>
      <c r="CX13" s="10"/>
      <c r="CY13" s="10">
        <v>1</v>
      </c>
      <c r="DC13" s="10"/>
      <c r="DD13" s="10"/>
      <c r="DE13" s="10"/>
      <c r="DF13" s="10"/>
      <c r="DJ13" s="10"/>
      <c r="DK13" s="10"/>
      <c r="DL13" s="10"/>
      <c r="DM13" s="10"/>
      <c r="DQ13" s="10"/>
      <c r="DR13" s="10"/>
      <c r="DS13" s="10"/>
      <c r="DT13" s="10"/>
      <c r="DX13" s="10"/>
      <c r="DY13" s="10"/>
      <c r="DZ13" s="10"/>
      <c r="EA13" s="10"/>
      <c r="EE13" s="10"/>
      <c r="EF13" s="10"/>
      <c r="EG13" s="10"/>
      <c r="EH13" s="10"/>
      <c r="EL13" s="10"/>
      <c r="EM13" s="10"/>
      <c r="EN13" s="10"/>
      <c r="EO13" s="10"/>
    </row>
    <row r="14" spans="2:146" hidden="1" outlineLevel="1">
      <c r="B14" t="s">
        <v>28</v>
      </c>
      <c r="C14" t="s">
        <v>93</v>
      </c>
      <c r="E14" s="9"/>
      <c r="F14" t="s">
        <v>107</v>
      </c>
      <c r="G14" s="20">
        <v>9.0909090909090912E-2</v>
      </c>
      <c r="I14" s="9"/>
      <c r="J14" s="11" cm="1">
        <f t="array" ref="J14">MAX(IF($N$3:$DU$3=$J$3,N14:DU14))</f>
        <v>0</v>
      </c>
      <c r="K14" s="11" cm="1">
        <f t="array" ref="K14">MAX(IF($N$3:$DU$3=$J$3,N14:DU14))</f>
        <v>0</v>
      </c>
      <c r="L14" s="9"/>
      <c r="P14" s="10"/>
      <c r="Q14" s="10"/>
      <c r="R14" s="10"/>
      <c r="S14" s="10"/>
      <c r="W14" s="10"/>
      <c r="X14" s="10"/>
      <c r="Y14" s="10"/>
      <c r="Z14" s="10"/>
      <c r="AD14" s="10"/>
      <c r="AE14" s="10"/>
      <c r="AF14" s="10"/>
      <c r="AG14" s="10"/>
      <c r="AK14" s="10"/>
      <c r="AL14" s="10"/>
      <c r="AM14" s="10"/>
      <c r="AN14" s="10"/>
      <c r="AR14" s="10"/>
      <c r="AS14" s="10">
        <v>0.5</v>
      </c>
      <c r="AT14" s="10"/>
      <c r="AU14" s="10">
        <v>0.5</v>
      </c>
      <c r="AY14" s="10"/>
      <c r="AZ14" s="10">
        <v>0.5</v>
      </c>
      <c r="BA14" s="10"/>
      <c r="BB14" s="10">
        <v>0.5</v>
      </c>
      <c r="BF14" s="10"/>
      <c r="BG14" s="10">
        <v>0.5</v>
      </c>
      <c r="BH14" s="10"/>
      <c r="BI14" s="10">
        <v>0.5</v>
      </c>
      <c r="BM14" s="10"/>
      <c r="BN14" s="10">
        <v>0.5</v>
      </c>
      <c r="BO14" s="10"/>
      <c r="BP14" s="10">
        <v>0.5</v>
      </c>
      <c r="BT14" s="10"/>
      <c r="BU14" s="10">
        <v>0.8</v>
      </c>
      <c r="BV14" s="10"/>
      <c r="BW14" s="10">
        <v>0.8</v>
      </c>
      <c r="CA14" s="10"/>
      <c r="CB14" s="10">
        <v>0.8</v>
      </c>
      <c r="CC14" s="10"/>
      <c r="CD14" s="10">
        <v>0.8</v>
      </c>
      <c r="CH14" s="10"/>
      <c r="CI14" s="10">
        <v>0.8</v>
      </c>
      <c r="CJ14" s="10"/>
      <c r="CK14" s="10">
        <v>0.8</v>
      </c>
      <c r="CO14" s="10"/>
      <c r="CP14" s="10">
        <v>0.8</v>
      </c>
      <c r="CQ14" s="10"/>
      <c r="CR14" s="10">
        <v>0.8</v>
      </c>
      <c r="CV14" s="10"/>
      <c r="CW14" s="10">
        <v>1</v>
      </c>
      <c r="CX14" s="10"/>
      <c r="CY14" s="10">
        <v>1</v>
      </c>
      <c r="DC14" s="10"/>
      <c r="DD14" s="10"/>
      <c r="DE14" s="10"/>
      <c r="DF14" s="10"/>
      <c r="DJ14" s="10"/>
      <c r="DK14" s="10"/>
      <c r="DL14" s="10"/>
      <c r="DM14" s="10"/>
      <c r="DQ14" s="10"/>
      <c r="DR14" s="10"/>
      <c r="DS14" s="10"/>
      <c r="DT14" s="10"/>
      <c r="DX14" s="10"/>
      <c r="DY14" s="10"/>
      <c r="DZ14" s="10"/>
      <c r="EA14" s="10"/>
      <c r="EE14" s="10"/>
      <c r="EF14" s="10"/>
      <c r="EG14" s="10"/>
      <c r="EH14" s="10"/>
      <c r="EL14" s="10"/>
      <c r="EM14" s="10"/>
      <c r="EN14" s="10"/>
      <c r="EO14" s="10"/>
    </row>
    <row r="15" spans="2:146" hidden="1" outlineLevel="1">
      <c r="B15" t="s">
        <v>28</v>
      </c>
      <c r="C15" t="s">
        <v>93</v>
      </c>
      <c r="E15" s="9"/>
      <c r="F15" t="s">
        <v>108</v>
      </c>
      <c r="G15" s="20">
        <v>9.0909090909090912E-2</v>
      </c>
      <c r="I15" s="9"/>
      <c r="J15" s="11" cm="1">
        <f t="array" ref="J15">MAX(IF($N$3:$DU$3=$J$3,N15:DU15))</f>
        <v>0</v>
      </c>
      <c r="K15" s="11" cm="1">
        <f t="array" ref="K15">MAX(IF($N$3:$DU$3=$J$3,N15:DU15))</f>
        <v>0</v>
      </c>
      <c r="L15" s="9"/>
      <c r="P15" s="10"/>
      <c r="Q15" s="10"/>
      <c r="R15" s="10"/>
      <c r="S15" s="10"/>
      <c r="W15" s="10"/>
      <c r="X15" s="10"/>
      <c r="Y15" s="10"/>
      <c r="Z15" s="10"/>
      <c r="AD15" s="10"/>
      <c r="AE15" s="10"/>
      <c r="AF15" s="10"/>
      <c r="AG15" s="10"/>
      <c r="AK15" s="10"/>
      <c r="AL15" s="10"/>
      <c r="AM15" s="10"/>
      <c r="AN15" s="10"/>
      <c r="AR15" s="10"/>
      <c r="AS15" s="10"/>
      <c r="AT15" s="10"/>
      <c r="AU15" s="10"/>
      <c r="AY15" s="10"/>
      <c r="AZ15" s="10">
        <v>0.5</v>
      </c>
      <c r="BA15" s="10"/>
      <c r="BB15" s="10">
        <v>0.5</v>
      </c>
      <c r="BF15" s="10"/>
      <c r="BG15" s="10">
        <v>0.5</v>
      </c>
      <c r="BH15" s="10"/>
      <c r="BI15" s="10">
        <v>0.5</v>
      </c>
      <c r="BM15" s="10"/>
      <c r="BN15" s="10">
        <v>0.5</v>
      </c>
      <c r="BO15" s="10"/>
      <c r="BP15" s="10">
        <v>0.5</v>
      </c>
      <c r="BT15" s="10"/>
      <c r="BU15" s="10">
        <v>0.5</v>
      </c>
      <c r="BV15" s="10"/>
      <c r="BW15" s="10">
        <v>0.5</v>
      </c>
      <c r="CA15" s="10"/>
      <c r="CB15" s="10">
        <v>0.8</v>
      </c>
      <c r="CC15" s="10"/>
      <c r="CD15" s="10">
        <v>0.8</v>
      </c>
      <c r="CH15" s="10"/>
      <c r="CI15" s="10">
        <v>0.8</v>
      </c>
      <c r="CJ15" s="10"/>
      <c r="CK15" s="10">
        <v>0.8</v>
      </c>
      <c r="CO15" s="10"/>
      <c r="CP15" s="10">
        <v>0.8</v>
      </c>
      <c r="CQ15" s="10"/>
      <c r="CR15" s="10">
        <v>0.8</v>
      </c>
      <c r="CV15" s="10"/>
      <c r="CW15" s="10">
        <v>1</v>
      </c>
      <c r="CX15" s="10"/>
      <c r="CY15" s="10">
        <v>1</v>
      </c>
      <c r="DC15" s="10"/>
      <c r="DD15" s="10"/>
      <c r="DE15" s="10"/>
      <c r="DF15" s="10"/>
      <c r="DJ15" s="10"/>
      <c r="DK15" s="10"/>
      <c r="DL15" s="10"/>
      <c r="DM15" s="10"/>
      <c r="DQ15" s="10"/>
      <c r="DR15" s="10"/>
      <c r="DS15" s="10"/>
      <c r="DT15" s="10"/>
      <c r="DX15" s="10"/>
      <c r="DY15" s="10"/>
      <c r="DZ15" s="10"/>
      <c r="EA15" s="10"/>
      <c r="EE15" s="10"/>
      <c r="EF15" s="10"/>
      <c r="EG15" s="10"/>
      <c r="EH15" s="10"/>
      <c r="EL15" s="10"/>
      <c r="EM15" s="10"/>
      <c r="EN15" s="10"/>
      <c r="EO15" s="10"/>
    </row>
    <row r="16" spans="2:146" collapsed="1">
      <c r="BB16" s="10"/>
      <c r="BI16" s="10"/>
    </row>
    <row r="17" spans="2:145">
      <c r="B17" t="s">
        <v>27</v>
      </c>
      <c r="C17" t="s">
        <v>121</v>
      </c>
      <c r="D17" s="19">
        <v>45306</v>
      </c>
      <c r="E17" s="9">
        <v>5.5</v>
      </c>
      <c r="G17" s="10">
        <f>+SUM(G18:G29)</f>
        <v>0.95999999999999985</v>
      </c>
      <c r="I17" s="12">
        <f>+SUM(I18:I29)</f>
        <v>0</v>
      </c>
      <c r="J17" s="11">
        <f>+SUMPRODUCT(G18:G29,J18:J29)</f>
        <v>0.224</v>
      </c>
      <c r="K17" s="11">
        <f>+SUMPRODUCT(G18:G29,K18:K29)</f>
        <v>0.224</v>
      </c>
      <c r="L17" s="9"/>
      <c r="O17" s="12"/>
      <c r="V17" s="12"/>
      <c r="AC17" s="12"/>
      <c r="BM17" s="10"/>
      <c r="BN17" s="10"/>
      <c r="BO17" s="10"/>
      <c r="BP17" s="10"/>
    </row>
    <row r="18" spans="2:145" hidden="1" outlineLevel="1">
      <c r="B18" t="s">
        <v>28</v>
      </c>
      <c r="C18" t="s">
        <v>120</v>
      </c>
      <c r="E18" s="9"/>
      <c r="F18" t="s">
        <v>202</v>
      </c>
      <c r="G18" s="21">
        <v>0.08</v>
      </c>
      <c r="I18" s="9">
        <f t="shared" ref="I18:I25" si="0">+SUMIF($N$3:$ZM$3,I$3,$N18:$ZM18)</f>
        <v>0</v>
      </c>
      <c r="J18" s="11" cm="1">
        <f t="array" ref="J18">MAX(IF($N$3:$DU$3=$J$3,N18:DU18))</f>
        <v>0.5</v>
      </c>
      <c r="K18" s="11" cm="1">
        <f t="array" ref="K18">MAX(IF($N$3:$DU$3=$J$3,N18:DU18))</f>
        <v>0.5</v>
      </c>
      <c r="L18" s="9"/>
      <c r="P18" s="10">
        <v>0.5</v>
      </c>
      <c r="Q18" s="10">
        <v>0.5</v>
      </c>
      <c r="R18" s="10">
        <v>0.5</v>
      </c>
      <c r="S18" s="10">
        <v>0.5</v>
      </c>
      <c r="W18" s="10"/>
      <c r="X18" s="10">
        <v>0.5</v>
      </c>
      <c r="Y18" s="10"/>
      <c r="Z18" s="10">
        <v>0.5</v>
      </c>
      <c r="AA18" s="10"/>
      <c r="AD18" s="10"/>
      <c r="AE18" s="10">
        <v>0.8</v>
      </c>
      <c r="AF18" s="10"/>
      <c r="AG18" s="10">
        <v>0.8</v>
      </c>
      <c r="AK18" s="10"/>
      <c r="AL18" s="10">
        <v>0.8</v>
      </c>
      <c r="AM18" s="10"/>
      <c r="AN18" s="10">
        <v>0.8</v>
      </c>
      <c r="AR18" s="10"/>
      <c r="AS18" s="10">
        <v>0.8</v>
      </c>
      <c r="AT18" s="10"/>
      <c r="AU18" s="10">
        <v>0.8</v>
      </c>
      <c r="AY18" s="10"/>
      <c r="AZ18" s="10">
        <v>0.8</v>
      </c>
      <c r="BA18" s="10"/>
      <c r="BB18" s="10">
        <v>0.8</v>
      </c>
      <c r="BF18" s="10"/>
      <c r="BG18" s="10">
        <v>0.8</v>
      </c>
      <c r="BH18" s="10"/>
      <c r="BI18" s="10">
        <v>0.8</v>
      </c>
      <c r="BJ18" s="10"/>
      <c r="BM18" s="10"/>
      <c r="BN18" s="10">
        <v>1</v>
      </c>
      <c r="BO18" s="10"/>
      <c r="BP18" s="10">
        <v>1</v>
      </c>
      <c r="BT18" s="10"/>
      <c r="BU18" s="10">
        <v>1</v>
      </c>
      <c r="BV18" s="10"/>
      <c r="BW18" s="10">
        <v>1</v>
      </c>
      <c r="CA18" s="10"/>
      <c r="CB18" s="10">
        <v>1</v>
      </c>
      <c r="CC18" s="10"/>
      <c r="CD18" s="10">
        <v>1</v>
      </c>
      <c r="CH18" s="10"/>
      <c r="CI18" s="10">
        <v>1</v>
      </c>
      <c r="CJ18" s="10"/>
      <c r="CK18" s="10">
        <v>1</v>
      </c>
      <c r="CO18" s="10"/>
      <c r="CP18" s="10">
        <v>1</v>
      </c>
      <c r="CQ18" s="10"/>
      <c r="CR18" s="10">
        <v>1</v>
      </c>
      <c r="CV18" s="10"/>
      <c r="CW18" s="10">
        <v>1</v>
      </c>
      <c r="CX18" s="10"/>
      <c r="CY18" s="10">
        <v>1</v>
      </c>
      <c r="DC18" s="10"/>
      <c r="DD18" s="10"/>
      <c r="DE18" s="10"/>
      <c r="DF18" s="10"/>
      <c r="DJ18" s="10"/>
      <c r="DK18" s="10"/>
      <c r="DL18" s="10"/>
      <c r="DM18" s="10"/>
      <c r="DQ18" s="10"/>
      <c r="DR18" s="10"/>
      <c r="DS18" s="10"/>
      <c r="DT18" s="10"/>
      <c r="DX18" s="10"/>
      <c r="DY18" s="10"/>
      <c r="DZ18" s="10"/>
      <c r="EA18" s="10"/>
      <c r="EE18" s="10"/>
      <c r="EF18" s="10"/>
      <c r="EG18" s="10"/>
      <c r="EH18" s="10"/>
      <c r="EL18" s="10"/>
      <c r="EM18" s="10"/>
      <c r="EN18" s="10"/>
      <c r="EO18" s="10"/>
    </row>
    <row r="19" spans="2:145" hidden="1" outlineLevel="1">
      <c r="B19" t="s">
        <v>28</v>
      </c>
      <c r="C19" t="s">
        <v>120</v>
      </c>
      <c r="E19" s="9"/>
      <c r="F19" t="s">
        <v>203</v>
      </c>
      <c r="G19" s="21">
        <v>0.08</v>
      </c>
      <c r="I19" s="9">
        <f t="shared" si="0"/>
        <v>0</v>
      </c>
      <c r="J19" s="11" cm="1">
        <f t="array" ref="J19">MAX(IF($N$3:$DU$3=$J$3,N19:DU19))</f>
        <v>0.5</v>
      </c>
      <c r="K19" s="11" cm="1">
        <f t="array" ref="K19">MAX(IF($N$3:$DU$3=$J$3,N19:DU19))</f>
        <v>0.5</v>
      </c>
      <c r="L19" s="9"/>
      <c r="P19" s="10">
        <v>0.5</v>
      </c>
      <c r="Q19" s="10">
        <v>0.5</v>
      </c>
      <c r="R19" s="10">
        <v>0.5</v>
      </c>
      <c r="S19" s="10">
        <v>0.5</v>
      </c>
      <c r="W19" s="10"/>
      <c r="X19" s="10">
        <v>0.5</v>
      </c>
      <c r="Y19" s="10"/>
      <c r="Z19" s="10">
        <v>0.5</v>
      </c>
      <c r="AD19" s="10"/>
      <c r="AE19" s="10">
        <v>0.5</v>
      </c>
      <c r="AF19" s="10"/>
      <c r="AG19" s="10">
        <v>0.5</v>
      </c>
      <c r="AK19" s="10"/>
      <c r="AL19" s="10">
        <v>0.8</v>
      </c>
      <c r="AM19" s="10"/>
      <c r="AN19" s="10">
        <v>0.8</v>
      </c>
      <c r="AR19" s="10"/>
      <c r="AS19" s="10">
        <v>0.8</v>
      </c>
      <c r="AT19" s="10"/>
      <c r="AU19" s="10">
        <v>0.8</v>
      </c>
      <c r="AY19" s="10"/>
      <c r="AZ19" s="10">
        <v>0.8</v>
      </c>
      <c r="BA19" s="10"/>
      <c r="BB19" s="10">
        <v>0.8</v>
      </c>
      <c r="BF19" s="10"/>
      <c r="BG19" s="10">
        <v>0.8</v>
      </c>
      <c r="BH19" s="10"/>
      <c r="BI19" s="10">
        <v>0.8</v>
      </c>
      <c r="BJ19" s="10"/>
      <c r="BM19" s="10"/>
      <c r="BN19" s="10">
        <v>1</v>
      </c>
      <c r="BO19" s="10"/>
      <c r="BP19" s="10">
        <v>1</v>
      </c>
      <c r="BT19" s="10"/>
      <c r="BU19" s="10">
        <v>1</v>
      </c>
      <c r="BV19" s="10"/>
      <c r="BW19" s="10">
        <v>1</v>
      </c>
      <c r="CA19" s="10"/>
      <c r="CB19" s="10">
        <v>1</v>
      </c>
      <c r="CC19" s="10"/>
      <c r="CD19" s="10">
        <v>1</v>
      </c>
      <c r="CH19" s="10"/>
      <c r="CI19" s="10">
        <v>1</v>
      </c>
      <c r="CJ19" s="10"/>
      <c r="CK19" s="10">
        <v>1</v>
      </c>
      <c r="CO19" s="10"/>
      <c r="CP19" s="10">
        <v>1</v>
      </c>
      <c r="CQ19" s="10"/>
      <c r="CR19" s="10">
        <v>1</v>
      </c>
      <c r="CV19" s="10"/>
      <c r="CW19" s="10">
        <v>1</v>
      </c>
      <c r="CX19" s="10"/>
      <c r="CY19" s="10">
        <v>1</v>
      </c>
      <c r="DC19" s="10"/>
      <c r="DD19" s="10"/>
      <c r="DE19" s="10"/>
      <c r="DF19" s="10"/>
      <c r="DJ19" s="10"/>
      <c r="DK19" s="10"/>
      <c r="DL19" s="10"/>
      <c r="DM19" s="10"/>
      <c r="DQ19" s="10"/>
      <c r="DR19" s="10"/>
      <c r="DS19" s="10"/>
      <c r="DT19" s="10"/>
      <c r="DX19" s="10"/>
      <c r="DY19" s="10"/>
      <c r="DZ19" s="10"/>
      <c r="EA19" s="10"/>
      <c r="EE19" s="10"/>
      <c r="EF19" s="10"/>
      <c r="EG19" s="10"/>
      <c r="EH19" s="10"/>
      <c r="EL19" s="10"/>
      <c r="EM19" s="10"/>
      <c r="EN19" s="10"/>
      <c r="EO19" s="10"/>
    </row>
    <row r="20" spans="2:145" hidden="1" outlineLevel="1">
      <c r="B20" t="s">
        <v>28</v>
      </c>
      <c r="C20" t="s">
        <v>120</v>
      </c>
      <c r="E20" s="9"/>
      <c r="F20" t="s">
        <v>204</v>
      </c>
      <c r="G20" s="21">
        <v>0.08</v>
      </c>
      <c r="I20" s="9">
        <f t="shared" si="0"/>
        <v>0</v>
      </c>
      <c r="J20" s="11" cm="1">
        <f t="array" ref="J20">MAX(IF($N$3:$DU$3=$J$3,N20:DU20))</f>
        <v>0.5</v>
      </c>
      <c r="K20" s="11" cm="1">
        <f t="array" ref="K20">MAX(IF($N$3:$DU$3=$J$3,N20:DU20))</f>
        <v>0.5</v>
      </c>
      <c r="L20" s="9"/>
      <c r="P20" s="10">
        <v>0.5</v>
      </c>
      <c r="Q20" s="10">
        <v>0.5</v>
      </c>
      <c r="R20" s="10">
        <v>0.5</v>
      </c>
      <c r="S20" s="10">
        <v>0.5</v>
      </c>
      <c r="W20" s="10"/>
      <c r="X20" s="10">
        <v>0.5</v>
      </c>
      <c r="Y20" s="10"/>
      <c r="Z20" s="10">
        <v>0.5</v>
      </c>
      <c r="AD20" s="10"/>
      <c r="AE20" s="10">
        <v>0.5</v>
      </c>
      <c r="AF20" s="10"/>
      <c r="AG20" s="10">
        <v>0.5</v>
      </c>
      <c r="AK20" s="10"/>
      <c r="AL20" s="10">
        <v>0.8</v>
      </c>
      <c r="AM20" s="10"/>
      <c r="AN20" s="10">
        <v>0.8</v>
      </c>
      <c r="AR20" s="10"/>
      <c r="AS20" s="10">
        <v>0.8</v>
      </c>
      <c r="AT20" s="10"/>
      <c r="AU20" s="10">
        <v>0.8</v>
      </c>
      <c r="AY20" s="10"/>
      <c r="AZ20" s="10">
        <v>0.8</v>
      </c>
      <c r="BA20" s="10"/>
      <c r="BB20" s="10">
        <v>0.8</v>
      </c>
      <c r="BF20" s="10"/>
      <c r="BG20" s="10">
        <v>0.8</v>
      </c>
      <c r="BH20" s="10"/>
      <c r="BI20" s="10">
        <v>0.8</v>
      </c>
      <c r="BJ20" s="10"/>
      <c r="BM20" s="10"/>
      <c r="BN20" s="10">
        <v>0.8</v>
      </c>
      <c r="BO20" s="10"/>
      <c r="BP20" s="10">
        <v>0.8</v>
      </c>
      <c r="BT20" s="10"/>
      <c r="BU20" s="10">
        <v>1</v>
      </c>
      <c r="BV20" s="10"/>
      <c r="BW20" s="10">
        <v>1</v>
      </c>
      <c r="CA20" s="10"/>
      <c r="CB20" s="10">
        <v>1</v>
      </c>
      <c r="CC20" s="10"/>
      <c r="CD20" s="10">
        <v>1</v>
      </c>
      <c r="CH20" s="10"/>
      <c r="CI20" s="10">
        <v>1</v>
      </c>
      <c r="CJ20" s="10"/>
      <c r="CK20" s="10">
        <v>1</v>
      </c>
      <c r="CO20" s="10"/>
      <c r="CP20" s="10">
        <v>1</v>
      </c>
      <c r="CQ20" s="10"/>
      <c r="CR20" s="10">
        <v>1</v>
      </c>
      <c r="CV20" s="10"/>
      <c r="CW20" s="10">
        <v>1</v>
      </c>
      <c r="CX20" s="10"/>
      <c r="CY20" s="10">
        <v>1</v>
      </c>
      <c r="DC20" s="10"/>
      <c r="DD20" s="10"/>
      <c r="DE20" s="10"/>
      <c r="DF20" s="10"/>
      <c r="DJ20" s="10"/>
      <c r="DK20" s="10"/>
      <c r="DL20" s="10"/>
      <c r="DM20" s="10"/>
      <c r="DQ20" s="10"/>
      <c r="DR20" s="10"/>
      <c r="DS20" s="10"/>
      <c r="DT20" s="10"/>
      <c r="DX20" s="10"/>
      <c r="DY20" s="10"/>
      <c r="DZ20" s="10"/>
      <c r="EA20" s="10"/>
      <c r="EE20" s="10"/>
      <c r="EF20" s="10"/>
      <c r="EG20" s="10"/>
      <c r="EH20" s="10"/>
      <c r="EL20" s="10"/>
      <c r="EM20" s="10"/>
      <c r="EN20" s="10"/>
      <c r="EO20" s="10"/>
    </row>
    <row r="21" spans="2:145" hidden="1" outlineLevel="1">
      <c r="B21" t="s">
        <v>28</v>
      </c>
      <c r="C21" t="s">
        <v>120</v>
      </c>
      <c r="E21" s="9"/>
      <c r="F21" t="s">
        <v>205</v>
      </c>
      <c r="G21" s="21">
        <v>0.08</v>
      </c>
      <c r="I21" s="9">
        <f t="shared" si="0"/>
        <v>0</v>
      </c>
      <c r="J21" s="11" cm="1">
        <f t="array" ref="J21">MAX(IF($N$3:$DU$3=$J$3,N21:DU21))</f>
        <v>0.5</v>
      </c>
      <c r="K21" s="11" cm="1">
        <f t="array" ref="K21">MAX(IF($N$3:$DU$3=$J$3,N21:DU21))</f>
        <v>0.5</v>
      </c>
      <c r="L21" s="9"/>
      <c r="P21" s="10">
        <v>0.5</v>
      </c>
      <c r="Q21" s="10">
        <v>0.5</v>
      </c>
      <c r="R21" s="10">
        <v>0.5</v>
      </c>
      <c r="S21" s="10">
        <v>0.5</v>
      </c>
      <c r="W21" s="10"/>
      <c r="X21" s="10">
        <v>0.5</v>
      </c>
      <c r="Y21" s="10"/>
      <c r="Z21" s="10">
        <v>0.5</v>
      </c>
      <c r="AD21" s="10"/>
      <c r="AE21" s="10">
        <v>0.5</v>
      </c>
      <c r="AF21" s="10"/>
      <c r="AG21" s="10">
        <v>0.5</v>
      </c>
      <c r="AK21" s="10"/>
      <c r="AL21" s="10">
        <v>0.5</v>
      </c>
      <c r="AM21" s="10"/>
      <c r="AN21" s="10">
        <v>0.5</v>
      </c>
      <c r="AR21" s="10"/>
      <c r="AS21" s="10">
        <v>0.8</v>
      </c>
      <c r="AT21" s="10"/>
      <c r="AU21" s="10">
        <v>0.8</v>
      </c>
      <c r="AY21" s="10"/>
      <c r="AZ21" s="10">
        <v>0.8</v>
      </c>
      <c r="BA21" s="10"/>
      <c r="BB21" s="10">
        <v>0.8</v>
      </c>
      <c r="BF21" s="10"/>
      <c r="BG21" s="10">
        <v>0.8</v>
      </c>
      <c r="BH21" s="10"/>
      <c r="BI21" s="10">
        <v>0.8</v>
      </c>
      <c r="BM21" s="10"/>
      <c r="BN21" s="10">
        <v>0.8</v>
      </c>
      <c r="BO21" s="10"/>
      <c r="BP21" s="10">
        <v>0.8</v>
      </c>
      <c r="BT21" s="10"/>
      <c r="BU21" s="10">
        <v>0.8</v>
      </c>
      <c r="BV21" s="10"/>
      <c r="BW21" s="10">
        <v>0.8</v>
      </c>
      <c r="CA21" s="10"/>
      <c r="CB21" s="10">
        <v>1</v>
      </c>
      <c r="CC21" s="10"/>
      <c r="CD21" s="10">
        <v>1</v>
      </c>
      <c r="CH21" s="10"/>
      <c r="CI21" s="10">
        <v>1</v>
      </c>
      <c r="CJ21" s="10"/>
      <c r="CK21" s="10">
        <v>1</v>
      </c>
      <c r="CO21" s="10"/>
      <c r="CP21" s="10">
        <v>1</v>
      </c>
      <c r="CQ21" s="10"/>
      <c r="CR21" s="10">
        <v>1</v>
      </c>
      <c r="CV21" s="10"/>
      <c r="CW21" s="10">
        <v>1</v>
      </c>
      <c r="CX21" s="10"/>
      <c r="CY21" s="10">
        <v>1</v>
      </c>
      <c r="DC21" s="10"/>
      <c r="DD21" s="10"/>
      <c r="DE21" s="10"/>
      <c r="DF21" s="10"/>
      <c r="DJ21" s="10"/>
      <c r="DK21" s="10"/>
      <c r="DL21" s="10"/>
      <c r="DM21" s="10"/>
      <c r="DQ21" s="10"/>
      <c r="DR21" s="10"/>
      <c r="DS21" s="10"/>
      <c r="DT21" s="10"/>
      <c r="DX21" s="10"/>
      <c r="DY21" s="10"/>
      <c r="DZ21" s="10"/>
      <c r="EA21" s="10"/>
      <c r="EE21" s="10"/>
      <c r="EF21" s="10"/>
      <c r="EG21" s="10"/>
      <c r="EH21" s="10"/>
      <c r="EL21" s="10"/>
      <c r="EM21" s="10"/>
      <c r="EN21" s="10"/>
      <c r="EO21" s="10"/>
    </row>
    <row r="22" spans="2:145" hidden="1" outlineLevel="1">
      <c r="B22" t="s">
        <v>28</v>
      </c>
      <c r="C22" t="s">
        <v>120</v>
      </c>
      <c r="E22" s="9"/>
      <c r="F22" t="s">
        <v>206</v>
      </c>
      <c r="G22" s="21">
        <v>0.08</v>
      </c>
      <c r="I22" s="9">
        <f t="shared" si="0"/>
        <v>0</v>
      </c>
      <c r="J22" s="11" cm="1">
        <f t="array" ref="J22">MAX(IF($N$3:$DU$3=$J$3,N22:DU22))</f>
        <v>0.5</v>
      </c>
      <c r="K22" s="11" cm="1">
        <f t="array" ref="K22">MAX(IF($N$3:$DU$3=$J$3,N22:DU22))</f>
        <v>0.5</v>
      </c>
      <c r="L22" s="9"/>
      <c r="P22" s="10">
        <v>0.5</v>
      </c>
      <c r="Q22" s="10">
        <v>0.5</v>
      </c>
      <c r="R22" s="10">
        <v>0.5</v>
      </c>
      <c r="S22" s="10">
        <v>0.5</v>
      </c>
      <c r="W22" s="10"/>
      <c r="X22" s="10">
        <v>0.5</v>
      </c>
      <c r="Y22" s="10"/>
      <c r="Z22" s="10">
        <v>0.5</v>
      </c>
      <c r="AD22" s="10"/>
      <c r="AE22" s="10">
        <v>0.5</v>
      </c>
      <c r="AF22" s="10"/>
      <c r="AG22" s="10">
        <v>0.5</v>
      </c>
      <c r="AK22" s="10"/>
      <c r="AL22" s="10">
        <v>0.5</v>
      </c>
      <c r="AM22" s="10"/>
      <c r="AN22" s="10">
        <v>0.5</v>
      </c>
      <c r="AR22" s="10"/>
      <c r="AS22" s="10">
        <v>0.5</v>
      </c>
      <c r="AT22" s="10"/>
      <c r="AU22" s="10">
        <v>0.5</v>
      </c>
      <c r="AY22" s="10"/>
      <c r="AZ22" s="10">
        <v>0.8</v>
      </c>
      <c r="BA22" s="10"/>
      <c r="BB22" s="10">
        <v>0.8</v>
      </c>
      <c r="BF22" s="10"/>
      <c r="BG22" s="10">
        <v>0.8</v>
      </c>
      <c r="BH22" s="10"/>
      <c r="BI22" s="10">
        <v>0.8</v>
      </c>
      <c r="BM22" s="10"/>
      <c r="BN22" s="10">
        <v>0.8</v>
      </c>
      <c r="BO22" s="10"/>
      <c r="BP22" s="10">
        <v>0.8</v>
      </c>
      <c r="BT22" s="10"/>
      <c r="BU22" s="10">
        <v>0.8</v>
      </c>
      <c r="BV22" s="10"/>
      <c r="BW22" s="10">
        <v>0.8</v>
      </c>
      <c r="CA22" s="10"/>
      <c r="CB22" s="10">
        <v>1</v>
      </c>
      <c r="CC22" s="10"/>
      <c r="CD22" s="10">
        <v>1</v>
      </c>
      <c r="CH22" s="10"/>
      <c r="CI22" s="10">
        <v>1</v>
      </c>
      <c r="CJ22" s="10"/>
      <c r="CK22" s="10">
        <v>1</v>
      </c>
      <c r="CO22" s="10"/>
      <c r="CP22" s="10">
        <v>1</v>
      </c>
      <c r="CQ22" s="10"/>
      <c r="CR22" s="10">
        <v>1</v>
      </c>
      <c r="CV22" s="10"/>
      <c r="CW22" s="10">
        <v>1</v>
      </c>
      <c r="CX22" s="10"/>
      <c r="CY22" s="10">
        <v>1</v>
      </c>
      <c r="DC22" s="10"/>
      <c r="DD22" s="10"/>
      <c r="DE22" s="10"/>
      <c r="DF22" s="10"/>
      <c r="DJ22" s="10"/>
      <c r="DK22" s="10"/>
      <c r="DL22" s="10"/>
      <c r="DM22" s="10"/>
      <c r="DQ22" s="10"/>
      <c r="DR22" s="10"/>
      <c r="DS22" s="10"/>
      <c r="DT22" s="10"/>
      <c r="DX22" s="10"/>
      <c r="DY22" s="10"/>
      <c r="DZ22" s="10"/>
      <c r="EA22" s="10"/>
      <c r="EE22" s="10"/>
      <c r="EF22" s="10"/>
      <c r="EG22" s="10"/>
      <c r="EH22" s="10"/>
      <c r="EL22" s="10"/>
      <c r="EM22" s="10"/>
      <c r="EN22" s="10"/>
      <c r="EO22" s="10"/>
    </row>
    <row r="23" spans="2:145" hidden="1" outlineLevel="1">
      <c r="B23" t="s">
        <v>28</v>
      </c>
      <c r="C23" t="s">
        <v>120</v>
      </c>
      <c r="E23" s="9"/>
      <c r="F23" t="s">
        <v>207</v>
      </c>
      <c r="G23" s="21">
        <v>0.08</v>
      </c>
      <c r="I23" s="9">
        <f t="shared" si="0"/>
        <v>0</v>
      </c>
      <c r="J23" s="11" cm="1">
        <f t="array" ref="J23">MAX(IF($N$3:$DU$3=$J$3,N23:DU23))</f>
        <v>0.3</v>
      </c>
      <c r="K23" s="11" cm="1">
        <f t="array" ref="K23">MAX(IF($N$3:$DU$3=$J$3,N23:DU23))</f>
        <v>0.3</v>
      </c>
      <c r="L23" s="9"/>
      <c r="P23" s="10">
        <v>0.3</v>
      </c>
      <c r="Q23" s="10">
        <v>0.5</v>
      </c>
      <c r="R23" s="10">
        <v>0.3</v>
      </c>
      <c r="S23" s="10">
        <v>0.5</v>
      </c>
      <c r="W23" s="10"/>
      <c r="X23" s="10">
        <v>0.5</v>
      </c>
      <c r="Y23" s="10"/>
      <c r="Z23" s="10">
        <v>0.5</v>
      </c>
      <c r="AD23" s="10"/>
      <c r="AE23" s="10">
        <v>0.5</v>
      </c>
      <c r="AF23" s="10"/>
      <c r="AG23" s="10">
        <v>0.5</v>
      </c>
      <c r="AK23" s="10"/>
      <c r="AL23" s="10">
        <v>0.5</v>
      </c>
      <c r="AM23" s="10"/>
      <c r="AN23" s="10">
        <v>0.5</v>
      </c>
      <c r="AR23" s="10"/>
      <c r="AS23" s="10">
        <v>0.5</v>
      </c>
      <c r="AT23" s="10"/>
      <c r="AU23" s="10">
        <v>0.5</v>
      </c>
      <c r="AY23" s="10"/>
      <c r="AZ23" s="10">
        <v>0.5</v>
      </c>
      <c r="BA23" s="10"/>
      <c r="BB23" s="10">
        <v>0.5</v>
      </c>
      <c r="BF23" s="10"/>
      <c r="BG23" s="10">
        <v>0.8</v>
      </c>
      <c r="BH23" s="10"/>
      <c r="BI23" s="10">
        <v>0.8</v>
      </c>
      <c r="BM23" s="10"/>
      <c r="BN23" s="10">
        <v>0.8</v>
      </c>
      <c r="BO23" s="10"/>
      <c r="BP23" s="10">
        <v>0.8</v>
      </c>
      <c r="BT23" s="10"/>
      <c r="BU23" s="10">
        <v>0.8</v>
      </c>
      <c r="BV23" s="10"/>
      <c r="BW23" s="10">
        <v>0.8</v>
      </c>
      <c r="CA23" s="10"/>
      <c r="CB23" s="10">
        <v>1</v>
      </c>
      <c r="CC23" s="10"/>
      <c r="CD23" s="10">
        <v>1</v>
      </c>
      <c r="CH23" s="10"/>
      <c r="CI23" s="10">
        <v>1</v>
      </c>
      <c r="CJ23" s="10"/>
      <c r="CK23" s="10">
        <v>1</v>
      </c>
      <c r="CO23" s="10"/>
      <c r="CP23" s="10">
        <v>1</v>
      </c>
      <c r="CQ23" s="10"/>
      <c r="CR23" s="10">
        <v>1</v>
      </c>
      <c r="CV23" s="10"/>
      <c r="CW23" s="10">
        <v>1</v>
      </c>
      <c r="CX23" s="10"/>
      <c r="CY23" s="10">
        <v>1</v>
      </c>
      <c r="DC23" s="10"/>
      <c r="DD23" s="10"/>
      <c r="DE23" s="10"/>
      <c r="DF23" s="10"/>
      <c r="DJ23" s="10"/>
      <c r="DK23" s="10"/>
      <c r="DL23" s="10"/>
      <c r="DM23" s="10"/>
      <c r="DQ23" s="10"/>
      <c r="DR23" s="10"/>
      <c r="DS23" s="10"/>
      <c r="DT23" s="10"/>
      <c r="DX23" s="10"/>
      <c r="DY23" s="10"/>
      <c r="DZ23" s="10"/>
      <c r="EA23" s="10"/>
      <c r="EE23" s="10"/>
      <c r="EF23" s="10"/>
      <c r="EG23" s="10"/>
      <c r="EH23" s="10"/>
      <c r="EL23" s="10"/>
      <c r="EM23" s="10"/>
      <c r="EN23" s="10"/>
      <c r="EO23" s="10"/>
    </row>
    <row r="24" spans="2:145" hidden="1" outlineLevel="1">
      <c r="B24" t="s">
        <v>28</v>
      </c>
      <c r="C24" t="s">
        <v>120</v>
      </c>
      <c r="E24" s="9"/>
      <c r="F24" t="s">
        <v>208</v>
      </c>
      <c r="G24" s="21">
        <v>0.08</v>
      </c>
      <c r="I24" s="9">
        <f t="shared" si="0"/>
        <v>0</v>
      </c>
      <c r="J24" s="11" cm="1">
        <f t="array" ref="J24">MAX(IF($N$3:$DU$3=$J$3,N24:DU24))</f>
        <v>0</v>
      </c>
      <c r="K24" s="11" cm="1">
        <f t="array" ref="K24">MAX(IF($N$3:$DU$3=$J$3,N24:DU24))</f>
        <v>0</v>
      </c>
      <c r="L24" s="9"/>
      <c r="P24" s="10"/>
      <c r="Q24" s="10"/>
      <c r="R24" s="10"/>
      <c r="S24" s="10"/>
      <c r="W24" s="10"/>
      <c r="X24" s="10">
        <v>0.5</v>
      </c>
      <c r="Y24" s="10"/>
      <c r="Z24" s="10">
        <v>0.5</v>
      </c>
      <c r="AD24" s="10"/>
      <c r="AE24" s="10">
        <v>0.5</v>
      </c>
      <c r="AF24" s="10"/>
      <c r="AG24" s="10">
        <v>0.5</v>
      </c>
      <c r="AK24" s="10"/>
      <c r="AL24" s="10">
        <v>0.5</v>
      </c>
      <c r="AM24" s="10"/>
      <c r="AN24" s="10">
        <v>0.5</v>
      </c>
      <c r="AR24" s="10"/>
      <c r="AS24" s="10">
        <v>0.5</v>
      </c>
      <c r="AT24" s="10"/>
      <c r="AU24" s="10">
        <v>0.5</v>
      </c>
      <c r="AY24" s="10"/>
      <c r="AZ24" s="10">
        <v>0.5</v>
      </c>
      <c r="BA24" s="10"/>
      <c r="BB24" s="10">
        <v>0.5</v>
      </c>
      <c r="BF24" s="10"/>
      <c r="BG24" s="10">
        <v>0.8</v>
      </c>
      <c r="BH24" s="10"/>
      <c r="BI24" s="10">
        <v>0.8</v>
      </c>
      <c r="BM24" s="10"/>
      <c r="BN24" s="10">
        <v>0.8</v>
      </c>
      <c r="BO24" s="10"/>
      <c r="BP24" s="10">
        <v>0.8</v>
      </c>
      <c r="BT24" s="10"/>
      <c r="BU24" s="10">
        <v>0.8</v>
      </c>
      <c r="BV24" s="10"/>
      <c r="BW24" s="10">
        <v>0.8</v>
      </c>
      <c r="CA24" s="10"/>
      <c r="CB24" s="10">
        <v>0.8</v>
      </c>
      <c r="CC24" s="10"/>
      <c r="CD24" s="10">
        <v>0.8</v>
      </c>
      <c r="CH24" s="10"/>
      <c r="CI24" s="10">
        <v>1</v>
      </c>
      <c r="CJ24" s="10"/>
      <c r="CK24" s="10">
        <v>1</v>
      </c>
      <c r="CO24" s="10"/>
      <c r="CP24" s="10">
        <v>1</v>
      </c>
      <c r="CQ24" s="10"/>
      <c r="CR24" s="10">
        <v>1</v>
      </c>
      <c r="CV24" s="10"/>
      <c r="CW24" s="10">
        <v>1</v>
      </c>
      <c r="CX24" s="10"/>
      <c r="CY24" s="10">
        <v>1</v>
      </c>
      <c r="DC24" s="10"/>
      <c r="DD24" s="10"/>
      <c r="DE24" s="10"/>
      <c r="DF24" s="10"/>
      <c r="DJ24" s="10"/>
      <c r="DK24" s="10"/>
      <c r="DL24" s="10"/>
      <c r="DM24" s="10"/>
      <c r="DQ24" s="10"/>
      <c r="DR24" s="10"/>
      <c r="DS24" s="10"/>
      <c r="DT24" s="10"/>
      <c r="DX24" s="10"/>
      <c r="DY24" s="10"/>
      <c r="DZ24" s="10"/>
      <c r="EA24" s="10"/>
      <c r="EE24" s="10"/>
      <c r="EF24" s="10"/>
      <c r="EG24" s="10"/>
      <c r="EH24" s="10"/>
      <c r="EL24" s="10"/>
      <c r="EM24" s="10"/>
      <c r="EN24" s="10"/>
      <c r="EO24" s="10"/>
    </row>
    <row r="25" spans="2:145" hidden="1" outlineLevel="1">
      <c r="B25" t="s">
        <v>28</v>
      </c>
      <c r="C25" t="s">
        <v>120</v>
      </c>
      <c r="E25" s="9"/>
      <c r="F25" t="s">
        <v>209</v>
      </c>
      <c r="G25" s="21">
        <v>0.08</v>
      </c>
      <c r="I25" s="9">
        <f t="shared" si="0"/>
        <v>0</v>
      </c>
      <c r="J25" s="11" cm="1">
        <f t="array" ref="J25">MAX(IF($N$3:$DU$3=$J$3,N25:DU25))</f>
        <v>0</v>
      </c>
      <c r="K25" s="11" cm="1">
        <f t="array" ref="K25">MAX(IF($N$3:$DU$3=$J$3,N25:DU25))</f>
        <v>0</v>
      </c>
      <c r="L25" s="9"/>
      <c r="P25" s="10"/>
      <c r="Q25" s="10"/>
      <c r="R25" s="10"/>
      <c r="S25" s="10"/>
      <c r="W25" s="10"/>
      <c r="X25" s="10">
        <v>0.5</v>
      </c>
      <c r="Y25" s="10"/>
      <c r="Z25" s="10">
        <v>0.5</v>
      </c>
      <c r="AD25" s="10"/>
      <c r="AE25" s="10">
        <v>0.5</v>
      </c>
      <c r="AF25" s="10"/>
      <c r="AG25" s="10">
        <v>0.5</v>
      </c>
      <c r="AK25" s="10"/>
      <c r="AL25" s="10">
        <v>0.5</v>
      </c>
      <c r="AM25" s="10"/>
      <c r="AN25" s="10">
        <v>0.5</v>
      </c>
      <c r="AR25" s="10"/>
      <c r="AS25" s="10">
        <v>0.5</v>
      </c>
      <c r="AT25" s="10"/>
      <c r="AU25" s="10">
        <v>0.5</v>
      </c>
      <c r="AY25" s="10"/>
      <c r="AZ25" s="10">
        <v>0.5</v>
      </c>
      <c r="BA25" s="10"/>
      <c r="BB25" s="10">
        <v>0.5</v>
      </c>
      <c r="BF25" s="10"/>
      <c r="BG25" s="10">
        <v>0.8</v>
      </c>
      <c r="BH25" s="10"/>
      <c r="BI25" s="10">
        <v>0.8</v>
      </c>
      <c r="BM25" s="10"/>
      <c r="BN25" s="10">
        <v>0.8</v>
      </c>
      <c r="BO25" s="10"/>
      <c r="BP25" s="10">
        <v>0.8</v>
      </c>
      <c r="BT25" s="10"/>
      <c r="BU25" s="10">
        <v>0.8</v>
      </c>
      <c r="BV25" s="10"/>
      <c r="BW25" s="10">
        <v>0.8</v>
      </c>
      <c r="CA25" s="10"/>
      <c r="CB25" s="10">
        <v>0.8</v>
      </c>
      <c r="CC25" s="10"/>
      <c r="CD25" s="10">
        <v>0.8</v>
      </c>
      <c r="CH25" s="10"/>
      <c r="CI25" s="10">
        <v>1</v>
      </c>
      <c r="CJ25" s="10"/>
      <c r="CK25" s="10">
        <v>1</v>
      </c>
      <c r="CO25" s="10"/>
      <c r="CP25" s="10">
        <v>1</v>
      </c>
      <c r="CQ25" s="10"/>
      <c r="CR25" s="10">
        <v>1</v>
      </c>
      <c r="CV25" s="10"/>
      <c r="CW25" s="10">
        <v>1</v>
      </c>
      <c r="CX25" s="10"/>
      <c r="CY25" s="10">
        <v>1</v>
      </c>
      <c r="DC25" s="10"/>
      <c r="DD25" s="10"/>
      <c r="DE25" s="10"/>
      <c r="DF25" s="10"/>
      <c r="DJ25" s="10"/>
      <c r="DK25" s="10"/>
      <c r="DL25" s="10"/>
      <c r="DM25" s="10"/>
      <c r="DQ25" s="10"/>
      <c r="DR25" s="10"/>
      <c r="DS25" s="10"/>
      <c r="DT25" s="10"/>
      <c r="DX25" s="10"/>
      <c r="DY25" s="10"/>
      <c r="DZ25" s="10"/>
      <c r="EA25" s="10"/>
      <c r="EE25" s="10"/>
      <c r="EF25" s="10"/>
      <c r="EG25" s="10"/>
      <c r="EH25" s="10"/>
      <c r="EL25" s="10"/>
      <c r="EM25" s="10"/>
      <c r="EN25" s="10"/>
      <c r="EO25" s="10"/>
    </row>
    <row r="26" spans="2:145" hidden="1" outlineLevel="1">
      <c r="B26" t="s">
        <v>28</v>
      </c>
      <c r="C26" t="s">
        <v>120</v>
      </c>
      <c r="E26" s="9"/>
      <c r="F26" t="s">
        <v>210</v>
      </c>
      <c r="G26" s="21">
        <v>0.08</v>
      </c>
      <c r="I26" s="9"/>
      <c r="J26" s="11"/>
      <c r="K26" s="11"/>
      <c r="L26" s="9"/>
      <c r="P26" s="10"/>
      <c r="Q26" s="10"/>
      <c r="R26" s="10"/>
      <c r="S26" s="10"/>
      <c r="W26" s="10"/>
      <c r="X26" s="10">
        <v>0.5</v>
      </c>
      <c r="Y26" s="10"/>
      <c r="Z26" s="10">
        <v>0.5</v>
      </c>
      <c r="AD26" s="10"/>
      <c r="AE26" s="10">
        <v>0.5</v>
      </c>
      <c r="AF26" s="10"/>
      <c r="AG26" s="10">
        <v>0.5</v>
      </c>
      <c r="AK26" s="10"/>
      <c r="AL26" s="10">
        <v>0.5</v>
      </c>
      <c r="AM26" s="10"/>
      <c r="AN26" s="10">
        <v>0.5</v>
      </c>
      <c r="AR26" s="10"/>
      <c r="AS26" s="10">
        <v>0.5</v>
      </c>
      <c r="AT26" s="10"/>
      <c r="AU26" s="10">
        <v>0.5</v>
      </c>
      <c r="AY26" s="10"/>
      <c r="AZ26" s="10">
        <v>0.5</v>
      </c>
      <c r="BA26" s="10"/>
      <c r="BB26" s="10">
        <v>0.5</v>
      </c>
      <c r="BF26" s="10"/>
      <c r="BG26" s="10">
        <v>0.5</v>
      </c>
      <c r="BH26" s="10"/>
      <c r="BI26" s="10">
        <v>0.5</v>
      </c>
      <c r="BM26" s="10"/>
      <c r="BN26" s="10">
        <v>0.8</v>
      </c>
      <c r="BO26" s="10"/>
      <c r="BP26" s="10">
        <v>0.8</v>
      </c>
      <c r="BT26" s="10"/>
      <c r="BU26" s="10">
        <v>0.8</v>
      </c>
      <c r="BV26" s="10"/>
      <c r="BW26" s="10">
        <v>0.8</v>
      </c>
      <c r="CA26" s="10"/>
      <c r="CB26" s="10">
        <v>0.8</v>
      </c>
      <c r="CC26" s="10"/>
      <c r="CD26" s="10">
        <v>0.8</v>
      </c>
      <c r="CH26" s="10"/>
      <c r="CI26" s="10">
        <v>1</v>
      </c>
      <c r="CJ26" s="10"/>
      <c r="CK26" s="10">
        <v>1</v>
      </c>
      <c r="CO26" s="10"/>
      <c r="CP26" s="10">
        <v>1</v>
      </c>
      <c r="CQ26" s="10"/>
      <c r="CR26" s="10">
        <v>1</v>
      </c>
      <c r="CV26" s="10"/>
      <c r="CW26" s="10">
        <v>1</v>
      </c>
      <c r="CX26" s="10"/>
      <c r="CY26" s="10">
        <v>1</v>
      </c>
      <c r="DC26" s="10"/>
      <c r="DD26" s="10"/>
      <c r="DE26" s="10"/>
      <c r="DF26" s="10"/>
      <c r="DJ26" s="10"/>
      <c r="DK26" s="10"/>
      <c r="DL26" s="10"/>
      <c r="DM26" s="10"/>
      <c r="DQ26" s="10"/>
      <c r="DR26" s="10"/>
      <c r="DS26" s="10"/>
      <c r="DT26" s="10"/>
      <c r="DX26" s="10"/>
      <c r="DY26" s="10"/>
      <c r="DZ26" s="10"/>
      <c r="EA26" s="10"/>
      <c r="EE26" s="10"/>
      <c r="EF26" s="10"/>
      <c r="EG26" s="10"/>
      <c r="EH26" s="10"/>
      <c r="EL26" s="10"/>
      <c r="EM26" s="10"/>
      <c r="EN26" s="10"/>
      <c r="EO26" s="10"/>
    </row>
    <row r="27" spans="2:145" hidden="1" outlineLevel="1">
      <c r="B27" t="s">
        <v>28</v>
      </c>
      <c r="C27" t="s">
        <v>120</v>
      </c>
      <c r="E27" s="9"/>
      <c r="F27" t="s">
        <v>211</v>
      </c>
      <c r="G27" s="21">
        <v>0.08</v>
      </c>
      <c r="I27" s="9"/>
      <c r="J27" s="11"/>
      <c r="K27" s="11"/>
      <c r="L27" s="9"/>
      <c r="P27" s="10"/>
      <c r="Q27" s="10"/>
      <c r="R27" s="10"/>
      <c r="S27" s="10"/>
      <c r="W27" s="10"/>
      <c r="X27" s="10"/>
      <c r="Y27" s="10"/>
      <c r="Z27" s="10"/>
      <c r="AD27" s="10"/>
      <c r="AE27" s="10">
        <v>0.5</v>
      </c>
      <c r="AF27" s="10"/>
      <c r="AG27" s="10">
        <v>0.5</v>
      </c>
      <c r="AK27" s="10"/>
      <c r="AL27" s="10">
        <v>0.5</v>
      </c>
      <c r="AM27" s="10"/>
      <c r="AN27" s="10">
        <v>0.5</v>
      </c>
      <c r="AR27" s="10"/>
      <c r="AS27" s="10">
        <v>0.5</v>
      </c>
      <c r="AT27" s="10"/>
      <c r="AU27" s="10">
        <v>0.5</v>
      </c>
      <c r="AY27" s="10"/>
      <c r="AZ27" s="10">
        <v>0.5</v>
      </c>
      <c r="BA27" s="10"/>
      <c r="BB27" s="10">
        <v>0.5</v>
      </c>
      <c r="BF27" s="10"/>
      <c r="BG27" s="10">
        <v>0.5</v>
      </c>
      <c r="BH27" s="10"/>
      <c r="BI27" s="10">
        <v>0.5</v>
      </c>
      <c r="BM27" s="10"/>
      <c r="BN27" s="10">
        <v>0.5</v>
      </c>
      <c r="BO27" s="10"/>
      <c r="BP27" s="10">
        <v>0.5</v>
      </c>
      <c r="BT27" s="10"/>
      <c r="BU27" s="10">
        <v>0.8</v>
      </c>
      <c r="BV27" s="10"/>
      <c r="BW27" s="10">
        <v>0.8</v>
      </c>
      <c r="CA27" s="10"/>
      <c r="CB27" s="10">
        <v>0.8</v>
      </c>
      <c r="CC27" s="10"/>
      <c r="CD27" s="10">
        <v>0.8</v>
      </c>
      <c r="CH27" s="10"/>
      <c r="CI27" s="10">
        <v>0.8</v>
      </c>
      <c r="CJ27" s="10"/>
      <c r="CK27" s="10">
        <v>0.8</v>
      </c>
      <c r="CO27" s="10"/>
      <c r="CP27" s="10">
        <v>0.8</v>
      </c>
      <c r="CQ27" s="10"/>
      <c r="CR27" s="10">
        <v>0.8</v>
      </c>
      <c r="CV27" s="10"/>
      <c r="CW27" s="10">
        <v>1</v>
      </c>
      <c r="CX27" s="10"/>
      <c r="CY27" s="10">
        <v>1</v>
      </c>
      <c r="DC27" s="10"/>
      <c r="DD27" s="10"/>
      <c r="DE27" s="10"/>
      <c r="DF27" s="10"/>
      <c r="DJ27" s="10"/>
      <c r="DK27" s="10"/>
      <c r="DL27" s="10"/>
      <c r="DM27" s="10"/>
      <c r="DQ27" s="10"/>
      <c r="DR27" s="10"/>
      <c r="DS27" s="10"/>
      <c r="DT27" s="10"/>
      <c r="DX27" s="10"/>
      <c r="DY27" s="10"/>
      <c r="DZ27" s="10"/>
      <c r="EA27" s="10"/>
      <c r="EE27" s="10"/>
      <c r="EF27" s="10"/>
      <c r="EG27" s="10"/>
      <c r="EH27" s="10"/>
      <c r="EL27" s="10"/>
      <c r="EM27" s="10"/>
      <c r="EN27" s="10"/>
      <c r="EO27" s="10"/>
    </row>
    <row r="28" spans="2:145" hidden="1" outlineLevel="1">
      <c r="B28" t="s">
        <v>28</v>
      </c>
      <c r="C28" t="s">
        <v>120</v>
      </c>
      <c r="E28" s="9"/>
      <c r="F28" t="s">
        <v>212</v>
      </c>
      <c r="G28" s="21">
        <v>0.08</v>
      </c>
      <c r="I28" s="9"/>
      <c r="J28" s="11"/>
      <c r="K28" s="11"/>
      <c r="L28" s="9"/>
      <c r="P28" s="10"/>
      <c r="Q28" s="10"/>
      <c r="R28" s="10"/>
      <c r="S28" s="10"/>
      <c r="W28" s="10"/>
      <c r="X28" s="10"/>
      <c r="Y28" s="10"/>
      <c r="Z28" s="10"/>
      <c r="AD28" s="10"/>
      <c r="AE28" s="10"/>
      <c r="AF28" s="10"/>
      <c r="AG28" s="10"/>
      <c r="AK28" s="10"/>
      <c r="AL28" s="10">
        <v>0.5</v>
      </c>
      <c r="AM28" s="10"/>
      <c r="AN28" s="10">
        <v>0.5</v>
      </c>
      <c r="AR28" s="10"/>
      <c r="AS28" s="10">
        <v>0.5</v>
      </c>
      <c r="AT28" s="10"/>
      <c r="AU28" s="10">
        <v>0.5</v>
      </c>
      <c r="AY28" s="10"/>
      <c r="AZ28" s="10">
        <v>0.5</v>
      </c>
      <c r="BA28" s="10"/>
      <c r="BB28" s="10">
        <v>0.5</v>
      </c>
      <c r="BF28" s="10"/>
      <c r="BG28" s="10">
        <v>0.5</v>
      </c>
      <c r="BH28" s="10"/>
      <c r="BI28" s="10">
        <v>0.5</v>
      </c>
      <c r="BM28" s="10"/>
      <c r="BN28" s="10">
        <v>0.5</v>
      </c>
      <c r="BO28" s="10"/>
      <c r="BP28" s="10">
        <v>0.5</v>
      </c>
      <c r="BT28" s="10"/>
      <c r="BU28" s="10">
        <v>0.5</v>
      </c>
      <c r="BV28" s="10"/>
      <c r="BW28" s="10">
        <v>0.5</v>
      </c>
      <c r="CA28" s="10"/>
      <c r="CB28" s="10">
        <v>0.8</v>
      </c>
      <c r="CC28" s="10"/>
      <c r="CD28" s="10">
        <v>0.8</v>
      </c>
      <c r="CH28" s="10"/>
      <c r="CI28" s="10">
        <v>0.8</v>
      </c>
      <c r="CJ28" s="10"/>
      <c r="CK28" s="10">
        <v>0.8</v>
      </c>
      <c r="CO28" s="10"/>
      <c r="CP28" s="10">
        <v>0.8</v>
      </c>
      <c r="CQ28" s="10"/>
      <c r="CR28" s="10">
        <v>0.8</v>
      </c>
      <c r="CV28" s="10"/>
      <c r="CW28" s="10">
        <v>1</v>
      </c>
      <c r="CX28" s="10"/>
      <c r="CY28" s="10">
        <v>1</v>
      </c>
      <c r="DC28" s="10"/>
      <c r="DD28" s="10"/>
      <c r="DE28" s="10"/>
      <c r="DF28" s="10"/>
      <c r="DJ28" s="10"/>
      <c r="DK28" s="10"/>
      <c r="DL28" s="10"/>
      <c r="DM28" s="10"/>
      <c r="DQ28" s="10"/>
      <c r="DR28" s="10"/>
      <c r="DS28" s="10"/>
      <c r="DT28" s="10"/>
      <c r="DX28" s="10"/>
      <c r="DY28" s="10"/>
      <c r="DZ28" s="10"/>
      <c r="EA28" s="10"/>
      <c r="EE28" s="10"/>
      <c r="EF28" s="10"/>
      <c r="EG28" s="10"/>
      <c r="EH28" s="10"/>
      <c r="EL28" s="10"/>
      <c r="EM28" s="10"/>
      <c r="EN28" s="10"/>
      <c r="EO28" s="10"/>
    </row>
    <row r="29" spans="2:145" hidden="1" outlineLevel="1">
      <c r="B29" t="s">
        <v>28</v>
      </c>
      <c r="C29" t="s">
        <v>120</v>
      </c>
      <c r="E29" s="9"/>
      <c r="F29" t="s">
        <v>213</v>
      </c>
      <c r="G29" s="21">
        <v>0.08</v>
      </c>
      <c r="I29" s="9"/>
      <c r="J29" s="11"/>
      <c r="K29" s="11"/>
      <c r="L29" s="9"/>
      <c r="P29" s="10"/>
      <c r="Q29" s="10"/>
      <c r="R29" s="10"/>
      <c r="S29" s="10"/>
      <c r="W29" s="10"/>
      <c r="X29" s="10"/>
      <c r="Y29" s="10"/>
      <c r="Z29" s="10"/>
      <c r="AD29" s="10"/>
      <c r="AE29" s="10"/>
      <c r="AF29" s="10"/>
      <c r="AG29" s="10"/>
      <c r="AK29" s="10"/>
      <c r="AL29" s="10"/>
      <c r="AM29" s="10"/>
      <c r="AN29" s="10"/>
      <c r="AR29" s="10"/>
      <c r="AS29" s="10">
        <v>0.5</v>
      </c>
      <c r="AT29" s="10"/>
      <c r="AU29" s="10">
        <v>0.5</v>
      </c>
      <c r="AY29" s="10"/>
      <c r="AZ29" s="10">
        <v>0.5</v>
      </c>
      <c r="BA29" s="10"/>
      <c r="BB29" s="10">
        <v>0.5</v>
      </c>
      <c r="BF29" s="10"/>
      <c r="BG29" s="10">
        <v>0.5</v>
      </c>
      <c r="BH29" s="10"/>
      <c r="BI29" s="10">
        <v>0.5</v>
      </c>
      <c r="BM29" s="10"/>
      <c r="BN29" s="10">
        <v>0.5</v>
      </c>
      <c r="BO29" s="10"/>
      <c r="BP29" s="10">
        <v>0.5</v>
      </c>
      <c r="BT29" s="10"/>
      <c r="BU29" s="10">
        <v>0.5</v>
      </c>
      <c r="BV29" s="10"/>
      <c r="BW29" s="10">
        <v>0.5</v>
      </c>
      <c r="CA29" s="10"/>
      <c r="CB29" s="10">
        <v>0.8</v>
      </c>
      <c r="CC29" s="10"/>
      <c r="CD29" s="10">
        <v>0.8</v>
      </c>
      <c r="CH29" s="10"/>
      <c r="CI29" s="10">
        <v>0.8</v>
      </c>
      <c r="CJ29" s="10"/>
      <c r="CK29" s="10">
        <v>0.8</v>
      </c>
      <c r="CO29" s="10"/>
      <c r="CP29" s="10">
        <v>0.8</v>
      </c>
      <c r="CQ29" s="10"/>
      <c r="CR29" s="10">
        <v>0.8</v>
      </c>
      <c r="CV29" s="10"/>
      <c r="CW29" s="10">
        <v>1</v>
      </c>
      <c r="CX29" s="10"/>
      <c r="CY29" s="10">
        <v>1</v>
      </c>
      <c r="DC29" s="10"/>
      <c r="DD29" s="10"/>
      <c r="DE29" s="10"/>
      <c r="DF29" s="10"/>
      <c r="DJ29" s="10"/>
      <c r="DK29" s="10"/>
      <c r="DL29" s="10"/>
      <c r="DM29" s="10"/>
      <c r="DQ29" s="10"/>
      <c r="DR29" s="10"/>
      <c r="DS29" s="10"/>
      <c r="DT29" s="10"/>
      <c r="DX29" s="10"/>
      <c r="DY29" s="10"/>
      <c r="DZ29" s="10"/>
      <c r="EA29" s="10"/>
      <c r="EE29" s="10"/>
      <c r="EF29" s="10"/>
      <c r="EG29" s="10"/>
      <c r="EH29" s="10"/>
      <c r="EL29" s="10"/>
      <c r="EM29" s="10"/>
      <c r="EN29" s="10"/>
      <c r="EO29" s="10"/>
    </row>
    <row r="30" spans="2:145" collapsed="1">
      <c r="G30" s="21"/>
    </row>
    <row r="31" spans="2:145">
      <c r="B31" t="s">
        <v>27</v>
      </c>
      <c r="C31" t="s">
        <v>96</v>
      </c>
      <c r="D31" s="19">
        <v>45306</v>
      </c>
      <c r="E31" s="9">
        <v>3.5</v>
      </c>
      <c r="G31" s="10">
        <f>+SUM(G32:G43)</f>
        <v>1</v>
      </c>
      <c r="I31" s="12">
        <f>+SUM(I32:I43)</f>
        <v>2</v>
      </c>
      <c r="J31" s="11">
        <f>+SUMPRODUCT(G32:G43,J32:J43)</f>
        <v>0.125</v>
      </c>
      <c r="K31" s="11">
        <f>+SUMPRODUCT(G32:G43,K32:K43)</f>
        <v>0.125</v>
      </c>
      <c r="L31" s="9"/>
      <c r="O31" s="12"/>
      <c r="V31" s="12"/>
      <c r="AC31" s="12"/>
    </row>
    <row r="32" spans="2:145" hidden="1" outlineLevel="1">
      <c r="B32" t="s">
        <v>28</v>
      </c>
      <c r="C32" t="s">
        <v>96</v>
      </c>
      <c r="E32" s="9"/>
      <c r="F32" t="s">
        <v>123</v>
      </c>
      <c r="G32" s="20">
        <v>8.3333333333333329E-2</v>
      </c>
      <c r="I32" s="9">
        <v>2</v>
      </c>
      <c r="J32" s="11" cm="1">
        <f t="array" ref="J32">MAX(IF($N$3:$DU$3=$J$3,N32:DU32))</f>
        <v>0.5</v>
      </c>
      <c r="K32" s="11" cm="1">
        <f t="array" ref="K32">MAX(IF($N$3:$DU$3=$J$3,N32:DU32))</f>
        <v>0.5</v>
      </c>
      <c r="L32" s="9"/>
      <c r="P32" s="10">
        <v>0.5</v>
      </c>
      <c r="Q32" s="10">
        <v>0.5</v>
      </c>
      <c r="R32" s="10">
        <v>0.5</v>
      </c>
      <c r="S32" s="10">
        <v>0.5</v>
      </c>
      <c r="W32" s="10"/>
      <c r="X32" s="10">
        <v>0.5</v>
      </c>
      <c r="Y32" s="10"/>
      <c r="Z32" s="10">
        <v>0.5</v>
      </c>
      <c r="AD32" s="10"/>
      <c r="AE32" s="10">
        <v>0.8</v>
      </c>
      <c r="AF32" s="10"/>
      <c r="AG32" s="10">
        <v>0.8</v>
      </c>
      <c r="AK32" s="10"/>
      <c r="AL32" s="10">
        <v>0.8</v>
      </c>
      <c r="AM32" s="10"/>
      <c r="AN32" s="10">
        <v>0.8</v>
      </c>
      <c r="AR32" s="10"/>
      <c r="AS32" s="10">
        <v>0.8</v>
      </c>
      <c r="AT32" s="10"/>
      <c r="AU32" s="10">
        <v>0.8</v>
      </c>
      <c r="AY32" s="10"/>
      <c r="AZ32" s="10">
        <v>0.8</v>
      </c>
      <c r="BA32" s="10"/>
      <c r="BB32" s="10">
        <v>0.8</v>
      </c>
      <c r="BF32" s="10"/>
      <c r="BG32" s="10">
        <v>1</v>
      </c>
      <c r="BH32" s="10"/>
      <c r="BI32" s="10">
        <v>1</v>
      </c>
      <c r="BM32" s="10"/>
      <c r="BN32" s="10">
        <v>1</v>
      </c>
      <c r="BO32" s="10"/>
      <c r="BP32" s="10">
        <v>1</v>
      </c>
      <c r="BT32" s="10"/>
      <c r="BU32" s="10">
        <v>1</v>
      </c>
      <c r="BV32" s="10"/>
      <c r="BW32" s="10">
        <v>1</v>
      </c>
      <c r="CA32" s="10"/>
      <c r="CB32" s="10">
        <v>1</v>
      </c>
      <c r="CC32" s="10"/>
      <c r="CD32" s="10">
        <v>1</v>
      </c>
      <c r="CH32" s="10"/>
      <c r="CI32" s="10">
        <v>1</v>
      </c>
      <c r="CJ32" s="10"/>
      <c r="CK32" s="10">
        <v>1</v>
      </c>
      <c r="CO32" s="10"/>
      <c r="CP32" s="10">
        <v>1</v>
      </c>
      <c r="CQ32" s="10"/>
      <c r="CR32" s="10">
        <v>1</v>
      </c>
      <c r="CV32" s="10"/>
      <c r="CW32" s="10">
        <v>1</v>
      </c>
      <c r="CX32" s="10"/>
      <c r="CY32" s="10">
        <v>1</v>
      </c>
      <c r="DC32" s="10"/>
      <c r="DD32" s="10"/>
      <c r="DE32" s="10"/>
      <c r="DF32" s="10"/>
      <c r="DJ32" s="10"/>
      <c r="DK32" s="10"/>
      <c r="DL32" s="10"/>
      <c r="DM32" s="10"/>
      <c r="DQ32" s="10"/>
      <c r="DR32" s="10"/>
      <c r="DS32" s="10"/>
      <c r="DT32" s="10"/>
      <c r="DX32" s="10"/>
      <c r="DY32" s="10"/>
      <c r="DZ32" s="10"/>
      <c r="EA32" s="10"/>
      <c r="EE32" s="10"/>
      <c r="EF32" s="10"/>
      <c r="EG32" s="10"/>
      <c r="EH32" s="10"/>
      <c r="EL32" s="10"/>
      <c r="EM32" s="10"/>
      <c r="EN32" s="10"/>
      <c r="EO32" s="10"/>
    </row>
    <row r="33" spans="2:145" hidden="1" outlineLevel="1">
      <c r="B33" t="s">
        <v>28</v>
      </c>
      <c r="C33" t="s">
        <v>96</v>
      </c>
      <c r="E33" s="9"/>
      <c r="F33" t="s">
        <v>124</v>
      </c>
      <c r="G33" s="20">
        <v>8.3333333333333329E-2</v>
      </c>
      <c r="I33" s="9"/>
      <c r="J33" s="11" cm="1">
        <f t="array" ref="J33">MAX(IF($N$3:$DU$3=$J$3,N33:DU33))</f>
        <v>0.5</v>
      </c>
      <c r="K33" s="11" cm="1">
        <f t="array" ref="K33">MAX(IF($N$3:$DU$3=$J$3,N33:DU33))</f>
        <v>0.5</v>
      </c>
      <c r="L33" s="9"/>
      <c r="P33" s="10">
        <v>0.5</v>
      </c>
      <c r="Q33" s="10">
        <v>0.5</v>
      </c>
      <c r="R33" s="10">
        <v>0.5</v>
      </c>
      <c r="S33" s="10">
        <v>0.5</v>
      </c>
      <c r="W33" s="10"/>
      <c r="X33" s="10">
        <v>0.5</v>
      </c>
      <c r="Y33" s="10"/>
      <c r="Z33" s="10">
        <v>0.5</v>
      </c>
      <c r="AD33" s="10"/>
      <c r="AE33" s="10">
        <v>0.8</v>
      </c>
      <c r="AF33" s="10"/>
      <c r="AG33" s="10">
        <v>0.8</v>
      </c>
      <c r="AK33" s="10"/>
      <c r="AL33" s="10">
        <v>0.8</v>
      </c>
      <c r="AM33" s="10"/>
      <c r="AN33" s="10">
        <v>0.8</v>
      </c>
      <c r="AR33" s="10"/>
      <c r="AS33" s="10">
        <v>0.8</v>
      </c>
      <c r="AT33" s="10"/>
      <c r="AU33" s="10">
        <v>0.8</v>
      </c>
      <c r="AY33" s="10"/>
      <c r="AZ33" s="10">
        <v>0.8</v>
      </c>
      <c r="BA33" s="10"/>
      <c r="BB33" s="10">
        <v>0.8</v>
      </c>
      <c r="BF33" s="10"/>
      <c r="BG33" s="10">
        <v>0.8</v>
      </c>
      <c r="BH33" s="10"/>
      <c r="BI33" s="10">
        <v>0.8</v>
      </c>
      <c r="BM33" s="10"/>
      <c r="BN33" s="10">
        <v>1</v>
      </c>
      <c r="BO33" s="10"/>
      <c r="BP33" s="10">
        <v>1</v>
      </c>
      <c r="BT33" s="10"/>
      <c r="BU33" s="10">
        <v>1</v>
      </c>
      <c r="BV33" s="10"/>
      <c r="BW33" s="10">
        <v>1</v>
      </c>
      <c r="CA33" s="10"/>
      <c r="CB33" s="10">
        <v>1</v>
      </c>
      <c r="CC33" s="10"/>
      <c r="CD33" s="10">
        <v>1</v>
      </c>
      <c r="CH33" s="10"/>
      <c r="CI33" s="10">
        <v>1</v>
      </c>
      <c r="CJ33" s="10"/>
      <c r="CK33" s="10">
        <v>1</v>
      </c>
      <c r="CO33" s="10"/>
      <c r="CP33" s="10">
        <v>1</v>
      </c>
      <c r="CQ33" s="10"/>
      <c r="CR33" s="10">
        <v>1</v>
      </c>
      <c r="CV33" s="10"/>
      <c r="CW33" s="10">
        <v>1</v>
      </c>
      <c r="CX33" s="10"/>
      <c r="CY33" s="10">
        <v>1</v>
      </c>
      <c r="DC33" s="10"/>
      <c r="DD33" s="10"/>
      <c r="DE33" s="10"/>
      <c r="DF33" s="10"/>
      <c r="DJ33" s="10"/>
      <c r="DK33" s="10"/>
      <c r="DL33" s="10"/>
      <c r="DM33" s="10"/>
      <c r="DQ33" s="10"/>
      <c r="DR33" s="10"/>
      <c r="DS33" s="10"/>
      <c r="DT33" s="10"/>
      <c r="DX33" s="10"/>
      <c r="DY33" s="10"/>
      <c r="DZ33" s="10"/>
      <c r="EA33" s="10"/>
      <c r="EE33" s="10"/>
      <c r="EF33" s="10"/>
      <c r="EG33" s="10"/>
      <c r="EH33" s="10"/>
      <c r="EL33" s="10"/>
      <c r="EM33" s="10"/>
      <c r="EN33" s="10"/>
      <c r="EO33" s="10"/>
    </row>
    <row r="34" spans="2:145" hidden="1" outlineLevel="1">
      <c r="B34" t="s">
        <v>28</v>
      </c>
      <c r="C34" t="s">
        <v>96</v>
      </c>
      <c r="E34" s="9"/>
      <c r="F34" t="s">
        <v>125</v>
      </c>
      <c r="G34" s="20">
        <v>8.3333333333333329E-2</v>
      </c>
      <c r="I34" s="9"/>
      <c r="J34" s="11" cm="1">
        <f t="array" ref="J34">MAX(IF($N$3:$DU$3=$J$3,N34:DU34))</f>
        <v>0.5</v>
      </c>
      <c r="K34" s="11" cm="1">
        <f t="array" ref="K34">MAX(IF($N$3:$DU$3=$J$3,N34:DU34))</f>
        <v>0.5</v>
      </c>
      <c r="L34" s="9"/>
      <c r="P34" s="10">
        <v>0.5</v>
      </c>
      <c r="Q34" s="10">
        <v>0.5</v>
      </c>
      <c r="R34" s="10">
        <v>0.5</v>
      </c>
      <c r="S34" s="10">
        <v>0.5</v>
      </c>
      <c r="W34" s="10"/>
      <c r="X34" s="10">
        <v>0.5</v>
      </c>
      <c r="Y34" s="10"/>
      <c r="Z34" s="10">
        <v>0.5</v>
      </c>
      <c r="AD34" s="10"/>
      <c r="AE34" s="10">
        <v>0.5</v>
      </c>
      <c r="AF34" s="10"/>
      <c r="AG34" s="10">
        <v>0.5</v>
      </c>
      <c r="AK34" s="10"/>
      <c r="AL34" s="10">
        <v>0.8</v>
      </c>
      <c r="AM34" s="10"/>
      <c r="AN34" s="10">
        <v>0.8</v>
      </c>
      <c r="AR34" s="10"/>
      <c r="AS34" s="10">
        <v>0.8</v>
      </c>
      <c r="AT34" s="10"/>
      <c r="AU34" s="10">
        <v>0.8</v>
      </c>
      <c r="AY34" s="10"/>
      <c r="AZ34" s="10">
        <v>0.8</v>
      </c>
      <c r="BA34" s="10"/>
      <c r="BB34" s="10">
        <v>0.8</v>
      </c>
      <c r="BF34" s="10"/>
      <c r="BG34" s="10">
        <v>0.8</v>
      </c>
      <c r="BH34" s="10"/>
      <c r="BI34" s="10">
        <v>0.8</v>
      </c>
      <c r="BM34" s="10"/>
      <c r="BN34" s="10">
        <v>0.8</v>
      </c>
      <c r="BO34" s="10"/>
      <c r="BP34" s="10">
        <v>0.8</v>
      </c>
      <c r="BT34" s="10"/>
      <c r="BU34" s="10">
        <v>1</v>
      </c>
      <c r="BV34" s="10"/>
      <c r="BW34" s="10">
        <v>1</v>
      </c>
      <c r="CA34" s="10"/>
      <c r="CB34" s="10">
        <v>1</v>
      </c>
      <c r="CC34" s="10"/>
      <c r="CD34" s="10">
        <v>1</v>
      </c>
      <c r="CH34" s="10"/>
      <c r="CI34" s="10">
        <v>1</v>
      </c>
      <c r="CJ34" s="10"/>
      <c r="CK34" s="10">
        <v>1</v>
      </c>
      <c r="CO34" s="10"/>
      <c r="CP34" s="10">
        <v>1</v>
      </c>
      <c r="CQ34" s="10"/>
      <c r="CR34" s="10">
        <v>1</v>
      </c>
      <c r="CV34" s="10"/>
      <c r="CW34" s="10">
        <v>1</v>
      </c>
      <c r="CX34" s="10"/>
      <c r="CY34" s="10">
        <v>1</v>
      </c>
      <c r="DC34" s="10"/>
      <c r="DD34" s="10"/>
      <c r="DE34" s="10"/>
      <c r="DF34" s="10"/>
      <c r="DJ34" s="10"/>
      <c r="DK34" s="10"/>
      <c r="DL34" s="10"/>
      <c r="DM34" s="10"/>
      <c r="DQ34" s="10"/>
      <c r="DR34" s="10"/>
      <c r="DS34" s="10"/>
      <c r="DT34" s="10"/>
      <c r="DX34" s="10"/>
      <c r="DY34" s="10"/>
      <c r="DZ34" s="10"/>
      <c r="EA34" s="10"/>
      <c r="EE34" s="10"/>
      <c r="EF34" s="10"/>
      <c r="EG34" s="10"/>
      <c r="EH34" s="10"/>
      <c r="EL34" s="10"/>
      <c r="EM34" s="10"/>
      <c r="EN34" s="10"/>
      <c r="EO34" s="10"/>
    </row>
    <row r="35" spans="2:145" hidden="1" outlineLevel="1">
      <c r="B35" t="s">
        <v>28</v>
      </c>
      <c r="C35" t="s">
        <v>96</v>
      </c>
      <c r="E35" s="9"/>
      <c r="F35" t="s">
        <v>126</v>
      </c>
      <c r="G35" s="20">
        <v>8.3333333333333329E-2</v>
      </c>
      <c r="I35" s="9"/>
      <c r="J35" s="11" cm="1">
        <f t="array" ref="J35">MAX(IF($N$3:$DU$3=$J$3,N35:DU35))</f>
        <v>0</v>
      </c>
      <c r="K35" s="11" cm="1">
        <f t="array" ref="K35">MAX(IF($N$3:$DU$3=$J$3,N35:DU35))</f>
        <v>0</v>
      </c>
      <c r="L35" s="9"/>
      <c r="P35" s="10"/>
      <c r="Q35" s="10"/>
      <c r="R35" s="10"/>
      <c r="S35" s="10"/>
      <c r="W35" s="10"/>
      <c r="X35" s="10">
        <v>0.5</v>
      </c>
      <c r="Y35" s="10"/>
      <c r="Z35" s="10">
        <v>0.5</v>
      </c>
      <c r="AD35" s="10"/>
      <c r="AE35" s="10">
        <v>0.5</v>
      </c>
      <c r="AF35" s="10"/>
      <c r="AG35" s="10">
        <v>0.5</v>
      </c>
      <c r="AK35" s="10"/>
      <c r="AL35" s="10">
        <v>0.5</v>
      </c>
      <c r="AM35" s="10"/>
      <c r="AN35" s="10">
        <v>0.5</v>
      </c>
      <c r="AR35" s="10"/>
      <c r="AS35" s="10">
        <v>0.8</v>
      </c>
      <c r="AT35" s="10"/>
      <c r="AU35" s="10">
        <v>0.8</v>
      </c>
      <c r="AY35" s="10"/>
      <c r="AZ35" s="10">
        <v>0.8</v>
      </c>
      <c r="BA35" s="10"/>
      <c r="BB35" s="10">
        <v>0.8</v>
      </c>
      <c r="BF35" s="10"/>
      <c r="BG35" s="10">
        <v>0.8</v>
      </c>
      <c r="BH35" s="10"/>
      <c r="BI35" s="10">
        <v>0.8</v>
      </c>
      <c r="BM35" s="10"/>
      <c r="BN35" s="10">
        <v>0.8</v>
      </c>
      <c r="BO35" s="10"/>
      <c r="BP35" s="10">
        <v>0.8</v>
      </c>
      <c r="BT35" s="10"/>
      <c r="BU35" s="10">
        <v>1</v>
      </c>
      <c r="BV35" s="10"/>
      <c r="BW35" s="10">
        <v>1</v>
      </c>
      <c r="CA35" s="10"/>
      <c r="CB35" s="10">
        <v>1</v>
      </c>
      <c r="CC35" s="10"/>
      <c r="CD35" s="10">
        <v>1</v>
      </c>
      <c r="CH35" s="10"/>
      <c r="CI35" s="10">
        <v>1</v>
      </c>
      <c r="CJ35" s="10"/>
      <c r="CK35" s="10">
        <v>1</v>
      </c>
      <c r="CO35" s="10"/>
      <c r="CP35" s="10">
        <v>1</v>
      </c>
      <c r="CQ35" s="10"/>
      <c r="CR35" s="10">
        <v>1</v>
      </c>
      <c r="CV35" s="10"/>
      <c r="CW35" s="10">
        <v>1</v>
      </c>
      <c r="CX35" s="10"/>
      <c r="CY35" s="10">
        <v>1</v>
      </c>
      <c r="DC35" s="10"/>
      <c r="DD35" s="10"/>
      <c r="DE35" s="10"/>
      <c r="DF35" s="10"/>
      <c r="DJ35" s="10"/>
      <c r="DK35" s="10"/>
      <c r="DL35" s="10"/>
      <c r="DM35" s="10"/>
      <c r="DQ35" s="10"/>
      <c r="DR35" s="10"/>
      <c r="DS35" s="10"/>
      <c r="DT35" s="10"/>
      <c r="DX35" s="10"/>
      <c r="DY35" s="10"/>
      <c r="DZ35" s="10"/>
      <c r="EA35" s="10"/>
      <c r="EE35" s="10"/>
      <c r="EF35" s="10"/>
      <c r="EG35" s="10"/>
      <c r="EH35" s="10"/>
      <c r="EL35" s="10"/>
      <c r="EM35" s="10"/>
      <c r="EN35" s="10"/>
      <c r="EO35" s="10"/>
    </row>
    <row r="36" spans="2:145" hidden="1" outlineLevel="1">
      <c r="B36" t="s">
        <v>28</v>
      </c>
      <c r="C36" t="s">
        <v>96</v>
      </c>
      <c r="E36" s="9"/>
      <c r="F36" t="s">
        <v>127</v>
      </c>
      <c r="G36" s="20">
        <v>8.3333333333333329E-2</v>
      </c>
      <c r="I36" s="9"/>
      <c r="J36" s="11" cm="1">
        <f t="array" ref="J36">MAX(IF($N$3:$DU$3=$J$3,N36:DU36))</f>
        <v>0</v>
      </c>
      <c r="K36" s="11" cm="1">
        <f t="array" ref="K36">MAX(IF($N$3:$DU$3=$J$3,N36:DU36))</f>
        <v>0</v>
      </c>
      <c r="L36" s="9"/>
      <c r="P36" s="10"/>
      <c r="Q36" s="10"/>
      <c r="R36" s="10"/>
      <c r="S36" s="10"/>
      <c r="W36" s="10"/>
      <c r="X36" s="10">
        <v>0.5</v>
      </c>
      <c r="Y36" s="10"/>
      <c r="Z36" s="10">
        <v>0.5</v>
      </c>
      <c r="AD36" s="10"/>
      <c r="AE36" s="10">
        <v>0.5</v>
      </c>
      <c r="AF36" s="10"/>
      <c r="AG36" s="10">
        <v>0.5</v>
      </c>
      <c r="AK36" s="10"/>
      <c r="AL36" s="10">
        <v>0.5</v>
      </c>
      <c r="AM36" s="10"/>
      <c r="AN36" s="10">
        <v>0.5</v>
      </c>
      <c r="AR36" s="10"/>
      <c r="AS36" s="10">
        <v>0.8</v>
      </c>
      <c r="AT36" s="10"/>
      <c r="AU36" s="10">
        <v>0.8</v>
      </c>
      <c r="AY36" s="10"/>
      <c r="AZ36" s="10">
        <v>0.8</v>
      </c>
      <c r="BA36" s="10"/>
      <c r="BB36" s="10">
        <v>0.8</v>
      </c>
      <c r="BF36" s="10"/>
      <c r="BG36" s="10">
        <v>0.8</v>
      </c>
      <c r="BH36" s="10"/>
      <c r="BI36" s="10">
        <v>0.8</v>
      </c>
      <c r="BM36" s="10"/>
      <c r="BN36" s="10">
        <v>0.8</v>
      </c>
      <c r="BO36" s="10"/>
      <c r="BP36" s="10">
        <v>0.8</v>
      </c>
      <c r="BT36" s="10"/>
      <c r="BU36" s="10">
        <v>0.8</v>
      </c>
      <c r="BV36" s="10"/>
      <c r="BW36" s="10">
        <v>0.8</v>
      </c>
      <c r="CA36" s="10"/>
      <c r="CB36" s="10">
        <v>1</v>
      </c>
      <c r="CC36" s="10"/>
      <c r="CD36" s="10">
        <v>1</v>
      </c>
      <c r="CH36" s="10"/>
      <c r="CI36" s="10">
        <v>1</v>
      </c>
      <c r="CJ36" s="10"/>
      <c r="CK36" s="10">
        <v>1</v>
      </c>
      <c r="CO36" s="10"/>
      <c r="CP36" s="10">
        <v>1</v>
      </c>
      <c r="CQ36" s="10"/>
      <c r="CR36" s="10">
        <v>1</v>
      </c>
      <c r="CV36" s="10"/>
      <c r="CW36" s="10">
        <v>1</v>
      </c>
      <c r="CX36" s="10"/>
      <c r="CY36" s="10">
        <v>1</v>
      </c>
      <c r="DC36" s="10"/>
      <c r="DD36" s="10"/>
      <c r="DE36" s="10"/>
      <c r="DF36" s="10"/>
      <c r="DJ36" s="10"/>
      <c r="DK36" s="10"/>
      <c r="DL36" s="10"/>
      <c r="DM36" s="10"/>
      <c r="DQ36" s="10"/>
      <c r="DR36" s="10"/>
      <c r="DS36" s="10"/>
      <c r="DT36" s="10"/>
      <c r="DX36" s="10"/>
      <c r="DY36" s="10"/>
      <c r="DZ36" s="10"/>
      <c r="EA36" s="10"/>
      <c r="EE36" s="10"/>
      <c r="EF36" s="10"/>
      <c r="EG36" s="10"/>
      <c r="EH36" s="10"/>
      <c r="EL36" s="10"/>
      <c r="EM36" s="10"/>
      <c r="EN36" s="10"/>
      <c r="EO36" s="10"/>
    </row>
    <row r="37" spans="2:145" hidden="1" outlineLevel="1">
      <c r="B37" t="s">
        <v>28</v>
      </c>
      <c r="C37" t="s">
        <v>96</v>
      </c>
      <c r="E37" s="9"/>
      <c r="F37" t="s">
        <v>128</v>
      </c>
      <c r="G37" s="20">
        <v>8.3333333333333329E-2</v>
      </c>
      <c r="I37" s="9"/>
      <c r="J37" s="11" cm="1">
        <f t="array" ref="J37">MAX(IF($N$3:$DU$3=$J$3,N37:DU37))</f>
        <v>0</v>
      </c>
      <c r="K37" s="11" cm="1">
        <f t="array" ref="K37">MAX(IF($N$3:$DU$3=$J$3,N37:DU37))</f>
        <v>0</v>
      </c>
      <c r="L37" s="9"/>
      <c r="P37" s="10"/>
      <c r="Q37" s="10"/>
      <c r="R37" s="10"/>
      <c r="S37" s="10"/>
      <c r="W37" s="10"/>
      <c r="X37" s="10">
        <v>0.5</v>
      </c>
      <c r="Y37" s="10"/>
      <c r="Z37" s="10">
        <v>0.5</v>
      </c>
      <c r="AD37" s="10"/>
      <c r="AE37" s="10">
        <v>0.5</v>
      </c>
      <c r="AF37" s="10"/>
      <c r="AG37" s="10">
        <v>0.5</v>
      </c>
      <c r="AK37" s="10"/>
      <c r="AL37" s="10">
        <v>0.5</v>
      </c>
      <c r="AM37" s="10"/>
      <c r="AN37" s="10">
        <v>0.5</v>
      </c>
      <c r="AR37" s="10"/>
      <c r="AS37" s="10">
        <v>0.5</v>
      </c>
      <c r="AT37" s="10"/>
      <c r="AU37" s="10">
        <v>0.5</v>
      </c>
      <c r="AY37" s="10"/>
      <c r="AZ37" s="10">
        <v>0.8</v>
      </c>
      <c r="BA37" s="10"/>
      <c r="BB37" s="10">
        <v>0.8</v>
      </c>
      <c r="BF37" s="10"/>
      <c r="BG37" s="10">
        <v>0.8</v>
      </c>
      <c r="BH37" s="10"/>
      <c r="BI37" s="10">
        <v>0.8</v>
      </c>
      <c r="BM37" s="10"/>
      <c r="BN37" s="10">
        <v>0.8</v>
      </c>
      <c r="BO37" s="10"/>
      <c r="BP37" s="10">
        <v>0.8</v>
      </c>
      <c r="BT37" s="10"/>
      <c r="BU37" s="10">
        <v>0.8</v>
      </c>
      <c r="BV37" s="10"/>
      <c r="BW37" s="10">
        <v>0.8</v>
      </c>
      <c r="CA37" s="10"/>
      <c r="CB37" s="10">
        <v>1</v>
      </c>
      <c r="CC37" s="10"/>
      <c r="CD37" s="10">
        <v>1</v>
      </c>
      <c r="CH37" s="10"/>
      <c r="CI37" s="10">
        <v>1</v>
      </c>
      <c r="CJ37" s="10"/>
      <c r="CK37" s="10">
        <v>1</v>
      </c>
      <c r="CO37" s="10"/>
      <c r="CP37" s="10">
        <v>1</v>
      </c>
      <c r="CQ37" s="10"/>
      <c r="CR37" s="10">
        <v>1</v>
      </c>
      <c r="CV37" s="10"/>
      <c r="CW37" s="10">
        <v>1</v>
      </c>
      <c r="CX37" s="10"/>
      <c r="CY37" s="10">
        <v>1</v>
      </c>
      <c r="DC37" s="10"/>
      <c r="DD37" s="10"/>
      <c r="DE37" s="10"/>
      <c r="DF37" s="10"/>
      <c r="DJ37" s="10"/>
      <c r="DK37" s="10"/>
      <c r="DL37" s="10"/>
      <c r="DM37" s="10"/>
      <c r="DQ37" s="10"/>
      <c r="DR37" s="10"/>
      <c r="DS37" s="10"/>
      <c r="DT37" s="10"/>
      <c r="DX37" s="10"/>
      <c r="DY37" s="10"/>
      <c r="DZ37" s="10"/>
      <c r="EA37" s="10"/>
      <c r="EE37" s="10"/>
      <c r="EF37" s="10"/>
      <c r="EG37" s="10"/>
      <c r="EH37" s="10"/>
      <c r="EL37" s="10"/>
      <c r="EM37" s="10"/>
      <c r="EN37" s="10"/>
      <c r="EO37" s="10"/>
    </row>
    <row r="38" spans="2:145" hidden="1" outlineLevel="1">
      <c r="B38" t="s">
        <v>28</v>
      </c>
      <c r="C38" t="s">
        <v>96</v>
      </c>
      <c r="E38" s="9"/>
      <c r="F38" t="s">
        <v>129</v>
      </c>
      <c r="G38" s="20">
        <v>8.3333333333333329E-2</v>
      </c>
      <c r="I38" s="9"/>
      <c r="J38" s="11" cm="1">
        <f t="array" ref="J38">MAX(IF($N$3:$DU$3=$J$3,N38:DU38))</f>
        <v>0</v>
      </c>
      <c r="K38" s="11" cm="1">
        <f t="array" ref="K38">MAX(IF($N$3:$DU$3=$J$3,N38:DU38))</f>
        <v>0</v>
      </c>
      <c r="L38" s="9"/>
      <c r="P38" s="10"/>
      <c r="Q38" s="10"/>
      <c r="R38" s="10"/>
      <c r="S38" s="10"/>
      <c r="W38" s="10"/>
      <c r="X38" s="10"/>
      <c r="Y38" s="10"/>
      <c r="Z38" s="10"/>
      <c r="AD38" s="10"/>
      <c r="AE38" s="10">
        <v>0.5</v>
      </c>
      <c r="AF38" s="10"/>
      <c r="AG38" s="10">
        <v>0.5</v>
      </c>
      <c r="AK38" s="10"/>
      <c r="AL38" s="10">
        <v>0.5</v>
      </c>
      <c r="AM38" s="10"/>
      <c r="AN38" s="10">
        <v>0.5</v>
      </c>
      <c r="AR38" s="10"/>
      <c r="AS38" s="10">
        <v>0.5</v>
      </c>
      <c r="AT38" s="10"/>
      <c r="AU38" s="10">
        <v>0.5</v>
      </c>
      <c r="AY38" s="10"/>
      <c r="AZ38" s="10">
        <v>0.8</v>
      </c>
      <c r="BA38" s="10"/>
      <c r="BB38" s="10">
        <v>0.8</v>
      </c>
      <c r="BF38" s="10"/>
      <c r="BG38" s="10">
        <v>0.8</v>
      </c>
      <c r="BH38" s="10"/>
      <c r="BI38" s="10">
        <v>0.8</v>
      </c>
      <c r="BM38" s="10"/>
      <c r="BN38" s="10">
        <v>0.8</v>
      </c>
      <c r="BO38" s="10"/>
      <c r="BP38" s="10">
        <v>0.8</v>
      </c>
      <c r="BT38" s="10"/>
      <c r="BU38" s="10">
        <v>0.8</v>
      </c>
      <c r="BV38" s="10"/>
      <c r="BW38" s="10">
        <v>0.8</v>
      </c>
      <c r="CA38" s="10"/>
      <c r="CB38" s="10">
        <v>0.8</v>
      </c>
      <c r="CC38" s="10"/>
      <c r="CD38" s="10">
        <v>0.8</v>
      </c>
      <c r="CH38" s="10"/>
      <c r="CI38" s="10">
        <v>1</v>
      </c>
      <c r="CJ38" s="10"/>
      <c r="CK38" s="10">
        <v>1</v>
      </c>
      <c r="CO38" s="10"/>
      <c r="CP38" s="10">
        <v>1</v>
      </c>
      <c r="CQ38" s="10"/>
      <c r="CR38" s="10">
        <v>1</v>
      </c>
      <c r="CV38" s="10"/>
      <c r="CW38" s="10">
        <v>1</v>
      </c>
      <c r="CX38" s="10"/>
      <c r="CY38" s="10">
        <v>1</v>
      </c>
      <c r="DC38" s="10"/>
      <c r="DD38" s="10"/>
      <c r="DE38" s="10"/>
      <c r="DF38" s="10"/>
      <c r="DJ38" s="10"/>
      <c r="DK38" s="10"/>
      <c r="DL38" s="10"/>
      <c r="DM38" s="10"/>
      <c r="DQ38" s="10"/>
      <c r="DR38" s="10"/>
      <c r="DS38" s="10"/>
      <c r="DT38" s="10"/>
      <c r="DX38" s="10"/>
      <c r="DY38" s="10"/>
      <c r="DZ38" s="10"/>
      <c r="EA38" s="10"/>
      <c r="EE38" s="10"/>
      <c r="EF38" s="10"/>
      <c r="EG38" s="10"/>
      <c r="EH38" s="10"/>
      <c r="EL38" s="10"/>
      <c r="EM38" s="10"/>
      <c r="EN38" s="10"/>
      <c r="EO38" s="10"/>
    </row>
    <row r="39" spans="2:145" hidden="1" outlineLevel="1">
      <c r="B39" t="s">
        <v>28</v>
      </c>
      <c r="C39" t="s">
        <v>96</v>
      </c>
      <c r="E39" s="9"/>
      <c r="F39" t="s">
        <v>130</v>
      </c>
      <c r="G39" s="20">
        <v>8.3333333333333329E-2</v>
      </c>
      <c r="I39" s="9"/>
      <c r="J39" s="11" cm="1">
        <f t="array" ref="J39">MAX(IF($N$3:$DU$3=$J$3,N39:DU39))</f>
        <v>0</v>
      </c>
      <c r="K39" s="11" cm="1">
        <f t="array" ref="K39">MAX(IF($N$3:$DU$3=$J$3,N39:DU39))</f>
        <v>0</v>
      </c>
      <c r="L39" s="9"/>
      <c r="P39" s="10"/>
      <c r="Q39" s="10"/>
      <c r="R39" s="10"/>
      <c r="S39" s="10"/>
      <c r="W39" s="10"/>
      <c r="X39" s="10"/>
      <c r="Y39" s="10"/>
      <c r="Z39" s="10"/>
      <c r="AD39" s="10"/>
      <c r="AE39" s="10"/>
      <c r="AF39" s="10"/>
      <c r="AG39" s="10"/>
      <c r="AK39" s="10"/>
      <c r="AL39" s="10">
        <v>0.5</v>
      </c>
      <c r="AM39" s="10"/>
      <c r="AN39" s="10">
        <v>0.5</v>
      </c>
      <c r="AR39" s="10"/>
      <c r="AS39" s="10">
        <v>0.5</v>
      </c>
      <c r="AT39" s="10"/>
      <c r="AU39" s="10">
        <v>0.5</v>
      </c>
      <c r="AY39" s="10"/>
      <c r="AZ39" s="10">
        <v>0.5</v>
      </c>
      <c r="BA39" s="10"/>
      <c r="BB39" s="10">
        <v>0.5</v>
      </c>
      <c r="BF39" s="10"/>
      <c r="BG39" s="10">
        <v>0.8</v>
      </c>
      <c r="BH39" s="10"/>
      <c r="BI39" s="10">
        <v>0.8</v>
      </c>
      <c r="BM39" s="10"/>
      <c r="BN39" s="10">
        <v>0.8</v>
      </c>
      <c r="BO39" s="10"/>
      <c r="BP39" s="10">
        <v>0.8</v>
      </c>
      <c r="BT39" s="10"/>
      <c r="BU39" s="10">
        <v>0.8</v>
      </c>
      <c r="BV39" s="10"/>
      <c r="BW39" s="10">
        <v>0.8</v>
      </c>
      <c r="CA39" s="10"/>
      <c r="CB39" s="10">
        <v>0.8</v>
      </c>
      <c r="CC39" s="10"/>
      <c r="CD39" s="10">
        <v>0.8</v>
      </c>
      <c r="CH39" s="10"/>
      <c r="CI39" s="10">
        <v>1</v>
      </c>
      <c r="CJ39" s="10"/>
      <c r="CK39" s="10">
        <v>1</v>
      </c>
      <c r="CO39" s="10"/>
      <c r="CP39" s="10">
        <v>1</v>
      </c>
      <c r="CQ39" s="10"/>
      <c r="CR39" s="10">
        <v>1</v>
      </c>
      <c r="CV39" s="10"/>
      <c r="CW39" s="10">
        <v>1</v>
      </c>
      <c r="CX39" s="10"/>
      <c r="CY39" s="10">
        <v>1</v>
      </c>
      <c r="DC39" s="10"/>
      <c r="DD39" s="10"/>
      <c r="DE39" s="10"/>
      <c r="DF39" s="10"/>
      <c r="DJ39" s="10"/>
      <c r="DK39" s="10"/>
      <c r="DL39" s="10"/>
      <c r="DM39" s="10"/>
      <c r="DQ39" s="10"/>
      <c r="DR39" s="10"/>
      <c r="DS39" s="10"/>
      <c r="DT39" s="10"/>
      <c r="DX39" s="10"/>
      <c r="DY39" s="10"/>
      <c r="DZ39" s="10"/>
      <c r="EA39" s="10"/>
      <c r="EE39" s="10"/>
      <c r="EF39" s="10"/>
      <c r="EG39" s="10"/>
      <c r="EH39" s="10"/>
      <c r="EL39" s="10"/>
      <c r="EM39" s="10"/>
      <c r="EN39" s="10"/>
      <c r="EO39" s="10"/>
    </row>
    <row r="40" spans="2:145" hidden="1" outlineLevel="1">
      <c r="B40" t="s">
        <v>28</v>
      </c>
      <c r="C40" t="s">
        <v>96</v>
      </c>
      <c r="E40" s="9"/>
      <c r="F40" t="s">
        <v>131</v>
      </c>
      <c r="G40" s="20">
        <v>8.3333333333333329E-2</v>
      </c>
      <c r="I40" s="9"/>
      <c r="J40" s="11" cm="1">
        <f t="array" ref="J40">MAX(IF($N$3:$DU$3=$J$3,N40:DU40))</f>
        <v>0</v>
      </c>
      <c r="K40" s="11" cm="1">
        <f t="array" ref="K40">MAX(IF($N$3:$DU$3=$J$3,N40:DU40))</f>
        <v>0</v>
      </c>
      <c r="L40" s="9"/>
      <c r="P40" s="10"/>
      <c r="Q40" s="10"/>
      <c r="R40" s="10"/>
      <c r="S40" s="10"/>
      <c r="W40" s="10"/>
      <c r="X40" s="10"/>
      <c r="Y40" s="10"/>
      <c r="Z40" s="10"/>
      <c r="AD40" s="10"/>
      <c r="AE40" s="10"/>
      <c r="AF40" s="10"/>
      <c r="AG40" s="10"/>
      <c r="AK40" s="10"/>
      <c r="AL40" s="10">
        <v>0.5</v>
      </c>
      <c r="AM40" s="10"/>
      <c r="AN40" s="10">
        <v>0.5</v>
      </c>
      <c r="AR40" s="10"/>
      <c r="AS40" s="10">
        <v>0.5</v>
      </c>
      <c r="AT40" s="10"/>
      <c r="AU40" s="10">
        <v>0.5</v>
      </c>
      <c r="AY40" s="10"/>
      <c r="AZ40" s="10">
        <v>0.5</v>
      </c>
      <c r="BA40" s="10"/>
      <c r="BB40" s="10">
        <v>0.5</v>
      </c>
      <c r="BF40" s="10"/>
      <c r="BG40" s="10">
        <v>0.5</v>
      </c>
      <c r="BH40" s="10"/>
      <c r="BI40" s="10">
        <v>0.5</v>
      </c>
      <c r="BM40" s="10"/>
      <c r="BN40" s="10">
        <v>0.8</v>
      </c>
      <c r="BO40" s="10"/>
      <c r="BP40" s="10">
        <v>0.8</v>
      </c>
      <c r="BT40" s="10"/>
      <c r="BU40" s="10">
        <v>0.8</v>
      </c>
      <c r="BV40" s="10"/>
      <c r="BW40" s="10">
        <v>0.8</v>
      </c>
      <c r="CA40" s="10"/>
      <c r="CB40" s="10">
        <v>0.8</v>
      </c>
      <c r="CC40" s="10"/>
      <c r="CD40" s="10">
        <v>0.8</v>
      </c>
      <c r="CH40" s="10"/>
      <c r="CI40" s="10">
        <v>1</v>
      </c>
      <c r="CJ40" s="10"/>
      <c r="CK40" s="10">
        <v>1</v>
      </c>
      <c r="CO40" s="10"/>
      <c r="CP40" s="10">
        <v>1</v>
      </c>
      <c r="CQ40" s="10"/>
      <c r="CR40" s="10">
        <v>1</v>
      </c>
      <c r="CV40" s="10"/>
      <c r="CW40" s="10">
        <v>1</v>
      </c>
      <c r="CX40" s="10"/>
      <c r="CY40" s="10">
        <v>1</v>
      </c>
      <c r="DC40" s="10"/>
      <c r="DD40" s="10"/>
      <c r="DE40" s="10"/>
      <c r="DF40" s="10"/>
      <c r="DJ40" s="10"/>
      <c r="DK40" s="10"/>
      <c r="DL40" s="10"/>
      <c r="DM40" s="10"/>
      <c r="DQ40" s="10"/>
      <c r="DR40" s="10"/>
      <c r="DS40" s="10"/>
      <c r="DT40" s="10"/>
      <c r="DX40" s="10"/>
      <c r="DY40" s="10"/>
      <c r="DZ40" s="10"/>
      <c r="EA40" s="10"/>
      <c r="EE40" s="10"/>
      <c r="EF40" s="10"/>
      <c r="EG40" s="10"/>
      <c r="EH40" s="10"/>
      <c r="EL40" s="10"/>
      <c r="EM40" s="10"/>
      <c r="EN40" s="10"/>
      <c r="EO40" s="10"/>
    </row>
    <row r="41" spans="2:145" hidden="1" outlineLevel="1">
      <c r="B41" t="s">
        <v>28</v>
      </c>
      <c r="C41" t="s">
        <v>96</v>
      </c>
      <c r="E41" s="9"/>
      <c r="F41" t="s">
        <v>132</v>
      </c>
      <c r="G41" s="20">
        <v>8.3333333333333329E-2</v>
      </c>
      <c r="I41" s="9"/>
      <c r="J41" s="11" cm="1">
        <f t="array" ref="J41">MAX(IF($N$3:$DU$3=$J$3,N41:DU41))</f>
        <v>0</v>
      </c>
      <c r="K41" s="11" cm="1">
        <f t="array" ref="K41">MAX(IF($N$3:$DU$3=$J$3,N41:DU41))</f>
        <v>0</v>
      </c>
      <c r="L41" s="9"/>
      <c r="P41" s="10"/>
      <c r="Q41" s="10"/>
      <c r="R41" s="10"/>
      <c r="S41" s="10"/>
      <c r="W41" s="10"/>
      <c r="X41" s="10"/>
      <c r="Y41" s="10"/>
      <c r="Z41" s="10"/>
      <c r="AD41" s="10"/>
      <c r="AE41" s="10"/>
      <c r="AF41" s="10"/>
      <c r="AG41" s="10"/>
      <c r="AK41" s="10"/>
      <c r="AL41" s="10"/>
      <c r="AM41" s="10"/>
      <c r="AN41" s="10"/>
      <c r="AR41" s="10"/>
      <c r="AS41" s="10">
        <v>0.5</v>
      </c>
      <c r="AT41" s="10"/>
      <c r="AU41" s="10">
        <v>0.5</v>
      </c>
      <c r="AY41" s="10"/>
      <c r="AZ41" s="10">
        <v>0.5</v>
      </c>
      <c r="BA41" s="10"/>
      <c r="BB41" s="10">
        <v>0.5</v>
      </c>
      <c r="BF41" s="10"/>
      <c r="BG41" s="10">
        <v>0.5</v>
      </c>
      <c r="BH41" s="10"/>
      <c r="BI41" s="10">
        <v>0.5</v>
      </c>
      <c r="BM41" s="10"/>
      <c r="BN41" s="10">
        <v>0.8</v>
      </c>
      <c r="BO41" s="10"/>
      <c r="BP41" s="10">
        <v>0.8</v>
      </c>
      <c r="BT41" s="10"/>
      <c r="BU41" s="10">
        <v>0.8</v>
      </c>
      <c r="BV41" s="10"/>
      <c r="BW41" s="10">
        <v>0.8</v>
      </c>
      <c r="CA41" s="10"/>
      <c r="CB41" s="10">
        <v>0.8</v>
      </c>
      <c r="CC41" s="10"/>
      <c r="CD41" s="10">
        <v>0.8</v>
      </c>
      <c r="CH41" s="10"/>
      <c r="CI41" s="10">
        <v>0.8</v>
      </c>
      <c r="CJ41" s="10"/>
      <c r="CK41" s="10">
        <v>0.8</v>
      </c>
      <c r="CO41" s="10"/>
      <c r="CP41" s="10">
        <v>0.8</v>
      </c>
      <c r="CQ41" s="10"/>
      <c r="CR41" s="10">
        <v>0.8</v>
      </c>
      <c r="CV41" s="10"/>
      <c r="CW41" s="10">
        <v>1</v>
      </c>
      <c r="CX41" s="10"/>
      <c r="CY41" s="10">
        <v>1</v>
      </c>
      <c r="DC41" s="10"/>
      <c r="DD41" s="10"/>
      <c r="DE41" s="10"/>
      <c r="DF41" s="10"/>
      <c r="DJ41" s="10"/>
      <c r="DK41" s="10"/>
      <c r="DL41" s="10"/>
      <c r="DM41" s="10"/>
      <c r="DQ41" s="10"/>
      <c r="DR41" s="10"/>
      <c r="DS41" s="10"/>
      <c r="DT41" s="10"/>
      <c r="DX41" s="10"/>
      <c r="DY41" s="10"/>
      <c r="DZ41" s="10"/>
      <c r="EA41" s="10"/>
      <c r="EE41" s="10"/>
      <c r="EF41" s="10"/>
      <c r="EG41" s="10"/>
      <c r="EH41" s="10"/>
      <c r="EL41" s="10"/>
      <c r="EM41" s="10"/>
      <c r="EN41" s="10"/>
      <c r="EO41" s="10"/>
    </row>
    <row r="42" spans="2:145" hidden="1" outlineLevel="1">
      <c r="B42" t="s">
        <v>28</v>
      </c>
      <c r="C42" t="s">
        <v>96</v>
      </c>
      <c r="E42" s="9"/>
      <c r="F42" t="s">
        <v>133</v>
      </c>
      <c r="G42" s="20">
        <v>8.3333333333333329E-2</v>
      </c>
      <c r="I42" s="9"/>
      <c r="J42" s="11" cm="1">
        <f t="array" ref="J42">MAX(IF($N$3:$DU$3=$J$3,N42:DU42))</f>
        <v>0</v>
      </c>
      <c r="K42" s="11" cm="1">
        <f t="array" ref="K42">MAX(IF($N$3:$DU$3=$J$3,N42:DU42))</f>
        <v>0</v>
      </c>
      <c r="L42" s="9"/>
      <c r="P42" s="10"/>
      <c r="Q42" s="10"/>
      <c r="R42" s="10"/>
      <c r="S42" s="10"/>
      <c r="W42" s="10"/>
      <c r="X42" s="10"/>
      <c r="Y42" s="10"/>
      <c r="Z42" s="10"/>
      <c r="AD42" s="10"/>
      <c r="AE42" s="10"/>
      <c r="AF42" s="10"/>
      <c r="AG42" s="10"/>
      <c r="AK42" s="10"/>
      <c r="AL42" s="10"/>
      <c r="AM42" s="10"/>
      <c r="AN42" s="10"/>
      <c r="AR42" s="10"/>
      <c r="AS42" s="10"/>
      <c r="AT42" s="10"/>
      <c r="AU42" s="10"/>
      <c r="AY42" s="10"/>
      <c r="AZ42" s="10">
        <v>0.5</v>
      </c>
      <c r="BA42" s="10"/>
      <c r="BB42" s="10">
        <v>0.5</v>
      </c>
      <c r="BF42" s="10"/>
      <c r="BG42" s="10">
        <v>0.5</v>
      </c>
      <c r="BH42" s="10"/>
      <c r="BI42" s="10">
        <v>0.5</v>
      </c>
      <c r="BM42" s="10"/>
      <c r="BN42" s="10">
        <v>0.5</v>
      </c>
      <c r="BO42" s="10"/>
      <c r="BP42" s="10">
        <v>0.5</v>
      </c>
      <c r="BT42" s="10"/>
      <c r="BU42" s="10">
        <v>0.8</v>
      </c>
      <c r="BV42" s="10"/>
      <c r="BW42" s="10">
        <v>0.8</v>
      </c>
      <c r="CA42" s="10"/>
      <c r="CB42" s="10">
        <v>0.8</v>
      </c>
      <c r="CC42" s="10"/>
      <c r="CD42" s="10">
        <v>0.8</v>
      </c>
      <c r="CH42" s="10"/>
      <c r="CI42" s="10">
        <v>0.8</v>
      </c>
      <c r="CJ42" s="10"/>
      <c r="CK42" s="10">
        <v>0.8</v>
      </c>
      <c r="CO42" s="10"/>
      <c r="CP42" s="10">
        <v>0.8</v>
      </c>
      <c r="CQ42" s="10"/>
      <c r="CR42" s="10">
        <v>0.8</v>
      </c>
      <c r="CV42" s="10"/>
      <c r="CW42" s="10">
        <v>1</v>
      </c>
      <c r="CX42" s="10"/>
      <c r="CY42" s="10">
        <v>1</v>
      </c>
      <c r="DC42" s="10"/>
      <c r="DD42" s="10"/>
      <c r="DE42" s="10"/>
      <c r="DF42" s="10"/>
      <c r="DJ42" s="10"/>
      <c r="DK42" s="10"/>
      <c r="DL42" s="10"/>
      <c r="DM42" s="10"/>
      <c r="DQ42" s="10"/>
      <c r="DR42" s="10"/>
      <c r="DS42" s="10"/>
      <c r="DT42" s="10"/>
      <c r="DX42" s="10"/>
      <c r="DY42" s="10"/>
      <c r="DZ42" s="10"/>
      <c r="EA42" s="10"/>
      <c r="EE42" s="10"/>
      <c r="EF42" s="10"/>
      <c r="EG42" s="10"/>
      <c r="EH42" s="10"/>
      <c r="EL42" s="10"/>
      <c r="EM42" s="10"/>
      <c r="EN42" s="10"/>
      <c r="EO42" s="10"/>
    </row>
    <row r="43" spans="2:145" hidden="1" outlineLevel="1">
      <c r="B43" t="s">
        <v>28</v>
      </c>
      <c r="C43" t="s">
        <v>96</v>
      </c>
      <c r="E43" s="9"/>
      <c r="F43" t="s">
        <v>134</v>
      </c>
      <c r="G43" s="20">
        <v>8.3333333333333329E-2</v>
      </c>
      <c r="I43" s="9"/>
      <c r="J43" s="11" cm="1">
        <f t="array" ref="J43">MAX(IF($N$3:$DU$3=$J$3,N43:DU43))</f>
        <v>0</v>
      </c>
      <c r="K43" s="11" cm="1">
        <f t="array" ref="K43">MAX(IF($N$3:$DU$3=$J$3,N43:DU43))</f>
        <v>0</v>
      </c>
      <c r="L43" s="9"/>
      <c r="P43" s="10"/>
      <c r="Q43" s="10"/>
      <c r="R43" s="10"/>
      <c r="S43" s="10"/>
      <c r="W43" s="10"/>
      <c r="X43" s="10"/>
      <c r="Y43" s="10"/>
      <c r="Z43" s="10"/>
      <c r="AD43" s="10"/>
      <c r="AE43" s="10"/>
      <c r="AF43" s="10"/>
      <c r="AG43" s="10"/>
      <c r="AK43" s="10"/>
      <c r="AL43" s="10"/>
      <c r="AM43" s="10"/>
      <c r="AN43" s="10"/>
      <c r="AR43" s="10"/>
      <c r="AS43" s="10"/>
      <c r="AT43" s="10"/>
      <c r="AU43" s="10"/>
      <c r="AY43" s="10"/>
      <c r="AZ43" s="10"/>
      <c r="BA43" s="10"/>
      <c r="BB43" s="10"/>
      <c r="BF43" s="10"/>
      <c r="BG43" s="10">
        <v>0.5</v>
      </c>
      <c r="BH43" s="10"/>
      <c r="BI43" s="10">
        <v>0.5</v>
      </c>
      <c r="BM43" s="10"/>
      <c r="BN43" s="10">
        <v>0.5</v>
      </c>
      <c r="BO43" s="10"/>
      <c r="BP43" s="10">
        <v>0.5</v>
      </c>
      <c r="BT43" s="10"/>
      <c r="BU43" s="10">
        <v>0.5</v>
      </c>
      <c r="BV43" s="10"/>
      <c r="BW43" s="10">
        <v>0.5</v>
      </c>
      <c r="CA43" s="10"/>
      <c r="CB43" s="10">
        <v>0.8</v>
      </c>
      <c r="CC43" s="10"/>
      <c r="CD43" s="10">
        <v>0.8</v>
      </c>
      <c r="CH43" s="10"/>
      <c r="CI43" s="10">
        <v>0.8</v>
      </c>
      <c r="CJ43" s="10"/>
      <c r="CK43" s="10">
        <v>0.8</v>
      </c>
      <c r="CO43" s="10"/>
      <c r="CP43" s="10">
        <v>0.8</v>
      </c>
      <c r="CQ43" s="10"/>
      <c r="CR43" s="10">
        <v>0.8</v>
      </c>
      <c r="CV43" s="10"/>
      <c r="CW43" s="10">
        <v>1</v>
      </c>
      <c r="CX43" s="10"/>
      <c r="CY43" s="10">
        <v>1</v>
      </c>
      <c r="DC43" s="10"/>
      <c r="DD43" s="10"/>
      <c r="DE43" s="10"/>
      <c r="DF43" s="10"/>
      <c r="DJ43" s="10"/>
      <c r="DK43" s="10"/>
      <c r="DL43" s="10"/>
      <c r="DM43" s="10"/>
      <c r="DQ43" s="10"/>
      <c r="DR43" s="10"/>
      <c r="DS43" s="10"/>
      <c r="DT43" s="10"/>
      <c r="DX43" s="10"/>
      <c r="DY43" s="10"/>
      <c r="DZ43" s="10"/>
      <c r="EA43" s="10"/>
      <c r="EE43" s="10"/>
      <c r="EF43" s="10"/>
      <c r="EG43" s="10"/>
      <c r="EH43" s="10"/>
      <c r="EL43" s="10"/>
      <c r="EM43" s="10"/>
      <c r="EN43" s="10"/>
      <c r="EO43" s="10"/>
    </row>
    <row r="44" spans="2:145" collapsed="1"/>
    <row r="45" spans="2:145">
      <c r="B45" t="s">
        <v>27</v>
      </c>
      <c r="C45" t="s">
        <v>98</v>
      </c>
      <c r="D45" s="19">
        <v>45306</v>
      </c>
      <c r="E45" s="9">
        <v>5.5</v>
      </c>
      <c r="G45" s="10">
        <f>+SUM(G46:G52)</f>
        <v>1</v>
      </c>
      <c r="I45" s="12">
        <f>+SUM(I46:I52)</f>
        <v>2</v>
      </c>
      <c r="J45" s="11">
        <f>+SUMPRODUCT(G46:G52,J46:J52)</f>
        <v>0.25600000000000001</v>
      </c>
      <c r="K45" s="11">
        <f>+SUMPRODUCT(G46:G52,K46:K52)</f>
        <v>0.25600000000000001</v>
      </c>
      <c r="L45" s="9"/>
      <c r="O45" s="12"/>
      <c r="V45" s="12"/>
      <c r="AC45" s="12"/>
    </row>
    <row r="46" spans="2:145" outlineLevel="1">
      <c r="B46" t="s">
        <v>28</v>
      </c>
      <c r="C46" t="s">
        <v>98</v>
      </c>
      <c r="E46" s="9"/>
      <c r="F46" t="s">
        <v>195</v>
      </c>
      <c r="G46" s="10">
        <v>0.16</v>
      </c>
      <c r="I46" s="9">
        <v>2</v>
      </c>
      <c r="J46" s="11" cm="1">
        <f t="array" ref="J46">MAX(IF($N$3:$DU$3=$J$3,N46:DU46))</f>
        <v>0.8</v>
      </c>
      <c r="K46" s="11" cm="1">
        <f t="array" ref="K46">MAX(IF($N$3:$DU$3=$J$3,N46:DU46))</f>
        <v>0.8</v>
      </c>
      <c r="L46" s="9"/>
      <c r="P46" s="10">
        <v>0.8</v>
      </c>
      <c r="Q46" s="10">
        <v>0.8</v>
      </c>
      <c r="R46" s="10">
        <v>0.8</v>
      </c>
      <c r="S46" s="10">
        <v>0.8</v>
      </c>
      <c r="W46" s="10">
        <v>0.8</v>
      </c>
      <c r="X46" s="10">
        <v>0.8</v>
      </c>
      <c r="Y46" s="10">
        <v>0.8</v>
      </c>
      <c r="Z46" s="10">
        <v>0.8</v>
      </c>
      <c r="AD46" s="10"/>
      <c r="AE46" s="10">
        <v>0.8</v>
      </c>
      <c r="AF46" s="10"/>
      <c r="AG46" s="10">
        <v>0.8</v>
      </c>
      <c r="AK46" s="10"/>
      <c r="AL46" s="10">
        <v>0.8</v>
      </c>
      <c r="AM46" s="10"/>
      <c r="AN46" s="10">
        <v>0.8</v>
      </c>
      <c r="AR46" s="10"/>
      <c r="AS46" s="10">
        <v>0.8</v>
      </c>
      <c r="AT46" s="10"/>
      <c r="AU46" s="10">
        <v>0.8</v>
      </c>
      <c r="AY46" s="10"/>
      <c r="AZ46" s="10">
        <v>0.8</v>
      </c>
      <c r="BA46" s="10"/>
      <c r="BB46" s="10">
        <v>0.8</v>
      </c>
      <c r="BF46" s="10"/>
      <c r="BG46" s="10">
        <v>1</v>
      </c>
      <c r="BH46" s="10"/>
      <c r="BI46" s="10">
        <v>1</v>
      </c>
      <c r="BM46" s="10"/>
      <c r="BN46" s="10">
        <v>1</v>
      </c>
      <c r="BO46" s="10"/>
      <c r="BP46" s="10">
        <v>1</v>
      </c>
      <c r="BT46" s="10"/>
      <c r="BU46" s="10">
        <v>1</v>
      </c>
      <c r="BV46" s="10"/>
      <c r="BW46" s="10">
        <v>1</v>
      </c>
      <c r="CA46" s="10"/>
      <c r="CB46" s="10">
        <v>1</v>
      </c>
      <c r="CC46" s="10"/>
      <c r="CD46" s="10">
        <v>1</v>
      </c>
      <c r="CH46" s="10"/>
      <c r="CI46" s="10">
        <v>1</v>
      </c>
      <c r="CJ46" s="10"/>
      <c r="CK46" s="10">
        <v>1</v>
      </c>
      <c r="CO46" s="10"/>
      <c r="CP46" s="10">
        <v>1</v>
      </c>
      <c r="CQ46" s="10"/>
      <c r="CR46" s="10">
        <v>1</v>
      </c>
      <c r="CV46" s="10"/>
      <c r="CW46" s="10">
        <v>1</v>
      </c>
      <c r="CX46" s="10"/>
      <c r="CY46" s="10">
        <v>1</v>
      </c>
      <c r="DC46" s="10"/>
      <c r="DD46" s="10"/>
      <c r="DE46" s="10"/>
      <c r="DF46" s="10"/>
      <c r="DJ46" s="10"/>
      <c r="DK46" s="10"/>
      <c r="DL46" s="10"/>
      <c r="DM46" s="10"/>
      <c r="DQ46" s="10"/>
      <c r="DR46" s="10"/>
      <c r="DS46" s="10"/>
      <c r="DT46" s="10"/>
      <c r="DX46" s="10"/>
      <c r="DY46" s="10"/>
      <c r="DZ46" s="10"/>
      <c r="EA46" s="10"/>
      <c r="EE46" s="10"/>
      <c r="EF46" s="10"/>
      <c r="EG46" s="10"/>
      <c r="EH46" s="10"/>
      <c r="EL46" s="10"/>
      <c r="EM46" s="10"/>
      <c r="EN46" s="10"/>
      <c r="EO46" s="10"/>
    </row>
    <row r="47" spans="2:145" outlineLevel="1">
      <c r="B47" t="s">
        <v>28</v>
      </c>
      <c r="C47" t="s">
        <v>98</v>
      </c>
      <c r="E47" s="9"/>
      <c r="F47" t="s">
        <v>196</v>
      </c>
      <c r="G47" s="10">
        <v>0.16</v>
      </c>
      <c r="I47" s="9">
        <f t="shared" ref="I47:I52" si="1">+SUMIF($N$3:$ZM$3,I$3,$N47:$ZM47)</f>
        <v>0</v>
      </c>
      <c r="J47" s="11" cm="1">
        <f t="array" ref="J47">MAX(IF($N$3:$DU$3=$J$3,N47:DU47))</f>
        <v>0.8</v>
      </c>
      <c r="K47" s="11" cm="1">
        <f t="array" ref="K47">MAX(IF($N$3:$DU$3=$J$3,N47:DU47))</f>
        <v>0.8</v>
      </c>
      <c r="L47" s="9"/>
      <c r="P47" s="10">
        <v>0.8</v>
      </c>
      <c r="Q47" s="10">
        <v>0.8</v>
      </c>
      <c r="R47" s="10">
        <v>0.8</v>
      </c>
      <c r="S47" s="10">
        <v>0.8</v>
      </c>
      <c r="W47" s="10">
        <v>0.8</v>
      </c>
      <c r="X47" s="10">
        <v>0.8</v>
      </c>
      <c r="Y47" s="10"/>
      <c r="Z47" s="10">
        <v>0.8</v>
      </c>
      <c r="AD47" s="10"/>
      <c r="AE47" s="10">
        <v>0.8</v>
      </c>
      <c r="AF47" s="10"/>
      <c r="AG47" s="10">
        <v>0.8</v>
      </c>
      <c r="AK47" s="10"/>
      <c r="AL47" s="10">
        <v>0.8</v>
      </c>
      <c r="AM47" s="10"/>
      <c r="AN47" s="10">
        <v>0.8</v>
      </c>
      <c r="AR47" s="10"/>
      <c r="AS47" s="10">
        <v>0.8</v>
      </c>
      <c r="AT47" s="10"/>
      <c r="AU47" s="10">
        <v>0.8</v>
      </c>
      <c r="AY47" s="10"/>
      <c r="AZ47" s="10">
        <v>0.8</v>
      </c>
      <c r="BA47" s="10"/>
      <c r="BB47" s="10">
        <v>0.8</v>
      </c>
      <c r="BF47" s="10"/>
      <c r="BG47" s="10">
        <v>0.8</v>
      </c>
      <c r="BH47" s="10"/>
      <c r="BI47" s="10">
        <v>0.8</v>
      </c>
      <c r="BM47" s="10"/>
      <c r="BN47" s="10">
        <v>1</v>
      </c>
      <c r="BO47" s="10"/>
      <c r="BP47" s="10">
        <v>1</v>
      </c>
      <c r="BT47" s="10"/>
      <c r="BU47" s="10">
        <v>1</v>
      </c>
      <c r="BV47" s="10"/>
      <c r="BW47" s="10">
        <v>1</v>
      </c>
      <c r="CA47" s="10"/>
      <c r="CB47" s="10">
        <v>1</v>
      </c>
      <c r="CC47" s="10"/>
      <c r="CD47" s="10">
        <v>1</v>
      </c>
      <c r="CH47" s="10"/>
      <c r="CI47" s="10">
        <v>1</v>
      </c>
      <c r="CJ47" s="10"/>
      <c r="CK47" s="10">
        <v>1</v>
      </c>
      <c r="CO47" s="10"/>
      <c r="CP47" s="10">
        <v>1</v>
      </c>
      <c r="CQ47" s="10"/>
      <c r="CR47" s="10">
        <v>1</v>
      </c>
      <c r="CV47" s="10"/>
      <c r="CW47" s="10">
        <v>1</v>
      </c>
      <c r="CX47" s="10"/>
      <c r="CY47" s="10">
        <v>1</v>
      </c>
      <c r="DC47" s="10"/>
      <c r="DD47" s="10"/>
      <c r="DE47" s="10"/>
      <c r="DF47" s="10"/>
      <c r="DJ47" s="10"/>
      <c r="DK47" s="10"/>
      <c r="DL47" s="10"/>
      <c r="DM47" s="10"/>
      <c r="DQ47" s="10"/>
      <c r="DR47" s="10"/>
      <c r="DS47" s="10"/>
      <c r="DT47" s="10"/>
      <c r="DX47" s="10"/>
      <c r="DY47" s="10"/>
      <c r="DZ47" s="10"/>
      <c r="EA47" s="10"/>
      <c r="EE47" s="10"/>
      <c r="EF47" s="10"/>
      <c r="EG47" s="10"/>
      <c r="EH47" s="10"/>
      <c r="EL47" s="10"/>
      <c r="EM47" s="10"/>
      <c r="EN47" s="10"/>
      <c r="EO47" s="10"/>
    </row>
    <row r="48" spans="2:145" outlineLevel="1">
      <c r="B48" t="s">
        <v>28</v>
      </c>
      <c r="C48" t="s">
        <v>98</v>
      </c>
      <c r="E48" s="9"/>
      <c r="F48" t="s">
        <v>197</v>
      </c>
      <c r="G48" s="10">
        <v>0.16</v>
      </c>
      <c r="I48" s="9">
        <f t="shared" si="1"/>
        <v>0</v>
      </c>
      <c r="J48" s="11" cm="1">
        <f t="array" ref="J48">MAX(IF($N$3:$DU$3=$J$3,N48:DU48))</f>
        <v>0</v>
      </c>
      <c r="K48" s="11" cm="1">
        <f t="array" ref="K48">MAX(IF($N$3:$DU$3=$J$3,N48:DU48))</f>
        <v>0</v>
      </c>
      <c r="L48" s="9"/>
      <c r="P48" s="10"/>
      <c r="Q48" s="10"/>
      <c r="R48" s="10"/>
      <c r="S48" s="10"/>
      <c r="W48" s="10"/>
      <c r="X48" s="10">
        <v>0.5</v>
      </c>
      <c r="Y48" s="10"/>
      <c r="Z48" s="10">
        <v>0.5</v>
      </c>
      <c r="AD48" s="10"/>
      <c r="AE48" s="10">
        <v>0.5</v>
      </c>
      <c r="AF48" s="10"/>
      <c r="AG48" s="10">
        <v>0.5</v>
      </c>
      <c r="AK48" s="10"/>
      <c r="AL48" s="10">
        <v>0.8</v>
      </c>
      <c r="AM48" s="10"/>
      <c r="AN48" s="10">
        <v>0.8</v>
      </c>
      <c r="AR48" s="10"/>
      <c r="AS48" s="10">
        <v>0.8</v>
      </c>
      <c r="AT48" s="10"/>
      <c r="AU48" s="10">
        <v>0.8</v>
      </c>
      <c r="AY48" s="10"/>
      <c r="AZ48" s="10">
        <v>0.8</v>
      </c>
      <c r="BA48" s="10"/>
      <c r="BB48" s="10">
        <v>0.8</v>
      </c>
      <c r="BF48" s="10"/>
      <c r="BG48" s="10">
        <v>0.8</v>
      </c>
      <c r="BH48" s="10"/>
      <c r="BI48" s="10">
        <v>0.8</v>
      </c>
      <c r="BM48" s="10"/>
      <c r="BN48" s="10">
        <v>0.8</v>
      </c>
      <c r="BO48" s="10"/>
      <c r="BP48" s="10">
        <v>0.8</v>
      </c>
      <c r="BT48" s="10"/>
      <c r="BU48" s="10">
        <v>1</v>
      </c>
      <c r="BV48" s="10"/>
      <c r="BW48" s="10">
        <v>1</v>
      </c>
      <c r="CA48" s="10"/>
      <c r="CB48" s="10">
        <v>1</v>
      </c>
      <c r="CC48" s="10"/>
      <c r="CD48" s="10">
        <v>1</v>
      </c>
      <c r="CH48" s="10"/>
      <c r="CI48" s="10">
        <v>1</v>
      </c>
      <c r="CJ48" s="10"/>
      <c r="CK48" s="10">
        <v>1</v>
      </c>
      <c r="CO48" s="10"/>
      <c r="CP48" s="10">
        <v>1</v>
      </c>
      <c r="CQ48" s="10"/>
      <c r="CR48" s="10">
        <v>1</v>
      </c>
      <c r="CV48" s="10"/>
      <c r="CW48" s="10">
        <v>1</v>
      </c>
      <c r="CX48" s="10"/>
      <c r="CY48" s="10">
        <v>1</v>
      </c>
      <c r="DC48" s="10"/>
      <c r="DD48" s="10"/>
      <c r="DE48" s="10"/>
      <c r="DF48" s="10"/>
      <c r="DJ48" s="10"/>
      <c r="DK48" s="10"/>
      <c r="DL48" s="10"/>
      <c r="DM48" s="10"/>
      <c r="DQ48" s="10"/>
      <c r="DR48" s="10"/>
      <c r="DS48" s="10"/>
      <c r="DT48" s="10"/>
      <c r="DX48" s="10"/>
      <c r="DY48" s="10"/>
      <c r="DZ48" s="10"/>
      <c r="EA48" s="10"/>
      <c r="EE48" s="10"/>
      <c r="EF48" s="10"/>
      <c r="EG48" s="10"/>
      <c r="EH48" s="10"/>
      <c r="EL48" s="10"/>
      <c r="EM48" s="10"/>
      <c r="EN48" s="10"/>
      <c r="EO48" s="10"/>
    </row>
    <row r="49" spans="2:145" outlineLevel="1">
      <c r="B49" t="s">
        <v>28</v>
      </c>
      <c r="C49" t="s">
        <v>98</v>
      </c>
      <c r="E49" s="9"/>
      <c r="F49" t="s">
        <v>198</v>
      </c>
      <c r="G49" s="10">
        <v>0.16</v>
      </c>
      <c r="I49" s="9">
        <f t="shared" si="1"/>
        <v>0</v>
      </c>
      <c r="J49" s="11" cm="1">
        <f t="array" ref="J49">MAX(IF($N$3:$DU$3=$J$3,N49:DU49))</f>
        <v>0</v>
      </c>
      <c r="K49" s="11" cm="1">
        <f t="array" ref="K49">MAX(IF($N$3:$DU$3=$J$3,N49:DU49))</f>
        <v>0</v>
      </c>
      <c r="L49" s="9"/>
      <c r="P49" s="10"/>
      <c r="Q49" s="10"/>
      <c r="R49" s="10"/>
      <c r="S49" s="10"/>
      <c r="W49" s="10"/>
      <c r="X49" s="10">
        <v>0.5</v>
      </c>
      <c r="Y49" s="10"/>
      <c r="Z49" s="10">
        <v>0.5</v>
      </c>
      <c r="AD49" s="10"/>
      <c r="AE49" s="10">
        <v>0.5</v>
      </c>
      <c r="AF49" s="10"/>
      <c r="AG49" s="10">
        <v>0.5</v>
      </c>
      <c r="AK49" s="10"/>
      <c r="AL49" s="10">
        <v>0.5</v>
      </c>
      <c r="AM49" s="10"/>
      <c r="AN49" s="10">
        <v>0.5</v>
      </c>
      <c r="AR49" s="10"/>
      <c r="AS49" s="10">
        <v>0.8</v>
      </c>
      <c r="AT49" s="10"/>
      <c r="AU49" s="10">
        <v>0.8</v>
      </c>
      <c r="AY49" s="10"/>
      <c r="AZ49" s="10">
        <v>0.8</v>
      </c>
      <c r="BA49" s="10"/>
      <c r="BB49" s="10">
        <v>0.8</v>
      </c>
      <c r="BF49" s="10"/>
      <c r="BG49" s="10">
        <v>0.8</v>
      </c>
      <c r="BH49" s="10"/>
      <c r="BI49" s="10">
        <v>0.8</v>
      </c>
      <c r="BM49" s="10"/>
      <c r="BN49" s="10">
        <v>0.8</v>
      </c>
      <c r="BO49" s="10"/>
      <c r="BP49" s="10">
        <v>0.8</v>
      </c>
      <c r="BT49" s="10"/>
      <c r="BU49" s="10">
        <v>0.8</v>
      </c>
      <c r="BV49" s="10"/>
      <c r="BW49" s="10">
        <v>0.8</v>
      </c>
      <c r="CA49" s="10"/>
      <c r="CB49" s="10">
        <v>1</v>
      </c>
      <c r="CC49" s="10"/>
      <c r="CD49" s="10">
        <v>1</v>
      </c>
      <c r="CH49" s="10"/>
      <c r="CI49" s="10">
        <v>1</v>
      </c>
      <c r="CJ49" s="10"/>
      <c r="CK49" s="10">
        <v>1</v>
      </c>
      <c r="CO49" s="10"/>
      <c r="CP49" s="10">
        <v>1</v>
      </c>
      <c r="CQ49" s="10"/>
      <c r="CR49" s="10">
        <v>1</v>
      </c>
      <c r="CV49" s="10"/>
      <c r="CW49" s="10">
        <v>1</v>
      </c>
      <c r="CX49" s="10"/>
      <c r="CY49" s="10">
        <v>1</v>
      </c>
      <c r="DC49" s="10"/>
      <c r="DD49" s="10"/>
      <c r="DE49" s="10"/>
      <c r="DF49" s="10"/>
      <c r="DJ49" s="10"/>
      <c r="DK49" s="10"/>
      <c r="DL49" s="10"/>
      <c r="DM49" s="10"/>
      <c r="DQ49" s="10"/>
      <c r="DR49" s="10"/>
      <c r="DS49" s="10"/>
      <c r="DT49" s="10"/>
      <c r="DX49" s="10"/>
      <c r="DY49" s="10"/>
      <c r="DZ49" s="10"/>
      <c r="EA49" s="10"/>
      <c r="EE49" s="10"/>
      <c r="EF49" s="10"/>
      <c r="EG49" s="10"/>
      <c r="EH49" s="10"/>
      <c r="EL49" s="10"/>
      <c r="EM49" s="10"/>
      <c r="EN49" s="10"/>
      <c r="EO49" s="10"/>
    </row>
    <row r="50" spans="2:145" outlineLevel="1">
      <c r="B50" t="s">
        <v>28</v>
      </c>
      <c r="C50" t="s">
        <v>98</v>
      </c>
      <c r="E50" s="9"/>
      <c r="F50" t="s">
        <v>199</v>
      </c>
      <c r="G50" s="10">
        <v>0.16</v>
      </c>
      <c r="I50" s="9">
        <f t="shared" si="1"/>
        <v>0</v>
      </c>
      <c r="J50" s="11" cm="1">
        <f t="array" ref="J50">MAX(IF($N$3:$DU$3=$J$3,N50:DU50))</f>
        <v>0</v>
      </c>
      <c r="K50" s="11" cm="1">
        <f t="array" ref="K50">MAX(IF($N$3:$DU$3=$J$3,N50:DU50))</f>
        <v>0</v>
      </c>
      <c r="L50" s="9"/>
      <c r="P50" s="10"/>
      <c r="Q50" s="10"/>
      <c r="R50" s="10"/>
      <c r="S50" s="10"/>
      <c r="W50" s="10"/>
      <c r="X50" s="10"/>
      <c r="Y50" s="10"/>
      <c r="Z50" s="10"/>
      <c r="AD50" s="10"/>
      <c r="AE50" s="10">
        <v>0.5</v>
      </c>
      <c r="AF50" s="10"/>
      <c r="AG50" s="10">
        <v>0.5</v>
      </c>
      <c r="AK50" s="10"/>
      <c r="AL50" s="10">
        <v>0.5</v>
      </c>
      <c r="AM50" s="10"/>
      <c r="AN50" s="10">
        <v>0.5</v>
      </c>
      <c r="AR50" s="10"/>
      <c r="AS50" s="10">
        <v>0.5</v>
      </c>
      <c r="AT50" s="10"/>
      <c r="AU50" s="10">
        <v>0.5</v>
      </c>
      <c r="AY50" s="10"/>
      <c r="AZ50" s="10">
        <v>0.8</v>
      </c>
      <c r="BA50" s="10"/>
      <c r="BB50" s="10">
        <v>0.8</v>
      </c>
      <c r="BF50" s="10"/>
      <c r="BG50" s="10">
        <v>0.8</v>
      </c>
      <c r="BH50" s="10"/>
      <c r="BI50" s="10">
        <v>0.8</v>
      </c>
      <c r="BM50" s="10"/>
      <c r="BN50" s="10">
        <v>0.8</v>
      </c>
      <c r="BO50" s="10"/>
      <c r="BP50" s="10">
        <v>0.8</v>
      </c>
      <c r="BT50" s="10"/>
      <c r="BU50" s="10">
        <v>0.8</v>
      </c>
      <c r="BV50" s="10"/>
      <c r="BW50" s="10">
        <v>0.8</v>
      </c>
      <c r="CA50" s="10"/>
      <c r="CB50" s="10">
        <v>0.8</v>
      </c>
      <c r="CC50" s="10"/>
      <c r="CD50" s="10">
        <v>0.8</v>
      </c>
      <c r="CH50" s="10"/>
      <c r="CI50" s="10">
        <v>1</v>
      </c>
      <c r="CJ50" s="10"/>
      <c r="CK50" s="10">
        <v>1</v>
      </c>
      <c r="CO50" s="10"/>
      <c r="CP50" s="10">
        <v>1</v>
      </c>
      <c r="CQ50" s="10"/>
      <c r="CR50" s="10">
        <v>1</v>
      </c>
      <c r="CV50" s="10"/>
      <c r="CW50" s="10">
        <v>1</v>
      </c>
      <c r="CX50" s="10"/>
      <c r="CY50" s="10">
        <v>1</v>
      </c>
      <c r="DC50" s="10"/>
      <c r="DD50" s="10"/>
      <c r="DE50" s="10"/>
      <c r="DF50" s="10"/>
      <c r="DJ50" s="10"/>
      <c r="DK50" s="10"/>
      <c r="DL50" s="10"/>
      <c r="DM50" s="10"/>
      <c r="DQ50" s="10"/>
      <c r="DR50" s="10"/>
      <c r="DS50" s="10"/>
      <c r="DT50" s="10"/>
      <c r="DX50" s="10"/>
      <c r="DY50" s="10"/>
      <c r="DZ50" s="10"/>
      <c r="EA50" s="10"/>
      <c r="EE50" s="10"/>
      <c r="EF50" s="10"/>
      <c r="EG50" s="10"/>
      <c r="EH50" s="10"/>
      <c r="EL50" s="10"/>
      <c r="EM50" s="10"/>
      <c r="EN50" s="10"/>
      <c r="EO50" s="10"/>
    </row>
    <row r="51" spans="2:145" outlineLevel="1">
      <c r="B51" t="s">
        <v>28</v>
      </c>
      <c r="C51" t="s">
        <v>98</v>
      </c>
      <c r="E51" s="9"/>
      <c r="F51" t="s">
        <v>200</v>
      </c>
      <c r="G51" s="10">
        <v>0.16</v>
      </c>
      <c r="I51" s="9">
        <f t="shared" si="1"/>
        <v>0</v>
      </c>
      <c r="J51" s="11" cm="1">
        <f t="array" ref="J51">MAX(IF($N$3:$DU$3=$J$3,N51:DU51))</f>
        <v>0</v>
      </c>
      <c r="K51" s="11" cm="1">
        <f t="array" ref="K51">MAX(IF($N$3:$DU$3=$J$3,N51:DU51))</f>
        <v>0</v>
      </c>
      <c r="L51" s="9"/>
      <c r="P51" s="10"/>
      <c r="Q51" s="10"/>
      <c r="S51" s="10"/>
      <c r="W51" s="10"/>
      <c r="X51" s="10"/>
      <c r="Y51" s="10"/>
      <c r="Z51" s="10"/>
      <c r="AD51" s="10"/>
      <c r="AE51" s="10">
        <v>0.5</v>
      </c>
      <c r="AF51" s="10"/>
      <c r="AG51" s="10">
        <v>0.5</v>
      </c>
      <c r="AK51" s="10"/>
      <c r="AL51" s="10">
        <v>0.5</v>
      </c>
      <c r="AM51" s="10"/>
      <c r="AN51" s="10">
        <v>0.5</v>
      </c>
      <c r="AR51" s="10"/>
      <c r="AS51" s="10">
        <v>0.5</v>
      </c>
      <c r="AT51" s="10"/>
      <c r="AU51" s="10">
        <v>0.5</v>
      </c>
      <c r="AY51" s="10"/>
      <c r="AZ51" s="10">
        <v>0.5</v>
      </c>
      <c r="BA51" s="10"/>
      <c r="BB51" s="10">
        <v>0.5</v>
      </c>
      <c r="BF51" s="10"/>
      <c r="BG51" s="10">
        <v>0.8</v>
      </c>
      <c r="BH51" s="10"/>
      <c r="BI51" s="10">
        <v>0.8</v>
      </c>
      <c r="BM51" s="10"/>
      <c r="BN51" s="10">
        <v>0.8</v>
      </c>
      <c r="BO51" s="10"/>
      <c r="BP51" s="10">
        <v>0.8</v>
      </c>
      <c r="BT51" s="10"/>
      <c r="BU51" s="10">
        <v>0.8</v>
      </c>
      <c r="BV51" s="10"/>
      <c r="BW51" s="10">
        <v>0.8</v>
      </c>
      <c r="CA51" s="10"/>
      <c r="CB51" s="10">
        <v>0.8</v>
      </c>
      <c r="CC51" s="10"/>
      <c r="CD51" s="10">
        <v>0.8</v>
      </c>
      <c r="CH51" s="10"/>
      <c r="CI51" s="10">
        <v>0.8</v>
      </c>
      <c r="CJ51" s="10"/>
      <c r="CK51" s="10">
        <v>0.8</v>
      </c>
      <c r="CO51" s="10"/>
      <c r="CP51" s="10">
        <v>0.8</v>
      </c>
      <c r="CQ51" s="10"/>
      <c r="CR51" s="10">
        <v>0.8</v>
      </c>
      <c r="CV51" s="10"/>
      <c r="CW51" s="10">
        <v>1</v>
      </c>
      <c r="CX51" s="10"/>
      <c r="CY51" s="10">
        <v>1</v>
      </c>
      <c r="DC51" s="10"/>
      <c r="DD51" s="10"/>
      <c r="DE51" s="10"/>
      <c r="DF51" s="10"/>
      <c r="DJ51" s="10"/>
      <c r="DK51" s="10"/>
      <c r="DL51" s="10"/>
      <c r="DM51" s="10"/>
      <c r="DQ51" s="10"/>
      <c r="DR51" s="10"/>
      <c r="DS51" s="10"/>
      <c r="DT51" s="10"/>
      <c r="DX51" s="10"/>
      <c r="DY51" s="10"/>
      <c r="DZ51" s="10"/>
      <c r="EA51" s="10"/>
      <c r="EE51" s="10"/>
      <c r="EF51" s="10"/>
      <c r="EG51" s="10"/>
      <c r="EH51" s="10"/>
      <c r="EL51" s="10"/>
      <c r="EM51" s="10"/>
      <c r="EN51" s="10"/>
      <c r="EO51" s="10"/>
    </row>
    <row r="52" spans="2:145" outlineLevel="1">
      <c r="B52" t="s">
        <v>28</v>
      </c>
      <c r="C52" t="s">
        <v>98</v>
      </c>
      <c r="E52" s="9"/>
      <c r="F52" t="s">
        <v>201</v>
      </c>
      <c r="G52" s="10">
        <v>0.04</v>
      </c>
      <c r="I52" s="9">
        <f t="shared" si="1"/>
        <v>0</v>
      </c>
      <c r="J52" s="11" cm="1">
        <f t="array" ref="J52">MAX(IF($N$3:$DU$3=$J$3,N52:DU52))</f>
        <v>0</v>
      </c>
      <c r="K52" s="11" cm="1">
        <f t="array" ref="K52">MAX(IF($N$3:$DU$3=$J$3,N52:DU52))</f>
        <v>0</v>
      </c>
      <c r="L52" s="9"/>
      <c r="P52" s="10"/>
      <c r="Q52" s="10"/>
      <c r="R52" s="10"/>
      <c r="S52" s="10"/>
      <c r="W52" s="10"/>
      <c r="X52" s="10"/>
      <c r="Y52" s="10"/>
      <c r="Z52" s="10"/>
      <c r="AD52" s="10"/>
      <c r="AE52" s="10"/>
      <c r="AF52" s="10"/>
      <c r="AG52" s="10"/>
      <c r="AK52" s="10"/>
      <c r="AL52" s="10"/>
      <c r="AM52" s="10"/>
      <c r="AN52" s="10"/>
      <c r="AR52" s="10"/>
      <c r="AS52" s="10"/>
      <c r="AT52" s="10"/>
      <c r="AU52" s="10"/>
      <c r="AY52" s="10"/>
      <c r="AZ52" s="10"/>
      <c r="BA52" s="10"/>
      <c r="BB52" s="10"/>
      <c r="BF52" s="10"/>
      <c r="BG52" s="10"/>
      <c r="BH52" s="10"/>
      <c r="BI52" s="10"/>
      <c r="BM52" s="10"/>
      <c r="BN52" s="10"/>
      <c r="BO52" s="10"/>
      <c r="BP52" s="10"/>
      <c r="BT52" s="10"/>
      <c r="BU52" s="10"/>
      <c r="BV52" s="10"/>
      <c r="BW52" s="10"/>
      <c r="CA52" s="10"/>
      <c r="CB52" s="10"/>
      <c r="CC52" s="10"/>
      <c r="CD52" s="10"/>
      <c r="CH52" s="10"/>
      <c r="CI52" s="10"/>
      <c r="CJ52" s="10"/>
      <c r="CK52" s="10"/>
      <c r="CO52" s="10"/>
      <c r="CP52" s="10"/>
      <c r="CQ52" s="10"/>
      <c r="CR52" s="10"/>
      <c r="CV52" s="10"/>
      <c r="CW52" s="10"/>
      <c r="CX52" s="10"/>
      <c r="CY52" s="10"/>
      <c r="DC52" s="10"/>
      <c r="DD52" s="10"/>
      <c r="DE52" s="10"/>
      <c r="DF52" s="10"/>
      <c r="DJ52" s="10"/>
      <c r="DK52" s="10"/>
      <c r="DL52" s="10"/>
      <c r="DM52" s="10"/>
      <c r="DQ52" s="10"/>
      <c r="DR52" s="10"/>
      <c r="DS52" s="10"/>
      <c r="DT52" s="10"/>
      <c r="DX52" s="10"/>
      <c r="DY52" s="10"/>
      <c r="DZ52" s="10"/>
      <c r="EA52" s="10"/>
      <c r="EE52" s="10"/>
      <c r="EF52" s="10"/>
      <c r="EG52" s="10"/>
      <c r="EH52" s="10"/>
      <c r="EL52" s="10"/>
      <c r="EM52" s="10"/>
      <c r="EN52" s="10"/>
      <c r="EO52" s="10"/>
    </row>
    <row r="54" spans="2:145">
      <c r="B54" t="s">
        <v>27</v>
      </c>
      <c r="C54" t="s">
        <v>99</v>
      </c>
      <c r="D54" s="19">
        <v>45275</v>
      </c>
      <c r="E54" s="9">
        <v>2</v>
      </c>
      <c r="G54" s="10">
        <f>+SUM(G55:G64)</f>
        <v>0.99999999999999989</v>
      </c>
      <c r="I54" s="12">
        <f>+SUM(I55:I64)</f>
        <v>0</v>
      </c>
      <c r="J54" s="11">
        <f>+SUMPRODUCT(G55:G64,J55:J64)</f>
        <v>0</v>
      </c>
      <c r="K54" s="11">
        <f>+SUMPRODUCT(G55:G64,K55:K64)</f>
        <v>0</v>
      </c>
      <c r="L54" s="9"/>
      <c r="O54" s="12"/>
      <c r="V54" s="12"/>
      <c r="AC54" s="12"/>
    </row>
    <row r="55" spans="2:145" outlineLevel="1">
      <c r="B55" t="s">
        <v>28</v>
      </c>
      <c r="C55" t="s">
        <v>99</v>
      </c>
      <c r="E55" s="9"/>
      <c r="F55" t="s">
        <v>214</v>
      </c>
      <c r="G55" s="10">
        <v>0.1</v>
      </c>
      <c r="I55" s="9">
        <f t="shared" ref="I55:I64" si="2">+SUMIF($N$3:$ZM$3,I$3,$N55:$ZM55)</f>
        <v>0</v>
      </c>
      <c r="J55" s="11" cm="1">
        <f t="array" ref="J55">MAX(IF($N$3:$DU$3=$J$3,N55:DU55))</f>
        <v>0</v>
      </c>
      <c r="K55" s="11" cm="1">
        <f t="array" ref="K55">MAX(IF($N$3:$DU$3=$J$3,N55:DU55))</f>
        <v>0</v>
      </c>
      <c r="L55" s="9"/>
      <c r="P55" s="10"/>
      <c r="Q55" s="10"/>
      <c r="R55" s="10"/>
      <c r="S55" s="10"/>
      <c r="W55" s="10"/>
      <c r="X55" s="10"/>
      <c r="Y55" s="10"/>
      <c r="Z55" s="10"/>
      <c r="AD55" s="10"/>
      <c r="AE55" s="10"/>
      <c r="AF55" s="10"/>
      <c r="AG55" s="10"/>
      <c r="AK55" s="10"/>
      <c r="AL55" s="10"/>
      <c r="AM55" s="10"/>
      <c r="AN55" s="10"/>
      <c r="AR55" s="10"/>
      <c r="AS55" s="10"/>
      <c r="AT55" s="10"/>
      <c r="AU55" s="10"/>
      <c r="AY55" s="10"/>
      <c r="AZ55" s="10"/>
      <c r="BA55" s="10"/>
      <c r="BB55" s="10"/>
      <c r="BF55" s="10"/>
      <c r="BG55" s="10">
        <v>0.8</v>
      </c>
      <c r="BH55" s="10"/>
      <c r="BI55" s="10"/>
      <c r="BM55" s="10"/>
      <c r="BN55" s="10">
        <v>1</v>
      </c>
      <c r="BO55" s="10"/>
      <c r="BP55" s="10"/>
      <c r="BT55" s="10"/>
      <c r="BU55" s="10">
        <v>1</v>
      </c>
      <c r="BV55" s="10"/>
      <c r="BW55" s="10"/>
      <c r="CA55" s="10"/>
      <c r="CB55" s="10">
        <v>1</v>
      </c>
      <c r="CC55" s="10"/>
      <c r="CD55" s="10"/>
      <c r="CH55" s="10"/>
      <c r="CI55" s="10"/>
      <c r="CJ55" s="10"/>
      <c r="CK55" s="10"/>
      <c r="CO55" s="10"/>
      <c r="CP55" s="10"/>
      <c r="CQ55" s="10"/>
      <c r="CR55" s="10"/>
      <c r="CV55" s="10"/>
      <c r="CW55" s="10"/>
      <c r="CX55" s="10"/>
      <c r="CY55" s="10"/>
      <c r="DC55" s="10"/>
      <c r="DD55" s="10"/>
      <c r="DE55" s="10"/>
      <c r="DF55" s="10"/>
      <c r="DJ55" s="10"/>
      <c r="DK55" s="10"/>
      <c r="DL55" s="10"/>
      <c r="DM55" s="10"/>
      <c r="DQ55" s="10"/>
      <c r="DR55" s="10"/>
      <c r="DS55" s="10"/>
      <c r="DT55" s="10"/>
      <c r="DX55" s="10"/>
      <c r="DY55" s="10"/>
      <c r="DZ55" s="10"/>
      <c r="EA55" s="10"/>
      <c r="EE55" s="10"/>
      <c r="EF55" s="10"/>
      <c r="EG55" s="10"/>
      <c r="EH55" s="10"/>
      <c r="EL55" s="10"/>
      <c r="EM55" s="10"/>
      <c r="EN55" s="10"/>
      <c r="EO55" s="10"/>
    </row>
    <row r="56" spans="2:145" outlineLevel="1">
      <c r="B56" t="s">
        <v>28</v>
      </c>
      <c r="C56" t="s">
        <v>99</v>
      </c>
      <c r="E56" s="9"/>
      <c r="F56" t="s">
        <v>223</v>
      </c>
      <c r="G56" s="10">
        <v>0.1</v>
      </c>
      <c r="I56" s="9">
        <f t="shared" si="2"/>
        <v>0</v>
      </c>
      <c r="J56" s="11" cm="1">
        <f t="array" ref="J56">MAX(IF($N$3:$DU$3=$J$3,N56:DU56))</f>
        <v>0</v>
      </c>
      <c r="K56" s="11" cm="1">
        <f t="array" ref="K56">MAX(IF($N$3:$DU$3=$J$3,N56:DU56))</f>
        <v>0</v>
      </c>
      <c r="L56" s="9"/>
      <c r="P56" s="10"/>
      <c r="Q56" s="10"/>
      <c r="R56" s="10"/>
      <c r="S56" s="10"/>
      <c r="W56" s="10"/>
      <c r="X56" s="10"/>
      <c r="Y56" s="10"/>
      <c r="Z56" s="10"/>
      <c r="AD56" s="10"/>
      <c r="AE56" s="10"/>
      <c r="AF56" s="10"/>
      <c r="AG56" s="10"/>
      <c r="AK56" s="10"/>
      <c r="AL56" s="10"/>
      <c r="AM56" s="10"/>
      <c r="AN56" s="10"/>
      <c r="AR56" s="10"/>
      <c r="AS56" s="10"/>
      <c r="AT56" s="10"/>
      <c r="AU56" s="10"/>
      <c r="AY56" s="10"/>
      <c r="AZ56" s="10"/>
      <c r="BA56" s="10"/>
      <c r="BB56" s="10"/>
      <c r="BF56" s="10"/>
      <c r="BG56" s="10">
        <v>0.5</v>
      </c>
      <c r="BH56" s="10"/>
      <c r="BI56" s="10"/>
      <c r="BM56" s="10"/>
      <c r="BN56" s="10">
        <v>1</v>
      </c>
      <c r="BO56" s="10"/>
      <c r="BP56" s="10"/>
      <c r="BT56" s="10"/>
      <c r="BU56" s="10">
        <v>1</v>
      </c>
      <c r="BV56" s="10"/>
      <c r="CA56" s="10"/>
      <c r="CB56" s="10">
        <v>1</v>
      </c>
      <c r="CC56" s="10"/>
      <c r="CD56" s="10"/>
      <c r="CH56" s="10"/>
      <c r="CI56" s="10"/>
      <c r="CJ56" s="10"/>
      <c r="CK56" s="10"/>
      <c r="CO56" s="10"/>
      <c r="CP56" s="10"/>
      <c r="CQ56" s="10"/>
      <c r="CR56" s="10"/>
      <c r="CV56" s="10"/>
      <c r="CW56" s="10"/>
      <c r="CX56" s="10"/>
      <c r="CY56" s="10"/>
      <c r="DC56" s="10"/>
      <c r="DD56" s="10"/>
      <c r="DE56" s="10"/>
      <c r="DF56" s="10"/>
      <c r="DJ56" s="10"/>
      <c r="DK56" s="10"/>
      <c r="DL56" s="10"/>
      <c r="DM56" s="10"/>
      <c r="DQ56" s="10"/>
      <c r="DR56" s="10"/>
      <c r="DS56" s="10"/>
      <c r="DT56" s="10"/>
      <c r="DX56" s="10"/>
      <c r="DY56" s="10"/>
      <c r="DZ56" s="10"/>
      <c r="EA56" s="10"/>
      <c r="EE56" s="10"/>
      <c r="EF56" s="10"/>
      <c r="EG56" s="10"/>
      <c r="EH56" s="10"/>
      <c r="EL56" s="10"/>
      <c r="EM56" s="10"/>
      <c r="EN56" s="10"/>
      <c r="EO56" s="10"/>
    </row>
    <row r="57" spans="2:145" outlineLevel="1">
      <c r="B57" t="s">
        <v>28</v>
      </c>
      <c r="C57" t="s">
        <v>99</v>
      </c>
      <c r="E57" s="9"/>
      <c r="F57" t="s">
        <v>215</v>
      </c>
      <c r="G57" s="10">
        <v>0.1</v>
      </c>
      <c r="I57" s="9">
        <f t="shared" si="2"/>
        <v>0</v>
      </c>
      <c r="J57" s="11" cm="1">
        <f t="array" ref="J57">MAX(IF($N$3:$DU$3=$J$3,N57:DU57))</f>
        <v>0</v>
      </c>
      <c r="K57" s="11" cm="1">
        <f t="array" ref="K57">MAX(IF($N$3:$DU$3=$J$3,N57:DU57))</f>
        <v>0</v>
      </c>
      <c r="L57" s="9"/>
      <c r="P57" s="10"/>
      <c r="Q57" s="10"/>
      <c r="R57" s="10"/>
      <c r="S57" s="10"/>
      <c r="W57" s="10"/>
      <c r="X57" s="10"/>
      <c r="Y57" s="10"/>
      <c r="Z57" s="10"/>
      <c r="AD57" s="10"/>
      <c r="AE57" s="10"/>
      <c r="AF57" s="10"/>
      <c r="AG57" s="10"/>
      <c r="AK57" s="10"/>
      <c r="AL57" s="10"/>
      <c r="AM57" s="10"/>
      <c r="AN57" s="10"/>
      <c r="AR57" s="10"/>
      <c r="AS57" s="10"/>
      <c r="AT57" s="10"/>
      <c r="AU57" s="10"/>
      <c r="AY57" s="10"/>
      <c r="AZ57" s="10"/>
      <c r="BA57" s="10"/>
      <c r="BB57" s="10"/>
      <c r="BF57" s="10"/>
      <c r="BG57" s="10">
        <v>0.5</v>
      </c>
      <c r="BH57" s="10"/>
      <c r="BI57" s="10"/>
      <c r="BM57" s="10"/>
      <c r="BN57" s="10">
        <v>0.8</v>
      </c>
      <c r="BO57" s="10"/>
      <c r="BP57" s="10"/>
      <c r="BT57" s="10"/>
      <c r="BU57" s="10">
        <v>1</v>
      </c>
      <c r="BV57" s="10"/>
      <c r="BW57" s="10"/>
      <c r="CA57" s="10"/>
      <c r="CB57" s="10">
        <v>1</v>
      </c>
      <c r="CC57" s="10"/>
      <c r="CD57" s="10"/>
      <c r="CH57" s="10"/>
      <c r="CI57" s="10"/>
      <c r="CJ57" s="10"/>
      <c r="CK57" s="10"/>
      <c r="CO57" s="10"/>
      <c r="CP57" s="10"/>
      <c r="CQ57" s="10"/>
      <c r="CR57" s="10"/>
      <c r="CV57" s="10"/>
      <c r="CW57" s="10"/>
      <c r="CX57" s="10"/>
      <c r="CY57" s="10"/>
      <c r="DC57" s="10"/>
      <c r="DD57" s="10"/>
      <c r="DE57" s="10"/>
      <c r="DF57" s="10"/>
      <c r="DJ57" s="10"/>
      <c r="DK57" s="10"/>
      <c r="DL57" s="10"/>
      <c r="DM57" s="10"/>
      <c r="DQ57" s="10"/>
      <c r="DR57" s="10"/>
      <c r="DS57" s="10"/>
      <c r="DT57" s="10"/>
      <c r="DX57" s="10"/>
      <c r="DY57" s="10"/>
      <c r="DZ57" s="10"/>
      <c r="EA57" s="10"/>
      <c r="EE57" s="10"/>
      <c r="EF57" s="10"/>
      <c r="EG57" s="10"/>
      <c r="EH57" s="10"/>
      <c r="EL57" s="10"/>
      <c r="EM57" s="10"/>
      <c r="EN57" s="10"/>
      <c r="EO57" s="10"/>
    </row>
    <row r="58" spans="2:145" outlineLevel="1">
      <c r="B58" t="s">
        <v>28</v>
      </c>
      <c r="C58" t="s">
        <v>99</v>
      </c>
      <c r="E58" s="9"/>
      <c r="F58" t="s">
        <v>216</v>
      </c>
      <c r="G58" s="10">
        <v>0.1</v>
      </c>
      <c r="I58" s="9">
        <f t="shared" si="2"/>
        <v>0</v>
      </c>
      <c r="J58" s="11" cm="1">
        <f t="array" ref="J58">MAX(IF($N$3:$DU$3=$J$3,N58:DU58))</f>
        <v>0</v>
      </c>
      <c r="K58" s="11" cm="1">
        <f t="array" ref="K58">MAX(IF($N$3:$DU$3=$J$3,N58:DU58))</f>
        <v>0</v>
      </c>
      <c r="L58" s="9"/>
      <c r="P58" s="10"/>
      <c r="Q58" s="10"/>
      <c r="R58" s="10"/>
      <c r="S58" s="10"/>
      <c r="W58" s="10"/>
      <c r="X58" s="10"/>
      <c r="Y58" s="10"/>
      <c r="Z58" s="10"/>
      <c r="AD58" s="10"/>
      <c r="AE58" s="10"/>
      <c r="AF58" s="10"/>
      <c r="AG58" s="10"/>
      <c r="AK58" s="10"/>
      <c r="AL58" s="10"/>
      <c r="AM58" s="10"/>
      <c r="AN58" s="10"/>
      <c r="AR58" s="10"/>
      <c r="AS58" s="10"/>
      <c r="AT58" s="10"/>
      <c r="AU58" s="10"/>
      <c r="AY58" s="10"/>
      <c r="AZ58" s="10"/>
      <c r="BA58" s="10"/>
      <c r="BB58" s="10"/>
      <c r="BF58" s="10"/>
      <c r="BG58" s="10"/>
      <c r="BH58" s="10"/>
      <c r="BI58" s="10"/>
      <c r="BM58" s="10"/>
      <c r="BN58" s="10">
        <v>0.5</v>
      </c>
      <c r="BO58" s="10"/>
      <c r="BP58" s="10"/>
      <c r="BT58" s="10"/>
      <c r="BU58" s="10">
        <v>1</v>
      </c>
      <c r="BV58" s="10"/>
      <c r="BW58" s="10"/>
      <c r="CA58" s="10"/>
      <c r="CB58" s="10">
        <v>1</v>
      </c>
      <c r="CC58" s="10"/>
      <c r="CD58" s="10"/>
      <c r="CH58" s="10"/>
      <c r="CI58" s="10"/>
      <c r="CJ58" s="10"/>
      <c r="CK58" s="10"/>
      <c r="CO58" s="10"/>
      <c r="CP58" s="10"/>
      <c r="CQ58" s="10"/>
      <c r="CR58" s="10"/>
      <c r="CV58" s="10"/>
      <c r="CW58" s="10"/>
      <c r="CX58" s="10"/>
      <c r="CY58" s="10"/>
      <c r="DC58" s="10"/>
      <c r="DD58" s="10"/>
      <c r="DE58" s="10"/>
      <c r="DF58" s="10"/>
      <c r="DJ58" s="10"/>
      <c r="DK58" s="10"/>
      <c r="DL58" s="10"/>
      <c r="DM58" s="10"/>
      <c r="DQ58" s="10"/>
      <c r="DR58" s="10"/>
      <c r="DS58" s="10"/>
      <c r="DT58" s="10"/>
      <c r="DX58" s="10"/>
      <c r="DY58" s="10"/>
      <c r="DZ58" s="10"/>
      <c r="EA58" s="10"/>
      <c r="EE58" s="10"/>
      <c r="EF58" s="10"/>
      <c r="EG58" s="10"/>
      <c r="EH58" s="10"/>
      <c r="EL58" s="10"/>
      <c r="EM58" s="10"/>
      <c r="EN58" s="10"/>
      <c r="EO58" s="10"/>
    </row>
    <row r="59" spans="2:145" outlineLevel="1">
      <c r="B59" t="s">
        <v>28</v>
      </c>
      <c r="C59" t="s">
        <v>99</v>
      </c>
      <c r="E59" s="9"/>
      <c r="F59" t="s">
        <v>218</v>
      </c>
      <c r="G59" s="10">
        <v>0.1</v>
      </c>
      <c r="I59" s="9">
        <f t="shared" si="2"/>
        <v>0</v>
      </c>
      <c r="J59" s="11" cm="1">
        <f t="array" ref="J59">MAX(IF($N$3:$DU$3=$J$3,N59:DU59))</f>
        <v>0</v>
      </c>
      <c r="K59" s="11" cm="1">
        <f t="array" ref="K59">MAX(IF($N$3:$DU$3=$J$3,N59:DU59))</f>
        <v>0</v>
      </c>
      <c r="L59" s="9"/>
      <c r="P59" s="10"/>
      <c r="Q59" s="10"/>
      <c r="R59" s="10"/>
      <c r="S59" s="10"/>
      <c r="W59" s="10"/>
      <c r="X59" s="10"/>
      <c r="Y59" s="10"/>
      <c r="Z59" s="10"/>
      <c r="AD59" s="10"/>
      <c r="AE59" s="10"/>
      <c r="AF59" s="10"/>
      <c r="AG59" s="10"/>
      <c r="AK59" s="10"/>
      <c r="AL59" s="10"/>
      <c r="AM59" s="10"/>
      <c r="AN59" s="10"/>
      <c r="AR59" s="10"/>
      <c r="AS59" s="10"/>
      <c r="AT59" s="10"/>
      <c r="AU59" s="10"/>
      <c r="AY59" s="10"/>
      <c r="AZ59" s="10"/>
      <c r="BA59" s="10"/>
      <c r="BB59" s="10"/>
      <c r="BF59" s="10"/>
      <c r="BG59" s="10"/>
      <c r="BH59" s="10"/>
      <c r="BI59" s="10"/>
      <c r="BM59" s="10"/>
      <c r="BN59" s="10">
        <v>0.5</v>
      </c>
      <c r="BO59" s="10"/>
      <c r="BP59" s="10"/>
      <c r="BT59" s="10"/>
      <c r="BU59" s="10">
        <v>1</v>
      </c>
      <c r="BV59" s="10"/>
      <c r="BW59" s="10"/>
      <c r="CA59" s="10"/>
      <c r="CB59" s="10">
        <v>1</v>
      </c>
      <c r="CC59" s="10"/>
      <c r="CD59" s="10"/>
      <c r="CH59" s="10"/>
      <c r="CI59" s="10"/>
      <c r="CJ59" s="10"/>
      <c r="CK59" s="10"/>
      <c r="CO59" s="10"/>
      <c r="CP59" s="10"/>
      <c r="CQ59" s="10"/>
      <c r="CR59" s="10"/>
      <c r="CV59" s="10"/>
      <c r="CW59" s="10"/>
      <c r="CX59" s="10"/>
      <c r="CY59" s="10"/>
      <c r="DC59" s="10"/>
      <c r="DD59" s="10"/>
      <c r="DE59" s="10"/>
      <c r="DF59" s="10"/>
      <c r="DJ59" s="10"/>
      <c r="DK59" s="10"/>
      <c r="DL59" s="10"/>
      <c r="DM59" s="10"/>
      <c r="DQ59" s="10"/>
      <c r="DR59" s="10"/>
      <c r="DS59" s="10"/>
      <c r="DT59" s="10"/>
      <c r="DX59" s="10"/>
      <c r="DY59" s="10"/>
      <c r="DZ59" s="10"/>
      <c r="EA59" s="10"/>
      <c r="EE59" s="10"/>
      <c r="EF59" s="10"/>
      <c r="EG59" s="10"/>
      <c r="EH59" s="10"/>
      <c r="EL59" s="10"/>
      <c r="EM59" s="10"/>
      <c r="EN59" s="10"/>
      <c r="EO59" s="10"/>
    </row>
    <row r="60" spans="2:145" outlineLevel="1">
      <c r="B60" t="s">
        <v>28</v>
      </c>
      <c r="C60" t="s">
        <v>99</v>
      </c>
      <c r="E60" s="9"/>
      <c r="F60" t="s">
        <v>219</v>
      </c>
      <c r="G60" s="10">
        <v>0.1</v>
      </c>
      <c r="I60" s="9">
        <f t="shared" si="2"/>
        <v>0</v>
      </c>
      <c r="J60" s="11" cm="1">
        <f t="array" ref="J60">MAX(IF($N$3:$DU$3=$J$3,N60:DU60))</f>
        <v>0</v>
      </c>
      <c r="K60" s="11" cm="1">
        <f t="array" ref="K60">MAX(IF($N$3:$DU$3=$J$3,N60:DU60))</f>
        <v>0</v>
      </c>
      <c r="L60" s="9"/>
      <c r="P60" s="10"/>
      <c r="Q60" s="10"/>
      <c r="R60" s="10"/>
      <c r="S60" s="10"/>
      <c r="W60" s="10"/>
      <c r="X60" s="10"/>
      <c r="Y60" s="10"/>
      <c r="Z60" s="10"/>
      <c r="AD60" s="10"/>
      <c r="AE60" s="10"/>
      <c r="AF60" s="10"/>
      <c r="AG60" s="10"/>
      <c r="AK60" s="10"/>
      <c r="AL60" s="10"/>
      <c r="AM60" s="10"/>
      <c r="AN60" s="10"/>
      <c r="AR60" s="10"/>
      <c r="AS60" s="10"/>
      <c r="AT60" s="10"/>
      <c r="AU60" s="10"/>
      <c r="AY60" s="10"/>
      <c r="AZ60" s="10"/>
      <c r="BA60" s="10"/>
      <c r="BB60" s="10"/>
      <c r="BF60" s="10"/>
      <c r="BG60" s="10"/>
      <c r="BH60" s="10"/>
      <c r="BI60" s="10"/>
      <c r="BM60" s="10"/>
      <c r="BN60" s="10">
        <v>0.5</v>
      </c>
      <c r="BO60" s="10"/>
      <c r="BP60" s="10"/>
      <c r="BT60" s="10"/>
      <c r="BU60" s="10">
        <v>0.8</v>
      </c>
      <c r="BV60" s="10"/>
      <c r="BW60" s="10"/>
      <c r="CA60" s="10"/>
      <c r="CB60" s="10">
        <v>1</v>
      </c>
      <c r="CC60" s="10"/>
      <c r="CD60" s="10"/>
      <c r="CH60" s="10"/>
      <c r="CI60" s="10"/>
      <c r="CJ60" s="10"/>
      <c r="CK60" s="10"/>
      <c r="CO60" s="10"/>
      <c r="CP60" s="10"/>
      <c r="CQ60" s="10"/>
      <c r="CR60" s="10"/>
      <c r="CV60" s="10"/>
      <c r="CW60" s="10"/>
      <c r="CX60" s="10"/>
      <c r="CY60" s="10"/>
      <c r="DC60" s="10"/>
      <c r="DD60" s="10"/>
      <c r="DE60" s="10"/>
      <c r="DF60" s="10"/>
      <c r="DJ60" s="10"/>
      <c r="DK60" s="10"/>
      <c r="DL60" s="10"/>
      <c r="DM60" s="10"/>
      <c r="DQ60" s="10"/>
      <c r="DR60" s="10"/>
      <c r="DS60" s="10"/>
      <c r="DT60" s="10"/>
      <c r="DX60" s="10"/>
      <c r="DY60" s="10"/>
      <c r="DZ60" s="10"/>
      <c r="EA60" s="10"/>
      <c r="EE60" s="10"/>
      <c r="EF60" s="10"/>
      <c r="EG60" s="10"/>
      <c r="EH60" s="10"/>
      <c r="EL60" s="10"/>
      <c r="EM60" s="10"/>
      <c r="EN60" s="10"/>
      <c r="EO60" s="10"/>
    </row>
    <row r="61" spans="2:145" outlineLevel="1">
      <c r="B61" t="s">
        <v>28</v>
      </c>
      <c r="C61" t="s">
        <v>99</v>
      </c>
      <c r="E61" s="9"/>
      <c r="F61" t="s">
        <v>220</v>
      </c>
      <c r="G61" s="10">
        <v>0.1</v>
      </c>
      <c r="I61" s="9">
        <f t="shared" si="2"/>
        <v>0</v>
      </c>
      <c r="J61" s="11" cm="1">
        <f t="array" ref="J61">MAX(IF($N$3:$DU$3=$J$3,N61:DU61))</f>
        <v>0</v>
      </c>
      <c r="K61" s="11" cm="1">
        <f t="array" ref="K61">MAX(IF($N$3:$DU$3=$J$3,N61:DU61))</f>
        <v>0</v>
      </c>
      <c r="L61" s="9"/>
      <c r="P61" s="10"/>
      <c r="Q61" s="10"/>
      <c r="R61" s="10"/>
      <c r="S61" s="10"/>
      <c r="W61" s="10"/>
      <c r="X61" s="10"/>
      <c r="Y61" s="10"/>
      <c r="Z61" s="10"/>
      <c r="AD61" s="10"/>
      <c r="AE61" s="10"/>
      <c r="AF61" s="10"/>
      <c r="AG61" s="10"/>
      <c r="AK61" s="10"/>
      <c r="AL61" s="10"/>
      <c r="AM61" s="10"/>
      <c r="AN61" s="10"/>
      <c r="AR61" s="10"/>
      <c r="AS61" s="10"/>
      <c r="AT61" s="10"/>
      <c r="AU61" s="10"/>
      <c r="AY61" s="10"/>
      <c r="AZ61" s="10"/>
      <c r="BA61" s="10"/>
      <c r="BB61" s="10"/>
      <c r="BF61" s="10"/>
      <c r="BG61" s="10"/>
      <c r="BH61" s="10"/>
      <c r="BI61" s="10"/>
      <c r="BM61" s="10"/>
      <c r="BN61" s="10">
        <v>0.5</v>
      </c>
      <c r="BO61" s="10"/>
      <c r="BP61" s="10"/>
      <c r="BT61" s="10"/>
      <c r="BU61" s="10">
        <v>0.8</v>
      </c>
      <c r="BV61" s="10"/>
      <c r="BW61" s="10"/>
      <c r="CA61" s="10"/>
      <c r="CB61" s="10">
        <v>1</v>
      </c>
      <c r="CC61" s="10"/>
      <c r="CD61" s="10"/>
      <c r="CH61" s="10"/>
      <c r="CI61" s="10"/>
      <c r="CJ61" s="10"/>
      <c r="CK61" s="10"/>
      <c r="CO61" s="10"/>
      <c r="CP61" s="10"/>
      <c r="CQ61" s="10"/>
      <c r="CR61" s="10"/>
      <c r="CV61" s="10"/>
      <c r="CW61" s="10"/>
      <c r="CX61" s="10"/>
      <c r="CY61" s="10"/>
      <c r="DC61" s="10"/>
      <c r="DD61" s="10"/>
      <c r="DE61" s="10"/>
      <c r="DF61" s="10"/>
      <c r="DJ61" s="10"/>
      <c r="DK61" s="10"/>
      <c r="DL61" s="10"/>
      <c r="DM61" s="10"/>
      <c r="DQ61" s="10"/>
      <c r="DR61" s="10"/>
      <c r="DS61" s="10"/>
      <c r="DT61" s="10"/>
      <c r="DX61" s="10"/>
      <c r="DY61" s="10"/>
      <c r="DZ61" s="10"/>
      <c r="EA61" s="10"/>
      <c r="EE61" s="10"/>
      <c r="EF61" s="10"/>
      <c r="EG61" s="10"/>
      <c r="EH61" s="10"/>
      <c r="EL61" s="10"/>
      <c r="EM61" s="10"/>
      <c r="EN61" s="10"/>
      <c r="EO61" s="10"/>
    </row>
    <row r="62" spans="2:145" outlineLevel="1">
      <c r="B62" t="s">
        <v>28</v>
      </c>
      <c r="C62" t="s">
        <v>99</v>
      </c>
      <c r="E62" s="9"/>
      <c r="F62" t="s">
        <v>217</v>
      </c>
      <c r="G62" s="10">
        <v>0.1</v>
      </c>
      <c r="I62" s="9">
        <f t="shared" si="2"/>
        <v>0</v>
      </c>
      <c r="J62" s="11" cm="1">
        <f t="array" ref="J62">MAX(IF($N$3:$DU$3=$J$3,N62:DU62))</f>
        <v>0</v>
      </c>
      <c r="K62" s="11" cm="1">
        <f t="array" ref="K62">MAX(IF($N$3:$DU$3=$J$3,N62:DU62))</f>
        <v>0</v>
      </c>
      <c r="L62" s="9"/>
      <c r="P62" s="10"/>
      <c r="Q62" s="10"/>
      <c r="R62" s="10"/>
      <c r="S62" s="10"/>
      <c r="W62" s="10"/>
      <c r="X62" s="10"/>
      <c r="Y62" s="10"/>
      <c r="Z62" s="10"/>
      <c r="AD62" s="10"/>
      <c r="AE62" s="10"/>
      <c r="AF62" s="10"/>
      <c r="AG62" s="10"/>
      <c r="AK62" s="10"/>
      <c r="AL62" s="10"/>
      <c r="AM62" s="10"/>
      <c r="AN62" s="10"/>
      <c r="AR62" s="10"/>
      <c r="AS62" s="10"/>
      <c r="AT62" s="10"/>
      <c r="AU62" s="10"/>
      <c r="AY62" s="10"/>
      <c r="AZ62" s="10"/>
      <c r="BA62" s="10"/>
      <c r="BB62" s="10"/>
      <c r="BF62" s="10"/>
      <c r="BG62" s="10"/>
      <c r="BH62" s="10"/>
      <c r="BI62" s="10"/>
      <c r="BM62" s="10"/>
      <c r="BN62" s="10"/>
      <c r="BO62" s="10"/>
      <c r="BP62" s="10"/>
      <c r="BT62" s="10"/>
      <c r="BU62" s="10">
        <v>0.5</v>
      </c>
      <c r="BV62" s="10"/>
      <c r="BW62" s="10"/>
      <c r="CA62" s="10"/>
      <c r="CB62" s="10">
        <v>1</v>
      </c>
      <c r="CC62" s="10"/>
      <c r="CD62" s="10"/>
      <c r="CH62" s="10"/>
      <c r="CI62" s="10"/>
      <c r="CJ62" s="10"/>
      <c r="CK62" s="10"/>
      <c r="CO62" s="10"/>
      <c r="CP62" s="10"/>
      <c r="CQ62" s="10"/>
      <c r="CR62" s="10"/>
      <c r="CV62" s="10"/>
      <c r="CW62" s="10"/>
      <c r="CX62" s="10"/>
      <c r="CY62" s="10"/>
      <c r="DC62" s="10"/>
      <c r="DD62" s="10"/>
      <c r="DE62" s="10"/>
      <c r="DF62" s="10"/>
      <c r="DJ62" s="10"/>
      <c r="DK62" s="10"/>
      <c r="DL62" s="10"/>
      <c r="DM62" s="10"/>
      <c r="DQ62" s="10"/>
      <c r="DR62" s="10"/>
      <c r="DS62" s="10"/>
      <c r="DT62" s="10"/>
      <c r="DX62" s="10"/>
      <c r="DY62" s="10"/>
      <c r="DZ62" s="10"/>
      <c r="EA62" s="10"/>
      <c r="EE62" s="10"/>
      <c r="EF62" s="10"/>
      <c r="EG62" s="10"/>
      <c r="EH62" s="10"/>
      <c r="EL62" s="10"/>
      <c r="EM62" s="10"/>
      <c r="EN62" s="10"/>
      <c r="EO62" s="10"/>
    </row>
    <row r="63" spans="2:145" outlineLevel="1">
      <c r="B63" t="s">
        <v>28</v>
      </c>
      <c r="C63" t="s">
        <v>99</v>
      </c>
      <c r="E63" s="9"/>
      <c r="F63" t="s">
        <v>222</v>
      </c>
      <c r="G63" s="10">
        <v>0.1</v>
      </c>
      <c r="I63" s="9">
        <f t="shared" si="2"/>
        <v>0</v>
      </c>
      <c r="J63" s="11" cm="1">
        <f t="array" ref="J63">MAX(IF($N$3:$DU$3=$J$3,N63:DU63))</f>
        <v>0</v>
      </c>
      <c r="K63" s="11" cm="1">
        <f t="array" ref="K63">MAX(IF($N$3:$DU$3=$J$3,N63:DU63))</f>
        <v>0</v>
      </c>
      <c r="L63" s="9"/>
      <c r="P63" s="10"/>
      <c r="Q63" s="10"/>
      <c r="R63" s="10"/>
      <c r="S63" s="10"/>
      <c r="W63" s="10"/>
      <c r="X63" s="10"/>
      <c r="Y63" s="10"/>
      <c r="Z63" s="10"/>
      <c r="AD63" s="10"/>
      <c r="AE63" s="10"/>
      <c r="AF63" s="10"/>
      <c r="AG63" s="10"/>
      <c r="AK63" s="10"/>
      <c r="AL63" s="10"/>
      <c r="AM63" s="10"/>
      <c r="AN63" s="10"/>
      <c r="AR63" s="10"/>
      <c r="AS63" s="10"/>
      <c r="AT63" s="10"/>
      <c r="AU63" s="10"/>
      <c r="AY63" s="10"/>
      <c r="AZ63" s="10"/>
      <c r="BA63" s="10"/>
      <c r="BB63" s="10"/>
      <c r="BF63" s="10"/>
      <c r="BG63" s="10"/>
      <c r="BH63" s="10"/>
      <c r="BI63" s="10"/>
      <c r="BM63" s="10"/>
      <c r="BN63" s="10"/>
      <c r="BO63" s="10"/>
      <c r="BP63" s="10"/>
      <c r="BT63" s="10"/>
      <c r="BU63" s="10">
        <v>0.5</v>
      </c>
      <c r="BV63" s="10"/>
      <c r="BW63" s="10"/>
      <c r="CA63" s="10"/>
      <c r="CB63" s="10">
        <v>1</v>
      </c>
      <c r="CC63" s="10"/>
      <c r="CD63" s="10"/>
      <c r="CH63" s="10"/>
      <c r="CI63" s="10"/>
      <c r="CJ63" s="10"/>
      <c r="CK63" s="10"/>
      <c r="CO63" s="10"/>
      <c r="CP63" s="10"/>
      <c r="CQ63" s="10"/>
      <c r="CR63" s="10"/>
      <c r="CV63" s="10"/>
      <c r="CW63" s="10"/>
      <c r="CX63" s="10"/>
      <c r="CY63" s="10"/>
      <c r="DC63" s="10"/>
      <c r="DD63" s="10"/>
      <c r="DE63" s="10"/>
      <c r="DF63" s="10"/>
      <c r="DJ63" s="10"/>
      <c r="DK63" s="10"/>
      <c r="DL63" s="10"/>
      <c r="DM63" s="10"/>
      <c r="DQ63" s="10"/>
      <c r="DR63" s="10"/>
      <c r="DS63" s="10"/>
      <c r="DT63" s="10"/>
      <c r="DX63" s="10"/>
      <c r="DY63" s="10"/>
      <c r="DZ63" s="10"/>
      <c r="EA63" s="10"/>
      <c r="EE63" s="10"/>
      <c r="EF63" s="10"/>
      <c r="EG63" s="10"/>
      <c r="EH63" s="10"/>
      <c r="EL63" s="10"/>
      <c r="EM63" s="10"/>
      <c r="EN63" s="10"/>
      <c r="EO63" s="10"/>
    </row>
    <row r="64" spans="2:145" outlineLevel="1">
      <c r="B64" t="s">
        <v>28</v>
      </c>
      <c r="C64" t="s">
        <v>99</v>
      </c>
      <c r="E64" s="9"/>
      <c r="F64" t="s">
        <v>221</v>
      </c>
      <c r="G64" s="10">
        <v>0.1</v>
      </c>
      <c r="I64" s="9">
        <f t="shared" si="2"/>
        <v>0</v>
      </c>
      <c r="J64" s="11" cm="1">
        <f t="array" ref="J64">MAX(IF($N$3:$DU$3=$J$3,N64:DU64))</f>
        <v>0</v>
      </c>
      <c r="K64" s="11" cm="1">
        <f t="array" ref="K64">MAX(IF($N$3:$DU$3=$J$3,N64:DU64))</f>
        <v>0</v>
      </c>
      <c r="L64" s="9"/>
      <c r="P64" s="10"/>
      <c r="Q64" s="10"/>
      <c r="R64" s="10"/>
      <c r="S64" s="10"/>
      <c r="W64" s="10"/>
      <c r="X64" s="10"/>
      <c r="Y64" s="10"/>
      <c r="Z64" s="10"/>
      <c r="AD64" s="10"/>
      <c r="AE64" s="10"/>
      <c r="AF64" s="10"/>
      <c r="AG64" s="10"/>
      <c r="AK64" s="10"/>
      <c r="AL64" s="10"/>
      <c r="AM64" s="10"/>
      <c r="AN64" s="10"/>
      <c r="AR64" s="10"/>
      <c r="AS64" s="10"/>
      <c r="AT64" s="10"/>
      <c r="AU64" s="10"/>
      <c r="AY64" s="10"/>
      <c r="AZ64" s="10"/>
      <c r="BA64" s="10"/>
      <c r="BB64" s="10"/>
      <c r="BF64" s="10"/>
      <c r="BG64" s="10"/>
      <c r="BH64" s="10"/>
      <c r="BI64" s="10"/>
      <c r="BM64" s="10"/>
      <c r="BN64" s="10"/>
      <c r="BO64" s="10"/>
      <c r="BP64" s="10"/>
      <c r="BT64" s="10"/>
      <c r="BU64" s="10"/>
      <c r="BV64" s="10"/>
      <c r="BW64" s="10"/>
      <c r="CA64" s="10"/>
      <c r="CB64" s="10">
        <v>1</v>
      </c>
      <c r="CC64" s="10"/>
      <c r="CD64" s="10"/>
      <c r="CH64" s="10"/>
      <c r="CI64" s="10"/>
      <c r="CJ64" s="10"/>
      <c r="CK64" s="10"/>
      <c r="CO64" s="10"/>
      <c r="CP64" s="10"/>
      <c r="CQ64" s="10"/>
      <c r="CR64" s="10"/>
      <c r="CV64" s="10"/>
      <c r="CW64" s="10"/>
      <c r="CX64" s="10"/>
      <c r="CY64" s="10"/>
      <c r="DC64" s="10"/>
      <c r="DD64" s="10"/>
      <c r="DE64" s="10"/>
      <c r="DF64" s="10"/>
      <c r="DJ64" s="10"/>
      <c r="DK64" s="10"/>
      <c r="DL64" s="10"/>
      <c r="DM64" s="10"/>
      <c r="DQ64" s="10"/>
      <c r="DR64" s="10"/>
      <c r="DS64" s="10"/>
      <c r="DT64" s="10"/>
      <c r="DX64" s="10"/>
      <c r="DY64" s="10"/>
      <c r="DZ64" s="10"/>
      <c r="EA64" s="10"/>
      <c r="EE64" s="10"/>
      <c r="EF64" s="10"/>
      <c r="EG64" s="10"/>
      <c r="EH64" s="10"/>
      <c r="EL64" s="10"/>
      <c r="EM64" s="10"/>
      <c r="EN64" s="10"/>
      <c r="EO64" s="10"/>
    </row>
    <row r="66" spans="2:145">
      <c r="B66" t="s">
        <v>27</v>
      </c>
      <c r="C66" t="s">
        <v>122</v>
      </c>
      <c r="D66" s="19">
        <v>45242</v>
      </c>
      <c r="E66" s="9">
        <v>3</v>
      </c>
      <c r="G66" s="10">
        <f>+SUM(G67:G76)</f>
        <v>0.99999999999999989</v>
      </c>
      <c r="I66" s="12">
        <f>+SUM(I67:I76)</f>
        <v>0</v>
      </c>
      <c r="J66" s="11">
        <f>+SUMPRODUCT(G67:G76,J67:J76)</f>
        <v>0</v>
      </c>
      <c r="K66" s="11">
        <f>+SUMPRODUCT(G67:G76,K67:K76)</f>
        <v>0</v>
      </c>
      <c r="L66" s="9"/>
      <c r="O66" s="12"/>
      <c r="V66" s="12"/>
      <c r="AC66" s="12"/>
    </row>
    <row r="67" spans="2:145" outlineLevel="1">
      <c r="B67" t="s">
        <v>28</v>
      </c>
      <c r="C67" t="s">
        <v>122</v>
      </c>
      <c r="E67" s="9"/>
      <c r="F67" t="s">
        <v>214</v>
      </c>
      <c r="G67" s="21">
        <v>0.1</v>
      </c>
      <c r="I67" s="9">
        <f t="shared" ref="I67:I76" si="3">+SUMIF($N$3:$ZM$3,I$3,$N67:$ZM67)</f>
        <v>0</v>
      </c>
      <c r="J67" s="11" cm="1">
        <f t="array" ref="J67">MAX(IF($N$3:$DU$3=$J$3,N67:DU67))</f>
        <v>0</v>
      </c>
      <c r="K67" s="11" cm="1">
        <f t="array" ref="K67">MAX(IF($N$3:$DU$3=$J$3,N67:DU67))</f>
        <v>0</v>
      </c>
      <c r="L67" s="9"/>
      <c r="P67" s="10"/>
      <c r="Q67" s="10"/>
      <c r="R67" s="10"/>
      <c r="S67" s="10"/>
      <c r="W67" s="10"/>
      <c r="X67" s="10"/>
      <c r="Y67" s="10"/>
      <c r="Z67" s="10">
        <v>0.8</v>
      </c>
      <c r="AD67" s="10"/>
      <c r="AE67" s="10">
        <v>1</v>
      </c>
      <c r="AF67" s="10"/>
      <c r="AG67" s="10"/>
      <c r="AK67" s="10"/>
      <c r="AL67" s="10">
        <v>1</v>
      </c>
      <c r="AM67" s="10"/>
      <c r="AN67" s="10"/>
      <c r="AR67" s="10"/>
      <c r="AS67" s="10">
        <v>1</v>
      </c>
      <c r="AT67" s="10"/>
      <c r="AU67" s="10"/>
      <c r="AY67" s="10"/>
      <c r="AZ67" s="10">
        <v>1</v>
      </c>
      <c r="BA67" s="10"/>
      <c r="BB67" s="10"/>
      <c r="BF67" s="10"/>
      <c r="BG67" s="10"/>
      <c r="BH67" s="10"/>
      <c r="BI67" s="10"/>
      <c r="BM67" s="10"/>
      <c r="BN67" s="10"/>
      <c r="BO67" s="10"/>
      <c r="BP67" s="10"/>
      <c r="BT67" s="10"/>
      <c r="BU67" s="10"/>
      <c r="BV67" s="10"/>
      <c r="BW67" s="10"/>
      <c r="CA67" s="10"/>
      <c r="CB67" s="10"/>
      <c r="CC67" s="10"/>
      <c r="CD67" s="10"/>
      <c r="CH67" s="10"/>
      <c r="CI67" s="10"/>
      <c r="CJ67" s="10"/>
      <c r="CK67" s="10"/>
      <c r="CO67" s="10"/>
      <c r="CP67" s="10"/>
      <c r="CQ67" s="10"/>
      <c r="CR67" s="10"/>
      <c r="CV67" s="10"/>
      <c r="CW67" s="10"/>
      <c r="CX67" s="10"/>
      <c r="CY67" s="10"/>
      <c r="DC67" s="10"/>
      <c r="DD67" s="10"/>
      <c r="DE67" s="10"/>
      <c r="DF67" s="10"/>
      <c r="DJ67" s="10"/>
      <c r="DK67" s="10"/>
      <c r="DL67" s="10"/>
      <c r="DM67" s="10"/>
      <c r="DQ67" s="10"/>
      <c r="DR67" s="10"/>
      <c r="DS67" s="10"/>
      <c r="DT67" s="10"/>
      <c r="DX67" s="10"/>
      <c r="DY67" s="10"/>
      <c r="DZ67" s="10"/>
      <c r="EA67" s="10"/>
      <c r="EE67" s="10"/>
      <c r="EF67" s="10"/>
      <c r="EG67" s="10"/>
      <c r="EH67" s="10"/>
      <c r="EL67" s="10"/>
      <c r="EM67" s="10"/>
      <c r="EN67" s="10"/>
      <c r="EO67" s="10"/>
    </row>
    <row r="68" spans="2:145" outlineLevel="1">
      <c r="B68" t="s">
        <v>28</v>
      </c>
      <c r="C68" t="s">
        <v>122</v>
      </c>
      <c r="E68" s="9"/>
      <c r="F68" t="s">
        <v>223</v>
      </c>
      <c r="G68" s="21">
        <v>0.1</v>
      </c>
      <c r="I68" s="9">
        <f t="shared" si="3"/>
        <v>0</v>
      </c>
      <c r="J68" s="11" cm="1">
        <f t="array" ref="J68">MAX(IF($N$3:$DU$3=$J$3,N68:DU68))</f>
        <v>0</v>
      </c>
      <c r="K68" s="11" cm="1">
        <f t="array" ref="K68">MAX(IF($N$3:$DU$3=$J$3,N68:DU68))</f>
        <v>0</v>
      </c>
      <c r="L68" s="9"/>
      <c r="P68" s="10"/>
      <c r="Q68" s="10"/>
      <c r="R68" s="10"/>
      <c r="S68" s="10"/>
      <c r="W68" s="10"/>
      <c r="X68" s="10"/>
      <c r="Y68" s="10"/>
      <c r="Z68" s="10">
        <v>0.5</v>
      </c>
      <c r="AD68" s="10"/>
      <c r="AE68" s="10">
        <v>0.8</v>
      </c>
      <c r="AF68" s="10"/>
      <c r="AG68" s="10"/>
      <c r="AK68" s="10"/>
      <c r="AL68" s="10">
        <v>1</v>
      </c>
      <c r="AM68" s="10"/>
      <c r="AN68" s="10"/>
      <c r="AR68" s="10"/>
      <c r="AS68" s="10">
        <v>1</v>
      </c>
      <c r="AT68" s="10"/>
      <c r="AU68" s="10"/>
      <c r="AY68" s="10"/>
      <c r="AZ68" s="10">
        <v>1</v>
      </c>
      <c r="BA68" s="10"/>
      <c r="BB68" s="10"/>
      <c r="BF68" s="10"/>
      <c r="BG68" s="10"/>
      <c r="BH68" s="10"/>
      <c r="BI68" s="10"/>
      <c r="BM68" s="10"/>
      <c r="BN68" s="10"/>
      <c r="BO68" s="10"/>
      <c r="BP68" s="10"/>
      <c r="BT68" s="10"/>
      <c r="BU68" s="10"/>
      <c r="BV68" s="10"/>
      <c r="BW68" s="10"/>
      <c r="CA68" s="10"/>
      <c r="CB68" s="10"/>
      <c r="CC68" s="10"/>
      <c r="CD68" s="10"/>
      <c r="CH68" s="10"/>
      <c r="CI68" s="10"/>
      <c r="CJ68" s="10"/>
      <c r="CK68" s="10"/>
      <c r="CO68" s="10"/>
      <c r="CP68" s="10"/>
      <c r="CQ68" s="10"/>
      <c r="CR68" s="10"/>
      <c r="CV68" s="10"/>
      <c r="CW68" s="10"/>
      <c r="CX68" s="10"/>
      <c r="CY68" s="10"/>
      <c r="DC68" s="10"/>
      <c r="DD68" s="10"/>
      <c r="DE68" s="10"/>
      <c r="DF68" s="10"/>
      <c r="DJ68" s="10"/>
      <c r="DK68" s="10"/>
      <c r="DL68" s="10"/>
      <c r="DM68" s="10"/>
      <c r="DQ68" s="10"/>
      <c r="DR68" s="10"/>
      <c r="DS68" s="10"/>
      <c r="DT68" s="10"/>
      <c r="DX68" s="10"/>
      <c r="DY68" s="10"/>
      <c r="DZ68" s="10"/>
      <c r="EA68" s="10"/>
      <c r="EE68" s="10"/>
      <c r="EF68" s="10"/>
      <c r="EG68" s="10"/>
      <c r="EH68" s="10"/>
      <c r="EL68" s="10"/>
      <c r="EM68" s="10"/>
      <c r="EN68" s="10"/>
      <c r="EO68" s="10"/>
    </row>
    <row r="69" spans="2:145" outlineLevel="1">
      <c r="B69" t="s">
        <v>28</v>
      </c>
      <c r="C69" t="s">
        <v>122</v>
      </c>
      <c r="E69" s="9"/>
      <c r="F69" t="s">
        <v>215</v>
      </c>
      <c r="G69" s="21">
        <v>0.1</v>
      </c>
      <c r="I69" s="9">
        <f t="shared" si="3"/>
        <v>0</v>
      </c>
      <c r="J69" s="11" cm="1">
        <f t="array" ref="J69">MAX(IF($N$3:$DU$3=$J$3,N69:DU69))</f>
        <v>0</v>
      </c>
      <c r="K69" s="11" cm="1">
        <f t="array" ref="K69">MAX(IF($N$3:$DU$3=$J$3,N69:DU69))</f>
        <v>0</v>
      </c>
      <c r="L69" s="9"/>
      <c r="P69" s="10"/>
      <c r="Q69" s="10"/>
      <c r="R69" s="10"/>
      <c r="S69" s="10"/>
      <c r="W69" s="10"/>
      <c r="X69" s="10"/>
      <c r="Y69" s="10"/>
      <c r="Z69" s="10">
        <v>0.5</v>
      </c>
      <c r="AD69" s="10"/>
      <c r="AE69" s="10">
        <v>0.8</v>
      </c>
      <c r="AF69" s="10"/>
      <c r="AG69" s="10"/>
      <c r="AK69" s="10"/>
      <c r="AL69" s="10">
        <v>1</v>
      </c>
      <c r="AM69" s="10"/>
      <c r="AN69" s="10"/>
      <c r="AR69" s="10"/>
      <c r="AS69" s="10">
        <v>1</v>
      </c>
      <c r="AT69" s="10"/>
      <c r="AU69" s="10"/>
      <c r="AY69" s="10"/>
      <c r="AZ69" s="10">
        <v>1</v>
      </c>
      <c r="BA69" s="10"/>
      <c r="BB69" s="10"/>
      <c r="BF69" s="10"/>
      <c r="BG69" s="10"/>
      <c r="BH69" s="10"/>
      <c r="BI69" s="10"/>
      <c r="BM69" s="10"/>
      <c r="BN69" s="10"/>
      <c r="BO69" s="10"/>
      <c r="BP69" s="10"/>
      <c r="BT69" s="10"/>
      <c r="BU69" s="10"/>
      <c r="BV69" s="10"/>
      <c r="BW69" s="10"/>
      <c r="CA69" s="10"/>
      <c r="CB69" s="10"/>
      <c r="CC69" s="10"/>
      <c r="CD69" s="10"/>
      <c r="CH69" s="10"/>
      <c r="CI69" s="10"/>
      <c r="CJ69" s="10"/>
      <c r="CK69" s="10"/>
      <c r="CO69" s="10"/>
      <c r="CP69" s="10"/>
      <c r="CQ69" s="10"/>
      <c r="CR69" s="10"/>
      <c r="CV69" s="10"/>
      <c r="CW69" s="10"/>
      <c r="CX69" s="10"/>
      <c r="CY69" s="10"/>
      <c r="DC69" s="10"/>
      <c r="DD69" s="10"/>
      <c r="DE69" s="10"/>
      <c r="DF69" s="10"/>
      <c r="DJ69" s="10"/>
      <c r="DK69" s="10"/>
      <c r="DL69" s="10"/>
      <c r="DM69" s="10"/>
      <c r="DQ69" s="10"/>
      <c r="DR69" s="10"/>
      <c r="DS69" s="10"/>
      <c r="DT69" s="10"/>
      <c r="DX69" s="10"/>
      <c r="DY69" s="10"/>
      <c r="DZ69" s="10"/>
      <c r="EA69" s="10"/>
      <c r="EE69" s="10"/>
      <c r="EF69" s="10"/>
      <c r="EG69" s="10"/>
      <c r="EH69" s="10"/>
      <c r="EL69" s="10"/>
      <c r="EM69" s="10"/>
      <c r="EN69" s="10"/>
      <c r="EO69" s="10"/>
    </row>
    <row r="70" spans="2:145" outlineLevel="1">
      <c r="B70" t="s">
        <v>28</v>
      </c>
      <c r="C70" t="s">
        <v>122</v>
      </c>
      <c r="E70" s="9"/>
      <c r="F70" t="s">
        <v>216</v>
      </c>
      <c r="G70" s="21">
        <v>0.1</v>
      </c>
      <c r="I70" s="9">
        <f t="shared" si="3"/>
        <v>0</v>
      </c>
      <c r="J70" s="11" cm="1">
        <f t="array" ref="J70">MAX(IF($N$3:$DU$3=$J$3,N70:DU70))</f>
        <v>0</v>
      </c>
      <c r="K70" s="11" cm="1">
        <f t="array" ref="K70">MAX(IF($N$3:$DU$3=$J$3,N70:DU70))</f>
        <v>0</v>
      </c>
      <c r="L70" s="9"/>
      <c r="P70" s="10"/>
      <c r="Q70" s="10"/>
      <c r="R70" s="10"/>
      <c r="S70" s="10"/>
      <c r="W70" s="10"/>
      <c r="X70" s="10"/>
      <c r="Y70" s="10"/>
      <c r="Z70" s="10"/>
      <c r="AD70" s="10"/>
      <c r="AE70" s="10">
        <v>0.5</v>
      </c>
      <c r="AF70" s="10"/>
      <c r="AG70" s="10"/>
      <c r="AK70" s="10"/>
      <c r="AL70" s="10">
        <v>0.8</v>
      </c>
      <c r="AM70" s="10"/>
      <c r="AN70" s="10"/>
      <c r="AR70" s="10"/>
      <c r="AS70" s="10">
        <v>1</v>
      </c>
      <c r="AT70" s="10"/>
      <c r="AU70" s="10"/>
      <c r="AY70" s="10"/>
      <c r="AZ70" s="10">
        <v>1</v>
      </c>
      <c r="BA70" s="10"/>
      <c r="BB70" s="10"/>
      <c r="BF70" s="10"/>
      <c r="BG70" s="10"/>
      <c r="BH70" s="10"/>
      <c r="BI70" s="10"/>
      <c r="BM70" s="10"/>
      <c r="BN70" s="10"/>
      <c r="BO70" s="10"/>
      <c r="BP70" s="10"/>
      <c r="BT70" s="10"/>
      <c r="BU70" s="10"/>
      <c r="BV70" s="10"/>
      <c r="BW70" s="10"/>
      <c r="CA70" s="10"/>
      <c r="CB70" s="10"/>
      <c r="CC70" s="10"/>
      <c r="CD70" s="10"/>
      <c r="CH70" s="10"/>
      <c r="CI70" s="10"/>
      <c r="CJ70" s="10"/>
      <c r="CK70" s="10"/>
      <c r="CO70" s="10"/>
      <c r="CP70" s="10"/>
      <c r="CQ70" s="10"/>
      <c r="CR70" s="10"/>
      <c r="CV70" s="10"/>
      <c r="CW70" s="10"/>
      <c r="CX70" s="10"/>
      <c r="CY70" s="10"/>
      <c r="DC70" s="10"/>
      <c r="DD70" s="10"/>
      <c r="DE70" s="10"/>
      <c r="DF70" s="10"/>
      <c r="DJ70" s="10"/>
      <c r="DK70" s="10"/>
      <c r="DL70" s="10"/>
      <c r="DM70" s="10"/>
      <c r="DQ70" s="10"/>
      <c r="DR70" s="10"/>
      <c r="DS70" s="10"/>
      <c r="DT70" s="10"/>
      <c r="DX70" s="10"/>
      <c r="DY70" s="10"/>
      <c r="DZ70" s="10"/>
      <c r="EA70" s="10"/>
      <c r="EE70" s="10"/>
      <c r="EF70" s="10"/>
      <c r="EG70" s="10"/>
      <c r="EH70" s="10"/>
      <c r="EL70" s="10"/>
      <c r="EM70" s="10"/>
      <c r="EN70" s="10"/>
      <c r="EO70" s="10"/>
    </row>
    <row r="71" spans="2:145" outlineLevel="1">
      <c r="B71" t="s">
        <v>28</v>
      </c>
      <c r="C71" t="s">
        <v>122</v>
      </c>
      <c r="E71" s="9"/>
      <c r="F71" t="s">
        <v>218</v>
      </c>
      <c r="G71" s="21">
        <v>0.1</v>
      </c>
      <c r="I71" s="9">
        <f t="shared" si="3"/>
        <v>0</v>
      </c>
      <c r="J71" s="11" cm="1">
        <f t="array" ref="J71">MAX(IF($N$3:$DU$3=$J$3,N71:DU71))</f>
        <v>0</v>
      </c>
      <c r="K71" s="11" cm="1">
        <f t="array" ref="K71">MAX(IF($N$3:$DU$3=$J$3,N71:DU71))</f>
        <v>0</v>
      </c>
      <c r="L71" s="9"/>
      <c r="P71" s="10"/>
      <c r="Q71" s="10"/>
      <c r="R71" s="10"/>
      <c r="S71" s="10"/>
      <c r="W71" s="10"/>
      <c r="X71" s="10"/>
      <c r="Y71" s="10"/>
      <c r="Z71" s="10"/>
      <c r="AD71" s="10"/>
      <c r="AE71" s="10">
        <v>0.5</v>
      </c>
      <c r="AF71" s="10"/>
      <c r="AG71" s="10"/>
      <c r="AK71" s="10"/>
      <c r="AL71" s="10">
        <v>0.8</v>
      </c>
      <c r="AM71" s="10"/>
      <c r="AN71" s="10"/>
      <c r="AR71" s="10"/>
      <c r="AS71" s="10">
        <v>1</v>
      </c>
      <c r="AT71" s="10"/>
      <c r="AU71" s="10"/>
      <c r="AY71" s="10"/>
      <c r="AZ71" s="10">
        <v>1</v>
      </c>
      <c r="BA71" s="10"/>
      <c r="BB71" s="10"/>
      <c r="BF71" s="10"/>
      <c r="BG71" s="10"/>
      <c r="BH71" s="10"/>
      <c r="BI71" s="10"/>
      <c r="BM71" s="10"/>
      <c r="BN71" s="10"/>
      <c r="BO71" s="10"/>
      <c r="BP71" s="10"/>
      <c r="BT71" s="10"/>
      <c r="BU71" s="10"/>
      <c r="BV71" s="10"/>
      <c r="BW71" s="10"/>
      <c r="CA71" s="10"/>
      <c r="CB71" s="10"/>
      <c r="CC71" s="10"/>
      <c r="CD71" s="10"/>
      <c r="CH71" s="10"/>
      <c r="CI71" s="10"/>
      <c r="CJ71" s="10"/>
      <c r="CK71" s="10"/>
      <c r="CO71" s="10"/>
      <c r="CP71" s="10"/>
      <c r="CQ71" s="10"/>
      <c r="CR71" s="10"/>
      <c r="CV71" s="10"/>
      <c r="CW71" s="10"/>
      <c r="CX71" s="10"/>
      <c r="CY71" s="10"/>
      <c r="DC71" s="10"/>
      <c r="DD71" s="10"/>
      <c r="DE71" s="10"/>
      <c r="DF71" s="10"/>
      <c r="DJ71" s="10"/>
      <c r="DK71" s="10"/>
      <c r="DL71" s="10"/>
      <c r="DM71" s="10"/>
      <c r="DQ71" s="10"/>
      <c r="DR71" s="10"/>
      <c r="DS71" s="10"/>
      <c r="DT71" s="10"/>
      <c r="DX71" s="10"/>
      <c r="DY71" s="10"/>
      <c r="DZ71" s="10"/>
      <c r="EA71" s="10"/>
      <c r="EE71" s="10"/>
      <c r="EF71" s="10"/>
      <c r="EG71" s="10"/>
      <c r="EH71" s="10"/>
      <c r="EL71" s="10"/>
      <c r="EM71" s="10"/>
      <c r="EN71" s="10"/>
      <c r="EO71" s="10"/>
    </row>
    <row r="72" spans="2:145" outlineLevel="1">
      <c r="B72" t="s">
        <v>28</v>
      </c>
      <c r="C72" t="s">
        <v>122</v>
      </c>
      <c r="E72" s="9"/>
      <c r="F72" t="s">
        <v>219</v>
      </c>
      <c r="G72" s="21">
        <v>0.1</v>
      </c>
      <c r="I72" s="9">
        <f t="shared" si="3"/>
        <v>0</v>
      </c>
      <c r="J72" s="11" cm="1">
        <f t="array" ref="J72">MAX(IF($N$3:$DU$3=$J$3,N72:DU72))</f>
        <v>0</v>
      </c>
      <c r="K72" s="11" cm="1">
        <f t="array" ref="K72">MAX(IF($N$3:$DU$3=$J$3,N72:DU72))</f>
        <v>0</v>
      </c>
      <c r="L72" s="9"/>
      <c r="P72" s="10"/>
      <c r="Q72" s="10"/>
      <c r="R72" s="10"/>
      <c r="S72" s="10"/>
      <c r="W72" s="10"/>
      <c r="X72" s="10"/>
      <c r="Y72" s="10"/>
      <c r="Z72" s="10"/>
      <c r="AD72" s="10"/>
      <c r="AE72" s="10">
        <v>0.5</v>
      </c>
      <c r="AF72" s="10"/>
      <c r="AG72" s="10"/>
      <c r="AK72" s="10"/>
      <c r="AL72" s="10">
        <v>0.8</v>
      </c>
      <c r="AM72" s="10"/>
      <c r="AN72" s="10"/>
      <c r="AR72" s="10"/>
      <c r="AS72" s="10">
        <v>1</v>
      </c>
      <c r="AT72" s="10"/>
      <c r="AU72" s="10"/>
      <c r="AY72" s="10"/>
      <c r="AZ72" s="10">
        <v>1</v>
      </c>
      <c r="BA72" s="10"/>
      <c r="BB72" s="10"/>
      <c r="BF72" s="10"/>
      <c r="BG72" s="10"/>
      <c r="BH72" s="10"/>
      <c r="BI72" s="10"/>
      <c r="BM72" s="10"/>
      <c r="BN72" s="10"/>
      <c r="BO72" s="10"/>
      <c r="BP72" s="10"/>
      <c r="BT72" s="10"/>
      <c r="BU72" s="10"/>
      <c r="BV72" s="10"/>
      <c r="BW72" s="10"/>
      <c r="CA72" s="10"/>
      <c r="CB72" s="10"/>
      <c r="CC72" s="10"/>
      <c r="CD72" s="10"/>
      <c r="CH72" s="10"/>
      <c r="CI72" s="10"/>
      <c r="CJ72" s="10"/>
      <c r="CK72" s="10"/>
      <c r="CO72" s="10"/>
      <c r="CP72" s="10"/>
      <c r="CQ72" s="10"/>
      <c r="CR72" s="10"/>
      <c r="CV72" s="10"/>
      <c r="CW72" s="10"/>
      <c r="CX72" s="10"/>
      <c r="CY72" s="10"/>
      <c r="DC72" s="10"/>
      <c r="DD72" s="10"/>
      <c r="DE72" s="10"/>
      <c r="DF72" s="10"/>
      <c r="DJ72" s="10"/>
      <c r="DK72" s="10"/>
      <c r="DL72" s="10"/>
      <c r="DM72" s="10"/>
      <c r="DQ72" s="10"/>
      <c r="DR72" s="10"/>
      <c r="DS72" s="10"/>
      <c r="DT72" s="10"/>
      <c r="DX72" s="10"/>
      <c r="DY72" s="10"/>
      <c r="DZ72" s="10"/>
      <c r="EA72" s="10"/>
      <c r="EE72" s="10"/>
      <c r="EF72" s="10"/>
      <c r="EG72" s="10"/>
      <c r="EH72" s="10"/>
      <c r="EL72" s="10"/>
      <c r="EM72" s="10"/>
      <c r="EN72" s="10"/>
      <c r="EO72" s="10"/>
    </row>
    <row r="73" spans="2:145" outlineLevel="1">
      <c r="B73" t="s">
        <v>28</v>
      </c>
      <c r="C73" t="s">
        <v>122</v>
      </c>
      <c r="E73" s="9"/>
      <c r="F73" t="s">
        <v>220</v>
      </c>
      <c r="G73" s="21">
        <v>0.1</v>
      </c>
      <c r="I73" s="9">
        <f t="shared" si="3"/>
        <v>0</v>
      </c>
      <c r="J73" s="11" cm="1">
        <f t="array" ref="J73">MAX(IF($N$3:$DU$3=$J$3,N73:DU73))</f>
        <v>0</v>
      </c>
      <c r="K73" s="11" cm="1">
        <f t="array" ref="K73">MAX(IF($N$3:$DU$3=$J$3,N73:DU73))</f>
        <v>0</v>
      </c>
      <c r="L73" s="9"/>
      <c r="P73" s="10"/>
      <c r="Q73" s="10"/>
      <c r="R73" s="10"/>
      <c r="S73" s="10"/>
      <c r="W73" s="10"/>
      <c r="X73" s="10"/>
      <c r="Y73" s="10"/>
      <c r="Z73" s="10"/>
      <c r="AD73" s="10"/>
      <c r="AE73" s="10"/>
      <c r="AF73" s="10"/>
      <c r="AG73" s="10"/>
      <c r="AK73" s="10"/>
      <c r="AL73" s="10">
        <v>0.5</v>
      </c>
      <c r="AM73" s="10"/>
      <c r="AN73" s="10"/>
      <c r="AR73" s="10"/>
      <c r="AS73" s="10">
        <v>0.8</v>
      </c>
      <c r="AT73" s="10"/>
      <c r="AU73" s="10"/>
      <c r="AY73" s="10"/>
      <c r="AZ73" s="10">
        <v>1</v>
      </c>
      <c r="BA73" s="10"/>
      <c r="BB73" s="10"/>
      <c r="BF73" s="10"/>
      <c r="BG73" s="10"/>
      <c r="BH73" s="10"/>
      <c r="BI73" s="10"/>
      <c r="BM73" s="10"/>
      <c r="BN73" s="10"/>
      <c r="BO73" s="10"/>
      <c r="BP73" s="10"/>
      <c r="BT73" s="10"/>
      <c r="BU73" s="10"/>
      <c r="BV73" s="10"/>
      <c r="BW73" s="10"/>
      <c r="CA73" s="10"/>
      <c r="CB73" s="10"/>
      <c r="CC73" s="10"/>
      <c r="CD73" s="10"/>
      <c r="CH73" s="10"/>
      <c r="CI73" s="10"/>
      <c r="CJ73" s="10"/>
      <c r="CK73" s="10"/>
      <c r="CO73" s="10"/>
      <c r="CP73" s="10"/>
      <c r="CQ73" s="10"/>
      <c r="CR73" s="10"/>
      <c r="CV73" s="10"/>
      <c r="CW73" s="10"/>
      <c r="CX73" s="10"/>
      <c r="CY73" s="10"/>
      <c r="DC73" s="10"/>
      <c r="DD73" s="10"/>
      <c r="DE73" s="10"/>
      <c r="DF73" s="10"/>
      <c r="DJ73" s="10"/>
      <c r="DK73" s="10"/>
      <c r="DL73" s="10"/>
      <c r="DM73" s="10"/>
      <c r="DQ73" s="10"/>
      <c r="DR73" s="10"/>
      <c r="DS73" s="10"/>
      <c r="DT73" s="10"/>
      <c r="DX73" s="10"/>
      <c r="DY73" s="10"/>
      <c r="DZ73" s="10"/>
      <c r="EA73" s="10"/>
      <c r="EE73" s="10"/>
      <c r="EF73" s="10"/>
      <c r="EG73" s="10"/>
      <c r="EH73" s="10"/>
      <c r="EL73" s="10"/>
      <c r="EM73" s="10"/>
      <c r="EN73" s="10"/>
      <c r="EO73" s="10"/>
    </row>
    <row r="74" spans="2:145" outlineLevel="1">
      <c r="B74" t="s">
        <v>28</v>
      </c>
      <c r="C74" t="s">
        <v>122</v>
      </c>
      <c r="E74" s="9"/>
      <c r="F74" t="s">
        <v>217</v>
      </c>
      <c r="G74" s="21">
        <v>0.1</v>
      </c>
      <c r="I74" s="9">
        <f t="shared" si="3"/>
        <v>0</v>
      </c>
      <c r="J74" s="11" cm="1">
        <f t="array" ref="J74">MAX(IF($N$3:$DU$3=$J$3,N74:DU74))</f>
        <v>0</v>
      </c>
      <c r="K74" s="11" cm="1">
        <f t="array" ref="K74">MAX(IF($N$3:$DU$3=$J$3,N74:DU74))</f>
        <v>0</v>
      </c>
      <c r="L74" s="9"/>
      <c r="P74" s="10"/>
      <c r="Q74" s="10"/>
      <c r="R74" s="10"/>
      <c r="S74" s="10"/>
      <c r="W74" s="10"/>
      <c r="X74" s="10"/>
      <c r="Y74" s="10"/>
      <c r="Z74" s="10"/>
      <c r="AD74" s="10"/>
      <c r="AE74" s="10"/>
      <c r="AF74" s="10"/>
      <c r="AG74" s="10"/>
      <c r="AK74" s="10"/>
      <c r="AL74" s="10"/>
      <c r="AM74" s="10"/>
      <c r="AN74" s="10"/>
      <c r="AR74" s="10"/>
      <c r="AS74" s="10">
        <v>0.5</v>
      </c>
      <c r="AT74" s="10"/>
      <c r="AU74" s="10"/>
      <c r="AY74" s="10"/>
      <c r="AZ74" s="10">
        <v>1</v>
      </c>
      <c r="BA74" s="10"/>
      <c r="BB74" s="10"/>
      <c r="BF74" s="10"/>
      <c r="BG74" s="10"/>
      <c r="BH74" s="10"/>
      <c r="BI74" s="10"/>
      <c r="BM74" s="10"/>
      <c r="BN74" s="10"/>
      <c r="BO74" s="10"/>
      <c r="BP74" s="10"/>
      <c r="BT74" s="10"/>
      <c r="BU74" s="10"/>
      <c r="BV74" s="10"/>
      <c r="BW74" s="10"/>
      <c r="CA74" s="10"/>
      <c r="CB74" s="10"/>
      <c r="CC74" s="10"/>
      <c r="CD74" s="10"/>
      <c r="CH74" s="10"/>
      <c r="CI74" s="10"/>
      <c r="CJ74" s="10"/>
      <c r="CK74" s="10"/>
      <c r="CO74" s="10"/>
      <c r="CP74" s="10"/>
      <c r="CQ74" s="10"/>
      <c r="CR74" s="10"/>
      <c r="CV74" s="10"/>
      <c r="CW74" s="10"/>
      <c r="CX74" s="10"/>
      <c r="CY74" s="10"/>
      <c r="DC74" s="10"/>
      <c r="DD74" s="10"/>
      <c r="DE74" s="10"/>
      <c r="DF74" s="10"/>
      <c r="DJ74" s="10"/>
      <c r="DK74" s="10"/>
      <c r="DL74" s="10"/>
      <c r="DM74" s="10"/>
      <c r="DQ74" s="10"/>
      <c r="DR74" s="10"/>
      <c r="DS74" s="10"/>
      <c r="DT74" s="10"/>
      <c r="DX74" s="10"/>
      <c r="DY74" s="10"/>
      <c r="DZ74" s="10"/>
      <c r="EA74" s="10"/>
      <c r="EE74" s="10"/>
      <c r="EF74" s="10"/>
      <c r="EG74" s="10"/>
      <c r="EH74" s="10"/>
      <c r="EL74" s="10"/>
      <c r="EM74" s="10"/>
      <c r="EN74" s="10"/>
      <c r="EO74" s="10"/>
    </row>
    <row r="75" spans="2:145" outlineLevel="1">
      <c r="B75" t="s">
        <v>28</v>
      </c>
      <c r="C75" t="s">
        <v>122</v>
      </c>
      <c r="E75" s="9"/>
      <c r="F75" t="s">
        <v>222</v>
      </c>
      <c r="G75" s="21">
        <v>0.1</v>
      </c>
      <c r="I75" s="9">
        <f t="shared" si="3"/>
        <v>0</v>
      </c>
      <c r="J75" s="11" cm="1">
        <f t="array" ref="J75">MAX(IF($N$3:$DU$3=$J$3,N75:DU75))</f>
        <v>0</v>
      </c>
      <c r="K75" s="11" cm="1">
        <f t="array" ref="K75">MAX(IF($N$3:$DU$3=$J$3,N75:DU75))</f>
        <v>0</v>
      </c>
      <c r="L75" s="9"/>
      <c r="P75" s="10"/>
      <c r="Q75" s="10"/>
      <c r="R75" s="10"/>
      <c r="S75" s="10"/>
      <c r="W75" s="10"/>
      <c r="X75" s="10"/>
      <c r="Y75" s="10"/>
      <c r="Z75" s="10"/>
      <c r="AD75" s="10"/>
      <c r="AE75" s="10"/>
      <c r="AF75" s="10"/>
      <c r="AG75" s="10"/>
      <c r="AK75" s="10"/>
      <c r="AL75" s="10"/>
      <c r="AM75" s="10"/>
      <c r="AN75" s="10"/>
      <c r="AR75" s="10"/>
      <c r="AS75" s="10">
        <v>0.5</v>
      </c>
      <c r="AT75" s="10"/>
      <c r="AU75" s="10"/>
      <c r="AY75" s="10"/>
      <c r="AZ75" s="10">
        <v>1</v>
      </c>
      <c r="BA75" s="10"/>
      <c r="BB75" s="10"/>
      <c r="BF75" s="10"/>
      <c r="BG75" s="10"/>
      <c r="BH75" s="10"/>
      <c r="BI75" s="10"/>
      <c r="BM75" s="10"/>
      <c r="BN75" s="10"/>
      <c r="BO75" s="10"/>
      <c r="BP75" s="10"/>
      <c r="BT75" s="10"/>
      <c r="BU75" s="10"/>
      <c r="BV75" s="10"/>
      <c r="BW75" s="10"/>
      <c r="CA75" s="10"/>
      <c r="CB75" s="10"/>
      <c r="CC75" s="10"/>
      <c r="CD75" s="10"/>
      <c r="CH75" s="10"/>
      <c r="CI75" s="10"/>
      <c r="CJ75" s="10"/>
      <c r="CK75" s="10"/>
      <c r="CO75" s="10"/>
      <c r="CP75" s="10"/>
      <c r="CQ75" s="10"/>
      <c r="CR75" s="10"/>
      <c r="CV75" s="10"/>
      <c r="CW75" s="10"/>
      <c r="CX75" s="10"/>
      <c r="CY75" s="10"/>
      <c r="DC75" s="10"/>
      <c r="DD75" s="10"/>
      <c r="DE75" s="10"/>
      <c r="DF75" s="10"/>
      <c r="DJ75" s="10"/>
      <c r="DK75" s="10"/>
      <c r="DL75" s="10"/>
      <c r="DM75" s="10"/>
      <c r="DQ75" s="10"/>
      <c r="DR75" s="10"/>
      <c r="DS75" s="10"/>
      <c r="DT75" s="10"/>
      <c r="DX75" s="10"/>
      <c r="DY75" s="10"/>
      <c r="DZ75" s="10"/>
      <c r="EA75" s="10"/>
      <c r="EE75" s="10"/>
      <c r="EF75" s="10"/>
      <c r="EG75" s="10"/>
      <c r="EH75" s="10"/>
      <c r="EL75" s="10"/>
      <c r="EM75" s="10"/>
      <c r="EN75" s="10"/>
      <c r="EO75" s="10"/>
    </row>
    <row r="76" spans="2:145" outlineLevel="1">
      <c r="B76" t="s">
        <v>28</v>
      </c>
      <c r="C76" t="s">
        <v>122</v>
      </c>
      <c r="E76" s="9"/>
      <c r="F76" t="s">
        <v>221</v>
      </c>
      <c r="G76" s="21">
        <v>0.1</v>
      </c>
      <c r="I76" s="9">
        <f t="shared" si="3"/>
        <v>0</v>
      </c>
      <c r="J76" s="11" cm="1">
        <f t="array" ref="J76">MAX(IF($N$3:$DU$3=$J$3,N76:DU76))</f>
        <v>0</v>
      </c>
      <c r="K76" s="11" cm="1">
        <f t="array" ref="K76">MAX(IF($N$3:$DU$3=$J$3,N76:DU76))</f>
        <v>0</v>
      </c>
      <c r="L76" s="9"/>
      <c r="P76" s="10"/>
      <c r="Q76" s="10"/>
      <c r="R76" s="10"/>
      <c r="S76" s="10"/>
      <c r="W76" s="10"/>
      <c r="X76" s="10"/>
      <c r="Y76" s="10"/>
      <c r="Z76" s="10"/>
      <c r="AD76" s="10"/>
      <c r="AE76" s="10"/>
      <c r="AF76" s="10"/>
      <c r="AG76" s="10"/>
      <c r="AK76" s="10"/>
      <c r="AL76" s="10"/>
      <c r="AM76" s="10"/>
      <c r="AN76" s="10"/>
      <c r="AR76" s="10"/>
      <c r="AS76" s="10"/>
      <c r="AT76" s="10"/>
      <c r="AU76" s="10"/>
      <c r="AY76" s="10"/>
      <c r="AZ76" s="10">
        <v>1</v>
      </c>
      <c r="BA76" s="10"/>
      <c r="BB76" s="10"/>
      <c r="BF76" s="10"/>
      <c r="BG76" s="10"/>
      <c r="BH76" s="10"/>
      <c r="BI76" s="10"/>
      <c r="BM76" s="10"/>
      <c r="BN76" s="10"/>
      <c r="BO76" s="10"/>
      <c r="BP76" s="10"/>
      <c r="BT76" s="10"/>
      <c r="BU76" s="10"/>
      <c r="BV76" s="10"/>
      <c r="BW76" s="10"/>
      <c r="CA76" s="10"/>
      <c r="CB76" s="10"/>
      <c r="CC76" s="10"/>
      <c r="CD76" s="10"/>
      <c r="CH76" s="10"/>
      <c r="CI76" s="10"/>
      <c r="CJ76" s="10"/>
      <c r="CK76" s="10"/>
      <c r="CO76" s="10"/>
      <c r="CP76" s="10"/>
      <c r="CQ76" s="10"/>
      <c r="CR76" s="10"/>
      <c r="CV76" s="10"/>
      <c r="CW76" s="10"/>
      <c r="CX76" s="10"/>
      <c r="CY76" s="10"/>
      <c r="DC76" s="10"/>
      <c r="DD76" s="10"/>
      <c r="DE76" s="10"/>
      <c r="DF76" s="10"/>
      <c r="DJ76" s="10"/>
      <c r="DK76" s="10"/>
      <c r="DL76" s="10"/>
      <c r="DM76" s="10"/>
      <c r="DQ76" s="10"/>
      <c r="DR76" s="10"/>
      <c r="DS76" s="10"/>
      <c r="DT76" s="10"/>
      <c r="DX76" s="10"/>
      <c r="DY76" s="10"/>
      <c r="DZ76" s="10"/>
      <c r="EA76" s="10"/>
      <c r="EE76" s="10"/>
      <c r="EF76" s="10"/>
      <c r="EG76" s="10"/>
      <c r="EH76" s="10"/>
      <c r="EL76" s="10"/>
      <c r="EM76" s="10"/>
      <c r="EN76" s="10"/>
      <c r="EO76" s="10"/>
    </row>
    <row r="78" spans="2:145">
      <c r="B78" t="s">
        <v>27</v>
      </c>
      <c r="C78" t="s">
        <v>95</v>
      </c>
      <c r="D78" s="19">
        <v>45094</v>
      </c>
      <c r="E78" s="9">
        <v>2</v>
      </c>
      <c r="G78" s="10">
        <f>+SUM(G79:G87)</f>
        <v>1.125</v>
      </c>
      <c r="I78" s="12">
        <f>+SUM(I79:I87)</f>
        <v>22</v>
      </c>
      <c r="J78" s="11">
        <f>+SUMPRODUCT(G79:G87,J79:J87)</f>
        <v>0</v>
      </c>
      <c r="K78" s="11">
        <f>+SUMPRODUCT(G79:G87,K79:K87)</f>
        <v>0</v>
      </c>
      <c r="L78" s="9"/>
      <c r="O78" s="12"/>
      <c r="V78" s="12"/>
      <c r="AC78" s="12"/>
    </row>
    <row r="79" spans="2:145" hidden="1" outlineLevel="1">
      <c r="B79" t="s">
        <v>28</v>
      </c>
      <c r="C79" t="s">
        <v>95</v>
      </c>
      <c r="F79" t="s">
        <v>111</v>
      </c>
      <c r="G79" s="21">
        <v>0.125</v>
      </c>
      <c r="I79" s="9">
        <f t="shared" ref="I79:I87" si="4">+SUMIF($N$3:$ZM$3,I$3,$N79:$ZM79)</f>
        <v>1</v>
      </c>
      <c r="J79" s="11" cm="1">
        <f t="array" ref="J79">MAX(IF($N$3:$DU$3=$J$3,N79:DU79))</f>
        <v>0</v>
      </c>
      <c r="K79" s="11" cm="1">
        <f t="array" ref="K79">MAX(IF($N$3:$DU$3=$J$3,N79:DU79))</f>
        <v>0</v>
      </c>
      <c r="L79" s="9"/>
      <c r="O79">
        <v>1</v>
      </c>
      <c r="P79" s="10"/>
      <c r="Q79" s="10">
        <v>1</v>
      </c>
      <c r="R79" s="10"/>
      <c r="S79" s="10">
        <v>1</v>
      </c>
      <c r="W79" s="10"/>
      <c r="X79" s="10">
        <v>1</v>
      </c>
      <c r="Y79" s="10"/>
      <c r="Z79" s="10">
        <v>1</v>
      </c>
      <c r="AA79" s="10"/>
      <c r="AD79" s="10"/>
      <c r="AE79" s="10">
        <v>1</v>
      </c>
      <c r="AF79" s="10"/>
      <c r="AG79" s="10">
        <v>1</v>
      </c>
      <c r="AK79" s="10"/>
      <c r="AL79" s="10">
        <v>1</v>
      </c>
      <c r="AM79" s="10"/>
      <c r="AN79" s="10">
        <v>1</v>
      </c>
      <c r="AR79" s="10"/>
      <c r="AS79" s="10">
        <v>1</v>
      </c>
      <c r="AT79" s="10"/>
      <c r="AU79" s="10">
        <v>1</v>
      </c>
      <c r="AY79" s="10"/>
      <c r="AZ79" s="10">
        <v>1</v>
      </c>
      <c r="BA79" s="10"/>
      <c r="BB79" s="10">
        <v>1</v>
      </c>
      <c r="BF79" s="10"/>
      <c r="BG79" s="10">
        <v>1</v>
      </c>
      <c r="BH79" s="10"/>
      <c r="BI79" s="10">
        <v>1</v>
      </c>
      <c r="BM79" s="10"/>
      <c r="BN79" s="10">
        <v>1</v>
      </c>
      <c r="BO79" s="10"/>
      <c r="BP79" s="10">
        <v>1</v>
      </c>
      <c r="BT79" s="10"/>
      <c r="BU79" s="10">
        <v>1</v>
      </c>
      <c r="BV79" s="10"/>
      <c r="BW79" s="10">
        <v>1</v>
      </c>
      <c r="CA79" s="10"/>
      <c r="CB79" s="10">
        <v>1</v>
      </c>
      <c r="CC79" s="10"/>
      <c r="CD79" s="10">
        <v>1</v>
      </c>
      <c r="CH79" s="10"/>
      <c r="CI79" s="10">
        <v>1</v>
      </c>
      <c r="CJ79" s="10"/>
      <c r="CK79" s="10">
        <v>1</v>
      </c>
      <c r="CO79" s="10"/>
      <c r="CP79" s="10"/>
      <c r="CQ79" s="10"/>
      <c r="CR79" s="10"/>
      <c r="CV79" s="10"/>
      <c r="CW79" s="10"/>
      <c r="CX79" s="10"/>
      <c r="CY79" s="10"/>
      <c r="DC79" s="10"/>
      <c r="DD79" s="10"/>
      <c r="DE79" s="10"/>
      <c r="DF79" s="10"/>
      <c r="DJ79" s="10"/>
      <c r="DK79" s="10"/>
      <c r="DL79" s="10"/>
      <c r="DM79" s="10"/>
      <c r="DQ79" s="10"/>
      <c r="DR79" s="10"/>
      <c r="DS79" s="10"/>
      <c r="DT79" s="10"/>
      <c r="DX79" s="10"/>
      <c r="DY79" s="10"/>
      <c r="DZ79" s="10"/>
      <c r="EA79" s="10"/>
      <c r="EE79" s="10"/>
      <c r="EF79" s="10"/>
      <c r="EG79" s="10"/>
      <c r="EH79" s="10"/>
      <c r="EL79" s="10"/>
      <c r="EM79" s="10"/>
      <c r="EN79" s="10"/>
      <c r="EO79" s="10"/>
    </row>
    <row r="80" spans="2:145" hidden="1" outlineLevel="1">
      <c r="B80" t="s">
        <v>28</v>
      </c>
      <c r="C80" t="s">
        <v>95</v>
      </c>
      <c r="F80" t="s">
        <v>112</v>
      </c>
      <c r="G80" s="21">
        <v>0.125</v>
      </c>
      <c r="I80" s="9">
        <f t="shared" si="4"/>
        <v>1</v>
      </c>
      <c r="J80" s="11" cm="1">
        <f t="array" ref="J80">MAX(IF($N$3:$DU$3=$J$3,N80:DU80))</f>
        <v>0</v>
      </c>
      <c r="K80" s="11" cm="1">
        <f t="array" ref="K80">MAX(IF($N$3:$DU$3=$J$3,N80:DU80))</f>
        <v>0</v>
      </c>
      <c r="L80" s="9"/>
      <c r="P80" s="10"/>
      <c r="Q80" s="10">
        <v>0.8</v>
      </c>
      <c r="R80" s="10"/>
      <c r="S80" s="10">
        <v>0.8</v>
      </c>
      <c r="W80" s="10"/>
      <c r="X80" s="10">
        <v>0.8</v>
      </c>
      <c r="Y80" s="10"/>
      <c r="Z80" s="10">
        <v>0.8</v>
      </c>
      <c r="AA80" s="10"/>
      <c r="AD80" s="10"/>
      <c r="AE80" s="10">
        <v>0.8</v>
      </c>
      <c r="AF80" s="10"/>
      <c r="AG80" s="10">
        <v>0.8</v>
      </c>
      <c r="AJ80">
        <v>1</v>
      </c>
      <c r="AK80" s="10"/>
      <c r="AL80" s="10">
        <v>1</v>
      </c>
      <c r="AM80" s="10"/>
      <c r="AN80" s="10">
        <v>1</v>
      </c>
      <c r="AR80" s="10"/>
      <c r="AS80" s="10">
        <v>1</v>
      </c>
      <c r="AT80" s="10"/>
      <c r="AU80" s="10">
        <v>1</v>
      </c>
      <c r="AY80" s="10"/>
      <c r="AZ80" s="10">
        <v>1</v>
      </c>
      <c r="BA80" s="10"/>
      <c r="BB80" s="10">
        <v>1</v>
      </c>
      <c r="BF80" s="10"/>
      <c r="BG80" s="10">
        <v>1</v>
      </c>
      <c r="BH80" s="10"/>
      <c r="BI80" s="10">
        <v>1</v>
      </c>
      <c r="BM80" s="10"/>
      <c r="BN80" s="10">
        <v>1</v>
      </c>
      <c r="BO80" s="10"/>
      <c r="BP80" s="10">
        <v>1</v>
      </c>
      <c r="BT80" s="10"/>
      <c r="BU80" s="10">
        <v>1</v>
      </c>
      <c r="BV80" s="10"/>
      <c r="BW80" s="10">
        <v>1</v>
      </c>
      <c r="CA80" s="10"/>
      <c r="CB80" s="10">
        <v>1</v>
      </c>
      <c r="CC80" s="10"/>
      <c r="CD80" s="10">
        <v>1</v>
      </c>
      <c r="CH80" s="10"/>
      <c r="CI80" s="10">
        <v>1</v>
      </c>
      <c r="CJ80" s="10"/>
      <c r="CK80" s="10">
        <v>1</v>
      </c>
      <c r="CO80" s="10"/>
      <c r="CP80" s="10"/>
      <c r="CQ80" s="10"/>
      <c r="CR80" s="10"/>
      <c r="CV80" s="10"/>
      <c r="CW80" s="10"/>
      <c r="CX80" s="10"/>
      <c r="CY80" s="10"/>
      <c r="DC80" s="10"/>
      <c r="DD80" s="10"/>
      <c r="DE80" s="10"/>
      <c r="DF80" s="10"/>
      <c r="DJ80" s="10"/>
      <c r="DK80" s="10"/>
      <c r="DL80" s="10"/>
      <c r="DM80" s="10"/>
      <c r="DQ80" s="10"/>
      <c r="DR80" s="10"/>
      <c r="DS80" s="10"/>
      <c r="DT80" s="10"/>
      <c r="DX80" s="10"/>
      <c r="DY80" s="10"/>
      <c r="DZ80" s="10"/>
      <c r="EA80" s="10"/>
      <c r="EE80" s="10"/>
      <c r="EF80" s="10"/>
      <c r="EG80" s="10"/>
      <c r="EH80" s="10"/>
      <c r="EL80" s="10"/>
      <c r="EM80" s="10"/>
      <c r="EN80" s="10"/>
      <c r="EO80" s="10"/>
    </row>
    <row r="81" spans="2:145" hidden="1" outlineLevel="1">
      <c r="B81" t="s">
        <v>28</v>
      </c>
      <c r="C81" t="s">
        <v>95</v>
      </c>
      <c r="F81" t="s">
        <v>113</v>
      </c>
      <c r="G81" s="21">
        <v>0.125</v>
      </c>
      <c r="I81" s="9">
        <f t="shared" si="4"/>
        <v>2</v>
      </c>
      <c r="J81" s="11" cm="1">
        <f t="array" ref="J81">MAX(IF($N$3:$DU$3=$J$3,N81:DU81))</f>
        <v>0</v>
      </c>
      <c r="K81" s="11" cm="1">
        <f t="array" ref="K81">MAX(IF($N$3:$DU$3=$J$3,N81:DU81))</f>
        <v>0</v>
      </c>
      <c r="L81" s="9"/>
      <c r="P81" s="10"/>
      <c r="Q81" s="10">
        <v>0.5</v>
      </c>
      <c r="R81" s="10"/>
      <c r="S81" s="10">
        <v>0.5</v>
      </c>
      <c r="V81">
        <v>1</v>
      </c>
      <c r="W81" s="10"/>
      <c r="X81" s="10">
        <v>0.8</v>
      </c>
      <c r="Y81" s="10"/>
      <c r="Z81" s="10">
        <v>0.8</v>
      </c>
      <c r="AA81" s="10"/>
      <c r="AD81" s="10"/>
      <c r="AE81" s="10">
        <v>0.8</v>
      </c>
      <c r="AF81" s="10"/>
      <c r="AG81" s="10">
        <v>0.8</v>
      </c>
      <c r="AJ81">
        <v>1</v>
      </c>
      <c r="AK81" s="10"/>
      <c r="AL81" s="10">
        <v>1</v>
      </c>
      <c r="AM81" s="10"/>
      <c r="AN81" s="10">
        <v>1</v>
      </c>
      <c r="AR81" s="10"/>
      <c r="AS81" s="10">
        <v>1</v>
      </c>
      <c r="AT81" s="10"/>
      <c r="AU81" s="10">
        <v>1</v>
      </c>
      <c r="AY81" s="10"/>
      <c r="AZ81" s="10">
        <v>1</v>
      </c>
      <c r="BA81" s="10"/>
      <c r="BB81" s="10">
        <v>1</v>
      </c>
      <c r="BF81" s="10"/>
      <c r="BG81" s="10">
        <v>1</v>
      </c>
      <c r="BH81" s="10"/>
      <c r="BI81" s="10">
        <v>1</v>
      </c>
      <c r="BM81" s="10"/>
      <c r="BN81" s="10">
        <v>1</v>
      </c>
      <c r="BO81" s="10"/>
      <c r="BP81" s="10">
        <v>1</v>
      </c>
      <c r="BT81" s="10"/>
      <c r="BU81" s="10">
        <v>1</v>
      </c>
      <c r="BV81" s="10"/>
      <c r="BW81" s="10">
        <v>1</v>
      </c>
      <c r="CA81" s="10"/>
      <c r="CB81" s="10">
        <v>1</v>
      </c>
      <c r="CC81" s="10"/>
      <c r="CD81" s="10">
        <v>1</v>
      </c>
      <c r="CH81" s="10"/>
      <c r="CI81" s="10">
        <v>1</v>
      </c>
      <c r="CJ81" s="10"/>
      <c r="CK81" s="10">
        <v>1</v>
      </c>
      <c r="CO81" s="10"/>
      <c r="CP81" s="10"/>
      <c r="CQ81" s="10"/>
      <c r="CR81" s="10"/>
      <c r="CV81" s="10"/>
      <c r="CW81" s="10"/>
      <c r="CX81" s="10"/>
      <c r="CY81" s="10"/>
      <c r="DC81" s="10"/>
      <c r="DD81" s="10"/>
      <c r="DE81" s="10"/>
      <c r="DF81" s="10"/>
      <c r="DJ81" s="10"/>
      <c r="DK81" s="10"/>
      <c r="DL81" s="10"/>
      <c r="DM81" s="10"/>
      <c r="DQ81" s="10"/>
      <c r="DR81" s="10"/>
      <c r="DS81" s="10"/>
      <c r="DT81" s="10"/>
      <c r="DX81" s="10"/>
      <c r="DY81" s="10"/>
      <c r="DZ81" s="10"/>
      <c r="EA81" s="10"/>
      <c r="EE81" s="10"/>
      <c r="EF81" s="10"/>
      <c r="EG81" s="10"/>
      <c r="EH81" s="10"/>
      <c r="EL81" s="10"/>
      <c r="EM81" s="10"/>
      <c r="EN81" s="10"/>
      <c r="EO81" s="10"/>
    </row>
    <row r="82" spans="2:145" hidden="1" outlineLevel="1">
      <c r="B82" t="s">
        <v>28</v>
      </c>
      <c r="C82" t="s">
        <v>95</v>
      </c>
      <c r="F82" t="s">
        <v>114</v>
      </c>
      <c r="G82" s="21">
        <v>0.125</v>
      </c>
      <c r="I82" s="9">
        <f t="shared" si="4"/>
        <v>3</v>
      </c>
      <c r="J82" s="11" cm="1">
        <f t="array" ref="J82">MAX(IF($N$3:$DU$3=$J$3,N82:DU82))</f>
        <v>0</v>
      </c>
      <c r="K82" s="11" cm="1">
        <f t="array" ref="K82">MAX(IF($N$3:$DU$3=$J$3,N82:DU82))</f>
        <v>0</v>
      </c>
      <c r="L82" s="9"/>
      <c r="O82">
        <v>1</v>
      </c>
      <c r="P82" s="10"/>
      <c r="Q82" s="10">
        <v>0.5</v>
      </c>
      <c r="R82" s="10"/>
      <c r="S82" s="10">
        <v>0.5</v>
      </c>
      <c r="W82" s="10"/>
      <c r="X82" s="10">
        <v>0.5</v>
      </c>
      <c r="Y82" s="10"/>
      <c r="Z82" s="10">
        <v>0.5</v>
      </c>
      <c r="AA82" s="10"/>
      <c r="AC82">
        <v>1</v>
      </c>
      <c r="AD82" s="10"/>
      <c r="AE82" s="10">
        <v>0.8</v>
      </c>
      <c r="AF82" s="10"/>
      <c r="AG82" s="10">
        <v>0.8</v>
      </c>
      <c r="AK82" s="10"/>
      <c r="AL82" s="10">
        <v>0.8</v>
      </c>
      <c r="AM82" s="10"/>
      <c r="AN82" s="10">
        <v>0.8</v>
      </c>
      <c r="AR82" s="10"/>
      <c r="AS82" s="10">
        <v>0.8</v>
      </c>
      <c r="AT82" s="10"/>
      <c r="AU82" s="10">
        <v>0.8</v>
      </c>
      <c r="AY82" s="10"/>
      <c r="AZ82" s="10">
        <v>0.8</v>
      </c>
      <c r="BA82" s="10"/>
      <c r="BB82" s="10">
        <v>0.8</v>
      </c>
      <c r="BE82">
        <v>1</v>
      </c>
      <c r="BF82" s="10"/>
      <c r="BG82" s="10">
        <v>1</v>
      </c>
      <c r="BH82" s="10"/>
      <c r="BI82" s="10">
        <v>1</v>
      </c>
      <c r="BM82" s="10"/>
      <c r="BN82" s="10">
        <v>1</v>
      </c>
      <c r="BO82" s="10"/>
      <c r="BP82" s="10">
        <v>1</v>
      </c>
      <c r="BT82" s="10"/>
      <c r="BU82" s="10">
        <v>1</v>
      </c>
      <c r="BV82" s="10"/>
      <c r="BW82" s="10">
        <v>1</v>
      </c>
      <c r="CA82" s="10"/>
      <c r="CB82" s="10">
        <v>1</v>
      </c>
      <c r="CC82" s="10"/>
      <c r="CD82" s="10">
        <v>1</v>
      </c>
      <c r="CH82" s="10"/>
      <c r="CI82" s="10">
        <v>1</v>
      </c>
      <c r="CJ82" s="10"/>
      <c r="CK82" s="10">
        <v>1</v>
      </c>
      <c r="CO82" s="10"/>
      <c r="CP82" s="10"/>
      <c r="CQ82" s="10"/>
      <c r="CR82" s="10"/>
      <c r="CV82" s="10"/>
      <c r="CW82" s="10"/>
      <c r="CX82" s="10"/>
      <c r="CY82" s="10"/>
      <c r="DC82" s="10"/>
      <c r="DD82" s="10"/>
      <c r="DE82" s="10"/>
      <c r="DF82" s="10"/>
      <c r="DJ82" s="10"/>
      <c r="DK82" s="10"/>
      <c r="DL82" s="10"/>
      <c r="DM82" s="10"/>
      <c r="DQ82" s="10"/>
      <c r="DR82" s="10"/>
      <c r="DS82" s="10"/>
      <c r="DT82" s="10"/>
      <c r="DX82" s="10"/>
      <c r="DY82" s="10"/>
      <c r="DZ82" s="10"/>
      <c r="EA82" s="10"/>
      <c r="EE82" s="10"/>
      <c r="EF82" s="10"/>
      <c r="EG82" s="10"/>
      <c r="EH82" s="10"/>
      <c r="EL82" s="10"/>
      <c r="EM82" s="10"/>
      <c r="EN82" s="10"/>
      <c r="EO82" s="10"/>
    </row>
    <row r="83" spans="2:145" hidden="1" outlineLevel="1">
      <c r="B83" t="s">
        <v>28</v>
      </c>
      <c r="C83" t="s">
        <v>95</v>
      </c>
      <c r="F83" t="s">
        <v>115</v>
      </c>
      <c r="G83" s="21">
        <v>0.125</v>
      </c>
      <c r="I83" s="9">
        <f t="shared" si="4"/>
        <v>3</v>
      </c>
      <c r="J83" s="11" cm="1">
        <f t="array" ref="J83">MAX(IF($N$3:$DU$3=$J$3,N83:DU83))</f>
        <v>0</v>
      </c>
      <c r="K83" s="11" cm="1">
        <f t="array" ref="K83">MAX(IF($N$3:$DU$3=$J$3,N83:DU83))</f>
        <v>0</v>
      </c>
      <c r="L83" s="9"/>
      <c r="P83" s="10"/>
      <c r="Q83" s="10"/>
      <c r="R83" s="10"/>
      <c r="S83" s="10"/>
      <c r="V83">
        <v>1</v>
      </c>
      <c r="W83" s="10"/>
      <c r="X83" s="10">
        <v>0.5</v>
      </c>
      <c r="Y83" s="10"/>
      <c r="Z83" s="10">
        <v>0.5</v>
      </c>
      <c r="AA83" s="10"/>
      <c r="AD83" s="10"/>
      <c r="AE83" s="10">
        <v>0.5</v>
      </c>
      <c r="AF83" s="10"/>
      <c r="AG83" s="10">
        <v>0.5</v>
      </c>
      <c r="AJ83">
        <v>1</v>
      </c>
      <c r="AK83" s="10"/>
      <c r="AL83" s="10">
        <v>0.8</v>
      </c>
      <c r="AM83" s="10"/>
      <c r="AN83" s="10">
        <v>0.8</v>
      </c>
      <c r="AR83" s="10"/>
      <c r="AS83" s="10">
        <v>0.8</v>
      </c>
      <c r="AT83" s="10"/>
      <c r="AU83" s="10">
        <v>0.8</v>
      </c>
      <c r="AY83" s="10"/>
      <c r="AZ83" s="10">
        <v>0.8</v>
      </c>
      <c r="BA83" s="10"/>
      <c r="BB83" s="10">
        <v>0.8</v>
      </c>
      <c r="BF83" s="10"/>
      <c r="BG83" s="10">
        <v>0.8</v>
      </c>
      <c r="BH83" s="10"/>
      <c r="BI83" s="10">
        <v>0.8</v>
      </c>
      <c r="BL83">
        <v>1</v>
      </c>
      <c r="BM83" s="10"/>
      <c r="BN83" s="10">
        <v>1</v>
      </c>
      <c r="BO83" s="10"/>
      <c r="BP83" s="10">
        <v>1</v>
      </c>
      <c r="BT83" s="10"/>
      <c r="BU83" s="10">
        <v>1</v>
      </c>
      <c r="BV83" s="10"/>
      <c r="BW83" s="10">
        <v>1</v>
      </c>
      <c r="CA83" s="10"/>
      <c r="CB83" s="10">
        <v>1</v>
      </c>
      <c r="CC83" s="10"/>
      <c r="CD83" s="10">
        <v>1</v>
      </c>
      <c r="CH83" s="10"/>
      <c r="CI83" s="10">
        <v>1</v>
      </c>
      <c r="CJ83" s="10"/>
      <c r="CK83" s="10">
        <v>1</v>
      </c>
      <c r="CO83" s="10"/>
      <c r="CP83" s="10"/>
      <c r="CQ83" s="10"/>
      <c r="CR83" s="10"/>
      <c r="CV83" s="10"/>
      <c r="CW83" s="10"/>
      <c r="CX83" s="10"/>
      <c r="CY83" s="10"/>
      <c r="DC83" s="10"/>
      <c r="DD83" s="10"/>
      <c r="DE83" s="10"/>
      <c r="DF83" s="10"/>
      <c r="DJ83" s="10"/>
      <c r="DK83" s="10"/>
      <c r="DL83" s="10"/>
      <c r="DM83" s="10"/>
      <c r="DQ83" s="10"/>
      <c r="DR83" s="10"/>
      <c r="DS83" s="10"/>
      <c r="DT83" s="10"/>
      <c r="DX83" s="10"/>
      <c r="DY83" s="10"/>
      <c r="DZ83" s="10"/>
      <c r="EA83" s="10"/>
      <c r="EE83" s="10"/>
      <c r="EF83" s="10"/>
      <c r="EG83" s="10"/>
      <c r="EH83" s="10"/>
      <c r="EL83" s="10"/>
      <c r="EM83" s="10"/>
      <c r="EN83" s="10"/>
      <c r="EO83" s="10"/>
    </row>
    <row r="84" spans="2:145" hidden="1" outlineLevel="1">
      <c r="B84" t="s">
        <v>28</v>
      </c>
      <c r="C84" t="s">
        <v>95</v>
      </c>
      <c r="F84" t="s">
        <v>116</v>
      </c>
      <c r="G84" s="21">
        <v>0.125</v>
      </c>
      <c r="I84" s="9">
        <f t="shared" si="4"/>
        <v>3</v>
      </c>
      <c r="J84" s="11" cm="1">
        <f t="array" ref="J84">MAX(IF($N$3:$DU$3=$J$3,N84:DU84))</f>
        <v>0</v>
      </c>
      <c r="K84" s="11" cm="1">
        <f t="array" ref="K84">MAX(IF($N$3:$DU$3=$J$3,N84:DU84))</f>
        <v>0</v>
      </c>
      <c r="L84" s="9"/>
      <c r="P84" s="10"/>
      <c r="Q84" s="10"/>
      <c r="R84" s="10"/>
      <c r="S84" s="10"/>
      <c r="W84" s="10"/>
      <c r="X84" s="10"/>
      <c r="Y84" s="10"/>
      <c r="Z84" s="10"/>
      <c r="AA84" s="10"/>
      <c r="AC84">
        <v>1</v>
      </c>
      <c r="AD84" s="10"/>
      <c r="AE84" s="10">
        <v>0.5</v>
      </c>
      <c r="AF84" s="10"/>
      <c r="AG84" s="10">
        <v>0.5</v>
      </c>
      <c r="AK84" s="10"/>
      <c r="AL84" s="10">
        <v>0.5</v>
      </c>
      <c r="AM84" s="10"/>
      <c r="AN84" s="10">
        <v>0.5</v>
      </c>
      <c r="AQ84">
        <v>1</v>
      </c>
      <c r="AR84" s="10"/>
      <c r="AS84" s="10">
        <v>0.8</v>
      </c>
      <c r="AT84" s="10"/>
      <c r="AU84" s="10">
        <v>0.8</v>
      </c>
      <c r="AY84" s="10"/>
      <c r="AZ84" s="10">
        <v>0.8</v>
      </c>
      <c r="BA84" s="10"/>
      <c r="BB84" s="10">
        <v>0.8</v>
      </c>
      <c r="BF84" s="10"/>
      <c r="BG84" s="10">
        <v>0.8</v>
      </c>
      <c r="BH84" s="10"/>
      <c r="BI84" s="10">
        <v>0.8</v>
      </c>
      <c r="BM84" s="10"/>
      <c r="BN84" s="10">
        <v>0.8</v>
      </c>
      <c r="BO84" s="10"/>
      <c r="BP84" s="10">
        <v>0.8</v>
      </c>
      <c r="BS84">
        <v>1</v>
      </c>
      <c r="BT84" s="10"/>
      <c r="BU84" s="10">
        <v>1</v>
      </c>
      <c r="BV84" s="10"/>
      <c r="BW84" s="10">
        <v>1</v>
      </c>
      <c r="CA84" s="10"/>
      <c r="CB84" s="10">
        <v>1</v>
      </c>
      <c r="CC84" s="10"/>
      <c r="CD84" s="10">
        <v>1</v>
      </c>
      <c r="CH84" s="10"/>
      <c r="CI84" s="10">
        <v>1</v>
      </c>
      <c r="CJ84" s="10"/>
      <c r="CK84" s="10">
        <v>1</v>
      </c>
      <c r="CO84" s="10"/>
      <c r="CP84" s="10"/>
      <c r="CQ84" s="10"/>
      <c r="CR84" s="10"/>
      <c r="CV84" s="10"/>
      <c r="CW84" s="10"/>
      <c r="CX84" s="10"/>
      <c r="CY84" s="10"/>
      <c r="DC84" s="10"/>
      <c r="DD84" s="10"/>
      <c r="DE84" s="10"/>
      <c r="DF84" s="10"/>
      <c r="DJ84" s="10"/>
      <c r="DK84" s="10"/>
      <c r="DL84" s="10"/>
      <c r="DM84" s="10"/>
      <c r="DQ84" s="10"/>
      <c r="DR84" s="10"/>
      <c r="DS84" s="10"/>
      <c r="DT84" s="10"/>
      <c r="DX84" s="10"/>
      <c r="DY84" s="10"/>
      <c r="DZ84" s="10"/>
      <c r="EA84" s="10"/>
      <c r="EE84" s="10"/>
      <c r="EF84" s="10"/>
      <c r="EG84" s="10"/>
      <c r="EH84" s="10"/>
      <c r="EL84" s="10"/>
      <c r="EM84" s="10"/>
      <c r="EN84" s="10"/>
      <c r="EO84" s="10"/>
    </row>
    <row r="85" spans="2:145" hidden="1" outlineLevel="1">
      <c r="B85" t="s">
        <v>28</v>
      </c>
      <c r="C85" t="s">
        <v>95</v>
      </c>
      <c r="F85" t="s">
        <v>117</v>
      </c>
      <c r="G85" s="21">
        <v>0.125</v>
      </c>
      <c r="I85" s="9">
        <f t="shared" si="4"/>
        <v>3</v>
      </c>
      <c r="J85" s="11" cm="1">
        <f t="array" ref="J85">MAX(IF($N$3:$DU$3=$J$3,N85:DU85))</f>
        <v>0</v>
      </c>
      <c r="K85" s="11" cm="1">
        <f t="array" ref="K85">MAX(IF($N$3:$DU$3=$J$3,N85:DU85))</f>
        <v>0</v>
      </c>
      <c r="L85" s="9"/>
      <c r="P85" s="10"/>
      <c r="Q85" s="10"/>
      <c r="R85" s="10"/>
      <c r="S85" s="10"/>
      <c r="W85" s="10"/>
      <c r="X85" s="10"/>
      <c r="Y85" s="10"/>
      <c r="Z85" s="10"/>
      <c r="AA85" s="10"/>
      <c r="AC85">
        <v>1</v>
      </c>
      <c r="AD85" s="10"/>
      <c r="AE85" s="10">
        <v>0.5</v>
      </c>
      <c r="AF85" s="10"/>
      <c r="AG85" s="10">
        <v>0.5</v>
      </c>
      <c r="AK85" s="10"/>
      <c r="AL85" s="10">
        <v>0.5</v>
      </c>
      <c r="AM85" s="10"/>
      <c r="AN85" s="10">
        <v>0.5</v>
      </c>
      <c r="AR85" s="10"/>
      <c r="AS85" s="10">
        <v>0.5</v>
      </c>
      <c r="AT85" s="10"/>
      <c r="AU85" s="10">
        <v>0.5</v>
      </c>
      <c r="AY85" s="10"/>
      <c r="AZ85" s="10">
        <v>0.5</v>
      </c>
      <c r="BA85" s="10"/>
      <c r="BB85" s="10">
        <v>0.5</v>
      </c>
      <c r="BF85" s="10"/>
      <c r="BG85" s="10">
        <v>0.5</v>
      </c>
      <c r="BH85" s="10"/>
      <c r="BI85" s="10">
        <v>0.5</v>
      </c>
      <c r="BL85">
        <v>1</v>
      </c>
      <c r="BM85" s="10"/>
      <c r="BN85" s="10">
        <v>0.8</v>
      </c>
      <c r="BO85" s="10"/>
      <c r="BP85" s="10">
        <v>0.8</v>
      </c>
      <c r="BT85" s="10"/>
      <c r="BU85" s="10">
        <v>0.8</v>
      </c>
      <c r="BV85" s="10"/>
      <c r="BW85" s="10">
        <v>0.8</v>
      </c>
      <c r="BZ85">
        <v>1</v>
      </c>
      <c r="CA85" s="10"/>
      <c r="CB85" s="10">
        <v>1</v>
      </c>
      <c r="CC85" s="10"/>
      <c r="CD85" s="10">
        <v>1</v>
      </c>
      <c r="CH85" s="10"/>
      <c r="CI85" s="10">
        <v>1</v>
      </c>
      <c r="CJ85" s="10"/>
      <c r="CK85" s="10">
        <v>1</v>
      </c>
      <c r="CO85" s="10"/>
      <c r="CP85" s="10"/>
      <c r="CQ85" s="10"/>
      <c r="CR85" s="10"/>
      <c r="CV85" s="10"/>
      <c r="CW85" s="10"/>
      <c r="CX85" s="10"/>
      <c r="CY85" s="10"/>
      <c r="DC85" s="10"/>
      <c r="DD85" s="10"/>
      <c r="DE85" s="10"/>
      <c r="DF85" s="10"/>
      <c r="DJ85" s="10"/>
      <c r="DK85" s="10"/>
      <c r="DL85" s="10"/>
      <c r="DM85" s="10"/>
      <c r="DQ85" s="10"/>
      <c r="DR85" s="10"/>
      <c r="DS85" s="10"/>
      <c r="DT85" s="10"/>
      <c r="DX85" s="10"/>
      <c r="DY85" s="10"/>
      <c r="DZ85" s="10"/>
      <c r="EA85" s="10"/>
      <c r="EE85" s="10"/>
      <c r="EF85" s="10"/>
      <c r="EG85" s="10"/>
      <c r="EH85" s="10"/>
      <c r="EL85" s="10"/>
      <c r="EM85" s="10"/>
      <c r="EN85" s="10"/>
      <c r="EO85" s="10"/>
    </row>
    <row r="86" spans="2:145" hidden="1" outlineLevel="1">
      <c r="B86" t="s">
        <v>28</v>
      </c>
      <c r="C86" t="s">
        <v>95</v>
      </c>
      <c r="F86" t="s">
        <v>118</v>
      </c>
      <c r="G86" s="21">
        <v>0.125</v>
      </c>
      <c r="I86" s="9">
        <f t="shared" si="4"/>
        <v>3</v>
      </c>
      <c r="J86" s="11" cm="1">
        <f t="array" ref="J86">MAX(IF($N$3:$DU$3=$J$3,N86:DU86))</f>
        <v>0</v>
      </c>
      <c r="K86" s="11" cm="1">
        <f t="array" ref="K86">MAX(IF($N$3:$DU$3=$J$3,N86:DU86))</f>
        <v>0</v>
      </c>
      <c r="L86" s="9"/>
      <c r="P86" s="10"/>
      <c r="Q86" s="10"/>
      <c r="R86" s="10"/>
      <c r="S86" s="10"/>
      <c r="W86" s="10"/>
      <c r="X86" s="10"/>
      <c r="Y86" s="10"/>
      <c r="Z86" s="10"/>
      <c r="AA86" s="10"/>
      <c r="AD86" s="10"/>
      <c r="AE86" s="10"/>
      <c r="AF86" s="10"/>
      <c r="AG86" s="10"/>
      <c r="AK86" s="10"/>
      <c r="AL86" s="10"/>
      <c r="AM86" s="10"/>
      <c r="AN86" s="10"/>
      <c r="AR86" s="10"/>
      <c r="AS86" s="10"/>
      <c r="AT86" s="10"/>
      <c r="AU86" s="10"/>
      <c r="AX86">
        <v>1</v>
      </c>
      <c r="AY86" s="10"/>
      <c r="AZ86" s="10">
        <v>0.5</v>
      </c>
      <c r="BA86" s="10"/>
      <c r="BB86" s="10">
        <v>0.5</v>
      </c>
      <c r="BF86" s="10"/>
      <c r="BG86" s="10">
        <v>0.5</v>
      </c>
      <c r="BH86" s="10"/>
      <c r="BI86" s="10">
        <v>0.5</v>
      </c>
      <c r="BM86" s="10"/>
      <c r="BN86" s="10">
        <v>0.5</v>
      </c>
      <c r="BO86" s="10"/>
      <c r="BP86" s="10">
        <v>0.5</v>
      </c>
      <c r="BS86">
        <v>1</v>
      </c>
      <c r="BT86" s="10"/>
      <c r="BU86" s="10">
        <v>0.8</v>
      </c>
      <c r="BV86" s="10"/>
      <c r="BW86" s="10">
        <v>0.8</v>
      </c>
      <c r="CA86" s="10"/>
      <c r="CB86" s="10">
        <v>0.8</v>
      </c>
      <c r="CC86" s="10"/>
      <c r="CD86" s="10">
        <v>0.8</v>
      </c>
      <c r="CG86">
        <v>1</v>
      </c>
      <c r="CH86" s="10"/>
      <c r="CI86" s="10">
        <v>1</v>
      </c>
      <c r="CJ86" s="10"/>
      <c r="CK86" s="10">
        <v>1</v>
      </c>
      <c r="CO86" s="10"/>
      <c r="CP86" s="10"/>
      <c r="CQ86" s="10"/>
      <c r="CR86" s="10"/>
      <c r="CV86" s="10"/>
      <c r="CW86" s="10"/>
      <c r="CX86" s="10"/>
      <c r="CY86" s="10"/>
      <c r="DC86" s="10"/>
      <c r="DD86" s="10"/>
      <c r="DE86" s="10"/>
      <c r="DF86" s="10"/>
      <c r="DJ86" s="10"/>
      <c r="DK86" s="10"/>
      <c r="DL86" s="10"/>
      <c r="DM86" s="10"/>
      <c r="DQ86" s="10"/>
      <c r="DR86" s="10"/>
      <c r="DS86" s="10"/>
      <c r="DT86" s="10"/>
      <c r="DX86" s="10"/>
      <c r="DY86" s="10"/>
      <c r="DZ86" s="10"/>
      <c r="EA86" s="10"/>
      <c r="EE86" s="10"/>
      <c r="EF86" s="10"/>
      <c r="EG86" s="10"/>
      <c r="EH86" s="10"/>
      <c r="EL86" s="10"/>
      <c r="EM86" s="10"/>
      <c r="EN86" s="10"/>
      <c r="EO86" s="10"/>
    </row>
    <row r="87" spans="2:145" hidden="1" outlineLevel="1">
      <c r="B87" t="s">
        <v>28</v>
      </c>
      <c r="C87" t="s">
        <v>95</v>
      </c>
      <c r="F87" t="s">
        <v>119</v>
      </c>
      <c r="G87" s="21">
        <v>0.125</v>
      </c>
      <c r="I87" s="9">
        <f t="shared" si="4"/>
        <v>3</v>
      </c>
      <c r="J87" s="11" cm="1">
        <f t="array" ref="J87">MAX(IF($N$3:$DU$3=$J$3,N87:DU87))</f>
        <v>0</v>
      </c>
      <c r="K87" s="11" cm="1">
        <f t="array" ref="K87">MAX(IF($N$3:$DU$3=$J$3,N87:DU87))</f>
        <v>0</v>
      </c>
      <c r="L87" s="9"/>
      <c r="P87" s="10"/>
      <c r="Q87" s="10"/>
      <c r="R87" s="10"/>
      <c r="S87" s="10"/>
      <c r="W87" s="10"/>
      <c r="X87" s="10"/>
      <c r="Y87" s="10"/>
      <c r="Z87" s="10"/>
      <c r="AD87" s="10"/>
      <c r="AE87" s="10"/>
      <c r="AF87" s="10"/>
      <c r="AG87" s="10"/>
      <c r="AK87" s="10"/>
      <c r="AL87" s="10"/>
      <c r="AM87" s="10"/>
      <c r="AN87" s="10"/>
      <c r="AR87" s="10"/>
      <c r="AS87" s="10"/>
      <c r="AT87" s="10"/>
      <c r="AU87" s="10"/>
      <c r="AY87" s="10"/>
      <c r="AZ87" s="10"/>
      <c r="BA87" s="10"/>
      <c r="BB87" s="10"/>
      <c r="BE87">
        <v>1</v>
      </c>
      <c r="BF87" s="10"/>
      <c r="BG87" s="10">
        <v>0.5</v>
      </c>
      <c r="BH87" s="10"/>
      <c r="BI87" s="10">
        <v>0.5</v>
      </c>
      <c r="BM87" s="10"/>
      <c r="BN87" s="10">
        <v>0.5</v>
      </c>
      <c r="BO87" s="10"/>
      <c r="BP87" s="10">
        <v>0.5</v>
      </c>
      <c r="BT87" s="10"/>
      <c r="BU87" s="10">
        <v>0.5</v>
      </c>
      <c r="BV87" s="10"/>
      <c r="BW87" s="10">
        <v>0.5</v>
      </c>
      <c r="BZ87">
        <v>1</v>
      </c>
      <c r="CA87" s="10"/>
      <c r="CB87" s="10">
        <v>0.8</v>
      </c>
      <c r="CC87" s="10"/>
      <c r="CD87" s="10">
        <v>0.8</v>
      </c>
      <c r="CG87">
        <v>1</v>
      </c>
      <c r="CH87" s="10"/>
      <c r="CI87" s="10">
        <v>1</v>
      </c>
      <c r="CJ87" s="10"/>
      <c r="CK87" s="10">
        <v>1</v>
      </c>
      <c r="CO87" s="10"/>
      <c r="CP87" s="10"/>
      <c r="CQ87" s="10"/>
      <c r="CR87" s="10"/>
      <c r="CV87" s="10"/>
      <c r="CW87" s="10"/>
      <c r="CX87" s="10"/>
      <c r="CY87" s="10"/>
      <c r="DC87" s="10"/>
      <c r="DD87" s="10"/>
      <c r="DE87" s="10"/>
      <c r="DF87" s="10"/>
      <c r="DJ87" s="10"/>
      <c r="DK87" s="10"/>
      <c r="DL87" s="10"/>
      <c r="DM87" s="10"/>
      <c r="DQ87" s="10"/>
      <c r="DR87" s="10"/>
      <c r="DS87" s="10"/>
      <c r="DT87" s="10"/>
      <c r="DX87" s="10"/>
      <c r="DY87" s="10"/>
      <c r="DZ87" s="10"/>
      <c r="EA87" s="10"/>
      <c r="EE87" s="10"/>
      <c r="EF87" s="10"/>
      <c r="EG87" s="10"/>
      <c r="EH87" s="10"/>
      <c r="EL87" s="10"/>
      <c r="EM87" s="10"/>
      <c r="EN87" s="10"/>
      <c r="EO87" s="10"/>
    </row>
    <row r="88" spans="2:145" collapsed="1">
      <c r="D88" s="19"/>
    </row>
    <row r="89" spans="2:145">
      <c r="B89" t="s">
        <v>27</v>
      </c>
      <c r="C89" t="s">
        <v>157</v>
      </c>
      <c r="D89" s="19">
        <v>45306</v>
      </c>
      <c r="E89" s="9">
        <v>0</v>
      </c>
      <c r="G89" s="10">
        <f>+SUM(G90:G99)</f>
        <v>0.99999999999999989</v>
      </c>
      <c r="I89" s="12">
        <f>+SUM(I90:I99)</f>
        <v>0</v>
      </c>
      <c r="J89" s="11">
        <f>+SUMPRODUCT(G90:G99,J90:J99)</f>
        <v>0.21000000000000002</v>
      </c>
      <c r="K89" s="11">
        <f>+SUMPRODUCT(G90:G99,K90:K99)</f>
        <v>0.21000000000000002</v>
      </c>
      <c r="L89" s="9"/>
      <c r="O89" s="12"/>
      <c r="V89" s="12"/>
      <c r="AC89" s="12"/>
      <c r="CK89" s="10"/>
    </row>
    <row r="90" spans="2:145" outlineLevel="1">
      <c r="B90" t="s">
        <v>28</v>
      </c>
      <c r="C90" t="s">
        <v>97</v>
      </c>
      <c r="E90" s="9"/>
      <c r="F90" t="s">
        <v>135</v>
      </c>
      <c r="G90" s="10">
        <v>0.1</v>
      </c>
      <c r="I90" s="9"/>
      <c r="J90" s="11" cm="1">
        <f t="array" ref="J90">MAX(IF($N$3:$DU$3=$J$3,N90:DU90))</f>
        <v>0.8</v>
      </c>
      <c r="K90" s="11" cm="1">
        <f t="array" ref="K90">MAX(IF($N$3:$DU$3=$J$3,N90:DU90))</f>
        <v>0.8</v>
      </c>
      <c r="L90" s="9"/>
      <c r="P90" s="10">
        <v>0.8</v>
      </c>
      <c r="Q90" s="10">
        <v>0.8</v>
      </c>
      <c r="R90" s="10">
        <v>0.8</v>
      </c>
      <c r="S90" s="10">
        <v>0.8</v>
      </c>
      <c r="W90" s="10"/>
      <c r="X90" s="10">
        <v>0.8</v>
      </c>
      <c r="Y90" s="10"/>
      <c r="Z90" s="10">
        <v>0.8</v>
      </c>
      <c r="AC90">
        <v>1</v>
      </c>
      <c r="AD90" s="10"/>
      <c r="AE90" s="10">
        <v>1</v>
      </c>
      <c r="AF90" s="10"/>
      <c r="AG90" s="10">
        <v>1</v>
      </c>
      <c r="AK90" s="10"/>
      <c r="AL90" s="10">
        <v>1</v>
      </c>
      <c r="AM90" s="10"/>
      <c r="AN90" s="10">
        <v>1</v>
      </c>
      <c r="AR90" s="10"/>
      <c r="AS90" s="10">
        <v>1</v>
      </c>
      <c r="AT90" s="10"/>
      <c r="AU90" s="10">
        <v>1</v>
      </c>
      <c r="AY90" s="10"/>
      <c r="AZ90" s="10">
        <v>1</v>
      </c>
      <c r="BA90" s="10"/>
      <c r="BB90" s="10">
        <v>1</v>
      </c>
      <c r="BF90" s="10"/>
      <c r="BG90" s="10">
        <v>1</v>
      </c>
      <c r="BH90" s="10"/>
      <c r="BI90" s="10">
        <v>1</v>
      </c>
      <c r="BM90" s="10"/>
      <c r="BN90" s="10">
        <v>1</v>
      </c>
      <c r="BO90" s="10"/>
      <c r="BP90" s="10">
        <v>1</v>
      </c>
      <c r="BT90" s="10"/>
      <c r="BU90" s="10">
        <v>1</v>
      </c>
      <c r="BV90" s="10"/>
      <c r="BW90" s="10">
        <v>1</v>
      </c>
      <c r="CA90" s="10"/>
      <c r="CB90" s="10">
        <v>1</v>
      </c>
      <c r="CC90" s="10"/>
      <c r="CD90" s="10">
        <v>1</v>
      </c>
      <c r="CH90" s="10"/>
      <c r="CI90" s="10">
        <v>1</v>
      </c>
      <c r="CJ90" s="10"/>
      <c r="CK90" s="10">
        <v>1</v>
      </c>
      <c r="CO90" s="10"/>
      <c r="CP90" s="10"/>
      <c r="CQ90" s="10"/>
      <c r="CR90" s="10"/>
      <c r="CV90" s="10"/>
      <c r="CW90" s="10"/>
      <c r="CX90" s="10"/>
      <c r="CY90" s="10"/>
      <c r="DC90" s="10"/>
      <c r="DD90" s="10"/>
      <c r="DE90" s="10"/>
      <c r="DF90" s="10"/>
      <c r="DJ90" s="10"/>
      <c r="DK90" s="10"/>
      <c r="DL90" s="10"/>
      <c r="DM90" s="10"/>
      <c r="DQ90" s="10"/>
      <c r="DR90" s="10"/>
      <c r="DS90" s="10"/>
      <c r="DT90" s="10"/>
      <c r="DX90" s="10"/>
      <c r="DY90" s="10"/>
      <c r="DZ90" s="10"/>
      <c r="EA90" s="10"/>
      <c r="EE90" s="10"/>
      <c r="EF90" s="10"/>
      <c r="EG90" s="10"/>
      <c r="EH90" s="10"/>
      <c r="EL90" s="10"/>
      <c r="EM90" s="10"/>
      <c r="EN90" s="10"/>
      <c r="EO90" s="10"/>
    </row>
    <row r="91" spans="2:145" outlineLevel="1">
      <c r="B91" t="s">
        <v>28</v>
      </c>
      <c r="C91" t="s">
        <v>97</v>
      </c>
      <c r="E91" s="9"/>
      <c r="F91" t="s">
        <v>136</v>
      </c>
      <c r="G91" s="10">
        <v>0.1</v>
      </c>
      <c r="I91" s="9"/>
      <c r="J91" s="11" cm="1">
        <f t="array" ref="J91">MAX(IF($N$3:$DU$3=$J$3,N91:DU91))</f>
        <v>0.8</v>
      </c>
      <c r="K91" s="11" cm="1">
        <f t="array" ref="K91">MAX(IF($N$3:$DU$3=$J$3,N91:DU91))</f>
        <v>0.8</v>
      </c>
      <c r="L91" s="9"/>
      <c r="P91" s="10">
        <v>0.8</v>
      </c>
      <c r="Q91" s="10">
        <v>0.8</v>
      </c>
      <c r="R91" s="10">
        <v>0.8</v>
      </c>
      <c r="S91" s="10">
        <v>0.8</v>
      </c>
      <c r="W91" s="10"/>
      <c r="X91" s="10">
        <v>0.8</v>
      </c>
      <c r="Y91" s="10"/>
      <c r="Z91" s="10">
        <v>0.8</v>
      </c>
      <c r="AD91" s="10"/>
      <c r="AE91" s="10">
        <v>0.8</v>
      </c>
      <c r="AF91" s="10"/>
      <c r="AG91" s="10">
        <v>0.8</v>
      </c>
      <c r="AK91" s="10"/>
      <c r="AL91" s="10">
        <v>0.8</v>
      </c>
      <c r="AM91" s="10"/>
      <c r="AN91" s="10">
        <v>0.8</v>
      </c>
      <c r="AQ91">
        <v>1</v>
      </c>
      <c r="AR91" s="10"/>
      <c r="AS91" s="10">
        <v>1</v>
      </c>
      <c r="AT91" s="10"/>
      <c r="AU91" s="10">
        <v>1</v>
      </c>
      <c r="AY91" s="10"/>
      <c r="AZ91" s="10">
        <v>1</v>
      </c>
      <c r="BA91" s="10"/>
      <c r="BB91" s="10">
        <v>1</v>
      </c>
      <c r="BF91" s="10"/>
      <c r="BG91" s="10">
        <v>1</v>
      </c>
      <c r="BH91" s="10"/>
      <c r="BI91" s="10">
        <v>1</v>
      </c>
      <c r="BM91" s="10"/>
      <c r="BN91" s="10">
        <v>1</v>
      </c>
      <c r="BO91" s="10"/>
      <c r="BP91" s="10">
        <v>1</v>
      </c>
      <c r="BT91" s="10"/>
      <c r="BU91" s="10">
        <v>1</v>
      </c>
      <c r="BV91" s="10"/>
      <c r="BW91" s="10">
        <v>1</v>
      </c>
      <c r="CA91" s="10"/>
      <c r="CB91" s="10">
        <v>1</v>
      </c>
      <c r="CC91" s="10"/>
      <c r="CD91" s="10">
        <v>1</v>
      </c>
      <c r="CH91" s="10"/>
      <c r="CI91" s="10">
        <v>1</v>
      </c>
      <c r="CJ91" s="10"/>
      <c r="CK91" s="10">
        <v>1</v>
      </c>
      <c r="CO91" s="10"/>
      <c r="CP91" s="10"/>
      <c r="CQ91" s="10"/>
      <c r="CR91" s="10"/>
      <c r="CV91" s="10"/>
      <c r="CW91" s="10"/>
      <c r="CX91" s="10"/>
      <c r="CY91" s="10"/>
      <c r="DC91" s="10"/>
      <c r="DD91" s="10"/>
      <c r="DE91" s="10"/>
      <c r="DF91" s="10"/>
      <c r="DJ91" s="10"/>
      <c r="DK91" s="10"/>
      <c r="DL91" s="10"/>
      <c r="DM91" s="10"/>
      <c r="DQ91" s="10"/>
      <c r="DR91" s="10"/>
      <c r="DS91" s="10"/>
      <c r="DT91" s="10"/>
      <c r="DX91" s="10"/>
      <c r="DY91" s="10"/>
      <c r="DZ91" s="10"/>
      <c r="EA91" s="10"/>
      <c r="EE91" s="10"/>
      <c r="EF91" s="10"/>
      <c r="EG91" s="10"/>
      <c r="EH91" s="10"/>
      <c r="EL91" s="10"/>
      <c r="EM91" s="10"/>
      <c r="EN91" s="10"/>
      <c r="EO91" s="10"/>
    </row>
    <row r="92" spans="2:145" outlineLevel="1">
      <c r="B92" t="s">
        <v>28</v>
      </c>
      <c r="C92" t="s">
        <v>97</v>
      </c>
      <c r="E92" s="9"/>
      <c r="F92" t="s">
        <v>137</v>
      </c>
      <c r="G92" s="10">
        <v>0.1</v>
      </c>
      <c r="I92" s="9"/>
      <c r="J92" s="11" cm="1">
        <f t="array" ref="J92">MAX(IF($N$3:$DU$3=$J$3,N92:DU92))</f>
        <v>0.5</v>
      </c>
      <c r="K92" s="11" cm="1">
        <f t="array" ref="K92">MAX(IF($N$3:$DU$3=$J$3,N92:DU92))</f>
        <v>0.5</v>
      </c>
      <c r="L92" s="9"/>
      <c r="P92" s="10">
        <v>0.5</v>
      </c>
      <c r="Q92" s="10">
        <v>0.5</v>
      </c>
      <c r="R92" s="10">
        <v>0.5</v>
      </c>
      <c r="S92" s="10">
        <v>0.5</v>
      </c>
      <c r="V92">
        <v>1</v>
      </c>
      <c r="W92" s="10"/>
      <c r="X92" s="10">
        <v>0.8</v>
      </c>
      <c r="Y92" s="10"/>
      <c r="Z92" s="10">
        <v>0.8</v>
      </c>
      <c r="AD92" s="10"/>
      <c r="AE92" s="10">
        <v>0.8</v>
      </c>
      <c r="AF92" s="10"/>
      <c r="AG92" s="10">
        <v>0.8</v>
      </c>
      <c r="AK92" s="10"/>
      <c r="AL92" s="10">
        <v>0.8</v>
      </c>
      <c r="AM92" s="10"/>
      <c r="AN92" s="10">
        <v>0.8</v>
      </c>
      <c r="AR92" s="10"/>
      <c r="AS92" s="10">
        <v>0.8</v>
      </c>
      <c r="AT92" s="10"/>
      <c r="AU92" s="10">
        <v>0.8</v>
      </c>
      <c r="AY92" s="10"/>
      <c r="AZ92" s="10">
        <v>0.8</v>
      </c>
      <c r="BA92" s="10"/>
      <c r="BB92" s="10">
        <v>0.8</v>
      </c>
      <c r="BE92">
        <v>1</v>
      </c>
      <c r="BF92" s="10"/>
      <c r="BG92" s="10">
        <v>1</v>
      </c>
      <c r="BH92" s="10"/>
      <c r="BI92" s="10">
        <v>1</v>
      </c>
      <c r="BM92" s="10"/>
      <c r="BN92" s="10">
        <v>1</v>
      </c>
      <c r="BO92" s="10"/>
      <c r="BP92" s="10">
        <v>1</v>
      </c>
      <c r="BT92" s="10"/>
      <c r="BU92" s="10">
        <v>1</v>
      </c>
      <c r="BV92" s="10"/>
      <c r="BW92" s="10">
        <v>1</v>
      </c>
      <c r="CA92" s="10"/>
      <c r="CB92" s="10">
        <v>1</v>
      </c>
      <c r="CC92" s="10"/>
      <c r="CD92" s="10">
        <v>1</v>
      </c>
      <c r="CH92" s="10"/>
      <c r="CI92" s="10">
        <v>1</v>
      </c>
      <c r="CJ92" s="10"/>
      <c r="CK92" s="10">
        <v>1</v>
      </c>
      <c r="CO92" s="10"/>
      <c r="CP92" s="10"/>
      <c r="CQ92" s="10"/>
      <c r="CR92" s="10"/>
      <c r="CV92" s="10"/>
      <c r="CW92" s="10"/>
      <c r="CX92" s="10"/>
      <c r="CY92" s="10"/>
      <c r="DC92" s="10"/>
      <c r="DD92" s="10"/>
      <c r="DE92" s="10"/>
      <c r="DF92" s="10"/>
      <c r="DJ92" s="10"/>
      <c r="DK92" s="10"/>
      <c r="DL92" s="10"/>
      <c r="DM92" s="10"/>
      <c r="DQ92" s="10"/>
      <c r="DR92" s="10"/>
      <c r="DS92" s="10"/>
      <c r="DT92" s="10"/>
      <c r="DX92" s="10"/>
      <c r="DY92" s="10"/>
      <c r="DZ92" s="10"/>
      <c r="EA92" s="10"/>
      <c r="EE92" s="10"/>
      <c r="EF92" s="10"/>
      <c r="EG92" s="10"/>
      <c r="EH92" s="10"/>
      <c r="EL92" s="10"/>
      <c r="EM92" s="10"/>
      <c r="EN92" s="10"/>
      <c r="EO92" s="10"/>
    </row>
    <row r="93" spans="2:145" outlineLevel="1">
      <c r="B93" t="s">
        <v>28</v>
      </c>
      <c r="C93" t="s">
        <v>97</v>
      </c>
      <c r="E93" s="9"/>
      <c r="F93" t="s">
        <v>138</v>
      </c>
      <c r="G93" s="10">
        <v>0.1</v>
      </c>
      <c r="I93" s="9"/>
      <c r="J93" s="11" cm="1">
        <f t="array" ref="J93">MAX(IF($N$3:$DU$3=$J$3,N93:DU93))</f>
        <v>0</v>
      </c>
      <c r="K93" s="11" cm="1">
        <f t="array" ref="K93">MAX(IF($N$3:$DU$3=$J$3,N93:DU93))</f>
        <v>0</v>
      </c>
      <c r="L93" s="9"/>
      <c r="P93" s="10"/>
      <c r="Q93" s="10"/>
      <c r="R93" s="10"/>
      <c r="S93" s="10"/>
      <c r="V93">
        <v>1</v>
      </c>
      <c r="W93" s="10"/>
      <c r="X93" s="10">
        <v>0.8</v>
      </c>
      <c r="Y93" s="10"/>
      <c r="Z93" s="10">
        <v>0.8</v>
      </c>
      <c r="AD93" s="10"/>
      <c r="AE93" s="10">
        <v>0.8</v>
      </c>
      <c r="AF93" s="10"/>
      <c r="AG93" s="10">
        <v>0.8</v>
      </c>
      <c r="AK93" s="10"/>
      <c r="AL93" s="10">
        <v>0.8</v>
      </c>
      <c r="AM93" s="10"/>
      <c r="AN93" s="10">
        <v>0.8</v>
      </c>
      <c r="AR93" s="10"/>
      <c r="AS93" s="10">
        <v>0.8</v>
      </c>
      <c r="AT93" s="10"/>
      <c r="AU93" s="10">
        <v>0.8</v>
      </c>
      <c r="AY93" s="10"/>
      <c r="AZ93" s="10">
        <v>0.8</v>
      </c>
      <c r="BA93" s="10"/>
      <c r="BB93" s="10">
        <v>0.8</v>
      </c>
      <c r="BF93" s="10"/>
      <c r="BG93" s="10">
        <v>0.8</v>
      </c>
      <c r="BH93" s="10"/>
      <c r="BI93" s="10">
        <v>0.8</v>
      </c>
      <c r="BL93">
        <v>1</v>
      </c>
      <c r="BM93" s="10"/>
      <c r="BN93" s="10">
        <v>1</v>
      </c>
      <c r="BO93" s="10"/>
      <c r="BP93" s="10">
        <v>1</v>
      </c>
      <c r="BT93" s="10"/>
      <c r="BU93" s="10">
        <v>1</v>
      </c>
      <c r="BV93" s="10"/>
      <c r="BW93" s="10">
        <v>1</v>
      </c>
      <c r="CA93" s="10"/>
      <c r="CB93" s="10">
        <v>1</v>
      </c>
      <c r="CC93" s="10"/>
      <c r="CD93" s="10">
        <v>1</v>
      </c>
      <c r="CH93" s="10"/>
      <c r="CI93" s="10">
        <v>1</v>
      </c>
      <c r="CJ93" s="10"/>
      <c r="CK93" s="10">
        <v>1</v>
      </c>
      <c r="CO93" s="10"/>
      <c r="CP93" s="10"/>
      <c r="CQ93" s="10"/>
      <c r="CR93" s="10"/>
      <c r="CV93" s="10"/>
      <c r="CW93" s="10"/>
      <c r="CX93" s="10"/>
      <c r="CY93" s="10"/>
      <c r="DC93" s="10"/>
      <c r="DD93" s="10"/>
      <c r="DE93" s="10"/>
      <c r="DF93" s="10"/>
      <c r="DJ93" s="10"/>
      <c r="DK93" s="10"/>
      <c r="DL93" s="10"/>
      <c r="DM93" s="10"/>
      <c r="DQ93" s="10"/>
      <c r="DR93" s="10"/>
      <c r="DS93" s="10"/>
      <c r="DT93" s="10"/>
      <c r="DX93" s="10"/>
      <c r="DY93" s="10"/>
      <c r="DZ93" s="10"/>
      <c r="EA93" s="10"/>
      <c r="EE93" s="10"/>
      <c r="EF93" s="10"/>
      <c r="EG93" s="10"/>
      <c r="EH93" s="10"/>
      <c r="EL93" s="10"/>
      <c r="EM93" s="10"/>
      <c r="EN93" s="10"/>
      <c r="EO93" s="10"/>
    </row>
    <row r="94" spans="2:145" outlineLevel="1">
      <c r="B94" t="s">
        <v>28</v>
      </c>
      <c r="C94" t="s">
        <v>97</v>
      </c>
      <c r="E94" s="9"/>
      <c r="F94" t="s">
        <v>139</v>
      </c>
      <c r="G94" s="10">
        <v>0.1</v>
      </c>
      <c r="I94" s="9"/>
      <c r="J94" s="11" cm="1">
        <f t="array" ref="J94">MAX(IF($N$3:$DU$3=$J$3,N94:DU94))</f>
        <v>0</v>
      </c>
      <c r="K94" s="11" cm="1">
        <f t="array" ref="K94">MAX(IF($N$3:$DU$3=$J$3,N94:DU94))</f>
        <v>0</v>
      </c>
      <c r="L94" s="9"/>
      <c r="P94" s="10"/>
      <c r="Q94" s="10"/>
      <c r="R94" s="10"/>
      <c r="S94" s="10"/>
      <c r="W94" s="10"/>
      <c r="X94" s="10">
        <v>0.5</v>
      </c>
      <c r="Y94" s="10"/>
      <c r="Z94" s="10">
        <v>0.5</v>
      </c>
      <c r="AC94">
        <v>1</v>
      </c>
      <c r="AD94" s="10"/>
      <c r="AE94" s="10">
        <v>0.8</v>
      </c>
      <c r="AF94" s="10"/>
      <c r="AG94" s="10">
        <v>0.8</v>
      </c>
      <c r="AJ94">
        <v>1</v>
      </c>
      <c r="AK94" s="10"/>
      <c r="AL94" s="10">
        <v>0.8</v>
      </c>
      <c r="AM94" s="10"/>
      <c r="AN94" s="10">
        <v>0.8</v>
      </c>
      <c r="AR94" s="10"/>
      <c r="AS94" s="10">
        <v>0.8</v>
      </c>
      <c r="AT94" s="10"/>
      <c r="AU94" s="10">
        <v>0.8</v>
      </c>
      <c r="AY94" s="10"/>
      <c r="AZ94" s="10">
        <v>0.8</v>
      </c>
      <c r="BA94" s="10"/>
      <c r="BB94" s="10">
        <v>0.8</v>
      </c>
      <c r="BF94" s="10"/>
      <c r="BG94" s="10">
        <v>0.8</v>
      </c>
      <c r="BH94" s="10"/>
      <c r="BI94" s="10">
        <v>0.8</v>
      </c>
      <c r="BM94" s="10"/>
      <c r="BN94" s="10">
        <v>0.8</v>
      </c>
      <c r="BO94" s="10"/>
      <c r="BP94" s="10">
        <v>0.8</v>
      </c>
      <c r="BS94">
        <v>1</v>
      </c>
      <c r="BT94" s="10"/>
      <c r="BU94" s="10">
        <v>1</v>
      </c>
      <c r="BV94" s="10"/>
      <c r="BW94" s="10">
        <v>1</v>
      </c>
      <c r="CA94" s="10"/>
      <c r="CB94" s="10">
        <v>1</v>
      </c>
      <c r="CC94" s="10"/>
      <c r="CD94" s="10">
        <v>1</v>
      </c>
      <c r="CH94" s="10"/>
      <c r="CI94" s="10">
        <v>1</v>
      </c>
      <c r="CJ94" s="10"/>
      <c r="CK94" s="10">
        <v>1</v>
      </c>
      <c r="CO94" s="10"/>
      <c r="CP94" s="10"/>
      <c r="CQ94" s="10"/>
      <c r="CR94" s="10"/>
      <c r="CV94" s="10"/>
      <c r="CW94" s="10"/>
      <c r="CX94" s="10"/>
      <c r="CY94" s="10"/>
      <c r="DC94" s="10"/>
      <c r="DD94" s="10"/>
      <c r="DE94" s="10"/>
      <c r="DF94" s="10"/>
      <c r="DJ94" s="10"/>
      <c r="DK94" s="10"/>
      <c r="DL94" s="10"/>
      <c r="DM94" s="10"/>
      <c r="DQ94" s="10"/>
      <c r="DR94" s="10"/>
      <c r="DS94" s="10"/>
      <c r="DT94" s="10"/>
      <c r="DX94" s="10"/>
      <c r="DY94" s="10"/>
      <c r="DZ94" s="10"/>
      <c r="EA94" s="10"/>
      <c r="EE94" s="10"/>
      <c r="EF94" s="10"/>
      <c r="EG94" s="10"/>
      <c r="EH94" s="10"/>
      <c r="EL94" s="10"/>
      <c r="EM94" s="10"/>
      <c r="EN94" s="10"/>
      <c r="EO94" s="10"/>
    </row>
    <row r="95" spans="2:145" outlineLevel="1">
      <c r="B95" t="s">
        <v>28</v>
      </c>
      <c r="C95" t="s">
        <v>97</v>
      </c>
      <c r="E95" s="9"/>
      <c r="F95" t="s">
        <v>140</v>
      </c>
      <c r="G95" s="10">
        <v>0.1</v>
      </c>
      <c r="I95" s="9"/>
      <c r="J95" s="11" cm="1">
        <f t="array" ref="J95">MAX(IF($N$3:$DU$3=$J$3,N95:DU95))</f>
        <v>0</v>
      </c>
      <c r="K95" s="11" cm="1">
        <f t="array" ref="K95">MAX(IF($N$3:$DU$3=$J$3,N95:DU95))</f>
        <v>0</v>
      </c>
      <c r="L95" s="9"/>
      <c r="P95" s="10"/>
      <c r="Q95" s="10"/>
      <c r="R95" s="10"/>
      <c r="S95" s="10"/>
      <c r="W95" s="10"/>
      <c r="X95" s="10">
        <v>0.5</v>
      </c>
      <c r="Y95" s="10"/>
      <c r="Z95" s="10">
        <v>0.5</v>
      </c>
      <c r="AD95" s="10"/>
      <c r="AE95" s="10">
        <v>0.5</v>
      </c>
      <c r="AF95" s="10"/>
      <c r="AG95" s="10">
        <v>0.5</v>
      </c>
      <c r="AK95" s="10"/>
      <c r="AL95" s="10">
        <v>0.5</v>
      </c>
      <c r="AM95" s="10"/>
      <c r="AN95" s="10">
        <v>0.5</v>
      </c>
      <c r="AR95" s="10"/>
      <c r="AS95" s="10">
        <v>0.5</v>
      </c>
      <c r="AT95" s="10"/>
      <c r="AU95" s="10">
        <v>0.5</v>
      </c>
      <c r="AX95">
        <v>1</v>
      </c>
      <c r="AY95" s="10"/>
      <c r="AZ95" s="10">
        <v>0.8</v>
      </c>
      <c r="BA95" s="10"/>
      <c r="BB95" s="10">
        <v>0.8</v>
      </c>
      <c r="BF95" s="10"/>
      <c r="BG95" s="10">
        <v>0.8</v>
      </c>
      <c r="BH95" s="10"/>
      <c r="BI95" s="10">
        <v>0.8</v>
      </c>
      <c r="BM95" s="10"/>
      <c r="BN95" s="10">
        <v>0.8</v>
      </c>
      <c r="BO95" s="10"/>
      <c r="BP95" s="10">
        <v>0.8</v>
      </c>
      <c r="BS95">
        <v>1</v>
      </c>
      <c r="BT95" s="10"/>
      <c r="BU95" s="10">
        <v>1</v>
      </c>
      <c r="BV95" s="10"/>
      <c r="BW95" s="10">
        <v>1</v>
      </c>
      <c r="CA95" s="10"/>
      <c r="CB95" s="10">
        <v>1</v>
      </c>
      <c r="CC95" s="10"/>
      <c r="CD95" s="10">
        <v>1</v>
      </c>
      <c r="CH95" s="10"/>
      <c r="CI95" s="10">
        <v>1</v>
      </c>
      <c r="CJ95" s="10"/>
      <c r="CK95" s="10">
        <v>1</v>
      </c>
      <c r="CO95" s="10"/>
      <c r="CP95" s="10"/>
      <c r="CQ95" s="10"/>
      <c r="CR95" s="10"/>
      <c r="CV95" s="10"/>
      <c r="CW95" s="10"/>
      <c r="CX95" s="10"/>
      <c r="CY95" s="10"/>
      <c r="DC95" s="10"/>
      <c r="DD95" s="10"/>
      <c r="DE95" s="10"/>
      <c r="DF95" s="10"/>
      <c r="DJ95" s="10"/>
      <c r="DK95" s="10"/>
      <c r="DL95" s="10"/>
      <c r="DM95" s="10"/>
      <c r="DQ95" s="10"/>
      <c r="DR95" s="10"/>
      <c r="DS95" s="10"/>
      <c r="DT95" s="10"/>
      <c r="DX95" s="10"/>
      <c r="DY95" s="10"/>
      <c r="DZ95" s="10"/>
      <c r="EA95" s="10"/>
      <c r="EE95" s="10"/>
      <c r="EF95" s="10"/>
      <c r="EG95" s="10"/>
      <c r="EH95" s="10"/>
      <c r="EL95" s="10"/>
      <c r="EM95" s="10"/>
      <c r="EN95" s="10"/>
      <c r="EO95" s="10"/>
    </row>
    <row r="96" spans="2:145" outlineLevel="1">
      <c r="B96" t="s">
        <v>28</v>
      </c>
      <c r="C96" t="s">
        <v>97</v>
      </c>
      <c r="E96" s="9"/>
      <c r="F96" t="s">
        <v>141</v>
      </c>
      <c r="G96" s="10">
        <v>0.1</v>
      </c>
      <c r="I96" s="9"/>
      <c r="J96" s="11" cm="1">
        <f t="array" ref="J96">MAX(IF($N$3:$DU$3=$J$3,N96:DU96))</f>
        <v>0</v>
      </c>
      <c r="K96" s="11" cm="1">
        <f t="array" ref="K96">MAX(IF($N$3:$DU$3=$J$3,N96:DU96))</f>
        <v>0</v>
      </c>
      <c r="L96" s="9"/>
      <c r="P96" s="10"/>
      <c r="Q96" s="10"/>
      <c r="R96" s="10"/>
      <c r="S96" s="10"/>
      <c r="W96" s="10"/>
      <c r="X96" s="10"/>
      <c r="Y96" s="10"/>
      <c r="Z96" s="10"/>
      <c r="AC96">
        <v>1</v>
      </c>
      <c r="AD96" s="10"/>
      <c r="AE96" s="10">
        <v>0.5</v>
      </c>
      <c r="AF96" s="10"/>
      <c r="AG96" s="10">
        <v>0.5</v>
      </c>
      <c r="AK96" s="10"/>
      <c r="AL96" s="10">
        <v>0.5</v>
      </c>
      <c r="AM96" s="10"/>
      <c r="AN96" s="10">
        <v>0.5</v>
      </c>
      <c r="AR96" s="10"/>
      <c r="AS96" s="10">
        <v>0.5</v>
      </c>
      <c r="AT96" s="10"/>
      <c r="AU96" s="10">
        <v>0.5</v>
      </c>
      <c r="AX96">
        <v>1</v>
      </c>
      <c r="AY96" s="10"/>
      <c r="AZ96" s="10">
        <v>0.8</v>
      </c>
      <c r="BA96" s="10"/>
      <c r="BB96" s="10">
        <v>0.8</v>
      </c>
      <c r="BF96" s="10"/>
      <c r="BG96" s="10">
        <v>0.8</v>
      </c>
      <c r="BH96" s="10"/>
      <c r="BI96" s="10">
        <v>0.8</v>
      </c>
      <c r="BM96" s="10"/>
      <c r="BN96" s="10">
        <v>0.8</v>
      </c>
      <c r="BO96" s="10"/>
      <c r="BP96" s="10">
        <v>0.8</v>
      </c>
      <c r="BT96" s="10"/>
      <c r="BU96" s="10">
        <v>0.8</v>
      </c>
      <c r="BV96" s="10"/>
      <c r="BW96" s="10">
        <v>0.8</v>
      </c>
      <c r="BZ96">
        <v>1</v>
      </c>
      <c r="CA96" s="10"/>
      <c r="CB96" s="10">
        <v>1</v>
      </c>
      <c r="CC96" s="10"/>
      <c r="CD96" s="10">
        <v>1</v>
      </c>
      <c r="CH96" s="10"/>
      <c r="CI96" s="10">
        <v>1</v>
      </c>
      <c r="CJ96" s="10"/>
      <c r="CK96" s="10">
        <v>1</v>
      </c>
      <c r="CO96" s="10"/>
      <c r="CP96" s="10"/>
      <c r="CQ96" s="10"/>
      <c r="CR96" s="10"/>
      <c r="CV96" s="10"/>
      <c r="CW96" s="10"/>
      <c r="CX96" s="10"/>
      <c r="CY96" s="10"/>
      <c r="DC96" s="10"/>
      <c r="DD96" s="10"/>
      <c r="DE96" s="10"/>
      <c r="DF96" s="10"/>
      <c r="DJ96" s="10"/>
      <c r="DK96" s="10"/>
      <c r="DL96" s="10"/>
      <c r="DM96" s="10"/>
      <c r="DQ96" s="10"/>
      <c r="DR96" s="10"/>
      <c r="DS96" s="10"/>
      <c r="DT96" s="10"/>
      <c r="DX96" s="10"/>
      <c r="DY96" s="10"/>
      <c r="DZ96" s="10"/>
      <c r="EA96" s="10"/>
      <c r="EE96" s="10"/>
      <c r="EF96" s="10"/>
      <c r="EG96" s="10"/>
      <c r="EH96" s="10"/>
      <c r="EL96" s="10"/>
      <c r="EM96" s="10"/>
      <c r="EN96" s="10"/>
      <c r="EO96" s="10"/>
    </row>
    <row r="97" spans="2:145" outlineLevel="1">
      <c r="B97" t="s">
        <v>28</v>
      </c>
      <c r="C97" t="s">
        <v>97</v>
      </c>
      <c r="E97" s="9"/>
      <c r="F97" t="s">
        <v>142</v>
      </c>
      <c r="G97" s="10">
        <v>0.1</v>
      </c>
      <c r="I97" s="9"/>
      <c r="J97" s="11" cm="1">
        <f t="array" ref="J97">MAX(IF($N$3:$DU$3=$J$3,N97:DU97))</f>
        <v>0</v>
      </c>
      <c r="K97" s="11" cm="1">
        <f t="array" ref="K97">MAX(IF($N$3:$DU$3=$J$3,N97:DU97))</f>
        <v>0</v>
      </c>
      <c r="L97" s="9"/>
      <c r="P97" s="10"/>
      <c r="Q97" s="10"/>
      <c r="R97" s="10"/>
      <c r="S97" s="10"/>
      <c r="W97" s="10"/>
      <c r="X97" s="10"/>
      <c r="Y97" s="10"/>
      <c r="Z97" s="10"/>
      <c r="AD97" s="10"/>
      <c r="AE97" s="10"/>
      <c r="AF97" s="10"/>
      <c r="AG97" s="10"/>
      <c r="AJ97">
        <v>1</v>
      </c>
      <c r="AK97" s="10"/>
      <c r="AL97" s="10">
        <v>0.5</v>
      </c>
      <c r="AM97" s="10"/>
      <c r="AN97" s="10">
        <v>0.5</v>
      </c>
      <c r="AR97" s="10"/>
      <c r="AS97" s="10">
        <v>0.5</v>
      </c>
      <c r="AT97" s="10"/>
      <c r="AU97" s="10">
        <v>0.5</v>
      </c>
      <c r="AY97" s="10"/>
      <c r="AZ97" s="10">
        <v>0.5</v>
      </c>
      <c r="BA97" s="10"/>
      <c r="BB97" s="10">
        <v>0.5</v>
      </c>
      <c r="BE97">
        <v>1</v>
      </c>
      <c r="BF97" s="10"/>
      <c r="BG97" s="10">
        <v>0.8</v>
      </c>
      <c r="BH97" s="10"/>
      <c r="BI97" s="10">
        <v>0.8</v>
      </c>
      <c r="BM97" s="10"/>
      <c r="BN97" s="10">
        <v>0.8</v>
      </c>
      <c r="BO97" s="10"/>
      <c r="BP97" s="10">
        <v>0.8</v>
      </c>
      <c r="BT97" s="10"/>
      <c r="BU97" s="10">
        <v>0.8</v>
      </c>
      <c r="BV97" s="10"/>
      <c r="BW97" s="10">
        <v>0.8</v>
      </c>
      <c r="BZ97">
        <v>1</v>
      </c>
      <c r="CA97" s="10"/>
      <c r="CB97" s="10">
        <v>1</v>
      </c>
      <c r="CC97" s="10"/>
      <c r="CD97" s="10">
        <v>1</v>
      </c>
      <c r="CH97" s="10"/>
      <c r="CI97" s="10">
        <v>1</v>
      </c>
      <c r="CJ97" s="10"/>
      <c r="CK97" s="10">
        <v>1</v>
      </c>
      <c r="CO97" s="10"/>
      <c r="CP97" s="10"/>
      <c r="CQ97" s="10"/>
      <c r="CR97" s="10"/>
      <c r="CV97" s="10"/>
      <c r="CW97" s="10"/>
      <c r="CX97" s="10"/>
      <c r="CY97" s="10"/>
      <c r="DC97" s="10"/>
      <c r="DD97" s="10"/>
      <c r="DE97" s="10"/>
      <c r="DF97" s="10"/>
      <c r="DJ97" s="10"/>
      <c r="DK97" s="10"/>
      <c r="DL97" s="10"/>
      <c r="DM97" s="10"/>
      <c r="DQ97" s="10"/>
      <c r="DR97" s="10"/>
      <c r="DS97" s="10"/>
      <c r="DT97" s="10"/>
      <c r="DX97" s="10"/>
      <c r="DY97" s="10"/>
      <c r="DZ97" s="10"/>
      <c r="EA97" s="10"/>
      <c r="EE97" s="10"/>
      <c r="EF97" s="10"/>
      <c r="EG97" s="10"/>
      <c r="EH97" s="10"/>
      <c r="EL97" s="10"/>
      <c r="EM97" s="10"/>
      <c r="EN97" s="10"/>
      <c r="EO97" s="10"/>
    </row>
    <row r="98" spans="2:145" outlineLevel="1">
      <c r="B98" t="s">
        <v>28</v>
      </c>
      <c r="C98" t="s">
        <v>97</v>
      </c>
      <c r="E98" s="9"/>
      <c r="F98" t="s">
        <v>143</v>
      </c>
      <c r="G98" s="10">
        <v>0.1</v>
      </c>
      <c r="I98" s="9"/>
      <c r="J98" s="11" cm="1">
        <f t="array" ref="J98">MAX(IF($N$3:$DU$3=$J$3,N98:DU98))</f>
        <v>0</v>
      </c>
      <c r="K98" s="11" cm="1">
        <f t="array" ref="K98">MAX(IF($N$3:$DU$3=$J$3,N98:DU98))</f>
        <v>0</v>
      </c>
      <c r="L98" s="9"/>
      <c r="P98" s="10"/>
      <c r="Q98" s="10"/>
      <c r="R98" s="10"/>
      <c r="S98" s="10"/>
      <c r="W98" s="10"/>
      <c r="X98" s="10"/>
      <c r="Y98" s="10"/>
      <c r="Z98" s="10"/>
      <c r="AD98" s="10"/>
      <c r="AE98" s="10"/>
      <c r="AF98" s="10"/>
      <c r="AG98" s="10"/>
      <c r="AK98" s="10"/>
      <c r="AL98" s="10"/>
      <c r="AM98" s="10"/>
      <c r="AN98" s="10"/>
      <c r="AQ98">
        <v>1</v>
      </c>
      <c r="AR98" s="10"/>
      <c r="AS98" s="10">
        <v>0.5</v>
      </c>
      <c r="AT98" s="10"/>
      <c r="AU98" s="10">
        <v>0.5</v>
      </c>
      <c r="AY98" s="10"/>
      <c r="AZ98" s="10">
        <v>0.5</v>
      </c>
      <c r="BA98" s="10"/>
      <c r="BB98" s="10">
        <v>0.5</v>
      </c>
      <c r="BF98" s="10"/>
      <c r="BG98" s="10">
        <v>0.5</v>
      </c>
      <c r="BH98" s="10"/>
      <c r="BI98" s="10">
        <v>0.5</v>
      </c>
      <c r="BL98">
        <v>1</v>
      </c>
      <c r="BM98" s="10"/>
      <c r="BN98" s="10">
        <v>0.8</v>
      </c>
      <c r="BO98" s="10"/>
      <c r="BP98" s="10">
        <v>0.8</v>
      </c>
      <c r="BT98" s="10"/>
      <c r="BU98" s="10">
        <v>0.8</v>
      </c>
      <c r="BV98" s="10"/>
      <c r="BW98" s="10">
        <v>0.8</v>
      </c>
      <c r="CA98" s="10"/>
      <c r="CB98" s="10">
        <v>0.8</v>
      </c>
      <c r="CC98" s="10"/>
      <c r="CD98" s="10">
        <v>0.8</v>
      </c>
      <c r="CG98">
        <v>1</v>
      </c>
      <c r="CH98" s="10"/>
      <c r="CI98" s="10">
        <v>1</v>
      </c>
      <c r="CJ98" s="10"/>
      <c r="CK98" s="10">
        <v>1</v>
      </c>
      <c r="CO98" s="10"/>
      <c r="CP98" s="10"/>
      <c r="CQ98" s="10"/>
      <c r="CR98" s="10"/>
      <c r="CV98" s="10"/>
      <c r="CW98" s="10"/>
      <c r="CX98" s="10"/>
      <c r="CY98" s="10"/>
      <c r="DC98" s="10"/>
      <c r="DD98" s="10"/>
      <c r="DE98" s="10"/>
      <c r="DF98" s="10"/>
      <c r="DJ98" s="10"/>
      <c r="DK98" s="10"/>
      <c r="DL98" s="10"/>
      <c r="DM98" s="10"/>
      <c r="DQ98" s="10"/>
      <c r="DR98" s="10"/>
      <c r="DS98" s="10"/>
      <c r="DT98" s="10"/>
      <c r="DX98" s="10"/>
      <c r="DY98" s="10"/>
      <c r="DZ98" s="10"/>
      <c r="EA98" s="10"/>
      <c r="EE98" s="10"/>
      <c r="EF98" s="10"/>
      <c r="EG98" s="10"/>
      <c r="EH98" s="10"/>
      <c r="EL98" s="10"/>
      <c r="EM98" s="10"/>
      <c r="EN98" s="10"/>
      <c r="EO98" s="10"/>
    </row>
    <row r="99" spans="2:145" outlineLevel="1">
      <c r="B99" t="s">
        <v>28</v>
      </c>
      <c r="C99" t="s">
        <v>97</v>
      </c>
      <c r="E99" s="9"/>
      <c r="F99" t="s">
        <v>144</v>
      </c>
      <c r="G99" s="10">
        <v>0.1</v>
      </c>
      <c r="I99" s="9"/>
      <c r="J99" s="11" cm="1">
        <f t="array" ref="J99">MAX(IF($N$3:$DU$3=$J$3,N99:DU99))</f>
        <v>0</v>
      </c>
      <c r="K99" s="11" cm="1">
        <f t="array" ref="K99">MAX(IF($N$3:$DU$3=$J$3,N99:DU99))</f>
        <v>0</v>
      </c>
      <c r="L99" s="9"/>
      <c r="P99" s="10"/>
      <c r="Q99" s="10"/>
      <c r="R99" s="10"/>
      <c r="S99" s="10"/>
      <c r="W99" s="10"/>
      <c r="X99" s="10"/>
      <c r="Y99" s="10"/>
      <c r="Z99" s="10"/>
      <c r="AD99" s="10"/>
      <c r="AE99" s="10"/>
      <c r="AF99" s="10"/>
      <c r="AG99" s="10"/>
      <c r="AK99" s="10"/>
      <c r="AL99" s="10"/>
      <c r="AM99" s="10"/>
      <c r="AN99" s="10"/>
      <c r="AR99" s="10"/>
      <c r="AS99" s="10"/>
      <c r="AT99" s="10"/>
      <c r="AU99" s="10"/>
      <c r="AX99">
        <v>1</v>
      </c>
      <c r="AY99" s="10"/>
      <c r="AZ99" s="10">
        <v>0.5</v>
      </c>
      <c r="BA99" s="10"/>
      <c r="BB99" s="10">
        <v>0.5</v>
      </c>
      <c r="BF99" s="10"/>
      <c r="BG99" s="10">
        <v>0.5</v>
      </c>
      <c r="BH99" s="10"/>
      <c r="BI99" s="10">
        <v>0.5</v>
      </c>
      <c r="BM99" s="10"/>
      <c r="BN99" s="10">
        <v>0.5</v>
      </c>
      <c r="BO99" s="10"/>
      <c r="BP99" s="10">
        <v>0.5</v>
      </c>
      <c r="BS99">
        <v>1</v>
      </c>
      <c r="BT99" s="10"/>
      <c r="BU99" s="10">
        <v>0.8</v>
      </c>
      <c r="BV99" s="10"/>
      <c r="BW99" s="10">
        <v>0.8</v>
      </c>
      <c r="CA99" s="10"/>
      <c r="CB99" s="10">
        <v>0.8</v>
      </c>
      <c r="CC99" s="10"/>
      <c r="CD99" s="10">
        <v>0.8</v>
      </c>
      <c r="CG99">
        <v>1</v>
      </c>
      <c r="CH99" s="10"/>
      <c r="CI99" s="10">
        <v>1</v>
      </c>
      <c r="CJ99" s="10"/>
      <c r="CK99" s="10">
        <v>1</v>
      </c>
      <c r="CO99" s="10"/>
      <c r="CP99" s="10"/>
      <c r="CQ99" s="10"/>
      <c r="CR99" s="10"/>
      <c r="CV99" s="10"/>
      <c r="CW99" s="10"/>
      <c r="CX99" s="10"/>
      <c r="CY99" s="10"/>
      <c r="DC99" s="10"/>
      <c r="DD99" s="10"/>
      <c r="DE99" s="10"/>
      <c r="DF99" s="10"/>
      <c r="DJ99" s="10"/>
      <c r="DK99" s="10"/>
      <c r="DL99" s="10"/>
      <c r="DM99" s="10"/>
      <c r="DQ99" s="10"/>
      <c r="DR99" s="10"/>
      <c r="DS99" s="10"/>
      <c r="DT99" s="10"/>
      <c r="DX99" s="10"/>
      <c r="DY99" s="10"/>
      <c r="DZ99" s="10"/>
      <c r="EA99" s="10"/>
      <c r="EE99" s="10"/>
      <c r="EF99" s="10"/>
      <c r="EG99" s="10"/>
      <c r="EH99" s="10"/>
      <c r="EL99" s="10"/>
      <c r="EM99" s="10"/>
      <c r="EN99" s="10"/>
      <c r="EO99" s="10"/>
    </row>
    <row r="101" spans="2:145">
      <c r="E101">
        <f>SUM(E4:E89)</f>
        <v>27</v>
      </c>
    </row>
    <row r="111" spans="2:145">
      <c r="C111" t="s">
        <v>225</v>
      </c>
      <c r="D111" t="s">
        <v>233</v>
      </c>
      <c r="G111" t="s">
        <v>232</v>
      </c>
    </row>
    <row r="112" spans="2:145">
      <c r="B112" t="s">
        <v>93</v>
      </c>
      <c r="C112">
        <v>30</v>
      </c>
      <c r="D112">
        <f>C112/C$122</f>
        <v>2.7272727272727271</v>
      </c>
      <c r="E112">
        <v>5.5</v>
      </c>
      <c r="F112">
        <f>40/E$119*E112</f>
        <v>8.4615384615384617</v>
      </c>
      <c r="G112">
        <f>F112/D112</f>
        <v>3.1025641025641026</v>
      </c>
    </row>
    <row r="113" spans="2:7">
      <c r="B113" t="s">
        <v>228</v>
      </c>
      <c r="C113">
        <v>31</v>
      </c>
      <c r="D113">
        <f>C113/C$122</f>
        <v>2.8181818181818183</v>
      </c>
      <c r="E113">
        <v>5.5</v>
      </c>
      <c r="F113">
        <f t="shared" ref="F113:F118" si="5">40/E$119*E113</f>
        <v>8.4615384615384617</v>
      </c>
      <c r="G113">
        <f t="shared" ref="G113:G118" si="6">F113/D113</f>
        <v>3.0024813895781635</v>
      </c>
    </row>
    <row r="114" spans="2:7">
      <c r="B114" t="s">
        <v>176</v>
      </c>
      <c r="C114">
        <v>33</v>
      </c>
      <c r="D114">
        <f t="shared" ref="D114:D116" si="7">C114/C$122</f>
        <v>3</v>
      </c>
      <c r="E114">
        <v>3.5</v>
      </c>
      <c r="F114">
        <f t="shared" si="5"/>
        <v>5.384615384615385</v>
      </c>
      <c r="G114">
        <f>F114/D114</f>
        <v>1.7948717948717949</v>
      </c>
    </row>
    <row r="115" spans="2:7">
      <c r="B115" t="s">
        <v>229</v>
      </c>
      <c r="C115">
        <v>14</v>
      </c>
      <c r="D115">
        <f t="shared" si="7"/>
        <v>1.2727272727272727</v>
      </c>
      <c r="E115">
        <v>5.5</v>
      </c>
      <c r="F115">
        <f t="shared" si="5"/>
        <v>8.4615384615384617</v>
      </c>
      <c r="G115">
        <f t="shared" si="6"/>
        <v>6.6483516483516487</v>
      </c>
    </row>
    <row r="116" spans="2:7">
      <c r="B116" t="s">
        <v>230</v>
      </c>
      <c r="C116">
        <v>25</v>
      </c>
      <c r="D116">
        <f t="shared" si="7"/>
        <v>2.2727272727272729</v>
      </c>
      <c r="E116">
        <v>1</v>
      </c>
      <c r="F116">
        <f t="shared" si="5"/>
        <v>1.5384615384615385</v>
      </c>
      <c r="G116">
        <f t="shared" si="6"/>
        <v>0.67692307692307685</v>
      </c>
    </row>
    <row r="117" spans="2:7">
      <c r="B117" t="s">
        <v>231</v>
      </c>
      <c r="C117">
        <v>30</v>
      </c>
      <c r="D117">
        <f>C117/3.5</f>
        <v>8.5714285714285712</v>
      </c>
      <c r="E117">
        <v>2</v>
      </c>
      <c r="F117">
        <f t="shared" si="5"/>
        <v>3.0769230769230771</v>
      </c>
      <c r="G117">
        <f t="shared" si="6"/>
        <v>0.35897435897435903</v>
      </c>
    </row>
    <row r="118" spans="2:7">
      <c r="B118" t="s">
        <v>187</v>
      </c>
      <c r="C118">
        <v>30</v>
      </c>
      <c r="D118">
        <f>C118/5</f>
        <v>6</v>
      </c>
      <c r="E118">
        <v>3</v>
      </c>
      <c r="F118">
        <f t="shared" si="5"/>
        <v>4.6153846153846159</v>
      </c>
      <c r="G118">
        <f t="shared" si="6"/>
        <v>0.76923076923076927</v>
      </c>
    </row>
    <row r="119" spans="2:7">
      <c r="E119">
        <f>SUM(E112:E118)</f>
        <v>26</v>
      </c>
    </row>
    <row r="120" spans="2:7">
      <c r="C120">
        <f>SUM(C112:C118)</f>
        <v>193</v>
      </c>
      <c r="D120">
        <f>SUM(D112:D116)+6</f>
        <v>18.090909090909093</v>
      </c>
      <c r="F120">
        <f>SUM(F112:F118)</f>
        <v>40</v>
      </c>
    </row>
    <row r="122" spans="2:7">
      <c r="B122" t="s">
        <v>226</v>
      </c>
      <c r="C122">
        <v>11</v>
      </c>
    </row>
    <row r="123" spans="2:7">
      <c r="B123" t="s">
        <v>227</v>
      </c>
      <c r="C123">
        <f>C120/C122</f>
        <v>17.545454545454547</v>
      </c>
    </row>
  </sheetData>
  <mergeCells count="20">
    <mergeCell ref="CG2:CL2"/>
    <mergeCell ref="CN2:CS2"/>
    <mergeCell ref="AX2:BC2"/>
    <mergeCell ref="BE2:BJ2"/>
    <mergeCell ref="BL2:BQ2"/>
    <mergeCell ref="BS2:BX2"/>
    <mergeCell ref="BZ2:CE2"/>
    <mergeCell ref="I2:L2"/>
    <mergeCell ref="AQ2:AV2"/>
    <mergeCell ref="O2:T2"/>
    <mergeCell ref="V2:AA2"/>
    <mergeCell ref="AC2:AH2"/>
    <mergeCell ref="AJ2:AO2"/>
    <mergeCell ref="ED2:EI2"/>
    <mergeCell ref="EK2:EP2"/>
    <mergeCell ref="CU2:CZ2"/>
    <mergeCell ref="DB2:DG2"/>
    <mergeCell ref="DI2:DN2"/>
    <mergeCell ref="DP2:DU2"/>
    <mergeCell ref="DW2:EB2"/>
  </mergeCells>
  <conditionalFormatting sqref="J5:J15">
    <cfRule type="colorScale" priority="894">
      <colorScale>
        <cfvo type="percent" val="0"/>
        <cfvo type="percent" val="100"/>
        <color rgb="FFFF231B"/>
        <color rgb="FF10FF07"/>
      </colorScale>
    </cfRule>
  </conditionalFormatting>
  <conditionalFormatting sqref="J32:J43">
    <cfRule type="colorScale" priority="1120">
      <colorScale>
        <cfvo type="percent" val="0"/>
        <cfvo type="percent" val="100"/>
        <color rgb="FFFF231B"/>
        <color rgb="FF10FF07"/>
      </colorScale>
    </cfRule>
  </conditionalFormatting>
  <conditionalFormatting sqref="J55:J64">
    <cfRule type="colorScale" priority="1184">
      <colorScale>
        <cfvo type="percent" val="0"/>
        <cfvo type="percent" val="100"/>
        <color rgb="FFFF231B"/>
        <color rgb="FF10FF07"/>
      </colorScale>
    </cfRule>
  </conditionalFormatting>
  <conditionalFormatting sqref="J6:K15">
    <cfRule type="colorScale" priority="865">
      <colorScale>
        <cfvo type="percent" val="0"/>
        <cfvo type="percent" val="100"/>
        <color rgb="FFFF231B"/>
        <color rgb="FF10FF07"/>
      </colorScale>
    </cfRule>
  </conditionalFormatting>
  <conditionalFormatting sqref="J33:K43">
    <cfRule type="colorScale" priority="1121">
      <colorScale>
        <cfvo type="percent" val="0"/>
        <cfvo type="percent" val="100"/>
        <color rgb="FFFF231B"/>
        <color rgb="FF10FF07"/>
      </colorScale>
    </cfRule>
  </conditionalFormatting>
  <conditionalFormatting sqref="J56:K64">
    <cfRule type="colorScale" priority="1185">
      <colorScale>
        <cfvo type="percent" val="0"/>
        <cfvo type="percent" val="100"/>
        <color rgb="FFFF231B"/>
        <color rgb="FF10FF07"/>
      </colorScale>
    </cfRule>
  </conditionalFormatting>
  <conditionalFormatting sqref="K5:K15">
    <cfRule type="colorScale" priority="895">
      <colorScale>
        <cfvo type="percent" val="0"/>
        <cfvo type="percent" val="100"/>
        <color rgb="FFFF231B"/>
        <color rgb="FF10FF07"/>
      </colorScale>
    </cfRule>
  </conditionalFormatting>
  <conditionalFormatting sqref="K32:K43">
    <cfRule type="colorScale" priority="1122">
      <colorScale>
        <cfvo type="percent" val="0"/>
        <cfvo type="percent" val="100"/>
        <color rgb="FFFF231B"/>
        <color rgb="FF10FF07"/>
      </colorScale>
    </cfRule>
  </conditionalFormatting>
  <conditionalFormatting sqref="K55:K64">
    <cfRule type="colorScale" priority="1186">
      <colorScale>
        <cfvo type="percent" val="0"/>
        <cfvo type="percent" val="100"/>
        <color rgb="FFFF231B"/>
        <color rgb="FF10FF07"/>
      </colorScale>
    </cfRule>
  </conditionalFormatting>
  <conditionalFormatting sqref="W5:W15 CO32:CO43 CQ32:CQ43 P55:P64 R55:R64 W55:W64 Y55:Y64 AD55:AD64 AF55:AF64 AK55:AK64 AM55:AM64 AR55:AR64 AT55:AT64 AY55:AY64 BA55:BA64 BF55:BF64 BH55:BH64 BM55:BM64 BO55:BO64 BT55:BT64 CA55:CA64 CH55:CH64 CJ55:CJ64 CO55:CO64 CQ55:CQ64 P46:P52 CO46:CO52 CQ46:CQ52 CV46:CV52 CX46:CX52 DC46:DC52 DE46:DE52 DJ46:DJ52 DL46:DL52 DQ46:DQ52 DS46:DS52 DX46:DX52 DZ46:DZ52 EE46:EE52 EG46:EG52 EL46:EL52 EN46:EN52 CO18:CO29 CQ18:CQ29 CV18:CV29 CX18:CX29 DC18:DC29 DE18:DE29 DJ18:DJ29 DL18:DL29 DQ18:DQ29 DS18:DS29 DX18:DX29 DZ18:DZ29 EE18:EE29 EG18:EG29 EL18:EL29 EN18:EN29 P18:P29 R18:R29 P32:P43 R32:R43 R46:R50 BV57:BV64 CQ5:CQ15 CC7:CC15 BO7:BO15 AF13:AF15 CJ5:CJ15 BV7:BV15 BH7:BH15 Y12:Y15 BF18:BF29 BH18:BH29 AK18:AK29 AM18:AM29 AR18:AR29 AT18:AT29 AY18:AY29 BA18:BA29 BM17:BM29 BO17:BO29 CA18:CA29 CC18:CC29 CH18:CH29 CJ18:CJ29 BT18:BT29 BV18:BV29 AD18:AD29 AF18:AF29 W18:W29 Y18:Y29 W32:W43 Y32:Y43 AD32:AD43 AF32:AF43 AK32:AK43 AM32:AM43 AR32:AR43 AT32:AT43 AY32:AY43 BA32:BA43 BF32:BF43 BH32:BH43 BM32:BM43 BO32:BO43 BT32:BT43 BV32:BV43 CA32:CA43 CC32:CC43 CH32:CH43 CJ32:CJ43 W46:W52 Y46:Y52 AD46:AD52 AF46:AF52 AK46:AK52 AM46:AM52 AR46:AR52 AT46:AT52 AY46:AY52 BA46:BA52 BF46:BF52 BH46:BH52 BM46:BM52 BO46:BO52 BT46:BT52 BV46:BV52 CA46:CA52 CH46:CH52 CJ46:CJ52 CC46:CC52">
    <cfRule type="expression" dxfId="233" priority="862">
      <formula>OR(IF(P5&lt;Q5,TRUE),IF(AND(Q5="",P5&lt;&gt;""),TRUE))</formula>
    </cfRule>
    <cfRule type="expression" dxfId="232" priority="863">
      <formula>IF(P5&gt;=Q5,IF(P5="",FALSE,TRUE))</formula>
    </cfRule>
  </conditionalFormatting>
  <conditionalFormatting sqref="AD5:AD15">
    <cfRule type="expression" dxfId="231" priority="134">
      <formula>OR(IF(AD5&lt;AE5,TRUE),IF(AND(AE5="",AD5&lt;&gt;""),TRUE))</formula>
    </cfRule>
    <cfRule type="expression" dxfId="230" priority="135">
      <formula>IF(AD5&gt;=AE5,IF(AD5="",FALSE,TRUE))</formula>
    </cfRule>
  </conditionalFormatting>
  <conditionalFormatting sqref="AH18">
    <cfRule type="expression" dxfId="229" priority="124">
      <formula>OR(IF(AH18&lt;AI18,TRUE),IF(AND(AI18="",AH18&lt;&gt;""),TRUE))</formula>
    </cfRule>
    <cfRule type="expression" dxfId="228" priority="125">
      <formula>IF(AH18&gt;=AI18,IF(AH18="",FALSE,TRUE))</formula>
    </cfRule>
  </conditionalFormatting>
  <conditionalFormatting sqref="AK5:AK15">
    <cfRule type="expression" dxfId="227" priority="138">
      <formula>OR(IF(AK5&lt;AL5,TRUE),IF(AND(AL5="",AK5&lt;&gt;""),TRUE))</formula>
    </cfRule>
    <cfRule type="expression" dxfId="226" priority="139">
      <formula>IF(AK5&gt;=AL5,IF(AK5="",FALSE,TRUE))</formula>
    </cfRule>
  </conditionalFormatting>
  <conditionalFormatting sqref="AM15">
    <cfRule type="expression" dxfId="225" priority="136">
      <formula>OR(IF(AM15&lt;AN15,TRUE),IF(AND(AN15="",AM15&lt;&gt;""),TRUE))</formula>
    </cfRule>
    <cfRule type="expression" dxfId="224" priority="137">
      <formula>IF(AM15&gt;=AN15,IF(AM15="",FALSE,TRUE))</formula>
    </cfRule>
  </conditionalFormatting>
  <conditionalFormatting sqref="AR5:AR15">
    <cfRule type="expression" dxfId="223" priority="142">
      <formula>OR(IF(AR5&lt;AS5,TRUE),IF(AND(AS5="",AR5&lt;&gt;""),TRUE))</formula>
    </cfRule>
    <cfRule type="expression" dxfId="222" priority="143">
      <formula>IF(AR5&gt;=AS5,IF(AR5="",FALSE,TRUE))</formula>
    </cfRule>
  </conditionalFormatting>
  <conditionalFormatting sqref="AT15">
    <cfRule type="expression" dxfId="221" priority="140">
      <formula>OR(IF(AT15&lt;AU15,TRUE),IF(AND(AU15="",AT15&lt;&gt;""),TRUE))</formula>
    </cfRule>
    <cfRule type="expression" dxfId="220" priority="141">
      <formula>IF(AT15&gt;=AU15,IF(AT15="",FALSE,TRUE))</formula>
    </cfRule>
  </conditionalFormatting>
  <conditionalFormatting sqref="AY5:AY15">
    <cfRule type="expression" dxfId="219" priority="150">
      <formula>OR(IF(AY5&lt;AZ5,TRUE),IF(AND(AZ5="",AY5&lt;&gt;""),TRUE))</formula>
    </cfRule>
    <cfRule type="expression" dxfId="218" priority="151">
      <formula>IF(AY5&gt;=AZ5,IF(AY5="",FALSE,TRUE))</formula>
    </cfRule>
  </conditionalFormatting>
  <conditionalFormatting sqref="BA5:BA15">
    <cfRule type="expression" dxfId="217" priority="148">
      <formula>OR(IF(BA5&lt;BB5,TRUE),IF(AND(BB5="",BA5&lt;&gt;""),TRUE))</formula>
    </cfRule>
    <cfRule type="expression" dxfId="216" priority="149">
      <formula>IF(BA5&gt;=BB5,IF(BA5="",FALSE,TRUE))</formula>
    </cfRule>
  </conditionalFormatting>
  <conditionalFormatting sqref="BF5:BF15">
    <cfRule type="expression" dxfId="215" priority="418">
      <formula>OR(IF(BF5&lt;BG5,TRUE),IF(AND(BG5="",BF5&lt;&gt;""),TRUE))</formula>
    </cfRule>
    <cfRule type="expression" dxfId="214" priority="419">
      <formula>IF(BF5&gt;=BG5,IF(BF5="",FALSE,TRUE))</formula>
    </cfRule>
  </conditionalFormatting>
  <conditionalFormatting sqref="BH5:BH15">
    <cfRule type="expression" dxfId="213" priority="152">
      <formula>OR(IF(BH5&lt;BI5,TRUE),IF(AND(BI5="",BH5&lt;&gt;""),TRUE))</formula>
    </cfRule>
    <cfRule type="expression" dxfId="212" priority="153">
      <formula>IF(BH5&gt;=BI5,IF(BH5="",FALSE,TRUE))</formula>
    </cfRule>
  </conditionalFormatting>
  <conditionalFormatting sqref="BM5:BM15">
    <cfRule type="expression" dxfId="211" priority="398">
      <formula>OR(IF(BM5&lt;BN5,TRUE),IF(AND(BN5="",BM5&lt;&gt;""),TRUE))</formula>
    </cfRule>
    <cfRule type="expression" dxfId="210" priority="399">
      <formula>IF(BM5&gt;=BN5,IF(BM5="",FALSE,TRUE))</formula>
    </cfRule>
  </conditionalFormatting>
  <conditionalFormatting sqref="BT5:BT15 BV5:BV15">
    <cfRule type="expression" dxfId="209" priority="378">
      <formula>OR(IF(BT5&lt;BU5,TRUE),IF(AND(BU5="",BT5&lt;&gt;""),TRUE))</formula>
    </cfRule>
    <cfRule type="expression" dxfId="208" priority="379">
      <formula>IF(BT5&gt;=BU5,IF(BT5="",FALSE,TRUE))</formula>
    </cfRule>
  </conditionalFormatting>
  <conditionalFormatting sqref="CA5:CA15">
    <cfRule type="expression" dxfId="207" priority="358">
      <formula>OR(IF(CA5&lt;CB5,TRUE),IF(AND(CB5="",CA5&lt;&gt;""),TRUE))</formula>
    </cfRule>
    <cfRule type="expression" dxfId="206" priority="359">
      <formula>IF(CA5&gt;=CB5,IF(CA5="",FALSE,TRUE))</formula>
    </cfRule>
  </conditionalFormatting>
  <conditionalFormatting sqref="CH5:CH15 CJ5:CJ15">
    <cfRule type="expression" dxfId="205" priority="338">
      <formula>OR(IF(CH5&lt;CI5,TRUE),IF(AND(CI5="",CH5&lt;&gt;""),TRUE))</formula>
    </cfRule>
    <cfRule type="expression" dxfId="204" priority="339">
      <formula>IF(CH5&gt;=CI5,IF(CH5="",FALSE,TRUE))</formula>
    </cfRule>
  </conditionalFormatting>
  <conditionalFormatting sqref="CO5:CO15">
    <cfRule type="expression" dxfId="203" priority="318">
      <formula>OR(IF(CO5&lt;CP5,TRUE),IF(AND(CP5="",CO5&lt;&gt;""),TRUE))</formula>
    </cfRule>
    <cfRule type="expression" dxfId="202" priority="319">
      <formula>IF(CO5&gt;=CP5,IF(CO5="",FALSE,TRUE))</formula>
    </cfRule>
  </conditionalFormatting>
  <conditionalFormatting sqref="CV5:CV15">
    <cfRule type="expression" dxfId="201" priority="192">
      <formula>OR(IF(CV5&lt;CW5,TRUE),IF(AND(CW5="",CV5&lt;&gt;""),TRUE))</formula>
    </cfRule>
    <cfRule type="expression" dxfId="200" priority="193">
      <formula>IF(CV5&gt;=CW5,IF(CV5="",FALSE,TRUE))</formula>
    </cfRule>
  </conditionalFormatting>
  <conditionalFormatting sqref="CV32:CV43 CX32:CX43 CV55:CV64 CX55:CX64">
    <cfRule type="expression" dxfId="199" priority="194">
      <formula>OR(IF(CV32&lt;CW32,TRUE),IF(AND(CW32="",CV32&lt;&gt;""),TRUE))</formula>
    </cfRule>
    <cfRule type="expression" dxfId="198" priority="195">
      <formula>IF(CV32&gt;=CW32,IF(CV32="",FALSE,TRUE))</formula>
    </cfRule>
  </conditionalFormatting>
  <conditionalFormatting sqref="DC5:DC15 DE5:DE15">
    <cfRule type="expression" dxfId="197" priority="186">
      <formula>OR(IF(DC5&lt;DD5,TRUE),IF(AND(DD5="",DC5&lt;&gt;""),TRUE))</formula>
    </cfRule>
    <cfRule type="expression" dxfId="196" priority="187">
      <formula>IF(DC5&gt;=DD5,IF(DC5="",FALSE,TRUE))</formula>
    </cfRule>
  </conditionalFormatting>
  <conditionalFormatting sqref="DC32:DC43 DE32:DE43 DC55:DC64 DE55:DE64">
    <cfRule type="expression" dxfId="195" priority="188">
      <formula>OR(IF(DC32&lt;DD32,TRUE),IF(AND(DD32="",DC32&lt;&gt;""),TRUE))</formula>
    </cfRule>
    <cfRule type="expression" dxfId="194" priority="189">
      <formula>IF(DC32&gt;=DD32,IF(DC32="",FALSE,TRUE))</formula>
    </cfRule>
  </conditionalFormatting>
  <conditionalFormatting sqref="DJ5:DJ15 DL5:DL15">
    <cfRule type="expression" dxfId="193" priority="180">
      <formula>OR(IF(DJ5&lt;DK5,TRUE),IF(AND(DK5="",DJ5&lt;&gt;""),TRUE))</formula>
    </cfRule>
    <cfRule type="expression" dxfId="192" priority="181">
      <formula>IF(DJ5&gt;=DK5,IF(DJ5="",FALSE,TRUE))</formula>
    </cfRule>
  </conditionalFormatting>
  <conditionalFormatting sqref="DJ32:DJ43 DL32:DL43 DJ55:DJ64 DL55:DL64">
    <cfRule type="expression" dxfId="191" priority="182">
      <formula>OR(IF(DJ32&lt;DK32,TRUE),IF(AND(DK32="",DJ32&lt;&gt;""),TRUE))</formula>
    </cfRule>
    <cfRule type="expression" dxfId="190" priority="183">
      <formula>IF(DJ32&gt;=DK32,IF(DJ32="",FALSE,TRUE))</formula>
    </cfRule>
  </conditionalFormatting>
  <conditionalFormatting sqref="DQ5:DQ15 DS5:DS15">
    <cfRule type="expression" dxfId="189" priority="174">
      <formula>OR(IF(DQ5&lt;DR5,TRUE),IF(AND(DR5="",DQ5&lt;&gt;""),TRUE))</formula>
    </cfRule>
    <cfRule type="expression" dxfId="188" priority="175">
      <formula>IF(DQ5&gt;=DR5,IF(DQ5="",FALSE,TRUE))</formula>
    </cfRule>
  </conditionalFormatting>
  <conditionalFormatting sqref="DQ32:DQ43 DS32:DS43 DQ55:DQ64 DS55:DS64">
    <cfRule type="expression" dxfId="187" priority="176">
      <formula>OR(IF(DQ32&lt;DR32,TRUE),IF(AND(DR32="",DQ32&lt;&gt;""),TRUE))</formula>
    </cfRule>
    <cfRule type="expression" dxfId="186" priority="177">
      <formula>IF(DQ32&gt;=DR32,IF(DQ32="",FALSE,TRUE))</formula>
    </cfRule>
  </conditionalFormatting>
  <conditionalFormatting sqref="DX5:DX15 DZ5:DZ15">
    <cfRule type="expression" dxfId="185" priority="168">
      <formula>OR(IF(DX5&lt;DY5,TRUE),IF(AND(DY5="",DX5&lt;&gt;""),TRUE))</formula>
    </cfRule>
    <cfRule type="expression" dxfId="184" priority="169">
      <formula>IF(DX5&gt;=DY5,IF(DX5="",FALSE,TRUE))</formula>
    </cfRule>
  </conditionalFormatting>
  <conditionalFormatting sqref="DX32:DX43 DZ32:DZ43 DX55:DX64 DZ55:DZ64">
    <cfRule type="expression" dxfId="183" priority="170">
      <formula>OR(IF(DX32&lt;DY32,TRUE),IF(AND(DY32="",DX32&lt;&gt;""),TRUE))</formula>
    </cfRule>
    <cfRule type="expression" dxfId="182" priority="171">
      <formula>IF(DX32&gt;=DY32,IF(DX32="",FALSE,TRUE))</formula>
    </cfRule>
  </conditionalFormatting>
  <conditionalFormatting sqref="EE5:EE15 EG5:EG15">
    <cfRule type="expression" dxfId="181" priority="162">
      <formula>OR(IF(EE5&lt;EF5,TRUE),IF(AND(EF5="",EE5&lt;&gt;""),TRUE))</formula>
    </cfRule>
    <cfRule type="expression" dxfId="180" priority="163">
      <formula>IF(EE5&gt;=EF5,IF(EE5="",FALSE,TRUE))</formula>
    </cfRule>
  </conditionalFormatting>
  <conditionalFormatting sqref="EE32:EE43 EG32:EG43 EE55:EE64 EG55:EG64">
    <cfRule type="expression" dxfId="179" priority="164">
      <formula>OR(IF(EE32&lt;EF32,TRUE),IF(AND(EF32="",EE32&lt;&gt;""),TRUE))</formula>
    </cfRule>
    <cfRule type="expression" dxfId="178" priority="165">
      <formula>IF(EE32&gt;=EF32,IF(EE32="",FALSE,TRUE))</formula>
    </cfRule>
  </conditionalFormatting>
  <conditionalFormatting sqref="EL5:EL15 EN5:EN15">
    <cfRule type="expression" dxfId="177" priority="156">
      <formula>OR(IF(EL5&lt;EM5,TRUE),IF(AND(EM5="",EL5&lt;&gt;""),TRUE))</formula>
    </cfRule>
    <cfRule type="expression" dxfId="176" priority="157">
      <formula>IF(EL5&gt;=EM5,IF(EL5="",FALSE,TRUE))</formula>
    </cfRule>
  </conditionalFormatting>
  <conditionalFormatting sqref="EL32:EL43 EN32:EN43 EL55:EL64 EN55:EN64">
    <cfRule type="expression" dxfId="175" priority="158">
      <formula>OR(IF(EL32&lt;EM32,TRUE),IF(AND(EM32="",EL32&lt;&gt;""),TRUE))</formula>
    </cfRule>
    <cfRule type="expression" dxfId="174" priority="159">
      <formula>IF(EL32&gt;=EM32,IF(EL32="",FALSE,TRUE))</formula>
    </cfRule>
  </conditionalFormatting>
  <conditionalFormatting sqref="J46:J52">
    <cfRule type="colorScale" priority="1277">
      <colorScale>
        <cfvo type="percent" val="0"/>
        <cfvo type="percent" val="100"/>
        <color rgb="FFFF231B"/>
        <color rgb="FF10FF07"/>
      </colorScale>
    </cfRule>
  </conditionalFormatting>
  <conditionalFormatting sqref="J47:K52">
    <cfRule type="colorScale" priority="1278">
      <colorScale>
        <cfvo type="percent" val="0"/>
        <cfvo type="percent" val="100"/>
        <color rgb="FFFF231B"/>
        <color rgb="FF10FF07"/>
      </colorScale>
    </cfRule>
  </conditionalFormatting>
  <conditionalFormatting sqref="K46:K52">
    <cfRule type="colorScale" priority="1279">
      <colorScale>
        <cfvo type="percent" val="0"/>
        <cfvo type="percent" val="100"/>
        <color rgb="FFFF231B"/>
        <color rgb="FF10FF07"/>
      </colorScale>
    </cfRule>
  </conditionalFormatting>
  <conditionalFormatting sqref="J18:J29">
    <cfRule type="colorScale" priority="1280">
      <colorScale>
        <cfvo type="percent" val="0"/>
        <cfvo type="percent" val="100"/>
        <color rgb="FFFF231B"/>
        <color rgb="FF10FF07"/>
      </colorScale>
    </cfRule>
  </conditionalFormatting>
  <conditionalFormatting sqref="J19:K29">
    <cfRule type="colorScale" priority="1281">
      <colorScale>
        <cfvo type="percent" val="0"/>
        <cfvo type="percent" val="100"/>
        <color rgb="FFFF231B"/>
        <color rgb="FF10FF07"/>
      </colorScale>
    </cfRule>
  </conditionalFormatting>
  <conditionalFormatting sqref="K18:K29">
    <cfRule type="colorScale" priority="1282">
      <colorScale>
        <cfvo type="percent" val="0"/>
        <cfvo type="percent" val="100"/>
        <color rgb="FFFF231B"/>
        <color rgb="FF10FF07"/>
      </colorScale>
    </cfRule>
  </conditionalFormatting>
  <conditionalFormatting sqref="J67:J76">
    <cfRule type="colorScale" priority="121">
      <colorScale>
        <cfvo type="percent" val="0"/>
        <cfvo type="percent" val="100"/>
        <color rgb="FFFF231B"/>
        <color rgb="FF10FF07"/>
      </colorScale>
    </cfRule>
  </conditionalFormatting>
  <conditionalFormatting sqref="J68:K76">
    <cfRule type="colorScale" priority="122">
      <colorScale>
        <cfvo type="percent" val="0"/>
        <cfvo type="percent" val="100"/>
        <color rgb="FFFF231B"/>
        <color rgb="FF10FF07"/>
      </colorScale>
    </cfRule>
  </conditionalFormatting>
  <conditionalFormatting sqref="K67:K76">
    <cfRule type="colorScale" priority="123">
      <colorScale>
        <cfvo type="percent" val="0"/>
        <cfvo type="percent" val="100"/>
        <color rgb="FFFF231B"/>
        <color rgb="FF10FF07"/>
      </colorScale>
    </cfRule>
  </conditionalFormatting>
  <conditionalFormatting sqref="P67:P76 R67:R76 W67:W76 Y67:Y76 AD67:AD76 AF67:AF76 AK67:AK76 AM67:AM76 AR67:AR76 AT67:AT76 AY67:AY76 BF67:BF76 BH67:BH76 BM67:BM76 BO67:BO76 BT67:BT76 BV67:BV76 CA67:CA76 CC67:CC76 CH67:CH76 CJ67:CJ76 CO67:CO76 CQ67:CQ76 BA67:BA76">
    <cfRule type="expression" dxfId="173" priority="119">
      <formula>OR(IF(P67&lt;Q67,TRUE),IF(AND(Q67="",P67&lt;&gt;""),TRUE))</formula>
    </cfRule>
    <cfRule type="expression" dxfId="172" priority="120">
      <formula>IF(P67&gt;=Q67,IF(P67="",FALSE,TRUE))</formula>
    </cfRule>
  </conditionalFormatting>
  <conditionalFormatting sqref="CV67:CV76 CX67:CX76">
    <cfRule type="expression" dxfId="171" priority="117">
      <formula>OR(IF(CV67&lt;CW67,TRUE),IF(AND(CW67="",CV67&lt;&gt;""),TRUE))</formula>
    </cfRule>
    <cfRule type="expression" dxfId="170" priority="118">
      <formula>IF(CV67&gt;=CW67,IF(CV67="",FALSE,TRUE))</formula>
    </cfRule>
  </conditionalFormatting>
  <conditionalFormatting sqref="DC67:DC76 DE67:DE76">
    <cfRule type="expression" dxfId="169" priority="115">
      <formula>OR(IF(DC67&lt;DD67,TRUE),IF(AND(DD67="",DC67&lt;&gt;""),TRUE))</formula>
    </cfRule>
    <cfRule type="expression" dxfId="168" priority="116">
      <formula>IF(DC67&gt;=DD67,IF(DC67="",FALSE,TRUE))</formula>
    </cfRule>
  </conditionalFormatting>
  <conditionalFormatting sqref="DJ67:DJ76 DL67:DL76">
    <cfRule type="expression" dxfId="167" priority="113">
      <formula>OR(IF(DJ67&lt;DK67,TRUE),IF(AND(DK67="",DJ67&lt;&gt;""),TRUE))</formula>
    </cfRule>
    <cfRule type="expression" dxfId="166" priority="114">
      <formula>IF(DJ67&gt;=DK67,IF(DJ67="",FALSE,TRUE))</formula>
    </cfRule>
  </conditionalFormatting>
  <conditionalFormatting sqref="DQ67:DQ76 DS67:DS76">
    <cfRule type="expression" dxfId="165" priority="111">
      <formula>OR(IF(DQ67&lt;DR67,TRUE),IF(AND(DR67="",DQ67&lt;&gt;""),TRUE))</formula>
    </cfRule>
    <cfRule type="expression" dxfId="164" priority="112">
      <formula>IF(DQ67&gt;=DR67,IF(DQ67="",FALSE,TRUE))</formula>
    </cfRule>
  </conditionalFormatting>
  <conditionalFormatting sqref="DX67:DX76 DZ67:DZ76">
    <cfRule type="expression" dxfId="163" priority="109">
      <formula>OR(IF(DX67&lt;DY67,TRUE),IF(AND(DY67="",DX67&lt;&gt;""),TRUE))</formula>
    </cfRule>
    <cfRule type="expression" dxfId="162" priority="110">
      <formula>IF(DX67&gt;=DY67,IF(DX67="",FALSE,TRUE))</formula>
    </cfRule>
  </conditionalFormatting>
  <conditionalFormatting sqref="EE67:EE76 EG67:EG76">
    <cfRule type="expression" dxfId="161" priority="107">
      <formula>OR(IF(EE67&lt;EF67,TRUE),IF(AND(EF67="",EE67&lt;&gt;""),TRUE))</formula>
    </cfRule>
    <cfRule type="expression" dxfId="160" priority="108">
      <formula>IF(EE67&gt;=EF67,IF(EE67="",FALSE,TRUE))</formula>
    </cfRule>
  </conditionalFormatting>
  <conditionalFormatting sqref="EL67:EL76 EN67:EN76">
    <cfRule type="expression" dxfId="159" priority="105">
      <formula>OR(IF(EL67&lt;EM67,TRUE),IF(AND(EM67="",EL67&lt;&gt;""),TRUE))</formula>
    </cfRule>
    <cfRule type="expression" dxfId="158" priority="106">
      <formula>IF(EL67&gt;=EM67,IF(EL67="",FALSE,TRUE))</formula>
    </cfRule>
  </conditionalFormatting>
  <conditionalFormatting sqref="J79:J87">
    <cfRule type="colorScale" priority="102">
      <colorScale>
        <cfvo type="percent" val="0"/>
        <cfvo type="percent" val="100"/>
        <color rgb="FFFF231B"/>
        <color rgb="FF10FF07"/>
      </colorScale>
    </cfRule>
  </conditionalFormatting>
  <conditionalFormatting sqref="J80:K87">
    <cfRule type="colorScale" priority="103">
      <colorScale>
        <cfvo type="percent" val="0"/>
        <cfvo type="percent" val="100"/>
        <color rgb="FFFF231B"/>
        <color rgb="FF10FF07"/>
      </colorScale>
    </cfRule>
  </conditionalFormatting>
  <conditionalFormatting sqref="K79:K87">
    <cfRule type="colorScale" priority="104">
      <colorScale>
        <cfvo type="percent" val="0"/>
        <cfvo type="percent" val="100"/>
        <color rgb="FFFF231B"/>
        <color rgb="FF10FF07"/>
      </colorScale>
    </cfRule>
  </conditionalFormatting>
  <conditionalFormatting sqref="P79:P87 R79:R87 W79:W87 Y79:Y87 AD79:AD87 AF79:AF87 AK79:AK87 AM79:AM87 AR79:AR87 AT79:AT87 AY79:AY87 BA79:BA87 BF79:BF87 BH79:BH87 BM79:BM87 BO79:BO87 BT79:BT87 BV79:BV87 CA79:CA87 CC79:CC87 CH79:CH87 CJ79:CJ87 CO79:CO87 CQ79:CQ87">
    <cfRule type="expression" dxfId="157" priority="100">
      <formula>OR(IF(P79&lt;Q79,TRUE),IF(AND(Q79="",P79&lt;&gt;""),TRUE))</formula>
    </cfRule>
    <cfRule type="expression" dxfId="156" priority="101">
      <formula>IF(P79&gt;=Q79,IF(P79="",FALSE,TRUE))</formula>
    </cfRule>
  </conditionalFormatting>
  <conditionalFormatting sqref="CV79:CV87 CX79:CX87">
    <cfRule type="expression" dxfId="155" priority="98">
      <formula>OR(IF(CV79&lt;CW79,TRUE),IF(AND(CW79="",CV79&lt;&gt;""),TRUE))</formula>
    </cfRule>
    <cfRule type="expression" dxfId="154" priority="99">
      <formula>IF(CV79&gt;=CW79,IF(CV79="",FALSE,TRUE))</formula>
    </cfRule>
  </conditionalFormatting>
  <conditionalFormatting sqref="DC79:DC87 DE79:DE87">
    <cfRule type="expression" dxfId="153" priority="96">
      <formula>OR(IF(DC79&lt;DD79,TRUE),IF(AND(DD79="",DC79&lt;&gt;""),TRUE))</formula>
    </cfRule>
    <cfRule type="expression" dxfId="152" priority="97">
      <formula>IF(DC79&gt;=DD79,IF(DC79="",FALSE,TRUE))</formula>
    </cfRule>
  </conditionalFormatting>
  <conditionalFormatting sqref="DJ79:DJ87 DL79:DL87">
    <cfRule type="expression" dxfId="151" priority="94">
      <formula>OR(IF(DJ79&lt;DK79,TRUE),IF(AND(DK79="",DJ79&lt;&gt;""),TRUE))</formula>
    </cfRule>
    <cfRule type="expression" dxfId="150" priority="95">
      <formula>IF(DJ79&gt;=DK79,IF(DJ79="",FALSE,TRUE))</formula>
    </cfRule>
  </conditionalFormatting>
  <conditionalFormatting sqref="DQ79:DQ87 DS79:DS87">
    <cfRule type="expression" dxfId="149" priority="92">
      <formula>OR(IF(DQ79&lt;DR79,TRUE),IF(AND(DR79="",DQ79&lt;&gt;""),TRUE))</formula>
    </cfRule>
    <cfRule type="expression" dxfId="148" priority="93">
      <formula>IF(DQ79&gt;=DR79,IF(DQ79="",FALSE,TRUE))</formula>
    </cfRule>
  </conditionalFormatting>
  <conditionalFormatting sqref="DX79:DX87 DZ79:DZ87">
    <cfRule type="expression" dxfId="147" priority="90">
      <formula>OR(IF(DX79&lt;DY79,TRUE),IF(AND(DY79="",DX79&lt;&gt;""),TRUE))</formula>
    </cfRule>
    <cfRule type="expression" dxfId="146" priority="91">
      <formula>IF(DX79&gt;=DY79,IF(DX79="",FALSE,TRUE))</formula>
    </cfRule>
  </conditionalFormatting>
  <conditionalFormatting sqref="EE79:EE87 EG79:EG87">
    <cfRule type="expression" dxfId="145" priority="88">
      <formula>OR(IF(EE79&lt;EF79,TRUE),IF(AND(EF79="",EE79&lt;&gt;""),TRUE))</formula>
    </cfRule>
    <cfRule type="expression" dxfId="144" priority="89">
      <formula>IF(EE79&gt;=EF79,IF(EE79="",FALSE,TRUE))</formula>
    </cfRule>
  </conditionalFormatting>
  <conditionalFormatting sqref="EL79:EL87 EN79:EN87">
    <cfRule type="expression" dxfId="143" priority="86">
      <formula>OR(IF(EL79&lt;EM79,TRUE),IF(AND(EM79="",EL79&lt;&gt;""),TRUE))</formula>
    </cfRule>
    <cfRule type="expression" dxfId="142" priority="87">
      <formula>IF(EL79&gt;=EM79,IF(EL79="",FALSE,TRUE))</formula>
    </cfRule>
  </conditionalFormatting>
  <conditionalFormatting sqref="J90:J99">
    <cfRule type="colorScale" priority="83">
      <colorScale>
        <cfvo type="percent" val="0"/>
        <cfvo type="percent" val="100"/>
        <color rgb="FFFF231B"/>
        <color rgb="FF10FF07"/>
      </colorScale>
    </cfRule>
  </conditionalFormatting>
  <conditionalFormatting sqref="J91:K99">
    <cfRule type="colorScale" priority="84">
      <colorScale>
        <cfvo type="percent" val="0"/>
        <cfvo type="percent" val="100"/>
        <color rgb="FFFF231B"/>
        <color rgb="FF10FF07"/>
      </colorScale>
    </cfRule>
  </conditionalFormatting>
  <conditionalFormatting sqref="K90:K99">
    <cfRule type="colorScale" priority="85">
      <colorScale>
        <cfvo type="percent" val="0"/>
        <cfvo type="percent" val="100"/>
        <color rgb="FFFF231B"/>
        <color rgb="FF10FF07"/>
      </colorScale>
    </cfRule>
  </conditionalFormatting>
  <conditionalFormatting sqref="P90:P99 W90:W99 Y90:Y99 AD90:AD99 AF90:AF99 AK90:AK99 AM90:AM99 AR90:AR99 AT90:AT99 AY90:AY99 BA90:BA99 BF90:BF99 BH90:BH99 BM90:BM99 BO90:BO99 BT90:BT99 BV90:BV99 CA90:CA99 CC90:CC99 CH90:CH99 CJ90:CJ99 CO90:CO99 CQ90:CQ99 R90:R99">
    <cfRule type="expression" dxfId="141" priority="81">
      <formula>OR(IF(P90&lt;Q90,TRUE),IF(AND(Q90="",P90&lt;&gt;""),TRUE))</formula>
    </cfRule>
    <cfRule type="expression" dxfId="140" priority="82">
      <formula>IF(P90&gt;=Q90,IF(P90="",FALSE,TRUE))</formula>
    </cfRule>
  </conditionalFormatting>
  <conditionalFormatting sqref="CV90:CV99 CX90:CX99">
    <cfRule type="expression" dxfId="139" priority="79">
      <formula>OR(IF(CV90&lt;CW90,TRUE),IF(AND(CW90="",CV90&lt;&gt;""),TRUE))</formula>
    </cfRule>
    <cfRule type="expression" dxfId="138" priority="80">
      <formula>IF(CV90&gt;=CW90,IF(CV90="",FALSE,TRUE))</formula>
    </cfRule>
  </conditionalFormatting>
  <conditionalFormatting sqref="DC90:DC99 DE90:DE99">
    <cfRule type="expression" dxfId="137" priority="77">
      <formula>OR(IF(DC90&lt;DD90,TRUE),IF(AND(DD90="",DC90&lt;&gt;""),TRUE))</formula>
    </cfRule>
    <cfRule type="expression" dxfId="136" priority="78">
      <formula>IF(DC90&gt;=DD90,IF(DC90="",FALSE,TRUE))</formula>
    </cfRule>
  </conditionalFormatting>
  <conditionalFormatting sqref="DJ90:DJ99 DL90:DL99">
    <cfRule type="expression" dxfId="135" priority="75">
      <formula>OR(IF(DJ90&lt;DK90,TRUE),IF(AND(DK90="",DJ90&lt;&gt;""),TRUE))</formula>
    </cfRule>
    <cfRule type="expression" dxfId="134" priority="76">
      <formula>IF(DJ90&gt;=DK90,IF(DJ90="",FALSE,TRUE))</formula>
    </cfRule>
  </conditionalFormatting>
  <conditionalFormatting sqref="DQ90:DQ99 DS90:DS99">
    <cfRule type="expression" dxfId="133" priority="73">
      <formula>OR(IF(DQ90&lt;DR90,TRUE),IF(AND(DR90="",DQ90&lt;&gt;""),TRUE))</formula>
    </cfRule>
    <cfRule type="expression" dxfId="132" priority="74">
      <formula>IF(DQ90&gt;=DR90,IF(DQ90="",FALSE,TRUE))</formula>
    </cfRule>
  </conditionalFormatting>
  <conditionalFormatting sqref="DX90:DX99 DZ90:DZ99">
    <cfRule type="expression" dxfId="131" priority="71">
      <formula>OR(IF(DX90&lt;DY90,TRUE),IF(AND(DY90="",DX90&lt;&gt;""),TRUE))</formula>
    </cfRule>
    <cfRule type="expression" dxfId="130" priority="72">
      <formula>IF(DX90&gt;=DY90,IF(DX90="",FALSE,TRUE))</formula>
    </cfRule>
  </conditionalFormatting>
  <conditionalFormatting sqref="EE90:EE99 EG90:EG99">
    <cfRule type="expression" dxfId="129" priority="69">
      <formula>OR(IF(EE90&lt;EF90,TRUE),IF(AND(EF90="",EE90&lt;&gt;""),TRUE))</formula>
    </cfRule>
    <cfRule type="expression" dxfId="128" priority="70">
      <formula>IF(EE90&gt;=EF90,IF(EE90="",FALSE,TRUE))</formula>
    </cfRule>
  </conditionalFormatting>
  <conditionalFormatting sqref="EL90:EL99 EN90:EN99">
    <cfRule type="expression" dxfId="127" priority="67">
      <formula>OR(IF(EL90&lt;EM90,TRUE),IF(AND(EM90="",EL90&lt;&gt;""),TRUE))</formula>
    </cfRule>
    <cfRule type="expression" dxfId="126" priority="68">
      <formula>IF(EL90&gt;=EM90,IF(EL90="",FALSE,TRUE))</formula>
    </cfRule>
  </conditionalFormatting>
  <conditionalFormatting sqref="CC55:CC64">
    <cfRule type="expression" dxfId="125" priority="65">
      <formula>OR(IF(CC55&lt;CD55,TRUE),IF(AND(CD55="",CC55&lt;&gt;""),TRUE))</formula>
    </cfRule>
    <cfRule type="expression" dxfId="124" priority="66">
      <formula>IF(CC55&gt;=CD55,IF(CC55="",FALSE,TRUE))</formula>
    </cfRule>
  </conditionalFormatting>
  <conditionalFormatting sqref="P5:P15 R5:R15">
    <cfRule type="expression" dxfId="123" priority="63">
      <formula>OR(IF(P5&lt;Q5,TRUE),IF(AND(Q5="",P5&lt;&gt;""),TRUE))</formula>
    </cfRule>
    <cfRule type="expression" dxfId="122" priority="64">
      <formula>IF(P5&gt;=Q5,IF(P5="",FALSE,TRUE))</formula>
    </cfRule>
  </conditionalFormatting>
  <conditionalFormatting sqref="R52 BV56 CC6 BO6">
    <cfRule type="expression" dxfId="121" priority="1285">
      <formula>OR(IF(R6&lt;S5,TRUE),IF(AND(S5="",R6&lt;&gt;""),TRUE))</formula>
    </cfRule>
    <cfRule type="expression" dxfId="120" priority="1286">
      <formula>IF(R6&gt;=S5,IF(R6="",FALSE,TRUE))</formula>
    </cfRule>
  </conditionalFormatting>
  <conditionalFormatting sqref="BV55">
    <cfRule type="expression" dxfId="119" priority="1291">
      <formula>OR(IF(BV55&lt;#REF!,TRUE),IF(AND(#REF!="",BV55&lt;&gt;""),TRUE))</formula>
    </cfRule>
    <cfRule type="expression" dxfId="118" priority="1292">
      <formula>IF(BV55&gt;=#REF!,IF(BV55="",FALSE,TRUE))</formula>
    </cfRule>
  </conditionalFormatting>
  <conditionalFormatting sqref="CX5:CX15">
    <cfRule type="expression" dxfId="117" priority="61">
      <formula>OR(IF(CX5&lt;CY5,TRUE),IF(AND(CY5="",CX5&lt;&gt;""),TRUE))</formula>
    </cfRule>
    <cfRule type="expression" dxfId="116" priority="62">
      <formula>IF(CX5&gt;=CY5,IF(CX5="",FALSE,TRUE))</formula>
    </cfRule>
  </conditionalFormatting>
  <conditionalFormatting sqref="CC5">
    <cfRule type="expression" dxfId="115" priority="59">
      <formula>OR(IF(CC5&lt;CD5,TRUE),IF(AND(CD5="",CC5&lt;&gt;""),TRUE))</formula>
    </cfRule>
    <cfRule type="expression" dxfId="114" priority="60">
      <formula>IF(CC5&gt;=CD5,IF(CC5="",FALSE,TRUE))</formula>
    </cfRule>
  </conditionalFormatting>
  <conditionalFormatting sqref="BO5">
    <cfRule type="expression" dxfId="113" priority="57">
      <formula>OR(IF(BO5&lt;BP5,TRUE),IF(AND(BP5="",BO5&lt;&gt;""),TRUE))</formula>
    </cfRule>
    <cfRule type="expression" dxfId="112" priority="58">
      <formula>IF(BO5&gt;=BP5,IF(BO5="",FALSE,TRUE))</formula>
    </cfRule>
  </conditionalFormatting>
  <conditionalFormatting sqref="AT5:AT14">
    <cfRule type="expression" dxfId="93" priority="49">
      <formula>OR(IF(AT5&lt;AU5,TRUE),IF(AND(AU5="",AT5&lt;&gt;""),TRUE))</formula>
    </cfRule>
    <cfRule type="expression" dxfId="92" priority="50">
      <formula>IF(AT5&gt;=AU5,IF(AT5="",FALSE,TRUE))</formula>
    </cfRule>
  </conditionalFormatting>
  <conditionalFormatting sqref="AM5:AM14">
    <cfRule type="expression" dxfId="91" priority="47">
      <formula>OR(IF(AM5&lt;AN5,TRUE),IF(AND(AN5="",AM5&lt;&gt;""),TRUE))</formula>
    </cfRule>
    <cfRule type="expression" dxfId="90" priority="48">
      <formula>IF(AM5&gt;=AN5,IF(AM5="",FALSE,TRUE))</formula>
    </cfRule>
  </conditionalFormatting>
  <conditionalFormatting sqref="AF5:AF12">
    <cfRule type="expression" dxfId="89" priority="45">
      <formula>OR(IF(AF5&lt;AG5,TRUE),IF(AND(AG5="",AF5&lt;&gt;""),TRUE))</formula>
    </cfRule>
    <cfRule type="expression" dxfId="88" priority="46">
      <formula>IF(AF5&gt;=AG5,IF(AF5="",FALSE,TRUE))</formula>
    </cfRule>
  </conditionalFormatting>
  <conditionalFormatting sqref="Y5:Y11">
    <cfRule type="expression" dxfId="85" priority="43">
      <formula>OR(IF(Y5&lt;Z5,TRUE),IF(AND(Z5="",Y5&lt;&gt;""),TRUE))</formula>
    </cfRule>
    <cfRule type="expression" dxfId="84" priority="44">
      <formula>IF(Y5&gt;=Z5,IF(Y5="",FALSE,TRUE))</formula>
    </cfRule>
  </conditionalFormatting>
  <conditionalFormatting sqref="W5:W15">
    <cfRule type="expression" dxfId="41" priority="13">
      <formula>OR(IF(W5&lt;X5,TRUE),IF(AND(X5="",W5&lt;&gt;""),TRUE))</formula>
    </cfRule>
    <cfRule type="expression" dxfId="40" priority="14">
      <formula>IF(W5&gt;=X5,IF(W5="",FALSE,TRUE))</formula>
    </cfRule>
  </conditionalFormatting>
  <conditionalFormatting sqref="AD5:AD15">
    <cfRule type="expression" dxfId="39" priority="17">
      <formula>OR(IF(AD5&lt;AE5,TRUE),IF(AND(AE5="",AD5&lt;&gt;""),TRUE))</formula>
    </cfRule>
    <cfRule type="expression" dxfId="38" priority="18">
      <formula>IF(AD5&gt;=AE5,IF(AD5="",FALSE,TRUE))</formula>
    </cfRule>
  </conditionalFormatting>
  <conditionalFormatting sqref="AF15">
    <cfRule type="expression" dxfId="37" priority="15">
      <formula>OR(IF(AF15&lt;AG15,TRUE),IF(AND(AG15="",AF15&lt;&gt;""),TRUE))</formula>
    </cfRule>
    <cfRule type="expression" dxfId="36" priority="16">
      <formula>IF(AF15&gt;=AG15,IF(AF15="",FALSE,TRUE))</formula>
    </cfRule>
  </conditionalFormatting>
  <conditionalFormatting sqref="AK5:AK15">
    <cfRule type="expression" dxfId="35" priority="21">
      <formula>OR(IF(AK5&lt;AL5,TRUE),IF(AND(AL5="",AK5&lt;&gt;""),TRUE))</formula>
    </cfRule>
    <cfRule type="expression" dxfId="34" priority="22">
      <formula>IF(AK5&gt;=AL5,IF(AK5="",FALSE,TRUE))</formula>
    </cfRule>
  </conditionalFormatting>
  <conditionalFormatting sqref="AM15">
    <cfRule type="expression" dxfId="33" priority="19">
      <formula>OR(IF(AM15&lt;AN15,TRUE),IF(AND(AN15="",AM15&lt;&gt;""),TRUE))</formula>
    </cfRule>
    <cfRule type="expression" dxfId="32" priority="20">
      <formula>IF(AM15&gt;=AN15,IF(AM15="",FALSE,TRUE))</formula>
    </cfRule>
  </conditionalFormatting>
  <conditionalFormatting sqref="AR5:AR15">
    <cfRule type="expression" dxfId="31" priority="25">
      <formula>OR(IF(AR5&lt;AS5,TRUE),IF(AND(AS5="",AR5&lt;&gt;""),TRUE))</formula>
    </cfRule>
    <cfRule type="expression" dxfId="30" priority="26">
      <formula>IF(AR5&gt;=AS5,IF(AR5="",FALSE,TRUE))</formula>
    </cfRule>
  </conditionalFormatting>
  <conditionalFormatting sqref="AT5:AT15">
    <cfRule type="expression" dxfId="29" priority="23">
      <formula>OR(IF(AT5&lt;AU5,TRUE),IF(AND(AU5="",AT5&lt;&gt;""),TRUE))</formula>
    </cfRule>
    <cfRule type="expression" dxfId="28" priority="24">
      <formula>IF(AT5&gt;=AU5,IF(AT5="",FALSE,TRUE))</formula>
    </cfRule>
  </conditionalFormatting>
  <conditionalFormatting sqref="AY5:AY15">
    <cfRule type="expression" dxfId="27" priority="39">
      <formula>OR(IF(AY5&lt;AZ5,TRUE),IF(AND(AZ5="",AY5&lt;&gt;""),TRUE))</formula>
    </cfRule>
    <cfRule type="expression" dxfId="26" priority="40">
      <formula>IF(AY5&gt;=AZ5,IF(AY5="",FALSE,TRUE))</formula>
    </cfRule>
  </conditionalFormatting>
  <conditionalFormatting sqref="BA5:BA15">
    <cfRule type="expression" dxfId="25" priority="27">
      <formula>OR(IF(BA5&lt;BB5,TRUE),IF(AND(BB5="",BA5&lt;&gt;""),TRUE))</formula>
    </cfRule>
    <cfRule type="expression" dxfId="24" priority="28">
      <formula>IF(BA5&gt;=BB5,IF(BA5="",FALSE,TRUE))</formula>
    </cfRule>
  </conditionalFormatting>
  <conditionalFormatting sqref="BF5:BF15">
    <cfRule type="expression" dxfId="23" priority="37">
      <formula>OR(IF(BF5&lt;BG5,TRUE),IF(AND(BG5="",BF5&lt;&gt;""),TRUE))</formula>
    </cfRule>
    <cfRule type="expression" dxfId="22" priority="38">
      <formula>IF(BF5&gt;=BG5,IF(BF5="",FALSE,TRUE))</formula>
    </cfRule>
  </conditionalFormatting>
  <conditionalFormatting sqref="BM5:BM15 BO5:BO15">
    <cfRule type="expression" dxfId="21" priority="35">
      <formula>OR(IF(BM5&lt;BN5,TRUE),IF(AND(BN5="",BM5&lt;&gt;""),TRUE))</formula>
    </cfRule>
    <cfRule type="expression" dxfId="20" priority="36">
      <formula>IF(BM5&gt;=BN5,IF(BM5="",FALSE,TRUE))</formula>
    </cfRule>
  </conditionalFormatting>
  <conditionalFormatting sqref="BT5:BT15">
    <cfRule type="expression" dxfId="19" priority="33">
      <formula>OR(IF(BT5&lt;BU5,TRUE),IF(AND(BU5="",BT5&lt;&gt;""),TRUE))</formula>
    </cfRule>
    <cfRule type="expression" dxfId="18" priority="34">
      <formula>IF(BT5&gt;=BU5,IF(BT5="",FALSE,TRUE))</formula>
    </cfRule>
  </conditionalFormatting>
  <conditionalFormatting sqref="CA5:CA15 CC5:CC15">
    <cfRule type="expression" dxfId="17" priority="31">
      <formula>OR(IF(CA5&lt;CB5,TRUE),IF(AND(CB5="",CA5&lt;&gt;""),TRUE))</formula>
    </cfRule>
    <cfRule type="expression" dxfId="16" priority="32">
      <formula>IF(CA5&gt;=CB5,IF(CA5="",FALSE,TRUE))</formula>
    </cfRule>
  </conditionalFormatting>
  <conditionalFormatting sqref="CH5:CH15">
    <cfRule type="expression" dxfId="15" priority="29">
      <formula>OR(IF(CH5&lt;CI5,TRUE),IF(AND(CI5="",CH5&lt;&gt;""),TRUE))</formula>
    </cfRule>
    <cfRule type="expression" dxfId="14" priority="30">
      <formula>IF(CH5&gt;=CI5,IF(CH5="",FALSE,TRUE))</formula>
    </cfRule>
  </conditionalFormatting>
  <conditionalFormatting sqref="BV6 BH6">
    <cfRule type="expression" dxfId="13" priority="41">
      <formula>OR(IF(BH6&lt;BI5,TRUE),IF(AND(BI5="",BH6&lt;&gt;""),TRUE))</formula>
    </cfRule>
    <cfRule type="expression" dxfId="12" priority="42">
      <formula>IF(BH6&gt;=BI5,IF(BH6="",FALSE,TRUE))</formula>
    </cfRule>
  </conditionalFormatting>
  <conditionalFormatting sqref="BV5">
    <cfRule type="expression" dxfId="11" priority="11">
      <formula>OR(IF(BV5&lt;BW5,TRUE),IF(AND(BW5="",BV5&lt;&gt;""),TRUE))</formula>
    </cfRule>
    <cfRule type="expression" dxfId="10" priority="12">
      <formula>IF(BV5&gt;=BW5,IF(BV5="",FALSE,TRUE))</formula>
    </cfRule>
  </conditionalFormatting>
  <conditionalFormatting sqref="BH5">
    <cfRule type="expression" dxfId="9" priority="9">
      <formula>OR(IF(BH5&lt;BI5,TRUE),IF(AND(BI5="",BH5&lt;&gt;""),TRUE))</formula>
    </cfRule>
    <cfRule type="expression" dxfId="8" priority="10">
      <formula>IF(BH5&gt;=BI5,IF(BH5="",FALSE,TRUE))</formula>
    </cfRule>
  </conditionalFormatting>
  <conditionalFormatting sqref="AM5:AM14">
    <cfRule type="expression" dxfId="7" priority="7">
      <formula>OR(IF(AM5&lt;AN5,TRUE),IF(AND(AN5="",AM5&lt;&gt;""),TRUE))</formula>
    </cfRule>
    <cfRule type="expression" dxfId="6" priority="8">
      <formula>IF(AM5&gt;=AN5,IF(AM5="",FALSE,TRUE))</formula>
    </cfRule>
  </conditionalFormatting>
  <conditionalFormatting sqref="AF5:AF14">
    <cfRule type="expression" dxfId="5" priority="5">
      <formula>OR(IF(AF5&lt;AG5,TRUE),IF(AND(AG5="",AF5&lt;&gt;""),TRUE))</formula>
    </cfRule>
    <cfRule type="expression" dxfId="4" priority="6">
      <formula>IF(AF5&gt;=AG5,IF(AF5="",FALSE,TRUE))</formula>
    </cfRule>
  </conditionalFormatting>
  <conditionalFormatting sqref="Y5:Y12">
    <cfRule type="expression" dxfId="3" priority="3">
      <formula>OR(IF(Y5&lt;Z5,TRUE),IF(AND(Z5="",Y5&lt;&gt;""),TRUE))</formula>
    </cfRule>
    <cfRule type="expression" dxfId="2" priority="4">
      <formula>IF(Y5&gt;=Z5,IF(Y5="",FALSE,TRUE))</formula>
    </cfRule>
  </conditionalFormatting>
  <conditionalFormatting sqref="AA18">
    <cfRule type="expression" dxfId="1" priority="1">
      <formula>OR(IF(AA18&lt;AB18,TRUE),IF(AND(AB18="",AA18&lt;&gt;""),TRUE))</formula>
    </cfRule>
    <cfRule type="expression" dxfId="0" priority="2">
      <formula>IF(AA18&gt;=AB18,IF(AA18="",FALSE,TRUE))</formula>
    </cfRule>
  </conditionalFormatting>
  <dataValidations count="1">
    <dataValidation type="list" allowBlank="1" showInputMessage="1" showErrorMessage="1" sqref="CH55:CK64 CV18:CY29 AD18:AG29 CA46:CD52 BF46:BI52 AR46:AU52 AY46:BB52 AK46:AN52 BM46:BP52 P32:S43 BT46:BW52 CH46:CK52 CV46:CY52 AD46:AG52 P51:Q52 W67:Z76 BW55 BV55:BV56 BT55:BU64 CV5:CY15 P18:S29 CA55:CD64 BB16 EL55:EO64 P46:S50 W5:Z15 AD5:AG15 AR5:AU15 BF5:BI15 BM5:BP15 BT5:BW15 AY5:BB15 CO5:CR15 CO18:CR29 CV32:CY43 AY18:BB29 AK18:AN29 P5:S15 AA18 CA18:CD29 BT18:BW29 CH18:CK29 AR18:AU29 BJ18:BJ20 CO46:CR52 W55:Z64 AY55:BB64 AK55:AN64 AR55:AU64 AD55:AG64 P55:S64 BM55:BP64 BV57:BW64 CO55:CR64 AY67:BB76 DC5:DF15 AK5:AN15 W32:Z43 W18:Z29 CV55:CY64 BF55:BI64 DC18:DF29 DC46:DF52 DC32:DF43 DC55:DF64 DJ5:DM15 DJ18:DM29 DJ46:DM52 DJ32:DM43 DJ55:DM64 DQ5:DT15 DQ18:DT29 DQ46:DT52 DQ32:DT43 DQ55:DT64 DX5:EA15 DX18:EA29 DX46:EA52 DX32:EA43 DX55:EA64 EE5:EH15 EE18:EH29 EE46:EH52 EE32:EH43 EE55:EH64 EL5:EO15 EL18:EO29 EL46:EO52 EL32:EO43 CO32:CR43 CH5:CK15 CA5:CD15 EL67:EO76 EE67:EH76 DX67:EA76 DQ67:DT76 DJ67:DM76 DC67:DF76 CV67:CY76 P90:S99 CH67:CK76 CA67:CD76 CO67:CR76 BM67:BP76 BF67:BI76 P67:S76 AK67:AN76 CK89:CK99 AR67:AU76 BT67:BW76 AD67:AG76 BM79:BP87 BF79:BI87 AR79:AU87 AK79:AN87 AD79:AG87 P79:S87 BT79:BW87 CA79:CD87 AY79:BB87 CH79:CK87 CO79:CR87 CV79:CY87 DC79:DF87 DJ79:DM87 DQ79:DT87 DX79:EA87 EE79:EH87 EL79:EO87 W87:Z87 W79:AA86 CH90:CJ99 AD90:AG99 CO90:CR99 BT90:BW99 BM90:BP99 S51:S52 W90:Z99 AK90:AN99 AY90:BB99 AR90:AU99 BF90:BI99 CA90:CD99 CV90:CY99 DC90:DF99 DJ90:DM99 DQ90:DT99 DX90:EA99 EE90:EH99 EL90:EO99 R52 BM17:BP29 BF18:BI29 AD32:AG43 BT32:BW43 BM32:BP43 AK32:AN43 AY32:BB43 AR32:AU43 BF32:BI43 CA32:CD43 CH32:CK43 W46:Z52" xr:uid="{DF46768B-76BD-4AD1-BDD9-05E5E50A35C8}">
      <formula1>"10%,20%,30%,40%,50%,60%,70%,80%,90%,100%"</formula1>
    </dataValidation>
  </dataValidation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B1" workbookViewId="0">
      <selection activeCell="B10" sqref="B10"/>
    </sheetView>
  </sheetViews>
  <sheetFormatPr defaultColWidth="10.58203125" defaultRowHeight="15.5"/>
  <cols>
    <col min="2" max="2" width="161" customWidth="1"/>
    <col min="3" max="3" width="10.83203125"/>
  </cols>
  <sheetData>
    <row r="4" spans="2:2" ht="21">
      <c r="B4" s="3" t="s">
        <v>16</v>
      </c>
    </row>
    <row r="6" spans="2:2">
      <c r="B6" s="2" t="s">
        <v>13</v>
      </c>
    </row>
    <row r="7" spans="2:2" ht="46.5">
      <c r="B7" s="1" t="s">
        <v>14</v>
      </c>
    </row>
    <row r="9" spans="2:2">
      <c r="B9" s="2" t="s">
        <v>15</v>
      </c>
    </row>
    <row r="10" spans="2:2" ht="62">
      <c r="B10" s="1" t="s">
        <v>35</v>
      </c>
    </row>
    <row r="12" spans="2:2">
      <c r="B12" s="2" t="s">
        <v>17</v>
      </c>
    </row>
    <row r="13" spans="2:2" ht="124">
      <c r="B13" s="1" t="s">
        <v>18</v>
      </c>
    </row>
    <row r="15" spans="2:2">
      <c r="B15" s="2" t="s">
        <v>19</v>
      </c>
    </row>
    <row r="16" spans="2:2" ht="108.5">
      <c r="B16" s="1" t="s">
        <v>20</v>
      </c>
    </row>
    <row r="17" spans="2:2">
      <c r="B17" s="1"/>
    </row>
    <row r="18" spans="2:2">
      <c r="B18" s="2" t="s">
        <v>34</v>
      </c>
    </row>
    <row r="19" spans="2:2" ht="139.5">
      <c r="B19" s="1" t="s">
        <v>36</v>
      </c>
    </row>
    <row r="21" spans="2:2">
      <c r="B21" s="2" t="s">
        <v>21</v>
      </c>
    </row>
    <row r="22" spans="2:2" ht="124">
      <c r="B22" s="1" t="s">
        <v>37</v>
      </c>
    </row>
    <row r="24" spans="2:2">
      <c r="B24" s="2" t="s">
        <v>22</v>
      </c>
    </row>
    <row r="25" spans="2:2" ht="124">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4" sqref="J4"/>
    </sheetView>
  </sheetViews>
  <sheetFormatPr defaultColWidth="10.58203125" defaultRowHeight="15.5"/>
  <cols>
    <col min="1" max="1" width="16.83203125" style="9" customWidth="1"/>
    <col min="2" max="2" width="19.08203125" style="9" customWidth="1"/>
    <col min="3" max="3" width="18.08203125" style="9" customWidth="1"/>
    <col min="4" max="4" width="19.5" style="9" customWidth="1"/>
    <col min="8" max="8" width="15.08203125" customWidth="1"/>
    <col min="10" max="10" width="71.75" customWidth="1"/>
    <col min="11" max="11" width="28.5" customWidth="1"/>
  </cols>
  <sheetData>
    <row r="1" spans="1:11" ht="31">
      <c r="A1" s="9" t="s">
        <v>41</v>
      </c>
      <c r="B1" s="15" t="s">
        <v>38</v>
      </c>
      <c r="C1" s="15" t="s">
        <v>39</v>
      </c>
      <c r="D1" s="15" t="s">
        <v>40</v>
      </c>
      <c r="E1" s="1" t="s">
        <v>42</v>
      </c>
      <c r="F1" s="1" t="s">
        <v>43</v>
      </c>
      <c r="G1" s="1" t="s">
        <v>44</v>
      </c>
      <c r="H1" s="1" t="s">
        <v>45</v>
      </c>
      <c r="I1" s="1" t="s">
        <v>46</v>
      </c>
      <c r="J1" s="1" t="s">
        <v>47</v>
      </c>
      <c r="K1" s="1" t="s">
        <v>48</v>
      </c>
    </row>
    <row r="2" spans="1:11">
      <c r="A2" s="14">
        <v>45186</v>
      </c>
      <c r="B2" s="9" t="s">
        <v>165</v>
      </c>
      <c r="C2" s="9" t="s">
        <v>165</v>
      </c>
      <c r="D2" s="11">
        <v>1</v>
      </c>
      <c r="J2" t="s">
        <v>166</v>
      </c>
      <c r="K2" t="s">
        <v>167</v>
      </c>
    </row>
    <row r="3" spans="1:11">
      <c r="A3" s="14">
        <v>45187</v>
      </c>
      <c r="B3" s="9" t="s">
        <v>165</v>
      </c>
      <c r="C3" s="9" t="s">
        <v>165</v>
      </c>
      <c r="D3" s="11">
        <v>0.8</v>
      </c>
      <c r="J3" t="s">
        <v>173</v>
      </c>
      <c r="K3" t="s">
        <v>174</v>
      </c>
    </row>
    <row r="4" spans="1:11">
      <c r="A4" s="14">
        <v>45188</v>
      </c>
      <c r="B4" s="9" t="s">
        <v>165</v>
      </c>
      <c r="C4" s="9" t="s">
        <v>165</v>
      </c>
      <c r="D4" s="11">
        <v>0.6</v>
      </c>
      <c r="J4" t="s">
        <v>184</v>
      </c>
    </row>
    <row r="5" spans="1:11">
      <c r="A5" s="14">
        <v>45189</v>
      </c>
      <c r="D5" s="11">
        <v>0.6</v>
      </c>
    </row>
    <row r="6" spans="1:11">
      <c r="A6" s="14">
        <v>45190</v>
      </c>
      <c r="D6" s="11">
        <v>0.6</v>
      </c>
    </row>
    <row r="7" spans="1:11">
      <c r="A7" s="14">
        <v>45191</v>
      </c>
      <c r="D7" s="11">
        <v>0.6</v>
      </c>
    </row>
    <row r="8" spans="1:11">
      <c r="A8" s="14">
        <v>45192</v>
      </c>
      <c r="D8" s="11">
        <v>0.6</v>
      </c>
    </row>
    <row r="9" spans="1:11">
      <c r="A9" s="14">
        <v>45193</v>
      </c>
      <c r="D9" s="11">
        <v>0.6</v>
      </c>
    </row>
    <row r="10" spans="1:11">
      <c r="A10" s="14">
        <v>45194</v>
      </c>
      <c r="D10" s="11">
        <v>0.6</v>
      </c>
    </row>
    <row r="11" spans="1:11">
      <c r="A11" s="14">
        <v>45195</v>
      </c>
      <c r="D11" s="11">
        <v>0.6</v>
      </c>
    </row>
    <row r="12" spans="1:11">
      <c r="A12" s="14">
        <v>45196</v>
      </c>
      <c r="D12" s="11">
        <v>0.6</v>
      </c>
    </row>
    <row r="13" spans="1:11">
      <c r="A13" s="14">
        <v>45197</v>
      </c>
      <c r="D13" s="11">
        <v>0.6</v>
      </c>
    </row>
    <row r="14" spans="1:11">
      <c r="A14" s="14">
        <v>45198</v>
      </c>
      <c r="D14" s="11">
        <v>0.6</v>
      </c>
    </row>
    <row r="15" spans="1:11">
      <c r="A15" s="14">
        <v>45199</v>
      </c>
      <c r="D15" s="11">
        <v>0.6</v>
      </c>
    </row>
    <row r="16" spans="1:11">
      <c r="A16" s="14">
        <v>45200</v>
      </c>
      <c r="D16" s="11">
        <v>0.6</v>
      </c>
    </row>
    <row r="17" spans="1:4">
      <c r="A17" s="14">
        <v>45201</v>
      </c>
      <c r="D17" s="11">
        <v>0.6</v>
      </c>
    </row>
    <row r="18" spans="1:4">
      <c r="A18" s="14">
        <v>45202</v>
      </c>
      <c r="D18" s="11">
        <v>0.6</v>
      </c>
    </row>
    <row r="19" spans="1:4">
      <c r="A19" s="14">
        <v>45203</v>
      </c>
      <c r="D19" s="11">
        <v>0.6</v>
      </c>
    </row>
    <row r="20" spans="1:4">
      <c r="A20" s="14">
        <v>45204</v>
      </c>
      <c r="D20" s="11">
        <v>0.6</v>
      </c>
    </row>
    <row r="21" spans="1:4">
      <c r="A21" s="14">
        <v>45205</v>
      </c>
      <c r="D21" s="11">
        <v>0.6</v>
      </c>
    </row>
    <row r="22" spans="1:4">
      <c r="A22" s="14">
        <v>45206</v>
      </c>
      <c r="D22" s="11">
        <v>0.6</v>
      </c>
    </row>
    <row r="23" spans="1:4">
      <c r="A23" s="14">
        <v>45207</v>
      </c>
      <c r="D23" s="11">
        <v>0.6</v>
      </c>
    </row>
    <row r="24" spans="1:4">
      <c r="A24" s="14">
        <v>45208</v>
      </c>
      <c r="D24" s="11">
        <v>0.6</v>
      </c>
    </row>
    <row r="25" spans="1:4">
      <c r="A25" s="14">
        <v>45209</v>
      </c>
      <c r="D25" s="11">
        <v>0.6</v>
      </c>
    </row>
    <row r="26" spans="1:4">
      <c r="A26" s="14">
        <v>45210</v>
      </c>
      <c r="D26" s="11">
        <v>0.6</v>
      </c>
    </row>
    <row r="27" spans="1:4">
      <c r="A27" s="14">
        <v>45211</v>
      </c>
      <c r="D27" s="11">
        <v>0.6</v>
      </c>
    </row>
    <row r="28" spans="1:4">
      <c r="A28" s="14">
        <v>45212</v>
      </c>
      <c r="D28" s="11">
        <v>0.6</v>
      </c>
    </row>
    <row r="29" spans="1:4">
      <c r="A29" s="14">
        <v>45213</v>
      </c>
    </row>
    <row r="30" spans="1:4">
      <c r="A30" s="14">
        <v>45214</v>
      </c>
    </row>
    <row r="31" spans="1:4">
      <c r="A31" s="14">
        <v>45215</v>
      </c>
    </row>
    <row r="32" spans="1:4">
      <c r="A32" s="14">
        <v>45216</v>
      </c>
    </row>
    <row r="33" spans="1:1">
      <c r="A33" s="14">
        <v>45217</v>
      </c>
    </row>
    <row r="34" spans="1:1">
      <c r="A34" s="14">
        <v>45218</v>
      </c>
    </row>
    <row r="35" spans="1:1">
      <c r="A35" s="14">
        <v>45219</v>
      </c>
    </row>
    <row r="36" spans="1:1">
      <c r="A36" s="14">
        <v>45220</v>
      </c>
    </row>
    <row r="37" spans="1:1">
      <c r="A37" s="14">
        <v>45221</v>
      </c>
    </row>
    <row r="38" spans="1:1">
      <c r="A38" s="14">
        <v>45222</v>
      </c>
    </row>
    <row r="39" spans="1:1">
      <c r="A39" s="14">
        <v>45223</v>
      </c>
    </row>
    <row r="40" spans="1:1">
      <c r="A40" s="14">
        <v>45224</v>
      </c>
    </row>
    <row r="41" spans="1:1">
      <c r="A41" s="14">
        <v>45225</v>
      </c>
    </row>
    <row r="42" spans="1:1">
      <c r="A42" s="14">
        <v>45226</v>
      </c>
    </row>
    <row r="43" spans="1:1">
      <c r="A43" s="14">
        <v>45227</v>
      </c>
    </row>
    <row r="44" spans="1:1">
      <c r="A44" s="14">
        <v>45228</v>
      </c>
    </row>
    <row r="45" spans="1:1">
      <c r="A45" s="14">
        <v>45229</v>
      </c>
    </row>
    <row r="46" spans="1:1">
      <c r="A46" s="14">
        <v>45230</v>
      </c>
    </row>
  </sheetData>
  <conditionalFormatting sqref="B2:B46">
    <cfRule type="cellIs" dxfId="111" priority="4" operator="equal">
      <formula>"Ja"</formula>
    </cfRule>
    <cfRule type="cellIs" dxfId="110" priority="14" operator="equal">
      <formula>"Ja"</formula>
    </cfRule>
    <cfRule type="cellIs" dxfId="109" priority="15" operator="equal">
      <formula>"Nein"</formula>
    </cfRule>
  </conditionalFormatting>
  <conditionalFormatting sqref="C2:C46">
    <cfRule type="cellIs" dxfId="108" priority="1" operator="equal">
      <formula>"Ja"</formula>
    </cfRule>
    <cfRule type="cellIs" dxfId="107" priority="2" operator="equal">
      <formula>"Ja"</formula>
    </cfRule>
    <cfRule type="cellIs" dxfId="106" priority="3" operator="equal">
      <formula>"Nein"</formula>
    </cfRule>
  </conditionalFormatting>
  <conditionalFormatting sqref="D2:D28">
    <cfRule type="cellIs" dxfId="105" priority="6" operator="equal">
      <formula>1</formula>
    </cfRule>
    <cfRule type="cellIs" dxfId="104" priority="7" operator="equal">
      <formula>0.8</formula>
    </cfRule>
    <cfRule type="cellIs" dxfId="103" priority="8" operator="equal">
      <formula>0.6</formula>
    </cfRule>
    <cfRule type="cellIs" dxfId="102" priority="9" operator="equal">
      <formula>0.4</formula>
    </cfRule>
    <cfRule type="cellIs" dxfId="101" priority="10" operator="equal">
      <formula>0.2</formula>
    </cfRule>
    <cfRule type="cellIs" dxfId="10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D28"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7" zoomScale="85" zoomScaleNormal="85" workbookViewId="0">
      <selection activeCell="E36" sqref="E36"/>
    </sheetView>
  </sheetViews>
  <sheetFormatPr defaultColWidth="10.58203125" defaultRowHeight="15.5"/>
  <cols>
    <col min="2" max="2" width="22.5" customWidth="1"/>
    <col min="3" max="3" width="40.5" customWidth="1"/>
    <col min="4" max="4" width="38.75" customWidth="1"/>
    <col min="5" max="5" width="26.75" customWidth="1"/>
  </cols>
  <sheetData>
    <row r="1" spans="1:8" ht="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c r="B8" t="s">
        <v>158</v>
      </c>
    </row>
    <row r="9" spans="1:8">
      <c r="A9" s="8">
        <v>0.25</v>
      </c>
      <c r="B9" t="s">
        <v>158</v>
      </c>
      <c r="C9" t="s">
        <v>93</v>
      </c>
      <c r="D9" t="s">
        <v>157</v>
      </c>
      <c r="E9" t="s">
        <v>190</v>
      </c>
    </row>
    <row r="10" spans="1:8">
      <c r="A10" s="8">
        <v>0.27083333333333398</v>
      </c>
      <c r="B10" t="s">
        <v>158</v>
      </c>
      <c r="C10" t="s">
        <v>93</v>
      </c>
      <c r="D10" t="s">
        <v>157</v>
      </c>
      <c r="E10" t="s">
        <v>190</v>
      </c>
    </row>
    <row r="11" spans="1:8">
      <c r="A11" s="8">
        <v>0.29166666666666702</v>
      </c>
      <c r="B11" t="s">
        <v>158</v>
      </c>
      <c r="C11" t="s">
        <v>159</v>
      </c>
      <c r="D11" t="s">
        <v>157</v>
      </c>
      <c r="E11" t="s">
        <v>191</v>
      </c>
    </row>
    <row r="12" spans="1:8">
      <c r="A12" s="8">
        <v>0.3125</v>
      </c>
      <c r="B12" t="s">
        <v>158</v>
      </c>
      <c r="C12" t="s">
        <v>159</v>
      </c>
      <c r="D12" t="s">
        <v>157</v>
      </c>
      <c r="E12" t="s">
        <v>192</v>
      </c>
    </row>
    <row r="13" spans="1:8">
      <c r="A13" s="8">
        <v>0.33333333333333398</v>
      </c>
      <c r="B13" t="s">
        <v>158</v>
      </c>
      <c r="C13" t="s">
        <v>175</v>
      </c>
      <c r="D13" t="s">
        <v>157</v>
      </c>
      <c r="E13" t="s">
        <v>193</v>
      </c>
    </row>
    <row r="14" spans="1:8">
      <c r="A14" s="8">
        <v>0.35416666666666702</v>
      </c>
      <c r="B14" t="s">
        <v>159</v>
      </c>
      <c r="C14" t="s">
        <v>93</v>
      </c>
      <c r="E14" t="s">
        <v>193</v>
      </c>
    </row>
    <row r="15" spans="1:8">
      <c r="A15" s="8">
        <v>0.375</v>
      </c>
      <c r="B15" t="s">
        <v>158</v>
      </c>
      <c r="C15" t="s">
        <v>93</v>
      </c>
      <c r="D15" t="s">
        <v>93</v>
      </c>
      <c r="E15" t="s">
        <v>193</v>
      </c>
    </row>
    <row r="16" spans="1:8">
      <c r="A16" s="8">
        <v>0.39583333333333398</v>
      </c>
      <c r="B16" t="s">
        <v>160</v>
      </c>
      <c r="C16" t="s">
        <v>93</v>
      </c>
      <c r="D16" t="s">
        <v>93</v>
      </c>
      <c r="E16" t="s">
        <v>193</v>
      </c>
    </row>
    <row r="17" spans="1:5">
      <c r="A17" s="8">
        <v>0.41666666666666702</v>
      </c>
      <c r="B17" t="s">
        <v>160</v>
      </c>
      <c r="C17" t="s">
        <v>93</v>
      </c>
      <c r="D17" t="s">
        <v>93</v>
      </c>
      <c r="E17" t="s">
        <v>194</v>
      </c>
    </row>
    <row r="18" spans="1:5">
      <c r="A18" s="8">
        <v>0.4375</v>
      </c>
      <c r="B18" t="s">
        <v>160</v>
      </c>
      <c r="C18" t="s">
        <v>176</v>
      </c>
      <c r="D18" t="s">
        <v>93</v>
      </c>
      <c r="E18" t="s">
        <v>176</v>
      </c>
    </row>
    <row r="19" spans="1:5">
      <c r="A19" s="8">
        <v>0.45833333333333398</v>
      </c>
      <c r="B19" t="s">
        <v>160</v>
      </c>
      <c r="C19" t="s">
        <v>176</v>
      </c>
      <c r="D19" t="s">
        <v>93</v>
      </c>
      <c r="E19" t="s">
        <v>176</v>
      </c>
    </row>
    <row r="20" spans="1:5">
      <c r="A20" s="8">
        <v>0.47916666666666702</v>
      </c>
      <c r="B20" t="s">
        <v>160</v>
      </c>
      <c r="C20" t="s">
        <v>176</v>
      </c>
      <c r="D20" t="s">
        <v>93</v>
      </c>
      <c r="E20" t="s">
        <v>176</v>
      </c>
    </row>
    <row r="21" spans="1:5">
      <c r="A21" s="8">
        <v>0.5</v>
      </c>
      <c r="B21" t="s">
        <v>160</v>
      </c>
      <c r="C21" t="s">
        <v>176</v>
      </c>
      <c r="D21" t="s">
        <v>185</v>
      </c>
    </row>
    <row r="22" spans="1:5">
      <c r="A22" s="8">
        <v>0.52083333333333404</v>
      </c>
      <c r="B22" t="s">
        <v>160</v>
      </c>
      <c r="C22" t="s">
        <v>159</v>
      </c>
      <c r="D22" t="s">
        <v>185</v>
      </c>
    </row>
    <row r="23" spans="1:5">
      <c r="A23" s="8">
        <v>0.54166666666666696</v>
      </c>
      <c r="B23" t="s">
        <v>161</v>
      </c>
      <c r="C23" t="s">
        <v>177</v>
      </c>
      <c r="D23" t="s">
        <v>186</v>
      </c>
    </row>
    <row r="24" spans="1:5">
      <c r="A24" s="8">
        <v>0.5625</v>
      </c>
      <c r="B24" t="s">
        <v>161</v>
      </c>
      <c r="C24" t="s">
        <v>177</v>
      </c>
      <c r="D24" t="s">
        <v>186</v>
      </c>
    </row>
    <row r="25" spans="1:5" ht="15" customHeight="1">
      <c r="A25" s="8">
        <v>0.58333333333333404</v>
      </c>
      <c r="B25" t="s">
        <v>99</v>
      </c>
      <c r="C25" t="s">
        <v>177</v>
      </c>
      <c r="D25" t="s">
        <v>186</v>
      </c>
      <c r="E25" t="s">
        <v>176</v>
      </c>
    </row>
    <row r="26" spans="1:5">
      <c r="A26" s="8">
        <v>0.60416666666666696</v>
      </c>
      <c r="B26" t="s">
        <v>99</v>
      </c>
      <c r="C26" t="s">
        <v>177</v>
      </c>
      <c r="D26" t="s">
        <v>186</v>
      </c>
      <c r="E26" t="s">
        <v>176</v>
      </c>
    </row>
    <row r="27" spans="1:5">
      <c r="A27" s="8">
        <v>0.625000000000001</v>
      </c>
      <c r="B27" t="s">
        <v>99</v>
      </c>
      <c r="C27" t="s">
        <v>170</v>
      </c>
      <c r="D27" t="s">
        <v>186</v>
      </c>
      <c r="E27" t="s">
        <v>176</v>
      </c>
    </row>
    <row r="28" spans="1:5">
      <c r="A28" s="8">
        <v>0.64583333333333404</v>
      </c>
      <c r="B28" t="s">
        <v>99</v>
      </c>
      <c r="C28" t="s">
        <v>170</v>
      </c>
      <c r="D28" t="s">
        <v>186</v>
      </c>
      <c r="E28" t="s">
        <v>176</v>
      </c>
    </row>
    <row r="29" spans="1:5">
      <c r="A29" s="8">
        <v>0.66666666666666696</v>
      </c>
      <c r="B29" t="s">
        <v>163</v>
      </c>
      <c r="C29" t="s">
        <v>178</v>
      </c>
      <c r="D29" t="s">
        <v>186</v>
      </c>
      <c r="E29" t="s">
        <v>98</v>
      </c>
    </row>
    <row r="30" spans="1:5">
      <c r="A30" s="8">
        <v>0.687500000000001</v>
      </c>
      <c r="B30" t="s">
        <v>164</v>
      </c>
      <c r="C30" t="s">
        <v>179</v>
      </c>
      <c r="D30" t="s">
        <v>186</v>
      </c>
      <c r="E30" t="s">
        <v>98</v>
      </c>
    </row>
    <row r="31" spans="1:5">
      <c r="A31" s="8">
        <v>0.70833333333333404</v>
      </c>
      <c r="B31" t="s">
        <v>157</v>
      </c>
      <c r="C31" t="s">
        <v>180</v>
      </c>
      <c r="D31" t="s">
        <v>186</v>
      </c>
      <c r="E31" t="s">
        <v>98</v>
      </c>
    </row>
    <row r="32" spans="1:5">
      <c r="A32" s="8">
        <v>0.72916666666666696</v>
      </c>
      <c r="B32" t="s">
        <v>157</v>
      </c>
      <c r="C32" t="s">
        <v>180</v>
      </c>
      <c r="D32" t="s">
        <v>186</v>
      </c>
      <c r="E32" t="s">
        <v>98</v>
      </c>
    </row>
    <row r="33" spans="1:4">
      <c r="A33" s="8">
        <v>0.750000000000001</v>
      </c>
      <c r="B33" t="s">
        <v>157</v>
      </c>
      <c r="C33" t="s">
        <v>180</v>
      </c>
    </row>
    <row r="34" spans="1:4">
      <c r="A34" s="8">
        <v>0.77083333333333404</v>
      </c>
      <c r="B34" t="s">
        <v>169</v>
      </c>
      <c r="C34" t="s">
        <v>180</v>
      </c>
      <c r="D34" t="s">
        <v>187</v>
      </c>
    </row>
    <row r="35" spans="1:4">
      <c r="A35" s="8">
        <v>0.79166666666666696</v>
      </c>
      <c r="B35" t="s">
        <v>170</v>
      </c>
      <c r="C35" t="s">
        <v>180</v>
      </c>
      <c r="D35" t="s">
        <v>187</v>
      </c>
    </row>
    <row r="36" spans="1:4">
      <c r="A36" s="8">
        <v>0.812500000000001</v>
      </c>
      <c r="B36" t="s">
        <v>159</v>
      </c>
      <c r="C36" t="s">
        <v>181</v>
      </c>
      <c r="D36" t="s">
        <v>187</v>
      </c>
    </row>
    <row r="37" spans="1:4">
      <c r="A37" s="8">
        <v>0.83333333333333404</v>
      </c>
      <c r="B37" t="s">
        <v>172</v>
      </c>
      <c r="C37" t="s">
        <v>182</v>
      </c>
      <c r="D37" t="s">
        <v>187</v>
      </c>
    </row>
    <row r="38" spans="1:4">
      <c r="A38" s="8">
        <v>0.85416666666666696</v>
      </c>
      <c r="B38" t="s">
        <v>171</v>
      </c>
      <c r="D38" t="s">
        <v>188</v>
      </c>
    </row>
    <row r="39" spans="1:4">
      <c r="A39" s="8">
        <v>0.875000000000001</v>
      </c>
      <c r="B39" t="s">
        <v>171</v>
      </c>
      <c r="D39" t="s">
        <v>188</v>
      </c>
    </row>
    <row r="40" spans="1:4">
      <c r="A40" s="8">
        <v>0.89583333333333404</v>
      </c>
      <c r="B40" t="s">
        <v>183</v>
      </c>
      <c r="D40" t="s">
        <v>189</v>
      </c>
    </row>
    <row r="41" spans="1:4">
      <c r="A41" s="8">
        <v>0.91666666666666696</v>
      </c>
      <c r="B41" t="s">
        <v>168</v>
      </c>
      <c r="C41" t="s">
        <v>168</v>
      </c>
      <c r="D41" t="s">
        <v>189</v>
      </c>
    </row>
    <row r="42" spans="1:4">
      <c r="A42" s="8">
        <v>0.937500000000001</v>
      </c>
    </row>
    <row r="43" spans="1:4">
      <c r="A43" s="8">
        <v>0.95833333333333404</v>
      </c>
    </row>
    <row r="44" spans="1:4">
      <c r="A44" s="8">
        <v>0.97916666666666696</v>
      </c>
    </row>
    <row r="45" spans="1:4">
      <c r="A45" s="8">
        <v>1</v>
      </c>
    </row>
    <row r="46" spans="1:4">
      <c r="A46" s="8">
        <v>1.0208333333333299</v>
      </c>
    </row>
    <row r="47" spans="1:4">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abSelected="1" zoomScale="85" zoomScaleNormal="85" workbookViewId="0">
      <selection activeCell="B8" sqref="B8:B39"/>
    </sheetView>
  </sheetViews>
  <sheetFormatPr defaultColWidth="10.58203125" defaultRowHeight="15.5"/>
  <cols>
    <col min="2" max="2" width="13.83203125" customWidth="1"/>
  </cols>
  <sheetData>
    <row r="1" spans="1:8" ht="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2">
      <c r="A33" s="8">
        <v>0.750000000000001</v>
      </c>
    </row>
    <row r="34" spans="1:2">
      <c r="A34" s="8">
        <v>0.77083333333333404</v>
      </c>
    </row>
    <row r="35" spans="1:2">
      <c r="A35" s="8">
        <v>0.79166666666666696</v>
      </c>
    </row>
    <row r="36" spans="1:2">
      <c r="A36" s="8">
        <v>0.812500000000001</v>
      </c>
    </row>
    <row r="37" spans="1:2">
      <c r="A37" s="8">
        <v>0.83333333333333404</v>
      </c>
    </row>
    <row r="38" spans="1:2">
      <c r="A38" s="8">
        <v>0.85416666666666696</v>
      </c>
    </row>
    <row r="39" spans="1:2">
      <c r="A39" s="8">
        <v>0.875000000000001</v>
      </c>
    </row>
    <row r="40" spans="1:2">
      <c r="A40" s="8">
        <v>0.89583333333333404</v>
      </c>
    </row>
    <row r="41" spans="1:2">
      <c r="A41" s="8">
        <v>0.91666666666666696</v>
      </c>
      <c r="B41" t="s">
        <v>162</v>
      </c>
    </row>
    <row r="42" spans="1:2">
      <c r="A42" s="8">
        <v>0.937500000000001</v>
      </c>
    </row>
    <row r="43" spans="1:2">
      <c r="A43" s="8">
        <v>0.95833333333333404</v>
      </c>
    </row>
    <row r="44" spans="1:2">
      <c r="A44" s="8">
        <v>0.97916666666666696</v>
      </c>
    </row>
    <row r="45" spans="1:2">
      <c r="A45" s="8">
        <v>1</v>
      </c>
    </row>
    <row r="46" spans="1:2">
      <c r="A46" s="8">
        <v>1.0208333333333299</v>
      </c>
    </row>
    <row r="47" spans="1: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38</vt:lpstr>
      <vt:lpstr>Wochenplan KW 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Nando Fuhrer</cp:lastModifiedBy>
  <dcterms:created xsi:type="dcterms:W3CDTF">2020-04-19T13:33:28Z</dcterms:created>
  <dcterms:modified xsi:type="dcterms:W3CDTF">2023-10-08T13:35:41Z</dcterms:modified>
</cp:coreProperties>
</file>