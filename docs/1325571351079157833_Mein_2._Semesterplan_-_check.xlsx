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https://d.docs.live.net/0394e61729fead39/Desktop/"/>
    </mc:Choice>
  </mc:AlternateContent>
  <xr:revisionPtr revIDLastSave="0" documentId="8_{0A4768CC-9B19-4E59-8120-F69BF50893EF}" xr6:coauthVersionLast="47" xr6:coauthVersionMax="47" xr10:uidLastSave="{00000000-0000-0000-0000-000000000000}"/>
  <bookViews>
    <workbookView xWindow="-120" yWindow="-120" windowWidth="24240" windowHeight="13020" activeTab="1" xr2:uid="{00000000-000D-0000-FFFF-FFFF00000000}"/>
  </bookViews>
  <sheets>
    <sheet name="Anleitung" sheetId="1" r:id="rId1"/>
    <sheet name="Semesterplan" sheetId="2" r:id="rId2"/>
    <sheet name="Sheet1" sheetId="3" r:id="rId3"/>
    <sheet name="COMMITTMENT" sheetId="4" r:id="rId4"/>
    <sheet name="Wochenplan KW 1" sheetId="5" r:id="rId5"/>
    <sheet name="Wochenplan KW 2"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0" roundtripDataSignature="AMtx7mhoitFh0LRn17x/1zmQqusFxz8g5A=="/>
    </ext>
  </extLst>
</workbook>
</file>

<file path=xl/calcChain.xml><?xml version="1.0" encoding="utf-8"?>
<calcChain xmlns="http://schemas.openxmlformats.org/spreadsheetml/2006/main">
  <c r="BX53" i="2" l="1"/>
  <c r="BP53" i="2"/>
  <c r="P53" i="2"/>
  <c r="P40" i="2"/>
  <c r="P27" i="2"/>
  <c r="P16" i="2"/>
  <c r="P4" i="2"/>
  <c r="W53" i="2"/>
  <c r="W40" i="2"/>
  <c r="W27" i="2"/>
  <c r="W16" i="2" s="1"/>
  <c r="W4" i="2"/>
  <c r="AD53" i="2"/>
  <c r="AD40" i="2"/>
  <c r="AD27" i="2"/>
  <c r="AD16" i="2" s="1"/>
  <c r="AD4" i="2"/>
  <c r="AK53" i="2"/>
  <c r="AK40" i="2"/>
  <c r="AK27" i="2"/>
  <c r="AK16" i="2" s="1"/>
  <c r="AK4" i="2"/>
  <c r="AR53" i="2"/>
  <c r="AR40" i="2"/>
  <c r="AR27" i="2"/>
  <c r="AR16" i="2" s="1"/>
  <c r="AR4" i="2"/>
  <c r="AZ53" i="2"/>
  <c r="AZ40" i="2"/>
  <c r="AZ27" i="2"/>
  <c r="AZ16" i="2"/>
  <c r="AZ4" i="2"/>
  <c r="BH53" i="2"/>
  <c r="BH40" i="2"/>
  <c r="BH27" i="2"/>
  <c r="BH16" i="2"/>
  <c r="BH4" i="2"/>
  <c r="CF53" i="2"/>
  <c r="CF40" i="2"/>
  <c r="CF27" i="2"/>
  <c r="CF16" i="2" s="1"/>
  <c r="CF4" i="2"/>
  <c r="FH4" i="2"/>
  <c r="EZ4" i="2"/>
  <c r="ER4" i="2"/>
  <c r="EJ4" i="2"/>
  <c r="EB4" i="2"/>
  <c r="DT4" i="2"/>
  <c r="DL4" i="2"/>
  <c r="DD4" i="2"/>
  <c r="CV4" i="2"/>
  <c r="CN4" i="2"/>
  <c r="BX4" i="2"/>
  <c r="BP4" i="2"/>
  <c r="L64" i="2"/>
  <c r="K64" i="2"/>
  <c r="J64" i="2"/>
  <c r="L63" i="2"/>
  <c r="K63" i="2"/>
  <c r="J63" i="2"/>
  <c r="L62" i="2"/>
  <c r="K62" i="2"/>
  <c r="J62" i="2"/>
  <c r="L61" i="2"/>
  <c r="K61" i="2"/>
  <c r="J61" i="2"/>
  <c r="L60" i="2"/>
  <c r="K60" i="2"/>
  <c r="J60" i="2"/>
  <c r="L59" i="2"/>
  <c r="K59" i="2"/>
  <c r="J59" i="2"/>
  <c r="L58" i="2"/>
  <c r="K58" i="2"/>
  <c r="J58" i="2"/>
  <c r="L57" i="2"/>
  <c r="K57" i="2"/>
  <c r="J57" i="2"/>
  <c r="L56" i="2"/>
  <c r="K56" i="2"/>
  <c r="J56" i="2"/>
  <c r="L55" i="2"/>
  <c r="K55" i="2"/>
  <c r="J55" i="2"/>
  <c r="L54" i="2"/>
  <c r="L53" i="2" s="1"/>
  <c r="K54" i="2"/>
  <c r="K53" i="2" s="1"/>
  <c r="J54" i="2"/>
  <c r="H53" i="2"/>
  <c r="L51" i="2"/>
  <c r="K51" i="2"/>
  <c r="J51" i="2"/>
  <c r="L50" i="2"/>
  <c r="K50" i="2"/>
  <c r="J50" i="2"/>
  <c r="L49" i="2"/>
  <c r="K49" i="2"/>
  <c r="J49" i="2"/>
  <c r="L48" i="2"/>
  <c r="K48" i="2"/>
  <c r="J48" i="2"/>
  <c r="L47" i="2"/>
  <c r="K47" i="2"/>
  <c r="J47" i="2"/>
  <c r="L46" i="2"/>
  <c r="K46" i="2"/>
  <c r="J46" i="2"/>
  <c r="L45" i="2"/>
  <c r="K45" i="2"/>
  <c r="J45" i="2"/>
  <c r="L44" i="2"/>
  <c r="K44" i="2"/>
  <c r="J44" i="2"/>
  <c r="L43" i="2"/>
  <c r="K43" i="2"/>
  <c r="J43" i="2"/>
  <c r="L42" i="2"/>
  <c r="K42" i="2"/>
  <c r="J42" i="2"/>
  <c r="L41" i="2"/>
  <c r="L40" i="2" s="1"/>
  <c r="K41" i="2"/>
  <c r="K40" i="2" s="1"/>
  <c r="J41" i="2"/>
  <c r="H40" i="2"/>
  <c r="L38" i="2"/>
  <c r="K38" i="2"/>
  <c r="J38" i="2"/>
  <c r="L32" i="2"/>
  <c r="K32" i="2"/>
  <c r="J32" i="2"/>
  <c r="L31" i="2"/>
  <c r="K31" i="2"/>
  <c r="J31" i="2"/>
  <c r="L30" i="2"/>
  <c r="K30" i="2"/>
  <c r="J30" i="2"/>
  <c r="L29" i="2"/>
  <c r="K29" i="2"/>
  <c r="J29" i="2"/>
  <c r="L28" i="2"/>
  <c r="L27" i="2" s="1"/>
  <c r="K28" i="2"/>
  <c r="K27" i="2" s="1"/>
  <c r="J28" i="2"/>
  <c r="H27" i="2"/>
  <c r="L19" i="2"/>
  <c r="K19" i="2"/>
  <c r="J19" i="2"/>
  <c r="L18" i="2"/>
  <c r="K18" i="2"/>
  <c r="J18" i="2"/>
  <c r="L17" i="2"/>
  <c r="L16" i="2" s="1"/>
  <c r="K17" i="2"/>
  <c r="K16" i="2" s="1"/>
  <c r="J17" i="2"/>
  <c r="H16" i="2"/>
  <c r="L14" i="2"/>
  <c r="K14" i="2"/>
  <c r="J14" i="2"/>
  <c r="L13" i="2"/>
  <c r="K13" i="2"/>
  <c r="J13" i="2"/>
  <c r="L12" i="2"/>
  <c r="K12" i="2"/>
  <c r="J12" i="2"/>
  <c r="L11" i="2"/>
  <c r="K11" i="2"/>
  <c r="J11" i="2"/>
  <c r="L10" i="2"/>
  <c r="K10" i="2"/>
  <c r="J10" i="2"/>
  <c r="L9" i="2"/>
  <c r="K9" i="2"/>
  <c r="J9" i="2"/>
  <c r="L8" i="2"/>
  <c r="K8" i="2"/>
  <c r="J8" i="2"/>
  <c r="L7" i="2"/>
  <c r="K7" i="2"/>
  <c r="J7" i="2"/>
  <c r="L6" i="2"/>
  <c r="K6" i="2"/>
  <c r="J6" i="2"/>
  <c r="L5" i="2"/>
  <c r="L4" i="2" s="1"/>
  <c r="K5" i="2"/>
  <c r="K4" i="2" s="1"/>
  <c r="J5" i="2"/>
  <c r="H4" i="2"/>
  <c r="J27" i="2" l="1"/>
  <c r="J16" i="2"/>
  <c r="J4" i="2"/>
  <c r="J40" i="2"/>
  <c r="J53" i="2"/>
</calcChain>
</file>

<file path=xl/sharedStrings.xml><?xml version="1.0" encoding="utf-8"?>
<sst xmlns="http://schemas.openxmlformats.org/spreadsheetml/2006/main" count="353" uniqueCount="102">
  <si>
    <t>Best Practices für die optimale Semesterplanung</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</si>
  <si>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</si>
  <si>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</si>
  <si>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</si>
  <si>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</si>
  <si>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</si>
  <si>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</si>
  <si>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</si>
  <si>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</si>
  <si>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Ziele setzen und Zeiten abschätzen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</si>
  <si>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</si>
  <si>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Wiederholungen einbauen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</si>
  <si>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</si>
  <si>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</si>
  <si>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</si>
  <si>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Semesterplan</t>
  </si>
  <si>
    <t>Übersicht</t>
  </si>
  <si>
    <t>Typ</t>
  </si>
  <si>
    <t>Fach</t>
  </si>
  <si>
    <t>Klausurdatum</t>
  </si>
  <si>
    <t>ECTS</t>
  </si>
  <si>
    <t>Fachgebiet</t>
  </si>
  <si>
    <t>Anteil an Klausur</t>
  </si>
  <si>
    <t>Stunden</t>
  </si>
  <si>
    <t>Skript Niveau</t>
  </si>
  <si>
    <t>Rechnen Niveau</t>
  </si>
  <si>
    <t>Bemerkungen</t>
  </si>
  <si>
    <t>Ziel</t>
  </si>
  <si>
    <t>Thema</t>
  </si>
  <si>
    <t>Datum</t>
  </si>
  <si>
    <t>Lerneinheiten durchgezogen</t>
  </si>
  <si>
    <t>Tagesplan erstellt</t>
  </si>
  <si>
    <t>Konzentrationslevel</t>
  </si>
  <si>
    <t>Kcal</t>
  </si>
  <si>
    <t>Fette</t>
  </si>
  <si>
    <t>Eiweiss</t>
  </si>
  <si>
    <t>Kohlenhydrate</t>
  </si>
  <si>
    <t>Gewicht</t>
  </si>
  <si>
    <t>Sonstiges Gefühl</t>
  </si>
  <si>
    <t>Optimierungen</t>
  </si>
  <si>
    <t>Wochenplan</t>
  </si>
  <si>
    <t>Montag</t>
  </si>
  <si>
    <t>Dienstag</t>
  </si>
  <si>
    <t>Mittwoch</t>
  </si>
  <si>
    <t>Donnerstag</t>
  </si>
  <si>
    <t>Freitag</t>
  </si>
  <si>
    <t>Samstag</t>
  </si>
  <si>
    <t>Sonntag</t>
  </si>
  <si>
    <t>Foundations of Finance</t>
  </si>
  <si>
    <t>Statistics &amp; Econometrics</t>
  </si>
  <si>
    <t>Corporate Finance &amp; Valuation</t>
  </si>
  <si>
    <t>Data Analytics &amp; Machine Learning in Finance</t>
  </si>
  <si>
    <t>Risk Management</t>
  </si>
  <si>
    <t>KW 3</t>
  </si>
  <si>
    <t>KW 4</t>
  </si>
  <si>
    <t>KW 5</t>
  </si>
  <si>
    <t>KW 6</t>
  </si>
  <si>
    <t>KW 7</t>
  </si>
  <si>
    <t>KW 8</t>
  </si>
  <si>
    <t xml:space="preserve">KW 9 </t>
  </si>
  <si>
    <t>KW 10</t>
  </si>
  <si>
    <t>KW 11</t>
  </si>
  <si>
    <t>KW 14</t>
  </si>
  <si>
    <t>KW 15</t>
  </si>
  <si>
    <t>KW 16</t>
  </si>
  <si>
    <t>KW 17</t>
  </si>
  <si>
    <t>KW 18</t>
  </si>
  <si>
    <t>KW 19</t>
  </si>
  <si>
    <t>KW 20</t>
  </si>
  <si>
    <t>KW 21</t>
  </si>
  <si>
    <t>KW 12 - KLAUSURENWOCHE</t>
  </si>
  <si>
    <t>1) Time Value</t>
  </si>
  <si>
    <t>2) Bond Pricing</t>
  </si>
  <si>
    <t>3) Diversification CAPM</t>
  </si>
  <si>
    <t>4) Market Efficieny</t>
  </si>
  <si>
    <t>5) Stock Valuation i</t>
  </si>
  <si>
    <t>6) Stock Valuation ii</t>
  </si>
  <si>
    <t>7) Stock Valuation iii</t>
  </si>
  <si>
    <t>8) Capital Budgeting</t>
  </si>
  <si>
    <t>9) Capital Structure</t>
  </si>
  <si>
    <t>10) Payout Policy</t>
  </si>
  <si>
    <t>1) Introduction</t>
  </si>
  <si>
    <t>2) Linear Regression</t>
  </si>
  <si>
    <t>3) Linear Regression Model II</t>
  </si>
  <si>
    <t>4) Linear Regression Model III</t>
  </si>
  <si>
    <t>5) Univariate Time Series Model</t>
  </si>
  <si>
    <t>6) Univariate Time Series Model II</t>
  </si>
  <si>
    <t>7) Modeling Volatility</t>
  </si>
  <si>
    <t>8) Limited Dependent Variable Models</t>
  </si>
  <si>
    <t>9) Panel Data</t>
  </si>
  <si>
    <t>1) tba</t>
  </si>
  <si>
    <t>11) tba</t>
  </si>
  <si>
    <t>2) tba</t>
  </si>
  <si>
    <t>3) tba</t>
  </si>
  <si>
    <t>4) tba</t>
  </si>
  <si>
    <t>5) tba</t>
  </si>
  <si>
    <t>6) tba</t>
  </si>
  <si>
    <t>7) tba</t>
  </si>
  <si>
    <t>8) tba</t>
  </si>
  <si>
    <t>9) tba</t>
  </si>
  <si>
    <t>10) tba</t>
  </si>
  <si>
    <t>Keine Klausur: Gruppenarbeit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</si>
</sst>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2"/>
      <color theme="1"/>
      <name val="Calibri"/>
      <scheme val="minor"/>
    </font>
    <font>
      <b/>
      <i/>
      <u/>
      <sz val="16"/>
      <color theme="1"/>
      <name val="Calibri"/>
      <scheme val="minor"/>
    </font>
    <font>
      <b/>
      <sz val="12"/>
      <color theme="1"/>
      <name val="Calibri"/>
      <scheme val="minor"/>
    </font>
    <font>
      <sz val="5"/>
      <color theme="1"/>
      <name val="Calibri"/>
      <scheme val="minor"/>
    </font>
    <font>
      <b/>
      <sz val="26"/>
      <color theme="1"/>
      <name val="Calibri"/>
      <scheme val="minor"/>
    </font>
    <font>
      <sz val="12"/>
      <name val="Calibri"/>
    </font>
    <font>
      <sz val="12"/>
      <color theme="1"/>
      <name val="Calibri"/>
      <scheme val="minor"/>
    </font>
    <font>
      <b/>
      <sz val="20"/>
      <color theme="1"/>
      <name val="Calibri"/>
    </font>
  </fonts>
  <fills count="3">
    <fill>
      <patternFill patternType="none"/>
    </fill>
    <fill>
      <patternFill patternType="gray125"/>
    </fill>
    <fill>
      <patternFill patternType="solid">
        <fgColor rgb="FFE0E0E0"/>
        <bgColor rgb="FFE0E0E0"/>
      </patternFill>
    </fill>
  </fills>
  <borders count="5">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21">
    <xf numFmtId="0" fontId="0" fillId="0" borderId="0" xfId="0"/>
    <xf numFmtId="0" fontId="1" fillId="0" borderId="0" xfId="0" applyFont="1"/>
    <xf numFmtId="0" fontId="2" fillId="0" borderId="0" xfId="0" applyFont="1"/>
    <xf numFmtId="0" fontId="0" fillId="0" borderId="0" xfId="0" applyAlignment="1">
      <alignment wrapText="1"/>
    </xf>
    <xf numFmtId="0" fontId="3" fillId="0" borderId="0" xfId="0" applyFont="1"/>
    <xf numFmtId="0" fontId="4" fillId="0" borderId="0" xfId="0" applyFont="1"/>
    <xf numFmtId="0" fontId="2" fillId="2" borderId="1" xfId="0" applyFont="1" applyFill="1" applyBorder="1"/>
    <xf numFmtId="0" fontId="2" fillId="2" borderId="1" xfId="0" applyFont="1" applyFill="1" applyBorder="1" applyAlignment="1">
      <alignment horizontal="center"/>
    </xf>
    <xf numFmtId="0" fontId="6" fillId="0" borderId="0" xfId="0" applyFont="1"/>
    <xf numFmtId="0" fontId="0" fillId="0" borderId="0" xfId="0" applyAlignment="1">
      <alignment horizontal="center"/>
    </xf>
    <xf numFmtId="9" fontId="0" fillId="0" borderId="0" xfId="0" applyNumberFormat="1"/>
    <xf numFmtId="1" fontId="0" fillId="0" borderId="0" xfId="0" applyNumberFormat="1" applyAlignment="1">
      <alignment horizontal="center"/>
    </xf>
    <xf numFmtId="9" fontId="0" fillId="0" borderId="0" xfId="0" applyNumberFormat="1" applyAlignment="1">
      <alignment horizontal="center"/>
    </xf>
    <xf numFmtId="0" fontId="0" fillId="0" borderId="0" xfId="0" applyAlignment="1">
      <alignment horizontal="center" wrapText="1"/>
    </xf>
    <xf numFmtId="14" fontId="0" fillId="0" borderId="0" xfId="0" applyNumberFormat="1" applyAlignment="1">
      <alignment horizontal="center"/>
    </xf>
    <xf numFmtId="0" fontId="7" fillId="0" borderId="0" xfId="0" applyFont="1"/>
    <xf numFmtId="20" fontId="0" fillId="0" borderId="0" xfId="0" applyNumberFormat="1"/>
    <xf numFmtId="17" fontId="6" fillId="0" borderId="0" xfId="0" applyNumberFormat="1" applyFont="1"/>
    <xf numFmtId="0" fontId="2" fillId="2" borderId="2" xfId="0" applyFont="1" applyFill="1" applyBorder="1" applyAlignment="1">
      <alignment horizontal="center"/>
    </xf>
    <xf numFmtId="0" fontId="5" fillId="0" borderId="3" xfId="0" applyFont="1" applyBorder="1"/>
    <xf numFmtId="0" fontId="5" fillId="0" borderId="4" xfId="0" applyFont="1" applyBorder="1"/>
  </cellXfs>
  <cellStyles count="1">
    <cellStyle name="Standard" xfId="0" builtinId="0"/>
  </cellStyles>
  <dxfs count="229">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FF0000"/>
          <bgColor rgb="FFFF0000"/>
        </patternFill>
      </fill>
    </dxf>
    <dxf>
      <fill>
        <patternFill patternType="solid">
          <fgColor rgb="FFFF755A"/>
          <bgColor rgb="FFFF755A"/>
        </patternFill>
      </fill>
    </dxf>
    <dxf>
      <fill>
        <patternFill patternType="solid">
          <fgColor rgb="FFFFDE7F"/>
          <bgColor rgb="FFFFDE7F"/>
        </patternFill>
      </fill>
    </dxf>
    <dxf>
      <fill>
        <patternFill patternType="solid">
          <fgColor rgb="FFC4FF87"/>
          <bgColor rgb="FFC4FF87"/>
        </patternFill>
      </fill>
    </dxf>
    <dxf>
      <fill>
        <patternFill patternType="solid">
          <fgColor rgb="FF56FF5E"/>
          <bgColor rgb="FF56FF5E"/>
        </patternFill>
      </fill>
    </dxf>
    <dxf>
      <font>
        <b/>
        <u/>
      </font>
      <fill>
        <patternFill patternType="solid">
          <fgColor rgb="FF00FF29"/>
          <bgColor rgb="FF00FF29"/>
        </patternFill>
      </fill>
    </dxf>
    <dxf>
      <font>
        <b/>
        <u/>
      </font>
      <fill>
        <patternFill patternType="solid">
          <fgColor rgb="FF00FF29"/>
          <bgColor rgb="FF00FF29"/>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u/>
      </font>
      <fill>
        <patternFill patternType="solid">
          <fgColor rgb="FF00FF29"/>
          <bgColor rgb="FF00FF29"/>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10FF07"/>
          <bgColor rgb="FF10FF07"/>
        </patternFill>
      </fill>
    </dxf>
    <dxf>
      <fill>
        <patternFill patternType="solid">
          <fgColor rgb="FFFF0000"/>
          <bgColor rgb="FFFF0000"/>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10FF07"/>
          <bgColor rgb="FF10FF07"/>
        </patternFill>
      </fill>
    </dxf>
    <dxf>
      <fill>
        <patternFill patternType="solid">
          <fgColor rgb="FFFF0000"/>
          <bgColor rgb="FFFF0000"/>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D9E2F3"/>
          <bgColor rgb="FFD9E2F3"/>
        </patternFill>
      </fill>
    </dxf>
    <dxf>
      <fill>
        <patternFill patternType="solid">
          <fgColor rgb="FFB4C6E7"/>
          <bgColor rgb="FFB4C6E7"/>
        </patternFill>
      </fill>
    </dxf>
    <dxf>
      <fill>
        <patternFill patternType="solid">
          <fgColor theme="5"/>
          <bgColor theme="5"/>
        </patternFill>
      </fill>
    </dxf>
  </dxfs>
  <tableStyles count="1">
    <tableStyle name="COMMITTMENT-style" pivot="0" count="3" xr9:uid="{00000000-0011-0000-FFFF-FFFF00000000}">
      <tableStyleElement type="headerRow" dxfId="228"/>
      <tableStyleElement type="firstRowStripe" dxfId="227"/>
      <tableStyleElement type="secondRowStripe" dxfId="22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customschemas.google.com/relationships/workbookmetadata" Target="metadata"/><Relationship Id="rId4" Type="http://schemas.openxmlformats.org/officeDocument/2006/relationships/worksheet" Target="worksheets/sheet4.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K46">
  <tableColumns count="11">
    <tableColumn id="1" xr3:uid="{00000000-0010-0000-0000-000001000000}" name="Datum"/>
    <tableColumn id="2" xr3:uid="{00000000-0010-0000-0000-000002000000}" name="Lerneinheiten durchgezogen"/>
    <tableColumn id="3" xr3:uid="{00000000-0010-0000-0000-000003000000}" name="Tagesplan erstellt"/>
    <tableColumn id="4" xr3:uid="{00000000-0010-0000-0000-000004000000}" name="Konzentrationslevel"/>
    <tableColumn id="5" xr3:uid="{00000000-0010-0000-0000-000005000000}" name="Kcal"/>
    <tableColumn id="6" xr3:uid="{00000000-0010-0000-0000-000006000000}" name="Fette"/>
    <tableColumn id="7" xr3:uid="{00000000-0010-0000-0000-000007000000}" name="Eiweiss"/>
    <tableColumn id="8" xr3:uid="{00000000-0010-0000-0000-000008000000}" name="Kohlenhydrate"/>
    <tableColumn id="9" xr3:uid="{00000000-0010-0000-0000-000009000000}" name="Gewicht"/>
    <tableColumn id="10" xr3:uid="{00000000-0010-0000-0000-00000A000000}" name="Sonstiges Gefühl"/>
    <tableColumn id="11" xr3:uid="{00000000-0010-0000-0000-00000B000000}" name="Optimierungen"/>
  </tableColumns>
  <tableStyleInfo name="COMMITTMEN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Y1000"/>
  <sheetViews>
    <sheetView workbookViewId="0">
      <selection activeCell="B19" sqref="B19"/>
    </sheetView>
  </sheetViews>
  <sheetFormatPr baseColWidth="10" defaultColWidth="11.25" defaultRowHeight="15" customHeight="1" x14ac:dyDescent="0.25"/>
  <cols>
    <col min="1" max="1" width="10.625" customWidth="1"/>
    <col min="2" max="2" width="161" customWidth="1"/>
    <col min="3" max="3" width="10.75" customWidth="1"/>
    <col min="4" max="26" width="10.625" customWidth="1"/>
  </cols>
  <sheetData>
    <row r="1" spans="2:2" ht="15.75" customHeight="1" x14ac:dyDescent="0.25"/>
    <row r="2" spans="2:2" ht="15.75" customHeight="1" x14ac:dyDescent="0.25"/>
    <row r="3" spans="2:2" ht="15.75" customHeight="1" x14ac:dyDescent="0.25"/>
    <row r="4" spans="2:2" ht="15.75" customHeight="1" x14ac:dyDescent="0.35">
      <c r="B4" s="1" t="s">
        <v>0</v>
      </c>
    </row>
    <row r="5" spans="2:2" ht="15.75" customHeight="1" x14ac:dyDescent="0.25"/>
    <row r="6" spans="2:2" ht="15.75" customHeight="1" x14ac:dyDescent="0.25">
      <c r="B6" s="2" t="s">
        <v>1</v>
      </c>
    </row>
    <row r="7" spans="2:2" ht="15.75" customHeight="1" x14ac:dyDescent="0.25">
      <c r="B7" s="3" t="s">
        <v>2</v>
      </c>
    </row>
    <row r="8" spans="2:2" ht="15.75" customHeight="1" x14ac:dyDescent="0.25"/>
    <row r="9" spans="2:2" ht="15.75" customHeight="1" x14ac:dyDescent="0.25">
      <c r="B9" s="2" t="s">
        <v>3</v>
      </c>
    </row>
    <row r="10" spans="2:2" ht="15.75" customHeight="1" x14ac:dyDescent="0.25">
      <c r="B10" s="3" t="s">
        <v>4</v>
      </c>
    </row>
    <row r="11" spans="2:2" ht="15.75" customHeight="1" x14ac:dyDescent="0.25"/>
    <row r="12" spans="2:2" ht="15.75" customHeight="1" x14ac:dyDescent="0.25">
      <c r="B12" s="2" t="s">
        <v>5</v>
      </c>
    </row>
    <row r="13" spans="2:2" ht="15.75" customHeight="1" x14ac:dyDescent="0.25">
      <c r="B13" s="3" t="s">
        <v>6</v>
      </c>
    </row>
    <row r="14" spans="2:2" ht="15.75" customHeight="1" x14ac:dyDescent="0.25"/>
    <row r="15" spans="2:2" ht="15.75" customHeight="1" x14ac:dyDescent="0.25">
      <c r="B15" s="2" t="s">
        <v>7</v>
      </c>
    </row>
    <row r="16" spans="2:2" ht="15.75" customHeight="1" x14ac:dyDescent="0.25">
      <c r="B16" s="3" t="s">
        <v>8</v>
      </c>
    </row>
    <row r="17" spans="2:25" ht="15.75" customHeight="1" x14ac:dyDescent="0.25">
      <c r="B17" s="3"/>
    </row>
    <row r="18" spans="2:25" ht="15.75" customHeight="1" x14ac:dyDescent="0.25">
      <c r="B18" s="2" t="s">
        <v>9</v>
      </c>
    </row>
    <row r="19" spans="2:25" ht="15.75" customHeight="1" x14ac:dyDescent="0.25">
      <c r="B19" s="3" t="s">
        <v>10</v>
      </c>
    </row>
    <row r="20" spans="2:25" ht="15.75" customHeight="1" x14ac:dyDescent="0.25"/>
    <row r="21" spans="2:25" ht="15.75" customHeight="1" x14ac:dyDescent="0.25">
      <c r="B21" s="2" t="s">
        <v>11</v>
      </c>
    </row>
    <row r="22" spans="2:25" ht="15.75" customHeight="1" x14ac:dyDescent="0.25">
      <c r="B22" s="3" t="s">
        <v>12</v>
      </c>
    </row>
    <row r="23" spans="2:25" ht="15.75" customHeight="1" x14ac:dyDescent="0.25"/>
    <row r="24" spans="2:25" ht="15.75" customHeight="1" x14ac:dyDescent="0.25">
      <c r="B24" s="2" t="s">
        <v>13</v>
      </c>
    </row>
    <row r="25" spans="2:25" ht="15.75" customHeight="1" x14ac:dyDescent="0.25">
      <c r="B25" s="3" t="s">
        <v>14</v>
      </c>
    </row>
    <row r="26" spans="2:25" ht="15.75" customHeight="1" x14ac:dyDescent="0.25"/>
    <row r="27" spans="2:25" ht="15.75" customHeight="1" x14ac:dyDescent="0.25"/>
    <row r="28" spans="2:25" ht="15.75" customHeight="1" x14ac:dyDescent="0.25"/>
    <row r="29" spans="2:25" ht="15.75" customHeight="1" x14ac:dyDescent="0.25"/>
    <row r="30" spans="2:25" ht="15.75" customHeight="1" x14ac:dyDescent="0.25"/>
    <row r="31" spans="2:25" ht="15.75" customHeight="1" x14ac:dyDescent="0.25">
      <c r="X31" s="4"/>
      <c r="Y31" s="4"/>
    </row>
    <row r="32" spans="2:2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N997"/>
  <sheetViews>
    <sheetView showGridLines="0" tabSelected="1" topLeftCell="D52" zoomScale="90" zoomScaleNormal="90" workbookViewId="0">
      <pane xSplit="4" topLeftCell="N1" activePane="topRight" state="frozen"/>
      <selection activeCell="D1" sqref="D1"/>
      <selection pane="topRight" activeCell="CA66" sqref="CA66"/>
    </sheetView>
  </sheetViews>
  <sheetFormatPr baseColWidth="10" defaultColWidth="11.25" defaultRowHeight="15" customHeight="1" outlineLevelRow="1" x14ac:dyDescent="0.25"/>
  <cols>
    <col min="1" max="2" width="8.75" customWidth="1"/>
    <col min="3" max="4" width="26.5" customWidth="1"/>
    <col min="5" max="5" width="13" customWidth="1"/>
    <col min="6" max="6" width="4.75" customWidth="1"/>
    <col min="7" max="7" width="41.125" customWidth="1"/>
    <col min="8" max="8" width="15.5" customWidth="1"/>
    <col min="9" max="9" width="2.5" customWidth="1"/>
    <col min="10" max="10" width="8.75" customWidth="1"/>
    <col min="11" max="11" width="12.5" customWidth="1"/>
    <col min="12" max="12" width="14.75" customWidth="1"/>
    <col min="13" max="13" width="12.625" customWidth="1"/>
    <col min="14" max="15" width="2.5" customWidth="1"/>
    <col min="16" max="16" width="8.75" customWidth="1"/>
    <col min="17" max="17" width="12.5" customWidth="1"/>
    <col min="18" max="18" width="6.375" customWidth="1"/>
    <col min="19" max="19" width="14.75" customWidth="1"/>
    <col min="20" max="20" width="6" customWidth="1"/>
    <col min="21" max="21" width="12.625" customWidth="1"/>
    <col min="22" max="22" width="2.5" customWidth="1"/>
    <col min="23" max="23" width="8.75" customWidth="1"/>
    <col min="24" max="24" width="12.5" customWidth="1"/>
    <col min="25" max="25" width="6.375" customWidth="1"/>
    <col min="26" max="26" width="14.75" customWidth="1"/>
    <col min="27" max="27" width="6" customWidth="1"/>
    <col min="28" max="28" width="12.625" customWidth="1"/>
    <col min="29" max="29" width="2.5" customWidth="1"/>
    <col min="30" max="30" width="8.75" customWidth="1"/>
    <col min="31" max="31" width="12.5" customWidth="1"/>
    <col min="32" max="32" width="6.375" customWidth="1"/>
    <col min="33" max="33" width="14.75" customWidth="1"/>
    <col min="34" max="34" width="6" customWidth="1"/>
    <col min="35" max="35" width="12.625" customWidth="1"/>
    <col min="36" max="36" width="2.5" customWidth="1"/>
    <col min="37" max="37" width="8.75" customWidth="1"/>
    <col min="38" max="38" width="12.5" customWidth="1"/>
    <col min="39" max="39" width="6.375" customWidth="1"/>
    <col min="40" max="40" width="14.75" customWidth="1"/>
    <col min="41" max="41" width="6" customWidth="1"/>
    <col min="42" max="42" width="12.625" customWidth="1"/>
    <col min="43" max="43" width="2.5" customWidth="1"/>
    <col min="44" max="44" width="8.75" customWidth="1"/>
    <col min="45" max="45" width="12.5" customWidth="1"/>
    <col min="46" max="46" width="6.375" customWidth="1"/>
    <col min="47" max="47" width="14.75" customWidth="1"/>
    <col min="48" max="48" width="6" customWidth="1"/>
    <col min="49" max="50" width="12.625" customWidth="1"/>
    <col min="53" max="53" width="12.5" bestFit="1" customWidth="1"/>
    <col min="54" max="54" width="5.25" bestFit="1" customWidth="1"/>
    <col min="55" max="55" width="11.375" customWidth="1"/>
    <col min="56" max="56" width="5.25" bestFit="1" customWidth="1"/>
    <col min="61" max="61" width="12.5" bestFit="1" customWidth="1"/>
    <col min="62" max="62" width="5.25" bestFit="1" customWidth="1"/>
    <col min="63" max="63" width="14.75" bestFit="1" customWidth="1"/>
    <col min="64" max="64" width="5.25" bestFit="1" customWidth="1"/>
    <col min="69" max="69" width="12.5" bestFit="1" customWidth="1"/>
    <col min="70" max="70" width="5.25" bestFit="1" customWidth="1"/>
    <col min="71" max="71" width="14.75" bestFit="1" customWidth="1"/>
    <col min="72" max="72" width="5.25" bestFit="1" customWidth="1"/>
    <col min="74" max="74" width="12.75" bestFit="1" customWidth="1"/>
    <col min="86" max="86" width="5.25" bestFit="1" customWidth="1"/>
    <col min="87" max="87" width="14.75" bestFit="1" customWidth="1"/>
    <col min="88" max="88" width="5.25" bestFit="1" customWidth="1"/>
    <col min="90" max="90" width="12.75" bestFit="1" customWidth="1"/>
  </cols>
  <sheetData>
    <row r="1" spans="2:170" ht="15.75" customHeight="1" x14ac:dyDescent="0.5">
      <c r="B1" s="5" t="s">
        <v>15</v>
      </c>
      <c r="E1" s="5"/>
    </row>
    <row r="2" spans="2:170" ht="15.75" customHeight="1" x14ac:dyDescent="0.25">
      <c r="J2" s="18" t="s">
        <v>16</v>
      </c>
      <c r="K2" s="19"/>
      <c r="L2" s="19"/>
      <c r="M2" s="20"/>
      <c r="P2" s="18" t="s">
        <v>53</v>
      </c>
      <c r="Q2" s="19"/>
      <c r="R2" s="19"/>
      <c r="S2" s="19"/>
      <c r="T2" s="19"/>
      <c r="U2" s="20"/>
      <c r="W2" s="18" t="s">
        <v>54</v>
      </c>
      <c r="X2" s="19"/>
      <c r="Y2" s="19"/>
      <c r="Z2" s="19"/>
      <c r="AA2" s="19"/>
      <c r="AB2" s="20"/>
      <c r="AD2" s="18" t="s">
        <v>55</v>
      </c>
      <c r="AE2" s="19"/>
      <c r="AF2" s="19"/>
      <c r="AG2" s="19"/>
      <c r="AH2" s="19"/>
      <c r="AI2" s="20"/>
      <c r="AK2" s="18" t="s">
        <v>56</v>
      </c>
      <c r="AL2" s="19"/>
      <c r="AM2" s="19"/>
      <c r="AN2" s="19"/>
      <c r="AO2" s="19"/>
      <c r="AP2" s="20"/>
      <c r="AR2" s="18" t="s">
        <v>57</v>
      </c>
      <c r="AS2" s="19"/>
      <c r="AT2" s="19"/>
      <c r="AU2" s="19"/>
      <c r="AV2" s="19"/>
      <c r="AW2" s="19"/>
      <c r="AX2" s="20"/>
      <c r="AZ2" s="18" t="s">
        <v>58</v>
      </c>
      <c r="BA2" s="19"/>
      <c r="BB2" s="19"/>
      <c r="BC2" s="19"/>
      <c r="BD2" s="19"/>
      <c r="BE2" s="19"/>
      <c r="BF2" s="20"/>
      <c r="BH2" s="18" t="s">
        <v>59</v>
      </c>
      <c r="BI2" s="19"/>
      <c r="BJ2" s="19"/>
      <c r="BK2" s="19"/>
      <c r="BL2" s="19"/>
      <c r="BM2" s="19"/>
      <c r="BN2" s="20"/>
      <c r="BP2" s="18" t="s">
        <v>60</v>
      </c>
      <c r="BQ2" s="19"/>
      <c r="BR2" s="19"/>
      <c r="BS2" s="19"/>
      <c r="BT2" s="19"/>
      <c r="BU2" s="19"/>
      <c r="BV2" s="20"/>
      <c r="BX2" s="18" t="s">
        <v>61</v>
      </c>
      <c r="BY2" s="19"/>
      <c r="BZ2" s="19"/>
      <c r="CA2" s="19"/>
      <c r="CB2" s="19"/>
      <c r="CC2" s="19"/>
      <c r="CD2" s="20"/>
      <c r="CF2" s="18" t="s">
        <v>70</v>
      </c>
      <c r="CG2" s="19"/>
      <c r="CH2" s="19"/>
      <c r="CI2" s="19"/>
      <c r="CJ2" s="19"/>
      <c r="CK2" s="19"/>
      <c r="CL2" s="20"/>
      <c r="CN2" s="18"/>
      <c r="CO2" s="19"/>
      <c r="CP2" s="19"/>
      <c r="CQ2" s="19"/>
      <c r="CR2" s="19"/>
      <c r="CS2" s="19"/>
      <c r="CT2" s="20"/>
      <c r="CV2" s="18" t="s">
        <v>62</v>
      </c>
      <c r="CW2" s="19"/>
      <c r="CX2" s="19"/>
      <c r="CY2" s="19"/>
      <c r="CZ2" s="19"/>
      <c r="DA2" s="19"/>
      <c r="DB2" s="20"/>
      <c r="DD2" s="18" t="s">
        <v>63</v>
      </c>
      <c r="DE2" s="19"/>
      <c r="DF2" s="19"/>
      <c r="DG2" s="19"/>
      <c r="DH2" s="19"/>
      <c r="DI2" s="19"/>
      <c r="DJ2" s="20"/>
      <c r="DL2" s="18" t="s">
        <v>64</v>
      </c>
      <c r="DM2" s="19"/>
      <c r="DN2" s="19"/>
      <c r="DO2" s="19"/>
      <c r="DP2" s="19"/>
      <c r="DQ2" s="19"/>
      <c r="DR2" s="20"/>
      <c r="DT2" s="18" t="s">
        <v>65</v>
      </c>
      <c r="DU2" s="19"/>
      <c r="DV2" s="19"/>
      <c r="DW2" s="19"/>
      <c r="DX2" s="19"/>
      <c r="DY2" s="19"/>
      <c r="DZ2" s="20"/>
      <c r="EB2" s="18" t="s">
        <v>66</v>
      </c>
      <c r="EC2" s="19"/>
      <c r="ED2" s="19"/>
      <c r="EE2" s="19"/>
      <c r="EF2" s="19"/>
      <c r="EG2" s="19"/>
      <c r="EH2" s="20"/>
      <c r="EJ2" s="18" t="s">
        <v>67</v>
      </c>
      <c r="EK2" s="19"/>
      <c r="EL2" s="19"/>
      <c r="EM2" s="19"/>
      <c r="EN2" s="19"/>
      <c r="EO2" s="19"/>
      <c r="EP2" s="20"/>
      <c r="ER2" s="18" t="s">
        <v>68</v>
      </c>
      <c r="ES2" s="19"/>
      <c r="ET2" s="19"/>
      <c r="EU2" s="19"/>
      <c r="EV2" s="19"/>
      <c r="EW2" s="19"/>
      <c r="EX2" s="20"/>
      <c r="EZ2" s="18" t="s">
        <v>69</v>
      </c>
      <c r="FA2" s="19"/>
      <c r="FB2" s="19"/>
      <c r="FC2" s="19"/>
      <c r="FD2" s="19"/>
      <c r="FE2" s="19"/>
      <c r="FF2" s="20"/>
      <c r="FH2" s="18"/>
      <c r="FI2" s="19"/>
      <c r="FJ2" s="19"/>
      <c r="FK2" s="19"/>
      <c r="FL2" s="19"/>
      <c r="FM2" s="19"/>
      <c r="FN2" s="20"/>
    </row>
    <row r="3" spans="2:170" ht="15.75" customHeight="1" x14ac:dyDescent="0.25">
      <c r="B3" s="6" t="s">
        <v>17</v>
      </c>
      <c r="C3" s="6"/>
      <c r="D3" s="6" t="s">
        <v>18</v>
      </c>
      <c r="E3" s="6" t="s">
        <v>19</v>
      </c>
      <c r="F3" s="7" t="s">
        <v>20</v>
      </c>
      <c r="G3" s="6" t="s">
        <v>21</v>
      </c>
      <c r="H3" s="6" t="s">
        <v>22</v>
      </c>
      <c r="J3" s="7" t="s">
        <v>23</v>
      </c>
      <c r="K3" s="7" t="s">
        <v>24</v>
      </c>
      <c r="L3" s="7" t="s">
        <v>25</v>
      </c>
      <c r="M3" s="7" t="s">
        <v>26</v>
      </c>
      <c r="P3" s="6" t="s">
        <v>23</v>
      </c>
      <c r="Q3" s="6" t="s">
        <v>24</v>
      </c>
      <c r="R3" s="6" t="s">
        <v>27</v>
      </c>
      <c r="S3" s="6" t="s">
        <v>25</v>
      </c>
      <c r="T3" s="6" t="s">
        <v>27</v>
      </c>
      <c r="U3" s="6" t="s">
        <v>26</v>
      </c>
      <c r="W3" s="6" t="s">
        <v>23</v>
      </c>
      <c r="X3" s="6" t="s">
        <v>24</v>
      </c>
      <c r="Y3" s="6" t="s">
        <v>27</v>
      </c>
      <c r="Z3" s="6" t="s">
        <v>25</v>
      </c>
      <c r="AA3" s="6" t="s">
        <v>27</v>
      </c>
      <c r="AB3" s="6" t="s">
        <v>26</v>
      </c>
      <c r="AD3" s="6" t="s">
        <v>23</v>
      </c>
      <c r="AE3" s="6" t="s">
        <v>24</v>
      </c>
      <c r="AF3" s="6" t="s">
        <v>27</v>
      </c>
      <c r="AG3" s="6" t="s">
        <v>25</v>
      </c>
      <c r="AH3" s="6" t="s">
        <v>27</v>
      </c>
      <c r="AI3" s="6" t="s">
        <v>26</v>
      </c>
      <c r="AK3" s="6" t="s">
        <v>23</v>
      </c>
      <c r="AL3" s="6" t="s">
        <v>24</v>
      </c>
      <c r="AM3" s="6" t="s">
        <v>27</v>
      </c>
      <c r="AN3" s="6" t="s">
        <v>25</v>
      </c>
      <c r="AO3" s="6" t="s">
        <v>27</v>
      </c>
      <c r="AP3" s="6" t="s">
        <v>26</v>
      </c>
      <c r="AR3" s="6" t="s">
        <v>23</v>
      </c>
      <c r="AS3" s="6" t="s">
        <v>24</v>
      </c>
      <c r="AT3" s="6" t="s">
        <v>27</v>
      </c>
      <c r="AU3" s="6" t="s">
        <v>25</v>
      </c>
      <c r="AV3" s="6" t="s">
        <v>27</v>
      </c>
      <c r="AW3" s="6"/>
      <c r="AX3" s="6" t="s">
        <v>26</v>
      </c>
      <c r="AZ3" s="6" t="s">
        <v>23</v>
      </c>
      <c r="BA3" s="6" t="s">
        <v>24</v>
      </c>
      <c r="BB3" s="6" t="s">
        <v>27</v>
      </c>
      <c r="BC3" s="6" t="s">
        <v>25</v>
      </c>
      <c r="BD3" s="6" t="s">
        <v>27</v>
      </c>
      <c r="BE3" s="6"/>
      <c r="BF3" s="6" t="s">
        <v>26</v>
      </c>
      <c r="BH3" s="6" t="s">
        <v>23</v>
      </c>
      <c r="BI3" s="6" t="s">
        <v>24</v>
      </c>
      <c r="BJ3" s="6" t="s">
        <v>27</v>
      </c>
      <c r="BK3" s="6" t="s">
        <v>25</v>
      </c>
      <c r="BL3" s="6" t="s">
        <v>27</v>
      </c>
      <c r="BM3" s="6"/>
      <c r="BN3" s="6" t="s">
        <v>26</v>
      </c>
      <c r="BP3" s="6" t="s">
        <v>23</v>
      </c>
      <c r="BQ3" s="6" t="s">
        <v>24</v>
      </c>
      <c r="BR3" s="6" t="s">
        <v>27</v>
      </c>
      <c r="BS3" s="6" t="s">
        <v>25</v>
      </c>
      <c r="BT3" s="6" t="s">
        <v>27</v>
      </c>
      <c r="BU3" s="6"/>
      <c r="BV3" s="6" t="s">
        <v>26</v>
      </c>
      <c r="BX3" s="6" t="s">
        <v>23</v>
      </c>
      <c r="BY3" s="6" t="s">
        <v>24</v>
      </c>
      <c r="BZ3" s="6" t="s">
        <v>27</v>
      </c>
      <c r="CA3" s="6" t="s">
        <v>25</v>
      </c>
      <c r="CB3" s="6" t="s">
        <v>27</v>
      </c>
      <c r="CC3" s="6"/>
      <c r="CD3" s="6" t="s">
        <v>26</v>
      </c>
      <c r="CF3" s="6" t="s">
        <v>23</v>
      </c>
      <c r="CG3" s="6" t="s">
        <v>24</v>
      </c>
      <c r="CH3" s="6" t="s">
        <v>27</v>
      </c>
      <c r="CI3" s="6" t="s">
        <v>25</v>
      </c>
      <c r="CJ3" s="6" t="s">
        <v>27</v>
      </c>
      <c r="CK3" s="6"/>
      <c r="CL3" s="6" t="s">
        <v>26</v>
      </c>
      <c r="CN3" s="6"/>
      <c r="CO3" s="6"/>
      <c r="CP3" s="6"/>
      <c r="CQ3" s="6"/>
      <c r="CR3" s="6"/>
      <c r="CS3" s="6"/>
      <c r="CT3" s="6"/>
      <c r="CV3" s="6" t="s">
        <v>23</v>
      </c>
      <c r="CW3" s="6" t="s">
        <v>24</v>
      </c>
      <c r="CX3" s="6" t="s">
        <v>27</v>
      </c>
      <c r="CY3" s="6" t="s">
        <v>25</v>
      </c>
      <c r="CZ3" s="6" t="s">
        <v>27</v>
      </c>
      <c r="DA3" s="6"/>
      <c r="DB3" s="6" t="s">
        <v>26</v>
      </c>
      <c r="DD3" s="6" t="s">
        <v>23</v>
      </c>
      <c r="DE3" s="6" t="s">
        <v>24</v>
      </c>
      <c r="DF3" s="6" t="s">
        <v>27</v>
      </c>
      <c r="DG3" s="6" t="s">
        <v>25</v>
      </c>
      <c r="DH3" s="6" t="s">
        <v>27</v>
      </c>
      <c r="DI3" s="6"/>
      <c r="DJ3" s="6" t="s">
        <v>26</v>
      </c>
      <c r="DL3" s="6" t="s">
        <v>23</v>
      </c>
      <c r="DM3" s="6" t="s">
        <v>24</v>
      </c>
      <c r="DN3" s="6" t="s">
        <v>27</v>
      </c>
      <c r="DO3" s="6" t="s">
        <v>25</v>
      </c>
      <c r="DP3" s="6" t="s">
        <v>27</v>
      </c>
      <c r="DQ3" s="6"/>
      <c r="DR3" s="6" t="s">
        <v>26</v>
      </c>
      <c r="DT3" s="6" t="s">
        <v>23</v>
      </c>
      <c r="DU3" s="6" t="s">
        <v>24</v>
      </c>
      <c r="DV3" s="6" t="s">
        <v>27</v>
      </c>
      <c r="DW3" s="6" t="s">
        <v>25</v>
      </c>
      <c r="DX3" s="6" t="s">
        <v>27</v>
      </c>
      <c r="DY3" s="6"/>
      <c r="DZ3" s="6" t="s">
        <v>26</v>
      </c>
      <c r="EB3" s="6" t="s">
        <v>23</v>
      </c>
      <c r="EC3" s="6" t="s">
        <v>24</v>
      </c>
      <c r="ED3" s="6" t="s">
        <v>27</v>
      </c>
      <c r="EE3" s="6" t="s">
        <v>25</v>
      </c>
      <c r="EF3" s="6" t="s">
        <v>27</v>
      </c>
      <c r="EG3" s="6"/>
      <c r="EH3" s="6" t="s">
        <v>26</v>
      </c>
      <c r="EJ3" s="6" t="s">
        <v>23</v>
      </c>
      <c r="EK3" s="6" t="s">
        <v>24</v>
      </c>
      <c r="EL3" s="6" t="s">
        <v>27</v>
      </c>
      <c r="EM3" s="6" t="s">
        <v>25</v>
      </c>
      <c r="EN3" s="6" t="s">
        <v>27</v>
      </c>
      <c r="EO3" s="6"/>
      <c r="EP3" s="6" t="s">
        <v>26</v>
      </c>
      <c r="ER3" s="6" t="s">
        <v>23</v>
      </c>
      <c r="ES3" s="6" t="s">
        <v>24</v>
      </c>
      <c r="ET3" s="6" t="s">
        <v>27</v>
      </c>
      <c r="EU3" s="6" t="s">
        <v>25</v>
      </c>
      <c r="EV3" s="6" t="s">
        <v>27</v>
      </c>
      <c r="EW3" s="6"/>
      <c r="EX3" s="6" t="s">
        <v>26</v>
      </c>
      <c r="EZ3" s="6" t="s">
        <v>23</v>
      </c>
      <c r="FA3" s="6" t="s">
        <v>24</v>
      </c>
      <c r="FB3" s="6" t="s">
        <v>27</v>
      </c>
      <c r="FC3" s="6" t="s">
        <v>25</v>
      </c>
      <c r="FD3" s="6" t="s">
        <v>27</v>
      </c>
      <c r="FE3" s="6"/>
      <c r="FF3" s="6" t="s">
        <v>26</v>
      </c>
      <c r="FH3" s="6" t="s">
        <v>23</v>
      </c>
      <c r="FI3" s="6" t="s">
        <v>24</v>
      </c>
      <c r="FJ3" s="6" t="s">
        <v>27</v>
      </c>
      <c r="FK3" s="6" t="s">
        <v>25</v>
      </c>
      <c r="FL3" s="6" t="s">
        <v>27</v>
      </c>
      <c r="FM3" s="6"/>
      <c r="FN3" s="6" t="s">
        <v>26</v>
      </c>
    </row>
    <row r="4" spans="2:170" ht="15.75" customHeight="1" x14ac:dyDescent="0.25">
      <c r="B4" s="8" t="s">
        <v>16</v>
      </c>
      <c r="C4" s="8"/>
      <c r="D4" s="8" t="s">
        <v>48</v>
      </c>
      <c r="E4" s="17">
        <v>45717</v>
      </c>
      <c r="F4" s="9">
        <v>6</v>
      </c>
      <c r="H4" s="10">
        <f>+SUM(H5:H14)</f>
        <v>0.99999999999999989</v>
      </c>
      <c r="J4" s="11">
        <f>+SUM(J5:J14)</f>
        <v>0</v>
      </c>
      <c r="K4" s="12" t="e">
        <f ca="1">+SUMPRODUCT(H5:H14,K5:K14)</f>
        <v>#NAME?</v>
      </c>
      <c r="L4" s="12" t="e">
        <f ca="1">+SUMPRODUCT(H5:H14,L5:L14)</f>
        <v>#NAME?</v>
      </c>
      <c r="M4" s="9"/>
      <c r="P4" s="11">
        <f>+SUM(P5:P15)</f>
        <v>0</v>
      </c>
      <c r="W4" s="11">
        <f>+SUM(W5:W15)</f>
        <v>0</v>
      </c>
      <c r="AD4" s="11">
        <f>+SUM(AD5:AD15)</f>
        <v>0</v>
      </c>
      <c r="AK4" s="11">
        <f>+SUM(AK5:AK15)</f>
        <v>0</v>
      </c>
      <c r="AR4" s="11">
        <f>+SUM(AR5:AR15)</f>
        <v>0</v>
      </c>
      <c r="AZ4" s="11">
        <f>+SUM(AZ5:AZ15)</f>
        <v>0</v>
      </c>
      <c r="BH4" s="11">
        <f>+SUM(BH5:BH15)</f>
        <v>0</v>
      </c>
      <c r="BP4" s="11">
        <f>+SUM(BP5:BP14)</f>
        <v>0</v>
      </c>
      <c r="BX4" s="11">
        <f>+SUM(BX5:BX14)</f>
        <v>0</v>
      </c>
      <c r="CF4">
        <f>+SUM(CF5:CF15)</f>
        <v>0</v>
      </c>
      <c r="CN4" s="11">
        <f>+SUM(CN5:CN14)</f>
        <v>0</v>
      </c>
      <c r="CV4" s="11">
        <f>+SUM(CV5:CV14)</f>
        <v>0</v>
      </c>
      <c r="DD4" s="11">
        <f>+SUM(DD5:DD14)</f>
        <v>0</v>
      </c>
      <c r="DL4" s="11">
        <f>+SUM(DL5:DL14)</f>
        <v>0</v>
      </c>
      <c r="DT4" s="11">
        <f>+SUM(DT5:DT14)</f>
        <v>0</v>
      </c>
      <c r="EB4" s="11">
        <f>+SUM(EB5:EB14)</f>
        <v>0</v>
      </c>
      <c r="EJ4" s="11">
        <f>+SUM(EJ5:EJ14)</f>
        <v>0</v>
      </c>
      <c r="ER4" s="11">
        <f>+SUM(ER5:ER14)</f>
        <v>0</v>
      </c>
      <c r="EZ4" s="11">
        <f>+SUM(EZ5:EZ14)</f>
        <v>0</v>
      </c>
      <c r="FH4" s="11">
        <f>+SUM(FH5:FH14)</f>
        <v>0</v>
      </c>
    </row>
    <row r="5" spans="2:170" ht="15.75" customHeight="1" outlineLevel="1" x14ac:dyDescent="0.25">
      <c r="B5" s="8" t="s">
        <v>28</v>
      </c>
      <c r="C5" s="8"/>
      <c r="D5" s="8" t="s">
        <v>48</v>
      </c>
      <c r="F5" s="9"/>
      <c r="G5" s="8" t="s">
        <v>71</v>
      </c>
      <c r="H5" s="10">
        <v>0.1</v>
      </c>
      <c r="J5" s="9">
        <f>+SUMIF($O$3:$ZO$3,J$3,$O5:$ZO5)</f>
        <v>0</v>
      </c>
      <c r="K5" s="12" t="e">
        <f ca="1">+_xludf.MAXIFS($O5:$YU5,$O$3:$YU$3,K$3)</f>
        <v>#NAME?</v>
      </c>
      <c r="L5" s="12" t="e">
        <f ca="1">+_xludf.MAXIFS($O5:$YU5,$O$3:$YU$3,L$3)</f>
        <v>#NAME?</v>
      </c>
      <c r="M5" s="9"/>
      <c r="P5" s="8"/>
      <c r="Q5" s="10"/>
      <c r="R5" s="10">
        <v>0.5</v>
      </c>
      <c r="S5" s="10"/>
      <c r="T5" s="10">
        <v>0.5</v>
      </c>
      <c r="W5" s="8"/>
      <c r="X5" s="10"/>
      <c r="Y5" s="10">
        <v>0.8</v>
      </c>
      <c r="Z5" s="10"/>
      <c r="AA5" s="10">
        <v>0.8</v>
      </c>
      <c r="AD5" s="8"/>
      <c r="AE5" s="10"/>
      <c r="AF5" s="10">
        <v>0.8</v>
      </c>
      <c r="AG5" s="10"/>
      <c r="AH5" s="10">
        <v>0.8</v>
      </c>
      <c r="AK5" s="8"/>
      <c r="AL5" s="10"/>
      <c r="AM5" s="10">
        <v>0.8</v>
      </c>
      <c r="AN5" s="10"/>
      <c r="AO5" s="10">
        <v>0.8</v>
      </c>
      <c r="AR5" s="8"/>
      <c r="AS5" s="10"/>
      <c r="AT5" s="10">
        <v>1</v>
      </c>
      <c r="AU5" s="10"/>
      <c r="AV5" s="10">
        <v>1</v>
      </c>
      <c r="AZ5" s="8"/>
      <c r="BA5" s="10"/>
      <c r="BB5" s="10">
        <v>1</v>
      </c>
      <c r="BC5" s="10"/>
      <c r="BD5" s="10">
        <v>1</v>
      </c>
      <c r="BH5" s="8"/>
      <c r="BI5" s="10"/>
      <c r="BJ5" s="10">
        <v>1</v>
      </c>
      <c r="BK5" s="10"/>
      <c r="BL5" s="10">
        <v>1</v>
      </c>
    </row>
    <row r="6" spans="2:170" ht="15.75" customHeight="1" outlineLevel="1" x14ac:dyDescent="0.25">
      <c r="B6" s="8" t="s">
        <v>28</v>
      </c>
      <c r="C6" s="8"/>
      <c r="D6" s="8" t="s">
        <v>48</v>
      </c>
      <c r="F6" s="9"/>
      <c r="G6" s="8" t="s">
        <v>72</v>
      </c>
      <c r="H6" s="10">
        <v>0.1</v>
      </c>
      <c r="J6" s="9">
        <f>+SUMIF($O$3:$ZO$3,J$3,$O6:$ZO6)</f>
        <v>0</v>
      </c>
      <c r="K6" s="12" t="e">
        <f ca="1">+_xludf.MAXIFS($O6:$YU6,$O$3:$YU$3,K$3)</f>
        <v>#NAME?</v>
      </c>
      <c r="L6" s="12" t="e">
        <f ca="1">+_xludf.MAXIFS($O6:$YU6,$O$3:$YU$3,L$3)</f>
        <v>#NAME?</v>
      </c>
      <c r="M6" s="9"/>
      <c r="Q6" s="10"/>
      <c r="R6" s="10">
        <v>0.5</v>
      </c>
      <c r="S6" s="10"/>
      <c r="T6" s="10">
        <v>0.5</v>
      </c>
      <c r="X6" s="10"/>
      <c r="Y6" s="10">
        <v>0.8</v>
      </c>
      <c r="Z6" s="10"/>
      <c r="AA6" s="10">
        <v>0.8</v>
      </c>
      <c r="AE6" s="10"/>
      <c r="AF6" s="10">
        <v>0.8</v>
      </c>
      <c r="AG6" s="10"/>
      <c r="AH6" s="10">
        <v>0.8</v>
      </c>
      <c r="AL6" s="10"/>
      <c r="AM6" s="10">
        <v>0.8</v>
      </c>
      <c r="AN6" s="10"/>
      <c r="AO6" s="10">
        <v>0.8</v>
      </c>
      <c r="AS6" s="10"/>
      <c r="AT6" s="10">
        <v>1</v>
      </c>
      <c r="AU6" s="10"/>
      <c r="AV6" s="10">
        <v>1</v>
      </c>
      <c r="BA6" s="10"/>
      <c r="BB6" s="10">
        <v>1</v>
      </c>
      <c r="BC6" s="10"/>
      <c r="BD6" s="10">
        <v>1</v>
      </c>
      <c r="BI6" s="10"/>
      <c r="BJ6" s="10">
        <v>1</v>
      </c>
      <c r="BK6" s="10"/>
      <c r="BL6" s="10">
        <v>1</v>
      </c>
    </row>
    <row r="7" spans="2:170" ht="15.75" customHeight="1" outlineLevel="1" x14ac:dyDescent="0.25">
      <c r="B7" s="8" t="s">
        <v>28</v>
      </c>
      <c r="C7" s="8"/>
      <c r="D7" s="8" t="s">
        <v>48</v>
      </c>
      <c r="F7" s="9"/>
      <c r="G7" s="8" t="s">
        <v>73</v>
      </c>
      <c r="H7" s="10">
        <v>0.1</v>
      </c>
      <c r="J7" s="9">
        <f>+SUMIF($O$3:$ZO$3,J$3,$O7:$ZO7)</f>
        <v>0</v>
      </c>
      <c r="K7" s="12" t="e">
        <f ca="1">+_xludf.MAXIFS($O7:$YU7,$O$3:$YU$3,K$3)</f>
        <v>#NAME?</v>
      </c>
      <c r="L7" s="12" t="e">
        <f ca="1">+_xludf.MAXIFS($O7:$YU7,$O$3:$YU$3,L$3)</f>
        <v>#NAME?</v>
      </c>
      <c r="M7" s="9"/>
      <c r="Q7" s="10"/>
      <c r="R7" s="10">
        <v>0.5</v>
      </c>
      <c r="S7" s="10"/>
      <c r="T7" s="10">
        <v>0.5</v>
      </c>
      <c r="X7" s="10"/>
      <c r="Y7" s="10">
        <v>0.8</v>
      </c>
      <c r="Z7" s="10"/>
      <c r="AA7" s="10">
        <v>0.8</v>
      </c>
      <c r="AE7" s="10"/>
      <c r="AF7" s="10">
        <v>0.8</v>
      </c>
      <c r="AG7" s="10"/>
      <c r="AH7" s="10">
        <v>0.8</v>
      </c>
      <c r="AL7" s="10"/>
      <c r="AM7" s="10">
        <v>0.8</v>
      </c>
      <c r="AN7" s="10"/>
      <c r="AO7" s="10">
        <v>0.8</v>
      </c>
      <c r="AS7" s="10"/>
      <c r="AT7" s="10">
        <v>1</v>
      </c>
      <c r="AU7" s="10"/>
      <c r="AV7" s="10">
        <v>1</v>
      </c>
      <c r="BA7" s="10"/>
      <c r="BB7" s="10">
        <v>1</v>
      </c>
      <c r="BC7" s="10"/>
      <c r="BD7" s="10">
        <v>1</v>
      </c>
      <c r="BI7" s="10"/>
      <c r="BJ7" s="10">
        <v>1</v>
      </c>
      <c r="BK7" s="10"/>
      <c r="BL7" s="10">
        <v>1</v>
      </c>
    </row>
    <row r="8" spans="2:170" ht="15.75" customHeight="1" outlineLevel="1" x14ac:dyDescent="0.25">
      <c r="B8" s="8" t="s">
        <v>28</v>
      </c>
      <c r="C8" s="8"/>
      <c r="D8" s="8" t="s">
        <v>48</v>
      </c>
      <c r="F8" s="9"/>
      <c r="G8" s="8" t="s">
        <v>74</v>
      </c>
      <c r="H8" s="10">
        <v>0.1</v>
      </c>
      <c r="J8" s="9">
        <f>+SUMIF($O$3:$ZO$3,J$3,$O8:$ZO8)</f>
        <v>0</v>
      </c>
      <c r="K8" s="12" t="e">
        <f ca="1">+_xludf.MAXIFS($O8:$YU8,$O$3:$YU$3,K$3)</f>
        <v>#NAME?</v>
      </c>
      <c r="L8" s="12" t="e">
        <f ca="1">+_xludf.MAXIFS($O8:$YU8,$O$3:$YU$3,L$3)</f>
        <v>#NAME?</v>
      </c>
      <c r="M8" s="9"/>
      <c r="Q8" s="10"/>
      <c r="R8" s="10">
        <v>0.5</v>
      </c>
      <c r="S8" s="10"/>
      <c r="T8" s="10">
        <v>0.5</v>
      </c>
      <c r="X8" s="10"/>
      <c r="Y8" s="10">
        <v>0.8</v>
      </c>
      <c r="Z8" s="10"/>
      <c r="AA8" s="10">
        <v>0.8</v>
      </c>
      <c r="AE8" s="10"/>
      <c r="AF8" s="10">
        <v>0.8</v>
      </c>
      <c r="AG8" s="10"/>
      <c r="AH8" s="10">
        <v>0.8</v>
      </c>
      <c r="AL8" s="10"/>
      <c r="AM8" s="10">
        <v>0.8</v>
      </c>
      <c r="AN8" s="10"/>
      <c r="AO8" s="10">
        <v>0.8</v>
      </c>
      <c r="AS8" s="10"/>
      <c r="AT8" s="10">
        <v>1</v>
      </c>
      <c r="AU8" s="10"/>
      <c r="AV8" s="10">
        <v>1</v>
      </c>
      <c r="BA8" s="10"/>
      <c r="BB8" s="10">
        <v>1</v>
      </c>
      <c r="BC8" s="10"/>
      <c r="BD8" s="10">
        <v>1</v>
      </c>
      <c r="BI8" s="10"/>
      <c r="BJ8" s="10">
        <v>1</v>
      </c>
      <c r="BK8" s="10"/>
      <c r="BL8" s="10">
        <v>1</v>
      </c>
    </row>
    <row r="9" spans="2:170" ht="15.75" customHeight="1" outlineLevel="1" x14ac:dyDescent="0.25">
      <c r="B9" s="8" t="s">
        <v>28</v>
      </c>
      <c r="C9" s="8"/>
      <c r="D9" s="8" t="s">
        <v>48</v>
      </c>
      <c r="F9" s="9"/>
      <c r="G9" s="8" t="s">
        <v>75</v>
      </c>
      <c r="H9" s="10">
        <v>0.1</v>
      </c>
      <c r="J9" s="9">
        <f>+SUMIF($O$3:$ZO$3,J$3,$O9:$ZO9)</f>
        <v>0</v>
      </c>
      <c r="K9" s="12" t="e">
        <f ca="1">+_xludf.MAXIFS($O9:$YU9,$O$3:$YU$3,K$3)</f>
        <v>#NAME?</v>
      </c>
      <c r="L9" s="12" t="e">
        <f ca="1">+_xludf.MAXIFS($O9:$YU9,$O$3:$YU$3,L$3)</f>
        <v>#NAME?</v>
      </c>
      <c r="M9" s="9"/>
      <c r="Q9" s="10"/>
      <c r="R9" s="10">
        <v>0.5</v>
      </c>
      <c r="S9" s="10"/>
      <c r="T9" s="10">
        <v>0.5</v>
      </c>
      <c r="X9" s="10"/>
      <c r="Y9" s="10">
        <v>0.8</v>
      </c>
      <c r="Z9" s="10"/>
      <c r="AA9" s="10">
        <v>0.8</v>
      </c>
      <c r="AE9" s="10"/>
      <c r="AF9" s="10">
        <v>0.8</v>
      </c>
      <c r="AG9" s="10"/>
      <c r="AH9" s="10">
        <v>0.8</v>
      </c>
      <c r="AL9" s="10"/>
      <c r="AM9" s="10">
        <v>0.8</v>
      </c>
      <c r="AN9" s="10"/>
      <c r="AO9" s="10">
        <v>0.8</v>
      </c>
      <c r="AS9" s="10"/>
      <c r="AT9" s="10">
        <v>1</v>
      </c>
      <c r="AU9" s="10"/>
      <c r="AV9" s="10">
        <v>1</v>
      </c>
      <c r="BA9" s="10"/>
      <c r="BB9" s="10">
        <v>1</v>
      </c>
      <c r="BC9" s="10"/>
      <c r="BD9" s="10">
        <v>1</v>
      </c>
      <c r="BI9" s="10"/>
      <c r="BJ9" s="10">
        <v>1</v>
      </c>
      <c r="BK9" s="10"/>
      <c r="BL9" s="10">
        <v>1</v>
      </c>
    </row>
    <row r="10" spans="2:170" ht="15.75" customHeight="1" outlineLevel="1" x14ac:dyDescent="0.25">
      <c r="B10" s="8" t="s">
        <v>28</v>
      </c>
      <c r="C10" s="8"/>
      <c r="D10" s="8" t="s">
        <v>48</v>
      </c>
      <c r="F10" s="9"/>
      <c r="G10" s="8" t="s">
        <v>76</v>
      </c>
      <c r="H10" s="10">
        <v>0.1</v>
      </c>
      <c r="J10" s="9">
        <f>+SUMIF($O$3:$ZO$3,J$3,$O10:$ZO10)</f>
        <v>0</v>
      </c>
      <c r="K10" s="12" t="e">
        <f ca="1">+_xludf.MAXIFS($O10:$YU10,$O$3:$YU$3,K$3)</f>
        <v>#NAME?</v>
      </c>
      <c r="L10" s="12" t="e">
        <f ca="1">+_xludf.MAXIFS($O10:$YU10,$O$3:$YU$3,L$3)</f>
        <v>#NAME?</v>
      </c>
      <c r="M10" s="9"/>
      <c r="P10" s="8"/>
      <c r="Q10" s="10"/>
      <c r="R10" s="10"/>
      <c r="S10" s="10"/>
      <c r="T10" s="10"/>
      <c r="W10" s="8"/>
      <c r="X10" s="10"/>
      <c r="Y10" s="10"/>
      <c r="Z10" s="10"/>
      <c r="AA10" s="10"/>
      <c r="AD10" s="8"/>
      <c r="AE10" s="10"/>
      <c r="AF10" s="10">
        <v>0.5</v>
      </c>
      <c r="AG10" s="10"/>
      <c r="AH10" s="10">
        <v>0.5</v>
      </c>
      <c r="AK10" s="8"/>
      <c r="AL10" s="10"/>
      <c r="AM10" s="10">
        <v>0.8</v>
      </c>
      <c r="AN10" s="10"/>
      <c r="AO10" s="10">
        <v>0.8</v>
      </c>
      <c r="AR10" s="8"/>
      <c r="AS10" s="10"/>
      <c r="AT10" s="10">
        <v>0.8</v>
      </c>
      <c r="AU10" s="10"/>
      <c r="AV10" s="10">
        <v>0.8</v>
      </c>
      <c r="AZ10" s="8"/>
      <c r="BA10" s="10"/>
      <c r="BB10" s="10">
        <v>1</v>
      </c>
      <c r="BC10" s="10"/>
      <c r="BD10" s="10">
        <v>1</v>
      </c>
      <c r="BH10" s="8"/>
      <c r="BI10" s="10"/>
      <c r="BJ10" s="10">
        <v>1</v>
      </c>
      <c r="BK10" s="10"/>
      <c r="BL10" s="10">
        <v>1</v>
      </c>
    </row>
    <row r="11" spans="2:170" ht="15.75" customHeight="1" outlineLevel="1" x14ac:dyDescent="0.25">
      <c r="B11" s="8" t="s">
        <v>28</v>
      </c>
      <c r="C11" s="8"/>
      <c r="D11" s="8" t="s">
        <v>48</v>
      </c>
      <c r="F11" s="9"/>
      <c r="G11" s="8" t="s">
        <v>77</v>
      </c>
      <c r="H11" s="10">
        <v>0.1</v>
      </c>
      <c r="J11" s="9">
        <f>+SUMIF($O$3:$ZO$3,J$3,$O11:$ZO11)</f>
        <v>0</v>
      </c>
      <c r="K11" s="12" t="e">
        <f ca="1">+_xludf.MAXIFS($O11:$YU11,$O$3:$YU$3,K$3)</f>
        <v>#NAME?</v>
      </c>
      <c r="L11" s="12" t="e">
        <f ca="1">+_xludf.MAXIFS($O11:$YU11,$O$3:$YU$3,L$3)</f>
        <v>#NAME?</v>
      </c>
      <c r="M11" s="9"/>
      <c r="Q11" s="10"/>
      <c r="R11" s="10"/>
      <c r="S11" s="10"/>
      <c r="T11" s="10"/>
      <c r="X11" s="10"/>
      <c r="Y11" s="10"/>
      <c r="Z11" s="10"/>
      <c r="AA11" s="10"/>
      <c r="AE11" s="10"/>
      <c r="AF11" s="10">
        <v>0.5</v>
      </c>
      <c r="AG11" s="10"/>
      <c r="AH11" s="10">
        <v>0.5</v>
      </c>
      <c r="AL11" s="10"/>
      <c r="AM11" s="10">
        <v>0.8</v>
      </c>
      <c r="AN11" s="10"/>
      <c r="AO11" s="10">
        <v>0.8</v>
      </c>
      <c r="AS11" s="10"/>
      <c r="AT11" s="10">
        <v>0.8</v>
      </c>
      <c r="AU11" s="10"/>
      <c r="AV11" s="10">
        <v>0.8</v>
      </c>
      <c r="BA11" s="10"/>
      <c r="BB11" s="10">
        <v>1</v>
      </c>
      <c r="BC11" s="10"/>
      <c r="BD11" s="10">
        <v>1</v>
      </c>
      <c r="BI11" s="10"/>
      <c r="BJ11" s="10">
        <v>1</v>
      </c>
      <c r="BK11" s="10"/>
      <c r="BL11" s="10">
        <v>1</v>
      </c>
    </row>
    <row r="12" spans="2:170" ht="15.75" customHeight="1" outlineLevel="1" x14ac:dyDescent="0.25">
      <c r="B12" s="8" t="s">
        <v>28</v>
      </c>
      <c r="C12" s="8"/>
      <c r="D12" s="8" t="s">
        <v>48</v>
      </c>
      <c r="F12" s="9"/>
      <c r="G12" s="8" t="s">
        <v>78</v>
      </c>
      <c r="H12" s="10">
        <v>0.1</v>
      </c>
      <c r="J12" s="9">
        <f>+SUMIF($O$3:$ZO$3,J$3,$O12:$ZO12)</f>
        <v>0</v>
      </c>
      <c r="K12" s="12" t="e">
        <f ca="1">+_xludf.MAXIFS($O12:$YU12,$O$3:$YU$3,K$3)</f>
        <v>#NAME?</v>
      </c>
      <c r="L12" s="12" t="e">
        <f ca="1">+_xludf.MAXIFS($O12:$YU12,$O$3:$YU$3,L$3)</f>
        <v>#NAME?</v>
      </c>
      <c r="M12" s="9"/>
      <c r="Q12" s="10"/>
      <c r="R12" s="10"/>
      <c r="S12" s="10"/>
      <c r="T12" s="10"/>
      <c r="X12" s="10"/>
      <c r="Y12" s="10"/>
      <c r="Z12" s="10"/>
      <c r="AA12" s="10"/>
      <c r="AE12" s="10"/>
      <c r="AF12" s="10">
        <v>0.5</v>
      </c>
      <c r="AG12" s="10"/>
      <c r="AH12" s="10">
        <v>0.5</v>
      </c>
      <c r="AL12" s="10"/>
      <c r="AM12" s="10">
        <v>0.8</v>
      </c>
      <c r="AN12" s="10"/>
      <c r="AO12" s="10">
        <v>0.8</v>
      </c>
      <c r="AS12" s="10"/>
      <c r="AT12" s="10">
        <v>0.8</v>
      </c>
      <c r="AU12" s="10"/>
      <c r="AV12" s="10">
        <v>0.8</v>
      </c>
      <c r="BA12" s="10"/>
      <c r="BB12" s="10">
        <v>1</v>
      </c>
      <c r="BC12" s="10"/>
      <c r="BD12" s="10">
        <v>1</v>
      </c>
      <c r="BI12" s="10"/>
      <c r="BJ12" s="10">
        <v>1</v>
      </c>
      <c r="BK12" s="10"/>
      <c r="BL12" s="10">
        <v>1</v>
      </c>
    </row>
    <row r="13" spans="2:170" ht="15.75" customHeight="1" outlineLevel="1" x14ac:dyDescent="0.25">
      <c r="B13" s="8" t="s">
        <v>28</v>
      </c>
      <c r="C13" s="8"/>
      <c r="D13" s="8" t="s">
        <v>48</v>
      </c>
      <c r="F13" s="9"/>
      <c r="G13" s="8" t="s">
        <v>79</v>
      </c>
      <c r="H13" s="10">
        <v>0.1</v>
      </c>
      <c r="J13" s="9">
        <f>+SUMIF($O$3:$ZO$3,J$3,$O13:$ZO13)</f>
        <v>0</v>
      </c>
      <c r="K13" s="12" t="e">
        <f ca="1">+_xludf.MAXIFS($O13:$YU13,$O$3:$YU$3,K$3)</f>
        <v>#NAME?</v>
      </c>
      <c r="L13" s="12" t="e">
        <f ca="1">+_xludf.MAXIFS($O13:$YU13,$O$3:$YU$3,L$3)</f>
        <v>#NAME?</v>
      </c>
      <c r="M13" s="9"/>
      <c r="Q13" s="10"/>
      <c r="R13" s="10"/>
      <c r="S13" s="10"/>
      <c r="T13" s="10"/>
      <c r="X13" s="10"/>
      <c r="Y13" s="10"/>
      <c r="Z13" s="10"/>
      <c r="AA13" s="10"/>
      <c r="AE13" s="10"/>
      <c r="AF13" s="10">
        <v>0.5</v>
      </c>
      <c r="AG13" s="10"/>
      <c r="AH13" s="10">
        <v>0.5</v>
      </c>
      <c r="AL13" s="10"/>
      <c r="AM13" s="10">
        <v>0.8</v>
      </c>
      <c r="AN13" s="10"/>
      <c r="AO13" s="10">
        <v>0.8</v>
      </c>
      <c r="AS13" s="10"/>
      <c r="AT13" s="10">
        <v>0.8</v>
      </c>
      <c r="AU13" s="10"/>
      <c r="AV13" s="10">
        <v>0.8</v>
      </c>
      <c r="BA13" s="10"/>
      <c r="BB13" s="10">
        <v>1</v>
      </c>
      <c r="BC13" s="10"/>
      <c r="BD13" s="10">
        <v>1</v>
      </c>
      <c r="BI13" s="10"/>
      <c r="BJ13" s="10">
        <v>1</v>
      </c>
      <c r="BK13" s="10"/>
      <c r="BL13" s="10">
        <v>1</v>
      </c>
    </row>
    <row r="14" spans="2:170" ht="15.75" customHeight="1" outlineLevel="1" x14ac:dyDescent="0.25">
      <c r="B14" s="8" t="s">
        <v>28</v>
      </c>
      <c r="C14" s="8"/>
      <c r="D14" s="8" t="s">
        <v>48</v>
      </c>
      <c r="F14" s="9"/>
      <c r="G14" s="8" t="s">
        <v>80</v>
      </c>
      <c r="H14" s="10">
        <v>0.1</v>
      </c>
      <c r="J14" s="9">
        <f>+SUMIF($O$3:$ZO$3,J$3,$O14:$ZO14)</f>
        <v>0</v>
      </c>
      <c r="K14" s="12" t="e">
        <f ca="1">+_xludf.MAXIFS($O14:$YU14,$O$3:$YU$3,K$3)</f>
        <v>#NAME?</v>
      </c>
      <c r="L14" s="12" t="e">
        <f ca="1">+_xludf.MAXIFS($O14:$YU14,$O$3:$YU$3,L$3)</f>
        <v>#NAME?</v>
      </c>
      <c r="M14" s="9"/>
      <c r="Q14" s="10"/>
      <c r="R14" s="10"/>
      <c r="S14" s="10"/>
      <c r="T14" s="10"/>
      <c r="X14" s="10"/>
      <c r="Y14" s="10"/>
      <c r="Z14" s="10"/>
      <c r="AA14" s="10"/>
      <c r="AE14" s="10"/>
      <c r="AF14" s="10">
        <v>0.5</v>
      </c>
      <c r="AG14" s="10"/>
      <c r="AH14" s="10">
        <v>0.5</v>
      </c>
      <c r="AL14" s="10"/>
      <c r="AM14" s="10">
        <v>0.8</v>
      </c>
      <c r="AN14" s="10"/>
      <c r="AO14" s="10">
        <v>0.8</v>
      </c>
      <c r="AS14" s="10"/>
      <c r="AT14" s="10">
        <v>0.8</v>
      </c>
      <c r="AU14" s="10"/>
      <c r="AV14" s="10">
        <v>0.8</v>
      </c>
      <c r="BA14" s="10"/>
      <c r="BB14" s="10">
        <v>1</v>
      </c>
      <c r="BC14" s="10"/>
      <c r="BD14" s="10">
        <v>1</v>
      </c>
      <c r="BI14" s="10"/>
      <c r="BJ14" s="10">
        <v>1</v>
      </c>
      <c r="BK14" s="10"/>
      <c r="BL14" s="10">
        <v>1</v>
      </c>
    </row>
    <row r="15" spans="2:170" ht="15.75" customHeight="1" x14ac:dyDescent="0.25"/>
    <row r="16" spans="2:170" ht="15.75" customHeight="1" x14ac:dyDescent="0.25">
      <c r="B16" s="8" t="s">
        <v>16</v>
      </c>
      <c r="C16" s="8"/>
      <c r="D16" s="8" t="s">
        <v>49</v>
      </c>
      <c r="E16" s="17">
        <v>45717</v>
      </c>
      <c r="F16" s="9">
        <v>6</v>
      </c>
      <c r="H16" s="10">
        <f>+SUM(H17:H25)</f>
        <v>1</v>
      </c>
      <c r="J16" s="11">
        <f>+SUM(J17:J25)</f>
        <v>0</v>
      </c>
      <c r="K16" s="12" t="e">
        <f ca="1">+SUMPRODUCT(H17:H25,K17:K25)</f>
        <v>#NAME?</v>
      </c>
      <c r="L16" s="12" t="e">
        <f ca="1">+SUMPRODUCT(H17:H25,L17:L25)</f>
        <v>#NAME?</v>
      </c>
      <c r="M16" s="9"/>
      <c r="P16" s="11">
        <f>+SUM(P17:P27)</f>
        <v>0</v>
      </c>
      <c r="W16" s="11">
        <f>+SUM(W17:W27)</f>
        <v>0</v>
      </c>
      <c r="AD16" s="11">
        <f>+SUM(AD17:AD27)</f>
        <v>0</v>
      </c>
      <c r="AK16" s="11">
        <f>+SUM(AK17:AK27)</f>
        <v>0</v>
      </c>
      <c r="AR16" s="11">
        <f>+SUM(AR17:AR27)</f>
        <v>0</v>
      </c>
      <c r="AZ16" s="11">
        <f>+SUM(AZ17:AZ27)</f>
        <v>0</v>
      </c>
      <c r="BH16" s="11">
        <f>+SUM(BH17:BH27)</f>
        <v>0</v>
      </c>
      <c r="CF16">
        <f>+SUM(CF17:CF27)</f>
        <v>0</v>
      </c>
    </row>
    <row r="17" spans="2:84" ht="15.75" customHeight="1" outlineLevel="1" x14ac:dyDescent="0.25">
      <c r="B17" s="8" t="s">
        <v>28</v>
      </c>
      <c r="C17" s="8"/>
      <c r="D17" s="8" t="s">
        <v>49</v>
      </c>
      <c r="F17" s="9"/>
      <c r="G17" s="8" t="s">
        <v>81</v>
      </c>
      <c r="H17" s="10">
        <v>0.1</v>
      </c>
      <c r="J17" s="9">
        <f>+SUMIF($O$3:$ZO$3,J$3,$O17:$ZO17)</f>
        <v>0</v>
      </c>
      <c r="K17" s="12" t="e">
        <f ca="1">+_xludf.MAXIFS($O17:$YU17,$O$3:$YU$3,K$3)</f>
        <v>#NAME?</v>
      </c>
      <c r="L17" s="12" t="e">
        <f ca="1">+_xludf.MAXIFS($O17:$YU17,$O$3:$YU$3,L$3)</f>
        <v>#NAME?</v>
      </c>
      <c r="M17" s="9"/>
      <c r="P17" s="8"/>
      <c r="Q17" s="10"/>
      <c r="R17" s="10">
        <v>0.5</v>
      </c>
      <c r="S17" s="10"/>
      <c r="T17" s="10">
        <v>0.5</v>
      </c>
      <c r="W17" s="8"/>
      <c r="X17" s="10"/>
      <c r="Y17" s="10">
        <v>0.5</v>
      </c>
      <c r="Z17" s="10"/>
      <c r="AA17" s="10">
        <v>0.5</v>
      </c>
      <c r="AD17" s="8"/>
      <c r="AE17" s="10"/>
      <c r="AF17" s="10">
        <v>0.8</v>
      </c>
      <c r="AG17" s="10"/>
      <c r="AH17" s="10">
        <v>0.8</v>
      </c>
      <c r="AK17" s="8"/>
      <c r="AL17" s="10"/>
      <c r="AM17" s="10">
        <v>0.8</v>
      </c>
      <c r="AN17" s="10"/>
      <c r="AO17" s="10">
        <v>0.8</v>
      </c>
      <c r="AR17" s="8"/>
      <c r="AS17" s="10"/>
      <c r="AT17" s="10">
        <v>0.8</v>
      </c>
      <c r="AU17" s="10"/>
      <c r="AV17" s="10">
        <v>0.8</v>
      </c>
      <c r="AZ17" s="8"/>
      <c r="BA17" s="10"/>
      <c r="BB17" s="10">
        <v>1</v>
      </c>
      <c r="BC17" s="10"/>
      <c r="BD17" s="10">
        <v>1</v>
      </c>
      <c r="BH17" s="8"/>
      <c r="BI17" s="10"/>
      <c r="BJ17" s="10">
        <v>1</v>
      </c>
      <c r="BK17" s="10"/>
      <c r="BL17" s="10">
        <v>1</v>
      </c>
    </row>
    <row r="18" spans="2:84" ht="15.75" customHeight="1" outlineLevel="1" x14ac:dyDescent="0.25">
      <c r="B18" s="8" t="s">
        <v>28</v>
      </c>
      <c r="C18" s="8"/>
      <c r="D18" s="8" t="s">
        <v>49</v>
      </c>
      <c r="F18" s="9"/>
      <c r="G18" s="8" t="s">
        <v>82</v>
      </c>
      <c r="H18" s="10">
        <v>0.1</v>
      </c>
      <c r="J18" s="9">
        <f>+SUMIF($O$3:$ZO$3,J$3,$O18:$ZO18)</f>
        <v>0</v>
      </c>
      <c r="K18" s="12" t="e">
        <f ca="1">+_xludf.MAXIFS($O18:$YU18,$O$3:$YU$3,K$3)</f>
        <v>#NAME?</v>
      </c>
      <c r="L18" s="12" t="e">
        <f ca="1">+_xludf.MAXIFS($O18:$YU18,$O$3:$YU$3,L$3)</f>
        <v>#NAME?</v>
      </c>
      <c r="M18" s="9"/>
      <c r="Q18" s="10"/>
      <c r="R18" s="10">
        <v>0.5</v>
      </c>
      <c r="S18" s="10"/>
      <c r="T18" s="10">
        <v>0.5</v>
      </c>
      <c r="X18" s="10"/>
      <c r="Y18" s="10">
        <v>0.5</v>
      </c>
      <c r="Z18" s="10"/>
      <c r="AA18" s="10">
        <v>0.5</v>
      </c>
      <c r="AE18" s="10"/>
      <c r="AF18" s="10">
        <v>0.5</v>
      </c>
      <c r="AG18" s="10"/>
      <c r="AH18" s="10">
        <v>0.5</v>
      </c>
      <c r="AL18" s="10"/>
      <c r="AM18" s="10">
        <v>0.8</v>
      </c>
      <c r="AN18" s="10"/>
      <c r="AO18" s="10">
        <v>0.8</v>
      </c>
      <c r="AS18" s="10"/>
      <c r="AT18" s="10">
        <v>0.8</v>
      </c>
      <c r="AU18" s="10"/>
      <c r="AV18" s="10">
        <v>0.8</v>
      </c>
      <c r="BA18" s="10"/>
      <c r="BB18" s="10">
        <v>1</v>
      </c>
      <c r="BC18" s="10"/>
      <c r="BD18" s="10">
        <v>1</v>
      </c>
      <c r="BI18" s="10"/>
      <c r="BJ18" s="10">
        <v>1</v>
      </c>
      <c r="BK18" s="10"/>
      <c r="BL18" s="10">
        <v>1</v>
      </c>
    </row>
    <row r="19" spans="2:84" ht="15.75" customHeight="1" outlineLevel="1" x14ac:dyDescent="0.25">
      <c r="B19" s="8" t="s">
        <v>28</v>
      </c>
      <c r="C19" s="8"/>
      <c r="D19" s="8" t="s">
        <v>49</v>
      </c>
      <c r="F19" s="9"/>
      <c r="G19" s="8" t="s">
        <v>83</v>
      </c>
      <c r="H19" s="10">
        <v>0.1</v>
      </c>
      <c r="J19" s="9">
        <f>+SUMIF($O$3:$ZO$3,J$3,$O19:$ZO19)</f>
        <v>0</v>
      </c>
      <c r="K19" s="12" t="e">
        <f ca="1">+_xludf.MAXIFS($O19:$YU19,$O$3:$YU$3,K$3)</f>
        <v>#NAME?</v>
      </c>
      <c r="L19" s="12" t="e">
        <f ca="1">+_xludf.MAXIFS($O19:$YU19,$O$3:$YU$3,L$3)</f>
        <v>#NAME?</v>
      </c>
      <c r="M19" s="9"/>
      <c r="Q19" s="10"/>
      <c r="R19" s="10">
        <v>0.5</v>
      </c>
      <c r="S19" s="10"/>
      <c r="T19" s="10">
        <v>0.5</v>
      </c>
      <c r="X19" s="10"/>
      <c r="Y19" s="10">
        <v>0.5</v>
      </c>
      <c r="Z19" s="10"/>
      <c r="AA19" s="10">
        <v>0.5</v>
      </c>
      <c r="AE19" s="10"/>
      <c r="AF19" s="10">
        <v>0.5</v>
      </c>
      <c r="AG19" s="10"/>
      <c r="AH19" s="10">
        <v>0.5</v>
      </c>
      <c r="AL19" s="10"/>
      <c r="AM19" s="10">
        <v>0.8</v>
      </c>
      <c r="AN19" s="10"/>
      <c r="AO19" s="10">
        <v>0.8</v>
      </c>
      <c r="AS19" s="10"/>
      <c r="AT19" s="10">
        <v>0.8</v>
      </c>
      <c r="AU19" s="10"/>
      <c r="AV19" s="10">
        <v>0.8</v>
      </c>
      <c r="BA19" s="10"/>
      <c r="BB19" s="10">
        <v>1</v>
      </c>
      <c r="BC19" s="10"/>
      <c r="BD19" s="10">
        <v>1</v>
      </c>
      <c r="BI19" s="10"/>
      <c r="BJ19" s="10">
        <v>1</v>
      </c>
      <c r="BK19" s="10"/>
      <c r="BL19" s="10">
        <v>1</v>
      </c>
    </row>
    <row r="20" spans="2:84" ht="15.75" customHeight="1" outlineLevel="1" x14ac:dyDescent="0.25">
      <c r="B20" s="8" t="s">
        <v>28</v>
      </c>
      <c r="C20" s="8"/>
      <c r="D20" s="8" t="s">
        <v>49</v>
      </c>
      <c r="F20" s="9"/>
      <c r="G20" s="8" t="s">
        <v>84</v>
      </c>
      <c r="H20" s="10">
        <v>0.1</v>
      </c>
      <c r="J20" s="9"/>
      <c r="K20" s="12"/>
      <c r="L20" s="12"/>
      <c r="M20" s="9"/>
      <c r="Q20" s="10"/>
      <c r="R20" s="10"/>
      <c r="S20" s="10"/>
      <c r="T20" s="10"/>
      <c r="X20" s="10"/>
      <c r="Y20" s="10">
        <v>0.5</v>
      </c>
      <c r="Z20" s="10"/>
      <c r="AA20" s="10">
        <v>0.5</v>
      </c>
      <c r="AE20" s="10"/>
      <c r="AF20" s="10">
        <v>0.5</v>
      </c>
      <c r="AG20" s="10"/>
      <c r="AH20" s="10">
        <v>0.5</v>
      </c>
      <c r="AL20" s="10"/>
      <c r="AM20" s="10">
        <v>0.8</v>
      </c>
      <c r="AN20" s="10"/>
      <c r="AO20" s="10">
        <v>0.8</v>
      </c>
      <c r="AS20" s="10"/>
      <c r="AT20" s="10">
        <v>0.8</v>
      </c>
      <c r="AU20" s="10"/>
      <c r="AV20" s="10">
        <v>0.8</v>
      </c>
      <c r="BA20" s="10"/>
      <c r="BB20" s="10">
        <v>1</v>
      </c>
      <c r="BC20" s="10"/>
      <c r="BD20" s="10">
        <v>1</v>
      </c>
      <c r="BI20" s="10"/>
      <c r="BJ20" s="10">
        <v>1</v>
      </c>
      <c r="BK20" s="10"/>
      <c r="BL20" s="10">
        <v>1</v>
      </c>
    </row>
    <row r="21" spans="2:84" ht="15.75" customHeight="1" outlineLevel="1" x14ac:dyDescent="0.25">
      <c r="B21" s="8" t="s">
        <v>28</v>
      </c>
      <c r="C21" s="8"/>
      <c r="D21" s="8" t="s">
        <v>49</v>
      </c>
      <c r="F21" s="9"/>
      <c r="G21" s="8" t="s">
        <v>85</v>
      </c>
      <c r="H21" s="10">
        <v>0.1</v>
      </c>
      <c r="J21" s="9"/>
      <c r="K21" s="12"/>
      <c r="L21" s="12"/>
      <c r="M21" s="9"/>
      <c r="Q21" s="10"/>
      <c r="R21" s="10"/>
      <c r="S21" s="10"/>
      <c r="T21" s="10"/>
      <c r="X21" s="10"/>
      <c r="Y21" s="10">
        <v>0.5</v>
      </c>
      <c r="Z21" s="10"/>
      <c r="AA21" s="10">
        <v>0.5</v>
      </c>
      <c r="AE21" s="10"/>
      <c r="AF21" s="10">
        <v>0.5</v>
      </c>
      <c r="AG21" s="10"/>
      <c r="AH21" s="10">
        <v>0.5</v>
      </c>
      <c r="AL21" s="10"/>
      <c r="AM21" s="10">
        <v>0.8</v>
      </c>
      <c r="AN21" s="10"/>
      <c r="AO21" s="10">
        <v>0.8</v>
      </c>
      <c r="AS21" s="10"/>
      <c r="AT21" s="10">
        <v>0.8</v>
      </c>
      <c r="AU21" s="10"/>
      <c r="AV21" s="10">
        <v>0.8</v>
      </c>
      <c r="BA21" s="10"/>
      <c r="BB21" s="10">
        <v>0.8</v>
      </c>
      <c r="BC21" s="10"/>
      <c r="BD21" s="10">
        <v>0.8</v>
      </c>
      <c r="BI21" s="10"/>
      <c r="BJ21" s="10">
        <v>1</v>
      </c>
      <c r="BK21" s="10"/>
      <c r="BL21" s="10">
        <v>1</v>
      </c>
    </row>
    <row r="22" spans="2:84" ht="15.75" customHeight="1" outlineLevel="1" x14ac:dyDescent="0.25">
      <c r="B22" s="8" t="s">
        <v>28</v>
      </c>
      <c r="C22" s="8"/>
      <c r="D22" s="8" t="s">
        <v>49</v>
      </c>
      <c r="F22" s="9"/>
      <c r="G22" s="8" t="s">
        <v>86</v>
      </c>
      <c r="H22" s="10">
        <v>0.1</v>
      </c>
      <c r="J22" s="9"/>
      <c r="K22" s="12"/>
      <c r="L22" s="12"/>
      <c r="M22" s="9"/>
      <c r="P22" s="8"/>
      <c r="Q22" s="10"/>
      <c r="R22" s="10"/>
      <c r="S22" s="10"/>
      <c r="T22" s="10"/>
      <c r="W22" s="8"/>
      <c r="X22" s="10"/>
      <c r="Y22" s="10">
        <v>0.5</v>
      </c>
      <c r="Z22" s="10"/>
      <c r="AA22" s="10">
        <v>0.5</v>
      </c>
      <c r="AD22" s="8"/>
      <c r="AE22" s="10"/>
      <c r="AF22" s="10">
        <v>0.5</v>
      </c>
      <c r="AG22" s="10"/>
      <c r="AH22" s="10">
        <v>0.5</v>
      </c>
      <c r="AK22" s="8"/>
      <c r="AL22" s="10"/>
      <c r="AM22" s="10">
        <v>0.5</v>
      </c>
      <c r="AN22" s="10"/>
      <c r="AO22" s="10">
        <v>0.5</v>
      </c>
      <c r="AR22" s="8"/>
      <c r="AS22" s="10"/>
      <c r="AT22" s="10">
        <v>0.8</v>
      </c>
      <c r="AU22" s="10"/>
      <c r="AV22" s="10">
        <v>0.8</v>
      </c>
      <c r="AZ22" s="8"/>
      <c r="BA22" s="10"/>
      <c r="BB22" s="10">
        <v>0.8</v>
      </c>
      <c r="BC22" s="10"/>
      <c r="BD22" s="10">
        <v>0.8</v>
      </c>
      <c r="BH22" s="8"/>
      <c r="BI22" s="10"/>
      <c r="BJ22" s="10">
        <v>1</v>
      </c>
      <c r="BK22" s="10"/>
      <c r="BL22" s="10">
        <v>1</v>
      </c>
    </row>
    <row r="23" spans="2:84" ht="15.75" customHeight="1" outlineLevel="1" x14ac:dyDescent="0.25">
      <c r="B23" s="8" t="s">
        <v>28</v>
      </c>
      <c r="C23" s="8"/>
      <c r="D23" s="8" t="s">
        <v>49</v>
      </c>
      <c r="F23" s="9"/>
      <c r="G23" s="8" t="s">
        <v>87</v>
      </c>
      <c r="H23" s="10">
        <v>0.1</v>
      </c>
      <c r="J23" s="9"/>
      <c r="K23" s="12"/>
      <c r="L23" s="12"/>
      <c r="M23" s="9"/>
      <c r="Q23" s="10"/>
      <c r="R23" s="10"/>
      <c r="S23" s="10"/>
      <c r="T23" s="10"/>
      <c r="X23" s="10"/>
      <c r="Y23" s="10">
        <v>0.5</v>
      </c>
      <c r="Z23" s="10"/>
      <c r="AA23" s="10">
        <v>0.5</v>
      </c>
      <c r="AE23" s="10"/>
      <c r="AF23" s="10">
        <v>0.5</v>
      </c>
      <c r="AG23" s="10"/>
      <c r="AH23" s="10">
        <v>0.5</v>
      </c>
      <c r="AL23" s="10"/>
      <c r="AM23" s="10">
        <v>0.5</v>
      </c>
      <c r="AN23" s="10"/>
      <c r="AO23" s="10">
        <v>0.5</v>
      </c>
      <c r="AS23" s="10"/>
      <c r="AT23" s="10">
        <v>0.8</v>
      </c>
      <c r="AU23" s="10"/>
      <c r="AV23" s="10">
        <v>0.8</v>
      </c>
      <c r="BA23" s="10"/>
      <c r="BB23" s="10">
        <v>0.8</v>
      </c>
      <c r="BC23" s="10"/>
      <c r="BD23" s="10">
        <v>0.8</v>
      </c>
      <c r="BI23" s="10"/>
      <c r="BJ23" s="10">
        <v>1</v>
      </c>
      <c r="BK23" s="10"/>
      <c r="BL23" s="10">
        <v>1</v>
      </c>
    </row>
    <row r="24" spans="2:84" ht="15.75" customHeight="1" outlineLevel="1" x14ac:dyDescent="0.25">
      <c r="B24" s="8" t="s">
        <v>28</v>
      </c>
      <c r="C24" s="8"/>
      <c r="D24" s="8" t="s">
        <v>49</v>
      </c>
      <c r="F24" s="9"/>
      <c r="G24" t="s">
        <v>88</v>
      </c>
      <c r="H24" s="10">
        <v>0.15</v>
      </c>
      <c r="J24" s="9"/>
      <c r="K24" s="12"/>
      <c r="L24" s="12"/>
      <c r="M24" s="9"/>
      <c r="Q24" s="10"/>
      <c r="R24" s="10"/>
      <c r="S24" s="10"/>
      <c r="T24" s="10"/>
      <c r="X24" s="10"/>
      <c r="Y24" s="10"/>
      <c r="Z24" s="10"/>
      <c r="AA24" s="10"/>
      <c r="AE24" s="10"/>
      <c r="AF24" s="10">
        <v>0.5</v>
      </c>
      <c r="AG24" s="10"/>
      <c r="AH24" s="10">
        <v>0.5</v>
      </c>
      <c r="AL24" s="10"/>
      <c r="AM24" s="10">
        <v>0.5</v>
      </c>
      <c r="AN24" s="10"/>
      <c r="AO24" s="10">
        <v>0.5</v>
      </c>
      <c r="AS24" s="10"/>
      <c r="AT24" s="10">
        <v>0.8</v>
      </c>
      <c r="AU24" s="10"/>
      <c r="AV24" s="10">
        <v>0.8</v>
      </c>
      <c r="BA24" s="10"/>
      <c r="BB24" s="10">
        <v>0.8</v>
      </c>
      <c r="BC24" s="10"/>
      <c r="BD24" s="10">
        <v>0.8</v>
      </c>
      <c r="BI24" s="10"/>
      <c r="BJ24" s="10">
        <v>1</v>
      </c>
      <c r="BK24" s="10"/>
      <c r="BL24" s="10">
        <v>1</v>
      </c>
    </row>
    <row r="25" spans="2:84" ht="15.75" customHeight="1" outlineLevel="1" x14ac:dyDescent="0.25">
      <c r="B25" s="8" t="s">
        <v>28</v>
      </c>
      <c r="C25" s="8"/>
      <c r="D25" s="8" t="s">
        <v>49</v>
      </c>
      <c r="F25" s="9"/>
      <c r="G25" t="s">
        <v>89</v>
      </c>
      <c r="H25" s="10">
        <v>0.15</v>
      </c>
      <c r="J25" s="9"/>
      <c r="K25" s="12"/>
      <c r="L25" s="12"/>
      <c r="M25" s="9"/>
      <c r="Q25" s="10"/>
      <c r="R25" s="10"/>
      <c r="S25" s="10"/>
      <c r="T25" s="10"/>
      <c r="X25" s="10"/>
      <c r="Y25" s="10"/>
      <c r="Z25" s="10"/>
      <c r="AA25" s="10"/>
      <c r="AE25" s="10"/>
      <c r="AF25" s="10">
        <v>0.5</v>
      </c>
      <c r="AG25" s="10"/>
      <c r="AH25" s="10">
        <v>0.5</v>
      </c>
      <c r="AL25" s="10"/>
      <c r="AM25" s="10">
        <v>0.5</v>
      </c>
      <c r="AN25" s="10"/>
      <c r="AO25" s="10">
        <v>0.5</v>
      </c>
      <c r="AS25" s="10"/>
      <c r="AT25" s="10">
        <v>0.8</v>
      </c>
      <c r="AU25" s="10"/>
      <c r="AV25" s="10">
        <v>0.8</v>
      </c>
      <c r="BA25" s="10"/>
      <c r="BB25" s="10">
        <v>0.8</v>
      </c>
      <c r="BC25" s="10"/>
      <c r="BD25" s="10">
        <v>0.8</v>
      </c>
      <c r="BI25" s="10"/>
      <c r="BJ25" s="10">
        <v>1</v>
      </c>
      <c r="BK25" s="10"/>
      <c r="BL25" s="10">
        <v>1</v>
      </c>
    </row>
    <row r="26" spans="2:84" ht="15.75" customHeight="1" x14ac:dyDescent="0.25"/>
    <row r="27" spans="2:84" ht="15.75" customHeight="1" x14ac:dyDescent="0.25">
      <c r="B27" s="8" t="s">
        <v>16</v>
      </c>
      <c r="C27" s="8"/>
      <c r="D27" s="8" t="s">
        <v>50</v>
      </c>
      <c r="E27" s="17" t="s">
        <v>101</v>
      </c>
      <c r="F27" s="9">
        <v>6</v>
      </c>
      <c r="H27" s="10">
        <f>+SUM(H28:H38)</f>
        <v>0.99999999999999989</v>
      </c>
      <c r="J27" s="11">
        <f>+SUM(J28:J38)</f>
        <v>0</v>
      </c>
      <c r="K27" s="12" t="e">
        <f ca="1">+SUMPRODUCT(H28:H38,K28:K38)</f>
        <v>#NAME?</v>
      </c>
      <c r="L27" s="12" t="e">
        <f ca="1">+SUMPRODUCT(H28:H38,L28:L38)</f>
        <v>#NAME?</v>
      </c>
      <c r="M27" s="9"/>
      <c r="P27" s="11">
        <f>+SUM(P28:P38)</f>
        <v>0</v>
      </c>
      <c r="W27" s="11">
        <f>+SUM(W28:W38)</f>
        <v>0</v>
      </c>
      <c r="AD27" s="11">
        <f>+SUM(AD28:AD38)</f>
        <v>0</v>
      </c>
      <c r="AK27" s="11">
        <f>+SUM(AK28:AK38)</f>
        <v>0</v>
      </c>
      <c r="AR27" s="11">
        <f>+SUM(AR28:AR38)</f>
        <v>0</v>
      </c>
      <c r="AZ27" s="11">
        <f>+SUM(AZ28:AZ38)</f>
        <v>0</v>
      </c>
      <c r="BH27" s="11">
        <f>+SUM(BH28:BH38)</f>
        <v>0</v>
      </c>
      <c r="CF27">
        <f>+SUM(CF28:CF38)</f>
        <v>0</v>
      </c>
    </row>
    <row r="28" spans="2:84" ht="15.75" customHeight="1" outlineLevel="1" x14ac:dyDescent="0.25">
      <c r="B28" s="8" t="s">
        <v>28</v>
      </c>
      <c r="C28" s="8"/>
      <c r="D28" s="8" t="s">
        <v>50</v>
      </c>
      <c r="F28" s="9"/>
      <c r="G28" s="8" t="s">
        <v>90</v>
      </c>
      <c r="H28" s="10">
        <v>0.05</v>
      </c>
      <c r="J28" s="9">
        <f>+SUMIF($O$3:$ZO$3,J$3,$O28:$ZO28)</f>
        <v>0</v>
      </c>
      <c r="K28" s="12" t="e">
        <f ca="1">+_xludf.MAXIFS($O28:$YU28,$O$3:$YU$3,K$3)</f>
        <v>#NAME?</v>
      </c>
      <c r="L28" s="12" t="e">
        <f ca="1">+_xludf.MAXIFS($O28:$YU28,$O$3:$YU$3,L$3)</f>
        <v>#NAME?</v>
      </c>
      <c r="M28" s="9"/>
      <c r="P28" s="8"/>
      <c r="Q28" s="10"/>
      <c r="R28" s="10">
        <v>0.5</v>
      </c>
      <c r="S28" s="10"/>
      <c r="T28" s="10">
        <v>0.5</v>
      </c>
      <c r="W28" s="8"/>
      <c r="X28" s="10"/>
      <c r="Y28" s="10">
        <v>0.5</v>
      </c>
      <c r="Z28" s="10"/>
      <c r="AA28" s="10">
        <v>0.5</v>
      </c>
      <c r="AD28" s="8"/>
      <c r="AE28" s="10"/>
      <c r="AF28" s="10">
        <v>0.5</v>
      </c>
      <c r="AG28" s="10"/>
      <c r="AH28" s="10">
        <v>0.5</v>
      </c>
      <c r="AK28" s="8"/>
      <c r="AL28" s="10"/>
      <c r="AM28" s="10">
        <v>0.5</v>
      </c>
      <c r="AN28" s="10"/>
      <c r="AO28" s="10">
        <v>0.5</v>
      </c>
      <c r="AR28" s="8"/>
      <c r="AS28" s="10"/>
      <c r="AT28" s="10">
        <v>0.5</v>
      </c>
      <c r="AU28" s="10"/>
      <c r="AV28" s="10">
        <v>0.5</v>
      </c>
      <c r="AZ28" s="8"/>
      <c r="BA28" s="10"/>
      <c r="BB28" s="10">
        <v>0.5</v>
      </c>
      <c r="BC28" s="10"/>
      <c r="BD28" s="10">
        <v>0.5</v>
      </c>
      <c r="BH28" s="8"/>
      <c r="BI28" s="10"/>
      <c r="BJ28" s="10">
        <v>0.5</v>
      </c>
      <c r="BK28" s="10"/>
      <c r="BL28" s="10">
        <v>0.5</v>
      </c>
    </row>
    <row r="29" spans="2:84" ht="15.75" customHeight="1" outlineLevel="1" x14ac:dyDescent="0.25">
      <c r="B29" s="8" t="s">
        <v>28</v>
      </c>
      <c r="C29" s="8"/>
      <c r="D29" s="8" t="s">
        <v>50</v>
      </c>
      <c r="F29" s="9"/>
      <c r="G29" s="8" t="s">
        <v>92</v>
      </c>
      <c r="H29" s="10">
        <v>0.1</v>
      </c>
      <c r="J29" s="9">
        <f>+SUMIF($O$3:$ZO$3,J$3,$O29:$ZO29)</f>
        <v>0</v>
      </c>
      <c r="K29" s="12" t="e">
        <f ca="1">+_xludf.MAXIFS($O29:$YU29,$O$3:$YU$3,K$3)</f>
        <v>#NAME?</v>
      </c>
      <c r="L29" s="12" t="e">
        <f ca="1">+_xludf.MAXIFS($O29:$YU29,$O$3:$YU$3,L$3)</f>
        <v>#NAME?</v>
      </c>
      <c r="M29" s="9"/>
      <c r="P29" s="8"/>
      <c r="Q29" s="10"/>
      <c r="R29" s="10">
        <v>0.5</v>
      </c>
      <c r="S29" s="10"/>
      <c r="T29" s="10">
        <v>0.5</v>
      </c>
      <c r="W29" s="8"/>
      <c r="X29" s="10"/>
      <c r="Y29" s="10">
        <v>0.5</v>
      </c>
      <c r="Z29" s="10"/>
      <c r="AA29" s="10">
        <v>0.5</v>
      </c>
      <c r="AD29" s="8"/>
      <c r="AE29" s="10"/>
      <c r="AF29" s="10">
        <v>0.5</v>
      </c>
      <c r="AG29" s="10"/>
      <c r="AH29" s="10">
        <v>0.5</v>
      </c>
      <c r="AK29" s="8"/>
      <c r="AL29" s="10"/>
      <c r="AM29" s="10">
        <v>0.5</v>
      </c>
      <c r="AN29" s="10"/>
      <c r="AO29" s="10">
        <v>0.5</v>
      </c>
      <c r="AR29" s="8"/>
      <c r="AS29" s="10"/>
      <c r="AT29" s="10">
        <v>0.5</v>
      </c>
      <c r="AU29" s="10"/>
      <c r="AV29" s="10">
        <v>0.5</v>
      </c>
      <c r="AZ29" s="8"/>
      <c r="BA29" s="10"/>
      <c r="BB29" s="10">
        <v>0.5</v>
      </c>
      <c r="BC29" s="10"/>
      <c r="BD29" s="10">
        <v>0.5</v>
      </c>
      <c r="BH29" s="8"/>
      <c r="BI29" s="10"/>
      <c r="BJ29" s="10">
        <v>0.5</v>
      </c>
      <c r="BK29" s="10"/>
      <c r="BL29" s="10">
        <v>0.5</v>
      </c>
    </row>
    <row r="30" spans="2:84" ht="15.75" customHeight="1" outlineLevel="1" x14ac:dyDescent="0.25">
      <c r="B30" s="8" t="s">
        <v>28</v>
      </c>
      <c r="C30" s="8"/>
      <c r="D30" s="8" t="s">
        <v>50</v>
      </c>
      <c r="F30" s="9"/>
      <c r="G30" s="8" t="s">
        <v>93</v>
      </c>
      <c r="H30" s="10">
        <v>0.1</v>
      </c>
      <c r="J30" s="9">
        <f>+SUMIF($O$3:$ZO$3,J$3,$O30:$ZO30)</f>
        <v>0</v>
      </c>
      <c r="K30" s="12" t="e">
        <f ca="1">+_xludf.MAXIFS($O30:$YU30,$O$3:$YU$3,K$3)</f>
        <v>#NAME?</v>
      </c>
      <c r="L30" s="12" t="e">
        <f ca="1">+_xludf.MAXIFS($O30:$YU30,$O$3:$YU$3,L$3)</f>
        <v>#NAME?</v>
      </c>
      <c r="M30" s="9"/>
      <c r="P30" s="8"/>
      <c r="Q30" s="10"/>
      <c r="R30" s="10"/>
      <c r="S30" s="10"/>
      <c r="T30" s="10"/>
      <c r="W30" s="8"/>
      <c r="X30" s="10"/>
      <c r="Y30" s="10">
        <v>0.5</v>
      </c>
      <c r="Z30" s="10"/>
      <c r="AA30" s="10">
        <v>0.5</v>
      </c>
      <c r="AD30" s="8"/>
      <c r="AE30" s="10"/>
      <c r="AF30" s="10">
        <v>0.5</v>
      </c>
      <c r="AG30" s="10"/>
      <c r="AH30" s="10">
        <v>0.5</v>
      </c>
      <c r="AK30" s="8"/>
      <c r="AL30" s="10"/>
      <c r="AM30" s="10">
        <v>0.5</v>
      </c>
      <c r="AN30" s="10"/>
      <c r="AO30" s="10">
        <v>0.5</v>
      </c>
      <c r="AR30" s="8"/>
      <c r="AS30" s="10"/>
      <c r="AT30" s="10">
        <v>0.5</v>
      </c>
      <c r="AU30" s="10"/>
      <c r="AV30" s="10">
        <v>0.5</v>
      </c>
      <c r="AZ30" s="8"/>
      <c r="BA30" s="10"/>
      <c r="BB30" s="10">
        <v>0.5</v>
      </c>
      <c r="BC30" s="10"/>
      <c r="BD30" s="10">
        <v>0.5</v>
      </c>
      <c r="BH30" s="8"/>
      <c r="BI30" s="10"/>
      <c r="BJ30" s="10">
        <v>0.5</v>
      </c>
      <c r="BK30" s="10"/>
      <c r="BL30" s="10">
        <v>0.5</v>
      </c>
    </row>
    <row r="31" spans="2:84" ht="15.75" customHeight="1" outlineLevel="1" x14ac:dyDescent="0.25">
      <c r="B31" s="8" t="s">
        <v>28</v>
      </c>
      <c r="C31" s="8"/>
      <c r="D31" s="8" t="s">
        <v>50</v>
      </c>
      <c r="F31" s="9"/>
      <c r="G31" s="8" t="s">
        <v>94</v>
      </c>
      <c r="H31" s="10">
        <v>0.1</v>
      </c>
      <c r="J31" s="9">
        <f>+SUMIF($O$3:$ZO$3,J$3,$O31:$ZO31)</f>
        <v>0</v>
      </c>
      <c r="K31" s="12" t="e">
        <f ca="1">+_xludf.MAXIFS($O31:$YU31,$O$3:$YU$3,K$3)</f>
        <v>#NAME?</v>
      </c>
      <c r="L31" s="12" t="e">
        <f ca="1">+_xludf.MAXIFS($O31:$YU31,$O$3:$YU$3,L$3)</f>
        <v>#NAME?</v>
      </c>
      <c r="M31" s="9"/>
      <c r="P31" s="8"/>
      <c r="Q31" s="10"/>
      <c r="R31" s="10"/>
      <c r="S31" s="10"/>
      <c r="T31" s="10"/>
      <c r="W31" s="8"/>
      <c r="X31" s="10"/>
      <c r="Y31" s="10">
        <v>0.5</v>
      </c>
      <c r="Z31" s="10"/>
      <c r="AA31" s="10">
        <v>0.5</v>
      </c>
      <c r="AD31" s="8"/>
      <c r="AE31" s="10"/>
      <c r="AF31" s="10">
        <v>0.5</v>
      </c>
      <c r="AG31" s="10"/>
      <c r="AH31" s="10">
        <v>0.5</v>
      </c>
      <c r="AK31" s="8"/>
      <c r="AL31" s="10"/>
      <c r="AM31" s="10">
        <v>0.5</v>
      </c>
      <c r="AN31" s="10"/>
      <c r="AO31" s="10">
        <v>0.5</v>
      </c>
      <c r="AR31" s="8"/>
      <c r="AS31" s="10"/>
      <c r="AT31" s="10">
        <v>0.5</v>
      </c>
      <c r="AU31" s="10"/>
      <c r="AV31" s="10">
        <v>0.5</v>
      </c>
      <c r="AZ31" s="8"/>
      <c r="BA31" s="10"/>
      <c r="BB31" s="10">
        <v>0.5</v>
      </c>
      <c r="BC31" s="10"/>
      <c r="BD31" s="10">
        <v>0.5</v>
      </c>
      <c r="BH31" s="8"/>
      <c r="BI31" s="10"/>
      <c r="BJ31" s="10">
        <v>0.5</v>
      </c>
      <c r="BK31" s="10"/>
      <c r="BL31" s="10">
        <v>0.5</v>
      </c>
    </row>
    <row r="32" spans="2:84" ht="15.75" customHeight="1" outlineLevel="1" x14ac:dyDescent="0.25">
      <c r="B32" s="8" t="s">
        <v>28</v>
      </c>
      <c r="C32" s="8"/>
      <c r="D32" s="8" t="s">
        <v>50</v>
      </c>
      <c r="F32" s="9"/>
      <c r="G32" s="8" t="s">
        <v>95</v>
      </c>
      <c r="H32" s="10">
        <v>0.1</v>
      </c>
      <c r="J32" s="9">
        <f>+SUMIF($O$3:$ZO$3,J$3,$O32:$ZO32)</f>
        <v>0</v>
      </c>
      <c r="K32" s="12" t="e">
        <f ca="1">+_xludf.MAXIFS($O32:$YU32,$O$3:$YU$3,K$3)</f>
        <v>#NAME?</v>
      </c>
      <c r="L32" s="12" t="e">
        <f ca="1">+_xludf.MAXIFS($O32:$YU32,$O$3:$YU$3,L$3)</f>
        <v>#NAME?</v>
      </c>
      <c r="M32" s="9"/>
      <c r="P32" s="8"/>
      <c r="Q32" s="10"/>
      <c r="R32" s="10"/>
      <c r="S32" s="10"/>
      <c r="T32" s="10"/>
      <c r="W32" s="8"/>
      <c r="X32" s="10"/>
      <c r="Y32" s="10"/>
      <c r="Z32" s="10"/>
      <c r="AA32" s="10"/>
      <c r="AD32" s="8"/>
      <c r="AE32" s="10"/>
      <c r="AF32" s="10">
        <v>0.5</v>
      </c>
      <c r="AG32" s="10"/>
      <c r="AH32" s="10">
        <v>0.5</v>
      </c>
      <c r="AK32" s="8"/>
      <c r="AL32" s="10"/>
      <c r="AM32" s="10">
        <v>0.5</v>
      </c>
      <c r="AN32" s="10"/>
      <c r="AO32" s="10">
        <v>0.5</v>
      </c>
      <c r="AR32" s="8"/>
      <c r="AS32" s="10"/>
      <c r="AT32" s="10">
        <v>0.5</v>
      </c>
      <c r="AU32" s="10"/>
      <c r="AV32" s="10">
        <v>0.5</v>
      </c>
      <c r="AZ32" s="8"/>
      <c r="BA32" s="10"/>
      <c r="BB32" s="10">
        <v>0.5</v>
      </c>
      <c r="BC32" s="10"/>
      <c r="BD32" s="10">
        <v>0.5</v>
      </c>
      <c r="BH32" s="8"/>
      <c r="BI32" s="10"/>
      <c r="BJ32" s="10">
        <v>0.5</v>
      </c>
      <c r="BK32" s="10"/>
      <c r="BL32" s="10">
        <v>0.5</v>
      </c>
    </row>
    <row r="33" spans="2:84" ht="15.75" customHeight="1" outlineLevel="1" x14ac:dyDescent="0.25">
      <c r="B33" s="8" t="s">
        <v>28</v>
      </c>
      <c r="C33" s="8"/>
      <c r="D33" s="8" t="s">
        <v>50</v>
      </c>
      <c r="F33" s="9"/>
      <c r="G33" s="8" t="s">
        <v>96</v>
      </c>
      <c r="H33" s="10">
        <v>0.1</v>
      </c>
      <c r="J33" s="9"/>
      <c r="K33" s="12"/>
      <c r="L33" s="12"/>
      <c r="M33" s="9"/>
      <c r="P33" s="8"/>
      <c r="Q33" s="10"/>
      <c r="R33" s="10"/>
      <c r="S33" s="10"/>
      <c r="T33" s="10"/>
      <c r="W33" s="8"/>
      <c r="X33" s="10"/>
      <c r="Y33" s="10"/>
      <c r="Z33" s="10"/>
      <c r="AA33" s="10"/>
      <c r="AD33" s="8"/>
      <c r="AE33" s="10"/>
      <c r="AF33" s="10">
        <v>0.5</v>
      </c>
      <c r="AG33" s="10"/>
      <c r="AH33" s="10">
        <v>0.5</v>
      </c>
      <c r="AK33" s="8"/>
      <c r="AL33" s="10"/>
      <c r="AM33" s="10">
        <v>0.5</v>
      </c>
      <c r="AN33" s="10"/>
      <c r="AO33" s="10">
        <v>0.5</v>
      </c>
      <c r="AR33" s="8"/>
      <c r="AS33" s="10"/>
      <c r="AT33" s="10">
        <v>0.5</v>
      </c>
      <c r="AU33" s="10"/>
      <c r="AV33" s="10">
        <v>0.5</v>
      </c>
      <c r="AZ33" s="8"/>
      <c r="BA33" s="10"/>
      <c r="BB33" s="10">
        <v>0.5</v>
      </c>
      <c r="BC33" s="10"/>
      <c r="BD33" s="10">
        <v>0.5</v>
      </c>
      <c r="BH33" s="8"/>
      <c r="BI33" s="10"/>
      <c r="BJ33" s="10">
        <v>0.5</v>
      </c>
      <c r="BK33" s="10"/>
      <c r="BL33" s="10">
        <v>0.5</v>
      </c>
    </row>
    <row r="34" spans="2:84" ht="15.75" customHeight="1" outlineLevel="1" x14ac:dyDescent="0.25">
      <c r="B34" s="8" t="s">
        <v>28</v>
      </c>
      <c r="C34" s="8"/>
      <c r="D34" s="8" t="s">
        <v>50</v>
      </c>
      <c r="F34" s="9"/>
      <c r="G34" s="8" t="s">
        <v>97</v>
      </c>
      <c r="H34" s="10">
        <v>0.05</v>
      </c>
      <c r="J34" s="9"/>
      <c r="K34" s="12"/>
      <c r="L34" s="12"/>
      <c r="M34" s="9"/>
      <c r="P34" s="8"/>
      <c r="Q34" s="10"/>
      <c r="R34" s="10"/>
      <c r="S34" s="10"/>
      <c r="T34" s="10"/>
      <c r="W34" s="8"/>
      <c r="X34" s="10"/>
      <c r="Y34" s="10"/>
      <c r="Z34" s="10"/>
      <c r="AA34" s="10"/>
      <c r="AD34" s="8"/>
      <c r="AE34" s="10"/>
      <c r="AF34" s="10">
        <v>0.5</v>
      </c>
      <c r="AG34" s="10"/>
      <c r="AH34" s="10">
        <v>0.5</v>
      </c>
      <c r="AK34" s="8"/>
      <c r="AL34" s="10"/>
      <c r="AM34" s="10">
        <v>0.5</v>
      </c>
      <c r="AN34" s="10"/>
      <c r="AO34" s="10">
        <v>0.5</v>
      </c>
      <c r="AR34" s="8"/>
      <c r="AS34" s="10"/>
      <c r="AT34" s="10">
        <v>0.5</v>
      </c>
      <c r="AU34" s="10"/>
      <c r="AV34" s="10">
        <v>0.5</v>
      </c>
      <c r="AZ34" s="8"/>
      <c r="BA34" s="10"/>
      <c r="BB34" s="10">
        <v>0.5</v>
      </c>
      <c r="BC34" s="10"/>
      <c r="BD34" s="10">
        <v>0.5</v>
      </c>
      <c r="BH34" s="8"/>
      <c r="BI34" s="10"/>
      <c r="BJ34" s="10">
        <v>0.5</v>
      </c>
      <c r="BK34" s="10"/>
      <c r="BL34" s="10">
        <v>0.5</v>
      </c>
    </row>
    <row r="35" spans="2:84" ht="15.75" customHeight="1" outlineLevel="1" x14ac:dyDescent="0.25">
      <c r="B35" s="8" t="s">
        <v>28</v>
      </c>
      <c r="C35" s="8"/>
      <c r="D35" s="8" t="s">
        <v>50</v>
      </c>
      <c r="F35" s="9"/>
      <c r="G35" s="8" t="s">
        <v>98</v>
      </c>
      <c r="H35" s="10">
        <v>0.1</v>
      </c>
      <c r="J35" s="9"/>
      <c r="K35" s="12"/>
      <c r="L35" s="12"/>
      <c r="M35" s="9"/>
      <c r="P35" s="8"/>
      <c r="Q35" s="10"/>
      <c r="R35" s="10"/>
      <c r="S35" s="10"/>
      <c r="T35" s="10"/>
      <c r="W35" s="8"/>
      <c r="X35" s="10"/>
      <c r="Y35" s="10"/>
      <c r="Z35" s="10"/>
      <c r="AA35" s="10"/>
      <c r="AD35" s="8"/>
      <c r="AE35" s="10"/>
      <c r="AF35" s="10"/>
      <c r="AG35" s="10"/>
      <c r="AH35" s="10"/>
      <c r="AK35" s="8"/>
      <c r="AL35" s="10"/>
      <c r="AM35" s="10">
        <v>0.5</v>
      </c>
      <c r="AN35" s="10"/>
      <c r="AO35" s="10">
        <v>0.5</v>
      </c>
      <c r="AR35" s="8"/>
      <c r="AS35" s="10"/>
      <c r="AT35" s="10">
        <v>0.5</v>
      </c>
      <c r="AU35" s="10"/>
      <c r="AV35" s="10">
        <v>0.5</v>
      </c>
      <c r="AZ35" s="8"/>
      <c r="BA35" s="10"/>
      <c r="BB35" s="10">
        <v>0.5</v>
      </c>
      <c r="BC35" s="10"/>
      <c r="BD35" s="10">
        <v>0.5</v>
      </c>
      <c r="BH35" s="8"/>
      <c r="BI35" s="10"/>
      <c r="BJ35" s="10">
        <v>0.5</v>
      </c>
      <c r="BK35" s="10"/>
      <c r="BL35" s="10">
        <v>0.5</v>
      </c>
    </row>
    <row r="36" spans="2:84" ht="15.75" customHeight="1" outlineLevel="1" x14ac:dyDescent="0.25">
      <c r="B36" s="8" t="s">
        <v>28</v>
      </c>
      <c r="C36" s="8"/>
      <c r="D36" s="8" t="s">
        <v>50</v>
      </c>
      <c r="F36" s="9"/>
      <c r="G36" s="8" t="s">
        <v>99</v>
      </c>
      <c r="H36" s="10">
        <v>0.1</v>
      </c>
      <c r="J36" s="9"/>
      <c r="K36" s="12"/>
      <c r="L36" s="12"/>
      <c r="M36" s="9"/>
      <c r="P36" s="8"/>
      <c r="Q36" s="10"/>
      <c r="R36" s="10"/>
      <c r="S36" s="10"/>
      <c r="T36" s="10"/>
      <c r="W36" s="8"/>
      <c r="X36" s="10"/>
      <c r="Y36" s="10"/>
      <c r="Z36" s="10"/>
      <c r="AA36" s="10"/>
      <c r="AD36" s="8"/>
      <c r="AE36" s="10"/>
      <c r="AF36" s="10"/>
      <c r="AG36" s="10"/>
      <c r="AH36" s="10"/>
      <c r="AK36" s="8"/>
      <c r="AL36" s="10"/>
      <c r="AM36" s="10">
        <v>0.5</v>
      </c>
      <c r="AN36" s="10"/>
      <c r="AO36" s="10">
        <v>0.5</v>
      </c>
      <c r="AR36" s="8"/>
      <c r="AS36" s="10"/>
      <c r="AT36" s="10">
        <v>0.5</v>
      </c>
      <c r="AU36" s="10"/>
      <c r="AV36" s="10">
        <v>0.5</v>
      </c>
      <c r="AZ36" s="8"/>
      <c r="BA36" s="10"/>
      <c r="BB36" s="10">
        <v>0.5</v>
      </c>
      <c r="BC36" s="10"/>
      <c r="BD36" s="10">
        <v>0.5</v>
      </c>
      <c r="BH36" s="8"/>
      <c r="BI36" s="10"/>
      <c r="BJ36" s="10">
        <v>0.5</v>
      </c>
      <c r="BK36" s="10"/>
      <c r="BL36" s="10">
        <v>0.5</v>
      </c>
    </row>
    <row r="37" spans="2:84" ht="15.75" customHeight="1" outlineLevel="1" x14ac:dyDescent="0.25">
      <c r="B37" s="8" t="s">
        <v>28</v>
      </c>
      <c r="C37" s="8"/>
      <c r="D37" s="8" t="s">
        <v>50</v>
      </c>
      <c r="F37" s="9"/>
      <c r="G37" s="8" t="s">
        <v>100</v>
      </c>
      <c r="H37" s="10">
        <v>0.1</v>
      </c>
      <c r="J37" s="9"/>
      <c r="K37" s="12"/>
      <c r="L37" s="12"/>
      <c r="M37" s="9"/>
      <c r="P37" s="8"/>
      <c r="Q37" s="10"/>
      <c r="R37" s="10"/>
      <c r="S37" s="10"/>
      <c r="T37" s="10"/>
      <c r="W37" s="8"/>
      <c r="X37" s="10"/>
      <c r="Y37" s="10"/>
      <c r="Z37" s="10"/>
      <c r="AA37" s="10"/>
      <c r="AD37" s="8"/>
      <c r="AE37" s="10"/>
      <c r="AF37" s="10"/>
      <c r="AG37" s="10"/>
      <c r="AH37" s="10"/>
      <c r="AR37" s="8"/>
      <c r="AS37" s="10"/>
      <c r="AT37" s="10">
        <v>0.5</v>
      </c>
      <c r="AU37" s="10"/>
      <c r="AV37" s="10">
        <v>0.5</v>
      </c>
      <c r="AZ37" s="8"/>
      <c r="BA37" s="10"/>
      <c r="BB37" s="10">
        <v>0.5</v>
      </c>
      <c r="BC37" s="10"/>
      <c r="BD37" s="10">
        <v>0.5</v>
      </c>
      <c r="BH37" s="8"/>
      <c r="BI37" s="10"/>
      <c r="BJ37" s="10">
        <v>0.5</v>
      </c>
      <c r="BK37" s="10"/>
      <c r="BL37" s="10">
        <v>0.5</v>
      </c>
    </row>
    <row r="38" spans="2:84" ht="15.75" customHeight="1" outlineLevel="1" x14ac:dyDescent="0.25">
      <c r="B38" s="8" t="s">
        <v>28</v>
      </c>
      <c r="C38" s="8"/>
      <c r="D38" s="8" t="s">
        <v>50</v>
      </c>
      <c r="F38" s="9"/>
      <c r="G38" s="8" t="s">
        <v>91</v>
      </c>
      <c r="H38" s="10">
        <v>0.1</v>
      </c>
      <c r="J38" s="9">
        <f>+SUMIF($O$3:$ZO$3,J$3,$O38:$ZO38)</f>
        <v>0</v>
      </c>
      <c r="K38" s="12" t="e">
        <f ca="1">+_xludf.MAXIFS($O38:$YU38,$O$3:$YU$3,K$3)</f>
        <v>#NAME?</v>
      </c>
      <c r="L38" s="12" t="e">
        <f ca="1">+_xludf.MAXIFS($O38:$YU38,$O$3:$YU$3,L$3)</f>
        <v>#NAME?</v>
      </c>
      <c r="M38" s="9"/>
      <c r="P38" s="8"/>
      <c r="Q38" s="10"/>
      <c r="R38" s="10"/>
      <c r="S38" s="10"/>
      <c r="T38" s="10"/>
      <c r="W38" s="8"/>
      <c r="X38" s="10"/>
      <c r="Y38" s="10"/>
      <c r="Z38" s="10"/>
      <c r="AA38" s="10"/>
      <c r="AD38" s="8"/>
      <c r="AE38" s="10"/>
      <c r="AF38" s="10"/>
      <c r="AG38" s="10"/>
      <c r="AH38" s="10"/>
      <c r="AR38" s="8"/>
      <c r="AS38" s="10"/>
      <c r="AT38" s="10">
        <v>0.5</v>
      </c>
      <c r="AU38" s="10"/>
      <c r="AV38" s="10">
        <v>0.5</v>
      </c>
      <c r="AZ38" s="8"/>
      <c r="BA38" s="10"/>
      <c r="BB38" s="10">
        <v>0.5</v>
      </c>
      <c r="BC38" s="10"/>
      <c r="BD38" s="10">
        <v>0.5</v>
      </c>
      <c r="BH38" s="8"/>
      <c r="BI38" s="10"/>
      <c r="BJ38" s="10">
        <v>0.5</v>
      </c>
      <c r="BK38" s="10"/>
      <c r="BL38" s="10">
        <v>0.5</v>
      </c>
    </row>
    <row r="39" spans="2:84" ht="15.75" customHeight="1" x14ac:dyDescent="0.25"/>
    <row r="40" spans="2:84" ht="15.75" customHeight="1" x14ac:dyDescent="0.25">
      <c r="B40" s="8" t="s">
        <v>16</v>
      </c>
      <c r="C40" s="8"/>
      <c r="D40" s="8" t="s">
        <v>51</v>
      </c>
      <c r="E40" s="17">
        <v>45717</v>
      </c>
      <c r="F40" s="9">
        <v>6</v>
      </c>
      <c r="H40" s="10">
        <f>+SUM(H41:H51)</f>
        <v>0.89999999999999991</v>
      </c>
      <c r="J40" s="11">
        <f>+SUM(J41:J51)</f>
        <v>0</v>
      </c>
      <c r="K40" s="12" t="e">
        <f ca="1">+SUMPRODUCT(H41:H51,K41:K51)</f>
        <v>#NAME?</v>
      </c>
      <c r="L40" s="12" t="e">
        <f ca="1">+SUMPRODUCT(H41:H51,L41:L51)</f>
        <v>#NAME?</v>
      </c>
      <c r="M40" s="9"/>
      <c r="P40" s="11">
        <f>+SUM(P41:P51)</f>
        <v>0</v>
      </c>
      <c r="W40" s="11">
        <f>+SUM(W41:W51)</f>
        <v>0</v>
      </c>
      <c r="AD40" s="11">
        <f>+SUM(AD41:AD51)</f>
        <v>0</v>
      </c>
      <c r="AK40" s="11">
        <f>+SUM(AK41:AK51)</f>
        <v>0</v>
      </c>
      <c r="AR40" s="11">
        <f>+SUM(AR41:AR51)</f>
        <v>0</v>
      </c>
      <c r="AZ40" s="11">
        <f>+SUM(AZ41:AZ51)</f>
        <v>0</v>
      </c>
      <c r="BH40" s="11">
        <f>+SUM(BH41:BH51)</f>
        <v>0</v>
      </c>
      <c r="CF40">
        <f>+SUM(CF41:CF51)</f>
        <v>0</v>
      </c>
    </row>
    <row r="41" spans="2:84" ht="15.75" customHeight="1" outlineLevel="1" x14ac:dyDescent="0.25">
      <c r="B41" s="8" t="s">
        <v>28</v>
      </c>
      <c r="C41" s="8"/>
      <c r="D41" s="8" t="s">
        <v>51</v>
      </c>
      <c r="F41" s="9"/>
      <c r="G41" s="8" t="s">
        <v>90</v>
      </c>
      <c r="H41" s="10">
        <v>0.1</v>
      </c>
      <c r="J41" s="9">
        <f>+SUMIF($O$3:$ZO$3,J$3,$O41:$ZO41)</f>
        <v>0</v>
      </c>
      <c r="K41" s="12" t="e">
        <f ca="1">+_xludf.MAXIFS($O41:$YU41,$O$3:$YU$3,K$3)</f>
        <v>#NAME?</v>
      </c>
      <c r="L41" s="12" t="e">
        <f ca="1">+_xludf.MAXIFS($O41:$YU41,$O$3:$YU$3,L$3)</f>
        <v>#NAME?</v>
      </c>
      <c r="M41" s="9"/>
      <c r="P41" s="8"/>
      <c r="Q41" s="10"/>
      <c r="R41" s="10">
        <v>0.5</v>
      </c>
      <c r="S41" s="10"/>
      <c r="T41" s="10">
        <v>0.5</v>
      </c>
      <c r="W41" s="8"/>
      <c r="X41" s="10"/>
      <c r="Y41" s="10">
        <v>0.8</v>
      </c>
      <c r="Z41" s="10"/>
      <c r="AA41" s="10">
        <v>0.8</v>
      </c>
      <c r="AD41" s="8"/>
      <c r="AE41" s="10"/>
      <c r="AF41" s="10">
        <v>0.8</v>
      </c>
      <c r="AG41" s="10"/>
      <c r="AH41" s="10">
        <v>0.8</v>
      </c>
      <c r="AK41" s="8"/>
      <c r="AL41" s="10"/>
      <c r="AM41" s="10">
        <v>0.8</v>
      </c>
      <c r="AN41" s="10"/>
      <c r="AO41" s="10">
        <v>0.8</v>
      </c>
      <c r="AR41" s="8"/>
      <c r="AS41" s="10"/>
      <c r="AT41" s="10">
        <v>1</v>
      </c>
      <c r="AU41" s="10"/>
      <c r="AV41" s="10">
        <v>1</v>
      </c>
      <c r="AZ41" s="8"/>
      <c r="BA41" s="10"/>
      <c r="BB41" s="10">
        <v>1</v>
      </c>
      <c r="BC41" s="10"/>
      <c r="BD41" s="10">
        <v>1</v>
      </c>
      <c r="BH41" s="8"/>
      <c r="BI41" s="10"/>
      <c r="BJ41" s="10">
        <v>1</v>
      </c>
      <c r="BK41" s="10"/>
      <c r="BL41" s="10">
        <v>1</v>
      </c>
    </row>
    <row r="42" spans="2:84" ht="15.75" customHeight="1" outlineLevel="1" x14ac:dyDescent="0.25">
      <c r="B42" s="8" t="s">
        <v>28</v>
      </c>
      <c r="C42" s="8"/>
      <c r="D42" s="8" t="s">
        <v>51</v>
      </c>
      <c r="F42" s="9"/>
      <c r="G42" s="8" t="s">
        <v>92</v>
      </c>
      <c r="H42" s="10">
        <v>0.05</v>
      </c>
      <c r="J42" s="9">
        <f>+SUMIF($O$3:$ZO$3,J$3,$O42:$ZO42)</f>
        <v>0</v>
      </c>
      <c r="K42" s="12" t="e">
        <f ca="1">+_xludf.MAXIFS($O42:$YU42,$O$3:$YU$3,K$3)</f>
        <v>#NAME?</v>
      </c>
      <c r="L42" s="12" t="e">
        <f ca="1">+_xludf.MAXIFS($O42:$YU42,$O$3:$YU$3,L$3)</f>
        <v>#NAME?</v>
      </c>
      <c r="M42" s="9"/>
      <c r="Q42" s="10"/>
      <c r="R42" s="10">
        <v>0.5</v>
      </c>
      <c r="S42" s="10"/>
      <c r="T42" s="10">
        <v>0.5</v>
      </c>
      <c r="X42" s="10"/>
      <c r="Y42" s="10">
        <v>0.8</v>
      </c>
      <c r="Z42" s="10"/>
      <c r="AA42" s="10">
        <v>0.8</v>
      </c>
      <c r="AE42" s="10"/>
      <c r="AF42" s="10">
        <v>0.8</v>
      </c>
      <c r="AG42" s="10"/>
      <c r="AH42" s="10">
        <v>0.8</v>
      </c>
      <c r="AL42" s="10"/>
      <c r="AM42" s="10">
        <v>0.8</v>
      </c>
      <c r="AN42" s="10"/>
      <c r="AO42" s="10">
        <v>0.8</v>
      </c>
      <c r="AS42" s="10"/>
      <c r="AT42" s="10">
        <v>1</v>
      </c>
      <c r="AU42" s="10"/>
      <c r="AV42" s="10">
        <v>1</v>
      </c>
      <c r="BA42" s="10"/>
      <c r="BB42" s="10">
        <v>1</v>
      </c>
      <c r="BC42" s="10"/>
      <c r="BD42" s="10">
        <v>1</v>
      </c>
      <c r="BI42" s="10"/>
      <c r="BJ42" s="10">
        <v>1</v>
      </c>
      <c r="BK42" s="10"/>
      <c r="BL42" s="10">
        <v>1</v>
      </c>
    </row>
    <row r="43" spans="2:84" ht="15.75" customHeight="1" outlineLevel="1" x14ac:dyDescent="0.25">
      <c r="B43" s="8" t="s">
        <v>28</v>
      </c>
      <c r="C43" s="8"/>
      <c r="D43" s="8" t="s">
        <v>51</v>
      </c>
      <c r="F43" s="9"/>
      <c r="G43" s="8" t="s">
        <v>93</v>
      </c>
      <c r="H43" s="10">
        <v>0.05</v>
      </c>
      <c r="J43" s="9">
        <f>+SUMIF($O$3:$ZO$3,J$3,$O43:$ZO43)</f>
        <v>0</v>
      </c>
      <c r="K43" s="12" t="e">
        <f ca="1">+_xludf.MAXIFS($O43:$YU43,$O$3:$YU$3,K$3)</f>
        <v>#NAME?</v>
      </c>
      <c r="L43" s="12" t="e">
        <f ca="1">+_xludf.MAXIFS($O43:$YU43,$O$3:$YU$3,L$3)</f>
        <v>#NAME?</v>
      </c>
      <c r="M43" s="9"/>
      <c r="Q43" s="10"/>
      <c r="R43" s="10"/>
      <c r="S43" s="10"/>
      <c r="T43" s="10"/>
      <c r="X43" s="10"/>
      <c r="Y43" s="10">
        <v>0.5</v>
      </c>
      <c r="Z43" s="10"/>
      <c r="AA43" s="10">
        <v>0.5</v>
      </c>
      <c r="AE43" s="10"/>
      <c r="AF43" s="10">
        <v>0.8</v>
      </c>
      <c r="AG43" s="10"/>
      <c r="AH43" s="10">
        <v>0.8</v>
      </c>
      <c r="AL43" s="10"/>
      <c r="AM43" s="10">
        <v>0.8</v>
      </c>
      <c r="AN43" s="10"/>
      <c r="AO43" s="10">
        <v>0.8</v>
      </c>
      <c r="AS43" s="10"/>
      <c r="AT43" s="10">
        <v>0.8</v>
      </c>
      <c r="AU43" s="10"/>
      <c r="AV43" s="10">
        <v>0.8</v>
      </c>
      <c r="BA43" s="10"/>
      <c r="BB43" s="10">
        <v>1</v>
      </c>
      <c r="BC43" s="10"/>
      <c r="BD43" s="10">
        <v>1</v>
      </c>
      <c r="BI43" s="10"/>
      <c r="BJ43" s="10">
        <v>1</v>
      </c>
      <c r="BK43" s="10"/>
      <c r="BL43" s="10">
        <v>1</v>
      </c>
    </row>
    <row r="44" spans="2:84" ht="15.75" customHeight="1" outlineLevel="1" x14ac:dyDescent="0.25">
      <c r="B44" s="8" t="s">
        <v>28</v>
      </c>
      <c r="C44" s="8"/>
      <c r="D44" s="8" t="s">
        <v>51</v>
      </c>
      <c r="F44" s="9"/>
      <c r="G44" s="8" t="s">
        <v>94</v>
      </c>
      <c r="H44" s="10">
        <v>0.05</v>
      </c>
      <c r="J44" s="9">
        <f>+SUMIF($O$3:$ZO$3,J$3,$O44:$ZO44)</f>
        <v>0</v>
      </c>
      <c r="K44" s="12" t="e">
        <f ca="1">+_xludf.MAXIFS($O44:$YU44,$O$3:$YU$3,K$3)</f>
        <v>#NAME?</v>
      </c>
      <c r="L44" s="12" t="e">
        <f ca="1">+_xludf.MAXIFS($O44:$YU44,$O$3:$YU$3,L$3)</f>
        <v>#NAME?</v>
      </c>
      <c r="M44" s="9"/>
      <c r="Q44" s="10"/>
      <c r="R44" s="10"/>
      <c r="S44" s="10"/>
      <c r="T44" s="10"/>
      <c r="X44" s="10"/>
      <c r="Y44" s="10">
        <v>0.5</v>
      </c>
      <c r="Z44" s="10"/>
      <c r="AA44" s="10">
        <v>0.5</v>
      </c>
      <c r="AE44" s="10"/>
      <c r="AF44" s="10">
        <v>0.8</v>
      </c>
      <c r="AG44" s="10"/>
      <c r="AH44" s="10">
        <v>0.8</v>
      </c>
      <c r="AL44" s="10"/>
      <c r="AM44" s="10">
        <v>0.8</v>
      </c>
      <c r="AN44" s="10"/>
      <c r="AO44" s="10">
        <v>0.8</v>
      </c>
      <c r="AS44" s="10"/>
      <c r="AT44" s="10">
        <v>0.8</v>
      </c>
      <c r="AU44" s="10"/>
      <c r="AV44" s="10">
        <v>0.8</v>
      </c>
      <c r="BA44" s="10"/>
      <c r="BB44" s="10">
        <v>1</v>
      </c>
      <c r="BC44" s="10"/>
      <c r="BD44" s="10">
        <v>1</v>
      </c>
      <c r="BI44" s="10"/>
      <c r="BJ44" s="10">
        <v>1</v>
      </c>
      <c r="BK44" s="10"/>
      <c r="BL44" s="10">
        <v>1</v>
      </c>
    </row>
    <row r="45" spans="2:84" ht="15.75" customHeight="1" outlineLevel="1" x14ac:dyDescent="0.25">
      <c r="B45" s="8" t="s">
        <v>28</v>
      </c>
      <c r="C45" s="8"/>
      <c r="D45" s="8" t="s">
        <v>51</v>
      </c>
      <c r="F45" s="9"/>
      <c r="G45" s="8" t="s">
        <v>95</v>
      </c>
      <c r="H45" s="10">
        <v>0.05</v>
      </c>
      <c r="J45" s="9">
        <f>+SUMIF($O$3:$ZO$3,J$3,$O45:$ZO45)</f>
        <v>0</v>
      </c>
      <c r="K45" s="12" t="e">
        <f ca="1">+_xludf.MAXIFS($O45:$YU45,$O$3:$YU$3,K$3)</f>
        <v>#NAME?</v>
      </c>
      <c r="L45" s="12" t="e">
        <f ca="1">+_xludf.MAXIFS($O45:$YU45,$O$3:$YU$3,L$3)</f>
        <v>#NAME?</v>
      </c>
      <c r="M45" s="9"/>
      <c r="Q45" s="10"/>
      <c r="R45" s="10"/>
      <c r="S45" s="10"/>
      <c r="T45" s="10"/>
      <c r="X45" s="10"/>
      <c r="Y45" s="10"/>
      <c r="Z45" s="10"/>
      <c r="AA45" s="10"/>
      <c r="AE45" s="10"/>
      <c r="AF45" s="10">
        <v>0.5</v>
      </c>
      <c r="AG45" s="10"/>
      <c r="AH45" s="10">
        <v>0.5</v>
      </c>
      <c r="AL45" s="10"/>
      <c r="AM45" s="10">
        <v>0.8</v>
      </c>
      <c r="AN45" s="10"/>
      <c r="AO45" s="10">
        <v>0.8</v>
      </c>
      <c r="AS45" s="10"/>
      <c r="AT45" s="10">
        <v>0.8</v>
      </c>
      <c r="AU45" s="10"/>
      <c r="AV45" s="10">
        <v>0.8</v>
      </c>
      <c r="BA45" s="10"/>
      <c r="BB45" s="10">
        <v>1</v>
      </c>
      <c r="BC45" s="10"/>
      <c r="BD45" s="10">
        <v>1</v>
      </c>
      <c r="BI45" s="10"/>
      <c r="BJ45" s="10">
        <v>1</v>
      </c>
      <c r="BK45" s="10"/>
      <c r="BL45" s="10">
        <v>1</v>
      </c>
    </row>
    <row r="46" spans="2:84" ht="15.75" customHeight="1" outlineLevel="1" x14ac:dyDescent="0.25">
      <c r="B46" s="8" t="s">
        <v>28</v>
      </c>
      <c r="C46" s="8"/>
      <c r="D46" s="8" t="s">
        <v>51</v>
      </c>
      <c r="F46" s="9"/>
      <c r="G46" s="8" t="s">
        <v>96</v>
      </c>
      <c r="H46" s="10">
        <v>0.1</v>
      </c>
      <c r="J46" s="9">
        <f>+SUMIF($O$3:$ZO$3,J$3,$O46:$ZO46)</f>
        <v>0</v>
      </c>
      <c r="K46" s="12" t="e">
        <f ca="1">+_xludf.MAXIFS($O46:$YU46,$O$3:$YU$3,K$3)</f>
        <v>#NAME?</v>
      </c>
      <c r="L46" s="12" t="e">
        <f ca="1">+_xludf.MAXIFS($O46:$YU46,$O$3:$YU$3,L$3)</f>
        <v>#NAME?</v>
      </c>
      <c r="M46" s="9"/>
      <c r="P46" s="8"/>
      <c r="Q46" s="10"/>
      <c r="R46" s="10"/>
      <c r="S46" s="10"/>
      <c r="T46" s="10"/>
      <c r="W46" s="8"/>
      <c r="X46" s="10"/>
      <c r="Y46" s="10"/>
      <c r="Z46" s="10"/>
      <c r="AA46" s="10"/>
      <c r="AD46" s="8"/>
      <c r="AE46" s="10"/>
      <c r="AF46" s="10">
        <v>0.5</v>
      </c>
      <c r="AG46" s="10"/>
      <c r="AH46" s="10">
        <v>0.5</v>
      </c>
      <c r="AK46" s="8"/>
      <c r="AL46" s="10"/>
      <c r="AM46" s="10">
        <v>0.8</v>
      </c>
      <c r="AN46" s="10"/>
      <c r="AO46" s="10">
        <v>0.8</v>
      </c>
      <c r="AR46" s="8"/>
      <c r="AS46" s="10"/>
      <c r="AT46" s="10">
        <v>0.8</v>
      </c>
      <c r="AU46" s="10"/>
      <c r="AV46" s="10">
        <v>0.8</v>
      </c>
      <c r="AZ46" s="8"/>
      <c r="BA46" s="10"/>
      <c r="BB46" s="10">
        <v>1</v>
      </c>
      <c r="BC46" s="10"/>
      <c r="BD46" s="10">
        <v>1</v>
      </c>
      <c r="BH46" s="8"/>
      <c r="BI46" s="10"/>
      <c r="BJ46" s="10">
        <v>1</v>
      </c>
      <c r="BK46" s="10"/>
      <c r="BL46" s="10">
        <v>1</v>
      </c>
    </row>
    <row r="47" spans="2:84" ht="15.75" customHeight="1" outlineLevel="1" x14ac:dyDescent="0.25">
      <c r="B47" s="8" t="s">
        <v>28</v>
      </c>
      <c r="C47" s="8"/>
      <c r="D47" s="8" t="s">
        <v>51</v>
      </c>
      <c r="F47" s="9"/>
      <c r="G47" s="8" t="s">
        <v>97</v>
      </c>
      <c r="H47" s="10">
        <v>0.1</v>
      </c>
      <c r="J47" s="9">
        <f>+SUMIF($O$3:$ZO$3,J$3,$O47:$ZO47)</f>
        <v>0</v>
      </c>
      <c r="K47" s="12" t="e">
        <f ca="1">+_xludf.MAXIFS($O47:$YU47,$O$3:$YU$3,K$3)</f>
        <v>#NAME?</v>
      </c>
      <c r="L47" s="12" t="e">
        <f ca="1">+_xludf.MAXIFS($O47:$YU47,$O$3:$YU$3,L$3)</f>
        <v>#NAME?</v>
      </c>
      <c r="M47" s="9"/>
      <c r="Q47" s="10"/>
      <c r="R47" s="10"/>
      <c r="S47" s="10"/>
      <c r="T47" s="10"/>
      <c r="X47" s="10"/>
      <c r="Y47" s="10"/>
      <c r="Z47" s="10"/>
      <c r="AA47" s="10"/>
      <c r="AE47" s="10"/>
      <c r="AF47" s="10">
        <v>0.5</v>
      </c>
      <c r="AG47" s="10"/>
      <c r="AH47" s="10">
        <v>0.5</v>
      </c>
      <c r="AL47" s="10"/>
      <c r="AM47" s="10">
        <v>0.8</v>
      </c>
      <c r="AN47" s="10"/>
      <c r="AO47" s="10">
        <v>0.8</v>
      </c>
      <c r="AS47" s="10"/>
      <c r="AT47" s="10">
        <v>0.8</v>
      </c>
      <c r="AU47" s="10"/>
      <c r="AV47" s="10">
        <v>0.8</v>
      </c>
      <c r="BA47" s="10"/>
      <c r="BB47" s="10">
        <v>1</v>
      </c>
      <c r="BC47" s="10"/>
      <c r="BD47" s="10">
        <v>1</v>
      </c>
      <c r="BI47" s="10"/>
      <c r="BJ47" s="10">
        <v>1</v>
      </c>
      <c r="BK47" s="10"/>
      <c r="BL47" s="10">
        <v>1</v>
      </c>
    </row>
    <row r="48" spans="2:84" ht="15.75" customHeight="1" outlineLevel="1" x14ac:dyDescent="0.25">
      <c r="B48" s="8" t="s">
        <v>28</v>
      </c>
      <c r="C48" s="8"/>
      <c r="D48" s="8" t="s">
        <v>51</v>
      </c>
      <c r="F48" s="9"/>
      <c r="G48" s="8" t="s">
        <v>98</v>
      </c>
      <c r="H48" s="10">
        <v>0.1</v>
      </c>
      <c r="J48" s="9">
        <f>+SUMIF($O$3:$ZO$3,J$3,$O48:$ZO48)</f>
        <v>0</v>
      </c>
      <c r="K48" s="12" t="e">
        <f ca="1">+_xludf.MAXIFS($O48:$YU48,$O$3:$YU$3,K$3)</f>
        <v>#NAME?</v>
      </c>
      <c r="L48" s="12" t="e">
        <f ca="1">+_xludf.MAXIFS($O48:$YU48,$O$3:$YU$3,L$3)</f>
        <v>#NAME?</v>
      </c>
      <c r="M48" s="9"/>
      <c r="Q48" s="10"/>
      <c r="R48" s="10"/>
      <c r="S48" s="10"/>
      <c r="T48" s="10"/>
      <c r="X48" s="10"/>
      <c r="Y48" s="10"/>
      <c r="Z48" s="10"/>
      <c r="AA48" s="10"/>
      <c r="AE48" s="10"/>
      <c r="AF48" s="10"/>
      <c r="AG48" s="10"/>
      <c r="AH48" s="10"/>
      <c r="AL48" s="10"/>
      <c r="AM48" s="10">
        <v>0.5</v>
      </c>
      <c r="AN48" s="10"/>
      <c r="AO48" s="10">
        <v>0.5</v>
      </c>
      <c r="AS48" s="10"/>
      <c r="AT48" s="10">
        <v>0.8</v>
      </c>
      <c r="AU48" s="10"/>
      <c r="AV48" s="10">
        <v>0.8</v>
      </c>
      <c r="BA48" s="10"/>
      <c r="BB48" s="10">
        <v>0.8</v>
      </c>
      <c r="BC48" s="10"/>
      <c r="BD48" s="10">
        <v>0.8</v>
      </c>
      <c r="BI48" s="10"/>
      <c r="BJ48" s="10">
        <v>1</v>
      </c>
      <c r="BK48" s="10"/>
      <c r="BL48" s="10">
        <v>1</v>
      </c>
    </row>
    <row r="49" spans="2:84" ht="15.75" customHeight="1" outlineLevel="1" x14ac:dyDescent="0.25">
      <c r="B49" s="8" t="s">
        <v>28</v>
      </c>
      <c r="C49" s="8"/>
      <c r="D49" s="8" t="s">
        <v>51</v>
      </c>
      <c r="F49" s="9"/>
      <c r="G49" s="8" t="s">
        <v>99</v>
      </c>
      <c r="H49" s="10">
        <v>0.1</v>
      </c>
      <c r="J49" s="9">
        <f>+SUMIF($O$3:$ZO$3,J$3,$O49:$ZO49)</f>
        <v>0</v>
      </c>
      <c r="K49" s="12" t="e">
        <f ca="1">+_xludf.MAXIFS($O49:$YU49,$O$3:$YU$3,K$3)</f>
        <v>#NAME?</v>
      </c>
      <c r="L49" s="12" t="e">
        <f ca="1">+_xludf.MAXIFS($O49:$YU49,$O$3:$YU$3,L$3)</f>
        <v>#NAME?</v>
      </c>
      <c r="M49" s="9"/>
      <c r="Q49" s="10"/>
      <c r="R49" s="10"/>
      <c r="S49" s="10"/>
      <c r="T49" s="10"/>
      <c r="X49" s="10"/>
      <c r="Y49" s="10"/>
      <c r="Z49" s="10"/>
      <c r="AA49" s="10"/>
      <c r="AE49" s="10"/>
      <c r="AF49" s="10"/>
      <c r="AG49" s="10"/>
      <c r="AH49" s="10"/>
      <c r="AL49" s="10"/>
      <c r="AM49" s="10">
        <v>0.5</v>
      </c>
      <c r="AN49" s="10"/>
      <c r="AO49" s="10">
        <v>0.5</v>
      </c>
      <c r="AS49" s="10"/>
      <c r="AT49" s="10">
        <v>0.8</v>
      </c>
      <c r="AU49" s="10"/>
      <c r="AV49" s="10">
        <v>0.8</v>
      </c>
      <c r="BA49" s="10"/>
      <c r="BB49" s="10">
        <v>0.8</v>
      </c>
      <c r="BC49" s="10"/>
      <c r="BD49" s="10">
        <v>0.8</v>
      </c>
      <c r="BI49" s="10"/>
      <c r="BJ49" s="10">
        <v>1</v>
      </c>
      <c r="BK49" s="10"/>
      <c r="BL49" s="10">
        <v>1</v>
      </c>
    </row>
    <row r="50" spans="2:84" ht="15.75" customHeight="1" outlineLevel="1" x14ac:dyDescent="0.25">
      <c r="B50" s="8" t="s">
        <v>28</v>
      </c>
      <c r="C50" s="8"/>
      <c r="D50" s="8" t="s">
        <v>51</v>
      </c>
      <c r="F50" s="9"/>
      <c r="G50" s="8" t="s">
        <v>100</v>
      </c>
      <c r="H50" s="10">
        <v>0.1</v>
      </c>
      <c r="J50" s="9">
        <f>+SUMIF($O$3:$ZO$3,J$3,$O50:$ZO50)</f>
        <v>0</v>
      </c>
      <c r="K50" s="12" t="e">
        <f ca="1">+_xludf.MAXIFS($O50:$YU50,$O$3:$YU$3,K$3)</f>
        <v>#NAME?</v>
      </c>
      <c r="L50" s="12" t="e">
        <f ca="1">+_xludf.MAXIFS($O50:$YU50,$O$3:$YU$3,L$3)</f>
        <v>#NAME?</v>
      </c>
      <c r="M50" s="9"/>
      <c r="Q50" s="10"/>
      <c r="R50" s="10"/>
      <c r="S50" s="10"/>
      <c r="T50" s="10"/>
      <c r="X50" s="10"/>
      <c r="Y50" s="10"/>
      <c r="Z50" s="10"/>
      <c r="AA50" s="10"/>
      <c r="AE50" s="10"/>
      <c r="AF50" s="10"/>
      <c r="AG50" s="10"/>
      <c r="AH50" s="10"/>
      <c r="AL50" s="10"/>
      <c r="AM50" s="10"/>
      <c r="AN50" s="10"/>
      <c r="AO50" s="10"/>
      <c r="AS50" s="10"/>
      <c r="AT50" s="10">
        <v>0.5</v>
      </c>
      <c r="AU50" s="10"/>
      <c r="AV50" s="10">
        <v>0.5</v>
      </c>
      <c r="BA50" s="10"/>
      <c r="BB50" s="10">
        <v>0.8</v>
      </c>
      <c r="BC50" s="10"/>
      <c r="BD50" s="10">
        <v>0.8</v>
      </c>
      <c r="BI50" s="10"/>
      <c r="BJ50" s="10">
        <v>1</v>
      </c>
      <c r="BK50" s="10"/>
      <c r="BL50" s="10">
        <v>1</v>
      </c>
    </row>
    <row r="51" spans="2:84" ht="15.75" customHeight="1" outlineLevel="1" x14ac:dyDescent="0.25">
      <c r="B51" s="8" t="s">
        <v>28</v>
      </c>
      <c r="C51" s="8"/>
      <c r="D51" s="8" t="s">
        <v>51</v>
      </c>
      <c r="F51" s="9"/>
      <c r="G51" s="8" t="s">
        <v>91</v>
      </c>
      <c r="H51" s="10">
        <v>0.1</v>
      </c>
      <c r="J51" s="9">
        <f>+SUMIF($O$3:$ZO$3,J$3,$O51:$ZO51)</f>
        <v>0</v>
      </c>
      <c r="K51" s="12" t="e">
        <f ca="1">+_xludf.MAXIFS($O51:$YU51,$O$3:$YU$3,K$3)</f>
        <v>#NAME?</v>
      </c>
      <c r="L51" s="12" t="e">
        <f ca="1">+_xludf.MAXIFS($O51:$YU51,$O$3:$YU$3,L$3)</f>
        <v>#NAME?</v>
      </c>
      <c r="M51" s="9"/>
      <c r="Q51" s="10"/>
      <c r="R51" s="10"/>
      <c r="S51" s="10"/>
      <c r="T51" s="10"/>
      <c r="X51" s="10"/>
      <c r="Y51" s="10"/>
      <c r="Z51" s="10"/>
      <c r="AA51" s="10"/>
      <c r="AE51" s="10"/>
      <c r="AF51" s="10"/>
      <c r="AG51" s="10"/>
      <c r="AH51" s="10"/>
      <c r="AL51" s="10"/>
      <c r="AM51" s="10"/>
      <c r="AN51" s="10"/>
      <c r="AO51" s="10"/>
      <c r="AS51" s="10"/>
      <c r="AT51" s="10">
        <v>0.5</v>
      </c>
      <c r="AU51" s="10"/>
      <c r="AV51" s="10">
        <v>0.5</v>
      </c>
      <c r="BA51" s="10"/>
      <c r="BB51" s="10">
        <v>0.8</v>
      </c>
      <c r="BC51" s="10"/>
      <c r="BD51" s="10">
        <v>0.8</v>
      </c>
      <c r="BI51" s="10"/>
      <c r="BJ51" s="10">
        <v>1</v>
      </c>
      <c r="BK51" s="10"/>
      <c r="BL51" s="10">
        <v>1</v>
      </c>
    </row>
    <row r="52" spans="2:84" ht="15.75" customHeight="1" x14ac:dyDescent="0.25"/>
    <row r="53" spans="2:84" ht="15.75" customHeight="1" x14ac:dyDescent="0.25">
      <c r="B53" s="8" t="s">
        <v>16</v>
      </c>
      <c r="C53" s="8"/>
      <c r="D53" s="8" t="s">
        <v>52</v>
      </c>
      <c r="E53" s="17">
        <v>45717</v>
      </c>
      <c r="F53" s="9">
        <v>6</v>
      </c>
      <c r="H53" s="10">
        <f>+SUM(H54:H64)</f>
        <v>0.99999999999999989</v>
      </c>
      <c r="J53" s="11">
        <f>+SUM(J54:J64)</f>
        <v>0</v>
      </c>
      <c r="K53" s="12" t="e">
        <f ca="1">+SUMPRODUCT(H54:H64,K54:K64)</f>
        <v>#NAME?</v>
      </c>
      <c r="L53" s="12" t="e">
        <f ca="1">+SUMPRODUCT(H54:H64,L54:L64)</f>
        <v>#NAME?</v>
      </c>
      <c r="M53" s="9"/>
      <c r="P53" s="11">
        <f>+SUM(P54:P64)</f>
        <v>0</v>
      </c>
      <c r="W53" s="11">
        <f>+SUM(W54:W64)</f>
        <v>0</v>
      </c>
      <c r="AD53" s="11">
        <f>+SUM(AD54:AD64)</f>
        <v>0</v>
      </c>
      <c r="AK53" s="11">
        <f>+SUM(AK54:AK64)</f>
        <v>0</v>
      </c>
      <c r="AR53" s="11">
        <f>+SUM(AR54:AR64)</f>
        <v>0</v>
      </c>
      <c r="AZ53" s="11">
        <f>+SUM(AZ54:AZ64)</f>
        <v>0</v>
      </c>
      <c r="BH53" s="11">
        <f>+SUM(BH54:BH64)</f>
        <v>0</v>
      </c>
      <c r="BP53" s="11">
        <f>+SUM(BP54:BP64)</f>
        <v>0</v>
      </c>
      <c r="BX53" s="11">
        <f>+SUM(BX54:BX64)</f>
        <v>0</v>
      </c>
      <c r="CF53">
        <f>+SUM(CF54:CF64)</f>
        <v>0</v>
      </c>
    </row>
    <row r="54" spans="2:84" ht="15.75" customHeight="1" outlineLevel="1" x14ac:dyDescent="0.25">
      <c r="B54" s="8" t="s">
        <v>28</v>
      </c>
      <c r="C54" s="8"/>
      <c r="D54" s="8" t="s">
        <v>52</v>
      </c>
      <c r="F54" s="9"/>
      <c r="G54" s="8" t="s">
        <v>90</v>
      </c>
      <c r="H54" s="10">
        <v>0.1</v>
      </c>
      <c r="J54" s="9">
        <f>+SUMIF($O$3:$ZO$3,J$3,$O54:$ZO54)</f>
        <v>0</v>
      </c>
      <c r="K54" s="12" t="e">
        <f ca="1">+_xludf.MAXIFS($O54:$YU54,$O$3:$YU$3,K$3)</f>
        <v>#NAME?</v>
      </c>
      <c r="L54" s="12" t="e">
        <f ca="1">+_xludf.MAXIFS($O54:$YU54,$O$3:$YU$3,L$3)</f>
        <v>#NAME?</v>
      </c>
      <c r="M54" s="9"/>
      <c r="P54" s="8"/>
      <c r="Q54" s="10"/>
      <c r="R54" s="10">
        <v>0.8</v>
      </c>
      <c r="S54" s="10"/>
      <c r="T54" s="10">
        <v>0.8</v>
      </c>
      <c r="W54" s="8"/>
      <c r="X54" s="10"/>
      <c r="Y54" s="10">
        <v>0.8</v>
      </c>
      <c r="Z54" s="10"/>
      <c r="AA54" s="10">
        <v>0.8</v>
      </c>
      <c r="AD54" s="8"/>
      <c r="AE54" s="10"/>
      <c r="AF54" s="10">
        <v>1</v>
      </c>
      <c r="AG54" s="10"/>
      <c r="AH54" s="10">
        <v>1</v>
      </c>
      <c r="AK54" s="8"/>
      <c r="AL54" s="10"/>
      <c r="AM54" s="10">
        <v>1</v>
      </c>
      <c r="AN54" s="10"/>
      <c r="AO54" s="10">
        <v>1</v>
      </c>
      <c r="AR54" s="8"/>
      <c r="AS54" s="10"/>
      <c r="AT54" s="10">
        <v>1</v>
      </c>
      <c r="AU54" s="10"/>
      <c r="AV54" s="10">
        <v>1</v>
      </c>
      <c r="AZ54" s="8"/>
      <c r="BA54" s="10"/>
      <c r="BB54" s="10">
        <v>1</v>
      </c>
      <c r="BC54" s="10"/>
      <c r="BD54" s="10">
        <v>1</v>
      </c>
      <c r="BH54" s="8"/>
      <c r="BI54" s="10"/>
      <c r="BJ54" s="10">
        <v>1</v>
      </c>
      <c r="BK54" s="10"/>
      <c r="BL54" s="10">
        <v>1</v>
      </c>
      <c r="BP54" s="8"/>
      <c r="BQ54" s="10"/>
      <c r="BR54" s="10">
        <v>1</v>
      </c>
      <c r="BS54" s="10"/>
      <c r="BT54" s="10">
        <v>1</v>
      </c>
      <c r="BX54" s="8"/>
      <c r="BY54" s="10"/>
      <c r="BZ54" s="10">
        <v>1</v>
      </c>
      <c r="CA54" s="10"/>
      <c r="CB54" s="10">
        <v>1</v>
      </c>
    </row>
    <row r="55" spans="2:84" ht="15.75" customHeight="1" outlineLevel="1" x14ac:dyDescent="0.25">
      <c r="B55" s="8" t="s">
        <v>28</v>
      </c>
      <c r="C55" s="8"/>
      <c r="D55" s="8" t="s">
        <v>52</v>
      </c>
      <c r="F55" s="9"/>
      <c r="G55" s="8" t="s">
        <v>92</v>
      </c>
      <c r="H55" s="10">
        <v>0.1</v>
      </c>
      <c r="J55" s="9">
        <f>+SUMIF($O$3:$ZO$3,J$3,$O55:$ZO55)</f>
        <v>0</v>
      </c>
      <c r="K55" s="12" t="e">
        <f ca="1">+_xludf.MAXIFS($O55:$YU55,$O$3:$YU$3,K$3)</f>
        <v>#NAME?</v>
      </c>
      <c r="L55" s="12" t="e">
        <f ca="1">+_xludf.MAXIFS($O55:$YU55,$O$3:$YU$3,L$3)</f>
        <v>#NAME?</v>
      </c>
      <c r="M55" s="9"/>
      <c r="Q55" s="10"/>
      <c r="R55" s="10"/>
      <c r="S55" s="10"/>
      <c r="T55" s="10"/>
      <c r="X55" s="10"/>
      <c r="Y55" s="10">
        <v>0.8</v>
      </c>
      <c r="Z55" s="10"/>
      <c r="AA55" s="10">
        <v>0.8</v>
      </c>
      <c r="AE55" s="10"/>
      <c r="AF55" s="10">
        <v>0.8</v>
      </c>
      <c r="AG55" s="10"/>
      <c r="AH55" s="10">
        <v>0.8</v>
      </c>
      <c r="AL55" s="10"/>
      <c r="AM55" s="10">
        <v>1</v>
      </c>
      <c r="AN55" s="10"/>
      <c r="AO55" s="10">
        <v>1</v>
      </c>
      <c r="AS55" s="10"/>
      <c r="AT55" s="10">
        <v>1</v>
      </c>
      <c r="AU55" s="10"/>
      <c r="AV55" s="10">
        <v>1</v>
      </c>
      <c r="BA55" s="10"/>
      <c r="BB55" s="10">
        <v>1</v>
      </c>
      <c r="BC55" s="10"/>
      <c r="BD55" s="10">
        <v>1</v>
      </c>
      <c r="BI55" s="10"/>
      <c r="BJ55" s="10">
        <v>1</v>
      </c>
      <c r="BK55" s="10"/>
      <c r="BL55" s="10">
        <v>1</v>
      </c>
      <c r="BQ55" s="10"/>
      <c r="BR55" s="10">
        <v>1</v>
      </c>
      <c r="BS55" s="10"/>
      <c r="BT55" s="10">
        <v>1</v>
      </c>
      <c r="BY55" s="10"/>
      <c r="BZ55" s="10">
        <v>1</v>
      </c>
      <c r="CA55" s="10"/>
      <c r="CB55" s="10">
        <v>1</v>
      </c>
    </row>
    <row r="56" spans="2:84" ht="15.75" customHeight="1" outlineLevel="1" x14ac:dyDescent="0.25">
      <c r="B56" s="8" t="s">
        <v>28</v>
      </c>
      <c r="C56" s="8"/>
      <c r="D56" s="8" t="s">
        <v>52</v>
      </c>
      <c r="F56" s="9"/>
      <c r="G56" s="8" t="s">
        <v>93</v>
      </c>
      <c r="H56" s="10">
        <v>0.1</v>
      </c>
      <c r="J56" s="9">
        <f>+SUMIF($O$3:$ZO$3,J$3,$O56:$ZO56)</f>
        <v>0</v>
      </c>
      <c r="K56" s="12" t="e">
        <f ca="1">+_xludf.MAXIFS($O56:$YU56,$O$3:$YU$3,K$3)</f>
        <v>#NAME?</v>
      </c>
      <c r="L56" s="12" t="e">
        <f ca="1">+_xludf.MAXIFS($O56:$YU56,$O$3:$YU$3,L$3)</f>
        <v>#NAME?</v>
      </c>
      <c r="M56" s="9"/>
      <c r="Q56" s="10"/>
      <c r="R56" s="10"/>
      <c r="S56" s="10"/>
      <c r="T56" s="10"/>
      <c r="X56" s="10"/>
      <c r="Y56" s="10"/>
      <c r="Z56" s="10"/>
      <c r="AA56" s="10"/>
      <c r="AE56" s="10"/>
      <c r="AF56" s="10"/>
      <c r="AG56" s="10"/>
      <c r="AH56" s="10"/>
      <c r="AL56" s="10"/>
      <c r="AM56" s="10"/>
      <c r="AN56" s="10"/>
      <c r="AO56" s="10"/>
      <c r="AS56" s="10"/>
      <c r="AT56" s="10">
        <v>0.8</v>
      </c>
      <c r="AU56" s="10"/>
      <c r="AV56" s="10">
        <v>0.8</v>
      </c>
      <c r="BA56" s="10"/>
      <c r="BB56" s="10">
        <v>1</v>
      </c>
      <c r="BC56" s="10"/>
      <c r="BD56" s="10">
        <v>1</v>
      </c>
      <c r="BI56" s="10"/>
      <c r="BJ56" s="10">
        <v>1</v>
      </c>
      <c r="BK56" s="10"/>
      <c r="BL56" s="10">
        <v>1</v>
      </c>
      <c r="BQ56" s="10"/>
      <c r="BR56" s="10">
        <v>1</v>
      </c>
      <c r="BS56" s="10"/>
      <c r="BT56" s="10">
        <v>1</v>
      </c>
      <c r="BY56" s="10"/>
      <c r="BZ56" s="10">
        <v>1</v>
      </c>
      <c r="CA56" s="10"/>
      <c r="CB56" s="10">
        <v>1</v>
      </c>
    </row>
    <row r="57" spans="2:84" ht="15.75" customHeight="1" outlineLevel="1" x14ac:dyDescent="0.25">
      <c r="B57" s="8" t="s">
        <v>28</v>
      </c>
      <c r="C57" s="8"/>
      <c r="D57" s="8" t="s">
        <v>52</v>
      </c>
      <c r="F57" s="9"/>
      <c r="G57" s="8" t="s">
        <v>94</v>
      </c>
      <c r="H57" s="10">
        <v>0.05</v>
      </c>
      <c r="J57" s="9">
        <f>+SUMIF($O$3:$ZO$3,J$3,$O57:$ZO57)</f>
        <v>0</v>
      </c>
      <c r="K57" s="12" t="e">
        <f ca="1">+_xludf.MAXIFS($O57:$YU57,$O$3:$YU$3,K$3)</f>
        <v>#NAME?</v>
      </c>
      <c r="L57" s="12" t="e">
        <f ca="1">+_xludf.MAXIFS($O57:$YU57,$O$3:$YU$3,L$3)</f>
        <v>#NAME?</v>
      </c>
      <c r="M57" s="9"/>
      <c r="Q57" s="10"/>
      <c r="R57" s="10"/>
      <c r="S57" s="10"/>
      <c r="T57" s="10"/>
      <c r="X57" s="10"/>
      <c r="Y57" s="10"/>
      <c r="Z57" s="10"/>
      <c r="AA57" s="10"/>
      <c r="AE57" s="10"/>
      <c r="AF57" s="10"/>
      <c r="AG57" s="10"/>
      <c r="AH57" s="10"/>
      <c r="AL57" s="10"/>
      <c r="AM57" s="10"/>
      <c r="AN57" s="10"/>
      <c r="AO57" s="10"/>
      <c r="AS57" s="10"/>
      <c r="AT57" s="10"/>
      <c r="AU57" s="10"/>
      <c r="AV57" s="10"/>
      <c r="BA57" s="10"/>
      <c r="BB57" s="10">
        <v>0.8</v>
      </c>
      <c r="BC57" s="10"/>
      <c r="BD57" s="10">
        <v>0.8</v>
      </c>
      <c r="BI57" s="10"/>
      <c r="BJ57" s="10">
        <v>1</v>
      </c>
      <c r="BK57" s="10"/>
      <c r="BL57" s="10">
        <v>1</v>
      </c>
      <c r="BQ57" s="10"/>
      <c r="BR57" s="10">
        <v>1</v>
      </c>
      <c r="BS57" s="10"/>
      <c r="BT57" s="10">
        <v>1</v>
      </c>
      <c r="BY57" s="10"/>
      <c r="BZ57" s="10">
        <v>1</v>
      </c>
      <c r="CA57" s="10"/>
      <c r="CB57" s="10">
        <v>1</v>
      </c>
    </row>
    <row r="58" spans="2:84" ht="15.75" customHeight="1" outlineLevel="1" x14ac:dyDescent="0.25">
      <c r="B58" s="8" t="s">
        <v>28</v>
      </c>
      <c r="C58" s="8"/>
      <c r="D58" s="8" t="s">
        <v>52</v>
      </c>
      <c r="F58" s="9"/>
      <c r="G58" s="8" t="s">
        <v>95</v>
      </c>
      <c r="H58" s="10">
        <v>0.05</v>
      </c>
      <c r="J58" s="9">
        <f>+SUMIF($O$3:$ZO$3,J$3,$O58:$ZO58)</f>
        <v>0</v>
      </c>
      <c r="K58" s="12" t="e">
        <f ca="1">+_xludf.MAXIFS($O58:$YU58,$O$3:$YU$3,K$3)</f>
        <v>#NAME?</v>
      </c>
      <c r="L58" s="12" t="e">
        <f ca="1">+_xludf.MAXIFS($O58:$YU58,$O$3:$YU$3,L$3)</f>
        <v>#NAME?</v>
      </c>
      <c r="M58" s="9"/>
      <c r="Q58" s="10"/>
      <c r="R58" s="10"/>
      <c r="S58" s="10"/>
      <c r="T58" s="10"/>
      <c r="X58" s="10"/>
      <c r="Y58" s="10"/>
      <c r="Z58" s="10"/>
      <c r="AA58" s="10"/>
      <c r="AE58" s="10"/>
      <c r="AF58" s="10"/>
      <c r="AG58" s="10"/>
      <c r="AH58" s="10"/>
      <c r="AL58" s="10"/>
      <c r="AM58" s="10"/>
      <c r="AN58" s="10"/>
      <c r="AO58" s="10"/>
      <c r="AS58" s="10"/>
      <c r="AT58" s="10"/>
      <c r="AU58" s="10"/>
      <c r="AV58" s="10"/>
      <c r="BA58" s="10"/>
      <c r="BB58" s="10">
        <v>0.8</v>
      </c>
      <c r="BC58" s="10"/>
      <c r="BD58" s="10">
        <v>0.8</v>
      </c>
      <c r="BI58" s="10"/>
      <c r="BJ58" s="10">
        <v>1</v>
      </c>
      <c r="BK58" s="10"/>
      <c r="BL58" s="10">
        <v>1</v>
      </c>
      <c r="BQ58" s="10"/>
      <c r="BR58" s="10">
        <v>1</v>
      </c>
      <c r="BS58" s="10"/>
      <c r="BT58" s="10">
        <v>1</v>
      </c>
      <c r="BY58" s="10"/>
      <c r="BZ58" s="10">
        <v>1</v>
      </c>
      <c r="CA58" s="10"/>
      <c r="CB58" s="10">
        <v>1</v>
      </c>
    </row>
    <row r="59" spans="2:84" ht="15.75" customHeight="1" outlineLevel="1" x14ac:dyDescent="0.25">
      <c r="B59" s="8" t="s">
        <v>28</v>
      </c>
      <c r="C59" s="8"/>
      <c r="D59" s="8" t="s">
        <v>52</v>
      </c>
      <c r="F59" s="9"/>
      <c r="G59" s="8" t="s">
        <v>96</v>
      </c>
      <c r="H59" s="10">
        <v>0.1</v>
      </c>
      <c r="J59" s="9">
        <f>+SUMIF($O$3:$ZO$3,J$3,$O59:$ZO59)</f>
        <v>0</v>
      </c>
      <c r="K59" s="12" t="e">
        <f ca="1">+_xludf.MAXIFS($O59:$YU59,$O$3:$YU$3,K$3)</f>
        <v>#NAME?</v>
      </c>
      <c r="L59" s="12" t="e">
        <f ca="1">+_xludf.MAXIFS($O59:$YU59,$O$3:$YU$3,L$3)</f>
        <v>#NAME?</v>
      </c>
      <c r="M59" s="9"/>
      <c r="P59" s="8"/>
      <c r="Q59" s="10"/>
      <c r="R59" s="10"/>
      <c r="S59" s="10"/>
      <c r="T59" s="10"/>
      <c r="W59" s="8"/>
      <c r="X59" s="10"/>
      <c r="Y59" s="10"/>
      <c r="Z59" s="10"/>
      <c r="AA59" s="10"/>
      <c r="AD59" s="8"/>
      <c r="AE59" s="10"/>
      <c r="AF59" s="10"/>
      <c r="AG59" s="10"/>
      <c r="AH59" s="10"/>
      <c r="AK59" s="8"/>
      <c r="AL59" s="10"/>
      <c r="AM59" s="10"/>
      <c r="AN59" s="10"/>
      <c r="AO59" s="10"/>
      <c r="AR59" s="8"/>
      <c r="AS59" s="10"/>
      <c r="AT59" s="10"/>
      <c r="AU59" s="10"/>
      <c r="AV59" s="10"/>
      <c r="AZ59" s="8"/>
      <c r="BA59" s="10"/>
      <c r="BB59" s="10"/>
      <c r="BC59" s="10"/>
      <c r="BD59" s="10"/>
      <c r="BH59" s="8"/>
      <c r="BI59" s="10"/>
      <c r="BJ59" s="10">
        <v>0.8</v>
      </c>
      <c r="BK59" s="10"/>
      <c r="BL59" s="10">
        <v>0.8</v>
      </c>
      <c r="BP59" s="8"/>
      <c r="BQ59" s="10"/>
      <c r="BR59" s="10">
        <v>1</v>
      </c>
      <c r="BS59" s="10"/>
      <c r="BT59" s="10">
        <v>1</v>
      </c>
      <c r="BX59" s="8"/>
      <c r="BY59" s="10"/>
      <c r="BZ59" s="10">
        <v>1</v>
      </c>
      <c r="CA59" s="10"/>
      <c r="CB59" s="10">
        <v>1</v>
      </c>
    </row>
    <row r="60" spans="2:84" ht="15.75" customHeight="1" outlineLevel="1" x14ac:dyDescent="0.25">
      <c r="B60" s="8" t="s">
        <v>28</v>
      </c>
      <c r="C60" s="8"/>
      <c r="D60" s="8" t="s">
        <v>52</v>
      </c>
      <c r="F60" s="9"/>
      <c r="G60" s="8" t="s">
        <v>97</v>
      </c>
      <c r="H60" s="10">
        <v>0.1</v>
      </c>
      <c r="J60" s="9">
        <f>+SUMIF($O$3:$ZO$3,J$3,$O60:$ZO60)</f>
        <v>0</v>
      </c>
      <c r="K60" s="12" t="e">
        <f ca="1">+_xludf.MAXIFS($O60:$YU60,$O$3:$YU$3,K$3)</f>
        <v>#NAME?</v>
      </c>
      <c r="L60" s="12" t="e">
        <f ca="1">+_xludf.MAXIFS($O60:$YU60,$O$3:$YU$3,L$3)</f>
        <v>#NAME?</v>
      </c>
      <c r="M60" s="9"/>
      <c r="Q60" s="10"/>
      <c r="R60" s="10"/>
      <c r="S60" s="10"/>
      <c r="T60" s="10"/>
      <c r="X60" s="10"/>
      <c r="Y60" s="10"/>
      <c r="Z60" s="10"/>
      <c r="AA60" s="10"/>
      <c r="AE60" s="10"/>
      <c r="AF60" s="10"/>
      <c r="AG60" s="10"/>
      <c r="AH60" s="10"/>
      <c r="AL60" s="10"/>
      <c r="AM60" s="10"/>
      <c r="AN60" s="10"/>
      <c r="AO60" s="10"/>
      <c r="AS60" s="10"/>
      <c r="AT60" s="10"/>
      <c r="AU60" s="10"/>
      <c r="AV60" s="10"/>
      <c r="BA60" s="10"/>
      <c r="BB60" s="10"/>
      <c r="BC60" s="10"/>
      <c r="BD60" s="10"/>
      <c r="BI60" s="10"/>
      <c r="BJ60" s="10">
        <v>0.8</v>
      </c>
      <c r="BK60" s="10"/>
      <c r="BL60" s="10">
        <v>0.8</v>
      </c>
      <c r="BQ60" s="10"/>
      <c r="BR60" s="10">
        <v>1</v>
      </c>
      <c r="BS60" s="10"/>
      <c r="BT60" s="10">
        <v>1</v>
      </c>
      <c r="BY60" s="10"/>
      <c r="BZ60" s="10">
        <v>1</v>
      </c>
      <c r="CA60" s="10"/>
      <c r="CB60" s="10">
        <v>1</v>
      </c>
    </row>
    <row r="61" spans="2:84" ht="15.75" customHeight="1" outlineLevel="1" x14ac:dyDescent="0.25">
      <c r="B61" s="8" t="s">
        <v>28</v>
      </c>
      <c r="C61" s="8"/>
      <c r="D61" s="8" t="s">
        <v>52</v>
      </c>
      <c r="F61" s="9"/>
      <c r="G61" s="8" t="s">
        <v>98</v>
      </c>
      <c r="H61" s="10">
        <v>0.1</v>
      </c>
      <c r="J61" s="9">
        <f>+SUMIF($O$3:$ZO$3,J$3,$O61:$ZO61)</f>
        <v>0</v>
      </c>
      <c r="K61" s="12" t="e">
        <f ca="1">+_xludf.MAXIFS($O61:$YU61,$O$3:$YU$3,K$3)</f>
        <v>#NAME?</v>
      </c>
      <c r="L61" s="12" t="e">
        <f ca="1">+_xludf.MAXIFS($O61:$YU61,$O$3:$YU$3,L$3)</f>
        <v>#NAME?</v>
      </c>
      <c r="M61" s="9"/>
      <c r="Q61" s="10"/>
      <c r="R61" s="10"/>
      <c r="S61" s="10"/>
      <c r="T61" s="10"/>
      <c r="X61" s="10"/>
      <c r="Y61" s="10"/>
      <c r="Z61" s="10"/>
      <c r="AA61" s="10"/>
      <c r="AE61" s="10"/>
      <c r="AF61" s="10"/>
      <c r="AG61" s="10"/>
      <c r="AH61" s="10"/>
      <c r="AL61" s="10"/>
      <c r="AM61" s="10"/>
      <c r="AN61" s="10"/>
      <c r="AO61" s="10"/>
      <c r="AS61" s="10"/>
      <c r="AT61" s="10"/>
      <c r="AU61" s="10"/>
      <c r="AV61" s="10"/>
      <c r="BA61" s="10"/>
      <c r="BB61" s="10"/>
      <c r="BC61" s="10"/>
      <c r="BD61" s="10"/>
      <c r="BI61" s="10"/>
      <c r="BJ61" s="10">
        <v>0.8</v>
      </c>
      <c r="BK61" s="10"/>
      <c r="BL61" s="10">
        <v>0.8</v>
      </c>
      <c r="BQ61" s="10"/>
      <c r="BR61" s="10">
        <v>1</v>
      </c>
      <c r="BS61" s="10"/>
      <c r="BT61" s="10">
        <v>1</v>
      </c>
      <c r="BY61" s="10"/>
      <c r="BZ61" s="10">
        <v>1</v>
      </c>
      <c r="CA61" s="10"/>
      <c r="CB61" s="10">
        <v>1</v>
      </c>
    </row>
    <row r="62" spans="2:84" ht="15.75" customHeight="1" outlineLevel="1" x14ac:dyDescent="0.25">
      <c r="B62" s="8" t="s">
        <v>28</v>
      </c>
      <c r="C62" s="8"/>
      <c r="D62" s="8" t="s">
        <v>52</v>
      </c>
      <c r="F62" s="9"/>
      <c r="G62" s="8" t="s">
        <v>99</v>
      </c>
      <c r="H62" s="10">
        <v>0.1</v>
      </c>
      <c r="J62" s="9">
        <f>+SUMIF($O$3:$ZO$3,J$3,$O62:$ZO62)</f>
        <v>0</v>
      </c>
      <c r="K62" s="12" t="e">
        <f ca="1">+_xludf.MAXIFS($O62:$YU62,$O$3:$YU$3,K$3)</f>
        <v>#NAME?</v>
      </c>
      <c r="L62" s="12" t="e">
        <f ca="1">+_xludf.MAXIFS($O62:$YU62,$O$3:$YU$3,L$3)</f>
        <v>#NAME?</v>
      </c>
      <c r="M62" s="9"/>
      <c r="Q62" s="10"/>
      <c r="R62" s="10"/>
      <c r="S62" s="10"/>
      <c r="T62" s="10"/>
      <c r="X62" s="10"/>
      <c r="Y62" s="10"/>
      <c r="Z62" s="10"/>
      <c r="AA62" s="10"/>
      <c r="AE62" s="10"/>
      <c r="AF62" s="10"/>
      <c r="AG62" s="10"/>
      <c r="AH62" s="10"/>
      <c r="AL62" s="10"/>
      <c r="AM62" s="10"/>
      <c r="AN62" s="10"/>
      <c r="AO62" s="10"/>
      <c r="AS62" s="10"/>
      <c r="AT62" s="10"/>
      <c r="AU62" s="10"/>
      <c r="AV62" s="10"/>
      <c r="BA62" s="10"/>
      <c r="BB62" s="10"/>
      <c r="BC62" s="10"/>
      <c r="BD62" s="10"/>
      <c r="BI62" s="10"/>
      <c r="BJ62" s="10"/>
      <c r="BK62" s="10"/>
      <c r="BL62" s="10"/>
      <c r="BQ62" s="10"/>
      <c r="BR62" s="10">
        <v>0.8</v>
      </c>
      <c r="BS62" s="10"/>
      <c r="BT62" s="10">
        <v>0.8</v>
      </c>
      <c r="BY62" s="10"/>
      <c r="BZ62" s="10">
        <v>1</v>
      </c>
      <c r="CA62" s="10"/>
      <c r="CB62" s="10">
        <v>1</v>
      </c>
    </row>
    <row r="63" spans="2:84" ht="15.75" customHeight="1" outlineLevel="1" x14ac:dyDescent="0.25">
      <c r="B63" s="8" t="s">
        <v>28</v>
      </c>
      <c r="C63" s="8"/>
      <c r="D63" s="8" t="s">
        <v>52</v>
      </c>
      <c r="F63" s="9"/>
      <c r="G63" s="8" t="s">
        <v>100</v>
      </c>
      <c r="H63" s="10">
        <v>0.1</v>
      </c>
      <c r="J63" s="9">
        <f>+SUMIF($O$3:$ZO$3,J$3,$O63:$ZO63)</f>
        <v>0</v>
      </c>
      <c r="K63" s="12" t="e">
        <f ca="1">+_xludf.MAXIFS($O63:$YU63,$O$3:$YU$3,K$3)</f>
        <v>#NAME?</v>
      </c>
      <c r="L63" s="12" t="e">
        <f ca="1">+_xludf.MAXIFS($O63:$YU63,$O$3:$YU$3,L$3)</f>
        <v>#NAME?</v>
      </c>
      <c r="M63" s="9"/>
      <c r="Q63" s="10"/>
      <c r="R63" s="10"/>
      <c r="S63" s="10"/>
      <c r="T63" s="10"/>
      <c r="X63" s="10"/>
      <c r="Y63" s="10"/>
      <c r="Z63" s="10"/>
      <c r="AA63" s="10"/>
      <c r="AE63" s="10"/>
      <c r="AF63" s="10"/>
      <c r="AG63" s="10"/>
      <c r="AH63" s="10"/>
      <c r="AL63" s="10"/>
      <c r="AM63" s="10"/>
      <c r="AN63" s="10"/>
      <c r="AO63" s="10"/>
      <c r="AS63" s="10"/>
      <c r="AT63" s="10"/>
      <c r="AU63" s="10"/>
      <c r="AV63" s="10"/>
      <c r="BA63" s="10"/>
      <c r="BB63" s="10"/>
      <c r="BC63" s="10"/>
      <c r="BD63" s="10"/>
      <c r="BI63" s="10"/>
      <c r="BJ63" s="10"/>
      <c r="BK63" s="10"/>
      <c r="BL63" s="10"/>
      <c r="BQ63" s="10"/>
      <c r="BR63" s="10">
        <v>0.8</v>
      </c>
      <c r="BS63" s="10"/>
      <c r="BT63" s="10">
        <v>0.8</v>
      </c>
      <c r="BY63" s="10"/>
      <c r="BZ63" s="10">
        <v>1</v>
      </c>
      <c r="CA63" s="10"/>
      <c r="CB63" s="10">
        <v>1</v>
      </c>
    </row>
    <row r="64" spans="2:84" ht="15.75" customHeight="1" outlineLevel="1" x14ac:dyDescent="0.25">
      <c r="B64" s="8" t="s">
        <v>28</v>
      </c>
      <c r="C64" s="8"/>
      <c r="D64" s="8" t="s">
        <v>52</v>
      </c>
      <c r="F64" s="9"/>
      <c r="G64" s="8" t="s">
        <v>91</v>
      </c>
      <c r="H64" s="10">
        <v>0.1</v>
      </c>
      <c r="J64" s="9">
        <f>+SUMIF($O$3:$ZO$3,J$3,$O64:$ZO64)</f>
        <v>0</v>
      </c>
      <c r="K64" s="12" t="e">
        <f ca="1">+_xludf.MAXIFS($O64:$YU64,$O$3:$YU$3,K$3)</f>
        <v>#NAME?</v>
      </c>
      <c r="L64" s="12" t="e">
        <f ca="1">+_xludf.MAXIFS($O64:$YU64,$O$3:$YU$3,L$3)</f>
        <v>#NAME?</v>
      </c>
      <c r="M64" s="9"/>
      <c r="Q64" s="10"/>
      <c r="R64" s="10"/>
      <c r="S64" s="10"/>
      <c r="T64" s="10"/>
      <c r="X64" s="10"/>
      <c r="Y64" s="10"/>
      <c r="Z64" s="10"/>
      <c r="AA64" s="10"/>
      <c r="AE64" s="10"/>
      <c r="AF64" s="10"/>
      <c r="AG64" s="10"/>
      <c r="AH64" s="10"/>
      <c r="AL64" s="10"/>
      <c r="AM64" s="10"/>
      <c r="AN64" s="10"/>
      <c r="AO64" s="10"/>
      <c r="AS64" s="10"/>
      <c r="AT64" s="10"/>
      <c r="AU64" s="10"/>
      <c r="AV64" s="10"/>
      <c r="BA64" s="10"/>
      <c r="BB64" s="10"/>
      <c r="BC64" s="10"/>
      <c r="BD64" s="10"/>
      <c r="BI64" s="10"/>
      <c r="BJ64" s="10"/>
      <c r="BK64" s="10"/>
      <c r="BL64" s="10"/>
    </row>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sheetData>
  <mergeCells count="21">
    <mergeCell ref="AD2:AI2"/>
    <mergeCell ref="AK2:AP2"/>
    <mergeCell ref="AR2:AX2"/>
    <mergeCell ref="J2:M2"/>
    <mergeCell ref="P2:U2"/>
    <mergeCell ref="W2:AB2"/>
    <mergeCell ref="AZ2:BF2"/>
    <mergeCell ref="BH2:BN2"/>
    <mergeCell ref="BP2:BV2"/>
    <mergeCell ref="BX2:CD2"/>
    <mergeCell ref="CF2:CL2"/>
    <mergeCell ref="CN2:CT2"/>
    <mergeCell ref="CV2:DB2"/>
    <mergeCell ref="DD2:DJ2"/>
    <mergeCell ref="DL2:DR2"/>
    <mergeCell ref="DT2:DZ2"/>
    <mergeCell ref="EB2:EH2"/>
    <mergeCell ref="EJ2:EP2"/>
    <mergeCell ref="ER2:EX2"/>
    <mergeCell ref="EZ2:FF2"/>
    <mergeCell ref="FH2:FN2"/>
  </mergeCells>
  <conditionalFormatting sqref="K17:L25">
    <cfRule type="colorScale" priority="268">
      <colorScale>
        <cfvo type="percent" val="0"/>
        <cfvo type="percent" val="100"/>
        <color rgb="FFFF231B"/>
        <color rgb="FF10FF07"/>
      </colorScale>
    </cfRule>
  </conditionalFormatting>
  <conditionalFormatting sqref="K28:L38">
    <cfRule type="colorScale" priority="187">
      <colorScale>
        <cfvo type="percent" val="0"/>
        <cfvo type="percent" val="100"/>
        <color rgb="FFFF231B"/>
        <color rgb="FF10FF07"/>
      </colorScale>
    </cfRule>
  </conditionalFormatting>
  <conditionalFormatting sqref="K54:L64 K41:L51 K5:L14">
    <cfRule type="colorScale" priority="267">
      <colorScale>
        <cfvo type="percent" val="0"/>
        <cfvo type="percent" val="100"/>
        <color rgb="FFFF231B"/>
        <color rgb="FF10FF07"/>
      </colorScale>
    </cfRule>
  </conditionalFormatting>
  <conditionalFormatting sqref="BI5:BI14">
    <cfRule type="expression" dxfId="163" priority="145">
      <formula>OR(IF(BI5&lt;BJ5,TRUE),IF(AND(BJ5="",BI5&lt;&gt;""),TRUE))</formula>
    </cfRule>
    <cfRule type="expression" dxfId="162" priority="146">
      <formula>IF(BI5&gt;=BJ5,IF(BI5="",FALSE,TRUE))</formula>
    </cfRule>
  </conditionalFormatting>
  <conditionalFormatting sqref="BI17:BI25">
    <cfRule type="expression" dxfId="161" priority="141">
      <formula>OR(IF(BI17&lt;BJ17,TRUE),IF(AND(BJ17="",BI17&lt;&gt;""),TRUE))</formula>
    </cfRule>
    <cfRule type="expression" dxfId="160" priority="142">
      <formula>IF(BI17&gt;=BJ17,IF(BI17="",FALSE,TRUE))</formula>
    </cfRule>
  </conditionalFormatting>
  <conditionalFormatting sqref="BI28:BI38">
    <cfRule type="expression" dxfId="159" priority="137">
      <formula>OR(IF(BI28&lt;BJ28,TRUE),IF(AND(BJ28="",BI28&lt;&gt;""),TRUE))</formula>
    </cfRule>
    <cfRule type="expression" dxfId="158" priority="138">
      <formula>IF(BI28&gt;=BJ28,IF(BI28="",FALSE,TRUE))</formula>
    </cfRule>
  </conditionalFormatting>
  <conditionalFormatting sqref="BI41:BI51">
    <cfRule type="expression" dxfId="157" priority="133">
      <formula>OR(IF(BI41&lt;BJ41,TRUE),IF(AND(BJ41="",BI41&lt;&gt;""),TRUE))</formula>
    </cfRule>
    <cfRule type="expression" dxfId="156" priority="134">
      <formula>IF(BI41&gt;=BJ41,IF(BI41="",FALSE,TRUE))</formula>
    </cfRule>
  </conditionalFormatting>
  <conditionalFormatting sqref="BI54:BI64">
    <cfRule type="expression" dxfId="15" priority="129">
      <formula>OR(IF(BI54&lt;BJ54,TRUE),IF(AND(BJ54="",BI54&lt;&gt;""),TRUE))</formula>
    </cfRule>
    <cfRule type="expression" dxfId="14" priority="130">
      <formula>IF(BI54&gt;=BJ54,IF(BI54="",FALSE,TRUE))</formula>
    </cfRule>
  </conditionalFormatting>
  <conditionalFormatting sqref="BK5:BK14">
    <cfRule type="expression" dxfId="155" priority="147">
      <formula>OR(IF(BK5&lt;BL5,TRUE),IF(AND(BL5="",BK5&lt;&gt;""),TRUE))</formula>
    </cfRule>
    <cfRule type="expression" dxfId="154" priority="148">
      <formula>IF(BK5&gt;=BL5,IF(BK5="",FALSE,TRUE))</formula>
    </cfRule>
  </conditionalFormatting>
  <conditionalFormatting sqref="BK17:BK25">
    <cfRule type="expression" dxfId="153" priority="143">
      <formula>OR(IF(BK17&lt;BL17,TRUE),IF(AND(BL17="",BK17&lt;&gt;""),TRUE))</formula>
    </cfRule>
    <cfRule type="expression" dxfId="152" priority="144">
      <formula>IF(BK17&gt;=BL17,IF(BK17="",FALSE,TRUE))</formula>
    </cfRule>
  </conditionalFormatting>
  <conditionalFormatting sqref="BK28:BK38">
    <cfRule type="expression" dxfId="151" priority="139">
      <formula>OR(IF(BK28&lt;BL28,TRUE),IF(AND(BL28="",BK28&lt;&gt;""),TRUE))</formula>
    </cfRule>
    <cfRule type="expression" dxfId="150" priority="140">
      <formula>IF(BK28&gt;=BL28,IF(BK28="",FALSE,TRUE))</formula>
    </cfRule>
  </conditionalFormatting>
  <conditionalFormatting sqref="BK41:BK51">
    <cfRule type="expression" dxfId="149" priority="135">
      <formula>OR(IF(BK41&lt;BL41,TRUE),IF(AND(BL41="",BK41&lt;&gt;""),TRUE))</formula>
    </cfRule>
    <cfRule type="expression" dxfId="148" priority="136">
      <formula>IF(BK41&gt;=BL41,IF(BK41="",FALSE,TRUE))</formula>
    </cfRule>
  </conditionalFormatting>
  <conditionalFormatting sqref="BK54:BK64">
    <cfRule type="expression" dxfId="13" priority="131">
      <formula>OR(IF(BK54&lt;BL54,TRUE),IF(AND(BL54="",BK54&lt;&gt;""),TRUE))</formula>
    </cfRule>
    <cfRule type="expression" dxfId="12" priority="132">
      <formula>IF(BK54&gt;=BL54,IF(BK54="",FALSE,TRUE))</formula>
    </cfRule>
  </conditionalFormatting>
  <conditionalFormatting sqref="BA5:BA14">
    <cfRule type="expression" dxfId="147" priority="125">
      <formula>OR(IF(BA5&lt;BB5,TRUE),IF(AND(BB5="",BA5&lt;&gt;""),TRUE))</formula>
    </cfRule>
    <cfRule type="expression" dxfId="146" priority="126">
      <formula>IF(BA5&gt;=BB5,IF(BA5="",FALSE,TRUE))</formula>
    </cfRule>
  </conditionalFormatting>
  <conditionalFormatting sqref="BA17:BA25">
    <cfRule type="expression" dxfId="145" priority="121">
      <formula>OR(IF(BA17&lt;BB17,TRUE),IF(AND(BB17="",BA17&lt;&gt;""),TRUE))</formula>
    </cfRule>
    <cfRule type="expression" dxfId="144" priority="122">
      <formula>IF(BA17&gt;=BB17,IF(BA17="",FALSE,TRUE))</formula>
    </cfRule>
  </conditionalFormatting>
  <conditionalFormatting sqref="BA28:BA38">
    <cfRule type="expression" dxfId="143" priority="117">
      <formula>OR(IF(BA28&lt;BB28,TRUE),IF(AND(BB28="",BA28&lt;&gt;""),TRUE))</formula>
    </cfRule>
    <cfRule type="expression" dxfId="142" priority="118">
      <formula>IF(BA28&gt;=BB28,IF(BA28="",FALSE,TRUE))</formula>
    </cfRule>
  </conditionalFormatting>
  <conditionalFormatting sqref="BA41:BA51">
    <cfRule type="expression" dxfId="141" priority="113">
      <formula>OR(IF(BA41&lt;BB41,TRUE),IF(AND(BB41="",BA41&lt;&gt;""),TRUE))</formula>
    </cfRule>
    <cfRule type="expression" dxfId="140" priority="114">
      <formula>IF(BA41&gt;=BB41,IF(BA41="",FALSE,TRUE))</formula>
    </cfRule>
  </conditionalFormatting>
  <conditionalFormatting sqref="BA54:BA64">
    <cfRule type="expression" dxfId="139" priority="109">
      <formula>OR(IF(BA54&lt;BB54,TRUE),IF(AND(BB54="",BA54&lt;&gt;""),TRUE))</formula>
    </cfRule>
    <cfRule type="expression" dxfId="138" priority="110">
      <formula>IF(BA54&gt;=BB54,IF(BA54="",FALSE,TRUE))</formula>
    </cfRule>
  </conditionalFormatting>
  <conditionalFormatting sqref="BC5:BC14">
    <cfRule type="expression" dxfId="137" priority="127">
      <formula>OR(IF(BC5&lt;BD5,TRUE),IF(AND(BD5="",BC5&lt;&gt;""),TRUE))</formula>
    </cfRule>
    <cfRule type="expression" dxfId="136" priority="128">
      <formula>IF(BC5&gt;=BD5,IF(BC5="",FALSE,TRUE))</formula>
    </cfRule>
  </conditionalFormatting>
  <conditionalFormatting sqref="BC17:BC25">
    <cfRule type="expression" dxfId="135" priority="123">
      <formula>OR(IF(BC17&lt;BD17,TRUE),IF(AND(BD17="",BC17&lt;&gt;""),TRUE))</formula>
    </cfRule>
    <cfRule type="expression" dxfId="134" priority="124">
      <formula>IF(BC17&gt;=BD17,IF(BC17="",FALSE,TRUE))</formula>
    </cfRule>
  </conditionalFormatting>
  <conditionalFormatting sqref="BC28:BC38">
    <cfRule type="expression" dxfId="133" priority="119">
      <formula>OR(IF(BC28&lt;BD28,TRUE),IF(AND(BD28="",BC28&lt;&gt;""),TRUE))</formula>
    </cfRule>
    <cfRule type="expression" dxfId="132" priority="120">
      <formula>IF(BC28&gt;=BD28,IF(BC28="",FALSE,TRUE))</formula>
    </cfRule>
  </conditionalFormatting>
  <conditionalFormatting sqref="BC41:BC51">
    <cfRule type="expression" dxfId="131" priority="115">
      <formula>OR(IF(BC41&lt;BD41,TRUE),IF(AND(BD41="",BC41&lt;&gt;""),TRUE))</formula>
    </cfRule>
    <cfRule type="expression" dxfId="130" priority="116">
      <formula>IF(BC41&gt;=BD41,IF(BC41="",FALSE,TRUE))</formula>
    </cfRule>
  </conditionalFormatting>
  <conditionalFormatting sqref="BC54:BC64">
    <cfRule type="expression" dxfId="129" priority="111">
      <formula>OR(IF(BC54&lt;BD54,TRUE),IF(AND(BD54="",BC54&lt;&gt;""),TRUE))</formula>
    </cfRule>
    <cfRule type="expression" dxfId="128" priority="112">
      <formula>IF(BC54&gt;=BD54,IF(BC54="",FALSE,TRUE))</formula>
    </cfRule>
  </conditionalFormatting>
  <conditionalFormatting sqref="AS5:AS14">
    <cfRule type="expression" dxfId="127" priority="105">
      <formula>OR(IF(AS5&lt;AT5,TRUE),IF(AND(AT5="",AS5&lt;&gt;""),TRUE))</formula>
    </cfRule>
    <cfRule type="expression" dxfId="126" priority="106">
      <formula>IF(AS5&gt;=AT5,IF(AS5="",FALSE,TRUE))</formula>
    </cfRule>
  </conditionalFormatting>
  <conditionalFormatting sqref="AS17:AS25">
    <cfRule type="expression" dxfId="125" priority="101">
      <formula>OR(IF(AS17&lt;AT17,TRUE),IF(AND(AT17="",AS17&lt;&gt;""),TRUE))</formula>
    </cfRule>
    <cfRule type="expression" dxfId="124" priority="102">
      <formula>IF(AS17&gt;=AT17,IF(AS17="",FALSE,TRUE))</formula>
    </cfRule>
  </conditionalFormatting>
  <conditionalFormatting sqref="AS28:AS38">
    <cfRule type="expression" dxfId="123" priority="97">
      <formula>OR(IF(AS28&lt;AT28,TRUE),IF(AND(AT28="",AS28&lt;&gt;""),TRUE))</formula>
    </cfRule>
    <cfRule type="expression" dxfId="122" priority="98">
      <formula>IF(AS28&gt;=AT28,IF(AS28="",FALSE,TRUE))</formula>
    </cfRule>
  </conditionalFormatting>
  <conditionalFormatting sqref="AS41:AS51">
    <cfRule type="expression" dxfId="121" priority="93">
      <formula>OR(IF(AS41&lt;AT41,TRUE),IF(AND(AT41="",AS41&lt;&gt;""),TRUE))</formula>
    </cfRule>
    <cfRule type="expression" dxfId="120" priority="94">
      <formula>IF(AS41&gt;=AT41,IF(AS41="",FALSE,TRUE))</formula>
    </cfRule>
  </conditionalFormatting>
  <conditionalFormatting sqref="AS54:AS64">
    <cfRule type="expression" dxfId="119" priority="89">
      <formula>OR(IF(AS54&lt;AT54,TRUE),IF(AND(AT54="",AS54&lt;&gt;""),TRUE))</formula>
    </cfRule>
    <cfRule type="expression" dxfId="118" priority="90">
      <formula>IF(AS54&gt;=AT54,IF(AS54="",FALSE,TRUE))</formula>
    </cfRule>
  </conditionalFormatting>
  <conditionalFormatting sqref="AU5:AU14">
    <cfRule type="expression" dxfId="117" priority="107">
      <formula>OR(IF(AU5&lt;AV5,TRUE),IF(AND(AV5="",AU5&lt;&gt;""),TRUE))</formula>
    </cfRule>
    <cfRule type="expression" dxfId="116" priority="108">
      <formula>IF(AU5&gt;=AV5,IF(AU5="",FALSE,TRUE))</formula>
    </cfRule>
  </conditionalFormatting>
  <conditionalFormatting sqref="AU17:AU25">
    <cfRule type="expression" dxfId="115" priority="103">
      <formula>OR(IF(AU17&lt;AV17,TRUE),IF(AND(AV17="",AU17&lt;&gt;""),TRUE))</formula>
    </cfRule>
    <cfRule type="expression" dxfId="114" priority="104">
      <formula>IF(AU17&gt;=AV17,IF(AU17="",FALSE,TRUE))</formula>
    </cfRule>
  </conditionalFormatting>
  <conditionalFormatting sqref="AU28:AU38">
    <cfRule type="expression" dxfId="113" priority="99">
      <formula>OR(IF(AU28&lt;AV28,TRUE),IF(AND(AV28="",AU28&lt;&gt;""),TRUE))</formula>
    </cfRule>
    <cfRule type="expression" dxfId="112" priority="100">
      <formula>IF(AU28&gt;=AV28,IF(AU28="",FALSE,TRUE))</formula>
    </cfRule>
  </conditionalFormatting>
  <conditionalFormatting sqref="AU41:AU51">
    <cfRule type="expression" dxfId="111" priority="95">
      <formula>OR(IF(AU41&lt;AV41,TRUE),IF(AND(AV41="",AU41&lt;&gt;""),TRUE))</formula>
    </cfRule>
    <cfRule type="expression" dxfId="110" priority="96">
      <formula>IF(AU41&gt;=AV41,IF(AU41="",FALSE,TRUE))</formula>
    </cfRule>
  </conditionalFormatting>
  <conditionalFormatting sqref="AU54:AU64">
    <cfRule type="expression" dxfId="109" priority="91">
      <formula>OR(IF(AU54&lt;AV54,TRUE),IF(AND(AV54="",AU54&lt;&gt;""),TRUE))</formula>
    </cfRule>
    <cfRule type="expression" dxfId="108" priority="92">
      <formula>IF(AU54&gt;=AV54,IF(AU54="",FALSE,TRUE))</formula>
    </cfRule>
  </conditionalFormatting>
  <conditionalFormatting sqref="AL5:AL14">
    <cfRule type="expression" dxfId="107" priority="85">
      <formula>OR(IF(AL5&lt;AM5,TRUE),IF(AND(AM5="",AL5&lt;&gt;""),TRUE))</formula>
    </cfRule>
    <cfRule type="expression" dxfId="106" priority="86">
      <formula>IF(AL5&gt;=AM5,IF(AL5="",FALSE,TRUE))</formula>
    </cfRule>
  </conditionalFormatting>
  <conditionalFormatting sqref="AL17:AL25">
    <cfRule type="expression" dxfId="105" priority="81">
      <formula>OR(IF(AL17&lt;AM17,TRUE),IF(AND(AM17="",AL17&lt;&gt;""),TRUE))</formula>
    </cfRule>
    <cfRule type="expression" dxfId="104" priority="82">
      <formula>IF(AL17&gt;=AM17,IF(AL17="",FALSE,TRUE))</formula>
    </cfRule>
  </conditionalFormatting>
  <conditionalFormatting sqref="AL28:AL36">
    <cfRule type="expression" dxfId="103" priority="77">
      <formula>OR(IF(AL28&lt;AM28,TRUE),IF(AND(AM28="",AL28&lt;&gt;""),TRUE))</formula>
    </cfRule>
    <cfRule type="expression" dxfId="102" priority="78">
      <formula>IF(AL28&gt;=AM28,IF(AL28="",FALSE,TRUE))</formula>
    </cfRule>
  </conditionalFormatting>
  <conditionalFormatting sqref="AL41:AL51">
    <cfRule type="expression" dxfId="101" priority="73">
      <formula>OR(IF(AL41&lt;AM41,TRUE),IF(AND(AM41="",AL41&lt;&gt;""),TRUE))</formula>
    </cfRule>
    <cfRule type="expression" dxfId="100" priority="74">
      <formula>IF(AL41&gt;=AM41,IF(AL41="",FALSE,TRUE))</formula>
    </cfRule>
  </conditionalFormatting>
  <conditionalFormatting sqref="AL54:AL64">
    <cfRule type="expression" dxfId="99" priority="69">
      <formula>OR(IF(AL54&lt;AM54,TRUE),IF(AND(AM54="",AL54&lt;&gt;""),TRUE))</formula>
    </cfRule>
    <cfRule type="expression" dxfId="98" priority="70">
      <formula>IF(AL54&gt;=AM54,IF(AL54="",FALSE,TRUE))</formula>
    </cfRule>
  </conditionalFormatting>
  <conditionalFormatting sqref="AN5:AN14">
    <cfRule type="expression" dxfId="97" priority="87">
      <formula>OR(IF(AN5&lt;AO5,TRUE),IF(AND(AO5="",AN5&lt;&gt;""),TRUE))</formula>
    </cfRule>
    <cfRule type="expression" dxfId="96" priority="88">
      <formula>IF(AN5&gt;=AO5,IF(AN5="",FALSE,TRUE))</formula>
    </cfRule>
  </conditionalFormatting>
  <conditionalFormatting sqref="AN17:AN25">
    <cfRule type="expression" dxfId="95" priority="83">
      <formula>OR(IF(AN17&lt;AO17,TRUE),IF(AND(AO17="",AN17&lt;&gt;""),TRUE))</formula>
    </cfRule>
    <cfRule type="expression" dxfId="94" priority="84">
      <formula>IF(AN17&gt;=AO17,IF(AN17="",FALSE,TRUE))</formula>
    </cfRule>
  </conditionalFormatting>
  <conditionalFormatting sqref="AN28:AN36">
    <cfRule type="expression" dxfId="93" priority="79">
      <formula>OR(IF(AN28&lt;AO28,TRUE),IF(AND(AO28="",AN28&lt;&gt;""),TRUE))</formula>
    </cfRule>
    <cfRule type="expression" dxfId="92" priority="80">
      <formula>IF(AN28&gt;=AO28,IF(AN28="",FALSE,TRUE))</formula>
    </cfRule>
  </conditionalFormatting>
  <conditionalFormatting sqref="AN41:AN51">
    <cfRule type="expression" dxfId="91" priority="75">
      <formula>OR(IF(AN41&lt;AO41,TRUE),IF(AND(AO41="",AN41&lt;&gt;""),TRUE))</formula>
    </cfRule>
    <cfRule type="expression" dxfId="90" priority="76">
      <formula>IF(AN41&gt;=AO41,IF(AN41="",FALSE,TRUE))</formula>
    </cfRule>
  </conditionalFormatting>
  <conditionalFormatting sqref="AN54:AN64">
    <cfRule type="expression" dxfId="89" priority="71">
      <formula>OR(IF(AN54&lt;AO54,TRUE),IF(AND(AO54="",AN54&lt;&gt;""),TRUE))</formula>
    </cfRule>
    <cfRule type="expression" dxfId="88" priority="72">
      <formula>IF(AN54&gt;=AO54,IF(AN54="",FALSE,TRUE))</formula>
    </cfRule>
  </conditionalFormatting>
  <conditionalFormatting sqref="AE5:AE14">
    <cfRule type="expression" dxfId="87" priority="65">
      <formula>OR(IF(AE5&lt;AF5,TRUE),IF(AND(AF5="",AE5&lt;&gt;""),TRUE))</formula>
    </cfRule>
    <cfRule type="expression" dxfId="86" priority="66">
      <formula>IF(AE5&gt;=AF5,IF(AE5="",FALSE,TRUE))</formula>
    </cfRule>
  </conditionalFormatting>
  <conditionalFormatting sqref="AE17:AE25">
    <cfRule type="expression" dxfId="85" priority="61">
      <formula>OR(IF(AE17&lt;AF17,TRUE),IF(AND(AF17="",AE17&lt;&gt;""),TRUE))</formula>
    </cfRule>
    <cfRule type="expression" dxfId="84" priority="62">
      <formula>IF(AE17&gt;=AF17,IF(AE17="",FALSE,TRUE))</formula>
    </cfRule>
  </conditionalFormatting>
  <conditionalFormatting sqref="AE28:AE38">
    <cfRule type="expression" dxfId="83" priority="57">
      <formula>OR(IF(AE28&lt;AF28,TRUE),IF(AND(AF28="",AE28&lt;&gt;""),TRUE))</formula>
    </cfRule>
    <cfRule type="expression" dxfId="82" priority="58">
      <formula>IF(AE28&gt;=AF28,IF(AE28="",FALSE,TRUE))</formula>
    </cfRule>
  </conditionalFormatting>
  <conditionalFormatting sqref="AE41:AE51">
    <cfRule type="expression" dxfId="81" priority="53">
      <formula>OR(IF(AE41&lt;AF41,TRUE),IF(AND(AF41="",AE41&lt;&gt;""),TRUE))</formula>
    </cfRule>
    <cfRule type="expression" dxfId="80" priority="54">
      <formula>IF(AE41&gt;=AF41,IF(AE41="",FALSE,TRUE))</formula>
    </cfRule>
  </conditionalFormatting>
  <conditionalFormatting sqref="AE54:AE64">
    <cfRule type="expression" dxfId="79" priority="49">
      <formula>OR(IF(AE54&lt;AF54,TRUE),IF(AND(AF54="",AE54&lt;&gt;""),TRUE))</formula>
    </cfRule>
    <cfRule type="expression" dxfId="78" priority="50">
      <formula>IF(AE54&gt;=AF54,IF(AE54="",FALSE,TRUE))</formula>
    </cfRule>
  </conditionalFormatting>
  <conditionalFormatting sqref="AG5:AG14">
    <cfRule type="expression" dxfId="77" priority="67">
      <formula>OR(IF(AG5&lt;AH5,TRUE),IF(AND(AH5="",AG5&lt;&gt;""),TRUE))</formula>
    </cfRule>
    <cfRule type="expression" dxfId="76" priority="68">
      <formula>IF(AG5&gt;=AH5,IF(AG5="",FALSE,TRUE))</formula>
    </cfRule>
  </conditionalFormatting>
  <conditionalFormatting sqref="AG17:AG25">
    <cfRule type="expression" dxfId="75" priority="63">
      <formula>OR(IF(AG17&lt;AH17,TRUE),IF(AND(AH17="",AG17&lt;&gt;""),TRUE))</formula>
    </cfRule>
    <cfRule type="expression" dxfId="74" priority="64">
      <formula>IF(AG17&gt;=AH17,IF(AG17="",FALSE,TRUE))</formula>
    </cfRule>
  </conditionalFormatting>
  <conditionalFormatting sqref="AG28:AG38">
    <cfRule type="expression" dxfId="73" priority="59">
      <formula>OR(IF(AG28&lt;AH28,TRUE),IF(AND(AH28="",AG28&lt;&gt;""),TRUE))</formula>
    </cfRule>
    <cfRule type="expression" dxfId="72" priority="60">
      <formula>IF(AG28&gt;=AH28,IF(AG28="",FALSE,TRUE))</formula>
    </cfRule>
  </conditionalFormatting>
  <conditionalFormatting sqref="AG41:AG51">
    <cfRule type="expression" dxfId="71" priority="55">
      <formula>OR(IF(AG41&lt;AH41,TRUE),IF(AND(AH41="",AG41&lt;&gt;""),TRUE))</formula>
    </cfRule>
    <cfRule type="expression" dxfId="70" priority="56">
      <formula>IF(AG41&gt;=AH41,IF(AG41="",FALSE,TRUE))</formula>
    </cfRule>
  </conditionalFormatting>
  <conditionalFormatting sqref="AG54:AG64">
    <cfRule type="expression" dxfId="69" priority="51">
      <formula>OR(IF(AG54&lt;AH54,TRUE),IF(AND(AH54="",AG54&lt;&gt;""),TRUE))</formula>
    </cfRule>
    <cfRule type="expression" dxfId="68" priority="52">
      <formula>IF(AG54&gt;=AH54,IF(AG54="",FALSE,TRUE))</formula>
    </cfRule>
  </conditionalFormatting>
  <conditionalFormatting sqref="X5:X14">
    <cfRule type="expression" dxfId="67" priority="45">
      <formula>OR(IF(X5&lt;Y5,TRUE),IF(AND(Y5="",X5&lt;&gt;""),TRUE))</formula>
    </cfRule>
    <cfRule type="expression" dxfId="66" priority="46">
      <formula>IF(X5&gt;=Y5,IF(X5="",FALSE,TRUE))</formula>
    </cfRule>
  </conditionalFormatting>
  <conditionalFormatting sqref="X17:X25">
    <cfRule type="expression" dxfId="65" priority="41">
      <formula>OR(IF(X17&lt;Y17,TRUE),IF(AND(Y17="",X17&lt;&gt;""),TRUE))</formula>
    </cfRule>
    <cfRule type="expression" dxfId="64" priority="42">
      <formula>IF(X17&gt;=Y17,IF(X17="",FALSE,TRUE))</formula>
    </cfRule>
  </conditionalFormatting>
  <conditionalFormatting sqref="X28:X38">
    <cfRule type="expression" dxfId="63" priority="37">
      <formula>OR(IF(X28&lt;Y28,TRUE),IF(AND(Y28="",X28&lt;&gt;""),TRUE))</formula>
    </cfRule>
    <cfRule type="expression" dxfId="62" priority="38">
      <formula>IF(X28&gt;=Y28,IF(X28="",FALSE,TRUE))</formula>
    </cfRule>
  </conditionalFormatting>
  <conditionalFormatting sqref="X41:X51">
    <cfRule type="expression" dxfId="61" priority="33">
      <formula>OR(IF(X41&lt;Y41,TRUE),IF(AND(Y41="",X41&lt;&gt;""),TRUE))</formula>
    </cfRule>
    <cfRule type="expression" dxfId="60" priority="34">
      <formula>IF(X41&gt;=Y41,IF(X41="",FALSE,TRUE))</formula>
    </cfRule>
  </conditionalFormatting>
  <conditionalFormatting sqref="X54:X64">
    <cfRule type="expression" dxfId="59" priority="29">
      <formula>OR(IF(X54&lt;Y54,TRUE),IF(AND(Y54="",X54&lt;&gt;""),TRUE))</formula>
    </cfRule>
    <cfRule type="expression" dxfId="58" priority="30">
      <formula>IF(X54&gt;=Y54,IF(X54="",FALSE,TRUE))</formula>
    </cfRule>
  </conditionalFormatting>
  <conditionalFormatting sqref="Z5:Z14">
    <cfRule type="expression" dxfId="57" priority="47">
      <formula>OR(IF(Z5&lt;AA5,TRUE),IF(AND(AA5="",Z5&lt;&gt;""),TRUE))</formula>
    </cfRule>
    <cfRule type="expression" dxfId="56" priority="48">
      <formula>IF(Z5&gt;=AA5,IF(Z5="",FALSE,TRUE))</formula>
    </cfRule>
  </conditionalFormatting>
  <conditionalFormatting sqref="Z17:Z25">
    <cfRule type="expression" dxfId="55" priority="43">
      <formula>OR(IF(Z17&lt;AA17,TRUE),IF(AND(AA17="",Z17&lt;&gt;""),TRUE))</formula>
    </cfRule>
    <cfRule type="expression" dxfId="54" priority="44">
      <formula>IF(Z17&gt;=AA17,IF(Z17="",FALSE,TRUE))</formula>
    </cfRule>
  </conditionalFormatting>
  <conditionalFormatting sqref="Z28:Z38">
    <cfRule type="expression" dxfId="53" priority="39">
      <formula>OR(IF(Z28&lt;AA28,TRUE),IF(AND(AA28="",Z28&lt;&gt;""),TRUE))</formula>
    </cfRule>
    <cfRule type="expression" dxfId="52" priority="40">
      <formula>IF(Z28&gt;=AA28,IF(Z28="",FALSE,TRUE))</formula>
    </cfRule>
  </conditionalFormatting>
  <conditionalFormatting sqref="Z41:Z51">
    <cfRule type="expression" dxfId="51" priority="35">
      <formula>OR(IF(Z41&lt;AA41,TRUE),IF(AND(AA41="",Z41&lt;&gt;""),TRUE))</formula>
    </cfRule>
    <cfRule type="expression" dxfId="50" priority="36">
      <formula>IF(Z41&gt;=AA41,IF(Z41="",FALSE,TRUE))</formula>
    </cfRule>
  </conditionalFormatting>
  <conditionalFormatting sqref="Z54:Z64">
    <cfRule type="expression" dxfId="49" priority="31">
      <formula>OR(IF(Z54&lt;AA54,TRUE),IF(AND(AA54="",Z54&lt;&gt;""),TRUE))</formula>
    </cfRule>
    <cfRule type="expression" dxfId="48" priority="32">
      <formula>IF(Z54&gt;=AA54,IF(Z54="",FALSE,TRUE))</formula>
    </cfRule>
  </conditionalFormatting>
  <conditionalFormatting sqref="Q5:Q14">
    <cfRule type="expression" dxfId="47" priority="25">
      <formula>OR(IF(Q5&lt;R5,TRUE),IF(AND(R5="",Q5&lt;&gt;""),TRUE))</formula>
    </cfRule>
    <cfRule type="expression" dxfId="46" priority="26">
      <formula>IF(Q5&gt;=R5,IF(Q5="",FALSE,TRUE))</formula>
    </cfRule>
  </conditionalFormatting>
  <conditionalFormatting sqref="Q17:Q25">
    <cfRule type="expression" dxfId="45" priority="21">
      <formula>OR(IF(Q17&lt;R17,TRUE),IF(AND(R17="",Q17&lt;&gt;""),TRUE))</formula>
    </cfRule>
    <cfRule type="expression" dxfId="44" priority="22">
      <formula>IF(Q17&gt;=R17,IF(Q17="",FALSE,TRUE))</formula>
    </cfRule>
  </conditionalFormatting>
  <conditionalFormatting sqref="Q28:Q38">
    <cfRule type="expression" dxfId="43" priority="17">
      <formula>OR(IF(Q28&lt;R28,TRUE),IF(AND(R28="",Q28&lt;&gt;""),TRUE))</formula>
    </cfRule>
    <cfRule type="expression" dxfId="42" priority="18">
      <formula>IF(Q28&gt;=R28,IF(Q28="",FALSE,TRUE))</formula>
    </cfRule>
  </conditionalFormatting>
  <conditionalFormatting sqref="Q41:Q51">
    <cfRule type="expression" dxfId="41" priority="13">
      <formula>OR(IF(Q41&lt;R41,TRUE),IF(AND(R41="",Q41&lt;&gt;""),TRUE))</formula>
    </cfRule>
    <cfRule type="expression" dxfId="40" priority="14">
      <formula>IF(Q41&gt;=R41,IF(Q41="",FALSE,TRUE))</formula>
    </cfRule>
  </conditionalFormatting>
  <conditionalFormatting sqref="Q54:Q64">
    <cfRule type="expression" dxfId="39" priority="9">
      <formula>OR(IF(Q54&lt;R54,TRUE),IF(AND(R54="",Q54&lt;&gt;""),TRUE))</formula>
    </cfRule>
    <cfRule type="expression" dxfId="38" priority="10">
      <formula>IF(Q54&gt;=R54,IF(Q54="",FALSE,TRUE))</formula>
    </cfRule>
  </conditionalFormatting>
  <conditionalFormatting sqref="S5:S14">
    <cfRule type="expression" dxfId="37" priority="27">
      <formula>OR(IF(S5&lt;T5,TRUE),IF(AND(T5="",S5&lt;&gt;""),TRUE))</formula>
    </cfRule>
    <cfRule type="expression" dxfId="36" priority="28">
      <formula>IF(S5&gt;=T5,IF(S5="",FALSE,TRUE))</formula>
    </cfRule>
  </conditionalFormatting>
  <conditionalFormatting sqref="S17:S25">
    <cfRule type="expression" dxfId="35" priority="23">
      <formula>OR(IF(S17&lt;T17,TRUE),IF(AND(T17="",S17&lt;&gt;""),TRUE))</formula>
    </cfRule>
    <cfRule type="expression" dxfId="34" priority="24">
      <formula>IF(S17&gt;=T17,IF(S17="",FALSE,TRUE))</formula>
    </cfRule>
  </conditionalFormatting>
  <conditionalFormatting sqref="S28:S38">
    <cfRule type="expression" dxfId="33" priority="19">
      <formula>OR(IF(S28&lt;T28,TRUE),IF(AND(T28="",S28&lt;&gt;""),TRUE))</formula>
    </cfRule>
    <cfRule type="expression" dxfId="32" priority="20">
      <formula>IF(S28&gt;=T28,IF(S28="",FALSE,TRUE))</formula>
    </cfRule>
  </conditionalFormatting>
  <conditionalFormatting sqref="S41:S51">
    <cfRule type="expression" dxfId="31" priority="15">
      <formula>OR(IF(S41&lt;T41,TRUE),IF(AND(T41="",S41&lt;&gt;""),TRUE))</formula>
    </cfRule>
    <cfRule type="expression" dxfId="30" priority="16">
      <formula>IF(S41&gt;=T41,IF(S41="",FALSE,TRUE))</formula>
    </cfRule>
  </conditionalFormatting>
  <conditionalFormatting sqref="S54:S64">
    <cfRule type="expression" dxfId="29" priority="11">
      <formula>OR(IF(S54&lt;T54,TRUE),IF(AND(T54="",S54&lt;&gt;""),TRUE))</formula>
    </cfRule>
    <cfRule type="expression" dxfId="28" priority="12">
      <formula>IF(S54&gt;=T54,IF(S54="",FALSE,TRUE))</formula>
    </cfRule>
  </conditionalFormatting>
  <conditionalFormatting sqref="BQ54:BQ63">
    <cfRule type="expression" dxfId="7" priority="5">
      <formula>OR(IF(BQ54&lt;BR54,TRUE),IF(AND(BR54="",BQ54&lt;&gt;""),TRUE))</formula>
    </cfRule>
    <cfRule type="expression" dxfId="6" priority="6">
      <formula>IF(BQ54&gt;=BR54,IF(BQ54="",FALSE,TRUE))</formula>
    </cfRule>
  </conditionalFormatting>
  <conditionalFormatting sqref="BS54:BS63">
    <cfRule type="expression" dxfId="5" priority="7">
      <formula>OR(IF(BS54&lt;BT54,TRUE),IF(AND(BT54="",BS54&lt;&gt;""),TRUE))</formula>
    </cfRule>
    <cfRule type="expression" dxfId="4" priority="8">
      <formula>IF(BS54&gt;=BT54,IF(BS54="",FALSE,TRUE))</formula>
    </cfRule>
  </conditionalFormatting>
  <conditionalFormatting sqref="BY54:BY63">
    <cfRule type="expression" dxfId="3" priority="1">
      <formula>OR(IF(BY54&lt;BZ54,TRUE),IF(AND(BZ54="",BY54&lt;&gt;""),TRUE))</formula>
    </cfRule>
    <cfRule type="expression" dxfId="2" priority="2">
      <formula>IF(BY54&gt;=BZ54,IF(BY54="",FALSE,TRUE))</formula>
    </cfRule>
  </conditionalFormatting>
  <conditionalFormatting sqref="CA54:CA63">
    <cfRule type="expression" dxfId="1" priority="3">
      <formula>OR(IF(CA54&lt;CB54,TRUE),IF(AND(CB54="",CA54&lt;&gt;""),TRUE))</formula>
    </cfRule>
    <cfRule type="expression" dxfId="0" priority="4">
      <formula>IF(CA54&gt;=CB54,IF(CA54="",FALSE,TRUE))</formula>
    </cfRule>
  </conditionalFormatting>
  <dataValidations count="1">
    <dataValidation type="list" allowBlank="1" showErrorMessage="1" sqref="X28:AA38 AE28:AH38 AL28:AO38 AS28:AV38 BA28:BD38 Q5:T14 AE5:AH14 AL17:AO26 BA54:BD64 AS5:AV14 Q17:T26 X17:AA26 X41:AA51 AL5:AO14 Q41:T51 AS41:AV51 AE54:AH64 AS54:AV64 AE41:AH51 BA41:BD51 AE17:AH26 AL41:AO51 X54:AA64 AS17:AV26 BA17:BD26 BI28:BL38 CI5:CI14 CI41:CI51 CI28:CI38 CJ26 BI5:BL14 BI17:BL26 BI54:BL64 BI41:BL51 CG5:CG14 CG17:CG26 CH26 CI17:CI26 CG28:CG38 CG41:CG51 CG54:CG64 CI54:CI64 Q28:T38 X5:AA14 BA5:BD14 Q54:T64 AL54:AO64 BQ54:BT63 BY54:CB63" xr:uid="{00000000-0002-0000-0100-000000000000}">
      <formula1>"10%,20%,30%,40%,50%,60%,70%,80%,90%,100%"</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
  <sheetViews>
    <sheetView workbookViewId="0"/>
  </sheetViews>
  <sheetFormatPr baseColWidth="10" defaultColWidth="11.25" defaultRowHeight="15" customHeight="1" x14ac:dyDescent="0.25"/>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00"/>
  <sheetViews>
    <sheetView workbookViewId="0">
      <selection activeCell="B2" sqref="B2"/>
    </sheetView>
  </sheetViews>
  <sheetFormatPr baseColWidth="10" defaultColWidth="11.25" defaultRowHeight="15" customHeight="1" x14ac:dyDescent="0.25"/>
  <cols>
    <col min="1" max="1" width="16.75" customWidth="1"/>
    <col min="2" max="2" width="19.125" customWidth="1"/>
    <col min="3" max="3" width="18.125" customWidth="1"/>
    <col min="4" max="4" width="19.5" customWidth="1"/>
    <col min="5" max="7" width="10.5" customWidth="1"/>
    <col min="8" max="8" width="15.125" customWidth="1"/>
    <col min="9" max="9" width="10.5" customWidth="1"/>
    <col min="10" max="10" width="42" customWidth="1"/>
    <col min="11" max="11" width="28.5" customWidth="1"/>
    <col min="12" max="26" width="10.5" customWidth="1"/>
  </cols>
  <sheetData>
    <row r="1" spans="1:11" ht="15.75" customHeight="1" x14ac:dyDescent="0.25">
      <c r="A1" s="9" t="s">
        <v>29</v>
      </c>
      <c r="B1" s="13" t="s">
        <v>30</v>
      </c>
      <c r="C1" s="13" t="s">
        <v>31</v>
      </c>
      <c r="D1" s="13" t="s">
        <v>32</v>
      </c>
      <c r="E1" s="3" t="s">
        <v>33</v>
      </c>
      <c r="F1" s="3" t="s">
        <v>34</v>
      </c>
      <c r="G1" s="3" t="s">
        <v>35</v>
      </c>
      <c r="H1" s="3" t="s">
        <v>36</v>
      </c>
      <c r="I1" s="3" t="s">
        <v>37</v>
      </c>
      <c r="J1" s="3" t="s">
        <v>38</v>
      </c>
      <c r="K1" s="3" t="s">
        <v>39</v>
      </c>
    </row>
    <row r="2" spans="1:11" ht="15.75" customHeight="1" x14ac:dyDescent="0.25">
      <c r="A2" s="14">
        <v>45658</v>
      </c>
      <c r="B2" s="9"/>
      <c r="C2" s="9"/>
      <c r="D2" s="12">
        <v>0</v>
      </c>
      <c r="E2" s="8"/>
      <c r="F2" s="8"/>
      <c r="G2" s="8"/>
      <c r="H2" s="8"/>
      <c r="I2" s="8"/>
      <c r="J2" s="8"/>
      <c r="K2" s="8"/>
    </row>
    <row r="3" spans="1:11" ht="15.75" customHeight="1" x14ac:dyDescent="0.25">
      <c r="A3" s="14">
        <v>45659</v>
      </c>
      <c r="B3" s="9"/>
      <c r="C3" s="9"/>
      <c r="D3" s="12">
        <v>0</v>
      </c>
      <c r="E3" s="8"/>
      <c r="F3" s="8"/>
      <c r="G3" s="8"/>
      <c r="H3" s="8"/>
      <c r="I3" s="8"/>
      <c r="J3" s="8"/>
      <c r="K3" s="8"/>
    </row>
    <row r="4" spans="1:11" ht="15.75" customHeight="1" x14ac:dyDescent="0.25">
      <c r="A4" s="14">
        <v>45660</v>
      </c>
      <c r="B4" s="9"/>
      <c r="C4" s="9"/>
      <c r="D4" s="12">
        <v>0</v>
      </c>
      <c r="E4" s="8"/>
      <c r="F4" s="8"/>
      <c r="G4" s="8"/>
      <c r="H4" s="8"/>
      <c r="I4" s="8"/>
      <c r="J4" s="8"/>
      <c r="K4" s="8"/>
    </row>
    <row r="5" spans="1:11" ht="15.75" customHeight="1" x14ac:dyDescent="0.25">
      <c r="A5" s="14">
        <v>45661</v>
      </c>
      <c r="B5" s="9"/>
      <c r="C5" s="9"/>
      <c r="D5" s="12">
        <v>0</v>
      </c>
      <c r="E5" s="8"/>
      <c r="F5" s="8"/>
      <c r="G5" s="8"/>
      <c r="H5" s="8"/>
      <c r="I5" s="8"/>
      <c r="J5" s="8"/>
      <c r="K5" s="8"/>
    </row>
    <row r="6" spans="1:11" ht="15.75" customHeight="1" x14ac:dyDescent="0.25">
      <c r="A6" s="14">
        <v>45662</v>
      </c>
      <c r="B6" s="9"/>
      <c r="C6" s="9"/>
      <c r="D6" s="12">
        <v>0</v>
      </c>
      <c r="E6" s="8"/>
      <c r="F6" s="8"/>
      <c r="G6" s="8"/>
      <c r="H6" s="8"/>
      <c r="I6" s="8"/>
      <c r="J6" s="8"/>
      <c r="K6" s="8"/>
    </row>
    <row r="7" spans="1:11" ht="15.75" customHeight="1" x14ac:dyDescent="0.25">
      <c r="A7" s="14">
        <v>45663</v>
      </c>
      <c r="B7" s="9"/>
      <c r="C7" s="9"/>
      <c r="D7" s="12">
        <v>0</v>
      </c>
      <c r="E7" s="8"/>
      <c r="F7" s="8"/>
      <c r="G7" s="8"/>
      <c r="H7" s="8"/>
      <c r="I7" s="8"/>
      <c r="J7" s="8"/>
      <c r="K7" s="8"/>
    </row>
    <row r="8" spans="1:11" ht="15.75" customHeight="1" x14ac:dyDescent="0.25">
      <c r="A8" s="14">
        <v>45664</v>
      </c>
      <c r="B8" s="9"/>
      <c r="C8" s="9"/>
      <c r="D8" s="12">
        <v>0</v>
      </c>
      <c r="E8" s="8"/>
      <c r="F8" s="8"/>
      <c r="G8" s="8"/>
      <c r="H8" s="8"/>
      <c r="I8" s="8"/>
      <c r="J8" s="8"/>
      <c r="K8" s="8"/>
    </row>
    <row r="9" spans="1:11" ht="15.75" customHeight="1" x14ac:dyDescent="0.25">
      <c r="A9" s="14">
        <v>45665</v>
      </c>
      <c r="B9" s="9"/>
      <c r="C9" s="9"/>
      <c r="D9" s="12">
        <v>0</v>
      </c>
      <c r="E9" s="8"/>
      <c r="F9" s="8"/>
      <c r="G9" s="8"/>
      <c r="H9" s="8"/>
      <c r="I9" s="8"/>
      <c r="J9" s="8"/>
      <c r="K9" s="8"/>
    </row>
    <row r="10" spans="1:11" ht="15.75" customHeight="1" x14ac:dyDescent="0.25">
      <c r="A10" s="14">
        <v>45666</v>
      </c>
      <c r="B10" s="9"/>
      <c r="C10" s="9"/>
      <c r="D10" s="12">
        <v>0</v>
      </c>
      <c r="E10" s="8"/>
      <c r="F10" s="8"/>
      <c r="G10" s="8"/>
      <c r="H10" s="8"/>
      <c r="I10" s="8"/>
      <c r="J10" s="8"/>
      <c r="K10" s="8"/>
    </row>
    <row r="11" spans="1:11" ht="15.75" customHeight="1" x14ac:dyDescent="0.25">
      <c r="A11" s="14">
        <v>45667</v>
      </c>
      <c r="B11" s="9"/>
      <c r="C11" s="9"/>
      <c r="D11" s="12">
        <v>0</v>
      </c>
      <c r="E11" s="8"/>
      <c r="F11" s="8"/>
      <c r="G11" s="8"/>
      <c r="H11" s="8"/>
      <c r="I11" s="8"/>
      <c r="J11" s="8"/>
      <c r="K11" s="8"/>
    </row>
    <row r="12" spans="1:11" ht="15.75" customHeight="1" x14ac:dyDescent="0.25">
      <c r="A12" s="14">
        <v>45668</v>
      </c>
      <c r="B12" s="9"/>
      <c r="C12" s="9"/>
      <c r="D12" s="12">
        <v>0</v>
      </c>
      <c r="E12" s="8"/>
      <c r="F12" s="8"/>
      <c r="G12" s="8"/>
      <c r="H12" s="8"/>
      <c r="I12" s="8"/>
      <c r="J12" s="8"/>
      <c r="K12" s="8"/>
    </row>
    <row r="13" spans="1:11" ht="15.75" customHeight="1" x14ac:dyDescent="0.25">
      <c r="A13" s="14">
        <v>44129</v>
      </c>
      <c r="B13" s="9"/>
      <c r="C13" s="9"/>
      <c r="D13" s="12">
        <v>0</v>
      </c>
      <c r="E13" s="8"/>
      <c r="F13" s="8"/>
      <c r="G13" s="8"/>
      <c r="H13" s="8"/>
      <c r="I13" s="8"/>
      <c r="J13" s="8"/>
      <c r="K13" s="8"/>
    </row>
    <row r="14" spans="1:11" ht="15.75" customHeight="1" x14ac:dyDescent="0.25">
      <c r="A14" s="14">
        <v>44130</v>
      </c>
      <c r="B14" s="9"/>
      <c r="C14" s="9"/>
      <c r="D14" s="12">
        <v>0</v>
      </c>
      <c r="E14" s="8"/>
      <c r="F14" s="8"/>
      <c r="G14" s="8"/>
      <c r="H14" s="8"/>
      <c r="I14" s="8"/>
      <c r="J14" s="8"/>
      <c r="K14" s="8"/>
    </row>
    <row r="15" spans="1:11" ht="15.75" customHeight="1" x14ac:dyDescent="0.25">
      <c r="A15" s="14">
        <v>44131</v>
      </c>
      <c r="B15" s="9"/>
      <c r="C15" s="9"/>
      <c r="D15" s="12">
        <v>0</v>
      </c>
      <c r="E15" s="8"/>
      <c r="F15" s="8"/>
      <c r="G15" s="8"/>
      <c r="H15" s="8"/>
      <c r="I15" s="8"/>
      <c r="J15" s="8"/>
      <c r="K15" s="8"/>
    </row>
    <row r="16" spans="1:11" ht="15.75" customHeight="1" x14ac:dyDescent="0.25">
      <c r="A16" s="14">
        <v>44132</v>
      </c>
      <c r="B16" s="9"/>
      <c r="C16" s="9"/>
      <c r="D16" s="12">
        <v>0</v>
      </c>
      <c r="E16" s="8"/>
      <c r="F16" s="8"/>
      <c r="G16" s="8"/>
      <c r="H16" s="8"/>
      <c r="I16" s="8"/>
      <c r="J16" s="8"/>
      <c r="K16" s="8"/>
    </row>
    <row r="17" spans="1:11" ht="15.75" customHeight="1" x14ac:dyDescent="0.25">
      <c r="A17" s="14">
        <v>44133</v>
      </c>
      <c r="B17" s="9"/>
      <c r="C17" s="9"/>
      <c r="D17" s="12">
        <v>0</v>
      </c>
      <c r="E17" s="8"/>
      <c r="F17" s="8"/>
      <c r="G17" s="8"/>
      <c r="H17" s="8"/>
      <c r="I17" s="8"/>
      <c r="J17" s="8"/>
      <c r="K17" s="8"/>
    </row>
    <row r="18" spans="1:11" ht="15.75" customHeight="1" x14ac:dyDescent="0.25">
      <c r="A18" s="14">
        <v>44134</v>
      </c>
      <c r="B18" s="9"/>
      <c r="C18" s="9"/>
      <c r="D18" s="12">
        <v>0</v>
      </c>
      <c r="E18" s="8"/>
      <c r="F18" s="8"/>
      <c r="G18" s="8"/>
      <c r="H18" s="8"/>
      <c r="I18" s="8"/>
      <c r="J18" s="8"/>
      <c r="K18" s="8"/>
    </row>
    <row r="19" spans="1:11" ht="15.75" customHeight="1" x14ac:dyDescent="0.25">
      <c r="A19" s="14">
        <v>44135</v>
      </c>
      <c r="B19" s="9"/>
      <c r="C19" s="9"/>
      <c r="D19" s="12">
        <v>0</v>
      </c>
      <c r="E19" s="8"/>
      <c r="F19" s="8"/>
      <c r="G19" s="8"/>
      <c r="H19" s="8"/>
      <c r="I19" s="8"/>
      <c r="J19" s="8"/>
      <c r="K19" s="8"/>
    </row>
    <row r="20" spans="1:11" ht="15.75" customHeight="1" x14ac:dyDescent="0.25">
      <c r="A20" s="14">
        <v>44136</v>
      </c>
      <c r="B20" s="9"/>
      <c r="C20" s="9"/>
      <c r="D20" s="12">
        <v>0</v>
      </c>
      <c r="E20" s="8"/>
      <c r="F20" s="8"/>
      <c r="G20" s="8"/>
      <c r="H20" s="8"/>
      <c r="I20" s="8"/>
      <c r="J20" s="8"/>
      <c r="K20" s="8"/>
    </row>
    <row r="21" spans="1:11" ht="15.75" customHeight="1" x14ac:dyDescent="0.25">
      <c r="A21" s="14">
        <v>44137</v>
      </c>
      <c r="B21" s="9"/>
      <c r="C21" s="9"/>
      <c r="D21" s="12">
        <v>0</v>
      </c>
      <c r="E21" s="8"/>
      <c r="F21" s="8"/>
      <c r="G21" s="8"/>
      <c r="H21" s="8"/>
      <c r="I21" s="8"/>
      <c r="J21" s="8"/>
      <c r="K21" s="8"/>
    </row>
    <row r="22" spans="1:11" ht="15.75" customHeight="1" x14ac:dyDescent="0.25">
      <c r="A22" s="14">
        <v>44138</v>
      </c>
      <c r="B22" s="9"/>
      <c r="C22" s="9"/>
      <c r="D22" s="12">
        <v>0</v>
      </c>
      <c r="E22" s="8"/>
      <c r="F22" s="8"/>
      <c r="G22" s="8"/>
      <c r="H22" s="8"/>
      <c r="I22" s="8"/>
      <c r="J22" s="8"/>
      <c r="K22" s="8"/>
    </row>
    <row r="23" spans="1:11" ht="15.75" customHeight="1" x14ac:dyDescent="0.25">
      <c r="A23" s="14">
        <v>44139</v>
      </c>
      <c r="B23" s="9"/>
      <c r="C23" s="9"/>
      <c r="D23" s="12">
        <v>0</v>
      </c>
      <c r="E23" s="8"/>
      <c r="F23" s="8"/>
      <c r="G23" s="8"/>
      <c r="H23" s="8"/>
      <c r="I23" s="8"/>
      <c r="J23" s="8"/>
      <c r="K23" s="8"/>
    </row>
    <row r="24" spans="1:11" ht="15.75" customHeight="1" x14ac:dyDescent="0.25">
      <c r="A24" s="14">
        <v>44140</v>
      </c>
      <c r="B24" s="9"/>
      <c r="C24" s="9"/>
      <c r="D24" s="12">
        <v>0</v>
      </c>
      <c r="E24" s="8"/>
      <c r="F24" s="8"/>
      <c r="G24" s="8"/>
      <c r="H24" s="8"/>
      <c r="I24" s="8"/>
      <c r="J24" s="8"/>
      <c r="K24" s="8"/>
    </row>
    <row r="25" spans="1:11" ht="15.75" customHeight="1" x14ac:dyDescent="0.25">
      <c r="A25" s="14">
        <v>44141</v>
      </c>
      <c r="B25" s="9"/>
      <c r="C25" s="9"/>
      <c r="D25" s="12">
        <v>0</v>
      </c>
      <c r="E25" s="8"/>
      <c r="F25" s="8"/>
      <c r="G25" s="8"/>
      <c r="H25" s="8"/>
      <c r="I25" s="8"/>
      <c r="J25" s="8"/>
      <c r="K25" s="8"/>
    </row>
    <row r="26" spans="1:11" ht="15.75" customHeight="1" x14ac:dyDescent="0.25">
      <c r="A26" s="14">
        <v>44142</v>
      </c>
      <c r="B26" s="9"/>
      <c r="C26" s="9"/>
      <c r="D26" s="12">
        <v>0</v>
      </c>
      <c r="E26" s="8"/>
      <c r="F26" s="8"/>
      <c r="G26" s="8"/>
      <c r="H26" s="8"/>
      <c r="I26" s="8"/>
      <c r="J26" s="8"/>
      <c r="K26" s="8"/>
    </row>
    <row r="27" spans="1:11" ht="15.75" customHeight="1" x14ac:dyDescent="0.25">
      <c r="A27" s="14">
        <v>44143</v>
      </c>
      <c r="B27" s="9"/>
      <c r="C27" s="9"/>
      <c r="D27" s="12">
        <v>0</v>
      </c>
      <c r="E27" s="8"/>
      <c r="F27" s="8"/>
      <c r="G27" s="8"/>
      <c r="H27" s="8"/>
      <c r="I27" s="8"/>
      <c r="J27" s="8"/>
      <c r="K27" s="8"/>
    </row>
    <row r="28" spans="1:11" ht="15.75" customHeight="1" x14ac:dyDescent="0.25">
      <c r="A28" s="14">
        <v>44144</v>
      </c>
      <c r="B28" s="9"/>
      <c r="C28" s="9"/>
      <c r="D28" s="12">
        <v>0</v>
      </c>
      <c r="E28" s="8"/>
      <c r="F28" s="8"/>
      <c r="G28" s="8"/>
      <c r="H28" s="8"/>
      <c r="I28" s="8"/>
      <c r="J28" s="8"/>
      <c r="K28" s="8"/>
    </row>
    <row r="29" spans="1:11" ht="15.75" customHeight="1" x14ac:dyDescent="0.25">
      <c r="A29" s="14">
        <v>44145</v>
      </c>
      <c r="B29" s="9"/>
      <c r="C29" s="9"/>
      <c r="D29" s="12">
        <v>0</v>
      </c>
      <c r="E29" s="8"/>
      <c r="F29" s="8"/>
      <c r="G29" s="8"/>
      <c r="H29" s="8"/>
      <c r="I29" s="8"/>
      <c r="J29" s="8"/>
      <c r="K29" s="8"/>
    </row>
    <row r="30" spans="1:11" ht="15.75" customHeight="1" x14ac:dyDescent="0.25">
      <c r="A30" s="14">
        <v>44146</v>
      </c>
      <c r="B30" s="9"/>
      <c r="C30" s="9"/>
      <c r="D30" s="12">
        <v>0</v>
      </c>
      <c r="E30" s="8"/>
      <c r="F30" s="8"/>
      <c r="G30" s="8"/>
      <c r="H30" s="8"/>
      <c r="I30" s="8"/>
      <c r="J30" s="8"/>
      <c r="K30" s="8"/>
    </row>
    <row r="31" spans="1:11" ht="15.75" customHeight="1" x14ac:dyDescent="0.25">
      <c r="A31" s="14">
        <v>44147</v>
      </c>
      <c r="B31" s="9"/>
      <c r="C31" s="9"/>
      <c r="D31" s="12">
        <v>0</v>
      </c>
      <c r="E31" s="8"/>
      <c r="F31" s="8"/>
      <c r="G31" s="8"/>
      <c r="H31" s="8"/>
      <c r="I31" s="8"/>
      <c r="J31" s="8"/>
      <c r="K31" s="8"/>
    </row>
    <row r="32" spans="1:11" ht="15.75" customHeight="1" x14ac:dyDescent="0.25">
      <c r="A32" s="14">
        <v>44148</v>
      </c>
      <c r="B32" s="9"/>
      <c r="C32" s="9"/>
      <c r="D32" s="12">
        <v>0</v>
      </c>
      <c r="E32" s="8"/>
      <c r="F32" s="8"/>
      <c r="G32" s="8"/>
      <c r="H32" s="8"/>
      <c r="I32" s="8"/>
      <c r="J32" s="8"/>
      <c r="K32" s="8"/>
    </row>
    <row r="33" spans="1:11" ht="15.75" customHeight="1" x14ac:dyDescent="0.25">
      <c r="A33" s="14">
        <v>44149</v>
      </c>
      <c r="B33" s="9"/>
      <c r="C33" s="9"/>
      <c r="D33" s="12">
        <v>0</v>
      </c>
      <c r="E33" s="8"/>
      <c r="F33" s="8"/>
      <c r="G33" s="8"/>
      <c r="H33" s="8"/>
      <c r="I33" s="8"/>
      <c r="J33" s="8"/>
      <c r="K33" s="8"/>
    </row>
    <row r="34" spans="1:11" ht="15.75" customHeight="1" x14ac:dyDescent="0.25">
      <c r="A34" s="14">
        <v>44150</v>
      </c>
      <c r="B34" s="9"/>
      <c r="C34" s="9"/>
      <c r="D34" s="12">
        <v>0</v>
      </c>
      <c r="E34" s="8"/>
      <c r="F34" s="8"/>
      <c r="G34" s="8"/>
      <c r="H34" s="8"/>
      <c r="I34" s="8"/>
      <c r="J34" s="8"/>
      <c r="K34" s="8"/>
    </row>
    <row r="35" spans="1:11" ht="15.75" customHeight="1" x14ac:dyDescent="0.25">
      <c r="A35" s="14">
        <v>44151</v>
      </c>
      <c r="B35" s="9"/>
      <c r="C35" s="9"/>
      <c r="D35" s="12">
        <v>0</v>
      </c>
      <c r="E35" s="8"/>
      <c r="F35" s="8"/>
      <c r="G35" s="8"/>
      <c r="H35" s="8"/>
      <c r="I35" s="8"/>
      <c r="J35" s="8"/>
      <c r="K35" s="8"/>
    </row>
    <row r="36" spans="1:11" ht="15.75" customHeight="1" x14ac:dyDescent="0.25">
      <c r="A36" s="14">
        <v>44152</v>
      </c>
      <c r="B36" s="9"/>
      <c r="C36" s="9"/>
      <c r="D36" s="12">
        <v>0</v>
      </c>
      <c r="E36" s="8"/>
      <c r="F36" s="8"/>
      <c r="G36" s="8"/>
      <c r="H36" s="8"/>
      <c r="I36" s="8"/>
      <c r="J36" s="8"/>
      <c r="K36" s="8"/>
    </row>
    <row r="37" spans="1:11" ht="15.75" customHeight="1" x14ac:dyDescent="0.25">
      <c r="A37" s="14">
        <v>44153</v>
      </c>
      <c r="B37" s="9"/>
      <c r="C37" s="9"/>
      <c r="D37" s="12">
        <v>0</v>
      </c>
      <c r="E37" s="8"/>
      <c r="F37" s="8"/>
      <c r="G37" s="8"/>
      <c r="H37" s="8"/>
      <c r="I37" s="8"/>
      <c r="J37" s="8"/>
      <c r="K37" s="8"/>
    </row>
    <row r="38" spans="1:11" ht="15.75" customHeight="1" x14ac:dyDescent="0.25">
      <c r="A38" s="14">
        <v>44154</v>
      </c>
      <c r="B38" s="9"/>
      <c r="C38" s="9"/>
      <c r="D38" s="12">
        <v>0</v>
      </c>
      <c r="E38" s="8"/>
      <c r="F38" s="8"/>
      <c r="G38" s="8"/>
      <c r="H38" s="8"/>
      <c r="I38" s="8"/>
      <c r="J38" s="8"/>
      <c r="K38" s="8"/>
    </row>
    <row r="39" spans="1:11" ht="15.75" customHeight="1" x14ac:dyDescent="0.25">
      <c r="A39" s="14">
        <v>44155</v>
      </c>
      <c r="B39" s="9"/>
      <c r="C39" s="9"/>
      <c r="D39" s="12">
        <v>0</v>
      </c>
      <c r="E39" s="8"/>
      <c r="F39" s="8"/>
      <c r="G39" s="8"/>
      <c r="H39" s="8"/>
      <c r="I39" s="8"/>
      <c r="J39" s="8"/>
      <c r="K39" s="8"/>
    </row>
    <row r="40" spans="1:11" ht="15.75" customHeight="1" x14ac:dyDescent="0.25">
      <c r="A40" s="14">
        <v>44156</v>
      </c>
      <c r="B40" s="9"/>
      <c r="C40" s="9"/>
      <c r="D40" s="12">
        <v>0</v>
      </c>
      <c r="E40" s="8"/>
      <c r="F40" s="8"/>
      <c r="G40" s="8"/>
      <c r="H40" s="8"/>
      <c r="I40" s="8"/>
      <c r="J40" s="8"/>
      <c r="K40" s="8"/>
    </row>
    <row r="41" spans="1:11" ht="15.75" customHeight="1" x14ac:dyDescent="0.25">
      <c r="A41" s="14">
        <v>44157</v>
      </c>
      <c r="B41" s="9"/>
      <c r="C41" s="9"/>
      <c r="D41" s="12">
        <v>0</v>
      </c>
      <c r="E41" s="8"/>
      <c r="F41" s="8"/>
      <c r="G41" s="8"/>
      <c r="H41" s="8"/>
      <c r="I41" s="8"/>
      <c r="J41" s="8"/>
      <c r="K41" s="8"/>
    </row>
    <row r="42" spans="1:11" ht="15.75" customHeight="1" x14ac:dyDescent="0.25">
      <c r="A42" s="14">
        <v>44158</v>
      </c>
      <c r="B42" s="9"/>
      <c r="C42" s="9"/>
      <c r="D42" s="12">
        <v>0</v>
      </c>
      <c r="E42" s="8"/>
      <c r="F42" s="8"/>
      <c r="G42" s="8"/>
      <c r="H42" s="8"/>
      <c r="I42" s="8"/>
      <c r="J42" s="8"/>
      <c r="K42" s="8"/>
    </row>
    <row r="43" spans="1:11" ht="15.75" customHeight="1" x14ac:dyDescent="0.25">
      <c r="A43" s="14">
        <v>44159</v>
      </c>
      <c r="B43" s="9"/>
      <c r="C43" s="9"/>
      <c r="D43" s="12">
        <v>0</v>
      </c>
      <c r="E43" s="8"/>
      <c r="F43" s="8"/>
      <c r="G43" s="8"/>
      <c r="H43" s="8"/>
      <c r="I43" s="8"/>
      <c r="J43" s="8"/>
      <c r="K43" s="8"/>
    </row>
    <row r="44" spans="1:11" ht="15.75" customHeight="1" x14ac:dyDescent="0.25">
      <c r="A44" s="14">
        <v>44160</v>
      </c>
      <c r="B44" s="9"/>
      <c r="C44" s="9"/>
      <c r="D44" s="12">
        <v>0</v>
      </c>
      <c r="E44" s="8"/>
      <c r="F44" s="8"/>
      <c r="G44" s="8"/>
      <c r="H44" s="8"/>
      <c r="I44" s="8"/>
      <c r="J44" s="8"/>
      <c r="K44" s="8"/>
    </row>
    <row r="45" spans="1:11" ht="15.75" customHeight="1" x14ac:dyDescent="0.25">
      <c r="A45" s="14">
        <v>44161</v>
      </c>
      <c r="B45" s="9"/>
      <c r="C45" s="9"/>
      <c r="D45" s="12">
        <v>0</v>
      </c>
      <c r="E45" s="8"/>
      <c r="F45" s="8"/>
      <c r="G45" s="8"/>
      <c r="H45" s="8"/>
      <c r="I45" s="8"/>
      <c r="J45" s="8"/>
      <c r="K45" s="8"/>
    </row>
    <row r="46" spans="1:11" ht="15.75" customHeight="1" x14ac:dyDescent="0.25">
      <c r="A46" s="14">
        <v>44162</v>
      </c>
      <c r="B46" s="9"/>
      <c r="C46" s="9"/>
      <c r="D46" s="12">
        <v>0</v>
      </c>
      <c r="E46" s="8"/>
      <c r="F46" s="8"/>
      <c r="G46" s="8"/>
      <c r="H46" s="8"/>
      <c r="I46" s="8"/>
      <c r="J46" s="8"/>
      <c r="K46" s="8"/>
    </row>
    <row r="47" spans="1:11" ht="15.75" customHeight="1" x14ac:dyDescent="0.25">
      <c r="A47" s="9"/>
      <c r="B47" s="9"/>
      <c r="C47" s="9"/>
      <c r="D47" s="9"/>
    </row>
    <row r="48" spans="1:11" ht="15.75" customHeight="1" x14ac:dyDescent="0.25">
      <c r="A48" s="9"/>
      <c r="B48" s="9"/>
      <c r="C48" s="9"/>
      <c r="D48" s="9"/>
    </row>
    <row r="49" spans="1:4" ht="15.75" customHeight="1" x14ac:dyDescent="0.25">
      <c r="A49" s="9"/>
      <c r="B49" s="9"/>
      <c r="C49" s="9"/>
      <c r="D49" s="9"/>
    </row>
    <row r="50" spans="1:4" ht="15.75" customHeight="1" x14ac:dyDescent="0.25">
      <c r="A50" s="9"/>
      <c r="B50" s="9"/>
      <c r="C50" s="9"/>
      <c r="D50" s="9"/>
    </row>
    <row r="51" spans="1:4" ht="15.75" customHeight="1" x14ac:dyDescent="0.25">
      <c r="A51" s="9"/>
      <c r="B51" s="9"/>
      <c r="C51" s="9"/>
      <c r="D51" s="9"/>
    </row>
    <row r="52" spans="1:4" ht="15.75" customHeight="1" x14ac:dyDescent="0.25">
      <c r="A52" s="9"/>
      <c r="B52" s="9"/>
      <c r="C52" s="9"/>
      <c r="D52" s="9"/>
    </row>
    <row r="53" spans="1:4" ht="15.75" customHeight="1" x14ac:dyDescent="0.25">
      <c r="A53" s="9"/>
      <c r="B53" s="9"/>
      <c r="C53" s="9"/>
      <c r="D53" s="9"/>
    </row>
    <row r="54" spans="1:4" ht="15.75" customHeight="1" x14ac:dyDescent="0.25">
      <c r="A54" s="9"/>
      <c r="B54" s="9"/>
      <c r="C54" s="9"/>
      <c r="D54" s="9"/>
    </row>
    <row r="55" spans="1:4" ht="15.75" customHeight="1" x14ac:dyDescent="0.25">
      <c r="A55" s="9"/>
      <c r="B55" s="9"/>
      <c r="C55" s="9"/>
      <c r="D55" s="9"/>
    </row>
    <row r="56" spans="1:4" ht="15.75" customHeight="1" x14ac:dyDescent="0.25">
      <c r="A56" s="9"/>
      <c r="B56" s="9"/>
      <c r="C56" s="9"/>
      <c r="D56" s="9"/>
    </row>
    <row r="57" spans="1:4" ht="15.75" customHeight="1" x14ac:dyDescent="0.25">
      <c r="A57" s="9"/>
      <c r="B57" s="9"/>
      <c r="C57" s="9"/>
      <c r="D57" s="9"/>
    </row>
    <row r="58" spans="1:4" ht="15.75" customHeight="1" x14ac:dyDescent="0.25">
      <c r="A58" s="9"/>
      <c r="B58" s="9"/>
      <c r="C58" s="9"/>
      <c r="D58" s="9"/>
    </row>
    <row r="59" spans="1:4" ht="15.75" customHeight="1" x14ac:dyDescent="0.25">
      <c r="A59" s="9"/>
      <c r="B59" s="9"/>
      <c r="C59" s="9"/>
      <c r="D59" s="9"/>
    </row>
    <row r="60" spans="1:4" ht="15.75" customHeight="1" x14ac:dyDescent="0.25">
      <c r="A60" s="9"/>
      <c r="B60" s="9"/>
      <c r="C60" s="9"/>
      <c r="D60" s="9"/>
    </row>
    <row r="61" spans="1:4" ht="15.75" customHeight="1" x14ac:dyDescent="0.25">
      <c r="A61" s="9"/>
      <c r="B61" s="9"/>
      <c r="C61" s="9"/>
      <c r="D61" s="9"/>
    </row>
    <row r="62" spans="1:4" ht="15.75" customHeight="1" x14ac:dyDescent="0.25">
      <c r="A62" s="9"/>
      <c r="B62" s="9"/>
      <c r="C62" s="9"/>
      <c r="D62" s="9"/>
    </row>
    <row r="63" spans="1:4" ht="15.75" customHeight="1" x14ac:dyDescent="0.25">
      <c r="A63" s="9"/>
      <c r="B63" s="9"/>
      <c r="C63" s="9"/>
      <c r="D63" s="9"/>
    </row>
    <row r="64" spans="1:4" ht="15.75" customHeight="1" x14ac:dyDescent="0.25">
      <c r="A64" s="9"/>
      <c r="B64" s="9"/>
      <c r="C64" s="9"/>
      <c r="D64" s="9"/>
    </row>
    <row r="65" spans="1:4" ht="15.75" customHeight="1" x14ac:dyDescent="0.25">
      <c r="A65" s="9"/>
      <c r="B65" s="9"/>
      <c r="C65" s="9"/>
      <c r="D65" s="9"/>
    </row>
    <row r="66" spans="1:4" ht="15.75" customHeight="1" x14ac:dyDescent="0.25">
      <c r="A66" s="9"/>
      <c r="B66" s="9"/>
      <c r="C66" s="9"/>
      <c r="D66" s="9"/>
    </row>
    <row r="67" spans="1:4" ht="15.75" customHeight="1" x14ac:dyDescent="0.25">
      <c r="A67" s="9"/>
      <c r="B67" s="9"/>
      <c r="C67" s="9"/>
      <c r="D67" s="9"/>
    </row>
    <row r="68" spans="1:4" ht="15.75" customHeight="1" x14ac:dyDescent="0.25">
      <c r="A68" s="9"/>
      <c r="B68" s="9"/>
      <c r="C68" s="9"/>
      <c r="D68" s="9"/>
    </row>
    <row r="69" spans="1:4" ht="15.75" customHeight="1" x14ac:dyDescent="0.25">
      <c r="A69" s="9"/>
      <c r="B69" s="9"/>
      <c r="C69" s="9"/>
      <c r="D69" s="9"/>
    </row>
    <row r="70" spans="1:4" ht="15.75" customHeight="1" x14ac:dyDescent="0.25">
      <c r="A70" s="9"/>
      <c r="B70" s="9"/>
      <c r="C70" s="9"/>
      <c r="D70" s="9"/>
    </row>
    <row r="71" spans="1:4" ht="15.75" customHeight="1" x14ac:dyDescent="0.25">
      <c r="A71" s="9"/>
      <c r="B71" s="9"/>
      <c r="C71" s="9"/>
      <c r="D71" s="9"/>
    </row>
    <row r="72" spans="1:4" ht="15.75" customHeight="1" x14ac:dyDescent="0.25">
      <c r="A72" s="9"/>
      <c r="B72" s="9"/>
      <c r="C72" s="9"/>
      <c r="D72" s="9"/>
    </row>
    <row r="73" spans="1:4" ht="15.75" customHeight="1" x14ac:dyDescent="0.25">
      <c r="A73" s="9"/>
      <c r="B73" s="9"/>
      <c r="C73" s="9"/>
      <c r="D73" s="9"/>
    </row>
    <row r="74" spans="1:4" ht="15.75" customHeight="1" x14ac:dyDescent="0.25">
      <c r="A74" s="9"/>
      <c r="B74" s="9"/>
      <c r="C74" s="9"/>
      <c r="D74" s="9"/>
    </row>
    <row r="75" spans="1:4" ht="15.75" customHeight="1" x14ac:dyDescent="0.25">
      <c r="A75" s="9"/>
      <c r="B75" s="9"/>
      <c r="C75" s="9"/>
      <c r="D75" s="9"/>
    </row>
    <row r="76" spans="1:4" ht="15.75" customHeight="1" x14ac:dyDescent="0.25">
      <c r="A76" s="9"/>
      <c r="B76" s="9"/>
      <c r="C76" s="9"/>
      <c r="D76" s="9"/>
    </row>
    <row r="77" spans="1:4" ht="15.75" customHeight="1" x14ac:dyDescent="0.25">
      <c r="A77" s="9"/>
      <c r="B77" s="9"/>
      <c r="C77" s="9"/>
      <c r="D77" s="9"/>
    </row>
    <row r="78" spans="1:4" ht="15.75" customHeight="1" x14ac:dyDescent="0.25">
      <c r="A78" s="9"/>
      <c r="B78" s="9"/>
      <c r="C78" s="9"/>
      <c r="D78" s="9"/>
    </row>
    <row r="79" spans="1:4" ht="15.75" customHeight="1" x14ac:dyDescent="0.25">
      <c r="A79" s="9"/>
      <c r="B79" s="9"/>
      <c r="C79" s="9"/>
      <c r="D79" s="9"/>
    </row>
    <row r="80" spans="1:4" ht="15.75" customHeight="1" x14ac:dyDescent="0.25">
      <c r="A80" s="9"/>
      <c r="B80" s="9"/>
      <c r="C80" s="9"/>
      <c r="D80" s="9"/>
    </row>
    <row r="81" spans="1:4" ht="15.75" customHeight="1" x14ac:dyDescent="0.25">
      <c r="A81" s="9"/>
      <c r="B81" s="9"/>
      <c r="C81" s="9"/>
      <c r="D81" s="9"/>
    </row>
    <row r="82" spans="1:4" ht="15.75" customHeight="1" x14ac:dyDescent="0.25">
      <c r="A82" s="9"/>
      <c r="B82" s="9"/>
      <c r="C82" s="9"/>
      <c r="D82" s="9"/>
    </row>
    <row r="83" spans="1:4" ht="15.75" customHeight="1" x14ac:dyDescent="0.25">
      <c r="A83" s="9"/>
      <c r="B83" s="9"/>
      <c r="C83" s="9"/>
      <c r="D83" s="9"/>
    </row>
    <row r="84" spans="1:4" ht="15.75" customHeight="1" x14ac:dyDescent="0.25">
      <c r="A84" s="9"/>
      <c r="B84" s="9"/>
      <c r="C84" s="9"/>
      <c r="D84" s="9"/>
    </row>
    <row r="85" spans="1:4" ht="15.75" customHeight="1" x14ac:dyDescent="0.25">
      <c r="A85" s="9"/>
      <c r="B85" s="9"/>
      <c r="C85" s="9"/>
      <c r="D85" s="9"/>
    </row>
    <row r="86" spans="1:4" ht="15.75" customHeight="1" x14ac:dyDescent="0.25">
      <c r="A86" s="9"/>
      <c r="B86" s="9"/>
      <c r="C86" s="9"/>
      <c r="D86" s="9"/>
    </row>
    <row r="87" spans="1:4" ht="15.75" customHeight="1" x14ac:dyDescent="0.25">
      <c r="A87" s="9"/>
      <c r="B87" s="9"/>
      <c r="C87" s="9"/>
      <c r="D87" s="9"/>
    </row>
    <row r="88" spans="1:4" ht="15.75" customHeight="1" x14ac:dyDescent="0.25">
      <c r="A88" s="9"/>
      <c r="B88" s="9"/>
      <c r="C88" s="9"/>
      <c r="D88" s="9"/>
    </row>
    <row r="89" spans="1:4" ht="15.75" customHeight="1" x14ac:dyDescent="0.25">
      <c r="A89" s="9"/>
      <c r="B89" s="9"/>
      <c r="C89" s="9"/>
      <c r="D89" s="9"/>
    </row>
    <row r="90" spans="1:4" ht="15.75" customHeight="1" x14ac:dyDescent="0.25">
      <c r="A90" s="9"/>
      <c r="B90" s="9"/>
      <c r="C90" s="9"/>
      <c r="D90" s="9"/>
    </row>
    <row r="91" spans="1:4" ht="15.75" customHeight="1" x14ac:dyDescent="0.25">
      <c r="A91" s="9"/>
      <c r="B91" s="9"/>
      <c r="C91" s="9"/>
      <c r="D91" s="9"/>
    </row>
    <row r="92" spans="1:4" ht="15.75" customHeight="1" x14ac:dyDescent="0.25">
      <c r="A92" s="9"/>
      <c r="B92" s="9"/>
      <c r="C92" s="9"/>
      <c r="D92" s="9"/>
    </row>
    <row r="93" spans="1:4" ht="15.75" customHeight="1" x14ac:dyDescent="0.25">
      <c r="A93" s="9"/>
      <c r="B93" s="9"/>
      <c r="C93" s="9"/>
      <c r="D93" s="9"/>
    </row>
    <row r="94" spans="1:4" ht="15.75" customHeight="1" x14ac:dyDescent="0.25">
      <c r="A94" s="9"/>
      <c r="B94" s="9"/>
      <c r="C94" s="9"/>
      <c r="D94" s="9"/>
    </row>
    <row r="95" spans="1:4" ht="15.75" customHeight="1" x14ac:dyDescent="0.25">
      <c r="A95" s="9"/>
      <c r="B95" s="9"/>
      <c r="C95" s="9"/>
      <c r="D95" s="9"/>
    </row>
    <row r="96" spans="1:4" ht="15.75" customHeight="1" x14ac:dyDescent="0.25">
      <c r="A96" s="9"/>
      <c r="B96" s="9"/>
      <c r="C96" s="9"/>
      <c r="D96" s="9"/>
    </row>
    <row r="97" spans="1:4" ht="15.75" customHeight="1" x14ac:dyDescent="0.25">
      <c r="A97" s="9"/>
      <c r="B97" s="9"/>
      <c r="C97" s="9"/>
      <c r="D97" s="9"/>
    </row>
    <row r="98" spans="1:4" ht="15.75" customHeight="1" x14ac:dyDescent="0.25">
      <c r="A98" s="9"/>
      <c r="B98" s="9"/>
      <c r="C98" s="9"/>
      <c r="D98" s="9"/>
    </row>
    <row r="99" spans="1:4" ht="15.75" customHeight="1" x14ac:dyDescent="0.25">
      <c r="A99" s="9"/>
      <c r="B99" s="9"/>
      <c r="C99" s="9"/>
      <c r="D99" s="9"/>
    </row>
    <row r="100" spans="1:4" ht="15.75" customHeight="1" x14ac:dyDescent="0.25">
      <c r="A100" s="9"/>
      <c r="B100" s="9"/>
      <c r="C100" s="9"/>
      <c r="D100" s="9"/>
    </row>
    <row r="101" spans="1:4" ht="15.75" customHeight="1" x14ac:dyDescent="0.25">
      <c r="A101" s="9"/>
      <c r="B101" s="9"/>
      <c r="C101" s="9"/>
      <c r="D101" s="9"/>
    </row>
    <row r="102" spans="1:4" ht="15.75" customHeight="1" x14ac:dyDescent="0.25">
      <c r="A102" s="9"/>
      <c r="B102" s="9"/>
      <c r="C102" s="9"/>
      <c r="D102" s="9"/>
    </row>
    <row r="103" spans="1:4" ht="15.75" customHeight="1" x14ac:dyDescent="0.25">
      <c r="A103" s="9"/>
      <c r="B103" s="9"/>
      <c r="C103" s="9"/>
      <c r="D103" s="9"/>
    </row>
    <row r="104" spans="1:4" ht="15.75" customHeight="1" x14ac:dyDescent="0.25">
      <c r="A104" s="9"/>
      <c r="B104" s="9"/>
      <c r="C104" s="9"/>
      <c r="D104" s="9"/>
    </row>
    <row r="105" spans="1:4" ht="15.75" customHeight="1" x14ac:dyDescent="0.25">
      <c r="A105" s="9"/>
      <c r="B105" s="9"/>
      <c r="C105" s="9"/>
      <c r="D105" s="9"/>
    </row>
    <row r="106" spans="1:4" ht="15.75" customHeight="1" x14ac:dyDescent="0.25">
      <c r="A106" s="9"/>
      <c r="B106" s="9"/>
      <c r="C106" s="9"/>
      <c r="D106" s="9"/>
    </row>
    <row r="107" spans="1:4" ht="15.75" customHeight="1" x14ac:dyDescent="0.25">
      <c r="A107" s="9"/>
      <c r="B107" s="9"/>
      <c r="C107" s="9"/>
      <c r="D107" s="9"/>
    </row>
    <row r="108" spans="1:4" ht="15.75" customHeight="1" x14ac:dyDescent="0.25">
      <c r="A108" s="9"/>
      <c r="B108" s="9"/>
      <c r="C108" s="9"/>
      <c r="D108" s="9"/>
    </row>
    <row r="109" spans="1:4" ht="15.75" customHeight="1" x14ac:dyDescent="0.25">
      <c r="A109" s="9"/>
      <c r="B109" s="9"/>
      <c r="C109" s="9"/>
      <c r="D109" s="9"/>
    </row>
    <row r="110" spans="1:4" ht="15.75" customHeight="1" x14ac:dyDescent="0.25">
      <c r="A110" s="9"/>
      <c r="B110" s="9"/>
      <c r="C110" s="9"/>
      <c r="D110" s="9"/>
    </row>
    <row r="111" spans="1:4" ht="15.75" customHeight="1" x14ac:dyDescent="0.25">
      <c r="A111" s="9"/>
      <c r="B111" s="9"/>
      <c r="C111" s="9"/>
      <c r="D111" s="9"/>
    </row>
    <row r="112" spans="1:4" ht="15.75" customHeight="1" x14ac:dyDescent="0.25">
      <c r="A112" s="9"/>
      <c r="B112" s="9"/>
      <c r="C112" s="9"/>
      <c r="D112" s="9"/>
    </row>
    <row r="113" spans="1:4" ht="15.75" customHeight="1" x14ac:dyDescent="0.25">
      <c r="A113" s="9"/>
      <c r="B113" s="9"/>
      <c r="C113" s="9"/>
      <c r="D113" s="9"/>
    </row>
    <row r="114" spans="1:4" ht="15.75" customHeight="1" x14ac:dyDescent="0.25">
      <c r="A114" s="9"/>
      <c r="B114" s="9"/>
      <c r="C114" s="9"/>
      <c r="D114" s="9"/>
    </row>
    <row r="115" spans="1:4" ht="15.75" customHeight="1" x14ac:dyDescent="0.25">
      <c r="A115" s="9"/>
      <c r="B115" s="9"/>
      <c r="C115" s="9"/>
      <c r="D115" s="9"/>
    </row>
    <row r="116" spans="1:4" ht="15.75" customHeight="1" x14ac:dyDescent="0.25">
      <c r="A116" s="9"/>
      <c r="B116" s="9"/>
      <c r="C116" s="9"/>
      <c r="D116" s="9"/>
    </row>
    <row r="117" spans="1:4" ht="15.75" customHeight="1" x14ac:dyDescent="0.25">
      <c r="A117" s="9"/>
      <c r="B117" s="9"/>
      <c r="C117" s="9"/>
      <c r="D117" s="9"/>
    </row>
    <row r="118" spans="1:4" ht="15.75" customHeight="1" x14ac:dyDescent="0.25">
      <c r="A118" s="9"/>
      <c r="B118" s="9"/>
      <c r="C118" s="9"/>
      <c r="D118" s="9"/>
    </row>
    <row r="119" spans="1:4" ht="15.75" customHeight="1" x14ac:dyDescent="0.25">
      <c r="A119" s="9"/>
      <c r="B119" s="9"/>
      <c r="C119" s="9"/>
      <c r="D119" s="9"/>
    </row>
    <row r="120" spans="1:4" ht="15.75" customHeight="1" x14ac:dyDescent="0.25">
      <c r="A120" s="9"/>
      <c r="B120" s="9"/>
      <c r="C120" s="9"/>
      <c r="D120" s="9"/>
    </row>
    <row r="121" spans="1:4" ht="15.75" customHeight="1" x14ac:dyDescent="0.25">
      <c r="A121" s="9"/>
      <c r="B121" s="9"/>
      <c r="C121" s="9"/>
      <c r="D121" s="9"/>
    </row>
    <row r="122" spans="1:4" ht="15.75" customHeight="1" x14ac:dyDescent="0.25">
      <c r="A122" s="9"/>
      <c r="B122" s="9"/>
      <c r="C122" s="9"/>
      <c r="D122" s="9"/>
    </row>
    <row r="123" spans="1:4" ht="15.75" customHeight="1" x14ac:dyDescent="0.25">
      <c r="A123" s="9"/>
      <c r="B123" s="9"/>
      <c r="C123" s="9"/>
      <c r="D123" s="9"/>
    </row>
    <row r="124" spans="1:4" ht="15.75" customHeight="1" x14ac:dyDescent="0.25">
      <c r="A124" s="9"/>
      <c r="B124" s="9"/>
      <c r="C124" s="9"/>
      <c r="D124" s="9"/>
    </row>
    <row r="125" spans="1:4" ht="15.75" customHeight="1" x14ac:dyDescent="0.25">
      <c r="A125" s="9"/>
      <c r="B125" s="9"/>
      <c r="C125" s="9"/>
      <c r="D125" s="9"/>
    </row>
    <row r="126" spans="1:4" ht="15.75" customHeight="1" x14ac:dyDescent="0.25">
      <c r="A126" s="9"/>
      <c r="B126" s="9"/>
      <c r="C126" s="9"/>
      <c r="D126" s="9"/>
    </row>
    <row r="127" spans="1:4" ht="15.75" customHeight="1" x14ac:dyDescent="0.25">
      <c r="A127" s="9"/>
      <c r="B127" s="9"/>
      <c r="C127" s="9"/>
      <c r="D127" s="9"/>
    </row>
    <row r="128" spans="1:4" ht="15.75" customHeight="1" x14ac:dyDescent="0.25">
      <c r="A128" s="9"/>
      <c r="B128" s="9"/>
      <c r="C128" s="9"/>
      <c r="D128" s="9"/>
    </row>
    <row r="129" spans="1:4" ht="15.75" customHeight="1" x14ac:dyDescent="0.25">
      <c r="A129" s="9"/>
      <c r="B129" s="9"/>
      <c r="C129" s="9"/>
      <c r="D129" s="9"/>
    </row>
    <row r="130" spans="1:4" ht="15.75" customHeight="1" x14ac:dyDescent="0.25">
      <c r="A130" s="9"/>
      <c r="B130" s="9"/>
      <c r="C130" s="9"/>
      <c r="D130" s="9"/>
    </row>
    <row r="131" spans="1:4" ht="15.75" customHeight="1" x14ac:dyDescent="0.25">
      <c r="A131" s="9"/>
      <c r="B131" s="9"/>
      <c r="C131" s="9"/>
      <c r="D131" s="9"/>
    </row>
    <row r="132" spans="1:4" ht="15.75" customHeight="1" x14ac:dyDescent="0.25">
      <c r="A132" s="9"/>
      <c r="B132" s="9"/>
      <c r="C132" s="9"/>
      <c r="D132" s="9"/>
    </row>
    <row r="133" spans="1:4" ht="15.75" customHeight="1" x14ac:dyDescent="0.25">
      <c r="A133" s="9"/>
      <c r="B133" s="9"/>
      <c r="C133" s="9"/>
      <c r="D133" s="9"/>
    </row>
    <row r="134" spans="1:4" ht="15.75" customHeight="1" x14ac:dyDescent="0.25">
      <c r="A134" s="9"/>
      <c r="B134" s="9"/>
      <c r="C134" s="9"/>
      <c r="D134" s="9"/>
    </row>
    <row r="135" spans="1:4" ht="15.75" customHeight="1" x14ac:dyDescent="0.25">
      <c r="A135" s="9"/>
      <c r="B135" s="9"/>
      <c r="C135" s="9"/>
      <c r="D135" s="9"/>
    </row>
    <row r="136" spans="1:4" ht="15.75" customHeight="1" x14ac:dyDescent="0.25">
      <c r="A136" s="9"/>
      <c r="B136" s="9"/>
      <c r="C136" s="9"/>
      <c r="D136" s="9"/>
    </row>
    <row r="137" spans="1:4" ht="15.75" customHeight="1" x14ac:dyDescent="0.25">
      <c r="A137" s="9"/>
      <c r="B137" s="9"/>
      <c r="C137" s="9"/>
      <c r="D137" s="9"/>
    </row>
    <row r="138" spans="1:4" ht="15.75" customHeight="1" x14ac:dyDescent="0.25">
      <c r="A138" s="9"/>
      <c r="B138" s="9"/>
      <c r="C138" s="9"/>
      <c r="D138" s="9"/>
    </row>
    <row r="139" spans="1:4" ht="15.75" customHeight="1" x14ac:dyDescent="0.25">
      <c r="A139" s="9"/>
      <c r="B139" s="9"/>
      <c r="C139" s="9"/>
      <c r="D139" s="9"/>
    </row>
    <row r="140" spans="1:4" ht="15.75" customHeight="1" x14ac:dyDescent="0.25">
      <c r="A140" s="9"/>
      <c r="B140" s="9"/>
      <c r="C140" s="9"/>
      <c r="D140" s="9"/>
    </row>
    <row r="141" spans="1:4" ht="15.75" customHeight="1" x14ac:dyDescent="0.25">
      <c r="A141" s="9"/>
      <c r="B141" s="9"/>
      <c r="C141" s="9"/>
      <c r="D141" s="9"/>
    </row>
    <row r="142" spans="1:4" ht="15.75" customHeight="1" x14ac:dyDescent="0.25">
      <c r="A142" s="9"/>
      <c r="B142" s="9"/>
      <c r="C142" s="9"/>
      <c r="D142" s="9"/>
    </row>
    <row r="143" spans="1:4" ht="15.75" customHeight="1" x14ac:dyDescent="0.25">
      <c r="A143" s="9"/>
      <c r="B143" s="9"/>
      <c r="C143" s="9"/>
      <c r="D143" s="9"/>
    </row>
    <row r="144" spans="1:4" ht="15.75" customHeight="1" x14ac:dyDescent="0.25">
      <c r="A144" s="9"/>
      <c r="B144" s="9"/>
      <c r="C144" s="9"/>
      <c r="D144" s="9"/>
    </row>
    <row r="145" spans="1:4" ht="15.75" customHeight="1" x14ac:dyDescent="0.25">
      <c r="A145" s="9"/>
      <c r="B145" s="9"/>
      <c r="C145" s="9"/>
      <c r="D145" s="9"/>
    </row>
    <row r="146" spans="1:4" ht="15.75" customHeight="1" x14ac:dyDescent="0.25">
      <c r="A146" s="9"/>
      <c r="B146" s="9"/>
      <c r="C146" s="9"/>
      <c r="D146" s="9"/>
    </row>
    <row r="147" spans="1:4" ht="15.75" customHeight="1" x14ac:dyDescent="0.25">
      <c r="A147" s="9"/>
      <c r="B147" s="9"/>
      <c r="C147" s="9"/>
      <c r="D147" s="9"/>
    </row>
    <row r="148" spans="1:4" ht="15.75" customHeight="1" x14ac:dyDescent="0.25">
      <c r="A148" s="9"/>
      <c r="B148" s="9"/>
      <c r="C148" s="9"/>
      <c r="D148" s="9"/>
    </row>
    <row r="149" spans="1:4" ht="15.75" customHeight="1" x14ac:dyDescent="0.25">
      <c r="A149" s="9"/>
      <c r="B149" s="9"/>
      <c r="C149" s="9"/>
      <c r="D149" s="9"/>
    </row>
    <row r="150" spans="1:4" ht="15.75" customHeight="1" x14ac:dyDescent="0.25">
      <c r="A150" s="9"/>
      <c r="B150" s="9"/>
      <c r="C150" s="9"/>
      <c r="D150" s="9"/>
    </row>
    <row r="151" spans="1:4" ht="15.75" customHeight="1" x14ac:dyDescent="0.25">
      <c r="A151" s="9"/>
      <c r="B151" s="9"/>
      <c r="C151" s="9"/>
      <c r="D151" s="9"/>
    </row>
    <row r="152" spans="1:4" ht="15.75" customHeight="1" x14ac:dyDescent="0.25">
      <c r="A152" s="9"/>
      <c r="B152" s="9"/>
      <c r="C152" s="9"/>
      <c r="D152" s="9"/>
    </row>
    <row r="153" spans="1:4" ht="15.75" customHeight="1" x14ac:dyDescent="0.25">
      <c r="A153" s="9"/>
      <c r="B153" s="9"/>
      <c r="C153" s="9"/>
      <c r="D153" s="9"/>
    </row>
    <row r="154" spans="1:4" ht="15.75" customHeight="1" x14ac:dyDescent="0.25">
      <c r="A154" s="9"/>
      <c r="B154" s="9"/>
      <c r="C154" s="9"/>
      <c r="D154" s="9"/>
    </row>
    <row r="155" spans="1:4" ht="15.75" customHeight="1" x14ac:dyDescent="0.25">
      <c r="A155" s="9"/>
      <c r="B155" s="9"/>
      <c r="C155" s="9"/>
      <c r="D155" s="9"/>
    </row>
    <row r="156" spans="1:4" ht="15.75" customHeight="1" x14ac:dyDescent="0.25">
      <c r="A156" s="9"/>
      <c r="B156" s="9"/>
      <c r="C156" s="9"/>
      <c r="D156" s="9"/>
    </row>
    <row r="157" spans="1:4" ht="15.75" customHeight="1" x14ac:dyDescent="0.25">
      <c r="A157" s="9"/>
      <c r="B157" s="9"/>
      <c r="C157" s="9"/>
      <c r="D157" s="9"/>
    </row>
    <row r="158" spans="1:4" ht="15.75" customHeight="1" x14ac:dyDescent="0.25">
      <c r="A158" s="9"/>
      <c r="B158" s="9"/>
      <c r="C158" s="9"/>
      <c r="D158" s="9"/>
    </row>
    <row r="159" spans="1:4" ht="15.75" customHeight="1" x14ac:dyDescent="0.25">
      <c r="A159" s="9"/>
      <c r="B159" s="9"/>
      <c r="C159" s="9"/>
      <c r="D159" s="9"/>
    </row>
    <row r="160" spans="1:4" ht="15.75" customHeight="1" x14ac:dyDescent="0.25">
      <c r="A160" s="9"/>
      <c r="B160" s="9"/>
      <c r="C160" s="9"/>
      <c r="D160" s="9"/>
    </row>
    <row r="161" spans="1:4" ht="15.75" customHeight="1" x14ac:dyDescent="0.25">
      <c r="A161" s="9"/>
      <c r="B161" s="9"/>
      <c r="C161" s="9"/>
      <c r="D161" s="9"/>
    </row>
    <row r="162" spans="1:4" ht="15.75" customHeight="1" x14ac:dyDescent="0.25">
      <c r="A162" s="9"/>
      <c r="B162" s="9"/>
      <c r="C162" s="9"/>
      <c r="D162" s="9"/>
    </row>
    <row r="163" spans="1:4" ht="15.75" customHeight="1" x14ac:dyDescent="0.25">
      <c r="A163" s="9"/>
      <c r="B163" s="9"/>
      <c r="C163" s="9"/>
      <c r="D163" s="9"/>
    </row>
    <row r="164" spans="1:4" ht="15.75" customHeight="1" x14ac:dyDescent="0.25">
      <c r="A164" s="9"/>
      <c r="B164" s="9"/>
      <c r="C164" s="9"/>
      <c r="D164" s="9"/>
    </row>
    <row r="165" spans="1:4" ht="15.75" customHeight="1" x14ac:dyDescent="0.25">
      <c r="A165" s="9"/>
      <c r="B165" s="9"/>
      <c r="C165" s="9"/>
      <c r="D165" s="9"/>
    </row>
    <row r="166" spans="1:4" ht="15.75" customHeight="1" x14ac:dyDescent="0.25">
      <c r="A166" s="9"/>
      <c r="B166" s="9"/>
      <c r="C166" s="9"/>
      <c r="D166" s="9"/>
    </row>
    <row r="167" spans="1:4" ht="15.75" customHeight="1" x14ac:dyDescent="0.25">
      <c r="A167" s="9"/>
      <c r="B167" s="9"/>
      <c r="C167" s="9"/>
      <c r="D167" s="9"/>
    </row>
    <row r="168" spans="1:4" ht="15.75" customHeight="1" x14ac:dyDescent="0.25">
      <c r="A168" s="9"/>
      <c r="B168" s="9"/>
      <c r="C168" s="9"/>
      <c r="D168" s="9"/>
    </row>
    <row r="169" spans="1:4" ht="15.75" customHeight="1" x14ac:dyDescent="0.25">
      <c r="A169" s="9"/>
      <c r="B169" s="9"/>
      <c r="C169" s="9"/>
      <c r="D169" s="9"/>
    </row>
    <row r="170" spans="1:4" ht="15.75" customHeight="1" x14ac:dyDescent="0.25">
      <c r="A170" s="9"/>
      <c r="B170" s="9"/>
      <c r="C170" s="9"/>
      <c r="D170" s="9"/>
    </row>
    <row r="171" spans="1:4" ht="15.75" customHeight="1" x14ac:dyDescent="0.25">
      <c r="A171" s="9"/>
      <c r="B171" s="9"/>
      <c r="C171" s="9"/>
      <c r="D171" s="9"/>
    </row>
    <row r="172" spans="1:4" ht="15.75" customHeight="1" x14ac:dyDescent="0.25">
      <c r="A172" s="9"/>
      <c r="B172" s="9"/>
      <c r="C172" s="9"/>
      <c r="D172" s="9"/>
    </row>
    <row r="173" spans="1:4" ht="15.75" customHeight="1" x14ac:dyDescent="0.25">
      <c r="A173" s="9"/>
      <c r="B173" s="9"/>
      <c r="C173" s="9"/>
      <c r="D173" s="9"/>
    </row>
    <row r="174" spans="1:4" ht="15.75" customHeight="1" x14ac:dyDescent="0.25">
      <c r="A174" s="9"/>
      <c r="B174" s="9"/>
      <c r="C174" s="9"/>
      <c r="D174" s="9"/>
    </row>
    <row r="175" spans="1:4" ht="15.75" customHeight="1" x14ac:dyDescent="0.25">
      <c r="A175" s="9"/>
      <c r="B175" s="9"/>
      <c r="C175" s="9"/>
      <c r="D175" s="9"/>
    </row>
    <row r="176" spans="1:4" ht="15.75" customHeight="1" x14ac:dyDescent="0.25">
      <c r="A176" s="9"/>
      <c r="B176" s="9"/>
      <c r="C176" s="9"/>
      <c r="D176" s="9"/>
    </row>
    <row r="177" spans="1:4" ht="15.75" customHeight="1" x14ac:dyDescent="0.25">
      <c r="A177" s="9"/>
      <c r="B177" s="9"/>
      <c r="C177" s="9"/>
      <c r="D177" s="9"/>
    </row>
    <row r="178" spans="1:4" ht="15.75" customHeight="1" x14ac:dyDescent="0.25">
      <c r="A178" s="9"/>
      <c r="B178" s="9"/>
      <c r="C178" s="9"/>
      <c r="D178" s="9"/>
    </row>
    <row r="179" spans="1:4" ht="15.75" customHeight="1" x14ac:dyDescent="0.25">
      <c r="A179" s="9"/>
      <c r="B179" s="9"/>
      <c r="C179" s="9"/>
      <c r="D179" s="9"/>
    </row>
    <row r="180" spans="1:4" ht="15.75" customHeight="1" x14ac:dyDescent="0.25">
      <c r="A180" s="9"/>
      <c r="B180" s="9"/>
      <c r="C180" s="9"/>
      <c r="D180" s="9"/>
    </row>
    <row r="181" spans="1:4" ht="15.75" customHeight="1" x14ac:dyDescent="0.25">
      <c r="A181" s="9"/>
      <c r="B181" s="9"/>
      <c r="C181" s="9"/>
      <c r="D181" s="9"/>
    </row>
    <row r="182" spans="1:4" ht="15.75" customHeight="1" x14ac:dyDescent="0.25">
      <c r="A182" s="9"/>
      <c r="B182" s="9"/>
      <c r="C182" s="9"/>
      <c r="D182" s="9"/>
    </row>
    <row r="183" spans="1:4" ht="15.75" customHeight="1" x14ac:dyDescent="0.25">
      <c r="A183" s="9"/>
      <c r="B183" s="9"/>
      <c r="C183" s="9"/>
      <c r="D183" s="9"/>
    </row>
    <row r="184" spans="1:4" ht="15.75" customHeight="1" x14ac:dyDescent="0.25">
      <c r="A184" s="9"/>
      <c r="B184" s="9"/>
      <c r="C184" s="9"/>
      <c r="D184" s="9"/>
    </row>
    <row r="185" spans="1:4" ht="15.75" customHeight="1" x14ac:dyDescent="0.25">
      <c r="A185" s="9"/>
      <c r="B185" s="9"/>
      <c r="C185" s="9"/>
      <c r="D185" s="9"/>
    </row>
    <row r="186" spans="1:4" ht="15.75" customHeight="1" x14ac:dyDescent="0.25">
      <c r="A186" s="9"/>
      <c r="B186" s="9"/>
      <c r="C186" s="9"/>
      <c r="D186" s="9"/>
    </row>
    <row r="187" spans="1:4" ht="15.75" customHeight="1" x14ac:dyDescent="0.25">
      <c r="A187" s="9"/>
      <c r="B187" s="9"/>
      <c r="C187" s="9"/>
      <c r="D187" s="9"/>
    </row>
    <row r="188" spans="1:4" ht="15.75" customHeight="1" x14ac:dyDescent="0.25">
      <c r="A188" s="9"/>
      <c r="B188" s="9"/>
      <c r="C188" s="9"/>
      <c r="D188" s="9"/>
    </row>
    <row r="189" spans="1:4" ht="15.75" customHeight="1" x14ac:dyDescent="0.25">
      <c r="A189" s="9"/>
      <c r="B189" s="9"/>
      <c r="C189" s="9"/>
      <c r="D189" s="9"/>
    </row>
    <row r="190" spans="1:4" ht="15.75" customHeight="1" x14ac:dyDescent="0.25">
      <c r="A190" s="9"/>
      <c r="B190" s="9"/>
      <c r="C190" s="9"/>
      <c r="D190" s="9"/>
    </row>
    <row r="191" spans="1:4" ht="15.75" customHeight="1" x14ac:dyDescent="0.25">
      <c r="A191" s="9"/>
      <c r="B191" s="9"/>
      <c r="C191" s="9"/>
      <c r="D191" s="9"/>
    </row>
    <row r="192" spans="1:4" ht="15.75" customHeight="1" x14ac:dyDescent="0.25">
      <c r="A192" s="9"/>
      <c r="B192" s="9"/>
      <c r="C192" s="9"/>
      <c r="D192" s="9"/>
    </row>
    <row r="193" spans="1:4" ht="15.75" customHeight="1" x14ac:dyDescent="0.25">
      <c r="A193" s="9"/>
      <c r="B193" s="9"/>
      <c r="C193" s="9"/>
      <c r="D193" s="9"/>
    </row>
    <row r="194" spans="1:4" ht="15.75" customHeight="1" x14ac:dyDescent="0.25">
      <c r="A194" s="9"/>
      <c r="B194" s="9"/>
      <c r="C194" s="9"/>
      <c r="D194" s="9"/>
    </row>
    <row r="195" spans="1:4" ht="15.75" customHeight="1" x14ac:dyDescent="0.25">
      <c r="A195" s="9"/>
      <c r="B195" s="9"/>
      <c r="C195" s="9"/>
      <c r="D195" s="9"/>
    </row>
    <row r="196" spans="1:4" ht="15.75" customHeight="1" x14ac:dyDescent="0.25">
      <c r="A196" s="9"/>
      <c r="B196" s="9"/>
      <c r="C196" s="9"/>
      <c r="D196" s="9"/>
    </row>
    <row r="197" spans="1:4" ht="15.75" customHeight="1" x14ac:dyDescent="0.25">
      <c r="A197" s="9"/>
      <c r="B197" s="9"/>
      <c r="C197" s="9"/>
      <c r="D197" s="9"/>
    </row>
    <row r="198" spans="1:4" ht="15.75" customHeight="1" x14ac:dyDescent="0.25">
      <c r="A198" s="9"/>
      <c r="B198" s="9"/>
      <c r="C198" s="9"/>
      <c r="D198" s="9"/>
    </row>
    <row r="199" spans="1:4" ht="15.75" customHeight="1" x14ac:dyDescent="0.25">
      <c r="A199" s="9"/>
      <c r="B199" s="9"/>
      <c r="C199" s="9"/>
      <c r="D199" s="9"/>
    </row>
    <row r="200" spans="1:4" ht="15.75" customHeight="1" x14ac:dyDescent="0.25">
      <c r="A200" s="9"/>
      <c r="B200" s="9"/>
      <c r="C200" s="9"/>
      <c r="D200" s="9"/>
    </row>
    <row r="201" spans="1:4" ht="15.75" customHeight="1" x14ac:dyDescent="0.25">
      <c r="A201" s="9"/>
      <c r="B201" s="9"/>
      <c r="C201" s="9"/>
      <c r="D201" s="9"/>
    </row>
    <row r="202" spans="1:4" ht="15.75" customHeight="1" x14ac:dyDescent="0.25">
      <c r="A202" s="9"/>
      <c r="B202" s="9"/>
      <c r="C202" s="9"/>
      <c r="D202" s="9"/>
    </row>
    <row r="203" spans="1:4" ht="15.75" customHeight="1" x14ac:dyDescent="0.25">
      <c r="A203" s="9"/>
      <c r="B203" s="9"/>
      <c r="C203" s="9"/>
      <c r="D203" s="9"/>
    </row>
    <row r="204" spans="1:4" ht="15.75" customHeight="1" x14ac:dyDescent="0.25">
      <c r="A204" s="9"/>
      <c r="B204" s="9"/>
      <c r="C204" s="9"/>
      <c r="D204" s="9"/>
    </row>
    <row r="205" spans="1:4" ht="15.75" customHeight="1" x14ac:dyDescent="0.25">
      <c r="A205" s="9"/>
      <c r="B205" s="9"/>
      <c r="C205" s="9"/>
      <c r="D205" s="9"/>
    </row>
    <row r="206" spans="1:4" ht="15.75" customHeight="1" x14ac:dyDescent="0.25">
      <c r="A206" s="9"/>
      <c r="B206" s="9"/>
      <c r="C206" s="9"/>
      <c r="D206" s="9"/>
    </row>
    <row r="207" spans="1:4" ht="15.75" customHeight="1" x14ac:dyDescent="0.25">
      <c r="A207" s="9"/>
      <c r="B207" s="9"/>
      <c r="C207" s="9"/>
      <c r="D207" s="9"/>
    </row>
    <row r="208" spans="1:4" ht="15.75" customHeight="1" x14ac:dyDescent="0.25">
      <c r="A208" s="9"/>
      <c r="B208" s="9"/>
      <c r="C208" s="9"/>
      <c r="D208" s="9"/>
    </row>
    <row r="209" spans="1:4" ht="15.75" customHeight="1" x14ac:dyDescent="0.25">
      <c r="A209" s="9"/>
      <c r="B209" s="9"/>
      <c r="C209" s="9"/>
      <c r="D209" s="9"/>
    </row>
    <row r="210" spans="1:4" ht="15.75" customHeight="1" x14ac:dyDescent="0.25">
      <c r="A210" s="9"/>
      <c r="B210" s="9"/>
      <c r="C210" s="9"/>
      <c r="D210" s="9"/>
    </row>
    <row r="211" spans="1:4" ht="15.75" customHeight="1" x14ac:dyDescent="0.25">
      <c r="A211" s="9"/>
      <c r="B211" s="9"/>
      <c r="C211" s="9"/>
      <c r="D211" s="9"/>
    </row>
    <row r="212" spans="1:4" ht="15.75" customHeight="1" x14ac:dyDescent="0.25">
      <c r="A212" s="9"/>
      <c r="B212" s="9"/>
      <c r="C212" s="9"/>
      <c r="D212" s="9"/>
    </row>
    <row r="213" spans="1:4" ht="15.75" customHeight="1" x14ac:dyDescent="0.25">
      <c r="A213" s="9"/>
      <c r="B213" s="9"/>
      <c r="C213" s="9"/>
      <c r="D213" s="9"/>
    </row>
    <row r="214" spans="1:4" ht="15.75" customHeight="1" x14ac:dyDescent="0.25">
      <c r="A214" s="9"/>
      <c r="B214" s="9"/>
      <c r="C214" s="9"/>
      <c r="D214" s="9"/>
    </row>
    <row r="215" spans="1:4" ht="15.75" customHeight="1" x14ac:dyDescent="0.25">
      <c r="A215" s="9"/>
      <c r="B215" s="9"/>
      <c r="C215" s="9"/>
      <c r="D215" s="9"/>
    </row>
    <row r="216" spans="1:4" ht="15.75" customHeight="1" x14ac:dyDescent="0.25">
      <c r="A216" s="9"/>
      <c r="B216" s="9"/>
      <c r="C216" s="9"/>
      <c r="D216" s="9"/>
    </row>
    <row r="217" spans="1:4" ht="15.75" customHeight="1" x14ac:dyDescent="0.25">
      <c r="A217" s="9"/>
      <c r="B217" s="9"/>
      <c r="C217" s="9"/>
      <c r="D217" s="9"/>
    </row>
    <row r="218" spans="1:4" ht="15.75" customHeight="1" x14ac:dyDescent="0.25">
      <c r="A218" s="9"/>
      <c r="B218" s="9"/>
      <c r="C218" s="9"/>
      <c r="D218" s="9"/>
    </row>
    <row r="219" spans="1:4" ht="15.75" customHeight="1" x14ac:dyDescent="0.25">
      <c r="A219" s="9"/>
      <c r="B219" s="9"/>
      <c r="C219" s="9"/>
      <c r="D219" s="9"/>
    </row>
    <row r="220" spans="1:4" ht="15.75" customHeight="1" x14ac:dyDescent="0.25">
      <c r="A220" s="9"/>
      <c r="B220" s="9"/>
      <c r="C220" s="9"/>
      <c r="D220" s="9"/>
    </row>
    <row r="221" spans="1:4" ht="15.75" customHeight="1" x14ac:dyDescent="0.25">
      <c r="A221" s="9"/>
      <c r="B221" s="9"/>
      <c r="C221" s="9"/>
      <c r="D221" s="9"/>
    </row>
    <row r="222" spans="1:4" ht="15.75" customHeight="1" x14ac:dyDescent="0.25">
      <c r="A222" s="9"/>
      <c r="B222" s="9"/>
      <c r="C222" s="9"/>
      <c r="D222" s="9"/>
    </row>
    <row r="223" spans="1:4" ht="15.75" customHeight="1" x14ac:dyDescent="0.25">
      <c r="A223" s="9"/>
      <c r="B223" s="9"/>
      <c r="C223" s="9"/>
      <c r="D223" s="9"/>
    </row>
    <row r="224" spans="1:4" ht="15.75" customHeight="1" x14ac:dyDescent="0.25">
      <c r="A224" s="9"/>
      <c r="B224" s="9"/>
      <c r="C224" s="9"/>
      <c r="D224" s="9"/>
    </row>
    <row r="225" spans="1:4" ht="15.75" customHeight="1" x14ac:dyDescent="0.25">
      <c r="A225" s="9"/>
      <c r="B225" s="9"/>
      <c r="C225" s="9"/>
      <c r="D225" s="9"/>
    </row>
    <row r="226" spans="1:4" ht="15.75" customHeight="1" x14ac:dyDescent="0.25">
      <c r="A226" s="9"/>
      <c r="B226" s="9"/>
      <c r="C226" s="9"/>
      <c r="D226" s="9"/>
    </row>
    <row r="227" spans="1:4" ht="15.75" customHeight="1" x14ac:dyDescent="0.25">
      <c r="A227" s="9"/>
      <c r="B227" s="9"/>
      <c r="C227" s="9"/>
      <c r="D227" s="9"/>
    </row>
    <row r="228" spans="1:4" ht="15.75" customHeight="1" x14ac:dyDescent="0.25">
      <c r="A228" s="9"/>
      <c r="B228" s="9"/>
      <c r="C228" s="9"/>
      <c r="D228" s="9"/>
    </row>
    <row r="229" spans="1:4" ht="15.75" customHeight="1" x14ac:dyDescent="0.25">
      <c r="A229" s="9"/>
      <c r="B229" s="9"/>
      <c r="C229" s="9"/>
      <c r="D229" s="9"/>
    </row>
    <row r="230" spans="1:4" ht="15.75" customHeight="1" x14ac:dyDescent="0.25">
      <c r="A230" s="9"/>
      <c r="B230" s="9"/>
      <c r="C230" s="9"/>
      <c r="D230" s="9"/>
    </row>
    <row r="231" spans="1:4" ht="15.75" customHeight="1" x14ac:dyDescent="0.25">
      <c r="A231" s="9"/>
      <c r="B231" s="9"/>
      <c r="C231" s="9"/>
      <c r="D231" s="9"/>
    </row>
    <row r="232" spans="1:4" ht="15.75" customHeight="1" x14ac:dyDescent="0.25">
      <c r="A232" s="9"/>
      <c r="B232" s="9"/>
      <c r="C232" s="9"/>
      <c r="D232" s="9"/>
    </row>
    <row r="233" spans="1:4" ht="15.75" customHeight="1" x14ac:dyDescent="0.25">
      <c r="A233" s="9"/>
      <c r="B233" s="9"/>
      <c r="C233" s="9"/>
      <c r="D233" s="9"/>
    </row>
    <row r="234" spans="1:4" ht="15.75" customHeight="1" x14ac:dyDescent="0.25">
      <c r="A234" s="9"/>
      <c r="B234" s="9"/>
      <c r="C234" s="9"/>
      <c r="D234" s="9"/>
    </row>
    <row r="235" spans="1:4" ht="15.75" customHeight="1" x14ac:dyDescent="0.25">
      <c r="A235" s="9"/>
      <c r="B235" s="9"/>
      <c r="C235" s="9"/>
      <c r="D235" s="9"/>
    </row>
    <row r="236" spans="1:4" ht="15.75" customHeight="1" x14ac:dyDescent="0.25">
      <c r="A236" s="9"/>
      <c r="B236" s="9"/>
      <c r="C236" s="9"/>
      <c r="D236" s="9"/>
    </row>
    <row r="237" spans="1:4" ht="15.75" customHeight="1" x14ac:dyDescent="0.25">
      <c r="A237" s="9"/>
      <c r="B237" s="9"/>
      <c r="C237" s="9"/>
      <c r="D237" s="9"/>
    </row>
    <row r="238" spans="1:4" ht="15.75" customHeight="1" x14ac:dyDescent="0.25">
      <c r="A238" s="9"/>
      <c r="B238" s="9"/>
      <c r="C238" s="9"/>
      <c r="D238" s="9"/>
    </row>
    <row r="239" spans="1:4" ht="15.75" customHeight="1" x14ac:dyDescent="0.25">
      <c r="A239" s="9"/>
      <c r="B239" s="9"/>
      <c r="C239" s="9"/>
      <c r="D239" s="9"/>
    </row>
    <row r="240" spans="1:4" ht="15.75" customHeight="1" x14ac:dyDescent="0.25">
      <c r="A240" s="9"/>
      <c r="B240" s="9"/>
      <c r="C240" s="9"/>
      <c r="D240" s="9"/>
    </row>
    <row r="241" spans="1:4" ht="15.75" customHeight="1" x14ac:dyDescent="0.25">
      <c r="A241" s="9"/>
      <c r="B241" s="9"/>
      <c r="C241" s="9"/>
      <c r="D241" s="9"/>
    </row>
    <row r="242" spans="1:4" ht="15.75" customHeight="1" x14ac:dyDescent="0.25">
      <c r="A242" s="9"/>
      <c r="B242" s="9"/>
      <c r="C242" s="9"/>
      <c r="D242" s="9"/>
    </row>
    <row r="243" spans="1:4" ht="15.75" customHeight="1" x14ac:dyDescent="0.25">
      <c r="A243" s="9"/>
      <c r="B243" s="9"/>
      <c r="C243" s="9"/>
      <c r="D243" s="9"/>
    </row>
    <row r="244" spans="1:4" ht="15.75" customHeight="1" x14ac:dyDescent="0.25">
      <c r="A244" s="9"/>
      <c r="B244" s="9"/>
      <c r="C244" s="9"/>
      <c r="D244" s="9"/>
    </row>
    <row r="245" spans="1:4" ht="15.75" customHeight="1" x14ac:dyDescent="0.25">
      <c r="A245" s="9"/>
      <c r="B245" s="9"/>
      <c r="C245" s="9"/>
      <c r="D245" s="9"/>
    </row>
    <row r="246" spans="1:4" ht="15.75" customHeight="1" x14ac:dyDescent="0.25">
      <c r="A246" s="9"/>
      <c r="B246" s="9"/>
      <c r="C246" s="9"/>
      <c r="D246" s="9"/>
    </row>
    <row r="247" spans="1:4" ht="15.75" customHeight="1" x14ac:dyDescent="0.25">
      <c r="A247" s="9"/>
      <c r="B247" s="9"/>
      <c r="C247" s="9"/>
      <c r="D247" s="9"/>
    </row>
    <row r="248" spans="1:4" ht="15.75" customHeight="1" x14ac:dyDescent="0.25">
      <c r="A248" s="9"/>
      <c r="B248" s="9"/>
      <c r="C248" s="9"/>
      <c r="D248" s="9"/>
    </row>
    <row r="249" spans="1:4" ht="15.75" customHeight="1" x14ac:dyDescent="0.25">
      <c r="A249" s="9"/>
      <c r="B249" s="9"/>
      <c r="C249" s="9"/>
      <c r="D249" s="9"/>
    </row>
    <row r="250" spans="1:4" ht="15.75" customHeight="1" x14ac:dyDescent="0.25">
      <c r="A250" s="9"/>
      <c r="B250" s="9"/>
      <c r="C250" s="9"/>
      <c r="D250" s="9"/>
    </row>
    <row r="251" spans="1:4" ht="15.75" customHeight="1" x14ac:dyDescent="0.25">
      <c r="A251" s="9"/>
      <c r="B251" s="9"/>
      <c r="C251" s="9"/>
      <c r="D251" s="9"/>
    </row>
    <row r="252" spans="1:4" ht="15.75" customHeight="1" x14ac:dyDescent="0.25">
      <c r="A252" s="9"/>
      <c r="B252" s="9"/>
      <c r="C252" s="9"/>
      <c r="D252" s="9"/>
    </row>
    <row r="253" spans="1:4" ht="15.75" customHeight="1" x14ac:dyDescent="0.25">
      <c r="A253" s="9"/>
      <c r="B253" s="9"/>
      <c r="C253" s="9"/>
      <c r="D253" s="9"/>
    </row>
    <row r="254" spans="1:4" ht="15.75" customHeight="1" x14ac:dyDescent="0.25">
      <c r="A254" s="9"/>
      <c r="B254" s="9"/>
      <c r="C254" s="9"/>
      <c r="D254" s="9"/>
    </row>
    <row r="255" spans="1:4" ht="15.75" customHeight="1" x14ac:dyDescent="0.25">
      <c r="A255" s="9"/>
      <c r="B255" s="9"/>
      <c r="C255" s="9"/>
      <c r="D255" s="9"/>
    </row>
    <row r="256" spans="1:4" ht="15.75" customHeight="1" x14ac:dyDescent="0.25">
      <c r="A256" s="9"/>
      <c r="B256" s="9"/>
      <c r="C256" s="9"/>
      <c r="D256" s="9"/>
    </row>
    <row r="257" spans="1:4" ht="15.75" customHeight="1" x14ac:dyDescent="0.25">
      <c r="A257" s="9"/>
      <c r="B257" s="9"/>
      <c r="C257" s="9"/>
      <c r="D257" s="9"/>
    </row>
    <row r="258" spans="1:4" ht="15.75" customHeight="1" x14ac:dyDescent="0.25">
      <c r="A258" s="9"/>
      <c r="B258" s="9"/>
      <c r="C258" s="9"/>
      <c r="D258" s="9"/>
    </row>
    <row r="259" spans="1:4" ht="15.75" customHeight="1" x14ac:dyDescent="0.25">
      <c r="A259" s="9"/>
      <c r="B259" s="9"/>
      <c r="C259" s="9"/>
      <c r="D259" s="9"/>
    </row>
    <row r="260" spans="1:4" ht="15.75" customHeight="1" x14ac:dyDescent="0.25">
      <c r="A260" s="9"/>
      <c r="B260" s="9"/>
      <c r="C260" s="9"/>
      <c r="D260" s="9"/>
    </row>
    <row r="261" spans="1:4" ht="15.75" customHeight="1" x14ac:dyDescent="0.25">
      <c r="A261" s="9"/>
      <c r="B261" s="9"/>
      <c r="C261" s="9"/>
      <c r="D261" s="9"/>
    </row>
    <row r="262" spans="1:4" ht="15.75" customHeight="1" x14ac:dyDescent="0.25">
      <c r="A262" s="9"/>
      <c r="B262" s="9"/>
      <c r="C262" s="9"/>
      <c r="D262" s="9"/>
    </row>
    <row r="263" spans="1:4" ht="15.75" customHeight="1" x14ac:dyDescent="0.25">
      <c r="A263" s="9"/>
      <c r="B263" s="9"/>
      <c r="C263" s="9"/>
      <c r="D263" s="9"/>
    </row>
    <row r="264" spans="1:4" ht="15.75" customHeight="1" x14ac:dyDescent="0.25">
      <c r="A264" s="9"/>
      <c r="B264" s="9"/>
      <c r="C264" s="9"/>
      <c r="D264" s="9"/>
    </row>
    <row r="265" spans="1:4" ht="15.75" customHeight="1" x14ac:dyDescent="0.25">
      <c r="A265" s="9"/>
      <c r="B265" s="9"/>
      <c r="C265" s="9"/>
      <c r="D265" s="9"/>
    </row>
    <row r="266" spans="1:4" ht="15.75" customHeight="1" x14ac:dyDescent="0.25">
      <c r="A266" s="9"/>
      <c r="B266" s="9"/>
      <c r="C266" s="9"/>
      <c r="D266" s="9"/>
    </row>
    <row r="267" spans="1:4" ht="15.75" customHeight="1" x14ac:dyDescent="0.25">
      <c r="A267" s="9"/>
      <c r="B267" s="9"/>
      <c r="C267" s="9"/>
      <c r="D267" s="9"/>
    </row>
    <row r="268" spans="1:4" ht="15.75" customHeight="1" x14ac:dyDescent="0.25">
      <c r="A268" s="9"/>
      <c r="B268" s="9"/>
      <c r="C268" s="9"/>
      <c r="D268" s="9"/>
    </row>
    <row r="269" spans="1:4" ht="15.75" customHeight="1" x14ac:dyDescent="0.25">
      <c r="A269" s="9"/>
      <c r="B269" s="9"/>
      <c r="C269" s="9"/>
      <c r="D269" s="9"/>
    </row>
    <row r="270" spans="1:4" ht="15.75" customHeight="1" x14ac:dyDescent="0.25">
      <c r="A270" s="9"/>
      <c r="B270" s="9"/>
      <c r="C270" s="9"/>
      <c r="D270" s="9"/>
    </row>
    <row r="271" spans="1:4" ht="15.75" customHeight="1" x14ac:dyDescent="0.25">
      <c r="A271" s="9"/>
      <c r="B271" s="9"/>
      <c r="C271" s="9"/>
      <c r="D271" s="9"/>
    </row>
    <row r="272" spans="1:4" ht="15.75" customHeight="1" x14ac:dyDescent="0.25">
      <c r="A272" s="9"/>
      <c r="B272" s="9"/>
      <c r="C272" s="9"/>
      <c r="D272" s="9"/>
    </row>
    <row r="273" spans="1:4" ht="15.75" customHeight="1" x14ac:dyDescent="0.25">
      <c r="A273" s="9"/>
      <c r="B273" s="9"/>
      <c r="C273" s="9"/>
      <c r="D273" s="9"/>
    </row>
    <row r="274" spans="1:4" ht="15.75" customHeight="1" x14ac:dyDescent="0.25">
      <c r="A274" s="9"/>
      <c r="B274" s="9"/>
      <c r="C274" s="9"/>
      <c r="D274" s="9"/>
    </row>
    <row r="275" spans="1:4" ht="15.75" customHeight="1" x14ac:dyDescent="0.25">
      <c r="A275" s="9"/>
      <c r="B275" s="9"/>
      <c r="C275" s="9"/>
      <c r="D275" s="9"/>
    </row>
    <row r="276" spans="1:4" ht="15.75" customHeight="1" x14ac:dyDescent="0.25">
      <c r="A276" s="9"/>
      <c r="B276" s="9"/>
      <c r="C276" s="9"/>
      <c r="D276" s="9"/>
    </row>
    <row r="277" spans="1:4" ht="15.75" customHeight="1" x14ac:dyDescent="0.25">
      <c r="A277" s="9"/>
      <c r="B277" s="9"/>
      <c r="C277" s="9"/>
      <c r="D277" s="9"/>
    </row>
    <row r="278" spans="1:4" ht="15.75" customHeight="1" x14ac:dyDescent="0.25">
      <c r="A278" s="9"/>
      <c r="B278" s="9"/>
      <c r="C278" s="9"/>
      <c r="D278" s="9"/>
    </row>
    <row r="279" spans="1:4" ht="15.75" customHeight="1" x14ac:dyDescent="0.25">
      <c r="A279" s="9"/>
      <c r="B279" s="9"/>
      <c r="C279" s="9"/>
      <c r="D279" s="9"/>
    </row>
    <row r="280" spans="1:4" ht="15.75" customHeight="1" x14ac:dyDescent="0.25">
      <c r="A280" s="9"/>
      <c r="B280" s="9"/>
      <c r="C280" s="9"/>
      <c r="D280" s="9"/>
    </row>
    <row r="281" spans="1:4" ht="15.75" customHeight="1" x14ac:dyDescent="0.25">
      <c r="A281" s="9"/>
      <c r="B281" s="9"/>
      <c r="C281" s="9"/>
      <c r="D281" s="9"/>
    </row>
    <row r="282" spans="1:4" ht="15.75" customHeight="1" x14ac:dyDescent="0.25">
      <c r="A282" s="9"/>
      <c r="B282" s="9"/>
      <c r="C282" s="9"/>
      <c r="D282" s="9"/>
    </row>
    <row r="283" spans="1:4" ht="15.75" customHeight="1" x14ac:dyDescent="0.25">
      <c r="A283" s="9"/>
      <c r="B283" s="9"/>
      <c r="C283" s="9"/>
      <c r="D283" s="9"/>
    </row>
    <row r="284" spans="1:4" ht="15.75" customHeight="1" x14ac:dyDescent="0.25">
      <c r="A284" s="9"/>
      <c r="B284" s="9"/>
      <c r="C284" s="9"/>
      <c r="D284" s="9"/>
    </row>
    <row r="285" spans="1:4" ht="15.75" customHeight="1" x14ac:dyDescent="0.25">
      <c r="A285" s="9"/>
      <c r="B285" s="9"/>
      <c r="C285" s="9"/>
      <c r="D285" s="9"/>
    </row>
    <row r="286" spans="1:4" ht="15.75" customHeight="1" x14ac:dyDescent="0.25">
      <c r="A286" s="9"/>
      <c r="B286" s="9"/>
      <c r="C286" s="9"/>
      <c r="D286" s="9"/>
    </row>
    <row r="287" spans="1:4" ht="15.75" customHeight="1" x14ac:dyDescent="0.25">
      <c r="A287" s="9"/>
      <c r="B287" s="9"/>
      <c r="C287" s="9"/>
      <c r="D287" s="9"/>
    </row>
    <row r="288" spans="1:4" ht="15.75" customHeight="1" x14ac:dyDescent="0.25">
      <c r="A288" s="9"/>
      <c r="B288" s="9"/>
      <c r="C288" s="9"/>
      <c r="D288" s="9"/>
    </row>
    <row r="289" spans="1:4" ht="15.75" customHeight="1" x14ac:dyDescent="0.25">
      <c r="A289" s="9"/>
      <c r="B289" s="9"/>
      <c r="C289" s="9"/>
      <c r="D289" s="9"/>
    </row>
    <row r="290" spans="1:4" ht="15.75" customHeight="1" x14ac:dyDescent="0.25">
      <c r="A290" s="9"/>
      <c r="B290" s="9"/>
      <c r="C290" s="9"/>
      <c r="D290" s="9"/>
    </row>
    <row r="291" spans="1:4" ht="15.75" customHeight="1" x14ac:dyDescent="0.25">
      <c r="A291" s="9"/>
      <c r="B291" s="9"/>
      <c r="C291" s="9"/>
      <c r="D291" s="9"/>
    </row>
    <row r="292" spans="1:4" ht="15.75" customHeight="1" x14ac:dyDescent="0.25">
      <c r="A292" s="9"/>
      <c r="B292" s="9"/>
      <c r="C292" s="9"/>
      <c r="D292" s="9"/>
    </row>
    <row r="293" spans="1:4" ht="15.75" customHeight="1" x14ac:dyDescent="0.25">
      <c r="A293" s="9"/>
      <c r="B293" s="9"/>
      <c r="C293" s="9"/>
      <c r="D293" s="9"/>
    </row>
    <row r="294" spans="1:4" ht="15.75" customHeight="1" x14ac:dyDescent="0.25">
      <c r="A294" s="9"/>
      <c r="B294" s="9"/>
      <c r="C294" s="9"/>
      <c r="D294" s="9"/>
    </row>
    <row r="295" spans="1:4" ht="15.75" customHeight="1" x14ac:dyDescent="0.25">
      <c r="A295" s="9"/>
      <c r="B295" s="9"/>
      <c r="C295" s="9"/>
      <c r="D295" s="9"/>
    </row>
    <row r="296" spans="1:4" ht="15.75" customHeight="1" x14ac:dyDescent="0.25">
      <c r="A296" s="9"/>
      <c r="B296" s="9"/>
      <c r="C296" s="9"/>
      <c r="D296" s="9"/>
    </row>
    <row r="297" spans="1:4" ht="15.75" customHeight="1" x14ac:dyDescent="0.25">
      <c r="A297" s="9"/>
      <c r="B297" s="9"/>
      <c r="C297" s="9"/>
      <c r="D297" s="9"/>
    </row>
    <row r="298" spans="1:4" ht="15.75" customHeight="1" x14ac:dyDescent="0.25">
      <c r="A298" s="9"/>
      <c r="B298" s="9"/>
      <c r="C298" s="9"/>
      <c r="D298" s="9"/>
    </row>
    <row r="299" spans="1:4" ht="15.75" customHeight="1" x14ac:dyDescent="0.25">
      <c r="A299" s="9"/>
      <c r="B299" s="9"/>
      <c r="C299" s="9"/>
      <c r="D299" s="9"/>
    </row>
    <row r="300" spans="1:4" ht="15.75" customHeight="1" x14ac:dyDescent="0.25">
      <c r="A300" s="9"/>
      <c r="B300" s="9"/>
      <c r="C300" s="9"/>
      <c r="D300" s="9"/>
    </row>
    <row r="301" spans="1:4" ht="15.75" customHeight="1" x14ac:dyDescent="0.25">
      <c r="A301" s="9"/>
      <c r="B301" s="9"/>
      <c r="C301" s="9"/>
      <c r="D301" s="9"/>
    </row>
    <row r="302" spans="1:4" ht="15.75" customHeight="1" x14ac:dyDescent="0.25">
      <c r="A302" s="9"/>
      <c r="B302" s="9"/>
      <c r="C302" s="9"/>
      <c r="D302" s="9"/>
    </row>
    <row r="303" spans="1:4" ht="15.75" customHeight="1" x14ac:dyDescent="0.25">
      <c r="A303" s="9"/>
      <c r="B303" s="9"/>
      <c r="C303" s="9"/>
      <c r="D303" s="9"/>
    </row>
    <row r="304" spans="1:4" ht="15.75" customHeight="1" x14ac:dyDescent="0.25">
      <c r="A304" s="9"/>
      <c r="B304" s="9"/>
      <c r="C304" s="9"/>
      <c r="D304" s="9"/>
    </row>
    <row r="305" spans="1:4" ht="15.75" customHeight="1" x14ac:dyDescent="0.25">
      <c r="A305" s="9"/>
      <c r="B305" s="9"/>
      <c r="C305" s="9"/>
      <c r="D305" s="9"/>
    </row>
    <row r="306" spans="1:4" ht="15.75" customHeight="1" x14ac:dyDescent="0.25">
      <c r="A306" s="9"/>
      <c r="B306" s="9"/>
      <c r="C306" s="9"/>
      <c r="D306" s="9"/>
    </row>
    <row r="307" spans="1:4" ht="15.75" customHeight="1" x14ac:dyDescent="0.25">
      <c r="A307" s="9"/>
      <c r="B307" s="9"/>
      <c r="C307" s="9"/>
      <c r="D307" s="9"/>
    </row>
    <row r="308" spans="1:4" ht="15.75" customHeight="1" x14ac:dyDescent="0.25">
      <c r="A308" s="9"/>
      <c r="B308" s="9"/>
      <c r="C308" s="9"/>
      <c r="D308" s="9"/>
    </row>
    <row r="309" spans="1:4" ht="15.75" customHeight="1" x14ac:dyDescent="0.25">
      <c r="A309" s="9"/>
      <c r="B309" s="9"/>
      <c r="C309" s="9"/>
      <c r="D309" s="9"/>
    </row>
    <row r="310" spans="1:4" ht="15.75" customHeight="1" x14ac:dyDescent="0.25">
      <c r="A310" s="9"/>
      <c r="B310" s="9"/>
      <c r="C310" s="9"/>
      <c r="D310" s="9"/>
    </row>
    <row r="311" spans="1:4" ht="15.75" customHeight="1" x14ac:dyDescent="0.25">
      <c r="A311" s="9"/>
      <c r="B311" s="9"/>
      <c r="C311" s="9"/>
      <c r="D311" s="9"/>
    </row>
    <row r="312" spans="1:4" ht="15.75" customHeight="1" x14ac:dyDescent="0.25">
      <c r="A312" s="9"/>
      <c r="B312" s="9"/>
      <c r="C312" s="9"/>
      <c r="D312" s="9"/>
    </row>
    <row r="313" spans="1:4" ht="15.75" customHeight="1" x14ac:dyDescent="0.25">
      <c r="A313" s="9"/>
      <c r="B313" s="9"/>
      <c r="C313" s="9"/>
      <c r="D313" s="9"/>
    </row>
    <row r="314" spans="1:4" ht="15.75" customHeight="1" x14ac:dyDescent="0.25">
      <c r="A314" s="9"/>
      <c r="B314" s="9"/>
      <c r="C314" s="9"/>
      <c r="D314" s="9"/>
    </row>
    <row r="315" spans="1:4" ht="15.75" customHeight="1" x14ac:dyDescent="0.25">
      <c r="A315" s="9"/>
      <c r="B315" s="9"/>
      <c r="C315" s="9"/>
      <c r="D315" s="9"/>
    </row>
    <row r="316" spans="1:4" ht="15.75" customHeight="1" x14ac:dyDescent="0.25">
      <c r="A316" s="9"/>
      <c r="B316" s="9"/>
      <c r="C316" s="9"/>
      <c r="D316" s="9"/>
    </row>
    <row r="317" spans="1:4" ht="15.75" customHeight="1" x14ac:dyDescent="0.25">
      <c r="A317" s="9"/>
      <c r="B317" s="9"/>
      <c r="C317" s="9"/>
      <c r="D317" s="9"/>
    </row>
    <row r="318" spans="1:4" ht="15.75" customHeight="1" x14ac:dyDescent="0.25">
      <c r="A318" s="9"/>
      <c r="B318" s="9"/>
      <c r="C318" s="9"/>
      <c r="D318" s="9"/>
    </row>
    <row r="319" spans="1:4" ht="15.75" customHeight="1" x14ac:dyDescent="0.25">
      <c r="A319" s="9"/>
      <c r="B319" s="9"/>
      <c r="C319" s="9"/>
      <c r="D319" s="9"/>
    </row>
    <row r="320" spans="1:4" ht="15.75" customHeight="1" x14ac:dyDescent="0.25">
      <c r="A320" s="9"/>
      <c r="B320" s="9"/>
      <c r="C320" s="9"/>
      <c r="D320" s="9"/>
    </row>
    <row r="321" spans="1:4" ht="15.75" customHeight="1" x14ac:dyDescent="0.25">
      <c r="A321" s="9"/>
      <c r="B321" s="9"/>
      <c r="C321" s="9"/>
      <c r="D321" s="9"/>
    </row>
    <row r="322" spans="1:4" ht="15.75" customHeight="1" x14ac:dyDescent="0.25">
      <c r="A322" s="9"/>
      <c r="B322" s="9"/>
      <c r="C322" s="9"/>
      <c r="D322" s="9"/>
    </row>
    <row r="323" spans="1:4" ht="15.75" customHeight="1" x14ac:dyDescent="0.25">
      <c r="A323" s="9"/>
      <c r="B323" s="9"/>
      <c r="C323" s="9"/>
      <c r="D323" s="9"/>
    </row>
    <row r="324" spans="1:4" ht="15.75" customHeight="1" x14ac:dyDescent="0.25">
      <c r="A324" s="9"/>
      <c r="B324" s="9"/>
      <c r="C324" s="9"/>
      <c r="D324" s="9"/>
    </row>
    <row r="325" spans="1:4" ht="15.75" customHeight="1" x14ac:dyDescent="0.25">
      <c r="A325" s="9"/>
      <c r="B325" s="9"/>
      <c r="C325" s="9"/>
      <c r="D325" s="9"/>
    </row>
    <row r="326" spans="1:4" ht="15.75" customHeight="1" x14ac:dyDescent="0.25">
      <c r="A326" s="9"/>
      <c r="B326" s="9"/>
      <c r="C326" s="9"/>
      <c r="D326" s="9"/>
    </row>
    <row r="327" spans="1:4" ht="15.75" customHeight="1" x14ac:dyDescent="0.25">
      <c r="A327" s="9"/>
      <c r="B327" s="9"/>
      <c r="C327" s="9"/>
      <c r="D327" s="9"/>
    </row>
    <row r="328" spans="1:4" ht="15.75" customHeight="1" x14ac:dyDescent="0.25">
      <c r="A328" s="9"/>
      <c r="B328" s="9"/>
      <c r="C328" s="9"/>
      <c r="D328" s="9"/>
    </row>
    <row r="329" spans="1:4" ht="15.75" customHeight="1" x14ac:dyDescent="0.25">
      <c r="A329" s="9"/>
      <c r="B329" s="9"/>
      <c r="C329" s="9"/>
      <c r="D329" s="9"/>
    </row>
    <row r="330" spans="1:4" ht="15.75" customHeight="1" x14ac:dyDescent="0.25">
      <c r="A330" s="9"/>
      <c r="B330" s="9"/>
      <c r="C330" s="9"/>
      <c r="D330" s="9"/>
    </row>
    <row r="331" spans="1:4" ht="15.75" customHeight="1" x14ac:dyDescent="0.25">
      <c r="A331" s="9"/>
      <c r="B331" s="9"/>
      <c r="C331" s="9"/>
      <c r="D331" s="9"/>
    </row>
    <row r="332" spans="1:4" ht="15.75" customHeight="1" x14ac:dyDescent="0.25">
      <c r="A332" s="9"/>
      <c r="B332" s="9"/>
      <c r="C332" s="9"/>
      <c r="D332" s="9"/>
    </row>
    <row r="333" spans="1:4" ht="15.75" customHeight="1" x14ac:dyDescent="0.25">
      <c r="A333" s="9"/>
      <c r="B333" s="9"/>
      <c r="C333" s="9"/>
      <c r="D333" s="9"/>
    </row>
    <row r="334" spans="1:4" ht="15.75" customHeight="1" x14ac:dyDescent="0.25">
      <c r="A334" s="9"/>
      <c r="B334" s="9"/>
      <c r="C334" s="9"/>
      <c r="D334" s="9"/>
    </row>
    <row r="335" spans="1:4" ht="15.75" customHeight="1" x14ac:dyDescent="0.25">
      <c r="A335" s="9"/>
      <c r="B335" s="9"/>
      <c r="C335" s="9"/>
      <c r="D335" s="9"/>
    </row>
    <row r="336" spans="1:4" ht="15.75" customHeight="1" x14ac:dyDescent="0.25">
      <c r="A336" s="9"/>
      <c r="B336" s="9"/>
      <c r="C336" s="9"/>
      <c r="D336" s="9"/>
    </row>
    <row r="337" spans="1:4" ht="15.75" customHeight="1" x14ac:dyDescent="0.25">
      <c r="A337" s="9"/>
      <c r="B337" s="9"/>
      <c r="C337" s="9"/>
      <c r="D337" s="9"/>
    </row>
    <row r="338" spans="1:4" ht="15.75" customHeight="1" x14ac:dyDescent="0.25">
      <c r="A338" s="9"/>
      <c r="B338" s="9"/>
      <c r="C338" s="9"/>
      <c r="D338" s="9"/>
    </row>
    <row r="339" spans="1:4" ht="15.75" customHeight="1" x14ac:dyDescent="0.25">
      <c r="A339" s="9"/>
      <c r="B339" s="9"/>
      <c r="C339" s="9"/>
      <c r="D339" s="9"/>
    </row>
    <row r="340" spans="1:4" ht="15.75" customHeight="1" x14ac:dyDescent="0.25">
      <c r="A340" s="9"/>
      <c r="B340" s="9"/>
      <c r="C340" s="9"/>
      <c r="D340" s="9"/>
    </row>
    <row r="341" spans="1:4" ht="15.75" customHeight="1" x14ac:dyDescent="0.25">
      <c r="A341" s="9"/>
      <c r="B341" s="9"/>
      <c r="C341" s="9"/>
      <c r="D341" s="9"/>
    </row>
    <row r="342" spans="1:4" ht="15.75" customHeight="1" x14ac:dyDescent="0.25">
      <c r="A342" s="9"/>
      <c r="B342" s="9"/>
      <c r="C342" s="9"/>
      <c r="D342" s="9"/>
    </row>
    <row r="343" spans="1:4" ht="15.75" customHeight="1" x14ac:dyDescent="0.25">
      <c r="A343" s="9"/>
      <c r="B343" s="9"/>
      <c r="C343" s="9"/>
      <c r="D343" s="9"/>
    </row>
    <row r="344" spans="1:4" ht="15.75" customHeight="1" x14ac:dyDescent="0.25">
      <c r="A344" s="9"/>
      <c r="B344" s="9"/>
      <c r="C344" s="9"/>
      <c r="D344" s="9"/>
    </row>
    <row r="345" spans="1:4" ht="15.75" customHeight="1" x14ac:dyDescent="0.25">
      <c r="A345" s="9"/>
      <c r="B345" s="9"/>
      <c r="C345" s="9"/>
      <c r="D345" s="9"/>
    </row>
    <row r="346" spans="1:4" ht="15.75" customHeight="1" x14ac:dyDescent="0.25">
      <c r="A346" s="9"/>
      <c r="B346" s="9"/>
      <c r="C346" s="9"/>
      <c r="D346" s="9"/>
    </row>
    <row r="347" spans="1:4" ht="15.75" customHeight="1" x14ac:dyDescent="0.25">
      <c r="A347" s="9"/>
      <c r="B347" s="9"/>
      <c r="C347" s="9"/>
      <c r="D347" s="9"/>
    </row>
    <row r="348" spans="1:4" ht="15.75" customHeight="1" x14ac:dyDescent="0.25">
      <c r="A348" s="9"/>
      <c r="B348" s="9"/>
      <c r="C348" s="9"/>
      <c r="D348" s="9"/>
    </row>
    <row r="349" spans="1:4" ht="15.75" customHeight="1" x14ac:dyDescent="0.25">
      <c r="A349" s="9"/>
      <c r="B349" s="9"/>
      <c r="C349" s="9"/>
      <c r="D349" s="9"/>
    </row>
    <row r="350" spans="1:4" ht="15.75" customHeight="1" x14ac:dyDescent="0.25">
      <c r="A350" s="9"/>
      <c r="B350" s="9"/>
      <c r="C350" s="9"/>
      <c r="D350" s="9"/>
    </row>
    <row r="351" spans="1:4" ht="15.75" customHeight="1" x14ac:dyDescent="0.25">
      <c r="A351" s="9"/>
      <c r="B351" s="9"/>
      <c r="C351" s="9"/>
      <c r="D351" s="9"/>
    </row>
    <row r="352" spans="1:4" ht="15.75" customHeight="1" x14ac:dyDescent="0.25">
      <c r="A352" s="9"/>
      <c r="B352" s="9"/>
      <c r="C352" s="9"/>
      <c r="D352" s="9"/>
    </row>
    <row r="353" spans="1:4" ht="15.75" customHeight="1" x14ac:dyDescent="0.25">
      <c r="A353" s="9"/>
      <c r="B353" s="9"/>
      <c r="C353" s="9"/>
      <c r="D353" s="9"/>
    </row>
    <row r="354" spans="1:4" ht="15.75" customHeight="1" x14ac:dyDescent="0.25">
      <c r="A354" s="9"/>
      <c r="B354" s="9"/>
      <c r="C354" s="9"/>
      <c r="D354" s="9"/>
    </row>
    <row r="355" spans="1:4" ht="15.75" customHeight="1" x14ac:dyDescent="0.25">
      <c r="A355" s="9"/>
      <c r="B355" s="9"/>
      <c r="C355" s="9"/>
      <c r="D355" s="9"/>
    </row>
    <row r="356" spans="1:4" ht="15.75" customHeight="1" x14ac:dyDescent="0.25">
      <c r="A356" s="9"/>
      <c r="B356" s="9"/>
      <c r="C356" s="9"/>
      <c r="D356" s="9"/>
    </row>
    <row r="357" spans="1:4" ht="15.75" customHeight="1" x14ac:dyDescent="0.25">
      <c r="A357" s="9"/>
      <c r="B357" s="9"/>
      <c r="C357" s="9"/>
      <c r="D357" s="9"/>
    </row>
    <row r="358" spans="1:4" ht="15.75" customHeight="1" x14ac:dyDescent="0.25">
      <c r="A358" s="9"/>
      <c r="B358" s="9"/>
      <c r="C358" s="9"/>
      <c r="D358" s="9"/>
    </row>
    <row r="359" spans="1:4" ht="15.75" customHeight="1" x14ac:dyDescent="0.25">
      <c r="A359" s="9"/>
      <c r="B359" s="9"/>
      <c r="C359" s="9"/>
      <c r="D359" s="9"/>
    </row>
    <row r="360" spans="1:4" ht="15.75" customHeight="1" x14ac:dyDescent="0.25">
      <c r="A360" s="9"/>
      <c r="B360" s="9"/>
      <c r="C360" s="9"/>
      <c r="D360" s="9"/>
    </row>
    <row r="361" spans="1:4" ht="15.75" customHeight="1" x14ac:dyDescent="0.25">
      <c r="A361" s="9"/>
      <c r="B361" s="9"/>
      <c r="C361" s="9"/>
      <c r="D361" s="9"/>
    </row>
    <row r="362" spans="1:4" ht="15.75" customHeight="1" x14ac:dyDescent="0.25">
      <c r="A362" s="9"/>
      <c r="B362" s="9"/>
      <c r="C362" s="9"/>
      <c r="D362" s="9"/>
    </row>
    <row r="363" spans="1:4" ht="15.75" customHeight="1" x14ac:dyDescent="0.25">
      <c r="A363" s="9"/>
      <c r="B363" s="9"/>
      <c r="C363" s="9"/>
      <c r="D363" s="9"/>
    </row>
    <row r="364" spans="1:4" ht="15.75" customHeight="1" x14ac:dyDescent="0.25">
      <c r="A364" s="9"/>
      <c r="B364" s="9"/>
      <c r="C364" s="9"/>
      <c r="D364" s="9"/>
    </row>
    <row r="365" spans="1:4" ht="15.75" customHeight="1" x14ac:dyDescent="0.25">
      <c r="A365" s="9"/>
      <c r="B365" s="9"/>
      <c r="C365" s="9"/>
      <c r="D365" s="9"/>
    </row>
    <row r="366" spans="1:4" ht="15.75" customHeight="1" x14ac:dyDescent="0.25">
      <c r="A366" s="9"/>
      <c r="B366" s="9"/>
      <c r="C366" s="9"/>
      <c r="D366" s="9"/>
    </row>
    <row r="367" spans="1:4" ht="15.75" customHeight="1" x14ac:dyDescent="0.25">
      <c r="A367" s="9"/>
      <c r="B367" s="9"/>
      <c r="C367" s="9"/>
      <c r="D367" s="9"/>
    </row>
    <row r="368" spans="1:4" ht="15.75" customHeight="1" x14ac:dyDescent="0.25">
      <c r="A368" s="9"/>
      <c r="B368" s="9"/>
      <c r="C368" s="9"/>
      <c r="D368" s="9"/>
    </row>
    <row r="369" spans="1:4" ht="15.75" customHeight="1" x14ac:dyDescent="0.25">
      <c r="A369" s="9"/>
      <c r="B369" s="9"/>
      <c r="C369" s="9"/>
      <c r="D369" s="9"/>
    </row>
    <row r="370" spans="1:4" ht="15.75" customHeight="1" x14ac:dyDescent="0.25">
      <c r="A370" s="9"/>
      <c r="B370" s="9"/>
      <c r="C370" s="9"/>
      <c r="D370" s="9"/>
    </row>
    <row r="371" spans="1:4" ht="15.75" customHeight="1" x14ac:dyDescent="0.25">
      <c r="A371" s="9"/>
      <c r="B371" s="9"/>
      <c r="C371" s="9"/>
      <c r="D371" s="9"/>
    </row>
    <row r="372" spans="1:4" ht="15.75" customHeight="1" x14ac:dyDescent="0.25">
      <c r="A372" s="9"/>
      <c r="B372" s="9"/>
      <c r="C372" s="9"/>
      <c r="D372" s="9"/>
    </row>
    <row r="373" spans="1:4" ht="15.75" customHeight="1" x14ac:dyDescent="0.25">
      <c r="A373" s="9"/>
      <c r="B373" s="9"/>
      <c r="C373" s="9"/>
      <c r="D373" s="9"/>
    </row>
    <row r="374" spans="1:4" ht="15.75" customHeight="1" x14ac:dyDescent="0.25">
      <c r="A374" s="9"/>
      <c r="B374" s="9"/>
      <c r="C374" s="9"/>
      <c r="D374" s="9"/>
    </row>
    <row r="375" spans="1:4" ht="15.75" customHeight="1" x14ac:dyDescent="0.25">
      <c r="A375" s="9"/>
      <c r="B375" s="9"/>
      <c r="C375" s="9"/>
      <c r="D375" s="9"/>
    </row>
    <row r="376" spans="1:4" ht="15.75" customHeight="1" x14ac:dyDescent="0.25">
      <c r="A376" s="9"/>
      <c r="B376" s="9"/>
      <c r="C376" s="9"/>
      <c r="D376" s="9"/>
    </row>
    <row r="377" spans="1:4" ht="15.75" customHeight="1" x14ac:dyDescent="0.25">
      <c r="A377" s="9"/>
      <c r="B377" s="9"/>
      <c r="C377" s="9"/>
      <c r="D377" s="9"/>
    </row>
    <row r="378" spans="1:4" ht="15.75" customHeight="1" x14ac:dyDescent="0.25">
      <c r="A378" s="9"/>
      <c r="B378" s="9"/>
      <c r="C378" s="9"/>
      <c r="D378" s="9"/>
    </row>
    <row r="379" spans="1:4" ht="15.75" customHeight="1" x14ac:dyDescent="0.25">
      <c r="A379" s="9"/>
      <c r="B379" s="9"/>
      <c r="C379" s="9"/>
      <c r="D379" s="9"/>
    </row>
    <row r="380" spans="1:4" ht="15.75" customHeight="1" x14ac:dyDescent="0.25">
      <c r="A380" s="9"/>
      <c r="B380" s="9"/>
      <c r="C380" s="9"/>
      <c r="D380" s="9"/>
    </row>
    <row r="381" spans="1:4" ht="15.75" customHeight="1" x14ac:dyDescent="0.25">
      <c r="A381" s="9"/>
      <c r="B381" s="9"/>
      <c r="C381" s="9"/>
      <c r="D381" s="9"/>
    </row>
    <row r="382" spans="1:4" ht="15.75" customHeight="1" x14ac:dyDescent="0.25">
      <c r="A382" s="9"/>
      <c r="B382" s="9"/>
      <c r="C382" s="9"/>
      <c r="D382" s="9"/>
    </row>
    <row r="383" spans="1:4" ht="15.75" customHeight="1" x14ac:dyDescent="0.25">
      <c r="A383" s="9"/>
      <c r="B383" s="9"/>
      <c r="C383" s="9"/>
      <c r="D383" s="9"/>
    </row>
    <row r="384" spans="1:4" ht="15.75" customHeight="1" x14ac:dyDescent="0.25">
      <c r="A384" s="9"/>
      <c r="B384" s="9"/>
      <c r="C384" s="9"/>
      <c r="D384" s="9"/>
    </row>
    <row r="385" spans="1:4" ht="15.75" customHeight="1" x14ac:dyDescent="0.25">
      <c r="A385" s="9"/>
      <c r="B385" s="9"/>
      <c r="C385" s="9"/>
      <c r="D385" s="9"/>
    </row>
    <row r="386" spans="1:4" ht="15.75" customHeight="1" x14ac:dyDescent="0.25">
      <c r="A386" s="9"/>
      <c r="B386" s="9"/>
      <c r="C386" s="9"/>
      <c r="D386" s="9"/>
    </row>
    <row r="387" spans="1:4" ht="15.75" customHeight="1" x14ac:dyDescent="0.25">
      <c r="A387" s="9"/>
      <c r="B387" s="9"/>
      <c r="C387" s="9"/>
      <c r="D387" s="9"/>
    </row>
    <row r="388" spans="1:4" ht="15.75" customHeight="1" x14ac:dyDescent="0.25">
      <c r="A388" s="9"/>
      <c r="B388" s="9"/>
      <c r="C388" s="9"/>
      <c r="D388" s="9"/>
    </row>
    <row r="389" spans="1:4" ht="15.75" customHeight="1" x14ac:dyDescent="0.25">
      <c r="A389" s="9"/>
      <c r="B389" s="9"/>
      <c r="C389" s="9"/>
      <c r="D389" s="9"/>
    </row>
    <row r="390" spans="1:4" ht="15.75" customHeight="1" x14ac:dyDescent="0.25">
      <c r="A390" s="9"/>
      <c r="B390" s="9"/>
      <c r="C390" s="9"/>
      <c r="D390" s="9"/>
    </row>
    <row r="391" spans="1:4" ht="15.75" customHeight="1" x14ac:dyDescent="0.25">
      <c r="A391" s="9"/>
      <c r="B391" s="9"/>
      <c r="C391" s="9"/>
      <c r="D391" s="9"/>
    </row>
    <row r="392" spans="1:4" ht="15.75" customHeight="1" x14ac:dyDescent="0.25">
      <c r="A392" s="9"/>
      <c r="B392" s="9"/>
      <c r="C392" s="9"/>
      <c r="D392" s="9"/>
    </row>
    <row r="393" spans="1:4" ht="15.75" customHeight="1" x14ac:dyDescent="0.25">
      <c r="A393" s="9"/>
      <c r="B393" s="9"/>
      <c r="C393" s="9"/>
      <c r="D393" s="9"/>
    </row>
    <row r="394" spans="1:4" ht="15.75" customHeight="1" x14ac:dyDescent="0.25">
      <c r="A394" s="9"/>
      <c r="B394" s="9"/>
      <c r="C394" s="9"/>
      <c r="D394" s="9"/>
    </row>
    <row r="395" spans="1:4" ht="15.75" customHeight="1" x14ac:dyDescent="0.25">
      <c r="A395" s="9"/>
      <c r="B395" s="9"/>
      <c r="C395" s="9"/>
      <c r="D395" s="9"/>
    </row>
    <row r="396" spans="1:4" ht="15.75" customHeight="1" x14ac:dyDescent="0.25">
      <c r="A396" s="9"/>
      <c r="B396" s="9"/>
      <c r="C396" s="9"/>
      <c r="D396" s="9"/>
    </row>
    <row r="397" spans="1:4" ht="15.75" customHeight="1" x14ac:dyDescent="0.25">
      <c r="A397" s="9"/>
      <c r="B397" s="9"/>
      <c r="C397" s="9"/>
      <c r="D397" s="9"/>
    </row>
    <row r="398" spans="1:4" ht="15.75" customHeight="1" x14ac:dyDescent="0.25">
      <c r="A398" s="9"/>
      <c r="B398" s="9"/>
      <c r="C398" s="9"/>
      <c r="D398" s="9"/>
    </row>
    <row r="399" spans="1:4" ht="15.75" customHeight="1" x14ac:dyDescent="0.25">
      <c r="A399" s="9"/>
      <c r="B399" s="9"/>
      <c r="C399" s="9"/>
      <c r="D399" s="9"/>
    </row>
    <row r="400" spans="1:4" ht="15.75" customHeight="1" x14ac:dyDescent="0.25">
      <c r="A400" s="9"/>
      <c r="B400" s="9"/>
      <c r="C400" s="9"/>
      <c r="D400" s="9"/>
    </row>
    <row r="401" spans="1:4" ht="15.75" customHeight="1" x14ac:dyDescent="0.25">
      <c r="A401" s="9"/>
      <c r="B401" s="9"/>
      <c r="C401" s="9"/>
      <c r="D401" s="9"/>
    </row>
    <row r="402" spans="1:4" ht="15.75" customHeight="1" x14ac:dyDescent="0.25">
      <c r="A402" s="9"/>
      <c r="B402" s="9"/>
      <c r="C402" s="9"/>
      <c r="D402" s="9"/>
    </row>
    <row r="403" spans="1:4" ht="15.75" customHeight="1" x14ac:dyDescent="0.25">
      <c r="A403" s="9"/>
      <c r="B403" s="9"/>
      <c r="C403" s="9"/>
      <c r="D403" s="9"/>
    </row>
    <row r="404" spans="1:4" ht="15.75" customHeight="1" x14ac:dyDescent="0.25">
      <c r="A404" s="9"/>
      <c r="B404" s="9"/>
      <c r="C404" s="9"/>
      <c r="D404" s="9"/>
    </row>
    <row r="405" spans="1:4" ht="15.75" customHeight="1" x14ac:dyDescent="0.25">
      <c r="A405" s="9"/>
      <c r="B405" s="9"/>
      <c r="C405" s="9"/>
      <c r="D405" s="9"/>
    </row>
    <row r="406" spans="1:4" ht="15.75" customHeight="1" x14ac:dyDescent="0.25">
      <c r="A406" s="9"/>
      <c r="B406" s="9"/>
      <c r="C406" s="9"/>
      <c r="D406" s="9"/>
    </row>
    <row r="407" spans="1:4" ht="15.75" customHeight="1" x14ac:dyDescent="0.25">
      <c r="A407" s="9"/>
      <c r="B407" s="9"/>
      <c r="C407" s="9"/>
      <c r="D407" s="9"/>
    </row>
    <row r="408" spans="1:4" ht="15.75" customHeight="1" x14ac:dyDescent="0.25">
      <c r="A408" s="9"/>
      <c r="B408" s="9"/>
      <c r="C408" s="9"/>
      <c r="D408" s="9"/>
    </row>
    <row r="409" spans="1:4" ht="15.75" customHeight="1" x14ac:dyDescent="0.25">
      <c r="A409" s="9"/>
      <c r="B409" s="9"/>
      <c r="C409" s="9"/>
      <c r="D409" s="9"/>
    </row>
    <row r="410" spans="1:4" ht="15.75" customHeight="1" x14ac:dyDescent="0.25">
      <c r="A410" s="9"/>
      <c r="B410" s="9"/>
      <c r="C410" s="9"/>
      <c r="D410" s="9"/>
    </row>
    <row r="411" spans="1:4" ht="15.75" customHeight="1" x14ac:dyDescent="0.25">
      <c r="A411" s="9"/>
      <c r="B411" s="9"/>
      <c r="C411" s="9"/>
      <c r="D411" s="9"/>
    </row>
    <row r="412" spans="1:4" ht="15.75" customHeight="1" x14ac:dyDescent="0.25">
      <c r="A412" s="9"/>
      <c r="B412" s="9"/>
      <c r="C412" s="9"/>
      <c r="D412" s="9"/>
    </row>
    <row r="413" spans="1:4" ht="15.75" customHeight="1" x14ac:dyDescent="0.25">
      <c r="A413" s="9"/>
      <c r="B413" s="9"/>
      <c r="C413" s="9"/>
      <c r="D413" s="9"/>
    </row>
    <row r="414" spans="1:4" ht="15.75" customHeight="1" x14ac:dyDescent="0.25">
      <c r="A414" s="9"/>
      <c r="B414" s="9"/>
      <c r="C414" s="9"/>
      <c r="D414" s="9"/>
    </row>
    <row r="415" spans="1:4" ht="15.75" customHeight="1" x14ac:dyDescent="0.25">
      <c r="A415" s="9"/>
      <c r="B415" s="9"/>
      <c r="C415" s="9"/>
      <c r="D415" s="9"/>
    </row>
    <row r="416" spans="1:4" ht="15.75" customHeight="1" x14ac:dyDescent="0.25">
      <c r="A416" s="9"/>
      <c r="B416" s="9"/>
      <c r="C416" s="9"/>
      <c r="D416" s="9"/>
    </row>
    <row r="417" spans="1:4" ht="15.75" customHeight="1" x14ac:dyDescent="0.25">
      <c r="A417" s="9"/>
      <c r="B417" s="9"/>
      <c r="C417" s="9"/>
      <c r="D417" s="9"/>
    </row>
    <row r="418" spans="1:4" ht="15.75" customHeight="1" x14ac:dyDescent="0.25">
      <c r="A418" s="9"/>
      <c r="B418" s="9"/>
      <c r="C418" s="9"/>
      <c r="D418" s="9"/>
    </row>
    <row r="419" spans="1:4" ht="15.75" customHeight="1" x14ac:dyDescent="0.25">
      <c r="A419" s="9"/>
      <c r="B419" s="9"/>
      <c r="C419" s="9"/>
      <c r="D419" s="9"/>
    </row>
    <row r="420" spans="1:4" ht="15.75" customHeight="1" x14ac:dyDescent="0.25">
      <c r="A420" s="9"/>
      <c r="B420" s="9"/>
      <c r="C420" s="9"/>
      <c r="D420" s="9"/>
    </row>
    <row r="421" spans="1:4" ht="15.75" customHeight="1" x14ac:dyDescent="0.25">
      <c r="A421" s="9"/>
      <c r="B421" s="9"/>
      <c r="C421" s="9"/>
      <c r="D421" s="9"/>
    </row>
    <row r="422" spans="1:4" ht="15.75" customHeight="1" x14ac:dyDescent="0.25">
      <c r="A422" s="9"/>
      <c r="B422" s="9"/>
      <c r="C422" s="9"/>
      <c r="D422" s="9"/>
    </row>
    <row r="423" spans="1:4" ht="15.75" customHeight="1" x14ac:dyDescent="0.25">
      <c r="A423" s="9"/>
      <c r="B423" s="9"/>
      <c r="C423" s="9"/>
      <c r="D423" s="9"/>
    </row>
    <row r="424" spans="1:4" ht="15.75" customHeight="1" x14ac:dyDescent="0.25">
      <c r="A424" s="9"/>
      <c r="B424" s="9"/>
      <c r="C424" s="9"/>
      <c r="D424" s="9"/>
    </row>
    <row r="425" spans="1:4" ht="15.75" customHeight="1" x14ac:dyDescent="0.25">
      <c r="A425" s="9"/>
      <c r="B425" s="9"/>
      <c r="C425" s="9"/>
      <c r="D425" s="9"/>
    </row>
    <row r="426" spans="1:4" ht="15.75" customHeight="1" x14ac:dyDescent="0.25">
      <c r="A426" s="9"/>
      <c r="B426" s="9"/>
      <c r="C426" s="9"/>
      <c r="D426" s="9"/>
    </row>
    <row r="427" spans="1:4" ht="15.75" customHeight="1" x14ac:dyDescent="0.25">
      <c r="A427" s="9"/>
      <c r="B427" s="9"/>
      <c r="C427" s="9"/>
      <c r="D427" s="9"/>
    </row>
    <row r="428" spans="1:4" ht="15.75" customHeight="1" x14ac:dyDescent="0.25">
      <c r="A428" s="9"/>
      <c r="B428" s="9"/>
      <c r="C428" s="9"/>
      <c r="D428" s="9"/>
    </row>
    <row r="429" spans="1:4" ht="15.75" customHeight="1" x14ac:dyDescent="0.25">
      <c r="A429" s="9"/>
      <c r="B429" s="9"/>
      <c r="C429" s="9"/>
      <c r="D429" s="9"/>
    </row>
    <row r="430" spans="1:4" ht="15.75" customHeight="1" x14ac:dyDescent="0.25">
      <c r="A430" s="9"/>
      <c r="B430" s="9"/>
      <c r="C430" s="9"/>
      <c r="D430" s="9"/>
    </row>
    <row r="431" spans="1:4" ht="15.75" customHeight="1" x14ac:dyDescent="0.25">
      <c r="A431" s="9"/>
      <c r="B431" s="9"/>
      <c r="C431" s="9"/>
      <c r="D431" s="9"/>
    </row>
    <row r="432" spans="1:4" ht="15.75" customHeight="1" x14ac:dyDescent="0.25">
      <c r="A432" s="9"/>
      <c r="B432" s="9"/>
      <c r="C432" s="9"/>
      <c r="D432" s="9"/>
    </row>
    <row r="433" spans="1:4" ht="15.75" customHeight="1" x14ac:dyDescent="0.25">
      <c r="A433" s="9"/>
      <c r="B433" s="9"/>
      <c r="C433" s="9"/>
      <c r="D433" s="9"/>
    </row>
    <row r="434" spans="1:4" ht="15.75" customHeight="1" x14ac:dyDescent="0.25">
      <c r="A434" s="9"/>
      <c r="B434" s="9"/>
      <c r="C434" s="9"/>
      <c r="D434" s="9"/>
    </row>
    <row r="435" spans="1:4" ht="15.75" customHeight="1" x14ac:dyDescent="0.25">
      <c r="A435" s="9"/>
      <c r="B435" s="9"/>
      <c r="C435" s="9"/>
      <c r="D435" s="9"/>
    </row>
    <row r="436" spans="1:4" ht="15.75" customHeight="1" x14ac:dyDescent="0.25">
      <c r="A436" s="9"/>
      <c r="B436" s="9"/>
      <c r="C436" s="9"/>
      <c r="D436" s="9"/>
    </row>
    <row r="437" spans="1:4" ht="15.75" customHeight="1" x14ac:dyDescent="0.25">
      <c r="A437" s="9"/>
      <c r="B437" s="9"/>
      <c r="C437" s="9"/>
      <c r="D437" s="9"/>
    </row>
    <row r="438" spans="1:4" ht="15.75" customHeight="1" x14ac:dyDescent="0.25">
      <c r="A438" s="9"/>
      <c r="B438" s="9"/>
      <c r="C438" s="9"/>
      <c r="D438" s="9"/>
    </row>
    <row r="439" spans="1:4" ht="15.75" customHeight="1" x14ac:dyDescent="0.25">
      <c r="A439" s="9"/>
      <c r="B439" s="9"/>
      <c r="C439" s="9"/>
      <c r="D439" s="9"/>
    </row>
    <row r="440" spans="1:4" ht="15.75" customHeight="1" x14ac:dyDescent="0.25">
      <c r="A440" s="9"/>
      <c r="B440" s="9"/>
      <c r="C440" s="9"/>
      <c r="D440" s="9"/>
    </row>
    <row r="441" spans="1:4" ht="15.75" customHeight="1" x14ac:dyDescent="0.25">
      <c r="A441" s="9"/>
      <c r="B441" s="9"/>
      <c r="C441" s="9"/>
      <c r="D441" s="9"/>
    </row>
    <row r="442" spans="1:4" ht="15.75" customHeight="1" x14ac:dyDescent="0.25">
      <c r="A442" s="9"/>
      <c r="B442" s="9"/>
      <c r="C442" s="9"/>
      <c r="D442" s="9"/>
    </row>
    <row r="443" spans="1:4" ht="15.75" customHeight="1" x14ac:dyDescent="0.25">
      <c r="A443" s="9"/>
      <c r="B443" s="9"/>
      <c r="C443" s="9"/>
      <c r="D443" s="9"/>
    </row>
    <row r="444" spans="1:4" ht="15.75" customHeight="1" x14ac:dyDescent="0.25">
      <c r="A444" s="9"/>
      <c r="B444" s="9"/>
      <c r="C444" s="9"/>
      <c r="D444" s="9"/>
    </row>
    <row r="445" spans="1:4" ht="15.75" customHeight="1" x14ac:dyDescent="0.25">
      <c r="A445" s="9"/>
      <c r="B445" s="9"/>
      <c r="C445" s="9"/>
      <c r="D445" s="9"/>
    </row>
    <row r="446" spans="1:4" ht="15.75" customHeight="1" x14ac:dyDescent="0.25">
      <c r="A446" s="9"/>
      <c r="B446" s="9"/>
      <c r="C446" s="9"/>
      <c r="D446" s="9"/>
    </row>
    <row r="447" spans="1:4" ht="15.75" customHeight="1" x14ac:dyDescent="0.25">
      <c r="A447" s="9"/>
      <c r="B447" s="9"/>
      <c r="C447" s="9"/>
      <c r="D447" s="9"/>
    </row>
    <row r="448" spans="1:4" ht="15.75" customHeight="1" x14ac:dyDescent="0.25">
      <c r="A448" s="9"/>
      <c r="B448" s="9"/>
      <c r="C448" s="9"/>
      <c r="D448" s="9"/>
    </row>
    <row r="449" spans="1:4" ht="15.75" customHeight="1" x14ac:dyDescent="0.25">
      <c r="A449" s="9"/>
      <c r="B449" s="9"/>
      <c r="C449" s="9"/>
      <c r="D449" s="9"/>
    </row>
    <row r="450" spans="1:4" ht="15.75" customHeight="1" x14ac:dyDescent="0.25">
      <c r="A450" s="9"/>
      <c r="B450" s="9"/>
      <c r="C450" s="9"/>
      <c r="D450" s="9"/>
    </row>
    <row r="451" spans="1:4" ht="15.75" customHeight="1" x14ac:dyDescent="0.25">
      <c r="A451" s="9"/>
      <c r="B451" s="9"/>
      <c r="C451" s="9"/>
      <c r="D451" s="9"/>
    </row>
    <row r="452" spans="1:4" ht="15.75" customHeight="1" x14ac:dyDescent="0.25">
      <c r="A452" s="9"/>
      <c r="B452" s="9"/>
      <c r="C452" s="9"/>
      <c r="D452" s="9"/>
    </row>
    <row r="453" spans="1:4" ht="15.75" customHeight="1" x14ac:dyDescent="0.25">
      <c r="A453" s="9"/>
      <c r="B453" s="9"/>
      <c r="C453" s="9"/>
      <c r="D453" s="9"/>
    </row>
    <row r="454" spans="1:4" ht="15.75" customHeight="1" x14ac:dyDescent="0.25">
      <c r="A454" s="9"/>
      <c r="B454" s="9"/>
      <c r="C454" s="9"/>
      <c r="D454" s="9"/>
    </row>
    <row r="455" spans="1:4" ht="15.75" customHeight="1" x14ac:dyDescent="0.25">
      <c r="A455" s="9"/>
      <c r="B455" s="9"/>
      <c r="C455" s="9"/>
      <c r="D455" s="9"/>
    </row>
    <row r="456" spans="1:4" ht="15.75" customHeight="1" x14ac:dyDescent="0.25">
      <c r="A456" s="9"/>
      <c r="B456" s="9"/>
      <c r="C456" s="9"/>
      <c r="D456" s="9"/>
    </row>
    <row r="457" spans="1:4" ht="15.75" customHeight="1" x14ac:dyDescent="0.25">
      <c r="A457" s="9"/>
      <c r="B457" s="9"/>
      <c r="C457" s="9"/>
      <c r="D457" s="9"/>
    </row>
    <row r="458" spans="1:4" ht="15.75" customHeight="1" x14ac:dyDescent="0.25">
      <c r="A458" s="9"/>
      <c r="B458" s="9"/>
      <c r="C458" s="9"/>
      <c r="D458" s="9"/>
    </row>
    <row r="459" spans="1:4" ht="15.75" customHeight="1" x14ac:dyDescent="0.25">
      <c r="A459" s="9"/>
      <c r="B459" s="9"/>
      <c r="C459" s="9"/>
      <c r="D459" s="9"/>
    </row>
    <row r="460" spans="1:4" ht="15.75" customHeight="1" x14ac:dyDescent="0.25">
      <c r="A460" s="9"/>
      <c r="B460" s="9"/>
      <c r="C460" s="9"/>
      <c r="D460" s="9"/>
    </row>
    <row r="461" spans="1:4" ht="15.75" customHeight="1" x14ac:dyDescent="0.25">
      <c r="A461" s="9"/>
      <c r="B461" s="9"/>
      <c r="C461" s="9"/>
      <c r="D461" s="9"/>
    </row>
    <row r="462" spans="1:4" ht="15.75" customHeight="1" x14ac:dyDescent="0.25">
      <c r="A462" s="9"/>
      <c r="B462" s="9"/>
      <c r="C462" s="9"/>
      <c r="D462" s="9"/>
    </row>
    <row r="463" spans="1:4" ht="15.75" customHeight="1" x14ac:dyDescent="0.25">
      <c r="A463" s="9"/>
      <c r="B463" s="9"/>
      <c r="C463" s="9"/>
      <c r="D463" s="9"/>
    </row>
    <row r="464" spans="1:4" ht="15.75" customHeight="1" x14ac:dyDescent="0.25">
      <c r="A464" s="9"/>
      <c r="B464" s="9"/>
      <c r="C464" s="9"/>
      <c r="D464" s="9"/>
    </row>
    <row r="465" spans="1:4" ht="15.75" customHeight="1" x14ac:dyDescent="0.25">
      <c r="A465" s="9"/>
      <c r="B465" s="9"/>
      <c r="C465" s="9"/>
      <c r="D465" s="9"/>
    </row>
    <row r="466" spans="1:4" ht="15.75" customHeight="1" x14ac:dyDescent="0.25">
      <c r="A466" s="9"/>
      <c r="B466" s="9"/>
      <c r="C466" s="9"/>
      <c r="D466" s="9"/>
    </row>
    <row r="467" spans="1:4" ht="15.75" customHeight="1" x14ac:dyDescent="0.25">
      <c r="A467" s="9"/>
      <c r="B467" s="9"/>
      <c r="C467" s="9"/>
      <c r="D467" s="9"/>
    </row>
    <row r="468" spans="1:4" ht="15.75" customHeight="1" x14ac:dyDescent="0.25">
      <c r="A468" s="9"/>
      <c r="B468" s="9"/>
      <c r="C468" s="9"/>
      <c r="D468" s="9"/>
    </row>
    <row r="469" spans="1:4" ht="15.75" customHeight="1" x14ac:dyDescent="0.25">
      <c r="A469" s="9"/>
      <c r="B469" s="9"/>
      <c r="C469" s="9"/>
      <c r="D469" s="9"/>
    </row>
    <row r="470" spans="1:4" ht="15.75" customHeight="1" x14ac:dyDescent="0.25">
      <c r="A470" s="9"/>
      <c r="B470" s="9"/>
      <c r="C470" s="9"/>
      <c r="D470" s="9"/>
    </row>
    <row r="471" spans="1:4" ht="15.75" customHeight="1" x14ac:dyDescent="0.25">
      <c r="A471" s="9"/>
      <c r="B471" s="9"/>
      <c r="C471" s="9"/>
      <c r="D471" s="9"/>
    </row>
    <row r="472" spans="1:4" ht="15.75" customHeight="1" x14ac:dyDescent="0.25">
      <c r="A472" s="9"/>
      <c r="B472" s="9"/>
      <c r="C472" s="9"/>
      <c r="D472" s="9"/>
    </row>
    <row r="473" spans="1:4" ht="15.75" customHeight="1" x14ac:dyDescent="0.25">
      <c r="A473" s="9"/>
      <c r="B473" s="9"/>
      <c r="C473" s="9"/>
      <c r="D473" s="9"/>
    </row>
    <row r="474" spans="1:4" ht="15.75" customHeight="1" x14ac:dyDescent="0.25">
      <c r="A474" s="9"/>
      <c r="B474" s="9"/>
      <c r="C474" s="9"/>
      <c r="D474" s="9"/>
    </row>
    <row r="475" spans="1:4" ht="15.75" customHeight="1" x14ac:dyDescent="0.25">
      <c r="A475" s="9"/>
      <c r="B475" s="9"/>
      <c r="C475" s="9"/>
      <c r="D475" s="9"/>
    </row>
    <row r="476" spans="1:4" ht="15.75" customHeight="1" x14ac:dyDescent="0.25">
      <c r="A476" s="9"/>
      <c r="B476" s="9"/>
      <c r="C476" s="9"/>
      <c r="D476" s="9"/>
    </row>
    <row r="477" spans="1:4" ht="15.75" customHeight="1" x14ac:dyDescent="0.25">
      <c r="A477" s="9"/>
      <c r="B477" s="9"/>
      <c r="C477" s="9"/>
      <c r="D477" s="9"/>
    </row>
    <row r="478" spans="1:4" ht="15.75" customHeight="1" x14ac:dyDescent="0.25">
      <c r="A478" s="9"/>
      <c r="B478" s="9"/>
      <c r="C478" s="9"/>
      <c r="D478" s="9"/>
    </row>
    <row r="479" spans="1:4" ht="15.75" customHeight="1" x14ac:dyDescent="0.25">
      <c r="A479" s="9"/>
      <c r="B479" s="9"/>
      <c r="C479" s="9"/>
      <c r="D479" s="9"/>
    </row>
    <row r="480" spans="1:4" ht="15.75" customHeight="1" x14ac:dyDescent="0.25">
      <c r="A480" s="9"/>
      <c r="B480" s="9"/>
      <c r="C480" s="9"/>
      <c r="D480" s="9"/>
    </row>
    <row r="481" spans="1:4" ht="15.75" customHeight="1" x14ac:dyDescent="0.25">
      <c r="A481" s="9"/>
      <c r="B481" s="9"/>
      <c r="C481" s="9"/>
      <c r="D481" s="9"/>
    </row>
    <row r="482" spans="1:4" ht="15.75" customHeight="1" x14ac:dyDescent="0.25">
      <c r="A482" s="9"/>
      <c r="B482" s="9"/>
      <c r="C482" s="9"/>
      <c r="D482" s="9"/>
    </row>
    <row r="483" spans="1:4" ht="15.75" customHeight="1" x14ac:dyDescent="0.25">
      <c r="A483" s="9"/>
      <c r="B483" s="9"/>
      <c r="C483" s="9"/>
      <c r="D483" s="9"/>
    </row>
    <row r="484" spans="1:4" ht="15.75" customHeight="1" x14ac:dyDescent="0.25">
      <c r="A484" s="9"/>
      <c r="B484" s="9"/>
      <c r="C484" s="9"/>
      <c r="D484" s="9"/>
    </row>
    <row r="485" spans="1:4" ht="15.75" customHeight="1" x14ac:dyDescent="0.25">
      <c r="A485" s="9"/>
      <c r="B485" s="9"/>
      <c r="C485" s="9"/>
      <c r="D485" s="9"/>
    </row>
    <row r="486" spans="1:4" ht="15.75" customHeight="1" x14ac:dyDescent="0.25">
      <c r="A486" s="9"/>
      <c r="B486" s="9"/>
      <c r="C486" s="9"/>
      <c r="D486" s="9"/>
    </row>
    <row r="487" spans="1:4" ht="15.75" customHeight="1" x14ac:dyDescent="0.25">
      <c r="A487" s="9"/>
      <c r="B487" s="9"/>
      <c r="C487" s="9"/>
      <c r="D487" s="9"/>
    </row>
    <row r="488" spans="1:4" ht="15.75" customHeight="1" x14ac:dyDescent="0.25">
      <c r="A488" s="9"/>
      <c r="B488" s="9"/>
      <c r="C488" s="9"/>
      <c r="D488" s="9"/>
    </row>
    <row r="489" spans="1:4" ht="15.75" customHeight="1" x14ac:dyDescent="0.25">
      <c r="A489" s="9"/>
      <c r="B489" s="9"/>
      <c r="C489" s="9"/>
      <c r="D489" s="9"/>
    </row>
    <row r="490" spans="1:4" ht="15.75" customHeight="1" x14ac:dyDescent="0.25">
      <c r="A490" s="9"/>
      <c r="B490" s="9"/>
      <c r="C490" s="9"/>
      <c r="D490" s="9"/>
    </row>
    <row r="491" spans="1:4" ht="15.75" customHeight="1" x14ac:dyDescent="0.25">
      <c r="A491" s="9"/>
      <c r="B491" s="9"/>
      <c r="C491" s="9"/>
      <c r="D491" s="9"/>
    </row>
    <row r="492" spans="1:4" ht="15.75" customHeight="1" x14ac:dyDescent="0.25">
      <c r="A492" s="9"/>
      <c r="B492" s="9"/>
      <c r="C492" s="9"/>
      <c r="D492" s="9"/>
    </row>
    <row r="493" spans="1:4" ht="15.75" customHeight="1" x14ac:dyDescent="0.25">
      <c r="A493" s="9"/>
      <c r="B493" s="9"/>
      <c r="C493" s="9"/>
      <c r="D493" s="9"/>
    </row>
    <row r="494" spans="1:4" ht="15.75" customHeight="1" x14ac:dyDescent="0.25">
      <c r="A494" s="9"/>
      <c r="B494" s="9"/>
      <c r="C494" s="9"/>
      <c r="D494" s="9"/>
    </row>
    <row r="495" spans="1:4" ht="15.75" customHeight="1" x14ac:dyDescent="0.25">
      <c r="A495" s="9"/>
      <c r="B495" s="9"/>
      <c r="C495" s="9"/>
      <c r="D495" s="9"/>
    </row>
    <row r="496" spans="1:4" ht="15.75" customHeight="1" x14ac:dyDescent="0.25">
      <c r="A496" s="9"/>
      <c r="B496" s="9"/>
      <c r="C496" s="9"/>
      <c r="D496" s="9"/>
    </row>
    <row r="497" spans="1:4" ht="15.75" customHeight="1" x14ac:dyDescent="0.25">
      <c r="A497" s="9"/>
      <c r="B497" s="9"/>
      <c r="C497" s="9"/>
      <c r="D497" s="9"/>
    </row>
    <row r="498" spans="1:4" ht="15.75" customHeight="1" x14ac:dyDescent="0.25">
      <c r="A498" s="9"/>
      <c r="B498" s="9"/>
      <c r="C498" s="9"/>
      <c r="D498" s="9"/>
    </row>
    <row r="499" spans="1:4" ht="15.75" customHeight="1" x14ac:dyDescent="0.25">
      <c r="A499" s="9"/>
      <c r="B499" s="9"/>
      <c r="C499" s="9"/>
      <c r="D499" s="9"/>
    </row>
    <row r="500" spans="1:4" ht="15.75" customHeight="1" x14ac:dyDescent="0.25">
      <c r="A500" s="9"/>
      <c r="B500" s="9"/>
      <c r="C500" s="9"/>
      <c r="D500" s="9"/>
    </row>
    <row r="501" spans="1:4" ht="15.75" customHeight="1" x14ac:dyDescent="0.25">
      <c r="A501" s="9"/>
      <c r="B501" s="9"/>
      <c r="C501" s="9"/>
      <c r="D501" s="9"/>
    </row>
    <row r="502" spans="1:4" ht="15.75" customHeight="1" x14ac:dyDescent="0.25">
      <c r="A502" s="9"/>
      <c r="B502" s="9"/>
      <c r="C502" s="9"/>
      <c r="D502" s="9"/>
    </row>
    <row r="503" spans="1:4" ht="15.75" customHeight="1" x14ac:dyDescent="0.25">
      <c r="A503" s="9"/>
      <c r="B503" s="9"/>
      <c r="C503" s="9"/>
      <c r="D503" s="9"/>
    </row>
    <row r="504" spans="1:4" ht="15.75" customHeight="1" x14ac:dyDescent="0.25">
      <c r="A504" s="9"/>
      <c r="B504" s="9"/>
      <c r="C504" s="9"/>
      <c r="D504" s="9"/>
    </row>
    <row r="505" spans="1:4" ht="15.75" customHeight="1" x14ac:dyDescent="0.25">
      <c r="A505" s="9"/>
      <c r="B505" s="9"/>
      <c r="C505" s="9"/>
      <c r="D505" s="9"/>
    </row>
    <row r="506" spans="1:4" ht="15.75" customHeight="1" x14ac:dyDescent="0.25">
      <c r="A506" s="9"/>
      <c r="B506" s="9"/>
      <c r="C506" s="9"/>
      <c r="D506" s="9"/>
    </row>
    <row r="507" spans="1:4" ht="15.75" customHeight="1" x14ac:dyDescent="0.25">
      <c r="A507" s="9"/>
      <c r="B507" s="9"/>
      <c r="C507" s="9"/>
      <c r="D507" s="9"/>
    </row>
    <row r="508" spans="1:4" ht="15.75" customHeight="1" x14ac:dyDescent="0.25">
      <c r="A508" s="9"/>
      <c r="B508" s="9"/>
      <c r="C508" s="9"/>
      <c r="D508" s="9"/>
    </row>
    <row r="509" spans="1:4" ht="15.75" customHeight="1" x14ac:dyDescent="0.25">
      <c r="A509" s="9"/>
      <c r="B509" s="9"/>
      <c r="C509" s="9"/>
      <c r="D509" s="9"/>
    </row>
    <row r="510" spans="1:4" ht="15.75" customHeight="1" x14ac:dyDescent="0.25">
      <c r="A510" s="9"/>
      <c r="B510" s="9"/>
      <c r="C510" s="9"/>
      <c r="D510" s="9"/>
    </row>
    <row r="511" spans="1:4" ht="15.75" customHeight="1" x14ac:dyDescent="0.25">
      <c r="A511" s="9"/>
      <c r="B511" s="9"/>
      <c r="C511" s="9"/>
      <c r="D511" s="9"/>
    </row>
    <row r="512" spans="1:4" ht="15.75" customHeight="1" x14ac:dyDescent="0.25">
      <c r="A512" s="9"/>
      <c r="B512" s="9"/>
      <c r="C512" s="9"/>
      <c r="D512" s="9"/>
    </row>
    <row r="513" spans="1:4" ht="15.75" customHeight="1" x14ac:dyDescent="0.25">
      <c r="A513" s="9"/>
      <c r="B513" s="9"/>
      <c r="C513" s="9"/>
      <c r="D513" s="9"/>
    </row>
    <row r="514" spans="1:4" ht="15.75" customHeight="1" x14ac:dyDescent="0.25">
      <c r="A514" s="9"/>
      <c r="B514" s="9"/>
      <c r="C514" s="9"/>
      <c r="D514" s="9"/>
    </row>
    <row r="515" spans="1:4" ht="15.75" customHeight="1" x14ac:dyDescent="0.25">
      <c r="A515" s="9"/>
      <c r="B515" s="9"/>
      <c r="C515" s="9"/>
      <c r="D515" s="9"/>
    </row>
    <row r="516" spans="1:4" ht="15.75" customHeight="1" x14ac:dyDescent="0.25">
      <c r="A516" s="9"/>
      <c r="B516" s="9"/>
      <c r="C516" s="9"/>
      <c r="D516" s="9"/>
    </row>
    <row r="517" spans="1:4" ht="15.75" customHeight="1" x14ac:dyDescent="0.25">
      <c r="A517" s="9"/>
      <c r="B517" s="9"/>
      <c r="C517" s="9"/>
      <c r="D517" s="9"/>
    </row>
    <row r="518" spans="1:4" ht="15.75" customHeight="1" x14ac:dyDescent="0.25">
      <c r="A518" s="9"/>
      <c r="B518" s="9"/>
      <c r="C518" s="9"/>
      <c r="D518" s="9"/>
    </row>
    <row r="519" spans="1:4" ht="15.75" customHeight="1" x14ac:dyDescent="0.25">
      <c r="A519" s="9"/>
      <c r="B519" s="9"/>
      <c r="C519" s="9"/>
      <c r="D519" s="9"/>
    </row>
    <row r="520" spans="1:4" ht="15.75" customHeight="1" x14ac:dyDescent="0.25">
      <c r="A520" s="9"/>
      <c r="B520" s="9"/>
      <c r="C520" s="9"/>
      <c r="D520" s="9"/>
    </row>
    <row r="521" spans="1:4" ht="15.75" customHeight="1" x14ac:dyDescent="0.25">
      <c r="A521" s="9"/>
      <c r="B521" s="9"/>
      <c r="C521" s="9"/>
      <c r="D521" s="9"/>
    </row>
    <row r="522" spans="1:4" ht="15.75" customHeight="1" x14ac:dyDescent="0.25">
      <c r="A522" s="9"/>
      <c r="B522" s="9"/>
      <c r="C522" s="9"/>
      <c r="D522" s="9"/>
    </row>
    <row r="523" spans="1:4" ht="15.75" customHeight="1" x14ac:dyDescent="0.25">
      <c r="A523" s="9"/>
      <c r="B523" s="9"/>
      <c r="C523" s="9"/>
      <c r="D523" s="9"/>
    </row>
    <row r="524" spans="1:4" ht="15.75" customHeight="1" x14ac:dyDescent="0.25">
      <c r="A524" s="9"/>
      <c r="B524" s="9"/>
      <c r="C524" s="9"/>
      <c r="D524" s="9"/>
    </row>
    <row r="525" spans="1:4" ht="15.75" customHeight="1" x14ac:dyDescent="0.25">
      <c r="A525" s="9"/>
      <c r="B525" s="9"/>
      <c r="C525" s="9"/>
      <c r="D525" s="9"/>
    </row>
    <row r="526" spans="1:4" ht="15.75" customHeight="1" x14ac:dyDescent="0.25">
      <c r="A526" s="9"/>
      <c r="B526" s="9"/>
      <c r="C526" s="9"/>
      <c r="D526" s="9"/>
    </row>
    <row r="527" spans="1:4" ht="15.75" customHeight="1" x14ac:dyDescent="0.25">
      <c r="A527" s="9"/>
      <c r="B527" s="9"/>
      <c r="C527" s="9"/>
      <c r="D527" s="9"/>
    </row>
    <row r="528" spans="1:4" ht="15.75" customHeight="1" x14ac:dyDescent="0.25">
      <c r="A528" s="9"/>
      <c r="B528" s="9"/>
      <c r="C528" s="9"/>
      <c r="D528" s="9"/>
    </row>
    <row r="529" spans="1:4" ht="15.75" customHeight="1" x14ac:dyDescent="0.25">
      <c r="A529" s="9"/>
      <c r="B529" s="9"/>
      <c r="C529" s="9"/>
      <c r="D529" s="9"/>
    </row>
    <row r="530" spans="1:4" ht="15.75" customHeight="1" x14ac:dyDescent="0.25">
      <c r="A530" s="9"/>
      <c r="B530" s="9"/>
      <c r="C530" s="9"/>
      <c r="D530" s="9"/>
    </row>
    <row r="531" spans="1:4" ht="15.75" customHeight="1" x14ac:dyDescent="0.25">
      <c r="A531" s="9"/>
      <c r="B531" s="9"/>
      <c r="C531" s="9"/>
      <c r="D531" s="9"/>
    </row>
    <row r="532" spans="1:4" ht="15.75" customHeight="1" x14ac:dyDescent="0.25">
      <c r="A532" s="9"/>
      <c r="B532" s="9"/>
      <c r="C532" s="9"/>
      <c r="D532" s="9"/>
    </row>
    <row r="533" spans="1:4" ht="15.75" customHeight="1" x14ac:dyDescent="0.25">
      <c r="A533" s="9"/>
      <c r="B533" s="9"/>
      <c r="C533" s="9"/>
      <c r="D533" s="9"/>
    </row>
    <row r="534" spans="1:4" ht="15.75" customHeight="1" x14ac:dyDescent="0.25">
      <c r="A534" s="9"/>
      <c r="B534" s="9"/>
      <c r="C534" s="9"/>
      <c r="D534" s="9"/>
    </row>
    <row r="535" spans="1:4" ht="15.75" customHeight="1" x14ac:dyDescent="0.25">
      <c r="A535" s="9"/>
      <c r="B535" s="9"/>
      <c r="C535" s="9"/>
      <c r="D535" s="9"/>
    </row>
    <row r="536" spans="1:4" ht="15.75" customHeight="1" x14ac:dyDescent="0.25">
      <c r="A536" s="9"/>
      <c r="B536" s="9"/>
      <c r="C536" s="9"/>
      <c r="D536" s="9"/>
    </row>
    <row r="537" spans="1:4" ht="15.75" customHeight="1" x14ac:dyDescent="0.25">
      <c r="A537" s="9"/>
      <c r="B537" s="9"/>
      <c r="C537" s="9"/>
      <c r="D537" s="9"/>
    </row>
    <row r="538" spans="1:4" ht="15.75" customHeight="1" x14ac:dyDescent="0.25">
      <c r="A538" s="9"/>
      <c r="B538" s="9"/>
      <c r="C538" s="9"/>
      <c r="D538" s="9"/>
    </row>
    <row r="539" spans="1:4" ht="15.75" customHeight="1" x14ac:dyDescent="0.25">
      <c r="A539" s="9"/>
      <c r="B539" s="9"/>
      <c r="C539" s="9"/>
      <c r="D539" s="9"/>
    </row>
    <row r="540" spans="1:4" ht="15.75" customHeight="1" x14ac:dyDescent="0.25">
      <c r="A540" s="9"/>
      <c r="B540" s="9"/>
      <c r="C540" s="9"/>
      <c r="D540" s="9"/>
    </row>
    <row r="541" spans="1:4" ht="15.75" customHeight="1" x14ac:dyDescent="0.25">
      <c r="A541" s="9"/>
      <c r="B541" s="9"/>
      <c r="C541" s="9"/>
      <c r="D541" s="9"/>
    </row>
    <row r="542" spans="1:4" ht="15.75" customHeight="1" x14ac:dyDescent="0.25">
      <c r="A542" s="9"/>
      <c r="B542" s="9"/>
      <c r="C542" s="9"/>
      <c r="D542" s="9"/>
    </row>
    <row r="543" spans="1:4" ht="15.75" customHeight="1" x14ac:dyDescent="0.25">
      <c r="A543" s="9"/>
      <c r="B543" s="9"/>
      <c r="C543" s="9"/>
      <c r="D543" s="9"/>
    </row>
    <row r="544" spans="1:4" ht="15.75" customHeight="1" x14ac:dyDescent="0.25">
      <c r="A544" s="9"/>
      <c r="B544" s="9"/>
      <c r="C544" s="9"/>
      <c r="D544" s="9"/>
    </row>
    <row r="545" spans="1:4" ht="15.75" customHeight="1" x14ac:dyDescent="0.25">
      <c r="A545" s="9"/>
      <c r="B545" s="9"/>
      <c r="C545" s="9"/>
      <c r="D545" s="9"/>
    </row>
    <row r="546" spans="1:4" ht="15.75" customHeight="1" x14ac:dyDescent="0.25">
      <c r="A546" s="9"/>
      <c r="B546" s="9"/>
      <c r="C546" s="9"/>
      <c r="D546" s="9"/>
    </row>
    <row r="547" spans="1:4" ht="15.75" customHeight="1" x14ac:dyDescent="0.25">
      <c r="A547" s="9"/>
      <c r="B547" s="9"/>
      <c r="C547" s="9"/>
      <c r="D547" s="9"/>
    </row>
    <row r="548" spans="1:4" ht="15.75" customHeight="1" x14ac:dyDescent="0.25">
      <c r="A548" s="9"/>
      <c r="B548" s="9"/>
      <c r="C548" s="9"/>
      <c r="D548" s="9"/>
    </row>
    <row r="549" spans="1:4" ht="15.75" customHeight="1" x14ac:dyDescent="0.25">
      <c r="A549" s="9"/>
      <c r="B549" s="9"/>
      <c r="C549" s="9"/>
      <c r="D549" s="9"/>
    </row>
    <row r="550" spans="1:4" ht="15.75" customHeight="1" x14ac:dyDescent="0.25">
      <c r="A550" s="9"/>
      <c r="B550" s="9"/>
      <c r="C550" s="9"/>
      <c r="D550" s="9"/>
    </row>
    <row r="551" spans="1:4" ht="15.75" customHeight="1" x14ac:dyDescent="0.25">
      <c r="A551" s="9"/>
      <c r="B551" s="9"/>
      <c r="C551" s="9"/>
      <c r="D551" s="9"/>
    </row>
    <row r="552" spans="1:4" ht="15.75" customHeight="1" x14ac:dyDescent="0.25">
      <c r="A552" s="9"/>
      <c r="B552" s="9"/>
      <c r="C552" s="9"/>
      <c r="D552" s="9"/>
    </row>
    <row r="553" spans="1:4" ht="15.75" customHeight="1" x14ac:dyDescent="0.25">
      <c r="A553" s="9"/>
      <c r="B553" s="9"/>
      <c r="C553" s="9"/>
      <c r="D553" s="9"/>
    </row>
    <row r="554" spans="1:4" ht="15.75" customHeight="1" x14ac:dyDescent="0.25">
      <c r="A554" s="9"/>
      <c r="B554" s="9"/>
      <c r="C554" s="9"/>
      <c r="D554" s="9"/>
    </row>
    <row r="555" spans="1:4" ht="15.75" customHeight="1" x14ac:dyDescent="0.25">
      <c r="A555" s="9"/>
      <c r="B555" s="9"/>
      <c r="C555" s="9"/>
      <c r="D555" s="9"/>
    </row>
    <row r="556" spans="1:4" ht="15.75" customHeight="1" x14ac:dyDescent="0.25">
      <c r="A556" s="9"/>
      <c r="B556" s="9"/>
      <c r="C556" s="9"/>
      <c r="D556" s="9"/>
    </row>
    <row r="557" spans="1:4" ht="15.75" customHeight="1" x14ac:dyDescent="0.25">
      <c r="A557" s="9"/>
      <c r="B557" s="9"/>
      <c r="C557" s="9"/>
      <c r="D557" s="9"/>
    </row>
    <row r="558" spans="1:4" ht="15.75" customHeight="1" x14ac:dyDescent="0.25">
      <c r="A558" s="9"/>
      <c r="B558" s="9"/>
      <c r="C558" s="9"/>
      <c r="D558" s="9"/>
    </row>
    <row r="559" spans="1:4" ht="15.75" customHeight="1" x14ac:dyDescent="0.25">
      <c r="A559" s="9"/>
      <c r="B559" s="9"/>
      <c r="C559" s="9"/>
      <c r="D559" s="9"/>
    </row>
    <row r="560" spans="1:4" ht="15.75" customHeight="1" x14ac:dyDescent="0.25">
      <c r="A560" s="9"/>
      <c r="B560" s="9"/>
      <c r="C560" s="9"/>
      <c r="D560" s="9"/>
    </row>
    <row r="561" spans="1:4" ht="15.75" customHeight="1" x14ac:dyDescent="0.25">
      <c r="A561" s="9"/>
      <c r="B561" s="9"/>
      <c r="C561" s="9"/>
      <c r="D561" s="9"/>
    </row>
    <row r="562" spans="1:4" ht="15.75" customHeight="1" x14ac:dyDescent="0.25">
      <c r="A562" s="9"/>
      <c r="B562" s="9"/>
      <c r="C562" s="9"/>
      <c r="D562" s="9"/>
    </row>
    <row r="563" spans="1:4" ht="15.75" customHeight="1" x14ac:dyDescent="0.25">
      <c r="A563" s="9"/>
      <c r="B563" s="9"/>
      <c r="C563" s="9"/>
      <c r="D563" s="9"/>
    </row>
    <row r="564" spans="1:4" ht="15.75" customHeight="1" x14ac:dyDescent="0.25">
      <c r="A564" s="9"/>
      <c r="B564" s="9"/>
      <c r="C564" s="9"/>
      <c r="D564" s="9"/>
    </row>
    <row r="565" spans="1:4" ht="15.75" customHeight="1" x14ac:dyDescent="0.25">
      <c r="A565" s="9"/>
      <c r="B565" s="9"/>
      <c r="C565" s="9"/>
      <c r="D565" s="9"/>
    </row>
    <row r="566" spans="1:4" ht="15.75" customHeight="1" x14ac:dyDescent="0.25">
      <c r="A566" s="9"/>
      <c r="B566" s="9"/>
      <c r="C566" s="9"/>
      <c r="D566" s="9"/>
    </row>
    <row r="567" spans="1:4" ht="15.75" customHeight="1" x14ac:dyDescent="0.25">
      <c r="A567" s="9"/>
      <c r="B567" s="9"/>
      <c r="C567" s="9"/>
      <c r="D567" s="9"/>
    </row>
    <row r="568" spans="1:4" ht="15.75" customHeight="1" x14ac:dyDescent="0.25">
      <c r="A568" s="9"/>
      <c r="B568" s="9"/>
      <c r="C568" s="9"/>
      <c r="D568" s="9"/>
    </row>
    <row r="569" spans="1:4" ht="15.75" customHeight="1" x14ac:dyDescent="0.25">
      <c r="A569" s="9"/>
      <c r="B569" s="9"/>
      <c r="C569" s="9"/>
      <c r="D569" s="9"/>
    </row>
    <row r="570" spans="1:4" ht="15.75" customHeight="1" x14ac:dyDescent="0.25">
      <c r="A570" s="9"/>
      <c r="B570" s="9"/>
      <c r="C570" s="9"/>
      <c r="D570" s="9"/>
    </row>
    <row r="571" spans="1:4" ht="15.75" customHeight="1" x14ac:dyDescent="0.25">
      <c r="A571" s="9"/>
      <c r="B571" s="9"/>
      <c r="C571" s="9"/>
      <c r="D571" s="9"/>
    </row>
    <row r="572" spans="1:4" ht="15.75" customHeight="1" x14ac:dyDescent="0.25">
      <c r="A572" s="9"/>
      <c r="B572" s="9"/>
      <c r="C572" s="9"/>
      <c r="D572" s="9"/>
    </row>
    <row r="573" spans="1:4" ht="15.75" customHeight="1" x14ac:dyDescent="0.25">
      <c r="A573" s="9"/>
      <c r="B573" s="9"/>
      <c r="C573" s="9"/>
      <c r="D573" s="9"/>
    </row>
    <row r="574" spans="1:4" ht="15.75" customHeight="1" x14ac:dyDescent="0.25">
      <c r="A574" s="9"/>
      <c r="B574" s="9"/>
      <c r="C574" s="9"/>
      <c r="D574" s="9"/>
    </row>
    <row r="575" spans="1:4" ht="15.75" customHeight="1" x14ac:dyDescent="0.25">
      <c r="A575" s="9"/>
      <c r="B575" s="9"/>
      <c r="C575" s="9"/>
      <c r="D575" s="9"/>
    </row>
    <row r="576" spans="1:4" ht="15.75" customHeight="1" x14ac:dyDescent="0.25">
      <c r="A576" s="9"/>
      <c r="B576" s="9"/>
      <c r="C576" s="9"/>
      <c r="D576" s="9"/>
    </row>
    <row r="577" spans="1:4" ht="15.75" customHeight="1" x14ac:dyDescent="0.25">
      <c r="A577" s="9"/>
      <c r="B577" s="9"/>
      <c r="C577" s="9"/>
      <c r="D577" s="9"/>
    </row>
    <row r="578" spans="1:4" ht="15.75" customHeight="1" x14ac:dyDescent="0.25">
      <c r="A578" s="9"/>
      <c r="B578" s="9"/>
      <c r="C578" s="9"/>
      <c r="D578" s="9"/>
    </row>
    <row r="579" spans="1:4" ht="15.75" customHeight="1" x14ac:dyDescent="0.25">
      <c r="A579" s="9"/>
      <c r="B579" s="9"/>
      <c r="C579" s="9"/>
      <c r="D579" s="9"/>
    </row>
    <row r="580" spans="1:4" ht="15.75" customHeight="1" x14ac:dyDescent="0.25">
      <c r="A580" s="9"/>
      <c r="B580" s="9"/>
      <c r="C580" s="9"/>
      <c r="D580" s="9"/>
    </row>
    <row r="581" spans="1:4" ht="15.75" customHeight="1" x14ac:dyDescent="0.25">
      <c r="A581" s="9"/>
      <c r="B581" s="9"/>
      <c r="C581" s="9"/>
      <c r="D581" s="9"/>
    </row>
    <row r="582" spans="1:4" ht="15.75" customHeight="1" x14ac:dyDescent="0.25">
      <c r="A582" s="9"/>
      <c r="B582" s="9"/>
      <c r="C582" s="9"/>
      <c r="D582" s="9"/>
    </row>
    <row r="583" spans="1:4" ht="15.75" customHeight="1" x14ac:dyDescent="0.25">
      <c r="A583" s="9"/>
      <c r="B583" s="9"/>
      <c r="C583" s="9"/>
      <c r="D583" s="9"/>
    </row>
    <row r="584" spans="1:4" ht="15.75" customHeight="1" x14ac:dyDescent="0.25">
      <c r="A584" s="9"/>
      <c r="B584" s="9"/>
      <c r="C584" s="9"/>
      <c r="D584" s="9"/>
    </row>
    <row r="585" spans="1:4" ht="15.75" customHeight="1" x14ac:dyDescent="0.25">
      <c r="A585" s="9"/>
      <c r="B585" s="9"/>
      <c r="C585" s="9"/>
      <c r="D585" s="9"/>
    </row>
    <row r="586" spans="1:4" ht="15.75" customHeight="1" x14ac:dyDescent="0.25">
      <c r="A586" s="9"/>
      <c r="B586" s="9"/>
      <c r="C586" s="9"/>
      <c r="D586" s="9"/>
    </row>
    <row r="587" spans="1:4" ht="15.75" customHeight="1" x14ac:dyDescent="0.25">
      <c r="A587" s="9"/>
      <c r="B587" s="9"/>
      <c r="C587" s="9"/>
      <c r="D587" s="9"/>
    </row>
    <row r="588" spans="1:4" ht="15.75" customHeight="1" x14ac:dyDescent="0.25">
      <c r="A588" s="9"/>
      <c r="B588" s="9"/>
      <c r="C588" s="9"/>
      <c r="D588" s="9"/>
    </row>
    <row r="589" spans="1:4" ht="15.75" customHeight="1" x14ac:dyDescent="0.25">
      <c r="A589" s="9"/>
      <c r="B589" s="9"/>
      <c r="C589" s="9"/>
      <c r="D589" s="9"/>
    </row>
    <row r="590" spans="1:4" ht="15.75" customHeight="1" x14ac:dyDescent="0.25">
      <c r="A590" s="9"/>
      <c r="B590" s="9"/>
      <c r="C590" s="9"/>
      <c r="D590" s="9"/>
    </row>
    <row r="591" spans="1:4" ht="15.75" customHeight="1" x14ac:dyDescent="0.25">
      <c r="A591" s="9"/>
      <c r="B591" s="9"/>
      <c r="C591" s="9"/>
      <c r="D591" s="9"/>
    </row>
    <row r="592" spans="1:4" ht="15.75" customHeight="1" x14ac:dyDescent="0.25">
      <c r="A592" s="9"/>
      <c r="B592" s="9"/>
      <c r="C592" s="9"/>
      <c r="D592" s="9"/>
    </row>
    <row r="593" spans="1:4" ht="15.75" customHeight="1" x14ac:dyDescent="0.25">
      <c r="A593" s="9"/>
      <c r="B593" s="9"/>
      <c r="C593" s="9"/>
      <c r="D593" s="9"/>
    </row>
    <row r="594" spans="1:4" ht="15.75" customHeight="1" x14ac:dyDescent="0.25">
      <c r="A594" s="9"/>
      <c r="B594" s="9"/>
      <c r="C594" s="9"/>
      <c r="D594" s="9"/>
    </row>
    <row r="595" spans="1:4" ht="15.75" customHeight="1" x14ac:dyDescent="0.25">
      <c r="A595" s="9"/>
      <c r="B595" s="9"/>
      <c r="C595" s="9"/>
      <c r="D595" s="9"/>
    </row>
    <row r="596" spans="1:4" ht="15.75" customHeight="1" x14ac:dyDescent="0.25">
      <c r="A596" s="9"/>
      <c r="B596" s="9"/>
      <c r="C596" s="9"/>
      <c r="D596" s="9"/>
    </row>
    <row r="597" spans="1:4" ht="15.75" customHeight="1" x14ac:dyDescent="0.25">
      <c r="A597" s="9"/>
      <c r="B597" s="9"/>
      <c r="C597" s="9"/>
      <c r="D597" s="9"/>
    </row>
    <row r="598" spans="1:4" ht="15.75" customHeight="1" x14ac:dyDescent="0.25">
      <c r="A598" s="9"/>
      <c r="B598" s="9"/>
      <c r="C598" s="9"/>
      <c r="D598" s="9"/>
    </row>
    <row r="599" spans="1:4" ht="15.75" customHeight="1" x14ac:dyDescent="0.25">
      <c r="A599" s="9"/>
      <c r="B599" s="9"/>
      <c r="C599" s="9"/>
      <c r="D599" s="9"/>
    </row>
    <row r="600" spans="1:4" ht="15.75" customHeight="1" x14ac:dyDescent="0.25">
      <c r="A600" s="9"/>
      <c r="B600" s="9"/>
      <c r="C600" s="9"/>
      <c r="D600" s="9"/>
    </row>
    <row r="601" spans="1:4" ht="15.75" customHeight="1" x14ac:dyDescent="0.25">
      <c r="A601" s="9"/>
      <c r="B601" s="9"/>
      <c r="C601" s="9"/>
      <c r="D601" s="9"/>
    </row>
    <row r="602" spans="1:4" ht="15.75" customHeight="1" x14ac:dyDescent="0.25">
      <c r="A602" s="9"/>
      <c r="B602" s="9"/>
      <c r="C602" s="9"/>
      <c r="D602" s="9"/>
    </row>
    <row r="603" spans="1:4" ht="15.75" customHeight="1" x14ac:dyDescent="0.25">
      <c r="A603" s="9"/>
      <c r="B603" s="9"/>
      <c r="C603" s="9"/>
      <c r="D603" s="9"/>
    </row>
    <row r="604" spans="1:4" ht="15.75" customHeight="1" x14ac:dyDescent="0.25">
      <c r="A604" s="9"/>
      <c r="B604" s="9"/>
      <c r="C604" s="9"/>
      <c r="D604" s="9"/>
    </row>
    <row r="605" spans="1:4" ht="15.75" customHeight="1" x14ac:dyDescent="0.25">
      <c r="A605" s="9"/>
      <c r="B605" s="9"/>
      <c r="C605" s="9"/>
      <c r="D605" s="9"/>
    </row>
    <row r="606" spans="1:4" ht="15.75" customHeight="1" x14ac:dyDescent="0.25">
      <c r="A606" s="9"/>
      <c r="B606" s="9"/>
      <c r="C606" s="9"/>
      <c r="D606" s="9"/>
    </row>
    <row r="607" spans="1:4" ht="15.75" customHeight="1" x14ac:dyDescent="0.25">
      <c r="A607" s="9"/>
      <c r="B607" s="9"/>
      <c r="C607" s="9"/>
      <c r="D607" s="9"/>
    </row>
    <row r="608" spans="1:4" ht="15.75" customHeight="1" x14ac:dyDescent="0.25">
      <c r="A608" s="9"/>
      <c r="B608" s="9"/>
      <c r="C608" s="9"/>
      <c r="D608" s="9"/>
    </row>
    <row r="609" spans="1:4" ht="15.75" customHeight="1" x14ac:dyDescent="0.25">
      <c r="A609" s="9"/>
      <c r="B609" s="9"/>
      <c r="C609" s="9"/>
      <c r="D609" s="9"/>
    </row>
    <row r="610" spans="1:4" ht="15.75" customHeight="1" x14ac:dyDescent="0.25">
      <c r="A610" s="9"/>
      <c r="B610" s="9"/>
      <c r="C610" s="9"/>
      <c r="D610" s="9"/>
    </row>
    <row r="611" spans="1:4" ht="15.75" customHeight="1" x14ac:dyDescent="0.25">
      <c r="A611" s="9"/>
      <c r="B611" s="9"/>
      <c r="C611" s="9"/>
      <c r="D611" s="9"/>
    </row>
    <row r="612" spans="1:4" ht="15.75" customHeight="1" x14ac:dyDescent="0.25">
      <c r="A612" s="9"/>
      <c r="B612" s="9"/>
      <c r="C612" s="9"/>
      <c r="D612" s="9"/>
    </row>
    <row r="613" spans="1:4" ht="15.75" customHeight="1" x14ac:dyDescent="0.25">
      <c r="A613" s="9"/>
      <c r="B613" s="9"/>
      <c r="C613" s="9"/>
      <c r="D613" s="9"/>
    </row>
    <row r="614" spans="1:4" ht="15.75" customHeight="1" x14ac:dyDescent="0.25">
      <c r="A614" s="9"/>
      <c r="B614" s="9"/>
      <c r="C614" s="9"/>
      <c r="D614" s="9"/>
    </row>
    <row r="615" spans="1:4" ht="15.75" customHeight="1" x14ac:dyDescent="0.25">
      <c r="A615" s="9"/>
      <c r="B615" s="9"/>
      <c r="C615" s="9"/>
      <c r="D615" s="9"/>
    </row>
    <row r="616" spans="1:4" ht="15.75" customHeight="1" x14ac:dyDescent="0.25">
      <c r="A616" s="9"/>
      <c r="B616" s="9"/>
      <c r="C616" s="9"/>
      <c r="D616" s="9"/>
    </row>
    <row r="617" spans="1:4" ht="15.75" customHeight="1" x14ac:dyDescent="0.25">
      <c r="A617" s="9"/>
      <c r="B617" s="9"/>
      <c r="C617" s="9"/>
      <c r="D617" s="9"/>
    </row>
    <row r="618" spans="1:4" ht="15.75" customHeight="1" x14ac:dyDescent="0.25">
      <c r="A618" s="9"/>
      <c r="B618" s="9"/>
      <c r="C618" s="9"/>
      <c r="D618" s="9"/>
    </row>
    <row r="619" spans="1:4" ht="15.75" customHeight="1" x14ac:dyDescent="0.25">
      <c r="A619" s="9"/>
      <c r="B619" s="9"/>
      <c r="C619" s="9"/>
      <c r="D619" s="9"/>
    </row>
    <row r="620" spans="1:4" ht="15.75" customHeight="1" x14ac:dyDescent="0.25">
      <c r="A620" s="9"/>
      <c r="B620" s="9"/>
      <c r="C620" s="9"/>
      <c r="D620" s="9"/>
    </row>
    <row r="621" spans="1:4" ht="15.75" customHeight="1" x14ac:dyDescent="0.25">
      <c r="A621" s="9"/>
      <c r="B621" s="9"/>
      <c r="C621" s="9"/>
      <c r="D621" s="9"/>
    </row>
    <row r="622" spans="1:4" ht="15.75" customHeight="1" x14ac:dyDescent="0.25">
      <c r="A622" s="9"/>
      <c r="B622" s="9"/>
      <c r="C622" s="9"/>
      <c r="D622" s="9"/>
    </row>
    <row r="623" spans="1:4" ht="15.75" customHeight="1" x14ac:dyDescent="0.25">
      <c r="A623" s="9"/>
      <c r="B623" s="9"/>
      <c r="C623" s="9"/>
      <c r="D623" s="9"/>
    </row>
    <row r="624" spans="1:4" ht="15.75" customHeight="1" x14ac:dyDescent="0.25">
      <c r="A624" s="9"/>
      <c r="B624" s="9"/>
      <c r="C624" s="9"/>
      <c r="D624" s="9"/>
    </row>
    <row r="625" spans="1:4" ht="15.75" customHeight="1" x14ac:dyDescent="0.25">
      <c r="A625" s="9"/>
      <c r="B625" s="9"/>
      <c r="C625" s="9"/>
      <c r="D625" s="9"/>
    </row>
    <row r="626" spans="1:4" ht="15.75" customHeight="1" x14ac:dyDescent="0.25">
      <c r="A626" s="9"/>
      <c r="B626" s="9"/>
      <c r="C626" s="9"/>
      <c r="D626" s="9"/>
    </row>
    <row r="627" spans="1:4" ht="15.75" customHeight="1" x14ac:dyDescent="0.25">
      <c r="A627" s="9"/>
      <c r="B627" s="9"/>
      <c r="C627" s="9"/>
      <c r="D627" s="9"/>
    </row>
    <row r="628" spans="1:4" ht="15.75" customHeight="1" x14ac:dyDescent="0.25">
      <c r="A628" s="9"/>
      <c r="B628" s="9"/>
      <c r="C628" s="9"/>
      <c r="D628" s="9"/>
    </row>
    <row r="629" spans="1:4" ht="15.75" customHeight="1" x14ac:dyDescent="0.25">
      <c r="A629" s="9"/>
      <c r="B629" s="9"/>
      <c r="C629" s="9"/>
      <c r="D629" s="9"/>
    </row>
    <row r="630" spans="1:4" ht="15.75" customHeight="1" x14ac:dyDescent="0.25">
      <c r="A630" s="9"/>
      <c r="B630" s="9"/>
      <c r="C630" s="9"/>
      <c r="D630" s="9"/>
    </row>
    <row r="631" spans="1:4" ht="15.75" customHeight="1" x14ac:dyDescent="0.25">
      <c r="A631" s="9"/>
      <c r="B631" s="9"/>
      <c r="C631" s="9"/>
      <c r="D631" s="9"/>
    </row>
    <row r="632" spans="1:4" ht="15.75" customHeight="1" x14ac:dyDescent="0.25">
      <c r="A632" s="9"/>
      <c r="B632" s="9"/>
      <c r="C632" s="9"/>
      <c r="D632" s="9"/>
    </row>
    <row r="633" spans="1:4" ht="15.75" customHeight="1" x14ac:dyDescent="0.25">
      <c r="A633" s="9"/>
      <c r="B633" s="9"/>
      <c r="C633" s="9"/>
      <c r="D633" s="9"/>
    </row>
    <row r="634" spans="1:4" ht="15.75" customHeight="1" x14ac:dyDescent="0.25">
      <c r="A634" s="9"/>
      <c r="B634" s="9"/>
      <c r="C634" s="9"/>
      <c r="D634" s="9"/>
    </row>
    <row r="635" spans="1:4" ht="15.75" customHeight="1" x14ac:dyDescent="0.25">
      <c r="A635" s="9"/>
      <c r="B635" s="9"/>
      <c r="C635" s="9"/>
      <c r="D635" s="9"/>
    </row>
    <row r="636" spans="1:4" ht="15.75" customHeight="1" x14ac:dyDescent="0.25">
      <c r="A636" s="9"/>
      <c r="B636" s="9"/>
      <c r="C636" s="9"/>
      <c r="D636" s="9"/>
    </row>
    <row r="637" spans="1:4" ht="15.75" customHeight="1" x14ac:dyDescent="0.25">
      <c r="A637" s="9"/>
      <c r="B637" s="9"/>
      <c r="C637" s="9"/>
      <c r="D637" s="9"/>
    </row>
    <row r="638" spans="1:4" ht="15.75" customHeight="1" x14ac:dyDescent="0.25">
      <c r="A638" s="9"/>
      <c r="B638" s="9"/>
      <c r="C638" s="9"/>
      <c r="D638" s="9"/>
    </row>
    <row r="639" spans="1:4" ht="15.75" customHeight="1" x14ac:dyDescent="0.25">
      <c r="A639" s="9"/>
      <c r="B639" s="9"/>
      <c r="C639" s="9"/>
      <c r="D639" s="9"/>
    </row>
    <row r="640" spans="1:4" ht="15.75" customHeight="1" x14ac:dyDescent="0.25">
      <c r="A640" s="9"/>
      <c r="B640" s="9"/>
      <c r="C640" s="9"/>
      <c r="D640" s="9"/>
    </row>
    <row r="641" spans="1:4" ht="15.75" customHeight="1" x14ac:dyDescent="0.25">
      <c r="A641" s="9"/>
      <c r="B641" s="9"/>
      <c r="C641" s="9"/>
      <c r="D641" s="9"/>
    </row>
    <row r="642" spans="1:4" ht="15.75" customHeight="1" x14ac:dyDescent="0.25">
      <c r="A642" s="9"/>
      <c r="B642" s="9"/>
      <c r="C642" s="9"/>
      <c r="D642" s="9"/>
    </row>
    <row r="643" spans="1:4" ht="15.75" customHeight="1" x14ac:dyDescent="0.25">
      <c r="A643" s="9"/>
      <c r="B643" s="9"/>
      <c r="C643" s="9"/>
      <c r="D643" s="9"/>
    </row>
    <row r="644" spans="1:4" ht="15.75" customHeight="1" x14ac:dyDescent="0.25">
      <c r="A644" s="9"/>
      <c r="B644" s="9"/>
      <c r="C644" s="9"/>
      <c r="D644" s="9"/>
    </row>
    <row r="645" spans="1:4" ht="15.75" customHeight="1" x14ac:dyDescent="0.25">
      <c r="A645" s="9"/>
      <c r="B645" s="9"/>
      <c r="C645" s="9"/>
      <c r="D645" s="9"/>
    </row>
    <row r="646" spans="1:4" ht="15.75" customHeight="1" x14ac:dyDescent="0.25">
      <c r="A646" s="9"/>
      <c r="B646" s="9"/>
      <c r="C646" s="9"/>
      <c r="D646" s="9"/>
    </row>
    <row r="647" spans="1:4" ht="15.75" customHeight="1" x14ac:dyDescent="0.25">
      <c r="A647" s="9"/>
      <c r="B647" s="9"/>
      <c r="C647" s="9"/>
      <c r="D647" s="9"/>
    </row>
    <row r="648" spans="1:4" ht="15.75" customHeight="1" x14ac:dyDescent="0.25">
      <c r="A648" s="9"/>
      <c r="B648" s="9"/>
      <c r="C648" s="9"/>
      <c r="D648" s="9"/>
    </row>
    <row r="649" spans="1:4" ht="15.75" customHeight="1" x14ac:dyDescent="0.25">
      <c r="A649" s="9"/>
      <c r="B649" s="9"/>
      <c r="C649" s="9"/>
      <c r="D649" s="9"/>
    </row>
    <row r="650" spans="1:4" ht="15.75" customHeight="1" x14ac:dyDescent="0.25">
      <c r="A650" s="9"/>
      <c r="B650" s="9"/>
      <c r="C650" s="9"/>
      <c r="D650" s="9"/>
    </row>
    <row r="651" spans="1:4" ht="15.75" customHeight="1" x14ac:dyDescent="0.25">
      <c r="A651" s="9"/>
      <c r="B651" s="9"/>
      <c r="C651" s="9"/>
      <c r="D651" s="9"/>
    </row>
    <row r="652" spans="1:4" ht="15.75" customHeight="1" x14ac:dyDescent="0.25">
      <c r="A652" s="9"/>
      <c r="B652" s="9"/>
      <c r="C652" s="9"/>
      <c r="D652" s="9"/>
    </row>
    <row r="653" spans="1:4" ht="15.75" customHeight="1" x14ac:dyDescent="0.25">
      <c r="A653" s="9"/>
      <c r="B653" s="9"/>
      <c r="C653" s="9"/>
      <c r="D653" s="9"/>
    </row>
    <row r="654" spans="1:4" ht="15.75" customHeight="1" x14ac:dyDescent="0.25">
      <c r="A654" s="9"/>
      <c r="B654" s="9"/>
      <c r="C654" s="9"/>
      <c r="D654" s="9"/>
    </row>
    <row r="655" spans="1:4" ht="15.75" customHeight="1" x14ac:dyDescent="0.25">
      <c r="A655" s="9"/>
      <c r="B655" s="9"/>
      <c r="C655" s="9"/>
      <c r="D655" s="9"/>
    </row>
    <row r="656" spans="1:4" ht="15.75" customHeight="1" x14ac:dyDescent="0.25">
      <c r="A656" s="9"/>
      <c r="B656" s="9"/>
      <c r="C656" s="9"/>
      <c r="D656" s="9"/>
    </row>
    <row r="657" spans="1:4" ht="15.75" customHeight="1" x14ac:dyDescent="0.25">
      <c r="A657" s="9"/>
      <c r="B657" s="9"/>
      <c r="C657" s="9"/>
      <c r="D657" s="9"/>
    </row>
    <row r="658" spans="1:4" ht="15.75" customHeight="1" x14ac:dyDescent="0.25">
      <c r="A658" s="9"/>
      <c r="B658" s="9"/>
      <c r="C658" s="9"/>
      <c r="D658" s="9"/>
    </row>
    <row r="659" spans="1:4" ht="15.75" customHeight="1" x14ac:dyDescent="0.25">
      <c r="A659" s="9"/>
      <c r="B659" s="9"/>
      <c r="C659" s="9"/>
      <c r="D659" s="9"/>
    </row>
    <row r="660" spans="1:4" ht="15.75" customHeight="1" x14ac:dyDescent="0.25">
      <c r="A660" s="9"/>
      <c r="B660" s="9"/>
      <c r="C660" s="9"/>
      <c r="D660" s="9"/>
    </row>
    <row r="661" spans="1:4" ht="15.75" customHeight="1" x14ac:dyDescent="0.25">
      <c r="A661" s="9"/>
      <c r="B661" s="9"/>
      <c r="C661" s="9"/>
      <c r="D661" s="9"/>
    </row>
    <row r="662" spans="1:4" ht="15.75" customHeight="1" x14ac:dyDescent="0.25">
      <c r="A662" s="9"/>
      <c r="B662" s="9"/>
      <c r="C662" s="9"/>
      <c r="D662" s="9"/>
    </row>
    <row r="663" spans="1:4" ht="15.75" customHeight="1" x14ac:dyDescent="0.25">
      <c r="A663" s="9"/>
      <c r="B663" s="9"/>
      <c r="C663" s="9"/>
      <c r="D663" s="9"/>
    </row>
    <row r="664" spans="1:4" ht="15.75" customHeight="1" x14ac:dyDescent="0.25">
      <c r="A664" s="9"/>
      <c r="B664" s="9"/>
      <c r="C664" s="9"/>
      <c r="D664" s="9"/>
    </row>
    <row r="665" spans="1:4" ht="15.75" customHeight="1" x14ac:dyDescent="0.25">
      <c r="A665" s="9"/>
      <c r="B665" s="9"/>
      <c r="C665" s="9"/>
      <c r="D665" s="9"/>
    </row>
    <row r="666" spans="1:4" ht="15.75" customHeight="1" x14ac:dyDescent="0.25">
      <c r="A666" s="9"/>
      <c r="B666" s="9"/>
      <c r="C666" s="9"/>
      <c r="D666" s="9"/>
    </row>
    <row r="667" spans="1:4" ht="15.75" customHeight="1" x14ac:dyDescent="0.25">
      <c r="A667" s="9"/>
      <c r="B667" s="9"/>
      <c r="C667" s="9"/>
      <c r="D667" s="9"/>
    </row>
    <row r="668" spans="1:4" ht="15.75" customHeight="1" x14ac:dyDescent="0.25">
      <c r="A668" s="9"/>
      <c r="B668" s="9"/>
      <c r="C668" s="9"/>
      <c r="D668" s="9"/>
    </row>
    <row r="669" spans="1:4" ht="15.75" customHeight="1" x14ac:dyDescent="0.25">
      <c r="A669" s="9"/>
      <c r="B669" s="9"/>
      <c r="C669" s="9"/>
      <c r="D669" s="9"/>
    </row>
    <row r="670" spans="1:4" ht="15.75" customHeight="1" x14ac:dyDescent="0.25">
      <c r="A670" s="9"/>
      <c r="B670" s="9"/>
      <c r="C670" s="9"/>
      <c r="D670" s="9"/>
    </row>
    <row r="671" spans="1:4" ht="15.75" customHeight="1" x14ac:dyDescent="0.25">
      <c r="A671" s="9"/>
      <c r="B671" s="9"/>
      <c r="C671" s="9"/>
      <c r="D671" s="9"/>
    </row>
    <row r="672" spans="1:4" ht="15.75" customHeight="1" x14ac:dyDescent="0.25">
      <c r="A672" s="9"/>
      <c r="B672" s="9"/>
      <c r="C672" s="9"/>
      <c r="D672" s="9"/>
    </row>
    <row r="673" spans="1:4" ht="15.75" customHeight="1" x14ac:dyDescent="0.25">
      <c r="A673" s="9"/>
      <c r="B673" s="9"/>
      <c r="C673" s="9"/>
      <c r="D673" s="9"/>
    </row>
    <row r="674" spans="1:4" ht="15.75" customHeight="1" x14ac:dyDescent="0.25">
      <c r="A674" s="9"/>
      <c r="B674" s="9"/>
      <c r="C674" s="9"/>
      <c r="D674" s="9"/>
    </row>
    <row r="675" spans="1:4" ht="15.75" customHeight="1" x14ac:dyDescent="0.25">
      <c r="A675" s="9"/>
      <c r="B675" s="9"/>
      <c r="C675" s="9"/>
      <c r="D675" s="9"/>
    </row>
    <row r="676" spans="1:4" ht="15.75" customHeight="1" x14ac:dyDescent="0.25">
      <c r="A676" s="9"/>
      <c r="B676" s="9"/>
      <c r="C676" s="9"/>
      <c r="D676" s="9"/>
    </row>
    <row r="677" spans="1:4" ht="15.75" customHeight="1" x14ac:dyDescent="0.25">
      <c r="A677" s="9"/>
      <c r="B677" s="9"/>
      <c r="C677" s="9"/>
      <c r="D677" s="9"/>
    </row>
    <row r="678" spans="1:4" ht="15.75" customHeight="1" x14ac:dyDescent="0.25">
      <c r="A678" s="9"/>
      <c r="B678" s="9"/>
      <c r="C678" s="9"/>
      <c r="D678" s="9"/>
    </row>
    <row r="679" spans="1:4" ht="15.75" customHeight="1" x14ac:dyDescent="0.25">
      <c r="A679" s="9"/>
      <c r="B679" s="9"/>
      <c r="C679" s="9"/>
      <c r="D679" s="9"/>
    </row>
    <row r="680" spans="1:4" ht="15.75" customHeight="1" x14ac:dyDescent="0.25">
      <c r="A680" s="9"/>
      <c r="B680" s="9"/>
      <c r="C680" s="9"/>
      <c r="D680" s="9"/>
    </row>
    <row r="681" spans="1:4" ht="15.75" customHeight="1" x14ac:dyDescent="0.25">
      <c r="A681" s="9"/>
      <c r="B681" s="9"/>
      <c r="C681" s="9"/>
      <c r="D681" s="9"/>
    </row>
    <row r="682" spans="1:4" ht="15.75" customHeight="1" x14ac:dyDescent="0.25">
      <c r="A682" s="9"/>
      <c r="B682" s="9"/>
      <c r="C682" s="9"/>
      <c r="D682" s="9"/>
    </row>
    <row r="683" spans="1:4" ht="15.75" customHeight="1" x14ac:dyDescent="0.25">
      <c r="A683" s="9"/>
      <c r="B683" s="9"/>
      <c r="C683" s="9"/>
      <c r="D683" s="9"/>
    </row>
    <row r="684" spans="1:4" ht="15.75" customHeight="1" x14ac:dyDescent="0.25">
      <c r="A684" s="9"/>
      <c r="B684" s="9"/>
      <c r="C684" s="9"/>
      <c r="D684" s="9"/>
    </row>
    <row r="685" spans="1:4" ht="15.75" customHeight="1" x14ac:dyDescent="0.25">
      <c r="A685" s="9"/>
      <c r="B685" s="9"/>
      <c r="C685" s="9"/>
      <c r="D685" s="9"/>
    </row>
    <row r="686" spans="1:4" ht="15.75" customHeight="1" x14ac:dyDescent="0.25">
      <c r="A686" s="9"/>
      <c r="B686" s="9"/>
      <c r="C686" s="9"/>
      <c r="D686" s="9"/>
    </row>
    <row r="687" spans="1:4" ht="15.75" customHeight="1" x14ac:dyDescent="0.25">
      <c r="A687" s="9"/>
      <c r="B687" s="9"/>
      <c r="C687" s="9"/>
      <c r="D687" s="9"/>
    </row>
    <row r="688" spans="1:4" ht="15.75" customHeight="1" x14ac:dyDescent="0.25">
      <c r="A688" s="9"/>
      <c r="B688" s="9"/>
      <c r="C688" s="9"/>
      <c r="D688" s="9"/>
    </row>
    <row r="689" spans="1:4" ht="15.75" customHeight="1" x14ac:dyDescent="0.25">
      <c r="A689" s="9"/>
      <c r="B689" s="9"/>
      <c r="C689" s="9"/>
      <c r="D689" s="9"/>
    </row>
    <row r="690" spans="1:4" ht="15.75" customHeight="1" x14ac:dyDescent="0.25">
      <c r="A690" s="9"/>
      <c r="B690" s="9"/>
      <c r="C690" s="9"/>
      <c r="D690" s="9"/>
    </row>
    <row r="691" spans="1:4" ht="15.75" customHeight="1" x14ac:dyDescent="0.25">
      <c r="A691" s="9"/>
      <c r="B691" s="9"/>
      <c r="C691" s="9"/>
      <c r="D691" s="9"/>
    </row>
    <row r="692" spans="1:4" ht="15.75" customHeight="1" x14ac:dyDescent="0.25">
      <c r="A692" s="9"/>
      <c r="B692" s="9"/>
      <c r="C692" s="9"/>
      <c r="D692" s="9"/>
    </row>
    <row r="693" spans="1:4" ht="15.75" customHeight="1" x14ac:dyDescent="0.25">
      <c r="A693" s="9"/>
      <c r="B693" s="9"/>
      <c r="C693" s="9"/>
      <c r="D693" s="9"/>
    </row>
    <row r="694" spans="1:4" ht="15.75" customHeight="1" x14ac:dyDescent="0.25">
      <c r="A694" s="9"/>
      <c r="B694" s="9"/>
      <c r="C694" s="9"/>
      <c r="D694" s="9"/>
    </row>
    <row r="695" spans="1:4" ht="15.75" customHeight="1" x14ac:dyDescent="0.25">
      <c r="A695" s="9"/>
      <c r="B695" s="9"/>
      <c r="C695" s="9"/>
      <c r="D695" s="9"/>
    </row>
    <row r="696" spans="1:4" ht="15.75" customHeight="1" x14ac:dyDescent="0.25">
      <c r="A696" s="9"/>
      <c r="B696" s="9"/>
      <c r="C696" s="9"/>
      <c r="D696" s="9"/>
    </row>
    <row r="697" spans="1:4" ht="15.75" customHeight="1" x14ac:dyDescent="0.25">
      <c r="A697" s="9"/>
      <c r="B697" s="9"/>
      <c r="C697" s="9"/>
      <c r="D697" s="9"/>
    </row>
    <row r="698" spans="1:4" ht="15.75" customHeight="1" x14ac:dyDescent="0.25">
      <c r="A698" s="9"/>
      <c r="B698" s="9"/>
      <c r="C698" s="9"/>
      <c r="D698" s="9"/>
    </row>
    <row r="699" spans="1:4" ht="15.75" customHeight="1" x14ac:dyDescent="0.25">
      <c r="A699" s="9"/>
      <c r="B699" s="9"/>
      <c r="C699" s="9"/>
      <c r="D699" s="9"/>
    </row>
    <row r="700" spans="1:4" ht="15.75" customHeight="1" x14ac:dyDescent="0.25">
      <c r="A700" s="9"/>
      <c r="B700" s="9"/>
      <c r="C700" s="9"/>
      <c r="D700" s="9"/>
    </row>
    <row r="701" spans="1:4" ht="15.75" customHeight="1" x14ac:dyDescent="0.25">
      <c r="A701" s="9"/>
      <c r="B701" s="9"/>
      <c r="C701" s="9"/>
      <c r="D701" s="9"/>
    </row>
    <row r="702" spans="1:4" ht="15.75" customHeight="1" x14ac:dyDescent="0.25">
      <c r="A702" s="9"/>
      <c r="B702" s="9"/>
      <c r="C702" s="9"/>
      <c r="D702" s="9"/>
    </row>
    <row r="703" spans="1:4" ht="15.75" customHeight="1" x14ac:dyDescent="0.25">
      <c r="A703" s="9"/>
      <c r="B703" s="9"/>
      <c r="C703" s="9"/>
      <c r="D703" s="9"/>
    </row>
    <row r="704" spans="1:4" ht="15.75" customHeight="1" x14ac:dyDescent="0.25">
      <c r="A704" s="9"/>
      <c r="B704" s="9"/>
      <c r="C704" s="9"/>
      <c r="D704" s="9"/>
    </row>
    <row r="705" spans="1:4" ht="15.75" customHeight="1" x14ac:dyDescent="0.25">
      <c r="A705" s="9"/>
      <c r="B705" s="9"/>
      <c r="C705" s="9"/>
      <c r="D705" s="9"/>
    </row>
    <row r="706" spans="1:4" ht="15.75" customHeight="1" x14ac:dyDescent="0.25">
      <c r="A706" s="9"/>
      <c r="B706" s="9"/>
      <c r="C706" s="9"/>
      <c r="D706" s="9"/>
    </row>
    <row r="707" spans="1:4" ht="15.75" customHeight="1" x14ac:dyDescent="0.25">
      <c r="A707" s="9"/>
      <c r="B707" s="9"/>
      <c r="C707" s="9"/>
      <c r="D707" s="9"/>
    </row>
    <row r="708" spans="1:4" ht="15.75" customHeight="1" x14ac:dyDescent="0.25">
      <c r="A708" s="9"/>
      <c r="B708" s="9"/>
      <c r="C708" s="9"/>
      <c r="D708" s="9"/>
    </row>
    <row r="709" spans="1:4" ht="15.75" customHeight="1" x14ac:dyDescent="0.25">
      <c r="A709" s="9"/>
      <c r="B709" s="9"/>
      <c r="C709" s="9"/>
      <c r="D709" s="9"/>
    </row>
    <row r="710" spans="1:4" ht="15.75" customHeight="1" x14ac:dyDescent="0.25">
      <c r="A710" s="9"/>
      <c r="B710" s="9"/>
      <c r="C710" s="9"/>
      <c r="D710" s="9"/>
    </row>
    <row r="711" spans="1:4" ht="15.75" customHeight="1" x14ac:dyDescent="0.25">
      <c r="A711" s="9"/>
      <c r="B711" s="9"/>
      <c r="C711" s="9"/>
      <c r="D711" s="9"/>
    </row>
    <row r="712" spans="1:4" ht="15.75" customHeight="1" x14ac:dyDescent="0.25">
      <c r="A712" s="9"/>
      <c r="B712" s="9"/>
      <c r="C712" s="9"/>
      <c r="D712" s="9"/>
    </row>
    <row r="713" spans="1:4" ht="15.75" customHeight="1" x14ac:dyDescent="0.25">
      <c r="A713" s="9"/>
      <c r="B713" s="9"/>
      <c r="C713" s="9"/>
      <c r="D713" s="9"/>
    </row>
    <row r="714" spans="1:4" ht="15.75" customHeight="1" x14ac:dyDescent="0.25">
      <c r="A714" s="9"/>
      <c r="B714" s="9"/>
      <c r="C714" s="9"/>
      <c r="D714" s="9"/>
    </row>
    <row r="715" spans="1:4" ht="15.75" customHeight="1" x14ac:dyDescent="0.25">
      <c r="A715" s="9"/>
      <c r="B715" s="9"/>
      <c r="C715" s="9"/>
      <c r="D715" s="9"/>
    </row>
    <row r="716" spans="1:4" ht="15.75" customHeight="1" x14ac:dyDescent="0.25">
      <c r="A716" s="9"/>
      <c r="B716" s="9"/>
      <c r="C716" s="9"/>
      <c r="D716" s="9"/>
    </row>
    <row r="717" spans="1:4" ht="15.75" customHeight="1" x14ac:dyDescent="0.25">
      <c r="A717" s="9"/>
      <c r="B717" s="9"/>
      <c r="C717" s="9"/>
      <c r="D717" s="9"/>
    </row>
    <row r="718" spans="1:4" ht="15.75" customHeight="1" x14ac:dyDescent="0.25">
      <c r="A718" s="9"/>
      <c r="B718" s="9"/>
      <c r="C718" s="9"/>
      <c r="D718" s="9"/>
    </row>
    <row r="719" spans="1:4" ht="15.75" customHeight="1" x14ac:dyDescent="0.25">
      <c r="A719" s="9"/>
      <c r="B719" s="9"/>
      <c r="C719" s="9"/>
      <c r="D719" s="9"/>
    </row>
    <row r="720" spans="1:4" ht="15.75" customHeight="1" x14ac:dyDescent="0.25">
      <c r="A720" s="9"/>
      <c r="B720" s="9"/>
      <c r="C720" s="9"/>
      <c r="D720" s="9"/>
    </row>
    <row r="721" spans="1:4" ht="15.75" customHeight="1" x14ac:dyDescent="0.25">
      <c r="A721" s="9"/>
      <c r="B721" s="9"/>
      <c r="C721" s="9"/>
      <c r="D721" s="9"/>
    </row>
    <row r="722" spans="1:4" ht="15.75" customHeight="1" x14ac:dyDescent="0.25">
      <c r="A722" s="9"/>
      <c r="B722" s="9"/>
      <c r="C722" s="9"/>
      <c r="D722" s="9"/>
    </row>
    <row r="723" spans="1:4" ht="15.75" customHeight="1" x14ac:dyDescent="0.25">
      <c r="A723" s="9"/>
      <c r="B723" s="9"/>
      <c r="C723" s="9"/>
      <c r="D723" s="9"/>
    </row>
    <row r="724" spans="1:4" ht="15.75" customHeight="1" x14ac:dyDescent="0.25">
      <c r="A724" s="9"/>
      <c r="B724" s="9"/>
      <c r="C724" s="9"/>
      <c r="D724" s="9"/>
    </row>
    <row r="725" spans="1:4" ht="15.75" customHeight="1" x14ac:dyDescent="0.25">
      <c r="A725" s="9"/>
      <c r="B725" s="9"/>
      <c r="C725" s="9"/>
      <c r="D725" s="9"/>
    </row>
    <row r="726" spans="1:4" ht="15.75" customHeight="1" x14ac:dyDescent="0.25">
      <c r="A726" s="9"/>
      <c r="B726" s="9"/>
      <c r="C726" s="9"/>
      <c r="D726" s="9"/>
    </row>
    <row r="727" spans="1:4" ht="15.75" customHeight="1" x14ac:dyDescent="0.25">
      <c r="A727" s="9"/>
      <c r="B727" s="9"/>
      <c r="C727" s="9"/>
      <c r="D727" s="9"/>
    </row>
    <row r="728" spans="1:4" ht="15.75" customHeight="1" x14ac:dyDescent="0.25">
      <c r="A728" s="9"/>
      <c r="B728" s="9"/>
      <c r="C728" s="9"/>
      <c r="D728" s="9"/>
    </row>
    <row r="729" spans="1:4" ht="15.75" customHeight="1" x14ac:dyDescent="0.25">
      <c r="A729" s="9"/>
      <c r="B729" s="9"/>
      <c r="C729" s="9"/>
      <c r="D729" s="9"/>
    </row>
    <row r="730" spans="1:4" ht="15.75" customHeight="1" x14ac:dyDescent="0.25">
      <c r="A730" s="9"/>
      <c r="B730" s="9"/>
      <c r="C730" s="9"/>
      <c r="D730" s="9"/>
    </row>
    <row r="731" spans="1:4" ht="15.75" customHeight="1" x14ac:dyDescent="0.25">
      <c r="A731" s="9"/>
      <c r="B731" s="9"/>
      <c r="C731" s="9"/>
      <c r="D731" s="9"/>
    </row>
    <row r="732" spans="1:4" ht="15.75" customHeight="1" x14ac:dyDescent="0.25">
      <c r="A732" s="9"/>
      <c r="B732" s="9"/>
      <c r="C732" s="9"/>
      <c r="D732" s="9"/>
    </row>
    <row r="733" spans="1:4" ht="15.75" customHeight="1" x14ac:dyDescent="0.25">
      <c r="A733" s="9"/>
      <c r="B733" s="9"/>
      <c r="C733" s="9"/>
      <c r="D733" s="9"/>
    </row>
    <row r="734" spans="1:4" ht="15.75" customHeight="1" x14ac:dyDescent="0.25">
      <c r="A734" s="9"/>
      <c r="B734" s="9"/>
      <c r="C734" s="9"/>
      <c r="D734" s="9"/>
    </row>
    <row r="735" spans="1:4" ht="15.75" customHeight="1" x14ac:dyDescent="0.25">
      <c r="A735" s="9"/>
      <c r="B735" s="9"/>
      <c r="C735" s="9"/>
      <c r="D735" s="9"/>
    </row>
    <row r="736" spans="1:4" ht="15.75" customHeight="1" x14ac:dyDescent="0.25">
      <c r="A736" s="9"/>
      <c r="B736" s="9"/>
      <c r="C736" s="9"/>
      <c r="D736" s="9"/>
    </row>
    <row r="737" spans="1:4" ht="15.75" customHeight="1" x14ac:dyDescent="0.25">
      <c r="A737" s="9"/>
      <c r="B737" s="9"/>
      <c r="C737" s="9"/>
      <c r="D737" s="9"/>
    </row>
    <row r="738" spans="1:4" ht="15.75" customHeight="1" x14ac:dyDescent="0.25">
      <c r="A738" s="9"/>
      <c r="B738" s="9"/>
      <c r="C738" s="9"/>
      <c r="D738" s="9"/>
    </row>
    <row r="739" spans="1:4" ht="15.75" customHeight="1" x14ac:dyDescent="0.25">
      <c r="A739" s="9"/>
      <c r="B739" s="9"/>
      <c r="C739" s="9"/>
      <c r="D739" s="9"/>
    </row>
    <row r="740" spans="1:4" ht="15.75" customHeight="1" x14ac:dyDescent="0.25">
      <c r="A740" s="9"/>
      <c r="B740" s="9"/>
      <c r="C740" s="9"/>
      <c r="D740" s="9"/>
    </row>
    <row r="741" spans="1:4" ht="15.75" customHeight="1" x14ac:dyDescent="0.25">
      <c r="A741" s="9"/>
      <c r="B741" s="9"/>
      <c r="C741" s="9"/>
      <c r="D741" s="9"/>
    </row>
    <row r="742" spans="1:4" ht="15.75" customHeight="1" x14ac:dyDescent="0.25">
      <c r="A742" s="9"/>
      <c r="B742" s="9"/>
      <c r="C742" s="9"/>
      <c r="D742" s="9"/>
    </row>
    <row r="743" spans="1:4" ht="15.75" customHeight="1" x14ac:dyDescent="0.25">
      <c r="A743" s="9"/>
      <c r="B743" s="9"/>
      <c r="C743" s="9"/>
      <c r="D743" s="9"/>
    </row>
    <row r="744" spans="1:4" ht="15.75" customHeight="1" x14ac:dyDescent="0.25">
      <c r="A744" s="9"/>
      <c r="B744" s="9"/>
      <c r="C744" s="9"/>
      <c r="D744" s="9"/>
    </row>
    <row r="745" spans="1:4" ht="15.75" customHeight="1" x14ac:dyDescent="0.25">
      <c r="A745" s="9"/>
      <c r="B745" s="9"/>
      <c r="C745" s="9"/>
      <c r="D745" s="9"/>
    </row>
    <row r="746" spans="1:4" ht="15.75" customHeight="1" x14ac:dyDescent="0.25">
      <c r="A746" s="9"/>
      <c r="B746" s="9"/>
      <c r="C746" s="9"/>
      <c r="D746" s="9"/>
    </row>
    <row r="747" spans="1:4" ht="15.75" customHeight="1" x14ac:dyDescent="0.25">
      <c r="A747" s="9"/>
      <c r="B747" s="9"/>
      <c r="C747" s="9"/>
      <c r="D747" s="9"/>
    </row>
    <row r="748" spans="1:4" ht="15.75" customHeight="1" x14ac:dyDescent="0.25">
      <c r="A748" s="9"/>
      <c r="B748" s="9"/>
      <c r="C748" s="9"/>
      <c r="D748" s="9"/>
    </row>
    <row r="749" spans="1:4" ht="15.75" customHeight="1" x14ac:dyDescent="0.25">
      <c r="A749" s="9"/>
      <c r="B749" s="9"/>
      <c r="C749" s="9"/>
      <c r="D749" s="9"/>
    </row>
    <row r="750" spans="1:4" ht="15.75" customHeight="1" x14ac:dyDescent="0.25">
      <c r="A750" s="9"/>
      <c r="B750" s="9"/>
      <c r="C750" s="9"/>
      <c r="D750" s="9"/>
    </row>
    <row r="751" spans="1:4" ht="15.75" customHeight="1" x14ac:dyDescent="0.25">
      <c r="A751" s="9"/>
      <c r="B751" s="9"/>
      <c r="C751" s="9"/>
      <c r="D751" s="9"/>
    </row>
    <row r="752" spans="1:4" ht="15.75" customHeight="1" x14ac:dyDescent="0.25">
      <c r="A752" s="9"/>
      <c r="B752" s="9"/>
      <c r="C752" s="9"/>
      <c r="D752" s="9"/>
    </row>
    <row r="753" spans="1:4" ht="15.75" customHeight="1" x14ac:dyDescent="0.25">
      <c r="A753" s="9"/>
      <c r="B753" s="9"/>
      <c r="C753" s="9"/>
      <c r="D753" s="9"/>
    </row>
    <row r="754" spans="1:4" ht="15.75" customHeight="1" x14ac:dyDescent="0.25">
      <c r="A754" s="9"/>
      <c r="B754" s="9"/>
      <c r="C754" s="9"/>
      <c r="D754" s="9"/>
    </row>
    <row r="755" spans="1:4" ht="15.75" customHeight="1" x14ac:dyDescent="0.25">
      <c r="A755" s="9"/>
      <c r="B755" s="9"/>
      <c r="C755" s="9"/>
      <c r="D755" s="9"/>
    </row>
    <row r="756" spans="1:4" ht="15.75" customHeight="1" x14ac:dyDescent="0.25">
      <c r="A756" s="9"/>
      <c r="B756" s="9"/>
      <c r="C756" s="9"/>
      <c r="D756" s="9"/>
    </row>
    <row r="757" spans="1:4" ht="15.75" customHeight="1" x14ac:dyDescent="0.25">
      <c r="A757" s="9"/>
      <c r="B757" s="9"/>
      <c r="C757" s="9"/>
      <c r="D757" s="9"/>
    </row>
    <row r="758" spans="1:4" ht="15.75" customHeight="1" x14ac:dyDescent="0.25">
      <c r="A758" s="9"/>
      <c r="B758" s="9"/>
      <c r="C758" s="9"/>
      <c r="D758" s="9"/>
    </row>
    <row r="759" spans="1:4" ht="15.75" customHeight="1" x14ac:dyDescent="0.25">
      <c r="A759" s="9"/>
      <c r="B759" s="9"/>
      <c r="C759" s="9"/>
      <c r="D759" s="9"/>
    </row>
    <row r="760" spans="1:4" ht="15.75" customHeight="1" x14ac:dyDescent="0.25">
      <c r="A760" s="9"/>
      <c r="B760" s="9"/>
      <c r="C760" s="9"/>
      <c r="D760" s="9"/>
    </row>
    <row r="761" spans="1:4" ht="15.75" customHeight="1" x14ac:dyDescent="0.25">
      <c r="A761" s="9"/>
      <c r="B761" s="9"/>
      <c r="C761" s="9"/>
      <c r="D761" s="9"/>
    </row>
    <row r="762" spans="1:4" ht="15.75" customHeight="1" x14ac:dyDescent="0.25">
      <c r="A762" s="9"/>
      <c r="B762" s="9"/>
      <c r="C762" s="9"/>
      <c r="D762" s="9"/>
    </row>
    <row r="763" spans="1:4" ht="15.75" customHeight="1" x14ac:dyDescent="0.25">
      <c r="A763" s="9"/>
      <c r="B763" s="9"/>
      <c r="C763" s="9"/>
      <c r="D763" s="9"/>
    </row>
    <row r="764" spans="1:4" ht="15.75" customHeight="1" x14ac:dyDescent="0.25">
      <c r="A764" s="9"/>
      <c r="B764" s="9"/>
      <c r="C764" s="9"/>
      <c r="D764" s="9"/>
    </row>
    <row r="765" spans="1:4" ht="15.75" customHeight="1" x14ac:dyDescent="0.25">
      <c r="A765" s="9"/>
      <c r="B765" s="9"/>
      <c r="C765" s="9"/>
      <c r="D765" s="9"/>
    </row>
    <row r="766" spans="1:4" ht="15.75" customHeight="1" x14ac:dyDescent="0.25">
      <c r="A766" s="9"/>
      <c r="B766" s="9"/>
      <c r="C766" s="9"/>
      <c r="D766" s="9"/>
    </row>
    <row r="767" spans="1:4" ht="15.75" customHeight="1" x14ac:dyDescent="0.25">
      <c r="A767" s="9"/>
      <c r="B767" s="9"/>
      <c r="C767" s="9"/>
      <c r="D767" s="9"/>
    </row>
    <row r="768" spans="1:4" ht="15.75" customHeight="1" x14ac:dyDescent="0.25">
      <c r="A768" s="9"/>
      <c r="B768" s="9"/>
      <c r="C768" s="9"/>
      <c r="D768" s="9"/>
    </row>
    <row r="769" spans="1:4" ht="15.75" customHeight="1" x14ac:dyDescent="0.25">
      <c r="A769" s="9"/>
      <c r="B769" s="9"/>
      <c r="C769" s="9"/>
      <c r="D769" s="9"/>
    </row>
    <row r="770" spans="1:4" ht="15.75" customHeight="1" x14ac:dyDescent="0.25">
      <c r="A770" s="9"/>
      <c r="B770" s="9"/>
      <c r="C770" s="9"/>
      <c r="D770" s="9"/>
    </row>
    <row r="771" spans="1:4" ht="15.75" customHeight="1" x14ac:dyDescent="0.25">
      <c r="A771" s="9"/>
      <c r="B771" s="9"/>
      <c r="C771" s="9"/>
      <c r="D771" s="9"/>
    </row>
    <row r="772" spans="1:4" ht="15.75" customHeight="1" x14ac:dyDescent="0.25">
      <c r="A772" s="9"/>
      <c r="B772" s="9"/>
      <c r="C772" s="9"/>
      <c r="D772" s="9"/>
    </row>
    <row r="773" spans="1:4" ht="15.75" customHeight="1" x14ac:dyDescent="0.25">
      <c r="A773" s="9"/>
      <c r="B773" s="9"/>
      <c r="C773" s="9"/>
      <c r="D773" s="9"/>
    </row>
    <row r="774" spans="1:4" ht="15.75" customHeight="1" x14ac:dyDescent="0.25">
      <c r="A774" s="9"/>
      <c r="B774" s="9"/>
      <c r="C774" s="9"/>
      <c r="D774" s="9"/>
    </row>
    <row r="775" spans="1:4" ht="15.75" customHeight="1" x14ac:dyDescent="0.25">
      <c r="A775" s="9"/>
      <c r="B775" s="9"/>
      <c r="C775" s="9"/>
      <c r="D775" s="9"/>
    </row>
    <row r="776" spans="1:4" ht="15.75" customHeight="1" x14ac:dyDescent="0.25">
      <c r="A776" s="9"/>
      <c r="B776" s="9"/>
      <c r="C776" s="9"/>
      <c r="D776" s="9"/>
    </row>
    <row r="777" spans="1:4" ht="15.75" customHeight="1" x14ac:dyDescent="0.25">
      <c r="A777" s="9"/>
      <c r="B777" s="9"/>
      <c r="C777" s="9"/>
      <c r="D777" s="9"/>
    </row>
    <row r="778" spans="1:4" ht="15.75" customHeight="1" x14ac:dyDescent="0.25">
      <c r="A778" s="9"/>
      <c r="B778" s="9"/>
      <c r="C778" s="9"/>
      <c r="D778" s="9"/>
    </row>
    <row r="779" spans="1:4" ht="15.75" customHeight="1" x14ac:dyDescent="0.25">
      <c r="A779" s="9"/>
      <c r="B779" s="9"/>
      <c r="C779" s="9"/>
      <c r="D779" s="9"/>
    </row>
    <row r="780" spans="1:4" ht="15.75" customHeight="1" x14ac:dyDescent="0.25">
      <c r="A780" s="9"/>
      <c r="B780" s="9"/>
      <c r="C780" s="9"/>
      <c r="D780" s="9"/>
    </row>
    <row r="781" spans="1:4" ht="15.75" customHeight="1" x14ac:dyDescent="0.25">
      <c r="A781" s="9"/>
      <c r="B781" s="9"/>
      <c r="C781" s="9"/>
      <c r="D781" s="9"/>
    </row>
    <row r="782" spans="1:4" ht="15.75" customHeight="1" x14ac:dyDescent="0.25">
      <c r="A782" s="9"/>
      <c r="B782" s="9"/>
      <c r="C782" s="9"/>
      <c r="D782" s="9"/>
    </row>
    <row r="783" spans="1:4" ht="15.75" customHeight="1" x14ac:dyDescent="0.25">
      <c r="A783" s="9"/>
      <c r="B783" s="9"/>
      <c r="C783" s="9"/>
      <c r="D783" s="9"/>
    </row>
    <row r="784" spans="1:4" ht="15.75" customHeight="1" x14ac:dyDescent="0.25">
      <c r="A784" s="9"/>
      <c r="B784" s="9"/>
      <c r="C784" s="9"/>
      <c r="D784" s="9"/>
    </row>
    <row r="785" spans="1:4" ht="15.75" customHeight="1" x14ac:dyDescent="0.25">
      <c r="A785" s="9"/>
      <c r="B785" s="9"/>
      <c r="C785" s="9"/>
      <c r="D785" s="9"/>
    </row>
    <row r="786" spans="1:4" ht="15.75" customHeight="1" x14ac:dyDescent="0.25">
      <c r="A786" s="9"/>
      <c r="B786" s="9"/>
      <c r="C786" s="9"/>
      <c r="D786" s="9"/>
    </row>
    <row r="787" spans="1:4" ht="15.75" customHeight="1" x14ac:dyDescent="0.25">
      <c r="A787" s="9"/>
      <c r="B787" s="9"/>
      <c r="C787" s="9"/>
      <c r="D787" s="9"/>
    </row>
    <row r="788" spans="1:4" ht="15.75" customHeight="1" x14ac:dyDescent="0.25">
      <c r="A788" s="9"/>
      <c r="B788" s="9"/>
      <c r="C788" s="9"/>
      <c r="D788" s="9"/>
    </row>
    <row r="789" spans="1:4" ht="15.75" customHeight="1" x14ac:dyDescent="0.25">
      <c r="A789" s="9"/>
      <c r="B789" s="9"/>
      <c r="C789" s="9"/>
      <c r="D789" s="9"/>
    </row>
    <row r="790" spans="1:4" ht="15.75" customHeight="1" x14ac:dyDescent="0.25">
      <c r="A790" s="9"/>
      <c r="B790" s="9"/>
      <c r="C790" s="9"/>
      <c r="D790" s="9"/>
    </row>
    <row r="791" spans="1:4" ht="15.75" customHeight="1" x14ac:dyDescent="0.25">
      <c r="A791" s="9"/>
      <c r="B791" s="9"/>
      <c r="C791" s="9"/>
      <c r="D791" s="9"/>
    </row>
    <row r="792" spans="1:4" ht="15.75" customHeight="1" x14ac:dyDescent="0.25">
      <c r="A792" s="9"/>
      <c r="B792" s="9"/>
      <c r="C792" s="9"/>
      <c r="D792" s="9"/>
    </row>
    <row r="793" spans="1:4" ht="15.75" customHeight="1" x14ac:dyDescent="0.25">
      <c r="A793" s="9"/>
      <c r="B793" s="9"/>
      <c r="C793" s="9"/>
      <c r="D793" s="9"/>
    </row>
    <row r="794" spans="1:4" ht="15.75" customHeight="1" x14ac:dyDescent="0.25">
      <c r="A794" s="9"/>
      <c r="B794" s="9"/>
      <c r="C794" s="9"/>
      <c r="D794" s="9"/>
    </row>
    <row r="795" spans="1:4" ht="15.75" customHeight="1" x14ac:dyDescent="0.25">
      <c r="A795" s="9"/>
      <c r="B795" s="9"/>
      <c r="C795" s="9"/>
      <c r="D795" s="9"/>
    </row>
    <row r="796" spans="1:4" ht="15.75" customHeight="1" x14ac:dyDescent="0.25">
      <c r="A796" s="9"/>
      <c r="B796" s="9"/>
      <c r="C796" s="9"/>
      <c r="D796" s="9"/>
    </row>
    <row r="797" spans="1:4" ht="15.75" customHeight="1" x14ac:dyDescent="0.25">
      <c r="A797" s="9"/>
      <c r="B797" s="9"/>
      <c r="C797" s="9"/>
      <c r="D797" s="9"/>
    </row>
    <row r="798" spans="1:4" ht="15.75" customHeight="1" x14ac:dyDescent="0.25">
      <c r="A798" s="9"/>
      <c r="B798" s="9"/>
      <c r="C798" s="9"/>
      <c r="D798" s="9"/>
    </row>
    <row r="799" spans="1:4" ht="15.75" customHeight="1" x14ac:dyDescent="0.25">
      <c r="A799" s="9"/>
      <c r="B799" s="9"/>
      <c r="C799" s="9"/>
      <c r="D799" s="9"/>
    </row>
    <row r="800" spans="1:4" ht="15.75" customHeight="1" x14ac:dyDescent="0.25">
      <c r="A800" s="9"/>
      <c r="B800" s="9"/>
      <c r="C800" s="9"/>
      <c r="D800" s="9"/>
    </row>
    <row r="801" spans="1:4" ht="15.75" customHeight="1" x14ac:dyDescent="0.25">
      <c r="A801" s="9"/>
      <c r="B801" s="9"/>
      <c r="C801" s="9"/>
      <c r="D801" s="9"/>
    </row>
    <row r="802" spans="1:4" ht="15.75" customHeight="1" x14ac:dyDescent="0.25">
      <c r="A802" s="9"/>
      <c r="B802" s="9"/>
      <c r="C802" s="9"/>
      <c r="D802" s="9"/>
    </row>
    <row r="803" spans="1:4" ht="15.75" customHeight="1" x14ac:dyDescent="0.25">
      <c r="A803" s="9"/>
      <c r="B803" s="9"/>
      <c r="C803" s="9"/>
      <c r="D803" s="9"/>
    </row>
    <row r="804" spans="1:4" ht="15.75" customHeight="1" x14ac:dyDescent="0.25">
      <c r="A804" s="9"/>
      <c r="B804" s="9"/>
      <c r="C804" s="9"/>
      <c r="D804" s="9"/>
    </row>
    <row r="805" spans="1:4" ht="15.75" customHeight="1" x14ac:dyDescent="0.25">
      <c r="A805" s="9"/>
      <c r="B805" s="9"/>
      <c r="C805" s="9"/>
      <c r="D805" s="9"/>
    </row>
    <row r="806" spans="1:4" ht="15.75" customHeight="1" x14ac:dyDescent="0.25">
      <c r="A806" s="9"/>
      <c r="B806" s="9"/>
      <c r="C806" s="9"/>
      <c r="D806" s="9"/>
    </row>
    <row r="807" spans="1:4" ht="15.75" customHeight="1" x14ac:dyDescent="0.25">
      <c r="A807" s="9"/>
      <c r="B807" s="9"/>
      <c r="C807" s="9"/>
      <c r="D807" s="9"/>
    </row>
    <row r="808" spans="1:4" ht="15.75" customHeight="1" x14ac:dyDescent="0.25">
      <c r="A808" s="9"/>
      <c r="B808" s="9"/>
      <c r="C808" s="9"/>
      <c r="D808" s="9"/>
    </row>
    <row r="809" spans="1:4" ht="15.75" customHeight="1" x14ac:dyDescent="0.25">
      <c r="A809" s="9"/>
      <c r="B809" s="9"/>
      <c r="C809" s="9"/>
      <c r="D809" s="9"/>
    </row>
    <row r="810" spans="1:4" ht="15.75" customHeight="1" x14ac:dyDescent="0.25">
      <c r="A810" s="9"/>
      <c r="B810" s="9"/>
      <c r="C810" s="9"/>
      <c r="D810" s="9"/>
    </row>
    <row r="811" spans="1:4" ht="15.75" customHeight="1" x14ac:dyDescent="0.25">
      <c r="A811" s="9"/>
      <c r="B811" s="9"/>
      <c r="C811" s="9"/>
      <c r="D811" s="9"/>
    </row>
    <row r="812" spans="1:4" ht="15.75" customHeight="1" x14ac:dyDescent="0.25">
      <c r="A812" s="9"/>
      <c r="B812" s="9"/>
      <c r="C812" s="9"/>
      <c r="D812" s="9"/>
    </row>
    <row r="813" spans="1:4" ht="15.75" customHeight="1" x14ac:dyDescent="0.25">
      <c r="A813" s="9"/>
      <c r="B813" s="9"/>
      <c r="C813" s="9"/>
      <c r="D813" s="9"/>
    </row>
    <row r="814" spans="1:4" ht="15.75" customHeight="1" x14ac:dyDescent="0.25">
      <c r="A814" s="9"/>
      <c r="B814" s="9"/>
      <c r="C814" s="9"/>
      <c r="D814" s="9"/>
    </row>
    <row r="815" spans="1:4" ht="15.75" customHeight="1" x14ac:dyDescent="0.25">
      <c r="A815" s="9"/>
      <c r="B815" s="9"/>
      <c r="C815" s="9"/>
      <c r="D815" s="9"/>
    </row>
    <row r="816" spans="1:4" ht="15.75" customHeight="1" x14ac:dyDescent="0.25">
      <c r="A816" s="9"/>
      <c r="B816" s="9"/>
      <c r="C816" s="9"/>
      <c r="D816" s="9"/>
    </row>
    <row r="817" spans="1:4" ht="15.75" customHeight="1" x14ac:dyDescent="0.25">
      <c r="A817" s="9"/>
      <c r="B817" s="9"/>
      <c r="C817" s="9"/>
      <c r="D817" s="9"/>
    </row>
    <row r="818" spans="1:4" ht="15.75" customHeight="1" x14ac:dyDescent="0.25">
      <c r="A818" s="9"/>
      <c r="B818" s="9"/>
      <c r="C818" s="9"/>
      <c r="D818" s="9"/>
    </row>
    <row r="819" spans="1:4" ht="15.75" customHeight="1" x14ac:dyDescent="0.25">
      <c r="A819" s="9"/>
      <c r="B819" s="9"/>
      <c r="C819" s="9"/>
      <c r="D819" s="9"/>
    </row>
    <row r="820" spans="1:4" ht="15.75" customHeight="1" x14ac:dyDescent="0.25">
      <c r="A820" s="9"/>
      <c r="B820" s="9"/>
      <c r="C820" s="9"/>
      <c r="D820" s="9"/>
    </row>
    <row r="821" spans="1:4" ht="15.75" customHeight="1" x14ac:dyDescent="0.25">
      <c r="A821" s="9"/>
      <c r="B821" s="9"/>
      <c r="C821" s="9"/>
      <c r="D821" s="9"/>
    </row>
    <row r="822" spans="1:4" ht="15.75" customHeight="1" x14ac:dyDescent="0.25">
      <c r="A822" s="9"/>
      <c r="B822" s="9"/>
      <c r="C822" s="9"/>
      <c r="D822" s="9"/>
    </row>
    <row r="823" spans="1:4" ht="15.75" customHeight="1" x14ac:dyDescent="0.25">
      <c r="A823" s="9"/>
      <c r="B823" s="9"/>
      <c r="C823" s="9"/>
      <c r="D823" s="9"/>
    </row>
    <row r="824" spans="1:4" ht="15.75" customHeight="1" x14ac:dyDescent="0.25">
      <c r="A824" s="9"/>
      <c r="B824" s="9"/>
      <c r="C824" s="9"/>
      <c r="D824" s="9"/>
    </row>
    <row r="825" spans="1:4" ht="15.75" customHeight="1" x14ac:dyDescent="0.25">
      <c r="A825" s="9"/>
      <c r="B825" s="9"/>
      <c r="C825" s="9"/>
      <c r="D825" s="9"/>
    </row>
    <row r="826" spans="1:4" ht="15.75" customHeight="1" x14ac:dyDescent="0.25">
      <c r="A826" s="9"/>
      <c r="B826" s="9"/>
      <c r="C826" s="9"/>
      <c r="D826" s="9"/>
    </row>
    <row r="827" spans="1:4" ht="15.75" customHeight="1" x14ac:dyDescent="0.25">
      <c r="A827" s="9"/>
      <c r="B827" s="9"/>
      <c r="C827" s="9"/>
      <c r="D827" s="9"/>
    </row>
    <row r="828" spans="1:4" ht="15.75" customHeight="1" x14ac:dyDescent="0.25">
      <c r="A828" s="9"/>
      <c r="B828" s="9"/>
      <c r="C828" s="9"/>
      <c r="D828" s="9"/>
    </row>
    <row r="829" spans="1:4" ht="15.75" customHeight="1" x14ac:dyDescent="0.25">
      <c r="A829" s="9"/>
      <c r="B829" s="9"/>
      <c r="C829" s="9"/>
      <c r="D829" s="9"/>
    </row>
    <row r="830" spans="1:4" ht="15.75" customHeight="1" x14ac:dyDescent="0.25">
      <c r="A830" s="9"/>
      <c r="B830" s="9"/>
      <c r="C830" s="9"/>
      <c r="D830" s="9"/>
    </row>
    <row r="831" spans="1:4" ht="15.75" customHeight="1" x14ac:dyDescent="0.25">
      <c r="A831" s="9"/>
      <c r="B831" s="9"/>
      <c r="C831" s="9"/>
      <c r="D831" s="9"/>
    </row>
    <row r="832" spans="1:4" ht="15.75" customHeight="1" x14ac:dyDescent="0.25">
      <c r="A832" s="9"/>
      <c r="B832" s="9"/>
      <c r="C832" s="9"/>
      <c r="D832" s="9"/>
    </row>
    <row r="833" spans="1:4" ht="15.75" customHeight="1" x14ac:dyDescent="0.25">
      <c r="A833" s="9"/>
      <c r="B833" s="9"/>
      <c r="C833" s="9"/>
      <c r="D833" s="9"/>
    </row>
    <row r="834" spans="1:4" ht="15.75" customHeight="1" x14ac:dyDescent="0.25">
      <c r="A834" s="9"/>
      <c r="B834" s="9"/>
      <c r="C834" s="9"/>
      <c r="D834" s="9"/>
    </row>
    <row r="835" spans="1:4" ht="15.75" customHeight="1" x14ac:dyDescent="0.25">
      <c r="A835" s="9"/>
      <c r="B835" s="9"/>
      <c r="C835" s="9"/>
      <c r="D835" s="9"/>
    </row>
    <row r="836" spans="1:4" ht="15.75" customHeight="1" x14ac:dyDescent="0.25">
      <c r="A836" s="9"/>
      <c r="B836" s="9"/>
      <c r="C836" s="9"/>
      <c r="D836" s="9"/>
    </row>
    <row r="837" spans="1:4" ht="15.75" customHeight="1" x14ac:dyDescent="0.25">
      <c r="A837" s="9"/>
      <c r="B837" s="9"/>
      <c r="C837" s="9"/>
      <c r="D837" s="9"/>
    </row>
    <row r="838" spans="1:4" ht="15.75" customHeight="1" x14ac:dyDescent="0.25">
      <c r="A838" s="9"/>
      <c r="B838" s="9"/>
      <c r="C838" s="9"/>
      <c r="D838" s="9"/>
    </row>
    <row r="839" spans="1:4" ht="15.75" customHeight="1" x14ac:dyDescent="0.25">
      <c r="A839" s="9"/>
      <c r="B839" s="9"/>
      <c r="C839" s="9"/>
      <c r="D839" s="9"/>
    </row>
    <row r="840" spans="1:4" ht="15.75" customHeight="1" x14ac:dyDescent="0.25">
      <c r="A840" s="9"/>
      <c r="B840" s="9"/>
      <c r="C840" s="9"/>
      <c r="D840" s="9"/>
    </row>
    <row r="841" spans="1:4" ht="15.75" customHeight="1" x14ac:dyDescent="0.25">
      <c r="A841" s="9"/>
      <c r="B841" s="9"/>
      <c r="C841" s="9"/>
      <c r="D841" s="9"/>
    </row>
    <row r="842" spans="1:4" ht="15.75" customHeight="1" x14ac:dyDescent="0.25">
      <c r="A842" s="9"/>
      <c r="B842" s="9"/>
      <c r="C842" s="9"/>
      <c r="D842" s="9"/>
    </row>
    <row r="843" spans="1:4" ht="15.75" customHeight="1" x14ac:dyDescent="0.25">
      <c r="A843" s="9"/>
      <c r="B843" s="9"/>
      <c r="C843" s="9"/>
      <c r="D843" s="9"/>
    </row>
    <row r="844" spans="1:4" ht="15.75" customHeight="1" x14ac:dyDescent="0.25">
      <c r="A844" s="9"/>
      <c r="B844" s="9"/>
      <c r="C844" s="9"/>
      <c r="D844" s="9"/>
    </row>
    <row r="845" spans="1:4" ht="15.75" customHeight="1" x14ac:dyDescent="0.25">
      <c r="A845" s="9"/>
      <c r="B845" s="9"/>
      <c r="C845" s="9"/>
      <c r="D845" s="9"/>
    </row>
    <row r="846" spans="1:4" ht="15.75" customHeight="1" x14ac:dyDescent="0.25">
      <c r="A846" s="9"/>
      <c r="B846" s="9"/>
      <c r="C846" s="9"/>
      <c r="D846" s="9"/>
    </row>
    <row r="847" spans="1:4" ht="15.75" customHeight="1" x14ac:dyDescent="0.25">
      <c r="A847" s="9"/>
      <c r="B847" s="9"/>
      <c r="C847" s="9"/>
      <c r="D847" s="9"/>
    </row>
    <row r="848" spans="1:4" ht="15.75" customHeight="1" x14ac:dyDescent="0.25">
      <c r="A848" s="9"/>
      <c r="B848" s="9"/>
      <c r="C848" s="9"/>
      <c r="D848" s="9"/>
    </row>
    <row r="849" spans="1:4" ht="15.75" customHeight="1" x14ac:dyDescent="0.25">
      <c r="A849" s="9"/>
      <c r="B849" s="9"/>
      <c r="C849" s="9"/>
      <c r="D849" s="9"/>
    </row>
    <row r="850" spans="1:4" ht="15.75" customHeight="1" x14ac:dyDescent="0.25">
      <c r="A850" s="9"/>
      <c r="B850" s="9"/>
      <c r="C850" s="9"/>
      <c r="D850" s="9"/>
    </row>
    <row r="851" spans="1:4" ht="15.75" customHeight="1" x14ac:dyDescent="0.25">
      <c r="A851" s="9"/>
      <c r="B851" s="9"/>
      <c r="C851" s="9"/>
      <c r="D851" s="9"/>
    </row>
    <row r="852" spans="1:4" ht="15.75" customHeight="1" x14ac:dyDescent="0.25">
      <c r="A852" s="9"/>
      <c r="B852" s="9"/>
      <c r="C852" s="9"/>
      <c r="D852" s="9"/>
    </row>
    <row r="853" spans="1:4" ht="15.75" customHeight="1" x14ac:dyDescent="0.25">
      <c r="A853" s="9"/>
      <c r="B853" s="9"/>
      <c r="C853" s="9"/>
      <c r="D853" s="9"/>
    </row>
    <row r="854" spans="1:4" ht="15.75" customHeight="1" x14ac:dyDescent="0.25">
      <c r="A854" s="9"/>
      <c r="B854" s="9"/>
      <c r="C854" s="9"/>
      <c r="D854" s="9"/>
    </row>
    <row r="855" spans="1:4" ht="15.75" customHeight="1" x14ac:dyDescent="0.25">
      <c r="A855" s="9"/>
      <c r="B855" s="9"/>
      <c r="C855" s="9"/>
      <c r="D855" s="9"/>
    </row>
    <row r="856" spans="1:4" ht="15.75" customHeight="1" x14ac:dyDescent="0.25">
      <c r="A856" s="9"/>
      <c r="B856" s="9"/>
      <c r="C856" s="9"/>
      <c r="D856" s="9"/>
    </row>
    <row r="857" spans="1:4" ht="15.75" customHeight="1" x14ac:dyDescent="0.25">
      <c r="A857" s="9"/>
      <c r="B857" s="9"/>
      <c r="C857" s="9"/>
      <c r="D857" s="9"/>
    </row>
    <row r="858" spans="1:4" ht="15.75" customHeight="1" x14ac:dyDescent="0.25">
      <c r="A858" s="9"/>
      <c r="B858" s="9"/>
      <c r="C858" s="9"/>
      <c r="D858" s="9"/>
    </row>
    <row r="859" spans="1:4" ht="15.75" customHeight="1" x14ac:dyDescent="0.25">
      <c r="A859" s="9"/>
      <c r="B859" s="9"/>
      <c r="C859" s="9"/>
      <c r="D859" s="9"/>
    </row>
    <row r="860" spans="1:4" ht="15.75" customHeight="1" x14ac:dyDescent="0.25">
      <c r="A860" s="9"/>
      <c r="B860" s="9"/>
      <c r="C860" s="9"/>
      <c r="D860" s="9"/>
    </row>
    <row r="861" spans="1:4" ht="15.75" customHeight="1" x14ac:dyDescent="0.25">
      <c r="A861" s="9"/>
      <c r="B861" s="9"/>
      <c r="C861" s="9"/>
      <c r="D861" s="9"/>
    </row>
    <row r="862" spans="1:4" ht="15.75" customHeight="1" x14ac:dyDescent="0.25">
      <c r="A862" s="9"/>
      <c r="B862" s="9"/>
      <c r="C862" s="9"/>
      <c r="D862" s="9"/>
    </row>
    <row r="863" spans="1:4" ht="15.75" customHeight="1" x14ac:dyDescent="0.25">
      <c r="A863" s="9"/>
      <c r="B863" s="9"/>
      <c r="C863" s="9"/>
      <c r="D863" s="9"/>
    </row>
    <row r="864" spans="1:4" ht="15.75" customHeight="1" x14ac:dyDescent="0.25">
      <c r="A864" s="9"/>
      <c r="B864" s="9"/>
      <c r="C864" s="9"/>
      <c r="D864" s="9"/>
    </row>
    <row r="865" spans="1:4" ht="15.75" customHeight="1" x14ac:dyDescent="0.25">
      <c r="A865" s="9"/>
      <c r="B865" s="9"/>
      <c r="C865" s="9"/>
      <c r="D865" s="9"/>
    </row>
    <row r="866" spans="1:4" ht="15.75" customHeight="1" x14ac:dyDescent="0.25">
      <c r="A866" s="9"/>
      <c r="B866" s="9"/>
      <c r="C866" s="9"/>
      <c r="D866" s="9"/>
    </row>
    <row r="867" spans="1:4" ht="15.75" customHeight="1" x14ac:dyDescent="0.25">
      <c r="A867" s="9"/>
      <c r="B867" s="9"/>
      <c r="C867" s="9"/>
      <c r="D867" s="9"/>
    </row>
    <row r="868" spans="1:4" ht="15.75" customHeight="1" x14ac:dyDescent="0.25">
      <c r="A868" s="9"/>
      <c r="B868" s="9"/>
      <c r="C868" s="9"/>
      <c r="D868" s="9"/>
    </row>
    <row r="869" spans="1:4" ht="15.75" customHeight="1" x14ac:dyDescent="0.25">
      <c r="A869" s="9"/>
      <c r="B869" s="9"/>
      <c r="C869" s="9"/>
      <c r="D869" s="9"/>
    </row>
    <row r="870" spans="1:4" ht="15.75" customHeight="1" x14ac:dyDescent="0.25">
      <c r="A870" s="9"/>
      <c r="B870" s="9"/>
      <c r="C870" s="9"/>
      <c r="D870" s="9"/>
    </row>
    <row r="871" spans="1:4" ht="15.75" customHeight="1" x14ac:dyDescent="0.25">
      <c r="A871" s="9"/>
      <c r="B871" s="9"/>
      <c r="C871" s="9"/>
      <c r="D871" s="9"/>
    </row>
    <row r="872" spans="1:4" ht="15.75" customHeight="1" x14ac:dyDescent="0.25">
      <c r="A872" s="9"/>
      <c r="B872" s="9"/>
      <c r="C872" s="9"/>
      <c r="D872" s="9"/>
    </row>
    <row r="873" spans="1:4" ht="15.75" customHeight="1" x14ac:dyDescent="0.25">
      <c r="A873" s="9"/>
      <c r="B873" s="9"/>
      <c r="C873" s="9"/>
      <c r="D873" s="9"/>
    </row>
    <row r="874" spans="1:4" ht="15.75" customHeight="1" x14ac:dyDescent="0.25">
      <c r="A874" s="9"/>
      <c r="B874" s="9"/>
      <c r="C874" s="9"/>
      <c r="D874" s="9"/>
    </row>
    <row r="875" spans="1:4" ht="15.75" customHeight="1" x14ac:dyDescent="0.25">
      <c r="A875" s="9"/>
      <c r="B875" s="9"/>
      <c r="C875" s="9"/>
      <c r="D875" s="9"/>
    </row>
    <row r="876" spans="1:4" ht="15.75" customHeight="1" x14ac:dyDescent="0.25">
      <c r="A876" s="9"/>
      <c r="B876" s="9"/>
      <c r="C876" s="9"/>
      <c r="D876" s="9"/>
    </row>
    <row r="877" spans="1:4" ht="15.75" customHeight="1" x14ac:dyDescent="0.25">
      <c r="A877" s="9"/>
      <c r="B877" s="9"/>
      <c r="C877" s="9"/>
      <c r="D877" s="9"/>
    </row>
    <row r="878" spans="1:4" ht="15.75" customHeight="1" x14ac:dyDescent="0.25">
      <c r="A878" s="9"/>
      <c r="B878" s="9"/>
      <c r="C878" s="9"/>
      <c r="D878" s="9"/>
    </row>
    <row r="879" spans="1:4" ht="15.75" customHeight="1" x14ac:dyDescent="0.25">
      <c r="A879" s="9"/>
      <c r="B879" s="9"/>
      <c r="C879" s="9"/>
      <c r="D879" s="9"/>
    </row>
    <row r="880" spans="1:4" ht="15.75" customHeight="1" x14ac:dyDescent="0.25">
      <c r="A880" s="9"/>
      <c r="B880" s="9"/>
      <c r="C880" s="9"/>
      <c r="D880" s="9"/>
    </row>
    <row r="881" spans="1:4" ht="15.75" customHeight="1" x14ac:dyDescent="0.25">
      <c r="A881" s="9"/>
      <c r="B881" s="9"/>
      <c r="C881" s="9"/>
      <c r="D881" s="9"/>
    </row>
    <row r="882" spans="1:4" ht="15.75" customHeight="1" x14ac:dyDescent="0.25">
      <c r="A882" s="9"/>
      <c r="B882" s="9"/>
      <c r="C882" s="9"/>
      <c r="D882" s="9"/>
    </row>
    <row r="883" spans="1:4" ht="15.75" customHeight="1" x14ac:dyDescent="0.25">
      <c r="A883" s="9"/>
      <c r="B883" s="9"/>
      <c r="C883" s="9"/>
      <c r="D883" s="9"/>
    </row>
    <row r="884" spans="1:4" ht="15.75" customHeight="1" x14ac:dyDescent="0.25">
      <c r="A884" s="9"/>
      <c r="B884" s="9"/>
      <c r="C884" s="9"/>
      <c r="D884" s="9"/>
    </row>
    <row r="885" spans="1:4" ht="15.75" customHeight="1" x14ac:dyDescent="0.25">
      <c r="A885" s="9"/>
      <c r="B885" s="9"/>
      <c r="C885" s="9"/>
      <c r="D885" s="9"/>
    </row>
    <row r="886" spans="1:4" ht="15.75" customHeight="1" x14ac:dyDescent="0.25">
      <c r="A886" s="9"/>
      <c r="B886" s="9"/>
      <c r="C886" s="9"/>
      <c r="D886" s="9"/>
    </row>
    <row r="887" spans="1:4" ht="15.75" customHeight="1" x14ac:dyDescent="0.25">
      <c r="A887" s="9"/>
      <c r="B887" s="9"/>
      <c r="C887" s="9"/>
      <c r="D887" s="9"/>
    </row>
    <row r="888" spans="1:4" ht="15.75" customHeight="1" x14ac:dyDescent="0.25">
      <c r="A888" s="9"/>
      <c r="B888" s="9"/>
      <c r="C888" s="9"/>
      <c r="D888" s="9"/>
    </row>
    <row r="889" spans="1:4" ht="15.75" customHeight="1" x14ac:dyDescent="0.25">
      <c r="A889" s="9"/>
      <c r="B889" s="9"/>
      <c r="C889" s="9"/>
      <c r="D889" s="9"/>
    </row>
    <row r="890" spans="1:4" ht="15.75" customHeight="1" x14ac:dyDescent="0.25">
      <c r="A890" s="9"/>
      <c r="B890" s="9"/>
      <c r="C890" s="9"/>
      <c r="D890" s="9"/>
    </row>
    <row r="891" spans="1:4" ht="15.75" customHeight="1" x14ac:dyDescent="0.25">
      <c r="A891" s="9"/>
      <c r="B891" s="9"/>
      <c r="C891" s="9"/>
      <c r="D891" s="9"/>
    </row>
    <row r="892" spans="1:4" ht="15.75" customHeight="1" x14ac:dyDescent="0.25">
      <c r="A892" s="9"/>
      <c r="B892" s="9"/>
      <c r="C892" s="9"/>
      <c r="D892" s="9"/>
    </row>
    <row r="893" spans="1:4" ht="15.75" customHeight="1" x14ac:dyDescent="0.25">
      <c r="A893" s="9"/>
      <c r="B893" s="9"/>
      <c r="C893" s="9"/>
      <c r="D893" s="9"/>
    </row>
    <row r="894" spans="1:4" ht="15.75" customHeight="1" x14ac:dyDescent="0.25">
      <c r="A894" s="9"/>
      <c r="B894" s="9"/>
      <c r="C894" s="9"/>
      <c r="D894" s="9"/>
    </row>
    <row r="895" spans="1:4" ht="15.75" customHeight="1" x14ac:dyDescent="0.25">
      <c r="A895" s="9"/>
      <c r="B895" s="9"/>
      <c r="C895" s="9"/>
      <c r="D895" s="9"/>
    </row>
    <row r="896" spans="1:4" ht="15.75" customHeight="1" x14ac:dyDescent="0.25">
      <c r="A896" s="9"/>
      <c r="B896" s="9"/>
      <c r="C896" s="9"/>
      <c r="D896" s="9"/>
    </row>
    <row r="897" spans="1:4" ht="15.75" customHeight="1" x14ac:dyDescent="0.25">
      <c r="A897" s="9"/>
      <c r="B897" s="9"/>
      <c r="C897" s="9"/>
      <c r="D897" s="9"/>
    </row>
    <row r="898" spans="1:4" ht="15.75" customHeight="1" x14ac:dyDescent="0.25">
      <c r="A898" s="9"/>
      <c r="B898" s="9"/>
      <c r="C898" s="9"/>
      <c r="D898" s="9"/>
    </row>
    <row r="899" spans="1:4" ht="15.75" customHeight="1" x14ac:dyDescent="0.25">
      <c r="A899" s="9"/>
      <c r="B899" s="9"/>
      <c r="C899" s="9"/>
      <c r="D899" s="9"/>
    </row>
    <row r="900" spans="1:4" ht="15.75" customHeight="1" x14ac:dyDescent="0.25">
      <c r="A900" s="9"/>
      <c r="B900" s="9"/>
      <c r="C900" s="9"/>
      <c r="D900" s="9"/>
    </row>
    <row r="901" spans="1:4" ht="15.75" customHeight="1" x14ac:dyDescent="0.25">
      <c r="A901" s="9"/>
      <c r="B901" s="9"/>
      <c r="C901" s="9"/>
      <c r="D901" s="9"/>
    </row>
    <row r="902" spans="1:4" ht="15.75" customHeight="1" x14ac:dyDescent="0.25">
      <c r="A902" s="9"/>
      <c r="B902" s="9"/>
      <c r="C902" s="9"/>
      <c r="D902" s="9"/>
    </row>
    <row r="903" spans="1:4" ht="15.75" customHeight="1" x14ac:dyDescent="0.25">
      <c r="A903" s="9"/>
      <c r="B903" s="9"/>
      <c r="C903" s="9"/>
      <c r="D903" s="9"/>
    </row>
    <row r="904" spans="1:4" ht="15.75" customHeight="1" x14ac:dyDescent="0.25">
      <c r="A904" s="9"/>
      <c r="B904" s="9"/>
      <c r="C904" s="9"/>
      <c r="D904" s="9"/>
    </row>
    <row r="905" spans="1:4" ht="15.75" customHeight="1" x14ac:dyDescent="0.25">
      <c r="A905" s="9"/>
      <c r="B905" s="9"/>
      <c r="C905" s="9"/>
      <c r="D905" s="9"/>
    </row>
    <row r="906" spans="1:4" ht="15.75" customHeight="1" x14ac:dyDescent="0.25">
      <c r="A906" s="9"/>
      <c r="B906" s="9"/>
      <c r="C906" s="9"/>
      <c r="D906" s="9"/>
    </row>
    <row r="907" spans="1:4" ht="15.75" customHeight="1" x14ac:dyDescent="0.25">
      <c r="A907" s="9"/>
      <c r="B907" s="9"/>
      <c r="C907" s="9"/>
      <c r="D907" s="9"/>
    </row>
    <row r="908" spans="1:4" ht="15.75" customHeight="1" x14ac:dyDescent="0.25">
      <c r="A908" s="9"/>
      <c r="B908" s="9"/>
      <c r="C908" s="9"/>
      <c r="D908" s="9"/>
    </row>
    <row r="909" spans="1:4" ht="15.75" customHeight="1" x14ac:dyDescent="0.25">
      <c r="A909" s="9"/>
      <c r="B909" s="9"/>
      <c r="C909" s="9"/>
      <c r="D909" s="9"/>
    </row>
    <row r="910" spans="1:4" ht="15.75" customHeight="1" x14ac:dyDescent="0.25">
      <c r="A910" s="9"/>
      <c r="B910" s="9"/>
      <c r="C910" s="9"/>
      <c r="D910" s="9"/>
    </row>
    <row r="911" spans="1:4" ht="15.75" customHeight="1" x14ac:dyDescent="0.25">
      <c r="A911" s="9"/>
      <c r="B911" s="9"/>
      <c r="C911" s="9"/>
      <c r="D911" s="9"/>
    </row>
    <row r="912" spans="1:4" ht="15.75" customHeight="1" x14ac:dyDescent="0.25">
      <c r="A912" s="9"/>
      <c r="B912" s="9"/>
      <c r="C912" s="9"/>
      <c r="D912" s="9"/>
    </row>
    <row r="913" spans="1:4" ht="15.75" customHeight="1" x14ac:dyDescent="0.25">
      <c r="A913" s="9"/>
      <c r="B913" s="9"/>
      <c r="C913" s="9"/>
      <c r="D913" s="9"/>
    </row>
    <row r="914" spans="1:4" ht="15.75" customHeight="1" x14ac:dyDescent="0.25">
      <c r="A914" s="9"/>
      <c r="B914" s="9"/>
      <c r="C914" s="9"/>
      <c r="D914" s="9"/>
    </row>
    <row r="915" spans="1:4" ht="15.75" customHeight="1" x14ac:dyDescent="0.25">
      <c r="A915" s="9"/>
      <c r="B915" s="9"/>
      <c r="C915" s="9"/>
      <c r="D915" s="9"/>
    </row>
    <row r="916" spans="1:4" ht="15.75" customHeight="1" x14ac:dyDescent="0.25">
      <c r="A916" s="9"/>
      <c r="B916" s="9"/>
      <c r="C916" s="9"/>
      <c r="D916" s="9"/>
    </row>
    <row r="917" spans="1:4" ht="15.75" customHeight="1" x14ac:dyDescent="0.25">
      <c r="A917" s="9"/>
      <c r="B917" s="9"/>
      <c r="C917" s="9"/>
      <c r="D917" s="9"/>
    </row>
    <row r="918" spans="1:4" ht="15.75" customHeight="1" x14ac:dyDescent="0.25">
      <c r="A918" s="9"/>
      <c r="B918" s="9"/>
      <c r="C918" s="9"/>
      <c r="D918" s="9"/>
    </row>
    <row r="919" spans="1:4" ht="15.75" customHeight="1" x14ac:dyDescent="0.25">
      <c r="A919" s="9"/>
      <c r="B919" s="9"/>
      <c r="C919" s="9"/>
      <c r="D919" s="9"/>
    </row>
    <row r="920" spans="1:4" ht="15.75" customHeight="1" x14ac:dyDescent="0.25">
      <c r="A920" s="9"/>
      <c r="B920" s="9"/>
      <c r="C920" s="9"/>
      <c r="D920" s="9"/>
    </row>
    <row r="921" spans="1:4" ht="15.75" customHeight="1" x14ac:dyDescent="0.25">
      <c r="A921" s="9"/>
      <c r="B921" s="9"/>
      <c r="C921" s="9"/>
      <c r="D921" s="9"/>
    </row>
    <row r="922" spans="1:4" ht="15.75" customHeight="1" x14ac:dyDescent="0.25">
      <c r="A922" s="9"/>
      <c r="B922" s="9"/>
      <c r="C922" s="9"/>
      <c r="D922" s="9"/>
    </row>
    <row r="923" spans="1:4" ht="15.75" customHeight="1" x14ac:dyDescent="0.25">
      <c r="A923" s="9"/>
      <c r="B923" s="9"/>
      <c r="C923" s="9"/>
      <c r="D923" s="9"/>
    </row>
    <row r="924" spans="1:4" ht="15.75" customHeight="1" x14ac:dyDescent="0.25">
      <c r="A924" s="9"/>
      <c r="B924" s="9"/>
      <c r="C924" s="9"/>
      <c r="D924" s="9"/>
    </row>
    <row r="925" spans="1:4" ht="15.75" customHeight="1" x14ac:dyDescent="0.25">
      <c r="A925" s="9"/>
      <c r="B925" s="9"/>
      <c r="C925" s="9"/>
      <c r="D925" s="9"/>
    </row>
    <row r="926" spans="1:4" ht="15.75" customHeight="1" x14ac:dyDescent="0.25">
      <c r="A926" s="9"/>
      <c r="B926" s="9"/>
      <c r="C926" s="9"/>
      <c r="D926" s="9"/>
    </row>
    <row r="927" spans="1:4" ht="15.75" customHeight="1" x14ac:dyDescent="0.25">
      <c r="A927" s="9"/>
      <c r="B927" s="9"/>
      <c r="C927" s="9"/>
      <c r="D927" s="9"/>
    </row>
    <row r="928" spans="1:4" ht="15.75" customHeight="1" x14ac:dyDescent="0.25">
      <c r="A928" s="9"/>
      <c r="B928" s="9"/>
      <c r="C928" s="9"/>
      <c r="D928" s="9"/>
    </row>
    <row r="929" spans="1:4" ht="15.75" customHeight="1" x14ac:dyDescent="0.25">
      <c r="A929" s="9"/>
      <c r="B929" s="9"/>
      <c r="C929" s="9"/>
      <c r="D929" s="9"/>
    </row>
    <row r="930" spans="1:4" ht="15.75" customHeight="1" x14ac:dyDescent="0.25">
      <c r="A930" s="9"/>
      <c r="B930" s="9"/>
      <c r="C930" s="9"/>
      <c r="D930" s="9"/>
    </row>
    <row r="931" spans="1:4" ht="15.75" customHeight="1" x14ac:dyDescent="0.25">
      <c r="A931" s="9"/>
      <c r="B931" s="9"/>
      <c r="C931" s="9"/>
      <c r="D931" s="9"/>
    </row>
    <row r="932" spans="1:4" ht="15.75" customHeight="1" x14ac:dyDescent="0.25">
      <c r="A932" s="9"/>
      <c r="B932" s="9"/>
      <c r="C932" s="9"/>
      <c r="D932" s="9"/>
    </row>
    <row r="933" spans="1:4" ht="15.75" customHeight="1" x14ac:dyDescent="0.25">
      <c r="A933" s="9"/>
      <c r="B933" s="9"/>
      <c r="C933" s="9"/>
      <c r="D933" s="9"/>
    </row>
    <row r="934" spans="1:4" ht="15.75" customHeight="1" x14ac:dyDescent="0.25">
      <c r="A934" s="9"/>
      <c r="B934" s="9"/>
      <c r="C934" s="9"/>
      <c r="D934" s="9"/>
    </row>
    <row r="935" spans="1:4" ht="15.75" customHeight="1" x14ac:dyDescent="0.25">
      <c r="A935" s="9"/>
      <c r="B935" s="9"/>
      <c r="C935" s="9"/>
      <c r="D935" s="9"/>
    </row>
    <row r="936" spans="1:4" ht="15.75" customHeight="1" x14ac:dyDescent="0.25">
      <c r="A936" s="9"/>
      <c r="B936" s="9"/>
      <c r="C936" s="9"/>
      <c r="D936" s="9"/>
    </row>
    <row r="937" spans="1:4" ht="15.75" customHeight="1" x14ac:dyDescent="0.25">
      <c r="A937" s="9"/>
      <c r="B937" s="9"/>
      <c r="C937" s="9"/>
      <c r="D937" s="9"/>
    </row>
    <row r="938" spans="1:4" ht="15.75" customHeight="1" x14ac:dyDescent="0.25">
      <c r="A938" s="9"/>
      <c r="B938" s="9"/>
      <c r="C938" s="9"/>
      <c r="D938" s="9"/>
    </row>
    <row r="939" spans="1:4" ht="15.75" customHeight="1" x14ac:dyDescent="0.25">
      <c r="A939" s="9"/>
      <c r="B939" s="9"/>
      <c r="C939" s="9"/>
      <c r="D939" s="9"/>
    </row>
    <row r="940" spans="1:4" ht="15.75" customHeight="1" x14ac:dyDescent="0.25">
      <c r="A940" s="9"/>
      <c r="B940" s="9"/>
      <c r="C940" s="9"/>
      <c r="D940" s="9"/>
    </row>
    <row r="941" spans="1:4" ht="15.75" customHeight="1" x14ac:dyDescent="0.25">
      <c r="A941" s="9"/>
      <c r="B941" s="9"/>
      <c r="C941" s="9"/>
      <c r="D941" s="9"/>
    </row>
    <row r="942" spans="1:4" ht="15.75" customHeight="1" x14ac:dyDescent="0.25">
      <c r="A942" s="9"/>
      <c r="B942" s="9"/>
      <c r="C942" s="9"/>
      <c r="D942" s="9"/>
    </row>
    <row r="943" spans="1:4" ht="15.75" customHeight="1" x14ac:dyDescent="0.25">
      <c r="A943" s="9"/>
      <c r="B943" s="9"/>
      <c r="C943" s="9"/>
      <c r="D943" s="9"/>
    </row>
    <row r="944" spans="1:4" ht="15.75" customHeight="1" x14ac:dyDescent="0.25">
      <c r="A944" s="9"/>
      <c r="B944" s="9"/>
      <c r="C944" s="9"/>
      <c r="D944" s="9"/>
    </row>
    <row r="945" spans="1:4" ht="15.75" customHeight="1" x14ac:dyDescent="0.25">
      <c r="A945" s="9"/>
      <c r="B945" s="9"/>
      <c r="C945" s="9"/>
      <c r="D945" s="9"/>
    </row>
    <row r="946" spans="1:4" ht="15.75" customHeight="1" x14ac:dyDescent="0.25">
      <c r="A946" s="9"/>
      <c r="B946" s="9"/>
      <c r="C946" s="9"/>
      <c r="D946" s="9"/>
    </row>
    <row r="947" spans="1:4" ht="15.75" customHeight="1" x14ac:dyDescent="0.25">
      <c r="A947" s="9"/>
      <c r="B947" s="9"/>
      <c r="C947" s="9"/>
      <c r="D947" s="9"/>
    </row>
    <row r="948" spans="1:4" ht="15.75" customHeight="1" x14ac:dyDescent="0.25">
      <c r="A948" s="9"/>
      <c r="B948" s="9"/>
      <c r="C948" s="9"/>
      <c r="D948" s="9"/>
    </row>
    <row r="949" spans="1:4" ht="15.75" customHeight="1" x14ac:dyDescent="0.25">
      <c r="A949" s="9"/>
      <c r="B949" s="9"/>
      <c r="C949" s="9"/>
      <c r="D949" s="9"/>
    </row>
    <row r="950" spans="1:4" ht="15.75" customHeight="1" x14ac:dyDescent="0.25">
      <c r="A950" s="9"/>
      <c r="B950" s="9"/>
      <c r="C950" s="9"/>
      <c r="D950" s="9"/>
    </row>
    <row r="951" spans="1:4" ht="15.75" customHeight="1" x14ac:dyDescent="0.25">
      <c r="A951" s="9"/>
      <c r="B951" s="9"/>
      <c r="C951" s="9"/>
      <c r="D951" s="9"/>
    </row>
    <row r="952" spans="1:4" ht="15.75" customHeight="1" x14ac:dyDescent="0.25">
      <c r="A952" s="9"/>
      <c r="B952" s="9"/>
      <c r="C952" s="9"/>
      <c r="D952" s="9"/>
    </row>
    <row r="953" spans="1:4" ht="15.75" customHeight="1" x14ac:dyDescent="0.25">
      <c r="A953" s="9"/>
      <c r="B953" s="9"/>
      <c r="C953" s="9"/>
      <c r="D953" s="9"/>
    </row>
    <row r="954" spans="1:4" ht="15.75" customHeight="1" x14ac:dyDescent="0.25">
      <c r="A954" s="9"/>
      <c r="B954" s="9"/>
      <c r="C954" s="9"/>
      <c r="D954" s="9"/>
    </row>
    <row r="955" spans="1:4" ht="15.75" customHeight="1" x14ac:dyDescent="0.25">
      <c r="A955" s="9"/>
      <c r="B955" s="9"/>
      <c r="C955" s="9"/>
      <c r="D955" s="9"/>
    </row>
    <row r="956" spans="1:4" ht="15.75" customHeight="1" x14ac:dyDescent="0.25">
      <c r="A956" s="9"/>
      <c r="B956" s="9"/>
      <c r="C956" s="9"/>
      <c r="D956" s="9"/>
    </row>
    <row r="957" spans="1:4" ht="15.75" customHeight="1" x14ac:dyDescent="0.25">
      <c r="A957" s="9"/>
      <c r="B957" s="9"/>
      <c r="C957" s="9"/>
      <c r="D957" s="9"/>
    </row>
    <row r="958" spans="1:4" ht="15.75" customHeight="1" x14ac:dyDescent="0.25">
      <c r="A958" s="9"/>
      <c r="B958" s="9"/>
      <c r="C958" s="9"/>
      <c r="D958" s="9"/>
    </row>
    <row r="959" spans="1:4" ht="15.75" customHeight="1" x14ac:dyDescent="0.25">
      <c r="A959" s="9"/>
      <c r="B959" s="9"/>
      <c r="C959" s="9"/>
      <c r="D959" s="9"/>
    </row>
    <row r="960" spans="1:4" ht="15.75" customHeight="1" x14ac:dyDescent="0.25">
      <c r="A960" s="9"/>
      <c r="B960" s="9"/>
      <c r="C960" s="9"/>
      <c r="D960" s="9"/>
    </row>
    <row r="961" spans="1:4" ht="15.75" customHeight="1" x14ac:dyDescent="0.25">
      <c r="A961" s="9"/>
      <c r="B961" s="9"/>
      <c r="C961" s="9"/>
      <c r="D961" s="9"/>
    </row>
    <row r="962" spans="1:4" ht="15.75" customHeight="1" x14ac:dyDescent="0.25">
      <c r="A962" s="9"/>
      <c r="B962" s="9"/>
      <c r="C962" s="9"/>
      <c r="D962" s="9"/>
    </row>
    <row r="963" spans="1:4" ht="15.75" customHeight="1" x14ac:dyDescent="0.25">
      <c r="A963" s="9"/>
      <c r="B963" s="9"/>
      <c r="C963" s="9"/>
      <c r="D963" s="9"/>
    </row>
    <row r="964" spans="1:4" ht="15.75" customHeight="1" x14ac:dyDescent="0.25">
      <c r="A964" s="9"/>
      <c r="B964" s="9"/>
      <c r="C964" s="9"/>
      <c r="D964" s="9"/>
    </row>
    <row r="965" spans="1:4" ht="15.75" customHeight="1" x14ac:dyDescent="0.25">
      <c r="A965" s="9"/>
      <c r="B965" s="9"/>
      <c r="C965" s="9"/>
      <c r="D965" s="9"/>
    </row>
    <row r="966" spans="1:4" ht="15.75" customHeight="1" x14ac:dyDescent="0.25">
      <c r="A966" s="9"/>
      <c r="B966" s="9"/>
      <c r="C966" s="9"/>
      <c r="D966" s="9"/>
    </row>
    <row r="967" spans="1:4" ht="15.75" customHeight="1" x14ac:dyDescent="0.25">
      <c r="A967" s="9"/>
      <c r="B967" s="9"/>
      <c r="C967" s="9"/>
      <c r="D967" s="9"/>
    </row>
    <row r="968" spans="1:4" ht="15.75" customHeight="1" x14ac:dyDescent="0.25">
      <c r="A968" s="9"/>
      <c r="B968" s="9"/>
      <c r="C968" s="9"/>
      <c r="D968" s="9"/>
    </row>
    <row r="969" spans="1:4" ht="15.75" customHeight="1" x14ac:dyDescent="0.25">
      <c r="A969" s="9"/>
      <c r="B969" s="9"/>
      <c r="C969" s="9"/>
      <c r="D969" s="9"/>
    </row>
    <row r="970" spans="1:4" ht="15.75" customHeight="1" x14ac:dyDescent="0.25">
      <c r="A970" s="9"/>
      <c r="B970" s="9"/>
      <c r="C970" s="9"/>
      <c r="D970" s="9"/>
    </row>
    <row r="971" spans="1:4" ht="15.75" customHeight="1" x14ac:dyDescent="0.25">
      <c r="A971" s="9"/>
      <c r="B971" s="9"/>
      <c r="C971" s="9"/>
      <c r="D971" s="9"/>
    </row>
    <row r="972" spans="1:4" ht="15.75" customHeight="1" x14ac:dyDescent="0.25">
      <c r="A972" s="9"/>
      <c r="B972" s="9"/>
      <c r="C972" s="9"/>
      <c r="D972" s="9"/>
    </row>
    <row r="973" spans="1:4" ht="15.75" customHeight="1" x14ac:dyDescent="0.25">
      <c r="A973" s="9"/>
      <c r="B973" s="9"/>
      <c r="C973" s="9"/>
      <c r="D973" s="9"/>
    </row>
    <row r="974" spans="1:4" ht="15.75" customHeight="1" x14ac:dyDescent="0.25">
      <c r="A974" s="9"/>
      <c r="B974" s="9"/>
      <c r="C974" s="9"/>
      <c r="D974" s="9"/>
    </row>
    <row r="975" spans="1:4" ht="15.75" customHeight="1" x14ac:dyDescent="0.25">
      <c r="A975" s="9"/>
      <c r="B975" s="9"/>
      <c r="C975" s="9"/>
      <c r="D975" s="9"/>
    </row>
    <row r="976" spans="1:4" ht="15.75" customHeight="1" x14ac:dyDescent="0.25">
      <c r="A976" s="9"/>
      <c r="B976" s="9"/>
      <c r="C976" s="9"/>
      <c r="D976" s="9"/>
    </row>
    <row r="977" spans="1:4" ht="15.75" customHeight="1" x14ac:dyDescent="0.25">
      <c r="A977" s="9"/>
      <c r="B977" s="9"/>
      <c r="C977" s="9"/>
      <c r="D977" s="9"/>
    </row>
    <row r="978" spans="1:4" ht="15.75" customHeight="1" x14ac:dyDescent="0.25">
      <c r="A978" s="9"/>
      <c r="B978" s="9"/>
      <c r="C978" s="9"/>
      <c r="D978" s="9"/>
    </row>
    <row r="979" spans="1:4" ht="15.75" customHeight="1" x14ac:dyDescent="0.25">
      <c r="A979" s="9"/>
      <c r="B979" s="9"/>
      <c r="C979" s="9"/>
      <c r="D979" s="9"/>
    </row>
    <row r="980" spans="1:4" ht="15.75" customHeight="1" x14ac:dyDescent="0.25">
      <c r="A980" s="9"/>
      <c r="B980" s="9"/>
      <c r="C980" s="9"/>
      <c r="D980" s="9"/>
    </row>
    <row r="981" spans="1:4" ht="15.75" customHeight="1" x14ac:dyDescent="0.25">
      <c r="A981" s="9"/>
      <c r="B981" s="9"/>
      <c r="C981" s="9"/>
      <c r="D981" s="9"/>
    </row>
    <row r="982" spans="1:4" ht="15.75" customHeight="1" x14ac:dyDescent="0.25">
      <c r="A982" s="9"/>
      <c r="B982" s="9"/>
      <c r="C982" s="9"/>
      <c r="D982" s="9"/>
    </row>
    <row r="983" spans="1:4" ht="15.75" customHeight="1" x14ac:dyDescent="0.25">
      <c r="A983" s="9"/>
      <c r="B983" s="9"/>
      <c r="C983" s="9"/>
      <c r="D983" s="9"/>
    </row>
    <row r="984" spans="1:4" ht="15.75" customHeight="1" x14ac:dyDescent="0.25">
      <c r="A984" s="9"/>
      <c r="B984" s="9"/>
      <c r="C984" s="9"/>
      <c r="D984" s="9"/>
    </row>
    <row r="985" spans="1:4" ht="15.75" customHeight="1" x14ac:dyDescent="0.25">
      <c r="A985" s="9"/>
      <c r="B985" s="9"/>
      <c r="C985" s="9"/>
      <c r="D985" s="9"/>
    </row>
    <row r="986" spans="1:4" ht="15.75" customHeight="1" x14ac:dyDescent="0.25">
      <c r="A986" s="9"/>
      <c r="B986" s="9"/>
      <c r="C986" s="9"/>
      <c r="D986" s="9"/>
    </row>
    <row r="987" spans="1:4" ht="15.75" customHeight="1" x14ac:dyDescent="0.25">
      <c r="A987" s="9"/>
      <c r="B987" s="9"/>
      <c r="C987" s="9"/>
      <c r="D987" s="9"/>
    </row>
    <row r="988" spans="1:4" ht="15.75" customHeight="1" x14ac:dyDescent="0.25">
      <c r="A988" s="9"/>
      <c r="B988" s="9"/>
      <c r="C988" s="9"/>
      <c r="D988" s="9"/>
    </row>
    <row r="989" spans="1:4" ht="15.75" customHeight="1" x14ac:dyDescent="0.25">
      <c r="A989" s="9"/>
      <c r="B989" s="9"/>
      <c r="C989" s="9"/>
      <c r="D989" s="9"/>
    </row>
    <row r="990" spans="1:4" ht="15.75" customHeight="1" x14ac:dyDescent="0.25">
      <c r="A990" s="9"/>
      <c r="B990" s="9"/>
      <c r="C990" s="9"/>
      <c r="D990" s="9"/>
    </row>
    <row r="991" spans="1:4" ht="15.75" customHeight="1" x14ac:dyDescent="0.25">
      <c r="A991" s="9"/>
      <c r="B991" s="9"/>
      <c r="C991" s="9"/>
      <c r="D991" s="9"/>
    </row>
    <row r="992" spans="1:4" ht="15.75" customHeight="1" x14ac:dyDescent="0.25">
      <c r="A992" s="9"/>
      <c r="B992" s="9"/>
      <c r="C992" s="9"/>
      <c r="D992" s="9"/>
    </row>
    <row r="993" spans="1:4" ht="15.75" customHeight="1" x14ac:dyDescent="0.25">
      <c r="A993" s="9"/>
      <c r="B993" s="9"/>
      <c r="C993" s="9"/>
      <c r="D993" s="9"/>
    </row>
    <row r="994" spans="1:4" ht="15.75" customHeight="1" x14ac:dyDescent="0.25">
      <c r="A994" s="9"/>
      <c r="B994" s="9"/>
      <c r="C994" s="9"/>
      <c r="D994" s="9"/>
    </row>
    <row r="995" spans="1:4" ht="15.75" customHeight="1" x14ac:dyDescent="0.25">
      <c r="A995" s="9"/>
      <c r="B995" s="9"/>
      <c r="C995" s="9"/>
      <c r="D995" s="9"/>
    </row>
    <row r="996" spans="1:4" ht="15.75" customHeight="1" x14ac:dyDescent="0.25">
      <c r="A996" s="9"/>
      <c r="B996" s="9"/>
      <c r="C996" s="9"/>
      <c r="D996" s="9"/>
    </row>
    <row r="997" spans="1:4" ht="15.75" customHeight="1" x14ac:dyDescent="0.25">
      <c r="A997" s="9"/>
      <c r="B997" s="9"/>
      <c r="C997" s="9"/>
      <c r="D997" s="9"/>
    </row>
    <row r="998" spans="1:4" ht="15.75" customHeight="1" x14ac:dyDescent="0.25">
      <c r="A998" s="9"/>
      <c r="B998" s="9"/>
      <c r="C998" s="9"/>
      <c r="D998" s="9"/>
    </row>
    <row r="999" spans="1:4" ht="15.75" customHeight="1" x14ac:dyDescent="0.25">
      <c r="A999" s="9"/>
      <c r="B999" s="9"/>
      <c r="C999" s="9"/>
      <c r="D999" s="9"/>
    </row>
    <row r="1000" spans="1:4" ht="15.75" customHeight="1" x14ac:dyDescent="0.25">
      <c r="A1000" s="9"/>
      <c r="B1000" s="9"/>
      <c r="C1000" s="9"/>
      <c r="D1000" s="9"/>
    </row>
  </sheetData>
  <conditionalFormatting sqref="B2:B46">
    <cfRule type="cellIs" dxfId="27" priority="1" operator="equal">
      <formula>"Ja"</formula>
    </cfRule>
    <cfRule type="cellIs" dxfId="26" priority="2" operator="equal">
      <formula>"Nein"</formula>
    </cfRule>
    <cfRule type="cellIs" dxfId="25" priority="9" operator="equal">
      <formula>"Ja"</formula>
    </cfRule>
  </conditionalFormatting>
  <conditionalFormatting sqref="C2:C46">
    <cfRule type="cellIs" dxfId="24" priority="10" operator="equal">
      <formula>"Ja"</formula>
    </cfRule>
    <cfRule type="cellIs" dxfId="23" priority="11" operator="equal">
      <formula>"Nein"</formula>
    </cfRule>
    <cfRule type="cellIs" dxfId="22" priority="12" operator="equal">
      <formula>"Ja"</formula>
    </cfRule>
  </conditionalFormatting>
  <conditionalFormatting sqref="D2:D46">
    <cfRule type="cellIs" dxfId="21" priority="3" operator="equal">
      <formula>1</formula>
    </cfRule>
    <cfRule type="cellIs" dxfId="20" priority="4" operator="equal">
      <formula>0.8</formula>
    </cfRule>
    <cfRule type="cellIs" dxfId="19" priority="5" operator="equal">
      <formula>0.6</formula>
    </cfRule>
    <cfRule type="cellIs" dxfId="18" priority="6" operator="equal">
      <formula>0.4</formula>
    </cfRule>
    <cfRule type="cellIs" dxfId="17" priority="7" operator="equal">
      <formula>0.2</formula>
    </cfRule>
    <cfRule type="cellIs" dxfId="16" priority="8" operator="equal">
      <formula>0</formula>
    </cfRule>
  </conditionalFormatting>
  <dataValidations count="2">
    <dataValidation type="list" allowBlank="1" showErrorMessage="1" sqref="B2:C46" xr:uid="{00000000-0002-0000-0300-000000000000}">
      <formula1>"Ja,Nein"</formula1>
    </dataValidation>
    <dataValidation type="list" allowBlank="1" showErrorMessage="1" sqref="D2:D46" xr:uid="{00000000-0002-0000-0300-000001000000}">
      <formula1>"100%,80%,60%,40%,20%,0%"</formula1>
    </dataValidation>
  </dataValidations>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00"/>
  <sheetViews>
    <sheetView workbookViewId="0">
      <selection activeCell="B6" sqref="B6"/>
    </sheetView>
  </sheetViews>
  <sheetFormatPr baseColWidth="10" defaultColWidth="11.25" defaultRowHeight="15" customHeight="1" x14ac:dyDescent="0.25"/>
  <cols>
    <col min="1" max="26" width="10.625" customWidth="1"/>
  </cols>
  <sheetData>
    <row r="1" spans="1:8" ht="15.75" customHeight="1" x14ac:dyDescent="0.4">
      <c r="B1" s="15" t="s">
        <v>40</v>
      </c>
    </row>
    <row r="2" spans="1:8" ht="15.75" customHeight="1" x14ac:dyDescent="0.25"/>
    <row r="3" spans="1:8" ht="15.75" customHeight="1" x14ac:dyDescent="0.25"/>
    <row r="4" spans="1:8" ht="15.75" customHeight="1" x14ac:dyDescent="0.25">
      <c r="B4" s="2" t="s">
        <v>41</v>
      </c>
      <c r="C4" s="2" t="s">
        <v>42</v>
      </c>
      <c r="D4" s="2" t="s">
        <v>43</v>
      </c>
      <c r="E4" s="2" t="s">
        <v>44</v>
      </c>
      <c r="F4" s="2" t="s">
        <v>45</v>
      </c>
      <c r="G4" s="2" t="s">
        <v>46</v>
      </c>
      <c r="H4" s="2" t="s">
        <v>47</v>
      </c>
    </row>
    <row r="5" spans="1:8" ht="15.75" customHeight="1" x14ac:dyDescent="0.25">
      <c r="A5" s="16">
        <v>0.16666666666666666</v>
      </c>
    </row>
    <row r="6" spans="1:8" ht="15.75" customHeight="1" x14ac:dyDescent="0.25">
      <c r="A6" s="16">
        <v>0.1875</v>
      </c>
    </row>
    <row r="7" spans="1:8" ht="15.75" customHeight="1" x14ac:dyDescent="0.25">
      <c r="A7" s="16">
        <v>0.20833333333333301</v>
      </c>
    </row>
    <row r="8" spans="1:8" ht="15.75" customHeight="1" x14ac:dyDescent="0.25">
      <c r="A8" s="16">
        <v>0.22916666666666699</v>
      </c>
    </row>
    <row r="9" spans="1:8" ht="15.75" customHeight="1" x14ac:dyDescent="0.25">
      <c r="A9" s="16">
        <v>0.25</v>
      </c>
    </row>
    <row r="10" spans="1:8" ht="15.75" customHeight="1" x14ac:dyDescent="0.25">
      <c r="A10" s="16">
        <v>0.27083333333333398</v>
      </c>
    </row>
    <row r="11" spans="1:8" ht="15.75" customHeight="1" x14ac:dyDescent="0.25">
      <c r="A11" s="16">
        <v>0.29166666666666702</v>
      </c>
    </row>
    <row r="12" spans="1:8" ht="15.75" customHeight="1" x14ac:dyDescent="0.25">
      <c r="A12" s="16">
        <v>0.3125</v>
      </c>
    </row>
    <row r="13" spans="1:8" ht="15.75" customHeight="1" x14ac:dyDescent="0.25">
      <c r="A13" s="16">
        <v>0.33333333333333398</v>
      </c>
    </row>
    <row r="14" spans="1:8" ht="15.75" customHeight="1" x14ac:dyDescent="0.25">
      <c r="A14" s="16">
        <v>0.35416666666666702</v>
      </c>
    </row>
    <row r="15" spans="1:8" ht="15.75" customHeight="1" x14ac:dyDescent="0.25">
      <c r="A15" s="16">
        <v>0.375</v>
      </c>
    </row>
    <row r="16" spans="1:8" ht="15.75" customHeight="1" x14ac:dyDescent="0.25">
      <c r="A16" s="16">
        <v>0.39583333333333398</v>
      </c>
    </row>
    <row r="17" spans="1:1" ht="15.75" customHeight="1" x14ac:dyDescent="0.25">
      <c r="A17" s="16">
        <v>0.41666666666666702</v>
      </c>
    </row>
    <row r="18" spans="1:1" ht="15.75" customHeight="1" x14ac:dyDescent="0.25">
      <c r="A18" s="16">
        <v>0.4375</v>
      </c>
    </row>
    <row r="19" spans="1:1" ht="15.75" customHeight="1" x14ac:dyDescent="0.25">
      <c r="A19" s="16">
        <v>0.45833333333333398</v>
      </c>
    </row>
    <row r="20" spans="1:1" ht="15.75" customHeight="1" x14ac:dyDescent="0.25">
      <c r="A20" s="16">
        <v>0.47916666666666702</v>
      </c>
    </row>
    <row r="21" spans="1:1" ht="15.75" customHeight="1" x14ac:dyDescent="0.25">
      <c r="A21" s="16">
        <v>0.5</v>
      </c>
    </row>
    <row r="22" spans="1:1" ht="15.75" customHeight="1" x14ac:dyDescent="0.25">
      <c r="A22" s="16">
        <v>0.52083333333333404</v>
      </c>
    </row>
    <row r="23" spans="1:1" ht="15.75" customHeight="1" x14ac:dyDescent="0.25">
      <c r="A23" s="16">
        <v>0.54166666666666696</v>
      </c>
    </row>
    <row r="24" spans="1:1" ht="15.75" customHeight="1" x14ac:dyDescent="0.25">
      <c r="A24" s="16">
        <v>0.5625</v>
      </c>
    </row>
    <row r="25" spans="1:1" ht="15.75" customHeight="1" x14ac:dyDescent="0.25">
      <c r="A25" s="16">
        <v>0.58333333333333404</v>
      </c>
    </row>
    <row r="26" spans="1:1" ht="15.75" customHeight="1" x14ac:dyDescent="0.25">
      <c r="A26" s="16">
        <v>0.60416666666666696</v>
      </c>
    </row>
    <row r="27" spans="1:1" ht="15.75" customHeight="1" x14ac:dyDescent="0.25">
      <c r="A27" s="16">
        <v>0.625000000000001</v>
      </c>
    </row>
    <row r="28" spans="1:1" ht="15.75" customHeight="1" x14ac:dyDescent="0.25">
      <c r="A28" s="16">
        <v>0.64583333333333404</v>
      </c>
    </row>
    <row r="29" spans="1:1" ht="15.75" customHeight="1" x14ac:dyDescent="0.25">
      <c r="A29" s="16">
        <v>0.66666666666666696</v>
      </c>
    </row>
    <row r="30" spans="1:1" ht="15.75" customHeight="1" x14ac:dyDescent="0.25">
      <c r="A30" s="16">
        <v>0.687500000000001</v>
      </c>
    </row>
    <row r="31" spans="1:1" ht="15.75" customHeight="1" x14ac:dyDescent="0.25">
      <c r="A31" s="16">
        <v>0.70833333333333404</v>
      </c>
    </row>
    <row r="32" spans="1:1" ht="15.75" customHeight="1" x14ac:dyDescent="0.25">
      <c r="A32" s="16">
        <v>0.72916666666666696</v>
      </c>
    </row>
    <row r="33" spans="1:1" ht="15.75" customHeight="1" x14ac:dyDescent="0.25">
      <c r="A33" s="16">
        <v>0.750000000000001</v>
      </c>
    </row>
    <row r="34" spans="1:1" ht="15.75" customHeight="1" x14ac:dyDescent="0.25">
      <c r="A34" s="16">
        <v>0.77083333333333404</v>
      </c>
    </row>
    <row r="35" spans="1:1" ht="15.75" customHeight="1" x14ac:dyDescent="0.25">
      <c r="A35" s="16">
        <v>0.79166666666666696</v>
      </c>
    </row>
    <row r="36" spans="1:1" ht="15.75" customHeight="1" x14ac:dyDescent="0.25">
      <c r="A36" s="16">
        <v>0.812500000000001</v>
      </c>
    </row>
    <row r="37" spans="1:1" ht="15.75" customHeight="1" x14ac:dyDescent="0.25">
      <c r="A37" s="16">
        <v>0.83333333333333404</v>
      </c>
    </row>
    <row r="38" spans="1:1" ht="15.75" customHeight="1" x14ac:dyDescent="0.25">
      <c r="A38" s="16">
        <v>0.85416666666666696</v>
      </c>
    </row>
    <row r="39" spans="1:1" ht="15.75" customHeight="1" x14ac:dyDescent="0.25">
      <c r="A39" s="16">
        <v>0.875000000000001</v>
      </c>
    </row>
    <row r="40" spans="1:1" ht="15.75" customHeight="1" x14ac:dyDescent="0.25">
      <c r="A40" s="16">
        <v>0.89583333333333404</v>
      </c>
    </row>
    <row r="41" spans="1:1" ht="15.75" customHeight="1" x14ac:dyDescent="0.25">
      <c r="A41" s="16">
        <v>0.91666666666666696</v>
      </c>
    </row>
    <row r="42" spans="1:1" ht="15.75" customHeight="1" x14ac:dyDescent="0.25">
      <c r="A42" s="16">
        <v>0.937500000000001</v>
      </c>
    </row>
    <row r="43" spans="1:1" ht="15.75" customHeight="1" x14ac:dyDescent="0.25">
      <c r="A43" s="16">
        <v>0.95833333333333404</v>
      </c>
    </row>
    <row r="44" spans="1:1" ht="15.75" customHeight="1" x14ac:dyDescent="0.25">
      <c r="A44" s="16">
        <v>0.97916666666666696</v>
      </c>
    </row>
    <row r="45" spans="1:1" ht="15.75" customHeight="1" x14ac:dyDescent="0.25">
      <c r="A45" s="16">
        <v>1</v>
      </c>
    </row>
    <row r="46" spans="1:1" ht="15.75" customHeight="1" x14ac:dyDescent="0.25">
      <c r="A46" s="16">
        <v>1.0208333333333299</v>
      </c>
    </row>
    <row r="47" spans="1:1" ht="15.75" customHeight="1" x14ac:dyDescent="0.25">
      <c r="A47" s="16">
        <v>1.0416666666666701</v>
      </c>
    </row>
    <row r="48" spans="1:1"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00"/>
  <sheetViews>
    <sheetView workbookViewId="0"/>
  </sheetViews>
  <sheetFormatPr baseColWidth="10" defaultColWidth="11.25" defaultRowHeight="15" customHeight="1" x14ac:dyDescent="0.25"/>
  <cols>
    <col min="1" max="26" width="10.625" customWidth="1"/>
  </cols>
  <sheetData>
    <row r="1" spans="1:8" ht="15.75" customHeight="1" x14ac:dyDescent="0.4">
      <c r="B1" s="15" t="s">
        <v>40</v>
      </c>
    </row>
    <row r="2" spans="1:8" ht="15.75" customHeight="1" x14ac:dyDescent="0.25"/>
    <row r="3" spans="1:8" ht="15.75" customHeight="1" x14ac:dyDescent="0.25"/>
    <row r="4" spans="1:8" ht="15.75" customHeight="1" x14ac:dyDescent="0.25">
      <c r="B4" s="2" t="s">
        <v>41</v>
      </c>
      <c r="C4" s="2" t="s">
        <v>42</v>
      </c>
      <c r="D4" s="2" t="s">
        <v>43</v>
      </c>
      <c r="E4" s="2" t="s">
        <v>44</v>
      </c>
      <c r="F4" s="2" t="s">
        <v>45</v>
      </c>
      <c r="G4" s="2" t="s">
        <v>46</v>
      </c>
      <c r="H4" s="2" t="s">
        <v>47</v>
      </c>
    </row>
    <row r="5" spans="1:8" ht="15.75" customHeight="1" x14ac:dyDescent="0.25">
      <c r="A5" s="16">
        <v>0.16666666666666666</v>
      </c>
    </row>
    <row r="6" spans="1:8" ht="15.75" customHeight="1" x14ac:dyDescent="0.25">
      <c r="A6" s="16">
        <v>0.1875</v>
      </c>
    </row>
    <row r="7" spans="1:8" ht="15.75" customHeight="1" x14ac:dyDescent="0.25">
      <c r="A7" s="16">
        <v>0.20833333333333301</v>
      </c>
    </row>
    <row r="8" spans="1:8" ht="15.75" customHeight="1" x14ac:dyDescent="0.25">
      <c r="A8" s="16">
        <v>0.22916666666666699</v>
      </c>
    </row>
    <row r="9" spans="1:8" ht="15.75" customHeight="1" x14ac:dyDescent="0.25">
      <c r="A9" s="16">
        <v>0.25</v>
      </c>
    </row>
    <row r="10" spans="1:8" ht="15.75" customHeight="1" x14ac:dyDescent="0.25">
      <c r="A10" s="16">
        <v>0.27083333333333398</v>
      </c>
    </row>
    <row r="11" spans="1:8" ht="15.75" customHeight="1" x14ac:dyDescent="0.25">
      <c r="A11" s="16">
        <v>0.29166666666666702</v>
      </c>
    </row>
    <row r="12" spans="1:8" ht="15.75" customHeight="1" x14ac:dyDescent="0.25">
      <c r="A12" s="16">
        <v>0.3125</v>
      </c>
    </row>
    <row r="13" spans="1:8" ht="15.75" customHeight="1" x14ac:dyDescent="0.25">
      <c r="A13" s="16">
        <v>0.33333333333333398</v>
      </c>
    </row>
    <row r="14" spans="1:8" ht="15.75" customHeight="1" x14ac:dyDescent="0.25">
      <c r="A14" s="16">
        <v>0.35416666666666702</v>
      </c>
    </row>
    <row r="15" spans="1:8" ht="15.75" customHeight="1" x14ac:dyDescent="0.25">
      <c r="A15" s="16">
        <v>0.375</v>
      </c>
    </row>
    <row r="16" spans="1:8" ht="15.75" customHeight="1" x14ac:dyDescent="0.25">
      <c r="A16" s="16">
        <v>0.39583333333333398</v>
      </c>
    </row>
    <row r="17" spans="1:1" ht="15.75" customHeight="1" x14ac:dyDescent="0.25">
      <c r="A17" s="16">
        <v>0.41666666666666702</v>
      </c>
    </row>
    <row r="18" spans="1:1" ht="15.75" customHeight="1" x14ac:dyDescent="0.25">
      <c r="A18" s="16">
        <v>0.4375</v>
      </c>
    </row>
    <row r="19" spans="1:1" ht="15.75" customHeight="1" x14ac:dyDescent="0.25">
      <c r="A19" s="16">
        <v>0.45833333333333398</v>
      </c>
    </row>
    <row r="20" spans="1:1" ht="15.75" customHeight="1" x14ac:dyDescent="0.25">
      <c r="A20" s="16">
        <v>0.47916666666666702</v>
      </c>
    </row>
    <row r="21" spans="1:1" ht="15.75" customHeight="1" x14ac:dyDescent="0.25">
      <c r="A21" s="16">
        <v>0.5</v>
      </c>
    </row>
    <row r="22" spans="1:1" ht="15.75" customHeight="1" x14ac:dyDescent="0.25">
      <c r="A22" s="16">
        <v>0.52083333333333404</v>
      </c>
    </row>
    <row r="23" spans="1:1" ht="15.75" customHeight="1" x14ac:dyDescent="0.25">
      <c r="A23" s="16">
        <v>0.54166666666666696</v>
      </c>
    </row>
    <row r="24" spans="1:1" ht="15.75" customHeight="1" x14ac:dyDescent="0.25">
      <c r="A24" s="16">
        <v>0.5625</v>
      </c>
    </row>
    <row r="25" spans="1:1" ht="15.75" customHeight="1" x14ac:dyDescent="0.25">
      <c r="A25" s="16">
        <v>0.58333333333333404</v>
      </c>
    </row>
    <row r="26" spans="1:1" ht="15.75" customHeight="1" x14ac:dyDescent="0.25">
      <c r="A26" s="16">
        <v>0.60416666666666696</v>
      </c>
    </row>
    <row r="27" spans="1:1" ht="15.75" customHeight="1" x14ac:dyDescent="0.25">
      <c r="A27" s="16">
        <v>0.625000000000001</v>
      </c>
    </row>
    <row r="28" spans="1:1" ht="15.75" customHeight="1" x14ac:dyDescent="0.25">
      <c r="A28" s="16">
        <v>0.64583333333333404</v>
      </c>
    </row>
    <row r="29" spans="1:1" ht="15.75" customHeight="1" x14ac:dyDescent="0.25">
      <c r="A29" s="16">
        <v>0.66666666666666696</v>
      </c>
    </row>
    <row r="30" spans="1:1" ht="15.75" customHeight="1" x14ac:dyDescent="0.25">
      <c r="A30" s="16">
        <v>0.687500000000001</v>
      </c>
    </row>
    <row r="31" spans="1:1" ht="15.75" customHeight="1" x14ac:dyDescent="0.25">
      <c r="A31" s="16">
        <v>0.70833333333333404</v>
      </c>
    </row>
    <row r="32" spans="1:1" ht="15.75" customHeight="1" x14ac:dyDescent="0.25">
      <c r="A32" s="16">
        <v>0.72916666666666696</v>
      </c>
    </row>
    <row r="33" spans="1:1" ht="15.75" customHeight="1" x14ac:dyDescent="0.25">
      <c r="A33" s="16">
        <v>0.750000000000001</v>
      </c>
    </row>
    <row r="34" spans="1:1" ht="15.75" customHeight="1" x14ac:dyDescent="0.25">
      <c r="A34" s="16">
        <v>0.77083333333333404</v>
      </c>
    </row>
    <row r="35" spans="1:1" ht="15.75" customHeight="1" x14ac:dyDescent="0.25">
      <c r="A35" s="16">
        <v>0.79166666666666696</v>
      </c>
    </row>
    <row r="36" spans="1:1" ht="15.75" customHeight="1" x14ac:dyDescent="0.25">
      <c r="A36" s="16">
        <v>0.812500000000001</v>
      </c>
    </row>
    <row r="37" spans="1:1" ht="15.75" customHeight="1" x14ac:dyDescent="0.25">
      <c r="A37" s="16">
        <v>0.83333333333333404</v>
      </c>
    </row>
    <row r="38" spans="1:1" ht="15.75" customHeight="1" x14ac:dyDescent="0.25">
      <c r="A38" s="16">
        <v>0.85416666666666696</v>
      </c>
    </row>
    <row r="39" spans="1:1" ht="15.75" customHeight="1" x14ac:dyDescent="0.25">
      <c r="A39" s="16">
        <v>0.875000000000001</v>
      </c>
    </row>
    <row r="40" spans="1:1" ht="15.75" customHeight="1" x14ac:dyDescent="0.25">
      <c r="A40" s="16">
        <v>0.89583333333333404</v>
      </c>
    </row>
    <row r="41" spans="1:1" ht="15.75" customHeight="1" x14ac:dyDescent="0.25">
      <c r="A41" s="16">
        <v>0.91666666666666696</v>
      </c>
    </row>
    <row r="42" spans="1:1" ht="15.75" customHeight="1" x14ac:dyDescent="0.25">
      <c r="A42" s="16">
        <v>0.937500000000001</v>
      </c>
    </row>
    <row r="43" spans="1:1" ht="15.75" customHeight="1" x14ac:dyDescent="0.25">
      <c r="A43" s="16">
        <v>0.95833333333333404</v>
      </c>
    </row>
    <row r="44" spans="1:1" ht="15.75" customHeight="1" x14ac:dyDescent="0.25">
      <c r="A44" s="16">
        <v>0.97916666666666696</v>
      </c>
    </row>
    <row r="45" spans="1:1" ht="15.75" customHeight="1" x14ac:dyDescent="0.25">
      <c r="A45" s="16">
        <v>1</v>
      </c>
    </row>
    <row r="46" spans="1:1" ht="15.75" customHeight="1" x14ac:dyDescent="0.25">
      <c r="A46" s="16">
        <v>1.0208333333333299</v>
      </c>
    </row>
    <row r="47" spans="1:1" ht="15.75" customHeight="1" x14ac:dyDescent="0.25">
      <c r="A47" s="16">
        <v>1.0416666666666701</v>
      </c>
    </row>
    <row r="48" spans="1:1"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Sheet1</vt:lpstr>
      <vt:lpstr>COMMITTMENT</vt:lpstr>
      <vt:lpstr>Wochenplan KW 1</vt:lpstr>
      <vt:lpstr>Wochenplan KW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Niklas Mehrfeld</cp:lastModifiedBy>
  <dcterms:created xsi:type="dcterms:W3CDTF">2020-04-19T13:33:28Z</dcterms:created>
  <dcterms:modified xsi:type="dcterms:W3CDTF">2025-01-05T20:59:51Z</dcterms:modified>
</cp:coreProperties>
</file>