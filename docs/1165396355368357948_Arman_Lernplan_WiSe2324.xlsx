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arman\Documents\Studium\5. FS\"/>
    </mc:Choice>
  </mc:AlternateContent>
  <xr:revisionPtr revIDLastSave="0" documentId="13_ncr:1_{B5C2263F-5723-45DD-8423-1A8FB6E7E7CC}" xr6:coauthVersionLast="36" xr6:coauthVersionMax="36" xr10:uidLastSave="{00000000-0000-0000-0000-000000000000}"/>
  <bookViews>
    <workbookView xWindow="0" yWindow="0" windowWidth="23040" windowHeight="8940" firstSheet="1" activeTab="1" xr2:uid="{50F29292-BE80-0C47-A0D2-DD086CB3D310}"/>
  </bookViews>
  <sheets>
    <sheet name="ANLEITUNG" sheetId="10" r:id="rId1"/>
    <sheet name="Semesterplan" sheetId="7" r:id="rId2"/>
    <sheet name="COMMITTMENT" sheetId="9" r:id="rId3"/>
    <sheet name="Best-Practices" sheetId="2" r:id="rId4"/>
    <sheet name="Stundenplan (4)" sheetId="13" r:id="rId5"/>
    <sheet name="Wochenplan KW 29" sheetId="3"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F49" i="7" l="1"/>
  <c r="CM37" i="7"/>
  <c r="F60" i="7" l="1"/>
  <c r="F47" i="7"/>
  <c r="F35" i="7"/>
  <c r="F26" i="7"/>
  <c r="F14" i="7"/>
  <c r="N37" i="7" l="1"/>
  <c r="DO37" i="7"/>
  <c r="DO28" i="7"/>
  <c r="DO16" i="7"/>
  <c r="DH37" i="7"/>
  <c r="DA28" i="7"/>
  <c r="DH28" i="7"/>
  <c r="DA37" i="7"/>
  <c r="CF38" i="7"/>
  <c r="BY16" i="7"/>
  <c r="BY4" i="7"/>
  <c r="CF28" i="7"/>
  <c r="CF16" i="7"/>
  <c r="BY37" i="7"/>
  <c r="FE49" i="7"/>
  <c r="FE4" i="7"/>
  <c r="EX4" i="7"/>
  <c r="K59" i="7" l="1"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EX49" i="7"/>
  <c r="EQ49" i="7"/>
  <c r="EJ49" i="7"/>
  <c r="EC49" i="7"/>
  <c r="DV49" i="7"/>
  <c r="DO49" i="7"/>
  <c r="DH49" i="7"/>
  <c r="DA49" i="7"/>
  <c r="CT49" i="7"/>
  <c r="CM49" i="7"/>
  <c r="BY49" i="7"/>
  <c r="BR49" i="7"/>
  <c r="BK49" i="7"/>
  <c r="BD49" i="7"/>
  <c r="AW49" i="7"/>
  <c r="AP49" i="7"/>
  <c r="AI49" i="7"/>
  <c r="AB49" i="7"/>
  <c r="U49" i="7"/>
  <c r="N49" i="7"/>
  <c r="G49"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CT37" i="7"/>
  <c r="BR37" i="7"/>
  <c r="BK37" i="7"/>
  <c r="BD37" i="7"/>
  <c r="AW37" i="7"/>
  <c r="AP37" i="7"/>
  <c r="AB37" i="7"/>
  <c r="U37" i="7"/>
  <c r="G37" i="7"/>
  <c r="K34" i="7" a="1"/>
  <c r="K34" i="7" s="1"/>
  <c r="J34" i="7" a="1"/>
  <c r="J34" i="7" s="1"/>
  <c r="I34" i="7"/>
  <c r="K33" i="7" a="1"/>
  <c r="K33" i="7" s="1"/>
  <c r="J33" i="7" a="1"/>
  <c r="J33" i="7" s="1"/>
  <c r="I33" i="7"/>
  <c r="K32" i="7" a="1"/>
  <c r="K32" i="7" s="1"/>
  <c r="J32" i="7" a="1"/>
  <c r="J32" i="7" s="1"/>
  <c r="I32" i="7"/>
  <c r="K31" i="7" a="1"/>
  <c r="K31" i="7" s="1"/>
  <c r="J31" i="7" a="1"/>
  <c r="J31" i="7" s="1"/>
  <c r="I31" i="7"/>
  <c r="K30" i="7" a="1"/>
  <c r="K30" i="7" s="1"/>
  <c r="J30" i="7" a="1"/>
  <c r="J30" i="7" s="1"/>
  <c r="I30" i="7"/>
  <c r="K29" i="7" a="1"/>
  <c r="K29" i="7" s="1"/>
  <c r="J29" i="7" a="1"/>
  <c r="J29" i="7" s="1"/>
  <c r="I29" i="7"/>
  <c r="CT28" i="7"/>
  <c r="CM28" i="7"/>
  <c r="BY28" i="7"/>
  <c r="BR28" i="7"/>
  <c r="BK28" i="7"/>
  <c r="BD28" i="7"/>
  <c r="AW28" i="7"/>
  <c r="AP28" i="7"/>
  <c r="AI28" i="7"/>
  <c r="AB28" i="7"/>
  <c r="U28" i="7"/>
  <c r="N28" i="7"/>
  <c r="G28" i="7"/>
  <c r="K25" i="7" a="1"/>
  <c r="K25" i="7" s="1"/>
  <c r="J25" i="7" a="1"/>
  <c r="J25" i="7" s="1"/>
  <c r="I25" i="7"/>
  <c r="K24" i="7" a="1"/>
  <c r="K24" i="7" s="1"/>
  <c r="J24" i="7" a="1"/>
  <c r="J24" i="7" s="1"/>
  <c r="I24" i="7"/>
  <c r="K23" i="7" a="1"/>
  <c r="K23" i="7" s="1"/>
  <c r="J23" i="7" a="1"/>
  <c r="J23" i="7" s="1"/>
  <c r="I23" i="7"/>
  <c r="K22" i="7" a="1"/>
  <c r="K22" i="7" s="1"/>
  <c r="J22" i="7" a="1"/>
  <c r="J22" i="7" s="1"/>
  <c r="I22" i="7"/>
  <c r="K21" i="7" a="1"/>
  <c r="K21" i="7" s="1"/>
  <c r="J21" i="7" a="1"/>
  <c r="J21" i="7" s="1"/>
  <c r="I21" i="7"/>
  <c r="K20" i="7" a="1"/>
  <c r="K20" i="7" s="1"/>
  <c r="J20" i="7" a="1"/>
  <c r="J20" i="7" s="1"/>
  <c r="I20" i="7"/>
  <c r="K19" i="7" a="1"/>
  <c r="K19" i="7" s="1"/>
  <c r="J19" i="7" a="1"/>
  <c r="J19" i="7" s="1"/>
  <c r="I19" i="7"/>
  <c r="K18" i="7" a="1"/>
  <c r="K18" i="7" s="1"/>
  <c r="J18" i="7" a="1"/>
  <c r="J18" i="7" s="1"/>
  <c r="I18" i="7"/>
  <c r="K17" i="7" a="1"/>
  <c r="K17" i="7" s="1"/>
  <c r="J17" i="7" a="1"/>
  <c r="J17" i="7" s="1"/>
  <c r="I17" i="7"/>
  <c r="DH16" i="7"/>
  <c r="DA16" i="7"/>
  <c r="CT16" i="7"/>
  <c r="CM16" i="7"/>
  <c r="BR16" i="7"/>
  <c r="BK16" i="7"/>
  <c r="BD16" i="7"/>
  <c r="AW16" i="7"/>
  <c r="AP16" i="7"/>
  <c r="AI16" i="7"/>
  <c r="AB16" i="7"/>
  <c r="U16" i="7"/>
  <c r="N16" i="7"/>
  <c r="G16" i="7"/>
  <c r="K13" i="7" a="1"/>
  <c r="K13" i="7" s="1"/>
  <c r="J13" i="7" a="1"/>
  <c r="J13" i="7" s="1"/>
  <c r="I13" i="7"/>
  <c r="K12" i="7" a="1"/>
  <c r="K12" i="7" s="1"/>
  <c r="J12" i="7" a="1"/>
  <c r="J12" i="7" s="1"/>
  <c r="I12" i="7"/>
  <c r="K11" i="7" a="1"/>
  <c r="K11" i="7" s="1"/>
  <c r="J11" i="7" a="1"/>
  <c r="J11" i="7" s="1"/>
  <c r="I11" i="7"/>
  <c r="K10" i="7" a="1"/>
  <c r="K10" i="7" s="1"/>
  <c r="J10" i="7" a="1"/>
  <c r="J10" i="7" s="1"/>
  <c r="I10" i="7"/>
  <c r="K9" i="7" a="1"/>
  <c r="K9" i="7" s="1"/>
  <c r="J9" i="7" a="1"/>
  <c r="J9" i="7" s="1"/>
  <c r="I9" i="7"/>
  <c r="K8" i="7" a="1"/>
  <c r="K8" i="7" s="1"/>
  <c r="J8" i="7" a="1"/>
  <c r="J8" i="7" s="1"/>
  <c r="I8" i="7"/>
  <c r="K7" i="7" a="1"/>
  <c r="K7" i="7" s="1"/>
  <c r="J7" i="7" a="1"/>
  <c r="J7" i="7" s="1"/>
  <c r="I7" i="7"/>
  <c r="K6" i="7" a="1"/>
  <c r="K6" i="7" s="1"/>
  <c r="J6" i="7" a="1"/>
  <c r="J6" i="7" s="1"/>
  <c r="I6" i="7"/>
  <c r="K5" i="7" a="1"/>
  <c r="K5" i="7" s="1"/>
  <c r="J5" i="7" a="1"/>
  <c r="J5" i="7" s="1"/>
  <c r="I5" i="7"/>
  <c r="EQ4" i="7"/>
  <c r="EJ4" i="7"/>
  <c r="EC4" i="7"/>
  <c r="DV4" i="7"/>
  <c r="DO4" i="7"/>
  <c r="DH4" i="7"/>
  <c r="DA4" i="7"/>
  <c r="CT4" i="7"/>
  <c r="CM4" i="7"/>
  <c r="CF4" i="7"/>
  <c r="BR4" i="7"/>
  <c r="BK4" i="7"/>
  <c r="BD4" i="7"/>
  <c r="AW4" i="7"/>
  <c r="AP4" i="7"/>
  <c r="AI4" i="7"/>
  <c r="AB4" i="7"/>
  <c r="U4" i="7"/>
  <c r="N4" i="7"/>
  <c r="G4" i="7"/>
  <c r="BY1" i="7"/>
  <c r="BR1" i="7"/>
  <c r="BK1" i="7"/>
  <c r="BD1" i="7"/>
  <c r="AW1" i="7"/>
  <c r="AI1" i="7"/>
  <c r="AB1" i="7"/>
  <c r="C12" i="10"/>
  <c r="C11" i="10"/>
  <c r="C7" i="10"/>
  <c r="J37" i="7" l="1"/>
  <c r="I37" i="7"/>
  <c r="K37" i="7"/>
  <c r="K49" i="7"/>
  <c r="J49" i="7"/>
  <c r="K28" i="7"/>
  <c r="J28" i="7"/>
  <c r="J4" i="7"/>
  <c r="K4" i="7"/>
  <c r="I28" i="7"/>
  <c r="J16" i="7"/>
  <c r="K16" i="7"/>
  <c r="I4" i="7"/>
  <c r="I16" i="7"/>
  <c r="I49" i="7"/>
  <c r="I1" i="7" l="1"/>
</calcChain>
</file>

<file path=xl/sharedStrings.xml><?xml version="1.0" encoding="utf-8"?>
<sst xmlns="http://schemas.openxmlformats.org/spreadsheetml/2006/main" count="601" uniqueCount="169">
  <si>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</si>
  <si>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</si>
  <si>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</si>
  <si>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</si>
  <si>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</si>
  <si>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</si>
  <si>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</si>
  <si>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</si>
  <si>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</si>
  <si>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</si>
  <si>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</si>
  <si>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</si>
  <si>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</si>
  <si>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</si>
  <si>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</si>
  <si>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</si>
  <si>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</si>
  <si>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</si>
  <si>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</si>
  <si>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</si>
  <si>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</si>
  <si>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</si>
  <si>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</si>
  <si>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</si>
  <si>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</si>
  <si>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</si>
  <si>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</si>
  <si>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</si>
  <si>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</si>
  <si>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</si>
  <si>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</si>
  <si>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</si>
  <si>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</si>
  <si>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</si>
  <si>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</si>
  <si>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</si>
  <si>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</si>
  <si>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</si>
  <si>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</si>
  <si>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</si>
  <si>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</si>
  <si>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</si>
  <si>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</si>
  <si>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</si>
  <si>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</si>
  <si>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</si>
  <si>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</si>
  <si>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</si>
  <si>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</si>
  <si>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</si>
  <si>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</si>
  <si>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</si>
  <si>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</si>
  <si>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</si>
  <si>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</si>
  <si>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</si>
  <si>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</si>
  <si>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</si>
  <si>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</si>
  <si>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</si>
  <si>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</si>
  <si>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</si>
  <si>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</si>
  <si>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</si>
  <si>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</si>
  <si>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</si>
  <si>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</si>
  <si>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</si>
  <si>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</si>
  <si>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</si>
  <si>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</si>
  <si>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</si>
  <si>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</si>
  <si>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</si>
  <si>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</si>
  <si>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</si>
  <si>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</si>
  <si>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</si>
  <si>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</si>
  <si>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</si>
  <si>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</si>
  <si>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</si>
  <si>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</si>
  <si>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</si>
  <si>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</si>
  <si>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</si>
  <si>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Unternehmenssteuern I</t>
  </si>
  <si>
    <t>L=(3*k)/w</t>
  </si>
  <si>
    <t>1) Überblick</t>
  </si>
  <si>
    <t>2) 2.1 - 2.4 Besteuerung natürlicher Personen durch die Einkommensteuer</t>
  </si>
  <si>
    <t>3) 2.5 - 2.8 Besteuerung natürlicher Personen durch die Einkommensteuer</t>
  </si>
  <si>
    <t>4) 3.1 - 3.3 Gewinnermittlung im Rahmen der Ertragsteuerbilanz</t>
  </si>
  <si>
    <t>5) 3.4-3.6 Gewinnermittlung im Rahmen der Ertragsteuerbilanz</t>
  </si>
  <si>
    <t>6) Besteuerung des Grundbesitzes durch die Grundsteuer</t>
  </si>
  <si>
    <t>7) Besteuerung juristischer Personen durch die Körperschaftsteuer</t>
  </si>
  <si>
    <t>8) Besteuerung gewerblicher Erträge durch die Gewerbesteuer</t>
  </si>
  <si>
    <t>9) Umsatzsteuer</t>
  </si>
  <si>
    <t>Arbeiten</t>
  </si>
  <si>
    <t>Interne Unternehmensrechnung</t>
  </si>
  <si>
    <t>Finanzmärkte und Bewertung</t>
  </si>
  <si>
    <t>1. Einführung</t>
  </si>
  <si>
    <t>2. Anleihen</t>
  </si>
  <si>
    <t>3. Forwad und Futures</t>
  </si>
  <si>
    <t>4. Option</t>
  </si>
  <si>
    <t>5. Aktien</t>
  </si>
  <si>
    <t>6. Realinvestitionen</t>
  </si>
  <si>
    <t>KW 43</t>
  </si>
  <si>
    <t>KW 44</t>
  </si>
  <si>
    <t>KW 45</t>
  </si>
  <si>
    <t>KW 46</t>
  </si>
  <si>
    <t>KW 47</t>
  </si>
  <si>
    <t>KW 50</t>
  </si>
  <si>
    <t>KW 51</t>
  </si>
  <si>
    <t>KW 01</t>
  </si>
  <si>
    <t>KW 02</t>
  </si>
  <si>
    <t>KW 03</t>
  </si>
  <si>
    <t>KW 04</t>
  </si>
  <si>
    <t>KW 05</t>
  </si>
  <si>
    <t>KW 06</t>
  </si>
  <si>
    <t>KW 07</t>
  </si>
  <si>
    <t>KW 08</t>
  </si>
  <si>
    <t>1.1 - 1.4 Kosten- und Leistunsgrechnung</t>
  </si>
  <si>
    <t>1.5 - 1.8 Kosten- und Leistunsgrechnung</t>
  </si>
  <si>
    <t>3.  Kalkulation der Leistung</t>
  </si>
  <si>
    <t>2.3 - 2.6 Kalkulation der Kosten</t>
  </si>
  <si>
    <t>2.1 - 2.2 Kalkulation der Kosten</t>
  </si>
  <si>
    <t>4. Kalkulatorische Periodenerfolgsrechnung</t>
  </si>
  <si>
    <t>6. Fallstudie</t>
  </si>
  <si>
    <t>7. Zusammenfassung</t>
  </si>
  <si>
    <t>5. Entwicklungslinien der Kosten- und Leistunsgrechnung</t>
  </si>
  <si>
    <t>1. Offene Güter- und Finanzmärkte</t>
  </si>
  <si>
    <t>2. Der Gutermarkt in einer offenen Volkswirtschaft</t>
  </si>
  <si>
    <t>3. Produktion, Zinssatz und Wechselkurs</t>
  </si>
  <si>
    <t>4. Unterschiedliche Wechselkursregime</t>
  </si>
  <si>
    <t>5. Entscheidungsfreiheit der Politiker beschrnäken?</t>
  </si>
  <si>
    <t>6. Fiskalpolitik - Eine Zusammenfassung</t>
  </si>
  <si>
    <t>7. Geldpolitik – Eine Zusammenfassung</t>
  </si>
  <si>
    <t xml:space="preserve">8. Wachstum: Stilisierte Fakten </t>
  </si>
  <si>
    <t>9. Produktion, Sparen und Kapital</t>
  </si>
  <si>
    <t>10. Wachstum und technischer Fortschritt</t>
  </si>
  <si>
    <t>Makroökonomik II</t>
  </si>
  <si>
    <t>Marketing</t>
  </si>
  <si>
    <t>1. Begriffliche Grundlagen des Marketings</t>
  </si>
  <si>
    <t>2. Marketingeentscheidungen</t>
  </si>
  <si>
    <t>3. Analyse des Käuferverhaltens</t>
  </si>
  <si>
    <t>4. Marktforschung</t>
  </si>
  <si>
    <t>5. Marketingziele und -strategien</t>
  </si>
  <si>
    <t>6. Produkt- und Programmpolitik</t>
  </si>
  <si>
    <t>7. Preispolitik</t>
  </si>
  <si>
    <t>8. Kommunikaitionspolitik</t>
  </si>
  <si>
    <t>9. Distributionspolitik</t>
  </si>
  <si>
    <t>Interne VL</t>
  </si>
  <si>
    <t>FuB</t>
  </si>
  <si>
    <t>Steuern Übung</t>
  </si>
  <si>
    <t xml:space="preserve">Steuern </t>
  </si>
  <si>
    <t xml:space="preserve">Marketing </t>
  </si>
  <si>
    <t>FS</t>
  </si>
  <si>
    <t>Mittag</t>
  </si>
  <si>
    <t xml:space="preserve"> </t>
  </si>
  <si>
    <t>KW 48</t>
  </si>
  <si>
    <t>KW 49</t>
  </si>
  <si>
    <t>KW 09</t>
  </si>
  <si>
    <t>Klausur!!!!!</t>
  </si>
  <si>
    <t>KW 10</t>
  </si>
  <si>
    <t>KW11</t>
  </si>
  <si>
    <t>KW12</t>
  </si>
  <si>
    <t>KW13</t>
  </si>
  <si>
    <t>KLAUSUR!!</t>
  </si>
  <si>
    <t>LevelUp: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</si>
</sst>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
  </numFmts>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11">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A66BD3"/>
        <bgColor indexed="64"/>
      </patternFill>
    </fill>
  </fills>
  <borders count="1">
    <border>
      <left/>
      <right/>
      <top/>
      <bottom/>
      <diagonal/>
    </border>
  </borders>
  <cellStyleXfs count="1">
    <xf numFmtId="0" fontId="0" fillId="0" borderId="0"/>
  </cellStyleXfs>
  <cellXfs count="49">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0" fontId="0" fillId="0" borderId="0" xfId="0" applyBorder="1"/>
    <xf numFmtId="0" fontId="0" fillId="0" borderId="0" xfId="0" applyFill="1" applyBorder="1"/>
    <xf numFmtId="0" fontId="3" fillId="0" borderId="0" xfId="0" applyFont="1" applyFill="1" applyBorder="1"/>
    <xf numFmtId="0" fontId="1" fillId="0" borderId="0" xfId="0" applyFont="1" applyFill="1" applyBorder="1"/>
    <xf numFmtId="0" fontId="1" fillId="0" borderId="0" xfId="0" applyFont="1" applyFill="1" applyBorder="1" applyAlignment="1">
      <alignment horizontal="center"/>
    </xf>
    <xf numFmtId="14" fontId="0" fillId="0" borderId="0" xfId="0" applyNumberFormat="1" applyFill="1" applyBorder="1"/>
    <xf numFmtId="0" fontId="0" fillId="0" borderId="0" xfId="0" applyFill="1" applyBorder="1" applyAlignment="1">
      <alignment horizontal="center"/>
    </xf>
    <xf numFmtId="0" fontId="0" fillId="3" borderId="0" xfId="0" applyFill="1" applyBorder="1"/>
    <xf numFmtId="0" fontId="1" fillId="2" borderId="0" xfId="0" applyFont="1" applyFill="1" applyBorder="1" applyAlignment="1"/>
    <xf numFmtId="0" fontId="1" fillId="2" borderId="0" xfId="0" applyFont="1" applyFill="1" applyBorder="1"/>
    <xf numFmtId="0" fontId="1" fillId="2" borderId="0" xfId="0" applyFont="1" applyFill="1" applyBorder="1" applyAlignment="1">
      <alignment horizontal="center"/>
    </xf>
    <xf numFmtId="9" fontId="0" fillId="0" borderId="0" xfId="0" applyNumberFormat="1" applyBorder="1"/>
    <xf numFmtId="1" fontId="0" fillId="0" borderId="0" xfId="0" applyNumberFormat="1" applyBorder="1" applyAlignment="1">
      <alignment horizontal="center"/>
    </xf>
    <xf numFmtId="9" fontId="0" fillId="0" borderId="0" xfId="0" applyNumberFormat="1" applyBorder="1" applyAlignment="1">
      <alignment horizontal="center"/>
    </xf>
    <xf numFmtId="0" fontId="0" fillId="0" borderId="0" xfId="0" applyBorder="1" applyAlignment="1">
      <alignment horizontal="center"/>
    </xf>
    <xf numFmtId="14" fontId="0" fillId="0" borderId="0" xfId="0" applyNumberFormat="1" applyBorder="1"/>
    <xf numFmtId="0" fontId="0" fillId="0" borderId="0" xfId="0" applyFill="1" applyBorder="1" applyAlignment="1"/>
    <xf numFmtId="20" fontId="0" fillId="0" borderId="0" xfId="0" applyNumberFormat="1" applyFill="1" applyBorder="1"/>
    <xf numFmtId="0" fontId="0" fillId="7" borderId="0" xfId="0" applyFill="1"/>
    <xf numFmtId="0" fontId="0" fillId="8" borderId="0" xfId="0" applyFill="1"/>
    <xf numFmtId="0" fontId="0" fillId="9" borderId="0" xfId="0" applyFill="1"/>
    <xf numFmtId="9" fontId="0" fillId="0" borderId="0" xfId="0" applyNumberFormat="1" applyFill="1" applyBorder="1"/>
    <xf numFmtId="164" fontId="0" fillId="0" borderId="0" xfId="0" applyNumberFormat="1" applyBorder="1" applyAlignment="1">
      <alignment horizontal="center"/>
    </xf>
    <xf numFmtId="2" fontId="0" fillId="0" borderId="0" xfId="0" applyNumberFormat="1" applyBorder="1"/>
    <xf numFmtId="164" fontId="0" fillId="3" borderId="0" xfId="0" applyNumberFormat="1" applyFill="1" applyBorder="1"/>
    <xf numFmtId="164" fontId="0" fillId="0" borderId="0" xfId="0" applyNumberFormat="1" applyBorder="1"/>
    <xf numFmtId="1" fontId="0" fillId="0" borderId="0" xfId="0" applyNumberFormat="1" applyBorder="1"/>
    <xf numFmtId="2" fontId="0" fillId="0" borderId="0" xfId="0" applyNumberFormat="1" applyBorder="1" applyAlignment="1">
      <alignment horizontal="center"/>
    </xf>
    <xf numFmtId="0" fontId="0" fillId="10" borderId="0" xfId="0" applyFill="1"/>
    <xf numFmtId="0" fontId="0" fillId="2" borderId="0" xfId="0" applyFill="1"/>
    <xf numFmtId="1" fontId="0" fillId="3" borderId="0" xfId="0" applyNumberFormat="1" applyFill="1" applyBorder="1"/>
    <xf numFmtId="165" fontId="0" fillId="0" borderId="0" xfId="0" applyNumberFormat="1" applyFill="1" applyBorder="1" applyAlignment="1"/>
    <xf numFmtId="0" fontId="0" fillId="0" borderId="0" xfId="0" applyNumberFormat="1" applyFill="1" applyBorder="1"/>
    <xf numFmtId="0" fontId="1" fillId="2" borderId="0" xfId="0" applyFont="1" applyFill="1" applyBorder="1" applyAlignment="1">
      <alignment horizontal="center"/>
    </xf>
  </cellXfs>
  <cellStyles count="1">
    <cellStyle name="Standard" xfId="0" builtinId="0"/>
  </cellStyles>
  <dxfs count="2467">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E0E0E0"/>
      <color rgb="FFA66BD3"/>
      <color rgb="FF00FF29"/>
      <color rgb="FF56FF5E"/>
      <color rgb="FFC4FF87"/>
      <color rgb="FFFFDE7F"/>
      <color rgb="FFFF755A"/>
      <color rgb="FFFDFF05"/>
      <color rgb="FF10FF07"/>
      <color rgb="FFFF23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180">
  <autoFilter ref="A1:K46" xr:uid="{6E266E34-2786-2747-BCE7-51B74867A564}"/>
  <tableColumns count="11">
    <tableColumn id="1" xr3:uid="{95FD92F7-3DC8-704D-A103-A7EDDAB255AB}" name="Datum" dataDxfId="1179"/>
    <tableColumn id="2" xr3:uid="{F464D510-8166-E740-A343-FB84BDEF877F}" name="Lerneinheiten durchgezogen" dataDxfId="1178"/>
    <tableColumn id="3" xr3:uid="{75F52B08-1A00-0848-BBE6-1EDF7B31B1AD}" name="Tagesplan erstellt" dataDxfId="1177"/>
    <tableColumn id="4" xr3:uid="{E6B18D89-E799-AD48-9DAA-37AEE1D29011}" name="Konzentrationslevel" dataDxfId="117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7" sqref="C7"/>
    </sheetView>
  </sheetViews>
  <sheetFormatPr baseColWidth="10" defaultRowHeight="15.6"/>
  <cols>
    <col min="1" max="1" width="11.796875" customWidth="1"/>
    <col min="2" max="2" width="62.69921875" customWidth="1"/>
  </cols>
  <sheetData>
    <row r="2" spans="1:4">
      <c r="C2" s="14" t="s">
        <v>70</v>
      </c>
    </row>
    <row r="3" spans="1:4">
      <c r="C3" s="13" t="s">
        <v>55</v>
      </c>
    </row>
    <row r="4" spans="1:4">
      <c r="C4" s="12" t="s">
        <v>69</v>
      </c>
    </row>
    <row r="5" spans="1:4">
      <c r="A5" s="3" t="s">
        <v>52</v>
      </c>
      <c r="B5" s="3" t="s">
        <v>53</v>
      </c>
      <c r="C5" s="3" t="s">
        <v>54</v>
      </c>
      <c r="D5" s="3" t="s">
        <v>56</v>
      </c>
    </row>
    <row r="6" spans="1:4">
      <c r="A6" t="s">
        <v>48</v>
      </c>
      <c r="B6" s="14" t="s">
        <v>51</v>
      </c>
      <c r="D6" t="s">
        <v>85</v>
      </c>
    </row>
    <row r="7" spans="1:4">
      <c r="A7" t="s">
        <v>59</v>
      </c>
      <c r="B7" t="s">
        <v>60</v>
      </c>
      <c r="C7" s="12">
        <f>6+8+11+7+10</f>
        <v>42</v>
      </c>
    </row>
    <row r="8" spans="1:4">
      <c r="A8" t="s">
        <v>50</v>
      </c>
      <c r="B8" s="14" t="s">
        <v>49</v>
      </c>
      <c r="C8" s="6"/>
      <c r="D8" t="s">
        <v>73</v>
      </c>
    </row>
    <row r="9" spans="1:4">
      <c r="A9" t="s">
        <v>58</v>
      </c>
      <c r="B9" s="14" t="s">
        <v>71</v>
      </c>
      <c r="D9" t="s">
        <v>74</v>
      </c>
    </row>
    <row r="10" spans="1:4">
      <c r="A10" t="s">
        <v>62</v>
      </c>
      <c r="B10" t="s">
        <v>61</v>
      </c>
      <c r="C10" s="12">
        <v>10.5</v>
      </c>
      <c r="D10" t="s">
        <v>57</v>
      </c>
    </row>
    <row r="11" spans="1:4">
      <c r="A11" t="s">
        <v>63</v>
      </c>
      <c r="B11" t="s">
        <v>65</v>
      </c>
      <c r="C11" s="12">
        <f>42*3</f>
        <v>126</v>
      </c>
      <c r="D11" t="s">
        <v>64</v>
      </c>
    </row>
    <row r="12" spans="1:4">
      <c r="A12" t="s">
        <v>67</v>
      </c>
      <c r="B12" t="s">
        <v>66</v>
      </c>
      <c r="C12" s="13">
        <f>C11/C10</f>
        <v>12</v>
      </c>
    </row>
    <row r="13" spans="1:4">
      <c r="A13" t="s">
        <v>72</v>
      </c>
      <c r="B13" t="s">
        <v>68</v>
      </c>
      <c r="D13" t="s">
        <v>75</v>
      </c>
    </row>
    <row r="14" spans="1:4">
      <c r="A14" t="s">
        <v>76</v>
      </c>
      <c r="B14" t="s">
        <v>77</v>
      </c>
      <c r="D14" t="s">
        <v>78</v>
      </c>
    </row>
    <row r="15" spans="1:4">
      <c r="A15" t="s">
        <v>79</v>
      </c>
      <c r="B15" s="14" t="s">
        <v>80</v>
      </c>
    </row>
    <row r="16" spans="1:4">
      <c r="A16" t="s">
        <v>83</v>
      </c>
      <c r="B16" s="14" t="s">
        <v>81</v>
      </c>
    </row>
    <row r="17" spans="1:2">
      <c r="A17" t="s">
        <v>84</v>
      </c>
      <c r="B17" t="s">
        <v>82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FJ1048558"/>
  <sheetViews>
    <sheetView tabSelected="1" topLeftCell="A18" zoomScale="85" zoomScaleNormal="85" workbookViewId="0">
      <pane xSplit="7" topLeftCell="EY1" activePane="topRight" state="frozen"/>
      <selection activeCell="A2" sqref="A2"/>
      <selection pane="topRight" activeCell="EF39" sqref="EF39"/>
    </sheetView>
  </sheetViews>
  <sheetFormatPr baseColWidth="10" defaultColWidth="8.796875" defaultRowHeight="15.6" outlineLevelRow="1"/>
  <cols>
    <col min="1" max="2" width="8.796875" style="15"/>
    <col min="3" max="3" width="9.5" style="15" bestFit="1" customWidth="1"/>
    <col min="4" max="4" width="13" style="15" bestFit="1" customWidth="1"/>
    <col min="5" max="5" width="4.796875" style="15" bestFit="1" customWidth="1"/>
    <col min="6" max="6" width="41.19921875" style="15" bestFit="1" customWidth="1"/>
    <col min="7" max="7" width="15.5" style="15" bestFit="1" customWidth="1"/>
    <col min="8" max="8" width="2.5" style="15" customWidth="1"/>
    <col min="9" max="9" width="8.796875" style="15"/>
    <col min="10" max="10" width="12.5" style="15" bestFit="1" customWidth="1"/>
    <col min="11" max="11" width="14.796875" style="15" bestFit="1" customWidth="1"/>
    <col min="12" max="12" width="4.796875" style="15" customWidth="1"/>
    <col min="13" max="13" width="2.5" style="15" customWidth="1"/>
    <col min="14" max="14" width="8.796875" style="15"/>
    <col min="15" max="15" width="12.5" style="15" bestFit="1" customWidth="1"/>
    <col min="16" max="16" width="6.296875" style="15" customWidth="1"/>
    <col min="17" max="17" width="14.796875" style="15" bestFit="1" customWidth="1"/>
    <col min="18" max="18" width="6" style="15" customWidth="1"/>
    <col min="19" max="19" width="12.69921875" style="15" bestFit="1" customWidth="1"/>
    <col min="20" max="20" width="2.5" style="15" customWidth="1"/>
    <col min="21" max="21" width="8.796875" style="15"/>
    <col min="22" max="22" width="12.5" style="15" bestFit="1" customWidth="1"/>
    <col min="23" max="23" width="6.296875" style="15" customWidth="1"/>
    <col min="24" max="24" width="14.796875" style="15" bestFit="1" customWidth="1"/>
    <col min="25" max="25" width="6" style="15" customWidth="1"/>
    <col min="26" max="26" width="12.69921875" style="15" bestFit="1" customWidth="1"/>
    <col min="27" max="27" width="2.5" style="15" customWidth="1"/>
    <col min="28" max="28" width="8.796875" style="15"/>
    <col min="29" max="29" width="12.5" style="15" bestFit="1" customWidth="1"/>
    <col min="30" max="30" width="6.296875" style="15" customWidth="1"/>
    <col min="31" max="31" width="14.796875" style="15" bestFit="1" customWidth="1"/>
    <col min="32" max="32" width="6" style="15" customWidth="1"/>
    <col min="33" max="33" width="12.69921875" style="15" bestFit="1" customWidth="1"/>
    <col min="34" max="34" width="2.5" style="15" customWidth="1"/>
    <col min="35" max="35" width="8.796875" style="15"/>
    <col min="36" max="36" width="12.5" style="15" bestFit="1" customWidth="1"/>
    <col min="37" max="37" width="6.296875" style="15" customWidth="1"/>
    <col min="38" max="38" width="14.796875" style="15" bestFit="1" customWidth="1"/>
    <col min="39" max="39" width="6" style="15" customWidth="1"/>
    <col min="40" max="40" width="12.69921875" style="15" bestFit="1" customWidth="1"/>
    <col min="41" max="41" width="2.5" style="15" customWidth="1"/>
    <col min="42" max="42" width="8.796875" style="15"/>
    <col min="43" max="43" width="12.5" style="15" bestFit="1" customWidth="1"/>
    <col min="44" max="44" width="6.296875" style="15" customWidth="1"/>
    <col min="45" max="45" width="14.796875" style="15" bestFit="1" customWidth="1"/>
    <col min="46" max="46" width="6" style="15" customWidth="1"/>
    <col min="47" max="47" width="12.69921875" style="15" bestFit="1" customWidth="1"/>
    <col min="48" max="48" width="2.5" style="15" customWidth="1"/>
    <col min="49" max="49" width="8.796875" style="15"/>
    <col min="50" max="50" width="12.5" style="15" bestFit="1" customWidth="1"/>
    <col min="51" max="51" width="6.296875" style="15" customWidth="1"/>
    <col min="52" max="52" width="14.796875" style="15" bestFit="1" customWidth="1"/>
    <col min="53" max="53" width="6" style="15" customWidth="1"/>
    <col min="54" max="54" width="12.69921875" style="15" bestFit="1" customWidth="1"/>
    <col min="55" max="55" width="2.5" style="15" customWidth="1"/>
    <col min="56" max="56" width="8.796875" style="15"/>
    <col min="57" max="57" width="12.5" style="15" bestFit="1" customWidth="1"/>
    <col min="58" max="58" width="6.296875" style="15" customWidth="1"/>
    <col min="59" max="59" width="14.796875" style="15" bestFit="1" customWidth="1"/>
    <col min="60" max="60" width="6" style="15" customWidth="1"/>
    <col min="61" max="61" width="12.69921875" style="15" bestFit="1" customWidth="1"/>
    <col min="62" max="62" width="2.5" style="15" customWidth="1"/>
    <col min="63" max="63" width="8.796875" style="15"/>
    <col min="64" max="64" width="12.5" style="15" bestFit="1" customWidth="1"/>
    <col min="65" max="65" width="6.296875" style="15" customWidth="1"/>
    <col min="66" max="66" width="14.796875" style="15" bestFit="1" customWidth="1"/>
    <col min="67" max="67" width="6" style="15" customWidth="1"/>
    <col min="68" max="68" width="12.69921875" style="15" bestFit="1" customWidth="1"/>
    <col min="69" max="69" width="2.5" style="15" customWidth="1"/>
    <col min="70" max="70" width="8.796875" style="15"/>
    <col min="71" max="71" width="12.5" style="15" bestFit="1" customWidth="1"/>
    <col min="72" max="72" width="6.296875" style="15" customWidth="1"/>
    <col min="73" max="73" width="14.796875" style="15" bestFit="1" customWidth="1"/>
    <col min="74" max="74" width="6" style="15" customWidth="1"/>
    <col min="75" max="75" width="12.69921875" style="15" bestFit="1" customWidth="1"/>
    <col min="76" max="76" width="2.5" style="15" customWidth="1"/>
    <col min="77" max="77" width="8.796875" style="15"/>
    <col min="78" max="78" width="12.5" style="15" bestFit="1" customWidth="1"/>
    <col min="79" max="79" width="6.296875" style="15" customWidth="1"/>
    <col min="80" max="80" width="14.796875" style="15" bestFit="1" customWidth="1"/>
    <col min="81" max="81" width="6" style="15" customWidth="1"/>
    <col min="82" max="82" width="12.69921875" style="15" bestFit="1" customWidth="1"/>
    <col min="83" max="83" width="2.5" style="15" customWidth="1"/>
    <col min="84" max="84" width="8.796875" style="15"/>
    <col min="85" max="85" width="12.5" style="15" bestFit="1" customWidth="1"/>
    <col min="86" max="86" width="6.296875" style="15" customWidth="1"/>
    <col min="87" max="87" width="14.796875" style="15" bestFit="1" customWidth="1"/>
    <col min="88" max="88" width="6" style="15" customWidth="1"/>
    <col min="89" max="89" width="12.69921875" style="15" bestFit="1" customWidth="1"/>
    <col min="90" max="90" width="2.5" style="15" customWidth="1"/>
    <col min="91" max="91" width="8.796875" style="15"/>
    <col min="92" max="92" width="12.5" style="15" bestFit="1" customWidth="1"/>
    <col min="93" max="93" width="6.296875" style="15" customWidth="1"/>
    <col min="94" max="94" width="14.796875" style="15" bestFit="1" customWidth="1"/>
    <col min="95" max="95" width="6" style="15" customWidth="1"/>
    <col min="96" max="96" width="12.69921875" style="15" bestFit="1" customWidth="1"/>
    <col min="97" max="97" width="2.5" style="15" customWidth="1"/>
    <col min="98" max="98" width="8.796875" style="15"/>
    <col min="99" max="99" width="12.5" style="15" bestFit="1" customWidth="1"/>
    <col min="100" max="100" width="6.296875" style="15" customWidth="1"/>
    <col min="101" max="101" width="14.796875" style="15" bestFit="1" customWidth="1"/>
    <col min="102" max="102" width="6" style="15" customWidth="1"/>
    <col min="103" max="103" width="12.69921875" style="15" bestFit="1" customWidth="1"/>
    <col min="104" max="104" width="2.5" style="15" customWidth="1"/>
    <col min="105" max="105" width="8.796875" style="15"/>
    <col min="106" max="106" width="12.5" style="15" bestFit="1" customWidth="1"/>
    <col min="107" max="107" width="6.296875" style="15" customWidth="1"/>
    <col min="108" max="108" width="14.796875" style="15" bestFit="1" customWidth="1"/>
    <col min="109" max="109" width="6" style="15" customWidth="1"/>
    <col min="110" max="110" width="12.69921875" style="15" bestFit="1" customWidth="1"/>
    <col min="111" max="111" width="3.09765625" style="15" customWidth="1"/>
    <col min="112" max="112" width="8.796875" style="15"/>
    <col min="113" max="113" width="12.5" style="15" bestFit="1" customWidth="1"/>
    <col min="114" max="114" width="6.296875" style="15" customWidth="1"/>
    <col min="115" max="115" width="14.796875" style="15" bestFit="1" customWidth="1"/>
    <col min="116" max="116" width="6" style="15" customWidth="1"/>
    <col min="117" max="117" width="12.69921875" style="15" bestFit="1" customWidth="1"/>
    <col min="118" max="118" width="3.19921875" style="15" customWidth="1"/>
    <col min="119" max="119" width="8.796875" style="15"/>
    <col min="120" max="120" width="12.5" style="15" bestFit="1" customWidth="1"/>
    <col min="121" max="121" width="6.296875" style="15" customWidth="1"/>
    <col min="122" max="122" width="14.796875" style="15" bestFit="1" customWidth="1"/>
    <col min="123" max="123" width="6" style="15" customWidth="1"/>
    <col min="124" max="124" width="12.69921875" style="15" bestFit="1" customWidth="1"/>
    <col min="125" max="125" width="2.69921875" style="15" customWidth="1"/>
    <col min="126" max="126" width="8.796875" style="15"/>
    <col min="127" max="127" width="12.5" style="15" bestFit="1" customWidth="1"/>
    <col min="128" max="128" width="6.296875" style="15" customWidth="1"/>
    <col min="129" max="129" width="14.796875" style="15" bestFit="1" customWidth="1"/>
    <col min="130" max="130" width="6" style="15" customWidth="1"/>
    <col min="131" max="131" width="12.69921875" style="15" bestFit="1" customWidth="1"/>
    <col min="132" max="132" width="2.69921875" style="15" customWidth="1"/>
    <col min="133" max="133" width="8.796875" style="15"/>
    <col min="134" max="134" width="12.5" style="15" bestFit="1" customWidth="1"/>
    <col min="135" max="135" width="6.296875" style="15" customWidth="1"/>
    <col min="136" max="136" width="14.796875" style="15" bestFit="1" customWidth="1"/>
    <col min="137" max="137" width="6" style="15" customWidth="1"/>
    <col min="138" max="138" width="12.69921875" style="15" bestFit="1" customWidth="1"/>
    <col min="139" max="139" width="2.69921875" style="15" customWidth="1"/>
    <col min="140" max="140" width="8.796875" style="15"/>
    <col min="141" max="141" width="12.5" style="15" bestFit="1" customWidth="1"/>
    <col min="142" max="142" width="6.296875" style="15" customWidth="1"/>
    <col min="143" max="143" width="14.796875" style="15" bestFit="1" customWidth="1"/>
    <col min="144" max="144" width="6" style="15" customWidth="1"/>
    <col min="145" max="145" width="12.69921875" style="15" bestFit="1" customWidth="1"/>
    <col min="146" max="147" width="8.796875" style="15"/>
    <col min="148" max="148" width="12.09765625" style="15" bestFit="1" customWidth="1"/>
    <col min="149" max="149" width="8.796875" style="15"/>
    <col min="150" max="150" width="14.3984375" style="15" bestFit="1" customWidth="1"/>
    <col min="151" max="151" width="8.796875" style="15"/>
    <col min="152" max="152" width="12.796875" style="15" bestFit="1" customWidth="1"/>
    <col min="153" max="16384" width="8.796875" style="15"/>
  </cols>
  <sheetData>
    <row r="1" spans="1:166" ht="33.6">
      <c r="A1" s="16"/>
      <c r="B1" s="17" t="s">
        <v>0</v>
      </c>
      <c r="C1" s="16"/>
      <c r="D1" s="17"/>
      <c r="E1" s="31">
        <v>43</v>
      </c>
      <c r="F1" s="46"/>
      <c r="G1" s="22" t="s">
        <v>87</v>
      </c>
      <c r="I1" s="45">
        <f>+SUM(I4+I16+I28+I37)</f>
        <v>0</v>
      </c>
      <c r="J1" s="39"/>
      <c r="K1" s="22"/>
      <c r="L1" s="38"/>
      <c r="U1" s="40"/>
      <c r="AB1" s="40">
        <f>SUM(AB4+AB16+AB28+AB37)</f>
        <v>0</v>
      </c>
      <c r="AI1" s="41">
        <f>+SUM(AI4+AI16+AI28+AI37)</f>
        <v>0</v>
      </c>
      <c r="AP1" s="41"/>
      <c r="AW1" s="41">
        <f>AW4+AW16+AW28+AW37</f>
        <v>0</v>
      </c>
      <c r="BD1" s="41">
        <f>+SUM(BD4+BD16+BD28+BD37)</f>
        <v>0</v>
      </c>
      <c r="BK1" s="41">
        <f>+SUM(BK4+BK16+BK28+BK37)</f>
        <v>0</v>
      </c>
      <c r="BR1" s="41">
        <f>+SUM(BR4+BR16+BR28+BR37)</f>
        <v>0</v>
      </c>
      <c r="BY1" s="41">
        <f>+SUM(BY4+BY16+BY28+BY37)</f>
        <v>0</v>
      </c>
    </row>
    <row r="2" spans="1:166">
      <c r="A2" s="16"/>
      <c r="B2" s="16"/>
      <c r="C2" s="16"/>
      <c r="D2" s="16"/>
      <c r="E2" s="16"/>
      <c r="F2" s="16"/>
      <c r="I2" s="23" t="s">
        <v>27</v>
      </c>
      <c r="J2" s="23"/>
      <c r="K2" s="23"/>
      <c r="L2" s="23"/>
      <c r="N2" s="48" t="s">
        <v>106</v>
      </c>
      <c r="O2" s="48"/>
      <c r="P2" s="48"/>
      <c r="Q2" s="48"/>
      <c r="R2" s="48"/>
      <c r="S2" s="48"/>
      <c r="U2" s="48" t="s">
        <v>107</v>
      </c>
      <c r="V2" s="48"/>
      <c r="W2" s="48"/>
      <c r="X2" s="48"/>
      <c r="Y2" s="48"/>
      <c r="Z2" s="48"/>
      <c r="AB2" s="48" t="s">
        <v>108</v>
      </c>
      <c r="AC2" s="48"/>
      <c r="AD2" s="48"/>
      <c r="AE2" s="48"/>
      <c r="AF2" s="48"/>
      <c r="AG2" s="48"/>
      <c r="AI2" s="48" t="s">
        <v>109</v>
      </c>
      <c r="AJ2" s="48"/>
      <c r="AK2" s="48"/>
      <c r="AL2" s="48"/>
      <c r="AM2" s="48"/>
      <c r="AN2" s="48"/>
      <c r="AP2" s="48" t="s">
        <v>110</v>
      </c>
      <c r="AQ2" s="48"/>
      <c r="AR2" s="48"/>
      <c r="AS2" s="48"/>
      <c r="AT2" s="48"/>
      <c r="AU2" s="48"/>
      <c r="AW2" s="48" t="s">
        <v>159</v>
      </c>
      <c r="AX2" s="48"/>
      <c r="AY2" s="48"/>
      <c r="AZ2" s="48"/>
      <c r="BA2" s="48"/>
      <c r="BB2" s="48"/>
      <c r="BD2" s="48" t="s">
        <v>160</v>
      </c>
      <c r="BE2" s="48"/>
      <c r="BF2" s="48"/>
      <c r="BG2" s="48"/>
      <c r="BH2" s="48"/>
      <c r="BI2" s="48"/>
      <c r="BK2" s="48" t="s">
        <v>111</v>
      </c>
      <c r="BL2" s="48"/>
      <c r="BM2" s="48"/>
      <c r="BN2" s="48"/>
      <c r="BO2" s="48"/>
      <c r="BP2" s="48"/>
      <c r="BR2" s="48" t="s">
        <v>112</v>
      </c>
      <c r="BS2" s="48"/>
      <c r="BT2" s="48"/>
      <c r="BU2" s="48"/>
      <c r="BV2" s="48"/>
      <c r="BW2" s="48"/>
      <c r="BY2" s="48" t="s">
        <v>113</v>
      </c>
      <c r="BZ2" s="48"/>
      <c r="CA2" s="48"/>
      <c r="CB2" s="48"/>
      <c r="CC2" s="48"/>
      <c r="CD2" s="48"/>
      <c r="CF2" s="48" t="s">
        <v>114</v>
      </c>
      <c r="CG2" s="48"/>
      <c r="CH2" s="48"/>
      <c r="CI2" s="48"/>
      <c r="CJ2" s="48"/>
      <c r="CK2" s="48"/>
      <c r="CM2" s="48" t="s">
        <v>115</v>
      </c>
      <c r="CN2" s="48"/>
      <c r="CO2" s="48"/>
      <c r="CP2" s="48"/>
      <c r="CQ2" s="48"/>
      <c r="CR2" s="48"/>
      <c r="CT2" s="48" t="s">
        <v>116</v>
      </c>
      <c r="CU2" s="48"/>
      <c r="CV2" s="48"/>
      <c r="CW2" s="48"/>
      <c r="CX2" s="48"/>
      <c r="CY2" s="48"/>
      <c r="DA2" s="48" t="s">
        <v>117</v>
      </c>
      <c r="DB2" s="48"/>
      <c r="DC2" s="48"/>
      <c r="DD2" s="48"/>
      <c r="DE2" s="48"/>
      <c r="DF2" s="48"/>
      <c r="DH2" s="48" t="s">
        <v>118</v>
      </c>
      <c r="DI2" s="48"/>
      <c r="DJ2" s="48"/>
      <c r="DK2" s="48"/>
      <c r="DL2" s="48"/>
      <c r="DM2" s="48"/>
      <c r="DO2" s="48" t="s">
        <v>119</v>
      </c>
      <c r="DP2" s="48"/>
      <c r="DQ2" s="48"/>
      <c r="DR2" s="48"/>
      <c r="DS2" s="48"/>
      <c r="DT2" s="48"/>
      <c r="DV2" s="48" t="s">
        <v>120</v>
      </c>
      <c r="DW2" s="48"/>
      <c r="DX2" s="48"/>
      <c r="DY2" s="48"/>
      <c r="DZ2" s="48"/>
      <c r="EA2" s="48"/>
      <c r="EC2" s="48" t="s">
        <v>161</v>
      </c>
      <c r="ED2" s="48"/>
      <c r="EE2" s="48"/>
      <c r="EF2" s="48"/>
      <c r="EG2" s="48"/>
      <c r="EH2" s="48"/>
      <c r="EJ2" s="48" t="s">
        <v>163</v>
      </c>
      <c r="EK2" s="48"/>
      <c r="EL2" s="48"/>
      <c r="EM2" s="48"/>
      <c r="EN2" s="48"/>
      <c r="EO2" s="48"/>
      <c r="EQ2" s="48" t="s">
        <v>164</v>
      </c>
      <c r="ER2" s="48"/>
      <c r="ES2" s="48"/>
      <c r="ET2" s="48"/>
      <c r="EU2" s="48"/>
      <c r="EV2" s="48"/>
      <c r="EX2" s="48" t="s">
        <v>165</v>
      </c>
      <c r="EY2" s="48"/>
      <c r="EZ2" s="48"/>
      <c r="FA2" s="48"/>
      <c r="FB2" s="48"/>
      <c r="FC2" s="48"/>
      <c r="FE2" s="48" t="s">
        <v>166</v>
      </c>
      <c r="FF2" s="48"/>
      <c r="FG2" s="48"/>
      <c r="FH2" s="48"/>
      <c r="FI2" s="48"/>
      <c r="FJ2" s="48"/>
    </row>
    <row r="3" spans="1:166">
      <c r="A3" s="16"/>
      <c r="B3" s="18" t="s">
        <v>26</v>
      </c>
      <c r="C3" s="18" t="s">
        <v>1</v>
      </c>
      <c r="D3" s="18" t="s">
        <v>24</v>
      </c>
      <c r="E3" s="19" t="s">
        <v>30</v>
      </c>
      <c r="F3" s="18" t="s">
        <v>29</v>
      </c>
      <c r="G3" s="24" t="s">
        <v>31</v>
      </c>
      <c r="I3" s="25" t="s">
        <v>11</v>
      </c>
      <c r="J3" s="25" t="s">
        <v>2</v>
      </c>
      <c r="K3" s="25" t="s">
        <v>3</v>
      </c>
      <c r="L3" s="25" t="s">
        <v>12</v>
      </c>
      <c r="N3" s="24" t="s">
        <v>11</v>
      </c>
      <c r="O3" s="24" t="s">
        <v>2</v>
      </c>
      <c r="P3" s="24" t="s">
        <v>32</v>
      </c>
      <c r="Q3" s="24" t="s">
        <v>3</v>
      </c>
      <c r="R3" s="24" t="s">
        <v>32</v>
      </c>
      <c r="S3" s="24" t="s">
        <v>12</v>
      </c>
      <c r="U3" s="24" t="s">
        <v>11</v>
      </c>
      <c r="V3" s="24" t="s">
        <v>2</v>
      </c>
      <c r="W3" s="24" t="s">
        <v>32</v>
      </c>
      <c r="X3" s="24" t="s">
        <v>3</v>
      </c>
      <c r="Y3" s="24" t="s">
        <v>32</v>
      </c>
      <c r="Z3" s="24" t="s">
        <v>12</v>
      </c>
      <c r="AB3" s="24" t="s">
        <v>11</v>
      </c>
      <c r="AC3" s="24" t="s">
        <v>2</v>
      </c>
      <c r="AD3" s="24" t="s">
        <v>32</v>
      </c>
      <c r="AE3" s="24" t="s">
        <v>3</v>
      </c>
      <c r="AF3" s="24" t="s">
        <v>32</v>
      </c>
      <c r="AG3" s="24" t="s">
        <v>12</v>
      </c>
      <c r="AI3" s="24" t="s">
        <v>11</v>
      </c>
      <c r="AJ3" s="24" t="s">
        <v>2</v>
      </c>
      <c r="AK3" s="24" t="s">
        <v>32</v>
      </c>
      <c r="AL3" s="24" t="s">
        <v>3</v>
      </c>
      <c r="AM3" s="24" t="s">
        <v>32</v>
      </c>
      <c r="AN3" s="24" t="s">
        <v>12</v>
      </c>
      <c r="AP3" s="24" t="s">
        <v>11</v>
      </c>
      <c r="AQ3" s="24" t="s">
        <v>2</v>
      </c>
      <c r="AR3" s="24" t="s">
        <v>32</v>
      </c>
      <c r="AS3" s="24" t="s">
        <v>3</v>
      </c>
      <c r="AT3" s="24" t="s">
        <v>32</v>
      </c>
      <c r="AU3" s="24" t="s">
        <v>12</v>
      </c>
      <c r="AW3" s="24" t="s">
        <v>11</v>
      </c>
      <c r="AX3" s="24" t="s">
        <v>2</v>
      </c>
      <c r="AY3" s="24" t="s">
        <v>32</v>
      </c>
      <c r="AZ3" s="24" t="s">
        <v>3</v>
      </c>
      <c r="BA3" s="24" t="s">
        <v>32</v>
      </c>
      <c r="BB3" s="24" t="s">
        <v>12</v>
      </c>
      <c r="BD3" s="24" t="s">
        <v>11</v>
      </c>
      <c r="BE3" s="24" t="s">
        <v>2</v>
      </c>
      <c r="BF3" s="24" t="s">
        <v>32</v>
      </c>
      <c r="BG3" s="24" t="s">
        <v>3</v>
      </c>
      <c r="BH3" s="24" t="s">
        <v>32</v>
      </c>
      <c r="BI3" s="24" t="s">
        <v>12</v>
      </c>
      <c r="BK3" s="24" t="s">
        <v>11</v>
      </c>
      <c r="BL3" s="24" t="s">
        <v>2</v>
      </c>
      <c r="BM3" s="24" t="s">
        <v>32</v>
      </c>
      <c r="BN3" s="24" t="s">
        <v>3</v>
      </c>
      <c r="BO3" s="24" t="s">
        <v>32</v>
      </c>
      <c r="BP3" s="24" t="s">
        <v>12</v>
      </c>
      <c r="BR3" s="24" t="s">
        <v>11</v>
      </c>
      <c r="BS3" s="24" t="s">
        <v>2</v>
      </c>
      <c r="BT3" s="24" t="s">
        <v>32</v>
      </c>
      <c r="BU3" s="24" t="s">
        <v>3</v>
      </c>
      <c r="BV3" s="24" t="s">
        <v>32</v>
      </c>
      <c r="BW3" s="24" t="s">
        <v>12</v>
      </c>
      <c r="BY3" s="24" t="s">
        <v>11</v>
      </c>
      <c r="BZ3" s="24" t="s">
        <v>2</v>
      </c>
      <c r="CA3" s="24" t="s">
        <v>32</v>
      </c>
      <c r="CB3" s="24" t="s">
        <v>3</v>
      </c>
      <c r="CC3" s="24" t="s">
        <v>32</v>
      </c>
      <c r="CD3" s="24" t="s">
        <v>12</v>
      </c>
      <c r="CF3" s="24" t="s">
        <v>11</v>
      </c>
      <c r="CG3" s="24" t="s">
        <v>2</v>
      </c>
      <c r="CH3" s="24" t="s">
        <v>32</v>
      </c>
      <c r="CI3" s="24" t="s">
        <v>3</v>
      </c>
      <c r="CJ3" s="24" t="s">
        <v>32</v>
      </c>
      <c r="CK3" s="24" t="s">
        <v>12</v>
      </c>
      <c r="CM3" s="24" t="s">
        <v>11</v>
      </c>
      <c r="CN3" s="24" t="s">
        <v>2</v>
      </c>
      <c r="CO3" s="24" t="s">
        <v>32</v>
      </c>
      <c r="CP3" s="24" t="s">
        <v>3</v>
      </c>
      <c r="CQ3" s="24" t="s">
        <v>32</v>
      </c>
      <c r="CR3" s="24" t="s">
        <v>12</v>
      </c>
      <c r="CT3" s="24" t="s">
        <v>11</v>
      </c>
      <c r="CU3" s="24" t="s">
        <v>2</v>
      </c>
      <c r="CV3" s="24" t="s">
        <v>32</v>
      </c>
      <c r="CW3" s="24" t="s">
        <v>3</v>
      </c>
      <c r="CX3" s="24" t="s">
        <v>32</v>
      </c>
      <c r="CY3" s="24" t="s">
        <v>12</v>
      </c>
      <c r="DA3" s="24" t="s">
        <v>11</v>
      </c>
      <c r="DB3" s="24" t="s">
        <v>2</v>
      </c>
      <c r="DC3" s="24" t="s">
        <v>32</v>
      </c>
      <c r="DD3" s="24" t="s">
        <v>3</v>
      </c>
      <c r="DE3" s="24" t="s">
        <v>32</v>
      </c>
      <c r="DF3" s="24" t="s">
        <v>12</v>
      </c>
      <c r="DH3" s="24" t="s">
        <v>11</v>
      </c>
      <c r="DI3" s="24" t="s">
        <v>2</v>
      </c>
      <c r="DJ3" s="24" t="s">
        <v>32</v>
      </c>
      <c r="DK3" s="24" t="s">
        <v>3</v>
      </c>
      <c r="DL3" s="24" t="s">
        <v>32</v>
      </c>
      <c r="DM3" s="24" t="s">
        <v>12</v>
      </c>
      <c r="DO3" s="24" t="s">
        <v>11</v>
      </c>
      <c r="DP3" s="24" t="s">
        <v>2</v>
      </c>
      <c r="DQ3" s="24" t="s">
        <v>32</v>
      </c>
      <c r="DR3" s="24" t="s">
        <v>3</v>
      </c>
      <c r="DS3" s="24" t="s">
        <v>32</v>
      </c>
      <c r="DT3" s="24" t="s">
        <v>12</v>
      </c>
      <c r="DV3" s="24" t="s">
        <v>11</v>
      </c>
      <c r="DW3" s="24" t="s">
        <v>2</v>
      </c>
      <c r="DX3" s="24" t="s">
        <v>32</v>
      </c>
      <c r="DY3" s="24" t="s">
        <v>3</v>
      </c>
      <c r="DZ3" s="24" t="s">
        <v>32</v>
      </c>
      <c r="EA3" s="24" t="s">
        <v>12</v>
      </c>
      <c r="EC3" s="24" t="s">
        <v>11</v>
      </c>
      <c r="ED3" s="24" t="s">
        <v>2</v>
      </c>
      <c r="EE3" s="24" t="s">
        <v>32</v>
      </c>
      <c r="EF3" s="24" t="s">
        <v>3</v>
      </c>
      <c r="EG3" s="24" t="s">
        <v>32</v>
      </c>
      <c r="EH3" s="24" t="s">
        <v>12</v>
      </c>
      <c r="EJ3" s="24" t="s">
        <v>11</v>
      </c>
      <c r="EK3" s="24" t="s">
        <v>2</v>
      </c>
      <c r="EL3" s="24" t="s">
        <v>32</v>
      </c>
      <c r="EM3" s="24" t="s">
        <v>3</v>
      </c>
      <c r="EN3" s="24" t="s">
        <v>32</v>
      </c>
      <c r="EO3" s="24" t="s">
        <v>12</v>
      </c>
      <c r="EQ3" s="24" t="s">
        <v>11</v>
      </c>
      <c r="ER3" s="24" t="s">
        <v>2</v>
      </c>
      <c r="ES3" s="24" t="s">
        <v>32</v>
      </c>
      <c r="ET3" s="24" t="s">
        <v>3</v>
      </c>
      <c r="EU3" s="24" t="s">
        <v>32</v>
      </c>
      <c r="EV3" s="24" t="s">
        <v>12</v>
      </c>
      <c r="EX3" s="24" t="s">
        <v>11</v>
      </c>
      <c r="EY3" s="24" t="s">
        <v>2</v>
      </c>
      <c r="EZ3" s="24" t="s">
        <v>32</v>
      </c>
      <c r="FA3" s="24" t="s">
        <v>3</v>
      </c>
      <c r="FB3" s="24" t="s">
        <v>32</v>
      </c>
      <c r="FC3" s="24" t="s">
        <v>12</v>
      </c>
      <c r="FE3" s="24" t="s">
        <v>11</v>
      </c>
      <c r="FF3" s="24" t="s">
        <v>2</v>
      </c>
      <c r="FG3" s="24" t="s">
        <v>32</v>
      </c>
      <c r="FH3" s="24" t="s">
        <v>3</v>
      </c>
      <c r="FI3" s="24" t="s">
        <v>32</v>
      </c>
      <c r="FJ3" s="24" t="s">
        <v>12</v>
      </c>
    </row>
    <row r="4" spans="1:166">
      <c r="A4" s="16"/>
      <c r="B4" s="16" t="s">
        <v>27</v>
      </c>
      <c r="C4" s="16" t="s">
        <v>98</v>
      </c>
      <c r="D4" s="20">
        <v>45337</v>
      </c>
      <c r="E4" s="21">
        <v>6</v>
      </c>
      <c r="F4" s="16"/>
      <c r="G4" s="26">
        <f>+SUM(G5:G13)</f>
        <v>0</v>
      </c>
      <c r="I4" s="27">
        <f>+SUM(I5:I13)</f>
        <v>0</v>
      </c>
      <c r="J4" s="28">
        <f>+SUMPRODUCT(G5:G13,J5:J13)</f>
        <v>0</v>
      </c>
      <c r="K4" s="28">
        <f>+SUMPRODUCT(G5:G13,K5:K13)</f>
        <v>0</v>
      </c>
      <c r="L4" s="29"/>
      <c r="N4" s="37">
        <f>+SUM(N5:N13)</f>
        <v>0</v>
      </c>
      <c r="U4" s="27">
        <f>+SUM(U5:U13)</f>
        <v>0</v>
      </c>
      <c r="AB4" s="27">
        <f>+SUM(AB5:AB13)</f>
        <v>0</v>
      </c>
      <c r="AI4" s="42">
        <f>+SUM(AI5:AI13)</f>
        <v>0</v>
      </c>
      <c r="AP4" s="27">
        <f>+SUM(AP5:AP13)</f>
        <v>0</v>
      </c>
      <c r="AW4" s="27">
        <f>+SUM(AW5:AW13)</f>
        <v>0</v>
      </c>
      <c r="BD4" s="27">
        <f>+SUM(BD5:BD13)</f>
        <v>0</v>
      </c>
      <c r="BK4" s="27">
        <f>+SUM(BK5:BK13)</f>
        <v>0</v>
      </c>
      <c r="BR4" s="27">
        <f>+SUM(BR5:BR13)</f>
        <v>0</v>
      </c>
      <c r="BY4" s="27">
        <f>+SUM(BY5:BY13)</f>
        <v>0</v>
      </c>
      <c r="CF4" s="27">
        <f>+SUM(CF5:CF13)</f>
        <v>0</v>
      </c>
      <c r="CM4" s="27">
        <f>+SUM(CM5:CM13)</f>
        <v>0</v>
      </c>
      <c r="CT4" s="27">
        <f>+SUM(CT5:CT13)</f>
        <v>0</v>
      </c>
      <c r="DA4" s="27">
        <f>+SUM(DA5:DA13)</f>
        <v>0</v>
      </c>
      <c r="DH4" s="27">
        <f>+SUM(DH5:DH13)</f>
        <v>0</v>
      </c>
      <c r="DO4" s="27">
        <f>+SUM(DO5:DO13)</f>
        <v>0</v>
      </c>
      <c r="DV4" s="27">
        <f>+SUM(DV5:DV13)</f>
        <v>0</v>
      </c>
      <c r="EC4" s="27">
        <f>+SUM(EC5:EC13)</f>
        <v>0</v>
      </c>
      <c r="EJ4" s="27">
        <f>+SUM(EJ5:EJ13)</f>
        <v>0</v>
      </c>
      <c r="EQ4" s="27">
        <f>+SUM(EQ5:EQ13)</f>
        <v>0</v>
      </c>
      <c r="EX4" s="27">
        <f>+SUM(EX5:EX13)</f>
        <v>0</v>
      </c>
      <c r="FE4" s="27">
        <f>+SUM(FE5:FE13)</f>
        <v>0</v>
      </c>
    </row>
    <row r="5" spans="1:166" outlineLevel="1">
      <c r="A5" s="16"/>
      <c r="B5" s="16" t="s">
        <v>28</v>
      </c>
      <c r="C5" s="16" t="s">
        <v>98</v>
      </c>
      <c r="D5" s="16"/>
      <c r="E5" s="21"/>
      <c r="F5" s="32" t="s">
        <v>121</v>
      </c>
      <c r="G5" s="26">
        <v>0</v>
      </c>
      <c r="I5" s="29">
        <f t="shared" ref="I5:I13" si="0">+SUMIF($N$3:$AAA$3,I$3,$N5:$AAA5)</f>
        <v>0</v>
      </c>
      <c r="J5" s="28">
        <f t="array" ref="J5">MAX(IF($N$3:$EH$3=$J$3,N5:EH5))</f>
        <v>0</v>
      </c>
      <c r="K5" s="28">
        <f t="array" ref="K5">MAX(IF($N$3:$EH$3=$J$3,N5:EH5))</f>
        <v>0</v>
      </c>
      <c r="L5" s="29"/>
      <c r="O5" s="26"/>
      <c r="P5" s="26">
        <v>0.5</v>
      </c>
      <c r="Q5" s="26"/>
      <c r="R5" s="26">
        <v>0.5</v>
      </c>
      <c r="V5" s="26"/>
      <c r="W5" s="26">
        <v>0.5</v>
      </c>
      <c r="X5" s="26"/>
      <c r="Y5" s="26">
        <v>0.5</v>
      </c>
      <c r="AC5" s="26"/>
      <c r="AD5" s="26">
        <v>0.8</v>
      </c>
      <c r="AE5" s="26"/>
      <c r="AF5" s="26">
        <v>0.8</v>
      </c>
      <c r="AJ5" s="26"/>
      <c r="AK5" s="26">
        <v>0.8</v>
      </c>
      <c r="AL5" s="26"/>
      <c r="AM5" s="26">
        <v>0.8</v>
      </c>
      <c r="AQ5" s="26"/>
      <c r="AR5" s="26">
        <v>0.8</v>
      </c>
      <c r="AS5" s="26"/>
      <c r="AT5" s="26">
        <v>0.8</v>
      </c>
      <c r="AX5" s="26"/>
      <c r="AY5" s="26">
        <v>0.8</v>
      </c>
      <c r="AZ5" s="26"/>
      <c r="BA5" s="26">
        <v>0.8</v>
      </c>
      <c r="BE5" s="26"/>
      <c r="BF5" s="26">
        <v>0.8</v>
      </c>
      <c r="BG5" s="26"/>
      <c r="BH5" s="26">
        <v>0.8</v>
      </c>
      <c r="BL5" s="26"/>
      <c r="BM5" s="26">
        <v>1</v>
      </c>
      <c r="BN5" s="26"/>
      <c r="BO5" s="26">
        <v>1</v>
      </c>
      <c r="BS5" s="26"/>
      <c r="BT5" s="26">
        <v>1</v>
      </c>
      <c r="BU5" s="26"/>
      <c r="BV5" s="26">
        <v>1</v>
      </c>
      <c r="BZ5" s="26"/>
      <c r="CA5" s="26">
        <v>1</v>
      </c>
      <c r="CB5" s="26"/>
      <c r="CC5" s="26">
        <v>1</v>
      </c>
      <c r="CG5" s="26"/>
      <c r="CH5" s="26">
        <v>1</v>
      </c>
      <c r="CI5" s="26"/>
      <c r="CJ5" s="26">
        <v>1</v>
      </c>
      <c r="CN5" s="26"/>
      <c r="CO5" s="26">
        <v>1</v>
      </c>
      <c r="CP5" s="26"/>
      <c r="CQ5" s="26">
        <v>1</v>
      </c>
      <c r="CU5" s="26"/>
      <c r="CV5" s="26">
        <v>1</v>
      </c>
      <c r="CW5" s="26"/>
      <c r="CX5" s="26">
        <v>1</v>
      </c>
      <c r="CY5" s="26">
        <v>1</v>
      </c>
      <c r="DB5" s="26"/>
      <c r="DC5" s="26">
        <v>1</v>
      </c>
      <c r="DD5" s="26"/>
      <c r="DE5" s="26">
        <v>1</v>
      </c>
      <c r="DI5" s="26"/>
      <c r="DJ5" s="26">
        <v>1</v>
      </c>
      <c r="DK5" s="26"/>
      <c r="DL5" s="26">
        <v>1</v>
      </c>
      <c r="DP5" s="26"/>
      <c r="DQ5" s="26">
        <v>1</v>
      </c>
      <c r="DR5" s="26"/>
      <c r="DS5" s="26">
        <v>1</v>
      </c>
      <c r="DT5" s="15" t="s">
        <v>162</v>
      </c>
      <c r="DW5" s="26"/>
      <c r="DX5" s="26">
        <v>1</v>
      </c>
      <c r="DY5" s="26"/>
      <c r="DZ5" s="26">
        <v>1</v>
      </c>
      <c r="ED5" s="26"/>
      <c r="EE5" s="26">
        <v>1</v>
      </c>
      <c r="EF5" s="26"/>
      <c r="EG5" s="26">
        <v>1</v>
      </c>
      <c r="EK5" s="26"/>
      <c r="EL5" s="26">
        <v>1</v>
      </c>
      <c r="EM5" s="26"/>
      <c r="EN5" s="26">
        <v>1</v>
      </c>
      <c r="ER5" s="26"/>
      <c r="ES5" s="26">
        <v>1</v>
      </c>
      <c r="ET5" s="26"/>
      <c r="EU5" s="26">
        <v>1</v>
      </c>
      <c r="EY5" s="26"/>
      <c r="EZ5" s="26">
        <v>1</v>
      </c>
      <c r="FA5" s="26"/>
      <c r="FB5" s="26">
        <v>1</v>
      </c>
      <c r="FF5" s="26"/>
      <c r="FG5" s="26">
        <v>1</v>
      </c>
      <c r="FH5" s="26"/>
      <c r="FI5" s="26">
        <v>1</v>
      </c>
    </row>
    <row r="6" spans="1:166" outlineLevel="1">
      <c r="A6" s="16"/>
      <c r="B6" s="16" t="s">
        <v>28</v>
      </c>
      <c r="C6" s="16" t="s">
        <v>98</v>
      </c>
      <c r="D6" s="16"/>
      <c r="E6" s="21"/>
      <c r="F6" s="32" t="s">
        <v>122</v>
      </c>
      <c r="G6" s="26">
        <v>0</v>
      </c>
      <c r="I6" s="29">
        <f t="shared" si="0"/>
        <v>0</v>
      </c>
      <c r="J6" s="28">
        <f t="array" ref="J6">MAX(IF($N$3:$EH$3=$J$3,N6:EH6))</f>
        <v>0</v>
      </c>
      <c r="K6" s="28">
        <f t="array" ref="K6">MAX(IF($N$3:$EH$3=$J$3,N6:EH6))</f>
        <v>0</v>
      </c>
      <c r="L6" s="29"/>
      <c r="O6" s="26"/>
      <c r="P6" s="26">
        <v>0.5</v>
      </c>
      <c r="Q6" s="26"/>
      <c r="R6" s="26">
        <v>0.5</v>
      </c>
      <c r="V6" s="26"/>
      <c r="W6" s="26">
        <v>0.5</v>
      </c>
      <c r="X6" s="26"/>
      <c r="Y6" s="26">
        <v>0.5</v>
      </c>
      <c r="AC6" s="26"/>
      <c r="AD6" s="26">
        <v>0.5</v>
      </c>
      <c r="AE6" s="26"/>
      <c r="AF6" s="26">
        <v>0.5</v>
      </c>
      <c r="AJ6" s="26"/>
      <c r="AK6" s="26">
        <v>0.8</v>
      </c>
      <c r="AL6" s="26"/>
      <c r="AM6" s="26">
        <v>0.8</v>
      </c>
      <c r="AQ6" s="26"/>
      <c r="AR6" s="26">
        <v>0.8</v>
      </c>
      <c r="AS6" s="26"/>
      <c r="AT6" s="26">
        <v>0.8</v>
      </c>
      <c r="AX6" s="26"/>
      <c r="AY6" s="26">
        <v>0.8</v>
      </c>
      <c r="AZ6" s="26"/>
      <c r="BA6" s="26">
        <v>0.8</v>
      </c>
      <c r="BE6" s="26"/>
      <c r="BF6" s="26">
        <v>0.8</v>
      </c>
      <c r="BG6" s="26"/>
      <c r="BH6" s="26">
        <v>0.8</v>
      </c>
      <c r="BL6" s="26"/>
      <c r="BM6" s="26">
        <v>0.8</v>
      </c>
      <c r="BN6" s="26"/>
      <c r="BO6" s="26">
        <v>0.8</v>
      </c>
      <c r="BS6" s="26"/>
      <c r="BT6" s="26">
        <v>1</v>
      </c>
      <c r="BU6" s="26"/>
      <c r="BV6" s="26">
        <v>1</v>
      </c>
      <c r="BZ6" s="26"/>
      <c r="CA6" s="26">
        <v>1</v>
      </c>
      <c r="CB6" s="26"/>
      <c r="CC6" s="26">
        <v>1</v>
      </c>
      <c r="CG6" s="26"/>
      <c r="CH6" s="26">
        <v>1</v>
      </c>
      <c r="CI6" s="26"/>
      <c r="CJ6" s="26">
        <v>1</v>
      </c>
      <c r="CN6" s="26"/>
      <c r="CO6" s="26">
        <v>1</v>
      </c>
      <c r="CP6" s="26"/>
      <c r="CQ6" s="26">
        <v>1</v>
      </c>
      <c r="CU6" s="26"/>
      <c r="CV6" s="26">
        <v>1</v>
      </c>
      <c r="CW6" s="26"/>
      <c r="CX6" s="26">
        <v>1</v>
      </c>
      <c r="DB6" s="26"/>
      <c r="DC6" s="26">
        <v>1</v>
      </c>
      <c r="DD6" s="26"/>
      <c r="DE6" s="26">
        <v>1</v>
      </c>
      <c r="DI6" s="26"/>
      <c r="DJ6" s="26">
        <v>1</v>
      </c>
      <c r="DK6" s="26"/>
      <c r="DL6" s="26">
        <v>1</v>
      </c>
      <c r="DP6" s="26"/>
      <c r="DQ6" s="26">
        <v>1</v>
      </c>
      <c r="DR6" s="26"/>
      <c r="DS6" s="26">
        <v>1</v>
      </c>
      <c r="DW6" s="26"/>
      <c r="DX6" s="26">
        <v>1</v>
      </c>
      <c r="DY6" s="26"/>
      <c r="DZ6" s="26">
        <v>1</v>
      </c>
      <c r="ED6" s="26"/>
      <c r="EE6" s="26">
        <v>1</v>
      </c>
      <c r="EF6" s="26"/>
      <c r="EG6" s="26">
        <v>1</v>
      </c>
      <c r="EK6" s="26"/>
      <c r="EL6" s="26">
        <v>1</v>
      </c>
      <c r="EM6" s="26"/>
      <c r="EN6" s="26">
        <v>1</v>
      </c>
      <c r="ER6" s="26"/>
      <c r="ES6" s="26">
        <v>1</v>
      </c>
      <c r="ET6" s="26"/>
      <c r="EU6" s="26">
        <v>1</v>
      </c>
      <c r="EY6" s="26"/>
      <c r="EZ6" s="26">
        <v>1</v>
      </c>
      <c r="FA6" s="26"/>
      <c r="FB6" s="26">
        <v>1</v>
      </c>
      <c r="FF6" s="26"/>
      <c r="FG6" s="26">
        <v>1</v>
      </c>
      <c r="FH6" s="26"/>
      <c r="FI6" s="26">
        <v>1</v>
      </c>
    </row>
    <row r="7" spans="1:166" outlineLevel="1">
      <c r="A7" s="16"/>
      <c r="B7" s="16" t="s">
        <v>28</v>
      </c>
      <c r="C7" s="16" t="s">
        <v>98</v>
      </c>
      <c r="D7" s="16"/>
      <c r="E7" s="21"/>
      <c r="F7" s="32" t="s">
        <v>125</v>
      </c>
      <c r="G7" s="26">
        <v>0</v>
      </c>
      <c r="I7" s="29">
        <f t="shared" si="0"/>
        <v>0</v>
      </c>
      <c r="J7" s="28">
        <f t="array" ref="J7">MAX(IF($N$3:$EH$3=$J$3,N7:EH7))</f>
        <v>0</v>
      </c>
      <c r="K7" s="28">
        <f t="array" ref="K7">MAX(IF($N$3:$EH$3=$J$3,N7:EH7))</f>
        <v>0</v>
      </c>
      <c r="L7" s="29"/>
      <c r="O7" s="26"/>
      <c r="P7" s="26"/>
      <c r="Q7" s="26"/>
      <c r="R7" s="26"/>
      <c r="V7" s="26"/>
      <c r="W7" s="26">
        <v>0.5</v>
      </c>
      <c r="X7" s="26"/>
      <c r="Y7" s="26">
        <v>0.5</v>
      </c>
      <c r="AC7" s="26"/>
      <c r="AD7" s="26">
        <v>0.5</v>
      </c>
      <c r="AE7" s="26"/>
      <c r="AF7" s="26">
        <v>0.5</v>
      </c>
      <c r="AJ7" s="26"/>
      <c r="AK7" s="26">
        <v>0.5</v>
      </c>
      <c r="AL7" s="26"/>
      <c r="AM7" s="26">
        <v>0.5</v>
      </c>
      <c r="AQ7" s="26"/>
      <c r="AR7" s="26">
        <v>0.8</v>
      </c>
      <c r="AS7" s="26"/>
      <c r="AT7" s="26">
        <v>0.8</v>
      </c>
      <c r="AX7" s="26"/>
      <c r="AY7" s="26">
        <v>0.8</v>
      </c>
      <c r="AZ7" s="26"/>
      <c r="BA7" s="26">
        <v>0.8</v>
      </c>
      <c r="BE7" s="26"/>
      <c r="BF7" s="26">
        <v>0.8</v>
      </c>
      <c r="BG7" s="26"/>
      <c r="BH7" s="26">
        <v>0.8</v>
      </c>
      <c r="BL7" s="26"/>
      <c r="BM7" s="26">
        <v>0.8</v>
      </c>
      <c r="BN7" s="26"/>
      <c r="BO7" s="26">
        <v>0.8</v>
      </c>
      <c r="BS7" s="26"/>
      <c r="BT7" s="26">
        <v>0.8</v>
      </c>
      <c r="BU7" s="26"/>
      <c r="BV7" s="26">
        <v>0.8</v>
      </c>
      <c r="BZ7" s="26"/>
      <c r="CA7" s="26">
        <v>1</v>
      </c>
      <c r="CB7" s="26"/>
      <c r="CC7" s="26">
        <v>1</v>
      </c>
      <c r="CG7" s="26"/>
      <c r="CH7" s="26">
        <v>1</v>
      </c>
      <c r="CI7" s="26"/>
      <c r="CJ7" s="26">
        <v>1</v>
      </c>
      <c r="CN7" s="26"/>
      <c r="CO7" s="26">
        <v>1</v>
      </c>
      <c r="CP7" s="26"/>
      <c r="CQ7" s="26">
        <v>1</v>
      </c>
      <c r="CU7" s="26"/>
      <c r="CV7" s="26">
        <v>1</v>
      </c>
      <c r="CW7" s="26"/>
      <c r="CX7" s="26">
        <v>1</v>
      </c>
      <c r="DB7" s="26"/>
      <c r="DC7" s="26">
        <v>1</v>
      </c>
      <c r="DD7" s="26"/>
      <c r="DE7" s="26">
        <v>1</v>
      </c>
      <c r="DI7" s="26"/>
      <c r="DJ7" s="26">
        <v>1</v>
      </c>
      <c r="DK7" s="26"/>
      <c r="DL7" s="26">
        <v>1</v>
      </c>
      <c r="DP7" s="26"/>
      <c r="DQ7" s="26">
        <v>1</v>
      </c>
      <c r="DR7" s="26"/>
      <c r="DS7" s="26">
        <v>1</v>
      </c>
      <c r="DW7" s="26"/>
      <c r="DX7" s="26">
        <v>1</v>
      </c>
      <c r="DY7" s="26"/>
      <c r="DZ7" s="26">
        <v>1</v>
      </c>
      <c r="ED7" s="26"/>
      <c r="EE7" s="26">
        <v>1</v>
      </c>
      <c r="EF7" s="26"/>
      <c r="EG7" s="26">
        <v>1</v>
      </c>
      <c r="EK7" s="26"/>
      <c r="EL7" s="26">
        <v>1</v>
      </c>
      <c r="EM7" s="26"/>
      <c r="EN7" s="26">
        <v>1</v>
      </c>
      <c r="ER7" s="26"/>
      <c r="ES7" s="26">
        <v>1</v>
      </c>
      <c r="ET7" s="26"/>
      <c r="EU7" s="26">
        <v>1</v>
      </c>
      <c r="EY7" s="26"/>
      <c r="EZ7" s="26">
        <v>1</v>
      </c>
      <c r="FA7" s="26"/>
      <c r="FB7" s="26">
        <v>1</v>
      </c>
      <c r="FF7" s="26"/>
      <c r="FG7" s="26">
        <v>1</v>
      </c>
      <c r="FH7" s="26"/>
      <c r="FI7" s="26">
        <v>1</v>
      </c>
    </row>
    <row r="8" spans="1:166" outlineLevel="1">
      <c r="A8" s="16"/>
      <c r="B8" s="16" t="s">
        <v>28</v>
      </c>
      <c r="C8" s="16" t="s">
        <v>98</v>
      </c>
      <c r="D8" s="16"/>
      <c r="E8" s="21"/>
      <c r="F8" s="32" t="s">
        <v>124</v>
      </c>
      <c r="G8" s="26">
        <v>0</v>
      </c>
      <c r="I8" s="29">
        <f t="shared" si="0"/>
        <v>0</v>
      </c>
      <c r="J8" s="28">
        <f t="array" ref="J8">MAX(IF($N$3:$EH$3=$J$3,N8:EH8))</f>
        <v>0</v>
      </c>
      <c r="K8" s="28">
        <f t="array" ref="K8">MAX(IF($N$3:$EH$3=$J$3,N8:EH8))</f>
        <v>0</v>
      </c>
      <c r="L8" s="29"/>
      <c r="O8" s="26"/>
      <c r="P8" s="26"/>
      <c r="Q8" s="26"/>
      <c r="R8" s="26"/>
      <c r="V8" s="26"/>
      <c r="W8" s="26">
        <v>0.5</v>
      </c>
      <c r="X8" s="26"/>
      <c r="Y8" s="26">
        <v>0.5</v>
      </c>
      <c r="AC8" s="26"/>
      <c r="AD8" s="26">
        <v>0.5</v>
      </c>
      <c r="AE8" s="26"/>
      <c r="AF8" s="26">
        <v>0.5</v>
      </c>
      <c r="AJ8" s="26"/>
      <c r="AK8" s="26">
        <v>0.5</v>
      </c>
      <c r="AL8" s="26"/>
      <c r="AM8" s="26">
        <v>0.5</v>
      </c>
      <c r="AQ8" s="26"/>
      <c r="AR8" s="26">
        <v>0.5</v>
      </c>
      <c r="AS8" s="26"/>
      <c r="AT8" s="26">
        <v>0.5</v>
      </c>
      <c r="AX8" s="26"/>
      <c r="AY8" s="26">
        <v>0.8</v>
      </c>
      <c r="AZ8" s="26"/>
      <c r="BA8" s="26">
        <v>0.8</v>
      </c>
      <c r="BE8" s="26"/>
      <c r="BF8" s="26">
        <v>0.8</v>
      </c>
      <c r="BG8" s="26"/>
      <c r="BH8" s="26">
        <v>0.8</v>
      </c>
      <c r="BL8" s="26"/>
      <c r="BM8" s="26">
        <v>0.8</v>
      </c>
      <c r="BN8" s="26"/>
      <c r="BO8" s="26">
        <v>0.8</v>
      </c>
      <c r="BS8" s="26"/>
      <c r="BT8" s="26">
        <v>0.8</v>
      </c>
      <c r="BU8" s="26"/>
      <c r="BV8" s="26">
        <v>0.8</v>
      </c>
      <c r="BZ8" s="26"/>
      <c r="CA8" s="26">
        <v>0.8</v>
      </c>
      <c r="CB8" s="26"/>
      <c r="CC8" s="26">
        <v>0.8</v>
      </c>
      <c r="CG8" s="26"/>
      <c r="CH8" s="26">
        <v>1</v>
      </c>
      <c r="CI8" s="26"/>
      <c r="CJ8" s="26">
        <v>1</v>
      </c>
      <c r="CN8" s="26"/>
      <c r="CO8" s="26">
        <v>1</v>
      </c>
      <c r="CP8" s="26"/>
      <c r="CQ8" s="26">
        <v>1</v>
      </c>
      <c r="CU8" s="26"/>
      <c r="CV8" s="26">
        <v>1</v>
      </c>
      <c r="CW8" s="26"/>
      <c r="CX8" s="26">
        <v>1</v>
      </c>
      <c r="DB8" s="26"/>
      <c r="DC8" s="26">
        <v>1</v>
      </c>
      <c r="DD8" s="26"/>
      <c r="DE8" s="26">
        <v>1</v>
      </c>
      <c r="DI8" s="26"/>
      <c r="DJ8" s="26">
        <v>1</v>
      </c>
      <c r="DK8" s="26"/>
      <c r="DL8" s="26">
        <v>1</v>
      </c>
      <c r="DP8" s="26"/>
      <c r="DQ8" s="26">
        <v>1</v>
      </c>
      <c r="DR8" s="26"/>
      <c r="DS8" s="26">
        <v>1</v>
      </c>
      <c r="DW8" s="26"/>
      <c r="DX8" s="26">
        <v>1</v>
      </c>
      <c r="DY8" s="26"/>
      <c r="DZ8" s="26">
        <v>1</v>
      </c>
      <c r="ED8" s="26"/>
      <c r="EE8" s="26">
        <v>1</v>
      </c>
      <c r="EF8" s="26"/>
      <c r="EG8" s="26">
        <v>1</v>
      </c>
      <c r="EK8" s="26"/>
      <c r="EL8" s="26">
        <v>1</v>
      </c>
      <c r="EM8" s="26"/>
      <c r="EN8" s="26">
        <v>1</v>
      </c>
      <c r="ER8" s="26"/>
      <c r="ES8" s="26">
        <v>1</v>
      </c>
      <c r="ET8" s="26"/>
      <c r="EU8" s="26">
        <v>1</v>
      </c>
      <c r="EY8" s="26"/>
      <c r="EZ8" s="26">
        <v>1</v>
      </c>
      <c r="FA8" s="26"/>
      <c r="FB8" s="26">
        <v>1</v>
      </c>
      <c r="FF8" s="26"/>
      <c r="FG8" s="26">
        <v>1</v>
      </c>
      <c r="FH8" s="26"/>
      <c r="FI8" s="26">
        <v>1</v>
      </c>
    </row>
    <row r="9" spans="1:166" outlineLevel="1">
      <c r="A9" s="16"/>
      <c r="B9" s="16" t="s">
        <v>28</v>
      </c>
      <c r="C9" s="16" t="s">
        <v>98</v>
      </c>
      <c r="D9" s="16"/>
      <c r="E9" s="21"/>
      <c r="F9" s="32" t="s">
        <v>123</v>
      </c>
      <c r="G9" s="26">
        <v>0</v>
      </c>
      <c r="I9" s="29">
        <f t="shared" si="0"/>
        <v>0</v>
      </c>
      <c r="J9" s="28">
        <f t="array" ref="J9">MAX(IF($N$3:$EH$3=$J$3,N9:EH9))</f>
        <v>0</v>
      </c>
      <c r="K9" s="28">
        <f t="array" ref="K9">MAX(IF($N$3:$EH$3=$J$3,N9:EH9))</f>
        <v>0</v>
      </c>
      <c r="L9" s="29"/>
      <c r="O9" s="26"/>
      <c r="P9" s="26"/>
      <c r="Q9" s="26"/>
      <c r="R9" s="26"/>
      <c r="V9" s="26"/>
      <c r="W9" s="26"/>
      <c r="X9" s="26"/>
      <c r="Y9" s="26"/>
      <c r="AC9" s="26"/>
      <c r="AD9" s="26">
        <v>0.5</v>
      </c>
      <c r="AE9" s="26"/>
      <c r="AF9" s="26">
        <v>0.5</v>
      </c>
      <c r="AJ9" s="26"/>
      <c r="AK9" s="26">
        <v>0.5</v>
      </c>
      <c r="AL9" s="26"/>
      <c r="AM9" s="26">
        <v>0.5</v>
      </c>
      <c r="AQ9" s="26"/>
      <c r="AR9" s="26">
        <v>0.5</v>
      </c>
      <c r="AS9" s="26"/>
      <c r="AT9" s="26">
        <v>0.5</v>
      </c>
      <c r="AX9" s="26"/>
      <c r="AY9" s="26">
        <v>0.5</v>
      </c>
      <c r="AZ9" s="26"/>
      <c r="BA9" s="26">
        <v>0.5</v>
      </c>
      <c r="BE9" s="26"/>
      <c r="BF9" s="26">
        <v>0.8</v>
      </c>
      <c r="BG9" s="26"/>
      <c r="BH9" s="26">
        <v>0.8</v>
      </c>
      <c r="BL9" s="26"/>
      <c r="BM9" s="26">
        <v>0.8</v>
      </c>
      <c r="BN9" s="26"/>
      <c r="BO9" s="26">
        <v>0.8</v>
      </c>
      <c r="BS9" s="26"/>
      <c r="BT9" s="26">
        <v>0.8</v>
      </c>
      <c r="BU9" s="26"/>
      <c r="BV9" s="26">
        <v>0.8</v>
      </c>
      <c r="BZ9" s="26"/>
      <c r="CA9" s="26">
        <v>0.8</v>
      </c>
      <c r="CB9" s="26"/>
      <c r="CC9" s="26">
        <v>0.8</v>
      </c>
      <c r="CG9" s="26"/>
      <c r="CH9" s="26">
        <v>0.8</v>
      </c>
      <c r="CI9" s="26"/>
      <c r="CJ9" s="26">
        <v>0.8</v>
      </c>
      <c r="CN9" s="26"/>
      <c r="CO9" s="26">
        <v>1</v>
      </c>
      <c r="CP9" s="26"/>
      <c r="CQ9" s="26">
        <v>1</v>
      </c>
      <c r="CU9" s="26"/>
      <c r="CV9" s="26">
        <v>1</v>
      </c>
      <c r="CW9" s="26"/>
      <c r="CX9" s="26">
        <v>1</v>
      </c>
      <c r="DB9" s="26"/>
      <c r="DC9" s="26">
        <v>1</v>
      </c>
      <c r="DD9" s="26"/>
      <c r="DE9" s="26">
        <v>1</v>
      </c>
      <c r="DI9" s="26"/>
      <c r="DJ9" s="26">
        <v>1</v>
      </c>
      <c r="DK9" s="26"/>
      <c r="DL9" s="26">
        <v>1</v>
      </c>
      <c r="DP9" s="26"/>
      <c r="DQ9" s="26">
        <v>1</v>
      </c>
      <c r="DR9" s="26"/>
      <c r="DS9" s="26">
        <v>1</v>
      </c>
      <c r="DW9" s="26"/>
      <c r="DX9" s="26">
        <v>1</v>
      </c>
      <c r="DY9" s="26"/>
      <c r="DZ9" s="26">
        <v>1</v>
      </c>
      <c r="ED9" s="26"/>
      <c r="EE9" s="26">
        <v>1</v>
      </c>
      <c r="EF9" s="26"/>
      <c r="EG9" s="26">
        <v>1</v>
      </c>
      <c r="EK9" s="26"/>
      <c r="EL9" s="26">
        <v>1</v>
      </c>
      <c r="EM9" s="26"/>
      <c r="EN9" s="26">
        <v>1</v>
      </c>
      <c r="ER9" s="26"/>
      <c r="ES9" s="26">
        <v>1</v>
      </c>
      <c r="ET9" s="26"/>
      <c r="EU9" s="26">
        <v>1</v>
      </c>
      <c r="EY9" s="26"/>
      <c r="EZ9" s="26">
        <v>1</v>
      </c>
      <c r="FA9" s="26"/>
      <c r="FB9" s="26">
        <v>1</v>
      </c>
      <c r="FF9" s="26"/>
      <c r="FG9" s="26">
        <v>1</v>
      </c>
      <c r="FH9" s="26"/>
      <c r="FI9" s="26">
        <v>1</v>
      </c>
    </row>
    <row r="10" spans="1:166" outlineLevel="1">
      <c r="A10" s="16"/>
      <c r="B10" s="16" t="s">
        <v>28</v>
      </c>
      <c r="C10" s="16" t="s">
        <v>98</v>
      </c>
      <c r="D10" s="16"/>
      <c r="E10" s="21"/>
      <c r="F10" s="32" t="s">
        <v>126</v>
      </c>
      <c r="G10" s="26">
        <v>0</v>
      </c>
      <c r="I10" s="29">
        <f t="shared" si="0"/>
        <v>0</v>
      </c>
      <c r="J10" s="28">
        <f t="array" ref="J10">MAX(IF($N$3:$EH$3=$J$3,N10:EH10))</f>
        <v>0</v>
      </c>
      <c r="K10" s="28">
        <f t="array" ref="K10">MAX(IF($N$3:$EH$3=$J$3,N10:EH10))</f>
        <v>0</v>
      </c>
      <c r="L10" s="29"/>
      <c r="O10" s="26"/>
      <c r="P10" s="26"/>
      <c r="Q10" s="26"/>
      <c r="R10" s="26"/>
      <c r="V10" s="26"/>
      <c r="W10" s="26"/>
      <c r="X10" s="26"/>
      <c r="Y10" s="26"/>
      <c r="AC10" s="26"/>
      <c r="AD10" s="26"/>
      <c r="AE10" s="26"/>
      <c r="AF10" s="26"/>
      <c r="AI10" s="16"/>
      <c r="AJ10" s="26"/>
      <c r="AK10" s="26">
        <v>0.5</v>
      </c>
      <c r="AL10" s="26"/>
      <c r="AM10" s="26">
        <v>0.5</v>
      </c>
      <c r="AQ10" s="26"/>
      <c r="AR10" s="26">
        <v>0.5</v>
      </c>
      <c r="AS10" s="26"/>
      <c r="AT10" s="26">
        <v>0.5</v>
      </c>
      <c r="AX10" s="26"/>
      <c r="AY10" s="26">
        <v>0.5</v>
      </c>
      <c r="AZ10" s="26"/>
      <c r="BA10" s="26">
        <v>0.5</v>
      </c>
      <c r="BE10" s="26"/>
      <c r="BF10" s="26">
        <v>0.5</v>
      </c>
      <c r="BG10" s="26"/>
      <c r="BH10" s="26">
        <v>0.5</v>
      </c>
      <c r="BL10" s="26"/>
      <c r="BM10" s="26">
        <v>0.8</v>
      </c>
      <c r="BN10" s="26"/>
      <c r="BO10" s="26">
        <v>0.8</v>
      </c>
      <c r="BS10" s="26"/>
      <c r="BT10" s="26">
        <v>0.8</v>
      </c>
      <c r="BU10" s="26"/>
      <c r="BV10" s="26">
        <v>0.8</v>
      </c>
      <c r="BZ10" s="26"/>
      <c r="CA10" s="26">
        <v>0.8</v>
      </c>
      <c r="CB10" s="26"/>
      <c r="CC10" s="26">
        <v>0.8</v>
      </c>
      <c r="CG10" s="26"/>
      <c r="CH10" s="26">
        <v>0.8</v>
      </c>
      <c r="CI10" s="26"/>
      <c r="CJ10" s="26">
        <v>0.8</v>
      </c>
      <c r="CN10" s="26"/>
      <c r="CO10" s="26">
        <v>1</v>
      </c>
      <c r="CP10" s="26"/>
      <c r="CQ10" s="26">
        <v>1</v>
      </c>
      <c r="CU10" s="26"/>
      <c r="CV10" s="26">
        <v>1</v>
      </c>
      <c r="CW10" s="26"/>
      <c r="CX10" s="26">
        <v>1</v>
      </c>
      <c r="DB10" s="26"/>
      <c r="DC10" s="26">
        <v>1</v>
      </c>
      <c r="DD10" s="26"/>
      <c r="DE10" s="26">
        <v>1</v>
      </c>
      <c r="DI10" s="26"/>
      <c r="DJ10" s="26">
        <v>1</v>
      </c>
      <c r="DK10" s="26"/>
      <c r="DL10" s="26">
        <v>1</v>
      </c>
      <c r="DP10" s="26"/>
      <c r="DQ10" s="26">
        <v>1</v>
      </c>
      <c r="DR10" s="26"/>
      <c r="DS10" s="26">
        <v>1</v>
      </c>
      <c r="DW10" s="26"/>
      <c r="DX10" s="26">
        <v>1</v>
      </c>
      <c r="DY10" s="26"/>
      <c r="DZ10" s="26">
        <v>1</v>
      </c>
      <c r="ED10" s="26"/>
      <c r="EE10" s="26">
        <v>1</v>
      </c>
      <c r="EF10" s="26"/>
      <c r="EG10" s="26">
        <v>1</v>
      </c>
      <c r="EK10" s="26"/>
      <c r="EL10" s="26">
        <v>1</v>
      </c>
      <c r="EM10" s="26"/>
      <c r="EN10" s="26">
        <v>1</v>
      </c>
      <c r="ER10" s="26"/>
      <c r="ES10" s="26">
        <v>1</v>
      </c>
      <c r="ET10" s="26"/>
      <c r="EU10" s="26">
        <v>1</v>
      </c>
      <c r="EY10" s="26"/>
      <c r="EZ10" s="26">
        <v>1</v>
      </c>
      <c r="FA10" s="26"/>
      <c r="FB10" s="26">
        <v>1</v>
      </c>
      <c r="FF10" s="26"/>
      <c r="FG10" s="26">
        <v>1</v>
      </c>
      <c r="FH10" s="26"/>
      <c r="FI10" s="26">
        <v>1</v>
      </c>
    </row>
    <row r="11" spans="1:166" outlineLevel="1">
      <c r="A11" s="16"/>
      <c r="B11" s="16" t="s">
        <v>28</v>
      </c>
      <c r="C11" s="16" t="s">
        <v>98</v>
      </c>
      <c r="D11" s="16"/>
      <c r="E11" s="21"/>
      <c r="F11" s="32" t="s">
        <v>129</v>
      </c>
      <c r="G11" s="26">
        <v>0</v>
      </c>
      <c r="I11" s="29">
        <f t="shared" si="0"/>
        <v>0</v>
      </c>
      <c r="J11" s="28">
        <f t="array" ref="J11">MAX(IF($N$3:$EH$3=$J$3,N11:EH11))</f>
        <v>0</v>
      </c>
      <c r="K11" s="28">
        <f t="array" ref="K11">MAX(IF($N$3:$EH$3=$J$3,N11:EH11))</f>
        <v>0</v>
      </c>
      <c r="L11" s="29"/>
      <c r="O11" s="26"/>
      <c r="P11" s="26"/>
      <c r="Q11" s="26"/>
      <c r="R11" s="26"/>
      <c r="V11" s="26"/>
      <c r="W11" s="26"/>
      <c r="X11" s="26"/>
      <c r="Y11" s="26"/>
      <c r="AC11" s="26"/>
      <c r="AD11" s="26"/>
      <c r="AE11" s="26"/>
      <c r="AF11" s="26"/>
      <c r="AJ11" s="26"/>
      <c r="AK11" s="26"/>
      <c r="AL11" s="26"/>
      <c r="AM11" s="26"/>
      <c r="AQ11" s="26"/>
      <c r="AR11" s="26">
        <v>0.5</v>
      </c>
      <c r="AS11" s="26"/>
      <c r="AT11" s="26">
        <v>0.5</v>
      </c>
      <c r="AX11" s="26"/>
      <c r="AY11" s="26">
        <v>0.5</v>
      </c>
      <c r="AZ11" s="26"/>
      <c r="BA11" s="26">
        <v>0.5</v>
      </c>
      <c r="BE11" s="26"/>
      <c r="BF11" s="26">
        <v>0.5</v>
      </c>
      <c r="BG11" s="26"/>
      <c r="BH11" s="26">
        <v>0.5</v>
      </c>
      <c r="BL11" s="26"/>
      <c r="BM11" s="26">
        <v>0.5</v>
      </c>
      <c r="BN11" s="26"/>
      <c r="BO11" s="26">
        <v>0.5</v>
      </c>
      <c r="BS11" s="26"/>
      <c r="BT11" s="26">
        <v>0.8</v>
      </c>
      <c r="BU11" s="26"/>
      <c r="BV11" s="26">
        <v>0.8</v>
      </c>
      <c r="BZ11" s="26"/>
      <c r="CA11" s="26">
        <v>0.8</v>
      </c>
      <c r="CB11" s="26"/>
      <c r="CC11" s="26">
        <v>0.8</v>
      </c>
      <c r="CG11" s="26"/>
      <c r="CH11" s="26">
        <v>0.8</v>
      </c>
      <c r="CI11" s="26"/>
      <c r="CJ11" s="26">
        <v>0.8</v>
      </c>
      <c r="CN11" s="26"/>
      <c r="CO11" s="26">
        <v>0.8</v>
      </c>
      <c r="CP11" s="26"/>
      <c r="CQ11" s="26">
        <v>0.8</v>
      </c>
      <c r="CU11" s="26"/>
      <c r="CV11" s="26">
        <v>1</v>
      </c>
      <c r="CW11" s="26"/>
      <c r="CX11" s="26">
        <v>1</v>
      </c>
      <c r="DB11" s="26"/>
      <c r="DC11" s="26">
        <v>1</v>
      </c>
      <c r="DD11" s="26"/>
      <c r="DE11" s="26">
        <v>1</v>
      </c>
      <c r="DI11" s="26"/>
      <c r="DJ11" s="26">
        <v>1</v>
      </c>
      <c r="DK11" s="26"/>
      <c r="DL11" s="26">
        <v>1</v>
      </c>
      <c r="DP11" s="26"/>
      <c r="DQ11" s="26">
        <v>1</v>
      </c>
      <c r="DR11" s="26"/>
      <c r="DS11" s="26">
        <v>1</v>
      </c>
      <c r="DW11" s="26"/>
      <c r="DX11" s="26">
        <v>1</v>
      </c>
      <c r="DY11" s="26"/>
      <c r="DZ11" s="26">
        <v>1</v>
      </c>
      <c r="ED11" s="26"/>
      <c r="EE11" s="26">
        <v>1</v>
      </c>
      <c r="EF11" s="26"/>
      <c r="EG11" s="26">
        <v>1</v>
      </c>
      <c r="EK11" s="26"/>
      <c r="EL11" s="26">
        <v>1</v>
      </c>
      <c r="EM11" s="26"/>
      <c r="EN11" s="26">
        <v>1</v>
      </c>
      <c r="ER11" s="26"/>
      <c r="ES11" s="26">
        <v>1</v>
      </c>
      <c r="ET11" s="26"/>
      <c r="EU11" s="26">
        <v>1</v>
      </c>
      <c r="EY11" s="26"/>
      <c r="EZ11" s="26">
        <v>1</v>
      </c>
      <c r="FA11" s="26"/>
      <c r="FB11" s="26">
        <v>1</v>
      </c>
      <c r="FF11" s="26"/>
      <c r="FG11" s="26">
        <v>1</v>
      </c>
      <c r="FH11" s="26"/>
      <c r="FI11" s="26">
        <v>1</v>
      </c>
    </row>
    <row r="12" spans="1:166" outlineLevel="1">
      <c r="A12" s="16"/>
      <c r="B12" s="16" t="s">
        <v>28</v>
      </c>
      <c r="C12" s="16" t="s">
        <v>98</v>
      </c>
      <c r="D12" s="16"/>
      <c r="E12" s="21"/>
      <c r="F12" s="32" t="s">
        <v>127</v>
      </c>
      <c r="G12" s="26">
        <v>0</v>
      </c>
      <c r="I12" s="29">
        <f t="shared" si="0"/>
        <v>0</v>
      </c>
      <c r="J12" s="28">
        <f t="array" ref="J12">MAX(IF($N$3:$EH$3=$J$3,N12:EH12))</f>
        <v>0</v>
      </c>
      <c r="K12" s="28">
        <f t="array" ref="K12">MAX(IF($N$3:$EH$3=$J$3,N12:EH12))</f>
        <v>0</v>
      </c>
      <c r="L12" s="29"/>
      <c r="O12" s="26"/>
      <c r="P12" s="26"/>
      <c r="Q12" s="26"/>
      <c r="R12" s="26"/>
      <c r="V12" s="26"/>
      <c r="W12" s="26"/>
      <c r="X12" s="26"/>
      <c r="Y12" s="26"/>
      <c r="AC12" s="26"/>
      <c r="AD12" s="26"/>
      <c r="AE12" s="26"/>
      <c r="AF12" s="26"/>
      <c r="AJ12" s="26"/>
      <c r="AK12" s="26"/>
      <c r="AL12" s="26"/>
      <c r="AM12" s="26"/>
      <c r="AQ12" s="26"/>
      <c r="AR12" s="26"/>
      <c r="AS12" s="26"/>
      <c r="AT12" s="26"/>
      <c r="AX12" s="26"/>
      <c r="AY12" s="26">
        <v>0.5</v>
      </c>
      <c r="AZ12" s="26"/>
      <c r="BA12" s="26">
        <v>0.5</v>
      </c>
      <c r="BE12" s="26"/>
      <c r="BF12" s="26">
        <v>0.5</v>
      </c>
      <c r="BG12" s="26"/>
      <c r="BH12" s="26">
        <v>0.5</v>
      </c>
      <c r="BL12" s="26"/>
      <c r="BM12" s="26">
        <v>0.5</v>
      </c>
      <c r="BN12" s="26"/>
      <c r="BO12" s="26">
        <v>0.5</v>
      </c>
      <c r="BS12" s="26"/>
      <c r="BT12" s="26">
        <v>0.5</v>
      </c>
      <c r="BU12" s="26"/>
      <c r="BV12" s="26">
        <v>0.5</v>
      </c>
      <c r="BZ12" s="26"/>
      <c r="CA12" s="26">
        <v>0.8</v>
      </c>
      <c r="CB12" s="26"/>
      <c r="CC12" s="26">
        <v>0.8</v>
      </c>
      <c r="CG12" s="26"/>
      <c r="CH12" s="26">
        <v>0.8</v>
      </c>
      <c r="CI12" s="26"/>
      <c r="CJ12" s="26">
        <v>0.8</v>
      </c>
      <c r="CN12" s="26"/>
      <c r="CO12" s="26">
        <v>0.8</v>
      </c>
      <c r="CP12" s="26"/>
      <c r="CQ12" s="26">
        <v>0.8</v>
      </c>
      <c r="CU12" s="26"/>
      <c r="CV12" s="26">
        <v>1</v>
      </c>
      <c r="CW12" s="26"/>
      <c r="CX12" s="26">
        <v>1</v>
      </c>
      <c r="DB12" s="26"/>
      <c r="DC12" s="26">
        <v>1</v>
      </c>
      <c r="DD12" s="26"/>
      <c r="DE12" s="26">
        <v>1</v>
      </c>
      <c r="DI12" s="26"/>
      <c r="DJ12" s="26">
        <v>1</v>
      </c>
      <c r="DK12" s="26"/>
      <c r="DL12" s="26">
        <v>1</v>
      </c>
      <c r="DP12" s="26"/>
      <c r="DQ12" s="26">
        <v>1</v>
      </c>
      <c r="DR12" s="26"/>
      <c r="DS12" s="26">
        <v>1</v>
      </c>
      <c r="DW12" s="26"/>
      <c r="DX12" s="26">
        <v>1</v>
      </c>
      <c r="DY12" s="26"/>
      <c r="DZ12" s="26">
        <v>1</v>
      </c>
      <c r="ED12" s="26"/>
      <c r="EE12" s="26">
        <v>1</v>
      </c>
      <c r="EF12" s="26"/>
      <c r="EG12" s="26">
        <v>1</v>
      </c>
      <c r="EK12" s="26"/>
      <c r="EL12" s="26">
        <v>1</v>
      </c>
      <c r="EM12" s="26"/>
      <c r="EN12" s="26">
        <v>1</v>
      </c>
      <c r="ER12" s="26"/>
      <c r="ES12" s="26">
        <v>1</v>
      </c>
      <c r="ET12" s="26"/>
      <c r="EU12" s="26">
        <v>1</v>
      </c>
      <c r="EY12" s="26"/>
      <c r="EZ12" s="26">
        <v>1</v>
      </c>
      <c r="FA12" s="26"/>
      <c r="FB12" s="26">
        <v>1</v>
      </c>
      <c r="FF12" s="26"/>
      <c r="FG12" s="26">
        <v>1</v>
      </c>
      <c r="FH12" s="26"/>
      <c r="FI12" s="26">
        <v>1</v>
      </c>
    </row>
    <row r="13" spans="1:166" outlineLevel="1">
      <c r="A13" s="16"/>
      <c r="B13" s="16" t="s">
        <v>28</v>
      </c>
      <c r="C13" s="16" t="s">
        <v>98</v>
      </c>
      <c r="D13" s="16"/>
      <c r="E13" s="21"/>
      <c r="F13" s="32" t="s">
        <v>128</v>
      </c>
      <c r="G13" s="26">
        <v>0</v>
      </c>
      <c r="I13" s="29">
        <f t="shared" si="0"/>
        <v>0</v>
      </c>
      <c r="J13" s="28">
        <f t="array" ref="J13">MAX(IF($N$3:$EH$3=$J$3,N13:EH13))</f>
        <v>0</v>
      </c>
      <c r="K13" s="28">
        <f t="array" ref="K13">MAX(IF($N$3:$EH$3=$J$3,N13:EH13))</f>
        <v>0</v>
      </c>
      <c r="L13" s="29"/>
      <c r="N13" s="15" t="s">
        <v>158</v>
      </c>
      <c r="O13" s="26"/>
      <c r="P13" s="26"/>
      <c r="Q13" s="26"/>
      <c r="R13" s="26"/>
      <c r="V13" s="26"/>
      <c r="W13" s="26"/>
      <c r="X13" s="26"/>
      <c r="Y13" s="26"/>
      <c r="AC13" s="26"/>
      <c r="AD13" s="26"/>
      <c r="AE13" s="26"/>
      <c r="AF13" s="26"/>
      <c r="AJ13" s="26"/>
      <c r="AK13" s="26"/>
      <c r="AL13" s="26"/>
      <c r="AM13" s="26"/>
      <c r="AQ13" s="26"/>
      <c r="AR13" s="26"/>
      <c r="AS13" s="26"/>
      <c r="AT13" s="26"/>
      <c r="AX13" s="26"/>
      <c r="AY13" s="26"/>
      <c r="AZ13" s="26"/>
      <c r="BA13" s="26"/>
      <c r="BE13" s="26"/>
      <c r="BF13" s="26">
        <v>0.5</v>
      </c>
      <c r="BG13" s="26"/>
      <c r="BH13" s="26">
        <v>0.5</v>
      </c>
      <c r="BL13" s="26"/>
      <c r="BM13" s="26">
        <v>0.5</v>
      </c>
      <c r="BN13" s="26"/>
      <c r="BO13" s="26">
        <v>0.5</v>
      </c>
      <c r="BS13" s="26"/>
      <c r="BT13" s="26">
        <v>0.5</v>
      </c>
      <c r="BU13" s="26"/>
      <c r="BV13" s="26">
        <v>0.5</v>
      </c>
      <c r="BZ13" s="26"/>
      <c r="CA13" s="26">
        <v>0.5</v>
      </c>
      <c r="CB13" s="26"/>
      <c r="CC13" s="26">
        <v>0.5</v>
      </c>
      <c r="CG13" s="26"/>
      <c r="CH13" s="26">
        <v>0.8</v>
      </c>
      <c r="CI13" s="26"/>
      <c r="CJ13" s="26">
        <v>0.8</v>
      </c>
      <c r="CN13" s="26"/>
      <c r="CO13" s="26">
        <v>0.8</v>
      </c>
      <c r="CP13" s="26"/>
      <c r="CQ13" s="26">
        <v>0.8</v>
      </c>
      <c r="CU13" s="26"/>
      <c r="CV13" s="26">
        <v>1</v>
      </c>
      <c r="CW13" s="26"/>
      <c r="CX13" s="26">
        <v>1</v>
      </c>
      <c r="DB13" s="26"/>
      <c r="DC13" s="26">
        <v>1</v>
      </c>
      <c r="DD13" s="26"/>
      <c r="DE13" s="26">
        <v>1</v>
      </c>
      <c r="DI13" s="26"/>
      <c r="DJ13" s="26">
        <v>1</v>
      </c>
      <c r="DK13" s="26"/>
      <c r="DL13" s="26">
        <v>1</v>
      </c>
      <c r="DP13" s="26"/>
      <c r="DQ13" s="26">
        <v>1</v>
      </c>
      <c r="DR13" s="26"/>
      <c r="DS13" s="26">
        <v>1</v>
      </c>
      <c r="DW13" s="26"/>
      <c r="DX13" s="26">
        <v>1</v>
      </c>
      <c r="DY13" s="26"/>
      <c r="DZ13" s="26">
        <v>1</v>
      </c>
      <c r="ED13" s="26"/>
      <c r="EE13" s="26">
        <v>1</v>
      </c>
      <c r="EF13" s="26"/>
      <c r="EG13" s="26">
        <v>1</v>
      </c>
      <c r="EK13" s="26"/>
      <c r="EL13" s="26">
        <v>1</v>
      </c>
      <c r="EM13" s="26"/>
      <c r="EN13" s="26">
        <v>1</v>
      </c>
      <c r="ER13" s="26"/>
      <c r="ES13" s="26">
        <v>1</v>
      </c>
      <c r="ET13" s="26"/>
      <c r="EU13" s="26">
        <v>1</v>
      </c>
      <c r="EY13" s="26"/>
      <c r="EZ13" s="26">
        <v>1</v>
      </c>
      <c r="FA13" s="26"/>
      <c r="FB13" s="26">
        <v>1</v>
      </c>
      <c r="FF13" s="26"/>
      <c r="FG13" s="26">
        <v>1</v>
      </c>
      <c r="FH13" s="26"/>
      <c r="FI13" s="26">
        <v>1</v>
      </c>
    </row>
    <row r="14" spans="1:166">
      <c r="A14" s="16"/>
      <c r="B14" s="16"/>
      <c r="C14" s="16"/>
      <c r="D14" s="15" t="s">
        <v>168</v>
      </c>
      <c r="E14" s="16"/>
      <c r="F14" s="47">
        <f>+(3*9)/13</f>
        <v>2.0769230769230771</v>
      </c>
      <c r="I14" s="29"/>
      <c r="O14" s="16"/>
      <c r="V14" s="16"/>
      <c r="AC14" s="16"/>
      <c r="AJ14" s="16"/>
      <c r="AQ14" s="16"/>
      <c r="AX14" s="16"/>
      <c r="BE14" s="16"/>
      <c r="BL14" s="16"/>
      <c r="BM14" s="36"/>
      <c r="BS14" s="16"/>
      <c r="BZ14" s="16"/>
      <c r="CG14" s="16"/>
      <c r="CN14" s="26"/>
      <c r="CO14" s="26"/>
      <c r="CP14" s="26"/>
      <c r="CQ14" s="26"/>
      <c r="CU14" s="26"/>
      <c r="CV14" s="26"/>
      <c r="CW14" s="26"/>
      <c r="CX14" s="26"/>
      <c r="DB14" s="16"/>
      <c r="DC14" s="26"/>
      <c r="DI14" s="16"/>
      <c r="DP14" s="16"/>
      <c r="DW14" s="16"/>
      <c r="ED14" s="16"/>
      <c r="EK14" s="16"/>
      <c r="ER14" s="16"/>
      <c r="EY14" s="16"/>
      <c r="FF14" s="16"/>
    </row>
    <row r="15" spans="1:166">
      <c r="I15" s="29"/>
    </row>
    <row r="16" spans="1:166">
      <c r="B16" s="15" t="s">
        <v>27</v>
      </c>
      <c r="C16" s="15" t="s">
        <v>141</v>
      </c>
      <c r="D16" s="30">
        <v>45349</v>
      </c>
      <c r="E16" s="29">
        <v>6</v>
      </c>
      <c r="F16" s="32"/>
      <c r="G16" s="26">
        <f>+SUM(G17:G25)</f>
        <v>0</v>
      </c>
      <c r="I16" s="29">
        <f>SUM(I17:I25)</f>
        <v>0</v>
      </c>
      <c r="J16" s="28">
        <f>+SUMPRODUCT(G17:G25,J17:J25)</f>
        <v>0</v>
      </c>
      <c r="K16" s="28">
        <f>+SUMPRODUCT(G17:G25,K17:K25)</f>
        <v>0</v>
      </c>
      <c r="L16" s="29"/>
      <c r="N16" s="27">
        <f>+SUM(N17:N25)</f>
        <v>0</v>
      </c>
      <c r="U16" s="27">
        <f>+SUM(U17:U25)</f>
        <v>0</v>
      </c>
      <c r="AB16" s="27">
        <f>+SUM(AB17:AB25)</f>
        <v>0</v>
      </c>
      <c r="AI16" s="42">
        <f>+SUM(AI17:AI25)</f>
        <v>0</v>
      </c>
      <c r="AP16" s="27">
        <f>+SUM(AP17:AP25)</f>
        <v>0</v>
      </c>
      <c r="AW16" s="15">
        <f>+SUM(AW17:AW25)</f>
        <v>0</v>
      </c>
      <c r="BD16" s="15">
        <f>SUM(BD17:BD25)</f>
        <v>0</v>
      </c>
      <c r="BK16" s="15">
        <f>SUM(BK17:BK25)</f>
        <v>0</v>
      </c>
      <c r="BR16" s="15">
        <f>+SUM(BR17:BR25)</f>
        <v>0</v>
      </c>
      <c r="BY16" s="15">
        <f>+SUM(BY17:BY23)</f>
        <v>0</v>
      </c>
      <c r="CF16" s="15">
        <f>+SUM(CF18:CF24)</f>
        <v>0</v>
      </c>
      <c r="CM16" s="15">
        <f>+SUM(CM17:CM22)</f>
        <v>0</v>
      </c>
      <c r="CT16" s="15">
        <f>+SUM(CT17:CT25)</f>
        <v>0</v>
      </c>
      <c r="DA16" s="15">
        <f>+SUM(DA17:DA25)</f>
        <v>0</v>
      </c>
      <c r="DH16" s="15">
        <f>+SUM(DH17:DH21)</f>
        <v>0</v>
      </c>
      <c r="DO16" s="15">
        <f>+SUM(DO17:DO24)</f>
        <v>0</v>
      </c>
      <c r="DQ16" s="36"/>
    </row>
    <row r="17" spans="2:165" outlineLevel="1">
      <c r="B17" s="15" t="s">
        <v>28</v>
      </c>
      <c r="C17" s="15" t="s">
        <v>141</v>
      </c>
      <c r="E17" s="29"/>
      <c r="F17" s="32" t="s">
        <v>142</v>
      </c>
      <c r="G17" s="26">
        <v>0</v>
      </c>
      <c r="I17" s="29">
        <f t="shared" ref="I17:I25" si="1">+SUMIF($N$3:$AAA$3,I$3,$N17:$AAA17)</f>
        <v>0</v>
      </c>
      <c r="J17" s="28">
        <f t="array" ref="J17">MAX(IF($N$3:$EH$3=$J$3,N17:EH17))</f>
        <v>0</v>
      </c>
      <c r="K17" s="28">
        <f t="array" ref="K17">MAX(IF($N$3:$EH$3=$J$3,N17:EH17))</f>
        <v>0</v>
      </c>
      <c r="L17" s="29"/>
      <c r="O17" s="26"/>
      <c r="P17" s="26">
        <v>0.5</v>
      </c>
      <c r="Q17" s="26"/>
      <c r="R17" s="26">
        <v>0.5</v>
      </c>
      <c r="V17" s="26"/>
      <c r="W17" s="26">
        <v>0.5</v>
      </c>
      <c r="X17" s="26"/>
      <c r="Y17" s="26">
        <v>0.5</v>
      </c>
      <c r="AC17" s="26"/>
      <c r="AD17" s="26">
        <v>0.8</v>
      </c>
      <c r="AE17" s="26"/>
      <c r="AF17" s="26">
        <v>0.8</v>
      </c>
      <c r="AJ17" s="26"/>
      <c r="AK17" s="26">
        <v>0.8</v>
      </c>
      <c r="AL17" s="26"/>
      <c r="AM17" s="26">
        <v>0.8</v>
      </c>
      <c r="AQ17" s="26"/>
      <c r="AR17" s="26">
        <v>0.8</v>
      </c>
      <c r="AS17" s="26"/>
      <c r="AT17" s="26">
        <v>0.8</v>
      </c>
      <c r="AX17" s="26"/>
      <c r="AY17" s="26">
        <v>0.8</v>
      </c>
      <c r="AZ17" s="26"/>
      <c r="BA17" s="26">
        <v>0.8</v>
      </c>
      <c r="BE17" s="26"/>
      <c r="BF17" s="26">
        <v>0.8</v>
      </c>
      <c r="BG17" s="26"/>
      <c r="BH17" s="26">
        <v>0.8</v>
      </c>
      <c r="BL17" s="26"/>
      <c r="BM17" s="26">
        <v>1</v>
      </c>
      <c r="BN17" s="26"/>
      <c r="BO17" s="26">
        <v>1</v>
      </c>
      <c r="BS17" s="26"/>
      <c r="BT17" s="26">
        <v>1</v>
      </c>
      <c r="BU17" s="26"/>
      <c r="BV17" s="26">
        <v>1</v>
      </c>
      <c r="BZ17" s="26"/>
      <c r="CA17" s="26">
        <v>1</v>
      </c>
      <c r="CB17" s="26"/>
      <c r="CC17" s="26">
        <v>1</v>
      </c>
      <c r="CG17" s="26"/>
      <c r="CH17" s="26">
        <v>1</v>
      </c>
      <c r="CI17" s="26"/>
      <c r="CJ17" s="26">
        <v>1</v>
      </c>
      <c r="CN17" s="26"/>
      <c r="CO17" s="26">
        <v>1</v>
      </c>
      <c r="CP17" s="26"/>
      <c r="CQ17" s="26">
        <v>1</v>
      </c>
      <c r="CU17" s="26"/>
      <c r="CV17" s="26">
        <v>1</v>
      </c>
      <c r="CW17" s="26"/>
      <c r="CX17" s="26">
        <v>1</v>
      </c>
      <c r="DB17" s="26"/>
      <c r="DC17" s="26">
        <v>1</v>
      </c>
      <c r="DD17" s="26"/>
      <c r="DE17" s="26">
        <v>1</v>
      </c>
      <c r="DF17" s="26">
        <v>1</v>
      </c>
      <c r="DI17" s="26"/>
      <c r="DJ17" s="26">
        <v>1</v>
      </c>
      <c r="DK17" s="26"/>
      <c r="DL17" s="26">
        <v>1</v>
      </c>
      <c r="DP17" s="26"/>
      <c r="DQ17" s="26">
        <v>1</v>
      </c>
      <c r="DR17" s="26"/>
      <c r="DS17" s="26">
        <v>1</v>
      </c>
      <c r="DW17" s="26"/>
      <c r="DX17" s="26">
        <v>1</v>
      </c>
      <c r="DY17" s="26"/>
      <c r="DZ17" s="26">
        <v>1</v>
      </c>
      <c r="ED17" s="26"/>
      <c r="EE17" s="26">
        <v>1</v>
      </c>
      <c r="EF17" s="26"/>
      <c r="EG17" s="26">
        <v>1</v>
      </c>
      <c r="EH17" s="15" t="s">
        <v>162</v>
      </c>
      <c r="EK17" s="26"/>
      <c r="EL17" s="26">
        <v>1</v>
      </c>
      <c r="EM17" s="26"/>
      <c r="EN17" s="26">
        <v>1</v>
      </c>
      <c r="ER17" s="26"/>
      <c r="ES17" s="26">
        <v>1</v>
      </c>
      <c r="ET17" s="26"/>
      <c r="EU17" s="26">
        <v>1</v>
      </c>
      <c r="EY17" s="26"/>
      <c r="EZ17" s="26">
        <v>1</v>
      </c>
      <c r="FA17" s="26"/>
      <c r="FB17" s="26">
        <v>1</v>
      </c>
      <c r="FF17" s="26"/>
      <c r="FG17" s="26">
        <v>1</v>
      </c>
      <c r="FH17" s="26"/>
      <c r="FI17" s="26">
        <v>1</v>
      </c>
    </row>
    <row r="18" spans="2:165" outlineLevel="1">
      <c r="B18" s="15" t="s">
        <v>28</v>
      </c>
      <c r="C18" s="15" t="s">
        <v>141</v>
      </c>
      <c r="E18" s="29"/>
      <c r="F18" s="32" t="s">
        <v>143</v>
      </c>
      <c r="G18" s="26">
        <v>0</v>
      </c>
      <c r="I18" s="29">
        <f t="shared" si="1"/>
        <v>0</v>
      </c>
      <c r="J18" s="28">
        <f t="array" ref="J18">MAX(IF($N$3:$EH$3=$J$3,N18:EH18))</f>
        <v>0</v>
      </c>
      <c r="K18" s="28">
        <f t="array" ref="K18">MAX(IF($N$3:$EH$3=$J$3,N18:EH18))</f>
        <v>0</v>
      </c>
      <c r="L18" s="29"/>
      <c r="O18" s="26"/>
      <c r="P18" s="26">
        <v>0.5</v>
      </c>
      <c r="Q18" s="26"/>
      <c r="R18" s="26">
        <v>0.5</v>
      </c>
      <c r="V18" s="26"/>
      <c r="W18" s="26">
        <v>0.5</v>
      </c>
      <c r="X18" s="26"/>
      <c r="Y18" s="26">
        <v>0.5</v>
      </c>
      <c r="AC18" s="26"/>
      <c r="AD18" s="26">
        <v>0.5</v>
      </c>
      <c r="AE18" s="26"/>
      <c r="AF18" s="26">
        <v>0.5</v>
      </c>
      <c r="AJ18" s="26"/>
      <c r="AK18" s="26">
        <v>0.8</v>
      </c>
      <c r="AL18" s="26"/>
      <c r="AM18" s="26">
        <v>0.8</v>
      </c>
      <c r="AQ18" s="26"/>
      <c r="AR18" s="26">
        <v>0.8</v>
      </c>
      <c r="AS18" s="26"/>
      <c r="AT18" s="26">
        <v>0.8</v>
      </c>
      <c r="AX18" s="26"/>
      <c r="AY18" s="26">
        <v>0.8</v>
      </c>
      <c r="AZ18" s="26"/>
      <c r="BA18" s="26">
        <v>0.8</v>
      </c>
      <c r="BE18" s="26"/>
      <c r="BF18" s="26">
        <v>0.8</v>
      </c>
      <c r="BG18" s="26"/>
      <c r="BH18" s="26">
        <v>0.8</v>
      </c>
      <c r="BL18" s="26"/>
      <c r="BM18" s="26">
        <v>0.8</v>
      </c>
      <c r="BN18" s="26"/>
      <c r="BO18" s="26">
        <v>0.8</v>
      </c>
      <c r="BS18" s="26"/>
      <c r="BT18" s="26">
        <v>1</v>
      </c>
      <c r="BU18" s="26"/>
      <c r="BV18" s="26">
        <v>1</v>
      </c>
      <c r="BZ18" s="26"/>
      <c r="CA18" s="26">
        <v>1</v>
      </c>
      <c r="CB18" s="26"/>
      <c r="CC18" s="26">
        <v>1</v>
      </c>
      <c r="CG18" s="26"/>
      <c r="CH18" s="26">
        <v>1</v>
      </c>
      <c r="CI18" s="26"/>
      <c r="CJ18" s="26">
        <v>1</v>
      </c>
      <c r="CN18" s="26"/>
      <c r="CO18" s="26">
        <v>1</v>
      </c>
      <c r="CP18" s="26"/>
      <c r="CQ18" s="26">
        <v>1</v>
      </c>
      <c r="CU18" s="26"/>
      <c r="CV18" s="26">
        <v>1</v>
      </c>
      <c r="CW18" s="26"/>
      <c r="CX18" s="26">
        <v>1</v>
      </c>
      <c r="DB18" s="26"/>
      <c r="DC18" s="26">
        <v>1</v>
      </c>
      <c r="DD18" s="26"/>
      <c r="DE18" s="26">
        <v>1</v>
      </c>
      <c r="DI18" s="26"/>
      <c r="DJ18" s="26">
        <v>1</v>
      </c>
      <c r="DK18" s="26"/>
      <c r="DL18" s="26">
        <v>1</v>
      </c>
      <c r="DP18" s="26"/>
      <c r="DQ18" s="26">
        <v>1</v>
      </c>
      <c r="DR18" s="26"/>
      <c r="DS18" s="26">
        <v>1</v>
      </c>
      <c r="DW18" s="26"/>
      <c r="DX18" s="26">
        <v>1</v>
      </c>
      <c r="DY18" s="26"/>
      <c r="DZ18" s="26">
        <v>1</v>
      </c>
      <c r="ED18" s="26"/>
      <c r="EE18" s="26">
        <v>1</v>
      </c>
      <c r="EF18" s="26"/>
      <c r="EG18" s="26">
        <v>1</v>
      </c>
      <c r="EK18" s="26"/>
      <c r="EL18" s="26">
        <v>1</v>
      </c>
      <c r="EM18" s="26"/>
      <c r="EN18" s="26">
        <v>1</v>
      </c>
      <c r="ER18" s="26"/>
      <c r="ES18" s="26">
        <v>1</v>
      </c>
      <c r="ET18" s="26"/>
      <c r="EU18" s="26">
        <v>1</v>
      </c>
      <c r="EY18" s="26"/>
      <c r="EZ18" s="26">
        <v>1</v>
      </c>
      <c r="FA18" s="26"/>
      <c r="FB18" s="26">
        <v>1</v>
      </c>
      <c r="FF18" s="26"/>
      <c r="FG18" s="26">
        <v>1</v>
      </c>
      <c r="FH18" s="26"/>
      <c r="FI18" s="26">
        <v>1</v>
      </c>
    </row>
    <row r="19" spans="2:165" outlineLevel="1">
      <c r="B19" s="15" t="s">
        <v>28</v>
      </c>
      <c r="C19" s="15" t="s">
        <v>141</v>
      </c>
      <c r="E19" s="29"/>
      <c r="F19" s="32" t="s">
        <v>144</v>
      </c>
      <c r="G19" s="26">
        <v>0</v>
      </c>
      <c r="I19" s="29">
        <f t="shared" si="1"/>
        <v>0</v>
      </c>
      <c r="J19" s="28">
        <f t="array" ref="J19">MAX(IF($N$3:$EH$3=$J$3,N19:EH19))</f>
        <v>0</v>
      </c>
      <c r="K19" s="28">
        <f t="array" ref="K19">MAX(IF($N$3:$EH$3=$J$3,N19:EH19))</f>
        <v>0</v>
      </c>
      <c r="L19" s="29"/>
      <c r="O19" s="26"/>
      <c r="P19" s="26"/>
      <c r="Q19" s="26"/>
      <c r="R19" s="26"/>
      <c r="V19" s="26"/>
      <c r="W19" s="26">
        <v>0.5</v>
      </c>
      <c r="X19" s="26"/>
      <c r="Y19" s="26">
        <v>0.5</v>
      </c>
      <c r="AC19" s="26"/>
      <c r="AD19" s="26">
        <v>0.5</v>
      </c>
      <c r="AE19" s="26"/>
      <c r="AF19" s="26">
        <v>0.5</v>
      </c>
      <c r="AJ19" s="26"/>
      <c r="AK19" s="26">
        <v>0.5</v>
      </c>
      <c r="AL19" s="26"/>
      <c r="AM19" s="26">
        <v>0.5</v>
      </c>
      <c r="AQ19" s="26"/>
      <c r="AR19" s="26">
        <v>0.8</v>
      </c>
      <c r="AS19" s="26"/>
      <c r="AT19" s="26">
        <v>0.8</v>
      </c>
      <c r="AX19" s="26"/>
      <c r="AY19" s="26">
        <v>0.8</v>
      </c>
      <c r="AZ19" s="26"/>
      <c r="BA19" s="26">
        <v>0.8</v>
      </c>
      <c r="BE19" s="26"/>
      <c r="BF19" s="26">
        <v>0.8</v>
      </c>
      <c r="BG19" s="26"/>
      <c r="BH19" s="26">
        <v>0.8</v>
      </c>
      <c r="BL19" s="26"/>
      <c r="BM19" s="26">
        <v>0.8</v>
      </c>
      <c r="BN19" s="26"/>
      <c r="BO19" s="26">
        <v>0.8</v>
      </c>
      <c r="BS19" s="26"/>
      <c r="BT19" s="26">
        <v>0.8</v>
      </c>
      <c r="BU19" s="26"/>
      <c r="BV19" s="26">
        <v>0.8</v>
      </c>
      <c r="BZ19" s="26"/>
      <c r="CA19" s="26">
        <v>1</v>
      </c>
      <c r="CB19" s="26"/>
      <c r="CC19" s="26">
        <v>1</v>
      </c>
      <c r="CG19" s="26"/>
      <c r="CH19" s="26">
        <v>1</v>
      </c>
      <c r="CI19" s="26"/>
      <c r="CJ19" s="26">
        <v>1</v>
      </c>
      <c r="CN19" s="26"/>
      <c r="CO19" s="26">
        <v>1</v>
      </c>
      <c r="CP19" s="26"/>
      <c r="CQ19" s="26">
        <v>1</v>
      </c>
      <c r="CU19" s="26"/>
      <c r="CV19" s="26">
        <v>1</v>
      </c>
      <c r="CW19" s="26"/>
      <c r="CX19" s="26">
        <v>1</v>
      </c>
      <c r="DB19" s="26"/>
      <c r="DC19" s="26">
        <v>1</v>
      </c>
      <c r="DD19" s="26"/>
      <c r="DE19" s="26">
        <v>1</v>
      </c>
      <c r="DI19" s="26"/>
      <c r="DJ19" s="26">
        <v>1</v>
      </c>
      <c r="DK19" s="26"/>
      <c r="DL19" s="26">
        <v>1</v>
      </c>
      <c r="DP19" s="26"/>
      <c r="DQ19" s="26">
        <v>1</v>
      </c>
      <c r="DR19" s="26"/>
      <c r="DS19" s="26">
        <v>1</v>
      </c>
      <c r="DW19" s="26"/>
      <c r="DX19" s="26">
        <v>1</v>
      </c>
      <c r="DY19" s="26"/>
      <c r="DZ19" s="26">
        <v>1</v>
      </c>
      <c r="ED19" s="26"/>
      <c r="EE19" s="26">
        <v>1</v>
      </c>
      <c r="EF19" s="26"/>
      <c r="EG19" s="26">
        <v>1</v>
      </c>
      <c r="EK19" s="26"/>
      <c r="EL19" s="26">
        <v>1</v>
      </c>
      <c r="EM19" s="26"/>
      <c r="EN19" s="26">
        <v>1</v>
      </c>
      <c r="ER19" s="26"/>
      <c r="ES19" s="26">
        <v>1</v>
      </c>
      <c r="ET19" s="26"/>
      <c r="EU19" s="26">
        <v>1</v>
      </c>
      <c r="EY19" s="26"/>
      <c r="EZ19" s="26">
        <v>1</v>
      </c>
      <c r="FA19" s="26"/>
      <c r="FB19" s="26">
        <v>1</v>
      </c>
      <c r="FF19" s="26"/>
      <c r="FG19" s="26">
        <v>1</v>
      </c>
      <c r="FH19" s="26"/>
      <c r="FI19" s="26">
        <v>1</v>
      </c>
    </row>
    <row r="20" spans="2:165" outlineLevel="1">
      <c r="B20" s="15" t="s">
        <v>28</v>
      </c>
      <c r="C20" s="15" t="s">
        <v>141</v>
      </c>
      <c r="E20" s="29"/>
      <c r="F20" s="32" t="s">
        <v>145</v>
      </c>
      <c r="G20" s="26">
        <v>0</v>
      </c>
      <c r="I20" s="29">
        <f t="shared" si="1"/>
        <v>0</v>
      </c>
      <c r="J20" s="28">
        <f t="array" ref="J20">MAX(IF($N$3:$EH$3=$J$3,N20:EH20))</f>
        <v>0</v>
      </c>
      <c r="K20" s="28">
        <f t="array" ref="K20">MAX(IF($N$3:$EH$3=$J$3,N20:EH20))</f>
        <v>0</v>
      </c>
      <c r="L20" s="29"/>
      <c r="O20" s="26"/>
      <c r="P20" s="26"/>
      <c r="Q20" s="26"/>
      <c r="R20" s="26"/>
      <c r="V20" s="26"/>
      <c r="W20" s="26">
        <v>0.5</v>
      </c>
      <c r="X20" s="26"/>
      <c r="Y20" s="26">
        <v>0.5</v>
      </c>
      <c r="AC20" s="26"/>
      <c r="AD20" s="26">
        <v>0.5</v>
      </c>
      <c r="AE20" s="26"/>
      <c r="AF20" s="26">
        <v>0.5</v>
      </c>
      <c r="AJ20" s="26"/>
      <c r="AK20" s="26">
        <v>0.5</v>
      </c>
      <c r="AL20" s="26"/>
      <c r="AM20" s="26">
        <v>0.5</v>
      </c>
      <c r="AQ20" s="26"/>
      <c r="AR20" s="26">
        <v>0.5</v>
      </c>
      <c r="AS20" s="26"/>
      <c r="AT20" s="26">
        <v>0.5</v>
      </c>
      <c r="AX20" s="26"/>
      <c r="AY20" s="26">
        <v>0.8</v>
      </c>
      <c r="AZ20" s="26"/>
      <c r="BA20" s="26">
        <v>0.8</v>
      </c>
      <c r="BE20" s="26"/>
      <c r="BF20" s="26">
        <v>0.8</v>
      </c>
      <c r="BG20" s="26"/>
      <c r="BH20" s="26">
        <v>0.8</v>
      </c>
      <c r="BL20" s="26"/>
      <c r="BM20" s="26">
        <v>0.8</v>
      </c>
      <c r="BN20" s="26"/>
      <c r="BO20" s="26">
        <v>0.8</v>
      </c>
      <c r="BS20" s="26"/>
      <c r="BT20" s="26">
        <v>0.8</v>
      </c>
      <c r="BU20" s="26"/>
      <c r="BV20" s="26">
        <v>0.8</v>
      </c>
      <c r="BZ20" s="26"/>
      <c r="CA20" s="26">
        <v>0.8</v>
      </c>
      <c r="CB20" s="26"/>
      <c r="CC20" s="26">
        <v>0.8</v>
      </c>
      <c r="CG20" s="26"/>
      <c r="CH20" s="26">
        <v>1</v>
      </c>
      <c r="CI20" s="26"/>
      <c r="CJ20" s="26">
        <v>1</v>
      </c>
      <c r="CN20" s="26"/>
      <c r="CO20" s="26">
        <v>1</v>
      </c>
      <c r="CP20" s="26"/>
      <c r="CQ20" s="26">
        <v>1</v>
      </c>
      <c r="CU20" s="26"/>
      <c r="CV20" s="26">
        <v>1</v>
      </c>
      <c r="CW20" s="26"/>
      <c r="CX20" s="26">
        <v>1</v>
      </c>
      <c r="DB20" s="26"/>
      <c r="DC20" s="26">
        <v>1</v>
      </c>
      <c r="DD20" s="26"/>
      <c r="DE20" s="26">
        <v>1</v>
      </c>
      <c r="DH20" s="16"/>
      <c r="DI20" s="26"/>
      <c r="DJ20" s="26">
        <v>1</v>
      </c>
      <c r="DK20" s="26"/>
      <c r="DL20" s="26">
        <v>1</v>
      </c>
      <c r="DP20" s="26"/>
      <c r="DQ20" s="26">
        <v>1</v>
      </c>
      <c r="DR20" s="26"/>
      <c r="DS20" s="26">
        <v>1</v>
      </c>
      <c r="DW20" s="26"/>
      <c r="DX20" s="26">
        <v>1</v>
      </c>
      <c r="DY20" s="26"/>
      <c r="DZ20" s="26">
        <v>1</v>
      </c>
      <c r="ED20" s="26"/>
      <c r="EE20" s="26">
        <v>1</v>
      </c>
      <c r="EF20" s="26"/>
      <c r="EG20" s="26">
        <v>1</v>
      </c>
      <c r="EK20" s="26"/>
      <c r="EL20" s="26">
        <v>1</v>
      </c>
      <c r="EM20" s="26"/>
      <c r="EN20" s="26">
        <v>1</v>
      </c>
      <c r="ER20" s="26"/>
      <c r="ES20" s="26">
        <v>1</v>
      </c>
      <c r="ET20" s="26"/>
      <c r="EU20" s="26">
        <v>1</v>
      </c>
      <c r="EY20" s="26"/>
      <c r="EZ20" s="26">
        <v>1</v>
      </c>
      <c r="FA20" s="26"/>
      <c r="FB20" s="26">
        <v>1</v>
      </c>
      <c r="FF20" s="26"/>
      <c r="FG20" s="26">
        <v>1</v>
      </c>
      <c r="FH20" s="26"/>
      <c r="FI20" s="26">
        <v>1</v>
      </c>
    </row>
    <row r="21" spans="2:165" outlineLevel="1">
      <c r="B21" s="15" t="s">
        <v>28</v>
      </c>
      <c r="C21" s="15" t="s">
        <v>141</v>
      </c>
      <c r="E21" s="29"/>
      <c r="F21" s="32" t="s">
        <v>146</v>
      </c>
      <c r="G21" s="26">
        <v>0</v>
      </c>
      <c r="I21" s="29">
        <f t="shared" si="1"/>
        <v>0</v>
      </c>
      <c r="J21" s="28">
        <f t="array" ref="J21">MAX(IF($N$3:$EH$3=$J$3,N21:EH21))</f>
        <v>0</v>
      </c>
      <c r="K21" s="28">
        <f t="array" ref="K21">MAX(IF($N$3:$EH$3=$J$3,N21:EH21))</f>
        <v>0</v>
      </c>
      <c r="L21" s="29"/>
      <c r="O21" s="26"/>
      <c r="P21" s="26"/>
      <c r="Q21" s="26"/>
      <c r="R21" s="26"/>
      <c r="V21" s="26"/>
      <c r="W21" s="26"/>
      <c r="X21" s="26"/>
      <c r="Y21" s="26"/>
      <c r="AC21" s="26"/>
      <c r="AD21" s="26">
        <v>0.5</v>
      </c>
      <c r="AE21" s="26"/>
      <c r="AF21" s="26">
        <v>0.5</v>
      </c>
      <c r="AJ21" s="26"/>
      <c r="AK21" s="26">
        <v>0.5</v>
      </c>
      <c r="AL21" s="26"/>
      <c r="AM21" s="26">
        <v>0.5</v>
      </c>
      <c r="AQ21" s="26"/>
      <c r="AR21" s="26">
        <v>0.5</v>
      </c>
      <c r="AS21" s="26"/>
      <c r="AT21" s="26">
        <v>0.5</v>
      </c>
      <c r="AX21" s="26"/>
      <c r="AY21" s="26">
        <v>0.5</v>
      </c>
      <c r="AZ21" s="26"/>
      <c r="BA21" s="26">
        <v>0.5</v>
      </c>
      <c r="BE21" s="26"/>
      <c r="BF21" s="26">
        <v>0.8</v>
      </c>
      <c r="BG21" s="26"/>
      <c r="BH21" s="26">
        <v>0.8</v>
      </c>
      <c r="BL21" s="26"/>
      <c r="BM21" s="26">
        <v>0.8</v>
      </c>
      <c r="BN21" s="26"/>
      <c r="BO21" s="26">
        <v>0.8</v>
      </c>
      <c r="BS21" s="26"/>
      <c r="BT21" s="26">
        <v>0.8</v>
      </c>
      <c r="BU21" s="26"/>
      <c r="BV21" s="26">
        <v>0.8</v>
      </c>
      <c r="BZ21" s="26"/>
      <c r="CA21" s="26">
        <v>0.8</v>
      </c>
      <c r="CB21" s="26"/>
      <c r="CC21" s="26">
        <v>0.8</v>
      </c>
      <c r="CG21" s="26"/>
      <c r="CH21" s="26">
        <v>0.8</v>
      </c>
      <c r="CI21" s="26"/>
      <c r="CJ21" s="26">
        <v>0.8</v>
      </c>
      <c r="CN21" s="26"/>
      <c r="CO21" s="26">
        <v>1</v>
      </c>
      <c r="CP21" s="26"/>
      <c r="CQ21" s="26">
        <v>1</v>
      </c>
      <c r="CU21" s="26"/>
      <c r="CV21" s="26">
        <v>1</v>
      </c>
      <c r="CW21" s="26"/>
      <c r="CX21" s="26">
        <v>1</v>
      </c>
      <c r="DB21" s="26"/>
      <c r="DC21" s="26">
        <v>1</v>
      </c>
      <c r="DD21" s="26"/>
      <c r="DE21" s="26">
        <v>1</v>
      </c>
      <c r="DH21" s="16"/>
      <c r="DI21" s="26"/>
      <c r="DJ21" s="26">
        <v>1</v>
      </c>
      <c r="DK21" s="26"/>
      <c r="DL21" s="26">
        <v>1</v>
      </c>
      <c r="DP21" s="26"/>
      <c r="DQ21" s="26">
        <v>1</v>
      </c>
      <c r="DR21" s="26"/>
      <c r="DS21" s="26">
        <v>1</v>
      </c>
      <c r="DW21" s="26"/>
      <c r="DX21" s="26">
        <v>1</v>
      </c>
      <c r="DY21" s="26"/>
      <c r="DZ21" s="26">
        <v>1</v>
      </c>
      <c r="ED21" s="26"/>
      <c r="EE21" s="26">
        <v>1</v>
      </c>
      <c r="EF21" s="26"/>
      <c r="EG21" s="26">
        <v>1</v>
      </c>
      <c r="EK21" s="26"/>
      <c r="EL21" s="26">
        <v>1</v>
      </c>
      <c r="EM21" s="26"/>
      <c r="EN21" s="26">
        <v>1</v>
      </c>
      <c r="ER21" s="26"/>
      <c r="ES21" s="26">
        <v>1</v>
      </c>
      <c r="ET21" s="26"/>
      <c r="EU21" s="26">
        <v>1</v>
      </c>
      <c r="EY21" s="26"/>
      <c r="EZ21" s="26">
        <v>1</v>
      </c>
      <c r="FA21" s="26"/>
      <c r="FB21" s="26">
        <v>1</v>
      </c>
      <c r="FF21" s="26"/>
      <c r="FG21" s="26">
        <v>1</v>
      </c>
      <c r="FH21" s="26"/>
      <c r="FI21" s="26">
        <v>1</v>
      </c>
    </row>
    <row r="22" spans="2:165" outlineLevel="1">
      <c r="B22" s="15" t="s">
        <v>28</v>
      </c>
      <c r="C22" s="15" t="s">
        <v>141</v>
      </c>
      <c r="E22" s="29"/>
      <c r="F22" s="32" t="s">
        <v>147</v>
      </c>
      <c r="G22" s="26">
        <v>0</v>
      </c>
      <c r="I22" s="29">
        <f t="shared" si="1"/>
        <v>0</v>
      </c>
      <c r="J22" s="28">
        <f t="array" ref="J22">MAX(IF($N$3:$EH$3=$J$3,N22:EH22))</f>
        <v>0</v>
      </c>
      <c r="K22" s="28">
        <f t="array" ref="K22">MAX(IF($N$3:$EH$3=$J$3,N22:EH22))</f>
        <v>0</v>
      </c>
      <c r="L22" s="29"/>
      <c r="O22" s="26"/>
      <c r="P22" s="26"/>
      <c r="Q22" s="26"/>
      <c r="R22" s="26"/>
      <c r="V22" s="26"/>
      <c r="W22" s="26"/>
      <c r="X22" s="26"/>
      <c r="Y22" s="26"/>
      <c r="AC22" s="26"/>
      <c r="AD22" s="26"/>
      <c r="AE22" s="26"/>
      <c r="AF22" s="26"/>
      <c r="AJ22" s="26"/>
      <c r="AK22" s="26">
        <v>0.5</v>
      </c>
      <c r="AL22" s="26"/>
      <c r="AM22" s="26">
        <v>0.5</v>
      </c>
      <c r="AQ22" s="26"/>
      <c r="AR22" s="26">
        <v>0.5</v>
      </c>
      <c r="AS22" s="26"/>
      <c r="AT22" s="26">
        <v>0.5</v>
      </c>
      <c r="AX22" s="26"/>
      <c r="AY22" s="26">
        <v>0.5</v>
      </c>
      <c r="AZ22" s="26"/>
      <c r="BA22" s="26">
        <v>0.5</v>
      </c>
      <c r="BE22" s="26"/>
      <c r="BF22" s="26">
        <v>0.5</v>
      </c>
      <c r="BG22" s="26"/>
      <c r="BH22" s="26">
        <v>0.5</v>
      </c>
      <c r="BL22" s="26"/>
      <c r="BM22" s="26">
        <v>0.5</v>
      </c>
      <c r="BN22" s="26"/>
      <c r="BO22" s="26">
        <v>0.5</v>
      </c>
      <c r="BS22" s="26"/>
      <c r="BT22" s="26">
        <v>0.8</v>
      </c>
      <c r="BU22" s="26"/>
      <c r="BV22" s="26">
        <v>0.8</v>
      </c>
      <c r="BZ22" s="26"/>
      <c r="CA22" s="26">
        <v>0.8</v>
      </c>
      <c r="CB22" s="26"/>
      <c r="CC22" s="26">
        <v>0.8</v>
      </c>
      <c r="CG22" s="26"/>
      <c r="CH22" s="26">
        <v>0.8</v>
      </c>
      <c r="CI22" s="26"/>
      <c r="CJ22" s="26">
        <v>0.8</v>
      </c>
      <c r="CN22" s="26"/>
      <c r="CO22" s="26">
        <v>0.8</v>
      </c>
      <c r="CP22" s="26"/>
      <c r="CQ22" s="26">
        <v>0.8</v>
      </c>
      <c r="CU22" s="26"/>
      <c r="CV22" s="26">
        <v>1</v>
      </c>
      <c r="CW22" s="26"/>
      <c r="CX22" s="26">
        <v>1</v>
      </c>
      <c r="DB22" s="26"/>
      <c r="DC22" s="26">
        <v>1</v>
      </c>
      <c r="DD22" s="26"/>
      <c r="DE22" s="26">
        <v>1</v>
      </c>
      <c r="DI22" s="26"/>
      <c r="DJ22" s="26">
        <v>1</v>
      </c>
      <c r="DK22" s="26"/>
      <c r="DL22" s="26">
        <v>1</v>
      </c>
      <c r="DP22" s="26"/>
      <c r="DQ22" s="26">
        <v>1</v>
      </c>
      <c r="DR22" s="26"/>
      <c r="DS22" s="26">
        <v>1</v>
      </c>
      <c r="DW22" s="26"/>
      <c r="DX22" s="26">
        <v>1</v>
      </c>
      <c r="DY22" s="26"/>
      <c r="DZ22" s="26">
        <v>1</v>
      </c>
      <c r="ED22" s="26"/>
      <c r="EE22" s="26">
        <v>1</v>
      </c>
      <c r="EF22" s="26"/>
      <c r="EG22" s="26">
        <v>1</v>
      </c>
      <c r="EK22" s="26"/>
      <c r="EL22" s="26">
        <v>1</v>
      </c>
      <c r="EM22" s="26"/>
      <c r="EN22" s="26">
        <v>1</v>
      </c>
      <c r="ER22" s="26"/>
      <c r="ES22" s="26">
        <v>1</v>
      </c>
      <c r="ET22" s="26"/>
      <c r="EU22" s="26">
        <v>1</v>
      </c>
      <c r="EY22" s="26"/>
      <c r="EZ22" s="26">
        <v>1</v>
      </c>
      <c r="FA22" s="26"/>
      <c r="FB22" s="26">
        <v>1</v>
      </c>
      <c r="FF22" s="26"/>
      <c r="FG22" s="26">
        <v>1</v>
      </c>
      <c r="FH22" s="26"/>
      <c r="FI22" s="26">
        <v>1</v>
      </c>
    </row>
    <row r="23" spans="2:165" outlineLevel="1">
      <c r="B23" s="15" t="s">
        <v>28</v>
      </c>
      <c r="C23" s="15" t="s">
        <v>141</v>
      </c>
      <c r="E23" s="29"/>
      <c r="F23" s="32" t="s">
        <v>148</v>
      </c>
      <c r="G23" s="26">
        <v>0</v>
      </c>
      <c r="I23" s="29">
        <f t="shared" si="1"/>
        <v>0</v>
      </c>
      <c r="J23" s="28">
        <f t="array" ref="J23">MAX(IF($N$3:$EH$3=$J$3,N23:EH23))</f>
        <v>0</v>
      </c>
      <c r="K23" s="28">
        <f t="array" ref="K23">MAX(IF($N$3:$EH$3=$J$3,N23:EH23))</f>
        <v>0</v>
      </c>
      <c r="L23" s="29"/>
      <c r="O23" s="26"/>
      <c r="P23" s="26"/>
      <c r="Q23" s="26"/>
      <c r="R23" s="26"/>
      <c r="V23" s="26"/>
      <c r="W23" s="26"/>
      <c r="X23" s="26"/>
      <c r="Y23" s="26"/>
      <c r="AC23" s="26"/>
      <c r="AD23" s="26"/>
      <c r="AE23" s="26"/>
      <c r="AF23" s="26"/>
      <c r="AJ23" s="26"/>
      <c r="AK23" s="36"/>
      <c r="AL23" s="26"/>
      <c r="AM23" s="26"/>
      <c r="AQ23" s="26"/>
      <c r="AR23" s="26"/>
      <c r="AS23" s="26"/>
      <c r="AT23" s="26"/>
      <c r="AX23" s="26"/>
      <c r="AY23" s="26">
        <v>0.5</v>
      </c>
      <c r="AZ23" s="26"/>
      <c r="BA23" s="26">
        <v>0.5</v>
      </c>
      <c r="BE23" s="26"/>
      <c r="BF23" s="26">
        <v>0.5</v>
      </c>
      <c r="BG23" s="26"/>
      <c r="BH23" s="26">
        <v>0.5</v>
      </c>
      <c r="BL23" s="26"/>
      <c r="BM23" s="26">
        <v>0.5</v>
      </c>
      <c r="BN23" s="26"/>
      <c r="BO23" s="26">
        <v>0.5</v>
      </c>
      <c r="BS23" s="26"/>
      <c r="BT23" s="26">
        <v>0.5</v>
      </c>
      <c r="BU23" s="26"/>
      <c r="BV23" s="26">
        <v>0.5</v>
      </c>
      <c r="BZ23" s="26"/>
      <c r="CA23" s="26">
        <v>0.8</v>
      </c>
      <c r="CB23" s="26"/>
      <c r="CC23" s="26">
        <v>0.8</v>
      </c>
      <c r="CG23" s="26"/>
      <c r="CH23" s="26">
        <v>0.8</v>
      </c>
      <c r="CI23" s="26"/>
      <c r="CJ23" s="26">
        <v>0.8</v>
      </c>
      <c r="CN23" s="26"/>
      <c r="CO23" s="26">
        <v>0.8</v>
      </c>
      <c r="CP23" s="26"/>
      <c r="CQ23" s="26">
        <v>0.8</v>
      </c>
      <c r="CU23" s="26"/>
      <c r="CV23" s="26">
        <v>1</v>
      </c>
      <c r="CW23" s="26"/>
      <c r="CX23" s="26">
        <v>1</v>
      </c>
      <c r="DB23" s="26"/>
      <c r="DC23" s="26">
        <v>1</v>
      </c>
      <c r="DD23" s="26"/>
      <c r="DE23" s="26">
        <v>1</v>
      </c>
      <c r="DI23" s="26"/>
      <c r="DJ23" s="26">
        <v>1</v>
      </c>
      <c r="DK23" s="26"/>
      <c r="DL23" s="26">
        <v>1</v>
      </c>
      <c r="DP23" s="26"/>
      <c r="DQ23" s="26">
        <v>1</v>
      </c>
      <c r="DR23" s="26"/>
      <c r="DS23" s="26">
        <v>1</v>
      </c>
      <c r="DW23" s="26"/>
      <c r="DX23" s="26">
        <v>1</v>
      </c>
      <c r="DY23" s="26"/>
      <c r="DZ23" s="26">
        <v>1</v>
      </c>
      <c r="ED23" s="26"/>
      <c r="EE23" s="26">
        <v>1</v>
      </c>
      <c r="EF23" s="26"/>
      <c r="EG23" s="26">
        <v>1</v>
      </c>
      <c r="EK23" s="26"/>
      <c r="EL23" s="26">
        <v>1</v>
      </c>
      <c r="EM23" s="26"/>
      <c r="EN23" s="26">
        <v>1</v>
      </c>
      <c r="ER23" s="26"/>
      <c r="ES23" s="26">
        <v>1</v>
      </c>
      <c r="ET23" s="26"/>
      <c r="EU23" s="26">
        <v>1</v>
      </c>
      <c r="EY23" s="26"/>
      <c r="EZ23" s="26">
        <v>1</v>
      </c>
      <c r="FA23" s="26"/>
      <c r="FB23" s="26">
        <v>1</v>
      </c>
      <c r="FF23" s="26"/>
      <c r="FG23" s="26">
        <v>1</v>
      </c>
      <c r="FH23" s="26"/>
      <c r="FI23" s="26">
        <v>1</v>
      </c>
    </row>
    <row r="24" spans="2:165" outlineLevel="1">
      <c r="B24" s="15" t="s">
        <v>28</v>
      </c>
      <c r="C24" s="15" t="s">
        <v>141</v>
      </c>
      <c r="E24" s="29"/>
      <c r="F24" s="32" t="s">
        <v>149</v>
      </c>
      <c r="G24" s="26">
        <v>0</v>
      </c>
      <c r="I24" s="29">
        <f t="shared" si="1"/>
        <v>0</v>
      </c>
      <c r="J24" s="28">
        <f t="array" ref="J24">MAX(IF($N$3:$EH$3=$J$3,N24:EH24))</f>
        <v>0</v>
      </c>
      <c r="K24" s="28">
        <f t="array" ref="K24">MAX(IF($N$3:$EH$3=$J$3,N24:EH24))</f>
        <v>0</v>
      </c>
      <c r="L24" s="29"/>
      <c r="O24" s="26"/>
      <c r="P24" s="26"/>
      <c r="Q24" s="26"/>
      <c r="R24" s="26"/>
      <c r="V24" s="26"/>
      <c r="W24" s="26"/>
      <c r="X24" s="26"/>
      <c r="Y24" s="26"/>
      <c r="AC24" s="26"/>
      <c r="AD24" s="26"/>
      <c r="AE24" s="26"/>
      <c r="AF24" s="26"/>
      <c r="AJ24" s="26"/>
      <c r="AK24" s="36"/>
      <c r="AL24" s="26"/>
      <c r="AM24" s="26"/>
      <c r="AQ24" s="26"/>
      <c r="AR24" s="36"/>
      <c r="AS24" s="26"/>
      <c r="AT24" s="26"/>
      <c r="AX24" s="26"/>
      <c r="AY24" s="26"/>
      <c r="AZ24" s="26"/>
      <c r="BA24" s="26"/>
      <c r="BE24" s="26"/>
      <c r="BF24" s="26">
        <v>0.5</v>
      </c>
      <c r="BG24" s="26"/>
      <c r="BH24" s="26">
        <v>0.5</v>
      </c>
      <c r="BL24" s="26"/>
      <c r="BM24" s="26">
        <v>0.5</v>
      </c>
      <c r="BN24" s="26"/>
      <c r="BO24" s="26">
        <v>0.5</v>
      </c>
      <c r="BS24" s="26"/>
      <c r="BT24" s="26">
        <v>0.5</v>
      </c>
      <c r="BU24" s="26"/>
      <c r="BV24" s="26">
        <v>0.5</v>
      </c>
      <c r="BZ24" s="26"/>
      <c r="CA24" s="26">
        <v>0.5</v>
      </c>
      <c r="CB24" s="26"/>
      <c r="CC24" s="26">
        <v>0.5</v>
      </c>
      <c r="CG24" s="26"/>
      <c r="CH24" s="26">
        <v>0.8</v>
      </c>
      <c r="CI24" s="26"/>
      <c r="CJ24" s="26">
        <v>0.8</v>
      </c>
      <c r="CN24" s="26"/>
      <c r="CO24" s="26">
        <v>0.8</v>
      </c>
      <c r="CP24" s="26"/>
      <c r="CQ24" s="26">
        <v>0.8</v>
      </c>
      <c r="CU24" s="26"/>
      <c r="CV24" s="26">
        <v>0.8</v>
      </c>
      <c r="CW24" s="26"/>
      <c r="CX24" s="26">
        <v>0.8</v>
      </c>
      <c r="DB24" s="26"/>
      <c r="DC24" s="26">
        <v>1</v>
      </c>
      <c r="DD24" s="26"/>
      <c r="DE24" s="26">
        <v>1</v>
      </c>
      <c r="DI24" s="26"/>
      <c r="DJ24" s="26">
        <v>1</v>
      </c>
      <c r="DK24" s="26"/>
      <c r="DL24" s="26">
        <v>1</v>
      </c>
      <c r="DP24" s="26"/>
      <c r="DQ24" s="26">
        <v>1</v>
      </c>
      <c r="DR24" s="26"/>
      <c r="DS24" s="26">
        <v>1</v>
      </c>
      <c r="DW24" s="26"/>
      <c r="DX24" s="26">
        <v>1</v>
      </c>
      <c r="DY24" s="26"/>
      <c r="DZ24" s="26">
        <v>1</v>
      </c>
      <c r="ED24" s="26"/>
      <c r="EE24" s="26">
        <v>1</v>
      </c>
      <c r="EF24" s="26"/>
      <c r="EG24" s="26">
        <v>1</v>
      </c>
      <c r="EK24" s="26"/>
      <c r="EL24" s="26">
        <v>1</v>
      </c>
      <c r="EM24" s="26"/>
      <c r="EN24" s="26">
        <v>1</v>
      </c>
      <c r="ER24" s="26"/>
      <c r="ES24" s="26">
        <v>1</v>
      </c>
      <c r="ET24" s="26"/>
      <c r="EU24" s="26">
        <v>1</v>
      </c>
      <c r="EY24" s="26"/>
      <c r="EZ24" s="26">
        <v>1</v>
      </c>
      <c r="FA24" s="26"/>
      <c r="FB24" s="26">
        <v>1</v>
      </c>
      <c r="FF24" s="26"/>
      <c r="FG24" s="26">
        <v>1</v>
      </c>
      <c r="FH24" s="26"/>
      <c r="FI24" s="26">
        <v>1</v>
      </c>
    </row>
    <row r="25" spans="2:165" outlineLevel="1">
      <c r="B25" s="15" t="s">
        <v>28</v>
      </c>
      <c r="C25" s="15" t="s">
        <v>141</v>
      </c>
      <c r="E25" s="29"/>
      <c r="F25" s="32" t="s">
        <v>150</v>
      </c>
      <c r="G25" s="26">
        <v>0</v>
      </c>
      <c r="I25" s="29">
        <f t="shared" si="1"/>
        <v>0</v>
      </c>
      <c r="J25" s="28">
        <f t="array" ref="J25">MAX(IF($N$3:$EH$3=$J$3,N25:EH25))</f>
        <v>0</v>
      </c>
      <c r="K25" s="28">
        <f t="array" ref="K25">MAX(IF($N$3:$EH$3=$J$3,N25:EH25))</f>
        <v>0</v>
      </c>
      <c r="L25" s="29"/>
      <c r="O25" s="26"/>
      <c r="P25" s="26"/>
      <c r="Q25" s="26"/>
      <c r="R25" s="26"/>
      <c r="V25" s="26"/>
      <c r="W25" s="26"/>
      <c r="X25" s="26"/>
      <c r="Y25" s="26"/>
      <c r="AC25" s="26"/>
      <c r="AD25" s="26"/>
      <c r="AE25" s="26"/>
      <c r="AF25" s="26"/>
      <c r="AJ25" s="26"/>
      <c r="AK25" s="26"/>
      <c r="AL25" s="26"/>
      <c r="AM25" s="26"/>
      <c r="AQ25" s="26"/>
      <c r="AR25" s="36"/>
      <c r="AS25" s="26"/>
      <c r="AT25" s="26"/>
      <c r="AX25" s="26"/>
      <c r="AY25" s="36"/>
      <c r="AZ25" s="26"/>
      <c r="BA25" s="26"/>
      <c r="BE25" s="26"/>
      <c r="BF25" s="26"/>
      <c r="BG25" s="26"/>
      <c r="BH25" s="26"/>
      <c r="BL25" s="26"/>
      <c r="BM25" s="26">
        <v>0.5</v>
      </c>
      <c r="BN25" s="26"/>
      <c r="BO25" s="26">
        <v>0.5</v>
      </c>
      <c r="BS25" s="26"/>
      <c r="BT25" s="26">
        <v>0.5</v>
      </c>
      <c r="BU25" s="26"/>
      <c r="BV25" s="26">
        <v>0.5</v>
      </c>
      <c r="BZ25" s="26"/>
      <c r="CA25" s="26">
        <v>0.5</v>
      </c>
      <c r="CB25" s="26"/>
      <c r="CC25" s="26">
        <v>0.5</v>
      </c>
      <c r="CG25" s="26"/>
      <c r="CH25" s="26">
        <v>0.5</v>
      </c>
      <c r="CI25" s="26"/>
      <c r="CJ25" s="26">
        <v>0.5</v>
      </c>
      <c r="CN25" s="26"/>
      <c r="CO25" s="26">
        <v>0.8</v>
      </c>
      <c r="CP25" s="26"/>
      <c r="CQ25" s="26">
        <v>0.8</v>
      </c>
      <c r="CT25" s="16"/>
      <c r="CU25" s="26"/>
      <c r="CV25" s="26">
        <v>0.8</v>
      </c>
      <c r="CW25" s="26"/>
      <c r="CX25" s="26">
        <v>0.8</v>
      </c>
      <c r="DB25" s="26"/>
      <c r="DC25" s="26">
        <v>1</v>
      </c>
      <c r="DD25" s="26"/>
      <c r="DE25" s="26">
        <v>1</v>
      </c>
      <c r="DI25" s="26"/>
      <c r="DJ25" s="26">
        <v>1</v>
      </c>
      <c r="DK25" s="26"/>
      <c r="DL25" s="26">
        <v>1</v>
      </c>
      <c r="DP25" s="26"/>
      <c r="DQ25" s="26">
        <v>1</v>
      </c>
      <c r="DR25" s="26"/>
      <c r="DS25" s="26">
        <v>1</v>
      </c>
      <c r="DW25" s="26"/>
      <c r="DX25" s="26">
        <v>1</v>
      </c>
      <c r="DY25" s="26"/>
      <c r="DZ25" s="26">
        <v>1</v>
      </c>
      <c r="ED25" s="26"/>
      <c r="EE25" s="26">
        <v>1</v>
      </c>
      <c r="EF25" s="26"/>
      <c r="EG25" s="26">
        <v>1</v>
      </c>
      <c r="EK25" s="26"/>
      <c r="EL25" s="26">
        <v>1</v>
      </c>
      <c r="EM25" s="26"/>
      <c r="EN25" s="26">
        <v>1</v>
      </c>
      <c r="ER25" s="26"/>
      <c r="ES25" s="26">
        <v>1</v>
      </c>
      <c r="ET25" s="26"/>
      <c r="EU25" s="26">
        <v>1</v>
      </c>
      <c r="EY25" s="26"/>
      <c r="EZ25" s="26">
        <v>1</v>
      </c>
      <c r="FA25" s="26"/>
      <c r="FB25" s="26">
        <v>1</v>
      </c>
      <c r="FF25" s="26"/>
      <c r="FG25" s="26">
        <v>1</v>
      </c>
      <c r="FH25" s="26"/>
      <c r="FI25" s="26">
        <v>1</v>
      </c>
    </row>
    <row r="26" spans="2:165" outlineLevel="1">
      <c r="D26" s="15" t="s">
        <v>168</v>
      </c>
      <c r="E26" s="29"/>
      <c r="F26" s="47">
        <f>+(3*9)/14</f>
        <v>1.9285714285714286</v>
      </c>
      <c r="G26" s="26"/>
      <c r="I26" s="29"/>
      <c r="J26" s="28"/>
      <c r="K26" s="28"/>
      <c r="L26" s="29"/>
      <c r="O26" s="26"/>
      <c r="P26" s="26"/>
      <c r="Q26" s="26"/>
      <c r="R26" s="26"/>
      <c r="V26" s="26"/>
      <c r="W26" s="26"/>
      <c r="X26" s="26"/>
      <c r="Y26" s="26"/>
      <c r="AC26" s="26"/>
      <c r="AD26" s="26"/>
      <c r="AE26" s="26"/>
      <c r="AF26" s="26"/>
      <c r="AJ26" s="26"/>
      <c r="AK26" s="26"/>
      <c r="AL26" s="26"/>
      <c r="AM26" s="26"/>
      <c r="AQ26" s="26"/>
      <c r="AR26" s="36"/>
      <c r="AS26" s="26"/>
      <c r="AT26" s="26"/>
      <c r="AX26" s="26"/>
      <c r="AY26" s="36"/>
      <c r="AZ26" s="26"/>
      <c r="BA26" s="26"/>
      <c r="BE26" s="26"/>
      <c r="BF26" s="26"/>
      <c r="BG26" s="26"/>
      <c r="BH26" s="26"/>
      <c r="BL26" s="26"/>
      <c r="BM26" s="26"/>
      <c r="BN26" s="26"/>
      <c r="BO26" s="26"/>
      <c r="BS26" s="26"/>
      <c r="BT26" s="26"/>
      <c r="BU26" s="26"/>
      <c r="BV26" s="26"/>
      <c r="BZ26" s="26"/>
      <c r="CA26" s="26"/>
      <c r="CB26" s="26"/>
      <c r="CC26" s="26"/>
      <c r="CG26" s="26"/>
      <c r="CH26" s="26"/>
      <c r="CI26" s="26"/>
      <c r="CJ26" s="26"/>
      <c r="CN26" s="26"/>
      <c r="CO26" s="26"/>
      <c r="CP26" s="26"/>
      <c r="CQ26" s="26"/>
      <c r="CT26" s="16"/>
      <c r="CU26" s="26"/>
      <c r="CV26" s="26"/>
      <c r="CW26" s="26"/>
      <c r="CX26" s="26"/>
      <c r="DB26" s="26"/>
      <c r="DC26" s="26"/>
      <c r="DD26" s="26"/>
      <c r="DE26" s="26"/>
      <c r="DI26" s="26"/>
      <c r="DJ26" s="26"/>
      <c r="DK26" s="26"/>
      <c r="DL26" s="26"/>
      <c r="DP26" s="26"/>
      <c r="DQ26" s="26"/>
      <c r="DR26" s="26"/>
      <c r="DS26" s="26"/>
      <c r="DW26" s="26"/>
      <c r="DX26" s="26"/>
      <c r="DY26" s="26"/>
      <c r="DZ26" s="26"/>
      <c r="ED26" s="26"/>
      <c r="EE26" s="26"/>
      <c r="EF26" s="26"/>
      <c r="EG26" s="26"/>
      <c r="EK26" s="26"/>
      <c r="EL26" s="26"/>
      <c r="EM26" s="26"/>
      <c r="EN26" s="26"/>
      <c r="ER26" s="26"/>
      <c r="ES26" s="26"/>
      <c r="ET26" s="26"/>
      <c r="EU26" s="26"/>
      <c r="EY26" s="26"/>
      <c r="EZ26" s="26"/>
      <c r="FA26" s="26"/>
      <c r="FB26" s="26"/>
      <c r="FF26" s="26"/>
      <c r="FG26" s="26"/>
      <c r="FH26" s="26"/>
      <c r="FI26" s="26"/>
    </row>
    <row r="27" spans="2:165" ht="16.2" customHeight="1"/>
    <row r="28" spans="2:165">
      <c r="B28" s="15" t="s">
        <v>27</v>
      </c>
      <c r="C28" s="15" t="s">
        <v>99</v>
      </c>
      <c r="D28" s="30">
        <v>45344</v>
      </c>
      <c r="E28" s="29">
        <v>6</v>
      </c>
      <c r="G28" s="26">
        <f>+SUM(G29:G34)</f>
        <v>0</v>
      </c>
      <c r="I28" s="27">
        <f>+SUM(I29:I34)</f>
        <v>0</v>
      </c>
      <c r="J28" s="28">
        <f>+SUMPRODUCT(G29:G34,J29:J34)</f>
        <v>0</v>
      </c>
      <c r="K28" s="28">
        <f>+SUMPRODUCT(G29:G34,K29:K34)</f>
        <v>0</v>
      </c>
      <c r="L28" s="29"/>
      <c r="N28" s="27">
        <f>+SUM(N29:N34)</f>
        <v>0</v>
      </c>
      <c r="U28" s="27">
        <f>+SUM(U29:U34)</f>
        <v>0</v>
      </c>
      <c r="AB28" s="37">
        <f>+SUM(AB29:AB34)</f>
        <v>0</v>
      </c>
      <c r="AI28" s="37">
        <f>+SUM(AI29:AI34)</f>
        <v>0</v>
      </c>
      <c r="AP28" s="27">
        <f>+SUM(AP29:AP34)</f>
        <v>0</v>
      </c>
      <c r="AW28" s="15">
        <f>+SUM(AW29:AW34)</f>
        <v>0</v>
      </c>
      <c r="BD28" s="15">
        <f>SUM(BD29:BD34)</f>
        <v>0</v>
      </c>
      <c r="BK28" s="15">
        <f>SUM(BK29:BK34)</f>
        <v>0</v>
      </c>
      <c r="BR28" s="15">
        <f>+SUM(BR29:BR34)</f>
        <v>0</v>
      </c>
      <c r="BY28" s="15">
        <f>SUM(BY29:BY34)</f>
        <v>0</v>
      </c>
      <c r="CF28" s="15">
        <f>+SUM(CF29:CF34)</f>
        <v>0</v>
      </c>
      <c r="CM28" s="15">
        <f>+SUM(CM29:CM34)</f>
        <v>0</v>
      </c>
      <c r="CT28" s="15">
        <f>+SUM(CT29:CT34)</f>
        <v>0</v>
      </c>
      <c r="DA28" s="15">
        <f>+SUM(DA29:DA34)</f>
        <v>0</v>
      </c>
      <c r="DH28" s="15">
        <f>+SUM(DH29:DH34)</f>
        <v>0</v>
      </c>
      <c r="DO28" s="15">
        <f>+SUM(DO29:DO34)</f>
        <v>0</v>
      </c>
    </row>
    <row r="29" spans="2:165" outlineLevel="1">
      <c r="B29" s="15" t="s">
        <v>28</v>
      </c>
      <c r="C29" s="15" t="s">
        <v>99</v>
      </c>
      <c r="E29" s="29"/>
      <c r="F29" s="16" t="s">
        <v>100</v>
      </c>
      <c r="G29" s="26">
        <v>0</v>
      </c>
      <c r="I29" s="29">
        <f t="shared" ref="I29:I34" si="2">+SUMIF($N$3:$AAA$3,I$3,$N29:$AAA29)</f>
        <v>0</v>
      </c>
      <c r="J29" s="28">
        <f t="array" ref="J29">MAX(IF($N$3:$EH$3=$J$3,N29:EH29))</f>
        <v>0</v>
      </c>
      <c r="K29" s="28">
        <f t="array" ref="K29">MAX(IF($N$3:$EH$3=$J$3,N29:EH29))</f>
        <v>0</v>
      </c>
      <c r="L29" s="29"/>
      <c r="O29" s="26"/>
      <c r="P29" s="26">
        <v>0.5</v>
      </c>
      <c r="Q29" s="26"/>
      <c r="R29" s="26">
        <v>0.5</v>
      </c>
      <c r="V29" s="26"/>
      <c r="W29" s="26">
        <v>0.5</v>
      </c>
      <c r="X29" s="26"/>
      <c r="Y29" s="26">
        <v>0.5</v>
      </c>
      <c r="AC29" s="26"/>
      <c r="AD29" s="26">
        <v>0.5</v>
      </c>
      <c r="AE29" s="26"/>
      <c r="AF29" s="26">
        <v>0.5</v>
      </c>
      <c r="AJ29" s="26"/>
      <c r="AK29" s="26">
        <v>0.5</v>
      </c>
      <c r="AL29" s="26"/>
      <c r="AM29" s="26">
        <v>0.5</v>
      </c>
      <c r="AQ29" s="26"/>
      <c r="AR29" s="26">
        <v>0.5</v>
      </c>
      <c r="AS29" s="26"/>
      <c r="AT29" s="26">
        <v>0.5</v>
      </c>
      <c r="AX29" s="26"/>
      <c r="AY29" s="26">
        <v>0.8</v>
      </c>
      <c r="AZ29" s="26"/>
      <c r="BA29" s="26">
        <v>0.8</v>
      </c>
      <c r="BE29" s="26"/>
      <c r="BF29" s="26">
        <v>0.8</v>
      </c>
      <c r="BG29" s="26"/>
      <c r="BH29" s="26">
        <v>0.8</v>
      </c>
      <c r="BL29" s="26"/>
      <c r="BM29" s="26">
        <v>0.8</v>
      </c>
      <c r="BN29" s="26"/>
      <c r="BO29" s="26">
        <v>0.8</v>
      </c>
      <c r="BS29" s="26"/>
      <c r="BT29" s="26">
        <v>0.8</v>
      </c>
      <c r="BU29" s="26"/>
      <c r="BV29" s="26">
        <v>0.8</v>
      </c>
      <c r="BZ29" s="26"/>
      <c r="CA29" s="26">
        <v>1</v>
      </c>
      <c r="CB29" s="26"/>
      <c r="CC29" s="26">
        <v>1</v>
      </c>
      <c r="CG29" s="26"/>
      <c r="CH29" s="26">
        <v>1</v>
      </c>
      <c r="CI29" s="26"/>
      <c r="CJ29" s="26">
        <v>1</v>
      </c>
      <c r="CN29" s="26"/>
      <c r="CO29" s="26">
        <v>1</v>
      </c>
      <c r="CP29" s="26"/>
      <c r="CQ29" s="26">
        <v>1</v>
      </c>
      <c r="CU29" s="26"/>
      <c r="CV29" s="26">
        <v>1</v>
      </c>
      <c r="CW29" s="26"/>
      <c r="CX29" s="26">
        <v>1</v>
      </c>
      <c r="DB29" s="26"/>
      <c r="DC29" s="26">
        <v>1</v>
      </c>
      <c r="DD29" s="26"/>
      <c r="DE29" s="26">
        <v>1</v>
      </c>
      <c r="DF29" s="26">
        <v>1</v>
      </c>
      <c r="DI29" s="26"/>
      <c r="DJ29" s="26">
        <v>1</v>
      </c>
      <c r="DK29" s="26"/>
      <c r="DL29" s="26">
        <v>1</v>
      </c>
      <c r="DP29" s="26"/>
      <c r="DQ29" s="26">
        <v>1</v>
      </c>
      <c r="DR29" s="26"/>
      <c r="DS29" s="26">
        <v>1</v>
      </c>
      <c r="DW29" s="26"/>
      <c r="DX29" s="26">
        <v>1</v>
      </c>
      <c r="DY29" s="26"/>
      <c r="DZ29" s="26">
        <v>1</v>
      </c>
      <c r="EA29" s="15" t="s">
        <v>162</v>
      </c>
      <c r="ED29" s="26"/>
      <c r="EE29" s="26">
        <v>1</v>
      </c>
      <c r="EF29" s="26"/>
      <c r="EG29" s="26">
        <v>1</v>
      </c>
      <c r="EK29" s="26"/>
      <c r="EL29" s="26">
        <v>1</v>
      </c>
      <c r="EM29" s="26"/>
      <c r="EN29" s="26">
        <v>1</v>
      </c>
      <c r="ER29" s="26"/>
      <c r="ES29" s="26">
        <v>1</v>
      </c>
      <c r="ET29" s="26"/>
      <c r="EU29" s="26">
        <v>1</v>
      </c>
      <c r="EY29" s="26"/>
      <c r="EZ29" s="26">
        <v>1</v>
      </c>
      <c r="FA29" s="26"/>
      <c r="FB29" s="26">
        <v>1</v>
      </c>
      <c r="FF29" s="26"/>
      <c r="FG29" s="26">
        <v>1</v>
      </c>
      <c r="FH29" s="26"/>
      <c r="FI29" s="26">
        <v>1</v>
      </c>
    </row>
    <row r="30" spans="2:165" outlineLevel="1">
      <c r="B30" s="15" t="s">
        <v>28</v>
      </c>
      <c r="C30" s="15" t="s">
        <v>99</v>
      </c>
      <c r="E30" s="29"/>
      <c r="F30" s="16" t="s">
        <v>101</v>
      </c>
      <c r="G30" s="26">
        <v>0</v>
      </c>
      <c r="I30" s="29">
        <f t="shared" si="2"/>
        <v>0</v>
      </c>
      <c r="J30" s="28">
        <f t="array" ref="J30">MAX(IF($N$3:$EH$3=$J$3,N30:EH30))</f>
        <v>0</v>
      </c>
      <c r="K30" s="28">
        <f t="array" ref="K30">MAX(IF($N$3:$EH$3=$J$3,N30:EH30))</f>
        <v>0</v>
      </c>
      <c r="L30" s="29"/>
      <c r="O30" s="26"/>
      <c r="P30" s="26"/>
      <c r="Q30" s="26"/>
      <c r="R30" s="26"/>
      <c r="V30" s="26"/>
      <c r="W30" s="26"/>
      <c r="X30" s="26"/>
      <c r="Y30" s="26"/>
      <c r="AC30" s="26"/>
      <c r="AD30" s="26"/>
      <c r="AE30" s="26"/>
      <c r="AF30" s="26"/>
      <c r="AJ30" s="26"/>
      <c r="AK30" s="26">
        <v>0.5</v>
      </c>
      <c r="AL30" s="26"/>
      <c r="AM30" s="26">
        <v>0.5</v>
      </c>
      <c r="AQ30" s="26"/>
      <c r="AR30" s="26">
        <v>0.5</v>
      </c>
      <c r="AS30" s="26"/>
      <c r="AT30" s="26">
        <v>0.5</v>
      </c>
      <c r="AX30" s="26"/>
      <c r="AY30" s="26">
        <v>0.5</v>
      </c>
      <c r="AZ30" s="26"/>
      <c r="BA30" s="26">
        <v>0.5</v>
      </c>
      <c r="BE30" s="26"/>
      <c r="BF30" s="26">
        <v>0.5</v>
      </c>
      <c r="BG30" s="26"/>
      <c r="BH30" s="26">
        <v>0.5</v>
      </c>
      <c r="BI30" s="15">
        <v>2</v>
      </c>
      <c r="BL30" s="26"/>
      <c r="BM30" s="26">
        <v>0.8</v>
      </c>
      <c r="BN30" s="26"/>
      <c r="BO30" s="26">
        <v>0.8</v>
      </c>
      <c r="BS30" s="26"/>
      <c r="BT30" s="26">
        <v>0.8</v>
      </c>
      <c r="BU30" s="26"/>
      <c r="BV30" s="26">
        <v>0.8</v>
      </c>
      <c r="BZ30" s="26"/>
      <c r="CA30" s="26">
        <v>0.8</v>
      </c>
      <c r="CB30" s="26"/>
      <c r="CC30" s="26">
        <v>0.8</v>
      </c>
      <c r="CG30" s="26"/>
      <c r="CH30" s="26">
        <v>0.8</v>
      </c>
      <c r="CI30" s="26"/>
      <c r="CJ30" s="26">
        <v>0.8</v>
      </c>
      <c r="CN30" s="26"/>
      <c r="CO30" s="26">
        <v>1</v>
      </c>
      <c r="CP30" s="26"/>
      <c r="CQ30" s="26">
        <v>1</v>
      </c>
      <c r="CU30" s="26"/>
      <c r="CV30" s="26">
        <v>1</v>
      </c>
      <c r="CW30" s="26"/>
      <c r="CX30" s="26">
        <v>1</v>
      </c>
      <c r="DB30" s="26"/>
      <c r="DC30" s="26">
        <v>1</v>
      </c>
      <c r="DD30" s="26"/>
      <c r="DE30" s="26">
        <v>1</v>
      </c>
      <c r="DI30" s="26"/>
      <c r="DJ30" s="26">
        <v>1</v>
      </c>
      <c r="DK30" s="26"/>
      <c r="DL30" s="26">
        <v>1</v>
      </c>
      <c r="DP30" s="26"/>
      <c r="DQ30" s="26">
        <v>1</v>
      </c>
      <c r="DR30" s="26"/>
      <c r="DS30" s="26">
        <v>1</v>
      </c>
      <c r="DW30" s="26"/>
      <c r="DX30" s="26">
        <v>1</v>
      </c>
      <c r="DY30" s="26"/>
      <c r="DZ30" s="26">
        <v>1</v>
      </c>
      <c r="ED30" s="26"/>
      <c r="EE30" s="26">
        <v>1</v>
      </c>
      <c r="EF30" s="26"/>
      <c r="EG30" s="26">
        <v>1</v>
      </c>
      <c r="EK30" s="26"/>
      <c r="EL30" s="26">
        <v>1</v>
      </c>
      <c r="EM30" s="26"/>
      <c r="EN30" s="26">
        <v>1</v>
      </c>
      <c r="ER30" s="26"/>
      <c r="ES30" s="26">
        <v>1</v>
      </c>
      <c r="ET30" s="26"/>
      <c r="EU30" s="26">
        <v>1</v>
      </c>
      <c r="EY30" s="26"/>
      <c r="EZ30" s="26">
        <v>1</v>
      </c>
      <c r="FA30" s="26"/>
      <c r="FB30" s="26">
        <v>1</v>
      </c>
      <c r="FF30" s="26"/>
      <c r="FG30" s="26">
        <v>1</v>
      </c>
      <c r="FH30" s="26"/>
      <c r="FI30" s="26">
        <v>1</v>
      </c>
    </row>
    <row r="31" spans="2:165" outlineLevel="1">
      <c r="B31" s="15" t="s">
        <v>28</v>
      </c>
      <c r="C31" s="15" t="s">
        <v>99</v>
      </c>
      <c r="E31" s="29"/>
      <c r="F31" s="16" t="s">
        <v>102</v>
      </c>
      <c r="G31" s="26">
        <v>0</v>
      </c>
      <c r="I31" s="29">
        <f t="shared" si="2"/>
        <v>0</v>
      </c>
      <c r="J31" s="28">
        <f t="array" ref="J31">MAX(IF($N$3:$EH$3=$J$3,N31:EH31))</f>
        <v>0</v>
      </c>
      <c r="K31" s="28">
        <f t="array" ref="K31">MAX(IF($N$3:$EH$3=$J$3,N31:EH31))</f>
        <v>0</v>
      </c>
      <c r="L31" s="29"/>
      <c r="O31" s="26"/>
      <c r="P31" s="26"/>
      <c r="Q31" s="26"/>
      <c r="R31" s="26"/>
      <c r="V31" s="26"/>
      <c r="W31" s="26"/>
      <c r="X31" s="26"/>
      <c r="Y31" s="26"/>
      <c r="AC31" s="26"/>
      <c r="AD31" s="26"/>
      <c r="AE31" s="26"/>
      <c r="AF31" s="26"/>
      <c r="AG31" s="15">
        <v>2</v>
      </c>
      <c r="AJ31" s="26"/>
      <c r="AK31" s="26">
        <v>0.5</v>
      </c>
      <c r="AL31" s="26"/>
      <c r="AM31" s="26">
        <v>0.5</v>
      </c>
      <c r="AN31" s="15">
        <v>1</v>
      </c>
      <c r="AQ31" s="26"/>
      <c r="AR31" s="26">
        <v>0.5</v>
      </c>
      <c r="AS31" s="26"/>
      <c r="AT31" s="26">
        <v>0.5</v>
      </c>
      <c r="AU31" s="15">
        <v>2</v>
      </c>
      <c r="AX31" s="26"/>
      <c r="AY31" s="26">
        <v>0.5</v>
      </c>
      <c r="AZ31" s="26"/>
      <c r="BA31" s="26">
        <v>0.5</v>
      </c>
      <c r="BB31" s="15">
        <v>1</v>
      </c>
      <c r="BE31" s="26"/>
      <c r="BF31" s="26">
        <v>0.5</v>
      </c>
      <c r="BG31" s="26"/>
      <c r="BH31" s="26">
        <v>0.5</v>
      </c>
      <c r="BL31" s="26"/>
      <c r="BM31" s="26">
        <v>0.8</v>
      </c>
      <c r="BN31" s="26"/>
      <c r="BO31" s="26">
        <v>0.8</v>
      </c>
      <c r="BP31" s="15">
        <v>1</v>
      </c>
      <c r="BS31" s="26"/>
      <c r="BT31" s="26">
        <v>0.8</v>
      </c>
      <c r="BU31" s="26"/>
      <c r="BV31" s="26">
        <v>0.8</v>
      </c>
      <c r="BZ31" s="26"/>
      <c r="CA31" s="26">
        <v>0.8</v>
      </c>
      <c r="CB31" s="26"/>
      <c r="CC31" s="26">
        <v>0.8</v>
      </c>
      <c r="CG31" s="26"/>
      <c r="CH31" s="26">
        <v>0.8</v>
      </c>
      <c r="CI31" s="26"/>
      <c r="CJ31" s="26">
        <v>0.8</v>
      </c>
      <c r="CN31" s="26"/>
      <c r="CO31" s="26">
        <v>1</v>
      </c>
      <c r="CP31" s="26"/>
      <c r="CQ31" s="26">
        <v>1</v>
      </c>
      <c r="CU31" s="26"/>
      <c r="CV31" s="26">
        <v>1</v>
      </c>
      <c r="CW31" s="26"/>
      <c r="CX31" s="26">
        <v>1</v>
      </c>
      <c r="DB31" s="26"/>
      <c r="DC31" s="26">
        <v>1</v>
      </c>
      <c r="DD31" s="26"/>
      <c r="DE31" s="26">
        <v>1</v>
      </c>
      <c r="DI31" s="26"/>
      <c r="DJ31" s="26">
        <v>1</v>
      </c>
      <c r="DK31" s="26"/>
      <c r="DL31" s="26">
        <v>1</v>
      </c>
      <c r="DP31" s="26"/>
      <c r="DQ31" s="26">
        <v>1</v>
      </c>
      <c r="DR31" s="26"/>
      <c r="DS31" s="26">
        <v>1</v>
      </c>
      <c r="DW31" s="26"/>
      <c r="DX31" s="26">
        <v>1</v>
      </c>
      <c r="DY31" s="26"/>
      <c r="DZ31" s="26">
        <v>1</v>
      </c>
      <c r="ED31" s="26"/>
      <c r="EE31" s="26">
        <v>1</v>
      </c>
      <c r="EF31" s="26"/>
      <c r="EG31" s="26">
        <v>1</v>
      </c>
      <c r="EK31" s="26"/>
      <c r="EL31" s="26">
        <v>1</v>
      </c>
      <c r="EM31" s="26"/>
      <c r="EN31" s="26">
        <v>1</v>
      </c>
      <c r="ER31" s="26"/>
      <c r="ES31" s="26">
        <v>1</v>
      </c>
      <c r="ET31" s="26"/>
      <c r="EU31" s="26">
        <v>1</v>
      </c>
      <c r="EY31" s="26"/>
      <c r="EZ31" s="26">
        <v>1</v>
      </c>
      <c r="FA31" s="26"/>
      <c r="FB31" s="26">
        <v>1</v>
      </c>
      <c r="FF31" s="26"/>
      <c r="FG31" s="26">
        <v>1</v>
      </c>
      <c r="FH31" s="26"/>
      <c r="FI31" s="26">
        <v>1</v>
      </c>
    </row>
    <row r="32" spans="2:165" outlineLevel="1">
      <c r="B32" s="15" t="s">
        <v>28</v>
      </c>
      <c r="C32" s="15" t="s">
        <v>99</v>
      </c>
      <c r="E32" s="29"/>
      <c r="F32" s="16" t="s">
        <v>103</v>
      </c>
      <c r="G32" s="26">
        <v>0</v>
      </c>
      <c r="I32" s="29">
        <f t="shared" si="2"/>
        <v>0</v>
      </c>
      <c r="J32" s="28">
        <f t="array" ref="J32">MAX(IF($N$3:$EH$3=$J$3,N32:EH32))</f>
        <v>0</v>
      </c>
      <c r="K32" s="28">
        <f t="array" ref="K32">MAX(IF($N$3:$EH$3=$J$3,N32:EH32))</f>
        <v>0</v>
      </c>
      <c r="L32" s="29"/>
      <c r="O32" s="26"/>
      <c r="P32" s="26"/>
      <c r="Q32" s="26"/>
      <c r="R32" s="26"/>
      <c r="V32" s="26"/>
      <c r="W32" s="26"/>
      <c r="X32" s="26"/>
      <c r="Y32" s="26"/>
      <c r="AC32" s="26"/>
      <c r="AD32" s="26"/>
      <c r="AE32" s="26"/>
      <c r="AF32" s="26"/>
      <c r="AJ32" s="26"/>
      <c r="AK32" s="26"/>
      <c r="AL32" s="26"/>
      <c r="AM32" s="26"/>
      <c r="AQ32" s="26"/>
      <c r="AR32" s="26">
        <v>0.5</v>
      </c>
      <c r="AS32" s="26"/>
      <c r="AT32" s="26">
        <v>0.5</v>
      </c>
      <c r="AX32" s="26"/>
      <c r="AY32" s="26">
        <v>0.5</v>
      </c>
      <c r="AZ32" s="26"/>
      <c r="BA32" s="26">
        <v>0.5</v>
      </c>
      <c r="BE32" s="26"/>
      <c r="BF32" s="26">
        <v>0.5</v>
      </c>
      <c r="BG32" s="26"/>
      <c r="BH32" s="26">
        <v>0.5</v>
      </c>
      <c r="BL32" s="26"/>
      <c r="BM32" s="26">
        <v>0.5</v>
      </c>
      <c r="BN32" s="26"/>
      <c r="BO32" s="26">
        <v>0.5</v>
      </c>
      <c r="BS32" s="26"/>
      <c r="BT32" s="26">
        <v>0.8</v>
      </c>
      <c r="BU32" s="26"/>
      <c r="BV32" s="26">
        <v>0.8</v>
      </c>
      <c r="BW32" s="15">
        <v>2</v>
      </c>
      <c r="BZ32" s="26"/>
      <c r="CA32" s="26">
        <v>0.8</v>
      </c>
      <c r="CB32" s="26"/>
      <c r="CC32" s="26">
        <v>0.8</v>
      </c>
      <c r="CD32" s="15">
        <v>1</v>
      </c>
      <c r="CG32" s="26"/>
      <c r="CH32" s="26">
        <v>0.8</v>
      </c>
      <c r="CI32" s="26"/>
      <c r="CJ32" s="26">
        <v>0.8</v>
      </c>
      <c r="CK32" s="15">
        <v>2</v>
      </c>
      <c r="CN32" s="26"/>
      <c r="CO32" s="26">
        <v>0.8</v>
      </c>
      <c r="CP32" s="26"/>
      <c r="CQ32" s="26">
        <v>0.8</v>
      </c>
      <c r="CU32" s="26"/>
      <c r="CV32" s="26">
        <v>1</v>
      </c>
      <c r="CW32" s="26"/>
      <c r="CX32" s="26">
        <v>1</v>
      </c>
      <c r="DA32" s="16"/>
      <c r="DB32" s="26"/>
      <c r="DC32" s="26">
        <v>1</v>
      </c>
      <c r="DD32" s="26"/>
      <c r="DE32" s="26">
        <v>1</v>
      </c>
      <c r="DI32" s="26"/>
      <c r="DJ32" s="26">
        <v>1</v>
      </c>
      <c r="DK32" s="26"/>
      <c r="DL32" s="26">
        <v>1</v>
      </c>
      <c r="DP32" s="26"/>
      <c r="DQ32" s="26">
        <v>1</v>
      </c>
      <c r="DR32" s="26"/>
      <c r="DS32" s="26">
        <v>1</v>
      </c>
      <c r="DW32" s="26"/>
      <c r="DX32" s="26">
        <v>1</v>
      </c>
      <c r="DY32" s="26"/>
      <c r="DZ32" s="26">
        <v>1</v>
      </c>
      <c r="ED32" s="26"/>
      <c r="EE32" s="26">
        <v>1</v>
      </c>
      <c r="EF32" s="26"/>
      <c r="EG32" s="26">
        <v>1</v>
      </c>
      <c r="EK32" s="26"/>
      <c r="EL32" s="26">
        <v>1</v>
      </c>
      <c r="EM32" s="26"/>
      <c r="EN32" s="26">
        <v>1</v>
      </c>
      <c r="ER32" s="26"/>
      <c r="ES32" s="26">
        <v>1</v>
      </c>
      <c r="ET32" s="26"/>
      <c r="EU32" s="26">
        <v>1</v>
      </c>
      <c r="EY32" s="26"/>
      <c r="EZ32" s="26">
        <v>1</v>
      </c>
      <c r="FA32" s="26"/>
      <c r="FB32" s="26">
        <v>1</v>
      </c>
      <c r="FF32" s="26"/>
      <c r="FG32" s="26">
        <v>1</v>
      </c>
      <c r="FH32" s="26"/>
      <c r="FI32" s="26">
        <v>1</v>
      </c>
    </row>
    <row r="33" spans="2:165" outlineLevel="1">
      <c r="B33" s="15" t="s">
        <v>28</v>
      </c>
      <c r="C33" s="15" t="s">
        <v>99</v>
      </c>
      <c r="E33" s="29"/>
      <c r="F33" s="16" t="s">
        <v>104</v>
      </c>
      <c r="G33" s="26">
        <v>0</v>
      </c>
      <c r="I33" s="29">
        <f t="shared" si="2"/>
        <v>0</v>
      </c>
      <c r="J33" s="28">
        <f t="array" ref="J33">MAX(IF($N$3:$EH$3=$J$3,N33:EH33))</f>
        <v>0</v>
      </c>
      <c r="K33" s="28">
        <f t="array" ref="K33">MAX(IF($N$3:$EH$3=$J$3,N33:EH33))</f>
        <v>0</v>
      </c>
      <c r="L33" s="29"/>
      <c r="O33" s="26"/>
      <c r="P33" s="26"/>
      <c r="Q33" s="26"/>
      <c r="R33" s="26"/>
      <c r="V33" s="26"/>
      <c r="W33" s="26"/>
      <c r="X33" s="26"/>
      <c r="Y33" s="26"/>
      <c r="AC33" s="26"/>
      <c r="AD33" s="26"/>
      <c r="AE33" s="26"/>
      <c r="AF33" s="26"/>
      <c r="AJ33" s="26"/>
      <c r="AK33" s="26"/>
      <c r="AL33" s="26"/>
      <c r="AM33" s="26"/>
      <c r="AQ33" s="26"/>
      <c r="AR33" s="26"/>
      <c r="AS33" s="26"/>
      <c r="AT33" s="26"/>
      <c r="AX33" s="26"/>
      <c r="AY33" s="26">
        <v>0.5</v>
      </c>
      <c r="AZ33" s="26"/>
      <c r="BA33" s="26">
        <v>0.5</v>
      </c>
      <c r="BE33" s="26"/>
      <c r="BF33" s="26">
        <v>0.5</v>
      </c>
      <c r="BG33" s="26"/>
      <c r="BH33" s="26">
        <v>0.5</v>
      </c>
      <c r="BL33" s="26"/>
      <c r="BM33" s="26">
        <v>0.5</v>
      </c>
      <c r="BN33" s="26"/>
      <c r="BO33" s="26">
        <v>0.5</v>
      </c>
      <c r="BS33" s="26"/>
      <c r="BT33" s="26">
        <v>0.5</v>
      </c>
      <c r="BU33" s="26"/>
      <c r="BV33" s="26">
        <v>0.5</v>
      </c>
      <c r="BZ33" s="26"/>
      <c r="CA33" s="26">
        <v>0.8</v>
      </c>
      <c r="CB33" s="26"/>
      <c r="CC33" s="26">
        <v>0.8</v>
      </c>
      <c r="CG33" s="26"/>
      <c r="CH33" s="26">
        <v>0.8</v>
      </c>
      <c r="CI33" s="26"/>
      <c r="CJ33" s="26">
        <v>0.8</v>
      </c>
      <c r="CN33" s="26"/>
      <c r="CO33" s="26">
        <v>0.8</v>
      </c>
      <c r="CP33" s="26"/>
      <c r="CQ33" s="26">
        <v>0.8</v>
      </c>
      <c r="CR33" s="15">
        <v>1</v>
      </c>
      <c r="CU33" s="26"/>
      <c r="CV33" s="26">
        <v>0.8</v>
      </c>
      <c r="CW33" s="26"/>
      <c r="CX33" s="26">
        <v>0.8</v>
      </c>
      <c r="CY33" s="15">
        <v>2</v>
      </c>
      <c r="DB33" s="26"/>
      <c r="DC33" s="26">
        <v>1</v>
      </c>
      <c r="DD33" s="26"/>
      <c r="DE33" s="26">
        <v>1</v>
      </c>
      <c r="DI33" s="26"/>
      <c r="DJ33" s="26">
        <v>1</v>
      </c>
      <c r="DK33" s="26"/>
      <c r="DL33" s="26">
        <v>1</v>
      </c>
      <c r="DP33" s="26"/>
      <c r="DQ33" s="26">
        <v>1</v>
      </c>
      <c r="DR33" s="26"/>
      <c r="DS33" s="26">
        <v>1</v>
      </c>
      <c r="DW33" s="26"/>
      <c r="DX33" s="26">
        <v>1</v>
      </c>
      <c r="DY33" s="26"/>
      <c r="DZ33" s="26">
        <v>1</v>
      </c>
      <c r="ED33" s="26"/>
      <c r="EE33" s="26">
        <v>1</v>
      </c>
      <c r="EF33" s="26"/>
      <c r="EG33" s="26">
        <v>1</v>
      </c>
      <c r="EK33" s="26"/>
      <c r="EL33" s="26">
        <v>1</v>
      </c>
      <c r="EM33" s="26"/>
      <c r="EN33" s="26">
        <v>1</v>
      </c>
      <c r="ER33" s="26"/>
      <c r="ES33" s="26">
        <v>1</v>
      </c>
      <c r="ET33" s="26"/>
      <c r="EU33" s="26">
        <v>1</v>
      </c>
      <c r="EY33" s="26"/>
      <c r="EZ33" s="26">
        <v>1</v>
      </c>
      <c r="FA33" s="26"/>
      <c r="FB33" s="26">
        <v>1</v>
      </c>
      <c r="FF33" s="26"/>
      <c r="FG33" s="26">
        <v>1</v>
      </c>
      <c r="FH33" s="26"/>
      <c r="FI33" s="26">
        <v>1</v>
      </c>
    </row>
    <row r="34" spans="2:165" outlineLevel="1">
      <c r="B34" s="15" t="s">
        <v>28</v>
      </c>
      <c r="C34" s="15" t="s">
        <v>99</v>
      </c>
      <c r="E34" s="29"/>
      <c r="F34" s="16" t="s">
        <v>105</v>
      </c>
      <c r="G34" s="26">
        <v>0</v>
      </c>
      <c r="I34" s="29">
        <f t="shared" si="2"/>
        <v>0</v>
      </c>
      <c r="J34" s="28">
        <f t="array" ref="J34">MAX(IF($N$3:$EH$3=$J$3,N34:EH34))</f>
        <v>0</v>
      </c>
      <c r="K34" s="28">
        <f t="array" ref="K34">MAX(IF($N$3:$EH$3=$J$3,N34:EH34))</f>
        <v>0</v>
      </c>
      <c r="L34" s="29"/>
      <c r="O34" s="26"/>
      <c r="P34" s="26"/>
      <c r="Q34" s="26"/>
      <c r="R34" s="26"/>
      <c r="V34" s="26"/>
      <c r="W34" s="26"/>
      <c r="X34" s="26"/>
      <c r="Y34" s="26"/>
      <c r="AC34" s="26"/>
      <c r="AD34" s="26"/>
      <c r="AE34" s="26"/>
      <c r="AF34" s="26"/>
      <c r="AJ34" s="26"/>
      <c r="AK34" s="26"/>
      <c r="AL34" s="26"/>
      <c r="AM34" s="26"/>
      <c r="AQ34" s="26"/>
      <c r="AR34" s="26"/>
      <c r="AS34" s="26"/>
      <c r="AT34" s="26"/>
      <c r="AX34" s="26"/>
      <c r="AY34" s="26"/>
      <c r="AZ34" s="26"/>
      <c r="BA34" s="26"/>
      <c r="BE34" s="26"/>
      <c r="BF34" s="26">
        <v>0.5</v>
      </c>
      <c r="BG34" s="26"/>
      <c r="BH34" s="26">
        <v>0.5</v>
      </c>
      <c r="BL34" s="26"/>
      <c r="BM34" s="26">
        <v>0.5</v>
      </c>
      <c r="BN34" s="26"/>
      <c r="BO34" s="26">
        <v>0.5</v>
      </c>
      <c r="BS34" s="26"/>
      <c r="BT34" s="26">
        <v>0.5</v>
      </c>
      <c r="BU34" s="26"/>
      <c r="BV34" s="26">
        <v>0.5</v>
      </c>
      <c r="BZ34" s="26"/>
      <c r="CA34" s="26">
        <v>0.5</v>
      </c>
      <c r="CB34" s="26"/>
      <c r="CC34" s="26">
        <v>0.5</v>
      </c>
      <c r="CG34" s="26"/>
      <c r="CH34" s="26">
        <v>0.8</v>
      </c>
      <c r="CI34" s="26"/>
      <c r="CJ34" s="26">
        <v>0.8</v>
      </c>
      <c r="CN34" s="26"/>
      <c r="CO34" s="26">
        <v>0.8</v>
      </c>
      <c r="CP34" s="26"/>
      <c r="CQ34" s="26">
        <v>0.8</v>
      </c>
      <c r="CU34" s="26"/>
      <c r="CV34" s="26">
        <v>0.8</v>
      </c>
      <c r="CW34" s="26"/>
      <c r="CX34" s="26">
        <v>0.8</v>
      </c>
      <c r="DB34" s="26"/>
      <c r="DC34" s="26">
        <v>1</v>
      </c>
      <c r="DD34" s="26"/>
      <c r="DE34" s="26">
        <v>1</v>
      </c>
      <c r="DI34" s="26"/>
      <c r="DJ34" s="26">
        <v>1</v>
      </c>
      <c r="DK34" s="26"/>
      <c r="DL34" s="26">
        <v>1</v>
      </c>
      <c r="DP34" s="26"/>
      <c r="DQ34" s="26">
        <v>1</v>
      </c>
      <c r="DR34" s="26"/>
      <c r="DS34" s="26">
        <v>1</v>
      </c>
      <c r="DW34" s="26"/>
      <c r="DX34" s="26">
        <v>1</v>
      </c>
      <c r="DY34" s="26"/>
      <c r="DZ34" s="26">
        <v>1</v>
      </c>
      <c r="ED34" s="26"/>
      <c r="EE34" s="26">
        <v>1</v>
      </c>
      <c r="EF34" s="26"/>
      <c r="EG34" s="26">
        <v>1</v>
      </c>
      <c r="EK34" s="26"/>
      <c r="EL34" s="26">
        <v>1</v>
      </c>
      <c r="EM34" s="26"/>
      <c r="EN34" s="26">
        <v>1</v>
      </c>
      <c r="ER34" s="26"/>
      <c r="ES34" s="26">
        <v>1</v>
      </c>
      <c r="ET34" s="26"/>
      <c r="EU34" s="26">
        <v>1</v>
      </c>
      <c r="EY34" s="26"/>
      <c r="EZ34" s="26">
        <v>1</v>
      </c>
      <c r="FA34" s="26"/>
      <c r="FB34" s="26">
        <v>1</v>
      </c>
      <c r="FF34" s="26"/>
      <c r="FG34" s="26">
        <v>1</v>
      </c>
      <c r="FH34" s="26"/>
      <c r="FI34" s="26">
        <v>1</v>
      </c>
    </row>
    <row r="35" spans="2:165" outlineLevel="1">
      <c r="D35" s="15" t="s">
        <v>168</v>
      </c>
      <c r="E35" s="29"/>
      <c r="F35" s="16">
        <f>+(3*6)/14</f>
        <v>1.2857142857142858</v>
      </c>
      <c r="G35" s="26"/>
      <c r="I35" s="29"/>
      <c r="J35" s="28"/>
      <c r="K35" s="28"/>
      <c r="L35" s="29"/>
      <c r="O35" s="26"/>
      <c r="P35" s="26"/>
      <c r="Q35" s="26"/>
      <c r="R35" s="26"/>
      <c r="V35" s="26"/>
      <c r="W35" s="26"/>
      <c r="X35" s="26"/>
      <c r="Y35" s="26"/>
      <c r="AC35" s="26"/>
      <c r="AD35" s="26"/>
      <c r="AE35" s="26"/>
      <c r="AF35" s="26"/>
      <c r="AJ35" s="26"/>
      <c r="AK35" s="26"/>
      <c r="AL35" s="26"/>
      <c r="AM35" s="26"/>
      <c r="AQ35" s="26"/>
      <c r="AR35" s="26"/>
      <c r="AS35" s="26"/>
      <c r="AT35" s="26"/>
      <c r="AX35" s="26"/>
      <c r="AY35" s="26"/>
      <c r="AZ35" s="26"/>
      <c r="BA35" s="26"/>
      <c r="BE35" s="26"/>
      <c r="BF35" s="26"/>
      <c r="BG35" s="26"/>
      <c r="BH35" s="26"/>
      <c r="BI35" s="26"/>
      <c r="BL35" s="26"/>
      <c r="BM35" s="26"/>
      <c r="BN35" s="26"/>
      <c r="BO35" s="26"/>
      <c r="BS35" s="26"/>
      <c r="BT35" s="26"/>
      <c r="BU35" s="26"/>
      <c r="BV35" s="26"/>
      <c r="BZ35" s="26"/>
      <c r="CA35" s="26"/>
      <c r="CB35" s="26"/>
      <c r="CC35" s="26"/>
      <c r="CG35" s="26"/>
      <c r="CH35" s="26"/>
      <c r="CI35" s="26"/>
      <c r="CJ35" s="26"/>
      <c r="CN35" s="26"/>
      <c r="CO35" s="26"/>
      <c r="CP35" s="26"/>
      <c r="CQ35" s="26"/>
      <c r="CU35" s="26"/>
      <c r="CV35" s="26"/>
      <c r="CW35" s="26"/>
      <c r="CX35" s="26"/>
      <c r="DB35" s="26"/>
      <c r="DC35" s="26"/>
      <c r="DD35" s="26"/>
      <c r="DE35" s="26"/>
      <c r="DI35" s="26"/>
      <c r="DJ35" s="26"/>
      <c r="DK35" s="26"/>
      <c r="DL35" s="26"/>
      <c r="DP35" s="26"/>
      <c r="DQ35" s="26"/>
      <c r="DR35" s="26"/>
      <c r="DS35" s="26"/>
      <c r="DW35" s="26"/>
      <c r="DX35" s="26"/>
      <c r="DY35" s="26"/>
      <c r="DZ35" s="26"/>
      <c r="ED35" s="26"/>
      <c r="EE35" s="26"/>
      <c r="EF35" s="26"/>
      <c r="EG35" s="26"/>
      <c r="EK35" s="26"/>
      <c r="EL35" s="26"/>
      <c r="EM35" s="26"/>
      <c r="EN35" s="26"/>
      <c r="ER35" s="26"/>
      <c r="ES35" s="26"/>
      <c r="ET35" s="26"/>
      <c r="EU35" s="26"/>
      <c r="EY35" s="26"/>
      <c r="EZ35" s="26"/>
      <c r="FA35" s="26"/>
      <c r="FB35" s="26"/>
      <c r="FF35" s="26"/>
      <c r="FG35" s="26"/>
      <c r="FH35" s="26"/>
      <c r="FI35" s="26"/>
    </row>
    <row r="36" spans="2:165">
      <c r="BF36" s="26"/>
      <c r="BG36" s="26"/>
      <c r="BH36" s="26"/>
      <c r="BI36" s="26"/>
      <c r="BN36" s="26"/>
      <c r="BS36" s="26"/>
      <c r="BU36" s="26"/>
      <c r="BZ36" s="26"/>
      <c r="CB36" s="26"/>
    </row>
    <row r="37" spans="2:165">
      <c r="B37" s="15" t="s">
        <v>27</v>
      </c>
      <c r="C37" s="15" t="s">
        <v>86</v>
      </c>
      <c r="D37" s="30">
        <v>45336</v>
      </c>
      <c r="E37" s="29">
        <v>6</v>
      </c>
      <c r="G37" s="26">
        <f>+SUM(G38:G46)</f>
        <v>0</v>
      </c>
      <c r="I37" s="27">
        <f>+SUM(I38:I46)</f>
        <v>0</v>
      </c>
      <c r="J37" s="28">
        <f>+SUMPRODUCT(G38:G46,J38:J46)</f>
        <v>0</v>
      </c>
      <c r="K37" s="28">
        <f>+SUMPRODUCT(G38:G46,K38:K46)</f>
        <v>0</v>
      </c>
      <c r="L37" s="29"/>
      <c r="N37" s="37">
        <f>+SUM(N38:N46)</f>
        <v>0</v>
      </c>
      <c r="U37" s="37">
        <f>+SUM(U38:U46)</f>
        <v>0</v>
      </c>
      <c r="AB37" s="27">
        <f>+SUM(AB38:AB46)</f>
        <v>0</v>
      </c>
      <c r="AI37" s="37"/>
      <c r="AP37" s="27">
        <f>+SUM(AP38:AP46)</f>
        <v>0</v>
      </c>
      <c r="AW37" s="15">
        <f>SUM(AW38:AW45)</f>
        <v>0</v>
      </c>
      <c r="BD37" s="15">
        <f>SUM(BD38:BD45)</f>
        <v>0</v>
      </c>
      <c r="BK37" s="15">
        <f>SUM(BK38:BK46)</f>
        <v>0</v>
      </c>
      <c r="BR37" s="15">
        <f>+SUM(BR38:BR44)</f>
        <v>0</v>
      </c>
      <c r="BY37" s="15">
        <f>+SUM(BY38:BY45)</f>
        <v>0</v>
      </c>
      <c r="CM37" s="15">
        <f>+SUM(CM38:CM46)</f>
        <v>0</v>
      </c>
      <c r="CT37" s="15">
        <f>+SUM(CT38:CT45)</f>
        <v>0</v>
      </c>
      <c r="DA37" s="15">
        <f>+SUM(DA38:DA45)</f>
        <v>0</v>
      </c>
      <c r="DH37" s="15">
        <f>+SUM(DH38:DH45)</f>
        <v>0</v>
      </c>
      <c r="DO37" s="15">
        <f>+SUM(DO38:DO45)</f>
        <v>0</v>
      </c>
    </row>
    <row r="38" spans="2:165" outlineLevel="1">
      <c r="B38" s="15" t="s">
        <v>28</v>
      </c>
      <c r="C38" s="15" t="s">
        <v>86</v>
      </c>
      <c r="E38" s="29"/>
      <c r="F38" s="15" t="s">
        <v>88</v>
      </c>
      <c r="G38" s="26">
        <v>0</v>
      </c>
      <c r="I38" s="29">
        <f t="shared" ref="I38:I46" si="3">+SUMIF($N$3:$AAA$3,I$3,$N38:$AAA38)</f>
        <v>0</v>
      </c>
      <c r="J38" s="28">
        <f t="array" ref="J38">MAX(IF($N$3:$EH$3=$J$3,N38:EH38))</f>
        <v>0</v>
      </c>
      <c r="K38" s="28">
        <f t="array" ref="K38">MAX(IF($N$3:$EH$3=$J$3,N38:EH38))</f>
        <v>0</v>
      </c>
      <c r="L38" s="29"/>
      <c r="O38" s="26"/>
      <c r="P38" s="26">
        <v>0.5</v>
      </c>
      <c r="Q38" s="26"/>
      <c r="R38" s="26">
        <v>0.5</v>
      </c>
      <c r="V38" s="26"/>
      <c r="W38" s="26">
        <v>0.5</v>
      </c>
      <c r="X38" s="26"/>
      <c r="Y38" s="26">
        <v>0.5</v>
      </c>
      <c r="AC38" s="26"/>
      <c r="AD38" s="26">
        <v>0.8</v>
      </c>
      <c r="AE38" s="26"/>
      <c r="AF38" s="26">
        <v>0.8</v>
      </c>
      <c r="AJ38" s="26"/>
      <c r="AK38" s="26">
        <v>0.8</v>
      </c>
      <c r="AL38" s="26"/>
      <c r="AM38" s="26">
        <v>0.8</v>
      </c>
      <c r="AQ38" s="26"/>
      <c r="AR38" s="26">
        <v>0.8</v>
      </c>
      <c r="AS38" s="26"/>
      <c r="AT38" s="26">
        <v>0.8</v>
      </c>
      <c r="AX38" s="26"/>
      <c r="AY38" s="26">
        <v>0.8</v>
      </c>
      <c r="AZ38" s="26"/>
      <c r="BA38" s="26">
        <v>0.8</v>
      </c>
      <c r="BE38" s="26"/>
      <c r="BF38" s="26">
        <v>0.8</v>
      </c>
      <c r="BG38" s="26"/>
      <c r="BH38" s="26">
        <v>0.8</v>
      </c>
      <c r="BL38" s="26"/>
      <c r="BM38" s="26">
        <v>1</v>
      </c>
      <c r="BN38" s="26"/>
      <c r="BO38" s="26">
        <v>1</v>
      </c>
      <c r="BS38" s="26"/>
      <c r="BT38" s="26">
        <v>1</v>
      </c>
      <c r="BU38" s="26"/>
      <c r="BV38" s="26">
        <v>1</v>
      </c>
      <c r="BZ38" s="26"/>
      <c r="CA38" s="26">
        <v>1</v>
      </c>
      <c r="CB38" s="26"/>
      <c r="CC38" s="26">
        <v>1</v>
      </c>
      <c r="CF38" s="15">
        <f>+SUM(CF39:CF45)</f>
        <v>0</v>
      </c>
      <c r="CG38" s="26"/>
      <c r="CH38" s="26">
        <v>1</v>
      </c>
      <c r="CI38" s="26"/>
      <c r="CJ38" s="26">
        <v>1</v>
      </c>
      <c r="CN38" s="26"/>
      <c r="CO38" s="26">
        <v>1</v>
      </c>
      <c r="CP38" s="26"/>
      <c r="CQ38" s="26">
        <v>1</v>
      </c>
      <c r="CU38" s="26"/>
      <c r="CV38" s="26">
        <v>1</v>
      </c>
      <c r="CW38" s="26"/>
      <c r="CX38" s="26">
        <v>1</v>
      </c>
      <c r="CY38" s="26">
        <v>1</v>
      </c>
      <c r="DB38" s="26"/>
      <c r="DC38" s="26">
        <v>1</v>
      </c>
      <c r="DD38" s="26"/>
      <c r="DE38" s="26">
        <v>1</v>
      </c>
      <c r="DI38" s="26"/>
      <c r="DJ38" s="26">
        <v>1</v>
      </c>
      <c r="DK38" s="26"/>
      <c r="DL38" s="26">
        <v>1</v>
      </c>
      <c r="DP38" s="26"/>
      <c r="DQ38" s="26">
        <v>1</v>
      </c>
      <c r="DR38" s="26"/>
      <c r="DS38" s="26">
        <v>1</v>
      </c>
      <c r="DT38" s="15" t="s">
        <v>162</v>
      </c>
      <c r="DW38" s="26"/>
      <c r="DX38" s="26">
        <v>1</v>
      </c>
      <c r="DY38" s="26"/>
      <c r="DZ38" s="26">
        <v>1</v>
      </c>
      <c r="ED38" s="26"/>
      <c r="EE38" s="26">
        <v>1</v>
      </c>
      <c r="EF38" s="26"/>
      <c r="EG38" s="26">
        <v>1</v>
      </c>
      <c r="EK38" s="26"/>
      <c r="EL38" s="26">
        <v>1</v>
      </c>
      <c r="EM38" s="26"/>
      <c r="EN38" s="26">
        <v>1</v>
      </c>
      <c r="ER38" s="26"/>
      <c r="ES38" s="26">
        <v>1</v>
      </c>
      <c r="ET38" s="26"/>
      <c r="EU38" s="26">
        <v>1</v>
      </c>
      <c r="EY38" s="26"/>
      <c r="EZ38" s="26">
        <v>1</v>
      </c>
      <c r="FA38" s="26"/>
      <c r="FB38" s="26">
        <v>1</v>
      </c>
      <c r="FF38" s="26"/>
      <c r="FG38" s="26">
        <v>1</v>
      </c>
      <c r="FH38" s="26"/>
      <c r="FI38" s="26">
        <v>1</v>
      </c>
    </row>
    <row r="39" spans="2:165" outlineLevel="1">
      <c r="B39" s="15" t="s">
        <v>28</v>
      </c>
      <c r="C39" s="15" t="s">
        <v>86</v>
      </c>
      <c r="E39" s="29"/>
      <c r="F39" s="15" t="s">
        <v>89</v>
      </c>
      <c r="G39" s="26">
        <v>0</v>
      </c>
      <c r="I39" s="29">
        <f t="shared" si="3"/>
        <v>0</v>
      </c>
      <c r="J39" s="28">
        <f t="array" ref="J39">MAX(IF($N$3:$EH$3=$J$3,N39:EH39))</f>
        <v>0</v>
      </c>
      <c r="K39" s="28">
        <f t="array" ref="K39">MAX(IF($N$3:$EH$3=$J$3,N39:EH39))</f>
        <v>0</v>
      </c>
      <c r="L39" s="29"/>
      <c r="O39" s="26"/>
      <c r="P39" s="26">
        <v>0.5</v>
      </c>
      <c r="Q39" s="26"/>
      <c r="R39" s="26">
        <v>0.5</v>
      </c>
      <c r="V39" s="26"/>
      <c r="W39" s="26">
        <v>0.5</v>
      </c>
      <c r="X39" s="26"/>
      <c r="Y39" s="26">
        <v>0.5</v>
      </c>
      <c r="AC39" s="26"/>
      <c r="AD39" s="26">
        <v>0.5</v>
      </c>
      <c r="AE39" s="26"/>
      <c r="AF39" s="26">
        <v>0.5</v>
      </c>
      <c r="AJ39" s="26"/>
      <c r="AK39" s="26">
        <v>0.8</v>
      </c>
      <c r="AL39" s="26"/>
      <c r="AM39" s="26">
        <v>0.8</v>
      </c>
      <c r="AQ39" s="26"/>
      <c r="AR39" s="26">
        <v>0.8</v>
      </c>
      <c r="AS39" s="26"/>
      <c r="AT39" s="26">
        <v>0.8</v>
      </c>
      <c r="AX39" s="26"/>
      <c r="AY39" s="26">
        <v>0.8</v>
      </c>
      <c r="AZ39" s="26"/>
      <c r="BA39" s="26">
        <v>0.8</v>
      </c>
      <c r="BE39" s="26"/>
      <c r="BF39" s="26">
        <v>0.8</v>
      </c>
      <c r="BG39" s="26"/>
      <c r="BH39" s="26">
        <v>0.8</v>
      </c>
      <c r="BL39" s="26"/>
      <c r="BM39" s="26">
        <v>0.8</v>
      </c>
      <c r="BN39" s="26"/>
      <c r="BO39" s="26">
        <v>0.8</v>
      </c>
      <c r="BS39" s="26"/>
      <c r="BT39" s="26">
        <v>1</v>
      </c>
      <c r="BU39" s="26"/>
      <c r="BV39" s="26">
        <v>1</v>
      </c>
      <c r="BZ39" s="26"/>
      <c r="CA39" s="26">
        <v>1</v>
      </c>
      <c r="CB39" s="26"/>
      <c r="CC39" s="26">
        <v>1</v>
      </c>
      <c r="CG39" s="26"/>
      <c r="CH39" s="26">
        <v>1</v>
      </c>
      <c r="CI39" s="26"/>
      <c r="CJ39" s="26">
        <v>1</v>
      </c>
      <c r="CN39" s="26"/>
      <c r="CO39" s="26">
        <v>1</v>
      </c>
      <c r="CP39" s="26"/>
      <c r="CQ39" s="26">
        <v>1</v>
      </c>
      <c r="CU39" s="26"/>
      <c r="CV39" s="26">
        <v>1</v>
      </c>
      <c r="CW39" s="26"/>
      <c r="CX39" s="26">
        <v>1</v>
      </c>
      <c r="DB39" s="26"/>
      <c r="DC39" s="26">
        <v>1</v>
      </c>
      <c r="DD39" s="26"/>
      <c r="DE39" s="26">
        <v>1</v>
      </c>
      <c r="DI39" s="26"/>
      <c r="DJ39" s="26">
        <v>1</v>
      </c>
      <c r="DK39" s="26"/>
      <c r="DL39" s="26">
        <v>1</v>
      </c>
      <c r="DP39" s="26"/>
      <c r="DQ39" s="26">
        <v>1</v>
      </c>
      <c r="DR39" s="26"/>
      <c r="DS39" s="26">
        <v>1</v>
      </c>
      <c r="DW39" s="26"/>
      <c r="DX39" s="26">
        <v>1</v>
      </c>
      <c r="DY39" s="26"/>
      <c r="DZ39" s="26">
        <v>1</v>
      </c>
      <c r="ED39" s="26"/>
      <c r="EE39" s="26">
        <v>1</v>
      </c>
      <c r="EF39" s="26"/>
      <c r="EG39" s="26">
        <v>1</v>
      </c>
      <c r="EK39" s="26"/>
      <c r="EL39" s="26">
        <v>1</v>
      </c>
      <c r="EM39" s="26"/>
      <c r="EN39" s="26">
        <v>1</v>
      </c>
      <c r="ER39" s="26"/>
      <c r="ES39" s="26">
        <v>1</v>
      </c>
      <c r="ET39" s="26"/>
      <c r="EU39" s="26">
        <v>1</v>
      </c>
      <c r="EY39" s="26"/>
      <c r="EZ39" s="26">
        <v>1</v>
      </c>
      <c r="FA39" s="26"/>
      <c r="FB39" s="26">
        <v>1</v>
      </c>
      <c r="FF39" s="26"/>
      <c r="FG39" s="26">
        <v>1</v>
      </c>
      <c r="FH39" s="26"/>
      <c r="FI39" s="26">
        <v>1</v>
      </c>
    </row>
    <row r="40" spans="2:165" outlineLevel="1">
      <c r="B40" s="15" t="s">
        <v>28</v>
      </c>
      <c r="C40" s="15" t="s">
        <v>86</v>
      </c>
      <c r="E40" s="29"/>
      <c r="F40" s="15" t="s">
        <v>90</v>
      </c>
      <c r="G40" s="26">
        <v>0</v>
      </c>
      <c r="I40" s="29">
        <f t="shared" si="3"/>
        <v>0</v>
      </c>
      <c r="J40" s="28">
        <f t="array" ref="J40">MAX(IF($N$3:$EH$3=$J$3,N40:EH40))</f>
        <v>0</v>
      </c>
      <c r="K40" s="28">
        <f t="array" ref="K40">MAX(IF($N$3:$EH$3=$J$3,N40:EH40))</f>
        <v>0</v>
      </c>
      <c r="L40" s="29"/>
      <c r="O40" s="26"/>
      <c r="P40" s="26"/>
      <c r="Q40" s="26"/>
      <c r="R40" s="26"/>
      <c r="V40" s="26"/>
      <c r="W40" s="26">
        <v>0.5</v>
      </c>
      <c r="X40" s="26"/>
      <c r="Y40" s="26">
        <v>0.5</v>
      </c>
      <c r="AC40" s="26"/>
      <c r="AD40" s="26">
        <v>0.5</v>
      </c>
      <c r="AE40" s="26"/>
      <c r="AF40" s="26">
        <v>0.5</v>
      </c>
      <c r="AJ40" s="26"/>
      <c r="AK40" s="26">
        <v>0.5</v>
      </c>
      <c r="AL40" s="26"/>
      <c r="AM40" s="26">
        <v>0.5</v>
      </c>
      <c r="AQ40" s="26"/>
      <c r="AR40" s="26">
        <v>0.8</v>
      </c>
      <c r="AS40" s="26"/>
      <c r="AT40" s="26">
        <v>0.8</v>
      </c>
      <c r="AX40" s="26"/>
      <c r="AY40" s="26">
        <v>0.8</v>
      </c>
      <c r="AZ40" s="26"/>
      <c r="BA40" s="26">
        <v>0.8</v>
      </c>
      <c r="BE40" s="26"/>
      <c r="BF40" s="26">
        <v>0.8</v>
      </c>
      <c r="BG40" s="26"/>
      <c r="BH40" s="26">
        <v>0.8</v>
      </c>
      <c r="BL40" s="26"/>
      <c r="BM40" s="26">
        <v>0.8</v>
      </c>
      <c r="BN40" s="26"/>
      <c r="BO40" s="26">
        <v>0.8</v>
      </c>
      <c r="BS40" s="26"/>
      <c r="BT40" s="26">
        <v>0.8</v>
      </c>
      <c r="BU40" s="26"/>
      <c r="BV40" s="26">
        <v>0.8</v>
      </c>
      <c r="BZ40" s="26"/>
      <c r="CA40" s="26">
        <v>1</v>
      </c>
      <c r="CB40" s="26"/>
      <c r="CC40" s="26">
        <v>1</v>
      </c>
      <c r="CG40" s="26"/>
      <c r="CH40" s="26">
        <v>1</v>
      </c>
      <c r="CI40" s="26"/>
      <c r="CJ40" s="26">
        <v>1</v>
      </c>
      <c r="CN40" s="26"/>
      <c r="CO40" s="26">
        <v>1</v>
      </c>
      <c r="CP40" s="26"/>
      <c r="CQ40" s="26">
        <v>1</v>
      </c>
      <c r="CU40" s="26"/>
      <c r="CV40" s="26">
        <v>1</v>
      </c>
      <c r="CW40" s="26"/>
      <c r="CX40" s="26">
        <v>1</v>
      </c>
      <c r="DB40" s="26"/>
      <c r="DC40" s="26">
        <v>1</v>
      </c>
      <c r="DD40" s="26"/>
      <c r="DE40" s="26">
        <v>1</v>
      </c>
      <c r="DI40" s="26"/>
      <c r="DJ40" s="26">
        <v>1</v>
      </c>
      <c r="DK40" s="26"/>
      <c r="DL40" s="26">
        <v>1</v>
      </c>
      <c r="DP40" s="26"/>
      <c r="DQ40" s="26">
        <v>1</v>
      </c>
      <c r="DR40" s="26"/>
      <c r="DS40" s="26">
        <v>1</v>
      </c>
      <c r="DW40" s="26"/>
      <c r="DX40" s="26">
        <v>1</v>
      </c>
      <c r="DY40" s="26"/>
      <c r="DZ40" s="26">
        <v>1</v>
      </c>
      <c r="ED40" s="26"/>
      <c r="EE40" s="26">
        <v>1</v>
      </c>
      <c r="EF40" s="26"/>
      <c r="EG40" s="26">
        <v>1</v>
      </c>
      <c r="EK40" s="26"/>
      <c r="EL40" s="26">
        <v>1</v>
      </c>
      <c r="EM40" s="26"/>
      <c r="EN40" s="26">
        <v>1</v>
      </c>
      <c r="ER40" s="26"/>
      <c r="ES40" s="26">
        <v>1</v>
      </c>
      <c r="ET40" s="26"/>
      <c r="EU40" s="26">
        <v>1</v>
      </c>
      <c r="EY40" s="26"/>
      <c r="EZ40" s="26">
        <v>1</v>
      </c>
      <c r="FA40" s="26"/>
      <c r="FB40" s="26">
        <v>1</v>
      </c>
      <c r="FF40" s="26"/>
      <c r="FG40" s="26">
        <v>1</v>
      </c>
      <c r="FH40" s="26"/>
      <c r="FI40" s="26">
        <v>1</v>
      </c>
    </row>
    <row r="41" spans="2:165" outlineLevel="1">
      <c r="B41" s="15" t="s">
        <v>28</v>
      </c>
      <c r="C41" s="15" t="s">
        <v>86</v>
      </c>
      <c r="E41" s="29"/>
      <c r="F41" s="15" t="s">
        <v>91</v>
      </c>
      <c r="G41" s="26">
        <v>0</v>
      </c>
      <c r="I41" s="29">
        <f t="shared" si="3"/>
        <v>0</v>
      </c>
      <c r="J41" s="28">
        <f t="array" ref="J41">MAX(IF($N$3:$EH$3=$J$3,N41:EH41))</f>
        <v>0</v>
      </c>
      <c r="K41" s="28">
        <f t="array" ref="K41">MAX(IF($N$3:$EH$3=$J$3,N41:EH41))</f>
        <v>0</v>
      </c>
      <c r="L41" s="29"/>
      <c r="O41" s="26"/>
      <c r="P41" s="26"/>
      <c r="Q41" s="26"/>
      <c r="R41" s="26"/>
      <c r="V41" s="26"/>
      <c r="W41" s="26">
        <v>0.5</v>
      </c>
      <c r="X41" s="26"/>
      <c r="Y41" s="26">
        <v>0.5</v>
      </c>
      <c r="AC41" s="26"/>
      <c r="AD41" s="26">
        <v>0.5</v>
      </c>
      <c r="AE41" s="26"/>
      <c r="AF41" s="26">
        <v>0.5</v>
      </c>
      <c r="AJ41" s="26"/>
      <c r="AK41" s="26">
        <v>0.5</v>
      </c>
      <c r="AL41" s="26"/>
      <c r="AM41" s="26">
        <v>0.5</v>
      </c>
      <c r="AQ41" s="26"/>
      <c r="AR41" s="26">
        <v>0.5</v>
      </c>
      <c r="AS41" s="26"/>
      <c r="AT41" s="26">
        <v>0.5</v>
      </c>
      <c r="AX41" s="26"/>
      <c r="AY41" s="26">
        <v>0.8</v>
      </c>
      <c r="AZ41" s="26"/>
      <c r="BA41" s="26">
        <v>0.8</v>
      </c>
      <c r="BE41" s="26"/>
      <c r="BF41" s="26">
        <v>0.8</v>
      </c>
      <c r="BG41" s="26"/>
      <c r="BH41" s="26">
        <v>0.8</v>
      </c>
      <c r="BK41" s="16"/>
      <c r="BL41" s="26"/>
      <c r="BM41" s="26">
        <v>0.8</v>
      </c>
      <c r="BN41" s="26"/>
      <c r="BO41" s="26">
        <v>0.8</v>
      </c>
      <c r="BS41" s="26"/>
      <c r="BT41" s="26">
        <v>0.8</v>
      </c>
      <c r="BU41" s="26"/>
      <c r="BV41" s="26">
        <v>0.8</v>
      </c>
      <c r="BZ41" s="26"/>
      <c r="CA41" s="26">
        <v>0.8</v>
      </c>
      <c r="CB41" s="26"/>
      <c r="CC41" s="26">
        <v>0.8</v>
      </c>
      <c r="CG41" s="26"/>
      <c r="CH41" s="26">
        <v>1</v>
      </c>
      <c r="CI41" s="26"/>
      <c r="CJ41" s="26">
        <v>1</v>
      </c>
      <c r="CN41" s="26"/>
      <c r="CO41" s="26">
        <v>1</v>
      </c>
      <c r="CP41" s="26"/>
      <c r="CQ41" s="26">
        <v>1</v>
      </c>
      <c r="CU41" s="26"/>
      <c r="CV41" s="26">
        <v>1</v>
      </c>
      <c r="CW41" s="26"/>
      <c r="CX41" s="26">
        <v>1</v>
      </c>
      <c r="DB41" s="26"/>
      <c r="DC41" s="26">
        <v>1</v>
      </c>
      <c r="DD41" s="26"/>
      <c r="DE41" s="26">
        <v>1</v>
      </c>
      <c r="DI41" s="26"/>
      <c r="DJ41" s="26">
        <v>1</v>
      </c>
      <c r="DK41" s="26"/>
      <c r="DL41" s="26">
        <v>1</v>
      </c>
      <c r="DP41" s="26"/>
      <c r="DQ41" s="26">
        <v>1</v>
      </c>
      <c r="DR41" s="26"/>
      <c r="DS41" s="26">
        <v>1</v>
      </c>
      <c r="DW41" s="26"/>
      <c r="DX41" s="26">
        <v>1</v>
      </c>
      <c r="DY41" s="26"/>
      <c r="DZ41" s="26">
        <v>1</v>
      </c>
      <c r="ED41" s="26"/>
      <c r="EE41" s="26">
        <v>1</v>
      </c>
      <c r="EF41" s="26"/>
      <c r="EG41" s="26">
        <v>1</v>
      </c>
      <c r="EK41" s="26"/>
      <c r="EL41" s="26">
        <v>1</v>
      </c>
      <c r="EM41" s="26"/>
      <c r="EN41" s="26">
        <v>1</v>
      </c>
      <c r="ER41" s="26"/>
      <c r="ES41" s="26">
        <v>1</v>
      </c>
      <c r="ET41" s="26"/>
      <c r="EU41" s="26">
        <v>1</v>
      </c>
      <c r="EY41" s="26"/>
      <c r="EZ41" s="26">
        <v>1</v>
      </c>
      <c r="FA41" s="26"/>
      <c r="FB41" s="26">
        <v>1</v>
      </c>
      <c r="FF41" s="26"/>
      <c r="FG41" s="26">
        <v>1</v>
      </c>
      <c r="FH41" s="26"/>
      <c r="FI41" s="26">
        <v>1</v>
      </c>
    </row>
    <row r="42" spans="2:165" outlineLevel="1">
      <c r="B42" s="15" t="s">
        <v>28</v>
      </c>
      <c r="C42" s="15" t="s">
        <v>86</v>
      </c>
      <c r="E42" s="29"/>
      <c r="F42" s="16" t="s">
        <v>92</v>
      </c>
      <c r="G42" s="26">
        <v>0</v>
      </c>
      <c r="I42" s="29">
        <f t="shared" si="3"/>
        <v>0</v>
      </c>
      <c r="J42" s="28">
        <f t="array" ref="J42">MAX(IF($N$3:$EH$3=$J$3,N42:EH42))</f>
        <v>0</v>
      </c>
      <c r="K42" s="28">
        <f t="array" ref="K42">MAX(IF($N$3:$EH$3=$J$3,N42:EH42))</f>
        <v>0</v>
      </c>
      <c r="L42" s="29"/>
      <c r="O42" s="26"/>
      <c r="P42" s="26"/>
      <c r="Q42" s="26"/>
      <c r="R42" s="26"/>
      <c r="V42" s="26"/>
      <c r="W42" s="26"/>
      <c r="X42" s="26"/>
      <c r="Y42" s="26"/>
      <c r="AC42" s="26"/>
      <c r="AD42" s="26">
        <v>0.5</v>
      </c>
      <c r="AE42" s="26"/>
      <c r="AF42" s="26">
        <v>0.5</v>
      </c>
      <c r="AI42" s="16"/>
      <c r="AJ42" s="26"/>
      <c r="AK42" s="26">
        <v>0.5</v>
      </c>
      <c r="AL42" s="26"/>
      <c r="AM42" s="26">
        <v>0.5</v>
      </c>
      <c r="AQ42" s="26"/>
      <c r="AR42" s="26">
        <v>0.5</v>
      </c>
      <c r="AS42" s="26"/>
      <c r="AT42" s="26">
        <v>0.5</v>
      </c>
      <c r="AX42" s="26"/>
      <c r="AY42" s="26">
        <v>0.5</v>
      </c>
      <c r="AZ42" s="26"/>
      <c r="BA42" s="26">
        <v>0.5</v>
      </c>
      <c r="BE42" s="26"/>
      <c r="BF42" s="26">
        <v>0.8</v>
      </c>
      <c r="BG42" s="26"/>
      <c r="BH42" s="26">
        <v>0.8</v>
      </c>
      <c r="BL42" s="26"/>
      <c r="BM42" s="26">
        <v>0.8</v>
      </c>
      <c r="BN42" s="26"/>
      <c r="BO42" s="26">
        <v>0.8</v>
      </c>
      <c r="BS42" s="26"/>
      <c r="BT42" s="26">
        <v>0.8</v>
      </c>
      <c r="BU42" s="26"/>
      <c r="BV42" s="26">
        <v>0.8</v>
      </c>
      <c r="BZ42" s="26"/>
      <c r="CA42" s="26">
        <v>0.8</v>
      </c>
      <c r="CB42" s="26"/>
      <c r="CC42" s="26">
        <v>0.8</v>
      </c>
      <c r="CG42" s="26"/>
      <c r="CH42" s="26">
        <v>0.8</v>
      </c>
      <c r="CI42" s="26"/>
      <c r="CJ42" s="26">
        <v>0.8</v>
      </c>
      <c r="CN42" s="26"/>
      <c r="CO42" s="26">
        <v>1</v>
      </c>
      <c r="CP42" s="26"/>
      <c r="CQ42" s="26">
        <v>1</v>
      </c>
      <c r="CU42" s="26"/>
      <c r="CV42" s="26">
        <v>1</v>
      </c>
      <c r="CW42" s="26"/>
      <c r="CX42" s="26">
        <v>1</v>
      </c>
      <c r="DB42" s="26"/>
      <c r="DC42" s="26">
        <v>1</v>
      </c>
      <c r="DD42" s="26"/>
      <c r="DE42" s="26">
        <v>1</v>
      </c>
      <c r="DI42" s="26"/>
      <c r="DJ42" s="26">
        <v>1</v>
      </c>
      <c r="DK42" s="26"/>
      <c r="DL42" s="26">
        <v>1</v>
      </c>
      <c r="DP42" s="26"/>
      <c r="DQ42" s="26">
        <v>1</v>
      </c>
      <c r="DR42" s="26"/>
      <c r="DS42" s="26">
        <v>1</v>
      </c>
      <c r="DW42" s="26"/>
      <c r="DX42" s="26">
        <v>1</v>
      </c>
      <c r="DY42" s="26"/>
      <c r="DZ42" s="26">
        <v>1</v>
      </c>
      <c r="ED42" s="26"/>
      <c r="EE42" s="26">
        <v>1</v>
      </c>
      <c r="EF42" s="26"/>
      <c r="EG42" s="26">
        <v>1</v>
      </c>
      <c r="EK42" s="26"/>
      <c r="EL42" s="26">
        <v>1</v>
      </c>
      <c r="EM42" s="26"/>
      <c r="EN42" s="26">
        <v>1</v>
      </c>
      <c r="ER42" s="26"/>
      <c r="ES42" s="26">
        <v>1</v>
      </c>
      <c r="ET42" s="26"/>
      <c r="EU42" s="26">
        <v>1</v>
      </c>
      <c r="EY42" s="26"/>
      <c r="EZ42" s="26">
        <v>1</v>
      </c>
      <c r="FA42" s="26"/>
      <c r="FB42" s="26">
        <v>1</v>
      </c>
      <c r="FF42" s="26"/>
      <c r="FG42" s="26">
        <v>1</v>
      </c>
      <c r="FH42" s="26"/>
      <c r="FI42" s="26">
        <v>1</v>
      </c>
    </row>
    <row r="43" spans="2:165" outlineLevel="1">
      <c r="B43" s="15" t="s">
        <v>28</v>
      </c>
      <c r="C43" s="15" t="s">
        <v>86</v>
      </c>
      <c r="E43" s="29"/>
      <c r="F43" s="15" t="s">
        <v>93</v>
      </c>
      <c r="G43" s="26">
        <v>0</v>
      </c>
      <c r="I43" s="29">
        <f t="shared" si="3"/>
        <v>0</v>
      </c>
      <c r="J43" s="28">
        <f t="array" ref="J43">MAX(IF($N$3:$EH$3=$J$3,N43:EH43))</f>
        <v>0</v>
      </c>
      <c r="K43" s="28">
        <f t="array" ref="K43">MAX(IF($N$3:$EH$3=$J$3,N43:EH43))</f>
        <v>0</v>
      </c>
      <c r="L43" s="29"/>
      <c r="O43" s="26"/>
      <c r="P43" s="26"/>
      <c r="Q43" s="26"/>
      <c r="R43" s="26"/>
      <c r="V43" s="26"/>
      <c r="W43" s="26"/>
      <c r="X43" s="26"/>
      <c r="Y43" s="26"/>
      <c r="AC43" s="26"/>
      <c r="AD43" s="26"/>
      <c r="AE43" s="26"/>
      <c r="AF43" s="26"/>
      <c r="AJ43" s="26"/>
      <c r="AK43" s="26">
        <v>0.5</v>
      </c>
      <c r="AL43" s="26"/>
      <c r="AM43" s="26">
        <v>0.5</v>
      </c>
      <c r="AQ43" s="26"/>
      <c r="AR43" s="26">
        <v>0.5</v>
      </c>
      <c r="AS43" s="26"/>
      <c r="AT43" s="26">
        <v>0.5</v>
      </c>
      <c r="AX43" s="26"/>
      <c r="AY43" s="26">
        <v>0.5</v>
      </c>
      <c r="AZ43" s="26"/>
      <c r="BA43" s="26">
        <v>0.5</v>
      </c>
      <c r="BE43" s="26"/>
      <c r="BF43" s="26">
        <v>0.5</v>
      </c>
      <c r="BG43" s="26"/>
      <c r="BH43" s="26">
        <v>0.5</v>
      </c>
      <c r="BL43" s="26"/>
      <c r="BM43" s="26">
        <v>0.8</v>
      </c>
      <c r="BN43" s="26"/>
      <c r="BO43" s="26">
        <v>0.8</v>
      </c>
      <c r="BS43" s="26"/>
      <c r="BT43" s="26">
        <v>0.8</v>
      </c>
      <c r="BU43" s="26"/>
      <c r="BV43" s="26">
        <v>0.8</v>
      </c>
      <c r="BW43" s="15">
        <v>2</v>
      </c>
      <c r="BZ43" s="26"/>
      <c r="CA43" s="26">
        <v>0.8</v>
      </c>
      <c r="CB43" s="26"/>
      <c r="CC43" s="26">
        <v>0.8</v>
      </c>
      <c r="CG43" s="26"/>
      <c r="CH43" s="26">
        <v>0.8</v>
      </c>
      <c r="CI43" s="26"/>
      <c r="CJ43" s="26">
        <v>0.8</v>
      </c>
      <c r="CN43" s="26"/>
      <c r="CO43" s="26">
        <v>1</v>
      </c>
      <c r="CP43" s="26"/>
      <c r="CQ43" s="26">
        <v>1</v>
      </c>
      <c r="CU43" s="26"/>
      <c r="CV43" s="26">
        <v>1</v>
      </c>
      <c r="CW43" s="26"/>
      <c r="CX43" s="26">
        <v>1</v>
      </c>
      <c r="DB43" s="26"/>
      <c r="DC43" s="26">
        <v>1</v>
      </c>
      <c r="DD43" s="26"/>
      <c r="DE43" s="26">
        <v>1</v>
      </c>
      <c r="DI43" s="26"/>
      <c r="DJ43" s="26">
        <v>1</v>
      </c>
      <c r="DK43" s="26"/>
      <c r="DL43" s="26">
        <v>1</v>
      </c>
      <c r="DP43" s="26"/>
      <c r="DQ43" s="26">
        <v>1</v>
      </c>
      <c r="DR43" s="26"/>
      <c r="DS43" s="26">
        <v>1</v>
      </c>
      <c r="DW43" s="26"/>
      <c r="DX43" s="26">
        <v>1</v>
      </c>
      <c r="DY43" s="26"/>
      <c r="DZ43" s="26">
        <v>1</v>
      </c>
      <c r="ED43" s="26"/>
      <c r="EE43" s="26">
        <v>1</v>
      </c>
      <c r="EF43" s="26"/>
      <c r="EG43" s="26">
        <v>1</v>
      </c>
      <c r="EK43" s="26"/>
      <c r="EL43" s="26">
        <v>1</v>
      </c>
      <c r="EM43" s="26"/>
      <c r="EN43" s="26">
        <v>1</v>
      </c>
      <c r="ER43" s="26"/>
      <c r="ES43" s="26">
        <v>1</v>
      </c>
      <c r="ET43" s="26"/>
      <c r="EU43" s="26">
        <v>1</v>
      </c>
      <c r="EY43" s="26"/>
      <c r="EZ43" s="26">
        <v>1</v>
      </c>
      <c r="FA43" s="26"/>
      <c r="FB43" s="26">
        <v>1</v>
      </c>
      <c r="FF43" s="26"/>
      <c r="FG43" s="26">
        <v>1</v>
      </c>
      <c r="FH43" s="26"/>
      <c r="FI43" s="26">
        <v>1</v>
      </c>
    </row>
    <row r="44" spans="2:165" outlineLevel="1">
      <c r="B44" s="15" t="s">
        <v>28</v>
      </c>
      <c r="C44" s="15" t="s">
        <v>86</v>
      </c>
      <c r="E44" s="29"/>
      <c r="F44" s="15" t="s">
        <v>94</v>
      </c>
      <c r="G44" s="26">
        <v>0</v>
      </c>
      <c r="I44" s="29">
        <f t="shared" si="3"/>
        <v>0</v>
      </c>
      <c r="J44" s="28">
        <f t="array" ref="J44">MAX(IF($N$3:$EH$3=$J$3,N44:EH44))</f>
        <v>0</v>
      </c>
      <c r="K44" s="28">
        <f t="array" ref="K44">MAX(IF($N$3:$EH$3=$J$3,N44:EH44))</f>
        <v>0</v>
      </c>
      <c r="L44" s="29"/>
      <c r="O44" s="26"/>
      <c r="P44" s="26"/>
      <c r="Q44" s="26"/>
      <c r="R44" s="26"/>
      <c r="V44" s="26"/>
      <c r="W44" s="26"/>
      <c r="X44" s="26"/>
      <c r="Y44" s="26"/>
      <c r="AC44" s="26"/>
      <c r="AD44" s="26"/>
      <c r="AE44" s="26"/>
      <c r="AF44" s="26"/>
      <c r="AJ44" s="26"/>
      <c r="AK44" s="26"/>
      <c r="AL44" s="26"/>
      <c r="AM44" s="26"/>
      <c r="AQ44" s="26"/>
      <c r="AR44" s="26">
        <v>0.5</v>
      </c>
      <c r="AS44" s="26"/>
      <c r="AT44" s="26">
        <v>0.5</v>
      </c>
      <c r="AX44" s="26"/>
      <c r="AY44" s="26">
        <v>0.5</v>
      </c>
      <c r="AZ44" s="26"/>
      <c r="BA44" s="26">
        <v>0.5</v>
      </c>
      <c r="BE44" s="26"/>
      <c r="BF44" s="26">
        <v>0.5</v>
      </c>
      <c r="BG44" s="26"/>
      <c r="BH44" s="26">
        <v>0.5</v>
      </c>
      <c r="BL44" s="26"/>
      <c r="BM44" s="26">
        <v>0.5</v>
      </c>
      <c r="BN44" s="26"/>
      <c r="BO44" s="26">
        <v>0.5</v>
      </c>
      <c r="BS44" s="26"/>
      <c r="BT44" s="26">
        <v>0.8</v>
      </c>
      <c r="BU44" s="26"/>
      <c r="BV44" s="26">
        <v>0.8</v>
      </c>
      <c r="BZ44" s="26"/>
      <c r="CA44" s="26">
        <v>0.8</v>
      </c>
      <c r="CB44" s="26"/>
      <c r="CC44" s="26">
        <v>0.8</v>
      </c>
      <c r="CG44" s="26"/>
      <c r="CH44" s="26">
        <v>0.8</v>
      </c>
      <c r="CI44" s="26"/>
      <c r="CJ44" s="26">
        <v>0.8</v>
      </c>
      <c r="CN44" s="26"/>
      <c r="CO44" s="26">
        <v>0.8</v>
      </c>
      <c r="CP44" s="26"/>
      <c r="CQ44" s="26">
        <v>0.8</v>
      </c>
      <c r="CU44" s="26"/>
      <c r="CV44" s="26">
        <v>1</v>
      </c>
      <c r="CW44" s="26"/>
      <c r="CX44" s="26">
        <v>1</v>
      </c>
      <c r="DB44" s="26"/>
      <c r="DC44" s="26">
        <v>1</v>
      </c>
      <c r="DD44" s="26"/>
      <c r="DE44" s="26">
        <v>1</v>
      </c>
      <c r="DI44" s="26"/>
      <c r="DJ44" s="26">
        <v>1</v>
      </c>
      <c r="DK44" s="26"/>
      <c r="DL44" s="26">
        <v>1</v>
      </c>
      <c r="DP44" s="26"/>
      <c r="DQ44" s="26">
        <v>1</v>
      </c>
      <c r="DR44" s="26"/>
      <c r="DS44" s="26">
        <v>1</v>
      </c>
      <c r="DW44" s="26"/>
      <c r="DX44" s="26">
        <v>1</v>
      </c>
      <c r="DY44" s="26"/>
      <c r="DZ44" s="26">
        <v>1</v>
      </c>
      <c r="ED44" s="26"/>
      <c r="EE44" s="26">
        <v>1</v>
      </c>
      <c r="EF44" s="26"/>
      <c r="EG44" s="26">
        <v>1</v>
      </c>
      <c r="EK44" s="26"/>
      <c r="EL44" s="26">
        <v>1</v>
      </c>
      <c r="EM44" s="26"/>
      <c r="EN44" s="26">
        <v>1</v>
      </c>
      <c r="ER44" s="26"/>
      <c r="ES44" s="26">
        <v>1</v>
      </c>
      <c r="ET44" s="26"/>
      <c r="EU44" s="26">
        <v>1</v>
      </c>
      <c r="EY44" s="26"/>
      <c r="EZ44" s="26">
        <v>1</v>
      </c>
      <c r="FA44" s="26"/>
      <c r="FB44" s="26">
        <v>1</v>
      </c>
      <c r="FF44" s="26"/>
      <c r="FG44" s="26">
        <v>1</v>
      </c>
      <c r="FH44" s="26"/>
      <c r="FI44" s="26">
        <v>1</v>
      </c>
    </row>
    <row r="45" spans="2:165" outlineLevel="1">
      <c r="B45" s="15" t="s">
        <v>28</v>
      </c>
      <c r="C45" s="15" t="s">
        <v>86</v>
      </c>
      <c r="E45" s="29"/>
      <c r="F45" s="15" t="s">
        <v>95</v>
      </c>
      <c r="G45" s="26">
        <v>0</v>
      </c>
      <c r="I45" s="29">
        <f t="shared" si="3"/>
        <v>0</v>
      </c>
      <c r="J45" s="28">
        <f t="array" ref="J45">MAX(IF($N$3:$EH$3=$J$3,N45:EH45))</f>
        <v>0</v>
      </c>
      <c r="K45" s="28">
        <f t="array" ref="K45">MAX(IF($N$3:$EH$3=$J$3,N45:EH45))</f>
        <v>0</v>
      </c>
      <c r="L45" s="29"/>
      <c r="O45" s="26"/>
      <c r="P45" s="26"/>
      <c r="Q45" s="26"/>
      <c r="R45" s="26"/>
      <c r="V45" s="26"/>
      <c r="W45" s="26"/>
      <c r="X45" s="26"/>
      <c r="Y45" s="26"/>
      <c r="AC45" s="26"/>
      <c r="AD45" s="26"/>
      <c r="AE45" s="26"/>
      <c r="AF45" s="26"/>
      <c r="AJ45" s="26"/>
      <c r="AK45" s="26"/>
      <c r="AL45" s="26"/>
      <c r="AM45" s="26"/>
      <c r="AQ45" s="26"/>
      <c r="AR45" s="26"/>
      <c r="AS45" s="26"/>
      <c r="AT45" s="26"/>
      <c r="AX45" s="26"/>
      <c r="AY45" s="26">
        <v>0.5</v>
      </c>
      <c r="AZ45" s="26"/>
      <c r="BA45" s="26">
        <v>0.5</v>
      </c>
      <c r="BE45" s="26"/>
      <c r="BF45" s="26">
        <v>0.5</v>
      </c>
      <c r="BG45" s="26"/>
      <c r="BH45" s="26">
        <v>0.5</v>
      </c>
      <c r="BL45" s="26"/>
      <c r="BM45" s="26">
        <v>0.5</v>
      </c>
      <c r="BN45" s="26"/>
      <c r="BO45" s="26">
        <v>0.5</v>
      </c>
      <c r="BS45" s="26"/>
      <c r="BT45" s="26">
        <v>0.5</v>
      </c>
      <c r="BU45" s="26"/>
      <c r="BV45" s="26">
        <v>0.5</v>
      </c>
      <c r="BZ45" s="26"/>
      <c r="CA45" s="26">
        <v>0.8</v>
      </c>
      <c r="CB45" s="26"/>
      <c r="CC45" s="26">
        <v>0.8</v>
      </c>
      <c r="CG45" s="26"/>
      <c r="CH45" s="26">
        <v>0.8</v>
      </c>
      <c r="CI45" s="26"/>
      <c r="CJ45" s="26">
        <v>0.8</v>
      </c>
      <c r="CN45" s="26"/>
      <c r="CO45" s="26">
        <v>0.8</v>
      </c>
      <c r="CP45" s="26"/>
      <c r="CQ45" s="26">
        <v>0.8</v>
      </c>
      <c r="CU45" s="26"/>
      <c r="CV45" s="26">
        <v>1</v>
      </c>
      <c r="CW45" s="26"/>
      <c r="CX45" s="26">
        <v>1</v>
      </c>
      <c r="DB45" s="26"/>
      <c r="DC45" s="26">
        <v>1</v>
      </c>
      <c r="DD45" s="26"/>
      <c r="DE45" s="26">
        <v>1</v>
      </c>
      <c r="DI45" s="26"/>
      <c r="DJ45" s="26">
        <v>1</v>
      </c>
      <c r="DK45" s="26"/>
      <c r="DL45" s="26">
        <v>1</v>
      </c>
      <c r="DP45" s="26"/>
      <c r="DQ45" s="26">
        <v>1</v>
      </c>
      <c r="DR45" s="26"/>
      <c r="DS45" s="26">
        <v>1</v>
      </c>
      <c r="DW45" s="26"/>
      <c r="DX45" s="26">
        <v>1</v>
      </c>
      <c r="DY45" s="26"/>
      <c r="DZ45" s="26">
        <v>1</v>
      </c>
      <c r="ED45" s="26"/>
      <c r="EE45" s="26">
        <v>1</v>
      </c>
      <c r="EF45" s="26"/>
      <c r="EG45" s="26">
        <v>1</v>
      </c>
      <c r="EK45" s="26"/>
      <c r="EL45" s="26">
        <v>1</v>
      </c>
      <c r="EM45" s="26"/>
      <c r="EN45" s="26">
        <v>1</v>
      </c>
      <c r="ER45" s="26"/>
      <c r="ES45" s="26">
        <v>1</v>
      </c>
      <c r="ET45" s="26"/>
      <c r="EU45" s="26">
        <v>1</v>
      </c>
      <c r="EY45" s="26"/>
      <c r="EZ45" s="26">
        <v>1</v>
      </c>
      <c r="FA45" s="26"/>
      <c r="FB45" s="26">
        <v>1</v>
      </c>
      <c r="FF45" s="26"/>
      <c r="FG45" s="26">
        <v>1</v>
      </c>
      <c r="FH45" s="26"/>
      <c r="FI45" s="26">
        <v>1</v>
      </c>
    </row>
    <row r="46" spans="2:165" outlineLevel="1">
      <c r="B46" s="15" t="s">
        <v>28</v>
      </c>
      <c r="C46" s="15" t="s">
        <v>86</v>
      </c>
      <c r="E46" s="29"/>
      <c r="F46" s="15" t="s">
        <v>96</v>
      </c>
      <c r="G46" s="26">
        <v>0</v>
      </c>
      <c r="I46" s="29">
        <f t="shared" si="3"/>
        <v>0</v>
      </c>
      <c r="J46" s="28">
        <f t="array" ref="J46">MAX(IF($N$3:$EH$3=$J$3,N46:EH46))</f>
        <v>0</v>
      </c>
      <c r="K46" s="28">
        <f t="array" ref="K46">MAX(IF($N$3:$EH$3=$J$3,N46:EH46))</f>
        <v>0</v>
      </c>
      <c r="L46" s="29"/>
      <c r="O46" s="26"/>
      <c r="P46" s="26"/>
      <c r="Q46" s="26"/>
      <c r="R46" s="26"/>
      <c r="V46" s="26"/>
      <c r="W46" s="26"/>
      <c r="X46" s="26"/>
      <c r="Y46" s="26"/>
      <c r="AC46" s="26"/>
      <c r="AD46" s="26"/>
      <c r="AE46" s="26"/>
      <c r="AF46" s="26"/>
      <c r="AJ46" s="26"/>
      <c r="AK46" s="26"/>
      <c r="AL46" s="26"/>
      <c r="AM46" s="26"/>
      <c r="AQ46" s="26"/>
      <c r="AR46" s="26"/>
      <c r="AS46" s="26"/>
      <c r="AT46" s="26"/>
      <c r="AX46" s="26"/>
      <c r="AY46" s="26"/>
      <c r="AZ46" s="26"/>
      <c r="BA46" s="26"/>
      <c r="BE46" s="26"/>
      <c r="BF46" s="26">
        <v>0.5</v>
      </c>
      <c r="BG46" s="26"/>
      <c r="BH46" s="26">
        <v>0.5</v>
      </c>
      <c r="BL46" s="26"/>
      <c r="BM46" s="26">
        <v>0.5</v>
      </c>
      <c r="BN46" s="26"/>
      <c r="BO46" s="26">
        <v>0.5</v>
      </c>
      <c r="BS46" s="26"/>
      <c r="BT46" s="26">
        <v>0.5</v>
      </c>
      <c r="BU46" s="26"/>
      <c r="BV46" s="26">
        <v>0.5</v>
      </c>
      <c r="BZ46" s="26"/>
      <c r="CA46" s="26">
        <v>0.5</v>
      </c>
      <c r="CB46" s="26"/>
      <c r="CC46" s="26">
        <v>0.5</v>
      </c>
      <c r="CG46" s="26"/>
      <c r="CH46" s="26">
        <v>0.8</v>
      </c>
      <c r="CI46" s="26"/>
      <c r="CJ46" s="26">
        <v>0.8</v>
      </c>
      <c r="CN46" s="26"/>
      <c r="CO46" s="26">
        <v>0.8</v>
      </c>
      <c r="CP46" s="26"/>
      <c r="CQ46" s="26">
        <v>0.8</v>
      </c>
      <c r="CU46" s="26"/>
      <c r="CV46" s="26">
        <v>1</v>
      </c>
      <c r="CW46" s="26"/>
      <c r="CX46" s="26">
        <v>1</v>
      </c>
      <c r="DB46" s="26"/>
      <c r="DC46" s="26">
        <v>1</v>
      </c>
      <c r="DD46" s="26"/>
      <c r="DE46" s="26">
        <v>1</v>
      </c>
      <c r="DI46" s="26"/>
      <c r="DJ46" s="26">
        <v>1</v>
      </c>
      <c r="DK46" s="26"/>
      <c r="DL46" s="26">
        <v>1</v>
      </c>
      <c r="DP46" s="26"/>
      <c r="DQ46" s="26">
        <v>1</v>
      </c>
      <c r="DR46" s="26"/>
      <c r="DS46" s="26">
        <v>1</v>
      </c>
      <c r="DW46" s="26"/>
      <c r="DX46" s="26">
        <v>1</v>
      </c>
      <c r="DY46" s="26"/>
      <c r="DZ46" s="26">
        <v>1</v>
      </c>
      <c r="ED46" s="26"/>
      <c r="EE46" s="26">
        <v>1</v>
      </c>
      <c r="EF46" s="26"/>
      <c r="EG46" s="26">
        <v>1</v>
      </c>
      <c r="EK46" s="26"/>
      <c r="EL46" s="26">
        <v>1</v>
      </c>
      <c r="EM46" s="26"/>
      <c r="EN46" s="26">
        <v>1</v>
      </c>
      <c r="ER46" s="26"/>
      <c r="ES46" s="26">
        <v>1</v>
      </c>
      <c r="ET46" s="26"/>
      <c r="EU46" s="26">
        <v>1</v>
      </c>
      <c r="EY46" s="26"/>
      <c r="EZ46" s="26">
        <v>1</v>
      </c>
      <c r="FA46" s="26"/>
      <c r="FB46" s="26">
        <v>1</v>
      </c>
      <c r="FF46" s="26"/>
      <c r="FG46" s="26">
        <v>1</v>
      </c>
      <c r="FH46" s="26"/>
      <c r="FI46" s="26">
        <v>1</v>
      </c>
    </row>
    <row r="47" spans="2:165" outlineLevel="1">
      <c r="D47" s="15" t="s">
        <v>168</v>
      </c>
      <c r="E47" s="29"/>
      <c r="F47" s="47">
        <f>+(3*9)/13</f>
        <v>2.0769230769230771</v>
      </c>
      <c r="G47" s="26"/>
      <c r="I47" s="29"/>
      <c r="J47" s="28"/>
      <c r="K47" s="28"/>
      <c r="L47" s="29"/>
      <c r="O47" s="26"/>
      <c r="P47" s="26"/>
      <c r="Q47" s="26"/>
      <c r="R47" s="26"/>
      <c r="V47" s="26"/>
      <c r="W47" s="26"/>
      <c r="X47" s="26"/>
      <c r="Y47" s="26"/>
      <c r="AC47" s="26"/>
      <c r="AD47" s="26"/>
      <c r="AE47" s="26"/>
      <c r="AF47" s="26"/>
      <c r="AJ47" s="26"/>
      <c r="AK47" s="26"/>
      <c r="AL47" s="26"/>
      <c r="AM47" s="26"/>
      <c r="AQ47" s="26"/>
      <c r="AR47" s="26"/>
      <c r="AS47" s="26"/>
      <c r="AT47" s="26"/>
      <c r="AX47" s="26"/>
      <c r="AY47" s="26"/>
      <c r="AZ47" s="26"/>
      <c r="BA47" s="26"/>
      <c r="BE47" s="26"/>
      <c r="BF47" s="26"/>
      <c r="BG47" s="26"/>
      <c r="BH47" s="26"/>
      <c r="BL47" s="26"/>
      <c r="BM47" s="26"/>
      <c r="BN47" s="26"/>
      <c r="BO47" s="26"/>
      <c r="BS47" s="26"/>
      <c r="BT47" s="26"/>
      <c r="BU47" s="26"/>
      <c r="BV47" s="26"/>
      <c r="BZ47" s="26"/>
      <c r="CA47" s="26"/>
      <c r="CB47" s="26"/>
      <c r="CC47" s="26"/>
      <c r="CG47" s="26"/>
      <c r="CH47" s="26"/>
      <c r="CI47" s="26"/>
      <c r="CJ47" s="26"/>
      <c r="CN47" s="26"/>
      <c r="CO47" s="26"/>
      <c r="CP47" s="26"/>
      <c r="CQ47" s="26"/>
      <c r="CU47" s="26"/>
      <c r="CV47" s="26"/>
      <c r="CW47" s="26"/>
      <c r="CX47" s="26"/>
      <c r="DB47" s="26"/>
      <c r="DC47" s="26"/>
      <c r="DD47" s="26"/>
      <c r="DE47" s="26"/>
      <c r="DI47" s="26"/>
      <c r="DJ47" s="26"/>
      <c r="DK47" s="26"/>
      <c r="DL47" s="26"/>
      <c r="DP47" s="26"/>
      <c r="DQ47" s="26"/>
      <c r="DR47" s="26"/>
      <c r="DS47" s="26"/>
      <c r="DW47" s="26"/>
      <c r="DX47" s="26"/>
      <c r="DY47" s="26"/>
      <c r="DZ47" s="26"/>
      <c r="ED47" s="26"/>
      <c r="EE47" s="26"/>
      <c r="EF47" s="26"/>
      <c r="EG47" s="26"/>
      <c r="EK47" s="26"/>
      <c r="EL47" s="26"/>
      <c r="EM47" s="26"/>
      <c r="EN47" s="26"/>
      <c r="ER47" s="26"/>
      <c r="ES47" s="26"/>
      <c r="ET47" s="26"/>
      <c r="EU47" s="26"/>
      <c r="EY47" s="26"/>
      <c r="EZ47" s="26"/>
      <c r="FA47" s="26"/>
      <c r="FB47" s="26"/>
      <c r="FF47" s="26"/>
      <c r="FG47" s="26"/>
      <c r="FH47" s="26"/>
      <c r="FI47" s="26"/>
    </row>
    <row r="48" spans="2:165">
      <c r="I48" s="29"/>
    </row>
    <row r="49" spans="1:166">
      <c r="A49" s="16"/>
      <c r="B49" s="16" t="s">
        <v>27</v>
      </c>
      <c r="C49" s="16" t="s">
        <v>140</v>
      </c>
      <c r="D49" s="20">
        <v>45385</v>
      </c>
      <c r="E49" s="21">
        <v>6</v>
      </c>
      <c r="F49" s="16"/>
      <c r="G49" s="26">
        <f>+SUM(G50:G59)</f>
        <v>0</v>
      </c>
      <c r="I49" s="27">
        <f>+SUM(I50:I59)</f>
        <v>0</v>
      </c>
      <c r="J49" s="28">
        <f>+SUMPRODUCT(G50:G59,J50:J59)</f>
        <v>0</v>
      </c>
      <c r="K49" s="28">
        <f>+SUMPRODUCT(G50:G59,K50:K59)</f>
        <v>0</v>
      </c>
      <c r="L49" s="29"/>
      <c r="N49" s="37">
        <f>+SUM(N50:N59)</f>
        <v>0</v>
      </c>
      <c r="U49" s="27">
        <f>+SUM(U50:U59)</f>
        <v>0</v>
      </c>
      <c r="AB49" s="27">
        <f>+SUM(AB50:AB59)</f>
        <v>0</v>
      </c>
      <c r="AI49" s="42">
        <f>+SUM(AI50:AI59)</f>
        <v>0</v>
      </c>
      <c r="AP49" s="27">
        <f>+SUM(AP50:AP59)</f>
        <v>0</v>
      </c>
      <c r="AW49" s="27">
        <f>+SUM(AW50:AW59)</f>
        <v>0</v>
      </c>
      <c r="BD49" s="27">
        <f>+SUM(BD50:BD59)</f>
        <v>0</v>
      </c>
      <c r="BK49" s="27">
        <f>+SUM(BK50:BK59)</f>
        <v>0</v>
      </c>
      <c r="BR49" s="27">
        <f>+SUM(BR50:BR59)</f>
        <v>0</v>
      </c>
      <c r="BY49" s="27">
        <f>+SUM(BY50:BY59)</f>
        <v>0</v>
      </c>
      <c r="CF49" s="27">
        <f>+SUM(CF50:CF59)</f>
        <v>0</v>
      </c>
      <c r="CI49" s="26"/>
      <c r="CM49" s="27">
        <f>+SUM(CM50:CM59)</f>
        <v>0</v>
      </c>
      <c r="CT49" s="27">
        <f>+SUM(CT50:CT59)</f>
        <v>0</v>
      </c>
      <c r="DA49" s="27">
        <f>+SUM(DA50:DA59)</f>
        <v>0</v>
      </c>
      <c r="DH49" s="27">
        <f>+SUM(DH50:DH59)</f>
        <v>0</v>
      </c>
      <c r="DO49" s="27">
        <f>+SUM(DO50:DO59)</f>
        <v>0</v>
      </c>
      <c r="DV49" s="27">
        <f>+SUM(DV50:DV59)</f>
        <v>0</v>
      </c>
      <c r="EC49" s="27">
        <f>+SUM(EC50:EC59)</f>
        <v>0</v>
      </c>
      <c r="EJ49" s="27">
        <f>+SUM(EJ50:EJ59)</f>
        <v>0</v>
      </c>
      <c r="EQ49" s="27">
        <f>+SUM(EQ50:EQ59)</f>
        <v>0</v>
      </c>
      <c r="EX49" s="27">
        <f>+SUM(EX50:EX59)</f>
        <v>0</v>
      </c>
      <c r="FE49" s="27">
        <f>+SUM(FE50:FE59)</f>
        <v>0</v>
      </c>
    </row>
    <row r="50" spans="1:166" outlineLevel="1">
      <c r="A50" s="16"/>
      <c r="B50" s="16" t="s">
        <v>28</v>
      </c>
      <c r="C50" s="16" t="s">
        <v>140</v>
      </c>
      <c r="D50" s="16"/>
      <c r="E50" s="21"/>
      <c r="F50" s="32" t="s">
        <v>130</v>
      </c>
      <c r="G50" s="26">
        <v>0</v>
      </c>
      <c r="I50" s="29">
        <f>+SUMIF($N$3:$AAA$3,I$3,$N50:$AAA50)</f>
        <v>0</v>
      </c>
      <c r="J50" s="28">
        <f t="array" ref="J50">MAX(IF($N$3:$EH$3=$J$3,N50:EH50))</f>
        <v>0</v>
      </c>
      <c r="K50" s="28">
        <f t="array" ref="K50">MAX(IF($N$3:$EH$3=$J$3,N50:EH50))</f>
        <v>0</v>
      </c>
      <c r="L50" s="29"/>
      <c r="N50" s="15">
        <v>0</v>
      </c>
      <c r="O50" s="26"/>
      <c r="P50" s="26">
        <v>0.5</v>
      </c>
      <c r="Q50" s="26"/>
      <c r="R50" s="26">
        <v>0.5</v>
      </c>
      <c r="V50" s="26"/>
      <c r="W50" s="26">
        <v>0.5</v>
      </c>
      <c r="X50" s="26"/>
      <c r="Y50" s="26">
        <v>0.5</v>
      </c>
      <c r="AC50" s="26"/>
      <c r="AD50" s="26">
        <v>0.5</v>
      </c>
      <c r="AE50" s="26"/>
      <c r="AF50" s="26">
        <v>0.5</v>
      </c>
      <c r="AJ50" s="26"/>
      <c r="AK50" s="26">
        <v>0.8</v>
      </c>
      <c r="AL50" s="26"/>
      <c r="AM50" s="26">
        <v>0.8</v>
      </c>
      <c r="AQ50" s="26"/>
      <c r="AR50" s="26">
        <v>0.8</v>
      </c>
      <c r="AS50" s="26"/>
      <c r="AT50" s="26">
        <v>0.8</v>
      </c>
      <c r="AX50" s="26"/>
      <c r="AY50" s="26">
        <v>0.8</v>
      </c>
      <c r="AZ50" s="26"/>
      <c r="BA50" s="26">
        <v>0.8</v>
      </c>
      <c r="BE50" s="26"/>
      <c r="BF50" s="26">
        <v>0.8</v>
      </c>
      <c r="BG50" s="26"/>
      <c r="BH50" s="26">
        <v>0.8</v>
      </c>
      <c r="BL50" s="26"/>
      <c r="BM50" s="26">
        <v>0.8</v>
      </c>
      <c r="BN50" s="26"/>
      <c r="BO50" s="26">
        <v>0.8</v>
      </c>
      <c r="BS50" s="26"/>
      <c r="BT50" s="26">
        <v>0.8</v>
      </c>
      <c r="BU50" s="26"/>
      <c r="BV50" s="26">
        <v>0.8</v>
      </c>
      <c r="BZ50" s="26"/>
      <c r="CA50" s="26">
        <v>0.8</v>
      </c>
      <c r="CB50" s="26"/>
      <c r="CC50" s="26">
        <v>0.8</v>
      </c>
      <c r="CG50" s="26"/>
      <c r="CH50" s="26">
        <v>0.8</v>
      </c>
      <c r="CI50" s="26"/>
      <c r="CJ50" s="26">
        <v>0.8</v>
      </c>
      <c r="CN50" s="26"/>
      <c r="CO50" s="26">
        <v>1</v>
      </c>
      <c r="CP50" s="26"/>
      <c r="CQ50" s="26">
        <v>1</v>
      </c>
      <c r="CU50" s="26"/>
      <c r="CV50" s="26">
        <v>1</v>
      </c>
      <c r="CW50" s="26"/>
      <c r="CX50" s="26">
        <v>1</v>
      </c>
      <c r="DB50" s="26"/>
      <c r="DC50" s="26">
        <v>1</v>
      </c>
      <c r="DD50" s="26"/>
      <c r="DE50" s="26">
        <v>1</v>
      </c>
      <c r="DI50" s="26"/>
      <c r="DJ50" s="26">
        <v>1</v>
      </c>
      <c r="DK50" s="26"/>
      <c r="DL50" s="26">
        <v>1</v>
      </c>
      <c r="DP50" s="26"/>
      <c r="DQ50" s="26">
        <v>1</v>
      </c>
      <c r="DR50" s="26"/>
      <c r="DS50" s="26">
        <v>1</v>
      </c>
      <c r="DW50" s="26"/>
      <c r="DX50" s="26">
        <v>1</v>
      </c>
      <c r="DY50" s="26"/>
      <c r="DZ50" s="26">
        <v>1</v>
      </c>
      <c r="ED50" s="26"/>
      <c r="EE50" s="26">
        <v>1</v>
      </c>
      <c r="EF50" s="26"/>
      <c r="EG50" s="26">
        <v>1</v>
      </c>
      <c r="EK50" s="26"/>
      <c r="EL50" s="26">
        <v>1</v>
      </c>
      <c r="EM50" s="26"/>
      <c r="EN50" s="26">
        <v>1</v>
      </c>
      <c r="ER50" s="26"/>
      <c r="ES50" s="26">
        <v>1</v>
      </c>
      <c r="ET50" s="26"/>
      <c r="EU50" s="26">
        <v>1</v>
      </c>
      <c r="EV50" s="26">
        <v>1</v>
      </c>
      <c r="EW50" s="26"/>
      <c r="EY50" s="26"/>
      <c r="EZ50" s="26">
        <v>1</v>
      </c>
      <c r="FA50" s="26"/>
      <c r="FB50" s="26">
        <v>1</v>
      </c>
      <c r="FC50" s="26"/>
      <c r="FF50" s="26"/>
      <c r="FG50" s="26">
        <v>1</v>
      </c>
      <c r="FH50" s="26"/>
      <c r="FI50" s="26">
        <v>1</v>
      </c>
      <c r="FJ50" s="26" t="s">
        <v>167</v>
      </c>
    </row>
    <row r="51" spans="1:166" outlineLevel="1">
      <c r="A51" s="16"/>
      <c r="B51" s="16" t="s">
        <v>28</v>
      </c>
      <c r="C51" s="16" t="s">
        <v>140</v>
      </c>
      <c r="D51" s="16"/>
      <c r="E51" s="21"/>
      <c r="F51" s="32" t="s">
        <v>131</v>
      </c>
      <c r="G51" s="26">
        <v>0</v>
      </c>
      <c r="I51" s="29">
        <f t="shared" ref="I51:I59" si="4">+SUMIF($N$3:$AAA$3,I$3,$N51:$AAA51)</f>
        <v>0</v>
      </c>
      <c r="J51" s="28">
        <f t="array" ref="J51">MAX(IF($N$3:$EH$3=$J$3,N51:EH51))</f>
        <v>0</v>
      </c>
      <c r="K51" s="28">
        <f t="array" ref="K51">MAX(IF($N$3:$EH$3=$J$3,N51:EH51))</f>
        <v>0</v>
      </c>
      <c r="L51" s="29"/>
      <c r="O51" s="26"/>
      <c r="P51" s="26"/>
      <c r="Q51" s="26"/>
      <c r="R51" s="26"/>
      <c r="V51" s="26"/>
      <c r="W51" s="26">
        <v>0.5</v>
      </c>
      <c r="X51" s="26"/>
      <c r="Y51" s="26">
        <v>0.5</v>
      </c>
      <c r="AC51" s="26"/>
      <c r="AD51" s="26">
        <v>0.5</v>
      </c>
      <c r="AE51" s="26"/>
      <c r="AF51" s="26">
        <v>0.5</v>
      </c>
      <c r="AJ51" s="26"/>
      <c r="AK51" s="26">
        <v>0.5</v>
      </c>
      <c r="AL51" s="26"/>
      <c r="AM51" s="26">
        <v>0.5</v>
      </c>
      <c r="AQ51" s="26"/>
      <c r="AR51" s="26">
        <v>0.5</v>
      </c>
      <c r="AS51" s="26"/>
      <c r="AT51" s="26">
        <v>0.5</v>
      </c>
      <c r="AX51" s="26"/>
      <c r="AY51" s="26">
        <v>0.8</v>
      </c>
      <c r="AZ51" s="26"/>
      <c r="BA51" s="26">
        <v>0.8</v>
      </c>
      <c r="BE51" s="26"/>
      <c r="BF51" s="26">
        <v>0.8</v>
      </c>
      <c r="BG51" s="26"/>
      <c r="BH51" s="26">
        <v>0.8</v>
      </c>
      <c r="BL51" s="26"/>
      <c r="BM51" s="26">
        <v>0.8</v>
      </c>
      <c r="BN51" s="26"/>
      <c r="BO51" s="26">
        <v>0.8</v>
      </c>
      <c r="BS51" s="26"/>
      <c r="BT51" s="26">
        <v>0.8</v>
      </c>
      <c r="BU51" s="26"/>
      <c r="BV51" s="26">
        <v>0.8</v>
      </c>
      <c r="BZ51" s="26"/>
      <c r="CA51" s="26">
        <v>0.8</v>
      </c>
      <c r="CB51" s="26"/>
      <c r="CC51" s="26">
        <v>0.8</v>
      </c>
      <c r="CG51" s="26"/>
      <c r="CH51" s="26">
        <v>0.8</v>
      </c>
      <c r="CI51" s="26"/>
      <c r="CJ51" s="26">
        <v>0.8</v>
      </c>
      <c r="CN51" s="26"/>
      <c r="CO51" s="26">
        <v>0.8</v>
      </c>
      <c r="CP51" s="26"/>
      <c r="CQ51" s="26">
        <v>0.8</v>
      </c>
      <c r="CU51" s="26"/>
      <c r="CV51" s="26">
        <v>0.8</v>
      </c>
      <c r="CW51" s="26"/>
      <c r="CX51" s="26">
        <v>0.8</v>
      </c>
      <c r="DB51" s="26"/>
      <c r="DC51" s="26">
        <v>1</v>
      </c>
      <c r="DD51" s="26"/>
      <c r="DE51" s="26">
        <v>1</v>
      </c>
      <c r="DI51" s="26"/>
      <c r="DJ51" s="26">
        <v>1</v>
      </c>
      <c r="DK51" s="26"/>
      <c r="DL51" s="26">
        <v>1</v>
      </c>
      <c r="DP51" s="26"/>
      <c r="DQ51" s="26">
        <v>1</v>
      </c>
      <c r="DR51" s="26"/>
      <c r="DS51" s="26">
        <v>1</v>
      </c>
      <c r="DW51" s="26"/>
      <c r="DX51" s="26">
        <v>1</v>
      </c>
      <c r="DY51" s="26"/>
      <c r="DZ51" s="26">
        <v>1</v>
      </c>
      <c r="ED51" s="26"/>
      <c r="EE51" s="26">
        <v>1</v>
      </c>
      <c r="EF51" s="26"/>
      <c r="EG51" s="26">
        <v>1</v>
      </c>
      <c r="EK51" s="26"/>
      <c r="EL51" s="26">
        <v>1</v>
      </c>
      <c r="EM51" s="26"/>
      <c r="EN51" s="26">
        <v>1</v>
      </c>
      <c r="ER51" s="26"/>
      <c r="ES51" s="26">
        <v>1</v>
      </c>
      <c r="ET51" s="26"/>
      <c r="EU51" s="26">
        <v>1</v>
      </c>
      <c r="EY51" s="26"/>
      <c r="EZ51" s="26">
        <v>1</v>
      </c>
      <c r="FA51" s="26"/>
      <c r="FB51" s="26">
        <v>1</v>
      </c>
      <c r="FF51" s="26"/>
      <c r="FG51" s="26">
        <v>1</v>
      </c>
      <c r="FH51" s="26"/>
      <c r="FI51" s="26">
        <v>1</v>
      </c>
    </row>
    <row r="52" spans="1:166" outlineLevel="1">
      <c r="A52" s="16"/>
      <c r="B52" s="16" t="s">
        <v>28</v>
      </c>
      <c r="C52" s="16" t="s">
        <v>140</v>
      </c>
      <c r="D52" s="16"/>
      <c r="E52" s="21"/>
      <c r="F52" s="32" t="s">
        <v>132</v>
      </c>
      <c r="G52" s="26">
        <v>0</v>
      </c>
      <c r="I52" s="29">
        <f t="shared" si="4"/>
        <v>0</v>
      </c>
      <c r="J52" s="28">
        <f t="array" ref="J52">MAX(IF($N$3:$EH$3=$J$3,N52:EH52))</f>
        <v>0</v>
      </c>
      <c r="K52" s="28">
        <f t="array" ref="K52">MAX(IF($N$3:$EH$3=$J$3,N52:EH52))</f>
        <v>0</v>
      </c>
      <c r="L52" s="29"/>
      <c r="O52" s="26"/>
      <c r="P52" s="26"/>
      <c r="Q52" s="26"/>
      <c r="R52" s="26"/>
      <c r="V52" s="26"/>
      <c r="W52" s="26">
        <v>0.5</v>
      </c>
      <c r="X52" s="26"/>
      <c r="Y52" s="26">
        <v>0.5</v>
      </c>
      <c r="AC52" s="26"/>
      <c r="AD52" s="26">
        <v>0.5</v>
      </c>
      <c r="AE52" s="26"/>
      <c r="AF52" s="26">
        <v>0.5</v>
      </c>
      <c r="AJ52" s="26"/>
      <c r="AK52" s="26">
        <v>0.5</v>
      </c>
      <c r="AL52" s="26"/>
      <c r="AM52" s="26">
        <v>0.5</v>
      </c>
      <c r="AQ52" s="26"/>
      <c r="AR52" s="26">
        <v>0.5</v>
      </c>
      <c r="AS52" s="26"/>
      <c r="AT52" s="26">
        <v>0.5</v>
      </c>
      <c r="AX52" s="26"/>
      <c r="AY52" s="26">
        <v>0.5</v>
      </c>
      <c r="AZ52" s="26"/>
      <c r="BA52" s="26">
        <v>0.5</v>
      </c>
      <c r="BB52" s="15">
        <v>2</v>
      </c>
      <c r="BE52" s="26"/>
      <c r="BF52" s="26">
        <v>0.5</v>
      </c>
      <c r="BG52" s="26"/>
      <c r="BH52" s="26">
        <v>0.5</v>
      </c>
      <c r="BI52" s="15">
        <v>1</v>
      </c>
      <c r="BL52" s="26"/>
      <c r="BM52" s="26">
        <v>0.8</v>
      </c>
      <c r="BN52" s="26"/>
      <c r="BO52" s="26">
        <v>0.8</v>
      </c>
      <c r="BP52" s="15">
        <v>2</v>
      </c>
      <c r="BS52" s="26"/>
      <c r="BT52" s="26">
        <v>0.8</v>
      </c>
      <c r="BU52" s="26"/>
      <c r="BV52" s="26">
        <v>0.8</v>
      </c>
      <c r="BZ52" s="26"/>
      <c r="CA52" s="26">
        <v>0.8</v>
      </c>
      <c r="CB52" s="26"/>
      <c r="CC52" s="26">
        <v>0.8</v>
      </c>
      <c r="CG52" s="26"/>
      <c r="CH52" s="26">
        <v>0.8</v>
      </c>
      <c r="CI52" s="26"/>
      <c r="CJ52" s="26">
        <v>0.8</v>
      </c>
      <c r="CN52" s="26"/>
      <c r="CO52" s="26">
        <v>0.8</v>
      </c>
      <c r="CP52" s="26"/>
      <c r="CQ52" s="26">
        <v>0.8</v>
      </c>
      <c r="CU52" s="26"/>
      <c r="CV52" s="26">
        <v>0.8</v>
      </c>
      <c r="CW52" s="26"/>
      <c r="CX52" s="26">
        <v>0.8</v>
      </c>
      <c r="DB52" s="26"/>
      <c r="DC52" s="26">
        <v>1</v>
      </c>
      <c r="DD52" s="26"/>
      <c r="DE52" s="26">
        <v>1</v>
      </c>
      <c r="DI52" s="26"/>
      <c r="DJ52" s="26">
        <v>1</v>
      </c>
      <c r="DK52" s="26"/>
      <c r="DL52" s="26">
        <v>1</v>
      </c>
      <c r="DP52" s="26"/>
      <c r="DQ52" s="26">
        <v>1</v>
      </c>
      <c r="DR52" s="26"/>
      <c r="DS52" s="26">
        <v>1</v>
      </c>
      <c r="DW52" s="26"/>
      <c r="DX52" s="26">
        <v>1</v>
      </c>
      <c r="DY52" s="26"/>
      <c r="DZ52" s="26">
        <v>1</v>
      </c>
      <c r="ED52" s="26"/>
      <c r="EE52" s="26">
        <v>1</v>
      </c>
      <c r="EF52" s="26"/>
      <c r="EG52" s="26">
        <v>1</v>
      </c>
      <c r="EK52" s="26"/>
      <c r="EL52" s="26">
        <v>1</v>
      </c>
      <c r="EM52" s="26"/>
      <c r="EN52" s="26">
        <v>1</v>
      </c>
      <c r="ER52" s="26"/>
      <c r="ES52" s="26">
        <v>1</v>
      </c>
      <c r="ET52" s="26"/>
      <c r="EU52" s="26">
        <v>1</v>
      </c>
      <c r="EY52" s="26"/>
      <c r="EZ52" s="26">
        <v>1</v>
      </c>
      <c r="FA52" s="26"/>
      <c r="FB52" s="26">
        <v>1</v>
      </c>
      <c r="FF52" s="26"/>
      <c r="FG52" s="26">
        <v>1</v>
      </c>
      <c r="FH52" s="26"/>
      <c r="FI52" s="26">
        <v>1</v>
      </c>
    </row>
    <row r="53" spans="1:166" outlineLevel="1">
      <c r="A53" s="16"/>
      <c r="B53" s="16" t="s">
        <v>28</v>
      </c>
      <c r="C53" s="16" t="s">
        <v>140</v>
      </c>
      <c r="D53" s="16"/>
      <c r="E53" s="21"/>
      <c r="F53" t="s">
        <v>133</v>
      </c>
      <c r="G53" s="26">
        <v>0</v>
      </c>
      <c r="I53" s="29">
        <f t="shared" si="4"/>
        <v>0</v>
      </c>
      <c r="J53" s="28">
        <f t="array" ref="J53">MAX(IF($N$3:$EH$3=$J$3,N53:EH53))</f>
        <v>0</v>
      </c>
      <c r="K53" s="28">
        <f t="array" ref="K53">MAX(IF($N$3:$EH$3=$J$3,N53:EH53))</f>
        <v>0</v>
      </c>
      <c r="L53" s="29"/>
      <c r="O53" s="26"/>
      <c r="P53" s="26"/>
      <c r="Q53" s="26"/>
      <c r="R53" s="26"/>
      <c r="V53" s="26"/>
      <c r="W53" s="26"/>
      <c r="X53" s="26"/>
      <c r="Y53" s="26"/>
      <c r="AC53" s="26"/>
      <c r="AD53" s="26">
        <v>0.5</v>
      </c>
      <c r="AE53" s="26"/>
      <c r="AF53" s="26">
        <v>0.5</v>
      </c>
      <c r="AJ53" s="26"/>
      <c r="AK53" s="26">
        <v>0.5</v>
      </c>
      <c r="AL53" s="26"/>
      <c r="AM53" s="26">
        <v>0.5</v>
      </c>
      <c r="AN53" s="15">
        <v>2</v>
      </c>
      <c r="AQ53" s="26"/>
      <c r="AR53" s="26">
        <v>0.5</v>
      </c>
      <c r="AS53" s="26"/>
      <c r="AT53" s="26">
        <v>0.5</v>
      </c>
      <c r="AX53" s="26"/>
      <c r="AY53" s="26">
        <v>0.5</v>
      </c>
      <c r="AZ53" s="26"/>
      <c r="BA53" s="26">
        <v>0.5</v>
      </c>
      <c r="BE53" s="26"/>
      <c r="BF53" s="26">
        <v>0.5</v>
      </c>
      <c r="BG53" s="26"/>
      <c r="BH53" s="26">
        <v>0.5</v>
      </c>
      <c r="BL53" s="26"/>
      <c r="BM53" s="26">
        <v>0.5</v>
      </c>
      <c r="BN53" s="26"/>
      <c r="BO53" s="26">
        <v>0.5</v>
      </c>
      <c r="BS53" s="26"/>
      <c r="BT53" s="26">
        <v>0.5</v>
      </c>
      <c r="BU53" s="26"/>
      <c r="BV53" s="26">
        <v>0.5</v>
      </c>
      <c r="BZ53" s="26"/>
      <c r="CA53" s="26">
        <v>0.8</v>
      </c>
      <c r="CB53" s="26"/>
      <c r="CC53" s="26">
        <v>0.8</v>
      </c>
      <c r="CG53" s="26"/>
      <c r="CH53" s="26">
        <v>0.8</v>
      </c>
      <c r="CI53" s="26"/>
      <c r="CJ53" s="26">
        <v>0.8</v>
      </c>
      <c r="CN53" s="26"/>
      <c r="CO53" s="26">
        <v>0.8</v>
      </c>
      <c r="CP53" s="26"/>
      <c r="CQ53" s="26">
        <v>0.8</v>
      </c>
      <c r="CU53" s="26"/>
      <c r="CV53" s="26">
        <v>0.8</v>
      </c>
      <c r="CW53" s="26"/>
      <c r="CX53" s="26">
        <v>0.8</v>
      </c>
      <c r="DB53" s="26"/>
      <c r="DC53" s="26">
        <v>0.8</v>
      </c>
      <c r="DD53" s="26"/>
      <c r="DE53" s="26">
        <v>0.8</v>
      </c>
      <c r="DI53" s="26"/>
      <c r="DJ53" s="26">
        <v>0.8</v>
      </c>
      <c r="DK53" s="26"/>
      <c r="DL53" s="26">
        <v>0.8</v>
      </c>
      <c r="DP53" s="26"/>
      <c r="DQ53" s="26">
        <v>1</v>
      </c>
      <c r="DR53" s="26"/>
      <c r="DS53" s="26">
        <v>1</v>
      </c>
      <c r="DW53" s="26"/>
      <c r="DX53" s="26">
        <v>1</v>
      </c>
      <c r="DY53" s="26"/>
      <c r="DZ53" s="26">
        <v>1</v>
      </c>
      <c r="ED53" s="26"/>
      <c r="EE53" s="26">
        <v>1</v>
      </c>
      <c r="EF53" s="26"/>
      <c r="EG53" s="26">
        <v>1</v>
      </c>
      <c r="EK53" s="26"/>
      <c r="EL53" s="26">
        <v>1</v>
      </c>
      <c r="EM53" s="26"/>
      <c r="EN53" s="26">
        <v>1</v>
      </c>
      <c r="ER53" s="26"/>
      <c r="ES53" s="26">
        <v>1</v>
      </c>
      <c r="ET53" s="26"/>
      <c r="EU53" s="26">
        <v>1</v>
      </c>
      <c r="EY53" s="26"/>
      <c r="EZ53" s="26">
        <v>1</v>
      </c>
      <c r="FA53" s="26"/>
      <c r="FB53" s="26">
        <v>1</v>
      </c>
      <c r="FF53" s="26"/>
      <c r="FG53" s="26">
        <v>1</v>
      </c>
      <c r="FH53" s="26"/>
      <c r="FI53" s="26">
        <v>1</v>
      </c>
    </row>
    <row r="54" spans="1:166" outlineLevel="1">
      <c r="A54" s="16"/>
      <c r="B54" s="16" t="s">
        <v>28</v>
      </c>
      <c r="C54" s="16" t="s">
        <v>140</v>
      </c>
      <c r="D54" s="16"/>
      <c r="E54" s="21"/>
      <c r="F54" s="32" t="s">
        <v>134</v>
      </c>
      <c r="G54" s="26">
        <v>0</v>
      </c>
      <c r="I54" s="29">
        <f t="shared" si="4"/>
        <v>0</v>
      </c>
      <c r="J54" s="28">
        <f t="array" ref="J54">MAX(IF($N$3:$EH$3=$J$3,N54:EH54))</f>
        <v>0</v>
      </c>
      <c r="K54" s="28">
        <f t="array" ref="K54">MAX(IF($N$3:$EH$3=$J$3,N54:EH54))</f>
        <v>0</v>
      </c>
      <c r="L54" s="29"/>
      <c r="O54" s="26"/>
      <c r="P54" s="26"/>
      <c r="Q54" s="26"/>
      <c r="R54" s="26"/>
      <c r="S54" s="15">
        <v>1</v>
      </c>
      <c r="V54" s="26"/>
      <c r="W54" s="26"/>
      <c r="X54" s="26"/>
      <c r="Y54" s="26"/>
      <c r="Z54" s="15">
        <v>2</v>
      </c>
      <c r="AC54" s="26"/>
      <c r="AD54" s="26"/>
      <c r="AE54" s="26"/>
      <c r="AF54" s="26"/>
      <c r="AG54" s="15">
        <v>1</v>
      </c>
      <c r="AJ54" s="26"/>
      <c r="AK54" s="26">
        <v>0.5</v>
      </c>
      <c r="AL54" s="26"/>
      <c r="AM54" s="26">
        <v>0.5</v>
      </c>
      <c r="AQ54" s="26"/>
      <c r="AR54" s="26">
        <v>0.5</v>
      </c>
      <c r="AS54" s="26"/>
      <c r="AT54" s="26">
        <v>0.5</v>
      </c>
      <c r="AU54" s="15">
        <v>1</v>
      </c>
      <c r="AX54" s="26"/>
      <c r="AY54" s="26">
        <v>0.5</v>
      </c>
      <c r="AZ54" s="26"/>
      <c r="BA54" s="26">
        <v>0.5</v>
      </c>
      <c r="BE54" s="26"/>
      <c r="BF54" s="26">
        <v>0.5</v>
      </c>
      <c r="BG54" s="26"/>
      <c r="BH54" s="26">
        <v>0.5</v>
      </c>
      <c r="BL54" s="26"/>
      <c r="BM54" s="26">
        <v>0.5</v>
      </c>
      <c r="BN54" s="26"/>
      <c r="BO54" s="26">
        <v>0.5</v>
      </c>
      <c r="BS54" s="26"/>
      <c r="BT54" s="26">
        <v>0.5</v>
      </c>
      <c r="BU54" s="26"/>
      <c r="BV54" s="26">
        <v>0.5</v>
      </c>
      <c r="BZ54" s="26"/>
      <c r="CA54" s="26">
        <v>0.5</v>
      </c>
      <c r="CB54" s="26"/>
      <c r="CC54" s="26">
        <v>0.5</v>
      </c>
      <c r="CG54" s="26"/>
      <c r="CH54" s="26">
        <v>0.8</v>
      </c>
      <c r="CI54" s="26"/>
      <c r="CJ54" s="26">
        <v>0.8</v>
      </c>
      <c r="CN54" s="26"/>
      <c r="CO54" s="26">
        <v>0.8</v>
      </c>
      <c r="CP54" s="26"/>
      <c r="CQ54" s="26">
        <v>0.8</v>
      </c>
      <c r="CU54" s="26"/>
      <c r="CV54" s="26">
        <v>0.8</v>
      </c>
      <c r="CW54" s="26"/>
      <c r="CX54" s="26">
        <v>0.8</v>
      </c>
      <c r="DB54" s="26"/>
      <c r="DC54" s="26">
        <v>0.8</v>
      </c>
      <c r="DD54" s="26"/>
      <c r="DE54" s="26">
        <v>0.8</v>
      </c>
      <c r="DI54" s="26"/>
      <c r="DJ54" s="26">
        <v>0.8</v>
      </c>
      <c r="DK54" s="26"/>
      <c r="DL54" s="26">
        <v>0.8</v>
      </c>
      <c r="DP54" s="26"/>
      <c r="DQ54" s="26">
        <v>0.8</v>
      </c>
      <c r="DR54" s="26"/>
      <c r="DS54" s="26">
        <v>0.8</v>
      </c>
      <c r="DW54" s="26"/>
      <c r="DX54" s="26">
        <v>0.8</v>
      </c>
      <c r="DY54" s="26"/>
      <c r="DZ54" s="26">
        <v>0.8</v>
      </c>
      <c r="ED54" s="26"/>
      <c r="EE54" s="26">
        <v>1</v>
      </c>
      <c r="EF54" s="26"/>
      <c r="EG54" s="26">
        <v>1</v>
      </c>
      <c r="EK54" s="26"/>
      <c r="EL54" s="26">
        <v>1</v>
      </c>
      <c r="EM54" s="26"/>
      <c r="EN54" s="26">
        <v>1</v>
      </c>
      <c r="ER54" s="26"/>
      <c r="ES54" s="26">
        <v>1</v>
      </c>
      <c r="ET54" s="26"/>
      <c r="EU54" s="26">
        <v>1</v>
      </c>
      <c r="EY54" s="26"/>
      <c r="EZ54" s="26">
        <v>1</v>
      </c>
      <c r="FA54" s="26"/>
      <c r="FB54" s="26">
        <v>1</v>
      </c>
      <c r="FF54" s="26"/>
      <c r="FG54" s="26">
        <v>1</v>
      </c>
      <c r="FH54" s="26"/>
      <c r="FI54" s="26">
        <v>1</v>
      </c>
    </row>
    <row r="55" spans="1:166" outlineLevel="1">
      <c r="A55" s="16"/>
      <c r="B55" s="16" t="s">
        <v>28</v>
      </c>
      <c r="C55" s="16" t="s">
        <v>140</v>
      </c>
      <c r="D55" s="16"/>
      <c r="E55" s="21"/>
      <c r="F55" s="32" t="s">
        <v>135</v>
      </c>
      <c r="G55" s="26">
        <v>0</v>
      </c>
      <c r="I55" s="29">
        <f t="shared" si="4"/>
        <v>0</v>
      </c>
      <c r="J55" s="28">
        <f t="array" ref="J55">MAX(IF($N$3:$EH$3=$J$3,N55:EH55))</f>
        <v>0</v>
      </c>
      <c r="K55" s="28">
        <f t="array" ref="K55">MAX(IF($N$3:$EH$3=$J$3,N55:EH55))</f>
        <v>0</v>
      </c>
      <c r="L55" s="29"/>
      <c r="O55" s="26"/>
      <c r="P55" s="26"/>
      <c r="Q55" s="26"/>
      <c r="R55" s="26"/>
      <c r="V55" s="26"/>
      <c r="W55" s="26"/>
      <c r="X55" s="26"/>
      <c r="Y55" s="26"/>
      <c r="AC55" s="26"/>
      <c r="AD55" s="26"/>
      <c r="AE55" s="26"/>
      <c r="AF55" s="26"/>
      <c r="AI55" s="16"/>
      <c r="AJ55" s="26"/>
      <c r="AK55" s="26"/>
      <c r="AL55" s="26"/>
      <c r="AM55" s="26"/>
      <c r="AQ55" s="26"/>
      <c r="AR55" s="26"/>
      <c r="AS55" s="26"/>
      <c r="AT55" s="26"/>
      <c r="AX55" s="26"/>
      <c r="AY55" s="26">
        <v>0.5</v>
      </c>
      <c r="AZ55" s="26"/>
      <c r="BA55" s="26">
        <v>0.5</v>
      </c>
      <c r="BE55" s="26"/>
      <c r="BF55" s="26">
        <v>0.5</v>
      </c>
      <c r="BG55" s="26"/>
      <c r="BH55" s="26">
        <v>0.5</v>
      </c>
      <c r="BL55" s="26"/>
      <c r="BM55" s="26">
        <v>0.5</v>
      </c>
      <c r="BN55" s="26"/>
      <c r="BO55" s="26">
        <v>0.5</v>
      </c>
      <c r="BS55" s="26"/>
      <c r="BT55" s="26">
        <v>0.5</v>
      </c>
      <c r="BU55" s="26"/>
      <c r="BV55" s="26">
        <v>0.5</v>
      </c>
      <c r="BZ55" s="26"/>
      <c r="CA55" s="26">
        <v>0.5</v>
      </c>
      <c r="CB55" s="26"/>
      <c r="CC55" s="26">
        <v>0.5</v>
      </c>
      <c r="CG55" s="26"/>
      <c r="CH55" s="26">
        <v>0.5</v>
      </c>
      <c r="CI55" s="26"/>
      <c r="CJ55" s="26">
        <v>0.5</v>
      </c>
      <c r="CN55" s="26"/>
      <c r="CO55" s="26">
        <v>0.8</v>
      </c>
      <c r="CP55" s="26"/>
      <c r="CQ55" s="26">
        <v>0.8</v>
      </c>
      <c r="CU55" s="26"/>
      <c r="CV55" s="26">
        <v>0.8</v>
      </c>
      <c r="CW55" s="26"/>
      <c r="CX55" s="26">
        <v>0.8</v>
      </c>
      <c r="DB55" s="26"/>
      <c r="DC55" s="26">
        <v>0.8</v>
      </c>
      <c r="DD55" s="26"/>
      <c r="DE55" s="26">
        <v>0.8</v>
      </c>
      <c r="DI55" s="26"/>
      <c r="DJ55" s="26">
        <v>0.8</v>
      </c>
      <c r="DK55" s="26"/>
      <c r="DL55" s="26">
        <v>0.8</v>
      </c>
      <c r="DP55" s="26"/>
      <c r="DQ55" s="26">
        <v>0.8</v>
      </c>
      <c r="DR55" s="26"/>
      <c r="DS55" s="26">
        <v>0.8</v>
      </c>
      <c r="DW55" s="26"/>
      <c r="DX55" s="26">
        <v>0.8</v>
      </c>
      <c r="DY55" s="26"/>
      <c r="DZ55" s="26">
        <v>0.8</v>
      </c>
      <c r="ED55" s="26"/>
      <c r="EE55" s="26">
        <v>0.8</v>
      </c>
      <c r="EF55" s="26"/>
      <c r="EG55" s="26">
        <v>0.8</v>
      </c>
      <c r="EH55" s="15">
        <v>2</v>
      </c>
      <c r="EK55" s="26"/>
      <c r="EL55" s="26">
        <v>1</v>
      </c>
      <c r="EM55" s="26"/>
      <c r="EN55" s="26">
        <v>1</v>
      </c>
      <c r="ER55" s="26"/>
      <c r="ES55" s="26">
        <v>1</v>
      </c>
      <c r="ET55" s="26"/>
      <c r="EU55" s="26">
        <v>1</v>
      </c>
      <c r="EY55" s="26"/>
      <c r="EZ55" s="26">
        <v>1</v>
      </c>
      <c r="FA55" s="26"/>
      <c r="FB55" s="26">
        <v>1</v>
      </c>
      <c r="FF55" s="26"/>
      <c r="FG55" s="26">
        <v>1</v>
      </c>
      <c r="FH55" s="26"/>
      <c r="FI55" s="26">
        <v>1</v>
      </c>
    </row>
    <row r="56" spans="1:166" outlineLevel="1">
      <c r="A56" s="16"/>
      <c r="B56" s="16" t="s">
        <v>28</v>
      </c>
      <c r="C56" s="16" t="s">
        <v>140</v>
      </c>
      <c r="D56" s="16"/>
      <c r="E56" s="21"/>
      <c r="F56" s="32" t="s">
        <v>136</v>
      </c>
      <c r="G56" s="26">
        <v>0</v>
      </c>
      <c r="I56" s="29">
        <f t="shared" si="4"/>
        <v>0</v>
      </c>
      <c r="J56" s="28">
        <f t="array" ref="J56">MAX(IF($N$3:$EH$3=$J$3,N56:EH56))</f>
        <v>0</v>
      </c>
      <c r="K56" s="28">
        <f t="array" ref="K56">MAX(IF($N$3:$EH$3=$J$3,N56:EH56))</f>
        <v>0</v>
      </c>
      <c r="L56" s="29"/>
      <c r="O56" s="26"/>
      <c r="P56" s="26"/>
      <c r="Q56" s="26"/>
      <c r="R56" s="26"/>
      <c r="V56" s="26"/>
      <c r="W56" s="26"/>
      <c r="X56" s="26"/>
      <c r="Y56" s="26"/>
      <c r="AC56" s="26"/>
      <c r="AD56" s="26"/>
      <c r="AE56" s="26"/>
      <c r="AF56" s="26"/>
      <c r="AJ56" s="26"/>
      <c r="AK56" s="26"/>
      <c r="AL56" s="26"/>
      <c r="AM56" s="26"/>
      <c r="AQ56" s="26"/>
      <c r="AR56" s="26"/>
      <c r="AS56" s="26"/>
      <c r="AT56" s="26"/>
      <c r="AX56" s="26"/>
      <c r="AY56" s="26"/>
      <c r="AZ56" s="26"/>
      <c r="BA56" s="26"/>
      <c r="BE56" s="26"/>
      <c r="BF56" s="26">
        <v>0.5</v>
      </c>
      <c r="BG56" s="26"/>
      <c r="BH56" s="26">
        <v>0.5</v>
      </c>
      <c r="BL56" s="26"/>
      <c r="BM56" s="26">
        <v>0.5</v>
      </c>
      <c r="BN56" s="26"/>
      <c r="BO56" s="26">
        <v>0.5</v>
      </c>
      <c r="BS56" s="26"/>
      <c r="BT56" s="26">
        <v>0.5</v>
      </c>
      <c r="BU56" s="26"/>
      <c r="BV56" s="26">
        <v>0.5</v>
      </c>
      <c r="BZ56" s="26"/>
      <c r="CA56" s="26">
        <v>0.5</v>
      </c>
      <c r="CB56" s="26"/>
      <c r="CC56" s="26">
        <v>0.5</v>
      </c>
      <c r="CD56" s="15">
        <v>2</v>
      </c>
      <c r="CG56" s="26"/>
      <c r="CH56" s="26">
        <v>0.5</v>
      </c>
      <c r="CI56" s="26"/>
      <c r="CJ56" s="26">
        <v>0.5</v>
      </c>
      <c r="CN56" s="26"/>
      <c r="CO56" s="26">
        <v>0.5</v>
      </c>
      <c r="CP56" s="26"/>
      <c r="CQ56" s="26">
        <v>0.5</v>
      </c>
      <c r="CU56" s="26"/>
      <c r="CV56" s="26">
        <v>0.8</v>
      </c>
      <c r="CW56" s="26"/>
      <c r="CX56" s="26">
        <v>0.8</v>
      </c>
      <c r="DB56" s="26"/>
      <c r="DC56" s="26">
        <v>0.8</v>
      </c>
      <c r="DD56" s="26"/>
      <c r="DE56" s="26">
        <v>0.8</v>
      </c>
      <c r="DF56" s="15">
        <v>2</v>
      </c>
      <c r="DI56" s="26"/>
      <c r="DJ56" s="26">
        <v>0.8</v>
      </c>
      <c r="DK56" s="26"/>
      <c r="DL56" s="26">
        <v>0.8</v>
      </c>
      <c r="DM56" s="15">
        <v>1</v>
      </c>
      <c r="DP56" s="26"/>
      <c r="DQ56" s="26">
        <v>0.8</v>
      </c>
      <c r="DR56" s="26"/>
      <c r="DS56" s="26">
        <v>0.8</v>
      </c>
      <c r="DW56" s="26"/>
      <c r="DX56" s="26">
        <v>0.8</v>
      </c>
      <c r="DY56" s="26"/>
      <c r="DZ56" s="26">
        <v>0.8</v>
      </c>
      <c r="ED56" s="26"/>
      <c r="EE56" s="26">
        <v>0.8</v>
      </c>
      <c r="EF56" s="26"/>
      <c r="EG56" s="26">
        <v>0.8</v>
      </c>
      <c r="EK56" s="26"/>
      <c r="EL56" s="26">
        <v>1</v>
      </c>
      <c r="EM56" s="26"/>
      <c r="EN56" s="26">
        <v>1</v>
      </c>
      <c r="ER56" s="26"/>
      <c r="ES56" s="26">
        <v>1</v>
      </c>
      <c r="ET56" s="26"/>
      <c r="EU56" s="26">
        <v>1</v>
      </c>
      <c r="EY56" s="26"/>
      <c r="EZ56" s="26">
        <v>1</v>
      </c>
      <c r="FA56" s="26"/>
      <c r="FB56" s="26">
        <v>1</v>
      </c>
      <c r="FF56" s="26"/>
      <c r="FG56" s="26">
        <v>1</v>
      </c>
      <c r="FH56" s="26"/>
      <c r="FI56" s="26">
        <v>1</v>
      </c>
    </row>
    <row r="57" spans="1:166" outlineLevel="1">
      <c r="A57" s="16"/>
      <c r="B57" s="16" t="s">
        <v>28</v>
      </c>
      <c r="C57" s="16" t="s">
        <v>140</v>
      </c>
      <c r="D57" s="16"/>
      <c r="E57" s="21"/>
      <c r="F57" s="32" t="s">
        <v>137</v>
      </c>
      <c r="G57" s="26">
        <v>0</v>
      </c>
      <c r="I57" s="29">
        <f t="shared" si="4"/>
        <v>0</v>
      </c>
      <c r="J57" s="28">
        <f t="array" ref="J57">MAX(IF($N$3:$EH$3=$J$3,N57:EH57))</f>
        <v>0</v>
      </c>
      <c r="K57" s="28">
        <f t="array" ref="K57">MAX(IF($N$3:$EH$3=$J$3,N57:EH57))</f>
        <v>0</v>
      </c>
      <c r="L57" s="29"/>
      <c r="O57" s="26"/>
      <c r="P57" s="26"/>
      <c r="Q57" s="26"/>
      <c r="R57" s="26"/>
      <c r="V57" s="26"/>
      <c r="W57" s="26"/>
      <c r="X57" s="26"/>
      <c r="Y57" s="26"/>
      <c r="AC57" s="26"/>
      <c r="AD57" s="26"/>
      <c r="AE57" s="26"/>
      <c r="AF57" s="26"/>
      <c r="AJ57" s="26"/>
      <c r="AK57" s="26"/>
      <c r="AL57" s="26"/>
      <c r="AM57" s="26"/>
      <c r="AQ57" s="26"/>
      <c r="AR57" s="26"/>
      <c r="AS57" s="26"/>
      <c r="AT57" s="26"/>
      <c r="AX57" s="26"/>
      <c r="AY57" s="26"/>
      <c r="AZ57" s="26"/>
      <c r="BA57" s="26"/>
      <c r="BE57" s="26"/>
      <c r="BF57" s="26"/>
      <c r="BG57" s="26"/>
      <c r="BH57" s="26"/>
      <c r="BL57" s="26"/>
      <c r="BM57" s="26">
        <v>0.5</v>
      </c>
      <c r="BN57" s="26"/>
      <c r="BO57" s="26">
        <v>0.5</v>
      </c>
      <c r="BS57" s="26"/>
      <c r="BT57" s="26">
        <v>0.5</v>
      </c>
      <c r="BU57" s="26"/>
      <c r="BV57" s="26">
        <v>0.5</v>
      </c>
      <c r="BW57" s="15">
        <v>1</v>
      </c>
      <c r="BZ57" s="26"/>
      <c r="CA57" s="26">
        <v>0.5</v>
      </c>
      <c r="CB57" s="26"/>
      <c r="CC57" s="26">
        <v>0.5</v>
      </c>
      <c r="CG57" s="26"/>
      <c r="CH57" s="26">
        <v>0.5</v>
      </c>
      <c r="CI57" s="26"/>
      <c r="CJ57" s="26">
        <v>0.5</v>
      </c>
      <c r="CN57" s="26"/>
      <c r="CO57" s="26">
        <v>0.5</v>
      </c>
      <c r="CP57" s="26"/>
      <c r="CQ57" s="26">
        <v>0.5</v>
      </c>
      <c r="CU57" s="26"/>
      <c r="CV57" s="26">
        <v>0.5</v>
      </c>
      <c r="CW57" s="26"/>
      <c r="CX57" s="26">
        <v>0.5</v>
      </c>
      <c r="CY57" s="15">
        <v>1</v>
      </c>
      <c r="DB57" s="26"/>
      <c r="DC57" s="26">
        <v>0.5</v>
      </c>
      <c r="DD57" s="26"/>
      <c r="DE57" s="26">
        <v>0.5</v>
      </c>
      <c r="DI57" s="26"/>
      <c r="DJ57" s="26">
        <v>0.8</v>
      </c>
      <c r="DK57" s="26"/>
      <c r="DL57" s="26">
        <v>0.8</v>
      </c>
      <c r="DP57" s="26"/>
      <c r="DQ57" s="26">
        <v>0.8</v>
      </c>
      <c r="DR57" s="26"/>
      <c r="DS57" s="26">
        <v>0.8</v>
      </c>
      <c r="DW57" s="26"/>
      <c r="DX57" s="26">
        <v>0.8</v>
      </c>
      <c r="DY57" s="26"/>
      <c r="DZ57" s="26">
        <v>0.8</v>
      </c>
      <c r="EA57" s="15">
        <v>1</v>
      </c>
      <c r="ED57" s="26"/>
      <c r="EE57" s="26">
        <v>0.8</v>
      </c>
      <c r="EF57" s="26"/>
      <c r="EG57" s="26">
        <v>0.8</v>
      </c>
      <c r="EK57" s="26"/>
      <c r="EL57" s="26">
        <v>0.8</v>
      </c>
      <c r="EM57" s="26"/>
      <c r="EN57" s="26">
        <v>0.8</v>
      </c>
      <c r="ER57" s="26"/>
      <c r="ES57" s="26">
        <v>1</v>
      </c>
      <c r="ET57" s="26"/>
      <c r="EU57" s="26">
        <v>1</v>
      </c>
      <c r="EY57" s="26"/>
      <c r="EZ57" s="26">
        <v>1</v>
      </c>
      <c r="FA57" s="26"/>
      <c r="FB57" s="26">
        <v>1</v>
      </c>
      <c r="FF57" s="26"/>
      <c r="FG57" s="26">
        <v>1</v>
      </c>
      <c r="FH57" s="26"/>
      <c r="FI57" s="26">
        <v>1</v>
      </c>
    </row>
    <row r="58" spans="1:166" outlineLevel="1">
      <c r="A58" s="16"/>
      <c r="B58" s="16" t="s">
        <v>28</v>
      </c>
      <c r="C58" s="16" t="s">
        <v>140</v>
      </c>
      <c r="D58" s="16"/>
      <c r="E58" s="21"/>
      <c r="F58" s="32" t="s">
        <v>138</v>
      </c>
      <c r="G58" s="26">
        <v>0</v>
      </c>
      <c r="I58" s="29">
        <f t="shared" si="4"/>
        <v>0</v>
      </c>
      <c r="J58" s="28">
        <f t="array" ref="J58">MAX(IF($N$3:$EH$3=$J$3,N58:EH58))</f>
        <v>0</v>
      </c>
      <c r="K58" s="28">
        <f t="array" ref="K58">MAX(IF($N$3:$EH$3=$J$3,N58:EH58))</f>
        <v>0</v>
      </c>
      <c r="L58" s="29"/>
      <c r="O58" s="26"/>
      <c r="P58" s="26"/>
      <c r="Q58" s="26"/>
      <c r="R58" s="26"/>
      <c r="V58" s="26"/>
      <c r="W58" s="26"/>
      <c r="X58" s="26"/>
      <c r="Y58" s="26"/>
      <c r="AC58" s="26"/>
      <c r="AD58" s="26"/>
      <c r="AE58" s="26"/>
      <c r="AF58" s="26"/>
      <c r="AJ58" s="26"/>
      <c r="AK58" s="26"/>
      <c r="AL58" s="26"/>
      <c r="AM58" s="26"/>
      <c r="AQ58" s="26"/>
      <c r="AR58" s="26"/>
      <c r="AS58" s="26"/>
      <c r="AT58" s="26"/>
      <c r="AX58" s="26"/>
      <c r="AY58" s="26"/>
      <c r="AZ58" s="26"/>
      <c r="BA58" s="26"/>
      <c r="BE58" s="26"/>
      <c r="BF58" s="26"/>
      <c r="BG58" s="26"/>
      <c r="BH58" s="26"/>
      <c r="BL58" s="26"/>
      <c r="BM58" s="26"/>
      <c r="BN58" s="26"/>
      <c r="BO58" s="26"/>
      <c r="BS58" s="26"/>
      <c r="BT58" s="26">
        <v>0.5</v>
      </c>
      <c r="BU58" s="26"/>
      <c r="BV58" s="26">
        <v>0.5</v>
      </c>
      <c r="BZ58" s="26"/>
      <c r="CA58" s="26">
        <v>0.5</v>
      </c>
      <c r="CB58" s="26"/>
      <c r="CC58" s="26">
        <v>0.5</v>
      </c>
      <c r="CG58" s="26"/>
      <c r="CH58" s="26">
        <v>0.5</v>
      </c>
      <c r="CI58" s="26"/>
      <c r="CJ58" s="26">
        <v>0.5</v>
      </c>
      <c r="CN58" s="26"/>
      <c r="CO58" s="26">
        <v>0.5</v>
      </c>
      <c r="CP58" s="26"/>
      <c r="CQ58" s="26">
        <v>0.5</v>
      </c>
      <c r="CR58" s="15">
        <v>2</v>
      </c>
      <c r="CU58" s="26"/>
      <c r="CV58" s="26">
        <v>0.5</v>
      </c>
      <c r="CW58" s="26"/>
      <c r="CX58" s="26">
        <v>0.5</v>
      </c>
      <c r="DB58" s="26"/>
      <c r="DC58" s="26">
        <v>0.5</v>
      </c>
      <c r="DD58" s="26"/>
      <c r="DE58" s="26">
        <v>0.5</v>
      </c>
      <c r="DI58" s="26"/>
      <c r="DJ58" s="26">
        <v>0.5</v>
      </c>
      <c r="DK58" s="26"/>
      <c r="DL58" s="26">
        <v>0.5</v>
      </c>
      <c r="DP58" s="26"/>
      <c r="DQ58" s="26">
        <v>0.8</v>
      </c>
      <c r="DR58" s="26"/>
      <c r="DS58" s="26">
        <v>0.8</v>
      </c>
      <c r="DT58" s="15">
        <v>2</v>
      </c>
      <c r="DW58" s="26"/>
      <c r="DX58" s="26">
        <v>0.8</v>
      </c>
      <c r="DY58" s="26"/>
      <c r="DZ58" s="26">
        <v>0.8</v>
      </c>
      <c r="ED58" s="26"/>
      <c r="EE58" s="26">
        <v>0.8</v>
      </c>
      <c r="EF58" s="26"/>
      <c r="EG58" s="26">
        <v>0.8</v>
      </c>
      <c r="EK58" s="26"/>
      <c r="EL58" s="26">
        <v>0.8</v>
      </c>
      <c r="EM58" s="26"/>
      <c r="EN58" s="26">
        <v>0.8</v>
      </c>
      <c r="ER58" s="26"/>
      <c r="ES58" s="26">
        <v>1</v>
      </c>
      <c r="ET58" s="26"/>
      <c r="EU58" s="26">
        <v>1</v>
      </c>
      <c r="EY58" s="26"/>
      <c r="EZ58" s="26">
        <v>1</v>
      </c>
      <c r="FA58" s="26"/>
      <c r="FB58" s="26">
        <v>1</v>
      </c>
      <c r="FF58" s="26"/>
      <c r="FG58" s="26">
        <v>1</v>
      </c>
      <c r="FH58" s="26"/>
      <c r="FI58" s="26">
        <v>1</v>
      </c>
    </row>
    <row r="59" spans="1:166" outlineLevel="1">
      <c r="A59" s="16"/>
      <c r="B59" s="16" t="s">
        <v>28</v>
      </c>
      <c r="C59" s="16" t="s">
        <v>140</v>
      </c>
      <c r="D59" s="16"/>
      <c r="E59" s="21"/>
      <c r="F59" s="32" t="s">
        <v>139</v>
      </c>
      <c r="G59" s="26">
        <v>0</v>
      </c>
      <c r="I59" s="29">
        <f t="shared" si="4"/>
        <v>0</v>
      </c>
      <c r="J59" s="28">
        <f t="array" ref="J59">MAX(IF($N$3:$EH$3=$J$3,N59:EH59))</f>
        <v>0</v>
      </c>
      <c r="K59" s="28">
        <f t="array" ref="K59">MAX(IF($N$3:$EH$3=$J$3,N59:EH59))</f>
        <v>0</v>
      </c>
      <c r="L59" s="29"/>
      <c r="O59" s="26"/>
      <c r="P59" s="26"/>
      <c r="Q59" s="26"/>
      <c r="R59" s="26"/>
      <c r="V59" s="26"/>
      <c r="W59" s="26"/>
      <c r="X59" s="26"/>
      <c r="Y59" s="26"/>
      <c r="AC59" s="26"/>
      <c r="AD59" s="26"/>
      <c r="AE59" s="26"/>
      <c r="AF59" s="26"/>
      <c r="AJ59" s="26"/>
      <c r="AK59" s="26"/>
      <c r="AL59" s="26"/>
      <c r="AM59" s="26"/>
      <c r="AQ59" s="26"/>
      <c r="AR59" s="26"/>
      <c r="AS59" s="26"/>
      <c r="AT59" s="26"/>
      <c r="AX59" s="26"/>
      <c r="AY59" s="26"/>
      <c r="AZ59" s="26"/>
      <c r="BA59" s="26"/>
      <c r="BE59" s="26"/>
      <c r="BF59" s="26"/>
      <c r="BG59" s="26"/>
      <c r="BH59" s="26"/>
      <c r="BL59" s="26"/>
      <c r="BM59" s="26"/>
      <c r="BN59" s="26"/>
      <c r="BO59" s="26"/>
      <c r="BS59" s="26"/>
      <c r="BT59" s="26"/>
      <c r="BU59" s="26"/>
      <c r="BV59" s="26"/>
      <c r="BZ59" s="26"/>
      <c r="CA59" s="26">
        <v>0.5</v>
      </c>
      <c r="CB59" s="26"/>
      <c r="CC59" s="26">
        <v>0.5</v>
      </c>
      <c r="CG59" s="26"/>
      <c r="CH59" s="26">
        <v>0.5</v>
      </c>
      <c r="CI59" s="26"/>
      <c r="CJ59" s="26">
        <v>0.5</v>
      </c>
      <c r="CK59" s="15">
        <v>1</v>
      </c>
      <c r="CN59" s="26"/>
      <c r="CO59" s="26">
        <v>0.5</v>
      </c>
      <c r="CP59" s="26"/>
      <c r="CQ59" s="26">
        <v>0.5</v>
      </c>
      <c r="CU59" s="26"/>
      <c r="CV59" s="26">
        <v>0.5</v>
      </c>
      <c r="CW59" s="26"/>
      <c r="CX59" s="26">
        <v>0.5</v>
      </c>
      <c r="DB59" s="26"/>
      <c r="DC59" s="26">
        <v>0.5</v>
      </c>
      <c r="DD59" s="26"/>
      <c r="DE59" s="26">
        <v>0.5</v>
      </c>
      <c r="DI59" s="26"/>
      <c r="DJ59" s="26">
        <v>0.5</v>
      </c>
      <c r="DK59" s="26"/>
      <c r="DL59" s="26">
        <v>0.5</v>
      </c>
      <c r="DP59" s="26"/>
      <c r="DQ59" s="26">
        <v>0.5</v>
      </c>
      <c r="DR59" s="26"/>
      <c r="DS59" s="26">
        <v>0.5</v>
      </c>
      <c r="DW59" s="26"/>
      <c r="DX59" s="26">
        <v>0.8</v>
      </c>
      <c r="DY59" s="26"/>
      <c r="DZ59" s="26">
        <v>0.8</v>
      </c>
      <c r="ED59" s="26"/>
      <c r="EE59" s="26">
        <v>0.8</v>
      </c>
      <c r="EF59" s="26"/>
      <c r="EG59" s="26">
        <v>0.8</v>
      </c>
      <c r="EK59" s="26"/>
      <c r="EL59" s="26">
        <v>0.8</v>
      </c>
      <c r="EM59" s="26"/>
      <c r="EN59" s="26">
        <v>0.8</v>
      </c>
      <c r="ER59" s="26"/>
      <c r="ES59" s="26">
        <v>1</v>
      </c>
      <c r="ET59" s="26"/>
      <c r="EU59" s="26">
        <v>1</v>
      </c>
      <c r="EY59" s="26"/>
      <c r="EZ59" s="26">
        <v>1</v>
      </c>
      <c r="FA59" s="26"/>
      <c r="FB59" s="26">
        <v>1</v>
      </c>
      <c r="FF59" s="26"/>
      <c r="FG59" s="26">
        <v>1</v>
      </c>
      <c r="FH59" s="26"/>
      <c r="FI59" s="26">
        <v>1</v>
      </c>
    </row>
    <row r="60" spans="1:166">
      <c r="A60" s="16"/>
      <c r="B60" s="16"/>
      <c r="C60" s="16"/>
      <c r="D60" s="15" t="s">
        <v>168</v>
      </c>
      <c r="E60" s="16"/>
      <c r="F60" s="47">
        <f>+(3*10)/20</f>
        <v>1.5</v>
      </c>
      <c r="I60" s="29"/>
      <c r="O60" s="16"/>
      <c r="V60" s="16"/>
      <c r="AC60" s="16"/>
      <c r="AJ60" s="16"/>
      <c r="AQ60" s="16"/>
      <c r="AX60" s="16"/>
      <c r="BE60" s="16"/>
      <c r="BL60" s="16"/>
      <c r="BS60" s="16"/>
      <c r="BZ60" s="16"/>
      <c r="CG60" s="16"/>
      <c r="CN60" s="16"/>
      <c r="CU60" s="16"/>
      <c r="DB60" s="16"/>
      <c r="DC60" s="26"/>
      <c r="DI60" s="16"/>
      <c r="DP60" s="16"/>
      <c r="DW60" s="16"/>
      <c r="ED60" s="16"/>
      <c r="EK60" s="16"/>
      <c r="ER60" s="16"/>
      <c r="EY60" s="16"/>
      <c r="FF60" s="16"/>
    </row>
    <row r="1048551" spans="108:142">
      <c r="DX1048551" s="26">
        <v>1</v>
      </c>
      <c r="EE1048551" s="26">
        <v>1</v>
      </c>
      <c r="EL1048551" s="26">
        <v>1</v>
      </c>
    </row>
    <row r="1048558" spans="108:142">
      <c r="DD1048558" s="26"/>
      <c r="DI1048558" s="26"/>
    </row>
  </sheetData>
  <mergeCells count="22">
    <mergeCell ref="CF2:CK2"/>
    <mergeCell ref="FE2:FJ2"/>
    <mergeCell ref="DA2:DF2"/>
    <mergeCell ref="DH2:DM2"/>
    <mergeCell ref="DO2:DT2"/>
    <mergeCell ref="DV2:EA2"/>
    <mergeCell ref="CM2:CR2"/>
    <mergeCell ref="CT2:CY2"/>
    <mergeCell ref="EX2:FC2"/>
    <mergeCell ref="N2:S2"/>
    <mergeCell ref="BD2:BI2"/>
    <mergeCell ref="U2:Z2"/>
    <mergeCell ref="AB2:AG2"/>
    <mergeCell ref="AI2:AN2"/>
    <mergeCell ref="AP2:AU2"/>
    <mergeCell ref="AW2:BB2"/>
    <mergeCell ref="EJ2:EO2"/>
    <mergeCell ref="EQ2:EV2"/>
    <mergeCell ref="EC2:EH2"/>
    <mergeCell ref="BK2:BP2"/>
    <mergeCell ref="BR2:BW2"/>
    <mergeCell ref="BY2:CD2"/>
  </mergeCells>
  <conditionalFormatting sqref="Q45:Q47 O45:O47 X45:X47 V45:V47 AE47 AC47 AJ47 AL47 CP47 CN47 DD45:DD47 DB45:DB47 DK44:DK47 DI44:DI47 DY38:DY47 DW38:DW47 Q40:Q43 O40:O43 X43 V43 Q25:Q26 O25:O26 X25:X26 V25:V26 DY19:DY26 DW19:DW26 DR41:DR47 DP41:DP47 AJ34:AJ35 AL34:AL35 Q33:Q35 O33:O35 X34:X35 V34:V35 AE35 AC35 CP35 CN35 DY33:DY35 DW33:DW35 CI35 CG35 Q10:Q13 O10:O13 DR5:DR13 DP5:DP13 DW5:DW13 DY5:DY13 DI1048558:DI1048576 DD1048558:DD1048576">
    <cfRule type="expression" dxfId="2466" priority="5513">
      <formula>OR(IF(O5&lt;P5,TRUE),IF(AND(P5="",O5&lt;&gt;""),TRUE))</formula>
    </cfRule>
    <cfRule type="expression" dxfId="2465" priority="5514">
      <formula>IF(O5&gt;=P5,IF(O5="",FALSE,TRUE))</formula>
    </cfRule>
  </conditionalFormatting>
  <conditionalFormatting sqref="Q44 O44">
    <cfRule type="expression" dxfId="2464" priority="4599">
      <formula>OR(IF(O44&lt;P44,TRUE),IF(AND(P44="",O44&lt;&gt;""),TRUE))</formula>
    </cfRule>
    <cfRule type="expression" dxfId="2463" priority="4600">
      <formula>IF(O44&gt;=P44,IF(O44="",FALSE,TRUE))</formula>
    </cfRule>
  </conditionalFormatting>
  <conditionalFormatting sqref="DW17:DW18">
    <cfRule type="expression" dxfId="2462" priority="4875">
      <formula>OR(IF(DW17&lt;DX17,TRUE),IF(AND(DX17="",DW17&lt;&gt;""),TRUE))</formula>
    </cfRule>
    <cfRule type="expression" dxfId="2461" priority="4876">
      <formula>IF(DW17&gt;=DX17,IF(DW17="",FALSE,TRUE))</formula>
    </cfRule>
  </conditionalFormatting>
  <conditionalFormatting sqref="DY17:DY18">
    <cfRule type="expression" dxfId="2460" priority="4873">
      <formula>OR(IF(DY17&lt;DZ17,TRUE),IF(AND(DZ17="",DY17&lt;&gt;""),TRUE))</formula>
    </cfRule>
    <cfRule type="expression" dxfId="2459" priority="4874">
      <formula>IF(DY17&gt;=DZ17,IF(DY17="",FALSE,TRUE))</formula>
    </cfRule>
  </conditionalFormatting>
  <conditionalFormatting sqref="DW29:DW32">
    <cfRule type="expression" dxfId="2458" priority="4871">
      <formula>OR(IF(DW29&lt;DX29,TRUE),IF(AND(DX29="",DW29&lt;&gt;""),TRUE))</formula>
    </cfRule>
    <cfRule type="expression" dxfId="2457" priority="4872">
      <formula>IF(DW29&gt;=DX29,IF(DW29="",FALSE,TRUE))</formula>
    </cfRule>
  </conditionalFormatting>
  <conditionalFormatting sqref="DY29:DY32">
    <cfRule type="expression" dxfId="2456" priority="4869">
      <formula>OR(IF(DY29&lt;DZ29,TRUE),IF(AND(DZ29="",DY29&lt;&gt;""),TRUE))</formula>
    </cfRule>
    <cfRule type="expression" dxfId="2455" priority="4870">
      <formula>IF(DY29&gt;=DZ29,IF(DY29="",FALSE,TRUE))</formula>
    </cfRule>
  </conditionalFormatting>
  <conditionalFormatting sqref="AL25:AL26 AJ25:AJ26">
    <cfRule type="expression" dxfId="2454" priority="4713">
      <formula>OR(IF(AJ25&lt;AK25,TRUE),IF(AND(AK25="",AJ25&lt;&gt;""),TRUE))</formula>
    </cfRule>
    <cfRule type="expression" dxfId="2453" priority="4714">
      <formula>IF(AJ25&gt;=AK25,IF(AJ25="",FALSE,TRUE))</formula>
    </cfRule>
  </conditionalFormatting>
  <conditionalFormatting sqref="AE25:AE26 AC25:AC26">
    <cfRule type="expression" dxfId="2452" priority="4707">
      <formula>OR(IF(AC25&lt;AD25,TRUE),IF(AND(AD25="",AC25&lt;&gt;""),TRUE))</formula>
    </cfRule>
    <cfRule type="expression" dxfId="2451" priority="4708">
      <formula>IF(AC25&gt;=AD25,IF(AC25="",FALSE,TRUE))</formula>
    </cfRule>
  </conditionalFormatting>
  <conditionalFormatting sqref="X22:X24 V22:V24">
    <cfRule type="expression" dxfId="2450" priority="4701">
      <formula>OR(IF(V22&lt;W22,TRUE),IF(AND(W22="",V22&lt;&gt;""),TRUE))</formula>
    </cfRule>
    <cfRule type="expression" dxfId="2449" priority="4702">
      <formula>IF(V22&gt;=W22,IF(V22="",FALSE,TRUE))</formula>
    </cfRule>
  </conditionalFormatting>
  <conditionalFormatting sqref="Q21:Q24 O21:O24">
    <cfRule type="expression" dxfId="2448" priority="4695">
      <formula>OR(IF(O21&lt;P21,TRUE),IF(AND(P21="",O21&lt;&gt;""),TRUE))</formula>
    </cfRule>
    <cfRule type="expression" dxfId="2447" priority="4696">
      <formula>IF(O21&gt;=P21,IF(O21="",FALSE,TRUE))</formula>
    </cfRule>
  </conditionalFormatting>
  <conditionalFormatting sqref="AS34:AS35 AQ34:AQ35">
    <cfRule type="expression" dxfId="2446" priority="4653">
      <formula>OR(IF(AQ34&lt;AR34,TRUE),IF(AND(AR34="",AQ34&lt;&gt;""),TRUE))</formula>
    </cfRule>
    <cfRule type="expression" dxfId="2445" priority="4654">
      <formula>IF(AQ34&gt;=AR34,IF(AQ34="",FALSE,TRUE))</formula>
    </cfRule>
  </conditionalFormatting>
  <conditionalFormatting sqref="X33 V33">
    <cfRule type="expression" dxfId="2442" priority="4635">
      <formula>OR(IF(V33&lt;W33,TRUE),IF(AND(W33="",V33&lt;&gt;""),TRUE))</formula>
    </cfRule>
    <cfRule type="expression" dxfId="2441" priority="4636">
      <formula>IF(V33&gt;=W33,IF(V33="",FALSE,TRUE))</formula>
    </cfRule>
  </conditionalFormatting>
  <conditionalFormatting sqref="AS47 AQ47">
    <cfRule type="expression" dxfId="2436" priority="4505">
      <formula>OR(IF(AQ47&lt;AR47,TRUE),IF(AND(AR47="",AQ47&lt;&gt;""),TRUE))</formula>
    </cfRule>
    <cfRule type="expression" dxfId="2435" priority="4506">
      <formula>IF(AQ47&gt;=AR47,IF(AQ47="",FALSE,TRUE))</formula>
    </cfRule>
  </conditionalFormatting>
  <conditionalFormatting sqref="AE22:AE24 AC22:AC24">
    <cfRule type="expression" dxfId="2434" priority="4543">
      <formula>OR(IF(AC22&lt;AD22,TRUE),IF(AND(AD22="",AC22&lt;&gt;""),TRUE))</formula>
    </cfRule>
    <cfRule type="expression" dxfId="2433" priority="4544">
      <formula>IF(AC22&gt;=AD22,IF(AC22="",FALSE,TRUE))</formula>
    </cfRule>
  </conditionalFormatting>
  <conditionalFormatting sqref="X44 V44">
    <cfRule type="expression" dxfId="2432" priority="4497">
      <formula>OR(IF(V44&lt;W44,TRUE),IF(AND(W44="",V44&lt;&gt;""),TRUE))</formula>
    </cfRule>
    <cfRule type="expression" dxfId="2431" priority="4498">
      <formula>IF(V44&gt;=W44,IF(V44="",FALSE,TRUE))</formula>
    </cfRule>
  </conditionalFormatting>
  <conditionalFormatting sqref="AZ35 AX35">
    <cfRule type="expression" dxfId="2430" priority="4463">
      <formula>OR(IF(AX35&lt;AY35,TRUE),IF(AND(AY35="",AX35&lt;&gt;""),TRUE))</formula>
    </cfRule>
    <cfRule type="expression" dxfId="2429" priority="4464">
      <formula>IF(AX35&gt;=AY35,IF(AX35="",FALSE,TRUE))</formula>
    </cfRule>
  </conditionalFormatting>
  <conditionalFormatting sqref="J39:K47">
    <cfRule type="colorScale" priority="6110">
      <colorScale>
        <cfvo type="percent" val="0"/>
        <cfvo type="percent" val="100"/>
        <color rgb="FFFF231B"/>
        <color rgb="FF10FF07"/>
      </colorScale>
    </cfRule>
  </conditionalFormatting>
  <conditionalFormatting sqref="J39:J47">
    <cfRule type="colorScale" priority="6112">
      <colorScale>
        <cfvo type="percent" val="0"/>
        <cfvo type="percent" val="100"/>
        <color rgb="FFFF231B"/>
        <color rgb="FF10FF07"/>
      </colorScale>
    </cfRule>
  </conditionalFormatting>
  <conditionalFormatting sqref="K38:K47">
    <cfRule type="colorScale" priority="6114">
      <colorScale>
        <cfvo type="percent" val="0"/>
        <cfvo type="percent" val="100"/>
        <color rgb="FFFF231B"/>
        <color rgb="FF10FF07"/>
      </colorScale>
    </cfRule>
  </conditionalFormatting>
  <conditionalFormatting sqref="AS25:AS26 AQ25:AQ26">
    <cfRule type="expression" dxfId="2428" priority="4079">
      <formula>OR(IF(AQ25&lt;AR25,TRUE),IF(AND(AR25="",AQ25&lt;&gt;""),TRUE))</formula>
    </cfRule>
    <cfRule type="expression" dxfId="2427" priority="4080">
      <formula>IF(AQ25&gt;=AR25,IF(AQ25="",FALSE,TRUE))</formula>
    </cfRule>
  </conditionalFormatting>
  <conditionalFormatting sqref="AZ25:AZ26 AX25:AX26">
    <cfRule type="expression" dxfId="2426" priority="4091">
      <formula>OR(IF(AX25&lt;AY25,TRUE),IF(AND(AY25="",AX25&lt;&gt;""),TRUE))</formula>
    </cfRule>
    <cfRule type="expression" dxfId="2425" priority="4092">
      <formula>IF(AX25&gt;=AY25,IF(AX25="",FALSE,TRUE))</formula>
    </cfRule>
  </conditionalFormatting>
  <conditionalFormatting sqref="J18:K26">
    <cfRule type="colorScale" priority="6123">
      <colorScale>
        <cfvo type="percent" val="0"/>
        <cfvo type="percent" val="100"/>
        <color rgb="FFFF231B"/>
        <color rgb="FF10FF07"/>
      </colorScale>
    </cfRule>
  </conditionalFormatting>
  <conditionalFormatting sqref="J17:J26">
    <cfRule type="colorScale" priority="6124">
      <colorScale>
        <cfvo type="percent" val="0"/>
        <cfvo type="percent" val="100"/>
        <color rgb="FFFF231B"/>
        <color rgb="FF10FF07"/>
      </colorScale>
    </cfRule>
  </conditionalFormatting>
  <conditionalFormatting sqref="K17:K26">
    <cfRule type="colorScale" priority="6125">
      <colorScale>
        <cfvo type="percent" val="0"/>
        <cfvo type="percent" val="100"/>
        <color rgb="FFFF231B"/>
        <color rgb="FF10FF07"/>
      </colorScale>
    </cfRule>
  </conditionalFormatting>
  <conditionalFormatting sqref="DR38:DR41 DP38:DP41">
    <cfRule type="expression" dxfId="2424" priority="4223">
      <formula>OR(IF(DP38&lt;DQ38,TRUE),IF(AND(DQ38="",DP38&lt;&gt;""),TRUE))</formula>
    </cfRule>
    <cfRule type="expression" dxfId="2423" priority="4224">
      <formula>IF(DP38&gt;=DQ38,IF(DP38="",FALSE,TRUE))</formula>
    </cfRule>
  </conditionalFormatting>
  <conditionalFormatting sqref="DK38:DK39 DI38:DI39">
    <cfRule type="expression" dxfId="2422" priority="4221">
      <formula>OR(IF(DI38&lt;DJ38,TRUE),IF(AND(DJ38="",DI38&lt;&gt;""),TRUE))</formula>
    </cfRule>
    <cfRule type="expression" dxfId="2421" priority="4222">
      <formula>IF(DI38&gt;=DJ38,IF(DI38="",FALSE,TRUE))</formula>
    </cfRule>
  </conditionalFormatting>
  <conditionalFormatting sqref="DK40:DK43 DI40:DI43">
    <cfRule type="expression" dxfId="2420" priority="4219">
      <formula>OR(IF(DI40&lt;DJ40,TRUE),IF(AND(DJ40="",DI40&lt;&gt;""),TRUE))</formula>
    </cfRule>
    <cfRule type="expression" dxfId="2419" priority="4220">
      <formula>IF(DI40&gt;=DJ40,IF(DI40="",FALSE,TRUE))</formula>
    </cfRule>
  </conditionalFormatting>
  <conditionalFormatting sqref="DD42:DD43 DB42:DB44">
    <cfRule type="expression" dxfId="2418" priority="4215">
      <formula>OR(IF(DB42&lt;DC42,TRUE),IF(AND(DC42="",DB42&lt;&gt;""),TRUE))</formula>
    </cfRule>
    <cfRule type="expression" dxfId="2417" priority="4216">
      <formula>IF(DB42&gt;=DC42,IF(DB42="",FALSE,TRUE))</formula>
    </cfRule>
  </conditionalFormatting>
  <conditionalFormatting sqref="DD38:DD41 DB38:DB41">
    <cfRule type="expression" dxfId="2416" priority="4213">
      <formula>OR(IF(DB38&lt;DC38,TRUE),IF(AND(DC38="",DB38&lt;&gt;""),TRUE))</formula>
    </cfRule>
    <cfRule type="expression" dxfId="2415" priority="4214">
      <formula>IF(DB38&gt;=DC38,IF(DB38="",FALSE,TRUE))</formula>
    </cfRule>
  </conditionalFormatting>
  <conditionalFormatting sqref="CW47 CU47">
    <cfRule type="expression" dxfId="2414" priority="4211">
      <formula>OR(IF(CU47&lt;CV47,TRUE),IF(AND(CV47="",CU47&lt;&gt;""),TRUE))</formula>
    </cfRule>
    <cfRule type="expression" dxfId="2413" priority="4212">
      <formula>IF(CU47&gt;=CV47,IF(CU47="",FALSE,TRUE))</formula>
    </cfRule>
  </conditionalFormatting>
  <conditionalFormatting sqref="AS24 AQ24">
    <cfRule type="expression" dxfId="2412" priority="3989">
      <formula>OR(IF(AQ24&lt;AR24,TRUE),IF(AND(AR24="",AQ24&lt;&gt;""),TRUE))</formula>
    </cfRule>
    <cfRule type="expression" dxfId="2411" priority="3990">
      <formula>IF(AQ24&gt;=AR24,IF(AQ24="",FALSE,TRUE))</formula>
    </cfRule>
  </conditionalFormatting>
  <conditionalFormatting sqref="AL23:AL24 AJ23:AJ24">
    <cfRule type="expression" dxfId="2410" priority="3983">
      <formula>OR(IF(AJ23&lt;AK23,TRUE),IF(AND(AK23="",AJ23&lt;&gt;""),TRUE))</formula>
    </cfRule>
    <cfRule type="expression" dxfId="2409" priority="3984">
      <formula>IF(AJ23&gt;=AK23,IF(AJ23="",FALSE,TRUE))</formula>
    </cfRule>
  </conditionalFormatting>
  <conditionalFormatting sqref="AQ20">
    <cfRule type="expression" dxfId="2408" priority="2429">
      <formula>OR(IF(AQ20&lt;AR20,TRUE),IF(AND(AR20="",AQ20&lt;&gt;""),TRUE))</formula>
    </cfRule>
    <cfRule type="expression" dxfId="2407" priority="2430">
      <formula>IF(AQ20&gt;=AR20,IF(AQ20="",FALSE,TRUE))</formula>
    </cfRule>
  </conditionalFormatting>
  <conditionalFormatting sqref="DK25:DK26 DI25:DI26">
    <cfRule type="expression" dxfId="2406" priority="3953">
      <formula>OR(IF(DI25&lt;DJ25,TRUE),IF(AND(DJ25="",DI25&lt;&gt;""),TRUE))</formula>
    </cfRule>
    <cfRule type="expression" dxfId="2405" priority="3954">
      <formula>IF(DI25&gt;=DJ25,IF(DI25="",FALSE,TRUE))</formula>
    </cfRule>
  </conditionalFormatting>
  <conditionalFormatting sqref="DD34:DD35">
    <cfRule type="expression" dxfId="2404" priority="3583">
      <formula>OR(IF(DD34&lt;DE34,TRUE),IF(AND(DE34="",DD34&lt;&gt;""),TRUE))</formula>
    </cfRule>
    <cfRule type="expression" dxfId="2403" priority="3584">
      <formula>IF(DD34&gt;=DE34,IF(DD34="",FALSE,TRUE))</formula>
    </cfRule>
  </conditionalFormatting>
  <conditionalFormatting sqref="DB29">
    <cfRule type="expression" dxfId="2402" priority="3595">
      <formula>OR(IF(DB29&lt;DC29,TRUE),IF(AND(DC29="",DB29&lt;&gt;""),TRUE))</formula>
    </cfRule>
    <cfRule type="expression" dxfId="2401" priority="3596">
      <formula>IF(DB29&gt;=DC29,IF(DB29="",FALSE,TRUE))</formula>
    </cfRule>
  </conditionalFormatting>
  <conditionalFormatting sqref="DK32">
    <cfRule type="expression" dxfId="2400" priority="3719">
      <formula>OR(IF(DK32&lt;DL32,TRUE),IF(AND(DL32="",DK32&lt;&gt;""),TRUE))</formula>
    </cfRule>
    <cfRule type="expression" dxfId="2399" priority="3720">
      <formula>IF(DK32&gt;=DL32,IF(DK32="",FALSE,TRUE))</formula>
    </cfRule>
  </conditionalFormatting>
  <conditionalFormatting sqref="CW26 CU26">
    <cfRule type="expression" dxfId="2398" priority="3941">
      <formula>OR(IF(CU26&lt;CV26,TRUE),IF(AND(CV26="",CU26&lt;&gt;""),TRUE))</formula>
    </cfRule>
    <cfRule type="expression" dxfId="2397" priority="3942">
      <formula>IF(CU26&gt;=CV26,IF(CU26="",FALSE,TRUE))</formula>
    </cfRule>
  </conditionalFormatting>
  <conditionalFormatting sqref="DI18">
    <cfRule type="expression" dxfId="2396" priority="3749">
      <formula>OR(IF(DI18&lt;DJ18,TRUE),IF(AND(DJ18="",DI18&lt;&gt;""),TRUE))</formula>
    </cfRule>
    <cfRule type="expression" dxfId="2395" priority="3750">
      <formula>IF(DI18&gt;=DJ18,IF(DI18="",FALSE,TRUE))</formula>
    </cfRule>
  </conditionalFormatting>
  <conditionalFormatting sqref="DI17">
    <cfRule type="expression" dxfId="2394" priority="3751">
      <formula>OR(IF(DI17&lt;DJ17,TRUE),IF(AND(DJ17="",DI17&lt;&gt;""),TRUE))</formula>
    </cfRule>
    <cfRule type="expression" dxfId="2393" priority="3752">
      <formula>IF(DI17&gt;=DJ17,IF(DI17="",FALSE,TRUE))</formula>
    </cfRule>
  </conditionalFormatting>
  <conditionalFormatting sqref="CN26 CP26">
    <cfRule type="expression" dxfId="2392" priority="3935">
      <formula>OR(IF(CN26&lt;CO26,TRUE),IF(AND(CO26="",CN26&lt;&gt;""),TRUE))</formula>
    </cfRule>
    <cfRule type="expression" dxfId="2391" priority="3936">
      <formula>IF(CN26&gt;=CO26,IF(CN26="",FALSE,TRUE))</formula>
    </cfRule>
  </conditionalFormatting>
  <conditionalFormatting sqref="DI32">
    <cfRule type="expression" dxfId="2390" priority="3759">
      <formula>OR(IF(DI32&lt;DJ32,TRUE),IF(AND(DJ32="",DI32&lt;&gt;""),TRUE))</formula>
    </cfRule>
    <cfRule type="expression" dxfId="2389" priority="3760">
      <formula>IF(DI32&gt;=DJ32,IF(DI32="",FALSE,TRUE))</formula>
    </cfRule>
  </conditionalFormatting>
  <conditionalFormatting sqref="CI26 CG26">
    <cfRule type="expression" dxfId="2388" priority="3929">
      <formula>OR(IF(CG26&lt;CH26,TRUE),IF(AND(CH26="",CG26&lt;&gt;""),TRUE))</formula>
    </cfRule>
    <cfRule type="expression" dxfId="2387" priority="3930">
      <formula>IF(CG26&gt;=CH26,IF(CG26="",FALSE,TRUE))</formula>
    </cfRule>
  </conditionalFormatting>
  <conditionalFormatting sqref="DP17:DP26">
    <cfRule type="expression" dxfId="2384" priority="3771">
      <formula>OR(IF(DP17&lt;DQ17,TRUE),IF(AND(DQ17="",DP17&lt;&gt;""),TRUE))</formula>
    </cfRule>
    <cfRule type="expression" dxfId="2383" priority="3772">
      <formula>IF(DP17&gt;=DQ17,IF(DP17="",FALSE,TRUE))</formula>
    </cfRule>
  </conditionalFormatting>
  <conditionalFormatting sqref="CB26 BZ26">
    <cfRule type="expression" dxfId="2382" priority="3923">
      <formula>OR(IF(BZ26&lt;CA26,TRUE),IF(AND(CA26="",BZ26&lt;&gt;""),TRUE))</formula>
    </cfRule>
    <cfRule type="expression" dxfId="2381" priority="3924">
      <formula>IF(BZ26&gt;=CA26,IF(BZ26="",FALSE,TRUE))</formula>
    </cfRule>
  </conditionalFormatting>
  <conditionalFormatting sqref="BU26 BS26">
    <cfRule type="expression" dxfId="2376" priority="3917">
      <formula>OR(IF(BS26&lt;BT26,TRUE),IF(AND(BT26="",BS26&lt;&gt;""),TRUE))</formula>
    </cfRule>
    <cfRule type="expression" dxfId="2375" priority="3918">
      <formula>IF(BS26&gt;=BT26,IF(BS26="",FALSE,TRUE))</formula>
    </cfRule>
  </conditionalFormatting>
  <conditionalFormatting sqref="BN47 BL47">
    <cfRule type="expression" dxfId="2374" priority="3785">
      <formula>OR(IF(BL47&lt;BM47,TRUE),IF(AND(BM47="",BL47&lt;&gt;""),TRUE))</formula>
    </cfRule>
    <cfRule type="expression" dxfId="2373" priority="3786">
      <formula>IF(BL47&gt;=BM47,IF(BL47="",FALSE,TRUE))</formula>
    </cfRule>
  </conditionalFormatting>
  <conditionalFormatting sqref="BN26 BL26">
    <cfRule type="expression" dxfId="2372" priority="3911">
      <formula>OR(IF(BL26&lt;BM26,TRUE),IF(AND(BM26="",BL26&lt;&gt;""),TRUE))</formula>
    </cfRule>
    <cfRule type="expression" dxfId="2371" priority="3912">
      <formula>IF(BL26&gt;=BM26,IF(BL26="",FALSE,TRUE))</formula>
    </cfRule>
  </conditionalFormatting>
  <conditionalFormatting sqref="AZ47 AX47">
    <cfRule type="expression" dxfId="2370" priority="3801">
      <formula>OR(IF(AX47&lt;AY47,TRUE),IF(AND(AY47="",AX47&lt;&gt;""),TRUE))</formula>
    </cfRule>
    <cfRule type="expression" dxfId="2369" priority="3802">
      <formula>IF(AX47&gt;=AY47,IF(AX47="",FALSE,TRUE))</formula>
    </cfRule>
  </conditionalFormatting>
  <conditionalFormatting sqref="BG26 BE26">
    <cfRule type="expression" dxfId="2366" priority="3905">
      <formula>OR(IF(BE26&lt;BF26,TRUE),IF(AND(BF26="",BE26&lt;&gt;""),TRUE))</formula>
    </cfRule>
    <cfRule type="expression" dxfId="2365" priority="3906">
      <formula>IF(BE26&gt;=BF26,IF(BE26="",FALSE,TRUE))</formula>
    </cfRule>
  </conditionalFormatting>
  <conditionalFormatting sqref="CU17">
    <cfRule type="expression" dxfId="2364" priority="2671">
      <formula>OR(IF(CU17&lt;CV17,TRUE),IF(AND(CV17="",CU17&lt;&gt;""),TRUE))</formula>
    </cfRule>
    <cfRule type="expression" dxfId="2363" priority="2672">
      <formula>IF(CU17&gt;=CV17,IF(CU17="",FALSE,TRUE))</formula>
    </cfRule>
  </conditionalFormatting>
  <conditionalFormatting sqref="CP20">
    <cfRule type="expression" dxfId="2362" priority="2663">
      <formula>OR(IF(CP20&lt;CQ20,TRUE),IF(AND(CQ20="",CP20&lt;&gt;""),TRUE))</formula>
    </cfRule>
    <cfRule type="expression" dxfId="2361" priority="2664">
      <formula>IF(CP20&gt;=CQ20,IF(CP20="",FALSE,TRUE))</formula>
    </cfRule>
  </conditionalFormatting>
  <conditionalFormatting sqref="CP22">
    <cfRule type="expression" dxfId="2360" priority="2659">
      <formula>OR(IF(CP22&lt;CQ22,TRUE),IF(AND(CQ22="",CP22&lt;&gt;""),TRUE))</formula>
    </cfRule>
    <cfRule type="expression" dxfId="2359" priority="2660">
      <formula>IF(CP22&gt;=CQ22,IF(CP22="",FALSE,TRUE))</formula>
    </cfRule>
  </conditionalFormatting>
  <conditionalFormatting sqref="CP18">
    <cfRule type="expression" dxfId="2358" priority="2667">
      <formula>OR(IF(CP18&lt;CQ18,TRUE),IF(AND(CQ18="",CP18&lt;&gt;""),TRUE))</formula>
    </cfRule>
    <cfRule type="expression" dxfId="2357" priority="2668">
      <formula>IF(CP18&gt;=CQ18,IF(CP18="",FALSE,TRUE))</formula>
    </cfRule>
  </conditionalFormatting>
  <conditionalFormatting sqref="CU19">
    <cfRule type="expression" dxfId="2356" priority="2675">
      <formula>OR(IF(CU19&lt;CV19,TRUE),IF(AND(CV19="",CU19&lt;&gt;""),TRUE))</formula>
    </cfRule>
    <cfRule type="expression" dxfId="2355" priority="2676">
      <formula>IF(CU19&gt;=CV19,IF(CU19="",FALSE,TRUE))</formula>
    </cfRule>
  </conditionalFormatting>
  <conditionalFormatting sqref="X42 V42">
    <cfRule type="expression" dxfId="2350" priority="3793">
      <formula>OR(IF(V42&lt;W42,TRUE),IF(AND(W42="",V42&lt;&gt;""),TRUE))</formula>
    </cfRule>
    <cfRule type="expression" dxfId="2349" priority="3794">
      <formula>IF(V42&gt;=W42,IF(V42="",FALSE,TRUE))</formula>
    </cfRule>
  </conditionalFormatting>
  <conditionalFormatting sqref="CI47 CG47">
    <cfRule type="expression" dxfId="2348" priority="3791">
      <formula>OR(IF(CG47&lt;CH47,TRUE),IF(AND(CH47="",CG47&lt;&gt;""),TRUE))</formula>
    </cfRule>
    <cfRule type="expression" dxfId="2347" priority="3792">
      <formula>IF(CG47&gt;=CH47,IF(CG47="",FALSE,TRUE))</formula>
    </cfRule>
  </conditionalFormatting>
  <conditionalFormatting sqref="CB47 BZ47">
    <cfRule type="expression" dxfId="2346" priority="3789">
      <formula>OR(IF(BZ47&lt;CA47,TRUE),IF(AND(CA47="",BZ47&lt;&gt;""),TRUE))</formula>
    </cfRule>
    <cfRule type="expression" dxfId="2345" priority="3790">
      <formula>IF(BZ47&gt;=CA47,IF(BZ47="",FALSE,TRUE))</formula>
    </cfRule>
  </conditionalFormatting>
  <conditionalFormatting sqref="BU47 BS47">
    <cfRule type="expression" dxfId="2344" priority="3787">
      <formula>OR(IF(BS47&lt;BT47,TRUE),IF(AND(BT47="",BS47&lt;&gt;""),TRUE))</formula>
    </cfRule>
    <cfRule type="expression" dxfId="2343" priority="3788">
      <formula>IF(BS47&gt;=BT47,IF(BS47="",FALSE,TRUE))</formula>
    </cfRule>
  </conditionalFormatting>
  <conditionalFormatting sqref="BG47 BE47">
    <cfRule type="expression" dxfId="2342" priority="3783">
      <formula>OR(IF(BE47&lt;BF47,TRUE),IF(AND(BF47="",BE47&lt;&gt;""),TRUE))</formula>
    </cfRule>
    <cfRule type="expression" dxfId="2341" priority="3784">
      <formula>IF(BE47&gt;=BF47,IF(BE47="",FALSE,TRUE))</formula>
    </cfRule>
  </conditionalFormatting>
  <conditionalFormatting sqref="J30:K35">
    <cfRule type="colorScale" priority="6146">
      <colorScale>
        <cfvo type="percent" val="0"/>
        <cfvo type="percent" val="100"/>
        <color rgb="FFFF231B"/>
        <color rgb="FF10FF07"/>
      </colorScale>
    </cfRule>
  </conditionalFormatting>
  <conditionalFormatting sqref="J29:J35">
    <cfRule type="colorScale" priority="6147">
      <colorScale>
        <cfvo type="percent" val="0"/>
        <cfvo type="percent" val="100"/>
        <color rgb="FFFF231B"/>
        <color rgb="FF10FF07"/>
      </colorScale>
    </cfRule>
  </conditionalFormatting>
  <conditionalFormatting sqref="K29:K35">
    <cfRule type="colorScale" priority="6148">
      <colorScale>
        <cfvo type="percent" val="0"/>
        <cfvo type="percent" val="100"/>
        <color rgb="FFFF231B"/>
        <color rgb="FF10FF07"/>
      </colorScale>
    </cfRule>
  </conditionalFormatting>
  <conditionalFormatting sqref="DR17:DR26">
    <cfRule type="expression" dxfId="2336" priority="3769">
      <formula>OR(IF(DR17&lt;DS17,TRUE),IF(AND(DS17="",DR17&lt;&gt;""),TRUE))</formula>
    </cfRule>
    <cfRule type="expression" dxfId="2335" priority="3770">
      <formula>IF(DR17&gt;=DS17,IF(DR17="",FALSE,TRUE))</formula>
    </cfRule>
  </conditionalFormatting>
  <conditionalFormatting sqref="DP29:DP35">
    <cfRule type="expression" dxfId="2334" priority="3767">
      <formula>OR(IF(DP29&lt;DQ29,TRUE),IF(AND(DQ29="",DP29&lt;&gt;""),TRUE))</formula>
    </cfRule>
    <cfRule type="expression" dxfId="2333" priority="3768">
      <formula>IF(DP29&gt;=DQ29,IF(DP29="",FALSE,TRUE))</formula>
    </cfRule>
  </conditionalFormatting>
  <conditionalFormatting sqref="DR29:DR35">
    <cfRule type="expression" dxfId="2332" priority="3765">
      <formula>OR(IF(DR29&lt;DS29,TRUE),IF(AND(DS29="",DR29&lt;&gt;""),TRUE))</formula>
    </cfRule>
    <cfRule type="expression" dxfId="2331" priority="3766">
      <formula>IF(DR29&gt;=DS29,IF(DR29="",FALSE,TRUE))</formula>
    </cfRule>
  </conditionalFormatting>
  <conditionalFormatting sqref="DI34:DI35">
    <cfRule type="expression" dxfId="2330" priority="3763">
      <formula>OR(IF(DI34&lt;DJ34,TRUE),IF(AND(DJ34="",DI34&lt;&gt;""),TRUE))</formula>
    </cfRule>
    <cfRule type="expression" dxfId="2329" priority="3764">
      <formula>IF(DI34&gt;=DJ34,IF(DI34="",FALSE,TRUE))</formula>
    </cfRule>
  </conditionalFormatting>
  <conditionalFormatting sqref="DI33">
    <cfRule type="expression" dxfId="2328" priority="3761">
      <formula>OR(IF(DI33&lt;DJ33,TRUE),IF(AND(DJ33="",DI33&lt;&gt;""),TRUE))</formula>
    </cfRule>
    <cfRule type="expression" dxfId="2327" priority="3762">
      <formula>IF(DI33&gt;=DJ33,IF(DI33="",FALSE,TRUE))</formula>
    </cfRule>
  </conditionalFormatting>
  <conditionalFormatting sqref="DI31">
    <cfRule type="expression" dxfId="2326" priority="3757">
      <formula>OR(IF(DI31&lt;DJ31,TRUE),IF(AND(DJ31="",DI31&lt;&gt;""),TRUE))</formula>
    </cfRule>
    <cfRule type="expression" dxfId="2325" priority="3758">
      <formula>IF(DI31&gt;=DJ31,IF(DI31="",FALSE,TRUE))</formula>
    </cfRule>
  </conditionalFormatting>
  <conditionalFormatting sqref="DI30">
    <cfRule type="expression" dxfId="2324" priority="3755">
      <formula>OR(IF(DI30&lt;DJ30,TRUE),IF(AND(DJ30="",DI30&lt;&gt;""),TRUE))</formula>
    </cfRule>
    <cfRule type="expression" dxfId="2323" priority="3756">
      <formula>IF(DI30&gt;=DJ30,IF(DI30="",FALSE,TRUE))</formula>
    </cfRule>
  </conditionalFormatting>
  <conditionalFormatting sqref="DI29">
    <cfRule type="expression" dxfId="2322" priority="3753">
      <formula>OR(IF(DI29&lt;DJ29,TRUE),IF(AND(DJ29="",DI29&lt;&gt;""),TRUE))</formula>
    </cfRule>
    <cfRule type="expression" dxfId="2321" priority="3754">
      <formula>IF(DI29&gt;=DJ29,IF(DI29="",FALSE,TRUE))</formula>
    </cfRule>
  </conditionalFormatting>
  <conditionalFormatting sqref="DI19">
    <cfRule type="expression" dxfId="2320" priority="3747">
      <formula>OR(IF(DI19&lt;DJ19,TRUE),IF(AND(DJ19="",DI19&lt;&gt;""),TRUE))</formula>
    </cfRule>
    <cfRule type="expression" dxfId="2319" priority="3748">
      <formula>IF(DI19&gt;=DJ19,IF(DI19="",FALSE,TRUE))</formula>
    </cfRule>
  </conditionalFormatting>
  <conditionalFormatting sqref="DI20">
    <cfRule type="expression" dxfId="2318" priority="3745">
      <formula>OR(IF(DI20&lt;DJ20,TRUE),IF(AND(DJ20="",DI20&lt;&gt;""),TRUE))</formula>
    </cfRule>
    <cfRule type="expression" dxfId="2317" priority="3746">
      <formula>IF(DI20&gt;=DJ20,IF(DI20="",FALSE,TRUE))</formula>
    </cfRule>
  </conditionalFormatting>
  <conditionalFormatting sqref="DI21">
    <cfRule type="expression" dxfId="2316" priority="3743">
      <formula>OR(IF(DI21&lt;DJ21,TRUE),IF(AND(DJ21="",DI21&lt;&gt;""),TRUE))</formula>
    </cfRule>
    <cfRule type="expression" dxfId="2315" priority="3744">
      <formula>IF(DI21&gt;=DJ21,IF(DI21="",FALSE,TRUE))</formula>
    </cfRule>
  </conditionalFormatting>
  <conditionalFormatting sqref="DI22">
    <cfRule type="expression" dxfId="2314" priority="3741">
      <formula>OR(IF(DI22&lt;DJ22,TRUE),IF(AND(DJ22="",DI22&lt;&gt;""),TRUE))</formula>
    </cfRule>
    <cfRule type="expression" dxfId="2313" priority="3742">
      <formula>IF(DI22&gt;=DJ22,IF(DI22="",FALSE,TRUE))</formula>
    </cfRule>
  </conditionalFormatting>
  <conditionalFormatting sqref="DI23:DI24">
    <cfRule type="expression" dxfId="2312" priority="3739">
      <formula>OR(IF(DI23&lt;DJ23,TRUE),IF(AND(DJ23="",DI23&lt;&gt;""),TRUE))</formula>
    </cfRule>
    <cfRule type="expression" dxfId="2311" priority="3740">
      <formula>IF(DI23&gt;=DJ23,IF(DI23="",FALSE,TRUE))</formula>
    </cfRule>
  </conditionalFormatting>
  <conditionalFormatting sqref="DK23:DK24">
    <cfRule type="expression" dxfId="2308" priority="3737">
      <formula>OR(IF(DK23&lt;DL23,TRUE),IF(AND(DL23="",DK23&lt;&gt;""),TRUE))</formula>
    </cfRule>
    <cfRule type="expression" dxfId="2307" priority="3738">
      <formula>IF(DK23&gt;=DL23,IF(DK23="",FALSE,TRUE))</formula>
    </cfRule>
  </conditionalFormatting>
  <conditionalFormatting sqref="DK22">
    <cfRule type="expression" dxfId="2306" priority="3735">
      <formula>OR(IF(DK22&lt;DL22,TRUE),IF(AND(DL22="",DK22&lt;&gt;""),TRUE))</formula>
    </cfRule>
    <cfRule type="expression" dxfId="2305" priority="3736">
      <formula>IF(DK22&gt;=DL22,IF(DK22="",FALSE,TRUE))</formula>
    </cfRule>
  </conditionalFormatting>
  <conditionalFormatting sqref="DK21">
    <cfRule type="expression" dxfId="2304" priority="3733">
      <formula>OR(IF(DK21&lt;DL21,TRUE),IF(AND(DL21="",DK21&lt;&gt;""),TRUE))</formula>
    </cfRule>
    <cfRule type="expression" dxfId="2303" priority="3734">
      <formula>IF(DK21&gt;=DL21,IF(DK21="",FALSE,TRUE))</formula>
    </cfRule>
  </conditionalFormatting>
  <conditionalFormatting sqref="DK20">
    <cfRule type="expression" dxfId="2302" priority="3731">
      <formula>OR(IF(DK20&lt;DL20,TRUE),IF(AND(DL20="",DK20&lt;&gt;""),TRUE))</formula>
    </cfRule>
    <cfRule type="expression" dxfId="2301" priority="3732">
      <formula>IF(DK20&gt;=DL20,IF(DK20="",FALSE,TRUE))</formula>
    </cfRule>
  </conditionalFormatting>
  <conditionalFormatting sqref="DK19">
    <cfRule type="expression" dxfId="2300" priority="3729">
      <formula>OR(IF(DK19&lt;DL19,TRUE),IF(AND(DL19="",DK19&lt;&gt;""),TRUE))</formula>
    </cfRule>
    <cfRule type="expression" dxfId="2299" priority="3730">
      <formula>IF(DK19&gt;=DL19,IF(DK19="",FALSE,TRUE))</formula>
    </cfRule>
  </conditionalFormatting>
  <conditionalFormatting sqref="DK18">
    <cfRule type="expression" dxfId="2298" priority="3727">
      <formula>OR(IF(DK18&lt;DL18,TRUE),IF(AND(DL18="",DK18&lt;&gt;""),TRUE))</formula>
    </cfRule>
    <cfRule type="expression" dxfId="2297" priority="3728">
      <formula>IF(DK18&gt;=DL18,IF(DK18="",FALSE,TRUE))</formula>
    </cfRule>
  </conditionalFormatting>
  <conditionalFormatting sqref="DK17">
    <cfRule type="expression" dxfId="2296" priority="3725">
      <formula>OR(IF(DK17&lt;DL17,TRUE),IF(AND(DL17="",DK17&lt;&gt;""),TRUE))</formula>
    </cfRule>
    <cfRule type="expression" dxfId="2295" priority="3726">
      <formula>IF(DK17&gt;=DL17,IF(DK17="",FALSE,TRUE))</formula>
    </cfRule>
  </conditionalFormatting>
  <conditionalFormatting sqref="DK34:DK35">
    <cfRule type="expression" dxfId="2294" priority="3723">
      <formula>OR(IF(DK34&lt;DL34,TRUE),IF(AND(DL34="",DK34&lt;&gt;""),TRUE))</formula>
    </cfRule>
    <cfRule type="expression" dxfId="2293" priority="3724">
      <formula>IF(DK34&gt;=DL34,IF(DK34="",FALSE,TRUE))</formula>
    </cfRule>
  </conditionalFormatting>
  <conditionalFormatting sqref="DK33">
    <cfRule type="expression" dxfId="2292" priority="3721">
      <formula>OR(IF(DK33&lt;DL33,TRUE),IF(AND(DL33="",DK33&lt;&gt;""),TRUE))</formula>
    </cfRule>
    <cfRule type="expression" dxfId="2291" priority="3722">
      <formula>IF(DK33&gt;=DL33,IF(DK33="",FALSE,TRUE))</formula>
    </cfRule>
  </conditionalFormatting>
  <conditionalFormatting sqref="DK31">
    <cfRule type="expression" dxfId="2290" priority="3717">
      <formula>OR(IF(DK31&lt;DL31,TRUE),IF(AND(DL31="",DK31&lt;&gt;""),TRUE))</formula>
    </cfRule>
    <cfRule type="expression" dxfId="2289" priority="3718">
      <formula>IF(DK31&gt;=DL31,IF(DK31="",FALSE,TRUE))</formula>
    </cfRule>
  </conditionalFormatting>
  <conditionalFormatting sqref="DK30">
    <cfRule type="expression" dxfId="2288" priority="3715">
      <formula>OR(IF(DK30&lt;DL30,TRUE),IF(AND(DL30="",DK30&lt;&gt;""),TRUE))</formula>
    </cfRule>
    <cfRule type="expression" dxfId="2287" priority="3716">
      <formula>IF(DK30&gt;=DL30,IF(DK30="",FALSE,TRUE))</formula>
    </cfRule>
  </conditionalFormatting>
  <conditionalFormatting sqref="DK29">
    <cfRule type="expression" dxfId="2286" priority="3713">
      <formula>OR(IF(DK29&lt;DL29,TRUE),IF(AND(DL29="",DK29&lt;&gt;""),TRUE))</formula>
    </cfRule>
    <cfRule type="expression" dxfId="2285" priority="3714">
      <formula>IF(DK29&gt;=DL29,IF(DK29="",FALSE,TRUE))</formula>
    </cfRule>
  </conditionalFormatting>
  <conditionalFormatting sqref="DD5">
    <cfRule type="expression" dxfId="2284" priority="3665">
      <formula>OR(IF(DD5&lt;DE5,TRUE),IF(AND(DE5="",DD5&lt;&gt;""),TRUE))</formula>
    </cfRule>
    <cfRule type="expression" dxfId="2283" priority="3666">
      <formula>IF(DD5&gt;=DE5,IF(DD5="",FALSE,TRUE))</formula>
    </cfRule>
  </conditionalFormatting>
  <conditionalFormatting sqref="DD6">
    <cfRule type="expression" dxfId="2282" priority="3663">
      <formula>OR(IF(DD6&lt;DE6,TRUE),IF(AND(DE6="",DD6&lt;&gt;""),TRUE))</formula>
    </cfRule>
    <cfRule type="expression" dxfId="2281" priority="3664">
      <formula>IF(DD6&gt;=DE6,IF(DD6="",FALSE,TRUE))</formula>
    </cfRule>
  </conditionalFormatting>
  <conditionalFormatting sqref="DD7">
    <cfRule type="expression" dxfId="2280" priority="3661">
      <formula>OR(IF(DD7&lt;DE7,TRUE),IF(AND(DE7="",DD7&lt;&gt;""),TRUE))</formula>
    </cfRule>
    <cfRule type="expression" dxfId="2279" priority="3662">
      <formula>IF(DD7&gt;=DE7,IF(DD7="",FALSE,TRUE))</formula>
    </cfRule>
  </conditionalFormatting>
  <conditionalFormatting sqref="DD8">
    <cfRule type="expression" dxfId="2278" priority="3659">
      <formula>OR(IF(DD8&lt;DE8,TRUE),IF(AND(DE8="",DD8&lt;&gt;""),TRUE))</formula>
    </cfRule>
    <cfRule type="expression" dxfId="2277" priority="3660">
      <formula>IF(DD8&gt;=DE8,IF(DD8="",FALSE,TRUE))</formula>
    </cfRule>
  </conditionalFormatting>
  <conditionalFormatting sqref="DD9">
    <cfRule type="expression" dxfId="2276" priority="3657">
      <formula>OR(IF(DD9&lt;DE9,TRUE),IF(AND(DE9="",DD9&lt;&gt;""),TRUE))</formula>
    </cfRule>
    <cfRule type="expression" dxfId="2275" priority="3658">
      <formula>IF(DD9&gt;=DE9,IF(DD9="",FALSE,TRUE))</formula>
    </cfRule>
  </conditionalFormatting>
  <conditionalFormatting sqref="DD10">
    <cfRule type="expression" dxfId="2274" priority="3655">
      <formula>OR(IF(DD10&lt;DE10,TRUE),IF(AND(DE10="",DD10&lt;&gt;""),TRUE))</formula>
    </cfRule>
    <cfRule type="expression" dxfId="2273" priority="3656">
      <formula>IF(DD10&gt;=DE10,IF(DD10="",FALSE,TRUE))</formula>
    </cfRule>
  </conditionalFormatting>
  <conditionalFormatting sqref="DB11">
    <cfRule type="expression" dxfId="2272" priority="3653">
      <formula>OR(IF(DB11&lt;DC11,TRUE),IF(AND(DC11="",DB11&lt;&gt;""),TRUE))</formula>
    </cfRule>
    <cfRule type="expression" dxfId="2271" priority="3654">
      <formula>IF(DB11&gt;=DC11,IF(DB11="",FALSE,TRUE))</formula>
    </cfRule>
  </conditionalFormatting>
  <conditionalFormatting sqref="DB12">
    <cfRule type="expression" dxfId="2270" priority="3651">
      <formula>OR(IF(DB12&lt;DC12,TRUE),IF(AND(DC12="",DB12&lt;&gt;""),TRUE))</formula>
    </cfRule>
    <cfRule type="expression" dxfId="2269" priority="3652">
      <formula>IF(DB12&gt;=DC12,IF(DB12="",FALSE,TRUE))</formula>
    </cfRule>
  </conditionalFormatting>
  <conditionalFormatting sqref="DB13">
    <cfRule type="expression" dxfId="2268" priority="3649">
      <formula>OR(IF(DB13&lt;DC13,TRUE),IF(AND(DC13="",DB13&lt;&gt;""),TRUE))</formula>
    </cfRule>
    <cfRule type="expression" dxfId="2267" priority="3650">
      <formula>IF(DB13&gt;=DC13,IF(DB13="",FALSE,TRUE))</formula>
    </cfRule>
  </conditionalFormatting>
  <conditionalFormatting sqref="DB5">
    <cfRule type="expression" dxfId="2266" priority="3647">
      <formula>OR(IF(DB5&lt;DC5,TRUE),IF(AND(DC5="",DB5&lt;&gt;""),TRUE))</formula>
    </cfRule>
    <cfRule type="expression" dxfId="2265" priority="3648">
      <formula>IF(DB5&gt;=DC5,IF(DB5="",FALSE,TRUE))</formula>
    </cfRule>
  </conditionalFormatting>
  <conditionalFormatting sqref="DB6">
    <cfRule type="expression" dxfId="2264" priority="3645">
      <formula>OR(IF(DB6&lt;DC6,TRUE),IF(AND(DC6="",DB6&lt;&gt;""),TRUE))</formula>
    </cfRule>
    <cfRule type="expression" dxfId="2263" priority="3646">
      <formula>IF(DB6&gt;=DC6,IF(DB6="",FALSE,TRUE))</formula>
    </cfRule>
  </conditionalFormatting>
  <conditionalFormatting sqref="DB7">
    <cfRule type="expression" dxfId="2262" priority="3643">
      <formula>OR(IF(DB7&lt;DC7,TRUE),IF(AND(DC7="",DB7&lt;&gt;""),TRUE))</formula>
    </cfRule>
    <cfRule type="expression" dxfId="2261" priority="3644">
      <formula>IF(DB7&gt;=DC7,IF(DB7="",FALSE,TRUE))</formula>
    </cfRule>
  </conditionalFormatting>
  <conditionalFormatting sqref="DB8">
    <cfRule type="expression" dxfId="2260" priority="3641">
      <formula>OR(IF(DB8&lt;DC8,TRUE),IF(AND(DC8="",DB8&lt;&gt;""),TRUE))</formula>
    </cfRule>
    <cfRule type="expression" dxfId="2259" priority="3642">
      <formula>IF(DB8&gt;=DC8,IF(DB8="",FALSE,TRUE))</formula>
    </cfRule>
  </conditionalFormatting>
  <conditionalFormatting sqref="DB9">
    <cfRule type="expression" dxfId="2258" priority="3639">
      <formula>OR(IF(DB9&lt;DC9,TRUE),IF(AND(DC9="",DB9&lt;&gt;""),TRUE))</formula>
    </cfRule>
    <cfRule type="expression" dxfId="2257" priority="3640">
      <formula>IF(DB9&gt;=DC9,IF(DB9="",FALSE,TRUE))</formula>
    </cfRule>
  </conditionalFormatting>
  <conditionalFormatting sqref="DB10">
    <cfRule type="expression" dxfId="2256" priority="3637">
      <formula>OR(IF(DB10&lt;DC10,TRUE),IF(AND(DC10="",DB10&lt;&gt;""),TRUE))</formula>
    </cfRule>
    <cfRule type="expression" dxfId="2255" priority="3638">
      <formula>IF(DB10&gt;=DC10,IF(DB10="",FALSE,TRUE))</formula>
    </cfRule>
  </conditionalFormatting>
  <conditionalFormatting sqref="DD11">
    <cfRule type="expression" dxfId="2254" priority="3633">
      <formula>OR(IF(DD11&lt;DE11,TRUE),IF(AND(DE11="",DD11&lt;&gt;""),TRUE))</formula>
    </cfRule>
    <cfRule type="expression" dxfId="2253" priority="3634">
      <formula>IF(DD11&gt;=DE11,IF(DD11="",FALSE,TRUE))</formula>
    </cfRule>
  </conditionalFormatting>
  <conditionalFormatting sqref="DD12">
    <cfRule type="expression" dxfId="2252" priority="3631">
      <formula>OR(IF(DD12&lt;DE12,TRUE),IF(AND(DE12="",DD12&lt;&gt;""),TRUE))</formula>
    </cfRule>
    <cfRule type="expression" dxfId="2251" priority="3632">
      <formula>IF(DD12&gt;=DE12,IF(DD12="",FALSE,TRUE))</formula>
    </cfRule>
  </conditionalFormatting>
  <conditionalFormatting sqref="DD13">
    <cfRule type="expression" dxfId="2250" priority="3629">
      <formula>OR(IF(DD13&lt;DE13,TRUE),IF(AND(DE13="",DD13&lt;&gt;""),TRUE))</formula>
    </cfRule>
    <cfRule type="expression" dxfId="2249" priority="3630">
      <formula>IF(DD13&gt;=DE13,IF(DD13="",FALSE,TRUE))</formula>
    </cfRule>
  </conditionalFormatting>
  <conditionalFormatting sqref="DD17">
    <cfRule type="expression" dxfId="2248" priority="3627">
      <formula>OR(IF(DD17&lt;DE17,TRUE),IF(AND(DE17="",DD17&lt;&gt;""),TRUE))</formula>
    </cfRule>
    <cfRule type="expression" dxfId="2247" priority="3628">
      <formula>IF(DD17&gt;=DE17,IF(DD17="",FALSE,TRUE))</formula>
    </cfRule>
  </conditionalFormatting>
  <conditionalFormatting sqref="DD18">
    <cfRule type="expression" dxfId="2246" priority="3625">
      <formula>OR(IF(DD18&lt;DE18,TRUE),IF(AND(DE18="",DD18&lt;&gt;""),TRUE))</formula>
    </cfRule>
    <cfRule type="expression" dxfId="2245" priority="3626">
      <formula>IF(DD18&gt;=DE18,IF(DD18="",FALSE,TRUE))</formula>
    </cfRule>
  </conditionalFormatting>
  <conditionalFormatting sqref="DD19">
    <cfRule type="expression" dxfId="2244" priority="3623">
      <formula>OR(IF(DD19&lt;DE19,TRUE),IF(AND(DE19="",DD19&lt;&gt;""),TRUE))</formula>
    </cfRule>
    <cfRule type="expression" dxfId="2243" priority="3624">
      <formula>IF(DD19&gt;=DE19,IF(DD19="",FALSE,TRUE))</formula>
    </cfRule>
  </conditionalFormatting>
  <conditionalFormatting sqref="DD20">
    <cfRule type="expression" dxfId="2242" priority="3621">
      <formula>OR(IF(DD20&lt;DE20,TRUE),IF(AND(DE20="",DD20&lt;&gt;""),TRUE))</formula>
    </cfRule>
    <cfRule type="expression" dxfId="2241" priority="3622">
      <formula>IF(DD20&gt;=DE20,IF(DD20="",FALSE,TRUE))</formula>
    </cfRule>
  </conditionalFormatting>
  <conditionalFormatting sqref="DD21">
    <cfRule type="expression" dxfId="2240" priority="3619">
      <formula>OR(IF(DD21&lt;DE21,TRUE),IF(AND(DE21="",DD21&lt;&gt;""),TRUE))</formula>
    </cfRule>
    <cfRule type="expression" dxfId="2239" priority="3620">
      <formula>IF(DD21&gt;=DE21,IF(DD21="",FALSE,TRUE))</formula>
    </cfRule>
  </conditionalFormatting>
  <conditionalFormatting sqref="DD22">
    <cfRule type="expression" dxfId="2238" priority="3617">
      <formula>OR(IF(DD22&lt;DE22,TRUE),IF(AND(DE22="",DD22&lt;&gt;""),TRUE))</formula>
    </cfRule>
    <cfRule type="expression" dxfId="2237" priority="3618">
      <formula>IF(DD22&gt;=DE22,IF(DD22="",FALSE,TRUE))</formula>
    </cfRule>
  </conditionalFormatting>
  <conditionalFormatting sqref="DD23:DD24">
    <cfRule type="expression" dxfId="2236" priority="3615">
      <formula>OR(IF(DD23&lt;DE23,TRUE),IF(AND(DE23="",DD23&lt;&gt;""),TRUE))</formula>
    </cfRule>
    <cfRule type="expression" dxfId="2235" priority="3616">
      <formula>IF(DD23&gt;=DE23,IF(DD23="",FALSE,TRUE))</formula>
    </cfRule>
  </conditionalFormatting>
  <conditionalFormatting sqref="DD25:DD26">
    <cfRule type="expression" dxfId="2234" priority="3613">
      <formula>OR(IF(DD25&lt;DE25,TRUE),IF(AND(DE25="",DD25&lt;&gt;""),TRUE))</formula>
    </cfRule>
    <cfRule type="expression" dxfId="2233" priority="3614">
      <formula>IF(DD25&gt;=DE25,IF(DD25="",FALSE,TRUE))</formula>
    </cfRule>
  </conditionalFormatting>
  <conditionalFormatting sqref="DB25:DB26">
    <cfRule type="expression" dxfId="2232" priority="3611">
      <formula>OR(IF(DB25&lt;DC25,TRUE),IF(AND(DC25="",DB25&lt;&gt;""),TRUE))</formula>
    </cfRule>
    <cfRule type="expression" dxfId="2231" priority="3612">
      <formula>IF(DB25&gt;=DC25,IF(DB25="",FALSE,TRUE))</formula>
    </cfRule>
  </conditionalFormatting>
  <conditionalFormatting sqref="DB23:DB24">
    <cfRule type="expression" dxfId="2230" priority="3609">
      <formula>OR(IF(DB23&lt;DC23,TRUE),IF(AND(DC23="",DB23&lt;&gt;""),TRUE))</formula>
    </cfRule>
    <cfRule type="expression" dxfId="2229" priority="3610">
      <formula>IF(DB23&gt;=DC23,IF(DB23="",FALSE,TRUE))</formula>
    </cfRule>
  </conditionalFormatting>
  <conditionalFormatting sqref="DB22">
    <cfRule type="expression" dxfId="2228" priority="3607">
      <formula>OR(IF(DB22&lt;DC22,TRUE),IF(AND(DC22="",DB22&lt;&gt;""),TRUE))</formula>
    </cfRule>
    <cfRule type="expression" dxfId="2227" priority="3608">
      <formula>IF(DB22&gt;=DC22,IF(DB22="",FALSE,TRUE))</formula>
    </cfRule>
  </conditionalFormatting>
  <conditionalFormatting sqref="DB21">
    <cfRule type="expression" dxfId="2226" priority="3605">
      <formula>OR(IF(DB21&lt;DC21,TRUE),IF(AND(DC21="",DB21&lt;&gt;""),TRUE))</formula>
    </cfRule>
    <cfRule type="expression" dxfId="2225" priority="3606">
      <formula>IF(DB21&gt;=DC21,IF(DB21="",FALSE,TRUE))</formula>
    </cfRule>
  </conditionalFormatting>
  <conditionalFormatting sqref="DB20">
    <cfRule type="expression" dxfId="2224" priority="3603">
      <formula>OR(IF(DB20&lt;DC20,TRUE),IF(AND(DC20="",DB20&lt;&gt;""),TRUE))</formula>
    </cfRule>
    <cfRule type="expression" dxfId="2223" priority="3604">
      <formula>IF(DB20&gt;=DC20,IF(DB20="",FALSE,TRUE))</formula>
    </cfRule>
  </conditionalFormatting>
  <conditionalFormatting sqref="DB19">
    <cfRule type="expression" dxfId="2222" priority="3601">
      <formula>OR(IF(DB19&lt;DC19,TRUE),IF(AND(DC19="",DB19&lt;&gt;""),TRUE))</formula>
    </cfRule>
    <cfRule type="expression" dxfId="2221" priority="3602">
      <formula>IF(DB19&gt;=DC19,IF(DB19="",FALSE,TRUE))</formula>
    </cfRule>
  </conditionalFormatting>
  <conditionalFormatting sqref="DB18">
    <cfRule type="expression" dxfId="2220" priority="3599">
      <formula>OR(IF(DB18&lt;DC18,TRUE),IF(AND(DC18="",DB18&lt;&gt;""),TRUE))</formula>
    </cfRule>
    <cfRule type="expression" dxfId="2219" priority="3600">
      <formula>IF(DB18&gt;=DC18,IF(DB18="",FALSE,TRUE))</formula>
    </cfRule>
  </conditionalFormatting>
  <conditionalFormatting sqref="DB17">
    <cfRule type="expression" dxfId="2218" priority="3597">
      <formula>OR(IF(DB17&lt;DC17,TRUE),IF(AND(DC17="",DB17&lt;&gt;""),TRUE))</formula>
    </cfRule>
    <cfRule type="expression" dxfId="2217" priority="3598">
      <formula>IF(DB17&gt;=DC17,IF(DB17="",FALSE,TRUE))</formula>
    </cfRule>
  </conditionalFormatting>
  <conditionalFormatting sqref="DB30">
    <cfRule type="expression" dxfId="2216" priority="3593">
      <formula>OR(IF(DB30&lt;DC30,TRUE),IF(AND(DC30="",DB30&lt;&gt;""),TRUE))</formula>
    </cfRule>
    <cfRule type="expression" dxfId="2215" priority="3594">
      <formula>IF(DB30&gt;=DC30,IF(DB30="",FALSE,TRUE))</formula>
    </cfRule>
  </conditionalFormatting>
  <conditionalFormatting sqref="DB31">
    <cfRule type="expression" dxfId="2214" priority="3591">
      <formula>OR(IF(DB31&lt;DC31,TRUE),IF(AND(DC31="",DB31&lt;&gt;""),TRUE))</formula>
    </cfRule>
    <cfRule type="expression" dxfId="2213" priority="3592">
      <formula>IF(DB31&gt;=DC31,IF(DB31="",FALSE,TRUE))</formula>
    </cfRule>
  </conditionalFormatting>
  <conditionalFormatting sqref="DB32">
    <cfRule type="expression" dxfId="2212" priority="3589">
      <formula>OR(IF(DB32&lt;DC32,TRUE),IF(AND(DC32="",DB32&lt;&gt;""),TRUE))</formula>
    </cfRule>
    <cfRule type="expression" dxfId="2211" priority="3590">
      <formula>IF(DB32&gt;=DC32,IF(DB32="",FALSE,TRUE))</formula>
    </cfRule>
  </conditionalFormatting>
  <conditionalFormatting sqref="DB33">
    <cfRule type="expression" dxfId="2210" priority="3587">
      <formula>OR(IF(DB33&lt;DC33,TRUE),IF(AND(DC33="",DB33&lt;&gt;""),TRUE))</formula>
    </cfRule>
    <cfRule type="expression" dxfId="2209" priority="3588">
      <formula>IF(DB33&gt;=DC33,IF(DB33="",FALSE,TRUE))</formula>
    </cfRule>
  </conditionalFormatting>
  <conditionalFormatting sqref="DB34:DB35">
    <cfRule type="expression" dxfId="2208" priority="3585">
      <formula>OR(IF(DB34&lt;DC34,TRUE),IF(AND(DC34="",DB34&lt;&gt;""),TRUE))</formula>
    </cfRule>
    <cfRule type="expression" dxfId="2207" priority="3586">
      <formula>IF(DB34&gt;=DC34,IF(DB34="",FALSE,TRUE))</formula>
    </cfRule>
  </conditionalFormatting>
  <conditionalFormatting sqref="DD29">
    <cfRule type="expression" dxfId="2206" priority="3581">
      <formula>OR(IF(DD29&lt;DE29,TRUE),IF(AND(DE29="",DD29&lt;&gt;""),TRUE))</formula>
    </cfRule>
    <cfRule type="expression" dxfId="2205" priority="3582">
      <formula>IF(DD29&gt;=DE29,IF(DD29="",FALSE,TRUE))</formula>
    </cfRule>
  </conditionalFormatting>
  <conditionalFormatting sqref="DD30">
    <cfRule type="expression" dxfId="2204" priority="3579">
      <formula>OR(IF(DD30&lt;DE30,TRUE),IF(AND(DE30="",DD30&lt;&gt;""),TRUE))</formula>
    </cfRule>
    <cfRule type="expression" dxfId="2203" priority="3580">
      <formula>IF(DD30&gt;=DE30,IF(DD30="",FALSE,TRUE))</formula>
    </cfRule>
  </conditionalFormatting>
  <conditionalFormatting sqref="DD31">
    <cfRule type="expression" dxfId="2202" priority="3577">
      <formula>OR(IF(DD31&lt;DE31,TRUE),IF(AND(DE31="",DD31&lt;&gt;""),TRUE))</formula>
    </cfRule>
    <cfRule type="expression" dxfId="2201" priority="3578">
      <formula>IF(DD31&gt;=DE31,IF(DD31="",FALSE,TRUE))</formula>
    </cfRule>
  </conditionalFormatting>
  <conditionalFormatting sqref="DD32">
    <cfRule type="expression" dxfId="2200" priority="3575">
      <formula>OR(IF(DD32&lt;DE32,TRUE),IF(AND(DE32="",DD32&lt;&gt;""),TRUE))</formula>
    </cfRule>
    <cfRule type="expression" dxfId="2199" priority="3576">
      <formula>IF(DD32&gt;=DE32,IF(DD32="",FALSE,TRUE))</formula>
    </cfRule>
  </conditionalFormatting>
  <conditionalFormatting sqref="DD33">
    <cfRule type="expression" dxfId="2198" priority="3573">
      <formula>OR(IF(DD33&lt;DE33,TRUE),IF(AND(DE33="",DD33&lt;&gt;""),TRUE))</formula>
    </cfRule>
    <cfRule type="expression" dxfId="2197" priority="3574">
      <formula>IF(DD33&gt;=DE33,IF(DD33="",FALSE,TRUE))</formula>
    </cfRule>
  </conditionalFormatting>
  <conditionalFormatting sqref="DD44">
    <cfRule type="expression" dxfId="2196" priority="3569">
      <formula>OR(IF(DD44&lt;DE44,TRUE),IF(AND(DE44="",DD44&lt;&gt;""),TRUE))</formula>
    </cfRule>
    <cfRule type="expression" dxfId="2195" priority="3570">
      <formula>IF(DD44&gt;=DE44,IF(DD44="",FALSE,TRUE))</formula>
    </cfRule>
  </conditionalFormatting>
  <conditionalFormatting sqref="AQ21">
    <cfRule type="expression" dxfId="2192" priority="2431">
      <formula>OR(IF(AQ21&lt;AR21,TRUE),IF(AND(AR21="",AQ21&lt;&gt;""),TRUE))</formula>
    </cfRule>
    <cfRule type="expression" dxfId="2191" priority="2432">
      <formula>IF(AQ21&gt;=AR21,IF(AQ21="",FALSE,TRUE))</formula>
    </cfRule>
  </conditionalFormatting>
  <conditionalFormatting sqref="AQ19">
    <cfRule type="expression" dxfId="2190" priority="2427">
      <formula>OR(IF(AQ19&lt;AR19,TRUE),IF(AND(AR19="",AQ19&lt;&gt;""),TRUE))</formula>
    </cfRule>
    <cfRule type="expression" dxfId="2189" priority="2428">
      <formula>IF(AQ19&gt;=AR19,IF(AQ19="",FALSE,TRUE))</formula>
    </cfRule>
  </conditionalFormatting>
  <conditionalFormatting sqref="CW35">
    <cfRule type="expression" dxfId="2188" priority="3555">
      <formula>OR(IF(CW35&lt;CX35,TRUE),IF(AND(CX35="",CW35&lt;&gt;""),TRUE))</formula>
    </cfRule>
    <cfRule type="expression" dxfId="2187" priority="3556">
      <formula>IF(CW35&gt;=CX35,IF(CW35="",FALSE,TRUE))</formula>
    </cfRule>
  </conditionalFormatting>
  <conditionalFormatting sqref="CU35">
    <cfRule type="expression" dxfId="2186" priority="3553">
      <formula>OR(IF(CU35&lt;CV35,TRUE),IF(AND(CV35="",CU35&lt;&gt;""),TRUE))</formula>
    </cfRule>
    <cfRule type="expression" dxfId="2185" priority="3554">
      <formula>IF(CU35&gt;=CV35,IF(CU35="",FALSE,TRUE))</formula>
    </cfRule>
  </conditionalFormatting>
  <conditionalFormatting sqref="AS18">
    <cfRule type="expression" dxfId="2180" priority="2447">
      <formula>OR(IF(AS18&lt;AT18,TRUE),IF(AND(AT18="",AS18&lt;&gt;""),TRUE))</formula>
    </cfRule>
    <cfRule type="expression" dxfId="2179" priority="2448">
      <formula>IF(AS18&gt;=AT18,IF(AS18="",FALSE,TRUE))</formula>
    </cfRule>
  </conditionalFormatting>
  <conditionalFormatting sqref="AS19">
    <cfRule type="expression" dxfId="2178" priority="2445">
      <formula>OR(IF(AS19&lt;AT19,TRUE),IF(AND(AT19="",AS19&lt;&gt;""),TRUE))</formula>
    </cfRule>
    <cfRule type="expression" dxfId="2177" priority="2446">
      <formula>IF(AS19&gt;=AT19,IF(AS19="",FALSE,TRUE))</formula>
    </cfRule>
  </conditionalFormatting>
  <conditionalFormatting sqref="FH29:FH32">
    <cfRule type="expression" dxfId="2176" priority="2819">
      <formula>OR(IF(FH29&lt;FI29,TRUE),IF(AND(FI29="",FH29&lt;&gt;""),TRUE))</formula>
    </cfRule>
    <cfRule type="expression" dxfId="2175" priority="2820">
      <formula>IF(FH29&gt;=FI29,IF(FH29="",FALSE,TRUE))</formula>
    </cfRule>
  </conditionalFormatting>
  <conditionalFormatting sqref="FF50:FF59 FH50:FH59">
    <cfRule type="expression" dxfId="2174" priority="2817">
      <formula>OR(IF(FF50&lt;FG50,TRUE),IF(AND(FG50="",FF50&lt;&gt;""),TRUE))</formula>
    </cfRule>
    <cfRule type="expression" dxfId="2173" priority="2818">
      <formula>IF(FF50&gt;=FG50,IF(FF50="",FALSE,TRUE))</formula>
    </cfRule>
  </conditionalFormatting>
  <conditionalFormatting sqref="FA29:FA32">
    <cfRule type="expression" dxfId="2164" priority="2831">
      <formula>OR(IF(FA29&lt;FB29,TRUE),IF(AND(FB29="",FA29&lt;&gt;""),TRUE))</formula>
    </cfRule>
    <cfRule type="expression" dxfId="2163" priority="2832">
      <formula>IF(FA29&gt;=FB29,IF(FA29="",FALSE,TRUE))</formula>
    </cfRule>
  </conditionalFormatting>
  <conditionalFormatting sqref="EY50:EY59 FA50:FA59">
    <cfRule type="expression" dxfId="2162" priority="2829">
      <formula>OR(IF(EY50&lt;EZ50,TRUE),IF(AND(EZ50="",EY50&lt;&gt;""),TRUE))</formula>
    </cfRule>
    <cfRule type="expression" dxfId="2161" priority="2830">
      <formula>IF(EY50&gt;=EZ50,IF(EY50="",FALSE,TRUE))</formula>
    </cfRule>
  </conditionalFormatting>
  <conditionalFormatting sqref="AX21">
    <cfRule type="expression" dxfId="2160" priority="2459">
      <formula>OR(IF(AX21&lt;AY21,TRUE),IF(AND(AY21="",AX21&lt;&gt;""),TRUE))</formula>
    </cfRule>
    <cfRule type="expression" dxfId="2159" priority="2460">
      <formula>IF(AX21&gt;=AY21,IF(AX21="",FALSE,TRUE))</formula>
    </cfRule>
  </conditionalFormatting>
  <conditionalFormatting sqref="AX20">
    <cfRule type="expression" dxfId="2158" priority="2457">
      <formula>OR(IF(AX20&lt;AY20,TRUE),IF(AND(AY20="",AX20&lt;&gt;""),TRUE))</formula>
    </cfRule>
    <cfRule type="expression" dxfId="2157" priority="2458">
      <formula>IF(AX20&gt;=AY20,IF(AX20="",FALSE,TRUE))</formula>
    </cfRule>
  </conditionalFormatting>
  <conditionalFormatting sqref="BE19">
    <cfRule type="expression" dxfId="2156" priority="2483">
      <formula>OR(IF(BE19&lt;BF19,TRUE),IF(AND(BF19="",BE19&lt;&gt;""),TRUE))</formula>
    </cfRule>
    <cfRule type="expression" dxfId="2155" priority="2484">
      <formula>IF(BE19&gt;=BF19,IF(BE19="",FALSE,TRUE))</formula>
    </cfRule>
  </conditionalFormatting>
  <conditionalFormatting sqref="BE18">
    <cfRule type="expression" dxfId="2154" priority="2481">
      <formula>OR(IF(BE18&lt;BF18,TRUE),IF(AND(BF18="",BE18&lt;&gt;""),TRUE))</formula>
    </cfRule>
    <cfRule type="expression" dxfId="2153" priority="2482">
      <formula>IF(BE18&gt;=BF18,IF(BE18="",FALSE,TRUE))</formula>
    </cfRule>
  </conditionalFormatting>
  <conditionalFormatting sqref="BZ35:BZ36">
    <cfRule type="expression" dxfId="2152" priority="3513">
      <formula>OR(IF(BZ35&lt;CA35,TRUE),IF(AND(CA35="",BZ35&lt;&gt;""),TRUE))</formula>
    </cfRule>
    <cfRule type="expression" dxfId="2151" priority="3514">
      <formula>IF(BZ35&gt;=CA35,IF(BZ35="",FALSE,TRUE))</formula>
    </cfRule>
  </conditionalFormatting>
  <conditionalFormatting sqref="CB35:CB36">
    <cfRule type="expression" dxfId="2150" priority="3511">
      <formula>OR(IF(CB35&lt;CC35,TRUE),IF(AND(CC35="",CB35&lt;&gt;""),TRUE))</formula>
    </cfRule>
    <cfRule type="expression" dxfId="2149" priority="3512">
      <formula>IF(CB35&gt;=CC35,IF(CB35="",FALSE,TRUE))</formula>
    </cfRule>
  </conditionalFormatting>
  <conditionalFormatting sqref="BG22">
    <cfRule type="expression" dxfId="2144" priority="2499">
      <formula>OR(IF(BG22&lt;BH22,TRUE),IF(AND(BH22="",BG22&lt;&gt;""),TRUE))</formula>
    </cfRule>
    <cfRule type="expression" dxfId="2143" priority="2500">
      <formula>IF(BG22&gt;=BH22,IF(BG22="",FALSE,TRUE))</formula>
    </cfRule>
  </conditionalFormatting>
  <conditionalFormatting sqref="BG23:BG25">
    <cfRule type="expression" dxfId="2142" priority="2497">
      <formula>OR(IF(BG23&lt;BH23,TRUE),IF(AND(BH23="",BG23&lt;&gt;""),TRUE))</formula>
    </cfRule>
    <cfRule type="expression" dxfId="2141" priority="2498">
      <formula>IF(BG23&gt;=BH23,IF(BG23="",FALSE,TRUE))</formula>
    </cfRule>
  </conditionalFormatting>
  <conditionalFormatting sqref="BS35:BS36">
    <cfRule type="expression" dxfId="2140" priority="3497">
      <formula>OR(IF(BS35&lt;BT35,TRUE),IF(AND(BT35="",BS35&lt;&gt;""),TRUE))</formula>
    </cfRule>
    <cfRule type="expression" dxfId="2139" priority="3498">
      <formula>IF(BS35&gt;=BT35,IF(BS35="",FALSE,TRUE))</formula>
    </cfRule>
  </conditionalFormatting>
  <conditionalFormatting sqref="BU35:BU36">
    <cfRule type="expression" dxfId="2138" priority="3495">
      <formula>OR(IF(BU35&lt;BV35,TRUE),IF(AND(BV35="",BU35&lt;&gt;""),TRUE))</formula>
    </cfRule>
    <cfRule type="expression" dxfId="2137" priority="3496">
      <formula>IF(BU35&gt;=BV35,IF(BU35="",FALSE,TRUE))</formula>
    </cfRule>
  </conditionalFormatting>
  <conditionalFormatting sqref="BN35:BN36">
    <cfRule type="expression" dxfId="2128" priority="3485">
      <formula>OR(IF(BN35&lt;BO35,TRUE),IF(AND(BO35="",BN35&lt;&gt;""),TRUE))</formula>
    </cfRule>
    <cfRule type="expression" dxfId="2127" priority="3486">
      <formula>IF(BN35&gt;=BO35,IF(BN35="",FALSE,TRUE))</formula>
    </cfRule>
  </conditionalFormatting>
  <conditionalFormatting sqref="BL35">
    <cfRule type="expression" dxfId="2126" priority="3483">
      <formula>OR(IF(BL35&lt;BM35,TRUE),IF(AND(BM35="",BL35&lt;&gt;""),TRUE))</formula>
    </cfRule>
    <cfRule type="expression" dxfId="2125" priority="3484">
      <formula>IF(BL35&gt;=BM35,IF(BL35="",FALSE,TRUE))</formula>
    </cfRule>
  </conditionalFormatting>
  <conditionalFormatting sqref="BL17">
    <cfRule type="expression" dxfId="2124" priority="2511">
      <formula>OR(IF(BL17&lt;BM17,TRUE),IF(AND(BM17="",BL17&lt;&gt;""),TRUE))</formula>
    </cfRule>
    <cfRule type="expression" dxfId="2123" priority="2512">
      <formula>IF(BL17&gt;=BM17,IF(BL17="",FALSE,TRUE))</formula>
    </cfRule>
  </conditionalFormatting>
  <conditionalFormatting sqref="BG17">
    <cfRule type="expression" dxfId="2122" priority="2509">
      <formula>OR(IF(BG17&lt;BH17,TRUE),IF(AND(BH17="",BG17&lt;&gt;""),TRUE))</formula>
    </cfRule>
    <cfRule type="expression" dxfId="2121" priority="2510">
      <formula>IF(BG17&gt;=BH17,IF(BG17="",FALSE,TRUE))</formula>
    </cfRule>
  </conditionalFormatting>
  <conditionalFormatting sqref="BN22">
    <cfRule type="expression" dxfId="2120" priority="2531">
      <formula>OR(IF(BN22&lt;BO22,TRUE),IF(AND(BO22="",BN22&lt;&gt;""),TRUE))</formula>
    </cfRule>
    <cfRule type="expression" dxfId="2119" priority="2532">
      <formula>IF(BN22&gt;=BO22,IF(BN22="",FALSE,TRUE))</formula>
    </cfRule>
  </conditionalFormatting>
  <conditionalFormatting sqref="BN23:BN25">
    <cfRule type="expression" dxfId="2118" priority="2529">
      <formula>OR(IF(BN23&lt;BO23,TRUE),IF(AND(BO23="",BN23&lt;&gt;""),TRUE))</formula>
    </cfRule>
    <cfRule type="expression" dxfId="2117" priority="2530">
      <formula>IF(BN23&gt;=BO23,IF(BN23="",FALSE,TRUE))</formula>
    </cfRule>
  </conditionalFormatting>
  <conditionalFormatting sqref="BS17">
    <cfRule type="expression" dxfId="2108" priority="2543">
      <formula>OR(IF(BS17&lt;BT17,TRUE),IF(AND(BT17="",BS17&lt;&gt;""),TRUE))</formula>
    </cfRule>
    <cfRule type="expression" dxfId="2107" priority="2544">
      <formula>IF(BS17&gt;=BT17,IF(BS17="",FALSE,TRUE))</formula>
    </cfRule>
  </conditionalFormatting>
  <conditionalFormatting sqref="BN17">
    <cfRule type="expression" dxfId="2106" priority="2541">
      <formula>OR(IF(BN17&lt;BO17,TRUE),IF(AND(BO17="",BN17&lt;&gt;""),TRUE))</formula>
    </cfRule>
    <cfRule type="expression" dxfId="2105" priority="2542">
      <formula>IF(BN17&gt;=BO17,IF(BN17="",FALSE,TRUE))</formula>
    </cfRule>
  </conditionalFormatting>
  <conditionalFormatting sqref="BU25">
    <cfRule type="expression" dxfId="2104" priority="2559">
      <formula>OR(IF(BU25&lt;BV25,TRUE),IF(AND(BV25="",BU25&lt;&gt;""),TRUE))</formula>
    </cfRule>
    <cfRule type="expression" dxfId="2103" priority="2560">
      <formula>IF(BU25&gt;=BV25,IF(BU25="",FALSE,TRUE))</formula>
    </cfRule>
  </conditionalFormatting>
  <conditionalFormatting sqref="BS25">
    <cfRule type="expression" dxfId="2102" priority="2557">
      <formula>OR(IF(BS25&lt;BT25,TRUE),IF(AND(BT25="",BS25&lt;&gt;""),TRUE))</formula>
    </cfRule>
    <cfRule type="expression" dxfId="2101" priority="2558">
      <formula>IF(BS25&gt;=BT25,IF(BS25="",FALSE,TRUE))</formula>
    </cfRule>
  </conditionalFormatting>
  <conditionalFormatting sqref="CI25">
    <cfRule type="expression" dxfId="2100" priority="2623">
      <formula>OR(IF(CI25&lt;CJ25,TRUE),IF(AND(CJ25="",CI25&lt;&gt;""),TRUE))</formula>
    </cfRule>
    <cfRule type="expression" dxfId="2099" priority="2624">
      <formula>IF(CI25&gt;=CJ25,IF(CI25="",FALSE,TRUE))</formula>
    </cfRule>
  </conditionalFormatting>
  <conditionalFormatting sqref="CG25">
    <cfRule type="expression" dxfId="2098" priority="2621">
      <formula>OR(IF(CG25&lt;CH25,TRUE),IF(AND(CH25="",CG25&lt;&gt;""),TRUE))</formula>
    </cfRule>
    <cfRule type="expression" dxfId="2097" priority="2622">
      <formula>IF(CG25&gt;=CH25,IF(CG25="",FALSE,TRUE))</formula>
    </cfRule>
  </conditionalFormatting>
  <conditionalFormatting sqref="BZ20">
    <cfRule type="expression" dxfId="2092" priority="2581">
      <formula>OR(IF(BZ20&lt;CA20,TRUE),IF(AND(CA20="",BZ20&lt;&gt;""),TRUE))</formula>
    </cfRule>
    <cfRule type="expression" dxfId="2091" priority="2582">
      <formula>IF(BZ20&gt;=CA20,IF(BZ20="",FALSE,TRUE))</formula>
    </cfRule>
  </conditionalFormatting>
  <conditionalFormatting sqref="BZ19">
    <cfRule type="expression" dxfId="2090" priority="2579">
      <formula>OR(IF(BZ19&lt;CA19,TRUE),IF(AND(CA19="",BZ19&lt;&gt;""),TRUE))</formula>
    </cfRule>
    <cfRule type="expression" dxfId="2089" priority="2580">
      <formula>IF(BZ19&gt;=CA19,IF(BZ19="",FALSE,TRUE))</formula>
    </cfRule>
  </conditionalFormatting>
  <conditionalFormatting sqref="BZ18">
    <cfRule type="expression" dxfId="2088" priority="2577">
      <formula>OR(IF(BZ18&lt;CA18,TRUE),IF(AND(CA18="",BZ18&lt;&gt;""),TRUE))</formula>
    </cfRule>
    <cfRule type="expression" dxfId="2087" priority="2578">
      <formula>IF(BZ18&gt;=CA18,IF(BZ18="",FALSE,TRUE))</formula>
    </cfRule>
  </conditionalFormatting>
  <conditionalFormatting sqref="BZ17">
    <cfRule type="expression" dxfId="2086" priority="2575">
      <formula>OR(IF(BZ17&lt;CA17,TRUE),IF(AND(CA17="",BZ17&lt;&gt;""),TRUE))</formula>
    </cfRule>
    <cfRule type="expression" dxfId="2085" priority="2576">
      <formula>IF(BZ17&gt;=CA17,IF(BZ17="",FALSE,TRUE))</formula>
    </cfRule>
  </conditionalFormatting>
  <conditionalFormatting sqref="BU17">
    <cfRule type="expression" dxfId="2084" priority="2573">
      <formula>OR(IF(BU17&lt;BV17,TRUE),IF(AND(BV17="",BU17&lt;&gt;""),TRUE))</formula>
    </cfRule>
    <cfRule type="expression" dxfId="2083" priority="2574">
      <formula>IF(BU17&gt;=BV17,IF(BU17="",FALSE,TRUE))</formula>
    </cfRule>
  </conditionalFormatting>
  <conditionalFormatting sqref="BU18">
    <cfRule type="expression" dxfId="2082" priority="2571">
      <formula>OR(IF(BU18&lt;BV18,TRUE),IF(AND(BV18="",BU18&lt;&gt;""),TRUE))</formula>
    </cfRule>
    <cfRule type="expression" dxfId="2081" priority="2572">
      <formula>IF(BU18&gt;=BV18,IF(BU18="",FALSE,TRUE))</formula>
    </cfRule>
  </conditionalFormatting>
  <conditionalFormatting sqref="BN21">
    <cfRule type="expression" dxfId="2080" priority="2533">
      <formula>OR(IF(BN21&lt;BO21,TRUE),IF(AND(BO21="",BN21&lt;&gt;""),TRUE))</formula>
    </cfRule>
    <cfRule type="expression" dxfId="2079" priority="2534">
      <formula>IF(BN21&gt;=BO21,IF(BN21="",FALSE,TRUE))</formula>
    </cfRule>
  </conditionalFormatting>
  <conditionalFormatting sqref="J6:K13">
    <cfRule type="colorScale" priority="6165">
      <colorScale>
        <cfvo type="percent" val="0"/>
        <cfvo type="percent" val="100"/>
        <color rgb="FFFF231B"/>
        <color rgb="FF10FF07"/>
      </colorScale>
    </cfRule>
  </conditionalFormatting>
  <conditionalFormatting sqref="J5:J13">
    <cfRule type="colorScale" priority="6166">
      <colorScale>
        <cfvo type="percent" val="0"/>
        <cfvo type="percent" val="100"/>
        <color rgb="FFFF231B"/>
        <color rgb="FF10FF07"/>
      </colorScale>
    </cfRule>
  </conditionalFormatting>
  <conditionalFormatting sqref="K5:K13">
    <cfRule type="colorScale" priority="6167">
      <colorScale>
        <cfvo type="percent" val="0"/>
        <cfvo type="percent" val="100"/>
        <color rgb="FFFF231B"/>
        <color rgb="FF10FF07"/>
      </colorScale>
    </cfRule>
  </conditionalFormatting>
  <conditionalFormatting sqref="Q54:Q59 V55:V59 X55:X59 AC57:AC59 AE57:AE59 AJ58:AJ59 AL58:AL59 O54:O59">
    <cfRule type="expression" dxfId="2078" priority="2934">
      <formula>OR(IF(O54&lt;P54,TRUE),IF(AND(P54="",O54&lt;&gt;""),TRUE))</formula>
    </cfRule>
    <cfRule type="expression" dxfId="2077" priority="2935">
      <formula>IF(O54&gt;=P54,IF(O54="",FALSE,TRUE))</formula>
    </cfRule>
  </conditionalFormatting>
  <conditionalFormatting sqref="J51:K59">
    <cfRule type="colorScale" priority="2936">
      <colorScale>
        <cfvo type="percent" val="0"/>
        <cfvo type="percent" val="100"/>
        <color rgb="FFFF231B"/>
        <color rgb="FF10FF07"/>
      </colorScale>
    </cfRule>
  </conditionalFormatting>
  <conditionalFormatting sqref="J50:J59">
    <cfRule type="colorScale" priority="2937">
      <colorScale>
        <cfvo type="percent" val="0"/>
        <cfvo type="percent" val="100"/>
        <color rgb="FFFF231B"/>
        <color rgb="FF10FF07"/>
      </colorScale>
    </cfRule>
  </conditionalFormatting>
  <conditionalFormatting sqref="K50:K59">
    <cfRule type="colorScale" priority="2938">
      <colorScale>
        <cfvo type="percent" val="0"/>
        <cfvo type="percent" val="100"/>
        <color rgb="FFFF231B"/>
        <color rgb="FF10FF07"/>
      </colorScale>
    </cfRule>
  </conditionalFormatting>
  <conditionalFormatting sqref="AJ57 AL57">
    <cfRule type="expression" dxfId="2076" priority="2916">
      <formula>OR(IF(AJ57&lt;AK57,TRUE),IF(AND(AK57="",AJ57&lt;&gt;""),TRUE))</formula>
    </cfRule>
    <cfRule type="expression" dxfId="2075" priority="2917">
      <formula>IF(AJ57&gt;=AK57,IF(AJ57="",FALSE,TRUE))</formula>
    </cfRule>
  </conditionalFormatting>
  <conditionalFormatting sqref="AC56 AE56">
    <cfRule type="expression" dxfId="2074" priority="2914">
      <formula>OR(IF(AC56&lt;AD56,TRUE),IF(AND(AD56="",AC56&lt;&gt;""),TRUE))</formula>
    </cfRule>
    <cfRule type="expression" dxfId="2073" priority="2915">
      <formula>IF(AC56&gt;=AD56,IF(AC56="",FALSE,TRUE))</formula>
    </cfRule>
  </conditionalFormatting>
  <conditionalFormatting sqref="V54 X54">
    <cfRule type="expression" dxfId="2072" priority="2912">
      <formula>OR(IF(V54&lt;W54,TRUE),IF(AND(W54="",V54&lt;&gt;""),TRUE))</formula>
    </cfRule>
    <cfRule type="expression" dxfId="2071" priority="2913">
      <formula>IF(V54&gt;=W54,IF(V54="",FALSE,TRUE))</formula>
    </cfRule>
  </conditionalFormatting>
  <conditionalFormatting sqref="O50:O53 Q50:Q53">
    <cfRule type="expression" dxfId="2070" priority="2910">
      <formula>OR(IF(O50&lt;P50,TRUE),IF(AND(P50="",O50&lt;&gt;""),TRUE))</formula>
    </cfRule>
    <cfRule type="expression" dxfId="2069" priority="2911">
      <formula>IF(O50&gt;=P50,IF(O50="",FALSE,TRUE))</formula>
    </cfRule>
  </conditionalFormatting>
  <conditionalFormatting sqref="AJ50:AJ56 AL50:AL56">
    <cfRule type="expression" dxfId="2068" priority="2894">
      <formula>OR(IF(AJ50&lt;AK50,TRUE),IF(AND(AK50="",AJ50&lt;&gt;""),TRUE))</formula>
    </cfRule>
    <cfRule type="expression" dxfId="2067" priority="2895">
      <formula>IF(AJ50&gt;=AK50,IF(AJ50="",FALSE,TRUE))</formula>
    </cfRule>
  </conditionalFormatting>
  <conditionalFormatting sqref="AC50:AC55 AE50:AE55">
    <cfRule type="expression" dxfId="2066" priority="2892">
      <formula>OR(IF(AC50&lt;AD50,TRUE),IF(AND(AD50="",AC50&lt;&gt;""),TRUE))</formula>
    </cfRule>
    <cfRule type="expression" dxfId="2065" priority="2893">
      <formula>IF(AC50&gt;=AD50,IF(AC50="",FALSE,TRUE))</formula>
    </cfRule>
  </conditionalFormatting>
  <conditionalFormatting sqref="X50:X53 V50:V53">
    <cfRule type="expression" dxfId="2064" priority="2890">
      <formula>OR(IF(V50&lt;W50,TRUE),IF(AND(W50="",V50&lt;&gt;""),TRUE))</formula>
    </cfRule>
    <cfRule type="expression" dxfId="2063" priority="2891">
      <formula>IF(V50&gt;=W50,IF(V50="",FALSE,TRUE))</formula>
    </cfRule>
  </conditionalFormatting>
  <conditionalFormatting sqref="CI49">
    <cfRule type="expression" dxfId="2062" priority="2886">
      <formula>OR(IF(CI49&lt;CJ49,TRUE),IF(AND(CJ49="",CI49&lt;&gt;""),TRUE))</formula>
    </cfRule>
    <cfRule type="expression" dxfId="2061" priority="2887">
      <formula>IF(CI49&gt;=CJ49,IF(CI49="",FALSE,TRUE))</formula>
    </cfRule>
  </conditionalFormatting>
  <conditionalFormatting sqref="J38">
    <cfRule type="colorScale" priority="2877">
      <colorScale>
        <cfvo type="percent" val="0"/>
        <cfvo type="percent" val="100"/>
        <color rgb="FFFF231B"/>
        <color rgb="FF10FF07"/>
      </colorScale>
    </cfRule>
  </conditionalFormatting>
  <conditionalFormatting sqref="EF38:EF47 ED38:ED47 ED19:ED26 EF33:EF35 ED33:ED35 ED5:ED13 EF5:EF13 EF19:EF26">
    <cfRule type="expression" dxfId="2060" priority="2875">
      <formula>OR(IF(ED5&lt;EE5,TRUE),IF(AND(EE5="",ED5&lt;&gt;""),TRUE))</formula>
    </cfRule>
    <cfRule type="expression" dxfId="2059" priority="2876">
      <formula>IF(ED5&gt;=EE5,IF(ED5="",FALSE,TRUE))</formula>
    </cfRule>
  </conditionalFormatting>
  <conditionalFormatting sqref="ED17:ED18">
    <cfRule type="expression" dxfId="2058" priority="2873">
      <formula>OR(IF(ED17&lt;EE17,TRUE),IF(AND(EE17="",ED17&lt;&gt;""),TRUE))</formula>
    </cfRule>
    <cfRule type="expression" dxfId="2057" priority="2874">
      <formula>IF(ED17&gt;=EE17,IF(ED17="",FALSE,TRUE))</formula>
    </cfRule>
  </conditionalFormatting>
  <conditionalFormatting sqref="EF17:EF18">
    <cfRule type="expression" dxfId="2056" priority="2871">
      <formula>OR(IF(EF17&lt;EG17,TRUE),IF(AND(EG17="",EF17&lt;&gt;""),TRUE))</formula>
    </cfRule>
    <cfRule type="expression" dxfId="2055" priority="2872">
      <formula>IF(EF17&gt;=EG17,IF(EF17="",FALSE,TRUE))</formula>
    </cfRule>
  </conditionalFormatting>
  <conditionalFormatting sqref="ED29:ED32">
    <cfRule type="expression" dxfId="2054" priority="2869">
      <formula>OR(IF(ED29&lt;EE29,TRUE),IF(AND(EE29="",ED29&lt;&gt;""),TRUE))</formula>
    </cfRule>
    <cfRule type="expression" dxfId="2053" priority="2870">
      <formula>IF(ED29&gt;=EE29,IF(ED29="",FALSE,TRUE))</formula>
    </cfRule>
  </conditionalFormatting>
  <conditionalFormatting sqref="EF29:EF32">
    <cfRule type="expression" dxfId="2052" priority="2867">
      <formula>OR(IF(EF29&lt;EG29,TRUE),IF(AND(EG29="",EF29&lt;&gt;""),TRUE))</formula>
    </cfRule>
    <cfRule type="expression" dxfId="2051" priority="2868">
      <formula>IF(EF29&gt;=EG29,IF(EF29="",FALSE,TRUE))</formula>
    </cfRule>
  </conditionalFormatting>
  <conditionalFormatting sqref="EM38:EM47 EK38:EK47 EK19:EK26 EM33:EM35 EK33:EK35 EK5:EK13 EM5:EM13 EM19:EM26">
    <cfRule type="expression" dxfId="2050" priority="2863">
      <formula>OR(IF(EK5&lt;EL5,TRUE),IF(AND(EL5="",EK5&lt;&gt;""),TRUE))</formula>
    </cfRule>
    <cfRule type="expression" dxfId="2049" priority="2864">
      <formula>IF(EK5&gt;=EL5,IF(EK5="",FALSE,TRUE))</formula>
    </cfRule>
  </conditionalFormatting>
  <conditionalFormatting sqref="EK17:EK18">
    <cfRule type="expression" dxfId="2048" priority="2861">
      <formula>OR(IF(EK17&lt;EL17,TRUE),IF(AND(EL17="",EK17&lt;&gt;""),TRUE))</formula>
    </cfRule>
    <cfRule type="expression" dxfId="2047" priority="2862">
      <formula>IF(EK17&gt;=EL17,IF(EK17="",FALSE,TRUE))</formula>
    </cfRule>
  </conditionalFormatting>
  <conditionalFormatting sqref="EM17:EM18">
    <cfRule type="expression" dxfId="2046" priority="2859">
      <formula>OR(IF(EM17&lt;EN17,TRUE),IF(AND(EN17="",EM17&lt;&gt;""),TRUE))</formula>
    </cfRule>
    <cfRule type="expression" dxfId="2045" priority="2860">
      <formula>IF(EM17&gt;=EN17,IF(EM17="",FALSE,TRUE))</formula>
    </cfRule>
  </conditionalFormatting>
  <conditionalFormatting sqref="EK29:EK32">
    <cfRule type="expression" dxfId="2044" priority="2857">
      <formula>OR(IF(EK29&lt;EL29,TRUE),IF(AND(EL29="",EK29&lt;&gt;""),TRUE))</formula>
    </cfRule>
    <cfRule type="expression" dxfId="2043" priority="2858">
      <formula>IF(EK29&gt;=EL29,IF(EK29="",FALSE,TRUE))</formula>
    </cfRule>
  </conditionalFormatting>
  <conditionalFormatting sqref="EM29:EM32">
    <cfRule type="expression" dxfId="2042" priority="2855">
      <formula>OR(IF(EM29&lt;EN29,TRUE),IF(AND(EN29="",EM29&lt;&gt;""),TRUE))</formula>
    </cfRule>
    <cfRule type="expression" dxfId="2041" priority="2856">
      <formula>IF(EM29&gt;=EN29,IF(EM29="",FALSE,TRUE))</formula>
    </cfRule>
  </conditionalFormatting>
  <conditionalFormatting sqref="ET38:ET47 ER38:ER47 ER19:ER26 ET33:ET35 ER33:ER35 ER5:ER13 ET5:ET13 ET19:ET26">
    <cfRule type="expression" dxfId="2040" priority="2851">
      <formula>OR(IF(ER5&lt;ES5,TRUE),IF(AND(ES5="",ER5&lt;&gt;""),TRUE))</formula>
    </cfRule>
    <cfRule type="expression" dxfId="2039" priority="2852">
      <formula>IF(ER5&gt;=ES5,IF(ER5="",FALSE,TRUE))</formula>
    </cfRule>
  </conditionalFormatting>
  <conditionalFormatting sqref="ER17:ER18">
    <cfRule type="expression" dxfId="2038" priority="2849">
      <formula>OR(IF(ER17&lt;ES17,TRUE),IF(AND(ES17="",ER17&lt;&gt;""),TRUE))</formula>
    </cfRule>
    <cfRule type="expression" dxfId="2037" priority="2850">
      <formula>IF(ER17&gt;=ES17,IF(ER17="",FALSE,TRUE))</formula>
    </cfRule>
  </conditionalFormatting>
  <conditionalFormatting sqref="ET17:ET18">
    <cfRule type="expression" dxfId="2036" priority="2847">
      <formula>OR(IF(ET17&lt;EU17,TRUE),IF(AND(EU17="",ET17&lt;&gt;""),TRUE))</formula>
    </cfRule>
    <cfRule type="expression" dxfId="2035" priority="2848">
      <formula>IF(ET17&gt;=EU17,IF(ET17="",FALSE,TRUE))</formula>
    </cfRule>
  </conditionalFormatting>
  <conditionalFormatting sqref="ER29:ER32">
    <cfRule type="expression" dxfId="2034" priority="2845">
      <formula>OR(IF(ER29&lt;ES29,TRUE),IF(AND(ES29="",ER29&lt;&gt;""),TRUE))</formula>
    </cfRule>
    <cfRule type="expression" dxfId="2033" priority="2846">
      <formula>IF(ER29&gt;=ES29,IF(ER29="",FALSE,TRUE))</formula>
    </cfRule>
  </conditionalFormatting>
  <conditionalFormatting sqref="ET29:ET32">
    <cfRule type="expression" dxfId="2032" priority="2843">
      <formula>OR(IF(ET29&lt;EU29,TRUE),IF(AND(EU29="",ET29&lt;&gt;""),TRUE))</formula>
    </cfRule>
    <cfRule type="expression" dxfId="2031" priority="2844">
      <formula>IF(ET29&gt;=EU29,IF(ET29="",FALSE,TRUE))</formula>
    </cfRule>
  </conditionalFormatting>
  <conditionalFormatting sqref="FA38:FA47 EY38:EY47 EY19:EY26 FA33:FA35 EY33:EY35 EY5:EY13 FA5:FA13 FA19:FA26">
    <cfRule type="expression" dxfId="2030" priority="2839">
      <formula>OR(IF(EY5&lt;EZ5,TRUE),IF(AND(EZ5="",EY5&lt;&gt;""),TRUE))</formula>
    </cfRule>
    <cfRule type="expression" dxfId="2029" priority="2840">
      <formula>IF(EY5&gt;=EZ5,IF(EY5="",FALSE,TRUE))</formula>
    </cfRule>
  </conditionalFormatting>
  <conditionalFormatting sqref="EY17:EY18">
    <cfRule type="expression" dxfId="2028" priority="2837">
      <formula>OR(IF(EY17&lt;EZ17,TRUE),IF(AND(EZ17="",EY17&lt;&gt;""),TRUE))</formula>
    </cfRule>
    <cfRule type="expression" dxfId="2027" priority="2838">
      <formula>IF(EY17&gt;=EZ17,IF(EY17="",FALSE,TRUE))</formula>
    </cfRule>
  </conditionalFormatting>
  <conditionalFormatting sqref="FA17:FA18">
    <cfRule type="expression" dxfId="2026" priority="2835">
      <formula>OR(IF(FA17&lt;FB17,TRUE),IF(AND(FB17="",FA17&lt;&gt;""),TRUE))</formula>
    </cfRule>
    <cfRule type="expression" dxfId="2025" priority="2836">
      <formula>IF(FA17&gt;=FB17,IF(FA17="",FALSE,TRUE))</formula>
    </cfRule>
  </conditionalFormatting>
  <conditionalFormatting sqref="EY29:EY32">
    <cfRule type="expression" dxfId="2024" priority="2833">
      <formula>OR(IF(EY29&lt;EZ29,TRUE),IF(AND(EZ29="",EY29&lt;&gt;""),TRUE))</formula>
    </cfRule>
    <cfRule type="expression" dxfId="2023" priority="2834">
      <formula>IF(EY29&gt;=EZ29,IF(EY29="",FALSE,TRUE))</formula>
    </cfRule>
  </conditionalFormatting>
  <conditionalFormatting sqref="FH38:FH47 FF38:FF47 FF19:FF26 FH33:FH35 FF33:FF35 FF5:FF13 FH5:FH13 FH19:FH26">
    <cfRule type="expression" dxfId="2022" priority="2827">
      <formula>OR(IF(FF5&lt;FG5,TRUE),IF(AND(FG5="",FF5&lt;&gt;""),TRUE))</formula>
    </cfRule>
    <cfRule type="expression" dxfId="2021" priority="2828">
      <formula>IF(FF5&gt;=FG5,IF(FF5="",FALSE,TRUE))</formula>
    </cfRule>
  </conditionalFormatting>
  <conditionalFormatting sqref="FF17:FF18">
    <cfRule type="expression" dxfId="2020" priority="2825">
      <formula>OR(IF(FF17&lt;FG17,TRUE),IF(AND(FG17="",FF17&lt;&gt;""),TRUE))</formula>
    </cfRule>
    <cfRule type="expression" dxfId="2019" priority="2826">
      <formula>IF(FF17&gt;=FG17,IF(FF17="",FALSE,TRUE))</formula>
    </cfRule>
  </conditionalFormatting>
  <conditionalFormatting sqref="FH17:FH18">
    <cfRule type="expression" dxfId="2018" priority="2823">
      <formula>OR(IF(FH17&lt;FI17,TRUE),IF(AND(FI17="",FH17&lt;&gt;""),TRUE))</formula>
    </cfRule>
    <cfRule type="expression" dxfId="2017" priority="2824">
      <formula>IF(FH17&gt;=FI17,IF(FH17="",FALSE,TRUE))</formula>
    </cfRule>
  </conditionalFormatting>
  <conditionalFormatting sqref="FF29:FF32">
    <cfRule type="expression" dxfId="2016" priority="2821">
      <formula>OR(IF(FF29&lt;FG29,TRUE),IF(AND(FG29="",FF29&lt;&gt;""),TRUE))</formula>
    </cfRule>
    <cfRule type="expression" dxfId="2015" priority="2822">
      <formula>IF(FF29&gt;=FG29,IF(FF29="",FALSE,TRUE))</formula>
    </cfRule>
  </conditionalFormatting>
  <conditionalFormatting sqref="AJ21">
    <cfRule type="expression" dxfId="2014" priority="2407">
      <formula>OR(IF(AJ21&lt;AK21,TRUE),IF(AND(AK21="",AJ21&lt;&gt;""),TRUE))</formula>
    </cfRule>
    <cfRule type="expression" dxfId="2013" priority="2408">
      <formula>IF(AJ21&gt;=AK21,IF(AJ21="",FALSE,TRUE))</formula>
    </cfRule>
  </conditionalFormatting>
  <conditionalFormatting sqref="AJ20">
    <cfRule type="expression" dxfId="2012" priority="2405">
      <formula>OR(IF(AJ20&lt;AK20,TRUE),IF(AND(AK20="",AJ20&lt;&gt;""),TRUE))</formula>
    </cfRule>
    <cfRule type="expression" dxfId="2011" priority="2406">
      <formula>IF(AJ20&gt;=AK20,IF(AJ20="",FALSE,TRUE))</formula>
    </cfRule>
  </conditionalFormatting>
  <conditionalFormatting sqref="AJ19">
    <cfRule type="expression" dxfId="2010" priority="2403">
      <formula>OR(IF(AJ19&lt;AK19,TRUE),IF(AND(AK19="",AJ19&lt;&gt;""),TRUE))</formula>
    </cfRule>
    <cfRule type="expression" dxfId="2009" priority="2404">
      <formula>IF(AJ19&gt;=AK19,IF(AJ19="",FALSE,TRUE))</formula>
    </cfRule>
  </conditionalFormatting>
  <conditionalFormatting sqref="V20">
    <cfRule type="expression" dxfId="1998" priority="2365">
      <formula>OR(IF(V20&lt;W20,TRUE),IF(AND(W20="",V20&lt;&gt;""),TRUE))</formula>
    </cfRule>
    <cfRule type="expression" dxfId="1997" priority="2366">
      <formula>IF(V20&gt;=W20,IF(V20="",FALSE,TRUE))</formula>
    </cfRule>
  </conditionalFormatting>
  <conditionalFormatting sqref="V19">
    <cfRule type="expression" dxfId="1996" priority="2363">
      <formula>OR(IF(V19&lt;W19,TRUE),IF(AND(W19="",V19&lt;&gt;""),TRUE))</formula>
    </cfRule>
    <cfRule type="expression" dxfId="1995" priority="2364">
      <formula>IF(V19&gt;=W19,IF(V19="",FALSE,TRUE))</formula>
    </cfRule>
  </conditionalFormatting>
  <conditionalFormatting sqref="V18">
    <cfRule type="expression" dxfId="1994" priority="2361">
      <formula>OR(IF(V18&lt;W18,TRUE),IF(AND(W18="",V18&lt;&gt;""),TRUE))</formula>
    </cfRule>
    <cfRule type="expression" dxfId="1993" priority="2362">
      <formula>IF(V18&gt;=W18,IF(V18="",FALSE,TRUE))</formula>
    </cfRule>
  </conditionalFormatting>
  <conditionalFormatting sqref="X20">
    <cfRule type="expression" dxfId="1992" priority="2371">
      <formula>OR(IF(X20&lt;Y20,TRUE),IF(AND(Y20="",X20&lt;&gt;""),TRUE))</formula>
    </cfRule>
    <cfRule type="expression" dxfId="1991" priority="2372">
      <formula>IF(X20&gt;=Y20,IF(X20="",FALSE,TRUE))</formula>
    </cfRule>
  </conditionalFormatting>
  <conditionalFormatting sqref="X21">
    <cfRule type="expression" dxfId="1990" priority="2369">
      <formula>OR(IF(X21&lt;Y21,TRUE),IF(AND(Y21="",X21&lt;&gt;""),TRUE))</formula>
    </cfRule>
    <cfRule type="expression" dxfId="1989" priority="2370">
      <formula>IF(X21&gt;=Y21,IF(X21="",FALSE,TRUE))</formula>
    </cfRule>
  </conditionalFormatting>
  <conditionalFormatting sqref="X17">
    <cfRule type="expression" dxfId="1988" priority="2377">
      <formula>OR(IF(X17&lt;Y17,TRUE),IF(AND(Y17="",X17&lt;&gt;""),TRUE))</formula>
    </cfRule>
    <cfRule type="expression" dxfId="1987" priority="2378">
      <formula>IF(X17&gt;=Y17,IF(X17="",FALSE,TRUE))</formula>
    </cfRule>
  </conditionalFormatting>
  <conditionalFormatting sqref="V21">
    <cfRule type="expression" dxfId="1986" priority="2367">
      <formula>OR(IF(V21&lt;W21,TRUE),IF(AND(W21="",V21&lt;&gt;""),TRUE))</formula>
    </cfRule>
    <cfRule type="expression" dxfId="1985" priority="2368">
      <formula>IF(V21&gt;=W21,IF(V21="",FALSE,TRUE))</formula>
    </cfRule>
  </conditionalFormatting>
  <conditionalFormatting sqref="AC17">
    <cfRule type="expression" dxfId="1984" priority="2379">
      <formula>OR(IF(AC17&lt;AD17,TRUE),IF(AND(AD17="",AC17&lt;&gt;""),TRUE))</formula>
    </cfRule>
    <cfRule type="expression" dxfId="1983" priority="2380">
      <formula>IF(AC17&gt;=AD17,IF(AC17="",FALSE,TRUE))</formula>
    </cfRule>
  </conditionalFormatting>
  <conditionalFormatting sqref="X18">
    <cfRule type="expression" dxfId="1982" priority="2375">
      <formula>OR(IF(X18&lt;Y18,TRUE),IF(AND(Y18="",X18&lt;&gt;""),TRUE))</formula>
    </cfRule>
    <cfRule type="expression" dxfId="1981" priority="2376">
      <formula>IF(X18&gt;=Y18,IF(X18="",FALSE,TRUE))</formula>
    </cfRule>
  </conditionalFormatting>
  <conditionalFormatting sqref="AC18">
    <cfRule type="expression" dxfId="1980" priority="2381">
      <formula>OR(IF(AC18&lt;AD18,TRUE),IF(AND(AD18="",AC18&lt;&gt;""),TRUE))</formula>
    </cfRule>
    <cfRule type="expression" dxfId="1979" priority="2382">
      <formula>IF(AC18&gt;=AD18,IF(AC18="",FALSE,TRUE))</formula>
    </cfRule>
  </conditionalFormatting>
  <conditionalFormatting sqref="AE20">
    <cfRule type="expression" dxfId="1978" priority="2391">
      <formula>OR(IF(AE20&lt;AF20,TRUE),IF(AND(AF20="",AE20&lt;&gt;""),TRUE))</formula>
    </cfRule>
    <cfRule type="expression" dxfId="1977" priority="2392">
      <formula>IF(AE20&gt;=AF20,IF(AE20="",FALSE,TRUE))</formula>
    </cfRule>
  </conditionalFormatting>
  <conditionalFormatting sqref="AE21">
    <cfRule type="expression" dxfId="1976" priority="2389">
      <formula>OR(IF(AE21&lt;AF21,TRUE),IF(AND(AF21="",AE21&lt;&gt;""),TRUE))</formula>
    </cfRule>
    <cfRule type="expression" dxfId="1975" priority="2390">
      <formula>IF(AE21&gt;=AF21,IF(AE21="",FALSE,TRUE))</formula>
    </cfRule>
  </conditionalFormatting>
  <conditionalFormatting sqref="AC21">
    <cfRule type="expression" dxfId="1974" priority="2387">
      <formula>OR(IF(AC21&lt;AD21,TRUE),IF(AND(AD21="",AC21&lt;&gt;""),TRUE))</formula>
    </cfRule>
    <cfRule type="expression" dxfId="1973" priority="2388">
      <formula>IF(AC21&gt;=AD21,IF(AC21="",FALSE,TRUE))</formula>
    </cfRule>
  </conditionalFormatting>
  <conditionalFormatting sqref="X19">
    <cfRule type="expression" dxfId="1972" priority="2373">
      <formula>OR(IF(X19&lt;Y19,TRUE),IF(AND(Y19="",X19&lt;&gt;""),TRUE))</formula>
    </cfRule>
    <cfRule type="expression" dxfId="1971" priority="2374">
      <formula>IF(X19&gt;=Y19,IF(X19="",FALSE,TRUE))</formula>
    </cfRule>
  </conditionalFormatting>
  <conditionalFormatting sqref="Q8:Q9 O5:O9">
    <cfRule type="expression" dxfId="1970" priority="2707">
      <formula>OR(IF(O5&lt;P5,TRUE),IF(AND(P5="",O5&lt;&gt;""),TRUE))</formula>
    </cfRule>
    <cfRule type="expression" dxfId="1969" priority="2708">
      <formula>IF(O5&gt;=P5,IF(O5="",FALSE,TRUE))</formula>
    </cfRule>
  </conditionalFormatting>
  <conditionalFormatting sqref="Q5:Q6">
    <cfRule type="expression" dxfId="1968" priority="2705">
      <formula>OR(IF(Q5&lt;R5,TRUE),IF(AND(R5="",Q5&lt;&gt;""),TRUE))</formula>
    </cfRule>
    <cfRule type="expression" dxfId="1967" priority="2706">
      <formula>IF(Q5&gt;=R5,IF(Q5="",FALSE,TRUE))</formula>
    </cfRule>
  </conditionalFormatting>
  <conditionalFormatting sqref="Q7">
    <cfRule type="expression" dxfId="1966" priority="2703">
      <formula>OR(IF(Q7&lt;R7,TRUE),IF(AND(R7="",Q7&lt;&gt;""),TRUE))</formula>
    </cfRule>
    <cfRule type="expression" dxfId="1965" priority="2704">
      <formula>IF(Q7&gt;=R7,IF(Q7="",FALSE,TRUE))</formula>
    </cfRule>
  </conditionalFormatting>
  <conditionalFormatting sqref="CW17">
    <cfRule type="expression" dxfId="1964" priority="2701">
      <formula>OR(IF(CW17&lt;CX17,TRUE),IF(AND(CX17="",CW17&lt;&gt;""),TRUE))</formula>
    </cfRule>
    <cfRule type="expression" dxfId="1963" priority="2702">
      <formula>IF(CW17&gt;=CX17,IF(CW17="",FALSE,TRUE))</formula>
    </cfRule>
  </conditionalFormatting>
  <conditionalFormatting sqref="CW18">
    <cfRule type="expression" dxfId="1962" priority="2699">
      <formula>OR(IF(CW18&lt;CX18,TRUE),IF(AND(CX18="",CW18&lt;&gt;""),TRUE))</formula>
    </cfRule>
    <cfRule type="expression" dxfId="1961" priority="2700">
      <formula>IF(CW18&gt;=CX18,IF(CW18="",FALSE,TRUE))</formula>
    </cfRule>
  </conditionalFormatting>
  <conditionalFormatting sqref="CW19">
    <cfRule type="expression" dxfId="1960" priority="2697">
      <formula>OR(IF(CW19&lt;CX19,TRUE),IF(AND(CX19="",CW19&lt;&gt;""),TRUE))</formula>
    </cfRule>
    <cfRule type="expression" dxfId="1959" priority="2698">
      <formula>IF(CW19&gt;=CX19,IF(CW19="",FALSE,TRUE))</formula>
    </cfRule>
  </conditionalFormatting>
  <conditionalFormatting sqref="CW20">
    <cfRule type="expression" dxfId="1958" priority="2695">
      <formula>OR(IF(CW20&lt;CX20,TRUE),IF(AND(CX20="",CW20&lt;&gt;""),TRUE))</formula>
    </cfRule>
    <cfRule type="expression" dxfId="1957" priority="2696">
      <formula>IF(CW20&gt;=CX20,IF(CW20="",FALSE,TRUE))</formula>
    </cfRule>
  </conditionalFormatting>
  <conditionalFormatting sqref="CW21">
    <cfRule type="expression" dxfId="1956" priority="2693">
      <formula>OR(IF(CW21&lt;CX21,TRUE),IF(AND(CX21="",CW21&lt;&gt;""),TRUE))</formula>
    </cfRule>
    <cfRule type="expression" dxfId="1955" priority="2694">
      <formula>IF(CW21&gt;=CX21,IF(CW21="",FALSE,TRUE))</formula>
    </cfRule>
  </conditionalFormatting>
  <conditionalFormatting sqref="CW22">
    <cfRule type="expression" dxfId="1954" priority="2691">
      <formula>OR(IF(CW22&lt;CX22,TRUE),IF(AND(CX22="",CW22&lt;&gt;""),TRUE))</formula>
    </cfRule>
    <cfRule type="expression" dxfId="1953" priority="2692">
      <formula>IF(CW22&gt;=CX22,IF(CW22="",FALSE,TRUE))</formula>
    </cfRule>
  </conditionalFormatting>
  <conditionalFormatting sqref="CW23:CW25">
    <cfRule type="expression" dxfId="1952" priority="2689">
      <formula>OR(IF(CW23&lt;CX23,TRUE),IF(AND(CX23="",CW23&lt;&gt;""),TRUE))</formula>
    </cfRule>
    <cfRule type="expression" dxfId="1951" priority="2690">
      <formula>IF(CW23&gt;=CX23,IF(CW23="",FALSE,TRUE))</formula>
    </cfRule>
  </conditionalFormatting>
  <conditionalFormatting sqref="CW25">
    <cfRule type="expression" dxfId="1950" priority="2687">
      <formula>OR(IF(CW25&lt;CX25,TRUE),IF(AND(CX25="",CW25&lt;&gt;""),TRUE))</formula>
    </cfRule>
    <cfRule type="expression" dxfId="1949" priority="2688">
      <formula>IF(CW25&gt;=CX25,IF(CW25="",FALSE,TRUE))</formula>
    </cfRule>
  </conditionalFormatting>
  <conditionalFormatting sqref="CU25">
    <cfRule type="expression" dxfId="1948" priority="2685">
      <formula>OR(IF(CU25&lt;CV25,TRUE),IF(AND(CV25="",CU25&lt;&gt;""),TRUE))</formula>
    </cfRule>
    <cfRule type="expression" dxfId="1947" priority="2686">
      <formula>IF(CU25&gt;=CV25,IF(CU25="",FALSE,TRUE))</formula>
    </cfRule>
  </conditionalFormatting>
  <conditionalFormatting sqref="CU23:CU25">
    <cfRule type="expression" dxfId="1946" priority="2683">
      <formula>OR(IF(CU23&lt;CV23,TRUE),IF(AND(CV23="",CU23&lt;&gt;""),TRUE))</formula>
    </cfRule>
    <cfRule type="expression" dxfId="1945" priority="2684">
      <formula>IF(CU23&gt;=CV23,IF(CU23="",FALSE,TRUE))</formula>
    </cfRule>
  </conditionalFormatting>
  <conditionalFormatting sqref="CU22">
    <cfRule type="expression" dxfId="1944" priority="2681">
      <formula>OR(IF(CU22&lt;CV22,TRUE),IF(AND(CV22="",CU22&lt;&gt;""),TRUE))</formula>
    </cfRule>
    <cfRule type="expression" dxfId="1943" priority="2682">
      <formula>IF(CU22&gt;=CV22,IF(CU22="",FALSE,TRUE))</formula>
    </cfRule>
  </conditionalFormatting>
  <conditionalFormatting sqref="CU21">
    <cfRule type="expression" dxfId="1942" priority="2679">
      <formula>OR(IF(CU21&lt;CV21,TRUE),IF(AND(CV21="",CU21&lt;&gt;""),TRUE))</formula>
    </cfRule>
    <cfRule type="expression" dxfId="1941" priority="2680">
      <formula>IF(CU21&gt;=CV21,IF(CU21="",FALSE,TRUE))</formula>
    </cfRule>
  </conditionalFormatting>
  <conditionalFormatting sqref="CU20">
    <cfRule type="expression" dxfId="1940" priority="2677">
      <formula>OR(IF(CU20&lt;CV20,TRUE),IF(AND(CV20="",CU20&lt;&gt;""),TRUE))</formula>
    </cfRule>
    <cfRule type="expression" dxfId="1939" priority="2678">
      <formula>IF(CU20&gt;=CV20,IF(CU20="",FALSE,TRUE))</formula>
    </cfRule>
  </conditionalFormatting>
  <conditionalFormatting sqref="CU18">
    <cfRule type="expression" dxfId="1938" priority="2673">
      <formula>OR(IF(CU18&lt;CV18,TRUE),IF(AND(CV18="",CU18&lt;&gt;""),TRUE))</formula>
    </cfRule>
    <cfRule type="expression" dxfId="1937" priority="2674">
      <formula>IF(CU18&gt;=CV18,IF(CU18="",FALSE,TRUE))</formula>
    </cfRule>
  </conditionalFormatting>
  <conditionalFormatting sqref="CP17">
    <cfRule type="expression" dxfId="1936" priority="2669">
      <formula>OR(IF(CP17&lt;CQ17,TRUE),IF(AND(CQ17="",CP17&lt;&gt;""),TRUE))</formula>
    </cfRule>
    <cfRule type="expression" dxfId="1935" priority="2670">
      <formula>IF(CP17&gt;=CQ17,IF(CP17="",FALSE,TRUE))</formula>
    </cfRule>
  </conditionalFormatting>
  <conditionalFormatting sqref="CP19">
    <cfRule type="expression" dxfId="1934" priority="2665">
      <formula>OR(IF(CP19&lt;CQ19,TRUE),IF(AND(CQ19="",CP19&lt;&gt;""),TRUE))</formula>
    </cfRule>
    <cfRule type="expression" dxfId="1933" priority="2666">
      <formula>IF(CP19&gt;=CQ19,IF(CP19="",FALSE,TRUE))</formula>
    </cfRule>
  </conditionalFormatting>
  <conditionalFormatting sqref="CP21">
    <cfRule type="expression" dxfId="1932" priority="2661">
      <formula>OR(IF(CP21&lt;CQ21,TRUE),IF(AND(CQ21="",CP21&lt;&gt;""),TRUE))</formula>
    </cfRule>
    <cfRule type="expression" dxfId="1931" priority="2662">
      <formula>IF(CP21&gt;=CQ21,IF(CP21="",FALSE,TRUE))</formula>
    </cfRule>
  </conditionalFormatting>
  <conditionalFormatting sqref="CP23:CP25">
    <cfRule type="expression" dxfId="1930" priority="2657">
      <formula>OR(IF(CP23&lt;CQ23,TRUE),IF(AND(CQ23="",CP23&lt;&gt;""),TRUE))</formula>
    </cfRule>
    <cfRule type="expression" dxfId="1929" priority="2658">
      <formula>IF(CP23&gt;=CQ23,IF(CP23="",FALSE,TRUE))</formula>
    </cfRule>
  </conditionalFormatting>
  <conditionalFormatting sqref="CP25">
    <cfRule type="expression" dxfId="1928" priority="2655">
      <formula>OR(IF(CP25&lt;CQ25,TRUE),IF(AND(CQ25="",CP25&lt;&gt;""),TRUE))</formula>
    </cfRule>
    <cfRule type="expression" dxfId="1927" priority="2656">
      <formula>IF(CP25&gt;=CQ25,IF(CP25="",FALSE,TRUE))</formula>
    </cfRule>
  </conditionalFormatting>
  <conditionalFormatting sqref="CN25">
    <cfRule type="expression" dxfId="1926" priority="2653">
      <formula>OR(IF(CN25&lt;CO25,TRUE),IF(AND(CO25="",CN25&lt;&gt;""),TRUE))</formula>
    </cfRule>
    <cfRule type="expression" dxfId="1925" priority="2654">
      <formula>IF(CN25&gt;=CO25,IF(CN25="",FALSE,TRUE))</formula>
    </cfRule>
  </conditionalFormatting>
  <conditionalFormatting sqref="CN23:CN25">
    <cfRule type="expression" dxfId="1924" priority="2651">
      <formula>OR(IF(CN23&lt;CO23,TRUE),IF(AND(CO23="",CN23&lt;&gt;""),TRUE))</formula>
    </cfRule>
    <cfRule type="expression" dxfId="1923" priority="2652">
      <formula>IF(CN23&gt;=CO23,IF(CN23="",FALSE,TRUE))</formula>
    </cfRule>
  </conditionalFormatting>
  <conditionalFormatting sqref="CN22">
    <cfRule type="expression" dxfId="1922" priority="2649">
      <formula>OR(IF(CN22&lt;CO22,TRUE),IF(AND(CO22="",CN22&lt;&gt;""),TRUE))</formula>
    </cfRule>
    <cfRule type="expression" dxfId="1921" priority="2650">
      <formula>IF(CN22&gt;=CO22,IF(CN22="",FALSE,TRUE))</formula>
    </cfRule>
  </conditionalFormatting>
  <conditionalFormatting sqref="CN21">
    <cfRule type="expression" dxfId="1920" priority="2647">
      <formula>OR(IF(CN21&lt;CO21,TRUE),IF(AND(CO21="",CN21&lt;&gt;""),TRUE))</formula>
    </cfRule>
    <cfRule type="expression" dxfId="1919" priority="2648">
      <formula>IF(CN21&gt;=CO21,IF(CN21="",FALSE,TRUE))</formula>
    </cfRule>
  </conditionalFormatting>
  <conditionalFormatting sqref="CN20">
    <cfRule type="expression" dxfId="1918" priority="2645">
      <formula>OR(IF(CN20&lt;CO20,TRUE),IF(AND(CO20="",CN20&lt;&gt;""),TRUE))</formula>
    </cfRule>
    <cfRule type="expression" dxfId="1917" priority="2646">
      <formula>IF(CN20&gt;=CO20,IF(CN20="",FALSE,TRUE))</formula>
    </cfRule>
  </conditionalFormatting>
  <conditionalFormatting sqref="CN19">
    <cfRule type="expression" dxfId="1916" priority="2643">
      <formula>OR(IF(CN19&lt;CO19,TRUE),IF(AND(CO19="",CN19&lt;&gt;""),TRUE))</formula>
    </cfRule>
    <cfRule type="expression" dxfId="1915" priority="2644">
      <formula>IF(CN19&gt;=CO19,IF(CN19="",FALSE,TRUE))</formula>
    </cfRule>
  </conditionalFormatting>
  <conditionalFormatting sqref="CN18">
    <cfRule type="expression" dxfId="1914" priority="2641">
      <formula>OR(IF(CN18&lt;CO18,TRUE),IF(AND(CO18="",CN18&lt;&gt;""),TRUE))</formula>
    </cfRule>
    <cfRule type="expression" dxfId="1913" priority="2642">
      <formula>IF(CN18&gt;=CO18,IF(CN18="",FALSE,TRUE))</formula>
    </cfRule>
  </conditionalFormatting>
  <conditionalFormatting sqref="CN17">
    <cfRule type="expression" dxfId="1912" priority="2639">
      <formula>OR(IF(CN17&lt;CO17,TRUE),IF(AND(CO17="",CN17&lt;&gt;""),TRUE))</formula>
    </cfRule>
    <cfRule type="expression" dxfId="1911" priority="2640">
      <formula>IF(CN17&gt;=CO17,IF(CN17="",FALSE,TRUE))</formula>
    </cfRule>
  </conditionalFormatting>
  <conditionalFormatting sqref="CI17">
    <cfRule type="expression" dxfId="1910" priority="2637">
      <formula>OR(IF(CI17&lt;CJ17,TRUE),IF(AND(CJ17="",CI17&lt;&gt;""),TRUE))</formula>
    </cfRule>
    <cfRule type="expression" dxfId="1909" priority="2638">
      <formula>IF(CI17&gt;=CJ17,IF(CI17="",FALSE,TRUE))</formula>
    </cfRule>
  </conditionalFormatting>
  <conditionalFormatting sqref="CI18">
    <cfRule type="expression" dxfId="1908" priority="2635">
      <formula>OR(IF(CI18&lt;CJ18,TRUE),IF(AND(CJ18="",CI18&lt;&gt;""),TRUE))</formula>
    </cfRule>
    <cfRule type="expression" dxfId="1907" priority="2636">
      <formula>IF(CI18&gt;=CJ18,IF(CI18="",FALSE,TRUE))</formula>
    </cfRule>
  </conditionalFormatting>
  <conditionalFormatting sqref="CI19">
    <cfRule type="expression" dxfId="1906" priority="2633">
      <formula>OR(IF(CI19&lt;CJ19,TRUE),IF(AND(CJ19="",CI19&lt;&gt;""),TRUE))</formula>
    </cfRule>
    <cfRule type="expression" dxfId="1905" priority="2634">
      <formula>IF(CI19&gt;=CJ19,IF(CI19="",FALSE,TRUE))</formula>
    </cfRule>
  </conditionalFormatting>
  <conditionalFormatting sqref="CI20">
    <cfRule type="expression" dxfId="1904" priority="2631">
      <formula>OR(IF(CI20&lt;CJ20,TRUE),IF(AND(CJ20="",CI20&lt;&gt;""),TRUE))</formula>
    </cfRule>
    <cfRule type="expression" dxfId="1903" priority="2632">
      <formula>IF(CI20&gt;=CJ20,IF(CI20="",FALSE,TRUE))</formula>
    </cfRule>
  </conditionalFormatting>
  <conditionalFormatting sqref="CI21">
    <cfRule type="expression" dxfId="1902" priority="2629">
      <formula>OR(IF(CI21&lt;CJ21,TRUE),IF(AND(CJ21="",CI21&lt;&gt;""),TRUE))</formula>
    </cfRule>
    <cfRule type="expression" dxfId="1901" priority="2630">
      <formula>IF(CI21&gt;=CJ21,IF(CI21="",FALSE,TRUE))</formula>
    </cfRule>
  </conditionalFormatting>
  <conditionalFormatting sqref="CI22">
    <cfRule type="expression" dxfId="1900" priority="2627">
      <formula>OR(IF(CI22&lt;CJ22,TRUE),IF(AND(CJ22="",CI22&lt;&gt;""),TRUE))</formula>
    </cfRule>
    <cfRule type="expression" dxfId="1899" priority="2628">
      <formula>IF(CI22&gt;=CJ22,IF(CI22="",FALSE,TRUE))</formula>
    </cfRule>
  </conditionalFormatting>
  <conditionalFormatting sqref="CI23:CI25">
    <cfRule type="expression" dxfId="1898" priority="2625">
      <formula>OR(IF(CI23&lt;CJ23,TRUE),IF(AND(CJ23="",CI23&lt;&gt;""),TRUE))</formula>
    </cfRule>
    <cfRule type="expression" dxfId="1897" priority="2626">
      <formula>IF(CI23&gt;=CJ23,IF(CI23="",FALSE,TRUE))</formula>
    </cfRule>
  </conditionalFormatting>
  <conditionalFormatting sqref="CG23:CG25">
    <cfRule type="expression" dxfId="1896" priority="2619">
      <formula>OR(IF(CG23&lt;CH23,TRUE),IF(AND(CH23="",CG23&lt;&gt;""),TRUE))</formula>
    </cfRule>
    <cfRule type="expression" dxfId="1895" priority="2620">
      <formula>IF(CG23&gt;=CH23,IF(CG23="",FALSE,TRUE))</formula>
    </cfRule>
  </conditionalFormatting>
  <conditionalFormatting sqref="CG22">
    <cfRule type="expression" dxfId="1894" priority="2617">
      <formula>OR(IF(CG22&lt;CH22,TRUE),IF(AND(CH22="",CG22&lt;&gt;""),TRUE))</formula>
    </cfRule>
    <cfRule type="expression" dxfId="1893" priority="2618">
      <formula>IF(CG22&gt;=CH22,IF(CG22="",FALSE,TRUE))</formula>
    </cfRule>
  </conditionalFormatting>
  <conditionalFormatting sqref="CG21">
    <cfRule type="expression" dxfId="1892" priority="2615">
      <formula>OR(IF(CG21&lt;CH21,TRUE),IF(AND(CH21="",CG21&lt;&gt;""),TRUE))</formula>
    </cfRule>
    <cfRule type="expression" dxfId="1891" priority="2616">
      <formula>IF(CG21&gt;=CH21,IF(CG21="",FALSE,TRUE))</formula>
    </cfRule>
  </conditionalFormatting>
  <conditionalFormatting sqref="CG20">
    <cfRule type="expression" dxfId="1890" priority="2613">
      <formula>OR(IF(CG20&lt;CH20,TRUE),IF(AND(CH20="",CG20&lt;&gt;""),TRUE))</formula>
    </cfRule>
    <cfRule type="expression" dxfId="1889" priority="2614">
      <formula>IF(CG20&gt;=CH20,IF(CG20="",FALSE,TRUE))</formula>
    </cfRule>
  </conditionalFormatting>
  <conditionalFormatting sqref="CG19">
    <cfRule type="expression" dxfId="1888" priority="2611">
      <formula>OR(IF(CG19&lt;CH19,TRUE),IF(AND(CH19="",CG19&lt;&gt;""),TRUE))</formula>
    </cfRule>
    <cfRule type="expression" dxfId="1887" priority="2612">
      <formula>IF(CG19&gt;=CH19,IF(CG19="",FALSE,TRUE))</formula>
    </cfRule>
  </conditionalFormatting>
  <conditionalFormatting sqref="CG18">
    <cfRule type="expression" dxfId="1886" priority="2609">
      <formula>OR(IF(CG18&lt;CH18,TRUE),IF(AND(CH18="",CG18&lt;&gt;""),TRUE))</formula>
    </cfRule>
    <cfRule type="expression" dxfId="1885" priority="2610">
      <formula>IF(CG18&gt;=CH18,IF(CG18="",FALSE,TRUE))</formula>
    </cfRule>
  </conditionalFormatting>
  <conditionalFormatting sqref="CG17">
    <cfRule type="expression" dxfId="1884" priority="2607">
      <formula>OR(IF(CG17&lt;CH17,TRUE),IF(AND(CH17="",CG17&lt;&gt;""),TRUE))</formula>
    </cfRule>
    <cfRule type="expression" dxfId="1883" priority="2608">
      <formula>IF(CG17&gt;=CH17,IF(CG17="",FALSE,TRUE))</formula>
    </cfRule>
  </conditionalFormatting>
  <conditionalFormatting sqref="CB17">
    <cfRule type="expression" dxfId="1882" priority="2605">
      <formula>OR(IF(CB17&lt;CC17,TRUE),IF(AND(CC17="",CB17&lt;&gt;""),TRUE))</formula>
    </cfRule>
    <cfRule type="expression" dxfId="1881" priority="2606">
      <formula>IF(CB17&gt;=CC17,IF(CB17="",FALSE,TRUE))</formula>
    </cfRule>
  </conditionalFormatting>
  <conditionalFormatting sqref="CB18">
    <cfRule type="expression" dxfId="1880" priority="2603">
      <formula>OR(IF(CB18&lt;CC18,TRUE),IF(AND(CC18="",CB18&lt;&gt;""),TRUE))</formula>
    </cfRule>
    <cfRule type="expression" dxfId="1879" priority="2604">
      <formula>IF(CB18&gt;=CC18,IF(CB18="",FALSE,TRUE))</formula>
    </cfRule>
  </conditionalFormatting>
  <conditionalFormatting sqref="CB19">
    <cfRule type="expression" dxfId="1878" priority="2601">
      <formula>OR(IF(CB19&lt;CC19,TRUE),IF(AND(CC19="",CB19&lt;&gt;""),TRUE))</formula>
    </cfRule>
    <cfRule type="expression" dxfId="1877" priority="2602">
      <formula>IF(CB19&gt;=CC19,IF(CB19="",FALSE,TRUE))</formula>
    </cfRule>
  </conditionalFormatting>
  <conditionalFormatting sqref="CB20">
    <cfRule type="expression" dxfId="1876" priority="2599">
      <formula>OR(IF(CB20&lt;CC20,TRUE),IF(AND(CC20="",CB20&lt;&gt;""),TRUE))</formula>
    </cfRule>
    <cfRule type="expression" dxfId="1875" priority="2600">
      <formula>IF(CB20&gt;=CC20,IF(CB20="",FALSE,TRUE))</formula>
    </cfRule>
  </conditionalFormatting>
  <conditionalFormatting sqref="CB21">
    <cfRule type="expression" dxfId="1874" priority="2597">
      <formula>OR(IF(CB21&lt;CC21,TRUE),IF(AND(CC21="",CB21&lt;&gt;""),TRUE))</formula>
    </cfRule>
    <cfRule type="expression" dxfId="1873" priority="2598">
      <formula>IF(CB21&gt;=CC21,IF(CB21="",FALSE,TRUE))</formula>
    </cfRule>
  </conditionalFormatting>
  <conditionalFormatting sqref="CB22">
    <cfRule type="expression" dxfId="1872" priority="2595">
      <formula>OR(IF(CB22&lt;CC22,TRUE),IF(AND(CC22="",CB22&lt;&gt;""),TRUE))</formula>
    </cfRule>
    <cfRule type="expression" dxfId="1871" priority="2596">
      <formula>IF(CB22&gt;=CC22,IF(CB22="",FALSE,TRUE))</formula>
    </cfRule>
  </conditionalFormatting>
  <conditionalFormatting sqref="CB23:CB25">
    <cfRule type="expression" dxfId="1870" priority="2593">
      <formula>OR(IF(CB23&lt;CC23,TRUE),IF(AND(CC23="",CB23&lt;&gt;""),TRUE))</formula>
    </cfRule>
    <cfRule type="expression" dxfId="1869" priority="2594">
      <formula>IF(CB23&gt;=CC23,IF(CB23="",FALSE,TRUE))</formula>
    </cfRule>
  </conditionalFormatting>
  <conditionalFormatting sqref="CB25">
    <cfRule type="expression" dxfId="1868" priority="2591">
      <formula>OR(IF(CB25&lt;CC25,TRUE),IF(AND(CC25="",CB25&lt;&gt;""),TRUE))</formula>
    </cfRule>
    <cfRule type="expression" dxfId="1867" priority="2592">
      <formula>IF(CB25&gt;=CC25,IF(CB25="",FALSE,TRUE))</formula>
    </cfRule>
  </conditionalFormatting>
  <conditionalFormatting sqref="BZ25">
    <cfRule type="expression" dxfId="1866" priority="2589">
      <formula>OR(IF(BZ25&lt;CA25,TRUE),IF(AND(CA25="",BZ25&lt;&gt;""),TRUE))</formula>
    </cfRule>
    <cfRule type="expression" dxfId="1865" priority="2590">
      <formula>IF(BZ25&gt;=CA25,IF(BZ25="",FALSE,TRUE))</formula>
    </cfRule>
  </conditionalFormatting>
  <conditionalFormatting sqref="BZ23:BZ25">
    <cfRule type="expression" dxfId="1864" priority="2587">
      <formula>OR(IF(BZ23&lt;CA23,TRUE),IF(AND(CA23="",BZ23&lt;&gt;""),TRUE))</formula>
    </cfRule>
    <cfRule type="expression" dxfId="1863" priority="2588">
      <formula>IF(BZ23&gt;=CA23,IF(BZ23="",FALSE,TRUE))</formula>
    </cfRule>
  </conditionalFormatting>
  <conditionalFormatting sqref="BZ22">
    <cfRule type="expression" dxfId="1862" priority="2585">
      <formula>OR(IF(BZ22&lt;CA22,TRUE),IF(AND(CA22="",BZ22&lt;&gt;""),TRUE))</formula>
    </cfRule>
    <cfRule type="expression" dxfId="1861" priority="2586">
      <formula>IF(BZ22&gt;=CA22,IF(BZ22="",FALSE,TRUE))</formula>
    </cfRule>
  </conditionalFormatting>
  <conditionalFormatting sqref="BZ21">
    <cfRule type="expression" dxfId="1860" priority="2583">
      <formula>OR(IF(BZ21&lt;CA21,TRUE),IF(AND(CA21="",BZ21&lt;&gt;""),TRUE))</formula>
    </cfRule>
    <cfRule type="expression" dxfId="1859" priority="2584">
      <formula>IF(BZ21&gt;=CA21,IF(BZ21="",FALSE,TRUE))</formula>
    </cfRule>
  </conditionalFormatting>
  <conditionalFormatting sqref="BU19">
    <cfRule type="expression" dxfId="1858" priority="2569">
      <formula>OR(IF(BU19&lt;BV19,TRUE),IF(AND(BV19="",BU19&lt;&gt;""),TRUE))</formula>
    </cfRule>
    <cfRule type="expression" dxfId="1857" priority="2570">
      <formula>IF(BU19&gt;=BV19,IF(BU19="",FALSE,TRUE))</formula>
    </cfRule>
  </conditionalFormatting>
  <conditionalFormatting sqref="BU20">
    <cfRule type="expression" dxfId="1856" priority="2567">
      <formula>OR(IF(BU20&lt;BV20,TRUE),IF(AND(BV20="",BU20&lt;&gt;""),TRUE))</formula>
    </cfRule>
    <cfRule type="expression" dxfId="1855" priority="2568">
      <formula>IF(BU20&gt;=BV20,IF(BU20="",FALSE,TRUE))</formula>
    </cfRule>
  </conditionalFormatting>
  <conditionalFormatting sqref="BU21">
    <cfRule type="expression" dxfId="1854" priority="2565">
      <formula>OR(IF(BU21&lt;BV21,TRUE),IF(AND(BV21="",BU21&lt;&gt;""),TRUE))</formula>
    </cfRule>
    <cfRule type="expression" dxfId="1853" priority="2566">
      <formula>IF(BU21&gt;=BV21,IF(BU21="",FALSE,TRUE))</formula>
    </cfRule>
  </conditionalFormatting>
  <conditionalFormatting sqref="BU22">
    <cfRule type="expression" dxfId="1852" priority="2563">
      <formula>OR(IF(BU22&lt;BV22,TRUE),IF(AND(BV22="",BU22&lt;&gt;""),TRUE))</formula>
    </cfRule>
    <cfRule type="expression" dxfId="1851" priority="2564">
      <formula>IF(BU22&gt;=BV22,IF(BU22="",FALSE,TRUE))</formula>
    </cfRule>
  </conditionalFormatting>
  <conditionalFormatting sqref="BU23:BU25">
    <cfRule type="expression" dxfId="1850" priority="2561">
      <formula>OR(IF(BU23&lt;BV23,TRUE),IF(AND(BV23="",BU23&lt;&gt;""),TRUE))</formula>
    </cfRule>
    <cfRule type="expression" dxfId="1849" priority="2562">
      <formula>IF(BU23&gt;=BV23,IF(BU23="",FALSE,TRUE))</formula>
    </cfRule>
  </conditionalFormatting>
  <conditionalFormatting sqref="BS23:BS25">
    <cfRule type="expression" dxfId="1848" priority="2555">
      <formula>OR(IF(BS23&lt;BT23,TRUE),IF(AND(BT23="",BS23&lt;&gt;""),TRUE))</formula>
    </cfRule>
    <cfRule type="expression" dxfId="1847" priority="2556">
      <formula>IF(BS23&gt;=BT23,IF(BS23="",FALSE,TRUE))</formula>
    </cfRule>
  </conditionalFormatting>
  <conditionalFormatting sqref="BS22">
    <cfRule type="expression" dxfId="1846" priority="2553">
      <formula>OR(IF(BS22&lt;BT22,TRUE),IF(AND(BT22="",BS22&lt;&gt;""),TRUE))</formula>
    </cfRule>
    <cfRule type="expression" dxfId="1845" priority="2554">
      <formula>IF(BS22&gt;=BT22,IF(BS22="",FALSE,TRUE))</formula>
    </cfRule>
  </conditionalFormatting>
  <conditionalFormatting sqref="BS21">
    <cfRule type="expression" dxfId="1844" priority="2551">
      <formula>OR(IF(BS21&lt;BT21,TRUE),IF(AND(BT21="",BS21&lt;&gt;""),TRUE))</formula>
    </cfRule>
    <cfRule type="expression" dxfId="1843" priority="2552">
      <formula>IF(BS21&gt;=BT21,IF(BS21="",FALSE,TRUE))</formula>
    </cfRule>
  </conditionalFormatting>
  <conditionalFormatting sqref="BS20">
    <cfRule type="expression" dxfId="1842" priority="2549">
      <formula>OR(IF(BS20&lt;BT20,TRUE),IF(AND(BT20="",BS20&lt;&gt;""),TRUE))</formula>
    </cfRule>
    <cfRule type="expression" dxfId="1841" priority="2550">
      <formula>IF(BS20&gt;=BT20,IF(BS20="",FALSE,TRUE))</formula>
    </cfRule>
  </conditionalFormatting>
  <conditionalFormatting sqref="BS19">
    <cfRule type="expression" dxfId="1840" priority="2547">
      <formula>OR(IF(BS19&lt;BT19,TRUE),IF(AND(BT19="",BS19&lt;&gt;""),TRUE))</formula>
    </cfRule>
    <cfRule type="expression" dxfId="1839" priority="2548">
      <formula>IF(BS19&gt;=BT19,IF(BS19="",FALSE,TRUE))</formula>
    </cfRule>
  </conditionalFormatting>
  <conditionalFormatting sqref="BS18">
    <cfRule type="expression" dxfId="1838" priority="2545">
      <formula>OR(IF(BS18&lt;BT18,TRUE),IF(AND(BT18="",BS18&lt;&gt;""),TRUE))</formula>
    </cfRule>
    <cfRule type="expression" dxfId="1837" priority="2546">
      <formula>IF(BS18&gt;=BT18,IF(BS18="",FALSE,TRUE))</formula>
    </cfRule>
  </conditionalFormatting>
  <conditionalFormatting sqref="BN18">
    <cfRule type="expression" dxfId="1836" priority="2539">
      <formula>OR(IF(BN18&lt;BO18,TRUE),IF(AND(BO18="",BN18&lt;&gt;""),TRUE))</formula>
    </cfRule>
    <cfRule type="expression" dxfId="1835" priority="2540">
      <formula>IF(BN18&gt;=BO18,IF(BN18="",FALSE,TRUE))</formula>
    </cfRule>
  </conditionalFormatting>
  <conditionalFormatting sqref="BN19">
    <cfRule type="expression" dxfId="1834" priority="2537">
      <formula>OR(IF(BN19&lt;BO19,TRUE),IF(AND(BO19="",BN19&lt;&gt;""),TRUE))</formula>
    </cfRule>
    <cfRule type="expression" dxfId="1833" priority="2538">
      <formula>IF(BN19&gt;=BO19,IF(BN19="",FALSE,TRUE))</formula>
    </cfRule>
  </conditionalFormatting>
  <conditionalFormatting sqref="BN20">
    <cfRule type="expression" dxfId="1832" priority="2535">
      <formula>OR(IF(BN20&lt;BO20,TRUE),IF(AND(BO20="",BN20&lt;&gt;""),TRUE))</formula>
    </cfRule>
    <cfRule type="expression" dxfId="1831" priority="2536">
      <formula>IF(BN20&gt;=BO20,IF(BN20="",FALSE,TRUE))</formula>
    </cfRule>
  </conditionalFormatting>
  <conditionalFormatting sqref="BN25">
    <cfRule type="expression" dxfId="1830" priority="2527">
      <formula>OR(IF(BN25&lt;BO25,TRUE),IF(AND(BO25="",BN25&lt;&gt;""),TRUE))</formula>
    </cfRule>
    <cfRule type="expression" dxfId="1829" priority="2528">
      <formula>IF(BN25&gt;=BO25,IF(BN25="",FALSE,TRUE))</formula>
    </cfRule>
  </conditionalFormatting>
  <conditionalFormatting sqref="BL25">
    <cfRule type="expression" dxfId="1828" priority="2525">
      <formula>OR(IF(BL25&lt;BM25,TRUE),IF(AND(BM25="",BL25&lt;&gt;""),TRUE))</formula>
    </cfRule>
    <cfRule type="expression" dxfId="1827" priority="2526">
      <formula>IF(BL25&gt;=BM25,IF(BL25="",FALSE,TRUE))</formula>
    </cfRule>
  </conditionalFormatting>
  <conditionalFormatting sqref="BL23:BL25">
    <cfRule type="expression" dxfId="1826" priority="2523">
      <formula>OR(IF(BL23&lt;BM23,TRUE),IF(AND(BM23="",BL23&lt;&gt;""),TRUE))</formula>
    </cfRule>
    <cfRule type="expression" dxfId="1825" priority="2524">
      <formula>IF(BL23&gt;=BM23,IF(BL23="",FALSE,TRUE))</formula>
    </cfRule>
  </conditionalFormatting>
  <conditionalFormatting sqref="BL22">
    <cfRule type="expression" dxfId="1824" priority="2521">
      <formula>OR(IF(BL22&lt;BM22,TRUE),IF(AND(BM22="",BL22&lt;&gt;""),TRUE))</formula>
    </cfRule>
    <cfRule type="expression" dxfId="1823" priority="2522">
      <formula>IF(BL22&gt;=BM22,IF(BL22="",FALSE,TRUE))</formula>
    </cfRule>
  </conditionalFormatting>
  <conditionalFormatting sqref="BL21">
    <cfRule type="expression" dxfId="1822" priority="2519">
      <formula>OR(IF(BL21&lt;BM21,TRUE),IF(AND(BM21="",BL21&lt;&gt;""),TRUE))</formula>
    </cfRule>
    <cfRule type="expression" dxfId="1821" priority="2520">
      <formula>IF(BL21&gt;=BM21,IF(BL21="",FALSE,TRUE))</formula>
    </cfRule>
  </conditionalFormatting>
  <conditionalFormatting sqref="BL20">
    <cfRule type="expression" dxfId="1820" priority="2517">
      <formula>OR(IF(BL20&lt;BM20,TRUE),IF(AND(BM20="",BL20&lt;&gt;""),TRUE))</formula>
    </cfRule>
    <cfRule type="expression" dxfId="1819" priority="2518">
      <formula>IF(BL20&gt;=BM20,IF(BL20="",FALSE,TRUE))</formula>
    </cfRule>
  </conditionalFormatting>
  <conditionalFormatting sqref="BL19">
    <cfRule type="expression" dxfId="1818" priority="2515">
      <formula>OR(IF(BL19&lt;BM19,TRUE),IF(AND(BM19="",BL19&lt;&gt;""),TRUE))</formula>
    </cfRule>
    <cfRule type="expression" dxfId="1817" priority="2516">
      <formula>IF(BL19&gt;=BM19,IF(BL19="",FALSE,TRUE))</formula>
    </cfRule>
  </conditionalFormatting>
  <conditionalFormatting sqref="BL18">
    <cfRule type="expression" dxfId="1816" priority="2513">
      <formula>OR(IF(BL18&lt;BM18,TRUE),IF(AND(BM18="",BL18&lt;&gt;""),TRUE))</formula>
    </cfRule>
    <cfRule type="expression" dxfId="1815" priority="2514">
      <formula>IF(BL18&gt;=BM18,IF(BL18="",FALSE,TRUE))</formula>
    </cfRule>
  </conditionalFormatting>
  <conditionalFormatting sqref="BG18">
    <cfRule type="expression" dxfId="1814" priority="2507">
      <formula>OR(IF(BG18&lt;BH18,TRUE),IF(AND(BH18="",BG18&lt;&gt;""),TRUE))</formula>
    </cfRule>
    <cfRule type="expression" dxfId="1813" priority="2508">
      <formula>IF(BG18&gt;=BH18,IF(BG18="",FALSE,TRUE))</formula>
    </cfRule>
  </conditionalFormatting>
  <conditionalFormatting sqref="BG19">
    <cfRule type="expression" dxfId="1812" priority="2505">
      <formula>OR(IF(BG19&lt;BH19,TRUE),IF(AND(BH19="",BG19&lt;&gt;""),TRUE))</formula>
    </cfRule>
    <cfRule type="expression" dxfId="1811" priority="2506">
      <formula>IF(BG19&gt;=BH19,IF(BG19="",FALSE,TRUE))</formula>
    </cfRule>
  </conditionalFormatting>
  <conditionalFormatting sqref="BG20">
    <cfRule type="expression" dxfId="1810" priority="2503">
      <formula>OR(IF(BG20&lt;BH20,TRUE),IF(AND(BH20="",BG20&lt;&gt;""),TRUE))</formula>
    </cfRule>
    <cfRule type="expression" dxfId="1809" priority="2504">
      <formula>IF(BG20&gt;=BH20,IF(BG20="",FALSE,TRUE))</formula>
    </cfRule>
  </conditionalFormatting>
  <conditionalFormatting sqref="BG21">
    <cfRule type="expression" dxfId="1808" priority="2501">
      <formula>OR(IF(BG21&lt;BH21,TRUE),IF(AND(BH21="",BG21&lt;&gt;""),TRUE))</formula>
    </cfRule>
    <cfRule type="expression" dxfId="1807" priority="2502">
      <formula>IF(BG21&gt;=BH21,IF(BG21="",FALSE,TRUE))</formula>
    </cfRule>
  </conditionalFormatting>
  <conditionalFormatting sqref="BG25">
    <cfRule type="expression" dxfId="1806" priority="2495">
      <formula>OR(IF(BG25&lt;BH25,TRUE),IF(AND(BH25="",BG25&lt;&gt;""),TRUE))</formula>
    </cfRule>
    <cfRule type="expression" dxfId="1805" priority="2496">
      <formula>IF(BG25&gt;=BH25,IF(BG25="",FALSE,TRUE))</formula>
    </cfRule>
  </conditionalFormatting>
  <conditionalFormatting sqref="BE25">
    <cfRule type="expression" dxfId="1804" priority="2493">
      <formula>OR(IF(BE25&lt;BF25,TRUE),IF(AND(BF25="",BE25&lt;&gt;""),TRUE))</formula>
    </cfRule>
    <cfRule type="expression" dxfId="1803" priority="2494">
      <formula>IF(BE25&gt;=BF25,IF(BE25="",FALSE,TRUE))</formula>
    </cfRule>
  </conditionalFormatting>
  <conditionalFormatting sqref="BE23:BE25">
    <cfRule type="expression" dxfId="1802" priority="2491">
      <formula>OR(IF(BE23&lt;BF23,TRUE),IF(AND(BF23="",BE23&lt;&gt;""),TRUE))</formula>
    </cfRule>
    <cfRule type="expression" dxfId="1801" priority="2492">
      <formula>IF(BE23&gt;=BF23,IF(BE23="",FALSE,TRUE))</formula>
    </cfRule>
  </conditionalFormatting>
  <conditionalFormatting sqref="BE22">
    <cfRule type="expression" dxfId="1800" priority="2489">
      <formula>OR(IF(BE22&lt;BF22,TRUE),IF(AND(BF22="",BE22&lt;&gt;""),TRUE))</formula>
    </cfRule>
    <cfRule type="expression" dxfId="1799" priority="2490">
      <formula>IF(BE22&gt;=BF22,IF(BE22="",FALSE,TRUE))</formula>
    </cfRule>
  </conditionalFormatting>
  <conditionalFormatting sqref="BE21">
    <cfRule type="expression" dxfId="1798" priority="2487">
      <formula>OR(IF(BE21&lt;BF21,TRUE),IF(AND(BF21="",BE21&lt;&gt;""),TRUE))</formula>
    </cfRule>
    <cfRule type="expression" dxfId="1797" priority="2488">
      <formula>IF(BE21&gt;=BF21,IF(BE21="",FALSE,TRUE))</formula>
    </cfRule>
  </conditionalFormatting>
  <conditionalFormatting sqref="BE20">
    <cfRule type="expression" dxfId="1796" priority="2485">
      <formula>OR(IF(BE20&lt;BF20,TRUE),IF(AND(BF20="",BE20&lt;&gt;""),TRUE))</formula>
    </cfRule>
    <cfRule type="expression" dxfId="1795" priority="2486">
      <formula>IF(BE20&gt;=BF20,IF(BE20="",FALSE,TRUE))</formula>
    </cfRule>
  </conditionalFormatting>
  <conditionalFormatting sqref="BE17">
    <cfRule type="expression" dxfId="1794" priority="2479">
      <formula>OR(IF(BE17&lt;BF17,TRUE),IF(AND(BF17="",BE17&lt;&gt;""),TRUE))</formula>
    </cfRule>
    <cfRule type="expression" dxfId="1793" priority="2480">
      <formula>IF(BE17&gt;=BF17,IF(BE17="",FALSE,TRUE))</formula>
    </cfRule>
  </conditionalFormatting>
  <conditionalFormatting sqref="AZ17">
    <cfRule type="expression" dxfId="1792" priority="2477">
      <formula>OR(IF(AZ17&lt;BA17,TRUE),IF(AND(BA17="",AZ17&lt;&gt;""),TRUE))</formula>
    </cfRule>
    <cfRule type="expression" dxfId="1791" priority="2478">
      <formula>IF(AZ17&gt;=BA17,IF(AZ17="",FALSE,TRUE))</formula>
    </cfRule>
  </conditionalFormatting>
  <conditionalFormatting sqref="AZ18">
    <cfRule type="expression" dxfId="1790" priority="2475">
      <formula>OR(IF(AZ18&lt;BA18,TRUE),IF(AND(BA18="",AZ18&lt;&gt;""),TRUE))</formula>
    </cfRule>
    <cfRule type="expression" dxfId="1789" priority="2476">
      <formula>IF(AZ18&gt;=BA18,IF(AZ18="",FALSE,TRUE))</formula>
    </cfRule>
  </conditionalFormatting>
  <conditionalFormatting sqref="AZ19">
    <cfRule type="expression" dxfId="1788" priority="2473">
      <formula>OR(IF(AZ19&lt;BA19,TRUE),IF(AND(BA19="",AZ19&lt;&gt;""),TRUE))</formula>
    </cfRule>
    <cfRule type="expression" dxfId="1787" priority="2474">
      <formula>IF(AZ19&gt;=BA19,IF(AZ19="",FALSE,TRUE))</formula>
    </cfRule>
  </conditionalFormatting>
  <conditionalFormatting sqref="AZ20">
    <cfRule type="expression" dxfId="1786" priority="2471">
      <formula>OR(IF(AZ20&lt;BA20,TRUE),IF(AND(BA20="",AZ20&lt;&gt;""),TRUE))</formula>
    </cfRule>
    <cfRule type="expression" dxfId="1785" priority="2472">
      <formula>IF(AZ20&gt;=BA20,IF(AZ20="",FALSE,TRUE))</formula>
    </cfRule>
  </conditionalFormatting>
  <conditionalFormatting sqref="AZ21">
    <cfRule type="expression" dxfId="1784" priority="2469">
      <formula>OR(IF(AZ21&lt;BA21,TRUE),IF(AND(BA21="",AZ21&lt;&gt;""),TRUE))</formula>
    </cfRule>
    <cfRule type="expression" dxfId="1783" priority="2470">
      <formula>IF(AZ21&gt;=BA21,IF(AZ21="",FALSE,TRUE))</formula>
    </cfRule>
  </conditionalFormatting>
  <conditionalFormatting sqref="AZ22">
    <cfRule type="expression" dxfId="1782" priority="2467">
      <formula>OR(IF(AZ22&lt;BA22,TRUE),IF(AND(BA22="",AZ22&lt;&gt;""),TRUE))</formula>
    </cfRule>
    <cfRule type="expression" dxfId="1781" priority="2468">
      <formula>IF(AZ22&gt;=BA22,IF(AZ22="",FALSE,TRUE))</formula>
    </cfRule>
  </conditionalFormatting>
  <conditionalFormatting sqref="AZ23:AZ24">
    <cfRule type="expression" dxfId="1780" priority="2465">
      <formula>OR(IF(AZ23&lt;BA23,TRUE),IF(AND(BA23="",AZ23&lt;&gt;""),TRUE))</formula>
    </cfRule>
    <cfRule type="expression" dxfId="1779" priority="2466">
      <formula>IF(AZ23&gt;=BA23,IF(AZ23="",FALSE,TRUE))</formula>
    </cfRule>
  </conditionalFormatting>
  <conditionalFormatting sqref="AX23:AX24">
    <cfRule type="expression" dxfId="1778" priority="2463">
      <formula>OR(IF(AX23&lt;AY23,TRUE),IF(AND(AY23="",AX23&lt;&gt;""),TRUE))</formula>
    </cfRule>
    <cfRule type="expression" dxfId="1777" priority="2464">
      <formula>IF(AX23&gt;=AY23,IF(AX23="",FALSE,TRUE))</formula>
    </cfRule>
  </conditionalFormatting>
  <conditionalFormatting sqref="AX22">
    <cfRule type="expression" dxfId="1776" priority="2461">
      <formula>OR(IF(AX22&lt;AY22,TRUE),IF(AND(AY22="",AX22&lt;&gt;""),TRUE))</formula>
    </cfRule>
    <cfRule type="expression" dxfId="1775" priority="2462">
      <formula>IF(AX22&gt;=AY22,IF(AX22="",FALSE,TRUE))</formula>
    </cfRule>
  </conditionalFormatting>
  <conditionalFormatting sqref="AX19">
    <cfRule type="expression" dxfId="1774" priority="2455">
      <formula>OR(IF(AX19&lt;AY19,TRUE),IF(AND(AY19="",AX19&lt;&gt;""),TRUE))</formula>
    </cfRule>
    <cfRule type="expression" dxfId="1773" priority="2456">
      <formula>IF(AX19&gt;=AY19,IF(AX19="",FALSE,TRUE))</formula>
    </cfRule>
  </conditionalFormatting>
  <conditionalFormatting sqref="AX18">
    <cfRule type="expression" dxfId="1772" priority="2453">
      <formula>OR(IF(AX18&lt;AY18,TRUE),IF(AND(AY18="",AX18&lt;&gt;""),TRUE))</formula>
    </cfRule>
    <cfRule type="expression" dxfId="1771" priority="2454">
      <formula>IF(AX18&gt;=AY18,IF(AX18="",FALSE,TRUE))</formula>
    </cfRule>
  </conditionalFormatting>
  <conditionalFormatting sqref="AX17">
    <cfRule type="expression" dxfId="1770" priority="2451">
      <formula>OR(IF(AX17&lt;AY17,TRUE),IF(AND(AY17="",AX17&lt;&gt;""),TRUE))</formula>
    </cfRule>
    <cfRule type="expression" dxfId="1769" priority="2452">
      <formula>IF(AX17&gt;=AY17,IF(AX17="",FALSE,TRUE))</formula>
    </cfRule>
  </conditionalFormatting>
  <conditionalFormatting sqref="AS17">
    <cfRule type="expression" dxfId="1768" priority="2449">
      <formula>OR(IF(AS17&lt;AT17,TRUE),IF(AND(AT17="",AS17&lt;&gt;""),TRUE))</formula>
    </cfRule>
    <cfRule type="expression" dxfId="1767" priority="2450">
      <formula>IF(AS17&gt;=AT17,IF(AS17="",FALSE,TRUE))</formula>
    </cfRule>
  </conditionalFormatting>
  <conditionalFormatting sqref="AS20">
    <cfRule type="expression" dxfId="1766" priority="2443">
      <formula>OR(IF(AS20&lt;AT20,TRUE),IF(AND(AT20="",AS20&lt;&gt;""),TRUE))</formula>
    </cfRule>
    <cfRule type="expression" dxfId="1765" priority="2444">
      <formula>IF(AS20&gt;=AT20,IF(AS20="",FALSE,TRUE))</formula>
    </cfRule>
  </conditionalFormatting>
  <conditionalFormatting sqref="AS21">
    <cfRule type="expression" dxfId="1764" priority="2441">
      <formula>OR(IF(AS21&lt;AT21,TRUE),IF(AND(AT21="",AS21&lt;&gt;""),TRUE))</formula>
    </cfRule>
    <cfRule type="expression" dxfId="1763" priority="2442">
      <formula>IF(AS21&gt;=AT21,IF(AS21="",FALSE,TRUE))</formula>
    </cfRule>
  </conditionalFormatting>
  <conditionalFormatting sqref="AS22">
    <cfRule type="expression" dxfId="1762" priority="2439">
      <formula>OR(IF(AS22&lt;AT22,TRUE),IF(AND(AT22="",AS22&lt;&gt;""),TRUE))</formula>
    </cfRule>
    <cfRule type="expression" dxfId="1761" priority="2440">
      <formula>IF(AS22&gt;=AT22,IF(AS22="",FALSE,TRUE))</formula>
    </cfRule>
  </conditionalFormatting>
  <conditionalFormatting sqref="AS23">
    <cfRule type="expression" dxfId="1760" priority="2437">
      <formula>OR(IF(AS23&lt;AT23,TRUE),IF(AND(AT23="",AS23&lt;&gt;""),TRUE))</formula>
    </cfRule>
    <cfRule type="expression" dxfId="1759" priority="2438">
      <formula>IF(AS23&gt;=AT23,IF(AS23="",FALSE,TRUE))</formula>
    </cfRule>
  </conditionalFormatting>
  <conditionalFormatting sqref="AQ23">
    <cfRule type="expression" dxfId="1758" priority="2435">
      <formula>OR(IF(AQ23&lt;AR23,TRUE),IF(AND(AR23="",AQ23&lt;&gt;""),TRUE))</formula>
    </cfRule>
    <cfRule type="expression" dxfId="1757" priority="2436">
      <formula>IF(AQ23&gt;=AR23,IF(AQ23="",FALSE,TRUE))</formula>
    </cfRule>
  </conditionalFormatting>
  <conditionalFormatting sqref="AQ22">
    <cfRule type="expression" dxfId="1756" priority="2433">
      <formula>OR(IF(AQ22&lt;AR22,TRUE),IF(AND(AR22="",AQ22&lt;&gt;""),TRUE))</formula>
    </cfRule>
    <cfRule type="expression" dxfId="1755" priority="2434">
      <formula>IF(AQ22&gt;=AR22,IF(AQ22="",FALSE,TRUE))</formula>
    </cfRule>
  </conditionalFormatting>
  <conditionalFormatting sqref="AQ18">
    <cfRule type="expression" dxfId="1754" priority="2425">
      <formula>OR(IF(AQ18&lt;AR18,TRUE),IF(AND(AR18="",AQ18&lt;&gt;""),TRUE))</formula>
    </cfRule>
    <cfRule type="expression" dxfId="1753" priority="2426">
      <formula>IF(AQ18&gt;=AR18,IF(AQ18="",FALSE,TRUE))</formula>
    </cfRule>
  </conditionalFormatting>
  <conditionalFormatting sqref="AQ17">
    <cfRule type="expression" dxfId="1752" priority="2423">
      <formula>OR(IF(AQ17&lt;AR17,TRUE),IF(AND(AR17="",AQ17&lt;&gt;""),TRUE))</formula>
    </cfRule>
    <cfRule type="expression" dxfId="1751" priority="2424">
      <formula>IF(AQ17&gt;=AR17,IF(AQ17="",FALSE,TRUE))</formula>
    </cfRule>
  </conditionalFormatting>
  <conditionalFormatting sqref="AL17">
    <cfRule type="expression" dxfId="1750" priority="2421">
      <formula>OR(IF(AL17&lt;AM17,TRUE),IF(AND(AM17="",AL17&lt;&gt;""),TRUE))</formula>
    </cfRule>
    <cfRule type="expression" dxfId="1749" priority="2422">
      <formula>IF(AL17&gt;=AM17,IF(AL17="",FALSE,TRUE))</formula>
    </cfRule>
  </conditionalFormatting>
  <conditionalFormatting sqref="AL18">
    <cfRule type="expression" dxfId="1748" priority="2419">
      <formula>OR(IF(AL18&lt;AM18,TRUE),IF(AND(AM18="",AL18&lt;&gt;""),TRUE))</formula>
    </cfRule>
    <cfRule type="expression" dxfId="1747" priority="2420">
      <formula>IF(AL18&gt;=AM18,IF(AL18="",FALSE,TRUE))</formula>
    </cfRule>
  </conditionalFormatting>
  <conditionalFormatting sqref="AL19">
    <cfRule type="expression" dxfId="1746" priority="2417">
      <formula>OR(IF(AL19&lt;AM19,TRUE),IF(AND(AM19="",AL19&lt;&gt;""),TRUE))</formula>
    </cfRule>
    <cfRule type="expression" dxfId="1745" priority="2418">
      <formula>IF(AL19&gt;=AM19,IF(AL19="",FALSE,TRUE))</formula>
    </cfRule>
  </conditionalFormatting>
  <conditionalFormatting sqref="AL20">
    <cfRule type="expression" dxfId="1744" priority="2415">
      <formula>OR(IF(AL20&lt;AM20,TRUE),IF(AND(AM20="",AL20&lt;&gt;""),TRUE))</formula>
    </cfRule>
    <cfRule type="expression" dxfId="1743" priority="2416">
      <formula>IF(AL20&gt;=AM20,IF(AL20="",FALSE,TRUE))</formula>
    </cfRule>
  </conditionalFormatting>
  <conditionalFormatting sqref="AL21">
    <cfRule type="expression" dxfId="1742" priority="2413">
      <formula>OR(IF(AL21&lt;AM21,TRUE),IF(AND(AM21="",AL21&lt;&gt;""),TRUE))</formula>
    </cfRule>
    <cfRule type="expression" dxfId="1741" priority="2414">
      <formula>IF(AL21&gt;=AM21,IF(AL21="",FALSE,TRUE))</formula>
    </cfRule>
  </conditionalFormatting>
  <conditionalFormatting sqref="AL22">
    <cfRule type="expression" dxfId="1740" priority="2411">
      <formula>OR(IF(AL22&lt;AM22,TRUE),IF(AND(AM22="",AL22&lt;&gt;""),TRUE))</formula>
    </cfRule>
    <cfRule type="expression" dxfId="1739" priority="2412">
      <formula>IF(AL22&gt;=AM22,IF(AL22="",FALSE,TRUE))</formula>
    </cfRule>
  </conditionalFormatting>
  <conditionalFormatting sqref="AJ22">
    <cfRule type="expression" dxfId="1738" priority="2409">
      <formula>OR(IF(AJ22&lt;AK22,TRUE),IF(AND(AK22="",AJ22&lt;&gt;""),TRUE))</formula>
    </cfRule>
    <cfRule type="expression" dxfId="1737" priority="2410">
      <formula>IF(AJ22&gt;=AK22,IF(AJ22="",FALSE,TRUE))</formula>
    </cfRule>
  </conditionalFormatting>
  <conditionalFormatting sqref="AJ18">
    <cfRule type="expression" dxfId="1736" priority="2401">
      <formula>OR(IF(AJ18&lt;AK18,TRUE),IF(AND(AK18="",AJ18&lt;&gt;""),TRUE))</formula>
    </cfRule>
    <cfRule type="expression" dxfId="1735" priority="2402">
      <formula>IF(AJ18&gt;=AK18,IF(AJ18="",FALSE,TRUE))</formula>
    </cfRule>
  </conditionalFormatting>
  <conditionalFormatting sqref="AJ17">
    <cfRule type="expression" dxfId="1734" priority="2399">
      <formula>OR(IF(AJ17&lt;AK17,TRUE),IF(AND(AK17="",AJ17&lt;&gt;""),TRUE))</formula>
    </cfRule>
    <cfRule type="expression" dxfId="1733" priority="2400">
      <formula>IF(AJ17&gt;=AK17,IF(AJ17="",FALSE,TRUE))</formula>
    </cfRule>
  </conditionalFormatting>
  <conditionalFormatting sqref="AE17">
    <cfRule type="expression" dxfId="1732" priority="2397">
      <formula>OR(IF(AE17&lt;AF17,TRUE),IF(AND(AF17="",AE17&lt;&gt;""),TRUE))</formula>
    </cfRule>
    <cfRule type="expression" dxfId="1731" priority="2398">
      <formula>IF(AE17&gt;=AF17,IF(AE17="",FALSE,TRUE))</formula>
    </cfRule>
  </conditionalFormatting>
  <conditionalFormatting sqref="AE18">
    <cfRule type="expression" dxfId="1730" priority="2395">
      <formula>OR(IF(AE18&lt;AF18,TRUE),IF(AND(AF18="",AE18&lt;&gt;""),TRUE))</formula>
    </cfRule>
    <cfRule type="expression" dxfId="1729" priority="2396">
      <formula>IF(AE18&gt;=AF18,IF(AE18="",FALSE,TRUE))</formula>
    </cfRule>
  </conditionalFormatting>
  <conditionalFormatting sqref="AE19">
    <cfRule type="expression" dxfId="1728" priority="2393">
      <formula>OR(IF(AE19&lt;AF19,TRUE),IF(AND(AF19="",AE19&lt;&gt;""),TRUE))</formula>
    </cfRule>
    <cfRule type="expression" dxfId="1727" priority="2394">
      <formula>IF(AE19&gt;=AF19,IF(AE19="",FALSE,TRUE))</formula>
    </cfRule>
  </conditionalFormatting>
  <conditionalFormatting sqref="AC20">
    <cfRule type="expression" dxfId="1726" priority="2385">
      <formula>OR(IF(AC20&lt;AD20,TRUE),IF(AND(AD20="",AC20&lt;&gt;""),TRUE))</formula>
    </cfRule>
    <cfRule type="expression" dxfId="1725" priority="2386">
      <formula>IF(AC20&gt;=AD20,IF(AC20="",FALSE,TRUE))</formula>
    </cfRule>
  </conditionalFormatting>
  <conditionalFormatting sqref="AC19">
    <cfRule type="expression" dxfId="1724" priority="2383">
      <formula>OR(IF(AC19&lt;AD19,TRUE),IF(AND(AD19="",AC19&lt;&gt;""),TRUE))</formula>
    </cfRule>
    <cfRule type="expression" dxfId="1723" priority="2384">
      <formula>IF(AC19&gt;=AD19,IF(AC19="",FALSE,TRUE))</formula>
    </cfRule>
  </conditionalFormatting>
  <conditionalFormatting sqref="V17">
    <cfRule type="expression" dxfId="1722" priority="2359">
      <formula>OR(IF(V17&lt;W17,TRUE),IF(AND(W17="",V17&lt;&gt;""),TRUE))</formula>
    </cfRule>
    <cfRule type="expression" dxfId="1721" priority="2360">
      <formula>IF(V17&gt;=W17,IF(V17="",FALSE,TRUE))</formula>
    </cfRule>
  </conditionalFormatting>
  <conditionalFormatting sqref="Q17">
    <cfRule type="expression" dxfId="1720" priority="2357">
      <formula>OR(IF(Q17&lt;R17,TRUE),IF(AND(R17="",Q17&lt;&gt;""),TRUE))</formula>
    </cfRule>
    <cfRule type="expression" dxfId="1719" priority="2358">
      <formula>IF(Q17&gt;=R17,IF(Q17="",FALSE,TRUE))</formula>
    </cfRule>
  </conditionalFormatting>
  <conditionalFormatting sqref="Q18">
    <cfRule type="expression" dxfId="1718" priority="2355">
      <formula>OR(IF(Q18&lt;R18,TRUE),IF(AND(R18="",Q18&lt;&gt;""),TRUE))</formula>
    </cfRule>
    <cfRule type="expression" dxfId="1717" priority="2356">
      <formula>IF(Q18&gt;=R18,IF(Q18="",FALSE,TRUE))</formula>
    </cfRule>
  </conditionalFormatting>
  <conditionalFormatting sqref="Q19">
    <cfRule type="expression" dxfId="1716" priority="2353">
      <formula>OR(IF(Q19&lt;R19,TRUE),IF(AND(R19="",Q19&lt;&gt;""),TRUE))</formula>
    </cfRule>
    <cfRule type="expression" dxfId="1715" priority="2354">
      <formula>IF(Q19&gt;=R19,IF(Q19="",FALSE,TRUE))</formula>
    </cfRule>
  </conditionalFormatting>
  <conditionalFormatting sqref="Q20">
    <cfRule type="expression" dxfId="1714" priority="2351">
      <formula>OR(IF(Q20&lt;R20,TRUE),IF(AND(R20="",Q20&lt;&gt;""),TRUE))</formula>
    </cfRule>
    <cfRule type="expression" dxfId="1713" priority="2352">
      <formula>IF(Q20&gt;=R20,IF(Q20="",FALSE,TRUE))</formula>
    </cfRule>
  </conditionalFormatting>
  <conditionalFormatting sqref="O20">
    <cfRule type="expression" dxfId="1712" priority="2349">
      <formula>OR(IF(O20&lt;P20,TRUE),IF(AND(P20="",O20&lt;&gt;""),TRUE))</formula>
    </cfRule>
    <cfRule type="expression" dxfId="1711" priority="2350">
      <formula>IF(O20&gt;=P20,IF(O20="",FALSE,TRUE))</formula>
    </cfRule>
  </conditionalFormatting>
  <conditionalFormatting sqref="O19">
    <cfRule type="expression" dxfId="1710" priority="2347">
      <formula>OR(IF(O19&lt;P19,TRUE),IF(AND(P19="",O19&lt;&gt;""),TRUE))</formula>
    </cfRule>
    <cfRule type="expression" dxfId="1709" priority="2348">
      <formula>IF(O19&gt;=P19,IF(O19="",FALSE,TRUE))</formula>
    </cfRule>
  </conditionalFormatting>
  <conditionalFormatting sqref="O18">
    <cfRule type="expression" dxfId="1708" priority="2345">
      <formula>OR(IF(O18&lt;P18,TRUE),IF(AND(P18="",O18&lt;&gt;""),TRUE))</formula>
    </cfRule>
    <cfRule type="expression" dxfId="1707" priority="2346">
      <formula>IF(O18&gt;=P18,IF(O18="",FALSE,TRUE))</formula>
    </cfRule>
  </conditionalFormatting>
  <conditionalFormatting sqref="O17">
    <cfRule type="expression" dxfId="1706" priority="2343">
      <formula>OR(IF(O17&lt;P17,TRUE),IF(AND(P17="",O17&lt;&gt;""),TRUE))</formula>
    </cfRule>
    <cfRule type="expression" dxfId="1705" priority="2344">
      <formula>IF(O17&gt;=P17,IF(O17="",FALSE,TRUE))</formula>
    </cfRule>
  </conditionalFormatting>
  <conditionalFormatting sqref="V32">
    <cfRule type="expression" dxfId="1642" priority="2015">
      <formula>OR(IF(V32&lt;W32,TRUE),IF(AND(W32="",V32&lt;&gt;""),TRUE))</formula>
    </cfRule>
    <cfRule type="expression" dxfId="1641" priority="2016">
      <formula>IF(V32&gt;=W32,IF(V32="",FALSE,TRUE))</formula>
    </cfRule>
  </conditionalFormatting>
  <conditionalFormatting sqref="X32">
    <cfRule type="expression" dxfId="1634" priority="2007">
      <formula>OR(IF(X32&lt;Y32,TRUE),IF(AND(Y32="",X32&lt;&gt;""),TRUE))</formula>
    </cfRule>
    <cfRule type="expression" dxfId="1633" priority="2008">
      <formula>IF(X32&gt;=Y32,IF(X32="",FALSE,TRUE))</formula>
    </cfRule>
  </conditionalFormatting>
  <conditionalFormatting sqref="O32">
    <cfRule type="expression" dxfId="1632" priority="2001">
      <formula>OR(IF(O32&lt;P32,TRUE),IF(AND(P32="",O32&lt;&gt;""),TRUE))</formula>
    </cfRule>
    <cfRule type="expression" dxfId="1631" priority="2002">
      <formula>IF(O32&gt;=P32,IF(O32="",FALSE,TRUE))</formula>
    </cfRule>
  </conditionalFormatting>
  <conditionalFormatting sqref="Q32">
    <cfRule type="expression" dxfId="1630" priority="1995">
      <formula>OR(IF(Q32&lt;R32,TRUE),IF(AND(R32="",Q32&lt;&gt;""),TRUE))</formula>
    </cfRule>
    <cfRule type="expression" dxfId="1629" priority="1996">
      <formula>IF(Q32&gt;=R32,IF(Q32="",FALSE,TRUE))</formula>
    </cfRule>
  </conditionalFormatting>
  <conditionalFormatting sqref="O29">
    <cfRule type="expression" dxfId="1628" priority="1993">
      <formula>OR(IF(O29&lt;P29,TRUE),IF(AND(P29="",O29&lt;&gt;""),TRUE))</formula>
    </cfRule>
    <cfRule type="expression" dxfId="1627" priority="1994">
      <formula>IF(O29&gt;=P29,IF(O29="",FALSE,TRUE))</formula>
    </cfRule>
  </conditionalFormatting>
  <conditionalFormatting sqref="O30">
    <cfRule type="expression" dxfId="1626" priority="1991">
      <formula>OR(IF(O30&lt;P30,TRUE),IF(AND(P30="",O30&lt;&gt;""),TRUE))</formula>
    </cfRule>
    <cfRule type="expression" dxfId="1625" priority="1992">
      <formula>IF(O30&gt;=P30,IF(O30="",FALSE,TRUE))</formula>
    </cfRule>
  </conditionalFormatting>
  <conditionalFormatting sqref="O31">
    <cfRule type="expression" dxfId="1624" priority="1989">
      <formula>OR(IF(O31&lt;P31,TRUE),IF(AND(P31="",O31&lt;&gt;""),TRUE))</formula>
    </cfRule>
    <cfRule type="expression" dxfId="1623" priority="1990">
      <formula>IF(O31&gt;=P31,IF(O31="",FALSE,TRUE))</formula>
    </cfRule>
  </conditionalFormatting>
  <conditionalFormatting sqref="Q29">
    <cfRule type="expression" dxfId="1622" priority="1987">
      <formula>OR(IF(Q29&lt;R29,TRUE),IF(AND(R29="",Q29&lt;&gt;""),TRUE))</formula>
    </cfRule>
    <cfRule type="expression" dxfId="1621" priority="1988">
      <formula>IF(Q29&gt;=R29,IF(Q29="",FALSE,TRUE))</formula>
    </cfRule>
  </conditionalFormatting>
  <conditionalFormatting sqref="Q30">
    <cfRule type="expression" dxfId="1620" priority="1985">
      <formula>OR(IF(Q30&lt;R30,TRUE),IF(AND(R30="",Q30&lt;&gt;""),TRUE))</formula>
    </cfRule>
    <cfRule type="expression" dxfId="1619" priority="1986">
      <formula>IF(Q30&gt;=R30,IF(Q30="",FALSE,TRUE))</formula>
    </cfRule>
  </conditionalFormatting>
  <conditionalFormatting sqref="Q31">
    <cfRule type="expression" dxfId="1618" priority="1983">
      <formula>OR(IF(Q31&lt;R31,TRUE),IF(AND(R31="",Q31&lt;&gt;""),TRUE))</formula>
    </cfRule>
    <cfRule type="expression" dxfId="1617" priority="1984">
      <formula>IF(Q31&gt;=R31,IF(Q31="",FALSE,TRUE))</formula>
    </cfRule>
  </conditionalFormatting>
  <conditionalFormatting sqref="DK5:DK13 DI5:DI13">
    <cfRule type="expression" dxfId="1616" priority="1981">
      <formula>OR(IF(DI5&lt;DJ5,TRUE),IF(AND(DJ5="",DI5&lt;&gt;""),TRUE))</formula>
    </cfRule>
    <cfRule type="expression" dxfId="1615" priority="1982">
      <formula>IF(DI5&gt;=DJ5,IF(DI5="",FALSE,TRUE))</formula>
    </cfRule>
  </conditionalFormatting>
  <conditionalFormatting sqref="CN5">
    <cfRule type="expression" dxfId="1614" priority="1979">
      <formula>OR(IF(CN5&lt;CO5,TRUE),IF(AND(CO5="",CN5&lt;&gt;""),TRUE))</formula>
    </cfRule>
    <cfRule type="expression" dxfId="1613" priority="1980">
      <formula>IF(CN5&gt;=CO5,IF(CN5="",FALSE,TRUE))</formula>
    </cfRule>
  </conditionalFormatting>
  <conditionalFormatting sqref="CP5">
    <cfRule type="expression" dxfId="1612" priority="1977">
      <formula>OR(IF(CP5&lt;CQ5,TRUE),IF(AND(CQ5="",CP5&lt;&gt;""),TRUE))</formula>
    </cfRule>
    <cfRule type="expression" dxfId="1611" priority="1978">
      <formula>IF(CP5&gt;=CQ5,IF(CP5="",FALSE,TRUE))</formula>
    </cfRule>
  </conditionalFormatting>
  <conditionalFormatting sqref="BF35">
    <cfRule type="expression" dxfId="1610" priority="1649">
      <formula>OR(IF(BF35&lt;BG35,TRUE),IF(AND(BG35="",BF35&lt;&gt;""),TRUE))</formula>
    </cfRule>
    <cfRule type="expression" dxfId="1609" priority="1650">
      <formula>IF(BF35&gt;=BG35,IF(BF35="",FALSE,TRUE))</formula>
    </cfRule>
  </conditionalFormatting>
  <conditionalFormatting sqref="BF36">
    <cfRule type="expression" dxfId="1608" priority="1647">
      <formula>OR(IF(BF36&lt;BG36,TRUE),IF(AND(BG36="",BF36&lt;&gt;""),TRUE))</formula>
    </cfRule>
    <cfRule type="expression" dxfId="1607" priority="1648">
      <formula>IF(BF36&gt;=BG36,IF(BF36="",FALSE,TRUE))</formula>
    </cfRule>
  </conditionalFormatting>
  <conditionalFormatting sqref="BH36">
    <cfRule type="expression" dxfId="1606" priority="1645">
      <formula>OR(IF(BH36&lt;BI36,TRUE),IF(AND(BI36="",BH36&lt;&gt;""),TRUE))</formula>
    </cfRule>
    <cfRule type="expression" dxfId="1605" priority="1646">
      <formula>IF(BH36&gt;=BI36,IF(BH36="",FALSE,TRUE))</formula>
    </cfRule>
  </conditionalFormatting>
  <conditionalFormatting sqref="AS13 AQ13">
    <cfRule type="expression" dxfId="1604" priority="1923">
      <formula>OR(IF(AQ13&lt;AR13,TRUE),IF(AND(AR13="",AQ13&lt;&gt;""),TRUE))</formula>
    </cfRule>
    <cfRule type="expression" dxfId="1603" priority="1924">
      <formula>IF(AQ13&gt;=AR13,IF(AQ13="",FALSE,TRUE))</formula>
    </cfRule>
  </conditionalFormatting>
  <conditionalFormatting sqref="AS11:AS12 AQ11:AQ12">
    <cfRule type="expression" dxfId="1602" priority="1921">
      <formula>OR(IF(AQ11&lt;AR11,TRUE),IF(AND(AR11="",AQ11&lt;&gt;""),TRUE))</formula>
    </cfRule>
    <cfRule type="expression" dxfId="1601" priority="1922">
      <formula>IF(AQ11&gt;=AR11,IF(AQ11="",FALSE,TRUE))</formula>
    </cfRule>
  </conditionalFormatting>
  <conditionalFormatting sqref="AL13 AJ13">
    <cfRule type="expression" dxfId="1596" priority="1915">
      <formula>OR(IF(AJ13&lt;AK13,TRUE),IF(AND(AK13="",AJ13&lt;&gt;""),TRUE))</formula>
    </cfRule>
    <cfRule type="expression" dxfId="1595" priority="1916">
      <formula>IF(AJ13&gt;=AK13,IF(AJ13="",FALSE,TRUE))</formula>
    </cfRule>
  </conditionalFormatting>
  <conditionalFormatting sqref="AL10:AL12 AJ10:AJ12">
    <cfRule type="expression" dxfId="1594" priority="1913">
      <formula>OR(IF(AJ10&lt;AK10,TRUE),IF(AND(AK10="",AJ10&lt;&gt;""),TRUE))</formula>
    </cfRule>
    <cfRule type="expression" dxfId="1593" priority="1914">
      <formula>IF(AJ10&gt;=AK10,IF(AJ10="",FALSE,TRUE))</formula>
    </cfRule>
  </conditionalFormatting>
  <conditionalFormatting sqref="X10:X13 V10:V13">
    <cfRule type="expression" dxfId="1592" priority="1907">
      <formula>OR(IF(V10&lt;W10,TRUE),IF(AND(W10="",V10&lt;&gt;""),TRUE))</formula>
    </cfRule>
    <cfRule type="expression" dxfId="1591" priority="1908">
      <formula>IF(V10&gt;=W10,IF(V10="",FALSE,TRUE))</formula>
    </cfRule>
  </conditionalFormatting>
  <conditionalFormatting sqref="X8:X9 V5:V9">
    <cfRule type="expression" dxfId="1590" priority="1905">
      <formula>OR(IF(V5&lt;W5,TRUE),IF(AND(W5="",V5&lt;&gt;""),TRUE))</formula>
    </cfRule>
    <cfRule type="expression" dxfId="1589" priority="1906">
      <formula>IF(V5&gt;=W5,IF(V5="",FALSE,TRUE))</formula>
    </cfRule>
  </conditionalFormatting>
  <conditionalFormatting sqref="X5:X6">
    <cfRule type="expression" dxfId="1588" priority="1903">
      <formula>OR(IF(X5&lt;Y5,TRUE),IF(AND(Y5="",X5&lt;&gt;""),TRUE))</formula>
    </cfRule>
    <cfRule type="expression" dxfId="1587" priority="1904">
      <formula>IF(X5&gt;=Y5,IF(X5="",FALSE,TRUE))</formula>
    </cfRule>
  </conditionalFormatting>
  <conditionalFormatting sqref="X7">
    <cfRule type="expression" dxfId="1586" priority="1901">
      <formula>OR(IF(X7&lt;Y7,TRUE),IF(AND(Y7="",X7&lt;&gt;""),TRUE))</formula>
    </cfRule>
    <cfRule type="expression" dxfId="1585" priority="1902">
      <formula>IF(X7&gt;=Y7,IF(X7="",FALSE,TRUE))</formula>
    </cfRule>
  </conditionalFormatting>
  <conditionalFormatting sqref="AE10:AE13 AC10:AC13">
    <cfRule type="expression" dxfId="1584" priority="1899">
      <formula>OR(IF(AC10&lt;AD10,TRUE),IF(AND(AD10="",AC10&lt;&gt;""),TRUE))</formula>
    </cfRule>
    <cfRule type="expression" dxfId="1583" priority="1900">
      <formula>IF(AC10&gt;=AD10,IF(AC10="",FALSE,TRUE))</formula>
    </cfRule>
  </conditionalFormatting>
  <conditionalFormatting sqref="AE8:AE9 AC5:AC9">
    <cfRule type="expression" dxfId="1582" priority="1897">
      <formula>OR(IF(AC5&lt;AD5,TRUE),IF(AND(AD5="",AC5&lt;&gt;""),TRUE))</formula>
    </cfRule>
    <cfRule type="expression" dxfId="1581" priority="1898">
      <formula>IF(AC5&gt;=AD5,IF(AC5="",FALSE,TRUE))</formula>
    </cfRule>
  </conditionalFormatting>
  <conditionalFormatting sqref="AE5:AE6">
    <cfRule type="expression" dxfId="1580" priority="1895">
      <formula>OR(IF(AE5&lt;AF5,TRUE),IF(AND(AF5="",AE5&lt;&gt;""),TRUE))</formula>
    </cfRule>
    <cfRule type="expression" dxfId="1579" priority="1896">
      <formula>IF(AE5&gt;=AF5,IF(AE5="",FALSE,TRUE))</formula>
    </cfRule>
  </conditionalFormatting>
  <conditionalFormatting sqref="AE7">
    <cfRule type="expression" dxfId="1578" priority="1893">
      <formula>OR(IF(AE7&lt;AF7,TRUE),IF(AND(AF7="",AE7&lt;&gt;""),TRUE))</formula>
    </cfRule>
    <cfRule type="expression" dxfId="1577" priority="1894">
      <formula>IF(AE7&gt;=AF7,IF(AE7="",FALSE,TRUE))</formula>
    </cfRule>
  </conditionalFormatting>
  <conditionalFormatting sqref="AL8:AL9 AJ5:AJ9">
    <cfRule type="expression" dxfId="1576" priority="1891">
      <formula>OR(IF(AJ5&lt;AK5,TRUE),IF(AND(AK5="",AJ5&lt;&gt;""),TRUE))</formula>
    </cfRule>
    <cfRule type="expression" dxfId="1575" priority="1892">
      <formula>IF(AJ5&gt;=AK5,IF(AJ5="",FALSE,TRUE))</formula>
    </cfRule>
  </conditionalFormatting>
  <conditionalFormatting sqref="AL5:AL6">
    <cfRule type="expression" dxfId="1574" priority="1889">
      <formula>OR(IF(AL5&lt;AM5,TRUE),IF(AND(AM5="",AL5&lt;&gt;""),TRUE))</formula>
    </cfRule>
    <cfRule type="expression" dxfId="1573" priority="1890">
      <formula>IF(AL5&gt;=AM5,IF(AL5="",FALSE,TRUE))</formula>
    </cfRule>
  </conditionalFormatting>
  <conditionalFormatting sqref="AL7">
    <cfRule type="expression" dxfId="1572" priority="1887">
      <formula>OR(IF(AL7&lt;AM7,TRUE),IF(AND(AM7="",AL7&lt;&gt;""),TRUE))</formula>
    </cfRule>
    <cfRule type="expression" dxfId="1571" priority="1888">
      <formula>IF(AL7&gt;=AM7,IF(AL7="",FALSE,TRUE))</formula>
    </cfRule>
  </conditionalFormatting>
  <conditionalFormatting sqref="AS10 AQ10">
    <cfRule type="expression" dxfId="1570" priority="1885">
      <formula>OR(IF(AQ10&lt;AR10,TRUE),IF(AND(AR10="",AQ10&lt;&gt;""),TRUE))</formula>
    </cfRule>
    <cfRule type="expression" dxfId="1569" priority="1886">
      <formula>IF(AQ10&gt;=AR10,IF(AQ10="",FALSE,TRUE))</formula>
    </cfRule>
  </conditionalFormatting>
  <conditionalFormatting sqref="AS8:AS9 AQ5:AQ9">
    <cfRule type="expression" dxfId="1568" priority="1883">
      <formula>OR(IF(AQ5&lt;AR5,TRUE),IF(AND(AR5="",AQ5&lt;&gt;""),TRUE))</formula>
    </cfRule>
    <cfRule type="expression" dxfId="1567" priority="1884">
      <formula>IF(AQ5&gt;=AR5,IF(AQ5="",FALSE,TRUE))</formula>
    </cfRule>
  </conditionalFormatting>
  <conditionalFormatting sqref="AS5:AS6">
    <cfRule type="expression" dxfId="1566" priority="1881">
      <formula>OR(IF(AS5&lt;AT5,TRUE),IF(AND(AT5="",AS5&lt;&gt;""),TRUE))</formula>
    </cfRule>
    <cfRule type="expression" dxfId="1565" priority="1882">
      <formula>IF(AS5&gt;=AT5,IF(AS5="",FALSE,TRUE))</formula>
    </cfRule>
  </conditionalFormatting>
  <conditionalFormatting sqref="AS7">
    <cfRule type="expression" dxfId="1564" priority="1879">
      <formula>OR(IF(AS7&lt;AT7,TRUE),IF(AND(AT7="",AS7&lt;&gt;""),TRUE))</formula>
    </cfRule>
    <cfRule type="expression" dxfId="1563" priority="1880">
      <formula>IF(AS7&gt;=AT7,IF(AS7="",FALSE,TRUE))</formula>
    </cfRule>
  </conditionalFormatting>
  <conditionalFormatting sqref="AZ13 AX13">
    <cfRule type="expression" dxfId="1562" priority="1877">
      <formula>OR(IF(AX13&lt;AY13,TRUE),IF(AND(AY13="",AX13&lt;&gt;""),TRUE))</formula>
    </cfRule>
    <cfRule type="expression" dxfId="1561" priority="1878">
      <formula>IF(AX13&gt;=AY13,IF(AX13="",FALSE,TRUE))</formula>
    </cfRule>
  </conditionalFormatting>
  <conditionalFormatting sqref="AZ11:AZ12 AX11:AX12">
    <cfRule type="expression" dxfId="1560" priority="1875">
      <formula>OR(IF(AX11&lt;AY11,TRUE),IF(AND(AY11="",AX11&lt;&gt;""),TRUE))</formula>
    </cfRule>
    <cfRule type="expression" dxfId="1559" priority="1876">
      <formula>IF(AX11&gt;=AY11,IF(AX11="",FALSE,TRUE))</formula>
    </cfRule>
  </conditionalFormatting>
  <conditionalFormatting sqref="AZ10 AX10">
    <cfRule type="expression" dxfId="1558" priority="1873">
      <formula>OR(IF(AX10&lt;AY10,TRUE),IF(AND(AY10="",AX10&lt;&gt;""),TRUE))</formula>
    </cfRule>
    <cfRule type="expression" dxfId="1557" priority="1874">
      <formula>IF(AX10&gt;=AY10,IF(AX10="",FALSE,TRUE))</formula>
    </cfRule>
  </conditionalFormatting>
  <conditionalFormatting sqref="AZ8:AZ9 AX5:AX9">
    <cfRule type="expression" dxfId="1556" priority="1871">
      <formula>OR(IF(AX5&lt;AY5,TRUE),IF(AND(AY5="",AX5&lt;&gt;""),TRUE))</formula>
    </cfRule>
    <cfRule type="expression" dxfId="1555" priority="1872">
      <formula>IF(AX5&gt;=AY5,IF(AX5="",FALSE,TRUE))</formula>
    </cfRule>
  </conditionalFormatting>
  <conditionalFormatting sqref="AZ5:AZ6">
    <cfRule type="expression" dxfId="1554" priority="1869">
      <formula>OR(IF(AZ5&lt;BA5,TRUE),IF(AND(BA5="",AZ5&lt;&gt;""),TRUE))</formula>
    </cfRule>
    <cfRule type="expression" dxfId="1553" priority="1870">
      <formula>IF(AZ5&gt;=BA5,IF(AZ5="",FALSE,TRUE))</formula>
    </cfRule>
  </conditionalFormatting>
  <conditionalFormatting sqref="AZ7">
    <cfRule type="expression" dxfId="1552" priority="1867">
      <formula>OR(IF(AZ7&lt;BA7,TRUE),IF(AND(BA7="",AZ7&lt;&gt;""),TRUE))</formula>
    </cfRule>
    <cfRule type="expression" dxfId="1551" priority="1868">
      <formula>IF(AZ7&gt;=BA7,IF(AZ7="",FALSE,TRUE))</formula>
    </cfRule>
  </conditionalFormatting>
  <conditionalFormatting sqref="BG13 BE13">
    <cfRule type="expression" dxfId="1550" priority="1865">
      <formula>OR(IF(BE13&lt;BF13,TRUE),IF(AND(BF13="",BE13&lt;&gt;""),TRUE))</formula>
    </cfRule>
    <cfRule type="expression" dxfId="1549" priority="1866">
      <formula>IF(BE13&gt;=BF13,IF(BE13="",FALSE,TRUE))</formula>
    </cfRule>
  </conditionalFormatting>
  <conditionalFormatting sqref="BG11:BG12 BE11:BE12">
    <cfRule type="expression" dxfId="1548" priority="1863">
      <formula>OR(IF(BE11&lt;BF11,TRUE),IF(AND(BF11="",BE11&lt;&gt;""),TRUE))</formula>
    </cfRule>
    <cfRule type="expression" dxfId="1547" priority="1864">
      <formula>IF(BE11&gt;=BF11,IF(BE11="",FALSE,TRUE))</formula>
    </cfRule>
  </conditionalFormatting>
  <conditionalFormatting sqref="BG10 BE10">
    <cfRule type="expression" dxfId="1546" priority="1861">
      <formula>OR(IF(BE10&lt;BF10,TRUE),IF(AND(BF10="",BE10&lt;&gt;""),TRUE))</formula>
    </cfRule>
    <cfRule type="expression" dxfId="1545" priority="1862">
      <formula>IF(BE10&gt;=BF10,IF(BE10="",FALSE,TRUE))</formula>
    </cfRule>
  </conditionalFormatting>
  <conditionalFormatting sqref="BG8:BG9 BE5:BE9">
    <cfRule type="expression" dxfId="1544" priority="1859">
      <formula>OR(IF(BE5&lt;BF5,TRUE),IF(AND(BF5="",BE5&lt;&gt;""),TRUE))</formula>
    </cfRule>
    <cfRule type="expression" dxfId="1543" priority="1860">
      <formula>IF(BE5&gt;=BF5,IF(BE5="",FALSE,TRUE))</formula>
    </cfRule>
  </conditionalFormatting>
  <conditionalFormatting sqref="BG5:BG6">
    <cfRule type="expression" dxfId="1542" priority="1857">
      <formula>OR(IF(BG5&lt;BH5,TRUE),IF(AND(BH5="",BG5&lt;&gt;""),TRUE))</formula>
    </cfRule>
    <cfRule type="expression" dxfId="1541" priority="1858">
      <formula>IF(BG5&gt;=BH5,IF(BG5="",FALSE,TRUE))</formula>
    </cfRule>
  </conditionalFormatting>
  <conditionalFormatting sqref="BG7">
    <cfRule type="expression" dxfId="1540" priority="1855">
      <formula>OR(IF(BG7&lt;BH7,TRUE),IF(AND(BH7="",BG7&lt;&gt;""),TRUE))</formula>
    </cfRule>
    <cfRule type="expression" dxfId="1539" priority="1856">
      <formula>IF(BG7&gt;=BH7,IF(BG7="",FALSE,TRUE))</formula>
    </cfRule>
  </conditionalFormatting>
  <conditionalFormatting sqref="BN13 BL13">
    <cfRule type="expression" dxfId="1538" priority="1853">
      <formula>OR(IF(BL13&lt;BM13,TRUE),IF(AND(BM13="",BL13&lt;&gt;""),TRUE))</formula>
    </cfRule>
    <cfRule type="expression" dxfId="1537" priority="1854">
      <formula>IF(BL13&gt;=BM13,IF(BL13="",FALSE,TRUE))</formula>
    </cfRule>
  </conditionalFormatting>
  <conditionalFormatting sqref="BN11:BN12 BL11:BL12">
    <cfRule type="expression" dxfId="1536" priority="1851">
      <formula>OR(IF(BL11&lt;BM11,TRUE),IF(AND(BM11="",BL11&lt;&gt;""),TRUE))</formula>
    </cfRule>
    <cfRule type="expression" dxfId="1535" priority="1852">
      <formula>IF(BL11&gt;=BM11,IF(BL11="",FALSE,TRUE))</formula>
    </cfRule>
  </conditionalFormatting>
  <conditionalFormatting sqref="BN10 BL10">
    <cfRule type="expression" dxfId="1534" priority="1849">
      <formula>OR(IF(BL10&lt;BM10,TRUE),IF(AND(BM10="",BL10&lt;&gt;""),TRUE))</formula>
    </cfRule>
    <cfRule type="expression" dxfId="1533" priority="1850">
      <formula>IF(BL10&gt;=BM10,IF(BL10="",FALSE,TRUE))</formula>
    </cfRule>
  </conditionalFormatting>
  <conditionalFormatting sqref="BN8:BN9 BL5:BL9">
    <cfRule type="expression" dxfId="1532" priority="1847">
      <formula>OR(IF(BL5&lt;BM5,TRUE),IF(AND(BM5="",BL5&lt;&gt;""),TRUE))</formula>
    </cfRule>
    <cfRule type="expression" dxfId="1531" priority="1848">
      <formula>IF(BL5&gt;=BM5,IF(BL5="",FALSE,TRUE))</formula>
    </cfRule>
  </conditionalFormatting>
  <conditionalFormatting sqref="BN5:BN6">
    <cfRule type="expression" dxfId="1530" priority="1845">
      <formula>OR(IF(BN5&lt;BO5,TRUE),IF(AND(BO5="",BN5&lt;&gt;""),TRUE))</formula>
    </cfRule>
    <cfRule type="expression" dxfId="1529" priority="1846">
      <formula>IF(BN5&gt;=BO5,IF(BN5="",FALSE,TRUE))</formula>
    </cfRule>
  </conditionalFormatting>
  <conditionalFormatting sqref="BN7">
    <cfRule type="expression" dxfId="1528" priority="1843">
      <formula>OR(IF(BN7&lt;BO7,TRUE),IF(AND(BO7="",BN7&lt;&gt;""),TRUE))</formula>
    </cfRule>
    <cfRule type="expression" dxfId="1527" priority="1844">
      <formula>IF(BN7&gt;=BO7,IF(BN7="",FALSE,TRUE))</formula>
    </cfRule>
  </conditionalFormatting>
  <conditionalFormatting sqref="BU13 BS13">
    <cfRule type="expression" dxfId="1526" priority="1841">
      <formula>OR(IF(BS13&lt;BT13,TRUE),IF(AND(BT13="",BS13&lt;&gt;""),TRUE))</formula>
    </cfRule>
    <cfRule type="expression" dxfId="1525" priority="1842">
      <formula>IF(BS13&gt;=BT13,IF(BS13="",FALSE,TRUE))</formula>
    </cfRule>
  </conditionalFormatting>
  <conditionalFormatting sqref="BU11:BU12 BS11:BS12">
    <cfRule type="expression" dxfId="1524" priority="1839">
      <formula>OR(IF(BS11&lt;BT11,TRUE),IF(AND(BT11="",BS11&lt;&gt;""),TRUE))</formula>
    </cfRule>
    <cfRule type="expression" dxfId="1523" priority="1840">
      <formula>IF(BS11&gt;=BT11,IF(BS11="",FALSE,TRUE))</formula>
    </cfRule>
  </conditionalFormatting>
  <conditionalFormatting sqref="BU10 BS10">
    <cfRule type="expression" dxfId="1522" priority="1837">
      <formula>OR(IF(BS10&lt;BT10,TRUE),IF(AND(BT10="",BS10&lt;&gt;""),TRUE))</formula>
    </cfRule>
    <cfRule type="expression" dxfId="1521" priority="1838">
      <formula>IF(BS10&gt;=BT10,IF(BS10="",FALSE,TRUE))</formula>
    </cfRule>
  </conditionalFormatting>
  <conditionalFormatting sqref="BU8:BU9 BS5:BS9">
    <cfRule type="expression" dxfId="1520" priority="1835">
      <formula>OR(IF(BS5&lt;BT5,TRUE),IF(AND(BT5="",BS5&lt;&gt;""),TRUE))</formula>
    </cfRule>
    <cfRule type="expression" dxfId="1519" priority="1836">
      <formula>IF(BS5&gt;=BT5,IF(BS5="",FALSE,TRUE))</formula>
    </cfRule>
  </conditionalFormatting>
  <conditionalFormatting sqref="BU5:BU6">
    <cfRule type="expression" dxfId="1518" priority="1833">
      <formula>OR(IF(BU5&lt;BV5,TRUE),IF(AND(BV5="",BU5&lt;&gt;""),TRUE))</formula>
    </cfRule>
    <cfRule type="expression" dxfId="1517" priority="1834">
      <formula>IF(BU5&gt;=BV5,IF(BU5="",FALSE,TRUE))</formula>
    </cfRule>
  </conditionalFormatting>
  <conditionalFormatting sqref="BU7">
    <cfRule type="expression" dxfId="1516" priority="1831">
      <formula>OR(IF(BU7&lt;BV7,TRUE),IF(AND(BV7="",BU7&lt;&gt;""),TRUE))</formula>
    </cfRule>
    <cfRule type="expression" dxfId="1515" priority="1832">
      <formula>IF(BU7&gt;=BV7,IF(BU7="",FALSE,TRUE))</formula>
    </cfRule>
  </conditionalFormatting>
  <conditionalFormatting sqref="CB13 BZ13">
    <cfRule type="expression" dxfId="1514" priority="1829">
      <formula>OR(IF(BZ13&lt;CA13,TRUE),IF(AND(CA13="",BZ13&lt;&gt;""),TRUE))</formula>
    </cfRule>
    <cfRule type="expression" dxfId="1513" priority="1830">
      <formula>IF(BZ13&gt;=CA13,IF(BZ13="",FALSE,TRUE))</formula>
    </cfRule>
  </conditionalFormatting>
  <conditionalFormatting sqref="CB11:CB12 BZ11:BZ12">
    <cfRule type="expression" dxfId="1512" priority="1827">
      <formula>OR(IF(BZ11&lt;CA11,TRUE),IF(AND(CA11="",BZ11&lt;&gt;""),TRUE))</formula>
    </cfRule>
    <cfRule type="expression" dxfId="1511" priority="1828">
      <formula>IF(BZ11&gt;=CA11,IF(BZ11="",FALSE,TRUE))</formula>
    </cfRule>
  </conditionalFormatting>
  <conditionalFormatting sqref="CB10 BZ10">
    <cfRule type="expression" dxfId="1510" priority="1825">
      <formula>OR(IF(BZ10&lt;CA10,TRUE),IF(AND(CA10="",BZ10&lt;&gt;""),TRUE))</formula>
    </cfRule>
    <cfRule type="expression" dxfId="1509" priority="1826">
      <formula>IF(BZ10&gt;=CA10,IF(BZ10="",FALSE,TRUE))</formula>
    </cfRule>
  </conditionalFormatting>
  <conditionalFormatting sqref="CB8:CB9 BZ5:BZ9">
    <cfRule type="expression" dxfId="1508" priority="1823">
      <formula>OR(IF(BZ5&lt;CA5,TRUE),IF(AND(CA5="",BZ5&lt;&gt;""),TRUE))</formula>
    </cfRule>
    <cfRule type="expression" dxfId="1507" priority="1824">
      <formula>IF(BZ5&gt;=CA5,IF(BZ5="",FALSE,TRUE))</formula>
    </cfRule>
  </conditionalFormatting>
  <conditionalFormatting sqref="CB5:CB6">
    <cfRule type="expression" dxfId="1506" priority="1821">
      <formula>OR(IF(CB5&lt;CC5,TRUE),IF(AND(CC5="",CB5&lt;&gt;""),TRUE))</formula>
    </cfRule>
    <cfRule type="expression" dxfId="1505" priority="1822">
      <formula>IF(CB5&gt;=CC5,IF(CB5="",FALSE,TRUE))</formula>
    </cfRule>
  </conditionalFormatting>
  <conditionalFormatting sqref="CB7">
    <cfRule type="expression" dxfId="1504" priority="1819">
      <formula>OR(IF(CB7&lt;CC7,TRUE),IF(AND(CC7="",CB7&lt;&gt;""),TRUE))</formula>
    </cfRule>
    <cfRule type="expression" dxfId="1503" priority="1820">
      <formula>IF(CB7&gt;=CC7,IF(CB7="",FALSE,TRUE))</formula>
    </cfRule>
  </conditionalFormatting>
  <conditionalFormatting sqref="CI13 CG13">
    <cfRule type="expression" dxfId="1502" priority="1817">
      <formula>OR(IF(CG13&lt;CH13,TRUE),IF(AND(CH13="",CG13&lt;&gt;""),TRUE))</formula>
    </cfRule>
    <cfRule type="expression" dxfId="1501" priority="1818">
      <formula>IF(CG13&gt;=CH13,IF(CG13="",FALSE,TRUE))</formula>
    </cfRule>
  </conditionalFormatting>
  <conditionalFormatting sqref="CI11:CI12 CG11:CG12">
    <cfRule type="expression" dxfId="1500" priority="1815">
      <formula>OR(IF(CG11&lt;CH11,TRUE),IF(AND(CH11="",CG11&lt;&gt;""),TRUE))</formula>
    </cfRule>
    <cfRule type="expression" dxfId="1499" priority="1816">
      <formula>IF(CG11&gt;=CH11,IF(CG11="",FALSE,TRUE))</formula>
    </cfRule>
  </conditionalFormatting>
  <conditionalFormatting sqref="CI10 CG10">
    <cfRule type="expression" dxfId="1498" priority="1813">
      <formula>OR(IF(CG10&lt;CH10,TRUE),IF(AND(CH10="",CG10&lt;&gt;""),TRUE))</formula>
    </cfRule>
    <cfRule type="expression" dxfId="1497" priority="1814">
      <formula>IF(CG10&gt;=CH10,IF(CG10="",FALSE,TRUE))</formula>
    </cfRule>
  </conditionalFormatting>
  <conditionalFormatting sqref="CI8:CI9 CG5:CG9">
    <cfRule type="expression" dxfId="1496" priority="1811">
      <formula>OR(IF(CG5&lt;CH5,TRUE),IF(AND(CH5="",CG5&lt;&gt;""),TRUE))</formula>
    </cfRule>
    <cfRule type="expression" dxfId="1495" priority="1812">
      <formula>IF(CG5&gt;=CH5,IF(CG5="",FALSE,TRUE))</formula>
    </cfRule>
  </conditionalFormatting>
  <conditionalFormatting sqref="CI5:CI6">
    <cfRule type="expression" dxfId="1494" priority="1809">
      <formula>OR(IF(CI5&lt;CJ5,TRUE),IF(AND(CJ5="",CI5&lt;&gt;""),TRUE))</formula>
    </cfRule>
    <cfRule type="expression" dxfId="1493" priority="1810">
      <formula>IF(CI5&gt;=CJ5,IF(CI5="",FALSE,TRUE))</formula>
    </cfRule>
  </conditionalFormatting>
  <conditionalFormatting sqref="CI7">
    <cfRule type="expression" dxfId="1492" priority="1807">
      <formula>OR(IF(CI7&lt;CJ7,TRUE),IF(AND(CJ7="",CI7&lt;&gt;""),TRUE))</formula>
    </cfRule>
    <cfRule type="expression" dxfId="1491" priority="1808">
      <formula>IF(CI7&gt;=CJ7,IF(CI7="",FALSE,TRUE))</formula>
    </cfRule>
  </conditionalFormatting>
  <conditionalFormatting sqref="CP14 CN14">
    <cfRule type="expression" dxfId="1490" priority="1805">
      <formula>OR(IF(CN14&lt;CO14,TRUE),IF(AND(CO14="",CN14&lt;&gt;""),TRUE))</formula>
    </cfRule>
    <cfRule type="expression" dxfId="1489" priority="1806">
      <formula>IF(CN14&gt;=CO14,IF(CN14="",FALSE,TRUE))</formula>
    </cfRule>
  </conditionalFormatting>
  <conditionalFormatting sqref="CP12:CP13 CN12:CN13">
    <cfRule type="expression" dxfId="1488" priority="1803">
      <formula>OR(IF(CN12&lt;CO12,TRUE),IF(AND(CO12="",CN12&lt;&gt;""),TRUE))</formula>
    </cfRule>
    <cfRule type="expression" dxfId="1487" priority="1804">
      <formula>IF(CN12&gt;=CO12,IF(CN12="",FALSE,TRUE))</formula>
    </cfRule>
  </conditionalFormatting>
  <conditionalFormatting sqref="CP11 CN11">
    <cfRule type="expression" dxfId="1486" priority="1801">
      <formula>OR(IF(CN11&lt;CO11,TRUE),IF(AND(CO11="",CN11&lt;&gt;""),TRUE))</formula>
    </cfRule>
    <cfRule type="expression" dxfId="1485" priority="1802">
      <formula>IF(CN11&gt;=CO11,IF(CN11="",FALSE,TRUE))</formula>
    </cfRule>
  </conditionalFormatting>
  <conditionalFormatting sqref="CP9:CP10 CN6:CN10">
    <cfRule type="expression" dxfId="1484" priority="1799">
      <formula>OR(IF(CN6&lt;CO6,TRUE),IF(AND(CO6="",CN6&lt;&gt;""),TRUE))</formula>
    </cfRule>
    <cfRule type="expression" dxfId="1483" priority="1800">
      <formula>IF(CN6&gt;=CO6,IF(CN6="",FALSE,TRUE))</formula>
    </cfRule>
  </conditionalFormatting>
  <conditionalFormatting sqref="CP6:CP7">
    <cfRule type="expression" dxfId="1482" priority="1797">
      <formula>OR(IF(CP6&lt;CQ6,TRUE),IF(AND(CQ6="",CP6&lt;&gt;""),TRUE))</formula>
    </cfRule>
    <cfRule type="expression" dxfId="1481" priority="1798">
      <formula>IF(CP6&gt;=CQ6,IF(CP6="",FALSE,TRUE))</formula>
    </cfRule>
  </conditionalFormatting>
  <conditionalFormatting sqref="CP8">
    <cfRule type="expression" dxfId="1480" priority="1795">
      <formula>OR(IF(CP8&lt;CQ8,TRUE),IF(AND(CQ8="",CP8&lt;&gt;""),TRUE))</formula>
    </cfRule>
    <cfRule type="expression" dxfId="1479" priority="1796">
      <formula>IF(CP8&gt;=CQ8,IF(CP8="",FALSE,TRUE))</formula>
    </cfRule>
  </conditionalFormatting>
  <conditionalFormatting sqref="CU5">
    <cfRule type="expression" dxfId="1478" priority="1793">
      <formula>OR(IF(CU5&lt;CV5,TRUE),IF(AND(CV5="",CU5&lt;&gt;""),TRUE))</formula>
    </cfRule>
    <cfRule type="expression" dxfId="1477" priority="1794">
      <formula>IF(CU5&gt;=CV5,IF(CU5="",FALSE,TRUE))</formula>
    </cfRule>
  </conditionalFormatting>
  <conditionalFormatting sqref="CW5">
    <cfRule type="expression" dxfId="1476" priority="1791">
      <formula>OR(IF(CW5&lt;CX5,TRUE),IF(AND(CX5="",CW5&lt;&gt;""),TRUE))</formula>
    </cfRule>
    <cfRule type="expression" dxfId="1475" priority="1792">
      <formula>IF(CW5&gt;=CX5,IF(CW5="",FALSE,TRUE))</formula>
    </cfRule>
  </conditionalFormatting>
  <conditionalFormatting sqref="CW14 CU14">
    <cfRule type="expression" dxfId="1474" priority="1789">
      <formula>OR(IF(CU14&lt;CV14,TRUE),IF(AND(CV14="",CU14&lt;&gt;""),TRUE))</formula>
    </cfRule>
    <cfRule type="expression" dxfId="1473" priority="1790">
      <formula>IF(CU14&gt;=CV14,IF(CU14="",FALSE,TRUE))</formula>
    </cfRule>
  </conditionalFormatting>
  <conditionalFormatting sqref="CW12:CW13 CU12:CU13">
    <cfRule type="expression" dxfId="1472" priority="1787">
      <formula>OR(IF(CU12&lt;CV12,TRUE),IF(AND(CV12="",CU12&lt;&gt;""),TRUE))</formula>
    </cfRule>
    <cfRule type="expression" dxfId="1471" priority="1788">
      <formula>IF(CU12&gt;=CV12,IF(CU12="",FALSE,TRUE))</formula>
    </cfRule>
  </conditionalFormatting>
  <conditionalFormatting sqref="CW11 CU11">
    <cfRule type="expression" dxfId="1470" priority="1785">
      <formula>OR(IF(CU11&lt;CV11,TRUE),IF(AND(CV11="",CU11&lt;&gt;""),TRUE))</formula>
    </cfRule>
    <cfRule type="expression" dxfId="1469" priority="1786">
      <formula>IF(CU11&gt;=CV11,IF(CU11="",FALSE,TRUE))</formula>
    </cfRule>
  </conditionalFormatting>
  <conditionalFormatting sqref="CW9:CW10 CU6:CU10">
    <cfRule type="expression" dxfId="1468" priority="1783">
      <formula>OR(IF(CU6&lt;CV6,TRUE),IF(AND(CV6="",CU6&lt;&gt;""),TRUE))</formula>
    </cfRule>
    <cfRule type="expression" dxfId="1467" priority="1784">
      <formula>IF(CU6&gt;=CV6,IF(CU6="",FALSE,TRUE))</formula>
    </cfRule>
  </conditionalFormatting>
  <conditionalFormatting sqref="CW6:CW7">
    <cfRule type="expression" dxfId="1466" priority="1781">
      <formula>OR(IF(CW6&lt;CX6,TRUE),IF(AND(CX6="",CW6&lt;&gt;""),TRUE))</formula>
    </cfRule>
    <cfRule type="expression" dxfId="1465" priority="1782">
      <formula>IF(CW6&gt;=CX6,IF(CW6="",FALSE,TRUE))</formula>
    </cfRule>
  </conditionalFormatting>
  <conditionalFormatting sqref="CW8">
    <cfRule type="expression" dxfId="1464" priority="1779">
      <formula>OR(IF(CW8&lt;CX8,TRUE),IF(AND(CX8="",CW8&lt;&gt;""),TRUE))</formula>
    </cfRule>
    <cfRule type="expression" dxfId="1463" priority="1780">
      <formula>IF(CW8&gt;=CX8,IF(CW8="",FALSE,TRUE))</formula>
    </cfRule>
  </conditionalFormatting>
  <conditionalFormatting sqref="BH35">
    <cfRule type="expression" dxfId="1462" priority="1635">
      <formula>OR(IF(BH35&lt;BI35,TRUE),IF(AND(BI35="",BH35&lt;&gt;""),TRUE))</formula>
    </cfRule>
    <cfRule type="expression" dxfId="1461" priority="1636">
      <formula>IF(BH35&gt;=BI35,IF(BH35="",FALSE,TRUE))</formula>
    </cfRule>
  </conditionalFormatting>
  <conditionalFormatting sqref="BE35">
    <cfRule type="expression" dxfId="1452" priority="6172">
      <formula>OR(IF(BE35&lt;#REF!,TRUE),IF(AND(#REF!="",BE35&lt;&gt;""),TRUE))</formula>
    </cfRule>
    <cfRule type="expression" dxfId="1451" priority="6173">
      <formula>IF(BE35&gt;=#REF!,IF(BE35="",FALSE,TRUE))</formula>
    </cfRule>
  </conditionalFormatting>
  <conditionalFormatting sqref="AQ58:AQ59 AS58:AS59">
    <cfRule type="expression" dxfId="1282" priority="1225">
      <formula>OR(IF(AQ58&lt;AR58,TRUE),IF(AND(AR58="",AQ58&lt;&gt;""),TRUE))</formula>
    </cfRule>
    <cfRule type="expression" dxfId="1281" priority="1226">
      <formula>IF(AQ58&gt;=AR58,IF(AQ58="",FALSE,TRUE))</formula>
    </cfRule>
  </conditionalFormatting>
  <conditionalFormatting sqref="AQ57 AS57">
    <cfRule type="expression" dxfId="1280" priority="1223">
      <formula>OR(IF(AQ57&lt;AR57,TRUE),IF(AND(AR57="",AQ57&lt;&gt;""),TRUE))</formula>
    </cfRule>
    <cfRule type="expression" dxfId="1279" priority="1224">
      <formula>IF(AQ57&gt;=AR57,IF(AQ57="",FALSE,TRUE))</formula>
    </cfRule>
  </conditionalFormatting>
  <conditionalFormatting sqref="AQ50:AQ56 AS50:AS56">
    <cfRule type="expression" dxfId="1278" priority="1221">
      <formula>OR(IF(AQ50&lt;AR50,TRUE),IF(AND(AR50="",AQ50&lt;&gt;""),TRUE))</formula>
    </cfRule>
    <cfRule type="expression" dxfId="1277" priority="1222">
      <formula>IF(AQ50&gt;=AR50,IF(AQ50="",FALSE,TRUE))</formula>
    </cfRule>
  </conditionalFormatting>
  <conditionalFormatting sqref="AX58:AX59 AZ58:AZ59">
    <cfRule type="expression" dxfId="1276" priority="1219">
      <formula>OR(IF(AX58&lt;AY58,TRUE),IF(AND(AY58="",AX58&lt;&gt;""),TRUE))</formula>
    </cfRule>
    <cfRule type="expression" dxfId="1275" priority="1220">
      <formula>IF(AX58&gt;=AY58,IF(AX58="",FALSE,TRUE))</formula>
    </cfRule>
  </conditionalFormatting>
  <conditionalFormatting sqref="AX57 AZ57">
    <cfRule type="expression" dxfId="1274" priority="1217">
      <formula>OR(IF(AX57&lt;AY57,TRUE),IF(AND(AY57="",AX57&lt;&gt;""),TRUE))</formula>
    </cfRule>
    <cfRule type="expression" dxfId="1273" priority="1218">
      <formula>IF(AX57&gt;=AY57,IF(AX57="",FALSE,TRUE))</formula>
    </cfRule>
  </conditionalFormatting>
  <conditionalFormatting sqref="AX50:AX56 AZ50:AZ56">
    <cfRule type="expression" dxfId="1272" priority="1215">
      <formula>OR(IF(AX50&lt;AY50,TRUE),IF(AND(AY50="",AX50&lt;&gt;""),TRUE))</formula>
    </cfRule>
    <cfRule type="expression" dxfId="1271" priority="1216">
      <formula>IF(AX50&gt;=AY50,IF(AX50="",FALSE,TRUE))</formula>
    </cfRule>
  </conditionalFormatting>
  <conditionalFormatting sqref="BE58:BE59 BG58:BG59">
    <cfRule type="expression" dxfId="1270" priority="1213">
      <formula>OR(IF(BE58&lt;BF58,TRUE),IF(AND(BF58="",BE58&lt;&gt;""),TRUE))</formula>
    </cfRule>
    <cfRule type="expression" dxfId="1269" priority="1214">
      <formula>IF(BE58&gt;=BF58,IF(BE58="",FALSE,TRUE))</formula>
    </cfRule>
  </conditionalFormatting>
  <conditionalFormatting sqref="BE57 BG57">
    <cfRule type="expression" dxfId="1268" priority="1211">
      <formula>OR(IF(BE57&lt;BF57,TRUE),IF(AND(BF57="",BE57&lt;&gt;""),TRUE))</formula>
    </cfRule>
    <cfRule type="expression" dxfId="1267" priority="1212">
      <formula>IF(BE57&gt;=BF57,IF(BE57="",FALSE,TRUE))</formula>
    </cfRule>
  </conditionalFormatting>
  <conditionalFormatting sqref="BE50:BE56 BG50:BG56">
    <cfRule type="expression" dxfId="1266" priority="1209">
      <formula>OR(IF(BE50&lt;BF50,TRUE),IF(AND(BF50="",BE50&lt;&gt;""),TRUE))</formula>
    </cfRule>
    <cfRule type="expression" dxfId="1265" priority="1210">
      <formula>IF(BE50&gt;=BF50,IF(BE50="",FALSE,TRUE))</formula>
    </cfRule>
  </conditionalFormatting>
  <conditionalFormatting sqref="BL58:BL59 BN58:BN59">
    <cfRule type="expression" dxfId="1264" priority="1207">
      <formula>OR(IF(BL58&lt;BM58,TRUE),IF(AND(BM58="",BL58&lt;&gt;""),TRUE))</formula>
    </cfRule>
    <cfRule type="expression" dxfId="1263" priority="1208">
      <formula>IF(BL58&gt;=BM58,IF(BL58="",FALSE,TRUE))</formula>
    </cfRule>
  </conditionalFormatting>
  <conditionalFormatting sqref="BL57 BN57">
    <cfRule type="expression" dxfId="1262" priority="1205">
      <formula>OR(IF(BL57&lt;BM57,TRUE),IF(AND(BM57="",BL57&lt;&gt;""),TRUE))</formula>
    </cfRule>
    <cfRule type="expression" dxfId="1261" priority="1206">
      <formula>IF(BL57&gt;=BM57,IF(BL57="",FALSE,TRUE))</formula>
    </cfRule>
  </conditionalFormatting>
  <conditionalFormatting sqref="BL50:BL56 BN50:BN56">
    <cfRule type="expression" dxfId="1260" priority="1203">
      <formula>OR(IF(BL50&lt;BM50,TRUE),IF(AND(BM50="",BL50&lt;&gt;""),TRUE))</formula>
    </cfRule>
    <cfRule type="expression" dxfId="1259" priority="1204">
      <formula>IF(BL50&gt;=BM50,IF(BL50="",FALSE,TRUE))</formula>
    </cfRule>
  </conditionalFormatting>
  <conditionalFormatting sqref="BS58:BS59 BU58:BU59">
    <cfRule type="expression" dxfId="1258" priority="1201">
      <formula>OR(IF(BS58&lt;BT58,TRUE),IF(AND(BT58="",BS58&lt;&gt;""),TRUE))</formula>
    </cfRule>
    <cfRule type="expression" dxfId="1257" priority="1202">
      <formula>IF(BS58&gt;=BT58,IF(BS58="",FALSE,TRUE))</formula>
    </cfRule>
  </conditionalFormatting>
  <conditionalFormatting sqref="BS57 BU57">
    <cfRule type="expression" dxfId="1256" priority="1199">
      <formula>OR(IF(BS57&lt;BT57,TRUE),IF(AND(BT57="",BS57&lt;&gt;""),TRUE))</formula>
    </cfRule>
    <cfRule type="expression" dxfId="1255" priority="1200">
      <formula>IF(BS57&gt;=BT57,IF(BS57="",FALSE,TRUE))</formula>
    </cfRule>
  </conditionalFormatting>
  <conditionalFormatting sqref="BS50:BS56 BU50:BU56">
    <cfRule type="expression" dxfId="1254" priority="1197">
      <formula>OR(IF(BS50&lt;BT50,TRUE),IF(AND(BT50="",BS50&lt;&gt;""),TRUE))</formula>
    </cfRule>
    <cfRule type="expression" dxfId="1253" priority="1198">
      <formula>IF(BS50&gt;=BT50,IF(BS50="",FALSE,TRUE))</formula>
    </cfRule>
  </conditionalFormatting>
  <conditionalFormatting sqref="BZ58:BZ59 CB58:CB59">
    <cfRule type="expression" dxfId="1252" priority="1195">
      <formula>OR(IF(BZ58&lt;CA58,TRUE),IF(AND(CA58="",BZ58&lt;&gt;""),TRUE))</formula>
    </cfRule>
    <cfRule type="expression" dxfId="1251" priority="1196">
      <formula>IF(BZ58&gt;=CA58,IF(BZ58="",FALSE,TRUE))</formula>
    </cfRule>
  </conditionalFormatting>
  <conditionalFormatting sqref="BZ57 CB57">
    <cfRule type="expression" dxfId="1250" priority="1193">
      <formula>OR(IF(BZ57&lt;CA57,TRUE),IF(AND(CA57="",BZ57&lt;&gt;""),TRUE))</formula>
    </cfRule>
    <cfRule type="expression" dxfId="1249" priority="1194">
      <formula>IF(BZ57&gt;=CA57,IF(BZ57="",FALSE,TRUE))</formula>
    </cfRule>
  </conditionalFormatting>
  <conditionalFormatting sqref="BZ50:BZ56 CB50:CB56">
    <cfRule type="expression" dxfId="1248" priority="1191">
      <formula>OR(IF(BZ50&lt;CA50,TRUE),IF(AND(CA50="",BZ50&lt;&gt;""),TRUE))</formula>
    </cfRule>
    <cfRule type="expression" dxfId="1247" priority="1192">
      <formula>IF(BZ50&gt;=CA50,IF(BZ50="",FALSE,TRUE))</formula>
    </cfRule>
  </conditionalFormatting>
  <conditionalFormatting sqref="CG58:CG59 CI58:CI59">
    <cfRule type="expression" dxfId="1246" priority="1189">
      <formula>OR(IF(CG58&lt;CH58,TRUE),IF(AND(CH58="",CG58&lt;&gt;""),TRUE))</formula>
    </cfRule>
    <cfRule type="expression" dxfId="1245" priority="1190">
      <formula>IF(CG58&gt;=CH58,IF(CG58="",FALSE,TRUE))</formula>
    </cfRule>
  </conditionalFormatting>
  <conditionalFormatting sqref="CG57 CI57">
    <cfRule type="expression" dxfId="1244" priority="1187">
      <formula>OR(IF(CG57&lt;CH57,TRUE),IF(AND(CH57="",CG57&lt;&gt;""),TRUE))</formula>
    </cfRule>
    <cfRule type="expression" dxfId="1243" priority="1188">
      <formula>IF(CG57&gt;=CH57,IF(CG57="",FALSE,TRUE))</formula>
    </cfRule>
  </conditionalFormatting>
  <conditionalFormatting sqref="CG50:CG56 CI50:CI56">
    <cfRule type="expression" dxfId="1242" priority="1185">
      <formula>OR(IF(CG50&lt;CH50,TRUE),IF(AND(CH50="",CG50&lt;&gt;""),TRUE))</formula>
    </cfRule>
    <cfRule type="expression" dxfId="1241" priority="1186">
      <formula>IF(CG50&gt;=CH50,IF(CG50="",FALSE,TRUE))</formula>
    </cfRule>
  </conditionalFormatting>
  <conditionalFormatting sqref="CN58:CN59 CP58:CP59">
    <cfRule type="expression" dxfId="1240" priority="1177">
      <formula>OR(IF(CN58&lt;CO58,TRUE),IF(AND(CO58="",CN58&lt;&gt;""),TRUE))</formula>
    </cfRule>
    <cfRule type="expression" dxfId="1239" priority="1178">
      <formula>IF(CN58&gt;=CO58,IF(CN58="",FALSE,TRUE))</formula>
    </cfRule>
  </conditionalFormatting>
  <conditionalFormatting sqref="CN57 CP57">
    <cfRule type="expression" dxfId="1238" priority="1175">
      <formula>OR(IF(CN57&lt;CO57,TRUE),IF(AND(CO57="",CN57&lt;&gt;""),TRUE))</formula>
    </cfRule>
    <cfRule type="expression" dxfId="1237" priority="1176">
      <formula>IF(CN57&gt;=CO57,IF(CN57="",FALSE,TRUE))</formula>
    </cfRule>
  </conditionalFormatting>
  <conditionalFormatting sqref="CN50:CN56 CP50:CP56">
    <cfRule type="expression" dxfId="1236" priority="1173">
      <formula>OR(IF(CN50&lt;CO50,TRUE),IF(AND(CO50="",CN50&lt;&gt;""),TRUE))</formula>
    </cfRule>
    <cfRule type="expression" dxfId="1235" priority="1174">
      <formula>IF(CN50&gt;=CO50,IF(CN50="",FALSE,TRUE))</formula>
    </cfRule>
  </conditionalFormatting>
  <conditionalFormatting sqref="CU58:CU59 CW58:CW59">
    <cfRule type="expression" dxfId="1234" priority="1171">
      <formula>OR(IF(CU58&lt;CV58,TRUE),IF(AND(CV58="",CU58&lt;&gt;""),TRUE))</formula>
    </cfRule>
    <cfRule type="expression" dxfId="1233" priority="1172">
      <formula>IF(CU58&gt;=CV58,IF(CU58="",FALSE,TRUE))</formula>
    </cfRule>
  </conditionalFormatting>
  <conditionalFormatting sqref="CU57 CW57">
    <cfRule type="expression" dxfId="1232" priority="1169">
      <formula>OR(IF(CU57&lt;CV57,TRUE),IF(AND(CV57="",CU57&lt;&gt;""),TRUE))</formula>
    </cfRule>
    <cfRule type="expression" dxfId="1231" priority="1170">
      <formula>IF(CU57&gt;=CV57,IF(CU57="",FALSE,TRUE))</formula>
    </cfRule>
  </conditionalFormatting>
  <conditionalFormatting sqref="CU50:CU56 CW50:CW56">
    <cfRule type="expression" dxfId="1230" priority="1167">
      <formula>OR(IF(CU50&lt;CV50,TRUE),IF(AND(CV50="",CU50&lt;&gt;""),TRUE))</formula>
    </cfRule>
    <cfRule type="expression" dxfId="1229" priority="1168">
      <formula>IF(CU50&gt;=CV50,IF(CU50="",FALSE,TRUE))</formula>
    </cfRule>
  </conditionalFormatting>
  <conditionalFormatting sqref="DB58:DB59 DD58:DD59">
    <cfRule type="expression" dxfId="1228" priority="1165">
      <formula>OR(IF(DB58&lt;DC58,TRUE),IF(AND(DC58="",DB58&lt;&gt;""),TRUE))</formula>
    </cfRule>
    <cfRule type="expression" dxfId="1227" priority="1166">
      <formula>IF(DB58&gt;=DC58,IF(DB58="",FALSE,TRUE))</formula>
    </cfRule>
  </conditionalFormatting>
  <conditionalFormatting sqref="DB57 DD57">
    <cfRule type="expression" dxfId="1226" priority="1163">
      <formula>OR(IF(DB57&lt;DC57,TRUE),IF(AND(DC57="",DB57&lt;&gt;""),TRUE))</formula>
    </cfRule>
    <cfRule type="expression" dxfId="1225" priority="1164">
      <formula>IF(DB57&gt;=DC57,IF(DB57="",FALSE,TRUE))</formula>
    </cfRule>
  </conditionalFormatting>
  <conditionalFormatting sqref="DB50:DB56 DD50:DD56">
    <cfRule type="expression" dxfId="1224" priority="1161">
      <formula>OR(IF(DB50&lt;DC50,TRUE),IF(AND(DC50="",DB50&lt;&gt;""),TRUE))</formula>
    </cfRule>
    <cfRule type="expression" dxfId="1223" priority="1162">
      <formula>IF(DB50&gt;=DC50,IF(DB50="",FALSE,TRUE))</formula>
    </cfRule>
  </conditionalFormatting>
  <conditionalFormatting sqref="DI58:DI59 DK58:DK59">
    <cfRule type="expression" dxfId="1222" priority="1129">
      <formula>OR(IF(DI58&lt;DJ58,TRUE),IF(AND(DJ58="",DI58&lt;&gt;""),TRUE))</formula>
    </cfRule>
    <cfRule type="expression" dxfId="1221" priority="1130">
      <formula>IF(DI58&gt;=DJ58,IF(DI58="",FALSE,TRUE))</formula>
    </cfRule>
  </conditionalFormatting>
  <conditionalFormatting sqref="DI57 DK57">
    <cfRule type="expression" dxfId="1220" priority="1127">
      <formula>OR(IF(DI57&lt;DJ57,TRUE),IF(AND(DJ57="",DI57&lt;&gt;""),TRUE))</formula>
    </cfRule>
    <cfRule type="expression" dxfId="1219" priority="1128">
      <formula>IF(DI57&gt;=DJ57,IF(DI57="",FALSE,TRUE))</formula>
    </cfRule>
  </conditionalFormatting>
  <conditionalFormatting sqref="DI50:DI56 DK50:DK56">
    <cfRule type="expression" dxfId="1218" priority="1125">
      <formula>OR(IF(DI50&lt;DJ50,TRUE),IF(AND(DJ50="",DI50&lt;&gt;""),TRUE))</formula>
    </cfRule>
    <cfRule type="expression" dxfId="1217" priority="1126">
      <formula>IF(DI50&gt;=DJ50,IF(DI50="",FALSE,TRUE))</formula>
    </cfRule>
  </conditionalFormatting>
  <conditionalFormatting sqref="DP58:DP59 DR58:DR59">
    <cfRule type="expression" dxfId="1216" priority="1123">
      <formula>OR(IF(DP58&lt;DQ58,TRUE),IF(AND(DQ58="",DP58&lt;&gt;""),TRUE))</formula>
    </cfRule>
    <cfRule type="expression" dxfId="1215" priority="1124">
      <formula>IF(DP58&gt;=DQ58,IF(DP58="",FALSE,TRUE))</formula>
    </cfRule>
  </conditionalFormatting>
  <conditionalFormatting sqref="DP57 DR57">
    <cfRule type="expression" dxfId="1214" priority="1121">
      <formula>OR(IF(DP57&lt;DQ57,TRUE),IF(AND(DQ57="",DP57&lt;&gt;""),TRUE))</formula>
    </cfRule>
    <cfRule type="expression" dxfId="1213" priority="1122">
      <formula>IF(DP57&gt;=DQ57,IF(DP57="",FALSE,TRUE))</formula>
    </cfRule>
  </conditionalFormatting>
  <conditionalFormatting sqref="DP50:DP56 DR50:DR56">
    <cfRule type="expression" dxfId="1212" priority="1119">
      <formula>OR(IF(DP50&lt;DQ50,TRUE),IF(AND(DQ50="",DP50&lt;&gt;""),TRUE))</formula>
    </cfRule>
    <cfRule type="expression" dxfId="1211" priority="1120">
      <formula>IF(DP50&gt;=DQ50,IF(DP50="",FALSE,TRUE))</formula>
    </cfRule>
  </conditionalFormatting>
  <conditionalFormatting sqref="DW58:DW59 DY58:DY59">
    <cfRule type="expression" dxfId="1210" priority="1117">
      <formula>OR(IF(DW58&lt;DX58,TRUE),IF(AND(DX58="",DW58&lt;&gt;""),TRUE))</formula>
    </cfRule>
    <cfRule type="expression" dxfId="1209" priority="1118">
      <formula>IF(DW58&gt;=DX58,IF(DW58="",FALSE,TRUE))</formula>
    </cfRule>
  </conditionalFormatting>
  <conditionalFormatting sqref="DW57 DY57">
    <cfRule type="expression" dxfId="1208" priority="1115">
      <formula>OR(IF(DW57&lt;DX57,TRUE),IF(AND(DX57="",DW57&lt;&gt;""),TRUE))</formula>
    </cfRule>
    <cfRule type="expression" dxfId="1207" priority="1116">
      <formula>IF(DW57&gt;=DX57,IF(DW57="",FALSE,TRUE))</formula>
    </cfRule>
  </conditionalFormatting>
  <conditionalFormatting sqref="DW50:DW56 DY50:DY56">
    <cfRule type="expression" dxfId="1206" priority="1113">
      <formula>OR(IF(DW50&lt;DX50,TRUE),IF(AND(DX50="",DW50&lt;&gt;""),TRUE))</formula>
    </cfRule>
    <cfRule type="expression" dxfId="1205" priority="1114">
      <formula>IF(DW50&gt;=DX50,IF(DW50="",FALSE,TRUE))</formula>
    </cfRule>
  </conditionalFormatting>
  <conditionalFormatting sqref="ED58:ED59 EF58:EF59">
    <cfRule type="expression" dxfId="1204" priority="1111">
      <formula>OR(IF(ED58&lt;EE58,TRUE),IF(AND(EE58="",ED58&lt;&gt;""),TRUE))</formula>
    </cfRule>
    <cfRule type="expression" dxfId="1203" priority="1112">
      <formula>IF(ED58&gt;=EE58,IF(ED58="",FALSE,TRUE))</formula>
    </cfRule>
  </conditionalFormatting>
  <conditionalFormatting sqref="ED57 EF57">
    <cfRule type="expression" dxfId="1202" priority="1109">
      <formula>OR(IF(ED57&lt;EE57,TRUE),IF(AND(EE57="",ED57&lt;&gt;""),TRUE))</formula>
    </cfRule>
    <cfRule type="expression" dxfId="1201" priority="1110">
      <formula>IF(ED57&gt;=EE57,IF(ED57="",FALSE,TRUE))</formula>
    </cfRule>
  </conditionalFormatting>
  <conditionalFormatting sqref="ED50:ED56 EF50:EF56">
    <cfRule type="expression" dxfId="1200" priority="1107">
      <formula>OR(IF(ED50&lt;EE50,TRUE),IF(AND(EE50="",ED50&lt;&gt;""),TRUE))</formula>
    </cfRule>
    <cfRule type="expression" dxfId="1199" priority="1108">
      <formula>IF(ED50&gt;=EE50,IF(ED50="",FALSE,TRUE))</formula>
    </cfRule>
  </conditionalFormatting>
  <conditionalFormatting sqref="EK58:EK59 EM58:EM59">
    <cfRule type="expression" dxfId="1198" priority="1105">
      <formula>OR(IF(EK58&lt;EL58,TRUE),IF(AND(EL58="",EK58&lt;&gt;""),TRUE))</formula>
    </cfRule>
    <cfRule type="expression" dxfId="1197" priority="1106">
      <formula>IF(EK58&gt;=EL58,IF(EK58="",FALSE,TRUE))</formula>
    </cfRule>
  </conditionalFormatting>
  <conditionalFormatting sqref="EK57 EM57">
    <cfRule type="expression" dxfId="1196" priority="1103">
      <formula>OR(IF(EK57&lt;EL57,TRUE),IF(AND(EL57="",EK57&lt;&gt;""),TRUE))</formula>
    </cfRule>
    <cfRule type="expression" dxfId="1195" priority="1104">
      <formula>IF(EK57&gt;=EL57,IF(EK57="",FALSE,TRUE))</formula>
    </cfRule>
  </conditionalFormatting>
  <conditionalFormatting sqref="EK50:EK56 EM50:EM56">
    <cfRule type="expression" dxfId="1194" priority="1101">
      <formula>OR(IF(EK50&lt;EL50,TRUE),IF(AND(EL50="",EK50&lt;&gt;""),TRUE))</formula>
    </cfRule>
    <cfRule type="expression" dxfId="1193" priority="1102">
      <formula>IF(EK50&gt;=EL50,IF(EK50="",FALSE,TRUE))</formula>
    </cfRule>
  </conditionalFormatting>
  <conditionalFormatting sqref="ER58:ER59 ET58:ET59">
    <cfRule type="expression" dxfId="1192" priority="1099">
      <formula>OR(IF(ER58&lt;ES58,TRUE),IF(AND(ES58="",ER58&lt;&gt;""),TRUE))</formula>
    </cfRule>
    <cfRule type="expression" dxfId="1191" priority="1100">
      <formula>IF(ER58&gt;=ES58,IF(ER58="",FALSE,TRUE))</formula>
    </cfRule>
  </conditionalFormatting>
  <conditionalFormatting sqref="ER57 ET57">
    <cfRule type="expression" dxfId="1190" priority="1097">
      <formula>OR(IF(ER57&lt;ES57,TRUE),IF(AND(ES57="",ER57&lt;&gt;""),TRUE))</formula>
    </cfRule>
    <cfRule type="expression" dxfId="1189" priority="1098">
      <formula>IF(ER57&gt;=ES57,IF(ER57="",FALSE,TRUE))</formula>
    </cfRule>
  </conditionalFormatting>
  <conditionalFormatting sqref="ER50:ER56 ET50:ET56">
    <cfRule type="expression" dxfId="1188" priority="1095">
      <formula>OR(IF(ER50&lt;ES50,TRUE),IF(AND(ES50="",ER50&lt;&gt;""),TRUE))</formula>
    </cfRule>
    <cfRule type="expression" dxfId="1187" priority="1096">
      <formula>IF(ER50&gt;=ES50,IF(ER50="",FALSE,TRUE))</formula>
    </cfRule>
  </conditionalFormatting>
  <conditionalFormatting sqref="AJ33">
    <cfRule type="expression" dxfId="787" priority="729">
      <formula>OR(IF(AJ33&lt;AK33,TRUE),IF(AND(AK33="",AJ33&lt;&gt;""),TRUE))</formula>
    </cfRule>
    <cfRule type="expression" dxfId="786" priority="730">
      <formula>IF(AJ33&gt;=AK33,IF(AJ33="",FALSE,TRUE))</formula>
    </cfRule>
  </conditionalFormatting>
  <conditionalFormatting sqref="AL33">
    <cfRule type="expression" dxfId="777" priority="719">
      <formula>OR(IF(AL33&lt;AM33,TRUE),IF(AND(AM33="",AL33&lt;&gt;""),TRUE))</formula>
    </cfRule>
    <cfRule type="expression" dxfId="776" priority="720">
      <formula>IF(AL33&gt;=AM33,IF(AL33="",FALSE,TRUE))</formula>
    </cfRule>
  </conditionalFormatting>
  <conditionalFormatting sqref="CW34">
    <cfRule type="expression" dxfId="755" priority="685">
      <formula>OR(IF(CW34&lt;CX34,TRUE),IF(AND(CX34="",CW34&lt;&gt;""),TRUE))</formula>
    </cfRule>
    <cfRule type="expression" dxfId="754" priority="686">
      <formula>IF(CW34&gt;=CX34,IF(CW34="",FALSE,TRUE))</formula>
    </cfRule>
  </conditionalFormatting>
  <conditionalFormatting sqref="CU29">
    <cfRule type="expression" dxfId="753" priority="697">
      <formula>OR(IF(CU29&lt;CV29,TRUE),IF(AND(CV29="",CU29&lt;&gt;""),TRUE))</formula>
    </cfRule>
    <cfRule type="expression" dxfId="752" priority="698">
      <formula>IF(CU29&gt;=CV29,IF(CU29="",FALSE,TRUE))</formula>
    </cfRule>
  </conditionalFormatting>
  <conditionalFormatting sqref="CU30">
    <cfRule type="expression" dxfId="751" priority="695">
      <formula>OR(IF(CU30&lt;CV30,TRUE),IF(AND(CV30="",CU30&lt;&gt;""),TRUE))</formula>
    </cfRule>
    <cfRule type="expression" dxfId="750" priority="696">
      <formula>IF(CU30&gt;=CV30,IF(CU30="",FALSE,TRUE))</formula>
    </cfRule>
  </conditionalFormatting>
  <conditionalFormatting sqref="CU31">
    <cfRule type="expression" dxfId="749" priority="693">
      <formula>OR(IF(CU31&lt;CV31,TRUE),IF(AND(CV31="",CU31&lt;&gt;""),TRUE))</formula>
    </cfRule>
    <cfRule type="expression" dxfId="748" priority="694">
      <formula>IF(CU31&gt;=CV31,IF(CU31="",FALSE,TRUE))</formula>
    </cfRule>
  </conditionalFormatting>
  <conditionalFormatting sqref="CU32">
    <cfRule type="expression" dxfId="747" priority="691">
      <formula>OR(IF(CU32&lt;CV32,TRUE),IF(AND(CV32="",CU32&lt;&gt;""),TRUE))</formula>
    </cfRule>
    <cfRule type="expression" dxfId="746" priority="692">
      <formula>IF(CU32&gt;=CV32,IF(CU32="",FALSE,TRUE))</formula>
    </cfRule>
  </conditionalFormatting>
  <conditionalFormatting sqref="CU33">
    <cfRule type="expression" dxfId="745" priority="689">
      <formula>OR(IF(CU33&lt;CV33,TRUE),IF(AND(CV33="",CU33&lt;&gt;""),TRUE))</formula>
    </cfRule>
    <cfRule type="expression" dxfId="744" priority="690">
      <formula>IF(CU33&gt;=CV33,IF(CU33="",FALSE,TRUE))</formula>
    </cfRule>
  </conditionalFormatting>
  <conditionalFormatting sqref="CU34">
    <cfRule type="expression" dxfId="743" priority="687">
      <formula>OR(IF(CU34&lt;CV34,TRUE),IF(AND(CV34="",CU34&lt;&gt;""),TRUE))</formula>
    </cfRule>
    <cfRule type="expression" dxfId="742" priority="688">
      <formula>IF(CU34&gt;=CV34,IF(CU34="",FALSE,TRUE))</formula>
    </cfRule>
  </conditionalFormatting>
  <conditionalFormatting sqref="CW29">
    <cfRule type="expression" dxfId="741" priority="683">
      <formula>OR(IF(CW29&lt;CX29,TRUE),IF(AND(CX29="",CW29&lt;&gt;""),TRUE))</formula>
    </cfRule>
    <cfRule type="expression" dxfId="740" priority="684">
      <formula>IF(CW29&gt;=CX29,IF(CW29="",FALSE,TRUE))</formula>
    </cfRule>
  </conditionalFormatting>
  <conditionalFormatting sqref="CW30">
    <cfRule type="expression" dxfId="739" priority="681">
      <formula>OR(IF(CW30&lt;CX30,TRUE),IF(AND(CX30="",CW30&lt;&gt;""),TRUE))</formula>
    </cfRule>
    <cfRule type="expression" dxfId="738" priority="682">
      <formula>IF(CW30&gt;=CX30,IF(CW30="",FALSE,TRUE))</formula>
    </cfRule>
  </conditionalFormatting>
  <conditionalFormatting sqref="CW31">
    <cfRule type="expression" dxfId="737" priority="679">
      <formula>OR(IF(CW31&lt;CX31,TRUE),IF(AND(CX31="",CW31&lt;&gt;""),TRUE))</formula>
    </cfRule>
    <cfRule type="expression" dxfId="736" priority="680">
      <formula>IF(CW31&gt;=CX31,IF(CW31="",FALSE,TRUE))</formula>
    </cfRule>
  </conditionalFormatting>
  <conditionalFormatting sqref="CW32">
    <cfRule type="expression" dxfId="735" priority="677">
      <formula>OR(IF(CW32&lt;CX32,TRUE),IF(AND(CX32="",CW32&lt;&gt;""),TRUE))</formula>
    </cfRule>
    <cfRule type="expression" dxfId="734" priority="678">
      <formula>IF(CW32&gt;=CX32,IF(CW32="",FALSE,TRUE))</formula>
    </cfRule>
  </conditionalFormatting>
  <conditionalFormatting sqref="CW33">
    <cfRule type="expression" dxfId="733" priority="675">
      <formula>OR(IF(CW33&lt;CX33,TRUE),IF(AND(CX33="",CW33&lt;&gt;""),TRUE))</formula>
    </cfRule>
    <cfRule type="expression" dxfId="732" priority="676">
      <formula>IF(CW33&gt;=CX33,IF(CW33="",FALSE,TRUE))</formula>
    </cfRule>
  </conditionalFormatting>
  <conditionalFormatting sqref="CP34">
    <cfRule type="expression" dxfId="731" priority="661">
      <formula>OR(IF(CP34&lt;CQ34,TRUE),IF(AND(CQ34="",CP34&lt;&gt;""),TRUE))</formula>
    </cfRule>
    <cfRule type="expression" dxfId="730" priority="662">
      <formula>IF(CP34&gt;=CQ34,IF(CP34="",FALSE,TRUE))</formula>
    </cfRule>
  </conditionalFormatting>
  <conditionalFormatting sqref="CN29">
    <cfRule type="expression" dxfId="729" priority="673">
      <formula>OR(IF(CN29&lt;CO29,TRUE),IF(AND(CO29="",CN29&lt;&gt;""),TRUE))</formula>
    </cfRule>
    <cfRule type="expression" dxfId="728" priority="674">
      <formula>IF(CN29&gt;=CO29,IF(CN29="",FALSE,TRUE))</formula>
    </cfRule>
  </conditionalFormatting>
  <conditionalFormatting sqref="CN30">
    <cfRule type="expression" dxfId="727" priority="671">
      <formula>OR(IF(CN30&lt;CO30,TRUE),IF(AND(CO30="",CN30&lt;&gt;""),TRUE))</formula>
    </cfRule>
    <cfRule type="expression" dxfId="726" priority="672">
      <formula>IF(CN30&gt;=CO30,IF(CN30="",FALSE,TRUE))</formula>
    </cfRule>
  </conditionalFormatting>
  <conditionalFormatting sqref="CN31">
    <cfRule type="expression" dxfId="725" priority="669">
      <formula>OR(IF(CN31&lt;CO31,TRUE),IF(AND(CO31="",CN31&lt;&gt;""),TRUE))</formula>
    </cfRule>
    <cfRule type="expression" dxfId="724" priority="670">
      <formula>IF(CN31&gt;=CO31,IF(CN31="",FALSE,TRUE))</formula>
    </cfRule>
  </conditionalFormatting>
  <conditionalFormatting sqref="CN32">
    <cfRule type="expression" dxfId="723" priority="667">
      <formula>OR(IF(CN32&lt;CO32,TRUE),IF(AND(CO32="",CN32&lt;&gt;""),TRUE))</formula>
    </cfRule>
    <cfRule type="expression" dxfId="722" priority="668">
      <formula>IF(CN32&gt;=CO32,IF(CN32="",FALSE,TRUE))</formula>
    </cfRule>
  </conditionalFormatting>
  <conditionalFormatting sqref="CN33">
    <cfRule type="expression" dxfId="721" priority="665">
      <formula>OR(IF(CN33&lt;CO33,TRUE),IF(AND(CO33="",CN33&lt;&gt;""),TRUE))</formula>
    </cfRule>
    <cfRule type="expression" dxfId="720" priority="666">
      <formula>IF(CN33&gt;=CO33,IF(CN33="",FALSE,TRUE))</formula>
    </cfRule>
  </conditionalFormatting>
  <conditionalFormatting sqref="CN34">
    <cfRule type="expression" dxfId="719" priority="663">
      <formula>OR(IF(CN34&lt;CO34,TRUE),IF(AND(CO34="",CN34&lt;&gt;""),TRUE))</formula>
    </cfRule>
    <cfRule type="expression" dxfId="718" priority="664">
      <formula>IF(CN34&gt;=CO34,IF(CN34="",FALSE,TRUE))</formula>
    </cfRule>
  </conditionalFormatting>
  <conditionalFormatting sqref="CP29">
    <cfRule type="expression" dxfId="717" priority="659">
      <formula>OR(IF(CP29&lt;CQ29,TRUE),IF(AND(CQ29="",CP29&lt;&gt;""),TRUE))</formula>
    </cfRule>
    <cfRule type="expression" dxfId="716" priority="660">
      <formula>IF(CP29&gt;=CQ29,IF(CP29="",FALSE,TRUE))</formula>
    </cfRule>
  </conditionalFormatting>
  <conditionalFormatting sqref="CP30">
    <cfRule type="expression" dxfId="715" priority="657">
      <formula>OR(IF(CP30&lt;CQ30,TRUE),IF(AND(CQ30="",CP30&lt;&gt;""),TRUE))</formula>
    </cfRule>
    <cfRule type="expression" dxfId="714" priority="658">
      <formula>IF(CP30&gt;=CQ30,IF(CP30="",FALSE,TRUE))</formula>
    </cfRule>
  </conditionalFormatting>
  <conditionalFormatting sqref="CP31">
    <cfRule type="expression" dxfId="713" priority="655">
      <formula>OR(IF(CP31&lt;CQ31,TRUE),IF(AND(CQ31="",CP31&lt;&gt;""),TRUE))</formula>
    </cfRule>
    <cfRule type="expression" dxfId="712" priority="656">
      <formula>IF(CP31&gt;=CQ31,IF(CP31="",FALSE,TRUE))</formula>
    </cfRule>
  </conditionalFormatting>
  <conditionalFormatting sqref="CP32">
    <cfRule type="expression" dxfId="711" priority="653">
      <formula>OR(IF(CP32&lt;CQ32,TRUE),IF(AND(CQ32="",CP32&lt;&gt;""),TRUE))</formula>
    </cfRule>
    <cfRule type="expression" dxfId="710" priority="654">
      <formula>IF(CP32&gt;=CQ32,IF(CP32="",FALSE,TRUE))</formula>
    </cfRule>
  </conditionalFormatting>
  <conditionalFormatting sqref="CP33">
    <cfRule type="expression" dxfId="709" priority="651">
      <formula>OR(IF(CP33&lt;CQ33,TRUE),IF(AND(CQ33="",CP33&lt;&gt;""),TRUE))</formula>
    </cfRule>
    <cfRule type="expression" dxfId="708" priority="652">
      <formula>IF(CP33&gt;=CQ33,IF(CP33="",FALSE,TRUE))</formula>
    </cfRule>
  </conditionalFormatting>
  <conditionalFormatting sqref="CI34">
    <cfRule type="expression" dxfId="587" priority="517">
      <formula>OR(IF(CI34&lt;CJ34,TRUE),IF(AND(CJ34="",CI34&lt;&gt;""),TRUE))</formula>
    </cfRule>
    <cfRule type="expression" dxfId="586" priority="518">
      <formula>IF(CI34&gt;=CJ34,IF(CI34="",FALSE,TRUE))</formula>
    </cfRule>
  </conditionalFormatting>
  <conditionalFormatting sqref="CG29">
    <cfRule type="expression" dxfId="585" priority="529">
      <formula>OR(IF(CG29&lt;CH29,TRUE),IF(AND(CH29="",CG29&lt;&gt;""),TRUE))</formula>
    </cfRule>
    <cfRule type="expression" dxfId="584" priority="530">
      <formula>IF(CG29&gt;=CH29,IF(CG29="",FALSE,TRUE))</formula>
    </cfRule>
  </conditionalFormatting>
  <conditionalFormatting sqref="CG30">
    <cfRule type="expression" dxfId="583" priority="527">
      <formula>OR(IF(CG30&lt;CH30,TRUE),IF(AND(CH30="",CG30&lt;&gt;""),TRUE))</formula>
    </cfRule>
    <cfRule type="expression" dxfId="582" priority="528">
      <formula>IF(CG30&gt;=CH30,IF(CG30="",FALSE,TRUE))</formula>
    </cfRule>
  </conditionalFormatting>
  <conditionalFormatting sqref="CG31">
    <cfRule type="expression" dxfId="581" priority="525">
      <formula>OR(IF(CG31&lt;CH31,TRUE),IF(AND(CH31="",CG31&lt;&gt;""),TRUE))</formula>
    </cfRule>
    <cfRule type="expression" dxfId="580" priority="526">
      <formula>IF(CG31&gt;=CH31,IF(CG31="",FALSE,TRUE))</formula>
    </cfRule>
  </conditionalFormatting>
  <conditionalFormatting sqref="CG32">
    <cfRule type="expression" dxfId="579" priority="523">
      <formula>OR(IF(CG32&lt;CH32,TRUE),IF(AND(CH32="",CG32&lt;&gt;""),TRUE))</formula>
    </cfRule>
    <cfRule type="expression" dxfId="578" priority="524">
      <formula>IF(CG32&gt;=CH32,IF(CG32="",FALSE,TRUE))</formula>
    </cfRule>
  </conditionalFormatting>
  <conditionalFormatting sqref="CG33">
    <cfRule type="expression" dxfId="577" priority="521">
      <formula>OR(IF(CG33&lt;CH33,TRUE),IF(AND(CH33="",CG33&lt;&gt;""),TRUE))</formula>
    </cfRule>
    <cfRule type="expression" dxfId="576" priority="522">
      <formula>IF(CG33&gt;=CH33,IF(CG33="",FALSE,TRUE))</formula>
    </cfRule>
  </conditionalFormatting>
  <conditionalFormatting sqref="CG34">
    <cfRule type="expression" dxfId="575" priority="519">
      <formula>OR(IF(CG34&lt;CH34,TRUE),IF(AND(CH34="",CG34&lt;&gt;""),TRUE))</formula>
    </cfRule>
    <cfRule type="expression" dxfId="574" priority="520">
      <formula>IF(CG34&gt;=CH34,IF(CG34="",FALSE,TRUE))</formula>
    </cfRule>
  </conditionalFormatting>
  <conditionalFormatting sqref="CI29">
    <cfRule type="expression" dxfId="573" priority="515">
      <formula>OR(IF(CI29&lt;CJ29,TRUE),IF(AND(CJ29="",CI29&lt;&gt;""),TRUE))</formula>
    </cfRule>
    <cfRule type="expression" dxfId="572" priority="516">
      <formula>IF(CI29&gt;=CJ29,IF(CI29="",FALSE,TRUE))</formula>
    </cfRule>
  </conditionalFormatting>
  <conditionalFormatting sqref="CI30">
    <cfRule type="expression" dxfId="571" priority="513">
      <formula>OR(IF(CI30&lt;CJ30,TRUE),IF(AND(CJ30="",CI30&lt;&gt;""),TRUE))</formula>
    </cfRule>
    <cfRule type="expression" dxfId="570" priority="514">
      <formula>IF(CI30&gt;=CJ30,IF(CI30="",FALSE,TRUE))</formula>
    </cfRule>
  </conditionalFormatting>
  <conditionalFormatting sqref="CI31">
    <cfRule type="expression" dxfId="569" priority="511">
      <formula>OR(IF(CI31&lt;CJ31,TRUE),IF(AND(CJ31="",CI31&lt;&gt;""),TRUE))</formula>
    </cfRule>
    <cfRule type="expression" dxfId="568" priority="512">
      <formula>IF(CI31&gt;=CJ31,IF(CI31="",FALSE,TRUE))</formula>
    </cfRule>
  </conditionalFormatting>
  <conditionalFormatting sqref="CI32">
    <cfRule type="expression" dxfId="567" priority="509">
      <formula>OR(IF(CI32&lt;CJ32,TRUE),IF(AND(CJ32="",CI32&lt;&gt;""),TRUE))</formula>
    </cfRule>
    <cfRule type="expression" dxfId="566" priority="510">
      <formula>IF(CI32&gt;=CJ32,IF(CI32="",FALSE,TRUE))</formula>
    </cfRule>
  </conditionalFormatting>
  <conditionalFormatting sqref="CI33">
    <cfRule type="expression" dxfId="565" priority="507">
      <formula>OR(IF(CI33&lt;CJ33,TRUE),IF(AND(CJ33="",CI33&lt;&gt;""),TRUE))</formula>
    </cfRule>
    <cfRule type="expression" dxfId="564" priority="508">
      <formula>IF(CI33&gt;=CJ33,IF(CI33="",FALSE,TRUE))</formula>
    </cfRule>
  </conditionalFormatting>
  <conditionalFormatting sqref="CB34">
    <cfRule type="expression" dxfId="539" priority="493">
      <formula>OR(IF(CB34&lt;CC34,TRUE),IF(AND(CC34="",CB34&lt;&gt;""),TRUE))</formula>
    </cfRule>
    <cfRule type="expression" dxfId="538" priority="494">
      <formula>IF(CB34&gt;=CC34,IF(CB34="",FALSE,TRUE))</formula>
    </cfRule>
  </conditionalFormatting>
  <conditionalFormatting sqref="BZ29">
    <cfRule type="expression" dxfId="537" priority="505">
      <formula>OR(IF(BZ29&lt;CA29,TRUE),IF(AND(CA29="",BZ29&lt;&gt;""),TRUE))</formula>
    </cfRule>
    <cfRule type="expression" dxfId="536" priority="506">
      <formula>IF(BZ29&gt;=CA29,IF(BZ29="",FALSE,TRUE))</formula>
    </cfRule>
  </conditionalFormatting>
  <conditionalFormatting sqref="BZ30">
    <cfRule type="expression" dxfId="535" priority="503">
      <formula>OR(IF(BZ30&lt;CA30,TRUE),IF(AND(CA30="",BZ30&lt;&gt;""),TRUE))</formula>
    </cfRule>
    <cfRule type="expression" dxfId="534" priority="504">
      <formula>IF(BZ30&gt;=CA30,IF(BZ30="",FALSE,TRUE))</formula>
    </cfRule>
  </conditionalFormatting>
  <conditionalFormatting sqref="BZ31">
    <cfRule type="expression" dxfId="533" priority="501">
      <formula>OR(IF(BZ31&lt;CA31,TRUE),IF(AND(CA31="",BZ31&lt;&gt;""),TRUE))</formula>
    </cfRule>
    <cfRule type="expression" dxfId="532" priority="502">
      <formula>IF(BZ31&gt;=CA31,IF(BZ31="",FALSE,TRUE))</formula>
    </cfRule>
  </conditionalFormatting>
  <conditionalFormatting sqref="BZ32">
    <cfRule type="expression" dxfId="531" priority="499">
      <formula>OR(IF(BZ32&lt;CA32,TRUE),IF(AND(CA32="",BZ32&lt;&gt;""),TRUE))</formula>
    </cfRule>
    <cfRule type="expression" dxfId="530" priority="500">
      <formula>IF(BZ32&gt;=CA32,IF(BZ32="",FALSE,TRUE))</formula>
    </cfRule>
  </conditionalFormatting>
  <conditionalFormatting sqref="BZ33">
    <cfRule type="expression" dxfId="529" priority="497">
      <formula>OR(IF(BZ33&lt;CA33,TRUE),IF(AND(CA33="",BZ33&lt;&gt;""),TRUE))</formula>
    </cfRule>
    <cfRule type="expression" dxfId="528" priority="498">
      <formula>IF(BZ33&gt;=CA33,IF(BZ33="",FALSE,TRUE))</formula>
    </cfRule>
  </conditionalFormatting>
  <conditionalFormatting sqref="BZ34">
    <cfRule type="expression" dxfId="527" priority="495">
      <formula>OR(IF(BZ34&lt;CA34,TRUE),IF(AND(CA34="",BZ34&lt;&gt;""),TRUE))</formula>
    </cfRule>
    <cfRule type="expression" dxfId="526" priority="496">
      <formula>IF(BZ34&gt;=CA34,IF(BZ34="",FALSE,TRUE))</formula>
    </cfRule>
  </conditionalFormatting>
  <conditionalFormatting sqref="CB29">
    <cfRule type="expression" dxfId="525" priority="491">
      <formula>OR(IF(CB29&lt;CC29,TRUE),IF(AND(CC29="",CB29&lt;&gt;""),TRUE))</formula>
    </cfRule>
    <cfRule type="expression" dxfId="524" priority="492">
      <formula>IF(CB29&gt;=CC29,IF(CB29="",FALSE,TRUE))</formula>
    </cfRule>
  </conditionalFormatting>
  <conditionalFormatting sqref="CB30">
    <cfRule type="expression" dxfId="523" priority="489">
      <formula>OR(IF(CB30&lt;CC30,TRUE),IF(AND(CC30="",CB30&lt;&gt;""),TRUE))</formula>
    </cfRule>
    <cfRule type="expression" dxfId="522" priority="490">
      <formula>IF(CB30&gt;=CC30,IF(CB30="",FALSE,TRUE))</formula>
    </cfRule>
  </conditionalFormatting>
  <conditionalFormatting sqref="CB31">
    <cfRule type="expression" dxfId="521" priority="487">
      <formula>OR(IF(CB31&lt;CC31,TRUE),IF(AND(CC31="",CB31&lt;&gt;""),TRUE))</formula>
    </cfRule>
    <cfRule type="expression" dxfId="520" priority="488">
      <formula>IF(CB31&gt;=CC31,IF(CB31="",FALSE,TRUE))</formula>
    </cfRule>
  </conditionalFormatting>
  <conditionalFormatting sqref="CB32">
    <cfRule type="expression" dxfId="519" priority="485">
      <formula>OR(IF(CB32&lt;CC32,TRUE),IF(AND(CC32="",CB32&lt;&gt;""),TRUE))</formula>
    </cfRule>
    <cfRule type="expression" dxfId="518" priority="486">
      <formula>IF(CB32&gt;=CC32,IF(CB32="",FALSE,TRUE))</formula>
    </cfRule>
  </conditionalFormatting>
  <conditionalFormatting sqref="CB33">
    <cfRule type="expression" dxfId="517" priority="483">
      <formula>OR(IF(CB33&lt;CC33,TRUE),IF(AND(CC33="",CB33&lt;&gt;""),TRUE))</formula>
    </cfRule>
    <cfRule type="expression" dxfId="516" priority="484">
      <formula>IF(CB33&gt;=CC33,IF(CB33="",FALSE,TRUE))</formula>
    </cfRule>
  </conditionalFormatting>
  <conditionalFormatting sqref="BU34">
    <cfRule type="expression" dxfId="515" priority="469">
      <formula>OR(IF(BU34&lt;BV34,TRUE),IF(AND(BV34="",BU34&lt;&gt;""),TRUE))</formula>
    </cfRule>
    <cfRule type="expression" dxfId="514" priority="470">
      <formula>IF(BU34&gt;=BV34,IF(BU34="",FALSE,TRUE))</formula>
    </cfRule>
  </conditionalFormatting>
  <conditionalFormatting sqref="BS29">
    <cfRule type="expression" dxfId="513" priority="481">
      <formula>OR(IF(BS29&lt;BT29,TRUE),IF(AND(BT29="",BS29&lt;&gt;""),TRUE))</formula>
    </cfRule>
    <cfRule type="expression" dxfId="512" priority="482">
      <formula>IF(BS29&gt;=BT29,IF(BS29="",FALSE,TRUE))</formula>
    </cfRule>
  </conditionalFormatting>
  <conditionalFormatting sqref="BS30">
    <cfRule type="expression" dxfId="511" priority="479">
      <formula>OR(IF(BS30&lt;BT30,TRUE),IF(AND(BT30="",BS30&lt;&gt;""),TRUE))</formula>
    </cfRule>
    <cfRule type="expression" dxfId="510" priority="480">
      <formula>IF(BS30&gt;=BT30,IF(BS30="",FALSE,TRUE))</formula>
    </cfRule>
  </conditionalFormatting>
  <conditionalFormatting sqref="BS31">
    <cfRule type="expression" dxfId="509" priority="477">
      <formula>OR(IF(BS31&lt;BT31,TRUE),IF(AND(BT31="",BS31&lt;&gt;""),TRUE))</formula>
    </cfRule>
    <cfRule type="expression" dxfId="508" priority="478">
      <formula>IF(BS31&gt;=BT31,IF(BS31="",FALSE,TRUE))</formula>
    </cfRule>
  </conditionalFormatting>
  <conditionalFormatting sqref="BS32">
    <cfRule type="expression" dxfId="507" priority="475">
      <formula>OR(IF(BS32&lt;BT32,TRUE),IF(AND(BT32="",BS32&lt;&gt;""),TRUE))</formula>
    </cfRule>
    <cfRule type="expression" dxfId="506" priority="476">
      <formula>IF(BS32&gt;=BT32,IF(BS32="",FALSE,TRUE))</formula>
    </cfRule>
  </conditionalFormatting>
  <conditionalFormatting sqref="BS33">
    <cfRule type="expression" dxfId="505" priority="473">
      <formula>OR(IF(BS33&lt;BT33,TRUE),IF(AND(BT33="",BS33&lt;&gt;""),TRUE))</formula>
    </cfRule>
    <cfRule type="expression" dxfId="504" priority="474">
      <formula>IF(BS33&gt;=BT33,IF(BS33="",FALSE,TRUE))</formula>
    </cfRule>
  </conditionalFormatting>
  <conditionalFormatting sqref="BS34">
    <cfRule type="expression" dxfId="503" priority="471">
      <formula>OR(IF(BS34&lt;BT34,TRUE),IF(AND(BT34="",BS34&lt;&gt;""),TRUE))</formula>
    </cfRule>
    <cfRule type="expression" dxfId="502" priority="472">
      <formula>IF(BS34&gt;=BT34,IF(BS34="",FALSE,TRUE))</formula>
    </cfRule>
  </conditionalFormatting>
  <conditionalFormatting sqref="BU29">
    <cfRule type="expression" dxfId="501" priority="467">
      <formula>OR(IF(BU29&lt;BV29,TRUE),IF(AND(BV29="",BU29&lt;&gt;""),TRUE))</formula>
    </cfRule>
    <cfRule type="expression" dxfId="500" priority="468">
      <formula>IF(BU29&gt;=BV29,IF(BU29="",FALSE,TRUE))</formula>
    </cfRule>
  </conditionalFormatting>
  <conditionalFormatting sqref="BU30">
    <cfRule type="expression" dxfId="499" priority="465">
      <formula>OR(IF(BU30&lt;BV30,TRUE),IF(AND(BV30="",BU30&lt;&gt;""),TRUE))</formula>
    </cfRule>
    <cfRule type="expression" dxfId="498" priority="466">
      <formula>IF(BU30&gt;=BV30,IF(BU30="",FALSE,TRUE))</formula>
    </cfRule>
  </conditionalFormatting>
  <conditionalFormatting sqref="BU31">
    <cfRule type="expression" dxfId="497" priority="463">
      <formula>OR(IF(BU31&lt;BV31,TRUE),IF(AND(BV31="",BU31&lt;&gt;""),TRUE))</formula>
    </cfRule>
    <cfRule type="expression" dxfId="496" priority="464">
      <formula>IF(BU31&gt;=BV31,IF(BU31="",FALSE,TRUE))</formula>
    </cfRule>
  </conditionalFormatting>
  <conditionalFormatting sqref="BU32">
    <cfRule type="expression" dxfId="495" priority="461">
      <formula>OR(IF(BU32&lt;BV32,TRUE),IF(AND(BV32="",BU32&lt;&gt;""),TRUE))</formula>
    </cfRule>
    <cfRule type="expression" dxfId="494" priority="462">
      <formula>IF(BU32&gt;=BV32,IF(BU32="",FALSE,TRUE))</formula>
    </cfRule>
  </conditionalFormatting>
  <conditionalFormatting sqref="BU33">
    <cfRule type="expression" dxfId="493" priority="459">
      <formula>OR(IF(BU33&lt;BV33,TRUE),IF(AND(BV33="",BU33&lt;&gt;""),TRUE))</formula>
    </cfRule>
    <cfRule type="expression" dxfId="492" priority="460">
      <formula>IF(BU33&gt;=BV33,IF(BU33="",FALSE,TRUE))</formula>
    </cfRule>
  </conditionalFormatting>
  <conditionalFormatting sqref="BN34">
    <cfRule type="expression" dxfId="491" priority="445">
      <formula>OR(IF(BN34&lt;BO34,TRUE),IF(AND(BO34="",BN34&lt;&gt;""),TRUE))</formula>
    </cfRule>
    <cfRule type="expression" dxfId="490" priority="446">
      <formula>IF(BN34&gt;=BO34,IF(BN34="",FALSE,TRUE))</formula>
    </cfRule>
  </conditionalFormatting>
  <conditionalFormatting sqref="BL29">
    <cfRule type="expression" dxfId="489" priority="457">
      <formula>OR(IF(BL29&lt;BM29,TRUE),IF(AND(BM29="",BL29&lt;&gt;""),TRUE))</formula>
    </cfRule>
    <cfRule type="expression" dxfId="488" priority="458">
      <formula>IF(BL29&gt;=BM29,IF(BL29="",FALSE,TRUE))</formula>
    </cfRule>
  </conditionalFormatting>
  <conditionalFormatting sqref="BL30">
    <cfRule type="expression" dxfId="487" priority="455">
      <formula>OR(IF(BL30&lt;BM30,TRUE),IF(AND(BM30="",BL30&lt;&gt;""),TRUE))</formula>
    </cfRule>
    <cfRule type="expression" dxfId="486" priority="456">
      <formula>IF(BL30&gt;=BM30,IF(BL30="",FALSE,TRUE))</formula>
    </cfRule>
  </conditionalFormatting>
  <conditionalFormatting sqref="BL31">
    <cfRule type="expression" dxfId="485" priority="453">
      <formula>OR(IF(BL31&lt;BM31,TRUE),IF(AND(BM31="",BL31&lt;&gt;""),TRUE))</formula>
    </cfRule>
    <cfRule type="expression" dxfId="484" priority="454">
      <formula>IF(BL31&gt;=BM31,IF(BL31="",FALSE,TRUE))</formula>
    </cfRule>
  </conditionalFormatting>
  <conditionalFormatting sqref="BL32">
    <cfRule type="expression" dxfId="483" priority="451">
      <formula>OR(IF(BL32&lt;BM32,TRUE),IF(AND(BM32="",BL32&lt;&gt;""),TRUE))</formula>
    </cfRule>
    <cfRule type="expression" dxfId="482" priority="452">
      <formula>IF(BL32&gt;=BM32,IF(BL32="",FALSE,TRUE))</formula>
    </cfRule>
  </conditionalFormatting>
  <conditionalFormatting sqref="BL33">
    <cfRule type="expression" dxfId="481" priority="449">
      <formula>OR(IF(BL33&lt;BM33,TRUE),IF(AND(BM33="",BL33&lt;&gt;""),TRUE))</formula>
    </cfRule>
    <cfRule type="expression" dxfId="480" priority="450">
      <formula>IF(BL33&gt;=BM33,IF(BL33="",FALSE,TRUE))</formula>
    </cfRule>
  </conditionalFormatting>
  <conditionalFormatting sqref="BL34">
    <cfRule type="expression" dxfId="479" priority="447">
      <formula>OR(IF(BL34&lt;BM34,TRUE),IF(AND(BM34="",BL34&lt;&gt;""),TRUE))</formula>
    </cfRule>
    <cfRule type="expression" dxfId="478" priority="448">
      <formula>IF(BL34&gt;=BM34,IF(BL34="",FALSE,TRUE))</formula>
    </cfRule>
  </conditionalFormatting>
  <conditionalFormatting sqref="BN29">
    <cfRule type="expression" dxfId="477" priority="443">
      <formula>OR(IF(BN29&lt;BO29,TRUE),IF(AND(BO29="",BN29&lt;&gt;""),TRUE))</formula>
    </cfRule>
    <cfRule type="expression" dxfId="476" priority="444">
      <formula>IF(BN29&gt;=BO29,IF(BN29="",FALSE,TRUE))</formula>
    </cfRule>
  </conditionalFormatting>
  <conditionalFormatting sqref="BN30">
    <cfRule type="expression" dxfId="475" priority="441">
      <formula>OR(IF(BN30&lt;BO30,TRUE),IF(AND(BO30="",BN30&lt;&gt;""),TRUE))</formula>
    </cfRule>
    <cfRule type="expression" dxfId="474" priority="442">
      <formula>IF(BN30&gt;=BO30,IF(BN30="",FALSE,TRUE))</formula>
    </cfRule>
  </conditionalFormatting>
  <conditionalFormatting sqref="BN31">
    <cfRule type="expression" dxfId="473" priority="439">
      <formula>OR(IF(BN31&lt;BO31,TRUE),IF(AND(BO31="",BN31&lt;&gt;""),TRUE))</formula>
    </cfRule>
    <cfRule type="expression" dxfId="472" priority="440">
      <formula>IF(BN31&gt;=BO31,IF(BN31="",FALSE,TRUE))</formula>
    </cfRule>
  </conditionalFormatting>
  <conditionalFormatting sqref="BN32">
    <cfRule type="expression" dxfId="471" priority="437">
      <formula>OR(IF(BN32&lt;BO32,TRUE),IF(AND(BO32="",BN32&lt;&gt;""),TRUE))</formula>
    </cfRule>
    <cfRule type="expression" dxfId="470" priority="438">
      <formula>IF(BN32&gt;=BO32,IF(BN32="",FALSE,TRUE))</formula>
    </cfRule>
  </conditionalFormatting>
  <conditionalFormatting sqref="BN33">
    <cfRule type="expression" dxfId="469" priority="435">
      <formula>OR(IF(BN33&lt;BO33,TRUE),IF(AND(BO33="",BN33&lt;&gt;""),TRUE))</formula>
    </cfRule>
    <cfRule type="expression" dxfId="468" priority="436">
      <formula>IF(BN33&gt;=BO33,IF(BN33="",FALSE,TRUE))</formula>
    </cfRule>
  </conditionalFormatting>
  <conditionalFormatting sqref="BG34">
    <cfRule type="expression" dxfId="467" priority="421">
      <formula>OR(IF(BG34&lt;BH34,TRUE),IF(AND(BH34="",BG34&lt;&gt;""),TRUE))</formula>
    </cfRule>
    <cfRule type="expression" dxfId="466" priority="422">
      <formula>IF(BG34&gt;=BH34,IF(BG34="",FALSE,TRUE))</formula>
    </cfRule>
  </conditionalFormatting>
  <conditionalFormatting sqref="BE29">
    <cfRule type="expression" dxfId="465" priority="433">
      <formula>OR(IF(BE29&lt;BF29,TRUE),IF(AND(BF29="",BE29&lt;&gt;""),TRUE))</formula>
    </cfRule>
    <cfRule type="expression" dxfId="464" priority="434">
      <formula>IF(BE29&gt;=BF29,IF(BE29="",FALSE,TRUE))</formula>
    </cfRule>
  </conditionalFormatting>
  <conditionalFormatting sqref="BE30">
    <cfRule type="expression" dxfId="463" priority="431">
      <formula>OR(IF(BE30&lt;BF30,TRUE),IF(AND(BF30="",BE30&lt;&gt;""),TRUE))</formula>
    </cfRule>
    <cfRule type="expression" dxfId="462" priority="432">
      <formula>IF(BE30&gt;=BF30,IF(BE30="",FALSE,TRUE))</formula>
    </cfRule>
  </conditionalFormatting>
  <conditionalFormatting sqref="BE31">
    <cfRule type="expression" dxfId="461" priority="429">
      <formula>OR(IF(BE31&lt;BF31,TRUE),IF(AND(BF31="",BE31&lt;&gt;""),TRUE))</formula>
    </cfRule>
    <cfRule type="expression" dxfId="460" priority="430">
      <formula>IF(BE31&gt;=BF31,IF(BE31="",FALSE,TRUE))</formula>
    </cfRule>
  </conditionalFormatting>
  <conditionalFormatting sqref="BE32">
    <cfRule type="expression" dxfId="459" priority="427">
      <formula>OR(IF(BE32&lt;BF32,TRUE),IF(AND(BF32="",BE32&lt;&gt;""),TRUE))</formula>
    </cfRule>
    <cfRule type="expression" dxfId="458" priority="428">
      <formula>IF(BE32&gt;=BF32,IF(BE32="",FALSE,TRUE))</formula>
    </cfRule>
  </conditionalFormatting>
  <conditionalFormatting sqref="BE33">
    <cfRule type="expression" dxfId="457" priority="425">
      <formula>OR(IF(BE33&lt;BF33,TRUE),IF(AND(BF33="",BE33&lt;&gt;""),TRUE))</formula>
    </cfRule>
    <cfRule type="expression" dxfId="456" priority="426">
      <formula>IF(BE33&gt;=BF33,IF(BE33="",FALSE,TRUE))</formula>
    </cfRule>
  </conditionalFormatting>
  <conditionalFormatting sqref="BE34">
    <cfRule type="expression" dxfId="455" priority="423">
      <formula>OR(IF(BE34&lt;BF34,TRUE),IF(AND(BF34="",BE34&lt;&gt;""),TRUE))</formula>
    </cfRule>
    <cfRule type="expression" dxfId="454" priority="424">
      <formula>IF(BE34&gt;=BF34,IF(BE34="",FALSE,TRUE))</formula>
    </cfRule>
  </conditionalFormatting>
  <conditionalFormatting sqref="BG29">
    <cfRule type="expression" dxfId="453" priority="419">
      <formula>OR(IF(BG29&lt;BH29,TRUE),IF(AND(BH29="",BG29&lt;&gt;""),TRUE))</formula>
    </cfRule>
    <cfRule type="expression" dxfId="452" priority="420">
      <formula>IF(BG29&gt;=BH29,IF(BG29="",FALSE,TRUE))</formula>
    </cfRule>
  </conditionalFormatting>
  <conditionalFormatting sqref="BG30">
    <cfRule type="expression" dxfId="451" priority="417">
      <formula>OR(IF(BG30&lt;BH30,TRUE),IF(AND(BH30="",BG30&lt;&gt;""),TRUE))</formula>
    </cfRule>
    <cfRule type="expression" dxfId="450" priority="418">
      <formula>IF(BG30&gt;=BH30,IF(BG30="",FALSE,TRUE))</formula>
    </cfRule>
  </conditionalFormatting>
  <conditionalFormatting sqref="BG31">
    <cfRule type="expression" dxfId="449" priority="415">
      <formula>OR(IF(BG31&lt;BH31,TRUE),IF(AND(BH31="",BG31&lt;&gt;""),TRUE))</formula>
    </cfRule>
    <cfRule type="expression" dxfId="448" priority="416">
      <formula>IF(BG31&gt;=BH31,IF(BG31="",FALSE,TRUE))</formula>
    </cfRule>
  </conditionalFormatting>
  <conditionalFormatting sqref="BG32">
    <cfRule type="expression" dxfId="447" priority="413">
      <formula>OR(IF(BG32&lt;BH32,TRUE),IF(AND(BH32="",BG32&lt;&gt;""),TRUE))</formula>
    </cfRule>
    <cfRule type="expression" dxfId="446" priority="414">
      <formula>IF(BG32&gt;=BH32,IF(BG32="",FALSE,TRUE))</formula>
    </cfRule>
  </conditionalFormatting>
  <conditionalFormatting sqref="BG33">
    <cfRule type="expression" dxfId="445" priority="411">
      <formula>OR(IF(BG33&lt;BH33,TRUE),IF(AND(BH33="",BG33&lt;&gt;""),TRUE))</formula>
    </cfRule>
    <cfRule type="expression" dxfId="444" priority="412">
      <formula>IF(BG33&gt;=BH33,IF(BG33="",FALSE,TRUE))</formula>
    </cfRule>
  </conditionalFormatting>
  <conditionalFormatting sqref="AZ34">
    <cfRule type="expression" dxfId="443" priority="397">
      <formula>OR(IF(AZ34&lt;BA34,TRUE),IF(AND(BA34="",AZ34&lt;&gt;""),TRUE))</formula>
    </cfRule>
    <cfRule type="expression" dxfId="442" priority="398">
      <formula>IF(AZ34&gt;=BA34,IF(AZ34="",FALSE,TRUE))</formula>
    </cfRule>
  </conditionalFormatting>
  <conditionalFormatting sqref="AX29">
    <cfRule type="expression" dxfId="441" priority="409">
      <formula>OR(IF(AX29&lt;AY29,TRUE),IF(AND(AY29="",AX29&lt;&gt;""),TRUE))</formula>
    </cfRule>
    <cfRule type="expression" dxfId="440" priority="410">
      <formula>IF(AX29&gt;=AY29,IF(AX29="",FALSE,TRUE))</formula>
    </cfRule>
  </conditionalFormatting>
  <conditionalFormatting sqref="AX30">
    <cfRule type="expression" dxfId="439" priority="407">
      <formula>OR(IF(AX30&lt;AY30,TRUE),IF(AND(AY30="",AX30&lt;&gt;""),TRUE))</formula>
    </cfRule>
    <cfRule type="expression" dxfId="438" priority="408">
      <formula>IF(AX30&gt;=AY30,IF(AX30="",FALSE,TRUE))</formula>
    </cfRule>
  </conditionalFormatting>
  <conditionalFormatting sqref="AX31">
    <cfRule type="expression" dxfId="437" priority="405">
      <formula>OR(IF(AX31&lt;AY31,TRUE),IF(AND(AY31="",AX31&lt;&gt;""),TRUE))</formula>
    </cfRule>
    <cfRule type="expression" dxfId="436" priority="406">
      <formula>IF(AX31&gt;=AY31,IF(AX31="",FALSE,TRUE))</formula>
    </cfRule>
  </conditionalFormatting>
  <conditionalFormatting sqref="AX32">
    <cfRule type="expression" dxfId="435" priority="403">
      <formula>OR(IF(AX32&lt;AY32,TRUE),IF(AND(AY32="",AX32&lt;&gt;""),TRUE))</formula>
    </cfRule>
    <cfRule type="expression" dxfId="434" priority="404">
      <formula>IF(AX32&gt;=AY32,IF(AX32="",FALSE,TRUE))</formula>
    </cfRule>
  </conditionalFormatting>
  <conditionalFormatting sqref="AX33">
    <cfRule type="expression" dxfId="433" priority="401">
      <formula>OR(IF(AX33&lt;AY33,TRUE),IF(AND(AY33="",AX33&lt;&gt;""),TRUE))</formula>
    </cfRule>
    <cfRule type="expression" dxfId="432" priority="402">
      <formula>IF(AX33&gt;=AY33,IF(AX33="",FALSE,TRUE))</formula>
    </cfRule>
  </conditionalFormatting>
  <conditionalFormatting sqref="AX34">
    <cfRule type="expression" dxfId="431" priority="399">
      <formula>OR(IF(AX34&lt;AY34,TRUE),IF(AND(AY34="",AX34&lt;&gt;""),TRUE))</formula>
    </cfRule>
    <cfRule type="expression" dxfId="430" priority="400">
      <formula>IF(AX34&gt;=AY34,IF(AX34="",FALSE,TRUE))</formula>
    </cfRule>
  </conditionalFormatting>
  <conditionalFormatting sqref="AZ29">
    <cfRule type="expression" dxfId="429" priority="395">
      <formula>OR(IF(AZ29&lt;BA29,TRUE),IF(AND(BA29="",AZ29&lt;&gt;""),TRUE))</formula>
    </cfRule>
    <cfRule type="expression" dxfId="428" priority="396">
      <formula>IF(AZ29&gt;=BA29,IF(AZ29="",FALSE,TRUE))</formula>
    </cfRule>
  </conditionalFormatting>
  <conditionalFormatting sqref="AZ30">
    <cfRule type="expression" dxfId="427" priority="393">
      <formula>OR(IF(AZ30&lt;BA30,TRUE),IF(AND(BA30="",AZ30&lt;&gt;""),TRUE))</formula>
    </cfRule>
    <cfRule type="expression" dxfId="426" priority="394">
      <formula>IF(AZ30&gt;=BA30,IF(AZ30="",FALSE,TRUE))</formula>
    </cfRule>
  </conditionalFormatting>
  <conditionalFormatting sqref="AZ31">
    <cfRule type="expression" dxfId="425" priority="391">
      <formula>OR(IF(AZ31&lt;BA31,TRUE),IF(AND(BA31="",AZ31&lt;&gt;""),TRUE))</formula>
    </cfRule>
    <cfRule type="expression" dxfId="424" priority="392">
      <formula>IF(AZ31&gt;=BA31,IF(AZ31="",FALSE,TRUE))</formula>
    </cfRule>
  </conditionalFormatting>
  <conditionalFormatting sqref="AZ32">
    <cfRule type="expression" dxfId="423" priority="389">
      <formula>OR(IF(AZ32&lt;BA32,TRUE),IF(AND(BA32="",AZ32&lt;&gt;""),TRUE))</formula>
    </cfRule>
    <cfRule type="expression" dxfId="422" priority="390">
      <formula>IF(AZ32&gt;=BA32,IF(AZ32="",FALSE,TRUE))</formula>
    </cfRule>
  </conditionalFormatting>
  <conditionalFormatting sqref="AZ33">
    <cfRule type="expression" dxfId="421" priority="387">
      <formula>OR(IF(AZ33&lt;BA33,TRUE),IF(AND(BA33="",AZ33&lt;&gt;""),TRUE))</formula>
    </cfRule>
    <cfRule type="expression" dxfId="420" priority="388">
      <formula>IF(AZ33&gt;=BA33,IF(AZ33="",FALSE,TRUE))</formula>
    </cfRule>
  </conditionalFormatting>
  <conditionalFormatting sqref="AQ29">
    <cfRule type="expression" dxfId="419" priority="385">
      <formula>OR(IF(AQ29&lt;AR29,TRUE),IF(AND(AR29="",AQ29&lt;&gt;""),TRUE))</formula>
    </cfRule>
    <cfRule type="expression" dxfId="418" priority="386">
      <formula>IF(AQ29&gt;=AR29,IF(AQ29="",FALSE,TRUE))</formula>
    </cfRule>
  </conditionalFormatting>
  <conditionalFormatting sqref="AQ30">
    <cfRule type="expression" dxfId="417" priority="383">
      <formula>OR(IF(AQ30&lt;AR30,TRUE),IF(AND(AR30="",AQ30&lt;&gt;""),TRUE))</formula>
    </cfRule>
    <cfRule type="expression" dxfId="416" priority="384">
      <formula>IF(AQ30&gt;=AR30,IF(AQ30="",FALSE,TRUE))</formula>
    </cfRule>
  </conditionalFormatting>
  <conditionalFormatting sqref="AQ31">
    <cfRule type="expression" dxfId="415" priority="381">
      <formula>OR(IF(AQ31&lt;AR31,TRUE),IF(AND(AR31="",AQ31&lt;&gt;""),TRUE))</formula>
    </cfRule>
    <cfRule type="expression" dxfId="414" priority="382">
      <formula>IF(AQ31&gt;=AR31,IF(AQ31="",FALSE,TRUE))</formula>
    </cfRule>
  </conditionalFormatting>
  <conditionalFormatting sqref="AQ32">
    <cfRule type="expression" dxfId="413" priority="379">
      <formula>OR(IF(AQ32&lt;AR32,TRUE),IF(AND(AR32="",AQ32&lt;&gt;""),TRUE))</formula>
    </cfRule>
    <cfRule type="expression" dxfId="412" priority="380">
      <formula>IF(AQ32&gt;=AR32,IF(AQ32="",FALSE,TRUE))</formula>
    </cfRule>
  </conditionalFormatting>
  <conditionalFormatting sqref="AQ33">
    <cfRule type="expression" dxfId="411" priority="377">
      <formula>OR(IF(AQ33&lt;AR33,TRUE),IF(AND(AR33="",AQ33&lt;&gt;""),TRUE))</formula>
    </cfRule>
    <cfRule type="expression" dxfId="410" priority="378">
      <formula>IF(AQ33&gt;=AR33,IF(AQ33="",FALSE,TRUE))</formula>
    </cfRule>
  </conditionalFormatting>
  <conditionalFormatting sqref="AS29">
    <cfRule type="expression" dxfId="409" priority="375">
      <formula>OR(IF(AS29&lt;AT29,TRUE),IF(AND(AT29="",AS29&lt;&gt;""),TRUE))</formula>
    </cfRule>
    <cfRule type="expression" dxfId="408" priority="376">
      <formula>IF(AS29&gt;=AT29,IF(AS29="",FALSE,TRUE))</formula>
    </cfRule>
  </conditionalFormatting>
  <conditionalFormatting sqref="AS30">
    <cfRule type="expression" dxfId="407" priority="373">
      <formula>OR(IF(AS30&lt;AT30,TRUE),IF(AND(AT30="",AS30&lt;&gt;""),TRUE))</formula>
    </cfRule>
    <cfRule type="expression" dxfId="406" priority="374">
      <formula>IF(AS30&gt;=AT30,IF(AS30="",FALSE,TRUE))</formula>
    </cfRule>
  </conditionalFormatting>
  <conditionalFormatting sqref="AS31">
    <cfRule type="expression" dxfId="405" priority="371">
      <formula>OR(IF(AS31&lt;AT31,TRUE),IF(AND(AT31="",AS31&lt;&gt;""),TRUE))</formula>
    </cfRule>
    <cfRule type="expression" dxfId="404" priority="372">
      <formula>IF(AS31&gt;=AT31,IF(AS31="",FALSE,TRUE))</formula>
    </cfRule>
  </conditionalFormatting>
  <conditionalFormatting sqref="AS32">
    <cfRule type="expression" dxfId="403" priority="369">
      <formula>OR(IF(AS32&lt;AT32,TRUE),IF(AND(AT32="",AS32&lt;&gt;""),TRUE))</formula>
    </cfRule>
    <cfRule type="expression" dxfId="402" priority="370">
      <formula>IF(AS32&gt;=AT32,IF(AS32="",FALSE,TRUE))</formula>
    </cfRule>
  </conditionalFormatting>
  <conditionalFormatting sqref="AS33">
    <cfRule type="expression" dxfId="401" priority="367">
      <formula>OR(IF(AS33&lt;AT33,TRUE),IF(AND(AT33="",AS33&lt;&gt;""),TRUE))</formula>
    </cfRule>
    <cfRule type="expression" dxfId="400" priority="368">
      <formula>IF(AS33&gt;=AT33,IF(AS33="",FALSE,TRUE))</formula>
    </cfRule>
  </conditionalFormatting>
  <conditionalFormatting sqref="AJ29">
    <cfRule type="expression" dxfId="399" priority="365">
      <formula>OR(IF(AJ29&lt;AK29,TRUE),IF(AND(AK29="",AJ29&lt;&gt;""),TRUE))</formula>
    </cfRule>
    <cfRule type="expression" dxfId="398" priority="366">
      <formula>IF(AJ29&gt;=AK29,IF(AJ29="",FALSE,TRUE))</formula>
    </cfRule>
  </conditionalFormatting>
  <conditionalFormatting sqref="AJ30">
    <cfRule type="expression" dxfId="397" priority="363">
      <formula>OR(IF(AJ30&lt;AK30,TRUE),IF(AND(AK30="",AJ30&lt;&gt;""),TRUE))</formula>
    </cfRule>
    <cfRule type="expression" dxfId="396" priority="364">
      <formula>IF(AJ30&gt;=AK30,IF(AJ30="",FALSE,TRUE))</formula>
    </cfRule>
  </conditionalFormatting>
  <conditionalFormatting sqref="AJ31">
    <cfRule type="expression" dxfId="395" priority="361">
      <formula>OR(IF(AJ31&lt;AK31,TRUE),IF(AND(AK31="",AJ31&lt;&gt;""),TRUE))</formula>
    </cfRule>
    <cfRule type="expression" dxfId="394" priority="362">
      <formula>IF(AJ31&gt;=AK31,IF(AJ31="",FALSE,TRUE))</formula>
    </cfRule>
  </conditionalFormatting>
  <conditionalFormatting sqref="AJ32">
    <cfRule type="expression" dxfId="393" priority="359">
      <formula>OR(IF(AJ32&lt;AK32,TRUE),IF(AND(AK32="",AJ32&lt;&gt;""),TRUE))</formula>
    </cfRule>
    <cfRule type="expression" dxfId="392" priority="360">
      <formula>IF(AJ32&gt;=AK32,IF(AJ32="",FALSE,TRUE))</formula>
    </cfRule>
  </conditionalFormatting>
  <conditionalFormatting sqref="AL29">
    <cfRule type="expression" dxfId="391" priority="357">
      <formula>OR(IF(AL29&lt;AM29,TRUE),IF(AND(AM29="",AL29&lt;&gt;""),TRUE))</formula>
    </cfRule>
    <cfRule type="expression" dxfId="390" priority="358">
      <formula>IF(AL29&gt;=AM29,IF(AL29="",FALSE,TRUE))</formula>
    </cfRule>
  </conditionalFormatting>
  <conditionalFormatting sqref="AL30">
    <cfRule type="expression" dxfId="389" priority="355">
      <formula>OR(IF(AL30&lt;AM30,TRUE),IF(AND(AM30="",AL30&lt;&gt;""),TRUE))</formula>
    </cfRule>
    <cfRule type="expression" dxfId="388" priority="356">
      <formula>IF(AL30&gt;=AM30,IF(AL30="",FALSE,TRUE))</formula>
    </cfRule>
  </conditionalFormatting>
  <conditionalFormatting sqref="AL31">
    <cfRule type="expression" dxfId="387" priority="353">
      <formula>OR(IF(AL31&lt;AM31,TRUE),IF(AND(AM31="",AL31&lt;&gt;""),TRUE))</formula>
    </cfRule>
    <cfRule type="expression" dxfId="386" priority="354">
      <formula>IF(AL31&gt;=AM31,IF(AL31="",FALSE,TRUE))</formula>
    </cfRule>
  </conditionalFormatting>
  <conditionalFormatting sqref="AL32">
    <cfRule type="expression" dxfId="385" priority="351">
      <formula>OR(IF(AL32&lt;AM32,TRUE),IF(AND(AM32="",AL32&lt;&gt;""),TRUE))</formula>
    </cfRule>
    <cfRule type="expression" dxfId="384" priority="352">
      <formula>IF(AL32&gt;=AM32,IF(AL32="",FALSE,TRUE))</formula>
    </cfRule>
  </conditionalFormatting>
  <conditionalFormatting sqref="AC34 AE34">
    <cfRule type="expression" dxfId="383" priority="349">
      <formula>OR(IF(AC34&lt;AD34,TRUE),IF(AND(AD34="",AC34&lt;&gt;""),TRUE))</formula>
    </cfRule>
    <cfRule type="expression" dxfId="382" priority="350">
      <formula>IF(AC34&gt;=AD34,IF(AC34="",FALSE,TRUE))</formula>
    </cfRule>
  </conditionalFormatting>
  <conditionalFormatting sqref="AC33">
    <cfRule type="expression" dxfId="381" priority="347">
      <formula>OR(IF(AC33&lt;AD33,TRUE),IF(AND(AD33="",AC33&lt;&gt;""),TRUE))</formula>
    </cfRule>
    <cfRule type="expression" dxfId="380" priority="348">
      <formula>IF(AC33&gt;=AD33,IF(AC33="",FALSE,TRUE))</formula>
    </cfRule>
  </conditionalFormatting>
  <conditionalFormatting sqref="AE33">
    <cfRule type="expression" dxfId="379" priority="345">
      <formula>OR(IF(AE33&lt;AF33,TRUE),IF(AND(AF33="",AE33&lt;&gt;""),TRUE))</formula>
    </cfRule>
    <cfRule type="expression" dxfId="378" priority="346">
      <formula>IF(AE33&gt;=AF33,IF(AE33="",FALSE,TRUE))</formula>
    </cfRule>
  </conditionalFormatting>
  <conditionalFormatting sqref="AC32">
    <cfRule type="expression" dxfId="371" priority="337">
      <formula>OR(IF(AC32&lt;AD32,TRUE),IF(AND(AD32="",AC32&lt;&gt;""),TRUE))</formula>
    </cfRule>
    <cfRule type="expression" dxfId="370" priority="338">
      <formula>IF(AC32&gt;=AD32,IF(AC32="",FALSE,TRUE))</formula>
    </cfRule>
  </conditionalFormatting>
  <conditionalFormatting sqref="AE32">
    <cfRule type="expression" dxfId="363" priority="329">
      <formula>OR(IF(AE32&lt;AF32,TRUE),IF(AND(AF32="",AE32&lt;&gt;""),TRUE))</formula>
    </cfRule>
    <cfRule type="expression" dxfId="362" priority="330">
      <formula>IF(AE32&gt;=AF32,IF(AE32="",FALSE,TRUE))</formula>
    </cfRule>
  </conditionalFormatting>
  <conditionalFormatting sqref="V29">
    <cfRule type="expression" dxfId="341" priority="323">
      <formula>OR(IF(V29&lt;W29,TRUE),IF(AND(W29="",V29&lt;&gt;""),TRUE))</formula>
    </cfRule>
    <cfRule type="expression" dxfId="340" priority="324">
      <formula>IF(V29&gt;=W29,IF(V29="",FALSE,TRUE))</formula>
    </cfRule>
  </conditionalFormatting>
  <conditionalFormatting sqref="V30">
    <cfRule type="expression" dxfId="339" priority="321">
      <formula>OR(IF(V30&lt;W30,TRUE),IF(AND(W30="",V30&lt;&gt;""),TRUE))</formula>
    </cfRule>
    <cfRule type="expression" dxfId="338" priority="322">
      <formula>IF(V30&gt;=W30,IF(V30="",FALSE,TRUE))</formula>
    </cfRule>
  </conditionalFormatting>
  <conditionalFormatting sqref="V31">
    <cfRule type="expression" dxfId="337" priority="319">
      <formula>OR(IF(V31&lt;W31,TRUE),IF(AND(W31="",V31&lt;&gt;""),TRUE))</formula>
    </cfRule>
    <cfRule type="expression" dxfId="336" priority="320">
      <formula>IF(V31&gt;=W31,IF(V31="",FALSE,TRUE))</formula>
    </cfRule>
  </conditionalFormatting>
  <conditionalFormatting sqref="X29">
    <cfRule type="expression" dxfId="335" priority="317">
      <formula>OR(IF(X29&lt;Y29,TRUE),IF(AND(Y29="",X29&lt;&gt;""),TRUE))</formula>
    </cfRule>
    <cfRule type="expression" dxfId="334" priority="318">
      <formula>IF(X29&gt;=Y29,IF(X29="",FALSE,TRUE))</formula>
    </cfRule>
  </conditionalFormatting>
  <conditionalFormatting sqref="X30">
    <cfRule type="expression" dxfId="333" priority="315">
      <formula>OR(IF(X30&lt;Y30,TRUE),IF(AND(Y30="",X30&lt;&gt;""),TRUE))</formula>
    </cfRule>
    <cfRule type="expression" dxfId="332" priority="316">
      <formula>IF(X30&gt;=Y30,IF(X30="",FALSE,TRUE))</formula>
    </cfRule>
  </conditionalFormatting>
  <conditionalFormatting sqref="X31">
    <cfRule type="expression" dxfId="331" priority="313">
      <formula>OR(IF(X31&lt;Y31,TRUE),IF(AND(Y31="",X31&lt;&gt;""),TRUE))</formula>
    </cfRule>
    <cfRule type="expression" dxfId="330" priority="314">
      <formula>IF(X31&gt;=Y31,IF(X31="",FALSE,TRUE))</formula>
    </cfRule>
  </conditionalFormatting>
  <conditionalFormatting sqref="AC29">
    <cfRule type="expression" dxfId="329" priority="311">
      <formula>OR(IF(AC29&lt;AD29,TRUE),IF(AND(AD29="",AC29&lt;&gt;""),TRUE))</formula>
    </cfRule>
    <cfRule type="expression" dxfId="328" priority="312">
      <formula>IF(AC29&gt;=AD29,IF(AC29="",FALSE,TRUE))</formula>
    </cfRule>
  </conditionalFormatting>
  <conditionalFormatting sqref="AC30">
    <cfRule type="expression" dxfId="327" priority="309">
      <formula>OR(IF(AC30&lt;AD30,TRUE),IF(AND(AD30="",AC30&lt;&gt;""),TRUE))</formula>
    </cfRule>
    <cfRule type="expression" dxfId="326" priority="310">
      <formula>IF(AC30&gt;=AD30,IF(AC30="",FALSE,TRUE))</formula>
    </cfRule>
  </conditionalFormatting>
  <conditionalFormatting sqref="AC31">
    <cfRule type="expression" dxfId="325" priority="307">
      <formula>OR(IF(AC31&lt;AD31,TRUE),IF(AND(AD31="",AC31&lt;&gt;""),TRUE))</formula>
    </cfRule>
    <cfRule type="expression" dxfId="324" priority="308">
      <formula>IF(AC31&gt;=AD31,IF(AC31="",FALSE,TRUE))</formula>
    </cfRule>
  </conditionalFormatting>
  <conditionalFormatting sqref="AE29">
    <cfRule type="expression" dxfId="323" priority="305">
      <formula>OR(IF(AE29&lt;AF29,TRUE),IF(AND(AF29="",AE29&lt;&gt;""),TRUE))</formula>
    </cfRule>
    <cfRule type="expression" dxfId="322" priority="306">
      <formula>IF(AE29&gt;=AF29,IF(AE29="",FALSE,TRUE))</formula>
    </cfRule>
  </conditionalFormatting>
  <conditionalFormatting sqref="AE30">
    <cfRule type="expression" dxfId="321" priority="303">
      <formula>OR(IF(AE30&lt;AF30,TRUE),IF(AND(AF30="",AE30&lt;&gt;""),TRUE))</formula>
    </cfRule>
    <cfRule type="expression" dxfId="320" priority="304">
      <formula>IF(AE30&gt;=AF30,IF(AE30="",FALSE,TRUE))</formula>
    </cfRule>
  </conditionalFormatting>
  <conditionalFormatting sqref="AE31">
    <cfRule type="expression" dxfId="319" priority="301">
      <formula>OR(IF(AE31&lt;AF31,TRUE),IF(AND(AF31="",AE31&lt;&gt;""),TRUE))</formula>
    </cfRule>
    <cfRule type="expression" dxfId="318" priority="302">
      <formula>IF(AE31&gt;=AF31,IF(AE31="",FALSE,TRUE))</formula>
    </cfRule>
  </conditionalFormatting>
  <conditionalFormatting sqref="O38:O39">
    <cfRule type="expression" dxfId="167" priority="155">
      <formula>OR(IF(O38&lt;P38,TRUE),IF(AND(P38="",O38&lt;&gt;""),TRUE))</formula>
    </cfRule>
    <cfRule type="expression" dxfId="166" priority="156">
      <formula>IF(O38&gt;=P38,IF(O38="",FALSE,TRUE))</formula>
    </cfRule>
  </conditionalFormatting>
  <conditionalFormatting sqref="Q38:Q39">
    <cfRule type="expression" dxfId="165" priority="153">
      <formula>OR(IF(Q38&lt;R38,TRUE),IF(AND(R38="",Q38&lt;&gt;""),TRUE))</formula>
    </cfRule>
    <cfRule type="expression" dxfId="164" priority="154">
      <formula>IF(Q38&gt;=R38,IF(Q38="",FALSE,TRUE))</formula>
    </cfRule>
  </conditionalFormatting>
  <conditionalFormatting sqref="X41 V38:V41">
    <cfRule type="expression" dxfId="163" priority="151">
      <formula>OR(IF(V38&lt;W38,TRUE),IF(AND(W38="",V38&lt;&gt;""),TRUE))</formula>
    </cfRule>
    <cfRule type="expression" dxfId="162" priority="152">
      <formula>IF(V38&gt;=W38,IF(V38="",FALSE,TRUE))</formula>
    </cfRule>
  </conditionalFormatting>
  <conditionalFormatting sqref="X38:X39">
    <cfRule type="expression" dxfId="161" priority="149">
      <formula>OR(IF(X38&lt;Y38,TRUE),IF(AND(Y38="",X38&lt;&gt;""),TRUE))</formula>
    </cfRule>
    <cfRule type="expression" dxfId="160" priority="150">
      <formula>IF(X38&gt;=Y38,IF(X38="",FALSE,TRUE))</formula>
    </cfRule>
  </conditionalFormatting>
  <conditionalFormatting sqref="X40">
    <cfRule type="expression" dxfId="159" priority="147">
      <formula>OR(IF(X40&lt;Y40,TRUE),IF(AND(Y40="",X40&lt;&gt;""),TRUE))</formula>
    </cfRule>
    <cfRule type="expression" dxfId="158" priority="148">
      <formula>IF(X40&gt;=Y40,IF(X40="",FALSE,TRUE))</formula>
    </cfRule>
  </conditionalFormatting>
  <conditionalFormatting sqref="AE43:AE46 AC43:AC46">
    <cfRule type="expression" dxfId="151" priority="139">
      <formula>OR(IF(AC43&lt;AD43,TRUE),IF(AND(AD43="",AC43&lt;&gt;""),TRUE))</formula>
    </cfRule>
    <cfRule type="expression" dxfId="150" priority="140">
      <formula>IF(AC43&gt;=AD43,IF(AC43="",FALSE,TRUE))</formula>
    </cfRule>
  </conditionalFormatting>
  <conditionalFormatting sqref="AE41:AE42 AC38:AC42">
    <cfRule type="expression" dxfId="149" priority="137">
      <formula>OR(IF(AC38&lt;AD38,TRUE),IF(AND(AD38="",AC38&lt;&gt;""),TRUE))</formula>
    </cfRule>
    <cfRule type="expression" dxfId="148" priority="138">
      <formula>IF(AC38&gt;=AD38,IF(AC38="",FALSE,TRUE))</formula>
    </cfRule>
  </conditionalFormatting>
  <conditionalFormatting sqref="AE38:AE39">
    <cfRule type="expression" dxfId="147" priority="135">
      <formula>OR(IF(AE38&lt;AF38,TRUE),IF(AND(AF38="",AE38&lt;&gt;""),TRUE))</formula>
    </cfRule>
    <cfRule type="expression" dxfId="146" priority="136">
      <formula>IF(AE38&gt;=AF38,IF(AE38="",FALSE,TRUE))</formula>
    </cfRule>
  </conditionalFormatting>
  <conditionalFormatting sqref="AE40">
    <cfRule type="expression" dxfId="145" priority="133">
      <formula>OR(IF(AE40&lt;AF40,TRUE),IF(AND(AF40="",AE40&lt;&gt;""),TRUE))</formula>
    </cfRule>
    <cfRule type="expression" dxfId="144" priority="134">
      <formula>IF(AE40&gt;=AF40,IF(AE40="",FALSE,TRUE))</formula>
    </cfRule>
  </conditionalFormatting>
  <conditionalFormatting sqref="AL46 AJ46">
    <cfRule type="expression" dxfId="143" priority="131">
      <formula>OR(IF(AJ46&lt;AK46,TRUE),IF(AND(AK46="",AJ46&lt;&gt;""),TRUE))</formula>
    </cfRule>
    <cfRule type="expression" dxfId="142" priority="132">
      <formula>IF(AJ46&gt;=AK46,IF(AJ46="",FALSE,TRUE))</formula>
    </cfRule>
  </conditionalFormatting>
  <conditionalFormatting sqref="AL43:AL45 AJ43:AJ45">
    <cfRule type="expression" dxfId="141" priority="129">
      <formula>OR(IF(AJ43&lt;AK43,TRUE),IF(AND(AK43="",AJ43&lt;&gt;""),TRUE))</formula>
    </cfRule>
    <cfRule type="expression" dxfId="140" priority="130">
      <formula>IF(AJ43&gt;=AK43,IF(AJ43="",FALSE,TRUE))</formula>
    </cfRule>
  </conditionalFormatting>
  <conditionalFormatting sqref="AL41:AL42 AJ38:AJ42">
    <cfRule type="expression" dxfId="139" priority="127">
      <formula>OR(IF(AJ38&lt;AK38,TRUE),IF(AND(AK38="",AJ38&lt;&gt;""),TRUE))</formula>
    </cfRule>
    <cfRule type="expression" dxfId="138" priority="128">
      <formula>IF(AJ38&gt;=AK38,IF(AJ38="",FALSE,TRUE))</formula>
    </cfRule>
  </conditionalFormatting>
  <conditionalFormatting sqref="AL38:AL39">
    <cfRule type="expression" dxfId="137" priority="125">
      <formula>OR(IF(AL38&lt;AM38,TRUE),IF(AND(AM38="",AL38&lt;&gt;""),TRUE))</formula>
    </cfRule>
    <cfRule type="expression" dxfId="136" priority="126">
      <formula>IF(AL38&gt;=AM38,IF(AL38="",FALSE,TRUE))</formula>
    </cfRule>
  </conditionalFormatting>
  <conditionalFormatting sqref="AL40">
    <cfRule type="expression" dxfId="135" priority="123">
      <formula>OR(IF(AL40&lt;AM40,TRUE),IF(AND(AM40="",AL40&lt;&gt;""),TRUE))</formula>
    </cfRule>
    <cfRule type="expression" dxfId="134" priority="124">
      <formula>IF(AL40&gt;=AM40,IF(AL40="",FALSE,TRUE))</formula>
    </cfRule>
  </conditionalFormatting>
  <conditionalFormatting sqref="AS46 AQ46">
    <cfRule type="expression" dxfId="133" priority="121">
      <formula>OR(IF(AQ46&lt;AR46,TRUE),IF(AND(AR46="",AQ46&lt;&gt;""),TRUE))</formula>
    </cfRule>
    <cfRule type="expression" dxfId="132" priority="122">
      <formula>IF(AQ46&gt;=AR46,IF(AQ46="",FALSE,TRUE))</formula>
    </cfRule>
  </conditionalFormatting>
  <conditionalFormatting sqref="AS44:AS45 AQ44:AQ45">
    <cfRule type="expression" dxfId="131" priority="119">
      <formula>OR(IF(AQ44&lt;AR44,TRUE),IF(AND(AR44="",AQ44&lt;&gt;""),TRUE))</formula>
    </cfRule>
    <cfRule type="expression" dxfId="130" priority="120">
      <formula>IF(AQ44&gt;=AR44,IF(AQ44="",FALSE,TRUE))</formula>
    </cfRule>
  </conditionalFormatting>
  <conditionalFormatting sqref="AS43 AQ43">
    <cfRule type="expression" dxfId="129" priority="117">
      <formula>OR(IF(AQ43&lt;AR43,TRUE),IF(AND(AR43="",AQ43&lt;&gt;""),TRUE))</formula>
    </cfRule>
    <cfRule type="expression" dxfId="128" priority="118">
      <formula>IF(AQ43&gt;=AR43,IF(AQ43="",FALSE,TRUE))</formula>
    </cfRule>
  </conditionalFormatting>
  <conditionalFormatting sqref="AS41:AS42 AQ38:AQ42">
    <cfRule type="expression" dxfId="127" priority="115">
      <formula>OR(IF(AQ38&lt;AR38,TRUE),IF(AND(AR38="",AQ38&lt;&gt;""),TRUE))</formula>
    </cfRule>
    <cfRule type="expression" dxfId="126" priority="116">
      <formula>IF(AQ38&gt;=AR38,IF(AQ38="",FALSE,TRUE))</formula>
    </cfRule>
  </conditionalFormatting>
  <conditionalFormatting sqref="AS38:AS39">
    <cfRule type="expression" dxfId="125" priority="113">
      <formula>OR(IF(AS38&lt;AT38,TRUE),IF(AND(AT38="",AS38&lt;&gt;""),TRUE))</formula>
    </cfRule>
    <cfRule type="expression" dxfId="124" priority="114">
      <formula>IF(AS38&gt;=AT38,IF(AS38="",FALSE,TRUE))</formula>
    </cfRule>
  </conditionalFormatting>
  <conditionalFormatting sqref="AS40">
    <cfRule type="expression" dxfId="123" priority="111">
      <formula>OR(IF(AS40&lt;AT40,TRUE),IF(AND(AT40="",AS40&lt;&gt;""),TRUE))</formula>
    </cfRule>
    <cfRule type="expression" dxfId="122" priority="112">
      <formula>IF(AS40&gt;=AT40,IF(AS40="",FALSE,TRUE))</formula>
    </cfRule>
  </conditionalFormatting>
  <conditionalFormatting sqref="AZ46 AX46">
    <cfRule type="expression" dxfId="111" priority="99">
      <formula>OR(IF(AX46&lt;AY46,TRUE),IF(AND(AY46="",AX46&lt;&gt;""),TRUE))</formula>
    </cfRule>
    <cfRule type="expression" dxfId="110" priority="100">
      <formula>IF(AX46&gt;=AY46,IF(AX46="",FALSE,TRUE))</formula>
    </cfRule>
  </conditionalFormatting>
  <conditionalFormatting sqref="AZ44:AZ45 AX44:AX45">
    <cfRule type="expression" dxfId="109" priority="97">
      <formula>OR(IF(AX44&lt;AY44,TRUE),IF(AND(AY44="",AX44&lt;&gt;""),TRUE))</formula>
    </cfRule>
    <cfRule type="expression" dxfId="108" priority="98">
      <formula>IF(AX44&gt;=AY44,IF(AX44="",FALSE,TRUE))</formula>
    </cfRule>
  </conditionalFormatting>
  <conditionalFormatting sqref="AZ43 AX43">
    <cfRule type="expression" dxfId="107" priority="95">
      <formula>OR(IF(AX43&lt;AY43,TRUE),IF(AND(AY43="",AX43&lt;&gt;""),TRUE))</formula>
    </cfRule>
    <cfRule type="expression" dxfId="106" priority="96">
      <formula>IF(AX43&gt;=AY43,IF(AX43="",FALSE,TRUE))</formula>
    </cfRule>
  </conditionalFormatting>
  <conditionalFormatting sqref="AZ41:AZ42 AX38:AX42">
    <cfRule type="expression" dxfId="105" priority="93">
      <formula>OR(IF(AX38&lt;AY38,TRUE),IF(AND(AY38="",AX38&lt;&gt;""),TRUE))</formula>
    </cfRule>
    <cfRule type="expression" dxfId="104" priority="94">
      <formula>IF(AX38&gt;=AY38,IF(AX38="",FALSE,TRUE))</formula>
    </cfRule>
  </conditionalFormatting>
  <conditionalFormatting sqref="AZ38:AZ39">
    <cfRule type="expression" dxfId="103" priority="91">
      <formula>OR(IF(AZ38&lt;BA38,TRUE),IF(AND(BA38="",AZ38&lt;&gt;""),TRUE))</formula>
    </cfRule>
    <cfRule type="expression" dxfId="102" priority="92">
      <formula>IF(AZ38&gt;=BA38,IF(AZ38="",FALSE,TRUE))</formula>
    </cfRule>
  </conditionalFormatting>
  <conditionalFormatting sqref="AZ40">
    <cfRule type="expression" dxfId="101" priority="89">
      <formula>OR(IF(AZ40&lt;BA40,TRUE),IF(AND(BA40="",AZ40&lt;&gt;""),TRUE))</formula>
    </cfRule>
    <cfRule type="expression" dxfId="100" priority="90">
      <formula>IF(AZ40&gt;=BA40,IF(AZ40="",FALSE,TRUE))</formula>
    </cfRule>
  </conditionalFormatting>
  <conditionalFormatting sqref="BG46 BE46">
    <cfRule type="expression" dxfId="99" priority="87">
      <formula>OR(IF(BE46&lt;BF46,TRUE),IF(AND(BF46="",BE46&lt;&gt;""),TRUE))</formula>
    </cfRule>
    <cfRule type="expression" dxfId="98" priority="88">
      <formula>IF(BE46&gt;=BF46,IF(BE46="",FALSE,TRUE))</formula>
    </cfRule>
  </conditionalFormatting>
  <conditionalFormatting sqref="BG44:BG45 BE44:BE45">
    <cfRule type="expression" dxfId="97" priority="85">
      <formula>OR(IF(BE44&lt;BF44,TRUE),IF(AND(BF44="",BE44&lt;&gt;""),TRUE))</formula>
    </cfRule>
    <cfRule type="expression" dxfId="96" priority="86">
      <formula>IF(BE44&gt;=BF44,IF(BE44="",FALSE,TRUE))</formula>
    </cfRule>
  </conditionalFormatting>
  <conditionalFormatting sqref="BG43 BE43">
    <cfRule type="expression" dxfId="95" priority="83">
      <formula>OR(IF(BE43&lt;BF43,TRUE),IF(AND(BF43="",BE43&lt;&gt;""),TRUE))</formula>
    </cfRule>
    <cfRule type="expression" dxfId="94" priority="84">
      <formula>IF(BE43&gt;=BF43,IF(BE43="",FALSE,TRUE))</formula>
    </cfRule>
  </conditionalFormatting>
  <conditionalFormatting sqref="BG41:BG42 BE38:BE42">
    <cfRule type="expression" dxfId="93" priority="81">
      <formula>OR(IF(BE38&lt;BF38,TRUE),IF(AND(BF38="",BE38&lt;&gt;""),TRUE))</formula>
    </cfRule>
    <cfRule type="expression" dxfId="92" priority="82">
      <formula>IF(BE38&gt;=BF38,IF(BE38="",FALSE,TRUE))</formula>
    </cfRule>
  </conditionalFormatting>
  <conditionalFormatting sqref="BG38:BG39">
    <cfRule type="expression" dxfId="91" priority="79">
      <formula>OR(IF(BG38&lt;BH38,TRUE),IF(AND(BH38="",BG38&lt;&gt;""),TRUE))</formula>
    </cfRule>
    <cfRule type="expression" dxfId="90" priority="80">
      <formula>IF(BG38&gt;=BH38,IF(BG38="",FALSE,TRUE))</formula>
    </cfRule>
  </conditionalFormatting>
  <conditionalFormatting sqref="BG40">
    <cfRule type="expression" dxfId="89" priority="77">
      <formula>OR(IF(BG40&lt;BH40,TRUE),IF(AND(BH40="",BG40&lt;&gt;""),TRUE))</formula>
    </cfRule>
    <cfRule type="expression" dxfId="88" priority="78">
      <formula>IF(BG40&gt;=BH40,IF(BG40="",FALSE,TRUE))</formula>
    </cfRule>
  </conditionalFormatting>
  <conditionalFormatting sqref="BN46 BL46">
    <cfRule type="expression" dxfId="87" priority="75">
      <formula>OR(IF(BL46&lt;BM46,TRUE),IF(AND(BM46="",BL46&lt;&gt;""),TRUE))</formula>
    </cfRule>
    <cfRule type="expression" dxfId="86" priority="76">
      <formula>IF(BL46&gt;=BM46,IF(BL46="",FALSE,TRUE))</formula>
    </cfRule>
  </conditionalFormatting>
  <conditionalFormatting sqref="BN44:BN45 BL44:BL45">
    <cfRule type="expression" dxfId="85" priority="73">
      <formula>OR(IF(BL44&lt;BM44,TRUE),IF(AND(BM44="",BL44&lt;&gt;""),TRUE))</formula>
    </cfRule>
    <cfRule type="expression" dxfId="84" priority="74">
      <formula>IF(BL44&gt;=BM44,IF(BL44="",FALSE,TRUE))</formula>
    </cfRule>
  </conditionalFormatting>
  <conditionalFormatting sqref="BN43 BL43">
    <cfRule type="expression" dxfId="83" priority="71">
      <formula>OR(IF(BL43&lt;BM43,TRUE),IF(AND(BM43="",BL43&lt;&gt;""),TRUE))</formula>
    </cfRule>
    <cfRule type="expression" dxfId="82" priority="72">
      <formula>IF(BL43&gt;=BM43,IF(BL43="",FALSE,TRUE))</formula>
    </cfRule>
  </conditionalFormatting>
  <conditionalFormatting sqref="BN41:BN42 BL38:BL42">
    <cfRule type="expression" dxfId="81" priority="69">
      <formula>OR(IF(BL38&lt;BM38,TRUE),IF(AND(BM38="",BL38&lt;&gt;""),TRUE))</formula>
    </cfRule>
    <cfRule type="expression" dxfId="80" priority="70">
      <formula>IF(BL38&gt;=BM38,IF(BL38="",FALSE,TRUE))</formula>
    </cfRule>
  </conditionalFormatting>
  <conditionalFormatting sqref="BN38:BN39">
    <cfRule type="expression" dxfId="79" priority="67">
      <formula>OR(IF(BN38&lt;BO38,TRUE),IF(AND(BO38="",BN38&lt;&gt;""),TRUE))</formula>
    </cfRule>
    <cfRule type="expression" dxfId="78" priority="68">
      <formula>IF(BN38&gt;=BO38,IF(BN38="",FALSE,TRUE))</formula>
    </cfRule>
  </conditionalFormatting>
  <conditionalFormatting sqref="BN40">
    <cfRule type="expression" dxfId="77" priority="65">
      <formula>OR(IF(BN40&lt;BO40,TRUE),IF(AND(BO40="",BN40&lt;&gt;""),TRUE))</formula>
    </cfRule>
    <cfRule type="expression" dxfId="76" priority="66">
      <formula>IF(BN40&gt;=BO40,IF(BN40="",FALSE,TRUE))</formula>
    </cfRule>
  </conditionalFormatting>
  <conditionalFormatting sqref="BU46 BS46">
    <cfRule type="expression" dxfId="63" priority="63">
      <formula>OR(IF(BS46&lt;BT46,TRUE),IF(AND(BT46="",BS46&lt;&gt;""),TRUE))</formula>
    </cfRule>
    <cfRule type="expression" dxfId="62" priority="64">
      <formula>IF(BS46&gt;=BT46,IF(BS46="",FALSE,TRUE))</formula>
    </cfRule>
  </conditionalFormatting>
  <conditionalFormatting sqref="BU44:BU45 BS44:BS45">
    <cfRule type="expression" dxfId="61" priority="61">
      <formula>OR(IF(BS44&lt;BT44,TRUE),IF(AND(BT44="",BS44&lt;&gt;""),TRUE))</formula>
    </cfRule>
    <cfRule type="expression" dxfId="60" priority="62">
      <formula>IF(BS44&gt;=BT44,IF(BS44="",FALSE,TRUE))</formula>
    </cfRule>
  </conditionalFormatting>
  <conditionalFormatting sqref="BU43 BS43">
    <cfRule type="expression" dxfId="59" priority="59">
      <formula>OR(IF(BS43&lt;BT43,TRUE),IF(AND(BT43="",BS43&lt;&gt;""),TRUE))</formula>
    </cfRule>
    <cfRule type="expression" dxfId="58" priority="60">
      <formula>IF(BS43&gt;=BT43,IF(BS43="",FALSE,TRUE))</formula>
    </cfRule>
  </conditionalFormatting>
  <conditionalFormatting sqref="BU41:BU42 BS38:BS42">
    <cfRule type="expression" dxfId="57" priority="57">
      <formula>OR(IF(BS38&lt;BT38,TRUE),IF(AND(BT38="",BS38&lt;&gt;""),TRUE))</formula>
    </cfRule>
    <cfRule type="expression" dxfId="56" priority="58">
      <formula>IF(BS38&gt;=BT38,IF(BS38="",FALSE,TRUE))</formula>
    </cfRule>
  </conditionalFormatting>
  <conditionalFormatting sqref="BU38:BU39">
    <cfRule type="expression" dxfId="55" priority="55">
      <formula>OR(IF(BU38&lt;BV38,TRUE),IF(AND(BV38="",BU38&lt;&gt;""),TRUE))</formula>
    </cfRule>
    <cfRule type="expression" dxfId="54" priority="56">
      <formula>IF(BU38&gt;=BV38,IF(BU38="",FALSE,TRUE))</formula>
    </cfRule>
  </conditionalFormatting>
  <conditionalFormatting sqref="BU40">
    <cfRule type="expression" dxfId="53" priority="53">
      <formula>OR(IF(BU40&lt;BV40,TRUE),IF(AND(BV40="",BU40&lt;&gt;""),TRUE))</formula>
    </cfRule>
    <cfRule type="expression" dxfId="52" priority="54">
      <formula>IF(BU40&gt;=BV40,IF(BU40="",FALSE,TRUE))</formula>
    </cfRule>
  </conditionalFormatting>
  <conditionalFormatting sqref="CB46 BZ46">
    <cfRule type="expression" dxfId="51" priority="51">
      <formula>OR(IF(BZ46&lt;CA46,TRUE),IF(AND(CA46="",BZ46&lt;&gt;""),TRUE))</formula>
    </cfRule>
    <cfRule type="expression" dxfId="50" priority="52">
      <formula>IF(BZ46&gt;=CA46,IF(BZ46="",FALSE,TRUE))</formula>
    </cfRule>
  </conditionalFormatting>
  <conditionalFormatting sqref="CB44:CB45 BZ44:BZ45">
    <cfRule type="expression" dxfId="49" priority="49">
      <formula>OR(IF(BZ44&lt;CA44,TRUE),IF(AND(CA44="",BZ44&lt;&gt;""),TRUE))</formula>
    </cfRule>
    <cfRule type="expression" dxfId="48" priority="50">
      <formula>IF(BZ44&gt;=CA44,IF(BZ44="",FALSE,TRUE))</formula>
    </cfRule>
  </conditionalFormatting>
  <conditionalFormatting sqref="CB43 BZ43">
    <cfRule type="expression" dxfId="47" priority="47">
      <formula>OR(IF(BZ43&lt;CA43,TRUE),IF(AND(CA43="",BZ43&lt;&gt;""),TRUE))</formula>
    </cfRule>
    <cfRule type="expression" dxfId="46" priority="48">
      <formula>IF(BZ43&gt;=CA43,IF(BZ43="",FALSE,TRUE))</formula>
    </cfRule>
  </conditionalFormatting>
  <conditionalFormatting sqref="CB41:CB42 BZ38:BZ42">
    <cfRule type="expression" dxfId="45" priority="45">
      <formula>OR(IF(BZ38&lt;CA38,TRUE),IF(AND(CA38="",BZ38&lt;&gt;""),TRUE))</formula>
    </cfRule>
    <cfRule type="expression" dxfId="44" priority="46">
      <formula>IF(BZ38&gt;=CA38,IF(BZ38="",FALSE,TRUE))</formula>
    </cfRule>
  </conditionalFormatting>
  <conditionalFormatting sqref="CB38:CB39">
    <cfRule type="expression" dxfId="43" priority="43">
      <formula>OR(IF(CB38&lt;CC38,TRUE),IF(AND(CC38="",CB38&lt;&gt;""),TRUE))</formula>
    </cfRule>
    <cfRule type="expression" dxfId="42" priority="44">
      <formula>IF(CB38&gt;=CC38,IF(CB38="",FALSE,TRUE))</formula>
    </cfRule>
  </conditionalFormatting>
  <conditionalFormatting sqref="CB40">
    <cfRule type="expression" dxfId="41" priority="41">
      <formula>OR(IF(CB40&lt;CC40,TRUE),IF(AND(CC40="",CB40&lt;&gt;""),TRUE))</formula>
    </cfRule>
    <cfRule type="expression" dxfId="40" priority="42">
      <formula>IF(CB40&gt;=CC40,IF(CB40="",FALSE,TRUE))</formula>
    </cfRule>
  </conditionalFormatting>
  <conditionalFormatting sqref="CI46 CG46">
    <cfRule type="expression" dxfId="39" priority="39">
      <formula>OR(IF(CG46&lt;CH46,TRUE),IF(AND(CH46="",CG46&lt;&gt;""),TRUE))</formula>
    </cfRule>
    <cfRule type="expression" dxfId="38" priority="40">
      <formula>IF(CG46&gt;=CH46,IF(CG46="",FALSE,TRUE))</formula>
    </cfRule>
  </conditionalFormatting>
  <conditionalFormatting sqref="CI44:CI45 CG44:CG45">
    <cfRule type="expression" dxfId="37" priority="37">
      <formula>OR(IF(CG44&lt;CH44,TRUE),IF(AND(CH44="",CG44&lt;&gt;""),TRUE))</formula>
    </cfRule>
    <cfRule type="expression" dxfId="36" priority="38">
      <formula>IF(CG44&gt;=CH44,IF(CG44="",FALSE,TRUE))</formula>
    </cfRule>
  </conditionalFormatting>
  <conditionalFormatting sqref="CI43 CG43">
    <cfRule type="expression" dxfId="35" priority="35">
      <formula>OR(IF(CG43&lt;CH43,TRUE),IF(AND(CH43="",CG43&lt;&gt;""),TRUE))</formula>
    </cfRule>
    <cfRule type="expression" dxfId="34" priority="36">
      <formula>IF(CG43&gt;=CH43,IF(CG43="",FALSE,TRUE))</formula>
    </cfRule>
  </conditionalFormatting>
  <conditionalFormatting sqref="CI41:CI42 CG38:CG42">
    <cfRule type="expression" dxfId="33" priority="33">
      <formula>OR(IF(CG38&lt;CH38,TRUE),IF(AND(CH38="",CG38&lt;&gt;""),TRUE))</formula>
    </cfRule>
    <cfRule type="expression" dxfId="32" priority="34">
      <formula>IF(CG38&gt;=CH38,IF(CG38="",FALSE,TRUE))</formula>
    </cfRule>
  </conditionalFormatting>
  <conditionalFormatting sqref="CI38:CI39">
    <cfRule type="expression" dxfId="31" priority="31">
      <formula>OR(IF(CI38&lt;CJ38,TRUE),IF(AND(CJ38="",CI38&lt;&gt;""),TRUE))</formula>
    </cfRule>
    <cfRule type="expression" dxfId="30" priority="32">
      <formula>IF(CI38&gt;=CJ38,IF(CI38="",FALSE,TRUE))</formula>
    </cfRule>
  </conditionalFormatting>
  <conditionalFormatting sqref="CI40">
    <cfRule type="expression" dxfId="29" priority="29">
      <formula>OR(IF(CI40&lt;CJ40,TRUE),IF(AND(CJ40="",CI40&lt;&gt;""),TRUE))</formula>
    </cfRule>
    <cfRule type="expression" dxfId="28" priority="30">
      <formula>IF(CI40&gt;=CJ40,IF(CI40="",FALSE,TRUE))</formula>
    </cfRule>
  </conditionalFormatting>
  <conditionalFormatting sqref="CN38">
    <cfRule type="expression" dxfId="27" priority="27">
      <formula>OR(IF(CN38&lt;CO38,TRUE),IF(AND(CO38="",CN38&lt;&gt;""),TRUE))</formula>
    </cfRule>
    <cfRule type="expression" dxfId="26" priority="28">
      <formula>IF(CN38&gt;=CO38,IF(CN38="",FALSE,TRUE))</formula>
    </cfRule>
  </conditionalFormatting>
  <conditionalFormatting sqref="CP38">
    <cfRule type="expression" dxfId="25" priority="25">
      <formula>OR(IF(CP38&lt;CQ38,TRUE),IF(AND(CQ38="",CP38&lt;&gt;""),TRUE))</formula>
    </cfRule>
    <cfRule type="expression" dxfId="24" priority="26">
      <formula>IF(CP38&gt;=CQ38,IF(CP38="",FALSE,TRUE))</formula>
    </cfRule>
  </conditionalFormatting>
  <conditionalFormatting sqref="CP45:CP46 CN45:CN46">
    <cfRule type="expression" dxfId="23" priority="23">
      <formula>OR(IF(CN45&lt;CO45,TRUE),IF(AND(CO45="",CN45&lt;&gt;""),TRUE))</formula>
    </cfRule>
    <cfRule type="expression" dxfId="22" priority="24">
      <formula>IF(CN45&gt;=CO45,IF(CN45="",FALSE,TRUE))</formula>
    </cfRule>
  </conditionalFormatting>
  <conditionalFormatting sqref="CP44 CN44">
    <cfRule type="expression" dxfId="21" priority="21">
      <formula>OR(IF(CN44&lt;CO44,TRUE),IF(AND(CO44="",CN44&lt;&gt;""),TRUE))</formula>
    </cfRule>
    <cfRule type="expression" dxfId="20" priority="22">
      <formula>IF(CN44&gt;=CO44,IF(CN44="",FALSE,TRUE))</formula>
    </cfRule>
  </conditionalFormatting>
  <conditionalFormatting sqref="CP42:CP43 CN39:CN43">
    <cfRule type="expression" dxfId="19" priority="19">
      <formula>OR(IF(CN39&lt;CO39,TRUE),IF(AND(CO39="",CN39&lt;&gt;""),TRUE))</formula>
    </cfRule>
    <cfRule type="expression" dxfId="18" priority="20">
      <formula>IF(CN39&gt;=CO39,IF(CN39="",FALSE,TRUE))</formula>
    </cfRule>
  </conditionalFormatting>
  <conditionalFormatting sqref="CP39:CP40">
    <cfRule type="expression" dxfId="17" priority="17">
      <formula>OR(IF(CP39&lt;CQ39,TRUE),IF(AND(CQ39="",CP39&lt;&gt;""),TRUE))</formula>
    </cfRule>
    <cfRule type="expression" dxfId="16" priority="18">
      <formula>IF(CP39&gt;=CQ39,IF(CP39="",FALSE,TRUE))</formula>
    </cfRule>
  </conditionalFormatting>
  <conditionalFormatting sqref="CP41">
    <cfRule type="expression" dxfId="15" priority="15">
      <formula>OR(IF(CP41&lt;CQ41,TRUE),IF(AND(CQ41="",CP41&lt;&gt;""),TRUE))</formula>
    </cfRule>
    <cfRule type="expression" dxfId="14" priority="16">
      <formula>IF(CP41&gt;=CQ41,IF(CP41="",FALSE,TRUE))</formula>
    </cfRule>
  </conditionalFormatting>
  <conditionalFormatting sqref="CU38">
    <cfRule type="expression" dxfId="13" priority="13">
      <formula>OR(IF(CU38&lt;CV38,TRUE),IF(AND(CV38="",CU38&lt;&gt;""),TRUE))</formula>
    </cfRule>
    <cfRule type="expression" dxfId="12" priority="14">
      <formula>IF(CU38&gt;=CV38,IF(CU38="",FALSE,TRUE))</formula>
    </cfRule>
  </conditionalFormatting>
  <conditionalFormatting sqref="CW38">
    <cfRule type="expression" dxfId="11" priority="11">
      <formula>OR(IF(CW38&lt;CX38,TRUE),IF(AND(CX38="",CW38&lt;&gt;""),TRUE))</formula>
    </cfRule>
    <cfRule type="expression" dxfId="10" priority="12">
      <formula>IF(CW38&gt;=CX38,IF(CW38="",FALSE,TRUE))</formula>
    </cfRule>
  </conditionalFormatting>
  <conditionalFormatting sqref="CW45:CW46 CU45:CU46">
    <cfRule type="expression" dxfId="9" priority="9">
      <formula>OR(IF(CU45&lt;CV45,TRUE),IF(AND(CV45="",CU45&lt;&gt;""),TRUE))</formula>
    </cfRule>
    <cfRule type="expression" dxfId="8" priority="10">
      <formula>IF(CU45&gt;=CV45,IF(CU45="",FALSE,TRUE))</formula>
    </cfRule>
  </conditionalFormatting>
  <conditionalFormatting sqref="CW44 CU44">
    <cfRule type="expression" dxfId="7" priority="7">
      <formula>OR(IF(CU44&lt;CV44,TRUE),IF(AND(CV44="",CU44&lt;&gt;""),TRUE))</formula>
    </cfRule>
    <cfRule type="expression" dxfId="6" priority="8">
      <formula>IF(CU44&gt;=CV44,IF(CU44="",FALSE,TRUE))</formula>
    </cfRule>
  </conditionalFormatting>
  <conditionalFormatting sqref="CW42:CW43 CU39:CU43">
    <cfRule type="expression" dxfId="5" priority="5">
      <formula>OR(IF(CU39&lt;CV39,TRUE),IF(AND(CV39="",CU39&lt;&gt;""),TRUE))</formula>
    </cfRule>
    <cfRule type="expression" dxfId="4" priority="6">
      <formula>IF(CU39&gt;=CV39,IF(CU39="",FALSE,TRUE))</formula>
    </cfRule>
  </conditionalFormatting>
  <conditionalFormatting sqref="CW39:CW40">
    <cfRule type="expression" dxfId="3" priority="3">
      <formula>OR(IF(CW39&lt;CX39,TRUE),IF(AND(CX39="",CW39&lt;&gt;""),TRUE))</formula>
    </cfRule>
    <cfRule type="expression" dxfId="2" priority="4">
      <formula>IF(CW39&gt;=CX39,IF(CW39="",FALSE,TRUE))</formula>
    </cfRule>
  </conditionalFormatting>
  <conditionalFormatting sqref="CW41">
    <cfRule type="expression" dxfId="1" priority="1">
      <formula>OR(IF(CW41&lt;CX41,TRUE),IF(AND(CX41="",CW41&lt;&gt;""),TRUE))</formula>
    </cfRule>
    <cfRule type="expression" dxfId="0" priority="2">
      <formula>IF(CW41&gt;=CX41,IF(CW41="",FALSE,TRUE))</formula>
    </cfRule>
  </conditionalFormatting>
  <dataValidations count="1">
    <dataValidation type="list" allowBlank="1" showInputMessage="1" showErrorMessage="1" sqref="BS17:BV26 DI5:DL13 CG5:CJ13 AC29:AF35 AJ29:AM35 DB38:DE47 BZ29:CC34 AC17:AF26 V5:Y13 BE35 AJ25:AM26 AZ25:BA26 BL5:BO13 CG17:CJ26 AX38:BA47 BZ38:CC47 BZ17:CC26 BL17:BO26 EL1048551:EL1048576 AS24:AT26 AJ23:AJ24 AQ29:AT35 BN35:BN36 DW5:DZ13 DB5:DB13 BL38:BO47 EK17:EN26 EK29:EN35 AL23:AM24 CU17:CX26 AC5:AF13 AQ24:AQ26 BE38:BH47 AJ5:AM13 O5:R13 AQ5:AT13 BE17:BH26 AX29:BA35 CG38:CJ47 O17:R26 DD5:DE13 DP5:DS13 V29:Y35 DW29:DZ35 DP29:DS35 EK38:EN47 DI17:DL26 DI29:DL35 EK5:EN13 DB17:DE26 AQ17:AT23 DX1048551:DX1048576 BE5:BH13 V38:Y47 DI38:DL47 DP38:DS47 BS29:BV34 ED17:EG26 DW38:DZ47 BS35:BS36 AJ38:AM47 CG29:CJ35 BS38:BV47 BZ35:BZ36 O38:R47 CN17:CQ26 AC38:AF47 DD1048558:DD1048576 BE29:BH34 DW17:DZ26 DP17:DS26 O29:R35 CN38:CQ47 AX5:BA13 CN5:CQ14 CU5:CX14 BS5:BV13 BZ5:CC13 AX25:AX26 AX17:BA24 V17:Y26 DI1048558:DI1048576 DB29:DE35 CA35 CC35 CU29:CX35 BT35 BV35 CN29:CQ35 BO35 BL29:BO34 AJ17:AM22 AQ38:AT47 DC5:DC14 AQ50:AT59 BL50:BO59 AX50:BA59 EE1048551:EE1048576 V50:Y59 BF35:BI36 BL35:BM35 O50:R59 AC50:AF59 BS50:BV59 BE50:BH59 DC60 ED38:EG47 AJ50:AM59 BZ50:CC59 BU35:BU36 ER50:EU59 ED29:EG35 CB35:CB36 ED5:EG13 CI49 CG50:CJ59 CN50:CQ59 CU50:CX59 DB50:DE59 ED50:EG59 DI50:DL59 DP50:DS59 DW50:DZ59 EK50:EN59 CU38:CX47"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9921875" defaultRowHeight="15.6"/>
  <cols>
    <col min="1" max="1" width="16.796875" style="8" customWidth="1"/>
    <col min="2" max="2" width="19.19921875" style="8" customWidth="1"/>
    <col min="3" max="3" width="18.19921875" style="8" customWidth="1"/>
    <col min="4" max="4" width="19.5" style="8" customWidth="1"/>
    <col min="8" max="8" width="15.19921875" customWidth="1"/>
    <col min="10" max="10" width="42" customWidth="1"/>
    <col min="11" max="11" width="28.5" customWidth="1"/>
  </cols>
  <sheetData>
    <row r="1" spans="1:11" ht="31.2">
      <c r="A1" s="8" t="s">
        <v>40</v>
      </c>
      <c r="B1" s="10" t="s">
        <v>37</v>
      </c>
      <c r="C1" s="10" t="s">
        <v>38</v>
      </c>
      <c r="D1" s="10" t="s">
        <v>39</v>
      </c>
      <c r="E1" s="1" t="s">
        <v>41</v>
      </c>
      <c r="F1" s="1" t="s">
        <v>42</v>
      </c>
      <c r="G1" s="1" t="s">
        <v>43</v>
      </c>
      <c r="H1" s="1" t="s">
        <v>44</v>
      </c>
      <c r="I1" s="1" t="s">
        <v>45</v>
      </c>
      <c r="J1" s="1" t="s">
        <v>46</v>
      </c>
      <c r="K1" s="1" t="s">
        <v>47</v>
      </c>
    </row>
    <row r="2" spans="1:11">
      <c r="A2" s="9">
        <v>44118</v>
      </c>
      <c r="D2" s="11">
        <v>1</v>
      </c>
    </row>
    <row r="3" spans="1:11">
      <c r="A3" s="9">
        <v>44119</v>
      </c>
    </row>
    <row r="4" spans="1:11">
      <c r="A4" s="9">
        <v>44120</v>
      </c>
    </row>
    <row r="5" spans="1:11">
      <c r="A5" s="9">
        <v>44121</v>
      </c>
    </row>
    <row r="6" spans="1:11">
      <c r="A6" s="9">
        <v>44122</v>
      </c>
    </row>
    <row r="7" spans="1:11">
      <c r="A7" s="9">
        <v>44123</v>
      </c>
    </row>
    <row r="8" spans="1:11">
      <c r="A8" s="9">
        <v>44124</v>
      </c>
    </row>
    <row r="9" spans="1:11">
      <c r="A9" s="9">
        <v>44125</v>
      </c>
    </row>
    <row r="10" spans="1:11">
      <c r="A10" s="9">
        <v>44126</v>
      </c>
    </row>
    <row r="11" spans="1:11">
      <c r="A11" s="9">
        <v>44127</v>
      </c>
    </row>
    <row r="12" spans="1:11">
      <c r="A12" s="9">
        <v>44128</v>
      </c>
    </row>
    <row r="13" spans="1:11">
      <c r="A13" s="9">
        <v>44129</v>
      </c>
    </row>
    <row r="14" spans="1:11">
      <c r="A14" s="9">
        <v>44130</v>
      </c>
    </row>
    <row r="15" spans="1:11">
      <c r="A15" s="9">
        <v>44131</v>
      </c>
    </row>
    <row r="16" spans="1:11">
      <c r="A16" s="9">
        <v>44132</v>
      </c>
    </row>
    <row r="17" spans="1:1">
      <c r="A17" s="9">
        <v>44133</v>
      </c>
    </row>
    <row r="18" spans="1:1">
      <c r="A18" s="9">
        <v>44134</v>
      </c>
    </row>
    <row r="19" spans="1:1">
      <c r="A19" s="9">
        <v>44135</v>
      </c>
    </row>
    <row r="20" spans="1:1">
      <c r="A20" s="9">
        <v>44136</v>
      </c>
    </row>
    <row r="21" spans="1:1">
      <c r="A21" s="9">
        <v>44137</v>
      </c>
    </row>
    <row r="22" spans="1:1">
      <c r="A22" s="9">
        <v>44138</v>
      </c>
    </row>
    <row r="23" spans="1:1">
      <c r="A23" s="9">
        <v>44139</v>
      </c>
    </row>
    <row r="24" spans="1:1">
      <c r="A24" s="9">
        <v>44140</v>
      </c>
    </row>
    <row r="25" spans="1:1">
      <c r="A25" s="9">
        <v>44141</v>
      </c>
    </row>
    <row r="26" spans="1:1">
      <c r="A26" s="9">
        <v>44142</v>
      </c>
    </row>
    <row r="27" spans="1:1">
      <c r="A27" s="9">
        <v>44143</v>
      </c>
    </row>
    <row r="28" spans="1:1">
      <c r="A28" s="9">
        <v>44144</v>
      </c>
    </row>
    <row r="29" spans="1:1">
      <c r="A29" s="9">
        <v>44145</v>
      </c>
    </row>
    <row r="30" spans="1:1">
      <c r="A30" s="9">
        <v>44146</v>
      </c>
    </row>
    <row r="31" spans="1:1">
      <c r="A31" s="9">
        <v>44147</v>
      </c>
    </row>
    <row r="32" spans="1:1">
      <c r="A32" s="9">
        <v>44148</v>
      </c>
    </row>
    <row r="33" spans="1:1">
      <c r="A33" s="9">
        <v>44149</v>
      </c>
    </row>
    <row r="34" spans="1:1">
      <c r="A34" s="9">
        <v>44150</v>
      </c>
    </row>
    <row r="35" spans="1:1">
      <c r="A35" s="9">
        <v>44151</v>
      </c>
    </row>
    <row r="36" spans="1:1">
      <c r="A36" s="9">
        <v>44152</v>
      </c>
    </row>
    <row r="37" spans="1:1">
      <c r="A37" s="9">
        <v>44153</v>
      </c>
    </row>
    <row r="38" spans="1:1">
      <c r="A38" s="9">
        <v>44154</v>
      </c>
    </row>
    <row r="39" spans="1:1">
      <c r="A39" s="9">
        <v>44155</v>
      </c>
    </row>
    <row r="40" spans="1:1">
      <c r="A40" s="9">
        <v>44156</v>
      </c>
    </row>
    <row r="41" spans="1:1">
      <c r="A41" s="9">
        <v>44157</v>
      </c>
    </row>
    <row r="42" spans="1:1">
      <c r="A42" s="9">
        <v>44158</v>
      </c>
    </row>
    <row r="43" spans="1:1">
      <c r="A43" s="9">
        <v>44159</v>
      </c>
    </row>
    <row r="44" spans="1:1">
      <c r="A44" s="9">
        <v>44160</v>
      </c>
    </row>
    <row r="45" spans="1:1">
      <c r="A45" s="9">
        <v>44161</v>
      </c>
    </row>
    <row r="46" spans="1:1">
      <c r="A46" s="9">
        <v>44162</v>
      </c>
    </row>
  </sheetData>
  <conditionalFormatting sqref="B2:B46">
    <cfRule type="cellIs" dxfId="1186" priority="14" operator="equal">
      <formula>"Ja"</formula>
    </cfRule>
    <cfRule type="cellIs" dxfId="1185" priority="15" operator="equal">
      <formula>"Nein"</formula>
    </cfRule>
  </conditionalFormatting>
  <conditionalFormatting sqref="B2:B46">
    <cfRule type="cellIs" dxfId="1184" priority="4" operator="equal">
      <formula>"Ja"</formula>
    </cfRule>
  </conditionalFormatting>
  <conditionalFormatting sqref="C2:C46">
    <cfRule type="cellIs" dxfId="1183" priority="2" operator="equal">
      <formula>"Ja"</formula>
    </cfRule>
    <cfRule type="cellIs" dxfId="1182" priority="3" operator="equal">
      <formula>"Nein"</formula>
    </cfRule>
  </conditionalFormatting>
  <conditionalFormatting sqref="C2:C46">
    <cfRule type="cellIs" dxfId="1181"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0" workbookViewId="0">
      <selection activeCell="B32" sqref="B32"/>
    </sheetView>
  </sheetViews>
  <sheetFormatPr baseColWidth="10" defaultColWidth="10.69921875" defaultRowHeight="15.6"/>
  <cols>
    <col min="2" max="2" width="161" customWidth="1"/>
    <col min="3" max="3" width="10.796875" style="2"/>
  </cols>
  <sheetData>
    <row r="4" spans="2:2" ht="21">
      <c r="B4" s="4" t="s">
        <v>16</v>
      </c>
    </row>
    <row r="6" spans="2:2">
      <c r="B6" s="3" t="s">
        <v>13</v>
      </c>
    </row>
    <row r="7" spans="2:2" ht="46.8">
      <c r="B7" s="1" t="s">
        <v>14</v>
      </c>
    </row>
    <row r="9" spans="2:2">
      <c r="B9" s="3" t="s">
        <v>15</v>
      </c>
    </row>
    <row r="10" spans="2:2" ht="62.4">
      <c r="B10" s="1" t="s">
        <v>34</v>
      </c>
    </row>
    <row r="12" spans="2:2">
      <c r="B12" s="3" t="s">
        <v>17</v>
      </c>
    </row>
    <row r="13" spans="2:2" ht="140.4">
      <c r="B13" s="1" t="s">
        <v>18</v>
      </c>
    </row>
    <row r="15" spans="2:2">
      <c r="B15" s="3" t="s">
        <v>19</v>
      </c>
    </row>
    <row r="16" spans="2:2" ht="109.2">
      <c r="B16" s="1" t="s">
        <v>20</v>
      </c>
    </row>
    <row r="17" spans="2:2">
      <c r="B17" s="1"/>
    </row>
    <row r="18" spans="2:2">
      <c r="B18" s="3" t="s">
        <v>33</v>
      </c>
    </row>
    <row r="19" spans="2:2" ht="140.4">
      <c r="B19" s="1" t="s">
        <v>35</v>
      </c>
    </row>
    <row r="21" spans="2:2">
      <c r="B21" s="3" t="s">
        <v>21</v>
      </c>
    </row>
    <row r="22" spans="2:2" ht="124.8">
      <c r="B22" s="1" t="s">
        <v>36</v>
      </c>
    </row>
    <row r="24" spans="2:2">
      <c r="B24" s="3" t="s">
        <v>22</v>
      </c>
    </row>
    <row r="25" spans="2:2" ht="124.8">
      <c r="B25" s="1"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B1E33-CFA3-49D1-9989-9D23CA7C3DDD}">
  <dimension ref="A1:H47"/>
  <sheetViews>
    <sheetView zoomScaleNormal="100" workbookViewId="0">
      <selection activeCell="B28" sqref="B28"/>
    </sheetView>
  </sheetViews>
  <sheetFormatPr baseColWidth="10" defaultColWidth="10.69921875" defaultRowHeight="15.6"/>
  <cols>
    <col min="3" max="3" width="11.796875" bestFit="1" customWidth="1"/>
    <col min="5" max="5" width="13.3984375" bestFit="1" customWidth="1"/>
  </cols>
  <sheetData>
    <row r="1" spans="1:8" ht="24.6">
      <c r="B1" s="5" t="s">
        <v>25</v>
      </c>
    </row>
    <row r="4" spans="1:8">
      <c r="B4" s="3" t="s">
        <v>4</v>
      </c>
      <c r="C4" s="3" t="s">
        <v>5</v>
      </c>
      <c r="D4" s="3" t="s">
        <v>6</v>
      </c>
      <c r="E4" s="3" t="s">
        <v>7</v>
      </c>
      <c r="F4" s="3" t="s">
        <v>10</v>
      </c>
      <c r="G4" s="3" t="s">
        <v>8</v>
      </c>
      <c r="H4" s="3" t="s">
        <v>9</v>
      </c>
    </row>
    <row r="5" spans="1:8">
      <c r="A5" s="7">
        <v>0.33333333333333398</v>
      </c>
      <c r="B5" s="33" t="s">
        <v>154</v>
      </c>
      <c r="C5" s="35" t="s">
        <v>152</v>
      </c>
      <c r="D5" s="43" t="s">
        <v>97</v>
      </c>
      <c r="F5" s="35" t="s">
        <v>152</v>
      </c>
      <c r="G5" s="33" t="s">
        <v>154</v>
      </c>
      <c r="H5" s="35" t="s">
        <v>152</v>
      </c>
    </row>
    <row r="6" spans="1:8">
      <c r="A6" s="7">
        <v>0.35416666666666702</v>
      </c>
      <c r="B6" s="33" t="s">
        <v>154</v>
      </c>
      <c r="C6" s="35" t="s">
        <v>152</v>
      </c>
      <c r="D6" s="43" t="s">
        <v>97</v>
      </c>
      <c r="E6" s="33" t="s">
        <v>153</v>
      </c>
      <c r="F6" s="35" t="s">
        <v>152</v>
      </c>
      <c r="G6" s="33" t="s">
        <v>154</v>
      </c>
      <c r="H6" s="35" t="s">
        <v>152</v>
      </c>
    </row>
    <row r="7" spans="1:8">
      <c r="A7" s="7">
        <v>0.375</v>
      </c>
      <c r="B7" s="33" t="s">
        <v>154</v>
      </c>
      <c r="C7" s="35" t="s">
        <v>152</v>
      </c>
      <c r="D7" s="43" t="s">
        <v>97</v>
      </c>
      <c r="E7" s="33" t="s">
        <v>153</v>
      </c>
      <c r="F7" s="35" t="s">
        <v>152</v>
      </c>
      <c r="G7" s="33" t="s">
        <v>154</v>
      </c>
      <c r="H7" s="35" t="s">
        <v>152</v>
      </c>
    </row>
    <row r="8" spans="1:8">
      <c r="A8" s="7">
        <v>0.39583333333333398</v>
      </c>
      <c r="B8" s="33" t="s">
        <v>154</v>
      </c>
      <c r="C8" s="35" t="s">
        <v>152</v>
      </c>
      <c r="D8" s="43" t="s">
        <v>97</v>
      </c>
      <c r="E8" s="33" t="s">
        <v>153</v>
      </c>
      <c r="F8" s="35" t="s">
        <v>152</v>
      </c>
      <c r="G8" s="33" t="s">
        <v>154</v>
      </c>
      <c r="H8" s="35" t="s">
        <v>152</v>
      </c>
    </row>
    <row r="9" spans="1:8">
      <c r="A9" s="7">
        <v>0.41666666666666702</v>
      </c>
      <c r="B9" s="33" t="s">
        <v>154</v>
      </c>
      <c r="C9" s="35" t="s">
        <v>152</v>
      </c>
      <c r="D9" s="43" t="s">
        <v>97</v>
      </c>
      <c r="E9" s="33" t="s">
        <v>153</v>
      </c>
      <c r="F9" s="35" t="s">
        <v>152</v>
      </c>
      <c r="G9" s="33" t="s">
        <v>154</v>
      </c>
      <c r="H9" s="35" t="s">
        <v>152</v>
      </c>
    </row>
    <row r="10" spans="1:8">
      <c r="A10" s="7">
        <v>0.42708333333333331</v>
      </c>
      <c r="B10" s="33" t="s">
        <v>154</v>
      </c>
      <c r="C10" s="35" t="s">
        <v>152</v>
      </c>
      <c r="D10" s="43" t="s">
        <v>97</v>
      </c>
      <c r="E10" s="33" t="s">
        <v>153</v>
      </c>
      <c r="F10" s="35" t="s">
        <v>152</v>
      </c>
      <c r="G10" s="33" t="s">
        <v>154</v>
      </c>
      <c r="H10" s="35" t="s">
        <v>152</v>
      </c>
    </row>
    <row r="11" spans="1:8">
      <c r="A11" s="7">
        <v>0.4375</v>
      </c>
      <c r="B11" s="33" t="s">
        <v>154</v>
      </c>
      <c r="C11" s="35" t="s">
        <v>152</v>
      </c>
      <c r="D11" s="43" t="s">
        <v>97</v>
      </c>
      <c r="E11" s="33" t="s">
        <v>154</v>
      </c>
      <c r="F11" s="35" t="s">
        <v>152</v>
      </c>
      <c r="G11" s="33" t="s">
        <v>154</v>
      </c>
      <c r="H11" s="35" t="s">
        <v>152</v>
      </c>
    </row>
    <row r="12" spans="1:8">
      <c r="A12" s="7">
        <v>0.45833333333333398</v>
      </c>
      <c r="B12" s="33" t="s">
        <v>154</v>
      </c>
      <c r="C12" s="35" t="s">
        <v>152</v>
      </c>
      <c r="D12" s="43" t="s">
        <v>97</v>
      </c>
      <c r="E12" s="33" t="s">
        <v>154</v>
      </c>
      <c r="F12" s="35" t="s">
        <v>152</v>
      </c>
      <c r="G12" s="33" t="s">
        <v>154</v>
      </c>
      <c r="H12" s="35" t="s">
        <v>152</v>
      </c>
    </row>
    <row r="13" spans="1:8">
      <c r="A13" s="7">
        <v>0.47916666666666702</v>
      </c>
      <c r="B13" s="33" t="s">
        <v>154</v>
      </c>
      <c r="C13" s="35" t="s">
        <v>152</v>
      </c>
      <c r="D13" s="43" t="s">
        <v>97</v>
      </c>
      <c r="E13" s="33" t="s">
        <v>154</v>
      </c>
      <c r="F13" s="35" t="s">
        <v>152</v>
      </c>
      <c r="G13" s="33" t="s">
        <v>154</v>
      </c>
      <c r="H13" s="35" t="s">
        <v>152</v>
      </c>
    </row>
    <row r="14" spans="1:8">
      <c r="A14" s="7">
        <v>0.48958333333333331</v>
      </c>
      <c r="B14" s="33" t="s">
        <v>154</v>
      </c>
      <c r="C14" s="35" t="s">
        <v>152</v>
      </c>
      <c r="D14" s="43" t="s">
        <v>97</v>
      </c>
      <c r="E14" s="33" t="s">
        <v>154</v>
      </c>
      <c r="F14" s="35" t="s">
        <v>152</v>
      </c>
      <c r="G14" s="33" t="s">
        <v>154</v>
      </c>
      <c r="H14" s="35" t="s">
        <v>152</v>
      </c>
    </row>
    <row r="15" spans="1:8">
      <c r="A15" s="7">
        <v>0.5</v>
      </c>
      <c r="B15" s="33" t="s">
        <v>154</v>
      </c>
      <c r="C15" s="35" t="s">
        <v>152</v>
      </c>
      <c r="D15" s="43" t="s">
        <v>97</v>
      </c>
      <c r="E15" s="33" t="s">
        <v>154</v>
      </c>
      <c r="F15" s="35" t="s">
        <v>152</v>
      </c>
      <c r="G15" s="33" t="s">
        <v>154</v>
      </c>
      <c r="H15" s="35" t="s">
        <v>152</v>
      </c>
    </row>
    <row r="16" spans="1:8">
      <c r="A16" s="7">
        <v>0.51041666666666663</v>
      </c>
      <c r="B16" s="33" t="s">
        <v>154</v>
      </c>
      <c r="C16" s="6" t="s">
        <v>157</v>
      </c>
      <c r="D16" s="43" t="s">
        <v>97</v>
      </c>
      <c r="E16" s="33" t="s">
        <v>154</v>
      </c>
      <c r="F16" s="6" t="s">
        <v>157</v>
      </c>
      <c r="G16" s="6" t="s">
        <v>157</v>
      </c>
      <c r="H16" s="6" t="s">
        <v>157</v>
      </c>
    </row>
    <row r="17" spans="1:8">
      <c r="A17" s="7">
        <v>0.52083333333333404</v>
      </c>
      <c r="B17" s="33" t="s">
        <v>154</v>
      </c>
      <c r="C17" s="6" t="s">
        <v>157</v>
      </c>
      <c r="D17" s="43" t="s">
        <v>97</v>
      </c>
      <c r="E17" s="33" t="s">
        <v>154</v>
      </c>
      <c r="F17" s="6" t="s">
        <v>157</v>
      </c>
      <c r="G17" s="6" t="s">
        <v>157</v>
      </c>
      <c r="H17" s="6" t="s">
        <v>157</v>
      </c>
    </row>
    <row r="18" spans="1:8">
      <c r="A18" s="7">
        <v>0.54166666666666696</v>
      </c>
      <c r="B18" s="33" t="s">
        <v>154</v>
      </c>
      <c r="C18" s="12" t="s">
        <v>155</v>
      </c>
      <c r="D18" s="43" t="s">
        <v>97</v>
      </c>
      <c r="E18" s="33" t="s">
        <v>154</v>
      </c>
      <c r="F18" s="12" t="s">
        <v>155</v>
      </c>
      <c r="G18" s="34" t="s">
        <v>151</v>
      </c>
      <c r="H18" s="12" t="s">
        <v>155</v>
      </c>
    </row>
    <row r="19" spans="1:8">
      <c r="A19" s="7">
        <v>0.5625</v>
      </c>
      <c r="B19" s="6" t="s">
        <v>157</v>
      </c>
      <c r="C19" s="12" t="s">
        <v>155</v>
      </c>
      <c r="D19" s="43" t="s">
        <v>97</v>
      </c>
      <c r="E19" s="33" t="s">
        <v>154</v>
      </c>
      <c r="F19" s="12" t="s">
        <v>155</v>
      </c>
      <c r="G19" s="34" t="s">
        <v>151</v>
      </c>
      <c r="H19" s="12" t="s">
        <v>155</v>
      </c>
    </row>
    <row r="20" spans="1:8">
      <c r="A20" s="7">
        <v>0.57291666666666663</v>
      </c>
      <c r="B20" s="6" t="s">
        <v>157</v>
      </c>
      <c r="C20" s="12" t="s">
        <v>155</v>
      </c>
      <c r="D20" s="43" t="s">
        <v>97</v>
      </c>
      <c r="E20" s="6" t="s">
        <v>157</v>
      </c>
      <c r="F20" s="12" t="s">
        <v>155</v>
      </c>
      <c r="G20" s="34" t="s">
        <v>151</v>
      </c>
      <c r="H20" s="12" t="s">
        <v>155</v>
      </c>
    </row>
    <row r="21" spans="1:8">
      <c r="A21" s="7">
        <v>0.58333333333333404</v>
      </c>
      <c r="B21" s="34" t="s">
        <v>151</v>
      </c>
      <c r="C21" s="12" t="s">
        <v>155</v>
      </c>
      <c r="D21" s="43" t="s">
        <v>97</v>
      </c>
      <c r="E21" s="6" t="s">
        <v>157</v>
      </c>
      <c r="F21" s="12" t="s">
        <v>155</v>
      </c>
      <c r="G21" s="34" t="s">
        <v>151</v>
      </c>
      <c r="H21" s="12" t="s">
        <v>155</v>
      </c>
    </row>
    <row r="22" spans="1:8">
      <c r="A22" s="7">
        <v>0.59375</v>
      </c>
      <c r="B22" s="34" t="s">
        <v>151</v>
      </c>
      <c r="C22" s="12" t="s">
        <v>155</v>
      </c>
      <c r="D22" s="43" t="s">
        <v>97</v>
      </c>
      <c r="E22" s="34" t="s">
        <v>151</v>
      </c>
      <c r="F22" s="12" t="s">
        <v>155</v>
      </c>
      <c r="G22" s="34" t="s">
        <v>151</v>
      </c>
      <c r="H22" s="12" t="s">
        <v>155</v>
      </c>
    </row>
    <row r="23" spans="1:8">
      <c r="A23" s="7">
        <v>0.60416666666666696</v>
      </c>
      <c r="B23" s="34" t="s">
        <v>151</v>
      </c>
      <c r="C23" s="12" t="s">
        <v>155</v>
      </c>
      <c r="D23" s="43" t="s">
        <v>97</v>
      </c>
      <c r="E23" s="34" t="s">
        <v>151</v>
      </c>
      <c r="F23" s="12" t="s">
        <v>155</v>
      </c>
      <c r="G23" s="34" t="s">
        <v>151</v>
      </c>
      <c r="H23" s="12" t="s">
        <v>155</v>
      </c>
    </row>
    <row r="24" spans="1:8">
      <c r="A24" s="7">
        <v>0.61458333333333337</v>
      </c>
      <c r="B24" s="34" t="s">
        <v>151</v>
      </c>
      <c r="C24" s="12" t="s">
        <v>155</v>
      </c>
      <c r="D24" s="43" t="s">
        <v>97</v>
      </c>
      <c r="E24" s="34" t="s">
        <v>151</v>
      </c>
      <c r="F24" s="12" t="s">
        <v>155</v>
      </c>
      <c r="G24" s="34" t="s">
        <v>151</v>
      </c>
      <c r="H24" s="12" t="s">
        <v>155</v>
      </c>
    </row>
    <row r="25" spans="1:8">
      <c r="A25" s="7">
        <v>0.625000000000001</v>
      </c>
      <c r="B25" s="34" t="s">
        <v>151</v>
      </c>
      <c r="C25" s="12" t="s">
        <v>155</v>
      </c>
      <c r="D25" s="43" t="s">
        <v>97</v>
      </c>
      <c r="E25" s="34" t="s">
        <v>151</v>
      </c>
      <c r="F25" s="12" t="s">
        <v>155</v>
      </c>
      <c r="G25" s="34" t="s">
        <v>151</v>
      </c>
      <c r="H25" s="12" t="s">
        <v>155</v>
      </c>
    </row>
    <row r="26" spans="1:8">
      <c r="A26" s="7">
        <v>0.64583333333333404</v>
      </c>
      <c r="B26" s="34" t="s">
        <v>151</v>
      </c>
      <c r="C26" s="12" t="s">
        <v>155</v>
      </c>
      <c r="D26" s="43" t="s">
        <v>97</v>
      </c>
      <c r="E26" s="34" t="s">
        <v>151</v>
      </c>
      <c r="F26" s="12" t="s">
        <v>155</v>
      </c>
      <c r="G26" s="34" t="s">
        <v>151</v>
      </c>
      <c r="H26" s="12" t="s">
        <v>155</v>
      </c>
    </row>
    <row r="27" spans="1:8">
      <c r="A27" s="7">
        <v>0.65625</v>
      </c>
      <c r="B27" s="34" t="s">
        <v>151</v>
      </c>
      <c r="C27" s="12" t="s">
        <v>155</v>
      </c>
      <c r="D27" s="43" t="s">
        <v>97</v>
      </c>
      <c r="E27" s="34" t="s">
        <v>151</v>
      </c>
      <c r="F27" s="12" t="s">
        <v>155</v>
      </c>
      <c r="G27" s="34" t="s">
        <v>151</v>
      </c>
      <c r="H27" s="12" t="s">
        <v>155</v>
      </c>
    </row>
    <row r="28" spans="1:8">
      <c r="A28" s="7">
        <v>0.66666666666666696</v>
      </c>
      <c r="B28" s="34" t="s">
        <v>151</v>
      </c>
      <c r="C28" s="12" t="s">
        <v>155</v>
      </c>
      <c r="D28" s="43" t="s">
        <v>97</v>
      </c>
      <c r="E28" s="34" t="s">
        <v>151</v>
      </c>
      <c r="F28" s="12" t="s">
        <v>155</v>
      </c>
      <c r="G28" s="34" t="s">
        <v>151</v>
      </c>
      <c r="H28" s="12" t="s">
        <v>155</v>
      </c>
    </row>
    <row r="29" spans="1:8">
      <c r="A29" s="7">
        <v>0.67708333333333337</v>
      </c>
      <c r="B29" s="34" t="s">
        <v>151</v>
      </c>
      <c r="C29" s="12" t="s">
        <v>155</v>
      </c>
      <c r="D29" s="43" t="s">
        <v>97</v>
      </c>
      <c r="E29" s="34" t="s">
        <v>151</v>
      </c>
      <c r="F29" s="12" t="s">
        <v>155</v>
      </c>
      <c r="G29" s="34" t="s">
        <v>151</v>
      </c>
      <c r="H29" s="12" t="s">
        <v>155</v>
      </c>
    </row>
    <row r="30" spans="1:8">
      <c r="A30" s="7">
        <v>0.687500000000001</v>
      </c>
      <c r="B30" s="34" t="s">
        <v>151</v>
      </c>
      <c r="C30" s="12" t="s">
        <v>155</v>
      </c>
      <c r="D30" s="43" t="s">
        <v>97</v>
      </c>
      <c r="E30" s="34" t="s">
        <v>151</v>
      </c>
      <c r="F30" s="12" t="s">
        <v>155</v>
      </c>
      <c r="G30" s="34" t="s">
        <v>151</v>
      </c>
      <c r="H30" s="12" t="s">
        <v>155</v>
      </c>
    </row>
    <row r="31" spans="1:8">
      <c r="A31" s="7">
        <v>0.70833333333333404</v>
      </c>
      <c r="B31" s="34" t="s">
        <v>151</v>
      </c>
      <c r="C31" s="12" t="s">
        <v>155</v>
      </c>
      <c r="D31" s="12" t="s">
        <v>155</v>
      </c>
      <c r="E31" s="34" t="s">
        <v>151</v>
      </c>
      <c r="F31" s="12" t="s">
        <v>155</v>
      </c>
      <c r="G31" s="34" t="s">
        <v>151</v>
      </c>
      <c r="H31" s="12" t="s">
        <v>155</v>
      </c>
    </row>
    <row r="32" spans="1:8">
      <c r="A32" s="7">
        <v>0.72916666666666696</v>
      </c>
      <c r="B32" s="34" t="s">
        <v>151</v>
      </c>
      <c r="D32" s="12" t="s">
        <v>155</v>
      </c>
      <c r="E32" s="34" t="s">
        <v>151</v>
      </c>
    </row>
    <row r="33" spans="1:5">
      <c r="A33" s="7">
        <v>0.750000000000001</v>
      </c>
      <c r="B33" s="34" t="s">
        <v>151</v>
      </c>
      <c r="D33" s="12" t="s">
        <v>155</v>
      </c>
      <c r="E33" s="34" t="s">
        <v>151</v>
      </c>
    </row>
    <row r="34" spans="1:5">
      <c r="A34" s="7">
        <v>0.77083333333333404</v>
      </c>
      <c r="B34" s="34" t="s">
        <v>151</v>
      </c>
      <c r="D34" s="12" t="s">
        <v>155</v>
      </c>
      <c r="E34" s="34" t="s">
        <v>151</v>
      </c>
    </row>
    <row r="35" spans="1:5">
      <c r="A35" s="7">
        <v>0.79166666666666696</v>
      </c>
      <c r="B35" s="34" t="s">
        <v>151</v>
      </c>
      <c r="C35" s="44" t="s">
        <v>156</v>
      </c>
      <c r="E35" s="34" t="s">
        <v>151</v>
      </c>
    </row>
    <row r="36" spans="1:5">
      <c r="A36" s="7">
        <v>0.812500000000001</v>
      </c>
      <c r="C36" s="44" t="s">
        <v>156</v>
      </c>
    </row>
    <row r="37" spans="1:5">
      <c r="A37" s="7">
        <v>0.83333333333333404</v>
      </c>
      <c r="C37" s="44" t="s">
        <v>156</v>
      </c>
    </row>
    <row r="38" spans="1:5">
      <c r="A38" s="7">
        <v>0.85416666666666696</v>
      </c>
      <c r="C38" s="44" t="s">
        <v>156</v>
      </c>
    </row>
    <row r="39" spans="1:5">
      <c r="A39" s="7">
        <v>0.875000000000001</v>
      </c>
      <c r="C39" s="44" t="s">
        <v>156</v>
      </c>
    </row>
    <row r="40" spans="1:5">
      <c r="A40" s="7">
        <v>0.89583333333333404</v>
      </c>
    </row>
    <row r="41" spans="1:5">
      <c r="A41" s="7">
        <v>0.91666666666666696</v>
      </c>
    </row>
    <row r="42" spans="1:5">
      <c r="A42" s="7">
        <v>0.937500000000001</v>
      </c>
    </row>
    <row r="43" spans="1:5">
      <c r="A43" s="7">
        <v>0.95833333333333404</v>
      </c>
    </row>
    <row r="44" spans="1:5">
      <c r="A44" s="7">
        <v>0.97916666666666696</v>
      </c>
    </row>
    <row r="45" spans="1:5">
      <c r="A45" s="7">
        <v>1</v>
      </c>
    </row>
    <row r="46" spans="1:5">
      <c r="A46" s="7">
        <v>1.0208333333333299</v>
      </c>
    </row>
    <row r="47" spans="1:5">
      <c r="A47" s="7">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50"/>
  <sheetViews>
    <sheetView zoomScale="90" zoomScaleNormal="90" workbookViewId="0">
      <selection activeCell="C36" sqref="C36"/>
    </sheetView>
  </sheetViews>
  <sheetFormatPr baseColWidth="10" defaultColWidth="10.69921875" defaultRowHeight="15.6"/>
  <sheetData>
    <row r="1" spans="1:8" ht="24.6">
      <c r="B1" s="5" t="s">
        <v>25</v>
      </c>
    </row>
    <row r="4" spans="1:8">
      <c r="B4" s="3" t="s">
        <v>4</v>
      </c>
      <c r="C4" s="3" t="s">
        <v>5</v>
      </c>
      <c r="D4" s="3" t="s">
        <v>6</v>
      </c>
      <c r="E4" s="3" t="s">
        <v>7</v>
      </c>
      <c r="F4" s="3" t="s">
        <v>10</v>
      </c>
      <c r="G4" s="3" t="s">
        <v>8</v>
      </c>
      <c r="H4" s="3" t="s">
        <v>9</v>
      </c>
    </row>
    <row r="5" spans="1:8">
      <c r="A5" s="7">
        <v>0.16666666666666666</v>
      </c>
    </row>
    <row r="6" spans="1:8">
      <c r="A6" s="7">
        <v>0.1875</v>
      </c>
    </row>
    <row r="7" spans="1:8">
      <c r="A7" s="7">
        <v>0.20833333333333301</v>
      </c>
      <c r="G7" s="6"/>
    </row>
    <row r="8" spans="1:8">
      <c r="A8" s="7">
        <v>0.22916666666666699</v>
      </c>
      <c r="G8" s="6"/>
    </row>
    <row r="9" spans="1:8">
      <c r="A9" s="7">
        <v>0.25</v>
      </c>
      <c r="G9" s="6"/>
    </row>
    <row r="10" spans="1:8">
      <c r="A10" s="7">
        <v>0.27083333333333398</v>
      </c>
    </row>
    <row r="11" spans="1:8">
      <c r="A11" s="7">
        <v>0.29166666666666702</v>
      </c>
    </row>
    <row r="12" spans="1:8">
      <c r="A12" s="7">
        <v>0.3125</v>
      </c>
    </row>
    <row r="13" spans="1:8">
      <c r="A13" s="7">
        <v>0.33333333333333398</v>
      </c>
    </row>
    <row r="14" spans="1:8">
      <c r="A14" s="7">
        <v>0.35416666666666702</v>
      </c>
    </row>
    <row r="15" spans="1:8">
      <c r="A15" s="7">
        <v>0.375</v>
      </c>
    </row>
    <row r="16" spans="1:8">
      <c r="A16" s="7">
        <v>0.39583333333333398</v>
      </c>
    </row>
    <row r="17" spans="1:1">
      <c r="A17" s="7">
        <v>0.41666666666666702</v>
      </c>
    </row>
    <row r="18" spans="1:1">
      <c r="A18" s="7">
        <v>0.42708333333333331</v>
      </c>
    </row>
    <row r="19" spans="1:1">
      <c r="A19" s="7">
        <v>0.4375</v>
      </c>
    </row>
    <row r="20" spans="1:1">
      <c r="A20" s="7">
        <v>0.45833333333333398</v>
      </c>
    </row>
    <row r="21" spans="1:1">
      <c r="A21" s="7">
        <v>0.47916666666666702</v>
      </c>
    </row>
    <row r="22" spans="1:1">
      <c r="A22" s="7">
        <v>0.5</v>
      </c>
    </row>
    <row r="23" spans="1:1">
      <c r="A23" s="7">
        <v>0.51041666666666663</v>
      </c>
    </row>
    <row r="24" spans="1:1">
      <c r="A24" s="7">
        <v>0.52083333333333404</v>
      </c>
    </row>
    <row r="25" spans="1:1">
      <c r="A25" s="7">
        <v>0.54166666666666696</v>
      </c>
    </row>
    <row r="26" spans="1:1">
      <c r="A26" s="7">
        <v>0.5625</v>
      </c>
    </row>
    <row r="27" spans="1:1">
      <c r="A27" s="7">
        <v>0.57291666666666663</v>
      </c>
    </row>
    <row r="28" spans="1:1">
      <c r="A28" s="7">
        <v>0.58333333333333404</v>
      </c>
    </row>
    <row r="29" spans="1:1">
      <c r="A29" s="7">
        <v>0.60416666666666696</v>
      </c>
    </row>
    <row r="30" spans="1:1">
      <c r="A30" s="7">
        <v>0.625000000000001</v>
      </c>
    </row>
    <row r="31" spans="1:1">
      <c r="A31" s="7">
        <v>0.64583333333333404</v>
      </c>
    </row>
    <row r="32" spans="1:1">
      <c r="A32" s="7">
        <v>0.66666666666666696</v>
      </c>
    </row>
    <row r="33" spans="1:1">
      <c r="A33" s="7">
        <v>0.687500000000001</v>
      </c>
    </row>
    <row r="34" spans="1:1">
      <c r="A34" s="7">
        <v>0.70833333333333404</v>
      </c>
    </row>
    <row r="35" spans="1:1">
      <c r="A35" s="7">
        <v>0.72916666666666696</v>
      </c>
    </row>
    <row r="36" spans="1:1">
      <c r="A36" s="7">
        <v>0.750000000000001</v>
      </c>
    </row>
    <row r="37" spans="1:1">
      <c r="A37" s="7">
        <v>0.77083333333333404</v>
      </c>
    </row>
    <row r="38" spans="1:1">
      <c r="A38" s="7">
        <v>0.79166666666666696</v>
      </c>
    </row>
    <row r="39" spans="1:1">
      <c r="A39" s="7">
        <v>0.812500000000001</v>
      </c>
    </row>
    <row r="40" spans="1:1">
      <c r="A40" s="7">
        <v>0.83333333333333404</v>
      </c>
    </row>
    <row r="41" spans="1:1">
      <c r="A41" s="7">
        <v>0.85416666666666696</v>
      </c>
    </row>
    <row r="42" spans="1:1">
      <c r="A42" s="7">
        <v>0.875000000000001</v>
      </c>
    </row>
    <row r="43" spans="1:1">
      <c r="A43" s="7">
        <v>0.89583333333333404</v>
      </c>
    </row>
    <row r="44" spans="1:1">
      <c r="A44" s="7">
        <v>0.91666666666666696</v>
      </c>
    </row>
    <row r="45" spans="1:1">
      <c r="A45" s="7">
        <v>0.937500000000001</v>
      </c>
    </row>
    <row r="46" spans="1:1">
      <c r="A46" s="7">
        <v>0.95833333333333404</v>
      </c>
    </row>
    <row r="47" spans="1:1">
      <c r="A47" s="7">
        <v>0.97916666666666696</v>
      </c>
    </row>
    <row r="48" spans="1:1">
      <c r="A48" s="7">
        <v>1</v>
      </c>
    </row>
    <row r="49" spans="1:1">
      <c r="A49" s="7">
        <v>1.0208333333333299</v>
      </c>
    </row>
    <row r="50" spans="1:1">
      <c r="A50" s="7">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COMMITTMENT</vt:lpstr>
      <vt:lpstr>Best-Practices</vt:lpstr>
      <vt:lpstr>Stundenplan (4)</vt:lpstr>
      <vt:lpstr>Wochenplan KW 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Zahedi, Arman</cp:lastModifiedBy>
  <dcterms:created xsi:type="dcterms:W3CDTF">2020-04-19T13:33:28Z</dcterms:created>
  <dcterms:modified xsi:type="dcterms:W3CDTF">2023-10-21T21:05:15Z</dcterms:modified>
</cp:coreProperties>
</file>