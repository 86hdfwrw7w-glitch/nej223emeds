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falklorentzen/Documents/Uni/"/>
    </mc:Choice>
  </mc:AlternateContent>
  <xr:revisionPtr revIDLastSave="0" documentId="13_ncr:1_{EAD99FE0-20BA-744B-9FD7-1C0CD98D24BC}" xr6:coauthVersionLast="47" xr6:coauthVersionMax="47" xr10:uidLastSave="{00000000-0000-0000-0000-000000000000}"/>
  <bookViews>
    <workbookView xWindow="0" yWindow="500" windowWidth="28800" windowHeight="15800" firstSheet="1" activeTab="1" xr2:uid="{50F29292-BE80-0C47-A0D2-DD086CB3D310}"/>
  </bookViews>
  <sheets>
    <sheet name="Anleitung" sheetId="2" r:id="rId1"/>
    <sheet name="Semesterplan" sheetId="7" r:id="rId2"/>
    <sheet name="COMMITTMENT" sheetId="9" r:id="rId3"/>
    <sheet name="Wochenplan KW 42"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7" l="1"/>
  <c r="I9" i="7"/>
  <c r="J9" i="7" a="1"/>
  <c r="J9" i="7" s="1"/>
  <c r="K9" i="7" a="1"/>
  <c r="K9" i="7" s="1"/>
  <c r="K25" i="7" l="1" a="1"/>
  <c r="K25" i="7" s="1"/>
  <c r="J25" i="7" a="1"/>
  <c r="J25" i="7" s="1"/>
  <c r="I25" i="7"/>
  <c r="EQ32" i="7"/>
  <c r="EQ23" i="7"/>
  <c r="EQ17" i="7"/>
  <c r="EQ4" i="7"/>
  <c r="DH4" i="7"/>
  <c r="DH17" i="7"/>
  <c r="DH23" i="7"/>
  <c r="DH32" i="7"/>
  <c r="K38" i="7" a="1"/>
  <c r="K38" i="7" s="1"/>
  <c r="J38" i="7" a="1"/>
  <c r="J38" i="7" s="1"/>
  <c r="I38" i="7"/>
  <c r="K37" i="7" a="1"/>
  <c r="K37" i="7" s="1"/>
  <c r="J37" i="7" a="1"/>
  <c r="J37" i="7" s="1"/>
  <c r="I37" i="7"/>
  <c r="K36" i="7" a="1"/>
  <c r="K36" i="7" s="1"/>
  <c r="J36" i="7" a="1"/>
  <c r="J36" i="7" s="1"/>
  <c r="I36" i="7"/>
  <c r="K35" i="7" a="1"/>
  <c r="K35" i="7" s="1"/>
  <c r="J35" i="7" a="1"/>
  <c r="J35" i="7" s="1"/>
  <c r="I35" i="7"/>
  <c r="K34" i="7" a="1"/>
  <c r="K34" i="7" s="1"/>
  <c r="J34" i="7" a="1"/>
  <c r="J34" i="7" s="1"/>
  <c r="I34" i="7"/>
  <c r="K33" i="7" a="1"/>
  <c r="K33" i="7" s="1"/>
  <c r="J33" i="7" a="1"/>
  <c r="J33" i="7" s="1"/>
  <c r="I33" i="7"/>
  <c r="EJ32" i="7"/>
  <c r="EC32" i="7"/>
  <c r="DV32" i="7"/>
  <c r="DO32" i="7"/>
  <c r="DA32" i="7"/>
  <c r="CT32" i="7"/>
  <c r="CM32" i="7"/>
  <c r="CF32" i="7"/>
  <c r="BY32" i="7"/>
  <c r="BR32" i="7"/>
  <c r="BK32" i="7"/>
  <c r="BD32" i="7"/>
  <c r="AW32" i="7"/>
  <c r="AP32" i="7"/>
  <c r="AI32" i="7"/>
  <c r="AB32" i="7"/>
  <c r="U32" i="7"/>
  <c r="N32" i="7"/>
  <c r="G32" i="7"/>
  <c r="EJ23" i="7"/>
  <c r="EJ17" i="7"/>
  <c r="EJ4" i="7"/>
  <c r="EC23" i="7"/>
  <c r="EC17" i="7"/>
  <c r="EC4" i="7"/>
  <c r="DV23" i="7"/>
  <c r="DV17" i="7"/>
  <c r="DV4" i="7"/>
  <c r="DO23" i="7"/>
  <c r="DO17" i="7"/>
  <c r="DO4" i="7"/>
  <c r="DA23" i="7"/>
  <c r="DA17" i="7"/>
  <c r="DA4" i="7"/>
  <c r="CT23" i="7"/>
  <c r="CT17" i="7"/>
  <c r="CT4" i="7"/>
  <c r="CM23" i="7"/>
  <c r="CM17" i="7"/>
  <c r="CM4" i="7"/>
  <c r="CF23" i="7"/>
  <c r="CF17" i="7"/>
  <c r="CF4" i="7"/>
  <c r="BY23" i="7"/>
  <c r="BY17" i="7"/>
  <c r="BY4" i="7"/>
  <c r="BR23" i="7"/>
  <c r="BR17" i="7"/>
  <c r="BR4" i="7"/>
  <c r="BK23" i="7"/>
  <c r="BK17" i="7"/>
  <c r="BK4" i="7"/>
  <c r="K30" i="7" a="1"/>
  <c r="K30" i="7" s="1"/>
  <c r="J30" i="7" a="1"/>
  <c r="J30" i="7" s="1"/>
  <c r="I30" i="7"/>
  <c r="K29" i="7" a="1"/>
  <c r="K29" i="7" s="1"/>
  <c r="J29" i="7" a="1"/>
  <c r="J29" i="7" s="1"/>
  <c r="I29" i="7"/>
  <c r="K28" i="7" a="1"/>
  <c r="K28" i="7" s="1"/>
  <c r="J28" i="7" a="1"/>
  <c r="J28" i="7" s="1"/>
  <c r="I28" i="7"/>
  <c r="K27" i="7" a="1"/>
  <c r="K27" i="7" s="1"/>
  <c r="J27" i="7" a="1"/>
  <c r="J27" i="7" s="1"/>
  <c r="I27" i="7"/>
  <c r="K26" i="7" a="1"/>
  <c r="K26" i="7" s="1"/>
  <c r="J26" i="7" a="1"/>
  <c r="J26" i="7" s="1"/>
  <c r="I26" i="7"/>
  <c r="K24" i="7" a="1"/>
  <c r="K24" i="7" s="1"/>
  <c r="J24" i="7" a="1"/>
  <c r="J24" i="7" s="1"/>
  <c r="I24" i="7"/>
  <c r="BD23" i="7"/>
  <c r="AW23" i="7"/>
  <c r="AP23" i="7"/>
  <c r="AI23" i="7"/>
  <c r="AB23" i="7"/>
  <c r="U23" i="7"/>
  <c r="N23" i="7"/>
  <c r="G23" i="7"/>
  <c r="K21" i="7" a="1"/>
  <c r="K21" i="7" s="1"/>
  <c r="J21" i="7" a="1"/>
  <c r="J21" i="7" s="1"/>
  <c r="I21" i="7"/>
  <c r="K20" i="7" a="1"/>
  <c r="K20" i="7" s="1"/>
  <c r="J20" i="7" a="1"/>
  <c r="J20" i="7" s="1"/>
  <c r="I20" i="7"/>
  <c r="K19" i="7" a="1"/>
  <c r="K19" i="7" s="1"/>
  <c r="J19" i="7" a="1"/>
  <c r="J19" i="7" s="1"/>
  <c r="I19" i="7"/>
  <c r="K18" i="7" a="1"/>
  <c r="K18" i="7" s="1"/>
  <c r="J18" i="7" a="1"/>
  <c r="J18" i="7" s="1"/>
  <c r="I18" i="7"/>
  <c r="BD17" i="7"/>
  <c r="AW17" i="7"/>
  <c r="AP17" i="7"/>
  <c r="AI17" i="7"/>
  <c r="AB17" i="7"/>
  <c r="U17" i="7"/>
  <c r="N17" i="7"/>
  <c r="G17" i="7"/>
  <c r="K15" i="7" a="1"/>
  <c r="K15" i="7" s="1"/>
  <c r="J15" i="7" a="1"/>
  <c r="J15" i="7" s="1"/>
  <c r="K14" i="7" a="1"/>
  <c r="K14" i="7" s="1"/>
  <c r="J14" i="7" a="1"/>
  <c r="J14" i="7" s="1"/>
  <c r="K13" i="7" a="1"/>
  <c r="K13" i="7" s="1"/>
  <c r="J13" i="7" a="1"/>
  <c r="J13" i="7" s="1"/>
  <c r="K12" i="7" a="1"/>
  <c r="K12" i="7" s="1"/>
  <c r="J12" i="7" a="1"/>
  <c r="J12" i="7" s="1"/>
  <c r="K11" i="7" a="1"/>
  <c r="K11" i="7" s="1"/>
  <c r="J11" i="7" a="1"/>
  <c r="J11" i="7" s="1"/>
  <c r="K8" i="7" a="1"/>
  <c r="K8" i="7" s="1"/>
  <c r="J8" i="7" a="1"/>
  <c r="J8" i="7" s="1"/>
  <c r="K7" i="7" a="1"/>
  <c r="K7" i="7" s="1"/>
  <c r="J7" i="7" a="1"/>
  <c r="J7" i="7" s="1"/>
  <c r="K6" i="7" a="1"/>
  <c r="K6" i="7" s="1"/>
  <c r="J6" i="7" a="1"/>
  <c r="J6" i="7" s="1"/>
  <c r="K5" i="7" a="1"/>
  <c r="K5" i="7" s="1"/>
  <c r="J5" i="7" a="1"/>
  <c r="J5" i="7" s="1"/>
  <c r="BD4" i="7"/>
  <c r="AW4" i="7"/>
  <c r="AP4" i="7"/>
  <c r="AI4" i="7"/>
  <c r="AB4" i="7"/>
  <c r="U4" i="7"/>
  <c r="N4" i="7"/>
  <c r="I15" i="7"/>
  <c r="I14" i="7"/>
  <c r="I13" i="7"/>
  <c r="I12" i="7"/>
  <c r="I11" i="7"/>
  <c r="I6" i="7"/>
  <c r="I7" i="7"/>
  <c r="I8" i="7"/>
  <c r="I5" i="7"/>
  <c r="I32" i="7" l="1"/>
  <c r="J32" i="7"/>
  <c r="K32" i="7"/>
  <c r="I23" i="7"/>
  <c r="I17" i="7"/>
  <c r="K17" i="7"/>
  <c r="K23" i="7"/>
  <c r="J23" i="7"/>
  <c r="J17"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<sst xmlns="http://schemas.openxmlformats.org/spreadsheetml/2006/main" count="368" uniqueCount="123">
  <si>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</si>
  <si>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</si>
  <si>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</si>
  <si>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</si>
  <si>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</si>
  <si>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</si>
  <si>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</si>
  <si>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</si>
  <si>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</si>
  <si>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</si>
  <si>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</si>
  <si>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</si>
  <si>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</si>
  <si>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</si>
  <si>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</si>
  <si>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</si>
  <si>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</si>
  <si>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</si>
  <si>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</si>
  <si>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</si>
  <si>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</si>
  <si>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</si>
  <si>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</si>
  <si>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</si>
  <si>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</si>
  <si>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</si>
  <si>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</si>
  <si>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</si>
  <si>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</si>
  <si>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</si>
  <si>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</si>
  <si>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</si>
  <si>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</si>
  <si>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</si>
  <si>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</si>
  <si>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</si>
  <si>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</si>
  <si>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</si>
  <si>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</si>
  <si>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</si>
  <si>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</si>
  <si>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</si>
  <si>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</si>
  <si>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</si>
  <si>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</si>
  <si>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</si>
  <si>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</si>
  <si>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</si>
  <si>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</si>
  <si>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Mikroökonomik</t>
  </si>
  <si>
    <t>Wirtschafts-, Unternehmensethik</t>
  </si>
  <si>
    <t>KW 41</t>
  </si>
  <si>
    <t>KW 42</t>
  </si>
  <si>
    <t>KW 43</t>
  </si>
  <si>
    <t>KW 44</t>
  </si>
  <si>
    <t>KW 45</t>
  </si>
  <si>
    <t>KW 46</t>
  </si>
  <si>
    <t>KW 47</t>
  </si>
  <si>
    <t>KW 48</t>
  </si>
  <si>
    <t>KW 49</t>
  </si>
  <si>
    <t>KW 50</t>
  </si>
  <si>
    <t>KW 51</t>
  </si>
  <si>
    <t>KW 52</t>
  </si>
  <si>
    <t>KW 1</t>
  </si>
  <si>
    <t>KW 2</t>
  </si>
  <si>
    <t>KW 3</t>
  </si>
  <si>
    <t>KW 4</t>
  </si>
  <si>
    <t>KW 5</t>
  </si>
  <si>
    <t>KW 6</t>
  </si>
  <si>
    <t>KW 7</t>
  </si>
  <si>
    <t>KW 8</t>
  </si>
  <si>
    <t>Analysis für Wiwi</t>
  </si>
  <si>
    <t>1) Funktionen</t>
  </si>
  <si>
    <t>2) Folgen und Reihen</t>
  </si>
  <si>
    <t>3) Differentialrechnung 1</t>
  </si>
  <si>
    <t>4) Differentialrechnung 2</t>
  </si>
  <si>
    <t>5) Integralrechnung</t>
  </si>
  <si>
    <t>Einführung in die VWL</t>
  </si>
  <si>
    <t>1) Grundlagen der Ethik</t>
  </si>
  <si>
    <t>2) Moralprobleme</t>
  </si>
  <si>
    <t>3) Ansätze der Ethik</t>
  </si>
  <si>
    <t>4) Wann handelt Homo Oeconomicus moralisch?</t>
  </si>
  <si>
    <t>5) Ethik der Rahmenordnung</t>
  </si>
  <si>
    <t>6) Die Ethik des Unternehmens</t>
  </si>
  <si>
    <t>7) Die Ethik des Individuums im Unternehmen</t>
  </si>
  <si>
    <t>1) Was ist VWL?</t>
  </si>
  <si>
    <t>4) Unternehemen und Märkte</t>
  </si>
  <si>
    <t>2) VGR und Makroökonomik</t>
  </si>
  <si>
    <t>3) Geld und Kapitalmärkte</t>
  </si>
  <si>
    <t>1) Haushaltstheorie 1</t>
  </si>
  <si>
    <t>2) Haushaltstheorie 2</t>
  </si>
  <si>
    <t>3) Unternehmenstheorie 1</t>
  </si>
  <si>
    <t>4) Unternehmenstheorie 2</t>
  </si>
  <si>
    <t>5) Elementare Preistheorie 1</t>
  </si>
  <si>
    <t>6) Elementare Preistheorie 2</t>
  </si>
  <si>
    <t>1) Wert in der BWL</t>
  </si>
  <si>
    <t>2) BWL als Wissenschaft</t>
  </si>
  <si>
    <t>3) Data Analystics</t>
  </si>
  <si>
    <t>4) Kritisches Denken</t>
  </si>
  <si>
    <t>70% des Semesters</t>
  </si>
  <si>
    <t>BWL1</t>
  </si>
  <si>
    <t>5) Was ist die BWL?</t>
  </si>
  <si>
    <t>Mathe Vorlesung</t>
  </si>
  <si>
    <t>Mikro Tutorium</t>
  </si>
  <si>
    <t>Mikro Vorlesung</t>
  </si>
  <si>
    <t>BWL 1 Vorlesung</t>
  </si>
  <si>
    <t>VWL 1 Vorlesung</t>
  </si>
  <si>
    <t>Mentoring</t>
  </si>
  <si>
    <t>Aufstehen</t>
  </si>
  <si>
    <t>schlafen</t>
  </si>
  <si>
    <t>Vorstellungsgespräch MHL(online)</t>
  </si>
  <si>
    <t>Vorstellungsgespräch Ebner Stolz(HH)</t>
  </si>
  <si>
    <t>Klausur</t>
  </si>
  <si>
    <t>Klausur(09.02)</t>
  </si>
  <si>
    <t>Studienarbeit(17.02)</t>
  </si>
  <si>
    <t>Klausur(23.02)</t>
  </si>
  <si>
    <t>Klausur(21.02)</t>
  </si>
  <si>
    <t>Vorstellungsgespräch</t>
  </si>
  <si>
    <t>lernen</t>
  </si>
  <si>
    <t>essen</t>
  </si>
  <si>
    <t>einkaufen</t>
  </si>
  <si>
    <t>friseur</t>
  </si>
  <si>
    <t>Klausur(22.02)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</si>
</sst>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family val="2"/>
      <scheme val="minor"/>
    </font>
  </fonts>
  <fills count="1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theme="0" tint="-0.14999847407452621"/>
        <bgColor indexed="64"/>
      </patternFill>
    </fill>
    <fill>
      <patternFill patternType="solid">
        <fgColor theme="5"/>
        <bgColor indexed="64"/>
      </patternFill>
    </fill>
    <fill>
      <patternFill patternType="solid">
        <fgColor rgb="FFFFFF00"/>
        <bgColor indexed="64"/>
      </patternFill>
    </fill>
    <fill>
      <patternFill patternType="solid">
        <fgColor theme="8" tint="0.39997558519241921"/>
        <bgColor indexed="64"/>
      </patternFill>
    </fill>
    <fill>
      <patternFill patternType="solid">
        <fgColor theme="7"/>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1" fillId="4" borderId="0" xfId="0" applyFont="1" applyFill="1"/>
    <xf numFmtId="0" fontId="1" fillId="5" borderId="0" xfId="0" applyFont="1" applyFill="1"/>
    <xf numFmtId="0" fontId="0" fillId="5" borderId="0" xfId="0" applyFill="1"/>
    <xf numFmtId="9" fontId="5" fillId="0" borderId="0" xfId="0" applyNumberFormat="1" applyFont="1"/>
    <xf numFmtId="0" fontId="0" fillId="6" borderId="0" xfId="0" applyFill="1"/>
    <xf numFmtId="0" fontId="0" fillId="7" borderId="0" xfId="0" applyFill="1"/>
    <xf numFmtId="0" fontId="0" fillId="8" borderId="0" xfId="0" applyFill="1"/>
    <xf numFmtId="0" fontId="0" fillId="9" borderId="0" xfId="0" applyFill="1"/>
    <xf numFmtId="0" fontId="1" fillId="2" borderId="0" xfId="0" applyFont="1" applyFill="1" applyAlignment="1">
      <alignment horizontal="center"/>
    </xf>
    <xf numFmtId="0" fontId="1" fillId="4" borderId="0" xfId="0" applyFont="1" applyFill="1" applyAlignment="1">
      <alignment horizontal="center"/>
    </xf>
    <xf numFmtId="0" fontId="1" fillId="5" borderId="0" xfId="0" applyFont="1" applyFill="1" applyAlignment="1">
      <alignment horizontal="center"/>
    </xf>
  </cellXfs>
  <cellStyles count="1">
    <cellStyle name="Standard" xfId="0" builtinId="0"/>
  </cellStyles>
  <dxfs count="65">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E0E0E0"/>
      <color rgb="FF00FF29"/>
      <color rgb="FF56FF5E"/>
      <color rgb="FFC4FF87"/>
      <color rgb="FFFFDE7F"/>
      <color rgb="FFFF755A"/>
      <color rgb="FFFDFF05"/>
      <color rgb="FF10FF07"/>
      <color rgb="FFFF231B"/>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34" zoomScale="115" workbookViewId="0">
      <selection activeCell="B30" sqref="B30"/>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V38"/>
  <sheetViews>
    <sheetView showGridLines="0" tabSelected="1" zoomScaleNormal="83" workbookViewId="0">
      <pane xSplit="9" ySplit="19" topLeftCell="J20" activePane="bottomRight" state="frozen"/>
      <selection pane="topRight" activeCell="J1" sqref="J1"/>
      <selection pane="bottomLeft" activeCell="A20" sqref="A20"/>
      <selection pane="bottomRight" activeCell="AD13" sqref="AD13"/>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8.1640625"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 min="153" max="153" width="2.5" customWidth="1"/>
  </cols>
  <sheetData>
    <row r="1" spans="2:152" ht="34" x14ac:dyDescent="0.4">
      <c r="B1" s="4" t="s">
        <v>0</v>
      </c>
      <c r="D1" s="4"/>
      <c r="G1" s="13" t="s">
        <v>33</v>
      </c>
      <c r="I1" s="13" t="s">
        <v>33</v>
      </c>
      <c r="J1" s="13" t="s">
        <v>33</v>
      </c>
      <c r="K1" s="13" t="s">
        <v>33</v>
      </c>
    </row>
    <row r="2" spans="2:152" x14ac:dyDescent="0.2">
      <c r="I2" s="24" t="s">
        <v>27</v>
      </c>
      <c r="J2" s="24"/>
      <c r="K2" s="24"/>
      <c r="L2" s="24"/>
      <c r="N2" s="24" t="s">
        <v>51</v>
      </c>
      <c r="O2" s="24"/>
      <c r="P2" s="24"/>
      <c r="Q2" s="24"/>
      <c r="R2" s="24"/>
      <c r="S2" s="24"/>
      <c r="U2" s="24" t="s">
        <v>52</v>
      </c>
      <c r="V2" s="24"/>
      <c r="W2" s="24"/>
      <c r="X2" s="24"/>
      <c r="Y2" s="24"/>
      <c r="Z2" s="24"/>
      <c r="AB2" s="24" t="s">
        <v>53</v>
      </c>
      <c r="AC2" s="24"/>
      <c r="AD2" s="24"/>
      <c r="AE2" s="24"/>
      <c r="AF2" s="24"/>
      <c r="AG2" s="24"/>
      <c r="AI2" s="24" t="s">
        <v>54</v>
      </c>
      <c r="AJ2" s="24"/>
      <c r="AK2" s="24"/>
      <c r="AL2" s="24"/>
      <c r="AM2" s="24"/>
      <c r="AN2" s="24"/>
      <c r="AP2" s="24" t="s">
        <v>55</v>
      </c>
      <c r="AQ2" s="24"/>
      <c r="AR2" s="24"/>
      <c r="AS2" s="24"/>
      <c r="AT2" s="24"/>
      <c r="AU2" s="24"/>
      <c r="AW2" s="24" t="s">
        <v>56</v>
      </c>
      <c r="AX2" s="24"/>
      <c r="AY2" s="24"/>
      <c r="AZ2" s="24"/>
      <c r="BA2" s="24"/>
      <c r="BB2" s="24"/>
      <c r="BD2" s="24" t="s">
        <v>57</v>
      </c>
      <c r="BE2" s="24"/>
      <c r="BF2" s="24"/>
      <c r="BG2" s="24"/>
      <c r="BH2" s="24"/>
      <c r="BI2" s="24"/>
      <c r="BK2" s="24" t="s">
        <v>58</v>
      </c>
      <c r="BL2" s="24"/>
      <c r="BM2" s="24"/>
      <c r="BN2" s="24"/>
      <c r="BO2" s="24"/>
      <c r="BP2" s="24"/>
      <c r="BR2" s="24" t="s">
        <v>59</v>
      </c>
      <c r="BS2" s="24"/>
      <c r="BT2" s="24"/>
      <c r="BU2" s="24"/>
      <c r="BV2" s="24"/>
      <c r="BW2" s="24"/>
      <c r="BY2" s="24" t="s">
        <v>60</v>
      </c>
      <c r="BZ2" s="24"/>
      <c r="CA2" s="24"/>
      <c r="CB2" s="24"/>
      <c r="CC2" s="24"/>
      <c r="CD2" s="24"/>
      <c r="CF2" s="24" t="s">
        <v>61</v>
      </c>
      <c r="CG2" s="24"/>
      <c r="CH2" s="24"/>
      <c r="CI2" s="24"/>
      <c r="CJ2" s="24"/>
      <c r="CK2" s="24"/>
      <c r="CM2" s="26" t="s">
        <v>62</v>
      </c>
      <c r="CN2" s="26"/>
      <c r="CO2" s="26"/>
      <c r="CP2" s="26"/>
      <c r="CQ2" s="26"/>
      <c r="CR2" s="26"/>
      <c r="CT2" s="25" t="s">
        <v>63</v>
      </c>
      <c r="CU2" s="25"/>
      <c r="CV2" s="25"/>
      <c r="CW2" s="25"/>
      <c r="CX2" s="25"/>
      <c r="CY2" s="25"/>
      <c r="DA2" s="24" t="s">
        <v>64</v>
      </c>
      <c r="DB2" s="24"/>
      <c r="DC2" s="24"/>
      <c r="DD2" s="24"/>
      <c r="DE2" s="24"/>
      <c r="DF2" s="24"/>
      <c r="DH2" s="24" t="s">
        <v>65</v>
      </c>
      <c r="DI2" s="24"/>
      <c r="DJ2" s="24"/>
      <c r="DK2" s="24"/>
      <c r="DL2" s="24"/>
      <c r="DM2" s="24"/>
      <c r="DO2" s="24" t="s">
        <v>66</v>
      </c>
      <c r="DP2" s="24"/>
      <c r="DQ2" s="24"/>
      <c r="DR2" s="24"/>
      <c r="DS2" s="24"/>
      <c r="DT2" s="24"/>
      <c r="DV2" s="24" t="s">
        <v>67</v>
      </c>
      <c r="DW2" s="24"/>
      <c r="DX2" s="24"/>
      <c r="DY2" s="24"/>
      <c r="DZ2" s="24"/>
      <c r="EA2" s="24"/>
      <c r="EC2" s="24" t="s">
        <v>68</v>
      </c>
      <c r="ED2" s="24"/>
      <c r="EE2" s="24"/>
      <c r="EF2" s="24"/>
      <c r="EG2" s="24"/>
      <c r="EH2" s="24"/>
      <c r="EJ2" s="24" t="s">
        <v>69</v>
      </c>
      <c r="EK2" s="24"/>
      <c r="EL2" s="24"/>
      <c r="EM2" s="24"/>
      <c r="EN2" s="24"/>
      <c r="EO2" s="24"/>
      <c r="EQ2" s="24" t="s">
        <v>70</v>
      </c>
      <c r="ER2" s="24"/>
      <c r="ES2" s="24"/>
      <c r="ET2" s="24"/>
      <c r="EU2" s="24"/>
      <c r="EV2" s="24"/>
    </row>
    <row r="3" spans="2:152"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17" t="s">
        <v>11</v>
      </c>
      <c r="CN3" s="17" t="s">
        <v>2</v>
      </c>
      <c r="CO3" s="17" t="s">
        <v>32</v>
      </c>
      <c r="CP3" s="17" t="s">
        <v>3</v>
      </c>
      <c r="CQ3" s="17" t="s">
        <v>32</v>
      </c>
      <c r="CR3" s="17" t="s">
        <v>12</v>
      </c>
      <c r="CT3" s="16" t="s">
        <v>11</v>
      </c>
      <c r="CU3" s="16" t="s">
        <v>2</v>
      </c>
      <c r="CV3" s="16" t="s">
        <v>32</v>
      </c>
      <c r="CW3" s="16" t="s">
        <v>3</v>
      </c>
      <c r="CX3" s="16" t="s">
        <v>32</v>
      </c>
      <c r="CY3" s="16"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c r="DV3" s="5" t="s">
        <v>11</v>
      </c>
      <c r="DW3" s="5" t="s">
        <v>2</v>
      </c>
      <c r="DX3" s="5" t="s">
        <v>32</v>
      </c>
      <c r="DY3" s="5" t="s">
        <v>3</v>
      </c>
      <c r="DZ3" s="5" t="s">
        <v>32</v>
      </c>
      <c r="EA3" s="5" t="s">
        <v>12</v>
      </c>
      <c r="EC3" s="5" t="s">
        <v>11</v>
      </c>
      <c r="ED3" s="5" t="s">
        <v>2</v>
      </c>
      <c r="EE3" s="5" t="s">
        <v>32</v>
      </c>
      <c r="EF3" s="5" t="s">
        <v>3</v>
      </c>
      <c r="EG3" s="5" t="s">
        <v>32</v>
      </c>
      <c r="EH3" s="5" t="s">
        <v>12</v>
      </c>
      <c r="EJ3" s="5" t="s">
        <v>11</v>
      </c>
      <c r="EK3" s="5" t="s">
        <v>2</v>
      </c>
      <c r="EL3" s="5" t="s">
        <v>32</v>
      </c>
      <c r="EM3" s="5" t="s">
        <v>3</v>
      </c>
      <c r="EN3" s="5" t="s">
        <v>32</v>
      </c>
      <c r="EO3" s="5" t="s">
        <v>12</v>
      </c>
      <c r="EQ3" s="5" t="s">
        <v>11</v>
      </c>
      <c r="ER3" s="5" t="s">
        <v>2</v>
      </c>
      <c r="ES3" s="5" t="s">
        <v>32</v>
      </c>
      <c r="ET3" s="5" t="s">
        <v>3</v>
      </c>
      <c r="EU3" s="5" t="s">
        <v>32</v>
      </c>
      <c r="EV3" s="5" t="s">
        <v>12</v>
      </c>
    </row>
    <row r="4" spans="2:152" x14ac:dyDescent="0.2">
      <c r="B4" t="s">
        <v>27</v>
      </c>
      <c r="C4" t="s">
        <v>100</v>
      </c>
      <c r="E4" s="9">
        <v>12</v>
      </c>
      <c r="G4" s="10">
        <f>+SUM(G5:G9)</f>
        <v>1</v>
      </c>
      <c r="I4" s="12">
        <f>+SUM(I5:I8)</f>
        <v>0</v>
      </c>
      <c r="J4" s="11">
        <f>+SUMPRODUCT(G5:G8,J5:J8)</f>
        <v>0</v>
      </c>
      <c r="K4" s="11">
        <f>+SUMPRODUCT(G5:G8,K5:K8)</f>
        <v>0</v>
      </c>
      <c r="L4" s="9"/>
      <c r="N4" s="12">
        <f>+SUM(N5:N8)</f>
        <v>0</v>
      </c>
      <c r="U4" s="12">
        <f>+SUM(U5:U8)</f>
        <v>0</v>
      </c>
      <c r="AB4" s="12">
        <f>+SUM(AB5:AB8)</f>
        <v>0</v>
      </c>
      <c r="AI4" s="12">
        <f>+SUM(AI5:AI8)</f>
        <v>0</v>
      </c>
      <c r="AP4" s="12">
        <f>+SUM(AP5:AP8)</f>
        <v>0</v>
      </c>
      <c r="AW4" s="12">
        <f>+SUM(AW5:AW8)</f>
        <v>0</v>
      </c>
      <c r="BD4" s="12">
        <f>+SUM(BD5:BD8)</f>
        <v>0</v>
      </c>
      <c r="BK4" s="12">
        <f>+SUM(BK5:BK8)</f>
        <v>0</v>
      </c>
      <c r="BR4" s="12">
        <f>+SUM(BR5:BR8)</f>
        <v>0</v>
      </c>
      <c r="BY4" s="12">
        <f>+SUM(BY5:BY8)</f>
        <v>0</v>
      </c>
      <c r="CF4" s="12">
        <f>+SUM(CF5:CF8)</f>
        <v>0</v>
      </c>
      <c r="CM4" s="12">
        <f>+SUM(CM5:CM8)</f>
        <v>0</v>
      </c>
      <c r="CT4" s="12">
        <f>+SUM(CT5:CT8)</f>
        <v>0</v>
      </c>
      <c r="CY4" s="18" t="s">
        <v>99</v>
      </c>
      <c r="DA4" s="12">
        <f>+SUM(DA5:DA8)</f>
        <v>0</v>
      </c>
      <c r="DH4" s="12">
        <f>+SUM(DH5:DH8)</f>
        <v>0</v>
      </c>
      <c r="DO4" s="12">
        <f>+SUM(DO5:DO8)</f>
        <v>0</v>
      </c>
      <c r="DV4" s="12">
        <f>+SUM(DV5:DV8)</f>
        <v>0</v>
      </c>
      <c r="EC4" s="12">
        <f>+SUM(EC5:EC8)</f>
        <v>0</v>
      </c>
      <c r="EJ4" s="12">
        <f>+SUM(EJ5:EJ8)</f>
        <v>0</v>
      </c>
      <c r="EO4" s="21" t="s">
        <v>114</v>
      </c>
      <c r="EQ4" s="12">
        <f>+SUM(EQ5:EQ8)</f>
        <v>0</v>
      </c>
    </row>
    <row r="5" spans="2:152" outlineLevel="1" x14ac:dyDescent="0.2">
      <c r="B5" t="s">
        <v>28</v>
      </c>
      <c r="C5" t="s">
        <v>100</v>
      </c>
      <c r="E5" s="9"/>
      <c r="F5" t="s">
        <v>95</v>
      </c>
      <c r="G5" s="10">
        <v>0.2</v>
      </c>
      <c r="I5" s="9">
        <f t="shared" ref="I5:I9" si="0">+SUMIF($N$3:$ZM$3,I$3,$N5:$ZM5)</f>
        <v>0</v>
      </c>
      <c r="J5" s="11" cm="1">
        <f t="array" ref="J5">MAX(IF($N$3:$EA$3=$J$3,N5:EA5))</f>
        <v>0</v>
      </c>
      <c r="K5" s="11" cm="1">
        <f t="array" ref="K5">MAX(IF($N$3:$EA$3=$J$3,N5:EA5))</f>
        <v>0</v>
      </c>
      <c r="L5" s="9"/>
      <c r="O5" s="10"/>
      <c r="P5" s="10"/>
      <c r="Q5" s="10"/>
      <c r="R5" s="10"/>
      <c r="V5" s="10"/>
      <c r="W5" s="10"/>
      <c r="X5" s="10"/>
      <c r="Y5" s="10"/>
      <c r="AC5" s="10"/>
      <c r="AD5" s="10">
        <v>0.5</v>
      </c>
      <c r="AE5" s="10"/>
      <c r="AF5" s="10">
        <v>0.5</v>
      </c>
      <c r="AJ5" s="10"/>
      <c r="AK5" s="10">
        <v>0.5</v>
      </c>
      <c r="AL5" s="10"/>
      <c r="AM5" s="10">
        <v>0.5</v>
      </c>
      <c r="AQ5" s="10"/>
      <c r="AR5" s="10">
        <v>0.5</v>
      </c>
      <c r="AS5" s="10"/>
      <c r="AT5" s="10">
        <v>0.5</v>
      </c>
      <c r="AX5" s="10"/>
      <c r="AY5" s="10">
        <v>0.5</v>
      </c>
      <c r="AZ5" s="10"/>
      <c r="BA5" s="10">
        <v>0.5</v>
      </c>
      <c r="BE5" s="10"/>
      <c r="BF5" s="10">
        <v>0.8</v>
      </c>
      <c r="BG5" s="10"/>
      <c r="BH5" s="10">
        <v>0.8</v>
      </c>
      <c r="BL5" s="10"/>
      <c r="BM5" s="10">
        <v>0.8</v>
      </c>
      <c r="BN5" s="10"/>
      <c r="BO5" s="10">
        <v>0.8</v>
      </c>
      <c r="BS5" s="10"/>
      <c r="BT5" s="10">
        <v>0.8</v>
      </c>
      <c r="BU5" s="10"/>
      <c r="BV5" s="10">
        <v>0.8</v>
      </c>
      <c r="BZ5" s="10"/>
      <c r="CA5" s="19">
        <v>0.8</v>
      </c>
      <c r="CB5" s="10"/>
      <c r="CC5" s="19">
        <v>0.8</v>
      </c>
      <c r="CG5" s="10"/>
      <c r="CH5" s="19">
        <v>0.8</v>
      </c>
      <c r="CI5" s="10"/>
      <c r="CJ5" s="19">
        <v>0.8</v>
      </c>
      <c r="CN5" s="10"/>
      <c r="CO5" s="19">
        <v>0.8</v>
      </c>
      <c r="CP5" s="10"/>
      <c r="CQ5" s="19">
        <v>0.8</v>
      </c>
      <c r="CU5" s="10"/>
      <c r="CV5" s="10">
        <v>0.8</v>
      </c>
      <c r="CW5" s="10"/>
      <c r="CX5" s="10">
        <v>0.8</v>
      </c>
      <c r="DB5" s="10"/>
      <c r="DC5" s="10">
        <v>1</v>
      </c>
      <c r="DD5" s="10"/>
      <c r="DE5" s="10">
        <v>1</v>
      </c>
      <c r="DI5" s="10"/>
      <c r="DJ5" s="10">
        <v>1</v>
      </c>
      <c r="DK5" s="10"/>
      <c r="DL5" s="10">
        <v>1</v>
      </c>
      <c r="DP5" s="10"/>
      <c r="DQ5" s="10">
        <v>1</v>
      </c>
      <c r="DR5" s="10"/>
      <c r="DS5" s="10">
        <v>1</v>
      </c>
      <c r="DW5" s="10"/>
      <c r="DX5" s="10"/>
      <c r="DY5" s="10"/>
      <c r="DZ5" s="10"/>
      <c r="ED5" s="10"/>
      <c r="EE5" s="10"/>
      <c r="EF5" s="10"/>
      <c r="EG5" s="10"/>
      <c r="EK5" s="10"/>
      <c r="EL5" s="10"/>
      <c r="EM5" s="10"/>
      <c r="EN5" s="10"/>
      <c r="ER5" s="10"/>
      <c r="ES5" s="10"/>
      <c r="ET5" s="10"/>
      <c r="EU5" s="10"/>
      <c r="EV5" s="20" t="s">
        <v>115</v>
      </c>
    </row>
    <row r="6" spans="2:152" outlineLevel="1" x14ac:dyDescent="0.2">
      <c r="B6" t="s">
        <v>28</v>
      </c>
      <c r="C6" t="s">
        <v>100</v>
      </c>
      <c r="E6" s="9"/>
      <c r="F6" t="s">
        <v>96</v>
      </c>
      <c r="G6" s="10">
        <v>0.2</v>
      </c>
      <c r="I6" s="9">
        <f t="shared" si="0"/>
        <v>0</v>
      </c>
      <c r="J6" s="11" cm="1">
        <f t="array" ref="J6">MAX(IF($N$3:$EA$3=$J$3,N6:EA6))</f>
        <v>0</v>
      </c>
      <c r="K6" s="11" cm="1">
        <f t="array" ref="K6">MAX(IF($N$3:$EA$3=$J$3,N6:EA6))</f>
        <v>0</v>
      </c>
      <c r="L6" s="9"/>
      <c r="O6" s="10"/>
      <c r="P6" s="10"/>
      <c r="Q6" s="10"/>
      <c r="R6" s="10"/>
      <c r="V6" s="10"/>
      <c r="W6" s="10"/>
      <c r="X6" s="10"/>
      <c r="Y6" s="10"/>
      <c r="AC6" s="10"/>
      <c r="AD6" s="10"/>
      <c r="AE6" s="10"/>
      <c r="AF6" s="10"/>
      <c r="AJ6" s="10"/>
      <c r="AK6" s="10"/>
      <c r="AL6" s="10"/>
      <c r="AM6" s="10"/>
      <c r="AQ6" s="10"/>
      <c r="AR6" s="10">
        <v>0.5</v>
      </c>
      <c r="AS6" s="10"/>
      <c r="AT6" s="10">
        <v>0.5</v>
      </c>
      <c r="AX6" s="10"/>
      <c r="AY6" s="10">
        <v>0.5</v>
      </c>
      <c r="AZ6" s="10"/>
      <c r="BA6" s="10">
        <v>0.5</v>
      </c>
      <c r="BE6" s="10"/>
      <c r="BF6" s="10">
        <v>0.5</v>
      </c>
      <c r="BG6" s="10"/>
      <c r="BH6" s="10">
        <v>0.5</v>
      </c>
      <c r="BL6" s="10"/>
      <c r="BM6" s="10">
        <v>0.5</v>
      </c>
      <c r="BN6" s="10"/>
      <c r="BO6" s="10">
        <v>0.5</v>
      </c>
      <c r="BS6" s="10"/>
      <c r="BT6" s="10">
        <v>0.5</v>
      </c>
      <c r="BU6" s="10"/>
      <c r="BV6" s="10">
        <v>0.5</v>
      </c>
      <c r="BZ6" s="10"/>
      <c r="CA6" s="19">
        <v>0.8</v>
      </c>
      <c r="CB6" s="10"/>
      <c r="CC6" s="19">
        <v>0.8</v>
      </c>
      <c r="CG6" s="10"/>
      <c r="CH6" s="19">
        <v>0.8</v>
      </c>
      <c r="CI6" s="10"/>
      <c r="CJ6" s="19">
        <v>0.8</v>
      </c>
      <c r="CN6" s="10"/>
      <c r="CO6" s="19">
        <v>0.8</v>
      </c>
      <c r="CP6" s="10"/>
      <c r="CQ6" s="19">
        <v>0.8</v>
      </c>
      <c r="CU6" s="10"/>
      <c r="CV6" s="10">
        <v>0.8</v>
      </c>
      <c r="CW6" s="10"/>
      <c r="CX6" s="10">
        <v>0.8</v>
      </c>
      <c r="DB6" s="10"/>
      <c r="DC6" s="10">
        <v>0.8</v>
      </c>
      <c r="DD6" s="10"/>
      <c r="DE6" s="10">
        <v>0.8</v>
      </c>
      <c r="DI6" s="10"/>
      <c r="DJ6" s="10">
        <v>1</v>
      </c>
      <c r="DK6" s="10"/>
      <c r="DL6" s="10">
        <v>1</v>
      </c>
      <c r="DP6" s="10"/>
      <c r="DQ6" s="10">
        <v>1</v>
      </c>
      <c r="DR6" s="10"/>
      <c r="DS6" s="10">
        <v>1</v>
      </c>
      <c r="DW6" s="10"/>
      <c r="DX6" s="10"/>
      <c r="DY6" s="10"/>
      <c r="DZ6" s="10"/>
      <c r="ED6" s="10"/>
      <c r="EE6" s="10"/>
      <c r="EF6" s="10"/>
      <c r="EG6" s="10"/>
      <c r="EK6" s="10"/>
      <c r="EL6" s="10"/>
      <c r="EM6" s="10"/>
      <c r="EN6" s="10"/>
      <c r="ER6" s="10"/>
      <c r="ES6" s="10"/>
      <c r="ET6" s="10"/>
      <c r="EU6" s="10"/>
      <c r="EV6" s="20" t="s">
        <v>115</v>
      </c>
    </row>
    <row r="7" spans="2:152" outlineLevel="1" x14ac:dyDescent="0.2">
      <c r="B7" t="s">
        <v>28</v>
      </c>
      <c r="C7" t="s">
        <v>100</v>
      </c>
      <c r="E7" s="9"/>
      <c r="F7" t="s">
        <v>97</v>
      </c>
      <c r="G7" s="10">
        <v>0.2</v>
      </c>
      <c r="I7" s="9">
        <f t="shared" si="0"/>
        <v>0</v>
      </c>
      <c r="J7" s="11" cm="1">
        <f t="array" ref="J7">MAX(IF($N$3:$EA$3=$J$3,N7:EA7))</f>
        <v>0</v>
      </c>
      <c r="K7" s="11" cm="1">
        <f t="array" ref="K7">MAX(IF($N$3:$EA$3=$J$3,N7:EA7))</f>
        <v>0</v>
      </c>
      <c r="L7" s="9"/>
      <c r="O7" s="10"/>
      <c r="P7" s="10"/>
      <c r="Q7" s="10"/>
      <c r="R7" s="10"/>
      <c r="V7" s="10"/>
      <c r="W7" s="10"/>
      <c r="X7" s="10"/>
      <c r="Y7" s="10"/>
      <c r="AC7" s="10"/>
      <c r="AD7" s="10"/>
      <c r="AE7" s="10"/>
      <c r="AF7" s="10"/>
      <c r="AJ7" s="10"/>
      <c r="AK7" s="10"/>
      <c r="AL7" s="10"/>
      <c r="AM7" s="10"/>
      <c r="AQ7" s="10"/>
      <c r="AR7" s="10"/>
      <c r="AS7" s="10"/>
      <c r="AT7" s="10"/>
      <c r="AX7" s="10"/>
      <c r="AZ7" s="10"/>
      <c r="BE7" s="10"/>
      <c r="BF7" s="10">
        <v>0.5</v>
      </c>
      <c r="BG7" s="10"/>
      <c r="BH7" s="10">
        <v>0.5</v>
      </c>
      <c r="BL7" s="10"/>
      <c r="BM7" s="10">
        <v>0.5</v>
      </c>
      <c r="BN7" s="10"/>
      <c r="BO7" s="10">
        <v>0.5</v>
      </c>
      <c r="BS7" s="10"/>
      <c r="BT7" s="10">
        <v>0.5</v>
      </c>
      <c r="BU7" s="10"/>
      <c r="BV7" s="10">
        <v>0.5</v>
      </c>
      <c r="BZ7" s="10"/>
      <c r="CA7" s="19">
        <v>0.5</v>
      </c>
      <c r="CB7" s="10"/>
      <c r="CC7" s="19">
        <v>0.5</v>
      </c>
      <c r="CG7" s="10"/>
      <c r="CH7" s="19">
        <v>0.8</v>
      </c>
      <c r="CI7" s="10"/>
      <c r="CJ7" s="19">
        <v>0.8</v>
      </c>
      <c r="CN7" s="10"/>
      <c r="CO7" s="19">
        <v>0.8</v>
      </c>
      <c r="CP7" s="10"/>
      <c r="CQ7" s="19">
        <v>0.8</v>
      </c>
      <c r="CU7" s="10"/>
      <c r="CV7" s="10">
        <v>0.8</v>
      </c>
      <c r="CW7" s="10"/>
      <c r="CX7" s="10">
        <v>0.8</v>
      </c>
      <c r="DB7" s="10"/>
      <c r="DC7" s="10">
        <v>0.8</v>
      </c>
      <c r="DD7" s="10"/>
      <c r="DE7" s="10">
        <v>0.8</v>
      </c>
      <c r="DI7" s="10"/>
      <c r="DJ7" s="10">
        <v>1</v>
      </c>
      <c r="DK7" s="10"/>
      <c r="DL7" s="10">
        <v>1</v>
      </c>
      <c r="DP7" s="10"/>
      <c r="DQ7" s="10">
        <v>1</v>
      </c>
      <c r="DR7" s="10"/>
      <c r="DS7" s="10">
        <v>1</v>
      </c>
      <c r="DW7" s="10"/>
      <c r="DX7" s="10"/>
      <c r="DY7" s="10"/>
      <c r="DZ7" s="10"/>
      <c r="ED7" s="10"/>
      <c r="EE7" s="10"/>
      <c r="EF7" s="10"/>
      <c r="EG7" s="10"/>
      <c r="EK7" s="10"/>
      <c r="EL7" s="10"/>
      <c r="EM7" s="10"/>
      <c r="EN7" s="10"/>
      <c r="ER7" s="10"/>
      <c r="ES7" s="10"/>
      <c r="ET7" s="10"/>
      <c r="EU7" s="10"/>
      <c r="EV7" s="20" t="s">
        <v>115</v>
      </c>
    </row>
    <row r="8" spans="2:152" outlineLevel="1" x14ac:dyDescent="0.2">
      <c r="B8" t="s">
        <v>28</v>
      </c>
      <c r="C8" t="s">
        <v>100</v>
      </c>
      <c r="E8" s="9"/>
      <c r="F8" t="s">
        <v>98</v>
      </c>
      <c r="G8" s="10">
        <v>0.2</v>
      </c>
      <c r="I8" s="9">
        <f t="shared" si="0"/>
        <v>0</v>
      </c>
      <c r="J8" s="11" cm="1">
        <f t="array" ref="J8">MAX(IF($N$3:$EA$3=$J$3,N8:EA8))</f>
        <v>0</v>
      </c>
      <c r="K8" s="11" cm="1">
        <f t="array" ref="K8">MAX(IF($N$3:$EA$3=$J$3,N8:EA8))</f>
        <v>0</v>
      </c>
      <c r="L8" s="9"/>
      <c r="O8" s="10"/>
      <c r="P8" s="10"/>
      <c r="Q8" s="10"/>
      <c r="R8" s="10"/>
      <c r="V8" s="10"/>
      <c r="W8" s="10"/>
      <c r="X8" s="10"/>
      <c r="Y8" s="10"/>
      <c r="AC8" s="10"/>
      <c r="AD8" s="10"/>
      <c r="AE8" s="10"/>
      <c r="AF8" s="10"/>
      <c r="AJ8" s="10"/>
      <c r="AK8" s="10"/>
      <c r="AL8" s="10"/>
      <c r="AM8" s="10"/>
      <c r="AQ8" s="10"/>
      <c r="AR8" s="10"/>
      <c r="AS8" s="10"/>
      <c r="AT8" s="10"/>
      <c r="AX8" s="10"/>
      <c r="AZ8" s="10"/>
      <c r="BE8" s="10"/>
      <c r="BF8" s="10"/>
      <c r="BG8" s="10"/>
      <c r="BH8" s="10"/>
      <c r="BL8" s="10"/>
      <c r="BM8" s="10">
        <v>0.5</v>
      </c>
      <c r="BN8" s="10"/>
      <c r="BO8" s="10">
        <v>0.5</v>
      </c>
      <c r="BS8" s="10"/>
      <c r="BT8" s="10">
        <v>0.5</v>
      </c>
      <c r="BU8" s="10"/>
      <c r="BV8" s="10">
        <v>0.5</v>
      </c>
      <c r="BZ8" s="10"/>
      <c r="CA8" s="19">
        <v>0.5</v>
      </c>
      <c r="CB8" s="10"/>
      <c r="CC8" s="19">
        <v>0.5</v>
      </c>
      <c r="CG8" s="10"/>
      <c r="CH8" s="19">
        <v>0.5</v>
      </c>
      <c r="CI8" s="10"/>
      <c r="CJ8" s="19">
        <v>0.5</v>
      </c>
      <c r="CN8" s="10"/>
      <c r="CO8" s="19">
        <v>0.8</v>
      </c>
      <c r="CP8" s="10"/>
      <c r="CQ8" s="19">
        <v>0.8</v>
      </c>
      <c r="CU8" s="10"/>
      <c r="CV8" s="10">
        <v>0.8</v>
      </c>
      <c r="CW8" s="10"/>
      <c r="CX8" s="10">
        <v>0.8</v>
      </c>
      <c r="DB8" s="10"/>
      <c r="DC8" s="10">
        <v>0.8</v>
      </c>
      <c r="DD8" s="10"/>
      <c r="DE8" s="10">
        <v>0.8</v>
      </c>
      <c r="DI8" s="10"/>
      <c r="DJ8" s="10">
        <v>0.8</v>
      </c>
      <c r="DK8" s="10"/>
      <c r="DL8" s="10">
        <v>0.8</v>
      </c>
      <c r="DP8" s="10"/>
      <c r="DQ8" s="10">
        <v>1</v>
      </c>
      <c r="DR8" s="10"/>
      <c r="DS8" s="10">
        <v>1</v>
      </c>
      <c r="DW8" s="10"/>
      <c r="DX8" s="10"/>
      <c r="DY8" s="10"/>
      <c r="DZ8" s="10"/>
      <c r="ED8" s="10"/>
      <c r="EE8" s="10"/>
      <c r="EF8" s="10"/>
      <c r="EG8" s="10"/>
      <c r="EK8" s="10"/>
      <c r="EL8" s="10"/>
      <c r="EM8" s="10"/>
      <c r="EN8" s="10"/>
      <c r="ER8" s="10"/>
      <c r="ES8" s="10"/>
      <c r="ET8" s="10"/>
      <c r="EU8" s="10"/>
      <c r="EV8" s="20" t="s">
        <v>115</v>
      </c>
    </row>
    <row r="9" spans="2:152" outlineLevel="1" x14ac:dyDescent="0.2">
      <c r="B9" t="s">
        <v>28</v>
      </c>
      <c r="C9" t="s">
        <v>100</v>
      </c>
      <c r="E9" s="9"/>
      <c r="F9" t="s">
        <v>101</v>
      </c>
      <c r="G9" s="10">
        <v>0.2</v>
      </c>
      <c r="I9" s="9">
        <f t="shared" si="0"/>
        <v>0</v>
      </c>
      <c r="J9" s="11" cm="1">
        <f t="array" ref="J9">MAX(IF($N$3:$EA$3=$J$3,N9:EA9))</f>
        <v>0</v>
      </c>
      <c r="K9" s="11" cm="1">
        <f t="array" ref="K9">MAX(IF($N$3:$EA$3=$J$3,N9:EA9))</f>
        <v>0</v>
      </c>
      <c r="L9" s="9"/>
      <c r="O9" s="10"/>
      <c r="P9" s="10"/>
      <c r="Q9" s="10"/>
      <c r="R9" s="10"/>
      <c r="V9" s="10"/>
      <c r="W9" s="10"/>
      <c r="X9" s="10"/>
      <c r="Y9" s="10"/>
      <c r="AC9" s="10"/>
      <c r="AD9" s="10"/>
      <c r="AE9" s="10"/>
      <c r="AF9" s="10"/>
      <c r="AJ9" s="10"/>
      <c r="AK9" s="10"/>
      <c r="AL9" s="10"/>
      <c r="AM9" s="10"/>
      <c r="AQ9" s="10"/>
      <c r="AR9" s="10"/>
      <c r="AS9" s="10"/>
      <c r="AT9" s="10"/>
      <c r="AX9" s="10"/>
      <c r="AY9" s="10">
        <v>0.5</v>
      </c>
      <c r="AZ9" s="10"/>
      <c r="BA9" s="10">
        <v>0.5</v>
      </c>
      <c r="BE9" s="10"/>
      <c r="BF9" s="10">
        <v>0.5</v>
      </c>
      <c r="BG9" s="10"/>
      <c r="BH9" s="10">
        <v>0.5</v>
      </c>
      <c r="BL9" s="10"/>
      <c r="BM9" s="10">
        <v>0.5</v>
      </c>
      <c r="BN9" s="10"/>
      <c r="BO9" s="10">
        <v>0.5</v>
      </c>
      <c r="BS9" s="10"/>
      <c r="BT9" s="10">
        <v>0.8</v>
      </c>
      <c r="BU9" s="10"/>
      <c r="BV9" s="10">
        <v>0.8</v>
      </c>
      <c r="BZ9" s="10"/>
      <c r="CA9" s="19">
        <v>0.8</v>
      </c>
      <c r="CB9" s="10"/>
      <c r="CC9" s="19">
        <v>0.8</v>
      </c>
      <c r="CG9" s="10"/>
      <c r="CH9" s="19">
        <v>0.8</v>
      </c>
      <c r="CI9" s="10"/>
      <c r="CJ9" s="19">
        <v>0.8</v>
      </c>
      <c r="CN9" s="10"/>
      <c r="CO9" s="19">
        <v>0.8</v>
      </c>
      <c r="CP9" s="10"/>
      <c r="CQ9" s="19">
        <v>0.8</v>
      </c>
      <c r="CU9" s="10"/>
      <c r="CV9" s="10">
        <v>0.8</v>
      </c>
      <c r="CW9" s="10"/>
      <c r="CX9" s="10">
        <v>0.8</v>
      </c>
      <c r="DB9" s="10"/>
      <c r="DC9" s="10">
        <v>0.8</v>
      </c>
      <c r="DD9" s="10"/>
      <c r="DE9" s="10">
        <v>0.8</v>
      </c>
      <c r="DI9" s="10"/>
      <c r="DJ9" s="10">
        <v>0.8</v>
      </c>
      <c r="DK9" s="10"/>
      <c r="DL9" s="10">
        <v>0.8</v>
      </c>
      <c r="DP9" s="10"/>
      <c r="DQ9" s="10">
        <v>1</v>
      </c>
      <c r="DR9" s="10"/>
      <c r="DS9" s="10">
        <v>1</v>
      </c>
      <c r="DW9" s="10"/>
      <c r="DX9" s="10"/>
      <c r="DY9" s="10"/>
      <c r="DZ9" s="10"/>
      <c r="ED9" s="10"/>
      <c r="EE9" s="10"/>
      <c r="EF9" s="10"/>
      <c r="EG9" s="10"/>
      <c r="EK9" s="10"/>
      <c r="EL9" s="10"/>
      <c r="EM9" s="10"/>
      <c r="EN9" s="10"/>
      <c r="ER9" s="10"/>
      <c r="ES9" s="10"/>
      <c r="ET9" s="10"/>
      <c r="EU9" s="10"/>
      <c r="EV9" s="20" t="s">
        <v>115</v>
      </c>
    </row>
    <row r="10" spans="2:152" x14ac:dyDescent="0.2">
      <c r="DS10" s="10"/>
    </row>
    <row r="11" spans="2:152" outlineLevel="1" x14ac:dyDescent="0.2">
      <c r="B11" t="s">
        <v>28</v>
      </c>
      <c r="C11" t="s">
        <v>71</v>
      </c>
      <c r="E11" s="9"/>
      <c r="F11" t="s">
        <v>72</v>
      </c>
      <c r="G11" s="10">
        <v>0.2</v>
      </c>
      <c r="I11" s="9">
        <f>+SUMIF($N$3:$ZM$3,I$3,$N11:$ZM11)</f>
        <v>4</v>
      </c>
      <c r="J11" s="11" cm="1">
        <f t="array" ref="J11">MAX(IF($N$3:$EA$3=$J$3,N11:EA11))</f>
        <v>0</v>
      </c>
      <c r="K11" s="11" cm="1">
        <f t="array" ref="K11">MAX(IF($N$3:$EA$3=$J$3,N11:EA11))</f>
        <v>0</v>
      </c>
      <c r="L11" s="9"/>
      <c r="O11" s="10"/>
      <c r="P11" s="10"/>
      <c r="Q11" s="10"/>
      <c r="R11" s="10"/>
      <c r="U11">
        <v>4</v>
      </c>
      <c r="V11" s="10"/>
      <c r="W11" s="10">
        <v>0.5</v>
      </c>
      <c r="X11" s="10"/>
      <c r="Y11" s="10">
        <v>0.5</v>
      </c>
      <c r="AC11" s="10"/>
      <c r="AD11" s="10">
        <v>0.8</v>
      </c>
      <c r="AE11" s="10"/>
      <c r="AF11" s="10">
        <v>0.8</v>
      </c>
      <c r="AJ11" s="10"/>
      <c r="AK11" s="10">
        <v>0.8</v>
      </c>
      <c r="AL11" s="10"/>
      <c r="AM11" s="10">
        <v>0.8</v>
      </c>
      <c r="AQ11" s="10"/>
      <c r="AR11" s="10">
        <v>0.8</v>
      </c>
      <c r="AS11" s="10"/>
      <c r="AT11" s="19">
        <v>0.8</v>
      </c>
      <c r="AX11" s="10"/>
      <c r="AY11" s="10">
        <v>0.8</v>
      </c>
      <c r="AZ11" s="10"/>
      <c r="BA11" s="10">
        <v>0.8</v>
      </c>
      <c r="BE11" s="10"/>
      <c r="BF11" s="10">
        <v>1</v>
      </c>
      <c r="BG11" s="10"/>
      <c r="BH11" s="10">
        <v>1</v>
      </c>
      <c r="BL11" s="10"/>
      <c r="BM11" s="10">
        <v>1</v>
      </c>
      <c r="BN11" s="10"/>
      <c r="BO11" s="10">
        <v>1</v>
      </c>
      <c r="BS11" s="10"/>
      <c r="BT11" s="10">
        <v>1</v>
      </c>
      <c r="BU11" s="10"/>
      <c r="BV11" s="10">
        <v>1</v>
      </c>
      <c r="BZ11" s="10"/>
      <c r="CA11" s="19">
        <v>1</v>
      </c>
      <c r="CB11" s="10"/>
      <c r="CC11" s="19">
        <v>1</v>
      </c>
      <c r="CG11" s="10"/>
      <c r="CH11" s="19">
        <v>1</v>
      </c>
      <c r="CI11" s="10"/>
      <c r="CJ11" s="19">
        <v>1</v>
      </c>
      <c r="CN11" s="10"/>
      <c r="CO11" s="19">
        <v>1</v>
      </c>
      <c r="CP11" s="10"/>
      <c r="CQ11" s="19">
        <v>1</v>
      </c>
      <c r="CU11" s="10"/>
      <c r="CV11" s="10">
        <v>1</v>
      </c>
      <c r="CW11" s="10"/>
      <c r="CX11" s="10">
        <v>1</v>
      </c>
      <c r="DB11" s="10"/>
      <c r="DC11" s="10"/>
      <c r="DD11" s="10"/>
      <c r="DE11" s="10"/>
      <c r="DI11" s="10"/>
      <c r="DJ11" s="10"/>
      <c r="DK11" s="10"/>
      <c r="DL11" s="10"/>
      <c r="DP11" s="10"/>
      <c r="DQ11" s="10"/>
      <c r="DR11" s="10"/>
      <c r="DS11" s="10"/>
      <c r="DW11" s="10"/>
      <c r="DX11" s="10"/>
      <c r="DY11" s="10"/>
      <c r="DZ11" s="10"/>
      <c r="ED11" s="10"/>
      <c r="EE11" s="10"/>
      <c r="EF11" s="10"/>
      <c r="EG11" s="10"/>
      <c r="EH11" s="20" t="s">
        <v>113</v>
      </c>
      <c r="EK11" s="10"/>
      <c r="EL11" s="10"/>
      <c r="EM11" s="10"/>
      <c r="EN11" s="10"/>
      <c r="ER11" s="10"/>
      <c r="ES11" s="10"/>
      <c r="ET11" s="10"/>
      <c r="EU11" s="10"/>
    </row>
    <row r="12" spans="2:152" outlineLevel="1" x14ac:dyDescent="0.2">
      <c r="B12" t="s">
        <v>28</v>
      </c>
      <c r="C12" t="s">
        <v>71</v>
      </c>
      <c r="E12" s="9"/>
      <c r="F12" t="s">
        <v>73</v>
      </c>
      <c r="G12" s="10">
        <v>0.2</v>
      </c>
      <c r="I12" s="9">
        <f>+SUMIF($N$3:$ZM$3,I$3,$N12:$ZM12)</f>
        <v>0</v>
      </c>
      <c r="J12" s="11" cm="1">
        <f t="array" ref="J12">MAX(IF($N$3:$EA$3=$J$3,N12:EA12))</f>
        <v>0</v>
      </c>
      <c r="K12" s="11" cm="1">
        <f t="array" ref="K12">MAX(IF($N$3:$EA$3=$J$3,N12:EA12))</f>
        <v>0</v>
      </c>
      <c r="L12" s="9"/>
      <c r="O12" s="10"/>
      <c r="P12" s="10"/>
      <c r="Q12" s="10"/>
      <c r="R12" s="10"/>
      <c r="V12" s="10"/>
      <c r="W12" s="10"/>
      <c r="X12" s="10"/>
      <c r="Y12" s="10"/>
      <c r="AC12" s="10"/>
      <c r="AD12" s="10"/>
      <c r="AE12" s="10"/>
      <c r="AF12" s="10"/>
      <c r="AJ12" s="10"/>
      <c r="AK12" s="10"/>
      <c r="AL12" s="10"/>
      <c r="AM12" s="10"/>
      <c r="AQ12" s="10"/>
      <c r="AR12" s="10">
        <v>0.5</v>
      </c>
      <c r="AS12" s="10"/>
      <c r="AT12" s="10">
        <v>0.5</v>
      </c>
      <c r="AX12" s="10"/>
      <c r="AY12" s="10">
        <v>0.8</v>
      </c>
      <c r="AZ12" s="10"/>
      <c r="BA12" s="10">
        <v>0.8</v>
      </c>
      <c r="BE12" s="10"/>
      <c r="BF12" s="10">
        <v>0.8</v>
      </c>
      <c r="BG12" s="10"/>
      <c r="BH12" s="10">
        <v>0.8</v>
      </c>
      <c r="BL12" s="10"/>
      <c r="BM12" s="10">
        <v>0.8</v>
      </c>
      <c r="BN12" s="10"/>
      <c r="BO12" s="10">
        <v>0.8</v>
      </c>
      <c r="BS12" s="10"/>
      <c r="BT12" s="10">
        <v>0.8</v>
      </c>
      <c r="BU12" s="10"/>
      <c r="BV12" s="10">
        <v>0.8</v>
      </c>
      <c r="BZ12" s="10"/>
      <c r="CA12" s="19">
        <v>1</v>
      </c>
      <c r="CB12" s="10"/>
      <c r="CC12" s="19">
        <v>1</v>
      </c>
      <c r="CG12" s="10"/>
      <c r="CH12" s="19">
        <v>1</v>
      </c>
      <c r="CI12" s="10"/>
      <c r="CJ12" s="19">
        <v>1</v>
      </c>
      <c r="CN12" s="10"/>
      <c r="CO12" s="19">
        <v>1</v>
      </c>
      <c r="CP12" s="10"/>
      <c r="CQ12" s="19">
        <v>1</v>
      </c>
      <c r="CU12" s="10"/>
      <c r="CV12" s="10">
        <v>1</v>
      </c>
      <c r="CW12" s="10"/>
      <c r="CX12" s="10">
        <v>1</v>
      </c>
      <c r="DB12" s="10"/>
      <c r="DC12" s="10"/>
      <c r="DD12" s="10"/>
      <c r="DE12" s="10"/>
      <c r="DI12" s="10"/>
      <c r="DJ12" s="10"/>
      <c r="DK12" s="10"/>
      <c r="DL12" s="10"/>
      <c r="DP12" s="10"/>
      <c r="DQ12" s="10"/>
      <c r="DR12" s="10"/>
      <c r="DS12" s="10"/>
      <c r="DW12" s="10"/>
      <c r="DX12" s="10"/>
      <c r="DY12" s="10"/>
      <c r="DZ12" s="10"/>
      <c r="ED12" s="10"/>
      <c r="EE12" s="10"/>
      <c r="EF12" s="10"/>
      <c r="EG12" s="10"/>
      <c r="EH12" s="20" t="s">
        <v>113</v>
      </c>
      <c r="EK12" s="10"/>
      <c r="EL12" s="10"/>
      <c r="EM12" s="10"/>
      <c r="EN12" s="10"/>
      <c r="ER12" s="10"/>
      <c r="ES12" s="10"/>
      <c r="ET12" s="10"/>
      <c r="EU12" s="10"/>
    </row>
    <row r="13" spans="2:152" outlineLevel="1" x14ac:dyDescent="0.2">
      <c r="B13" t="s">
        <v>28</v>
      </c>
      <c r="C13" t="s">
        <v>71</v>
      </c>
      <c r="E13" s="9"/>
      <c r="F13" t="s">
        <v>74</v>
      </c>
      <c r="G13" s="10">
        <v>0.2</v>
      </c>
      <c r="I13" s="9">
        <f>+SUMIF($N$3:$ZM$3,I$3,$N13:$ZM13)</f>
        <v>0</v>
      </c>
      <c r="J13" s="11" cm="1">
        <f t="array" ref="J13">MAX(IF($N$3:$EA$3=$J$3,N13:EA13))</f>
        <v>0</v>
      </c>
      <c r="K13" s="11" cm="1">
        <f t="array" ref="K13">MAX(IF($N$3:$EA$3=$J$3,N13:EA13))</f>
        <v>0</v>
      </c>
      <c r="L13" s="9"/>
      <c r="O13" s="10"/>
      <c r="P13" s="10"/>
      <c r="Q13" s="10"/>
      <c r="R13" s="10"/>
      <c r="V13" s="10"/>
      <c r="W13" s="10"/>
      <c r="X13" s="10"/>
      <c r="Y13" s="10"/>
      <c r="AC13" s="10"/>
      <c r="AD13" s="10"/>
      <c r="AE13" s="10"/>
      <c r="AF13" s="10"/>
      <c r="AJ13" s="10"/>
      <c r="AK13" s="10"/>
      <c r="AL13" s="10"/>
      <c r="AM13" s="10"/>
      <c r="AQ13" s="10"/>
      <c r="AR13" s="10"/>
      <c r="AS13" s="10"/>
      <c r="AT13" s="10"/>
      <c r="AX13" s="10"/>
      <c r="AY13" s="10"/>
      <c r="AZ13" s="10"/>
      <c r="BA13" s="10"/>
      <c r="BE13" s="10"/>
      <c r="BF13" s="10"/>
      <c r="BG13" s="10"/>
      <c r="BH13" s="10"/>
      <c r="BL13" s="10"/>
      <c r="BM13" s="10">
        <v>0.8</v>
      </c>
      <c r="BN13" s="10"/>
      <c r="BO13" s="10">
        <v>0.8</v>
      </c>
      <c r="BS13" s="10"/>
      <c r="BT13" s="10">
        <v>0.8</v>
      </c>
      <c r="BU13" s="10"/>
      <c r="BV13" s="10">
        <v>0.8</v>
      </c>
      <c r="BZ13" s="10"/>
      <c r="CA13" s="19">
        <v>0.8</v>
      </c>
      <c r="CB13" s="10"/>
      <c r="CC13" s="19">
        <v>0.8</v>
      </c>
      <c r="CG13" s="10"/>
      <c r="CH13" s="19">
        <v>1</v>
      </c>
      <c r="CI13" s="10"/>
      <c r="CJ13" s="19">
        <v>1</v>
      </c>
      <c r="CN13" s="10"/>
      <c r="CO13" s="19">
        <v>1</v>
      </c>
      <c r="CP13" s="10"/>
      <c r="CQ13" s="19">
        <v>1</v>
      </c>
      <c r="CU13" s="10"/>
      <c r="CV13" s="10">
        <v>1</v>
      </c>
      <c r="CW13" s="10"/>
      <c r="CX13" s="10">
        <v>1</v>
      </c>
      <c r="DB13" s="10"/>
      <c r="DC13" s="10"/>
      <c r="DD13" s="10"/>
      <c r="DE13" s="10"/>
      <c r="DI13" s="10"/>
      <c r="DJ13" s="10"/>
      <c r="DK13" s="10"/>
      <c r="DL13" s="10"/>
      <c r="DP13" s="10"/>
      <c r="DQ13" s="10"/>
      <c r="DR13" s="10"/>
      <c r="DS13" s="10"/>
      <c r="DW13" s="10"/>
      <c r="DX13" s="10"/>
      <c r="DY13" s="10"/>
      <c r="DZ13" s="10"/>
      <c r="ED13" s="10"/>
      <c r="EE13" s="10"/>
      <c r="EF13" s="10"/>
      <c r="EG13" s="10"/>
      <c r="EH13" s="20" t="s">
        <v>113</v>
      </c>
      <c r="EK13" s="10"/>
      <c r="EL13" s="10"/>
      <c r="EM13" s="10"/>
      <c r="EN13" s="10"/>
      <c r="ER13" s="10"/>
      <c r="ES13" s="10"/>
      <c r="ET13" s="10"/>
      <c r="EU13" s="10"/>
    </row>
    <row r="14" spans="2:152" outlineLevel="1" x14ac:dyDescent="0.2">
      <c r="B14" t="s">
        <v>28</v>
      </c>
      <c r="C14" t="s">
        <v>71</v>
      </c>
      <c r="E14" s="9"/>
      <c r="F14" t="s">
        <v>75</v>
      </c>
      <c r="G14" s="10">
        <v>0.2</v>
      </c>
      <c r="I14" s="9">
        <f>+SUMIF($N$3:$ZM$3,I$3,$N14:$ZM14)</f>
        <v>0</v>
      </c>
      <c r="J14" s="11" cm="1">
        <f t="array" ref="J14">MAX(IF($N$3:$EA$3=$J$3,N14:EA14))</f>
        <v>0</v>
      </c>
      <c r="K14" s="11" cm="1">
        <f t="array" ref="K14">MAX(IF($N$3:$EA$3=$J$3,N14:EA14))</f>
        <v>0</v>
      </c>
      <c r="L14" s="9"/>
      <c r="O14" s="10"/>
      <c r="P14" s="10"/>
      <c r="Q14" s="10"/>
      <c r="R14" s="10"/>
      <c r="V14" s="10"/>
      <c r="W14" s="10"/>
      <c r="X14" s="10"/>
      <c r="Y14" s="10"/>
      <c r="AC14" s="10"/>
      <c r="AD14" s="10"/>
      <c r="AE14" s="10"/>
      <c r="AF14" s="10"/>
      <c r="AJ14" s="10"/>
      <c r="AK14" s="10"/>
      <c r="AL14" s="10"/>
      <c r="AM14" s="10"/>
      <c r="AQ14" s="10"/>
      <c r="AR14" s="10"/>
      <c r="AS14" s="10"/>
      <c r="AT14" s="10"/>
      <c r="AX14" s="10"/>
      <c r="AY14" s="10"/>
      <c r="AZ14" s="10"/>
      <c r="BA14" s="10"/>
      <c r="BE14" s="10"/>
      <c r="BF14" s="10"/>
      <c r="BG14" s="10"/>
      <c r="BH14" s="10"/>
      <c r="BL14" s="10"/>
      <c r="BM14" s="10"/>
      <c r="BN14" s="10"/>
      <c r="BO14" s="10"/>
      <c r="BS14" s="10"/>
      <c r="BT14" s="10">
        <v>0.5</v>
      </c>
      <c r="BU14" s="10"/>
      <c r="BV14" s="10">
        <v>0.5</v>
      </c>
      <c r="BZ14" s="10"/>
      <c r="CA14" s="19">
        <v>0.8</v>
      </c>
      <c r="CB14" s="10"/>
      <c r="CC14" s="19">
        <v>0.8</v>
      </c>
      <c r="CG14" s="10"/>
      <c r="CH14" s="19">
        <v>0.8</v>
      </c>
      <c r="CI14" s="10"/>
      <c r="CJ14" s="19">
        <v>0.8</v>
      </c>
      <c r="CN14" s="10"/>
      <c r="CO14" s="19">
        <v>1</v>
      </c>
      <c r="CP14" s="10"/>
      <c r="CQ14" s="19">
        <v>1</v>
      </c>
      <c r="CU14" s="10"/>
      <c r="CV14" s="10">
        <v>1</v>
      </c>
      <c r="CW14" s="10"/>
      <c r="CX14" s="10">
        <v>1</v>
      </c>
      <c r="DB14" s="10"/>
      <c r="DC14" s="10"/>
      <c r="DD14" s="10"/>
      <c r="DE14" s="10"/>
      <c r="DI14" s="10"/>
      <c r="DJ14" s="10"/>
      <c r="DK14" s="10"/>
      <c r="DL14" s="10"/>
      <c r="DP14" s="10"/>
      <c r="DQ14" s="10"/>
      <c r="DR14" s="10"/>
      <c r="DS14" s="10"/>
      <c r="DW14" s="10"/>
      <c r="DX14" s="10"/>
      <c r="DY14" s="10"/>
      <c r="DZ14" s="10"/>
      <c r="ED14" s="10"/>
      <c r="EE14" s="10"/>
      <c r="EF14" s="10"/>
      <c r="EG14" s="10"/>
      <c r="EH14" s="20" t="s">
        <v>113</v>
      </c>
      <c r="EK14" s="10"/>
      <c r="EL14" s="10"/>
      <c r="EM14" s="10"/>
      <c r="EN14" s="10"/>
      <c r="ER14" s="10"/>
      <c r="ES14" s="10"/>
      <c r="ET14" s="10"/>
      <c r="EU14" s="10"/>
    </row>
    <row r="15" spans="2:152" outlineLevel="1" x14ac:dyDescent="0.2">
      <c r="B15" t="s">
        <v>28</v>
      </c>
      <c r="C15" t="s">
        <v>71</v>
      </c>
      <c r="E15" s="9"/>
      <c r="F15" t="s">
        <v>76</v>
      </c>
      <c r="G15" s="10">
        <v>0.2</v>
      </c>
      <c r="I15" s="9">
        <f>+SUMIF($N$3:$ZM$3,I$3,$N15:$ZM15)</f>
        <v>0</v>
      </c>
      <c r="J15" s="11" cm="1">
        <f t="array" ref="J15">MAX(IF($N$3:$EA$3=$J$3,N15:EA15))</f>
        <v>0</v>
      </c>
      <c r="K15" s="11" cm="1">
        <f t="array" ref="K15">MAX(IF($N$3:$EA$3=$J$3,N15:EA15))</f>
        <v>0</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c r="BG15" s="10"/>
      <c r="BH15" s="10"/>
      <c r="BL15" s="10"/>
      <c r="BM15" s="10"/>
      <c r="BN15" s="10"/>
      <c r="BO15" s="10"/>
      <c r="BS15" s="10"/>
      <c r="BT15" s="10"/>
      <c r="BU15" s="10"/>
      <c r="BV15" s="10"/>
      <c r="BZ15" s="10"/>
      <c r="CA15" s="10"/>
      <c r="CB15" s="10"/>
      <c r="CC15" s="10"/>
      <c r="CG15" s="10"/>
      <c r="CH15" s="10">
        <v>0.5</v>
      </c>
      <c r="CI15" s="10"/>
      <c r="CJ15" s="10">
        <v>0.5</v>
      </c>
      <c r="CN15" s="10"/>
      <c r="CO15" s="10">
        <v>0.8</v>
      </c>
      <c r="CP15" s="10"/>
      <c r="CQ15" s="10">
        <v>0.8</v>
      </c>
      <c r="CU15" s="10"/>
      <c r="CV15" s="10">
        <v>1</v>
      </c>
      <c r="CW15" s="10"/>
      <c r="CX15" s="10">
        <v>1</v>
      </c>
      <c r="DB15" s="10"/>
      <c r="DC15" s="10"/>
      <c r="DD15" s="10"/>
      <c r="DE15" s="10"/>
      <c r="DI15" s="10"/>
      <c r="DJ15" s="10"/>
      <c r="DK15" s="10"/>
      <c r="DL15" s="10"/>
      <c r="DP15" s="10"/>
      <c r="DQ15" s="10"/>
      <c r="DR15" s="10"/>
      <c r="DS15" s="10"/>
      <c r="DW15" s="10"/>
      <c r="DX15" s="10"/>
      <c r="DY15" s="10"/>
      <c r="DZ15" s="10"/>
      <c r="ED15" s="10"/>
      <c r="EE15" s="10"/>
      <c r="EF15" s="10"/>
      <c r="EG15" s="10"/>
      <c r="EH15" s="20" t="s">
        <v>113</v>
      </c>
      <c r="EK15" s="10"/>
      <c r="EL15" s="10"/>
      <c r="EM15" s="10"/>
      <c r="EN15" s="10"/>
      <c r="ER15" s="10"/>
      <c r="ES15" s="10"/>
      <c r="ET15" s="10"/>
      <c r="EU15" s="10"/>
    </row>
    <row r="17" spans="2:152" x14ac:dyDescent="0.2">
      <c r="B17" t="s">
        <v>27</v>
      </c>
      <c r="C17" t="s">
        <v>77</v>
      </c>
      <c r="E17" s="9">
        <v>3</v>
      </c>
      <c r="G17" s="10">
        <f>+SUM(G18:G21)</f>
        <v>1</v>
      </c>
      <c r="I17" s="12">
        <f>+SUM(I18:I21)</f>
        <v>0</v>
      </c>
      <c r="J17" s="11">
        <f>+SUMPRODUCT(G18:G21,J18:J21)</f>
        <v>0.125</v>
      </c>
      <c r="K17" s="11">
        <f>+SUMPRODUCT(G18:G21,K18:K21)</f>
        <v>0.125</v>
      </c>
      <c r="L17" s="9"/>
      <c r="N17" s="12">
        <f>+SUM(N18:N21)</f>
        <v>0</v>
      </c>
      <c r="U17" s="12">
        <f>+SUM(U18:U21)</f>
        <v>0</v>
      </c>
      <c r="AB17" s="12">
        <f>+SUM(AB18:AB21)</f>
        <v>0</v>
      </c>
      <c r="AI17" s="12">
        <f>+SUM(AI18:AI21)</f>
        <v>0</v>
      </c>
      <c r="AP17" s="12">
        <f>+SUM(AP18:AP21)</f>
        <v>0</v>
      </c>
      <c r="AW17" s="12">
        <f>+SUM(AW18:AW21)</f>
        <v>0</v>
      </c>
      <c r="BD17" s="12">
        <f>+SUM(BD18:BD21)</f>
        <v>0</v>
      </c>
      <c r="BK17" s="12">
        <f>+SUM(BK18:BK21)</f>
        <v>0</v>
      </c>
      <c r="BR17" s="12">
        <f>+SUM(BR18:BR21)</f>
        <v>0</v>
      </c>
      <c r="BY17" s="12">
        <f>+SUM(BY18:BY21)</f>
        <v>0</v>
      </c>
      <c r="CF17" s="12">
        <f>+SUM(CF18:CF21)</f>
        <v>0</v>
      </c>
      <c r="CM17" s="12">
        <f>+SUM(CM18:CM21)</f>
        <v>0</v>
      </c>
      <c r="CT17" s="12">
        <f>+SUM(CT18:CT21)</f>
        <v>0</v>
      </c>
      <c r="DA17" s="12">
        <f>+SUM(DA18:DA21)</f>
        <v>0</v>
      </c>
      <c r="DH17" s="12">
        <f>+SUM(DH18:DH21)</f>
        <v>0</v>
      </c>
      <c r="DO17" s="12">
        <f>+SUM(DO18:DO21)</f>
        <v>0</v>
      </c>
      <c r="DV17" s="12">
        <f>+SUM(DV18:DV21)</f>
        <v>0</v>
      </c>
      <c r="EC17" s="12">
        <f>+SUM(EC18:EC21)</f>
        <v>0</v>
      </c>
      <c r="EJ17" s="12">
        <f>+SUM(EJ18:EJ21)</f>
        <v>0</v>
      </c>
      <c r="EQ17" s="12">
        <f>+SUM(EQ18:EQ21)</f>
        <v>0</v>
      </c>
      <c r="EV17" s="20" t="s">
        <v>122</v>
      </c>
    </row>
    <row r="18" spans="2:152" outlineLevel="1" x14ac:dyDescent="0.2">
      <c r="B18" t="s">
        <v>28</v>
      </c>
      <c r="C18" t="s">
        <v>77</v>
      </c>
      <c r="E18" s="9"/>
      <c r="F18" t="s">
        <v>85</v>
      </c>
      <c r="G18" s="10">
        <v>0.25</v>
      </c>
      <c r="I18" s="9">
        <f>+SUMIF($N$3:$ZM$3,I$3,$N18:$ZM18)</f>
        <v>0</v>
      </c>
      <c r="J18" s="11" cm="1">
        <f t="array" ref="J18">MAX(IF($N$3:$EA$3=$J$3,N18:EA18))</f>
        <v>0.5</v>
      </c>
      <c r="K18" s="11" cm="1">
        <f t="array" ref="K18">MAX(IF($N$3:$EA$3=$J$3,N18:EA18))</f>
        <v>0.5</v>
      </c>
      <c r="L18" s="9"/>
      <c r="O18" s="10"/>
      <c r="P18" s="10"/>
      <c r="Q18" s="10"/>
      <c r="R18" s="10"/>
      <c r="V18" s="10">
        <v>0.5</v>
      </c>
      <c r="W18" s="10">
        <v>0.5</v>
      </c>
      <c r="X18" s="10">
        <v>0.5</v>
      </c>
      <c r="Y18" s="10">
        <v>0.5</v>
      </c>
      <c r="AC18" s="10">
        <v>0.5</v>
      </c>
      <c r="AD18" s="10">
        <v>0.5</v>
      </c>
      <c r="AE18" s="10">
        <v>0.5</v>
      </c>
      <c r="AF18" s="10">
        <v>0.5</v>
      </c>
      <c r="AJ18" s="10"/>
      <c r="AK18" s="10">
        <v>0.8</v>
      </c>
      <c r="AL18" s="10"/>
      <c r="AM18" s="10">
        <v>0.8</v>
      </c>
      <c r="AQ18" s="10"/>
      <c r="AR18" s="10">
        <v>0.8</v>
      </c>
      <c r="AS18" s="10"/>
      <c r="AT18" s="10">
        <v>0.8</v>
      </c>
      <c r="AX18" s="10"/>
      <c r="AY18" s="10">
        <v>0.8</v>
      </c>
      <c r="AZ18" s="10"/>
      <c r="BA18" s="10">
        <v>0.8</v>
      </c>
      <c r="BE18" s="10"/>
      <c r="BF18" s="10">
        <v>0.8</v>
      </c>
      <c r="BG18" s="10"/>
      <c r="BH18" s="10">
        <v>0.8</v>
      </c>
      <c r="BL18" s="10"/>
      <c r="BM18" s="10">
        <v>0.8</v>
      </c>
      <c r="BN18" s="10"/>
      <c r="BO18" s="10">
        <v>0.8</v>
      </c>
      <c r="BS18" s="10"/>
      <c r="BT18" s="10">
        <v>0.8</v>
      </c>
      <c r="BU18" s="10"/>
      <c r="BV18" s="10">
        <v>0.8</v>
      </c>
      <c r="BZ18" s="10"/>
      <c r="CA18" s="10">
        <v>0.8</v>
      </c>
      <c r="CB18" s="10"/>
      <c r="CC18" s="10">
        <v>0.8</v>
      </c>
      <c r="CG18" s="10"/>
      <c r="CH18" s="19">
        <v>0.8</v>
      </c>
      <c r="CI18" s="10"/>
      <c r="CJ18" s="19">
        <v>0.8</v>
      </c>
      <c r="CN18" s="10"/>
      <c r="CO18" s="10">
        <v>0.8</v>
      </c>
      <c r="CP18" s="10"/>
      <c r="CQ18" s="10">
        <v>0.8</v>
      </c>
      <c r="CU18" s="10"/>
      <c r="CV18" s="10">
        <v>0.8</v>
      </c>
      <c r="CW18" s="10"/>
      <c r="CX18" s="10">
        <v>0.8</v>
      </c>
      <c r="DB18" s="10"/>
      <c r="DC18" s="10">
        <v>0.8</v>
      </c>
      <c r="DD18" s="10"/>
      <c r="DE18" s="10">
        <v>0.8</v>
      </c>
      <c r="DI18" s="10"/>
      <c r="DJ18" s="10">
        <v>1</v>
      </c>
      <c r="DK18" s="10"/>
      <c r="DL18" s="10">
        <v>1</v>
      </c>
      <c r="DP18" s="10"/>
      <c r="DQ18" s="10">
        <v>1</v>
      </c>
      <c r="DR18" s="10"/>
      <c r="DS18" s="10">
        <v>1</v>
      </c>
      <c r="DW18" s="10"/>
      <c r="DX18" s="10"/>
      <c r="DY18" s="10"/>
      <c r="DZ18" s="10"/>
      <c r="ED18" s="10"/>
      <c r="EE18" s="10"/>
      <c r="EF18" s="10"/>
      <c r="EG18" s="10"/>
      <c r="EK18" s="10"/>
      <c r="EL18" s="10"/>
      <c r="EM18" s="10"/>
      <c r="EN18" s="10"/>
      <c r="ER18" s="10"/>
      <c r="ES18" s="10"/>
      <c r="ET18" s="10"/>
      <c r="EU18" s="10"/>
      <c r="EV18" s="20" t="s">
        <v>122</v>
      </c>
    </row>
    <row r="19" spans="2:152" outlineLevel="1" x14ac:dyDescent="0.2">
      <c r="B19" t="s">
        <v>28</v>
      </c>
      <c r="C19" t="s">
        <v>77</v>
      </c>
      <c r="E19" s="9"/>
      <c r="F19" t="s">
        <v>87</v>
      </c>
      <c r="G19" s="10">
        <v>0.25</v>
      </c>
      <c r="I19" s="9">
        <f>+SUMIF($N$3:$ZM$3,I$3,$N19:$ZM19)</f>
        <v>0</v>
      </c>
      <c r="J19" s="11" cm="1">
        <f t="array" ref="J19">MAX(IF($N$3:$EA$3=$J$3,N19:EA19))</f>
        <v>0</v>
      </c>
      <c r="K19" s="11" cm="1">
        <f t="array" ref="K19">MAX(IF($N$3:$EA$3=$J$3,N19:EA19))</f>
        <v>0</v>
      </c>
      <c r="L19" s="9"/>
      <c r="O19" s="10"/>
      <c r="P19" s="10"/>
      <c r="Q19" s="10"/>
      <c r="R19" s="10"/>
      <c r="V19" s="10"/>
      <c r="W19" s="10">
        <v>0.5</v>
      </c>
      <c r="X19" s="10"/>
      <c r="Y19" s="10">
        <v>0.5</v>
      </c>
      <c r="AC19" s="10"/>
      <c r="AD19" s="10"/>
      <c r="AE19" s="10"/>
      <c r="AF19" s="10"/>
      <c r="AJ19" s="10"/>
      <c r="AK19" s="10"/>
      <c r="AL19" s="10"/>
      <c r="AM19" s="10"/>
      <c r="AQ19" s="10"/>
      <c r="AR19" s="10"/>
      <c r="AS19" s="10"/>
      <c r="AT19" s="10"/>
      <c r="AX19" s="10"/>
      <c r="AY19" s="10"/>
      <c r="AZ19" s="10"/>
      <c r="BA19" s="10"/>
      <c r="BE19" s="10"/>
      <c r="BF19" s="10">
        <v>0.5</v>
      </c>
      <c r="BG19" s="10"/>
      <c r="BH19" s="10">
        <v>0.5</v>
      </c>
      <c r="BL19" s="10"/>
      <c r="BM19" s="10">
        <v>0.5</v>
      </c>
      <c r="BN19" s="10"/>
      <c r="BO19" s="10">
        <v>0.5</v>
      </c>
      <c r="BS19" s="10"/>
      <c r="BT19" s="10">
        <v>0.5</v>
      </c>
      <c r="BU19" s="10"/>
      <c r="BV19" s="10">
        <v>0.5</v>
      </c>
      <c r="BZ19" s="10"/>
      <c r="CA19" s="10">
        <v>0.8</v>
      </c>
      <c r="CB19" s="10"/>
      <c r="CC19" s="10">
        <v>0.8</v>
      </c>
      <c r="CG19" s="10"/>
      <c r="CH19" s="19">
        <v>0.8</v>
      </c>
      <c r="CI19" s="10"/>
      <c r="CJ19" s="19">
        <v>0.8</v>
      </c>
      <c r="CN19" s="10"/>
      <c r="CO19" s="10">
        <v>0.8</v>
      </c>
      <c r="CP19" s="10"/>
      <c r="CQ19" s="10">
        <v>0.8</v>
      </c>
      <c r="CU19" s="10"/>
      <c r="CV19" s="10">
        <v>0.8</v>
      </c>
      <c r="CW19" s="10"/>
      <c r="CX19" s="10">
        <v>0.8</v>
      </c>
      <c r="DB19" s="10"/>
      <c r="DC19" s="10">
        <v>0.8</v>
      </c>
      <c r="DD19" s="10"/>
      <c r="DE19" s="10">
        <v>0.8</v>
      </c>
      <c r="DI19" s="10"/>
      <c r="DJ19" s="10">
        <v>1</v>
      </c>
      <c r="DK19" s="10"/>
      <c r="DL19" s="10">
        <v>1</v>
      </c>
      <c r="DP19" s="10"/>
      <c r="DQ19" s="10">
        <v>1</v>
      </c>
      <c r="DR19" s="10"/>
      <c r="DS19" s="10">
        <v>1</v>
      </c>
      <c r="DW19" s="10"/>
      <c r="DX19" s="10"/>
      <c r="DY19" s="10"/>
      <c r="DZ19" s="10"/>
      <c r="ED19" s="10"/>
      <c r="EE19" s="10"/>
      <c r="EF19" s="10"/>
      <c r="EG19" s="10"/>
      <c r="EK19" s="10"/>
      <c r="EL19" s="10"/>
      <c r="EM19" s="10"/>
      <c r="EN19" s="10"/>
      <c r="ER19" s="10"/>
      <c r="ES19" s="10"/>
      <c r="ET19" s="10"/>
      <c r="EU19" s="10"/>
      <c r="EV19" s="20" t="s">
        <v>122</v>
      </c>
    </row>
    <row r="20" spans="2:152" outlineLevel="1" x14ac:dyDescent="0.2">
      <c r="B20" t="s">
        <v>28</v>
      </c>
      <c r="C20" t="s">
        <v>77</v>
      </c>
      <c r="E20" s="9"/>
      <c r="F20" t="s">
        <v>88</v>
      </c>
      <c r="G20" s="10">
        <v>0.25</v>
      </c>
      <c r="I20" s="9">
        <f>+SUMIF($N$3:$ZM$3,I$3,$N20:$ZM20)</f>
        <v>0</v>
      </c>
      <c r="J20" s="11" cm="1">
        <f t="array" ref="J20">MAX(IF($N$3:$EA$3=$J$3,N20:EA20))</f>
        <v>0</v>
      </c>
      <c r="K20" s="11" cm="1">
        <f t="array" ref="K20">MAX(IF($N$3:$EA$3=$J$3,N20:EA20))</f>
        <v>0</v>
      </c>
      <c r="L20" s="9"/>
      <c r="O20" s="10"/>
      <c r="P20" s="10"/>
      <c r="Q20" s="10"/>
      <c r="R20" s="10"/>
      <c r="V20" s="10"/>
      <c r="W20" s="10"/>
      <c r="X20" s="10"/>
      <c r="Y20" s="10"/>
      <c r="AC20" s="10"/>
      <c r="AD20" s="10"/>
      <c r="AE20" s="10"/>
      <c r="AF20" s="10"/>
      <c r="AJ20" s="10"/>
      <c r="AK20" s="10"/>
      <c r="AL20" s="10"/>
      <c r="AM20" s="10"/>
      <c r="AQ20" s="10"/>
      <c r="AR20" s="10"/>
      <c r="AS20" s="10"/>
      <c r="AT20" s="10"/>
      <c r="AX20" s="10"/>
      <c r="AY20" s="10"/>
      <c r="AZ20" s="10"/>
      <c r="BA20" s="10"/>
      <c r="BE20" s="10"/>
      <c r="BF20" s="10"/>
      <c r="BG20" s="10"/>
      <c r="BH20" s="10"/>
      <c r="BL20" s="10"/>
      <c r="BM20" s="10">
        <v>0.5</v>
      </c>
      <c r="BN20" s="10"/>
      <c r="BO20" s="10">
        <v>0.5</v>
      </c>
      <c r="BS20" s="10"/>
      <c r="BT20" s="10">
        <v>0.5</v>
      </c>
      <c r="BU20" s="10"/>
      <c r="BV20" s="10">
        <v>0.5</v>
      </c>
      <c r="BZ20" s="10"/>
      <c r="CA20" s="10">
        <v>0.5</v>
      </c>
      <c r="CB20" s="10"/>
      <c r="CC20" s="10">
        <v>0.5</v>
      </c>
      <c r="CG20" s="10"/>
      <c r="CH20" s="19">
        <v>0.8</v>
      </c>
      <c r="CI20" s="10"/>
      <c r="CJ20" s="19">
        <v>0.8</v>
      </c>
      <c r="CN20" s="10"/>
      <c r="CO20" s="10">
        <v>0.8</v>
      </c>
      <c r="CP20" s="10"/>
      <c r="CQ20" s="10">
        <v>0.8</v>
      </c>
      <c r="CU20" s="10"/>
      <c r="CV20" s="10">
        <v>0.8</v>
      </c>
      <c r="CW20" s="10"/>
      <c r="CX20" s="10">
        <v>0.8</v>
      </c>
      <c r="DB20" s="10"/>
      <c r="DC20" s="10">
        <v>0.8</v>
      </c>
      <c r="DD20" s="10"/>
      <c r="DE20" s="10">
        <v>0.8</v>
      </c>
      <c r="DI20" s="10"/>
      <c r="DJ20" s="10">
        <v>0.8</v>
      </c>
      <c r="DK20" s="10"/>
      <c r="DL20" s="10">
        <v>0.8</v>
      </c>
      <c r="DP20" s="10"/>
      <c r="DQ20" s="10">
        <v>1</v>
      </c>
      <c r="DR20" s="10"/>
      <c r="DS20" s="10">
        <v>1</v>
      </c>
      <c r="DW20" s="10"/>
      <c r="DX20" s="10"/>
      <c r="DY20" s="10"/>
      <c r="DZ20" s="10"/>
      <c r="ED20" s="10"/>
      <c r="EE20" s="10"/>
      <c r="EF20" s="10"/>
      <c r="EG20" s="10"/>
      <c r="EK20" s="10"/>
      <c r="EL20" s="10"/>
      <c r="EM20" s="10"/>
      <c r="EN20" s="10"/>
      <c r="ER20" s="10"/>
      <c r="ES20" s="10"/>
      <c r="ET20" s="10"/>
      <c r="EU20" s="10"/>
      <c r="EV20" s="20" t="s">
        <v>122</v>
      </c>
    </row>
    <row r="21" spans="2:152" outlineLevel="1" x14ac:dyDescent="0.2">
      <c r="B21" t="s">
        <v>28</v>
      </c>
      <c r="C21" t="s">
        <v>77</v>
      </c>
      <c r="E21" s="9"/>
      <c r="F21" t="s">
        <v>86</v>
      </c>
      <c r="G21" s="10">
        <v>0.25</v>
      </c>
      <c r="I21" s="9">
        <f>+SUMIF($N$3:$ZM$3,I$3,$N21:$ZM21)</f>
        <v>0</v>
      </c>
      <c r="J21" s="11" cm="1">
        <f t="array" ref="J21">MAX(IF($N$3:$EA$3=$J$3,N21:EA21))</f>
        <v>0</v>
      </c>
      <c r="K21" s="11" cm="1">
        <f t="array" ref="K21">MAX(IF($N$3:$EA$3=$J$3,N21:EA21))</f>
        <v>0</v>
      </c>
      <c r="L21" s="9"/>
      <c r="O21" s="10"/>
      <c r="P21" s="10"/>
      <c r="Q21" s="10"/>
      <c r="R21" s="10"/>
      <c r="V21" s="10"/>
      <c r="W21" s="10"/>
      <c r="X21" s="10"/>
      <c r="Y21" s="10"/>
      <c r="AC21" s="10"/>
      <c r="AD21" s="10"/>
      <c r="AE21" s="10"/>
      <c r="AF21" s="10"/>
      <c r="AJ21" s="10"/>
      <c r="AK21" s="10"/>
      <c r="AL21" s="10"/>
      <c r="AM21" s="10"/>
      <c r="AQ21" s="10"/>
      <c r="AR21" s="10"/>
      <c r="AS21" s="10"/>
      <c r="AT21" s="10"/>
      <c r="AX21" s="10"/>
      <c r="AY21" s="10"/>
      <c r="AZ21" s="10"/>
      <c r="BA21" s="10"/>
      <c r="BE21" s="10"/>
      <c r="BF21" s="10"/>
      <c r="BG21" s="10"/>
      <c r="BH21" s="10"/>
      <c r="BL21" s="10"/>
      <c r="BM21" s="10"/>
      <c r="BN21" s="10"/>
      <c r="BO21" s="10"/>
      <c r="BS21" s="10"/>
      <c r="BT21" s="10">
        <v>0.5</v>
      </c>
      <c r="BU21" s="10"/>
      <c r="BV21" s="10">
        <v>0.5</v>
      </c>
      <c r="BZ21" s="10"/>
      <c r="CA21" s="10">
        <v>0.5</v>
      </c>
      <c r="CB21" s="10"/>
      <c r="CC21" s="10">
        <v>0.5</v>
      </c>
      <c r="CG21" s="10"/>
      <c r="CH21" s="19">
        <v>0.5</v>
      </c>
      <c r="CI21" s="10"/>
      <c r="CJ21" s="19">
        <v>0.5</v>
      </c>
      <c r="CN21" s="10"/>
      <c r="CO21" s="10">
        <v>0.8</v>
      </c>
      <c r="CP21" s="10"/>
      <c r="CQ21" s="10">
        <v>0.8</v>
      </c>
      <c r="CU21" s="10"/>
      <c r="CV21" s="10">
        <v>0.8</v>
      </c>
      <c r="CW21" s="10"/>
      <c r="CX21" s="10">
        <v>0.8</v>
      </c>
      <c r="DB21" s="10"/>
      <c r="DC21" s="10">
        <v>0.8</v>
      </c>
      <c r="DD21" s="10"/>
      <c r="DE21" s="10">
        <v>0.8</v>
      </c>
      <c r="DI21" s="10"/>
      <c r="DJ21" s="10">
        <v>0.8</v>
      </c>
      <c r="DK21" s="10"/>
      <c r="DL21" s="10">
        <v>0.8</v>
      </c>
      <c r="DP21" s="10"/>
      <c r="DQ21" s="10">
        <v>1</v>
      </c>
      <c r="DR21" s="10"/>
      <c r="DS21" s="10">
        <v>1</v>
      </c>
      <c r="DW21" s="10"/>
      <c r="DX21" s="10"/>
      <c r="DY21" s="10"/>
      <c r="DZ21" s="10"/>
      <c r="ED21" s="10"/>
      <c r="EE21" s="10"/>
      <c r="EF21" s="10"/>
      <c r="EG21" s="10"/>
      <c r="EK21" s="10"/>
      <c r="EL21" s="10"/>
      <c r="EM21" s="10"/>
      <c r="EN21" s="10"/>
      <c r="ER21" s="10"/>
      <c r="ES21" s="10"/>
      <c r="ET21" s="10"/>
      <c r="EU21" s="10"/>
      <c r="EV21" s="20" t="s">
        <v>122</v>
      </c>
    </row>
    <row r="22" spans="2:152" x14ac:dyDescent="0.2">
      <c r="CA22" s="10"/>
    </row>
    <row r="23" spans="2:152" x14ac:dyDescent="0.2">
      <c r="B23" t="s">
        <v>27</v>
      </c>
      <c r="C23" t="s">
        <v>50</v>
      </c>
      <c r="E23" s="9">
        <v>3</v>
      </c>
      <c r="G23" s="10">
        <f>+SUM(G24:G30)</f>
        <v>1</v>
      </c>
      <c r="I23" s="12">
        <f>+SUM(I24:I30)</f>
        <v>0</v>
      </c>
      <c r="J23" s="11">
        <f>+SUMPRODUCT(G24:G30,J24:J30)</f>
        <v>0.1</v>
      </c>
      <c r="K23" s="11">
        <f>+SUMPRODUCT(G24:G30,K24:K30)</f>
        <v>0.1</v>
      </c>
      <c r="L23" s="9"/>
      <c r="N23" s="12">
        <f>+SUM(N24:N30)</f>
        <v>0</v>
      </c>
      <c r="U23" s="12">
        <f>+SUM(U24:U30)</f>
        <v>0</v>
      </c>
      <c r="AB23" s="12">
        <f>+SUM(AB24:AB30)</f>
        <v>0</v>
      </c>
      <c r="AI23" s="12">
        <f>+SUM(AI24:AI30)</f>
        <v>0</v>
      </c>
      <c r="AP23" s="12">
        <f>+SUM(AP24:AP30)</f>
        <v>0</v>
      </c>
      <c r="AW23" s="12">
        <f>+SUM(AW24:AW30)</f>
        <v>0</v>
      </c>
      <c r="BD23" s="12">
        <f>+SUM(BD24:BD30)</f>
        <v>0</v>
      </c>
      <c r="BK23" s="12">
        <f>+SUM(BK24:BK30)</f>
        <v>0</v>
      </c>
      <c r="BR23" s="12">
        <f>+SUM(BR24:BR30)</f>
        <v>0</v>
      </c>
      <c r="BY23" s="12">
        <f>+SUM(BY24:BY30)</f>
        <v>0</v>
      </c>
      <c r="CF23" s="12">
        <f>+SUM(CF24:CF30)</f>
        <v>0</v>
      </c>
      <c r="CM23" s="12">
        <f>+SUM(CM24:CM30)</f>
        <v>0</v>
      </c>
      <c r="CT23" s="12">
        <f>+SUM(CT24:CT30)</f>
        <v>0</v>
      </c>
      <c r="DA23" s="12">
        <f>+SUM(DA24:DA30)</f>
        <v>0</v>
      </c>
      <c r="DH23" s="12">
        <f>+SUM(DH24:DH30)</f>
        <v>0</v>
      </c>
      <c r="DO23" s="12">
        <f>+SUM(DO24:DO30)</f>
        <v>0</v>
      </c>
      <c r="DV23" s="12">
        <f>+SUM(DV24:DV30)</f>
        <v>0</v>
      </c>
      <c r="EC23" s="12">
        <f>+SUM(EC24:EC30)</f>
        <v>0</v>
      </c>
      <c r="EJ23" s="12">
        <f>+SUM(EJ24:EJ30)</f>
        <v>0</v>
      </c>
      <c r="EQ23" s="12">
        <f>+SUM(EQ24:EQ30)</f>
        <v>0</v>
      </c>
    </row>
    <row r="24" spans="2:152" outlineLevel="1" x14ac:dyDescent="0.2">
      <c r="B24" t="s">
        <v>28</v>
      </c>
      <c r="C24" t="s">
        <v>50</v>
      </c>
      <c r="E24" s="9"/>
      <c r="F24" t="s">
        <v>78</v>
      </c>
      <c r="G24" s="10">
        <v>0.05</v>
      </c>
      <c r="I24" s="9">
        <f t="shared" ref="I24:I30" si="1">+SUMIF($N$3:$ZM$3,I$3,$N24:$ZM24)</f>
        <v>0</v>
      </c>
      <c r="J24" s="11" cm="1">
        <f t="array" ref="J24">MAX(IF($N$3:$EA$3=$J$3,N24:EA24))</f>
        <v>0.5</v>
      </c>
      <c r="K24" s="11" cm="1">
        <f t="array" ref="K24">MAX(IF($N$3:$EA$3=$J$3,N24:EA24))</f>
        <v>0.5</v>
      </c>
      <c r="L24" s="9"/>
      <c r="O24" s="10">
        <v>0.5</v>
      </c>
      <c r="P24" s="10"/>
      <c r="Q24" s="10"/>
      <c r="R24" s="10"/>
      <c r="V24" s="10">
        <v>0.5</v>
      </c>
      <c r="W24" s="10">
        <v>0.5</v>
      </c>
      <c r="X24" s="10">
        <v>0.5</v>
      </c>
      <c r="Y24" s="10">
        <v>0.5</v>
      </c>
      <c r="AC24" s="10">
        <v>0.5</v>
      </c>
      <c r="AD24" s="10">
        <v>0.5</v>
      </c>
      <c r="AE24" s="10">
        <v>0.5</v>
      </c>
      <c r="AF24" s="10">
        <v>0.5</v>
      </c>
      <c r="AJ24" s="10"/>
      <c r="AK24" s="10">
        <v>0.5</v>
      </c>
      <c r="AL24" s="10"/>
      <c r="AM24" s="10">
        <v>0.5</v>
      </c>
      <c r="AQ24" s="10"/>
      <c r="AR24" s="10">
        <v>0.8</v>
      </c>
      <c r="AS24" s="10"/>
      <c r="AT24" s="10">
        <v>0.8</v>
      </c>
      <c r="AX24" s="10"/>
      <c r="AY24" s="10">
        <v>0.8</v>
      </c>
      <c r="AZ24" s="10"/>
      <c r="BA24" s="10">
        <v>0.8</v>
      </c>
      <c r="BE24" s="10"/>
      <c r="BF24" s="10">
        <v>0.8</v>
      </c>
      <c r="BG24" s="10"/>
      <c r="BH24" s="10">
        <v>0.8</v>
      </c>
      <c r="BL24" s="10"/>
      <c r="BM24" s="10">
        <v>0.8</v>
      </c>
      <c r="BN24" s="10"/>
      <c r="BO24" s="10">
        <v>0.8</v>
      </c>
      <c r="BS24" s="10"/>
      <c r="BT24" s="10">
        <v>0.8</v>
      </c>
      <c r="BU24" s="10"/>
      <c r="BV24" s="10">
        <v>0.8</v>
      </c>
      <c r="BZ24" s="10"/>
      <c r="CA24" s="10">
        <v>1</v>
      </c>
      <c r="CB24" s="10"/>
      <c r="CC24" s="10">
        <v>1</v>
      </c>
      <c r="CG24" s="10"/>
      <c r="CH24" s="10">
        <v>1</v>
      </c>
      <c r="CI24" s="10"/>
      <c r="CJ24" s="10">
        <v>1</v>
      </c>
      <c r="CN24" s="10"/>
      <c r="CO24" s="19">
        <v>1</v>
      </c>
      <c r="CP24" s="10"/>
      <c r="CQ24" s="19">
        <v>1</v>
      </c>
      <c r="CU24" s="10"/>
      <c r="CV24" s="10">
        <v>1</v>
      </c>
      <c r="CW24" s="10"/>
      <c r="CX24" s="10">
        <v>1</v>
      </c>
      <c r="DB24" s="10"/>
      <c r="DC24" s="10">
        <v>1</v>
      </c>
      <c r="DD24" s="10"/>
      <c r="DE24" s="10">
        <v>1</v>
      </c>
      <c r="DI24" s="10"/>
      <c r="DJ24" s="10"/>
      <c r="DK24" s="10"/>
      <c r="DL24" s="10"/>
      <c r="DP24" s="10"/>
      <c r="DQ24" s="10"/>
      <c r="DR24" s="10"/>
      <c r="DS24" s="10"/>
      <c r="DW24" s="10"/>
      <c r="DX24" s="10"/>
      <c r="DY24" s="10"/>
      <c r="DZ24" s="10"/>
      <c r="ED24" s="10"/>
      <c r="EE24" s="10"/>
      <c r="EF24" s="10"/>
      <c r="EG24" s="10"/>
      <c r="EK24" s="10"/>
      <c r="EL24" s="10"/>
      <c r="EM24" s="10"/>
      <c r="EN24" s="10"/>
      <c r="ER24" s="10"/>
      <c r="ES24" s="10"/>
      <c r="ET24" s="10"/>
      <c r="EU24" s="10"/>
    </row>
    <row r="25" spans="2:152" outlineLevel="1" x14ac:dyDescent="0.2">
      <c r="B25" t="s">
        <v>28</v>
      </c>
      <c r="C25" t="s">
        <v>50</v>
      </c>
      <c r="E25" s="9"/>
      <c r="F25" t="s">
        <v>79</v>
      </c>
      <c r="G25" s="10">
        <v>0.15</v>
      </c>
      <c r="I25" s="9">
        <f t="shared" si="1"/>
        <v>0</v>
      </c>
      <c r="J25" s="11" cm="1">
        <f t="array" ref="J25">MAX(IF($N$3:$EA$3=$J$3,N25:EA25))</f>
        <v>0.5</v>
      </c>
      <c r="K25" s="11" cm="1">
        <f t="array" ref="K25">MAX(IF($N$3:$EA$3=$J$3,N25:EA25))</f>
        <v>0.5</v>
      </c>
      <c r="L25" s="9"/>
      <c r="O25" s="10"/>
      <c r="P25" s="10"/>
      <c r="Q25" s="10"/>
      <c r="R25" s="10"/>
      <c r="V25" s="10">
        <v>0.5</v>
      </c>
      <c r="W25" s="10">
        <v>0.5</v>
      </c>
      <c r="X25" s="10">
        <v>0.5</v>
      </c>
      <c r="Y25" s="10">
        <v>0.5</v>
      </c>
      <c r="AC25" s="10">
        <v>0.5</v>
      </c>
      <c r="AD25" s="10">
        <v>0.5</v>
      </c>
      <c r="AE25" s="10">
        <v>0.5</v>
      </c>
      <c r="AF25" s="10">
        <v>0.5</v>
      </c>
      <c r="AJ25" s="10"/>
      <c r="AK25" s="10">
        <v>0.5</v>
      </c>
      <c r="AL25" s="10"/>
      <c r="AM25" s="10">
        <v>0.5</v>
      </c>
      <c r="AQ25" s="10"/>
      <c r="AR25" s="10">
        <v>0.8</v>
      </c>
      <c r="AS25" s="10"/>
      <c r="AT25" s="10">
        <v>0.8</v>
      </c>
      <c r="AX25" s="10"/>
      <c r="AY25" s="10">
        <v>0.8</v>
      </c>
      <c r="AZ25" s="10"/>
      <c r="BA25" s="10">
        <v>0.5</v>
      </c>
      <c r="BE25" s="10"/>
      <c r="BF25" s="10">
        <v>0.8</v>
      </c>
      <c r="BG25" s="10"/>
      <c r="BH25" s="10">
        <v>0.8</v>
      </c>
      <c r="BL25" s="10"/>
      <c r="BM25" s="10">
        <v>0.8</v>
      </c>
      <c r="BN25" s="10"/>
      <c r="BO25" s="10">
        <v>0.8</v>
      </c>
      <c r="BS25" s="10"/>
      <c r="BT25" s="10">
        <v>0.8</v>
      </c>
      <c r="BU25" s="10"/>
      <c r="BV25" s="10">
        <v>0.8</v>
      </c>
      <c r="BZ25" s="10"/>
      <c r="CA25" s="10">
        <v>0.8</v>
      </c>
      <c r="CB25" s="10"/>
      <c r="CC25" s="10">
        <v>0.8</v>
      </c>
      <c r="CG25" s="10"/>
      <c r="CH25" s="10">
        <v>1</v>
      </c>
      <c r="CI25" s="10"/>
      <c r="CJ25" s="10">
        <v>1</v>
      </c>
      <c r="CN25" s="10"/>
      <c r="CO25" s="19">
        <v>1</v>
      </c>
      <c r="CP25" s="10"/>
      <c r="CQ25" s="19">
        <v>1</v>
      </c>
      <c r="CU25" s="10"/>
      <c r="CV25" s="10">
        <v>1</v>
      </c>
      <c r="CW25" s="10"/>
      <c r="CX25" s="10">
        <v>1</v>
      </c>
      <c r="DB25" s="10"/>
      <c r="DC25" s="10">
        <v>1</v>
      </c>
      <c r="DD25" s="10"/>
      <c r="DE25" s="10">
        <v>1</v>
      </c>
      <c r="DI25" s="10"/>
      <c r="DJ25" s="10"/>
      <c r="DK25" s="10"/>
      <c r="DL25" s="10"/>
      <c r="DP25" s="10"/>
      <c r="DQ25" s="10"/>
      <c r="DR25" s="10"/>
      <c r="DS25" s="10"/>
      <c r="DW25" s="10"/>
      <c r="DX25" s="10"/>
      <c r="DY25" s="10"/>
      <c r="DZ25" s="10"/>
      <c r="ED25" s="10"/>
      <c r="EE25" s="10"/>
      <c r="EF25" s="10"/>
      <c r="EG25" s="10"/>
      <c r="EK25" s="10"/>
      <c r="EL25" s="10"/>
      <c r="EM25" s="10"/>
      <c r="EN25" s="10"/>
      <c r="ER25" s="10"/>
      <c r="ES25" s="10"/>
      <c r="ET25" s="10"/>
      <c r="EU25" s="10"/>
    </row>
    <row r="26" spans="2:152" outlineLevel="1" x14ac:dyDescent="0.2">
      <c r="B26" t="s">
        <v>28</v>
      </c>
      <c r="C26" t="s">
        <v>50</v>
      </c>
      <c r="E26" s="9"/>
      <c r="F26" t="s">
        <v>80</v>
      </c>
      <c r="G26" s="10">
        <v>0.15</v>
      </c>
      <c r="I26" s="9">
        <f t="shared" si="1"/>
        <v>0</v>
      </c>
      <c r="J26" s="11" cm="1">
        <f t="array" ref="J26">MAX(IF($N$3:$EA$3=$J$3,N26:EA26))</f>
        <v>0</v>
      </c>
      <c r="K26" s="11" cm="1">
        <f t="array" ref="K26">MAX(IF($N$3:$EA$3=$J$3,N26:EA26))</f>
        <v>0</v>
      </c>
      <c r="L26" s="9"/>
      <c r="O26" s="10"/>
      <c r="P26" s="10"/>
      <c r="Q26" s="10"/>
      <c r="R26" s="10"/>
      <c r="V26" s="10"/>
      <c r="W26" s="10"/>
      <c r="X26" s="10"/>
      <c r="Y26" s="10"/>
      <c r="AC26" s="10"/>
      <c r="AD26" s="10"/>
      <c r="AE26" s="10"/>
      <c r="AF26" s="10"/>
      <c r="AJ26" s="10"/>
      <c r="AK26" s="10">
        <v>0.5</v>
      </c>
      <c r="AL26" s="10"/>
      <c r="AM26" s="10">
        <v>0.5</v>
      </c>
      <c r="AQ26" s="10"/>
      <c r="AR26" s="10">
        <v>0.5</v>
      </c>
      <c r="AS26" s="10"/>
      <c r="AT26" s="10">
        <v>0.5</v>
      </c>
      <c r="AX26" s="10"/>
      <c r="AY26" s="10">
        <v>0.5</v>
      </c>
      <c r="AZ26" s="10"/>
      <c r="BA26" s="10">
        <v>0.5</v>
      </c>
      <c r="BE26" s="10"/>
      <c r="BF26" s="10">
        <v>0.8</v>
      </c>
      <c r="BG26" s="10"/>
      <c r="BH26" s="10">
        <v>0.8</v>
      </c>
      <c r="BL26" s="10"/>
      <c r="BM26" s="10">
        <v>0.8</v>
      </c>
      <c r="BN26" s="10"/>
      <c r="BO26" s="10">
        <v>0.8</v>
      </c>
      <c r="BS26" s="10"/>
      <c r="BT26" s="10">
        <v>0.8</v>
      </c>
      <c r="BU26" s="10"/>
      <c r="BV26" s="10">
        <v>0.8</v>
      </c>
      <c r="BZ26" s="10"/>
      <c r="CA26" s="10">
        <v>0.8</v>
      </c>
      <c r="CB26" s="10"/>
      <c r="CC26" s="10">
        <v>0.8</v>
      </c>
      <c r="CG26" s="10"/>
      <c r="CH26" s="10">
        <v>1</v>
      </c>
      <c r="CI26" s="10"/>
      <c r="CJ26" s="10">
        <v>1</v>
      </c>
      <c r="CN26" s="10"/>
      <c r="CO26" s="10">
        <v>1</v>
      </c>
      <c r="CP26" s="10"/>
      <c r="CQ26" s="10">
        <v>1</v>
      </c>
      <c r="CU26" s="10"/>
      <c r="CV26" s="10">
        <v>1</v>
      </c>
      <c r="CW26" s="10"/>
      <c r="CX26" s="10">
        <v>1</v>
      </c>
      <c r="DB26" s="10"/>
      <c r="DC26" s="10">
        <v>1</v>
      </c>
      <c r="DD26" s="10"/>
      <c r="DE26" s="10">
        <v>1</v>
      </c>
      <c r="DI26" s="10"/>
      <c r="DJ26" s="10"/>
      <c r="DK26" s="10"/>
      <c r="DL26" s="10"/>
      <c r="DP26" s="10"/>
      <c r="DQ26" s="10"/>
      <c r="DR26" s="10"/>
      <c r="DS26" s="10"/>
      <c r="DW26" s="10"/>
      <c r="DX26" s="10"/>
      <c r="DY26" s="10"/>
      <c r="DZ26" s="10"/>
      <c r="ED26" s="10"/>
      <c r="EE26" s="10"/>
      <c r="EF26" s="10"/>
      <c r="EG26" s="10"/>
      <c r="EK26" s="10"/>
      <c r="EL26" s="10"/>
      <c r="EM26" s="10"/>
      <c r="EN26" s="10"/>
      <c r="ER26" s="10"/>
      <c r="ES26" s="10"/>
      <c r="ET26" s="10"/>
      <c r="EU26" s="10"/>
    </row>
    <row r="27" spans="2:152" outlineLevel="1" x14ac:dyDescent="0.2">
      <c r="B27" t="s">
        <v>28</v>
      </c>
      <c r="C27" t="s">
        <v>50</v>
      </c>
      <c r="E27" s="9"/>
      <c r="F27" t="s">
        <v>81</v>
      </c>
      <c r="G27" s="10">
        <v>0.1</v>
      </c>
      <c r="I27" s="9">
        <f t="shared" si="1"/>
        <v>0</v>
      </c>
      <c r="J27" s="11" cm="1">
        <f t="array" ref="J27">MAX(IF($N$3:$EA$3=$J$3,N27:EA27))</f>
        <v>0</v>
      </c>
      <c r="K27" s="11" cm="1">
        <f t="array" ref="K27">MAX(IF($N$3:$EA$3=$J$3,N27:EA27))</f>
        <v>0</v>
      </c>
      <c r="L27" s="9"/>
      <c r="O27" s="10"/>
      <c r="P27" s="10"/>
      <c r="Q27" s="10"/>
      <c r="R27" s="10"/>
      <c r="V27" s="10"/>
      <c r="W27" s="10"/>
      <c r="X27" s="10"/>
      <c r="Y27" s="10"/>
      <c r="AC27" s="10"/>
      <c r="AD27" s="10"/>
      <c r="AE27" s="10"/>
      <c r="AF27" s="10"/>
      <c r="AJ27" s="10"/>
      <c r="AK27" s="10"/>
      <c r="AL27" s="10"/>
      <c r="AM27" s="10"/>
      <c r="AQ27" s="10"/>
      <c r="AR27" s="10"/>
      <c r="AS27" s="10"/>
      <c r="AT27" s="10"/>
      <c r="AX27" s="10"/>
      <c r="AY27" s="10">
        <v>0.5</v>
      </c>
      <c r="AZ27" s="10"/>
      <c r="BA27" s="10">
        <v>0.5</v>
      </c>
      <c r="BE27" s="10"/>
      <c r="BF27" s="10">
        <v>0.8</v>
      </c>
      <c r="BG27" s="10"/>
      <c r="BH27" s="10">
        <v>0.8</v>
      </c>
      <c r="BL27" s="10"/>
      <c r="BM27" s="10">
        <v>0.8</v>
      </c>
      <c r="BN27" s="10"/>
      <c r="BO27" s="10">
        <v>0.8</v>
      </c>
      <c r="BS27" s="10"/>
      <c r="BT27" s="10">
        <v>0.8</v>
      </c>
      <c r="BU27" s="10"/>
      <c r="BV27" s="10">
        <v>0.8</v>
      </c>
      <c r="BZ27" s="10"/>
      <c r="CA27" s="10">
        <v>0.8</v>
      </c>
      <c r="CB27" s="10"/>
      <c r="CC27" s="10">
        <v>0.8</v>
      </c>
      <c r="CG27" s="10"/>
      <c r="CH27" s="10">
        <v>0.8</v>
      </c>
      <c r="CI27" s="10"/>
      <c r="CJ27" s="10">
        <v>0.8</v>
      </c>
      <c r="CN27" s="10"/>
      <c r="CO27" s="10">
        <v>1</v>
      </c>
      <c r="CP27" s="10"/>
      <c r="CQ27" s="10">
        <v>1</v>
      </c>
      <c r="CU27" s="10"/>
      <c r="CV27" s="10">
        <v>1</v>
      </c>
      <c r="CW27" s="10"/>
      <c r="CX27" s="10">
        <v>1</v>
      </c>
      <c r="DB27" s="10"/>
      <c r="DC27" s="10">
        <v>1</v>
      </c>
      <c r="DD27" s="10"/>
      <c r="DE27" s="10">
        <v>1</v>
      </c>
      <c r="DI27" s="10"/>
      <c r="DJ27" s="10"/>
      <c r="DK27" s="10"/>
      <c r="DL27" s="10"/>
      <c r="DP27" s="10"/>
      <c r="DQ27" s="10"/>
      <c r="DR27" s="10"/>
      <c r="DS27" s="10"/>
      <c r="DW27" s="10"/>
      <c r="DX27" s="10"/>
      <c r="DY27" s="10"/>
      <c r="DZ27" s="10"/>
      <c r="ED27" s="10"/>
      <c r="EE27" s="10"/>
      <c r="EF27" s="10"/>
      <c r="EG27" s="10"/>
      <c r="EK27" s="10"/>
      <c r="EL27" s="10"/>
      <c r="EM27" s="10"/>
      <c r="EN27" s="10"/>
      <c r="ER27" s="10"/>
      <c r="ES27" s="10"/>
      <c r="ET27" s="10"/>
      <c r="EU27" s="10"/>
    </row>
    <row r="28" spans="2:152" outlineLevel="1" x14ac:dyDescent="0.2">
      <c r="B28" t="s">
        <v>28</v>
      </c>
      <c r="C28" t="s">
        <v>50</v>
      </c>
      <c r="E28" s="9"/>
      <c r="F28" t="s">
        <v>82</v>
      </c>
      <c r="G28" s="10">
        <v>0.2</v>
      </c>
      <c r="I28" s="9">
        <f t="shared" si="1"/>
        <v>0</v>
      </c>
      <c r="J28" s="11" cm="1">
        <f t="array" ref="J28">MAX(IF($N$3:$EA$3=$J$3,N28:EA28))</f>
        <v>0</v>
      </c>
      <c r="K28" s="11" cm="1">
        <f t="array" ref="K28">MAX(IF($N$3:$EA$3=$J$3,N28:EA28))</f>
        <v>0</v>
      </c>
      <c r="L28" s="9"/>
      <c r="O28" s="10"/>
      <c r="P28" s="10"/>
      <c r="Q28" s="10"/>
      <c r="R28" s="10"/>
      <c r="V28" s="10"/>
      <c r="W28" s="10"/>
      <c r="X28" s="10"/>
      <c r="Y28" s="10"/>
      <c r="AC28" s="10"/>
      <c r="AD28" s="10"/>
      <c r="AE28" s="10"/>
      <c r="AF28" s="10"/>
      <c r="AJ28" s="10"/>
      <c r="AK28" s="10"/>
      <c r="AL28" s="10"/>
      <c r="AM28" s="10"/>
      <c r="AQ28" s="10"/>
      <c r="AR28" s="10"/>
      <c r="AS28" s="10"/>
      <c r="AT28" s="10"/>
      <c r="AX28" s="10"/>
      <c r="AY28" s="10">
        <v>0.5</v>
      </c>
      <c r="AZ28" s="10"/>
      <c r="BA28" s="10">
        <v>0.5</v>
      </c>
      <c r="BE28" s="10"/>
      <c r="BF28" s="10">
        <v>0.5</v>
      </c>
      <c r="BG28" s="10"/>
      <c r="BH28" s="10">
        <v>0.5</v>
      </c>
      <c r="BL28" s="10"/>
      <c r="BM28" s="10">
        <v>0.8</v>
      </c>
      <c r="BN28" s="10"/>
      <c r="BO28" s="10">
        <v>0.8</v>
      </c>
      <c r="BS28" s="10"/>
      <c r="BT28" s="10">
        <v>0.8</v>
      </c>
      <c r="BU28" s="10"/>
      <c r="BV28" s="10">
        <v>0.8</v>
      </c>
      <c r="BZ28" s="10"/>
      <c r="CA28" s="10">
        <v>0.8</v>
      </c>
      <c r="CB28" s="10"/>
      <c r="CC28" s="10">
        <v>0.8</v>
      </c>
      <c r="CG28" s="10"/>
      <c r="CH28" s="10">
        <v>0.8</v>
      </c>
      <c r="CI28" s="10"/>
      <c r="CJ28" s="10">
        <v>0.8</v>
      </c>
      <c r="CN28" s="10"/>
      <c r="CO28" s="10">
        <v>0.8</v>
      </c>
      <c r="CP28" s="10"/>
      <c r="CQ28" s="10">
        <v>0.8</v>
      </c>
      <c r="CU28" s="10"/>
      <c r="CV28" s="10">
        <v>1</v>
      </c>
      <c r="CW28" s="10"/>
      <c r="CX28" s="10">
        <v>1</v>
      </c>
      <c r="DB28" s="10"/>
      <c r="DC28" s="10">
        <v>1</v>
      </c>
      <c r="DD28" s="10"/>
      <c r="DE28" s="10">
        <v>1</v>
      </c>
      <c r="DI28" s="10"/>
      <c r="DJ28" s="10"/>
      <c r="DK28" s="10"/>
      <c r="DL28" s="10"/>
      <c r="DP28" s="10"/>
      <c r="DQ28" s="10"/>
      <c r="DR28" s="10"/>
      <c r="DS28" s="10"/>
      <c r="DW28" s="10"/>
      <c r="DX28" s="10"/>
      <c r="DY28" s="10"/>
      <c r="DZ28" s="10"/>
      <c r="ED28" s="10"/>
      <c r="EE28" s="10"/>
      <c r="EF28" s="10"/>
      <c r="EG28" s="10"/>
      <c r="EK28" s="10"/>
      <c r="EL28" s="10"/>
      <c r="EM28" s="10"/>
      <c r="EN28" s="10"/>
      <c r="ER28" s="10"/>
      <c r="ES28" s="10"/>
      <c r="ET28" s="10"/>
      <c r="EU28" s="10"/>
    </row>
    <row r="29" spans="2:152" outlineLevel="1" x14ac:dyDescent="0.2">
      <c r="B29" t="s">
        <v>28</v>
      </c>
      <c r="C29" t="s">
        <v>50</v>
      </c>
      <c r="E29" s="9"/>
      <c r="F29" t="s">
        <v>83</v>
      </c>
      <c r="G29" s="10">
        <v>0.3</v>
      </c>
      <c r="I29" s="9">
        <f t="shared" si="1"/>
        <v>0</v>
      </c>
      <c r="J29" s="11" cm="1">
        <f t="array" ref="J29">MAX(IF($N$3:$EA$3=$J$3,N29:EA29))</f>
        <v>0</v>
      </c>
      <c r="K29" s="11" cm="1">
        <f t="array" ref="K29">MAX(IF($N$3:$EA$3=$J$3,N29:EA29))</f>
        <v>0</v>
      </c>
      <c r="L29" s="9"/>
      <c r="O29" s="10"/>
      <c r="P29" s="10"/>
      <c r="Q29" s="10"/>
      <c r="R29" s="10"/>
      <c r="V29" s="10"/>
      <c r="W29" s="10"/>
      <c r="X29" s="10"/>
      <c r="Y29" s="10"/>
      <c r="AC29" s="10"/>
      <c r="AD29" s="10"/>
      <c r="AE29" s="10"/>
      <c r="AF29" s="10"/>
      <c r="AJ29" s="10"/>
      <c r="AK29" s="10"/>
      <c r="AL29" s="10"/>
      <c r="AM29" s="10"/>
      <c r="AQ29" s="10"/>
      <c r="AR29" s="10"/>
      <c r="AS29" s="10"/>
      <c r="AT29" s="10"/>
      <c r="AX29" s="10"/>
      <c r="AY29" s="10"/>
      <c r="AZ29" s="10"/>
      <c r="BA29" s="10"/>
      <c r="BE29" s="10"/>
      <c r="BF29" s="10">
        <v>0.5</v>
      </c>
      <c r="BG29" s="10"/>
      <c r="BH29" s="10">
        <v>0.5</v>
      </c>
      <c r="BL29" s="10"/>
      <c r="BM29" s="10">
        <v>0.5</v>
      </c>
      <c r="BN29" s="10"/>
      <c r="BO29" s="10">
        <v>0.5</v>
      </c>
      <c r="BS29" s="10"/>
      <c r="BT29" s="10">
        <v>0.8</v>
      </c>
      <c r="BU29" s="10"/>
      <c r="BV29" s="10">
        <v>0.8</v>
      </c>
      <c r="BZ29" s="10"/>
      <c r="CA29" s="10">
        <v>0.8</v>
      </c>
      <c r="CB29" s="10"/>
      <c r="CC29" s="10">
        <v>0.8</v>
      </c>
      <c r="CG29" s="10"/>
      <c r="CH29" s="10">
        <v>0.8</v>
      </c>
      <c r="CI29" s="10"/>
      <c r="CJ29" s="10">
        <v>0.8</v>
      </c>
      <c r="CN29" s="10"/>
      <c r="CO29" s="10">
        <v>0.8</v>
      </c>
      <c r="CP29" s="10"/>
      <c r="CQ29" s="10">
        <v>0.8</v>
      </c>
      <c r="CU29" s="10"/>
      <c r="CV29" s="10">
        <v>0.8</v>
      </c>
      <c r="CW29" s="10"/>
      <c r="CX29" s="10">
        <v>0.8</v>
      </c>
      <c r="DB29" s="10"/>
      <c r="DC29" s="10">
        <v>1</v>
      </c>
      <c r="DD29" s="10"/>
      <c r="DE29" s="10">
        <v>1</v>
      </c>
      <c r="DI29" s="10"/>
      <c r="DJ29" s="10"/>
      <c r="DK29" s="10"/>
      <c r="DL29" s="10"/>
      <c r="DP29" s="10"/>
      <c r="DQ29" s="10"/>
      <c r="DR29" s="10"/>
      <c r="DS29" s="10"/>
      <c r="DW29" s="10"/>
      <c r="DX29" s="10"/>
      <c r="DY29" s="10"/>
      <c r="DZ29" s="10"/>
      <c r="ED29" s="10"/>
      <c r="EE29" s="10"/>
      <c r="EF29" s="10"/>
      <c r="EG29" s="10"/>
      <c r="EK29" s="10"/>
      <c r="EL29" s="10"/>
      <c r="EM29" s="10"/>
      <c r="EN29" s="10"/>
      <c r="ER29" s="10"/>
      <c r="ES29" s="10"/>
      <c r="ET29" s="10"/>
      <c r="EU29" s="10"/>
    </row>
    <row r="30" spans="2:152" outlineLevel="1" x14ac:dyDescent="0.2">
      <c r="B30" t="s">
        <v>28</v>
      </c>
      <c r="C30" t="s">
        <v>50</v>
      </c>
      <c r="E30" s="9"/>
      <c r="F30" t="s">
        <v>84</v>
      </c>
      <c r="G30" s="10">
        <v>0.05</v>
      </c>
      <c r="I30" s="9">
        <f t="shared" si="1"/>
        <v>0</v>
      </c>
      <c r="J30" s="11" cm="1">
        <f t="array" ref="J30">MAX(IF($N$3:$EA$3=$J$3,N30:EA30))</f>
        <v>0</v>
      </c>
      <c r="K30" s="11" cm="1">
        <f t="array" ref="K30">MAX(IF($N$3:$EA$3=$J$3,N30:EA30))</f>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v>0.5</v>
      </c>
      <c r="BG30" s="10"/>
      <c r="BH30" s="10">
        <v>0.5</v>
      </c>
      <c r="BL30" s="10"/>
      <c r="BM30" s="10">
        <v>0.5</v>
      </c>
      <c r="BN30" s="10"/>
      <c r="BO30" s="10">
        <v>0.5</v>
      </c>
      <c r="BS30" s="10"/>
      <c r="BT30" s="10">
        <v>0.8</v>
      </c>
      <c r="BU30" s="10"/>
      <c r="BV30" s="10">
        <v>0.8</v>
      </c>
      <c r="BZ30" s="10"/>
      <c r="CA30" s="10">
        <v>0.8</v>
      </c>
      <c r="CB30" s="10"/>
      <c r="CC30" s="10">
        <v>0.8</v>
      </c>
      <c r="CG30" s="10"/>
      <c r="CH30" s="10">
        <v>0.8</v>
      </c>
      <c r="CI30" s="10"/>
      <c r="CJ30" s="10">
        <v>0.8</v>
      </c>
      <c r="CN30" s="10"/>
      <c r="CO30" s="10">
        <v>0.8</v>
      </c>
      <c r="CP30" s="10"/>
      <c r="CQ30" s="10">
        <v>0.8</v>
      </c>
      <c r="CU30" s="10"/>
      <c r="CV30" s="10">
        <v>0.8</v>
      </c>
      <c r="CW30" s="10"/>
      <c r="CX30" s="10">
        <v>0.8</v>
      </c>
      <c r="DB30" s="10"/>
      <c r="DC30" s="10">
        <v>1</v>
      </c>
      <c r="DD30" s="10"/>
      <c r="DE30" s="10">
        <v>1</v>
      </c>
      <c r="DI30" s="10"/>
      <c r="DJ30" s="10"/>
      <c r="DK30" s="10"/>
      <c r="DL30" s="10"/>
      <c r="DP30" s="10"/>
      <c r="DQ30" s="10"/>
      <c r="DR30" s="10"/>
      <c r="DS30" s="10"/>
      <c r="DW30" s="10"/>
      <c r="DX30" s="10"/>
      <c r="DY30" s="10"/>
      <c r="DZ30" s="10"/>
      <c r="ED30" s="10"/>
      <c r="EE30" s="10"/>
      <c r="EF30" s="10"/>
      <c r="EG30" s="10"/>
      <c r="EK30" s="10"/>
      <c r="EL30" s="10"/>
      <c r="EM30" s="10"/>
      <c r="EN30" s="10"/>
      <c r="ER30" s="10"/>
      <c r="ES30" s="10"/>
      <c r="ET30" s="10"/>
      <c r="EU30" s="10"/>
    </row>
    <row r="32" spans="2:152" x14ac:dyDescent="0.2">
      <c r="B32" t="s">
        <v>27</v>
      </c>
      <c r="C32" t="s">
        <v>49</v>
      </c>
      <c r="E32" s="9">
        <v>6</v>
      </c>
      <c r="G32" s="10">
        <f>+SUM(G33:G38)</f>
        <v>1</v>
      </c>
      <c r="I32" s="12">
        <f>+SUM(I33:I38)</f>
        <v>0</v>
      </c>
      <c r="J32" s="11">
        <f>+SUMPRODUCT(G33:G38,J33:J38)</f>
        <v>7.4999999999999997E-2</v>
      </c>
      <c r="K32" s="11">
        <f>+SUMPRODUCT(G33:G38,K33:K38)</f>
        <v>7.4999999999999997E-2</v>
      </c>
      <c r="L32" s="9"/>
      <c r="N32" s="12">
        <f>+SUM(N33:N38)</f>
        <v>0</v>
      </c>
      <c r="U32" s="12">
        <f>+SUM(U33:U38)</f>
        <v>0</v>
      </c>
      <c r="AB32" s="12">
        <f>+SUM(AB33:AB38)</f>
        <v>0</v>
      </c>
      <c r="AI32" s="12">
        <f>+SUM(AI33:AI38)</f>
        <v>0</v>
      </c>
      <c r="AP32" s="12">
        <f>+SUM(AP33:AP38)</f>
        <v>0</v>
      </c>
      <c r="AW32" s="12">
        <f>+SUM(AW33:AW38)</f>
        <v>0</v>
      </c>
      <c r="BD32" s="12">
        <f>+SUM(BD33:BD38)</f>
        <v>0</v>
      </c>
      <c r="BK32" s="12">
        <f>+SUM(BK33:BK38)</f>
        <v>0</v>
      </c>
      <c r="BR32" s="12">
        <f>+SUM(BR33:BR38)</f>
        <v>0</v>
      </c>
      <c r="BY32" s="12">
        <f>+SUM(BY33:BY38)</f>
        <v>0</v>
      </c>
      <c r="CF32" s="12">
        <f>+SUM(CF33:CF38)</f>
        <v>0</v>
      </c>
      <c r="CM32" s="12">
        <f>+SUM(CM33:CM38)</f>
        <v>0</v>
      </c>
      <c r="CT32" s="12">
        <f>+SUM(CT33:CT38)</f>
        <v>0</v>
      </c>
      <c r="DA32" s="12">
        <f>+SUM(DA33:DA38)</f>
        <v>0</v>
      </c>
      <c r="DH32" s="12">
        <f>+SUM(DH33:DH38)</f>
        <v>0</v>
      </c>
      <c r="DO32" s="12">
        <f>+SUM(DO33:DO38)</f>
        <v>0</v>
      </c>
      <c r="DV32" s="12">
        <f>+SUM(DV33:DV38)</f>
        <v>0</v>
      </c>
      <c r="EC32" s="12">
        <f>+SUM(EC33:EC38)</f>
        <v>0</v>
      </c>
      <c r="EJ32" s="12">
        <f>+SUM(EJ33:EJ38)</f>
        <v>0</v>
      </c>
      <c r="EQ32" s="12">
        <f>+SUM(EQ33:EQ38)</f>
        <v>0</v>
      </c>
      <c r="EV32" s="20" t="s">
        <v>116</v>
      </c>
    </row>
    <row r="33" spans="2:152" outlineLevel="1" x14ac:dyDescent="0.2">
      <c r="B33" t="s">
        <v>28</v>
      </c>
      <c r="C33" t="s">
        <v>49</v>
      </c>
      <c r="E33" s="9"/>
      <c r="F33" t="s">
        <v>89</v>
      </c>
      <c r="G33" s="10">
        <v>0.15</v>
      </c>
      <c r="I33" s="9">
        <f t="shared" ref="I33:I38" si="2">+SUMIF($N$3:$ZM$3,I$3,$N33:$ZM33)</f>
        <v>0</v>
      </c>
      <c r="J33" s="11" cm="1">
        <f t="array" ref="J33">MAX(IF($N$3:$EA$3=$J$3,N33:EA33))</f>
        <v>0.5</v>
      </c>
      <c r="K33" s="11" cm="1">
        <f t="array" ref="K33">MAX(IF($N$3:$EA$3=$J$3,N33:EA33))</f>
        <v>0.5</v>
      </c>
      <c r="L33" s="9"/>
      <c r="O33" s="10"/>
      <c r="P33" s="10"/>
      <c r="Q33" s="10"/>
      <c r="R33" s="10"/>
      <c r="V33" s="10"/>
      <c r="W33" s="10">
        <v>0.5</v>
      </c>
      <c r="X33" s="10"/>
      <c r="Y33" s="10">
        <v>0.5</v>
      </c>
      <c r="AC33" s="10">
        <v>0.5</v>
      </c>
      <c r="AD33" s="10">
        <v>0.5</v>
      </c>
      <c r="AE33" s="10">
        <v>0.5</v>
      </c>
      <c r="AF33" s="10">
        <v>0.5</v>
      </c>
      <c r="AJ33" s="10"/>
      <c r="AK33" s="10">
        <v>0.5</v>
      </c>
      <c r="AL33" s="10"/>
      <c r="AM33" s="10">
        <v>0.5</v>
      </c>
      <c r="AQ33" s="10"/>
      <c r="AR33" s="10">
        <v>0.5</v>
      </c>
      <c r="AS33" s="10"/>
      <c r="AT33" s="10">
        <v>0.5</v>
      </c>
      <c r="AX33" s="10"/>
      <c r="AY33" s="10">
        <v>0.8</v>
      </c>
      <c r="AZ33" s="10"/>
      <c r="BA33" s="10">
        <v>0.8</v>
      </c>
      <c r="BE33" s="10"/>
      <c r="BF33" s="10">
        <v>0.8</v>
      </c>
      <c r="BG33" s="10"/>
      <c r="BH33" s="10">
        <v>0.8</v>
      </c>
      <c r="BL33" s="10"/>
      <c r="BM33" s="10">
        <v>0.8</v>
      </c>
      <c r="BN33" s="10"/>
      <c r="BO33" s="10">
        <v>0.8</v>
      </c>
      <c r="BS33" s="10"/>
      <c r="BT33" s="10">
        <v>0.8</v>
      </c>
      <c r="BU33" s="10"/>
      <c r="BV33" s="10">
        <v>0.8</v>
      </c>
      <c r="BZ33" s="10"/>
      <c r="CA33" s="10">
        <v>0.8</v>
      </c>
      <c r="CB33" s="10"/>
      <c r="CC33" s="10">
        <v>0.8</v>
      </c>
      <c r="CG33" s="10"/>
      <c r="CH33" s="19">
        <v>0.8</v>
      </c>
      <c r="CI33" s="10"/>
      <c r="CJ33" s="19">
        <v>0.8</v>
      </c>
      <c r="CN33" s="10"/>
      <c r="CO33" s="19">
        <v>0.8</v>
      </c>
      <c r="CP33" s="10"/>
      <c r="CQ33" s="19">
        <v>0.8</v>
      </c>
      <c r="CU33" s="10"/>
      <c r="CV33" s="10">
        <v>1</v>
      </c>
      <c r="CW33" s="10"/>
      <c r="CX33" s="10">
        <v>1</v>
      </c>
      <c r="DB33" s="10"/>
      <c r="DC33" s="10">
        <v>1</v>
      </c>
      <c r="DD33" s="10"/>
      <c r="DE33" s="10">
        <v>1</v>
      </c>
      <c r="DI33" s="10"/>
      <c r="DJ33" s="10">
        <v>1</v>
      </c>
      <c r="DK33" s="10"/>
      <c r="DL33" s="10">
        <v>1</v>
      </c>
      <c r="DP33" s="10"/>
      <c r="DQ33" s="10">
        <v>1</v>
      </c>
      <c r="DR33" s="10"/>
      <c r="DS33" s="10">
        <v>1</v>
      </c>
      <c r="DW33" s="10"/>
      <c r="DX33" s="10"/>
      <c r="DY33" s="10"/>
      <c r="DZ33" s="10"/>
      <c r="ED33" s="10"/>
      <c r="EE33" s="10"/>
      <c r="EF33" s="10"/>
      <c r="EG33" s="10"/>
      <c r="EK33" s="10"/>
      <c r="EL33" s="10"/>
      <c r="EM33" s="10"/>
      <c r="EN33" s="10"/>
      <c r="ER33" s="10"/>
      <c r="ES33" s="10"/>
      <c r="ET33" s="10"/>
      <c r="EU33" s="10"/>
      <c r="EV33" s="20" t="s">
        <v>112</v>
      </c>
    </row>
    <row r="34" spans="2:152" outlineLevel="1" x14ac:dyDescent="0.2">
      <c r="B34" t="s">
        <v>28</v>
      </c>
      <c r="C34" t="s">
        <v>49</v>
      </c>
      <c r="E34" s="9"/>
      <c r="F34" t="s">
        <v>90</v>
      </c>
      <c r="G34" s="10">
        <v>0.15</v>
      </c>
      <c r="I34" s="9">
        <f t="shared" si="2"/>
        <v>0</v>
      </c>
      <c r="J34" s="11" cm="1">
        <f t="array" ref="J34">MAX(IF($N$3:$EA$3=$J$3,N34:EA34))</f>
        <v>0</v>
      </c>
      <c r="K34" s="11" cm="1">
        <f t="array" ref="K34">MAX(IF($N$3:$EA$3=$J$3,N34:EA34))</f>
        <v>0</v>
      </c>
      <c r="L34" s="9"/>
      <c r="O34" s="10"/>
      <c r="P34" s="10"/>
      <c r="Q34" s="10"/>
      <c r="R34" s="10"/>
      <c r="V34" s="10"/>
      <c r="W34" s="10"/>
      <c r="X34" s="10"/>
      <c r="Y34" s="10"/>
      <c r="AC34" s="10"/>
      <c r="AD34" s="10">
        <v>0.5</v>
      </c>
      <c r="AE34" s="10"/>
      <c r="AF34" s="10">
        <v>0.5</v>
      </c>
      <c r="AJ34" s="10"/>
      <c r="AK34" s="10">
        <v>0.5</v>
      </c>
      <c r="AL34" s="10"/>
      <c r="AM34" s="10">
        <v>0.5</v>
      </c>
      <c r="AQ34" s="10"/>
      <c r="AR34" s="10">
        <v>0.5</v>
      </c>
      <c r="AS34" s="10"/>
      <c r="AT34" s="10">
        <v>0.5</v>
      </c>
      <c r="AX34" s="10"/>
      <c r="AY34" s="10">
        <v>0.5</v>
      </c>
      <c r="AZ34" s="10"/>
      <c r="BA34" s="10">
        <v>0.5</v>
      </c>
      <c r="BE34" s="10"/>
      <c r="BF34" s="10">
        <v>0.5</v>
      </c>
      <c r="BG34" s="10"/>
      <c r="BH34" s="10">
        <v>0.5</v>
      </c>
      <c r="BL34" s="10"/>
      <c r="BM34" s="10">
        <v>0.8</v>
      </c>
      <c r="BN34" s="10"/>
      <c r="BO34" s="10">
        <v>0.8</v>
      </c>
      <c r="BS34" s="10"/>
      <c r="BT34" s="10">
        <v>0.8</v>
      </c>
      <c r="BU34" s="10"/>
      <c r="BV34" s="10">
        <v>0.8</v>
      </c>
      <c r="BZ34" s="10"/>
      <c r="CA34" s="10">
        <v>0.8</v>
      </c>
      <c r="CB34" s="10"/>
      <c r="CC34" s="10">
        <v>0.8</v>
      </c>
      <c r="CG34" s="10"/>
      <c r="CH34" s="19">
        <v>0.8</v>
      </c>
      <c r="CI34" s="10"/>
      <c r="CJ34" s="19">
        <v>0.8</v>
      </c>
      <c r="CN34" s="10"/>
      <c r="CO34" s="19">
        <v>0.8</v>
      </c>
      <c r="CP34" s="10"/>
      <c r="CQ34" s="19">
        <v>0.8</v>
      </c>
      <c r="CU34" s="10"/>
      <c r="CV34" s="10">
        <v>0.8</v>
      </c>
      <c r="CW34" s="10"/>
      <c r="CX34" s="10">
        <v>0.8</v>
      </c>
      <c r="DB34" s="10"/>
      <c r="DC34" s="10">
        <v>1</v>
      </c>
      <c r="DD34" s="10"/>
      <c r="DE34" s="10">
        <v>1</v>
      </c>
      <c r="DI34" s="10"/>
      <c r="DJ34" s="10">
        <v>1</v>
      </c>
      <c r="DK34" s="10"/>
      <c r="DL34" s="10">
        <v>1</v>
      </c>
      <c r="DP34" s="10"/>
      <c r="DQ34" s="10">
        <v>1</v>
      </c>
      <c r="DR34" s="10"/>
      <c r="DS34" s="10">
        <v>1</v>
      </c>
      <c r="DW34" s="10"/>
      <c r="DX34" s="10"/>
      <c r="DY34" s="10"/>
      <c r="DZ34" s="10"/>
      <c r="ED34" s="10"/>
      <c r="EE34" s="10"/>
      <c r="EF34" s="10"/>
      <c r="EG34" s="10"/>
      <c r="EK34" s="10"/>
      <c r="EL34" s="10"/>
      <c r="EM34" s="10"/>
      <c r="EN34" s="10"/>
      <c r="ER34" s="10"/>
      <c r="ES34" s="10"/>
      <c r="ET34" s="10"/>
      <c r="EU34" s="10"/>
      <c r="EV34" s="20" t="s">
        <v>112</v>
      </c>
    </row>
    <row r="35" spans="2:152" outlineLevel="1" x14ac:dyDescent="0.2">
      <c r="B35" t="s">
        <v>28</v>
      </c>
      <c r="C35" t="s">
        <v>49</v>
      </c>
      <c r="E35" s="9"/>
      <c r="F35" t="s">
        <v>91</v>
      </c>
      <c r="G35" s="10">
        <v>0.15</v>
      </c>
      <c r="I35" s="9">
        <f t="shared" si="2"/>
        <v>0</v>
      </c>
      <c r="J35" s="11" cm="1">
        <f t="array" ref="J35">MAX(IF($N$3:$EA$3=$J$3,N35:EA35))</f>
        <v>0</v>
      </c>
      <c r="K35" s="11" cm="1">
        <f t="array" ref="K35">MAX(IF($N$3:$EA$3=$J$3,N35:EA35))</f>
        <v>0</v>
      </c>
      <c r="L35" s="9"/>
      <c r="O35" s="10"/>
      <c r="P35" s="10"/>
      <c r="Q35" s="10"/>
      <c r="R35" s="10"/>
      <c r="V35" s="10"/>
      <c r="W35" s="10"/>
      <c r="X35" s="10"/>
      <c r="Y35" s="10"/>
      <c r="AC35" s="10"/>
      <c r="AD35" s="10"/>
      <c r="AE35" s="10"/>
      <c r="AF35" s="10"/>
      <c r="AJ35" s="10"/>
      <c r="AK35" s="10">
        <v>0.5</v>
      </c>
      <c r="AL35" s="10"/>
      <c r="AM35" s="10">
        <v>0.5</v>
      </c>
      <c r="AQ35" s="10"/>
      <c r="AR35" s="10">
        <v>0.5</v>
      </c>
      <c r="AS35" s="10"/>
      <c r="AT35" s="10">
        <v>0.5</v>
      </c>
      <c r="AX35" s="10"/>
      <c r="AY35" s="10">
        <v>0.5</v>
      </c>
      <c r="AZ35" s="10"/>
      <c r="BA35" s="10">
        <v>0.5</v>
      </c>
      <c r="BE35" s="10"/>
      <c r="BF35" s="10">
        <v>0.5</v>
      </c>
      <c r="BG35" s="10"/>
      <c r="BH35" s="10">
        <v>0.5</v>
      </c>
      <c r="BL35" s="10"/>
      <c r="BM35" s="10">
        <v>0.5</v>
      </c>
      <c r="BN35" s="10"/>
      <c r="BO35" s="10">
        <v>0.5</v>
      </c>
      <c r="BS35" s="10"/>
      <c r="BT35" s="10">
        <v>0.8</v>
      </c>
      <c r="BU35" s="10"/>
      <c r="BV35" s="10">
        <v>0.8</v>
      </c>
      <c r="BZ35" s="10"/>
      <c r="CA35" s="10">
        <v>0.8</v>
      </c>
      <c r="CB35" s="10"/>
      <c r="CC35" s="10">
        <v>0.8</v>
      </c>
      <c r="CG35" s="10"/>
      <c r="CH35" s="19">
        <v>0.8</v>
      </c>
      <c r="CI35" s="10"/>
      <c r="CJ35" s="19">
        <v>0.8</v>
      </c>
      <c r="CN35" s="10"/>
      <c r="CO35" s="19">
        <v>0.8</v>
      </c>
      <c r="CP35" s="10"/>
      <c r="CQ35" s="19">
        <v>0.8</v>
      </c>
      <c r="CU35" s="10"/>
      <c r="CV35" s="10">
        <v>0.8</v>
      </c>
      <c r="CW35" s="10"/>
      <c r="CX35" s="10">
        <v>0.8</v>
      </c>
      <c r="DB35" s="10"/>
      <c r="DC35" s="10">
        <v>0.8</v>
      </c>
      <c r="DD35" s="10"/>
      <c r="DE35" s="10">
        <v>0.8</v>
      </c>
      <c r="DI35" s="10"/>
      <c r="DJ35" s="10">
        <v>1</v>
      </c>
      <c r="DK35" s="10"/>
      <c r="DL35" s="10">
        <v>1</v>
      </c>
      <c r="DP35" s="10"/>
      <c r="DQ35" s="10">
        <v>1</v>
      </c>
      <c r="DR35" s="10"/>
      <c r="DS35" s="10">
        <v>1</v>
      </c>
      <c r="DW35" s="10"/>
      <c r="DX35" s="10"/>
      <c r="DY35" s="10"/>
      <c r="DZ35" s="10"/>
      <c r="ED35" s="10"/>
      <c r="EE35" s="10"/>
      <c r="EF35" s="10"/>
      <c r="EG35" s="10"/>
      <c r="EK35" s="10"/>
      <c r="EL35" s="10"/>
      <c r="EM35" s="10"/>
      <c r="EN35" s="10"/>
      <c r="ER35" s="10"/>
      <c r="ES35" s="10"/>
      <c r="ET35" s="10"/>
      <c r="EU35" s="10"/>
      <c r="EV35" s="20" t="s">
        <v>112</v>
      </c>
    </row>
    <row r="36" spans="2:152" outlineLevel="1" x14ac:dyDescent="0.2">
      <c r="B36" t="s">
        <v>28</v>
      </c>
      <c r="C36" t="s">
        <v>49</v>
      </c>
      <c r="E36" s="9"/>
      <c r="F36" t="s">
        <v>92</v>
      </c>
      <c r="G36" s="10">
        <v>0.15</v>
      </c>
      <c r="I36" s="9">
        <f t="shared" si="2"/>
        <v>0</v>
      </c>
      <c r="J36" s="11" cm="1">
        <f t="array" ref="J36">MAX(IF($N$3:$EA$3=$J$3,N36:EA36))</f>
        <v>0</v>
      </c>
      <c r="K36" s="11" cm="1">
        <f t="array" ref="K36">MAX(IF($N$3:$EA$3=$J$3,N36:EA36))</f>
        <v>0</v>
      </c>
      <c r="L36" s="9"/>
      <c r="O36" s="10"/>
      <c r="P36" s="10"/>
      <c r="Q36" s="10"/>
      <c r="R36" s="10"/>
      <c r="V36" s="10"/>
      <c r="W36" s="10"/>
      <c r="X36" s="10"/>
      <c r="Y36" s="10"/>
      <c r="AC36" s="10"/>
      <c r="AD36" s="10"/>
      <c r="AE36" s="10"/>
      <c r="AF36" s="10"/>
      <c r="AJ36" s="10"/>
      <c r="AK36" s="10"/>
      <c r="AL36" s="10"/>
      <c r="AM36" s="10"/>
      <c r="AQ36" s="10"/>
      <c r="AR36" s="10">
        <v>0.5</v>
      </c>
      <c r="AS36" s="10"/>
      <c r="AT36" s="10">
        <v>0.5</v>
      </c>
      <c r="AX36" s="10"/>
      <c r="AY36" s="10">
        <v>0.5</v>
      </c>
      <c r="AZ36" s="10"/>
      <c r="BA36" s="10">
        <v>0.5</v>
      </c>
      <c r="BE36" s="10"/>
      <c r="BF36" s="10">
        <v>0.5</v>
      </c>
      <c r="BG36" s="10"/>
      <c r="BH36" s="10">
        <v>0.5</v>
      </c>
      <c r="BL36" s="10"/>
      <c r="BM36" s="10">
        <v>0.5</v>
      </c>
      <c r="BN36" s="10"/>
      <c r="BO36" s="10">
        <v>0.5</v>
      </c>
      <c r="BS36" s="10"/>
      <c r="BT36" s="10">
        <v>0.5</v>
      </c>
      <c r="BU36" s="10"/>
      <c r="BV36" s="10">
        <v>0.5</v>
      </c>
      <c r="BZ36" s="10"/>
      <c r="CA36" s="10">
        <v>0.8</v>
      </c>
      <c r="CB36" s="10"/>
      <c r="CC36" s="10">
        <v>0.8</v>
      </c>
      <c r="CG36" s="10"/>
      <c r="CH36" s="19">
        <v>0.8</v>
      </c>
      <c r="CI36" s="10"/>
      <c r="CJ36" s="19">
        <v>0.8</v>
      </c>
      <c r="CN36" s="10"/>
      <c r="CO36" s="19">
        <v>0.8</v>
      </c>
      <c r="CP36" s="10"/>
      <c r="CQ36" s="19">
        <v>0.8</v>
      </c>
      <c r="CU36" s="10"/>
      <c r="CV36" s="10">
        <v>0.8</v>
      </c>
      <c r="CW36" s="10"/>
      <c r="CX36" s="10">
        <v>0.8</v>
      </c>
      <c r="DB36" s="10"/>
      <c r="DC36" s="10">
        <v>0.8</v>
      </c>
      <c r="DD36" s="10"/>
      <c r="DE36" s="10">
        <v>0.8</v>
      </c>
      <c r="DI36" s="10"/>
      <c r="DJ36" s="10">
        <v>1</v>
      </c>
      <c r="DK36" s="10"/>
      <c r="DL36" s="10">
        <v>1</v>
      </c>
      <c r="DP36" s="10"/>
      <c r="DQ36" s="10">
        <v>1</v>
      </c>
      <c r="DR36" s="10"/>
      <c r="DS36" s="10">
        <v>1</v>
      </c>
      <c r="DW36" s="10"/>
      <c r="DX36" s="10"/>
      <c r="DY36" s="10"/>
      <c r="DZ36" s="10"/>
      <c r="ED36" s="10"/>
      <c r="EE36" s="10"/>
      <c r="EF36" s="10"/>
      <c r="EG36" s="10"/>
      <c r="EK36" s="10"/>
      <c r="EL36" s="10"/>
      <c r="EM36" s="10"/>
      <c r="EN36" s="10"/>
      <c r="ER36" s="10"/>
      <c r="ES36" s="10"/>
      <c r="ET36" s="10"/>
      <c r="EU36" s="10"/>
      <c r="EV36" s="20" t="s">
        <v>112</v>
      </c>
    </row>
    <row r="37" spans="2:152" outlineLevel="1" x14ac:dyDescent="0.2">
      <c r="B37" t="s">
        <v>28</v>
      </c>
      <c r="C37" t="s">
        <v>49</v>
      </c>
      <c r="E37" s="9"/>
      <c r="F37" t="s">
        <v>93</v>
      </c>
      <c r="G37" s="10">
        <v>0.2</v>
      </c>
      <c r="I37" s="9">
        <f t="shared" si="2"/>
        <v>0</v>
      </c>
      <c r="J37" s="11" cm="1">
        <f t="array" ref="J37">MAX(IF($N$3:$EA$3=$J$3,N37:EA37))</f>
        <v>0</v>
      </c>
      <c r="K37" s="11" cm="1">
        <f t="array" ref="K37">MAX(IF($N$3:$EA$3=$J$3,N37:EA37))</f>
        <v>0</v>
      </c>
      <c r="L37" s="9"/>
      <c r="O37" s="10"/>
      <c r="P37" s="10"/>
      <c r="Q37" s="10"/>
      <c r="R37" s="10"/>
      <c r="V37" s="10"/>
      <c r="W37" s="10"/>
      <c r="X37" s="10"/>
      <c r="Y37" s="10"/>
      <c r="AC37" s="10"/>
      <c r="AD37" s="10"/>
      <c r="AE37" s="10"/>
      <c r="AF37" s="10"/>
      <c r="AJ37" s="10"/>
      <c r="AK37" s="10"/>
      <c r="AL37" s="10"/>
      <c r="AM37" s="10"/>
      <c r="AQ37" s="10"/>
      <c r="AR37" s="10"/>
      <c r="AX37" s="10"/>
      <c r="AY37" s="10">
        <v>0.5</v>
      </c>
      <c r="AZ37" s="10"/>
      <c r="BA37" s="10">
        <v>0.5</v>
      </c>
      <c r="BE37" s="10"/>
      <c r="BF37" s="10">
        <v>0.5</v>
      </c>
      <c r="BG37" s="10"/>
      <c r="BH37" s="10">
        <v>0.5</v>
      </c>
      <c r="BL37" s="10"/>
      <c r="BM37" s="10">
        <v>0.5</v>
      </c>
      <c r="BN37" s="10"/>
      <c r="BO37" s="10">
        <v>0.5</v>
      </c>
      <c r="BS37" s="10"/>
      <c r="BT37" s="10">
        <v>0.5</v>
      </c>
      <c r="BU37" s="10"/>
      <c r="BV37" s="10">
        <v>0.5</v>
      </c>
      <c r="BZ37" s="10"/>
      <c r="CA37" s="10">
        <v>0.5</v>
      </c>
      <c r="CB37" s="10"/>
      <c r="CC37" s="10">
        <v>0.5</v>
      </c>
      <c r="CG37" s="10"/>
      <c r="CH37" s="19">
        <v>0.8</v>
      </c>
      <c r="CI37" s="10"/>
      <c r="CJ37" s="10">
        <v>0.8</v>
      </c>
      <c r="CN37" s="10"/>
      <c r="CO37" s="10">
        <v>0.8</v>
      </c>
      <c r="CP37" s="10"/>
      <c r="CQ37" s="10">
        <v>0.8</v>
      </c>
      <c r="CU37" s="10"/>
      <c r="CV37" s="10">
        <v>0.8</v>
      </c>
      <c r="CW37" s="10"/>
      <c r="CX37" s="10">
        <v>0.8</v>
      </c>
      <c r="DB37" s="10"/>
      <c r="DC37" s="10">
        <v>0.8</v>
      </c>
      <c r="DD37" s="10"/>
      <c r="DE37" s="10">
        <v>0.8</v>
      </c>
      <c r="DI37" s="10"/>
      <c r="DJ37" s="10">
        <v>0.8</v>
      </c>
      <c r="DK37" s="10"/>
      <c r="DL37" s="10">
        <v>0.8</v>
      </c>
      <c r="DP37" s="10"/>
      <c r="DQ37" s="10">
        <v>1</v>
      </c>
      <c r="DR37" s="10"/>
      <c r="DS37" s="10">
        <v>1</v>
      </c>
      <c r="DW37" s="10"/>
      <c r="DX37" s="10"/>
      <c r="DY37" s="10"/>
      <c r="DZ37" s="10"/>
      <c r="ED37" s="10"/>
      <c r="EE37" s="10"/>
      <c r="EF37" s="10"/>
      <c r="EG37" s="10"/>
      <c r="EK37" s="10"/>
      <c r="EL37" s="10"/>
      <c r="EM37" s="10"/>
      <c r="EN37" s="10"/>
      <c r="ER37" s="10"/>
      <c r="ES37" s="10"/>
      <c r="ET37" s="10"/>
      <c r="EU37" s="10"/>
      <c r="EV37" s="20" t="s">
        <v>112</v>
      </c>
    </row>
    <row r="38" spans="2:152" outlineLevel="1" x14ac:dyDescent="0.2">
      <c r="B38" t="s">
        <v>28</v>
      </c>
      <c r="C38" t="s">
        <v>49</v>
      </c>
      <c r="E38" s="9"/>
      <c r="F38" t="s">
        <v>94</v>
      </c>
      <c r="G38" s="10">
        <v>0.2</v>
      </c>
      <c r="I38" s="9">
        <f t="shared" si="2"/>
        <v>0</v>
      </c>
      <c r="J38" s="11" cm="1">
        <f t="array" ref="J38">MAX(IF($N$3:$EA$3=$J$3,N38:EA38))</f>
        <v>0</v>
      </c>
      <c r="K38" s="11" cm="1">
        <f t="array" ref="K38">MAX(IF($N$3:$EA$3=$J$3,N38:EA38))</f>
        <v>0</v>
      </c>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E38" s="10"/>
      <c r="BF38" s="10">
        <v>0.5</v>
      </c>
      <c r="BG38" s="10"/>
      <c r="BH38" s="10">
        <v>0.5</v>
      </c>
      <c r="BL38" s="10"/>
      <c r="BM38" s="10">
        <v>0.5</v>
      </c>
      <c r="BN38" s="10"/>
      <c r="BO38" s="10">
        <v>0.5</v>
      </c>
      <c r="BS38" s="10"/>
      <c r="BT38" s="10">
        <v>0.5</v>
      </c>
      <c r="BU38" s="10"/>
      <c r="BV38" s="10">
        <v>0.5</v>
      </c>
      <c r="BZ38" s="10"/>
      <c r="CA38" s="10">
        <v>0.5</v>
      </c>
      <c r="CB38" s="10"/>
      <c r="CC38" s="10">
        <v>0.5</v>
      </c>
      <c r="CG38" s="10"/>
      <c r="CH38" s="10">
        <v>0.5</v>
      </c>
      <c r="CI38" s="10"/>
      <c r="CJ38" s="10">
        <v>0.5</v>
      </c>
      <c r="CN38" s="10"/>
      <c r="CO38" s="10">
        <v>0.8</v>
      </c>
      <c r="CP38" s="10"/>
      <c r="CQ38" s="10">
        <v>0.8</v>
      </c>
      <c r="CU38" s="10"/>
      <c r="CV38" s="10">
        <v>0.8</v>
      </c>
      <c r="CW38" s="10"/>
      <c r="CX38" s="10">
        <v>0.8</v>
      </c>
      <c r="DB38" s="10"/>
      <c r="DC38" s="10">
        <v>0.8</v>
      </c>
      <c r="DD38" s="10"/>
      <c r="DE38" s="10">
        <v>0.8</v>
      </c>
      <c r="DI38" s="10"/>
      <c r="DJ38" s="10">
        <v>0.8</v>
      </c>
      <c r="DK38" s="10"/>
      <c r="DL38" s="10">
        <v>0.8</v>
      </c>
      <c r="DP38" s="10"/>
      <c r="DQ38" s="10">
        <v>1</v>
      </c>
      <c r="DR38" s="10"/>
      <c r="DS38" s="10">
        <v>1</v>
      </c>
      <c r="DW38" s="10"/>
      <c r="DX38" s="10"/>
      <c r="DY38" s="10"/>
      <c r="DZ38" s="10"/>
      <c r="ED38" s="10"/>
      <c r="EE38" s="10"/>
      <c r="EF38" s="10"/>
      <c r="EG38" s="10"/>
      <c r="EK38" s="10"/>
      <c r="EL38" s="10"/>
      <c r="EM38" s="10"/>
      <c r="EN38" s="10"/>
      <c r="ER38" s="10"/>
      <c r="ES38" s="10"/>
      <c r="ET38" s="10"/>
      <c r="EU38" s="10"/>
      <c r="EV38" s="20" t="s">
        <v>112</v>
      </c>
    </row>
  </sheetData>
  <mergeCells count="21">
    <mergeCell ref="EQ2:EV2"/>
    <mergeCell ref="I2:L2"/>
    <mergeCell ref="N2:S2"/>
    <mergeCell ref="BD2:BI2"/>
    <mergeCell ref="U2:Z2"/>
    <mergeCell ref="AB2:AG2"/>
    <mergeCell ref="AI2:AN2"/>
    <mergeCell ref="AP2:AU2"/>
    <mergeCell ref="AW2:BB2"/>
    <mergeCell ref="BK2:BP2"/>
    <mergeCell ref="BR2:BW2"/>
    <mergeCell ref="BY2:CD2"/>
    <mergeCell ref="CF2:CK2"/>
    <mergeCell ref="CM2:CR2"/>
    <mergeCell ref="DV2:EA2"/>
    <mergeCell ref="EC2:EH2"/>
    <mergeCell ref="EJ2:EO2"/>
    <mergeCell ref="CT2:CY2"/>
    <mergeCell ref="DA2:DF2"/>
    <mergeCell ref="DH2:DM2"/>
    <mergeCell ref="DO2:DT2"/>
  </mergeCells>
  <conditionalFormatting sqref="O11:O15 Q11:Q15 O18:O21 Q18:Q21 AQ18:AQ21 AS18:AS21 BE18:BE21 BG18:BG21 V18:V21 X18:X21 AC18:AC21 AE18:AE21 AJ18:AJ21 AL18:AL21 AX18:AX21 AZ18:AZ21 BL18:BL21 BN18:BN21 BS18:BS21 BU18:BU21 BZ18:BZ21 CB18:CB21 CG18:CG21 CI18:CI21 CN18:CN21 CP18:CP21 CU18:CU21 CW18:CW21 DB18:DB21 DD18:DD21 DI18:DI21 DK18:DK21 DP18:DP21 DR18:DR21 DW18:DW21 DY18:DY21 ED18:ED21 EF18:EF21 EK18:EK21 EM18:EM21 O33:O38 Q33:Q38 AQ33:AQ38 BE33:BE38 BG33:BG38 V33:V38 X33:X38 AC33:AC38 AE33:AE38 AJ33:AJ38 AL33:AL38 AX33:AX38 AZ33:AZ38 BL33:BL38 BN33:BN38 BS33:BS38 BU33:BU38 BZ33:BZ38 CB33:CB38 CG33:CG38 CI33:CI38 CN33:CN38 CP33:CP38 CU33:CU38 CW33:CW38 DB33:DB38 DD33:DD38 DI33:DI38 DK33:DK38 DP33:DP38 DR33:DR38 DW33:DW38 DY33:DY38 ED33:ED38 EF33:EF38 EK33:EK38 EM33:EM38 O24:O30 Q24:Q30 AQ24:AQ30 BE24:BE30 BG24:BG30 V24:V30 X24:X30 AC24:AC30 AE24:AE30 AJ24:AJ30 AL24:AL30 AX24:AX30 AZ24:AZ30 BL24:BL30 BN24:BN30 BS24:BS30 BU24:BU30 BZ24:BZ30 CB24:CB30 CG24:CG30 CI24:CI30 CN24:CN30 CP24:CP30 CW24:CW30 DB24:DB30 DD24:DD30 DI24:DI30 DK24:DK30 DP24:DP30 DR24:DR30 DW24:DW30 DY24:DY30 ED24:ED30 EF24:EF30 EK24:EK30 EM24:EM30 CU25:CU30 O5:O9 Q5:Q9 AQ5:AQ9 AS5:AS9 BE5:BE9 BG5:BG9 V5:V9 X5:X9 AC5:AC9 AE5:AE9 AJ5:AJ9 AL5:AL9 AX5:AX9 AZ5:AZ9 BL5:BL9 BN5:BN9 BS5:BS9 BU5:BU9 BZ5:BZ9 CB5:CB9 CG5:CG9 CI5:CI9 CN5:CN9 CP5:CP9 CU5:CU9 CW5:CW9 DB5:DB9 DD5:DD9 DI5:DI9 DK5:DK9 DP5:DP9 DR5:DR9 DW5:DW9 DY5:DY9 ED5:ED9 EF5:EF9 EK5:EK9 EM5:EM9 ER5:ER9 ET5:ET9 AS33:AS35 AS38 AS29:AS30 AS24:AS27">
    <cfRule type="expression" dxfId="64" priority="691">
      <formula>OR(IF(O5&lt;P5,TRUE),IF(AND(P5="",O5&lt;&gt;""),TRUE))</formula>
    </cfRule>
    <cfRule type="expression" dxfId="63" priority="692">
      <formula>IF(O5&gt;=P5,IF(O5="",FALSE,TRUE))</formula>
    </cfRule>
  </conditionalFormatting>
  <conditionalFormatting sqref="AQ11:AQ15 AS11:AS15">
    <cfRule type="expression" dxfId="62" priority="558">
      <formula>OR(IF(AQ11&lt;AR11,TRUE),IF(AND(AR11="",AQ11&lt;&gt;""),TRUE))</formula>
    </cfRule>
    <cfRule type="expression" dxfId="61" priority="559">
      <formula>IF(AQ11&gt;=AR11,IF(AQ11="",FALSE,TRUE))</formula>
    </cfRule>
  </conditionalFormatting>
  <conditionalFormatting sqref="BE11:BE15 BG11:BG15">
    <cfRule type="expression" dxfId="60" priority="526">
      <formula>OR(IF(BE11&lt;BF11,TRUE),IF(AND(BF11="",BE11&lt;&gt;""),TRUE))</formula>
    </cfRule>
    <cfRule type="expression" dxfId="59" priority="527">
      <formula>IF(BE11&gt;=BF11,IF(BE11="",FALSE,TRUE))</formula>
    </cfRule>
  </conditionalFormatting>
  <conditionalFormatting sqref="V11:V15 X11:X15">
    <cfRule type="expression" dxfId="58" priority="606">
      <formula>OR(IF(V11&lt;W11,TRUE),IF(AND(W11="",V11&lt;&gt;""),TRUE))</formula>
    </cfRule>
    <cfRule type="expression" dxfId="57" priority="607">
      <formula>IF(V11&gt;=W11,IF(V11="",FALSE,TRUE))</formula>
    </cfRule>
  </conditionalFormatting>
  <conditionalFormatting sqref="AC11:AC15 AE11:AE15">
    <cfRule type="expression" dxfId="56" priority="590">
      <formula>OR(IF(AC11&lt;AD11,TRUE),IF(AND(AD11="",AC11&lt;&gt;""),TRUE))</formula>
    </cfRule>
    <cfRule type="expression" dxfId="55" priority="591">
      <formula>IF(AC11&gt;=AD11,IF(AC11="",FALSE,TRUE))</formula>
    </cfRule>
  </conditionalFormatting>
  <conditionalFormatting sqref="AJ11:AJ15 AL11:AL15">
    <cfRule type="expression" dxfId="54" priority="574">
      <formula>OR(IF(AJ11&lt;AK11,TRUE),IF(AND(AK11="",AJ11&lt;&gt;""),TRUE))</formula>
    </cfRule>
    <cfRule type="expression" dxfId="53" priority="575">
      <formula>IF(AJ11&gt;=AK11,IF(AJ11="",FALSE,TRUE))</formula>
    </cfRule>
  </conditionalFormatting>
  <conditionalFormatting sqref="AX11:AX15 AZ11:AZ15">
    <cfRule type="expression" dxfId="52" priority="542">
      <formula>OR(IF(AX11&lt;AY11,TRUE),IF(AND(AY11="",AX11&lt;&gt;""),TRUE))</formula>
    </cfRule>
    <cfRule type="expression" dxfId="51" priority="543">
      <formula>IF(AX11&gt;=AY11,IF(AX11="",FALSE,TRUE))</formula>
    </cfRule>
  </conditionalFormatting>
  <conditionalFormatting sqref="BL11:BL15 BN11:BN15">
    <cfRule type="expression" dxfId="50" priority="440">
      <formula>OR(IF(BL11&lt;BM11,TRUE),IF(AND(BM11="",BL11&lt;&gt;""),TRUE))</formula>
    </cfRule>
    <cfRule type="expression" dxfId="49" priority="441">
      <formula>IF(BL11&gt;=BM11,IF(BL11="",FALSE,TRUE))</formula>
    </cfRule>
  </conditionalFormatting>
  <conditionalFormatting sqref="BS11:BS15 BU11:BU15">
    <cfRule type="expression" dxfId="48" priority="416">
      <formula>OR(IF(BS11&lt;BT11,TRUE),IF(AND(BT11="",BS11&lt;&gt;""),TRUE))</formula>
    </cfRule>
    <cfRule type="expression" dxfId="47" priority="417">
      <formula>IF(BS11&gt;=BT11,IF(BS11="",FALSE,TRUE))</formula>
    </cfRule>
  </conditionalFormatting>
  <conditionalFormatting sqref="BZ11:BZ15 CB11:CB15">
    <cfRule type="expression" dxfId="46" priority="392">
      <formula>OR(IF(BZ11&lt;CA11,TRUE),IF(AND(CA11="",BZ11&lt;&gt;""),TRUE))</formula>
    </cfRule>
    <cfRule type="expression" dxfId="45" priority="393">
      <formula>IF(BZ11&gt;=CA11,IF(BZ11="",FALSE,TRUE))</formula>
    </cfRule>
  </conditionalFormatting>
  <conditionalFormatting sqref="CG11:CG15 CI11:CI15">
    <cfRule type="expression" dxfId="44" priority="368">
      <formula>OR(IF(CG11&lt;CH11,TRUE),IF(AND(CH11="",CG11&lt;&gt;""),TRUE))</formula>
    </cfRule>
    <cfRule type="expression" dxfId="43" priority="369">
      <formula>IF(CG11&gt;=CH11,IF(CG11="",FALSE,TRUE))</formula>
    </cfRule>
  </conditionalFormatting>
  <conditionalFormatting sqref="CN11:CN15 CP11:CP15">
    <cfRule type="expression" dxfId="42" priority="344">
      <formula>OR(IF(CN11&lt;CO11,TRUE),IF(AND(CO11="",CN11&lt;&gt;""),TRUE))</formula>
    </cfRule>
    <cfRule type="expression" dxfId="41" priority="345">
      <formula>IF(CN11&gt;=CO11,IF(CN11="",FALSE,TRUE))</formula>
    </cfRule>
  </conditionalFormatting>
  <conditionalFormatting sqref="CU11:CU15 CW11:CW15">
    <cfRule type="expression" dxfId="40" priority="320">
      <formula>OR(IF(CU11&lt;CV11,TRUE),IF(AND(CV11="",CU11&lt;&gt;""),TRUE))</formula>
    </cfRule>
    <cfRule type="expression" dxfId="39" priority="321">
      <formula>IF(CU11&gt;=CV11,IF(CU11="",FALSE,TRUE))</formula>
    </cfRule>
  </conditionalFormatting>
  <conditionalFormatting sqref="DB11:DB15 DD11:DD15">
    <cfRule type="expression" dxfId="38" priority="296">
      <formula>OR(IF(DB11&lt;DC11,TRUE),IF(AND(DC11="",DB11&lt;&gt;""),TRUE))</formula>
    </cfRule>
    <cfRule type="expression" dxfId="37" priority="297">
      <formula>IF(DB11&gt;=DC11,IF(DB11="",FALSE,TRUE))</formula>
    </cfRule>
  </conditionalFormatting>
  <conditionalFormatting sqref="DI11:DI15 DK11:DK15">
    <cfRule type="expression" dxfId="36" priority="248">
      <formula>OR(IF(DI11&lt;DJ11,TRUE),IF(AND(DJ11="",DI11&lt;&gt;""),TRUE))</formula>
    </cfRule>
    <cfRule type="expression" dxfId="35" priority="249">
      <formula>IF(DI11&gt;=DJ11,IF(DI11="",FALSE,TRUE))</formula>
    </cfRule>
  </conditionalFormatting>
  <conditionalFormatting sqref="DP11:DP15 DR11:DR15">
    <cfRule type="expression" dxfId="34" priority="224">
      <formula>OR(IF(DP11&lt;DQ11,TRUE),IF(AND(DQ11="",DP11&lt;&gt;""),TRUE))</formula>
    </cfRule>
    <cfRule type="expression" dxfId="33" priority="225">
      <formula>IF(DP11&gt;=DQ11,IF(DP11="",FALSE,TRUE))</formula>
    </cfRule>
  </conditionalFormatting>
  <conditionalFormatting sqref="DW11:DW15 DY11:DY15">
    <cfRule type="expression" dxfId="32" priority="200">
      <formula>OR(IF(DW11&lt;DX11,TRUE),IF(AND(DX11="",DW11&lt;&gt;""),TRUE))</formula>
    </cfRule>
    <cfRule type="expression" dxfId="31" priority="201">
      <formula>IF(DW11&gt;=DX11,IF(DW11="",FALSE,TRUE))</formula>
    </cfRule>
  </conditionalFormatting>
  <conditionalFormatting sqref="ED11:ED15 EF11:EF15">
    <cfRule type="expression" dxfId="30" priority="176">
      <formula>OR(IF(ED11&lt;EE11,TRUE),IF(AND(EE11="",ED11&lt;&gt;""),TRUE))</formula>
    </cfRule>
    <cfRule type="expression" dxfId="29" priority="177">
      <formula>IF(ED11&gt;=EE11,IF(ED11="",FALSE,TRUE))</formula>
    </cfRule>
  </conditionalFormatting>
  <conditionalFormatting sqref="EK11:EK15 EM11:EM15">
    <cfRule type="expression" dxfId="28" priority="152">
      <formula>OR(IF(EK11&lt;EL11,TRUE),IF(AND(EL11="",EK11&lt;&gt;""),TRUE))</formula>
    </cfRule>
    <cfRule type="expression" dxfId="27" priority="153">
      <formula>IF(EK11&gt;=EL11,IF(EK11="",FALSE,TRUE))</formula>
    </cfRule>
  </conditionalFormatting>
  <conditionalFormatting sqref="J12:K15">
    <cfRule type="colorScale" priority="694">
      <colorScale>
        <cfvo type="percent" val="0"/>
        <cfvo type="percent" val="100"/>
        <color rgb="FFFF231B"/>
        <color rgb="FF10FF07"/>
      </colorScale>
    </cfRule>
  </conditionalFormatting>
  <conditionalFormatting sqref="J11:J15">
    <cfRule type="colorScale" priority="695">
      <colorScale>
        <cfvo type="percent" val="0"/>
        <cfvo type="percent" val="100"/>
        <color rgb="FFFF231B"/>
        <color rgb="FF10FF07"/>
      </colorScale>
    </cfRule>
  </conditionalFormatting>
  <conditionalFormatting sqref="K11:K15">
    <cfRule type="colorScale" priority="696">
      <colorScale>
        <cfvo type="percent" val="0"/>
        <cfvo type="percent" val="100"/>
        <color rgb="FFFF231B"/>
        <color rgb="FF10FF07"/>
      </colorScale>
    </cfRule>
  </conditionalFormatting>
  <conditionalFormatting sqref="J25:K30">
    <cfRule type="colorScale" priority="728">
      <colorScale>
        <cfvo type="percent" val="0"/>
        <cfvo type="percent" val="100"/>
        <color rgb="FFFF231B"/>
        <color rgb="FF10FF07"/>
      </colorScale>
    </cfRule>
  </conditionalFormatting>
  <conditionalFormatting sqref="J24:J30">
    <cfRule type="colorScale" priority="757">
      <colorScale>
        <cfvo type="percent" val="0"/>
        <cfvo type="percent" val="100"/>
        <color rgb="FFFF231B"/>
        <color rgb="FF10FF07"/>
      </colorScale>
    </cfRule>
  </conditionalFormatting>
  <conditionalFormatting sqref="K24:K30">
    <cfRule type="colorScale" priority="758">
      <colorScale>
        <cfvo type="percent" val="0"/>
        <cfvo type="percent" val="100"/>
        <color rgb="FFFF231B"/>
        <color rgb="FF10FF07"/>
      </colorScale>
    </cfRule>
  </conditionalFormatting>
  <conditionalFormatting sqref="J19:K21">
    <cfRule type="colorScale" priority="759">
      <colorScale>
        <cfvo type="percent" val="0"/>
        <cfvo type="percent" val="100"/>
        <color rgb="FFFF231B"/>
        <color rgb="FF10FF07"/>
      </colorScale>
    </cfRule>
  </conditionalFormatting>
  <conditionalFormatting sqref="J18:J21">
    <cfRule type="colorScale" priority="788">
      <colorScale>
        <cfvo type="percent" val="0"/>
        <cfvo type="percent" val="100"/>
        <color rgb="FFFF231B"/>
        <color rgb="FF10FF07"/>
      </colorScale>
    </cfRule>
  </conditionalFormatting>
  <conditionalFormatting sqref="K18:K21">
    <cfRule type="colorScale" priority="789">
      <colorScale>
        <cfvo type="percent" val="0"/>
        <cfvo type="percent" val="100"/>
        <color rgb="FFFF231B"/>
        <color rgb="FF10FF07"/>
      </colorScale>
    </cfRule>
  </conditionalFormatting>
  <conditionalFormatting sqref="J34:K38">
    <cfRule type="colorScale" priority="874">
      <colorScale>
        <cfvo type="percent" val="0"/>
        <cfvo type="percent" val="100"/>
        <color rgb="FFFF231B"/>
        <color rgb="FF10FF07"/>
      </colorScale>
    </cfRule>
  </conditionalFormatting>
  <conditionalFormatting sqref="J33:J38">
    <cfRule type="colorScale" priority="875">
      <colorScale>
        <cfvo type="percent" val="0"/>
        <cfvo type="percent" val="100"/>
        <color rgb="FFFF231B"/>
        <color rgb="FF10FF07"/>
      </colorScale>
    </cfRule>
  </conditionalFormatting>
  <conditionalFormatting sqref="K33:K38">
    <cfRule type="colorScale" priority="876">
      <colorScale>
        <cfvo type="percent" val="0"/>
        <cfvo type="percent" val="100"/>
        <color rgb="FFFF231B"/>
        <color rgb="FF10FF07"/>
      </colorScale>
    </cfRule>
  </conditionalFormatting>
  <conditionalFormatting sqref="ER18:ER21 ET18:ET21 ER33:ER38 ET33:ET38 ER24:ER30 ET24:ET30">
    <cfRule type="expression" dxfId="26" priority="10">
      <formula>OR(IF(ER18&lt;ES18,TRUE),IF(AND(ES18="",ER18&lt;&gt;""),TRUE))</formula>
    </cfRule>
    <cfRule type="expression" dxfId="25" priority="11">
      <formula>IF(ER18&gt;=ES18,IF(ER18="",FALSE,TRUE))</formula>
    </cfRule>
  </conditionalFormatting>
  <conditionalFormatting sqref="ER11:ER15 ET11:ET15">
    <cfRule type="expression" dxfId="24" priority="8">
      <formula>OR(IF(ER11&lt;ES11,TRUE),IF(AND(ES11="",ER11&lt;&gt;""),TRUE))</formula>
    </cfRule>
    <cfRule type="expression" dxfId="23" priority="9">
      <formula>IF(ER11&gt;=ES11,IF(ER11="",FALSE,TRUE))</formula>
    </cfRule>
  </conditionalFormatting>
  <conditionalFormatting sqref="J6:K8">
    <cfRule type="colorScale" priority="877">
      <colorScale>
        <cfvo type="percent" val="0"/>
        <cfvo type="percent" val="100"/>
        <color rgb="FFFF231B"/>
        <color rgb="FF10FF07"/>
      </colorScale>
    </cfRule>
  </conditionalFormatting>
  <conditionalFormatting sqref="J5:J9">
    <cfRule type="colorScale" priority="906">
      <colorScale>
        <cfvo type="percent" val="0"/>
        <cfvo type="percent" val="100"/>
        <color rgb="FFFF231B"/>
        <color rgb="FF10FF07"/>
      </colorScale>
    </cfRule>
  </conditionalFormatting>
  <conditionalFormatting sqref="K5:K9">
    <cfRule type="colorScale" priority="907">
      <colorScale>
        <cfvo type="percent" val="0"/>
        <cfvo type="percent" val="100"/>
        <color rgb="FFFF231B"/>
        <color rgb="FF10FF07"/>
      </colorScale>
    </cfRule>
  </conditionalFormatting>
  <conditionalFormatting sqref="CU24">
    <cfRule type="expression" dxfId="22" priority="910">
      <formula>OR(IF(CU24&lt;CV25,TRUE),IF(AND(CV25="",CU24&lt;&gt;""),TRUE))</formula>
    </cfRule>
    <cfRule type="expression" dxfId="21" priority="911">
      <formula>IF(CU24&gt;=CV25,IF(CU24="",FALSE,TRUE))</formula>
    </cfRule>
  </conditionalFormatting>
  <conditionalFormatting sqref="J9:K9">
    <cfRule type="colorScale" priority="1">
      <colorScale>
        <cfvo type="percent" val="0"/>
        <cfvo type="percent" val="100"/>
        <color rgb="FFFF231B"/>
        <color rgb="FF10FF07"/>
      </colorScale>
    </cfRule>
  </conditionalFormatting>
  <conditionalFormatting sqref="AS36">
    <cfRule type="expression" dxfId="20" priority="914">
      <formula>OR(IF(AS36&lt;AT36,TRUE),IF(AND(AT36="",AS36&lt;&gt;""),TRUE))</formula>
    </cfRule>
    <cfRule type="expression" dxfId="19" priority="915">
      <formula>IF(AS36&gt;=AT36,IF(AS36="",FALSE,TRUE))</formula>
    </cfRule>
  </conditionalFormatting>
  <conditionalFormatting sqref="AS28">
    <cfRule type="expression" dxfId="18" priority="918">
      <formula>OR(IF(AS28&lt;AT27,TRUE),IF(AND(AT27="",AS28&lt;&gt;""),TRUE))</formula>
    </cfRule>
    <cfRule type="expression" dxfId="17" priority="919">
      <formula>IF(AS28&gt;=AT27,IF(AS28="",FALSE,TRUE))</formula>
    </cfRule>
  </conditionalFormatting>
  <dataValidations count="1">
    <dataValidation type="list" allowBlank="1" showInputMessage="1" showErrorMessage="1" sqref="O11:R15 O5:R9 V11:Y15 AC5:AF9 AC11:AF15 AJ5:AM9 AX18:BA21 V24:Y30 V5:Y9 BE24:BH30 BE5:BH9 BS5:BV9 O18:R21 V18:Y21 AJ24:AM30 AQ18:AT21 AX11:BA15 BE11:BH15 BS24:BV30 BS11:BV15 BL11:BO15 BE33:BH38 CH38 CA15 CB5:CB9 BZ24:CC30 BZ33:CC38 CI5:CI9 CU33:CX38 CO37:CO38 CO15 O24:R30 CP5:CP9 CU11:CX15 BS33:BV38 DB11:DE15 DI33:DL38 DB18:DE21 DI11:DL15 DP33:DS38 DI18:DL21 DP11:DS15 DS10 DP18:DS21 DW11:DZ15 DW5:DZ9 DW18:DZ21 ED11:EG15 ED5:EG9 ED18:EG21 EK11:EN15 EK5:EN9 EK18:EN21 O33:R38 AJ33:AM38 AJ11:AM15 AQ33:AT35 AT12:AT15 AX33:BA38 BL33:BO38 CA18:CA22 BL18:BO21 BS18:BV21 CH15 CO26:CO30 DB33:DE38 BL5:BO9 DI5:DL9 DP5:DS9 DW33:DZ38 ED33:EG38 EK33:EN38 ER11:EU15 ER5:EU9 ER18:EU21 ER33:EU38 CQ26:CQ30 ER24:EU30 EK24:EN30 ED24:EG30 DW24:DZ30 DP24:DS30 DI24:DL30 CU24:CX30 CC15 AQ24:AT30 DB5:DE9 BL24:BO30 BE18:BH21 AQ5:AT9 CG24:CJ30 AC33:AF38 CQ15 CN11:CN15 CP11:CP15 CN5:CN9 CN18:CQ21 CN24:CN30 AC24:AF30 CP24:CP30 CN33:CN38 CQ37:CQ38 CP33:CP38 CG5:CG9 CJ15 CG11:CG15 CI11:CI15 CJ37:CJ38 CG33:CG38 CI33:CI38 CG18:CG21 AJ18:AM21 CI18:CI21 BZ5:BZ9 CB18:CC21 BZ11:BZ15 CB11:CB15 BZ18:BZ21 CU18:CX21 AQ11:AS15 DB24:DE30 CU5:CX9 AY5:AY6 AS36:AT36 AQ38:AT38 V33:Y38 AX24:BA30 AQ36:AR37 BA5:BA6 BA9 AX5:AX9 AZ5:AZ9 AY9 AC18:AF21"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2" sqref="J2"/>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41</v>
      </c>
      <c r="B1" s="15" t="s">
        <v>38</v>
      </c>
      <c r="C1" s="15" t="s">
        <v>39</v>
      </c>
      <c r="D1" s="15" t="s">
        <v>40</v>
      </c>
      <c r="E1" s="1" t="s">
        <v>42</v>
      </c>
      <c r="F1" s="1" t="s">
        <v>43</v>
      </c>
      <c r="G1" s="1" t="s">
        <v>44</v>
      </c>
      <c r="H1" s="1" t="s">
        <v>45</v>
      </c>
      <c r="I1" s="1" t="s">
        <v>46</v>
      </c>
      <c r="J1" s="1" t="s">
        <v>47</v>
      </c>
      <c r="K1" s="1" t="s">
        <v>48</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opLeftCell="A19" zoomScale="116" workbookViewId="0">
      <selection activeCell="C39" sqref="C39"/>
    </sheetView>
  </sheetViews>
  <sheetFormatPr baseColWidth="10" defaultColWidth="10.6640625" defaultRowHeight="16" x14ac:dyDescent="0.2"/>
  <cols>
    <col min="2" max="2" width="15" customWidth="1"/>
    <col min="3" max="3" width="14.1640625" customWidth="1"/>
    <col min="5" max="5" width="13.33203125" customWidth="1"/>
    <col min="6" max="6" width="14.6640625" customWidth="1"/>
  </cols>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c r="B11" t="s">
        <v>108</v>
      </c>
      <c r="C11" t="s">
        <v>108</v>
      </c>
      <c r="D11" t="s">
        <v>108</v>
      </c>
      <c r="E11" t="s">
        <v>108</v>
      </c>
      <c r="F11" t="s">
        <v>108</v>
      </c>
      <c r="G11" t="s">
        <v>108</v>
      </c>
    </row>
    <row r="12" spans="1:8" x14ac:dyDescent="0.2">
      <c r="A12" s="8">
        <v>0.3125</v>
      </c>
    </row>
    <row r="13" spans="1:8" x14ac:dyDescent="0.2">
      <c r="A13" s="8">
        <v>0.33333333333333331</v>
      </c>
      <c r="B13" s="22" t="s">
        <v>102</v>
      </c>
      <c r="C13" s="22" t="s">
        <v>104</v>
      </c>
      <c r="E13" t="s">
        <v>103</v>
      </c>
    </row>
    <row r="14" spans="1:8" x14ac:dyDescent="0.2">
      <c r="A14" s="8">
        <v>0.35416666666666702</v>
      </c>
      <c r="B14" s="22" t="s">
        <v>102</v>
      </c>
      <c r="C14" s="22" t="s">
        <v>104</v>
      </c>
      <c r="E14" t="s">
        <v>103</v>
      </c>
    </row>
    <row r="15" spans="1:8" x14ac:dyDescent="0.2">
      <c r="A15" s="8">
        <v>0.375</v>
      </c>
      <c r="B15" s="22" t="s">
        <v>102</v>
      </c>
      <c r="C15" s="22" t="s">
        <v>104</v>
      </c>
      <c r="E15" t="s">
        <v>103</v>
      </c>
    </row>
    <row r="16" spans="1:8" x14ac:dyDescent="0.2">
      <c r="A16" s="8">
        <v>0.39583333333333398</v>
      </c>
      <c r="B16" s="22" t="s">
        <v>102</v>
      </c>
      <c r="C16" s="22" t="s">
        <v>104</v>
      </c>
      <c r="E16" t="s">
        <v>103</v>
      </c>
    </row>
    <row r="17" spans="1:6" x14ac:dyDescent="0.2">
      <c r="A17" s="8">
        <v>0.41666666666666702</v>
      </c>
      <c r="B17" s="23" t="s">
        <v>118</v>
      </c>
    </row>
    <row r="18" spans="1:6" x14ac:dyDescent="0.2">
      <c r="A18" s="8">
        <v>0.4375</v>
      </c>
      <c r="B18" s="23" t="s">
        <v>118</v>
      </c>
    </row>
    <row r="19" spans="1:6" x14ac:dyDescent="0.2">
      <c r="A19" s="8">
        <v>0.45833333333333398</v>
      </c>
      <c r="B19" s="23" t="s">
        <v>118</v>
      </c>
      <c r="C19" t="s">
        <v>110</v>
      </c>
      <c r="F19" t="s">
        <v>107</v>
      </c>
    </row>
    <row r="20" spans="1:6" x14ac:dyDescent="0.2">
      <c r="A20" s="8">
        <v>0.47916666666666702</v>
      </c>
      <c r="B20" s="23" t="s">
        <v>118</v>
      </c>
      <c r="C20" t="s">
        <v>110</v>
      </c>
      <c r="F20" t="s">
        <v>107</v>
      </c>
    </row>
    <row r="21" spans="1:6" x14ac:dyDescent="0.2">
      <c r="A21" s="8">
        <v>0.5</v>
      </c>
      <c r="B21" s="23" t="s">
        <v>119</v>
      </c>
    </row>
    <row r="22" spans="1:6" x14ac:dyDescent="0.2">
      <c r="A22" s="8">
        <v>0.52083333333333404</v>
      </c>
      <c r="B22" s="23" t="s">
        <v>118</v>
      </c>
    </row>
    <row r="23" spans="1:6" x14ac:dyDescent="0.2">
      <c r="A23" s="8">
        <v>0.54166666666666696</v>
      </c>
      <c r="B23" s="23" t="s">
        <v>118</v>
      </c>
    </row>
    <row r="24" spans="1:6" x14ac:dyDescent="0.2">
      <c r="A24" s="8">
        <v>0.5625</v>
      </c>
      <c r="B24" s="23" t="s">
        <v>118</v>
      </c>
    </row>
    <row r="25" spans="1:6" x14ac:dyDescent="0.2">
      <c r="A25" s="8">
        <v>0.58333333333333404</v>
      </c>
      <c r="B25" t="s">
        <v>117</v>
      </c>
      <c r="C25" t="s">
        <v>106</v>
      </c>
    </row>
    <row r="26" spans="1:6" x14ac:dyDescent="0.2">
      <c r="A26" s="8">
        <v>0.60416666666666696</v>
      </c>
      <c r="B26" t="s">
        <v>117</v>
      </c>
      <c r="C26" t="s">
        <v>106</v>
      </c>
    </row>
    <row r="27" spans="1:6" x14ac:dyDescent="0.2">
      <c r="A27" s="8">
        <v>0.625000000000001</v>
      </c>
      <c r="B27" s="23" t="s">
        <v>120</v>
      </c>
      <c r="C27" t="s">
        <v>106</v>
      </c>
      <c r="D27" t="s">
        <v>111</v>
      </c>
    </row>
    <row r="28" spans="1:6" x14ac:dyDescent="0.2">
      <c r="A28" s="8">
        <v>0.64583333333333404</v>
      </c>
      <c r="B28" s="23" t="s">
        <v>121</v>
      </c>
      <c r="C28" t="s">
        <v>106</v>
      </c>
      <c r="D28" t="s">
        <v>111</v>
      </c>
    </row>
    <row r="29" spans="1:6" x14ac:dyDescent="0.2">
      <c r="A29" s="8">
        <v>0.66666666666666696</v>
      </c>
      <c r="B29" t="s">
        <v>105</v>
      </c>
      <c r="C29" t="s">
        <v>105</v>
      </c>
      <c r="D29" t="s">
        <v>111</v>
      </c>
    </row>
    <row r="30" spans="1:6" x14ac:dyDescent="0.2">
      <c r="A30" s="8">
        <v>0.687500000000001</v>
      </c>
      <c r="B30" t="s">
        <v>105</v>
      </c>
      <c r="C30" t="s">
        <v>105</v>
      </c>
    </row>
    <row r="31" spans="1:6" x14ac:dyDescent="0.2">
      <c r="A31" s="8">
        <v>0.70833333333333404</v>
      </c>
      <c r="B31" t="s">
        <v>105</v>
      </c>
      <c r="C31" t="s">
        <v>105</v>
      </c>
    </row>
    <row r="32" spans="1:6" x14ac:dyDescent="0.2">
      <c r="A32" s="8">
        <v>0.72916666666666696</v>
      </c>
      <c r="B32" t="s">
        <v>105</v>
      </c>
      <c r="C32" t="s">
        <v>105</v>
      </c>
    </row>
    <row r="33" spans="1:8" x14ac:dyDescent="0.2">
      <c r="A33" s="8">
        <v>0.750000000000001</v>
      </c>
      <c r="B33" t="s">
        <v>118</v>
      </c>
    </row>
    <row r="34" spans="1:8" x14ac:dyDescent="0.2">
      <c r="A34" s="8">
        <v>0.77083333333333404</v>
      </c>
      <c r="B34" t="s">
        <v>118</v>
      </c>
    </row>
    <row r="35" spans="1:8" x14ac:dyDescent="0.2">
      <c r="A35" s="8">
        <v>0.79166666666666696</v>
      </c>
      <c r="B35" t="s">
        <v>118</v>
      </c>
    </row>
    <row r="36" spans="1:8" x14ac:dyDescent="0.2">
      <c r="A36" s="8">
        <v>0.812500000000001</v>
      </c>
      <c r="B36" t="s">
        <v>118</v>
      </c>
    </row>
    <row r="37" spans="1:8" x14ac:dyDescent="0.2">
      <c r="A37" s="8">
        <v>0.83333333333333404</v>
      </c>
      <c r="B37" t="s">
        <v>118</v>
      </c>
    </row>
    <row r="38" spans="1:8" x14ac:dyDescent="0.2">
      <c r="A38" s="8">
        <v>0.85416666666666696</v>
      </c>
      <c r="B38" t="s">
        <v>118</v>
      </c>
    </row>
    <row r="39" spans="1:8" x14ac:dyDescent="0.2">
      <c r="A39" s="8">
        <v>0.875000000000001</v>
      </c>
      <c r="B39" t="s">
        <v>118</v>
      </c>
    </row>
    <row r="40" spans="1:8" x14ac:dyDescent="0.2">
      <c r="A40" s="8">
        <v>0.89583333333333404</v>
      </c>
      <c r="B40" t="s">
        <v>118</v>
      </c>
    </row>
    <row r="41" spans="1:8" x14ac:dyDescent="0.2">
      <c r="A41" s="8">
        <v>0.91666666666666696</v>
      </c>
      <c r="B41" t="s">
        <v>118</v>
      </c>
    </row>
    <row r="42" spans="1:8" x14ac:dyDescent="0.2">
      <c r="A42" s="8">
        <v>0.937500000000001</v>
      </c>
      <c r="B42" t="s">
        <v>118</v>
      </c>
    </row>
    <row r="43" spans="1:8" x14ac:dyDescent="0.2">
      <c r="A43" s="8">
        <v>0.95833333333333404</v>
      </c>
      <c r="B43" t="s">
        <v>109</v>
      </c>
      <c r="C43" t="s">
        <v>109</v>
      </c>
      <c r="D43" t="s">
        <v>109</v>
      </c>
      <c r="E43" t="s">
        <v>109</v>
      </c>
      <c r="F43" t="s">
        <v>109</v>
      </c>
      <c r="H43" t="s">
        <v>109</v>
      </c>
    </row>
    <row r="44" spans="1:8" x14ac:dyDescent="0.2">
      <c r="A44" s="8">
        <v>0.97916666666666696</v>
      </c>
    </row>
    <row r="45" spans="1:8" x14ac:dyDescent="0.2">
      <c r="A45" s="8">
        <v>1</v>
      </c>
    </row>
    <row r="46" spans="1:8" x14ac:dyDescent="0.2">
      <c r="A46" s="8">
        <v>1.0208333333333299</v>
      </c>
    </row>
    <row r="47" spans="1:8"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Anleitung</vt:lpstr>
      <vt:lpstr>Semesterplan</vt:lpstr>
      <vt:lpstr>COMMITTMENT</vt:lpstr>
      <vt:lpstr>Wochenplan KW 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2022-10-25T16:51:25Z</dcterms:modified>
</cp:coreProperties>
</file>