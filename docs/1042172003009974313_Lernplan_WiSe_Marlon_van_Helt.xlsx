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lvhel\Downloads\"/>
    </mc:Choice>
  </mc:AlternateContent>
  <xr:revisionPtr revIDLastSave="0" documentId="8_{4114CDFE-8481-4CD6-AA26-628789454487}" xr6:coauthVersionLast="47" xr6:coauthVersionMax="47" xr10:uidLastSave="{00000000-0000-0000-0000-000000000000}"/>
  <bookViews>
    <workbookView xWindow="-120" yWindow="-120" windowWidth="29040" windowHeight="158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47" i="7" l="1"/>
  <c r="U37" i="7"/>
  <c r="U27" i="7"/>
  <c r="U11" i="7"/>
  <c r="U4" i="7"/>
  <c r="AB47" i="7"/>
  <c r="AB37" i="7"/>
  <c r="AB27" i="7"/>
  <c r="AB11" i="7"/>
  <c r="AB4" i="7"/>
  <c r="AI47" i="7"/>
  <c r="AI37" i="7"/>
  <c r="AI27" i="7"/>
  <c r="AI11" i="7"/>
  <c r="AI4" i="7"/>
  <c r="AP47" i="7"/>
  <c r="AP37" i="7"/>
  <c r="AP27" i="7"/>
  <c r="AP11" i="7"/>
  <c r="AP4" i="7"/>
  <c r="AW47" i="7"/>
  <c r="AW37" i="7"/>
  <c r="AW27" i="7"/>
  <c r="AW11" i="7"/>
  <c r="AW4" i="7"/>
  <c r="BD4" i="7"/>
  <c r="BK4" i="7"/>
  <c r="BR4" i="7"/>
  <c r="BY4" i="7"/>
  <c r="CF4" i="7"/>
  <c r="CM4" i="7"/>
  <c r="CT4" i="7"/>
  <c r="DA4" i="7"/>
  <c r="DH4" i="7"/>
  <c r="DO4"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44" i="7" a="1"/>
  <c r="K44" i="7" s="1"/>
  <c r="J44" i="7" a="1"/>
  <c r="J44" i="7" s="1"/>
  <c r="I44" i="7"/>
  <c r="K24" i="7" a="1"/>
  <c r="K24" i="7" s="1"/>
  <c r="J24" i="7" a="1"/>
  <c r="J24" i="7" s="1"/>
  <c r="I24" i="7"/>
  <c r="K23" i="7" a="1"/>
  <c r="K23" i="7" s="1"/>
  <c r="J23" i="7" a="1"/>
  <c r="J23" i="7" s="1"/>
  <c r="I23" i="7"/>
  <c r="K22" i="7" a="1"/>
  <c r="K22" i="7" s="1"/>
  <c r="J22" i="7" a="1"/>
  <c r="J22" i="7" s="1"/>
  <c r="I22" i="7"/>
  <c r="K21" i="7" a="1"/>
  <c r="K21" i="7" s="1"/>
  <c r="J21" i="7" a="1"/>
  <c r="J21" i="7" s="1"/>
  <c r="I21" i="7"/>
  <c r="K20" i="7" a="1"/>
  <c r="K20" i="7" s="1"/>
  <c r="J20" i="7" a="1"/>
  <c r="J20" i="7" s="1"/>
  <c r="I20" i="7"/>
  <c r="K19" i="7" a="1"/>
  <c r="K19" i="7" s="1"/>
  <c r="J19" i="7" a="1"/>
  <c r="J19" i="7" s="1"/>
  <c r="I19" i="7"/>
  <c r="K18" i="7" a="1"/>
  <c r="K18" i="7" s="1"/>
  <c r="J18" i="7" a="1"/>
  <c r="J18" i="7" s="1"/>
  <c r="I18" i="7"/>
  <c r="K14" i="7" a="1"/>
  <c r="K14" i="7" s="1"/>
  <c r="J14" i="7" a="1"/>
  <c r="J14" i="7" s="1"/>
  <c r="I14" i="7"/>
  <c r="K13" i="7" a="1"/>
  <c r="K13" i="7" s="1"/>
  <c r="J13" i="7" a="1"/>
  <c r="J13" i="7" s="1"/>
  <c r="I13" i="7"/>
  <c r="K62" i="7" a="1"/>
  <c r="K62" i="7" s="1"/>
  <c r="J62" i="7" a="1"/>
  <c r="J62" i="7" s="1"/>
  <c r="I62"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N47" i="7"/>
  <c r="G47" i="7"/>
  <c r="K45" i="7" a="1"/>
  <c r="K45" i="7" s="1"/>
  <c r="J45" i="7" a="1"/>
  <c r="J45" i="7" s="1"/>
  <c r="I45"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N37" i="7"/>
  <c r="G37" i="7"/>
  <c r="C12" i="10"/>
  <c r="K25" i="7" a="1"/>
  <c r="K25" i="7" s="1"/>
  <c r="J25" i="7" a="1"/>
  <c r="J25" i="7" s="1"/>
  <c r="K17" i="7" a="1"/>
  <c r="K17" i="7" s="1"/>
  <c r="J17" i="7" a="1"/>
  <c r="J17" i="7" s="1"/>
  <c r="K16" i="7" a="1"/>
  <c r="K16" i="7" s="1"/>
  <c r="J16" i="7" a="1"/>
  <c r="J16" i="7" s="1"/>
  <c r="K15" i="7" a="1"/>
  <c r="K15" i="7" s="1"/>
  <c r="J15" i="7" a="1"/>
  <c r="J15" i="7" s="1"/>
  <c r="K12" i="7" a="1"/>
  <c r="K12" i="7" s="1"/>
  <c r="J12" i="7" a="1"/>
  <c r="J12"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9" i="7" a="1"/>
  <c r="K9" i="7" s="1"/>
  <c r="J9" i="7" a="1"/>
  <c r="J9" i="7" s="1"/>
  <c r="K8" i="7" a="1"/>
  <c r="K8" i="7" s="1"/>
  <c r="J8" i="7" a="1"/>
  <c r="J8" i="7" s="1"/>
  <c r="K7" i="7" a="1"/>
  <c r="K7" i="7" s="1"/>
  <c r="J7" i="7" a="1"/>
  <c r="J7" i="7" s="1"/>
  <c r="K6" i="7" a="1"/>
  <c r="K6" i="7" s="1"/>
  <c r="J6" i="7" a="1"/>
  <c r="J6" i="7" s="1"/>
  <c r="K5" i="7" a="1"/>
  <c r="K5" i="7" s="1"/>
  <c r="J5" i="7" a="1"/>
  <c r="J5" i="7" s="1"/>
  <c r="N4" i="7"/>
  <c r="N11" i="7"/>
  <c r="G4" i="7"/>
  <c r="I35" i="7"/>
  <c r="I34" i="7"/>
  <c r="I33" i="7"/>
  <c r="I32" i="7"/>
  <c r="I31" i="7"/>
  <c r="I30" i="7"/>
  <c r="I29" i="7"/>
  <c r="I28" i="7"/>
  <c r="I25" i="7"/>
  <c r="I17" i="7"/>
  <c r="I16" i="7"/>
  <c r="I15" i="7"/>
  <c r="I12" i="7"/>
  <c r="I6" i="7"/>
  <c r="I7" i="7"/>
  <c r="I8" i="7"/>
  <c r="I9" i="7"/>
  <c r="I5" i="7"/>
  <c r="N27" i="7"/>
  <c r="G27" i="7"/>
  <c r="G11" i="7"/>
  <c r="I47" i="7" l="1"/>
  <c r="I37" i="7"/>
  <c r="J47" i="7"/>
  <c r="K47" i="7"/>
  <c r="K37" i="7"/>
  <c r="J37" i="7"/>
  <c r="I27" i="7"/>
  <c r="J27" i="7"/>
  <c r="K27" i="7"/>
  <c r="I11" i="7"/>
  <c r="J11" i="7"/>
  <c r="K11"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<sst xmlns="http://schemas.openxmlformats.org/spreadsheetml/2006/main" count="424" uniqueCount="165">
  <si>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</si>
  <si>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</si>
  <si>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</si>
  <si>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</si>
  <si>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</si>
  <si>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</si>
  <si>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</si>
  <si>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</si>
  <si>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</si>
  <si>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</si>
  <si>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</si>
  <si>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</si>
  <si>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</si>
  <si>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</si>
  <si>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</si>
  <si>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</si>
  <si>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</si>
  <si>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</si>
  <si>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</si>
  <si>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</si>
  <si>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</si>
  <si>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</si>
  <si>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</si>
  <si>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</si>
  <si>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</si>
  <si>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</si>
  <si>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</si>
  <si>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</si>
  <si>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</si>
  <si>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</si>
  <si>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</si>
  <si>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</si>
  <si>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</si>
  <si>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</si>
  <si>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</si>
  <si>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</si>
  <si>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</si>
  <si>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</si>
  <si>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</si>
  <si>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</si>
  <si>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</si>
  <si>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</si>
  <si>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</si>
  <si>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</si>
  <si>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</si>
  <si>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</si>
  <si>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</si>
  <si>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</si>
  <si>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</si>
  <si>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</si>
  <si>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</si>
  <si>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</si>
  <si>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</si>
  <si>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</si>
  <si>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</si>
  <si>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</si>
  <si>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</si>
  <si>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</si>
  <si>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</si>
  <si>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</si>
  <si>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</si>
  <si>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</si>
  <si>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</si>
  <si>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</si>
  <si>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</si>
  <si>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</si>
  <si>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</si>
  <si>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</si>
  <si>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</si>
  <si>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</si>
  <si>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</si>
  <si>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</si>
  <si>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</si>
  <si>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</si>
  <si>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</si>
  <si>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</si>
  <si>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</si>
  <si>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</si>
  <si>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</si>
  <si>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</si>
  <si>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</si>
  <si>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</si>
  <si>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</si>
  <si>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</si>
  <si>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</si>
  <si>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</si>
  <si>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</si>
  <si>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</si>
  <si>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BWL</t>
  </si>
  <si>
    <t>Analysis für WiWi</t>
  </si>
  <si>
    <t>Grundlagen der Mikroökonomik</t>
  </si>
  <si>
    <t>Einführung in die VWL</t>
  </si>
  <si>
    <t>Wirtschafts- und Unternehmensethik</t>
  </si>
  <si>
    <t>2) Wert in der BWL</t>
  </si>
  <si>
    <t>3) BWL ist eine Wissenschaft</t>
  </si>
  <si>
    <t>4) Data Analtics</t>
  </si>
  <si>
    <t>5) Was ist BWL?</t>
  </si>
  <si>
    <t>1) Der Funktionsbegriff</t>
  </si>
  <si>
    <t>2) Lineare Funktionen</t>
  </si>
  <si>
    <t>3) Quadratische Funktionen</t>
  </si>
  <si>
    <t>4) Rationale Funktionen</t>
  </si>
  <si>
    <t>5) Exponentialfunktionen</t>
  </si>
  <si>
    <t>6) Logarithmus- und Potenzfunktionen</t>
  </si>
  <si>
    <t>7) Trigonometrische- und stückweise definierte Funktionen</t>
  </si>
  <si>
    <t>8) Explizite und implizite Folgen</t>
  </si>
  <si>
    <t>9) Grenzwerte von Folgen</t>
  </si>
  <si>
    <t>10) Summenfolgen und Reihen</t>
  </si>
  <si>
    <t>11) Folgen in der Finanzmathematik</t>
  </si>
  <si>
    <t>12) Differntialrechnung in einer Varaiblen</t>
  </si>
  <si>
    <t>13) Diffentialrechnung in mehreren Variablen</t>
  </si>
  <si>
    <t>14) Integralrechnung</t>
  </si>
  <si>
    <t xml:space="preserve">1) Budgetrestriktion/Präferenzen und Nutzen </t>
  </si>
  <si>
    <t>2) Konsumentscheidung und Nachfrage</t>
  </si>
  <si>
    <t>3) Elastizität und Konsumentenrente</t>
  </si>
  <si>
    <t>4) Produktionsfunktionen</t>
  </si>
  <si>
    <t>5) Kosten und Kostenfunktionen</t>
  </si>
  <si>
    <t>6) Externe Produktionseffekte und Angebotsfunktionen</t>
  </si>
  <si>
    <t>7) Vollständige Konkurrenz auf dem Gütermarkt</t>
  </si>
  <si>
    <t>8) Preisbildung im Monopol</t>
  </si>
  <si>
    <t>1) Was ist VWL?</t>
  </si>
  <si>
    <t>2) Makroökonomik</t>
  </si>
  <si>
    <t>3) Einnhamen-Ausgaben-Modell</t>
  </si>
  <si>
    <t xml:space="preserve">4) Produktion und Wachstum </t>
  </si>
  <si>
    <t xml:space="preserve">5) Geld und Geldkreislauf </t>
  </si>
  <si>
    <t>6) Kapitalmärkte und Angebotsentscheidung von Unternehmen</t>
  </si>
  <si>
    <t>7) Marktangebot und Nachfrage</t>
  </si>
  <si>
    <t>8) Marktgleichgewicht und Marktformen</t>
  </si>
  <si>
    <t>1) Grundlagen der Ethik</t>
  </si>
  <si>
    <t>2) Ansätze der Ethik</t>
  </si>
  <si>
    <t>3) Deontologische Ethik</t>
  </si>
  <si>
    <t>4) Tugendethik</t>
  </si>
  <si>
    <t>5) Wann handelt Homo Oeconomicus moralisch?</t>
  </si>
  <si>
    <t>6) Die Ethik der Rahmenordnung</t>
  </si>
  <si>
    <t>7) Theorie der Gerechtigkeit von John Rawls</t>
  </si>
  <si>
    <t>8) Die soziale Marktwirtschafts als wirtschaftsethische Institution</t>
  </si>
  <si>
    <t>9) Die Marktgesellschaft</t>
  </si>
  <si>
    <t xml:space="preserve">10) Die Ethik des Unternehmens </t>
  </si>
  <si>
    <t xml:space="preserve">11) Der Schaden unverantwortlichen Verhaltens </t>
  </si>
  <si>
    <t xml:space="preserve">12) Ethikmanagement und Unternehmenskultur </t>
  </si>
  <si>
    <t>13) Rationale und vernünftige Moralität</t>
  </si>
  <si>
    <t>14) Können sich Unternehmen vernünftige Moralität leisten?</t>
  </si>
  <si>
    <t>15) Die Ethik des Individuums im Unternehmen</t>
  </si>
  <si>
    <t>KW 46</t>
  </si>
  <si>
    <t>KW 47</t>
  </si>
  <si>
    <t>KW 48</t>
  </si>
  <si>
    <t>KW 49</t>
  </si>
  <si>
    <t>KW 50</t>
  </si>
  <si>
    <t>KW 51</t>
  </si>
  <si>
    <t>KW 52</t>
  </si>
  <si>
    <t>KW 1</t>
  </si>
  <si>
    <t>KW 2</t>
  </si>
  <si>
    <t>KW 3</t>
  </si>
  <si>
    <t>Klausur: 23.02</t>
  </si>
  <si>
    <t>Klausur: 09.02</t>
  </si>
  <si>
    <t>Klausur: 21.02</t>
  </si>
  <si>
    <t>Klausur: 22.02</t>
  </si>
  <si>
    <t>Klausur: 10.02</t>
  </si>
  <si>
    <t>KW 45</t>
  </si>
  <si>
    <t>Klausuren (BWL, GDM, VWL)</t>
  </si>
  <si>
    <t>KW 4 (Wiederholung Analysis, WUU)</t>
  </si>
  <si>
    <t>KW 5 (Wiederholung Analysis, WUU)</t>
  </si>
  <si>
    <t>Klausuren (Analysis, WUU) (Wiederholung BWL, GDM, VWL)</t>
  </si>
  <si>
    <t>Klausuren (Studienarbeit) (Wiederholung BWL, GDM, VWL)</t>
  </si>
  <si>
    <t xml:space="preserve">Nicht wundern: Bei BWL ist das Kapitel "Was ist BWL?" eine Vorlesungsveranstaltung, welche immer parallel zu den restlichen vier Kapiteln lief. </t>
  </si>
  <si>
    <t>Deswegen bin ich in der Veranstaltung weiter, als im vierten Kapitel.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</si>
</sst>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14" fontId="0" fillId="7" borderId="0" xfId="0" applyNumberFormat="1" applyFill="1"/>
    <xf numFmtId="0" fontId="1" fillId="2" borderId="0" xfId="0" applyFont="1" applyFill="1" applyAlignment="1">
      <alignment horizontal="center"/>
    </xf>
    <xf numFmtId="0" fontId="1" fillId="7" borderId="0" xfId="0" applyFont="1" applyFill="1" applyAlignment="1">
      <alignment horizontal="center"/>
    </xf>
  </cellXfs>
  <cellStyles count="1">
    <cellStyle name="Standard" xfId="0" builtinId="0"/>
  </cellStyles>
  <dxfs count="26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D18" sqref="D18"/>
    </sheetView>
  </sheetViews>
  <sheetFormatPr baseColWidth="10" defaultRowHeight="15.75"/>
  <cols>
    <col min="1" max="1" width="11.875" customWidth="1"/>
    <col min="2" max="2" width="62.625" customWidth="1"/>
  </cols>
  <sheetData>
    <row r="2" spans="1:4">
      <c r="C2" s="18" t="s">
        <v>72</v>
      </c>
    </row>
    <row r="3" spans="1:4">
      <c r="C3" s="17" t="s">
        <v>57</v>
      </c>
    </row>
    <row r="4" spans="1:4">
      <c r="C4" s="16" t="s">
        <v>71</v>
      </c>
    </row>
    <row r="5" spans="1:4">
      <c r="A5" s="2" t="s">
        <v>54</v>
      </c>
      <c r="B5" s="2" t="s">
        <v>55</v>
      </c>
      <c r="C5" s="2" t="s">
        <v>56</v>
      </c>
      <c r="D5" s="2" t="s">
        <v>58</v>
      </c>
    </row>
    <row r="6" spans="1:4">
      <c r="A6" t="s">
        <v>50</v>
      </c>
      <c r="B6" s="18" t="s">
        <v>53</v>
      </c>
      <c r="D6" t="s">
        <v>87</v>
      </c>
    </row>
    <row r="7" spans="1:4">
      <c r="A7" t="s">
        <v>61</v>
      </c>
      <c r="B7" t="s">
        <v>62</v>
      </c>
      <c r="C7" s="16">
        <v>50</v>
      </c>
    </row>
    <row r="8" spans="1:4">
      <c r="A8" t="s">
        <v>52</v>
      </c>
      <c r="B8" s="18" t="s">
        <v>51</v>
      </c>
      <c r="D8" t="s">
        <v>75</v>
      </c>
    </row>
    <row r="9" spans="1:4">
      <c r="A9" t="s">
        <v>60</v>
      </c>
      <c r="B9" s="18" t="s">
        <v>73</v>
      </c>
      <c r="D9" t="s">
        <v>76</v>
      </c>
    </row>
    <row r="10" spans="1:4">
      <c r="A10" t="s">
        <v>64</v>
      </c>
      <c r="B10" t="s">
        <v>63</v>
      </c>
      <c r="C10" s="16">
        <v>11</v>
      </c>
      <c r="D10" t="s">
        <v>59</v>
      </c>
    </row>
    <row r="11" spans="1:4">
      <c r="A11" t="s">
        <v>65</v>
      </c>
      <c r="B11" t="s">
        <v>67</v>
      </c>
      <c r="C11" s="16">
        <v>141</v>
      </c>
      <c r="D11" t="s">
        <v>66</v>
      </c>
    </row>
    <row r="12" spans="1:4">
      <c r="A12" t="s">
        <v>69</v>
      </c>
      <c r="B12" t="s">
        <v>68</v>
      </c>
      <c r="C12" s="17">
        <f>C11/C10</f>
        <v>12.818181818181818</v>
      </c>
    </row>
    <row r="13" spans="1:4">
      <c r="A13" t="s">
        <v>74</v>
      </c>
      <c r="B13" t="s">
        <v>70</v>
      </c>
      <c r="D13" t="s">
        <v>77</v>
      </c>
    </row>
    <row r="14" spans="1:4">
      <c r="A14" t="s">
        <v>78</v>
      </c>
      <c r="B14" t="s">
        <v>79</v>
      </c>
      <c r="D14" t="s">
        <v>80</v>
      </c>
    </row>
    <row r="15" spans="1:4">
      <c r="A15" t="s">
        <v>81</v>
      </c>
      <c r="B15" s="18" t="s">
        <v>82</v>
      </c>
    </row>
    <row r="16" spans="1:4">
      <c r="A16" t="s">
        <v>85</v>
      </c>
      <c r="B16" s="18" t="s">
        <v>83</v>
      </c>
    </row>
    <row r="17" spans="1: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T67"/>
  <sheetViews>
    <sheetView showGridLines="0" tabSelected="1" topLeftCell="A32" zoomScale="75" zoomScaleNormal="83" workbookViewId="0">
      <pane xSplit="12" topLeftCell="M1" activePane="topRight" state="frozen"/>
      <selection pane="topRight" activeCell="B67" sqref="B67"/>
    </sheetView>
  </sheetViews>
  <sheetFormatPr baseColWidth="10" defaultColWidth="8.875" defaultRowHeight="15.75" outlineLevelRow="1"/>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s>
  <sheetData>
    <row r="1" spans="2:124" ht="33.75">
      <c r="B1" s="4" t="s">
        <v>0</v>
      </c>
      <c r="D1" s="4"/>
      <c r="G1" s="13" t="s">
        <v>34</v>
      </c>
      <c r="I1" s="13" t="s">
        <v>34</v>
      </c>
      <c r="J1" s="13" t="s">
        <v>34</v>
      </c>
      <c r="K1" s="13" t="s">
        <v>34</v>
      </c>
    </row>
    <row r="2" spans="2:124">
      <c r="I2" s="21" t="s">
        <v>27</v>
      </c>
      <c r="J2" s="21"/>
      <c r="K2" s="21"/>
      <c r="L2" s="21"/>
      <c r="N2" s="21" t="s">
        <v>157</v>
      </c>
      <c r="O2" s="21"/>
      <c r="P2" s="21"/>
      <c r="Q2" s="21"/>
      <c r="R2" s="21"/>
      <c r="S2" s="21"/>
      <c r="U2" s="21" t="s">
        <v>142</v>
      </c>
      <c r="V2" s="21"/>
      <c r="W2" s="21"/>
      <c r="X2" s="21"/>
      <c r="Y2" s="21"/>
      <c r="Z2" s="21"/>
      <c r="AB2" s="21" t="s">
        <v>143</v>
      </c>
      <c r="AC2" s="21"/>
      <c r="AD2" s="21"/>
      <c r="AE2" s="21"/>
      <c r="AF2" s="21"/>
      <c r="AG2" s="21"/>
      <c r="AI2" s="21" t="s">
        <v>144</v>
      </c>
      <c r="AJ2" s="21"/>
      <c r="AK2" s="21"/>
      <c r="AL2" s="21"/>
      <c r="AM2" s="21"/>
      <c r="AN2" s="21"/>
      <c r="AP2" s="21" t="s">
        <v>145</v>
      </c>
      <c r="AQ2" s="21"/>
      <c r="AR2" s="21"/>
      <c r="AS2" s="21"/>
      <c r="AT2" s="21"/>
      <c r="AU2" s="21"/>
      <c r="AW2" s="21" t="s">
        <v>146</v>
      </c>
      <c r="AX2" s="21"/>
      <c r="AY2" s="21"/>
      <c r="AZ2" s="21"/>
      <c r="BA2" s="21"/>
      <c r="BB2" s="21"/>
      <c r="BD2" s="21" t="s">
        <v>147</v>
      </c>
      <c r="BE2" s="21"/>
      <c r="BF2" s="21"/>
      <c r="BG2" s="21"/>
      <c r="BH2" s="21"/>
      <c r="BI2" s="21"/>
      <c r="BK2" s="21" t="s">
        <v>148</v>
      </c>
      <c r="BL2" s="21"/>
      <c r="BM2" s="21"/>
      <c r="BN2" s="21"/>
      <c r="BO2" s="21"/>
      <c r="BP2" s="21"/>
      <c r="BR2" s="21" t="s">
        <v>149</v>
      </c>
      <c r="BS2" s="21"/>
      <c r="BT2" s="21"/>
      <c r="BU2" s="21"/>
      <c r="BV2" s="21"/>
      <c r="BW2" s="21"/>
      <c r="BY2" s="21" t="s">
        <v>150</v>
      </c>
      <c r="BZ2" s="21"/>
      <c r="CA2" s="21"/>
      <c r="CB2" s="21"/>
      <c r="CC2" s="21"/>
      <c r="CD2" s="21"/>
      <c r="CF2" s="21" t="s">
        <v>151</v>
      </c>
      <c r="CG2" s="21"/>
      <c r="CH2" s="21"/>
      <c r="CI2" s="21"/>
      <c r="CJ2" s="21"/>
      <c r="CK2" s="21"/>
      <c r="CM2" s="21" t="s">
        <v>159</v>
      </c>
      <c r="CN2" s="21"/>
      <c r="CO2" s="21"/>
      <c r="CP2" s="21"/>
      <c r="CQ2" s="21"/>
      <c r="CR2" s="21"/>
      <c r="CT2" s="21" t="s">
        <v>160</v>
      </c>
      <c r="CU2" s="21"/>
      <c r="CV2" s="21"/>
      <c r="CW2" s="21"/>
      <c r="CX2" s="21"/>
      <c r="CY2" s="21"/>
      <c r="DA2" s="22" t="s">
        <v>161</v>
      </c>
      <c r="DB2" s="22"/>
      <c r="DC2" s="22"/>
      <c r="DD2" s="22"/>
      <c r="DE2" s="22"/>
      <c r="DF2" s="22"/>
      <c r="DH2" s="22" t="s">
        <v>162</v>
      </c>
      <c r="DI2" s="22"/>
      <c r="DJ2" s="22"/>
      <c r="DK2" s="22"/>
      <c r="DL2" s="22"/>
      <c r="DM2" s="22"/>
      <c r="DO2" s="22" t="s">
        <v>158</v>
      </c>
      <c r="DP2" s="22"/>
      <c r="DQ2" s="22"/>
      <c r="DR2" s="22"/>
      <c r="DS2" s="22"/>
      <c r="DT2" s="22"/>
    </row>
    <row r="3" spans="2:124">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row>
    <row r="4" spans="2:124">
      <c r="B4" t="s">
        <v>27</v>
      </c>
      <c r="C4" t="s">
        <v>88</v>
      </c>
      <c r="D4" s="20">
        <v>44980</v>
      </c>
      <c r="E4" s="9">
        <v>12</v>
      </c>
      <c r="G4" s="10">
        <f>+SUM(G5:G9)</f>
        <v>1</v>
      </c>
      <c r="I4" s="12">
        <f>+SUM(I5:I9)</f>
        <v>0</v>
      </c>
      <c r="J4" s="11">
        <f>+SUMPRODUCT(G5:G9,J5:J9)</f>
        <v>0.45999999999999996</v>
      </c>
      <c r="K4" s="11">
        <f>+SUMPRODUCT(G5:G9,K5:K9)</f>
        <v>0.45999999999999996</v>
      </c>
      <c r="L4" s="9"/>
      <c r="N4" s="12">
        <f>+SUM(N5:N9)</f>
        <v>0</v>
      </c>
      <c r="U4" s="12">
        <f>+SUM(U5:U9)</f>
        <v>0</v>
      </c>
      <c r="AB4" s="12">
        <f>+SUM(AB5:AB9)</f>
        <v>0</v>
      </c>
      <c r="AI4" s="12">
        <f>+SUM(AI5:AI9)</f>
        <v>0</v>
      </c>
      <c r="AP4" s="12">
        <f>+SUM(AP5:AP9)</f>
        <v>0</v>
      </c>
      <c r="AW4" s="12">
        <f>+SUM(AW5:AW9)</f>
        <v>0</v>
      </c>
      <c r="BD4" s="12">
        <f>+SUM(BD5:BD9)</f>
        <v>0</v>
      </c>
      <c r="BK4" s="12">
        <f>+SUM(BK5:BK9)</f>
        <v>0</v>
      </c>
      <c r="BR4" s="12">
        <f>+SUM(BR5:BR9)</f>
        <v>0</v>
      </c>
      <c r="BY4" s="12">
        <f>+SUM(BY5:BY9)</f>
        <v>0</v>
      </c>
      <c r="CF4" s="12">
        <f>+SUM(CF5:CF9)</f>
        <v>0</v>
      </c>
      <c r="CM4" s="12">
        <f>+SUM(CM5:CM9)</f>
        <v>0</v>
      </c>
      <c r="CT4" s="12">
        <f>+SUM(CT5:CT9)</f>
        <v>0</v>
      </c>
      <c r="DA4" s="12">
        <f>+SUM(DA5:DA9)</f>
        <v>0</v>
      </c>
      <c r="DH4" s="12">
        <f>+SUM(DH5:DH9)</f>
        <v>0</v>
      </c>
      <c r="DO4" s="12">
        <f>+SUM(DO5:DO9)</f>
        <v>0</v>
      </c>
    </row>
    <row r="5" spans="2:124" outlineLevel="1">
      <c r="B5" t="s">
        <v>28</v>
      </c>
      <c r="C5" t="s">
        <v>88</v>
      </c>
      <c r="E5" s="9"/>
      <c r="F5" t="s">
        <v>30</v>
      </c>
      <c r="G5" s="10">
        <v>0.2</v>
      </c>
      <c r="I5" s="9">
        <f>+SUMIF($N$3:$YX$3,I$3,$N5:$YX5)</f>
        <v>0</v>
      </c>
      <c r="J5" s="11" cm="1">
        <f t="array" ref="J5">MAX(IF($N$3:$DM$3=$J$3,N5:DM5))</f>
        <v>0.8</v>
      </c>
      <c r="K5" s="11" cm="1">
        <f t="array" ref="K5">MAX(IF($N$3:$DM$3=$J$3,N5:DM5))</f>
        <v>0.8</v>
      </c>
      <c r="L5" s="9"/>
      <c r="O5" s="10">
        <v>0.8</v>
      </c>
      <c r="P5" s="10">
        <v>0.8</v>
      </c>
      <c r="Q5" s="10">
        <v>0.8</v>
      </c>
      <c r="R5" s="10">
        <v>0.8</v>
      </c>
      <c r="V5" s="10">
        <v>0.8</v>
      </c>
      <c r="W5" s="10">
        <v>0.8</v>
      </c>
      <c r="X5" s="10">
        <v>0.8</v>
      </c>
      <c r="Y5" s="10">
        <v>0.8</v>
      </c>
      <c r="AC5" s="10"/>
      <c r="AD5" s="10">
        <v>0.8</v>
      </c>
      <c r="AE5" s="10"/>
      <c r="AF5" s="10">
        <v>0.8</v>
      </c>
      <c r="AJ5" s="10"/>
      <c r="AK5" s="10">
        <v>0.8</v>
      </c>
      <c r="AL5" s="10"/>
      <c r="AM5" s="10">
        <v>0.8</v>
      </c>
      <c r="AQ5" s="10"/>
      <c r="AR5" s="10">
        <v>1</v>
      </c>
      <c r="AS5" s="10"/>
      <c r="AT5" s="10">
        <v>1</v>
      </c>
      <c r="AX5" s="10"/>
      <c r="AY5" s="10">
        <v>1</v>
      </c>
      <c r="AZ5" s="10"/>
      <c r="BA5" s="10">
        <v>1</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c r="DD5" s="10"/>
      <c r="DE5" s="10"/>
      <c r="DI5" s="10"/>
      <c r="DJ5" s="10"/>
      <c r="DK5" s="10"/>
      <c r="DL5" s="10"/>
      <c r="DM5" s="19">
        <v>44974</v>
      </c>
      <c r="DP5" s="10"/>
      <c r="DQ5" s="10"/>
      <c r="DR5" s="10"/>
      <c r="DS5" s="10"/>
      <c r="DT5" t="s">
        <v>152</v>
      </c>
    </row>
    <row r="6" spans="2:124" outlineLevel="1">
      <c r="B6" t="s">
        <v>28</v>
      </c>
      <c r="C6" t="s">
        <v>88</v>
      </c>
      <c r="E6" s="9"/>
      <c r="F6" t="s">
        <v>93</v>
      </c>
      <c r="G6" s="10">
        <v>0.2</v>
      </c>
      <c r="I6" s="9">
        <f>+SUMIF($N$3:$YX$3,I$3,$N6:$YX6)</f>
        <v>0</v>
      </c>
      <c r="J6" s="11" cm="1">
        <f t="array" ref="J6">MAX(IF($N$3:$DM$3=$J$3,N6:DM6))</f>
        <v>0.5</v>
      </c>
      <c r="K6" s="11" cm="1">
        <f t="array" ref="K6">MAX(IF($N$3:$DM$3=$J$3,N6:DM6))</f>
        <v>0.5</v>
      </c>
      <c r="L6" s="9"/>
      <c r="O6" s="10">
        <v>0.5</v>
      </c>
      <c r="P6" s="10">
        <v>0.5</v>
      </c>
      <c r="Q6" s="10">
        <v>0.5</v>
      </c>
      <c r="R6" s="10">
        <v>0.5</v>
      </c>
      <c r="V6" s="10">
        <v>0.5</v>
      </c>
      <c r="W6" s="10">
        <v>0.5</v>
      </c>
      <c r="X6" s="10">
        <v>0.5</v>
      </c>
      <c r="Y6" s="10">
        <v>0.5</v>
      </c>
      <c r="AC6" s="10"/>
      <c r="AD6" s="10">
        <v>0.8</v>
      </c>
      <c r="AE6" s="10"/>
      <c r="AF6" s="10">
        <v>0.8</v>
      </c>
      <c r="AJ6" s="10"/>
      <c r="AK6" s="10">
        <v>0.8</v>
      </c>
      <c r="AL6" s="10"/>
      <c r="AM6" s="10">
        <v>0.8</v>
      </c>
      <c r="AQ6" s="10"/>
      <c r="AR6" s="10">
        <v>0.8</v>
      </c>
      <c r="AS6" s="10"/>
      <c r="AT6" s="10">
        <v>0.8</v>
      </c>
      <c r="AX6" s="10"/>
      <c r="AY6" s="10">
        <v>0.8</v>
      </c>
      <c r="AZ6" s="10"/>
      <c r="BA6" s="10">
        <v>0.8</v>
      </c>
      <c r="BE6" s="10"/>
      <c r="BF6" s="10">
        <v>0.8</v>
      </c>
      <c r="BG6" s="10"/>
      <c r="BH6" s="10">
        <v>0.8</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c r="DD6" s="10"/>
      <c r="DE6" s="10"/>
      <c r="DI6" s="10"/>
      <c r="DJ6" s="10"/>
      <c r="DK6" s="10"/>
      <c r="DL6" s="10"/>
      <c r="DM6" s="19">
        <v>44974</v>
      </c>
      <c r="DP6" s="10"/>
      <c r="DQ6" s="10"/>
      <c r="DR6" s="10"/>
      <c r="DS6" s="10"/>
      <c r="DT6" t="s">
        <v>152</v>
      </c>
    </row>
    <row r="7" spans="2:124" outlineLevel="1">
      <c r="B7" t="s">
        <v>28</v>
      </c>
      <c r="C7" t="s">
        <v>88</v>
      </c>
      <c r="E7" s="9"/>
      <c r="F7" t="s">
        <v>94</v>
      </c>
      <c r="G7" s="10">
        <v>0.2</v>
      </c>
      <c r="I7" s="9">
        <f>+SUMIF($N$3:$YX$3,I$3,$N7:$YX7)</f>
        <v>0</v>
      </c>
      <c r="J7" s="11" cm="1">
        <f t="array" ref="J7">MAX(IF($N$3:$DM$3=$J$3,N7:DM7))</f>
        <v>0.5</v>
      </c>
      <c r="K7" s="11" cm="1">
        <f t="array" ref="K7">MAX(IF($N$3:$DM$3=$J$3,N7:DM7))</f>
        <v>0.5</v>
      </c>
      <c r="L7" s="9"/>
      <c r="O7" s="10">
        <v>0.5</v>
      </c>
      <c r="P7" s="10">
        <v>0.5</v>
      </c>
      <c r="Q7" s="10">
        <v>0.5</v>
      </c>
      <c r="R7" s="10">
        <v>0.5</v>
      </c>
      <c r="V7" s="10">
        <v>0.5</v>
      </c>
      <c r="W7" s="10">
        <v>0.5</v>
      </c>
      <c r="X7" s="10">
        <v>0.5</v>
      </c>
      <c r="Y7" s="10">
        <v>0.5</v>
      </c>
      <c r="AC7" s="10">
        <v>0.5</v>
      </c>
      <c r="AD7" s="10">
        <v>0.5</v>
      </c>
      <c r="AE7" s="10">
        <v>0.5</v>
      </c>
      <c r="AF7" s="10">
        <v>0.5</v>
      </c>
      <c r="AJ7" s="10"/>
      <c r="AK7" s="10">
        <v>0.8</v>
      </c>
      <c r="AL7" s="10"/>
      <c r="AM7" s="10">
        <v>0.8</v>
      </c>
      <c r="AQ7" s="10"/>
      <c r="AR7" s="10">
        <v>0.8</v>
      </c>
      <c r="AS7" s="10"/>
      <c r="AT7" s="10">
        <v>0.8</v>
      </c>
      <c r="AX7" s="10"/>
      <c r="AY7" s="10">
        <v>0.8</v>
      </c>
      <c r="AZ7" s="10"/>
      <c r="BA7" s="10">
        <v>0.8</v>
      </c>
      <c r="BE7" s="10"/>
      <c r="BF7" s="10">
        <v>0.8</v>
      </c>
      <c r="BG7" s="10"/>
      <c r="BH7" s="10">
        <v>0.8</v>
      </c>
      <c r="BL7" s="10"/>
      <c r="BM7" s="10">
        <v>0.8</v>
      </c>
      <c r="BN7" s="10"/>
      <c r="BO7" s="10">
        <v>0.8</v>
      </c>
      <c r="BS7" s="10"/>
      <c r="BT7" s="10">
        <v>0.8</v>
      </c>
      <c r="BU7" s="10"/>
      <c r="BV7" s="10">
        <v>0.8</v>
      </c>
      <c r="BZ7" s="10"/>
      <c r="CA7" s="10">
        <v>1</v>
      </c>
      <c r="CB7" s="10"/>
      <c r="CC7" s="10">
        <v>1</v>
      </c>
      <c r="CG7" s="10"/>
      <c r="CH7" s="10">
        <v>1</v>
      </c>
      <c r="CI7" s="10"/>
      <c r="CJ7" s="10">
        <v>1</v>
      </c>
      <c r="CN7" s="10"/>
      <c r="CO7" s="10">
        <v>1</v>
      </c>
      <c r="CP7" s="10"/>
      <c r="CQ7" s="10">
        <v>1</v>
      </c>
      <c r="CU7" s="10"/>
      <c r="CV7" s="10">
        <v>1</v>
      </c>
      <c r="CW7" s="10"/>
      <c r="CX7" s="10">
        <v>1</v>
      </c>
      <c r="DB7" s="10"/>
      <c r="DC7" s="10"/>
      <c r="DD7" s="10"/>
      <c r="DE7" s="10"/>
      <c r="DI7" s="10"/>
      <c r="DJ7" s="10"/>
      <c r="DK7" s="10"/>
      <c r="DL7" s="10"/>
      <c r="DM7" s="19">
        <v>44974</v>
      </c>
      <c r="DP7" s="10"/>
      <c r="DQ7" s="10"/>
      <c r="DR7" s="10"/>
      <c r="DS7" s="10"/>
      <c r="DT7" t="s">
        <v>152</v>
      </c>
    </row>
    <row r="8" spans="2:124" outlineLevel="1">
      <c r="B8" t="s">
        <v>28</v>
      </c>
      <c r="C8" t="s">
        <v>88</v>
      </c>
      <c r="E8" s="9"/>
      <c r="F8" t="s">
        <v>95</v>
      </c>
      <c r="G8" s="10">
        <v>0.2</v>
      </c>
      <c r="I8" s="9">
        <f>+SUMIF($N$3:$YX$3,I$3,$N8:$YX8)</f>
        <v>0</v>
      </c>
      <c r="J8" s="11" cm="1">
        <f t="array" ref="J8">MAX(IF($N$3:$DM$3=$J$3,N8:DM8))</f>
        <v>0</v>
      </c>
      <c r="K8" s="11" cm="1">
        <f t="array" ref="K8">MAX(IF($N$3:$DM$3=$J$3,N8:DM8))</f>
        <v>0</v>
      </c>
      <c r="L8" s="9"/>
      <c r="O8" s="10"/>
      <c r="P8" s="10"/>
      <c r="Q8" s="10"/>
      <c r="R8" s="10"/>
      <c r="V8" s="10"/>
      <c r="W8" s="10">
        <v>0.5</v>
      </c>
      <c r="X8" s="10"/>
      <c r="Y8" s="10">
        <v>0.5</v>
      </c>
      <c r="AC8" s="10"/>
      <c r="AD8" s="10">
        <v>0.5</v>
      </c>
      <c r="AE8" s="10"/>
      <c r="AF8" s="10">
        <v>0.5</v>
      </c>
      <c r="AJ8" s="10"/>
      <c r="AK8" s="10">
        <v>0.5</v>
      </c>
      <c r="AL8" s="10"/>
      <c r="AM8" s="10">
        <v>0.5</v>
      </c>
      <c r="AQ8" s="10"/>
      <c r="AR8" s="10">
        <v>0.5</v>
      </c>
      <c r="AS8" s="10"/>
      <c r="AT8" s="10">
        <v>0.5</v>
      </c>
      <c r="AX8" s="10"/>
      <c r="AY8" s="10">
        <v>0.5</v>
      </c>
      <c r="AZ8" s="10"/>
      <c r="BA8" s="10">
        <v>0.5</v>
      </c>
      <c r="BE8" s="10"/>
      <c r="BF8" s="10">
        <v>0.8</v>
      </c>
      <c r="BG8" s="10"/>
      <c r="BH8" s="10">
        <v>0.8</v>
      </c>
      <c r="BL8" s="10"/>
      <c r="BM8" s="10">
        <v>0.8</v>
      </c>
      <c r="BN8" s="10"/>
      <c r="BO8" s="10">
        <v>0.8</v>
      </c>
      <c r="BS8" s="10"/>
      <c r="BT8" s="10">
        <v>0.8</v>
      </c>
      <c r="BU8" s="10"/>
      <c r="BV8" s="10">
        <v>0.8</v>
      </c>
      <c r="BZ8" s="10"/>
      <c r="CA8" s="10">
        <v>0.8</v>
      </c>
      <c r="CB8" s="10"/>
      <c r="CC8" s="10">
        <v>0.8</v>
      </c>
      <c r="CG8" s="10"/>
      <c r="CH8" s="10">
        <v>0.8</v>
      </c>
      <c r="CI8" s="10"/>
      <c r="CJ8" s="10">
        <v>0.8</v>
      </c>
      <c r="CN8" s="10"/>
      <c r="CO8" s="10">
        <v>1</v>
      </c>
      <c r="CP8" s="10"/>
      <c r="CQ8" s="10">
        <v>1</v>
      </c>
      <c r="CU8" s="10"/>
      <c r="CV8" s="10">
        <v>1</v>
      </c>
      <c r="CW8" s="10"/>
      <c r="CX8" s="10">
        <v>1</v>
      </c>
      <c r="DB8" s="10"/>
      <c r="DC8" s="10"/>
      <c r="DD8" s="10"/>
      <c r="DE8" s="10"/>
      <c r="DI8" s="10"/>
      <c r="DJ8" s="10"/>
      <c r="DK8" s="10"/>
      <c r="DL8" s="10"/>
      <c r="DM8" s="19">
        <v>44974</v>
      </c>
      <c r="DP8" s="10"/>
      <c r="DQ8" s="10"/>
      <c r="DR8" s="10"/>
      <c r="DS8" s="10"/>
      <c r="DT8" t="s">
        <v>152</v>
      </c>
    </row>
    <row r="9" spans="2:124" outlineLevel="1">
      <c r="B9" t="s">
        <v>28</v>
      </c>
      <c r="C9" t="s">
        <v>88</v>
      </c>
      <c r="E9" s="9"/>
      <c r="F9" t="s">
        <v>96</v>
      </c>
      <c r="G9" s="10">
        <v>0.2</v>
      </c>
      <c r="I9" s="9">
        <f>+SUMIF($N$3:$YX$3,I$3,$N9:$YX9)</f>
        <v>0</v>
      </c>
      <c r="J9" s="11" cm="1">
        <f t="array" ref="J9">MAX(IF($N$3:$DM$3=$J$3,N9:DM9))</f>
        <v>0.5</v>
      </c>
      <c r="K9" s="11" cm="1">
        <f t="array" ref="K9">MAX(IF($N$3:$DM$3=$J$3,N9:DM9))</f>
        <v>0.5</v>
      </c>
      <c r="L9" s="9"/>
      <c r="O9" s="10">
        <v>0.5</v>
      </c>
      <c r="P9" s="10">
        <v>0.5</v>
      </c>
      <c r="Q9" s="10">
        <v>0.5</v>
      </c>
      <c r="R9" s="10">
        <v>0.5</v>
      </c>
      <c r="V9" s="10">
        <v>0.5</v>
      </c>
      <c r="W9" s="10">
        <v>0.5</v>
      </c>
      <c r="X9" s="10">
        <v>0.5</v>
      </c>
      <c r="Y9" s="10">
        <v>0.5</v>
      </c>
      <c r="AC9" s="10">
        <v>0.5</v>
      </c>
      <c r="AD9" s="10">
        <v>0.5</v>
      </c>
      <c r="AE9" s="10">
        <v>0.5</v>
      </c>
      <c r="AF9" s="10">
        <v>0.5</v>
      </c>
      <c r="AJ9" s="10">
        <v>0.5</v>
      </c>
      <c r="AK9" s="10">
        <v>0.5</v>
      </c>
      <c r="AL9" s="10">
        <v>0.5</v>
      </c>
      <c r="AM9" s="10">
        <v>0.5</v>
      </c>
      <c r="AQ9" s="10"/>
      <c r="AR9" s="10">
        <v>0.5</v>
      </c>
      <c r="AS9" s="10"/>
      <c r="AT9" s="10">
        <v>0.5</v>
      </c>
      <c r="AX9" s="10"/>
      <c r="AY9" s="10">
        <v>0.5</v>
      </c>
      <c r="AZ9" s="10"/>
      <c r="BA9" s="10">
        <v>0.5</v>
      </c>
      <c r="BE9" s="10"/>
      <c r="BF9" s="10">
        <v>0.5</v>
      </c>
      <c r="BG9" s="10"/>
      <c r="BH9" s="10">
        <v>0.5</v>
      </c>
      <c r="BL9" s="10"/>
      <c r="BM9" s="10">
        <v>0.5</v>
      </c>
      <c r="BN9" s="10"/>
      <c r="BO9" s="10">
        <v>0.5</v>
      </c>
      <c r="BS9" s="10"/>
      <c r="BT9" s="10">
        <v>0.8</v>
      </c>
      <c r="BU9" s="10"/>
      <c r="BV9" s="10">
        <v>0.8</v>
      </c>
      <c r="BZ9" s="10"/>
      <c r="CA9" s="10">
        <v>0.8</v>
      </c>
      <c r="CB9" s="10"/>
      <c r="CC9" s="10">
        <v>0.8</v>
      </c>
      <c r="CG9" s="10"/>
      <c r="CH9" s="10">
        <v>0.8</v>
      </c>
      <c r="CI9" s="10"/>
      <c r="CJ9" s="10">
        <v>0.8</v>
      </c>
      <c r="CN9" s="10"/>
      <c r="CO9" s="10">
        <v>0.8</v>
      </c>
      <c r="CP9" s="10"/>
      <c r="CQ9" s="10">
        <v>0.8</v>
      </c>
      <c r="CU9" s="10"/>
      <c r="CV9" s="10">
        <v>1</v>
      </c>
      <c r="CW9" s="10"/>
      <c r="CX9" s="10">
        <v>1</v>
      </c>
      <c r="DB9" s="10"/>
      <c r="DC9" s="10"/>
      <c r="DD9" s="10"/>
      <c r="DE9" s="10"/>
      <c r="DI9" s="10"/>
      <c r="DJ9" s="10"/>
      <c r="DK9" s="10"/>
      <c r="DL9" s="10"/>
      <c r="DM9" s="19">
        <v>44974</v>
      </c>
      <c r="DP9" s="10"/>
      <c r="DQ9" s="10"/>
      <c r="DR9" s="10"/>
      <c r="DS9" s="10"/>
      <c r="DT9" t="s">
        <v>152</v>
      </c>
    </row>
    <row r="11" spans="2:124">
      <c r="B11" t="s">
        <v>27</v>
      </c>
      <c r="C11" t="s">
        <v>89</v>
      </c>
      <c r="D11" s="20">
        <v>44966</v>
      </c>
      <c r="E11" s="9">
        <v>6</v>
      </c>
      <c r="G11" s="10">
        <f>+SUM(G12:G25)</f>
        <v>1</v>
      </c>
      <c r="I11" s="12">
        <f>+SUM(I12:I25)</f>
        <v>0</v>
      </c>
      <c r="J11" s="11">
        <f>+SUMPRODUCT(G12:G25,J12:J25)</f>
        <v>0</v>
      </c>
      <c r="K11" s="11">
        <f>+SUMPRODUCT(G12:G25,K12:K25)</f>
        <v>0</v>
      </c>
      <c r="L11" s="9"/>
      <c r="N11" s="12">
        <f>+SUM(N12:N25)</f>
        <v>0</v>
      </c>
      <c r="U11" s="12">
        <f>+SUM(U12:U25)</f>
        <v>0</v>
      </c>
      <c r="AB11" s="12">
        <f>+SUM(AB12:AB25)</f>
        <v>0</v>
      </c>
      <c r="AI11" s="12">
        <f>+SUM(AI12:AI25)</f>
        <v>0</v>
      </c>
      <c r="AP11" s="12">
        <f>+SUM(AP12:AP25)</f>
        <v>0</v>
      </c>
      <c r="AW11" s="12">
        <f>+SUM(AW12:AW25)</f>
        <v>0</v>
      </c>
      <c r="DF11" t="s">
        <v>153</v>
      </c>
    </row>
    <row r="12" spans="2:124" outlineLevel="1">
      <c r="B12" t="s">
        <v>28</v>
      </c>
      <c r="C12" t="s">
        <v>89</v>
      </c>
      <c r="E12" s="9"/>
      <c r="F12" t="s">
        <v>97</v>
      </c>
      <c r="G12" s="10">
        <v>0.1</v>
      </c>
      <c r="I12" s="9">
        <f t="shared" ref="I12:I25" si="0">+SUMIF($N$3:$YX$3,I$3,$N12:$YX12)</f>
        <v>0</v>
      </c>
      <c r="J12" s="11" cm="1">
        <f t="array" ref="J12">MAX(IF($N$3:$DM$3=$J$3,N12:DM12))</f>
        <v>0</v>
      </c>
      <c r="K12" s="11" cm="1">
        <f t="array" ref="K12">MAX(IF($N$3:$DM$3=$J$3,N12:DM12))</f>
        <v>0</v>
      </c>
      <c r="L12" s="9"/>
      <c r="O12" s="10"/>
      <c r="P12" s="10"/>
      <c r="Q12" s="10"/>
      <c r="R12" s="10"/>
      <c r="V12" s="10"/>
      <c r="W12" s="10">
        <v>0.5</v>
      </c>
      <c r="X12" s="10"/>
      <c r="Y12" s="10">
        <v>0.5</v>
      </c>
      <c r="AC12" s="10"/>
      <c r="AD12" s="10">
        <v>0.8</v>
      </c>
      <c r="AE12" s="10"/>
      <c r="AF12" s="10">
        <v>0.8</v>
      </c>
      <c r="AJ12" s="10"/>
      <c r="AK12" s="10">
        <v>0.8</v>
      </c>
      <c r="AL12" s="10"/>
      <c r="AM12" s="10">
        <v>0.8</v>
      </c>
      <c r="AQ12" s="10"/>
      <c r="AR12" s="10">
        <v>0.8</v>
      </c>
      <c r="AS12" s="10"/>
      <c r="AT12" s="10">
        <v>0.8</v>
      </c>
      <c r="AX12" s="10"/>
      <c r="AY12" s="10">
        <v>0.8</v>
      </c>
      <c r="AZ12" s="10"/>
      <c r="BA12" s="10">
        <v>0.8</v>
      </c>
      <c r="BE12" s="10"/>
      <c r="BF12" s="10">
        <v>1</v>
      </c>
      <c r="BG12" s="10"/>
      <c r="BH12" s="10">
        <v>1</v>
      </c>
      <c r="BL12" s="10"/>
      <c r="BM12" s="10">
        <v>1</v>
      </c>
      <c r="BN12" s="10"/>
      <c r="BO12" s="10">
        <v>1</v>
      </c>
      <c r="BS12" s="10"/>
      <c r="BT12" s="10">
        <v>1</v>
      </c>
      <c r="BU12" s="10"/>
      <c r="BV12" s="10">
        <v>1</v>
      </c>
      <c r="BZ12" s="10"/>
      <c r="CA12" s="10">
        <v>1</v>
      </c>
      <c r="CB12" s="10"/>
      <c r="CC12" s="10">
        <v>1</v>
      </c>
      <c r="CG12" s="10"/>
      <c r="CH12" s="10">
        <v>1</v>
      </c>
      <c r="CI12" s="10"/>
      <c r="CJ12" s="10">
        <v>1</v>
      </c>
      <c r="CN12" s="10"/>
      <c r="CO12" s="10"/>
      <c r="CP12" s="10"/>
      <c r="CQ12" s="10"/>
      <c r="CU12" s="10"/>
      <c r="CV12" s="10"/>
      <c r="CW12" s="10"/>
      <c r="CX12" s="10"/>
      <c r="DB12" s="10"/>
      <c r="DC12" s="10"/>
      <c r="DD12" s="10"/>
      <c r="DE12" s="10"/>
      <c r="DF12" t="s">
        <v>153</v>
      </c>
      <c r="DI12" s="10"/>
      <c r="DJ12" s="10"/>
      <c r="DK12" s="10"/>
      <c r="DL12" s="10"/>
      <c r="DP12" s="10"/>
      <c r="DQ12" s="10"/>
      <c r="DR12" s="10"/>
      <c r="DS12" s="10"/>
    </row>
    <row r="13" spans="2:124" outlineLevel="1">
      <c r="B13" t="s">
        <v>28</v>
      </c>
      <c r="C13" t="s">
        <v>89</v>
      </c>
      <c r="E13" s="9"/>
      <c r="F13" t="s">
        <v>98</v>
      </c>
      <c r="G13" s="10">
        <v>0.05</v>
      </c>
      <c r="I13" s="9">
        <f t="shared" si="0"/>
        <v>0</v>
      </c>
      <c r="J13" s="11" cm="1">
        <f t="array" ref="J13">MAX(IF($N$3:$DM$3=$J$3,N13:DM13))</f>
        <v>0</v>
      </c>
      <c r="K13" s="11" cm="1">
        <f t="array" ref="K13">MAX(IF($N$3:$DM$3=$J$3,N13:DM13))</f>
        <v>0</v>
      </c>
      <c r="L13" s="9"/>
      <c r="O13" s="10"/>
      <c r="P13" s="10"/>
      <c r="Q13" s="10"/>
      <c r="R13" s="10"/>
      <c r="V13" s="10"/>
      <c r="W13" s="10">
        <v>0.5</v>
      </c>
      <c r="X13" s="10"/>
      <c r="Y13" s="10">
        <v>0.5</v>
      </c>
      <c r="AC13" s="10"/>
      <c r="AD13" s="10">
        <v>0.5</v>
      </c>
      <c r="AE13" s="10"/>
      <c r="AF13" s="10">
        <v>0.5</v>
      </c>
      <c r="AJ13" s="10"/>
      <c r="AK13" s="10">
        <v>0.8</v>
      </c>
      <c r="AL13" s="10"/>
      <c r="AM13" s="10">
        <v>0.8</v>
      </c>
      <c r="AQ13" s="10"/>
      <c r="AR13" s="10">
        <v>0.8</v>
      </c>
      <c r="AS13" s="10"/>
      <c r="AT13" s="10">
        <v>0.8</v>
      </c>
      <c r="AX13" s="10"/>
      <c r="AY13" s="10">
        <v>0.8</v>
      </c>
      <c r="AZ13" s="10"/>
      <c r="BA13" s="10">
        <v>0.8</v>
      </c>
      <c r="BE13" s="10"/>
      <c r="BF13" s="10">
        <v>1</v>
      </c>
      <c r="BG13" s="10"/>
      <c r="BH13" s="10">
        <v>1</v>
      </c>
      <c r="BL13" s="10"/>
      <c r="BM13" s="10">
        <v>1</v>
      </c>
      <c r="BN13" s="10"/>
      <c r="BO13" s="10">
        <v>1</v>
      </c>
      <c r="BS13" s="10"/>
      <c r="BT13" s="10">
        <v>1</v>
      </c>
      <c r="BU13" s="10"/>
      <c r="BV13" s="10">
        <v>1</v>
      </c>
      <c r="BZ13" s="10"/>
      <c r="CA13" s="10">
        <v>1</v>
      </c>
      <c r="CB13" s="10"/>
      <c r="CC13" s="10">
        <v>1</v>
      </c>
      <c r="CG13" s="10"/>
      <c r="CH13" s="10">
        <v>1</v>
      </c>
      <c r="CI13" s="10"/>
      <c r="CJ13" s="10">
        <v>1</v>
      </c>
      <c r="CN13" s="10"/>
      <c r="CO13" s="10"/>
      <c r="CP13" s="10"/>
      <c r="CQ13" s="10"/>
      <c r="CU13" s="10"/>
      <c r="CV13" s="10"/>
      <c r="CW13" s="10"/>
      <c r="CX13" s="10"/>
      <c r="DB13" s="10"/>
      <c r="DC13" s="10"/>
      <c r="DD13" s="10"/>
      <c r="DE13" s="10"/>
      <c r="DF13" t="s">
        <v>153</v>
      </c>
      <c r="DI13" s="10"/>
      <c r="DJ13" s="10"/>
      <c r="DK13" s="10"/>
      <c r="DL13" s="10"/>
      <c r="DP13" s="10"/>
      <c r="DQ13" s="10"/>
      <c r="DR13" s="10"/>
      <c r="DS13" s="10"/>
    </row>
    <row r="14" spans="2:124" outlineLevel="1">
      <c r="B14" t="s">
        <v>28</v>
      </c>
      <c r="C14" t="s">
        <v>89</v>
      </c>
      <c r="E14" s="9"/>
      <c r="F14" t="s">
        <v>99</v>
      </c>
      <c r="G14" s="10">
        <v>0.05</v>
      </c>
      <c r="I14" s="9">
        <f t="shared" si="0"/>
        <v>0</v>
      </c>
      <c r="J14" s="11" cm="1">
        <f t="array" ref="J14">MAX(IF($N$3:$DM$3=$J$3,N14:DM14))</f>
        <v>0</v>
      </c>
      <c r="K14" s="11" cm="1">
        <f t="array" ref="K14">MAX(IF($N$3:$DM$3=$J$3,N14:DM14))</f>
        <v>0</v>
      </c>
      <c r="L14" s="9"/>
      <c r="O14" s="10"/>
      <c r="P14" s="10"/>
      <c r="Q14" s="10"/>
      <c r="R14" s="10"/>
      <c r="V14" s="10"/>
      <c r="W14" s="10">
        <v>0.5</v>
      </c>
      <c r="X14" s="10"/>
      <c r="Y14" s="10">
        <v>0.5</v>
      </c>
      <c r="AC14" s="10"/>
      <c r="AD14" s="10">
        <v>0.5</v>
      </c>
      <c r="AE14" s="10"/>
      <c r="AF14" s="10">
        <v>0.5</v>
      </c>
      <c r="AJ14" s="10"/>
      <c r="AK14" s="10">
        <v>0.8</v>
      </c>
      <c r="AL14" s="10"/>
      <c r="AM14" s="10">
        <v>0.8</v>
      </c>
      <c r="AQ14" s="10"/>
      <c r="AR14" s="10">
        <v>0.8</v>
      </c>
      <c r="AS14" s="10"/>
      <c r="AT14" s="10">
        <v>0.8</v>
      </c>
      <c r="AX14" s="10"/>
      <c r="AY14" s="10">
        <v>0.8</v>
      </c>
      <c r="AZ14" s="10"/>
      <c r="BA14" s="10">
        <v>0.8</v>
      </c>
      <c r="BE14" s="10"/>
      <c r="BF14" s="10">
        <v>0.8</v>
      </c>
      <c r="BG14" s="10"/>
      <c r="BH14" s="10">
        <v>0.8</v>
      </c>
      <c r="BL14" s="10"/>
      <c r="BM14" s="10">
        <v>1</v>
      </c>
      <c r="BN14" s="10"/>
      <c r="BO14" s="10">
        <v>1</v>
      </c>
      <c r="BS14" s="10"/>
      <c r="BT14" s="10">
        <v>1</v>
      </c>
      <c r="BU14" s="10"/>
      <c r="BV14" s="10">
        <v>1</v>
      </c>
      <c r="BZ14" s="10"/>
      <c r="CA14" s="10">
        <v>1</v>
      </c>
      <c r="CB14" s="10"/>
      <c r="CC14" s="10">
        <v>1</v>
      </c>
      <c r="CG14" s="10"/>
      <c r="CH14" s="10">
        <v>1</v>
      </c>
      <c r="CI14" s="10"/>
      <c r="CJ14" s="10">
        <v>1</v>
      </c>
      <c r="CN14" s="10"/>
      <c r="CO14" s="10"/>
      <c r="CP14" s="10"/>
      <c r="CQ14" s="10"/>
      <c r="CU14" s="10"/>
      <c r="CV14" s="10"/>
      <c r="CW14" s="10"/>
      <c r="CX14" s="10"/>
      <c r="DB14" s="10"/>
      <c r="DC14" s="10"/>
      <c r="DD14" s="10"/>
      <c r="DE14" s="10"/>
      <c r="DF14" t="s">
        <v>153</v>
      </c>
      <c r="DI14" s="10"/>
      <c r="DJ14" s="10"/>
      <c r="DK14" s="10"/>
      <c r="DL14" s="10"/>
      <c r="DP14" s="10"/>
      <c r="DQ14" s="10"/>
      <c r="DR14" s="10"/>
      <c r="DS14" s="10"/>
    </row>
    <row r="15" spans="2:124" outlineLevel="1">
      <c r="B15" t="s">
        <v>28</v>
      </c>
      <c r="C15" t="s">
        <v>89</v>
      </c>
      <c r="E15" s="9"/>
      <c r="F15" t="s">
        <v>100</v>
      </c>
      <c r="G15" s="10">
        <v>0.1</v>
      </c>
      <c r="I15" s="9">
        <f t="shared" si="0"/>
        <v>0</v>
      </c>
      <c r="J15" s="11" cm="1">
        <f t="array" ref="J15">MAX(IF($N$3:$DM$3=$J$3,N15:DM15))</f>
        <v>0</v>
      </c>
      <c r="K15" s="11" cm="1">
        <f t="array" ref="K15">MAX(IF($N$3:$DM$3=$J$3,N15:DM15))</f>
        <v>0</v>
      </c>
      <c r="L15" s="9"/>
      <c r="O15" s="10"/>
      <c r="P15" s="10"/>
      <c r="Q15" s="10"/>
      <c r="R15" s="10"/>
      <c r="V15" s="10"/>
      <c r="W15" s="10">
        <v>0.5</v>
      </c>
      <c r="X15" s="10"/>
      <c r="Y15" s="10">
        <v>0.5</v>
      </c>
      <c r="AC15" s="10"/>
      <c r="AD15" s="10">
        <v>0.5</v>
      </c>
      <c r="AE15" s="10"/>
      <c r="AF15" s="10">
        <v>0.5</v>
      </c>
      <c r="AJ15" s="10"/>
      <c r="AK15" s="10">
        <v>0.5</v>
      </c>
      <c r="AL15" s="10"/>
      <c r="AM15" s="10">
        <v>0.5</v>
      </c>
      <c r="AQ15" s="10"/>
      <c r="AR15" s="10">
        <v>0.8</v>
      </c>
      <c r="AS15" s="10"/>
      <c r="AT15" s="10">
        <v>0.8</v>
      </c>
      <c r="AX15" s="10"/>
      <c r="AY15" s="10">
        <v>0.8</v>
      </c>
      <c r="AZ15" s="10"/>
      <c r="BA15" s="10">
        <v>0.8</v>
      </c>
      <c r="BE15" s="10"/>
      <c r="BF15" s="10">
        <v>0.8</v>
      </c>
      <c r="BG15" s="10"/>
      <c r="BH15" s="10">
        <v>0.8</v>
      </c>
      <c r="BL15" s="10"/>
      <c r="BM15" s="10">
        <v>1</v>
      </c>
      <c r="BN15" s="10"/>
      <c r="BO15" s="10">
        <v>1</v>
      </c>
      <c r="BS15" s="10"/>
      <c r="BT15" s="10">
        <v>1</v>
      </c>
      <c r="BU15" s="10"/>
      <c r="BV15" s="10">
        <v>1</v>
      </c>
      <c r="BZ15" s="10"/>
      <c r="CA15" s="10">
        <v>1</v>
      </c>
      <c r="CB15" s="10"/>
      <c r="CC15" s="10">
        <v>1</v>
      </c>
      <c r="CG15" s="10"/>
      <c r="CH15" s="10">
        <v>1</v>
      </c>
      <c r="CI15" s="10"/>
      <c r="CJ15" s="10">
        <v>1</v>
      </c>
      <c r="CN15" s="10"/>
      <c r="CO15" s="10"/>
      <c r="CP15" s="10"/>
      <c r="CQ15" s="10"/>
      <c r="CU15" s="10"/>
      <c r="CV15" s="10"/>
      <c r="CW15" s="10"/>
      <c r="CX15" s="10"/>
      <c r="DB15" s="10"/>
      <c r="DC15" s="10"/>
      <c r="DD15" s="10"/>
      <c r="DE15" s="10"/>
      <c r="DF15" t="s">
        <v>153</v>
      </c>
      <c r="DI15" s="10"/>
      <c r="DJ15" s="10"/>
      <c r="DK15" s="10"/>
      <c r="DL15" s="10"/>
      <c r="DP15" s="10"/>
      <c r="DQ15" s="10"/>
      <c r="DR15" s="10"/>
      <c r="DS15" s="10"/>
    </row>
    <row r="16" spans="2:124" outlineLevel="1">
      <c r="B16" t="s">
        <v>28</v>
      </c>
      <c r="C16" t="s">
        <v>89</v>
      </c>
      <c r="E16" s="9"/>
      <c r="F16" t="s">
        <v>101</v>
      </c>
      <c r="G16" s="10">
        <v>0.05</v>
      </c>
      <c r="I16" s="9">
        <f t="shared" si="0"/>
        <v>0</v>
      </c>
      <c r="J16" s="11" cm="1">
        <f t="array" ref="J16">MAX(IF($N$3:$DM$3=$J$3,N16:DM16))</f>
        <v>0</v>
      </c>
      <c r="K16" s="11" cm="1">
        <f t="array" ref="K16">MAX(IF($N$3:$DM$3=$J$3,N16:DM16))</f>
        <v>0</v>
      </c>
      <c r="L16" s="9"/>
      <c r="O16" s="10"/>
      <c r="P16" s="10"/>
      <c r="Q16" s="10"/>
      <c r="R16" s="10"/>
      <c r="V16" s="10"/>
      <c r="W16" s="10"/>
      <c r="X16" s="10"/>
      <c r="AC16" s="10"/>
      <c r="AD16" s="10">
        <v>0.5</v>
      </c>
      <c r="AE16" s="10"/>
      <c r="AF16" s="10">
        <v>0.5</v>
      </c>
      <c r="AJ16" s="10"/>
      <c r="AK16" s="10">
        <v>0.5</v>
      </c>
      <c r="AL16" s="10"/>
      <c r="AM16" s="10">
        <v>0.5</v>
      </c>
      <c r="AQ16" s="10"/>
      <c r="AR16" s="10">
        <v>0.8</v>
      </c>
      <c r="AS16" s="10"/>
      <c r="AT16" s="10">
        <v>0.8</v>
      </c>
      <c r="AX16" s="10"/>
      <c r="AY16" s="10">
        <v>0.8</v>
      </c>
      <c r="AZ16" s="10"/>
      <c r="BA16" s="10">
        <v>0.8</v>
      </c>
      <c r="BE16" s="10"/>
      <c r="BF16" s="10">
        <v>0.8</v>
      </c>
      <c r="BG16" s="10"/>
      <c r="BH16" s="10">
        <v>0.8</v>
      </c>
      <c r="BL16" s="10"/>
      <c r="BM16" s="10">
        <v>0.8</v>
      </c>
      <c r="BN16" s="10"/>
      <c r="BO16" s="10">
        <v>0.8</v>
      </c>
      <c r="BS16" s="10"/>
      <c r="BT16" s="10">
        <v>1</v>
      </c>
      <c r="BU16" s="10"/>
      <c r="BV16" s="10">
        <v>1</v>
      </c>
      <c r="BZ16" s="10"/>
      <c r="CA16" s="10">
        <v>1</v>
      </c>
      <c r="CB16" s="10"/>
      <c r="CC16" s="10">
        <v>1</v>
      </c>
      <c r="CG16" s="10"/>
      <c r="CH16" s="10">
        <v>1</v>
      </c>
      <c r="CI16" s="10"/>
      <c r="CJ16" s="10">
        <v>1</v>
      </c>
      <c r="CN16" s="10"/>
      <c r="CO16" s="10"/>
      <c r="CP16" s="10"/>
      <c r="CQ16" s="10"/>
      <c r="CU16" s="10"/>
      <c r="CV16" s="10"/>
      <c r="CW16" s="10"/>
      <c r="CX16" s="10"/>
      <c r="DB16" s="10"/>
      <c r="DC16" s="10"/>
      <c r="DD16" s="10"/>
      <c r="DE16" s="10"/>
      <c r="DF16" t="s">
        <v>153</v>
      </c>
      <c r="DI16" s="10"/>
      <c r="DJ16" s="10"/>
      <c r="DK16" s="10"/>
      <c r="DL16" s="10"/>
      <c r="DP16" s="10"/>
      <c r="DQ16" s="10"/>
      <c r="DR16" s="10"/>
      <c r="DS16" s="10"/>
    </row>
    <row r="17" spans="2:124" outlineLevel="1">
      <c r="B17" t="s">
        <v>28</v>
      </c>
      <c r="C17" t="s">
        <v>89</v>
      </c>
      <c r="E17" s="9"/>
      <c r="F17" t="s">
        <v>102</v>
      </c>
      <c r="G17" s="10">
        <v>0.05</v>
      </c>
      <c r="I17" s="9">
        <f t="shared" si="0"/>
        <v>0</v>
      </c>
      <c r="J17" s="11" cm="1">
        <f t="array" ref="J17">MAX(IF($N$3:$DM$3=$J$3,N17:DM17))</f>
        <v>0</v>
      </c>
      <c r="K17" s="11" cm="1">
        <f t="array" ref="K17">MAX(IF($N$3:$DM$3=$J$3,N17:DM17))</f>
        <v>0</v>
      </c>
      <c r="L17" s="9"/>
      <c r="O17" s="10"/>
      <c r="P17" s="10"/>
      <c r="Q17" s="10"/>
      <c r="R17" s="10"/>
      <c r="V17" s="10"/>
      <c r="W17" s="10"/>
      <c r="X17" s="10"/>
      <c r="Y17" s="10"/>
      <c r="AC17" s="10"/>
      <c r="AD17" s="10">
        <v>0.5</v>
      </c>
      <c r="AE17" s="10"/>
      <c r="AF17" s="10">
        <v>0.5</v>
      </c>
      <c r="AJ17" s="10"/>
      <c r="AK17" s="10">
        <v>0.5</v>
      </c>
      <c r="AL17" s="10"/>
      <c r="AM17" s="10">
        <v>0.5</v>
      </c>
      <c r="AQ17" s="10"/>
      <c r="AR17" s="10">
        <v>0.5</v>
      </c>
      <c r="AS17" s="10"/>
      <c r="AT17" s="10">
        <v>0.5</v>
      </c>
      <c r="AX17" s="10"/>
      <c r="AY17" s="10">
        <v>0.8</v>
      </c>
      <c r="AZ17" s="10"/>
      <c r="BA17" s="10">
        <v>0.8</v>
      </c>
      <c r="BE17" s="10"/>
      <c r="BF17" s="10">
        <v>0.8</v>
      </c>
      <c r="BG17" s="10"/>
      <c r="BH17" s="10">
        <v>0.8</v>
      </c>
      <c r="BL17" s="10"/>
      <c r="BM17" s="10">
        <v>0.8</v>
      </c>
      <c r="BN17" s="10"/>
      <c r="BO17" s="10">
        <v>0.8</v>
      </c>
      <c r="BS17" s="10"/>
      <c r="BT17" s="10">
        <v>1</v>
      </c>
      <c r="BU17" s="10"/>
      <c r="BV17" s="10">
        <v>1</v>
      </c>
      <c r="BZ17" s="10"/>
      <c r="CA17" s="10">
        <v>1</v>
      </c>
      <c r="CB17" s="10"/>
      <c r="CC17" s="10">
        <v>1</v>
      </c>
      <c r="CG17" s="10"/>
      <c r="CH17" s="10">
        <v>1</v>
      </c>
      <c r="CI17" s="10"/>
      <c r="CJ17" s="10">
        <v>1</v>
      </c>
      <c r="CN17" s="10"/>
      <c r="CO17" s="10"/>
      <c r="CP17" s="10"/>
      <c r="CQ17" s="10"/>
      <c r="CU17" s="10"/>
      <c r="CV17" s="10"/>
      <c r="CW17" s="10"/>
      <c r="CX17" s="10"/>
      <c r="DB17" s="10"/>
      <c r="DC17" s="10"/>
      <c r="DD17" s="10"/>
      <c r="DE17" s="10"/>
      <c r="DF17" t="s">
        <v>153</v>
      </c>
      <c r="DI17" s="10"/>
      <c r="DJ17" s="10"/>
      <c r="DK17" s="10"/>
      <c r="DL17" s="10"/>
      <c r="DP17" s="10"/>
      <c r="DQ17" s="10"/>
      <c r="DR17" s="10"/>
      <c r="DS17" s="10"/>
    </row>
    <row r="18" spans="2:124" outlineLevel="1">
      <c r="B18" t="s">
        <v>28</v>
      </c>
      <c r="C18" t="s">
        <v>89</v>
      </c>
      <c r="E18" s="9"/>
      <c r="F18" t="s">
        <v>103</v>
      </c>
      <c r="G18" s="10">
        <v>0.05</v>
      </c>
      <c r="I18" s="9">
        <f t="shared" si="0"/>
        <v>0</v>
      </c>
      <c r="J18" s="11" cm="1">
        <f t="array" ref="J18">MAX(IF($N$3:$DM$3=$J$3,N18:DM18))</f>
        <v>0</v>
      </c>
      <c r="K18" s="11" cm="1">
        <f t="array" ref="K18">MAX(IF($N$3:$DM$3=$J$3,N18:DM18))</f>
        <v>0</v>
      </c>
      <c r="L18" s="9"/>
      <c r="O18" s="10"/>
      <c r="P18" s="10"/>
      <c r="Q18" s="10"/>
      <c r="R18" s="10"/>
      <c r="V18" s="10"/>
      <c r="W18" s="10"/>
      <c r="X18" s="10"/>
      <c r="Y18" s="10"/>
      <c r="AC18" s="10"/>
      <c r="AD18" s="10">
        <v>0.5</v>
      </c>
      <c r="AE18" s="10"/>
      <c r="AF18" s="10">
        <v>0.5</v>
      </c>
      <c r="AJ18" s="10"/>
      <c r="AK18" s="10">
        <v>0.5</v>
      </c>
      <c r="AL18" s="10"/>
      <c r="AM18" s="10">
        <v>0.5</v>
      </c>
      <c r="AQ18" s="10"/>
      <c r="AR18" s="10">
        <v>0.5</v>
      </c>
      <c r="AS18" s="10"/>
      <c r="AT18" s="10">
        <v>0.5</v>
      </c>
      <c r="AX18" s="10"/>
      <c r="AY18" s="10">
        <v>0.8</v>
      </c>
      <c r="AZ18" s="10"/>
      <c r="BA18" s="10">
        <v>0.8</v>
      </c>
      <c r="BE18" s="10"/>
      <c r="BF18" s="10">
        <v>0.8</v>
      </c>
      <c r="BG18" s="10"/>
      <c r="BH18" s="10">
        <v>0.8</v>
      </c>
      <c r="BL18" s="10"/>
      <c r="BM18" s="10">
        <v>0.8</v>
      </c>
      <c r="BN18" s="10"/>
      <c r="BO18" s="10">
        <v>0.8</v>
      </c>
      <c r="BS18" s="10"/>
      <c r="BT18" s="10">
        <v>0.8</v>
      </c>
      <c r="BU18" s="10"/>
      <c r="BV18" s="10">
        <v>0.8</v>
      </c>
      <c r="BZ18" s="10"/>
      <c r="CA18" s="10">
        <v>1</v>
      </c>
      <c r="CB18" s="10"/>
      <c r="CC18" s="10">
        <v>1</v>
      </c>
      <c r="CG18" s="10"/>
      <c r="CH18" s="10">
        <v>1</v>
      </c>
      <c r="CI18" s="10"/>
      <c r="CJ18" s="10">
        <v>1</v>
      </c>
      <c r="CN18" s="10"/>
      <c r="CO18" s="10"/>
      <c r="CP18" s="10"/>
      <c r="CQ18" s="10"/>
      <c r="CU18" s="10"/>
      <c r="CV18" s="10"/>
      <c r="CW18" s="10"/>
      <c r="CX18" s="10"/>
      <c r="DB18" s="10"/>
      <c r="DC18" s="10"/>
      <c r="DD18" s="10"/>
      <c r="DE18" s="10"/>
      <c r="DF18" t="s">
        <v>153</v>
      </c>
      <c r="DI18" s="10"/>
      <c r="DJ18" s="10"/>
      <c r="DK18" s="10"/>
      <c r="DL18" s="10"/>
      <c r="DP18" s="10"/>
      <c r="DQ18" s="10"/>
      <c r="DR18" s="10"/>
      <c r="DS18" s="10"/>
    </row>
    <row r="19" spans="2:124" outlineLevel="1">
      <c r="B19" t="s">
        <v>28</v>
      </c>
      <c r="C19" t="s">
        <v>89</v>
      </c>
      <c r="E19" s="9"/>
      <c r="F19" t="s">
        <v>104</v>
      </c>
      <c r="G19" s="10">
        <v>0.05</v>
      </c>
      <c r="I19" s="9">
        <f t="shared" si="0"/>
        <v>0</v>
      </c>
      <c r="J19" s="11" cm="1">
        <f t="array" ref="J19">MAX(IF($N$3:$DM$3=$J$3,N19:DM19))</f>
        <v>0</v>
      </c>
      <c r="K19" s="11" cm="1">
        <f t="array" ref="K19">MAX(IF($N$3:$DM$3=$J$3,N19:DM19))</f>
        <v>0</v>
      </c>
      <c r="L19" s="9"/>
      <c r="O19" s="10"/>
      <c r="P19" s="10"/>
      <c r="Q19" s="10"/>
      <c r="R19" s="10"/>
      <c r="V19" s="10"/>
      <c r="W19" s="10"/>
      <c r="X19" s="10"/>
      <c r="Y19" s="10"/>
      <c r="AC19" s="10"/>
      <c r="AD19" s="10"/>
      <c r="AE19" s="10"/>
      <c r="AF19" s="10"/>
      <c r="AJ19" s="10"/>
      <c r="AK19" s="10">
        <v>0.5</v>
      </c>
      <c r="AL19" s="10"/>
      <c r="AM19" s="10">
        <v>0.5</v>
      </c>
      <c r="AQ19" s="10"/>
      <c r="AR19" s="10">
        <v>0.5</v>
      </c>
      <c r="AS19" s="10"/>
      <c r="AT19" s="10">
        <v>0.5</v>
      </c>
      <c r="AX19" s="10"/>
      <c r="AY19" s="10">
        <v>0.5</v>
      </c>
      <c r="AZ19" s="10"/>
      <c r="BA19" s="10">
        <v>0.5</v>
      </c>
      <c r="BE19" s="10"/>
      <c r="BF19" s="10">
        <v>0.8</v>
      </c>
      <c r="BG19" s="10"/>
      <c r="BH19" s="10">
        <v>0.8</v>
      </c>
      <c r="BL19" s="10"/>
      <c r="BM19" s="10">
        <v>0.8</v>
      </c>
      <c r="BN19" s="10"/>
      <c r="BO19" s="10">
        <v>0.8</v>
      </c>
      <c r="BS19" s="10"/>
      <c r="BT19" s="10">
        <v>0.8</v>
      </c>
      <c r="BU19" s="10"/>
      <c r="BV19" s="10">
        <v>0.8</v>
      </c>
      <c r="BZ19" s="10"/>
      <c r="CA19" s="10">
        <v>1</v>
      </c>
      <c r="CB19" s="10"/>
      <c r="CC19" s="10">
        <v>1</v>
      </c>
      <c r="CG19" s="10"/>
      <c r="CH19" s="10">
        <v>1</v>
      </c>
      <c r="CI19" s="10"/>
      <c r="CJ19" s="10">
        <v>1</v>
      </c>
      <c r="CN19" s="10"/>
      <c r="CO19" s="10"/>
      <c r="CP19" s="10"/>
      <c r="CQ19" s="10"/>
      <c r="CU19" s="10"/>
      <c r="CV19" s="10"/>
      <c r="CW19" s="10"/>
      <c r="CX19" s="10"/>
      <c r="DB19" s="10"/>
      <c r="DC19" s="10"/>
      <c r="DD19" s="10"/>
      <c r="DE19" s="10"/>
      <c r="DF19" t="s">
        <v>153</v>
      </c>
      <c r="DI19" s="10"/>
      <c r="DJ19" s="10"/>
      <c r="DK19" s="10"/>
      <c r="DL19" s="10"/>
      <c r="DP19" s="10"/>
      <c r="DQ19" s="10"/>
      <c r="DR19" s="10"/>
      <c r="DS19" s="10"/>
    </row>
    <row r="20" spans="2:124" outlineLevel="1">
      <c r="B20" t="s">
        <v>28</v>
      </c>
      <c r="C20" t="s">
        <v>89</v>
      </c>
      <c r="E20" s="9"/>
      <c r="F20" t="s">
        <v>105</v>
      </c>
      <c r="G20" s="10">
        <v>0.1</v>
      </c>
      <c r="I20" s="9">
        <f t="shared" si="0"/>
        <v>0</v>
      </c>
      <c r="J20" s="11" cm="1">
        <f t="array" ref="J20">MAX(IF($N$3:$DM$3=$J$3,N20:DM20))</f>
        <v>0</v>
      </c>
      <c r="K20" s="11" cm="1">
        <f t="array" ref="K20">MAX(IF($N$3:$DM$3=$J$3,N20:DM20))</f>
        <v>0</v>
      </c>
      <c r="L20" s="9"/>
      <c r="O20" s="10"/>
      <c r="P20" s="10"/>
      <c r="Q20" s="10"/>
      <c r="R20" s="10"/>
      <c r="V20" s="10"/>
      <c r="W20" s="10"/>
      <c r="X20" s="10"/>
      <c r="Y20" s="10"/>
      <c r="AC20" s="10"/>
      <c r="AD20" s="10"/>
      <c r="AE20" s="10"/>
      <c r="AF20" s="10"/>
      <c r="AJ20" s="10"/>
      <c r="AK20" s="10">
        <v>0.5</v>
      </c>
      <c r="AL20" s="10"/>
      <c r="AM20" s="10">
        <v>0.5</v>
      </c>
      <c r="AQ20" s="10"/>
      <c r="AR20" s="10">
        <v>0.5</v>
      </c>
      <c r="AS20" s="10"/>
      <c r="AT20" s="10">
        <v>0.5</v>
      </c>
      <c r="AX20" s="10"/>
      <c r="AY20" s="10">
        <v>0.5</v>
      </c>
      <c r="AZ20" s="10"/>
      <c r="BA20" s="10">
        <v>0.5</v>
      </c>
      <c r="BE20" s="10"/>
      <c r="BF20" s="10">
        <v>0.8</v>
      </c>
      <c r="BG20" s="10"/>
      <c r="BH20" s="10">
        <v>0.8</v>
      </c>
      <c r="BL20" s="10"/>
      <c r="BM20" s="10">
        <v>0.8</v>
      </c>
      <c r="BN20" s="10"/>
      <c r="BO20" s="10">
        <v>0.8</v>
      </c>
      <c r="BS20" s="10"/>
      <c r="BT20" s="10">
        <v>0.8</v>
      </c>
      <c r="BU20" s="10"/>
      <c r="BV20" s="10">
        <v>0.8</v>
      </c>
      <c r="BZ20" s="10"/>
      <c r="CA20" s="10">
        <v>1</v>
      </c>
      <c r="CB20" s="10"/>
      <c r="CC20" s="10">
        <v>1</v>
      </c>
      <c r="CG20" s="10"/>
      <c r="CH20" s="10">
        <v>1</v>
      </c>
      <c r="CI20" s="10"/>
      <c r="CJ20" s="10">
        <v>1</v>
      </c>
      <c r="CN20" s="10"/>
      <c r="CO20" s="10"/>
      <c r="CP20" s="10"/>
      <c r="CQ20" s="10"/>
      <c r="CU20" s="10"/>
      <c r="CV20" s="10"/>
      <c r="CW20" s="10"/>
      <c r="CX20" s="10"/>
      <c r="DB20" s="10"/>
      <c r="DC20" s="10"/>
      <c r="DD20" s="10"/>
      <c r="DE20" s="10"/>
      <c r="DF20" t="s">
        <v>153</v>
      </c>
      <c r="DI20" s="10"/>
      <c r="DJ20" s="10"/>
      <c r="DK20" s="10"/>
      <c r="DL20" s="10"/>
      <c r="DP20" s="10"/>
      <c r="DQ20" s="10"/>
      <c r="DR20" s="10"/>
      <c r="DS20" s="10"/>
    </row>
    <row r="21" spans="2:124" outlineLevel="1">
      <c r="B21" t="s">
        <v>28</v>
      </c>
      <c r="C21" t="s">
        <v>89</v>
      </c>
      <c r="E21" s="9"/>
      <c r="F21" t="s">
        <v>106</v>
      </c>
      <c r="G21" s="10">
        <v>0.05</v>
      </c>
      <c r="I21" s="9">
        <f t="shared" si="0"/>
        <v>0</v>
      </c>
      <c r="J21" s="11" cm="1">
        <f t="array" ref="J21">MAX(IF($N$3:$DM$3=$J$3,N21:DM21))</f>
        <v>0</v>
      </c>
      <c r="K21" s="11" cm="1">
        <f t="array" ref="K21">MAX(IF($N$3:$DM$3=$J$3,N21:DM21))</f>
        <v>0</v>
      </c>
      <c r="L21" s="9"/>
      <c r="O21" s="10"/>
      <c r="P21" s="10"/>
      <c r="Q21" s="10"/>
      <c r="R21" s="10"/>
      <c r="V21" s="10"/>
      <c r="W21" s="10"/>
      <c r="X21" s="10"/>
      <c r="Y21" s="10"/>
      <c r="AC21" s="10"/>
      <c r="AD21" s="10"/>
      <c r="AE21" s="10"/>
      <c r="AF21" s="10"/>
      <c r="AJ21" s="10"/>
      <c r="AK21" s="10"/>
      <c r="AL21" s="10"/>
      <c r="AM21" s="10"/>
      <c r="AQ21" s="10"/>
      <c r="AR21" s="10">
        <v>0.5</v>
      </c>
      <c r="AS21" s="10"/>
      <c r="AT21" s="10">
        <v>0.5</v>
      </c>
      <c r="AX21" s="10"/>
      <c r="AY21" s="10">
        <v>0.5</v>
      </c>
      <c r="AZ21" s="10"/>
      <c r="BA21" s="10">
        <v>0.5</v>
      </c>
      <c r="BE21" s="10"/>
      <c r="BF21" s="10">
        <v>0.5</v>
      </c>
      <c r="BG21" s="10"/>
      <c r="BH21" s="10">
        <v>0.5</v>
      </c>
      <c r="BL21" s="10"/>
      <c r="BM21" s="10">
        <v>0.8</v>
      </c>
      <c r="BN21" s="10"/>
      <c r="BO21" s="10">
        <v>0.8</v>
      </c>
      <c r="BS21" s="10"/>
      <c r="BT21" s="10">
        <v>0.8</v>
      </c>
      <c r="BU21" s="10"/>
      <c r="BV21" s="10">
        <v>0.8</v>
      </c>
      <c r="BZ21" s="10"/>
      <c r="CA21" s="10">
        <v>0.8</v>
      </c>
      <c r="CB21" s="10"/>
      <c r="CC21" s="10">
        <v>0.8</v>
      </c>
      <c r="CG21" s="10"/>
      <c r="CH21" s="10">
        <v>1</v>
      </c>
      <c r="CI21" s="10"/>
      <c r="CJ21" s="10">
        <v>1</v>
      </c>
      <c r="CN21" s="10"/>
      <c r="CO21" s="10"/>
      <c r="CP21" s="10"/>
      <c r="CQ21" s="10"/>
      <c r="CU21" s="10"/>
      <c r="CV21" s="10"/>
      <c r="CW21" s="10"/>
      <c r="CX21" s="10"/>
      <c r="DB21" s="10"/>
      <c r="DC21" s="10"/>
      <c r="DD21" s="10"/>
      <c r="DE21" s="10"/>
      <c r="DF21" t="s">
        <v>153</v>
      </c>
      <c r="DI21" s="10"/>
      <c r="DJ21" s="10"/>
      <c r="DK21" s="10"/>
      <c r="DL21" s="10"/>
      <c r="DP21" s="10"/>
      <c r="DQ21" s="10"/>
      <c r="DR21" s="10"/>
      <c r="DS21" s="10"/>
    </row>
    <row r="22" spans="2:124" outlineLevel="1">
      <c r="B22" t="s">
        <v>28</v>
      </c>
      <c r="C22" t="s">
        <v>89</v>
      </c>
      <c r="E22" s="9"/>
      <c r="F22" t="s">
        <v>107</v>
      </c>
      <c r="G22" s="10">
        <v>0.05</v>
      </c>
      <c r="I22" s="9">
        <f t="shared" si="0"/>
        <v>0</v>
      </c>
      <c r="J22" s="11" cm="1">
        <f t="array" ref="J22">MAX(IF($N$3:$DM$3=$J$3,N22:DM22))</f>
        <v>0</v>
      </c>
      <c r="K22" s="11" cm="1">
        <f t="array" ref="K22">MAX(IF($N$3:$DM$3=$J$3,N22:DM22))</f>
        <v>0</v>
      </c>
      <c r="L22" s="9"/>
      <c r="O22" s="10"/>
      <c r="P22" s="10"/>
      <c r="Q22" s="10"/>
      <c r="R22" s="10"/>
      <c r="V22" s="10"/>
      <c r="W22" s="10"/>
      <c r="X22" s="10"/>
      <c r="Y22" s="10"/>
      <c r="AC22" s="10"/>
      <c r="AD22" s="10"/>
      <c r="AE22" s="10"/>
      <c r="AF22" s="10"/>
      <c r="AJ22" s="10"/>
      <c r="AK22" s="10"/>
      <c r="AL22" s="10"/>
      <c r="AM22" s="10"/>
      <c r="AQ22" s="10"/>
      <c r="AR22" s="10">
        <v>0.5</v>
      </c>
      <c r="AS22" s="10"/>
      <c r="AT22" s="10">
        <v>0.5</v>
      </c>
      <c r="AX22" s="10"/>
      <c r="AY22" s="10">
        <v>0.5</v>
      </c>
      <c r="AZ22" s="10"/>
      <c r="BA22" s="10">
        <v>0.5</v>
      </c>
      <c r="BE22" s="10"/>
      <c r="BF22" s="10">
        <v>0.5</v>
      </c>
      <c r="BG22" s="10"/>
      <c r="BH22" s="10">
        <v>0.5</v>
      </c>
      <c r="BL22" s="10"/>
      <c r="BM22" s="10">
        <v>0.8</v>
      </c>
      <c r="BN22" s="10"/>
      <c r="BO22" s="10">
        <v>0.8</v>
      </c>
      <c r="BS22" s="10"/>
      <c r="BT22" s="10">
        <v>0.8</v>
      </c>
      <c r="BU22" s="10"/>
      <c r="BV22" s="10">
        <v>0.8</v>
      </c>
      <c r="BZ22" s="10"/>
      <c r="CA22" s="10">
        <v>0.8</v>
      </c>
      <c r="CB22" s="10"/>
      <c r="CC22" s="10">
        <v>0.8</v>
      </c>
      <c r="CG22" s="10"/>
      <c r="CH22" s="10">
        <v>1</v>
      </c>
      <c r="CI22" s="10"/>
      <c r="CJ22" s="10">
        <v>1</v>
      </c>
      <c r="CN22" s="10"/>
      <c r="CO22" s="10"/>
      <c r="CP22" s="10"/>
      <c r="CQ22" s="10"/>
      <c r="CU22" s="10"/>
      <c r="CV22" s="10"/>
      <c r="CW22" s="10"/>
      <c r="CX22" s="10"/>
      <c r="DB22" s="10"/>
      <c r="DC22" s="10"/>
      <c r="DD22" s="10"/>
      <c r="DE22" s="10"/>
      <c r="DF22" t="s">
        <v>153</v>
      </c>
      <c r="DI22" s="10"/>
      <c r="DJ22" s="10"/>
      <c r="DK22" s="10"/>
      <c r="DL22" s="10"/>
      <c r="DP22" s="10"/>
      <c r="DQ22" s="10"/>
      <c r="DR22" s="10"/>
      <c r="DS22" s="10"/>
    </row>
    <row r="23" spans="2:124" outlineLevel="1">
      <c r="B23" t="s">
        <v>28</v>
      </c>
      <c r="C23" t="s">
        <v>89</v>
      </c>
      <c r="E23" s="9"/>
      <c r="F23" t="s">
        <v>108</v>
      </c>
      <c r="G23" s="10">
        <v>0.1</v>
      </c>
      <c r="I23" s="9">
        <f t="shared" si="0"/>
        <v>0</v>
      </c>
      <c r="J23" s="11" cm="1">
        <f t="array" ref="J23">MAX(IF($N$3:$DM$3=$J$3,N23:DM23))</f>
        <v>0</v>
      </c>
      <c r="K23" s="11" cm="1">
        <f t="array" ref="K23">MAX(IF($N$3:$DM$3=$J$3,N23:DM23))</f>
        <v>0</v>
      </c>
      <c r="L23" s="9"/>
      <c r="O23" s="10"/>
      <c r="P23" s="10"/>
      <c r="Q23" s="10"/>
      <c r="R23" s="10"/>
      <c r="V23" s="10"/>
      <c r="W23" s="10"/>
      <c r="X23" s="10"/>
      <c r="Y23" s="10"/>
      <c r="AC23" s="10"/>
      <c r="AD23" s="10"/>
      <c r="AE23" s="10"/>
      <c r="AF23" s="10"/>
      <c r="AJ23" s="10"/>
      <c r="AK23" s="10"/>
      <c r="AL23" s="10"/>
      <c r="AM23" s="10"/>
      <c r="AQ23" s="10"/>
      <c r="AR23" s="10"/>
      <c r="AS23" s="10"/>
      <c r="AT23" s="10"/>
      <c r="AX23" s="10"/>
      <c r="AY23" s="10">
        <v>0.5</v>
      </c>
      <c r="AZ23" s="10"/>
      <c r="BA23" s="10">
        <v>0.5</v>
      </c>
      <c r="BE23" s="10"/>
      <c r="BF23" s="10">
        <v>0.5</v>
      </c>
      <c r="BG23" s="10"/>
      <c r="BH23" s="10">
        <v>0.5</v>
      </c>
      <c r="BL23" s="10"/>
      <c r="BM23" s="10">
        <v>0.5</v>
      </c>
      <c r="BN23" s="10"/>
      <c r="BO23" s="10">
        <v>0.5</v>
      </c>
      <c r="BS23" s="10"/>
      <c r="BT23" s="10">
        <v>0.8</v>
      </c>
      <c r="BU23" s="10"/>
      <c r="BV23" s="10">
        <v>0.8</v>
      </c>
      <c r="BZ23" s="10"/>
      <c r="CA23" s="10">
        <v>0.8</v>
      </c>
      <c r="CB23" s="10"/>
      <c r="CC23" s="10">
        <v>0.8</v>
      </c>
      <c r="CG23" s="10"/>
      <c r="CH23" s="10">
        <v>1</v>
      </c>
      <c r="CI23" s="10"/>
      <c r="CJ23" s="10">
        <v>1</v>
      </c>
      <c r="CN23" s="10"/>
      <c r="CO23" s="10"/>
      <c r="CP23" s="10"/>
      <c r="CQ23" s="10"/>
      <c r="CU23" s="10"/>
      <c r="CV23" s="10"/>
      <c r="CW23" s="10"/>
      <c r="CX23" s="10"/>
      <c r="DB23" s="10"/>
      <c r="DC23" s="10"/>
      <c r="DD23" s="10"/>
      <c r="DE23" s="10"/>
      <c r="DF23" t="s">
        <v>153</v>
      </c>
      <c r="DI23" s="10"/>
      <c r="DJ23" s="10"/>
      <c r="DK23" s="10"/>
      <c r="DL23" s="10"/>
      <c r="DP23" s="10"/>
      <c r="DQ23" s="10"/>
      <c r="DR23" s="10"/>
      <c r="DS23" s="10"/>
    </row>
    <row r="24" spans="2:124" outlineLevel="1">
      <c r="B24" t="s">
        <v>28</v>
      </c>
      <c r="C24" t="s">
        <v>89</v>
      </c>
      <c r="E24" s="9"/>
      <c r="F24" t="s">
        <v>109</v>
      </c>
      <c r="G24" s="10">
        <v>0.1</v>
      </c>
      <c r="I24" s="9">
        <f t="shared" si="0"/>
        <v>0</v>
      </c>
      <c r="J24" s="11" cm="1">
        <f t="array" ref="J24">MAX(IF($N$3:$DM$3=$J$3,N24:DM24))</f>
        <v>0</v>
      </c>
      <c r="K24" s="11" cm="1">
        <f t="array" ref="K24">MAX(IF($N$3:$DM$3=$J$3,N24:DM24))</f>
        <v>0</v>
      </c>
      <c r="L24" s="9"/>
      <c r="O24" s="10"/>
      <c r="P24" s="10"/>
      <c r="Q24" s="10"/>
      <c r="R24" s="10"/>
      <c r="V24" s="10"/>
      <c r="W24" s="10"/>
      <c r="X24" s="10"/>
      <c r="Y24" s="10"/>
      <c r="AC24" s="10"/>
      <c r="AD24" s="10"/>
      <c r="AE24" s="10"/>
      <c r="AF24" s="10"/>
      <c r="AJ24" s="10"/>
      <c r="AK24" s="10"/>
      <c r="AL24" s="10"/>
      <c r="AM24" s="10"/>
      <c r="AQ24" s="10"/>
      <c r="AR24" s="10"/>
      <c r="AS24" s="10"/>
      <c r="AT24" s="10"/>
      <c r="AX24" s="10"/>
      <c r="AY24" s="10">
        <v>0.5</v>
      </c>
      <c r="AZ24" s="10"/>
      <c r="BA24" s="10">
        <v>0.5</v>
      </c>
      <c r="BE24" s="10"/>
      <c r="BF24" s="10">
        <v>0.5</v>
      </c>
      <c r="BG24" s="10"/>
      <c r="BH24" s="10">
        <v>0.5</v>
      </c>
      <c r="BL24" s="10"/>
      <c r="BM24" s="10">
        <v>0.5</v>
      </c>
      <c r="BN24" s="10"/>
      <c r="BO24" s="10">
        <v>0.5</v>
      </c>
      <c r="BS24" s="10"/>
      <c r="BT24" s="10">
        <v>0.8</v>
      </c>
      <c r="BU24" s="10"/>
      <c r="BV24" s="10">
        <v>0.8</v>
      </c>
      <c r="BZ24" s="10"/>
      <c r="CA24" s="10">
        <v>0.8</v>
      </c>
      <c r="CB24" s="10"/>
      <c r="CC24" s="10">
        <v>0.8</v>
      </c>
      <c r="CG24" s="10"/>
      <c r="CH24" s="10">
        <v>1</v>
      </c>
      <c r="CI24" s="10"/>
      <c r="CJ24" s="10">
        <v>1</v>
      </c>
      <c r="CN24" s="10"/>
      <c r="CO24" s="10"/>
      <c r="CP24" s="10"/>
      <c r="CQ24" s="10"/>
      <c r="CU24" s="10"/>
      <c r="CV24" s="10"/>
      <c r="CW24" s="10"/>
      <c r="CX24" s="10"/>
      <c r="DB24" s="10"/>
      <c r="DC24" s="10"/>
      <c r="DD24" s="10"/>
      <c r="DE24" s="10"/>
      <c r="DF24" t="s">
        <v>153</v>
      </c>
      <c r="DI24" s="10"/>
      <c r="DJ24" s="10"/>
      <c r="DK24" s="10"/>
      <c r="DL24" s="10"/>
      <c r="DP24" s="10"/>
      <c r="DQ24" s="10"/>
      <c r="DR24" s="10"/>
      <c r="DS24" s="10"/>
    </row>
    <row r="25" spans="2:124" outlineLevel="1">
      <c r="B25" t="s">
        <v>28</v>
      </c>
      <c r="C25" t="s">
        <v>89</v>
      </c>
      <c r="E25" s="9"/>
      <c r="F25" t="s">
        <v>110</v>
      </c>
      <c r="G25" s="10">
        <v>0.1</v>
      </c>
      <c r="I25" s="9">
        <f t="shared" si="0"/>
        <v>0</v>
      </c>
      <c r="J25" s="11" cm="1">
        <f t="array" ref="J25">MAX(IF($N$3:$DM$3=$J$3,N25:DM25))</f>
        <v>0</v>
      </c>
      <c r="K25" s="11" cm="1">
        <f t="array" ref="K25">MAX(IF($N$3:$DM$3=$J$3,N25:DM25))</f>
        <v>0</v>
      </c>
      <c r="L25" s="9"/>
      <c r="O25" s="10"/>
      <c r="P25" s="10"/>
      <c r="Q25" s="10"/>
      <c r="R25" s="10"/>
      <c r="V25" s="10"/>
      <c r="W25" s="10"/>
      <c r="X25" s="10"/>
      <c r="Y25" s="10"/>
      <c r="AC25" s="10"/>
      <c r="AD25" s="10"/>
      <c r="AE25" s="10"/>
      <c r="AF25" s="10"/>
      <c r="AJ25" s="10"/>
      <c r="AK25" s="10"/>
      <c r="AL25" s="10"/>
      <c r="AM25" s="10"/>
      <c r="AQ25" s="10"/>
      <c r="AR25" s="10"/>
      <c r="AS25" s="10"/>
      <c r="AT25" s="10"/>
      <c r="AX25" s="10"/>
      <c r="AY25" s="10">
        <v>0.5</v>
      </c>
      <c r="AZ25" s="10"/>
      <c r="BA25" s="10">
        <v>0.5</v>
      </c>
      <c r="BE25" s="10"/>
      <c r="BF25" s="10">
        <v>0.5</v>
      </c>
      <c r="BG25" s="10"/>
      <c r="BH25" s="10">
        <v>0.5</v>
      </c>
      <c r="BL25" s="10"/>
      <c r="BM25" s="10">
        <v>0.5</v>
      </c>
      <c r="BN25" s="10"/>
      <c r="BO25" s="10">
        <v>0.5</v>
      </c>
      <c r="BS25" s="10"/>
      <c r="BT25" s="10">
        <v>0.5</v>
      </c>
      <c r="BU25" s="10"/>
      <c r="BV25" s="10">
        <v>0.5</v>
      </c>
      <c r="BZ25" s="10"/>
      <c r="CA25" s="10">
        <v>0.8</v>
      </c>
      <c r="CB25" s="10"/>
      <c r="CC25" s="10">
        <v>0.8</v>
      </c>
      <c r="CG25" s="10"/>
      <c r="CH25" s="10">
        <v>1</v>
      </c>
      <c r="CI25" s="10"/>
      <c r="CJ25" s="10">
        <v>1</v>
      </c>
      <c r="CN25" s="10"/>
      <c r="CO25" s="10"/>
      <c r="CP25" s="10"/>
      <c r="CQ25" s="10"/>
      <c r="CU25" s="10"/>
      <c r="CV25" s="10"/>
      <c r="CW25" s="10"/>
      <c r="CX25" s="10"/>
      <c r="DB25" s="10"/>
      <c r="DC25" s="10"/>
      <c r="DD25" s="10"/>
      <c r="DE25" s="10"/>
      <c r="DF25" t="s">
        <v>153</v>
      </c>
      <c r="DI25" s="10"/>
      <c r="DJ25" s="10"/>
      <c r="DK25" s="10"/>
      <c r="DL25" s="10"/>
      <c r="DP25" s="10"/>
      <c r="DQ25" s="10"/>
      <c r="DR25" s="10"/>
      <c r="DS25" s="10"/>
    </row>
    <row r="27" spans="2:124">
      <c r="B27" t="s">
        <v>27</v>
      </c>
      <c r="C27" t="s">
        <v>90</v>
      </c>
      <c r="D27" s="20">
        <v>44978</v>
      </c>
      <c r="E27" s="9">
        <v>6</v>
      </c>
      <c r="G27" s="10">
        <f>+SUM(G28:G35)</f>
        <v>1</v>
      </c>
      <c r="I27" s="12">
        <f>+SUM(I28:I35)</f>
        <v>0</v>
      </c>
      <c r="J27" s="11">
        <f>+SUMPRODUCT(G28:G35,J28:J35)</f>
        <v>7.4999999999999997E-2</v>
      </c>
      <c r="K27" s="11">
        <f>+SUMPRODUCT(G28:G35,K28:K35)</f>
        <v>7.4999999999999997E-2</v>
      </c>
      <c r="L27" s="9"/>
      <c r="N27" s="12">
        <f>+SUM(N28:N35)</f>
        <v>0</v>
      </c>
      <c r="U27" s="12">
        <f>+SUM(U28:U35)</f>
        <v>0</v>
      </c>
      <c r="AB27" s="12">
        <f>+SUM(AB28:AB35)</f>
        <v>0</v>
      </c>
      <c r="AI27" s="12">
        <f>+SUM(AI28:AI35)</f>
        <v>0</v>
      </c>
      <c r="AP27" s="12">
        <f>+SUM(AP28:AP35)</f>
        <v>0</v>
      </c>
      <c r="AW27" s="12">
        <f>+SUM(AW28:AW35)</f>
        <v>0</v>
      </c>
      <c r="DT27" t="s">
        <v>154</v>
      </c>
    </row>
    <row r="28" spans="2:124" outlineLevel="1">
      <c r="B28" t="s">
        <v>28</v>
      </c>
      <c r="C28" t="s">
        <v>90</v>
      </c>
      <c r="E28" s="9"/>
      <c r="F28" t="s">
        <v>111</v>
      </c>
      <c r="G28" s="10">
        <v>0.15</v>
      </c>
      <c r="I28" s="9">
        <f t="shared" ref="I28:I35" si="1">+SUMIF($N$3:$YX$3,I$3,$N28:$YX28)</f>
        <v>0</v>
      </c>
      <c r="J28" s="11" cm="1">
        <f t="array" ref="J28">MAX(IF($N$3:$DM$3=$J$3,N28:DM28))</f>
        <v>0.5</v>
      </c>
      <c r="K28" s="11" cm="1">
        <f t="array" ref="K28">MAX(IF($N$3:$DM$3=$J$3,N28:DM28))</f>
        <v>0.5</v>
      </c>
      <c r="L28" s="9"/>
      <c r="O28" s="10">
        <v>0.5</v>
      </c>
      <c r="P28" s="10">
        <v>0.5</v>
      </c>
      <c r="Q28" s="10">
        <v>0.5</v>
      </c>
      <c r="R28" s="10">
        <v>0.5</v>
      </c>
      <c r="V28" s="10">
        <v>0.5</v>
      </c>
      <c r="W28" s="10">
        <v>0.5</v>
      </c>
      <c r="X28" s="10">
        <v>0.5</v>
      </c>
      <c r="Y28" s="10">
        <v>0.5</v>
      </c>
      <c r="AC28" s="10"/>
      <c r="AD28" s="10">
        <v>0.8</v>
      </c>
      <c r="AE28" s="10"/>
      <c r="AF28" s="10">
        <v>0.8</v>
      </c>
      <c r="AJ28" s="10"/>
      <c r="AK28" s="10">
        <v>0.8</v>
      </c>
      <c r="AL28" s="10"/>
      <c r="AM28" s="10">
        <v>0.8</v>
      </c>
      <c r="AQ28" s="10"/>
      <c r="AR28" s="10">
        <v>0.8</v>
      </c>
      <c r="AS28" s="10"/>
      <c r="AT28" s="10">
        <v>0.8</v>
      </c>
      <c r="AX28" s="10"/>
      <c r="AY28" s="10">
        <v>0.8</v>
      </c>
      <c r="AZ28" s="10"/>
      <c r="BA28" s="10">
        <v>0.8</v>
      </c>
      <c r="BE28" s="10"/>
      <c r="BF28" s="10">
        <v>1</v>
      </c>
      <c r="BG28" s="10"/>
      <c r="BH28" s="10">
        <v>1</v>
      </c>
      <c r="BL28" s="10"/>
      <c r="BM28" s="10">
        <v>1</v>
      </c>
      <c r="BN28" s="10"/>
      <c r="BO28" s="10">
        <v>1</v>
      </c>
      <c r="BS28" s="10"/>
      <c r="BT28" s="10">
        <v>1</v>
      </c>
      <c r="BU28" s="10"/>
      <c r="BV28" s="10">
        <v>1</v>
      </c>
      <c r="BZ28" s="10"/>
      <c r="CA28" s="10">
        <v>1</v>
      </c>
      <c r="CB28" s="10"/>
      <c r="CC28" s="10">
        <v>1</v>
      </c>
      <c r="CG28" s="10"/>
      <c r="CH28" s="10">
        <v>1</v>
      </c>
      <c r="CI28" s="10"/>
      <c r="CJ28" s="10">
        <v>1</v>
      </c>
      <c r="CN28" s="10"/>
      <c r="CO28" s="10">
        <v>1</v>
      </c>
      <c r="CP28" s="10"/>
      <c r="CQ28" s="10">
        <v>1</v>
      </c>
      <c r="CU28" s="10"/>
      <c r="CV28" s="10">
        <v>1</v>
      </c>
      <c r="CW28" s="10"/>
      <c r="CX28" s="10">
        <v>1</v>
      </c>
      <c r="DB28" s="10"/>
      <c r="DC28" s="10"/>
      <c r="DD28" s="10"/>
      <c r="DE28" s="10"/>
      <c r="DI28" s="10"/>
      <c r="DJ28" s="10"/>
      <c r="DK28" s="10"/>
      <c r="DL28" s="10"/>
      <c r="DP28" s="10"/>
      <c r="DQ28" s="10"/>
      <c r="DR28" s="10"/>
      <c r="DS28" s="10"/>
      <c r="DT28" t="s">
        <v>154</v>
      </c>
    </row>
    <row r="29" spans="2:124" outlineLevel="1">
      <c r="B29" t="s">
        <v>28</v>
      </c>
      <c r="C29" t="s">
        <v>90</v>
      </c>
      <c r="E29" s="9"/>
      <c r="F29" t="s">
        <v>112</v>
      </c>
      <c r="G29" s="10">
        <v>0.1</v>
      </c>
      <c r="I29" s="9">
        <f t="shared" si="1"/>
        <v>0</v>
      </c>
      <c r="J29" s="11" cm="1">
        <f t="array" ref="J29">MAX(IF($N$3:$DM$3=$J$3,N29:DM29))</f>
        <v>0</v>
      </c>
      <c r="K29" s="11" cm="1">
        <f t="array" ref="K29">MAX(IF($N$3:$DM$3=$J$3,N29:DM29))</f>
        <v>0</v>
      </c>
      <c r="L29" s="9"/>
      <c r="O29" s="10"/>
      <c r="P29" s="10"/>
      <c r="Q29" s="10"/>
      <c r="R29" s="10"/>
      <c r="V29" s="10"/>
      <c r="W29" s="10">
        <v>0.5</v>
      </c>
      <c r="X29" s="10"/>
      <c r="Y29" s="10">
        <v>0.5</v>
      </c>
      <c r="AC29" s="10"/>
      <c r="AD29" s="10">
        <v>0.5</v>
      </c>
      <c r="AE29" s="10"/>
      <c r="AF29" s="10">
        <v>0.5</v>
      </c>
      <c r="AJ29" s="10"/>
      <c r="AK29" s="10">
        <v>0.8</v>
      </c>
      <c r="AL29" s="10"/>
      <c r="AM29" s="10">
        <v>0.8</v>
      </c>
      <c r="AQ29" s="10"/>
      <c r="AR29" s="10">
        <v>0.8</v>
      </c>
      <c r="AS29" s="10"/>
      <c r="AT29" s="10">
        <v>0.8</v>
      </c>
      <c r="AX29" s="10"/>
      <c r="AY29" s="10">
        <v>0.8</v>
      </c>
      <c r="AZ29" s="10"/>
      <c r="BA29" s="10">
        <v>0.8</v>
      </c>
      <c r="BE29" s="10"/>
      <c r="BF29" s="10">
        <v>0.8</v>
      </c>
      <c r="BG29" s="10"/>
      <c r="BH29" s="10">
        <v>0.8</v>
      </c>
      <c r="BL29" s="10"/>
      <c r="BM29" s="10">
        <v>1</v>
      </c>
      <c r="BN29" s="10"/>
      <c r="BO29" s="10">
        <v>1</v>
      </c>
      <c r="BS29" s="10"/>
      <c r="BT29" s="10">
        <v>1</v>
      </c>
      <c r="BU29" s="10"/>
      <c r="BV29" s="10">
        <v>1</v>
      </c>
      <c r="BZ29" s="10"/>
      <c r="CA29" s="10">
        <v>1</v>
      </c>
      <c r="CB29" s="10"/>
      <c r="CC29" s="10">
        <v>1</v>
      </c>
      <c r="CG29" s="10"/>
      <c r="CH29" s="10">
        <v>1</v>
      </c>
      <c r="CI29" s="10"/>
      <c r="CJ29" s="10">
        <v>1</v>
      </c>
      <c r="CN29" s="10"/>
      <c r="CO29" s="10">
        <v>1</v>
      </c>
      <c r="CP29" s="10"/>
      <c r="CQ29" s="10">
        <v>1</v>
      </c>
      <c r="CU29" s="10"/>
      <c r="CV29" s="10">
        <v>1</v>
      </c>
      <c r="CW29" s="10"/>
      <c r="CX29" s="10">
        <v>1</v>
      </c>
      <c r="DB29" s="10"/>
      <c r="DC29" s="10"/>
      <c r="DD29" s="10"/>
      <c r="DE29" s="10"/>
      <c r="DI29" s="10"/>
      <c r="DJ29" s="10"/>
      <c r="DK29" s="10"/>
      <c r="DL29" s="10"/>
      <c r="DP29" s="10"/>
      <c r="DQ29" s="10"/>
      <c r="DR29" s="10"/>
      <c r="DS29" s="10"/>
      <c r="DT29" t="s">
        <v>154</v>
      </c>
    </row>
    <row r="30" spans="2:124" outlineLevel="1">
      <c r="B30" t="s">
        <v>28</v>
      </c>
      <c r="C30" t="s">
        <v>90</v>
      </c>
      <c r="E30" s="9"/>
      <c r="F30" t="s">
        <v>113</v>
      </c>
      <c r="G30" s="10">
        <v>0.05</v>
      </c>
      <c r="I30" s="9">
        <f t="shared" si="1"/>
        <v>0</v>
      </c>
      <c r="J30" s="11" cm="1">
        <f t="array" ref="J30">MAX(IF($N$3:$DM$3=$J$3,N30:DM30))</f>
        <v>0</v>
      </c>
      <c r="K30" s="11" cm="1">
        <f t="array" ref="K30">MAX(IF($N$3:$DM$3=$J$3,N30:DM30))</f>
        <v>0</v>
      </c>
      <c r="L30" s="9"/>
      <c r="O30" s="10"/>
      <c r="P30" s="10"/>
      <c r="Q30" s="10"/>
      <c r="R30" s="10"/>
      <c r="V30" s="10"/>
      <c r="W30" s="10">
        <v>0.5</v>
      </c>
      <c r="X30" s="10"/>
      <c r="Y30" s="10">
        <v>0.5</v>
      </c>
      <c r="AC30" s="10"/>
      <c r="AD30" s="10">
        <v>0.5</v>
      </c>
      <c r="AE30" s="10"/>
      <c r="AF30" s="10">
        <v>0.5</v>
      </c>
      <c r="AJ30" s="10"/>
      <c r="AK30" s="10">
        <v>0.5</v>
      </c>
      <c r="AL30" s="10"/>
      <c r="AM30" s="10">
        <v>0.5</v>
      </c>
      <c r="AQ30" s="10"/>
      <c r="AR30" s="10">
        <v>0.8</v>
      </c>
      <c r="AS30" s="10"/>
      <c r="AT30" s="10">
        <v>0.8</v>
      </c>
      <c r="AX30" s="10"/>
      <c r="AY30" s="10">
        <v>0.8</v>
      </c>
      <c r="AZ30" s="10"/>
      <c r="BA30" s="10">
        <v>0.8</v>
      </c>
      <c r="BE30" s="10"/>
      <c r="BF30" s="10">
        <v>0.8</v>
      </c>
      <c r="BG30" s="10"/>
      <c r="BH30" s="10">
        <v>0.8</v>
      </c>
      <c r="BL30" s="10"/>
      <c r="BM30" s="10">
        <v>0.8</v>
      </c>
      <c r="BN30" s="10"/>
      <c r="BO30" s="10">
        <v>0.8</v>
      </c>
      <c r="BS30" s="10"/>
      <c r="BT30" s="10">
        <v>1</v>
      </c>
      <c r="BU30" s="10"/>
      <c r="BV30" s="10">
        <v>1</v>
      </c>
      <c r="BZ30" s="10"/>
      <c r="CA30" s="10">
        <v>1</v>
      </c>
      <c r="CB30" s="10"/>
      <c r="CC30" s="10">
        <v>1</v>
      </c>
      <c r="CG30" s="10"/>
      <c r="CH30" s="10">
        <v>1</v>
      </c>
      <c r="CI30" s="10"/>
      <c r="CJ30" s="10">
        <v>1</v>
      </c>
      <c r="CN30" s="10"/>
      <c r="CO30" s="10">
        <v>1</v>
      </c>
      <c r="CP30" s="10"/>
      <c r="CQ30" s="10">
        <v>1</v>
      </c>
      <c r="CU30" s="10"/>
      <c r="CV30" s="10">
        <v>1</v>
      </c>
      <c r="CW30" s="10"/>
      <c r="CX30" s="10">
        <v>1</v>
      </c>
      <c r="DB30" s="10"/>
      <c r="DC30" s="10"/>
      <c r="DD30" s="10"/>
      <c r="DE30" s="10"/>
      <c r="DI30" s="10"/>
      <c r="DJ30" s="10"/>
      <c r="DK30" s="10"/>
      <c r="DL30" s="10"/>
      <c r="DP30" s="10"/>
      <c r="DQ30" s="10"/>
      <c r="DR30" s="10"/>
      <c r="DS30" s="10"/>
      <c r="DT30" t="s">
        <v>154</v>
      </c>
    </row>
    <row r="31" spans="2:124" outlineLevel="1">
      <c r="B31" t="s">
        <v>28</v>
      </c>
      <c r="C31" t="s">
        <v>90</v>
      </c>
      <c r="E31" s="9"/>
      <c r="F31" t="s">
        <v>114</v>
      </c>
      <c r="G31" s="10">
        <v>0.15</v>
      </c>
      <c r="I31" s="9">
        <f t="shared" si="1"/>
        <v>0</v>
      </c>
      <c r="J31" s="11" cm="1">
        <f t="array" ref="J31">MAX(IF($N$3:$DM$3=$J$3,N31:DM31))</f>
        <v>0</v>
      </c>
      <c r="K31" s="11" cm="1">
        <f t="array" ref="K31">MAX(IF($N$3:$DM$3=$J$3,N31:DM31))</f>
        <v>0</v>
      </c>
      <c r="L31" s="9"/>
      <c r="O31" s="10"/>
      <c r="P31" s="10"/>
      <c r="Q31" s="10"/>
      <c r="R31" s="10"/>
      <c r="V31" s="10"/>
      <c r="W31" s="10"/>
      <c r="X31" s="10"/>
      <c r="Y31" s="10"/>
      <c r="AC31" s="10"/>
      <c r="AD31" s="10">
        <v>0.5</v>
      </c>
      <c r="AE31" s="10"/>
      <c r="AF31" s="10">
        <v>0.5</v>
      </c>
      <c r="AJ31" s="10"/>
      <c r="AK31" s="10">
        <v>0.5</v>
      </c>
      <c r="AL31" s="10"/>
      <c r="AM31" s="10">
        <v>0.5</v>
      </c>
      <c r="AQ31" s="10"/>
      <c r="AR31" s="10">
        <v>0.5</v>
      </c>
      <c r="AS31" s="10"/>
      <c r="AT31" s="10">
        <v>0.5</v>
      </c>
      <c r="AX31" s="10"/>
      <c r="AY31" s="10">
        <v>0.8</v>
      </c>
      <c r="AZ31" s="10"/>
      <c r="BA31" s="10">
        <v>0.8</v>
      </c>
      <c r="BE31" s="10"/>
      <c r="BF31" s="10">
        <v>0.8</v>
      </c>
      <c r="BG31" s="10"/>
      <c r="BH31" s="10">
        <v>0.8</v>
      </c>
      <c r="BL31" s="10"/>
      <c r="BM31" s="10">
        <v>0.8</v>
      </c>
      <c r="BN31" s="10"/>
      <c r="BO31" s="10">
        <v>0.8</v>
      </c>
      <c r="BS31" s="10"/>
      <c r="BT31" s="10">
        <v>0.8</v>
      </c>
      <c r="BU31" s="10"/>
      <c r="BV31" s="10">
        <v>0.8</v>
      </c>
      <c r="BZ31" s="10"/>
      <c r="CA31" s="10">
        <v>1</v>
      </c>
      <c r="CB31" s="10"/>
      <c r="CC31" s="10">
        <v>1</v>
      </c>
      <c r="CG31" s="10"/>
      <c r="CH31" s="10">
        <v>1</v>
      </c>
      <c r="CI31" s="10"/>
      <c r="CJ31" s="10">
        <v>1</v>
      </c>
      <c r="CN31" s="10"/>
      <c r="CO31" s="10">
        <v>1</v>
      </c>
      <c r="CP31" s="10"/>
      <c r="CQ31" s="10">
        <v>1</v>
      </c>
      <c r="CU31" s="10"/>
      <c r="CV31" s="10">
        <v>1</v>
      </c>
      <c r="CW31" s="10"/>
      <c r="CX31" s="10">
        <v>1</v>
      </c>
      <c r="DB31" s="10"/>
      <c r="DC31" s="10"/>
      <c r="DD31" s="10"/>
      <c r="DE31" s="10"/>
      <c r="DI31" s="10"/>
      <c r="DJ31" s="10"/>
      <c r="DK31" s="10"/>
      <c r="DL31" s="10"/>
      <c r="DP31" s="10"/>
      <c r="DQ31" s="10"/>
      <c r="DR31" s="10"/>
      <c r="DS31" s="10"/>
      <c r="DT31" t="s">
        <v>154</v>
      </c>
    </row>
    <row r="32" spans="2:124" outlineLevel="1">
      <c r="B32" t="s">
        <v>28</v>
      </c>
      <c r="C32" t="s">
        <v>90</v>
      </c>
      <c r="E32" s="9"/>
      <c r="F32" t="s">
        <v>115</v>
      </c>
      <c r="G32" s="10">
        <v>0.15</v>
      </c>
      <c r="I32" s="9">
        <f t="shared" si="1"/>
        <v>0</v>
      </c>
      <c r="J32" s="11" cm="1">
        <f t="array" ref="J32">MAX(IF($N$3:$DM$3=$J$3,N32:DM32))</f>
        <v>0</v>
      </c>
      <c r="K32" s="11" cm="1">
        <f t="array" ref="K32">MAX(IF($N$3:$DM$3=$J$3,N32:DM32))</f>
        <v>0</v>
      </c>
      <c r="L32" s="9"/>
      <c r="O32" s="10"/>
      <c r="P32" s="10"/>
      <c r="Q32" s="10"/>
      <c r="R32" s="10"/>
      <c r="V32" s="10"/>
      <c r="W32" s="10"/>
      <c r="X32" s="10"/>
      <c r="Y32" s="10"/>
      <c r="AC32" s="10"/>
      <c r="AD32" s="10"/>
      <c r="AE32" s="10"/>
      <c r="AF32" s="10"/>
      <c r="AJ32" s="10"/>
      <c r="AK32" s="10">
        <v>0.5</v>
      </c>
      <c r="AL32" s="10"/>
      <c r="AM32" s="10">
        <v>0.5</v>
      </c>
      <c r="AQ32" s="10"/>
      <c r="AR32" s="10">
        <v>0.5</v>
      </c>
      <c r="AS32" s="10"/>
      <c r="AT32" s="10">
        <v>0.5</v>
      </c>
      <c r="AX32" s="10"/>
      <c r="AY32" s="10">
        <v>0.5</v>
      </c>
      <c r="AZ32" s="10"/>
      <c r="BA32" s="10">
        <v>0.5</v>
      </c>
      <c r="BE32" s="10"/>
      <c r="BF32" s="10">
        <v>0.5</v>
      </c>
      <c r="BG32" s="10"/>
      <c r="BH32" s="10">
        <v>0.5</v>
      </c>
      <c r="BL32" s="10"/>
      <c r="BM32" s="10">
        <v>0.8</v>
      </c>
      <c r="BN32" s="10"/>
      <c r="BO32" s="10">
        <v>0.8</v>
      </c>
      <c r="BS32" s="10"/>
      <c r="BT32" s="10">
        <v>0.8</v>
      </c>
      <c r="BU32" s="10"/>
      <c r="BV32" s="10">
        <v>0.8</v>
      </c>
      <c r="BZ32" s="10"/>
      <c r="CA32" s="10">
        <v>0.8</v>
      </c>
      <c r="CB32" s="10"/>
      <c r="CC32" s="10">
        <v>0.8</v>
      </c>
      <c r="CG32" s="10"/>
      <c r="CH32" s="10">
        <v>1</v>
      </c>
      <c r="CI32" s="10"/>
      <c r="CJ32" s="10">
        <v>1</v>
      </c>
      <c r="CN32" s="10"/>
      <c r="CO32" s="10">
        <v>1</v>
      </c>
      <c r="CP32" s="10"/>
      <c r="CQ32" s="10">
        <v>1</v>
      </c>
      <c r="CU32" s="10"/>
      <c r="CV32" s="10">
        <v>1</v>
      </c>
      <c r="CW32" s="10"/>
      <c r="CX32" s="10">
        <v>1</v>
      </c>
      <c r="DB32" s="10"/>
      <c r="DC32" s="10"/>
      <c r="DD32" s="10"/>
      <c r="DE32" s="10"/>
      <c r="DI32" s="10"/>
      <c r="DJ32" s="10"/>
      <c r="DK32" s="10"/>
      <c r="DL32" s="10"/>
      <c r="DP32" s="10"/>
      <c r="DQ32" s="10"/>
      <c r="DR32" s="10"/>
      <c r="DS32" s="10"/>
      <c r="DT32" t="s">
        <v>154</v>
      </c>
    </row>
    <row r="33" spans="2:124" outlineLevel="1">
      <c r="B33" t="s">
        <v>28</v>
      </c>
      <c r="C33" t="s">
        <v>90</v>
      </c>
      <c r="E33" s="9"/>
      <c r="F33" t="s">
        <v>116</v>
      </c>
      <c r="G33" s="10">
        <v>0.15</v>
      </c>
      <c r="I33" s="9">
        <f t="shared" si="1"/>
        <v>0</v>
      </c>
      <c r="J33" s="11" cm="1">
        <f t="array" ref="J33">MAX(IF($N$3:$DM$3=$J$3,N33:DM33))</f>
        <v>0</v>
      </c>
      <c r="K33" s="11" cm="1">
        <f t="array" ref="K33">MAX(IF($N$3:$DM$3=$J$3,N33:DM33))</f>
        <v>0</v>
      </c>
      <c r="L33" s="9"/>
      <c r="O33" s="10"/>
      <c r="P33" s="10"/>
      <c r="Q33" s="10"/>
      <c r="R33" s="10"/>
      <c r="V33" s="10"/>
      <c r="W33" s="10"/>
      <c r="X33" s="10"/>
      <c r="Y33" s="10"/>
      <c r="AC33" s="10"/>
      <c r="AD33" s="10"/>
      <c r="AE33" s="10"/>
      <c r="AF33" s="10"/>
      <c r="AJ33" s="10"/>
      <c r="AK33" s="10"/>
      <c r="AL33" s="10"/>
      <c r="AM33" s="10"/>
      <c r="AQ33" s="10"/>
      <c r="AR33" s="10">
        <v>0.5</v>
      </c>
      <c r="AS33" s="10"/>
      <c r="AT33" s="10">
        <v>0.5</v>
      </c>
      <c r="AX33" s="10"/>
      <c r="AY33" s="10">
        <v>0.5</v>
      </c>
      <c r="AZ33" s="10"/>
      <c r="BA33" s="10">
        <v>0.5</v>
      </c>
      <c r="BE33" s="10"/>
      <c r="BF33" s="10">
        <v>0.5</v>
      </c>
      <c r="BG33" s="10"/>
      <c r="BH33" s="10">
        <v>0.5</v>
      </c>
      <c r="BL33" s="10"/>
      <c r="BM33" s="10">
        <v>0.5</v>
      </c>
      <c r="BN33" s="10"/>
      <c r="BO33" s="10">
        <v>0.5</v>
      </c>
      <c r="BS33" s="10"/>
      <c r="BT33" s="10">
        <v>0.8</v>
      </c>
      <c r="BU33" s="10"/>
      <c r="BV33" s="10">
        <v>0.8</v>
      </c>
      <c r="BZ33" s="10"/>
      <c r="CA33" s="10">
        <v>0.8</v>
      </c>
      <c r="CB33" s="10"/>
      <c r="CC33" s="10">
        <v>0.8</v>
      </c>
      <c r="CG33" s="10"/>
      <c r="CH33" s="10">
        <v>0.8</v>
      </c>
      <c r="CI33" s="10"/>
      <c r="CJ33" s="10">
        <v>0.8</v>
      </c>
      <c r="CN33" s="10"/>
      <c r="CO33" s="10">
        <v>1</v>
      </c>
      <c r="CP33" s="10"/>
      <c r="CQ33" s="10">
        <v>1</v>
      </c>
      <c r="CU33" s="10"/>
      <c r="CV33" s="10">
        <v>1</v>
      </c>
      <c r="CW33" s="10"/>
      <c r="CX33" s="10">
        <v>1</v>
      </c>
      <c r="DB33" s="10"/>
      <c r="DC33" s="10"/>
      <c r="DD33" s="10"/>
      <c r="DE33" s="10"/>
      <c r="DI33" s="10"/>
      <c r="DJ33" s="10"/>
      <c r="DK33" s="10"/>
      <c r="DL33" s="10"/>
      <c r="DP33" s="10"/>
      <c r="DQ33" s="10"/>
      <c r="DR33" s="10"/>
      <c r="DS33" s="10"/>
      <c r="DT33" t="s">
        <v>154</v>
      </c>
    </row>
    <row r="34" spans="2:124" outlineLevel="1">
      <c r="B34" t="s">
        <v>28</v>
      </c>
      <c r="C34" t="s">
        <v>90</v>
      </c>
      <c r="E34" s="9"/>
      <c r="F34" t="s">
        <v>117</v>
      </c>
      <c r="G34" s="10">
        <v>0.2</v>
      </c>
      <c r="I34" s="9">
        <f t="shared" si="1"/>
        <v>0</v>
      </c>
      <c r="J34" s="11" cm="1">
        <f t="array" ref="J34">MAX(IF($N$3:$DM$3=$J$3,N34:DM34))</f>
        <v>0</v>
      </c>
      <c r="K34" s="11" cm="1">
        <f t="array" ref="K34">MAX(IF($N$3:$DM$3=$J$3,N34:DM34))</f>
        <v>0</v>
      </c>
      <c r="L34" s="9"/>
      <c r="O34" s="10"/>
      <c r="P34" s="10"/>
      <c r="Q34" s="10"/>
      <c r="R34" s="10"/>
      <c r="V34" s="10"/>
      <c r="W34" s="10"/>
      <c r="X34" s="10"/>
      <c r="Y34" s="10"/>
      <c r="AC34" s="10"/>
      <c r="AD34" s="10"/>
      <c r="AE34" s="10"/>
      <c r="AF34" s="10"/>
      <c r="AJ34" s="10"/>
      <c r="AK34" s="10"/>
      <c r="AL34" s="10"/>
      <c r="AM34" s="10"/>
      <c r="AQ34" s="10"/>
      <c r="AR34" s="10"/>
      <c r="AS34" s="10"/>
      <c r="AT34" s="10"/>
      <c r="AX34" s="10"/>
      <c r="AY34" s="10">
        <v>0.5</v>
      </c>
      <c r="AZ34" s="10"/>
      <c r="BA34" s="10">
        <v>0.5</v>
      </c>
      <c r="BE34" s="10"/>
      <c r="BF34" s="10">
        <v>0.5</v>
      </c>
      <c r="BG34" s="10"/>
      <c r="BH34" s="10">
        <v>0.5</v>
      </c>
      <c r="BL34" s="10"/>
      <c r="BM34" s="10">
        <v>0.5</v>
      </c>
      <c r="BN34" s="10"/>
      <c r="BO34" s="10">
        <v>0.5</v>
      </c>
      <c r="BS34" s="10"/>
      <c r="BT34" s="10">
        <v>0.5</v>
      </c>
      <c r="BU34" s="10"/>
      <c r="BV34" s="10">
        <v>0.5</v>
      </c>
      <c r="BZ34" s="10"/>
      <c r="CA34" s="10">
        <v>0.8</v>
      </c>
      <c r="CB34" s="10"/>
      <c r="CC34" s="10">
        <v>0.8</v>
      </c>
      <c r="CG34" s="10"/>
      <c r="CH34" s="10">
        <v>0.8</v>
      </c>
      <c r="CI34" s="10"/>
      <c r="CJ34" s="10">
        <v>0.8</v>
      </c>
      <c r="CN34" s="10"/>
      <c r="CO34" s="10">
        <v>1</v>
      </c>
      <c r="CP34" s="10"/>
      <c r="CQ34" s="10">
        <v>1</v>
      </c>
      <c r="CU34" s="10"/>
      <c r="CV34" s="10">
        <v>1</v>
      </c>
      <c r="CW34" s="10"/>
      <c r="CX34" s="10">
        <v>1</v>
      </c>
      <c r="DB34" s="10"/>
      <c r="DC34" s="10"/>
      <c r="DD34" s="10"/>
      <c r="DE34" s="10"/>
      <c r="DI34" s="10"/>
      <c r="DJ34" s="10"/>
      <c r="DK34" s="10"/>
      <c r="DL34" s="10"/>
      <c r="DP34" s="10"/>
      <c r="DQ34" s="10"/>
      <c r="DR34" s="10"/>
      <c r="DS34" s="10"/>
      <c r="DT34" t="s">
        <v>154</v>
      </c>
    </row>
    <row r="35" spans="2:124" outlineLevel="1">
      <c r="B35" t="s">
        <v>28</v>
      </c>
      <c r="C35" t="s">
        <v>90</v>
      </c>
      <c r="E35" s="9"/>
      <c r="F35" t="s">
        <v>118</v>
      </c>
      <c r="G35" s="10">
        <v>0.05</v>
      </c>
      <c r="I35" s="9">
        <f t="shared" si="1"/>
        <v>0</v>
      </c>
      <c r="J35" s="11" cm="1">
        <f t="array" ref="J35">MAX(IF($N$3:$DM$3=$J$3,N35:DM35))</f>
        <v>0</v>
      </c>
      <c r="K35" s="11" cm="1">
        <f t="array" ref="K35">MAX(IF($N$3:$DM$3=$J$3,N35:DM35))</f>
        <v>0</v>
      </c>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v>0.5</v>
      </c>
      <c r="BG35" s="10"/>
      <c r="BH35" s="10">
        <v>0.5</v>
      </c>
      <c r="BL35" s="10"/>
      <c r="BM35" s="10">
        <v>0.5</v>
      </c>
      <c r="BN35" s="10"/>
      <c r="BO35" s="10">
        <v>0.5</v>
      </c>
      <c r="BS35" s="10"/>
      <c r="BT35" s="10">
        <v>0.5</v>
      </c>
      <c r="BU35" s="10"/>
      <c r="BV35" s="10">
        <v>0.5</v>
      </c>
      <c r="BZ35" s="10"/>
      <c r="CA35" s="10">
        <v>0.5</v>
      </c>
      <c r="CB35" s="10"/>
      <c r="CC35" s="10">
        <v>0.5</v>
      </c>
      <c r="CG35" s="10"/>
      <c r="CH35" s="10">
        <v>0.8</v>
      </c>
      <c r="CI35" s="10"/>
      <c r="CJ35" s="10">
        <v>0.8</v>
      </c>
      <c r="CN35" s="10"/>
      <c r="CO35" s="10">
        <v>0.8</v>
      </c>
      <c r="CP35" s="10"/>
      <c r="CQ35" s="10">
        <v>0.8</v>
      </c>
      <c r="CU35" s="10"/>
      <c r="CV35" s="10">
        <v>1</v>
      </c>
      <c r="CW35" s="10"/>
      <c r="CX35" s="10">
        <v>1</v>
      </c>
      <c r="DB35" s="10"/>
      <c r="DC35" s="10"/>
      <c r="DD35" s="10"/>
      <c r="DE35" s="10"/>
      <c r="DI35" s="10"/>
      <c r="DJ35" s="10"/>
      <c r="DK35" s="10"/>
      <c r="DL35" s="10"/>
      <c r="DP35" s="10"/>
      <c r="DQ35" s="10"/>
      <c r="DR35" s="10"/>
      <c r="DS35" s="10"/>
      <c r="DT35" t="s">
        <v>154</v>
      </c>
    </row>
    <row r="37" spans="2:124">
      <c r="B37" t="s">
        <v>27</v>
      </c>
      <c r="C37" t="s">
        <v>91</v>
      </c>
      <c r="D37" s="20">
        <v>44979</v>
      </c>
      <c r="E37" s="9">
        <v>3</v>
      </c>
      <c r="G37" s="10">
        <f>+SUM(G38:G45)</f>
        <v>1</v>
      </c>
      <c r="I37" s="12">
        <f>+SUM(I38:I45)</f>
        <v>0</v>
      </c>
      <c r="J37" s="11">
        <f>+SUMPRODUCT(G38:G45,J38:J45)</f>
        <v>0.1</v>
      </c>
      <c r="K37" s="11">
        <f>+SUMPRODUCT(G38:G45,K38:K45)</f>
        <v>0.1</v>
      </c>
      <c r="L37" s="9"/>
      <c r="N37" s="12">
        <f>+SUM(N38:N45)</f>
        <v>0</v>
      </c>
      <c r="U37" s="12">
        <f>+SUM(U38:U45)</f>
        <v>0</v>
      </c>
      <c r="AB37" s="12">
        <f>+SUM(AB38:AB45)</f>
        <v>0</v>
      </c>
      <c r="AI37" s="12">
        <f>+SUM(AI38:AI45)</f>
        <v>0</v>
      </c>
      <c r="AP37" s="12">
        <f>+SUM(AP38:AP45)</f>
        <v>0</v>
      </c>
      <c r="AW37" s="12">
        <f>+SUM(AW38:AW45)</f>
        <v>0</v>
      </c>
      <c r="DT37" t="s">
        <v>155</v>
      </c>
    </row>
    <row r="38" spans="2:124" outlineLevel="1">
      <c r="B38" t="s">
        <v>28</v>
      </c>
      <c r="C38" t="s">
        <v>91</v>
      </c>
      <c r="E38" s="9"/>
      <c r="F38" t="s">
        <v>119</v>
      </c>
      <c r="G38" s="10">
        <v>0.1</v>
      </c>
      <c r="I38" s="9">
        <f t="shared" ref="I38:I45" si="2">+SUMIF($N$3:$YX$3,I$3,$N38:$YX38)</f>
        <v>0</v>
      </c>
      <c r="J38" s="11" cm="1">
        <f t="array" ref="J38">MAX(IF($N$3:$DM$3=$J$3,N38:DM38))</f>
        <v>0.5</v>
      </c>
      <c r="K38" s="11" cm="1">
        <f t="array" ref="K38">MAX(IF($N$3:$DM$3=$J$3,N38:DM38))</f>
        <v>0.5</v>
      </c>
      <c r="L38" s="9"/>
      <c r="O38" s="10">
        <v>0.5</v>
      </c>
      <c r="P38" s="10">
        <v>0.5</v>
      </c>
      <c r="Q38" s="10">
        <v>0.5</v>
      </c>
      <c r="R38" s="10">
        <v>0.5</v>
      </c>
      <c r="V38" s="10">
        <v>0.5</v>
      </c>
      <c r="W38" s="10">
        <v>0.5</v>
      </c>
      <c r="X38" s="10">
        <v>0.5</v>
      </c>
      <c r="Y38" s="10">
        <v>0.5</v>
      </c>
      <c r="AC38" s="10"/>
      <c r="AD38" s="10">
        <v>0.8</v>
      </c>
      <c r="AE38" s="10"/>
      <c r="AF38" s="10">
        <v>0.8</v>
      </c>
      <c r="AJ38" s="10"/>
      <c r="AK38" s="10">
        <v>0.8</v>
      </c>
      <c r="AL38" s="10"/>
      <c r="AM38" s="10">
        <v>0.8</v>
      </c>
      <c r="AQ38" s="10"/>
      <c r="AR38" s="10">
        <v>0.8</v>
      </c>
      <c r="AS38" s="10"/>
      <c r="AT38" s="10">
        <v>0.8</v>
      </c>
      <c r="AX38" s="10"/>
      <c r="AY38" s="10">
        <v>0.8</v>
      </c>
      <c r="AZ38" s="10"/>
      <c r="BA38" s="10">
        <v>0.8</v>
      </c>
      <c r="BE38" s="10"/>
      <c r="BF38" s="10">
        <v>1</v>
      </c>
      <c r="BG38" s="10"/>
      <c r="BH38" s="10">
        <v>1</v>
      </c>
      <c r="BL38" s="10"/>
      <c r="BM38" s="10">
        <v>1</v>
      </c>
      <c r="BN38" s="10"/>
      <c r="BO38" s="10">
        <v>1</v>
      </c>
      <c r="BS38" s="10"/>
      <c r="BT38" s="10">
        <v>1</v>
      </c>
      <c r="BU38" s="10"/>
      <c r="BV38" s="10">
        <v>1</v>
      </c>
      <c r="BZ38" s="10"/>
      <c r="CA38" s="10">
        <v>1</v>
      </c>
      <c r="CB38" s="10"/>
      <c r="CC38" s="10">
        <v>1</v>
      </c>
      <c r="CG38" s="10"/>
      <c r="CH38" s="10">
        <v>1</v>
      </c>
      <c r="CI38" s="10"/>
      <c r="CJ38" s="10">
        <v>1</v>
      </c>
      <c r="CN38" s="10"/>
      <c r="CO38" s="10">
        <v>1</v>
      </c>
      <c r="CP38" s="10"/>
      <c r="CQ38" s="10">
        <v>1</v>
      </c>
      <c r="CU38" s="10"/>
      <c r="CV38" s="10">
        <v>1</v>
      </c>
      <c r="CW38" s="10"/>
      <c r="CX38" s="10">
        <v>1</v>
      </c>
      <c r="DB38" s="10"/>
      <c r="DC38" s="10"/>
      <c r="DD38" s="10"/>
      <c r="DE38" s="10"/>
      <c r="DI38" s="10"/>
      <c r="DJ38" s="10"/>
      <c r="DK38" s="10"/>
      <c r="DL38" s="10"/>
      <c r="DP38" s="10"/>
      <c r="DQ38" s="10"/>
      <c r="DR38" s="10"/>
      <c r="DS38" s="10"/>
      <c r="DT38" t="s">
        <v>155</v>
      </c>
    </row>
    <row r="39" spans="2:124" outlineLevel="1">
      <c r="B39" t="s">
        <v>28</v>
      </c>
      <c r="C39" t="s">
        <v>91</v>
      </c>
      <c r="E39" s="9"/>
      <c r="F39" t="s">
        <v>120</v>
      </c>
      <c r="G39" s="10">
        <v>0.1</v>
      </c>
      <c r="I39" s="9">
        <f t="shared" si="2"/>
        <v>0</v>
      </c>
      <c r="J39" s="11" cm="1">
        <f t="array" ref="J39">MAX(IF($N$3:$DM$3=$J$3,N39:DM39))</f>
        <v>0.5</v>
      </c>
      <c r="K39" s="11" cm="1">
        <f t="array" ref="K39">MAX(IF($N$3:$DM$3=$J$3,N39:DM39))</f>
        <v>0.5</v>
      </c>
      <c r="L39" s="9"/>
      <c r="O39" s="10">
        <v>0.5</v>
      </c>
      <c r="P39" s="10">
        <v>0.5</v>
      </c>
      <c r="Q39" s="10">
        <v>0.5</v>
      </c>
      <c r="R39" s="10">
        <v>0.5</v>
      </c>
      <c r="V39" s="10">
        <v>0.5</v>
      </c>
      <c r="W39" s="10">
        <v>0.5</v>
      </c>
      <c r="X39" s="10">
        <v>0.5</v>
      </c>
      <c r="Y39" s="10">
        <v>0.5</v>
      </c>
      <c r="AC39" s="10">
        <v>0.5</v>
      </c>
      <c r="AD39" s="10">
        <v>0.5</v>
      </c>
      <c r="AE39" s="10">
        <v>0.5</v>
      </c>
      <c r="AF39" s="10">
        <v>0.5</v>
      </c>
      <c r="AJ39" s="10"/>
      <c r="AK39" s="10">
        <v>0.8</v>
      </c>
      <c r="AL39" s="10"/>
      <c r="AM39" s="10">
        <v>0.8</v>
      </c>
      <c r="AQ39" s="10"/>
      <c r="AR39" s="10">
        <v>0.8</v>
      </c>
      <c r="AS39" s="10"/>
      <c r="AT39" s="10">
        <v>0.8</v>
      </c>
      <c r="AX39" s="10"/>
      <c r="AY39" s="10">
        <v>0.8</v>
      </c>
      <c r="AZ39" s="10"/>
      <c r="BA39" s="10">
        <v>0.8</v>
      </c>
      <c r="BE39" s="10"/>
      <c r="BF39" s="10">
        <v>0.8</v>
      </c>
      <c r="BG39" s="10"/>
      <c r="BH39" s="10">
        <v>0.8</v>
      </c>
      <c r="BL39" s="10"/>
      <c r="BM39" s="10">
        <v>1</v>
      </c>
      <c r="BN39" s="10"/>
      <c r="BO39" s="10">
        <v>1</v>
      </c>
      <c r="BS39" s="10"/>
      <c r="BT39" s="10">
        <v>1</v>
      </c>
      <c r="BU39" s="10"/>
      <c r="BV39" s="10">
        <v>1</v>
      </c>
      <c r="BZ39" s="10"/>
      <c r="CA39" s="10">
        <v>1</v>
      </c>
      <c r="CB39" s="10"/>
      <c r="CC39" s="10">
        <v>1</v>
      </c>
      <c r="CG39" s="10"/>
      <c r="CH39" s="10">
        <v>1</v>
      </c>
      <c r="CI39" s="10"/>
      <c r="CJ39" s="10">
        <v>1</v>
      </c>
      <c r="CN39" s="10"/>
      <c r="CO39" s="10">
        <v>1</v>
      </c>
      <c r="CP39" s="10"/>
      <c r="CQ39" s="10">
        <v>1</v>
      </c>
      <c r="CU39" s="10"/>
      <c r="CV39" s="10">
        <v>1</v>
      </c>
      <c r="CW39" s="10"/>
      <c r="CX39" s="10">
        <v>1</v>
      </c>
      <c r="DB39" s="10"/>
      <c r="DC39" s="10"/>
      <c r="DD39" s="10"/>
      <c r="DE39" s="10"/>
      <c r="DI39" s="10"/>
      <c r="DJ39" s="10"/>
      <c r="DK39" s="10"/>
      <c r="DL39" s="10"/>
      <c r="DP39" s="10"/>
      <c r="DQ39" s="10"/>
      <c r="DR39" s="10"/>
      <c r="DS39" s="10"/>
      <c r="DT39" t="s">
        <v>155</v>
      </c>
    </row>
    <row r="40" spans="2:124" outlineLevel="1">
      <c r="B40" t="s">
        <v>28</v>
      </c>
      <c r="C40" t="s">
        <v>91</v>
      </c>
      <c r="E40" s="9"/>
      <c r="F40" t="s">
        <v>121</v>
      </c>
      <c r="G40" s="10">
        <v>0.1</v>
      </c>
      <c r="I40" s="9">
        <f t="shared" si="2"/>
        <v>0</v>
      </c>
      <c r="J40" s="11" cm="1">
        <f t="array" ref="J40">MAX(IF($N$3:$DM$3=$J$3,N40:DM40))</f>
        <v>0</v>
      </c>
      <c r="K40" s="11" cm="1">
        <f t="array" ref="K40">MAX(IF($N$3:$DM$3=$J$3,N40:DM40))</f>
        <v>0</v>
      </c>
      <c r="L40" s="9"/>
      <c r="O40" s="10"/>
      <c r="P40" s="10"/>
      <c r="Q40" s="10"/>
      <c r="R40" s="10"/>
      <c r="V40" s="10"/>
      <c r="W40" s="10">
        <v>0.5</v>
      </c>
      <c r="X40" s="10"/>
      <c r="Y40" s="10">
        <v>0.5</v>
      </c>
      <c r="AC40" s="10"/>
      <c r="AD40" s="10">
        <v>0.5</v>
      </c>
      <c r="AE40" s="10"/>
      <c r="AF40" s="10">
        <v>0.5</v>
      </c>
      <c r="AJ40" s="10"/>
      <c r="AK40" s="10">
        <v>0.5</v>
      </c>
      <c r="AL40" s="10"/>
      <c r="AM40" s="10">
        <v>0.5</v>
      </c>
      <c r="AQ40" s="10"/>
      <c r="AR40" s="10">
        <v>0.8</v>
      </c>
      <c r="AS40" s="10"/>
      <c r="AT40" s="10">
        <v>0.8</v>
      </c>
      <c r="AX40" s="10"/>
      <c r="AY40" s="10">
        <v>0.8</v>
      </c>
      <c r="AZ40" s="10"/>
      <c r="BA40" s="10">
        <v>0.8</v>
      </c>
      <c r="BE40" s="10"/>
      <c r="BF40" s="10">
        <v>0.8</v>
      </c>
      <c r="BG40" s="10"/>
      <c r="BH40" s="10">
        <v>0.8</v>
      </c>
      <c r="BL40" s="10"/>
      <c r="BM40" s="10">
        <v>0.8</v>
      </c>
      <c r="BN40" s="10"/>
      <c r="BO40" s="10">
        <v>0.8</v>
      </c>
      <c r="BS40" s="10"/>
      <c r="BT40" s="10">
        <v>1</v>
      </c>
      <c r="BU40" s="10"/>
      <c r="BV40" s="10">
        <v>1</v>
      </c>
      <c r="BZ40" s="10"/>
      <c r="CA40" s="10">
        <v>1</v>
      </c>
      <c r="CB40" s="10"/>
      <c r="CC40" s="10">
        <v>1</v>
      </c>
      <c r="CG40" s="10"/>
      <c r="CH40" s="10">
        <v>1</v>
      </c>
      <c r="CI40" s="10"/>
      <c r="CJ40" s="10">
        <v>1</v>
      </c>
      <c r="CN40" s="10"/>
      <c r="CO40" s="10">
        <v>1</v>
      </c>
      <c r="CP40" s="10"/>
      <c r="CQ40" s="10">
        <v>1</v>
      </c>
      <c r="CU40" s="10"/>
      <c r="CV40" s="10">
        <v>1</v>
      </c>
      <c r="CW40" s="10"/>
      <c r="CX40" s="10">
        <v>1</v>
      </c>
      <c r="DB40" s="10"/>
      <c r="DC40" s="10"/>
      <c r="DD40" s="10"/>
      <c r="DE40" s="10"/>
      <c r="DI40" s="10"/>
      <c r="DJ40" s="10"/>
      <c r="DK40" s="10"/>
      <c r="DL40" s="10"/>
      <c r="DP40" s="10"/>
      <c r="DQ40" s="10"/>
      <c r="DR40" s="10"/>
      <c r="DS40" s="10"/>
      <c r="DT40" t="s">
        <v>155</v>
      </c>
    </row>
    <row r="41" spans="2:124" outlineLevel="1">
      <c r="B41" t="s">
        <v>28</v>
      </c>
      <c r="C41" t="s">
        <v>91</v>
      </c>
      <c r="E41" s="9"/>
      <c r="F41" t="s">
        <v>122</v>
      </c>
      <c r="G41" s="10">
        <v>0.2</v>
      </c>
      <c r="I41" s="9">
        <f t="shared" si="2"/>
        <v>0</v>
      </c>
      <c r="J41" s="11" cm="1">
        <f t="array" ref="J41">MAX(IF($N$3:$DM$3=$J$3,N41:DM41))</f>
        <v>0</v>
      </c>
      <c r="K41" s="11" cm="1">
        <f t="array" ref="K41">MAX(IF($N$3:$DM$3=$J$3,N41:DM41))</f>
        <v>0</v>
      </c>
      <c r="L41" s="9"/>
      <c r="O41" s="10"/>
      <c r="P41" s="10"/>
      <c r="Q41" s="10"/>
      <c r="R41" s="10"/>
      <c r="V41" s="10"/>
      <c r="W41" s="10">
        <v>0.5</v>
      </c>
      <c r="X41" s="10"/>
      <c r="Y41" s="10">
        <v>0.5</v>
      </c>
      <c r="AC41" s="10"/>
      <c r="AD41" s="10">
        <v>0.5</v>
      </c>
      <c r="AE41" s="10"/>
      <c r="AF41" s="10">
        <v>0.5</v>
      </c>
      <c r="AJ41" s="10"/>
      <c r="AK41" s="10">
        <v>0.5</v>
      </c>
      <c r="AL41" s="10"/>
      <c r="AM41" s="10">
        <v>0.5</v>
      </c>
      <c r="AQ41" s="10"/>
      <c r="AR41" s="10">
        <v>0.5</v>
      </c>
      <c r="AS41" s="10"/>
      <c r="AT41" s="10">
        <v>0.5</v>
      </c>
      <c r="AX41" s="10"/>
      <c r="AY41" s="10">
        <v>0.8</v>
      </c>
      <c r="AZ41" s="10"/>
      <c r="BA41" s="10">
        <v>0.8</v>
      </c>
      <c r="BE41" s="10"/>
      <c r="BF41" s="10">
        <v>0.8</v>
      </c>
      <c r="BG41" s="10"/>
      <c r="BH41" s="10">
        <v>0.8</v>
      </c>
      <c r="BL41" s="10"/>
      <c r="BM41" s="10">
        <v>0.8</v>
      </c>
      <c r="BN41" s="10"/>
      <c r="BO41" s="10">
        <v>0.8</v>
      </c>
      <c r="BS41" s="10"/>
      <c r="BT41" s="10">
        <v>0.8</v>
      </c>
      <c r="BU41" s="10"/>
      <c r="BV41" s="10">
        <v>0.8</v>
      </c>
      <c r="BZ41" s="10"/>
      <c r="CA41" s="10">
        <v>1</v>
      </c>
      <c r="CB41" s="10"/>
      <c r="CC41" s="10">
        <v>1</v>
      </c>
      <c r="CG41" s="10"/>
      <c r="CH41" s="10">
        <v>1</v>
      </c>
      <c r="CI41" s="10"/>
      <c r="CJ41" s="10">
        <v>1</v>
      </c>
      <c r="CN41" s="10"/>
      <c r="CO41" s="10">
        <v>1</v>
      </c>
      <c r="CP41" s="10"/>
      <c r="CQ41" s="10">
        <v>1</v>
      </c>
      <c r="CU41" s="10"/>
      <c r="CV41" s="10">
        <v>1</v>
      </c>
      <c r="CW41" s="10"/>
      <c r="CX41" s="10">
        <v>1</v>
      </c>
      <c r="DB41" s="10"/>
      <c r="DC41" s="10"/>
      <c r="DD41" s="10"/>
      <c r="DE41" s="10"/>
      <c r="DI41" s="10"/>
      <c r="DJ41" s="10"/>
      <c r="DK41" s="10"/>
      <c r="DL41" s="10"/>
      <c r="DP41" s="10"/>
      <c r="DQ41" s="10"/>
      <c r="DR41" s="10"/>
      <c r="DS41" s="10"/>
      <c r="DT41" t="s">
        <v>155</v>
      </c>
    </row>
    <row r="42" spans="2:124" outlineLevel="1">
      <c r="B42" t="s">
        <v>28</v>
      </c>
      <c r="C42" t="s">
        <v>91</v>
      </c>
      <c r="E42" s="9"/>
      <c r="F42" t="s">
        <v>123</v>
      </c>
      <c r="G42" s="10">
        <v>0.1</v>
      </c>
      <c r="I42" s="9">
        <f t="shared" si="2"/>
        <v>0</v>
      </c>
      <c r="J42" s="11" cm="1">
        <f t="array" ref="J42">MAX(IF($N$3:$DM$3=$J$3,N42:DM42))</f>
        <v>0</v>
      </c>
      <c r="K42" s="11" cm="1">
        <f t="array" ref="K42">MAX(IF($N$3:$DM$3=$J$3,N42:DM42))</f>
        <v>0</v>
      </c>
      <c r="L42" s="9"/>
      <c r="O42" s="10"/>
      <c r="P42" s="10"/>
      <c r="Q42" s="10"/>
      <c r="R42" s="10"/>
      <c r="V42" s="10"/>
      <c r="W42" s="10"/>
      <c r="X42" s="10"/>
      <c r="Y42" s="10"/>
      <c r="AC42" s="10"/>
      <c r="AD42" s="10">
        <v>0.5</v>
      </c>
      <c r="AE42" s="10"/>
      <c r="AF42" s="10">
        <v>0.5</v>
      </c>
      <c r="AJ42" s="10"/>
      <c r="AK42" s="10">
        <v>0.5</v>
      </c>
      <c r="AL42" s="10"/>
      <c r="AM42" s="10">
        <v>0.5</v>
      </c>
      <c r="AQ42" s="10"/>
      <c r="AR42" s="10">
        <v>0.5</v>
      </c>
      <c r="AS42" s="10"/>
      <c r="AT42" s="10">
        <v>0.5</v>
      </c>
      <c r="AX42" s="10"/>
      <c r="AY42" s="10">
        <v>0.5</v>
      </c>
      <c r="AZ42" s="10"/>
      <c r="BA42" s="10">
        <v>0.5</v>
      </c>
      <c r="BE42" s="10"/>
      <c r="BF42" s="10">
        <v>0.8</v>
      </c>
      <c r="BG42" s="10"/>
      <c r="BH42" s="10">
        <v>0.8</v>
      </c>
      <c r="BL42" s="10"/>
      <c r="BM42" s="10">
        <v>0.8</v>
      </c>
      <c r="BN42" s="10"/>
      <c r="BO42" s="10">
        <v>0.8</v>
      </c>
      <c r="BS42" s="10"/>
      <c r="BT42" s="10">
        <v>0.8</v>
      </c>
      <c r="BU42" s="10"/>
      <c r="BV42" s="10">
        <v>0.8</v>
      </c>
      <c r="BZ42" s="10"/>
      <c r="CA42" s="10">
        <v>0.8</v>
      </c>
      <c r="CB42" s="10"/>
      <c r="CC42" s="10">
        <v>0.8</v>
      </c>
      <c r="CG42" s="10"/>
      <c r="CH42" s="10">
        <v>1</v>
      </c>
      <c r="CI42" s="10"/>
      <c r="CJ42" s="10">
        <v>1</v>
      </c>
      <c r="CN42" s="10"/>
      <c r="CO42" s="10">
        <v>1</v>
      </c>
      <c r="CP42" s="10"/>
      <c r="CQ42" s="10">
        <v>1</v>
      </c>
      <c r="CU42" s="10"/>
      <c r="CV42" s="10">
        <v>1</v>
      </c>
      <c r="CW42" s="10"/>
      <c r="CX42" s="10">
        <v>1</v>
      </c>
      <c r="DB42" s="10"/>
      <c r="DC42" s="10"/>
      <c r="DD42" s="10"/>
      <c r="DE42" s="10"/>
      <c r="DI42" s="10"/>
      <c r="DJ42" s="10"/>
      <c r="DK42" s="10"/>
      <c r="DL42" s="10"/>
      <c r="DP42" s="10"/>
      <c r="DQ42" s="10"/>
      <c r="DR42" s="10"/>
      <c r="DS42" s="10"/>
      <c r="DT42" t="s">
        <v>155</v>
      </c>
    </row>
    <row r="43" spans="2:124" outlineLevel="1">
      <c r="B43" t="s">
        <v>28</v>
      </c>
      <c r="C43" t="s">
        <v>91</v>
      </c>
      <c r="E43" s="9"/>
      <c r="F43" t="s">
        <v>124</v>
      </c>
      <c r="G43" s="10">
        <v>0.1</v>
      </c>
      <c r="I43" s="9">
        <f t="shared" si="2"/>
        <v>0</v>
      </c>
      <c r="J43" s="11" cm="1">
        <f t="array" ref="J43">MAX(IF($N$3:$DM$3=$J$3,N43:DM43))</f>
        <v>0</v>
      </c>
      <c r="K43" s="11" cm="1">
        <f t="array" ref="K43">MAX(IF($N$3:$DM$3=$J$3,N43:DM43))</f>
        <v>0</v>
      </c>
      <c r="L43" s="9"/>
      <c r="O43" s="10"/>
      <c r="P43" s="10"/>
      <c r="Q43" s="10"/>
      <c r="R43" s="10"/>
      <c r="V43" s="10"/>
      <c r="W43" s="10"/>
      <c r="X43" s="10"/>
      <c r="Y43" s="10"/>
      <c r="AC43" s="10"/>
      <c r="AD43" s="10"/>
      <c r="AE43" s="10"/>
      <c r="AF43" s="10"/>
      <c r="AJ43" s="10"/>
      <c r="AK43" s="10">
        <v>0.5</v>
      </c>
      <c r="AL43" s="10"/>
      <c r="AM43" s="10">
        <v>0.5</v>
      </c>
      <c r="AQ43" s="10"/>
      <c r="AR43" s="10">
        <v>0.5</v>
      </c>
      <c r="AS43" s="10"/>
      <c r="AT43" s="10">
        <v>0.5</v>
      </c>
      <c r="AX43" s="10"/>
      <c r="AY43" s="10">
        <v>0.5</v>
      </c>
      <c r="AZ43" s="10"/>
      <c r="BA43" s="10">
        <v>0.5</v>
      </c>
      <c r="BE43" s="10"/>
      <c r="BF43" s="10">
        <v>0.5</v>
      </c>
      <c r="BG43" s="10"/>
      <c r="BH43" s="10">
        <v>0.5</v>
      </c>
      <c r="BL43" s="10"/>
      <c r="BM43" s="10">
        <v>0.8</v>
      </c>
      <c r="BN43" s="10"/>
      <c r="BO43" s="10">
        <v>0.8</v>
      </c>
      <c r="BS43" s="10"/>
      <c r="BT43" s="10">
        <v>0.8</v>
      </c>
      <c r="BU43" s="10"/>
      <c r="BV43" s="10">
        <v>0.8</v>
      </c>
      <c r="BZ43" s="10"/>
      <c r="CA43" s="10">
        <v>0.8</v>
      </c>
      <c r="CB43" s="10"/>
      <c r="CC43" s="10">
        <v>0.8</v>
      </c>
      <c r="CG43" s="10"/>
      <c r="CH43" s="10">
        <v>1</v>
      </c>
      <c r="CI43" s="10"/>
      <c r="CJ43" s="10">
        <v>1</v>
      </c>
      <c r="CN43" s="10"/>
      <c r="CO43" s="10">
        <v>1</v>
      </c>
      <c r="CP43" s="10"/>
      <c r="CQ43" s="10">
        <v>1</v>
      </c>
      <c r="CU43" s="10"/>
      <c r="CV43" s="10">
        <v>1</v>
      </c>
      <c r="CW43" s="10"/>
      <c r="CX43" s="10">
        <v>1</v>
      </c>
      <c r="DB43" s="10"/>
      <c r="DC43" s="10"/>
      <c r="DD43" s="10"/>
      <c r="DE43" s="10"/>
      <c r="DI43" s="10"/>
      <c r="DJ43" s="10"/>
      <c r="DK43" s="10"/>
      <c r="DL43" s="10"/>
      <c r="DP43" s="10"/>
      <c r="DQ43" s="10"/>
      <c r="DR43" s="10"/>
      <c r="DS43" s="10"/>
      <c r="DT43" t="s">
        <v>155</v>
      </c>
    </row>
    <row r="44" spans="2:124" outlineLevel="1">
      <c r="B44" t="s">
        <v>28</v>
      </c>
      <c r="C44" t="s">
        <v>91</v>
      </c>
      <c r="E44" s="9"/>
      <c r="F44" t="s">
        <v>125</v>
      </c>
      <c r="G44" s="10">
        <v>0.15</v>
      </c>
      <c r="I44" s="9">
        <f t="shared" si="2"/>
        <v>0</v>
      </c>
      <c r="J44" s="11" cm="1">
        <f t="array" ref="J44">MAX(IF($N$3:$DM$3=$J$3,N44:DM44))</f>
        <v>0</v>
      </c>
      <c r="K44" s="11" cm="1">
        <f t="array" ref="K44">MAX(IF($N$3:$DM$3=$J$3,N44:DM44))</f>
        <v>0</v>
      </c>
      <c r="L44" s="9"/>
      <c r="O44" s="10"/>
      <c r="P44" s="10"/>
      <c r="Q44" s="10"/>
      <c r="R44" s="10"/>
      <c r="V44" s="10"/>
      <c r="W44" s="10"/>
      <c r="X44" s="10"/>
      <c r="Y44" s="10"/>
      <c r="AC44" s="10"/>
      <c r="AD44" s="10"/>
      <c r="AE44" s="10"/>
      <c r="AF44" s="10"/>
      <c r="AJ44" s="10"/>
      <c r="AK44" s="10"/>
      <c r="AL44" s="10"/>
      <c r="AM44" s="10"/>
      <c r="AQ44" s="10"/>
      <c r="AR44" s="10">
        <v>0.5</v>
      </c>
      <c r="AS44" s="10"/>
      <c r="AT44" s="10">
        <v>0.5</v>
      </c>
      <c r="AX44" s="10"/>
      <c r="AY44" s="10">
        <v>0.5</v>
      </c>
      <c r="AZ44" s="10"/>
      <c r="BA44" s="10">
        <v>0.5</v>
      </c>
      <c r="BE44" s="10"/>
      <c r="BF44" s="10">
        <v>0.5</v>
      </c>
      <c r="BG44" s="10"/>
      <c r="BH44" s="10">
        <v>0.5</v>
      </c>
      <c r="BL44" s="10"/>
      <c r="BM44" s="10">
        <v>0.5</v>
      </c>
      <c r="BN44" s="10"/>
      <c r="BO44" s="10">
        <v>0.5</v>
      </c>
      <c r="BS44" s="10"/>
      <c r="BT44" s="10">
        <v>0.8</v>
      </c>
      <c r="BU44" s="10"/>
      <c r="BV44" s="10">
        <v>0.8</v>
      </c>
      <c r="BZ44" s="10"/>
      <c r="CA44" s="10">
        <v>0.8</v>
      </c>
      <c r="CB44" s="10"/>
      <c r="CC44" s="10">
        <v>0.8</v>
      </c>
      <c r="CG44" s="10"/>
      <c r="CH44" s="10">
        <v>0.8</v>
      </c>
      <c r="CI44" s="10"/>
      <c r="CJ44" s="10">
        <v>0.8</v>
      </c>
      <c r="CN44" s="10"/>
      <c r="CO44" s="10">
        <v>1</v>
      </c>
      <c r="CP44" s="10"/>
      <c r="CQ44" s="10">
        <v>1</v>
      </c>
      <c r="CU44" s="10"/>
      <c r="CV44" s="10">
        <v>1</v>
      </c>
      <c r="CW44" s="10"/>
      <c r="CX44" s="10">
        <v>1</v>
      </c>
      <c r="DB44" s="10"/>
      <c r="DC44" s="10"/>
      <c r="DD44" s="10"/>
      <c r="DE44" s="10"/>
      <c r="DI44" s="10"/>
      <c r="DJ44" s="10"/>
      <c r="DK44" s="10"/>
      <c r="DL44" s="10"/>
      <c r="DP44" s="10"/>
      <c r="DQ44" s="10"/>
      <c r="DR44" s="10"/>
      <c r="DS44" s="10"/>
      <c r="DT44" t="s">
        <v>155</v>
      </c>
    </row>
    <row r="45" spans="2:124" outlineLevel="1">
      <c r="B45" t="s">
        <v>28</v>
      </c>
      <c r="C45" t="s">
        <v>91</v>
      </c>
      <c r="E45" s="9"/>
      <c r="F45" t="s">
        <v>126</v>
      </c>
      <c r="G45" s="10">
        <v>0.15</v>
      </c>
      <c r="I45" s="9">
        <f t="shared" si="2"/>
        <v>0</v>
      </c>
      <c r="J45" s="11" cm="1">
        <f t="array" ref="J45">MAX(IF($N$3:$DM$3=$J$3,N45:DM45))</f>
        <v>0</v>
      </c>
      <c r="K45" s="11" cm="1">
        <f t="array" ref="K45">MAX(IF($N$3:$DM$3=$J$3,N45:DM45))</f>
        <v>0</v>
      </c>
      <c r="L45" s="9"/>
      <c r="O45" s="10"/>
      <c r="P45" s="10"/>
      <c r="Q45" s="10"/>
      <c r="R45" s="10"/>
      <c r="V45" s="10"/>
      <c r="W45" s="10"/>
      <c r="X45" s="10"/>
      <c r="Y45" s="10"/>
      <c r="AC45" s="10"/>
      <c r="AD45" s="10"/>
      <c r="AE45" s="10"/>
      <c r="AF45" s="10"/>
      <c r="AJ45" s="10"/>
      <c r="AK45" s="10"/>
      <c r="AL45" s="10"/>
      <c r="AM45" s="10"/>
      <c r="AQ45" s="10"/>
      <c r="AR45" s="10"/>
      <c r="AS45" s="10"/>
      <c r="AT45" s="10"/>
      <c r="AX45" s="10"/>
      <c r="AY45" s="10">
        <v>0.5</v>
      </c>
      <c r="AZ45" s="10"/>
      <c r="BA45" s="10">
        <v>0.5</v>
      </c>
      <c r="BE45" s="10"/>
      <c r="BF45" s="10">
        <v>0.5</v>
      </c>
      <c r="BG45" s="10"/>
      <c r="BH45" s="10">
        <v>0.5</v>
      </c>
      <c r="BL45" s="10"/>
      <c r="BM45" s="10">
        <v>0.5</v>
      </c>
      <c r="BN45" s="10"/>
      <c r="BO45" s="10">
        <v>0.5</v>
      </c>
      <c r="BS45" s="10"/>
      <c r="BT45" s="10">
        <v>0.5</v>
      </c>
      <c r="BU45" s="10"/>
      <c r="BV45" s="10">
        <v>0.5</v>
      </c>
      <c r="BZ45" s="10"/>
      <c r="CA45" s="10">
        <v>0.8</v>
      </c>
      <c r="CB45" s="10"/>
      <c r="CC45" s="10">
        <v>0.8</v>
      </c>
      <c r="CG45" s="10"/>
      <c r="CH45" s="10">
        <v>0.8</v>
      </c>
      <c r="CI45" s="10"/>
      <c r="CJ45" s="10">
        <v>0.8</v>
      </c>
      <c r="CN45" s="10"/>
      <c r="CO45" s="10">
        <v>0.8</v>
      </c>
      <c r="CP45" s="10"/>
      <c r="CQ45" s="10">
        <v>0.8</v>
      </c>
      <c r="CU45" s="10"/>
      <c r="CV45" s="10">
        <v>1</v>
      </c>
      <c r="CW45" s="10"/>
      <c r="CX45" s="10">
        <v>1</v>
      </c>
      <c r="DB45" s="10"/>
      <c r="DC45" s="10"/>
      <c r="DD45" s="10"/>
      <c r="DE45" s="10"/>
      <c r="DI45" s="10"/>
      <c r="DJ45" s="10"/>
      <c r="DK45" s="10"/>
      <c r="DL45" s="10"/>
      <c r="DP45" s="10"/>
      <c r="DQ45" s="10"/>
      <c r="DR45" s="10"/>
      <c r="DS45" s="10"/>
      <c r="DT45" t="s">
        <v>155</v>
      </c>
    </row>
    <row r="47" spans="2:124">
      <c r="B47" t="s">
        <v>27</v>
      </c>
      <c r="C47" t="s">
        <v>92</v>
      </c>
      <c r="D47" s="20">
        <v>44602</v>
      </c>
      <c r="E47" s="9">
        <v>3</v>
      </c>
      <c r="G47" s="10">
        <f>+SUM(G48:G62)</f>
        <v>1</v>
      </c>
      <c r="I47" s="12">
        <f>+SUM(I48:I62)</f>
        <v>0</v>
      </c>
      <c r="J47" s="11">
        <f>+SUMPRODUCT(G48:G62,J48:J62)</f>
        <v>2.5000000000000001E-2</v>
      </c>
      <c r="K47" s="11">
        <f>+SUMPRODUCT(G48:G62,K48:K62)</f>
        <v>2.5000000000000001E-2</v>
      </c>
      <c r="L47" s="9"/>
      <c r="N47" s="12">
        <f>+SUM(N48:N62)</f>
        <v>0</v>
      </c>
      <c r="U47" s="12">
        <f>+SUM(U48:U62)</f>
        <v>0</v>
      </c>
      <c r="AB47" s="12">
        <f>+SUM(AB48:AB62)</f>
        <v>0</v>
      </c>
      <c r="AI47" s="12">
        <f>+SUM(AI48:AI62)</f>
        <v>0</v>
      </c>
      <c r="AP47" s="12">
        <f>+SUM(AP48:AP62)</f>
        <v>0</v>
      </c>
      <c r="AW47" s="12">
        <f>+SUM(AW48:AW62)</f>
        <v>0</v>
      </c>
      <c r="DF47" t="s">
        <v>156</v>
      </c>
    </row>
    <row r="48" spans="2:124" outlineLevel="1">
      <c r="B48" t="s">
        <v>28</v>
      </c>
      <c r="C48" t="s">
        <v>92</v>
      </c>
      <c r="E48" s="9"/>
      <c r="F48" t="s">
        <v>127</v>
      </c>
      <c r="G48" s="10">
        <v>0.05</v>
      </c>
      <c r="I48" s="9">
        <f t="shared" ref="I48:I62" si="3">+SUMIF($N$3:$YX$3,I$3,$N48:$YX48)</f>
        <v>0</v>
      </c>
      <c r="J48" s="11" cm="1">
        <f t="array" ref="J48">MAX(IF($N$3:$DM$3=$J$3,N48:DM48))</f>
        <v>0.5</v>
      </c>
      <c r="K48" s="11" cm="1">
        <f t="array" ref="K48">MAX(IF($N$3:$DM$3=$J$3,N48:DM48))</f>
        <v>0.5</v>
      </c>
      <c r="L48" s="9"/>
      <c r="O48" s="10">
        <v>0.5</v>
      </c>
      <c r="P48" s="10">
        <v>0.5</v>
      </c>
      <c r="Q48" s="10">
        <v>0.5</v>
      </c>
      <c r="R48" s="10">
        <v>0.5</v>
      </c>
      <c r="V48" s="10">
        <v>0.5</v>
      </c>
      <c r="W48" s="10">
        <v>0.5</v>
      </c>
      <c r="X48" s="10">
        <v>0.5</v>
      </c>
      <c r="Y48" s="10">
        <v>0.5</v>
      </c>
      <c r="AC48" s="10"/>
      <c r="AD48" s="10">
        <v>0.8</v>
      </c>
      <c r="AE48" s="10"/>
      <c r="AF48" s="10">
        <v>0.8</v>
      </c>
      <c r="AJ48" s="10"/>
      <c r="AK48" s="10">
        <v>0.8</v>
      </c>
      <c r="AL48" s="10"/>
      <c r="AM48" s="10">
        <v>0.8</v>
      </c>
      <c r="AQ48" s="10"/>
      <c r="AR48" s="10">
        <v>0.8</v>
      </c>
      <c r="AS48" s="10"/>
      <c r="AT48" s="10">
        <v>0.8</v>
      </c>
      <c r="AX48" s="10"/>
      <c r="AY48" s="10">
        <v>0.8</v>
      </c>
      <c r="AZ48" s="10"/>
      <c r="BA48" s="10">
        <v>0.8</v>
      </c>
      <c r="BE48" s="10"/>
      <c r="BF48" s="10">
        <v>1</v>
      </c>
      <c r="BG48" s="10"/>
      <c r="BH48" s="10">
        <v>1</v>
      </c>
      <c r="BL48" s="10"/>
      <c r="BM48" s="10">
        <v>1</v>
      </c>
      <c r="BN48" s="10"/>
      <c r="BO48" s="10">
        <v>1</v>
      </c>
      <c r="BS48" s="10"/>
      <c r="BT48" s="10">
        <v>1</v>
      </c>
      <c r="BU48" s="10"/>
      <c r="BV48" s="10">
        <v>1</v>
      </c>
      <c r="BZ48" s="10"/>
      <c r="CA48" s="10">
        <v>1</v>
      </c>
      <c r="CB48" s="10"/>
      <c r="CC48" s="10">
        <v>1</v>
      </c>
      <c r="CG48" s="10"/>
      <c r="CH48" s="10">
        <v>1</v>
      </c>
      <c r="CI48" s="10"/>
      <c r="CJ48" s="10">
        <v>1</v>
      </c>
      <c r="CN48" s="10"/>
      <c r="CO48" s="10"/>
      <c r="CP48" s="10"/>
      <c r="CQ48" s="10"/>
      <c r="CU48" s="10"/>
      <c r="CV48" s="10"/>
      <c r="CW48" s="10"/>
      <c r="CX48" s="10"/>
      <c r="DB48" s="10"/>
      <c r="DC48" s="10"/>
      <c r="DD48" s="10"/>
      <c r="DE48" s="10"/>
      <c r="DF48" t="s">
        <v>156</v>
      </c>
      <c r="DI48" s="10"/>
      <c r="DJ48" s="10"/>
      <c r="DK48" s="10"/>
      <c r="DL48" s="10"/>
      <c r="DP48" s="10"/>
      <c r="DQ48" s="10"/>
      <c r="DR48" s="10"/>
      <c r="DS48" s="10"/>
    </row>
    <row r="49" spans="2:123" outlineLevel="1">
      <c r="B49" t="s">
        <v>28</v>
      </c>
      <c r="C49" t="s">
        <v>92</v>
      </c>
      <c r="E49" s="9"/>
      <c r="F49" t="s">
        <v>128</v>
      </c>
      <c r="G49" s="10">
        <v>0.05</v>
      </c>
      <c r="I49" s="9">
        <f t="shared" si="3"/>
        <v>0</v>
      </c>
      <c r="J49" s="11" cm="1">
        <f t="array" ref="J49">MAX(IF($N$3:$DM$3=$J$3,N49:DM49))</f>
        <v>0</v>
      </c>
      <c r="K49" s="11" cm="1">
        <f t="array" ref="K49">MAX(IF($N$3:$DM$3=$J$3,N49:DM49))</f>
        <v>0</v>
      </c>
      <c r="L49" s="9"/>
      <c r="O49" s="10"/>
      <c r="P49" s="10"/>
      <c r="Q49" s="10"/>
      <c r="R49" s="10"/>
      <c r="V49" s="10"/>
      <c r="W49" s="10">
        <v>0.5</v>
      </c>
      <c r="X49" s="10"/>
      <c r="Y49" s="10">
        <v>0.5</v>
      </c>
      <c r="AC49" s="10"/>
      <c r="AD49" s="10">
        <v>0.8</v>
      </c>
      <c r="AE49" s="10"/>
      <c r="AF49" s="10">
        <v>0.8</v>
      </c>
      <c r="AJ49" s="10"/>
      <c r="AK49" s="10">
        <v>0.8</v>
      </c>
      <c r="AL49" s="10"/>
      <c r="AM49" s="10">
        <v>0.8</v>
      </c>
      <c r="AQ49" s="10"/>
      <c r="AR49" s="10">
        <v>0.8</v>
      </c>
      <c r="AS49" s="10"/>
      <c r="AT49" s="10">
        <v>0.8</v>
      </c>
      <c r="AX49" s="10"/>
      <c r="AY49" s="10">
        <v>0.8</v>
      </c>
      <c r="AZ49" s="10"/>
      <c r="BA49" s="10">
        <v>0.8</v>
      </c>
      <c r="BE49" s="10"/>
      <c r="BF49" s="10">
        <v>1</v>
      </c>
      <c r="BG49" s="10"/>
      <c r="BH49" s="10">
        <v>1</v>
      </c>
      <c r="BL49" s="10"/>
      <c r="BM49" s="10">
        <v>1</v>
      </c>
      <c r="BN49" s="10"/>
      <c r="BO49" s="10">
        <v>1</v>
      </c>
      <c r="BS49" s="10"/>
      <c r="BT49" s="10">
        <v>1</v>
      </c>
      <c r="BU49" s="10"/>
      <c r="BV49" s="10">
        <v>1</v>
      </c>
      <c r="BZ49" s="10"/>
      <c r="CA49" s="10">
        <v>1</v>
      </c>
      <c r="CB49" s="10"/>
      <c r="CC49" s="10">
        <v>1</v>
      </c>
      <c r="CG49" s="10"/>
      <c r="CH49" s="10">
        <v>1</v>
      </c>
      <c r="CI49" s="10"/>
      <c r="CJ49" s="10">
        <v>1</v>
      </c>
      <c r="CN49" s="10"/>
      <c r="CO49" s="10"/>
      <c r="CP49" s="10"/>
      <c r="CQ49" s="10"/>
      <c r="CU49" s="10"/>
      <c r="CV49" s="10"/>
      <c r="CW49" s="10"/>
      <c r="CX49" s="10"/>
      <c r="DB49" s="10"/>
      <c r="DC49" s="10"/>
      <c r="DD49" s="10"/>
      <c r="DE49" s="10"/>
      <c r="DF49" t="s">
        <v>156</v>
      </c>
      <c r="DI49" s="10"/>
      <c r="DJ49" s="10"/>
      <c r="DK49" s="10"/>
      <c r="DL49" s="10"/>
      <c r="DP49" s="10"/>
      <c r="DQ49" s="10"/>
      <c r="DR49" s="10"/>
      <c r="DS49" s="10"/>
    </row>
    <row r="50" spans="2:123" outlineLevel="1">
      <c r="B50" t="s">
        <v>28</v>
      </c>
      <c r="C50" t="s">
        <v>92</v>
      </c>
      <c r="E50" s="9"/>
      <c r="F50" t="s">
        <v>129</v>
      </c>
      <c r="G50" s="10">
        <v>0.05</v>
      </c>
      <c r="I50" s="9">
        <f t="shared" si="3"/>
        <v>0</v>
      </c>
      <c r="J50" s="11" cm="1">
        <f t="array" ref="J50">MAX(IF($N$3:$DM$3=$J$3,N50:DM50))</f>
        <v>0</v>
      </c>
      <c r="K50" s="11" cm="1">
        <f t="array" ref="K50">MAX(IF($N$3:$DM$3=$J$3,N50:DM50))</f>
        <v>0</v>
      </c>
      <c r="L50" s="9"/>
      <c r="O50" s="10"/>
      <c r="P50" s="10"/>
      <c r="Q50" s="10"/>
      <c r="R50" s="10"/>
      <c r="V50" s="10"/>
      <c r="W50" s="10">
        <v>0.5</v>
      </c>
      <c r="X50" s="10"/>
      <c r="Y50" s="10">
        <v>0.5</v>
      </c>
      <c r="AC50" s="10"/>
      <c r="AD50" s="10">
        <v>0.5</v>
      </c>
      <c r="AE50" s="10"/>
      <c r="AF50" s="10">
        <v>0.5</v>
      </c>
      <c r="AJ50" s="10"/>
      <c r="AK50" s="10">
        <v>0.8</v>
      </c>
      <c r="AL50" s="10"/>
      <c r="AM50" s="10">
        <v>0.8</v>
      </c>
      <c r="AQ50" s="10"/>
      <c r="AR50" s="10">
        <v>0.8</v>
      </c>
      <c r="AS50" s="10"/>
      <c r="AT50" s="10">
        <v>0.8</v>
      </c>
      <c r="AX50" s="10"/>
      <c r="AY50" s="10">
        <v>0.8</v>
      </c>
      <c r="AZ50" s="10"/>
      <c r="BA50" s="10">
        <v>0.8</v>
      </c>
      <c r="BE50" s="10"/>
      <c r="BF50" s="10">
        <v>0.8</v>
      </c>
      <c r="BG50" s="10"/>
      <c r="BH50" s="10">
        <v>0.8</v>
      </c>
      <c r="BL50" s="10"/>
      <c r="BM50" s="10">
        <v>1</v>
      </c>
      <c r="BN50" s="10"/>
      <c r="BO50" s="10">
        <v>1</v>
      </c>
      <c r="BS50" s="10"/>
      <c r="BT50" s="10">
        <v>1</v>
      </c>
      <c r="BU50" s="10"/>
      <c r="BV50" s="10">
        <v>1</v>
      </c>
      <c r="BZ50" s="10"/>
      <c r="CA50" s="10">
        <v>1</v>
      </c>
      <c r="CB50" s="10"/>
      <c r="CC50" s="10">
        <v>1</v>
      </c>
      <c r="CG50" s="10"/>
      <c r="CH50" s="10">
        <v>1</v>
      </c>
      <c r="CI50" s="10"/>
      <c r="CJ50" s="10">
        <v>1</v>
      </c>
      <c r="CN50" s="10"/>
      <c r="CO50" s="10"/>
      <c r="CP50" s="10"/>
      <c r="CQ50" s="10"/>
      <c r="CU50" s="10"/>
      <c r="CV50" s="10"/>
      <c r="CW50" s="10"/>
      <c r="CX50" s="10"/>
      <c r="DB50" s="10"/>
      <c r="DC50" s="10"/>
      <c r="DD50" s="10"/>
      <c r="DE50" s="10"/>
      <c r="DF50" t="s">
        <v>156</v>
      </c>
      <c r="DI50" s="10"/>
      <c r="DJ50" s="10"/>
      <c r="DK50" s="10"/>
      <c r="DL50" s="10"/>
      <c r="DP50" s="10"/>
      <c r="DQ50" s="10"/>
      <c r="DR50" s="10"/>
      <c r="DS50" s="10"/>
    </row>
    <row r="51" spans="2:123" outlineLevel="1">
      <c r="B51" t="s">
        <v>28</v>
      </c>
      <c r="C51" t="s">
        <v>92</v>
      </c>
      <c r="E51" s="9"/>
      <c r="F51" t="s">
        <v>130</v>
      </c>
      <c r="G51" s="10">
        <v>0.1</v>
      </c>
      <c r="I51" s="9">
        <f t="shared" si="3"/>
        <v>0</v>
      </c>
      <c r="J51" s="11" cm="1">
        <f t="array" ref="J51">MAX(IF($N$3:$DM$3=$J$3,N51:DM51))</f>
        <v>0</v>
      </c>
      <c r="K51" s="11" cm="1">
        <f t="array" ref="K51">MAX(IF($N$3:$DM$3=$J$3,N51:DM51))</f>
        <v>0</v>
      </c>
      <c r="L51" s="9"/>
      <c r="O51" s="10"/>
      <c r="P51" s="10"/>
      <c r="Q51" s="10"/>
      <c r="R51" s="10"/>
      <c r="V51" s="10"/>
      <c r="W51" s="10">
        <v>0.5</v>
      </c>
      <c r="X51" s="10"/>
      <c r="Y51" s="10">
        <v>0.5</v>
      </c>
      <c r="AC51" s="10"/>
      <c r="AD51" s="10">
        <v>0.5</v>
      </c>
      <c r="AE51" s="10"/>
      <c r="AF51" s="10">
        <v>0.5</v>
      </c>
      <c r="AJ51" s="10"/>
      <c r="AK51" s="10">
        <v>0.8</v>
      </c>
      <c r="AL51" s="10"/>
      <c r="AM51" s="10">
        <v>0.8</v>
      </c>
      <c r="AQ51" s="10"/>
      <c r="AR51" s="10">
        <v>0.8</v>
      </c>
      <c r="AS51" s="10"/>
      <c r="AT51" s="10">
        <v>0.8</v>
      </c>
      <c r="AX51" s="10"/>
      <c r="AY51" s="10">
        <v>0.8</v>
      </c>
      <c r="AZ51" s="10"/>
      <c r="BA51" s="10">
        <v>0.8</v>
      </c>
      <c r="BE51" s="10"/>
      <c r="BF51" s="10">
        <v>0.8</v>
      </c>
      <c r="BG51" s="10"/>
      <c r="BH51" s="10">
        <v>0.8</v>
      </c>
      <c r="BL51" s="10"/>
      <c r="BM51" s="10">
        <v>1</v>
      </c>
      <c r="BN51" s="10"/>
      <c r="BO51" s="10">
        <v>1</v>
      </c>
      <c r="BS51" s="10"/>
      <c r="BT51" s="10">
        <v>1</v>
      </c>
      <c r="BU51" s="10"/>
      <c r="BV51" s="10">
        <v>1</v>
      </c>
      <c r="BZ51" s="10"/>
      <c r="CA51" s="10">
        <v>1</v>
      </c>
      <c r="CB51" s="10"/>
      <c r="CC51" s="10">
        <v>1</v>
      </c>
      <c r="CG51" s="10"/>
      <c r="CH51" s="10">
        <v>1</v>
      </c>
      <c r="CI51" s="10"/>
      <c r="CJ51" s="10">
        <v>1</v>
      </c>
      <c r="CN51" s="10"/>
      <c r="CO51" s="10"/>
      <c r="CP51" s="10"/>
      <c r="CQ51" s="10"/>
      <c r="CU51" s="10"/>
      <c r="CV51" s="10"/>
      <c r="CW51" s="10"/>
      <c r="CX51" s="10"/>
      <c r="DB51" s="10"/>
      <c r="DC51" s="10"/>
      <c r="DD51" s="10"/>
      <c r="DE51" s="10"/>
      <c r="DF51" t="s">
        <v>156</v>
      </c>
      <c r="DI51" s="10"/>
      <c r="DJ51" s="10"/>
      <c r="DK51" s="10"/>
      <c r="DL51" s="10"/>
      <c r="DP51" s="10"/>
      <c r="DQ51" s="10"/>
      <c r="DR51" s="10"/>
      <c r="DS51" s="10"/>
    </row>
    <row r="52" spans="2:123" outlineLevel="1">
      <c r="B52" t="s">
        <v>28</v>
      </c>
      <c r="C52" t="s">
        <v>92</v>
      </c>
      <c r="E52" s="9"/>
      <c r="F52" t="s">
        <v>131</v>
      </c>
      <c r="G52" s="10">
        <v>0.1</v>
      </c>
      <c r="I52" s="9">
        <f t="shared" si="3"/>
        <v>0</v>
      </c>
      <c r="J52" s="11" cm="1">
        <f t="array" ref="J52">MAX(IF($N$3:$DM$3=$J$3,N52:DM52))</f>
        <v>0</v>
      </c>
      <c r="K52" s="11" cm="1">
        <f t="array" ref="K52">MAX(IF($N$3:$DM$3=$J$3,N52:DM52))</f>
        <v>0</v>
      </c>
      <c r="L52" s="9"/>
      <c r="O52" s="10"/>
      <c r="P52" s="10"/>
      <c r="Q52" s="10"/>
      <c r="R52" s="10"/>
      <c r="V52" s="10"/>
      <c r="W52" s="10">
        <v>0.5</v>
      </c>
      <c r="X52" s="10"/>
      <c r="Y52" s="10">
        <v>0.5</v>
      </c>
      <c r="AC52" s="10"/>
      <c r="AD52" s="10">
        <v>0.5</v>
      </c>
      <c r="AE52" s="10"/>
      <c r="AF52" s="10">
        <v>0.5</v>
      </c>
      <c r="AJ52" s="10"/>
      <c r="AK52" s="10">
        <v>0.5</v>
      </c>
      <c r="AL52" s="10"/>
      <c r="AM52" s="10">
        <v>0.5</v>
      </c>
      <c r="AQ52" s="10"/>
      <c r="AR52" s="10">
        <v>0.8</v>
      </c>
      <c r="AS52" s="10"/>
      <c r="AT52" s="10">
        <v>0.8</v>
      </c>
      <c r="AX52" s="10"/>
      <c r="AY52" s="10">
        <v>0.8</v>
      </c>
      <c r="AZ52" s="10"/>
      <c r="BA52" s="10">
        <v>0.8</v>
      </c>
      <c r="BE52" s="10"/>
      <c r="BF52" s="10">
        <v>0.8</v>
      </c>
      <c r="BG52" s="10"/>
      <c r="BH52" s="10">
        <v>0.8</v>
      </c>
      <c r="BL52" s="10"/>
      <c r="BM52" s="10">
        <v>0.8</v>
      </c>
      <c r="BN52" s="10"/>
      <c r="BO52" s="10">
        <v>0.8</v>
      </c>
      <c r="BS52" s="10"/>
      <c r="BT52" s="10">
        <v>1</v>
      </c>
      <c r="BU52" s="10"/>
      <c r="BV52" s="10">
        <v>1</v>
      </c>
      <c r="BZ52" s="10"/>
      <c r="CA52" s="10">
        <v>1</v>
      </c>
      <c r="CB52" s="10"/>
      <c r="CC52" s="10">
        <v>1</v>
      </c>
      <c r="CG52" s="10"/>
      <c r="CH52" s="10">
        <v>1</v>
      </c>
      <c r="CI52" s="10"/>
      <c r="CJ52" s="10">
        <v>1</v>
      </c>
      <c r="CN52" s="10"/>
      <c r="CO52" s="10"/>
      <c r="CP52" s="10"/>
      <c r="CQ52" s="10"/>
      <c r="CU52" s="10"/>
      <c r="CV52" s="10"/>
      <c r="CW52" s="10"/>
      <c r="CX52" s="10"/>
      <c r="DB52" s="10"/>
      <c r="DC52" s="10"/>
      <c r="DD52" s="10"/>
      <c r="DE52" s="10"/>
      <c r="DF52" t="s">
        <v>156</v>
      </c>
      <c r="DI52" s="10"/>
      <c r="DJ52" s="10"/>
      <c r="DK52" s="10"/>
      <c r="DL52" s="10"/>
      <c r="DP52" s="10"/>
      <c r="DQ52" s="10"/>
      <c r="DR52" s="10"/>
      <c r="DS52" s="10"/>
    </row>
    <row r="53" spans="2:123" outlineLevel="1">
      <c r="B53" t="s">
        <v>28</v>
      </c>
      <c r="C53" t="s">
        <v>92</v>
      </c>
      <c r="E53" s="9"/>
      <c r="F53" t="s">
        <v>132</v>
      </c>
      <c r="G53" s="10">
        <v>0.05</v>
      </c>
      <c r="I53" s="9">
        <f t="shared" si="3"/>
        <v>0</v>
      </c>
      <c r="J53" s="11" cm="1">
        <f t="array" ref="J53">MAX(IF($N$3:$DM$3=$J$3,N53:DM53))</f>
        <v>0</v>
      </c>
      <c r="K53" s="11" cm="1">
        <f t="array" ref="K53">MAX(IF($N$3:$DM$3=$J$3,N53:DM53))</f>
        <v>0</v>
      </c>
      <c r="L53" s="9"/>
      <c r="O53" s="10"/>
      <c r="P53" s="10"/>
      <c r="Q53" s="10"/>
      <c r="R53" s="10"/>
      <c r="V53" s="10"/>
      <c r="W53" s="10"/>
      <c r="X53" s="10"/>
      <c r="Y53" s="10"/>
      <c r="AC53" s="10"/>
      <c r="AD53" s="10">
        <v>0.5</v>
      </c>
      <c r="AE53" s="10"/>
      <c r="AF53" s="10">
        <v>0.5</v>
      </c>
      <c r="AJ53" s="10"/>
      <c r="AK53" s="10">
        <v>0.5</v>
      </c>
      <c r="AL53" s="10"/>
      <c r="AM53" s="10">
        <v>0.5</v>
      </c>
      <c r="AQ53" s="10"/>
      <c r="AR53" s="10">
        <v>0.8</v>
      </c>
      <c r="AS53" s="10"/>
      <c r="AT53" s="10">
        <v>0.8</v>
      </c>
      <c r="AX53" s="10"/>
      <c r="AY53" s="10">
        <v>0.8</v>
      </c>
      <c r="AZ53" s="10"/>
      <c r="BA53" s="10">
        <v>0.8</v>
      </c>
      <c r="BE53" s="10"/>
      <c r="BF53" s="10">
        <v>0.8</v>
      </c>
      <c r="BG53" s="10"/>
      <c r="BH53" s="10">
        <v>0.8</v>
      </c>
      <c r="BL53" s="10"/>
      <c r="BM53" s="10">
        <v>0.8</v>
      </c>
      <c r="BN53" s="10"/>
      <c r="BO53" s="10">
        <v>0.8</v>
      </c>
      <c r="BS53" s="10"/>
      <c r="BT53" s="10">
        <v>1</v>
      </c>
      <c r="BU53" s="10"/>
      <c r="BV53" s="10">
        <v>1</v>
      </c>
      <c r="BZ53" s="10"/>
      <c r="CA53" s="10">
        <v>1</v>
      </c>
      <c r="CB53" s="10"/>
      <c r="CC53" s="10">
        <v>1</v>
      </c>
      <c r="CG53" s="10"/>
      <c r="CH53" s="10">
        <v>1</v>
      </c>
      <c r="CI53" s="10"/>
      <c r="CJ53" s="10">
        <v>1</v>
      </c>
      <c r="CN53" s="10"/>
      <c r="CO53" s="10"/>
      <c r="CP53" s="10"/>
      <c r="CQ53" s="10"/>
      <c r="CU53" s="10"/>
      <c r="CV53" s="10"/>
      <c r="CW53" s="10"/>
      <c r="CX53" s="10"/>
      <c r="DB53" s="10"/>
      <c r="DC53" s="10"/>
      <c r="DD53" s="10"/>
      <c r="DE53" s="10"/>
      <c r="DF53" t="s">
        <v>156</v>
      </c>
      <c r="DI53" s="10"/>
      <c r="DJ53" s="10"/>
      <c r="DK53" s="10"/>
      <c r="DL53" s="10"/>
      <c r="DP53" s="10"/>
      <c r="DQ53" s="10"/>
      <c r="DR53" s="10"/>
      <c r="DS53" s="10"/>
    </row>
    <row r="54" spans="2:123" outlineLevel="1">
      <c r="B54" t="s">
        <v>28</v>
      </c>
      <c r="C54" t="s">
        <v>92</v>
      </c>
      <c r="E54" s="9"/>
      <c r="F54" t="s">
        <v>133</v>
      </c>
      <c r="G54" s="10">
        <v>0.05</v>
      </c>
      <c r="I54" s="9">
        <f t="shared" si="3"/>
        <v>0</v>
      </c>
      <c r="J54" s="11" cm="1">
        <f t="array" ref="J54">MAX(IF($N$3:$DM$3=$J$3,N54:DM54))</f>
        <v>0</v>
      </c>
      <c r="K54" s="11" cm="1">
        <f t="array" ref="K54">MAX(IF($N$3:$DM$3=$J$3,N54:DM54))</f>
        <v>0</v>
      </c>
      <c r="L54" s="9"/>
      <c r="O54" s="10"/>
      <c r="P54" s="10"/>
      <c r="Q54" s="10"/>
      <c r="R54" s="10"/>
      <c r="V54" s="10"/>
      <c r="W54" s="10"/>
      <c r="X54" s="10"/>
      <c r="Y54" s="10"/>
      <c r="AC54" s="10"/>
      <c r="AD54" s="10">
        <v>0.5</v>
      </c>
      <c r="AE54" s="10"/>
      <c r="AF54" s="10">
        <v>0.5</v>
      </c>
      <c r="AJ54" s="10"/>
      <c r="AK54" s="10">
        <v>0.5</v>
      </c>
      <c r="AL54" s="10"/>
      <c r="AM54" s="10">
        <v>0.5</v>
      </c>
      <c r="AQ54" s="10"/>
      <c r="AR54" s="10">
        <v>0.5</v>
      </c>
      <c r="AS54" s="10"/>
      <c r="AT54" s="10">
        <v>0.5</v>
      </c>
      <c r="AX54" s="10"/>
      <c r="AY54" s="10">
        <v>0.8</v>
      </c>
      <c r="AZ54" s="10"/>
      <c r="BA54" s="10">
        <v>0.8</v>
      </c>
      <c r="BE54" s="10"/>
      <c r="BF54" s="10">
        <v>0.8</v>
      </c>
      <c r="BG54" s="10"/>
      <c r="BH54" s="10">
        <v>0.8</v>
      </c>
      <c r="BL54" s="10"/>
      <c r="BM54" s="10">
        <v>0.8</v>
      </c>
      <c r="BN54" s="10"/>
      <c r="BO54" s="10">
        <v>0.8</v>
      </c>
      <c r="BS54" s="10"/>
      <c r="BT54" s="10">
        <v>1</v>
      </c>
      <c r="BU54" s="10"/>
      <c r="BV54" s="10">
        <v>1</v>
      </c>
      <c r="BZ54" s="10"/>
      <c r="CA54" s="10">
        <v>1</v>
      </c>
      <c r="CB54" s="10"/>
      <c r="CC54" s="10">
        <v>1</v>
      </c>
      <c r="CG54" s="10"/>
      <c r="CH54" s="10">
        <v>1</v>
      </c>
      <c r="CI54" s="10"/>
      <c r="CJ54" s="10">
        <v>1</v>
      </c>
      <c r="CN54" s="10"/>
      <c r="CO54" s="10"/>
      <c r="CP54" s="10"/>
      <c r="CQ54" s="10"/>
      <c r="CU54" s="10"/>
      <c r="CV54" s="10"/>
      <c r="CW54" s="10"/>
      <c r="CX54" s="10"/>
      <c r="DB54" s="10"/>
      <c r="DC54" s="10"/>
      <c r="DD54" s="10"/>
      <c r="DE54" s="10"/>
      <c r="DF54" t="s">
        <v>156</v>
      </c>
      <c r="DI54" s="10"/>
      <c r="DJ54" s="10"/>
      <c r="DK54" s="10"/>
      <c r="DL54" s="10"/>
      <c r="DP54" s="10"/>
      <c r="DQ54" s="10"/>
      <c r="DR54" s="10"/>
      <c r="DS54" s="10"/>
    </row>
    <row r="55" spans="2:123" outlineLevel="1">
      <c r="B55" t="s">
        <v>28</v>
      </c>
      <c r="C55" t="s">
        <v>92</v>
      </c>
      <c r="E55" s="9"/>
      <c r="F55" t="s">
        <v>134</v>
      </c>
      <c r="G55" s="10">
        <v>0.05</v>
      </c>
      <c r="I55" s="9">
        <f t="shared" si="3"/>
        <v>0</v>
      </c>
      <c r="J55" s="11" cm="1">
        <f t="array" ref="J55">MAX(IF($N$3:$DM$3=$J$3,N55:DM55))</f>
        <v>0</v>
      </c>
      <c r="K55" s="11" cm="1">
        <f t="array" ref="K55">MAX(IF($N$3:$DM$3=$J$3,N55:DM55))</f>
        <v>0</v>
      </c>
      <c r="L55" s="9"/>
      <c r="O55" s="10"/>
      <c r="P55" s="10"/>
      <c r="Q55" s="10"/>
      <c r="R55" s="10"/>
      <c r="V55" s="10"/>
      <c r="W55" s="10"/>
      <c r="X55" s="10"/>
      <c r="Y55" s="10"/>
      <c r="AC55" s="10"/>
      <c r="AD55" s="10">
        <v>0.5</v>
      </c>
      <c r="AE55" s="10"/>
      <c r="AF55" s="10">
        <v>0.5</v>
      </c>
      <c r="AJ55" s="10"/>
      <c r="AK55" s="10">
        <v>0.5</v>
      </c>
      <c r="AL55" s="10"/>
      <c r="AM55" s="10">
        <v>0.5</v>
      </c>
      <c r="AQ55" s="10"/>
      <c r="AR55" s="10">
        <v>0.5</v>
      </c>
      <c r="AS55" s="10"/>
      <c r="AT55" s="10">
        <v>0.5</v>
      </c>
      <c r="AX55" s="10"/>
      <c r="AY55" s="10">
        <v>0.8</v>
      </c>
      <c r="AZ55" s="10"/>
      <c r="BA55" s="10">
        <v>0.8</v>
      </c>
      <c r="BE55" s="10"/>
      <c r="BF55" s="10">
        <v>0.8</v>
      </c>
      <c r="BG55" s="10"/>
      <c r="BH55" s="10">
        <v>0.8</v>
      </c>
      <c r="BL55" s="10"/>
      <c r="BM55" s="10">
        <v>0.8</v>
      </c>
      <c r="BN55" s="10"/>
      <c r="BO55" s="10">
        <v>0.8</v>
      </c>
      <c r="BS55" s="10"/>
      <c r="BT55" s="10">
        <v>0.8</v>
      </c>
      <c r="BU55" s="10"/>
      <c r="BV55" s="10">
        <v>0.8</v>
      </c>
      <c r="BZ55" s="10"/>
      <c r="CA55" s="10">
        <v>1</v>
      </c>
      <c r="CB55" s="10"/>
      <c r="CC55" s="10">
        <v>1</v>
      </c>
      <c r="CG55" s="10"/>
      <c r="CH55" s="10">
        <v>1</v>
      </c>
      <c r="CI55" s="10"/>
      <c r="CJ55" s="10">
        <v>1</v>
      </c>
      <c r="CN55" s="10"/>
      <c r="CO55" s="10"/>
      <c r="CP55" s="10"/>
      <c r="CQ55" s="10"/>
      <c r="CU55" s="10"/>
      <c r="CV55" s="10"/>
      <c r="CW55" s="10"/>
      <c r="CX55" s="10"/>
      <c r="DB55" s="10"/>
      <c r="DC55" s="10"/>
      <c r="DD55" s="10"/>
      <c r="DE55" s="10"/>
      <c r="DF55" t="s">
        <v>156</v>
      </c>
      <c r="DI55" s="10"/>
      <c r="DJ55" s="10"/>
      <c r="DK55" s="10"/>
      <c r="DL55" s="10"/>
      <c r="DP55" s="10"/>
      <c r="DQ55" s="10"/>
      <c r="DR55" s="10"/>
      <c r="DS55" s="10"/>
    </row>
    <row r="56" spans="2:123" outlineLevel="1">
      <c r="B56" t="s">
        <v>28</v>
      </c>
      <c r="C56" t="s">
        <v>92</v>
      </c>
      <c r="E56" s="9"/>
      <c r="F56" t="s">
        <v>135</v>
      </c>
      <c r="G56" s="10">
        <v>0.05</v>
      </c>
      <c r="I56" s="9">
        <f t="shared" si="3"/>
        <v>0</v>
      </c>
      <c r="J56" s="11" cm="1">
        <f t="array" ref="J56">MAX(IF($N$3:$DM$3=$J$3,N56:DM56))</f>
        <v>0</v>
      </c>
      <c r="K56" s="11" cm="1">
        <f t="array" ref="K56">MAX(IF($N$3:$DM$3=$J$3,N56:DM56))</f>
        <v>0</v>
      </c>
      <c r="L56" s="9"/>
      <c r="O56" s="10"/>
      <c r="P56" s="10"/>
      <c r="Q56" s="10"/>
      <c r="R56" s="10"/>
      <c r="V56" s="10"/>
      <c r="W56" s="10"/>
      <c r="X56" s="10"/>
      <c r="Y56" s="10"/>
      <c r="AC56" s="10"/>
      <c r="AD56" s="10"/>
      <c r="AE56" s="10"/>
      <c r="AF56" s="10"/>
      <c r="AJ56" s="10"/>
      <c r="AK56" s="10">
        <v>0.5</v>
      </c>
      <c r="AL56" s="10"/>
      <c r="AM56" s="10">
        <v>0.5</v>
      </c>
      <c r="AQ56" s="10"/>
      <c r="AR56" s="10">
        <v>0.5</v>
      </c>
      <c r="AS56" s="10"/>
      <c r="AT56" s="10">
        <v>0.5</v>
      </c>
      <c r="AX56" s="10"/>
      <c r="AY56" s="10">
        <v>0.5</v>
      </c>
      <c r="AZ56" s="10"/>
      <c r="BA56" s="10">
        <v>0.5</v>
      </c>
      <c r="BE56" s="10"/>
      <c r="BF56" s="10">
        <v>0.8</v>
      </c>
      <c r="BG56" s="10"/>
      <c r="BH56" s="10">
        <v>0.8</v>
      </c>
      <c r="BL56" s="10"/>
      <c r="BM56" s="10">
        <v>0.8</v>
      </c>
      <c r="BN56" s="10"/>
      <c r="BO56" s="10">
        <v>0.8</v>
      </c>
      <c r="BS56" s="10"/>
      <c r="BT56" s="10">
        <v>0.8</v>
      </c>
      <c r="BU56" s="10"/>
      <c r="BV56" s="10">
        <v>0.8</v>
      </c>
      <c r="BZ56" s="10"/>
      <c r="CA56" s="10">
        <v>1</v>
      </c>
      <c r="CB56" s="10"/>
      <c r="CC56" s="10">
        <v>1</v>
      </c>
      <c r="CG56" s="10"/>
      <c r="CH56" s="10">
        <v>1</v>
      </c>
      <c r="CI56" s="10"/>
      <c r="CJ56" s="10">
        <v>1</v>
      </c>
      <c r="CN56" s="10"/>
      <c r="CO56" s="10"/>
      <c r="CP56" s="10"/>
      <c r="CQ56" s="10"/>
      <c r="CU56" s="10"/>
      <c r="CV56" s="10"/>
      <c r="CW56" s="10"/>
      <c r="CX56" s="10"/>
      <c r="DB56" s="10"/>
      <c r="DC56" s="10"/>
      <c r="DD56" s="10"/>
      <c r="DE56" s="10"/>
      <c r="DF56" t="s">
        <v>156</v>
      </c>
      <c r="DI56" s="10"/>
      <c r="DJ56" s="10"/>
      <c r="DK56" s="10"/>
      <c r="DL56" s="10"/>
      <c r="DP56" s="10"/>
      <c r="DQ56" s="10"/>
      <c r="DR56" s="10"/>
      <c r="DS56" s="10"/>
    </row>
    <row r="57" spans="2:123" outlineLevel="1">
      <c r="B57" t="s">
        <v>28</v>
      </c>
      <c r="C57" t="s">
        <v>92</v>
      </c>
      <c r="E57" s="9"/>
      <c r="F57" t="s">
        <v>136</v>
      </c>
      <c r="G57" s="10">
        <v>0.1</v>
      </c>
      <c r="I57" s="9">
        <f t="shared" si="3"/>
        <v>0</v>
      </c>
      <c r="J57" s="11" cm="1">
        <f t="array" ref="J57">MAX(IF($N$3:$DM$3=$J$3,N57:DM57))</f>
        <v>0</v>
      </c>
      <c r="K57" s="11" cm="1">
        <f t="array" ref="K57">MAX(IF($N$3:$DM$3=$J$3,N57:DM57))</f>
        <v>0</v>
      </c>
      <c r="L57" s="9"/>
      <c r="O57" s="10"/>
      <c r="P57" s="10"/>
      <c r="Q57" s="10"/>
      <c r="R57" s="10"/>
      <c r="V57" s="10"/>
      <c r="W57" s="10"/>
      <c r="X57" s="10"/>
      <c r="Y57" s="10"/>
      <c r="AC57" s="10"/>
      <c r="AD57" s="10"/>
      <c r="AE57" s="10"/>
      <c r="AF57" s="10"/>
      <c r="AJ57" s="10"/>
      <c r="AK57" s="10">
        <v>0.5</v>
      </c>
      <c r="AL57" s="10"/>
      <c r="AM57" s="10">
        <v>0.5</v>
      </c>
      <c r="AQ57" s="10"/>
      <c r="AR57" s="10">
        <v>0.5</v>
      </c>
      <c r="AS57" s="10"/>
      <c r="AT57" s="10">
        <v>0.5</v>
      </c>
      <c r="AX57" s="10"/>
      <c r="AY57" s="10">
        <v>0.5</v>
      </c>
      <c r="AZ57" s="10"/>
      <c r="BA57" s="10">
        <v>0.5</v>
      </c>
      <c r="BE57" s="10"/>
      <c r="BF57" s="10">
        <v>0.8</v>
      </c>
      <c r="BG57" s="10"/>
      <c r="BH57" s="10">
        <v>0.8</v>
      </c>
      <c r="BL57" s="10"/>
      <c r="BM57" s="10">
        <v>0.8</v>
      </c>
      <c r="BN57" s="10"/>
      <c r="BO57" s="10">
        <v>0.8</v>
      </c>
      <c r="BS57" s="10"/>
      <c r="BT57" s="10">
        <v>0.8</v>
      </c>
      <c r="BU57" s="10"/>
      <c r="BV57" s="10">
        <v>0.8</v>
      </c>
      <c r="BZ57" s="10"/>
      <c r="CA57" s="10">
        <v>1</v>
      </c>
      <c r="CB57" s="10"/>
      <c r="CC57" s="10">
        <v>1</v>
      </c>
      <c r="CG57" s="10"/>
      <c r="CH57" s="10">
        <v>1</v>
      </c>
      <c r="CI57" s="10"/>
      <c r="CJ57" s="10">
        <v>1</v>
      </c>
      <c r="CN57" s="10"/>
      <c r="CO57" s="10"/>
      <c r="CP57" s="10"/>
      <c r="CQ57" s="10"/>
      <c r="CU57" s="10"/>
      <c r="CV57" s="10"/>
      <c r="CW57" s="10"/>
      <c r="CX57" s="10"/>
      <c r="DB57" s="10"/>
      <c r="DC57" s="10"/>
      <c r="DD57" s="10"/>
      <c r="DE57" s="10"/>
      <c r="DF57" t="s">
        <v>156</v>
      </c>
      <c r="DI57" s="10"/>
      <c r="DJ57" s="10"/>
      <c r="DK57" s="10"/>
      <c r="DL57" s="10"/>
      <c r="DP57" s="10"/>
      <c r="DQ57" s="10"/>
      <c r="DR57" s="10"/>
      <c r="DS57" s="10"/>
    </row>
    <row r="58" spans="2:123" outlineLevel="1">
      <c r="B58" t="s">
        <v>28</v>
      </c>
      <c r="C58" t="s">
        <v>92</v>
      </c>
      <c r="E58" s="9"/>
      <c r="F58" t="s">
        <v>137</v>
      </c>
      <c r="G58" s="10">
        <v>0.1</v>
      </c>
      <c r="I58" s="9">
        <f t="shared" si="3"/>
        <v>0</v>
      </c>
      <c r="J58" s="11" cm="1">
        <f t="array" ref="J58">MAX(IF($N$3:$DM$3=$J$3,N58:DM58))</f>
        <v>0</v>
      </c>
      <c r="K58" s="11" cm="1">
        <f t="array" ref="K58">MAX(IF($N$3:$DM$3=$J$3,N58:DM58))</f>
        <v>0</v>
      </c>
      <c r="L58" s="9"/>
      <c r="O58" s="10"/>
      <c r="P58" s="10"/>
      <c r="Q58" s="10"/>
      <c r="R58" s="10"/>
      <c r="V58" s="10"/>
      <c r="W58" s="10"/>
      <c r="X58" s="10"/>
      <c r="Y58" s="10"/>
      <c r="AC58" s="10"/>
      <c r="AD58" s="10"/>
      <c r="AE58" s="10"/>
      <c r="AF58" s="10"/>
      <c r="AJ58" s="10"/>
      <c r="AK58" s="10"/>
      <c r="AL58" s="10"/>
      <c r="AM58" s="10"/>
      <c r="AQ58" s="10"/>
      <c r="AR58" s="10">
        <v>0.5</v>
      </c>
      <c r="AS58" s="10"/>
      <c r="AT58" s="10">
        <v>0.5</v>
      </c>
      <c r="AX58" s="10"/>
      <c r="AY58" s="10">
        <v>0.5</v>
      </c>
      <c r="AZ58" s="10"/>
      <c r="BA58" s="10">
        <v>0.5</v>
      </c>
      <c r="BE58" s="10"/>
      <c r="BF58" s="10">
        <v>0.8</v>
      </c>
      <c r="BG58" s="10"/>
      <c r="BH58" s="10">
        <v>0.8</v>
      </c>
      <c r="BL58" s="10"/>
      <c r="BM58" s="10">
        <v>0.8</v>
      </c>
      <c r="BN58" s="10"/>
      <c r="BO58" s="10">
        <v>0.8</v>
      </c>
      <c r="BS58" s="10"/>
      <c r="BT58" s="10">
        <v>0.8</v>
      </c>
      <c r="BU58" s="10"/>
      <c r="BV58" s="10">
        <v>0.8</v>
      </c>
      <c r="BZ58" s="10"/>
      <c r="CA58" s="10">
        <v>1</v>
      </c>
      <c r="CB58" s="10"/>
      <c r="CC58" s="10">
        <v>1</v>
      </c>
      <c r="CG58" s="10"/>
      <c r="CH58" s="10">
        <v>1</v>
      </c>
      <c r="CI58" s="10"/>
      <c r="CJ58" s="10">
        <v>1</v>
      </c>
      <c r="CN58" s="10"/>
      <c r="CO58" s="10"/>
      <c r="CP58" s="10"/>
      <c r="CQ58" s="10"/>
      <c r="CU58" s="10"/>
      <c r="CV58" s="10"/>
      <c r="CW58" s="10"/>
      <c r="CX58" s="10"/>
      <c r="DB58" s="10"/>
      <c r="DC58" s="10"/>
      <c r="DD58" s="10"/>
      <c r="DE58" s="10"/>
      <c r="DF58" t="s">
        <v>156</v>
      </c>
      <c r="DI58" s="10"/>
      <c r="DJ58" s="10"/>
      <c r="DK58" s="10"/>
      <c r="DL58" s="10"/>
      <c r="DP58" s="10"/>
      <c r="DQ58" s="10"/>
      <c r="DR58" s="10"/>
      <c r="DS58" s="10"/>
    </row>
    <row r="59" spans="2:123" outlineLevel="1">
      <c r="B59" t="s">
        <v>28</v>
      </c>
      <c r="C59" t="s">
        <v>92</v>
      </c>
      <c r="E59" s="9"/>
      <c r="F59" t="s">
        <v>138</v>
      </c>
      <c r="G59" s="10">
        <v>0.05</v>
      </c>
      <c r="I59" s="9">
        <f t="shared" si="3"/>
        <v>0</v>
      </c>
      <c r="J59" s="11" cm="1">
        <f t="array" ref="J59">MAX(IF($N$3:$DM$3=$J$3,N59:DM59))</f>
        <v>0</v>
      </c>
      <c r="K59" s="11" cm="1">
        <f t="array" ref="K59">MAX(IF($N$3:$DM$3=$J$3,N59:DM59))</f>
        <v>0</v>
      </c>
      <c r="L59" s="9"/>
      <c r="O59" s="10"/>
      <c r="P59" s="10"/>
      <c r="Q59" s="10"/>
      <c r="R59" s="10"/>
      <c r="V59" s="10"/>
      <c r="W59" s="10"/>
      <c r="X59" s="10"/>
      <c r="Y59" s="10"/>
      <c r="AC59" s="10"/>
      <c r="AD59" s="10"/>
      <c r="AE59" s="10"/>
      <c r="AF59" s="10"/>
      <c r="AJ59" s="10"/>
      <c r="AK59" s="10"/>
      <c r="AL59" s="10"/>
      <c r="AM59" s="10"/>
      <c r="AQ59" s="10"/>
      <c r="AR59" s="10">
        <v>0.5</v>
      </c>
      <c r="AS59" s="10"/>
      <c r="AT59" s="10">
        <v>0.5</v>
      </c>
      <c r="AX59" s="10"/>
      <c r="AY59" s="10">
        <v>0.5</v>
      </c>
      <c r="AZ59" s="10"/>
      <c r="BA59" s="10">
        <v>0.5</v>
      </c>
      <c r="BE59" s="10"/>
      <c r="BF59" s="10">
        <v>0.5</v>
      </c>
      <c r="BG59" s="10"/>
      <c r="BH59" s="10">
        <v>0.5</v>
      </c>
      <c r="BL59" s="10"/>
      <c r="BM59" s="10">
        <v>0.8</v>
      </c>
      <c r="BN59" s="10"/>
      <c r="BO59" s="10">
        <v>0.8</v>
      </c>
      <c r="BS59" s="10"/>
      <c r="BT59" s="10">
        <v>0.8</v>
      </c>
      <c r="BU59" s="10"/>
      <c r="BV59" s="10">
        <v>0.8</v>
      </c>
      <c r="BZ59" s="10"/>
      <c r="CA59" s="10">
        <v>0.8</v>
      </c>
      <c r="CB59" s="10"/>
      <c r="CC59" s="10">
        <v>0.8</v>
      </c>
      <c r="CG59" s="10"/>
      <c r="CH59" s="10">
        <v>1</v>
      </c>
      <c r="CI59" s="10"/>
      <c r="CJ59" s="10">
        <v>1</v>
      </c>
      <c r="CN59" s="10"/>
      <c r="CO59" s="10"/>
      <c r="CP59" s="10"/>
      <c r="CQ59" s="10"/>
      <c r="CU59" s="10"/>
      <c r="CV59" s="10"/>
      <c r="CW59" s="10"/>
      <c r="CX59" s="10"/>
      <c r="DB59" s="10"/>
      <c r="DC59" s="10"/>
      <c r="DD59" s="10"/>
      <c r="DE59" s="10"/>
      <c r="DF59" t="s">
        <v>156</v>
      </c>
      <c r="DI59" s="10"/>
      <c r="DJ59" s="10"/>
      <c r="DK59" s="10"/>
      <c r="DL59" s="10"/>
      <c r="DP59" s="10"/>
      <c r="DQ59" s="10"/>
      <c r="DR59" s="10"/>
      <c r="DS59" s="10"/>
    </row>
    <row r="60" spans="2:123" outlineLevel="1">
      <c r="B60" t="s">
        <v>28</v>
      </c>
      <c r="C60" t="s">
        <v>92</v>
      </c>
      <c r="E60" s="9"/>
      <c r="F60" t="s">
        <v>139</v>
      </c>
      <c r="G60" s="10">
        <v>0.1</v>
      </c>
      <c r="I60" s="9">
        <f t="shared" si="3"/>
        <v>0</v>
      </c>
      <c r="J60" s="11" cm="1">
        <f t="array" ref="J60">MAX(IF($N$3:$DM$3=$J$3,N60:DM60))</f>
        <v>0</v>
      </c>
      <c r="K60" s="11" cm="1">
        <f t="array" ref="K60">MAX(IF($N$3:$DM$3=$J$3,N60:DM60))</f>
        <v>0</v>
      </c>
      <c r="L60" s="9"/>
      <c r="O60" s="10"/>
      <c r="P60" s="10"/>
      <c r="Q60" s="10"/>
      <c r="R60" s="10"/>
      <c r="V60" s="10"/>
      <c r="W60" s="10"/>
      <c r="X60" s="10"/>
      <c r="Y60" s="10"/>
      <c r="AC60" s="10"/>
      <c r="AD60" s="10"/>
      <c r="AE60" s="10"/>
      <c r="AF60" s="10"/>
      <c r="AJ60" s="10"/>
      <c r="AK60" s="10"/>
      <c r="AL60" s="10"/>
      <c r="AM60" s="10"/>
      <c r="AQ60" s="10"/>
      <c r="AR60" s="10">
        <v>0.5</v>
      </c>
      <c r="AS60" s="10"/>
      <c r="AT60" s="10">
        <v>0.5</v>
      </c>
      <c r="AX60" s="10"/>
      <c r="AY60" s="10">
        <v>0.5</v>
      </c>
      <c r="AZ60" s="10"/>
      <c r="BA60" s="10">
        <v>0.5</v>
      </c>
      <c r="BE60" s="10"/>
      <c r="BF60" s="10">
        <v>0.5</v>
      </c>
      <c r="BG60" s="10"/>
      <c r="BH60" s="10">
        <v>0.5</v>
      </c>
      <c r="BL60" s="10"/>
      <c r="BM60" s="10">
        <v>0.8</v>
      </c>
      <c r="BN60" s="10"/>
      <c r="BO60" s="10">
        <v>0.8</v>
      </c>
      <c r="BS60" s="10"/>
      <c r="BT60" s="10">
        <v>0.8</v>
      </c>
      <c r="BU60" s="10"/>
      <c r="BV60" s="10">
        <v>0.8</v>
      </c>
      <c r="BZ60" s="10"/>
      <c r="CA60" s="10">
        <v>0.8</v>
      </c>
      <c r="CB60" s="10"/>
      <c r="CC60" s="10">
        <v>0.8</v>
      </c>
      <c r="CG60" s="10"/>
      <c r="CH60" s="10">
        <v>1</v>
      </c>
      <c r="CI60" s="10"/>
      <c r="CJ60" s="10">
        <v>1</v>
      </c>
      <c r="CN60" s="10"/>
      <c r="CO60" s="10"/>
      <c r="CP60" s="10"/>
      <c r="CQ60" s="10"/>
      <c r="CU60" s="10"/>
      <c r="CV60" s="10"/>
      <c r="CW60" s="10"/>
      <c r="CX60" s="10"/>
      <c r="DB60" s="10"/>
      <c r="DC60" s="10"/>
      <c r="DD60" s="10"/>
      <c r="DE60" s="10"/>
      <c r="DF60" t="s">
        <v>156</v>
      </c>
      <c r="DI60" s="10"/>
      <c r="DJ60" s="10"/>
      <c r="DK60" s="10"/>
      <c r="DL60" s="10"/>
      <c r="DP60" s="10"/>
      <c r="DQ60" s="10"/>
      <c r="DR60" s="10"/>
      <c r="DS60" s="10"/>
    </row>
    <row r="61" spans="2:123" outlineLevel="1">
      <c r="B61" t="s">
        <v>28</v>
      </c>
      <c r="C61" t="s">
        <v>92</v>
      </c>
      <c r="E61" s="9"/>
      <c r="F61" t="s">
        <v>140</v>
      </c>
      <c r="G61" s="10">
        <v>0.05</v>
      </c>
      <c r="I61" s="9">
        <f t="shared" si="3"/>
        <v>0</v>
      </c>
      <c r="J61" s="11" cm="1">
        <f t="array" ref="J61">MAX(IF($N$3:$DM$3=$J$3,N61:DM61))</f>
        <v>0</v>
      </c>
      <c r="K61" s="11" cm="1">
        <f t="array" ref="K61">MAX(IF($N$3:$DM$3=$J$3,N61:DM61))</f>
        <v>0</v>
      </c>
      <c r="L61" s="9"/>
      <c r="O61" s="10"/>
      <c r="P61" s="10"/>
      <c r="Q61" s="10"/>
      <c r="R61" s="10"/>
      <c r="V61" s="10"/>
      <c r="W61" s="10"/>
      <c r="X61" s="10"/>
      <c r="Y61" s="10"/>
      <c r="AC61" s="10"/>
      <c r="AD61" s="10"/>
      <c r="AE61" s="10"/>
      <c r="AF61" s="10"/>
      <c r="AJ61" s="10"/>
      <c r="AK61" s="10"/>
      <c r="AL61" s="10"/>
      <c r="AM61" s="10"/>
      <c r="AQ61" s="10"/>
      <c r="AR61" s="10"/>
      <c r="AS61" s="10"/>
      <c r="AT61" s="10"/>
      <c r="AX61" s="10"/>
      <c r="AY61" s="10">
        <v>0.5</v>
      </c>
      <c r="AZ61" s="10"/>
      <c r="BA61" s="10">
        <v>0.5</v>
      </c>
      <c r="BE61" s="10"/>
      <c r="BF61" s="10">
        <v>0.5</v>
      </c>
      <c r="BG61" s="10"/>
      <c r="BH61" s="10">
        <v>0.5</v>
      </c>
      <c r="BL61" s="10"/>
      <c r="BM61" s="10">
        <v>0.5</v>
      </c>
      <c r="BN61" s="10"/>
      <c r="BO61" s="10">
        <v>0.5</v>
      </c>
      <c r="BS61" s="10"/>
      <c r="BT61" s="10">
        <v>0.8</v>
      </c>
      <c r="BU61" s="10"/>
      <c r="BV61" s="10">
        <v>0.8</v>
      </c>
      <c r="BZ61" s="10"/>
      <c r="CA61" s="10">
        <v>0.8</v>
      </c>
      <c r="CB61" s="10"/>
      <c r="CC61" s="10">
        <v>0.8</v>
      </c>
      <c r="CG61" s="10"/>
      <c r="CH61" s="10">
        <v>1</v>
      </c>
      <c r="CI61" s="10"/>
      <c r="CJ61" s="10">
        <v>1</v>
      </c>
      <c r="CN61" s="10"/>
      <c r="CO61" s="10"/>
      <c r="CP61" s="10"/>
      <c r="CQ61" s="10"/>
      <c r="CU61" s="10"/>
      <c r="CV61" s="10"/>
      <c r="CW61" s="10"/>
      <c r="CX61" s="10"/>
      <c r="DB61" s="10"/>
      <c r="DC61" s="10"/>
      <c r="DD61" s="10"/>
      <c r="DE61" s="10"/>
      <c r="DF61" t="s">
        <v>156</v>
      </c>
      <c r="DI61" s="10"/>
      <c r="DJ61" s="10"/>
      <c r="DK61" s="10"/>
      <c r="DL61" s="10"/>
      <c r="DP61" s="10"/>
      <c r="DQ61" s="10"/>
      <c r="DR61" s="10"/>
      <c r="DS61" s="10"/>
    </row>
    <row r="62" spans="2:123" outlineLevel="1">
      <c r="B62" t="s">
        <v>28</v>
      </c>
      <c r="C62" t="s">
        <v>92</v>
      </c>
      <c r="E62" s="9"/>
      <c r="F62" t="s">
        <v>141</v>
      </c>
      <c r="G62" s="10">
        <v>0.05</v>
      </c>
      <c r="I62" s="9">
        <f t="shared" si="3"/>
        <v>0</v>
      </c>
      <c r="J62" s="11" cm="1">
        <f t="array" ref="J62">MAX(IF($N$3:$DM$3=$J$3,N62:DM62))</f>
        <v>0</v>
      </c>
      <c r="K62" s="11" cm="1">
        <f t="array" ref="K62">MAX(IF($N$3:$DM$3=$J$3,N62:DM62))</f>
        <v>0</v>
      </c>
      <c r="L62" s="9"/>
      <c r="O62" s="10"/>
      <c r="P62" s="10"/>
      <c r="Q62" s="10"/>
      <c r="R62" s="10"/>
      <c r="V62" s="10"/>
      <c r="W62" s="10"/>
      <c r="X62" s="10"/>
      <c r="Y62" s="10"/>
      <c r="AC62" s="10"/>
      <c r="AD62" s="10"/>
      <c r="AE62" s="10"/>
      <c r="AF62" s="10"/>
      <c r="AJ62" s="10"/>
      <c r="AK62" s="10"/>
      <c r="AL62" s="10"/>
      <c r="AM62" s="10"/>
      <c r="AQ62" s="10"/>
      <c r="AR62" s="10"/>
      <c r="AS62" s="10"/>
      <c r="AT62" s="10"/>
      <c r="AX62" s="10"/>
      <c r="AY62" s="10">
        <v>0.5</v>
      </c>
      <c r="AZ62" s="10"/>
      <c r="BA62" s="10">
        <v>0.5</v>
      </c>
      <c r="BE62" s="10"/>
      <c r="BF62" s="10">
        <v>0.5</v>
      </c>
      <c r="BG62" s="10"/>
      <c r="BH62" s="10">
        <v>0.5</v>
      </c>
      <c r="BL62" s="10"/>
      <c r="BM62" s="10">
        <v>0.5</v>
      </c>
      <c r="BN62" s="10"/>
      <c r="BO62" s="10">
        <v>0.5</v>
      </c>
      <c r="BS62" s="10"/>
      <c r="BT62" s="10">
        <v>0.8</v>
      </c>
      <c r="BU62" s="10"/>
      <c r="BV62" s="10">
        <v>0.8</v>
      </c>
      <c r="BZ62" s="10"/>
      <c r="CA62" s="10">
        <v>0.8</v>
      </c>
      <c r="CB62" s="10"/>
      <c r="CC62" s="10">
        <v>0.8</v>
      </c>
      <c r="CG62" s="10"/>
      <c r="CH62" s="10">
        <v>1</v>
      </c>
      <c r="CI62" s="10"/>
      <c r="CJ62" s="10">
        <v>1</v>
      </c>
      <c r="CN62" s="10"/>
      <c r="CO62" s="10"/>
      <c r="CP62" s="10"/>
      <c r="CQ62" s="10"/>
      <c r="CU62" s="10"/>
      <c r="CV62" s="10"/>
      <c r="CW62" s="10"/>
      <c r="CX62" s="10"/>
      <c r="DB62" s="10"/>
      <c r="DC62" s="10"/>
      <c r="DD62" s="10"/>
      <c r="DE62" s="10"/>
      <c r="DF62" t="s">
        <v>156</v>
      </c>
      <c r="DI62" s="10"/>
      <c r="DJ62" s="10"/>
      <c r="DK62" s="10"/>
      <c r="DL62" s="10"/>
      <c r="DP62" s="10"/>
      <c r="DQ62" s="10"/>
      <c r="DR62" s="10"/>
      <c r="DS62" s="10"/>
    </row>
    <row r="66" spans="2:2">
      <c r="B66" t="s">
        <v>163</v>
      </c>
    </row>
    <row r="67" spans="2:2">
      <c r="B67" t="s">
        <v>164</v>
      </c>
    </row>
  </sheetData>
  <mergeCells count="17">
    <mergeCell ref="CF2:CK2"/>
    <mergeCell ref="CM2:CR2"/>
    <mergeCell ref="DO2:DT2"/>
    <mergeCell ref="DH2:DM2"/>
    <mergeCell ref="I2:L2"/>
    <mergeCell ref="N2:S2"/>
    <mergeCell ref="BD2:BI2"/>
    <mergeCell ref="U2:Z2"/>
    <mergeCell ref="AB2:AG2"/>
    <mergeCell ref="AI2:AN2"/>
    <mergeCell ref="AP2:AU2"/>
    <mergeCell ref="AW2:BB2"/>
    <mergeCell ref="CT2:CY2"/>
    <mergeCell ref="DA2:DF2"/>
    <mergeCell ref="BK2:BP2"/>
    <mergeCell ref="BR2:BW2"/>
    <mergeCell ref="BY2:CD2"/>
  </mergeCells>
  <conditionalFormatting sqref="O12 Q12 O5:O9 Q5:Q9 O15:O25 Q15:Q25 Q30:Q35 O30:O35 Q40:Q45 O40:O45 Q48:Q62 O48:O62 DB5:DB9 DD5:DD9 DB15:DB25 DD15:DD25 DD30:DD35 DB30:DB35 CU5:CU9 CW5:CW9 CU15:CU25 CW15:CW25 CW30:CW35 CU30:CU35 CN5:CN9 CP5:CP9 CN15:CN25 CP15:CP25 CP30:CP35 CN30:CN35 CI5:CI8 CG5:CG9 CG15:CG25 CI15:CI25 CI30:CI35 CG30:CG35 BZ5:BZ9 CB5:CB9 BZ15:BZ25 CB15:CB25 CB30:CB35 BZ30:BZ35 BS5:BS9 BU5:BU9 BS15:BS25 BU15:BU25 BU30:BU35 BS30:BS35 BU40:BU45 BS40:BS45 BU48:BU62 BS48:BS62 BL5:BL9 BN5:BN9 BL15:BL25 BN15:BN25 BN30:BN35 BL30:BL35 BN40:BN45 BL40:BL45 BN48:BN62 BL48:BL62 BE5:BE9 BG5:BG9 BG15:BG25 BE15:BE25 BE30:BE35 BG30:BG35 BE40:BE45 BG40:BG45 BE48:BE62 BG48:BG62 AX5:AX9 AZ5:AZ9 AX15:AX25 AZ15:AZ25 AZ30:AZ35 AX30:AX35 AZ40:AZ45 AX40:AX45 AZ48:AZ62 AX48:AX62 AQ5:AQ9 AS5:AS9 AQ15:AQ25 AS15:AS25 AQ30:AQ35 AS30:AS35 AQ40:AQ45 AS40:AS45 AQ48:AQ62 AS48:AS62 AJ5:AJ9 AL5:AL9 AJ15:AJ25 AL15:AL25 AL30:AL35 AJ30:AJ35 AL40:AL45 AJ40:AJ45 AL48:AL62 AJ48:AJ62 AC12 AE12 AC5:AC9 AE5:AE9 AC15:AC25 AE15:AE25 AE30:AE35 AC30:AC35 AE40:AE45 AC40:AC45 AE48:AE62 AC48:AC62 V12 X12 V5:V9 X5:X9 V15:V25 X30:X35 V30:V35 X40:X45 V40:V45 X48:X62 V48:V62 X18:X25 X15">
    <cfRule type="expression" dxfId="260" priority="905">
      <formula>OR(IF(O5&lt;P5,TRUE),IF(AND(P5="",O5&lt;&gt;""),TRUE))</formula>
    </cfRule>
    <cfRule type="expression" dxfId="259" priority="906">
      <formula>IF(O5&gt;=P5,IF(O5="",FALSE,TRUE))</formula>
    </cfRule>
  </conditionalFormatting>
  <conditionalFormatting sqref="O28:O29">
    <cfRule type="expression" dxfId="258" priority="846">
      <formula>OR(IF(O28&lt;P28,TRUE),IF(AND(P28="",O28&lt;&gt;""),TRUE))</formula>
    </cfRule>
    <cfRule type="expression" dxfId="257" priority="847">
      <formula>IF(O28&gt;=P28,IF(O28="",FALSE,TRUE))</formula>
    </cfRule>
  </conditionalFormatting>
  <conditionalFormatting sqref="Q28:Q29">
    <cfRule type="expression" dxfId="256" priority="844">
      <formula>OR(IF(Q28&lt;R28,TRUE),IF(AND(R28="",Q28&lt;&gt;""),TRUE))</formula>
    </cfRule>
    <cfRule type="expression" dxfId="255" priority="845">
      <formula>IF(Q28&gt;=R28,IF(Q28="",FALSE,TRUE))</formula>
    </cfRule>
  </conditionalFormatting>
  <conditionalFormatting sqref="O38:O39">
    <cfRule type="expression" dxfId="254" priority="633">
      <formula>OR(IF(O38&lt;P38,TRUE),IF(AND(P38="",O38&lt;&gt;""),TRUE))</formula>
    </cfRule>
    <cfRule type="expression" dxfId="253" priority="634">
      <formula>IF(O38&gt;=P38,IF(O38="",FALSE,TRUE))</formula>
    </cfRule>
  </conditionalFormatting>
  <conditionalFormatting sqref="Q38:Q39">
    <cfRule type="expression" dxfId="252" priority="631">
      <formula>OR(IF(Q38&lt;R38,TRUE),IF(AND(R38="",Q38&lt;&gt;""),TRUE))</formula>
    </cfRule>
    <cfRule type="expression" dxfId="251" priority="632">
      <formula>IF(Q38&gt;=R38,IF(Q38="",FALSE,TRUE))</formula>
    </cfRule>
  </conditionalFormatting>
  <conditionalFormatting sqref="O13 Q13">
    <cfRule type="expression" dxfId="250" priority="499">
      <formula>OR(IF(O13&lt;P13,TRUE),IF(AND(P13="",O13&lt;&gt;""),TRUE))</formula>
    </cfRule>
    <cfRule type="expression" dxfId="249" priority="500">
      <formula>IF(O13&gt;=P13,IF(O13="",FALSE,TRUE))</formula>
    </cfRule>
  </conditionalFormatting>
  <conditionalFormatting sqref="J13:K13">
    <cfRule type="colorScale" priority="486">
      <colorScale>
        <cfvo type="percent" val="0"/>
        <cfvo type="percent" val="100"/>
        <color rgb="FFFF231B"/>
        <color rgb="FF10FF07"/>
      </colorScale>
    </cfRule>
  </conditionalFormatting>
  <conditionalFormatting sqref="J13">
    <cfRule type="colorScale" priority="485">
      <colorScale>
        <cfvo type="percent" val="0"/>
        <cfvo type="percent" val="100"/>
        <color rgb="FFFF231B"/>
        <color rgb="FF10FF07"/>
      </colorScale>
    </cfRule>
  </conditionalFormatting>
  <conditionalFormatting sqref="K13">
    <cfRule type="colorScale" priority="484">
      <colorScale>
        <cfvo type="percent" val="0"/>
        <cfvo type="percent" val="100"/>
        <color rgb="FFFF231B"/>
        <color rgb="FF10FF07"/>
      </colorScale>
    </cfRule>
  </conditionalFormatting>
  <conditionalFormatting sqref="Q14 O14">
    <cfRule type="expression" dxfId="248" priority="480">
      <formula>OR(IF(O14&lt;P14,TRUE),IF(AND(P14="",O14&lt;&gt;""),TRUE))</formula>
    </cfRule>
    <cfRule type="expression" dxfId="247" priority="481">
      <formula>IF(O14&gt;=P14,IF(O14="",FALSE,TRUE))</formula>
    </cfRule>
  </conditionalFormatting>
  <conditionalFormatting sqref="J14:K14">
    <cfRule type="colorScale" priority="467">
      <colorScale>
        <cfvo type="percent" val="0"/>
        <cfvo type="percent" val="100"/>
        <color rgb="FFFF231B"/>
        <color rgb="FF10FF07"/>
      </colorScale>
    </cfRule>
  </conditionalFormatting>
  <conditionalFormatting sqref="J14">
    <cfRule type="colorScale" priority="466">
      <colorScale>
        <cfvo type="percent" val="0"/>
        <cfvo type="percent" val="100"/>
        <color rgb="FFFF231B"/>
        <color rgb="FF10FF07"/>
      </colorScale>
    </cfRule>
  </conditionalFormatting>
  <conditionalFormatting sqref="K14">
    <cfRule type="colorScale" priority="465">
      <colorScale>
        <cfvo type="percent" val="0"/>
        <cfvo type="percent" val="100"/>
        <color rgb="FFFF231B"/>
        <color rgb="FF10FF07"/>
      </colorScale>
    </cfRule>
  </conditionalFormatting>
  <conditionalFormatting sqref="J39:K45">
    <cfRule type="colorScale" priority="1028">
      <colorScale>
        <cfvo type="percent" val="0"/>
        <cfvo type="percent" val="100"/>
        <color rgb="FFFF231B"/>
        <color rgb="FF10FF07"/>
      </colorScale>
    </cfRule>
  </conditionalFormatting>
  <conditionalFormatting sqref="J38:J45">
    <cfRule type="colorScale" priority="1030">
      <colorScale>
        <cfvo type="percent" val="0"/>
        <cfvo type="percent" val="100"/>
        <color rgb="FFFF231B"/>
        <color rgb="FF10FF07"/>
      </colorScale>
    </cfRule>
  </conditionalFormatting>
  <conditionalFormatting sqref="K38:K45">
    <cfRule type="colorScale" priority="1032">
      <colorScale>
        <cfvo type="percent" val="0"/>
        <cfvo type="percent" val="100"/>
        <color rgb="FFFF231B"/>
        <color rgb="FF10FF07"/>
      </colorScale>
    </cfRule>
  </conditionalFormatting>
  <conditionalFormatting sqref="J49:K62">
    <cfRule type="colorScale" priority="1089">
      <colorScale>
        <cfvo type="percent" val="0"/>
        <cfvo type="percent" val="100"/>
        <color rgb="FFFF231B"/>
        <color rgb="FF10FF07"/>
      </colorScale>
    </cfRule>
  </conditionalFormatting>
  <conditionalFormatting sqref="J48:J62">
    <cfRule type="colorScale" priority="1090">
      <colorScale>
        <cfvo type="percent" val="0"/>
        <cfvo type="percent" val="100"/>
        <color rgb="FFFF231B"/>
        <color rgb="FF10FF07"/>
      </colorScale>
    </cfRule>
  </conditionalFormatting>
  <conditionalFormatting sqref="K48:K62">
    <cfRule type="colorScale" priority="1092">
      <colorScale>
        <cfvo type="percent" val="0"/>
        <cfvo type="percent" val="100"/>
        <color rgb="FFFF231B"/>
        <color rgb="FF10FF07"/>
      </colorScale>
    </cfRule>
  </conditionalFormatting>
  <conditionalFormatting sqref="J6:K9">
    <cfRule type="colorScale" priority="1131">
      <colorScale>
        <cfvo type="percent" val="0"/>
        <cfvo type="percent" val="100"/>
        <color rgb="FFFF231B"/>
        <color rgb="FF10FF07"/>
      </colorScale>
    </cfRule>
  </conditionalFormatting>
  <conditionalFormatting sqref="J5:J9">
    <cfRule type="colorScale" priority="1132">
      <colorScale>
        <cfvo type="percent" val="0"/>
        <cfvo type="percent" val="100"/>
        <color rgb="FFFF231B"/>
        <color rgb="FF10FF07"/>
      </colorScale>
    </cfRule>
  </conditionalFormatting>
  <conditionalFormatting sqref="K5:K9">
    <cfRule type="colorScale" priority="1133">
      <colorScale>
        <cfvo type="percent" val="0"/>
        <cfvo type="percent" val="100"/>
        <color rgb="FFFF231B"/>
        <color rgb="FF10FF07"/>
      </colorScale>
    </cfRule>
  </conditionalFormatting>
  <conditionalFormatting sqref="J15:K25">
    <cfRule type="colorScale" priority="1280">
      <colorScale>
        <cfvo type="percent" val="0"/>
        <cfvo type="percent" val="100"/>
        <color rgb="FFFF231B"/>
        <color rgb="FF10FF07"/>
      </colorScale>
    </cfRule>
  </conditionalFormatting>
  <conditionalFormatting sqref="J15:J25 J12">
    <cfRule type="colorScale" priority="1282">
      <colorScale>
        <cfvo type="percent" val="0"/>
        <cfvo type="percent" val="100"/>
        <color rgb="FFFF231B"/>
        <color rgb="FF10FF07"/>
      </colorScale>
    </cfRule>
  </conditionalFormatting>
  <conditionalFormatting sqref="K15:K25 K12">
    <cfRule type="colorScale" priority="1285">
      <colorScale>
        <cfvo type="percent" val="0"/>
        <cfvo type="percent" val="100"/>
        <color rgb="FFFF231B"/>
        <color rgb="FF10FF07"/>
      </colorScale>
    </cfRule>
  </conditionalFormatting>
  <conditionalFormatting sqref="J29:K35">
    <cfRule type="colorScale" priority="1528">
      <colorScale>
        <cfvo type="percent" val="0"/>
        <cfvo type="percent" val="100"/>
        <color rgb="FFFF231B"/>
        <color rgb="FF10FF07"/>
      </colorScale>
    </cfRule>
  </conditionalFormatting>
  <conditionalFormatting sqref="J28:J35">
    <cfRule type="colorScale" priority="1529">
      <colorScale>
        <cfvo type="percent" val="0"/>
        <cfvo type="percent" val="100"/>
        <color rgb="FFFF231B"/>
        <color rgb="FF10FF07"/>
      </colorScale>
    </cfRule>
  </conditionalFormatting>
  <conditionalFormatting sqref="K28:K35">
    <cfRule type="colorScale" priority="1530">
      <colorScale>
        <cfvo type="percent" val="0"/>
        <cfvo type="percent" val="100"/>
        <color rgb="FFFF231B"/>
        <color rgb="FF10FF07"/>
      </colorScale>
    </cfRule>
  </conditionalFormatting>
  <conditionalFormatting sqref="DP5:DP9 DR5:DR9 DP15:DP25 DR15:DR25 DR30:DR35 DP30:DP35">
    <cfRule type="expression" dxfId="246" priority="225">
      <formula>OR(IF(DP5&lt;DQ5,TRUE),IF(AND(DQ5="",DP5&lt;&gt;""),TRUE))</formula>
    </cfRule>
    <cfRule type="expression" dxfId="245" priority="226">
      <formula>IF(DP5&gt;=DQ5,IF(DP5="",FALSE,TRUE))</formula>
    </cfRule>
  </conditionalFormatting>
  <conditionalFormatting sqref="DR40:DR45 DP40:DP45 DR48:DR62 DP48:DP62">
    <cfRule type="expression" dxfId="244" priority="223">
      <formula>OR(IF(DP40&lt;DQ40,TRUE),IF(AND(DQ40="",DP40&lt;&gt;""),TRUE))</formula>
    </cfRule>
    <cfRule type="expression" dxfId="243" priority="224">
      <formula>IF(DP40&gt;=DQ40,IF(DP40="",FALSE,TRUE))</formula>
    </cfRule>
  </conditionalFormatting>
  <conditionalFormatting sqref="DP12 DR12">
    <cfRule type="expression" dxfId="242" priority="221">
      <formula>OR(IF(DP12&lt;DQ12,TRUE),IF(AND(DQ12="",DP12&lt;&gt;""),TRUE))</formula>
    </cfRule>
    <cfRule type="expression" dxfId="241" priority="222">
      <formula>IF(DP12&gt;=DQ12,IF(DP12="",FALSE,TRUE))</formula>
    </cfRule>
  </conditionalFormatting>
  <conditionalFormatting sqref="DP28:DP29">
    <cfRule type="expression" dxfId="240" priority="219">
      <formula>OR(IF(DP28&lt;DQ28,TRUE),IF(AND(DQ28="",DP28&lt;&gt;""),TRUE))</formula>
    </cfRule>
    <cfRule type="expression" dxfId="239" priority="220">
      <formula>IF(DP28&gt;=DQ28,IF(DP28="",FALSE,TRUE))</formula>
    </cfRule>
  </conditionalFormatting>
  <conditionalFormatting sqref="DR28:DR29">
    <cfRule type="expression" dxfId="238" priority="217">
      <formula>OR(IF(DR28&lt;DS28,TRUE),IF(AND(DS28="",DR28&lt;&gt;""),TRUE))</formula>
    </cfRule>
    <cfRule type="expression" dxfId="237" priority="218">
      <formula>IF(DR28&gt;=DS28,IF(DR28="",FALSE,TRUE))</formula>
    </cfRule>
  </conditionalFormatting>
  <conditionalFormatting sqref="DP38:DP39">
    <cfRule type="expression" dxfId="236" priority="215">
      <formula>OR(IF(DP38&lt;DQ38,TRUE),IF(AND(DQ38="",DP38&lt;&gt;""),TRUE))</formula>
    </cfRule>
    <cfRule type="expression" dxfId="235" priority="216">
      <formula>IF(DP38&gt;=DQ38,IF(DP38="",FALSE,TRUE))</formula>
    </cfRule>
  </conditionalFormatting>
  <conditionalFormatting sqref="DR38:DR39">
    <cfRule type="expression" dxfId="234" priority="213">
      <formula>OR(IF(DR38&lt;DS38,TRUE),IF(AND(DS38="",DR38&lt;&gt;""),TRUE))</formula>
    </cfRule>
    <cfRule type="expression" dxfId="233" priority="214">
      <formula>IF(DR38&gt;=DS38,IF(DR38="",FALSE,TRUE))</formula>
    </cfRule>
  </conditionalFormatting>
  <conditionalFormatting sqref="DP13 DR13">
    <cfRule type="expression" dxfId="232" priority="211">
      <formula>OR(IF(DP13&lt;DQ13,TRUE),IF(AND(DQ13="",DP13&lt;&gt;""),TRUE))</formula>
    </cfRule>
    <cfRule type="expression" dxfId="231" priority="212">
      <formula>IF(DP13&gt;=DQ13,IF(DP13="",FALSE,TRUE))</formula>
    </cfRule>
  </conditionalFormatting>
  <conditionalFormatting sqref="DR14 DP14">
    <cfRule type="expression" dxfId="230" priority="209">
      <formula>OR(IF(DP14&lt;DQ14,TRUE),IF(AND(DQ14="",DP14&lt;&gt;""),TRUE))</formula>
    </cfRule>
    <cfRule type="expression" dxfId="229" priority="210">
      <formula>IF(DP14&gt;=DQ14,IF(DP14="",FALSE,TRUE))</formula>
    </cfRule>
  </conditionalFormatting>
  <conditionalFormatting sqref="DI5:DI9 DK5:DK9 DI15:DI25 DK15:DK25 DK30:DK35 DI30:DI35">
    <cfRule type="expression" dxfId="228" priority="207">
      <formula>OR(IF(DI5&lt;DJ5,TRUE),IF(AND(DJ5="",DI5&lt;&gt;""),TRUE))</formula>
    </cfRule>
    <cfRule type="expression" dxfId="227" priority="208">
      <formula>IF(DI5&gt;=DJ5,IF(DI5="",FALSE,TRUE))</formula>
    </cfRule>
  </conditionalFormatting>
  <conditionalFormatting sqref="DK40:DK45 DI40:DI45 DK48:DK62 DI48:DI62">
    <cfRule type="expression" dxfId="226" priority="205">
      <formula>OR(IF(DI40&lt;DJ40,TRUE),IF(AND(DJ40="",DI40&lt;&gt;""),TRUE))</formula>
    </cfRule>
    <cfRule type="expression" dxfId="225" priority="206">
      <formula>IF(DI40&gt;=DJ40,IF(DI40="",FALSE,TRUE))</formula>
    </cfRule>
  </conditionalFormatting>
  <conditionalFormatting sqref="DI12 DK12">
    <cfRule type="expression" dxfId="224" priority="203">
      <formula>OR(IF(DI12&lt;DJ12,TRUE),IF(AND(DJ12="",DI12&lt;&gt;""),TRUE))</formula>
    </cfRule>
    <cfRule type="expression" dxfId="223" priority="204">
      <formula>IF(DI12&gt;=DJ12,IF(DI12="",FALSE,TRUE))</formula>
    </cfRule>
  </conditionalFormatting>
  <conditionalFormatting sqref="DI28:DI29">
    <cfRule type="expression" dxfId="222" priority="201">
      <formula>OR(IF(DI28&lt;DJ28,TRUE),IF(AND(DJ28="",DI28&lt;&gt;""),TRUE))</formula>
    </cfRule>
    <cfRule type="expression" dxfId="221" priority="202">
      <formula>IF(DI28&gt;=DJ28,IF(DI28="",FALSE,TRUE))</formula>
    </cfRule>
  </conditionalFormatting>
  <conditionalFormatting sqref="DK28:DK29">
    <cfRule type="expression" dxfId="220" priority="199">
      <formula>OR(IF(DK28&lt;DL28,TRUE),IF(AND(DL28="",DK28&lt;&gt;""),TRUE))</formula>
    </cfRule>
    <cfRule type="expression" dxfId="219" priority="200">
      <formula>IF(DK28&gt;=DL28,IF(DK28="",FALSE,TRUE))</formula>
    </cfRule>
  </conditionalFormatting>
  <conditionalFormatting sqref="DI38:DI39">
    <cfRule type="expression" dxfId="218" priority="197">
      <formula>OR(IF(DI38&lt;DJ38,TRUE),IF(AND(DJ38="",DI38&lt;&gt;""),TRUE))</formula>
    </cfRule>
    <cfRule type="expression" dxfId="217" priority="198">
      <formula>IF(DI38&gt;=DJ38,IF(DI38="",FALSE,TRUE))</formula>
    </cfRule>
  </conditionalFormatting>
  <conditionalFormatting sqref="DK38:DK39">
    <cfRule type="expression" dxfId="216" priority="195">
      <formula>OR(IF(DK38&lt;DL38,TRUE),IF(AND(DL38="",DK38&lt;&gt;""),TRUE))</formula>
    </cfRule>
    <cfRule type="expression" dxfId="215" priority="196">
      <formula>IF(DK38&gt;=DL38,IF(DK38="",FALSE,TRUE))</formula>
    </cfRule>
  </conditionalFormatting>
  <conditionalFormatting sqref="DI13 DK13">
    <cfRule type="expression" dxfId="214" priority="193">
      <formula>OR(IF(DI13&lt;DJ13,TRUE),IF(AND(DJ13="",DI13&lt;&gt;""),TRUE))</formula>
    </cfRule>
    <cfRule type="expression" dxfId="213" priority="194">
      <formula>IF(DI13&gt;=DJ13,IF(DI13="",FALSE,TRUE))</formula>
    </cfRule>
  </conditionalFormatting>
  <conditionalFormatting sqref="DK14 DI14">
    <cfRule type="expression" dxfId="212" priority="191">
      <formula>OR(IF(DI14&lt;DJ14,TRUE),IF(AND(DJ14="",DI14&lt;&gt;""),TRUE))</formula>
    </cfRule>
    <cfRule type="expression" dxfId="211" priority="192">
      <formula>IF(DI14&gt;=DJ14,IF(DI14="",FALSE,TRUE))</formula>
    </cfRule>
  </conditionalFormatting>
  <conditionalFormatting sqref="DD40:DD45 DB40:DB45 DD48:DD62 DB48:DB62">
    <cfRule type="expression" dxfId="210" priority="189">
      <formula>OR(IF(DB40&lt;DC40,TRUE),IF(AND(DC40="",DB40&lt;&gt;""),TRUE))</formula>
    </cfRule>
    <cfRule type="expression" dxfId="209" priority="190">
      <formula>IF(DB40&gt;=DC40,IF(DB40="",FALSE,TRUE))</formula>
    </cfRule>
  </conditionalFormatting>
  <conditionalFormatting sqref="DB12 DD12">
    <cfRule type="expression" dxfId="208" priority="187">
      <formula>OR(IF(DB12&lt;DC12,TRUE),IF(AND(DC12="",DB12&lt;&gt;""),TRUE))</formula>
    </cfRule>
    <cfRule type="expression" dxfId="207" priority="188">
      <formula>IF(DB12&gt;=DC12,IF(DB12="",FALSE,TRUE))</formula>
    </cfRule>
  </conditionalFormatting>
  <conditionalFormatting sqref="DB28:DB29">
    <cfRule type="expression" dxfId="206" priority="185">
      <formula>OR(IF(DB28&lt;DC28,TRUE),IF(AND(DC28="",DB28&lt;&gt;""),TRUE))</formula>
    </cfRule>
    <cfRule type="expression" dxfId="205" priority="186">
      <formula>IF(DB28&gt;=DC28,IF(DB28="",FALSE,TRUE))</formula>
    </cfRule>
  </conditionalFormatting>
  <conditionalFormatting sqref="DD28:DD29">
    <cfRule type="expression" dxfId="204" priority="183">
      <formula>OR(IF(DD28&lt;DE28,TRUE),IF(AND(DE28="",DD28&lt;&gt;""),TRUE))</formula>
    </cfRule>
    <cfRule type="expression" dxfId="203" priority="184">
      <formula>IF(DD28&gt;=DE28,IF(DD28="",FALSE,TRUE))</formula>
    </cfRule>
  </conditionalFormatting>
  <conditionalFormatting sqref="DB38:DB39">
    <cfRule type="expression" dxfId="202" priority="181">
      <formula>OR(IF(DB38&lt;DC38,TRUE),IF(AND(DC38="",DB38&lt;&gt;""),TRUE))</formula>
    </cfRule>
    <cfRule type="expression" dxfId="201" priority="182">
      <formula>IF(DB38&gt;=DC38,IF(DB38="",FALSE,TRUE))</formula>
    </cfRule>
  </conditionalFormatting>
  <conditionalFormatting sqref="DD38:DD39">
    <cfRule type="expression" dxfId="200" priority="179">
      <formula>OR(IF(DD38&lt;DE38,TRUE),IF(AND(DE38="",DD38&lt;&gt;""),TRUE))</formula>
    </cfRule>
    <cfRule type="expression" dxfId="199" priority="180">
      <formula>IF(DD38&gt;=DE38,IF(DD38="",FALSE,TRUE))</formula>
    </cfRule>
  </conditionalFormatting>
  <conditionalFormatting sqref="DB13 DD13">
    <cfRule type="expression" dxfId="198" priority="177">
      <formula>OR(IF(DB13&lt;DC13,TRUE),IF(AND(DC13="",DB13&lt;&gt;""),TRUE))</formula>
    </cfRule>
    <cfRule type="expression" dxfId="197" priority="178">
      <formula>IF(DB13&gt;=DC13,IF(DB13="",FALSE,TRUE))</formula>
    </cfRule>
  </conditionalFormatting>
  <conditionalFormatting sqref="DD14 DB14">
    <cfRule type="expression" dxfId="196" priority="175">
      <formula>OR(IF(DB14&lt;DC14,TRUE),IF(AND(DC14="",DB14&lt;&gt;""),TRUE))</formula>
    </cfRule>
    <cfRule type="expression" dxfId="195" priority="176">
      <formula>IF(DB14&gt;=DC14,IF(DB14="",FALSE,TRUE))</formula>
    </cfRule>
  </conditionalFormatting>
  <conditionalFormatting sqref="CW40:CW45 CU40:CU45 CW48:CW62 CU48:CU62">
    <cfRule type="expression" dxfId="194" priority="173">
      <formula>OR(IF(CU40&lt;CV40,TRUE),IF(AND(CV40="",CU40&lt;&gt;""),TRUE))</formula>
    </cfRule>
    <cfRule type="expression" dxfId="193" priority="174">
      <formula>IF(CU40&gt;=CV40,IF(CU40="",FALSE,TRUE))</formula>
    </cfRule>
  </conditionalFormatting>
  <conditionalFormatting sqref="CU12 CW12">
    <cfRule type="expression" dxfId="192" priority="171">
      <formula>OR(IF(CU12&lt;CV12,TRUE),IF(AND(CV12="",CU12&lt;&gt;""),TRUE))</formula>
    </cfRule>
    <cfRule type="expression" dxfId="191" priority="172">
      <formula>IF(CU12&gt;=CV12,IF(CU12="",FALSE,TRUE))</formula>
    </cfRule>
  </conditionalFormatting>
  <conditionalFormatting sqref="CU28:CU29">
    <cfRule type="expression" dxfId="190" priority="169">
      <formula>OR(IF(CU28&lt;CV28,TRUE),IF(AND(CV28="",CU28&lt;&gt;""),TRUE))</formula>
    </cfRule>
    <cfRule type="expression" dxfId="189" priority="170">
      <formula>IF(CU28&gt;=CV28,IF(CU28="",FALSE,TRUE))</formula>
    </cfRule>
  </conditionalFormatting>
  <conditionalFormatting sqref="CW28:CW29">
    <cfRule type="expression" dxfId="188" priority="167">
      <formula>OR(IF(CW28&lt;CX28,TRUE),IF(AND(CX28="",CW28&lt;&gt;""),TRUE))</formula>
    </cfRule>
    <cfRule type="expression" dxfId="187" priority="168">
      <formula>IF(CW28&gt;=CX28,IF(CW28="",FALSE,TRUE))</formula>
    </cfRule>
  </conditionalFormatting>
  <conditionalFormatting sqref="CU38:CU39">
    <cfRule type="expression" dxfId="186" priority="165">
      <formula>OR(IF(CU38&lt;CV38,TRUE),IF(AND(CV38="",CU38&lt;&gt;""),TRUE))</formula>
    </cfRule>
    <cfRule type="expression" dxfId="185" priority="166">
      <formula>IF(CU38&gt;=CV38,IF(CU38="",FALSE,TRUE))</formula>
    </cfRule>
  </conditionalFormatting>
  <conditionalFormatting sqref="CW38:CW39">
    <cfRule type="expression" dxfId="184" priority="163">
      <formula>OR(IF(CW38&lt;CX38,TRUE),IF(AND(CX38="",CW38&lt;&gt;""),TRUE))</formula>
    </cfRule>
    <cfRule type="expression" dxfId="183" priority="164">
      <formula>IF(CW38&gt;=CX38,IF(CW38="",FALSE,TRUE))</formula>
    </cfRule>
  </conditionalFormatting>
  <conditionalFormatting sqref="CU13 CW13">
    <cfRule type="expression" dxfId="182" priority="161">
      <formula>OR(IF(CU13&lt;CV13,TRUE),IF(AND(CV13="",CU13&lt;&gt;""),TRUE))</formula>
    </cfRule>
    <cfRule type="expression" dxfId="181" priority="162">
      <formula>IF(CU13&gt;=CV13,IF(CU13="",FALSE,TRUE))</formula>
    </cfRule>
  </conditionalFormatting>
  <conditionalFormatting sqref="CW14 CU14">
    <cfRule type="expression" dxfId="180" priority="159">
      <formula>OR(IF(CU14&lt;CV14,TRUE),IF(AND(CV14="",CU14&lt;&gt;""),TRUE))</formula>
    </cfRule>
    <cfRule type="expression" dxfId="179" priority="160">
      <formula>IF(CU14&gt;=CV14,IF(CU14="",FALSE,TRUE))</formula>
    </cfRule>
  </conditionalFormatting>
  <conditionalFormatting sqref="CP40:CP45 CN40:CN45 CP48:CP62 CN48:CN62">
    <cfRule type="expression" dxfId="178" priority="157">
      <formula>OR(IF(CN40&lt;CO40,TRUE),IF(AND(CO40="",CN40&lt;&gt;""),TRUE))</formula>
    </cfRule>
    <cfRule type="expression" dxfId="177" priority="158">
      <formula>IF(CN40&gt;=CO40,IF(CN40="",FALSE,TRUE))</formula>
    </cfRule>
  </conditionalFormatting>
  <conditionalFormatting sqref="CN12 CP12">
    <cfRule type="expression" dxfId="176" priority="155">
      <formula>OR(IF(CN12&lt;CO12,TRUE),IF(AND(CO12="",CN12&lt;&gt;""),TRUE))</formula>
    </cfRule>
    <cfRule type="expression" dxfId="175" priority="156">
      <formula>IF(CN12&gt;=CO12,IF(CN12="",FALSE,TRUE))</formula>
    </cfRule>
  </conditionalFormatting>
  <conditionalFormatting sqref="CN28:CN29">
    <cfRule type="expression" dxfId="174" priority="153">
      <formula>OR(IF(CN28&lt;CO28,TRUE),IF(AND(CO28="",CN28&lt;&gt;""),TRUE))</formula>
    </cfRule>
    <cfRule type="expression" dxfId="173" priority="154">
      <formula>IF(CN28&gt;=CO28,IF(CN28="",FALSE,TRUE))</formula>
    </cfRule>
  </conditionalFormatting>
  <conditionalFormatting sqref="CP28:CP29">
    <cfRule type="expression" dxfId="172" priority="151">
      <formula>OR(IF(CP28&lt;CQ28,TRUE),IF(AND(CQ28="",CP28&lt;&gt;""),TRUE))</formula>
    </cfRule>
    <cfRule type="expression" dxfId="171" priority="152">
      <formula>IF(CP28&gt;=CQ28,IF(CP28="",FALSE,TRUE))</formula>
    </cfRule>
  </conditionalFormatting>
  <conditionalFormatting sqref="CN38:CN39">
    <cfRule type="expression" dxfId="170" priority="149">
      <formula>OR(IF(CN38&lt;CO38,TRUE),IF(AND(CO38="",CN38&lt;&gt;""),TRUE))</formula>
    </cfRule>
    <cfRule type="expression" dxfId="169" priority="150">
      <formula>IF(CN38&gt;=CO38,IF(CN38="",FALSE,TRUE))</formula>
    </cfRule>
  </conditionalFormatting>
  <conditionalFormatting sqref="CP38:CP39">
    <cfRule type="expression" dxfId="168" priority="147">
      <formula>OR(IF(CP38&lt;CQ38,TRUE),IF(AND(CQ38="",CP38&lt;&gt;""),TRUE))</formula>
    </cfRule>
    <cfRule type="expression" dxfId="167" priority="148">
      <formula>IF(CP38&gt;=CQ38,IF(CP38="",FALSE,TRUE))</formula>
    </cfRule>
  </conditionalFormatting>
  <conditionalFormatting sqref="CN13 CP13">
    <cfRule type="expression" dxfId="166" priority="145">
      <formula>OR(IF(CN13&lt;CO13,TRUE),IF(AND(CO13="",CN13&lt;&gt;""),TRUE))</formula>
    </cfRule>
    <cfRule type="expression" dxfId="165" priority="146">
      <formula>IF(CN13&gt;=CO13,IF(CN13="",FALSE,TRUE))</formula>
    </cfRule>
  </conditionalFormatting>
  <conditionalFormatting sqref="CP14 CN14">
    <cfRule type="expression" dxfId="164" priority="143">
      <formula>OR(IF(CN14&lt;CO14,TRUE),IF(AND(CO14="",CN14&lt;&gt;""),TRUE))</formula>
    </cfRule>
    <cfRule type="expression" dxfId="163" priority="144">
      <formula>IF(CN14&gt;=CO14,IF(CN14="",FALSE,TRUE))</formula>
    </cfRule>
  </conditionalFormatting>
  <conditionalFormatting sqref="CI40:CI45 CG40:CG45 CI48:CI62 CG48:CG62">
    <cfRule type="expression" dxfId="162" priority="141">
      <formula>OR(IF(CG40&lt;CH40,TRUE),IF(AND(CH40="",CG40&lt;&gt;""),TRUE))</formula>
    </cfRule>
    <cfRule type="expression" dxfId="161" priority="142">
      <formula>IF(CG40&gt;=CH40,IF(CG40="",FALSE,TRUE))</formula>
    </cfRule>
  </conditionalFormatting>
  <conditionalFormatting sqref="CG12 CI12">
    <cfRule type="expression" dxfId="160" priority="139">
      <formula>OR(IF(CG12&lt;CH12,TRUE),IF(AND(CH12="",CG12&lt;&gt;""),TRUE))</formula>
    </cfRule>
    <cfRule type="expression" dxfId="159" priority="140">
      <formula>IF(CG12&gt;=CH12,IF(CG12="",FALSE,TRUE))</formula>
    </cfRule>
  </conditionalFormatting>
  <conditionalFormatting sqref="CG28:CG29">
    <cfRule type="expression" dxfId="158" priority="137">
      <formula>OR(IF(CG28&lt;CH28,TRUE),IF(AND(CH28="",CG28&lt;&gt;""),TRUE))</formula>
    </cfRule>
    <cfRule type="expression" dxfId="157" priority="138">
      <formula>IF(CG28&gt;=CH28,IF(CG28="",FALSE,TRUE))</formula>
    </cfRule>
  </conditionalFormatting>
  <conditionalFormatting sqref="CI28:CI29">
    <cfRule type="expression" dxfId="156" priority="135">
      <formula>OR(IF(CI28&lt;CJ28,TRUE),IF(AND(CJ28="",CI28&lt;&gt;""),TRUE))</formula>
    </cfRule>
    <cfRule type="expression" dxfId="155" priority="136">
      <formula>IF(CI28&gt;=CJ28,IF(CI28="",FALSE,TRUE))</formula>
    </cfRule>
  </conditionalFormatting>
  <conditionalFormatting sqref="CG38:CG39">
    <cfRule type="expression" dxfId="154" priority="133">
      <formula>OR(IF(CG38&lt;CH38,TRUE),IF(AND(CH38="",CG38&lt;&gt;""),TRUE))</formula>
    </cfRule>
    <cfRule type="expression" dxfId="153" priority="134">
      <formula>IF(CG38&gt;=CH38,IF(CG38="",FALSE,TRUE))</formula>
    </cfRule>
  </conditionalFormatting>
  <conditionalFormatting sqref="CI38:CI39">
    <cfRule type="expression" dxfId="152" priority="131">
      <formula>OR(IF(CI38&lt;CJ38,TRUE),IF(AND(CJ38="",CI38&lt;&gt;""),TRUE))</formula>
    </cfRule>
    <cfRule type="expression" dxfId="151" priority="132">
      <formula>IF(CI38&gt;=CJ38,IF(CI38="",FALSE,TRUE))</formula>
    </cfRule>
  </conditionalFormatting>
  <conditionalFormatting sqref="CG13 CI13">
    <cfRule type="expression" dxfId="150" priority="129">
      <formula>OR(IF(CG13&lt;CH13,TRUE),IF(AND(CH13="",CG13&lt;&gt;""),TRUE))</formula>
    </cfRule>
    <cfRule type="expression" dxfId="149" priority="130">
      <formula>IF(CG13&gt;=CH13,IF(CG13="",FALSE,TRUE))</formula>
    </cfRule>
  </conditionalFormatting>
  <conditionalFormatting sqref="CI14 CG14">
    <cfRule type="expression" dxfId="148" priority="127">
      <formula>OR(IF(CG14&lt;CH14,TRUE),IF(AND(CH14="",CG14&lt;&gt;""),TRUE))</formula>
    </cfRule>
    <cfRule type="expression" dxfId="147" priority="128">
      <formula>IF(CG14&gt;=CH14,IF(CG14="",FALSE,TRUE))</formula>
    </cfRule>
  </conditionalFormatting>
  <conditionalFormatting sqref="CI9">
    <cfRule type="expression" dxfId="146" priority="125">
      <formula>OR(IF(CI9&lt;CJ9,TRUE),IF(AND(CJ9="",CI9&lt;&gt;""),TRUE))</formula>
    </cfRule>
    <cfRule type="expression" dxfId="145" priority="126">
      <formula>IF(CI9&gt;=CJ9,IF(CI9="",FALSE,TRUE))</formula>
    </cfRule>
  </conditionalFormatting>
  <conditionalFormatting sqref="CB40:CB45 BZ40:BZ45 CB48:CB62 BZ48:BZ62">
    <cfRule type="expression" dxfId="144" priority="123">
      <formula>OR(IF(BZ40&lt;CA40,TRUE),IF(AND(CA40="",BZ40&lt;&gt;""),TRUE))</formula>
    </cfRule>
    <cfRule type="expression" dxfId="143" priority="124">
      <formula>IF(BZ40&gt;=CA40,IF(BZ40="",FALSE,TRUE))</formula>
    </cfRule>
  </conditionalFormatting>
  <conditionalFormatting sqref="BZ12 CB12">
    <cfRule type="expression" dxfId="142" priority="121">
      <formula>OR(IF(BZ12&lt;CA12,TRUE),IF(AND(CA12="",BZ12&lt;&gt;""),TRUE))</formula>
    </cfRule>
    <cfRule type="expression" dxfId="141" priority="122">
      <formula>IF(BZ12&gt;=CA12,IF(BZ12="",FALSE,TRUE))</formula>
    </cfRule>
  </conditionalFormatting>
  <conditionalFormatting sqref="BZ28:BZ29">
    <cfRule type="expression" dxfId="140" priority="119">
      <formula>OR(IF(BZ28&lt;CA28,TRUE),IF(AND(CA28="",BZ28&lt;&gt;""),TRUE))</formula>
    </cfRule>
    <cfRule type="expression" dxfId="139" priority="120">
      <formula>IF(BZ28&gt;=CA28,IF(BZ28="",FALSE,TRUE))</formula>
    </cfRule>
  </conditionalFormatting>
  <conditionalFormatting sqref="CB28:CB29">
    <cfRule type="expression" dxfId="138" priority="117">
      <formula>OR(IF(CB28&lt;CC28,TRUE),IF(AND(CC28="",CB28&lt;&gt;""),TRUE))</formula>
    </cfRule>
    <cfRule type="expression" dxfId="137" priority="118">
      <formula>IF(CB28&gt;=CC28,IF(CB28="",FALSE,TRUE))</formula>
    </cfRule>
  </conditionalFormatting>
  <conditionalFormatting sqref="BZ38:BZ39">
    <cfRule type="expression" dxfId="136" priority="115">
      <formula>OR(IF(BZ38&lt;CA38,TRUE),IF(AND(CA38="",BZ38&lt;&gt;""),TRUE))</formula>
    </cfRule>
    <cfRule type="expression" dxfId="135" priority="116">
      <formula>IF(BZ38&gt;=CA38,IF(BZ38="",FALSE,TRUE))</formula>
    </cfRule>
  </conditionalFormatting>
  <conditionalFormatting sqref="CB38:CB39">
    <cfRule type="expression" dxfId="134" priority="113">
      <formula>OR(IF(CB38&lt;CC38,TRUE),IF(AND(CC38="",CB38&lt;&gt;""),TRUE))</formula>
    </cfRule>
    <cfRule type="expression" dxfId="133" priority="114">
      <formula>IF(CB38&gt;=CC38,IF(CB38="",FALSE,TRUE))</formula>
    </cfRule>
  </conditionalFormatting>
  <conditionalFormatting sqref="BZ13 CB13">
    <cfRule type="expression" dxfId="132" priority="111">
      <formula>OR(IF(BZ13&lt;CA13,TRUE),IF(AND(CA13="",BZ13&lt;&gt;""),TRUE))</formula>
    </cfRule>
    <cfRule type="expression" dxfId="131" priority="112">
      <formula>IF(BZ13&gt;=CA13,IF(BZ13="",FALSE,TRUE))</formula>
    </cfRule>
  </conditionalFormatting>
  <conditionalFormatting sqref="CB14 BZ14">
    <cfRule type="expression" dxfId="130" priority="109">
      <formula>OR(IF(BZ14&lt;CA14,TRUE),IF(AND(CA14="",BZ14&lt;&gt;""),TRUE))</formula>
    </cfRule>
    <cfRule type="expression" dxfId="129" priority="110">
      <formula>IF(BZ14&gt;=CA14,IF(BZ14="",FALSE,TRUE))</formula>
    </cfRule>
  </conditionalFormatting>
  <conditionalFormatting sqref="BS12 BU12">
    <cfRule type="expression" dxfId="128" priority="107">
      <formula>OR(IF(BS12&lt;BT12,TRUE),IF(AND(BT12="",BS12&lt;&gt;""),TRUE))</formula>
    </cfRule>
    <cfRule type="expression" dxfId="127" priority="108">
      <formula>IF(BS12&gt;=BT12,IF(BS12="",FALSE,TRUE))</formula>
    </cfRule>
  </conditionalFormatting>
  <conditionalFormatting sqref="BS28:BS29">
    <cfRule type="expression" dxfId="126" priority="105">
      <formula>OR(IF(BS28&lt;BT28,TRUE),IF(AND(BT28="",BS28&lt;&gt;""),TRUE))</formula>
    </cfRule>
    <cfRule type="expression" dxfId="125" priority="106">
      <formula>IF(BS28&gt;=BT28,IF(BS28="",FALSE,TRUE))</formula>
    </cfRule>
  </conditionalFormatting>
  <conditionalFormatting sqref="BU28:BU29">
    <cfRule type="expression" dxfId="124" priority="103">
      <formula>OR(IF(BU28&lt;BV28,TRUE),IF(AND(BV28="",BU28&lt;&gt;""),TRUE))</formula>
    </cfRule>
    <cfRule type="expression" dxfId="123" priority="104">
      <formula>IF(BU28&gt;=BV28,IF(BU28="",FALSE,TRUE))</formula>
    </cfRule>
  </conditionalFormatting>
  <conditionalFormatting sqref="BS38:BS39">
    <cfRule type="expression" dxfId="122" priority="101">
      <formula>OR(IF(BS38&lt;BT38,TRUE),IF(AND(BT38="",BS38&lt;&gt;""),TRUE))</formula>
    </cfRule>
    <cfRule type="expression" dxfId="121" priority="102">
      <formula>IF(BS38&gt;=BT38,IF(BS38="",FALSE,TRUE))</formula>
    </cfRule>
  </conditionalFormatting>
  <conditionalFormatting sqref="BU38:BU39">
    <cfRule type="expression" dxfId="120" priority="99">
      <formula>OR(IF(BU38&lt;BV38,TRUE),IF(AND(BV38="",BU38&lt;&gt;""),TRUE))</formula>
    </cfRule>
    <cfRule type="expression" dxfId="119" priority="100">
      <formula>IF(BU38&gt;=BV38,IF(BU38="",FALSE,TRUE))</formula>
    </cfRule>
  </conditionalFormatting>
  <conditionalFormatting sqref="BS13 BU13">
    <cfRule type="expression" dxfId="118" priority="97">
      <formula>OR(IF(BS13&lt;BT13,TRUE),IF(AND(BT13="",BS13&lt;&gt;""),TRUE))</formula>
    </cfRule>
    <cfRule type="expression" dxfId="117" priority="98">
      <formula>IF(BS13&gt;=BT13,IF(BS13="",FALSE,TRUE))</formula>
    </cfRule>
  </conditionalFormatting>
  <conditionalFormatting sqref="BU14 BS14">
    <cfRule type="expression" dxfId="116" priority="95">
      <formula>OR(IF(BS14&lt;BT14,TRUE),IF(AND(BT14="",BS14&lt;&gt;""),TRUE))</formula>
    </cfRule>
    <cfRule type="expression" dxfId="115" priority="96">
      <formula>IF(BS14&gt;=BT14,IF(BS14="",FALSE,TRUE))</formula>
    </cfRule>
  </conditionalFormatting>
  <conditionalFormatting sqref="BL12 BN12">
    <cfRule type="expression" dxfId="114" priority="93">
      <formula>OR(IF(BL12&lt;BM12,TRUE),IF(AND(BM12="",BL12&lt;&gt;""),TRUE))</formula>
    </cfRule>
    <cfRule type="expression" dxfId="113" priority="94">
      <formula>IF(BL12&gt;=BM12,IF(BL12="",FALSE,TRUE))</formula>
    </cfRule>
  </conditionalFormatting>
  <conditionalFormatting sqref="BL28:BL29">
    <cfRule type="expression" dxfId="112" priority="91">
      <formula>OR(IF(BL28&lt;BM28,TRUE),IF(AND(BM28="",BL28&lt;&gt;""),TRUE))</formula>
    </cfRule>
    <cfRule type="expression" dxfId="111" priority="92">
      <formula>IF(BL28&gt;=BM28,IF(BL28="",FALSE,TRUE))</formula>
    </cfRule>
  </conditionalFormatting>
  <conditionalFormatting sqref="BN28:BN29">
    <cfRule type="expression" dxfId="110" priority="89">
      <formula>OR(IF(BN28&lt;BO28,TRUE),IF(AND(BO28="",BN28&lt;&gt;""),TRUE))</formula>
    </cfRule>
    <cfRule type="expression" dxfId="109" priority="90">
      <formula>IF(BN28&gt;=BO28,IF(BN28="",FALSE,TRUE))</formula>
    </cfRule>
  </conditionalFormatting>
  <conditionalFormatting sqref="BL38:BL39">
    <cfRule type="expression" dxfId="108" priority="87">
      <formula>OR(IF(BL38&lt;BM38,TRUE),IF(AND(BM38="",BL38&lt;&gt;""),TRUE))</formula>
    </cfRule>
    <cfRule type="expression" dxfId="107" priority="88">
      <formula>IF(BL38&gt;=BM38,IF(BL38="",FALSE,TRUE))</formula>
    </cfRule>
  </conditionalFormatting>
  <conditionalFormatting sqref="BN38:BN39">
    <cfRule type="expression" dxfId="106" priority="85">
      <formula>OR(IF(BN38&lt;BO38,TRUE),IF(AND(BO38="",BN38&lt;&gt;""),TRUE))</formula>
    </cfRule>
    <cfRule type="expression" dxfId="105" priority="86">
      <formula>IF(BN38&gt;=BO38,IF(BN38="",FALSE,TRUE))</formula>
    </cfRule>
  </conditionalFormatting>
  <conditionalFormatting sqref="BL13 BN13">
    <cfRule type="expression" dxfId="104" priority="83">
      <formula>OR(IF(BL13&lt;BM13,TRUE),IF(AND(BM13="",BL13&lt;&gt;""),TRUE))</formula>
    </cfRule>
    <cfRule type="expression" dxfId="103" priority="84">
      <formula>IF(BL13&gt;=BM13,IF(BL13="",FALSE,TRUE))</formula>
    </cfRule>
  </conditionalFormatting>
  <conditionalFormatting sqref="BN14 BL14">
    <cfRule type="expression" dxfId="102" priority="81">
      <formula>OR(IF(BL14&lt;BM14,TRUE),IF(AND(BM14="",BL14&lt;&gt;""),TRUE))</formula>
    </cfRule>
    <cfRule type="expression" dxfId="101" priority="82">
      <formula>IF(BL14&gt;=BM14,IF(BL14="",FALSE,TRUE))</formula>
    </cfRule>
  </conditionalFormatting>
  <conditionalFormatting sqref="BE12 BG12">
    <cfRule type="expression" dxfId="100" priority="79">
      <formula>OR(IF(BE12&lt;BF12,TRUE),IF(AND(BF12="",BE12&lt;&gt;""),TRUE))</formula>
    </cfRule>
    <cfRule type="expression" dxfId="99" priority="80">
      <formula>IF(BE12&gt;=BF12,IF(BE12="",FALSE,TRUE))</formula>
    </cfRule>
  </conditionalFormatting>
  <conditionalFormatting sqref="BE28:BE29">
    <cfRule type="expression" dxfId="98" priority="77">
      <formula>OR(IF(BE28&lt;BF28,TRUE),IF(AND(BF28="",BE28&lt;&gt;""),TRUE))</formula>
    </cfRule>
    <cfRule type="expression" dxfId="97" priority="78">
      <formula>IF(BE28&gt;=BF28,IF(BE28="",FALSE,TRUE))</formula>
    </cfRule>
  </conditionalFormatting>
  <conditionalFormatting sqref="BG28:BG29">
    <cfRule type="expression" dxfId="96" priority="75">
      <formula>OR(IF(BG28&lt;BH28,TRUE),IF(AND(BH28="",BG28&lt;&gt;""),TRUE))</formula>
    </cfRule>
    <cfRule type="expression" dxfId="95" priority="76">
      <formula>IF(BG28&gt;=BH28,IF(BG28="",FALSE,TRUE))</formula>
    </cfRule>
  </conditionalFormatting>
  <conditionalFormatting sqref="BE38:BE39">
    <cfRule type="expression" dxfId="94" priority="73">
      <formula>OR(IF(BE38&lt;BF38,TRUE),IF(AND(BF38="",BE38&lt;&gt;""),TRUE))</formula>
    </cfRule>
    <cfRule type="expression" dxfId="93" priority="74">
      <formula>IF(BE38&gt;=BF38,IF(BE38="",FALSE,TRUE))</formula>
    </cfRule>
  </conditionalFormatting>
  <conditionalFormatting sqref="BG38:BG39">
    <cfRule type="expression" dxfId="92" priority="71">
      <formula>OR(IF(BG38&lt;BH38,TRUE),IF(AND(BH38="",BG38&lt;&gt;""),TRUE))</formula>
    </cfRule>
    <cfRule type="expression" dxfId="91" priority="72">
      <formula>IF(BG38&gt;=BH38,IF(BG38="",FALSE,TRUE))</formula>
    </cfRule>
  </conditionalFormatting>
  <conditionalFormatting sqref="BE13 BG13">
    <cfRule type="expression" dxfId="90" priority="69">
      <formula>OR(IF(BE13&lt;BF13,TRUE),IF(AND(BF13="",BE13&lt;&gt;""),TRUE))</formula>
    </cfRule>
    <cfRule type="expression" dxfId="89" priority="70">
      <formula>IF(BE13&gt;=BF13,IF(BE13="",FALSE,TRUE))</formula>
    </cfRule>
  </conditionalFormatting>
  <conditionalFormatting sqref="BG14 BE14">
    <cfRule type="expression" dxfId="88" priority="67">
      <formula>OR(IF(BE14&lt;BF14,TRUE),IF(AND(BF14="",BE14&lt;&gt;""),TRUE))</formula>
    </cfRule>
    <cfRule type="expression" dxfId="87" priority="68">
      <formula>IF(BE14&gt;=BF14,IF(BE14="",FALSE,TRUE))</formula>
    </cfRule>
  </conditionalFormatting>
  <conditionalFormatting sqref="AX12 AZ12">
    <cfRule type="expression" dxfId="86" priority="65">
      <formula>OR(IF(AX12&lt;AY12,TRUE),IF(AND(AY12="",AX12&lt;&gt;""),TRUE))</formula>
    </cfRule>
    <cfRule type="expression" dxfId="85" priority="66">
      <formula>IF(AX12&gt;=AY12,IF(AX12="",FALSE,TRUE))</formula>
    </cfRule>
  </conditionalFormatting>
  <conditionalFormatting sqref="AX28:AX29">
    <cfRule type="expression" dxfId="84" priority="63">
      <formula>OR(IF(AX28&lt;AY28,TRUE),IF(AND(AY28="",AX28&lt;&gt;""),TRUE))</formula>
    </cfRule>
    <cfRule type="expression" dxfId="83" priority="64">
      <formula>IF(AX28&gt;=AY28,IF(AX28="",FALSE,TRUE))</formula>
    </cfRule>
  </conditionalFormatting>
  <conditionalFormatting sqref="AZ28:AZ29">
    <cfRule type="expression" dxfId="82" priority="61">
      <formula>OR(IF(AZ28&lt;BA28,TRUE),IF(AND(BA28="",AZ28&lt;&gt;""),TRUE))</formula>
    </cfRule>
    <cfRule type="expression" dxfId="81" priority="62">
      <formula>IF(AZ28&gt;=BA28,IF(AZ28="",FALSE,TRUE))</formula>
    </cfRule>
  </conditionalFormatting>
  <conditionalFormatting sqref="AX38:AX39">
    <cfRule type="expression" dxfId="80" priority="59">
      <formula>OR(IF(AX38&lt;AY38,TRUE),IF(AND(AY38="",AX38&lt;&gt;""),TRUE))</formula>
    </cfRule>
    <cfRule type="expression" dxfId="79" priority="60">
      <formula>IF(AX38&gt;=AY38,IF(AX38="",FALSE,TRUE))</formula>
    </cfRule>
  </conditionalFormatting>
  <conditionalFormatting sqref="AZ38:AZ39">
    <cfRule type="expression" dxfId="78" priority="57">
      <formula>OR(IF(AZ38&lt;BA38,TRUE),IF(AND(BA38="",AZ38&lt;&gt;""),TRUE))</formula>
    </cfRule>
    <cfRule type="expression" dxfId="77" priority="58">
      <formula>IF(AZ38&gt;=BA38,IF(AZ38="",FALSE,TRUE))</formula>
    </cfRule>
  </conditionalFormatting>
  <conditionalFormatting sqref="AX13 AZ13">
    <cfRule type="expression" dxfId="76" priority="55">
      <formula>OR(IF(AX13&lt;AY13,TRUE),IF(AND(AY13="",AX13&lt;&gt;""),TRUE))</formula>
    </cfRule>
    <cfRule type="expression" dxfId="75" priority="56">
      <formula>IF(AX13&gt;=AY13,IF(AX13="",FALSE,TRUE))</formula>
    </cfRule>
  </conditionalFormatting>
  <conditionalFormatting sqref="AZ14 AX14">
    <cfRule type="expression" dxfId="74" priority="53">
      <formula>OR(IF(AX14&lt;AY14,TRUE),IF(AND(AY14="",AX14&lt;&gt;""),TRUE))</formula>
    </cfRule>
    <cfRule type="expression" dxfId="73" priority="54">
      <formula>IF(AX14&gt;=AY14,IF(AX14="",FALSE,TRUE))</formula>
    </cfRule>
  </conditionalFormatting>
  <conditionalFormatting sqref="AQ12 AS12">
    <cfRule type="expression" dxfId="72" priority="51">
      <formula>OR(IF(AQ12&lt;AR12,TRUE),IF(AND(AR12="",AQ12&lt;&gt;""),TRUE))</formula>
    </cfRule>
    <cfRule type="expression" dxfId="71" priority="52">
      <formula>IF(AQ12&gt;=AR12,IF(AQ12="",FALSE,TRUE))</formula>
    </cfRule>
  </conditionalFormatting>
  <conditionalFormatting sqref="AQ28:AQ29">
    <cfRule type="expression" dxfId="70" priority="49">
      <formula>OR(IF(AQ28&lt;AR28,TRUE),IF(AND(AR28="",AQ28&lt;&gt;""),TRUE))</formula>
    </cfRule>
    <cfRule type="expression" dxfId="69" priority="50">
      <formula>IF(AQ28&gt;=AR28,IF(AQ28="",FALSE,TRUE))</formula>
    </cfRule>
  </conditionalFormatting>
  <conditionalFormatting sqref="AS28:AS29">
    <cfRule type="expression" dxfId="68" priority="47">
      <formula>OR(IF(AS28&lt;AT28,TRUE),IF(AND(AT28="",AS28&lt;&gt;""),TRUE))</formula>
    </cfRule>
    <cfRule type="expression" dxfId="67" priority="48">
      <formula>IF(AS28&gt;=AT28,IF(AS28="",FALSE,TRUE))</formula>
    </cfRule>
  </conditionalFormatting>
  <conditionalFormatting sqref="AQ38:AQ39">
    <cfRule type="expression" dxfId="66" priority="45">
      <formula>OR(IF(AQ38&lt;AR38,TRUE),IF(AND(AR38="",AQ38&lt;&gt;""),TRUE))</formula>
    </cfRule>
    <cfRule type="expression" dxfId="65" priority="46">
      <formula>IF(AQ38&gt;=AR38,IF(AQ38="",FALSE,TRUE))</formula>
    </cfRule>
  </conditionalFormatting>
  <conditionalFormatting sqref="AS38:AS39">
    <cfRule type="expression" dxfId="64" priority="43">
      <formula>OR(IF(AS38&lt;AT38,TRUE),IF(AND(AT38="",AS38&lt;&gt;""),TRUE))</formula>
    </cfRule>
    <cfRule type="expression" dxfId="63" priority="44">
      <formula>IF(AS38&gt;=AT38,IF(AS38="",FALSE,TRUE))</formula>
    </cfRule>
  </conditionalFormatting>
  <conditionalFormatting sqref="AQ13 AS13">
    <cfRule type="expression" dxfId="62" priority="41">
      <formula>OR(IF(AQ13&lt;AR13,TRUE),IF(AND(AR13="",AQ13&lt;&gt;""),TRUE))</formula>
    </cfRule>
    <cfRule type="expression" dxfId="61" priority="42">
      <formula>IF(AQ13&gt;=AR13,IF(AQ13="",FALSE,TRUE))</formula>
    </cfRule>
  </conditionalFormatting>
  <conditionalFormatting sqref="AS14 AQ14">
    <cfRule type="expression" dxfId="60" priority="39">
      <formula>OR(IF(AQ14&lt;AR14,TRUE),IF(AND(AR14="",AQ14&lt;&gt;""),TRUE))</formula>
    </cfRule>
    <cfRule type="expression" dxfId="59" priority="40">
      <formula>IF(AQ14&gt;=AR14,IF(AQ14="",FALSE,TRUE))</formula>
    </cfRule>
  </conditionalFormatting>
  <conditionalFormatting sqref="AJ12 AL12">
    <cfRule type="expression" dxfId="58" priority="37">
      <formula>OR(IF(AJ12&lt;AK12,TRUE),IF(AND(AK12="",AJ12&lt;&gt;""),TRUE))</formula>
    </cfRule>
    <cfRule type="expression" dxfId="57" priority="38">
      <formula>IF(AJ12&gt;=AK12,IF(AJ12="",FALSE,TRUE))</formula>
    </cfRule>
  </conditionalFormatting>
  <conditionalFormatting sqref="AJ28:AJ29">
    <cfRule type="expression" dxfId="56" priority="35">
      <formula>OR(IF(AJ28&lt;AK28,TRUE),IF(AND(AK28="",AJ28&lt;&gt;""),TRUE))</formula>
    </cfRule>
    <cfRule type="expression" dxfId="55" priority="36">
      <formula>IF(AJ28&gt;=AK28,IF(AJ28="",FALSE,TRUE))</formula>
    </cfRule>
  </conditionalFormatting>
  <conditionalFormatting sqref="AL28:AL29">
    <cfRule type="expression" dxfId="54" priority="33">
      <formula>OR(IF(AL28&lt;AM28,TRUE),IF(AND(AM28="",AL28&lt;&gt;""),TRUE))</formula>
    </cfRule>
    <cfRule type="expression" dxfId="53" priority="34">
      <formula>IF(AL28&gt;=AM28,IF(AL28="",FALSE,TRUE))</formula>
    </cfRule>
  </conditionalFormatting>
  <conditionalFormatting sqref="AJ38:AJ39">
    <cfRule type="expression" dxfId="52" priority="31">
      <formula>OR(IF(AJ38&lt;AK38,TRUE),IF(AND(AK38="",AJ38&lt;&gt;""),TRUE))</formula>
    </cfRule>
    <cfRule type="expression" dxfId="51" priority="32">
      <formula>IF(AJ38&gt;=AK38,IF(AJ38="",FALSE,TRUE))</formula>
    </cfRule>
  </conditionalFormatting>
  <conditionalFormatting sqref="AL38:AL39">
    <cfRule type="expression" dxfId="50" priority="29">
      <formula>OR(IF(AL38&lt;AM38,TRUE),IF(AND(AM38="",AL38&lt;&gt;""),TRUE))</formula>
    </cfRule>
    <cfRule type="expression" dxfId="49" priority="30">
      <formula>IF(AL38&gt;=AM38,IF(AL38="",FALSE,TRUE))</formula>
    </cfRule>
  </conditionalFormatting>
  <conditionalFormatting sqref="AJ13 AL13">
    <cfRule type="expression" dxfId="48" priority="27">
      <formula>OR(IF(AJ13&lt;AK13,TRUE),IF(AND(AK13="",AJ13&lt;&gt;""),TRUE))</formula>
    </cfRule>
    <cfRule type="expression" dxfId="47" priority="28">
      <formula>IF(AJ13&gt;=AK13,IF(AJ13="",FALSE,TRUE))</formula>
    </cfRule>
  </conditionalFormatting>
  <conditionalFormatting sqref="AL14 AJ14">
    <cfRule type="expression" dxfId="46" priority="25">
      <formula>OR(IF(AJ14&lt;AK14,TRUE),IF(AND(AK14="",AJ14&lt;&gt;""),TRUE))</formula>
    </cfRule>
    <cfRule type="expression" dxfId="45" priority="26">
      <formula>IF(AJ14&gt;=AK14,IF(AJ14="",FALSE,TRUE))</formula>
    </cfRule>
  </conditionalFormatting>
  <conditionalFormatting sqref="AC28:AC29">
    <cfRule type="expression" dxfId="44" priority="23">
      <formula>OR(IF(AC28&lt;AD28,TRUE),IF(AND(AD28="",AC28&lt;&gt;""),TRUE))</formula>
    </cfRule>
    <cfRule type="expression" dxfId="43" priority="24">
      <formula>IF(AC28&gt;=AD28,IF(AC28="",FALSE,TRUE))</formula>
    </cfRule>
  </conditionalFormatting>
  <conditionalFormatting sqref="AE28:AE29">
    <cfRule type="expression" dxfId="42" priority="21">
      <formula>OR(IF(AE28&lt;AF28,TRUE),IF(AND(AF28="",AE28&lt;&gt;""),TRUE))</formula>
    </cfRule>
    <cfRule type="expression" dxfId="41" priority="22">
      <formula>IF(AE28&gt;=AF28,IF(AE28="",FALSE,TRUE))</formula>
    </cfRule>
  </conditionalFormatting>
  <conditionalFormatting sqref="AC38:AC39">
    <cfRule type="expression" dxfId="40" priority="19">
      <formula>OR(IF(AC38&lt;AD38,TRUE),IF(AND(AD38="",AC38&lt;&gt;""),TRUE))</formula>
    </cfRule>
    <cfRule type="expression" dxfId="39" priority="20">
      <formula>IF(AC38&gt;=AD38,IF(AC38="",FALSE,TRUE))</formula>
    </cfRule>
  </conditionalFormatting>
  <conditionalFormatting sqref="AE38:AE39">
    <cfRule type="expression" dxfId="38" priority="17">
      <formula>OR(IF(AE38&lt;AF38,TRUE),IF(AND(AF38="",AE38&lt;&gt;""),TRUE))</formula>
    </cfRule>
    <cfRule type="expression" dxfId="37" priority="18">
      <formula>IF(AE38&gt;=AF38,IF(AE38="",FALSE,TRUE))</formula>
    </cfRule>
  </conditionalFormatting>
  <conditionalFormatting sqref="AC13 AE13">
    <cfRule type="expression" dxfId="36" priority="15">
      <formula>OR(IF(AC13&lt;AD13,TRUE),IF(AND(AD13="",AC13&lt;&gt;""),TRUE))</formula>
    </cfRule>
    <cfRule type="expression" dxfId="35" priority="16">
      <formula>IF(AC13&gt;=AD13,IF(AC13="",FALSE,TRUE))</formula>
    </cfRule>
  </conditionalFormatting>
  <conditionalFormatting sqref="AE14 AC14">
    <cfRule type="expression" dxfId="34" priority="13">
      <formula>OR(IF(AC14&lt;AD14,TRUE),IF(AND(AD14="",AC14&lt;&gt;""),TRUE))</formula>
    </cfRule>
    <cfRule type="expression" dxfId="33" priority="14">
      <formula>IF(AC14&gt;=AD14,IF(AC14="",FALSE,TRUE))</formula>
    </cfRule>
  </conditionalFormatting>
  <conditionalFormatting sqref="V28:V29">
    <cfRule type="expression" dxfId="32" priority="11">
      <formula>OR(IF(V28&lt;W28,TRUE),IF(AND(W28="",V28&lt;&gt;""),TRUE))</formula>
    </cfRule>
    <cfRule type="expression" dxfId="31" priority="12">
      <formula>IF(V28&gt;=W28,IF(V28="",FALSE,TRUE))</formula>
    </cfRule>
  </conditionalFormatting>
  <conditionalFormatting sqref="X28:X29">
    <cfRule type="expression" dxfId="30" priority="9">
      <formula>OR(IF(X28&lt;Y28,TRUE),IF(AND(Y28="",X28&lt;&gt;""),TRUE))</formula>
    </cfRule>
    <cfRule type="expression" dxfId="29" priority="10">
      <formula>IF(X28&gt;=Y28,IF(X28="",FALSE,TRUE))</formula>
    </cfRule>
  </conditionalFormatting>
  <conditionalFormatting sqref="V38:V39">
    <cfRule type="expression" dxfId="28" priority="7">
      <formula>OR(IF(V38&lt;W38,TRUE),IF(AND(W38="",V38&lt;&gt;""),TRUE))</formula>
    </cfRule>
    <cfRule type="expression" dxfId="27" priority="8">
      <formula>IF(V38&gt;=W38,IF(V38="",FALSE,TRUE))</formula>
    </cfRule>
  </conditionalFormatting>
  <conditionalFormatting sqref="X38:X39">
    <cfRule type="expression" dxfId="26" priority="5">
      <formula>OR(IF(X38&lt;Y38,TRUE),IF(AND(Y38="",X38&lt;&gt;""),TRUE))</formula>
    </cfRule>
    <cfRule type="expression" dxfId="25" priority="6">
      <formula>IF(X38&gt;=Y38,IF(X38="",FALSE,TRUE))</formula>
    </cfRule>
  </conditionalFormatting>
  <conditionalFormatting sqref="V13 X13">
    <cfRule type="expression" dxfId="24" priority="3">
      <formula>OR(IF(V13&lt;W13,TRUE),IF(AND(W13="",V13&lt;&gt;""),TRUE))</formula>
    </cfRule>
    <cfRule type="expression" dxfId="23" priority="4">
      <formula>IF(V13&gt;=W13,IF(V13="",FALSE,TRUE))</formula>
    </cfRule>
  </conditionalFormatting>
  <conditionalFormatting sqref="X14 V14">
    <cfRule type="expression" dxfId="22" priority="1">
      <formula>OR(IF(V14&lt;W14,TRUE),IF(AND(W14="",V14&lt;&gt;""),TRUE))</formula>
    </cfRule>
    <cfRule type="expression" dxfId="21" priority="2">
      <formula>IF(V14&gt;=W14,IF(V14="",FALSE,TRUE))</formula>
    </cfRule>
  </conditionalFormatting>
  <conditionalFormatting sqref="X16">
    <cfRule type="expression" dxfId="20" priority="1533">
      <formula>OR(IF(X16&lt;Y17,TRUE),IF(AND(Y17="",X16&lt;&gt;""),TRUE))</formula>
    </cfRule>
    <cfRule type="expression" dxfId="19" priority="1534">
      <formula>IF(X16&gt;=Y17,IF(X16="",FALSE,TRUE))</formula>
    </cfRule>
  </conditionalFormatting>
  <conditionalFormatting sqref="X17">
    <cfRule type="expression" dxfId="18" priority="1535">
      <formula>OR(IF(X17&lt;#REF!,TRUE),IF(AND(#REF!="",X17&lt;&gt;""),TRUE))</formula>
    </cfRule>
    <cfRule type="expression" dxfId="17" priority="1536">
      <formula>IF(X17&gt;=#REF!,IF(X17="",FALSE,TRUE))</formula>
    </cfRule>
  </conditionalFormatting>
  <dataValidations count="1">
    <dataValidation type="list" allowBlank="1" showInputMessage="1" showErrorMessage="1" sqref="DP5:DS9 AC5:AF9 AJ5:AM9 AQ5:AT9 BZ48:CC62 BE5:BH9 BS5:BV9 O5:R9 BZ5:CC9 BL5:BO9 CG5:CJ9 CN5:CQ9 DB5:DE9 BL38:BO45 DI5:DL9 DI28:DL35 DP28:DS35 AJ12:AM25 AQ12:AT25 V16:X17 CN12:CQ25 AX12:BA25 BE12:BH25 AX5:BA9 BZ12:CC25 CU12:CX25 DB12:DE25 DI12:DL25 BL12:BO25 O12:R25 BL28:BO35 O28:R35 AX28:BA35 AQ28:AT35 AJ28:AM35 CG12:CJ25 DP12:DS25 BS28:BV35 BZ28:CC35 BE28:BH35 CG28:CJ35 CU28:CX35 DB28:DE35 DI38:DL45 DB38:DE45 CU38:CX45 CG38:CJ45 BZ38:CC45 BS38:BV45 DP38:DS45 AC38:AF45 AJ38:AM45 AQ38:AT45 BE38:BH45 AX38:BA45 O38:R45 DB48:DE62 CU48:CX62 DI48:DL62 CG48:CJ62 BE48:BH62 O48:R62 DP48:DS62 AC48:AF62 AJ48:AM62 BL48:BO62 AQ48:AT62 AX48:BA62 CN48:CQ62 BS48:BV62 CN38:CQ45 AC12:AF25 AC28:AF35 V38:Y45 V48:Y62 V5:Y9 V28:Y35 CN28:CQ35 BS12:BV25 Y17 V12:Y15 V18:Y25 CU5:CX9"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25" defaultRowHeight="15.75"/>
  <cols>
    <col min="2" max="2" width="161" customWidth="1"/>
    <col min="3" max="3" width="10.875"/>
  </cols>
  <sheetData>
    <row r="4" spans="2:2" ht="21">
      <c r="B4" s="3" t="s">
        <v>16</v>
      </c>
    </row>
    <row r="6" spans="2:2">
      <c r="B6" s="2" t="s">
        <v>13</v>
      </c>
    </row>
    <row r="7" spans="2:2" ht="47.25">
      <c r="B7" s="1" t="s">
        <v>14</v>
      </c>
    </row>
    <row r="9" spans="2:2">
      <c r="B9" s="2" t="s">
        <v>15</v>
      </c>
    </row>
    <row r="10" spans="2:2" ht="63">
      <c r="B10" s="1" t="s">
        <v>36</v>
      </c>
    </row>
    <row r="12" spans="2:2">
      <c r="B12" s="2" t="s">
        <v>17</v>
      </c>
    </row>
    <row r="13" spans="2:2" ht="126">
      <c r="B13" s="1" t="s">
        <v>18</v>
      </c>
    </row>
    <row r="15" spans="2:2">
      <c r="B15" s="2" t="s">
        <v>19</v>
      </c>
    </row>
    <row r="16" spans="2:2" ht="110.25">
      <c r="B16" s="1" t="s">
        <v>20</v>
      </c>
    </row>
    <row r="17" spans="2:2">
      <c r="B17" s="1"/>
    </row>
    <row r="18" spans="2:2">
      <c r="B18" s="2" t="s">
        <v>35</v>
      </c>
    </row>
    <row r="19" spans="2:2" ht="141.75">
      <c r="B19" s="1" t="s">
        <v>37</v>
      </c>
    </row>
    <row r="21" spans="2:2">
      <c r="B21" s="2" t="s">
        <v>21</v>
      </c>
    </row>
    <row r="22" spans="2:2" ht="110.25">
      <c r="B22" s="1" t="s">
        <v>38</v>
      </c>
    </row>
    <row r="24" spans="2:2">
      <c r="B24" s="2"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C3" sqref="C3"/>
    </sheetView>
  </sheetViews>
  <sheetFormatPr baseColWidth="10" defaultColWidth="10.625" defaultRowHeight="15.75"/>
  <cols>
    <col min="1" max="1" width="16.875" style="9" customWidth="1"/>
    <col min="2" max="2" width="19.125" style="9" customWidth="1"/>
    <col min="3" max="3" width="18.125" style="9" customWidth="1"/>
    <col min="4" max="4" width="19.5" style="9" customWidth="1"/>
    <col min="8" max="8" width="15.125" customWidth="1"/>
    <col min="10" max="10" width="42" customWidth="1"/>
    <col min="11" max="11" width="28.5" customWidth="1"/>
  </cols>
  <sheetData>
    <row r="1" spans="1:11" ht="31.5">
      <c r="A1" s="9" t="s">
        <v>42</v>
      </c>
      <c r="B1" s="15" t="s">
        <v>39</v>
      </c>
      <c r="C1" s="15" t="s">
        <v>40</v>
      </c>
      <c r="D1" s="15" t="s">
        <v>41</v>
      </c>
      <c r="E1" s="1" t="s">
        <v>43</v>
      </c>
      <c r="F1" s="1" t="s">
        <v>44</v>
      </c>
      <c r="G1" s="1" t="s">
        <v>45</v>
      </c>
      <c r="H1" s="1" t="s">
        <v>46</v>
      </c>
      <c r="I1" s="1" t="s">
        <v>47</v>
      </c>
      <c r="J1" s="1" t="s">
        <v>48</v>
      </c>
      <c r="K1" s="1" t="s">
        <v>49</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G30" sqref="G30"/>
    </sheetView>
  </sheetViews>
  <sheetFormatPr baseColWidth="10" defaultColWidth="10.625" defaultRowHeight="15.75"/>
  <sheetData>
    <row r="1" spans="1:8" ht="26.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Lennart van Helt</cp:lastModifiedBy>
  <dcterms:created xsi:type="dcterms:W3CDTF">2020-04-19T13:33:28Z</dcterms:created>
  <dcterms:modified xsi:type="dcterms:W3CDTF">2022-11-14T20:26:41Z</dcterms:modified>
</cp:coreProperties>
</file>