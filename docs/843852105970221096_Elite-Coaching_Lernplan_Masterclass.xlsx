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C:\Users\julia\OneDrive\Desktop\Hochschule\Elite Coaching\"/>
    </mc:Choice>
  </mc:AlternateContent>
  <xr:revisionPtr revIDLastSave="0" documentId="13_ncr:1_{A849DF84-98DD-43BF-8C3C-875D6457E63A}" xr6:coauthVersionLast="46" xr6:coauthVersionMax="46" xr10:uidLastSave="{00000000-0000-0000-0000-000000000000}"/>
  <bookViews>
    <workbookView minimized="1" xWindow="2436" yWindow="2436" windowWidth="2388" windowHeight="564" firstSheet="1" activeTab="3" xr2:uid="{50F29292-BE80-0C47-A0D2-DD086CB3D310}"/>
  </bookViews>
  <sheets>
    <sheet name="Anleitung" sheetId="2" r:id="rId1"/>
    <sheet name="Semesterplan" sheetId="7" r:id="rId2"/>
    <sheet name="COMMITTMENT" sheetId="9" r:id="rId3"/>
    <sheet name="KW 1" sheetId="3" r:id="rId4"/>
    <sheet name="KW 2" sheetId="10" r:id="rId5"/>
    <sheet name="KW 3" sheetId="8" r:id="rId6"/>
    <sheet name="KW 4" sheetId="11" r:id="rId7"/>
    <sheet name="KW 5" sheetId="12" r:id="rId8"/>
    <sheet name="KW 6" sheetId="13" r:id="rId9"/>
    <sheet name="KW 7" sheetId="15" r:id="rId10"/>
    <sheet name="KW 8" sheetId="14" r:id="rId11"/>
    <sheet name="KW 9" sheetId="16" r:id="rId12"/>
    <sheet name="KW 10" sheetId="17" r:id="rId1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Y55" i="7" l="1"/>
  <c r="BY49" i="7"/>
  <c r="BY35" i="7"/>
  <c r="BY29" i="7"/>
  <c r="BY17" i="7"/>
  <c r="BY5" i="7"/>
  <c r="BR55" i="7"/>
  <c r="BR49" i="7"/>
  <c r="BR35" i="7"/>
  <c r="BR29" i="7"/>
  <c r="BR17" i="7"/>
  <c r="BR5" i="7"/>
  <c r="BK55" i="7"/>
  <c r="BK49" i="7"/>
  <c r="BK35" i="7"/>
  <c r="BK29" i="7"/>
  <c r="BK17" i="7"/>
  <c r="BK5" i="7"/>
  <c r="K63" i="7"/>
  <c r="J63" i="7"/>
  <c r="I63" i="7"/>
  <c r="K62" i="7"/>
  <c r="J62" i="7"/>
  <c r="I62" i="7"/>
  <c r="K61" i="7"/>
  <c r="J61" i="7"/>
  <c r="I61" i="7"/>
  <c r="K60" i="7"/>
  <c r="J60" i="7"/>
  <c r="I60" i="7"/>
  <c r="K59" i="7"/>
  <c r="J59" i="7"/>
  <c r="I59" i="7"/>
  <c r="K58" i="7"/>
  <c r="J58" i="7"/>
  <c r="I58" i="7"/>
  <c r="K57" i="7"/>
  <c r="J57" i="7"/>
  <c r="I57" i="7"/>
  <c r="K56" i="7"/>
  <c r="J56" i="7"/>
  <c r="I56" i="7"/>
  <c r="BD55" i="7"/>
  <c r="AW55" i="7"/>
  <c r="AP55" i="7"/>
  <c r="AI55" i="7"/>
  <c r="AB55" i="7"/>
  <c r="U55" i="7"/>
  <c r="N55" i="7"/>
  <c r="G55" i="7"/>
  <c r="K53" i="7"/>
  <c r="J53" i="7"/>
  <c r="I53" i="7"/>
  <c r="K52" i="7"/>
  <c r="J52" i="7"/>
  <c r="I52" i="7"/>
  <c r="K51" i="7"/>
  <c r="J51" i="7"/>
  <c r="I51" i="7"/>
  <c r="K50" i="7"/>
  <c r="J50" i="7"/>
  <c r="I50" i="7"/>
  <c r="BD49" i="7"/>
  <c r="AW49" i="7"/>
  <c r="AP49" i="7"/>
  <c r="AI49" i="7"/>
  <c r="AB49" i="7"/>
  <c r="U49" i="7"/>
  <c r="N49" i="7"/>
  <c r="G49" i="7"/>
  <c r="K47" i="7"/>
  <c r="J47" i="7"/>
  <c r="I47" i="7"/>
  <c r="K46" i="7"/>
  <c r="J46" i="7"/>
  <c r="I46" i="7"/>
  <c r="K45" i="7"/>
  <c r="J45" i="7"/>
  <c r="I45" i="7"/>
  <c r="K44" i="7"/>
  <c r="J44" i="7"/>
  <c r="I44" i="7"/>
  <c r="K43" i="7"/>
  <c r="J43" i="7"/>
  <c r="I43" i="7"/>
  <c r="K42" i="7"/>
  <c r="J42" i="7"/>
  <c r="I42" i="7"/>
  <c r="K41" i="7"/>
  <c r="J41" i="7"/>
  <c r="I41" i="7"/>
  <c r="K40" i="7"/>
  <c r="J40" i="7"/>
  <c r="I40" i="7"/>
  <c r="K39" i="7"/>
  <c r="J39" i="7"/>
  <c r="I39" i="7"/>
  <c r="K38" i="7"/>
  <c r="J38" i="7"/>
  <c r="I38" i="7"/>
  <c r="K37" i="7"/>
  <c r="J37" i="7"/>
  <c r="I37" i="7"/>
  <c r="K36" i="7"/>
  <c r="J36" i="7"/>
  <c r="I36" i="7"/>
  <c r="BD35" i="7"/>
  <c r="AW35" i="7"/>
  <c r="AP35" i="7"/>
  <c r="AI35" i="7"/>
  <c r="AB35" i="7"/>
  <c r="U35" i="7"/>
  <c r="N35" i="7"/>
  <c r="G35" i="7"/>
  <c r="K33" i="7"/>
  <c r="J33" i="7"/>
  <c r="I33" i="7"/>
  <c r="K32" i="7"/>
  <c r="J32" i="7"/>
  <c r="I32" i="7"/>
  <c r="K31" i="7"/>
  <c r="J31" i="7"/>
  <c r="I31" i="7"/>
  <c r="K30" i="7"/>
  <c r="J30" i="7"/>
  <c r="I30" i="7"/>
  <c r="BD29" i="7"/>
  <c r="AW29" i="7"/>
  <c r="AP29" i="7"/>
  <c r="AI29" i="7"/>
  <c r="AB29" i="7"/>
  <c r="U29" i="7"/>
  <c r="N29" i="7"/>
  <c r="K27" i="7"/>
  <c r="J27" i="7"/>
  <c r="I27" i="7"/>
  <c r="K26" i="7"/>
  <c r="J26" i="7"/>
  <c r="I26" i="7"/>
  <c r="K25" i="7"/>
  <c r="J25" i="7"/>
  <c r="I25" i="7"/>
  <c r="K24" i="7"/>
  <c r="J24" i="7"/>
  <c r="I24" i="7"/>
  <c r="K23" i="7"/>
  <c r="J23" i="7"/>
  <c r="I23" i="7"/>
  <c r="K22" i="7"/>
  <c r="J22" i="7"/>
  <c r="I22" i="7"/>
  <c r="K21" i="7"/>
  <c r="J21" i="7"/>
  <c r="I21" i="7"/>
  <c r="K20" i="7"/>
  <c r="J20" i="7"/>
  <c r="I20" i="7"/>
  <c r="K19" i="7"/>
  <c r="J19" i="7"/>
  <c r="I19" i="7"/>
  <c r="K18" i="7"/>
  <c r="J18" i="7"/>
  <c r="I18" i="7"/>
  <c r="BD17" i="7"/>
  <c r="AW17" i="7"/>
  <c r="AP17" i="7"/>
  <c r="AI17" i="7"/>
  <c r="AB17" i="7"/>
  <c r="U17" i="7"/>
  <c r="N17" i="7"/>
  <c r="K15" i="7"/>
  <c r="J15" i="7"/>
  <c r="I15" i="7"/>
  <c r="K14" i="7"/>
  <c r="J14" i="7"/>
  <c r="I14" i="7"/>
  <c r="K13" i="7"/>
  <c r="J13" i="7"/>
  <c r="I13" i="7"/>
  <c r="K12" i="7"/>
  <c r="J12" i="7"/>
  <c r="I12" i="7"/>
  <c r="K11" i="7"/>
  <c r="J11" i="7"/>
  <c r="I11" i="7"/>
  <c r="K10" i="7"/>
  <c r="J10" i="7"/>
  <c r="I10" i="7"/>
  <c r="K9" i="7"/>
  <c r="J9" i="7"/>
  <c r="I9" i="7"/>
  <c r="K8" i="7"/>
  <c r="J8" i="7"/>
  <c r="I8" i="7"/>
  <c r="K7" i="7"/>
  <c r="J7" i="7"/>
  <c r="I7" i="7"/>
  <c r="K6" i="7"/>
  <c r="J6" i="7"/>
  <c r="I6" i="7"/>
  <c r="BD5" i="7"/>
  <c r="AW5" i="7"/>
  <c r="AP5" i="7"/>
  <c r="AI5" i="7"/>
  <c r="AB5" i="7"/>
  <c r="U5" i="7"/>
  <c r="N5" i="7"/>
  <c r="I29" i="7" l="1"/>
  <c r="J35" i="7"/>
  <c r="I49" i="7"/>
  <c r="K49" i="7"/>
  <c r="J55" i="7"/>
  <c r="J17" i="7"/>
  <c r="J5" i="7"/>
  <c r="K5" i="7"/>
  <c r="J29" i="7"/>
  <c r="J49" i="7"/>
  <c r="K29" i="7"/>
  <c r="I5" i="7"/>
  <c r="I17" i="7"/>
  <c r="K17" i="7"/>
  <c r="I35" i="7"/>
  <c r="K35" i="7"/>
  <c r="I55" i="7"/>
  <c r="K55" i="7"/>
</calcChain>
</file>

<file path=xl/sharedStrings.xml><?xml version="1.0" encoding="utf-8"?>
<sst xmlns="http://schemas.openxmlformats.org/spreadsheetml/2006/main" count="435" uniqueCount="112">
  <si>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</si>
  <si>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</si>
  <si>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</si>
  <si>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</si>
  <si>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</si>
  <si>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</si>
  <si>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</si>
  <si>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</si>
  <si>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</si>
  <si>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</si>
  <si>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</si>
  <si>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</si>
  <si>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</si>
  <si>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</si>
  <si>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</si>
  <si>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</si>
  <si>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</si>
  <si>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</si>
  <si>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</si>
  <si>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</si>
  <si>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</si>
  <si>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</si>
  <si>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</si>
  <si>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</si>
  <si>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</si>
  <si>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</si>
  <si>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</si>
  <si>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</si>
  <si>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</si>
  <si>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</si>
  <si>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</si>
  <si>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</si>
  <si>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4) Marketingziele &amp; -prognosen</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</si>
  <si>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</si>
  <si>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</si>
  <si>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</si>
  <si>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</si>
  <si>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</si>
  <si>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</si>
  <si>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</si>
  <si>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</si>
  <si>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</si>
  <si>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</si>
  <si>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</si>
  <si>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</si>
  <si>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</si>
  <si>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</si>
  <si>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</si>
  <si>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</si>
  <si>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</si>
  <si>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</si>
  <si>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</si>
  <si>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1) Thema 1</t>
  </si>
  <si>
    <t>2) Thema 2</t>
  </si>
  <si>
    <t>3) Thema 3</t>
  </si>
  <si>
    <t>4) Thema 4</t>
  </si>
  <si>
    <t>5) Thema 5</t>
  </si>
  <si>
    <t>6) Thema 6</t>
  </si>
  <si>
    <t>7) Thema 7</t>
  </si>
  <si>
    <t>8) Thema 8</t>
  </si>
  <si>
    <t>9) Thema 9</t>
  </si>
  <si>
    <t>10) Thema 10</t>
  </si>
  <si>
    <t>Makroökonomik</t>
  </si>
  <si>
    <t>1) Wachstum</t>
  </si>
  <si>
    <t>2) Preisniveau</t>
  </si>
  <si>
    <t>3) Beschäftigung</t>
  </si>
  <si>
    <t>5) Außenwirtschaftliches Gleichgewicht</t>
  </si>
  <si>
    <t xml:space="preserve">6) </t>
  </si>
  <si>
    <t xml:space="preserve">7) </t>
  </si>
  <si>
    <t xml:space="preserve">8) </t>
  </si>
  <si>
    <t xml:space="preserve">9) </t>
  </si>
  <si>
    <t xml:space="preserve">10) </t>
  </si>
  <si>
    <t>KW 4</t>
  </si>
  <si>
    <t>KW 5</t>
  </si>
  <si>
    <t>KW 6</t>
  </si>
  <si>
    <t>KW 7</t>
  </si>
  <si>
    <t>KW 8</t>
  </si>
  <si>
    <t>KW 9</t>
  </si>
  <si>
    <t>KW 10</t>
  </si>
  <si>
    <t>KW 11</t>
  </si>
  <si>
    <t>KW 12</t>
  </si>
  <si>
    <t>KW 13</t>
  </si>
  <si>
    <t>RW-Intern</t>
  </si>
  <si>
    <t>1) Grundlagen</t>
  </si>
  <si>
    <t>2) Kalkulation auf Vollkostenbasis</t>
  </si>
  <si>
    <t>3) Entscheidungsrechnung</t>
  </si>
  <si>
    <t>4) Kontrollrechnung</t>
  </si>
  <si>
    <t>Mathe</t>
  </si>
  <si>
    <t>Pause</t>
  </si>
  <si>
    <t>1) Mathematische Grundlagen</t>
  </si>
  <si>
    <t>2) Funktionen</t>
  </si>
  <si>
    <t>3) Finanzmathematik</t>
  </si>
  <si>
    <t>4) Matritzenrechnung</t>
  </si>
  <si>
    <t xml:space="preserve">5) </t>
  </si>
  <si>
    <t xml:space="preserve">11) </t>
  </si>
  <si>
    <t xml:space="preserve">12) </t>
  </si>
  <si>
    <t>Informatik</t>
  </si>
  <si>
    <t>1) Modul 1</t>
  </si>
  <si>
    <t>2) Modul 2</t>
  </si>
  <si>
    <t>3) Modul 3</t>
  </si>
  <si>
    <t>4) Modul 4</t>
  </si>
  <si>
    <t>Logistik</t>
  </si>
  <si>
    <t>2) Makrologistik</t>
  </si>
  <si>
    <t>3) Beschaffungslogistik</t>
  </si>
  <si>
    <t>4) Bestandsmanagement</t>
  </si>
  <si>
    <t>5) Produktionslogistik</t>
  </si>
  <si>
    <t>6) Distributionslgistik</t>
  </si>
  <si>
    <t>7) LagerKommissioniersysteme</t>
  </si>
  <si>
    <t>8) ErsatzteilEntsorgungslogistik</t>
  </si>
  <si>
    <t>Info</t>
  </si>
  <si>
    <t>Makro</t>
  </si>
  <si>
    <t>logistik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</si>
</sst>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1" fillId="2" borderId="0" xfId="0" applyFont="1" applyFill="1" applyAlignment="1">
      <alignment horizontal="center"/>
    </xf>
  </cellXfs>
  <cellStyles count="1">
    <cellStyle name="Standard" xfId="0" builtinId="0"/>
  </cellStyles>
  <dxfs count="65">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10" workbookViewId="0">
      <selection activeCell="B2" sqref="B2"/>
    </sheetView>
  </sheetViews>
  <sheetFormatPr baseColWidth="10" defaultColWidth="10.69921875" defaultRowHeight="15.6"/>
  <cols>
    <col min="2" max="2" width="161" customWidth="1"/>
    <col min="3" max="3" width="10.796875" style="2"/>
  </cols>
  <sheetData>
    <row r="4" spans="2:2" ht="21">
      <c r="B4" s="4" t="s">
        <v>17</v>
      </c>
    </row>
    <row r="6" spans="2:2">
      <c r="B6" s="3" t="s">
        <v>14</v>
      </c>
    </row>
    <row r="7" spans="2:2" ht="46.8">
      <c r="B7" s="1" t="s">
        <v>15</v>
      </c>
    </row>
    <row r="9" spans="2:2">
      <c r="B9" s="3" t="s">
        <v>16</v>
      </c>
    </row>
    <row r="10" spans="2:2" ht="62.4">
      <c r="B10" s="1" t="s">
        <v>38</v>
      </c>
    </row>
    <row r="12" spans="2:2">
      <c r="B12" s="3" t="s">
        <v>18</v>
      </c>
    </row>
    <row r="13" spans="2:2" ht="140.4">
      <c r="B13" s="1" t="s">
        <v>19</v>
      </c>
    </row>
    <row r="15" spans="2:2">
      <c r="B15" s="3" t="s">
        <v>20</v>
      </c>
    </row>
    <row r="16" spans="2:2" ht="109.2">
      <c r="B16" s="1" t="s">
        <v>21</v>
      </c>
    </row>
    <row r="17" spans="2:2">
      <c r="B17" s="1"/>
    </row>
    <row r="18" spans="2:2">
      <c r="B18" s="3" t="s">
        <v>37</v>
      </c>
    </row>
    <row r="19" spans="2:2" ht="140.4">
      <c r="B19" s="1" t="s">
        <v>39</v>
      </c>
    </row>
    <row r="21" spans="2:2">
      <c r="B21" s="3" t="s">
        <v>22</v>
      </c>
    </row>
    <row r="22" spans="2:2" ht="124.8">
      <c r="B22" s="1" t="s">
        <v>40</v>
      </c>
    </row>
    <row r="24" spans="2:2">
      <c r="B24" s="3" t="s">
        <v>23</v>
      </c>
    </row>
    <row r="25" spans="2:2" ht="124.8">
      <c r="B25"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CD64"/>
  <sheetViews>
    <sheetView showGridLines="0" zoomScale="125" zoomScaleNormal="83" workbookViewId="0">
      <selection activeCell="V57" sqref="V57"/>
    </sheetView>
  </sheetViews>
  <sheetFormatPr baseColWidth="10" defaultColWidth="8.796875" defaultRowHeight="15.6" outlineLevelRow="1"/>
  <cols>
    <col min="3" max="3" width="9.5" bestFit="1" customWidth="1"/>
    <col min="4" max="4" width="13" bestFit="1"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71" max="71" width="12.5" bestFit="1" customWidth="1"/>
    <col min="72" max="72" width="6.296875" customWidth="1"/>
    <col min="73" max="73" width="14.796875" bestFit="1" customWidth="1"/>
    <col min="74" max="74" width="6" customWidth="1"/>
    <col min="75" max="75" width="12.69921875" bestFit="1" customWidth="1"/>
    <col min="78" max="78" width="12.5" bestFit="1" customWidth="1"/>
    <col min="79" max="79" width="6.296875" customWidth="1"/>
    <col min="80" max="80" width="14.796875" bestFit="1" customWidth="1"/>
    <col min="81" max="81" width="6" customWidth="1"/>
    <col min="82" max="82" width="12.69921875" bestFit="1" customWidth="1"/>
  </cols>
  <sheetData>
    <row r="1" spans="2:82" ht="33.6">
      <c r="B1" s="5" t="s">
        <v>0</v>
      </c>
      <c r="D1" s="5"/>
      <c r="G1" s="15" t="s">
        <v>36</v>
      </c>
      <c r="I1" s="15" t="s">
        <v>36</v>
      </c>
      <c r="J1" s="15" t="s">
        <v>36</v>
      </c>
      <c r="K1" s="15" t="s">
        <v>36</v>
      </c>
    </row>
    <row r="2" spans="2:82">
      <c r="I2" s="19" t="s">
        <v>28</v>
      </c>
      <c r="J2" s="19"/>
      <c r="K2" s="19"/>
      <c r="L2" s="19"/>
      <c r="N2" s="19" t="s">
        <v>72</v>
      </c>
      <c r="O2" s="19"/>
      <c r="P2" s="19"/>
      <c r="Q2" s="19"/>
      <c r="R2" s="19"/>
      <c r="S2" s="19"/>
      <c r="U2" s="19" t="s">
        <v>73</v>
      </c>
      <c r="V2" s="19"/>
      <c r="W2" s="19"/>
      <c r="X2" s="19"/>
      <c r="Y2" s="19"/>
      <c r="Z2" s="19"/>
      <c r="AB2" s="19" t="s">
        <v>74</v>
      </c>
      <c r="AC2" s="19"/>
      <c r="AD2" s="19"/>
      <c r="AE2" s="19"/>
      <c r="AF2" s="19"/>
      <c r="AG2" s="19"/>
      <c r="AI2" s="19" t="s">
        <v>75</v>
      </c>
      <c r="AJ2" s="19"/>
      <c r="AK2" s="19"/>
      <c r="AL2" s="19"/>
      <c r="AM2" s="19"/>
      <c r="AN2" s="19"/>
      <c r="AP2" s="19" t="s">
        <v>76</v>
      </c>
      <c r="AQ2" s="19"/>
      <c r="AR2" s="19"/>
      <c r="AS2" s="19"/>
      <c r="AT2" s="19"/>
      <c r="AU2" s="19"/>
      <c r="AW2" s="19" t="s">
        <v>77</v>
      </c>
      <c r="AX2" s="19"/>
      <c r="AY2" s="19"/>
      <c r="AZ2" s="19"/>
      <c r="BA2" s="19"/>
      <c r="BB2" s="19"/>
      <c r="BD2" s="19" t="s">
        <v>78</v>
      </c>
      <c r="BE2" s="19"/>
      <c r="BF2" s="19"/>
      <c r="BG2" s="19"/>
      <c r="BH2" s="19"/>
      <c r="BI2" s="19"/>
      <c r="BK2" s="19" t="s">
        <v>79</v>
      </c>
      <c r="BL2" s="19"/>
      <c r="BM2" s="19"/>
      <c r="BN2" s="19"/>
      <c r="BO2" s="19"/>
      <c r="BP2" s="19"/>
      <c r="BR2" s="19" t="s">
        <v>80</v>
      </c>
      <c r="BS2" s="19"/>
      <c r="BT2" s="19"/>
      <c r="BU2" s="19"/>
      <c r="BV2" s="19"/>
      <c r="BW2" s="19"/>
      <c r="BY2" s="19" t="s">
        <v>81</v>
      </c>
      <c r="BZ2" s="19"/>
      <c r="CA2" s="19"/>
      <c r="CB2" s="19"/>
      <c r="CC2" s="19"/>
      <c r="CD2" s="19"/>
    </row>
    <row r="3" spans="2:82">
      <c r="B3" s="6" t="s">
        <v>27</v>
      </c>
      <c r="C3" s="6" t="s">
        <v>1</v>
      </c>
      <c r="D3" s="6" t="s">
        <v>25</v>
      </c>
      <c r="E3" s="7" t="s">
        <v>33</v>
      </c>
      <c r="F3" s="6" t="s">
        <v>30</v>
      </c>
      <c r="G3" s="6" t="s">
        <v>34</v>
      </c>
      <c r="I3" s="7" t="s">
        <v>12</v>
      </c>
      <c r="J3" s="7" t="s">
        <v>3</v>
      </c>
      <c r="K3" s="7" t="s">
        <v>4</v>
      </c>
      <c r="L3" s="7" t="s">
        <v>13</v>
      </c>
      <c r="N3" s="6" t="s">
        <v>12</v>
      </c>
      <c r="O3" s="6" t="s">
        <v>3</v>
      </c>
      <c r="P3" s="6" t="s">
        <v>35</v>
      </c>
      <c r="Q3" s="6" t="s">
        <v>4</v>
      </c>
      <c r="R3" s="6" t="s">
        <v>35</v>
      </c>
      <c r="S3" s="6" t="s">
        <v>13</v>
      </c>
      <c r="U3" s="6" t="s">
        <v>12</v>
      </c>
      <c r="V3" s="6" t="s">
        <v>3</v>
      </c>
      <c r="W3" s="6" t="s">
        <v>35</v>
      </c>
      <c r="X3" s="6" t="s">
        <v>4</v>
      </c>
      <c r="Y3" s="6" t="s">
        <v>35</v>
      </c>
      <c r="Z3" s="6" t="s">
        <v>13</v>
      </c>
      <c r="AB3" s="6" t="s">
        <v>12</v>
      </c>
      <c r="AC3" s="6" t="s">
        <v>3</v>
      </c>
      <c r="AD3" s="6" t="s">
        <v>35</v>
      </c>
      <c r="AE3" s="6" t="s">
        <v>4</v>
      </c>
      <c r="AF3" s="6" t="s">
        <v>35</v>
      </c>
      <c r="AG3" s="6" t="s">
        <v>13</v>
      </c>
      <c r="AI3" s="6" t="s">
        <v>12</v>
      </c>
      <c r="AJ3" s="6" t="s">
        <v>3</v>
      </c>
      <c r="AK3" s="6" t="s">
        <v>35</v>
      </c>
      <c r="AL3" s="6" t="s">
        <v>4</v>
      </c>
      <c r="AM3" s="6" t="s">
        <v>35</v>
      </c>
      <c r="AN3" s="6" t="s">
        <v>13</v>
      </c>
      <c r="AP3" s="6" t="s">
        <v>12</v>
      </c>
      <c r="AQ3" s="6" t="s">
        <v>3</v>
      </c>
      <c r="AR3" s="6" t="s">
        <v>35</v>
      </c>
      <c r="AS3" s="6" t="s">
        <v>4</v>
      </c>
      <c r="AT3" s="6" t="s">
        <v>35</v>
      </c>
      <c r="AU3" s="6" t="s">
        <v>13</v>
      </c>
      <c r="AW3" s="6" t="s">
        <v>12</v>
      </c>
      <c r="AX3" s="6" t="s">
        <v>3</v>
      </c>
      <c r="AY3" s="6" t="s">
        <v>35</v>
      </c>
      <c r="AZ3" s="6" t="s">
        <v>4</v>
      </c>
      <c r="BA3" s="6" t="s">
        <v>35</v>
      </c>
      <c r="BB3" s="6" t="s">
        <v>13</v>
      </c>
      <c r="BD3" s="6" t="s">
        <v>12</v>
      </c>
      <c r="BE3" s="6" t="s">
        <v>3</v>
      </c>
      <c r="BF3" s="6" t="s">
        <v>35</v>
      </c>
      <c r="BG3" s="6" t="s">
        <v>4</v>
      </c>
      <c r="BH3" s="6" t="s">
        <v>35</v>
      </c>
      <c r="BI3" s="6" t="s">
        <v>13</v>
      </c>
      <c r="BK3" s="6" t="s">
        <v>12</v>
      </c>
      <c r="BL3" s="6" t="s">
        <v>3</v>
      </c>
      <c r="BM3" s="6" t="s">
        <v>35</v>
      </c>
      <c r="BN3" s="6" t="s">
        <v>4</v>
      </c>
      <c r="BO3" s="6" t="s">
        <v>35</v>
      </c>
      <c r="BP3" s="6" t="s">
        <v>13</v>
      </c>
      <c r="BR3" s="6" t="s">
        <v>12</v>
      </c>
      <c r="BS3" s="6" t="s">
        <v>3</v>
      </c>
      <c r="BT3" s="6" t="s">
        <v>35</v>
      </c>
      <c r="BU3" s="6" t="s">
        <v>4</v>
      </c>
      <c r="BV3" s="6" t="s">
        <v>35</v>
      </c>
      <c r="BW3" s="6" t="s">
        <v>13</v>
      </c>
      <c r="BY3" s="6" t="s">
        <v>12</v>
      </c>
      <c r="BZ3" s="6" t="s">
        <v>3</v>
      </c>
      <c r="CA3" s="6" t="s">
        <v>35</v>
      </c>
      <c r="CB3" s="6" t="s">
        <v>4</v>
      </c>
      <c r="CC3" s="6" t="s">
        <v>35</v>
      </c>
      <c r="CD3" s="6" t="s">
        <v>13</v>
      </c>
    </row>
    <row r="5" spans="2:82">
      <c r="B5" t="s">
        <v>28</v>
      </c>
      <c r="C5" t="s">
        <v>2</v>
      </c>
      <c r="E5" s="11">
        <v>5</v>
      </c>
      <c r="G5" s="12">
        <v>1</v>
      </c>
      <c r="I5" s="14">
        <f>+SUM(I6:I15)</f>
        <v>0</v>
      </c>
      <c r="J5" s="13">
        <f>+SUMPRODUCT(G6:G15,J6:J15)</f>
        <v>0.05</v>
      </c>
      <c r="K5" s="13">
        <f>+SUMPRODUCT(G6:G15,K6:K15)</f>
        <v>0.05</v>
      </c>
      <c r="L5" s="11"/>
      <c r="N5" s="14">
        <f>+SUM(N6:N15)</f>
        <v>0</v>
      </c>
      <c r="U5" s="14">
        <f>+SUM(U6:U15)</f>
        <v>0</v>
      </c>
      <c r="AB5" s="14">
        <f>+SUM(AB6:AB15)</f>
        <v>0</v>
      </c>
      <c r="AI5" s="14">
        <f>+SUM(AI6:AI15)</f>
        <v>0</v>
      </c>
      <c r="AP5" s="14">
        <f>+SUM(AP6:AP15)</f>
        <v>0</v>
      </c>
      <c r="AW5" s="14">
        <f>+SUM(AW6:AW15)</f>
        <v>0</v>
      </c>
      <c r="BD5" s="14">
        <f>+SUM(BD6:BD15)</f>
        <v>0</v>
      </c>
      <c r="BK5" s="14">
        <f>+SUM(BK6:BK15)</f>
        <v>0</v>
      </c>
      <c r="BR5" s="14">
        <f>+SUM(BR6:BR15)</f>
        <v>0</v>
      </c>
      <c r="BY5" s="14">
        <f>+SUM(BY6:BY15)</f>
        <v>0</v>
      </c>
    </row>
    <row r="6" spans="2:82" hidden="1" outlineLevel="1">
      <c r="B6" t="s">
        <v>29</v>
      </c>
      <c r="C6" t="s">
        <v>2</v>
      </c>
      <c r="E6" s="11"/>
      <c r="F6" t="s">
        <v>52</v>
      </c>
      <c r="G6" s="12">
        <v>0.1</v>
      </c>
      <c r="I6" s="11">
        <f>+SUMIF($N$3:$ZZ$3,I$3,$N6:$ZZ6)</f>
        <v>0</v>
      </c>
      <c r="J6" s="13">
        <f t="shared" ref="J6:K15" si="0">+_xlfn.MAXIFS($N6:$ZF6,$N$3:$ZF$3,J$3)</f>
        <v>0.5</v>
      </c>
      <c r="K6" s="13">
        <f t="shared" si="0"/>
        <v>0.5</v>
      </c>
      <c r="L6" s="11"/>
      <c r="O6" s="12">
        <v>0.5</v>
      </c>
      <c r="P6" s="12">
        <v>1</v>
      </c>
      <c r="Q6" s="12">
        <v>0.5</v>
      </c>
      <c r="R6" s="12">
        <v>1</v>
      </c>
      <c r="V6" s="12"/>
      <c r="W6" s="12">
        <v>1</v>
      </c>
      <c r="X6" s="12"/>
      <c r="Y6" s="12">
        <v>1</v>
      </c>
      <c r="AC6" s="12"/>
      <c r="AD6" s="12">
        <v>1</v>
      </c>
      <c r="AE6" s="12"/>
      <c r="AF6" s="12">
        <v>1</v>
      </c>
      <c r="AJ6" s="12"/>
      <c r="AK6" s="12">
        <v>1</v>
      </c>
      <c r="AL6" s="12"/>
      <c r="AM6" s="12">
        <v>1</v>
      </c>
      <c r="AQ6" s="12"/>
      <c r="AR6" s="12">
        <v>1</v>
      </c>
      <c r="AS6" s="12"/>
      <c r="AT6" s="12">
        <v>1</v>
      </c>
      <c r="AX6" s="12"/>
      <c r="AY6" s="12">
        <v>1</v>
      </c>
      <c r="AZ6" s="12"/>
      <c r="BA6" s="12">
        <v>1</v>
      </c>
      <c r="BE6" s="12"/>
      <c r="BF6" s="12">
        <v>1</v>
      </c>
      <c r="BG6" s="12"/>
      <c r="BH6" s="12">
        <v>1</v>
      </c>
      <c r="BL6" s="12"/>
      <c r="BM6" s="12">
        <v>1</v>
      </c>
      <c r="BN6" s="12"/>
      <c r="BO6" s="12">
        <v>1</v>
      </c>
      <c r="BS6" s="12"/>
      <c r="BT6" s="12">
        <v>1</v>
      </c>
      <c r="BU6" s="12"/>
      <c r="BV6" s="12">
        <v>1</v>
      </c>
      <c r="BZ6" s="12"/>
      <c r="CA6" s="12">
        <v>1</v>
      </c>
      <c r="CB6" s="12"/>
      <c r="CC6" s="12">
        <v>1</v>
      </c>
    </row>
    <row r="7" spans="2:82" hidden="1" outlineLevel="1">
      <c r="B7" t="s">
        <v>29</v>
      </c>
      <c r="C7" t="s">
        <v>2</v>
      </c>
      <c r="E7" s="11"/>
      <c r="F7" t="s">
        <v>53</v>
      </c>
      <c r="G7" s="12">
        <v>0.1</v>
      </c>
      <c r="I7" s="11">
        <f t="shared" ref="I7:I15" si="1">+SUMIF($N$3:$ZZ$3,I$3,$N7:$ZZ7)</f>
        <v>0</v>
      </c>
      <c r="J7" s="13">
        <f t="shared" si="0"/>
        <v>0</v>
      </c>
      <c r="K7" s="13">
        <f t="shared" si="0"/>
        <v>0</v>
      </c>
      <c r="L7" s="11"/>
      <c r="O7" s="12"/>
      <c r="P7" s="12"/>
      <c r="Q7" s="12"/>
      <c r="R7" s="12"/>
      <c r="V7" s="12"/>
      <c r="W7" s="12">
        <v>1</v>
      </c>
      <c r="X7" s="12"/>
      <c r="Y7" s="12">
        <v>1</v>
      </c>
      <c r="AC7" s="12"/>
      <c r="AD7" s="12">
        <v>1</v>
      </c>
      <c r="AE7" s="12"/>
      <c r="AF7" s="12">
        <v>1</v>
      </c>
      <c r="AJ7" s="12"/>
      <c r="AK7" s="12">
        <v>1</v>
      </c>
      <c r="AL7" s="12"/>
      <c r="AM7" s="12">
        <v>1</v>
      </c>
      <c r="AQ7" s="12"/>
      <c r="AR7" s="12">
        <v>1</v>
      </c>
      <c r="AS7" s="12"/>
      <c r="AT7" s="12">
        <v>1</v>
      </c>
      <c r="AX7" s="12"/>
      <c r="AY7" s="12">
        <v>1</v>
      </c>
      <c r="AZ7" s="12"/>
      <c r="BA7" s="12">
        <v>1</v>
      </c>
      <c r="BE7" s="12"/>
      <c r="BF7" s="12">
        <v>1</v>
      </c>
      <c r="BG7" s="12"/>
      <c r="BH7" s="12">
        <v>1</v>
      </c>
      <c r="BL7" s="12"/>
      <c r="BM7" s="12">
        <v>1</v>
      </c>
      <c r="BN7" s="12"/>
      <c r="BO7" s="12">
        <v>1</v>
      </c>
      <c r="BS7" s="12"/>
      <c r="BT7" s="12">
        <v>1</v>
      </c>
      <c r="BU7" s="12"/>
      <c r="BV7" s="12">
        <v>1</v>
      </c>
      <c r="BZ7" s="12"/>
      <c r="CA7" s="12">
        <v>1</v>
      </c>
      <c r="CB7" s="12"/>
      <c r="CC7" s="12">
        <v>1</v>
      </c>
    </row>
    <row r="8" spans="2:82" hidden="1" outlineLevel="1">
      <c r="B8" t="s">
        <v>29</v>
      </c>
      <c r="C8" t="s">
        <v>2</v>
      </c>
      <c r="E8" s="11"/>
      <c r="F8" t="s">
        <v>54</v>
      </c>
      <c r="G8" s="12">
        <v>0.1</v>
      </c>
      <c r="I8" s="11">
        <f t="shared" si="1"/>
        <v>0</v>
      </c>
      <c r="J8" s="13">
        <f t="shared" si="0"/>
        <v>0</v>
      </c>
      <c r="K8" s="13">
        <f t="shared" si="0"/>
        <v>0</v>
      </c>
      <c r="L8" s="11"/>
      <c r="O8" s="12"/>
      <c r="P8" s="12"/>
      <c r="Q8" s="12"/>
      <c r="R8" s="12"/>
      <c r="V8" s="12"/>
      <c r="W8" s="12"/>
      <c r="X8" s="12"/>
      <c r="Y8" s="12"/>
      <c r="AC8" s="12"/>
      <c r="AD8" s="12">
        <v>1</v>
      </c>
      <c r="AE8" s="12"/>
      <c r="AF8" s="12">
        <v>1</v>
      </c>
      <c r="AJ8" s="12"/>
      <c r="AK8" s="12">
        <v>1</v>
      </c>
      <c r="AL8" s="12"/>
      <c r="AM8" s="12">
        <v>1</v>
      </c>
      <c r="AQ8" s="12"/>
      <c r="AR8" s="12">
        <v>1</v>
      </c>
      <c r="AS8" s="12"/>
      <c r="AT8" s="12">
        <v>1</v>
      </c>
      <c r="AX8" s="12"/>
      <c r="AY8" s="12">
        <v>1</v>
      </c>
      <c r="AZ8" s="12"/>
      <c r="BA8" s="12">
        <v>1</v>
      </c>
      <c r="BE8" s="12"/>
      <c r="BF8" s="12">
        <v>1</v>
      </c>
      <c r="BG8" s="12"/>
      <c r="BH8" s="12">
        <v>1</v>
      </c>
      <c r="BL8" s="12"/>
      <c r="BM8" s="12">
        <v>1</v>
      </c>
      <c r="BN8" s="12"/>
      <c r="BO8" s="12">
        <v>1</v>
      </c>
      <c r="BS8" s="12"/>
      <c r="BT8" s="12">
        <v>1</v>
      </c>
      <c r="BU8" s="12"/>
      <c r="BV8" s="12">
        <v>1</v>
      </c>
      <c r="BZ8" s="12"/>
      <c r="CA8" s="12">
        <v>1</v>
      </c>
      <c r="CB8" s="12"/>
      <c r="CC8" s="12">
        <v>1</v>
      </c>
    </row>
    <row r="9" spans="2:82" hidden="1" outlineLevel="1">
      <c r="B9" t="s">
        <v>29</v>
      </c>
      <c r="C9" t="s">
        <v>2</v>
      </c>
      <c r="E9" s="11"/>
      <c r="F9" t="s">
        <v>55</v>
      </c>
      <c r="G9" s="12">
        <v>0.1</v>
      </c>
      <c r="I9" s="11">
        <f t="shared" si="1"/>
        <v>0</v>
      </c>
      <c r="J9" s="13">
        <f t="shared" si="0"/>
        <v>0</v>
      </c>
      <c r="K9" s="13">
        <f t="shared" si="0"/>
        <v>0</v>
      </c>
      <c r="L9" s="11"/>
      <c r="O9" s="12"/>
      <c r="P9" s="12"/>
      <c r="Q9" s="12"/>
      <c r="R9" s="12"/>
      <c r="V9" s="12"/>
      <c r="W9" s="12"/>
      <c r="X9" s="12"/>
      <c r="Y9" s="12"/>
      <c r="AC9" s="12"/>
      <c r="AD9" s="12"/>
      <c r="AE9" s="12"/>
      <c r="AF9" s="12"/>
      <c r="AJ9" s="12"/>
      <c r="AK9" s="12">
        <v>1</v>
      </c>
      <c r="AL9" s="12"/>
      <c r="AM9" s="12">
        <v>1</v>
      </c>
      <c r="AQ9" s="12"/>
      <c r="AR9" s="12">
        <v>1</v>
      </c>
      <c r="AS9" s="12"/>
      <c r="AT9" s="12">
        <v>1</v>
      </c>
      <c r="AX9" s="12"/>
      <c r="AY9" s="12">
        <v>1</v>
      </c>
      <c r="AZ9" s="12"/>
      <c r="BA9" s="12">
        <v>1</v>
      </c>
      <c r="BE9" s="12"/>
      <c r="BF9" s="12">
        <v>1</v>
      </c>
      <c r="BG9" s="12"/>
      <c r="BH9" s="12">
        <v>1</v>
      </c>
      <c r="BL9" s="12"/>
      <c r="BM9" s="12">
        <v>1</v>
      </c>
      <c r="BN9" s="12"/>
      <c r="BO9" s="12">
        <v>1</v>
      </c>
      <c r="BS9" s="12"/>
      <c r="BT9" s="12">
        <v>1</v>
      </c>
      <c r="BU9" s="12"/>
      <c r="BV9" s="12">
        <v>1</v>
      </c>
      <c r="BZ9" s="12"/>
      <c r="CA9" s="12">
        <v>1</v>
      </c>
      <c r="CB9" s="12"/>
      <c r="CC9" s="12">
        <v>1</v>
      </c>
    </row>
    <row r="10" spans="2:82" hidden="1" outlineLevel="1">
      <c r="B10" t="s">
        <v>29</v>
      </c>
      <c r="C10" t="s">
        <v>2</v>
      </c>
      <c r="E10" s="11"/>
      <c r="F10" t="s">
        <v>56</v>
      </c>
      <c r="G10" s="12">
        <v>0.1</v>
      </c>
      <c r="I10" s="11">
        <f t="shared" si="1"/>
        <v>0</v>
      </c>
      <c r="J10" s="13">
        <f t="shared" si="0"/>
        <v>0</v>
      </c>
      <c r="K10" s="13">
        <f t="shared" si="0"/>
        <v>0</v>
      </c>
      <c r="L10" s="11"/>
      <c r="O10" s="12"/>
      <c r="P10" s="12"/>
      <c r="Q10" s="12"/>
      <c r="R10" s="12"/>
      <c r="V10" s="12"/>
      <c r="W10" s="12"/>
      <c r="X10" s="12"/>
      <c r="Y10" s="12"/>
      <c r="AC10" s="12"/>
      <c r="AD10" s="12"/>
      <c r="AE10" s="12"/>
      <c r="AF10" s="12"/>
      <c r="AJ10" s="12"/>
      <c r="AK10" s="12"/>
      <c r="AL10" s="12"/>
      <c r="AM10" s="12"/>
      <c r="AQ10" s="12"/>
      <c r="AR10" s="12">
        <v>1</v>
      </c>
      <c r="AS10" s="12"/>
      <c r="AT10" s="12">
        <v>1</v>
      </c>
      <c r="AX10" s="12"/>
      <c r="AY10" s="12">
        <v>1</v>
      </c>
      <c r="AZ10" s="12"/>
      <c r="BA10" s="12">
        <v>1</v>
      </c>
      <c r="BE10" s="12"/>
      <c r="BF10" s="12">
        <v>1</v>
      </c>
      <c r="BG10" s="12"/>
      <c r="BH10" s="12">
        <v>1</v>
      </c>
      <c r="BL10" s="12"/>
      <c r="BM10" s="12">
        <v>1</v>
      </c>
      <c r="BN10" s="12"/>
      <c r="BO10" s="12">
        <v>1</v>
      </c>
      <c r="BS10" s="12"/>
      <c r="BT10" s="12">
        <v>1</v>
      </c>
      <c r="BU10" s="12"/>
      <c r="BV10" s="12">
        <v>1</v>
      </c>
      <c r="BZ10" s="12"/>
      <c r="CA10" s="12">
        <v>1</v>
      </c>
      <c r="CB10" s="12"/>
      <c r="CC10" s="12">
        <v>1</v>
      </c>
    </row>
    <row r="11" spans="2:82" hidden="1" outlineLevel="1">
      <c r="B11" t="s">
        <v>29</v>
      </c>
      <c r="C11" t="s">
        <v>2</v>
      </c>
      <c r="E11" s="11"/>
      <c r="F11" t="s">
        <v>57</v>
      </c>
      <c r="G11" s="12">
        <v>0.1</v>
      </c>
      <c r="I11" s="11">
        <f t="shared" si="1"/>
        <v>0</v>
      </c>
      <c r="J11" s="13">
        <f t="shared" si="0"/>
        <v>0</v>
      </c>
      <c r="K11" s="13">
        <f t="shared" si="0"/>
        <v>0</v>
      </c>
      <c r="L11" s="11"/>
      <c r="O11" s="12"/>
      <c r="P11" s="12"/>
      <c r="Q11" s="12"/>
      <c r="R11" s="12"/>
      <c r="V11" s="12"/>
      <c r="W11" s="12"/>
      <c r="X11" s="12"/>
      <c r="Y11" s="12"/>
      <c r="AC11" s="12"/>
      <c r="AD11" s="12"/>
      <c r="AE11" s="12"/>
      <c r="AF11" s="12"/>
      <c r="AJ11" s="12"/>
      <c r="AK11" s="12"/>
      <c r="AL11" s="12"/>
      <c r="AM11" s="12"/>
      <c r="AQ11" s="12"/>
      <c r="AR11" s="12"/>
      <c r="AS11" s="12"/>
      <c r="AT11" s="12"/>
      <c r="AX11" s="12"/>
      <c r="AY11" s="12">
        <v>1</v>
      </c>
      <c r="AZ11" s="12"/>
      <c r="BA11" s="12">
        <v>1</v>
      </c>
      <c r="BE11" s="12"/>
      <c r="BF11" s="12">
        <v>1</v>
      </c>
      <c r="BG11" s="12"/>
      <c r="BH11" s="12">
        <v>1</v>
      </c>
      <c r="BL11" s="12"/>
      <c r="BM11" s="12">
        <v>1</v>
      </c>
      <c r="BN11" s="12"/>
      <c r="BO11" s="12">
        <v>1</v>
      </c>
      <c r="BS11" s="12"/>
      <c r="BT11" s="12">
        <v>1</v>
      </c>
      <c r="BU11" s="12"/>
      <c r="BV11" s="12">
        <v>1</v>
      </c>
      <c r="BZ11" s="12"/>
      <c r="CA11" s="12">
        <v>1</v>
      </c>
      <c r="CB11" s="12"/>
      <c r="CC11" s="12">
        <v>1</v>
      </c>
    </row>
    <row r="12" spans="2:82" hidden="1" outlineLevel="1">
      <c r="B12" t="s">
        <v>29</v>
      </c>
      <c r="C12" t="s">
        <v>2</v>
      </c>
      <c r="E12" s="11"/>
      <c r="F12" t="s">
        <v>58</v>
      </c>
      <c r="G12" s="12">
        <v>0.1</v>
      </c>
      <c r="I12" s="11">
        <f t="shared" si="1"/>
        <v>0</v>
      </c>
      <c r="J12" s="13">
        <f t="shared" si="0"/>
        <v>0</v>
      </c>
      <c r="K12" s="13">
        <f t="shared" si="0"/>
        <v>0</v>
      </c>
      <c r="L12" s="11"/>
      <c r="O12" s="12"/>
      <c r="P12" s="12"/>
      <c r="Q12" s="12"/>
      <c r="R12" s="12"/>
      <c r="V12" s="12"/>
      <c r="W12" s="12"/>
      <c r="X12" s="12"/>
      <c r="Y12" s="12"/>
      <c r="AC12" s="12"/>
      <c r="AD12" s="12"/>
      <c r="AE12" s="12"/>
      <c r="AF12" s="12"/>
      <c r="AJ12" s="12"/>
      <c r="AK12" s="12"/>
      <c r="AL12" s="12"/>
      <c r="AM12" s="12"/>
      <c r="AQ12" s="12"/>
      <c r="AR12" s="12"/>
      <c r="AS12" s="12"/>
      <c r="AT12" s="12"/>
      <c r="AX12" s="12"/>
      <c r="AY12" s="12"/>
      <c r="AZ12" s="12"/>
      <c r="BA12" s="12"/>
      <c r="BE12" s="12"/>
      <c r="BF12" s="12">
        <v>1</v>
      </c>
      <c r="BG12" s="12"/>
      <c r="BH12" s="12">
        <v>1</v>
      </c>
      <c r="BL12" s="12"/>
      <c r="BM12" s="12">
        <v>1</v>
      </c>
      <c r="BN12" s="12"/>
      <c r="BO12" s="12">
        <v>1</v>
      </c>
      <c r="BS12" s="12"/>
      <c r="BT12" s="12">
        <v>1</v>
      </c>
      <c r="BU12" s="12"/>
      <c r="BV12" s="12">
        <v>1</v>
      </c>
      <c r="BZ12" s="12"/>
      <c r="CA12" s="12">
        <v>1</v>
      </c>
      <c r="CB12" s="12"/>
      <c r="CC12" s="12">
        <v>1</v>
      </c>
    </row>
    <row r="13" spans="2:82" hidden="1" outlineLevel="1">
      <c r="B13" t="s">
        <v>29</v>
      </c>
      <c r="C13" t="s">
        <v>2</v>
      </c>
      <c r="E13" s="11"/>
      <c r="F13" t="s">
        <v>59</v>
      </c>
      <c r="G13" s="12">
        <v>0.1</v>
      </c>
      <c r="I13" s="11">
        <f t="shared" si="1"/>
        <v>0</v>
      </c>
      <c r="J13" s="13">
        <f t="shared" si="0"/>
        <v>0</v>
      </c>
      <c r="K13" s="13">
        <f t="shared" si="0"/>
        <v>0</v>
      </c>
      <c r="L13" s="11"/>
      <c r="O13" s="12"/>
      <c r="P13" s="12"/>
      <c r="Q13" s="12"/>
      <c r="R13" s="12"/>
      <c r="V13" s="12"/>
      <c r="W13" s="12"/>
      <c r="X13" s="12"/>
      <c r="Y13" s="12"/>
      <c r="AC13" s="12"/>
      <c r="AD13" s="12"/>
      <c r="AE13" s="12"/>
      <c r="AF13" s="12"/>
      <c r="AJ13" s="12"/>
      <c r="AK13" s="12"/>
      <c r="AL13" s="12"/>
      <c r="AM13" s="12"/>
      <c r="AQ13" s="12"/>
      <c r="AR13" s="12"/>
      <c r="AS13" s="12"/>
      <c r="AT13" s="12"/>
      <c r="AX13" s="12"/>
      <c r="AY13" s="12"/>
      <c r="AZ13" s="12"/>
      <c r="BA13" s="12"/>
      <c r="BE13" s="12"/>
      <c r="BF13" s="12"/>
      <c r="BG13" s="12"/>
      <c r="BH13" s="12"/>
      <c r="BL13" s="12"/>
      <c r="BM13" s="12"/>
      <c r="BN13" s="12"/>
      <c r="BO13" s="12"/>
      <c r="BS13" s="12"/>
      <c r="BT13" s="12">
        <v>1</v>
      </c>
      <c r="BU13" s="12"/>
      <c r="BV13" s="12">
        <v>1</v>
      </c>
      <c r="BZ13" s="12"/>
      <c r="CA13" s="12">
        <v>1</v>
      </c>
      <c r="CB13" s="12"/>
      <c r="CC13" s="12">
        <v>1</v>
      </c>
    </row>
    <row r="14" spans="2:82" hidden="1" outlineLevel="1">
      <c r="B14" t="s">
        <v>29</v>
      </c>
      <c r="C14" t="s">
        <v>2</v>
      </c>
      <c r="E14" s="11"/>
      <c r="F14" t="s">
        <v>60</v>
      </c>
      <c r="G14" s="12">
        <v>0.1</v>
      </c>
      <c r="I14" s="11">
        <f t="shared" si="1"/>
        <v>0</v>
      </c>
      <c r="J14" s="13">
        <f t="shared" si="0"/>
        <v>0</v>
      </c>
      <c r="K14" s="13">
        <f t="shared" si="0"/>
        <v>0</v>
      </c>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c r="BG14" s="12"/>
      <c r="BH14" s="12"/>
      <c r="BL14" s="12"/>
      <c r="BM14" s="12"/>
      <c r="BN14" s="12"/>
      <c r="BO14" s="12"/>
      <c r="BS14" s="12"/>
      <c r="BT14" s="12"/>
      <c r="BU14" s="12"/>
      <c r="BV14" s="12"/>
      <c r="BZ14" s="12"/>
      <c r="CA14" s="12">
        <v>1</v>
      </c>
      <c r="CB14" s="12"/>
      <c r="CC14" s="12">
        <v>1</v>
      </c>
    </row>
    <row r="15" spans="2:82" hidden="1" outlineLevel="1">
      <c r="B15" t="s">
        <v>29</v>
      </c>
      <c r="C15" t="s">
        <v>2</v>
      </c>
      <c r="E15" s="11"/>
      <c r="F15" t="s">
        <v>61</v>
      </c>
      <c r="G15" s="12">
        <v>0.1</v>
      </c>
      <c r="I15" s="11">
        <f t="shared" si="1"/>
        <v>0</v>
      </c>
      <c r="J15" s="13">
        <f t="shared" si="0"/>
        <v>0</v>
      </c>
      <c r="K15" s="13">
        <f t="shared" si="0"/>
        <v>0</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c r="BG15" s="12"/>
      <c r="BH15" s="12"/>
      <c r="BL15" s="12"/>
      <c r="BM15" s="12"/>
      <c r="BN15" s="12"/>
      <c r="BO15" s="12"/>
      <c r="BS15" s="12"/>
      <c r="BT15" s="12"/>
      <c r="BU15" s="12"/>
      <c r="BV15" s="12"/>
      <c r="BZ15" s="12"/>
      <c r="CA15" s="12"/>
      <c r="CB15" s="12"/>
      <c r="CC15" s="12"/>
    </row>
    <row r="16" spans="2:82" collapsed="1">
      <c r="O16" s="9"/>
      <c r="V16" s="9"/>
      <c r="AC16" s="9"/>
      <c r="AJ16" s="9"/>
      <c r="AQ16" s="9"/>
      <c r="AX16" s="9"/>
      <c r="BE16" s="9"/>
      <c r="BL16" s="9"/>
      <c r="BS16" s="9"/>
      <c r="BZ16" s="9"/>
    </row>
    <row r="17" spans="2:81">
      <c r="B17" t="s">
        <v>28</v>
      </c>
      <c r="C17" t="s">
        <v>62</v>
      </c>
      <c r="E17" s="11">
        <v>5</v>
      </c>
      <c r="G17" s="12">
        <v>1</v>
      </c>
      <c r="I17" s="14">
        <f>+SUM(I18:I27)</f>
        <v>0</v>
      </c>
      <c r="J17" s="13">
        <f>+SUMPRODUCT(G18:G27,J18:J27)</f>
        <v>0.13</v>
      </c>
      <c r="K17" s="13">
        <f>+SUMPRODUCT(G18:G27,K18:K27)</f>
        <v>8.0000000000000016E-2</v>
      </c>
      <c r="L17" s="11"/>
      <c r="N17" s="14">
        <f>+SUM(N18:N27)</f>
        <v>0</v>
      </c>
      <c r="U17" s="14">
        <f>+SUM(U18:U27)</f>
        <v>0</v>
      </c>
      <c r="AB17" s="14">
        <f>+SUM(AB18:AB27)</f>
        <v>0</v>
      </c>
      <c r="AI17" s="14">
        <f>+SUM(AI18:AI27)</f>
        <v>0</v>
      </c>
      <c r="AP17" s="14">
        <f>+SUM(AP18:AP27)</f>
        <v>0</v>
      </c>
      <c r="AW17" s="14">
        <f>+SUM(AW18:AW27)</f>
        <v>0</v>
      </c>
      <c r="BD17" s="14">
        <f>+SUM(BD18:BD27)</f>
        <v>0</v>
      </c>
      <c r="BK17" s="14">
        <f>+SUM(BK18:BK27)</f>
        <v>0</v>
      </c>
      <c r="BR17" s="14">
        <f>+SUM(BR18:BR27)</f>
        <v>0</v>
      </c>
      <c r="BY17" s="14">
        <f>+SUM(BY18:BY27)</f>
        <v>0</v>
      </c>
    </row>
    <row r="18" spans="2:81" hidden="1" outlineLevel="1">
      <c r="B18" t="s">
        <v>29</v>
      </c>
      <c r="C18" t="s">
        <v>62</v>
      </c>
      <c r="E18" s="11"/>
      <c r="F18" t="s">
        <v>63</v>
      </c>
      <c r="G18" s="12">
        <v>0.1</v>
      </c>
      <c r="I18" s="11">
        <f>+SUMIF($N$3:$ZZ$3,I$3,$N18:$ZZ18)</f>
        <v>0</v>
      </c>
      <c r="J18" s="13">
        <f t="shared" ref="J18:K27" si="2">+_xlfn.MAXIFS($N18:$ZF18,$N$3:$ZF$3,J$3)</f>
        <v>0.8</v>
      </c>
      <c r="K18" s="13">
        <f t="shared" si="2"/>
        <v>0.8</v>
      </c>
      <c r="L18" s="11"/>
      <c r="O18" s="12">
        <v>0.8</v>
      </c>
      <c r="P18" s="12">
        <v>1</v>
      </c>
      <c r="Q18" s="12">
        <v>0.8</v>
      </c>
      <c r="R18" s="12">
        <v>1</v>
      </c>
      <c r="V18" s="12">
        <v>0.8</v>
      </c>
      <c r="W18" s="12">
        <v>1</v>
      </c>
      <c r="X18" s="12"/>
      <c r="Y18" s="12">
        <v>1</v>
      </c>
      <c r="AC18" s="12"/>
      <c r="AD18" s="12">
        <v>1</v>
      </c>
      <c r="AE18" s="12"/>
      <c r="AF18" s="12">
        <v>1</v>
      </c>
      <c r="AJ18" s="12"/>
      <c r="AK18" s="12">
        <v>1</v>
      </c>
      <c r="AL18" s="12"/>
      <c r="AM18" s="12">
        <v>1</v>
      </c>
      <c r="AQ18" s="12"/>
      <c r="AR18" s="12">
        <v>1</v>
      </c>
      <c r="AS18" s="12"/>
      <c r="AT18" s="12">
        <v>1</v>
      </c>
      <c r="AX18" s="12"/>
      <c r="AY18" s="12">
        <v>1</v>
      </c>
      <c r="AZ18" s="12"/>
      <c r="BA18" s="12">
        <v>1</v>
      </c>
      <c r="BE18" s="12"/>
      <c r="BF18" s="12">
        <v>1</v>
      </c>
      <c r="BG18" s="12"/>
      <c r="BH18" s="12">
        <v>1</v>
      </c>
      <c r="BL18" s="12"/>
      <c r="BM18" s="12">
        <v>1</v>
      </c>
      <c r="BN18" s="12"/>
      <c r="BO18" s="12">
        <v>1</v>
      </c>
      <c r="BS18" s="12"/>
      <c r="BT18" s="12">
        <v>1</v>
      </c>
      <c r="BU18" s="12"/>
      <c r="BV18" s="12">
        <v>1</v>
      </c>
      <c r="BZ18" s="12"/>
      <c r="CA18" s="12">
        <v>1</v>
      </c>
      <c r="CB18" s="12"/>
      <c r="CC18" s="12">
        <v>1</v>
      </c>
    </row>
    <row r="19" spans="2:81" hidden="1" outlineLevel="1">
      <c r="B19" t="s">
        <v>29</v>
      </c>
      <c r="C19" t="s">
        <v>62</v>
      </c>
      <c r="E19" s="11"/>
      <c r="F19" t="s">
        <v>64</v>
      </c>
      <c r="G19" s="12">
        <v>0.1</v>
      </c>
      <c r="I19" s="11">
        <f t="shared" ref="I19:I27" si="3">+SUMIF($N$3:$ZZ$3,I$3,$N19:$ZZ19)</f>
        <v>0</v>
      </c>
      <c r="J19" s="13">
        <f t="shared" si="2"/>
        <v>0.5</v>
      </c>
      <c r="K19" s="13">
        <f t="shared" si="2"/>
        <v>0</v>
      </c>
      <c r="L19" s="11"/>
      <c r="O19" s="12"/>
      <c r="P19" s="12"/>
      <c r="Q19" s="12"/>
      <c r="R19" s="12"/>
      <c r="V19" s="12">
        <v>0.5</v>
      </c>
      <c r="W19" s="12">
        <v>1</v>
      </c>
      <c r="X19" s="12"/>
      <c r="Y19" s="12">
        <v>1</v>
      </c>
      <c r="AC19" s="12"/>
      <c r="AD19" s="12">
        <v>1</v>
      </c>
      <c r="AE19" s="12"/>
      <c r="AF19" s="12">
        <v>1</v>
      </c>
      <c r="AJ19" s="12"/>
      <c r="AK19" s="12">
        <v>1</v>
      </c>
      <c r="AL19" s="12"/>
      <c r="AM19" s="12">
        <v>1</v>
      </c>
      <c r="AQ19" s="12"/>
      <c r="AR19" s="12">
        <v>1</v>
      </c>
      <c r="AS19" s="12"/>
      <c r="AT19" s="12">
        <v>1</v>
      </c>
      <c r="AX19" s="12"/>
      <c r="AY19" s="12">
        <v>1</v>
      </c>
      <c r="AZ19" s="12"/>
      <c r="BA19" s="12">
        <v>1</v>
      </c>
      <c r="BE19" s="12"/>
      <c r="BF19" s="12">
        <v>1</v>
      </c>
      <c r="BG19" s="12"/>
      <c r="BH19" s="12">
        <v>1</v>
      </c>
      <c r="BL19" s="12"/>
      <c r="BM19" s="12">
        <v>1</v>
      </c>
      <c r="BN19" s="12"/>
      <c r="BO19" s="12">
        <v>1</v>
      </c>
      <c r="BS19" s="12"/>
      <c r="BT19" s="12">
        <v>1</v>
      </c>
      <c r="BU19" s="12"/>
      <c r="BV19" s="12">
        <v>1</v>
      </c>
      <c r="BZ19" s="12"/>
      <c r="CA19" s="12">
        <v>1</v>
      </c>
      <c r="CB19" s="12"/>
      <c r="CC19" s="12">
        <v>1</v>
      </c>
    </row>
    <row r="20" spans="2:81" hidden="1" outlineLevel="1">
      <c r="B20" t="s">
        <v>29</v>
      </c>
      <c r="C20" t="s">
        <v>62</v>
      </c>
      <c r="E20" s="11"/>
      <c r="F20" t="s">
        <v>65</v>
      </c>
      <c r="G20" s="12">
        <v>0.1</v>
      </c>
      <c r="I20" s="11">
        <f t="shared" si="3"/>
        <v>0</v>
      </c>
      <c r="J20" s="13">
        <f t="shared" si="2"/>
        <v>0</v>
      </c>
      <c r="K20" s="13">
        <f t="shared" si="2"/>
        <v>0</v>
      </c>
      <c r="L20" s="11"/>
      <c r="O20" s="12"/>
      <c r="P20" s="12"/>
      <c r="Q20" s="12"/>
      <c r="R20" s="12"/>
      <c r="V20" s="12"/>
      <c r="W20" s="12"/>
      <c r="X20" s="12"/>
      <c r="Y20" s="12"/>
      <c r="AC20" s="12"/>
      <c r="AD20" s="12">
        <v>1</v>
      </c>
      <c r="AE20" s="12"/>
      <c r="AF20" s="12">
        <v>1</v>
      </c>
      <c r="AJ20" s="12"/>
      <c r="AK20" s="12">
        <v>1</v>
      </c>
      <c r="AL20" s="12"/>
      <c r="AM20" s="12">
        <v>1</v>
      </c>
      <c r="AQ20" s="12"/>
      <c r="AR20" s="12">
        <v>1</v>
      </c>
      <c r="AS20" s="12"/>
      <c r="AT20" s="12">
        <v>1</v>
      </c>
      <c r="AX20" s="12"/>
      <c r="AY20" s="12">
        <v>1</v>
      </c>
      <c r="AZ20" s="12"/>
      <c r="BA20" s="12">
        <v>1</v>
      </c>
      <c r="BE20" s="12"/>
      <c r="BF20" s="12">
        <v>1</v>
      </c>
      <c r="BG20" s="12"/>
      <c r="BH20" s="12">
        <v>1</v>
      </c>
      <c r="BL20" s="12"/>
      <c r="BM20" s="12">
        <v>1</v>
      </c>
      <c r="BN20" s="12"/>
      <c r="BO20" s="12">
        <v>1</v>
      </c>
      <c r="BS20" s="12"/>
      <c r="BT20" s="12">
        <v>1</v>
      </c>
      <c r="BU20" s="12"/>
      <c r="BV20" s="12">
        <v>1</v>
      </c>
      <c r="BZ20" s="12"/>
      <c r="CA20" s="12">
        <v>1</v>
      </c>
      <c r="CB20" s="12"/>
      <c r="CC20" s="12">
        <v>1</v>
      </c>
    </row>
    <row r="21" spans="2:81" hidden="1" outlineLevel="1">
      <c r="B21" t="s">
        <v>29</v>
      </c>
      <c r="C21" t="s">
        <v>62</v>
      </c>
      <c r="E21" s="11"/>
      <c r="F21" t="s">
        <v>32</v>
      </c>
      <c r="G21" s="12">
        <v>0.1</v>
      </c>
      <c r="I21" s="11">
        <f t="shared" si="3"/>
        <v>0</v>
      </c>
      <c r="J21" s="13">
        <f t="shared" si="2"/>
        <v>0</v>
      </c>
      <c r="K21" s="13">
        <f t="shared" si="2"/>
        <v>0</v>
      </c>
      <c r="L21" s="11"/>
      <c r="O21" s="12"/>
      <c r="P21" s="12"/>
      <c r="Q21" s="12"/>
      <c r="R21" s="12"/>
      <c r="V21" s="12"/>
      <c r="W21" s="12"/>
      <c r="X21" s="12"/>
      <c r="Y21" s="12"/>
      <c r="AC21" s="12"/>
      <c r="AD21" s="12"/>
      <c r="AE21" s="12"/>
      <c r="AF21" s="12"/>
      <c r="AJ21" s="12"/>
      <c r="AK21" s="12">
        <v>1</v>
      </c>
      <c r="AL21" s="12"/>
      <c r="AM21" s="12">
        <v>1</v>
      </c>
      <c r="AQ21" s="12"/>
      <c r="AR21" s="12">
        <v>1</v>
      </c>
      <c r="AS21" s="12"/>
      <c r="AT21" s="12">
        <v>1</v>
      </c>
      <c r="AX21" s="12"/>
      <c r="AY21" s="12">
        <v>1</v>
      </c>
      <c r="AZ21" s="12"/>
      <c r="BA21" s="12">
        <v>1</v>
      </c>
      <c r="BE21" s="12"/>
      <c r="BF21" s="12">
        <v>1</v>
      </c>
      <c r="BG21" s="12"/>
      <c r="BH21" s="12">
        <v>1</v>
      </c>
      <c r="BL21" s="12"/>
      <c r="BM21" s="12">
        <v>1</v>
      </c>
      <c r="BN21" s="12"/>
      <c r="BO21" s="12">
        <v>1</v>
      </c>
      <c r="BS21" s="12"/>
      <c r="BT21" s="12">
        <v>1</v>
      </c>
      <c r="BU21" s="12"/>
      <c r="BV21" s="12">
        <v>1</v>
      </c>
      <c r="BZ21" s="12"/>
      <c r="CA21" s="12">
        <v>1</v>
      </c>
      <c r="CB21" s="12"/>
      <c r="CC21" s="12">
        <v>1</v>
      </c>
    </row>
    <row r="22" spans="2:81" hidden="1" outlineLevel="1">
      <c r="B22" t="s">
        <v>29</v>
      </c>
      <c r="C22" t="s">
        <v>62</v>
      </c>
      <c r="E22" s="11"/>
      <c r="F22" t="s">
        <v>66</v>
      </c>
      <c r="G22" s="12">
        <v>0.1</v>
      </c>
      <c r="I22" s="11">
        <f t="shared" si="3"/>
        <v>0</v>
      </c>
      <c r="J22" s="13">
        <f t="shared" si="2"/>
        <v>0</v>
      </c>
      <c r="K22" s="13">
        <f t="shared" si="2"/>
        <v>0</v>
      </c>
      <c r="L22" s="11"/>
      <c r="O22" s="12"/>
      <c r="P22" s="12"/>
      <c r="Q22" s="12"/>
      <c r="R22" s="12"/>
      <c r="V22" s="12"/>
      <c r="W22" s="12"/>
      <c r="X22" s="12"/>
      <c r="Y22" s="12"/>
      <c r="AC22" s="12"/>
      <c r="AD22" s="12"/>
      <c r="AE22" s="12"/>
      <c r="AF22" s="12"/>
      <c r="AJ22" s="12"/>
      <c r="AK22" s="12"/>
      <c r="AL22" s="12"/>
      <c r="AM22" s="12"/>
      <c r="AQ22" s="12"/>
      <c r="AR22" s="12">
        <v>1</v>
      </c>
      <c r="AS22" s="12"/>
      <c r="AT22" s="12">
        <v>1</v>
      </c>
      <c r="AX22" s="12"/>
      <c r="AY22" s="12">
        <v>1</v>
      </c>
      <c r="AZ22" s="12"/>
      <c r="BA22" s="12">
        <v>1</v>
      </c>
      <c r="BE22" s="12"/>
      <c r="BF22" s="12">
        <v>1</v>
      </c>
      <c r="BG22" s="12"/>
      <c r="BH22" s="12">
        <v>1</v>
      </c>
      <c r="BL22" s="12"/>
      <c r="BM22" s="12">
        <v>1</v>
      </c>
      <c r="BN22" s="12"/>
      <c r="BO22" s="12">
        <v>1</v>
      </c>
      <c r="BS22" s="12"/>
      <c r="BT22" s="12">
        <v>1</v>
      </c>
      <c r="BU22" s="12"/>
      <c r="BV22" s="12">
        <v>1</v>
      </c>
      <c r="BZ22" s="12"/>
      <c r="CA22" s="12">
        <v>1</v>
      </c>
      <c r="CB22" s="12"/>
      <c r="CC22" s="12">
        <v>1</v>
      </c>
    </row>
    <row r="23" spans="2:81" hidden="1" outlineLevel="1">
      <c r="B23" t="s">
        <v>29</v>
      </c>
      <c r="C23" t="s">
        <v>62</v>
      </c>
      <c r="E23" s="11"/>
      <c r="F23" t="s">
        <v>67</v>
      </c>
      <c r="G23" s="12">
        <v>0.1</v>
      </c>
      <c r="I23" s="11">
        <f t="shared" si="3"/>
        <v>0</v>
      </c>
      <c r="J23" s="13">
        <f t="shared" si="2"/>
        <v>0</v>
      </c>
      <c r="K23" s="13">
        <f t="shared" si="2"/>
        <v>0</v>
      </c>
      <c r="L23" s="11"/>
      <c r="O23" s="12"/>
      <c r="P23" s="12"/>
      <c r="Q23" s="12"/>
      <c r="R23" s="12"/>
      <c r="V23" s="12"/>
      <c r="W23" s="12"/>
      <c r="X23" s="12"/>
      <c r="Y23" s="12"/>
      <c r="AC23" s="12"/>
      <c r="AD23" s="12"/>
      <c r="AE23" s="12"/>
      <c r="AF23" s="12"/>
      <c r="AJ23" s="12"/>
      <c r="AK23" s="12"/>
      <c r="AL23" s="12"/>
      <c r="AM23" s="12"/>
      <c r="AQ23" s="12"/>
      <c r="AR23" s="12"/>
      <c r="AS23" s="12"/>
      <c r="AT23" s="12"/>
      <c r="AX23" s="12"/>
      <c r="AY23" s="12">
        <v>1</v>
      </c>
      <c r="AZ23" s="12"/>
      <c r="BA23" s="12">
        <v>1</v>
      </c>
      <c r="BE23" s="12"/>
      <c r="BF23" s="12">
        <v>1</v>
      </c>
      <c r="BG23" s="12"/>
      <c r="BH23" s="12">
        <v>1</v>
      </c>
      <c r="BL23" s="12"/>
      <c r="BM23" s="12">
        <v>1</v>
      </c>
      <c r="BN23" s="12"/>
      <c r="BO23" s="12">
        <v>1</v>
      </c>
      <c r="BS23" s="12"/>
      <c r="BT23" s="12">
        <v>1</v>
      </c>
      <c r="BU23" s="12"/>
      <c r="BV23" s="12">
        <v>1</v>
      </c>
      <c r="BZ23" s="12"/>
      <c r="CA23" s="12">
        <v>1</v>
      </c>
      <c r="CB23" s="12"/>
      <c r="CC23" s="12">
        <v>1</v>
      </c>
    </row>
    <row r="24" spans="2:81" hidden="1" outlineLevel="1">
      <c r="B24" t="s">
        <v>29</v>
      </c>
      <c r="C24" t="s">
        <v>62</v>
      </c>
      <c r="E24" s="11"/>
      <c r="F24" t="s">
        <v>68</v>
      </c>
      <c r="G24" s="12">
        <v>0.1</v>
      </c>
      <c r="I24" s="11">
        <f t="shared" si="3"/>
        <v>0</v>
      </c>
      <c r="J24" s="13">
        <f t="shared" si="2"/>
        <v>0</v>
      </c>
      <c r="K24" s="13">
        <f t="shared" si="2"/>
        <v>0</v>
      </c>
      <c r="L24" s="11"/>
      <c r="O24" s="12"/>
      <c r="P24" s="12"/>
      <c r="Q24" s="12"/>
      <c r="R24" s="12"/>
      <c r="V24" s="12"/>
      <c r="W24" s="12"/>
      <c r="X24" s="12"/>
      <c r="Y24" s="12"/>
      <c r="AC24" s="12"/>
      <c r="AD24" s="12"/>
      <c r="AE24" s="12"/>
      <c r="AF24" s="12"/>
      <c r="AJ24" s="12"/>
      <c r="AK24" s="12"/>
      <c r="AL24" s="12"/>
      <c r="AM24" s="12"/>
      <c r="AQ24" s="12"/>
      <c r="AR24" s="12"/>
      <c r="AS24" s="12"/>
      <c r="AT24" s="12"/>
      <c r="AX24" s="12"/>
      <c r="AY24" s="12"/>
      <c r="AZ24" s="12"/>
      <c r="BA24" s="12"/>
      <c r="BE24" s="12"/>
      <c r="BF24" s="12">
        <v>1</v>
      </c>
      <c r="BG24" s="12"/>
      <c r="BH24" s="12">
        <v>1</v>
      </c>
      <c r="BL24" s="12"/>
      <c r="BM24" s="12">
        <v>1</v>
      </c>
      <c r="BN24" s="12"/>
      <c r="BO24" s="12">
        <v>1</v>
      </c>
      <c r="BS24" s="12"/>
      <c r="BT24" s="12">
        <v>1</v>
      </c>
      <c r="BU24" s="12"/>
      <c r="BV24" s="12">
        <v>1</v>
      </c>
      <c r="BZ24" s="12"/>
      <c r="CA24" s="12">
        <v>1</v>
      </c>
      <c r="CB24" s="12"/>
      <c r="CC24" s="12">
        <v>1</v>
      </c>
    </row>
    <row r="25" spans="2:81" hidden="1" outlineLevel="1">
      <c r="B25" t="s">
        <v>29</v>
      </c>
      <c r="C25" t="s">
        <v>62</v>
      </c>
      <c r="E25" s="11"/>
      <c r="F25" t="s">
        <v>69</v>
      </c>
      <c r="G25" s="12">
        <v>0.1</v>
      </c>
      <c r="I25" s="11">
        <f t="shared" si="3"/>
        <v>0</v>
      </c>
      <c r="J25" s="13">
        <f t="shared" si="2"/>
        <v>0</v>
      </c>
      <c r="K25" s="13">
        <f t="shared" si="2"/>
        <v>0</v>
      </c>
      <c r="L25" s="11"/>
      <c r="O25" s="12"/>
      <c r="P25" s="12"/>
      <c r="Q25" s="12"/>
      <c r="R25" s="12"/>
      <c r="V25" s="12"/>
      <c r="W25" s="12"/>
      <c r="X25" s="12"/>
      <c r="Y25" s="12"/>
      <c r="AC25" s="12"/>
      <c r="AD25" s="12"/>
      <c r="AE25" s="12"/>
      <c r="AF25" s="12"/>
      <c r="AJ25" s="12"/>
      <c r="AK25" s="12"/>
      <c r="AL25" s="12"/>
      <c r="AM25" s="12"/>
      <c r="AQ25" s="12"/>
      <c r="AR25" s="12"/>
      <c r="AS25" s="12"/>
      <c r="AT25" s="12"/>
      <c r="AX25" s="12"/>
      <c r="AY25" s="12"/>
      <c r="AZ25" s="12"/>
      <c r="BA25" s="12"/>
      <c r="BE25" s="12"/>
      <c r="BF25" s="12"/>
      <c r="BG25" s="12"/>
      <c r="BH25" s="12"/>
      <c r="BL25" s="12"/>
      <c r="BM25" s="12">
        <v>1</v>
      </c>
      <c r="BN25" s="12"/>
      <c r="BO25" s="12">
        <v>1</v>
      </c>
      <c r="BS25" s="12"/>
      <c r="BT25" s="12">
        <v>1</v>
      </c>
      <c r="BU25" s="12"/>
      <c r="BV25" s="12">
        <v>1</v>
      </c>
      <c r="BZ25" s="12"/>
      <c r="CA25" s="12">
        <v>1</v>
      </c>
      <c r="CB25" s="12"/>
      <c r="CC25" s="12">
        <v>1</v>
      </c>
    </row>
    <row r="26" spans="2:81" hidden="1" outlineLevel="1">
      <c r="B26" t="s">
        <v>29</v>
      </c>
      <c r="C26" t="s">
        <v>62</v>
      </c>
      <c r="E26" s="11"/>
      <c r="F26" t="s">
        <v>70</v>
      </c>
      <c r="G26" s="12">
        <v>0.1</v>
      </c>
      <c r="I26" s="11">
        <f t="shared" si="3"/>
        <v>0</v>
      </c>
      <c r="J26" s="13">
        <f t="shared" si="2"/>
        <v>0</v>
      </c>
      <c r="K26" s="13">
        <f t="shared" si="2"/>
        <v>0</v>
      </c>
      <c r="L26" s="11"/>
      <c r="O26" s="12"/>
      <c r="P26" s="12"/>
      <c r="Q26" s="12"/>
      <c r="R26" s="12"/>
      <c r="V26" s="12"/>
      <c r="W26" s="12"/>
      <c r="X26" s="12"/>
      <c r="Y26" s="12"/>
      <c r="AC26" s="12"/>
      <c r="AD26" s="12"/>
      <c r="AE26" s="12"/>
      <c r="AF26" s="12"/>
      <c r="AJ26" s="12"/>
      <c r="AK26" s="12"/>
      <c r="AL26" s="12"/>
      <c r="AM26" s="12"/>
      <c r="AQ26" s="12"/>
      <c r="AR26" s="12"/>
      <c r="AS26" s="12"/>
      <c r="AT26" s="12"/>
      <c r="AX26" s="12"/>
      <c r="AY26" s="12"/>
      <c r="AZ26" s="12"/>
      <c r="BA26" s="12"/>
      <c r="BE26" s="12"/>
      <c r="BF26" s="12"/>
      <c r="BG26" s="12"/>
      <c r="BH26" s="12"/>
      <c r="BL26" s="12"/>
      <c r="BM26" s="12"/>
      <c r="BN26" s="12"/>
      <c r="BO26" s="12"/>
      <c r="BS26" s="12"/>
      <c r="BT26" s="12">
        <v>1</v>
      </c>
      <c r="BU26" s="12"/>
      <c r="BV26" s="12">
        <v>1</v>
      </c>
      <c r="BZ26" s="12"/>
      <c r="CA26" s="12">
        <v>1</v>
      </c>
      <c r="CB26" s="12"/>
      <c r="CC26" s="12">
        <v>1</v>
      </c>
    </row>
    <row r="27" spans="2:81" hidden="1" outlineLevel="1">
      <c r="B27" t="s">
        <v>29</v>
      </c>
      <c r="C27" t="s">
        <v>62</v>
      </c>
      <c r="E27" s="11"/>
      <c r="F27" t="s">
        <v>71</v>
      </c>
      <c r="G27" s="12">
        <v>0.1</v>
      </c>
      <c r="I27" s="11">
        <f t="shared" si="3"/>
        <v>0</v>
      </c>
      <c r="J27" s="13">
        <f t="shared" si="2"/>
        <v>0</v>
      </c>
      <c r="K27" s="13">
        <f t="shared" si="2"/>
        <v>0</v>
      </c>
      <c r="L27" s="11"/>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c r="BG27" s="12"/>
      <c r="BH27" s="12"/>
      <c r="BL27" s="12"/>
      <c r="BM27" s="12"/>
      <c r="BN27" s="12"/>
      <c r="BO27" s="12"/>
      <c r="BS27" s="12"/>
      <c r="BT27" s="12"/>
      <c r="BU27" s="12"/>
      <c r="BV27" s="12"/>
      <c r="BZ27" s="12"/>
      <c r="CA27" s="12">
        <v>1</v>
      </c>
      <c r="CB27" s="12"/>
      <c r="CC27" s="12">
        <v>1</v>
      </c>
    </row>
    <row r="28" spans="2:81" collapsed="1">
      <c r="O28" s="9"/>
      <c r="V28" s="9"/>
      <c r="AC28" s="9"/>
      <c r="AJ28" s="9"/>
      <c r="AQ28" s="9"/>
      <c r="AX28" s="9"/>
      <c r="BE28" s="9"/>
      <c r="BL28" s="9"/>
      <c r="BS28" s="9"/>
      <c r="BZ28" s="9"/>
    </row>
    <row r="29" spans="2:81">
      <c r="B29" t="s">
        <v>28</v>
      </c>
      <c r="C29" t="s">
        <v>82</v>
      </c>
      <c r="E29" s="11">
        <v>5</v>
      </c>
      <c r="G29" s="12">
        <v>1</v>
      </c>
      <c r="I29" s="14">
        <f>+SUM(I30:I33)</f>
        <v>0</v>
      </c>
      <c r="J29" s="13">
        <f>+SUMPRODUCT(G30:G33,J30:J33)</f>
        <v>0</v>
      </c>
      <c r="K29" s="13">
        <f>+SUMPRODUCT(G30:G33,K30:K33)</f>
        <v>0.16000000000000003</v>
      </c>
      <c r="L29" s="11"/>
      <c r="N29" s="14">
        <f>+SUM(N30:N33)</f>
        <v>0</v>
      </c>
      <c r="U29" s="14">
        <f>+SUM(U30:U33)</f>
        <v>0</v>
      </c>
      <c r="AB29" s="14">
        <f>+SUM(AB30:AB33)</f>
        <v>0</v>
      </c>
      <c r="AI29" s="14">
        <f>+SUM(AI30:AI33)</f>
        <v>0</v>
      </c>
      <c r="AP29" s="14">
        <f>+SUM(AP30:AP33)</f>
        <v>0</v>
      </c>
      <c r="AW29" s="14">
        <f>+SUM(AW30:AW33)</f>
        <v>0</v>
      </c>
      <c r="BD29" s="14">
        <f>+SUM(BD30:BD33)</f>
        <v>0</v>
      </c>
      <c r="BK29" s="14">
        <f>+SUM(BK30:BK33)</f>
        <v>0</v>
      </c>
      <c r="BR29" s="14">
        <f>+SUM(BR30:BR33)</f>
        <v>0</v>
      </c>
      <c r="BY29" s="14">
        <f>+SUM(BY30:BY33)</f>
        <v>0</v>
      </c>
    </row>
    <row r="30" spans="2:81" hidden="1" outlineLevel="1">
      <c r="B30" t="s">
        <v>29</v>
      </c>
      <c r="C30" t="s">
        <v>82</v>
      </c>
      <c r="E30" s="11"/>
      <c r="F30" t="s">
        <v>83</v>
      </c>
      <c r="G30" s="12">
        <v>0.2</v>
      </c>
      <c r="I30" s="11">
        <f>+SUMIF($N$3:$ZZ$3,I$3,$N30:$ZZ30)</f>
        <v>0</v>
      </c>
      <c r="J30" s="13">
        <f t="shared" ref="J30:K33" si="4">+_xlfn.MAXIFS($N30:$ZF30,$N$3:$ZF$3,J$3)</f>
        <v>0</v>
      </c>
      <c r="K30" s="13">
        <f t="shared" si="4"/>
        <v>0.8</v>
      </c>
      <c r="L30" s="11"/>
      <c r="O30" s="12"/>
      <c r="P30" s="12"/>
      <c r="Q30" s="12">
        <v>0.8</v>
      </c>
      <c r="R30" s="12">
        <v>0.8</v>
      </c>
      <c r="V30" s="12"/>
      <c r="W30" s="12"/>
      <c r="X30" s="12">
        <v>0.8</v>
      </c>
      <c r="Y30" s="12">
        <v>0.8</v>
      </c>
      <c r="AC30" s="12"/>
      <c r="AD30" s="12"/>
      <c r="AE30" s="12">
        <v>0.8</v>
      </c>
      <c r="AF30" s="12">
        <v>0.8</v>
      </c>
      <c r="AJ30" s="12"/>
      <c r="AK30" s="12"/>
      <c r="AL30" s="12">
        <v>0.8</v>
      </c>
      <c r="AM30" s="12">
        <v>0.8</v>
      </c>
      <c r="AQ30" s="12"/>
      <c r="AR30" s="12"/>
      <c r="AS30" s="12">
        <v>0.8</v>
      </c>
      <c r="AT30" s="12">
        <v>0.8</v>
      </c>
      <c r="AX30" s="12"/>
      <c r="AY30" s="12"/>
      <c r="AZ30" s="12">
        <v>0.8</v>
      </c>
      <c r="BA30" s="12">
        <v>0.8</v>
      </c>
      <c r="BE30" s="12"/>
      <c r="BF30" s="12"/>
      <c r="BG30" s="12">
        <v>0.8</v>
      </c>
      <c r="BH30" s="12">
        <v>0.8</v>
      </c>
      <c r="BL30" s="12"/>
      <c r="BM30" s="12"/>
      <c r="BN30" s="12">
        <v>0.8</v>
      </c>
      <c r="BO30" s="12">
        <v>0.8</v>
      </c>
      <c r="BS30" s="12"/>
      <c r="BT30" s="12"/>
      <c r="BU30" s="12">
        <v>0.8</v>
      </c>
      <c r="BV30" s="12">
        <v>1</v>
      </c>
      <c r="BZ30" s="12"/>
      <c r="CA30" s="12"/>
      <c r="CB30" s="12">
        <v>0.8</v>
      </c>
      <c r="CC30" s="12">
        <v>1</v>
      </c>
    </row>
    <row r="31" spans="2:81" hidden="1" outlineLevel="1">
      <c r="B31" t="s">
        <v>29</v>
      </c>
      <c r="C31" t="s">
        <v>82</v>
      </c>
      <c r="E31" s="11"/>
      <c r="F31" t="s">
        <v>84</v>
      </c>
      <c r="G31" s="12">
        <v>0.3</v>
      </c>
      <c r="I31" s="11">
        <f t="shared" ref="I31:I33" si="5">+SUMIF($N$3:$ZZ$3,I$3,$N31:$ZZ31)</f>
        <v>0</v>
      </c>
      <c r="J31" s="13">
        <f t="shared" si="4"/>
        <v>0</v>
      </c>
      <c r="K31" s="13">
        <f t="shared" si="4"/>
        <v>0</v>
      </c>
      <c r="L31" s="11"/>
      <c r="O31" s="12"/>
      <c r="P31" s="12"/>
      <c r="Q31" s="12"/>
      <c r="R31" s="12">
        <v>0.8</v>
      </c>
      <c r="V31" s="12"/>
      <c r="W31" s="12"/>
      <c r="X31" s="12"/>
      <c r="Y31" s="12">
        <v>0.8</v>
      </c>
      <c r="AC31" s="12"/>
      <c r="AD31" s="12"/>
      <c r="AE31" s="12"/>
      <c r="AF31" s="12">
        <v>0.8</v>
      </c>
      <c r="AJ31" s="12"/>
      <c r="AK31" s="12"/>
      <c r="AL31" s="12"/>
      <c r="AM31" s="12">
        <v>0.8</v>
      </c>
      <c r="AQ31" s="12"/>
      <c r="AR31" s="12"/>
      <c r="AS31" s="12"/>
      <c r="AT31" s="12">
        <v>0.8</v>
      </c>
      <c r="AX31" s="12"/>
      <c r="AY31" s="12"/>
      <c r="AZ31" s="12"/>
      <c r="BA31" s="12">
        <v>0.8</v>
      </c>
      <c r="BE31" s="12"/>
      <c r="BF31" s="12"/>
      <c r="BG31" s="12"/>
      <c r="BH31" s="12">
        <v>0.8</v>
      </c>
      <c r="BL31" s="12"/>
      <c r="BM31" s="12"/>
      <c r="BN31" s="12"/>
      <c r="BO31" s="12">
        <v>0.8</v>
      </c>
      <c r="BS31" s="12"/>
      <c r="BT31" s="12"/>
      <c r="BU31" s="12"/>
      <c r="BV31" s="12">
        <v>1</v>
      </c>
      <c r="BZ31" s="12"/>
      <c r="CA31" s="12"/>
      <c r="CB31" s="12"/>
      <c r="CC31" s="12">
        <v>1</v>
      </c>
    </row>
    <row r="32" spans="2:81" hidden="1" outlineLevel="1">
      <c r="B32" t="s">
        <v>29</v>
      </c>
      <c r="C32" t="s">
        <v>82</v>
      </c>
      <c r="E32" s="11"/>
      <c r="F32" t="s">
        <v>85</v>
      </c>
      <c r="G32" s="12">
        <v>0.3</v>
      </c>
      <c r="I32" s="11">
        <f t="shared" si="5"/>
        <v>0</v>
      </c>
      <c r="J32" s="13">
        <f t="shared" si="4"/>
        <v>0</v>
      </c>
      <c r="K32" s="13">
        <f t="shared" si="4"/>
        <v>0</v>
      </c>
      <c r="L32" s="11"/>
      <c r="O32" s="12"/>
      <c r="P32" s="12"/>
      <c r="Q32" s="12"/>
      <c r="R32" s="12"/>
      <c r="V32" s="12"/>
      <c r="W32" s="12"/>
      <c r="X32" s="12"/>
      <c r="Y32" s="12"/>
      <c r="AC32" s="12"/>
      <c r="AD32" s="12"/>
      <c r="AE32" s="12"/>
      <c r="AF32" s="12"/>
      <c r="AJ32" s="12"/>
      <c r="AK32" s="12"/>
      <c r="AL32" s="12"/>
      <c r="AM32" s="12">
        <v>0.8</v>
      </c>
      <c r="AQ32" s="12"/>
      <c r="AR32" s="12"/>
      <c r="AS32" s="12"/>
      <c r="AT32" s="12">
        <v>0.8</v>
      </c>
      <c r="AX32" s="12"/>
      <c r="AY32" s="12"/>
      <c r="AZ32" s="12"/>
      <c r="BA32" s="12">
        <v>0.8</v>
      </c>
      <c r="BE32" s="12"/>
      <c r="BF32" s="12"/>
      <c r="BG32" s="12"/>
      <c r="BH32" s="12">
        <v>0.8</v>
      </c>
      <c r="BL32" s="12"/>
      <c r="BM32" s="12"/>
      <c r="BN32" s="12"/>
      <c r="BO32" s="12">
        <v>0.8</v>
      </c>
      <c r="BS32" s="12"/>
      <c r="BT32" s="12"/>
      <c r="BU32" s="12"/>
      <c r="BV32" s="12">
        <v>1</v>
      </c>
      <c r="BZ32" s="12"/>
      <c r="CA32" s="12"/>
      <c r="CB32" s="12"/>
      <c r="CC32" s="12">
        <v>1</v>
      </c>
    </row>
    <row r="33" spans="2:81" hidden="1" outlineLevel="1">
      <c r="B33" t="s">
        <v>29</v>
      </c>
      <c r="C33" t="s">
        <v>82</v>
      </c>
      <c r="E33" s="11"/>
      <c r="F33" t="s">
        <v>86</v>
      </c>
      <c r="G33" s="12">
        <v>0.2</v>
      </c>
      <c r="I33" s="11">
        <f t="shared" si="5"/>
        <v>0</v>
      </c>
      <c r="J33" s="13">
        <f t="shared" si="4"/>
        <v>0</v>
      </c>
      <c r="K33" s="13">
        <f t="shared" si="4"/>
        <v>0</v>
      </c>
      <c r="L33" s="11"/>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c r="BG33" s="12"/>
      <c r="BH33" s="12">
        <v>0.8</v>
      </c>
      <c r="BL33" s="12"/>
      <c r="BM33" s="12"/>
      <c r="BN33" s="12"/>
      <c r="BO33" s="12">
        <v>0.8</v>
      </c>
      <c r="BS33" s="12"/>
      <c r="BT33" s="12"/>
      <c r="BU33" s="12"/>
      <c r="BV33" s="12">
        <v>1</v>
      </c>
      <c r="BZ33" s="12"/>
      <c r="CA33" s="12"/>
      <c r="CB33" s="12"/>
      <c r="CC33" s="12">
        <v>1</v>
      </c>
    </row>
    <row r="34" spans="2:81" collapsed="1">
      <c r="O34" s="9"/>
      <c r="V34" s="9"/>
      <c r="AC34" s="9"/>
      <c r="AJ34" s="9"/>
      <c r="AQ34" s="9"/>
      <c r="AX34" s="9"/>
      <c r="BE34" s="9"/>
      <c r="BL34" s="9"/>
      <c r="BS34" s="9"/>
      <c r="BZ34" s="9"/>
    </row>
    <row r="35" spans="2:81">
      <c r="B35" t="s">
        <v>28</v>
      </c>
      <c r="C35" t="s">
        <v>87</v>
      </c>
      <c r="E35" s="11">
        <v>5</v>
      </c>
      <c r="G35" s="12">
        <f>+SUM(G36:G47)</f>
        <v>0.99999999999999989</v>
      </c>
      <c r="I35" s="14">
        <f>+SUM(I36:I47)</f>
        <v>0</v>
      </c>
      <c r="J35" s="13">
        <f>+SUMPRODUCT(G36:G47,J36:J47)</f>
        <v>0</v>
      </c>
      <c r="K35" s="13">
        <f>+SUMPRODUCT(G36:G47,K36:K47)</f>
        <v>0</v>
      </c>
      <c r="L35" s="11"/>
      <c r="N35" s="14">
        <f>+SUM(N36:N47)</f>
        <v>0</v>
      </c>
      <c r="U35" s="14">
        <f>+SUM(U36:U47)</f>
        <v>0</v>
      </c>
      <c r="AB35" s="14">
        <f>+SUM(AB36:AB47)</f>
        <v>0</v>
      </c>
      <c r="AI35" s="14">
        <f>+SUM(AI36:AI47)</f>
        <v>0</v>
      </c>
      <c r="AP35" s="14">
        <f>+SUM(AP36:AP47)</f>
        <v>0</v>
      </c>
      <c r="AW35" s="14">
        <f>+SUM(AW36:AW47)</f>
        <v>0</v>
      </c>
      <c r="BD35" s="14">
        <f>+SUM(BD36:BD47)</f>
        <v>0</v>
      </c>
      <c r="BK35" s="14">
        <f>+SUM(BK36:BK47)</f>
        <v>0</v>
      </c>
      <c r="BR35" s="14">
        <f>+SUM(BR36:BR47)</f>
        <v>0</v>
      </c>
      <c r="BY35" s="14">
        <f>+SUM(BY36:BY47)</f>
        <v>0</v>
      </c>
    </row>
    <row r="36" spans="2:81" hidden="1" outlineLevel="1">
      <c r="B36" t="s">
        <v>29</v>
      </c>
      <c r="E36" s="11"/>
      <c r="F36" t="s">
        <v>89</v>
      </c>
      <c r="G36" s="12">
        <v>0.1</v>
      </c>
      <c r="I36" s="11">
        <f>+SUMIF($N$3:$ZZ$3,I$3,$N36:$ZZ36)</f>
        <v>0</v>
      </c>
      <c r="J36" s="13">
        <f t="shared" ref="J36:K47" si="6">+_xlfn.MAXIFS($N36:$ZF36,$N$3:$ZF$3,J$3)</f>
        <v>0</v>
      </c>
      <c r="K36" s="13">
        <f t="shared" si="6"/>
        <v>0</v>
      </c>
      <c r="L36" s="11"/>
      <c r="O36" s="12"/>
      <c r="P36" s="12"/>
      <c r="Q36" s="12"/>
      <c r="R36" s="12">
        <v>1</v>
      </c>
      <c r="V36" s="12"/>
      <c r="W36" s="12"/>
      <c r="X36" s="12"/>
      <c r="Y36" s="12">
        <v>0.8</v>
      </c>
      <c r="AC36" s="12"/>
      <c r="AD36" s="12"/>
      <c r="AE36" s="12"/>
      <c r="AF36" s="12"/>
      <c r="AJ36" s="12"/>
      <c r="AK36" s="12"/>
      <c r="AL36" s="12"/>
      <c r="AM36" s="12"/>
      <c r="AQ36" s="12"/>
      <c r="AR36" s="12">
        <v>1</v>
      </c>
      <c r="AS36" s="12"/>
      <c r="AT36" s="12">
        <v>1</v>
      </c>
      <c r="AX36" s="12"/>
      <c r="AY36" s="12"/>
      <c r="AZ36" s="12"/>
      <c r="BA36" s="12"/>
      <c r="BE36" s="12"/>
      <c r="BF36" s="12"/>
      <c r="BG36" s="12"/>
      <c r="BH36" s="12"/>
      <c r="BL36" s="12"/>
      <c r="BM36" s="12"/>
      <c r="BN36" s="12"/>
      <c r="BO36" s="12"/>
      <c r="BS36" s="12"/>
      <c r="BT36" s="12"/>
      <c r="BU36" s="12"/>
      <c r="BV36" s="12"/>
      <c r="BZ36" s="12"/>
      <c r="CA36" s="12"/>
      <c r="CB36" s="12"/>
      <c r="CC36" s="12"/>
    </row>
    <row r="37" spans="2:81" hidden="1" outlineLevel="1">
      <c r="B37" t="s">
        <v>29</v>
      </c>
      <c r="E37" s="11"/>
      <c r="F37" t="s">
        <v>90</v>
      </c>
      <c r="G37" s="12">
        <v>0.05</v>
      </c>
      <c r="I37" s="11">
        <f t="shared" ref="I37:I46" si="7">+SUMIF($N$3:$ZZ$3,I$3,$N37:$ZZ37)</f>
        <v>0</v>
      </c>
      <c r="J37" s="13">
        <f t="shared" si="6"/>
        <v>0</v>
      </c>
      <c r="K37" s="13">
        <f t="shared" si="6"/>
        <v>0</v>
      </c>
      <c r="L37" s="11"/>
      <c r="O37" s="12"/>
      <c r="P37" s="12"/>
      <c r="Q37" s="12"/>
      <c r="R37" s="12"/>
      <c r="V37" s="12"/>
      <c r="W37" s="12"/>
      <c r="X37" s="12"/>
      <c r="Y37" s="12"/>
      <c r="AC37" s="12"/>
      <c r="AD37" s="12"/>
      <c r="AE37" s="12"/>
      <c r="AF37" s="12"/>
      <c r="AJ37" s="12"/>
      <c r="AK37" s="12"/>
      <c r="AL37" s="12"/>
      <c r="AM37" s="12"/>
      <c r="AQ37" s="12"/>
      <c r="AR37" s="12">
        <v>1</v>
      </c>
      <c r="AS37" s="12"/>
      <c r="AT37" s="12">
        <v>1</v>
      </c>
      <c r="AX37" s="12"/>
      <c r="AY37" s="12"/>
      <c r="AZ37" s="12"/>
      <c r="BA37" s="12"/>
      <c r="BE37" s="12"/>
      <c r="BF37" s="12"/>
      <c r="BG37" s="12"/>
      <c r="BH37" s="12"/>
      <c r="BL37" s="12"/>
      <c r="BM37" s="12"/>
      <c r="BN37" s="12"/>
      <c r="BO37" s="12"/>
      <c r="BS37" s="12"/>
      <c r="BT37" s="12"/>
      <c r="BU37" s="12"/>
      <c r="BV37" s="12"/>
      <c r="BZ37" s="12"/>
      <c r="CA37" s="12"/>
      <c r="CB37" s="12"/>
      <c r="CC37" s="12"/>
    </row>
    <row r="38" spans="2:81" hidden="1" outlineLevel="1">
      <c r="B38" t="s">
        <v>29</v>
      </c>
      <c r="E38" s="11"/>
      <c r="F38" t="s">
        <v>91</v>
      </c>
      <c r="G38" s="12">
        <v>0.05</v>
      </c>
      <c r="I38" s="11">
        <f t="shared" si="7"/>
        <v>0</v>
      </c>
      <c r="J38" s="13">
        <f t="shared" si="6"/>
        <v>0</v>
      </c>
      <c r="K38" s="13">
        <f t="shared" si="6"/>
        <v>0</v>
      </c>
      <c r="L38" s="11"/>
      <c r="O38" s="12"/>
      <c r="P38" s="12"/>
      <c r="Q38" s="12"/>
      <c r="R38" s="12"/>
      <c r="V38" s="12"/>
      <c r="W38" s="12"/>
      <c r="X38" s="12"/>
      <c r="Y38" s="12"/>
      <c r="AC38" s="12"/>
      <c r="AD38" s="12"/>
      <c r="AE38" s="12"/>
      <c r="AF38" s="12"/>
      <c r="AJ38" s="12"/>
      <c r="AK38" s="12"/>
      <c r="AL38" s="12"/>
      <c r="AM38" s="12"/>
      <c r="AQ38" s="12"/>
      <c r="AR38" s="12">
        <v>1</v>
      </c>
      <c r="AS38" s="12"/>
      <c r="AT38" s="12">
        <v>1</v>
      </c>
      <c r="AX38" s="12"/>
      <c r="AY38" s="12"/>
      <c r="AZ38" s="12"/>
      <c r="BA38" s="12"/>
      <c r="BE38" s="12"/>
      <c r="BF38" s="12"/>
      <c r="BG38" s="12"/>
      <c r="BH38" s="12"/>
      <c r="BL38" s="12"/>
      <c r="BM38" s="12"/>
      <c r="BN38" s="12"/>
      <c r="BO38" s="12"/>
      <c r="BS38" s="12"/>
      <c r="BT38" s="12"/>
      <c r="BU38" s="12"/>
      <c r="BV38" s="12"/>
      <c r="BZ38" s="12"/>
      <c r="CA38" s="12"/>
      <c r="CB38" s="12"/>
      <c r="CC38" s="12"/>
    </row>
    <row r="39" spans="2:81" hidden="1" outlineLevel="1">
      <c r="B39" t="s">
        <v>29</v>
      </c>
      <c r="E39" s="11"/>
      <c r="F39" t="s">
        <v>92</v>
      </c>
      <c r="G39" s="12">
        <v>0.05</v>
      </c>
      <c r="I39" s="11">
        <f t="shared" si="7"/>
        <v>0</v>
      </c>
      <c r="J39" s="13">
        <f t="shared" si="6"/>
        <v>0</v>
      </c>
      <c r="K39" s="13">
        <f t="shared" si="6"/>
        <v>0</v>
      </c>
      <c r="L39" s="11"/>
      <c r="O39" s="12"/>
      <c r="P39" s="12"/>
      <c r="Q39" s="12"/>
      <c r="R39" s="12"/>
      <c r="V39" s="12"/>
      <c r="W39" s="12"/>
      <c r="X39" s="12"/>
      <c r="Y39" s="12"/>
      <c r="AC39" s="12"/>
      <c r="AD39" s="12"/>
      <c r="AE39" s="12"/>
      <c r="AF39" s="12"/>
      <c r="AJ39" s="12"/>
      <c r="AK39" s="12"/>
      <c r="AL39" s="12"/>
      <c r="AM39" s="12"/>
      <c r="AQ39" s="12"/>
      <c r="AR39" s="12">
        <v>1</v>
      </c>
      <c r="AS39" s="12"/>
      <c r="AT39" s="12">
        <v>1</v>
      </c>
      <c r="AX39" s="12"/>
      <c r="AY39" s="12"/>
      <c r="AZ39" s="12"/>
      <c r="BA39" s="12"/>
      <c r="BE39" s="12"/>
      <c r="BF39" s="12"/>
      <c r="BG39" s="12"/>
      <c r="BH39" s="12"/>
      <c r="BL39" s="12"/>
      <c r="BM39" s="12"/>
      <c r="BN39" s="12"/>
      <c r="BO39" s="12"/>
      <c r="BS39" s="12"/>
      <c r="BT39" s="12"/>
      <c r="BU39" s="12"/>
      <c r="BV39" s="12"/>
      <c r="BZ39" s="12"/>
      <c r="CA39" s="12"/>
      <c r="CB39" s="12"/>
      <c r="CC39" s="12"/>
    </row>
    <row r="40" spans="2:81" hidden="1" outlineLevel="1">
      <c r="B40" t="s">
        <v>29</v>
      </c>
      <c r="E40" s="11"/>
      <c r="F40" t="s">
        <v>93</v>
      </c>
      <c r="G40" s="12">
        <v>0.05</v>
      </c>
      <c r="I40" s="11">
        <f t="shared" si="7"/>
        <v>0</v>
      </c>
      <c r="J40" s="13">
        <f t="shared" si="6"/>
        <v>0</v>
      </c>
      <c r="K40" s="13">
        <f t="shared" si="6"/>
        <v>0</v>
      </c>
      <c r="L40" s="11"/>
      <c r="O40" s="12"/>
      <c r="P40" s="12"/>
      <c r="Q40" s="12"/>
      <c r="R40" s="12"/>
      <c r="V40" s="12"/>
      <c r="W40" s="12"/>
      <c r="X40" s="12"/>
      <c r="Y40" s="12"/>
      <c r="AC40" s="12"/>
      <c r="AD40" s="12"/>
      <c r="AE40" s="12"/>
      <c r="AF40" s="12"/>
      <c r="AJ40" s="12"/>
      <c r="AK40" s="12"/>
      <c r="AL40" s="12"/>
      <c r="AM40" s="12"/>
      <c r="AQ40" s="12"/>
      <c r="AR40" s="12">
        <v>1</v>
      </c>
      <c r="AS40" s="12"/>
      <c r="AT40" s="12">
        <v>1</v>
      </c>
      <c r="AX40" s="12"/>
      <c r="AY40" s="12"/>
      <c r="AZ40" s="12"/>
      <c r="BA40" s="12"/>
      <c r="BE40" s="12"/>
      <c r="BF40" s="12"/>
      <c r="BG40" s="12"/>
      <c r="BH40" s="12"/>
      <c r="BL40" s="12"/>
      <c r="BM40" s="12"/>
      <c r="BN40" s="12"/>
      <c r="BO40" s="12"/>
      <c r="BS40" s="12"/>
      <c r="BT40" s="12"/>
      <c r="BU40" s="12"/>
      <c r="BV40" s="12"/>
      <c r="BZ40" s="12"/>
      <c r="CA40" s="12"/>
      <c r="CB40" s="12"/>
      <c r="CC40" s="12"/>
    </row>
    <row r="41" spans="2:81" hidden="1" outlineLevel="1">
      <c r="B41" t="s">
        <v>29</v>
      </c>
      <c r="E41" s="11"/>
      <c r="F41" t="s">
        <v>67</v>
      </c>
      <c r="G41" s="12">
        <v>0.1</v>
      </c>
      <c r="I41" s="11">
        <f t="shared" si="7"/>
        <v>0</v>
      </c>
      <c r="J41" s="13">
        <f t="shared" si="6"/>
        <v>0</v>
      </c>
      <c r="K41" s="13">
        <f t="shared" si="6"/>
        <v>0</v>
      </c>
      <c r="L41" s="11"/>
      <c r="O41" s="12"/>
      <c r="P41" s="12"/>
      <c r="Q41" s="12"/>
      <c r="R41" s="12"/>
      <c r="V41" s="12"/>
      <c r="W41" s="12"/>
      <c r="X41" s="12"/>
      <c r="Y41" s="12"/>
      <c r="AC41" s="12"/>
      <c r="AD41" s="12"/>
      <c r="AE41" s="12"/>
      <c r="AF41" s="12"/>
      <c r="AJ41" s="12"/>
      <c r="AK41" s="12"/>
      <c r="AL41" s="12"/>
      <c r="AM41" s="12"/>
      <c r="AQ41" s="12"/>
      <c r="AR41" s="12">
        <v>1</v>
      </c>
      <c r="AS41" s="12"/>
      <c r="AT41" s="12">
        <v>1</v>
      </c>
      <c r="AX41" s="12"/>
      <c r="AY41" s="12"/>
      <c r="AZ41" s="12"/>
      <c r="BA41" s="12"/>
      <c r="BE41" s="12"/>
      <c r="BF41" s="12"/>
      <c r="BG41" s="12"/>
      <c r="BH41" s="12"/>
      <c r="BL41" s="12"/>
      <c r="BM41" s="12"/>
      <c r="BN41" s="12"/>
      <c r="BO41" s="12"/>
      <c r="BS41" s="12"/>
      <c r="BT41" s="12"/>
      <c r="BU41" s="12"/>
      <c r="BV41" s="12"/>
      <c r="BZ41" s="12"/>
      <c r="CA41" s="12"/>
      <c r="CB41" s="12"/>
      <c r="CC41" s="12"/>
    </row>
    <row r="42" spans="2:81" hidden="1" outlineLevel="1">
      <c r="B42" t="s">
        <v>29</v>
      </c>
      <c r="E42" s="11"/>
      <c r="F42" t="s">
        <v>68</v>
      </c>
      <c r="G42" s="12">
        <v>0.1</v>
      </c>
      <c r="I42" s="11">
        <f t="shared" si="7"/>
        <v>0</v>
      </c>
      <c r="J42" s="13">
        <f t="shared" si="6"/>
        <v>0</v>
      </c>
      <c r="K42" s="13">
        <f t="shared" si="6"/>
        <v>0</v>
      </c>
      <c r="L42" s="11"/>
      <c r="O42" s="12"/>
      <c r="P42" s="12"/>
      <c r="Q42" s="12"/>
      <c r="R42" s="12"/>
      <c r="V42" s="12"/>
      <c r="W42" s="12"/>
      <c r="X42" s="12"/>
      <c r="Y42" s="12"/>
      <c r="AC42" s="12"/>
      <c r="AD42" s="12"/>
      <c r="AE42" s="12"/>
      <c r="AF42" s="12"/>
      <c r="AJ42" s="12"/>
      <c r="AK42" s="12"/>
      <c r="AL42" s="12"/>
      <c r="AM42" s="12"/>
      <c r="AQ42" s="12"/>
      <c r="AR42" s="12">
        <v>1</v>
      </c>
      <c r="AS42" s="12"/>
      <c r="AT42" s="12">
        <v>1</v>
      </c>
      <c r="AX42" s="12"/>
      <c r="AY42" s="12"/>
      <c r="AZ42" s="12"/>
      <c r="BA42" s="12"/>
      <c r="BE42" s="12"/>
      <c r="BF42" s="12"/>
      <c r="BG42" s="12"/>
      <c r="BH42" s="12"/>
      <c r="BL42" s="12"/>
      <c r="BM42" s="12"/>
      <c r="BN42" s="12"/>
      <c r="BO42" s="12"/>
      <c r="BS42" s="12"/>
      <c r="BT42" s="12"/>
      <c r="BU42" s="12"/>
      <c r="BV42" s="12"/>
      <c r="BZ42" s="12"/>
      <c r="CA42" s="12"/>
      <c r="CB42" s="12"/>
      <c r="CC42" s="12"/>
    </row>
    <row r="43" spans="2:81" hidden="1" outlineLevel="1">
      <c r="B43" t="s">
        <v>29</v>
      </c>
      <c r="E43" s="11"/>
      <c r="F43" t="s">
        <v>69</v>
      </c>
      <c r="G43" s="12">
        <v>0.1</v>
      </c>
      <c r="I43" s="11">
        <f t="shared" si="7"/>
        <v>0</v>
      </c>
      <c r="J43" s="13">
        <f t="shared" si="6"/>
        <v>0</v>
      </c>
      <c r="K43" s="13">
        <f t="shared" si="6"/>
        <v>0</v>
      </c>
      <c r="L43" s="11"/>
      <c r="O43" s="12"/>
      <c r="P43" s="12"/>
      <c r="Q43" s="12"/>
      <c r="R43" s="12"/>
      <c r="V43" s="12"/>
      <c r="W43" s="12"/>
      <c r="X43" s="12"/>
      <c r="Y43" s="12"/>
      <c r="AC43" s="12"/>
      <c r="AD43" s="12"/>
      <c r="AE43" s="12"/>
      <c r="AF43" s="12"/>
      <c r="AJ43" s="12"/>
      <c r="AK43" s="12"/>
      <c r="AL43" s="12"/>
      <c r="AM43" s="12"/>
      <c r="AQ43" s="12"/>
      <c r="AR43" s="12">
        <v>1</v>
      </c>
      <c r="AS43" s="12"/>
      <c r="AT43" s="12">
        <v>1</v>
      </c>
      <c r="AX43" s="12"/>
      <c r="AY43" s="12"/>
      <c r="AZ43" s="12"/>
      <c r="BA43" s="12"/>
      <c r="BE43" s="12"/>
      <c r="BF43" s="12"/>
      <c r="BG43" s="12"/>
      <c r="BH43" s="12"/>
      <c r="BL43" s="12"/>
      <c r="BM43" s="12"/>
      <c r="BN43" s="12"/>
      <c r="BO43" s="12"/>
      <c r="BS43" s="12"/>
      <c r="BT43" s="12"/>
      <c r="BU43" s="12"/>
      <c r="BV43" s="12"/>
      <c r="BZ43" s="12"/>
      <c r="CA43" s="12"/>
      <c r="CB43" s="12"/>
      <c r="CC43" s="12"/>
    </row>
    <row r="44" spans="2:81" hidden="1" outlineLevel="1">
      <c r="B44" t="s">
        <v>29</v>
      </c>
      <c r="E44" s="11"/>
      <c r="F44" t="s">
        <v>70</v>
      </c>
      <c r="G44" s="12">
        <v>0.1</v>
      </c>
      <c r="I44" s="11">
        <f t="shared" si="7"/>
        <v>0</v>
      </c>
      <c r="J44" s="13">
        <f t="shared" si="6"/>
        <v>0</v>
      </c>
      <c r="K44" s="13">
        <f t="shared" si="6"/>
        <v>0</v>
      </c>
      <c r="L44" s="11"/>
      <c r="O44" s="12"/>
      <c r="P44" s="12"/>
      <c r="Q44" s="12"/>
      <c r="R44" s="12"/>
      <c r="V44" s="12"/>
      <c r="W44" s="12"/>
      <c r="X44" s="12"/>
      <c r="Y44" s="12"/>
      <c r="AC44" s="12"/>
      <c r="AD44" s="12"/>
      <c r="AE44" s="12"/>
      <c r="AF44" s="12"/>
      <c r="AJ44" s="12"/>
      <c r="AK44" s="12"/>
      <c r="AL44" s="12"/>
      <c r="AM44" s="12"/>
      <c r="AQ44" s="12"/>
      <c r="AR44" s="12">
        <v>1</v>
      </c>
      <c r="AS44" s="12"/>
      <c r="AT44" s="12">
        <v>1</v>
      </c>
      <c r="AX44" s="12"/>
      <c r="AY44" s="12"/>
      <c r="AZ44" s="12"/>
      <c r="BA44" s="12"/>
      <c r="BE44" s="12"/>
      <c r="BF44" s="12"/>
      <c r="BG44" s="12"/>
      <c r="BH44" s="12"/>
      <c r="BL44" s="12"/>
      <c r="BM44" s="12"/>
      <c r="BN44" s="12"/>
      <c r="BO44" s="12"/>
      <c r="BS44" s="12"/>
      <c r="BT44" s="12"/>
      <c r="BU44" s="12"/>
      <c r="BV44" s="12"/>
      <c r="BZ44" s="12"/>
      <c r="CA44" s="12"/>
      <c r="CB44" s="12"/>
      <c r="CC44" s="12"/>
    </row>
    <row r="45" spans="2:81" hidden="1" outlineLevel="1">
      <c r="B45" t="s">
        <v>29</v>
      </c>
      <c r="E45" s="11"/>
      <c r="F45" t="s">
        <v>71</v>
      </c>
      <c r="G45" s="12">
        <v>0.1</v>
      </c>
      <c r="I45" s="11">
        <f t="shared" si="7"/>
        <v>0</v>
      </c>
      <c r="J45" s="13">
        <f t="shared" si="6"/>
        <v>0</v>
      </c>
      <c r="K45" s="13">
        <f t="shared" si="6"/>
        <v>0</v>
      </c>
      <c r="L45" s="11"/>
      <c r="O45" s="12"/>
      <c r="P45" s="12"/>
      <c r="Q45" s="12"/>
      <c r="R45" s="12"/>
      <c r="V45" s="12"/>
      <c r="W45" s="12"/>
      <c r="X45" s="12"/>
      <c r="Y45" s="12"/>
      <c r="AC45" s="12"/>
      <c r="AD45" s="12"/>
      <c r="AE45" s="12"/>
      <c r="AF45" s="12"/>
      <c r="AJ45" s="12"/>
      <c r="AK45" s="12"/>
      <c r="AL45" s="12"/>
      <c r="AM45" s="12"/>
      <c r="AQ45" s="12"/>
      <c r="AR45" s="12">
        <v>1</v>
      </c>
      <c r="AS45" s="12"/>
      <c r="AT45" s="12">
        <v>1</v>
      </c>
      <c r="AX45" s="12"/>
      <c r="AY45" s="12"/>
      <c r="AZ45" s="12"/>
      <c r="BA45" s="12"/>
      <c r="BE45" s="12"/>
      <c r="BF45" s="12"/>
      <c r="BG45" s="12"/>
      <c r="BH45" s="12"/>
      <c r="BL45" s="12"/>
      <c r="BM45" s="12"/>
      <c r="BN45" s="12"/>
      <c r="BO45" s="12"/>
      <c r="BS45" s="12"/>
      <c r="BT45" s="12"/>
      <c r="BU45" s="12"/>
      <c r="BV45" s="12"/>
      <c r="BZ45" s="12"/>
      <c r="CA45" s="12"/>
      <c r="CB45" s="12"/>
      <c r="CC45" s="12"/>
    </row>
    <row r="46" spans="2:81" hidden="1" outlineLevel="1">
      <c r="B46" t="s">
        <v>29</v>
      </c>
      <c r="E46" s="11"/>
      <c r="F46" t="s">
        <v>94</v>
      </c>
      <c r="G46" s="12">
        <v>0.1</v>
      </c>
      <c r="I46" s="11">
        <f t="shared" si="7"/>
        <v>0</v>
      </c>
      <c r="J46" s="13">
        <f t="shared" si="6"/>
        <v>0</v>
      </c>
      <c r="K46" s="13">
        <f t="shared" si="6"/>
        <v>0</v>
      </c>
      <c r="L46" s="11"/>
      <c r="O46" s="12"/>
      <c r="P46" s="12"/>
      <c r="Q46" s="12"/>
      <c r="R46" s="12"/>
      <c r="V46" s="12"/>
      <c r="W46" s="12"/>
      <c r="X46" s="12"/>
      <c r="Y46" s="12"/>
      <c r="AC46" s="12"/>
      <c r="AD46" s="12"/>
      <c r="AE46" s="12"/>
      <c r="AF46" s="12"/>
      <c r="AJ46" s="12"/>
      <c r="AK46" s="12"/>
      <c r="AL46" s="12"/>
      <c r="AM46" s="12"/>
      <c r="AQ46" s="12"/>
      <c r="AR46" s="12">
        <v>1</v>
      </c>
      <c r="AS46" s="12"/>
      <c r="AT46" s="12">
        <v>1</v>
      </c>
      <c r="AX46" s="12"/>
      <c r="AY46" s="12"/>
      <c r="AZ46" s="12"/>
      <c r="BA46" s="12"/>
      <c r="BE46" s="12"/>
      <c r="BF46" s="12"/>
      <c r="BG46" s="12"/>
      <c r="BH46" s="12"/>
      <c r="BL46" s="12"/>
      <c r="BM46" s="12"/>
      <c r="BN46" s="12"/>
      <c r="BO46" s="12"/>
      <c r="BS46" s="12"/>
      <c r="BT46" s="12"/>
      <c r="BU46" s="12"/>
      <c r="BV46" s="12"/>
      <c r="BZ46" s="12"/>
      <c r="CA46" s="12"/>
      <c r="CB46" s="12"/>
      <c r="CC46" s="12"/>
    </row>
    <row r="47" spans="2:81" hidden="1" outlineLevel="1">
      <c r="B47" t="s">
        <v>29</v>
      </c>
      <c r="E47" s="11"/>
      <c r="F47" t="s">
        <v>95</v>
      </c>
      <c r="G47" s="12">
        <v>0.1</v>
      </c>
      <c r="I47" s="11">
        <f>+SUMIF($N$3:$ZZ$3,I$3,$N47:$ZZ47)</f>
        <v>0</v>
      </c>
      <c r="J47" s="13">
        <f t="shared" si="6"/>
        <v>0</v>
      </c>
      <c r="K47" s="13">
        <f t="shared" si="6"/>
        <v>0</v>
      </c>
      <c r="L47" s="11"/>
      <c r="O47" s="12"/>
      <c r="P47" s="12"/>
      <c r="Q47" s="12"/>
      <c r="R47" s="12"/>
      <c r="V47" s="12"/>
      <c r="W47" s="12"/>
      <c r="X47" s="12"/>
      <c r="Y47" s="12"/>
      <c r="AC47" s="12"/>
      <c r="AD47" s="12"/>
      <c r="AE47" s="12"/>
      <c r="AF47" s="12"/>
      <c r="AJ47" s="12"/>
      <c r="AK47" s="12"/>
      <c r="AL47" s="12"/>
      <c r="AM47" s="12"/>
      <c r="AQ47" s="12"/>
      <c r="AR47" s="12">
        <v>1</v>
      </c>
      <c r="AS47" s="12"/>
      <c r="AT47" s="12">
        <v>1</v>
      </c>
      <c r="AX47" s="12"/>
      <c r="AY47" s="12"/>
      <c r="AZ47" s="12"/>
      <c r="BA47" s="12"/>
      <c r="BE47" s="12"/>
      <c r="BF47" s="12"/>
      <c r="BG47" s="12"/>
      <c r="BH47" s="12"/>
      <c r="BL47" s="12"/>
      <c r="BM47" s="12"/>
      <c r="BN47" s="12"/>
      <c r="BO47" s="12"/>
      <c r="BS47" s="12"/>
      <c r="BT47" s="12"/>
      <c r="BU47" s="12"/>
      <c r="BV47" s="12"/>
      <c r="BZ47" s="12"/>
      <c r="CA47" s="12"/>
      <c r="CB47" s="12"/>
      <c r="CC47" s="12"/>
    </row>
    <row r="48" spans="2:81" collapsed="1">
      <c r="O48" s="9"/>
      <c r="V48" s="9"/>
      <c r="AC48" s="9"/>
      <c r="AJ48" s="9"/>
      <c r="AQ48" s="9"/>
      <c r="AX48" s="9"/>
      <c r="BE48" s="9"/>
      <c r="BL48" s="9"/>
      <c r="BS48" s="9"/>
      <c r="BZ48" s="9"/>
    </row>
    <row r="49" spans="2:81">
      <c r="B49" t="s">
        <v>28</v>
      </c>
      <c r="C49" t="s">
        <v>96</v>
      </c>
      <c r="E49" s="11">
        <v>5</v>
      </c>
      <c r="G49" s="12">
        <f>+SUM(G50:G53)</f>
        <v>0.25</v>
      </c>
      <c r="I49" s="14">
        <f>+SUM(I50:I53)</f>
        <v>0</v>
      </c>
      <c r="J49" s="13">
        <f>+SUMPRODUCT(G50:G53,J50:J53)</f>
        <v>0</v>
      </c>
      <c r="K49" s="13">
        <f>+SUMPRODUCT(G50:G53,K50:K53)</f>
        <v>0</v>
      </c>
      <c r="L49" s="11"/>
      <c r="N49" s="14">
        <f>+SUM(N50:N53)</f>
        <v>0</v>
      </c>
      <c r="U49" s="14">
        <f>+SUM(U50:U53)</f>
        <v>0</v>
      </c>
      <c r="AB49" s="14">
        <f>+SUM(AB50:AB53)</f>
        <v>0</v>
      </c>
      <c r="AI49" s="14">
        <f>+SUM(AI50:AI53)</f>
        <v>0</v>
      </c>
      <c r="AP49" s="14">
        <f>+SUM(AP50:AP53)</f>
        <v>0</v>
      </c>
      <c r="AW49" s="14">
        <f>+SUM(AW50:AW53)</f>
        <v>0</v>
      </c>
      <c r="BD49" s="14">
        <f>+SUM(BD50:BD53)</f>
        <v>0</v>
      </c>
      <c r="BK49" s="14">
        <f>+SUM(BK50:BK53)</f>
        <v>0</v>
      </c>
      <c r="BR49" s="14">
        <f>+SUM(BR50:BR53)</f>
        <v>0</v>
      </c>
      <c r="BY49" s="14">
        <f>+SUM(BY50:BY53)</f>
        <v>0</v>
      </c>
    </row>
    <row r="50" spans="2:81" hidden="1" outlineLevel="1">
      <c r="B50" t="s">
        <v>29</v>
      </c>
      <c r="E50" s="11"/>
      <c r="F50" t="s">
        <v>97</v>
      </c>
      <c r="G50" s="12">
        <v>0.1</v>
      </c>
      <c r="I50" s="11">
        <f>+SUMIF($N$3:$ZZ$3,I$3,$N50:$ZZ50)</f>
        <v>0</v>
      </c>
      <c r="J50" s="13">
        <f t="shared" ref="J50:K53" si="8">+_xlfn.MAXIFS($N50:$ZF50,$N$3:$ZF$3,J$3)</f>
        <v>0</v>
      </c>
      <c r="K50" s="13">
        <f t="shared" si="8"/>
        <v>0</v>
      </c>
      <c r="L50" s="11"/>
      <c r="O50" s="12"/>
      <c r="P50" s="12">
        <v>0.5</v>
      </c>
      <c r="Q50" s="12"/>
      <c r="R50" s="12"/>
      <c r="V50" s="12"/>
      <c r="W50" s="12">
        <v>0.5</v>
      </c>
      <c r="X50" s="12"/>
      <c r="Y50" s="12"/>
      <c r="AC50" s="12"/>
      <c r="AD50" s="12">
        <v>0.5</v>
      </c>
      <c r="AE50" s="12"/>
      <c r="AF50" s="12"/>
      <c r="AJ50" s="12"/>
      <c r="AK50" s="12">
        <v>0.5</v>
      </c>
      <c r="AL50" s="12"/>
      <c r="AM50" s="12"/>
      <c r="AQ50" s="12"/>
      <c r="AR50" s="12">
        <v>0.8</v>
      </c>
      <c r="AS50" s="12"/>
      <c r="AT50" s="12">
        <v>0.8</v>
      </c>
      <c r="AX50" s="12"/>
      <c r="AY50" s="12">
        <v>0.8</v>
      </c>
      <c r="AZ50" s="12"/>
      <c r="BA50" s="12"/>
      <c r="BE50" s="12"/>
      <c r="BF50" s="12">
        <v>0.8</v>
      </c>
      <c r="BG50" s="12"/>
      <c r="BH50" s="12"/>
      <c r="BL50" s="12"/>
      <c r="BM50" s="12">
        <v>1</v>
      </c>
      <c r="BN50" s="12"/>
      <c r="BO50" s="12"/>
      <c r="BS50" s="12"/>
      <c r="BT50" s="12">
        <v>1</v>
      </c>
      <c r="BU50" s="12"/>
      <c r="BV50" s="12"/>
      <c r="BZ50" s="12"/>
      <c r="CA50" s="12">
        <v>1</v>
      </c>
      <c r="CB50" s="12"/>
      <c r="CC50" s="12"/>
    </row>
    <row r="51" spans="2:81" hidden="1" outlineLevel="1">
      <c r="B51" t="s">
        <v>29</v>
      </c>
      <c r="E51" s="11"/>
      <c r="F51" t="s">
        <v>98</v>
      </c>
      <c r="G51" s="12">
        <v>0.05</v>
      </c>
      <c r="I51" s="11">
        <f t="shared" ref="I51:I53" si="9">+SUMIF($N$3:$ZZ$3,I$3,$N51:$ZZ51)</f>
        <v>0</v>
      </c>
      <c r="J51" s="13">
        <f t="shared" si="8"/>
        <v>0</v>
      </c>
      <c r="K51" s="13">
        <f t="shared" si="8"/>
        <v>0</v>
      </c>
      <c r="L51" s="11"/>
      <c r="O51" s="12"/>
      <c r="P51" s="12"/>
      <c r="Q51" s="12"/>
      <c r="R51" s="12"/>
      <c r="V51" s="12"/>
      <c r="W51" s="12">
        <v>0.5</v>
      </c>
      <c r="X51" s="12"/>
      <c r="Y51" s="12"/>
      <c r="AC51" s="12"/>
      <c r="AD51" s="12">
        <v>0.5</v>
      </c>
      <c r="AE51" s="12"/>
      <c r="AF51" s="12"/>
      <c r="AJ51" s="12"/>
      <c r="AK51" s="12">
        <v>0.5</v>
      </c>
      <c r="AL51" s="12"/>
      <c r="AM51" s="12"/>
      <c r="AQ51" s="12"/>
      <c r="AR51" s="12">
        <v>0.8</v>
      </c>
      <c r="AS51" s="12"/>
      <c r="AT51" s="12">
        <v>0.8</v>
      </c>
      <c r="AX51" s="12"/>
      <c r="AY51" s="12">
        <v>0.8</v>
      </c>
      <c r="AZ51" s="12"/>
      <c r="BA51" s="12"/>
      <c r="BE51" s="12"/>
      <c r="BF51" s="12">
        <v>0.8</v>
      </c>
      <c r="BG51" s="12"/>
      <c r="BH51" s="12"/>
      <c r="BL51" s="12"/>
      <c r="BM51" s="12">
        <v>1</v>
      </c>
      <c r="BN51" s="12"/>
      <c r="BO51" s="12"/>
      <c r="BS51" s="12"/>
      <c r="BT51" s="12">
        <v>1</v>
      </c>
      <c r="BU51" s="12"/>
      <c r="BV51" s="12"/>
      <c r="BZ51" s="12"/>
      <c r="CA51" s="12">
        <v>1</v>
      </c>
      <c r="CB51" s="12"/>
      <c r="CC51" s="12"/>
    </row>
    <row r="52" spans="2:81" hidden="1" outlineLevel="1">
      <c r="B52" t="s">
        <v>29</v>
      </c>
      <c r="E52" s="11"/>
      <c r="F52" t="s">
        <v>99</v>
      </c>
      <c r="G52" s="12">
        <v>0.05</v>
      </c>
      <c r="I52" s="11">
        <f t="shared" si="9"/>
        <v>0</v>
      </c>
      <c r="J52" s="13">
        <f t="shared" si="8"/>
        <v>0</v>
      </c>
      <c r="K52" s="13">
        <f t="shared" si="8"/>
        <v>0</v>
      </c>
      <c r="L52" s="11"/>
      <c r="O52" s="12"/>
      <c r="P52" s="12"/>
      <c r="Q52" s="12"/>
      <c r="R52" s="12"/>
      <c r="V52" s="12"/>
      <c r="W52" s="12"/>
      <c r="X52" s="12"/>
      <c r="Y52" s="12"/>
      <c r="AC52" s="12"/>
      <c r="AD52" s="12">
        <v>0.5</v>
      </c>
      <c r="AE52" s="12"/>
      <c r="AF52" s="12"/>
      <c r="AJ52" s="12"/>
      <c r="AK52" s="12">
        <v>0.5</v>
      </c>
      <c r="AL52" s="12"/>
      <c r="AM52" s="12"/>
      <c r="AQ52" s="12"/>
      <c r="AR52" s="12">
        <v>0.8</v>
      </c>
      <c r="AS52" s="12"/>
      <c r="AT52" s="12">
        <v>0.8</v>
      </c>
      <c r="AX52" s="12"/>
      <c r="AY52" s="12">
        <v>0.8</v>
      </c>
      <c r="AZ52" s="12"/>
      <c r="BA52" s="12"/>
      <c r="BE52" s="12"/>
      <c r="BF52" s="12">
        <v>0.8</v>
      </c>
      <c r="BG52" s="12"/>
      <c r="BH52" s="12"/>
      <c r="BL52" s="12"/>
      <c r="BM52" s="12">
        <v>1</v>
      </c>
      <c r="BN52" s="12"/>
      <c r="BO52" s="12"/>
      <c r="BS52" s="12"/>
      <c r="BT52" s="12">
        <v>1</v>
      </c>
      <c r="BU52" s="12"/>
      <c r="BV52" s="12"/>
      <c r="BZ52" s="12"/>
      <c r="CA52" s="12">
        <v>1</v>
      </c>
      <c r="CB52" s="12"/>
      <c r="CC52" s="12"/>
    </row>
    <row r="53" spans="2:81" hidden="1" outlineLevel="1">
      <c r="B53" t="s">
        <v>29</v>
      </c>
      <c r="E53" s="11"/>
      <c r="F53" t="s">
        <v>100</v>
      </c>
      <c r="G53" s="12">
        <v>0.05</v>
      </c>
      <c r="I53" s="11">
        <f t="shared" si="9"/>
        <v>0</v>
      </c>
      <c r="J53" s="13">
        <f t="shared" si="8"/>
        <v>0</v>
      </c>
      <c r="K53" s="13">
        <f t="shared" si="8"/>
        <v>0</v>
      </c>
      <c r="L53" s="11"/>
      <c r="O53" s="12"/>
      <c r="P53" s="12"/>
      <c r="Q53" s="12"/>
      <c r="R53" s="12"/>
      <c r="V53" s="12"/>
      <c r="W53" s="12"/>
      <c r="X53" s="12"/>
      <c r="Y53" s="12"/>
      <c r="AC53" s="12"/>
      <c r="AD53" s="12"/>
      <c r="AE53" s="12"/>
      <c r="AF53" s="12"/>
      <c r="AJ53" s="12"/>
      <c r="AK53" s="12">
        <v>0.5</v>
      </c>
      <c r="AL53" s="12"/>
      <c r="AM53" s="12"/>
      <c r="AQ53" s="12"/>
      <c r="AR53" s="12">
        <v>0.8</v>
      </c>
      <c r="AS53" s="12"/>
      <c r="AT53" s="12">
        <v>0.8</v>
      </c>
      <c r="AX53" s="12"/>
      <c r="AY53" s="12">
        <v>0.8</v>
      </c>
      <c r="AZ53" s="12"/>
      <c r="BA53" s="12"/>
      <c r="BE53" s="12"/>
      <c r="BF53" s="12">
        <v>0.8</v>
      </c>
      <c r="BG53" s="12"/>
      <c r="BH53" s="12"/>
      <c r="BL53" s="12"/>
      <c r="BM53" s="12">
        <v>1</v>
      </c>
      <c r="BN53" s="12"/>
      <c r="BO53" s="12"/>
      <c r="BS53" s="12"/>
      <c r="BT53" s="12">
        <v>1</v>
      </c>
      <c r="BU53" s="12"/>
      <c r="BV53" s="12"/>
      <c r="BZ53" s="12"/>
      <c r="CA53" s="12">
        <v>1</v>
      </c>
      <c r="CB53" s="12"/>
      <c r="CC53" s="12"/>
    </row>
    <row r="54" spans="2:81" collapsed="1">
      <c r="O54" s="9"/>
      <c r="V54" s="9"/>
      <c r="AC54" s="9"/>
      <c r="AJ54" s="9"/>
      <c r="AQ54" s="9"/>
      <c r="AX54" s="9"/>
      <c r="BE54" s="9"/>
      <c r="BL54" s="9"/>
      <c r="BS54" s="9"/>
      <c r="BZ54" s="9"/>
    </row>
    <row r="55" spans="2:81">
      <c r="B55" t="s">
        <v>28</v>
      </c>
      <c r="C55" t="s">
        <v>101</v>
      </c>
      <c r="E55" s="11">
        <v>5</v>
      </c>
      <c r="G55" s="12">
        <f>+SUM(G56:G63)</f>
        <v>0.6</v>
      </c>
      <c r="I55" s="14">
        <f>+SUM(I56:I63)</f>
        <v>0</v>
      </c>
      <c r="J55" s="13">
        <f>+SUMPRODUCT(G56:G63,J56:J63)</f>
        <v>0.12000000000000002</v>
      </c>
      <c r="K55" s="13">
        <f>+SUMPRODUCT(G56:G63,K56:K63)</f>
        <v>0</v>
      </c>
      <c r="L55" s="11"/>
      <c r="N55" s="14">
        <f>+SUM(N56:N63)</f>
        <v>0</v>
      </c>
      <c r="U55" s="14">
        <f>+SUM(U56:U63)</f>
        <v>0</v>
      </c>
      <c r="AB55" s="14">
        <f>+SUM(AB56:AB63)</f>
        <v>0</v>
      </c>
      <c r="AI55" s="14">
        <f>+SUM(AI56:AI63)</f>
        <v>0</v>
      </c>
      <c r="AP55" s="14">
        <f>+SUM(AP56:AP63)</f>
        <v>0</v>
      </c>
      <c r="AW55" s="14">
        <f>+SUM(AW56:AW63)</f>
        <v>0</v>
      </c>
      <c r="BD55" s="14">
        <f>+SUM(BD56:BD63)</f>
        <v>0</v>
      </c>
      <c r="BK55" s="14">
        <f>+SUM(BK56:BK63)</f>
        <v>0</v>
      </c>
      <c r="BR55" s="14">
        <f>+SUM(BR56:BR63)</f>
        <v>0</v>
      </c>
      <c r="BY55" s="14">
        <f>+SUM(BY56:BY63)</f>
        <v>0</v>
      </c>
    </row>
    <row r="56" spans="2:81" hidden="1" outlineLevel="1">
      <c r="B56" t="s">
        <v>29</v>
      </c>
      <c r="E56" s="11"/>
      <c r="F56" t="s">
        <v>31</v>
      </c>
      <c r="G56" s="12">
        <v>0.1</v>
      </c>
      <c r="I56" s="11">
        <f>+SUMIF($N$3:$ZZ$3,I$3,$N56:$ZZ56)</f>
        <v>0</v>
      </c>
      <c r="J56" s="13">
        <f t="shared" ref="J56:K63" si="10">+_xlfn.MAXIFS($N56:$ZF56,$N$3:$ZF$3,J$3)</f>
        <v>0.8</v>
      </c>
      <c r="K56" s="13">
        <f t="shared" si="10"/>
        <v>0</v>
      </c>
      <c r="L56" s="11"/>
      <c r="O56" s="12">
        <v>0.8</v>
      </c>
      <c r="P56" s="12">
        <v>1</v>
      </c>
      <c r="Q56" s="12"/>
      <c r="R56" s="12"/>
      <c r="V56" s="12">
        <v>0.8</v>
      </c>
      <c r="W56" s="12">
        <v>1</v>
      </c>
      <c r="X56" s="12"/>
      <c r="Y56" s="12"/>
      <c r="AC56" s="12"/>
      <c r="AD56" s="12">
        <v>1</v>
      </c>
      <c r="AE56" s="12"/>
      <c r="AF56" s="12"/>
      <c r="AJ56" s="12"/>
      <c r="AK56" s="12">
        <v>1</v>
      </c>
      <c r="AL56" s="12"/>
      <c r="AM56" s="12"/>
      <c r="AQ56" s="12"/>
      <c r="AR56" s="12">
        <v>1</v>
      </c>
      <c r="AS56" s="12"/>
      <c r="AT56" s="12">
        <v>1</v>
      </c>
      <c r="AX56" s="12"/>
      <c r="AY56" s="12">
        <v>1</v>
      </c>
      <c r="AZ56" s="12"/>
      <c r="BA56" s="12"/>
      <c r="BE56" s="12"/>
      <c r="BF56" s="12">
        <v>1</v>
      </c>
      <c r="BG56" s="12"/>
      <c r="BH56" s="12"/>
      <c r="BL56" s="12"/>
      <c r="BM56" s="12">
        <v>1</v>
      </c>
      <c r="BN56" s="12"/>
      <c r="BO56" s="12"/>
      <c r="BS56" s="12"/>
      <c r="BT56" s="12"/>
      <c r="BU56" s="12"/>
      <c r="BV56" s="12"/>
      <c r="BZ56" s="12"/>
      <c r="CA56" s="12"/>
      <c r="CB56" s="12"/>
      <c r="CC56" s="12"/>
    </row>
    <row r="57" spans="2:81" hidden="1" outlineLevel="1">
      <c r="B57" t="s">
        <v>29</v>
      </c>
      <c r="E57" s="11"/>
      <c r="F57" t="s">
        <v>102</v>
      </c>
      <c r="G57" s="12">
        <v>0.05</v>
      </c>
      <c r="I57" s="11">
        <f t="shared" ref="I57:I63" si="11">+SUMIF($N$3:$ZZ$3,I$3,$N57:$ZZ57)</f>
        <v>0</v>
      </c>
      <c r="J57" s="13">
        <f t="shared" si="10"/>
        <v>0.8</v>
      </c>
      <c r="K57" s="13">
        <f t="shared" si="10"/>
        <v>0</v>
      </c>
      <c r="L57" s="11"/>
      <c r="O57" s="12"/>
      <c r="P57" s="12"/>
      <c r="Q57" s="12"/>
      <c r="R57" s="12"/>
      <c r="V57" s="12">
        <v>0.8</v>
      </c>
      <c r="W57" s="12">
        <v>1</v>
      </c>
      <c r="X57" s="12"/>
      <c r="Y57" s="12"/>
      <c r="AC57" s="12"/>
      <c r="AD57" s="12">
        <v>1</v>
      </c>
      <c r="AE57" s="12"/>
      <c r="AF57" s="12"/>
      <c r="AJ57" s="12"/>
      <c r="AK57" s="12">
        <v>1</v>
      </c>
      <c r="AL57" s="12"/>
      <c r="AM57" s="12"/>
      <c r="AQ57" s="12"/>
      <c r="AR57" s="12">
        <v>1</v>
      </c>
      <c r="AS57" s="12"/>
      <c r="AT57" s="12">
        <v>1</v>
      </c>
      <c r="AX57" s="12"/>
      <c r="AY57" s="12">
        <v>1</v>
      </c>
      <c r="AZ57" s="12"/>
      <c r="BA57" s="12"/>
      <c r="BE57" s="12"/>
      <c r="BF57" s="12">
        <v>1</v>
      </c>
      <c r="BG57" s="12"/>
      <c r="BH57" s="12"/>
      <c r="BL57" s="12"/>
      <c r="BM57" s="12">
        <v>1</v>
      </c>
      <c r="BN57" s="12"/>
      <c r="BO57" s="12"/>
      <c r="BS57" s="12"/>
      <c r="BT57" s="12"/>
      <c r="BU57" s="12"/>
      <c r="BV57" s="12"/>
      <c r="BZ57" s="12"/>
      <c r="CA57" s="12"/>
      <c r="CB57" s="12"/>
      <c r="CC57" s="12"/>
    </row>
    <row r="58" spans="2:81" hidden="1" outlineLevel="1">
      <c r="B58" t="s">
        <v>29</v>
      </c>
      <c r="E58" s="11"/>
      <c r="F58" t="s">
        <v>103</v>
      </c>
      <c r="G58" s="12">
        <v>0.05</v>
      </c>
      <c r="I58" s="11">
        <f t="shared" si="11"/>
        <v>0</v>
      </c>
      <c r="J58" s="13">
        <f t="shared" si="10"/>
        <v>0</v>
      </c>
      <c r="K58" s="13">
        <f t="shared" si="10"/>
        <v>0</v>
      </c>
      <c r="L58" s="11"/>
      <c r="O58" s="12"/>
      <c r="P58" s="12"/>
      <c r="Q58" s="12"/>
      <c r="R58" s="12"/>
      <c r="V58" s="12"/>
      <c r="W58" s="12"/>
      <c r="X58" s="12"/>
      <c r="Y58" s="12"/>
      <c r="AC58" s="12"/>
      <c r="AD58" s="12">
        <v>1</v>
      </c>
      <c r="AE58" s="12"/>
      <c r="AF58" s="12"/>
      <c r="AJ58" s="12"/>
      <c r="AK58" s="12">
        <v>1</v>
      </c>
      <c r="AL58" s="12"/>
      <c r="AM58" s="12"/>
      <c r="AQ58" s="12"/>
      <c r="AR58" s="12">
        <v>1</v>
      </c>
      <c r="AS58" s="12"/>
      <c r="AT58" s="12">
        <v>1</v>
      </c>
      <c r="AX58" s="12"/>
      <c r="AY58" s="12">
        <v>1</v>
      </c>
      <c r="AZ58" s="12"/>
      <c r="BA58" s="12"/>
      <c r="BE58" s="12"/>
      <c r="BF58" s="12">
        <v>1</v>
      </c>
      <c r="BG58" s="12"/>
      <c r="BH58" s="12"/>
      <c r="BL58" s="12"/>
      <c r="BM58" s="12">
        <v>1</v>
      </c>
      <c r="BN58" s="12"/>
      <c r="BO58" s="12"/>
      <c r="BS58" s="12"/>
      <c r="BT58" s="12"/>
      <c r="BU58" s="12"/>
      <c r="BV58" s="12"/>
      <c r="BZ58" s="12"/>
      <c r="CA58" s="12"/>
      <c r="CB58" s="12"/>
      <c r="CC58" s="12"/>
    </row>
    <row r="59" spans="2:81" hidden="1" outlineLevel="1">
      <c r="B59" t="s">
        <v>29</v>
      </c>
      <c r="E59" s="11"/>
      <c r="F59" t="s">
        <v>104</v>
      </c>
      <c r="G59" s="12">
        <v>0.05</v>
      </c>
      <c r="I59" s="11">
        <f t="shared" si="11"/>
        <v>0</v>
      </c>
      <c r="J59" s="13">
        <f t="shared" si="10"/>
        <v>0</v>
      </c>
      <c r="K59" s="13">
        <f t="shared" si="10"/>
        <v>0</v>
      </c>
      <c r="L59" s="11"/>
      <c r="O59" s="12"/>
      <c r="P59" s="12"/>
      <c r="Q59" s="12"/>
      <c r="R59" s="12"/>
      <c r="V59" s="12"/>
      <c r="W59" s="12"/>
      <c r="X59" s="12"/>
      <c r="Y59" s="12"/>
      <c r="AC59" s="12"/>
      <c r="AD59" s="12"/>
      <c r="AE59" s="12"/>
      <c r="AF59" s="12"/>
      <c r="AJ59" s="12"/>
      <c r="AK59" s="12">
        <v>1</v>
      </c>
      <c r="AL59" s="12"/>
      <c r="AM59" s="12"/>
      <c r="AQ59" s="12"/>
      <c r="AR59" s="12">
        <v>1</v>
      </c>
      <c r="AS59" s="12"/>
      <c r="AT59" s="12">
        <v>1</v>
      </c>
      <c r="AX59" s="12"/>
      <c r="AY59" s="12">
        <v>1</v>
      </c>
      <c r="AZ59" s="12"/>
      <c r="BA59" s="12"/>
      <c r="BE59" s="12"/>
      <c r="BF59" s="12">
        <v>1</v>
      </c>
      <c r="BG59" s="12"/>
      <c r="BH59" s="12"/>
      <c r="BL59" s="12"/>
      <c r="BM59" s="12">
        <v>1</v>
      </c>
      <c r="BN59" s="12"/>
      <c r="BO59" s="12"/>
      <c r="BS59" s="12"/>
      <c r="BT59" s="12"/>
      <c r="BU59" s="12"/>
      <c r="BV59" s="12"/>
      <c r="BZ59" s="12"/>
      <c r="CA59" s="12"/>
      <c r="CB59" s="12"/>
      <c r="CC59" s="12"/>
    </row>
    <row r="60" spans="2:81" hidden="1" outlineLevel="1">
      <c r="B60" t="s">
        <v>29</v>
      </c>
      <c r="E60" s="11"/>
      <c r="F60" t="s">
        <v>105</v>
      </c>
      <c r="G60" s="12">
        <v>0.05</v>
      </c>
      <c r="I60" s="11">
        <f t="shared" si="11"/>
        <v>0</v>
      </c>
      <c r="J60" s="13">
        <f t="shared" si="10"/>
        <v>0</v>
      </c>
      <c r="K60" s="13">
        <f t="shared" si="10"/>
        <v>0</v>
      </c>
      <c r="L60" s="11"/>
      <c r="O60" s="12"/>
      <c r="P60" s="12"/>
      <c r="Q60" s="12"/>
      <c r="R60" s="12"/>
      <c r="V60" s="12"/>
      <c r="W60" s="12"/>
      <c r="X60" s="12"/>
      <c r="Y60" s="12"/>
      <c r="AC60" s="12"/>
      <c r="AD60" s="12"/>
      <c r="AE60" s="12"/>
      <c r="AF60" s="12"/>
      <c r="AJ60" s="12"/>
      <c r="AK60" s="12"/>
      <c r="AL60" s="12"/>
      <c r="AM60" s="12"/>
      <c r="AQ60" s="12"/>
      <c r="AR60" s="12">
        <v>1</v>
      </c>
      <c r="AS60" s="12"/>
      <c r="AT60" s="12">
        <v>1</v>
      </c>
      <c r="AX60" s="12"/>
      <c r="AY60" s="12">
        <v>1</v>
      </c>
      <c r="AZ60" s="12"/>
      <c r="BA60" s="12"/>
      <c r="BE60" s="12"/>
      <c r="BF60" s="12">
        <v>1</v>
      </c>
      <c r="BG60" s="12"/>
      <c r="BH60" s="12"/>
      <c r="BL60" s="12"/>
      <c r="BM60" s="12">
        <v>1</v>
      </c>
      <c r="BN60" s="12"/>
      <c r="BO60" s="12"/>
      <c r="BS60" s="12"/>
      <c r="BT60" s="12"/>
      <c r="BU60" s="12"/>
      <c r="BV60" s="12"/>
      <c r="BZ60" s="12"/>
      <c r="CA60" s="12"/>
      <c r="CB60" s="12"/>
      <c r="CC60" s="12"/>
    </row>
    <row r="61" spans="2:81" hidden="1" outlineLevel="1">
      <c r="B61" t="s">
        <v>29</v>
      </c>
      <c r="E61" s="11"/>
      <c r="F61" t="s">
        <v>106</v>
      </c>
      <c r="G61" s="12">
        <v>0.1</v>
      </c>
      <c r="I61" s="11">
        <f t="shared" si="11"/>
        <v>0</v>
      </c>
      <c r="J61" s="13">
        <f t="shared" si="10"/>
        <v>0</v>
      </c>
      <c r="K61" s="13">
        <f t="shared" si="10"/>
        <v>0</v>
      </c>
      <c r="L61" s="11"/>
      <c r="O61" s="12"/>
      <c r="P61" s="12"/>
      <c r="Q61" s="12"/>
      <c r="R61" s="12"/>
      <c r="V61" s="12"/>
      <c r="W61" s="12"/>
      <c r="X61" s="12"/>
      <c r="Y61" s="12"/>
      <c r="AC61" s="12"/>
      <c r="AD61" s="12"/>
      <c r="AE61" s="12"/>
      <c r="AF61" s="12"/>
      <c r="AJ61" s="12"/>
      <c r="AK61" s="12"/>
      <c r="AL61" s="12"/>
      <c r="AM61" s="12"/>
      <c r="AQ61" s="12"/>
      <c r="AR61" s="12"/>
      <c r="AS61" s="12"/>
      <c r="AT61" s="12"/>
      <c r="AX61" s="12"/>
      <c r="AY61" s="12">
        <v>1</v>
      </c>
      <c r="AZ61" s="12"/>
      <c r="BA61" s="12"/>
      <c r="BE61" s="12"/>
      <c r="BF61" s="12">
        <v>1</v>
      </c>
      <c r="BG61" s="12"/>
      <c r="BH61" s="12"/>
      <c r="BL61" s="12"/>
      <c r="BM61" s="12">
        <v>1</v>
      </c>
      <c r="BN61" s="12"/>
      <c r="BO61" s="12"/>
      <c r="BS61" s="12"/>
      <c r="BT61" s="12"/>
      <c r="BU61" s="12"/>
      <c r="BV61" s="12"/>
      <c r="BZ61" s="12"/>
      <c r="CA61" s="12"/>
      <c r="CB61" s="12"/>
      <c r="CC61" s="12"/>
    </row>
    <row r="62" spans="2:81" hidden="1" outlineLevel="1">
      <c r="B62" t="s">
        <v>29</v>
      </c>
      <c r="E62" s="11"/>
      <c r="F62" t="s">
        <v>107</v>
      </c>
      <c r="G62" s="12">
        <v>0.1</v>
      </c>
      <c r="I62" s="11">
        <f t="shared" si="11"/>
        <v>0</v>
      </c>
      <c r="J62" s="13">
        <f t="shared" si="10"/>
        <v>0</v>
      </c>
      <c r="K62" s="13">
        <f t="shared" si="10"/>
        <v>0</v>
      </c>
      <c r="L62" s="11"/>
      <c r="O62" s="12"/>
      <c r="P62" s="12"/>
      <c r="Q62" s="12"/>
      <c r="R62" s="12"/>
      <c r="V62" s="12"/>
      <c r="W62" s="12"/>
      <c r="X62" s="12"/>
      <c r="Y62" s="12"/>
      <c r="AC62" s="12"/>
      <c r="AD62" s="12"/>
      <c r="AE62" s="12"/>
      <c r="AF62" s="12"/>
      <c r="AJ62" s="12"/>
      <c r="AK62" s="12"/>
      <c r="AL62" s="12"/>
      <c r="AM62" s="12"/>
      <c r="AQ62" s="12"/>
      <c r="AR62" s="12"/>
      <c r="AS62" s="12"/>
      <c r="AT62" s="12"/>
      <c r="AX62" s="12"/>
      <c r="AY62" s="12"/>
      <c r="AZ62" s="12"/>
      <c r="BA62" s="12"/>
      <c r="BE62" s="12"/>
      <c r="BF62" s="12">
        <v>1</v>
      </c>
      <c r="BG62" s="12"/>
      <c r="BH62" s="12"/>
      <c r="BL62" s="12"/>
      <c r="BM62" s="12">
        <v>1</v>
      </c>
      <c r="BN62" s="12"/>
      <c r="BO62" s="12"/>
      <c r="BS62" s="12"/>
      <c r="BT62" s="12"/>
      <c r="BU62" s="12"/>
      <c r="BV62" s="12"/>
      <c r="BZ62" s="12"/>
      <c r="CA62" s="12"/>
      <c r="CB62" s="12"/>
      <c r="CC62" s="12"/>
    </row>
    <row r="63" spans="2:81" hidden="1" outlineLevel="1">
      <c r="B63" t="s">
        <v>29</v>
      </c>
      <c r="E63" s="11"/>
      <c r="F63" t="s">
        <v>108</v>
      </c>
      <c r="G63" s="12">
        <v>0.1</v>
      </c>
      <c r="I63" s="11">
        <f t="shared" si="11"/>
        <v>0</v>
      </c>
      <c r="J63" s="13">
        <f t="shared" si="10"/>
        <v>0</v>
      </c>
      <c r="K63" s="13">
        <f t="shared" si="10"/>
        <v>0</v>
      </c>
      <c r="L63" s="11"/>
      <c r="O63" s="12"/>
      <c r="P63" s="12"/>
      <c r="Q63" s="12"/>
      <c r="R63" s="12"/>
      <c r="V63" s="12"/>
      <c r="W63" s="12"/>
      <c r="X63" s="12"/>
      <c r="Y63" s="12"/>
      <c r="AC63" s="12"/>
      <c r="AD63" s="12"/>
      <c r="AE63" s="12"/>
      <c r="AF63" s="12"/>
      <c r="AJ63" s="12"/>
      <c r="AK63" s="12"/>
      <c r="AL63" s="12"/>
      <c r="AM63" s="12"/>
      <c r="AQ63" s="12"/>
      <c r="AR63" s="12"/>
      <c r="AS63" s="12"/>
      <c r="AT63" s="12"/>
      <c r="AX63" s="12"/>
      <c r="AY63" s="12"/>
      <c r="AZ63" s="12"/>
      <c r="BA63" s="12"/>
      <c r="BE63" s="12"/>
      <c r="BF63" s="12"/>
      <c r="BG63" s="12"/>
      <c r="BH63" s="12"/>
      <c r="BL63" s="12"/>
      <c r="BM63" s="12">
        <v>1</v>
      </c>
      <c r="BN63" s="12"/>
      <c r="BO63" s="12"/>
      <c r="BS63" s="12"/>
      <c r="BT63" s="12"/>
      <c r="BU63" s="12"/>
      <c r="BV63" s="12"/>
      <c r="BZ63" s="12"/>
      <c r="CA63" s="12"/>
      <c r="CB63" s="12"/>
      <c r="CC63" s="12"/>
    </row>
    <row r="64" spans="2:81" collapsed="1"/>
  </sheetData>
  <mergeCells count="11">
    <mergeCell ref="BK2:BP2"/>
    <mergeCell ref="BR2:BW2"/>
    <mergeCell ref="BY2:CD2"/>
    <mergeCell ref="I2:L2"/>
    <mergeCell ref="N2:S2"/>
    <mergeCell ref="BD2:BI2"/>
    <mergeCell ref="U2:Z2"/>
    <mergeCell ref="AB2:AG2"/>
    <mergeCell ref="AI2:AN2"/>
    <mergeCell ref="AP2:AU2"/>
    <mergeCell ref="AW2:BB2"/>
  </mergeCells>
  <conditionalFormatting sqref="O6:O15 Q6:Q15 AQ6:AQ15 AS6:AS15 BE6:BE15 BG6:BG15 V6:V15 X6:X15 AC6:AC15 AE6:AE15 AJ6:AJ15 AL6:AL15 AX6:AX15 AZ6:AZ15 O18:O27 Q18:Q27 AQ18:AQ27 AS18:AS27 BE18:BE27 BG18:BG27 V18:V27 X18:X27 AC18:AC27 AE18:AE27 AJ18:AJ27 AL18:AL27 AX18:AX27 AZ18:AZ27 O30:O33 Q30:Q33 AQ30:AQ33 AS30:AS33 BE30:BE33 BG30:BG33 V30:V33 X30:X33 AC30:AC33 AE30:AE33 AJ30:AJ33 AL30:AL33 AX30:AX33 AZ30:AZ33 BL30:BL33 BN30:BN33 BS30:BS33 BU30:BU33 BZ30:BZ33 CB30:CB33 O50:O53 Q50:Q53 AQ50:AQ53 AS50:AS53 BE50:BE53 BG50:BG53 V50:V53 X50:X53 AC50:AC53 AE50:AE53 AJ50:AJ53 AL50:AL53 AX50:AX53 AZ50:AZ53 BL50:BL53 BN50:BN53 BS50:BS53 BU50:BU53 BZ50:BZ53 CB50:CB53 O56:O63 Q56:Q63 AQ56:AQ63 AS56:AS63 BE56:BE63 BG56:BG63 V56:V63 X56:X63 AC56:AC63 AE56:AE63 AJ56:AJ63 AL56:AL63 AX56:AX63 AZ56:AZ63 BL56:BL63 BN56:BN63 BS56:BS63 BU56:BU63 BZ56:BZ63 CB56:CB63">
    <cfRule type="expression" dxfId="64" priority="408">
      <formula>OR(IF(O6&lt;P6,TRUE),IF(AND(P6="",O6&lt;&gt;""),TRUE))</formula>
    </cfRule>
    <cfRule type="expression" dxfId="63" priority="409">
      <formula>IF(O6&gt;=P6,IF(O6="",FALSE,TRUE))</formula>
    </cfRule>
  </conditionalFormatting>
  <conditionalFormatting sqref="J36:K47">
    <cfRule type="colorScale" priority="141">
      <colorScale>
        <cfvo type="percent" val="0"/>
        <cfvo type="percent" val="100"/>
        <color rgb="FFFF231B"/>
        <color rgb="FF10FF07"/>
      </colorScale>
    </cfRule>
  </conditionalFormatting>
  <conditionalFormatting sqref="O36:O47">
    <cfRule type="expression" dxfId="62" priority="139">
      <formula>OR(IF(O36&lt;P36,TRUE),IF(AND(P36="",O36&lt;&gt;""),TRUE))</formula>
    </cfRule>
    <cfRule type="expression" dxfId="61" priority="140">
      <formula>IF(O36&gt;=P36,IF(O36="",FALSE,TRUE))</formula>
    </cfRule>
  </conditionalFormatting>
  <conditionalFormatting sqref="Q36:Q47">
    <cfRule type="expression" dxfId="60" priority="137">
      <formula>OR(IF(Q36&lt;R36,TRUE),IF(AND(R36="",Q36&lt;&gt;""),TRUE))</formula>
    </cfRule>
    <cfRule type="expression" dxfId="59" priority="138">
      <formula>IF(Q36&gt;=R36,IF(Q36="",FALSE,TRUE))</formula>
    </cfRule>
  </conditionalFormatting>
  <conditionalFormatting sqref="AQ36:AQ47">
    <cfRule type="expression" dxfId="58" priority="123">
      <formula>OR(IF(AQ36&lt;AR36,TRUE),IF(AND(AR36="",AQ36&lt;&gt;""),TRUE))</formula>
    </cfRule>
    <cfRule type="expression" dxfId="57" priority="124">
      <formula>IF(AQ36&gt;=AR36,IF(AQ36="",FALSE,TRUE))</formula>
    </cfRule>
  </conditionalFormatting>
  <conditionalFormatting sqref="AS36:AS47">
    <cfRule type="expression" dxfId="56" priority="121">
      <formula>OR(IF(AS36&lt;AT36,TRUE),IF(AND(AT36="",AS36&lt;&gt;""),TRUE))</formula>
    </cfRule>
    <cfRule type="expression" dxfId="55" priority="122">
      <formula>IF(AS36&gt;=AT36,IF(AS36="",FALSE,TRUE))</formula>
    </cfRule>
  </conditionalFormatting>
  <conditionalFormatting sqref="BE36:BE47">
    <cfRule type="expression" dxfId="54" priority="115">
      <formula>OR(IF(BE36&lt;BF36,TRUE),IF(AND(BF36="",BE36&lt;&gt;""),TRUE))</formula>
    </cfRule>
    <cfRule type="expression" dxfId="53" priority="116">
      <formula>IF(BE36&gt;=BF36,IF(BE36="",FALSE,TRUE))</formula>
    </cfRule>
  </conditionalFormatting>
  <conditionalFormatting sqref="BG36:BG47">
    <cfRule type="expression" dxfId="52" priority="113">
      <formula>OR(IF(BG36&lt;BH36,TRUE),IF(AND(BH36="",BG36&lt;&gt;""),TRUE))</formula>
    </cfRule>
    <cfRule type="expression" dxfId="51" priority="114">
      <formula>IF(BG36&gt;=BH36,IF(BG36="",FALSE,TRUE))</formula>
    </cfRule>
  </conditionalFormatting>
  <conditionalFormatting sqref="V36:V47">
    <cfRule type="expression" dxfId="50" priority="135">
      <formula>OR(IF(V36&lt;W36,TRUE),IF(AND(W36="",V36&lt;&gt;""),TRUE))</formula>
    </cfRule>
    <cfRule type="expression" dxfId="49" priority="136">
      <formula>IF(V36&gt;=W36,IF(V36="",FALSE,TRUE))</formula>
    </cfRule>
  </conditionalFormatting>
  <conditionalFormatting sqref="X36:X47">
    <cfRule type="expression" dxfId="48" priority="133">
      <formula>OR(IF(X36&lt;Y36,TRUE),IF(AND(Y36="",X36&lt;&gt;""),TRUE))</formula>
    </cfRule>
    <cfRule type="expression" dxfId="47" priority="134">
      <formula>IF(X36&gt;=Y36,IF(X36="",FALSE,TRUE))</formula>
    </cfRule>
  </conditionalFormatting>
  <conditionalFormatting sqref="AC36:AC47">
    <cfRule type="expression" dxfId="46" priority="131">
      <formula>OR(IF(AC36&lt;AD36,TRUE),IF(AND(AD36="",AC36&lt;&gt;""),TRUE))</formula>
    </cfRule>
    <cfRule type="expression" dxfId="45" priority="132">
      <formula>IF(AC36&gt;=AD36,IF(AC36="",FALSE,TRUE))</formula>
    </cfRule>
  </conditionalFormatting>
  <conditionalFormatting sqref="AE36:AE47">
    <cfRule type="expression" dxfId="44" priority="129">
      <formula>OR(IF(AE36&lt;AF36,TRUE),IF(AND(AF36="",AE36&lt;&gt;""),TRUE))</formula>
    </cfRule>
    <cfRule type="expression" dxfId="43" priority="130">
      <formula>IF(AE36&gt;=AF36,IF(AE36="",FALSE,TRUE))</formula>
    </cfRule>
  </conditionalFormatting>
  <conditionalFormatting sqref="AJ36:AJ47">
    <cfRule type="expression" dxfId="42" priority="127">
      <formula>OR(IF(AJ36&lt;AK36,TRUE),IF(AND(AK36="",AJ36&lt;&gt;""),TRUE))</formula>
    </cfRule>
    <cfRule type="expression" dxfId="41" priority="128">
      <formula>IF(AJ36&gt;=AK36,IF(AJ36="",FALSE,TRUE))</formula>
    </cfRule>
  </conditionalFormatting>
  <conditionalFormatting sqref="AL36:AL47">
    <cfRule type="expression" dxfId="40" priority="125">
      <formula>OR(IF(AL36&lt;AM36,TRUE),IF(AND(AM36="",AL36&lt;&gt;""),TRUE))</formula>
    </cfRule>
    <cfRule type="expression" dxfId="39" priority="126">
      <formula>IF(AL36&gt;=AM36,IF(AL36="",FALSE,TRUE))</formula>
    </cfRule>
  </conditionalFormatting>
  <conditionalFormatting sqref="AX36:AX47">
    <cfRule type="expression" dxfId="38" priority="119">
      <formula>OR(IF(AX36&lt;AY36,TRUE),IF(AND(AY36="",AX36&lt;&gt;""),TRUE))</formula>
    </cfRule>
    <cfRule type="expression" dxfId="37" priority="120">
      <formula>IF(AX36&gt;=AY36,IF(AX36="",FALSE,TRUE))</formula>
    </cfRule>
  </conditionalFormatting>
  <conditionalFormatting sqref="AZ36:AZ47">
    <cfRule type="expression" dxfId="36" priority="117">
      <formula>OR(IF(AZ36&lt;BA36,TRUE),IF(AND(BA36="",AZ36&lt;&gt;""),TRUE))</formula>
    </cfRule>
    <cfRule type="expression" dxfId="35" priority="118">
      <formula>IF(AZ36&gt;=BA36,IF(AZ36="",FALSE,TRUE))</formula>
    </cfRule>
  </conditionalFormatting>
  <conditionalFormatting sqref="J6:K15">
    <cfRule type="colorScale" priority="441">
      <colorScale>
        <cfvo type="percent" val="0"/>
        <cfvo type="percent" val="100"/>
        <color rgb="FFFF231B"/>
        <color rgb="FF10FF07"/>
      </colorScale>
    </cfRule>
  </conditionalFormatting>
  <conditionalFormatting sqref="J18:K27">
    <cfRule type="colorScale" priority="471">
      <colorScale>
        <cfvo type="percent" val="0"/>
        <cfvo type="percent" val="100"/>
        <color rgb="FFFF231B"/>
        <color rgb="FF10FF07"/>
      </colorScale>
    </cfRule>
  </conditionalFormatting>
  <conditionalFormatting sqref="BL6:BL15 BN6:BN15 BL18:BL27 BN18:BN27">
    <cfRule type="expression" dxfId="34" priority="53">
      <formula>OR(IF(BL6&lt;BM6,TRUE),IF(AND(BM6="",BL6&lt;&gt;""),TRUE))</formula>
    </cfRule>
    <cfRule type="expression" dxfId="33" priority="54">
      <formula>IF(BL6&gt;=BM6,IF(BL6="",FALSE,TRUE))</formula>
    </cfRule>
  </conditionalFormatting>
  <conditionalFormatting sqref="BL36:BL47">
    <cfRule type="expression" dxfId="32" priority="47">
      <formula>OR(IF(BL36&lt;BM36,TRUE),IF(AND(BM36="",BL36&lt;&gt;""),TRUE))</formula>
    </cfRule>
    <cfRule type="expression" dxfId="31" priority="48">
      <formula>IF(BL36&gt;=BM36,IF(BL36="",FALSE,TRUE))</formula>
    </cfRule>
  </conditionalFormatting>
  <conditionalFormatting sqref="BN36:BN47">
    <cfRule type="expression" dxfId="30" priority="45">
      <formula>OR(IF(BN36&lt;BO36,TRUE),IF(AND(BO36="",BN36&lt;&gt;""),TRUE))</formula>
    </cfRule>
    <cfRule type="expression" dxfId="29" priority="46">
      <formula>IF(BN36&gt;=BO36,IF(BN36="",FALSE,TRUE))</formula>
    </cfRule>
  </conditionalFormatting>
  <conditionalFormatting sqref="BS6:BS15 BU6:BU15 BS18:BS27 BU18:BU27">
    <cfRule type="expression" dxfId="28" priority="35">
      <formula>OR(IF(BS6&lt;BT6,TRUE),IF(AND(BT6="",BS6&lt;&gt;""),TRUE))</formula>
    </cfRule>
    <cfRule type="expression" dxfId="27" priority="36">
      <formula>IF(BS6&gt;=BT6,IF(BS6="",FALSE,TRUE))</formula>
    </cfRule>
  </conditionalFormatting>
  <conditionalFormatting sqref="BS36:BS47">
    <cfRule type="expression" dxfId="26" priority="29">
      <formula>OR(IF(BS36&lt;BT36,TRUE),IF(AND(BT36="",BS36&lt;&gt;""),TRUE))</formula>
    </cfRule>
    <cfRule type="expression" dxfId="25" priority="30">
      <formula>IF(BS36&gt;=BT36,IF(BS36="",FALSE,TRUE))</formula>
    </cfRule>
  </conditionalFormatting>
  <conditionalFormatting sqref="BU36:BU47">
    <cfRule type="expression" dxfId="24" priority="27">
      <formula>OR(IF(BU36&lt;BV36,TRUE),IF(AND(BV36="",BU36&lt;&gt;""),TRUE))</formula>
    </cfRule>
    <cfRule type="expression" dxfId="23" priority="28">
      <formula>IF(BU36&gt;=BV36,IF(BU36="",FALSE,TRUE))</formula>
    </cfRule>
  </conditionalFormatting>
  <conditionalFormatting sqref="BZ6:BZ15 CB6:CB15 BZ18:BZ27 CB18:CB27">
    <cfRule type="expression" dxfId="22" priority="17">
      <formula>OR(IF(BZ6&lt;CA6,TRUE),IF(AND(CA6="",BZ6&lt;&gt;""),TRUE))</formula>
    </cfRule>
    <cfRule type="expression" dxfId="21" priority="18">
      <formula>IF(BZ6&gt;=CA6,IF(BZ6="",FALSE,TRUE))</formula>
    </cfRule>
  </conditionalFormatting>
  <conditionalFormatting sqref="BZ36:BZ47">
    <cfRule type="expression" dxfId="20" priority="11">
      <formula>OR(IF(BZ36&lt;CA36,TRUE),IF(AND(CA36="",BZ36&lt;&gt;""),TRUE))</formula>
    </cfRule>
    <cfRule type="expression" dxfId="19" priority="12">
      <formula>IF(BZ36&gt;=CA36,IF(BZ36="",FALSE,TRUE))</formula>
    </cfRule>
  </conditionalFormatting>
  <conditionalFormatting sqref="CB36:CB47">
    <cfRule type="expression" dxfId="18" priority="9">
      <formula>OR(IF(CB36&lt;CC36,TRUE),IF(AND(CC36="",CB36&lt;&gt;""),TRUE))</formula>
    </cfRule>
    <cfRule type="expression" dxfId="17" priority="10">
      <formula>IF(CB36&gt;=CC36,IF(CB36="",FALSE,TRUE))</formula>
    </cfRule>
  </conditionalFormatting>
  <conditionalFormatting sqref="J30:K33">
    <cfRule type="colorScale" priority="472">
      <colorScale>
        <cfvo type="percent" val="0"/>
        <cfvo type="percent" val="100"/>
        <color rgb="FFFF231B"/>
        <color rgb="FF10FF07"/>
      </colorScale>
    </cfRule>
  </conditionalFormatting>
  <conditionalFormatting sqref="J50:K53">
    <cfRule type="colorScale" priority="473">
      <colorScale>
        <cfvo type="percent" val="0"/>
        <cfvo type="percent" val="100"/>
        <color rgb="FFFF231B"/>
        <color rgb="FF10FF07"/>
      </colorScale>
    </cfRule>
  </conditionalFormatting>
  <conditionalFormatting sqref="J56:K63">
    <cfRule type="colorScale" priority="474">
      <colorScale>
        <cfvo type="percent" val="0"/>
        <cfvo type="percent" val="100"/>
        <color rgb="FFFF231B"/>
        <color rgb="FF10FF07"/>
      </colorScale>
    </cfRule>
  </conditionalFormatting>
  <dataValidations count="1">
    <dataValidation type="list" allowBlank="1" showInputMessage="1" showErrorMessage="1" sqref="O6:R15 V6:Y15 AC6:AF15 AJ6:AM15 AQ6:AT15 AX6:BA15 BE6:BH15 O30:R33 V30:Y33 AC30:AF33 AJ30:AM33 AQ30:AT33 AX30:BA33 BE30:BH33 O36:R47 V36:Y47 AC36:AF47 AJ36:AM47 AQ36:AT47 AX36:BA47 BE36:BH47 O50:R53 V50:Y53 AC50:AF53 AJ50:AM53 AQ50:AT53 AX50:BA53 BE50:BH53 O56:R63 V56:Y63 AC56:AF63 AJ56:AM63 AQ56:AT63 AX56:BA63 BE56:BH63 BE18:BH27 AX18:BA27 AQ18:AT27 AJ18:AM27 AC18:AF27 V18:Y27 O18:R27 BL6:BO15 BL30:BO33 BL36:BO47 BL50:BO53 BL56:BO63 BL18:BO27 BS6:BV15 BS30:BV33 BS36:BV47 BS50:BV53 BS56:BV63 BS18:BV27 BZ6:CC15 BZ30:CC33 BZ36:CC47 BZ50:CC53 BZ56:CC63 BZ18:CC27"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C1" sqref="C1"/>
    </sheetView>
  </sheetViews>
  <sheetFormatPr baseColWidth="10" defaultRowHeight="15.6"/>
  <cols>
    <col min="1" max="1" width="16.796875" style="11" customWidth="1"/>
    <col min="2" max="2" width="19.19921875" style="11" customWidth="1"/>
    <col min="3" max="3" width="18.19921875" style="11" customWidth="1"/>
    <col min="4" max="4" width="19.5" style="11" customWidth="1"/>
    <col min="8" max="8" width="15.19921875" customWidth="1"/>
    <col min="10" max="10" width="42" customWidth="1"/>
    <col min="11" max="11" width="28.5" customWidth="1"/>
  </cols>
  <sheetData>
    <row r="1" spans="1:11" ht="31.2">
      <c r="A1" s="11" t="s">
        <v>44</v>
      </c>
      <c r="B1" s="17" t="s">
        <v>41</v>
      </c>
      <c r="C1" s="17" t="s">
        <v>42</v>
      </c>
      <c r="D1" s="17" t="s">
        <v>43</v>
      </c>
      <c r="E1" s="1" t="s">
        <v>45</v>
      </c>
      <c r="F1" s="1" t="s">
        <v>46</v>
      </c>
      <c r="G1" s="1" t="s">
        <v>47</v>
      </c>
      <c r="H1" s="1" t="s">
        <v>48</v>
      </c>
      <c r="I1" s="1" t="s">
        <v>49</v>
      </c>
      <c r="J1" s="1" t="s">
        <v>50</v>
      </c>
      <c r="K1" s="1" t="s">
        <v>51</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39"/>
  <sheetViews>
    <sheetView tabSelected="1" topLeftCell="A4" zoomScale="117" workbookViewId="0">
      <selection activeCell="F6" sqref="F6"/>
    </sheetView>
  </sheetViews>
  <sheetFormatPr baseColWidth="10" defaultColWidth="10.69921875" defaultRowHeight="15.6"/>
  <sheetData>
    <row r="1" spans="1:8" ht="24.6">
      <c r="B1" s="8" t="s">
        <v>26</v>
      </c>
    </row>
    <row r="4" spans="1:8">
      <c r="B4" s="3" t="s">
        <v>5</v>
      </c>
      <c r="C4" s="3" t="s">
        <v>6</v>
      </c>
      <c r="D4" s="3" t="s">
        <v>7</v>
      </c>
      <c r="E4" s="3" t="s">
        <v>8</v>
      </c>
      <c r="F4" s="3" t="s">
        <v>11</v>
      </c>
      <c r="G4" s="3" t="s">
        <v>9</v>
      </c>
      <c r="H4" s="3" t="s">
        <v>10</v>
      </c>
    </row>
    <row r="5" spans="1:8">
      <c r="A5" s="10">
        <v>0.33333333333333398</v>
      </c>
    </row>
    <row r="6" spans="1:8">
      <c r="A6" s="10">
        <v>0.35416666666666702</v>
      </c>
      <c r="D6" t="s">
        <v>101</v>
      </c>
      <c r="E6" t="s">
        <v>82</v>
      </c>
    </row>
    <row r="7" spans="1:8">
      <c r="A7" s="10">
        <v>0.375</v>
      </c>
      <c r="C7" t="s">
        <v>111</v>
      </c>
      <c r="D7" t="s">
        <v>101</v>
      </c>
      <c r="E7" t="s">
        <v>82</v>
      </c>
      <c r="F7" t="s">
        <v>87</v>
      </c>
    </row>
    <row r="8" spans="1:8">
      <c r="A8" s="10">
        <v>0.39583333333333398</v>
      </c>
      <c r="C8" t="s">
        <v>111</v>
      </c>
      <c r="D8" t="s">
        <v>101</v>
      </c>
      <c r="E8" t="s">
        <v>82</v>
      </c>
      <c r="F8" t="s">
        <v>87</v>
      </c>
      <c r="G8" t="s">
        <v>87</v>
      </c>
    </row>
    <row r="9" spans="1:8">
      <c r="A9" s="10">
        <v>0.41666666666666702</v>
      </c>
      <c r="C9" t="s">
        <v>111</v>
      </c>
      <c r="D9" t="s">
        <v>101</v>
      </c>
      <c r="E9" t="s">
        <v>82</v>
      </c>
      <c r="F9" t="s">
        <v>87</v>
      </c>
      <c r="G9" t="s">
        <v>87</v>
      </c>
    </row>
    <row r="10" spans="1:8">
      <c r="A10" s="10">
        <v>0.4375</v>
      </c>
      <c r="B10" t="s">
        <v>2</v>
      </c>
      <c r="C10" t="s">
        <v>111</v>
      </c>
      <c r="D10" t="s">
        <v>101</v>
      </c>
      <c r="E10" t="s">
        <v>82</v>
      </c>
      <c r="F10" t="s">
        <v>87</v>
      </c>
      <c r="G10" t="s">
        <v>87</v>
      </c>
    </row>
    <row r="11" spans="1:8">
      <c r="A11" s="10">
        <v>0.45833333333333398</v>
      </c>
      <c r="B11" t="s">
        <v>2</v>
      </c>
      <c r="C11" t="s">
        <v>111</v>
      </c>
      <c r="D11" t="s">
        <v>101</v>
      </c>
      <c r="E11" t="s">
        <v>82</v>
      </c>
      <c r="F11" t="s">
        <v>87</v>
      </c>
      <c r="G11" t="s">
        <v>87</v>
      </c>
    </row>
    <row r="12" spans="1:8">
      <c r="A12" s="10">
        <v>0.47916666666666702</v>
      </c>
      <c r="B12" t="s">
        <v>2</v>
      </c>
      <c r="C12" t="s">
        <v>88</v>
      </c>
      <c r="D12" t="s">
        <v>88</v>
      </c>
      <c r="E12" t="s">
        <v>82</v>
      </c>
      <c r="F12" t="s">
        <v>88</v>
      </c>
      <c r="G12" t="s">
        <v>88</v>
      </c>
    </row>
    <row r="13" spans="1:8">
      <c r="A13" s="10">
        <v>0.5</v>
      </c>
      <c r="B13" t="s">
        <v>2</v>
      </c>
      <c r="C13" t="s">
        <v>110</v>
      </c>
      <c r="D13" t="s">
        <v>110</v>
      </c>
      <c r="E13" t="s">
        <v>88</v>
      </c>
      <c r="F13" t="s">
        <v>87</v>
      </c>
      <c r="G13" t="s">
        <v>88</v>
      </c>
    </row>
    <row r="14" spans="1:8">
      <c r="A14" s="10">
        <v>0.52083333333333404</v>
      </c>
      <c r="B14" t="s">
        <v>2</v>
      </c>
      <c r="C14" t="s">
        <v>110</v>
      </c>
      <c r="D14" t="s">
        <v>110</v>
      </c>
      <c r="E14" t="s">
        <v>82</v>
      </c>
      <c r="F14" t="s">
        <v>87</v>
      </c>
      <c r="G14" t="s">
        <v>109</v>
      </c>
    </row>
    <row r="15" spans="1:8">
      <c r="A15" s="10">
        <v>0.54166666666666696</v>
      </c>
      <c r="B15" t="s">
        <v>2</v>
      </c>
      <c r="C15" t="s">
        <v>110</v>
      </c>
      <c r="D15" t="s">
        <v>110</v>
      </c>
      <c r="E15" t="s">
        <v>82</v>
      </c>
      <c r="F15" t="s">
        <v>87</v>
      </c>
      <c r="G15" t="s">
        <v>109</v>
      </c>
    </row>
    <row r="16" spans="1:8">
      <c r="A16" s="10">
        <v>0.5625</v>
      </c>
      <c r="B16" t="s">
        <v>2</v>
      </c>
      <c r="C16" t="s">
        <v>110</v>
      </c>
      <c r="D16" t="s">
        <v>110</v>
      </c>
      <c r="E16" t="s">
        <v>82</v>
      </c>
      <c r="F16" t="s">
        <v>87</v>
      </c>
      <c r="G16" t="s">
        <v>109</v>
      </c>
    </row>
    <row r="17" spans="1:7">
      <c r="A17" s="10">
        <v>0.58333333333333404</v>
      </c>
      <c r="B17" t="s">
        <v>88</v>
      </c>
      <c r="C17" t="s">
        <v>110</v>
      </c>
      <c r="D17" t="s">
        <v>110</v>
      </c>
      <c r="E17" t="s">
        <v>82</v>
      </c>
      <c r="F17" t="s">
        <v>87</v>
      </c>
      <c r="G17" t="s">
        <v>109</v>
      </c>
    </row>
    <row r="18" spans="1:7">
      <c r="A18" s="10">
        <v>0.60416666666666696</v>
      </c>
      <c r="B18" t="s">
        <v>2</v>
      </c>
      <c r="C18" t="s">
        <v>88</v>
      </c>
      <c r="D18" t="s">
        <v>110</v>
      </c>
      <c r="E18" t="s">
        <v>82</v>
      </c>
      <c r="F18" t="s">
        <v>87</v>
      </c>
      <c r="G18" t="s">
        <v>109</v>
      </c>
    </row>
    <row r="19" spans="1:7">
      <c r="A19" s="10">
        <v>0.625000000000001</v>
      </c>
      <c r="B19" t="s">
        <v>2</v>
      </c>
      <c r="C19" t="s">
        <v>110</v>
      </c>
      <c r="D19" t="s">
        <v>110</v>
      </c>
      <c r="E19" t="s">
        <v>88</v>
      </c>
      <c r="F19" t="s">
        <v>88</v>
      </c>
      <c r="G19" t="s">
        <v>88</v>
      </c>
    </row>
    <row r="20" spans="1:7">
      <c r="A20" s="10">
        <v>0.64583333333333404</v>
      </c>
      <c r="B20" t="s">
        <v>2</v>
      </c>
      <c r="C20" t="s">
        <v>110</v>
      </c>
      <c r="D20" t="s">
        <v>88</v>
      </c>
      <c r="E20" t="s">
        <v>82</v>
      </c>
      <c r="F20" t="s">
        <v>87</v>
      </c>
      <c r="G20" t="s">
        <v>109</v>
      </c>
    </row>
    <row r="21" spans="1:7">
      <c r="A21" s="10">
        <v>0.66666666666666696</v>
      </c>
      <c r="B21" t="s">
        <v>2</v>
      </c>
      <c r="C21" t="s">
        <v>110</v>
      </c>
      <c r="D21" t="s">
        <v>110</v>
      </c>
      <c r="E21" t="s">
        <v>82</v>
      </c>
      <c r="F21" t="s">
        <v>87</v>
      </c>
      <c r="G21" t="s">
        <v>109</v>
      </c>
    </row>
    <row r="22" spans="1:7">
      <c r="A22" s="10">
        <v>0.687500000000001</v>
      </c>
      <c r="B22" t="s">
        <v>2</v>
      </c>
      <c r="C22" t="s">
        <v>110</v>
      </c>
      <c r="D22" t="s">
        <v>110</v>
      </c>
      <c r="E22" t="s">
        <v>82</v>
      </c>
      <c r="F22" t="s">
        <v>87</v>
      </c>
      <c r="G22" t="s">
        <v>109</v>
      </c>
    </row>
    <row r="23" spans="1:7">
      <c r="A23" s="10">
        <v>0.70833333333333404</v>
      </c>
      <c r="B23" t="s">
        <v>88</v>
      </c>
      <c r="C23" t="s">
        <v>110</v>
      </c>
      <c r="D23" t="s">
        <v>110</v>
      </c>
      <c r="E23" t="s">
        <v>82</v>
      </c>
      <c r="F23" t="s">
        <v>87</v>
      </c>
      <c r="G23" t="s">
        <v>109</v>
      </c>
    </row>
    <row r="24" spans="1:7">
      <c r="A24" s="10">
        <v>0.72916666666666696</v>
      </c>
      <c r="B24" t="s">
        <v>2</v>
      </c>
      <c r="C24" t="s">
        <v>88</v>
      </c>
      <c r="D24" t="s">
        <v>110</v>
      </c>
      <c r="E24" t="s">
        <v>82</v>
      </c>
      <c r="F24" t="s">
        <v>87</v>
      </c>
    </row>
    <row r="25" spans="1:7">
      <c r="A25" s="10">
        <v>0.750000000000001</v>
      </c>
      <c r="B25" t="s">
        <v>2</v>
      </c>
      <c r="C25" t="s">
        <v>111</v>
      </c>
      <c r="F25" t="s">
        <v>87</v>
      </c>
    </row>
    <row r="26" spans="1:7">
      <c r="A26" s="10">
        <v>0.77083333333333404</v>
      </c>
      <c r="B26" t="s">
        <v>2</v>
      </c>
    </row>
    <row r="27" spans="1:7">
      <c r="A27" s="10">
        <v>0.79166666666666696</v>
      </c>
      <c r="B27" t="s">
        <v>2</v>
      </c>
    </row>
    <row r="28" spans="1:7">
      <c r="A28" s="10">
        <v>0.812500000000001</v>
      </c>
      <c r="B28" t="s">
        <v>2</v>
      </c>
    </row>
    <row r="29" spans="1:7">
      <c r="A29" s="10">
        <v>0.83333333333333404</v>
      </c>
    </row>
    <row r="30" spans="1:7">
      <c r="A30" s="10">
        <v>0.85416666666666696</v>
      </c>
    </row>
    <row r="31" spans="1:7">
      <c r="A31" s="10">
        <v>0.875000000000001</v>
      </c>
    </row>
    <row r="32" spans="1:7">
      <c r="A32" s="10">
        <v>0.89583333333333404</v>
      </c>
    </row>
    <row r="33" spans="1:1">
      <c r="A33" s="10">
        <v>0.91666666666666696</v>
      </c>
    </row>
    <row r="34" spans="1:1">
      <c r="A34" s="10">
        <v>0.937500000000001</v>
      </c>
    </row>
    <row r="35" spans="1:1">
      <c r="A35" s="10">
        <v>0.95833333333333404</v>
      </c>
    </row>
    <row r="36" spans="1:1">
      <c r="A36" s="10">
        <v>0.97916666666666696</v>
      </c>
    </row>
    <row r="37" spans="1:1">
      <c r="A37" s="10">
        <v>1</v>
      </c>
    </row>
    <row r="38" spans="1:1">
      <c r="A38" s="10">
        <v>1.0208333333333299</v>
      </c>
    </row>
    <row r="39" spans="1:1">
      <c r="A39"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BAB7F-0925-4094-B9C1-49DBAB7095ED}">
  <dimension ref="A1:H47"/>
  <sheetViews>
    <sheetView workbookViewId="0">
      <selection activeCell="B5" sqref="B5"/>
    </sheetView>
  </sheetViews>
  <sheetFormatPr baseColWidth="10" defaultRowHeight="15.6"/>
  <sheetData>
    <row r="1" spans="1:8" ht="24.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F23" sqref="F23"/>
    </sheetView>
  </sheetViews>
  <sheetFormatPr baseColWidth="10" defaultColWidth="10.69921875" defaultRowHeight="15.6"/>
  <sheetData>
    <row r="1" spans="1:8" ht="24.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E1B18-8ABE-4CD3-9501-7B00034D7348}">
  <dimension ref="A1:H47"/>
  <sheetViews>
    <sheetView workbookViewId="0">
      <selection sqref="A1:XFD47"/>
    </sheetView>
  </sheetViews>
  <sheetFormatPr baseColWidth="10" defaultRowHeight="15.6"/>
  <sheetData>
    <row r="1" spans="1:8" ht="24.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2DD7B-AC32-41FB-A0DD-143079065059}">
  <dimension ref="A1:H47"/>
  <sheetViews>
    <sheetView workbookViewId="0">
      <selection sqref="A1:XFD47"/>
    </sheetView>
  </sheetViews>
  <sheetFormatPr baseColWidth="10" defaultRowHeight="15.6"/>
  <sheetData>
    <row r="1" spans="1:8" ht="24.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7852D-81CF-4742-A735-C8E765274863}">
  <dimension ref="A7:H53"/>
  <sheetViews>
    <sheetView workbookViewId="0">
      <selection activeCell="A7" sqref="A7:XFD7"/>
    </sheetView>
  </sheetViews>
  <sheetFormatPr baseColWidth="10" defaultRowHeight="15.6"/>
  <sheetData>
    <row r="7" spans="1:8" ht="24.6">
      <c r="B7" s="8" t="s">
        <v>26</v>
      </c>
    </row>
    <row r="10" spans="1:8">
      <c r="B10" s="3" t="s">
        <v>5</v>
      </c>
      <c r="C10" s="3" t="s">
        <v>6</v>
      </c>
      <c r="D10" s="3" t="s">
        <v>7</v>
      </c>
      <c r="E10" s="3" t="s">
        <v>8</v>
      </c>
      <c r="F10" s="3" t="s">
        <v>11</v>
      </c>
      <c r="G10" s="3" t="s">
        <v>9</v>
      </c>
      <c r="H10" s="3" t="s">
        <v>10</v>
      </c>
    </row>
    <row r="11" spans="1:8">
      <c r="A11" s="10">
        <v>0.16666666666666666</v>
      </c>
    </row>
    <row r="12" spans="1:8">
      <c r="A12" s="10">
        <v>0.1875</v>
      </c>
    </row>
    <row r="13" spans="1:8">
      <c r="A13" s="10">
        <v>0.20833333333333301</v>
      </c>
    </row>
    <row r="14" spans="1:8">
      <c r="A14" s="10">
        <v>0.22916666666666699</v>
      </c>
    </row>
    <row r="15" spans="1:8">
      <c r="A15" s="10">
        <v>0.25</v>
      </c>
    </row>
    <row r="16" spans="1:8">
      <c r="A16" s="10">
        <v>0.27083333333333398</v>
      </c>
    </row>
    <row r="17" spans="1:1">
      <c r="A17" s="10">
        <v>0.29166666666666702</v>
      </c>
    </row>
    <row r="18" spans="1:1">
      <c r="A18" s="10">
        <v>0.3125</v>
      </c>
    </row>
    <row r="19" spans="1:1">
      <c r="A19" s="10">
        <v>0.33333333333333398</v>
      </c>
    </row>
    <row r="20" spans="1:1">
      <c r="A20" s="10">
        <v>0.35416666666666702</v>
      </c>
    </row>
    <row r="21" spans="1:1">
      <c r="A21" s="10">
        <v>0.375</v>
      </c>
    </row>
    <row r="22" spans="1:1">
      <c r="A22" s="10">
        <v>0.39583333333333398</v>
      </c>
    </row>
    <row r="23" spans="1:1">
      <c r="A23" s="10">
        <v>0.41666666666666702</v>
      </c>
    </row>
    <row r="24" spans="1:1">
      <c r="A24" s="10">
        <v>0.4375</v>
      </c>
    </row>
    <row r="25" spans="1:1">
      <c r="A25" s="10">
        <v>0.45833333333333398</v>
      </c>
    </row>
    <row r="26" spans="1:1">
      <c r="A26" s="10">
        <v>0.47916666666666702</v>
      </c>
    </row>
    <row r="27" spans="1:1">
      <c r="A27" s="10">
        <v>0.5</v>
      </c>
    </row>
    <row r="28" spans="1:1">
      <c r="A28" s="10">
        <v>0.52083333333333404</v>
      </c>
    </row>
    <row r="29" spans="1:1">
      <c r="A29" s="10">
        <v>0.54166666666666696</v>
      </c>
    </row>
    <row r="30" spans="1:1">
      <c r="A30" s="10">
        <v>0.5625</v>
      </c>
    </row>
    <row r="31" spans="1:1">
      <c r="A31" s="10">
        <v>0.58333333333333404</v>
      </c>
    </row>
    <row r="32" spans="1:1">
      <c r="A32" s="10">
        <v>0.60416666666666696</v>
      </c>
    </row>
    <row r="33" spans="1:1">
      <c r="A33" s="10">
        <v>0.625000000000001</v>
      </c>
    </row>
    <row r="34" spans="1:1">
      <c r="A34" s="10">
        <v>0.64583333333333404</v>
      </c>
    </row>
    <row r="35" spans="1:1">
      <c r="A35" s="10">
        <v>0.66666666666666696</v>
      </c>
    </row>
    <row r="36" spans="1:1">
      <c r="A36" s="10">
        <v>0.687500000000001</v>
      </c>
    </row>
    <row r="37" spans="1:1">
      <c r="A37" s="10">
        <v>0.70833333333333404</v>
      </c>
    </row>
    <row r="38" spans="1:1">
      <c r="A38" s="10">
        <v>0.72916666666666696</v>
      </c>
    </row>
    <row r="39" spans="1:1">
      <c r="A39" s="10">
        <v>0.750000000000001</v>
      </c>
    </row>
    <row r="40" spans="1:1">
      <c r="A40" s="10">
        <v>0.77083333333333404</v>
      </c>
    </row>
    <row r="41" spans="1:1">
      <c r="A41" s="10">
        <v>0.79166666666666696</v>
      </c>
    </row>
    <row r="42" spans="1:1">
      <c r="A42" s="10">
        <v>0.812500000000001</v>
      </c>
    </row>
    <row r="43" spans="1:1">
      <c r="A43" s="10">
        <v>0.83333333333333404</v>
      </c>
    </row>
    <row r="44" spans="1:1">
      <c r="A44" s="10">
        <v>0.85416666666666696</v>
      </c>
    </row>
    <row r="45" spans="1:1">
      <c r="A45" s="10">
        <v>0.875000000000001</v>
      </c>
    </row>
    <row r="46" spans="1:1">
      <c r="A46" s="10">
        <v>0.89583333333333404</v>
      </c>
    </row>
    <row r="47" spans="1:1">
      <c r="A47" s="10">
        <v>0.91666666666666696</v>
      </c>
    </row>
    <row r="48" spans="1:1">
      <c r="A48" s="10">
        <v>0.937500000000001</v>
      </c>
    </row>
    <row r="49" spans="1:1">
      <c r="A49" s="10">
        <v>0.95833333333333404</v>
      </c>
    </row>
    <row r="50" spans="1:1">
      <c r="A50" s="10">
        <v>0.97916666666666696</v>
      </c>
    </row>
    <row r="51" spans="1:1">
      <c r="A51" s="10">
        <v>1</v>
      </c>
    </row>
    <row r="52" spans="1:1">
      <c r="A52" s="10">
        <v>1.0208333333333299</v>
      </c>
    </row>
    <row r="53" spans="1:1">
      <c r="A53" s="10">
        <v>1.0416666666666701</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1A96-B92E-4F67-9EF0-E707E4E97B4B}">
  <dimension ref="A1:H47"/>
  <sheetViews>
    <sheetView workbookViewId="0">
      <selection sqref="A1:XFD47"/>
    </sheetView>
  </sheetViews>
  <sheetFormatPr baseColWidth="10" defaultRowHeight="15.6"/>
  <sheetData>
    <row r="1" spans="1:8" ht="24.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B5F06-BFB9-42BF-9C61-14DDF7F58D1B}">
  <dimension ref="A1:H47"/>
  <sheetViews>
    <sheetView workbookViewId="0">
      <selection sqref="A1:XFD47"/>
    </sheetView>
  </sheetViews>
  <sheetFormatPr baseColWidth="10" defaultRowHeight="15.6"/>
  <sheetData>
    <row r="1" spans="1:8" ht="24.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5A0F8-6BE0-4A39-B3CC-59018BB2D1F6}">
  <dimension ref="A1:H47"/>
  <sheetViews>
    <sheetView workbookViewId="0">
      <selection sqref="A1:XFD47"/>
    </sheetView>
  </sheetViews>
  <sheetFormatPr baseColWidth="10" defaultRowHeight="15.6"/>
  <sheetData>
    <row r="1" spans="1:8" ht="24.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4FA74-8FA2-41FB-ABC5-6C7E0C6FB51E}">
  <dimension ref="A1:H47"/>
  <sheetViews>
    <sheetView workbookViewId="0">
      <selection sqref="A1:XFD47"/>
    </sheetView>
  </sheetViews>
  <sheetFormatPr baseColWidth="10" defaultRowHeight="15.6"/>
  <sheetData>
    <row r="1" spans="1:8" ht="24.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13</vt:i4>
      </vt:variant>
    </vt:vector>
  </HeadingPairs>
  <TitlesOfParts>
    <vt:vector size="13" baseType="lpstr">
      <vt:lpstr>Anleitung</vt:lpstr>
      <vt:lpstr>Semesterplan</vt:lpstr>
      <vt:lpstr>COMMITTMENT</vt:lpstr>
      <vt:lpstr>KW 1</vt:lpstr>
      <vt:lpstr>KW 2</vt:lpstr>
      <vt:lpstr>KW 3</vt:lpstr>
      <vt:lpstr>KW 4</vt:lpstr>
      <vt:lpstr>KW 5</vt:lpstr>
      <vt:lpstr>KW 6</vt:lpstr>
      <vt:lpstr>KW 7</vt:lpstr>
      <vt:lpstr>KW 8</vt:lpstr>
      <vt:lpstr>KW 9</vt:lpstr>
      <vt:lpstr>KW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Z Killer06887 Fey</cp:lastModifiedBy>
  <dcterms:created xsi:type="dcterms:W3CDTF">2020-04-19T13:33:28Z</dcterms:created>
  <dcterms:modified xsi:type="dcterms:W3CDTF">2021-05-16T14:18:42Z</dcterms:modified>
</cp:coreProperties>
</file>