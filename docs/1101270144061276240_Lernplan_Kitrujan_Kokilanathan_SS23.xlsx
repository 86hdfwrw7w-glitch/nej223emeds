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kitrujankokilanathan/Desktop/TU Berlin /"/>
    </mc:Choice>
  </mc:AlternateContent>
  <xr:revisionPtr revIDLastSave="0" documentId="13_ncr:1_{54E2177F-686A-014F-AEFE-D7DAAEF16936}" xr6:coauthVersionLast="47" xr6:coauthVersionMax="47" xr10:uidLastSave="{00000000-0000-0000-0000-000000000000}"/>
  <bookViews>
    <workbookView xWindow="0" yWindow="500" windowWidth="38400" windowHeight="211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C12" i="10"/>
  <c r="K41" i="7" a="1"/>
  <c r="K41" i="7" s="1"/>
  <c r="J41" i="7" a="1"/>
  <c r="J41" i="7" s="1"/>
  <c r="I39" i="7"/>
  <c r="I40" i="7"/>
  <c r="I41" i="7"/>
  <c r="I42" i="7"/>
  <c r="K39" i="7" a="1"/>
  <c r="K39" i="7" s="1"/>
  <c r="J39" i="7" a="1"/>
  <c r="J39" i="7" s="1"/>
  <c r="K38" i="7" a="1"/>
  <c r="K38" i="7" s="1"/>
  <c r="J38" i="7" a="1"/>
  <c r="J38" i="7" s="1"/>
  <c r="I38" i="7"/>
  <c r="I34" i="7"/>
  <c r="I36" i="7"/>
  <c r="K36" i="7" a="1"/>
  <c r="K36" i="7" s="1"/>
  <c r="J36" i="7" a="1"/>
  <c r="J36" i="7" s="1"/>
  <c r="K34" i="7" a="1"/>
  <c r="K34" i="7" s="1"/>
  <c r="J34" i="7" a="1"/>
  <c r="J34" i="7" s="1"/>
  <c r="I45" i="7"/>
  <c r="J45" i="7" a="1"/>
  <c r="J45" i="7" s="1"/>
  <c r="K45" i="7" a="1"/>
  <c r="K45" i="7" s="1"/>
  <c r="I46" i="7"/>
  <c r="J46" i="7" a="1"/>
  <c r="J46" i="7" s="1"/>
  <c r="K46" i="7" a="1"/>
  <c r="K46" i="7" s="1"/>
  <c r="I47" i="7"/>
  <c r="J47" i="7" a="1"/>
  <c r="J47" i="7" s="1"/>
  <c r="K47" i="7" a="1"/>
  <c r="K47" i="7" s="1"/>
  <c r="I48" i="7"/>
  <c r="J48" i="7" a="1"/>
  <c r="J48" i="7" s="1"/>
  <c r="K48" i="7" a="1"/>
  <c r="K48" i="7" s="1"/>
  <c r="I49" i="7"/>
  <c r="J49" i="7" a="1"/>
  <c r="J49" i="7" s="1"/>
  <c r="K49" i="7" a="1"/>
  <c r="K49" i="7" s="1"/>
  <c r="I50" i="7"/>
  <c r="J50" i="7" a="1"/>
  <c r="J50" i="7" s="1"/>
  <c r="K50" i="7" a="1"/>
  <c r="K50" i="7" s="1"/>
  <c r="J51" i="7" a="1"/>
  <c r="J51" i="7" s="1"/>
  <c r="K51" i="7" a="1"/>
  <c r="K51" i="7" s="1"/>
  <c r="J52" i="7" a="1"/>
  <c r="J52" i="7" s="1"/>
  <c r="K52" i="7" a="1"/>
  <c r="K52" i="7" s="1"/>
  <c r="J53" i="7" a="1"/>
  <c r="J53" i="7" s="1"/>
  <c r="K53" i="7" a="1"/>
  <c r="K53" i="7" s="1"/>
  <c r="J54" i="7" a="1"/>
  <c r="J54" i="7" s="1"/>
  <c r="K54" i="7" a="1"/>
  <c r="K54" i="7" s="1"/>
  <c r="J55" i="7" a="1"/>
  <c r="J55" i="7" s="1"/>
  <c r="K55" i="7" a="1"/>
  <c r="K55" i="7" s="1"/>
  <c r="I56" i="7"/>
  <c r="J56" i="7" a="1"/>
  <c r="J56" i="7" s="1"/>
  <c r="K56" i="7" a="1"/>
  <c r="K56" i="7" s="1"/>
  <c r="C20" i="10"/>
  <c r="J25" i="7" a="1"/>
  <c r="J25" i="7" s="1"/>
  <c r="J26" i="7" a="1"/>
  <c r="J26" i="7" s="1"/>
  <c r="J27" i="7" a="1"/>
  <c r="J27" i="7" s="1"/>
  <c r="J28" i="7" a="1"/>
  <c r="J28" i="7" s="1"/>
  <c r="J29" i="7" a="1"/>
  <c r="J29" i="7" s="1"/>
  <c r="J30" i="7" a="1"/>
  <c r="J30" i="7" s="1"/>
  <c r="K25" i="7" a="1"/>
  <c r="K25" i="7" s="1"/>
  <c r="K26" i="7" a="1"/>
  <c r="K26" i="7" s="1"/>
  <c r="K27" i="7" a="1"/>
  <c r="K27" i="7" s="1"/>
  <c r="K28" i="7" a="1"/>
  <c r="K28" i="7" s="1"/>
  <c r="K29" i="7" a="1"/>
  <c r="K29" i="7" s="1"/>
  <c r="K30" i="7" a="1"/>
  <c r="K30" i="7" s="1"/>
  <c r="K68" i="7" a="1"/>
  <c r="K68" i="7" s="1"/>
  <c r="K69" i="7" a="1"/>
  <c r="K69" i="7" s="1"/>
  <c r="K70" i="7" a="1"/>
  <c r="K70" i="7" s="1"/>
  <c r="K71" i="7" a="1"/>
  <c r="K71" i="7" s="1"/>
  <c r="K72" i="7" a="1"/>
  <c r="K72" i="7" s="1"/>
  <c r="K73" i="7" a="1"/>
  <c r="K73" i="7" s="1"/>
  <c r="J68" i="7" a="1"/>
  <c r="J68" i="7" s="1"/>
  <c r="J69" i="7" a="1"/>
  <c r="J69" i="7" s="1"/>
  <c r="J70" i="7" a="1"/>
  <c r="J70" i="7" s="1"/>
  <c r="J71" i="7" a="1"/>
  <c r="J71" i="7" s="1"/>
  <c r="J72" i="7" a="1"/>
  <c r="J72" i="7" s="1"/>
  <c r="J73" i="7" a="1"/>
  <c r="J73" i="7" s="1"/>
  <c r="K10" i="7" a="1"/>
  <c r="K10" i="7" s="1"/>
  <c r="K11" i="7" a="1"/>
  <c r="K11" i="7" s="1"/>
  <c r="K12" i="7" a="1"/>
  <c r="K12" i="7" s="1"/>
  <c r="K13" i="7" a="1"/>
  <c r="K13" i="7" s="1"/>
  <c r="K14" i="7" a="1"/>
  <c r="K14" i="7" s="1"/>
  <c r="K15" i="7" a="1"/>
  <c r="K15" i="7" s="1"/>
  <c r="J10" i="7" a="1"/>
  <c r="J10" i="7" s="1"/>
  <c r="J11" i="7" a="1"/>
  <c r="J11" i="7" s="1"/>
  <c r="J12" i="7" a="1"/>
  <c r="J12" i="7" s="1"/>
  <c r="J13" i="7" a="1"/>
  <c r="J13" i="7" s="1"/>
  <c r="J14" i="7" a="1"/>
  <c r="J14" i="7" s="1"/>
  <c r="J15" i="7" a="1"/>
  <c r="J15" i="7" s="1"/>
  <c r="DH4" i="7"/>
  <c r="K99" i="7" a="1"/>
  <c r="K99" i="7" s="1"/>
  <c r="J99" i="7" a="1"/>
  <c r="J99" i="7" s="1"/>
  <c r="I99" i="7"/>
  <c r="K98" i="7" a="1"/>
  <c r="K98" i="7" s="1"/>
  <c r="J98" i="7" a="1"/>
  <c r="J98" i="7" s="1"/>
  <c r="I98" i="7"/>
  <c r="K97" i="7" a="1"/>
  <c r="K97" i="7" s="1"/>
  <c r="J97" i="7" a="1"/>
  <c r="J97" i="7" s="1"/>
  <c r="I97" i="7"/>
  <c r="K96" i="7" a="1"/>
  <c r="K96" i="7" s="1"/>
  <c r="J96" i="7" a="1"/>
  <c r="J96" i="7" s="1"/>
  <c r="I96" i="7"/>
  <c r="K95" i="7" a="1"/>
  <c r="K95" i="7" s="1"/>
  <c r="J95" i="7" a="1"/>
  <c r="J95" i="7" s="1"/>
  <c r="I95" i="7"/>
  <c r="K94" i="7" a="1"/>
  <c r="K94" i="7" s="1"/>
  <c r="J94" i="7" a="1"/>
  <c r="J94" i="7" s="1"/>
  <c r="I94" i="7"/>
  <c r="K93" i="7" a="1"/>
  <c r="K93" i="7" s="1"/>
  <c r="J93" i="7" a="1"/>
  <c r="J93" i="7" s="1"/>
  <c r="I93" i="7"/>
  <c r="K92" i="7" a="1"/>
  <c r="K92" i="7" s="1"/>
  <c r="J92" i="7" a="1"/>
  <c r="J92" i="7" s="1"/>
  <c r="I92" i="7"/>
  <c r="K91" i="7" a="1"/>
  <c r="K91" i="7" s="1"/>
  <c r="J91" i="7" a="1"/>
  <c r="J91" i="7" s="1"/>
  <c r="I91" i="7"/>
  <c r="K90" i="7" a="1"/>
  <c r="K90" i="7" s="1"/>
  <c r="J90" i="7" a="1"/>
  <c r="J90" i="7" s="1"/>
  <c r="I90" i="7"/>
  <c r="K89" i="7" a="1"/>
  <c r="K89" i="7" s="1"/>
  <c r="J89" i="7" a="1"/>
  <c r="J89" i="7" s="1"/>
  <c r="I89" i="7"/>
  <c r="K86" i="7" a="1"/>
  <c r="K86" i="7" s="1"/>
  <c r="J86" i="7" a="1"/>
  <c r="J86" i="7" s="1"/>
  <c r="I86" i="7"/>
  <c r="K85" i="7" a="1"/>
  <c r="K85" i="7" s="1"/>
  <c r="J85" i="7" a="1"/>
  <c r="J85" i="7" s="1"/>
  <c r="I85" i="7"/>
  <c r="K84" i="7" a="1"/>
  <c r="K84" i="7" s="1"/>
  <c r="J84" i="7" a="1"/>
  <c r="J84" i="7" s="1"/>
  <c r="I84" i="7"/>
  <c r="K83" i="7" a="1"/>
  <c r="K83" i="7" s="1"/>
  <c r="J83" i="7" a="1"/>
  <c r="J83" i="7" s="1"/>
  <c r="I83" i="7"/>
  <c r="K82" i="7" a="1"/>
  <c r="K82" i="7" s="1"/>
  <c r="J82" i="7" a="1"/>
  <c r="J82" i="7" s="1"/>
  <c r="I82" i="7"/>
  <c r="K81" i="7" a="1"/>
  <c r="K81" i="7" s="1"/>
  <c r="J81" i="7" a="1"/>
  <c r="J81" i="7" s="1"/>
  <c r="I81"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DA4" i="7"/>
  <c r="CT4" i="7"/>
  <c r="CM4" i="7"/>
  <c r="CF4" i="7"/>
  <c r="BY4" i="7"/>
  <c r="K20" i="7" a="1"/>
  <c r="K20" i="7" s="1"/>
  <c r="J20" i="7" a="1"/>
  <c r="J20" i="7" s="1"/>
  <c r="I20" i="7"/>
  <c r="K19" i="7" a="1"/>
  <c r="K19" i="7" s="1"/>
  <c r="J19" i="7" a="1"/>
  <c r="J19" i="7" s="1"/>
  <c r="I19" i="7"/>
  <c r="I73"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BK4" i="7"/>
  <c r="K24" i="7" a="1"/>
  <c r="K24" i="7" s="1"/>
  <c r="J24" i="7" a="1"/>
  <c r="J24" i="7" s="1"/>
  <c r="K23" i="7" a="1"/>
  <c r="K23" i="7" s="1"/>
  <c r="J23" i="7" a="1"/>
  <c r="J23" i="7" s="1"/>
  <c r="K22" i="7" a="1"/>
  <c r="K22" i="7" s="1"/>
  <c r="J22" i="7" a="1"/>
  <c r="J22" i="7" s="1"/>
  <c r="K21" i="7" a="1"/>
  <c r="K21" i="7" s="1"/>
  <c r="J21" i="7" a="1"/>
  <c r="J21" i="7" s="1"/>
  <c r="K18" i="7" a="1"/>
  <c r="K18" i="7" s="1"/>
  <c r="J18" i="7" a="1"/>
  <c r="J18" i="7" s="1"/>
  <c r="K42" i="7" a="1"/>
  <c r="K42" i="7" s="1"/>
  <c r="J42" i="7" a="1"/>
  <c r="J42" i="7" s="1"/>
  <c r="K40" i="7" a="1"/>
  <c r="K40" i="7" s="1"/>
  <c r="J40" i="7" a="1"/>
  <c r="J40" i="7" s="1"/>
  <c r="K37" i="7" a="1"/>
  <c r="K37" i="7" s="1"/>
  <c r="J37" i="7" a="1"/>
  <c r="J37" i="7" s="1"/>
  <c r="K35" i="7" a="1"/>
  <c r="K35" i="7" s="1"/>
  <c r="J35" i="7" a="1"/>
  <c r="J35" i="7" s="1"/>
  <c r="K33" i="7" a="1"/>
  <c r="K33" i="7" s="1"/>
  <c r="J33" i="7" a="1"/>
  <c r="J33"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I37" i="7"/>
  <c r="I35" i="7"/>
  <c r="I33" i="7"/>
  <c r="I30" i="7"/>
  <c r="I24" i="7"/>
  <c r="I23" i="7"/>
  <c r="I22" i="7"/>
  <c r="I21" i="7"/>
  <c r="I18" i="7"/>
  <c r="I6" i="7"/>
  <c r="I7" i="7"/>
  <c r="I8" i="7"/>
  <c r="I9" i="7"/>
  <c r="I15" i="7"/>
  <c r="I5" i="7"/>
  <c r="C21" i="10" l="1"/>
  <c r="I44" i="7"/>
  <c r="K44" i="7"/>
  <c r="J44" i="7"/>
  <c r="I88" i="7"/>
  <c r="I75" i="7"/>
  <c r="J88" i="7"/>
  <c r="K88" i="7"/>
  <c r="J75" i="7"/>
  <c r="K75" i="7"/>
  <c r="I58" i="7"/>
  <c r="J58" i="7"/>
  <c r="K58" i="7"/>
  <c r="I32" i="7"/>
  <c r="J32" i="7"/>
  <c r="K32"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<sst xmlns="http://schemas.openxmlformats.org/spreadsheetml/2006/main" count="452" uniqueCount="173">
  <si>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</si>
  <si>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</si>
  <si>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</si>
  <si>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</si>
  <si>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</si>
  <si>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</si>
  <si>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</si>
  <si>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</si>
  <si>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</si>
  <si>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</si>
  <si>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</si>
  <si>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</si>
  <si>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</si>
  <si>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</si>
  <si>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</si>
  <si>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</si>
  <si>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</si>
  <si>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</si>
  <si>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</si>
  <si>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</si>
  <si>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</si>
  <si>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</si>
  <si>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</si>
  <si>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</si>
  <si>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</si>
  <si>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</si>
  <si>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</si>
  <si>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</si>
  <si>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</si>
  <si>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</si>
  <si>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</si>
  <si>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</si>
  <si>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</si>
  <si>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</si>
  <si>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</si>
  <si>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</si>
  <si>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</si>
  <si>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</si>
  <si>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</si>
  <si>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</si>
  <si>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</si>
  <si>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</si>
  <si>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</si>
  <si>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</si>
  <si>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</si>
  <si>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</si>
  <si>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</si>
  <si>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</si>
  <si>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</si>
  <si>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</si>
  <si>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</si>
  <si>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</si>
  <si>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</si>
  <si>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</si>
  <si>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</si>
  <si>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</si>
  <si>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</si>
  <si>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</si>
  <si>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</si>
  <si>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</si>
  <si>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</si>
  <si>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</si>
  <si>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</si>
  <si>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</si>
  <si>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</si>
  <si>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</si>
  <si>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</si>
  <si>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</si>
  <si>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</si>
  <si>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</si>
  <si>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</si>
  <si>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</si>
  <si>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</si>
  <si>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</si>
  <si>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</si>
  <si>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</si>
  <si>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</si>
  <si>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</si>
  <si>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</si>
  <si>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</si>
  <si>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</si>
  <si>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</si>
  <si>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</si>
  <si>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</si>
  <si>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</si>
  <si>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</si>
  <si>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</si>
  <si>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</si>
  <si>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Python für Ingenieure</t>
  </si>
  <si>
    <t>1) Gruppenfindung, Jupyter, Variablen &amp; Datentypen</t>
  </si>
  <si>
    <t>2) Kontrollstrukturen (Schleifen, Verzweigungen)</t>
  </si>
  <si>
    <t>3) Funktionen</t>
  </si>
  <si>
    <t>4) Funktionen und Listen</t>
  </si>
  <si>
    <t>5) Module</t>
  </si>
  <si>
    <t>6) NumPy</t>
  </si>
  <si>
    <t>7) Dateien</t>
  </si>
  <si>
    <t>8) Matplotlib</t>
  </si>
  <si>
    <t>9) Dynamische Plots</t>
  </si>
  <si>
    <t>10) Objekte</t>
  </si>
  <si>
    <t>11) Rechneraufbau</t>
  </si>
  <si>
    <t>Produktionstechnik II</t>
  </si>
  <si>
    <t>1) Einführungsveranstaltung + Fertigungsystematik</t>
  </si>
  <si>
    <t>2) Urformen</t>
  </si>
  <si>
    <t>3) Umformen</t>
  </si>
  <si>
    <t>4) Trennen I</t>
  </si>
  <si>
    <t>5) Trennen II</t>
  </si>
  <si>
    <t>6) Trennen III</t>
  </si>
  <si>
    <t>7) Fügen</t>
  </si>
  <si>
    <t>8) Beschichten</t>
  </si>
  <si>
    <t>9) Wärmebehandeln</t>
  </si>
  <si>
    <t>10) Fertigungsprozessketten</t>
  </si>
  <si>
    <t>11) Montage</t>
  </si>
  <si>
    <t>12) Kreislaufwirtschaft</t>
  </si>
  <si>
    <t>13) Industrie 4.0</t>
  </si>
  <si>
    <t>Gesundheitsökonomie I</t>
  </si>
  <si>
    <t>2) Empirische Relevanz des Gesundheitssektors</t>
  </si>
  <si>
    <t>3) Grundlegende Problemstellung</t>
  </si>
  <si>
    <t>4) Klassifikation der Gesundheitsökonomik</t>
  </si>
  <si>
    <t>5) Gliederung</t>
  </si>
  <si>
    <t>Fabrikbetrieb II</t>
  </si>
  <si>
    <t>1) Introduction</t>
  </si>
  <si>
    <t>2) Value Creation Module/ Sustainable Manufacturing</t>
  </si>
  <si>
    <t>3) Production Networks</t>
  </si>
  <si>
    <t>4) Benchmarking and Best Practice</t>
  </si>
  <si>
    <t>5) Industrial Product-Service Systems</t>
  </si>
  <si>
    <t>6) Knowledge Management in Business Processes</t>
  </si>
  <si>
    <t>7) Factory Planning</t>
  </si>
  <si>
    <t>8) Production Planning and Control 1</t>
  </si>
  <si>
    <t>9) Production Planning and Control 2</t>
  </si>
  <si>
    <t>10) Production Planning and Control 3 - Exam preparation</t>
  </si>
  <si>
    <t>11 Industy 4.0</t>
  </si>
  <si>
    <t>12) Guest Lecture - BMW</t>
  </si>
  <si>
    <t>Psychologie für Ingenieure</t>
  </si>
  <si>
    <t>1) Neuronale Grundlagen + Einführung in die Pfl</t>
  </si>
  <si>
    <t>2) Psychophysik + Theorien &amp; Hypothesen</t>
  </si>
  <si>
    <t>3) Signalentdeckung + Methoden I</t>
  </si>
  <si>
    <t>4) Visuelle Wahrnehmung I + Methoden II</t>
  </si>
  <si>
    <t>5) Visuelle Wahrnehmung II + Lernen I</t>
  </si>
  <si>
    <t>6) Visuelle Wahrnehmung III + Lernen II</t>
  </si>
  <si>
    <t>7) Auditive Wahrnehmung + Lernen III</t>
  </si>
  <si>
    <t>8) Aufmerksamkeit I + Gedächtnis I</t>
  </si>
  <si>
    <t>9) Aufmerksamkeit II + Gedächtnis II</t>
  </si>
  <si>
    <t>10) Aufmerksamkeit III + Gedächtnis III</t>
  </si>
  <si>
    <t>11) Emotionen + Intelligenz</t>
  </si>
  <si>
    <t>12) Motivation + Sprache &amp; Denken</t>
  </si>
  <si>
    <t>13) Mensch soz- Kontext I</t>
  </si>
  <si>
    <t>14) Mensch soz. Kontext II</t>
  </si>
  <si>
    <t>15) Urteilen &amp; Entscheiden</t>
  </si>
  <si>
    <t>Automatisierungstechnik II</t>
  </si>
  <si>
    <t>Projekt Fabrikbetrieb</t>
  </si>
  <si>
    <t xml:space="preserve">1) </t>
  </si>
  <si>
    <t>2)</t>
  </si>
  <si>
    <t xml:space="preserve">3) </t>
  </si>
  <si>
    <t xml:space="preserve">2) </t>
  </si>
  <si>
    <t>ca. 21.07.2023</t>
  </si>
  <si>
    <t>01.05.2023 - 07.05.2023</t>
  </si>
  <si>
    <t>08.05.2023-14.05.2023</t>
  </si>
  <si>
    <t>15.05.2023-21.05.2023</t>
  </si>
  <si>
    <t>22.05.2023-28.05.2023</t>
  </si>
  <si>
    <t>29.05.2023-04.06.2023</t>
  </si>
  <si>
    <t>05.06.2023-11.06.2023</t>
  </si>
  <si>
    <t>12.06.2023-18.06.023</t>
  </si>
  <si>
    <t>19.06.2023-25.06.2023</t>
  </si>
  <si>
    <t>26.06.2023-02.07.2023</t>
  </si>
  <si>
    <t>03.07.2023-09.07.2023</t>
  </si>
  <si>
    <t>10.07.2023-16.07.2023</t>
  </si>
  <si>
    <t>17.07.2023-23.07.2023</t>
  </si>
  <si>
    <t>24.07.2023-30.07.2023</t>
  </si>
  <si>
    <t>31.07.2023-06.08.2023</t>
  </si>
  <si>
    <t>07.08.2023-11.08.2023</t>
  </si>
  <si>
    <t xml:space="preserve">Verfügbare Wochen bis zur ersten beiden Klausuren </t>
  </si>
  <si>
    <t>LevelUps bezogen auf die verfügbaren Wochen für die ersten klausuren</t>
  </si>
  <si>
    <t>LevelUps für die beiden Fächer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</si>
</sst>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9" fontId="0" fillId="7" borderId="0" xfId="0" applyNumberFormat="1" applyFill="1"/>
    <xf numFmtId="0" fontId="1" fillId="2" borderId="0" xfId="0" applyFont="1" applyFill="1" applyAlignment="1">
      <alignment horizontal="center"/>
    </xf>
    <xf numFmtId="0" fontId="0" fillId="8" borderId="0" xfId="0" applyFill="1"/>
    <xf numFmtId="9" fontId="0" fillId="0" borderId="0" xfId="0" applyNumberFormat="1" applyFill="1"/>
  </cellXfs>
  <cellStyles count="1">
    <cellStyle name="Standard" xfId="0" builtinId="0"/>
  </cellStyles>
  <dxfs count="265">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64">
  <autoFilter ref="A1:K46" xr:uid="{6E266E34-2786-2747-BCE7-51B74867A564}"/>
  <tableColumns count="11">
    <tableColumn id="1" xr3:uid="{95FD92F7-3DC8-704D-A103-A7EDDAB255AB}" name="Datum" dataDxfId="263"/>
    <tableColumn id="2" xr3:uid="{F464D510-8166-E740-A343-FB84BDEF877F}" name="Lerneinheiten durchgezogen" dataDxfId="262"/>
    <tableColumn id="3" xr3:uid="{75F52B08-1A00-0848-BBE6-1EDF7B31B1AD}" name="Tagesplan erstellt" dataDxfId="261"/>
    <tableColumn id="4" xr3:uid="{E6B18D89-E799-AD48-9DAA-37AEE1D29011}" name="Konzentrationslevel" dataDxfId="26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21"/>
  <sheetViews>
    <sheetView workbookViewId="0">
      <selection activeCell="C11" sqref="C11"/>
    </sheetView>
  </sheetViews>
  <sheetFormatPr baseColWidth="10" defaultRowHeight="16"/>
  <cols>
    <col min="1" max="1" width="11.83203125" customWidth="1"/>
    <col min="2" max="2" width="62.6640625" customWidth="1"/>
  </cols>
  <sheetData>
    <row r="2" spans="1:4">
      <c r="C2" s="18" t="s">
        <v>72</v>
      </c>
    </row>
    <row r="3" spans="1:4">
      <c r="C3" s="17" t="s">
        <v>57</v>
      </c>
    </row>
    <row r="4" spans="1:4">
      <c r="C4" s="16" t="s">
        <v>71</v>
      </c>
    </row>
    <row r="5" spans="1:4">
      <c r="A5" s="2" t="s">
        <v>54</v>
      </c>
      <c r="B5" s="2" t="s">
        <v>55</v>
      </c>
      <c r="C5" s="2" t="s">
        <v>56</v>
      </c>
      <c r="D5" s="2" t="s">
        <v>58</v>
      </c>
    </row>
    <row r="6" spans="1:4">
      <c r="A6" t="s">
        <v>50</v>
      </c>
      <c r="B6" s="18" t="s">
        <v>53</v>
      </c>
      <c r="D6" t="s">
        <v>87</v>
      </c>
    </row>
    <row r="7" spans="1:4">
      <c r="A7" t="s">
        <v>61</v>
      </c>
      <c r="B7" t="s">
        <v>62</v>
      </c>
      <c r="C7" s="16">
        <v>62</v>
      </c>
    </row>
    <row r="8" spans="1:4">
      <c r="A8" t="s">
        <v>52</v>
      </c>
      <c r="B8" s="18" t="s">
        <v>51</v>
      </c>
      <c r="D8" t="s">
        <v>75</v>
      </c>
    </row>
    <row r="9" spans="1:4">
      <c r="A9" t="s">
        <v>60</v>
      </c>
      <c r="B9" s="18" t="s">
        <v>73</v>
      </c>
      <c r="D9" t="s">
        <v>76</v>
      </c>
    </row>
    <row r="10" spans="1:4">
      <c r="A10" t="s">
        <v>64</v>
      </c>
      <c r="B10" t="s">
        <v>63</v>
      </c>
      <c r="C10" s="16">
        <v>11.5</v>
      </c>
      <c r="D10" t="s">
        <v>59</v>
      </c>
    </row>
    <row r="11" spans="1:4">
      <c r="A11" t="s">
        <v>65</v>
      </c>
      <c r="B11" t="s">
        <v>67</v>
      </c>
      <c r="C11" s="16">
        <f>(3*C7)/C10</f>
        <v>16.173913043478262</v>
      </c>
      <c r="D11" t="s">
        <v>66</v>
      </c>
    </row>
    <row r="12" spans="1:4">
      <c r="A12" t="s">
        <v>69</v>
      </c>
      <c r="B12" t="s">
        <v>68</v>
      </c>
      <c r="C12" s="17">
        <f>C11/C10</f>
        <v>1.4064272211720228</v>
      </c>
    </row>
    <row r="13" spans="1:4">
      <c r="A13" t="s">
        <v>74</v>
      </c>
      <c r="B13" t="s">
        <v>70</v>
      </c>
      <c r="D13" t="s">
        <v>77</v>
      </c>
    </row>
    <row r="14" spans="1:4">
      <c r="A14" t="s">
        <v>78</v>
      </c>
      <c r="B14" t="s">
        <v>79</v>
      </c>
      <c r="D14" t="s">
        <v>80</v>
      </c>
    </row>
    <row r="15" spans="1:4">
      <c r="A15" t="s">
        <v>81</v>
      </c>
      <c r="B15" s="18" t="s">
        <v>82</v>
      </c>
    </row>
    <row r="16" spans="1:4">
      <c r="A16" t="s">
        <v>85</v>
      </c>
      <c r="B16" s="18" t="s">
        <v>83</v>
      </c>
    </row>
    <row r="17" spans="1:3">
      <c r="A17" t="s">
        <v>86</v>
      </c>
      <c r="B17" t="s">
        <v>84</v>
      </c>
    </row>
    <row r="19" spans="1:3">
      <c r="B19" t="s">
        <v>170</v>
      </c>
      <c r="C19">
        <v>11</v>
      </c>
    </row>
    <row r="20" spans="1:3">
      <c r="B20" t="s">
        <v>171</v>
      </c>
      <c r="C20" s="16">
        <f>C7/C19</f>
        <v>5.6363636363636367</v>
      </c>
    </row>
    <row r="21" spans="1:3">
      <c r="B21" t="s">
        <v>172</v>
      </c>
      <c r="C21">
        <f>C12-C20</f>
        <v>-4.2299364151916139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100"/>
  <sheetViews>
    <sheetView showGridLines="0" tabSelected="1" zoomScale="31" zoomScaleNormal="35" workbookViewId="0">
      <pane xSplit="12" topLeftCell="M1" activePane="topRight" state="frozen"/>
      <selection pane="topRight" activeCell="R60" sqref="R60"/>
    </sheetView>
  </sheetViews>
  <sheetFormatPr baseColWidth="10" defaultColWidth="8.83203125" defaultRowHeight="16" outlineLevelRow="1"/>
  <cols>
    <col min="3" max="3" width="23.33203125" bestFit="1" customWidth="1"/>
    <col min="4" max="4" width="13" bestFit="1" customWidth="1"/>
    <col min="5" max="5" width="4.83203125" bestFit="1" customWidth="1"/>
    <col min="6" max="6" width="45.6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c r="B1" s="4" t="s">
        <v>0</v>
      </c>
      <c r="D1" s="4"/>
      <c r="G1" s="13" t="s">
        <v>34</v>
      </c>
      <c r="I1" s="13" t="s">
        <v>34</v>
      </c>
      <c r="J1" s="13" t="s">
        <v>34</v>
      </c>
      <c r="K1" s="13" t="s">
        <v>34</v>
      </c>
    </row>
    <row r="2" spans="2:117">
      <c r="I2" s="22" t="s">
        <v>27</v>
      </c>
      <c r="J2" s="22"/>
      <c r="K2" s="22"/>
      <c r="L2" s="22"/>
      <c r="N2" s="22" t="s">
        <v>155</v>
      </c>
      <c r="O2" s="22"/>
      <c r="P2" s="22"/>
      <c r="Q2" s="22"/>
      <c r="R2" s="22"/>
      <c r="S2" s="22"/>
      <c r="U2" s="22" t="s">
        <v>156</v>
      </c>
      <c r="V2" s="22"/>
      <c r="W2" s="22"/>
      <c r="X2" s="22"/>
      <c r="Y2" s="22"/>
      <c r="Z2" s="22"/>
      <c r="AB2" s="22" t="s">
        <v>157</v>
      </c>
      <c r="AC2" s="22"/>
      <c r="AD2" s="22"/>
      <c r="AE2" s="22"/>
      <c r="AF2" s="22"/>
      <c r="AG2" s="22"/>
      <c r="AI2" s="22" t="s">
        <v>158</v>
      </c>
      <c r="AJ2" s="22"/>
      <c r="AK2" s="22"/>
      <c r="AL2" s="22"/>
      <c r="AM2" s="22"/>
      <c r="AN2" s="22"/>
      <c r="AP2" s="22" t="s">
        <v>159</v>
      </c>
      <c r="AQ2" s="22"/>
      <c r="AR2" s="22"/>
      <c r="AS2" s="22"/>
      <c r="AT2" s="22"/>
      <c r="AU2" s="22"/>
      <c r="AW2" s="22" t="s">
        <v>160</v>
      </c>
      <c r="AX2" s="22"/>
      <c r="AY2" s="22"/>
      <c r="AZ2" s="22"/>
      <c r="BA2" s="22"/>
      <c r="BB2" s="22"/>
      <c r="BD2" s="22" t="s">
        <v>161</v>
      </c>
      <c r="BE2" s="22"/>
      <c r="BF2" s="22"/>
      <c r="BG2" s="22"/>
      <c r="BH2" s="22"/>
      <c r="BI2" s="22"/>
      <c r="BK2" s="22" t="s">
        <v>162</v>
      </c>
      <c r="BL2" s="22"/>
      <c r="BM2" s="22"/>
      <c r="BN2" s="22"/>
      <c r="BO2" s="22"/>
      <c r="BP2" s="22"/>
      <c r="BR2" s="22" t="s">
        <v>163</v>
      </c>
      <c r="BS2" s="22"/>
      <c r="BT2" s="22"/>
      <c r="BU2" s="22"/>
      <c r="BV2" s="22"/>
      <c r="BW2" s="22"/>
      <c r="BY2" s="22" t="s">
        <v>164</v>
      </c>
      <c r="BZ2" s="22"/>
      <c r="CA2" s="22"/>
      <c r="CB2" s="22"/>
      <c r="CC2" s="22"/>
      <c r="CD2" s="22"/>
      <c r="CF2" s="22" t="s">
        <v>165</v>
      </c>
      <c r="CG2" s="22"/>
      <c r="CH2" s="22"/>
      <c r="CI2" s="22"/>
      <c r="CJ2" s="22"/>
      <c r="CK2" s="22"/>
      <c r="CM2" s="22" t="s">
        <v>166</v>
      </c>
      <c r="CN2" s="22"/>
      <c r="CO2" s="22"/>
      <c r="CP2" s="22"/>
      <c r="CQ2" s="22"/>
      <c r="CR2" s="22"/>
      <c r="CT2" s="22" t="s">
        <v>167</v>
      </c>
      <c r="CU2" s="22"/>
      <c r="CV2" s="22"/>
      <c r="CW2" s="22"/>
      <c r="CX2" s="22"/>
      <c r="CY2" s="22"/>
      <c r="DA2" s="22" t="s">
        <v>168</v>
      </c>
      <c r="DB2" s="22"/>
      <c r="DC2" s="22"/>
      <c r="DD2" s="22"/>
      <c r="DE2" s="22"/>
      <c r="DF2" s="22"/>
      <c r="DH2" s="22" t="s">
        <v>169</v>
      </c>
      <c r="DI2" s="22"/>
      <c r="DJ2" s="22"/>
      <c r="DK2" s="22"/>
      <c r="DL2" s="22"/>
      <c r="DM2" s="22"/>
    </row>
    <row r="3" spans="2:117">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row>
    <row r="4" spans="2:117">
      <c r="B4" t="s">
        <v>27</v>
      </c>
      <c r="C4" t="s">
        <v>88</v>
      </c>
      <c r="D4" s="19">
        <v>45117</v>
      </c>
      <c r="E4" s="9">
        <v>6</v>
      </c>
      <c r="G4" s="10"/>
      <c r="I4" s="12">
        <f>+SUM(I5:I15)</f>
        <v>0</v>
      </c>
      <c r="J4" s="11">
        <f>+SUMPRODUCT(G5:G15,J5:J15)</f>
        <v>0</v>
      </c>
      <c r="K4" s="11">
        <f>+SUMPRODUCT(G5:G15,K5:K15)</f>
        <v>0</v>
      </c>
      <c r="L4" s="9"/>
      <c r="N4" s="12"/>
      <c r="U4" s="12">
        <f>+SUM(U5:U15)</f>
        <v>0</v>
      </c>
      <c r="AB4" s="12">
        <f>+SUM(AB5:AB15)</f>
        <v>0</v>
      </c>
      <c r="AI4" s="12">
        <f>+SUM(AI5:AI15)</f>
        <v>0</v>
      </c>
      <c r="AP4" s="12">
        <f>+SUM(AP5:AP15)</f>
        <v>0</v>
      </c>
      <c r="AW4" s="12">
        <f>+SUM(AW5:AW15)</f>
        <v>0</v>
      </c>
      <c r="BD4" s="12">
        <f>+SUM(BD5:BD15)</f>
        <v>0</v>
      </c>
      <c r="BK4" s="12">
        <f>+SUM(BK5:BK15)</f>
        <v>0</v>
      </c>
      <c r="BM4" s="10"/>
      <c r="BO4" s="10"/>
      <c r="BR4" s="12"/>
      <c r="BT4" s="10"/>
      <c r="BV4" s="10"/>
      <c r="BY4" s="12">
        <f>+SUM(BY5:BY15)</f>
        <v>0</v>
      </c>
      <c r="CF4" s="12">
        <f>+SUM(CF5:CF15)</f>
        <v>0</v>
      </c>
      <c r="CM4" s="12">
        <f>+SUM(CM5:CM15)</f>
        <v>0</v>
      </c>
      <c r="CT4" s="12">
        <f>+SUM(CT5:CT15)</f>
        <v>0</v>
      </c>
      <c r="DA4" s="12">
        <f>+SUM(DA5:DA15)</f>
        <v>0</v>
      </c>
      <c r="DH4" s="12">
        <f>+SUM(DH5:DH15)</f>
        <v>0</v>
      </c>
    </row>
    <row r="5" spans="2:117" outlineLevel="1">
      <c r="B5" t="s">
        <v>28</v>
      </c>
      <c r="C5" t="s">
        <v>88</v>
      </c>
      <c r="E5" s="9"/>
      <c r="F5" t="s">
        <v>89</v>
      </c>
      <c r="G5" s="10"/>
      <c r="I5" s="9">
        <f>+SUMIF($N$3:$ZZ$3,I$3,$N5:$ZZ5)</f>
        <v>0</v>
      </c>
      <c r="J5" s="11" cm="1">
        <f t="array" ref="J5">MAX(IF($N$3:$EH$3=$J$3,N5:EH5))</f>
        <v>0</v>
      </c>
      <c r="K5" s="11" cm="1">
        <f t="array" ref="K5">MAX(IF($N$3:$EH$3=$J$3,N5:EH5))</f>
        <v>0</v>
      </c>
      <c r="L5" s="9"/>
      <c r="O5" s="10"/>
      <c r="P5" s="10"/>
      <c r="Q5" s="10"/>
      <c r="R5" s="10">
        <v>0.5</v>
      </c>
      <c r="V5" s="10"/>
      <c r="W5" s="10"/>
      <c r="X5" s="10"/>
      <c r="Y5" s="10">
        <v>0.5</v>
      </c>
      <c r="AC5" s="10"/>
      <c r="AD5" s="10"/>
      <c r="AE5" s="10"/>
      <c r="AF5" s="10">
        <v>0.5</v>
      </c>
      <c r="AJ5" s="10"/>
      <c r="AK5" s="10"/>
      <c r="AL5" s="10"/>
      <c r="AM5" s="10">
        <v>0.8</v>
      </c>
      <c r="AQ5" s="10"/>
      <c r="AR5" s="10">
        <v>0.8</v>
      </c>
      <c r="AS5" s="10"/>
      <c r="AT5" s="10">
        <v>0.8</v>
      </c>
      <c r="AX5" s="10"/>
      <c r="AY5" s="10">
        <v>1</v>
      </c>
      <c r="AZ5" s="10"/>
      <c r="BA5" s="10">
        <v>1</v>
      </c>
      <c r="BE5" s="10"/>
      <c r="BF5" s="10">
        <v>1</v>
      </c>
      <c r="BG5" s="10"/>
      <c r="BH5" s="10">
        <v>1</v>
      </c>
      <c r="BL5" s="10"/>
      <c r="BM5" s="10">
        <v>1</v>
      </c>
      <c r="BN5" s="10"/>
      <c r="BO5" s="10">
        <v>1</v>
      </c>
      <c r="BS5" s="10"/>
      <c r="BT5" s="10">
        <v>1</v>
      </c>
      <c r="BU5" s="10"/>
      <c r="BV5" s="10">
        <v>1</v>
      </c>
      <c r="BZ5" s="10"/>
      <c r="CA5" s="10"/>
      <c r="CB5" s="10"/>
      <c r="CC5" s="10"/>
      <c r="CG5" s="10"/>
      <c r="CH5" s="10"/>
      <c r="CI5" s="10"/>
      <c r="CJ5" s="10"/>
      <c r="CN5" s="10"/>
      <c r="CO5" s="10"/>
      <c r="CP5" s="10"/>
      <c r="CQ5" s="10"/>
      <c r="CU5" s="10"/>
      <c r="CV5" s="10"/>
      <c r="CW5" s="10"/>
      <c r="CX5" s="10"/>
      <c r="DB5" s="10"/>
      <c r="DC5" s="10"/>
      <c r="DD5" s="10"/>
      <c r="DE5" s="10"/>
      <c r="DI5" s="10"/>
      <c r="DJ5" s="10"/>
      <c r="DK5" s="10"/>
      <c r="DL5" s="10"/>
    </row>
    <row r="6" spans="2:117" outlineLevel="1">
      <c r="B6" t="s">
        <v>28</v>
      </c>
      <c r="C6" t="s">
        <v>88</v>
      </c>
      <c r="E6" s="9"/>
      <c r="F6" t="s">
        <v>90</v>
      </c>
      <c r="G6" s="10"/>
      <c r="I6" s="9">
        <f t="shared" ref="I6:I15" si="0">+SUMIF($N$3:$ZZ$3,I$3,$N6:$ZZ6)</f>
        <v>0</v>
      </c>
      <c r="J6" s="11" cm="1">
        <f t="array" ref="J6">MAX(IF($N$3:$EH$3=$J$3,N6:EH6))</f>
        <v>0</v>
      </c>
      <c r="K6" s="11" cm="1">
        <f t="array" ref="K6">MAX(IF($N$3:$EH$3=$J$3,N6:EH6))</f>
        <v>0</v>
      </c>
      <c r="L6" s="9"/>
      <c r="O6" s="10"/>
      <c r="P6" s="10"/>
      <c r="Q6" s="10"/>
      <c r="R6" s="10">
        <v>0.5</v>
      </c>
      <c r="V6" s="10"/>
      <c r="W6" s="10"/>
      <c r="X6" s="10"/>
      <c r="Y6" s="10">
        <v>0.5</v>
      </c>
      <c r="AC6" s="10"/>
      <c r="AD6" s="10"/>
      <c r="AE6" s="10"/>
      <c r="AF6" s="10">
        <v>0.5</v>
      </c>
      <c r="AJ6" s="10"/>
      <c r="AK6" s="10"/>
      <c r="AL6" s="10"/>
      <c r="AM6" s="10">
        <v>0.8</v>
      </c>
      <c r="AQ6" s="10"/>
      <c r="AR6" s="10">
        <v>0.8</v>
      </c>
      <c r="AS6" s="10"/>
      <c r="AT6" s="10">
        <v>0.8</v>
      </c>
      <c r="AX6" s="10"/>
      <c r="AY6" s="10">
        <v>0.8</v>
      </c>
      <c r="AZ6" s="10"/>
      <c r="BA6" s="10">
        <v>0.8</v>
      </c>
      <c r="BE6" s="10"/>
      <c r="BF6" s="10">
        <v>1</v>
      </c>
      <c r="BG6" s="10"/>
      <c r="BH6" s="10">
        <v>1</v>
      </c>
      <c r="BL6" s="10"/>
      <c r="BM6" s="10">
        <v>1</v>
      </c>
      <c r="BN6" s="10"/>
      <c r="BO6" s="10">
        <v>1</v>
      </c>
      <c r="BS6" s="10"/>
      <c r="BT6" s="10">
        <v>1</v>
      </c>
      <c r="BU6" s="10"/>
      <c r="BV6" s="10">
        <v>1</v>
      </c>
      <c r="BZ6" s="10"/>
      <c r="CA6" s="10"/>
      <c r="CB6" s="10"/>
      <c r="CC6" s="10"/>
      <c r="CG6" s="10"/>
      <c r="CH6" s="10"/>
      <c r="CI6" s="10"/>
      <c r="CJ6" s="10"/>
      <c r="CN6" s="10"/>
      <c r="CO6" s="10"/>
      <c r="CP6" s="10"/>
      <c r="CQ6" s="10"/>
      <c r="CU6" s="10"/>
      <c r="CV6" s="10"/>
      <c r="CW6" s="10"/>
      <c r="CX6" s="10"/>
      <c r="DB6" s="10"/>
      <c r="DC6" s="10"/>
      <c r="DD6" s="10"/>
      <c r="DE6" s="10"/>
      <c r="DI6" s="10"/>
      <c r="DJ6" s="10"/>
      <c r="DK6" s="10"/>
      <c r="DL6" s="10"/>
    </row>
    <row r="7" spans="2:117" outlineLevel="1">
      <c r="B7" t="s">
        <v>28</v>
      </c>
      <c r="C7" t="s">
        <v>88</v>
      </c>
      <c r="E7" s="9"/>
      <c r="F7" t="s">
        <v>91</v>
      </c>
      <c r="G7" s="10"/>
      <c r="I7" s="9">
        <f t="shared" si="0"/>
        <v>0</v>
      </c>
      <c r="J7" s="11" cm="1">
        <f t="array" ref="J7">MAX(IF($N$3:$EH$3=$J$3,N7:EH7))</f>
        <v>0</v>
      </c>
      <c r="K7" s="11" cm="1">
        <f t="array" ref="K7">MAX(IF($N$3:$EH$3=$J$3,N7:EH7))</f>
        <v>0</v>
      </c>
      <c r="L7" s="9"/>
      <c r="O7" s="10"/>
      <c r="P7" s="10"/>
      <c r="Q7" s="10"/>
      <c r="R7" s="10">
        <v>0.5</v>
      </c>
      <c r="V7" s="10"/>
      <c r="W7" s="10"/>
      <c r="X7" s="10"/>
      <c r="Y7" s="10">
        <v>0.5</v>
      </c>
      <c r="AC7" s="10"/>
      <c r="AD7" s="10"/>
      <c r="AE7" s="10"/>
      <c r="AF7" s="10">
        <v>0.5</v>
      </c>
      <c r="AJ7" s="10"/>
      <c r="AK7" s="10"/>
      <c r="AL7" s="10"/>
      <c r="AM7" s="10">
        <v>0.8</v>
      </c>
      <c r="AQ7" s="10"/>
      <c r="AR7" s="10">
        <v>0.8</v>
      </c>
      <c r="AS7" s="10"/>
      <c r="AT7" s="10">
        <v>0.8</v>
      </c>
      <c r="AX7" s="10"/>
      <c r="AY7" s="10">
        <v>0.8</v>
      </c>
      <c r="AZ7" s="10"/>
      <c r="BA7" s="10">
        <v>0.8</v>
      </c>
      <c r="BE7" s="10"/>
      <c r="BF7" s="10">
        <v>1</v>
      </c>
      <c r="BG7" s="10"/>
      <c r="BH7" s="10">
        <v>1</v>
      </c>
      <c r="BL7" s="10"/>
      <c r="BM7" s="10">
        <v>1</v>
      </c>
      <c r="BN7" s="10"/>
      <c r="BO7" s="10">
        <v>1</v>
      </c>
      <c r="BS7" s="10"/>
      <c r="BT7" s="10">
        <v>1</v>
      </c>
      <c r="BU7" s="10"/>
      <c r="BV7" s="10">
        <v>1</v>
      </c>
      <c r="BZ7" s="10"/>
      <c r="CA7" s="10"/>
      <c r="CB7" s="10"/>
      <c r="CC7" s="10"/>
      <c r="CG7" s="10"/>
      <c r="CH7" s="10"/>
      <c r="CI7" s="10"/>
      <c r="CJ7" s="10"/>
      <c r="CN7" s="10"/>
      <c r="CO7" s="10"/>
      <c r="CP7" s="10"/>
      <c r="CQ7" s="10"/>
      <c r="CU7" s="10"/>
      <c r="CV7" s="10"/>
      <c r="CW7" s="10"/>
      <c r="CX7" s="10"/>
      <c r="DB7" s="10"/>
      <c r="DC7" s="10"/>
      <c r="DD7" s="10"/>
      <c r="DE7" s="10"/>
      <c r="DI7" s="10"/>
      <c r="DJ7" s="10"/>
      <c r="DK7" s="10"/>
      <c r="DL7" s="10"/>
    </row>
    <row r="8" spans="2:117" outlineLevel="1">
      <c r="B8" t="s">
        <v>28</v>
      </c>
      <c r="C8" t="s">
        <v>88</v>
      </c>
      <c r="E8" s="9"/>
      <c r="F8" t="s">
        <v>92</v>
      </c>
      <c r="G8" s="10"/>
      <c r="I8" s="9">
        <f t="shared" si="0"/>
        <v>0</v>
      </c>
      <c r="J8" s="11" cm="1">
        <f t="array" ref="J8">MAX(IF($N$3:$EH$3=$J$3,N8:EH8))</f>
        <v>0</v>
      </c>
      <c r="K8" s="11" cm="1">
        <f t="array" ref="K8">MAX(IF($N$3:$EH$3=$J$3,N8:EH8))</f>
        <v>0</v>
      </c>
      <c r="L8" s="9"/>
      <c r="O8" s="10"/>
      <c r="P8" s="10"/>
      <c r="Q8" s="10"/>
      <c r="R8" s="10"/>
      <c r="V8" s="10"/>
      <c r="W8" s="10"/>
      <c r="X8" s="10"/>
      <c r="Y8" s="10">
        <v>0.5</v>
      </c>
      <c r="AC8" s="10"/>
      <c r="AD8" s="10"/>
      <c r="AE8" s="10"/>
      <c r="AF8" s="10">
        <v>0.5</v>
      </c>
      <c r="AJ8" s="10"/>
      <c r="AK8" s="10"/>
      <c r="AL8" s="10"/>
      <c r="AM8" s="10">
        <v>0.8</v>
      </c>
      <c r="AQ8" s="10"/>
      <c r="AR8" s="10">
        <v>0.8</v>
      </c>
      <c r="AS8" s="10"/>
      <c r="AT8" s="10">
        <v>0.8</v>
      </c>
      <c r="AX8" s="10"/>
      <c r="AY8" s="10">
        <v>0.8</v>
      </c>
      <c r="AZ8" s="10"/>
      <c r="BA8" s="10">
        <v>0.8</v>
      </c>
      <c r="BE8" s="10"/>
      <c r="BF8" s="10">
        <v>1</v>
      </c>
      <c r="BG8" s="10"/>
      <c r="BH8" s="10">
        <v>1</v>
      </c>
      <c r="BL8" s="10"/>
      <c r="BM8" s="10">
        <v>1</v>
      </c>
      <c r="BN8" s="10"/>
      <c r="BO8" s="10">
        <v>1</v>
      </c>
      <c r="BS8" s="10"/>
      <c r="BT8" s="10">
        <v>1</v>
      </c>
      <c r="BU8" s="10"/>
      <c r="BV8" s="10">
        <v>1</v>
      </c>
      <c r="BZ8" s="10"/>
      <c r="CA8" s="10"/>
      <c r="CB8" s="10"/>
      <c r="CC8" s="10"/>
      <c r="CG8" s="10"/>
      <c r="CH8" s="10"/>
      <c r="CI8" s="10"/>
      <c r="CJ8" s="10"/>
      <c r="CN8" s="10"/>
      <c r="CO8" s="10"/>
      <c r="CP8" s="10"/>
      <c r="CQ8" s="10"/>
      <c r="CU8" s="10"/>
      <c r="CV8" s="10"/>
      <c r="CW8" s="10"/>
      <c r="CX8" s="10"/>
      <c r="DB8" s="10"/>
      <c r="DC8" s="10"/>
      <c r="DD8" s="10"/>
      <c r="DE8" s="10"/>
      <c r="DI8" s="10"/>
      <c r="DJ8" s="10"/>
      <c r="DK8" s="10"/>
      <c r="DL8" s="10"/>
    </row>
    <row r="9" spans="2:117" outlineLevel="1">
      <c r="B9" t="s">
        <v>28</v>
      </c>
      <c r="C9" t="s">
        <v>88</v>
      </c>
      <c r="E9" s="9"/>
      <c r="F9" t="s">
        <v>93</v>
      </c>
      <c r="G9" s="10"/>
      <c r="I9" s="9">
        <f t="shared" si="0"/>
        <v>0</v>
      </c>
      <c r="J9" s="11" cm="1">
        <f t="array" ref="J9">MAX(IF($N$3:$EH$3=$J$3,N9:EH9))</f>
        <v>0</v>
      </c>
      <c r="K9" s="11" cm="1">
        <f t="array" ref="K9">MAX(IF($N$3:$EH$3=$J$3,N9:EH9))</f>
        <v>0</v>
      </c>
      <c r="L9" s="9"/>
      <c r="O9" s="10"/>
      <c r="P9" s="10"/>
      <c r="Q9" s="10"/>
      <c r="R9" s="10"/>
      <c r="V9" s="10"/>
      <c r="W9" s="10"/>
      <c r="X9" s="10"/>
      <c r="Y9" s="10">
        <v>0.5</v>
      </c>
      <c r="AC9" s="10"/>
      <c r="AD9" s="10"/>
      <c r="AE9" s="10"/>
      <c r="AF9" s="10">
        <v>0.5</v>
      </c>
      <c r="AJ9" s="10"/>
      <c r="AK9" s="10"/>
      <c r="AL9" s="10"/>
      <c r="AM9" s="10">
        <v>0.5</v>
      </c>
      <c r="AQ9" s="10"/>
      <c r="AR9" s="10">
        <v>0.8</v>
      </c>
      <c r="AS9" s="10"/>
      <c r="AT9" s="10">
        <v>0.8</v>
      </c>
      <c r="AX9" s="10"/>
      <c r="AY9" s="10">
        <v>0.8</v>
      </c>
      <c r="AZ9" s="10"/>
      <c r="BA9" s="10">
        <v>0.8</v>
      </c>
      <c r="BE9" s="10"/>
      <c r="BF9" s="10">
        <v>1</v>
      </c>
      <c r="BG9" s="10"/>
      <c r="BH9" s="10">
        <v>1</v>
      </c>
      <c r="BL9" s="10"/>
      <c r="BM9" s="10">
        <v>1</v>
      </c>
      <c r="BN9" s="10"/>
      <c r="BO9" s="10">
        <v>1</v>
      </c>
      <c r="BS9" s="10"/>
      <c r="BT9" s="10">
        <v>1</v>
      </c>
      <c r="BU9" s="21"/>
      <c r="BV9" s="10">
        <v>1</v>
      </c>
      <c r="BZ9" s="10"/>
      <c r="CA9" s="10"/>
      <c r="CB9" s="10"/>
      <c r="CC9" s="10"/>
      <c r="CG9" s="10"/>
      <c r="CH9" s="10"/>
      <c r="CI9" s="10"/>
      <c r="CJ9" s="10"/>
      <c r="CN9" s="10"/>
      <c r="CO9" s="10"/>
      <c r="CP9" s="10"/>
      <c r="CQ9" s="10"/>
      <c r="CU9" s="10"/>
      <c r="CV9" s="10"/>
      <c r="CW9" s="10"/>
      <c r="CX9" s="10"/>
      <c r="DB9" s="10"/>
      <c r="DC9" s="10"/>
      <c r="DD9" s="10"/>
      <c r="DE9" s="10"/>
      <c r="DI9" s="10"/>
      <c r="DJ9" s="10"/>
      <c r="DK9" s="10"/>
      <c r="DL9" s="10"/>
    </row>
    <row r="10" spans="2:117" outlineLevel="1">
      <c r="B10" t="s">
        <v>28</v>
      </c>
      <c r="C10" t="s">
        <v>88</v>
      </c>
      <c r="E10" s="9"/>
      <c r="F10" t="s">
        <v>94</v>
      </c>
      <c r="G10" s="10"/>
      <c r="I10" s="9"/>
      <c r="J10" s="11" cm="1">
        <f t="array" ref="J10">MAX(IF($N$3:$EH$3=$J$3,N10:EH10))</f>
        <v>0</v>
      </c>
      <c r="K10" s="11" cm="1">
        <f t="array" ref="K10">MAX(IF($N$3:$EH$3=$J$3,N10:EH10))</f>
        <v>0</v>
      </c>
      <c r="L10" s="9"/>
      <c r="O10" s="10"/>
      <c r="P10" s="10"/>
      <c r="Q10" s="10"/>
      <c r="R10" s="10"/>
      <c r="V10" s="10"/>
      <c r="W10" s="10"/>
      <c r="X10" s="10"/>
      <c r="Y10" s="10">
        <v>0.5</v>
      </c>
      <c r="AC10" s="10"/>
      <c r="AD10" s="10"/>
      <c r="AE10" s="10"/>
      <c r="AF10" s="10">
        <v>0.5</v>
      </c>
      <c r="AJ10" s="10"/>
      <c r="AK10" s="10"/>
      <c r="AL10" s="10"/>
      <c r="AM10" s="10">
        <v>0.5</v>
      </c>
      <c r="AQ10" s="10"/>
      <c r="AR10" s="10">
        <v>0.8</v>
      </c>
      <c r="AS10" s="10"/>
      <c r="AT10" s="10">
        <v>0.8</v>
      </c>
      <c r="AX10" s="10"/>
      <c r="AY10" s="10">
        <v>0.8</v>
      </c>
      <c r="AZ10" s="10"/>
      <c r="BA10" s="10">
        <v>0.8</v>
      </c>
      <c r="BE10" s="10"/>
      <c r="BF10" s="10">
        <v>0.8</v>
      </c>
      <c r="BG10" s="10"/>
      <c r="BH10" s="10">
        <v>0.8</v>
      </c>
      <c r="BL10" s="10"/>
      <c r="BM10" s="10">
        <v>1</v>
      </c>
      <c r="BN10" s="10"/>
      <c r="BO10" s="10">
        <v>1</v>
      </c>
      <c r="BS10" s="10"/>
      <c r="BT10" s="10">
        <v>1</v>
      </c>
      <c r="BU10" s="21"/>
      <c r="BV10" s="10">
        <v>1</v>
      </c>
      <c r="BZ10" s="10"/>
      <c r="CA10" s="10"/>
      <c r="CB10" s="10"/>
      <c r="CC10" s="10"/>
      <c r="CG10" s="10"/>
      <c r="CH10" s="10"/>
      <c r="CI10" s="10"/>
      <c r="CJ10" s="10"/>
      <c r="CN10" s="10"/>
      <c r="CO10" s="10"/>
      <c r="CP10" s="10"/>
      <c r="CQ10" s="10"/>
      <c r="CU10" s="10"/>
      <c r="CV10" s="10"/>
      <c r="CW10" s="10"/>
      <c r="CX10" s="10"/>
      <c r="DB10" s="10"/>
      <c r="DC10" s="10"/>
      <c r="DD10" s="10"/>
      <c r="DE10" s="10"/>
      <c r="DI10" s="10"/>
      <c r="DJ10" s="10"/>
      <c r="DK10" s="10"/>
      <c r="DL10" s="10"/>
    </row>
    <row r="11" spans="2:117" outlineLevel="1">
      <c r="B11" t="s">
        <v>28</v>
      </c>
      <c r="C11" t="s">
        <v>88</v>
      </c>
      <c r="E11" s="9"/>
      <c r="F11" t="s">
        <v>95</v>
      </c>
      <c r="G11" s="10"/>
      <c r="I11" s="9"/>
      <c r="J11" s="11" cm="1">
        <f t="array" ref="J11">MAX(IF($N$3:$EH$3=$J$3,N11:EH11))</f>
        <v>0</v>
      </c>
      <c r="K11" s="11" cm="1">
        <f t="array" ref="K11">MAX(IF($N$3:$EH$3=$J$3,N11:EH11))</f>
        <v>0</v>
      </c>
      <c r="L11" s="9"/>
      <c r="O11" s="10"/>
      <c r="P11" s="10"/>
      <c r="Q11" s="10"/>
      <c r="R11" s="10"/>
      <c r="V11" s="10"/>
      <c r="W11" s="10"/>
      <c r="X11" s="10"/>
      <c r="Y11" s="10">
        <v>0.5</v>
      </c>
      <c r="AC11" s="10"/>
      <c r="AD11" s="10"/>
      <c r="AE11" s="10"/>
      <c r="AF11" s="10">
        <v>0.5</v>
      </c>
      <c r="AJ11" s="10"/>
      <c r="AK11" s="10"/>
      <c r="AL11" s="10"/>
      <c r="AM11" s="10">
        <v>0.5</v>
      </c>
      <c r="AQ11" s="10"/>
      <c r="AR11" s="10">
        <v>0.8</v>
      </c>
      <c r="AS11" s="10"/>
      <c r="AT11" s="10">
        <v>0.8</v>
      </c>
      <c r="AX11" s="10"/>
      <c r="AY11" s="10">
        <v>0.8</v>
      </c>
      <c r="AZ11" s="10"/>
      <c r="BA11" s="10">
        <v>0.8</v>
      </c>
      <c r="BE11" s="10"/>
      <c r="BF11" s="10">
        <v>0.8</v>
      </c>
      <c r="BG11" s="10"/>
      <c r="BH11" s="10">
        <v>0.8</v>
      </c>
      <c r="BL11" s="10"/>
      <c r="BM11" s="10">
        <v>1</v>
      </c>
      <c r="BN11" s="10"/>
      <c r="BO11" s="10">
        <v>1</v>
      </c>
      <c r="BS11" s="10"/>
      <c r="BT11" s="10">
        <v>1</v>
      </c>
      <c r="BU11" s="21"/>
      <c r="BV11" s="10">
        <v>1</v>
      </c>
      <c r="BZ11" s="10"/>
      <c r="CA11" s="10"/>
      <c r="CB11" s="10"/>
      <c r="CC11" s="10"/>
      <c r="CG11" s="10"/>
      <c r="CH11" s="10"/>
      <c r="CI11" s="10"/>
      <c r="CJ11" s="10"/>
      <c r="CN11" s="10"/>
      <c r="CO11" s="10"/>
      <c r="CP11" s="10"/>
      <c r="CQ11" s="10"/>
      <c r="CU11" s="10"/>
      <c r="CV11" s="10"/>
      <c r="CW11" s="10"/>
      <c r="CX11" s="10"/>
      <c r="DB11" s="10"/>
      <c r="DC11" s="10"/>
      <c r="DD11" s="10"/>
      <c r="DE11" s="10"/>
      <c r="DI11" s="10"/>
      <c r="DJ11" s="10"/>
      <c r="DK11" s="10"/>
      <c r="DL11" s="10"/>
    </row>
    <row r="12" spans="2:117" outlineLevel="1">
      <c r="B12" t="s">
        <v>28</v>
      </c>
      <c r="C12" t="s">
        <v>88</v>
      </c>
      <c r="E12" s="9"/>
      <c r="F12" t="s">
        <v>96</v>
      </c>
      <c r="G12" s="10"/>
      <c r="I12" s="9"/>
      <c r="J12" s="11" cm="1">
        <f t="array" ref="J12">MAX(IF($N$3:$EH$3=$J$3,N12:EH12))</f>
        <v>0</v>
      </c>
      <c r="K12" s="11" cm="1">
        <f t="array" ref="K12">MAX(IF($N$3:$EH$3=$J$3,N12:EH12))</f>
        <v>0</v>
      </c>
      <c r="L12" s="9"/>
      <c r="O12" s="10"/>
      <c r="P12" s="10"/>
      <c r="Q12" s="10"/>
      <c r="R12" s="10"/>
      <c r="V12" s="10"/>
      <c r="W12" s="10"/>
      <c r="X12" s="10"/>
      <c r="Y12" s="10"/>
      <c r="AC12" s="10"/>
      <c r="AD12" s="10"/>
      <c r="AE12" s="10"/>
      <c r="AF12" s="10">
        <v>0.5</v>
      </c>
      <c r="AJ12" s="10"/>
      <c r="AK12" s="10"/>
      <c r="AL12" s="10"/>
      <c r="AM12" s="10">
        <v>0.5</v>
      </c>
      <c r="AQ12" s="10"/>
      <c r="AR12" s="10">
        <v>0.8</v>
      </c>
      <c r="AS12" s="10"/>
      <c r="AT12" s="10">
        <v>0.8</v>
      </c>
      <c r="AX12" s="10"/>
      <c r="AY12" s="10">
        <v>0.8</v>
      </c>
      <c r="AZ12" s="10"/>
      <c r="BA12" s="10">
        <v>0.8</v>
      </c>
      <c r="BE12" s="10"/>
      <c r="BF12" s="10">
        <v>0.8</v>
      </c>
      <c r="BG12" s="10"/>
      <c r="BH12" s="10">
        <v>0.8</v>
      </c>
      <c r="BL12" s="10"/>
      <c r="BM12" s="10">
        <v>1</v>
      </c>
      <c r="BN12" s="10"/>
      <c r="BO12" s="10">
        <v>1</v>
      </c>
      <c r="BS12" s="10"/>
      <c r="BT12" s="10">
        <v>1</v>
      </c>
      <c r="BU12" s="21"/>
      <c r="BV12" s="10">
        <v>1</v>
      </c>
      <c r="BZ12" s="10"/>
      <c r="CA12" s="10"/>
      <c r="CB12" s="10"/>
      <c r="CC12" s="10"/>
      <c r="CG12" s="10"/>
      <c r="CH12" s="10"/>
      <c r="CI12" s="10"/>
      <c r="CJ12" s="10"/>
      <c r="CN12" s="10"/>
      <c r="CO12" s="10"/>
      <c r="CP12" s="10"/>
      <c r="CQ12" s="10"/>
      <c r="CU12" s="10"/>
      <c r="CV12" s="10"/>
      <c r="CW12" s="10"/>
      <c r="CX12" s="10"/>
      <c r="DB12" s="10"/>
      <c r="DC12" s="10"/>
      <c r="DD12" s="10"/>
      <c r="DE12" s="10"/>
      <c r="DI12" s="10"/>
      <c r="DJ12" s="10"/>
      <c r="DK12" s="10"/>
      <c r="DL12" s="10"/>
    </row>
    <row r="13" spans="2:117" outlineLevel="1">
      <c r="B13" t="s">
        <v>28</v>
      </c>
      <c r="C13" t="s">
        <v>88</v>
      </c>
      <c r="E13" s="9"/>
      <c r="F13" t="s">
        <v>97</v>
      </c>
      <c r="G13" s="10"/>
      <c r="I13" s="9"/>
      <c r="J13" s="11" cm="1">
        <f t="array" ref="J13">MAX(IF($N$3:$EH$3=$J$3,N13:EH13))</f>
        <v>0</v>
      </c>
      <c r="K13" s="11" cm="1">
        <f t="array" ref="K13">MAX(IF($N$3:$EH$3=$J$3,N13:EH13))</f>
        <v>0</v>
      </c>
      <c r="L13" s="9"/>
      <c r="O13" s="10"/>
      <c r="P13" s="10"/>
      <c r="Q13" s="10"/>
      <c r="R13" s="10"/>
      <c r="V13" s="10"/>
      <c r="W13" s="10"/>
      <c r="X13" s="10"/>
      <c r="Y13" s="10"/>
      <c r="AC13" s="10"/>
      <c r="AD13" s="10"/>
      <c r="AE13" s="10"/>
      <c r="AF13" s="10">
        <v>0.5</v>
      </c>
      <c r="AJ13" s="10"/>
      <c r="AK13" s="10"/>
      <c r="AL13" s="10"/>
      <c r="AM13" s="10">
        <v>0.5</v>
      </c>
      <c r="AQ13" s="10"/>
      <c r="AR13" s="10">
        <v>0.5</v>
      </c>
      <c r="AS13" s="10"/>
      <c r="AT13" s="10">
        <v>0.5</v>
      </c>
      <c r="AX13" s="10"/>
      <c r="AY13" s="10">
        <v>0.8</v>
      </c>
      <c r="AZ13" s="10"/>
      <c r="BA13" s="10">
        <v>0.8</v>
      </c>
      <c r="BE13" s="10"/>
      <c r="BF13" s="10">
        <v>0.8</v>
      </c>
      <c r="BG13" s="10"/>
      <c r="BH13" s="10">
        <v>0.8</v>
      </c>
      <c r="BL13" s="10"/>
      <c r="BM13" s="10">
        <v>0.8</v>
      </c>
      <c r="BN13" s="10"/>
      <c r="BO13" s="10">
        <v>0.8</v>
      </c>
      <c r="BS13" s="10"/>
      <c r="BT13" s="10">
        <v>1</v>
      </c>
      <c r="BU13" s="21"/>
      <c r="BV13" s="10">
        <v>1</v>
      </c>
      <c r="BZ13" s="10"/>
      <c r="CA13" s="10"/>
      <c r="CB13" s="10"/>
      <c r="CC13" s="10"/>
      <c r="CG13" s="10"/>
      <c r="CH13" s="10"/>
      <c r="CI13" s="10"/>
      <c r="CJ13" s="10"/>
      <c r="CN13" s="10"/>
      <c r="CO13" s="10"/>
      <c r="CP13" s="10"/>
      <c r="CQ13" s="10"/>
      <c r="CU13" s="10"/>
      <c r="CV13" s="10"/>
      <c r="CW13" s="10"/>
      <c r="CX13" s="10"/>
      <c r="DB13" s="10"/>
      <c r="DC13" s="10"/>
      <c r="DD13" s="10"/>
      <c r="DE13" s="10"/>
      <c r="DI13" s="10"/>
      <c r="DJ13" s="10"/>
      <c r="DK13" s="10"/>
      <c r="DL13" s="10"/>
    </row>
    <row r="14" spans="2:117" outlineLevel="1">
      <c r="B14" t="s">
        <v>28</v>
      </c>
      <c r="C14" t="s">
        <v>88</v>
      </c>
      <c r="E14" s="9"/>
      <c r="F14" t="s">
        <v>98</v>
      </c>
      <c r="G14" s="10"/>
      <c r="I14" s="9"/>
      <c r="J14" s="11" cm="1">
        <f t="array" ref="J14">MAX(IF($N$3:$EH$3=$J$3,N14:EH14))</f>
        <v>0</v>
      </c>
      <c r="K14" s="11" cm="1">
        <f t="array" ref="K14">MAX(IF($N$3:$EH$3=$J$3,N14:EH14))</f>
        <v>0</v>
      </c>
      <c r="L14" s="9"/>
      <c r="O14" s="10"/>
      <c r="P14" s="10"/>
      <c r="Q14" s="10"/>
      <c r="R14" s="10"/>
      <c r="V14" s="10"/>
      <c r="W14" s="10"/>
      <c r="X14" s="10"/>
      <c r="Y14" s="10"/>
      <c r="AC14" s="10"/>
      <c r="AD14" s="10"/>
      <c r="AE14" s="10"/>
      <c r="AF14" s="10">
        <v>0.5</v>
      </c>
      <c r="AJ14" s="10"/>
      <c r="AK14" s="10"/>
      <c r="AL14" s="10"/>
      <c r="AM14" s="10">
        <v>0.5</v>
      </c>
      <c r="AQ14" s="10"/>
      <c r="AR14" s="10">
        <v>0.5</v>
      </c>
      <c r="AS14" s="10"/>
      <c r="AT14" s="10">
        <v>0.5</v>
      </c>
      <c r="AX14" s="10"/>
      <c r="AY14" s="10">
        <v>0.8</v>
      </c>
      <c r="AZ14" s="10"/>
      <c r="BA14" s="10">
        <v>0.8</v>
      </c>
      <c r="BE14" s="10"/>
      <c r="BF14" s="10">
        <v>0.8</v>
      </c>
      <c r="BG14" s="10"/>
      <c r="BH14" s="10">
        <v>0.8</v>
      </c>
      <c r="BL14" s="10"/>
      <c r="BM14" s="10">
        <v>0.8</v>
      </c>
      <c r="BN14" s="10"/>
      <c r="BO14" s="10">
        <v>0.8</v>
      </c>
      <c r="BS14" s="10"/>
      <c r="BT14" s="10">
        <v>1</v>
      </c>
      <c r="BU14" s="21"/>
      <c r="BV14" s="10">
        <v>1</v>
      </c>
      <c r="BZ14" s="10"/>
      <c r="CA14" s="10"/>
      <c r="CB14" s="10"/>
      <c r="CC14" s="10"/>
      <c r="CG14" s="10"/>
      <c r="CH14" s="10"/>
      <c r="CI14" s="10"/>
      <c r="CJ14" s="10"/>
      <c r="CN14" s="10"/>
      <c r="CO14" s="10"/>
      <c r="CP14" s="10"/>
      <c r="CQ14" s="10"/>
      <c r="CU14" s="10"/>
      <c r="CV14" s="10"/>
      <c r="CW14" s="10"/>
      <c r="CX14" s="10"/>
      <c r="DB14" s="10"/>
      <c r="DC14" s="10"/>
      <c r="DD14" s="10"/>
      <c r="DE14" s="10"/>
      <c r="DI14" s="10"/>
      <c r="DJ14" s="10"/>
      <c r="DK14" s="10"/>
      <c r="DL14" s="10"/>
    </row>
    <row r="15" spans="2:117" outlineLevel="1">
      <c r="B15" t="s">
        <v>28</v>
      </c>
      <c r="C15" t="s">
        <v>88</v>
      </c>
      <c r="E15" s="9"/>
      <c r="F15" t="s">
        <v>99</v>
      </c>
      <c r="G15" s="10"/>
      <c r="I15" s="9">
        <f t="shared" si="0"/>
        <v>0</v>
      </c>
      <c r="J15" s="11" cm="1">
        <f t="array" ref="J15">MAX(IF($N$3:$EH$3=$J$3,N15:EH15))</f>
        <v>0</v>
      </c>
      <c r="K15" s="11" cm="1">
        <f t="array" ref="K15">MAX(IF($N$3:$EH$3=$J$3,N15:EH15))</f>
        <v>0</v>
      </c>
      <c r="L15" s="9"/>
      <c r="O15" s="10"/>
      <c r="P15" s="10"/>
      <c r="Q15" s="10"/>
      <c r="R15" s="10"/>
      <c r="V15" s="10"/>
      <c r="W15" s="10"/>
      <c r="X15" s="10"/>
      <c r="Y15" s="10"/>
      <c r="AC15" s="10"/>
      <c r="AD15" s="10"/>
      <c r="AE15" s="10"/>
      <c r="AF15" s="10">
        <v>0.5</v>
      </c>
      <c r="AJ15" s="10"/>
      <c r="AK15" s="10"/>
      <c r="AL15" s="10"/>
      <c r="AM15" s="10">
        <v>0.5</v>
      </c>
      <c r="AQ15" s="10"/>
      <c r="AR15" s="10">
        <v>0.5</v>
      </c>
      <c r="AS15" s="10"/>
      <c r="AT15" s="10">
        <v>0.5</v>
      </c>
      <c r="AX15" s="10"/>
      <c r="AY15" s="10">
        <v>0.8</v>
      </c>
      <c r="AZ15" s="10"/>
      <c r="BA15" s="10">
        <v>0.8</v>
      </c>
      <c r="BE15" s="10"/>
      <c r="BF15" s="10">
        <v>0.8</v>
      </c>
      <c r="BG15" s="10"/>
      <c r="BH15" s="10">
        <v>0.8</v>
      </c>
      <c r="BL15" s="10"/>
      <c r="BM15" s="10">
        <v>0.8</v>
      </c>
      <c r="BN15" s="10"/>
      <c r="BO15" s="10">
        <v>0.8</v>
      </c>
      <c r="BS15" s="10"/>
      <c r="BT15" s="10">
        <v>1</v>
      </c>
      <c r="BU15" s="10"/>
      <c r="BV15" s="10">
        <v>1</v>
      </c>
      <c r="BZ15" s="10"/>
      <c r="CA15" s="10"/>
      <c r="CB15" s="10"/>
      <c r="CC15" s="10"/>
      <c r="CG15" s="10"/>
      <c r="CH15" s="10"/>
      <c r="CI15" s="10"/>
      <c r="CJ15" s="10"/>
      <c r="CN15" s="10"/>
      <c r="CO15" s="10"/>
      <c r="CP15" s="10"/>
      <c r="CQ15" s="10"/>
      <c r="CU15" s="10"/>
      <c r="CV15" s="10"/>
      <c r="CW15" s="10"/>
      <c r="CX15" s="10"/>
      <c r="DB15" s="10"/>
      <c r="DC15" s="10"/>
      <c r="DD15" s="10"/>
      <c r="DE15" s="10"/>
      <c r="DI15" s="10"/>
      <c r="DJ15" s="10"/>
      <c r="DK15" s="10"/>
      <c r="DL15" s="10"/>
    </row>
    <row r="17" spans="2:116">
      <c r="B17" t="s">
        <v>27</v>
      </c>
      <c r="C17" t="s">
        <v>100</v>
      </c>
      <c r="D17" s="19">
        <v>45118</v>
      </c>
      <c r="E17" s="9">
        <v>2</v>
      </c>
      <c r="G17" s="10"/>
      <c r="I17" s="12">
        <f>+SUM(I18:I30)</f>
        <v>0</v>
      </c>
      <c r="J17" s="11">
        <f>+SUMPRODUCT(G18:G30,J18:J30)</f>
        <v>0</v>
      </c>
      <c r="K17" s="11">
        <f>+SUMPRODUCT(G18:G30,K18:K30)</f>
        <v>0</v>
      </c>
      <c r="L17" s="9"/>
      <c r="N17" s="12"/>
      <c r="U17" s="12"/>
      <c r="AB17" s="12"/>
      <c r="AI17" s="12"/>
      <c r="AP17" s="12"/>
      <c r="BM17" s="10"/>
      <c r="BO17" s="10"/>
      <c r="BT17" s="10"/>
      <c r="BV17" s="10"/>
    </row>
    <row r="18" spans="2:116" outlineLevel="1">
      <c r="B18" t="s">
        <v>28</v>
      </c>
      <c r="C18" t="s">
        <v>100</v>
      </c>
      <c r="E18" s="9"/>
      <c r="F18" t="s">
        <v>101</v>
      </c>
      <c r="G18" s="10"/>
      <c r="I18" s="9">
        <f t="shared" ref="I18:I30" si="1">+SUMIF($N$3:$ZZ$3,I$3,$N18:$ZZ18)</f>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c r="CB18" s="10"/>
      <c r="CC18" s="10"/>
      <c r="CG18" s="10"/>
      <c r="CH18" s="10"/>
      <c r="CI18" s="10"/>
      <c r="CJ18" s="10"/>
      <c r="CN18" s="10"/>
      <c r="CO18" s="10"/>
      <c r="CP18" s="10"/>
      <c r="CQ18" s="10"/>
      <c r="CU18" s="10"/>
      <c r="CV18" s="10"/>
      <c r="CW18" s="10"/>
      <c r="CX18" s="10"/>
      <c r="DB18" s="10"/>
      <c r="DC18" s="10"/>
      <c r="DD18" s="10"/>
      <c r="DE18" s="10"/>
      <c r="DI18" s="10"/>
      <c r="DJ18" s="10"/>
      <c r="DK18" s="10"/>
      <c r="DL18" s="10"/>
    </row>
    <row r="19" spans="2:116" outlineLevel="1">
      <c r="B19" t="s">
        <v>28</v>
      </c>
      <c r="C19" t="s">
        <v>100</v>
      </c>
      <c r="E19" s="9"/>
      <c r="F19" t="s">
        <v>102</v>
      </c>
      <c r="G19" s="10"/>
      <c r="I19" s="9">
        <f t="shared" si="1"/>
        <v>0</v>
      </c>
      <c r="J19" s="11" cm="1">
        <f t="array" ref="J19">MAX(IF($N$3:$EH$3=$J$3,N19:EH19))</f>
        <v>0</v>
      </c>
      <c r="K19" s="11" cm="1">
        <f t="array" ref="K19">MAX(IF($N$3:$EH$3=$J$3,N19:EH19))</f>
        <v>0</v>
      </c>
      <c r="L19" s="9"/>
      <c r="O19" s="10"/>
      <c r="P19" s="10"/>
      <c r="Q19" s="10"/>
      <c r="R19" s="10">
        <v>0.5</v>
      </c>
      <c r="V19" s="10"/>
      <c r="W19" s="10"/>
      <c r="X19" s="10"/>
      <c r="Y19" s="10">
        <v>0.5</v>
      </c>
      <c r="AC19" s="10"/>
      <c r="AD19" s="10"/>
      <c r="AE19" s="10"/>
      <c r="AF19" s="10">
        <v>0.5</v>
      </c>
      <c r="AJ19" s="10"/>
      <c r="AK19" s="10"/>
      <c r="AL19" s="10"/>
      <c r="AM19" s="10">
        <v>0.8</v>
      </c>
      <c r="AQ19" s="10"/>
      <c r="AR19" s="10">
        <v>0.8</v>
      </c>
      <c r="AS19" s="10"/>
      <c r="AT19" s="10">
        <v>0.8</v>
      </c>
      <c r="AX19" s="10"/>
      <c r="AY19" s="10">
        <v>0.8</v>
      </c>
      <c r="AZ19" s="10"/>
      <c r="BA19" s="10">
        <v>0.8</v>
      </c>
      <c r="BE19" s="10"/>
      <c r="BF19" s="10">
        <v>1</v>
      </c>
      <c r="BG19" s="10"/>
      <c r="BH19" s="10">
        <v>1</v>
      </c>
      <c r="BL19" s="10"/>
      <c r="BM19" s="10">
        <v>1</v>
      </c>
      <c r="BN19" s="10"/>
      <c r="BO19" s="10">
        <v>1</v>
      </c>
      <c r="BS19" s="10"/>
      <c r="BT19" s="10">
        <v>1</v>
      </c>
      <c r="BU19" s="10"/>
      <c r="BV19" s="10">
        <v>1</v>
      </c>
      <c r="BZ19" s="10"/>
      <c r="CA19" s="10"/>
      <c r="CB19" s="10"/>
      <c r="CC19" s="10"/>
      <c r="CG19" s="10"/>
      <c r="CH19" s="10"/>
      <c r="CI19" s="10"/>
      <c r="CJ19" s="10"/>
      <c r="CN19" s="10"/>
      <c r="CO19" s="10"/>
      <c r="CP19" s="10"/>
      <c r="CQ19" s="10"/>
      <c r="CU19" s="10"/>
      <c r="CV19" s="10"/>
      <c r="CW19" s="10"/>
      <c r="CX19" s="10"/>
      <c r="DB19" s="10"/>
      <c r="DC19" s="10"/>
      <c r="DD19" s="10"/>
      <c r="DE19" s="10"/>
      <c r="DI19" s="10"/>
      <c r="DJ19" s="10"/>
      <c r="DK19" s="10"/>
      <c r="DL19" s="10"/>
    </row>
    <row r="20" spans="2:116" outlineLevel="1">
      <c r="B20" t="s">
        <v>28</v>
      </c>
      <c r="C20" t="s">
        <v>100</v>
      </c>
      <c r="E20" s="9"/>
      <c r="F20" t="s">
        <v>103</v>
      </c>
      <c r="G20" s="10"/>
      <c r="I20" s="9">
        <f t="shared" si="1"/>
        <v>0</v>
      </c>
      <c r="J20" s="11" cm="1">
        <f t="array" ref="J20">MAX(IF($N$3:$EH$3=$J$3,N20:EH20))</f>
        <v>0</v>
      </c>
      <c r="K20" s="11" cm="1">
        <f t="array" ref="K20">MAX(IF($N$3:$EH$3=$J$3,N20:EH20))</f>
        <v>0</v>
      </c>
      <c r="L20" s="9"/>
      <c r="O20" s="10"/>
      <c r="P20" s="10"/>
      <c r="Q20" s="10"/>
      <c r="R20" s="10">
        <v>0.5</v>
      </c>
      <c r="V20" s="10"/>
      <c r="W20" s="10"/>
      <c r="X20" s="10"/>
      <c r="Y20" s="10">
        <v>0.5</v>
      </c>
      <c r="AC20" s="10"/>
      <c r="AD20" s="10"/>
      <c r="AE20" s="10"/>
      <c r="AF20" s="10">
        <v>0.5</v>
      </c>
      <c r="AJ20" s="10"/>
      <c r="AK20" s="10"/>
      <c r="AL20" s="10"/>
      <c r="AM20" s="10">
        <v>0.8</v>
      </c>
      <c r="AQ20" s="10"/>
      <c r="AR20" s="10">
        <v>0.8</v>
      </c>
      <c r="AS20" s="10"/>
      <c r="AT20" s="10">
        <v>0.8</v>
      </c>
      <c r="AX20" s="10"/>
      <c r="AY20" s="10">
        <v>0.8</v>
      </c>
      <c r="AZ20" s="10"/>
      <c r="BA20" s="10">
        <v>0.8</v>
      </c>
      <c r="BE20" s="10"/>
      <c r="BF20" s="10">
        <v>1</v>
      </c>
      <c r="BG20" s="10"/>
      <c r="BH20" s="10">
        <v>1</v>
      </c>
      <c r="BL20" s="10"/>
      <c r="BM20" s="10">
        <v>1</v>
      </c>
      <c r="BN20" s="10"/>
      <c r="BO20" s="10">
        <v>1</v>
      </c>
      <c r="BS20" s="10"/>
      <c r="BT20" s="10">
        <v>1</v>
      </c>
      <c r="BU20" s="10"/>
      <c r="BV20" s="10">
        <v>1</v>
      </c>
      <c r="BZ20" s="10"/>
      <c r="CA20" s="10"/>
      <c r="CB20" s="10"/>
      <c r="CC20" s="10"/>
      <c r="CG20" s="10"/>
      <c r="CH20" s="10"/>
      <c r="CI20" s="10"/>
      <c r="CJ20" s="10"/>
      <c r="CN20" s="10"/>
      <c r="CO20" s="10"/>
      <c r="CP20" s="10"/>
      <c r="CQ20" s="10"/>
      <c r="CU20" s="10"/>
      <c r="CV20" s="10"/>
      <c r="CW20" s="10"/>
      <c r="CX20" s="10"/>
      <c r="DB20" s="10"/>
      <c r="DC20" s="10"/>
      <c r="DD20" s="10"/>
      <c r="DE20" s="10"/>
      <c r="DI20" s="10"/>
      <c r="DJ20" s="10"/>
      <c r="DK20" s="10"/>
      <c r="DL20" s="10"/>
    </row>
    <row r="21" spans="2:116" outlineLevel="1">
      <c r="B21" t="s">
        <v>28</v>
      </c>
      <c r="C21" t="s">
        <v>100</v>
      </c>
      <c r="E21" s="9"/>
      <c r="F21" t="s">
        <v>104</v>
      </c>
      <c r="G21" s="10"/>
      <c r="I21" s="9">
        <f t="shared" si="1"/>
        <v>0</v>
      </c>
      <c r="J21" s="11" cm="1">
        <f t="array" ref="J21">MAX(IF($N$3:$EH$3=$J$3,N21:EH21))</f>
        <v>0</v>
      </c>
      <c r="K21" s="11" cm="1">
        <f t="array" ref="K21">MAX(IF($N$3:$EH$3=$J$3,N21:EH21))</f>
        <v>0</v>
      </c>
      <c r="L21" s="9"/>
      <c r="O21" s="10"/>
      <c r="P21" s="10"/>
      <c r="Q21" s="10"/>
      <c r="R21" s="10">
        <v>0.5</v>
      </c>
      <c r="V21" s="10"/>
      <c r="W21" s="10"/>
      <c r="X21" s="10"/>
      <c r="Y21" s="10">
        <v>0.5</v>
      </c>
      <c r="AC21" s="10"/>
      <c r="AD21" s="10"/>
      <c r="AE21" s="10"/>
      <c r="AF21" s="10">
        <v>0.5</v>
      </c>
      <c r="AJ21" s="10"/>
      <c r="AK21" s="10"/>
      <c r="AL21" s="10"/>
      <c r="AM21" s="10">
        <v>0.8</v>
      </c>
      <c r="AQ21" s="10"/>
      <c r="AR21" s="10">
        <v>0.8</v>
      </c>
      <c r="AS21" s="10"/>
      <c r="AT21" s="10">
        <v>0.8</v>
      </c>
      <c r="AX21" s="10"/>
      <c r="AY21" s="10">
        <v>0.8</v>
      </c>
      <c r="AZ21" s="10"/>
      <c r="BA21" s="10">
        <v>0.8</v>
      </c>
      <c r="BE21" s="10"/>
      <c r="BF21" s="10">
        <v>1</v>
      </c>
      <c r="BG21" s="10"/>
      <c r="BH21" s="10">
        <v>1</v>
      </c>
      <c r="BL21" s="10"/>
      <c r="BM21" s="10">
        <v>1</v>
      </c>
      <c r="BN21" s="10"/>
      <c r="BO21" s="10">
        <v>1</v>
      </c>
      <c r="BS21" s="10"/>
      <c r="BT21" s="10">
        <v>1</v>
      </c>
      <c r="BU21" s="10"/>
      <c r="BV21" s="10">
        <v>1</v>
      </c>
      <c r="BZ21" s="10"/>
      <c r="CA21" s="10"/>
      <c r="CB21" s="10"/>
      <c r="CC21" s="10"/>
      <c r="CG21" s="10"/>
      <c r="CH21" s="10"/>
      <c r="CI21" s="10"/>
      <c r="CJ21" s="10"/>
      <c r="CN21" s="10"/>
      <c r="CO21" s="10"/>
      <c r="CP21" s="10"/>
      <c r="CQ21" s="10"/>
      <c r="CU21" s="10"/>
      <c r="CV21" s="10"/>
      <c r="CW21" s="10"/>
      <c r="CX21" s="10"/>
      <c r="DB21" s="10"/>
      <c r="DC21" s="10"/>
      <c r="DD21" s="10"/>
      <c r="DE21" s="10"/>
      <c r="DI21" s="10"/>
      <c r="DJ21" s="10"/>
      <c r="DK21" s="10"/>
      <c r="DL21" s="10"/>
    </row>
    <row r="22" spans="2:116" outlineLevel="1">
      <c r="B22" t="s">
        <v>28</v>
      </c>
      <c r="C22" t="s">
        <v>100</v>
      </c>
      <c r="E22" s="9"/>
      <c r="F22" t="s">
        <v>105</v>
      </c>
      <c r="G22" s="10"/>
      <c r="I22" s="9">
        <f t="shared" si="1"/>
        <v>0</v>
      </c>
      <c r="J22" s="11" cm="1">
        <f t="array" ref="J22">MAX(IF($N$3:$EH$3=$J$3,N22:EH22))</f>
        <v>0</v>
      </c>
      <c r="K22" s="11" cm="1">
        <f t="array" ref="K22">MAX(IF($N$3:$EH$3=$J$3,N22:EH22))</f>
        <v>0</v>
      </c>
      <c r="L22" s="9"/>
      <c r="O22" s="10"/>
      <c r="P22" s="10"/>
      <c r="Q22" s="10"/>
      <c r="R22" s="10">
        <v>0.5</v>
      </c>
      <c r="V22" s="10"/>
      <c r="W22" s="10"/>
      <c r="X22" s="10"/>
      <c r="Y22" s="10">
        <v>0.5</v>
      </c>
      <c r="AC22" s="10"/>
      <c r="AD22" s="10"/>
      <c r="AE22" s="10"/>
      <c r="AF22" s="10">
        <v>0.5</v>
      </c>
      <c r="AJ22" s="10"/>
      <c r="AK22" s="10"/>
      <c r="AL22" s="10"/>
      <c r="AM22" s="10">
        <v>0.8</v>
      </c>
      <c r="AQ22" s="10"/>
      <c r="AR22" s="10">
        <v>0.8</v>
      </c>
      <c r="AS22" s="10"/>
      <c r="AT22" s="10">
        <v>0.8</v>
      </c>
      <c r="AX22" s="10"/>
      <c r="AY22" s="10">
        <v>0.8</v>
      </c>
      <c r="AZ22" s="10"/>
      <c r="BA22" s="10">
        <v>0.8</v>
      </c>
      <c r="BE22" s="10"/>
      <c r="BF22" s="10">
        <v>1</v>
      </c>
      <c r="BG22" s="10"/>
      <c r="BH22" s="10">
        <v>1</v>
      </c>
      <c r="BL22" s="10"/>
      <c r="BM22" s="10">
        <v>1</v>
      </c>
      <c r="BN22" s="10"/>
      <c r="BO22" s="10">
        <v>1</v>
      </c>
      <c r="BS22" s="10"/>
      <c r="BT22" s="10">
        <v>1</v>
      </c>
      <c r="BU22" s="10"/>
      <c r="BV22" s="10">
        <v>1</v>
      </c>
      <c r="BZ22" s="10"/>
      <c r="CA22" s="10"/>
      <c r="CB22" s="10"/>
      <c r="CC22" s="10"/>
      <c r="CG22" s="10"/>
      <c r="CH22" s="10"/>
      <c r="CI22" s="10"/>
      <c r="CJ22" s="10"/>
      <c r="CN22" s="10"/>
      <c r="CO22" s="10"/>
      <c r="CP22" s="10"/>
      <c r="CQ22" s="10"/>
      <c r="CU22" s="10"/>
      <c r="CV22" s="10"/>
      <c r="CW22" s="10"/>
      <c r="CX22" s="10"/>
      <c r="DB22" s="10"/>
      <c r="DC22" s="10"/>
      <c r="DD22" s="10"/>
      <c r="DE22" s="10"/>
      <c r="DI22" s="10"/>
      <c r="DJ22" s="10"/>
      <c r="DK22" s="10"/>
      <c r="DL22" s="10"/>
    </row>
    <row r="23" spans="2:116" outlineLevel="1">
      <c r="B23" t="s">
        <v>28</v>
      </c>
      <c r="C23" t="s">
        <v>100</v>
      </c>
      <c r="E23" s="9"/>
      <c r="F23" t="s">
        <v>106</v>
      </c>
      <c r="G23" s="10"/>
      <c r="I23" s="9">
        <f t="shared" si="1"/>
        <v>0</v>
      </c>
      <c r="J23" s="11" cm="1">
        <f t="array" ref="J23">MAX(IF($N$3:$EH$3=$J$3,N23:EH23))</f>
        <v>0</v>
      </c>
      <c r="K23" s="11" cm="1">
        <f t="array" ref="K23">MAX(IF($N$3:$EH$3=$J$3,N23:EH23))</f>
        <v>0</v>
      </c>
      <c r="L23" s="9"/>
      <c r="O23" s="10"/>
      <c r="P23" s="10"/>
      <c r="Q23" s="10"/>
      <c r="R23" s="10">
        <v>0.5</v>
      </c>
      <c r="V23" s="10"/>
      <c r="W23" s="10"/>
      <c r="X23" s="10"/>
      <c r="Y23" s="10">
        <v>0.5</v>
      </c>
      <c r="AC23" s="10"/>
      <c r="AD23" s="10"/>
      <c r="AE23" s="10"/>
      <c r="AF23" s="10">
        <v>0.5</v>
      </c>
      <c r="AJ23" s="10"/>
      <c r="AK23" s="10"/>
      <c r="AL23" s="10"/>
      <c r="AM23" s="10">
        <v>0.5</v>
      </c>
      <c r="AQ23" s="10"/>
      <c r="AR23" s="10">
        <v>0.8</v>
      </c>
      <c r="AS23" s="10"/>
      <c r="AT23" s="10">
        <v>0.8</v>
      </c>
      <c r="AX23" s="10"/>
      <c r="AY23" s="10">
        <v>0.8</v>
      </c>
      <c r="AZ23" s="10"/>
      <c r="BA23" s="10">
        <v>0.8</v>
      </c>
      <c r="BE23" s="10"/>
      <c r="BF23" s="10">
        <v>0.8</v>
      </c>
      <c r="BG23" s="10"/>
      <c r="BH23" s="10">
        <v>0.8</v>
      </c>
      <c r="BL23" s="10"/>
      <c r="BM23" s="10">
        <v>1</v>
      </c>
      <c r="BN23" s="10"/>
      <c r="BO23" s="10">
        <v>1</v>
      </c>
      <c r="BS23" s="10"/>
      <c r="BT23" s="10">
        <v>1</v>
      </c>
      <c r="BU23" s="10"/>
      <c r="BV23" s="10">
        <v>1</v>
      </c>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row>
    <row r="24" spans="2:116" outlineLevel="1">
      <c r="B24" t="s">
        <v>28</v>
      </c>
      <c r="C24" t="s">
        <v>100</v>
      </c>
      <c r="E24" s="9"/>
      <c r="F24" t="s">
        <v>107</v>
      </c>
      <c r="G24" s="10"/>
      <c r="I24" s="9">
        <f t="shared" si="1"/>
        <v>0</v>
      </c>
      <c r="J24" s="11" cm="1">
        <f t="array" ref="J24">MAX(IF($N$3:$EH$3=$J$3,N24:EH24))</f>
        <v>0</v>
      </c>
      <c r="K24" s="11" cm="1">
        <f t="array" ref="K24">MAX(IF($N$3:$EH$3=$J$3,N24:EH24))</f>
        <v>0</v>
      </c>
      <c r="L24" s="9"/>
      <c r="O24" s="10"/>
      <c r="P24" s="10"/>
      <c r="Q24" s="10"/>
      <c r="R24" s="10">
        <v>0.5</v>
      </c>
      <c r="V24" s="10"/>
      <c r="W24" s="10"/>
      <c r="X24" s="10"/>
      <c r="Y24" s="10">
        <v>0.5</v>
      </c>
      <c r="AC24" s="10"/>
      <c r="AD24" s="10"/>
      <c r="AE24" s="10"/>
      <c r="AF24" s="10">
        <v>0.5</v>
      </c>
      <c r="AJ24" s="10"/>
      <c r="AK24" s="10"/>
      <c r="AL24" s="10"/>
      <c r="AM24" s="10">
        <v>0.5</v>
      </c>
      <c r="AQ24" s="10"/>
      <c r="AR24" s="10">
        <v>0.8</v>
      </c>
      <c r="AS24" s="10"/>
      <c r="AT24" s="10">
        <v>0.8</v>
      </c>
      <c r="AX24" s="10"/>
      <c r="AY24" s="10">
        <v>0.8</v>
      </c>
      <c r="AZ24" s="10"/>
      <c r="BA24" s="10">
        <v>0.8</v>
      </c>
      <c r="BE24" s="10"/>
      <c r="BF24" s="10">
        <v>0.8</v>
      </c>
      <c r="BG24" s="10"/>
      <c r="BH24" s="10">
        <v>0.8</v>
      </c>
      <c r="BL24" s="10"/>
      <c r="BM24" s="10">
        <v>1</v>
      </c>
      <c r="BN24" s="10"/>
      <c r="BO24" s="10">
        <v>1</v>
      </c>
      <c r="BS24" s="10"/>
      <c r="BT24" s="10">
        <v>1</v>
      </c>
      <c r="BU24" s="10"/>
      <c r="BV24" s="10">
        <v>1</v>
      </c>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row>
    <row r="25" spans="2:116" outlineLevel="1">
      <c r="B25" t="s">
        <v>28</v>
      </c>
      <c r="C25" t="s">
        <v>100</v>
      </c>
      <c r="E25" s="9"/>
      <c r="F25" t="s">
        <v>108</v>
      </c>
      <c r="G25" s="10"/>
      <c r="I25" s="9"/>
      <c r="J25" s="11" cm="1">
        <f t="array" ref="J25">MAX(IF($N$3:$EH$3=$J$3,N25:EH25))</f>
        <v>0</v>
      </c>
      <c r="K25" s="11" cm="1">
        <f t="array" ref="K25">MAX(IF($N$3:$EH$3=$J$3,N25:EH25))</f>
        <v>0</v>
      </c>
      <c r="L25" s="9"/>
      <c r="O25" s="10"/>
      <c r="P25" s="10"/>
      <c r="Q25" s="10"/>
      <c r="R25" s="10"/>
      <c r="V25" s="10"/>
      <c r="W25" s="10"/>
      <c r="X25" s="10"/>
      <c r="Y25" s="10">
        <v>0.5</v>
      </c>
      <c r="AC25" s="10"/>
      <c r="AD25" s="10"/>
      <c r="AE25" s="10"/>
      <c r="AF25" s="10">
        <v>0.5</v>
      </c>
      <c r="AJ25" s="10"/>
      <c r="AK25" s="10"/>
      <c r="AL25" s="10"/>
      <c r="AM25" s="10">
        <v>0.5</v>
      </c>
      <c r="AQ25" s="10"/>
      <c r="AR25" s="10">
        <v>0.8</v>
      </c>
      <c r="AS25" s="10"/>
      <c r="AT25" s="10">
        <v>0.8</v>
      </c>
      <c r="AX25" s="10"/>
      <c r="AY25" s="10">
        <v>0.8</v>
      </c>
      <c r="AZ25" s="10"/>
      <c r="BA25" s="10">
        <v>0.8</v>
      </c>
      <c r="BE25" s="10"/>
      <c r="BF25" s="10">
        <v>0.8</v>
      </c>
      <c r="BG25" s="10"/>
      <c r="BH25" s="10">
        <v>0.8</v>
      </c>
      <c r="BL25" s="10"/>
      <c r="BM25" s="10">
        <v>1</v>
      </c>
      <c r="BN25" s="10"/>
      <c r="BO25" s="10">
        <v>1</v>
      </c>
      <c r="BS25" s="10"/>
      <c r="BT25" s="10">
        <v>1</v>
      </c>
      <c r="BU25" s="10"/>
      <c r="BV25" s="10">
        <v>1</v>
      </c>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row>
    <row r="26" spans="2:116" outlineLevel="1">
      <c r="B26" t="s">
        <v>28</v>
      </c>
      <c r="C26" t="s">
        <v>100</v>
      </c>
      <c r="E26" s="9"/>
      <c r="F26" t="s">
        <v>109</v>
      </c>
      <c r="G26" s="10"/>
      <c r="I26" s="9"/>
      <c r="J26" s="11" cm="1">
        <f t="array" ref="J26">MAX(IF($N$3:$EH$3=$J$3,N26:EH26))</f>
        <v>0</v>
      </c>
      <c r="K26" s="11" cm="1">
        <f t="array" ref="K26">MAX(IF($N$3:$EH$3=$J$3,N26:EH26))</f>
        <v>0</v>
      </c>
      <c r="L26" s="9"/>
      <c r="O26" s="10"/>
      <c r="P26" s="10"/>
      <c r="Q26" s="10"/>
      <c r="R26" s="10"/>
      <c r="V26" s="10"/>
      <c r="W26" s="10"/>
      <c r="X26" s="10"/>
      <c r="Y26" s="10">
        <v>0.5</v>
      </c>
      <c r="AC26" s="10"/>
      <c r="AD26" s="10"/>
      <c r="AE26" s="10"/>
      <c r="AF26" s="10">
        <v>0.5</v>
      </c>
      <c r="AJ26" s="10"/>
      <c r="AK26" s="10"/>
      <c r="AL26" s="10"/>
      <c r="AM26" s="10">
        <v>0.5</v>
      </c>
      <c r="AQ26" s="10"/>
      <c r="AR26" s="10">
        <v>0.8</v>
      </c>
      <c r="AS26" s="10"/>
      <c r="AT26" s="10">
        <v>0.8</v>
      </c>
      <c r="AX26" s="10"/>
      <c r="AY26" s="10">
        <v>0.8</v>
      </c>
      <c r="AZ26" s="10"/>
      <c r="BA26" s="10">
        <v>0.8</v>
      </c>
      <c r="BE26" s="10"/>
      <c r="BF26" s="10">
        <v>0.8</v>
      </c>
      <c r="BG26" s="10"/>
      <c r="BH26" s="10">
        <v>0.8</v>
      </c>
      <c r="BL26" s="10"/>
      <c r="BM26" s="10">
        <v>1</v>
      </c>
      <c r="BN26" s="10"/>
      <c r="BO26" s="10">
        <v>1</v>
      </c>
      <c r="BS26" s="10"/>
      <c r="BT26" s="10">
        <v>1</v>
      </c>
      <c r="BU26" s="10"/>
      <c r="BV26" s="10">
        <v>1</v>
      </c>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row>
    <row r="27" spans="2:116" outlineLevel="1">
      <c r="B27" t="s">
        <v>28</v>
      </c>
      <c r="C27" t="s">
        <v>100</v>
      </c>
      <c r="E27" s="9"/>
      <c r="F27" t="s">
        <v>110</v>
      </c>
      <c r="G27" s="10"/>
      <c r="I27" s="9"/>
      <c r="J27" s="11" cm="1">
        <f t="array" ref="J27">MAX(IF($N$3:$EH$3=$J$3,N27:EH27))</f>
        <v>0</v>
      </c>
      <c r="K27" s="11" cm="1">
        <f t="array" ref="K27">MAX(IF($N$3:$EH$3=$J$3,N27:EH27))</f>
        <v>0</v>
      </c>
      <c r="L27" s="9"/>
      <c r="O27" s="10"/>
      <c r="P27" s="10"/>
      <c r="Q27" s="10"/>
      <c r="R27" s="10"/>
      <c r="V27" s="10"/>
      <c r="W27" s="10"/>
      <c r="X27" s="10"/>
      <c r="Y27" s="10">
        <v>0.5</v>
      </c>
      <c r="AC27" s="10"/>
      <c r="AD27" s="10"/>
      <c r="AE27" s="10"/>
      <c r="AF27" s="10">
        <v>0.5</v>
      </c>
      <c r="AJ27" s="10"/>
      <c r="AK27" s="10"/>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1</v>
      </c>
      <c r="BU27" s="10"/>
      <c r="BV27" s="10">
        <v>1</v>
      </c>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row>
    <row r="28" spans="2:116" outlineLevel="1">
      <c r="B28" t="s">
        <v>28</v>
      </c>
      <c r="C28" t="s">
        <v>100</v>
      </c>
      <c r="E28" s="9"/>
      <c r="F28" t="s">
        <v>111</v>
      </c>
      <c r="G28" s="10"/>
      <c r="I28" s="9"/>
      <c r="J28" s="11" cm="1">
        <f t="array" ref="J28">MAX(IF($N$3:$EH$3=$J$3,N28:EH28))</f>
        <v>0</v>
      </c>
      <c r="K28" s="11" cm="1">
        <f t="array" ref="K28">MAX(IF($N$3:$EH$3=$J$3,N28:EH28))</f>
        <v>0</v>
      </c>
      <c r="L28" s="9"/>
      <c r="O28" s="10"/>
      <c r="P28" s="10"/>
      <c r="Q28" s="10"/>
      <c r="R28" s="10"/>
      <c r="V28" s="10"/>
      <c r="W28" s="10"/>
      <c r="X28" s="10"/>
      <c r="Y28" s="10"/>
      <c r="AC28" s="10"/>
      <c r="AD28" s="10"/>
      <c r="AE28" s="10"/>
      <c r="AF28" s="10">
        <v>0.5</v>
      </c>
      <c r="AJ28" s="10"/>
      <c r="AK28" s="10"/>
      <c r="AL28" s="10"/>
      <c r="AM28" s="10">
        <v>0.5</v>
      </c>
      <c r="AQ28" s="10"/>
      <c r="AR28" s="10">
        <v>0.5</v>
      </c>
      <c r="AS28" s="10"/>
      <c r="AT28" s="10">
        <v>0.5</v>
      </c>
      <c r="AX28" s="10"/>
      <c r="AY28" s="10">
        <v>0.8</v>
      </c>
      <c r="AZ28" s="10"/>
      <c r="BA28" s="10">
        <v>0.8</v>
      </c>
      <c r="BE28" s="10"/>
      <c r="BF28" s="10">
        <v>0.8</v>
      </c>
      <c r="BG28" s="10"/>
      <c r="BH28" s="10">
        <v>0.8</v>
      </c>
      <c r="BL28" s="10"/>
      <c r="BM28" s="10">
        <v>0.8</v>
      </c>
      <c r="BN28" s="10"/>
      <c r="BO28" s="10">
        <v>0.8</v>
      </c>
      <c r="BS28" s="10"/>
      <c r="BT28" s="10">
        <v>1</v>
      </c>
      <c r="BU28" s="10"/>
      <c r="BV28" s="10">
        <v>1</v>
      </c>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row>
    <row r="29" spans="2:116" outlineLevel="1">
      <c r="B29" t="s">
        <v>28</v>
      </c>
      <c r="C29" t="s">
        <v>100</v>
      </c>
      <c r="E29" s="9"/>
      <c r="F29" t="s">
        <v>112</v>
      </c>
      <c r="G29" s="10"/>
      <c r="I29" s="9"/>
      <c r="J29" s="11" cm="1">
        <f t="array" ref="J29">MAX(IF($N$3:$EH$3=$J$3,N29:EH29))</f>
        <v>0</v>
      </c>
      <c r="K29" s="11" cm="1">
        <f t="array" ref="K29">MAX(IF($N$3:$EH$3=$J$3,N29:EH29))</f>
        <v>0</v>
      </c>
      <c r="L29" s="9"/>
      <c r="O29" s="10"/>
      <c r="P29" s="10"/>
      <c r="Q29" s="10"/>
      <c r="R29" s="10"/>
      <c r="V29" s="10"/>
      <c r="W29" s="10"/>
      <c r="X29" s="10"/>
      <c r="Y29" s="10"/>
      <c r="AC29" s="10"/>
      <c r="AD29" s="10"/>
      <c r="AE29" s="10"/>
      <c r="AF29" s="10">
        <v>0.5</v>
      </c>
      <c r="AJ29" s="10"/>
      <c r="AK29" s="10"/>
      <c r="AL29" s="10"/>
      <c r="AM29" s="10">
        <v>0.5</v>
      </c>
      <c r="AQ29" s="10"/>
      <c r="AR29" s="10">
        <v>0.5</v>
      </c>
      <c r="AS29" s="10"/>
      <c r="AT29" s="10">
        <v>0.5</v>
      </c>
      <c r="AX29" s="10"/>
      <c r="AY29" s="10">
        <v>0.8</v>
      </c>
      <c r="AZ29" s="10"/>
      <c r="BA29" s="10">
        <v>0.8</v>
      </c>
      <c r="BE29" s="10"/>
      <c r="BF29" s="10">
        <v>0.8</v>
      </c>
      <c r="BG29" s="10"/>
      <c r="BH29" s="10">
        <v>0.8</v>
      </c>
      <c r="BL29" s="10"/>
      <c r="BM29" s="10">
        <v>0.8</v>
      </c>
      <c r="BN29" s="10"/>
      <c r="BO29" s="10">
        <v>0.8</v>
      </c>
      <c r="BS29" s="10"/>
      <c r="BT29" s="10">
        <v>1</v>
      </c>
      <c r="BU29" s="10"/>
      <c r="BV29" s="10">
        <v>1</v>
      </c>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row>
    <row r="30" spans="2:116" outlineLevel="1">
      <c r="B30" t="s">
        <v>28</v>
      </c>
      <c r="C30" t="s">
        <v>100</v>
      </c>
      <c r="E30" s="9"/>
      <c r="F30" t="s">
        <v>113</v>
      </c>
      <c r="G30" s="10"/>
      <c r="I30" s="9">
        <f t="shared" si="1"/>
        <v>0</v>
      </c>
      <c r="J30" s="11" cm="1">
        <f t="array" ref="J30">MAX(IF($N$3:$EH$3=$J$3,N30:EH30))</f>
        <v>0</v>
      </c>
      <c r="K30" s="11" cm="1">
        <f t="array" ref="K30">MAX(IF($N$3:$EH$3=$J$3,N30:EH30))</f>
        <v>0</v>
      </c>
      <c r="L30" s="9"/>
      <c r="O30" s="10"/>
      <c r="P30" s="10"/>
      <c r="Q30" s="10"/>
      <c r="R30" s="10"/>
      <c r="V30" s="10"/>
      <c r="W30" s="10"/>
      <c r="X30" s="10"/>
      <c r="Y30" s="10"/>
      <c r="AC30" s="10"/>
      <c r="AD30" s="10"/>
      <c r="AE30" s="10"/>
      <c r="AF30" s="10">
        <v>0.5</v>
      </c>
      <c r="AJ30" s="10"/>
      <c r="AK30" s="10"/>
      <c r="AL30" s="10"/>
      <c r="AM30" s="10">
        <v>0.5</v>
      </c>
      <c r="AQ30" s="10"/>
      <c r="AR30" s="10">
        <v>0.5</v>
      </c>
      <c r="AS30" s="10"/>
      <c r="AT30" s="10">
        <v>0.5</v>
      </c>
      <c r="AX30" s="10"/>
      <c r="AY30" s="10">
        <v>0.8</v>
      </c>
      <c r="AZ30" s="10"/>
      <c r="BA30" s="10">
        <v>0.8</v>
      </c>
      <c r="BE30" s="10"/>
      <c r="BF30" s="10">
        <v>0.8</v>
      </c>
      <c r="BG30" s="10"/>
      <c r="BH30" s="10">
        <v>0.8</v>
      </c>
      <c r="BL30" s="10"/>
      <c r="BM30" s="10">
        <v>0.8</v>
      </c>
      <c r="BN30" s="10"/>
      <c r="BO30" s="10">
        <v>0.8</v>
      </c>
      <c r="BS30" s="10"/>
      <c r="BT30" s="10">
        <v>1</v>
      </c>
      <c r="BU30" s="10"/>
      <c r="BV30" s="10">
        <v>1</v>
      </c>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row>
    <row r="32" spans="2:116">
      <c r="B32" t="s">
        <v>27</v>
      </c>
      <c r="C32" t="s">
        <v>114</v>
      </c>
      <c r="D32" s="19">
        <v>45129</v>
      </c>
      <c r="E32" s="9">
        <v>6</v>
      </c>
      <c r="G32" s="10"/>
      <c r="I32" s="12">
        <f>+SUM(I33:I42)</f>
        <v>0</v>
      </c>
      <c r="J32" s="11">
        <f>+SUMPRODUCT(G33:G42,J33:J42)</f>
        <v>0</v>
      </c>
      <c r="K32" s="11">
        <f>+SUMPRODUCT(G33:G42,K33:K42)</f>
        <v>0</v>
      </c>
      <c r="L32" s="9"/>
      <c r="N32" s="12"/>
      <c r="U32" s="12"/>
      <c r="AB32" s="12"/>
      <c r="AI32" s="12"/>
      <c r="AP32" s="12"/>
      <c r="BT32" s="10"/>
      <c r="BV32" s="10"/>
      <c r="CA32" s="10"/>
      <c r="CC32" s="10"/>
    </row>
    <row r="33" spans="2:116" outlineLevel="1">
      <c r="B33" t="s">
        <v>28</v>
      </c>
      <c r="C33" t="s">
        <v>114</v>
      </c>
      <c r="E33" s="9"/>
      <c r="F33" t="s">
        <v>30</v>
      </c>
      <c r="G33" s="10"/>
      <c r="I33" s="9">
        <f t="shared" ref="I33:I42" si="2">+SUMIF($N$3:$ZZ$3,I$3,$N33:$ZZ33)</f>
        <v>0</v>
      </c>
      <c r="J33" s="11" cm="1">
        <f t="array" ref="J33">MAX(IF($N$3:$EH$3=$J$3,N33:EH33))</f>
        <v>0</v>
      </c>
      <c r="K33" s="11" cm="1">
        <f t="array" ref="K33">MAX(IF($N$3:$EH$3=$J$3,N33:EH33))</f>
        <v>0</v>
      </c>
      <c r="L33" s="9"/>
      <c r="O33" s="10"/>
      <c r="P33" s="10"/>
      <c r="Q33" s="10"/>
      <c r="R33" s="10">
        <v>0.5</v>
      </c>
      <c r="V33" s="10"/>
      <c r="W33" s="10"/>
      <c r="X33" s="10"/>
      <c r="Y33" s="10">
        <v>0.5</v>
      </c>
      <c r="AC33" s="10"/>
      <c r="AD33" s="10"/>
      <c r="AE33" s="10"/>
      <c r="AF33" s="10">
        <v>0.8</v>
      </c>
      <c r="AJ33" s="10"/>
      <c r="AK33" s="10"/>
      <c r="AL33" s="10"/>
      <c r="AM33" s="10">
        <v>0.8</v>
      </c>
      <c r="AQ33" s="10"/>
      <c r="AR33" s="10">
        <v>0.8</v>
      </c>
      <c r="AS33" s="10"/>
      <c r="AT33" s="10">
        <v>0.8</v>
      </c>
      <c r="AX33" s="20"/>
      <c r="AY33" s="10">
        <v>0.8</v>
      </c>
      <c r="AZ33" s="20"/>
      <c r="BA33" s="10">
        <v>0.8</v>
      </c>
      <c r="BE33" s="10"/>
      <c r="BF33" s="10">
        <v>1</v>
      </c>
      <c r="BG33" s="10"/>
      <c r="BH33" s="10">
        <v>1</v>
      </c>
      <c r="BL33" s="10"/>
      <c r="BM33" s="10">
        <v>1</v>
      </c>
      <c r="BN33" s="10"/>
      <c r="BO33" s="10">
        <v>1</v>
      </c>
      <c r="BS33" s="10"/>
      <c r="BT33" s="10">
        <v>1</v>
      </c>
      <c r="BU33" s="10"/>
      <c r="BV33" s="10">
        <v>1</v>
      </c>
      <c r="BZ33" s="10"/>
      <c r="CA33" s="10">
        <v>1</v>
      </c>
      <c r="CB33" s="10"/>
      <c r="CC33" s="10">
        <v>1</v>
      </c>
      <c r="CG33" s="10"/>
      <c r="CH33" s="10"/>
      <c r="CI33" s="10"/>
      <c r="CJ33" s="10"/>
      <c r="CN33" s="10"/>
      <c r="CO33" s="10"/>
      <c r="CP33" s="10"/>
      <c r="CQ33" s="10"/>
      <c r="CU33" s="10"/>
      <c r="CV33" s="10"/>
      <c r="CW33" s="10"/>
      <c r="CX33" s="10"/>
      <c r="DB33" s="10"/>
      <c r="DC33" s="10"/>
      <c r="DD33" s="10"/>
      <c r="DE33" s="10"/>
      <c r="DI33" s="10"/>
      <c r="DJ33" s="10"/>
      <c r="DK33" s="10"/>
      <c r="DL33" s="10"/>
    </row>
    <row r="34" spans="2:116" outlineLevel="1">
      <c r="B34" t="s">
        <v>28</v>
      </c>
      <c r="C34" t="s">
        <v>114</v>
      </c>
      <c r="E34" s="9"/>
      <c r="F34" t="s">
        <v>30</v>
      </c>
      <c r="G34" s="10"/>
      <c r="I34" s="9">
        <f t="shared" si="2"/>
        <v>0</v>
      </c>
      <c r="J34" s="11" cm="1">
        <f t="array" ref="J34">MAX(IF($N$3:$EH$3=$J$3,N34:EH34))</f>
        <v>0</v>
      </c>
      <c r="K34" s="11" cm="1">
        <f t="array" ref="K34">MAX(IF($N$3:$EH$3=$J$3,N34:EH34))</f>
        <v>0</v>
      </c>
      <c r="L34" s="9"/>
      <c r="O34" s="10"/>
      <c r="P34" s="10"/>
      <c r="Q34" s="10"/>
      <c r="R34" s="10">
        <v>0.5</v>
      </c>
      <c r="V34" s="10"/>
      <c r="W34" s="10"/>
      <c r="X34" s="10"/>
      <c r="Y34" s="10">
        <v>0.5</v>
      </c>
      <c r="AC34" s="10"/>
      <c r="AD34" s="10"/>
      <c r="AE34" s="10"/>
      <c r="AF34" s="10">
        <v>0.5</v>
      </c>
      <c r="AJ34" s="10"/>
      <c r="AK34" s="10"/>
      <c r="AL34" s="10"/>
      <c r="AM34" s="10">
        <v>0.8</v>
      </c>
      <c r="AQ34" s="10"/>
      <c r="AR34" s="10">
        <v>0.8</v>
      </c>
      <c r="AS34" s="10"/>
      <c r="AT34" s="10">
        <v>0.8</v>
      </c>
      <c r="AX34" s="10"/>
      <c r="AY34" s="10">
        <v>0.8</v>
      </c>
      <c r="AZ34" s="10"/>
      <c r="BA34" s="10">
        <v>0.8</v>
      </c>
      <c r="BE34" s="10"/>
      <c r="BF34" s="10">
        <v>1</v>
      </c>
      <c r="BG34" s="10"/>
      <c r="BH34" s="10">
        <v>1</v>
      </c>
      <c r="BL34" s="10"/>
      <c r="BM34" s="10">
        <v>1</v>
      </c>
      <c r="BN34" s="10"/>
      <c r="BO34" s="10">
        <v>1</v>
      </c>
      <c r="BS34" s="10"/>
      <c r="BT34" s="10">
        <v>1</v>
      </c>
      <c r="BU34" s="10"/>
      <c r="BV34" s="10">
        <v>1</v>
      </c>
      <c r="BZ34" s="10"/>
      <c r="CA34" s="10">
        <v>1</v>
      </c>
      <c r="CB34" s="10"/>
      <c r="CC34" s="10">
        <v>1</v>
      </c>
      <c r="CG34" s="10"/>
      <c r="CH34" s="10"/>
      <c r="CI34" s="10"/>
      <c r="CJ34" s="10"/>
      <c r="CN34" s="10"/>
      <c r="CO34" s="10"/>
      <c r="CP34" s="10"/>
      <c r="CQ34" s="10"/>
      <c r="CU34" s="10"/>
      <c r="CV34" s="10"/>
      <c r="CW34" s="10"/>
      <c r="CX34" s="10"/>
      <c r="DB34" s="10"/>
      <c r="DC34" s="10"/>
      <c r="DD34" s="10"/>
      <c r="DE34" s="10"/>
      <c r="DI34" s="10"/>
      <c r="DJ34" s="10"/>
      <c r="DK34" s="10"/>
      <c r="DL34" s="10"/>
    </row>
    <row r="35" spans="2:116" outlineLevel="1">
      <c r="B35" t="s">
        <v>28</v>
      </c>
      <c r="C35" t="s">
        <v>114</v>
      </c>
      <c r="E35" s="9"/>
      <c r="F35" t="s">
        <v>115</v>
      </c>
      <c r="G35" s="10"/>
      <c r="I35" s="9">
        <f t="shared" si="2"/>
        <v>0</v>
      </c>
      <c r="J35" s="11" cm="1">
        <f t="array" ref="J35">MAX(IF($N$3:$EH$3=$J$3,N35:EH35))</f>
        <v>0</v>
      </c>
      <c r="K35" s="11" cm="1">
        <f t="array" ref="K35">MAX(IF($N$3:$EH$3=$J$3,N35:EH35))</f>
        <v>0</v>
      </c>
      <c r="L35" s="9"/>
      <c r="O35" s="10"/>
      <c r="P35" s="10"/>
      <c r="Q35" s="10"/>
      <c r="R35" s="10">
        <v>0.5</v>
      </c>
      <c r="V35" s="10"/>
      <c r="W35" s="10"/>
      <c r="X35" s="10"/>
      <c r="Y35" s="10">
        <v>0.5</v>
      </c>
      <c r="AC35" s="10"/>
      <c r="AD35" s="10"/>
      <c r="AE35" s="10"/>
      <c r="AF35" s="10">
        <v>0.5</v>
      </c>
      <c r="AJ35" s="10"/>
      <c r="AK35" s="10"/>
      <c r="AL35" s="10"/>
      <c r="AM35" s="10">
        <v>0.8</v>
      </c>
      <c r="AQ35" s="10"/>
      <c r="AR35" s="10">
        <v>0.8</v>
      </c>
      <c r="AS35" s="10"/>
      <c r="AT35" s="10">
        <v>0.8</v>
      </c>
      <c r="AX35" s="10"/>
      <c r="AY35" s="10">
        <v>0.8</v>
      </c>
      <c r="AZ35" s="10"/>
      <c r="BA35" s="10">
        <v>0.8</v>
      </c>
      <c r="BE35" s="10"/>
      <c r="BF35" s="10">
        <v>0.8</v>
      </c>
      <c r="BG35" s="10"/>
      <c r="BH35" s="10">
        <v>0.8</v>
      </c>
      <c r="BL35" s="10"/>
      <c r="BM35" s="10">
        <v>1</v>
      </c>
      <c r="BN35" s="10"/>
      <c r="BO35" s="10">
        <v>1</v>
      </c>
      <c r="BS35" s="10"/>
      <c r="BT35" s="10">
        <v>1</v>
      </c>
      <c r="BU35" s="10"/>
      <c r="BV35" s="10">
        <v>1</v>
      </c>
      <c r="BZ35" s="10"/>
      <c r="CA35" s="10">
        <v>1</v>
      </c>
      <c r="CB35" s="10"/>
      <c r="CC35" s="10">
        <v>1</v>
      </c>
      <c r="CG35" s="10"/>
      <c r="CH35" s="10"/>
      <c r="CI35" s="10"/>
      <c r="CJ35" s="10"/>
      <c r="CN35" s="10"/>
      <c r="CO35" s="10"/>
      <c r="CP35" s="10"/>
      <c r="CQ35" s="10"/>
      <c r="CU35" s="10"/>
      <c r="CV35" s="10"/>
      <c r="CW35" s="10"/>
      <c r="CX35" s="10"/>
      <c r="DB35" s="10"/>
      <c r="DC35" s="10"/>
      <c r="DD35" s="10"/>
      <c r="DE35" s="10"/>
      <c r="DI35" s="10"/>
      <c r="DJ35" s="10"/>
      <c r="DK35" s="10"/>
      <c r="DL35" s="10"/>
    </row>
    <row r="36" spans="2:116" outlineLevel="1">
      <c r="B36" t="s">
        <v>28</v>
      </c>
      <c r="C36" t="s">
        <v>114</v>
      </c>
      <c r="E36" s="9"/>
      <c r="F36" t="s">
        <v>115</v>
      </c>
      <c r="G36" s="10"/>
      <c r="I36" s="9">
        <f t="shared" si="2"/>
        <v>0</v>
      </c>
      <c r="J36" s="11" cm="1">
        <f t="array" ref="J36">MAX(IF($N$3:$EH$3=$J$3,N36:EH36))</f>
        <v>0</v>
      </c>
      <c r="K36" s="11" cm="1">
        <f t="array" ref="K36">MAX(IF($N$3:$EH$3=$J$3,N36:EH36))</f>
        <v>0</v>
      </c>
      <c r="L36" s="9"/>
      <c r="O36" s="10"/>
      <c r="P36" s="10"/>
      <c r="Q36" s="10"/>
      <c r="R36" s="10">
        <v>0.5</v>
      </c>
      <c r="V36" s="10"/>
      <c r="W36" s="10"/>
      <c r="X36" s="10"/>
      <c r="Y36" s="10">
        <v>0.5</v>
      </c>
      <c r="AC36" s="10"/>
      <c r="AD36" s="10"/>
      <c r="AE36" s="10"/>
      <c r="AF36" s="10">
        <v>0.5</v>
      </c>
      <c r="AJ36" s="10"/>
      <c r="AK36" s="10"/>
      <c r="AL36" s="10"/>
      <c r="AM36" s="10">
        <v>0.8</v>
      </c>
      <c r="AQ36" s="10"/>
      <c r="AR36" s="10">
        <v>0.8</v>
      </c>
      <c r="AS36" s="10"/>
      <c r="AT36" s="10">
        <v>0.8</v>
      </c>
      <c r="AX36" s="10"/>
      <c r="AY36" s="10">
        <v>0.8</v>
      </c>
      <c r="AZ36" s="10"/>
      <c r="BA36" s="10">
        <v>0.8</v>
      </c>
      <c r="BE36" s="10"/>
      <c r="BF36" s="10">
        <v>0.8</v>
      </c>
      <c r="BG36" s="10"/>
      <c r="BH36" s="10">
        <v>0.8</v>
      </c>
      <c r="BL36" s="10"/>
      <c r="BM36" s="10">
        <v>1</v>
      </c>
      <c r="BN36" s="10"/>
      <c r="BO36" s="10">
        <v>1</v>
      </c>
      <c r="BS36" s="10"/>
      <c r="BT36" s="10">
        <v>1</v>
      </c>
      <c r="BU36" s="10"/>
      <c r="BV36" s="10">
        <v>1</v>
      </c>
      <c r="BZ36" s="10"/>
      <c r="CA36" s="10">
        <v>1</v>
      </c>
      <c r="CB36" s="10"/>
      <c r="CC36" s="10">
        <v>1</v>
      </c>
      <c r="CG36" s="10"/>
      <c r="CH36" s="10"/>
      <c r="CI36" s="10"/>
      <c r="CJ36" s="10"/>
      <c r="CN36" s="10"/>
      <c r="CO36" s="10"/>
      <c r="CP36" s="10"/>
      <c r="CQ36" s="10"/>
      <c r="CU36" s="10"/>
      <c r="CV36" s="10"/>
      <c r="CW36" s="10"/>
      <c r="CX36" s="10"/>
      <c r="DB36" s="10"/>
      <c r="DC36" s="10"/>
      <c r="DD36" s="10"/>
      <c r="DE36" s="10"/>
      <c r="DI36" s="10"/>
      <c r="DJ36" s="10"/>
      <c r="DK36" s="10"/>
      <c r="DL36" s="10"/>
    </row>
    <row r="37" spans="2:116" outlineLevel="1">
      <c r="B37" t="s">
        <v>28</v>
      </c>
      <c r="C37" t="s">
        <v>114</v>
      </c>
      <c r="E37" s="9"/>
      <c r="F37" t="s">
        <v>116</v>
      </c>
      <c r="G37" s="10"/>
      <c r="I37" s="9">
        <f t="shared" si="2"/>
        <v>0</v>
      </c>
      <c r="J37" s="11" cm="1">
        <f t="array" ref="J37">MAX(IF($N$3:$EH$3=$J$3,N37:EH37))</f>
        <v>0</v>
      </c>
      <c r="K37" s="11" cm="1">
        <f t="array" ref="K37">MAX(IF($N$3:$EH$3=$J$3,N37:EH37))</f>
        <v>0</v>
      </c>
      <c r="L37" s="9"/>
      <c r="O37" s="10"/>
      <c r="P37" s="10"/>
      <c r="Q37" s="10"/>
      <c r="R37" s="10"/>
      <c r="V37" s="10"/>
      <c r="W37" s="10"/>
      <c r="X37" s="10"/>
      <c r="Y37" s="10">
        <v>0.5</v>
      </c>
      <c r="AC37" s="10"/>
      <c r="AD37" s="10"/>
      <c r="AE37" s="10"/>
      <c r="AF37" s="10">
        <v>0.5</v>
      </c>
      <c r="AJ37" s="10"/>
      <c r="AK37" s="10"/>
      <c r="AL37" s="10"/>
      <c r="AM37" s="10">
        <v>0.5</v>
      </c>
      <c r="AQ37" s="10"/>
      <c r="AR37" s="10">
        <v>0.8</v>
      </c>
      <c r="AS37" s="10"/>
      <c r="AT37" s="10">
        <v>0.8</v>
      </c>
      <c r="AX37" s="10"/>
      <c r="AY37" s="10">
        <v>0.8</v>
      </c>
      <c r="AZ37" s="10"/>
      <c r="BA37" s="10">
        <v>0.8</v>
      </c>
      <c r="BE37" s="10"/>
      <c r="BF37" s="10">
        <v>0.8</v>
      </c>
      <c r="BG37" s="10"/>
      <c r="BH37" s="10">
        <v>0.8</v>
      </c>
      <c r="BL37" s="10"/>
      <c r="BM37" s="10">
        <v>0.8</v>
      </c>
      <c r="BN37" s="10"/>
      <c r="BO37" s="10">
        <v>0.8</v>
      </c>
      <c r="BS37" s="10"/>
      <c r="BT37" s="10">
        <v>1</v>
      </c>
      <c r="BU37" s="10"/>
      <c r="BV37" s="10">
        <v>1</v>
      </c>
      <c r="BZ37" s="10"/>
      <c r="CA37" s="10">
        <v>1</v>
      </c>
      <c r="CB37" s="10"/>
      <c r="CC37" s="10">
        <v>1</v>
      </c>
      <c r="CG37" s="10"/>
      <c r="CH37" s="10"/>
      <c r="CI37" s="10"/>
      <c r="CJ37" s="10"/>
      <c r="CN37" s="10"/>
      <c r="CO37" s="10"/>
      <c r="CP37" s="10"/>
      <c r="CQ37" s="10"/>
      <c r="CU37" s="10"/>
      <c r="CV37" s="10"/>
      <c r="CW37" s="10"/>
      <c r="CX37" s="10"/>
      <c r="DB37" s="10"/>
      <c r="DC37" s="10"/>
      <c r="DD37" s="10"/>
      <c r="DE37" s="10"/>
      <c r="DI37" s="10"/>
      <c r="DJ37" s="10"/>
      <c r="DK37" s="10"/>
      <c r="DL37" s="10"/>
    </row>
    <row r="38" spans="2:116" outlineLevel="1">
      <c r="B38" t="s">
        <v>28</v>
      </c>
      <c r="C38" t="s">
        <v>114</v>
      </c>
      <c r="E38" s="9"/>
      <c r="F38" t="s">
        <v>116</v>
      </c>
      <c r="G38" s="10"/>
      <c r="I38" s="9">
        <f t="shared" si="2"/>
        <v>0</v>
      </c>
      <c r="J38" s="11" cm="1">
        <f t="array" ref="J38">MAX(IF($N$3:$EH$3=$J$3,N38:EH38))</f>
        <v>0</v>
      </c>
      <c r="K38" s="11" cm="1">
        <f t="array" ref="K38">MAX(IF($N$3:$EH$3=$J$3,N38:EH38))</f>
        <v>0</v>
      </c>
      <c r="L38" s="9"/>
      <c r="O38" s="10"/>
      <c r="P38" s="10"/>
      <c r="Q38" s="10"/>
      <c r="R38" s="10"/>
      <c r="V38" s="10"/>
      <c r="W38" s="10"/>
      <c r="X38" s="10"/>
      <c r="Y38" s="10">
        <v>0.5</v>
      </c>
      <c r="AC38" s="10"/>
      <c r="AD38" s="10"/>
      <c r="AE38" s="10"/>
      <c r="AF38" s="10">
        <v>0.5</v>
      </c>
      <c r="AJ38" s="10"/>
      <c r="AK38" s="10"/>
      <c r="AL38" s="10"/>
      <c r="AM38" s="10">
        <v>0.5</v>
      </c>
      <c r="AQ38" s="10"/>
      <c r="AR38" s="10">
        <v>0.8</v>
      </c>
      <c r="AS38" s="10"/>
      <c r="AT38" s="10">
        <v>0.8</v>
      </c>
      <c r="AX38" s="10"/>
      <c r="AY38" s="10">
        <v>0.8</v>
      </c>
      <c r="AZ38" s="10"/>
      <c r="BA38" s="10">
        <v>0.8</v>
      </c>
      <c r="BE38" s="10"/>
      <c r="BF38" s="10">
        <v>0.8</v>
      </c>
      <c r="BG38" s="10"/>
      <c r="BH38" s="10">
        <v>0.8</v>
      </c>
      <c r="BL38" s="10"/>
      <c r="BM38" s="10">
        <v>0.8</v>
      </c>
      <c r="BN38" s="10"/>
      <c r="BO38" s="10">
        <v>0.8</v>
      </c>
      <c r="BS38" s="10"/>
      <c r="BT38" s="10">
        <v>1</v>
      </c>
      <c r="BU38" s="10"/>
      <c r="BV38" s="10">
        <v>1</v>
      </c>
      <c r="BZ38" s="10"/>
      <c r="CA38" s="10">
        <v>1</v>
      </c>
      <c r="CB38" s="10"/>
      <c r="CC38" s="10">
        <v>1</v>
      </c>
      <c r="CG38" s="10"/>
      <c r="CH38" s="10"/>
      <c r="CI38" s="10"/>
      <c r="CJ38" s="10"/>
      <c r="CN38" s="10"/>
      <c r="CO38" s="10"/>
      <c r="CP38" s="10"/>
      <c r="CQ38" s="10"/>
      <c r="CU38" s="10"/>
      <c r="CV38" s="10"/>
      <c r="CW38" s="10"/>
      <c r="CX38" s="10"/>
      <c r="DB38" s="10"/>
      <c r="DC38" s="10"/>
      <c r="DD38" s="10"/>
      <c r="DE38" s="10"/>
      <c r="DI38" s="10"/>
      <c r="DJ38" s="10"/>
      <c r="DK38" s="10"/>
      <c r="DL38" s="10"/>
    </row>
    <row r="39" spans="2:116" outlineLevel="1">
      <c r="B39" t="s">
        <v>28</v>
      </c>
      <c r="C39" t="s">
        <v>114</v>
      </c>
      <c r="E39" s="9"/>
      <c r="F39" t="s">
        <v>117</v>
      </c>
      <c r="G39" s="10"/>
      <c r="I39" s="9">
        <f t="shared" si="2"/>
        <v>0</v>
      </c>
      <c r="J39" s="11" cm="1">
        <f t="array" ref="J39">MAX(IF($N$3:$EH$3=$J$3,N39:EH39))</f>
        <v>0</v>
      </c>
      <c r="K39" s="11" cm="1">
        <f t="array" ref="K39">MAX(IF($N$3:$EH$3=$J$3,N39:EH39))</f>
        <v>0</v>
      </c>
      <c r="L39" s="9"/>
      <c r="O39" s="10"/>
      <c r="P39" s="10"/>
      <c r="Q39" s="10"/>
      <c r="R39" s="10"/>
      <c r="V39" s="10"/>
      <c r="W39" s="10"/>
      <c r="X39" s="10"/>
      <c r="Y39" s="10">
        <v>0.5</v>
      </c>
      <c r="AC39" s="10"/>
      <c r="AD39" s="10"/>
      <c r="AE39" s="10"/>
      <c r="AF39" s="10">
        <v>0.5</v>
      </c>
      <c r="AJ39" s="10"/>
      <c r="AK39" s="10"/>
      <c r="AL39" s="10"/>
      <c r="AM39" s="10">
        <v>0.5</v>
      </c>
      <c r="AQ39" s="10"/>
      <c r="AR39" s="10">
        <v>0.5</v>
      </c>
      <c r="AS39" s="10"/>
      <c r="AT39" s="10">
        <v>0.5</v>
      </c>
      <c r="AX39" s="10"/>
      <c r="AY39" s="10">
        <v>0.8</v>
      </c>
      <c r="AZ39" s="10"/>
      <c r="BA39" s="10">
        <v>0.8</v>
      </c>
      <c r="BE39" s="10"/>
      <c r="BF39" s="10">
        <v>0.8</v>
      </c>
      <c r="BG39" s="10"/>
      <c r="BH39" s="10">
        <v>0.8</v>
      </c>
      <c r="BL39" s="10"/>
      <c r="BM39" s="10">
        <v>0.8</v>
      </c>
      <c r="BN39" s="10"/>
      <c r="BO39" s="10">
        <v>0.8</v>
      </c>
      <c r="BS39" s="10"/>
      <c r="BT39" s="10">
        <v>0.8</v>
      </c>
      <c r="BU39" s="10"/>
      <c r="BV39" s="10">
        <v>0.8</v>
      </c>
      <c r="BZ39" s="10"/>
      <c r="CA39" s="10">
        <v>1</v>
      </c>
      <c r="CB39" s="10"/>
      <c r="CC39" s="10">
        <v>1</v>
      </c>
      <c r="CG39" s="10"/>
      <c r="CH39" s="10"/>
      <c r="CI39" s="10"/>
      <c r="CJ39" s="10"/>
      <c r="CN39" s="10"/>
      <c r="CO39" s="10"/>
      <c r="CP39" s="10"/>
      <c r="CQ39" s="10"/>
      <c r="CU39" s="10"/>
      <c r="CV39" s="10"/>
      <c r="CW39" s="10"/>
      <c r="CX39" s="10"/>
      <c r="DB39" s="10"/>
      <c r="DC39" s="10"/>
      <c r="DD39" s="10"/>
      <c r="DE39" s="10"/>
      <c r="DI39" s="10"/>
      <c r="DJ39" s="10"/>
      <c r="DK39" s="10"/>
      <c r="DL39" s="10"/>
    </row>
    <row r="40" spans="2:116" outlineLevel="1">
      <c r="B40" t="s">
        <v>28</v>
      </c>
      <c r="C40" t="s">
        <v>114</v>
      </c>
      <c r="E40" s="9"/>
      <c r="F40" t="s">
        <v>117</v>
      </c>
      <c r="G40" s="10"/>
      <c r="I40" s="9">
        <f t="shared" si="2"/>
        <v>0</v>
      </c>
      <c r="J40" s="11" cm="1">
        <f t="array" ref="J40">MAX(IF($N$3:$EH$3=$J$3,N40:EH40))</f>
        <v>0</v>
      </c>
      <c r="K40" s="11" cm="1">
        <f t="array" ref="K40">MAX(IF($N$3:$EH$3=$J$3,N40:EH40))</f>
        <v>0</v>
      </c>
      <c r="L40" s="9"/>
      <c r="O40" s="10"/>
      <c r="P40" s="10"/>
      <c r="Q40" s="10"/>
      <c r="R40" s="10"/>
      <c r="V40" s="10"/>
      <c r="W40" s="10"/>
      <c r="X40" s="10"/>
      <c r="Y40" s="10"/>
      <c r="AC40" s="10"/>
      <c r="AD40" s="10"/>
      <c r="AE40" s="10"/>
      <c r="AF40" s="10">
        <v>0.5</v>
      </c>
      <c r="AJ40" s="10"/>
      <c r="AK40" s="10"/>
      <c r="AL40" s="10"/>
      <c r="AM40" s="10">
        <v>0.5</v>
      </c>
      <c r="AQ40" s="10"/>
      <c r="AR40" s="10">
        <v>0.5</v>
      </c>
      <c r="AS40" s="10"/>
      <c r="AT40" s="10">
        <v>0.5</v>
      </c>
      <c r="AX40" s="10"/>
      <c r="AY40" s="10">
        <v>0.8</v>
      </c>
      <c r="AZ40" s="10"/>
      <c r="BA40" s="10">
        <v>0.8</v>
      </c>
      <c r="BE40" s="10"/>
      <c r="BF40" s="10">
        <v>0.8</v>
      </c>
      <c r="BG40" s="10"/>
      <c r="BH40" s="10">
        <v>0.8</v>
      </c>
      <c r="BL40" s="10"/>
      <c r="BM40" s="10">
        <v>0.8</v>
      </c>
      <c r="BN40" s="10"/>
      <c r="BO40" s="10">
        <v>0.8</v>
      </c>
      <c r="BS40" s="10"/>
      <c r="BT40" s="10">
        <v>0.8</v>
      </c>
      <c r="BU40" s="10"/>
      <c r="BV40" s="10">
        <v>0.8</v>
      </c>
      <c r="BZ40" s="10"/>
      <c r="CA40" s="10">
        <v>1</v>
      </c>
      <c r="CB40" s="10"/>
      <c r="CC40" s="10">
        <v>1</v>
      </c>
      <c r="CG40" s="10"/>
      <c r="CH40" s="10"/>
      <c r="CI40" s="10"/>
      <c r="CJ40" s="10"/>
      <c r="CN40" s="10"/>
      <c r="CO40" s="10"/>
      <c r="CP40" s="10"/>
      <c r="CQ40" s="10"/>
      <c r="CU40" s="10"/>
      <c r="CV40" s="10"/>
      <c r="CW40" s="10"/>
      <c r="CX40" s="10"/>
      <c r="DB40" s="10"/>
      <c r="DC40" s="10"/>
      <c r="DD40" s="10"/>
      <c r="DE40" s="10"/>
      <c r="DI40" s="10"/>
      <c r="DJ40" s="10"/>
      <c r="DK40" s="10"/>
      <c r="DL40" s="10"/>
    </row>
    <row r="41" spans="2:116" outlineLevel="1">
      <c r="B41" t="s">
        <v>28</v>
      </c>
      <c r="C41" t="s">
        <v>114</v>
      </c>
      <c r="E41" s="9"/>
      <c r="F41" t="s">
        <v>118</v>
      </c>
      <c r="G41" s="10"/>
      <c r="I41" s="9">
        <f t="shared" si="2"/>
        <v>0</v>
      </c>
      <c r="J41" s="11" cm="1">
        <f t="array" ref="J41">MAX(IF($N$3:$EH$3=$J$3,N41:EH41))</f>
        <v>0</v>
      </c>
      <c r="K41" s="11" cm="1">
        <f t="array" ref="K41">MAX(IF($N$3:$EH$3=$J$3,N41:EH41))</f>
        <v>0</v>
      </c>
      <c r="L41" s="9"/>
      <c r="O41" s="10"/>
      <c r="P41" s="10"/>
      <c r="Q41" s="10"/>
      <c r="R41" s="10"/>
      <c r="V41" s="10"/>
      <c r="W41" s="10"/>
      <c r="X41" s="10"/>
      <c r="Y41" s="10"/>
      <c r="AC41" s="10"/>
      <c r="AD41" s="10"/>
      <c r="AE41" s="10"/>
      <c r="AF41" s="10">
        <v>0.5</v>
      </c>
      <c r="AJ41" s="10"/>
      <c r="AK41" s="10"/>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0.8</v>
      </c>
      <c r="BU41" s="10"/>
      <c r="BV41" s="10">
        <v>0.8</v>
      </c>
      <c r="BZ41" s="10"/>
      <c r="CA41" s="10">
        <v>1</v>
      </c>
      <c r="CB41" s="10"/>
      <c r="CC41" s="10">
        <v>1</v>
      </c>
      <c r="CG41" s="10"/>
      <c r="CH41" s="10"/>
      <c r="CI41" s="10"/>
      <c r="CJ41" s="10"/>
      <c r="CN41" s="10"/>
      <c r="CO41" s="10"/>
      <c r="CP41" s="10"/>
      <c r="CQ41" s="10"/>
      <c r="CU41" s="10"/>
      <c r="CV41" s="10"/>
      <c r="CW41" s="10"/>
      <c r="CX41" s="10"/>
      <c r="DB41" s="10"/>
      <c r="DC41" s="10"/>
      <c r="DD41" s="10"/>
      <c r="DE41" s="10"/>
      <c r="DI41" s="10"/>
      <c r="DJ41" s="10"/>
      <c r="DK41" s="10"/>
      <c r="DL41" s="10"/>
    </row>
    <row r="42" spans="2:116" outlineLevel="1">
      <c r="B42" t="s">
        <v>28</v>
      </c>
      <c r="C42" t="s">
        <v>114</v>
      </c>
      <c r="E42" s="9"/>
      <c r="F42" t="s">
        <v>118</v>
      </c>
      <c r="G42" s="10"/>
      <c r="I42" s="9">
        <f t="shared" si="2"/>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v>0.5</v>
      </c>
      <c r="AQ42" s="10"/>
      <c r="AR42" s="10">
        <v>0.5</v>
      </c>
      <c r="AS42" s="10"/>
      <c r="AT42" s="10">
        <v>0.5</v>
      </c>
      <c r="AX42" s="10"/>
      <c r="AY42" s="10">
        <v>0.5</v>
      </c>
      <c r="AZ42" s="10"/>
      <c r="BA42" s="10">
        <v>0.5</v>
      </c>
      <c r="BE42" s="10"/>
      <c r="BF42" s="10">
        <v>0.8</v>
      </c>
      <c r="BG42" s="10"/>
      <c r="BH42" s="10">
        <v>0.8</v>
      </c>
      <c r="BL42" s="10"/>
      <c r="BM42" s="10">
        <v>0.8</v>
      </c>
      <c r="BN42" s="10"/>
      <c r="BO42" s="10">
        <v>0.8</v>
      </c>
      <c r="BS42" s="10"/>
      <c r="BT42" s="10">
        <v>0.8</v>
      </c>
      <c r="BU42" s="10"/>
      <c r="BV42" s="10">
        <v>0.8</v>
      </c>
      <c r="BZ42" s="10"/>
      <c r="CA42" s="10">
        <v>1</v>
      </c>
      <c r="CB42" s="10"/>
      <c r="CC42" s="10">
        <v>1</v>
      </c>
      <c r="CG42" s="10"/>
      <c r="CH42" s="10"/>
      <c r="CI42" s="10"/>
      <c r="CJ42" s="10"/>
      <c r="CN42" s="10"/>
      <c r="CO42" s="10"/>
      <c r="CP42" s="10"/>
      <c r="CQ42" s="10"/>
      <c r="CU42" s="10"/>
      <c r="CV42" s="10"/>
      <c r="CW42" s="10"/>
      <c r="CX42" s="10"/>
      <c r="DB42" s="10"/>
      <c r="DC42" s="10"/>
      <c r="DD42" s="10"/>
      <c r="DE42" s="10"/>
      <c r="DI42" s="10"/>
      <c r="DJ42" s="10"/>
      <c r="DK42" s="10"/>
      <c r="DL42" s="10"/>
    </row>
    <row r="44" spans="2:116">
      <c r="B44" t="s">
        <v>27</v>
      </c>
      <c r="C44" t="s">
        <v>119</v>
      </c>
      <c r="D44" s="19">
        <v>45208</v>
      </c>
      <c r="E44" s="9">
        <v>2</v>
      </c>
      <c r="G44" s="10"/>
      <c r="I44" s="12">
        <f>+SUM(I45:I56)</f>
        <v>0</v>
      </c>
      <c r="J44" s="11">
        <f>+SUMPRODUCT(G45:G56,J45:J56)</f>
        <v>0</v>
      </c>
      <c r="K44" s="11">
        <f>+SUMPRODUCT(G45:G56,K45:K56)</f>
        <v>0</v>
      </c>
      <c r="L44" s="9"/>
      <c r="N44" s="12"/>
      <c r="U44" s="12"/>
      <c r="AB44" s="12"/>
      <c r="AI44" s="12"/>
      <c r="AP44" s="12"/>
      <c r="CA44" s="10"/>
      <c r="CC44" s="10"/>
      <c r="CH44" s="10"/>
      <c r="CJ44" s="10"/>
    </row>
    <row r="45" spans="2:116" hidden="1" outlineLevel="1">
      <c r="B45" t="s">
        <v>28</v>
      </c>
      <c r="C45" t="s">
        <v>119</v>
      </c>
      <c r="E45" s="9"/>
      <c r="F45" t="s">
        <v>120</v>
      </c>
      <c r="G45" s="10"/>
      <c r="I45" s="9">
        <f t="shared" ref="I45:I73" si="3">+SUMIF($N$3:$ZZ$3,I$3,$N45:$ZZ45)</f>
        <v>0</v>
      </c>
      <c r="J45" s="11" cm="1">
        <f t="array" ref="J45">MAX(IF($N$3:$EH$3=$J$3,N45:EH45))</f>
        <v>0</v>
      </c>
      <c r="K45" s="11" cm="1">
        <f t="array" ref="K45">MAX(IF($N$3:$EH$3=$J$3,N45:EH45))</f>
        <v>0</v>
      </c>
      <c r="L45" s="9"/>
      <c r="O45" s="10"/>
      <c r="P45" s="10"/>
      <c r="Q45" s="10"/>
      <c r="R45" s="10"/>
      <c r="V45" s="10"/>
      <c r="W45" s="10"/>
      <c r="X45" s="10"/>
      <c r="Y45" s="10"/>
      <c r="AC45" s="10"/>
      <c r="AD45" s="10"/>
      <c r="AE45" s="10"/>
      <c r="AF45" s="10"/>
      <c r="AJ45" s="10"/>
      <c r="AK45" s="10"/>
      <c r="AL45" s="10"/>
      <c r="AM45" s="10"/>
      <c r="AQ45" s="10"/>
      <c r="AR45" s="10"/>
      <c r="AS45" s="10"/>
      <c r="AT45" s="10"/>
      <c r="AX45" s="10"/>
      <c r="AY45" s="10"/>
      <c r="AZ45" s="10"/>
      <c r="BA45" s="10"/>
      <c r="BE45" s="10"/>
      <c r="BF45" s="10"/>
      <c r="BG45" s="10"/>
      <c r="BH45" s="10"/>
      <c r="BL45" s="10"/>
      <c r="BM45" s="10"/>
      <c r="BN45" s="10"/>
      <c r="BO45" s="10"/>
      <c r="BS45" s="10"/>
      <c r="BT45" s="10"/>
      <c r="BU45" s="10"/>
      <c r="BV45" s="10"/>
      <c r="BZ45" s="10"/>
      <c r="CA45" s="10"/>
      <c r="CB45" s="10"/>
      <c r="CC45" s="10"/>
      <c r="CG45" s="10"/>
      <c r="CH45" s="10"/>
      <c r="CI45" s="10"/>
      <c r="CJ45" s="10"/>
      <c r="CN45" s="10"/>
      <c r="CO45" s="10"/>
      <c r="CP45" s="10"/>
      <c r="CQ45" s="10"/>
      <c r="CU45" s="10"/>
      <c r="CV45" s="10"/>
      <c r="CW45" s="10"/>
      <c r="CX45" s="10"/>
      <c r="DB45" s="10"/>
      <c r="DC45" s="10"/>
      <c r="DD45" s="10"/>
      <c r="DE45" s="10"/>
      <c r="DI45" s="10"/>
      <c r="DJ45" s="10"/>
      <c r="DK45" s="10"/>
      <c r="DL45" s="10"/>
    </row>
    <row r="46" spans="2:116" hidden="1" outlineLevel="1">
      <c r="B46" t="s">
        <v>28</v>
      </c>
      <c r="C46" t="s">
        <v>119</v>
      </c>
      <c r="E46" s="9"/>
      <c r="F46" t="s">
        <v>121</v>
      </c>
      <c r="G46" s="10"/>
      <c r="I46" s="9">
        <f t="shared" si="3"/>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c r="AL46" s="10"/>
      <c r="AM46" s="10"/>
      <c r="AQ46" s="10"/>
      <c r="AR46" s="10"/>
      <c r="AS46" s="10"/>
      <c r="AT46" s="10"/>
      <c r="AX46" s="10"/>
      <c r="AY46" s="10"/>
      <c r="AZ46" s="10"/>
      <c r="BA46" s="10"/>
      <c r="BE46" s="10"/>
      <c r="BF46" s="10"/>
      <c r="BG46" s="10"/>
      <c r="BH46" s="10"/>
      <c r="BL46" s="10"/>
      <c r="BM46" s="10"/>
      <c r="BN46" s="10"/>
      <c r="BO46" s="10"/>
      <c r="BS46" s="10"/>
      <c r="BT46" s="10"/>
      <c r="BU46" s="10"/>
      <c r="BV46" s="10"/>
      <c r="BZ46" s="10"/>
      <c r="CA46" s="10"/>
      <c r="CB46" s="10"/>
      <c r="CC46" s="10"/>
      <c r="CG46" s="10"/>
      <c r="CH46" s="10"/>
      <c r="CI46" s="10"/>
      <c r="CJ46" s="10"/>
      <c r="CN46" s="10"/>
      <c r="CO46" s="10"/>
      <c r="CP46" s="10"/>
      <c r="CQ46" s="10"/>
      <c r="CU46" s="10"/>
      <c r="CV46" s="10"/>
      <c r="CW46" s="10"/>
      <c r="CX46" s="10"/>
      <c r="DB46" s="10"/>
      <c r="DC46" s="10"/>
      <c r="DD46" s="10"/>
      <c r="DE46" s="10"/>
      <c r="DI46" s="10"/>
      <c r="DJ46" s="10"/>
      <c r="DK46" s="10"/>
      <c r="DL46" s="10"/>
    </row>
    <row r="47" spans="2:116" hidden="1" outlineLevel="1">
      <c r="B47" t="s">
        <v>28</v>
      </c>
      <c r="C47" t="s">
        <v>119</v>
      </c>
      <c r="E47" s="9"/>
      <c r="F47" t="s">
        <v>122</v>
      </c>
      <c r="G47" s="10"/>
      <c r="I47" s="9">
        <f t="shared" si="3"/>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c r="AS47" s="10"/>
      <c r="AT47" s="10"/>
      <c r="AX47" s="10"/>
      <c r="AY47" s="10"/>
      <c r="AZ47" s="10"/>
      <c r="BA47" s="10"/>
      <c r="BE47" s="10"/>
      <c r="BF47" s="10"/>
      <c r="BG47" s="10"/>
      <c r="BH47" s="10"/>
      <c r="BL47" s="10"/>
      <c r="BM47" s="10"/>
      <c r="BN47" s="10"/>
      <c r="BO47" s="10"/>
      <c r="BS47" s="10"/>
      <c r="BT47" s="10"/>
      <c r="BU47" s="10"/>
      <c r="BV47" s="10"/>
      <c r="BZ47" s="10"/>
      <c r="CA47" s="10"/>
      <c r="CB47" s="10"/>
      <c r="CC47" s="10"/>
      <c r="CG47" s="10"/>
      <c r="CH47" s="10"/>
      <c r="CI47" s="10"/>
      <c r="CJ47" s="10"/>
      <c r="CN47" s="10"/>
      <c r="CO47" s="10"/>
      <c r="CP47" s="10"/>
      <c r="CQ47" s="10"/>
      <c r="CU47" s="10"/>
      <c r="CV47" s="10"/>
      <c r="CW47" s="10"/>
      <c r="CX47" s="10"/>
      <c r="DB47" s="10"/>
      <c r="DC47" s="10"/>
      <c r="DD47" s="10"/>
      <c r="DE47" s="10"/>
      <c r="DI47" s="10"/>
      <c r="DJ47" s="10"/>
      <c r="DK47" s="10"/>
      <c r="DL47" s="10"/>
    </row>
    <row r="48" spans="2:116" hidden="1" outlineLevel="1">
      <c r="B48" t="s">
        <v>28</v>
      </c>
      <c r="C48" t="s">
        <v>119</v>
      </c>
      <c r="E48" s="9"/>
      <c r="F48" t="s">
        <v>123</v>
      </c>
      <c r="G48" s="10"/>
      <c r="I48" s="9">
        <f t="shared" si="3"/>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c r="AZ48" s="10"/>
      <c r="BA48" s="10"/>
      <c r="BE48" s="10"/>
      <c r="BF48" s="10"/>
      <c r="BG48" s="10"/>
      <c r="BH48" s="10"/>
      <c r="BL48" s="10"/>
      <c r="BM48" s="10"/>
      <c r="BN48" s="10"/>
      <c r="BO48" s="10"/>
      <c r="BS48" s="10"/>
      <c r="BT48" s="10"/>
      <c r="BU48" s="10"/>
      <c r="BV48" s="10"/>
      <c r="BZ48" s="10"/>
      <c r="CA48" s="10"/>
      <c r="CB48" s="10"/>
      <c r="CC48" s="10"/>
      <c r="CG48" s="10"/>
      <c r="CH48" s="10"/>
      <c r="CI48" s="10"/>
      <c r="CJ48" s="10"/>
      <c r="CN48" s="10"/>
      <c r="CO48" s="10"/>
      <c r="CP48" s="10"/>
      <c r="CQ48" s="10"/>
      <c r="CU48" s="10"/>
      <c r="CV48" s="10"/>
      <c r="CW48" s="10"/>
      <c r="CX48" s="10"/>
      <c r="DB48" s="10"/>
      <c r="DC48" s="10"/>
      <c r="DD48" s="10"/>
      <c r="DE48" s="10"/>
      <c r="DI48" s="10"/>
      <c r="DJ48" s="10"/>
      <c r="DK48" s="10"/>
      <c r="DL48" s="10"/>
    </row>
    <row r="49" spans="2:116" hidden="1" outlineLevel="1">
      <c r="B49" t="s">
        <v>28</v>
      </c>
      <c r="C49" t="s">
        <v>119</v>
      </c>
      <c r="E49" s="9"/>
      <c r="F49" t="s">
        <v>124</v>
      </c>
      <c r="G49" s="10"/>
      <c r="I49" s="9">
        <f t="shared" si="3"/>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c r="BG49" s="10"/>
      <c r="BH49" s="10"/>
      <c r="BL49" s="10"/>
      <c r="BM49" s="10"/>
      <c r="BN49" s="10"/>
      <c r="BO49" s="10"/>
      <c r="BS49" s="10"/>
      <c r="BT49" s="10"/>
      <c r="BU49" s="10"/>
      <c r="BV49" s="10"/>
      <c r="BZ49" s="10"/>
      <c r="CA49" s="10"/>
      <c r="CB49" s="10"/>
      <c r="CC49" s="10"/>
      <c r="CG49" s="10"/>
      <c r="CH49" s="10"/>
      <c r="CI49" s="10"/>
      <c r="CJ49" s="10"/>
      <c r="CN49" s="10"/>
      <c r="CO49" s="10"/>
      <c r="CP49" s="10"/>
      <c r="CQ49" s="10"/>
      <c r="CU49" s="10"/>
      <c r="CV49" s="10"/>
      <c r="CW49" s="10"/>
      <c r="CX49" s="10"/>
      <c r="DB49" s="10"/>
      <c r="DC49" s="10"/>
      <c r="DD49" s="10"/>
      <c r="DE49" s="10"/>
      <c r="DI49" s="10"/>
      <c r="DJ49" s="10"/>
      <c r="DK49" s="10"/>
      <c r="DL49" s="10"/>
    </row>
    <row r="50" spans="2:116" hidden="1" outlineLevel="1">
      <c r="B50" t="s">
        <v>28</v>
      </c>
      <c r="C50" t="s">
        <v>119</v>
      </c>
      <c r="E50" s="9"/>
      <c r="F50" t="s">
        <v>125</v>
      </c>
      <c r="G50" s="10"/>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10"/>
      <c r="BN50" s="10"/>
      <c r="BO50" s="10"/>
      <c r="BS50" s="10"/>
      <c r="BT50" s="10"/>
      <c r="BU50" s="10"/>
      <c r="BV50" s="10"/>
      <c r="BZ50" s="10"/>
      <c r="CA50" s="10"/>
      <c r="CB50" s="10"/>
      <c r="CC50" s="10"/>
      <c r="CG50" s="10"/>
      <c r="CH50" s="10"/>
      <c r="CI50" s="10"/>
      <c r="CJ50" s="10"/>
      <c r="CN50" s="10"/>
      <c r="CO50" s="10"/>
      <c r="CP50" s="10"/>
      <c r="CQ50" s="10"/>
      <c r="CU50" s="10"/>
      <c r="CV50" s="10"/>
      <c r="CW50" s="10"/>
      <c r="CX50" s="10"/>
      <c r="DB50" s="10"/>
      <c r="DC50" s="10"/>
      <c r="DD50" s="10"/>
      <c r="DE50" s="10"/>
      <c r="DI50" s="10"/>
      <c r="DJ50" s="10"/>
      <c r="DK50" s="10"/>
      <c r="DL50" s="10"/>
    </row>
    <row r="51" spans="2:116" hidden="1" outlineLevel="1">
      <c r="B51" t="s">
        <v>28</v>
      </c>
      <c r="C51" t="s">
        <v>119</v>
      </c>
      <c r="E51" s="9"/>
      <c r="F51" t="s">
        <v>126</v>
      </c>
      <c r="G51" s="10"/>
      <c r="I51" s="9"/>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10"/>
      <c r="BU51" s="10"/>
      <c r="BV51" s="10"/>
      <c r="BZ51" s="10"/>
      <c r="CA51" s="10"/>
      <c r="CB51" s="10"/>
      <c r="CC51" s="10"/>
      <c r="CG51" s="10"/>
      <c r="CH51" s="10"/>
      <c r="CI51" s="10"/>
      <c r="CJ51" s="10"/>
      <c r="CN51" s="10"/>
      <c r="CO51" s="10"/>
      <c r="CP51" s="10"/>
      <c r="CQ51" s="10"/>
      <c r="CU51" s="10"/>
      <c r="CV51" s="10"/>
      <c r="CW51" s="10"/>
      <c r="CX51" s="10"/>
      <c r="DB51" s="10"/>
      <c r="DC51" s="10"/>
      <c r="DD51" s="10"/>
      <c r="DE51" s="10"/>
      <c r="DI51" s="10"/>
      <c r="DJ51" s="10"/>
      <c r="DK51" s="10"/>
      <c r="DL51" s="10"/>
    </row>
    <row r="52" spans="2:116" hidden="1" outlineLevel="1">
      <c r="B52" t="s">
        <v>28</v>
      </c>
      <c r="C52" t="s">
        <v>119</v>
      </c>
      <c r="E52" s="9"/>
      <c r="F52" t="s">
        <v>127</v>
      </c>
      <c r="G52" s="10"/>
      <c r="I52" s="9"/>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c r="BN52" s="10"/>
      <c r="BO52" s="10"/>
      <c r="BS52" s="10"/>
      <c r="BT52" s="10"/>
      <c r="BU52" s="10"/>
      <c r="BV52" s="10"/>
      <c r="BZ52" s="10"/>
      <c r="CA52" s="10"/>
      <c r="CB52" s="10"/>
      <c r="CC52" s="10"/>
      <c r="CG52" s="10"/>
      <c r="CH52" s="10"/>
      <c r="CI52" s="10"/>
      <c r="CJ52" s="10"/>
      <c r="CN52" s="10"/>
      <c r="CO52" s="10"/>
      <c r="CP52" s="10"/>
      <c r="CQ52" s="10"/>
      <c r="CU52" s="10"/>
      <c r="CV52" s="10"/>
      <c r="CW52" s="10"/>
      <c r="CX52" s="10"/>
      <c r="DB52" s="10"/>
      <c r="DC52" s="10"/>
      <c r="DD52" s="10"/>
      <c r="DE52" s="10"/>
      <c r="DI52" s="10"/>
      <c r="DJ52" s="10"/>
      <c r="DK52" s="10"/>
      <c r="DL52" s="10"/>
    </row>
    <row r="53" spans="2:116" hidden="1" outlineLevel="1">
      <c r="B53" t="s">
        <v>28</v>
      </c>
      <c r="C53" t="s">
        <v>119</v>
      </c>
      <c r="E53" s="9"/>
      <c r="F53" t="s">
        <v>128</v>
      </c>
      <c r="G53" s="10"/>
      <c r="I53" s="9"/>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10"/>
      <c r="BN53" s="10"/>
      <c r="BO53" s="10"/>
      <c r="BS53" s="10"/>
      <c r="BT53" s="10"/>
      <c r="BU53" s="10"/>
      <c r="BV53" s="10"/>
      <c r="BZ53" s="10"/>
      <c r="CA53" s="10"/>
      <c r="CB53" s="10"/>
      <c r="CC53" s="10"/>
      <c r="CG53" s="10"/>
      <c r="CH53" s="10"/>
      <c r="CI53" s="10"/>
      <c r="CJ53" s="10"/>
      <c r="CN53" s="10"/>
      <c r="CO53" s="10"/>
      <c r="CP53" s="10"/>
      <c r="CQ53" s="10"/>
      <c r="CU53" s="10"/>
      <c r="CV53" s="10"/>
      <c r="CW53" s="10"/>
      <c r="CX53" s="10"/>
      <c r="DB53" s="10"/>
      <c r="DC53" s="10"/>
      <c r="DD53" s="10"/>
      <c r="DE53" s="10"/>
      <c r="DI53" s="10"/>
      <c r="DJ53" s="10"/>
      <c r="DK53" s="10"/>
      <c r="DL53" s="10"/>
    </row>
    <row r="54" spans="2:116" hidden="1" outlineLevel="1">
      <c r="B54" t="s">
        <v>28</v>
      </c>
      <c r="C54" t="s">
        <v>119</v>
      </c>
      <c r="E54" s="9"/>
      <c r="F54" t="s">
        <v>129</v>
      </c>
      <c r="G54" s="10"/>
      <c r="I54" s="9"/>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c r="BG54" s="10"/>
      <c r="BH54" s="10"/>
      <c r="BL54" s="10"/>
      <c r="BM54" s="10"/>
      <c r="BN54" s="10"/>
      <c r="BO54" s="10"/>
      <c r="BS54" s="10"/>
      <c r="BT54" s="10"/>
      <c r="BU54" s="10"/>
      <c r="BV54" s="10"/>
      <c r="BZ54" s="10"/>
      <c r="CA54" s="10"/>
      <c r="CB54" s="10"/>
      <c r="CC54" s="10"/>
      <c r="CG54" s="10"/>
      <c r="CH54" s="10"/>
      <c r="CI54" s="10"/>
      <c r="CJ54" s="10"/>
      <c r="CN54" s="10"/>
      <c r="CO54" s="10"/>
      <c r="CP54" s="10"/>
      <c r="CQ54" s="10"/>
      <c r="CU54" s="10"/>
      <c r="CV54" s="10"/>
      <c r="CW54" s="10"/>
      <c r="CX54" s="10"/>
      <c r="DB54" s="10"/>
      <c r="DC54" s="10"/>
      <c r="DD54" s="10"/>
      <c r="DE54" s="10"/>
      <c r="DI54" s="10"/>
      <c r="DJ54" s="10"/>
      <c r="DK54" s="10"/>
      <c r="DL54" s="10"/>
    </row>
    <row r="55" spans="2:116" hidden="1" outlineLevel="1">
      <c r="B55" t="s">
        <v>28</v>
      </c>
      <c r="C55" t="s">
        <v>119</v>
      </c>
      <c r="E55" s="9"/>
      <c r="F55" t="s">
        <v>130</v>
      </c>
      <c r="G55" s="10"/>
      <c r="I55" s="9"/>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c r="CW55" s="10"/>
      <c r="CX55" s="10"/>
      <c r="DB55" s="10"/>
      <c r="DC55" s="10"/>
      <c r="DD55" s="10"/>
      <c r="DE55" s="10"/>
      <c r="DI55" s="10"/>
      <c r="DJ55" s="10"/>
      <c r="DK55" s="10"/>
      <c r="DL55" s="10"/>
    </row>
    <row r="56" spans="2:116" hidden="1" outlineLevel="1">
      <c r="B56" t="s">
        <v>28</v>
      </c>
      <c r="C56" t="s">
        <v>119</v>
      </c>
      <c r="E56" s="9"/>
      <c r="F56" t="s">
        <v>131</v>
      </c>
      <c r="G56" s="10"/>
      <c r="I56" s="9">
        <f t="shared" si="3"/>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c r="CW56" s="10"/>
      <c r="CX56" s="10"/>
      <c r="DB56" s="10"/>
      <c r="DC56" s="10"/>
      <c r="DD56" s="10"/>
      <c r="DE56" s="10"/>
      <c r="DI56" s="10"/>
      <c r="DJ56" s="10"/>
      <c r="DK56" s="10"/>
      <c r="DL56" s="10"/>
    </row>
    <row r="57" spans="2:116" collapsed="1"/>
    <row r="58" spans="2:116">
      <c r="B58" t="s">
        <v>27</v>
      </c>
      <c r="C58" t="s">
        <v>132</v>
      </c>
      <c r="D58" s="19">
        <v>45145</v>
      </c>
      <c r="E58" s="9">
        <v>6</v>
      </c>
      <c r="G58" s="10"/>
      <c r="I58" s="12">
        <f>+SUM(I59:I73)</f>
        <v>0</v>
      </c>
      <c r="J58" s="11">
        <f>+SUMPRODUCT(G59:G73,J59:J73)</f>
        <v>0</v>
      </c>
      <c r="K58" s="11">
        <f>+SUMPRODUCT(G59:G73,K59:K73)</f>
        <v>0</v>
      </c>
      <c r="L58" s="9"/>
      <c r="N58" s="12"/>
      <c r="U58" s="12"/>
      <c r="AB58" s="12"/>
      <c r="AI58" s="12"/>
      <c r="AP58" s="12"/>
      <c r="CN58" s="10"/>
      <c r="CO58" s="10"/>
      <c r="CP58" s="10"/>
      <c r="CQ58" s="10"/>
      <c r="CU58" s="23"/>
      <c r="CV58" s="10"/>
      <c r="CX58" s="10"/>
    </row>
    <row r="59" spans="2:116" outlineLevel="1">
      <c r="B59" t="s">
        <v>28</v>
      </c>
      <c r="C59" t="s">
        <v>132</v>
      </c>
      <c r="E59" s="9"/>
      <c r="F59" t="s">
        <v>133</v>
      </c>
      <c r="G59" s="10"/>
      <c r="I59" s="9">
        <f t="shared" si="3"/>
        <v>0</v>
      </c>
      <c r="J59" s="11" cm="1">
        <f t="array" ref="J59">MAX(IF($N$3:$EH$3=$J$3,N59:EH59))</f>
        <v>0</v>
      </c>
      <c r="K59" s="11" cm="1">
        <f t="array" ref="K59">MAX(IF($N$3:$EH$3=$J$3,N59:EH59))</f>
        <v>0</v>
      </c>
      <c r="L59" s="9"/>
      <c r="O59" s="10"/>
      <c r="P59" s="10"/>
      <c r="Q59" s="10"/>
      <c r="R59" s="10"/>
      <c r="V59" s="10"/>
      <c r="W59" s="10"/>
      <c r="X59" s="10"/>
      <c r="Y59" s="10"/>
      <c r="AC59" s="10"/>
      <c r="AD59" s="10"/>
      <c r="AE59" s="10"/>
      <c r="AF59" s="10">
        <v>0.5</v>
      </c>
      <c r="AJ59" s="10"/>
      <c r="AK59" s="10"/>
      <c r="AL59" s="10"/>
      <c r="AM59" s="10">
        <v>0.5</v>
      </c>
      <c r="AQ59" s="10"/>
      <c r="AR59" s="10">
        <v>0.5</v>
      </c>
      <c r="AS59" s="10"/>
      <c r="AT59" s="10">
        <v>0.5</v>
      </c>
      <c r="AX59" s="10"/>
      <c r="AY59" s="10">
        <v>0.5</v>
      </c>
      <c r="AZ59" s="10"/>
      <c r="BA59" s="10">
        <v>0.5</v>
      </c>
      <c r="BE59" s="10"/>
      <c r="BF59" s="10">
        <v>0.5</v>
      </c>
      <c r="BG59" s="10"/>
      <c r="BH59" s="10">
        <v>0.5</v>
      </c>
      <c r="BL59" s="10"/>
      <c r="BM59" s="10">
        <v>0.8</v>
      </c>
      <c r="BN59" s="10"/>
      <c r="BO59" s="10">
        <v>0.8</v>
      </c>
      <c r="BS59" s="10"/>
      <c r="BT59" s="10">
        <v>0.8</v>
      </c>
      <c r="BU59" s="10"/>
      <c r="BV59" s="10">
        <v>0.8</v>
      </c>
      <c r="BZ59" s="10"/>
      <c r="CA59" s="10">
        <v>0.8</v>
      </c>
      <c r="CB59" s="10"/>
      <c r="CC59" s="10">
        <v>0.8</v>
      </c>
      <c r="CG59" s="10"/>
      <c r="CH59" s="10">
        <v>1</v>
      </c>
      <c r="CI59" s="10"/>
      <c r="CJ59" s="10">
        <v>1</v>
      </c>
      <c r="CN59" s="10"/>
      <c r="CO59" s="10">
        <v>1</v>
      </c>
      <c r="CP59" s="10"/>
      <c r="CQ59" s="10">
        <v>1</v>
      </c>
      <c r="CU59" s="10"/>
      <c r="CV59" s="10">
        <v>1</v>
      </c>
      <c r="CW59" s="24"/>
      <c r="CX59" s="10">
        <v>1</v>
      </c>
      <c r="DB59" s="10"/>
      <c r="DC59" s="10"/>
      <c r="DD59" s="10"/>
      <c r="DE59" s="10"/>
      <c r="DI59" s="10"/>
      <c r="DJ59" s="10"/>
      <c r="DK59" s="10"/>
      <c r="DL59" s="10"/>
    </row>
    <row r="60" spans="2:116" outlineLevel="1">
      <c r="B60" t="s">
        <v>28</v>
      </c>
      <c r="C60" t="s">
        <v>132</v>
      </c>
      <c r="E60" s="9"/>
      <c r="F60" t="s">
        <v>134</v>
      </c>
      <c r="G60" s="10"/>
      <c r="I60" s="9">
        <f t="shared" si="3"/>
        <v>0</v>
      </c>
      <c r="J60" s="11" cm="1">
        <f t="array" ref="J60">MAX(IF($N$3:$EH$3=$J$3,N60:EH60))</f>
        <v>0</v>
      </c>
      <c r="K60" s="11" cm="1">
        <f t="array" ref="K60">MAX(IF($N$3:$EH$3=$J$3,N60:EH60))</f>
        <v>0</v>
      </c>
      <c r="L60" s="9"/>
      <c r="O60" s="10"/>
      <c r="P60" s="10"/>
      <c r="Q60" s="10"/>
      <c r="R60" s="10"/>
      <c r="V60" s="10"/>
      <c r="W60" s="10"/>
      <c r="X60" s="10"/>
      <c r="Y60" s="10"/>
      <c r="AC60" s="10"/>
      <c r="AD60" s="10"/>
      <c r="AE60" s="10"/>
      <c r="AF60" s="10">
        <v>0.5</v>
      </c>
      <c r="AJ60" s="10"/>
      <c r="AK60" s="10"/>
      <c r="AL60" s="10"/>
      <c r="AM60" s="10">
        <v>0.5</v>
      </c>
      <c r="AQ60" s="10"/>
      <c r="AR60" s="10">
        <v>0.5</v>
      </c>
      <c r="AS60" s="10"/>
      <c r="AT60" s="10">
        <v>0.5</v>
      </c>
      <c r="AX60" s="10"/>
      <c r="AY60" s="10">
        <v>0.5</v>
      </c>
      <c r="AZ60" s="10"/>
      <c r="BA60" s="10">
        <v>0.5</v>
      </c>
      <c r="BE60" s="10"/>
      <c r="BF60" s="10">
        <v>0.5</v>
      </c>
      <c r="BG60" s="10"/>
      <c r="BH60" s="10">
        <v>0.5</v>
      </c>
      <c r="BL60" s="10"/>
      <c r="BM60" s="10">
        <v>0.8</v>
      </c>
      <c r="BN60" s="10"/>
      <c r="BO60" s="10">
        <v>0.8</v>
      </c>
      <c r="BS60" s="10"/>
      <c r="BT60" s="10">
        <v>0.8</v>
      </c>
      <c r="BU60" s="10"/>
      <c r="BV60" s="10">
        <v>0.8</v>
      </c>
      <c r="BZ60" s="10"/>
      <c r="CA60" s="10">
        <v>0.8</v>
      </c>
      <c r="CB60" s="10"/>
      <c r="CC60" s="10">
        <v>0.8</v>
      </c>
      <c r="CG60" s="10"/>
      <c r="CH60" s="10">
        <v>1</v>
      </c>
      <c r="CI60" s="10"/>
      <c r="CJ60" s="10">
        <v>1</v>
      </c>
      <c r="CN60" s="10"/>
      <c r="CO60" s="10">
        <v>1</v>
      </c>
      <c r="CP60" s="10"/>
      <c r="CQ60" s="10">
        <v>1</v>
      </c>
      <c r="CU60" s="10"/>
      <c r="CV60" s="10">
        <v>1</v>
      </c>
      <c r="CW60" s="20"/>
      <c r="CX60" s="10">
        <v>1</v>
      </c>
      <c r="DB60" s="10"/>
      <c r="DC60" s="10"/>
      <c r="DD60" s="10"/>
      <c r="DE60" s="10"/>
      <c r="DI60" s="10"/>
      <c r="DJ60" s="10"/>
      <c r="DK60" s="10"/>
      <c r="DL60" s="10"/>
    </row>
    <row r="61" spans="2:116" outlineLevel="1">
      <c r="B61" t="s">
        <v>28</v>
      </c>
      <c r="C61" t="s">
        <v>132</v>
      </c>
      <c r="E61" s="9"/>
      <c r="F61" t="s">
        <v>135</v>
      </c>
      <c r="G61" s="10"/>
      <c r="I61" s="9">
        <f t="shared" si="3"/>
        <v>0</v>
      </c>
      <c r="J61" s="11" cm="1">
        <f t="array" ref="J61">MAX(IF($N$3:$EH$3=$J$3,N61:EH61))</f>
        <v>0</v>
      </c>
      <c r="K61" s="11" cm="1">
        <f t="array" ref="K61">MAX(IF($N$3:$EH$3=$J$3,N61:EH61))</f>
        <v>0</v>
      </c>
      <c r="L61" s="9"/>
      <c r="O61" s="10"/>
      <c r="P61" s="10"/>
      <c r="Q61" s="10"/>
      <c r="R61" s="10"/>
      <c r="V61" s="10"/>
      <c r="W61" s="10"/>
      <c r="X61" s="10"/>
      <c r="Y61" s="10"/>
      <c r="AC61" s="10"/>
      <c r="AD61" s="10"/>
      <c r="AE61" s="10"/>
      <c r="AF61" s="10">
        <v>0.5</v>
      </c>
      <c r="AJ61" s="10"/>
      <c r="AK61" s="10"/>
      <c r="AL61" s="10"/>
      <c r="AM61" s="10">
        <v>0.5</v>
      </c>
      <c r="AQ61" s="10"/>
      <c r="AR61" s="10">
        <v>0.5</v>
      </c>
      <c r="AS61" s="10"/>
      <c r="AT61" s="10">
        <v>0.5</v>
      </c>
      <c r="AX61" s="10"/>
      <c r="AY61" s="10">
        <v>0.5</v>
      </c>
      <c r="AZ61" s="10"/>
      <c r="BA61" s="10">
        <v>0.5</v>
      </c>
      <c r="BE61" s="10"/>
      <c r="BF61" s="10">
        <v>0.5</v>
      </c>
      <c r="BG61" s="10"/>
      <c r="BH61" s="10">
        <v>0.5</v>
      </c>
      <c r="BL61" s="10"/>
      <c r="BM61" s="10">
        <v>0.8</v>
      </c>
      <c r="BN61" s="10"/>
      <c r="BO61" s="10">
        <v>0.8</v>
      </c>
      <c r="BS61" s="10"/>
      <c r="BT61" s="10">
        <v>0.8</v>
      </c>
      <c r="BU61" s="10"/>
      <c r="BV61" s="10">
        <v>0.8</v>
      </c>
      <c r="BZ61" s="10"/>
      <c r="CA61" s="10">
        <v>0.8</v>
      </c>
      <c r="CB61" s="10"/>
      <c r="CC61" s="10">
        <v>0.8</v>
      </c>
      <c r="CG61" s="10"/>
      <c r="CH61" s="10">
        <v>1</v>
      </c>
      <c r="CI61" s="10"/>
      <c r="CJ61" s="10">
        <v>1</v>
      </c>
      <c r="CN61" s="10"/>
      <c r="CO61" s="10">
        <v>1</v>
      </c>
      <c r="CP61" s="10"/>
      <c r="CQ61" s="10">
        <v>1</v>
      </c>
      <c r="CU61" s="10"/>
      <c r="CV61" s="10">
        <v>1</v>
      </c>
      <c r="CW61" s="10"/>
      <c r="CX61" s="10">
        <v>1</v>
      </c>
      <c r="DB61" s="10"/>
      <c r="DC61" s="10"/>
      <c r="DD61" s="10"/>
      <c r="DE61" s="10"/>
      <c r="DI61" s="10"/>
      <c r="DJ61" s="10"/>
      <c r="DK61" s="10"/>
      <c r="DL61" s="10"/>
    </row>
    <row r="62" spans="2:116" outlineLevel="1">
      <c r="B62" t="s">
        <v>28</v>
      </c>
      <c r="C62" t="s">
        <v>132</v>
      </c>
      <c r="E62" s="9"/>
      <c r="F62" t="s">
        <v>136</v>
      </c>
      <c r="G62" s="10"/>
      <c r="I62" s="9">
        <f t="shared" si="3"/>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v>0.5</v>
      </c>
      <c r="AQ62" s="10"/>
      <c r="AR62" s="10">
        <v>0.5</v>
      </c>
      <c r="AS62" s="10"/>
      <c r="AT62" s="10">
        <v>0.5</v>
      </c>
      <c r="AX62" s="10"/>
      <c r="AY62" s="10">
        <v>0.5</v>
      </c>
      <c r="AZ62" s="10"/>
      <c r="BA62" s="10">
        <v>0.5</v>
      </c>
      <c r="BE62" s="10"/>
      <c r="BF62" s="10">
        <v>0.5</v>
      </c>
      <c r="BG62" s="10"/>
      <c r="BH62" s="10">
        <v>0.5</v>
      </c>
      <c r="BL62" s="10"/>
      <c r="BM62" s="10">
        <v>0.8</v>
      </c>
      <c r="BN62" s="10"/>
      <c r="BO62" s="10">
        <v>0.8</v>
      </c>
      <c r="BS62" s="10"/>
      <c r="BT62" s="10">
        <v>0.8</v>
      </c>
      <c r="BU62" s="10"/>
      <c r="BV62" s="10">
        <v>0.8</v>
      </c>
      <c r="BZ62" s="10"/>
      <c r="CA62" s="10">
        <v>0.8</v>
      </c>
      <c r="CB62" s="10"/>
      <c r="CC62" s="10">
        <v>0.8</v>
      </c>
      <c r="CG62" s="10"/>
      <c r="CH62" s="10">
        <v>1</v>
      </c>
      <c r="CI62" s="10"/>
      <c r="CJ62" s="10">
        <v>1</v>
      </c>
      <c r="CN62" s="10"/>
      <c r="CO62" s="10">
        <v>1</v>
      </c>
      <c r="CP62" s="10"/>
      <c r="CQ62" s="10">
        <v>1</v>
      </c>
      <c r="CU62" s="10"/>
      <c r="CV62" s="10">
        <v>1</v>
      </c>
      <c r="CW62" s="10"/>
      <c r="CX62" s="10">
        <v>1</v>
      </c>
      <c r="DB62" s="10"/>
      <c r="DC62" s="10"/>
      <c r="DD62" s="10"/>
      <c r="DE62" s="10"/>
      <c r="DI62" s="10"/>
      <c r="DJ62" s="10"/>
      <c r="DK62" s="10"/>
      <c r="DL62" s="10"/>
    </row>
    <row r="63" spans="2:116" outlineLevel="1">
      <c r="B63" t="s">
        <v>28</v>
      </c>
      <c r="C63" t="s">
        <v>132</v>
      </c>
      <c r="E63" s="9"/>
      <c r="F63" t="s">
        <v>137</v>
      </c>
      <c r="G63" s="10"/>
      <c r="I63" s="9">
        <f t="shared" si="3"/>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v>0.5</v>
      </c>
      <c r="AQ63" s="10"/>
      <c r="AR63" s="10">
        <v>0.5</v>
      </c>
      <c r="AS63" s="10"/>
      <c r="AT63" s="10">
        <v>0.5</v>
      </c>
      <c r="AX63" s="10"/>
      <c r="AY63" s="10">
        <v>0.5</v>
      </c>
      <c r="AZ63" s="10"/>
      <c r="BA63" s="10">
        <v>0.5</v>
      </c>
      <c r="BE63" s="10"/>
      <c r="BF63" s="10">
        <v>0.5</v>
      </c>
      <c r="BG63" s="10"/>
      <c r="BH63" s="10">
        <v>0.5</v>
      </c>
      <c r="BL63" s="10"/>
      <c r="BM63" s="10">
        <v>0.8</v>
      </c>
      <c r="BN63" s="10"/>
      <c r="BO63" s="10">
        <v>0.8</v>
      </c>
      <c r="BS63" s="10"/>
      <c r="BT63" s="10">
        <v>0.8</v>
      </c>
      <c r="BU63" s="10"/>
      <c r="BV63" s="10">
        <v>0.8</v>
      </c>
      <c r="BZ63" s="10"/>
      <c r="CA63" s="10">
        <v>0.8</v>
      </c>
      <c r="CB63" s="10"/>
      <c r="CC63" s="10">
        <v>0.8</v>
      </c>
      <c r="CG63" s="10"/>
      <c r="CH63" s="10">
        <v>1</v>
      </c>
      <c r="CI63" s="10"/>
      <c r="CJ63" s="10">
        <v>1</v>
      </c>
      <c r="CN63" s="10"/>
      <c r="CO63" s="10">
        <v>1</v>
      </c>
      <c r="CP63" s="10"/>
      <c r="CQ63" s="10">
        <v>1</v>
      </c>
      <c r="CU63" s="10"/>
      <c r="CV63" s="10">
        <v>1</v>
      </c>
      <c r="CW63" s="10"/>
      <c r="CX63" s="10">
        <v>1</v>
      </c>
      <c r="DB63" s="10"/>
      <c r="DC63" s="10"/>
      <c r="DD63" s="10"/>
      <c r="DE63" s="10"/>
      <c r="DI63" s="10"/>
      <c r="DJ63" s="10"/>
      <c r="DK63" s="10"/>
      <c r="DL63" s="10"/>
    </row>
    <row r="64" spans="2:116" outlineLevel="1">
      <c r="B64" t="s">
        <v>28</v>
      </c>
      <c r="C64" t="s">
        <v>132</v>
      </c>
      <c r="E64" s="9"/>
      <c r="F64" t="s">
        <v>138</v>
      </c>
      <c r="G64" s="10"/>
      <c r="I64" s="9">
        <f t="shared" si="3"/>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v>0.5</v>
      </c>
      <c r="AQ64" s="10"/>
      <c r="AR64" s="10">
        <v>0.5</v>
      </c>
      <c r="AS64" s="10"/>
      <c r="AT64" s="10">
        <v>0.5</v>
      </c>
      <c r="AX64" s="10"/>
      <c r="AY64" s="10">
        <v>0.5</v>
      </c>
      <c r="AZ64" s="10"/>
      <c r="BA64" s="10">
        <v>0.5</v>
      </c>
      <c r="BE64" s="10"/>
      <c r="BF64" s="10">
        <v>0.5</v>
      </c>
      <c r="BG64" s="10"/>
      <c r="BH64" s="10">
        <v>0.5</v>
      </c>
      <c r="BL64" s="10"/>
      <c r="BM64" s="10">
        <v>0.8</v>
      </c>
      <c r="BN64" s="10"/>
      <c r="BO64" s="10">
        <v>0.8</v>
      </c>
      <c r="BS64" s="10"/>
      <c r="BT64" s="10">
        <v>0.8</v>
      </c>
      <c r="BU64" s="10"/>
      <c r="BV64" s="10">
        <v>0.8</v>
      </c>
      <c r="BZ64" s="10"/>
      <c r="CA64" s="10">
        <v>0.8</v>
      </c>
      <c r="CB64" s="10"/>
      <c r="CC64" s="10">
        <v>0.8</v>
      </c>
      <c r="CG64" s="10"/>
      <c r="CH64" s="10">
        <v>0.8</v>
      </c>
      <c r="CI64" s="10"/>
      <c r="CJ64" s="10">
        <v>0.8</v>
      </c>
      <c r="CN64" s="10"/>
      <c r="CO64" s="10">
        <v>1</v>
      </c>
      <c r="CP64" s="10"/>
      <c r="CQ64" s="10">
        <v>1</v>
      </c>
      <c r="CU64" s="10"/>
      <c r="CV64" s="10">
        <v>1</v>
      </c>
      <c r="CW64" s="10"/>
      <c r="CX64" s="10">
        <v>1</v>
      </c>
      <c r="DB64" s="10"/>
      <c r="DC64" s="10"/>
      <c r="DD64" s="10"/>
      <c r="DE64" s="10"/>
      <c r="DI64" s="10"/>
      <c r="DJ64" s="10"/>
      <c r="DK64" s="10"/>
      <c r="DL64" s="10"/>
    </row>
    <row r="65" spans="2:116" outlineLevel="1">
      <c r="B65" t="s">
        <v>28</v>
      </c>
      <c r="C65" t="s">
        <v>132</v>
      </c>
      <c r="E65" s="9"/>
      <c r="F65" t="s">
        <v>139</v>
      </c>
      <c r="G65" s="10"/>
      <c r="I65" s="9">
        <f t="shared" si="3"/>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v>0.5</v>
      </c>
      <c r="AS65" s="10"/>
      <c r="AT65" s="10">
        <v>0.5</v>
      </c>
      <c r="AX65" s="10"/>
      <c r="AY65" s="10">
        <v>0.5</v>
      </c>
      <c r="AZ65" s="10"/>
      <c r="BA65" s="10">
        <v>0.5</v>
      </c>
      <c r="BE65" s="10"/>
      <c r="BF65" s="10">
        <v>0.5</v>
      </c>
      <c r="BG65" s="10"/>
      <c r="BH65" s="10">
        <v>0.5</v>
      </c>
      <c r="BL65" s="10"/>
      <c r="BM65" s="10">
        <v>0.5</v>
      </c>
      <c r="BN65" s="10"/>
      <c r="BO65" s="10">
        <v>0.5</v>
      </c>
      <c r="BS65" s="10"/>
      <c r="BT65" s="10">
        <v>0.8</v>
      </c>
      <c r="BU65" s="10"/>
      <c r="BV65" s="10">
        <v>0.8</v>
      </c>
      <c r="BZ65" s="10"/>
      <c r="CA65" s="10">
        <v>0.8</v>
      </c>
      <c r="CB65" s="10"/>
      <c r="CC65" s="10">
        <v>0.8</v>
      </c>
      <c r="CG65" s="10"/>
      <c r="CH65" s="10">
        <v>0.8</v>
      </c>
      <c r="CI65" s="10"/>
      <c r="CJ65" s="10">
        <v>0.8</v>
      </c>
      <c r="CN65" s="10"/>
      <c r="CO65" s="10">
        <v>1</v>
      </c>
      <c r="CP65" s="10"/>
      <c r="CQ65" s="10">
        <v>1</v>
      </c>
      <c r="CU65" s="10"/>
      <c r="CV65" s="10">
        <v>1</v>
      </c>
      <c r="CW65" s="10"/>
      <c r="CX65" s="10">
        <v>1</v>
      </c>
      <c r="DB65" s="10"/>
      <c r="DC65" s="10"/>
      <c r="DD65" s="10"/>
      <c r="DE65" s="10"/>
      <c r="DI65" s="10"/>
      <c r="DJ65" s="10"/>
      <c r="DK65" s="10"/>
      <c r="DL65" s="10"/>
    </row>
    <row r="66" spans="2:116" outlineLevel="1">
      <c r="B66" t="s">
        <v>28</v>
      </c>
      <c r="C66" t="s">
        <v>132</v>
      </c>
      <c r="E66" s="9"/>
      <c r="F66" t="s">
        <v>140</v>
      </c>
      <c r="G66" s="10"/>
      <c r="I66" s="9">
        <f t="shared" si="3"/>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v>0.5</v>
      </c>
      <c r="AS66" s="10"/>
      <c r="AT66" s="10">
        <v>0.5</v>
      </c>
      <c r="AX66" s="10"/>
      <c r="AY66" s="10">
        <v>0.5</v>
      </c>
      <c r="AZ66" s="10"/>
      <c r="BA66" s="10">
        <v>0.5</v>
      </c>
      <c r="BE66" s="10"/>
      <c r="BF66" s="10">
        <v>0.5</v>
      </c>
      <c r="BG66" s="10"/>
      <c r="BH66" s="10">
        <v>0.5</v>
      </c>
      <c r="BL66" s="10"/>
      <c r="BM66" s="10">
        <v>0.5</v>
      </c>
      <c r="BN66" s="10"/>
      <c r="BO66" s="10">
        <v>0.5</v>
      </c>
      <c r="BS66" s="10"/>
      <c r="BT66" s="10">
        <v>0.8</v>
      </c>
      <c r="BU66" s="10"/>
      <c r="BV66" s="10">
        <v>0.8</v>
      </c>
      <c r="BZ66" s="10"/>
      <c r="CA66" s="10">
        <v>0.8</v>
      </c>
      <c r="CB66" s="10"/>
      <c r="CC66" s="10">
        <v>0.8</v>
      </c>
      <c r="CG66" s="10"/>
      <c r="CH66" s="10">
        <v>0.8</v>
      </c>
      <c r="CI66" s="10"/>
      <c r="CJ66" s="10">
        <v>0.8</v>
      </c>
      <c r="CN66" s="10"/>
      <c r="CO66" s="10">
        <v>1</v>
      </c>
      <c r="CP66" s="10"/>
      <c r="CQ66" s="10">
        <v>1</v>
      </c>
      <c r="CU66" s="10"/>
      <c r="CV66" s="10">
        <v>1</v>
      </c>
      <c r="CW66" s="10"/>
      <c r="CX66" s="10">
        <v>1</v>
      </c>
      <c r="DB66" s="10"/>
      <c r="DC66" s="10"/>
      <c r="DD66" s="10"/>
      <c r="DE66" s="10"/>
      <c r="DI66" s="10"/>
      <c r="DJ66" s="10"/>
      <c r="DK66" s="10"/>
      <c r="DL66" s="10"/>
    </row>
    <row r="67" spans="2:116" outlineLevel="1">
      <c r="B67" t="s">
        <v>28</v>
      </c>
      <c r="C67" t="s">
        <v>132</v>
      </c>
      <c r="E67" s="9"/>
      <c r="F67" t="s">
        <v>141</v>
      </c>
      <c r="G67" s="10"/>
      <c r="I67" s="9">
        <f t="shared" si="3"/>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v>0.5</v>
      </c>
      <c r="AS67" s="10"/>
      <c r="AT67" s="10">
        <v>0.5</v>
      </c>
      <c r="AX67" s="10"/>
      <c r="AY67" s="10">
        <v>0.5</v>
      </c>
      <c r="AZ67" s="10"/>
      <c r="BA67" s="10">
        <v>0.5</v>
      </c>
      <c r="BE67" s="10"/>
      <c r="BF67" s="10">
        <v>0.5</v>
      </c>
      <c r="BG67" s="10"/>
      <c r="BH67" s="10">
        <v>0.5</v>
      </c>
      <c r="BL67" s="10"/>
      <c r="BM67" s="10">
        <v>0.5</v>
      </c>
      <c r="BN67" s="10"/>
      <c r="BO67" s="10">
        <v>0.5</v>
      </c>
      <c r="BS67" s="10"/>
      <c r="BT67" s="10">
        <v>0.8</v>
      </c>
      <c r="BU67" s="10"/>
      <c r="BV67" s="10">
        <v>0.8</v>
      </c>
      <c r="BZ67" s="10"/>
      <c r="CA67" s="10">
        <v>0.8</v>
      </c>
      <c r="CB67" s="10"/>
      <c r="CC67" s="10">
        <v>0.8</v>
      </c>
      <c r="CG67" s="10"/>
      <c r="CH67" s="10">
        <v>0.8</v>
      </c>
      <c r="CI67" s="10"/>
      <c r="CJ67" s="10">
        <v>0.8</v>
      </c>
      <c r="CN67" s="10"/>
      <c r="CO67" s="10">
        <v>1</v>
      </c>
      <c r="CP67" s="10"/>
      <c r="CQ67" s="10">
        <v>1</v>
      </c>
      <c r="CU67" s="10"/>
      <c r="CV67" s="10">
        <v>1</v>
      </c>
      <c r="CW67" s="10"/>
      <c r="CX67" s="10">
        <v>1</v>
      </c>
      <c r="DB67" s="10"/>
      <c r="DC67" s="10"/>
      <c r="DD67" s="10"/>
      <c r="DE67" s="10"/>
      <c r="DI67" s="10"/>
      <c r="DJ67" s="10"/>
      <c r="DK67" s="10"/>
      <c r="DL67" s="10"/>
    </row>
    <row r="68" spans="2:116" outlineLevel="1">
      <c r="B68" t="s">
        <v>28</v>
      </c>
      <c r="C68" t="s">
        <v>132</v>
      </c>
      <c r="E68" s="9"/>
      <c r="F68" t="s">
        <v>142</v>
      </c>
      <c r="G68" s="10"/>
      <c r="I68" s="9"/>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c r="AS68" s="10"/>
      <c r="AT68" s="10"/>
      <c r="AX68" s="10"/>
      <c r="AY68" s="10">
        <v>0.5</v>
      </c>
      <c r="AZ68" s="10"/>
      <c r="BA68" s="10">
        <v>0.5</v>
      </c>
      <c r="BE68" s="10"/>
      <c r="BF68" s="10">
        <v>0.5</v>
      </c>
      <c r="BG68" s="10"/>
      <c r="BH68" s="10">
        <v>0.5</v>
      </c>
      <c r="BL68" s="10"/>
      <c r="BM68" s="10">
        <v>0.5</v>
      </c>
      <c r="BN68" s="10"/>
      <c r="BO68" s="10">
        <v>0.5</v>
      </c>
      <c r="BS68" s="10"/>
      <c r="BT68" s="10">
        <v>0.8</v>
      </c>
      <c r="BU68" s="10"/>
      <c r="BV68" s="10">
        <v>0.8</v>
      </c>
      <c r="BZ68" s="10"/>
      <c r="CA68" s="10">
        <v>0.8</v>
      </c>
      <c r="CB68" s="10"/>
      <c r="CC68" s="10">
        <v>0.8</v>
      </c>
      <c r="CG68" s="10"/>
      <c r="CH68" s="10">
        <v>0.8</v>
      </c>
      <c r="CI68" s="10"/>
      <c r="CJ68" s="10">
        <v>0.8</v>
      </c>
      <c r="CN68" s="10"/>
      <c r="CO68" s="10">
        <v>1</v>
      </c>
      <c r="CP68" s="10"/>
      <c r="CQ68" s="10">
        <v>1</v>
      </c>
      <c r="CU68" s="10"/>
      <c r="CV68" s="10">
        <v>1</v>
      </c>
      <c r="CW68" s="10"/>
      <c r="CX68" s="10">
        <v>1</v>
      </c>
      <c r="DB68" s="10"/>
      <c r="DC68" s="10"/>
      <c r="DD68" s="10"/>
      <c r="DE68" s="10"/>
      <c r="DI68" s="10"/>
      <c r="DJ68" s="10"/>
      <c r="DK68" s="10"/>
      <c r="DL68" s="10"/>
    </row>
    <row r="69" spans="2:116" outlineLevel="1">
      <c r="B69" t="s">
        <v>28</v>
      </c>
      <c r="C69" t="s">
        <v>132</v>
      </c>
      <c r="E69" s="9"/>
      <c r="F69" t="s">
        <v>143</v>
      </c>
      <c r="G69" s="10"/>
      <c r="I69" s="9"/>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c r="AL69" s="10"/>
      <c r="AM69" s="10"/>
      <c r="AQ69" s="10"/>
      <c r="AR69" s="10"/>
      <c r="AS69" s="10"/>
      <c r="AT69" s="10"/>
      <c r="AX69" s="10"/>
      <c r="AY69" s="10">
        <v>0.5</v>
      </c>
      <c r="AZ69" s="10"/>
      <c r="BA69" s="10">
        <v>0.5</v>
      </c>
      <c r="BE69" s="10"/>
      <c r="BF69" s="10">
        <v>0.5</v>
      </c>
      <c r="BG69" s="10"/>
      <c r="BH69" s="10">
        <v>0.5</v>
      </c>
      <c r="BL69" s="10"/>
      <c r="BM69" s="10">
        <v>0.5</v>
      </c>
      <c r="BN69" s="10"/>
      <c r="BO69" s="10">
        <v>0.5</v>
      </c>
      <c r="BS69" s="10"/>
      <c r="BT69" s="10">
        <v>0.5</v>
      </c>
      <c r="BU69" s="10"/>
      <c r="BV69" s="10">
        <v>0.5</v>
      </c>
      <c r="BZ69" s="10"/>
      <c r="CA69" s="10">
        <v>0.8</v>
      </c>
      <c r="CB69" s="10"/>
      <c r="CC69" s="10">
        <v>0.8</v>
      </c>
      <c r="CG69" s="10"/>
      <c r="CH69" s="10">
        <v>0.8</v>
      </c>
      <c r="CI69" s="10"/>
      <c r="CJ69" s="10">
        <v>0.8</v>
      </c>
      <c r="CN69" s="10"/>
      <c r="CO69" s="10">
        <v>0.8</v>
      </c>
      <c r="CP69" s="10"/>
      <c r="CQ69" s="10">
        <v>0.8</v>
      </c>
      <c r="CU69" s="10"/>
      <c r="CV69" s="10">
        <v>0.8</v>
      </c>
      <c r="CW69" s="10"/>
      <c r="CX69" s="10">
        <v>0.8</v>
      </c>
      <c r="DB69" s="10"/>
      <c r="DC69" s="10"/>
      <c r="DD69" s="10"/>
      <c r="DE69" s="10"/>
      <c r="DI69" s="10"/>
      <c r="DJ69" s="10"/>
      <c r="DK69" s="10"/>
      <c r="DL69" s="10"/>
    </row>
    <row r="70" spans="2:116" outlineLevel="1">
      <c r="B70" t="s">
        <v>28</v>
      </c>
      <c r="C70" t="s">
        <v>132</v>
      </c>
      <c r="E70" s="9"/>
      <c r="F70" t="s">
        <v>144</v>
      </c>
      <c r="G70" s="10"/>
      <c r="I70" s="9"/>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Q70" s="10"/>
      <c r="AR70" s="10"/>
      <c r="AS70" s="10"/>
      <c r="AT70" s="10"/>
      <c r="AX70" s="10"/>
      <c r="AY70" s="10">
        <v>0.5</v>
      </c>
      <c r="AZ70" s="10"/>
      <c r="BA70" s="10">
        <v>0.5</v>
      </c>
      <c r="BE70" s="10"/>
      <c r="BF70" s="10">
        <v>0.5</v>
      </c>
      <c r="BG70" s="10"/>
      <c r="BH70" s="10">
        <v>0.5</v>
      </c>
      <c r="BL70" s="10"/>
      <c r="BM70" s="10">
        <v>0.5</v>
      </c>
      <c r="BN70" s="10"/>
      <c r="BO70" s="10">
        <v>0.5</v>
      </c>
      <c r="BS70" s="10"/>
      <c r="BT70" s="10">
        <v>0.5</v>
      </c>
      <c r="BU70" s="10"/>
      <c r="BV70" s="10">
        <v>0.5</v>
      </c>
      <c r="BZ70" s="10"/>
      <c r="CA70" s="10">
        <v>0.8</v>
      </c>
      <c r="CB70" s="10"/>
      <c r="CC70" s="10">
        <v>0.8</v>
      </c>
      <c r="CG70" s="10"/>
      <c r="CH70" s="10">
        <v>0.8</v>
      </c>
      <c r="CI70" s="10"/>
      <c r="CJ70" s="10">
        <v>0.8</v>
      </c>
      <c r="CN70" s="10"/>
      <c r="CO70" s="10">
        <v>0.8</v>
      </c>
      <c r="CP70" s="10"/>
      <c r="CQ70" s="10">
        <v>0.8</v>
      </c>
      <c r="CU70" s="10"/>
      <c r="CV70" s="10">
        <v>0.8</v>
      </c>
      <c r="CW70" s="10"/>
      <c r="CX70" s="10">
        <v>0.8</v>
      </c>
      <c r="DB70" s="10"/>
      <c r="DC70" s="10"/>
      <c r="DD70" s="10"/>
      <c r="DE70" s="10"/>
      <c r="DI70" s="10"/>
      <c r="DJ70" s="10"/>
      <c r="DK70" s="10"/>
      <c r="DL70" s="10"/>
    </row>
    <row r="71" spans="2:116" outlineLevel="1">
      <c r="B71" t="s">
        <v>28</v>
      </c>
      <c r="C71" t="s">
        <v>132</v>
      </c>
      <c r="E71" s="9"/>
      <c r="F71" t="s">
        <v>145</v>
      </c>
      <c r="G71" s="10"/>
      <c r="I71" s="9"/>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v>0.5</v>
      </c>
      <c r="BG71" s="10"/>
      <c r="BH71" s="10">
        <v>0.5</v>
      </c>
      <c r="BL71" s="10"/>
      <c r="BM71" s="10">
        <v>0.5</v>
      </c>
      <c r="BN71" s="10"/>
      <c r="BO71" s="10">
        <v>0.5</v>
      </c>
      <c r="BS71" s="10"/>
      <c r="BT71" s="10">
        <v>0.5</v>
      </c>
      <c r="BU71" s="10"/>
      <c r="BV71" s="10">
        <v>0.5</v>
      </c>
      <c r="BZ71" s="10"/>
      <c r="CA71" s="10">
        <v>0.8</v>
      </c>
      <c r="CB71" s="10"/>
      <c r="CC71" s="10">
        <v>0.8</v>
      </c>
      <c r="CG71" s="10"/>
      <c r="CH71" s="10">
        <v>0.8</v>
      </c>
      <c r="CI71" s="10"/>
      <c r="CJ71" s="10">
        <v>0.8</v>
      </c>
      <c r="CN71" s="10"/>
      <c r="CO71" s="10">
        <v>0.8</v>
      </c>
      <c r="CP71" s="10"/>
      <c r="CQ71" s="10">
        <v>0.8</v>
      </c>
      <c r="CU71" s="10"/>
      <c r="CV71" s="10">
        <v>0.8</v>
      </c>
      <c r="CW71" s="10"/>
      <c r="CX71" s="10">
        <v>0.8</v>
      </c>
      <c r="DB71" s="10"/>
      <c r="DC71" s="10"/>
      <c r="DD71" s="10"/>
      <c r="DE71" s="10"/>
      <c r="DI71" s="10"/>
      <c r="DJ71" s="10"/>
      <c r="DK71" s="10"/>
      <c r="DL71" s="10"/>
    </row>
    <row r="72" spans="2:116" outlineLevel="1">
      <c r="B72" t="s">
        <v>28</v>
      </c>
      <c r="C72" t="s">
        <v>132</v>
      </c>
      <c r="E72" s="9"/>
      <c r="F72" t="s">
        <v>146</v>
      </c>
      <c r="G72" s="10"/>
      <c r="I72" s="9"/>
      <c r="J72" s="11" cm="1">
        <f t="array" ref="J72">MAX(IF($N$3:$EH$3=$J$3,N72:EH72))</f>
        <v>0</v>
      </c>
      <c r="K72" s="11" cm="1">
        <f t="array" ref="K72">MAX(IF($N$3:$EH$3=$J$3,N72:EH72))</f>
        <v>0</v>
      </c>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v>0.5</v>
      </c>
      <c r="BG72" s="10"/>
      <c r="BH72" s="10">
        <v>0.5</v>
      </c>
      <c r="BL72" s="10"/>
      <c r="BM72" s="10">
        <v>0.5</v>
      </c>
      <c r="BN72" s="10"/>
      <c r="BO72" s="10">
        <v>0.5</v>
      </c>
      <c r="BS72" s="10"/>
      <c r="BT72" s="10">
        <v>0.5</v>
      </c>
      <c r="BU72" s="10"/>
      <c r="BV72" s="10">
        <v>0.5</v>
      </c>
      <c r="BZ72" s="10"/>
      <c r="CA72" s="10">
        <v>0.8</v>
      </c>
      <c r="CB72" s="10"/>
      <c r="CC72" s="10">
        <v>0.8</v>
      </c>
      <c r="CG72" s="10"/>
      <c r="CH72" s="10">
        <v>0.8</v>
      </c>
      <c r="CI72" s="10"/>
      <c r="CJ72" s="10">
        <v>0.8</v>
      </c>
      <c r="CN72" s="10"/>
      <c r="CO72" s="10">
        <v>0.8</v>
      </c>
      <c r="CP72" s="10"/>
      <c r="CQ72" s="10">
        <v>0.8</v>
      </c>
      <c r="CU72" s="10"/>
      <c r="CV72" s="10">
        <v>0.8</v>
      </c>
      <c r="CW72" s="10"/>
      <c r="CX72" s="10">
        <v>0.8</v>
      </c>
      <c r="DB72" s="10"/>
      <c r="DC72" s="10"/>
      <c r="DD72" s="10"/>
      <c r="DE72" s="10"/>
      <c r="DI72" s="10"/>
      <c r="DJ72" s="10"/>
      <c r="DK72" s="10"/>
      <c r="DL72" s="10"/>
    </row>
    <row r="73" spans="2:116" outlineLevel="1">
      <c r="B73" t="s">
        <v>28</v>
      </c>
      <c r="C73" t="s">
        <v>132</v>
      </c>
      <c r="E73" s="9"/>
      <c r="F73" t="s">
        <v>147</v>
      </c>
      <c r="G73" s="10"/>
      <c r="I73" s="9">
        <f t="shared" si="3"/>
        <v>0</v>
      </c>
      <c r="J73" s="11" cm="1">
        <f t="array" ref="J73">MAX(IF($N$3:$EH$3=$J$3,N73:EH73))</f>
        <v>0</v>
      </c>
      <c r="K73" s="11" cm="1">
        <f t="array" ref="K73">MAX(IF($N$3:$EH$3=$J$3,N73:EH73))</f>
        <v>0</v>
      </c>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v>0.5</v>
      </c>
      <c r="BG73" s="10"/>
      <c r="BH73" s="10">
        <v>0.5</v>
      </c>
      <c r="BL73" s="10"/>
      <c r="BM73" s="10">
        <v>0.5</v>
      </c>
      <c r="BN73" s="10"/>
      <c r="BO73" s="10">
        <v>0.5</v>
      </c>
      <c r="BS73" s="10"/>
      <c r="BT73" s="10">
        <v>0.5</v>
      </c>
      <c r="BU73" s="10"/>
      <c r="BV73" s="10">
        <v>0.5</v>
      </c>
      <c r="BZ73" s="10"/>
      <c r="CA73" s="10">
        <v>0.8</v>
      </c>
      <c r="CB73" s="10"/>
      <c r="CC73" s="10">
        <v>0.8</v>
      </c>
      <c r="CG73" s="10"/>
      <c r="CH73" s="10">
        <v>0.8</v>
      </c>
      <c r="CI73" s="10"/>
      <c r="CJ73" s="10">
        <v>0.8</v>
      </c>
      <c r="CN73" s="10"/>
      <c r="CO73" s="10">
        <v>0.8</v>
      </c>
      <c r="CP73" s="10"/>
      <c r="CQ73" s="10">
        <v>0.8</v>
      </c>
      <c r="CU73" s="10"/>
      <c r="CV73" s="10">
        <v>0.8</v>
      </c>
      <c r="CW73" s="10"/>
      <c r="CX73" s="10">
        <v>0.8</v>
      </c>
      <c r="DB73" s="10"/>
      <c r="DC73" s="10"/>
      <c r="DD73" s="10"/>
      <c r="DE73" s="10"/>
      <c r="DI73" s="10"/>
      <c r="DJ73" s="10"/>
      <c r="DK73" s="10"/>
      <c r="DL73" s="10"/>
    </row>
    <row r="75" spans="2:116">
      <c r="B75" t="s">
        <v>27</v>
      </c>
      <c r="C75" t="s">
        <v>148</v>
      </c>
      <c r="D75" s="19">
        <v>45146</v>
      </c>
      <c r="E75" s="9">
        <v>2</v>
      </c>
      <c r="G75" s="10"/>
      <c r="I75" s="12">
        <f>+SUM(I76:I86)</f>
        <v>0</v>
      </c>
      <c r="J75" s="11">
        <f>+SUMPRODUCT(G76:G86,J76:J86)</f>
        <v>0</v>
      </c>
      <c r="K75" s="11">
        <f>+SUMPRODUCT(G76:G86,K76:K86)</f>
        <v>0</v>
      </c>
      <c r="L75" s="9"/>
      <c r="N75" s="12"/>
      <c r="U75" s="12"/>
      <c r="AB75" s="12"/>
      <c r="AI75" s="12"/>
      <c r="AP75" s="12"/>
      <c r="CV75" s="10"/>
      <c r="CX75" s="10"/>
    </row>
    <row r="76" spans="2:116" outlineLevel="1">
      <c r="B76" t="s">
        <v>28</v>
      </c>
      <c r="C76" t="s">
        <v>148</v>
      </c>
      <c r="E76" s="9"/>
      <c r="F76" t="s">
        <v>30</v>
      </c>
      <c r="G76" s="10"/>
      <c r="I76" s="9">
        <f t="shared" ref="I76:I86" si="4">+SUMIF($N$3:$ZZ$3,I$3,$N76:$ZZ76)</f>
        <v>0</v>
      </c>
      <c r="J76" s="11" cm="1">
        <f t="array" ref="J76">MAX(IF($N$3:$EH$3=$J$3,N76:EH76))</f>
        <v>0</v>
      </c>
      <c r="K76" s="11" cm="1">
        <f t="array" ref="K76">MAX(IF($N$3:$EH$3=$J$3,N76:EH76))</f>
        <v>0</v>
      </c>
      <c r="L76" s="9"/>
      <c r="O76" s="10"/>
      <c r="P76" s="10"/>
      <c r="Q76" s="10"/>
      <c r="R76" s="10">
        <v>0.5</v>
      </c>
      <c r="V76" s="10"/>
      <c r="W76" s="10"/>
      <c r="X76" s="10"/>
      <c r="Y76" s="10">
        <v>0.5</v>
      </c>
      <c r="AC76" s="10"/>
      <c r="AD76" s="10"/>
      <c r="AE76" s="10"/>
      <c r="AF76" s="10">
        <v>0.5</v>
      </c>
      <c r="AJ76" s="10"/>
      <c r="AK76" s="10">
        <v>0.5</v>
      </c>
      <c r="AL76" s="10"/>
      <c r="AM76" s="10">
        <v>0.5</v>
      </c>
      <c r="AQ76" s="10"/>
      <c r="AR76" s="10">
        <v>0.5</v>
      </c>
      <c r="AS76" s="10"/>
      <c r="AT76" s="10">
        <v>0.5</v>
      </c>
      <c r="AX76" s="10"/>
      <c r="AY76" s="10">
        <v>0.5</v>
      </c>
      <c r="AZ76" s="10"/>
      <c r="BA76" s="10">
        <v>0.5</v>
      </c>
      <c r="BE76" s="10"/>
      <c r="BF76" s="10">
        <v>0.8</v>
      </c>
      <c r="BG76" s="10"/>
      <c r="BH76" s="10">
        <v>0.8</v>
      </c>
      <c r="BL76" s="10"/>
      <c r="BM76" s="10">
        <v>0.8</v>
      </c>
      <c r="BN76" s="10"/>
      <c r="BO76" s="10">
        <v>0.8</v>
      </c>
      <c r="BS76" s="10"/>
      <c r="BT76" s="10">
        <v>0.8</v>
      </c>
      <c r="BU76" s="10"/>
      <c r="BV76" s="10">
        <v>0.8</v>
      </c>
      <c r="BZ76" s="10"/>
      <c r="CA76" s="10">
        <v>1</v>
      </c>
      <c r="CB76" s="10"/>
      <c r="CC76" s="10">
        <v>1</v>
      </c>
      <c r="CG76" s="10"/>
      <c r="CH76" s="10">
        <v>1</v>
      </c>
      <c r="CI76" s="10"/>
      <c r="CJ76" s="10">
        <v>1</v>
      </c>
      <c r="CN76" s="10"/>
      <c r="CO76" s="10">
        <v>1</v>
      </c>
      <c r="CP76" s="10"/>
      <c r="CQ76" s="10">
        <v>1</v>
      </c>
      <c r="CU76" s="10"/>
      <c r="CV76" s="10">
        <v>1</v>
      </c>
      <c r="CW76" s="21"/>
      <c r="CX76" s="10">
        <v>1</v>
      </c>
      <c r="DB76" s="10"/>
      <c r="DC76" s="10"/>
      <c r="DD76" s="10"/>
      <c r="DE76" s="10"/>
      <c r="DI76" s="10"/>
      <c r="DJ76" s="10"/>
      <c r="DK76" s="10"/>
      <c r="DL76" s="10"/>
    </row>
    <row r="77" spans="2:116" outlineLevel="1">
      <c r="B77" t="s">
        <v>28</v>
      </c>
      <c r="C77" t="s">
        <v>148</v>
      </c>
      <c r="E77" s="9"/>
      <c r="F77" t="s">
        <v>153</v>
      </c>
      <c r="G77" s="10"/>
      <c r="I77" s="9">
        <f t="shared" si="4"/>
        <v>0</v>
      </c>
      <c r="J77" s="11" cm="1">
        <f t="array" ref="J77">MAX(IF($N$3:$EH$3=$J$3,N77:EH77))</f>
        <v>0</v>
      </c>
      <c r="K77" s="11" cm="1">
        <f t="array" ref="K77">MAX(IF($N$3:$EH$3=$J$3,N77:EH77))</f>
        <v>0</v>
      </c>
      <c r="L77" s="9"/>
      <c r="O77" s="10"/>
      <c r="P77" s="10"/>
      <c r="Q77" s="10"/>
      <c r="R77" s="10"/>
      <c r="V77" s="10"/>
      <c r="W77" s="10"/>
      <c r="X77" s="10"/>
      <c r="Y77" s="10">
        <v>0.5</v>
      </c>
      <c r="AC77" s="10"/>
      <c r="AD77" s="10"/>
      <c r="AE77" s="10"/>
      <c r="AF77" s="10">
        <v>0.5</v>
      </c>
      <c r="AJ77" s="10"/>
      <c r="AK77" s="10">
        <v>0.5</v>
      </c>
      <c r="AL77" s="10"/>
      <c r="AM77" s="10">
        <v>0.5</v>
      </c>
      <c r="AQ77" s="10"/>
      <c r="AR77" s="10">
        <v>0.5</v>
      </c>
      <c r="AS77" s="10"/>
      <c r="AT77" s="10">
        <v>0.5</v>
      </c>
      <c r="AX77" s="10"/>
      <c r="AY77" s="10">
        <v>0.5</v>
      </c>
      <c r="AZ77" s="10"/>
      <c r="BA77" s="10">
        <v>0.5</v>
      </c>
      <c r="BE77" s="10"/>
      <c r="BF77" s="10">
        <v>0.8</v>
      </c>
      <c r="BG77" s="10"/>
      <c r="BH77" s="10">
        <v>0.8</v>
      </c>
      <c r="BL77" s="10"/>
      <c r="BM77" s="10">
        <v>0.8</v>
      </c>
      <c r="BN77" s="10"/>
      <c r="BO77" s="10">
        <v>0.8</v>
      </c>
      <c r="BS77" s="10"/>
      <c r="BT77" s="10">
        <v>0.8</v>
      </c>
      <c r="BU77" s="10"/>
      <c r="BV77" s="10">
        <v>0.8</v>
      </c>
      <c r="BZ77" s="10"/>
      <c r="CA77" s="10">
        <v>1</v>
      </c>
      <c r="CB77" s="10"/>
      <c r="CC77" s="10">
        <v>1</v>
      </c>
      <c r="CG77" s="10"/>
      <c r="CH77" s="10">
        <v>1</v>
      </c>
      <c r="CI77" s="10"/>
      <c r="CJ77" s="10">
        <v>1</v>
      </c>
      <c r="CN77" s="10"/>
      <c r="CO77" s="10">
        <v>1</v>
      </c>
      <c r="CP77" s="10"/>
      <c r="CQ77" s="10">
        <v>1</v>
      </c>
      <c r="CU77" s="10"/>
      <c r="CV77" s="10">
        <v>1</v>
      </c>
      <c r="CW77" s="10"/>
      <c r="CX77" s="10">
        <v>1</v>
      </c>
      <c r="DB77" s="10"/>
      <c r="DC77" s="10"/>
      <c r="DD77" s="10"/>
      <c r="DE77" s="10"/>
      <c r="DI77" s="10"/>
      <c r="DJ77" s="10"/>
      <c r="DK77" s="10"/>
      <c r="DL77" s="10"/>
    </row>
    <row r="78" spans="2:116" outlineLevel="1">
      <c r="B78" t="s">
        <v>28</v>
      </c>
      <c r="C78" t="s">
        <v>148</v>
      </c>
      <c r="E78" s="9"/>
      <c r="F78" t="s">
        <v>152</v>
      </c>
      <c r="G78" s="10"/>
      <c r="I78" s="9">
        <f t="shared" si="4"/>
        <v>0</v>
      </c>
      <c r="J78" s="11" cm="1">
        <f t="array" ref="J78">MAX(IF($N$3:$EH$3=$J$3,N78:EH78))</f>
        <v>0</v>
      </c>
      <c r="K78" s="11" cm="1">
        <f t="array" ref="K78">MAX(IF($N$3:$EH$3=$J$3,N78:EH78))</f>
        <v>0</v>
      </c>
      <c r="L78" s="9"/>
      <c r="O78" s="10"/>
      <c r="P78" s="10"/>
      <c r="Q78" s="10"/>
      <c r="R78" s="10"/>
      <c r="V78" s="10"/>
      <c r="W78" s="10"/>
      <c r="X78" s="10"/>
      <c r="Y78" s="10">
        <v>0.5</v>
      </c>
      <c r="AC78" s="10"/>
      <c r="AD78" s="10"/>
      <c r="AE78" s="10"/>
      <c r="AF78" s="10">
        <v>0.5</v>
      </c>
      <c r="AJ78" s="10"/>
      <c r="AK78" s="10">
        <v>0.5</v>
      </c>
      <c r="AL78" s="10"/>
      <c r="AM78" s="10">
        <v>0.5</v>
      </c>
      <c r="AQ78" s="10"/>
      <c r="AR78" s="10">
        <v>0.5</v>
      </c>
      <c r="AS78" s="10"/>
      <c r="AT78" s="10">
        <v>0.5</v>
      </c>
      <c r="AX78" s="10"/>
      <c r="AY78" s="10">
        <v>0.5</v>
      </c>
      <c r="AZ78" s="10"/>
      <c r="BA78" s="10">
        <v>0.5</v>
      </c>
      <c r="BE78" s="10"/>
      <c r="BF78" s="10">
        <v>0.5</v>
      </c>
      <c r="BG78" s="10"/>
      <c r="BH78" s="10">
        <v>0.5</v>
      </c>
      <c r="BL78" s="10"/>
      <c r="BM78" s="10">
        <v>0.8</v>
      </c>
      <c r="BN78" s="10"/>
      <c r="BO78" s="10">
        <v>0.8</v>
      </c>
      <c r="BS78" s="10"/>
      <c r="BT78" s="10">
        <v>0.8</v>
      </c>
      <c r="BU78" s="10"/>
      <c r="BV78" s="10">
        <v>0.8</v>
      </c>
      <c r="BZ78" s="10"/>
      <c r="CA78" s="10">
        <v>0.8</v>
      </c>
      <c r="CB78" s="10"/>
      <c r="CC78" s="10">
        <v>0.8</v>
      </c>
      <c r="CG78" s="10"/>
      <c r="CH78" s="10">
        <v>1</v>
      </c>
      <c r="CI78" s="10"/>
      <c r="CJ78" s="10">
        <v>1</v>
      </c>
      <c r="CN78" s="10"/>
      <c r="CO78" s="10">
        <v>1</v>
      </c>
      <c r="CP78" s="10"/>
      <c r="CQ78" s="10">
        <v>1</v>
      </c>
      <c r="CU78" s="10"/>
      <c r="CV78" s="10">
        <v>1</v>
      </c>
      <c r="CW78" s="10"/>
      <c r="CX78" s="10">
        <v>1</v>
      </c>
      <c r="DB78" s="10"/>
      <c r="DC78" s="10"/>
      <c r="DD78" s="10"/>
      <c r="DE78" s="10"/>
      <c r="DI78" s="10"/>
      <c r="DJ78" s="10"/>
      <c r="DK78" s="10"/>
      <c r="DL78" s="10"/>
    </row>
    <row r="79" spans="2:116" outlineLevel="1">
      <c r="B79" t="s">
        <v>28</v>
      </c>
      <c r="C79" t="s">
        <v>148</v>
      </c>
      <c r="E79" s="9"/>
      <c r="G79" s="10"/>
      <c r="I79" s="9">
        <f t="shared" si="4"/>
        <v>0</v>
      </c>
      <c r="J79" s="11" cm="1">
        <f t="array" ref="J79">MAX(IF($N$3:$EH$3=$J$3,N79:EH79))</f>
        <v>0</v>
      </c>
      <c r="K79" s="11" cm="1">
        <f t="array" ref="K79">MAX(IF($N$3:$EH$3=$J$3,N79:EH79))</f>
        <v>0</v>
      </c>
      <c r="L79" s="9"/>
      <c r="O79" s="10"/>
      <c r="P79" s="10"/>
      <c r="Q79" s="10"/>
      <c r="R79" s="10"/>
      <c r="V79" s="10"/>
      <c r="W79" s="10"/>
      <c r="X79" s="10"/>
      <c r="Y79" s="10"/>
      <c r="AC79" s="10"/>
      <c r="AD79" s="10"/>
      <c r="AE79" s="10"/>
      <c r="AF79" s="10">
        <v>0.5</v>
      </c>
      <c r="AJ79" s="10"/>
      <c r="AK79" s="10">
        <v>0.5</v>
      </c>
      <c r="AL79" s="10"/>
      <c r="AM79" s="10">
        <v>0.5</v>
      </c>
      <c r="AQ79" s="10"/>
      <c r="AR79" s="10">
        <v>0.5</v>
      </c>
      <c r="AS79" s="10"/>
      <c r="AT79" s="10">
        <v>0.5</v>
      </c>
      <c r="AX79" s="10"/>
      <c r="AY79" s="10">
        <v>0.5</v>
      </c>
      <c r="AZ79" s="10"/>
      <c r="BA79" s="10">
        <v>0.5</v>
      </c>
      <c r="BE79" s="10"/>
      <c r="BF79" s="10">
        <v>0.5</v>
      </c>
      <c r="BG79" s="10"/>
      <c r="BH79" s="10">
        <v>0.5</v>
      </c>
      <c r="BL79" s="10"/>
      <c r="BM79" s="10">
        <v>0.8</v>
      </c>
      <c r="BN79" s="10"/>
      <c r="BO79" s="10">
        <v>0.8</v>
      </c>
      <c r="BS79" s="10"/>
      <c r="BT79" s="10">
        <v>0.8</v>
      </c>
      <c r="BU79" s="10"/>
      <c r="BV79" s="10">
        <v>0.8</v>
      </c>
      <c r="BZ79" s="10"/>
      <c r="CA79" s="10">
        <v>0.8</v>
      </c>
      <c r="CB79" s="10"/>
      <c r="CC79" s="10">
        <v>0.8</v>
      </c>
      <c r="CG79" s="10"/>
      <c r="CH79" s="10">
        <v>1</v>
      </c>
      <c r="CI79" s="10"/>
      <c r="CJ79" s="10">
        <v>1</v>
      </c>
      <c r="CN79" s="10"/>
      <c r="CO79" s="10">
        <v>1</v>
      </c>
      <c r="CP79" s="10"/>
      <c r="CQ79" s="10">
        <v>1</v>
      </c>
      <c r="CU79" s="10"/>
      <c r="CV79" s="10">
        <v>1</v>
      </c>
      <c r="CW79" s="10"/>
      <c r="CX79" s="10">
        <v>1</v>
      </c>
      <c r="DB79" s="10"/>
      <c r="DC79" s="10"/>
      <c r="DD79" s="10"/>
      <c r="DE79" s="10"/>
      <c r="DI79" s="10"/>
      <c r="DJ79" s="10"/>
      <c r="DK79" s="10"/>
      <c r="DL79" s="10"/>
    </row>
    <row r="80" spans="2:116" outlineLevel="1">
      <c r="B80" t="s">
        <v>28</v>
      </c>
      <c r="C80" t="s">
        <v>148</v>
      </c>
      <c r="E80" s="9"/>
      <c r="G80" s="10"/>
      <c r="I80" s="9">
        <f t="shared" si="4"/>
        <v>0</v>
      </c>
      <c r="J80" s="11" cm="1">
        <f t="array" ref="J80">MAX(IF($N$3:$EH$3=$J$3,N80:EH80))</f>
        <v>0</v>
      </c>
      <c r="K80" s="11" cm="1">
        <f t="array" ref="K80">MAX(IF($N$3:$EH$3=$J$3,N80:EH80))</f>
        <v>0</v>
      </c>
      <c r="L80" s="9"/>
      <c r="O80" s="10"/>
      <c r="P80" s="10"/>
      <c r="Q80" s="10"/>
      <c r="R80" s="10"/>
      <c r="V80" s="10"/>
      <c r="W80" s="10"/>
      <c r="X80" s="10"/>
      <c r="Y80" s="10"/>
      <c r="AC80" s="10"/>
      <c r="AD80" s="10"/>
      <c r="AE80" s="10"/>
      <c r="AF80" s="10">
        <v>0.5</v>
      </c>
      <c r="AJ80" s="10"/>
      <c r="AK80" s="10">
        <v>0.5</v>
      </c>
      <c r="AL80" s="10"/>
      <c r="AM80" s="10">
        <v>0.5</v>
      </c>
      <c r="AQ80" s="10"/>
      <c r="AR80" s="10">
        <v>0.5</v>
      </c>
      <c r="AS80" s="10"/>
      <c r="AT80" s="10">
        <v>0.5</v>
      </c>
      <c r="AX80" s="10"/>
      <c r="AY80" s="10">
        <v>0.5</v>
      </c>
      <c r="AZ80" s="10"/>
      <c r="BA80" s="10">
        <v>0.5</v>
      </c>
      <c r="BE80" s="10"/>
      <c r="BF80" s="10">
        <v>0.5</v>
      </c>
      <c r="BG80" s="10"/>
      <c r="BH80" s="10">
        <v>0.5</v>
      </c>
      <c r="BL80" s="10"/>
      <c r="BM80" s="10">
        <v>0.8</v>
      </c>
      <c r="BN80" s="10"/>
      <c r="BO80" s="10">
        <v>0.8</v>
      </c>
      <c r="BS80" s="10"/>
      <c r="BT80" s="10">
        <v>0.8</v>
      </c>
      <c r="BU80" s="10"/>
      <c r="BV80" s="10">
        <v>0.8</v>
      </c>
      <c r="BZ80" s="10"/>
      <c r="CA80" s="10">
        <v>0.8</v>
      </c>
      <c r="CB80" s="10"/>
      <c r="CC80" s="10">
        <v>0.8</v>
      </c>
      <c r="CG80" s="10"/>
      <c r="CH80" s="10">
        <v>1</v>
      </c>
      <c r="CI80" s="10"/>
      <c r="CJ80" s="10">
        <v>1</v>
      </c>
      <c r="CN80" s="10"/>
      <c r="CO80" s="10">
        <v>1</v>
      </c>
      <c r="CP80" s="10"/>
      <c r="CQ80" s="10">
        <v>1</v>
      </c>
      <c r="CU80" s="10"/>
      <c r="CV80" s="10">
        <v>1</v>
      </c>
      <c r="CW80" s="10"/>
      <c r="CX80" s="10">
        <v>1</v>
      </c>
      <c r="DB80" s="10"/>
      <c r="DC80" s="10"/>
      <c r="DD80" s="10"/>
      <c r="DE80" s="10"/>
      <c r="DI80" s="10"/>
      <c r="DJ80" s="10"/>
      <c r="DK80" s="10"/>
      <c r="DL80" s="10"/>
    </row>
    <row r="81" spans="2:116" outlineLevel="1">
      <c r="B81" t="s">
        <v>28</v>
      </c>
      <c r="C81" t="s">
        <v>148</v>
      </c>
      <c r="E81" s="9"/>
      <c r="G81" s="10"/>
      <c r="I81" s="9">
        <f t="shared" si="4"/>
        <v>0</v>
      </c>
      <c r="J81" s="11" cm="1">
        <f t="array" ref="J81">MAX(IF($N$3:$EH$3=$J$3,N81:EH81))</f>
        <v>0</v>
      </c>
      <c r="K81" s="11" cm="1">
        <f t="array" ref="K81">MAX(IF($N$3:$EH$3=$J$3,N81:EH81))</f>
        <v>0</v>
      </c>
      <c r="L81" s="9"/>
      <c r="O81" s="10"/>
      <c r="P81" s="10"/>
      <c r="Q81" s="10"/>
      <c r="R81" s="10"/>
      <c r="V81" s="10"/>
      <c r="W81" s="10"/>
      <c r="X81" s="10"/>
      <c r="Y81" s="10"/>
      <c r="AC81" s="10"/>
      <c r="AD81" s="10"/>
      <c r="AE81" s="10"/>
      <c r="AF81" s="10"/>
      <c r="AJ81" s="10"/>
      <c r="AK81" s="10">
        <v>0.5</v>
      </c>
      <c r="AL81" s="10"/>
      <c r="AM81" s="10">
        <v>0.5</v>
      </c>
      <c r="AQ81" s="10"/>
      <c r="AR81" s="10">
        <v>0.5</v>
      </c>
      <c r="AS81" s="10"/>
      <c r="AT81" s="10">
        <v>0.5</v>
      </c>
      <c r="AX81" s="10"/>
      <c r="AY81" s="10">
        <v>0.5</v>
      </c>
      <c r="AZ81" s="10"/>
      <c r="BA81" s="10">
        <v>0.5</v>
      </c>
      <c r="BE81" s="10"/>
      <c r="BF81" s="10">
        <v>0.5</v>
      </c>
      <c r="BG81" s="10"/>
      <c r="BH81" s="10">
        <v>0.5</v>
      </c>
      <c r="BL81" s="10"/>
      <c r="BM81" s="10">
        <v>0.5</v>
      </c>
      <c r="BN81" s="10"/>
      <c r="BO81" s="10">
        <v>0.5</v>
      </c>
      <c r="BS81" s="10"/>
      <c r="BT81" s="10">
        <v>0.8</v>
      </c>
      <c r="BU81" s="10"/>
      <c r="BV81" s="10">
        <v>0.8</v>
      </c>
      <c r="BZ81" s="10"/>
      <c r="CA81" s="10">
        <v>0.8</v>
      </c>
      <c r="CB81" s="10"/>
      <c r="CC81" s="10">
        <v>0.8</v>
      </c>
      <c r="CG81" s="10"/>
      <c r="CH81" s="10">
        <v>0.8</v>
      </c>
      <c r="CI81" s="10"/>
      <c r="CJ81" s="10">
        <v>0.8</v>
      </c>
      <c r="CN81" s="10"/>
      <c r="CO81" s="10">
        <v>1</v>
      </c>
      <c r="CP81" s="10"/>
      <c r="CQ81" s="10">
        <v>1</v>
      </c>
      <c r="CU81" s="10"/>
      <c r="CV81" s="10">
        <v>1</v>
      </c>
      <c r="CW81" s="10"/>
      <c r="CX81" s="10">
        <v>1</v>
      </c>
      <c r="DB81" s="10"/>
      <c r="DC81" s="10"/>
      <c r="DD81" s="10"/>
      <c r="DE81" s="10"/>
      <c r="DI81" s="10"/>
      <c r="DJ81" s="10"/>
      <c r="DK81" s="10"/>
      <c r="DL81" s="10"/>
    </row>
    <row r="82" spans="2:116" outlineLevel="1">
      <c r="B82" t="s">
        <v>28</v>
      </c>
      <c r="C82" t="s">
        <v>148</v>
      </c>
      <c r="E82" s="9"/>
      <c r="G82" s="10"/>
      <c r="I82" s="9">
        <f t="shared" si="4"/>
        <v>0</v>
      </c>
      <c r="J82" s="11" cm="1">
        <f t="array" ref="J82">MAX(IF($N$3:$EH$3=$J$3,N82:EH82))</f>
        <v>0</v>
      </c>
      <c r="K82" s="11" cm="1">
        <f t="array" ref="K82">MAX(IF($N$3:$EH$3=$J$3,N82:EH82))</f>
        <v>0</v>
      </c>
      <c r="L82" s="9"/>
      <c r="O82" s="10"/>
      <c r="P82" s="10"/>
      <c r="Q82" s="10"/>
      <c r="R82" s="10"/>
      <c r="V82" s="10"/>
      <c r="W82" s="10"/>
      <c r="X82" s="10"/>
      <c r="Y82" s="10"/>
      <c r="AC82" s="10"/>
      <c r="AD82" s="10"/>
      <c r="AE82" s="10"/>
      <c r="AF82" s="10"/>
      <c r="AJ82" s="10"/>
      <c r="AK82" s="10">
        <v>0.5</v>
      </c>
      <c r="AL82" s="10"/>
      <c r="AM82" s="10">
        <v>0.5</v>
      </c>
      <c r="AQ82" s="10"/>
      <c r="AR82" s="10">
        <v>0.5</v>
      </c>
      <c r="AS82" s="10"/>
      <c r="AT82" s="10">
        <v>0.5</v>
      </c>
      <c r="AX82" s="10"/>
      <c r="AY82" s="10">
        <v>0.5</v>
      </c>
      <c r="AZ82" s="10"/>
      <c r="BA82" s="10">
        <v>0.5</v>
      </c>
      <c r="BE82" s="10"/>
      <c r="BF82" s="10">
        <v>0.5</v>
      </c>
      <c r="BG82" s="10"/>
      <c r="BH82" s="10">
        <v>0.5</v>
      </c>
      <c r="BL82" s="10"/>
      <c r="BM82" s="10">
        <v>0.5</v>
      </c>
      <c r="BN82" s="10"/>
      <c r="BO82" s="10">
        <v>0.5</v>
      </c>
      <c r="BS82" s="10"/>
      <c r="BT82" s="10">
        <v>0.8</v>
      </c>
      <c r="BU82" s="10"/>
      <c r="BV82" s="10">
        <v>0.8</v>
      </c>
      <c r="BZ82" s="10"/>
      <c r="CA82" s="10">
        <v>0.8</v>
      </c>
      <c r="CB82" s="10"/>
      <c r="CC82" s="10">
        <v>0.8</v>
      </c>
      <c r="CG82" s="10"/>
      <c r="CH82" s="10">
        <v>0.8</v>
      </c>
      <c r="CI82" s="10"/>
      <c r="CJ82" s="10">
        <v>0.8</v>
      </c>
      <c r="CN82" s="10"/>
      <c r="CO82" s="10">
        <v>1</v>
      </c>
      <c r="CP82" s="10"/>
      <c r="CQ82" s="10">
        <v>1</v>
      </c>
      <c r="CU82" s="10"/>
      <c r="CV82" s="10">
        <v>1</v>
      </c>
      <c r="CW82" s="10"/>
      <c r="CX82" s="10">
        <v>1</v>
      </c>
      <c r="DB82" s="10"/>
      <c r="DC82" s="10"/>
      <c r="DD82" s="10"/>
      <c r="DE82" s="10"/>
      <c r="DI82" s="10"/>
      <c r="DJ82" s="10"/>
      <c r="DK82" s="10"/>
      <c r="DL82" s="10"/>
    </row>
    <row r="83" spans="2:116" outlineLevel="1">
      <c r="B83" t="s">
        <v>28</v>
      </c>
      <c r="C83" t="s">
        <v>148</v>
      </c>
      <c r="E83" s="9"/>
      <c r="G83" s="10"/>
      <c r="I83" s="9">
        <f t="shared" si="4"/>
        <v>0</v>
      </c>
      <c r="J83" s="11" cm="1">
        <f t="array" ref="J83">MAX(IF($N$3:$EH$3=$J$3,N83:EH83))</f>
        <v>0</v>
      </c>
      <c r="K83" s="11" cm="1">
        <f t="array" ref="K83">MAX(IF($N$3:$EH$3=$J$3,N83:EH83))</f>
        <v>0</v>
      </c>
      <c r="L83" s="9"/>
      <c r="O83" s="10"/>
      <c r="P83" s="10"/>
      <c r="Q83" s="10"/>
      <c r="R83" s="10"/>
      <c r="V83" s="10"/>
      <c r="W83" s="10"/>
      <c r="X83" s="10"/>
      <c r="Y83" s="10"/>
      <c r="AC83" s="10"/>
      <c r="AD83" s="10"/>
      <c r="AE83" s="10"/>
      <c r="AF83" s="10"/>
      <c r="AJ83" s="10"/>
      <c r="AK83" s="10"/>
      <c r="AL83" s="10"/>
      <c r="AM83" s="10"/>
      <c r="AQ83" s="10"/>
      <c r="AR83" s="10">
        <v>0.5</v>
      </c>
      <c r="AS83" s="10"/>
      <c r="AT83" s="10">
        <v>0.5</v>
      </c>
      <c r="AX83" s="10"/>
      <c r="AY83" s="10">
        <v>0.5</v>
      </c>
      <c r="AZ83" s="10"/>
      <c r="BA83" s="10">
        <v>0.5</v>
      </c>
      <c r="BE83" s="10"/>
      <c r="BF83" s="10">
        <v>0.5</v>
      </c>
      <c r="BG83" s="10"/>
      <c r="BH83" s="10">
        <v>0.5</v>
      </c>
      <c r="BL83" s="10"/>
      <c r="BM83" s="10">
        <v>0.5</v>
      </c>
      <c r="BN83" s="10"/>
      <c r="BO83" s="10">
        <v>0.5</v>
      </c>
      <c r="BS83" s="10"/>
      <c r="BT83" s="10">
        <v>0.8</v>
      </c>
      <c r="BU83" s="10"/>
      <c r="BV83" s="10">
        <v>0.8</v>
      </c>
      <c r="BZ83" s="10"/>
      <c r="CA83" s="10">
        <v>0.8</v>
      </c>
      <c r="CB83" s="10"/>
      <c r="CC83" s="10">
        <v>0.8</v>
      </c>
      <c r="CG83" s="10"/>
      <c r="CH83" s="10">
        <v>0.8</v>
      </c>
      <c r="CI83" s="10"/>
      <c r="CJ83" s="10">
        <v>0.8</v>
      </c>
      <c r="CN83" s="10"/>
      <c r="CO83" s="10">
        <v>1</v>
      </c>
      <c r="CP83" s="10"/>
      <c r="CQ83" s="10">
        <v>1</v>
      </c>
      <c r="CU83" s="10"/>
      <c r="CV83" s="10">
        <v>1</v>
      </c>
      <c r="CW83" s="10"/>
      <c r="CX83" s="10">
        <v>1</v>
      </c>
      <c r="DB83" s="10"/>
      <c r="DC83" s="10"/>
      <c r="DD83" s="10"/>
      <c r="DE83" s="10"/>
      <c r="DI83" s="10"/>
      <c r="DJ83" s="10"/>
      <c r="DK83" s="10"/>
      <c r="DL83" s="10"/>
    </row>
    <row r="84" spans="2:116" outlineLevel="1">
      <c r="B84" t="s">
        <v>28</v>
      </c>
      <c r="C84" t="s">
        <v>148</v>
      </c>
      <c r="E84" s="9"/>
      <c r="G84" s="10"/>
      <c r="I84" s="9">
        <f t="shared" si="4"/>
        <v>0</v>
      </c>
      <c r="J84" s="11" cm="1">
        <f t="array" ref="J84">MAX(IF($N$3:$EH$3=$J$3,N84:EH84))</f>
        <v>0</v>
      </c>
      <c r="K84" s="11" cm="1">
        <f t="array" ref="K84">MAX(IF($N$3:$EH$3=$J$3,N84:EH84))</f>
        <v>0</v>
      </c>
      <c r="L84" s="9"/>
      <c r="O84" s="10"/>
      <c r="P84" s="10"/>
      <c r="Q84" s="10"/>
      <c r="R84" s="10"/>
      <c r="V84" s="10"/>
      <c r="W84" s="10"/>
      <c r="X84" s="10"/>
      <c r="Y84" s="10"/>
      <c r="AC84" s="10"/>
      <c r="AD84" s="10"/>
      <c r="AE84" s="10"/>
      <c r="AF84" s="10"/>
      <c r="AJ84" s="10"/>
      <c r="AK84" s="10"/>
      <c r="AL84" s="10"/>
      <c r="AM84" s="10"/>
      <c r="AQ84" s="10"/>
      <c r="AR84" s="10">
        <v>0.5</v>
      </c>
      <c r="AS84" s="10"/>
      <c r="AT84" s="10">
        <v>0.5</v>
      </c>
      <c r="AX84" s="10"/>
      <c r="AY84" s="10">
        <v>0.5</v>
      </c>
      <c r="AZ84" s="10"/>
      <c r="BA84" s="10">
        <v>0.5</v>
      </c>
      <c r="BE84" s="10"/>
      <c r="BF84" s="10">
        <v>0.5</v>
      </c>
      <c r="BG84" s="10"/>
      <c r="BH84" s="10">
        <v>0.5</v>
      </c>
      <c r="BL84" s="10"/>
      <c r="BM84" s="10">
        <v>0.5</v>
      </c>
      <c r="BN84" s="10"/>
      <c r="BO84" s="10">
        <v>0.5</v>
      </c>
      <c r="BS84" s="10"/>
      <c r="BT84" s="10">
        <v>0.5</v>
      </c>
      <c r="BU84" s="10"/>
      <c r="BV84" s="10">
        <v>0.5</v>
      </c>
      <c r="BZ84" s="10"/>
      <c r="CA84" s="10">
        <v>0.8</v>
      </c>
      <c r="CB84" s="10"/>
      <c r="CC84" s="10">
        <v>0.8</v>
      </c>
      <c r="CG84" s="10"/>
      <c r="CH84" s="10">
        <v>0.8</v>
      </c>
      <c r="CI84" s="10"/>
      <c r="CJ84" s="10">
        <v>0.8</v>
      </c>
      <c r="CN84" s="10"/>
      <c r="CO84" s="10">
        <v>0.8</v>
      </c>
      <c r="CP84" s="10"/>
      <c r="CQ84" s="10">
        <v>0.8</v>
      </c>
      <c r="CU84" s="10"/>
      <c r="CV84" s="10">
        <v>1</v>
      </c>
      <c r="CW84" s="10"/>
      <c r="CX84" s="10">
        <v>1</v>
      </c>
      <c r="DB84" s="10"/>
      <c r="DC84" s="10"/>
      <c r="DD84" s="10"/>
      <c r="DE84" s="10"/>
      <c r="DI84" s="10"/>
      <c r="DJ84" s="10"/>
      <c r="DK84" s="10"/>
      <c r="DL84" s="10"/>
    </row>
    <row r="85" spans="2:116" outlineLevel="1">
      <c r="B85" t="s">
        <v>28</v>
      </c>
      <c r="C85" t="s">
        <v>148</v>
      </c>
      <c r="E85" s="9"/>
      <c r="G85" s="10"/>
      <c r="I85" s="9">
        <f t="shared" si="4"/>
        <v>0</v>
      </c>
      <c r="J85" s="11" cm="1">
        <f t="array" ref="J85">MAX(IF($N$3:$EH$3=$J$3,N85:EH85))</f>
        <v>0</v>
      </c>
      <c r="K85" s="11" cm="1">
        <f t="array" ref="K85">MAX(IF($N$3:$EH$3=$J$3,N85:EH85))</f>
        <v>0</v>
      </c>
      <c r="L85" s="9"/>
      <c r="O85" s="10"/>
      <c r="P85" s="10"/>
      <c r="Q85" s="10"/>
      <c r="R85" s="10"/>
      <c r="V85" s="10"/>
      <c r="W85" s="10"/>
      <c r="X85" s="10"/>
      <c r="Y85" s="10"/>
      <c r="AC85" s="10"/>
      <c r="AD85" s="10"/>
      <c r="AE85" s="10"/>
      <c r="AF85" s="10"/>
      <c r="AJ85" s="10"/>
      <c r="AK85" s="10"/>
      <c r="AL85" s="10"/>
      <c r="AM85" s="10"/>
      <c r="AQ85" s="10"/>
      <c r="AR85" s="10"/>
      <c r="AS85" s="10"/>
      <c r="AT85" s="10"/>
      <c r="AX85" s="10"/>
      <c r="AY85" s="10">
        <v>0.5</v>
      </c>
      <c r="AZ85" s="10"/>
      <c r="BA85" s="10">
        <v>0.5</v>
      </c>
      <c r="BE85" s="10"/>
      <c r="BF85" s="10">
        <v>0.5</v>
      </c>
      <c r="BG85" s="10"/>
      <c r="BH85" s="10">
        <v>0.5</v>
      </c>
      <c r="BL85" s="10"/>
      <c r="BM85" s="10">
        <v>0.5</v>
      </c>
      <c r="BN85" s="10"/>
      <c r="BO85" s="10">
        <v>0.5</v>
      </c>
      <c r="BS85" s="10"/>
      <c r="BT85" s="10">
        <v>0.5</v>
      </c>
      <c r="BU85" s="10"/>
      <c r="BV85" s="10">
        <v>0.5</v>
      </c>
      <c r="BZ85" s="10"/>
      <c r="CA85" s="10">
        <v>0.8</v>
      </c>
      <c r="CB85" s="10"/>
      <c r="CC85" s="10">
        <v>0.8</v>
      </c>
      <c r="CG85" s="10"/>
      <c r="CH85" s="10">
        <v>0.8</v>
      </c>
      <c r="CI85" s="10"/>
      <c r="CJ85" s="10">
        <v>0.8</v>
      </c>
      <c r="CN85" s="10"/>
      <c r="CO85" s="10">
        <v>0.8</v>
      </c>
      <c r="CP85" s="10"/>
      <c r="CQ85" s="10">
        <v>0.8</v>
      </c>
      <c r="CU85" s="10"/>
      <c r="CV85" s="10">
        <v>1</v>
      </c>
      <c r="CW85" s="10"/>
      <c r="CX85" s="10">
        <v>1</v>
      </c>
      <c r="DB85" s="10"/>
      <c r="DC85" s="10"/>
      <c r="DD85" s="10"/>
      <c r="DE85" s="10"/>
      <c r="DI85" s="10"/>
      <c r="DJ85" s="10"/>
      <c r="DK85" s="10"/>
      <c r="DL85" s="10"/>
    </row>
    <row r="86" spans="2:116" outlineLevel="1">
      <c r="B86" t="s">
        <v>28</v>
      </c>
      <c r="C86" t="s">
        <v>148</v>
      </c>
      <c r="E86" s="9"/>
      <c r="G86" s="10"/>
      <c r="I86" s="9">
        <f t="shared" si="4"/>
        <v>0</v>
      </c>
      <c r="J86" s="11" cm="1">
        <f t="array" ref="J86">MAX(IF($N$3:$EH$3=$J$3,N86:EH86))</f>
        <v>0</v>
      </c>
      <c r="K86" s="11" cm="1">
        <f t="array" ref="K86">MAX(IF($N$3:$EH$3=$J$3,N86:EH86))</f>
        <v>0</v>
      </c>
      <c r="L86" s="9"/>
      <c r="O86" s="10"/>
      <c r="P86" s="10"/>
      <c r="Q86" s="10"/>
      <c r="R86" s="10"/>
      <c r="V86" s="10"/>
      <c r="W86" s="10"/>
      <c r="X86" s="10"/>
      <c r="Y86" s="10"/>
      <c r="AC86" s="10"/>
      <c r="AD86" s="10"/>
      <c r="AE86" s="10"/>
      <c r="AF86" s="10"/>
      <c r="AJ86" s="10"/>
      <c r="AK86" s="10"/>
      <c r="AL86" s="10"/>
      <c r="AM86" s="10"/>
      <c r="AQ86" s="10"/>
      <c r="AR86" s="10"/>
      <c r="AS86" s="10"/>
      <c r="AT86" s="10"/>
      <c r="AX86" s="10"/>
      <c r="AY86" s="10">
        <v>0.5</v>
      </c>
      <c r="AZ86" s="10"/>
      <c r="BA86" s="10">
        <v>0.5</v>
      </c>
      <c r="BE86" s="10"/>
      <c r="BF86" s="10">
        <v>0.5</v>
      </c>
      <c r="BG86" s="10"/>
      <c r="BH86" s="10">
        <v>0.5</v>
      </c>
      <c r="BL86" s="10"/>
      <c r="BM86" s="10">
        <v>0.5</v>
      </c>
      <c r="BN86" s="10"/>
      <c r="BO86" s="10">
        <v>0.5</v>
      </c>
      <c r="BS86" s="21"/>
      <c r="BT86" s="10">
        <v>0.5</v>
      </c>
      <c r="BU86" s="21"/>
      <c r="BV86" s="10">
        <v>0.5</v>
      </c>
      <c r="BZ86" s="10"/>
      <c r="CA86" s="10">
        <v>0.8</v>
      </c>
      <c r="CB86" s="10"/>
      <c r="CC86" s="10">
        <v>0.8</v>
      </c>
      <c r="CG86" s="10"/>
      <c r="CH86" s="10">
        <v>0.8</v>
      </c>
      <c r="CI86" s="10"/>
      <c r="CJ86" s="10">
        <v>0.8</v>
      </c>
      <c r="CN86" s="10"/>
      <c r="CO86" s="10">
        <v>0.8</v>
      </c>
      <c r="CP86" s="10"/>
      <c r="CQ86" s="10">
        <v>0.8</v>
      </c>
      <c r="CU86" s="10"/>
      <c r="CV86" s="10">
        <v>1</v>
      </c>
      <c r="CW86" s="10"/>
      <c r="CX86" s="10">
        <v>1</v>
      </c>
      <c r="DB86" s="10"/>
      <c r="DC86" s="10"/>
      <c r="DD86" s="10"/>
      <c r="DE86" s="10"/>
      <c r="DI86" s="10"/>
      <c r="DJ86" s="10"/>
      <c r="DK86" s="10"/>
      <c r="DL86" s="10"/>
    </row>
    <row r="88" spans="2:116">
      <c r="B88" t="s">
        <v>27</v>
      </c>
      <c r="C88" t="s">
        <v>149</v>
      </c>
      <c r="D88" s="19" t="s">
        <v>154</v>
      </c>
      <c r="E88" s="9">
        <v>2</v>
      </c>
      <c r="G88" s="10"/>
      <c r="I88" s="12">
        <f>+SUM(I89:I99)</f>
        <v>0</v>
      </c>
      <c r="J88" s="11">
        <f>+SUMPRODUCT(G89:G99,J89:J99)</f>
        <v>0</v>
      </c>
      <c r="K88" s="11">
        <f>+SUMPRODUCT(G89:G99,K89:K99)</f>
        <v>0</v>
      </c>
      <c r="L88" s="9"/>
      <c r="N88" s="12"/>
      <c r="U88" s="12"/>
      <c r="AB88" s="12"/>
      <c r="AI88" s="12"/>
      <c r="AP88" s="12"/>
    </row>
    <row r="89" spans="2:116" hidden="1" outlineLevel="1">
      <c r="B89" t="s">
        <v>28</v>
      </c>
      <c r="C89" t="s">
        <v>149</v>
      </c>
      <c r="E89" s="9"/>
      <c r="F89" t="s">
        <v>150</v>
      </c>
      <c r="G89" s="10"/>
      <c r="I89" s="9">
        <f t="shared" ref="I89:I99" si="5">+SUMIF($N$3:$ZZ$3,I$3,$N89:$ZZ89)</f>
        <v>0</v>
      </c>
      <c r="J89" s="11" cm="1">
        <f t="array" ref="J89">MAX(IF($N$3:$EH$3=$J$3,N89:EH89))</f>
        <v>0</v>
      </c>
      <c r="K89" s="11" cm="1">
        <f t="array" ref="K89">MAX(IF($N$3:$EH$3=$J$3,N89:EH89))</f>
        <v>0</v>
      </c>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row>
    <row r="90" spans="2:116" hidden="1" outlineLevel="1">
      <c r="B90" t="s">
        <v>28</v>
      </c>
      <c r="C90" t="s">
        <v>149</v>
      </c>
      <c r="E90" s="9"/>
      <c r="F90" t="s">
        <v>151</v>
      </c>
      <c r="G90" s="10"/>
      <c r="I90" s="9">
        <f t="shared" si="5"/>
        <v>0</v>
      </c>
      <c r="J90" s="11" cm="1">
        <f t="array" ref="J90">MAX(IF($N$3:$EH$3=$J$3,N90:EH90))</f>
        <v>0</v>
      </c>
      <c r="K90" s="11" cm="1">
        <f t="array" ref="K90">MAX(IF($N$3:$EH$3=$J$3,N90:EH90))</f>
        <v>0</v>
      </c>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c r="CW90" s="10"/>
      <c r="CX90" s="10"/>
      <c r="DB90" s="10"/>
      <c r="DC90" s="10"/>
      <c r="DD90" s="10"/>
      <c r="DE90" s="10"/>
      <c r="DI90" s="10"/>
      <c r="DJ90" s="10"/>
      <c r="DK90" s="10"/>
      <c r="DL90" s="10"/>
    </row>
    <row r="91" spans="2:116" hidden="1" outlineLevel="1">
      <c r="B91" t="s">
        <v>28</v>
      </c>
      <c r="C91" t="s">
        <v>149</v>
      </c>
      <c r="E91" s="9"/>
      <c r="F91" t="s">
        <v>152</v>
      </c>
      <c r="G91" s="10"/>
      <c r="I91" s="9">
        <f t="shared" si="5"/>
        <v>0</v>
      </c>
      <c r="J91" s="11" cm="1">
        <f t="array" ref="J91">MAX(IF($N$3:$EH$3=$J$3,N91:EH91))</f>
        <v>0</v>
      </c>
      <c r="K91" s="11" cm="1">
        <f t="array" ref="K91">MAX(IF($N$3:$EH$3=$J$3,N91:EH91))</f>
        <v>0</v>
      </c>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c r="CW91" s="10"/>
      <c r="CX91" s="10"/>
      <c r="DB91" s="10"/>
      <c r="DC91" s="10"/>
      <c r="DD91" s="10"/>
      <c r="DE91" s="10"/>
      <c r="DI91" s="10"/>
      <c r="DJ91" s="10"/>
      <c r="DK91" s="10"/>
      <c r="DL91" s="10"/>
    </row>
    <row r="92" spans="2:116" hidden="1" outlineLevel="1">
      <c r="B92" t="s">
        <v>28</v>
      </c>
      <c r="C92" t="s">
        <v>149</v>
      </c>
      <c r="E92" s="9"/>
      <c r="G92" s="10"/>
      <c r="I92" s="9">
        <f t="shared" si="5"/>
        <v>0</v>
      </c>
      <c r="J92" s="11" cm="1">
        <f t="array" ref="J92">MAX(IF($N$3:$EH$3=$J$3,N92:EH92))</f>
        <v>0</v>
      </c>
      <c r="K92" s="11" cm="1">
        <f t="array" ref="K92">MAX(IF($N$3:$EH$3=$J$3,N92:EH92))</f>
        <v>0</v>
      </c>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c r="DD92" s="10"/>
      <c r="DE92" s="10"/>
      <c r="DI92" s="10"/>
      <c r="DJ92" s="10"/>
      <c r="DK92" s="10"/>
      <c r="DL92" s="10"/>
    </row>
    <row r="93" spans="2:116" hidden="1" outlineLevel="1">
      <c r="B93" t="s">
        <v>28</v>
      </c>
      <c r="C93" t="s">
        <v>149</v>
      </c>
      <c r="E93" s="9"/>
      <c r="G93" s="10"/>
      <c r="I93" s="9">
        <f t="shared" si="5"/>
        <v>0</v>
      </c>
      <c r="J93" s="11" cm="1">
        <f t="array" ref="J93">MAX(IF($N$3:$EH$3=$J$3,N93:EH93))</f>
        <v>0</v>
      </c>
      <c r="K93" s="11" cm="1">
        <f t="array" ref="K93">MAX(IF($N$3:$EH$3=$J$3,N93:EH93))</f>
        <v>0</v>
      </c>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c r="DD93" s="10"/>
      <c r="DE93" s="10"/>
      <c r="DI93" s="10"/>
      <c r="DJ93" s="10"/>
      <c r="DK93" s="10"/>
      <c r="DL93" s="10"/>
    </row>
    <row r="94" spans="2:116" hidden="1" outlineLevel="1">
      <c r="B94" t="s">
        <v>28</v>
      </c>
      <c r="C94" t="s">
        <v>149</v>
      </c>
      <c r="E94" s="9"/>
      <c r="G94" s="10"/>
      <c r="I94" s="9">
        <f t="shared" si="5"/>
        <v>0</v>
      </c>
      <c r="J94" s="11" cm="1">
        <f t="array" ref="J94">MAX(IF($N$3:$EH$3=$J$3,N94:EH94))</f>
        <v>0</v>
      </c>
      <c r="K94" s="11" cm="1">
        <f t="array" ref="K94">MAX(IF($N$3:$EH$3=$J$3,N94:EH94))</f>
        <v>0</v>
      </c>
      <c r="L94" s="9"/>
      <c r="O94" s="10"/>
      <c r="P94" s="10"/>
      <c r="Q94" s="10"/>
      <c r="R94" s="10"/>
      <c r="V94" s="10"/>
      <c r="W94" s="10"/>
      <c r="X94" s="10"/>
      <c r="Y94" s="10"/>
      <c r="AC94" s="10"/>
      <c r="AD94" s="10"/>
      <c r="AE94" s="10"/>
      <c r="AF94" s="10"/>
      <c r="AJ94" s="10"/>
      <c r="AK94" s="10"/>
      <c r="AL94" s="10"/>
      <c r="AM94" s="10"/>
      <c r="AQ94" s="10"/>
      <c r="AR94" s="10"/>
      <c r="AS94" s="10"/>
      <c r="AT94" s="10"/>
      <c r="AX94" s="10"/>
      <c r="AY94" s="10"/>
      <c r="AZ94" s="10"/>
      <c r="BA94" s="10"/>
      <c r="BE94" s="10"/>
      <c r="BF94" s="10"/>
      <c r="BG94" s="10"/>
      <c r="BH94" s="10"/>
      <c r="BL94" s="10"/>
      <c r="BM94" s="10"/>
      <c r="BN94" s="10"/>
      <c r="BO94" s="10"/>
      <c r="BS94" s="10"/>
      <c r="BT94" s="10"/>
      <c r="BU94" s="10"/>
      <c r="BV94" s="10"/>
      <c r="BZ94" s="10"/>
      <c r="CA94" s="10"/>
      <c r="CB94" s="10"/>
      <c r="CC94" s="10"/>
      <c r="CG94" s="10"/>
      <c r="CH94" s="10"/>
      <c r="CI94" s="10"/>
      <c r="CJ94" s="10"/>
      <c r="CN94" s="10"/>
      <c r="CO94" s="10"/>
      <c r="CP94" s="10"/>
      <c r="CQ94" s="10"/>
      <c r="CU94" s="10"/>
      <c r="CV94" s="10"/>
      <c r="CW94" s="10"/>
      <c r="CX94" s="10"/>
      <c r="DB94" s="10"/>
      <c r="DC94" s="10"/>
      <c r="DD94" s="10"/>
      <c r="DE94" s="10"/>
      <c r="DI94" s="10"/>
      <c r="DJ94" s="10"/>
      <c r="DK94" s="10"/>
      <c r="DL94" s="10"/>
    </row>
    <row r="95" spans="2:116" hidden="1" outlineLevel="1">
      <c r="B95" t="s">
        <v>28</v>
      </c>
      <c r="C95" t="s">
        <v>149</v>
      </c>
      <c r="E95" s="9"/>
      <c r="G95" s="10"/>
      <c r="I95" s="9">
        <f t="shared" si="5"/>
        <v>0</v>
      </c>
      <c r="J95" s="11" cm="1">
        <f t="array" ref="J95">MAX(IF($N$3:$EH$3=$J$3,N95:EH95))</f>
        <v>0</v>
      </c>
      <c r="K95" s="11" cm="1">
        <f t="array" ref="K95">MAX(IF($N$3:$EH$3=$J$3,N95:EH95))</f>
        <v>0</v>
      </c>
      <c r="L95" s="9"/>
      <c r="O95" s="10"/>
      <c r="P95" s="10"/>
      <c r="Q95" s="10"/>
      <c r="R95" s="10"/>
      <c r="V95" s="10"/>
      <c r="W95" s="10"/>
      <c r="X95" s="10"/>
      <c r="Y95" s="10"/>
      <c r="AC95" s="10"/>
      <c r="AD95" s="10"/>
      <c r="AE95" s="10"/>
      <c r="AF95" s="10"/>
      <c r="AJ95" s="10"/>
      <c r="AK95" s="10"/>
      <c r="AL95" s="10"/>
      <c r="AM95" s="10"/>
      <c r="AQ95" s="10"/>
      <c r="AR95" s="10"/>
      <c r="AS95" s="10"/>
      <c r="AT95" s="10"/>
      <c r="AX95" s="10"/>
      <c r="AY95" s="10"/>
      <c r="AZ95" s="10"/>
      <c r="BA95" s="10"/>
      <c r="BE95" s="10"/>
      <c r="BF95" s="10"/>
      <c r="BG95" s="10"/>
      <c r="BH95" s="10"/>
      <c r="BL95" s="10"/>
      <c r="BM95" s="10"/>
      <c r="BN95" s="10"/>
      <c r="BO95" s="10"/>
      <c r="BS95" s="10"/>
      <c r="BT95" s="10"/>
      <c r="BU95" s="10"/>
      <c r="BV95" s="10"/>
      <c r="BZ95" s="10"/>
      <c r="CA95" s="10"/>
      <c r="CB95" s="10"/>
      <c r="CC95" s="10"/>
      <c r="CG95" s="10"/>
      <c r="CH95" s="10"/>
      <c r="CI95" s="10"/>
      <c r="CJ95" s="10"/>
      <c r="CN95" s="10"/>
      <c r="CO95" s="10"/>
      <c r="CP95" s="10"/>
      <c r="CQ95" s="10"/>
      <c r="CU95" s="10"/>
      <c r="CV95" s="10"/>
      <c r="CW95" s="10"/>
      <c r="CX95" s="10"/>
      <c r="DB95" s="10"/>
      <c r="DC95" s="10"/>
      <c r="DD95" s="10"/>
      <c r="DE95" s="10"/>
      <c r="DI95" s="10"/>
      <c r="DJ95" s="10"/>
      <c r="DK95" s="10"/>
      <c r="DL95" s="10"/>
    </row>
    <row r="96" spans="2:116" hidden="1" outlineLevel="1">
      <c r="B96" t="s">
        <v>28</v>
      </c>
      <c r="C96" t="s">
        <v>149</v>
      </c>
      <c r="E96" s="9"/>
      <c r="G96" s="10"/>
      <c r="I96" s="9">
        <f t="shared" si="5"/>
        <v>0</v>
      </c>
      <c r="J96" s="11" cm="1">
        <f t="array" ref="J96">MAX(IF($N$3:$EH$3=$J$3,N96:EH96))</f>
        <v>0</v>
      </c>
      <c r="K96" s="11" cm="1">
        <f t="array" ref="K96">MAX(IF($N$3:$EH$3=$J$3,N96:EH96))</f>
        <v>0</v>
      </c>
      <c r="L96" s="9"/>
      <c r="O96" s="10"/>
      <c r="P96" s="10"/>
      <c r="Q96" s="10"/>
      <c r="R96" s="10"/>
      <c r="V96" s="10"/>
      <c r="W96" s="10"/>
      <c r="X96" s="10"/>
      <c r="Y96" s="10"/>
      <c r="AC96" s="10"/>
      <c r="AD96" s="10"/>
      <c r="AE96" s="10"/>
      <c r="AF96" s="10"/>
      <c r="AJ96" s="10"/>
      <c r="AK96" s="10"/>
      <c r="AL96" s="10"/>
      <c r="AM96" s="10"/>
      <c r="AQ96" s="10"/>
      <c r="AR96" s="10"/>
      <c r="AS96" s="10"/>
      <c r="AT96" s="10"/>
      <c r="AX96" s="10"/>
      <c r="AY96" s="10"/>
      <c r="AZ96" s="10"/>
      <c r="BA96" s="10"/>
      <c r="BE96" s="10"/>
      <c r="BF96" s="10"/>
      <c r="BG96" s="10"/>
      <c r="BH96" s="10"/>
      <c r="BL96" s="10"/>
      <c r="BM96" s="10"/>
      <c r="BN96" s="10"/>
      <c r="BO96" s="10"/>
      <c r="BS96" s="10"/>
      <c r="BT96" s="10"/>
      <c r="BU96" s="10"/>
      <c r="BV96" s="10"/>
      <c r="BZ96" s="10"/>
      <c r="CA96" s="10"/>
      <c r="CB96" s="10"/>
      <c r="CC96" s="10"/>
      <c r="CG96" s="10"/>
      <c r="CH96" s="10"/>
      <c r="CI96" s="10"/>
      <c r="CJ96" s="10"/>
      <c r="CN96" s="10"/>
      <c r="CO96" s="10"/>
      <c r="CP96" s="10"/>
      <c r="CQ96" s="10"/>
      <c r="CU96" s="10"/>
      <c r="CV96" s="10"/>
      <c r="CW96" s="10"/>
      <c r="CX96" s="10"/>
      <c r="DB96" s="10"/>
      <c r="DC96" s="10"/>
      <c r="DD96" s="10"/>
      <c r="DE96" s="10"/>
      <c r="DI96" s="10"/>
      <c r="DJ96" s="10"/>
      <c r="DK96" s="10"/>
      <c r="DL96" s="10"/>
    </row>
    <row r="97" spans="2:116" hidden="1" outlineLevel="1">
      <c r="B97" t="s">
        <v>28</v>
      </c>
      <c r="C97" t="s">
        <v>149</v>
      </c>
      <c r="E97" s="9"/>
      <c r="G97" s="10"/>
      <c r="I97" s="9">
        <f t="shared" si="5"/>
        <v>0</v>
      </c>
      <c r="J97" s="11" cm="1">
        <f t="array" ref="J97">MAX(IF($N$3:$EH$3=$J$3,N97:EH97))</f>
        <v>0</v>
      </c>
      <c r="K97" s="11" cm="1">
        <f t="array" ref="K97">MAX(IF($N$3:$EH$3=$J$3,N97:EH97))</f>
        <v>0</v>
      </c>
      <c r="L97" s="9"/>
      <c r="O97" s="10"/>
      <c r="P97" s="10"/>
      <c r="Q97" s="10"/>
      <c r="R97" s="10"/>
      <c r="V97" s="10"/>
      <c r="W97" s="10"/>
      <c r="X97" s="10"/>
      <c r="Y97" s="10"/>
      <c r="AC97" s="10"/>
      <c r="AD97" s="10"/>
      <c r="AE97" s="10"/>
      <c r="AF97" s="10"/>
      <c r="AJ97" s="10"/>
      <c r="AK97" s="10"/>
      <c r="AL97" s="10"/>
      <c r="AM97" s="10"/>
      <c r="AQ97" s="10"/>
      <c r="AR97" s="10"/>
      <c r="AS97" s="10"/>
      <c r="AT97" s="10"/>
      <c r="AX97" s="10"/>
      <c r="AY97" s="10"/>
      <c r="AZ97" s="10"/>
      <c r="BA97" s="10"/>
      <c r="BE97" s="10"/>
      <c r="BF97" s="10"/>
      <c r="BG97" s="10"/>
      <c r="BH97" s="10"/>
      <c r="BL97" s="10"/>
      <c r="BM97" s="10"/>
      <c r="BN97" s="10"/>
      <c r="BO97" s="10"/>
      <c r="BS97" s="10"/>
      <c r="BT97" s="10"/>
      <c r="BU97" s="10"/>
      <c r="BV97" s="10"/>
      <c r="BZ97" s="10"/>
      <c r="CA97" s="10"/>
      <c r="CB97" s="10"/>
      <c r="CC97" s="10"/>
      <c r="CG97" s="10"/>
      <c r="CH97" s="10"/>
      <c r="CI97" s="10"/>
      <c r="CJ97" s="10"/>
      <c r="CN97" s="10"/>
      <c r="CO97" s="10"/>
      <c r="CP97" s="10"/>
      <c r="CQ97" s="10"/>
      <c r="CU97" s="10"/>
      <c r="CV97" s="10"/>
      <c r="CW97" s="10"/>
      <c r="CX97" s="10"/>
      <c r="DB97" s="10"/>
      <c r="DC97" s="10"/>
      <c r="DD97" s="10"/>
      <c r="DE97" s="10"/>
      <c r="DI97" s="10"/>
      <c r="DJ97" s="10"/>
      <c r="DK97" s="10"/>
      <c r="DL97" s="10"/>
    </row>
    <row r="98" spans="2:116" hidden="1" outlineLevel="1">
      <c r="B98" t="s">
        <v>28</v>
      </c>
      <c r="C98" t="s">
        <v>149</v>
      </c>
      <c r="E98" s="9"/>
      <c r="G98" s="10"/>
      <c r="I98" s="9">
        <f t="shared" si="5"/>
        <v>0</v>
      </c>
      <c r="J98" s="11" cm="1">
        <f t="array" ref="J98">MAX(IF($N$3:$EH$3=$J$3,N98:EH98))</f>
        <v>0</v>
      </c>
      <c r="K98" s="11" cm="1">
        <f t="array" ref="K98">MAX(IF($N$3:$EH$3=$J$3,N98:EH98))</f>
        <v>0</v>
      </c>
      <c r="L98" s="9"/>
      <c r="O98" s="10"/>
      <c r="P98" s="10"/>
      <c r="Q98" s="10"/>
      <c r="R98" s="10"/>
      <c r="V98" s="10"/>
      <c r="W98" s="10"/>
      <c r="X98" s="10"/>
      <c r="Y98" s="10"/>
      <c r="AC98" s="10"/>
      <c r="AD98" s="10"/>
      <c r="AE98" s="10"/>
      <c r="AF98" s="10"/>
      <c r="AJ98" s="10"/>
      <c r="AK98" s="10"/>
      <c r="AL98" s="10"/>
      <c r="AM98" s="10"/>
      <c r="AQ98" s="10"/>
      <c r="AR98" s="10"/>
      <c r="AS98" s="10"/>
      <c r="AT98" s="10"/>
      <c r="AX98" s="10"/>
      <c r="AY98" s="10"/>
      <c r="AZ98" s="10"/>
      <c r="BA98" s="10"/>
      <c r="BE98" s="10"/>
      <c r="BF98" s="10"/>
      <c r="BG98" s="10"/>
      <c r="BH98" s="10"/>
      <c r="BL98" s="10"/>
      <c r="BM98" s="10"/>
      <c r="BN98" s="10"/>
      <c r="BO98" s="10"/>
      <c r="BS98" s="10"/>
      <c r="BT98" s="10"/>
      <c r="BU98" s="10"/>
      <c r="BV98" s="10"/>
      <c r="BZ98" s="10"/>
      <c r="CA98" s="10"/>
      <c r="CB98" s="10"/>
      <c r="CC98" s="10"/>
      <c r="CG98" s="10"/>
      <c r="CH98" s="10"/>
      <c r="CI98" s="10"/>
      <c r="CJ98" s="10"/>
      <c r="CN98" s="10"/>
      <c r="CO98" s="10"/>
      <c r="CP98" s="10"/>
      <c r="CQ98" s="10"/>
      <c r="CU98" s="10"/>
      <c r="CV98" s="10"/>
      <c r="CW98" s="10"/>
      <c r="CX98" s="10"/>
      <c r="DB98" s="10"/>
      <c r="DC98" s="10"/>
      <c r="DD98" s="10"/>
      <c r="DE98" s="10"/>
      <c r="DI98" s="10"/>
      <c r="DJ98" s="10"/>
      <c r="DK98" s="10"/>
      <c r="DL98" s="10"/>
    </row>
    <row r="99" spans="2:116" hidden="1" outlineLevel="1">
      <c r="B99" t="s">
        <v>28</v>
      </c>
      <c r="C99" t="s">
        <v>149</v>
      </c>
      <c r="E99" s="9"/>
      <c r="G99" s="10"/>
      <c r="I99" s="9">
        <f t="shared" si="5"/>
        <v>0</v>
      </c>
      <c r="J99" s="11" cm="1">
        <f t="array" ref="J99">MAX(IF($N$3:$EH$3=$J$3,N99:EH99))</f>
        <v>0</v>
      </c>
      <c r="K99" s="11" cm="1">
        <f t="array" ref="K99">MAX(IF($N$3:$EH$3=$J$3,N99:EH99))</f>
        <v>0</v>
      </c>
      <c r="L99" s="9"/>
      <c r="O99" s="10"/>
      <c r="P99" s="10"/>
      <c r="Q99" s="10"/>
      <c r="R99" s="10"/>
      <c r="V99" s="10"/>
      <c r="W99" s="10"/>
      <c r="X99" s="10"/>
      <c r="Y99" s="10"/>
      <c r="AC99" s="10"/>
      <c r="AD99" s="10"/>
      <c r="AE99" s="10"/>
      <c r="AF99" s="10"/>
      <c r="AJ99" s="10"/>
      <c r="AK99" s="10"/>
      <c r="AL99" s="10"/>
      <c r="AM99" s="10"/>
      <c r="AQ99" s="10"/>
      <c r="AR99" s="10"/>
      <c r="AS99" s="10"/>
      <c r="AT99" s="10"/>
      <c r="AX99" s="10"/>
      <c r="AY99" s="10"/>
      <c r="AZ99" s="10"/>
      <c r="BA99" s="10"/>
      <c r="BE99" s="10"/>
      <c r="BF99" s="10"/>
      <c r="BG99" s="10"/>
      <c r="BH99" s="10"/>
      <c r="BL99" s="10"/>
      <c r="BM99" s="10"/>
      <c r="BN99" s="10"/>
      <c r="BO99" s="10"/>
      <c r="BS99" s="10"/>
      <c r="BT99" s="10"/>
      <c r="BU99" s="10"/>
      <c r="BV99" s="10"/>
      <c r="BZ99" s="10"/>
      <c r="CA99" s="10"/>
      <c r="CB99" s="10"/>
      <c r="CC99" s="10"/>
      <c r="CG99" s="10"/>
      <c r="CH99" s="10"/>
      <c r="CI99" s="10"/>
      <c r="CJ99" s="10"/>
      <c r="CN99" s="10"/>
      <c r="CO99" s="10"/>
      <c r="CP99" s="10"/>
      <c r="CQ99" s="10"/>
      <c r="CU99" s="10"/>
      <c r="CV99" s="10"/>
      <c r="CW99" s="10"/>
      <c r="CX99" s="10"/>
      <c r="DB99" s="10"/>
      <c r="DC99" s="10"/>
      <c r="DD99" s="10"/>
      <c r="DE99" s="10"/>
      <c r="DI99" s="10"/>
      <c r="DJ99" s="10"/>
      <c r="DK99" s="10"/>
      <c r="DL99" s="10"/>
    </row>
    <row r="100" spans="2:116" collapsed="1"/>
  </sheetData>
  <mergeCells count="16">
    <mergeCell ref="DH2:DM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J5:J15">
    <cfRule type="colorScale" priority="915">
      <colorScale>
        <cfvo type="percent" val="0"/>
        <cfvo type="percent" val="100"/>
        <color rgb="FFFF231B"/>
        <color rgb="FF10FF07"/>
      </colorScale>
    </cfRule>
  </conditionalFormatting>
  <conditionalFormatting sqref="J19">
    <cfRule type="colorScale" priority="307">
      <colorScale>
        <cfvo type="percent" val="0"/>
        <cfvo type="percent" val="100"/>
        <color rgb="FFFF231B"/>
        <color rgb="FF10FF07"/>
      </colorScale>
    </cfRule>
  </conditionalFormatting>
  <conditionalFormatting sqref="J20">
    <cfRule type="colorScale" priority="288">
      <colorScale>
        <cfvo type="percent" val="0"/>
        <cfvo type="percent" val="100"/>
        <color rgb="FFFF231B"/>
        <color rgb="FF10FF07"/>
      </colorScale>
    </cfRule>
  </conditionalFormatting>
  <conditionalFormatting sqref="J21:J30 J18">
    <cfRule type="colorScale" priority="541">
      <colorScale>
        <cfvo type="percent" val="0"/>
        <cfvo type="percent" val="100"/>
        <color rgb="FFFF231B"/>
        <color rgb="FF10FF07"/>
      </colorScale>
    </cfRule>
  </conditionalFormatting>
  <conditionalFormatting sqref="J33:J42">
    <cfRule type="colorScale" priority="921">
      <colorScale>
        <cfvo type="percent" val="0"/>
        <cfvo type="percent" val="100"/>
        <color rgb="FFFF231B"/>
        <color rgb="FF10FF07"/>
      </colorScale>
    </cfRule>
  </conditionalFormatting>
  <conditionalFormatting sqref="J45:J56">
    <cfRule type="colorScale" priority="852">
      <colorScale>
        <cfvo type="percent" val="0"/>
        <cfvo type="percent" val="100"/>
        <color rgb="FFFF231B"/>
        <color rgb="FF10FF07"/>
      </colorScale>
    </cfRule>
  </conditionalFormatting>
  <conditionalFormatting sqref="J59:J73">
    <cfRule type="colorScale" priority="912">
      <colorScale>
        <cfvo type="percent" val="0"/>
        <cfvo type="percent" val="100"/>
        <color rgb="FFFF231B"/>
        <color rgb="FF10FF07"/>
      </colorScale>
    </cfRule>
  </conditionalFormatting>
  <conditionalFormatting sqref="J76:J86">
    <cfRule type="colorScale" priority="161">
      <colorScale>
        <cfvo type="percent" val="0"/>
        <cfvo type="percent" val="100"/>
        <color rgb="FFFF231B"/>
        <color rgb="FF10FF07"/>
      </colorScale>
    </cfRule>
  </conditionalFormatting>
  <conditionalFormatting sqref="J89:J99">
    <cfRule type="colorScale" priority="102">
      <colorScale>
        <cfvo type="percent" val="0"/>
        <cfvo type="percent" val="100"/>
        <color rgb="FFFF231B"/>
        <color rgb="FF10FF07"/>
      </colorScale>
    </cfRule>
  </conditionalFormatting>
  <conditionalFormatting sqref="J6:K15">
    <cfRule type="colorScale" priority="918">
      <colorScale>
        <cfvo type="percent" val="0"/>
        <cfvo type="percent" val="100"/>
        <color rgb="FFFF231B"/>
        <color rgb="FF10FF07"/>
      </colorScale>
    </cfRule>
  </conditionalFormatting>
  <conditionalFormatting sqref="J19:K19">
    <cfRule type="colorScale" priority="308">
      <colorScale>
        <cfvo type="percent" val="0"/>
        <cfvo type="percent" val="100"/>
        <color rgb="FFFF231B"/>
        <color rgb="FF10FF07"/>
      </colorScale>
    </cfRule>
  </conditionalFormatting>
  <conditionalFormatting sqref="J20:K20">
    <cfRule type="colorScale" priority="289">
      <colorScale>
        <cfvo type="percent" val="0"/>
        <cfvo type="percent" val="100"/>
        <color rgb="FFFF231B"/>
        <color rgb="FF10FF07"/>
      </colorScale>
    </cfRule>
  </conditionalFormatting>
  <conditionalFormatting sqref="J21:K30">
    <cfRule type="colorScale" priority="542">
      <colorScale>
        <cfvo type="percent" val="0"/>
        <cfvo type="percent" val="100"/>
        <color rgb="FFFF231B"/>
        <color rgb="FF10FF07"/>
      </colorScale>
    </cfRule>
  </conditionalFormatting>
  <conditionalFormatting sqref="J35:K42">
    <cfRule type="colorScale" priority="922">
      <colorScale>
        <cfvo type="percent" val="0"/>
        <cfvo type="percent" val="100"/>
        <color rgb="FFFF231B"/>
        <color rgb="FF10FF07"/>
      </colorScale>
    </cfRule>
  </conditionalFormatting>
  <conditionalFormatting sqref="J46:K56">
    <cfRule type="colorScale" priority="850">
      <colorScale>
        <cfvo type="percent" val="0"/>
        <cfvo type="percent" val="100"/>
        <color rgb="FFFF231B"/>
        <color rgb="FF10FF07"/>
      </colorScale>
    </cfRule>
  </conditionalFormatting>
  <conditionalFormatting sqref="J60:K73">
    <cfRule type="colorScale" priority="911">
      <colorScale>
        <cfvo type="percent" val="0"/>
        <cfvo type="percent" val="100"/>
        <color rgb="FFFF231B"/>
        <color rgb="FF10FF07"/>
      </colorScale>
    </cfRule>
  </conditionalFormatting>
  <conditionalFormatting sqref="J77:K86">
    <cfRule type="colorScale" priority="160">
      <colorScale>
        <cfvo type="percent" val="0"/>
        <cfvo type="percent" val="100"/>
        <color rgb="FFFF231B"/>
        <color rgb="FF10FF07"/>
      </colorScale>
    </cfRule>
  </conditionalFormatting>
  <conditionalFormatting sqref="J90:K99">
    <cfRule type="colorScale" priority="101">
      <colorScale>
        <cfvo type="percent" val="0"/>
        <cfvo type="percent" val="100"/>
        <color rgb="FFFF231B"/>
        <color rgb="FF10FF07"/>
      </colorScale>
    </cfRule>
  </conditionalFormatting>
  <conditionalFormatting sqref="K5:K15">
    <cfRule type="colorScale" priority="920">
      <colorScale>
        <cfvo type="percent" val="0"/>
        <cfvo type="percent" val="100"/>
        <color rgb="FFFF231B"/>
        <color rgb="FF10FF07"/>
      </colorScale>
    </cfRule>
  </conditionalFormatting>
  <conditionalFormatting sqref="K19">
    <cfRule type="colorScale" priority="306">
      <colorScale>
        <cfvo type="percent" val="0"/>
        <cfvo type="percent" val="100"/>
        <color rgb="FFFF231B"/>
        <color rgb="FF10FF07"/>
      </colorScale>
    </cfRule>
  </conditionalFormatting>
  <conditionalFormatting sqref="K20">
    <cfRule type="colorScale" priority="287">
      <colorScale>
        <cfvo type="percent" val="0"/>
        <cfvo type="percent" val="100"/>
        <color rgb="FFFF231B"/>
        <color rgb="FF10FF07"/>
      </colorScale>
    </cfRule>
  </conditionalFormatting>
  <conditionalFormatting sqref="K21:K30 K18">
    <cfRule type="colorScale" priority="540">
      <colorScale>
        <cfvo type="percent" val="0"/>
        <cfvo type="percent" val="100"/>
        <color rgb="FFFF231B"/>
        <color rgb="FF10FF07"/>
      </colorScale>
    </cfRule>
  </conditionalFormatting>
  <conditionalFormatting sqref="K33:K42">
    <cfRule type="colorScale" priority="923">
      <colorScale>
        <cfvo type="percent" val="0"/>
        <cfvo type="percent" val="100"/>
        <color rgb="FFFF231B"/>
        <color rgb="FF10FF07"/>
      </colorScale>
    </cfRule>
  </conditionalFormatting>
  <conditionalFormatting sqref="K45:K56">
    <cfRule type="colorScale" priority="854">
      <colorScale>
        <cfvo type="percent" val="0"/>
        <cfvo type="percent" val="100"/>
        <color rgb="FFFF231B"/>
        <color rgb="FF10FF07"/>
      </colorScale>
    </cfRule>
  </conditionalFormatting>
  <conditionalFormatting sqref="K59:K73">
    <cfRule type="colorScale" priority="914">
      <colorScale>
        <cfvo type="percent" val="0"/>
        <cfvo type="percent" val="100"/>
        <color rgb="FFFF231B"/>
        <color rgb="FF10FF07"/>
      </colorScale>
    </cfRule>
  </conditionalFormatting>
  <conditionalFormatting sqref="K76:K86">
    <cfRule type="colorScale" priority="162">
      <colorScale>
        <cfvo type="percent" val="0"/>
        <cfvo type="percent" val="100"/>
        <color rgb="FFFF231B"/>
        <color rgb="FF10FF07"/>
      </colorScale>
    </cfRule>
  </conditionalFormatting>
  <conditionalFormatting sqref="K89:K99">
    <cfRule type="colorScale" priority="103">
      <colorScale>
        <cfvo type="percent" val="0"/>
        <cfvo type="percent" val="100"/>
        <color rgb="FFFF231B"/>
        <color rgb="FF10FF07"/>
      </colorScale>
    </cfRule>
  </conditionalFormatting>
  <conditionalFormatting sqref="O5:O15 Q5:Q15 V5:V15 X5:X15 AC5:AC15 AE5:AE15 AJ5:AJ15 AL5:AL15 AS5:AS15 AZ5:AZ15 BG5:BG15 BN5:BN15 BS5:BS15 BZ5:BZ15 CB5:CB15 CG5:CG15 CI5:CI15 CN5:CN15 CP5:CP15 CU5:CU15 CW5:CW15 DB5:DB15 DD5:DD15 BU15 O33:O42 Q33:Q42 V33:V42 X33:X42 AC33:AC42 AE33:AE42 AJ33:AJ42 AL33:AL42 AS33:AS42 BG33:BG42 BN33:BN42 BU33:BU42 BZ33:BZ42 CB33:CB42 CG33:CG42 CI33:CI42 CN33:CN42 CP33:CP42 CU33:CU42 CW33:CW42 DB33:DB42 DD33:DD42 O59:O73 Q59:Q73 V59:V73 X59:X73 AC59:AC73 AE59:AE73 AJ59:AJ73 AL59:AL73 AS59:AS73 AZ59:AZ73 BG59:BG73 BN59:BN73 CW78:CW86 CW61:CW73 CW59 BU76:BU85 BS33:BS42 BL5:BL15 BL33:BL42 BL59:BL73 BE5:BE15 BE33:BE42 BE59:BE73 AX59:AX73 AZ34:AZ42 AX34:AX42 AX5:AX15 AQ5:AQ15 AQ33:AQ42 AQ59:AQ73">
    <cfRule type="expression" dxfId="259" priority="727">
      <formula>OR(IF(O5&lt;P5,TRUE),IF(AND(P5="",O5&lt;&gt;""),TRUE))</formula>
    </cfRule>
    <cfRule type="expression" dxfId="258" priority="728">
      <formula>IF(O5&gt;=P5,IF(O5="",FALSE,TRUE))</formula>
    </cfRule>
  </conditionalFormatting>
  <conditionalFormatting sqref="O18:O30 Q18:Q30">
    <cfRule type="expression" dxfId="257" priority="302">
      <formula>OR(IF(O18&lt;P18,TRUE),IF(AND(P18="",O18&lt;&gt;""),TRUE))</formula>
    </cfRule>
    <cfRule type="expression" dxfId="256" priority="303">
      <formula>IF(O18&gt;=P18,IF(O18="",FALSE,TRUE))</formula>
    </cfRule>
  </conditionalFormatting>
  <conditionalFormatting sqref="O45:O56">
    <cfRule type="expression" dxfId="255" priority="455">
      <formula>OR(IF(O45&lt;P45,TRUE),IF(AND(P45="",O45&lt;&gt;""),TRUE))</formula>
    </cfRule>
    <cfRule type="expression" dxfId="254" priority="456">
      <formula>IF(O45&gt;=P45,IF(O45="",FALSE,TRUE))</formula>
    </cfRule>
  </conditionalFormatting>
  <conditionalFormatting sqref="O76:O86">
    <cfRule type="expression" dxfId="253" priority="158">
      <formula>OR(IF(O76&lt;P76,TRUE),IF(AND(P76="",O76&lt;&gt;""),TRUE))</formula>
    </cfRule>
    <cfRule type="expression" dxfId="252" priority="159">
      <formula>IF(O76&gt;=P76,IF(O76="",FALSE,TRUE))</formula>
    </cfRule>
  </conditionalFormatting>
  <conditionalFormatting sqref="O89:O99">
    <cfRule type="expression" dxfId="251" priority="99">
      <formula>OR(IF(O89&lt;P89,TRUE),IF(AND(P89="",O89&lt;&gt;""),TRUE))</formula>
    </cfRule>
    <cfRule type="expression" dxfId="250" priority="100">
      <formula>IF(O89&gt;=P89,IF(O89="",FALSE,TRUE))</formula>
    </cfRule>
  </conditionalFormatting>
  <conditionalFormatting sqref="Q45:Q56">
    <cfRule type="expression" dxfId="249" priority="453">
      <formula>OR(IF(Q45&lt;R45,TRUE),IF(AND(R45="",Q45&lt;&gt;""),TRUE))</formula>
    </cfRule>
    <cfRule type="expression" dxfId="248" priority="454">
      <formula>IF(Q45&gt;=R45,IF(Q45="",FALSE,TRUE))</formula>
    </cfRule>
  </conditionalFormatting>
  <conditionalFormatting sqref="Q76:Q86">
    <cfRule type="expression" dxfId="247" priority="156">
      <formula>OR(IF(Q76&lt;R76,TRUE),IF(AND(R76="",Q76&lt;&gt;""),TRUE))</formula>
    </cfRule>
    <cfRule type="expression" dxfId="246" priority="157">
      <formula>IF(Q76&gt;=R76,IF(Q76="",FALSE,TRUE))</formula>
    </cfRule>
  </conditionalFormatting>
  <conditionalFormatting sqref="Q89:Q99">
    <cfRule type="expression" dxfId="245" priority="97">
      <formula>OR(IF(Q89&lt;R89,TRUE),IF(AND(R89="",Q89&lt;&gt;""),TRUE))</formula>
    </cfRule>
    <cfRule type="expression" dxfId="244" priority="98">
      <formula>IF(Q89&gt;=R89,IF(Q89="",FALSE,TRUE))</formula>
    </cfRule>
  </conditionalFormatting>
  <conditionalFormatting sqref="V18:V30 X18:X30">
    <cfRule type="expression" dxfId="243" priority="300">
      <formula>OR(IF(V18&lt;W18,TRUE),IF(AND(W18="",V18&lt;&gt;""),TRUE))</formula>
    </cfRule>
    <cfRule type="expression" dxfId="242" priority="301">
      <formula>IF(V18&gt;=W18,IF(V18="",FALSE,TRUE))</formula>
    </cfRule>
  </conditionalFormatting>
  <conditionalFormatting sqref="V45:V56">
    <cfRule type="expression" dxfId="241" priority="447">
      <formula>OR(IF(V45&lt;W45,TRUE),IF(AND(W45="",V45&lt;&gt;""),TRUE))</formula>
    </cfRule>
    <cfRule type="expression" dxfId="240" priority="448">
      <formula>IF(V45&gt;=W45,IF(V45="",FALSE,TRUE))</formula>
    </cfRule>
  </conditionalFormatting>
  <conditionalFormatting sqref="V76:V86">
    <cfRule type="expression" dxfId="239" priority="154">
      <formula>OR(IF(V76&lt;W76,TRUE),IF(AND(W76="",V76&lt;&gt;""),TRUE))</formula>
    </cfRule>
    <cfRule type="expression" dxfId="238" priority="155">
      <formula>IF(V76&gt;=W76,IF(V76="",FALSE,TRUE))</formula>
    </cfRule>
  </conditionalFormatting>
  <conditionalFormatting sqref="V89:V99">
    <cfRule type="expression" dxfId="237" priority="95">
      <formula>OR(IF(V89&lt;W89,TRUE),IF(AND(W89="",V89&lt;&gt;""),TRUE))</formula>
    </cfRule>
    <cfRule type="expression" dxfId="236" priority="96">
      <formula>IF(V89&gt;=W89,IF(V89="",FALSE,TRUE))</formula>
    </cfRule>
  </conditionalFormatting>
  <conditionalFormatting sqref="X45:X56">
    <cfRule type="expression" dxfId="235" priority="445">
      <formula>OR(IF(X45&lt;Y45,TRUE),IF(AND(Y45="",X45&lt;&gt;""),TRUE))</formula>
    </cfRule>
    <cfRule type="expression" dxfId="234" priority="446">
      <formula>IF(X45&gt;=Y45,IF(X45="",FALSE,TRUE))</formula>
    </cfRule>
  </conditionalFormatting>
  <conditionalFormatting sqref="X76:X86">
    <cfRule type="expression" dxfId="233" priority="152">
      <formula>OR(IF(X76&lt;Y76,TRUE),IF(AND(Y76="",X76&lt;&gt;""),TRUE))</formula>
    </cfRule>
    <cfRule type="expression" dxfId="232" priority="153">
      <formula>IF(X76&gt;=Y76,IF(X76="",FALSE,TRUE))</formula>
    </cfRule>
  </conditionalFormatting>
  <conditionalFormatting sqref="X89:X99">
    <cfRule type="expression" dxfId="231" priority="93">
      <formula>OR(IF(X89&lt;Y89,TRUE),IF(AND(Y89="",X89&lt;&gt;""),TRUE))</formula>
    </cfRule>
    <cfRule type="expression" dxfId="230" priority="94">
      <formula>IF(X89&gt;=Y89,IF(X89="",FALSE,TRUE))</formula>
    </cfRule>
  </conditionalFormatting>
  <conditionalFormatting sqref="AC18:AC30 AE18:AE30">
    <cfRule type="expression" dxfId="229" priority="298">
      <formula>OR(IF(AC18&lt;AD18,TRUE),IF(AND(AD18="",AC18&lt;&gt;""),TRUE))</formula>
    </cfRule>
    <cfRule type="expression" dxfId="228" priority="299">
      <formula>IF(AC18&gt;=AD18,IF(AC18="",FALSE,TRUE))</formula>
    </cfRule>
  </conditionalFormatting>
  <conditionalFormatting sqref="AC45:AC56">
    <cfRule type="expression" dxfId="227" priority="439">
      <formula>OR(IF(AC45&lt;AD45,TRUE),IF(AND(AD45="",AC45&lt;&gt;""),TRUE))</formula>
    </cfRule>
    <cfRule type="expression" dxfId="226" priority="440">
      <formula>IF(AC45&gt;=AD45,IF(AC45="",FALSE,TRUE))</formula>
    </cfRule>
  </conditionalFormatting>
  <conditionalFormatting sqref="AC76:AC86">
    <cfRule type="expression" dxfId="225" priority="150">
      <formula>OR(IF(AC76&lt;AD76,TRUE),IF(AND(AD76="",AC76&lt;&gt;""),TRUE))</formula>
    </cfRule>
    <cfRule type="expression" dxfId="224" priority="151">
      <formula>IF(AC76&gt;=AD76,IF(AC76="",FALSE,TRUE))</formula>
    </cfRule>
  </conditionalFormatting>
  <conditionalFormatting sqref="AC89:AC99">
    <cfRule type="expression" dxfId="223" priority="91">
      <formula>OR(IF(AC89&lt;AD89,TRUE),IF(AND(AD89="",AC89&lt;&gt;""),TRUE))</formula>
    </cfRule>
    <cfRule type="expression" dxfId="222" priority="92">
      <formula>IF(AC89&gt;=AD89,IF(AC89="",FALSE,TRUE))</formula>
    </cfRule>
  </conditionalFormatting>
  <conditionalFormatting sqref="AE45:AE56">
    <cfRule type="expression" dxfId="221" priority="437">
      <formula>OR(IF(AE45&lt;AF45,TRUE),IF(AND(AF45="",AE45&lt;&gt;""),TRUE))</formula>
    </cfRule>
    <cfRule type="expression" dxfId="220" priority="438">
      <formula>IF(AE45&gt;=AF45,IF(AE45="",FALSE,TRUE))</formula>
    </cfRule>
  </conditionalFormatting>
  <conditionalFormatting sqref="AE76:AE86">
    <cfRule type="expression" dxfId="219" priority="148">
      <formula>OR(IF(AE76&lt;AF76,TRUE),IF(AND(AF76="",AE76&lt;&gt;""),TRUE))</formula>
    </cfRule>
    <cfRule type="expression" dxfId="218" priority="149">
      <formula>IF(AE76&gt;=AF76,IF(AE76="",FALSE,TRUE))</formula>
    </cfRule>
  </conditionalFormatting>
  <conditionalFormatting sqref="AE89:AE99">
    <cfRule type="expression" dxfId="217" priority="89">
      <formula>OR(IF(AE89&lt;AF89,TRUE),IF(AND(AF89="",AE89&lt;&gt;""),TRUE))</formula>
    </cfRule>
    <cfRule type="expression" dxfId="216" priority="90">
      <formula>IF(AE89&gt;=AF89,IF(AE89="",FALSE,TRUE))</formula>
    </cfRule>
  </conditionalFormatting>
  <conditionalFormatting sqref="AJ18:AJ30 AL18:AL30">
    <cfRule type="expression" dxfId="215" priority="296">
      <formula>OR(IF(AJ18&lt;AK18,TRUE),IF(AND(AK18="",AJ18&lt;&gt;""),TRUE))</formula>
    </cfRule>
    <cfRule type="expression" dxfId="214" priority="297">
      <formula>IF(AJ18&gt;=AK18,IF(AJ18="",FALSE,TRUE))</formula>
    </cfRule>
  </conditionalFormatting>
  <conditionalFormatting sqref="AJ45:AJ56">
    <cfRule type="expression" dxfId="213" priority="431">
      <formula>OR(IF(AJ45&lt;AK45,TRUE),IF(AND(AK45="",AJ45&lt;&gt;""),TRUE))</formula>
    </cfRule>
    <cfRule type="expression" dxfId="212" priority="432">
      <formula>IF(AJ45&gt;=AK45,IF(AJ45="",FALSE,TRUE))</formula>
    </cfRule>
  </conditionalFormatting>
  <conditionalFormatting sqref="AJ83:AJ86">
    <cfRule type="expression" dxfId="211" priority="146">
      <formula>OR(IF(AJ83&lt;AK83,TRUE),IF(AND(AK83="",AJ83&lt;&gt;""),TRUE))</formula>
    </cfRule>
    <cfRule type="expression" dxfId="210" priority="147">
      <formula>IF(AJ83&gt;=AK83,IF(AJ83="",FALSE,TRUE))</formula>
    </cfRule>
  </conditionalFormatting>
  <conditionalFormatting sqref="AJ89:AJ99">
    <cfRule type="expression" dxfId="209" priority="87">
      <formula>OR(IF(AJ89&lt;AK89,TRUE),IF(AND(AK89="",AJ89&lt;&gt;""),TRUE))</formula>
    </cfRule>
    <cfRule type="expression" dxfId="208" priority="88">
      <formula>IF(AJ89&gt;=AK89,IF(AJ89="",FALSE,TRUE))</formula>
    </cfRule>
  </conditionalFormatting>
  <conditionalFormatting sqref="AL45:AL56">
    <cfRule type="expression" dxfId="207" priority="429">
      <formula>OR(IF(AL45&lt;AM45,TRUE),IF(AND(AM45="",AL45&lt;&gt;""),TRUE))</formula>
    </cfRule>
    <cfRule type="expression" dxfId="206" priority="430">
      <formula>IF(AL45&gt;=AM45,IF(AL45="",FALSE,TRUE))</formula>
    </cfRule>
  </conditionalFormatting>
  <conditionalFormatting sqref="AL76:AL86">
    <cfRule type="expression" dxfId="205" priority="144">
      <formula>OR(IF(AL76&lt;AM76,TRUE),IF(AND(AM76="",AL76&lt;&gt;""),TRUE))</formula>
    </cfRule>
    <cfRule type="expression" dxfId="204" priority="145">
      <formula>IF(AL76&gt;=AM76,IF(AL76="",FALSE,TRUE))</formula>
    </cfRule>
  </conditionalFormatting>
  <conditionalFormatting sqref="AL89:AL99">
    <cfRule type="expression" dxfId="203" priority="85">
      <formula>OR(IF(AL89&lt;AM89,TRUE),IF(AND(AM89="",AL89&lt;&gt;""),TRUE))</formula>
    </cfRule>
    <cfRule type="expression" dxfId="202" priority="86">
      <formula>IF(AL89&gt;=AM89,IF(AL89="",FALSE,TRUE))</formula>
    </cfRule>
  </conditionalFormatting>
  <conditionalFormatting sqref="AS18:AS30 AQ18:AQ30">
    <cfRule type="expression" dxfId="201" priority="294">
      <formula>OR(IF(AQ18&lt;AR18,TRUE),IF(AND(AR18="",AQ18&lt;&gt;""),TRUE))</formula>
    </cfRule>
    <cfRule type="expression" dxfId="200" priority="295">
      <formula>IF(AQ18&gt;=AR18,IF(AQ18="",FALSE,TRUE))</formula>
    </cfRule>
  </conditionalFormatting>
  <conditionalFormatting sqref="AQ45:AQ56">
    <cfRule type="expression" dxfId="199" priority="423">
      <formula>OR(IF(AQ45&lt;AR45,TRUE),IF(AND(AR45="",AQ45&lt;&gt;""),TRUE))</formula>
    </cfRule>
    <cfRule type="expression" dxfId="198" priority="424">
      <formula>IF(AQ45&gt;=AR45,IF(AQ45="",FALSE,TRUE))</formula>
    </cfRule>
  </conditionalFormatting>
  <conditionalFormatting sqref="AQ85:AQ86">
    <cfRule type="expression" dxfId="197" priority="142">
      <formula>OR(IF(AQ85&lt;AR85,TRUE),IF(AND(AR85="",AQ85&lt;&gt;""),TRUE))</formula>
    </cfRule>
    <cfRule type="expression" dxfId="196" priority="143">
      <formula>IF(AQ85&gt;=AR85,IF(AQ85="",FALSE,TRUE))</formula>
    </cfRule>
  </conditionalFormatting>
  <conditionalFormatting sqref="AQ89:AQ99">
    <cfRule type="expression" dxfId="195" priority="83">
      <formula>OR(IF(AQ89&lt;AR89,TRUE),IF(AND(AR89="",AQ89&lt;&gt;""),TRUE))</formula>
    </cfRule>
    <cfRule type="expression" dxfId="194" priority="84">
      <formula>IF(AQ89&gt;=AR89,IF(AQ89="",FALSE,TRUE))</formula>
    </cfRule>
  </conditionalFormatting>
  <conditionalFormatting sqref="AS45:AS56">
    <cfRule type="expression" dxfId="193" priority="421">
      <formula>OR(IF(AS45&lt;AT45,TRUE),IF(AND(AT45="",AS45&lt;&gt;""),TRUE))</formula>
    </cfRule>
    <cfRule type="expression" dxfId="192" priority="422">
      <formula>IF(AS45&gt;=AT45,IF(AS45="",FALSE,TRUE))</formula>
    </cfRule>
  </conditionalFormatting>
  <conditionalFormatting sqref="AS85:AS86">
    <cfRule type="expression" dxfId="191" priority="140">
      <formula>OR(IF(AS85&lt;AT85,TRUE),IF(AND(AT85="",AS85&lt;&gt;""),TRUE))</formula>
    </cfRule>
    <cfRule type="expression" dxfId="190" priority="141">
      <formula>IF(AS85&gt;=AT85,IF(AS85="",FALSE,TRUE))</formula>
    </cfRule>
  </conditionalFormatting>
  <conditionalFormatting sqref="AS89:AS99">
    <cfRule type="expression" dxfId="189" priority="81">
      <formula>OR(IF(AS89&lt;AT89,TRUE),IF(AND(AT89="",AS89&lt;&gt;""),TRUE))</formula>
    </cfRule>
    <cfRule type="expression" dxfId="188" priority="82">
      <formula>IF(AS89&gt;=AT89,IF(AS89="",FALSE,TRUE))</formula>
    </cfRule>
  </conditionalFormatting>
  <conditionalFormatting sqref="AZ18:AZ30 AX18:AX30">
    <cfRule type="expression" dxfId="187" priority="292">
      <formula>OR(IF(AX18&lt;AY18,TRUE),IF(AND(AY18="",AX18&lt;&gt;""),TRUE))</formula>
    </cfRule>
    <cfRule type="expression" dxfId="186" priority="293">
      <formula>IF(AX18&gt;=AY18,IF(AX18="",FALSE,TRUE))</formula>
    </cfRule>
  </conditionalFormatting>
  <conditionalFormatting sqref="AX45:AX56">
    <cfRule type="expression" dxfId="185" priority="415">
      <formula>OR(IF(AX45&lt;AY45,TRUE),IF(AND(AY45="",AX45&lt;&gt;""),TRUE))</formula>
    </cfRule>
    <cfRule type="expression" dxfId="184" priority="416">
      <formula>IF(AX45&gt;=AY45,IF(AX45="",FALSE,TRUE))</formula>
    </cfRule>
  </conditionalFormatting>
  <conditionalFormatting sqref="AX89:AX99">
    <cfRule type="expression" dxfId="181" priority="79">
      <formula>OR(IF(AX89&lt;AY89,TRUE),IF(AND(AY89="",AX89&lt;&gt;""),TRUE))</formula>
    </cfRule>
    <cfRule type="expression" dxfId="180" priority="80">
      <formula>IF(AX89&gt;=AY89,IF(AX89="",FALSE,TRUE))</formula>
    </cfRule>
  </conditionalFormatting>
  <conditionalFormatting sqref="AZ45:AZ56">
    <cfRule type="expression" dxfId="179" priority="413">
      <formula>OR(IF(AZ45&lt;BA45,TRUE),IF(AND(BA45="",AZ45&lt;&gt;""),TRUE))</formula>
    </cfRule>
    <cfRule type="expression" dxfId="178" priority="414">
      <formula>IF(AZ45&gt;=BA45,IF(AZ45="",FALSE,TRUE))</formula>
    </cfRule>
  </conditionalFormatting>
  <conditionalFormatting sqref="AZ76:AZ86">
    <cfRule type="expression" dxfId="177" priority="136">
      <formula>OR(IF(AZ76&lt;BA76,TRUE),IF(AND(BA76="",AZ76&lt;&gt;""),TRUE))</formula>
    </cfRule>
    <cfRule type="expression" dxfId="176" priority="137">
      <formula>IF(AZ76&gt;=BA76,IF(AZ76="",FALSE,TRUE))</formula>
    </cfRule>
  </conditionalFormatting>
  <conditionalFormatting sqref="AZ89:AZ99">
    <cfRule type="expression" dxfId="175" priority="77">
      <formula>OR(IF(AZ89&lt;BA89,TRUE),IF(AND(BA89="",AZ89&lt;&gt;""),TRUE))</formula>
    </cfRule>
    <cfRule type="expression" dxfId="174" priority="78">
      <formula>IF(AZ89&gt;=BA89,IF(AZ89="",FALSE,TRUE))</formula>
    </cfRule>
  </conditionalFormatting>
  <conditionalFormatting sqref="BG18:BG30 BE18:BE30">
    <cfRule type="expression" dxfId="173" priority="290">
      <formula>OR(IF(BE18&lt;BF18,TRUE),IF(AND(BF18="",BE18&lt;&gt;""),TRUE))</formula>
    </cfRule>
    <cfRule type="expression" dxfId="172" priority="291">
      <formula>IF(BE18&gt;=BF18,IF(BE18="",FALSE,TRUE))</formula>
    </cfRule>
  </conditionalFormatting>
  <conditionalFormatting sqref="BE45:BE56">
    <cfRule type="expression" dxfId="171" priority="407">
      <formula>OR(IF(BE45&lt;BF45,TRUE),IF(AND(BF45="",BE45&lt;&gt;""),TRUE))</formula>
    </cfRule>
    <cfRule type="expression" dxfId="170" priority="408">
      <formula>IF(BE45&gt;=BF45,IF(BE45="",FALSE,TRUE))</formula>
    </cfRule>
  </conditionalFormatting>
  <conditionalFormatting sqref="BE89:BE99">
    <cfRule type="expression" dxfId="169" priority="75">
      <formula>OR(IF(BE89&lt;BF89,TRUE),IF(AND(BF89="",BE89&lt;&gt;""),TRUE))</formula>
    </cfRule>
    <cfRule type="expression" dxfId="168" priority="76">
      <formula>IF(BE89&gt;=BF89,IF(BE89="",FALSE,TRUE))</formula>
    </cfRule>
  </conditionalFormatting>
  <conditionalFormatting sqref="BG45:BG56">
    <cfRule type="expression" dxfId="167" priority="405">
      <formula>OR(IF(BG45&lt;BH45,TRUE),IF(AND(BH45="",BG45&lt;&gt;""),TRUE))</formula>
    </cfRule>
    <cfRule type="expression" dxfId="166" priority="406">
      <formula>IF(BG45&gt;=BH45,IF(BG45="",FALSE,TRUE))</formula>
    </cfRule>
  </conditionalFormatting>
  <conditionalFormatting sqref="BG76:BG86">
    <cfRule type="expression" dxfId="165" priority="132">
      <formula>OR(IF(BG76&lt;BH76,TRUE),IF(AND(BH76="",BG76&lt;&gt;""),TRUE))</formula>
    </cfRule>
    <cfRule type="expression" dxfId="164" priority="133">
      <formula>IF(BG76&gt;=BH76,IF(BG76="",FALSE,TRUE))</formula>
    </cfRule>
  </conditionalFormatting>
  <conditionalFormatting sqref="BG89:BG99">
    <cfRule type="expression" dxfId="163" priority="73">
      <formula>OR(IF(BG89&lt;BH89,TRUE),IF(AND(BH89="",BG89&lt;&gt;""),TRUE))</formula>
    </cfRule>
    <cfRule type="expression" dxfId="162" priority="74">
      <formula>IF(BG89&gt;=BH89,IF(BG89="",FALSE,TRUE))</formula>
    </cfRule>
  </conditionalFormatting>
  <conditionalFormatting sqref="BN18:BN30 BL18:BL30">
    <cfRule type="expression" dxfId="161" priority="285">
      <formula>OR(IF(BL18&lt;BM18,TRUE),IF(AND(BM18="",BL18&lt;&gt;""),TRUE))</formula>
    </cfRule>
    <cfRule type="expression" dxfId="160" priority="286">
      <formula>IF(BL18&gt;=BM18,IF(BL18="",FALSE,TRUE))</formula>
    </cfRule>
  </conditionalFormatting>
  <conditionalFormatting sqref="BL45:BL56">
    <cfRule type="expression" dxfId="159" priority="396">
      <formula>OR(IF(BL45&lt;BM45,TRUE),IF(AND(BM45="",BL45&lt;&gt;""),TRUE))</formula>
    </cfRule>
    <cfRule type="expression" dxfId="158" priority="397">
      <formula>IF(BL45&gt;=BM45,IF(BL45="",FALSE,TRUE))</formula>
    </cfRule>
  </conditionalFormatting>
  <conditionalFormatting sqref="BL89:BL99">
    <cfRule type="expression" dxfId="157" priority="71">
      <formula>OR(IF(BL89&lt;BM89,TRUE),IF(AND(BM89="",BL89&lt;&gt;""),TRUE))</formula>
    </cfRule>
    <cfRule type="expression" dxfId="156" priority="72">
      <formula>IF(BL89&gt;=BM89,IF(BL89="",FALSE,TRUE))</formula>
    </cfRule>
  </conditionalFormatting>
  <conditionalFormatting sqref="BN45:BN56">
    <cfRule type="expression" dxfId="155" priority="394">
      <formula>OR(IF(BN45&lt;BO45,TRUE),IF(AND(BO45="",BN45&lt;&gt;""),TRUE))</formula>
    </cfRule>
    <cfRule type="expression" dxfId="154" priority="395">
      <formula>IF(BN45&gt;=BO45,IF(BN45="",FALSE,TRUE))</formula>
    </cfRule>
  </conditionalFormatting>
  <conditionalFormatting sqref="BN76:BN86">
    <cfRule type="expression" dxfId="153" priority="128">
      <formula>OR(IF(BN76&lt;BO76,TRUE),IF(AND(BO76="",BN76&lt;&gt;""),TRUE))</formula>
    </cfRule>
    <cfRule type="expression" dxfId="152" priority="129">
      <formula>IF(BN76&gt;=BO76,IF(BN76="",FALSE,TRUE))</formula>
    </cfRule>
  </conditionalFormatting>
  <conditionalFormatting sqref="BN89:BN99">
    <cfRule type="expression" dxfId="151" priority="69">
      <formula>OR(IF(BN89&lt;BO89,TRUE),IF(AND(BO89="",BN89&lt;&gt;""),TRUE))</formula>
    </cfRule>
    <cfRule type="expression" dxfId="150" priority="70">
      <formula>IF(BN89&gt;=BO89,IF(BN89="",FALSE,TRUE))</formula>
    </cfRule>
  </conditionalFormatting>
  <conditionalFormatting sqref="BS18:BS30 BU18:BU30">
    <cfRule type="expression" dxfId="149" priority="265">
      <formula>OR(IF(BS18&lt;BT18,TRUE),IF(AND(BT18="",BS18&lt;&gt;""),TRUE))</formula>
    </cfRule>
    <cfRule type="expression" dxfId="148" priority="266">
      <formula>IF(BS18&gt;=BT18,IF(BS18="",FALSE,TRUE))</formula>
    </cfRule>
  </conditionalFormatting>
  <conditionalFormatting sqref="BS45:BS56">
    <cfRule type="expression" dxfId="147" priority="271">
      <formula>OR(IF(BS45&lt;BT45,TRUE),IF(AND(BT45="",BS45&lt;&gt;""),TRUE))</formula>
    </cfRule>
    <cfRule type="expression" dxfId="146" priority="272">
      <formula>IF(BS45&gt;=BT45,IF(BS45="",FALSE,TRUE))</formula>
    </cfRule>
  </conditionalFormatting>
  <conditionalFormatting sqref="BU59:BU73 BS59:BS73">
    <cfRule type="expression" dxfId="145" priority="283">
      <formula>OR(IF(BS59&lt;BT59,TRUE),IF(AND(BT59="",BS59&lt;&gt;""),TRUE))</formula>
    </cfRule>
    <cfRule type="expression" dxfId="144" priority="284">
      <formula>IF(BS59&gt;=BT59,IF(BS59="",FALSE,TRUE))</formula>
    </cfRule>
  </conditionalFormatting>
  <conditionalFormatting sqref="BS89:BS99">
    <cfRule type="expression" dxfId="143" priority="67">
      <formula>OR(IF(BS89&lt;BT89,TRUE),IF(AND(BT89="",BS89&lt;&gt;""),TRUE))</formula>
    </cfRule>
    <cfRule type="expression" dxfId="142" priority="68">
      <formula>IF(BS89&gt;=BT89,IF(BS89="",FALSE,TRUE))</formula>
    </cfRule>
  </conditionalFormatting>
  <conditionalFormatting sqref="BU5:BU14 CW59">
    <cfRule type="expression" dxfId="141" priority="926">
      <formula>OR(IF(BU5&lt;BV6,TRUE),IF(AND(BV6="",BU5&lt;&gt;""),TRUE))</formula>
    </cfRule>
    <cfRule type="expression" dxfId="140" priority="927">
      <formula>IF(BU5&gt;=BV6,IF(BU5="",FALSE,TRUE))</formula>
    </cfRule>
  </conditionalFormatting>
  <conditionalFormatting sqref="BU45:BU56">
    <cfRule type="expression" dxfId="139" priority="269">
      <formula>OR(IF(BU45&lt;BV45,TRUE),IF(AND(BV45="",BU45&lt;&gt;""),TRUE))</formula>
    </cfRule>
    <cfRule type="expression" dxfId="138" priority="270">
      <formula>IF(BU45&gt;=BV45,IF(BU45="",FALSE,TRUE))</formula>
    </cfRule>
  </conditionalFormatting>
  <conditionalFormatting sqref="BU89:BU99">
    <cfRule type="expression" dxfId="137" priority="65">
      <formula>OR(IF(BU89&lt;BV89,TRUE),IF(AND(BV89="",BU89&lt;&gt;""),TRUE))</formula>
    </cfRule>
    <cfRule type="expression" dxfId="136" priority="66">
      <formula>IF(BU89&gt;=BV89,IF(BU89="",FALSE,TRUE))</formula>
    </cfRule>
  </conditionalFormatting>
  <conditionalFormatting sqref="BZ18:BZ30 CB18:CB30">
    <cfRule type="expression" dxfId="135" priority="245">
      <formula>OR(IF(BZ18&lt;CA18,TRUE),IF(AND(CA18="",BZ18&lt;&gt;""),TRUE))</formula>
    </cfRule>
    <cfRule type="expression" dxfId="134" priority="246">
      <formula>IF(BZ18&gt;=CA18,IF(BZ18="",FALSE,TRUE))</formula>
    </cfRule>
  </conditionalFormatting>
  <conditionalFormatting sqref="BZ45:BZ56">
    <cfRule type="expression" dxfId="133" priority="25">
      <formula>OR(IF(BZ45&lt;CA45,TRUE),IF(AND(CA45="",BZ45&lt;&gt;""),TRUE))</formula>
    </cfRule>
    <cfRule type="expression" dxfId="132" priority="26">
      <formula>IF(BZ45&gt;=CA45,IF(BZ45="",FALSE,TRUE))</formula>
    </cfRule>
  </conditionalFormatting>
  <conditionalFormatting sqref="CB59:CB73 BZ59:BZ73">
    <cfRule type="expression" dxfId="131" priority="263">
      <formula>OR(IF(BZ59&lt;CA59,TRUE),IF(AND(CA59="",BZ59&lt;&gt;""),TRUE))</formula>
    </cfRule>
    <cfRule type="expression" dxfId="130" priority="264">
      <formula>IF(BZ59&gt;=CA59,IF(BZ59="",FALSE,TRUE))</formula>
    </cfRule>
  </conditionalFormatting>
  <conditionalFormatting sqref="BZ76">
    <cfRule type="expression" dxfId="129" priority="122">
      <formula>OR(IF(BZ76&lt;CA76,TRUE),IF(AND(CA76="",BZ76&lt;&gt;""),TRUE))</formula>
    </cfRule>
    <cfRule type="expression" dxfId="128" priority="123">
      <formula>IF(BZ76&gt;=CA76,IF(BZ76="",FALSE,TRUE))</formula>
    </cfRule>
  </conditionalFormatting>
  <conditionalFormatting sqref="BZ89:BZ99">
    <cfRule type="expression" dxfId="127" priority="63">
      <formula>OR(IF(BZ89&lt;CA89,TRUE),IF(AND(CA89="",BZ89&lt;&gt;""),TRUE))</formula>
    </cfRule>
    <cfRule type="expression" dxfId="126" priority="64">
      <formula>IF(BZ89&gt;=CA89,IF(BZ89="",FALSE,TRUE))</formula>
    </cfRule>
  </conditionalFormatting>
  <conditionalFormatting sqref="CB45:CB56">
    <cfRule type="expression" dxfId="125" priority="249">
      <formula>OR(IF(CB45&lt;CC45,TRUE),IF(AND(CC45="",CB45&lt;&gt;""),TRUE))</formula>
    </cfRule>
    <cfRule type="expression" dxfId="124" priority="250">
      <formula>IF(CB45&gt;=CC45,IF(CB45="",FALSE,TRUE))</formula>
    </cfRule>
  </conditionalFormatting>
  <conditionalFormatting sqref="CB76:CB86">
    <cfRule type="expression" dxfId="123" priority="120">
      <formula>OR(IF(CB76&lt;CC76,TRUE),IF(AND(CC76="",CB76&lt;&gt;""),TRUE))</formula>
    </cfRule>
    <cfRule type="expression" dxfId="122" priority="121">
      <formula>IF(CB76&gt;=CC76,IF(CB76="",FALSE,TRUE))</formula>
    </cfRule>
  </conditionalFormatting>
  <conditionalFormatting sqref="CB89:CB99">
    <cfRule type="expression" dxfId="121" priority="61">
      <formula>OR(IF(CB89&lt;CC89,TRUE),IF(AND(CC89="",CB89&lt;&gt;""),TRUE))</formula>
    </cfRule>
    <cfRule type="expression" dxfId="120" priority="62">
      <formula>IF(CB89&gt;=CC89,IF(CB89="",FALSE,TRUE))</formula>
    </cfRule>
  </conditionalFormatting>
  <conditionalFormatting sqref="CG18:CG30 CI18:CI30">
    <cfRule type="expression" dxfId="119" priority="225">
      <formula>OR(IF(CG18&lt;CH18,TRUE),IF(AND(CH18="",CG18&lt;&gt;""),TRUE))</formula>
    </cfRule>
    <cfRule type="expression" dxfId="118" priority="226">
      <formula>IF(CG18&gt;=CH18,IF(CG18="",FALSE,TRUE))</formula>
    </cfRule>
  </conditionalFormatting>
  <conditionalFormatting sqref="CG45:CG56">
    <cfRule type="expression" dxfId="117" priority="231">
      <formula>OR(IF(CG45&lt;CH45,TRUE),IF(AND(CH45="",CG45&lt;&gt;""),TRUE))</formula>
    </cfRule>
    <cfRule type="expression" dxfId="116" priority="232">
      <formula>IF(CG45&gt;=CH45,IF(CG45="",FALSE,TRUE))</formula>
    </cfRule>
  </conditionalFormatting>
  <conditionalFormatting sqref="CI59:CI73 CG59:CG73">
    <cfRule type="expression" dxfId="115" priority="243">
      <formula>OR(IF(CG59&lt;CH59,TRUE),IF(AND(CH59="",CG59&lt;&gt;""),TRUE))</formula>
    </cfRule>
    <cfRule type="expression" dxfId="114" priority="244">
      <formula>IF(CG59&gt;=CH59,IF(CG59="",FALSE,TRUE))</formula>
    </cfRule>
  </conditionalFormatting>
  <conditionalFormatting sqref="CG76">
    <cfRule type="expression" dxfId="113" priority="118">
      <formula>OR(IF(CG76&lt;CH76,TRUE),IF(AND(CH76="",CG76&lt;&gt;""),TRUE))</formula>
    </cfRule>
    <cfRule type="expression" dxfId="112" priority="119">
      <formula>IF(CG76&gt;=CH76,IF(CG76="",FALSE,TRUE))</formula>
    </cfRule>
  </conditionalFormatting>
  <conditionalFormatting sqref="CG89:CG99">
    <cfRule type="expression" dxfId="111" priority="59">
      <formula>OR(IF(CG89&lt;CH89,TRUE),IF(AND(CH89="",CG89&lt;&gt;""),TRUE))</formula>
    </cfRule>
    <cfRule type="expression" dxfId="110" priority="60">
      <formula>IF(CG89&gt;=CH89,IF(CG89="",FALSE,TRUE))</formula>
    </cfRule>
  </conditionalFormatting>
  <conditionalFormatting sqref="CI45:CI56">
    <cfRule type="expression" dxfId="109" priority="229">
      <formula>OR(IF(CI45&lt;CJ45,TRUE),IF(AND(CJ45="",CI45&lt;&gt;""),TRUE))</formula>
    </cfRule>
    <cfRule type="expression" dxfId="108" priority="230">
      <formula>IF(CI45&gt;=CJ45,IF(CI45="",FALSE,TRUE))</formula>
    </cfRule>
  </conditionalFormatting>
  <conditionalFormatting sqref="CI76:CI86">
    <cfRule type="expression" dxfId="107" priority="116">
      <formula>OR(IF(CI76&lt;CJ76,TRUE),IF(AND(CJ76="",CI76&lt;&gt;""),TRUE))</formula>
    </cfRule>
    <cfRule type="expression" dxfId="106" priority="117">
      <formula>IF(CI76&gt;=CJ76,IF(CI76="",FALSE,TRUE))</formula>
    </cfRule>
  </conditionalFormatting>
  <conditionalFormatting sqref="CI89:CI99">
    <cfRule type="expression" dxfId="105" priority="57">
      <formula>OR(IF(CI89&lt;CJ89,TRUE),IF(AND(CJ89="",CI89&lt;&gt;""),TRUE))</formula>
    </cfRule>
    <cfRule type="expression" dxfId="104" priority="58">
      <formula>IF(CI89&gt;=CJ89,IF(CI89="",FALSE,TRUE))</formula>
    </cfRule>
  </conditionalFormatting>
  <conditionalFormatting sqref="CN18:CN30 CP18:CP30">
    <cfRule type="expression" dxfId="103" priority="205">
      <formula>OR(IF(CN18&lt;CO18,TRUE),IF(AND(CO18="",CN18&lt;&gt;""),TRUE))</formula>
    </cfRule>
    <cfRule type="expression" dxfId="102" priority="206">
      <formula>IF(CN18&gt;=CO18,IF(CN18="",FALSE,TRUE))</formula>
    </cfRule>
  </conditionalFormatting>
  <conditionalFormatting sqref="CN45:CN56">
    <cfRule type="expression" dxfId="101" priority="211">
      <formula>OR(IF(CN45&lt;CO45,TRUE),IF(AND(CO45="",CN45&lt;&gt;""),TRUE))</formula>
    </cfRule>
    <cfRule type="expression" dxfId="100" priority="212">
      <formula>IF(CN45&gt;=CO45,IF(CN45="",FALSE,TRUE))</formula>
    </cfRule>
  </conditionalFormatting>
  <conditionalFormatting sqref="CP58:CP73 CN58:CN73">
    <cfRule type="expression" dxfId="99" priority="223">
      <formula>OR(IF(CN58&lt;CO58,TRUE),IF(AND(CO58="",CN58&lt;&gt;""),TRUE))</formula>
    </cfRule>
    <cfRule type="expression" dxfId="98" priority="224">
      <formula>IF(CN58&gt;=CO58,IF(CN58="",FALSE,TRUE))</formula>
    </cfRule>
  </conditionalFormatting>
  <conditionalFormatting sqref="CN76">
    <cfRule type="expression" dxfId="97" priority="114">
      <formula>OR(IF(CN76&lt;CO76,TRUE),IF(AND(CO76="",CN76&lt;&gt;""),TRUE))</formula>
    </cfRule>
    <cfRule type="expression" dxfId="96" priority="115">
      <formula>IF(CN76&gt;=CO76,IF(CN76="",FALSE,TRUE))</formula>
    </cfRule>
  </conditionalFormatting>
  <conditionalFormatting sqref="CN89:CN99">
    <cfRule type="expression" dxfId="95" priority="55">
      <formula>OR(IF(CN89&lt;CO89,TRUE),IF(AND(CO89="",CN89&lt;&gt;""),TRUE))</formula>
    </cfRule>
    <cfRule type="expression" dxfId="94" priority="56">
      <formula>IF(CN89&gt;=CO89,IF(CN89="",FALSE,TRUE))</formula>
    </cfRule>
  </conditionalFormatting>
  <conditionalFormatting sqref="CP45:CP56">
    <cfRule type="expression" dxfId="93" priority="209">
      <formula>OR(IF(CP45&lt;CQ45,TRUE),IF(AND(CQ45="",CP45&lt;&gt;""),TRUE))</formula>
    </cfRule>
    <cfRule type="expression" dxfId="92" priority="210">
      <formula>IF(CP45&gt;=CQ45,IF(CP45="",FALSE,TRUE))</formula>
    </cfRule>
  </conditionalFormatting>
  <conditionalFormatting sqref="CP76:CP86">
    <cfRule type="expression" dxfId="91" priority="112">
      <formula>OR(IF(CP76&lt;CQ76,TRUE),IF(AND(CQ76="",CP76&lt;&gt;""),TRUE))</formula>
    </cfRule>
    <cfRule type="expression" dxfId="90" priority="113">
      <formula>IF(CP76&gt;=CQ76,IF(CP76="",FALSE,TRUE))</formula>
    </cfRule>
  </conditionalFormatting>
  <conditionalFormatting sqref="CP89:CP99">
    <cfRule type="expression" dxfId="89" priority="53">
      <formula>OR(IF(CP89&lt;CQ89,TRUE),IF(AND(CQ89="",CP89&lt;&gt;""),TRUE))</formula>
    </cfRule>
    <cfRule type="expression" dxfId="88" priority="54">
      <formula>IF(CP89&gt;=CQ89,IF(CP89="",FALSE,TRUE))</formula>
    </cfRule>
  </conditionalFormatting>
  <conditionalFormatting sqref="CU18:CU30 CW18:CW30">
    <cfRule type="expression" dxfId="87" priority="185">
      <formula>OR(IF(CU18&lt;CV18,TRUE),IF(AND(CV18="",CU18&lt;&gt;""),TRUE))</formula>
    </cfRule>
    <cfRule type="expression" dxfId="86" priority="186">
      <formula>IF(CU18&gt;=CV18,IF(CU18="",FALSE,TRUE))</formula>
    </cfRule>
  </conditionalFormatting>
  <conditionalFormatting sqref="CU45:CU56">
    <cfRule type="expression" dxfId="85" priority="191">
      <formula>OR(IF(CU45&lt;CV45,TRUE),IF(AND(CV45="",CU45&lt;&gt;""),TRUE))</formula>
    </cfRule>
    <cfRule type="expression" dxfId="84" priority="192">
      <formula>IF(CU45&gt;=CV45,IF(CU45="",FALSE,TRUE))</formula>
    </cfRule>
  </conditionalFormatting>
  <conditionalFormatting sqref="CU59:CU73">
    <cfRule type="expression" dxfId="83" priority="203">
      <formula>OR(IF(CU59&lt;CV59,TRUE),IF(AND(CV59="",CU59&lt;&gt;""),TRUE))</formula>
    </cfRule>
    <cfRule type="expression" dxfId="82" priority="204">
      <formula>IF(CU59&gt;=CV59,IF(CU59="",FALSE,TRUE))</formula>
    </cfRule>
  </conditionalFormatting>
  <conditionalFormatting sqref="CU76:CU86">
    <cfRule type="expression" dxfId="81" priority="110">
      <formula>OR(IF(CU76&lt;CV76,TRUE),IF(AND(CV76="",CU76&lt;&gt;""),TRUE))</formula>
    </cfRule>
    <cfRule type="expression" dxfId="80" priority="111">
      <formula>IF(CU76&gt;=CV76,IF(CU76="",FALSE,TRUE))</formula>
    </cfRule>
  </conditionalFormatting>
  <conditionalFormatting sqref="CU89:CU99">
    <cfRule type="expression" dxfId="79" priority="51">
      <formula>OR(IF(CU89&lt;CV89,TRUE),IF(AND(CV89="",CU89&lt;&gt;""),TRUE))</formula>
    </cfRule>
    <cfRule type="expression" dxfId="78" priority="52">
      <formula>IF(CU89&gt;=CV89,IF(CU89="",FALSE,TRUE))</formula>
    </cfRule>
  </conditionalFormatting>
  <conditionalFormatting sqref="CW45:CW56">
    <cfRule type="expression" dxfId="77" priority="189">
      <formula>OR(IF(CW45&lt;CX45,TRUE),IF(AND(CX45="",CW45&lt;&gt;""),TRUE))</formula>
    </cfRule>
    <cfRule type="expression" dxfId="76" priority="190">
      <formula>IF(CW45&gt;=CX45,IF(CW45="",FALSE,TRUE))</formula>
    </cfRule>
  </conditionalFormatting>
  <conditionalFormatting sqref="CW76">
    <cfRule type="expression" dxfId="75" priority="932">
      <formula>OR(IF(CW76&lt;#REF!,TRUE),IF(AND(#REF!="",CW76&lt;&gt;""),TRUE))</formula>
    </cfRule>
    <cfRule type="expression" dxfId="74" priority="933">
      <formula>IF(CW76&gt;=#REF!,IF(CW76="",FALSE,TRUE))</formula>
    </cfRule>
  </conditionalFormatting>
  <conditionalFormatting sqref="CW77">
    <cfRule type="expression" dxfId="73" priority="930">
      <formula>OR(IF(CW77&lt;CX76,TRUE),IF(AND(CX76="",CW77&lt;&gt;""),TRUE))</formula>
    </cfRule>
    <cfRule type="expression" dxfId="72" priority="931">
      <formula>IF(CW77&gt;=CX76,IF(CW77="",FALSE,TRUE))</formula>
    </cfRule>
  </conditionalFormatting>
  <conditionalFormatting sqref="CW89:CW99">
    <cfRule type="expression" dxfId="71" priority="49">
      <formula>OR(IF(CW89&lt;CX89,TRUE),IF(AND(CX89="",CW89&lt;&gt;""),TRUE))</formula>
    </cfRule>
    <cfRule type="expression" dxfId="70" priority="50">
      <formula>IF(CW89&gt;=CX89,IF(CW89="",FALSE,TRUE))</formula>
    </cfRule>
  </conditionalFormatting>
  <conditionalFormatting sqref="DB18:DB30 DD18:DD30">
    <cfRule type="expression" dxfId="69" priority="165">
      <formula>OR(IF(DB18&lt;DC18,TRUE),IF(AND(DC18="",DB18&lt;&gt;""),TRUE))</formula>
    </cfRule>
    <cfRule type="expression" dxfId="68" priority="166">
      <formula>IF(DB18&gt;=DC18,IF(DB18="",FALSE,TRUE))</formula>
    </cfRule>
  </conditionalFormatting>
  <conditionalFormatting sqref="DB45:DB56">
    <cfRule type="expression" dxfId="67" priority="171">
      <formula>OR(IF(DB45&lt;DC45,TRUE),IF(AND(DC45="",DB45&lt;&gt;""),TRUE))</formula>
    </cfRule>
    <cfRule type="expression" dxfId="66" priority="172">
      <formula>IF(DB45&gt;=DC45,IF(DB45="",FALSE,TRUE))</formula>
    </cfRule>
  </conditionalFormatting>
  <conditionalFormatting sqref="DB59:DB73 DD59:DD73">
    <cfRule type="expression" dxfId="65" priority="183">
      <formula>OR(IF(DB59&lt;DC59,TRUE),IF(AND(DC59="",DB59&lt;&gt;""),TRUE))</formula>
    </cfRule>
    <cfRule type="expression" dxfId="64" priority="184">
      <formula>IF(DB59&gt;=DC59,IF(DB59="",FALSE,TRUE))</formula>
    </cfRule>
  </conditionalFormatting>
  <conditionalFormatting sqref="DB76:DB86">
    <cfRule type="expression" dxfId="63" priority="106">
      <formula>OR(IF(DB76&lt;DC76,TRUE),IF(AND(DC76="",DB76&lt;&gt;""),TRUE))</formula>
    </cfRule>
    <cfRule type="expression" dxfId="62" priority="107">
      <formula>IF(DB76&gt;=DC76,IF(DB76="",FALSE,TRUE))</formula>
    </cfRule>
  </conditionalFormatting>
  <conditionalFormatting sqref="DB89:DB99">
    <cfRule type="expression" dxfId="61" priority="47">
      <formula>OR(IF(DB89&lt;DC89,TRUE),IF(AND(DC89="",DB89&lt;&gt;""),TRUE))</formula>
    </cfRule>
    <cfRule type="expression" dxfId="60" priority="48">
      <formula>IF(DB89&gt;=DC89,IF(DB89="",FALSE,TRUE))</formula>
    </cfRule>
  </conditionalFormatting>
  <conditionalFormatting sqref="DD45:DD56">
    <cfRule type="expression" dxfId="59" priority="169">
      <formula>OR(IF(DD45&lt;DE45,TRUE),IF(AND(DE45="",DD45&lt;&gt;""),TRUE))</formula>
    </cfRule>
    <cfRule type="expression" dxfId="58" priority="170">
      <formula>IF(DD45&gt;=DE45,IF(DD45="",FALSE,TRUE))</formula>
    </cfRule>
  </conditionalFormatting>
  <conditionalFormatting sqref="DD76:DD86">
    <cfRule type="expression" dxfId="57" priority="104">
      <formula>OR(IF(DD76&lt;DE76,TRUE),IF(AND(DE76="",DD76&lt;&gt;""),TRUE))</formula>
    </cfRule>
    <cfRule type="expression" dxfId="56" priority="105">
      <formula>IF(DD76&gt;=DE76,IF(DD76="",FALSE,TRUE))</formula>
    </cfRule>
  </conditionalFormatting>
  <conditionalFormatting sqref="DD89:DD99">
    <cfRule type="expression" dxfId="55" priority="45">
      <formula>OR(IF(DD89&lt;DE89,TRUE),IF(AND(DE89="",DD89&lt;&gt;""),TRUE))</formula>
    </cfRule>
    <cfRule type="expression" dxfId="54" priority="46">
      <formula>IF(DD89&gt;=DE89,IF(DD89="",FALSE,TRUE))</formula>
    </cfRule>
  </conditionalFormatting>
  <conditionalFormatting sqref="DI5:DI15 DK5:DK15 DI33:DI42 DK33:DK42">
    <cfRule type="expression" dxfId="53" priority="43">
      <formula>OR(IF(DI5&lt;DJ5,TRUE),IF(AND(DJ5="",DI5&lt;&gt;""),TRUE))</formula>
    </cfRule>
    <cfRule type="expression" dxfId="52" priority="44">
      <formula>IF(DI5&gt;=DJ5,IF(DI5="",FALSE,TRUE))</formula>
    </cfRule>
  </conditionalFormatting>
  <conditionalFormatting sqref="DI18:DI30 DK18:DK30">
    <cfRule type="expression" dxfId="51" priority="35">
      <formula>OR(IF(DI18&lt;DJ18,TRUE),IF(AND(DJ18="",DI18&lt;&gt;""),TRUE))</formula>
    </cfRule>
    <cfRule type="expression" dxfId="50" priority="36">
      <formula>IF(DI18&gt;=DJ18,IF(DI18="",FALSE,TRUE))</formula>
    </cfRule>
  </conditionalFormatting>
  <conditionalFormatting sqref="DI45:DI56">
    <cfRule type="expression" dxfId="49" priority="39">
      <formula>OR(IF(DI45&lt;DJ45,TRUE),IF(AND(DJ45="",DI45&lt;&gt;""),TRUE))</formula>
    </cfRule>
    <cfRule type="expression" dxfId="48" priority="40">
      <formula>IF(DI45&gt;=DJ45,IF(DI45="",FALSE,TRUE))</formula>
    </cfRule>
  </conditionalFormatting>
  <conditionalFormatting sqref="DI59:DI73 DK59:DK73">
    <cfRule type="expression" dxfId="47" priority="41">
      <formula>OR(IF(DI59&lt;DJ59,TRUE),IF(AND(DJ59="",DI59&lt;&gt;""),TRUE))</formula>
    </cfRule>
    <cfRule type="expression" dxfId="46" priority="42">
      <formula>IF(DI59&gt;=DJ59,IF(DI59="",FALSE,TRUE))</formula>
    </cfRule>
  </conditionalFormatting>
  <conditionalFormatting sqref="DI76:DI86">
    <cfRule type="expression" dxfId="45" priority="33">
      <formula>OR(IF(DI76&lt;DJ76,TRUE),IF(AND(DJ76="",DI76&lt;&gt;""),TRUE))</formula>
    </cfRule>
    <cfRule type="expression" dxfId="44" priority="34">
      <formula>IF(DI76&gt;=DJ76,IF(DI76="",FALSE,TRUE))</formula>
    </cfRule>
  </conditionalFormatting>
  <conditionalFormatting sqref="DI89:DI99">
    <cfRule type="expression" dxfId="43" priority="29">
      <formula>OR(IF(DI89&lt;DJ89,TRUE),IF(AND(DJ89="",DI89&lt;&gt;""),TRUE))</formula>
    </cfRule>
    <cfRule type="expression" dxfId="42" priority="30">
      <formula>IF(DI89&gt;=DJ89,IF(DI89="",FALSE,TRUE))</formula>
    </cfRule>
  </conditionalFormatting>
  <conditionalFormatting sqref="DK45:DK56">
    <cfRule type="expression" dxfId="41" priority="37">
      <formula>OR(IF(DK45&lt;DL45,TRUE),IF(AND(DL45="",DK45&lt;&gt;""),TRUE))</formula>
    </cfRule>
    <cfRule type="expression" dxfId="40" priority="38">
      <formula>IF(DK45&gt;=DL45,IF(DK45="",FALSE,TRUE))</formula>
    </cfRule>
  </conditionalFormatting>
  <conditionalFormatting sqref="DK76:DK86">
    <cfRule type="expression" dxfId="39" priority="31">
      <formula>OR(IF(DK76&lt;DL76,TRUE),IF(AND(DL76="",DK76&lt;&gt;""),TRUE))</formula>
    </cfRule>
    <cfRule type="expression" dxfId="38" priority="32">
      <formula>IF(DK76&gt;=DL76,IF(DK76="",FALSE,TRUE))</formula>
    </cfRule>
  </conditionalFormatting>
  <conditionalFormatting sqref="DK89:DK99">
    <cfRule type="expression" dxfId="37" priority="27">
      <formula>OR(IF(DK89&lt;DL89,TRUE),IF(AND(DL89="",DK89&lt;&gt;""),TRUE))</formula>
    </cfRule>
    <cfRule type="expression" dxfId="36" priority="28">
      <formula>IF(DK89&gt;=DL89,IF(DK89="",FALSE,TRUE))</formula>
    </cfRule>
  </conditionalFormatting>
  <conditionalFormatting sqref="CN77:CN86">
    <cfRule type="expression" dxfId="35" priority="23">
      <formula>OR(IF(CN77&lt;CO77,TRUE),IF(AND(CO77="",CN77&lt;&gt;""),TRUE))</formula>
    </cfRule>
    <cfRule type="expression" dxfId="34" priority="24">
      <formula>IF(CN77&gt;=CO77,IF(CN77="",FALSE,TRUE))</formula>
    </cfRule>
  </conditionalFormatting>
  <conditionalFormatting sqref="CG77:CG86">
    <cfRule type="expression" dxfId="33" priority="21">
      <formula>OR(IF(CG77&lt;CH77,TRUE),IF(AND(CH77="",CG77&lt;&gt;""),TRUE))</formula>
    </cfRule>
    <cfRule type="expression" dxfId="32" priority="22">
      <formula>IF(CG77&gt;=CH77,IF(CG77="",FALSE,TRUE))</formula>
    </cfRule>
  </conditionalFormatting>
  <conditionalFormatting sqref="BZ77:BZ86">
    <cfRule type="expression" dxfId="31" priority="19">
      <formula>OR(IF(BZ77&lt;CA77,TRUE),IF(AND(CA77="",BZ77&lt;&gt;""),TRUE))</formula>
    </cfRule>
    <cfRule type="expression" dxfId="30" priority="20">
      <formula>IF(BZ77&gt;=CA77,IF(BZ77="",FALSE,TRUE))</formula>
    </cfRule>
  </conditionalFormatting>
  <conditionalFormatting sqref="BU86">
    <cfRule type="expression" dxfId="29" priority="936">
      <formula>OR(IF(BU86&lt;#REF!,TRUE),IF(AND(#REF!="",BU86&lt;&gt;""),TRUE))</formula>
    </cfRule>
    <cfRule type="expression" dxfId="28" priority="937">
      <formula>IF(BU86&gt;=#REF!,IF(BU86="",FALSE,TRUE))</formula>
    </cfRule>
  </conditionalFormatting>
  <conditionalFormatting sqref="BS76:BS85">
    <cfRule type="expression" dxfId="27" priority="13">
      <formula>OR(IF(BS76&lt;BT76,TRUE),IF(AND(BT76="",BS76&lt;&gt;""),TRUE))</formula>
    </cfRule>
    <cfRule type="expression" dxfId="26" priority="14">
      <formula>IF(BS76&gt;=BT76,IF(BS76="",FALSE,TRUE))</formula>
    </cfRule>
  </conditionalFormatting>
  <conditionalFormatting sqref="BS86">
    <cfRule type="expression" dxfId="25" priority="15">
      <formula>OR(IF(BS86&lt;#REF!,TRUE),IF(AND(#REF!="",BS86&lt;&gt;""),TRUE))</formula>
    </cfRule>
    <cfRule type="expression" dxfId="24" priority="16">
      <formula>IF(BS86&gt;=#REF!,IF(BS86="",FALSE,TRUE))</formula>
    </cfRule>
  </conditionalFormatting>
  <conditionalFormatting sqref="BL76:BL86">
    <cfRule type="expression" dxfId="23" priority="11">
      <formula>OR(IF(BL76&lt;BM76,TRUE),IF(AND(BM76="",BL76&lt;&gt;""),TRUE))</formula>
    </cfRule>
    <cfRule type="expression" dxfId="22" priority="12">
      <formula>IF(BL76&gt;=BM76,IF(BL76="",FALSE,TRUE))</formula>
    </cfRule>
  </conditionalFormatting>
  <conditionalFormatting sqref="BE76:BE86">
    <cfRule type="expression" dxfId="21" priority="9">
      <formula>OR(IF(BE76&lt;BF76,TRUE),IF(AND(BF76="",BE76&lt;&gt;""),TRUE))</formula>
    </cfRule>
    <cfRule type="expression" dxfId="20" priority="10">
      <formula>IF(BE76&gt;=BF76,IF(BE76="",FALSE,TRUE))</formula>
    </cfRule>
  </conditionalFormatting>
  <conditionalFormatting sqref="AX76:AX86">
    <cfRule type="expression" dxfId="7" priority="7">
      <formula>OR(IF(AX76&lt;AY76,TRUE),IF(AND(AY76="",AX76&lt;&gt;""),TRUE))</formula>
    </cfRule>
    <cfRule type="expression" dxfId="6" priority="8">
      <formula>IF(AX76&gt;=AY76,IF(AX76="",FALSE,TRUE))</formula>
    </cfRule>
  </conditionalFormatting>
  <conditionalFormatting sqref="AS76:AS84">
    <cfRule type="expression" dxfId="5" priority="5">
      <formula>OR(IF(AS76&lt;AT76,TRUE),IF(AND(AT76="",AS76&lt;&gt;""),TRUE))</formula>
    </cfRule>
    <cfRule type="expression" dxfId="4" priority="6">
      <formula>IF(AS76&gt;=AT76,IF(AS76="",FALSE,TRUE))</formula>
    </cfRule>
  </conditionalFormatting>
  <conditionalFormatting sqref="AQ76:AQ84">
    <cfRule type="expression" dxfId="3" priority="3">
      <formula>OR(IF(AQ76&lt;AR76,TRUE),IF(AND(AR76="",AQ76&lt;&gt;""),TRUE))</formula>
    </cfRule>
    <cfRule type="expression" dxfId="2" priority="4">
      <formula>IF(AQ76&gt;=AR76,IF(AQ76="",FALSE,TRUE))</formula>
    </cfRule>
  </conditionalFormatting>
  <conditionalFormatting sqref="AJ76:AJ82">
    <cfRule type="expression" dxfId="1" priority="1">
      <formula>OR(IF(AJ76&lt;AK76,TRUE),IF(AND(AK76="",AJ76&lt;&gt;""),TRUE))</formula>
    </cfRule>
    <cfRule type="expression" dxfId="0" priority="2">
      <formula>IF(AJ76&gt;=AK76,IF(AJ76="",FALSE,TRUE))</formula>
    </cfRule>
  </conditionalFormatting>
  <dataValidations count="1">
    <dataValidation type="list" allowBlank="1" showInputMessage="1" showErrorMessage="1" sqref="V76:Y86 AC18:AF30 AJ18:AM30 O33:R42 AQ18:AT30 AX76:BA86 BE18:BH30 BS18:BV30 BL33:BO42 V33:Y42 CV60:CV73 AQ33:AT42 AC59:AF73 AJ33:AM42 AC33:AF42 BL45:BO56 O45:R56 AX45:BA56 BE45:BH56 AQ45:AT56 AJ45:AM56 AC45:AF56 V45:Y56 BL59:BO73 AX34 BE5:BH15 AQ59:AT73 AJ59:AM73 V59:Y73 O59:R73 BS45:BV56 BT32:BT42 BS5:BV15 BM17:BM30 BZ59:CC73 BZ76:CC86 BE33:BH42 DB59:DE73 CG33:CJ42 CG18:CJ30 BZ18:CC30 CN18:CQ30 CN33:CQ42 CN45:CQ56 CU76:CX86 CU18:CX30 CU33:CX42 CU45:CX56 DB18:DE30 DB33:DE42 DB45:DE56 BZ5:CC15 V18:Y30 BO4:BO15 O76:R86 BE76:BH86 AX5:BA15 AQ76:AT86 AJ76:AM86 AC76:AF86 BS33:BS42 CG59:CJ73 BL76:BO86 CG76:CJ86 BZ33:CC42 DB76:DE86 BL89:BO99 O89:R99 AX89:BA99 AQ89:AT99 AJ89:AM99 AC89:AF99 V89:Y99 BS89:BV99 BZ89:CC99 BE89:BH99 CG89:CJ99 CN89:CQ99 CU89:CX99 DB89:DE99 DB5:DE15 CU5:CX15 CN5:CQ15 CG5:CJ15 CN76:CQ86 V5:Y15 BL18:BL30 BE59:BH73 AX18:BA30 AQ5:AT15 O18:R30 AJ5:AM15 AC5:AF15 DI59:DL73 DI18:DL30 DI33:DL42 DI45:DL56 DI76:DL86 DI89:DL99 DI5:DL15 CG45:CJ56 CN58:CQ73 BS76:BV86 CC44 CA44 BM4:BM15 BV32:BV42 BZ45:CC56 BU33:BU42 BS59:BV73 BN5:BN15 BO17:BO30 BN18:BN30 BL5:BL15 CV59:CW59 CX59:CX73 CW61:CW73 CU59:CU73 BA33:BA34 AZ34 AX59:BA73 AX35:BA42 AY33:AY34 O5:R15"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cols>
    <col min="2" max="2" width="161" customWidth="1"/>
    <col min="3" max="3" width="10.83203125"/>
  </cols>
  <sheetData>
    <row r="4" spans="2:2" ht="21">
      <c r="B4" s="3" t="s">
        <v>16</v>
      </c>
    </row>
    <row r="6" spans="2:2">
      <c r="B6" s="2" t="s">
        <v>13</v>
      </c>
    </row>
    <row r="7" spans="2:2" ht="51">
      <c r="B7" s="1" t="s">
        <v>14</v>
      </c>
    </row>
    <row r="9" spans="2:2">
      <c r="B9" s="2" t="s">
        <v>15</v>
      </c>
    </row>
    <row r="10" spans="2:2" ht="68">
      <c r="B10" s="1" t="s">
        <v>36</v>
      </c>
    </row>
    <row r="12" spans="2:2">
      <c r="B12" s="2" t="s">
        <v>17</v>
      </c>
    </row>
    <row r="13" spans="2:2" ht="153">
      <c r="B13" s="1" t="s">
        <v>18</v>
      </c>
    </row>
    <row r="15" spans="2:2">
      <c r="B15" s="2" t="s">
        <v>19</v>
      </c>
    </row>
    <row r="16" spans="2:2" ht="119">
      <c r="B16" s="1" t="s">
        <v>20</v>
      </c>
    </row>
    <row r="17" spans="2:2">
      <c r="B17" s="1"/>
    </row>
    <row r="18" spans="2:2">
      <c r="B18" s="2" t="s">
        <v>35</v>
      </c>
    </row>
    <row r="19" spans="2:2" ht="153">
      <c r="B19" s="1" t="s">
        <v>37</v>
      </c>
    </row>
    <row r="21" spans="2:2">
      <c r="B21" s="2" t="s">
        <v>21</v>
      </c>
    </row>
    <row r="22" spans="2:2" ht="136">
      <c r="B22" s="1" t="s">
        <v>38</v>
      </c>
    </row>
    <row r="24" spans="2:2">
      <c r="B24" s="2" t="s">
        <v>22</v>
      </c>
    </row>
    <row r="25" spans="2:2" ht="13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c r="A1" s="9" t="s">
        <v>42</v>
      </c>
      <c r="B1" s="15" t="s">
        <v>39</v>
      </c>
      <c r="C1" s="15" t="s">
        <v>40</v>
      </c>
      <c r="D1" s="15" t="s">
        <v>41</v>
      </c>
      <c r="E1" s="1" t="s">
        <v>43</v>
      </c>
      <c r="F1" s="1" t="s">
        <v>44</v>
      </c>
      <c r="G1" s="1" t="s">
        <v>45</v>
      </c>
      <c r="H1" s="1" t="s">
        <v>46</v>
      </c>
      <c r="I1" s="1" t="s">
        <v>47</v>
      </c>
      <c r="J1" s="1" t="s">
        <v>48</v>
      </c>
      <c r="K1" s="1" t="s">
        <v>49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9" priority="4" operator="equal">
      <formula>"Ja"</formula>
    </cfRule>
    <cfRule type="cellIs" dxfId="18" priority="14" operator="equal">
      <formula>"Ja"</formula>
    </cfRule>
    <cfRule type="cellIs" dxfId="17" priority="15" operator="equal">
      <formula>"Nein"</formula>
    </cfRule>
  </conditionalFormatting>
  <conditionalFormatting sqref="C2:C46">
    <cfRule type="cellIs" dxfId="16" priority="1" operator="equal">
      <formula>"Ja"</formula>
    </cfRule>
    <cfRule type="cellIs" dxfId="15" priority="2" operator="equal">
      <formula>"Ja"</formula>
    </cfRule>
    <cfRule type="cellIs" dxfId="14" priority="3" operator="equal">
      <formula>"Nein"</formula>
    </cfRule>
  </conditionalFormatting>
  <conditionalFormatting sqref="D2">
    <cfRule type="cellIs" dxfId="13" priority="6" operator="equal">
      <formula>1</formula>
    </cfRule>
    <cfRule type="cellIs" dxfId="12" priority="7" operator="equal">
      <formula>0.8</formula>
    </cfRule>
    <cfRule type="cellIs" dxfId="11" priority="8" operator="equal">
      <formula>0.6</formula>
    </cfRule>
    <cfRule type="cellIs" dxfId="10" priority="9" operator="equal">
      <formula>0.4</formula>
    </cfRule>
    <cfRule type="cellIs" dxfId="9" priority="10" operator="equal">
      <formula>0.2</formula>
    </cfRule>
    <cfRule type="cellIs" dxfId="8"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2023-04-27T22:13:04Z</dcterms:modified>
</cp:coreProperties>
</file>