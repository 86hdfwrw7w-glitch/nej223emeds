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sandraseemann/Desktop/"/>
    </mc:Choice>
  </mc:AlternateContent>
  <xr:revisionPtr revIDLastSave="0" documentId="13_ncr:1_{1D18407A-5F5F-8C44-AC8B-1957D2F11007}" xr6:coauthVersionLast="47" xr6:coauthVersionMax="47" xr10:uidLastSave="{00000000-0000-0000-0000-000000000000}"/>
  <bookViews>
    <workbookView xWindow="0" yWindow="1740" windowWidth="28800" windowHeight="16260" activeTab="1" xr2:uid="{50F29292-BE80-0C47-A0D2-DD086CB3D310}"/>
  </bookViews>
  <sheets>
    <sheet name="ANLEITUNG" sheetId="10" r:id="rId1"/>
    <sheet name="Semesterplan" sheetId="7" r:id="rId2"/>
    <sheet name="Tabelle1" sheetId="11" r:id="rId3"/>
    <sheet name="Best-Practices" sheetId="2" r:id="rId4"/>
    <sheet name="COMMITTMENT" sheetId="9" r:id="rId5"/>
    <sheet name="Wochenplan KW 19" sheetId="3" r:id="rId6"/>
    <sheet name="Wochenplan KW 20"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W86" i="7" l="1"/>
  <c r="AP86" i="7"/>
  <c r="CM62" i="7"/>
  <c r="BY62" i="7"/>
  <c r="BK62" i="7"/>
  <c r="AW62" i="7"/>
  <c r="BD62" i="7"/>
  <c r="BR62" i="7"/>
  <c r="CF62" i="7"/>
  <c r="BD55" i="7"/>
  <c r="BK55" i="7"/>
  <c r="BR55" i="7"/>
  <c r="BY55" i="7"/>
  <c r="CF55" i="7"/>
  <c r="CM55" i="7"/>
  <c r="AW55" i="7"/>
  <c r="BD47" i="7"/>
  <c r="BK47" i="7"/>
  <c r="BR47" i="7"/>
  <c r="BY47" i="7"/>
  <c r="CF47" i="7"/>
  <c r="AW47" i="7"/>
  <c r="BD24" i="7"/>
  <c r="BK24" i="7"/>
  <c r="BR24" i="7"/>
  <c r="BY24" i="7"/>
  <c r="CF24" i="7"/>
  <c r="CM24" i="7"/>
  <c r="AW24" i="7"/>
  <c r="CM16" i="7"/>
  <c r="BD16" i="7"/>
  <c r="BK16" i="7"/>
  <c r="BR16" i="7"/>
  <c r="BY16" i="7"/>
  <c r="CF16" i="7"/>
  <c r="AW16" i="7"/>
  <c r="BD4" i="7"/>
  <c r="AW4" i="7"/>
  <c r="AP62" i="7"/>
  <c r="AI62" i="7"/>
  <c r="AB62" i="7"/>
  <c r="U62" i="7"/>
  <c r="N62" i="7"/>
  <c r="G62" i="7"/>
  <c r="K58" i="7" a="1"/>
  <c r="K58" i="7" s="1"/>
  <c r="J58" i="7" a="1"/>
  <c r="J58" i="7" s="1"/>
  <c r="I58" i="7"/>
  <c r="I60" i="7"/>
  <c r="J60" i="7" a="1"/>
  <c r="J60" i="7" s="1"/>
  <c r="K60" i="7" a="1"/>
  <c r="K60" i="7" s="1"/>
  <c r="DH4" i="7"/>
  <c r="DA4" i="7"/>
  <c r="C12" i="10"/>
  <c r="G4" i="7"/>
  <c r="K84" i="7" a="1"/>
  <c r="K84" i="7" s="1"/>
  <c r="J84" i="7" a="1"/>
  <c r="J84" i="7" s="1"/>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AP77" i="7"/>
  <c r="AI77" i="7"/>
  <c r="AB77" i="7"/>
  <c r="U77" i="7"/>
  <c r="N77" i="7"/>
  <c r="G77"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59" i="7" a="1"/>
  <c r="K59" i="7" s="1"/>
  <c r="J59" i="7" a="1"/>
  <c r="J59" i="7" s="1"/>
  <c r="I59" i="7"/>
  <c r="K57" i="7" a="1"/>
  <c r="K57" i="7" s="1"/>
  <c r="J57" i="7" a="1"/>
  <c r="J57" i="7" s="1"/>
  <c r="I57" i="7"/>
  <c r="K56" i="7" a="1"/>
  <c r="K56" i="7" s="1"/>
  <c r="J56" i="7" a="1"/>
  <c r="J56" i="7" s="1"/>
  <c r="I56" i="7"/>
  <c r="AP55" i="7"/>
  <c r="AI55" i="7"/>
  <c r="AB55" i="7"/>
  <c r="U55" i="7"/>
  <c r="N55" i="7"/>
  <c r="G55" i="7"/>
  <c r="K32" i="7" a="1"/>
  <c r="K32" i="7" s="1"/>
  <c r="J32" i="7" a="1"/>
  <c r="J32" i="7" s="1"/>
  <c r="I32" i="7"/>
  <c r="G35" i="7"/>
  <c r="N35" i="7"/>
  <c r="U35" i="7"/>
  <c r="AB35" i="7"/>
  <c r="AI35" i="7"/>
  <c r="AP35" i="7"/>
  <c r="K11" i="7" a="1"/>
  <c r="K11" i="7" s="1"/>
  <c r="J11" i="7" a="1"/>
  <c r="J11" i="7" s="1"/>
  <c r="I11" i="7"/>
  <c r="K10" i="7" a="1"/>
  <c r="K10" i="7" s="1"/>
  <c r="J10" i="7" a="1"/>
  <c r="J10" i="7" s="1"/>
  <c r="I10" i="7"/>
  <c r="K9" i="7" a="1"/>
  <c r="K9" i="7" s="1"/>
  <c r="J9" i="7" a="1"/>
  <c r="J9" i="7" s="1"/>
  <c r="I9" i="7"/>
  <c r="K8" i="7" a="1"/>
  <c r="K8" i="7" s="1"/>
  <c r="J8" i="7" a="1"/>
  <c r="J8" i="7" s="1"/>
  <c r="I8"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AP47" i="7"/>
  <c r="AI47" i="7"/>
  <c r="AB47" i="7"/>
  <c r="U47" i="7"/>
  <c r="N47" i="7"/>
  <c r="G47" i="7"/>
  <c r="CT4" i="7"/>
  <c r="CM4" i="7"/>
  <c r="CF4" i="7"/>
  <c r="BY4" i="7"/>
  <c r="BR4" i="7"/>
  <c r="BR86" i="7" s="1"/>
  <c r="K19" i="7" a="1"/>
  <c r="K19" i="7" s="1"/>
  <c r="J19" i="7" a="1"/>
  <c r="J19" i="7" s="1"/>
  <c r="I19" i="7"/>
  <c r="K18" i="7" a="1"/>
  <c r="K18" i="7" s="1"/>
  <c r="J18" i="7" a="1"/>
  <c r="J18" i="7" s="1"/>
  <c r="I18" i="7"/>
  <c r="AP44" i="7"/>
  <c r="AI44" i="7"/>
  <c r="AB44" i="7"/>
  <c r="U44" i="7"/>
  <c r="N44" i="7"/>
  <c r="K42" i="7" a="1"/>
  <c r="K42" i="7" s="1"/>
  <c r="J42" i="7" a="1"/>
  <c r="J42" i="7" s="1"/>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BK4" i="7"/>
  <c r="K22" i="7" a="1"/>
  <c r="K22" i="7" s="1"/>
  <c r="J22" i="7" a="1"/>
  <c r="J22" i="7" s="1"/>
  <c r="K21" i="7" a="1"/>
  <c r="K21" i="7" s="1"/>
  <c r="J21" i="7" a="1"/>
  <c r="J21" i="7" s="1"/>
  <c r="K20" i="7" a="1"/>
  <c r="K20" i="7" s="1"/>
  <c r="J20" i="7" a="1"/>
  <c r="J20" i="7" s="1"/>
  <c r="K17" i="7" a="1"/>
  <c r="K17" i="7" s="1"/>
  <c r="J17" i="7" a="1"/>
  <c r="J17"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14" i="7" a="1"/>
  <c r="K14" i="7" s="1"/>
  <c r="J14" i="7" a="1"/>
  <c r="J14" i="7" s="1"/>
  <c r="K13" i="7" a="1"/>
  <c r="K13" i="7" s="1"/>
  <c r="J13" i="7" a="1"/>
  <c r="J13" i="7" s="1"/>
  <c r="K12" i="7" a="1"/>
  <c r="K12" i="7" s="1"/>
  <c r="J12" i="7" a="1"/>
  <c r="J12" i="7" s="1"/>
  <c r="K7" i="7" a="1"/>
  <c r="K7" i="7" s="1"/>
  <c r="J7" i="7" a="1"/>
  <c r="J7" i="7" s="1"/>
  <c r="K6" i="7" a="1"/>
  <c r="K6" i="7" s="1"/>
  <c r="J6" i="7" a="1"/>
  <c r="J6" i="7" s="1"/>
  <c r="K5" i="7" a="1"/>
  <c r="K5" i="7" s="1"/>
  <c r="J5" i="7" a="1"/>
  <c r="J5" i="7" s="1"/>
  <c r="AP16" i="7"/>
  <c r="AI16" i="7"/>
  <c r="AB16" i="7"/>
  <c r="U16" i="7"/>
  <c r="AP4" i="7"/>
  <c r="AI4" i="7"/>
  <c r="AB4" i="7"/>
  <c r="U4" i="7"/>
  <c r="N4" i="7"/>
  <c r="N16" i="7"/>
  <c r="AP24" i="7"/>
  <c r="AI24" i="7"/>
  <c r="AB24" i="7"/>
  <c r="U24" i="7"/>
  <c r="I31" i="7"/>
  <c r="I30" i="7"/>
  <c r="I29" i="7"/>
  <c r="I28" i="7"/>
  <c r="I27" i="7"/>
  <c r="I26" i="7"/>
  <c r="I25" i="7"/>
  <c r="I22" i="7"/>
  <c r="I21" i="7"/>
  <c r="I20" i="7"/>
  <c r="I17" i="7"/>
  <c r="I6" i="7"/>
  <c r="I7" i="7"/>
  <c r="I12" i="7"/>
  <c r="I13" i="7"/>
  <c r="I14" i="7"/>
  <c r="I5" i="7"/>
  <c r="N24" i="7"/>
  <c r="G24" i="7"/>
  <c r="G16" i="7"/>
  <c r="BY86" i="7" l="1"/>
  <c r="AI86" i="7"/>
  <c r="CM86" i="7"/>
  <c r="CF86" i="7"/>
  <c r="AB86" i="7"/>
  <c r="BD86" i="7"/>
  <c r="N86" i="7"/>
  <c r="BK86" i="7"/>
  <c r="U86" i="7"/>
  <c r="I62" i="7"/>
  <c r="J62" i="7"/>
  <c r="K62" i="7"/>
  <c r="I77" i="7"/>
  <c r="J77" i="7"/>
  <c r="K77" i="7"/>
  <c r="I55" i="7"/>
  <c r="J55" i="7"/>
  <c r="K55" i="7"/>
  <c r="J35" i="7"/>
  <c r="K35" i="7"/>
  <c r="I35" i="7"/>
  <c r="I47" i="7"/>
  <c r="K47" i="7"/>
  <c r="J47" i="7"/>
  <c r="K44" i="7"/>
  <c r="I24" i="7"/>
  <c r="J24" i="7"/>
  <c r="K24" i="7"/>
  <c r="I16" i="7"/>
  <c r="J16" i="7"/>
  <c r="K16"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<sst xmlns="http://schemas.openxmlformats.org/spreadsheetml/2006/main" count="362" uniqueCount="156">
  <si>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</si>
  <si>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</si>
  <si>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</si>
  <si>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</si>
  <si>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</si>
  <si>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</si>
  <si>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</si>
  <si>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</si>
  <si>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</si>
  <si>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</si>
  <si>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</si>
  <si>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</si>
  <si>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</si>
  <si>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</si>
  <si>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</si>
  <si>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</si>
  <si>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</si>
  <si>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</si>
  <si>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</si>
  <si>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</si>
  <si>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</si>
  <si>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</si>
  <si>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</si>
  <si>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</si>
  <si>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</si>
  <si>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</si>
  <si>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</si>
  <si>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</si>
  <si>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</si>
  <si>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</si>
  <si>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</si>
  <si>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8) Marke</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</si>
  <si>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</si>
  <si>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</si>
  <si>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</si>
  <si>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</si>
  <si>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</si>
  <si>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</si>
  <si>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</si>
  <si>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</si>
  <si>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</si>
  <si>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</si>
  <si>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</si>
  <si>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</si>
  <si>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</si>
  <si>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</si>
  <si>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</si>
  <si>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</si>
  <si>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</si>
  <si>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</si>
  <si>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</si>
  <si>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</si>
  <si>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</si>
  <si>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</si>
  <si>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</si>
  <si>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</si>
  <si>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</si>
  <si>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</si>
  <si>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</si>
  <si>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</si>
  <si>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</si>
  <si>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</si>
  <si>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</si>
  <si>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</si>
  <si>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</si>
  <si>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</si>
  <si>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</si>
  <si>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</si>
  <si>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</si>
  <si>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</si>
  <si>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</si>
  <si>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</si>
  <si>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</si>
  <si>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</si>
  <si>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</si>
  <si>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</si>
  <si>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</si>
  <si>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</si>
  <si>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</si>
  <si>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</si>
  <si>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</si>
  <si>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</si>
  <si>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</si>
  <si>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</si>
  <si>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</si>
  <si>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</si>
  <si>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</si>
  <si>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</si>
  <si>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</si>
  <si>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</si>
  <si>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</si>
  <si>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</si>
  <si>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</si>
  <si>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</si>
  <si>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</si>
  <si>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</si>
  <si>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2) Ethik in der Vergangenheit</t>
  </si>
  <si>
    <t>KW 26</t>
  </si>
  <si>
    <t>KLAUSUREN!!!</t>
  </si>
  <si>
    <t>Organisation</t>
  </si>
  <si>
    <t>CoFi II</t>
  </si>
  <si>
    <t>Internationale Besteuerung</t>
  </si>
  <si>
    <t>Konzernrechnungslegung</t>
  </si>
  <si>
    <t>EEBDA</t>
  </si>
  <si>
    <t>1) Herausforderungen der Organisation und begriffliche Grundlagen</t>
  </si>
  <si>
    <t>2) Erklärungsansätze der Organisation (I)</t>
  </si>
  <si>
    <t>3) Erklärungsansätze der Organisation (II)</t>
  </si>
  <si>
    <t>4) Unternehmensverfassung und Governance-Struktur</t>
  </si>
  <si>
    <t>5) Grundlagen und Struktur der Binnenorganisation</t>
  </si>
  <si>
    <t>6) Formen der Makroorganisation</t>
  </si>
  <si>
    <t>7) Gründe für und Formen der Kooperation und Integration</t>
  </si>
  <si>
    <t>8) Netzwerkorganisation</t>
  </si>
  <si>
    <t>9) Neuere Organisationsformen</t>
  </si>
  <si>
    <t>10) Plattformen und Intermediation auf Märkten</t>
  </si>
  <si>
    <t>2) Kapitalstruktur, Verschuldungs- und Ausschüttungspolitik</t>
  </si>
  <si>
    <t>3) Mergers and Acquisitions</t>
  </si>
  <si>
    <t>4) Aktienanalyse, Kapitalmärkte und Informationseffizienz</t>
  </si>
  <si>
    <t>5) Performanceanalyse von Wertpapierportfolios</t>
  </si>
  <si>
    <t>6) Übungsaufgaben</t>
  </si>
  <si>
    <t>2) Descriptive and Diagnostic Analytics</t>
  </si>
  <si>
    <t>3) Predictive Analytics mit Machine Learning Algorithmen</t>
  </si>
  <si>
    <t>4) Predictive Analytics mit Regression unter Berücksichtigung von Heterogenität</t>
  </si>
  <si>
    <t>5) Einführung in das Natuaral Language Processing</t>
  </si>
  <si>
    <t>6) Ethik und Privatsphäre unter Big Data Analytics</t>
  </si>
  <si>
    <t>1) International Company Taxationand Location Decisions</t>
  </si>
  <si>
    <t>2) Taxation of Cross-Border Investments</t>
  </si>
  <si>
    <t>3) Internationale Umsatzsteuer</t>
  </si>
  <si>
    <t>1) Grundlagen der Konzernrechnungslegung</t>
  </si>
  <si>
    <t>2) Aufstellungspflicht</t>
  </si>
  <si>
    <t>3) Abgrenzung des Konsolidierungskreises</t>
  </si>
  <si>
    <t>4) Vollkonsolidierung</t>
  </si>
  <si>
    <t>5) Quotenkonsolidierung und Equity-Methode</t>
  </si>
  <si>
    <t>6) Beispiel: Konzernabschluss nach HGB</t>
  </si>
  <si>
    <t>7) Grundlagen: Ausrichtung und Historie kapitalmarktorientierter Rechnungslegung</t>
  </si>
  <si>
    <t>8) Beispielabschluss nach IFRS</t>
  </si>
  <si>
    <t>9) Bilanzierungsgrundsätze der IFRS (Rahmenkonzept)</t>
  </si>
  <si>
    <t>10) Ansatznormen der IFRS</t>
  </si>
  <si>
    <t>11) Bewertung in den IFRS</t>
  </si>
  <si>
    <t>12) Bilanzierung von Unternehmenszusammenschlüssen nach IFRS</t>
  </si>
  <si>
    <t>KW 16</t>
  </si>
  <si>
    <t>KW 17</t>
  </si>
  <si>
    <t>KW 18</t>
  </si>
  <si>
    <t>KW 27</t>
  </si>
  <si>
    <t>KW 28</t>
  </si>
  <si>
    <t>KW 29</t>
  </si>
  <si>
    <t>4) Internationale Umsatzsteuer 2</t>
  </si>
  <si>
    <t>5) International Tax Planning</t>
  </si>
  <si>
    <t>International Economics</t>
  </si>
  <si>
    <t>1) Trade in the Global Economy</t>
  </si>
  <si>
    <t>2) Ricardo 1</t>
  </si>
  <si>
    <t>3) Ricardo 2</t>
  </si>
  <si>
    <t>4) Specific Factors 1</t>
  </si>
  <si>
    <t>5) Specific Factors 2</t>
  </si>
  <si>
    <t>8) Heckscher-Ohlin 3</t>
  </si>
  <si>
    <t>6) Heckscher-Ohlin 1</t>
  </si>
  <si>
    <t>7) Heckscher-Ohlin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</si>
</sst>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5" fillId="0" borderId="0" xfId="0" applyNumberFormat="1" applyFont="1"/>
    <xf numFmtId="1" fontId="0" fillId="0" borderId="0" xfId="0" applyNumberFormat="1"/>
    <xf numFmtId="0" fontId="1" fillId="2" borderId="0" xfId="0" applyFont="1" applyFill="1" applyAlignment="1">
      <alignment horizontal="center"/>
    </xf>
  </cellXfs>
  <cellStyles count="1">
    <cellStyle name="Standard" xfId="0" builtinId="0"/>
  </cellStyles>
  <dxfs count="19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90">
  <autoFilter ref="A1:K46" xr:uid="{6E266E34-2786-2747-BCE7-51B74867A564}"/>
  <tableColumns count="11">
    <tableColumn id="1" xr3:uid="{95FD92F7-3DC8-704D-A103-A7EDDAB255AB}" name="Datum" dataDxfId="189"/>
    <tableColumn id="2" xr3:uid="{F464D510-8166-E740-A343-FB84BDEF877F}" name="Lerneinheiten durchgezogen" dataDxfId="188"/>
    <tableColumn id="3" xr3:uid="{75F52B08-1A00-0848-BBE6-1EDF7B31B1AD}" name="Tagesplan erstellt" dataDxfId="187"/>
    <tableColumn id="4" xr3:uid="{E6B18D89-E799-AD48-9DAA-37AEE1D29011}" name="Konzentrationslevel" dataDxfId="18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0" sqref="D10"/>
    </sheetView>
  </sheetViews>
  <sheetFormatPr baseColWidth="10" defaultRowHeight="16" x14ac:dyDescent="0.2"/>
  <cols>
    <col min="1" max="1" width="11.83203125" customWidth="1"/>
    <col min="2" max="2" width="62.6640625" customWidth="1"/>
  </cols>
  <sheetData>
    <row r="2" spans="1:4" x14ac:dyDescent="0.2">
      <c r="C2" s="18" t="s">
        <v>80</v>
      </c>
    </row>
    <row r="3" spans="1:4" x14ac:dyDescent="0.2">
      <c r="C3" s="17" t="s">
        <v>65</v>
      </c>
    </row>
    <row r="4" spans="1:4" x14ac:dyDescent="0.2">
      <c r="C4" s="16" t="s">
        <v>79</v>
      </c>
    </row>
    <row r="5" spans="1:4" x14ac:dyDescent="0.2">
      <c r="A5" s="2" t="s">
        <v>62</v>
      </c>
      <c r="B5" s="2" t="s">
        <v>63</v>
      </c>
      <c r="C5" s="2" t="s">
        <v>64</v>
      </c>
      <c r="D5" s="2" t="s">
        <v>66</v>
      </c>
    </row>
    <row r="6" spans="1:4" x14ac:dyDescent="0.2">
      <c r="A6" t="s">
        <v>58</v>
      </c>
      <c r="B6" s="18" t="s">
        <v>61</v>
      </c>
      <c r="D6" t="s">
        <v>95</v>
      </c>
    </row>
    <row r="7" spans="1:4" x14ac:dyDescent="0.2">
      <c r="A7" t="s">
        <v>69</v>
      </c>
      <c r="B7" t="s">
        <v>70</v>
      </c>
      <c r="C7" s="16">
        <v>50</v>
      </c>
    </row>
    <row r="8" spans="1:4" x14ac:dyDescent="0.2">
      <c r="A8" t="s">
        <v>60</v>
      </c>
      <c r="B8" s="18" t="s">
        <v>59</v>
      </c>
      <c r="D8" t="s">
        <v>83</v>
      </c>
    </row>
    <row r="9" spans="1:4" x14ac:dyDescent="0.2">
      <c r="A9" t="s">
        <v>68</v>
      </c>
      <c r="B9" s="18" t="s">
        <v>81</v>
      </c>
      <c r="D9" t="s">
        <v>84</v>
      </c>
    </row>
    <row r="10" spans="1:4" x14ac:dyDescent="0.2">
      <c r="A10" t="s">
        <v>72</v>
      </c>
      <c r="B10" t="s">
        <v>71</v>
      </c>
      <c r="C10" s="16">
        <v>14</v>
      </c>
      <c r="D10" t="s">
        <v>67</v>
      </c>
    </row>
    <row r="11" spans="1:4" x14ac:dyDescent="0.2">
      <c r="A11" t="s">
        <v>73</v>
      </c>
      <c r="B11" t="s">
        <v>75</v>
      </c>
      <c r="C11" s="16">
        <v>150</v>
      </c>
      <c r="D11" t="s">
        <v>74</v>
      </c>
    </row>
    <row r="12" spans="1:4" x14ac:dyDescent="0.2">
      <c r="A12" t="s">
        <v>77</v>
      </c>
      <c r="B12" t="s">
        <v>76</v>
      </c>
      <c r="C12" s="17">
        <f>C11/C10</f>
        <v>10.714285714285714</v>
      </c>
    </row>
    <row r="13" spans="1:4" x14ac:dyDescent="0.2">
      <c r="A13" t="s">
        <v>82</v>
      </c>
      <c r="B13" t="s">
        <v>78</v>
      </c>
      <c r="D13" t="s">
        <v>85</v>
      </c>
    </row>
    <row r="14" spans="1:4" x14ac:dyDescent="0.2">
      <c r="A14" t="s">
        <v>86</v>
      </c>
      <c r="B14" t="s">
        <v>87</v>
      </c>
      <c r="D14" t="s">
        <v>88</v>
      </c>
    </row>
    <row r="15" spans="1:4" x14ac:dyDescent="0.2">
      <c r="A15" t="s">
        <v>89</v>
      </c>
      <c r="B15" s="18" t="s">
        <v>90</v>
      </c>
    </row>
    <row r="16" spans="1:4" x14ac:dyDescent="0.2">
      <c r="A16" t="s">
        <v>93</v>
      </c>
      <c r="B16" s="18" t="s">
        <v>91</v>
      </c>
    </row>
    <row r="17" spans="1:2" x14ac:dyDescent="0.2">
      <c r="A17" t="s">
        <v>94</v>
      </c>
      <c r="B17" t="s">
        <v>92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86"/>
  <sheetViews>
    <sheetView showGridLines="0" tabSelected="1" zoomScale="94" zoomScaleNormal="70" workbookViewId="0">
      <pane xSplit="12" topLeftCell="M1" activePane="topRight" state="frozen"/>
      <selection pane="topRight" activeCell="K1" sqref="K1"/>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7.1640625" customWidth="1"/>
    <col min="12" max="12" width="12.6640625" hidden="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s>
  <sheetData>
    <row r="1" spans="2:117" ht="34" x14ac:dyDescent="0.4">
      <c r="B1" s="4" t="s">
        <v>0</v>
      </c>
      <c r="D1" s="4"/>
      <c r="G1" s="13" t="s">
        <v>35</v>
      </c>
      <c r="I1" s="13" t="s">
        <v>35</v>
      </c>
      <c r="J1" s="13" t="s">
        <v>35</v>
      </c>
      <c r="K1" s="13" t="s">
        <v>35</v>
      </c>
    </row>
    <row r="2" spans="2:117" x14ac:dyDescent="0.2">
      <c r="I2" s="22" t="s">
        <v>27</v>
      </c>
      <c r="J2" s="22"/>
      <c r="K2" s="22"/>
      <c r="L2" s="22"/>
      <c r="N2" s="22" t="s">
        <v>139</v>
      </c>
      <c r="O2" s="22"/>
      <c r="P2" s="22"/>
      <c r="Q2" s="22"/>
      <c r="R2" s="22"/>
      <c r="S2" s="22"/>
      <c r="U2" s="22" t="s">
        <v>140</v>
      </c>
      <c r="V2" s="22"/>
      <c r="W2" s="22"/>
      <c r="X2" s="22"/>
      <c r="Y2" s="22"/>
      <c r="Z2" s="22"/>
      <c r="AB2" s="22" t="s">
        <v>141</v>
      </c>
      <c r="AC2" s="22"/>
      <c r="AD2" s="22"/>
      <c r="AE2" s="22"/>
      <c r="AF2" s="22"/>
      <c r="AG2" s="22"/>
      <c r="AI2" s="22" t="s">
        <v>36</v>
      </c>
      <c r="AJ2" s="22"/>
      <c r="AK2" s="22"/>
      <c r="AL2" s="22"/>
      <c r="AM2" s="22"/>
      <c r="AN2" s="22"/>
      <c r="AP2" s="22" t="s">
        <v>37</v>
      </c>
      <c r="AQ2" s="22"/>
      <c r="AR2" s="22"/>
      <c r="AS2" s="22"/>
      <c r="AT2" s="22"/>
      <c r="AU2" s="22"/>
      <c r="AW2" s="22" t="s">
        <v>38</v>
      </c>
      <c r="AX2" s="22"/>
      <c r="AY2" s="22"/>
      <c r="AZ2" s="22"/>
      <c r="BA2" s="22"/>
      <c r="BB2" s="22"/>
      <c r="BD2" s="22" t="s">
        <v>39</v>
      </c>
      <c r="BE2" s="22"/>
      <c r="BF2" s="22"/>
      <c r="BG2" s="22"/>
      <c r="BH2" s="22"/>
      <c r="BI2" s="22"/>
      <c r="BK2" s="22" t="s">
        <v>44</v>
      </c>
      <c r="BL2" s="22"/>
      <c r="BM2" s="22"/>
      <c r="BN2" s="22"/>
      <c r="BO2" s="22"/>
      <c r="BP2" s="22"/>
      <c r="BR2" s="22" t="s">
        <v>45</v>
      </c>
      <c r="BS2" s="22"/>
      <c r="BT2" s="22"/>
      <c r="BU2" s="22"/>
      <c r="BV2" s="22"/>
      <c r="BW2" s="22"/>
      <c r="BY2" s="22" t="s">
        <v>46</v>
      </c>
      <c r="BZ2" s="22"/>
      <c r="CA2" s="22"/>
      <c r="CB2" s="22"/>
      <c r="CC2" s="22"/>
      <c r="CD2" s="22"/>
      <c r="CF2" s="22" t="s">
        <v>97</v>
      </c>
      <c r="CG2" s="22"/>
      <c r="CH2" s="22"/>
      <c r="CI2" s="22"/>
      <c r="CJ2" s="22"/>
      <c r="CK2" s="22"/>
      <c r="CM2" s="22" t="s">
        <v>142</v>
      </c>
      <c r="CN2" s="22"/>
      <c r="CO2" s="22"/>
      <c r="CP2" s="22"/>
      <c r="CQ2" s="22"/>
      <c r="CR2" s="22"/>
      <c r="CT2" s="22" t="s">
        <v>143</v>
      </c>
      <c r="CU2" s="22"/>
      <c r="CV2" s="22"/>
      <c r="CW2" s="22"/>
      <c r="CX2" s="22"/>
      <c r="CY2" s="22"/>
      <c r="DA2" s="22" t="s">
        <v>144</v>
      </c>
      <c r="DB2" s="22"/>
      <c r="DC2" s="22"/>
      <c r="DD2" s="22"/>
      <c r="DE2" s="22"/>
      <c r="DF2" s="22"/>
      <c r="DH2" s="22" t="s">
        <v>98</v>
      </c>
      <c r="DI2" s="22"/>
      <c r="DJ2" s="22"/>
      <c r="DK2" s="22"/>
      <c r="DL2" s="22"/>
      <c r="DM2" s="22"/>
    </row>
    <row r="3" spans="2:117" x14ac:dyDescent="0.2">
      <c r="B3" s="5" t="s">
        <v>26</v>
      </c>
      <c r="C3" s="5" t="s">
        <v>1</v>
      </c>
      <c r="D3" s="5" t="s">
        <v>24</v>
      </c>
      <c r="E3" s="6" t="s">
        <v>32</v>
      </c>
      <c r="F3" s="5" t="s">
        <v>29</v>
      </c>
      <c r="G3" s="5" t="s">
        <v>33</v>
      </c>
      <c r="I3" s="6" t="s">
        <v>11</v>
      </c>
      <c r="J3" s="6" t="s">
        <v>2</v>
      </c>
      <c r="K3" s="6" t="s">
        <v>3</v>
      </c>
      <c r="L3" s="6" t="s">
        <v>12</v>
      </c>
      <c r="N3" s="5" t="s">
        <v>11</v>
      </c>
      <c r="O3" s="5" t="s">
        <v>2</v>
      </c>
      <c r="P3" s="5" t="s">
        <v>34</v>
      </c>
      <c r="Q3" s="5" t="s">
        <v>3</v>
      </c>
      <c r="R3" s="5" t="s">
        <v>34</v>
      </c>
      <c r="S3" s="5" t="s">
        <v>12</v>
      </c>
      <c r="U3" s="5" t="s">
        <v>11</v>
      </c>
      <c r="V3" s="5" t="s">
        <v>2</v>
      </c>
      <c r="W3" s="5" t="s">
        <v>34</v>
      </c>
      <c r="X3" s="5" t="s">
        <v>3</v>
      </c>
      <c r="Y3" s="5" t="s">
        <v>34</v>
      </c>
      <c r="Z3" s="5" t="s">
        <v>12</v>
      </c>
      <c r="AB3" s="5" t="s">
        <v>11</v>
      </c>
      <c r="AC3" s="5" t="s">
        <v>2</v>
      </c>
      <c r="AD3" s="5" t="s">
        <v>34</v>
      </c>
      <c r="AE3" s="5" t="s">
        <v>3</v>
      </c>
      <c r="AF3" s="5" t="s">
        <v>34</v>
      </c>
      <c r="AG3" s="5" t="s">
        <v>12</v>
      </c>
      <c r="AI3" s="5" t="s">
        <v>11</v>
      </c>
      <c r="AJ3" s="5" t="s">
        <v>2</v>
      </c>
      <c r="AK3" s="5" t="s">
        <v>34</v>
      </c>
      <c r="AL3" s="5" t="s">
        <v>3</v>
      </c>
      <c r="AM3" s="5" t="s">
        <v>34</v>
      </c>
      <c r="AN3" s="5" t="s">
        <v>12</v>
      </c>
      <c r="AP3" s="5" t="s">
        <v>11</v>
      </c>
      <c r="AQ3" s="5" t="s">
        <v>2</v>
      </c>
      <c r="AR3" s="5" t="s">
        <v>34</v>
      </c>
      <c r="AS3" s="5" t="s">
        <v>3</v>
      </c>
      <c r="AT3" s="5" t="s">
        <v>34</v>
      </c>
      <c r="AU3" s="5" t="s">
        <v>12</v>
      </c>
      <c r="AW3" s="5" t="s">
        <v>11</v>
      </c>
      <c r="AX3" s="5" t="s">
        <v>2</v>
      </c>
      <c r="AY3" s="5" t="s">
        <v>34</v>
      </c>
      <c r="AZ3" s="5" t="s">
        <v>3</v>
      </c>
      <c r="BA3" s="5" t="s">
        <v>34</v>
      </c>
      <c r="BB3" s="5" t="s">
        <v>12</v>
      </c>
      <c r="BD3" s="5" t="s">
        <v>11</v>
      </c>
      <c r="BE3" s="5" t="s">
        <v>2</v>
      </c>
      <c r="BF3" s="5" t="s">
        <v>34</v>
      </c>
      <c r="BG3" s="5" t="s">
        <v>3</v>
      </c>
      <c r="BH3" s="5" t="s">
        <v>34</v>
      </c>
      <c r="BI3" s="5" t="s">
        <v>12</v>
      </c>
      <c r="BK3" s="5" t="s">
        <v>11</v>
      </c>
      <c r="BL3" s="5" t="s">
        <v>2</v>
      </c>
      <c r="BM3" s="5" t="s">
        <v>34</v>
      </c>
      <c r="BN3" s="5" t="s">
        <v>3</v>
      </c>
      <c r="BO3" s="5" t="s">
        <v>34</v>
      </c>
      <c r="BP3" s="5" t="s">
        <v>12</v>
      </c>
      <c r="BR3" s="5" t="s">
        <v>11</v>
      </c>
      <c r="BS3" s="5" t="s">
        <v>2</v>
      </c>
      <c r="BT3" s="5" t="s">
        <v>34</v>
      </c>
      <c r="BU3" s="5" t="s">
        <v>3</v>
      </c>
      <c r="BV3" s="5" t="s">
        <v>34</v>
      </c>
      <c r="BW3" s="5" t="s">
        <v>12</v>
      </c>
      <c r="BY3" s="5" t="s">
        <v>11</v>
      </c>
      <c r="BZ3" s="5" t="s">
        <v>2</v>
      </c>
      <c r="CA3" s="5" t="s">
        <v>34</v>
      </c>
      <c r="CB3" s="5" t="s">
        <v>3</v>
      </c>
      <c r="CC3" s="5" t="s">
        <v>34</v>
      </c>
      <c r="CD3" s="5" t="s">
        <v>12</v>
      </c>
      <c r="CF3" s="5" t="s">
        <v>11</v>
      </c>
      <c r="CG3" s="5" t="s">
        <v>2</v>
      </c>
      <c r="CH3" s="5" t="s">
        <v>34</v>
      </c>
      <c r="CI3" s="5" t="s">
        <v>3</v>
      </c>
      <c r="CJ3" s="5" t="s">
        <v>34</v>
      </c>
      <c r="CK3" s="5" t="s">
        <v>12</v>
      </c>
      <c r="CM3" s="5" t="s">
        <v>11</v>
      </c>
      <c r="CN3" s="5" t="s">
        <v>2</v>
      </c>
      <c r="CO3" s="5" t="s">
        <v>34</v>
      </c>
      <c r="CP3" s="5" t="s">
        <v>3</v>
      </c>
      <c r="CQ3" s="5" t="s">
        <v>34</v>
      </c>
      <c r="CR3" s="5" t="s">
        <v>12</v>
      </c>
      <c r="CT3" s="5" t="s">
        <v>11</v>
      </c>
      <c r="CU3" s="5" t="s">
        <v>2</v>
      </c>
      <c r="CV3" s="5" t="s">
        <v>34</v>
      </c>
      <c r="CW3" s="5" t="s">
        <v>3</v>
      </c>
      <c r="CX3" s="5" t="s">
        <v>34</v>
      </c>
      <c r="CY3" s="5" t="s">
        <v>12</v>
      </c>
      <c r="DA3" s="5" t="s">
        <v>11</v>
      </c>
      <c r="DB3" s="5" t="s">
        <v>2</v>
      </c>
      <c r="DC3" s="5" t="s">
        <v>34</v>
      </c>
      <c r="DD3" s="5" t="s">
        <v>3</v>
      </c>
      <c r="DE3" s="5" t="s">
        <v>34</v>
      </c>
      <c r="DF3" s="5" t="s">
        <v>12</v>
      </c>
      <c r="DH3" s="5" t="s">
        <v>11</v>
      </c>
      <c r="DI3" s="5" t="s">
        <v>2</v>
      </c>
      <c r="DJ3" s="5" t="s">
        <v>34</v>
      </c>
      <c r="DK3" s="5" t="s">
        <v>3</v>
      </c>
      <c r="DL3" s="5" t="s">
        <v>34</v>
      </c>
      <c r="DM3" s="5" t="s">
        <v>12</v>
      </c>
    </row>
    <row r="4" spans="2:117" x14ac:dyDescent="0.2">
      <c r="B4" t="s">
        <v>27</v>
      </c>
      <c r="C4" t="s">
        <v>99</v>
      </c>
      <c r="D4" s="19">
        <v>45127</v>
      </c>
      <c r="E4" s="9">
        <v>5</v>
      </c>
      <c r="G4" s="10">
        <f>+SUM(G5:G14)</f>
        <v>0.99999999999999989</v>
      </c>
      <c r="I4" s="12">
        <f>+SUM(I5:I14)</f>
        <v>90</v>
      </c>
      <c r="J4" s="11">
        <f>+SUMPRODUCT(G5:G14,J5:J14)</f>
        <v>0</v>
      </c>
      <c r="K4" s="11">
        <f>+SUMPRODUCT(G5:G14,K5:K14)</f>
        <v>0</v>
      </c>
      <c r="L4" s="9"/>
      <c r="N4" s="12">
        <f>+SUM(N5:N14)</f>
        <v>6</v>
      </c>
      <c r="U4" s="12">
        <f>+SUM(U5:U14)</f>
        <v>6</v>
      </c>
      <c r="AB4" s="12">
        <f>+SUM(AB5:AB14)</f>
        <v>3</v>
      </c>
      <c r="AI4" s="12">
        <f>+SUM(AI5:AI14)</f>
        <v>6</v>
      </c>
      <c r="AP4" s="12">
        <f>+SUM(AP5:AP14)</f>
        <v>9</v>
      </c>
      <c r="AW4" s="12">
        <f>SUM(AW$5:AW$14)</f>
        <v>9</v>
      </c>
      <c r="AX4" s="12"/>
      <c r="AY4" s="12"/>
      <c r="AZ4" s="12"/>
      <c r="BA4" s="12"/>
      <c r="BB4" s="12"/>
      <c r="BC4" s="12"/>
      <c r="BD4" s="12">
        <f t="shared" ref="BD4" si="0">SUM(BD$5:BD$14)</f>
        <v>6</v>
      </c>
      <c r="BK4" s="12">
        <f>+SUM(BK5:BK14)</f>
        <v>9</v>
      </c>
      <c r="BR4" s="12">
        <f>+SUM(BR5:BR14)</f>
        <v>9</v>
      </c>
      <c r="BY4" s="12">
        <f>+SUM(BY5:BY14)</f>
        <v>9</v>
      </c>
      <c r="CF4" s="12">
        <f>+SUM(CF5:CF14)</f>
        <v>12</v>
      </c>
      <c r="CM4" s="12">
        <f>+SUM(CM5:CM14)</f>
        <v>6</v>
      </c>
      <c r="CT4" s="12">
        <f>+SUM(CT5:CT14)</f>
        <v>0</v>
      </c>
      <c r="DA4" s="12">
        <f>+SUM(DA5:DA14)</f>
        <v>0</v>
      </c>
      <c r="DH4" s="12">
        <f>+SUM(DH5:DH14)</f>
        <v>0</v>
      </c>
    </row>
    <row r="5" spans="2:117" outlineLevel="1" x14ac:dyDescent="0.2">
      <c r="B5" t="s">
        <v>28</v>
      </c>
      <c r="C5" t="s">
        <v>99</v>
      </c>
      <c r="E5" s="9"/>
      <c r="F5" t="s">
        <v>104</v>
      </c>
      <c r="G5" s="10">
        <v>0.1</v>
      </c>
      <c r="I5" s="9">
        <f t="shared" ref="I5:I14" si="1">+SUMIF($N$3:$ZZ$3,I$3,$N5:$ZZ5)</f>
        <v>9</v>
      </c>
      <c r="J5" s="11" cm="1">
        <f t="array" ref="J5">MAX(IF($N$3:$EH$3=$J$3,N5:EH5))</f>
        <v>0</v>
      </c>
      <c r="K5" s="11" cm="1">
        <f t="array" ref="K5">MAX(IF($N$3:$EH$3=$J$3,N5:EH5))</f>
        <v>0</v>
      </c>
      <c r="L5" s="9"/>
      <c r="N5">
        <v>3</v>
      </c>
      <c r="O5" s="10"/>
      <c r="P5" s="10">
        <v>0.5</v>
      </c>
      <c r="Q5" s="10"/>
      <c r="R5" s="10">
        <v>0.5</v>
      </c>
      <c r="U5">
        <v>0</v>
      </c>
      <c r="V5" s="10"/>
      <c r="W5" s="10">
        <v>0.5</v>
      </c>
      <c r="X5" s="10"/>
      <c r="Y5" s="10">
        <v>0.5</v>
      </c>
      <c r="AB5">
        <v>0</v>
      </c>
      <c r="AC5" s="10"/>
      <c r="AD5" s="10">
        <v>0.5</v>
      </c>
      <c r="AE5" s="10"/>
      <c r="AF5" s="10">
        <v>0.5</v>
      </c>
      <c r="AI5">
        <v>3</v>
      </c>
      <c r="AJ5" s="10"/>
      <c r="AK5" s="10">
        <v>0.8</v>
      </c>
      <c r="AL5" s="10"/>
      <c r="AM5" s="10">
        <v>0.8</v>
      </c>
      <c r="AP5">
        <v>0</v>
      </c>
      <c r="AQ5" s="10"/>
      <c r="AR5" s="10">
        <v>0.8</v>
      </c>
      <c r="AS5" s="10"/>
      <c r="AT5" s="10">
        <v>0.8</v>
      </c>
      <c r="AW5">
        <v>0</v>
      </c>
      <c r="AX5" s="10"/>
      <c r="AY5" s="10">
        <v>0.8</v>
      </c>
      <c r="AZ5" s="10"/>
      <c r="BA5" s="10">
        <v>0.8</v>
      </c>
      <c r="BD5">
        <v>3</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c r="CW5" s="10"/>
      <c r="CX5" s="10"/>
      <c r="DB5" s="10"/>
      <c r="DC5" s="10"/>
      <c r="DD5" s="10"/>
      <c r="DE5" s="10"/>
      <c r="DI5" s="10"/>
      <c r="DJ5" s="10"/>
      <c r="DK5" s="10"/>
      <c r="DL5" s="10"/>
    </row>
    <row r="6" spans="2:117" outlineLevel="1" x14ac:dyDescent="0.2">
      <c r="B6" t="s">
        <v>28</v>
      </c>
      <c r="C6" t="s">
        <v>99</v>
      </c>
      <c r="E6" s="9"/>
      <c r="F6" t="s">
        <v>105</v>
      </c>
      <c r="G6" s="10">
        <v>0.1</v>
      </c>
      <c r="I6" s="9">
        <f t="shared" si="1"/>
        <v>9</v>
      </c>
      <c r="J6" s="11" cm="1">
        <f t="array" ref="J6">MAX(IF($N$3:$EH$3=$J$3,N6:EH6))</f>
        <v>0</v>
      </c>
      <c r="K6" s="11" cm="1">
        <f t="array" ref="K6">MAX(IF($N$3:$EH$3=$J$3,N6:EH6))</f>
        <v>0</v>
      </c>
      <c r="L6" s="9"/>
      <c r="N6">
        <v>3</v>
      </c>
      <c r="O6" s="10"/>
      <c r="P6" s="10">
        <v>0.5</v>
      </c>
      <c r="Q6" s="10"/>
      <c r="R6" s="10">
        <v>0.5</v>
      </c>
      <c r="U6">
        <v>0</v>
      </c>
      <c r="V6" s="10"/>
      <c r="W6" s="10">
        <v>0.5</v>
      </c>
      <c r="X6" s="10"/>
      <c r="Y6" s="10">
        <v>0.5</v>
      </c>
      <c r="AB6">
        <v>0</v>
      </c>
      <c r="AC6" s="10"/>
      <c r="AD6" s="10">
        <v>0.5</v>
      </c>
      <c r="AE6" s="10"/>
      <c r="AF6" s="10">
        <v>0.5</v>
      </c>
      <c r="AI6">
        <v>0</v>
      </c>
      <c r="AJ6" s="10"/>
      <c r="AK6" s="10">
        <v>0.5</v>
      </c>
      <c r="AL6" s="10"/>
      <c r="AM6" s="10">
        <v>0.5</v>
      </c>
      <c r="AP6">
        <v>3</v>
      </c>
      <c r="AQ6" s="10"/>
      <c r="AR6" s="10">
        <v>0.8</v>
      </c>
      <c r="AS6" s="10"/>
      <c r="AT6" s="10">
        <v>0.8</v>
      </c>
      <c r="AW6">
        <v>0</v>
      </c>
      <c r="AX6" s="10"/>
      <c r="AY6" s="10">
        <v>0.8</v>
      </c>
      <c r="AZ6" s="10"/>
      <c r="BA6" s="10">
        <v>0.8</v>
      </c>
      <c r="BE6" s="10"/>
      <c r="BF6" s="10">
        <v>0.8</v>
      </c>
      <c r="BG6" s="10"/>
      <c r="BH6" s="10">
        <v>0.8</v>
      </c>
      <c r="BK6">
        <v>3</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c r="CW6" s="10"/>
      <c r="CX6" s="10"/>
      <c r="DB6" s="10"/>
      <c r="DC6" s="10"/>
      <c r="DD6" s="10"/>
      <c r="DE6" s="10"/>
      <c r="DI6" s="10"/>
      <c r="DJ6" s="10"/>
      <c r="DK6" s="10"/>
      <c r="DL6" s="10"/>
    </row>
    <row r="7" spans="2:117" outlineLevel="1" x14ac:dyDescent="0.2">
      <c r="B7" t="s">
        <v>28</v>
      </c>
      <c r="C7" t="s">
        <v>99</v>
      </c>
      <c r="E7" s="9"/>
      <c r="F7" t="s">
        <v>106</v>
      </c>
      <c r="G7" s="10">
        <v>0.1</v>
      </c>
      <c r="I7" s="9">
        <f t="shared" si="1"/>
        <v>9</v>
      </c>
      <c r="J7" s="11" cm="1">
        <f t="array" ref="J7">MAX(IF($N$3:$EH$3=$J$3,N7:EH7))</f>
        <v>0</v>
      </c>
      <c r="K7" s="11" cm="1">
        <f t="array" ref="K7">MAX(IF($N$3:$EH$3=$J$3,N7:EH7))</f>
        <v>0</v>
      </c>
      <c r="L7" s="9"/>
      <c r="O7" s="10"/>
      <c r="P7" s="10"/>
      <c r="Q7" s="10"/>
      <c r="R7" s="10"/>
      <c r="U7">
        <v>3</v>
      </c>
      <c r="V7" s="10"/>
      <c r="W7" s="10">
        <v>0.5</v>
      </c>
      <c r="X7" s="10"/>
      <c r="Y7" s="10">
        <v>0.5</v>
      </c>
      <c r="AB7">
        <v>0</v>
      </c>
      <c r="AC7" s="10"/>
      <c r="AD7" s="10">
        <v>0.5</v>
      </c>
      <c r="AE7" s="10"/>
      <c r="AF7" s="10">
        <v>0.5</v>
      </c>
      <c r="AI7">
        <v>0</v>
      </c>
      <c r="AJ7" s="10"/>
      <c r="AK7" s="10">
        <v>0.5</v>
      </c>
      <c r="AL7" s="10"/>
      <c r="AM7" s="10">
        <v>0.5</v>
      </c>
      <c r="AP7">
        <v>0</v>
      </c>
      <c r="AQ7" s="10"/>
      <c r="AR7" s="10">
        <v>0.5</v>
      </c>
      <c r="AS7" s="10"/>
      <c r="AT7" s="10">
        <v>0.5</v>
      </c>
      <c r="AW7">
        <v>3</v>
      </c>
      <c r="AX7" s="10"/>
      <c r="AY7" s="10">
        <v>0.8</v>
      </c>
      <c r="AZ7" s="10"/>
      <c r="BA7" s="10">
        <v>0.8</v>
      </c>
      <c r="BE7" s="10"/>
      <c r="BF7" s="10">
        <v>0.8</v>
      </c>
      <c r="BG7" s="10"/>
      <c r="BH7" s="10">
        <v>0.8</v>
      </c>
      <c r="BL7" s="10"/>
      <c r="BM7" s="10">
        <v>0.8</v>
      </c>
      <c r="BN7" s="10"/>
      <c r="BO7" s="10">
        <v>0.8</v>
      </c>
      <c r="BR7">
        <v>3</v>
      </c>
      <c r="BS7" s="10"/>
      <c r="BT7" s="10">
        <v>1</v>
      </c>
      <c r="BU7" s="10"/>
      <c r="BV7" s="10">
        <v>1</v>
      </c>
      <c r="BZ7" s="10"/>
      <c r="CA7" s="10">
        <v>1</v>
      </c>
      <c r="CB7" s="10"/>
      <c r="CC7" s="10">
        <v>1</v>
      </c>
      <c r="CG7" s="10"/>
      <c r="CH7" s="10">
        <v>1</v>
      </c>
      <c r="CI7" s="10"/>
      <c r="CJ7" s="10">
        <v>1</v>
      </c>
      <c r="CN7" s="10"/>
      <c r="CO7" s="10">
        <v>1</v>
      </c>
      <c r="CP7" s="10"/>
      <c r="CQ7" s="10">
        <v>1</v>
      </c>
      <c r="CU7" s="10"/>
      <c r="CV7" s="10"/>
      <c r="CW7" s="10"/>
      <c r="CX7" s="10"/>
      <c r="DB7" s="10"/>
      <c r="DC7" s="10"/>
      <c r="DD7" s="10"/>
      <c r="DE7" s="10"/>
      <c r="DI7" s="10"/>
      <c r="DJ7" s="10"/>
      <c r="DK7" s="10"/>
      <c r="DL7" s="10"/>
    </row>
    <row r="8" spans="2:117" outlineLevel="1" x14ac:dyDescent="0.2">
      <c r="B8" t="s">
        <v>28</v>
      </c>
      <c r="C8" t="s">
        <v>99</v>
      </c>
      <c r="E8" s="9"/>
      <c r="F8" t="s">
        <v>107</v>
      </c>
      <c r="G8" s="10">
        <v>0.1</v>
      </c>
      <c r="I8" s="9">
        <f t="shared" si="1"/>
        <v>9</v>
      </c>
      <c r="J8" s="11" cm="1">
        <f t="array" ref="J8">MAX(IF($N$3:$EH$3=$J$3,N8:EH8))</f>
        <v>0</v>
      </c>
      <c r="K8" s="11" cm="1">
        <f t="array" ref="K8">MAX(IF($N$3:$EH$3=$J$3,N8:EH8))</f>
        <v>0</v>
      </c>
      <c r="L8" s="9"/>
      <c r="O8" s="10"/>
      <c r="P8" s="10"/>
      <c r="Q8" s="10"/>
      <c r="R8" s="10"/>
      <c r="U8">
        <v>3</v>
      </c>
      <c r="V8" s="10"/>
      <c r="W8" s="10">
        <v>0.5</v>
      </c>
      <c r="X8" s="10"/>
      <c r="Y8" s="10">
        <v>0.5</v>
      </c>
      <c r="AB8">
        <v>0</v>
      </c>
      <c r="AC8" s="10"/>
      <c r="AD8" s="10">
        <v>0.5</v>
      </c>
      <c r="AE8" s="10"/>
      <c r="AF8" s="10">
        <v>0.5</v>
      </c>
      <c r="AI8">
        <v>0</v>
      </c>
      <c r="AJ8" s="10"/>
      <c r="AK8" s="10">
        <v>0.5</v>
      </c>
      <c r="AL8" s="10"/>
      <c r="AM8" s="10">
        <v>0.5</v>
      </c>
      <c r="AP8">
        <v>0</v>
      </c>
      <c r="AQ8" s="10"/>
      <c r="AR8" s="10">
        <v>0.5</v>
      </c>
      <c r="AS8" s="10"/>
      <c r="AT8" s="10">
        <v>0.5</v>
      </c>
      <c r="AW8">
        <v>0</v>
      </c>
      <c r="AX8" s="10"/>
      <c r="AY8" s="10">
        <v>0.5</v>
      </c>
      <c r="AZ8" s="10"/>
      <c r="BA8" s="10">
        <v>0.5</v>
      </c>
      <c r="BD8">
        <v>3</v>
      </c>
      <c r="BE8" s="10"/>
      <c r="BF8" s="10">
        <v>0.8</v>
      </c>
      <c r="BG8" s="10"/>
      <c r="BH8" s="10">
        <v>0.8</v>
      </c>
      <c r="BL8" s="10"/>
      <c r="BM8" s="10">
        <v>0.8</v>
      </c>
      <c r="BN8" s="10"/>
      <c r="BO8" s="10">
        <v>0.8</v>
      </c>
      <c r="BR8">
        <v>3</v>
      </c>
      <c r="BS8" s="10"/>
      <c r="BT8" s="10">
        <v>1</v>
      </c>
      <c r="BU8" s="10"/>
      <c r="BV8" s="10">
        <v>1</v>
      </c>
      <c r="BZ8" s="10"/>
      <c r="CA8" s="10">
        <v>1</v>
      </c>
      <c r="CB8" s="10"/>
      <c r="CC8" s="10">
        <v>1</v>
      </c>
      <c r="CG8" s="10"/>
      <c r="CH8" s="10">
        <v>1</v>
      </c>
      <c r="CI8" s="10"/>
      <c r="CJ8" s="10">
        <v>1</v>
      </c>
      <c r="CN8" s="10"/>
      <c r="CO8" s="10">
        <v>1</v>
      </c>
      <c r="CP8" s="10"/>
      <c r="CQ8" s="10">
        <v>1</v>
      </c>
      <c r="CU8" s="10"/>
      <c r="CV8" s="10"/>
      <c r="CW8" s="10"/>
      <c r="CX8" s="10"/>
      <c r="DB8" s="10"/>
      <c r="DC8" s="10"/>
      <c r="DD8" s="10"/>
      <c r="DE8" s="10"/>
      <c r="DI8" s="10"/>
      <c r="DJ8" s="10"/>
      <c r="DK8" s="10"/>
      <c r="DL8" s="10"/>
    </row>
    <row r="9" spans="2:117" outlineLevel="1" x14ac:dyDescent="0.2">
      <c r="B9" t="s">
        <v>28</v>
      </c>
      <c r="C9" t="s">
        <v>99</v>
      </c>
      <c r="E9" s="9"/>
      <c r="F9" t="s">
        <v>108</v>
      </c>
      <c r="G9" s="10">
        <v>0.1</v>
      </c>
      <c r="I9" s="9">
        <f t="shared" si="1"/>
        <v>9</v>
      </c>
      <c r="J9" s="11" cm="1">
        <f t="array" ref="J9">MAX(IF($N$3:$EH$3=$J$3,N9:EH9))</f>
        <v>0</v>
      </c>
      <c r="K9" s="11" cm="1">
        <f t="array" ref="K9">MAX(IF($N$3:$EH$3=$J$3,N9:EH9))</f>
        <v>0</v>
      </c>
      <c r="L9" s="9"/>
      <c r="O9" s="10"/>
      <c r="P9" s="10"/>
      <c r="Q9" s="10"/>
      <c r="R9" s="10"/>
      <c r="V9" s="10"/>
      <c r="W9" s="10"/>
      <c r="X9" s="10"/>
      <c r="Y9" s="10"/>
      <c r="AB9">
        <v>3</v>
      </c>
      <c r="AC9" s="10"/>
      <c r="AD9" s="10">
        <v>0.5</v>
      </c>
      <c r="AE9" s="10"/>
      <c r="AF9" s="10">
        <v>0.5</v>
      </c>
      <c r="AI9">
        <v>0</v>
      </c>
      <c r="AJ9" s="10"/>
      <c r="AK9" s="10">
        <v>0.5</v>
      </c>
      <c r="AL9" s="10"/>
      <c r="AM9" s="10">
        <v>0.5</v>
      </c>
      <c r="AP9">
        <v>0</v>
      </c>
      <c r="AQ9" s="10"/>
      <c r="AR9" s="10">
        <v>0.5</v>
      </c>
      <c r="AS9" s="10"/>
      <c r="AT9" s="10">
        <v>0.5</v>
      </c>
      <c r="AW9">
        <v>0</v>
      </c>
      <c r="AX9" s="10"/>
      <c r="AY9" s="10">
        <v>0.5</v>
      </c>
      <c r="AZ9" s="10"/>
      <c r="BA9" s="10">
        <v>0.5</v>
      </c>
      <c r="BE9" s="10"/>
      <c r="BF9" s="10">
        <v>0.5</v>
      </c>
      <c r="BG9" s="10"/>
      <c r="BH9" s="10">
        <v>0.5</v>
      </c>
      <c r="BK9">
        <v>3</v>
      </c>
      <c r="BL9" s="10"/>
      <c r="BM9" s="10">
        <v>0.8</v>
      </c>
      <c r="BN9" s="10"/>
      <c r="BO9" s="10">
        <v>0.8</v>
      </c>
      <c r="BS9" s="10"/>
      <c r="BT9" s="10">
        <v>0.8</v>
      </c>
      <c r="BU9" s="10"/>
      <c r="BV9" s="10">
        <v>0.8</v>
      </c>
      <c r="BY9">
        <v>3</v>
      </c>
      <c r="BZ9" s="10"/>
      <c r="CA9" s="10">
        <v>1</v>
      </c>
      <c r="CB9" s="10"/>
      <c r="CC9" s="10">
        <v>1</v>
      </c>
      <c r="CG9" s="10"/>
      <c r="CH9" s="10">
        <v>1</v>
      </c>
      <c r="CI9" s="10"/>
      <c r="CJ9" s="10">
        <v>1</v>
      </c>
      <c r="CN9" s="10"/>
      <c r="CO9" s="10">
        <v>1</v>
      </c>
      <c r="CP9" s="10"/>
      <c r="CQ9" s="10">
        <v>1</v>
      </c>
      <c r="CU9" s="10"/>
      <c r="CV9" s="10"/>
      <c r="CW9" s="10"/>
      <c r="CX9" s="10"/>
      <c r="DB9" s="10"/>
      <c r="DC9" s="10"/>
      <c r="DD9" s="10"/>
      <c r="DE9" s="10"/>
      <c r="DI9" s="10"/>
      <c r="DJ9" s="10"/>
      <c r="DK9" s="10"/>
      <c r="DL9" s="10"/>
    </row>
    <row r="10" spans="2:117" outlineLevel="1" x14ac:dyDescent="0.2">
      <c r="B10" t="s">
        <v>28</v>
      </c>
      <c r="C10" t="s">
        <v>99</v>
      </c>
      <c r="E10" s="9"/>
      <c r="F10" t="s">
        <v>109</v>
      </c>
      <c r="G10" s="10">
        <v>0.1</v>
      </c>
      <c r="I10" s="9">
        <f t="shared" si="1"/>
        <v>9</v>
      </c>
      <c r="J10" s="11" cm="1">
        <f t="array" ref="J10">MAX(IF($N$3:$EH$3=$J$3,N10:EH10))</f>
        <v>0</v>
      </c>
      <c r="K10" s="11" cm="1">
        <f t="array" ref="K10">MAX(IF($N$3:$EH$3=$J$3,N10:EH10))</f>
        <v>0</v>
      </c>
      <c r="L10" s="9"/>
      <c r="O10" s="10"/>
      <c r="P10" s="10"/>
      <c r="Q10" s="10"/>
      <c r="R10" s="10"/>
      <c r="V10" s="10"/>
      <c r="W10" s="10"/>
      <c r="X10" s="10"/>
      <c r="Y10" s="10"/>
      <c r="AC10" s="10"/>
      <c r="AD10" s="10"/>
      <c r="AE10" s="10"/>
      <c r="AF10" s="10"/>
      <c r="AI10">
        <v>3</v>
      </c>
      <c r="AJ10" s="10"/>
      <c r="AK10" s="10">
        <v>0.5</v>
      </c>
      <c r="AL10" s="10"/>
      <c r="AM10" s="10">
        <v>0.5</v>
      </c>
      <c r="AP10">
        <v>0</v>
      </c>
      <c r="AQ10" s="10"/>
      <c r="AR10" s="10">
        <v>0.5</v>
      </c>
      <c r="AS10" s="10"/>
      <c r="AT10" s="10">
        <v>0.5</v>
      </c>
      <c r="AW10">
        <v>0</v>
      </c>
      <c r="AX10" s="10"/>
      <c r="AY10" s="10">
        <v>0.5</v>
      </c>
      <c r="AZ10" s="10"/>
      <c r="BA10" s="10">
        <v>0.5</v>
      </c>
      <c r="BE10" s="10"/>
      <c r="BF10" s="10">
        <v>0.5</v>
      </c>
      <c r="BG10" s="10"/>
      <c r="BH10" s="10">
        <v>0.5</v>
      </c>
      <c r="BK10">
        <v>3</v>
      </c>
      <c r="BL10" s="10"/>
      <c r="BM10" s="10">
        <v>0.8</v>
      </c>
      <c r="BN10" s="10"/>
      <c r="BO10" s="10">
        <v>0.8</v>
      </c>
      <c r="BS10" s="10"/>
      <c r="BT10" s="10">
        <v>0.8</v>
      </c>
      <c r="BU10" s="10"/>
      <c r="BV10" s="10">
        <v>0.8</v>
      </c>
      <c r="BY10">
        <v>3</v>
      </c>
      <c r="BZ10" s="10"/>
      <c r="CA10" s="10">
        <v>1</v>
      </c>
      <c r="CB10" s="10"/>
      <c r="CC10" s="10">
        <v>1</v>
      </c>
      <c r="CG10" s="10"/>
      <c r="CH10" s="10">
        <v>1</v>
      </c>
      <c r="CI10" s="10"/>
      <c r="CJ10" s="10">
        <v>1</v>
      </c>
      <c r="CN10" s="10"/>
      <c r="CO10" s="10">
        <v>1</v>
      </c>
      <c r="CP10" s="10"/>
      <c r="CQ10" s="10">
        <v>1</v>
      </c>
      <c r="CU10" s="10"/>
      <c r="CV10" s="10"/>
      <c r="CW10" s="10"/>
      <c r="CX10" s="10"/>
      <c r="DB10" s="10"/>
      <c r="DC10" s="10"/>
      <c r="DD10" s="10"/>
      <c r="DE10" s="10"/>
      <c r="DI10" s="10"/>
      <c r="DJ10" s="10"/>
      <c r="DK10" s="10"/>
      <c r="DL10" s="10"/>
    </row>
    <row r="11" spans="2:117" outlineLevel="1" x14ac:dyDescent="0.2">
      <c r="B11" t="s">
        <v>28</v>
      </c>
      <c r="C11" t="s">
        <v>99</v>
      </c>
      <c r="E11" s="9"/>
      <c r="F11" t="s">
        <v>110</v>
      </c>
      <c r="G11" s="10">
        <v>0.1</v>
      </c>
      <c r="I11" s="9">
        <f t="shared" si="1"/>
        <v>9</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P11">
        <v>3</v>
      </c>
      <c r="AQ11" s="10"/>
      <c r="AR11" s="10">
        <v>0.5</v>
      </c>
      <c r="AS11" s="10"/>
      <c r="AT11" s="10">
        <v>0.5</v>
      </c>
      <c r="AW11">
        <v>0</v>
      </c>
      <c r="AX11" s="10"/>
      <c r="AY11" s="10">
        <v>0.5</v>
      </c>
      <c r="AZ11" s="10"/>
      <c r="BA11" s="10">
        <v>0.5</v>
      </c>
      <c r="BE11" s="10"/>
      <c r="BF11" s="10">
        <v>0.5</v>
      </c>
      <c r="BG11" s="10"/>
      <c r="BH11" s="10">
        <v>0.5</v>
      </c>
      <c r="BL11" s="10"/>
      <c r="BM11" s="10">
        <v>0.5</v>
      </c>
      <c r="BN11" s="10"/>
      <c r="BO11" s="10">
        <v>0.5</v>
      </c>
      <c r="BR11">
        <v>3</v>
      </c>
      <c r="BS11" s="10"/>
      <c r="BT11" s="10">
        <v>0.8</v>
      </c>
      <c r="BU11" s="10"/>
      <c r="BV11" s="10">
        <v>0.8</v>
      </c>
      <c r="BZ11" s="10"/>
      <c r="CA11" s="10">
        <v>0.8</v>
      </c>
      <c r="CB11" s="10"/>
      <c r="CC11" s="10">
        <v>0.8</v>
      </c>
      <c r="CF11">
        <v>3</v>
      </c>
      <c r="CG11" s="10"/>
      <c r="CH11" s="10">
        <v>1</v>
      </c>
      <c r="CI11" s="10"/>
      <c r="CJ11" s="10">
        <v>1</v>
      </c>
      <c r="CN11" s="10"/>
      <c r="CO11" s="10">
        <v>1</v>
      </c>
      <c r="CP11" s="10"/>
      <c r="CQ11" s="10">
        <v>1</v>
      </c>
      <c r="CU11" s="10"/>
      <c r="CV11" s="10"/>
      <c r="CW11" s="10"/>
      <c r="CX11" s="10"/>
      <c r="DB11" s="10"/>
      <c r="DC11" s="10"/>
      <c r="DD11" s="10"/>
      <c r="DE11" s="10"/>
      <c r="DI11" s="10"/>
      <c r="DJ11" s="10"/>
      <c r="DK11" s="10"/>
      <c r="DL11" s="10"/>
    </row>
    <row r="12" spans="2:117" outlineLevel="1" x14ac:dyDescent="0.2">
      <c r="B12" t="s">
        <v>28</v>
      </c>
      <c r="C12" t="s">
        <v>99</v>
      </c>
      <c r="E12" s="9"/>
      <c r="F12" t="s">
        <v>111</v>
      </c>
      <c r="G12" s="10">
        <v>0.1</v>
      </c>
      <c r="I12" s="9">
        <f t="shared" si="1"/>
        <v>9</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P12">
        <v>3</v>
      </c>
      <c r="AQ12" s="10"/>
      <c r="AR12" s="10">
        <v>0.5</v>
      </c>
      <c r="AS12" s="10"/>
      <c r="AT12" s="10">
        <v>0.5</v>
      </c>
      <c r="AW12">
        <v>0</v>
      </c>
      <c r="AX12" s="10"/>
      <c r="AY12" s="10">
        <v>0.5</v>
      </c>
      <c r="AZ12" s="10"/>
      <c r="BA12" s="10">
        <v>0.5</v>
      </c>
      <c r="BE12" s="10"/>
      <c r="BF12" s="10">
        <v>0.5</v>
      </c>
      <c r="BG12" s="10"/>
      <c r="BH12" s="10">
        <v>0.5</v>
      </c>
      <c r="BL12" s="10"/>
      <c r="BM12" s="10">
        <v>0.5</v>
      </c>
      <c r="BN12" s="10"/>
      <c r="BO12" s="10">
        <v>0.5</v>
      </c>
      <c r="BS12" s="10"/>
      <c r="BT12" s="10">
        <v>0.5</v>
      </c>
      <c r="BU12" s="10"/>
      <c r="BV12" s="10">
        <v>0.5</v>
      </c>
      <c r="BY12">
        <v>3</v>
      </c>
      <c r="BZ12" s="10"/>
      <c r="CA12" s="10">
        <v>0.8</v>
      </c>
      <c r="CB12" s="10"/>
      <c r="CC12" s="10">
        <v>0.8</v>
      </c>
      <c r="CF12">
        <v>3</v>
      </c>
      <c r="CG12" s="10"/>
      <c r="CH12" s="10">
        <v>1</v>
      </c>
      <c r="CI12" s="10"/>
      <c r="CJ12" s="10">
        <v>1</v>
      </c>
      <c r="CN12" s="10"/>
      <c r="CO12" s="10">
        <v>1</v>
      </c>
      <c r="CP12" s="10"/>
      <c r="CQ12" s="10">
        <v>1</v>
      </c>
      <c r="CU12" s="10"/>
      <c r="CV12" s="10"/>
      <c r="CW12" s="10"/>
      <c r="CX12" s="10"/>
      <c r="DB12" s="10"/>
      <c r="DC12" s="10"/>
      <c r="DD12" s="10"/>
      <c r="DE12" s="10"/>
      <c r="DI12" s="10"/>
      <c r="DJ12" s="10"/>
      <c r="DK12" s="10"/>
      <c r="DL12" s="10"/>
    </row>
    <row r="13" spans="2:117" outlineLevel="1" x14ac:dyDescent="0.2">
      <c r="B13" t="s">
        <v>28</v>
      </c>
      <c r="C13" t="s">
        <v>99</v>
      </c>
      <c r="E13" s="9"/>
      <c r="F13" t="s">
        <v>112</v>
      </c>
      <c r="G13" s="10">
        <v>0.1</v>
      </c>
      <c r="I13" s="9">
        <f t="shared" si="1"/>
        <v>9</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W13">
        <v>3</v>
      </c>
      <c r="AX13" s="10"/>
      <c r="AY13" s="10">
        <v>0.5</v>
      </c>
      <c r="AZ13" s="10"/>
      <c r="BA13" s="10">
        <v>0.5</v>
      </c>
      <c r="BE13" s="10"/>
      <c r="BF13" s="10">
        <v>0.5</v>
      </c>
      <c r="BG13" s="10"/>
      <c r="BH13" s="10">
        <v>0.5</v>
      </c>
      <c r="BL13" s="10"/>
      <c r="BM13" s="10">
        <v>0.5</v>
      </c>
      <c r="BN13" s="10"/>
      <c r="BO13" s="10">
        <v>0.5</v>
      </c>
      <c r="BS13" s="10"/>
      <c r="BT13" s="10">
        <v>0.5</v>
      </c>
      <c r="BU13" s="10"/>
      <c r="BV13" s="10">
        <v>0.5</v>
      </c>
      <c r="BZ13" s="10"/>
      <c r="CA13" s="10">
        <v>0.5</v>
      </c>
      <c r="CB13" s="10"/>
      <c r="CC13" s="10">
        <v>0.5</v>
      </c>
      <c r="CF13">
        <v>3</v>
      </c>
      <c r="CG13" s="10"/>
      <c r="CH13" s="10">
        <v>0.8</v>
      </c>
      <c r="CI13" s="10"/>
      <c r="CJ13" s="10">
        <v>0.8</v>
      </c>
      <c r="CM13">
        <v>3</v>
      </c>
      <c r="CN13" s="10"/>
      <c r="CO13" s="10">
        <v>1</v>
      </c>
      <c r="CP13" s="10"/>
      <c r="CQ13" s="10">
        <v>1</v>
      </c>
      <c r="CU13" s="10"/>
      <c r="CV13" s="10"/>
      <c r="CW13" s="10"/>
      <c r="CX13" s="10"/>
      <c r="DB13" s="10"/>
      <c r="DC13" s="10"/>
      <c r="DD13" s="10"/>
      <c r="DE13" s="10"/>
      <c r="DI13" s="10"/>
      <c r="DJ13" s="10"/>
      <c r="DK13" s="10"/>
      <c r="DL13" s="10"/>
    </row>
    <row r="14" spans="2:117" outlineLevel="1" x14ac:dyDescent="0.2">
      <c r="B14" t="s">
        <v>28</v>
      </c>
      <c r="C14" t="s">
        <v>99</v>
      </c>
      <c r="E14" s="9"/>
      <c r="F14" t="s">
        <v>113</v>
      </c>
      <c r="G14" s="10">
        <v>0.1</v>
      </c>
      <c r="I14" s="9">
        <f t="shared" si="1"/>
        <v>9</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W14">
        <v>3</v>
      </c>
      <c r="AX14" s="10"/>
      <c r="AY14" s="10">
        <v>0.5</v>
      </c>
      <c r="AZ14" s="10"/>
      <c r="BA14" s="10">
        <v>0.5</v>
      </c>
      <c r="BE14" s="10"/>
      <c r="BF14" s="10">
        <v>0.5</v>
      </c>
      <c r="BG14" s="10"/>
      <c r="BH14" s="10">
        <v>0.5</v>
      </c>
      <c r="BL14" s="10"/>
      <c r="BM14" s="10">
        <v>0.5</v>
      </c>
      <c r="BN14" s="10"/>
      <c r="BO14" s="10">
        <v>0.5</v>
      </c>
      <c r="BS14" s="10"/>
      <c r="BT14" s="10">
        <v>0.5</v>
      </c>
      <c r="BU14" s="10"/>
      <c r="BV14" s="10">
        <v>0.5</v>
      </c>
      <c r="BZ14" s="10"/>
      <c r="CA14" s="10">
        <v>0.5</v>
      </c>
      <c r="CB14" s="10"/>
      <c r="CC14" s="10">
        <v>0.5</v>
      </c>
      <c r="CF14">
        <v>3</v>
      </c>
      <c r="CG14" s="10"/>
      <c r="CH14" s="10">
        <v>0.8</v>
      </c>
      <c r="CI14" s="10"/>
      <c r="CJ14" s="10">
        <v>0.8</v>
      </c>
      <c r="CM14">
        <v>3</v>
      </c>
      <c r="CN14" s="10"/>
      <c r="CO14" s="10">
        <v>1</v>
      </c>
      <c r="CP14" s="10"/>
      <c r="CQ14" s="10">
        <v>1</v>
      </c>
      <c r="CU14" s="10"/>
      <c r="CV14" s="10"/>
      <c r="CW14" s="10"/>
      <c r="CX14" s="10"/>
      <c r="DB14" s="10"/>
      <c r="DC14" s="10"/>
      <c r="DD14" s="10"/>
      <c r="DE14" s="10"/>
      <c r="DI14" s="10"/>
      <c r="DJ14" s="10"/>
      <c r="DK14" s="10"/>
      <c r="DL14" s="10"/>
    </row>
    <row r="16" spans="2:117" x14ac:dyDescent="0.2">
      <c r="B16" t="s">
        <v>27</v>
      </c>
      <c r="C16" t="s">
        <v>100</v>
      </c>
      <c r="D16" s="19">
        <v>45122</v>
      </c>
      <c r="E16" s="9">
        <v>5</v>
      </c>
      <c r="G16" s="10">
        <f>+SUM(G17:G22)</f>
        <v>1</v>
      </c>
      <c r="I16" s="12">
        <f>+SUM(I17:I22)</f>
        <v>65</v>
      </c>
      <c r="J16" s="11">
        <f>+SUMPRODUCT(G17:G22,J17:J22)</f>
        <v>0</v>
      </c>
      <c r="K16" s="11">
        <f>+SUMPRODUCT(G17:G22,K17:K22)</f>
        <v>0</v>
      </c>
      <c r="L16" s="9"/>
      <c r="N16" s="12">
        <f>+SUM(N17:N22)</f>
        <v>4</v>
      </c>
      <c r="U16" s="12">
        <f>+SUM(U17:U22)</f>
        <v>4</v>
      </c>
      <c r="AB16" s="12">
        <f>+SUM(AB17:AB22)</f>
        <v>10</v>
      </c>
      <c r="AI16" s="12">
        <f>+SUM(AI17:AI22)</f>
        <v>6</v>
      </c>
      <c r="AP16" s="12">
        <f>+SUM(AP17:AP22)</f>
        <v>7</v>
      </c>
      <c r="AW16" s="9">
        <f>SUM(AW$17:AW$22)</f>
        <v>4</v>
      </c>
      <c r="AX16" s="9"/>
      <c r="AY16" s="9"/>
      <c r="AZ16" s="9"/>
      <c r="BA16" s="9"/>
      <c r="BB16" s="9"/>
      <c r="BC16" s="9"/>
      <c r="BD16" s="9">
        <f t="shared" ref="BD16:CM16" si="2">SUM(BD$17:BD$22)</f>
        <v>3</v>
      </c>
      <c r="BE16" s="9"/>
      <c r="BF16" s="9"/>
      <c r="BG16" s="9"/>
      <c r="BH16" s="9"/>
      <c r="BI16" s="9"/>
      <c r="BJ16" s="9"/>
      <c r="BK16" s="9">
        <f t="shared" si="2"/>
        <v>6</v>
      </c>
      <c r="BL16" s="9"/>
      <c r="BM16" s="9"/>
      <c r="BN16" s="9"/>
      <c r="BO16" s="9"/>
      <c r="BP16" s="9"/>
      <c r="BQ16" s="9"/>
      <c r="BR16" s="9">
        <f t="shared" si="2"/>
        <v>3</v>
      </c>
      <c r="BS16" s="9"/>
      <c r="BT16" s="9"/>
      <c r="BU16" s="9"/>
      <c r="BV16" s="9"/>
      <c r="BW16" s="9"/>
      <c r="BX16" s="9"/>
      <c r="BY16" s="9">
        <f t="shared" si="2"/>
        <v>3</v>
      </c>
      <c r="BZ16" s="9"/>
      <c r="CA16" s="9"/>
      <c r="CB16" s="9"/>
      <c r="CC16" s="9"/>
      <c r="CD16" s="9"/>
      <c r="CE16" s="9"/>
      <c r="CF16" s="9">
        <f t="shared" si="2"/>
        <v>9</v>
      </c>
      <c r="CG16" s="9"/>
      <c r="CH16" s="9"/>
      <c r="CI16" s="9"/>
      <c r="CJ16" s="9"/>
      <c r="CK16" s="9"/>
      <c r="CL16" s="9"/>
      <c r="CM16" s="9">
        <f t="shared" si="2"/>
        <v>6</v>
      </c>
      <c r="CN16" s="9"/>
      <c r="CO16" s="9"/>
      <c r="CP16" s="9"/>
      <c r="CQ16" s="9"/>
    </row>
    <row r="17" spans="2:116" outlineLevel="1" x14ac:dyDescent="0.2">
      <c r="B17" t="s">
        <v>28</v>
      </c>
      <c r="C17" t="s">
        <v>100</v>
      </c>
      <c r="E17" s="9"/>
      <c r="F17" t="s">
        <v>30</v>
      </c>
      <c r="G17" s="10">
        <v>0.1</v>
      </c>
      <c r="I17" s="9">
        <f t="shared" ref="I17:I22" si="3">+SUMIF($N$3:$ZZ$3,I$3,$N17:$ZZ17)</f>
        <v>13</v>
      </c>
      <c r="J17" s="11" cm="1">
        <f t="array" ref="J17">MAX(IF($N$3:$EH$3=$J$3,N17:EH17))</f>
        <v>0</v>
      </c>
      <c r="K17" s="11" cm="1">
        <f t="array" ref="K17">MAX(IF($N$3:$EH$3=$J$3,N17:EH17))</f>
        <v>0</v>
      </c>
      <c r="L17" s="9"/>
      <c r="N17">
        <v>4</v>
      </c>
      <c r="O17" s="10"/>
      <c r="P17" s="10">
        <v>0.5</v>
      </c>
      <c r="Q17" s="10"/>
      <c r="R17" s="10">
        <v>0.5</v>
      </c>
      <c r="U17">
        <v>0</v>
      </c>
      <c r="V17" s="10"/>
      <c r="W17" s="10">
        <v>0.5</v>
      </c>
      <c r="X17" s="10"/>
      <c r="Y17" s="10">
        <v>0.5</v>
      </c>
      <c r="AB17">
        <v>4</v>
      </c>
      <c r="AC17" s="10"/>
      <c r="AD17" s="10">
        <v>0.8</v>
      </c>
      <c r="AE17" s="10"/>
      <c r="AF17" s="10">
        <v>0.8</v>
      </c>
      <c r="AI17">
        <v>2</v>
      </c>
      <c r="AJ17" s="10"/>
      <c r="AK17" s="10">
        <v>0.8</v>
      </c>
      <c r="AL17" s="10"/>
      <c r="AM17" s="10">
        <v>0.8</v>
      </c>
      <c r="AP17">
        <v>0</v>
      </c>
      <c r="AQ17" s="10"/>
      <c r="AR17" s="10">
        <v>0.8</v>
      </c>
      <c r="AS17" s="10"/>
      <c r="AT17" s="10">
        <v>0.8</v>
      </c>
      <c r="AW17">
        <v>0</v>
      </c>
      <c r="AX17" s="10"/>
      <c r="AY17" s="10">
        <v>0.8</v>
      </c>
      <c r="AZ17" s="10"/>
      <c r="BA17" s="10">
        <v>0.8</v>
      </c>
      <c r="BD17">
        <v>3</v>
      </c>
      <c r="BE17" s="10"/>
      <c r="BF17" s="10">
        <v>1</v>
      </c>
      <c r="BG17" s="10"/>
      <c r="BH17" s="10">
        <v>1</v>
      </c>
      <c r="BL17" s="10"/>
      <c r="BM17" s="10">
        <v>1</v>
      </c>
      <c r="BN17" s="10"/>
      <c r="BO17" s="10">
        <v>1</v>
      </c>
      <c r="BS17" s="10"/>
      <c r="BT17" s="10">
        <v>1</v>
      </c>
      <c r="BU17" s="10"/>
      <c r="BV17" s="10">
        <v>1</v>
      </c>
      <c r="BZ17" s="10"/>
      <c r="CA17" s="10">
        <v>1</v>
      </c>
      <c r="CB17" s="10"/>
      <c r="CC17" s="10">
        <v>1</v>
      </c>
      <c r="CG17" s="10"/>
      <c r="CH17" s="10">
        <v>1</v>
      </c>
      <c r="CI17" s="10"/>
      <c r="CJ17" s="10">
        <v>1</v>
      </c>
      <c r="CN17" s="10"/>
      <c r="CO17" s="10">
        <v>1</v>
      </c>
      <c r="CP17" s="10"/>
      <c r="CQ17" s="10">
        <v>1</v>
      </c>
      <c r="CU17" s="10"/>
      <c r="CV17" s="10"/>
      <c r="CW17" s="10"/>
      <c r="CX17" s="10"/>
      <c r="DB17" s="10"/>
      <c r="DC17" s="10"/>
      <c r="DD17" s="10"/>
      <c r="DE17" s="10"/>
      <c r="DI17" s="10"/>
      <c r="DJ17" s="10"/>
      <c r="DK17" s="10"/>
      <c r="DL17" s="10"/>
    </row>
    <row r="18" spans="2:116" outlineLevel="1" x14ac:dyDescent="0.2">
      <c r="B18" t="s">
        <v>28</v>
      </c>
      <c r="C18" t="s">
        <v>100</v>
      </c>
      <c r="E18" s="9"/>
      <c r="F18" t="s">
        <v>114</v>
      </c>
      <c r="G18" s="10">
        <v>0.15</v>
      </c>
      <c r="I18" s="9">
        <f t="shared" si="3"/>
        <v>12</v>
      </c>
      <c r="J18" s="11" cm="1">
        <f t="array" ref="J18">MAX(IF($N$3:$EH$3=$J$3,N18:EH18))</f>
        <v>0</v>
      </c>
      <c r="K18" s="11" cm="1">
        <f t="array" ref="K18">MAX(IF($N$3:$EH$3=$J$3,N18:EH18))</f>
        <v>0</v>
      </c>
      <c r="L18" s="9"/>
      <c r="O18" s="10"/>
      <c r="P18" s="10"/>
      <c r="Q18" s="10"/>
      <c r="R18" s="10"/>
      <c r="U18">
        <v>4</v>
      </c>
      <c r="V18" s="10"/>
      <c r="W18" s="10">
        <v>0.5</v>
      </c>
      <c r="X18" s="10"/>
      <c r="Y18" s="10">
        <v>0.5</v>
      </c>
      <c r="AB18">
        <v>2</v>
      </c>
      <c r="AC18" s="10"/>
      <c r="AD18" s="10">
        <v>0.5</v>
      </c>
      <c r="AE18" s="10"/>
      <c r="AF18" s="10">
        <v>0.5</v>
      </c>
      <c r="AI18">
        <v>0</v>
      </c>
      <c r="AJ18" s="10"/>
      <c r="AK18" s="10">
        <v>0.5</v>
      </c>
      <c r="AL18" s="10"/>
      <c r="AM18" s="10">
        <v>0.5</v>
      </c>
      <c r="AP18">
        <v>3</v>
      </c>
      <c r="AQ18" s="10"/>
      <c r="AR18" s="10">
        <v>0.8</v>
      </c>
      <c r="AS18" s="10"/>
      <c r="AT18" s="10">
        <v>0.8</v>
      </c>
      <c r="AW18">
        <v>0</v>
      </c>
      <c r="AX18" s="10"/>
      <c r="AY18" s="10">
        <v>0.8</v>
      </c>
      <c r="AZ18" s="10"/>
      <c r="BA18" s="10">
        <v>0.8</v>
      </c>
      <c r="BE18" s="10"/>
      <c r="BF18" s="10">
        <v>0.8</v>
      </c>
      <c r="BG18" s="10"/>
      <c r="BH18" s="10">
        <v>0.8</v>
      </c>
      <c r="BK18">
        <v>3</v>
      </c>
      <c r="BL18" s="10"/>
      <c r="BM18" s="10">
        <v>1</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c r="CW18" s="10"/>
      <c r="CX18" s="10"/>
      <c r="DB18" s="10"/>
      <c r="DC18" s="10"/>
      <c r="DD18" s="10"/>
      <c r="DE18" s="10"/>
      <c r="DI18" s="10"/>
      <c r="DJ18" s="10"/>
      <c r="DK18" s="10"/>
      <c r="DL18" s="10"/>
    </row>
    <row r="19" spans="2:116" outlineLevel="1" x14ac:dyDescent="0.2">
      <c r="B19" t="s">
        <v>28</v>
      </c>
      <c r="C19" t="s">
        <v>100</v>
      </c>
      <c r="E19" s="9"/>
      <c r="F19" t="s">
        <v>115</v>
      </c>
      <c r="G19" s="10">
        <v>0.15</v>
      </c>
      <c r="I19" s="9">
        <f t="shared" si="3"/>
        <v>10</v>
      </c>
      <c r="J19" s="11" cm="1">
        <f t="array" ref="J19">MAX(IF($N$3:$EH$3=$J$3,N19:EH19))</f>
        <v>0</v>
      </c>
      <c r="K19" s="11" cm="1">
        <f t="array" ref="K19">MAX(IF($N$3:$EH$3=$J$3,N19:EH19))</f>
        <v>0</v>
      </c>
      <c r="L19" s="9"/>
      <c r="O19" s="10"/>
      <c r="P19" s="10"/>
      <c r="Q19" s="10"/>
      <c r="R19" s="10"/>
      <c r="V19" s="10"/>
      <c r="W19" s="10"/>
      <c r="X19" s="10"/>
      <c r="Y19" s="10"/>
      <c r="AB19">
        <v>4</v>
      </c>
      <c r="AC19" s="10"/>
      <c r="AD19" s="10">
        <v>0.5</v>
      </c>
      <c r="AE19" s="10"/>
      <c r="AF19" s="10">
        <v>0.5</v>
      </c>
      <c r="AI19">
        <v>0</v>
      </c>
      <c r="AJ19" s="10"/>
      <c r="AK19" s="10">
        <v>0.5</v>
      </c>
      <c r="AL19" s="10"/>
      <c r="AM19" s="10">
        <v>0.5</v>
      </c>
      <c r="AP19">
        <v>0</v>
      </c>
      <c r="AQ19" s="10"/>
      <c r="AR19" s="10">
        <v>0.5</v>
      </c>
      <c r="AS19" s="10"/>
      <c r="AT19" s="10">
        <v>0.5</v>
      </c>
      <c r="AW19">
        <v>0</v>
      </c>
      <c r="AX19" s="10"/>
      <c r="AY19" s="10">
        <v>0.5</v>
      </c>
      <c r="AZ19" s="10"/>
      <c r="BA19" s="10">
        <v>0.5</v>
      </c>
      <c r="BE19" s="10"/>
      <c r="BF19" s="10">
        <v>0.5</v>
      </c>
      <c r="BG19" s="10"/>
      <c r="BH19" s="10">
        <v>0.5</v>
      </c>
      <c r="BK19">
        <v>3</v>
      </c>
      <c r="BL19" s="10"/>
      <c r="BM19" s="10">
        <v>0.8</v>
      </c>
      <c r="BN19" s="10"/>
      <c r="BO19" s="10">
        <v>0.8</v>
      </c>
      <c r="BS19" s="10"/>
      <c r="BT19" s="10">
        <v>0.8</v>
      </c>
      <c r="BU19" s="10"/>
      <c r="BV19" s="10">
        <v>0.8</v>
      </c>
      <c r="BY19">
        <v>3</v>
      </c>
      <c r="BZ19" s="10"/>
      <c r="CA19" s="10">
        <v>1</v>
      </c>
      <c r="CB19" s="10"/>
      <c r="CC19" s="10">
        <v>1</v>
      </c>
      <c r="CG19" s="10"/>
      <c r="CH19" s="10">
        <v>1</v>
      </c>
      <c r="CI19" s="10"/>
      <c r="CJ19" s="10">
        <v>1</v>
      </c>
      <c r="CN19" s="10"/>
      <c r="CO19" s="10">
        <v>1</v>
      </c>
      <c r="CP19" s="10"/>
      <c r="CQ19" s="10">
        <v>1</v>
      </c>
      <c r="CU19" s="10"/>
      <c r="CV19" s="10"/>
      <c r="CW19" s="10"/>
      <c r="CX19" s="10"/>
      <c r="DB19" s="10"/>
      <c r="DC19" s="10"/>
      <c r="DD19" s="10"/>
      <c r="DE19" s="10"/>
      <c r="DI19" s="10"/>
      <c r="DJ19" s="10"/>
      <c r="DK19" s="10"/>
      <c r="DL19" s="10"/>
    </row>
    <row r="20" spans="2:116" outlineLevel="1" x14ac:dyDescent="0.2">
      <c r="B20" t="s">
        <v>28</v>
      </c>
      <c r="C20" t="s">
        <v>100</v>
      </c>
      <c r="E20" s="9"/>
      <c r="F20" t="s">
        <v>116</v>
      </c>
      <c r="G20" s="10">
        <v>0.15</v>
      </c>
      <c r="I20" s="9">
        <f t="shared" si="3"/>
        <v>10</v>
      </c>
      <c r="J20" s="11" cm="1">
        <f t="array" ref="J20">MAX(IF($N$3:$EH$3=$J$3,N20:EH20))</f>
        <v>0</v>
      </c>
      <c r="K20" s="11" cm="1">
        <f t="array" ref="K20">MAX(IF($N$3:$EH$3=$J$3,N20:EH20))</f>
        <v>0</v>
      </c>
      <c r="L20" s="9"/>
      <c r="O20" s="10"/>
      <c r="P20" s="10"/>
      <c r="Q20" s="10"/>
      <c r="R20" s="10"/>
      <c r="V20" s="10"/>
      <c r="W20" s="10"/>
      <c r="X20" s="10"/>
      <c r="Y20" s="10"/>
      <c r="AC20" s="10"/>
      <c r="AD20" s="10"/>
      <c r="AE20" s="10"/>
      <c r="AF20" s="10"/>
      <c r="AI20">
        <v>4</v>
      </c>
      <c r="AJ20" s="10"/>
      <c r="AK20" s="10">
        <v>0.5</v>
      </c>
      <c r="AL20" s="10"/>
      <c r="AM20" s="10">
        <v>0.5</v>
      </c>
      <c r="AP20">
        <v>0</v>
      </c>
      <c r="AQ20" s="10"/>
      <c r="AR20" s="10">
        <v>0.5</v>
      </c>
      <c r="AS20" s="10"/>
      <c r="AT20" s="10">
        <v>0.5</v>
      </c>
      <c r="AW20">
        <v>0</v>
      </c>
      <c r="AX20" s="10"/>
      <c r="AY20" s="10">
        <v>0.5</v>
      </c>
      <c r="AZ20" s="10"/>
      <c r="BA20" s="10">
        <v>0.5</v>
      </c>
      <c r="BE20" s="10"/>
      <c r="BF20" s="10">
        <v>0.5</v>
      </c>
      <c r="BG20" s="10"/>
      <c r="BH20" s="10">
        <v>0.5</v>
      </c>
      <c r="BL20" s="10"/>
      <c r="BM20" s="10">
        <v>0.5</v>
      </c>
      <c r="BN20" s="10"/>
      <c r="BO20" s="10">
        <v>0.5</v>
      </c>
      <c r="BR20">
        <v>3</v>
      </c>
      <c r="BS20" s="10"/>
      <c r="BT20" s="10">
        <v>0.8</v>
      </c>
      <c r="BU20" s="10"/>
      <c r="BV20" s="10">
        <v>0.8</v>
      </c>
      <c r="BZ20" s="10"/>
      <c r="CA20" s="10">
        <v>0.8</v>
      </c>
      <c r="CB20" s="10"/>
      <c r="CC20" s="10">
        <v>0.8</v>
      </c>
      <c r="CF20">
        <v>3</v>
      </c>
      <c r="CG20" s="10"/>
      <c r="CH20" s="10">
        <v>1</v>
      </c>
      <c r="CI20" s="10"/>
      <c r="CJ20" s="10">
        <v>1</v>
      </c>
      <c r="CN20" s="10"/>
      <c r="CO20" s="10">
        <v>1</v>
      </c>
      <c r="CP20" s="10"/>
      <c r="CQ20" s="10">
        <v>1</v>
      </c>
      <c r="CU20" s="10"/>
      <c r="CV20" s="10"/>
      <c r="CW20" s="10"/>
      <c r="CX20" s="10"/>
      <c r="DB20" s="10"/>
      <c r="DC20" s="10"/>
      <c r="DD20" s="10"/>
      <c r="DE20" s="10"/>
      <c r="DI20" s="10"/>
      <c r="DJ20" s="10"/>
      <c r="DK20" s="10"/>
      <c r="DL20" s="10"/>
    </row>
    <row r="21" spans="2:116" outlineLevel="1" x14ac:dyDescent="0.2">
      <c r="B21" t="s">
        <v>28</v>
      </c>
      <c r="C21" t="s">
        <v>100</v>
      </c>
      <c r="E21" s="9"/>
      <c r="F21" t="s">
        <v>117</v>
      </c>
      <c r="G21" s="10">
        <v>0.15</v>
      </c>
      <c r="I21" s="9">
        <f t="shared" si="3"/>
        <v>10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P21">
        <v>4</v>
      </c>
      <c r="AQ21" s="10"/>
      <c r="AR21" s="10">
        <v>0.5</v>
      </c>
      <c r="AS21" s="10"/>
      <c r="AT21" s="10">
        <v>0.5</v>
      </c>
      <c r="AW21">
        <v>0</v>
      </c>
      <c r="AX21" s="10"/>
      <c r="AY21" s="10">
        <v>0.5</v>
      </c>
      <c r="AZ21" s="10"/>
      <c r="BA21" s="10">
        <v>0.5</v>
      </c>
      <c r="BE21" s="10"/>
      <c r="BF21" s="10">
        <v>0.5</v>
      </c>
      <c r="BG21" s="10"/>
      <c r="BH21" s="10">
        <v>0.5</v>
      </c>
      <c r="BL21" s="10"/>
      <c r="BM21" s="10">
        <v>0.5</v>
      </c>
      <c r="BN21" s="10"/>
      <c r="BO21" s="10">
        <v>0.5</v>
      </c>
      <c r="BS21" s="10"/>
      <c r="BT21" s="10">
        <v>0.5</v>
      </c>
      <c r="BU21" s="10"/>
      <c r="BV21" s="10">
        <v>0.5</v>
      </c>
      <c r="BZ21" s="10"/>
      <c r="CA21" s="10">
        <v>0.5</v>
      </c>
      <c r="CB21" s="10"/>
      <c r="CC21" s="10">
        <v>0.5</v>
      </c>
      <c r="CF21">
        <v>3</v>
      </c>
      <c r="CG21" s="10"/>
      <c r="CH21" s="10">
        <v>0.8</v>
      </c>
      <c r="CI21" s="10"/>
      <c r="CJ21" s="10">
        <v>0.8</v>
      </c>
      <c r="CM21">
        <v>3</v>
      </c>
      <c r="CN21" s="10"/>
      <c r="CO21" s="10">
        <v>1</v>
      </c>
      <c r="CP21" s="10"/>
      <c r="CQ21" s="10">
        <v>1</v>
      </c>
      <c r="CU21" s="10"/>
      <c r="CV21" s="10"/>
      <c r="CW21" s="10"/>
      <c r="CX21" s="10"/>
      <c r="DB21" s="10"/>
      <c r="DC21" s="10"/>
      <c r="DD21" s="10"/>
      <c r="DE21" s="10"/>
      <c r="DI21" s="10"/>
      <c r="DJ21" s="10"/>
      <c r="DK21" s="10"/>
      <c r="DL21" s="10"/>
    </row>
    <row r="22" spans="2:116" outlineLevel="1" x14ac:dyDescent="0.2">
      <c r="B22" t="s">
        <v>28</v>
      </c>
      <c r="C22" t="s">
        <v>100</v>
      </c>
      <c r="E22" s="9"/>
      <c r="F22" t="s">
        <v>118</v>
      </c>
      <c r="G22" s="10">
        <v>0.3</v>
      </c>
      <c r="I22" s="9">
        <f t="shared" si="3"/>
        <v>10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W22">
        <v>4</v>
      </c>
      <c r="AX22" s="10"/>
      <c r="AY22" s="10">
        <v>0.5</v>
      </c>
      <c r="AZ22" s="10"/>
      <c r="BA22" s="10">
        <v>0.5</v>
      </c>
      <c r="BE22" s="10"/>
      <c r="BF22" s="10">
        <v>0.5</v>
      </c>
      <c r="BG22" s="10"/>
      <c r="BH22" s="10">
        <v>0.5</v>
      </c>
      <c r="BL22" s="10"/>
      <c r="BM22" s="10">
        <v>0.5</v>
      </c>
      <c r="BN22" s="10"/>
      <c r="BO22" s="10">
        <v>0.5</v>
      </c>
      <c r="BS22" s="10"/>
      <c r="BT22" s="10">
        <v>0.5</v>
      </c>
      <c r="BU22" s="10"/>
      <c r="BV22" s="10">
        <v>0.5</v>
      </c>
      <c r="BZ22" s="10"/>
      <c r="CA22" s="10">
        <v>0.5</v>
      </c>
      <c r="CB22" s="10"/>
      <c r="CC22" s="10">
        <v>0.5</v>
      </c>
      <c r="CF22">
        <v>3</v>
      </c>
      <c r="CG22" s="10"/>
      <c r="CH22" s="10">
        <v>0.8</v>
      </c>
      <c r="CI22" s="10"/>
      <c r="CJ22" s="10">
        <v>0.8</v>
      </c>
      <c r="CM22">
        <v>3</v>
      </c>
      <c r="CN22" s="10"/>
      <c r="CO22" s="10">
        <v>1</v>
      </c>
      <c r="CP22" s="10"/>
      <c r="CQ22" s="10">
        <v>1</v>
      </c>
      <c r="CU22" s="10"/>
      <c r="CV22" s="10"/>
      <c r="CW22" s="10"/>
      <c r="CX22" s="10"/>
      <c r="DB22" s="10"/>
      <c r="DC22" s="10"/>
      <c r="DD22" s="10"/>
      <c r="DE22" s="10"/>
      <c r="DI22" s="10"/>
      <c r="DJ22" s="10"/>
      <c r="DK22" s="10"/>
      <c r="DL22" s="10"/>
    </row>
    <row r="24" spans="2:116" x14ac:dyDescent="0.2">
      <c r="B24" t="s">
        <v>27</v>
      </c>
      <c r="C24" t="s">
        <v>147</v>
      </c>
      <c r="D24" s="19">
        <v>45132</v>
      </c>
      <c r="E24" s="9">
        <v>5</v>
      </c>
      <c r="G24" s="10">
        <f>+SUM(G25:G34)</f>
        <v>1</v>
      </c>
      <c r="I24" s="12">
        <f>+SUM(I25:I34)</f>
        <v>69</v>
      </c>
      <c r="J24" s="11">
        <f>+SUMPRODUCT(G25:G34,J25:J34)</f>
        <v>0</v>
      </c>
      <c r="K24" s="11">
        <f>+SUMPRODUCT(G25:G34,K25:K34)</f>
        <v>0</v>
      </c>
      <c r="L24" s="9"/>
      <c r="N24" s="12">
        <f>+SUM(N25:N34)</f>
        <v>6</v>
      </c>
      <c r="U24" s="12">
        <f>+SUM(U25:U34)</f>
        <v>12</v>
      </c>
      <c r="AB24" s="12">
        <f>+SUM(AB25:AB34)</f>
        <v>9</v>
      </c>
      <c r="AI24" s="12">
        <f>+SUM(AI25:AI34)</f>
        <v>6</v>
      </c>
      <c r="AP24" s="12">
        <f>+SUM(AP25:AP34)</f>
        <v>3</v>
      </c>
      <c r="AW24" s="9">
        <f>SUM(AW$25:AW$32)</f>
        <v>3</v>
      </c>
      <c r="AX24" s="9"/>
      <c r="AY24" s="9"/>
      <c r="AZ24" s="9"/>
      <c r="BA24" s="9"/>
      <c r="BB24" s="9"/>
      <c r="BC24" s="9"/>
      <c r="BD24" s="9">
        <f>SUM(BD$25:BD$32)</f>
        <v>9</v>
      </c>
      <c r="BE24" s="9"/>
      <c r="BF24" s="9"/>
      <c r="BG24" s="9"/>
      <c r="BH24" s="9"/>
      <c r="BI24" s="9"/>
      <c r="BJ24" s="9"/>
      <c r="BK24" s="9">
        <f>SUM(BK$25:BK$32)</f>
        <v>6</v>
      </c>
      <c r="BL24" s="9"/>
      <c r="BM24" s="9"/>
      <c r="BN24" s="9"/>
      <c r="BO24" s="9"/>
      <c r="BP24" s="9"/>
      <c r="BQ24" s="9"/>
      <c r="BR24" s="9">
        <f>SUM(BR$25:BR$32)</f>
        <v>6</v>
      </c>
      <c r="BS24" s="9"/>
      <c r="BT24" s="9"/>
      <c r="BU24" s="9"/>
      <c r="BV24" s="9"/>
      <c r="BW24" s="9"/>
      <c r="BX24" s="9"/>
      <c r="BY24" s="9">
        <f>SUM(BY$25:BY$32)</f>
        <v>3</v>
      </c>
      <c r="BZ24" s="9"/>
      <c r="CA24" s="9"/>
      <c r="CB24" s="9"/>
      <c r="CC24" s="9"/>
      <c r="CD24" s="9"/>
      <c r="CE24" s="9"/>
      <c r="CF24" s="9">
        <f>SUM(CF$25:CF$32)</f>
        <v>6</v>
      </c>
      <c r="CG24" s="9"/>
      <c r="CH24" s="9"/>
      <c r="CI24" s="9"/>
      <c r="CJ24" s="9"/>
      <c r="CK24" s="9"/>
      <c r="CL24" s="9"/>
      <c r="CM24" s="9">
        <f>SUM(CM$25:CM$32)</f>
        <v>0</v>
      </c>
      <c r="CN24" s="9"/>
      <c r="CO24" s="9"/>
      <c r="CP24" s="9"/>
      <c r="CQ24" s="9"/>
    </row>
    <row r="25" spans="2:116" outlineLevel="1" x14ac:dyDescent="0.2">
      <c r="B25" t="s">
        <v>28</v>
      </c>
      <c r="C25" t="s">
        <v>147</v>
      </c>
      <c r="E25" s="9"/>
      <c r="F25" t="s">
        <v>148</v>
      </c>
      <c r="G25" s="10">
        <v>0.1</v>
      </c>
      <c r="I25" s="9">
        <f t="shared" ref="I25:I32" si="4">+SUMIF($N$3:$ZZ$3,I$3,$N25:$ZZ25)</f>
        <v>9</v>
      </c>
      <c r="J25" s="11" cm="1">
        <f t="array" ref="J25">MAX(IF($N$3:$EH$3=$J$3,N25:EH25))</f>
        <v>0</v>
      </c>
      <c r="K25" s="11" cm="1">
        <f t="array" ref="K25">MAX(IF($N$3:$EH$3=$J$3,N25:EH25))</f>
        <v>0</v>
      </c>
      <c r="L25" s="9"/>
      <c r="N25">
        <v>3</v>
      </c>
      <c r="O25" s="10"/>
      <c r="P25" s="10">
        <v>0.5</v>
      </c>
      <c r="Q25" s="10"/>
      <c r="R25" s="10">
        <v>0.5</v>
      </c>
      <c r="U25">
        <v>0</v>
      </c>
      <c r="V25" s="10"/>
      <c r="W25" s="10">
        <v>0.5</v>
      </c>
      <c r="X25" s="10"/>
      <c r="Y25" s="10">
        <v>0.5</v>
      </c>
      <c r="AB25">
        <v>3</v>
      </c>
      <c r="AC25" s="10"/>
      <c r="AD25" s="10">
        <v>0.8</v>
      </c>
      <c r="AE25" s="10"/>
      <c r="AF25" s="10">
        <v>0.8</v>
      </c>
      <c r="AI25">
        <v>0</v>
      </c>
      <c r="AJ25" s="10"/>
      <c r="AK25" s="10">
        <v>0.8</v>
      </c>
      <c r="AL25" s="10"/>
      <c r="AM25" s="10">
        <v>0.8</v>
      </c>
      <c r="AP25">
        <v>0</v>
      </c>
      <c r="AQ25" s="10"/>
      <c r="AR25" s="10">
        <v>0.8</v>
      </c>
      <c r="AS25" s="10"/>
      <c r="AT25" s="10">
        <v>0.8</v>
      </c>
      <c r="AW25">
        <v>0</v>
      </c>
      <c r="AX25" s="10"/>
      <c r="AY25" s="10">
        <v>0.8</v>
      </c>
      <c r="AZ25" s="10"/>
      <c r="BA25" s="10">
        <v>0.8</v>
      </c>
      <c r="BD25">
        <v>3</v>
      </c>
      <c r="BE25" s="10"/>
      <c r="BF25" s="10">
        <v>1</v>
      </c>
      <c r="BG25" s="10"/>
      <c r="BH25" s="10">
        <v>1</v>
      </c>
      <c r="BL25" s="10"/>
      <c r="BM25" s="10">
        <v>1</v>
      </c>
      <c r="BN25" s="10"/>
      <c r="BO25" s="10">
        <v>1</v>
      </c>
      <c r="BS25" s="10"/>
      <c r="BT25" s="10">
        <v>1</v>
      </c>
      <c r="BU25" s="10"/>
      <c r="BV25" s="10">
        <v>1</v>
      </c>
      <c r="BZ25" s="10"/>
      <c r="CA25" s="10">
        <v>1</v>
      </c>
      <c r="CB25" s="10"/>
      <c r="CC25" s="10">
        <v>1</v>
      </c>
      <c r="CG25" s="10"/>
      <c r="CH25" s="10">
        <v>1</v>
      </c>
      <c r="CI25" s="10"/>
      <c r="CJ25" s="10">
        <v>1</v>
      </c>
      <c r="CN25" s="10"/>
      <c r="CO25" s="10">
        <v>1</v>
      </c>
      <c r="CP25" s="10"/>
      <c r="CQ25" s="10">
        <v>1</v>
      </c>
      <c r="CU25" s="10"/>
      <c r="CV25" s="10"/>
      <c r="CW25" s="10"/>
      <c r="CX25" s="10"/>
      <c r="DB25" s="10"/>
      <c r="DC25" s="10"/>
      <c r="DD25" s="10"/>
      <c r="DE25" s="10"/>
      <c r="DI25" s="10"/>
      <c r="DJ25" s="10"/>
      <c r="DK25" s="10"/>
      <c r="DL25" s="10"/>
    </row>
    <row r="26" spans="2:116" outlineLevel="1" x14ac:dyDescent="0.2">
      <c r="B26" t="s">
        <v>28</v>
      </c>
      <c r="C26" t="s">
        <v>147</v>
      </c>
      <c r="E26" s="9"/>
      <c r="F26" t="s">
        <v>149</v>
      </c>
      <c r="G26" s="10">
        <v>0.15</v>
      </c>
      <c r="I26" s="9">
        <f t="shared" si="4"/>
        <v>9</v>
      </c>
      <c r="J26" s="11" cm="1">
        <f t="array" ref="J26">MAX(IF($N$3:$EH$3=$J$3,N26:EH26))</f>
        <v>0</v>
      </c>
      <c r="K26" s="11" cm="1">
        <f t="array" ref="K26">MAX(IF($N$3:$EH$3=$J$3,N26:EH26))</f>
        <v>0</v>
      </c>
      <c r="L26" s="9"/>
      <c r="N26">
        <v>3</v>
      </c>
      <c r="O26" s="10"/>
      <c r="P26" s="10">
        <v>0.5</v>
      </c>
      <c r="Q26" s="10"/>
      <c r="R26" s="10">
        <v>0.5</v>
      </c>
      <c r="U26">
        <v>0</v>
      </c>
      <c r="V26" s="10"/>
      <c r="W26" s="10">
        <v>0.5</v>
      </c>
      <c r="X26" s="10"/>
      <c r="Y26" s="10">
        <v>0.5</v>
      </c>
      <c r="AB26">
        <v>0</v>
      </c>
      <c r="AC26" s="10"/>
      <c r="AD26" s="10">
        <v>0.5</v>
      </c>
      <c r="AE26" s="10"/>
      <c r="AF26" s="10">
        <v>0.5</v>
      </c>
      <c r="AI26">
        <v>3</v>
      </c>
      <c r="AJ26" s="10"/>
      <c r="AK26" s="10">
        <v>0.8</v>
      </c>
      <c r="AL26" s="10"/>
      <c r="AM26" s="10">
        <v>0.8</v>
      </c>
      <c r="AP26">
        <v>0</v>
      </c>
      <c r="AQ26" s="10"/>
      <c r="AR26" s="10">
        <v>0.8</v>
      </c>
      <c r="AS26" s="10"/>
      <c r="AT26" s="10">
        <v>0.8</v>
      </c>
      <c r="AW26">
        <v>0</v>
      </c>
      <c r="AX26" s="10"/>
      <c r="AY26" s="10">
        <v>0.8</v>
      </c>
      <c r="AZ26" s="10"/>
      <c r="BA26" s="10">
        <v>0.8</v>
      </c>
      <c r="BE26" s="10"/>
      <c r="BF26" s="10">
        <v>0.8</v>
      </c>
      <c r="BG26" s="10"/>
      <c r="BH26" s="10">
        <v>0.8</v>
      </c>
      <c r="BK26">
        <v>3</v>
      </c>
      <c r="BL26" s="10"/>
      <c r="BM26" s="10">
        <v>1</v>
      </c>
      <c r="BN26" s="10"/>
      <c r="BO26" s="10">
        <v>1</v>
      </c>
      <c r="BS26" s="10"/>
      <c r="BT26" s="10">
        <v>1</v>
      </c>
      <c r="BU26" s="10"/>
      <c r="BV26" s="10">
        <v>1</v>
      </c>
      <c r="BZ26" s="10"/>
      <c r="CA26" s="10">
        <v>1</v>
      </c>
      <c r="CB26" s="10"/>
      <c r="CC26" s="10">
        <v>1</v>
      </c>
      <c r="CG26" s="10"/>
      <c r="CH26" s="10">
        <v>1</v>
      </c>
      <c r="CI26" s="10"/>
      <c r="CJ26" s="10">
        <v>1</v>
      </c>
      <c r="CN26" s="10"/>
      <c r="CO26" s="10">
        <v>1</v>
      </c>
      <c r="CP26" s="10"/>
      <c r="CQ26" s="10">
        <v>1</v>
      </c>
      <c r="CU26" s="10"/>
      <c r="CV26" s="10"/>
      <c r="CW26" s="10"/>
      <c r="CX26" s="10"/>
      <c r="DB26" s="10"/>
      <c r="DC26" s="10"/>
      <c r="DD26" s="10"/>
      <c r="DE26" s="10"/>
      <c r="DI26" s="10"/>
      <c r="DJ26" s="10"/>
      <c r="DK26" s="10"/>
      <c r="DL26" s="10"/>
    </row>
    <row r="27" spans="2:116" outlineLevel="1" x14ac:dyDescent="0.2">
      <c r="B27" t="s">
        <v>28</v>
      </c>
      <c r="C27" t="s">
        <v>147</v>
      </c>
      <c r="E27" s="9"/>
      <c r="F27" t="s">
        <v>150</v>
      </c>
      <c r="G27" s="10">
        <v>0.15</v>
      </c>
      <c r="I27" s="9">
        <f t="shared" si="4"/>
        <v>9</v>
      </c>
      <c r="J27" s="11" cm="1">
        <f t="array" ref="J27">MAX(IF($N$3:$EH$3=$J$3,N27:EH27))</f>
        <v>0</v>
      </c>
      <c r="K27" s="11" cm="1">
        <f t="array" ref="K27">MAX(IF($N$3:$EH$3=$J$3,N27:EH27))</f>
        <v>0</v>
      </c>
      <c r="L27" s="9"/>
      <c r="O27" s="10"/>
      <c r="P27" s="10"/>
      <c r="Q27" s="10"/>
      <c r="R27" s="10"/>
      <c r="U27">
        <v>3</v>
      </c>
      <c r="V27" s="10"/>
      <c r="W27" s="10">
        <v>0.5</v>
      </c>
      <c r="X27" s="10"/>
      <c r="Y27" s="10">
        <v>0.5</v>
      </c>
      <c r="AB27">
        <v>0</v>
      </c>
      <c r="AC27" s="10"/>
      <c r="AD27" s="10">
        <v>0.5</v>
      </c>
      <c r="AE27" s="10"/>
      <c r="AF27" s="10">
        <v>0.5</v>
      </c>
      <c r="AI27">
        <v>3</v>
      </c>
      <c r="AJ27" s="10"/>
      <c r="AK27" s="10">
        <v>0.8</v>
      </c>
      <c r="AL27" s="10"/>
      <c r="AM27" s="10">
        <v>0.8</v>
      </c>
      <c r="AP27">
        <v>0</v>
      </c>
      <c r="AQ27" s="10"/>
      <c r="AR27" s="10">
        <v>0.8</v>
      </c>
      <c r="AS27" s="10"/>
      <c r="AT27" s="10">
        <v>0.8</v>
      </c>
      <c r="AW27">
        <v>0</v>
      </c>
      <c r="AX27" s="10"/>
      <c r="AY27" s="10">
        <v>0.8</v>
      </c>
      <c r="AZ27" s="10"/>
      <c r="BA27" s="10">
        <v>0.8</v>
      </c>
      <c r="BE27" s="10"/>
      <c r="BF27" s="10">
        <v>0.8</v>
      </c>
      <c r="BG27" s="10"/>
      <c r="BH27" s="10">
        <v>0.8</v>
      </c>
      <c r="BK27">
        <v>3</v>
      </c>
      <c r="BL27" s="10"/>
      <c r="BM27" s="10">
        <v>1</v>
      </c>
      <c r="BN27" s="10"/>
      <c r="BO27" s="10">
        <v>1</v>
      </c>
      <c r="BS27" s="10"/>
      <c r="BT27" s="10">
        <v>1</v>
      </c>
      <c r="BU27" s="10"/>
      <c r="BV27" s="10">
        <v>1</v>
      </c>
      <c r="BZ27" s="10"/>
      <c r="CA27" s="10">
        <v>1</v>
      </c>
      <c r="CB27" s="10"/>
      <c r="CC27" s="10">
        <v>1</v>
      </c>
      <c r="CG27" s="10"/>
      <c r="CH27" s="10">
        <v>1</v>
      </c>
      <c r="CI27" s="10"/>
      <c r="CJ27" s="10">
        <v>1</v>
      </c>
      <c r="CN27" s="10"/>
      <c r="CO27" s="10">
        <v>1</v>
      </c>
      <c r="CP27" s="10"/>
      <c r="CQ27" s="10">
        <v>1</v>
      </c>
      <c r="CU27" s="10"/>
      <c r="CV27" s="10"/>
      <c r="CW27" s="10"/>
      <c r="CX27" s="10"/>
      <c r="DB27" s="10"/>
      <c r="DC27" s="10"/>
      <c r="DD27" s="10"/>
      <c r="DE27" s="10"/>
      <c r="DI27" s="10"/>
      <c r="DJ27" s="10"/>
      <c r="DK27" s="10"/>
      <c r="DL27" s="10"/>
    </row>
    <row r="28" spans="2:116" outlineLevel="1" x14ac:dyDescent="0.2">
      <c r="B28" t="s">
        <v>28</v>
      </c>
      <c r="C28" t="s">
        <v>147</v>
      </c>
      <c r="E28" s="9"/>
      <c r="F28" t="s">
        <v>151</v>
      </c>
      <c r="G28" s="10">
        <v>0.1</v>
      </c>
      <c r="I28" s="9">
        <f t="shared" si="4"/>
        <v>9</v>
      </c>
      <c r="J28" s="11" cm="1">
        <f t="array" ref="J28">MAX(IF($N$3:$EH$3=$J$3,N28:EH28))</f>
        <v>0</v>
      </c>
      <c r="K28" s="11" cm="1">
        <f t="array" ref="K28">MAX(IF($N$3:$EH$3=$J$3,N28:EH28))</f>
        <v>0</v>
      </c>
      <c r="L28" s="9"/>
      <c r="O28" s="10"/>
      <c r="P28" s="10"/>
      <c r="Q28" s="10"/>
      <c r="R28" s="10"/>
      <c r="U28">
        <v>3</v>
      </c>
      <c r="V28" s="10"/>
      <c r="W28" s="10">
        <v>0.5</v>
      </c>
      <c r="X28" s="10"/>
      <c r="Y28" s="10">
        <v>0.5</v>
      </c>
      <c r="AB28">
        <v>0</v>
      </c>
      <c r="AC28" s="10"/>
      <c r="AD28" s="10">
        <v>0.5</v>
      </c>
      <c r="AE28" s="10"/>
      <c r="AF28" s="10">
        <v>0.5</v>
      </c>
      <c r="AI28">
        <v>0</v>
      </c>
      <c r="AJ28" s="10"/>
      <c r="AK28" s="10">
        <v>0.5</v>
      </c>
      <c r="AL28" s="10"/>
      <c r="AM28" s="10">
        <v>0.5</v>
      </c>
      <c r="AP28">
        <v>3</v>
      </c>
      <c r="AQ28" s="10"/>
      <c r="AR28" s="10">
        <v>0.8</v>
      </c>
      <c r="AS28" s="10"/>
      <c r="AT28" s="10">
        <v>0.8</v>
      </c>
      <c r="AW28">
        <v>0</v>
      </c>
      <c r="AX28" s="10"/>
      <c r="AY28" s="10">
        <v>0.8</v>
      </c>
      <c r="AZ28" s="10"/>
      <c r="BA28" s="10">
        <v>0.8</v>
      </c>
      <c r="BE28" s="10"/>
      <c r="BF28" s="10">
        <v>0.8</v>
      </c>
      <c r="BG28" s="10"/>
      <c r="BH28" s="10">
        <v>0.8</v>
      </c>
      <c r="BL28" s="10"/>
      <c r="BM28" s="10">
        <v>0.8</v>
      </c>
      <c r="BN28" s="10"/>
      <c r="BO28" s="10">
        <v>0.8</v>
      </c>
      <c r="BR28">
        <v>3</v>
      </c>
      <c r="BS28" s="10"/>
      <c r="BT28" s="10">
        <v>1</v>
      </c>
      <c r="BU28" s="10"/>
      <c r="BV28" s="10">
        <v>1</v>
      </c>
      <c r="BZ28" s="10"/>
      <c r="CA28" s="10">
        <v>1</v>
      </c>
      <c r="CB28" s="10"/>
      <c r="CC28" s="10">
        <v>1</v>
      </c>
      <c r="CG28" s="10"/>
      <c r="CH28" s="10">
        <v>1</v>
      </c>
      <c r="CI28" s="10"/>
      <c r="CJ28" s="10">
        <v>1</v>
      </c>
      <c r="CN28" s="10"/>
      <c r="CO28" s="10">
        <v>1</v>
      </c>
      <c r="CP28" s="10"/>
      <c r="CQ28" s="10">
        <v>1</v>
      </c>
      <c r="CU28" s="10"/>
      <c r="CV28" s="10"/>
      <c r="CW28" s="10"/>
      <c r="CX28" s="10"/>
      <c r="DB28" s="10"/>
      <c r="DC28" s="10"/>
      <c r="DD28" s="10"/>
      <c r="DE28" s="10"/>
      <c r="DI28" s="10"/>
      <c r="DJ28" s="10"/>
      <c r="DK28" s="10"/>
      <c r="DL28" s="10"/>
    </row>
    <row r="29" spans="2:116" outlineLevel="1" x14ac:dyDescent="0.2">
      <c r="B29" t="s">
        <v>28</v>
      </c>
      <c r="C29" t="s">
        <v>147</v>
      </c>
      <c r="E29" s="9"/>
      <c r="F29" t="s">
        <v>152</v>
      </c>
      <c r="G29" s="10">
        <v>0.1</v>
      </c>
      <c r="I29" s="9">
        <f t="shared" si="4"/>
        <v>9</v>
      </c>
      <c r="J29" s="11" cm="1">
        <f t="array" ref="J29">MAX(IF($N$3:$EH$3=$J$3,N29:EH29))</f>
        <v>0</v>
      </c>
      <c r="K29" s="11" cm="1">
        <f t="array" ref="K29">MAX(IF($N$3:$EH$3=$J$3,N29:EH29))</f>
        <v>0</v>
      </c>
      <c r="L29" s="9"/>
      <c r="O29" s="10"/>
      <c r="P29" s="10"/>
      <c r="Q29" s="10"/>
      <c r="R29" s="10"/>
      <c r="U29">
        <v>3</v>
      </c>
      <c r="V29" s="10"/>
      <c r="W29" s="10">
        <v>0.5</v>
      </c>
      <c r="X29" s="10"/>
      <c r="Y29" s="10">
        <v>0.5</v>
      </c>
      <c r="AB29">
        <v>0</v>
      </c>
      <c r="AC29" s="10"/>
      <c r="AD29" s="10">
        <v>0.5</v>
      </c>
      <c r="AE29" s="10"/>
      <c r="AF29" s="10">
        <v>0.5</v>
      </c>
      <c r="AI29">
        <v>0</v>
      </c>
      <c r="AJ29" s="10"/>
      <c r="AK29" s="10">
        <v>0.5</v>
      </c>
      <c r="AL29" s="10"/>
      <c r="AM29" s="10">
        <v>0.5</v>
      </c>
      <c r="AP29">
        <v>0</v>
      </c>
      <c r="AQ29" s="10"/>
      <c r="AR29" s="10">
        <v>0.5</v>
      </c>
      <c r="AS29" s="10"/>
      <c r="AT29" s="10">
        <v>0.5</v>
      </c>
      <c r="AW29">
        <v>3</v>
      </c>
      <c r="AX29" s="10"/>
      <c r="AY29" s="10">
        <v>0.8</v>
      </c>
      <c r="AZ29" s="10"/>
      <c r="BA29" s="10">
        <v>0.8</v>
      </c>
      <c r="BE29" s="10"/>
      <c r="BF29" s="10">
        <v>0.8</v>
      </c>
      <c r="BG29" s="10"/>
      <c r="BH29" s="10">
        <v>0.8</v>
      </c>
      <c r="BL29" s="10"/>
      <c r="BM29" s="10">
        <v>0.8</v>
      </c>
      <c r="BN29" s="10"/>
      <c r="BO29" s="10">
        <v>0.8</v>
      </c>
      <c r="BR29">
        <v>3</v>
      </c>
      <c r="BS29" s="10"/>
      <c r="BT29" s="10">
        <v>1</v>
      </c>
      <c r="BU29" s="10"/>
      <c r="BV29" s="10">
        <v>1</v>
      </c>
      <c r="BZ29" s="10"/>
      <c r="CA29" s="10">
        <v>1</v>
      </c>
      <c r="CB29" s="10"/>
      <c r="CC29" s="10">
        <v>1</v>
      </c>
      <c r="CG29" s="10"/>
      <c r="CH29" s="10">
        <v>1</v>
      </c>
      <c r="CI29" s="10"/>
      <c r="CJ29" s="10">
        <v>1</v>
      </c>
      <c r="CN29" s="10"/>
      <c r="CO29" s="10">
        <v>1</v>
      </c>
      <c r="CP29" s="10"/>
      <c r="CQ29" s="10">
        <v>1</v>
      </c>
      <c r="CU29" s="10"/>
      <c r="CV29" s="10"/>
      <c r="CW29" s="10"/>
      <c r="CX29" s="10"/>
      <c r="DB29" s="10"/>
      <c r="DC29" s="10"/>
      <c r="DD29" s="10"/>
      <c r="DE29" s="10"/>
      <c r="DI29" s="10"/>
      <c r="DJ29" s="10"/>
      <c r="DK29" s="10"/>
      <c r="DL29" s="10"/>
    </row>
    <row r="30" spans="2:116" outlineLevel="1" x14ac:dyDescent="0.2">
      <c r="B30" t="s">
        <v>28</v>
      </c>
      <c r="C30" t="s">
        <v>147</v>
      </c>
      <c r="E30" s="9"/>
      <c r="F30" t="s">
        <v>154</v>
      </c>
      <c r="G30" s="10">
        <v>0.1</v>
      </c>
      <c r="I30" s="9">
        <f t="shared" si="4"/>
        <v>6</v>
      </c>
      <c r="J30" s="11" cm="1">
        <f t="array" ref="J30">MAX(IF($N$3:$EH$3=$J$3,N30:EH30))</f>
        <v>0</v>
      </c>
      <c r="K30" s="11" cm="1">
        <f t="array" ref="K30">MAX(IF($N$3:$EH$3=$J$3,N30:EH30))</f>
        <v>0</v>
      </c>
      <c r="L30" s="9"/>
      <c r="O30" s="10"/>
      <c r="P30" s="10"/>
      <c r="Q30" s="10"/>
      <c r="R30" s="10"/>
      <c r="U30">
        <v>3</v>
      </c>
      <c r="V30" s="10"/>
      <c r="W30" s="10">
        <v>0.5</v>
      </c>
      <c r="X30" s="10"/>
      <c r="Y30" s="10">
        <v>0.5</v>
      </c>
      <c r="AB30">
        <v>0</v>
      </c>
      <c r="AC30" s="10"/>
      <c r="AD30" s="10">
        <v>0.5</v>
      </c>
      <c r="AE30" s="10"/>
      <c r="AF30" s="10">
        <v>0.5</v>
      </c>
      <c r="AI30">
        <v>0</v>
      </c>
      <c r="AJ30" s="10"/>
      <c r="AK30" s="10">
        <v>0.5</v>
      </c>
      <c r="AL30" s="10"/>
      <c r="AM30" s="10">
        <v>0.5</v>
      </c>
      <c r="AP30">
        <v>0</v>
      </c>
      <c r="AQ30" s="10"/>
      <c r="AR30" s="10">
        <v>0.5</v>
      </c>
      <c r="AS30" s="10"/>
      <c r="AT30" s="10">
        <v>0.5</v>
      </c>
      <c r="AW30">
        <v>0</v>
      </c>
      <c r="AX30" s="10"/>
      <c r="AY30" s="10">
        <v>0.8</v>
      </c>
      <c r="AZ30" s="10"/>
      <c r="BA30" s="10">
        <v>0.8</v>
      </c>
      <c r="BE30" s="10"/>
      <c r="BF30" s="10">
        <v>0.8</v>
      </c>
      <c r="BG30" s="10"/>
      <c r="BH30" s="10">
        <v>0.8</v>
      </c>
      <c r="BL30" s="10"/>
      <c r="BM30" s="10">
        <v>0.8</v>
      </c>
      <c r="BN30" s="10"/>
      <c r="BO30" s="10">
        <v>0.8</v>
      </c>
      <c r="BS30" s="10"/>
      <c r="BT30" s="10">
        <v>0.8</v>
      </c>
      <c r="BU30" s="10"/>
      <c r="BV30" s="10">
        <v>0.8</v>
      </c>
      <c r="BY30">
        <v>3</v>
      </c>
      <c r="BZ30" s="10"/>
      <c r="CA30" s="10">
        <v>1</v>
      </c>
      <c r="CB30" s="10"/>
      <c r="CC30" s="10">
        <v>1</v>
      </c>
      <c r="CG30" s="10"/>
      <c r="CH30" s="10">
        <v>1</v>
      </c>
      <c r="CI30" s="10"/>
      <c r="CJ30" s="10">
        <v>1</v>
      </c>
      <c r="CN30" s="10"/>
      <c r="CO30" s="10">
        <v>1</v>
      </c>
      <c r="CP30" s="10"/>
      <c r="CQ30" s="10">
        <v>1</v>
      </c>
      <c r="CU30" s="10"/>
      <c r="CV30" s="10"/>
      <c r="CW30" s="10"/>
      <c r="CX30" s="10"/>
      <c r="DB30" s="10"/>
      <c r="DC30" s="10"/>
      <c r="DD30" s="10"/>
      <c r="DE30" s="10"/>
      <c r="DI30" s="10"/>
      <c r="DJ30" s="10"/>
      <c r="DK30" s="10"/>
      <c r="DL30" s="10"/>
    </row>
    <row r="31" spans="2:116" outlineLevel="1" x14ac:dyDescent="0.2">
      <c r="B31" t="s">
        <v>28</v>
      </c>
      <c r="C31" t="s">
        <v>147</v>
      </c>
      <c r="E31" s="9"/>
      <c r="F31" t="s">
        <v>155</v>
      </c>
      <c r="G31" s="10">
        <v>0.15</v>
      </c>
      <c r="I31" s="9">
        <f t="shared" si="4"/>
        <v>9</v>
      </c>
      <c r="J31" s="11" cm="1">
        <f t="array" ref="J31">MAX(IF($N$3:$EH$3=$J$3,N31:EH31))</f>
        <v>0</v>
      </c>
      <c r="K31" s="11" cm="1">
        <f t="array" ref="K31">MAX(IF($N$3:$EH$3=$J$3,N31:EH31))</f>
        <v>0</v>
      </c>
      <c r="L31" s="9"/>
      <c r="O31" s="10"/>
      <c r="P31" s="10"/>
      <c r="Q31" s="10"/>
      <c r="R31" s="10"/>
      <c r="V31" s="10"/>
      <c r="W31" s="10"/>
      <c r="X31" s="10"/>
      <c r="Y31" s="10"/>
      <c r="AB31">
        <v>3</v>
      </c>
      <c r="AC31" s="10"/>
      <c r="AD31" s="10">
        <v>0.5</v>
      </c>
      <c r="AE31" s="10"/>
      <c r="AF31" s="10">
        <v>0.5</v>
      </c>
      <c r="AI31">
        <v>0</v>
      </c>
      <c r="AJ31" s="10"/>
      <c r="AK31" s="10">
        <v>0.5</v>
      </c>
      <c r="AL31" s="10"/>
      <c r="AM31" s="10">
        <v>0.5</v>
      </c>
      <c r="AP31">
        <v>0</v>
      </c>
      <c r="AQ31" s="10"/>
      <c r="AR31" s="10">
        <v>0.5</v>
      </c>
      <c r="AS31" s="10"/>
      <c r="AT31" s="10">
        <v>0.5</v>
      </c>
      <c r="AW31">
        <v>0</v>
      </c>
      <c r="AX31" s="10"/>
      <c r="AY31" s="10">
        <v>0.5</v>
      </c>
      <c r="AZ31" s="10"/>
      <c r="BA31" s="10">
        <v>0.5</v>
      </c>
      <c r="BD31">
        <v>3</v>
      </c>
      <c r="BE31" s="10"/>
      <c r="BF31" s="10">
        <v>0.8</v>
      </c>
      <c r="BG31" s="10"/>
      <c r="BH31" s="10">
        <v>0.8</v>
      </c>
      <c r="BL31" s="10"/>
      <c r="BM31" s="10">
        <v>0.8</v>
      </c>
      <c r="BN31" s="10"/>
      <c r="BO31" s="10">
        <v>0.8</v>
      </c>
      <c r="BS31" s="10"/>
      <c r="BT31" s="10">
        <v>0.8</v>
      </c>
      <c r="BU31" s="10"/>
      <c r="BV31" s="10">
        <v>0.8</v>
      </c>
      <c r="BZ31" s="10"/>
      <c r="CA31" s="10">
        <v>0.8</v>
      </c>
      <c r="CB31" s="10"/>
      <c r="CC31" s="10">
        <v>0.8</v>
      </c>
      <c r="CF31">
        <v>3</v>
      </c>
      <c r="CG31" s="10"/>
      <c r="CH31" s="10">
        <v>1</v>
      </c>
      <c r="CI31" s="10"/>
      <c r="CJ31" s="10">
        <v>1</v>
      </c>
      <c r="CN31" s="10"/>
      <c r="CO31" s="10">
        <v>1</v>
      </c>
      <c r="CP31" s="10"/>
      <c r="CQ31" s="10">
        <v>1</v>
      </c>
      <c r="CU31" s="10"/>
      <c r="CV31" s="10"/>
      <c r="CW31" s="10"/>
      <c r="CX31" s="10"/>
      <c r="DB31" s="10"/>
      <c r="DC31" s="10"/>
      <c r="DD31" s="10"/>
      <c r="DE31" s="10"/>
      <c r="DI31" s="10"/>
      <c r="DJ31" s="10"/>
      <c r="DK31" s="10"/>
      <c r="DL31" s="10"/>
    </row>
    <row r="32" spans="2:116" outlineLevel="1" x14ac:dyDescent="0.2">
      <c r="B32" t="s">
        <v>28</v>
      </c>
      <c r="C32" t="s">
        <v>147</v>
      </c>
      <c r="E32" s="9"/>
      <c r="F32" t="s">
        <v>153</v>
      </c>
      <c r="G32" s="10">
        <v>0.15</v>
      </c>
      <c r="I32" s="9">
        <f t="shared" si="4"/>
        <v>9</v>
      </c>
      <c r="J32" s="11" cm="1">
        <f t="array" ref="J32">MAX(IF($N$3:$EH$3=$J$3,N32:EH32))</f>
        <v>0</v>
      </c>
      <c r="K32" s="11" cm="1">
        <f t="array" ref="K32">MAX(IF($N$3:$EH$3=$J$3,N32:EH32))</f>
        <v>0</v>
      </c>
      <c r="L32" s="9"/>
      <c r="O32" s="10"/>
      <c r="P32" s="10"/>
      <c r="Q32" s="10"/>
      <c r="R32" s="10"/>
      <c r="V32" s="10"/>
      <c r="W32" s="10"/>
      <c r="X32" s="10"/>
      <c r="Y32" s="10"/>
      <c r="AB32">
        <v>3</v>
      </c>
      <c r="AC32" s="10"/>
      <c r="AD32" s="10">
        <v>0.5</v>
      </c>
      <c r="AE32" s="10"/>
      <c r="AF32" s="10">
        <v>0.5</v>
      </c>
      <c r="AI32">
        <v>0</v>
      </c>
      <c r="AJ32" s="10"/>
      <c r="AK32" s="10">
        <v>0.5</v>
      </c>
      <c r="AL32" s="10"/>
      <c r="AM32" s="10">
        <v>0.5</v>
      </c>
      <c r="AP32">
        <v>0</v>
      </c>
      <c r="AQ32" s="10"/>
      <c r="AR32" s="10">
        <v>0.5</v>
      </c>
      <c r="AS32" s="10"/>
      <c r="AT32" s="10">
        <v>0.5</v>
      </c>
      <c r="AW32">
        <v>0</v>
      </c>
      <c r="AX32" s="10"/>
      <c r="AY32" s="10">
        <v>0.5</v>
      </c>
      <c r="AZ32" s="10"/>
      <c r="BA32" s="10">
        <v>0.5</v>
      </c>
      <c r="BD32">
        <v>3</v>
      </c>
      <c r="BE32" s="10"/>
      <c r="BF32" s="10">
        <v>0.8</v>
      </c>
      <c r="BG32" s="10"/>
      <c r="BH32" s="10">
        <v>0.8</v>
      </c>
      <c r="BL32" s="10"/>
      <c r="BM32" s="10">
        <v>0.8</v>
      </c>
      <c r="BN32" s="10"/>
      <c r="BO32" s="10">
        <v>0.8</v>
      </c>
      <c r="BS32" s="10"/>
      <c r="BT32" s="10">
        <v>0.8</v>
      </c>
      <c r="BU32" s="10"/>
      <c r="BV32" s="10">
        <v>0.8</v>
      </c>
      <c r="BZ32" s="10"/>
      <c r="CA32" s="10">
        <v>0.8</v>
      </c>
      <c r="CB32" s="10"/>
      <c r="CC32" s="10">
        <v>0.8</v>
      </c>
      <c r="CF32">
        <v>3</v>
      </c>
      <c r="CG32" s="10"/>
      <c r="CH32" s="10">
        <v>1</v>
      </c>
      <c r="CI32" s="10"/>
      <c r="CJ32" s="10">
        <v>1</v>
      </c>
      <c r="CN32" s="10"/>
      <c r="CO32" s="10">
        <v>1</v>
      </c>
      <c r="CP32" s="10"/>
      <c r="CQ32" s="10">
        <v>1</v>
      </c>
      <c r="CU32" s="10"/>
      <c r="CV32" s="10"/>
      <c r="CW32" s="10"/>
      <c r="CX32" s="10"/>
      <c r="DB32" s="10"/>
      <c r="DC32" s="10"/>
      <c r="DD32" s="10"/>
      <c r="DE32" s="10"/>
      <c r="DI32" s="10"/>
      <c r="DJ32" s="10"/>
      <c r="DK32" s="10"/>
      <c r="DL32" s="10"/>
    </row>
    <row r="33" spans="2:116" ht="16" hidden="1" customHeight="1" x14ac:dyDescent="0.2">
      <c r="B33" s="10"/>
      <c r="C33" s="10"/>
      <c r="D33" s="10"/>
      <c r="H33" s="10"/>
      <c r="I33" s="10"/>
      <c r="J33" s="10"/>
      <c r="K33" s="10"/>
      <c r="M33" s="10"/>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c r="DI33" s="10"/>
      <c r="DJ33" s="10"/>
      <c r="DK33" s="10"/>
      <c r="DL33" s="10"/>
    </row>
    <row r="34" spans="2:116" ht="16" hidden="1" customHeight="1" x14ac:dyDescent="0.2">
      <c r="B34" s="10"/>
      <c r="C34" s="10"/>
      <c r="D34" s="10"/>
      <c r="E34" s="10"/>
      <c r="I34" s="10"/>
      <c r="J34" s="10"/>
      <c r="K34" s="10"/>
      <c r="L34" s="10"/>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c r="BU34" s="10"/>
      <c r="BV34" s="10"/>
      <c r="BZ34" s="10"/>
      <c r="CA34" s="10"/>
      <c r="CB34" s="10"/>
      <c r="CC34" s="10"/>
      <c r="CG34" s="10"/>
      <c r="CH34" s="10"/>
      <c r="CI34" s="10"/>
      <c r="CJ34" s="10"/>
      <c r="CN34" s="10"/>
      <c r="CO34" s="10"/>
      <c r="CP34" s="10"/>
      <c r="CQ34" s="10"/>
      <c r="CU34" s="10"/>
      <c r="CV34" s="10"/>
      <c r="CW34" s="10"/>
      <c r="CX34" s="10"/>
      <c r="DB34" s="10"/>
      <c r="DC34" s="10"/>
      <c r="DD34" s="10"/>
      <c r="DE34" s="10"/>
      <c r="DI34" s="10"/>
      <c r="DJ34" s="10"/>
      <c r="DK34" s="10"/>
      <c r="DL34" s="10"/>
    </row>
    <row r="35" spans="2:116" ht="16" hidden="1" customHeight="1" x14ac:dyDescent="0.2">
      <c r="C35" t="s">
        <v>101</v>
      </c>
      <c r="D35" s="19">
        <v>44661</v>
      </c>
      <c r="E35" s="9">
        <v>12</v>
      </c>
      <c r="G35" s="10">
        <f>+SUM(G36:G42)</f>
        <v>0.35</v>
      </c>
      <c r="I35" s="12">
        <f>+SUM(I36:I42)</f>
        <v>0</v>
      </c>
      <c r="J35" s="11">
        <f>+SUMPRODUCT(G36:G42,J36:J42)</f>
        <v>0</v>
      </c>
      <c r="K35" s="11">
        <f>+SUMPRODUCT(G36:G42,K36:K42)</f>
        <v>0</v>
      </c>
      <c r="L35" s="9"/>
      <c r="N35" s="12">
        <f>+SUM(N36:N42)</f>
        <v>0</v>
      </c>
      <c r="U35" s="12">
        <f>+SUM(U36:U42)</f>
        <v>0</v>
      </c>
      <c r="AB35" s="12">
        <f>+SUM(AB36:AB42)</f>
        <v>0</v>
      </c>
      <c r="AI35" s="12">
        <f>+SUM(AI36:AI42)</f>
        <v>0</v>
      </c>
      <c r="AP35" s="12">
        <f>+SUM(AP36:AP42)</f>
        <v>0</v>
      </c>
    </row>
    <row r="36" spans="2:116" ht="16" hidden="1" customHeight="1" x14ac:dyDescent="0.2">
      <c r="E36" s="9"/>
      <c r="F36" t="s">
        <v>30</v>
      </c>
      <c r="G36" s="10">
        <v>0.1</v>
      </c>
      <c r="I36" s="9">
        <f t="shared" ref="I36:I41" si="5">+SUMIF($N$3:$ZZ$3,I$3,$N36:$ZZ36)</f>
        <v>0</v>
      </c>
      <c r="J36" s="11" cm="1">
        <f t="array" ref="J36">MAX(IF($N$3:$EH$3=$J$3,N36:EH36))</f>
        <v>0</v>
      </c>
      <c r="K36" s="11" cm="1">
        <f t="array" ref="K36">MAX(IF($N$3:$EH$3=$J$3,N36:EH36))</f>
        <v>0</v>
      </c>
      <c r="L36" s="9"/>
      <c r="O36" s="10"/>
      <c r="P36" s="10">
        <v>1</v>
      </c>
      <c r="Q36" s="10"/>
      <c r="R36" s="10">
        <v>1</v>
      </c>
      <c r="V36" s="10"/>
      <c r="W36" s="10">
        <v>1</v>
      </c>
      <c r="X36" s="10"/>
      <c r="Y36" s="10">
        <v>1</v>
      </c>
      <c r="AC36" s="10"/>
      <c r="AD36" s="10">
        <v>1</v>
      </c>
      <c r="AE36" s="10"/>
      <c r="AF36" s="10">
        <v>1</v>
      </c>
      <c r="AJ36" s="10"/>
      <c r="AK36" s="10">
        <v>1</v>
      </c>
      <c r="AL36" s="10"/>
      <c r="AM36" s="10">
        <v>1</v>
      </c>
      <c r="AQ36" s="10"/>
      <c r="AR36" s="10">
        <v>1</v>
      </c>
      <c r="AS36" s="10"/>
      <c r="AT36" s="10">
        <v>1</v>
      </c>
      <c r="AX36" s="10"/>
      <c r="AY36" s="10">
        <v>1</v>
      </c>
      <c r="AZ36" s="10"/>
      <c r="BA36" s="10">
        <v>1</v>
      </c>
      <c r="BE36" s="10"/>
      <c r="BF36" s="10">
        <v>1</v>
      </c>
      <c r="BG36" s="10"/>
      <c r="BH36" s="10">
        <v>1</v>
      </c>
      <c r="BL36" s="10"/>
      <c r="BM36" s="10">
        <v>1</v>
      </c>
      <c r="BN36" s="10"/>
      <c r="BO36" s="10">
        <v>1</v>
      </c>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c r="DI36" s="10"/>
      <c r="DJ36" s="10"/>
      <c r="DK36" s="10"/>
      <c r="DL36" s="10"/>
    </row>
    <row r="37" spans="2:116" ht="16" hidden="1" customHeight="1" x14ac:dyDescent="0.2">
      <c r="B37" s="10"/>
      <c r="D37" s="10"/>
      <c r="E37" s="9"/>
      <c r="F37" t="s">
        <v>96</v>
      </c>
      <c r="G37" s="10">
        <v>0.05</v>
      </c>
      <c r="I37" s="9">
        <f t="shared" si="5"/>
        <v>0</v>
      </c>
      <c r="J37" s="11" cm="1">
        <f t="array" ref="J37">MAX(IF($N$3:$EH$3=$J$3,N37:EH37))</f>
        <v>0</v>
      </c>
      <c r="K37" s="11" cm="1">
        <f t="array" ref="K37">MAX(IF($N$3:$EH$3=$J$3,N37:EH37))</f>
        <v>0</v>
      </c>
      <c r="L37" s="9"/>
      <c r="O37" s="10"/>
      <c r="P37" s="10">
        <v>1</v>
      </c>
      <c r="Q37" s="10"/>
      <c r="R37" s="10">
        <v>1</v>
      </c>
      <c r="V37" s="10"/>
      <c r="W37" s="10">
        <v>1</v>
      </c>
      <c r="X37" s="10"/>
      <c r="Y37" s="10">
        <v>1</v>
      </c>
      <c r="AC37" s="10"/>
      <c r="AD37" s="10">
        <v>1</v>
      </c>
      <c r="AE37" s="10"/>
      <c r="AF37" s="10">
        <v>1</v>
      </c>
      <c r="AJ37" s="10"/>
      <c r="AK37" s="10">
        <v>1</v>
      </c>
      <c r="AL37" s="10"/>
      <c r="AM37" s="10">
        <v>1</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c r="CP37" s="10"/>
      <c r="CQ37" s="10"/>
      <c r="CU37" s="10"/>
      <c r="CV37" s="10"/>
      <c r="CW37" s="10"/>
      <c r="CX37" s="10"/>
      <c r="DB37" s="10"/>
      <c r="DC37" s="10"/>
      <c r="DD37" s="10"/>
      <c r="DE37" s="10"/>
      <c r="DI37" s="10"/>
      <c r="DJ37" s="10"/>
      <c r="DK37" s="10"/>
      <c r="DL37" s="10"/>
    </row>
    <row r="38" spans="2:116" ht="16" hidden="1" customHeight="1" x14ac:dyDescent="0.2">
      <c r="B38" s="10"/>
      <c r="C38" s="10"/>
      <c r="E38" s="10"/>
      <c r="F38" t="s">
        <v>31</v>
      </c>
      <c r="G38" s="10">
        <v>0.1</v>
      </c>
      <c r="I38" s="9">
        <f t="shared" si="5"/>
        <v>0</v>
      </c>
      <c r="J38" s="11" cm="1">
        <f t="array" ref="J38">MAX(IF($N$3:$EH$3=$J$3,N38:EH38))</f>
        <v>0</v>
      </c>
      <c r="K38" s="11" cm="1">
        <f t="array" ref="K38">MAX(IF($N$3:$EH$3=$J$3,N38:EH38))</f>
        <v>0</v>
      </c>
      <c r="L38" s="9"/>
      <c r="O38" s="10"/>
      <c r="P38" s="10">
        <v>0.8</v>
      </c>
      <c r="Q38" s="10"/>
      <c r="R38" s="10">
        <v>0.8</v>
      </c>
      <c r="V38" s="10"/>
      <c r="W38" s="10">
        <v>0.8</v>
      </c>
      <c r="X38" s="10"/>
      <c r="Y38" s="10">
        <v>0.8</v>
      </c>
      <c r="AC38" s="10"/>
      <c r="AD38" s="10">
        <v>0.8</v>
      </c>
      <c r="AE38" s="10"/>
      <c r="AF38" s="10">
        <v>0.8</v>
      </c>
      <c r="AJ38" s="10"/>
      <c r="AK38" s="10">
        <v>0.8</v>
      </c>
      <c r="AL38" s="10"/>
      <c r="AM38" s="10">
        <v>0.8</v>
      </c>
      <c r="AQ38" s="10"/>
      <c r="AR38" s="10">
        <v>0.8</v>
      </c>
      <c r="AS38" s="10"/>
      <c r="AT38" s="10">
        <v>0.8</v>
      </c>
      <c r="AX38" s="10"/>
      <c r="AY38" s="10">
        <v>0.8</v>
      </c>
      <c r="AZ38" s="10"/>
      <c r="BA38" s="10">
        <v>0.8</v>
      </c>
      <c r="BE38" s="10"/>
      <c r="BF38" s="10">
        <v>0.8</v>
      </c>
      <c r="BG38" s="10"/>
      <c r="BH38" s="10">
        <v>0.8</v>
      </c>
      <c r="BL38" s="10"/>
      <c r="BM38" s="10">
        <v>0.8</v>
      </c>
      <c r="BN38" s="10"/>
      <c r="BO38" s="10">
        <v>0.8</v>
      </c>
      <c r="BS38" s="10"/>
      <c r="BT38" s="10">
        <v>0.8</v>
      </c>
      <c r="BU38" s="10"/>
      <c r="BV38" s="10">
        <v>0.8</v>
      </c>
      <c r="BZ38" s="10"/>
      <c r="CA38" s="10">
        <v>1</v>
      </c>
      <c r="CB38" s="10"/>
      <c r="CC38" s="10">
        <v>1</v>
      </c>
      <c r="CG38" s="10"/>
      <c r="CH38" s="10">
        <v>1</v>
      </c>
      <c r="CI38" s="10"/>
      <c r="CJ38" s="10">
        <v>1</v>
      </c>
      <c r="CN38" s="10"/>
      <c r="CO38" s="10"/>
      <c r="CP38" s="10"/>
      <c r="CQ38" s="10"/>
      <c r="CU38" s="10"/>
      <c r="CV38" s="10"/>
      <c r="CW38" s="10"/>
      <c r="CX38" s="10"/>
      <c r="DB38" s="10"/>
      <c r="DC38" s="10"/>
      <c r="DD38" s="10"/>
      <c r="DE38" s="10"/>
      <c r="DI38" s="10"/>
      <c r="DJ38" s="10"/>
      <c r="DK38" s="10"/>
      <c r="DL38" s="10"/>
    </row>
    <row r="39" spans="2:116" ht="16" hidden="1" customHeight="1" x14ac:dyDescent="0.2">
      <c r="B39" s="10"/>
      <c r="C39" s="10"/>
      <c r="D39" s="10"/>
      <c r="F39" s="10"/>
      <c r="G39" s="10">
        <v>0.1</v>
      </c>
      <c r="I39" s="9">
        <f t="shared" si="5"/>
        <v>0</v>
      </c>
      <c r="J39" s="11" cm="1">
        <f t="array" ref="J39">MAX(IF($N$3:$EH$3=$J$3,N39:EH39))</f>
        <v>0</v>
      </c>
      <c r="K39" s="11" cm="1">
        <f t="array" ref="K39">MAX(IF($N$3:$EH$3=$J$3,N39:EH39))</f>
        <v>0</v>
      </c>
      <c r="L39" s="9"/>
      <c r="O39" s="10"/>
      <c r="P39" s="10">
        <v>0.8</v>
      </c>
      <c r="Q39" s="10"/>
      <c r="R39" s="10">
        <v>0.8</v>
      </c>
      <c r="V39" s="10"/>
      <c r="W39" s="10">
        <v>0.8</v>
      </c>
      <c r="X39" s="10"/>
      <c r="Y39" s="10">
        <v>0.8</v>
      </c>
      <c r="AC39" s="10"/>
      <c r="AD39" s="10">
        <v>0.8</v>
      </c>
      <c r="AE39" s="10"/>
      <c r="AF39" s="10">
        <v>0.8</v>
      </c>
      <c r="AJ39" s="10"/>
      <c r="AK39" s="10">
        <v>0.8</v>
      </c>
      <c r="AL39" s="10"/>
      <c r="AM39" s="10">
        <v>0.8</v>
      </c>
      <c r="AQ39" s="10"/>
      <c r="AR39" s="10">
        <v>0.8</v>
      </c>
      <c r="AS39" s="10"/>
      <c r="AT39" s="10">
        <v>0.8</v>
      </c>
      <c r="AX39" s="10"/>
      <c r="AY39" s="10">
        <v>0.8</v>
      </c>
      <c r="AZ39" s="10"/>
      <c r="BA39" s="10">
        <v>0.8</v>
      </c>
      <c r="BE39" s="10"/>
      <c r="BF39" s="10">
        <v>0.8</v>
      </c>
      <c r="BG39" s="10"/>
      <c r="BH39" s="10">
        <v>0.8</v>
      </c>
      <c r="BL39" s="10"/>
      <c r="BM39" s="10">
        <v>0.8</v>
      </c>
      <c r="BN39" s="10"/>
      <c r="BO39" s="10">
        <v>0.8</v>
      </c>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c r="DI39" s="10"/>
      <c r="DJ39" s="10"/>
      <c r="DK39" s="10"/>
      <c r="DL39" s="10"/>
    </row>
    <row r="40" spans="2:116" ht="16" hidden="1" customHeight="1" x14ac:dyDescent="0.2">
      <c r="B40" s="10"/>
      <c r="C40" s="10"/>
      <c r="D40" s="10"/>
      <c r="E40" s="10"/>
      <c r="I40" s="9">
        <f t="shared" si="5"/>
        <v>0</v>
      </c>
      <c r="J40" s="11" cm="1">
        <f t="array" ref="J40">MAX(IF($N$3:$EH$3=$J$3,N40:EH40))</f>
        <v>0</v>
      </c>
      <c r="K40" s="11" cm="1">
        <f t="array" ref="K40">MAX(IF($N$3:$EH$3=$J$3,N40:EH40))</f>
        <v>0</v>
      </c>
      <c r="L40" s="9"/>
      <c r="O40" s="10"/>
      <c r="P40" s="10">
        <v>0.8</v>
      </c>
      <c r="Q40" s="10"/>
      <c r="R40" s="10">
        <v>0.8</v>
      </c>
      <c r="V40" s="10"/>
      <c r="W40" s="10">
        <v>0.8</v>
      </c>
      <c r="X40" s="10"/>
      <c r="Y40" s="10">
        <v>0.8</v>
      </c>
      <c r="AC40" s="10"/>
      <c r="AD40" s="10">
        <v>0.8</v>
      </c>
      <c r="AE40" s="10"/>
      <c r="AF40" s="10">
        <v>0.8</v>
      </c>
      <c r="AJ40" s="10"/>
      <c r="AK40" s="10">
        <v>0.8</v>
      </c>
      <c r="AL40" s="10"/>
      <c r="AM40" s="10">
        <v>0.8</v>
      </c>
      <c r="AQ40" s="10"/>
      <c r="AR40" s="10">
        <v>0.8</v>
      </c>
      <c r="AS40" s="10"/>
      <c r="AT40" s="10">
        <v>0.8</v>
      </c>
      <c r="AX40" s="10"/>
      <c r="AY40" s="10">
        <v>0.8</v>
      </c>
      <c r="AZ40" s="10"/>
      <c r="BA40" s="10">
        <v>0.8</v>
      </c>
      <c r="BE40" s="10"/>
      <c r="BF40" s="10">
        <v>0.8</v>
      </c>
      <c r="BG40" s="10"/>
      <c r="BH40" s="10">
        <v>0.8</v>
      </c>
      <c r="BL40" s="10"/>
      <c r="BM40" s="10">
        <v>0.8</v>
      </c>
      <c r="BN40" s="10"/>
      <c r="BO40" s="10">
        <v>0.8</v>
      </c>
      <c r="BS40" s="10"/>
      <c r="BT40" s="10">
        <v>0.8</v>
      </c>
      <c r="BU40" s="10"/>
      <c r="BV40" s="10">
        <v>0.8</v>
      </c>
      <c r="BZ40" s="10"/>
      <c r="CA40" s="10">
        <v>1</v>
      </c>
      <c r="CB40" s="10"/>
      <c r="CC40" s="10">
        <v>1</v>
      </c>
      <c r="CG40" s="10"/>
      <c r="CH40" s="10">
        <v>1</v>
      </c>
      <c r="CI40" s="10"/>
      <c r="CJ40" s="10">
        <v>1</v>
      </c>
      <c r="CN40" s="10"/>
      <c r="CO40" s="10"/>
      <c r="CP40" s="10"/>
      <c r="CQ40" s="10"/>
      <c r="CU40" s="10"/>
      <c r="CV40" s="10"/>
      <c r="CW40" s="10"/>
      <c r="CX40" s="10"/>
      <c r="DB40" s="10"/>
      <c r="DC40" s="10"/>
      <c r="DD40" s="10"/>
      <c r="DE40" s="10"/>
      <c r="DI40" s="10"/>
      <c r="DJ40" s="10"/>
      <c r="DK40" s="10"/>
      <c r="DL40" s="10"/>
    </row>
    <row r="41" spans="2:116" ht="16" hidden="1" customHeight="1" x14ac:dyDescent="0.2">
      <c r="C41" s="10"/>
      <c r="D41" s="10"/>
      <c r="E41" s="10"/>
      <c r="F41" s="10"/>
      <c r="I41" s="9">
        <f t="shared" si="5"/>
        <v>0</v>
      </c>
      <c r="J41" s="11" cm="1">
        <f t="array" ref="J41">MAX(IF($N$3:$EH$3=$J$3,N41:EH41))</f>
        <v>0</v>
      </c>
      <c r="K41" s="11" cm="1">
        <f t="array" ref="K41">MAX(IF($N$3:$EH$3=$J$3,N41:EH41))</f>
        <v>0</v>
      </c>
      <c r="L41" s="9"/>
      <c r="O41" s="10"/>
      <c r="P41" s="10">
        <v>0.8</v>
      </c>
      <c r="Q41" s="10"/>
      <c r="R41" s="10">
        <v>0.8</v>
      </c>
      <c r="V41" s="10"/>
      <c r="W41" s="10">
        <v>0.8</v>
      </c>
      <c r="X41" s="10"/>
      <c r="Y41" s="10">
        <v>0.8</v>
      </c>
      <c r="AC41" s="10"/>
      <c r="AD41" s="10">
        <v>0.8</v>
      </c>
      <c r="AE41" s="10"/>
      <c r="AF41" s="10">
        <v>0.8</v>
      </c>
      <c r="AJ41" s="10"/>
      <c r="AK41" s="10">
        <v>0.8</v>
      </c>
      <c r="AL41" s="10"/>
      <c r="AM41" s="10">
        <v>0.8</v>
      </c>
      <c r="AQ41" s="10"/>
      <c r="AR41" s="10">
        <v>0.8</v>
      </c>
      <c r="AS41" s="10"/>
      <c r="AT41" s="10">
        <v>0.8</v>
      </c>
      <c r="AX41" s="10"/>
      <c r="AY41" s="10">
        <v>0.8</v>
      </c>
      <c r="AZ41" s="10"/>
      <c r="BA41" s="10">
        <v>0.8</v>
      </c>
      <c r="BE41" s="10"/>
      <c r="BF41" s="10">
        <v>0.8</v>
      </c>
      <c r="BG41" s="10"/>
      <c r="BH41" s="10">
        <v>0.8</v>
      </c>
      <c r="BL41" s="10"/>
      <c r="BM41" s="10">
        <v>0.8</v>
      </c>
      <c r="BN41" s="10"/>
      <c r="BO41" s="10">
        <v>0.8</v>
      </c>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c r="DI41" s="10"/>
      <c r="DJ41" s="10"/>
      <c r="DK41" s="10"/>
      <c r="DL41" s="10"/>
    </row>
    <row r="42" spans="2:116" ht="16" hidden="1" customHeight="1" x14ac:dyDescent="0.2">
      <c r="D42" s="10"/>
      <c r="E42" s="10"/>
      <c r="F42" s="10"/>
      <c r="G42" s="10"/>
      <c r="J42" s="11" cm="1">
        <f t="array" ref="J42">MAX(IF($N$3:$EH$3=$J$3,N42:EH42))</f>
        <v>0</v>
      </c>
      <c r="K42" s="11" cm="1">
        <f t="array" ref="K42">MAX(IF($N$3:$EH$3=$J$3,N42:EH42))</f>
        <v>0</v>
      </c>
      <c r="L42" s="9"/>
      <c r="O42" s="10"/>
      <c r="P42" s="10">
        <v>0.8</v>
      </c>
      <c r="Q42" s="10"/>
      <c r="R42" s="10">
        <v>0.8</v>
      </c>
      <c r="V42" s="10"/>
      <c r="W42" s="10">
        <v>0.8</v>
      </c>
      <c r="X42" s="10"/>
      <c r="Y42" s="10">
        <v>0.8</v>
      </c>
      <c r="AC42" s="10"/>
      <c r="AD42" s="10">
        <v>0.8</v>
      </c>
      <c r="AE42" s="10"/>
      <c r="AF42" s="10">
        <v>0.8</v>
      </c>
      <c r="AJ42" s="10"/>
      <c r="AK42" s="10">
        <v>0.8</v>
      </c>
      <c r="AL42" s="10"/>
      <c r="AM42" s="10">
        <v>0.8</v>
      </c>
      <c r="AQ42" s="10"/>
      <c r="AR42" s="10">
        <v>0.8</v>
      </c>
      <c r="AS42" s="10"/>
      <c r="AT42" s="10">
        <v>0.8</v>
      </c>
      <c r="AX42" s="10"/>
      <c r="AY42" s="10">
        <v>0.8</v>
      </c>
      <c r="AZ42" s="10"/>
      <c r="BA42" s="10">
        <v>0.8</v>
      </c>
      <c r="BE42" s="10"/>
      <c r="BF42" s="10">
        <v>0.8</v>
      </c>
      <c r="BG42" s="10"/>
      <c r="BH42" s="10">
        <v>0.8</v>
      </c>
      <c r="BL42" s="10"/>
      <c r="BM42" s="10">
        <v>0.8</v>
      </c>
      <c r="BN42" s="10"/>
      <c r="BO42" s="10">
        <v>0.8</v>
      </c>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c r="DI42" s="10"/>
      <c r="DJ42" s="10"/>
      <c r="DK42" s="10"/>
      <c r="DL42" s="10"/>
    </row>
    <row r="44" spans="2:116" ht="16" hidden="1" customHeight="1" x14ac:dyDescent="0.2">
      <c r="E44" s="10"/>
      <c r="F44" s="10"/>
      <c r="G44" s="10"/>
      <c r="H44" s="10"/>
      <c r="J44" s="10"/>
      <c r="K44" s="11">
        <f>+SUMPRODUCT(G45:G46,K45:K46)</f>
        <v>0</v>
      </c>
      <c r="L44" s="9"/>
      <c r="N44" s="12">
        <f>+SUM(N45:N46)</f>
        <v>0</v>
      </c>
      <c r="U44" s="12">
        <f>+SUM(U45:U46)</f>
        <v>0</v>
      </c>
      <c r="AB44" s="12">
        <f>+SUM(AB45:AB46)</f>
        <v>0</v>
      </c>
      <c r="AI44" s="12">
        <f>+SUM(AI45:AI46)</f>
        <v>0</v>
      </c>
      <c r="AP44" s="12">
        <f>+SUM(AP45:AP46)</f>
        <v>0</v>
      </c>
    </row>
    <row r="45" spans="2:116" ht="16" hidden="1" customHeight="1" x14ac:dyDescent="0.2">
      <c r="L45" s="9"/>
      <c r="O45" s="10"/>
      <c r="P45" s="10">
        <v>1</v>
      </c>
      <c r="Q45" s="10"/>
      <c r="R45" s="10">
        <v>1</v>
      </c>
      <c r="V45" s="10"/>
      <c r="W45" s="10">
        <v>1</v>
      </c>
      <c r="X45" s="10"/>
      <c r="Y45" s="10">
        <v>1</v>
      </c>
      <c r="AC45" s="10"/>
      <c r="AD45" s="10">
        <v>1</v>
      </c>
      <c r="AE45" s="10"/>
      <c r="AF45" s="10">
        <v>1</v>
      </c>
      <c r="AJ45" s="10"/>
      <c r="AK45" s="10">
        <v>1</v>
      </c>
      <c r="AL45" s="10"/>
      <c r="AM45" s="10">
        <v>1</v>
      </c>
      <c r="AQ45" s="10"/>
      <c r="AR45" s="10">
        <v>1</v>
      </c>
      <c r="AS45" s="10"/>
      <c r="AT45" s="10">
        <v>1</v>
      </c>
      <c r="AX45" s="10"/>
      <c r="AY45" s="10">
        <v>1</v>
      </c>
      <c r="AZ45" s="10"/>
      <c r="BA45" s="10">
        <v>1</v>
      </c>
      <c r="BE45" s="10"/>
      <c r="BF45" s="10">
        <v>1</v>
      </c>
      <c r="BG45" s="10"/>
      <c r="BH45" s="10">
        <v>1</v>
      </c>
      <c r="BL45" s="10"/>
      <c r="BM45" s="10">
        <v>1</v>
      </c>
      <c r="BN45" s="10"/>
      <c r="BO45" s="10">
        <v>1</v>
      </c>
      <c r="BS45" s="10"/>
      <c r="BT45" s="10">
        <v>1</v>
      </c>
      <c r="BU45" s="10"/>
      <c r="BV45" s="10">
        <v>1</v>
      </c>
      <c r="BZ45" s="10"/>
      <c r="CA45" s="10">
        <v>1</v>
      </c>
      <c r="CB45" s="10"/>
      <c r="CC45" s="10">
        <v>1</v>
      </c>
      <c r="CG45" s="10"/>
      <c r="CH45" s="10">
        <v>1</v>
      </c>
      <c r="CI45" s="10"/>
      <c r="CJ45" s="10">
        <v>1</v>
      </c>
      <c r="CN45" s="10"/>
      <c r="CO45" s="10"/>
      <c r="CP45" s="10"/>
      <c r="CQ45" s="10"/>
      <c r="CU45" s="10"/>
      <c r="CV45" s="10"/>
      <c r="CW45" s="10"/>
      <c r="CX45" s="10"/>
      <c r="DB45" s="10"/>
      <c r="DC45" s="10"/>
      <c r="DD45" s="10"/>
      <c r="DE45" s="10"/>
      <c r="DI45" s="10"/>
      <c r="DJ45" s="10"/>
      <c r="DK45" s="10"/>
      <c r="DL45" s="10"/>
    </row>
    <row r="46" spans="2:116" ht="16" hidden="1" customHeight="1" x14ac:dyDescent="0.2">
      <c r="B46" s="10"/>
      <c r="C46" s="10"/>
      <c r="G46" s="10"/>
      <c r="H46" s="10"/>
      <c r="I46" s="10"/>
      <c r="J46" s="10"/>
      <c r="L46" s="10"/>
      <c r="O46" s="10"/>
      <c r="P46" s="10">
        <v>1</v>
      </c>
      <c r="Q46" s="10"/>
      <c r="R46" s="10">
        <v>1</v>
      </c>
      <c r="V46" s="10"/>
      <c r="W46" s="10">
        <v>1</v>
      </c>
      <c r="X46" s="10"/>
      <c r="Y46" s="10">
        <v>1</v>
      </c>
      <c r="AC46" s="10"/>
      <c r="AD46" s="10">
        <v>1</v>
      </c>
      <c r="AE46" s="10"/>
      <c r="AF46" s="10">
        <v>1</v>
      </c>
      <c r="AJ46" s="10"/>
      <c r="AK46" s="10">
        <v>1</v>
      </c>
      <c r="AL46" s="10"/>
      <c r="AM46" s="10">
        <v>1</v>
      </c>
      <c r="AQ46" s="10"/>
      <c r="AR46" s="10">
        <v>1</v>
      </c>
      <c r="AS46" s="10"/>
      <c r="AT46" s="10">
        <v>1</v>
      </c>
      <c r="AX46" s="10"/>
      <c r="AY46" s="10">
        <v>1</v>
      </c>
      <c r="AZ46" s="10"/>
      <c r="BA46" s="10">
        <v>1</v>
      </c>
      <c r="BE46" s="10"/>
      <c r="BF46" s="10">
        <v>1</v>
      </c>
      <c r="BG46" s="10"/>
      <c r="BH46" s="10">
        <v>1</v>
      </c>
      <c r="BL46" s="10"/>
      <c r="BM46" s="10">
        <v>1</v>
      </c>
      <c r="BN46" s="10"/>
      <c r="BO46" s="10">
        <v>1</v>
      </c>
      <c r="BS46" s="10"/>
      <c r="BT46" s="10">
        <v>1</v>
      </c>
      <c r="BU46" s="10"/>
      <c r="BV46" s="10">
        <v>1</v>
      </c>
      <c r="BZ46" s="10"/>
      <c r="CA46" s="10">
        <v>1</v>
      </c>
      <c r="CB46" s="10"/>
      <c r="CC46" s="10">
        <v>1</v>
      </c>
      <c r="CG46" s="10"/>
      <c r="CH46" s="10">
        <v>1</v>
      </c>
      <c r="CI46" s="10"/>
      <c r="CJ46" s="10">
        <v>1</v>
      </c>
      <c r="CN46" s="10"/>
      <c r="CO46" s="10"/>
      <c r="CP46" s="10"/>
      <c r="CQ46" s="10"/>
      <c r="CU46" s="10"/>
      <c r="CV46" s="10"/>
      <c r="CW46" s="10"/>
      <c r="CX46" s="10"/>
      <c r="DB46" s="10"/>
      <c r="DC46" s="10"/>
      <c r="DD46" s="10"/>
      <c r="DE46" s="10"/>
      <c r="DI46" s="10"/>
      <c r="DJ46" s="10"/>
      <c r="DK46" s="10"/>
      <c r="DL46" s="10"/>
    </row>
    <row r="47" spans="2:116" x14ac:dyDescent="0.2">
      <c r="B47" t="s">
        <v>27</v>
      </c>
      <c r="C47" t="s">
        <v>103</v>
      </c>
      <c r="D47" s="19">
        <v>45114</v>
      </c>
      <c r="E47" s="9">
        <v>5</v>
      </c>
      <c r="G47" s="10">
        <f>+SUM(G48:G53)</f>
        <v>1</v>
      </c>
      <c r="I47" s="12">
        <f>+SUM(I48:I53)</f>
        <v>49</v>
      </c>
      <c r="J47" s="11">
        <f>+SUMPRODUCT(G48:G53,J48:J53)</f>
        <v>0</v>
      </c>
      <c r="K47" s="11">
        <f>+SUMPRODUCT(G48:G53,K48:K53)</f>
        <v>0</v>
      </c>
      <c r="L47" s="9"/>
      <c r="N47" s="12">
        <f>+SUM(N48:N53)</f>
        <v>4</v>
      </c>
      <c r="U47" s="12">
        <f>+SUM(U48:U53)</f>
        <v>3</v>
      </c>
      <c r="AB47" s="12">
        <f>+SUM(AB48:AB53)</f>
        <v>6</v>
      </c>
      <c r="AI47" s="12">
        <f>+SUM(AI48:AI53)</f>
        <v>6</v>
      </c>
      <c r="AP47" s="12">
        <f>+SUM(AP48:AP53)</f>
        <v>6</v>
      </c>
      <c r="AW47" s="9">
        <f>SUM(AW$48:AW$53)</f>
        <v>3</v>
      </c>
      <c r="AX47" s="9"/>
      <c r="AY47" s="9"/>
      <c r="AZ47" s="9"/>
      <c r="BA47" s="9"/>
      <c r="BB47" s="9"/>
      <c r="BC47" s="9"/>
      <c r="BD47" s="9">
        <f t="shared" ref="BD47:CF47" si="6">SUM(BD$48:BD$53)</f>
        <v>3</v>
      </c>
      <c r="BE47" s="9"/>
      <c r="BF47" s="9"/>
      <c r="BG47" s="9"/>
      <c r="BH47" s="9"/>
      <c r="BI47" s="9"/>
      <c r="BJ47" s="9"/>
      <c r="BK47" s="9">
        <f t="shared" si="6"/>
        <v>6</v>
      </c>
      <c r="BL47" s="9"/>
      <c r="BM47" s="9"/>
      <c r="BN47" s="9"/>
      <c r="BO47" s="9"/>
      <c r="BP47" s="9"/>
      <c r="BQ47" s="9"/>
      <c r="BR47" s="9">
        <f t="shared" si="6"/>
        <v>6</v>
      </c>
      <c r="BS47" s="9"/>
      <c r="BT47" s="9"/>
      <c r="BU47" s="9"/>
      <c r="BV47" s="9"/>
      <c r="BW47" s="9"/>
      <c r="BX47" s="9"/>
      <c r="BY47" s="9">
        <f t="shared" si="6"/>
        <v>3</v>
      </c>
      <c r="BZ47" s="9"/>
      <c r="CA47" s="9"/>
      <c r="CB47" s="9"/>
      <c r="CC47" s="9"/>
      <c r="CD47" s="9"/>
      <c r="CE47" s="9"/>
      <c r="CF47" s="9">
        <f t="shared" si="6"/>
        <v>3</v>
      </c>
      <c r="CG47" s="9"/>
      <c r="CH47" s="9"/>
      <c r="CI47" s="9"/>
      <c r="CJ47" s="9"/>
      <c r="CK47" s="9"/>
      <c r="CL47" s="9"/>
      <c r="CM47" s="9">
        <v>10</v>
      </c>
      <c r="CN47" s="9"/>
      <c r="CO47" s="9"/>
      <c r="CP47" s="9"/>
      <c r="CQ47" s="9"/>
    </row>
    <row r="48" spans="2:116" outlineLevel="1" x14ac:dyDescent="0.2">
      <c r="B48" t="s">
        <v>28</v>
      </c>
      <c r="C48" t="s">
        <v>103</v>
      </c>
      <c r="E48" s="9"/>
      <c r="F48" t="s">
        <v>30</v>
      </c>
      <c r="G48" s="10">
        <v>0.1</v>
      </c>
      <c r="I48" s="9">
        <f t="shared" ref="I48:I53" si="7">+SUMIF($N$3:$ZZ$3,I$3,$N48:$ZZ48)</f>
        <v>10</v>
      </c>
      <c r="J48" s="11" cm="1">
        <f t="array" ref="J48">MAX(IF($N$3:$EH$3=$J$3,N48:EH48))</f>
        <v>0</v>
      </c>
      <c r="K48" s="11" cm="1">
        <f t="array" ref="K48">MAX(IF($N$3:$EH$3=$J$3,N48:EH48))</f>
        <v>0</v>
      </c>
      <c r="L48" s="9"/>
      <c r="N48">
        <v>4</v>
      </c>
      <c r="O48" s="10"/>
      <c r="P48" s="10">
        <v>0.5</v>
      </c>
      <c r="Q48" s="10"/>
      <c r="R48" s="10">
        <v>0.5</v>
      </c>
      <c r="U48">
        <v>0</v>
      </c>
      <c r="V48" s="10"/>
      <c r="W48" s="10">
        <v>0.5</v>
      </c>
      <c r="X48" s="10"/>
      <c r="Y48" s="10">
        <v>0.5</v>
      </c>
      <c r="AB48">
        <v>0</v>
      </c>
      <c r="AC48" s="10"/>
      <c r="AD48" s="10">
        <v>0.5</v>
      </c>
      <c r="AE48" s="10"/>
      <c r="AF48" s="10">
        <v>0.5</v>
      </c>
      <c r="AI48">
        <v>3</v>
      </c>
      <c r="AJ48" s="10"/>
      <c r="AK48" s="10">
        <v>0.8</v>
      </c>
      <c r="AL48" s="10"/>
      <c r="AM48" s="10">
        <v>0.8</v>
      </c>
      <c r="AP48">
        <v>0</v>
      </c>
      <c r="AQ48" s="10"/>
      <c r="AR48" s="10">
        <v>0.8</v>
      </c>
      <c r="AS48" s="10"/>
      <c r="AT48" s="10">
        <v>0.8</v>
      </c>
      <c r="AW48">
        <v>0</v>
      </c>
      <c r="AX48" s="10"/>
      <c r="AY48" s="10">
        <v>0.8</v>
      </c>
      <c r="AZ48" s="10"/>
      <c r="BA48" s="10">
        <v>0.8</v>
      </c>
      <c r="BD48">
        <v>3</v>
      </c>
      <c r="BE48" s="10"/>
      <c r="BF48" s="10">
        <v>1</v>
      </c>
      <c r="BG48" s="10"/>
      <c r="BH48" s="10">
        <v>1</v>
      </c>
      <c r="BL48" s="10"/>
      <c r="BM48" s="10">
        <v>1</v>
      </c>
      <c r="BN48" s="10"/>
      <c r="BO48" s="10">
        <v>1</v>
      </c>
      <c r="BS48" s="10"/>
      <c r="BT48" s="10">
        <v>1</v>
      </c>
      <c r="BU48" s="10"/>
      <c r="BV48" s="10">
        <v>1</v>
      </c>
      <c r="BZ48" s="10"/>
      <c r="CA48" s="10">
        <v>1</v>
      </c>
      <c r="CB48" s="10"/>
      <c r="CC48" s="10">
        <v>1</v>
      </c>
      <c r="CG48" s="10"/>
      <c r="CH48" s="10">
        <v>1</v>
      </c>
      <c r="CI48" s="10"/>
      <c r="CJ48" s="10">
        <v>1</v>
      </c>
      <c r="CN48" s="10"/>
      <c r="CO48" s="20"/>
      <c r="CP48" s="10"/>
      <c r="CQ48" s="10"/>
      <c r="CU48" s="10"/>
      <c r="CV48" s="10"/>
      <c r="CW48" s="10"/>
      <c r="CX48" s="10"/>
      <c r="DB48" s="10"/>
      <c r="DC48" s="10"/>
      <c r="DD48" s="10"/>
      <c r="DE48" s="10"/>
      <c r="DI48" s="10"/>
      <c r="DJ48" s="10"/>
      <c r="DK48" s="10"/>
      <c r="DL48" s="10"/>
    </row>
    <row r="49" spans="2:116" outlineLevel="1" x14ac:dyDescent="0.2">
      <c r="B49" t="s">
        <v>28</v>
      </c>
      <c r="C49" t="s">
        <v>103</v>
      </c>
      <c r="E49" s="9"/>
      <c r="F49" t="s">
        <v>119</v>
      </c>
      <c r="G49" s="10">
        <v>0.2</v>
      </c>
      <c r="I49" s="9">
        <f t="shared" si="7"/>
        <v>9</v>
      </c>
      <c r="J49" s="11" cm="1">
        <f t="array" ref="J49">MAX(IF($N$3:$EH$3=$J$3,N49:EH49))</f>
        <v>0</v>
      </c>
      <c r="K49" s="11" cm="1">
        <f t="array" ref="K49">MAX(IF($N$3:$EH$3=$J$3,N49:EH49))</f>
        <v>0</v>
      </c>
      <c r="L49" s="9"/>
      <c r="O49" s="10"/>
      <c r="P49" s="10"/>
      <c r="Q49" s="10"/>
      <c r="R49" s="10"/>
      <c r="U49">
        <v>3</v>
      </c>
      <c r="V49" s="10"/>
      <c r="W49" s="10">
        <v>0.5</v>
      </c>
      <c r="X49" s="10"/>
      <c r="Y49" s="10">
        <v>0.5</v>
      </c>
      <c r="AB49">
        <v>0</v>
      </c>
      <c r="AC49" s="10"/>
      <c r="AD49" s="10">
        <v>0.5</v>
      </c>
      <c r="AE49" s="10"/>
      <c r="AF49" s="10">
        <v>0.5</v>
      </c>
      <c r="AI49">
        <v>0</v>
      </c>
      <c r="AJ49" s="10"/>
      <c r="AK49" s="10">
        <v>0.5</v>
      </c>
      <c r="AL49" s="10"/>
      <c r="AM49" s="10">
        <v>0.5</v>
      </c>
      <c r="AP49">
        <v>3</v>
      </c>
      <c r="AQ49" s="10"/>
      <c r="AR49" s="10">
        <v>0.8</v>
      </c>
      <c r="AS49" s="10"/>
      <c r="AT49" s="10">
        <v>0.8</v>
      </c>
      <c r="AW49">
        <v>0</v>
      </c>
      <c r="AX49" s="10"/>
      <c r="AY49" s="10">
        <v>0.8</v>
      </c>
      <c r="AZ49" s="10"/>
      <c r="BA49" s="10">
        <v>0.8</v>
      </c>
      <c r="BE49" s="10"/>
      <c r="BF49" s="10">
        <v>0.8</v>
      </c>
      <c r="BG49" s="10"/>
      <c r="BH49" s="10">
        <v>0.8</v>
      </c>
      <c r="BK49">
        <v>3</v>
      </c>
      <c r="BL49" s="10"/>
      <c r="BM49" s="10">
        <v>1</v>
      </c>
      <c r="BN49" s="10"/>
      <c r="BO49" s="10">
        <v>1</v>
      </c>
      <c r="BS49" s="10"/>
      <c r="BT49" s="10">
        <v>1</v>
      </c>
      <c r="BU49" s="10"/>
      <c r="BV49" s="10">
        <v>1</v>
      </c>
      <c r="BZ49" s="10"/>
      <c r="CA49" s="10">
        <v>1</v>
      </c>
      <c r="CB49" s="10"/>
      <c r="CC49" s="10">
        <v>1</v>
      </c>
      <c r="CG49" s="10"/>
      <c r="CH49" s="10">
        <v>1</v>
      </c>
      <c r="CI49" s="10"/>
      <c r="CJ49" s="10">
        <v>1</v>
      </c>
      <c r="CN49" s="10"/>
      <c r="CO49" s="20"/>
      <c r="CP49" s="10"/>
      <c r="CQ49" s="10"/>
      <c r="CU49" s="10"/>
      <c r="CV49" s="10"/>
      <c r="CW49" s="10"/>
      <c r="CX49" s="10"/>
      <c r="DB49" s="10"/>
      <c r="DC49" s="10"/>
      <c r="DD49" s="10"/>
      <c r="DE49" s="10"/>
      <c r="DI49" s="10"/>
      <c r="DJ49" s="10"/>
      <c r="DK49" s="10"/>
      <c r="DL49" s="10"/>
    </row>
    <row r="50" spans="2:116" outlineLevel="1" x14ac:dyDescent="0.2">
      <c r="B50" t="s">
        <v>28</v>
      </c>
      <c r="C50" t="s">
        <v>103</v>
      </c>
      <c r="E50" s="9"/>
      <c r="F50" t="s">
        <v>120</v>
      </c>
      <c r="G50" s="10">
        <v>0.2</v>
      </c>
      <c r="I50" s="9">
        <f t="shared" si="7"/>
        <v>6</v>
      </c>
      <c r="J50" s="11" cm="1">
        <f t="array" ref="J50">MAX(IF($N$3:$EH$3=$J$3,N50:EH50))</f>
        <v>0</v>
      </c>
      <c r="K50" s="11" cm="1">
        <f t="array" ref="K50">MAX(IF($N$3:$EH$3=$J$3,N50:EH50))</f>
        <v>0</v>
      </c>
      <c r="L50" s="9"/>
      <c r="O50" s="10"/>
      <c r="P50" s="10"/>
      <c r="Q50" s="10"/>
      <c r="R50" s="10"/>
      <c r="V50" s="10"/>
      <c r="W50" s="10"/>
      <c r="X50" s="10"/>
      <c r="Y50" s="10"/>
      <c r="AB50">
        <v>3</v>
      </c>
      <c r="AC50" s="10"/>
      <c r="AD50" s="10">
        <v>0.5</v>
      </c>
      <c r="AE50" s="10"/>
      <c r="AF50" s="10">
        <v>0.5</v>
      </c>
      <c r="AI50">
        <v>0</v>
      </c>
      <c r="AJ50" s="10"/>
      <c r="AK50" s="10">
        <v>0.5</v>
      </c>
      <c r="AL50" s="10"/>
      <c r="AM50" s="10">
        <v>0.5</v>
      </c>
      <c r="AP50">
        <v>0</v>
      </c>
      <c r="AQ50" s="10"/>
      <c r="AR50" s="10">
        <v>0.5</v>
      </c>
      <c r="AS50" s="10"/>
      <c r="AT50" s="10">
        <v>0.8</v>
      </c>
      <c r="AW50">
        <v>0</v>
      </c>
      <c r="AX50" s="10"/>
      <c r="AY50" s="10">
        <v>0.8</v>
      </c>
      <c r="AZ50" s="10"/>
      <c r="BA50" s="10">
        <v>0.8</v>
      </c>
      <c r="BE50" s="10"/>
      <c r="BF50" s="10">
        <v>0.8</v>
      </c>
      <c r="BG50" s="10"/>
      <c r="BH50" s="10">
        <v>0.8</v>
      </c>
      <c r="BL50" s="10"/>
      <c r="BM50" s="10">
        <v>0.8</v>
      </c>
      <c r="BN50" s="10"/>
      <c r="BO50" s="10">
        <v>0.8</v>
      </c>
      <c r="BR50">
        <v>3</v>
      </c>
      <c r="BS50" s="10"/>
      <c r="BT50" s="10">
        <v>1</v>
      </c>
      <c r="BU50" s="10"/>
      <c r="BV50" s="10">
        <v>1</v>
      </c>
      <c r="BZ50" s="10"/>
      <c r="CA50" s="10">
        <v>1</v>
      </c>
      <c r="CB50" s="10"/>
      <c r="CC50" s="10">
        <v>1</v>
      </c>
      <c r="CG50" s="10"/>
      <c r="CH50" s="10">
        <v>1</v>
      </c>
      <c r="CI50" s="10"/>
      <c r="CJ50" s="10">
        <v>1</v>
      </c>
      <c r="CN50" s="10"/>
      <c r="CO50" s="20"/>
      <c r="CP50" s="10"/>
      <c r="CQ50" s="10"/>
      <c r="CU50" s="10"/>
      <c r="CV50" s="10"/>
      <c r="CW50" s="10"/>
      <c r="CX50" s="10"/>
      <c r="DB50" s="10"/>
      <c r="DC50" s="10"/>
      <c r="DD50" s="10"/>
      <c r="DE50" s="10"/>
      <c r="DI50" s="10"/>
      <c r="DJ50" s="10"/>
      <c r="DK50" s="10"/>
      <c r="DL50" s="10"/>
    </row>
    <row r="51" spans="2:116" outlineLevel="1" x14ac:dyDescent="0.2">
      <c r="B51" t="s">
        <v>28</v>
      </c>
      <c r="C51" t="s">
        <v>103</v>
      </c>
      <c r="E51" s="9"/>
      <c r="F51" t="s">
        <v>121</v>
      </c>
      <c r="G51" s="10">
        <v>0.2</v>
      </c>
      <c r="I51" s="9">
        <f t="shared" si="7"/>
        <v>9</v>
      </c>
      <c r="J51" s="11" cm="1">
        <f t="array" ref="J51">MAX(IF($N$3:$EH$3=$J$3,N51:EH51))</f>
        <v>0</v>
      </c>
      <c r="K51" s="11" cm="1">
        <f t="array" ref="K51">MAX(IF($N$3:$EH$3=$J$3,N51:EH51))</f>
        <v>0</v>
      </c>
      <c r="L51" s="9"/>
      <c r="O51" s="10"/>
      <c r="P51" s="10"/>
      <c r="Q51" s="10"/>
      <c r="R51" s="10"/>
      <c r="V51" s="10"/>
      <c r="W51" s="10"/>
      <c r="X51" s="10"/>
      <c r="Y51" s="10"/>
      <c r="AB51">
        <v>3</v>
      </c>
      <c r="AC51" s="10"/>
      <c r="AD51" s="10">
        <v>0.5</v>
      </c>
      <c r="AE51" s="10"/>
      <c r="AF51" s="10">
        <v>0.5</v>
      </c>
      <c r="AI51">
        <v>0</v>
      </c>
      <c r="AJ51" s="10"/>
      <c r="AK51" s="10">
        <v>0.5</v>
      </c>
      <c r="AL51" s="10"/>
      <c r="AM51" s="10">
        <v>0.5</v>
      </c>
      <c r="AP51">
        <v>0</v>
      </c>
      <c r="AQ51" s="10"/>
      <c r="AR51" s="10">
        <v>0.5</v>
      </c>
      <c r="AS51" s="10"/>
      <c r="AT51" s="10">
        <v>0.5</v>
      </c>
      <c r="AW51">
        <v>3</v>
      </c>
      <c r="AX51" s="10"/>
      <c r="AY51" s="10">
        <v>0.8</v>
      </c>
      <c r="AZ51" s="10"/>
      <c r="BA51" s="10">
        <v>0.8</v>
      </c>
      <c r="BE51" s="10"/>
      <c r="BF51" s="10">
        <v>0.8</v>
      </c>
      <c r="BG51" s="10"/>
      <c r="BH51" s="10">
        <v>0.8</v>
      </c>
      <c r="BL51" s="10"/>
      <c r="BM51" s="10">
        <v>0.8</v>
      </c>
      <c r="BN51" s="10"/>
      <c r="BO51" s="10">
        <v>0.8</v>
      </c>
      <c r="BS51" s="10"/>
      <c r="BT51" s="10">
        <v>0.8</v>
      </c>
      <c r="BU51" s="10"/>
      <c r="BV51" s="10">
        <v>0.8</v>
      </c>
      <c r="BY51">
        <v>3</v>
      </c>
      <c r="BZ51" s="10"/>
      <c r="CA51" s="10">
        <v>1</v>
      </c>
      <c r="CB51" s="10"/>
      <c r="CC51" s="10">
        <v>1</v>
      </c>
      <c r="CG51" s="10"/>
      <c r="CH51" s="10">
        <v>1</v>
      </c>
      <c r="CI51" s="10"/>
      <c r="CJ51" s="10">
        <v>1</v>
      </c>
      <c r="CN51" s="10"/>
      <c r="CO51" s="20"/>
      <c r="CP51" s="10"/>
      <c r="CQ51" s="10"/>
      <c r="CU51" s="10"/>
      <c r="CV51" s="10"/>
      <c r="CW51" s="10"/>
      <c r="CX51" s="10"/>
      <c r="DB51" s="10"/>
      <c r="DC51" s="10"/>
      <c r="DD51" s="10"/>
      <c r="DE51" s="10"/>
      <c r="DI51" s="10"/>
      <c r="DJ51" s="10"/>
      <c r="DK51" s="10"/>
      <c r="DL51" s="10"/>
    </row>
    <row r="52" spans="2:116" outlineLevel="1" x14ac:dyDescent="0.2">
      <c r="B52" t="s">
        <v>28</v>
      </c>
      <c r="C52" t="s">
        <v>103</v>
      </c>
      <c r="E52" s="9"/>
      <c r="F52" t="s">
        <v>122</v>
      </c>
      <c r="G52" s="10">
        <v>0.15</v>
      </c>
      <c r="I52" s="9">
        <f t="shared" si="7"/>
        <v>9</v>
      </c>
      <c r="J52" s="11" cm="1">
        <f t="array" ref="J52">MAX(IF($N$3:$EH$3=$J$3,N52:EH52))</f>
        <v>0</v>
      </c>
      <c r="K52" s="11" cm="1">
        <f t="array" ref="K52">MAX(IF($N$3:$EH$3=$J$3,N52:EH52))</f>
        <v>0</v>
      </c>
      <c r="L52" s="9"/>
      <c r="O52" s="10"/>
      <c r="P52" s="10"/>
      <c r="Q52" s="10"/>
      <c r="R52" s="10"/>
      <c r="V52" s="10"/>
      <c r="W52" s="10"/>
      <c r="X52" s="10"/>
      <c r="Y52" s="10"/>
      <c r="AC52" s="10"/>
      <c r="AD52" s="10"/>
      <c r="AE52" s="10"/>
      <c r="AF52" s="10"/>
      <c r="AI52">
        <v>3</v>
      </c>
      <c r="AJ52" s="10"/>
      <c r="AK52" s="10">
        <v>0.5</v>
      </c>
      <c r="AL52" s="10"/>
      <c r="AM52" s="10">
        <v>0.5</v>
      </c>
      <c r="AP52">
        <v>0</v>
      </c>
      <c r="AQ52" s="10"/>
      <c r="AR52" s="10">
        <v>0.5</v>
      </c>
      <c r="AS52" s="10"/>
      <c r="AT52" s="10">
        <v>0.5</v>
      </c>
      <c r="AW52">
        <v>0</v>
      </c>
      <c r="AX52" s="10"/>
      <c r="AY52" s="10">
        <v>0.5</v>
      </c>
      <c r="AZ52" s="10"/>
      <c r="BA52" s="10">
        <v>0.5</v>
      </c>
      <c r="BE52" s="10"/>
      <c r="BF52" s="10">
        <v>0.5</v>
      </c>
      <c r="BG52" s="10"/>
      <c r="BH52" s="10">
        <v>0.5</v>
      </c>
      <c r="BK52">
        <v>3</v>
      </c>
      <c r="BL52" s="10"/>
      <c r="BM52" s="10">
        <v>0.8</v>
      </c>
      <c r="BN52" s="10"/>
      <c r="BO52" s="10">
        <v>0.8</v>
      </c>
      <c r="BS52" s="10"/>
      <c r="BT52" s="10">
        <v>0.8</v>
      </c>
      <c r="BU52" s="10"/>
      <c r="BV52" s="10">
        <v>0.8</v>
      </c>
      <c r="BZ52" s="10"/>
      <c r="CA52" s="10">
        <v>0.8</v>
      </c>
      <c r="CB52" s="10"/>
      <c r="CC52" s="10">
        <v>0.8</v>
      </c>
      <c r="CF52">
        <v>3</v>
      </c>
      <c r="CG52" s="10"/>
      <c r="CH52" s="10">
        <v>1</v>
      </c>
      <c r="CI52" s="10"/>
      <c r="CJ52" s="10">
        <v>1</v>
      </c>
      <c r="CN52" s="10"/>
      <c r="CO52" s="20"/>
      <c r="CP52" s="10"/>
      <c r="CQ52" s="10"/>
      <c r="CU52" s="10"/>
      <c r="CV52" s="10"/>
      <c r="CW52" s="10"/>
      <c r="CX52" s="10"/>
      <c r="DB52" s="10"/>
      <c r="DC52" s="10"/>
      <c r="DD52" s="10"/>
      <c r="DE52" s="10"/>
      <c r="DI52" s="10"/>
      <c r="DJ52" s="10"/>
      <c r="DK52" s="10"/>
      <c r="DL52" s="10"/>
    </row>
    <row r="53" spans="2:116" outlineLevel="1" x14ac:dyDescent="0.2">
      <c r="B53" t="s">
        <v>28</v>
      </c>
      <c r="C53" t="s">
        <v>103</v>
      </c>
      <c r="E53" s="9"/>
      <c r="F53" t="s">
        <v>123</v>
      </c>
      <c r="G53" s="10">
        <v>0.15</v>
      </c>
      <c r="I53" s="9">
        <f t="shared" si="7"/>
        <v>6</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P53">
        <v>3</v>
      </c>
      <c r="AQ53" s="10"/>
      <c r="AR53" s="10">
        <v>0.5</v>
      </c>
      <c r="AS53" s="10"/>
      <c r="AT53" s="10">
        <v>0.5</v>
      </c>
      <c r="AW53">
        <v>0</v>
      </c>
      <c r="AX53" s="10"/>
      <c r="AY53" s="10">
        <v>0.5</v>
      </c>
      <c r="AZ53" s="10"/>
      <c r="BA53" s="10">
        <v>0.5</v>
      </c>
      <c r="BE53" s="10"/>
      <c r="BF53" s="10">
        <v>0.5</v>
      </c>
      <c r="BG53" s="10"/>
      <c r="BH53" s="10">
        <v>0.5</v>
      </c>
      <c r="BL53" s="10"/>
      <c r="BM53" s="10">
        <v>0.5</v>
      </c>
      <c r="BN53" s="10"/>
      <c r="BO53" s="10">
        <v>0.5</v>
      </c>
      <c r="BR53">
        <v>3</v>
      </c>
      <c r="BS53" s="10"/>
      <c r="BT53" s="10">
        <v>0.8</v>
      </c>
      <c r="BU53" s="10"/>
      <c r="BV53" s="10">
        <v>0.8</v>
      </c>
      <c r="BZ53" s="10"/>
      <c r="CA53" s="10">
        <v>0.8</v>
      </c>
      <c r="CB53" s="10"/>
      <c r="CC53" s="10">
        <v>0.8</v>
      </c>
      <c r="CG53" s="10"/>
      <c r="CH53" s="10">
        <v>0.8</v>
      </c>
      <c r="CI53" s="10"/>
      <c r="CJ53" s="10">
        <v>0.8</v>
      </c>
      <c r="CN53" s="10"/>
      <c r="CO53" s="20"/>
      <c r="CP53" s="10"/>
      <c r="CQ53" s="10"/>
      <c r="CU53" s="10"/>
      <c r="CV53" s="10"/>
      <c r="CW53" s="10"/>
      <c r="CX53" s="10"/>
      <c r="DB53" s="10"/>
      <c r="DC53" s="10"/>
      <c r="DD53" s="10"/>
      <c r="DE53" s="10"/>
      <c r="DI53" s="10"/>
      <c r="DJ53" s="10"/>
      <c r="DK53" s="10"/>
      <c r="DL53" s="10"/>
    </row>
    <row r="55" spans="2:116" x14ac:dyDescent="0.2">
      <c r="B55" t="s">
        <v>27</v>
      </c>
      <c r="C55" t="s">
        <v>101</v>
      </c>
      <c r="D55" s="19">
        <v>45126</v>
      </c>
      <c r="E55" s="9">
        <v>5</v>
      </c>
      <c r="G55" s="10">
        <f>+SUM(G56:G60)</f>
        <v>1</v>
      </c>
      <c r="I55" s="12">
        <f>+SUM(I56:I60)</f>
        <v>45</v>
      </c>
      <c r="J55" s="11">
        <f>+SUMPRODUCT(G56:G60,J56:J60)</f>
        <v>0</v>
      </c>
      <c r="K55" s="11">
        <f>+SUMPRODUCT(G56:G60,K56:K60)</f>
        <v>0</v>
      </c>
      <c r="L55" s="9"/>
      <c r="N55" s="12">
        <f>+SUM(N56:N60)</f>
        <v>3</v>
      </c>
      <c r="U55" s="12">
        <f>+SUM(U56:U60)</f>
        <v>3</v>
      </c>
      <c r="AB55" s="12">
        <f>+SUM(AB56:AB60)</f>
        <v>3</v>
      </c>
      <c r="AI55" s="12">
        <f>+SUM(AI56:AI60)</f>
        <v>6</v>
      </c>
      <c r="AP55" s="12">
        <f>+SUM(AP56:AP60)</f>
        <v>3</v>
      </c>
      <c r="AW55" s="9">
        <f>SUM(AW$56:AW$60)</f>
        <v>6</v>
      </c>
      <c r="AX55" s="9"/>
      <c r="AY55" s="9"/>
      <c r="AZ55" s="9"/>
      <c r="BA55" s="9"/>
      <c r="BB55" s="9"/>
      <c r="BC55" s="9"/>
      <c r="BD55" s="9">
        <f t="shared" ref="BD55:CM55" si="8">SUM(BD$56:BD$60)</f>
        <v>3</v>
      </c>
      <c r="BE55" s="9"/>
      <c r="BF55" s="9"/>
      <c r="BG55" s="9"/>
      <c r="BH55" s="9"/>
      <c r="BI55" s="9"/>
      <c r="BJ55" s="9"/>
      <c r="BK55" s="9">
        <f t="shared" si="8"/>
        <v>3</v>
      </c>
      <c r="BL55" s="9"/>
      <c r="BM55" s="9"/>
      <c r="BN55" s="9"/>
      <c r="BO55" s="9"/>
      <c r="BP55" s="9"/>
      <c r="BQ55" s="9"/>
      <c r="BR55" s="9">
        <f t="shared" si="8"/>
        <v>3</v>
      </c>
      <c r="BS55" s="9"/>
      <c r="BT55" s="9"/>
      <c r="BU55" s="9"/>
      <c r="BV55" s="9"/>
      <c r="BW55" s="9"/>
      <c r="BX55" s="9"/>
      <c r="BY55" s="9">
        <f t="shared" si="8"/>
        <v>3</v>
      </c>
      <c r="BZ55" s="9"/>
      <c r="CA55" s="9"/>
      <c r="CB55" s="9"/>
      <c r="CC55" s="9"/>
      <c r="CD55" s="9"/>
      <c r="CE55" s="9"/>
      <c r="CF55" s="9">
        <f t="shared" si="8"/>
        <v>6</v>
      </c>
      <c r="CG55" s="9"/>
      <c r="CH55" s="9"/>
      <c r="CI55" s="9"/>
      <c r="CJ55" s="9"/>
      <c r="CK55" s="9"/>
      <c r="CL55" s="9"/>
      <c r="CM55" s="9">
        <f t="shared" si="8"/>
        <v>3</v>
      </c>
      <c r="CN55" s="9"/>
      <c r="CO55" s="9"/>
      <c r="CP55" s="9"/>
      <c r="CQ55" s="9"/>
    </row>
    <row r="56" spans="2:116" outlineLevel="1" x14ac:dyDescent="0.2">
      <c r="B56" t="s">
        <v>28</v>
      </c>
      <c r="C56" t="s">
        <v>101</v>
      </c>
      <c r="E56" s="9"/>
      <c r="F56" t="s">
        <v>124</v>
      </c>
      <c r="G56" s="10">
        <v>0.2</v>
      </c>
      <c r="I56" s="9">
        <f>+SUMIF($N$3:$ZZ$3,I$3,$N56:$ZZ56)</f>
        <v>9</v>
      </c>
      <c r="J56" s="11" cm="1">
        <f t="array" ref="J56">MAX(IF($N$3:$EH$3=$J$3,N56:EH56))</f>
        <v>0</v>
      </c>
      <c r="K56" s="11" cm="1">
        <f t="array" ref="K56">MAX(IF($N$3:$EH$3=$J$3,N56:EH56))</f>
        <v>0</v>
      </c>
      <c r="L56" s="9"/>
      <c r="N56">
        <v>3</v>
      </c>
      <c r="O56" s="10"/>
      <c r="P56" s="10">
        <v>0.5</v>
      </c>
      <c r="Q56" s="10"/>
      <c r="R56" s="10">
        <v>0.5</v>
      </c>
      <c r="U56">
        <v>0</v>
      </c>
      <c r="V56" s="10"/>
      <c r="W56" s="10">
        <v>0.5</v>
      </c>
      <c r="X56" s="10"/>
      <c r="Y56" s="10">
        <v>0.5</v>
      </c>
      <c r="AB56">
        <v>0</v>
      </c>
      <c r="AC56" s="10"/>
      <c r="AD56" s="10">
        <v>0.5</v>
      </c>
      <c r="AE56" s="10"/>
      <c r="AF56" s="10">
        <v>0.5</v>
      </c>
      <c r="AI56">
        <v>3</v>
      </c>
      <c r="AJ56" s="10"/>
      <c r="AK56" s="10">
        <v>0.8</v>
      </c>
      <c r="AL56" s="10"/>
      <c r="AM56" s="10">
        <v>0.8</v>
      </c>
      <c r="AP56">
        <v>0</v>
      </c>
      <c r="AQ56" s="10"/>
      <c r="AR56" s="10">
        <v>0.8</v>
      </c>
      <c r="AS56" s="10"/>
      <c r="AT56" s="10">
        <v>0.8</v>
      </c>
      <c r="AW56">
        <v>0</v>
      </c>
      <c r="AX56" s="10"/>
      <c r="AY56" s="10">
        <v>0.8</v>
      </c>
      <c r="AZ56" s="10"/>
      <c r="BA56" s="10">
        <v>0.8</v>
      </c>
      <c r="BE56" s="10"/>
      <c r="BF56" s="10">
        <v>0.8</v>
      </c>
      <c r="BG56" s="10"/>
      <c r="BH56" s="10">
        <v>0.8</v>
      </c>
      <c r="BK56">
        <v>3</v>
      </c>
      <c r="BL56" s="10"/>
      <c r="BM56" s="10">
        <v>1</v>
      </c>
      <c r="BN56" s="10"/>
      <c r="BO56" s="10">
        <v>1</v>
      </c>
      <c r="BS56" s="10"/>
      <c r="BT56" s="10">
        <v>1</v>
      </c>
      <c r="BU56" s="10"/>
      <c r="BV56" s="10">
        <v>1</v>
      </c>
      <c r="BZ56" s="10"/>
      <c r="CA56" s="10">
        <v>1</v>
      </c>
      <c r="CB56" s="10"/>
      <c r="CC56" s="10">
        <v>1</v>
      </c>
      <c r="CG56" s="10"/>
      <c r="CH56" s="10">
        <v>1</v>
      </c>
      <c r="CI56" s="10"/>
      <c r="CJ56" s="10">
        <v>1</v>
      </c>
      <c r="CN56" s="10"/>
      <c r="CO56" s="20">
        <v>1</v>
      </c>
      <c r="CP56" s="10"/>
      <c r="CQ56" s="10">
        <v>1</v>
      </c>
      <c r="CU56" s="10"/>
      <c r="CV56" s="10"/>
      <c r="CW56" s="10"/>
      <c r="CX56" s="10"/>
      <c r="DB56" s="10"/>
      <c r="DC56" s="10"/>
      <c r="DD56" s="10"/>
      <c r="DE56" s="10"/>
      <c r="DI56" s="10"/>
      <c r="DJ56" s="10"/>
      <c r="DK56" s="10"/>
      <c r="DL56" s="10"/>
    </row>
    <row r="57" spans="2:116" outlineLevel="1" x14ac:dyDescent="0.2">
      <c r="B57" t="s">
        <v>28</v>
      </c>
      <c r="C57" t="s">
        <v>101</v>
      </c>
      <c r="E57" s="9"/>
      <c r="F57" t="s">
        <v>125</v>
      </c>
      <c r="G57" s="10">
        <v>0.2</v>
      </c>
      <c r="I57" s="9">
        <f>+SUMIF($N$3:$ZZ$3,I$3,$N57:$ZZ57)</f>
        <v>9</v>
      </c>
      <c r="J57" s="11" cm="1">
        <f t="array" ref="J57">MAX(IF($N$3:$EH$3=$J$3,N57:EH57))</f>
        <v>0</v>
      </c>
      <c r="K57" s="11" cm="1">
        <f t="array" ref="K57">MAX(IF($N$3:$EH$3=$J$3,N57:EH57))</f>
        <v>0</v>
      </c>
      <c r="L57" s="9"/>
      <c r="O57" s="10"/>
      <c r="P57" s="10"/>
      <c r="Q57" s="10"/>
      <c r="R57" s="10"/>
      <c r="U57">
        <v>3</v>
      </c>
      <c r="V57" s="10"/>
      <c r="W57" s="10">
        <v>0.5</v>
      </c>
      <c r="X57" s="10"/>
      <c r="Y57" s="10">
        <v>0.5</v>
      </c>
      <c r="AB57">
        <v>0</v>
      </c>
      <c r="AC57" s="10"/>
      <c r="AD57" s="10">
        <v>0.5</v>
      </c>
      <c r="AE57" s="10"/>
      <c r="AF57" s="10">
        <v>0.5</v>
      </c>
      <c r="AI57">
        <v>0</v>
      </c>
      <c r="AJ57" s="10"/>
      <c r="AK57" s="10">
        <v>0.5</v>
      </c>
      <c r="AL57" s="10"/>
      <c r="AM57" s="10">
        <v>0.5</v>
      </c>
      <c r="AP57">
        <v>0</v>
      </c>
      <c r="AQ57" s="10"/>
      <c r="AR57" s="10">
        <v>0.5</v>
      </c>
      <c r="AS57" s="10"/>
      <c r="AT57" s="10">
        <v>0.5</v>
      </c>
      <c r="AW57">
        <v>3</v>
      </c>
      <c r="AX57" s="10"/>
      <c r="AY57" s="10">
        <v>0.8</v>
      </c>
      <c r="AZ57" s="10"/>
      <c r="BA57" s="10">
        <v>0.8</v>
      </c>
      <c r="BE57" s="10"/>
      <c r="BF57" s="10">
        <v>0.8</v>
      </c>
      <c r="BG57" s="10"/>
      <c r="BH57" s="10">
        <v>0.8</v>
      </c>
      <c r="BL57" s="10"/>
      <c r="BM57" s="10">
        <v>0.8</v>
      </c>
      <c r="BN57" s="10"/>
      <c r="BO57" s="10">
        <v>0.8</v>
      </c>
      <c r="BS57" s="10"/>
      <c r="BT57" s="10">
        <v>0.8</v>
      </c>
      <c r="BU57" s="10"/>
      <c r="BV57" s="10">
        <v>0.8</v>
      </c>
      <c r="BY57">
        <v>3</v>
      </c>
      <c r="BZ57" s="10"/>
      <c r="CA57" s="10">
        <v>1</v>
      </c>
      <c r="CB57" s="10"/>
      <c r="CC57" s="10">
        <v>1</v>
      </c>
      <c r="CG57" s="10"/>
      <c r="CH57" s="10">
        <v>1</v>
      </c>
      <c r="CI57" s="10"/>
      <c r="CJ57" s="10">
        <v>1</v>
      </c>
      <c r="CN57" s="10"/>
      <c r="CO57" s="20">
        <v>1</v>
      </c>
      <c r="CP57" s="10"/>
      <c r="CQ57" s="10">
        <v>1</v>
      </c>
      <c r="CU57" s="10"/>
      <c r="CV57" s="10"/>
      <c r="CW57" s="10"/>
      <c r="CX57" s="10"/>
      <c r="DB57" s="10"/>
      <c r="DC57" s="10"/>
      <c r="DD57" s="10"/>
      <c r="DE57" s="10"/>
      <c r="DI57" s="10"/>
      <c r="DJ57" s="10"/>
      <c r="DK57" s="10"/>
      <c r="DL57" s="10"/>
    </row>
    <row r="58" spans="2:116" outlineLevel="1" x14ac:dyDescent="0.2">
      <c r="B58" t="s">
        <v>28</v>
      </c>
      <c r="C58" t="s">
        <v>101</v>
      </c>
      <c r="E58" s="9"/>
      <c r="F58" t="s">
        <v>126</v>
      </c>
      <c r="G58" s="10">
        <v>0.2</v>
      </c>
      <c r="I58" s="9">
        <f>+SUMIF($N$3:$ZZ$3,I$3,$N58:$ZZ58)</f>
        <v>9</v>
      </c>
      <c r="J58" s="11" cm="1">
        <f t="array" ref="J58">MAX(IF($N$3:$EH$3=$J$3,N58:EH58))</f>
        <v>0</v>
      </c>
      <c r="K58" s="11" cm="1">
        <f t="array" ref="K58">MAX(IF($N$3:$EH$3=$J$3,N58:EH58))</f>
        <v>0</v>
      </c>
      <c r="L58" s="9"/>
      <c r="O58" s="10"/>
      <c r="P58" s="10"/>
      <c r="Q58" s="10"/>
      <c r="R58" s="10"/>
      <c r="V58" s="10"/>
      <c r="W58" s="10"/>
      <c r="X58" s="10"/>
      <c r="Y58" s="10"/>
      <c r="AB58">
        <v>3</v>
      </c>
      <c r="AC58" s="10"/>
      <c r="AD58" s="10">
        <v>0.5</v>
      </c>
      <c r="AE58" s="10"/>
      <c r="AF58" s="10">
        <v>0.5</v>
      </c>
      <c r="AI58">
        <v>0</v>
      </c>
      <c r="AJ58" s="10"/>
      <c r="AK58" s="10">
        <v>0.5</v>
      </c>
      <c r="AL58" s="10"/>
      <c r="AM58" s="10">
        <v>0.5</v>
      </c>
      <c r="AP58">
        <v>0</v>
      </c>
      <c r="AQ58" s="10"/>
      <c r="AR58" s="10">
        <v>0.5</v>
      </c>
      <c r="AS58" s="10"/>
      <c r="AT58" s="10">
        <v>0.5</v>
      </c>
      <c r="AW58">
        <v>3</v>
      </c>
      <c r="AX58" s="10"/>
      <c r="AY58" s="10">
        <v>0.8</v>
      </c>
      <c r="AZ58" s="10"/>
      <c r="BA58" s="10">
        <v>0.8</v>
      </c>
      <c r="BE58" s="10"/>
      <c r="BF58" s="10">
        <v>0.8</v>
      </c>
      <c r="BG58" s="10"/>
      <c r="BH58" s="10">
        <v>0.8</v>
      </c>
      <c r="BL58" s="10"/>
      <c r="BM58" s="10">
        <v>0.8</v>
      </c>
      <c r="BN58" s="10"/>
      <c r="BO58" s="10">
        <v>0.8</v>
      </c>
      <c r="BS58" s="10"/>
      <c r="BT58" s="10">
        <v>0.8</v>
      </c>
      <c r="BU58" s="10"/>
      <c r="BV58" s="10">
        <v>0.8</v>
      </c>
      <c r="BZ58" s="10"/>
      <c r="CA58" s="10">
        <v>0.8</v>
      </c>
      <c r="CB58" s="10"/>
      <c r="CC58" s="10">
        <v>0.8</v>
      </c>
      <c r="CF58">
        <v>3</v>
      </c>
      <c r="CG58" s="10"/>
      <c r="CH58" s="10">
        <v>1</v>
      </c>
      <c r="CI58" s="10"/>
      <c r="CJ58" s="10">
        <v>1</v>
      </c>
      <c r="CN58" s="10"/>
      <c r="CO58" s="20">
        <v>1</v>
      </c>
      <c r="CP58" s="10"/>
      <c r="CQ58" s="10">
        <v>1</v>
      </c>
      <c r="CU58" s="10"/>
      <c r="CV58" s="10"/>
      <c r="CW58" s="10"/>
      <c r="CX58" s="10"/>
      <c r="DB58" s="10"/>
      <c r="DC58" s="10"/>
      <c r="DD58" s="10"/>
      <c r="DE58" s="10"/>
      <c r="DI58" s="10"/>
      <c r="DJ58" s="10"/>
      <c r="DK58" s="10"/>
      <c r="DL58" s="10"/>
    </row>
    <row r="59" spans="2:116" outlineLevel="1" x14ac:dyDescent="0.2">
      <c r="B59" t="s">
        <v>28</v>
      </c>
      <c r="C59" t="s">
        <v>101</v>
      </c>
      <c r="E59" s="9"/>
      <c r="F59" t="s">
        <v>145</v>
      </c>
      <c r="G59" s="10">
        <v>0.2</v>
      </c>
      <c r="I59" s="9">
        <f>+SUMIF($N$3:$ZZ$3,I$3,$N59:$ZZ59)</f>
        <v>9</v>
      </c>
      <c r="J59" s="11" cm="1">
        <f t="array" ref="J59">MAX(IF($N$3:$EH$3=$J$3,N59:EH59))</f>
        <v>0</v>
      </c>
      <c r="K59" s="11" cm="1">
        <f t="array" ref="K59">MAX(IF($N$3:$EH$3=$J$3,N59:EH59))</f>
        <v>0</v>
      </c>
      <c r="L59" s="9"/>
      <c r="O59" s="10"/>
      <c r="P59" s="10"/>
      <c r="Q59" s="10"/>
      <c r="R59" s="10"/>
      <c r="V59" s="10"/>
      <c r="W59" s="10"/>
      <c r="X59" s="10"/>
      <c r="Y59" s="10"/>
      <c r="AC59" s="10"/>
      <c r="AD59" s="10"/>
      <c r="AE59" s="10"/>
      <c r="AF59" s="10"/>
      <c r="AI59">
        <v>3</v>
      </c>
      <c r="AJ59" s="10"/>
      <c r="AK59" s="10">
        <v>0.5</v>
      </c>
      <c r="AL59" s="10"/>
      <c r="AM59" s="10">
        <v>0.5</v>
      </c>
      <c r="AP59">
        <v>0</v>
      </c>
      <c r="AQ59" s="10"/>
      <c r="AR59" s="10">
        <v>0.5</v>
      </c>
      <c r="AS59" s="10"/>
      <c r="AT59" s="10">
        <v>0.5</v>
      </c>
      <c r="AW59">
        <v>0</v>
      </c>
      <c r="AX59" s="10"/>
      <c r="AY59" s="10">
        <v>0.5</v>
      </c>
      <c r="AZ59" s="10"/>
      <c r="BA59" s="10">
        <v>0.5</v>
      </c>
      <c r="BD59">
        <v>3</v>
      </c>
      <c r="BE59" s="10"/>
      <c r="BF59" s="10">
        <v>0.8</v>
      </c>
      <c r="BG59" s="10"/>
      <c r="BH59" s="10">
        <v>0.8</v>
      </c>
      <c r="BL59" s="10"/>
      <c r="BM59" s="10">
        <v>0.8</v>
      </c>
      <c r="BN59" s="10"/>
      <c r="BO59" s="10">
        <v>0.8</v>
      </c>
      <c r="BS59" s="10"/>
      <c r="BT59" s="10">
        <v>0.8</v>
      </c>
      <c r="BU59" s="10"/>
      <c r="BV59" s="10">
        <v>0.8</v>
      </c>
      <c r="BZ59" s="10"/>
      <c r="CA59" s="10">
        <v>0.8</v>
      </c>
      <c r="CB59" s="10"/>
      <c r="CC59" s="10">
        <v>0.8</v>
      </c>
      <c r="CF59">
        <v>3</v>
      </c>
      <c r="CG59" s="10"/>
      <c r="CH59" s="10">
        <v>1</v>
      </c>
      <c r="CI59" s="10"/>
      <c r="CJ59" s="10">
        <v>1</v>
      </c>
      <c r="CN59" s="10"/>
      <c r="CO59" s="20">
        <v>1</v>
      </c>
      <c r="CP59" s="10"/>
      <c r="CQ59" s="10">
        <v>1</v>
      </c>
      <c r="CU59" s="10"/>
      <c r="CV59" s="10"/>
      <c r="CW59" s="10"/>
      <c r="CX59" s="10"/>
      <c r="DB59" s="10"/>
      <c r="DC59" s="10"/>
      <c r="DD59" s="10"/>
      <c r="DE59" s="10"/>
      <c r="DI59" s="10"/>
      <c r="DJ59" s="10"/>
      <c r="DK59" s="10"/>
      <c r="DL59" s="10"/>
    </row>
    <row r="60" spans="2:116" outlineLevel="1" x14ac:dyDescent="0.2">
      <c r="B60" t="s">
        <v>28</v>
      </c>
      <c r="C60" t="s">
        <v>101</v>
      </c>
      <c r="E60" s="9"/>
      <c r="F60" t="s">
        <v>146</v>
      </c>
      <c r="G60" s="10">
        <v>0.2</v>
      </c>
      <c r="I60" s="9">
        <f>+SUMIF($N$3:$ZZ$3,I$3,$N60:$ZZ60)</f>
        <v>9</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P60">
        <v>3</v>
      </c>
      <c r="AQ60" s="10"/>
      <c r="AR60" s="10">
        <v>0.5</v>
      </c>
      <c r="AS60" s="10"/>
      <c r="AT60" s="10">
        <v>0.5</v>
      </c>
      <c r="AW60">
        <v>0</v>
      </c>
      <c r="AX60" s="10"/>
      <c r="AY60" s="10">
        <v>0.5</v>
      </c>
      <c r="AZ60" s="10"/>
      <c r="BA60" s="10">
        <v>0.5</v>
      </c>
      <c r="BE60" s="10"/>
      <c r="BF60" s="10">
        <v>0.5</v>
      </c>
      <c r="BG60" s="10"/>
      <c r="BH60" s="10">
        <v>0.5</v>
      </c>
      <c r="BL60" s="10"/>
      <c r="BM60" s="10">
        <v>0.5</v>
      </c>
      <c r="BN60" s="10"/>
      <c r="BO60" s="10">
        <v>0.5</v>
      </c>
      <c r="BR60">
        <v>3</v>
      </c>
      <c r="BS60" s="10"/>
      <c r="BT60" s="10">
        <v>0.8</v>
      </c>
      <c r="BU60" s="10"/>
      <c r="BV60" s="10">
        <v>0.8</v>
      </c>
      <c r="BZ60" s="10"/>
      <c r="CA60" s="10">
        <v>0.8</v>
      </c>
      <c r="CB60" s="10"/>
      <c r="CC60" s="10">
        <v>0.8</v>
      </c>
      <c r="CG60" s="10"/>
      <c r="CH60" s="10">
        <v>0.8</v>
      </c>
      <c r="CI60" s="10"/>
      <c r="CJ60" s="10">
        <v>0.8</v>
      </c>
      <c r="CM60">
        <v>3</v>
      </c>
      <c r="CN60" s="10"/>
      <c r="CO60" s="20">
        <v>1</v>
      </c>
      <c r="CP60" s="10"/>
      <c r="CQ60" s="10">
        <v>1</v>
      </c>
      <c r="CU60" s="10"/>
      <c r="CV60" s="10"/>
      <c r="CW60" s="10"/>
      <c r="CX60" s="10"/>
      <c r="DB60" s="10"/>
      <c r="DC60" s="10"/>
      <c r="DD60" s="10"/>
      <c r="DE60" s="10"/>
      <c r="DI60" s="10"/>
      <c r="DJ60" s="10"/>
      <c r="DK60" s="10"/>
      <c r="DL60" s="10"/>
    </row>
    <row r="61" spans="2:116" outlineLevel="1" x14ac:dyDescent="0.2">
      <c r="E61" s="9"/>
      <c r="G61" s="10"/>
      <c r="I61" s="9"/>
      <c r="J61" s="11"/>
      <c r="K61" s="11"/>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20"/>
      <c r="CP61" s="10"/>
      <c r="CQ61" s="10"/>
      <c r="CU61" s="10"/>
      <c r="CV61" s="10"/>
      <c r="CW61" s="10"/>
      <c r="CX61" s="10"/>
      <c r="DB61" s="10"/>
      <c r="DC61" s="10"/>
      <c r="DD61" s="10"/>
      <c r="DE61" s="10"/>
      <c r="DI61" s="10"/>
      <c r="DJ61" s="10"/>
      <c r="DK61" s="10"/>
      <c r="DL61" s="10"/>
    </row>
    <row r="62" spans="2:116" x14ac:dyDescent="0.2">
      <c r="B62" t="s">
        <v>27</v>
      </c>
      <c r="C62" t="s">
        <v>102</v>
      </c>
      <c r="D62" s="19">
        <v>45125</v>
      </c>
      <c r="E62" s="9">
        <v>5</v>
      </c>
      <c r="G62" s="10">
        <f>+SUM(G63:G76)</f>
        <v>1</v>
      </c>
      <c r="I62" s="12">
        <f>+SUM(I63:I76)</f>
        <v>105</v>
      </c>
      <c r="J62" s="11">
        <f>+SUMPRODUCT(G63:G76,J63:J76)</f>
        <v>0</v>
      </c>
      <c r="K62" s="11">
        <f>+SUMPRODUCT(G63:G76,K63:K76)</f>
        <v>0</v>
      </c>
      <c r="L62" s="9"/>
      <c r="N62" s="12">
        <f>+SUM(N63:N76)</f>
        <v>6</v>
      </c>
      <c r="U62" s="12">
        <f>+SUM(U63:U76)</f>
        <v>6</v>
      </c>
      <c r="AB62" s="12">
        <f>+SUM(AB63:AB76)</f>
        <v>6</v>
      </c>
      <c r="AI62" s="12">
        <f>+SUM(AI63:AI76)</f>
        <v>9</v>
      </c>
      <c r="AP62" s="12">
        <f>+SUM(AP63:AP76)</f>
        <v>12</v>
      </c>
      <c r="AW62" s="9">
        <f>SUM(AW$63:AW$74)</f>
        <v>6</v>
      </c>
      <c r="AX62" s="9"/>
      <c r="AY62" s="9"/>
      <c r="AZ62" s="9"/>
      <c r="BA62" s="9"/>
      <c r="BB62" s="9"/>
      <c r="BC62" s="9"/>
      <c r="BD62" s="9">
        <f>SUM(BD$63:BD$74)</f>
        <v>9</v>
      </c>
      <c r="BE62" s="9"/>
      <c r="BF62" s="9"/>
      <c r="BG62" s="9"/>
      <c r="BH62" s="9"/>
      <c r="BI62" s="9"/>
      <c r="BJ62" s="9"/>
      <c r="BK62" s="9">
        <f>SUM(BK$63:BK$74)</f>
        <v>9</v>
      </c>
      <c r="BL62" s="9"/>
      <c r="BM62" s="9"/>
      <c r="BN62" s="9"/>
      <c r="BO62" s="9"/>
      <c r="BP62" s="9"/>
      <c r="BQ62" s="9"/>
      <c r="BR62" s="9">
        <f t="shared" ref="BR62:CF62" si="9">SUM(BR$63:BR$72)</f>
        <v>9</v>
      </c>
      <c r="BS62" s="9"/>
      <c r="BT62" s="9"/>
      <c r="BU62" s="9"/>
      <c r="BV62" s="9"/>
      <c r="BW62" s="9"/>
      <c r="BX62" s="9"/>
      <c r="BY62" s="9">
        <f>SUM(BY$63:BY$74)</f>
        <v>12</v>
      </c>
      <c r="BZ62" s="9"/>
      <c r="CA62" s="9"/>
      <c r="CB62" s="9"/>
      <c r="CC62" s="9"/>
      <c r="CD62" s="9"/>
      <c r="CE62" s="9"/>
      <c r="CF62" s="9">
        <f t="shared" si="9"/>
        <v>9</v>
      </c>
      <c r="CG62" s="9"/>
      <c r="CH62" s="9"/>
      <c r="CI62" s="9"/>
      <c r="CJ62" s="9"/>
      <c r="CK62" s="9"/>
      <c r="CL62" s="9"/>
      <c r="CM62" s="9">
        <f>SUM(CM$63:CM$74)</f>
        <v>12</v>
      </c>
      <c r="CN62" s="9"/>
      <c r="CO62" s="9"/>
      <c r="CP62" s="9"/>
      <c r="CQ62" s="9"/>
    </row>
    <row r="63" spans="2:116" outlineLevel="1" x14ac:dyDescent="0.2">
      <c r="B63" t="s">
        <v>28</v>
      </c>
      <c r="C63" t="s">
        <v>102</v>
      </c>
      <c r="D63" s="19"/>
      <c r="E63" s="9"/>
      <c r="F63" t="s">
        <v>127</v>
      </c>
      <c r="G63" s="10">
        <v>0.05</v>
      </c>
      <c r="I63" s="9">
        <f t="shared" ref="I63:I74" si="10">+SUMIF($N$3:$ZZ$3,I$3,$N63:$ZZ63)</f>
        <v>9</v>
      </c>
      <c r="J63" s="11" cm="1">
        <f t="array" ref="J63">MAX(IF($N$3:$EH$3=$J$3,N63:EH63))</f>
        <v>0</v>
      </c>
      <c r="K63" s="11" cm="1">
        <f t="array" ref="K63">MAX(IF($N$3:$EH$3=$J$3,N63:EH63))</f>
        <v>0</v>
      </c>
      <c r="L63" s="9"/>
      <c r="N63">
        <v>3</v>
      </c>
      <c r="O63" s="10"/>
      <c r="P63" s="10">
        <v>0.5</v>
      </c>
      <c r="Q63" s="10"/>
      <c r="R63" s="10">
        <v>0.5</v>
      </c>
      <c r="U63">
        <v>0</v>
      </c>
      <c r="V63" s="10"/>
      <c r="W63" s="10">
        <v>0.5</v>
      </c>
      <c r="X63" s="10"/>
      <c r="Y63" s="10">
        <v>0.5</v>
      </c>
      <c r="AB63">
        <v>3</v>
      </c>
      <c r="AC63" s="10"/>
      <c r="AD63" s="10">
        <v>0.8</v>
      </c>
      <c r="AE63" s="10"/>
      <c r="AF63" s="10">
        <v>0.8</v>
      </c>
      <c r="AI63">
        <v>0</v>
      </c>
      <c r="AJ63" s="10"/>
      <c r="AK63" s="10">
        <v>0.8</v>
      </c>
      <c r="AL63" s="10"/>
      <c r="AM63" s="10">
        <v>0.8</v>
      </c>
      <c r="AP63">
        <v>0</v>
      </c>
      <c r="AQ63" s="10"/>
      <c r="AR63" s="10">
        <v>0.8</v>
      </c>
      <c r="AS63" s="10"/>
      <c r="AT63" s="10">
        <v>0.8</v>
      </c>
      <c r="AW63">
        <v>0</v>
      </c>
      <c r="AX63" s="10"/>
      <c r="AY63" s="10">
        <v>0.8</v>
      </c>
      <c r="AZ63" s="10"/>
      <c r="BA63" s="10">
        <v>0.8</v>
      </c>
      <c r="BD63">
        <v>3</v>
      </c>
      <c r="BE63" s="10"/>
      <c r="BF63" s="10">
        <v>1</v>
      </c>
      <c r="BG63" s="10"/>
      <c r="BH63" s="10">
        <v>1</v>
      </c>
      <c r="BL63" s="10"/>
      <c r="BM63" s="10">
        <v>1</v>
      </c>
      <c r="BN63" s="10"/>
      <c r="BO63" s="10">
        <v>1</v>
      </c>
      <c r="BS63" s="10"/>
      <c r="BT63" s="10">
        <v>1</v>
      </c>
      <c r="BU63" s="10"/>
      <c r="BV63" s="10">
        <v>1</v>
      </c>
      <c r="BZ63" s="10"/>
      <c r="CA63" s="10">
        <v>1</v>
      </c>
      <c r="CB63" s="10"/>
      <c r="CC63" s="10">
        <v>1</v>
      </c>
      <c r="CG63" s="10"/>
      <c r="CH63" s="10">
        <v>1</v>
      </c>
      <c r="CI63" s="10"/>
      <c r="CJ63" s="10">
        <v>1</v>
      </c>
      <c r="CN63" s="10"/>
      <c r="CO63" s="20">
        <v>1</v>
      </c>
      <c r="CP63" s="10"/>
      <c r="CQ63" s="10">
        <v>1</v>
      </c>
      <c r="CU63" s="10"/>
      <c r="CV63" s="10"/>
      <c r="CW63" s="10"/>
      <c r="CX63" s="10"/>
      <c r="DB63" s="10"/>
      <c r="DC63" s="10"/>
      <c r="DD63" s="10"/>
      <c r="DE63" s="10"/>
      <c r="DI63" s="10"/>
      <c r="DJ63" s="10"/>
      <c r="DK63" s="10"/>
      <c r="DL63" s="10"/>
    </row>
    <row r="64" spans="2:116" outlineLevel="1" x14ac:dyDescent="0.2">
      <c r="B64" t="s">
        <v>28</v>
      </c>
      <c r="C64" t="s">
        <v>102</v>
      </c>
      <c r="E64" s="9"/>
      <c r="F64" t="s">
        <v>128</v>
      </c>
      <c r="G64" s="10">
        <v>0.1</v>
      </c>
      <c r="I64" s="9">
        <f t="shared" si="10"/>
        <v>9</v>
      </c>
      <c r="J64" s="11" cm="1">
        <f t="array" ref="J64">MAX(IF($N$3:$EH$3=$J$3,N64:EH64))</f>
        <v>0</v>
      </c>
      <c r="K64" s="11" cm="1">
        <f t="array" ref="K64">MAX(IF($N$3:$EH$3=$J$3,N64:EH64))</f>
        <v>0</v>
      </c>
      <c r="L64" s="9"/>
      <c r="N64">
        <v>3</v>
      </c>
      <c r="O64" s="10"/>
      <c r="P64" s="10">
        <v>0.5</v>
      </c>
      <c r="Q64" s="10"/>
      <c r="R64" s="10">
        <v>0.5</v>
      </c>
      <c r="U64">
        <v>0</v>
      </c>
      <c r="V64" s="10"/>
      <c r="W64" s="10">
        <v>0.5</v>
      </c>
      <c r="X64" s="10"/>
      <c r="Y64" s="10">
        <v>0.5</v>
      </c>
      <c r="AB64">
        <v>0</v>
      </c>
      <c r="AC64" s="10"/>
      <c r="AD64" s="10">
        <v>0.5</v>
      </c>
      <c r="AE64" s="10"/>
      <c r="AF64" s="10">
        <v>0.5</v>
      </c>
      <c r="AI64">
        <v>3</v>
      </c>
      <c r="AJ64" s="10"/>
      <c r="AK64" s="10">
        <v>0.8</v>
      </c>
      <c r="AL64" s="10"/>
      <c r="AM64" s="10">
        <v>0.8</v>
      </c>
      <c r="AP64">
        <v>0</v>
      </c>
      <c r="AQ64" s="10"/>
      <c r="AR64" s="10">
        <v>0.8</v>
      </c>
      <c r="AS64" s="10"/>
      <c r="AT64" s="10">
        <v>0.8</v>
      </c>
      <c r="AW64">
        <v>0</v>
      </c>
      <c r="AX64" s="10"/>
      <c r="AY64" s="10">
        <v>0.8</v>
      </c>
      <c r="AZ64" s="10"/>
      <c r="BA64" s="10">
        <v>0.8</v>
      </c>
      <c r="BE64" s="10"/>
      <c r="BF64" s="10">
        <v>0.8</v>
      </c>
      <c r="BG64" s="10"/>
      <c r="BH64" s="10">
        <v>0.8</v>
      </c>
      <c r="BK64">
        <v>3</v>
      </c>
      <c r="BL64" s="10"/>
      <c r="BM64" s="10">
        <v>1</v>
      </c>
      <c r="BN64" s="10"/>
      <c r="BO64" s="10">
        <v>1</v>
      </c>
      <c r="BS64" s="10"/>
      <c r="BT64" s="10">
        <v>1</v>
      </c>
      <c r="BU64" s="10"/>
      <c r="BV64" s="10">
        <v>1</v>
      </c>
      <c r="BZ64" s="10"/>
      <c r="CA64" s="10">
        <v>1</v>
      </c>
      <c r="CB64" s="10"/>
      <c r="CC64" s="10">
        <v>1</v>
      </c>
      <c r="CG64" s="10"/>
      <c r="CH64" s="10">
        <v>1</v>
      </c>
      <c r="CI64" s="10"/>
      <c r="CJ64" s="10">
        <v>1</v>
      </c>
      <c r="CN64" s="10"/>
      <c r="CO64" s="20">
        <v>1</v>
      </c>
      <c r="CP64" s="10"/>
      <c r="CQ64" s="10">
        <v>1</v>
      </c>
      <c r="CU64" s="10"/>
      <c r="CV64" s="10"/>
      <c r="CW64" s="10"/>
      <c r="CX64" s="10"/>
      <c r="DB64" s="10"/>
      <c r="DC64" s="10"/>
      <c r="DD64" s="10"/>
      <c r="DE64" s="10"/>
      <c r="DI64" s="10"/>
      <c r="DJ64" s="10"/>
      <c r="DK64" s="10"/>
      <c r="DL64" s="10"/>
    </row>
    <row r="65" spans="2:116" outlineLevel="1" x14ac:dyDescent="0.2">
      <c r="B65" t="s">
        <v>28</v>
      </c>
      <c r="C65" t="s">
        <v>102</v>
      </c>
      <c r="E65" s="9"/>
      <c r="F65" t="s">
        <v>129</v>
      </c>
      <c r="G65" s="10">
        <v>0.1</v>
      </c>
      <c r="I65" s="9">
        <f t="shared" si="10"/>
        <v>8</v>
      </c>
      <c r="J65" s="11" cm="1">
        <f t="array" ref="J65">MAX(IF($N$3:$EH$3=$J$3,N65:EH65))</f>
        <v>0</v>
      </c>
      <c r="K65" s="11" cm="1">
        <f t="array" ref="K65">MAX(IF($N$3:$EH$3=$J$3,N65:EH65))</f>
        <v>0</v>
      </c>
      <c r="L65" s="9"/>
      <c r="O65" s="10"/>
      <c r="P65" s="10"/>
      <c r="Q65" s="10"/>
      <c r="R65" s="10"/>
      <c r="U65">
        <v>2</v>
      </c>
      <c r="V65" s="10"/>
      <c r="W65" s="10">
        <v>0.5</v>
      </c>
      <c r="X65" s="10"/>
      <c r="Y65" s="10">
        <v>0.5</v>
      </c>
      <c r="AB65">
        <v>0</v>
      </c>
      <c r="AC65" s="10"/>
      <c r="AD65" s="10">
        <v>0.5</v>
      </c>
      <c r="AE65" s="10"/>
      <c r="AF65" s="10">
        <v>0.5</v>
      </c>
      <c r="AI65">
        <v>3</v>
      </c>
      <c r="AJ65" s="10"/>
      <c r="AK65" s="10">
        <v>0.8</v>
      </c>
      <c r="AL65" s="10"/>
      <c r="AM65" s="10">
        <v>0.8</v>
      </c>
      <c r="AP65">
        <v>0</v>
      </c>
      <c r="AQ65" s="10"/>
      <c r="AR65" s="10">
        <v>0.8</v>
      </c>
      <c r="AS65" s="10"/>
      <c r="AT65" s="10">
        <v>0.8</v>
      </c>
      <c r="AW65">
        <v>0</v>
      </c>
      <c r="AX65" s="10"/>
      <c r="AY65" s="10">
        <v>0.8</v>
      </c>
      <c r="AZ65" s="10"/>
      <c r="BA65" s="10">
        <v>0.8</v>
      </c>
      <c r="BE65" s="10"/>
      <c r="BF65" s="10">
        <v>0.8</v>
      </c>
      <c r="BG65" s="10"/>
      <c r="BH65" s="10">
        <v>0.8</v>
      </c>
      <c r="BL65" s="10"/>
      <c r="BM65" s="10">
        <v>0.8</v>
      </c>
      <c r="BN65" s="10"/>
      <c r="BO65" s="10">
        <v>0.8</v>
      </c>
      <c r="BR65">
        <v>3</v>
      </c>
      <c r="BS65" s="10"/>
      <c r="BT65" s="10">
        <v>1</v>
      </c>
      <c r="BU65" s="10"/>
      <c r="BV65" s="10">
        <v>1</v>
      </c>
      <c r="BZ65" s="10"/>
      <c r="CA65" s="10">
        <v>1</v>
      </c>
      <c r="CB65" s="10"/>
      <c r="CC65" s="10">
        <v>1</v>
      </c>
      <c r="CG65" s="10"/>
      <c r="CH65" s="10">
        <v>1</v>
      </c>
      <c r="CI65" s="10"/>
      <c r="CJ65" s="10">
        <v>1</v>
      </c>
      <c r="CN65" s="10"/>
      <c r="CO65" s="20">
        <v>1</v>
      </c>
      <c r="CP65" s="10"/>
      <c r="CQ65" s="10">
        <v>1</v>
      </c>
      <c r="CU65" s="10"/>
      <c r="CV65" s="10"/>
      <c r="CW65" s="10"/>
      <c r="CX65" s="10"/>
      <c r="DB65" s="10"/>
      <c r="DC65" s="10"/>
      <c r="DD65" s="10"/>
      <c r="DE65" s="10"/>
      <c r="DI65" s="10"/>
      <c r="DJ65" s="10"/>
      <c r="DK65" s="10"/>
      <c r="DL65" s="10"/>
    </row>
    <row r="66" spans="2:116" outlineLevel="1" x14ac:dyDescent="0.2">
      <c r="B66" t="s">
        <v>28</v>
      </c>
      <c r="C66" t="s">
        <v>102</v>
      </c>
      <c r="E66" s="9"/>
      <c r="F66" t="s">
        <v>130</v>
      </c>
      <c r="G66" s="10">
        <v>0.05</v>
      </c>
      <c r="I66" s="9">
        <f t="shared" si="10"/>
        <v>8</v>
      </c>
      <c r="J66" s="11" cm="1">
        <f t="array" ref="J66">MAX(IF($N$3:$EH$3=$J$3,N66:EH66))</f>
        <v>0</v>
      </c>
      <c r="K66" s="11" cm="1">
        <f t="array" ref="K66">MAX(IF($N$3:$EH$3=$J$3,N66:EH66))</f>
        <v>0</v>
      </c>
      <c r="L66" s="9"/>
      <c r="O66" s="10"/>
      <c r="P66" s="10"/>
      <c r="Q66" s="10"/>
      <c r="R66" s="10"/>
      <c r="U66">
        <v>2</v>
      </c>
      <c r="V66" s="10"/>
      <c r="W66" s="10">
        <v>0.5</v>
      </c>
      <c r="X66" s="10"/>
      <c r="Y66" s="10">
        <v>0.5</v>
      </c>
      <c r="AB66">
        <v>0</v>
      </c>
      <c r="AC66" s="10"/>
      <c r="AD66" s="10">
        <v>0.5</v>
      </c>
      <c r="AE66" s="10"/>
      <c r="AF66" s="10">
        <v>0.5</v>
      </c>
      <c r="AI66">
        <v>0</v>
      </c>
      <c r="AJ66" s="10"/>
      <c r="AK66" s="10">
        <v>0.5</v>
      </c>
      <c r="AL66" s="10"/>
      <c r="AM66" s="10">
        <v>0.5</v>
      </c>
      <c r="AP66">
        <v>3</v>
      </c>
      <c r="AQ66" s="10"/>
      <c r="AR66" s="10">
        <v>0.8</v>
      </c>
      <c r="AS66" s="10"/>
      <c r="AT66" s="10">
        <v>0.8</v>
      </c>
      <c r="AW66">
        <v>0</v>
      </c>
      <c r="AX66" s="10"/>
      <c r="AY66" s="10">
        <v>0.8</v>
      </c>
      <c r="AZ66" s="10"/>
      <c r="BA66" s="10">
        <v>0.8</v>
      </c>
      <c r="BE66" s="10"/>
      <c r="BF66" s="10">
        <v>0.8</v>
      </c>
      <c r="BG66" s="10"/>
      <c r="BH66" s="10">
        <v>0.8</v>
      </c>
      <c r="BL66" s="10"/>
      <c r="BM66" s="10">
        <v>0.8</v>
      </c>
      <c r="BN66" s="10"/>
      <c r="BO66" s="10">
        <v>0.8</v>
      </c>
      <c r="BR66">
        <v>3</v>
      </c>
      <c r="BS66" s="10"/>
      <c r="BT66" s="10">
        <v>1</v>
      </c>
      <c r="BU66" s="10"/>
      <c r="BV66" s="10">
        <v>1</v>
      </c>
      <c r="BZ66" s="10"/>
      <c r="CA66" s="10">
        <v>1</v>
      </c>
      <c r="CB66" s="10"/>
      <c r="CC66" s="10">
        <v>1</v>
      </c>
      <c r="CG66" s="10"/>
      <c r="CH66" s="10">
        <v>1</v>
      </c>
      <c r="CI66" s="10"/>
      <c r="CJ66" s="10">
        <v>1</v>
      </c>
      <c r="CN66" s="10"/>
      <c r="CO66" s="20">
        <v>1</v>
      </c>
      <c r="CP66" s="10"/>
      <c r="CQ66" s="10">
        <v>1</v>
      </c>
      <c r="CU66" s="10"/>
      <c r="CV66" s="10"/>
      <c r="CW66" s="10"/>
      <c r="CX66" s="10"/>
      <c r="DB66" s="10"/>
      <c r="DC66" s="10"/>
      <c r="DD66" s="10"/>
      <c r="DE66" s="10"/>
      <c r="DI66" s="10"/>
      <c r="DJ66" s="10"/>
      <c r="DK66" s="10"/>
      <c r="DL66" s="10"/>
    </row>
    <row r="67" spans="2:116" outlineLevel="1" x14ac:dyDescent="0.2">
      <c r="B67" t="s">
        <v>28</v>
      </c>
      <c r="C67" t="s">
        <v>102</v>
      </c>
      <c r="E67" s="9"/>
      <c r="F67" t="s">
        <v>131</v>
      </c>
      <c r="G67" s="10">
        <v>0.1</v>
      </c>
      <c r="I67" s="9">
        <f t="shared" si="10"/>
        <v>8</v>
      </c>
      <c r="J67" s="11" cm="1">
        <f t="array" ref="J67">MAX(IF($N$3:$EH$3=$J$3,N67:EH67))</f>
        <v>0</v>
      </c>
      <c r="K67" s="11" cm="1">
        <f t="array" ref="K67">MAX(IF($N$3:$EH$3=$J$3,N67:EH67))</f>
        <v>0</v>
      </c>
      <c r="L67" s="9"/>
      <c r="O67" s="10"/>
      <c r="P67" s="10"/>
      <c r="Q67" s="10"/>
      <c r="R67" s="10"/>
      <c r="U67">
        <v>2</v>
      </c>
      <c r="V67" s="10"/>
      <c r="W67" s="10">
        <v>0.5</v>
      </c>
      <c r="X67" s="10"/>
      <c r="Y67" s="10">
        <v>0.5</v>
      </c>
      <c r="AB67">
        <v>0</v>
      </c>
      <c r="AC67" s="10"/>
      <c r="AD67" s="10">
        <v>0.5</v>
      </c>
      <c r="AE67" s="10"/>
      <c r="AF67" s="10">
        <v>0.5</v>
      </c>
      <c r="AI67">
        <v>0</v>
      </c>
      <c r="AJ67" s="10"/>
      <c r="AK67" s="10">
        <v>0.5</v>
      </c>
      <c r="AL67" s="10"/>
      <c r="AM67" s="10">
        <v>0.5</v>
      </c>
      <c r="AP67">
        <v>3</v>
      </c>
      <c r="AQ67" s="10"/>
      <c r="AR67" s="10">
        <v>0.8</v>
      </c>
      <c r="AS67" s="10"/>
      <c r="AT67" s="10">
        <v>0.8</v>
      </c>
      <c r="AW67">
        <v>0</v>
      </c>
      <c r="AX67" s="10"/>
      <c r="AY67" s="10">
        <v>0.8</v>
      </c>
      <c r="AZ67" s="10"/>
      <c r="BA67" s="10">
        <v>0.8</v>
      </c>
      <c r="BE67" s="10"/>
      <c r="BF67" s="10">
        <v>0.8</v>
      </c>
      <c r="BG67" s="10"/>
      <c r="BH67" s="10">
        <v>0.8</v>
      </c>
      <c r="BL67" s="10"/>
      <c r="BM67" s="10">
        <v>0.8</v>
      </c>
      <c r="BN67" s="10"/>
      <c r="BO67" s="10">
        <v>0.8</v>
      </c>
      <c r="BS67" s="10"/>
      <c r="BT67" s="10">
        <v>0.8</v>
      </c>
      <c r="BU67" s="10"/>
      <c r="BV67" s="10">
        <v>0.8</v>
      </c>
      <c r="BY67">
        <v>3</v>
      </c>
      <c r="BZ67" s="10"/>
      <c r="CA67" s="10">
        <v>1</v>
      </c>
      <c r="CB67" s="10"/>
      <c r="CC67" s="10">
        <v>1</v>
      </c>
      <c r="CG67" s="10"/>
      <c r="CH67" s="10">
        <v>1</v>
      </c>
      <c r="CI67" s="10"/>
      <c r="CJ67" s="10">
        <v>1</v>
      </c>
      <c r="CN67" s="10"/>
      <c r="CO67" s="20">
        <v>1</v>
      </c>
      <c r="CP67" s="10"/>
      <c r="CQ67" s="10">
        <v>1</v>
      </c>
      <c r="CU67" s="10"/>
      <c r="CV67" s="10"/>
      <c r="CW67" s="10"/>
      <c r="CX67" s="10"/>
      <c r="DB67" s="10"/>
      <c r="DC67" s="10"/>
      <c r="DD67" s="10"/>
      <c r="DE67" s="10"/>
      <c r="DI67" s="10"/>
      <c r="DJ67" s="10"/>
      <c r="DK67" s="10"/>
      <c r="DL67" s="10"/>
    </row>
    <row r="68" spans="2:116" outlineLevel="1" x14ac:dyDescent="0.2">
      <c r="B68" t="s">
        <v>28</v>
      </c>
      <c r="C68" t="s">
        <v>102</v>
      </c>
      <c r="E68" s="9"/>
      <c r="F68" t="s">
        <v>132</v>
      </c>
      <c r="G68" s="10">
        <v>0.05</v>
      </c>
      <c r="I68" s="9">
        <f t="shared" si="10"/>
        <v>9</v>
      </c>
      <c r="J68" s="11" cm="1">
        <f t="array" ref="J68">MAX(IF($N$3:$EH$3=$J$3,N68:EH68))</f>
        <v>0</v>
      </c>
      <c r="K68" s="11" cm="1">
        <f t="array" ref="K68">MAX(IF($N$3:$EH$3=$J$3,N68:EH68))</f>
        <v>0</v>
      </c>
      <c r="L68" s="9"/>
      <c r="O68" s="10"/>
      <c r="P68" s="10"/>
      <c r="Q68" s="10"/>
      <c r="R68" s="10"/>
      <c r="V68" s="10"/>
      <c r="W68" s="10"/>
      <c r="X68" s="10"/>
      <c r="Y68" s="10"/>
      <c r="AB68">
        <v>3</v>
      </c>
      <c r="AC68" s="10"/>
      <c r="AD68" s="10">
        <v>0.5</v>
      </c>
      <c r="AE68" s="10"/>
      <c r="AF68" s="10">
        <v>0.5</v>
      </c>
      <c r="AI68">
        <v>0</v>
      </c>
      <c r="AJ68" s="10"/>
      <c r="AK68" s="10">
        <v>0.5</v>
      </c>
      <c r="AL68" s="10"/>
      <c r="AM68" s="10">
        <v>0.5</v>
      </c>
      <c r="AP68">
        <v>0</v>
      </c>
      <c r="AQ68" s="10"/>
      <c r="AR68" s="10">
        <v>0.5</v>
      </c>
      <c r="AS68" s="10"/>
      <c r="AT68" s="10">
        <v>0.5</v>
      </c>
      <c r="AW68">
        <v>3</v>
      </c>
      <c r="AX68" s="10"/>
      <c r="AY68" s="10">
        <v>0.8</v>
      </c>
      <c r="AZ68" s="10"/>
      <c r="BA68" s="10">
        <v>0.8</v>
      </c>
      <c r="BE68" s="10"/>
      <c r="BF68" s="10">
        <v>0.8</v>
      </c>
      <c r="BG68" s="10"/>
      <c r="BH68" s="10">
        <v>0.8</v>
      </c>
      <c r="BL68" s="10"/>
      <c r="BM68" s="10">
        <v>0.8</v>
      </c>
      <c r="BN68" s="10"/>
      <c r="BO68" s="10">
        <v>0.8</v>
      </c>
      <c r="BS68" s="10"/>
      <c r="BT68" s="10">
        <v>0.8</v>
      </c>
      <c r="BU68" s="10"/>
      <c r="BV68" s="10">
        <v>0.8</v>
      </c>
      <c r="BY68">
        <v>3</v>
      </c>
      <c r="BZ68" s="10"/>
      <c r="CA68" s="10">
        <v>1</v>
      </c>
      <c r="CB68" s="10"/>
      <c r="CC68" s="10">
        <v>1</v>
      </c>
      <c r="CG68" s="10"/>
      <c r="CH68" s="10">
        <v>1</v>
      </c>
      <c r="CI68" s="10"/>
      <c r="CJ68" s="10">
        <v>1</v>
      </c>
      <c r="CN68" s="10"/>
      <c r="CO68" s="20">
        <v>1</v>
      </c>
      <c r="CP68" s="10"/>
      <c r="CQ68" s="10">
        <v>1</v>
      </c>
      <c r="CU68" s="10"/>
      <c r="CV68" s="10"/>
      <c r="CW68" s="10"/>
      <c r="CX68" s="10"/>
      <c r="DB68" s="10"/>
      <c r="DC68" s="10"/>
      <c r="DD68" s="10"/>
      <c r="DE68" s="10"/>
      <c r="DI68" s="10"/>
      <c r="DJ68" s="10"/>
      <c r="DK68" s="10"/>
      <c r="DL68" s="10"/>
    </row>
    <row r="69" spans="2:116" outlineLevel="1" x14ac:dyDescent="0.2">
      <c r="B69" t="s">
        <v>28</v>
      </c>
      <c r="C69" t="s">
        <v>102</v>
      </c>
      <c r="E69" s="9"/>
      <c r="F69" t="s">
        <v>133</v>
      </c>
      <c r="G69" s="10">
        <v>0.1</v>
      </c>
      <c r="I69" s="9">
        <f t="shared" si="10"/>
        <v>9</v>
      </c>
      <c r="J69" s="11" cm="1">
        <f t="array" ref="J69">MAX(IF($N$3:$EH$3=$J$3,N69:EH69))</f>
        <v>0</v>
      </c>
      <c r="K69" s="11" cm="1">
        <f t="array" ref="K69">MAX(IF($N$3:$EH$3=$J$3,N69:EH69))</f>
        <v>0</v>
      </c>
      <c r="L69" s="9"/>
      <c r="O69" s="10"/>
      <c r="P69" s="10"/>
      <c r="Q69" s="10"/>
      <c r="R69" s="10"/>
      <c r="V69" s="10"/>
      <c r="W69" s="10"/>
      <c r="X69" s="10"/>
      <c r="Y69" s="10"/>
      <c r="AC69" s="10"/>
      <c r="AD69" s="10"/>
      <c r="AE69" s="10"/>
      <c r="AF69" s="10"/>
      <c r="AI69">
        <v>3</v>
      </c>
      <c r="AJ69" s="10"/>
      <c r="AK69" s="10">
        <v>0.5</v>
      </c>
      <c r="AL69" s="10"/>
      <c r="AM69" s="10">
        <v>0.5</v>
      </c>
      <c r="AP69">
        <v>0</v>
      </c>
      <c r="AQ69" s="10"/>
      <c r="AR69" s="10">
        <v>0.5</v>
      </c>
      <c r="AS69" s="10"/>
      <c r="AT69" s="10">
        <v>0.5</v>
      </c>
      <c r="AW69">
        <v>0</v>
      </c>
      <c r="AX69" s="10"/>
      <c r="AY69" s="10">
        <v>0.5</v>
      </c>
      <c r="AZ69" s="10"/>
      <c r="BA69" s="10">
        <v>0.5</v>
      </c>
      <c r="BD69">
        <v>3</v>
      </c>
      <c r="BE69" s="10"/>
      <c r="BF69" s="10">
        <v>0.8</v>
      </c>
      <c r="BG69" s="10"/>
      <c r="BH69" s="10">
        <v>0.8</v>
      </c>
      <c r="BL69" s="10"/>
      <c r="BM69" s="10">
        <v>0.8</v>
      </c>
      <c r="BN69" s="10"/>
      <c r="BO69" s="10">
        <v>0.8</v>
      </c>
      <c r="BS69" s="10"/>
      <c r="BT69" s="10">
        <v>0.8</v>
      </c>
      <c r="BU69" s="10"/>
      <c r="BV69" s="10">
        <v>0.8</v>
      </c>
      <c r="BZ69" s="10"/>
      <c r="CA69" s="10">
        <v>0.8</v>
      </c>
      <c r="CB69" s="10"/>
      <c r="CC69" s="10">
        <v>0.8</v>
      </c>
      <c r="CF69">
        <v>3</v>
      </c>
      <c r="CG69" s="10"/>
      <c r="CH69" s="10">
        <v>1</v>
      </c>
      <c r="CI69" s="10"/>
      <c r="CJ69" s="10">
        <v>1</v>
      </c>
      <c r="CN69" s="10"/>
      <c r="CO69" s="20">
        <v>1</v>
      </c>
      <c r="CP69" s="10"/>
      <c r="CQ69" s="10">
        <v>1</v>
      </c>
      <c r="CU69" s="10"/>
      <c r="CV69" s="10"/>
      <c r="CW69" s="10"/>
      <c r="CX69" s="10"/>
      <c r="DB69" s="10"/>
      <c r="DC69" s="10"/>
      <c r="DD69" s="10"/>
      <c r="DE69" s="10"/>
      <c r="DI69" s="10"/>
      <c r="DJ69" s="10"/>
      <c r="DK69" s="10"/>
      <c r="DL69" s="10"/>
    </row>
    <row r="70" spans="2:116" outlineLevel="1" x14ac:dyDescent="0.2">
      <c r="B70" t="s">
        <v>28</v>
      </c>
      <c r="C70" t="s">
        <v>102</v>
      </c>
      <c r="E70" s="9"/>
      <c r="F70" t="s">
        <v>134</v>
      </c>
      <c r="G70" s="10">
        <v>0.05</v>
      </c>
      <c r="I70" s="9">
        <f t="shared" si="10"/>
        <v>9</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P70">
        <v>3</v>
      </c>
      <c r="AQ70" s="10"/>
      <c r="AR70" s="10">
        <v>0.5</v>
      </c>
      <c r="AS70" s="10"/>
      <c r="AT70" s="10">
        <v>0.5</v>
      </c>
      <c r="AW70">
        <v>0</v>
      </c>
      <c r="AX70" s="10"/>
      <c r="AY70" s="10">
        <v>0.5</v>
      </c>
      <c r="AZ70" s="10"/>
      <c r="BA70" s="10">
        <v>0.5</v>
      </c>
      <c r="BE70" s="10"/>
      <c r="BF70" s="10">
        <v>0.5</v>
      </c>
      <c r="BG70" s="10"/>
      <c r="BH70" s="10">
        <v>0.5</v>
      </c>
      <c r="BK70">
        <v>3</v>
      </c>
      <c r="BL70" s="10"/>
      <c r="BM70" s="10">
        <v>0.8</v>
      </c>
      <c r="BN70" s="10"/>
      <c r="BO70" s="10">
        <v>0.8</v>
      </c>
      <c r="BS70" s="10"/>
      <c r="BT70" s="10">
        <v>0.8</v>
      </c>
      <c r="BU70" s="10"/>
      <c r="BV70" s="10">
        <v>0.8</v>
      </c>
      <c r="BZ70" s="10"/>
      <c r="CA70" s="10">
        <v>0.8</v>
      </c>
      <c r="CB70" s="10"/>
      <c r="CC70" s="10">
        <v>0.8</v>
      </c>
      <c r="CF70">
        <v>3</v>
      </c>
      <c r="CG70" s="10"/>
      <c r="CH70" s="10">
        <v>1</v>
      </c>
      <c r="CI70" s="10"/>
      <c r="CJ70" s="10">
        <v>1</v>
      </c>
      <c r="CN70" s="10"/>
      <c r="CO70" s="20">
        <v>1</v>
      </c>
      <c r="CP70" s="10"/>
      <c r="CQ70" s="10">
        <v>1</v>
      </c>
      <c r="CU70" s="10"/>
      <c r="CV70" s="10"/>
      <c r="CW70" s="10"/>
      <c r="CX70" s="10"/>
      <c r="DB70" s="10"/>
      <c r="DC70" s="10"/>
      <c r="DD70" s="10"/>
      <c r="DE70" s="10"/>
      <c r="DI70" s="10"/>
      <c r="DJ70" s="10"/>
      <c r="DK70" s="10"/>
      <c r="DL70" s="10"/>
    </row>
    <row r="71" spans="2:116" outlineLevel="1" x14ac:dyDescent="0.2">
      <c r="B71" t="s">
        <v>28</v>
      </c>
      <c r="C71" t="s">
        <v>102</v>
      </c>
      <c r="E71" s="9"/>
      <c r="F71" t="s">
        <v>135</v>
      </c>
      <c r="G71" s="10">
        <v>0.1</v>
      </c>
      <c r="I71" s="9">
        <f t="shared" si="10"/>
        <v>9</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P71">
        <v>3</v>
      </c>
      <c r="AQ71" s="10"/>
      <c r="AR71" s="10">
        <v>0.5</v>
      </c>
      <c r="AS71" s="10"/>
      <c r="AT71" s="10">
        <v>0.5</v>
      </c>
      <c r="AW71">
        <v>0</v>
      </c>
      <c r="AX71" s="10"/>
      <c r="AY71" s="10">
        <v>0.5</v>
      </c>
      <c r="AZ71" s="10"/>
      <c r="BA71" s="10">
        <v>0.5</v>
      </c>
      <c r="BE71" s="10"/>
      <c r="BF71" s="10">
        <v>0.5</v>
      </c>
      <c r="BG71" s="10"/>
      <c r="BH71" s="10">
        <v>0.5</v>
      </c>
      <c r="BL71" s="10"/>
      <c r="BM71" s="10">
        <v>0.5</v>
      </c>
      <c r="BN71" s="10"/>
      <c r="BO71" s="10">
        <v>0.5</v>
      </c>
      <c r="BR71">
        <v>3</v>
      </c>
      <c r="BS71" s="10"/>
      <c r="BT71" s="10">
        <v>0.8</v>
      </c>
      <c r="BU71" s="10"/>
      <c r="BV71" s="10">
        <v>0.8</v>
      </c>
      <c r="BZ71" s="10"/>
      <c r="CA71" s="10">
        <v>0.8</v>
      </c>
      <c r="CB71" s="10"/>
      <c r="CC71" s="10">
        <v>0.8</v>
      </c>
      <c r="CF71">
        <v>3</v>
      </c>
      <c r="CG71" s="10"/>
      <c r="CH71" s="10">
        <v>1</v>
      </c>
      <c r="CI71" s="10"/>
      <c r="CJ71" s="10">
        <v>1</v>
      </c>
      <c r="CN71" s="10"/>
      <c r="CO71" s="20">
        <v>1</v>
      </c>
      <c r="CP71" s="10"/>
      <c r="CQ71" s="10">
        <v>1</v>
      </c>
      <c r="CU71" s="10"/>
      <c r="CV71" s="10"/>
      <c r="CW71" s="10"/>
      <c r="CX71" s="10"/>
      <c r="DB71" s="10"/>
      <c r="DC71" s="10"/>
      <c r="DD71" s="10"/>
      <c r="DE71" s="10"/>
      <c r="DI71" s="10"/>
      <c r="DJ71" s="10"/>
      <c r="DK71" s="10"/>
      <c r="DL71" s="10"/>
    </row>
    <row r="72" spans="2:116" ht="16" customHeight="1" outlineLevel="1" x14ac:dyDescent="0.2">
      <c r="B72" t="s">
        <v>28</v>
      </c>
      <c r="C72" t="s">
        <v>102</v>
      </c>
      <c r="E72" s="9"/>
      <c r="F72" s="1" t="s">
        <v>136</v>
      </c>
      <c r="G72" s="10">
        <v>0.1</v>
      </c>
      <c r="I72" s="9">
        <f t="shared" si="10"/>
        <v>9</v>
      </c>
      <c r="J72" s="11" cm="1">
        <f t="array" ref="J72">MAX(IF($N$3:$EH$3=$J$3,N72:EH72))</f>
        <v>0</v>
      </c>
      <c r="K72" s="11" cm="1">
        <f t="array" ref="K72">MAX(IF($N$3:$EH$3=$J$3,N72:EH72))</f>
        <v>0</v>
      </c>
      <c r="L72" s="9"/>
      <c r="O72" s="10"/>
      <c r="P72" s="10"/>
      <c r="Q72" s="10"/>
      <c r="R72" s="10"/>
      <c r="V72" s="10"/>
      <c r="W72" s="10"/>
      <c r="X72" s="10"/>
      <c r="Y72" s="10"/>
      <c r="AC72" s="10"/>
      <c r="AD72" s="10"/>
      <c r="AE72" s="10"/>
      <c r="AF72" s="10"/>
      <c r="AJ72" s="10"/>
      <c r="AK72" s="10"/>
      <c r="AL72" s="10"/>
      <c r="AM72" s="10"/>
      <c r="AQ72" s="10"/>
      <c r="AR72" s="10"/>
      <c r="AS72" s="10"/>
      <c r="AT72" s="10"/>
      <c r="AW72">
        <v>3</v>
      </c>
      <c r="AX72" s="10"/>
      <c r="AY72" s="10">
        <v>0.5</v>
      </c>
      <c r="AZ72" s="10"/>
      <c r="BA72" s="10">
        <v>0.5</v>
      </c>
      <c r="BE72" s="10"/>
      <c r="BF72" s="10">
        <v>0.5</v>
      </c>
      <c r="BG72" s="10"/>
      <c r="BH72" s="10">
        <v>0.5</v>
      </c>
      <c r="BL72" s="10"/>
      <c r="BM72" s="10">
        <v>0.5</v>
      </c>
      <c r="BN72" s="10"/>
      <c r="BO72" s="10">
        <v>0.5</v>
      </c>
      <c r="BS72" s="10"/>
      <c r="BT72" s="10">
        <v>0.5</v>
      </c>
      <c r="BU72" s="10"/>
      <c r="BV72" s="10">
        <v>0.5</v>
      </c>
      <c r="BY72">
        <v>3</v>
      </c>
      <c r="BZ72" s="10"/>
      <c r="CA72" s="10">
        <v>0.8</v>
      </c>
      <c r="CB72" s="10"/>
      <c r="CC72" s="10">
        <v>0.8</v>
      </c>
      <c r="CG72" s="10"/>
      <c r="CH72" s="10">
        <v>0.8</v>
      </c>
      <c r="CI72" s="10"/>
      <c r="CJ72" s="10">
        <v>0.8</v>
      </c>
      <c r="CM72">
        <v>3</v>
      </c>
      <c r="CN72" s="10"/>
      <c r="CO72" s="20">
        <v>1</v>
      </c>
      <c r="CP72" s="10"/>
      <c r="CQ72" s="10">
        <v>1</v>
      </c>
      <c r="CU72" s="10"/>
      <c r="CV72" s="10"/>
      <c r="CW72" s="10"/>
      <c r="CX72" s="10"/>
      <c r="DB72" s="10"/>
      <c r="DC72" s="10"/>
      <c r="DD72" s="10"/>
      <c r="DE72" s="10"/>
      <c r="DI72" s="10"/>
      <c r="DJ72" s="10"/>
      <c r="DK72" s="10"/>
      <c r="DL72" s="10"/>
    </row>
    <row r="73" spans="2:116" outlineLevel="1" x14ac:dyDescent="0.2">
      <c r="B73" t="s">
        <v>28</v>
      </c>
      <c r="C73" t="s">
        <v>102</v>
      </c>
      <c r="E73" s="9"/>
      <c r="F73" t="s">
        <v>137</v>
      </c>
      <c r="G73" s="10">
        <v>0.1</v>
      </c>
      <c r="I73" s="9">
        <f t="shared" si="10"/>
        <v>9</v>
      </c>
      <c r="J73" s="11" cm="1">
        <f t="array" ref="J73">MAX(IF($N$3:$EH$3=$J$3,N73:EH73))</f>
        <v>0</v>
      </c>
      <c r="K73" s="11" cm="1">
        <f t="array" ref="K73">MAX(IF($N$3:$EH$3=$J$3,N73:EH73))</f>
        <v>0</v>
      </c>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D73">
        <v>3</v>
      </c>
      <c r="BE73" s="10"/>
      <c r="BF73" s="10">
        <v>0.5</v>
      </c>
      <c r="BG73" s="10"/>
      <c r="BH73" s="10">
        <v>0.5</v>
      </c>
      <c r="BL73" s="10"/>
      <c r="BM73" s="10">
        <v>0.5</v>
      </c>
      <c r="BN73" s="10"/>
      <c r="BO73" s="10">
        <v>0.5</v>
      </c>
      <c r="BS73" s="10"/>
      <c r="BT73" s="10">
        <v>0.5</v>
      </c>
      <c r="BU73" s="10"/>
      <c r="BV73" s="10">
        <v>0.5</v>
      </c>
      <c r="BY73">
        <v>3</v>
      </c>
      <c r="BZ73" s="10"/>
      <c r="CA73" s="10">
        <v>0.8</v>
      </c>
      <c r="CB73" s="10"/>
      <c r="CC73" s="10">
        <v>0.8</v>
      </c>
      <c r="CG73" s="10"/>
      <c r="CH73" s="10">
        <v>0.8</v>
      </c>
      <c r="CI73" s="10"/>
      <c r="CJ73" s="10">
        <v>0.8</v>
      </c>
      <c r="CM73">
        <v>3</v>
      </c>
      <c r="CN73" s="10"/>
      <c r="CO73" s="20">
        <v>1</v>
      </c>
      <c r="CP73" s="10"/>
      <c r="CQ73" s="10">
        <v>1</v>
      </c>
      <c r="CU73" s="10"/>
      <c r="CV73" s="10"/>
      <c r="CW73" s="10"/>
      <c r="CX73" s="10"/>
      <c r="DB73" s="10"/>
      <c r="DC73" s="10"/>
      <c r="DD73" s="10"/>
      <c r="DE73" s="10"/>
      <c r="DI73" s="10"/>
      <c r="DJ73" s="10"/>
      <c r="DK73" s="10"/>
      <c r="DL73" s="10"/>
    </row>
    <row r="74" spans="2:116" outlineLevel="1" x14ac:dyDescent="0.2">
      <c r="B74" t="s">
        <v>28</v>
      </c>
      <c r="C74" t="s">
        <v>102</v>
      </c>
      <c r="E74" s="9"/>
      <c r="F74" t="s">
        <v>138</v>
      </c>
      <c r="G74" s="10">
        <v>0.1</v>
      </c>
      <c r="I74" s="9">
        <f t="shared" si="10"/>
        <v>9</v>
      </c>
      <c r="J74" s="11" cm="1">
        <f t="array" ref="J74">MAX(IF($N$3:$EH$3=$J$3,N74:EH74))</f>
        <v>0</v>
      </c>
      <c r="K74" s="11" cm="1">
        <f t="array" ref="K74">MAX(IF($N$3:$EH$3=$J$3,N74:EH74))</f>
        <v>0</v>
      </c>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K74">
        <v>3</v>
      </c>
      <c r="BL74" s="10"/>
      <c r="BM74" s="10">
        <v>0.5</v>
      </c>
      <c r="BN74" s="10"/>
      <c r="BO74" s="10">
        <v>0.5</v>
      </c>
      <c r="BS74" s="10"/>
      <c r="BT74" s="10">
        <v>0.5</v>
      </c>
      <c r="BU74" s="10"/>
      <c r="BV74" s="10">
        <v>0.5</v>
      </c>
      <c r="BZ74" s="10"/>
      <c r="CA74" s="10">
        <v>0.5</v>
      </c>
      <c r="CB74" s="10"/>
      <c r="CC74" s="10">
        <v>0.5</v>
      </c>
      <c r="CG74" s="10"/>
      <c r="CH74" s="10">
        <v>0.5</v>
      </c>
      <c r="CI74" s="10"/>
      <c r="CJ74" s="10">
        <v>0.5</v>
      </c>
      <c r="CM74">
        <v>6</v>
      </c>
      <c r="CN74" s="10"/>
      <c r="CO74" s="20">
        <v>0.8</v>
      </c>
      <c r="CP74" s="10"/>
      <c r="CQ74" s="10">
        <v>0.8</v>
      </c>
      <c r="CU74" s="10"/>
      <c r="CV74" s="10"/>
      <c r="CW74" s="10"/>
      <c r="CX74" s="10"/>
      <c r="DB74" s="10"/>
      <c r="DC74" s="10"/>
      <c r="DD74" s="10"/>
      <c r="DE74" s="10"/>
      <c r="DI74" s="10"/>
      <c r="DJ74" s="10"/>
      <c r="DK74" s="10"/>
      <c r="DL74" s="10"/>
    </row>
    <row r="75" spans="2:116" ht="16" hidden="1" customHeight="1" x14ac:dyDescent="0.2">
      <c r="B75" s="10"/>
      <c r="C75" s="10"/>
      <c r="D75" s="10"/>
      <c r="H75" s="10"/>
      <c r="I75" s="10"/>
      <c r="J75" s="10"/>
      <c r="K75" s="10"/>
      <c r="M75" s="10"/>
      <c r="O75" s="10"/>
      <c r="P75" s="10"/>
      <c r="Q75" s="10"/>
      <c r="R75" s="10"/>
      <c r="V75" s="10"/>
      <c r="W75" s="10"/>
      <c r="X75" s="10"/>
      <c r="Y75" s="10"/>
      <c r="AC75" s="10"/>
      <c r="AD75" s="10">
        <v>0.3</v>
      </c>
      <c r="AE75" s="10"/>
      <c r="AF75" s="10">
        <v>0.3</v>
      </c>
      <c r="AJ75" s="10"/>
      <c r="AK75" s="10">
        <v>0.5</v>
      </c>
      <c r="AL75" s="10"/>
      <c r="AM75" s="10">
        <v>0.5</v>
      </c>
      <c r="AQ75" s="10"/>
      <c r="AR75" s="10">
        <v>1</v>
      </c>
      <c r="AS75" s="10"/>
      <c r="AT75" s="10">
        <v>1</v>
      </c>
      <c r="AX75" s="10"/>
      <c r="AY75" s="10"/>
      <c r="AZ75" s="10"/>
      <c r="BA75" s="10"/>
      <c r="BE75" s="10"/>
      <c r="BF75" s="10">
        <v>1</v>
      </c>
      <c r="BG75" s="10"/>
      <c r="BH75" s="10">
        <v>1</v>
      </c>
      <c r="BL75" s="10"/>
      <c r="BM75" s="10"/>
      <c r="BN75" s="10"/>
      <c r="BO75" s="10"/>
      <c r="BS75" s="10"/>
      <c r="BT75" s="10"/>
      <c r="BU75" s="10"/>
      <c r="BV75" s="10"/>
      <c r="BZ75" s="10"/>
      <c r="CA75" s="10"/>
      <c r="CB75" s="10"/>
      <c r="CC75" s="10"/>
      <c r="CG75" s="10"/>
      <c r="CH75" s="10"/>
      <c r="CI75" s="10"/>
      <c r="CJ75" s="10"/>
      <c r="CN75" s="10"/>
      <c r="CO75" s="10"/>
      <c r="CP75" s="10"/>
      <c r="CQ75" s="10"/>
      <c r="CU75" s="10"/>
      <c r="CV75" s="10"/>
      <c r="CW75" s="10"/>
      <c r="CX75" s="10"/>
      <c r="DB75" s="10"/>
      <c r="DC75" s="10"/>
      <c r="DD75" s="10"/>
      <c r="DE75" s="10"/>
      <c r="DI75" s="10"/>
      <c r="DJ75" s="10"/>
      <c r="DK75" s="10"/>
      <c r="DL75" s="10"/>
    </row>
    <row r="76" spans="2:116" ht="16" hidden="1" customHeight="1" x14ac:dyDescent="0.2">
      <c r="B76" s="10"/>
      <c r="C76" s="10"/>
      <c r="D76" s="10"/>
      <c r="E76" s="10"/>
      <c r="I76" s="10"/>
      <c r="J76" s="10"/>
      <c r="K76" s="10"/>
      <c r="L76" s="10"/>
      <c r="O76" s="10"/>
      <c r="P76" s="10"/>
      <c r="Q76" s="10"/>
      <c r="R76" s="10"/>
      <c r="V76" s="10"/>
      <c r="W76" s="10"/>
      <c r="X76" s="10"/>
      <c r="Y76" s="10"/>
      <c r="AC76" s="10"/>
      <c r="AD76" s="10"/>
      <c r="AE76" s="10"/>
      <c r="AF76" s="10"/>
      <c r="AJ76" s="10"/>
      <c r="AK76" s="10">
        <v>0.5</v>
      </c>
      <c r="AL76" s="10"/>
      <c r="AM76" s="10">
        <v>0.5</v>
      </c>
      <c r="AQ76" s="10"/>
      <c r="AR76" s="10">
        <v>1</v>
      </c>
      <c r="AS76" s="10"/>
      <c r="AT76" s="10">
        <v>1</v>
      </c>
      <c r="AX76" s="10"/>
      <c r="AY76" s="10"/>
      <c r="AZ76" s="10"/>
      <c r="BA76" s="10"/>
      <c r="BE76" s="10"/>
      <c r="BF76" s="10">
        <v>1</v>
      </c>
      <c r="BG76" s="10"/>
      <c r="BH76" s="10">
        <v>1</v>
      </c>
      <c r="BL76" s="10"/>
      <c r="BM76" s="10"/>
      <c r="BN76" s="10"/>
      <c r="BO76" s="10"/>
      <c r="BS76" s="10"/>
      <c r="BT76" s="10"/>
      <c r="BU76" s="10"/>
      <c r="BV76" s="10"/>
      <c r="BZ76" s="10"/>
      <c r="CA76" s="10"/>
      <c r="CB76" s="10"/>
      <c r="CC76" s="10"/>
      <c r="CG76" s="10"/>
      <c r="CH76" s="10"/>
      <c r="CI76" s="10"/>
      <c r="CJ76" s="10"/>
      <c r="CN76" s="10"/>
      <c r="CO76" s="10"/>
      <c r="CP76" s="10"/>
      <c r="CQ76" s="10"/>
      <c r="CU76" s="10"/>
      <c r="CV76" s="10"/>
      <c r="CW76" s="10"/>
      <c r="CX76" s="10"/>
      <c r="DB76" s="10"/>
      <c r="DC76" s="10"/>
      <c r="DD76" s="10"/>
      <c r="DE76" s="10"/>
      <c r="DI76" s="10"/>
      <c r="DJ76" s="10"/>
      <c r="DK76" s="10"/>
      <c r="DL76" s="10"/>
    </row>
    <row r="77" spans="2:116" ht="16" hidden="1" customHeight="1" x14ac:dyDescent="0.2">
      <c r="C77" t="s">
        <v>101</v>
      </c>
      <c r="D77" s="19">
        <v>44661</v>
      </c>
      <c r="E77" s="9">
        <v>12</v>
      </c>
      <c r="G77" s="10">
        <f>+SUM(G78:G84)</f>
        <v>0.35</v>
      </c>
      <c r="I77" s="12">
        <f>+SUM(I78:I84)</f>
        <v>0</v>
      </c>
      <c r="J77" s="11">
        <f>+SUMPRODUCT(G78:G84,J78:J84)</f>
        <v>0</v>
      </c>
      <c r="K77" s="11">
        <f>+SUMPRODUCT(G78:G84,K78:K84)</f>
        <v>0</v>
      </c>
      <c r="L77" s="9"/>
      <c r="N77" s="12">
        <f>+SUM(N78:N84)</f>
        <v>0</v>
      </c>
      <c r="U77" s="12">
        <f>+SUM(U78:U84)</f>
        <v>0</v>
      </c>
      <c r="AB77" s="12">
        <f>+SUM(AB78:AB84)</f>
        <v>0</v>
      </c>
      <c r="AI77" s="12">
        <f>+SUM(AI78:AI84)</f>
        <v>0</v>
      </c>
      <c r="AP77" s="12">
        <f>+SUM(AP78:AP84)</f>
        <v>0</v>
      </c>
    </row>
    <row r="78" spans="2:116" ht="16" hidden="1" customHeight="1" x14ac:dyDescent="0.2">
      <c r="E78" s="9"/>
      <c r="F78" t="s">
        <v>30</v>
      </c>
      <c r="G78" s="10">
        <v>0.1</v>
      </c>
      <c r="I78" s="9">
        <f t="shared" ref="I78:I83" si="11">+SUMIF($N$3:$ZZ$3,I$3,$N78:$ZZ78)</f>
        <v>0</v>
      </c>
      <c r="J78" s="11" cm="1">
        <f t="array" ref="J78">MAX(IF($N$3:$EH$3=$J$3,N78:EH78))</f>
        <v>0</v>
      </c>
      <c r="K78" s="11" cm="1">
        <f t="array" ref="K78">MAX(IF($N$3:$EH$3=$J$3,N78:EH78))</f>
        <v>0</v>
      </c>
      <c r="L78" s="9"/>
      <c r="O78" s="10"/>
      <c r="P78" s="10">
        <v>0.8</v>
      </c>
      <c r="Q78" s="10"/>
      <c r="R78" s="10">
        <v>0.8</v>
      </c>
      <c r="V78" s="10"/>
      <c r="W78" s="10">
        <v>0.8</v>
      </c>
      <c r="X78" s="10"/>
      <c r="Y78" s="10">
        <v>0.8</v>
      </c>
      <c r="AC78" s="10"/>
      <c r="AD78" s="10">
        <v>1</v>
      </c>
      <c r="AE78" s="10"/>
      <c r="AF78" s="10">
        <v>1</v>
      </c>
      <c r="AJ78" s="10"/>
      <c r="AK78" s="10">
        <v>1</v>
      </c>
      <c r="AL78" s="10"/>
      <c r="AM78" s="10">
        <v>1</v>
      </c>
      <c r="AQ78" s="10"/>
      <c r="AR78" s="10">
        <v>1</v>
      </c>
      <c r="AS78" s="10"/>
      <c r="AT78" s="10">
        <v>1</v>
      </c>
      <c r="AX78" s="10"/>
      <c r="AY78" s="10"/>
      <c r="AZ78" s="10"/>
      <c r="BA78" s="10"/>
      <c r="BE78" s="10"/>
      <c r="BF78" s="10"/>
      <c r="BG78" s="10"/>
      <c r="BH78" s="10"/>
      <c r="BL78" s="10"/>
      <c r="BM78" s="10"/>
      <c r="BN78" s="10"/>
      <c r="BO78" s="10"/>
      <c r="BS78" s="10"/>
      <c r="BT78" s="10">
        <v>1</v>
      </c>
      <c r="BU78" s="10"/>
      <c r="BV78" s="10">
        <v>1</v>
      </c>
      <c r="BZ78" s="10"/>
      <c r="CA78" s="10">
        <v>1</v>
      </c>
      <c r="CB78" s="10"/>
      <c r="CC78" s="10">
        <v>1</v>
      </c>
      <c r="CG78" s="10"/>
      <c r="CH78" s="10">
        <v>1</v>
      </c>
      <c r="CI78" s="10"/>
      <c r="CJ78" s="10">
        <v>1</v>
      </c>
      <c r="CN78" s="10"/>
      <c r="CO78" s="10"/>
      <c r="CP78" s="10"/>
      <c r="CQ78" s="10"/>
      <c r="CU78" s="10"/>
      <c r="CV78" s="10"/>
      <c r="CW78" s="10"/>
      <c r="CX78" s="10"/>
      <c r="DB78" s="10"/>
      <c r="DC78" s="10"/>
      <c r="DD78" s="10"/>
      <c r="DE78" s="10"/>
      <c r="DI78" s="10"/>
      <c r="DJ78" s="10"/>
      <c r="DK78" s="10"/>
      <c r="DL78" s="10"/>
    </row>
    <row r="79" spans="2:116" ht="16" hidden="1" customHeight="1" x14ac:dyDescent="0.2">
      <c r="B79" s="10"/>
      <c r="D79" s="10"/>
      <c r="E79" s="9"/>
      <c r="F79" t="s">
        <v>96</v>
      </c>
      <c r="G79" s="10">
        <v>0.05</v>
      </c>
      <c r="I79" s="9">
        <f t="shared" si="11"/>
        <v>0</v>
      </c>
      <c r="J79" s="11" cm="1">
        <f t="array" ref="J79">MAX(IF($N$3:$EH$3=$J$3,N79:EH79))</f>
        <v>0</v>
      </c>
      <c r="K79" s="11" cm="1">
        <f t="array" ref="K79">MAX(IF($N$3:$EH$3=$J$3,N79:EH79))</f>
        <v>0</v>
      </c>
      <c r="L79" s="9"/>
      <c r="O79" s="10"/>
      <c r="P79" s="10">
        <v>0.5</v>
      </c>
      <c r="Q79" s="10"/>
      <c r="R79" s="10">
        <v>0.5</v>
      </c>
      <c r="V79" s="10"/>
      <c r="W79" s="10">
        <v>0.8</v>
      </c>
      <c r="X79" s="10"/>
      <c r="Y79" s="10">
        <v>0.8</v>
      </c>
      <c r="AC79" s="10"/>
      <c r="AD79" s="10">
        <v>1</v>
      </c>
      <c r="AE79" s="10"/>
      <c r="AF79" s="10">
        <v>1</v>
      </c>
      <c r="AJ79" s="10"/>
      <c r="AK79" s="10">
        <v>1</v>
      </c>
      <c r="AL79" s="10"/>
      <c r="AM79" s="10">
        <v>1</v>
      </c>
      <c r="AQ79" s="10"/>
      <c r="AR79" s="10">
        <v>1</v>
      </c>
      <c r="AS79" s="10"/>
      <c r="AT79" s="10">
        <v>1</v>
      </c>
      <c r="AX79" s="10"/>
      <c r="AY79" s="10"/>
      <c r="AZ79" s="10"/>
      <c r="BA79" s="10"/>
      <c r="BE79" s="10"/>
      <c r="BF79" s="10"/>
      <c r="BG79" s="10"/>
      <c r="BH79" s="10"/>
      <c r="BL79" s="10"/>
      <c r="BM79" s="10"/>
      <c r="BN79" s="10"/>
      <c r="BO79" s="10"/>
      <c r="BS79" s="10"/>
      <c r="BT79" s="10">
        <v>1</v>
      </c>
      <c r="BU79" s="10"/>
      <c r="BV79" s="10">
        <v>1</v>
      </c>
      <c r="BZ79" s="10"/>
      <c r="CA79" s="10">
        <v>1</v>
      </c>
      <c r="CB79" s="10"/>
      <c r="CC79" s="10">
        <v>1</v>
      </c>
      <c r="CG79" s="10"/>
      <c r="CH79" s="10">
        <v>1</v>
      </c>
      <c r="CI79" s="10"/>
      <c r="CJ79" s="10">
        <v>1</v>
      </c>
      <c r="CN79" s="10"/>
      <c r="CO79" s="10"/>
      <c r="CP79" s="10"/>
      <c r="CQ79" s="10"/>
      <c r="CU79" s="10"/>
      <c r="CV79" s="10"/>
      <c r="CW79" s="10"/>
      <c r="CX79" s="10"/>
      <c r="DB79" s="10"/>
      <c r="DC79" s="10"/>
      <c r="DD79" s="10"/>
      <c r="DE79" s="10"/>
      <c r="DI79" s="10"/>
      <c r="DJ79" s="10"/>
      <c r="DK79" s="10"/>
      <c r="DL79" s="10"/>
    </row>
    <row r="80" spans="2:116" ht="16" hidden="1" customHeight="1" x14ac:dyDescent="0.2">
      <c r="B80" s="10"/>
      <c r="C80" s="10"/>
      <c r="E80" s="10"/>
      <c r="F80" t="s">
        <v>31</v>
      </c>
      <c r="G80" s="10">
        <v>0.1</v>
      </c>
      <c r="I80" s="9">
        <f t="shared" si="11"/>
        <v>0</v>
      </c>
      <c r="J80" s="11" cm="1">
        <f t="array" ref="J80">MAX(IF($N$3:$EH$3=$J$3,N80:EH80))</f>
        <v>0</v>
      </c>
      <c r="K80" s="11" cm="1">
        <f t="array" ref="K80">MAX(IF($N$3:$EH$3=$J$3,N80:EH80))</f>
        <v>0</v>
      </c>
      <c r="L80" s="9"/>
      <c r="O80" s="10"/>
      <c r="P80" s="10"/>
      <c r="Q80" s="10"/>
      <c r="R80" s="10"/>
      <c r="V80" s="10"/>
      <c r="W80" s="10"/>
      <c r="X80" s="10"/>
      <c r="Y80" s="10"/>
      <c r="AC80" s="10"/>
      <c r="AD80" s="10">
        <v>0.5</v>
      </c>
      <c r="AE80" s="10"/>
      <c r="AF80" s="10">
        <v>0.5</v>
      </c>
      <c r="AJ80" s="10"/>
      <c r="AK80" s="10">
        <v>0.8</v>
      </c>
      <c r="AL80" s="10"/>
      <c r="AM80" s="10">
        <v>0.8</v>
      </c>
      <c r="AQ80" s="10"/>
      <c r="AR80" s="10">
        <v>1</v>
      </c>
      <c r="AS80" s="10"/>
      <c r="AT80" s="10">
        <v>1</v>
      </c>
      <c r="AX80" s="10"/>
      <c r="AY80" s="10"/>
      <c r="AZ80" s="10"/>
      <c r="BA80" s="10"/>
      <c r="BE80" s="10"/>
      <c r="BF80" s="10"/>
      <c r="BG80" s="10"/>
      <c r="BH80" s="10"/>
      <c r="BL80" s="10"/>
      <c r="BM80" s="10"/>
      <c r="BN80" s="10"/>
      <c r="BO80" s="10"/>
      <c r="BS80" s="10"/>
      <c r="BT80" s="10">
        <v>0.8</v>
      </c>
      <c r="BU80" s="10"/>
      <c r="BV80" s="10">
        <v>0.8</v>
      </c>
      <c r="BZ80" s="10"/>
      <c r="CA80" s="10">
        <v>1</v>
      </c>
      <c r="CB80" s="10"/>
      <c r="CC80" s="10">
        <v>1</v>
      </c>
      <c r="CG80" s="10"/>
      <c r="CH80" s="10">
        <v>1</v>
      </c>
      <c r="CI80" s="10"/>
      <c r="CJ80" s="10">
        <v>1</v>
      </c>
      <c r="CN80" s="10"/>
      <c r="CO80" s="10"/>
      <c r="CP80" s="10"/>
      <c r="CQ80" s="10"/>
      <c r="CU80" s="10"/>
      <c r="CV80" s="10"/>
      <c r="CW80" s="10"/>
      <c r="CX80" s="10"/>
      <c r="DB80" s="10"/>
      <c r="DC80" s="10"/>
      <c r="DD80" s="10"/>
      <c r="DE80" s="10"/>
      <c r="DI80" s="10"/>
      <c r="DJ80" s="10"/>
      <c r="DK80" s="10"/>
      <c r="DL80" s="10"/>
    </row>
    <row r="81" spans="2:116" ht="16" hidden="1" customHeight="1" x14ac:dyDescent="0.2">
      <c r="B81" s="10"/>
      <c r="C81" s="10"/>
      <c r="D81" s="10"/>
      <c r="F81" s="10"/>
      <c r="G81" s="10">
        <v>0.1</v>
      </c>
      <c r="I81" s="9">
        <f t="shared" si="11"/>
        <v>0</v>
      </c>
      <c r="J81" s="11" cm="1">
        <f t="array" ref="J81">MAX(IF($N$3:$EH$3=$J$3,N81:EH81))</f>
        <v>0</v>
      </c>
      <c r="K81" s="11" cm="1">
        <f t="array" ref="K81">MAX(IF($N$3:$EH$3=$J$3,N81:EH81))</f>
        <v>0</v>
      </c>
      <c r="L81" s="9"/>
      <c r="O81" s="10"/>
      <c r="P81" s="10"/>
      <c r="Q81" s="10"/>
      <c r="R81" s="10"/>
      <c r="V81" s="10"/>
      <c r="W81" s="10"/>
      <c r="X81" s="10"/>
      <c r="Y81" s="10"/>
      <c r="AC81" s="10"/>
      <c r="AD81" s="10">
        <v>0.5</v>
      </c>
      <c r="AE81" s="10"/>
      <c r="AF81" s="10">
        <v>0.5</v>
      </c>
      <c r="AJ81" s="10"/>
      <c r="AK81" s="10">
        <v>0.8</v>
      </c>
      <c r="AL81" s="10"/>
      <c r="AM81" s="10">
        <v>0.8</v>
      </c>
      <c r="AQ81" s="10"/>
      <c r="AR81" s="10">
        <v>1</v>
      </c>
      <c r="AS81" s="10"/>
      <c r="AT81" s="10">
        <v>1</v>
      </c>
      <c r="AX81" s="10"/>
      <c r="AY81" s="10"/>
      <c r="AZ81" s="10"/>
      <c r="BA81" s="10"/>
      <c r="BE81" s="10"/>
      <c r="BF81" s="10"/>
      <c r="BG81" s="10"/>
      <c r="BH81" s="10"/>
      <c r="BL81" s="10"/>
      <c r="BM81" s="10"/>
      <c r="BN81" s="10"/>
      <c r="BO81" s="10"/>
      <c r="BS81" s="10"/>
      <c r="BT81" s="10">
        <v>0.8</v>
      </c>
      <c r="BU81" s="10"/>
      <c r="BV81" s="10">
        <v>0.8</v>
      </c>
      <c r="BZ81" s="10"/>
      <c r="CA81" s="10">
        <v>1</v>
      </c>
      <c r="CB81" s="10"/>
      <c r="CC81" s="10">
        <v>1</v>
      </c>
      <c r="CG81" s="10"/>
      <c r="CH81" s="10">
        <v>1</v>
      </c>
      <c r="CI81" s="10"/>
      <c r="CJ81" s="10">
        <v>1</v>
      </c>
      <c r="CN81" s="10"/>
      <c r="CO81" s="10"/>
      <c r="CP81" s="10"/>
      <c r="CQ81" s="10"/>
      <c r="CU81" s="10"/>
      <c r="CV81" s="10"/>
      <c r="CW81" s="10"/>
      <c r="CX81" s="10"/>
      <c r="DB81" s="10"/>
      <c r="DC81" s="10"/>
      <c r="DD81" s="10"/>
      <c r="DE81" s="10"/>
      <c r="DI81" s="10"/>
      <c r="DJ81" s="10"/>
      <c r="DK81" s="10"/>
      <c r="DL81" s="10"/>
    </row>
    <row r="82" spans="2:116" ht="16" hidden="1" customHeight="1" x14ac:dyDescent="0.2">
      <c r="B82" s="10"/>
      <c r="C82" s="10"/>
      <c r="D82" s="10"/>
      <c r="E82" s="10"/>
      <c r="I82" s="9">
        <f t="shared" si="11"/>
        <v>0</v>
      </c>
      <c r="J82" s="11" cm="1">
        <f t="array" ref="J82">MAX(IF($N$3:$EH$3=$J$3,N82:EH82))</f>
        <v>0</v>
      </c>
      <c r="K82" s="11" cm="1">
        <f t="array" ref="K82">MAX(IF($N$3:$EH$3=$J$3,N82:EH82))</f>
        <v>0</v>
      </c>
      <c r="L82" s="9"/>
      <c r="O82" s="10"/>
      <c r="P82" s="10"/>
      <c r="Q82" s="10"/>
      <c r="R82" s="10"/>
      <c r="V82" s="10"/>
      <c r="W82" s="10"/>
      <c r="X82" s="10"/>
      <c r="Y82" s="10"/>
      <c r="AC82" s="10"/>
      <c r="AD82" s="10">
        <v>0.3</v>
      </c>
      <c r="AE82" s="10"/>
      <c r="AF82" s="10">
        <v>0.3</v>
      </c>
      <c r="AJ82" s="10"/>
      <c r="AK82" s="10">
        <v>0.5</v>
      </c>
      <c r="AL82" s="10"/>
      <c r="AM82" s="10">
        <v>0.5</v>
      </c>
      <c r="AQ82" s="10"/>
      <c r="AR82" s="10">
        <v>1</v>
      </c>
      <c r="AS82" s="10"/>
      <c r="AT82" s="10">
        <v>1</v>
      </c>
      <c r="AX82" s="10"/>
      <c r="AY82" s="10"/>
      <c r="AZ82" s="10"/>
      <c r="BA82" s="10"/>
      <c r="BE82" s="10"/>
      <c r="BF82" s="10"/>
      <c r="BG82" s="10"/>
      <c r="BH82" s="10"/>
      <c r="BL82" s="10"/>
      <c r="BM82" s="10"/>
      <c r="BN82" s="10"/>
      <c r="BO82" s="10"/>
      <c r="BS82" s="10"/>
      <c r="BT82" s="10">
        <v>0.8</v>
      </c>
      <c r="BU82" s="10"/>
      <c r="BV82" s="10">
        <v>0.8</v>
      </c>
      <c r="BZ82" s="10"/>
      <c r="CA82" s="10">
        <v>1</v>
      </c>
      <c r="CB82" s="10"/>
      <c r="CC82" s="10">
        <v>1</v>
      </c>
      <c r="CG82" s="10"/>
      <c r="CH82" s="10">
        <v>1</v>
      </c>
      <c r="CI82" s="10"/>
      <c r="CJ82" s="10">
        <v>1</v>
      </c>
      <c r="CN82" s="10"/>
      <c r="CO82" s="10"/>
      <c r="CP82" s="10"/>
      <c r="CQ82" s="10"/>
      <c r="CU82" s="10"/>
      <c r="CV82" s="10"/>
      <c r="CW82" s="10"/>
      <c r="CX82" s="10"/>
      <c r="DB82" s="10"/>
      <c r="DC82" s="10"/>
      <c r="DD82" s="10"/>
      <c r="DE82" s="10"/>
      <c r="DI82" s="10"/>
      <c r="DJ82" s="10"/>
      <c r="DK82" s="10"/>
      <c r="DL82" s="10"/>
    </row>
    <row r="83" spans="2:116" ht="16" hidden="1" customHeight="1" x14ac:dyDescent="0.2">
      <c r="C83" s="10"/>
      <c r="D83" s="10"/>
      <c r="E83" s="10"/>
      <c r="F83" s="10"/>
      <c r="I83" s="9">
        <f t="shared" si="11"/>
        <v>0</v>
      </c>
      <c r="J83" s="11" cm="1">
        <f t="array" ref="J83">MAX(IF($N$3:$EH$3=$J$3,N83:EH83))</f>
        <v>0</v>
      </c>
      <c r="K83" s="11" cm="1">
        <f t="array" ref="K83">MAX(IF($N$3:$EH$3=$J$3,N83:EH83))</f>
        <v>0</v>
      </c>
      <c r="L83" s="9"/>
      <c r="O83" s="10"/>
      <c r="P83" s="10"/>
      <c r="Q83" s="10"/>
      <c r="R83" s="10"/>
      <c r="V83" s="10"/>
      <c r="W83" s="10"/>
      <c r="X83" s="10"/>
      <c r="Y83" s="10"/>
      <c r="AC83" s="10"/>
      <c r="AD83" s="10"/>
      <c r="AE83" s="10"/>
      <c r="AF83" s="10"/>
      <c r="AJ83" s="10"/>
      <c r="AK83" s="10">
        <v>0.5</v>
      </c>
      <c r="AL83" s="10"/>
      <c r="AM83" s="10">
        <v>0.5</v>
      </c>
      <c r="AQ83" s="10"/>
      <c r="AR83" s="10">
        <v>1</v>
      </c>
      <c r="AS83" s="10"/>
      <c r="AT83" s="10">
        <v>1</v>
      </c>
      <c r="AX83" s="10"/>
      <c r="AY83" s="10"/>
      <c r="AZ83" s="10"/>
      <c r="BA83" s="10"/>
      <c r="BE83" s="10"/>
      <c r="BF83" s="10"/>
      <c r="BG83" s="10"/>
      <c r="BH83" s="10"/>
      <c r="BL83" s="10"/>
      <c r="BM83" s="10"/>
      <c r="BN83" s="10"/>
      <c r="BO83" s="10"/>
      <c r="BS83" s="10"/>
      <c r="BT83" s="10">
        <v>0.8</v>
      </c>
      <c r="BU83" s="10"/>
      <c r="BV83" s="10">
        <v>0.8</v>
      </c>
      <c r="BZ83" s="10"/>
      <c r="CA83" s="10">
        <v>0.8</v>
      </c>
      <c r="CB83" s="10"/>
      <c r="CC83" s="10">
        <v>0.8</v>
      </c>
      <c r="CG83" s="10"/>
      <c r="CH83" s="10">
        <v>1</v>
      </c>
      <c r="CI83" s="10"/>
      <c r="CJ83" s="10">
        <v>1</v>
      </c>
      <c r="CN83" s="10"/>
      <c r="CO83" s="10"/>
      <c r="CP83" s="10"/>
      <c r="CQ83" s="10"/>
      <c r="CU83" s="10"/>
      <c r="CV83" s="10"/>
      <c r="CW83" s="10"/>
      <c r="CX83" s="10"/>
      <c r="DB83" s="10"/>
      <c r="DC83" s="10"/>
      <c r="DD83" s="10"/>
      <c r="DE83" s="10"/>
      <c r="DI83" s="10"/>
      <c r="DJ83" s="10"/>
      <c r="DK83" s="10"/>
      <c r="DL83" s="10"/>
    </row>
    <row r="84" spans="2:116" ht="16" hidden="1" customHeight="1" x14ac:dyDescent="0.2">
      <c r="D84" s="10"/>
      <c r="E84" s="10"/>
      <c r="F84" s="10"/>
      <c r="G84" s="10"/>
      <c r="J84" s="11" cm="1">
        <f t="array" ref="J84">MAX(IF($N$3:$EH$3=$J$3,N84:EH84))</f>
        <v>0</v>
      </c>
      <c r="K84" s="11" cm="1">
        <f t="array" ref="K84">MAX(IF($N$3:$EH$3=$J$3,N84:EH84))</f>
        <v>0</v>
      </c>
      <c r="L84" s="9"/>
      <c r="O84" s="10"/>
      <c r="P84" s="10"/>
      <c r="Q84" s="10"/>
      <c r="R84" s="10"/>
      <c r="V84" s="10"/>
      <c r="W84" s="10"/>
      <c r="X84" s="10"/>
      <c r="Y84" s="10"/>
      <c r="AC84" s="10"/>
      <c r="AD84" s="10"/>
      <c r="AE84" s="10"/>
      <c r="AF84" s="10"/>
      <c r="AJ84" s="10"/>
      <c r="AK84" s="10">
        <v>0.5</v>
      </c>
      <c r="AL84" s="10"/>
      <c r="AM84" s="10">
        <v>0.5</v>
      </c>
      <c r="AQ84" s="10"/>
      <c r="AR84" s="10">
        <v>1</v>
      </c>
      <c r="AS84" s="10"/>
      <c r="AT84" s="10">
        <v>1</v>
      </c>
      <c r="AX84" s="10"/>
      <c r="AY84" s="10"/>
      <c r="AZ84" s="10"/>
      <c r="BA84" s="10"/>
      <c r="BE84" s="10"/>
      <c r="BF84" s="10"/>
      <c r="BG84" s="10"/>
      <c r="BH84" s="10"/>
      <c r="BL84" s="10"/>
      <c r="BM84" s="10"/>
      <c r="BN84" s="10"/>
      <c r="BO84" s="10"/>
      <c r="BS84" s="10"/>
      <c r="BT84" s="10">
        <v>0.8</v>
      </c>
      <c r="BU84" s="10"/>
      <c r="BV84" s="10">
        <v>0.8</v>
      </c>
      <c r="BZ84" s="10"/>
      <c r="CA84" s="10">
        <v>0.8</v>
      </c>
      <c r="CB84" s="10"/>
      <c r="CC84" s="10">
        <v>0.8</v>
      </c>
      <c r="CG84" s="10"/>
      <c r="CH84" s="10">
        <v>1</v>
      </c>
      <c r="CI84" s="10"/>
      <c r="CJ84" s="10">
        <v>1</v>
      </c>
      <c r="CN84" s="10"/>
      <c r="CO84" s="10"/>
      <c r="CP84" s="10"/>
      <c r="CQ84" s="10"/>
      <c r="CU84" s="10"/>
      <c r="CV84" s="10"/>
      <c r="CW84" s="10"/>
      <c r="CX84" s="10"/>
      <c r="DB84" s="10"/>
      <c r="DC84" s="10"/>
      <c r="DD84" s="10"/>
      <c r="DE84" s="10"/>
      <c r="DI84" s="10"/>
      <c r="DJ84" s="10"/>
      <c r="DK84" s="10"/>
      <c r="DL84" s="10"/>
    </row>
    <row r="86" spans="2:116" x14ac:dyDescent="0.2">
      <c r="N86" s="21">
        <f>SUM(N4,N16,N24,N47,N55,N62)</f>
        <v>29</v>
      </c>
      <c r="U86" s="21">
        <f>SUM(U4,U16,U24,U47,U55,U62)</f>
        <v>34</v>
      </c>
      <c r="AB86" s="21">
        <f>SUM(AB4,AB16,AB24,AB47,AB55,AB62)</f>
        <v>37</v>
      </c>
      <c r="AI86" s="21">
        <f>SUM(AI4,AI16,AI24,AI47,AI55,AI62)</f>
        <v>39</v>
      </c>
      <c r="AP86" s="21">
        <f>SUM(AP4,AP16,AP24,AP47,AP55,AP62)</f>
        <v>40</v>
      </c>
      <c r="AW86" s="21">
        <f>SUM(AW$4,AW$16,AW$24,AW$47,AW$55,AW$62)</f>
        <v>31</v>
      </c>
      <c r="AX86" s="21"/>
      <c r="AY86" s="21"/>
      <c r="AZ86" s="21"/>
      <c r="BA86" s="21"/>
      <c r="BB86" s="21"/>
      <c r="BC86" s="21"/>
      <c r="BD86" s="21">
        <f>SUM(BD$4,BD$16,BD$24,BD$47,BD$55,BD$62)</f>
        <v>33</v>
      </c>
      <c r="BE86" s="21"/>
      <c r="BF86" s="21"/>
      <c r="BG86" s="21"/>
      <c r="BH86" s="21"/>
      <c r="BI86" s="21"/>
      <c r="BJ86" s="21"/>
      <c r="BK86" s="21">
        <f>SUM(BK$4,BK$16,BK$24,BK$47,BK$55,BK$62)</f>
        <v>39</v>
      </c>
      <c r="BL86" s="21"/>
      <c r="BM86" s="21"/>
      <c r="BN86" s="21"/>
      <c r="BO86" s="21"/>
      <c r="BP86" s="21"/>
      <c r="BQ86" s="21"/>
      <c r="BR86" s="21">
        <f>SUM(BR$4,BR$16,BR$24,BR$47,BR$55,BR$62)</f>
        <v>36</v>
      </c>
      <c r="BS86" s="21"/>
      <c r="BT86" s="21"/>
      <c r="BU86" s="21"/>
      <c r="BV86" s="21"/>
      <c r="BW86" s="21"/>
      <c r="BX86" s="21"/>
      <c r="BY86" s="21">
        <f>SUM(BY$4,BY$16,BY$24,BY$47,BY$55,BY$62)</f>
        <v>33</v>
      </c>
      <c r="BZ86" s="21"/>
      <c r="CA86" s="21"/>
      <c r="CB86" s="21"/>
      <c r="CC86" s="21"/>
      <c r="CD86" s="21"/>
      <c r="CE86" s="21"/>
      <c r="CF86" s="21">
        <f>SUM(CF$4,CF$16,CF$24,CF$47,CF$55,CF$62)</f>
        <v>45</v>
      </c>
      <c r="CG86" s="21"/>
      <c r="CH86" s="21"/>
      <c r="CI86" s="21"/>
      <c r="CJ86" s="21"/>
      <c r="CK86" s="21"/>
      <c r="CL86" s="21"/>
      <c r="CM86" s="21">
        <f>SUM(CM$4,CM$16,CM$24,CM$47,CM$55,CM$62)</f>
        <v>37</v>
      </c>
      <c r="CN86" s="21"/>
      <c r="CO86" s="21"/>
      <c r="CP86" s="21"/>
      <c r="CQ86" s="21"/>
    </row>
  </sheetData>
  <mergeCells count="16">
    <mergeCell ref="DH2:DM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J5:J14">
    <cfRule type="colorScale" priority="822">
      <colorScale>
        <cfvo type="percent" val="0"/>
        <cfvo type="percent" val="100"/>
        <color rgb="FFFF231B"/>
        <color rgb="FF10FF07"/>
      </colorScale>
    </cfRule>
  </conditionalFormatting>
  <conditionalFormatting sqref="J18">
    <cfRule type="colorScale" priority="370">
      <colorScale>
        <cfvo type="percent" val="0"/>
        <cfvo type="percent" val="100"/>
        <color rgb="FFFF231B"/>
        <color rgb="FF10FF07"/>
      </colorScale>
    </cfRule>
  </conditionalFormatting>
  <conditionalFormatting sqref="J19">
    <cfRule type="colorScale" priority="351">
      <colorScale>
        <cfvo type="percent" val="0"/>
        <cfvo type="percent" val="100"/>
        <color rgb="FFFF231B"/>
        <color rgb="FF10FF07"/>
      </colorScale>
    </cfRule>
  </conditionalFormatting>
  <conditionalFormatting sqref="J20:J22 J17">
    <cfRule type="colorScale" priority="1017">
      <colorScale>
        <cfvo type="percent" val="0"/>
        <cfvo type="percent" val="100"/>
        <color rgb="FFFF231B"/>
        <color rgb="FF10FF07"/>
      </colorScale>
    </cfRule>
  </conditionalFormatting>
  <conditionalFormatting sqref="J36:J42">
    <cfRule type="colorScale" priority="915">
      <colorScale>
        <cfvo type="percent" val="0"/>
        <cfvo type="percent" val="100"/>
        <color rgb="FFFF231B"/>
        <color rgb="FF10FF07"/>
      </colorScale>
    </cfRule>
  </conditionalFormatting>
  <conditionalFormatting sqref="J45:J46">
    <cfRule type="colorScale" priority="1082">
      <colorScale>
        <cfvo type="percent" val="0"/>
        <cfvo type="percent" val="100"/>
        <color rgb="FFFF231B"/>
        <color rgb="FF10FF07"/>
      </colorScale>
    </cfRule>
  </conditionalFormatting>
  <conditionalFormatting sqref="J48:J53">
    <cfRule type="colorScale" priority="1085">
      <colorScale>
        <cfvo type="percent" val="0"/>
        <cfvo type="percent" val="100"/>
        <color rgb="FFFF231B"/>
        <color rgb="FF10FF07"/>
      </colorScale>
    </cfRule>
  </conditionalFormatting>
  <conditionalFormatting sqref="J56:J61">
    <cfRule type="colorScale" priority="1147">
      <colorScale>
        <cfvo type="percent" val="0"/>
        <cfvo type="percent" val="100"/>
        <color rgb="FFFF231B"/>
        <color rgb="FF10FF07"/>
      </colorScale>
    </cfRule>
  </conditionalFormatting>
  <conditionalFormatting sqref="J63:J76">
    <cfRule type="colorScale" priority="91">
      <colorScale>
        <cfvo type="percent" val="0"/>
        <cfvo type="percent" val="100"/>
        <color rgb="FFFF231B"/>
        <color rgb="FF10FF07"/>
      </colorScale>
    </cfRule>
  </conditionalFormatting>
  <conditionalFormatting sqref="J78:J84">
    <cfRule type="colorScale" priority="88">
      <colorScale>
        <cfvo type="percent" val="0"/>
        <cfvo type="percent" val="100"/>
        <color rgb="FFFF231B"/>
        <color rgb="FF10FF07"/>
      </colorScale>
    </cfRule>
  </conditionalFormatting>
  <conditionalFormatting sqref="J6:K14">
    <cfRule type="colorScale" priority="793">
      <colorScale>
        <cfvo type="percent" val="0"/>
        <cfvo type="percent" val="100"/>
        <color rgb="FFFF231B"/>
        <color rgb="FF10FF07"/>
      </colorScale>
    </cfRule>
  </conditionalFormatting>
  <conditionalFormatting sqref="J18:K18">
    <cfRule type="colorScale" priority="371">
      <colorScale>
        <cfvo type="percent" val="0"/>
        <cfvo type="percent" val="100"/>
        <color rgb="FFFF231B"/>
        <color rgb="FF10FF07"/>
      </colorScale>
    </cfRule>
  </conditionalFormatting>
  <conditionalFormatting sqref="J19:K19">
    <cfRule type="colorScale" priority="352">
      <colorScale>
        <cfvo type="percent" val="0"/>
        <cfvo type="percent" val="100"/>
        <color rgb="FFFF231B"/>
        <color rgb="FF10FF07"/>
      </colorScale>
    </cfRule>
  </conditionalFormatting>
  <conditionalFormatting sqref="J20:K22">
    <cfRule type="colorScale" priority="1016">
      <colorScale>
        <cfvo type="percent" val="0"/>
        <cfvo type="percent" val="100"/>
        <color rgb="FFFF231B"/>
        <color rgb="FF10FF07"/>
      </colorScale>
    </cfRule>
  </conditionalFormatting>
  <conditionalFormatting sqref="J37:K42">
    <cfRule type="colorScale" priority="913">
      <colorScale>
        <cfvo type="percent" val="0"/>
        <cfvo type="percent" val="100"/>
        <color rgb="FFFF231B"/>
        <color rgb="FF10FF07"/>
      </colorScale>
    </cfRule>
  </conditionalFormatting>
  <conditionalFormatting sqref="J46:K46">
    <cfRule type="colorScale" priority="1083">
      <colorScale>
        <cfvo type="percent" val="0"/>
        <cfvo type="percent" val="100"/>
        <color rgb="FFFF231B"/>
        <color rgb="FF10FF07"/>
      </colorScale>
    </cfRule>
  </conditionalFormatting>
  <conditionalFormatting sqref="J49:K53">
    <cfRule type="colorScale" priority="1086">
      <colorScale>
        <cfvo type="percent" val="0"/>
        <cfvo type="percent" val="100"/>
        <color rgb="FFFF231B"/>
        <color rgb="FF10FF07"/>
      </colorScale>
    </cfRule>
  </conditionalFormatting>
  <conditionalFormatting sqref="J57:K61">
    <cfRule type="colorScale" priority="1148">
      <colorScale>
        <cfvo type="percent" val="0"/>
        <cfvo type="percent" val="100"/>
        <color rgb="FFFF231B"/>
        <color rgb="FF10FF07"/>
      </colorScale>
    </cfRule>
  </conditionalFormatting>
  <conditionalFormatting sqref="J64:K76">
    <cfRule type="colorScale" priority="90">
      <colorScale>
        <cfvo type="percent" val="0"/>
        <cfvo type="percent" val="100"/>
        <color rgb="FFFF231B"/>
        <color rgb="FF10FF07"/>
      </colorScale>
    </cfRule>
  </conditionalFormatting>
  <conditionalFormatting sqref="J79:K84">
    <cfRule type="colorScale" priority="87">
      <colorScale>
        <cfvo type="percent" val="0"/>
        <cfvo type="percent" val="100"/>
        <color rgb="FFFF231B"/>
        <color rgb="FF10FF07"/>
      </colorScale>
    </cfRule>
  </conditionalFormatting>
  <conditionalFormatting sqref="K5:K14">
    <cfRule type="colorScale" priority="823">
      <colorScale>
        <cfvo type="percent" val="0"/>
        <cfvo type="percent" val="100"/>
        <color rgb="FFFF231B"/>
        <color rgb="FF10FF07"/>
      </colorScale>
    </cfRule>
  </conditionalFormatting>
  <conditionalFormatting sqref="K18">
    <cfRule type="colorScale" priority="369">
      <colorScale>
        <cfvo type="percent" val="0"/>
        <cfvo type="percent" val="100"/>
        <color rgb="FFFF231B"/>
        <color rgb="FF10FF07"/>
      </colorScale>
    </cfRule>
  </conditionalFormatting>
  <conditionalFormatting sqref="K19">
    <cfRule type="colorScale" priority="350">
      <colorScale>
        <cfvo type="percent" val="0"/>
        <cfvo type="percent" val="100"/>
        <color rgb="FFFF231B"/>
        <color rgb="FF10FF07"/>
      </colorScale>
    </cfRule>
  </conditionalFormatting>
  <conditionalFormatting sqref="K20:K22 K17">
    <cfRule type="colorScale" priority="1019">
      <colorScale>
        <cfvo type="percent" val="0"/>
        <cfvo type="percent" val="100"/>
        <color rgb="FFFF231B"/>
        <color rgb="FF10FF07"/>
      </colorScale>
    </cfRule>
  </conditionalFormatting>
  <conditionalFormatting sqref="K36:K42">
    <cfRule type="colorScale" priority="917">
      <colorScale>
        <cfvo type="percent" val="0"/>
        <cfvo type="percent" val="100"/>
        <color rgb="FFFF231B"/>
        <color rgb="FF10FF07"/>
      </colorScale>
    </cfRule>
  </conditionalFormatting>
  <conditionalFormatting sqref="K45:K46">
    <cfRule type="colorScale" priority="1084">
      <colorScale>
        <cfvo type="percent" val="0"/>
        <cfvo type="percent" val="100"/>
        <color rgb="FFFF231B"/>
        <color rgb="FF10FF07"/>
      </colorScale>
    </cfRule>
  </conditionalFormatting>
  <conditionalFormatting sqref="K48:K53">
    <cfRule type="colorScale" priority="1087">
      <colorScale>
        <cfvo type="percent" val="0"/>
        <cfvo type="percent" val="100"/>
        <color rgb="FFFF231B"/>
        <color rgb="FF10FF07"/>
      </colorScale>
    </cfRule>
  </conditionalFormatting>
  <conditionalFormatting sqref="K56:K61">
    <cfRule type="colorScale" priority="1149">
      <colorScale>
        <cfvo type="percent" val="0"/>
        <cfvo type="percent" val="100"/>
        <color rgb="FFFF231B"/>
        <color rgb="FF10FF07"/>
      </colorScale>
    </cfRule>
  </conditionalFormatting>
  <conditionalFormatting sqref="K63:K76">
    <cfRule type="colorScale" priority="92">
      <colorScale>
        <cfvo type="percent" val="0"/>
        <cfvo type="percent" val="100"/>
        <color rgb="FFFF231B"/>
        <color rgb="FF10FF07"/>
      </colorScale>
    </cfRule>
  </conditionalFormatting>
  <conditionalFormatting sqref="K78:K84">
    <cfRule type="colorScale" priority="89">
      <colorScale>
        <cfvo type="percent" val="0"/>
        <cfvo type="percent" val="100"/>
        <color rgb="FFFF231B"/>
        <color rgb="FF10FF07"/>
      </colorScale>
    </cfRule>
  </conditionalFormatting>
  <conditionalFormatting sqref="O5:O14 Q5:Q14 V5:V14 X5:X14 AC5:AC14 AE5:AE14 AJ5:AJ14 AL5:AL14 AQ5:AQ14 AS5:AS14 AX5:AX14 AZ5:AZ14 BE5:BE14 BG5:BG14 BL5:BL14 BN5:BN14 O45:O46 Q45:Q46 V45:V46 X45:X46 AC45:AC46 AE45:AE46 AJ45:AJ46 AL45:AL46 AQ45:AQ46 AS45:AS46 AX45:AX46 AZ45:AZ46 BE45:BE46 BG45:BG46 BL45:BL46 BN45:BN46 BS45:BS46 BU45:BU46 BZ45:BZ46 CB45:CB46 CG45:CG46 CI45:CI46 CN45:CN46 CP45:CP46 CU45:CU46 CW45:CW46 DB45:DB46 DD45:DD46 O48:O53 Q48:Q53 V48:V53 X48:X53 AC48:AC53 AE48:AE53 AJ48:AJ53 AL48:AL53 AQ48:AQ53 AS48:AS53 AX48:AX53 AZ48:AZ53 BE48:BE53 BG48:BG53 BL48:BL53 BN48:BN53 BS48:BS53 BU48:BU53 BZ48:BZ53 CB48:CB53 CG48:CG53 CI48:CI53 CN48:CN53 CP48:CP53 CU48:CU53 CW48:CW53 DB48:DB53 DD48:DD53 O56:O61 Q56:Q61 V56:V61 X56:X61 AC56:AC61 AE56:AE61 AJ56:AJ61 AL56:AL61 AQ56:AQ61 AS56:AS61 AX56:AX61 AZ56:AZ61 BE56:BE61 BG56:BG61 BL56:BL61 BN56:BN61 BS56:BS61 BU56:BU61 BZ56:BZ61 CB56:CB61 CG56:CG61 CI56:CI61 CN56:CN61 CP56:CP61 CU56:CU61 CW56:CW61 DB56:DB61 DD56:DD61 O25:O34 Q25:Q34 V25:V34 X25:X34 AC25:AC34 AE25:AE34 AJ25:AJ34 AL25:AL34 AQ25:AQ34 AS25:AS34 AX25:AX34 AZ25:AZ34 BE25:BE34 BG25:BG34 BL25:BL34 BN25:BN34 BS25:BS34 BU25:BU34 BZ25:BZ34 CB25:CB34 CG25:CG34 CI25:CI34 CN25:CN34 CP25:CP34 CU25:CU34 CW25:CW34 DB25:DB34 DD25:DD34 DI25:DI34 DK25:DK34">
    <cfRule type="expression" dxfId="185" priority="790">
      <formula>OR(IF(O5&lt;P5,TRUE),IF(AND(P5="",O5&lt;&gt;""),TRUE))</formula>
    </cfRule>
    <cfRule type="expression" dxfId="184" priority="791">
      <formula>IF(O5&gt;=P5,IF(O5="",FALSE,TRUE))</formula>
    </cfRule>
  </conditionalFormatting>
  <conditionalFormatting sqref="O17:O22 Q17:Q22">
    <cfRule type="expression" dxfId="183" priority="365">
      <formula>OR(IF(O17&lt;P17,TRUE),IF(AND(P17="",O17&lt;&gt;""),TRUE))</formula>
    </cfRule>
    <cfRule type="expression" dxfId="182" priority="366">
      <formula>IF(O17&gt;=P17,IF(O17="",FALSE,TRUE))</formula>
    </cfRule>
  </conditionalFormatting>
  <conditionalFormatting sqref="O36:O42">
    <cfRule type="expression" dxfId="181" priority="518">
      <formula>OR(IF(O36&lt;P36,TRUE),IF(AND(P36="",O36&lt;&gt;""),TRUE))</formula>
    </cfRule>
    <cfRule type="expression" dxfId="180" priority="519">
      <formula>IF(O36&gt;=P36,IF(O36="",FALSE,TRUE))</formula>
    </cfRule>
  </conditionalFormatting>
  <conditionalFormatting sqref="O63:O76 Q63:Q76 V63:V76 X63:X76 AC63:AC76 AE63:AE76 AJ63:AJ76 AL63:AL76 AQ63:AQ76 AS63:AS76 AX63:AX76 AZ63:AZ76 BE63:BE76 BG63:BG76 BL63:BL76 BN63:BN76 BS63:BS76 BU63:BU76 BZ63:BZ76 CB63:CB76 CG63:CG76 CI63:CI76 CN63:CN76 CP63:CP76 CU63:CU76 CW63:CW76 DB63:DB76 DD63:DD76">
    <cfRule type="expression" dxfId="179" priority="85">
      <formula>OR(IF(O63&lt;P63,TRUE),IF(AND(P63="",O63&lt;&gt;""),TRUE))</formula>
    </cfRule>
    <cfRule type="expression" dxfId="178" priority="86">
      <formula>IF(O63&gt;=P63,IF(O63="",FALSE,TRUE))</formula>
    </cfRule>
  </conditionalFormatting>
  <conditionalFormatting sqref="O78:O84">
    <cfRule type="expression" dxfId="177" priority="83">
      <formula>OR(IF(O78&lt;P78,TRUE),IF(AND(P78="",O78&lt;&gt;""),TRUE))</formula>
    </cfRule>
    <cfRule type="expression" dxfId="176" priority="84">
      <formula>IF(O78&gt;=P78,IF(O78="",FALSE,TRUE))</formula>
    </cfRule>
  </conditionalFormatting>
  <conditionalFormatting sqref="Q36:Q42">
    <cfRule type="expression" dxfId="175" priority="516">
      <formula>OR(IF(Q36&lt;R36,TRUE),IF(AND(R36="",Q36&lt;&gt;""),TRUE))</formula>
    </cfRule>
    <cfRule type="expression" dxfId="174" priority="517">
      <formula>IF(Q36&gt;=R36,IF(Q36="",FALSE,TRUE))</formula>
    </cfRule>
  </conditionalFormatting>
  <conditionalFormatting sqref="Q78:Q84">
    <cfRule type="expression" dxfId="173" priority="81">
      <formula>OR(IF(Q78&lt;R78,TRUE),IF(AND(R78="",Q78&lt;&gt;""),TRUE))</formula>
    </cfRule>
    <cfRule type="expression" dxfId="172" priority="82">
      <formula>IF(Q78&gt;=R78,IF(Q78="",FALSE,TRUE))</formula>
    </cfRule>
  </conditionalFormatting>
  <conditionalFormatting sqref="V17:V22 X17:X22">
    <cfRule type="expression" dxfId="171" priority="363">
      <formula>OR(IF(V17&lt;W17,TRUE),IF(AND(W17="",V17&lt;&gt;""),TRUE))</formula>
    </cfRule>
    <cfRule type="expression" dxfId="170" priority="364">
      <formula>IF(V17&gt;=W17,IF(V17="",FALSE,TRUE))</formula>
    </cfRule>
  </conditionalFormatting>
  <conditionalFormatting sqref="V36:V42">
    <cfRule type="expression" dxfId="169" priority="510">
      <formula>OR(IF(V36&lt;W36,TRUE),IF(AND(W36="",V36&lt;&gt;""),TRUE))</formula>
    </cfRule>
    <cfRule type="expression" dxfId="168" priority="511">
      <formula>IF(V36&gt;=W36,IF(V36="",FALSE,TRUE))</formula>
    </cfRule>
  </conditionalFormatting>
  <conditionalFormatting sqref="V78:V84">
    <cfRule type="expression" dxfId="167" priority="79">
      <formula>OR(IF(V78&lt;W78,TRUE),IF(AND(W78="",V78&lt;&gt;""),TRUE))</formula>
    </cfRule>
    <cfRule type="expression" dxfId="166" priority="80">
      <formula>IF(V78&gt;=W78,IF(V78="",FALSE,TRUE))</formula>
    </cfRule>
  </conditionalFormatting>
  <conditionalFormatting sqref="X36:X42">
    <cfRule type="expression" dxfId="165" priority="508">
      <formula>OR(IF(X36&lt;Y36,TRUE),IF(AND(Y36="",X36&lt;&gt;""),TRUE))</formula>
    </cfRule>
    <cfRule type="expression" dxfId="164" priority="509">
      <formula>IF(X36&gt;=Y36,IF(X36="",FALSE,TRUE))</formula>
    </cfRule>
  </conditionalFormatting>
  <conditionalFormatting sqref="X78:X84">
    <cfRule type="expression" dxfId="163" priority="77">
      <formula>OR(IF(X78&lt;Y78,TRUE),IF(AND(Y78="",X78&lt;&gt;""),TRUE))</formula>
    </cfRule>
    <cfRule type="expression" dxfId="162" priority="78">
      <formula>IF(X78&gt;=Y78,IF(X78="",FALSE,TRUE))</formula>
    </cfRule>
  </conditionalFormatting>
  <conditionalFormatting sqref="AC17:AC22 AE17:AE22">
    <cfRule type="expression" dxfId="161" priority="361">
      <formula>OR(IF(AC17&lt;AD17,TRUE),IF(AND(AD17="",AC17&lt;&gt;""),TRUE))</formula>
    </cfRule>
    <cfRule type="expression" dxfId="160" priority="362">
      <formula>IF(AC17&gt;=AD17,IF(AC17="",FALSE,TRUE))</formula>
    </cfRule>
  </conditionalFormatting>
  <conditionalFormatting sqref="AC36:AC42">
    <cfRule type="expression" dxfId="159" priority="502">
      <formula>OR(IF(AC36&lt;AD36,TRUE),IF(AND(AD36="",AC36&lt;&gt;""),TRUE))</formula>
    </cfRule>
    <cfRule type="expression" dxfId="158" priority="503">
      <formula>IF(AC36&gt;=AD36,IF(AC36="",FALSE,TRUE))</formula>
    </cfRule>
  </conditionalFormatting>
  <conditionalFormatting sqref="AC78:AC84">
    <cfRule type="expression" dxfId="157" priority="75">
      <formula>OR(IF(AC78&lt;AD78,TRUE),IF(AND(AD78="",AC78&lt;&gt;""),TRUE))</formula>
    </cfRule>
    <cfRule type="expression" dxfId="156" priority="76">
      <formula>IF(AC78&gt;=AD78,IF(AC78="",FALSE,TRUE))</formula>
    </cfRule>
  </conditionalFormatting>
  <conditionalFormatting sqref="AE36:AE42">
    <cfRule type="expression" dxfId="155" priority="500">
      <formula>OR(IF(AE36&lt;AF36,TRUE),IF(AND(AF36="",AE36&lt;&gt;""),TRUE))</formula>
    </cfRule>
    <cfRule type="expression" dxfId="154" priority="501">
      <formula>IF(AE36&gt;=AF36,IF(AE36="",FALSE,TRUE))</formula>
    </cfRule>
  </conditionalFormatting>
  <conditionalFormatting sqref="AE78:AE84">
    <cfRule type="expression" dxfId="153" priority="73">
      <formula>OR(IF(AE78&lt;AF78,TRUE),IF(AND(AF78="",AE78&lt;&gt;""),TRUE))</formula>
    </cfRule>
    <cfRule type="expression" dxfId="152" priority="74">
      <formula>IF(AE78&gt;=AF78,IF(AE78="",FALSE,TRUE))</formula>
    </cfRule>
  </conditionalFormatting>
  <conditionalFormatting sqref="AJ17:AJ22 AL17:AL22">
    <cfRule type="expression" dxfId="151" priority="359">
      <formula>OR(IF(AJ17&lt;AK17,TRUE),IF(AND(AK17="",AJ17&lt;&gt;""),TRUE))</formula>
    </cfRule>
    <cfRule type="expression" dxfId="150" priority="360">
      <formula>IF(AJ17&gt;=AK17,IF(AJ17="",FALSE,TRUE))</formula>
    </cfRule>
  </conditionalFormatting>
  <conditionalFormatting sqref="AJ36:AJ42">
    <cfRule type="expression" dxfId="149" priority="494">
      <formula>OR(IF(AJ36&lt;AK36,TRUE),IF(AND(AK36="",AJ36&lt;&gt;""),TRUE))</formula>
    </cfRule>
    <cfRule type="expression" dxfId="148" priority="495">
      <formula>IF(AJ36&gt;=AK36,IF(AJ36="",FALSE,TRUE))</formula>
    </cfRule>
  </conditionalFormatting>
  <conditionalFormatting sqref="AJ78:AJ84">
    <cfRule type="expression" dxfId="147" priority="71">
      <formula>OR(IF(AJ78&lt;AK78,TRUE),IF(AND(AK78="",AJ78&lt;&gt;""),TRUE))</formula>
    </cfRule>
    <cfRule type="expression" dxfId="146" priority="72">
      <formula>IF(AJ78&gt;=AK78,IF(AJ78="",FALSE,TRUE))</formula>
    </cfRule>
  </conditionalFormatting>
  <conditionalFormatting sqref="AL36:AL42">
    <cfRule type="expression" dxfId="145" priority="492">
      <formula>OR(IF(AL36&lt;AM36,TRUE),IF(AND(AM36="",AL36&lt;&gt;""),TRUE))</formula>
    </cfRule>
    <cfRule type="expression" dxfId="144" priority="493">
      <formula>IF(AL36&gt;=AM36,IF(AL36="",FALSE,TRUE))</formula>
    </cfRule>
  </conditionalFormatting>
  <conditionalFormatting sqref="AL78:AL84">
    <cfRule type="expression" dxfId="143" priority="69">
      <formula>OR(IF(AL78&lt;AM78,TRUE),IF(AND(AM78="",AL78&lt;&gt;""),TRUE))</formula>
    </cfRule>
    <cfRule type="expression" dxfId="142" priority="70">
      <formula>IF(AL78&gt;=AM78,IF(AL78="",FALSE,TRUE))</formula>
    </cfRule>
  </conditionalFormatting>
  <conditionalFormatting sqref="AQ17:AQ22 AS17:AS22">
    <cfRule type="expression" dxfId="141" priority="357">
      <formula>OR(IF(AQ17&lt;AR17,TRUE),IF(AND(AR17="",AQ17&lt;&gt;""),TRUE))</formula>
    </cfRule>
    <cfRule type="expression" dxfId="140" priority="358">
      <formula>IF(AQ17&gt;=AR17,IF(AQ17="",FALSE,TRUE))</formula>
    </cfRule>
  </conditionalFormatting>
  <conditionalFormatting sqref="AQ36:AQ42">
    <cfRule type="expression" dxfId="139" priority="486">
      <formula>OR(IF(AQ36&lt;AR36,TRUE),IF(AND(AR36="",AQ36&lt;&gt;""),TRUE))</formula>
    </cfRule>
    <cfRule type="expression" dxfId="138" priority="487">
      <formula>IF(AQ36&gt;=AR36,IF(AQ36="",FALSE,TRUE))</formula>
    </cfRule>
  </conditionalFormatting>
  <conditionalFormatting sqref="AQ78:AQ84">
    <cfRule type="expression" dxfId="137" priority="67">
      <formula>OR(IF(AQ78&lt;AR78,TRUE),IF(AND(AR78="",AQ78&lt;&gt;""),TRUE))</formula>
    </cfRule>
    <cfRule type="expression" dxfId="136" priority="68">
      <formula>IF(AQ78&gt;=AR78,IF(AQ78="",FALSE,TRUE))</formula>
    </cfRule>
  </conditionalFormatting>
  <conditionalFormatting sqref="AS36:AS42">
    <cfRule type="expression" dxfId="135" priority="484">
      <formula>OR(IF(AS36&lt;AT36,TRUE),IF(AND(AT36="",AS36&lt;&gt;""),TRUE))</formula>
    </cfRule>
    <cfRule type="expression" dxfId="134" priority="485">
      <formula>IF(AS36&gt;=AT36,IF(AS36="",FALSE,TRUE))</formula>
    </cfRule>
  </conditionalFormatting>
  <conditionalFormatting sqref="AS78:AS84">
    <cfRule type="expression" dxfId="133" priority="65">
      <formula>OR(IF(AS78&lt;AT78,TRUE),IF(AND(AT78="",AS78&lt;&gt;""),TRUE))</formula>
    </cfRule>
    <cfRule type="expression" dxfId="132" priority="66">
      <formula>IF(AS78&gt;=AT78,IF(AS78="",FALSE,TRUE))</formula>
    </cfRule>
  </conditionalFormatting>
  <conditionalFormatting sqref="AX17:AX22 AZ17:AZ22">
    <cfRule type="expression" dxfId="131" priority="355">
      <formula>OR(IF(AX17&lt;AY17,TRUE),IF(AND(AY17="",AX17&lt;&gt;""),TRUE))</formula>
    </cfRule>
    <cfRule type="expression" dxfId="130" priority="356">
      <formula>IF(AX17&gt;=AY17,IF(AX17="",FALSE,TRUE))</formula>
    </cfRule>
  </conditionalFormatting>
  <conditionalFormatting sqref="AX36:AX42">
    <cfRule type="expression" dxfId="129" priority="478">
      <formula>OR(IF(AX36&lt;AY36,TRUE),IF(AND(AY36="",AX36&lt;&gt;""),TRUE))</formula>
    </cfRule>
    <cfRule type="expression" dxfId="128" priority="479">
      <formula>IF(AX36&gt;=AY36,IF(AX36="",FALSE,TRUE))</formula>
    </cfRule>
  </conditionalFormatting>
  <conditionalFormatting sqref="AX78:AX84">
    <cfRule type="expression" dxfId="127" priority="63">
      <formula>OR(IF(AX78&lt;AY78,TRUE),IF(AND(AY78="",AX78&lt;&gt;""),TRUE))</formula>
    </cfRule>
    <cfRule type="expression" dxfId="126" priority="64">
      <formula>IF(AX78&gt;=AY78,IF(AX78="",FALSE,TRUE))</formula>
    </cfRule>
  </conditionalFormatting>
  <conditionalFormatting sqref="AZ36:AZ42">
    <cfRule type="expression" dxfId="125" priority="476">
      <formula>OR(IF(AZ36&lt;BA36,TRUE),IF(AND(BA36="",AZ36&lt;&gt;""),TRUE))</formula>
    </cfRule>
    <cfRule type="expression" dxfId="124" priority="477">
      <formula>IF(AZ36&gt;=BA36,IF(AZ36="",FALSE,TRUE))</formula>
    </cfRule>
  </conditionalFormatting>
  <conditionalFormatting sqref="AZ78:AZ84">
    <cfRule type="expression" dxfId="123" priority="61">
      <formula>OR(IF(AZ78&lt;BA78,TRUE),IF(AND(BA78="",AZ78&lt;&gt;""),TRUE))</formula>
    </cfRule>
    <cfRule type="expression" dxfId="122" priority="62">
      <formula>IF(AZ78&gt;=BA78,IF(AZ78="",FALSE,TRUE))</formula>
    </cfRule>
  </conditionalFormatting>
  <conditionalFormatting sqref="BE17:BE22 BG17:BG22">
    <cfRule type="expression" dxfId="121" priority="353">
      <formula>OR(IF(BE17&lt;BF17,TRUE),IF(AND(BF17="",BE17&lt;&gt;""),TRUE))</formula>
    </cfRule>
    <cfRule type="expression" dxfId="120" priority="354">
      <formula>IF(BE17&gt;=BF17,IF(BE17="",FALSE,TRUE))</formula>
    </cfRule>
  </conditionalFormatting>
  <conditionalFormatting sqref="BE36:BE42">
    <cfRule type="expression" dxfId="119" priority="470">
      <formula>OR(IF(BE36&lt;BF36,TRUE),IF(AND(BF36="",BE36&lt;&gt;""),TRUE))</formula>
    </cfRule>
    <cfRule type="expression" dxfId="118" priority="471">
      <formula>IF(BE36&gt;=BF36,IF(BE36="",FALSE,TRUE))</formula>
    </cfRule>
  </conditionalFormatting>
  <conditionalFormatting sqref="BE78:BE84">
    <cfRule type="expression" dxfId="117" priority="59">
      <formula>OR(IF(BE78&lt;BF78,TRUE),IF(AND(BF78="",BE78&lt;&gt;""),TRUE))</formula>
    </cfRule>
    <cfRule type="expression" dxfId="116" priority="60">
      <formula>IF(BE78&gt;=BF78,IF(BE78="",FALSE,TRUE))</formula>
    </cfRule>
  </conditionalFormatting>
  <conditionalFormatting sqref="BG36:BG42">
    <cfRule type="expression" dxfId="115" priority="468">
      <formula>OR(IF(BG36&lt;BH36,TRUE),IF(AND(BH36="",BG36&lt;&gt;""),TRUE))</formula>
    </cfRule>
    <cfRule type="expression" dxfId="114" priority="469">
      <formula>IF(BG36&gt;=BH36,IF(BG36="",FALSE,TRUE))</formula>
    </cfRule>
  </conditionalFormatting>
  <conditionalFormatting sqref="BG78:BG84">
    <cfRule type="expression" dxfId="113" priority="57">
      <formula>OR(IF(BG78&lt;BH78,TRUE),IF(AND(BH78="",BG78&lt;&gt;""),TRUE))</formula>
    </cfRule>
    <cfRule type="expression" dxfId="112" priority="58">
      <formula>IF(BG78&gt;=BH78,IF(BG78="",FALSE,TRUE))</formula>
    </cfRule>
  </conditionalFormatting>
  <conditionalFormatting sqref="BL17:BL22 BN17:BN22">
    <cfRule type="expression" dxfId="111" priority="348">
      <formula>OR(IF(BL17&lt;BM17,TRUE),IF(AND(BM17="",BL17&lt;&gt;""),TRUE))</formula>
    </cfRule>
    <cfRule type="expression" dxfId="110" priority="349">
      <formula>IF(BL17&gt;=BM17,IF(BL17="",FALSE,TRUE))</formula>
    </cfRule>
  </conditionalFormatting>
  <conditionalFormatting sqref="BL36:BL42">
    <cfRule type="expression" dxfId="109" priority="459">
      <formula>OR(IF(BL36&lt;BM36,TRUE),IF(AND(BM36="",BL36&lt;&gt;""),TRUE))</formula>
    </cfRule>
    <cfRule type="expression" dxfId="108" priority="460">
      <formula>IF(BL36&gt;=BM36,IF(BL36="",FALSE,TRUE))</formula>
    </cfRule>
  </conditionalFormatting>
  <conditionalFormatting sqref="BL78:BL84">
    <cfRule type="expression" dxfId="107" priority="55">
      <formula>OR(IF(BL78&lt;BM78,TRUE),IF(AND(BM78="",BL78&lt;&gt;""),TRUE))</formula>
    </cfRule>
    <cfRule type="expression" dxfId="106" priority="56">
      <formula>IF(BL78&gt;=BM78,IF(BL78="",FALSE,TRUE))</formula>
    </cfRule>
  </conditionalFormatting>
  <conditionalFormatting sqref="BN36:BN42">
    <cfRule type="expression" dxfId="105" priority="457">
      <formula>OR(IF(BN36&lt;BO36,TRUE),IF(AND(BO36="",BN36&lt;&gt;""),TRUE))</formula>
    </cfRule>
    <cfRule type="expression" dxfId="104" priority="458">
      <formula>IF(BN36&gt;=BO36,IF(BN36="",FALSE,TRUE))</formula>
    </cfRule>
  </conditionalFormatting>
  <conditionalFormatting sqref="BN78:BN84">
    <cfRule type="expression" dxfId="103" priority="53">
      <formula>OR(IF(BN78&lt;BO78,TRUE),IF(AND(BO78="",BN78&lt;&gt;""),TRUE))</formula>
    </cfRule>
    <cfRule type="expression" dxfId="102" priority="54">
      <formula>IF(BN78&gt;=BO78,IF(BN78="",FALSE,TRUE))</formula>
    </cfRule>
  </conditionalFormatting>
  <conditionalFormatting sqref="BS5:BS14 BU5:BU14">
    <cfRule type="expression" dxfId="101" priority="346">
      <formula>OR(IF(BS5&lt;BT5,TRUE),IF(AND(BT5="",BS5&lt;&gt;""),TRUE))</formula>
    </cfRule>
    <cfRule type="expression" dxfId="100" priority="347">
      <formula>IF(BS5&gt;=BT5,IF(BS5="",FALSE,TRUE))</formula>
    </cfRule>
  </conditionalFormatting>
  <conditionalFormatting sqref="BS17:BS22 BU17:BU22">
    <cfRule type="expression" dxfId="99" priority="328">
      <formula>OR(IF(BS17&lt;BT17,TRUE),IF(AND(BT17="",BS17&lt;&gt;""),TRUE))</formula>
    </cfRule>
    <cfRule type="expression" dxfId="98" priority="329">
      <formula>IF(BS17&gt;=BT17,IF(BS17="",FALSE,TRUE))</formula>
    </cfRule>
  </conditionalFormatting>
  <conditionalFormatting sqref="BS36:BS42">
    <cfRule type="expression" dxfId="97" priority="334">
      <formula>OR(IF(BS36&lt;BT36,TRUE),IF(AND(BT36="",BS36&lt;&gt;""),TRUE))</formula>
    </cfRule>
    <cfRule type="expression" dxfId="96" priority="335">
      <formula>IF(BS36&gt;=BT36,IF(BS36="",FALSE,TRUE))</formula>
    </cfRule>
  </conditionalFormatting>
  <conditionalFormatting sqref="BS78:BS84">
    <cfRule type="expression" dxfId="95" priority="51">
      <formula>OR(IF(BS78&lt;BT78,TRUE),IF(AND(BT78="",BS78&lt;&gt;""),TRUE))</formula>
    </cfRule>
    <cfRule type="expression" dxfId="94" priority="52">
      <formula>IF(BS78&gt;=BT78,IF(BS78="",FALSE,TRUE))</formula>
    </cfRule>
  </conditionalFormatting>
  <conditionalFormatting sqref="BU36:BU42">
    <cfRule type="expression" dxfId="93" priority="332">
      <formula>OR(IF(BU36&lt;BV36,TRUE),IF(AND(BV36="",BU36&lt;&gt;""),TRUE))</formula>
    </cfRule>
    <cfRule type="expression" dxfId="92" priority="333">
      <formula>IF(BU36&gt;=BV36,IF(BU36="",FALSE,TRUE))</formula>
    </cfRule>
  </conditionalFormatting>
  <conditionalFormatting sqref="BU78:BU84">
    <cfRule type="expression" dxfId="91" priority="49">
      <formula>OR(IF(BU78&lt;BV78,TRUE),IF(AND(BV78="",BU78&lt;&gt;""),TRUE))</formula>
    </cfRule>
    <cfRule type="expression" dxfId="90" priority="50">
      <formula>IF(BU78&gt;=BV78,IF(BU78="",FALSE,TRUE))</formula>
    </cfRule>
  </conditionalFormatting>
  <conditionalFormatting sqref="BZ5:BZ14">
    <cfRule type="expression" dxfId="89" priority="326">
      <formula>OR(IF(BZ5&lt;CA5,TRUE),IF(AND(CA5="",BZ5&lt;&gt;""),TRUE))</formula>
    </cfRule>
    <cfRule type="expression" dxfId="88" priority="327">
      <formula>IF(BZ5&gt;=CA5,IF(BZ5="",FALSE,TRUE))</formula>
    </cfRule>
  </conditionalFormatting>
  <conditionalFormatting sqref="BZ17:BZ22 CB17:CB22">
    <cfRule type="expression" dxfId="87" priority="308">
      <formula>OR(IF(BZ17&lt;CA17,TRUE),IF(AND(CA17="",BZ17&lt;&gt;""),TRUE))</formula>
    </cfRule>
    <cfRule type="expression" dxfId="86" priority="309">
      <formula>IF(BZ17&gt;=CA17,IF(BZ17="",FALSE,TRUE))</formula>
    </cfRule>
  </conditionalFormatting>
  <conditionalFormatting sqref="BZ36:BZ42">
    <cfRule type="expression" dxfId="85" priority="314">
      <formula>OR(IF(BZ36&lt;CA36,TRUE),IF(AND(CA36="",BZ36&lt;&gt;""),TRUE))</formula>
    </cfRule>
    <cfRule type="expression" dxfId="84" priority="315">
      <formula>IF(BZ36&gt;=CA36,IF(BZ36="",FALSE,TRUE))</formula>
    </cfRule>
  </conditionalFormatting>
  <conditionalFormatting sqref="BZ78:BZ84">
    <cfRule type="expression" dxfId="83" priority="47">
      <formula>OR(IF(BZ78&lt;CA78,TRUE),IF(AND(CA78="",BZ78&lt;&gt;""),TRUE))</formula>
    </cfRule>
    <cfRule type="expression" dxfId="82" priority="48">
      <formula>IF(BZ78&gt;=CA78,IF(BZ78="",FALSE,TRUE))</formula>
    </cfRule>
  </conditionalFormatting>
  <conditionalFormatting sqref="CB5:CB14">
    <cfRule type="expression" dxfId="81" priority="226">
      <formula>OR(IF(CB5&lt;CC5,TRUE),IF(AND(CC5="",CB5&lt;&gt;""),TRUE))</formula>
    </cfRule>
    <cfRule type="expression" dxfId="80" priority="227">
      <formula>IF(CB5&gt;=CC5,IF(CB5="",FALSE,TRUE))</formula>
    </cfRule>
  </conditionalFormatting>
  <conditionalFormatting sqref="CB36:CB42">
    <cfRule type="expression" dxfId="79" priority="312">
      <formula>OR(IF(CB36&lt;CC36,TRUE),IF(AND(CC36="",CB36&lt;&gt;""),TRUE))</formula>
    </cfRule>
    <cfRule type="expression" dxfId="78" priority="313">
      <formula>IF(CB36&gt;=CC36,IF(CB36="",FALSE,TRUE))</formula>
    </cfRule>
  </conditionalFormatting>
  <conditionalFormatting sqref="CB78:CB84">
    <cfRule type="expression" dxfId="77" priority="45">
      <formula>OR(IF(CB78&lt;CC78,TRUE),IF(AND(CC78="",CB78&lt;&gt;""),TRUE))</formula>
    </cfRule>
    <cfRule type="expression" dxfId="76" priority="46">
      <formula>IF(CB78&gt;=CC78,IF(CB78="",FALSE,TRUE))</formula>
    </cfRule>
  </conditionalFormatting>
  <conditionalFormatting sqref="CG5:CG14 CI5:CI14">
    <cfRule type="expression" dxfId="75" priority="306">
      <formula>OR(IF(CG5&lt;CH5,TRUE),IF(AND(CH5="",CG5&lt;&gt;""),TRUE))</formula>
    </cfRule>
    <cfRule type="expression" dxfId="74" priority="307">
      <formula>IF(CG5&gt;=CH5,IF(CG5="",FALSE,TRUE))</formula>
    </cfRule>
  </conditionalFormatting>
  <conditionalFormatting sqref="CG17:CG22 CI17:CI22">
    <cfRule type="expression" dxfId="73" priority="288">
      <formula>OR(IF(CG17&lt;CH17,TRUE),IF(AND(CH17="",CG17&lt;&gt;""),TRUE))</formula>
    </cfRule>
    <cfRule type="expression" dxfId="72" priority="289">
      <formula>IF(CG17&gt;=CH17,IF(CG17="",FALSE,TRUE))</formula>
    </cfRule>
  </conditionalFormatting>
  <conditionalFormatting sqref="CG36:CG42">
    <cfRule type="expression" dxfId="71" priority="294">
      <formula>OR(IF(CG36&lt;CH36,TRUE),IF(AND(CH36="",CG36&lt;&gt;""),TRUE))</formula>
    </cfRule>
    <cfRule type="expression" dxfId="70" priority="295">
      <formula>IF(CG36&gt;=CH36,IF(CG36="",FALSE,TRUE))</formula>
    </cfRule>
  </conditionalFormatting>
  <conditionalFormatting sqref="CG78:CG84">
    <cfRule type="expression" dxfId="69" priority="43">
      <formula>OR(IF(CG78&lt;CH78,TRUE),IF(AND(CH78="",CG78&lt;&gt;""),TRUE))</formula>
    </cfRule>
    <cfRule type="expression" dxfId="68" priority="44">
      <formula>IF(CG78&gt;=CH78,IF(CG78="",FALSE,TRUE))</formula>
    </cfRule>
  </conditionalFormatting>
  <conditionalFormatting sqref="CI36:CI42">
    <cfRule type="expression" dxfId="67" priority="292">
      <formula>OR(IF(CI36&lt;CJ36,TRUE),IF(AND(CJ36="",CI36&lt;&gt;""),TRUE))</formula>
    </cfRule>
    <cfRule type="expression" dxfId="66" priority="293">
      <formula>IF(CI36&gt;=CJ36,IF(CI36="",FALSE,TRUE))</formula>
    </cfRule>
  </conditionalFormatting>
  <conditionalFormatting sqref="CI78:CI84">
    <cfRule type="expression" dxfId="65" priority="41">
      <formula>OR(IF(CI78&lt;CJ78,TRUE),IF(AND(CJ78="",CI78&lt;&gt;""),TRUE))</formula>
    </cfRule>
    <cfRule type="expression" dxfId="64" priority="42">
      <formula>IF(CI78&gt;=CJ78,IF(CI78="",FALSE,TRUE))</formula>
    </cfRule>
  </conditionalFormatting>
  <conditionalFormatting sqref="CN5:CN14 CP5:CP14">
    <cfRule type="expression" dxfId="63" priority="286">
      <formula>OR(IF(CN5&lt;CO5,TRUE),IF(AND(CO5="",CN5&lt;&gt;""),TRUE))</formula>
    </cfRule>
    <cfRule type="expression" dxfId="62" priority="287">
      <formula>IF(CN5&gt;=CO5,IF(CN5="",FALSE,TRUE))</formula>
    </cfRule>
  </conditionalFormatting>
  <conditionalFormatting sqref="CN17:CN22 CP17:CP22">
    <cfRule type="expression" dxfId="61" priority="268">
      <formula>OR(IF(CN17&lt;CO17,TRUE),IF(AND(CO17="",CN17&lt;&gt;""),TRUE))</formula>
    </cfRule>
    <cfRule type="expression" dxfId="60" priority="269">
      <formula>IF(CN17&gt;=CO17,IF(CN17="",FALSE,TRUE))</formula>
    </cfRule>
  </conditionalFormatting>
  <conditionalFormatting sqref="CN36:CN42">
    <cfRule type="expression" dxfId="59" priority="274">
      <formula>OR(IF(CN36&lt;CO36,TRUE),IF(AND(CO36="",CN36&lt;&gt;""),TRUE))</formula>
    </cfRule>
    <cfRule type="expression" dxfId="58" priority="275">
      <formula>IF(CN36&gt;=CO36,IF(CN36="",FALSE,TRUE))</formula>
    </cfRule>
  </conditionalFormatting>
  <conditionalFormatting sqref="CN78:CN84">
    <cfRule type="expression" dxfId="57" priority="39">
      <formula>OR(IF(CN78&lt;CO78,TRUE),IF(AND(CO78="",CN78&lt;&gt;""),TRUE))</formula>
    </cfRule>
    <cfRule type="expression" dxfId="56" priority="40">
      <formula>IF(CN78&gt;=CO78,IF(CN78="",FALSE,TRUE))</formula>
    </cfRule>
  </conditionalFormatting>
  <conditionalFormatting sqref="CP36:CP42">
    <cfRule type="expression" dxfId="55" priority="272">
      <formula>OR(IF(CP36&lt;CQ36,TRUE),IF(AND(CQ36="",CP36&lt;&gt;""),TRUE))</formula>
    </cfRule>
    <cfRule type="expression" dxfId="54" priority="273">
      <formula>IF(CP36&gt;=CQ36,IF(CP36="",FALSE,TRUE))</formula>
    </cfRule>
  </conditionalFormatting>
  <conditionalFormatting sqref="CP78:CP84">
    <cfRule type="expression" dxfId="53" priority="37">
      <formula>OR(IF(CP78&lt;CQ78,TRUE),IF(AND(CQ78="",CP78&lt;&gt;""),TRUE))</formula>
    </cfRule>
    <cfRule type="expression" dxfId="52" priority="38">
      <formula>IF(CP78&gt;=CQ78,IF(CP78="",FALSE,TRUE))</formula>
    </cfRule>
  </conditionalFormatting>
  <conditionalFormatting sqref="CU5:CU14 CW5:CW14">
    <cfRule type="expression" dxfId="51" priority="266">
      <formula>OR(IF(CU5&lt;CV5,TRUE),IF(AND(CV5="",CU5&lt;&gt;""),TRUE))</formula>
    </cfRule>
    <cfRule type="expression" dxfId="50" priority="267">
      <formula>IF(CU5&gt;=CV5,IF(CU5="",FALSE,TRUE))</formula>
    </cfRule>
  </conditionalFormatting>
  <conditionalFormatting sqref="CU17:CU22 CW17:CW22">
    <cfRule type="expression" dxfId="49" priority="248">
      <formula>OR(IF(CU17&lt;CV17,TRUE),IF(AND(CV17="",CU17&lt;&gt;""),TRUE))</formula>
    </cfRule>
    <cfRule type="expression" dxfId="48" priority="249">
      <formula>IF(CU17&gt;=CV17,IF(CU17="",FALSE,TRUE))</formula>
    </cfRule>
  </conditionalFormatting>
  <conditionalFormatting sqref="CU36:CU42">
    <cfRule type="expression" dxfId="47" priority="254">
      <formula>OR(IF(CU36&lt;CV36,TRUE),IF(AND(CV36="",CU36&lt;&gt;""),TRUE))</formula>
    </cfRule>
    <cfRule type="expression" dxfId="46" priority="255">
      <formula>IF(CU36&gt;=CV36,IF(CU36="",FALSE,TRUE))</formula>
    </cfRule>
  </conditionalFormatting>
  <conditionalFormatting sqref="CU78:CU84">
    <cfRule type="expression" dxfId="45" priority="35">
      <formula>OR(IF(CU78&lt;CV78,TRUE),IF(AND(CV78="",CU78&lt;&gt;""),TRUE))</formula>
    </cfRule>
    <cfRule type="expression" dxfId="44" priority="36">
      <formula>IF(CU78&gt;=CV78,IF(CU78="",FALSE,TRUE))</formula>
    </cfRule>
  </conditionalFormatting>
  <conditionalFormatting sqref="CW36:CW42">
    <cfRule type="expression" dxfId="43" priority="252">
      <formula>OR(IF(CW36&lt;CX36,TRUE),IF(AND(CX36="",CW36&lt;&gt;""),TRUE))</formula>
    </cfRule>
    <cfRule type="expression" dxfId="42" priority="253">
      <formula>IF(CW36&gt;=CX36,IF(CW36="",FALSE,TRUE))</formula>
    </cfRule>
  </conditionalFormatting>
  <conditionalFormatting sqref="CW78:CW84">
    <cfRule type="expression" dxfId="41" priority="33">
      <formula>OR(IF(CW78&lt;CX78,TRUE),IF(AND(CX78="",CW78&lt;&gt;""),TRUE))</formula>
    </cfRule>
    <cfRule type="expression" dxfId="40" priority="34">
      <formula>IF(CW78&gt;=CX78,IF(CW78="",FALSE,TRUE))</formula>
    </cfRule>
  </conditionalFormatting>
  <conditionalFormatting sqref="DB5:DB14 DD5:DD14">
    <cfRule type="expression" dxfId="39" priority="27">
      <formula>OR(IF(DB5&lt;DC5,TRUE),IF(AND(DC5="",DB5&lt;&gt;""),TRUE))</formula>
    </cfRule>
    <cfRule type="expression" dxfId="38" priority="28">
      <formula>IF(DB5&gt;=DC5,IF(DB5="",FALSE,TRUE))</formula>
    </cfRule>
  </conditionalFormatting>
  <conditionalFormatting sqref="DB17:DB22 DD17:DD22">
    <cfRule type="expression" dxfId="37" priority="21">
      <formula>OR(IF(DB17&lt;DC17,TRUE),IF(AND(DC17="",DB17&lt;&gt;""),TRUE))</formula>
    </cfRule>
    <cfRule type="expression" dxfId="36" priority="22">
      <formula>IF(DB17&gt;=DC17,IF(DB17="",FALSE,TRUE))</formula>
    </cfRule>
  </conditionalFormatting>
  <conditionalFormatting sqref="DB36:DB42">
    <cfRule type="expression" dxfId="35" priority="25">
      <formula>OR(IF(DB36&lt;DC36,TRUE),IF(AND(DC36="",DB36&lt;&gt;""),TRUE))</formula>
    </cfRule>
    <cfRule type="expression" dxfId="34" priority="26">
      <formula>IF(DB36&gt;=DC36,IF(DB36="",FALSE,TRUE))</formula>
    </cfRule>
  </conditionalFormatting>
  <conditionalFormatting sqref="DB78:DB84">
    <cfRule type="expression" dxfId="33" priority="19">
      <formula>OR(IF(DB78&lt;DC78,TRUE),IF(AND(DC78="",DB78&lt;&gt;""),TRUE))</formula>
    </cfRule>
    <cfRule type="expression" dxfId="32" priority="20">
      <formula>IF(DB78&gt;=DC78,IF(DB78="",FALSE,TRUE))</formula>
    </cfRule>
  </conditionalFormatting>
  <conditionalFormatting sqref="DD36:DD42">
    <cfRule type="expression" dxfId="31" priority="23">
      <formula>OR(IF(DD36&lt;DE36,TRUE),IF(AND(DE36="",DD36&lt;&gt;""),TRUE))</formula>
    </cfRule>
    <cfRule type="expression" dxfId="30" priority="24">
      <formula>IF(DD36&gt;=DE36,IF(DD36="",FALSE,TRUE))</formula>
    </cfRule>
  </conditionalFormatting>
  <conditionalFormatting sqref="DD78:DD84">
    <cfRule type="expression" dxfId="29" priority="17">
      <formula>OR(IF(DD78&lt;DE78,TRUE),IF(AND(DE78="",DD78&lt;&gt;""),TRUE))</formula>
    </cfRule>
    <cfRule type="expression" dxfId="28" priority="18">
      <formula>IF(DD78&gt;=DE78,IF(DD78="",FALSE,TRUE))</formula>
    </cfRule>
  </conditionalFormatting>
  <conditionalFormatting sqref="DI5:DI14 DK5:DK14">
    <cfRule type="expression" dxfId="27" priority="13">
      <formula>OR(IF(DI5&lt;DJ5,TRUE),IF(AND(DJ5="",DI5&lt;&gt;""),TRUE))</formula>
    </cfRule>
    <cfRule type="expression" dxfId="26" priority="14">
      <formula>IF(DI5&gt;=DJ5,IF(DI5="",FALSE,TRUE))</formula>
    </cfRule>
  </conditionalFormatting>
  <conditionalFormatting sqref="DI17:DI22 DK17:DK22">
    <cfRule type="expression" dxfId="25" priority="7">
      <formula>OR(IF(DI17&lt;DJ17,TRUE),IF(AND(DJ17="",DI17&lt;&gt;""),TRUE))</formula>
    </cfRule>
    <cfRule type="expression" dxfId="24" priority="8">
      <formula>IF(DI17&gt;=DJ17,IF(DI17="",FALSE,TRUE))</formula>
    </cfRule>
  </conditionalFormatting>
  <conditionalFormatting sqref="DI45:DI46 DK45:DK46 DI48:DI53 DK48:DK53 DI56:DI61 DK56:DK61">
    <cfRule type="expression" dxfId="23" priority="15">
      <formula>OR(IF(DI45&lt;DJ45,TRUE),IF(AND(DJ45="",DI45&lt;&gt;""),TRUE))</formula>
    </cfRule>
    <cfRule type="expression" dxfId="22" priority="16">
      <formula>IF(DI45&gt;=DJ45,IF(DI45="",FALSE,TRUE))</formula>
    </cfRule>
  </conditionalFormatting>
  <conditionalFormatting sqref="DI36:DI42">
    <cfRule type="expression" dxfId="21" priority="11">
      <formula>OR(IF(DI36&lt;DJ36,TRUE),IF(AND(DJ36="",DI36&lt;&gt;""),TRUE))</formula>
    </cfRule>
    <cfRule type="expression" dxfId="20" priority="12">
      <formula>IF(DI36&gt;=DJ36,IF(DI36="",FALSE,TRUE))</formula>
    </cfRule>
  </conditionalFormatting>
  <conditionalFormatting sqref="DI63:DI76 DK63:DK76">
    <cfRule type="expression" dxfId="19" priority="5">
      <formula>OR(IF(DI63&lt;DJ63,TRUE),IF(AND(DJ63="",DI63&lt;&gt;""),TRUE))</formula>
    </cfRule>
    <cfRule type="expression" dxfId="18" priority="6">
      <formula>IF(DI63&gt;=DJ63,IF(DI63="",FALSE,TRUE))</formula>
    </cfRule>
  </conditionalFormatting>
  <conditionalFormatting sqref="DI78:DI84">
    <cfRule type="expression" dxfId="17" priority="3">
      <formula>OR(IF(DI78&lt;DJ78,TRUE),IF(AND(DJ78="",DI78&lt;&gt;""),TRUE))</formula>
    </cfRule>
    <cfRule type="expression" dxfId="16" priority="4">
      <formula>IF(DI78&gt;=DJ78,IF(DI78="",FALSE,TRUE))</formula>
    </cfRule>
  </conditionalFormatting>
  <conditionalFormatting sqref="DK36:DK42">
    <cfRule type="expression" dxfId="15" priority="9">
      <formula>OR(IF(DK36&lt;DL36,TRUE),IF(AND(DL36="",DK36&lt;&gt;""),TRUE))</formula>
    </cfRule>
    <cfRule type="expression" dxfId="14" priority="10">
      <formula>IF(DK36&gt;=DL36,IF(DK36="",FALSE,TRUE))</formula>
    </cfRule>
  </conditionalFormatting>
  <conditionalFormatting sqref="DK78:DK84">
    <cfRule type="expression" dxfId="13" priority="1">
      <formula>OR(IF(DK78&lt;DL78,TRUE),IF(AND(DL78="",DK78&lt;&gt;""),TRUE))</formula>
    </cfRule>
    <cfRule type="expression" dxfId="12" priority="2">
      <formula>IF(DK78&gt;=DL78,IF(DK78="",FALSE,TRUE))</formula>
    </cfRule>
  </conditionalFormatting>
  <conditionalFormatting sqref="J25:J34">
    <cfRule type="colorScale" priority="1150">
      <colorScale>
        <cfvo type="percent" val="0"/>
        <cfvo type="percent" val="100"/>
        <color rgb="FFFF231B"/>
        <color rgb="FF10FF07"/>
      </colorScale>
    </cfRule>
  </conditionalFormatting>
  <conditionalFormatting sqref="J26:K34">
    <cfRule type="colorScale" priority="1152">
      <colorScale>
        <cfvo type="percent" val="0"/>
        <cfvo type="percent" val="100"/>
        <color rgb="FFFF231B"/>
        <color rgb="FF10FF07"/>
      </colorScale>
    </cfRule>
  </conditionalFormatting>
  <conditionalFormatting sqref="K25:K34">
    <cfRule type="colorScale" priority="1154">
      <colorScale>
        <cfvo type="percent" val="0"/>
        <cfvo type="percent" val="100"/>
        <color rgb="FFFF231B"/>
        <color rgb="FF10FF07"/>
      </colorScale>
    </cfRule>
  </conditionalFormatting>
  <dataValidations count="1">
    <dataValidation type="list" allowBlank="1" showInputMessage="1" showErrorMessage="1" sqref="CG45:CJ46 BZ36:CC42 BZ45:CC46 CG36:CJ42 CN36:CQ42 CN45:CQ46 CU36:CX42 CU45:CX46 DI63:DL76 CU48:CX53 BZ5:CC14 BS5:BV14 CG5:CJ14 CU5:CX14 BZ17:CC22 CU17:CX22 CN5:CQ14 CG17:CJ22 BS17:BV22 BZ48:CC53 CG63:CJ76 CO75:CO76 CN17:CQ22 CG48:CJ53 CP48:CQ53 AJ36:AM42 AC45:AF46 BL45:BO46 O45:R46 BL78:BO84 O78:R84 AX78:BA84 BE78:BH84 AQ78:AT84 AJ78:AM84 AC78:AF84 V78:Y84 BS78:BV84 BZ78:CC84 CG78:CJ84 CN78:CQ84 CU78:CX84 CU63:CX76 BS36:BV42 V45:Y46 BE45:BH46 AX45:BA46 AQ45:AT46 DB36:DE42 DB45:DE46 DB48:DE53 DB5:DE14 DB17:DE22 DB78:DE84 DB63:DE76 DI36:DL42 DI45:DL46 DI48:DL53 DI5:DL14 DI17:DL22 DI78:DL84 CN48:CN53 CN63:CN76 CP63:CQ76 BZ63:CC76 BS48:BV53 BS63:BV76 BS45:BV46 BL36:BO42 BL63:BO76 BL17:BO22 BL5:BO14 BL48:BO53 BE36:BH42 BE63:BH76 BE17:BH22 BE5:BH14 BE48:BH53 AX36:BA42 AX63:BA76 AX17:BA22 AX5:BA14 AX48:BA53 AQ36:AT42 AQ63:AT76 AQ17:AT22 AQ5:AT14 AQ48:AT53 AJ45:AM46 AJ63:AM76 AJ17:AM22 AJ5:AM14 AJ48:AM53 AC36:AF42 AC63:AF76 AC17:AF22 AC5:AF14 AC48:AF53 V36:Y42 V63:Y76 V17:Y22 V5:Y14 V48:Y53 O36:R42 O63:R76 O17:R22 O5:R14 O48:R53 CP56:CQ61 CG56:CJ61 CU56:CX61 DB56:DE61 DI56:DL61 CN56:CN61 BZ56:CC61 BS56:BV61 BL56:BO61 BE56:BH61 AX56:BA61 AQ56:AT61 AJ56:AM61 AC56:AF61 V56:Y61 O56:R61 O25:R34 CN25:CQ34 V25:Y34 AC25:AF34 AJ25:AM34 AQ25:AT34 AX25:BA34 BE25:BH34 BL25:BO34 BS25:BV34 DI25:DL34 DB25:DE34 CU25:CX34 BZ25:CC34 CG25:CJ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C0D1-42A1-EF4F-9FFF-F1AD343208BA}">
  <dimension ref="A1"/>
  <sheetViews>
    <sheetView workbookViewId="0"/>
  </sheetViews>
  <sheetFormatPr baseColWidth="10" defaultRowHeight="16" x14ac:dyDescent="0.2"/>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41</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40</v>
      </c>
    </row>
    <row r="19" spans="2:2" ht="153" x14ac:dyDescent="0.2">
      <c r="B19" s="1" t="s">
        <v>42</v>
      </c>
    </row>
    <row r="21" spans="2:2" x14ac:dyDescent="0.2">
      <c r="B21" s="2" t="s">
        <v>21</v>
      </c>
    </row>
    <row r="22" spans="2:2" ht="136" x14ac:dyDescent="0.2">
      <c r="B22" s="1" t="s">
        <v>43</v>
      </c>
    </row>
    <row r="24" spans="2:2" x14ac:dyDescent="0.2">
      <c r="B24" s="2" t="s">
        <v>22</v>
      </c>
    </row>
    <row r="25" spans="2:2" ht="136" x14ac:dyDescent="0.2">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50</v>
      </c>
      <c r="B1" s="15" t="s">
        <v>47</v>
      </c>
      <c r="C1" s="15" t="s">
        <v>48</v>
      </c>
      <c r="D1" s="15" t="s">
        <v>49</v>
      </c>
      <c r="E1" s="1" t="s">
        <v>51</v>
      </c>
      <c r="F1" s="1" t="s">
        <v>52</v>
      </c>
      <c r="G1" s="1" t="s">
        <v>53</v>
      </c>
      <c r="H1" s="1" t="s">
        <v>54</v>
      </c>
      <c r="I1" s="1" t="s">
        <v>55</v>
      </c>
      <c r="J1" s="1" t="s">
        <v>56</v>
      </c>
      <c r="K1" s="1" t="s">
        <v>57</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Seemann, Joshua</cp:lastModifiedBy>
  <dcterms:created xsi:type="dcterms:W3CDTF">2020-04-19T13:33:28Z</dcterms:created>
  <dcterms:modified xsi:type="dcterms:W3CDTF">2023-04-19T11:02:02Z</dcterms:modified>
</cp:coreProperties>
</file>