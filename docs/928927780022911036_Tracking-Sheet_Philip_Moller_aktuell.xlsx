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Admin\Documents\Pumpkin\Lernen\"/>
    </mc:Choice>
  </mc:AlternateContent>
  <xr:revisionPtr revIDLastSave="0" documentId="13_ncr:1_{234B9F32-4164-4000-BA0C-BE2BF7866C25}" xr6:coauthVersionLast="45" xr6:coauthVersionMax="47" xr10:uidLastSave="{00000000-0000-0000-0000-000000000000}"/>
  <bookViews>
    <workbookView xWindow="-120" yWindow="-120" windowWidth="38640" windowHeight="21240" activeTab="1" xr2:uid="{50F29292-BE80-0C47-A0D2-DD086CB3D310}"/>
  </bookViews>
  <sheets>
    <sheet name="Anleitung" sheetId="2" r:id="rId1"/>
    <sheet name="Semesterplan" sheetId="7" r:id="rId2"/>
    <sheet name="COMMITTMENT" sheetId="9" r:id="rId3"/>
    <sheet name="Wochenplan KW 1" sheetId="3" r:id="rId4"/>
    <sheet name="Wochenplan KW 2" sheetId="8" r:id="rId5"/>
    <sheet name="Wochenplan KW 3" sheetId="13" r:id="rId6"/>
    <sheet name="Wochenplan KW 4" sheetId="14" r:id="rId7"/>
    <sheet name="Wochenplan KW 5" sheetId="15" r:id="rId8"/>
    <sheet name="Wochenplan KW 6" sheetId="16" r:id="rId9"/>
    <sheet name="Wochenplan KW 7" sheetId="17" r:id="rId10"/>
    <sheet name="Wochenplan KW 8" sheetId="18" r:id="rId11"/>
    <sheet name="Wochenplan KW 9" sheetId="19" r:id="rId12"/>
    <sheet name="Wochenplan KW 10" sheetId="20" r:id="rId13"/>
    <sheet name="Wochenplan KW 11" sheetId="21" r:id="rId14"/>
    <sheet name="Wochenplan KW 12" sheetId="22" r:id="rId15"/>
    <sheet name="Wochenplan KW 13" sheetId="23" r:id="rId16"/>
    <sheet name="Wochenplan KW 14" sheetId="24" r:id="rId17"/>
    <sheet name="Wochenplan KW 15" sheetId="25"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80" i="7" l="1"/>
  <c r="AP4" i="7"/>
  <c r="CN4" i="7"/>
  <c r="G47" i="7"/>
  <c r="K63" i="7"/>
  <c r="J63" i="7"/>
  <c r="I63" i="7"/>
  <c r="K62" i="7"/>
  <c r="J62" i="7"/>
  <c r="I62" i="7"/>
  <c r="K61" i="7"/>
  <c r="J61" i="7"/>
  <c r="I61" i="7"/>
  <c r="K60" i="7"/>
  <c r="J60" i="7"/>
  <c r="I60" i="7"/>
  <c r="K59" i="7"/>
  <c r="J59" i="7"/>
  <c r="I59" i="7"/>
  <c r="K58" i="7"/>
  <c r="J58" i="7"/>
  <c r="I58" i="7"/>
  <c r="G19" i="7"/>
  <c r="G33" i="7"/>
  <c r="K45" i="7"/>
  <c r="J45" i="7"/>
  <c r="I45" i="7"/>
  <c r="K43" i="7"/>
  <c r="J43" i="7"/>
  <c r="I43" i="7"/>
  <c r="DI80" i="7" l="1"/>
  <c r="DI65" i="7"/>
  <c r="DI47" i="7"/>
  <c r="DI4" i="7"/>
  <c r="DB47" i="7"/>
  <c r="CU65" i="7"/>
  <c r="CU47" i="7"/>
  <c r="CN80" i="7"/>
  <c r="CN65" i="7"/>
  <c r="CN47" i="7"/>
  <c r="CG80" i="7"/>
  <c r="CG65" i="7"/>
  <c r="CG47" i="7"/>
  <c r="CG4" i="7"/>
  <c r="BZ80" i="7"/>
  <c r="BZ65" i="7"/>
  <c r="BZ47" i="7"/>
  <c r="BZ4" i="7"/>
  <c r="BS80" i="7"/>
  <c r="BS65" i="7"/>
  <c r="BS47" i="7"/>
  <c r="BS4" i="7"/>
  <c r="BL80" i="7"/>
  <c r="BL65" i="7"/>
  <c r="BL47" i="7"/>
  <c r="BL4" i="7"/>
  <c r="K17" i="7"/>
  <c r="J17" i="7"/>
  <c r="I17" i="7"/>
  <c r="K93" i="7"/>
  <c r="J93" i="7"/>
  <c r="I93" i="7"/>
  <c r="K78" i="7"/>
  <c r="J78" i="7"/>
  <c r="I78" i="7"/>
  <c r="K31" i="7"/>
  <c r="J31" i="7"/>
  <c r="I31" i="7"/>
  <c r="K30" i="7"/>
  <c r="J30" i="7"/>
  <c r="I30" i="7"/>
  <c r="K29" i="7"/>
  <c r="J29" i="7"/>
  <c r="I29" i="7"/>
  <c r="K28" i="7"/>
  <c r="J28" i="7"/>
  <c r="I28" i="7"/>
  <c r="K27" i="7"/>
  <c r="J27" i="7"/>
  <c r="I27" i="7"/>
  <c r="K26" i="7"/>
  <c r="J26" i="7"/>
  <c r="I26" i="7"/>
  <c r="I6" i="7"/>
  <c r="J6" i="7"/>
  <c r="K6" i="7"/>
  <c r="I7" i="7"/>
  <c r="J7" i="7"/>
  <c r="K7" i="7"/>
  <c r="I8" i="7"/>
  <c r="J8" i="7"/>
  <c r="K8" i="7"/>
  <c r="K92" i="7"/>
  <c r="J92" i="7"/>
  <c r="I92" i="7"/>
  <c r="K91" i="7"/>
  <c r="J91" i="7"/>
  <c r="I91" i="7"/>
  <c r="K90" i="7"/>
  <c r="J90" i="7"/>
  <c r="I90" i="7"/>
  <c r="K89" i="7"/>
  <c r="J89" i="7"/>
  <c r="I89" i="7"/>
  <c r="K88" i="7"/>
  <c r="J88" i="7"/>
  <c r="I88" i="7"/>
  <c r="K87" i="7"/>
  <c r="J87" i="7"/>
  <c r="I87" i="7"/>
  <c r="K86" i="7"/>
  <c r="J86" i="7"/>
  <c r="I86" i="7"/>
  <c r="K85" i="7"/>
  <c r="J85" i="7"/>
  <c r="I85" i="7"/>
  <c r="K84" i="7"/>
  <c r="J84" i="7"/>
  <c r="I84" i="7"/>
  <c r="K83" i="7"/>
  <c r="J83" i="7"/>
  <c r="I83" i="7"/>
  <c r="K82" i="7"/>
  <c r="J82" i="7"/>
  <c r="I82" i="7"/>
  <c r="K81" i="7"/>
  <c r="J81" i="7"/>
  <c r="I81" i="7"/>
  <c r="BD80" i="7"/>
  <c r="AW80" i="7"/>
  <c r="AP80" i="7"/>
  <c r="AI80" i="7"/>
  <c r="AB80" i="7"/>
  <c r="U80" i="7"/>
  <c r="K77" i="7"/>
  <c r="J77" i="7"/>
  <c r="I77" i="7"/>
  <c r="K76" i="7"/>
  <c r="J76" i="7"/>
  <c r="I76" i="7"/>
  <c r="K75" i="7"/>
  <c r="J75" i="7"/>
  <c r="I75" i="7"/>
  <c r="K74" i="7"/>
  <c r="J74" i="7"/>
  <c r="I74" i="7"/>
  <c r="K73" i="7"/>
  <c r="J73" i="7"/>
  <c r="I73" i="7"/>
  <c r="K72" i="7"/>
  <c r="J72" i="7"/>
  <c r="I72" i="7"/>
  <c r="K71" i="7"/>
  <c r="J71" i="7"/>
  <c r="I71" i="7"/>
  <c r="K70" i="7"/>
  <c r="J70" i="7"/>
  <c r="I70" i="7"/>
  <c r="K69" i="7"/>
  <c r="J69" i="7"/>
  <c r="I69" i="7"/>
  <c r="K68" i="7"/>
  <c r="J68" i="7"/>
  <c r="I68" i="7"/>
  <c r="K67" i="7"/>
  <c r="J67" i="7"/>
  <c r="I67" i="7"/>
  <c r="K66" i="7"/>
  <c r="J66" i="7"/>
  <c r="I66" i="7"/>
  <c r="BD65" i="7"/>
  <c r="AW65" i="7"/>
  <c r="AP65" i="7"/>
  <c r="AI65" i="7"/>
  <c r="AB65" i="7"/>
  <c r="U65" i="7"/>
  <c r="G65" i="7"/>
  <c r="K57" i="7"/>
  <c r="J57" i="7"/>
  <c r="I57" i="7"/>
  <c r="K56" i="7"/>
  <c r="J56" i="7"/>
  <c r="I56" i="7"/>
  <c r="K55" i="7"/>
  <c r="J55" i="7"/>
  <c r="I55" i="7"/>
  <c r="K54" i="7"/>
  <c r="J54" i="7"/>
  <c r="I54" i="7"/>
  <c r="K53" i="7"/>
  <c r="J53" i="7"/>
  <c r="I53" i="7"/>
  <c r="K52" i="7"/>
  <c r="J52" i="7"/>
  <c r="I52" i="7"/>
  <c r="K51" i="7"/>
  <c r="J51" i="7"/>
  <c r="I51" i="7"/>
  <c r="K50" i="7"/>
  <c r="J50" i="7"/>
  <c r="I50" i="7"/>
  <c r="K49" i="7"/>
  <c r="J49" i="7"/>
  <c r="I49" i="7"/>
  <c r="K48" i="7"/>
  <c r="J48" i="7"/>
  <c r="I48" i="7"/>
  <c r="BD47" i="7"/>
  <c r="AW47" i="7"/>
  <c r="AP47" i="7"/>
  <c r="AI47" i="7"/>
  <c r="AB47" i="7"/>
  <c r="U47" i="7"/>
  <c r="AP19" i="7"/>
  <c r="AI19" i="7"/>
  <c r="AB19" i="7"/>
  <c r="U19" i="7"/>
  <c r="BD4" i="7"/>
  <c r="AW4" i="7"/>
  <c r="AI4" i="7"/>
  <c r="AB4" i="7"/>
  <c r="U4" i="7"/>
  <c r="G4" i="7"/>
  <c r="AP33" i="7"/>
  <c r="AI33" i="7"/>
  <c r="AB33" i="7"/>
  <c r="U33" i="7"/>
  <c r="I44" i="7"/>
  <c r="I42" i="7"/>
  <c r="I41" i="7"/>
  <c r="I40" i="7"/>
  <c r="I39" i="7"/>
  <c r="I38" i="7"/>
  <c r="I37" i="7"/>
  <c r="I36" i="7"/>
  <c r="I35" i="7"/>
  <c r="I34" i="7"/>
  <c r="I25" i="7"/>
  <c r="I24" i="7"/>
  <c r="I23" i="7"/>
  <c r="I22" i="7"/>
  <c r="I21" i="7"/>
  <c r="I20" i="7"/>
  <c r="I16" i="7"/>
  <c r="I9" i="7"/>
  <c r="I10" i="7"/>
  <c r="I11" i="7"/>
  <c r="I12" i="7"/>
  <c r="I13" i="7"/>
  <c r="I14" i="7"/>
  <c r="I15" i="7"/>
  <c r="I5" i="7"/>
  <c r="K44" i="7"/>
  <c r="J44" i="7"/>
  <c r="K42" i="7"/>
  <c r="J42" i="7"/>
  <c r="K41" i="7"/>
  <c r="J41" i="7"/>
  <c r="K40" i="7"/>
  <c r="J40" i="7"/>
  <c r="K39" i="7"/>
  <c r="J39" i="7"/>
  <c r="K38" i="7"/>
  <c r="J38" i="7"/>
  <c r="K37" i="7"/>
  <c r="J37" i="7"/>
  <c r="K36" i="7"/>
  <c r="J36" i="7"/>
  <c r="K35" i="7"/>
  <c r="J35" i="7"/>
  <c r="K34" i="7"/>
  <c r="J34" i="7"/>
  <c r="J5" i="7"/>
  <c r="K25" i="7"/>
  <c r="J25" i="7"/>
  <c r="K24" i="7"/>
  <c r="J24" i="7"/>
  <c r="K23" i="7"/>
  <c r="J23" i="7"/>
  <c r="K22" i="7"/>
  <c r="J22" i="7"/>
  <c r="K21" i="7"/>
  <c r="J21" i="7"/>
  <c r="K20" i="7"/>
  <c r="J20" i="7"/>
  <c r="K9" i="7"/>
  <c r="K10" i="7"/>
  <c r="K11" i="7"/>
  <c r="K12" i="7"/>
  <c r="K13" i="7"/>
  <c r="K14" i="7"/>
  <c r="K15" i="7"/>
  <c r="K16" i="7"/>
  <c r="J9" i="7"/>
  <c r="J10" i="7"/>
  <c r="J11" i="7"/>
  <c r="J12" i="7"/>
  <c r="J13" i="7"/>
  <c r="J14" i="7"/>
  <c r="J15" i="7"/>
  <c r="J16" i="7"/>
  <c r="K5" i="7"/>
  <c r="J33" i="7" l="1"/>
  <c r="K80" i="7"/>
  <c r="K47" i="7"/>
  <c r="K65" i="7"/>
  <c r="I47" i="7"/>
  <c r="J47" i="7"/>
  <c r="I65" i="7"/>
  <c r="J65" i="7"/>
  <c r="I80" i="7"/>
  <c r="J80" i="7"/>
  <c r="I33" i="7"/>
  <c r="K33" i="7"/>
  <c r="I19" i="7"/>
  <c r="J19" i="7"/>
  <c r="K19" i="7"/>
  <c r="K4" i="7"/>
  <c r="I4" i="7" l="1"/>
  <c r="J4" i="7"/>
</calcChain>
</file>

<file path=xl/sharedStrings.xml><?xml version="1.0" encoding="utf-8"?>
<sst xmlns="http://schemas.openxmlformats.org/spreadsheetml/2006/main" count="558" uniqueCount="183">
  <si>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</si>
  <si>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</si>
  <si>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</si>
  <si>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</si>
  <si>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</si>
  <si>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</si>
  <si>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</si>
  <si>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</si>
  <si>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</si>
  <si>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</si>
  <si>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</si>
  <si>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</si>
  <si>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</si>
  <si>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</si>
  <si>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</si>
  <si>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</si>
  <si>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</si>
  <si>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</si>
  <si>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</si>
  <si>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</si>
  <si>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</si>
  <si>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</si>
  <si>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</si>
  <si>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</si>
  <si>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</si>
  <si>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</si>
  <si>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</si>
  <si>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</si>
  <si>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</si>
  <si>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</si>
  <si>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</si>
  <si>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</si>
  <si>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</si>
  <si>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</si>
  <si>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</si>
  <si>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</si>
  <si>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</si>
  <si>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</si>
  <si>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</si>
  <si>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Mikroökonomie</t>
  </si>
  <si>
    <t>Lerneinheiten durchgezogen</t>
  </si>
  <si>
    <t>Tagesplan erstellt</t>
  </si>
  <si>
    <t>Konzentrationslevel</t>
  </si>
  <si>
    <t>Datum</t>
  </si>
  <si>
    <t>Kcal</t>
  </si>
  <si>
    <t>Fette</t>
  </si>
  <si>
    <t>Eiweiss</t>
  </si>
  <si>
    <t>Kohlenhydrate</t>
  </si>
  <si>
    <t>Gewicht</t>
  </si>
  <si>
    <t>Sonstiges Gefühl</t>
  </si>
  <si>
    <t>Optimierungen</t>
  </si>
  <si>
    <t>Bürgerliches Recht</t>
  </si>
  <si>
    <t>Handels- &amp; Gesellschaftsrecht</t>
  </si>
  <si>
    <t>Externes Rechnungswesen</t>
  </si>
  <si>
    <t>Vorkurs Woche 1</t>
  </si>
  <si>
    <t>Mathematik I</t>
  </si>
  <si>
    <t>Vorkurs Woche 2</t>
  </si>
  <si>
    <t>Vorkurs Woche 3</t>
  </si>
  <si>
    <t>Vorkurs Woche 4</t>
  </si>
  <si>
    <t>1) Einführung in das bürgerliche Recht</t>
  </si>
  <si>
    <t>2) Normenhierarchie und Begriffe</t>
  </si>
  <si>
    <t>3) Begriffe und Rechtsnormen</t>
  </si>
  <si>
    <t>5) Rechtsgeschäftslehre, Willenserklärungen</t>
  </si>
  <si>
    <t>6) Geschäftsfähigkeit</t>
  </si>
  <si>
    <t>7) Willensmängel, Dissens, Anfechtung</t>
  </si>
  <si>
    <t>8) Stellvertretung</t>
  </si>
  <si>
    <t>9) Beispielfall allg. BGB</t>
  </si>
  <si>
    <t>4) Anspruchsgrundlage prüfen (Beispielfall)</t>
  </si>
  <si>
    <t>10) Verbraucherschutz und AGB</t>
  </si>
  <si>
    <t>11) Allg. Schuldrecht und Leistungsstörungen</t>
  </si>
  <si>
    <t>12) Pflichtverletzung, Verzögerungsschaden, Gläubigerverzug</t>
  </si>
  <si>
    <t>1) Grundlagen des Handels- und Gesellschaftsrechts</t>
  </si>
  <si>
    <t>Handelsrecht</t>
  </si>
  <si>
    <t>5) Handelsgeschäftslehre, insb. Handelskauf</t>
  </si>
  <si>
    <t>4) Übertragung von Handelsgeschäften</t>
  </si>
  <si>
    <t>3) Handelsfirma und Handelsregister</t>
  </si>
  <si>
    <t>2) Kaufleute</t>
  </si>
  <si>
    <t>6) Handelsrechtliche Stellvertretung, Kaufmännische Absatz- und Geschäftsmittler</t>
  </si>
  <si>
    <t>Gesellschaftsrecht</t>
  </si>
  <si>
    <t>7) Gesellschaftsrecht, Gesellschaftsformen und Formwahl</t>
  </si>
  <si>
    <t>8) Gesellschaft bürgerlichen Rechts</t>
  </si>
  <si>
    <t>9) Offene Handelsgesellschaft</t>
  </si>
  <si>
    <t>10) Kommanditgesellschaft (inkl. GmbH &amp; Co. KG), Stille Gesellschaft</t>
  </si>
  <si>
    <t>2) Budgetbeschränkung</t>
  </si>
  <si>
    <t>3) Präferenzen und Nutzen</t>
  </si>
  <si>
    <t>4) Konsumentscheidung</t>
  </si>
  <si>
    <t>5) Nachfrage</t>
  </si>
  <si>
    <t>6) Bekundete Präferenzen</t>
  </si>
  <si>
    <t>7) Preiserhöhungen, Slutsky-Gleichung</t>
  </si>
  <si>
    <t>8) Kaufen und Verkaufen</t>
  </si>
  <si>
    <t>9) Tausch</t>
  </si>
  <si>
    <t>10) Produzieren und Konsumieren</t>
  </si>
  <si>
    <t>1) Grundlagen der Buchführung</t>
  </si>
  <si>
    <t>2) Buchung auf Bestandskonten</t>
  </si>
  <si>
    <t>3) Buchung auf Erfolgskonten</t>
  </si>
  <si>
    <t>4) Grundbegriffe des Rechnungswesens + Personalbuchung</t>
  </si>
  <si>
    <t>5) Privattransaktionen und Umsatzsteuer</t>
  </si>
  <si>
    <t>6) Laufende Buchungen im Handels- / Industriebetrieb</t>
  </si>
  <si>
    <t>7) Gesamt- / Umsatzkostenverfahren</t>
  </si>
  <si>
    <t>x) Personalbuchung</t>
  </si>
  <si>
    <t>8) Allg. Ansatz- und Bewertungsgrundsätze &amp; Bilanzierung des Anlagevermögens</t>
  </si>
  <si>
    <t>9) Bilanzierung des Umlaufvermögens &amp; Rechnungsabgrenzungsposten</t>
  </si>
  <si>
    <t>10) Verbindlichkeiten und Rückstellungen</t>
  </si>
  <si>
    <t>11) Eigenkapital und Jahresabschluss</t>
  </si>
  <si>
    <t>12) Latente Steuern</t>
  </si>
  <si>
    <t>Einführung VWL und  Wirtschaftsgeschichte</t>
  </si>
  <si>
    <t>2) Wissenschaftstheorie, Malthus, industrielle Revolution</t>
  </si>
  <si>
    <t>1) Was ist VWL / Wirtschaftsgeschichte + Kapitalistische Revolution</t>
  </si>
  <si>
    <t>3) Kanppheit, Arbeit und individuelle Entscheidungen</t>
  </si>
  <si>
    <t>4) Soziale Interaktion</t>
  </si>
  <si>
    <t>5) Eigentum und Macht: Interesse und Konflikt</t>
  </si>
  <si>
    <t>6) Unternehmen, unvollständige Verträge</t>
  </si>
  <si>
    <t>7) Angebot und Nachfrage, Gleichgewicht und Schocks</t>
  </si>
  <si>
    <t>8) Marktversagen und Politik, Arbeitsmärkte</t>
  </si>
  <si>
    <t>9) Geld, Kredit, Banken, der Goldstandard</t>
  </si>
  <si>
    <t>10) Inflation und Geldpolitik, deutsche Hyperinflation</t>
  </si>
  <si>
    <t>11) Fiskalpolitik und Arbeitslosigkeit, Weltwirtschaftskrise, Extremismus</t>
  </si>
  <si>
    <t>12) Das makroökonomische Trilemma, vom "goldenen Zeitalter" zur Finanzkrise</t>
  </si>
  <si>
    <t>13) Außenhandel, Globalisierung, Rodriks Trilemma</t>
  </si>
  <si>
    <t>Mathematik für WiWi's I</t>
  </si>
  <si>
    <t>1) Folgen und Reihen</t>
  </si>
  <si>
    <t>2) Funktionen mit einer Variablen</t>
  </si>
  <si>
    <t>3) Funktionen mit mehreren Variablen</t>
  </si>
  <si>
    <t>4) Konvexe Funktionen</t>
  </si>
  <si>
    <t>5) Extremwertbestimmung Funktionen mit mehreren Variablen</t>
  </si>
  <si>
    <t>6) Extremwertbestimmung F. mit mehreren unabhängigen Variablen unter NB</t>
  </si>
  <si>
    <t>7) Ergänzung zur Integralrechnung</t>
  </si>
  <si>
    <t>8) Differenzengleichung (DGL)</t>
  </si>
  <si>
    <t xml:space="preserve">9) Differentialgleichungen (DIGL) </t>
  </si>
  <si>
    <t>KW 1</t>
  </si>
  <si>
    <t>KW 2</t>
  </si>
  <si>
    <t>KW 3</t>
  </si>
  <si>
    <t>KW 4</t>
  </si>
  <si>
    <t>KW 5</t>
  </si>
  <si>
    <t>KW 6</t>
  </si>
  <si>
    <t>KW 7</t>
  </si>
  <si>
    <t>KW 8</t>
  </si>
  <si>
    <t>KW 9</t>
  </si>
  <si>
    <t>KW 10</t>
  </si>
  <si>
    <t>KW 11</t>
  </si>
  <si>
    <t>KW 12</t>
  </si>
  <si>
    <t>KW 13</t>
  </si>
  <si>
    <t>KW 14</t>
  </si>
  <si>
    <t>KW 15</t>
  </si>
  <si>
    <t>Grundlagen</t>
  </si>
  <si>
    <t>Grundlagen 2</t>
  </si>
  <si>
    <t>Grundlagen 3</t>
  </si>
  <si>
    <t>Grundlagen 4</t>
  </si>
  <si>
    <t>Aufstehen</t>
  </si>
  <si>
    <t>Frühstück</t>
  </si>
  <si>
    <t>Abendessen</t>
  </si>
  <si>
    <t>Gym</t>
  </si>
  <si>
    <t>Schlafen</t>
  </si>
  <si>
    <t>Einkaufen</t>
  </si>
  <si>
    <t>Transfer zur Bib</t>
  </si>
  <si>
    <t xml:space="preserve">Mittagessen </t>
  </si>
  <si>
    <t>außerorts</t>
  </si>
  <si>
    <t>Transfer zum Gym</t>
  </si>
  <si>
    <t>Transfer nach Hause</t>
  </si>
  <si>
    <t>Übung</t>
  </si>
  <si>
    <t>Mathe I</t>
  </si>
  <si>
    <t>H&amp;G Recht</t>
  </si>
  <si>
    <t>Julia kommt</t>
  </si>
  <si>
    <t>Lernblock</t>
  </si>
  <si>
    <t>Noten Live-Call</t>
  </si>
  <si>
    <t>Lernblock BGB</t>
  </si>
  <si>
    <t>Aufbruch nach HF</t>
  </si>
  <si>
    <t>11) Gesellschaft mit beschränkter Haftung</t>
  </si>
  <si>
    <t>12) Aktiengesellschaft</t>
  </si>
  <si>
    <t>11) Unsicherheit</t>
  </si>
  <si>
    <t>12) Zeit</t>
  </si>
  <si>
    <t>13) Konsumentenrente &amp; Marktnachfrage</t>
  </si>
  <si>
    <t>14) Technologie und Gewinnmaximierung</t>
  </si>
  <si>
    <t>15) Kostenminimierung, Kostenkurven und Angebot</t>
  </si>
  <si>
    <t>16) Angebot und Marktgleichgewicht</t>
  </si>
  <si>
    <t>Nein</t>
  </si>
  <si>
    <t>Ja</t>
  </si>
  <si>
    <t>Klausur am</t>
  </si>
  <si>
    <t xml:space="preserve">Klausur am </t>
  </si>
  <si>
    <t>den 12.04.</t>
  </si>
  <si>
    <t>den 17.02.</t>
  </si>
  <si>
    <t>den 11.04.</t>
  </si>
  <si>
    <t>den 14.04.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</si>
</sst>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theme="0"/>
      <name val="Calibri"/>
      <family val="2"/>
      <scheme val="minor"/>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002060"/>
        <bgColor indexed="64"/>
      </patternFill>
    </fill>
    <fill>
      <patternFill patternType="solid">
        <fgColor rgb="FFC00000"/>
        <bgColor indexed="64"/>
      </patternFill>
    </fill>
    <fill>
      <patternFill patternType="solid">
        <fgColor theme="0" tint="-0.34998626667073579"/>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4" fontId="5" fillId="4" borderId="0" xfId="0" applyNumberFormat="1" applyFont="1" applyFill="1"/>
    <xf numFmtId="14" fontId="5" fillId="5" borderId="0" xfId="0" applyNumberFormat="1" applyFont="1" applyFill="1"/>
    <xf numFmtId="0" fontId="5" fillId="6" borderId="0" xfId="0" applyFont="1" applyFill="1"/>
    <xf numFmtId="0" fontId="0" fillId="0" borderId="0" xfId="0" applyBorder="1"/>
    <xf numFmtId="0" fontId="5" fillId="6" borderId="1" xfId="0" applyFont="1" applyFill="1" applyBorder="1"/>
    <xf numFmtId="0" fontId="5" fillId="6" borderId="0" xfId="0" applyFont="1" applyFill="1" applyBorder="1"/>
    <xf numFmtId="0" fontId="0" fillId="6" borderId="0" xfId="0" applyFill="1"/>
    <xf numFmtId="0" fontId="0" fillId="7" borderId="0" xfId="0" applyFill="1"/>
    <xf numFmtId="0" fontId="0" fillId="0" borderId="0" xfId="0" applyFill="1" applyBorder="1"/>
    <xf numFmtId="0" fontId="5" fillId="5" borderId="0" xfId="0" applyFont="1" applyFill="1"/>
    <xf numFmtId="0" fontId="1" fillId="2" borderId="0" xfId="0" applyFont="1" applyFill="1" applyAlignment="1">
      <alignment horizontal="center"/>
    </xf>
  </cellXfs>
  <cellStyles count="1">
    <cellStyle name="Standard" xfId="0" builtinId="0"/>
  </cellStyles>
  <dxfs count="845">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123" totalsRowShown="0" headerRowDxfId="4">
  <autoFilter ref="A1:K123"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36</v>
      </c>
    </row>
    <row r="12" spans="2:2">
      <c r="B12" s="3" t="s">
        <v>17</v>
      </c>
    </row>
    <row r="13" spans="2:2" ht="126">
      <c r="B13" s="1" t="s">
        <v>18</v>
      </c>
    </row>
    <row r="15" spans="2:2">
      <c r="B15" s="3" t="s">
        <v>19</v>
      </c>
    </row>
    <row r="16" spans="2:2" ht="110.25">
      <c r="B16" s="1" t="s">
        <v>20</v>
      </c>
    </row>
    <row r="17" spans="2:2">
      <c r="B17" s="1"/>
    </row>
    <row r="18" spans="2:2">
      <c r="B18" s="3" t="s">
        <v>35</v>
      </c>
    </row>
    <row r="19" spans="2:2" ht="141.75">
      <c r="B19" s="1" t="s">
        <v>37</v>
      </c>
    </row>
    <row r="21" spans="2:2">
      <c r="B21" s="3" t="s">
        <v>21</v>
      </c>
    </row>
    <row r="22" spans="2:2" ht="110.25">
      <c r="B22" s="1" t="s">
        <v>38</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N93"/>
  <sheetViews>
    <sheetView showGridLines="0" tabSelected="1" zoomScale="90" zoomScaleNormal="90" workbookViewId="0">
      <pane xSplit="7" topLeftCell="H1" activePane="topRight" state="frozen"/>
      <selection pane="topRight" activeCell="Q37" sqref="Q37"/>
    </sheetView>
  </sheetViews>
  <sheetFormatPr baseColWidth="10" defaultColWidth="8.875" defaultRowHeight="15.75" outlineLevelRow="1"/>
  <cols>
    <col min="3" max="3" width="36.75" customWidth="1"/>
    <col min="4" max="4" width="13" bestFit="1" customWidth="1"/>
    <col min="5" max="5" width="4.875" bestFit="1" customWidth="1"/>
    <col min="6" max="6" width="65.25" customWidth="1"/>
    <col min="7" max="7" width="15.5" bestFit="1" customWidth="1"/>
    <col min="8" max="8" width="17.87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37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3" max="63" width="2.375" customWidth="1"/>
    <col min="65" max="65" width="12.5" bestFit="1" customWidth="1"/>
    <col min="66" max="66" width="6.375" customWidth="1"/>
    <col min="67" max="67" width="14.875" bestFit="1" customWidth="1"/>
    <col min="68" max="68" width="6" customWidth="1"/>
    <col min="69" max="69" width="12.625" bestFit="1" customWidth="1"/>
    <col min="70" max="70" width="2.375" customWidth="1"/>
    <col min="72" max="72" width="12.5" bestFit="1" customWidth="1"/>
    <col min="73" max="73" width="6.375" customWidth="1"/>
    <col min="74" max="74" width="14.875" bestFit="1" customWidth="1"/>
    <col min="75" max="75" width="6" customWidth="1"/>
    <col min="76" max="76" width="12.625" bestFit="1" customWidth="1"/>
    <col min="77" max="77" width="2.375" customWidth="1"/>
    <col min="79" max="79" width="12.5" bestFit="1" customWidth="1"/>
    <col min="80" max="80" width="6.375" customWidth="1"/>
    <col min="81" max="81" width="14.875" bestFit="1" customWidth="1"/>
    <col min="82" max="82" width="6" customWidth="1"/>
    <col min="83" max="83" width="12.625" bestFit="1" customWidth="1"/>
    <col min="84" max="84" width="2.375" customWidth="1"/>
    <col min="86" max="86" width="12.5" bestFit="1" customWidth="1"/>
    <col min="87" max="87" width="6.375" customWidth="1"/>
    <col min="88" max="88" width="14.875" bestFit="1" customWidth="1"/>
    <col min="89" max="89" width="6" customWidth="1"/>
    <col min="90" max="90" width="12.625" bestFit="1" customWidth="1"/>
    <col min="91" max="91" width="2.375" customWidth="1"/>
    <col min="93" max="93" width="12.5" bestFit="1" customWidth="1"/>
    <col min="94" max="94" width="6.375" customWidth="1"/>
    <col min="95" max="95" width="14.875" bestFit="1" customWidth="1"/>
    <col min="96" max="96" width="6" customWidth="1"/>
    <col min="97" max="97" width="12.625" bestFit="1" customWidth="1"/>
    <col min="98" max="98" width="2.375" customWidth="1"/>
    <col min="100" max="100" width="12.5" bestFit="1" customWidth="1"/>
    <col min="101" max="101" width="6.375" customWidth="1"/>
    <col min="102" max="102" width="14.875" bestFit="1" customWidth="1"/>
    <col min="103" max="103" width="6" customWidth="1"/>
    <col min="104" max="104" width="12.625" bestFit="1" customWidth="1"/>
    <col min="105" max="105" width="2.375" customWidth="1"/>
    <col min="107" max="107" width="12.5" bestFit="1" customWidth="1"/>
    <col min="108" max="108" width="6.375" customWidth="1"/>
    <col min="109" max="109" width="14.875" bestFit="1" customWidth="1"/>
    <col min="110" max="110" width="6" customWidth="1"/>
    <col min="111" max="111" width="12.625" bestFit="1" customWidth="1"/>
    <col min="112" max="112" width="2.375" customWidth="1"/>
    <col min="114" max="114" width="12.5" bestFit="1" customWidth="1"/>
    <col min="115" max="115" width="6.375" customWidth="1"/>
    <col min="116" max="116" width="14.875" bestFit="1" customWidth="1"/>
    <col min="117" max="117" width="6" customWidth="1"/>
    <col min="118" max="118" width="12.625" bestFit="1" customWidth="1"/>
  </cols>
  <sheetData>
    <row r="1" spans="2:118" ht="33.75">
      <c r="B1" s="5" t="s">
        <v>0</v>
      </c>
      <c r="D1" s="5"/>
      <c r="G1" s="15" t="s">
        <v>34</v>
      </c>
      <c r="I1" s="15" t="s">
        <v>34</v>
      </c>
      <c r="J1" s="15" t="s">
        <v>34</v>
      </c>
      <c r="K1" s="15" t="s">
        <v>34</v>
      </c>
    </row>
    <row r="2" spans="2:118">
      <c r="I2" s="29" t="s">
        <v>27</v>
      </c>
      <c r="J2" s="29"/>
      <c r="K2" s="29"/>
      <c r="L2" s="29"/>
      <c r="N2" s="29" t="s">
        <v>129</v>
      </c>
      <c r="O2" s="29"/>
      <c r="P2" s="29"/>
      <c r="Q2" s="29"/>
      <c r="R2" s="29"/>
      <c r="S2" s="29"/>
      <c r="U2" s="29" t="s">
        <v>130</v>
      </c>
      <c r="V2" s="29"/>
      <c r="W2" s="29"/>
      <c r="X2" s="29"/>
      <c r="Y2" s="29"/>
      <c r="Z2" s="29"/>
      <c r="AB2" s="29" t="s">
        <v>131</v>
      </c>
      <c r="AC2" s="29"/>
      <c r="AD2" s="29"/>
      <c r="AE2" s="29"/>
      <c r="AF2" s="29"/>
      <c r="AG2" s="29"/>
      <c r="AI2" s="29" t="s">
        <v>132</v>
      </c>
      <c r="AJ2" s="29"/>
      <c r="AK2" s="29"/>
      <c r="AL2" s="29"/>
      <c r="AM2" s="29"/>
      <c r="AN2" s="29"/>
      <c r="AP2" s="29" t="s">
        <v>133</v>
      </c>
      <c r="AQ2" s="29"/>
      <c r="AR2" s="29"/>
      <c r="AS2" s="29"/>
      <c r="AT2" s="29"/>
      <c r="AU2" s="29"/>
      <c r="AW2" s="29" t="s">
        <v>134</v>
      </c>
      <c r="AX2" s="29"/>
      <c r="AY2" s="29"/>
      <c r="AZ2" s="29"/>
      <c r="BA2" s="29"/>
      <c r="BB2" s="29"/>
      <c r="BD2" s="29" t="s">
        <v>135</v>
      </c>
      <c r="BE2" s="29"/>
      <c r="BF2" s="29"/>
      <c r="BG2" s="29"/>
      <c r="BH2" s="29"/>
      <c r="BI2" s="29"/>
      <c r="BL2" s="29" t="s">
        <v>136</v>
      </c>
      <c r="BM2" s="29"/>
      <c r="BN2" s="29"/>
      <c r="BO2" s="29"/>
      <c r="BP2" s="29"/>
      <c r="BQ2" s="29"/>
      <c r="BS2" s="29" t="s">
        <v>137</v>
      </c>
      <c r="BT2" s="29"/>
      <c r="BU2" s="29"/>
      <c r="BV2" s="29"/>
      <c r="BW2" s="29"/>
      <c r="BX2" s="29"/>
      <c r="BZ2" s="29" t="s">
        <v>138</v>
      </c>
      <c r="CA2" s="29"/>
      <c r="CB2" s="29"/>
      <c r="CC2" s="29"/>
      <c r="CD2" s="29"/>
      <c r="CE2" s="29"/>
      <c r="CG2" s="29" t="s">
        <v>139</v>
      </c>
      <c r="CH2" s="29"/>
      <c r="CI2" s="29"/>
      <c r="CJ2" s="29"/>
      <c r="CK2" s="29"/>
      <c r="CL2" s="29"/>
      <c r="CN2" s="29" t="s">
        <v>140</v>
      </c>
      <c r="CO2" s="29"/>
      <c r="CP2" s="29"/>
      <c r="CQ2" s="29"/>
      <c r="CR2" s="29"/>
      <c r="CS2" s="29"/>
      <c r="CU2" s="29" t="s">
        <v>141</v>
      </c>
      <c r="CV2" s="29"/>
      <c r="CW2" s="29"/>
      <c r="CX2" s="29"/>
      <c r="CY2" s="29"/>
      <c r="CZ2" s="29"/>
      <c r="DB2" s="29" t="s">
        <v>142</v>
      </c>
      <c r="DC2" s="29"/>
      <c r="DD2" s="29"/>
      <c r="DE2" s="29"/>
      <c r="DF2" s="29"/>
      <c r="DG2" s="29"/>
      <c r="DI2" s="29" t="s">
        <v>143</v>
      </c>
      <c r="DJ2" s="29"/>
      <c r="DK2" s="29"/>
      <c r="DL2" s="29"/>
      <c r="DM2" s="29"/>
      <c r="DN2" s="29"/>
    </row>
    <row r="3" spans="2:118">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L3" s="6" t="s">
        <v>11</v>
      </c>
      <c r="BM3" s="6" t="s">
        <v>2</v>
      </c>
      <c r="BN3" s="6" t="s">
        <v>33</v>
      </c>
      <c r="BO3" s="6" t="s">
        <v>3</v>
      </c>
      <c r="BP3" s="6" t="s">
        <v>33</v>
      </c>
      <c r="BQ3" s="6" t="s">
        <v>12</v>
      </c>
      <c r="BS3" s="6" t="s">
        <v>11</v>
      </c>
      <c r="BT3" s="6" t="s">
        <v>2</v>
      </c>
      <c r="BU3" s="6" t="s">
        <v>33</v>
      </c>
      <c r="BV3" s="6" t="s">
        <v>3</v>
      </c>
      <c r="BW3" s="6" t="s">
        <v>33</v>
      </c>
      <c r="BX3" s="6" t="s">
        <v>12</v>
      </c>
      <c r="BZ3" s="6" t="s">
        <v>11</v>
      </c>
      <c r="CA3" s="6" t="s">
        <v>2</v>
      </c>
      <c r="CB3" s="6" t="s">
        <v>33</v>
      </c>
      <c r="CC3" s="6" t="s">
        <v>3</v>
      </c>
      <c r="CD3" s="6" t="s">
        <v>33</v>
      </c>
      <c r="CE3" s="6" t="s">
        <v>12</v>
      </c>
      <c r="CG3" s="6" t="s">
        <v>11</v>
      </c>
      <c r="CH3" s="6" t="s">
        <v>2</v>
      </c>
      <c r="CI3" s="6" t="s">
        <v>33</v>
      </c>
      <c r="CJ3" s="6" t="s">
        <v>3</v>
      </c>
      <c r="CK3" s="6" t="s">
        <v>33</v>
      </c>
      <c r="CL3" s="6" t="s">
        <v>12</v>
      </c>
      <c r="CN3" s="6" t="s">
        <v>11</v>
      </c>
      <c r="CO3" s="6" t="s">
        <v>2</v>
      </c>
      <c r="CP3" s="6" t="s">
        <v>33</v>
      </c>
      <c r="CQ3" s="6" t="s">
        <v>3</v>
      </c>
      <c r="CR3" s="6" t="s">
        <v>33</v>
      </c>
      <c r="CS3" s="6" t="s">
        <v>12</v>
      </c>
      <c r="CU3" s="6" t="s">
        <v>11</v>
      </c>
      <c r="CV3" s="6" t="s">
        <v>2</v>
      </c>
      <c r="CW3" s="6" t="s">
        <v>33</v>
      </c>
      <c r="CX3" s="6" t="s">
        <v>3</v>
      </c>
      <c r="CY3" s="6" t="s">
        <v>33</v>
      </c>
      <c r="CZ3" s="6" t="s">
        <v>12</v>
      </c>
      <c r="DB3" s="6" t="s">
        <v>11</v>
      </c>
      <c r="DC3" s="6" t="s">
        <v>2</v>
      </c>
      <c r="DD3" s="6" t="s">
        <v>33</v>
      </c>
      <c r="DE3" s="6" t="s">
        <v>3</v>
      </c>
      <c r="DF3" s="6" t="s">
        <v>33</v>
      </c>
      <c r="DG3" s="6" t="s">
        <v>12</v>
      </c>
      <c r="DI3" s="6" t="s">
        <v>11</v>
      </c>
      <c r="DJ3" s="6" t="s">
        <v>2</v>
      </c>
      <c r="DK3" s="6" t="s">
        <v>33</v>
      </c>
      <c r="DL3" s="6" t="s">
        <v>3</v>
      </c>
      <c r="DM3" s="6" t="s">
        <v>33</v>
      </c>
      <c r="DN3" s="6" t="s">
        <v>12</v>
      </c>
    </row>
    <row r="4" spans="2:118">
      <c r="B4" t="s">
        <v>27</v>
      </c>
      <c r="C4" t="s">
        <v>119</v>
      </c>
      <c r="D4" s="19">
        <v>44663</v>
      </c>
      <c r="E4" s="11">
        <v>6</v>
      </c>
      <c r="G4" s="12">
        <f>+SUM(G5:G16)</f>
        <v>0.99999999999999989</v>
      </c>
      <c r="I4" s="14">
        <f>+SUM(I5:I16)</f>
        <v>87.5</v>
      </c>
      <c r="J4" s="13">
        <f>+SUMPRODUCT(G5:G16,J5:J16)</f>
        <v>0.13</v>
      </c>
      <c r="K4" s="13">
        <f>+SUMPRODUCT(G5:G16,K5:K16)</f>
        <v>0.13</v>
      </c>
      <c r="L4" s="11"/>
      <c r="N4" s="14">
        <v>5</v>
      </c>
      <c r="U4" s="14">
        <f>+SUM(U5:U16)</f>
        <v>7.5</v>
      </c>
      <c r="AB4" s="14">
        <f>+SUM(AB5:AB16)</f>
        <v>7.5</v>
      </c>
      <c r="AI4" s="14">
        <f>+SUM(AI5:AI16)</f>
        <v>7.5</v>
      </c>
      <c r="AP4" s="14">
        <f>+SUM(AP5:AP16)</f>
        <v>7.5</v>
      </c>
      <c r="AW4" s="14">
        <f>+SUM(AW5:AW16)</f>
        <v>7.5</v>
      </c>
      <c r="BD4" s="14">
        <f>+SUM(BD5:BD16)</f>
        <v>7.5</v>
      </c>
      <c r="BL4" s="14">
        <f>+SUM(BL5:BL16)</f>
        <v>7.5</v>
      </c>
      <c r="BS4" s="14">
        <f>+SUM(BS5:BS16)</f>
        <v>7.5</v>
      </c>
      <c r="BZ4" s="14">
        <f>+SUM(BZ5:BZ16)</f>
        <v>7.5</v>
      </c>
      <c r="CG4" s="14">
        <f>+SUM(CG5:CG16)</f>
        <v>7.5</v>
      </c>
      <c r="CN4" s="14">
        <f>+SUM(CN5:CN16)</f>
        <v>5</v>
      </c>
      <c r="CU4" s="14">
        <v>8</v>
      </c>
      <c r="DB4" s="14">
        <v>8</v>
      </c>
      <c r="DI4" s="14">
        <f>+SUM(DI5:DI16)</f>
        <v>0</v>
      </c>
    </row>
    <row r="5" spans="2:118" outlineLevel="1">
      <c r="B5" t="s">
        <v>28</v>
      </c>
      <c r="C5" t="s">
        <v>54</v>
      </c>
      <c r="E5" s="11"/>
      <c r="F5" t="s">
        <v>144</v>
      </c>
      <c r="G5" s="12">
        <v>0.05</v>
      </c>
      <c r="I5" s="11">
        <f t="shared" ref="I5:I17" si="0">+SUMIF($N$3:$ZW$3,I$3,$N5:$ZW5)</f>
        <v>5</v>
      </c>
      <c r="J5" s="13">
        <f t="shared" ref="J5:K17" si="1">+_xlfn.MAXIFS($N5:$ZC5,$N$3:$ZC$3,J$3)</f>
        <v>0.8</v>
      </c>
      <c r="K5" s="13">
        <f t="shared" si="1"/>
        <v>0.8</v>
      </c>
      <c r="L5" s="11"/>
      <c r="N5">
        <v>2.5</v>
      </c>
      <c r="O5" s="12">
        <v>0.8</v>
      </c>
      <c r="P5" s="12">
        <v>0.8</v>
      </c>
      <c r="Q5" s="12">
        <v>0.8</v>
      </c>
      <c r="R5" s="12">
        <v>0.8</v>
      </c>
      <c r="U5">
        <v>2.5</v>
      </c>
      <c r="V5" s="12"/>
      <c r="W5" s="12">
        <v>1</v>
      </c>
      <c r="X5" s="12"/>
      <c r="Y5" s="12">
        <v>1</v>
      </c>
      <c r="AC5" s="12"/>
      <c r="AD5" s="12">
        <v>1</v>
      </c>
      <c r="AE5" s="12"/>
      <c r="AF5" s="12">
        <v>1</v>
      </c>
      <c r="AJ5" s="12"/>
      <c r="AK5" s="12">
        <v>1</v>
      </c>
      <c r="AL5" s="12"/>
      <c r="AM5" s="12">
        <v>1</v>
      </c>
      <c r="AQ5" s="12"/>
      <c r="AR5" s="12">
        <v>1</v>
      </c>
      <c r="AS5" s="12"/>
      <c r="AT5" s="12">
        <v>1</v>
      </c>
      <c r="AX5" s="12"/>
      <c r="AY5" s="12">
        <v>1</v>
      </c>
      <c r="AZ5" s="12"/>
      <c r="BA5" s="12">
        <v>1</v>
      </c>
      <c r="BE5" s="12"/>
      <c r="BF5" s="12">
        <v>1</v>
      </c>
      <c r="BG5" s="12"/>
      <c r="BH5" s="12">
        <v>1</v>
      </c>
      <c r="BM5" s="12"/>
      <c r="BN5" s="12">
        <v>1</v>
      </c>
      <c r="BO5" s="12"/>
      <c r="BP5" s="12">
        <v>1</v>
      </c>
      <c r="BT5" s="12"/>
      <c r="BU5" s="12">
        <v>1</v>
      </c>
      <c r="BV5" s="12"/>
      <c r="BW5" s="12">
        <v>1</v>
      </c>
      <c r="CA5" s="12"/>
      <c r="CB5" s="12">
        <v>1</v>
      </c>
      <c r="CC5" s="12"/>
      <c r="CD5" s="12">
        <v>1</v>
      </c>
      <c r="CH5" s="12"/>
      <c r="CI5" s="12">
        <v>1</v>
      </c>
      <c r="CJ5" s="12"/>
      <c r="CK5" s="12">
        <v>1</v>
      </c>
      <c r="CO5" s="12"/>
      <c r="CP5" s="12">
        <v>1</v>
      </c>
      <c r="CQ5" s="12"/>
      <c r="CR5" s="12">
        <v>1</v>
      </c>
      <c r="CV5" s="12"/>
      <c r="CW5" s="12">
        <v>1</v>
      </c>
      <c r="CX5" s="12"/>
      <c r="CY5" s="12">
        <v>1</v>
      </c>
      <c r="DC5" s="12"/>
      <c r="DD5" s="12">
        <v>1</v>
      </c>
      <c r="DE5" s="12"/>
      <c r="DF5" s="12">
        <v>1</v>
      </c>
      <c r="DJ5" s="12"/>
      <c r="DK5" s="12"/>
      <c r="DL5" s="12"/>
      <c r="DM5" s="12"/>
      <c r="DN5" t="s">
        <v>178</v>
      </c>
    </row>
    <row r="6" spans="2:118" outlineLevel="1">
      <c r="B6" t="s">
        <v>28</v>
      </c>
      <c r="C6" t="s">
        <v>56</v>
      </c>
      <c r="E6" s="11"/>
      <c r="F6" t="s">
        <v>145</v>
      </c>
      <c r="G6" s="12">
        <v>0.05</v>
      </c>
      <c r="I6" s="11">
        <f t="shared" si="0"/>
        <v>7.5</v>
      </c>
      <c r="J6" s="13">
        <f t="shared" si="1"/>
        <v>0.8</v>
      </c>
      <c r="K6" s="13">
        <f t="shared" si="1"/>
        <v>0.8</v>
      </c>
      <c r="L6" s="11"/>
      <c r="N6">
        <v>2.5</v>
      </c>
      <c r="O6" s="12">
        <v>0.8</v>
      </c>
      <c r="P6" s="12">
        <v>0.8</v>
      </c>
      <c r="Q6" s="12">
        <v>0.8</v>
      </c>
      <c r="R6" s="12">
        <v>0.8</v>
      </c>
      <c r="U6">
        <v>2.5</v>
      </c>
      <c r="V6" s="12"/>
      <c r="W6" s="12">
        <v>0.8</v>
      </c>
      <c r="X6" s="12"/>
      <c r="Y6" s="12">
        <v>0.8</v>
      </c>
      <c r="AB6">
        <v>2.5</v>
      </c>
      <c r="AC6" s="12"/>
      <c r="AD6" s="12">
        <v>1</v>
      </c>
      <c r="AE6" s="12"/>
      <c r="AF6" s="12">
        <v>1</v>
      </c>
      <c r="AJ6" s="12"/>
      <c r="AK6" s="12">
        <v>1</v>
      </c>
      <c r="AL6" s="12"/>
      <c r="AM6" s="12">
        <v>1</v>
      </c>
      <c r="AQ6" s="12"/>
      <c r="AR6" s="12">
        <v>1</v>
      </c>
      <c r="AS6" s="12"/>
      <c r="AT6" s="12">
        <v>1</v>
      </c>
      <c r="AX6" s="12"/>
      <c r="AY6" s="12">
        <v>1</v>
      </c>
      <c r="AZ6" s="12"/>
      <c r="BA6" s="12">
        <v>1</v>
      </c>
      <c r="BE6" s="12"/>
      <c r="BF6" s="12">
        <v>1</v>
      </c>
      <c r="BG6" s="12"/>
      <c r="BH6" s="12">
        <v>1</v>
      </c>
      <c r="BM6" s="12"/>
      <c r="BN6" s="12">
        <v>1</v>
      </c>
      <c r="BO6" s="12"/>
      <c r="BP6" s="12">
        <v>1</v>
      </c>
      <c r="BT6" s="12"/>
      <c r="BU6" s="12">
        <v>1</v>
      </c>
      <c r="BV6" s="12"/>
      <c r="BW6" s="12">
        <v>1</v>
      </c>
      <c r="CA6" s="12"/>
      <c r="CB6" s="12">
        <v>1</v>
      </c>
      <c r="CC6" s="12"/>
      <c r="CD6" s="12">
        <v>1</v>
      </c>
      <c r="CH6" s="12"/>
      <c r="CI6" s="12">
        <v>1</v>
      </c>
      <c r="CJ6" s="12"/>
      <c r="CK6" s="12">
        <v>1</v>
      </c>
      <c r="CO6" s="12"/>
      <c r="CP6" s="12">
        <v>1</v>
      </c>
      <c r="CQ6" s="12"/>
      <c r="CR6" s="12">
        <v>1</v>
      </c>
      <c r="CV6" s="12"/>
      <c r="CW6" s="12">
        <v>1</v>
      </c>
      <c r="CX6" s="12"/>
      <c r="CY6" s="12">
        <v>1</v>
      </c>
      <c r="DC6" s="12"/>
      <c r="DD6" s="12">
        <v>1</v>
      </c>
      <c r="DE6" s="12"/>
      <c r="DF6" s="12">
        <v>1</v>
      </c>
      <c r="DJ6" s="12"/>
      <c r="DK6" s="12"/>
      <c r="DL6" s="12"/>
      <c r="DM6" s="12"/>
      <c r="DN6" t="s">
        <v>5</v>
      </c>
    </row>
    <row r="7" spans="2:118" outlineLevel="1">
      <c r="B7" t="s">
        <v>28</v>
      </c>
      <c r="C7" t="s">
        <v>57</v>
      </c>
      <c r="E7" s="11"/>
      <c r="F7" t="s">
        <v>146</v>
      </c>
      <c r="G7" s="12">
        <v>0.05</v>
      </c>
      <c r="I7" s="11">
        <f t="shared" si="0"/>
        <v>7.5</v>
      </c>
      <c r="J7" s="13">
        <f t="shared" si="1"/>
        <v>0.5</v>
      </c>
      <c r="K7" s="13">
        <f t="shared" si="1"/>
        <v>0.5</v>
      </c>
      <c r="L7" s="11"/>
      <c r="O7" s="12">
        <v>0.5</v>
      </c>
      <c r="P7" s="12">
        <v>0.5</v>
      </c>
      <c r="Q7" s="12">
        <v>0.5</v>
      </c>
      <c r="R7" s="12">
        <v>0.5</v>
      </c>
      <c r="U7">
        <v>2.5</v>
      </c>
      <c r="V7" s="12"/>
      <c r="W7" s="12">
        <v>0.5</v>
      </c>
      <c r="X7" s="12"/>
      <c r="Y7" s="12">
        <v>0.5</v>
      </c>
      <c r="AB7">
        <v>2.5</v>
      </c>
      <c r="AC7" s="12"/>
      <c r="AD7" s="12">
        <v>0.8</v>
      </c>
      <c r="AE7" s="12"/>
      <c r="AF7" s="12">
        <v>0.8</v>
      </c>
      <c r="AI7">
        <v>2.5</v>
      </c>
      <c r="AJ7" s="12"/>
      <c r="AK7" s="12">
        <v>1</v>
      </c>
      <c r="AL7" s="12"/>
      <c r="AM7" s="12">
        <v>1</v>
      </c>
      <c r="AQ7" s="12"/>
      <c r="AR7" s="12">
        <v>1</v>
      </c>
      <c r="AS7" s="12"/>
      <c r="AT7" s="12">
        <v>1</v>
      </c>
      <c r="AX7" s="12"/>
      <c r="AY7" s="12">
        <v>1</v>
      </c>
      <c r="AZ7" s="12"/>
      <c r="BA7" s="12">
        <v>1</v>
      </c>
      <c r="BE7" s="12"/>
      <c r="BF7" s="12">
        <v>1</v>
      </c>
      <c r="BG7" s="12"/>
      <c r="BH7" s="12">
        <v>1</v>
      </c>
      <c r="BM7" s="12"/>
      <c r="BN7" s="12">
        <v>1</v>
      </c>
      <c r="BO7" s="12"/>
      <c r="BP7" s="12">
        <v>1</v>
      </c>
      <c r="BT7" s="12"/>
      <c r="BU7" s="12">
        <v>1</v>
      </c>
      <c r="BV7" s="12"/>
      <c r="BW7" s="12">
        <v>1</v>
      </c>
      <c r="CA7" s="12"/>
      <c r="CB7" s="12">
        <v>1</v>
      </c>
      <c r="CC7" s="12"/>
      <c r="CD7" s="12">
        <v>1</v>
      </c>
      <c r="CH7" s="12"/>
      <c r="CI7" s="12">
        <v>1</v>
      </c>
      <c r="CJ7" s="12"/>
      <c r="CK7" s="12">
        <v>1</v>
      </c>
      <c r="CO7" s="12"/>
      <c r="CP7" s="12">
        <v>1</v>
      </c>
      <c r="CQ7" s="12"/>
      <c r="CR7" s="12">
        <v>1</v>
      </c>
      <c r="CV7" s="12"/>
      <c r="CW7" s="12">
        <v>1</v>
      </c>
      <c r="CX7" s="12"/>
      <c r="CY7" s="12">
        <v>1</v>
      </c>
      <c r="DC7" s="12"/>
      <c r="DD7" s="12">
        <v>1</v>
      </c>
      <c r="DE7" s="12"/>
      <c r="DF7" s="12">
        <v>1</v>
      </c>
      <c r="DJ7" s="12"/>
      <c r="DK7" s="12"/>
      <c r="DL7" s="12"/>
      <c r="DM7" s="12"/>
      <c r="DN7" t="s">
        <v>179</v>
      </c>
    </row>
    <row r="8" spans="2:118" outlineLevel="1">
      <c r="B8" t="s">
        <v>28</v>
      </c>
      <c r="C8" t="s">
        <v>58</v>
      </c>
      <c r="E8" s="11"/>
      <c r="F8" t="s">
        <v>147</v>
      </c>
      <c r="G8" s="12">
        <v>0.05</v>
      </c>
      <c r="I8" s="11">
        <f t="shared" si="0"/>
        <v>7.5</v>
      </c>
      <c r="J8" s="13">
        <f t="shared" si="1"/>
        <v>0.5</v>
      </c>
      <c r="K8" s="13">
        <f t="shared" si="1"/>
        <v>0.5</v>
      </c>
      <c r="L8" s="11"/>
      <c r="O8" s="12">
        <v>0.5</v>
      </c>
      <c r="P8" s="12">
        <v>0.5</v>
      </c>
      <c r="Q8" s="12">
        <v>0.5</v>
      </c>
      <c r="R8" s="12">
        <v>0.5</v>
      </c>
      <c r="V8" s="12"/>
      <c r="W8" s="12"/>
      <c r="X8" s="12"/>
      <c r="Y8" s="12"/>
      <c r="AB8">
        <v>2.5</v>
      </c>
      <c r="AC8" s="12"/>
      <c r="AD8" s="12">
        <v>0.5</v>
      </c>
      <c r="AE8" s="12"/>
      <c r="AF8" s="12">
        <v>0.5</v>
      </c>
      <c r="AI8">
        <v>2.5</v>
      </c>
      <c r="AJ8" s="12"/>
      <c r="AK8" s="12">
        <v>0.8</v>
      </c>
      <c r="AL8" s="12"/>
      <c r="AM8" s="12">
        <v>0.8</v>
      </c>
      <c r="AP8">
        <v>2.5</v>
      </c>
      <c r="AQ8" s="12"/>
      <c r="AR8" s="12">
        <v>1</v>
      </c>
      <c r="AS8" s="12"/>
      <c r="AT8" s="12">
        <v>1</v>
      </c>
      <c r="AX8" s="12"/>
      <c r="AY8" s="12">
        <v>1</v>
      </c>
      <c r="AZ8" s="12"/>
      <c r="BA8" s="12">
        <v>1</v>
      </c>
      <c r="BE8" s="12"/>
      <c r="BF8" s="12">
        <v>1</v>
      </c>
      <c r="BG8" s="12"/>
      <c r="BH8" s="12">
        <v>1</v>
      </c>
      <c r="BM8" s="12"/>
      <c r="BN8" s="12">
        <v>1</v>
      </c>
      <c r="BO8" s="12"/>
      <c r="BP8" s="12">
        <v>1</v>
      </c>
      <c r="BT8" s="12"/>
      <c r="BU8" s="12">
        <v>1</v>
      </c>
      <c r="BV8" s="12"/>
      <c r="BW8" s="12">
        <v>1</v>
      </c>
      <c r="CA8" s="12"/>
      <c r="CB8" s="12">
        <v>1</v>
      </c>
      <c r="CC8" s="12"/>
      <c r="CD8" s="12">
        <v>1</v>
      </c>
      <c r="CH8" s="12"/>
      <c r="CI8" s="12">
        <v>1</v>
      </c>
      <c r="CJ8" s="12"/>
      <c r="CK8" s="12">
        <v>1</v>
      </c>
      <c r="CO8" s="12"/>
      <c r="CP8" s="12">
        <v>1</v>
      </c>
      <c r="CQ8" s="12"/>
      <c r="CR8" s="12">
        <v>1</v>
      </c>
      <c r="CV8" s="12"/>
      <c r="CW8" s="12">
        <v>1</v>
      </c>
      <c r="CX8" s="12"/>
      <c r="CY8" s="12">
        <v>1</v>
      </c>
      <c r="DC8" s="12"/>
      <c r="DD8" s="12">
        <v>1</v>
      </c>
      <c r="DE8" s="12"/>
      <c r="DF8" s="12">
        <v>1</v>
      </c>
      <c r="DJ8" s="12"/>
      <c r="DK8" s="12"/>
      <c r="DL8" s="12"/>
      <c r="DM8" s="12"/>
    </row>
    <row r="9" spans="2:118" outlineLevel="1">
      <c r="B9" t="s">
        <v>28</v>
      </c>
      <c r="C9" t="s">
        <v>55</v>
      </c>
      <c r="E9" s="11"/>
      <c r="F9" t="s">
        <v>120</v>
      </c>
      <c r="G9" s="12">
        <v>0.1</v>
      </c>
      <c r="I9" s="11">
        <f t="shared" si="0"/>
        <v>7.5</v>
      </c>
      <c r="J9" s="13">
        <f t="shared" si="1"/>
        <v>0</v>
      </c>
      <c r="K9" s="13">
        <f t="shared" si="1"/>
        <v>0</v>
      </c>
      <c r="L9" s="11"/>
      <c r="O9" s="12"/>
      <c r="P9" s="12"/>
      <c r="Q9" s="12"/>
      <c r="R9" s="12"/>
      <c r="V9" s="12"/>
      <c r="W9" s="12"/>
      <c r="X9" s="12"/>
      <c r="Y9" s="12"/>
      <c r="AC9" s="12"/>
      <c r="AD9" s="12"/>
      <c r="AE9" s="12"/>
      <c r="AF9" s="12"/>
      <c r="AI9">
        <v>2.5</v>
      </c>
      <c r="AJ9" s="12"/>
      <c r="AK9" s="12">
        <v>0.5</v>
      </c>
      <c r="AL9" s="12"/>
      <c r="AM9" s="12">
        <v>0.5</v>
      </c>
      <c r="AP9">
        <v>2.5</v>
      </c>
      <c r="AQ9" s="12"/>
      <c r="AR9" s="12">
        <v>0.8</v>
      </c>
      <c r="AS9" s="12"/>
      <c r="AT9" s="12">
        <v>0.8</v>
      </c>
      <c r="AW9">
        <v>2.5</v>
      </c>
      <c r="AX9" s="12"/>
      <c r="AY9" s="12">
        <v>1</v>
      </c>
      <c r="AZ9" s="12"/>
      <c r="BA9" s="12">
        <v>1</v>
      </c>
      <c r="BE9" s="12"/>
      <c r="BF9" s="12">
        <v>1</v>
      </c>
      <c r="BG9" s="12"/>
      <c r="BH9" s="12">
        <v>1</v>
      </c>
      <c r="BM9" s="12"/>
      <c r="BN9" s="12">
        <v>1</v>
      </c>
      <c r="BO9" s="12"/>
      <c r="BP9" s="12">
        <v>1</v>
      </c>
      <c r="BT9" s="12"/>
      <c r="BU9" s="12">
        <v>1</v>
      </c>
      <c r="BV9" s="12"/>
      <c r="BW9" s="12">
        <v>1</v>
      </c>
      <c r="CA9" s="12"/>
      <c r="CB9" s="12">
        <v>1</v>
      </c>
      <c r="CC9" s="12"/>
      <c r="CD9" s="12">
        <v>1</v>
      </c>
      <c r="CH9" s="12"/>
      <c r="CI9" s="12">
        <v>1</v>
      </c>
      <c r="CJ9" s="12"/>
      <c r="CK9" s="12">
        <v>1</v>
      </c>
      <c r="CO9" s="12"/>
      <c r="CP9" s="12">
        <v>1</v>
      </c>
      <c r="CQ9" s="12"/>
      <c r="CR9" s="12">
        <v>1</v>
      </c>
      <c r="CV9" s="12"/>
      <c r="CW9" s="12">
        <v>1</v>
      </c>
      <c r="CX9" s="12"/>
      <c r="CY9" s="12">
        <v>1</v>
      </c>
      <c r="DC9" s="12"/>
      <c r="DD9" s="12">
        <v>1</v>
      </c>
      <c r="DE9" s="12"/>
      <c r="DF9" s="12">
        <v>1</v>
      </c>
      <c r="DJ9" s="12"/>
      <c r="DK9" s="12"/>
      <c r="DL9" s="12"/>
      <c r="DM9" s="12"/>
    </row>
    <row r="10" spans="2:118" outlineLevel="1">
      <c r="B10" t="s">
        <v>28</v>
      </c>
      <c r="C10" t="s">
        <v>55</v>
      </c>
      <c r="E10" s="11"/>
      <c r="F10" t="s">
        <v>121</v>
      </c>
      <c r="G10" s="12">
        <v>0.1</v>
      </c>
      <c r="I10" s="11">
        <f t="shared" si="0"/>
        <v>7.5</v>
      </c>
      <c r="J10" s="13">
        <f t="shared" si="1"/>
        <v>0</v>
      </c>
      <c r="K10" s="13">
        <f t="shared" si="1"/>
        <v>0</v>
      </c>
      <c r="L10" s="11"/>
      <c r="O10" s="12"/>
      <c r="P10" s="12"/>
      <c r="Q10" s="12"/>
      <c r="R10" s="12"/>
      <c r="V10" s="12"/>
      <c r="W10" s="12"/>
      <c r="X10" s="12"/>
      <c r="Y10" s="12"/>
      <c r="AC10" s="12"/>
      <c r="AD10" s="12"/>
      <c r="AE10" s="12"/>
      <c r="AF10" s="12"/>
      <c r="AJ10" s="12"/>
      <c r="AK10" s="12"/>
      <c r="AL10" s="12"/>
      <c r="AM10" s="12"/>
      <c r="AP10">
        <v>2.5</v>
      </c>
      <c r="AQ10" s="12"/>
      <c r="AR10" s="12">
        <v>0.5</v>
      </c>
      <c r="AS10" s="12"/>
      <c r="AT10" s="12">
        <v>0.5</v>
      </c>
      <c r="AW10">
        <v>2.5</v>
      </c>
      <c r="AX10" s="12"/>
      <c r="AY10" s="12">
        <v>0.8</v>
      </c>
      <c r="AZ10" s="12"/>
      <c r="BA10" s="12">
        <v>0.8</v>
      </c>
      <c r="BD10">
        <v>2.5</v>
      </c>
      <c r="BE10" s="12"/>
      <c r="BF10" s="12">
        <v>1</v>
      </c>
      <c r="BG10" s="12"/>
      <c r="BH10" s="12">
        <v>1</v>
      </c>
      <c r="BM10" s="12"/>
      <c r="BN10" s="12">
        <v>1</v>
      </c>
      <c r="BO10" s="12"/>
      <c r="BP10" s="12">
        <v>1</v>
      </c>
      <c r="BT10" s="12"/>
      <c r="BU10" s="12">
        <v>1</v>
      </c>
      <c r="BV10" s="12"/>
      <c r="BW10" s="12">
        <v>1</v>
      </c>
      <c r="CA10" s="12"/>
      <c r="CB10" s="12">
        <v>1</v>
      </c>
      <c r="CC10" s="12"/>
      <c r="CD10" s="12">
        <v>1</v>
      </c>
      <c r="CH10" s="12"/>
      <c r="CI10" s="12">
        <v>1</v>
      </c>
      <c r="CJ10" s="12"/>
      <c r="CK10" s="12">
        <v>1</v>
      </c>
      <c r="CO10" s="12"/>
      <c r="CP10" s="12">
        <v>1</v>
      </c>
      <c r="CQ10" s="12"/>
      <c r="CR10" s="12">
        <v>1</v>
      </c>
      <c r="CV10" s="12"/>
      <c r="CW10" s="12">
        <v>1</v>
      </c>
      <c r="CX10" s="12"/>
      <c r="CY10" s="12">
        <v>1</v>
      </c>
      <c r="DC10" s="12"/>
      <c r="DD10" s="12">
        <v>1</v>
      </c>
      <c r="DE10" s="12"/>
      <c r="DF10" s="12">
        <v>1</v>
      </c>
      <c r="DJ10" s="12"/>
      <c r="DK10" s="12"/>
      <c r="DL10" s="12"/>
      <c r="DM10" s="12"/>
    </row>
    <row r="11" spans="2:118" outlineLevel="1">
      <c r="B11" t="s">
        <v>28</v>
      </c>
      <c r="C11" t="s">
        <v>55</v>
      </c>
      <c r="E11" s="11"/>
      <c r="F11" t="s">
        <v>122</v>
      </c>
      <c r="G11" s="12">
        <v>0.1</v>
      </c>
      <c r="I11" s="11">
        <f t="shared" si="0"/>
        <v>7.5</v>
      </c>
      <c r="J11" s="13">
        <f t="shared" si="1"/>
        <v>0</v>
      </c>
      <c r="K11" s="13">
        <f t="shared" si="1"/>
        <v>0</v>
      </c>
      <c r="L11" s="11"/>
      <c r="O11" s="12"/>
      <c r="P11" s="12"/>
      <c r="Q11" s="12"/>
      <c r="R11" s="12"/>
      <c r="V11" s="12"/>
      <c r="W11" s="12"/>
      <c r="X11" s="12"/>
      <c r="Y11" s="12"/>
      <c r="AC11" s="12"/>
      <c r="AD11" s="12"/>
      <c r="AE11" s="12"/>
      <c r="AF11" s="12"/>
      <c r="AJ11" s="12"/>
      <c r="AK11" s="12"/>
      <c r="AL11" s="12"/>
      <c r="AM11" s="12"/>
      <c r="AQ11" s="12"/>
      <c r="AR11" s="12"/>
      <c r="AS11" s="12"/>
      <c r="AT11" s="12"/>
      <c r="AW11">
        <v>2.5</v>
      </c>
      <c r="AX11" s="12"/>
      <c r="AY11" s="12">
        <v>0.5</v>
      </c>
      <c r="AZ11" s="12"/>
      <c r="BA11" s="12">
        <v>0.5</v>
      </c>
      <c r="BD11">
        <v>2.5</v>
      </c>
      <c r="BE11" s="12"/>
      <c r="BF11" s="12">
        <v>0.8</v>
      </c>
      <c r="BG11" s="12"/>
      <c r="BH11" s="12">
        <v>0.8</v>
      </c>
      <c r="BL11">
        <v>2.5</v>
      </c>
      <c r="BM11" s="12"/>
      <c r="BN11" s="12">
        <v>1</v>
      </c>
      <c r="BO11" s="12"/>
      <c r="BP11" s="12">
        <v>1</v>
      </c>
      <c r="BT11" s="12"/>
      <c r="BU11" s="12">
        <v>1</v>
      </c>
      <c r="BV11" s="12"/>
      <c r="BW11" s="12">
        <v>1</v>
      </c>
      <c r="CA11" s="12"/>
      <c r="CB11" s="12">
        <v>1</v>
      </c>
      <c r="CC11" s="12"/>
      <c r="CD11" s="12">
        <v>1</v>
      </c>
      <c r="CH11" s="12"/>
      <c r="CI11" s="12">
        <v>1</v>
      </c>
      <c r="CJ11" s="12"/>
      <c r="CK11" s="12">
        <v>1</v>
      </c>
      <c r="CO11" s="12"/>
      <c r="CP11" s="12">
        <v>1</v>
      </c>
      <c r="CQ11" s="12"/>
      <c r="CR11" s="12">
        <v>1</v>
      </c>
      <c r="CV11" s="12"/>
      <c r="CW11" s="12">
        <v>1</v>
      </c>
      <c r="CX11" s="12"/>
      <c r="CY11" s="12">
        <v>1</v>
      </c>
      <c r="DC11" s="12"/>
      <c r="DD11" s="12">
        <v>1</v>
      </c>
      <c r="DE11" s="12"/>
      <c r="DF11" s="12">
        <v>1</v>
      </c>
      <c r="DJ11" s="12"/>
      <c r="DK11" s="12"/>
      <c r="DL11" s="12"/>
      <c r="DM11" s="12"/>
    </row>
    <row r="12" spans="2:118" outlineLevel="1">
      <c r="B12" t="s">
        <v>28</v>
      </c>
      <c r="C12" t="s">
        <v>55</v>
      </c>
      <c r="E12" s="11"/>
      <c r="F12" t="s">
        <v>123</v>
      </c>
      <c r="G12" s="12">
        <v>0.1</v>
      </c>
      <c r="I12" s="11">
        <f t="shared" si="0"/>
        <v>7.5</v>
      </c>
      <c r="J12" s="13">
        <f t="shared" si="1"/>
        <v>0</v>
      </c>
      <c r="K12" s="13">
        <f t="shared" si="1"/>
        <v>0</v>
      </c>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D12">
        <v>2.5</v>
      </c>
      <c r="BE12" s="12"/>
      <c r="BF12" s="12">
        <v>0.5</v>
      </c>
      <c r="BG12" s="12"/>
      <c r="BH12" s="12">
        <v>0.5</v>
      </c>
      <c r="BL12">
        <v>2.5</v>
      </c>
      <c r="BM12" s="12"/>
      <c r="BN12" s="12">
        <v>0.8</v>
      </c>
      <c r="BO12" s="12"/>
      <c r="BP12" s="12">
        <v>0.8</v>
      </c>
      <c r="BS12">
        <v>2.5</v>
      </c>
      <c r="BT12" s="12"/>
      <c r="BU12" s="12">
        <v>1</v>
      </c>
      <c r="BV12" s="12"/>
      <c r="BW12" s="12">
        <v>1</v>
      </c>
      <c r="CA12" s="12"/>
      <c r="CB12" s="12">
        <v>1</v>
      </c>
      <c r="CC12" s="12"/>
      <c r="CD12" s="12">
        <v>1</v>
      </c>
      <c r="CH12" s="12"/>
      <c r="CI12" s="12">
        <v>1</v>
      </c>
      <c r="CJ12" s="12"/>
      <c r="CK12" s="12">
        <v>1</v>
      </c>
      <c r="CO12" s="12"/>
      <c r="CP12" s="12">
        <v>1</v>
      </c>
      <c r="CQ12" s="12"/>
      <c r="CR12" s="12">
        <v>1</v>
      </c>
      <c r="CV12" s="12"/>
      <c r="CW12" s="12">
        <v>1</v>
      </c>
      <c r="CX12" s="12"/>
      <c r="CY12" s="12">
        <v>1</v>
      </c>
      <c r="DC12" s="12"/>
      <c r="DD12" s="12">
        <v>1</v>
      </c>
      <c r="DE12" s="12"/>
      <c r="DF12" s="12">
        <v>1</v>
      </c>
      <c r="DJ12" s="12"/>
      <c r="DK12" s="12"/>
      <c r="DL12" s="12"/>
      <c r="DM12" s="12"/>
    </row>
    <row r="13" spans="2:118" outlineLevel="1">
      <c r="B13" t="s">
        <v>28</v>
      </c>
      <c r="C13" t="s">
        <v>55</v>
      </c>
      <c r="E13" s="11"/>
      <c r="F13" t="s">
        <v>124</v>
      </c>
      <c r="G13" s="12">
        <v>0.1</v>
      </c>
      <c r="I13" s="11">
        <f t="shared" si="0"/>
        <v>7.5</v>
      </c>
      <c r="J13" s="13">
        <f t="shared" si="1"/>
        <v>0</v>
      </c>
      <c r="K13" s="13">
        <f t="shared" si="1"/>
        <v>0</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c r="BG13" s="12"/>
      <c r="BH13" s="12"/>
      <c r="BL13">
        <v>2.5</v>
      </c>
      <c r="BM13" s="12"/>
      <c r="BN13" s="12">
        <v>0.5</v>
      </c>
      <c r="BO13" s="12"/>
      <c r="BP13" s="12">
        <v>0.5</v>
      </c>
      <c r="BS13">
        <v>2.5</v>
      </c>
      <c r="BT13" s="12"/>
      <c r="BU13" s="12">
        <v>0.8</v>
      </c>
      <c r="BV13" s="12"/>
      <c r="BW13" s="12">
        <v>0.8</v>
      </c>
      <c r="BZ13">
        <v>2.5</v>
      </c>
      <c r="CA13" s="12"/>
      <c r="CB13" s="12">
        <v>1</v>
      </c>
      <c r="CC13" s="12"/>
      <c r="CD13" s="12">
        <v>1</v>
      </c>
      <c r="CH13" s="12"/>
      <c r="CI13" s="12">
        <v>1</v>
      </c>
      <c r="CJ13" s="12"/>
      <c r="CK13" s="12">
        <v>1</v>
      </c>
      <c r="CO13" s="12"/>
      <c r="CP13" s="12">
        <v>1</v>
      </c>
      <c r="CQ13" s="12"/>
      <c r="CR13" s="12">
        <v>1</v>
      </c>
      <c r="CV13" s="12"/>
      <c r="CW13" s="12">
        <v>1</v>
      </c>
      <c r="CX13" s="12"/>
      <c r="CY13" s="12">
        <v>1</v>
      </c>
      <c r="DC13" s="12"/>
      <c r="DD13" s="12">
        <v>1</v>
      </c>
      <c r="DE13" s="12"/>
      <c r="DF13" s="12">
        <v>1</v>
      </c>
      <c r="DJ13" s="12"/>
      <c r="DK13" s="12"/>
      <c r="DL13" s="12"/>
      <c r="DM13" s="12"/>
    </row>
    <row r="14" spans="2:118" outlineLevel="1">
      <c r="B14" t="s">
        <v>28</v>
      </c>
      <c r="C14" t="s">
        <v>55</v>
      </c>
      <c r="E14" s="11"/>
      <c r="F14" t="s">
        <v>125</v>
      </c>
      <c r="G14" s="12">
        <v>0.1</v>
      </c>
      <c r="I14" s="11">
        <f t="shared" si="0"/>
        <v>7.5</v>
      </c>
      <c r="J14" s="13">
        <f t="shared" si="1"/>
        <v>0</v>
      </c>
      <c r="K14" s="13">
        <f t="shared" si="1"/>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M14" s="12"/>
      <c r="BN14" s="12"/>
      <c r="BO14" s="12"/>
      <c r="BP14" s="12"/>
      <c r="BS14">
        <v>2.5</v>
      </c>
      <c r="BT14" s="12"/>
      <c r="BU14" s="12">
        <v>0.5</v>
      </c>
      <c r="BV14" s="12"/>
      <c r="BW14" s="12">
        <v>0.5</v>
      </c>
      <c r="BZ14">
        <v>2.5</v>
      </c>
      <c r="CA14" s="12"/>
      <c r="CB14" s="12">
        <v>0.8</v>
      </c>
      <c r="CC14" s="12"/>
      <c r="CD14" s="12">
        <v>0.8</v>
      </c>
      <c r="CG14">
        <v>2.5</v>
      </c>
      <c r="CH14" s="12"/>
      <c r="CI14" s="12">
        <v>1</v>
      </c>
      <c r="CJ14" s="12"/>
      <c r="CK14" s="12">
        <v>1</v>
      </c>
      <c r="CO14" s="12"/>
      <c r="CP14" s="12">
        <v>1</v>
      </c>
      <c r="CQ14" s="12"/>
      <c r="CR14" s="12">
        <v>1</v>
      </c>
      <c r="CV14" s="12"/>
      <c r="CW14" s="12">
        <v>1</v>
      </c>
      <c r="CX14" s="12"/>
      <c r="CY14" s="12">
        <v>1</v>
      </c>
      <c r="DC14" s="12"/>
      <c r="DD14" s="12">
        <v>1</v>
      </c>
      <c r="DE14" s="12"/>
      <c r="DF14" s="12">
        <v>1</v>
      </c>
      <c r="DJ14" s="12"/>
      <c r="DK14" s="12"/>
      <c r="DL14" s="12"/>
      <c r="DM14" s="12"/>
    </row>
    <row r="15" spans="2:118" outlineLevel="1">
      <c r="B15" t="s">
        <v>28</v>
      </c>
      <c r="C15" t="s">
        <v>55</v>
      </c>
      <c r="E15" s="11"/>
      <c r="F15" t="s">
        <v>126</v>
      </c>
      <c r="G15" s="12">
        <v>0.1</v>
      </c>
      <c r="I15" s="11">
        <f t="shared" si="0"/>
        <v>7.5</v>
      </c>
      <c r="J15" s="13">
        <f t="shared" si="1"/>
        <v>0</v>
      </c>
      <c r="K15" s="13">
        <f t="shared" si="1"/>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M15" s="12"/>
      <c r="BN15" s="12"/>
      <c r="BO15" s="12"/>
      <c r="BP15" s="12"/>
      <c r="BT15" s="12"/>
      <c r="BU15" s="12"/>
      <c r="BV15" s="12"/>
      <c r="BW15" s="12"/>
      <c r="BZ15">
        <v>2.5</v>
      </c>
      <c r="CA15" s="12"/>
      <c r="CB15" s="12">
        <v>0.5</v>
      </c>
      <c r="CC15" s="12"/>
      <c r="CD15" s="12">
        <v>0.5</v>
      </c>
      <c r="CG15">
        <v>2.5</v>
      </c>
      <c r="CH15" s="12"/>
      <c r="CI15" s="12">
        <v>0.8</v>
      </c>
      <c r="CJ15" s="12"/>
      <c r="CK15" s="12">
        <v>0.8</v>
      </c>
      <c r="CN15">
        <v>2.5</v>
      </c>
      <c r="CO15" s="12"/>
      <c r="CP15" s="12">
        <v>1</v>
      </c>
      <c r="CQ15" s="12"/>
      <c r="CR15" s="12">
        <v>1</v>
      </c>
      <c r="CV15" s="12"/>
      <c r="CW15" s="12">
        <v>1</v>
      </c>
      <c r="CX15" s="12"/>
      <c r="CY15" s="12">
        <v>1</v>
      </c>
      <c r="DC15" s="12"/>
      <c r="DD15" s="12">
        <v>1</v>
      </c>
      <c r="DE15" s="12"/>
      <c r="DF15" s="12">
        <v>1</v>
      </c>
      <c r="DJ15" s="12"/>
      <c r="DK15" s="12"/>
      <c r="DL15" s="12"/>
      <c r="DM15" s="12"/>
    </row>
    <row r="16" spans="2:118" outlineLevel="1">
      <c r="B16" t="s">
        <v>28</v>
      </c>
      <c r="C16" t="s">
        <v>55</v>
      </c>
      <c r="E16" s="11"/>
      <c r="F16" t="s">
        <v>127</v>
      </c>
      <c r="G16" s="12">
        <v>0.1</v>
      </c>
      <c r="I16" s="11">
        <f t="shared" si="0"/>
        <v>7.5</v>
      </c>
      <c r="J16" s="13">
        <f t="shared" si="1"/>
        <v>0</v>
      </c>
      <c r="K16" s="13">
        <f t="shared" si="1"/>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M16" s="12"/>
      <c r="BN16" s="12"/>
      <c r="BO16" s="12"/>
      <c r="BP16" s="12"/>
      <c r="BT16" s="12"/>
      <c r="BU16" s="12"/>
      <c r="BV16" s="12"/>
      <c r="BW16" s="12"/>
      <c r="CA16" s="12"/>
      <c r="CB16" s="12"/>
      <c r="CC16" s="12"/>
      <c r="CD16" s="12"/>
      <c r="CG16">
        <v>2.5</v>
      </c>
      <c r="CH16" s="12"/>
      <c r="CI16" s="12">
        <v>0.5</v>
      </c>
      <c r="CJ16" s="12"/>
      <c r="CK16" s="12">
        <v>0.5</v>
      </c>
      <c r="CN16">
        <v>2.5</v>
      </c>
      <c r="CO16" s="12"/>
      <c r="CP16" s="12">
        <v>0.8</v>
      </c>
      <c r="CQ16" s="12"/>
      <c r="CR16" s="12">
        <v>0.8</v>
      </c>
      <c r="CU16">
        <v>2.5</v>
      </c>
      <c r="CV16" s="12"/>
      <c r="CW16" s="12">
        <v>1</v>
      </c>
      <c r="CX16" s="12"/>
      <c r="CY16" s="12">
        <v>1</v>
      </c>
      <c r="DC16" s="12"/>
      <c r="DD16" s="12">
        <v>1</v>
      </c>
      <c r="DE16" s="12"/>
      <c r="DF16" s="12">
        <v>1</v>
      </c>
      <c r="DJ16" s="12"/>
      <c r="DK16" s="12"/>
      <c r="DL16" s="12"/>
      <c r="DM16" s="12"/>
    </row>
    <row r="17" spans="2:117" outlineLevel="1">
      <c r="B17" t="s">
        <v>28</v>
      </c>
      <c r="C17" t="s">
        <v>55</v>
      </c>
      <c r="E17" s="11"/>
      <c r="F17" t="s">
        <v>128</v>
      </c>
      <c r="G17" s="12">
        <v>0.1</v>
      </c>
      <c r="I17" s="11">
        <f t="shared" si="0"/>
        <v>7.5</v>
      </c>
      <c r="J17" s="13">
        <f t="shared" si="1"/>
        <v>0</v>
      </c>
      <c r="K17" s="13">
        <f t="shared" si="1"/>
        <v>0</v>
      </c>
      <c r="L17" s="11"/>
      <c r="O17" s="12"/>
      <c r="P17" s="12"/>
      <c r="Q17" s="12"/>
      <c r="R17" s="12"/>
      <c r="V17" s="12"/>
      <c r="W17" s="12"/>
      <c r="X17" s="12"/>
      <c r="Y17" s="12"/>
      <c r="AC17" s="12"/>
      <c r="AD17" s="12"/>
      <c r="AE17" s="12"/>
      <c r="AF17" s="12"/>
      <c r="AJ17" s="12"/>
      <c r="AK17" s="12"/>
      <c r="AL17" s="12"/>
      <c r="AM17" s="12"/>
      <c r="AQ17" s="12"/>
      <c r="AR17" s="12"/>
      <c r="AS17" s="12"/>
      <c r="AT17" s="12"/>
      <c r="AX17" s="12"/>
      <c r="AY17" s="12"/>
      <c r="AZ17" s="12"/>
      <c r="BA17" s="12"/>
      <c r="BE17" s="12"/>
      <c r="BF17" s="12"/>
      <c r="BG17" s="12"/>
      <c r="BH17" s="12"/>
      <c r="BM17" s="12"/>
      <c r="BN17" s="12"/>
      <c r="BO17" s="12"/>
      <c r="BP17" s="12"/>
      <c r="BT17" s="12"/>
      <c r="BU17" s="12"/>
      <c r="BV17" s="12"/>
      <c r="BW17" s="12"/>
      <c r="CA17" s="12"/>
      <c r="CB17" s="12"/>
      <c r="CC17" s="12"/>
      <c r="CD17" s="12"/>
      <c r="CH17" s="12"/>
      <c r="CI17" s="12"/>
      <c r="CJ17" s="12"/>
      <c r="CK17" s="12"/>
      <c r="CN17">
        <v>2.5</v>
      </c>
      <c r="CO17" s="12"/>
      <c r="CP17" s="12">
        <v>0.5</v>
      </c>
      <c r="CQ17" s="12"/>
      <c r="CR17" s="12">
        <v>0.5</v>
      </c>
      <c r="CU17">
        <v>2.5</v>
      </c>
      <c r="CV17" s="12"/>
      <c r="CW17" s="12">
        <v>0.8</v>
      </c>
      <c r="CX17" s="12"/>
      <c r="CY17" s="12">
        <v>0.8</v>
      </c>
      <c r="DB17">
        <v>2.5</v>
      </c>
      <c r="DC17" s="12"/>
      <c r="DD17" s="12">
        <v>1</v>
      </c>
      <c r="DE17" s="12"/>
      <c r="DF17" s="12">
        <v>1</v>
      </c>
      <c r="DJ17" s="12"/>
      <c r="DK17" s="12"/>
      <c r="DL17" s="12"/>
      <c r="DM17" s="12"/>
    </row>
    <row r="18" spans="2:117">
      <c r="O18" s="9"/>
      <c r="V18" s="9"/>
      <c r="AC18" s="9"/>
      <c r="AJ18" s="9"/>
      <c r="AQ18" s="9"/>
      <c r="AX18" s="9"/>
      <c r="BE18" s="9"/>
      <c r="BM18" s="9"/>
      <c r="BT18" s="9"/>
      <c r="CA18" s="9"/>
      <c r="CH18" s="9"/>
      <c r="CO18" s="9"/>
      <c r="CU18">
        <v>2.5</v>
      </c>
      <c r="CV18" s="12"/>
      <c r="CW18" s="12">
        <v>0.5</v>
      </c>
      <c r="CX18" s="12"/>
      <c r="CY18" s="12">
        <v>0.5</v>
      </c>
      <c r="DB18">
        <v>5</v>
      </c>
      <c r="DC18" s="12"/>
      <c r="DD18" s="12">
        <v>1</v>
      </c>
      <c r="DE18" s="12"/>
      <c r="DF18" s="12">
        <v>1</v>
      </c>
      <c r="DJ18" s="9"/>
    </row>
    <row r="19" spans="2:117">
      <c r="B19" t="s">
        <v>27</v>
      </c>
      <c r="C19" t="s">
        <v>51</v>
      </c>
      <c r="D19" s="20">
        <v>44609</v>
      </c>
      <c r="E19" s="11">
        <v>2.5</v>
      </c>
      <c r="G19" s="12">
        <f>+SUM(G20:G31)</f>
        <v>0.99599999999999989</v>
      </c>
      <c r="I19" s="14">
        <f>+SUM(I20:I25)</f>
        <v>0</v>
      </c>
      <c r="J19" s="13">
        <f>+SUMPRODUCT(G20:G25,J20:J25)</f>
        <v>0</v>
      </c>
      <c r="K19" s="13">
        <f>+SUMPRODUCT(G20:G25,K20:K25)</f>
        <v>0</v>
      </c>
      <c r="L19" s="11"/>
      <c r="N19" s="14">
        <v>4</v>
      </c>
      <c r="U19" s="14">
        <f>+SUM(U20:U25)</f>
        <v>0</v>
      </c>
      <c r="AB19" s="14">
        <f>+SUM(AB20:AB25)</f>
        <v>0</v>
      </c>
      <c r="AI19" s="14">
        <f>+SUM(AI20:AI25)</f>
        <v>0</v>
      </c>
      <c r="AP19" s="14">
        <f>+SUM(AP20:AP25)</f>
        <v>0</v>
      </c>
      <c r="AW19">
        <v>4</v>
      </c>
    </row>
    <row r="20" spans="2:117" outlineLevel="1">
      <c r="B20" t="s">
        <v>28</v>
      </c>
      <c r="C20" t="s">
        <v>51</v>
      </c>
      <c r="E20" s="11"/>
      <c r="F20" t="s">
        <v>59</v>
      </c>
      <c r="G20" s="12">
        <v>8.3000000000000004E-2</v>
      </c>
      <c r="I20" s="11">
        <f t="shared" ref="I20:I31" si="2">+SUMIF($N$3:$ZW$3,I$3,$N20:$ZW20)</f>
        <v>0</v>
      </c>
      <c r="J20" s="13">
        <f t="shared" ref="J20:K31" si="3">+_xlfn.MAXIFS($N20:$ZC20,$N$3:$ZC$3,J$3)</f>
        <v>0</v>
      </c>
      <c r="K20" s="13">
        <f t="shared" si="3"/>
        <v>0</v>
      </c>
      <c r="L20" s="11"/>
      <c r="O20" s="12"/>
      <c r="P20" s="12"/>
      <c r="Q20" s="12"/>
      <c r="R20" s="12"/>
      <c r="V20" s="12"/>
      <c r="W20" s="12"/>
      <c r="X20" s="12"/>
      <c r="Y20" s="12"/>
      <c r="AC20" s="12"/>
      <c r="AD20" s="12"/>
      <c r="AE20" s="12"/>
      <c r="AF20" s="12"/>
      <c r="AJ20" s="12"/>
      <c r="AK20" s="12"/>
      <c r="AL20" s="12"/>
      <c r="AM20" s="12"/>
      <c r="AQ20" s="12"/>
      <c r="AR20" s="12">
        <v>1</v>
      </c>
      <c r="AS20" s="12"/>
      <c r="AT20" s="12">
        <v>1</v>
      </c>
      <c r="AX20" s="12"/>
      <c r="AY20" s="12">
        <v>1</v>
      </c>
      <c r="AZ20" s="12"/>
      <c r="BA20" s="12">
        <v>1</v>
      </c>
      <c r="BE20" s="12"/>
      <c r="BF20" s="12"/>
      <c r="BG20" s="12"/>
      <c r="BH20" s="12"/>
      <c r="BI20" t="s">
        <v>177</v>
      </c>
      <c r="BM20" s="12"/>
      <c r="BN20" s="12"/>
      <c r="BO20" s="12"/>
      <c r="BP20" s="12"/>
      <c r="BT20" s="12"/>
      <c r="BU20" s="12"/>
      <c r="BV20" s="12"/>
      <c r="BW20" s="12"/>
      <c r="CA20" s="12"/>
      <c r="CB20" s="12"/>
      <c r="CC20" s="12"/>
      <c r="CD20" s="12"/>
      <c r="CH20" s="12"/>
      <c r="CI20" s="12"/>
      <c r="CJ20" s="12"/>
      <c r="CK20" s="12"/>
      <c r="CO20" s="12"/>
      <c r="CP20" s="12"/>
      <c r="CQ20" s="12"/>
      <c r="CR20" s="12"/>
      <c r="CV20" s="12"/>
      <c r="CW20" s="12"/>
      <c r="CX20" s="12"/>
      <c r="CY20" s="12"/>
      <c r="DC20" s="12"/>
      <c r="DD20" s="12"/>
      <c r="DE20" s="12"/>
      <c r="DF20" s="12"/>
      <c r="DJ20" s="12"/>
      <c r="DK20" s="12"/>
      <c r="DL20" s="12"/>
      <c r="DM20" s="12"/>
    </row>
    <row r="21" spans="2:117" outlineLevel="1">
      <c r="B21" t="s">
        <v>28</v>
      </c>
      <c r="C21" t="s">
        <v>51</v>
      </c>
      <c r="E21" s="11"/>
      <c r="F21" t="s">
        <v>60</v>
      </c>
      <c r="G21" s="12">
        <v>8.3000000000000004E-2</v>
      </c>
      <c r="I21" s="11">
        <f t="shared" si="2"/>
        <v>0</v>
      </c>
      <c r="J21" s="13">
        <f t="shared" si="3"/>
        <v>0</v>
      </c>
      <c r="K21" s="13">
        <f t="shared" si="3"/>
        <v>0</v>
      </c>
      <c r="L21" s="11"/>
      <c r="O21" s="12"/>
      <c r="P21" s="12"/>
      <c r="Q21" s="12"/>
      <c r="R21" s="12"/>
      <c r="V21" s="12"/>
      <c r="W21" s="12"/>
      <c r="X21" s="12"/>
      <c r="Y21" s="12"/>
      <c r="AC21" s="12"/>
      <c r="AD21" s="12"/>
      <c r="AE21" s="12"/>
      <c r="AF21" s="12"/>
      <c r="AJ21" s="12"/>
      <c r="AK21" s="12"/>
      <c r="AL21" s="12"/>
      <c r="AM21" s="12"/>
      <c r="AQ21" s="12"/>
      <c r="AR21" s="12">
        <v>1</v>
      </c>
      <c r="AS21" s="12"/>
      <c r="AT21" s="12">
        <v>1</v>
      </c>
      <c r="AX21" s="12"/>
      <c r="AY21" s="12">
        <v>1</v>
      </c>
      <c r="AZ21" s="12"/>
      <c r="BA21" s="12">
        <v>1</v>
      </c>
      <c r="BE21" s="12"/>
      <c r="BF21" s="12"/>
      <c r="BG21" s="12"/>
      <c r="BH21" s="12"/>
      <c r="BI21" t="s">
        <v>7</v>
      </c>
      <c r="BM21" s="12"/>
      <c r="BN21" s="12"/>
      <c r="BO21" s="12"/>
      <c r="BP21" s="12"/>
      <c r="BT21" s="12"/>
      <c r="BU21" s="12"/>
      <c r="BV21" s="12"/>
      <c r="BW21" s="12"/>
      <c r="CA21" s="12"/>
      <c r="CB21" s="12"/>
      <c r="CC21" s="12"/>
      <c r="CD21" s="12"/>
      <c r="CH21" s="12"/>
      <c r="CI21" s="12"/>
      <c r="CJ21" s="12"/>
      <c r="CK21" s="12"/>
      <c r="CO21" s="12"/>
      <c r="CP21" s="12"/>
      <c r="CQ21" s="12"/>
      <c r="CR21" s="12"/>
      <c r="CV21" s="12"/>
      <c r="CW21" s="12"/>
      <c r="CX21" s="12"/>
      <c r="CY21" s="12"/>
      <c r="DC21" s="12"/>
      <c r="DD21" s="12"/>
      <c r="DE21" s="12"/>
      <c r="DF21" s="12"/>
      <c r="DJ21" s="12"/>
      <c r="DK21" s="12"/>
      <c r="DL21" s="12"/>
      <c r="DM21" s="12"/>
    </row>
    <row r="22" spans="2:117" outlineLevel="1">
      <c r="B22" t="s">
        <v>28</v>
      </c>
      <c r="C22" t="s">
        <v>51</v>
      </c>
      <c r="E22" s="11"/>
      <c r="F22" t="s">
        <v>61</v>
      </c>
      <c r="G22" s="12">
        <v>8.3000000000000004E-2</v>
      </c>
      <c r="I22" s="11">
        <f t="shared" si="2"/>
        <v>0</v>
      </c>
      <c r="J22" s="13">
        <f t="shared" si="3"/>
        <v>0</v>
      </c>
      <c r="K22" s="13">
        <f t="shared" si="3"/>
        <v>0</v>
      </c>
      <c r="L22" s="11"/>
      <c r="O22" s="12"/>
      <c r="P22" s="12"/>
      <c r="Q22" s="12"/>
      <c r="R22" s="12"/>
      <c r="V22" s="12"/>
      <c r="W22" s="12"/>
      <c r="X22" s="12"/>
      <c r="Y22" s="12"/>
      <c r="AC22" s="12"/>
      <c r="AD22" s="12"/>
      <c r="AE22" s="12"/>
      <c r="AF22" s="12"/>
      <c r="AJ22" s="12"/>
      <c r="AK22" s="12"/>
      <c r="AL22" s="12"/>
      <c r="AM22" s="12"/>
      <c r="AQ22" s="12"/>
      <c r="AR22" s="12">
        <v>1</v>
      </c>
      <c r="AS22" s="12"/>
      <c r="AT22" s="12">
        <v>1</v>
      </c>
      <c r="AX22" s="12"/>
      <c r="AY22" s="12">
        <v>1</v>
      </c>
      <c r="AZ22" s="12"/>
      <c r="BA22" s="12">
        <v>1</v>
      </c>
      <c r="BE22" s="12"/>
      <c r="BF22" s="12"/>
      <c r="BG22" s="12"/>
      <c r="BH22" s="12"/>
      <c r="BI22" t="s">
        <v>180</v>
      </c>
      <c r="BM22" s="12"/>
      <c r="BN22" s="12"/>
      <c r="BO22" s="12"/>
      <c r="BP22" s="12"/>
      <c r="BT22" s="12"/>
      <c r="BU22" s="12"/>
      <c r="BV22" s="12"/>
      <c r="BW22" s="12"/>
      <c r="CA22" s="12"/>
      <c r="CB22" s="12"/>
      <c r="CC22" s="12"/>
      <c r="CD22" s="12"/>
      <c r="CH22" s="12"/>
      <c r="CI22" s="12"/>
      <c r="CJ22" s="12"/>
      <c r="CK22" s="12"/>
      <c r="CO22" s="12"/>
      <c r="CP22" s="12"/>
      <c r="CQ22" s="12"/>
      <c r="CR22" s="12"/>
      <c r="CV22" s="12"/>
      <c r="CW22" s="12"/>
      <c r="CX22" s="12"/>
      <c r="CY22" s="12"/>
      <c r="DC22" s="12"/>
      <c r="DD22" s="12"/>
      <c r="DE22" s="12"/>
      <c r="DF22" s="12"/>
      <c r="DJ22" s="12"/>
      <c r="DK22" s="12"/>
      <c r="DL22" s="12"/>
      <c r="DM22" s="12"/>
    </row>
    <row r="23" spans="2:117" outlineLevel="1">
      <c r="B23" t="s">
        <v>28</v>
      </c>
      <c r="C23" t="s">
        <v>51</v>
      </c>
      <c r="E23" s="11"/>
      <c r="F23" t="s">
        <v>67</v>
      </c>
      <c r="G23" s="12">
        <v>8.3000000000000004E-2</v>
      </c>
      <c r="I23" s="11">
        <f t="shared" si="2"/>
        <v>0</v>
      </c>
      <c r="J23" s="13">
        <f t="shared" si="3"/>
        <v>0</v>
      </c>
      <c r="K23" s="13">
        <f t="shared" si="3"/>
        <v>0</v>
      </c>
      <c r="L23" s="11"/>
      <c r="O23" s="12"/>
      <c r="P23" s="12"/>
      <c r="Q23" s="12"/>
      <c r="R23" s="12"/>
      <c r="V23" s="12"/>
      <c r="W23" s="12"/>
      <c r="X23" s="12"/>
      <c r="Y23" s="12"/>
      <c r="AC23" s="12"/>
      <c r="AD23" s="12"/>
      <c r="AE23" s="12"/>
      <c r="AF23" s="12"/>
      <c r="AJ23" s="12"/>
      <c r="AK23" s="12"/>
      <c r="AL23" s="12"/>
      <c r="AM23" s="12"/>
      <c r="AQ23" s="12"/>
      <c r="AR23" s="12">
        <v>1</v>
      </c>
      <c r="AS23" s="12"/>
      <c r="AT23" s="12">
        <v>1</v>
      </c>
      <c r="AX23" s="12"/>
      <c r="AY23" s="12">
        <v>1</v>
      </c>
      <c r="AZ23" s="12"/>
      <c r="BA23" s="12">
        <v>1</v>
      </c>
      <c r="BE23" s="12"/>
      <c r="BF23" s="12"/>
      <c r="BG23" s="12"/>
      <c r="BH23" s="12"/>
      <c r="BM23" s="12"/>
      <c r="BN23" s="12"/>
      <c r="BO23" s="12"/>
      <c r="BP23" s="12"/>
      <c r="BT23" s="12"/>
      <c r="BU23" s="12"/>
      <c r="BV23" s="12"/>
      <c r="BW23" s="12"/>
      <c r="CA23" s="12"/>
      <c r="CB23" s="12"/>
      <c r="CC23" s="12"/>
      <c r="CD23" s="12"/>
      <c r="CH23" s="12"/>
      <c r="CI23" s="12"/>
      <c r="CJ23" s="12"/>
      <c r="CK23" s="12"/>
      <c r="CO23" s="12"/>
      <c r="CP23" s="12"/>
      <c r="CQ23" s="12"/>
      <c r="CR23" s="12"/>
      <c r="CV23" s="12"/>
      <c r="CW23" s="12"/>
      <c r="CX23" s="12"/>
      <c r="CY23" s="12"/>
      <c r="DC23" s="12"/>
      <c r="DD23" s="12"/>
      <c r="DE23" s="12"/>
      <c r="DF23" s="12"/>
      <c r="DJ23" s="12"/>
      <c r="DK23" s="12"/>
      <c r="DL23" s="12"/>
      <c r="DM23" s="12"/>
    </row>
    <row r="24" spans="2:117" outlineLevel="1">
      <c r="B24" t="s">
        <v>28</v>
      </c>
      <c r="C24" t="s">
        <v>51</v>
      </c>
      <c r="E24" s="11"/>
      <c r="F24" t="s">
        <v>62</v>
      </c>
      <c r="G24" s="12">
        <v>8.3000000000000004E-2</v>
      </c>
      <c r="I24" s="11">
        <f t="shared" si="2"/>
        <v>0</v>
      </c>
      <c r="J24" s="13">
        <f t="shared" si="3"/>
        <v>0</v>
      </c>
      <c r="K24" s="13">
        <f t="shared" si="3"/>
        <v>0</v>
      </c>
      <c r="L24" s="11"/>
      <c r="O24" s="12"/>
      <c r="P24" s="12"/>
      <c r="Q24" s="12"/>
      <c r="R24" s="12"/>
      <c r="V24" s="12"/>
      <c r="W24" s="12"/>
      <c r="X24" s="12"/>
      <c r="Y24" s="12"/>
      <c r="AC24" s="12"/>
      <c r="AD24" s="12"/>
      <c r="AE24" s="12"/>
      <c r="AF24" s="12"/>
      <c r="AJ24" s="12"/>
      <c r="AK24" s="12"/>
      <c r="AL24" s="12"/>
      <c r="AM24" s="12"/>
      <c r="AQ24" s="12"/>
      <c r="AR24" s="12">
        <v>1</v>
      </c>
      <c r="AS24" s="12"/>
      <c r="AT24" s="12">
        <v>1</v>
      </c>
      <c r="AX24" s="12"/>
      <c r="AY24" s="12">
        <v>1</v>
      </c>
      <c r="AZ24" s="12"/>
      <c r="BA24" s="12">
        <v>1</v>
      </c>
      <c r="BE24" s="12"/>
      <c r="BF24" s="12"/>
      <c r="BG24" s="12"/>
      <c r="BH24" s="12"/>
      <c r="BM24" s="12"/>
      <c r="BN24" s="12"/>
      <c r="BO24" s="12"/>
      <c r="BP24" s="12"/>
      <c r="BT24" s="12"/>
      <c r="BU24" s="12"/>
      <c r="BV24" s="12"/>
      <c r="BW24" s="12"/>
      <c r="CA24" s="12"/>
      <c r="CB24" s="12"/>
      <c r="CC24" s="12"/>
      <c r="CD24" s="12"/>
      <c r="CH24" s="12"/>
      <c r="CI24" s="12"/>
      <c r="CJ24" s="12"/>
      <c r="CK24" s="12"/>
      <c r="CO24" s="12"/>
      <c r="CP24" s="12"/>
      <c r="CQ24" s="12"/>
      <c r="CR24" s="12"/>
      <c r="CV24" s="12"/>
      <c r="CW24" s="12"/>
      <c r="CX24" s="12"/>
      <c r="CY24" s="12"/>
      <c r="DC24" s="12"/>
      <c r="DD24" s="12"/>
      <c r="DE24" s="12"/>
      <c r="DF24" s="12"/>
      <c r="DJ24" s="12"/>
      <c r="DK24" s="12"/>
      <c r="DL24" s="12"/>
      <c r="DM24" s="12"/>
    </row>
    <row r="25" spans="2:117" outlineLevel="1">
      <c r="B25" t="s">
        <v>28</v>
      </c>
      <c r="C25" t="s">
        <v>51</v>
      </c>
      <c r="E25" s="11"/>
      <c r="F25" t="s">
        <v>63</v>
      </c>
      <c r="G25" s="12">
        <v>8.3000000000000004E-2</v>
      </c>
      <c r="I25" s="11">
        <f t="shared" si="2"/>
        <v>0</v>
      </c>
      <c r="J25" s="13">
        <f t="shared" si="3"/>
        <v>0</v>
      </c>
      <c r="K25" s="13">
        <f t="shared" si="3"/>
        <v>0</v>
      </c>
      <c r="L25" s="11"/>
      <c r="O25" s="12"/>
      <c r="P25" s="12"/>
      <c r="Q25" s="12"/>
      <c r="R25" s="12"/>
      <c r="V25" s="12"/>
      <c r="W25" s="12"/>
      <c r="X25" s="12"/>
      <c r="Y25" s="12"/>
      <c r="AC25" s="12"/>
      <c r="AD25" s="12"/>
      <c r="AE25" s="12"/>
      <c r="AF25" s="12"/>
      <c r="AJ25" s="12"/>
      <c r="AK25" s="12"/>
      <c r="AL25" s="12"/>
      <c r="AM25" s="12"/>
      <c r="AQ25" s="12"/>
      <c r="AR25" s="12">
        <v>1</v>
      </c>
      <c r="AS25" s="12"/>
      <c r="AT25" s="12">
        <v>1</v>
      </c>
      <c r="AX25" s="12"/>
      <c r="AY25" s="12">
        <v>1</v>
      </c>
      <c r="AZ25" s="12"/>
      <c r="BA25" s="12">
        <v>1</v>
      </c>
      <c r="BE25" s="12"/>
      <c r="BF25" s="12"/>
      <c r="BG25" s="12"/>
      <c r="BH25" s="12"/>
      <c r="BM25" s="12"/>
      <c r="BN25" s="12"/>
      <c r="BO25" s="12"/>
      <c r="BP25" s="12"/>
      <c r="BT25" s="12"/>
      <c r="BU25" s="12"/>
      <c r="BV25" s="12"/>
      <c r="BW25" s="12"/>
      <c r="CA25" s="12"/>
      <c r="CB25" s="12"/>
      <c r="CC25" s="12"/>
      <c r="CD25" s="12"/>
      <c r="CH25" s="12"/>
      <c r="CI25" s="12"/>
      <c r="CJ25" s="12"/>
      <c r="CK25" s="12"/>
      <c r="CO25" s="12"/>
      <c r="CP25" s="12"/>
      <c r="CQ25" s="12"/>
      <c r="CR25" s="12"/>
      <c r="CV25" s="12"/>
      <c r="CW25" s="12"/>
      <c r="CX25" s="12"/>
      <c r="CY25" s="12"/>
      <c r="DC25" s="12"/>
      <c r="DD25" s="12"/>
      <c r="DE25" s="12"/>
      <c r="DF25" s="12"/>
      <c r="DJ25" s="12"/>
      <c r="DK25" s="12"/>
      <c r="DL25" s="12"/>
      <c r="DM25" s="12"/>
    </row>
    <row r="26" spans="2:117" outlineLevel="1">
      <c r="B26" t="s">
        <v>28</v>
      </c>
      <c r="C26" t="s">
        <v>51</v>
      </c>
      <c r="E26" s="11"/>
      <c r="F26" t="s">
        <v>64</v>
      </c>
      <c r="G26" s="12">
        <v>8.3000000000000004E-2</v>
      </c>
      <c r="I26" s="11">
        <f t="shared" si="2"/>
        <v>0</v>
      </c>
      <c r="J26" s="13">
        <f t="shared" si="3"/>
        <v>0</v>
      </c>
      <c r="K26" s="13">
        <f t="shared" si="3"/>
        <v>0</v>
      </c>
      <c r="L26" s="11"/>
      <c r="O26" s="12"/>
      <c r="P26" s="12"/>
      <c r="Q26" s="12"/>
      <c r="R26" s="12"/>
      <c r="V26" s="12"/>
      <c r="W26" s="12"/>
      <c r="X26" s="12"/>
      <c r="Y26" s="12"/>
      <c r="AC26" s="12"/>
      <c r="AD26" s="12"/>
      <c r="AE26" s="12"/>
      <c r="AF26" s="12"/>
      <c r="AJ26" s="12"/>
      <c r="AK26" s="12"/>
      <c r="AL26" s="12"/>
      <c r="AM26" s="12"/>
      <c r="AQ26" s="12"/>
      <c r="AR26" s="12">
        <v>1</v>
      </c>
      <c r="AS26" s="12"/>
      <c r="AT26" s="12">
        <v>1</v>
      </c>
      <c r="AX26" s="12"/>
      <c r="AY26" s="12">
        <v>1</v>
      </c>
      <c r="AZ26" s="12"/>
      <c r="BA26" s="12">
        <v>1</v>
      </c>
      <c r="BE26" s="12"/>
      <c r="BF26" s="12"/>
      <c r="BG26" s="12"/>
      <c r="BH26" s="12"/>
      <c r="BM26" s="12"/>
      <c r="BN26" s="12"/>
      <c r="BO26" s="12"/>
      <c r="BP26" s="12"/>
      <c r="BT26" s="12"/>
      <c r="BU26" s="12"/>
      <c r="BV26" s="12"/>
      <c r="BW26" s="12"/>
      <c r="CA26" s="12"/>
      <c r="CB26" s="12"/>
      <c r="CC26" s="12"/>
      <c r="CD26" s="12"/>
      <c r="CH26" s="12"/>
      <c r="CI26" s="12"/>
      <c r="CJ26" s="12"/>
      <c r="CK26" s="12"/>
      <c r="CO26" s="12"/>
      <c r="CP26" s="12"/>
      <c r="CQ26" s="12"/>
      <c r="CR26" s="12"/>
      <c r="CV26" s="12"/>
      <c r="CW26" s="12"/>
      <c r="CX26" s="12"/>
      <c r="CY26" s="12"/>
      <c r="DC26" s="12"/>
      <c r="DD26" s="12"/>
      <c r="DE26" s="12"/>
      <c r="DF26" s="12"/>
      <c r="DJ26" s="12"/>
      <c r="DK26" s="12"/>
      <c r="DL26" s="12"/>
      <c r="DM26" s="12"/>
    </row>
    <row r="27" spans="2:117" outlineLevel="1">
      <c r="B27" t="s">
        <v>28</v>
      </c>
      <c r="C27" t="s">
        <v>51</v>
      </c>
      <c r="E27" s="11"/>
      <c r="F27" t="s">
        <v>65</v>
      </c>
      <c r="G27" s="12">
        <v>8.3000000000000004E-2</v>
      </c>
      <c r="I27" s="11">
        <f t="shared" si="2"/>
        <v>0</v>
      </c>
      <c r="J27" s="13">
        <f t="shared" si="3"/>
        <v>0</v>
      </c>
      <c r="K27" s="13">
        <f t="shared" si="3"/>
        <v>0</v>
      </c>
      <c r="L27" s="11"/>
      <c r="O27" s="12"/>
      <c r="P27" s="12"/>
      <c r="Q27" s="12"/>
      <c r="R27" s="12"/>
      <c r="V27" s="12"/>
      <c r="W27" s="12"/>
      <c r="X27" s="12"/>
      <c r="Y27" s="12"/>
      <c r="AC27" s="12"/>
      <c r="AD27" s="12"/>
      <c r="AE27" s="12"/>
      <c r="AF27" s="12"/>
      <c r="AJ27" s="12"/>
      <c r="AK27" s="12"/>
      <c r="AL27" s="12"/>
      <c r="AM27" s="12"/>
      <c r="AQ27" s="12"/>
      <c r="AR27" s="12">
        <v>1</v>
      </c>
      <c r="AS27" s="12"/>
      <c r="AT27" s="12">
        <v>1</v>
      </c>
      <c r="AX27" s="12"/>
      <c r="AY27" s="12">
        <v>1</v>
      </c>
      <c r="AZ27" s="12"/>
      <c r="BA27" s="12">
        <v>1</v>
      </c>
      <c r="BE27" s="12"/>
      <c r="BF27" s="12"/>
      <c r="BG27" s="12"/>
      <c r="BH27" s="12"/>
      <c r="BM27" s="12"/>
      <c r="BN27" s="12"/>
      <c r="BO27" s="12"/>
      <c r="BP27" s="12"/>
      <c r="BT27" s="12"/>
      <c r="BU27" s="12"/>
      <c r="BV27" s="12"/>
      <c r="BW27" s="12"/>
      <c r="CA27" s="12"/>
      <c r="CB27" s="12"/>
      <c r="CC27" s="12"/>
      <c r="CD27" s="12"/>
      <c r="CH27" s="12"/>
      <c r="CI27" s="12"/>
      <c r="CJ27" s="12"/>
      <c r="CK27" s="12"/>
      <c r="CO27" s="12"/>
      <c r="CP27" s="12"/>
      <c r="CQ27" s="12"/>
      <c r="CR27" s="12"/>
      <c r="CV27" s="12"/>
      <c r="CW27" s="12"/>
      <c r="CX27" s="12"/>
      <c r="CY27" s="12"/>
      <c r="DC27" s="12"/>
      <c r="DD27" s="12"/>
      <c r="DE27" s="12"/>
      <c r="DF27" s="12"/>
      <c r="DJ27" s="12"/>
      <c r="DK27" s="12"/>
      <c r="DL27" s="12"/>
      <c r="DM27" s="12"/>
    </row>
    <row r="28" spans="2:117" outlineLevel="1">
      <c r="B28" t="s">
        <v>28</v>
      </c>
      <c r="C28" t="s">
        <v>51</v>
      </c>
      <c r="E28" s="11"/>
      <c r="F28" t="s">
        <v>66</v>
      </c>
      <c r="G28" s="12">
        <v>8.3000000000000004E-2</v>
      </c>
      <c r="I28" s="11">
        <f t="shared" si="2"/>
        <v>0</v>
      </c>
      <c r="J28" s="13">
        <f t="shared" si="3"/>
        <v>0</v>
      </c>
      <c r="K28" s="13">
        <f t="shared" si="3"/>
        <v>0</v>
      </c>
      <c r="L28" s="11"/>
      <c r="O28" s="12"/>
      <c r="P28" s="12"/>
      <c r="Q28" s="12"/>
      <c r="R28" s="12"/>
      <c r="V28" s="12"/>
      <c r="W28" s="12"/>
      <c r="X28" s="12"/>
      <c r="Y28" s="12"/>
      <c r="AC28" s="12"/>
      <c r="AD28" s="12"/>
      <c r="AE28" s="12"/>
      <c r="AF28" s="12"/>
      <c r="AJ28" s="12"/>
      <c r="AK28" s="12"/>
      <c r="AL28" s="12"/>
      <c r="AM28" s="12"/>
      <c r="AQ28" s="12"/>
      <c r="AR28" s="12">
        <v>1</v>
      </c>
      <c r="AS28" s="12"/>
      <c r="AT28" s="12">
        <v>1</v>
      </c>
      <c r="AX28" s="12"/>
      <c r="AY28" s="12">
        <v>1</v>
      </c>
      <c r="AZ28" s="12"/>
      <c r="BA28" s="12">
        <v>1</v>
      </c>
      <c r="BE28" s="12"/>
      <c r="BF28" s="12"/>
      <c r="BG28" s="12"/>
      <c r="BH28" s="12"/>
      <c r="BM28" s="12"/>
      <c r="BN28" s="12"/>
      <c r="BO28" s="12"/>
      <c r="BP28" s="12"/>
      <c r="BT28" s="12"/>
      <c r="BU28" s="12"/>
      <c r="BV28" s="12"/>
      <c r="BW28" s="12"/>
      <c r="CA28" s="12"/>
      <c r="CB28" s="12"/>
      <c r="CC28" s="12"/>
      <c r="CD28" s="12"/>
      <c r="CH28" s="12"/>
      <c r="CI28" s="12"/>
      <c r="CJ28" s="12"/>
      <c r="CK28" s="12"/>
      <c r="CO28" s="12"/>
      <c r="CP28" s="12"/>
      <c r="CQ28" s="12"/>
      <c r="CR28" s="12"/>
      <c r="CV28" s="12"/>
      <c r="CW28" s="12"/>
      <c r="CX28" s="12"/>
      <c r="CY28" s="12"/>
      <c r="DC28" s="12"/>
      <c r="DD28" s="12"/>
      <c r="DE28" s="12"/>
      <c r="DF28" s="12"/>
      <c r="DJ28" s="12"/>
      <c r="DK28" s="12"/>
      <c r="DL28" s="12"/>
      <c r="DM28" s="12"/>
    </row>
    <row r="29" spans="2:117" outlineLevel="1">
      <c r="B29" t="s">
        <v>28</v>
      </c>
      <c r="C29" t="s">
        <v>51</v>
      </c>
      <c r="E29" s="11"/>
      <c r="F29" t="s">
        <v>68</v>
      </c>
      <c r="G29" s="12">
        <v>8.3000000000000004E-2</v>
      </c>
      <c r="I29" s="11">
        <f t="shared" si="2"/>
        <v>0</v>
      </c>
      <c r="J29" s="13">
        <f t="shared" si="3"/>
        <v>0</v>
      </c>
      <c r="K29" s="13">
        <f t="shared" si="3"/>
        <v>0</v>
      </c>
      <c r="L29" s="11"/>
      <c r="O29" s="12"/>
      <c r="P29" s="12"/>
      <c r="Q29" s="12"/>
      <c r="R29" s="12"/>
      <c r="V29" s="12"/>
      <c r="W29" s="12"/>
      <c r="X29" s="12"/>
      <c r="Y29" s="12"/>
      <c r="AC29" s="12"/>
      <c r="AD29" s="12"/>
      <c r="AE29" s="12"/>
      <c r="AF29" s="12"/>
      <c r="AJ29" s="12"/>
      <c r="AK29" s="12"/>
      <c r="AL29" s="12"/>
      <c r="AM29" s="12"/>
      <c r="AQ29" s="12"/>
      <c r="AR29" s="12">
        <v>1</v>
      </c>
      <c r="AS29" s="12"/>
      <c r="AT29" s="12">
        <v>1</v>
      </c>
      <c r="AX29" s="12"/>
      <c r="AY29" s="12">
        <v>1</v>
      </c>
      <c r="AZ29" s="12"/>
      <c r="BA29" s="12">
        <v>1</v>
      </c>
      <c r="BE29" s="12"/>
      <c r="BF29" s="12"/>
      <c r="BG29" s="12"/>
      <c r="BH29" s="12"/>
      <c r="BM29" s="12"/>
      <c r="BN29" s="12"/>
      <c r="BO29" s="12"/>
      <c r="BP29" s="12"/>
      <c r="BT29" s="12"/>
      <c r="BU29" s="12"/>
      <c r="BV29" s="12"/>
      <c r="BW29" s="12"/>
      <c r="CA29" s="12"/>
      <c r="CB29" s="12"/>
      <c r="CC29" s="12"/>
      <c r="CD29" s="12"/>
      <c r="CH29" s="12"/>
      <c r="CI29" s="12"/>
      <c r="CJ29" s="12"/>
      <c r="CK29" s="12"/>
      <c r="CO29" s="12"/>
      <c r="CP29" s="12"/>
      <c r="CQ29" s="12"/>
      <c r="CR29" s="12"/>
      <c r="CV29" s="12"/>
      <c r="CW29" s="12"/>
      <c r="CX29" s="12"/>
      <c r="CY29" s="12"/>
      <c r="DC29" s="12"/>
      <c r="DD29" s="12"/>
      <c r="DE29" s="12"/>
      <c r="DF29" s="12"/>
      <c r="DJ29" s="12"/>
      <c r="DK29" s="12"/>
      <c r="DL29" s="12"/>
      <c r="DM29" s="12"/>
    </row>
    <row r="30" spans="2:117" outlineLevel="1">
      <c r="B30" t="s">
        <v>28</v>
      </c>
      <c r="C30" t="s">
        <v>51</v>
      </c>
      <c r="E30" s="11"/>
      <c r="F30" t="s">
        <v>69</v>
      </c>
      <c r="G30" s="12">
        <v>8.3000000000000004E-2</v>
      </c>
      <c r="I30" s="11">
        <f t="shared" si="2"/>
        <v>0</v>
      </c>
      <c r="J30" s="13">
        <f t="shared" si="3"/>
        <v>0</v>
      </c>
      <c r="K30" s="13">
        <f t="shared" si="3"/>
        <v>0</v>
      </c>
      <c r="L30" s="11"/>
      <c r="O30" s="12"/>
      <c r="P30" s="12"/>
      <c r="Q30" s="12"/>
      <c r="R30" s="12"/>
      <c r="V30" s="12"/>
      <c r="W30" s="12"/>
      <c r="X30" s="12"/>
      <c r="Y30" s="12"/>
      <c r="AC30" s="12"/>
      <c r="AD30" s="12"/>
      <c r="AE30" s="12"/>
      <c r="AF30" s="12"/>
      <c r="AJ30" s="12"/>
      <c r="AK30" s="12"/>
      <c r="AL30" s="12"/>
      <c r="AM30" s="12"/>
      <c r="AQ30" s="12"/>
      <c r="AR30" s="12">
        <v>1</v>
      </c>
      <c r="AS30" s="12"/>
      <c r="AT30" s="12">
        <v>1</v>
      </c>
      <c r="AX30" s="12"/>
      <c r="AY30" s="12">
        <v>1</v>
      </c>
      <c r="AZ30" s="12"/>
      <c r="BA30" s="12">
        <v>1</v>
      </c>
      <c r="BE30" s="12"/>
      <c r="BF30" s="12"/>
      <c r="BG30" s="12"/>
      <c r="BH30" s="12"/>
      <c r="BM30" s="12"/>
      <c r="BN30" s="12"/>
      <c r="BO30" s="12"/>
      <c r="BP30" s="12"/>
      <c r="BT30" s="12"/>
      <c r="BU30" s="12"/>
      <c r="BV30" s="12"/>
      <c r="BW30" s="12"/>
      <c r="CA30" s="12"/>
      <c r="CB30" s="12"/>
      <c r="CC30" s="12"/>
      <c r="CD30" s="12"/>
      <c r="CH30" s="12"/>
      <c r="CI30" s="12"/>
      <c r="CJ30" s="12"/>
      <c r="CK30" s="12"/>
      <c r="CO30" s="12"/>
      <c r="CP30" s="12"/>
      <c r="CQ30" s="12"/>
      <c r="CR30" s="12"/>
      <c r="CV30" s="12"/>
      <c r="CW30" s="12"/>
      <c r="CX30" s="12"/>
      <c r="CY30" s="12"/>
      <c r="DC30" s="12"/>
      <c r="DD30" s="12"/>
      <c r="DE30" s="12"/>
      <c r="DF30" s="12"/>
      <c r="DJ30" s="12"/>
      <c r="DK30" s="12"/>
      <c r="DL30" s="12"/>
      <c r="DM30" s="12"/>
    </row>
    <row r="31" spans="2:117" outlineLevel="1">
      <c r="B31" t="s">
        <v>28</v>
      </c>
      <c r="C31" t="s">
        <v>51</v>
      </c>
      <c r="E31" s="11"/>
      <c r="F31" t="s">
        <v>70</v>
      </c>
      <c r="G31" s="12">
        <v>8.3000000000000004E-2</v>
      </c>
      <c r="I31" s="11">
        <f t="shared" si="2"/>
        <v>0</v>
      </c>
      <c r="J31" s="13">
        <f t="shared" si="3"/>
        <v>0</v>
      </c>
      <c r="K31" s="13">
        <f t="shared" si="3"/>
        <v>0</v>
      </c>
      <c r="L31" s="11"/>
      <c r="O31" s="12"/>
      <c r="P31" s="12"/>
      <c r="Q31" s="12"/>
      <c r="R31" s="12"/>
      <c r="V31" s="12"/>
      <c r="W31" s="12"/>
      <c r="X31" s="12"/>
      <c r="Y31" s="12"/>
      <c r="AC31" s="12"/>
      <c r="AD31" s="12"/>
      <c r="AE31" s="12"/>
      <c r="AF31" s="12"/>
      <c r="AJ31" s="12"/>
      <c r="AK31" s="12"/>
      <c r="AL31" s="12"/>
      <c r="AM31" s="12"/>
      <c r="AQ31" s="12"/>
      <c r="AR31" s="12">
        <v>1</v>
      </c>
      <c r="AS31" s="12"/>
      <c r="AT31" s="12">
        <v>1</v>
      </c>
      <c r="AX31" s="12"/>
      <c r="AY31" s="12">
        <v>1</v>
      </c>
      <c r="AZ31" s="12"/>
      <c r="BA31" s="12">
        <v>1</v>
      </c>
      <c r="BE31" s="12"/>
      <c r="BF31" s="12"/>
      <c r="BG31" s="12"/>
      <c r="BH31" s="12"/>
      <c r="BM31" s="12"/>
      <c r="BN31" s="12"/>
      <c r="BO31" s="12"/>
      <c r="BP31" s="12"/>
      <c r="BT31" s="12"/>
      <c r="BU31" s="12"/>
      <c r="BV31" s="12"/>
      <c r="BW31" s="12"/>
      <c r="CA31" s="12"/>
      <c r="CB31" s="12"/>
      <c r="CC31" s="12"/>
      <c r="CD31" s="12"/>
      <c r="CH31" s="12"/>
      <c r="CI31" s="12"/>
      <c r="CJ31" s="12"/>
      <c r="CK31" s="12"/>
      <c r="CO31" s="12"/>
      <c r="CP31" s="12"/>
      <c r="CQ31" s="12"/>
      <c r="CR31" s="12"/>
      <c r="CV31" s="12"/>
      <c r="CW31" s="12"/>
      <c r="CX31" s="12"/>
      <c r="CY31" s="12"/>
      <c r="DC31" s="12"/>
      <c r="DD31" s="12"/>
      <c r="DE31" s="12"/>
      <c r="DF31" s="12"/>
      <c r="DJ31" s="12"/>
      <c r="DK31" s="12"/>
      <c r="DL31" s="12"/>
      <c r="DM31" s="12"/>
    </row>
    <row r="33" spans="2:117">
      <c r="B33" t="s">
        <v>27</v>
      </c>
      <c r="C33" t="s">
        <v>52</v>
      </c>
      <c r="D33" s="20">
        <v>44609</v>
      </c>
      <c r="E33" s="11">
        <v>2.5</v>
      </c>
      <c r="G33" s="12">
        <f>+SUM(G34:G45)</f>
        <v>0.99599999999999989</v>
      </c>
      <c r="I33" s="14">
        <f>+SUM(I34:I44)</f>
        <v>42</v>
      </c>
      <c r="J33" s="13">
        <f>+SUMPRODUCT(G34:G44,J34:J44)</f>
        <v>0</v>
      </c>
      <c r="K33" s="13">
        <f>+SUMPRODUCT(G34:G44,K34:K44)</f>
        <v>0</v>
      </c>
      <c r="L33" s="11"/>
      <c r="N33" s="14">
        <v>4</v>
      </c>
      <c r="U33" s="14">
        <f>+SUM(U34:U44)</f>
        <v>2</v>
      </c>
      <c r="AB33" s="14">
        <f>+SUM(AB34:AB44)</f>
        <v>4</v>
      </c>
      <c r="AI33" s="14">
        <f>+SUM(AI34:AI44)</f>
        <v>0</v>
      </c>
      <c r="AP33" s="14">
        <f>+SUM(AP34:AP44)</f>
        <v>16</v>
      </c>
      <c r="AW33">
        <v>4</v>
      </c>
    </row>
    <row r="34" spans="2:117" outlineLevel="1">
      <c r="B34" t="s">
        <v>28</v>
      </c>
      <c r="C34" t="s">
        <v>52</v>
      </c>
      <c r="E34" s="11"/>
      <c r="F34" t="s">
        <v>71</v>
      </c>
      <c r="G34" s="12">
        <v>8.3000000000000004E-2</v>
      </c>
      <c r="I34" s="11">
        <f t="shared" ref="I34:I45" si="4">+SUMIF($N$3:$ZW$3,I$3,$N34:$ZW34)</f>
        <v>16</v>
      </c>
      <c r="J34" s="13">
        <f t="shared" ref="J34:K45" si="5">+_xlfn.MAXIFS($N34:$ZC34,$N$3:$ZC$3,J$3)</f>
        <v>0</v>
      </c>
      <c r="K34" s="13">
        <f t="shared" si="5"/>
        <v>0</v>
      </c>
      <c r="L34" s="11"/>
      <c r="N34">
        <v>10</v>
      </c>
      <c r="O34" s="12"/>
      <c r="P34" s="12">
        <v>0.8</v>
      </c>
      <c r="Q34" s="12"/>
      <c r="R34" s="12">
        <v>0.8</v>
      </c>
      <c r="U34">
        <v>2</v>
      </c>
      <c r="V34" s="12"/>
      <c r="W34" s="12">
        <v>0.8</v>
      </c>
      <c r="X34" s="12"/>
      <c r="Y34" s="12">
        <v>0.8</v>
      </c>
      <c r="AB34">
        <v>4</v>
      </c>
      <c r="AC34" s="12"/>
      <c r="AD34" s="12">
        <v>1</v>
      </c>
      <c r="AE34" s="12"/>
      <c r="AF34" s="12">
        <v>1</v>
      </c>
      <c r="AJ34" s="12"/>
      <c r="AK34" s="12">
        <v>1</v>
      </c>
      <c r="AL34" s="12"/>
      <c r="AM34" s="12">
        <v>1</v>
      </c>
      <c r="AP34">
        <v>0</v>
      </c>
      <c r="AQ34" s="12"/>
      <c r="AR34" s="12">
        <v>1</v>
      </c>
      <c r="AS34" s="12"/>
      <c r="AT34" s="12">
        <v>1</v>
      </c>
      <c r="AX34" s="12"/>
      <c r="AY34" s="12">
        <v>1</v>
      </c>
      <c r="AZ34" s="12"/>
      <c r="BA34" s="12">
        <v>1</v>
      </c>
      <c r="BE34" s="12"/>
      <c r="BF34" s="12"/>
      <c r="BG34" s="12"/>
      <c r="BH34" s="12"/>
      <c r="BI34" t="s">
        <v>177</v>
      </c>
      <c r="BM34" s="12"/>
      <c r="BN34" s="12"/>
      <c r="BO34" s="12"/>
      <c r="BP34" s="12"/>
      <c r="BT34" s="12"/>
      <c r="BU34" s="12"/>
      <c r="BV34" s="12"/>
      <c r="BW34" s="12"/>
      <c r="CA34" s="12"/>
      <c r="CB34" s="12"/>
      <c r="CC34" s="12"/>
      <c r="CD34" s="12"/>
      <c r="CH34" s="12"/>
      <c r="CI34" s="12"/>
      <c r="CJ34" s="12"/>
      <c r="CK34" s="12"/>
      <c r="CO34" s="12"/>
      <c r="CP34" s="12"/>
      <c r="CQ34" s="12"/>
      <c r="CR34" s="12"/>
      <c r="CV34" s="12"/>
      <c r="CW34" s="12"/>
      <c r="CX34" s="12"/>
      <c r="CY34" s="12"/>
      <c r="DC34" s="12"/>
      <c r="DD34" s="12"/>
      <c r="DE34" s="12"/>
      <c r="DF34" s="12"/>
      <c r="DJ34" s="12"/>
      <c r="DK34" s="12"/>
      <c r="DL34" s="12"/>
      <c r="DM34" s="12"/>
    </row>
    <row r="35" spans="2:117" outlineLevel="1">
      <c r="B35" t="s">
        <v>28</v>
      </c>
      <c r="C35" t="s">
        <v>72</v>
      </c>
      <c r="E35" s="11"/>
      <c r="F35" t="s">
        <v>76</v>
      </c>
      <c r="G35" s="12">
        <v>8.3000000000000004E-2</v>
      </c>
      <c r="I35" s="11">
        <f t="shared" si="4"/>
        <v>3</v>
      </c>
      <c r="J35" s="13">
        <f t="shared" si="5"/>
        <v>0</v>
      </c>
      <c r="K35" s="13">
        <f t="shared" si="5"/>
        <v>0</v>
      </c>
      <c r="L35" s="11"/>
      <c r="N35">
        <v>3</v>
      </c>
      <c r="O35" s="12"/>
      <c r="P35" s="12">
        <v>0.5</v>
      </c>
      <c r="Q35" s="12"/>
      <c r="R35" s="12">
        <v>0.5</v>
      </c>
      <c r="V35" s="12"/>
      <c r="W35" s="12">
        <v>0.8</v>
      </c>
      <c r="X35" s="12"/>
      <c r="Y35" s="12">
        <v>0.8</v>
      </c>
      <c r="AC35" s="12"/>
      <c r="AD35" s="12">
        <v>1</v>
      </c>
      <c r="AE35" s="12"/>
      <c r="AF35" s="12">
        <v>1</v>
      </c>
      <c r="AJ35" s="12"/>
      <c r="AK35" s="12">
        <v>1</v>
      </c>
      <c r="AL35" s="12"/>
      <c r="AM35" s="12">
        <v>1</v>
      </c>
      <c r="AP35">
        <v>0</v>
      </c>
      <c r="AQ35" s="12"/>
      <c r="AR35" s="12">
        <v>1</v>
      </c>
      <c r="AS35" s="12"/>
      <c r="AT35" s="12">
        <v>1</v>
      </c>
      <c r="AX35" s="12"/>
      <c r="AY35" s="12">
        <v>1</v>
      </c>
      <c r="AZ35" s="12"/>
      <c r="BA35" s="12">
        <v>1</v>
      </c>
      <c r="BE35" s="12"/>
      <c r="BF35" s="12"/>
      <c r="BG35" s="12"/>
      <c r="BH35" s="12"/>
      <c r="BI35" t="s">
        <v>7</v>
      </c>
      <c r="BM35" s="12"/>
      <c r="BN35" s="12"/>
      <c r="BO35" s="12"/>
      <c r="BP35" s="12"/>
      <c r="BT35" s="12"/>
      <c r="BU35" s="12"/>
      <c r="BV35" s="12"/>
      <c r="BW35" s="12"/>
      <c r="CA35" s="12"/>
      <c r="CB35" s="12"/>
      <c r="CC35" s="12"/>
      <c r="CD35" s="12"/>
      <c r="CH35" s="12"/>
      <c r="CI35" s="12"/>
      <c r="CJ35" s="12"/>
      <c r="CK35" s="12"/>
      <c r="CO35" s="12"/>
      <c r="CP35" s="12"/>
      <c r="CQ35" s="12"/>
      <c r="CR35" s="12"/>
      <c r="CV35" s="12"/>
      <c r="CW35" s="12"/>
      <c r="CX35" s="12"/>
      <c r="CY35" s="12"/>
      <c r="DC35" s="12"/>
      <c r="DD35" s="12"/>
      <c r="DE35" s="12"/>
      <c r="DF35" s="12"/>
      <c r="DJ35" s="12"/>
      <c r="DK35" s="12"/>
      <c r="DL35" s="12"/>
      <c r="DM35" s="12"/>
    </row>
    <row r="36" spans="2:117" outlineLevel="1">
      <c r="B36" t="s">
        <v>28</v>
      </c>
      <c r="C36" t="s">
        <v>72</v>
      </c>
      <c r="E36" s="11"/>
      <c r="F36" t="s">
        <v>75</v>
      </c>
      <c r="G36" s="12">
        <v>8.3000000000000004E-2</v>
      </c>
      <c r="I36" s="11">
        <f t="shared" si="4"/>
        <v>2</v>
      </c>
      <c r="J36" s="13">
        <f t="shared" si="5"/>
        <v>0</v>
      </c>
      <c r="K36" s="13">
        <f t="shared" si="5"/>
        <v>0</v>
      </c>
      <c r="L36" s="11"/>
      <c r="N36">
        <v>2</v>
      </c>
      <c r="O36" s="12"/>
      <c r="P36" s="12">
        <v>0.3</v>
      </c>
      <c r="Q36" s="12"/>
      <c r="R36" s="12">
        <v>0.3</v>
      </c>
      <c r="V36" s="12"/>
      <c r="W36" s="12">
        <v>0.5</v>
      </c>
      <c r="X36" s="12"/>
      <c r="Y36" s="12">
        <v>0.5</v>
      </c>
      <c r="AC36" s="12"/>
      <c r="AD36" s="12">
        <v>0.8</v>
      </c>
      <c r="AE36" s="12"/>
      <c r="AF36" s="12">
        <v>0.8</v>
      </c>
      <c r="AJ36" s="12"/>
      <c r="AK36" s="12">
        <v>1</v>
      </c>
      <c r="AL36" s="12"/>
      <c r="AM36" s="12">
        <v>1</v>
      </c>
      <c r="AP36">
        <v>0</v>
      </c>
      <c r="AQ36" s="12"/>
      <c r="AR36" s="12">
        <v>1</v>
      </c>
      <c r="AS36" s="12"/>
      <c r="AT36" s="12">
        <v>1</v>
      </c>
      <c r="AX36" s="12"/>
      <c r="AY36" s="12">
        <v>1</v>
      </c>
      <c r="AZ36" s="12"/>
      <c r="BA36" s="12">
        <v>1</v>
      </c>
      <c r="BE36" s="12"/>
      <c r="BF36" s="12"/>
      <c r="BG36" s="12"/>
      <c r="BH36" s="12"/>
      <c r="BI36" t="s">
        <v>180</v>
      </c>
      <c r="BM36" s="12"/>
      <c r="BN36" s="12"/>
      <c r="BO36" s="12"/>
      <c r="BP36" s="12"/>
      <c r="BT36" s="12"/>
      <c r="BU36" s="12"/>
      <c r="BV36" s="12"/>
      <c r="BW36" s="12"/>
      <c r="CA36" s="12"/>
      <c r="CB36" s="12"/>
      <c r="CC36" s="12"/>
      <c r="CD36" s="12"/>
      <c r="CH36" s="12"/>
      <c r="CI36" s="12"/>
      <c r="CJ36" s="12"/>
      <c r="CK36" s="12"/>
      <c r="CO36" s="12"/>
      <c r="CP36" s="12"/>
      <c r="CQ36" s="12"/>
      <c r="CR36" s="12"/>
      <c r="CV36" s="12"/>
      <c r="CW36" s="12"/>
      <c r="CX36" s="12"/>
      <c r="CY36" s="12"/>
      <c r="DC36" s="12"/>
      <c r="DD36" s="12"/>
      <c r="DE36" s="12"/>
      <c r="DF36" s="12"/>
      <c r="DJ36" s="12"/>
      <c r="DK36" s="12"/>
      <c r="DL36" s="12"/>
      <c r="DM36" s="12"/>
    </row>
    <row r="37" spans="2:117" outlineLevel="1">
      <c r="B37" t="s">
        <v>28</v>
      </c>
      <c r="C37" t="s">
        <v>72</v>
      </c>
      <c r="E37" s="11"/>
      <c r="F37" t="s">
        <v>74</v>
      </c>
      <c r="G37" s="12">
        <v>8.3000000000000004E-2</v>
      </c>
      <c r="I37" s="11">
        <f t="shared" si="4"/>
        <v>2</v>
      </c>
      <c r="J37" s="13">
        <f t="shared" si="5"/>
        <v>0</v>
      </c>
      <c r="K37" s="13">
        <f t="shared" si="5"/>
        <v>0</v>
      </c>
      <c r="L37" s="11"/>
      <c r="N37">
        <v>2</v>
      </c>
      <c r="O37" s="12"/>
      <c r="P37" s="12">
        <v>0.3</v>
      </c>
      <c r="Q37" s="12"/>
      <c r="R37" s="12">
        <v>0.3</v>
      </c>
      <c r="V37" s="12"/>
      <c r="W37" s="12">
        <v>0.5</v>
      </c>
      <c r="X37" s="12"/>
      <c r="Y37" s="12">
        <v>0.5</v>
      </c>
      <c r="AC37" s="12"/>
      <c r="AD37" s="12">
        <v>0.8</v>
      </c>
      <c r="AE37" s="12"/>
      <c r="AF37" s="12">
        <v>0.8</v>
      </c>
      <c r="AJ37" s="12"/>
      <c r="AK37" s="12">
        <v>1</v>
      </c>
      <c r="AL37" s="12"/>
      <c r="AM37" s="12">
        <v>1</v>
      </c>
      <c r="AP37">
        <v>0</v>
      </c>
      <c r="AQ37" s="12"/>
      <c r="AR37" s="12">
        <v>1</v>
      </c>
      <c r="AS37" s="12"/>
      <c r="AT37" s="12">
        <v>1</v>
      </c>
      <c r="AX37" s="12"/>
      <c r="AY37" s="12">
        <v>1</v>
      </c>
      <c r="AZ37" s="12"/>
      <c r="BA37" s="12">
        <v>1</v>
      </c>
      <c r="BE37" s="12"/>
      <c r="BF37" s="12"/>
      <c r="BG37" s="12"/>
      <c r="BH37" s="12"/>
      <c r="BM37" s="12"/>
      <c r="BN37" s="12"/>
      <c r="BO37" s="12"/>
      <c r="BP37" s="12"/>
      <c r="BT37" s="12"/>
      <c r="BU37" s="12"/>
      <c r="BV37" s="12"/>
      <c r="BW37" s="12"/>
      <c r="CA37" s="12"/>
      <c r="CB37" s="12"/>
      <c r="CC37" s="12"/>
      <c r="CD37" s="12"/>
      <c r="CH37" s="12"/>
      <c r="CI37" s="12"/>
      <c r="CJ37" s="12"/>
      <c r="CK37" s="12"/>
      <c r="CO37" s="12"/>
      <c r="CP37" s="12"/>
      <c r="CQ37" s="12"/>
      <c r="CR37" s="12"/>
      <c r="CV37" s="12"/>
      <c r="CW37" s="12"/>
      <c r="CX37" s="12"/>
      <c r="CY37" s="12"/>
      <c r="DC37" s="12"/>
      <c r="DD37" s="12"/>
      <c r="DE37" s="12"/>
      <c r="DF37" s="12"/>
      <c r="DJ37" s="12"/>
      <c r="DK37" s="12"/>
      <c r="DL37" s="12"/>
      <c r="DM37" s="12"/>
    </row>
    <row r="38" spans="2:117" outlineLevel="1">
      <c r="B38" t="s">
        <v>28</v>
      </c>
      <c r="C38" t="s">
        <v>72</v>
      </c>
      <c r="E38" s="11"/>
      <c r="F38" t="s">
        <v>73</v>
      </c>
      <c r="G38" s="12">
        <v>8.3000000000000004E-2</v>
      </c>
      <c r="I38" s="11">
        <f t="shared" si="4"/>
        <v>3</v>
      </c>
      <c r="J38" s="13">
        <f t="shared" si="5"/>
        <v>0</v>
      </c>
      <c r="K38" s="13">
        <f t="shared" si="5"/>
        <v>0</v>
      </c>
      <c r="L38" s="11"/>
      <c r="N38">
        <v>3</v>
      </c>
      <c r="O38" s="12"/>
      <c r="P38" s="12">
        <v>0.3</v>
      </c>
      <c r="Q38" s="12"/>
      <c r="R38" s="12">
        <v>0.3</v>
      </c>
      <c r="V38" s="12"/>
      <c r="W38" s="12">
        <v>0.5</v>
      </c>
      <c r="X38" s="12"/>
      <c r="Y38" s="12">
        <v>0.5</v>
      </c>
      <c r="AC38" s="12"/>
      <c r="AD38" s="12">
        <v>0.8</v>
      </c>
      <c r="AE38" s="12"/>
      <c r="AF38" s="12">
        <v>0.8</v>
      </c>
      <c r="AJ38" s="12"/>
      <c r="AK38" s="12">
        <v>1</v>
      </c>
      <c r="AL38" s="12"/>
      <c r="AM38" s="12">
        <v>1</v>
      </c>
      <c r="AP38">
        <v>0</v>
      </c>
      <c r="AQ38" s="12"/>
      <c r="AR38" s="12">
        <v>1</v>
      </c>
      <c r="AS38" s="12"/>
      <c r="AT38" s="12">
        <v>1</v>
      </c>
      <c r="AX38" s="12"/>
      <c r="AY38" s="12">
        <v>1</v>
      </c>
      <c r="AZ38" s="12"/>
      <c r="BA38" s="12">
        <v>1</v>
      </c>
      <c r="BE38" s="12"/>
      <c r="BF38" s="12"/>
      <c r="BG38" s="12"/>
      <c r="BH38" s="12"/>
      <c r="BM38" s="12"/>
      <c r="BN38" s="12"/>
      <c r="BO38" s="12"/>
      <c r="BP38" s="12"/>
      <c r="BT38" s="12"/>
      <c r="BU38" s="12"/>
      <c r="BV38" s="12"/>
      <c r="BW38" s="12"/>
      <c r="CA38" s="12"/>
      <c r="CB38" s="12"/>
      <c r="CC38" s="12"/>
      <c r="CD38" s="12"/>
      <c r="CH38" s="12"/>
      <c r="CI38" s="12"/>
      <c r="CJ38" s="12"/>
      <c r="CK38" s="12"/>
      <c r="CO38" s="12"/>
      <c r="CP38" s="12"/>
      <c r="CQ38" s="12"/>
      <c r="CR38" s="12"/>
      <c r="CV38" s="12"/>
      <c r="CW38" s="12"/>
      <c r="CX38" s="12"/>
      <c r="CY38" s="12"/>
      <c r="DC38" s="12"/>
      <c r="DD38" s="12"/>
      <c r="DE38" s="12"/>
      <c r="DF38" s="12"/>
      <c r="DJ38" s="12"/>
      <c r="DK38" s="12"/>
      <c r="DL38" s="12"/>
      <c r="DM38" s="12"/>
    </row>
    <row r="39" spans="2:117" outlineLevel="1">
      <c r="B39" t="s">
        <v>28</v>
      </c>
      <c r="C39" t="s">
        <v>72</v>
      </c>
      <c r="E39" s="11"/>
      <c r="F39" t="s">
        <v>77</v>
      </c>
      <c r="G39" s="12">
        <v>8.3000000000000004E-2</v>
      </c>
      <c r="I39" s="11">
        <f t="shared" si="4"/>
        <v>2</v>
      </c>
      <c r="J39" s="13">
        <f t="shared" si="5"/>
        <v>0</v>
      </c>
      <c r="K39" s="13">
        <f t="shared" si="5"/>
        <v>0</v>
      </c>
      <c r="L39" s="11"/>
      <c r="O39" s="12"/>
      <c r="P39" s="12"/>
      <c r="Q39" s="12"/>
      <c r="R39" s="12"/>
      <c r="V39" s="12"/>
      <c r="W39" s="12">
        <v>0.3</v>
      </c>
      <c r="X39" s="12"/>
      <c r="Y39" s="12">
        <v>0.3</v>
      </c>
      <c r="AC39" s="12"/>
      <c r="AD39" s="12">
        <v>0.5</v>
      </c>
      <c r="AE39" s="12"/>
      <c r="AF39" s="12">
        <v>0.5</v>
      </c>
      <c r="AJ39" s="12"/>
      <c r="AK39" s="12">
        <v>0.8</v>
      </c>
      <c r="AL39" s="12"/>
      <c r="AM39" s="12">
        <v>0.8</v>
      </c>
      <c r="AP39">
        <v>2</v>
      </c>
      <c r="AQ39" s="12"/>
      <c r="AR39" s="12">
        <v>1</v>
      </c>
      <c r="AS39" s="12"/>
      <c r="AT39" s="12">
        <v>1</v>
      </c>
      <c r="AX39" s="12"/>
      <c r="AY39" s="12">
        <v>1</v>
      </c>
      <c r="AZ39" s="12"/>
      <c r="BA39" s="12">
        <v>1</v>
      </c>
      <c r="BE39" s="12"/>
      <c r="BF39" s="12"/>
      <c r="BG39" s="12"/>
      <c r="BH39" s="12"/>
      <c r="BM39" s="12"/>
      <c r="BN39" s="12"/>
      <c r="BO39" s="12"/>
      <c r="BP39" s="12"/>
      <c r="BT39" s="12"/>
      <c r="BU39" s="12"/>
      <c r="BV39" s="12"/>
      <c r="BW39" s="12"/>
      <c r="CA39" s="12"/>
      <c r="CB39" s="12"/>
      <c r="CC39" s="12"/>
      <c r="CD39" s="12"/>
      <c r="CH39" s="12"/>
      <c r="CI39" s="12"/>
      <c r="CJ39" s="12"/>
      <c r="CK39" s="12"/>
      <c r="CO39" s="12"/>
      <c r="CP39" s="12"/>
      <c r="CQ39" s="12"/>
      <c r="CR39" s="12"/>
      <c r="CV39" s="12"/>
      <c r="CW39" s="12"/>
      <c r="CX39" s="12"/>
      <c r="CY39" s="12"/>
      <c r="DC39" s="12"/>
      <c r="DD39" s="12"/>
      <c r="DE39" s="12"/>
      <c r="DF39" s="12"/>
      <c r="DJ39" s="12"/>
      <c r="DK39" s="12"/>
      <c r="DL39" s="12"/>
      <c r="DM39" s="12"/>
    </row>
    <row r="40" spans="2:117" outlineLevel="1">
      <c r="B40" t="s">
        <v>28</v>
      </c>
      <c r="C40" t="s">
        <v>78</v>
      </c>
      <c r="E40" s="11"/>
      <c r="F40" t="s">
        <v>79</v>
      </c>
      <c r="G40" s="12">
        <v>8.3000000000000004E-2</v>
      </c>
      <c r="I40" s="11">
        <f t="shared" si="4"/>
        <v>2</v>
      </c>
      <c r="J40" s="13">
        <f t="shared" si="5"/>
        <v>0</v>
      </c>
      <c r="K40" s="13">
        <f t="shared" si="5"/>
        <v>0</v>
      </c>
      <c r="L40" s="11"/>
      <c r="O40" s="12"/>
      <c r="P40" s="12"/>
      <c r="Q40" s="12"/>
      <c r="R40" s="12"/>
      <c r="V40" s="12"/>
      <c r="W40" s="12">
        <v>0.3</v>
      </c>
      <c r="X40" s="12"/>
      <c r="Y40" s="12">
        <v>0.3</v>
      </c>
      <c r="AC40" s="12"/>
      <c r="AD40" s="12">
        <v>0.5</v>
      </c>
      <c r="AE40" s="12"/>
      <c r="AF40" s="12">
        <v>0.5</v>
      </c>
      <c r="AJ40" s="12"/>
      <c r="AK40" s="12">
        <v>0.8</v>
      </c>
      <c r="AL40" s="12"/>
      <c r="AM40" s="12">
        <v>0.8</v>
      </c>
      <c r="AP40">
        <v>2</v>
      </c>
      <c r="AQ40" s="12"/>
      <c r="AR40" s="12">
        <v>1</v>
      </c>
      <c r="AS40" s="12"/>
      <c r="AT40" s="12">
        <v>1</v>
      </c>
      <c r="AX40" s="12"/>
      <c r="AY40" s="12">
        <v>1</v>
      </c>
      <c r="AZ40" s="12"/>
      <c r="BA40" s="12">
        <v>1</v>
      </c>
      <c r="BE40" s="12"/>
      <c r="BF40" s="12"/>
      <c r="BG40" s="12"/>
      <c r="BH40" s="12"/>
      <c r="BM40" s="12"/>
      <c r="BN40" s="12"/>
      <c r="BO40" s="12"/>
      <c r="BP40" s="12"/>
      <c r="BT40" s="12"/>
      <c r="BU40" s="12"/>
      <c r="BV40" s="12"/>
      <c r="BW40" s="12"/>
      <c r="CA40" s="12"/>
      <c r="CB40" s="12"/>
      <c r="CC40" s="12"/>
      <c r="CD40" s="12"/>
      <c r="CH40" s="12"/>
      <c r="CI40" s="12"/>
      <c r="CJ40" s="12"/>
      <c r="CK40" s="12"/>
      <c r="CO40" s="12"/>
      <c r="CP40" s="12"/>
      <c r="CQ40" s="12"/>
      <c r="CR40" s="12"/>
      <c r="CV40" s="12"/>
      <c r="CW40" s="12"/>
      <c r="CX40" s="12"/>
      <c r="CY40" s="12"/>
      <c r="DC40" s="12"/>
      <c r="DD40" s="12"/>
      <c r="DE40" s="12"/>
      <c r="DF40" s="12"/>
      <c r="DJ40" s="12"/>
      <c r="DK40" s="12"/>
      <c r="DL40" s="12"/>
      <c r="DM40" s="12"/>
    </row>
    <row r="41" spans="2:117" outlineLevel="1">
      <c r="B41" t="s">
        <v>28</v>
      </c>
      <c r="C41" t="s">
        <v>78</v>
      </c>
      <c r="E41" s="11"/>
      <c r="F41" t="s">
        <v>80</v>
      </c>
      <c r="G41" s="12">
        <v>8.3000000000000004E-2</v>
      </c>
      <c r="I41" s="11">
        <f t="shared" si="4"/>
        <v>2</v>
      </c>
      <c r="J41" s="13">
        <f t="shared" si="5"/>
        <v>0</v>
      </c>
      <c r="K41" s="13">
        <f t="shared" si="5"/>
        <v>0</v>
      </c>
      <c r="L41" s="11"/>
      <c r="O41" s="12"/>
      <c r="P41" s="12"/>
      <c r="Q41" s="12"/>
      <c r="R41" s="12"/>
      <c r="V41" s="12"/>
      <c r="W41" s="12"/>
      <c r="X41" s="12"/>
      <c r="Y41" s="12"/>
      <c r="AC41" s="12"/>
      <c r="AD41" s="12">
        <v>0.5</v>
      </c>
      <c r="AE41" s="12"/>
      <c r="AF41" s="12">
        <v>0.5</v>
      </c>
      <c r="AJ41" s="12"/>
      <c r="AK41" s="12">
        <v>0.8</v>
      </c>
      <c r="AL41" s="12"/>
      <c r="AM41" s="12">
        <v>0.8</v>
      </c>
      <c r="AP41">
        <v>2</v>
      </c>
      <c r="AQ41" s="12"/>
      <c r="AR41" s="12">
        <v>1</v>
      </c>
      <c r="AS41" s="12"/>
      <c r="AT41" s="12">
        <v>1</v>
      </c>
      <c r="AX41" s="12"/>
      <c r="AY41" s="12">
        <v>1</v>
      </c>
      <c r="AZ41" s="12"/>
      <c r="BA41" s="12">
        <v>1</v>
      </c>
      <c r="BE41" s="12"/>
      <c r="BF41" s="12"/>
      <c r="BG41" s="12"/>
      <c r="BH41" s="12"/>
      <c r="BM41" s="12"/>
      <c r="BN41" s="12"/>
      <c r="BO41" s="12"/>
      <c r="BP41" s="12"/>
      <c r="BT41" s="12"/>
      <c r="BU41" s="12"/>
      <c r="BV41" s="12"/>
      <c r="BW41" s="12"/>
      <c r="CA41" s="12"/>
      <c r="CB41" s="12"/>
      <c r="CC41" s="12"/>
      <c r="CD41" s="12"/>
      <c r="CH41" s="12"/>
      <c r="CI41" s="12"/>
      <c r="CJ41" s="12"/>
      <c r="CK41" s="12"/>
      <c r="CO41" s="12"/>
      <c r="CP41" s="12"/>
      <c r="CQ41" s="12"/>
      <c r="CR41" s="12"/>
      <c r="CV41" s="12"/>
      <c r="CW41" s="12"/>
      <c r="CX41" s="12"/>
      <c r="CY41" s="12"/>
      <c r="DC41" s="12"/>
      <c r="DD41" s="12"/>
      <c r="DE41" s="12"/>
      <c r="DF41" s="12"/>
      <c r="DJ41" s="12"/>
      <c r="DK41" s="12"/>
      <c r="DL41" s="12"/>
      <c r="DM41" s="12"/>
    </row>
    <row r="42" spans="2:117" outlineLevel="1">
      <c r="B42" t="s">
        <v>28</v>
      </c>
      <c r="C42" t="s">
        <v>78</v>
      </c>
      <c r="E42" s="11"/>
      <c r="F42" t="s">
        <v>81</v>
      </c>
      <c r="G42" s="12">
        <v>8.3000000000000004E-2</v>
      </c>
      <c r="I42" s="11">
        <f t="shared" si="4"/>
        <v>2</v>
      </c>
      <c r="J42" s="13">
        <f t="shared" si="5"/>
        <v>0</v>
      </c>
      <c r="K42" s="13">
        <f t="shared" si="5"/>
        <v>0</v>
      </c>
      <c r="L42" s="11"/>
      <c r="O42" s="12"/>
      <c r="P42" s="12"/>
      <c r="Q42" s="12"/>
      <c r="R42" s="12"/>
      <c r="V42" s="12"/>
      <c r="W42" s="12"/>
      <c r="X42" s="12"/>
      <c r="Y42" s="12"/>
      <c r="AC42" s="12"/>
      <c r="AD42" s="12">
        <v>0.5</v>
      </c>
      <c r="AE42" s="12"/>
      <c r="AF42" s="12">
        <v>0.5</v>
      </c>
      <c r="AJ42" s="12"/>
      <c r="AK42" s="12">
        <v>0.8</v>
      </c>
      <c r="AL42" s="12"/>
      <c r="AM42" s="12">
        <v>0.8</v>
      </c>
      <c r="AP42">
        <v>2</v>
      </c>
      <c r="AQ42" s="12"/>
      <c r="AR42" s="12">
        <v>0.8</v>
      </c>
      <c r="AS42" s="12"/>
      <c r="AT42" s="12">
        <v>0.8</v>
      </c>
      <c r="AX42" s="12"/>
      <c r="AY42" s="12">
        <v>1</v>
      </c>
      <c r="AZ42" s="12"/>
      <c r="BA42" s="12">
        <v>1</v>
      </c>
      <c r="BE42" s="12"/>
      <c r="BF42" s="12"/>
      <c r="BG42" s="12"/>
      <c r="BH42" s="12"/>
      <c r="BM42" s="12"/>
      <c r="BN42" s="12"/>
      <c r="BO42" s="12"/>
      <c r="BP42" s="12"/>
      <c r="BT42" s="12"/>
      <c r="BU42" s="12"/>
      <c r="BV42" s="12"/>
      <c r="BW42" s="12"/>
      <c r="CA42" s="12"/>
      <c r="CB42" s="12"/>
      <c r="CC42" s="12"/>
      <c r="CD42" s="12"/>
      <c r="CH42" s="12"/>
      <c r="CI42" s="12"/>
      <c r="CJ42" s="12"/>
      <c r="CK42" s="12"/>
      <c r="CO42" s="12"/>
      <c r="CP42" s="12"/>
      <c r="CQ42" s="12"/>
      <c r="CR42" s="12"/>
      <c r="CV42" s="12"/>
      <c r="CW42" s="12"/>
      <c r="CX42" s="12"/>
      <c r="CY42" s="12"/>
      <c r="DC42" s="12"/>
      <c r="DD42" s="12"/>
      <c r="DE42" s="12"/>
      <c r="DF42" s="12"/>
      <c r="DJ42" s="12"/>
      <c r="DK42" s="12"/>
      <c r="DL42" s="12"/>
      <c r="DM42" s="12"/>
    </row>
    <row r="43" spans="2:117" outlineLevel="1">
      <c r="B43" t="s">
        <v>28</v>
      </c>
      <c r="C43" t="s">
        <v>78</v>
      </c>
      <c r="E43" s="11"/>
      <c r="F43" t="s">
        <v>82</v>
      </c>
      <c r="G43" s="12">
        <v>8.3000000000000004E-2</v>
      </c>
      <c r="I43" s="11">
        <f t="shared" si="4"/>
        <v>4</v>
      </c>
      <c r="J43" s="13">
        <f t="shared" si="5"/>
        <v>0</v>
      </c>
      <c r="K43" s="13">
        <f t="shared" si="5"/>
        <v>0</v>
      </c>
      <c r="L43" s="11"/>
      <c r="O43" s="12"/>
      <c r="P43" s="12"/>
      <c r="Q43" s="12"/>
      <c r="R43" s="12"/>
      <c r="V43" s="12"/>
      <c r="W43" s="12"/>
      <c r="X43" s="12"/>
      <c r="Y43" s="12"/>
      <c r="AC43" s="12"/>
      <c r="AD43" s="12">
        <v>0.3</v>
      </c>
      <c r="AE43" s="12"/>
      <c r="AF43" s="12">
        <v>0.3</v>
      </c>
      <c r="AJ43" s="12"/>
      <c r="AK43" s="12">
        <v>0.5</v>
      </c>
      <c r="AL43" s="12"/>
      <c r="AM43" s="12">
        <v>0.5</v>
      </c>
      <c r="AP43">
        <v>4</v>
      </c>
      <c r="AQ43" s="12"/>
      <c r="AR43" s="12">
        <v>0.8</v>
      </c>
      <c r="AS43" s="12"/>
      <c r="AT43" s="12">
        <v>0.8</v>
      </c>
      <c r="AX43" s="12"/>
      <c r="AY43" s="12">
        <v>1</v>
      </c>
      <c r="AZ43" s="12"/>
      <c r="BA43" s="12">
        <v>1</v>
      </c>
      <c r="BE43" s="12"/>
      <c r="BF43" s="12"/>
      <c r="BG43" s="12"/>
      <c r="BH43" s="12"/>
      <c r="BM43" s="12"/>
      <c r="BN43" s="12"/>
      <c r="BO43" s="12"/>
      <c r="BP43" s="12"/>
      <c r="BT43" s="12"/>
      <c r="BU43" s="12"/>
      <c r="BV43" s="12"/>
      <c r="BW43" s="12"/>
      <c r="CA43" s="12"/>
      <c r="CB43" s="12"/>
      <c r="CC43" s="12"/>
      <c r="CD43" s="12"/>
      <c r="CH43" s="12"/>
      <c r="CI43" s="12"/>
      <c r="CJ43" s="12"/>
      <c r="CK43" s="12"/>
      <c r="CO43" s="12"/>
      <c r="CP43" s="12"/>
      <c r="CQ43" s="12"/>
      <c r="CR43" s="12"/>
      <c r="CV43" s="12"/>
      <c r="CW43" s="12"/>
      <c r="CX43" s="12"/>
      <c r="CY43" s="12"/>
      <c r="DC43" s="12"/>
      <c r="DD43" s="12"/>
      <c r="DE43" s="12"/>
      <c r="DF43" s="12"/>
      <c r="DJ43" s="12"/>
      <c r="DK43" s="12"/>
      <c r="DL43" s="12"/>
      <c r="DM43" s="12"/>
    </row>
    <row r="44" spans="2:117" outlineLevel="1">
      <c r="B44" t="s">
        <v>28</v>
      </c>
      <c r="C44" t="s">
        <v>78</v>
      </c>
      <c r="E44" s="11"/>
      <c r="F44" t="s">
        <v>167</v>
      </c>
      <c r="G44" s="12">
        <v>8.3000000000000004E-2</v>
      </c>
      <c r="I44" s="11">
        <f t="shared" si="4"/>
        <v>4</v>
      </c>
      <c r="J44" s="13">
        <f t="shared" si="5"/>
        <v>0</v>
      </c>
      <c r="K44" s="13">
        <f t="shared" si="5"/>
        <v>0</v>
      </c>
      <c r="L44" s="11"/>
      <c r="O44" s="12"/>
      <c r="P44" s="12"/>
      <c r="Q44" s="12"/>
      <c r="R44" s="12"/>
      <c r="V44" s="12"/>
      <c r="W44" s="12"/>
      <c r="X44" s="12"/>
      <c r="Y44" s="12"/>
      <c r="AC44" s="12"/>
      <c r="AD44" s="12">
        <v>0.3</v>
      </c>
      <c r="AE44" s="12"/>
      <c r="AF44" s="12">
        <v>0.3</v>
      </c>
      <c r="AJ44" s="12"/>
      <c r="AK44" s="12">
        <v>0.5</v>
      </c>
      <c r="AL44" s="12"/>
      <c r="AM44" s="12">
        <v>0.5</v>
      </c>
      <c r="AP44">
        <v>4</v>
      </c>
      <c r="AQ44" s="12"/>
      <c r="AR44" s="12">
        <v>0.8</v>
      </c>
      <c r="AS44" s="12"/>
      <c r="AT44" s="12">
        <v>0.8</v>
      </c>
      <c r="AX44" s="12"/>
      <c r="AY44" s="12">
        <v>1</v>
      </c>
      <c r="AZ44" s="12"/>
      <c r="BA44" s="12">
        <v>1</v>
      </c>
      <c r="BE44" s="12"/>
      <c r="BF44" s="12"/>
      <c r="BG44" s="12"/>
      <c r="BH44" s="12"/>
      <c r="BM44" s="12"/>
      <c r="BN44" s="12"/>
      <c r="BO44" s="12"/>
      <c r="BP44" s="12"/>
      <c r="BT44" s="12"/>
      <c r="BU44" s="12"/>
      <c r="BV44" s="12"/>
      <c r="BW44" s="12"/>
      <c r="CA44" s="12"/>
      <c r="CB44" s="12"/>
      <c r="CC44" s="12"/>
      <c r="CD44" s="12"/>
      <c r="CH44" s="12"/>
      <c r="CI44" s="12"/>
      <c r="CJ44" s="12"/>
      <c r="CK44" s="12"/>
      <c r="CO44" s="12"/>
      <c r="CP44" s="12"/>
      <c r="CQ44" s="12"/>
      <c r="CR44" s="12"/>
      <c r="CV44" s="12"/>
      <c r="CW44" s="12"/>
      <c r="CX44" s="12"/>
      <c r="CY44" s="12"/>
      <c r="DC44" s="12"/>
      <c r="DD44" s="12"/>
      <c r="DE44" s="12"/>
      <c r="DF44" s="12"/>
      <c r="DJ44" s="12"/>
      <c r="DK44" s="12"/>
      <c r="DL44" s="12"/>
      <c r="DM44" s="12"/>
    </row>
    <row r="45" spans="2:117" outlineLevel="1">
      <c r="B45" t="s">
        <v>28</v>
      </c>
      <c r="C45" t="s">
        <v>78</v>
      </c>
      <c r="E45" s="11"/>
      <c r="F45" t="s">
        <v>168</v>
      </c>
      <c r="G45" s="12">
        <v>8.3000000000000004E-2</v>
      </c>
      <c r="I45" s="11">
        <f t="shared" si="4"/>
        <v>4</v>
      </c>
      <c r="J45" s="13">
        <f t="shared" si="5"/>
        <v>0</v>
      </c>
      <c r="K45" s="13">
        <f t="shared" si="5"/>
        <v>0</v>
      </c>
      <c r="L45" s="11"/>
      <c r="O45" s="12"/>
      <c r="P45" s="12"/>
      <c r="Q45" s="12"/>
      <c r="R45" s="12"/>
      <c r="V45" s="12"/>
      <c r="W45" s="12"/>
      <c r="X45" s="12"/>
      <c r="Y45" s="12"/>
      <c r="AC45" s="12"/>
      <c r="AD45" s="12">
        <v>0.3</v>
      </c>
      <c r="AE45" s="12"/>
      <c r="AF45" s="12">
        <v>0.3</v>
      </c>
      <c r="AJ45" s="12"/>
      <c r="AK45" s="12">
        <v>0.5</v>
      </c>
      <c r="AL45" s="12"/>
      <c r="AM45" s="12">
        <v>0.5</v>
      </c>
      <c r="AP45">
        <v>4</v>
      </c>
      <c r="AQ45" s="12"/>
      <c r="AR45" s="12">
        <v>0.8</v>
      </c>
      <c r="AS45" s="12"/>
      <c r="AT45" s="12">
        <v>0.8</v>
      </c>
      <c r="AX45" s="12"/>
      <c r="AY45" s="12">
        <v>1</v>
      </c>
      <c r="AZ45" s="12"/>
      <c r="BA45" s="12">
        <v>1</v>
      </c>
      <c r="BE45" s="12"/>
      <c r="BF45" s="12"/>
      <c r="BG45" s="12"/>
      <c r="BH45" s="12"/>
      <c r="BM45" s="12"/>
      <c r="BN45" s="12"/>
      <c r="BO45" s="12"/>
      <c r="BP45" s="12"/>
      <c r="BT45" s="12"/>
      <c r="BU45" s="12"/>
      <c r="BV45" s="12"/>
      <c r="BW45" s="12"/>
      <c r="CA45" s="12"/>
      <c r="CB45" s="12"/>
      <c r="CC45" s="12"/>
      <c r="CD45" s="12"/>
      <c r="CH45" s="12"/>
      <c r="CI45" s="12"/>
      <c r="CJ45" s="12"/>
      <c r="CK45" s="12"/>
      <c r="CO45" s="12"/>
      <c r="CP45" s="12"/>
      <c r="CQ45" s="12"/>
      <c r="CR45" s="12"/>
      <c r="CV45" s="12"/>
      <c r="CW45" s="12"/>
      <c r="CX45" s="12"/>
      <c r="CY45" s="12"/>
      <c r="DC45" s="12"/>
      <c r="DD45" s="12"/>
      <c r="DE45" s="12"/>
      <c r="DF45" s="12"/>
      <c r="DJ45" s="12"/>
      <c r="DK45" s="12"/>
      <c r="DL45" s="12"/>
      <c r="DM45" s="12"/>
    </row>
    <row r="47" spans="2:117">
      <c r="B47" t="s">
        <v>27</v>
      </c>
      <c r="C47" t="s">
        <v>39</v>
      </c>
      <c r="D47" s="20">
        <v>44622</v>
      </c>
      <c r="E47" s="11">
        <v>6</v>
      </c>
      <c r="G47" s="12">
        <f>+SUM(G48:G63)</f>
        <v>1</v>
      </c>
      <c r="I47" s="14">
        <f>+SUM(I48:I57)</f>
        <v>0</v>
      </c>
      <c r="J47" s="13">
        <f>+SUMPRODUCT(G48:G57,J48:J57)</f>
        <v>0</v>
      </c>
      <c r="K47" s="13">
        <f>+SUMPRODUCT(G48:G57,K48:K57)</f>
        <v>0</v>
      </c>
      <c r="L47" s="11"/>
      <c r="N47" s="14">
        <v>8</v>
      </c>
      <c r="U47" s="14">
        <f>+SUM(U48:U57)</f>
        <v>0</v>
      </c>
      <c r="AB47" s="14">
        <f>+SUM(AB48:AB57)</f>
        <v>0</v>
      </c>
      <c r="AI47" s="14">
        <f>+SUM(AI48:AI57)</f>
        <v>0</v>
      </c>
      <c r="AP47" s="14">
        <f>+SUM(AP48:AP57)</f>
        <v>0</v>
      </c>
      <c r="AW47" s="14">
        <f>+SUM(AW48:AW57)</f>
        <v>0</v>
      </c>
      <c r="BD47" s="14">
        <f>+SUM(BD48:BD57)</f>
        <v>0</v>
      </c>
      <c r="BL47" s="14">
        <f>+SUM(BL48:BL57)</f>
        <v>0</v>
      </c>
      <c r="BS47" s="14">
        <f>+SUM(BS48:BS57)</f>
        <v>0</v>
      </c>
      <c r="BZ47" s="14">
        <f>+SUM(BZ48:BZ57)</f>
        <v>0</v>
      </c>
      <c r="CG47" s="14">
        <f>+SUM(CG48:CG57)</f>
        <v>0</v>
      </c>
      <c r="CN47" s="14">
        <f>+SUM(CN48:CN57)</f>
        <v>0</v>
      </c>
      <c r="CU47" s="14">
        <f>+SUM(CU48:CU57)</f>
        <v>0</v>
      </c>
      <c r="DB47" s="14">
        <f>+SUM(DB48:DB57)</f>
        <v>0</v>
      </c>
      <c r="DI47" s="14">
        <f>+SUM(DI48:DI57)</f>
        <v>0</v>
      </c>
    </row>
    <row r="48" spans="2:117" outlineLevel="1">
      <c r="B48" t="s">
        <v>28</v>
      </c>
      <c r="C48" t="s">
        <v>39</v>
      </c>
      <c r="E48" s="11"/>
      <c r="F48" t="s">
        <v>30</v>
      </c>
      <c r="G48" s="12">
        <v>6.25E-2</v>
      </c>
      <c r="I48" s="11">
        <f t="shared" ref="I48:I63" si="6">+SUMIF($N$3:$ZW$3,I$3,$N48:$ZW48)</f>
        <v>0</v>
      </c>
      <c r="J48" s="13">
        <f t="shared" ref="J48:K63" si="7">+_xlfn.MAXIFS($N48:$ZC48,$N$3:$ZC$3,J$3)</f>
        <v>0</v>
      </c>
      <c r="K48" s="13">
        <f t="shared" si="7"/>
        <v>0</v>
      </c>
      <c r="L48" s="11"/>
      <c r="O48" s="12"/>
      <c r="P48" s="12"/>
      <c r="Q48" s="12"/>
      <c r="R48" s="12"/>
      <c r="V48" s="12"/>
      <c r="W48" s="12"/>
      <c r="X48" s="12"/>
      <c r="Y48" s="12"/>
      <c r="AC48" s="12"/>
      <c r="AD48" s="12"/>
      <c r="AE48" s="12"/>
      <c r="AF48" s="12"/>
      <c r="AJ48" s="12"/>
      <c r="AK48" s="12"/>
      <c r="AL48" s="12"/>
      <c r="AM48" s="12"/>
      <c r="AQ48" s="12"/>
      <c r="AR48" s="12">
        <v>1</v>
      </c>
      <c r="AS48" s="12"/>
      <c r="AT48" s="12">
        <v>1</v>
      </c>
      <c r="AX48" s="12"/>
      <c r="AY48" s="12"/>
      <c r="AZ48" s="12"/>
      <c r="BA48" s="12"/>
      <c r="BE48" s="12"/>
      <c r="BF48" s="12"/>
      <c r="BG48" s="12"/>
      <c r="BH48" s="12"/>
      <c r="BM48" s="12"/>
      <c r="BN48" s="12">
        <v>1</v>
      </c>
      <c r="BO48" s="12"/>
      <c r="BP48" s="12">
        <v>1</v>
      </c>
      <c r="BT48" s="12"/>
      <c r="BU48" s="12">
        <v>1</v>
      </c>
      <c r="BV48" s="12"/>
      <c r="BW48" s="12">
        <v>1</v>
      </c>
      <c r="CA48" s="12"/>
      <c r="CB48" s="12"/>
      <c r="CC48" s="12"/>
      <c r="CD48" s="12"/>
      <c r="CH48" s="12"/>
      <c r="CI48" s="12"/>
      <c r="CJ48" s="12"/>
      <c r="CK48" s="12"/>
      <c r="CO48" s="12"/>
      <c r="CP48" s="12"/>
      <c r="CQ48" s="12"/>
      <c r="CR48" s="12"/>
      <c r="CV48" s="12"/>
      <c r="CW48" s="12"/>
      <c r="CX48" s="12"/>
      <c r="CY48" s="12"/>
      <c r="DC48" s="12"/>
      <c r="DD48" s="12"/>
      <c r="DE48" s="12"/>
      <c r="DF48" s="12"/>
      <c r="DJ48" s="12"/>
      <c r="DK48" s="12"/>
      <c r="DL48" s="12"/>
      <c r="DM48" s="12"/>
    </row>
    <row r="49" spans="2:117" outlineLevel="1">
      <c r="B49" t="s">
        <v>28</v>
      </c>
      <c r="C49" t="s">
        <v>39</v>
      </c>
      <c r="E49" s="11"/>
      <c r="F49" t="s">
        <v>83</v>
      </c>
      <c r="G49" s="12">
        <v>6.25E-2</v>
      </c>
      <c r="I49" s="11">
        <f t="shared" si="6"/>
        <v>0</v>
      </c>
      <c r="J49" s="13">
        <f t="shared" si="7"/>
        <v>0</v>
      </c>
      <c r="K49" s="13">
        <f t="shared" si="7"/>
        <v>0</v>
      </c>
      <c r="L49" s="11"/>
      <c r="O49" s="12"/>
      <c r="P49" s="12"/>
      <c r="Q49" s="12"/>
      <c r="R49" s="12"/>
      <c r="V49" s="12"/>
      <c r="W49" s="12"/>
      <c r="X49" s="12"/>
      <c r="Y49" s="12"/>
      <c r="AC49" s="12"/>
      <c r="AD49" s="12"/>
      <c r="AE49" s="12"/>
      <c r="AF49" s="12"/>
      <c r="AJ49" s="12"/>
      <c r="AK49" s="12"/>
      <c r="AL49" s="12"/>
      <c r="AM49" s="12"/>
      <c r="AQ49" s="12"/>
      <c r="AR49" s="12">
        <v>1</v>
      </c>
      <c r="AS49" s="12"/>
      <c r="AT49" s="12">
        <v>1</v>
      </c>
      <c r="AX49" s="12"/>
      <c r="AY49" s="12"/>
      <c r="AZ49" s="12"/>
      <c r="BA49" s="12"/>
      <c r="BE49" s="12"/>
      <c r="BF49" s="12"/>
      <c r="BG49" s="12"/>
      <c r="BH49" s="12"/>
      <c r="BM49" s="12"/>
      <c r="BN49" s="12">
        <v>1</v>
      </c>
      <c r="BO49" s="12"/>
      <c r="BP49" s="12">
        <v>1</v>
      </c>
      <c r="BT49" s="12"/>
      <c r="BU49" s="12">
        <v>1</v>
      </c>
      <c r="BV49" s="12"/>
      <c r="BW49" s="12">
        <v>1</v>
      </c>
      <c r="CA49" s="12"/>
      <c r="CB49" s="12"/>
      <c r="CC49" s="12"/>
      <c r="CD49" s="12"/>
      <c r="CH49" s="12"/>
      <c r="CI49" s="12"/>
      <c r="CJ49" s="12"/>
      <c r="CK49" s="12"/>
      <c r="CO49" s="12"/>
      <c r="CP49" s="12"/>
      <c r="CQ49" s="12"/>
      <c r="CR49" s="12"/>
      <c r="CV49" s="12"/>
      <c r="CW49" s="12"/>
      <c r="CX49" s="12"/>
      <c r="CY49" s="12"/>
      <c r="DC49" s="12"/>
      <c r="DD49" s="12"/>
      <c r="DE49" s="12"/>
      <c r="DF49" s="12"/>
      <c r="DJ49" s="12"/>
      <c r="DK49" s="12"/>
      <c r="DL49" s="12"/>
      <c r="DM49" s="12"/>
    </row>
    <row r="50" spans="2:117" outlineLevel="1">
      <c r="B50" t="s">
        <v>28</v>
      </c>
      <c r="C50" t="s">
        <v>39</v>
      </c>
      <c r="E50" s="11"/>
      <c r="F50" t="s">
        <v>84</v>
      </c>
      <c r="G50" s="12">
        <v>6.25E-2</v>
      </c>
      <c r="I50" s="11">
        <f t="shared" si="6"/>
        <v>0</v>
      </c>
      <c r="J50" s="13">
        <f t="shared" si="7"/>
        <v>0</v>
      </c>
      <c r="K50" s="13">
        <f t="shared" si="7"/>
        <v>0</v>
      </c>
      <c r="L50" s="11"/>
      <c r="O50" s="12"/>
      <c r="P50" s="12"/>
      <c r="Q50" s="12"/>
      <c r="R50" s="12"/>
      <c r="V50" s="12"/>
      <c r="W50" s="12"/>
      <c r="X50" s="12"/>
      <c r="Y50" s="12"/>
      <c r="AC50" s="12"/>
      <c r="AD50" s="12"/>
      <c r="AE50" s="12"/>
      <c r="AF50" s="12"/>
      <c r="AJ50" s="12"/>
      <c r="AK50" s="12"/>
      <c r="AL50" s="12"/>
      <c r="AM50" s="12"/>
      <c r="AQ50" s="12"/>
      <c r="AR50" s="12">
        <v>1</v>
      </c>
      <c r="AS50" s="12"/>
      <c r="AT50" s="12">
        <v>1</v>
      </c>
      <c r="AX50" s="12"/>
      <c r="AY50" s="12"/>
      <c r="AZ50" s="12"/>
      <c r="BA50" s="12"/>
      <c r="BE50" s="12"/>
      <c r="BF50" s="12"/>
      <c r="BG50" s="12"/>
      <c r="BH50" s="12"/>
      <c r="BM50" s="12"/>
      <c r="BN50" s="12">
        <v>1</v>
      </c>
      <c r="BO50" s="12"/>
      <c r="BP50" s="12">
        <v>1</v>
      </c>
      <c r="BT50" s="12"/>
      <c r="BU50" s="12">
        <v>1</v>
      </c>
      <c r="BV50" s="12"/>
      <c r="BW50" s="12">
        <v>1</v>
      </c>
      <c r="CA50" s="12"/>
      <c r="CB50" s="12"/>
      <c r="CC50" s="12"/>
      <c r="CD50" s="12"/>
      <c r="CH50" s="12"/>
      <c r="CI50" s="12"/>
      <c r="CJ50" s="12"/>
      <c r="CK50" s="12"/>
      <c r="CO50" s="12"/>
      <c r="CP50" s="12"/>
      <c r="CQ50" s="12"/>
      <c r="CR50" s="12"/>
      <c r="CV50" s="12"/>
      <c r="CW50" s="12"/>
      <c r="CX50" s="12"/>
      <c r="CY50" s="12"/>
      <c r="DC50" s="12"/>
      <c r="DD50" s="12"/>
      <c r="DE50" s="12"/>
      <c r="DF50" s="12"/>
      <c r="DJ50" s="12"/>
      <c r="DK50" s="12"/>
      <c r="DL50" s="12"/>
      <c r="DM50" s="12"/>
    </row>
    <row r="51" spans="2:117" outlineLevel="1">
      <c r="B51" t="s">
        <v>28</v>
      </c>
      <c r="C51" t="s">
        <v>39</v>
      </c>
      <c r="E51" s="11"/>
      <c r="F51" t="s">
        <v>85</v>
      </c>
      <c r="G51" s="12">
        <v>6.25E-2</v>
      </c>
      <c r="I51" s="11">
        <f t="shared" si="6"/>
        <v>0</v>
      </c>
      <c r="J51" s="13">
        <f t="shared" si="7"/>
        <v>0</v>
      </c>
      <c r="K51" s="13">
        <f t="shared" si="7"/>
        <v>0</v>
      </c>
      <c r="L51" s="11"/>
      <c r="O51" s="12"/>
      <c r="P51" s="12"/>
      <c r="Q51" s="12"/>
      <c r="R51" s="12"/>
      <c r="V51" s="12"/>
      <c r="W51" s="12"/>
      <c r="X51" s="12"/>
      <c r="Y51" s="12"/>
      <c r="AC51" s="12"/>
      <c r="AD51" s="12"/>
      <c r="AE51" s="12"/>
      <c r="AF51" s="12"/>
      <c r="AJ51" s="12"/>
      <c r="AK51" s="12"/>
      <c r="AL51" s="12"/>
      <c r="AM51" s="12"/>
      <c r="AQ51" s="12"/>
      <c r="AR51" s="12">
        <v>1</v>
      </c>
      <c r="AS51" s="12"/>
      <c r="AT51" s="12">
        <v>1</v>
      </c>
      <c r="AX51" s="12"/>
      <c r="AY51" s="12"/>
      <c r="AZ51" s="12"/>
      <c r="BA51" s="12"/>
      <c r="BE51" s="12"/>
      <c r="BF51" s="12"/>
      <c r="BG51" s="12"/>
      <c r="BH51" s="12"/>
      <c r="BM51" s="12"/>
      <c r="BN51" s="12">
        <v>1</v>
      </c>
      <c r="BO51" s="12"/>
      <c r="BP51" s="12">
        <v>1</v>
      </c>
      <c r="BT51" s="12"/>
      <c r="BU51" s="12">
        <v>1</v>
      </c>
      <c r="BV51" s="12"/>
      <c r="BW51" s="12">
        <v>1</v>
      </c>
      <c r="CA51" s="12"/>
      <c r="CB51" s="12"/>
      <c r="CC51" s="12"/>
      <c r="CD51" s="12"/>
      <c r="CH51" s="12"/>
      <c r="CI51" s="12"/>
      <c r="CJ51" s="12"/>
      <c r="CK51" s="12"/>
      <c r="CO51" s="12"/>
      <c r="CP51" s="12"/>
      <c r="CQ51" s="12"/>
      <c r="CR51" s="12"/>
      <c r="CV51" s="12"/>
      <c r="CW51" s="12"/>
      <c r="CX51" s="12"/>
      <c r="CY51" s="12"/>
      <c r="DC51" s="12"/>
      <c r="DD51" s="12"/>
      <c r="DE51" s="12"/>
      <c r="DF51" s="12"/>
      <c r="DJ51" s="12"/>
      <c r="DK51" s="12"/>
      <c r="DL51" s="12"/>
      <c r="DM51" s="12"/>
    </row>
    <row r="52" spans="2:117" outlineLevel="1">
      <c r="B52" t="s">
        <v>28</v>
      </c>
      <c r="C52" t="s">
        <v>39</v>
      </c>
      <c r="E52" s="11"/>
      <c r="F52" t="s">
        <v>86</v>
      </c>
      <c r="G52" s="12">
        <v>6.25E-2</v>
      </c>
      <c r="I52" s="11">
        <f t="shared" si="6"/>
        <v>0</v>
      </c>
      <c r="J52" s="13">
        <f t="shared" si="7"/>
        <v>0</v>
      </c>
      <c r="K52" s="13">
        <f t="shared" si="7"/>
        <v>0</v>
      </c>
      <c r="L52" s="11"/>
      <c r="O52" s="12"/>
      <c r="P52" s="12"/>
      <c r="Q52" s="12"/>
      <c r="R52" s="12"/>
      <c r="V52" s="12"/>
      <c r="W52" s="12"/>
      <c r="X52" s="12"/>
      <c r="Y52" s="12"/>
      <c r="AC52" s="12"/>
      <c r="AD52" s="12"/>
      <c r="AE52" s="12"/>
      <c r="AF52" s="12"/>
      <c r="AJ52" s="12"/>
      <c r="AK52" s="12"/>
      <c r="AL52" s="12"/>
      <c r="AM52" s="12"/>
      <c r="AQ52" s="12"/>
      <c r="AR52" s="12">
        <v>1</v>
      </c>
      <c r="AS52" s="12"/>
      <c r="AT52" s="12">
        <v>1</v>
      </c>
      <c r="AX52" s="12"/>
      <c r="AY52" s="12"/>
      <c r="AZ52" s="12"/>
      <c r="BA52" s="12"/>
      <c r="BE52" s="12"/>
      <c r="BF52" s="12"/>
      <c r="BG52" s="12"/>
      <c r="BH52" s="12"/>
      <c r="BM52" s="12"/>
      <c r="BN52" s="12">
        <v>1</v>
      </c>
      <c r="BO52" s="12"/>
      <c r="BP52" s="12">
        <v>1</v>
      </c>
      <c r="BT52" s="12"/>
      <c r="BU52" s="12">
        <v>1</v>
      </c>
      <c r="BV52" s="12"/>
      <c r="BW52" s="12">
        <v>1</v>
      </c>
      <c r="CA52" s="12"/>
      <c r="CB52" s="12"/>
      <c r="CC52" s="12"/>
      <c r="CD52" s="12"/>
      <c r="CH52" s="12"/>
      <c r="CI52" s="12"/>
      <c r="CJ52" s="12"/>
      <c r="CK52" s="12"/>
      <c r="CO52" s="12"/>
      <c r="CP52" s="12"/>
      <c r="CQ52" s="12"/>
      <c r="CR52" s="12"/>
      <c r="CV52" s="12"/>
      <c r="CW52" s="12"/>
      <c r="CX52" s="12"/>
      <c r="CY52" s="12"/>
      <c r="DC52" s="12"/>
      <c r="DD52" s="12"/>
      <c r="DE52" s="12"/>
      <c r="DF52" s="12"/>
      <c r="DJ52" s="12"/>
      <c r="DK52" s="12"/>
      <c r="DL52" s="12"/>
      <c r="DM52" s="12"/>
    </row>
    <row r="53" spans="2:117" outlineLevel="1">
      <c r="B53" t="s">
        <v>28</v>
      </c>
      <c r="C53" t="s">
        <v>39</v>
      </c>
      <c r="E53" s="11"/>
      <c r="F53" t="s">
        <v>87</v>
      </c>
      <c r="G53" s="12">
        <v>6.25E-2</v>
      </c>
      <c r="I53" s="11">
        <f t="shared" si="6"/>
        <v>0</v>
      </c>
      <c r="J53" s="13">
        <f t="shared" si="7"/>
        <v>0</v>
      </c>
      <c r="K53" s="13">
        <f t="shared" si="7"/>
        <v>0</v>
      </c>
      <c r="L53" s="11"/>
      <c r="O53" s="12"/>
      <c r="P53" s="12"/>
      <c r="Q53" s="12"/>
      <c r="R53" s="12"/>
      <c r="V53" s="12"/>
      <c r="W53" s="12"/>
      <c r="X53" s="12"/>
      <c r="Y53" s="12"/>
      <c r="AC53" s="12"/>
      <c r="AD53" s="12"/>
      <c r="AE53" s="12"/>
      <c r="AF53" s="12"/>
      <c r="AJ53" s="12"/>
      <c r="AK53" s="12"/>
      <c r="AL53" s="12"/>
      <c r="AM53" s="12"/>
      <c r="AQ53" s="12"/>
      <c r="AR53" s="12">
        <v>1</v>
      </c>
      <c r="AS53" s="12"/>
      <c r="AT53" s="12">
        <v>1</v>
      </c>
      <c r="AX53" s="12"/>
      <c r="AY53" s="12"/>
      <c r="AZ53" s="12"/>
      <c r="BA53" s="12"/>
      <c r="BE53" s="12"/>
      <c r="BF53" s="12"/>
      <c r="BG53" s="12"/>
      <c r="BH53" s="12"/>
      <c r="BM53" s="12"/>
      <c r="BN53" s="12">
        <v>1</v>
      </c>
      <c r="BO53" s="12"/>
      <c r="BP53" s="12">
        <v>1</v>
      </c>
      <c r="BT53" s="12"/>
      <c r="BU53" s="12">
        <v>1</v>
      </c>
      <c r="BV53" s="12"/>
      <c r="BW53" s="12">
        <v>1</v>
      </c>
      <c r="CA53" s="12"/>
      <c r="CB53" s="12"/>
      <c r="CC53" s="12"/>
      <c r="CD53" s="12"/>
      <c r="CH53" s="12"/>
      <c r="CI53" s="12"/>
      <c r="CJ53" s="12"/>
      <c r="CK53" s="12"/>
      <c r="CO53" s="12"/>
      <c r="CP53" s="12"/>
      <c r="CQ53" s="12"/>
      <c r="CR53" s="12"/>
      <c r="CV53" s="12"/>
      <c r="CW53" s="12"/>
      <c r="CX53" s="12"/>
      <c r="CY53" s="12"/>
      <c r="DC53" s="12"/>
      <c r="DD53" s="12"/>
      <c r="DE53" s="12"/>
      <c r="DF53" s="12"/>
      <c r="DJ53" s="12"/>
      <c r="DK53" s="12"/>
      <c r="DL53" s="12"/>
      <c r="DM53" s="12"/>
    </row>
    <row r="54" spans="2:117" outlineLevel="1">
      <c r="B54" t="s">
        <v>28</v>
      </c>
      <c r="C54" t="s">
        <v>39</v>
      </c>
      <c r="E54" s="11"/>
      <c r="F54" t="s">
        <v>88</v>
      </c>
      <c r="G54" s="12">
        <v>6.25E-2</v>
      </c>
      <c r="I54" s="11">
        <f t="shared" si="6"/>
        <v>0</v>
      </c>
      <c r="J54" s="13">
        <f t="shared" si="7"/>
        <v>0</v>
      </c>
      <c r="K54" s="13">
        <f t="shared" si="7"/>
        <v>0</v>
      </c>
      <c r="L54" s="11"/>
      <c r="O54" s="12"/>
      <c r="P54" s="12"/>
      <c r="Q54" s="12"/>
      <c r="R54" s="12"/>
      <c r="V54" s="12"/>
      <c r="W54" s="12"/>
      <c r="X54" s="12"/>
      <c r="Y54" s="12"/>
      <c r="AC54" s="12"/>
      <c r="AD54" s="12"/>
      <c r="AE54" s="12"/>
      <c r="AF54" s="12"/>
      <c r="AJ54" s="12"/>
      <c r="AK54" s="12"/>
      <c r="AL54" s="12"/>
      <c r="AM54" s="12"/>
      <c r="AQ54" s="12"/>
      <c r="AR54" s="12">
        <v>1</v>
      </c>
      <c r="AS54" s="12"/>
      <c r="AT54" s="12">
        <v>1</v>
      </c>
      <c r="AX54" s="12"/>
      <c r="AY54" s="12"/>
      <c r="AZ54" s="12"/>
      <c r="BA54" s="12"/>
      <c r="BE54" s="12"/>
      <c r="BF54" s="12"/>
      <c r="BG54" s="12"/>
      <c r="BH54" s="12"/>
      <c r="BM54" s="12"/>
      <c r="BN54" s="12">
        <v>1</v>
      </c>
      <c r="BO54" s="12"/>
      <c r="BP54" s="12">
        <v>1</v>
      </c>
      <c r="BT54" s="12"/>
      <c r="BU54" s="12">
        <v>1</v>
      </c>
      <c r="BV54" s="12"/>
      <c r="BW54" s="12">
        <v>1</v>
      </c>
      <c r="CA54" s="12"/>
      <c r="CB54" s="12"/>
      <c r="CC54" s="12"/>
      <c r="CD54" s="12"/>
      <c r="CH54" s="12"/>
      <c r="CI54" s="12"/>
      <c r="CJ54" s="12"/>
      <c r="CK54" s="12"/>
      <c r="CO54" s="12"/>
      <c r="CP54" s="12"/>
      <c r="CQ54" s="12"/>
      <c r="CR54" s="12"/>
      <c r="CV54" s="12"/>
      <c r="CW54" s="12"/>
      <c r="CX54" s="12"/>
      <c r="CY54" s="12"/>
      <c r="DC54" s="12"/>
      <c r="DD54" s="12"/>
      <c r="DE54" s="12"/>
      <c r="DF54" s="12"/>
      <c r="DJ54" s="12"/>
      <c r="DK54" s="12"/>
      <c r="DL54" s="12"/>
      <c r="DM54" s="12"/>
    </row>
    <row r="55" spans="2:117" outlineLevel="1">
      <c r="B55" t="s">
        <v>28</v>
      </c>
      <c r="C55" t="s">
        <v>39</v>
      </c>
      <c r="E55" s="11"/>
      <c r="F55" t="s">
        <v>89</v>
      </c>
      <c r="G55" s="12">
        <v>6.25E-2</v>
      </c>
      <c r="I55" s="11">
        <f t="shared" si="6"/>
        <v>0</v>
      </c>
      <c r="J55" s="13">
        <f t="shared" si="7"/>
        <v>0</v>
      </c>
      <c r="K55" s="13">
        <f t="shared" si="7"/>
        <v>0</v>
      </c>
      <c r="L55" s="11"/>
      <c r="O55" s="12"/>
      <c r="P55" s="12"/>
      <c r="Q55" s="12"/>
      <c r="R55" s="12"/>
      <c r="V55" s="12"/>
      <c r="W55" s="12"/>
      <c r="X55" s="12"/>
      <c r="Y55" s="12"/>
      <c r="AC55" s="12"/>
      <c r="AD55" s="12"/>
      <c r="AE55" s="12"/>
      <c r="AF55" s="12"/>
      <c r="AJ55" s="12"/>
      <c r="AK55" s="12"/>
      <c r="AL55" s="12"/>
      <c r="AM55" s="12"/>
      <c r="AQ55" s="12"/>
      <c r="AR55" s="12">
        <v>1</v>
      </c>
      <c r="AS55" s="12"/>
      <c r="AT55" s="12">
        <v>1</v>
      </c>
      <c r="AX55" s="12"/>
      <c r="AY55" s="12"/>
      <c r="AZ55" s="12"/>
      <c r="BA55" s="12"/>
      <c r="BE55" s="12"/>
      <c r="BF55" s="12"/>
      <c r="BG55" s="12"/>
      <c r="BH55" s="12"/>
      <c r="BM55" s="12"/>
      <c r="BN55" s="12">
        <v>1</v>
      </c>
      <c r="BO55" s="12"/>
      <c r="BP55" s="12">
        <v>1</v>
      </c>
      <c r="BT55" s="12"/>
      <c r="BU55" s="12">
        <v>1</v>
      </c>
      <c r="BV55" s="12"/>
      <c r="BW55" s="12">
        <v>1</v>
      </c>
      <c r="CA55" s="12"/>
      <c r="CB55" s="12"/>
      <c r="CC55" s="12"/>
      <c r="CD55" s="12"/>
      <c r="CH55" s="12"/>
      <c r="CI55" s="12"/>
      <c r="CJ55" s="12"/>
      <c r="CK55" s="12"/>
      <c r="CO55" s="12"/>
      <c r="CP55" s="12"/>
      <c r="CQ55" s="12"/>
      <c r="CR55" s="12"/>
      <c r="CV55" s="12"/>
      <c r="CW55" s="12"/>
      <c r="CX55" s="12"/>
      <c r="CY55" s="12"/>
      <c r="DC55" s="12"/>
      <c r="DD55" s="12"/>
      <c r="DE55" s="12"/>
      <c r="DF55" s="12"/>
      <c r="DJ55" s="12"/>
      <c r="DK55" s="12"/>
      <c r="DL55" s="12"/>
      <c r="DM55" s="12"/>
    </row>
    <row r="56" spans="2:117" outlineLevel="1">
      <c r="B56" t="s">
        <v>28</v>
      </c>
      <c r="C56" t="s">
        <v>39</v>
      </c>
      <c r="E56" s="11"/>
      <c r="F56" t="s">
        <v>90</v>
      </c>
      <c r="G56" s="12">
        <v>6.25E-2</v>
      </c>
      <c r="I56" s="11">
        <f t="shared" si="6"/>
        <v>0</v>
      </c>
      <c r="J56" s="13">
        <f t="shared" si="7"/>
        <v>0</v>
      </c>
      <c r="K56" s="13">
        <f t="shared" si="7"/>
        <v>0</v>
      </c>
      <c r="L56" s="11"/>
      <c r="O56" s="12"/>
      <c r="P56" s="12"/>
      <c r="Q56" s="12"/>
      <c r="R56" s="12"/>
      <c r="V56" s="12"/>
      <c r="W56" s="12"/>
      <c r="X56" s="12"/>
      <c r="Y56" s="12"/>
      <c r="AC56" s="12"/>
      <c r="AD56" s="12"/>
      <c r="AE56" s="12"/>
      <c r="AF56" s="12"/>
      <c r="AJ56" s="12"/>
      <c r="AK56" s="12"/>
      <c r="AL56" s="12"/>
      <c r="AM56" s="12"/>
      <c r="AQ56" s="12"/>
      <c r="AR56" s="12">
        <v>1</v>
      </c>
      <c r="AS56" s="12"/>
      <c r="AT56" s="12">
        <v>1</v>
      </c>
      <c r="AX56" s="12"/>
      <c r="AY56" s="12"/>
      <c r="AZ56" s="12"/>
      <c r="BA56" s="12"/>
      <c r="BE56" s="12"/>
      <c r="BF56" s="12"/>
      <c r="BG56" s="12"/>
      <c r="BH56" s="12"/>
      <c r="BM56" s="12"/>
      <c r="BN56" s="12">
        <v>1</v>
      </c>
      <c r="BO56" s="12"/>
      <c r="BP56" s="12">
        <v>1</v>
      </c>
      <c r="BT56" s="12"/>
      <c r="BU56" s="12">
        <v>1</v>
      </c>
      <c r="BV56" s="12"/>
      <c r="BW56" s="12">
        <v>1</v>
      </c>
      <c r="CA56" s="12"/>
      <c r="CB56" s="12"/>
      <c r="CC56" s="12"/>
      <c r="CD56" s="12"/>
      <c r="CH56" s="12"/>
      <c r="CI56" s="12"/>
      <c r="CJ56" s="12"/>
      <c r="CK56" s="12"/>
      <c r="CO56" s="12"/>
      <c r="CP56" s="12"/>
      <c r="CQ56" s="12"/>
      <c r="CR56" s="12"/>
      <c r="CV56" s="12"/>
      <c r="CW56" s="12"/>
      <c r="CX56" s="12"/>
      <c r="CY56" s="12"/>
      <c r="DC56" s="12"/>
      <c r="DD56" s="12"/>
      <c r="DE56" s="12"/>
      <c r="DF56" s="12"/>
      <c r="DJ56" s="12"/>
      <c r="DK56" s="12"/>
      <c r="DL56" s="12"/>
      <c r="DM56" s="12"/>
    </row>
    <row r="57" spans="2:117" outlineLevel="1">
      <c r="B57" t="s">
        <v>28</v>
      </c>
      <c r="C57" t="s">
        <v>39</v>
      </c>
      <c r="E57" s="11"/>
      <c r="F57" t="s">
        <v>91</v>
      </c>
      <c r="G57" s="12">
        <v>6.25E-2</v>
      </c>
      <c r="I57" s="11">
        <f t="shared" si="6"/>
        <v>0</v>
      </c>
      <c r="J57" s="13">
        <f t="shared" si="7"/>
        <v>0</v>
      </c>
      <c r="K57" s="13">
        <f t="shared" si="7"/>
        <v>0</v>
      </c>
      <c r="L57" s="11"/>
      <c r="O57" s="12"/>
      <c r="P57" s="12"/>
      <c r="Q57" s="12"/>
      <c r="R57" s="12"/>
      <c r="V57" s="12"/>
      <c r="W57" s="12"/>
      <c r="X57" s="12"/>
      <c r="Y57" s="12"/>
      <c r="AC57" s="12"/>
      <c r="AD57" s="12"/>
      <c r="AE57" s="12"/>
      <c r="AF57" s="12"/>
      <c r="AJ57" s="12"/>
      <c r="AK57" s="12"/>
      <c r="AL57" s="12"/>
      <c r="AM57" s="12"/>
      <c r="AQ57" s="12"/>
      <c r="AR57" s="12">
        <v>1</v>
      </c>
      <c r="AS57" s="12"/>
      <c r="AT57" s="12">
        <v>1</v>
      </c>
      <c r="AX57" s="12"/>
      <c r="AY57" s="12"/>
      <c r="AZ57" s="12"/>
      <c r="BA57" s="12"/>
      <c r="BE57" s="12"/>
      <c r="BF57" s="12"/>
      <c r="BG57" s="12"/>
      <c r="BH57" s="12"/>
      <c r="BM57" s="12"/>
      <c r="BN57" s="12">
        <v>1</v>
      </c>
      <c r="BO57" s="12"/>
      <c r="BP57" s="12">
        <v>1</v>
      </c>
      <c r="BT57" s="12"/>
      <c r="BU57" s="12">
        <v>1</v>
      </c>
      <c r="BV57" s="12"/>
      <c r="BW57" s="12">
        <v>1</v>
      </c>
      <c r="CA57" s="12"/>
      <c r="CB57" s="12"/>
      <c r="CC57" s="12"/>
      <c r="CD57" s="12"/>
      <c r="CH57" s="12"/>
      <c r="CI57" s="12"/>
      <c r="CJ57" s="12"/>
      <c r="CK57" s="12"/>
      <c r="CO57" s="12"/>
      <c r="CP57" s="12"/>
      <c r="CQ57" s="12"/>
      <c r="CR57" s="12"/>
      <c r="CV57" s="12"/>
      <c r="CW57" s="12"/>
      <c r="CX57" s="12"/>
      <c r="CY57" s="12"/>
      <c r="DC57" s="12"/>
      <c r="DD57" s="12"/>
      <c r="DE57" s="12"/>
      <c r="DF57" s="12"/>
      <c r="DJ57" s="12"/>
      <c r="DK57" s="12"/>
      <c r="DL57" s="12"/>
      <c r="DM57" s="12"/>
    </row>
    <row r="58" spans="2:117" outlineLevel="1">
      <c r="B58" t="s">
        <v>28</v>
      </c>
      <c r="C58" t="s">
        <v>39</v>
      </c>
      <c r="E58" s="11"/>
      <c r="F58" t="s">
        <v>169</v>
      </c>
      <c r="G58" s="12">
        <v>6.25E-2</v>
      </c>
      <c r="I58" s="11">
        <f t="shared" si="6"/>
        <v>0</v>
      </c>
      <c r="J58" s="13">
        <f t="shared" si="7"/>
        <v>0</v>
      </c>
      <c r="K58" s="13">
        <f t="shared" si="7"/>
        <v>0</v>
      </c>
      <c r="L58" s="11"/>
      <c r="O58" s="12"/>
      <c r="P58" s="12"/>
      <c r="Q58" s="12"/>
      <c r="R58" s="12"/>
      <c r="V58" s="12"/>
      <c r="W58" s="12"/>
      <c r="X58" s="12"/>
      <c r="Y58" s="12"/>
      <c r="AC58" s="12"/>
      <c r="AD58" s="12"/>
      <c r="AE58" s="12"/>
      <c r="AF58" s="12"/>
      <c r="AJ58" s="12"/>
      <c r="AK58" s="12"/>
      <c r="AL58" s="12"/>
      <c r="AM58" s="12"/>
      <c r="AQ58" s="12"/>
      <c r="AR58" s="12">
        <v>1</v>
      </c>
      <c r="AS58" s="12"/>
      <c r="AT58" s="12">
        <v>1</v>
      </c>
      <c r="AX58" s="12"/>
      <c r="AY58" s="12"/>
      <c r="AZ58" s="12"/>
      <c r="BA58" s="12"/>
      <c r="BE58" s="12"/>
      <c r="BF58" s="12"/>
      <c r="BG58" s="12"/>
      <c r="BH58" s="12"/>
      <c r="BM58" s="12"/>
      <c r="BN58" s="12">
        <v>1</v>
      </c>
      <c r="BO58" s="12"/>
      <c r="BP58" s="12">
        <v>1</v>
      </c>
      <c r="BT58" s="12"/>
      <c r="BU58" s="12">
        <v>1</v>
      </c>
      <c r="BV58" s="12"/>
      <c r="BW58" s="12">
        <v>1</v>
      </c>
      <c r="CA58" s="12"/>
      <c r="CB58" s="12"/>
      <c r="CC58" s="12"/>
      <c r="CD58" s="12"/>
      <c r="CH58" s="12"/>
      <c r="CI58" s="12"/>
      <c r="CJ58" s="12"/>
      <c r="CK58" s="12"/>
      <c r="CO58" s="12"/>
      <c r="CP58" s="12"/>
      <c r="CQ58" s="12"/>
      <c r="CR58" s="12"/>
      <c r="CV58" s="12"/>
      <c r="CW58" s="12"/>
      <c r="CX58" s="12"/>
      <c r="CY58" s="12"/>
      <c r="DC58" s="12"/>
      <c r="DD58" s="12"/>
      <c r="DE58" s="12"/>
      <c r="DF58" s="12"/>
      <c r="DJ58" s="12"/>
      <c r="DK58" s="12"/>
      <c r="DL58" s="12"/>
      <c r="DM58" s="12"/>
    </row>
    <row r="59" spans="2:117" outlineLevel="1">
      <c r="B59" t="s">
        <v>28</v>
      </c>
      <c r="C59" t="s">
        <v>39</v>
      </c>
      <c r="E59" s="11"/>
      <c r="F59" t="s">
        <v>170</v>
      </c>
      <c r="G59" s="12">
        <v>6.25E-2</v>
      </c>
      <c r="I59" s="11">
        <f t="shared" si="6"/>
        <v>0</v>
      </c>
      <c r="J59" s="13">
        <f t="shared" si="7"/>
        <v>0</v>
      </c>
      <c r="K59" s="13">
        <f t="shared" si="7"/>
        <v>0</v>
      </c>
      <c r="L59" s="11"/>
      <c r="O59" s="12"/>
      <c r="P59" s="12"/>
      <c r="Q59" s="12"/>
      <c r="R59" s="12"/>
      <c r="V59" s="12"/>
      <c r="W59" s="12"/>
      <c r="X59" s="12"/>
      <c r="Y59" s="12"/>
      <c r="AC59" s="12"/>
      <c r="AD59" s="12"/>
      <c r="AE59" s="12"/>
      <c r="AF59" s="12"/>
      <c r="AJ59" s="12"/>
      <c r="AK59" s="12"/>
      <c r="AL59" s="12"/>
      <c r="AM59" s="12"/>
      <c r="AQ59" s="12"/>
      <c r="AR59" s="12">
        <v>1</v>
      </c>
      <c r="AS59" s="12"/>
      <c r="AT59" s="12">
        <v>1</v>
      </c>
      <c r="AX59" s="12"/>
      <c r="AY59" s="12"/>
      <c r="AZ59" s="12"/>
      <c r="BA59" s="12"/>
      <c r="BE59" s="12"/>
      <c r="BF59" s="12"/>
      <c r="BG59" s="12"/>
      <c r="BH59" s="12"/>
      <c r="BM59" s="12"/>
      <c r="BN59" s="12">
        <v>1</v>
      </c>
      <c r="BO59" s="12"/>
      <c r="BP59" s="12">
        <v>1</v>
      </c>
      <c r="BT59" s="12"/>
      <c r="BU59" s="12">
        <v>1</v>
      </c>
      <c r="BV59" s="12"/>
      <c r="BW59" s="12">
        <v>1</v>
      </c>
      <c r="CA59" s="12"/>
      <c r="CB59" s="12"/>
      <c r="CC59" s="12"/>
      <c r="CD59" s="12"/>
      <c r="CH59" s="12"/>
      <c r="CI59" s="12"/>
      <c r="CJ59" s="12"/>
      <c r="CK59" s="12"/>
      <c r="CO59" s="12"/>
      <c r="CP59" s="12"/>
      <c r="CQ59" s="12"/>
      <c r="CR59" s="12"/>
      <c r="CV59" s="12"/>
      <c r="CW59" s="12"/>
      <c r="CX59" s="12"/>
      <c r="CY59" s="12"/>
      <c r="DC59" s="12"/>
      <c r="DD59" s="12"/>
      <c r="DE59" s="12"/>
      <c r="DF59" s="12"/>
      <c r="DJ59" s="12"/>
      <c r="DK59" s="12"/>
      <c r="DL59" s="12"/>
      <c r="DM59" s="12"/>
    </row>
    <row r="60" spans="2:117" outlineLevel="1">
      <c r="B60" t="s">
        <v>28</v>
      </c>
      <c r="C60" t="s">
        <v>39</v>
      </c>
      <c r="E60" s="11"/>
      <c r="F60" t="s">
        <v>171</v>
      </c>
      <c r="G60" s="12">
        <v>6.25E-2</v>
      </c>
      <c r="I60" s="11">
        <f t="shared" si="6"/>
        <v>0</v>
      </c>
      <c r="J60" s="13">
        <f t="shared" si="7"/>
        <v>0</v>
      </c>
      <c r="K60" s="13">
        <f t="shared" si="7"/>
        <v>0</v>
      </c>
      <c r="L60" s="11"/>
      <c r="O60" s="12"/>
      <c r="P60" s="12"/>
      <c r="Q60" s="12"/>
      <c r="R60" s="12"/>
      <c r="V60" s="12"/>
      <c r="W60" s="12"/>
      <c r="X60" s="12"/>
      <c r="Y60" s="12"/>
      <c r="AC60" s="12"/>
      <c r="AD60" s="12"/>
      <c r="AE60" s="12"/>
      <c r="AF60" s="12"/>
      <c r="AJ60" s="12"/>
      <c r="AK60" s="12"/>
      <c r="AL60" s="12"/>
      <c r="AM60" s="12"/>
      <c r="AQ60" s="12"/>
      <c r="AR60" s="12">
        <v>1</v>
      </c>
      <c r="AS60" s="12"/>
      <c r="AT60" s="12">
        <v>1</v>
      </c>
      <c r="AX60" s="12"/>
      <c r="AY60" s="12"/>
      <c r="AZ60" s="12"/>
      <c r="BA60" s="12"/>
      <c r="BE60" s="12"/>
      <c r="BF60" s="12"/>
      <c r="BG60" s="12"/>
      <c r="BH60" s="12"/>
      <c r="BM60" s="12"/>
      <c r="BN60" s="12">
        <v>1</v>
      </c>
      <c r="BO60" s="12"/>
      <c r="BP60" s="12">
        <v>1</v>
      </c>
      <c r="BT60" s="12"/>
      <c r="BU60" s="12">
        <v>1</v>
      </c>
      <c r="BV60" s="12"/>
      <c r="BW60" s="12">
        <v>1</v>
      </c>
      <c r="CA60" s="12"/>
      <c r="CB60" s="12"/>
      <c r="CC60" s="12"/>
      <c r="CD60" s="12"/>
      <c r="CH60" s="12"/>
      <c r="CI60" s="12"/>
      <c r="CJ60" s="12"/>
      <c r="CK60" s="12"/>
      <c r="CO60" s="12"/>
      <c r="CP60" s="12"/>
      <c r="CQ60" s="12"/>
      <c r="CR60" s="12"/>
      <c r="CV60" s="12"/>
      <c r="CW60" s="12"/>
      <c r="CX60" s="12"/>
      <c r="CY60" s="12"/>
      <c r="DC60" s="12"/>
      <c r="DD60" s="12"/>
      <c r="DE60" s="12"/>
      <c r="DF60" s="12"/>
      <c r="DJ60" s="12"/>
      <c r="DK60" s="12"/>
      <c r="DL60" s="12"/>
      <c r="DM60" s="12"/>
    </row>
    <row r="61" spans="2:117" outlineLevel="1">
      <c r="B61" t="s">
        <v>28</v>
      </c>
      <c r="C61" t="s">
        <v>39</v>
      </c>
      <c r="E61" s="11"/>
      <c r="F61" t="s">
        <v>172</v>
      </c>
      <c r="G61" s="12">
        <v>6.25E-2</v>
      </c>
      <c r="I61" s="11">
        <f t="shared" si="6"/>
        <v>0</v>
      </c>
      <c r="J61" s="13">
        <f t="shared" si="7"/>
        <v>0</v>
      </c>
      <c r="K61" s="13">
        <f t="shared" si="7"/>
        <v>0</v>
      </c>
      <c r="L61" s="11"/>
      <c r="O61" s="12"/>
      <c r="P61" s="12"/>
      <c r="Q61" s="12"/>
      <c r="R61" s="12"/>
      <c r="V61" s="12"/>
      <c r="W61" s="12"/>
      <c r="X61" s="12"/>
      <c r="Y61" s="12"/>
      <c r="AC61" s="12"/>
      <c r="AD61" s="12"/>
      <c r="AE61" s="12"/>
      <c r="AF61" s="12"/>
      <c r="AJ61" s="12"/>
      <c r="AK61" s="12"/>
      <c r="AL61" s="12"/>
      <c r="AM61" s="12"/>
      <c r="AQ61" s="12"/>
      <c r="AR61" s="12">
        <v>1</v>
      </c>
      <c r="AS61" s="12"/>
      <c r="AT61" s="12">
        <v>1</v>
      </c>
      <c r="AX61" s="12"/>
      <c r="AY61" s="12"/>
      <c r="AZ61" s="12"/>
      <c r="BA61" s="12"/>
      <c r="BE61" s="12"/>
      <c r="BF61" s="12"/>
      <c r="BG61" s="12"/>
      <c r="BH61" s="12"/>
      <c r="BM61" s="12"/>
      <c r="BN61" s="12">
        <v>1</v>
      </c>
      <c r="BO61" s="12"/>
      <c r="BP61" s="12">
        <v>1</v>
      </c>
      <c r="BT61" s="12"/>
      <c r="BU61" s="12">
        <v>1</v>
      </c>
      <c r="BV61" s="12"/>
      <c r="BW61" s="12">
        <v>1</v>
      </c>
      <c r="CA61" s="12"/>
      <c r="CB61" s="12"/>
      <c r="CC61" s="12"/>
      <c r="CD61" s="12"/>
      <c r="CH61" s="12"/>
      <c r="CI61" s="12"/>
      <c r="CJ61" s="12"/>
      <c r="CK61" s="12"/>
      <c r="CO61" s="12"/>
      <c r="CP61" s="12"/>
      <c r="CQ61" s="12"/>
      <c r="CR61" s="12"/>
      <c r="CV61" s="12"/>
      <c r="CW61" s="12"/>
      <c r="CX61" s="12"/>
      <c r="CY61" s="12"/>
      <c r="DC61" s="12"/>
      <c r="DD61" s="12"/>
      <c r="DE61" s="12"/>
      <c r="DF61" s="12"/>
      <c r="DJ61" s="12"/>
      <c r="DK61" s="12"/>
      <c r="DL61" s="12"/>
      <c r="DM61" s="12"/>
    </row>
    <row r="62" spans="2:117" outlineLevel="1">
      <c r="B62" t="s">
        <v>28</v>
      </c>
      <c r="C62" t="s">
        <v>39</v>
      </c>
      <c r="E62" s="11"/>
      <c r="F62" t="s">
        <v>173</v>
      </c>
      <c r="G62" s="12">
        <v>6.25E-2</v>
      </c>
      <c r="I62" s="11">
        <f t="shared" si="6"/>
        <v>0</v>
      </c>
      <c r="J62" s="13">
        <f t="shared" si="7"/>
        <v>0</v>
      </c>
      <c r="K62" s="13">
        <f t="shared" si="7"/>
        <v>0</v>
      </c>
      <c r="L62" s="11"/>
      <c r="O62" s="12"/>
      <c r="P62" s="12"/>
      <c r="Q62" s="12"/>
      <c r="R62" s="12"/>
      <c r="V62" s="12"/>
      <c r="W62" s="12"/>
      <c r="X62" s="12"/>
      <c r="Y62" s="12"/>
      <c r="AC62" s="12"/>
      <c r="AD62" s="12"/>
      <c r="AE62" s="12"/>
      <c r="AF62" s="12"/>
      <c r="AJ62" s="12"/>
      <c r="AK62" s="12"/>
      <c r="AL62" s="12"/>
      <c r="AM62" s="12"/>
      <c r="AQ62" s="12"/>
      <c r="AR62" s="12">
        <v>1</v>
      </c>
      <c r="AS62" s="12"/>
      <c r="AT62" s="12">
        <v>1</v>
      </c>
      <c r="AX62" s="12"/>
      <c r="AY62" s="12"/>
      <c r="AZ62" s="12"/>
      <c r="BA62" s="12"/>
      <c r="BE62" s="12"/>
      <c r="BF62" s="12"/>
      <c r="BG62" s="12"/>
      <c r="BH62" s="12"/>
      <c r="BM62" s="12"/>
      <c r="BN62" s="12">
        <v>1</v>
      </c>
      <c r="BO62" s="12"/>
      <c r="BP62" s="12">
        <v>1</v>
      </c>
      <c r="BT62" s="12"/>
      <c r="BU62" s="12">
        <v>1</v>
      </c>
      <c r="BV62" s="12"/>
      <c r="BW62" s="12">
        <v>1</v>
      </c>
      <c r="CA62" s="12"/>
      <c r="CB62" s="12"/>
      <c r="CC62" s="12"/>
      <c r="CD62" s="12"/>
      <c r="CH62" s="12"/>
      <c r="CI62" s="12"/>
      <c r="CJ62" s="12"/>
      <c r="CK62" s="12"/>
      <c r="CO62" s="12"/>
      <c r="CP62" s="12"/>
      <c r="CQ62" s="12"/>
      <c r="CR62" s="12"/>
      <c r="CV62" s="12"/>
      <c r="CW62" s="12"/>
      <c r="CX62" s="12"/>
      <c r="CY62" s="12"/>
      <c r="DC62" s="12"/>
      <c r="DD62" s="12"/>
      <c r="DE62" s="12"/>
      <c r="DF62" s="12"/>
      <c r="DJ62" s="12"/>
      <c r="DK62" s="12"/>
      <c r="DL62" s="12"/>
      <c r="DM62" s="12"/>
    </row>
    <row r="63" spans="2:117" outlineLevel="1">
      <c r="B63" t="s">
        <v>28</v>
      </c>
      <c r="C63" t="s">
        <v>39</v>
      </c>
      <c r="E63" s="11"/>
      <c r="F63" t="s">
        <v>174</v>
      </c>
      <c r="G63" s="12">
        <v>6.25E-2</v>
      </c>
      <c r="I63" s="11">
        <f t="shared" si="6"/>
        <v>0</v>
      </c>
      <c r="J63" s="13">
        <f t="shared" si="7"/>
        <v>0</v>
      </c>
      <c r="K63" s="13">
        <f t="shared" si="7"/>
        <v>0</v>
      </c>
      <c r="L63" s="11"/>
      <c r="O63" s="12"/>
      <c r="P63" s="12"/>
      <c r="Q63" s="12"/>
      <c r="R63" s="12"/>
      <c r="V63" s="12"/>
      <c r="W63" s="12"/>
      <c r="X63" s="12"/>
      <c r="Y63" s="12"/>
      <c r="AC63" s="12"/>
      <c r="AD63" s="12"/>
      <c r="AE63" s="12"/>
      <c r="AF63" s="12"/>
      <c r="AJ63" s="12"/>
      <c r="AK63" s="12"/>
      <c r="AL63" s="12"/>
      <c r="AM63" s="12"/>
      <c r="AQ63" s="12"/>
      <c r="AR63" s="12">
        <v>1</v>
      </c>
      <c r="AS63" s="12"/>
      <c r="AT63" s="12">
        <v>1</v>
      </c>
      <c r="AX63" s="12"/>
      <c r="AY63" s="12"/>
      <c r="AZ63" s="12"/>
      <c r="BA63" s="12"/>
      <c r="BE63" s="12"/>
      <c r="BF63" s="12"/>
      <c r="BG63" s="12"/>
      <c r="BH63" s="12"/>
      <c r="BM63" s="12"/>
      <c r="BN63" s="12">
        <v>1</v>
      </c>
      <c r="BO63" s="12"/>
      <c r="BP63" s="12">
        <v>1</v>
      </c>
      <c r="BT63" s="12"/>
      <c r="BU63" s="12">
        <v>1</v>
      </c>
      <c r="BV63" s="12"/>
      <c r="BW63" s="12">
        <v>1</v>
      </c>
      <c r="CA63" s="12"/>
      <c r="CB63" s="12"/>
      <c r="CC63" s="12"/>
      <c r="CD63" s="12"/>
      <c r="CH63" s="12"/>
      <c r="CI63" s="12"/>
      <c r="CJ63" s="12"/>
      <c r="CK63" s="12"/>
      <c r="CO63" s="12"/>
      <c r="CP63" s="12"/>
      <c r="CQ63" s="12"/>
      <c r="CR63" s="12"/>
      <c r="CV63" s="12"/>
      <c r="CW63" s="12"/>
      <c r="CX63" s="12"/>
      <c r="CY63" s="12"/>
      <c r="DC63" s="12"/>
      <c r="DD63" s="12"/>
      <c r="DE63" s="12"/>
      <c r="DF63" s="12"/>
      <c r="DJ63" s="12"/>
      <c r="DK63" s="12"/>
      <c r="DL63" s="12"/>
      <c r="DM63" s="12"/>
    </row>
    <row r="65" spans="2:118">
      <c r="B65" t="s">
        <v>27</v>
      </c>
      <c r="C65" t="s">
        <v>53</v>
      </c>
      <c r="D65" s="19">
        <v>44665</v>
      </c>
      <c r="E65" s="11">
        <v>6</v>
      </c>
      <c r="G65" s="12">
        <f>+SUM(G66:G77)</f>
        <v>0.99960000000000016</v>
      </c>
      <c r="I65" s="14">
        <f>+SUM(I66:I77)</f>
        <v>82.5</v>
      </c>
      <c r="J65" s="13">
        <f>+SUMPRODUCT(G66:G77,J66:J77)</f>
        <v>0</v>
      </c>
      <c r="K65" s="13">
        <f>+SUMPRODUCT(G66:G77,K66:K77)</f>
        <v>0</v>
      </c>
      <c r="L65" s="11"/>
      <c r="N65" s="14">
        <v>8</v>
      </c>
      <c r="U65" s="14">
        <f>+SUM(U66:U77)</f>
        <v>7.5</v>
      </c>
      <c r="AB65" s="14">
        <f>+SUM(AB66:AB77)</f>
        <v>7.5</v>
      </c>
      <c r="AI65" s="14">
        <f>+SUM(AI66:AI77)</f>
        <v>7.5</v>
      </c>
      <c r="AP65" s="14">
        <f>+SUM(AP66:AP77)</f>
        <v>7.5</v>
      </c>
      <c r="AW65" s="14">
        <f>+SUM(AW66:AW77)</f>
        <v>7.5</v>
      </c>
      <c r="BD65" s="14">
        <f>+SUM(BD66:BD77)</f>
        <v>7.5</v>
      </c>
      <c r="BL65" s="14">
        <f>+SUM(BL66:BL77)</f>
        <v>7.5</v>
      </c>
      <c r="BS65" s="14">
        <f>+SUM(BS66:BS77)</f>
        <v>7.5</v>
      </c>
      <c r="BZ65" s="14">
        <f>+SUM(BZ66:BZ77)</f>
        <v>7.5</v>
      </c>
      <c r="CG65" s="14">
        <f>+SUM(CG66:CG77)</f>
        <v>7.5</v>
      </c>
      <c r="CN65" s="14">
        <f>+SUM(CN66:CN77)</f>
        <v>5</v>
      </c>
      <c r="CU65" s="14">
        <f>+SUM(CU66:CU77)</f>
        <v>2.5</v>
      </c>
      <c r="DB65" s="14">
        <v>8</v>
      </c>
      <c r="DI65" s="14">
        <f>+SUM(DI66:DI77)</f>
        <v>0</v>
      </c>
    </row>
    <row r="66" spans="2:118" outlineLevel="1">
      <c r="B66" t="s">
        <v>28</v>
      </c>
      <c r="C66" t="s">
        <v>53</v>
      </c>
      <c r="E66" s="11"/>
      <c r="F66" t="s">
        <v>92</v>
      </c>
      <c r="G66" s="12">
        <v>8.3299999999999999E-2</v>
      </c>
      <c r="I66" s="11">
        <f t="shared" ref="I66:I78" si="8">+SUMIF($N$3:$ZW$3,I$3,$N66:$ZW66)</f>
        <v>2.5</v>
      </c>
      <c r="J66" s="13">
        <f t="shared" ref="J66:K78" si="9">+_xlfn.MAXIFS($N66:$ZC66,$N$3:$ZC$3,J$3)</f>
        <v>0</v>
      </c>
      <c r="K66" s="13">
        <f t="shared" si="9"/>
        <v>0</v>
      </c>
      <c r="L66" s="11"/>
      <c r="O66" s="12"/>
      <c r="P66" s="12">
        <v>0.8</v>
      </c>
      <c r="Q66" s="12"/>
      <c r="R66" s="12">
        <v>0.8</v>
      </c>
      <c r="U66">
        <v>2.5</v>
      </c>
      <c r="V66" s="12"/>
      <c r="W66" s="12">
        <v>1</v>
      </c>
      <c r="X66" s="12"/>
      <c r="Y66" s="12">
        <v>1</v>
      </c>
      <c r="AC66" s="12"/>
      <c r="AD66" s="12">
        <v>1</v>
      </c>
      <c r="AE66" s="12"/>
      <c r="AF66" s="12">
        <v>1</v>
      </c>
      <c r="AJ66" s="12"/>
      <c r="AK66" s="12">
        <v>1</v>
      </c>
      <c r="AL66" s="12"/>
      <c r="AM66" s="12">
        <v>1</v>
      </c>
      <c r="AQ66" s="12"/>
      <c r="AR66" s="12">
        <v>1</v>
      </c>
      <c r="AS66" s="12"/>
      <c r="AT66" s="12">
        <v>1</v>
      </c>
      <c r="AX66" s="12"/>
      <c r="AY66" s="12">
        <v>1</v>
      </c>
      <c r="AZ66" s="12"/>
      <c r="BA66" s="12">
        <v>1</v>
      </c>
      <c r="BE66" s="12"/>
      <c r="BF66" s="12">
        <v>1</v>
      </c>
      <c r="BG66" s="12"/>
      <c r="BH66" s="12">
        <v>1</v>
      </c>
      <c r="BM66" s="12"/>
      <c r="BN66" s="12">
        <v>1</v>
      </c>
      <c r="BO66" s="12"/>
      <c r="BP66" s="12">
        <v>1</v>
      </c>
      <c r="BT66" s="12"/>
      <c r="BU66" s="12">
        <v>1</v>
      </c>
      <c r="BV66" s="12"/>
      <c r="BW66" s="12">
        <v>1</v>
      </c>
      <c r="CA66" s="12"/>
      <c r="CB66" s="12">
        <v>1</v>
      </c>
      <c r="CC66" s="12"/>
      <c r="CD66" s="12">
        <v>1</v>
      </c>
      <c r="CH66" s="12"/>
      <c r="CI66" s="12">
        <v>1</v>
      </c>
      <c r="CJ66" s="12"/>
      <c r="CK66" s="12">
        <v>1</v>
      </c>
      <c r="CO66" s="12"/>
      <c r="CP66" s="12">
        <v>1</v>
      </c>
      <c r="CQ66" s="12"/>
      <c r="CR66" s="12">
        <v>1</v>
      </c>
      <c r="CV66" s="12"/>
      <c r="CW66" s="12">
        <v>1</v>
      </c>
      <c r="CX66" s="12"/>
      <c r="CY66" s="12">
        <v>1</v>
      </c>
      <c r="DC66" s="12"/>
      <c r="DD66" s="12">
        <v>1</v>
      </c>
      <c r="DE66" s="12"/>
      <c r="DF66" s="12">
        <v>1</v>
      </c>
      <c r="DJ66" s="12"/>
      <c r="DK66" s="12"/>
      <c r="DL66" s="12"/>
      <c r="DM66" s="12"/>
      <c r="DN66" t="s">
        <v>177</v>
      </c>
    </row>
    <row r="67" spans="2:118" outlineLevel="1">
      <c r="B67" t="s">
        <v>28</v>
      </c>
      <c r="C67" t="s">
        <v>53</v>
      </c>
      <c r="E67" s="11"/>
      <c r="F67" t="s">
        <v>93</v>
      </c>
      <c r="G67" s="12">
        <v>8.3299999999999999E-2</v>
      </c>
      <c r="I67" s="11">
        <f t="shared" si="8"/>
        <v>5</v>
      </c>
      <c r="J67" s="13">
        <f t="shared" si="9"/>
        <v>0</v>
      </c>
      <c r="K67" s="13">
        <f t="shared" si="9"/>
        <v>0</v>
      </c>
      <c r="L67" s="11"/>
      <c r="O67" s="12"/>
      <c r="P67" s="12">
        <v>0.5</v>
      </c>
      <c r="Q67" s="12"/>
      <c r="R67" s="12">
        <v>0.5</v>
      </c>
      <c r="U67">
        <v>2.5</v>
      </c>
      <c r="V67" s="12"/>
      <c r="W67" s="12">
        <v>0.8</v>
      </c>
      <c r="X67" s="12"/>
      <c r="Y67" s="12">
        <v>0.8</v>
      </c>
      <c r="AB67">
        <v>2.5</v>
      </c>
      <c r="AC67" s="12"/>
      <c r="AD67" s="12">
        <v>1</v>
      </c>
      <c r="AE67" s="12"/>
      <c r="AF67" s="12">
        <v>1</v>
      </c>
      <c r="AJ67" s="12"/>
      <c r="AK67" s="12">
        <v>1</v>
      </c>
      <c r="AL67" s="12"/>
      <c r="AM67" s="12">
        <v>1</v>
      </c>
      <c r="AQ67" s="12"/>
      <c r="AR67" s="12">
        <v>1</v>
      </c>
      <c r="AS67" s="12"/>
      <c r="AT67" s="12">
        <v>1</v>
      </c>
      <c r="AX67" s="12"/>
      <c r="AY67" s="12">
        <v>1</v>
      </c>
      <c r="AZ67" s="12"/>
      <c r="BA67" s="12">
        <v>1</v>
      </c>
      <c r="BE67" s="12"/>
      <c r="BF67" s="12">
        <v>1</v>
      </c>
      <c r="BG67" s="12"/>
      <c r="BH67" s="12">
        <v>1</v>
      </c>
      <c r="BM67" s="12"/>
      <c r="BN67" s="12">
        <v>1</v>
      </c>
      <c r="BO67" s="12"/>
      <c r="BP67" s="12">
        <v>1</v>
      </c>
      <c r="BT67" s="12"/>
      <c r="BU67" s="12">
        <v>1</v>
      </c>
      <c r="BV67" s="12"/>
      <c r="BW67" s="12">
        <v>1</v>
      </c>
      <c r="CA67" s="12"/>
      <c r="CB67" s="12">
        <v>1</v>
      </c>
      <c r="CC67" s="12"/>
      <c r="CD67" s="12">
        <v>1</v>
      </c>
      <c r="CH67" s="12"/>
      <c r="CI67" s="12">
        <v>1</v>
      </c>
      <c r="CJ67" s="12"/>
      <c r="CK67" s="12">
        <v>1</v>
      </c>
      <c r="CO67" s="12"/>
      <c r="CP67" s="12">
        <v>1</v>
      </c>
      <c r="CQ67" s="12"/>
      <c r="CR67" s="12">
        <v>1</v>
      </c>
      <c r="CV67" s="12"/>
      <c r="CW67" s="12">
        <v>1</v>
      </c>
      <c r="CX67" s="12"/>
      <c r="CY67" s="12">
        <v>1</v>
      </c>
      <c r="DC67" s="12"/>
      <c r="DD67" s="12">
        <v>1</v>
      </c>
      <c r="DE67" s="12"/>
      <c r="DF67" s="12">
        <v>1</v>
      </c>
      <c r="DJ67" s="12"/>
      <c r="DK67" s="12"/>
      <c r="DL67" s="12"/>
      <c r="DM67" s="12"/>
      <c r="DN67" t="s">
        <v>7</v>
      </c>
    </row>
    <row r="68" spans="2:118" outlineLevel="1">
      <c r="B68" t="s">
        <v>28</v>
      </c>
      <c r="C68" t="s">
        <v>53</v>
      </c>
      <c r="E68" s="11"/>
      <c r="F68" t="s">
        <v>94</v>
      </c>
      <c r="G68" s="12">
        <v>8.3299999999999999E-2</v>
      </c>
      <c r="I68" s="11">
        <f t="shared" si="8"/>
        <v>7.5</v>
      </c>
      <c r="J68" s="13">
        <f t="shared" si="9"/>
        <v>0</v>
      </c>
      <c r="K68" s="13">
        <f t="shared" si="9"/>
        <v>0</v>
      </c>
      <c r="L68" s="11"/>
      <c r="O68" s="12"/>
      <c r="P68" s="12"/>
      <c r="Q68" s="12"/>
      <c r="R68" s="12"/>
      <c r="U68">
        <v>2.5</v>
      </c>
      <c r="V68" s="12"/>
      <c r="W68" s="12">
        <v>0.5</v>
      </c>
      <c r="X68" s="12"/>
      <c r="Y68" s="12">
        <v>0.5</v>
      </c>
      <c r="AB68">
        <v>2.5</v>
      </c>
      <c r="AC68" s="12"/>
      <c r="AD68" s="12">
        <v>0.8</v>
      </c>
      <c r="AE68" s="12"/>
      <c r="AF68" s="12">
        <v>0.8</v>
      </c>
      <c r="AI68">
        <v>2.5</v>
      </c>
      <c r="AJ68" s="12"/>
      <c r="AK68" s="12">
        <v>1</v>
      </c>
      <c r="AL68" s="12"/>
      <c r="AM68" s="12">
        <v>1</v>
      </c>
      <c r="AQ68" s="12"/>
      <c r="AR68" s="12">
        <v>1</v>
      </c>
      <c r="AS68" s="12"/>
      <c r="AT68" s="12">
        <v>1</v>
      </c>
      <c r="AX68" s="12"/>
      <c r="AY68" s="12">
        <v>1</v>
      </c>
      <c r="AZ68" s="12"/>
      <c r="BA68" s="12">
        <v>1</v>
      </c>
      <c r="BE68" s="12"/>
      <c r="BF68" s="12">
        <v>1</v>
      </c>
      <c r="BG68" s="12"/>
      <c r="BH68" s="12">
        <v>1</v>
      </c>
      <c r="BM68" s="12"/>
      <c r="BN68" s="12">
        <v>1</v>
      </c>
      <c r="BO68" s="12"/>
      <c r="BP68" s="12">
        <v>1</v>
      </c>
      <c r="BT68" s="12"/>
      <c r="BU68" s="12">
        <v>1</v>
      </c>
      <c r="BV68" s="12"/>
      <c r="BW68" s="12">
        <v>1</v>
      </c>
      <c r="CA68" s="12"/>
      <c r="CB68" s="12">
        <v>1</v>
      </c>
      <c r="CC68" s="12"/>
      <c r="CD68" s="12">
        <v>1</v>
      </c>
      <c r="CH68" s="12"/>
      <c r="CI68" s="12">
        <v>1</v>
      </c>
      <c r="CJ68" s="12"/>
      <c r="CK68" s="12">
        <v>1</v>
      </c>
      <c r="CO68" s="12"/>
      <c r="CP68" s="12">
        <v>1</v>
      </c>
      <c r="CQ68" s="12"/>
      <c r="CR68" s="12">
        <v>1</v>
      </c>
      <c r="CV68" s="12"/>
      <c r="CW68" s="12">
        <v>1</v>
      </c>
      <c r="CX68" s="12"/>
      <c r="CY68" s="12">
        <v>1</v>
      </c>
      <c r="DC68" s="12"/>
      <c r="DD68" s="12">
        <v>1</v>
      </c>
      <c r="DE68" s="12"/>
      <c r="DF68" s="12">
        <v>1</v>
      </c>
      <c r="DJ68" s="12"/>
      <c r="DK68" s="12"/>
      <c r="DL68" s="12"/>
      <c r="DM68" s="12"/>
      <c r="DN68" t="s">
        <v>182</v>
      </c>
    </row>
    <row r="69" spans="2:118" outlineLevel="1">
      <c r="B69" t="s">
        <v>28</v>
      </c>
      <c r="C69" t="s">
        <v>53</v>
      </c>
      <c r="E69" s="11"/>
      <c r="F69" t="s">
        <v>95</v>
      </c>
      <c r="G69" s="12">
        <v>8.3299999999999999E-2</v>
      </c>
      <c r="I69" s="11">
        <f t="shared" si="8"/>
        <v>7.5</v>
      </c>
      <c r="J69" s="13">
        <f t="shared" si="9"/>
        <v>0</v>
      </c>
      <c r="K69" s="13">
        <f t="shared" si="9"/>
        <v>0</v>
      </c>
      <c r="L69" s="11"/>
      <c r="O69" s="12"/>
      <c r="P69" s="12"/>
      <c r="Q69" s="12"/>
      <c r="R69" s="12"/>
      <c r="V69" s="12"/>
      <c r="W69" s="12"/>
      <c r="X69" s="12"/>
      <c r="Y69" s="12"/>
      <c r="AB69">
        <v>2.5</v>
      </c>
      <c r="AC69" s="12"/>
      <c r="AD69" s="12">
        <v>0.5</v>
      </c>
      <c r="AE69" s="12"/>
      <c r="AF69" s="12">
        <v>0.5</v>
      </c>
      <c r="AI69">
        <v>2.5</v>
      </c>
      <c r="AJ69" s="12"/>
      <c r="AK69" s="12">
        <v>0.8</v>
      </c>
      <c r="AL69" s="12"/>
      <c r="AM69" s="12">
        <v>0.8</v>
      </c>
      <c r="AP69">
        <v>2.5</v>
      </c>
      <c r="AQ69" s="12"/>
      <c r="AR69" s="12">
        <v>1</v>
      </c>
      <c r="AS69" s="12"/>
      <c r="AT69" s="12">
        <v>1</v>
      </c>
      <c r="AX69" s="12"/>
      <c r="AY69" s="12">
        <v>1</v>
      </c>
      <c r="AZ69" s="12"/>
      <c r="BA69" s="12">
        <v>1</v>
      </c>
      <c r="BE69" s="12"/>
      <c r="BF69" s="12">
        <v>1</v>
      </c>
      <c r="BG69" s="12"/>
      <c r="BH69" s="12">
        <v>1</v>
      </c>
      <c r="BM69" s="12"/>
      <c r="BN69" s="12">
        <v>1</v>
      </c>
      <c r="BO69" s="12"/>
      <c r="BP69" s="12">
        <v>1</v>
      </c>
      <c r="BT69" s="12"/>
      <c r="BU69" s="12">
        <v>1</v>
      </c>
      <c r="BV69" s="12"/>
      <c r="BW69" s="12">
        <v>1</v>
      </c>
      <c r="CA69" s="12"/>
      <c r="CB69" s="12">
        <v>1</v>
      </c>
      <c r="CC69" s="12"/>
      <c r="CD69" s="12">
        <v>1</v>
      </c>
      <c r="CH69" s="12"/>
      <c r="CI69" s="12">
        <v>1</v>
      </c>
      <c r="CJ69" s="12"/>
      <c r="CK69" s="12">
        <v>1</v>
      </c>
      <c r="CO69" s="12"/>
      <c r="CP69" s="12">
        <v>1</v>
      </c>
      <c r="CQ69" s="12"/>
      <c r="CR69" s="12">
        <v>1</v>
      </c>
      <c r="CV69" s="12"/>
      <c r="CW69" s="12">
        <v>1</v>
      </c>
      <c r="CX69" s="12"/>
      <c r="CY69" s="12">
        <v>1</v>
      </c>
      <c r="DC69" s="12"/>
      <c r="DD69" s="12">
        <v>1</v>
      </c>
      <c r="DE69" s="12"/>
      <c r="DF69" s="12">
        <v>1</v>
      </c>
      <c r="DJ69" s="12"/>
      <c r="DK69" s="12"/>
      <c r="DL69" s="12"/>
      <c r="DM69" s="12"/>
    </row>
    <row r="70" spans="2:118" outlineLevel="1">
      <c r="B70" t="s">
        <v>28</v>
      </c>
      <c r="C70" t="s">
        <v>53</v>
      </c>
      <c r="E70" s="11"/>
      <c r="F70" t="s">
        <v>99</v>
      </c>
      <c r="G70" s="12">
        <v>8.3299999999999999E-2</v>
      </c>
      <c r="I70" s="11">
        <f t="shared" si="8"/>
        <v>7.5</v>
      </c>
      <c r="J70" s="13">
        <f t="shared" si="9"/>
        <v>0</v>
      </c>
      <c r="K70" s="13">
        <f t="shared" si="9"/>
        <v>0</v>
      </c>
      <c r="L70" s="11"/>
      <c r="O70" s="12"/>
      <c r="P70" s="12"/>
      <c r="Q70" s="12"/>
      <c r="R70" s="12"/>
      <c r="V70" s="12"/>
      <c r="W70" s="12"/>
      <c r="X70" s="12"/>
      <c r="Y70" s="12"/>
      <c r="AC70" s="12"/>
      <c r="AD70" s="12"/>
      <c r="AE70" s="12"/>
      <c r="AF70" s="12"/>
      <c r="AI70">
        <v>2.5</v>
      </c>
      <c r="AJ70" s="12"/>
      <c r="AK70" s="12">
        <v>0.5</v>
      </c>
      <c r="AL70" s="12"/>
      <c r="AM70" s="12">
        <v>0.5</v>
      </c>
      <c r="AP70">
        <v>2.5</v>
      </c>
      <c r="AQ70" s="12"/>
      <c r="AR70" s="12">
        <v>0.8</v>
      </c>
      <c r="AS70" s="12"/>
      <c r="AT70" s="12">
        <v>0.8</v>
      </c>
      <c r="AW70">
        <v>2.5</v>
      </c>
      <c r="AX70" s="12"/>
      <c r="AY70" s="12">
        <v>1</v>
      </c>
      <c r="AZ70" s="12"/>
      <c r="BA70" s="12">
        <v>1</v>
      </c>
      <c r="BE70" s="12"/>
      <c r="BF70" s="12">
        <v>1</v>
      </c>
      <c r="BG70" s="12"/>
      <c r="BH70" s="12">
        <v>1</v>
      </c>
      <c r="BM70" s="12"/>
      <c r="BN70" s="12">
        <v>1</v>
      </c>
      <c r="BO70" s="12"/>
      <c r="BP70" s="12">
        <v>1</v>
      </c>
      <c r="BT70" s="12"/>
      <c r="BU70" s="12">
        <v>1</v>
      </c>
      <c r="BV70" s="12"/>
      <c r="BW70" s="12">
        <v>1</v>
      </c>
      <c r="CA70" s="12"/>
      <c r="CB70" s="12">
        <v>1</v>
      </c>
      <c r="CC70" s="12"/>
      <c r="CD70" s="12">
        <v>1</v>
      </c>
      <c r="CH70" s="12"/>
      <c r="CI70" s="12">
        <v>1</v>
      </c>
      <c r="CJ70" s="12"/>
      <c r="CK70" s="12">
        <v>1</v>
      </c>
      <c r="CO70" s="12"/>
      <c r="CP70" s="12">
        <v>1</v>
      </c>
      <c r="CQ70" s="12"/>
      <c r="CR70" s="12">
        <v>1</v>
      </c>
      <c r="CV70" s="12"/>
      <c r="CW70" s="12">
        <v>1</v>
      </c>
      <c r="CX70" s="12"/>
      <c r="CY70" s="12">
        <v>1</v>
      </c>
      <c r="DC70" s="12"/>
      <c r="DD70" s="12">
        <v>1</v>
      </c>
      <c r="DE70" s="12"/>
      <c r="DF70" s="12">
        <v>1</v>
      </c>
      <c r="DJ70" s="12"/>
      <c r="DK70" s="12"/>
      <c r="DL70" s="12"/>
      <c r="DM70" s="12"/>
    </row>
    <row r="71" spans="2:118" outlineLevel="1">
      <c r="B71" t="s">
        <v>28</v>
      </c>
      <c r="C71" t="s">
        <v>53</v>
      </c>
      <c r="E71" s="11"/>
      <c r="F71" t="s">
        <v>96</v>
      </c>
      <c r="G71" s="12">
        <v>8.3299999999999999E-2</v>
      </c>
      <c r="I71" s="11">
        <f t="shared" si="8"/>
        <v>7.5</v>
      </c>
      <c r="J71" s="13">
        <f t="shared" si="9"/>
        <v>0</v>
      </c>
      <c r="K71" s="13">
        <f t="shared" si="9"/>
        <v>0</v>
      </c>
      <c r="L71" s="11"/>
      <c r="O71" s="12"/>
      <c r="P71" s="12"/>
      <c r="Q71" s="12"/>
      <c r="R71" s="12"/>
      <c r="V71" s="12"/>
      <c r="W71" s="12"/>
      <c r="X71" s="12"/>
      <c r="Y71" s="12"/>
      <c r="AC71" s="12"/>
      <c r="AD71" s="12"/>
      <c r="AE71" s="12"/>
      <c r="AF71" s="12"/>
      <c r="AJ71" s="12"/>
      <c r="AK71" s="12"/>
      <c r="AL71" s="12"/>
      <c r="AM71" s="12"/>
      <c r="AP71">
        <v>2.5</v>
      </c>
      <c r="AQ71" s="12"/>
      <c r="AR71" s="12">
        <v>0.5</v>
      </c>
      <c r="AS71" s="12"/>
      <c r="AT71" s="12">
        <v>0.5</v>
      </c>
      <c r="AW71">
        <v>2.5</v>
      </c>
      <c r="AX71" s="12"/>
      <c r="AY71" s="12">
        <v>0.8</v>
      </c>
      <c r="AZ71" s="12"/>
      <c r="BA71" s="12">
        <v>0.8</v>
      </c>
      <c r="BD71">
        <v>2.5</v>
      </c>
      <c r="BE71" s="12"/>
      <c r="BF71" s="12">
        <v>1</v>
      </c>
      <c r="BG71" s="12"/>
      <c r="BH71" s="12">
        <v>1</v>
      </c>
      <c r="BM71" s="12"/>
      <c r="BN71" s="12">
        <v>1</v>
      </c>
      <c r="BO71" s="12"/>
      <c r="BP71" s="12">
        <v>1</v>
      </c>
      <c r="BT71" s="12"/>
      <c r="BU71" s="12">
        <v>1</v>
      </c>
      <c r="BV71" s="12"/>
      <c r="BW71" s="12">
        <v>1</v>
      </c>
      <c r="CA71" s="12"/>
      <c r="CB71" s="12">
        <v>1</v>
      </c>
      <c r="CC71" s="12"/>
      <c r="CD71" s="12">
        <v>1</v>
      </c>
      <c r="CH71" s="12"/>
      <c r="CI71" s="12">
        <v>1</v>
      </c>
      <c r="CJ71" s="12"/>
      <c r="CK71" s="12">
        <v>1</v>
      </c>
      <c r="CO71" s="12"/>
      <c r="CP71" s="12">
        <v>1</v>
      </c>
      <c r="CQ71" s="12"/>
      <c r="CR71" s="12">
        <v>1</v>
      </c>
      <c r="CV71" s="12"/>
      <c r="CW71" s="12">
        <v>1</v>
      </c>
      <c r="CX71" s="12"/>
      <c r="CY71" s="12">
        <v>1</v>
      </c>
      <c r="DC71" s="12"/>
      <c r="DD71" s="12">
        <v>1</v>
      </c>
      <c r="DE71" s="12"/>
      <c r="DF71" s="12">
        <v>1</v>
      </c>
      <c r="DJ71" s="12"/>
      <c r="DK71" s="12"/>
      <c r="DL71" s="12"/>
      <c r="DM71" s="12"/>
    </row>
    <row r="72" spans="2:118" outlineLevel="1">
      <c r="B72" t="s">
        <v>28</v>
      </c>
      <c r="C72" t="s">
        <v>53</v>
      </c>
      <c r="E72" s="11"/>
      <c r="F72" t="s">
        <v>97</v>
      </c>
      <c r="G72" s="12">
        <v>8.3299999999999999E-2</v>
      </c>
      <c r="I72" s="11">
        <f t="shared" si="8"/>
        <v>7.5</v>
      </c>
      <c r="J72" s="13">
        <f t="shared" si="9"/>
        <v>0</v>
      </c>
      <c r="K72" s="13">
        <f t="shared" si="9"/>
        <v>0</v>
      </c>
      <c r="L72" s="11"/>
      <c r="O72" s="12"/>
      <c r="P72" s="12"/>
      <c r="Q72" s="12"/>
      <c r="R72" s="12"/>
      <c r="V72" s="12"/>
      <c r="W72" s="12"/>
      <c r="X72" s="12"/>
      <c r="Y72" s="12"/>
      <c r="AC72" s="12"/>
      <c r="AD72" s="12"/>
      <c r="AE72" s="12"/>
      <c r="AF72" s="12"/>
      <c r="AJ72" s="12"/>
      <c r="AK72" s="12"/>
      <c r="AL72" s="12"/>
      <c r="AM72" s="12"/>
      <c r="AQ72" s="12"/>
      <c r="AR72" s="12"/>
      <c r="AS72" s="12"/>
      <c r="AT72" s="12"/>
      <c r="AW72">
        <v>2.5</v>
      </c>
      <c r="AX72" s="12"/>
      <c r="AY72" s="12">
        <v>0.5</v>
      </c>
      <c r="AZ72" s="12"/>
      <c r="BA72" s="12">
        <v>0.5</v>
      </c>
      <c r="BD72">
        <v>2.5</v>
      </c>
      <c r="BE72" s="12"/>
      <c r="BF72" s="12">
        <v>0.8</v>
      </c>
      <c r="BG72" s="12"/>
      <c r="BH72" s="12">
        <v>0.8</v>
      </c>
      <c r="BL72">
        <v>2.5</v>
      </c>
      <c r="BM72" s="12"/>
      <c r="BN72" s="12">
        <v>1</v>
      </c>
      <c r="BO72" s="12"/>
      <c r="BP72" s="12">
        <v>1</v>
      </c>
      <c r="BT72" s="12"/>
      <c r="BU72" s="12">
        <v>1</v>
      </c>
      <c r="BV72" s="12"/>
      <c r="BW72" s="12">
        <v>1</v>
      </c>
      <c r="CA72" s="12"/>
      <c r="CB72" s="12">
        <v>1</v>
      </c>
      <c r="CC72" s="12"/>
      <c r="CD72" s="12">
        <v>1</v>
      </c>
      <c r="CH72" s="12"/>
      <c r="CI72" s="12">
        <v>1</v>
      </c>
      <c r="CJ72" s="12"/>
      <c r="CK72" s="12">
        <v>1</v>
      </c>
      <c r="CO72" s="12"/>
      <c r="CP72" s="12">
        <v>1</v>
      </c>
      <c r="CQ72" s="12"/>
      <c r="CR72" s="12">
        <v>1</v>
      </c>
      <c r="CV72" s="12"/>
      <c r="CW72" s="12">
        <v>1</v>
      </c>
      <c r="CX72" s="12"/>
      <c r="CY72" s="12">
        <v>1</v>
      </c>
      <c r="DC72" s="12"/>
      <c r="DD72" s="12">
        <v>1</v>
      </c>
      <c r="DE72" s="12"/>
      <c r="DF72" s="12">
        <v>1</v>
      </c>
      <c r="DJ72" s="12"/>
      <c r="DK72" s="12"/>
      <c r="DL72" s="12"/>
      <c r="DM72" s="12"/>
    </row>
    <row r="73" spans="2:118" outlineLevel="1">
      <c r="B73" t="s">
        <v>28</v>
      </c>
      <c r="C73" t="s">
        <v>53</v>
      </c>
      <c r="E73" s="11"/>
      <c r="F73" t="s">
        <v>98</v>
      </c>
      <c r="G73" s="12">
        <v>8.3299999999999999E-2</v>
      </c>
      <c r="I73" s="11">
        <f t="shared" si="8"/>
        <v>7.5</v>
      </c>
      <c r="J73" s="13">
        <f t="shared" si="9"/>
        <v>0</v>
      </c>
      <c r="K73" s="13">
        <f t="shared" si="9"/>
        <v>0</v>
      </c>
      <c r="L73" s="11"/>
      <c r="O73" s="12"/>
      <c r="P73" s="12"/>
      <c r="Q73" s="12"/>
      <c r="R73" s="12"/>
      <c r="V73" s="12"/>
      <c r="W73" s="12"/>
      <c r="X73" s="12"/>
      <c r="Y73" s="12"/>
      <c r="AC73" s="12"/>
      <c r="AD73" s="12"/>
      <c r="AE73" s="12"/>
      <c r="AF73" s="12"/>
      <c r="AJ73" s="12"/>
      <c r="AK73" s="12"/>
      <c r="AL73" s="12"/>
      <c r="AM73" s="12"/>
      <c r="AQ73" s="12"/>
      <c r="AR73" s="12"/>
      <c r="AS73" s="12"/>
      <c r="AT73" s="12"/>
      <c r="AX73" s="12"/>
      <c r="AY73" s="12"/>
      <c r="AZ73" s="12"/>
      <c r="BA73" s="12"/>
      <c r="BD73">
        <v>2.5</v>
      </c>
      <c r="BE73" s="12"/>
      <c r="BF73" s="12">
        <v>0.5</v>
      </c>
      <c r="BG73" s="12"/>
      <c r="BH73" s="12">
        <v>0.5</v>
      </c>
      <c r="BL73">
        <v>2.5</v>
      </c>
      <c r="BM73" s="12"/>
      <c r="BN73" s="12">
        <v>0.8</v>
      </c>
      <c r="BO73" s="12"/>
      <c r="BP73" s="12">
        <v>0.8</v>
      </c>
      <c r="BS73">
        <v>2.5</v>
      </c>
      <c r="BT73" s="12"/>
      <c r="BU73" s="12">
        <v>1</v>
      </c>
      <c r="BV73" s="12"/>
      <c r="BW73" s="12">
        <v>1</v>
      </c>
      <c r="CA73" s="12"/>
      <c r="CB73" s="12">
        <v>1</v>
      </c>
      <c r="CC73" s="12"/>
      <c r="CD73" s="12">
        <v>1</v>
      </c>
      <c r="CH73" s="12"/>
      <c r="CI73" s="12">
        <v>1</v>
      </c>
      <c r="CJ73" s="12"/>
      <c r="CK73" s="12">
        <v>1</v>
      </c>
      <c r="CO73" s="12"/>
      <c r="CP73" s="12">
        <v>1</v>
      </c>
      <c r="CQ73" s="12"/>
      <c r="CR73" s="12">
        <v>1</v>
      </c>
      <c r="CV73" s="12"/>
      <c r="CW73" s="12">
        <v>1</v>
      </c>
      <c r="CX73" s="12"/>
      <c r="CY73" s="12">
        <v>1</v>
      </c>
      <c r="DC73" s="12"/>
      <c r="DD73" s="12">
        <v>1</v>
      </c>
      <c r="DE73" s="12"/>
      <c r="DF73" s="12">
        <v>1</v>
      </c>
      <c r="DJ73" s="12"/>
      <c r="DK73" s="12"/>
      <c r="DL73" s="12"/>
      <c r="DM73" s="12"/>
    </row>
    <row r="74" spans="2:118" outlineLevel="1">
      <c r="B74" t="s">
        <v>28</v>
      </c>
      <c r="C74" t="s">
        <v>53</v>
      </c>
      <c r="E74" s="11"/>
      <c r="F74" t="s">
        <v>100</v>
      </c>
      <c r="G74" s="12">
        <v>8.3299999999999999E-2</v>
      </c>
      <c r="I74" s="11">
        <f t="shared" si="8"/>
        <v>7.5</v>
      </c>
      <c r="J74" s="13">
        <f t="shared" si="9"/>
        <v>0</v>
      </c>
      <c r="K74" s="13">
        <f t="shared" si="9"/>
        <v>0</v>
      </c>
      <c r="L74" s="11"/>
      <c r="O74" s="12"/>
      <c r="P74" s="12"/>
      <c r="Q74" s="12"/>
      <c r="R74" s="12"/>
      <c r="V74" s="12"/>
      <c r="W74" s="12"/>
      <c r="X74" s="12"/>
      <c r="Y74" s="12"/>
      <c r="AC74" s="12"/>
      <c r="AD74" s="12"/>
      <c r="AE74" s="12"/>
      <c r="AF74" s="12"/>
      <c r="AJ74" s="12"/>
      <c r="AK74" s="12"/>
      <c r="AL74" s="12"/>
      <c r="AM74" s="12"/>
      <c r="AQ74" s="12"/>
      <c r="AR74" s="12"/>
      <c r="AS74" s="12"/>
      <c r="AT74" s="12"/>
      <c r="AX74" s="12"/>
      <c r="AY74" s="12"/>
      <c r="AZ74" s="12"/>
      <c r="BA74" s="12"/>
      <c r="BE74" s="12"/>
      <c r="BF74" s="12"/>
      <c r="BG74" s="12"/>
      <c r="BH74" s="12"/>
      <c r="BL74">
        <v>2.5</v>
      </c>
      <c r="BM74" s="12"/>
      <c r="BN74" s="12">
        <v>0.5</v>
      </c>
      <c r="BO74" s="12"/>
      <c r="BP74" s="12">
        <v>0.5</v>
      </c>
      <c r="BS74">
        <v>2.5</v>
      </c>
      <c r="BT74" s="12"/>
      <c r="BU74" s="12">
        <v>0.8</v>
      </c>
      <c r="BV74" s="12"/>
      <c r="BW74" s="12">
        <v>0.8</v>
      </c>
      <c r="BZ74">
        <v>2.5</v>
      </c>
      <c r="CA74" s="12"/>
      <c r="CB74" s="12">
        <v>1</v>
      </c>
      <c r="CC74" s="12"/>
      <c r="CD74" s="12">
        <v>1</v>
      </c>
      <c r="CH74" s="12"/>
      <c r="CI74" s="12">
        <v>1</v>
      </c>
      <c r="CJ74" s="12"/>
      <c r="CK74" s="12">
        <v>1</v>
      </c>
      <c r="CO74" s="12"/>
      <c r="CP74" s="12">
        <v>1</v>
      </c>
      <c r="CQ74" s="12"/>
      <c r="CR74" s="12">
        <v>1</v>
      </c>
      <c r="CV74" s="12"/>
      <c r="CW74" s="12">
        <v>1</v>
      </c>
      <c r="CX74" s="12"/>
      <c r="CY74" s="12">
        <v>1</v>
      </c>
      <c r="DC74" s="12"/>
      <c r="DD74" s="12">
        <v>1</v>
      </c>
      <c r="DE74" s="12"/>
      <c r="DF74" s="12">
        <v>1</v>
      </c>
      <c r="DJ74" s="12"/>
      <c r="DK74" s="12"/>
      <c r="DL74" s="12"/>
      <c r="DM74" s="12"/>
    </row>
    <row r="75" spans="2:118" outlineLevel="1">
      <c r="B75" t="s">
        <v>28</v>
      </c>
      <c r="C75" t="s">
        <v>53</v>
      </c>
      <c r="E75" s="11"/>
      <c r="F75" t="s">
        <v>101</v>
      </c>
      <c r="G75" s="12">
        <v>8.3299999999999999E-2</v>
      </c>
      <c r="I75" s="11">
        <f t="shared" si="8"/>
        <v>7.5</v>
      </c>
      <c r="J75" s="13">
        <f t="shared" si="9"/>
        <v>0</v>
      </c>
      <c r="K75" s="13">
        <f t="shared" si="9"/>
        <v>0</v>
      </c>
      <c r="L75" s="11"/>
      <c r="O75" s="12"/>
      <c r="P75" s="12"/>
      <c r="Q75" s="12"/>
      <c r="R75" s="12"/>
      <c r="V75" s="12"/>
      <c r="W75" s="12"/>
      <c r="X75" s="12"/>
      <c r="Y75" s="12"/>
      <c r="AC75" s="12"/>
      <c r="AD75" s="12"/>
      <c r="AE75" s="12"/>
      <c r="AF75" s="12"/>
      <c r="AJ75" s="12"/>
      <c r="AK75" s="12"/>
      <c r="AL75" s="12"/>
      <c r="AM75" s="12"/>
      <c r="AQ75" s="12"/>
      <c r="AR75" s="12"/>
      <c r="AS75" s="12"/>
      <c r="AT75" s="12"/>
      <c r="AX75" s="12"/>
      <c r="AY75" s="12"/>
      <c r="AZ75" s="12"/>
      <c r="BA75" s="12"/>
      <c r="BE75" s="12"/>
      <c r="BF75" s="12"/>
      <c r="BG75" s="12"/>
      <c r="BH75" s="12"/>
      <c r="BM75" s="12"/>
      <c r="BN75" s="12"/>
      <c r="BO75" s="12"/>
      <c r="BP75" s="12"/>
      <c r="BS75">
        <v>2.5</v>
      </c>
      <c r="BT75" s="12"/>
      <c r="BU75" s="12">
        <v>0.5</v>
      </c>
      <c r="BV75" s="12"/>
      <c r="BW75" s="12">
        <v>0.5</v>
      </c>
      <c r="BZ75">
        <v>2.5</v>
      </c>
      <c r="CA75" s="12"/>
      <c r="CB75" s="12">
        <v>0.8</v>
      </c>
      <c r="CC75" s="12"/>
      <c r="CD75" s="12">
        <v>0.8</v>
      </c>
      <c r="CG75">
        <v>2.5</v>
      </c>
      <c r="CH75" s="12"/>
      <c r="CI75" s="12">
        <v>1</v>
      </c>
      <c r="CJ75" s="12"/>
      <c r="CK75" s="12">
        <v>1</v>
      </c>
      <c r="CO75" s="12"/>
      <c r="CP75" s="12">
        <v>1</v>
      </c>
      <c r="CQ75" s="12"/>
      <c r="CR75" s="12">
        <v>1</v>
      </c>
      <c r="CV75" s="12"/>
      <c r="CW75" s="12">
        <v>1</v>
      </c>
      <c r="CX75" s="12"/>
      <c r="CY75" s="12">
        <v>1</v>
      </c>
      <c r="DC75" s="12"/>
      <c r="DD75" s="12">
        <v>1</v>
      </c>
      <c r="DE75" s="12"/>
      <c r="DF75" s="12">
        <v>1</v>
      </c>
      <c r="DJ75" s="12"/>
      <c r="DK75" s="12"/>
      <c r="DL75" s="12"/>
      <c r="DM75" s="12"/>
    </row>
    <row r="76" spans="2:118" outlineLevel="1">
      <c r="B76" t="s">
        <v>28</v>
      </c>
      <c r="C76" t="s">
        <v>53</v>
      </c>
      <c r="E76" s="11"/>
      <c r="F76" t="s">
        <v>102</v>
      </c>
      <c r="G76" s="12">
        <v>8.3299999999999999E-2</v>
      </c>
      <c r="I76" s="11">
        <f t="shared" si="8"/>
        <v>7.5</v>
      </c>
      <c r="J76" s="13">
        <f t="shared" si="9"/>
        <v>0</v>
      </c>
      <c r="K76" s="13">
        <f t="shared" si="9"/>
        <v>0</v>
      </c>
      <c r="L76" s="11"/>
      <c r="O76" s="12"/>
      <c r="P76" s="12"/>
      <c r="Q76" s="12"/>
      <c r="R76" s="12"/>
      <c r="V76" s="12"/>
      <c r="W76" s="12"/>
      <c r="X76" s="12"/>
      <c r="Y76" s="12"/>
      <c r="AC76" s="12"/>
      <c r="AD76" s="12"/>
      <c r="AE76" s="12"/>
      <c r="AF76" s="12"/>
      <c r="AJ76" s="12"/>
      <c r="AK76" s="12"/>
      <c r="AL76" s="12"/>
      <c r="AM76" s="12"/>
      <c r="AQ76" s="12"/>
      <c r="AR76" s="12"/>
      <c r="AS76" s="12"/>
      <c r="AT76" s="12"/>
      <c r="AX76" s="12"/>
      <c r="AY76" s="12"/>
      <c r="AZ76" s="12"/>
      <c r="BA76" s="12"/>
      <c r="BE76" s="12"/>
      <c r="BF76" s="12"/>
      <c r="BG76" s="12"/>
      <c r="BH76" s="12"/>
      <c r="BM76" s="12"/>
      <c r="BN76" s="12"/>
      <c r="BO76" s="12"/>
      <c r="BP76" s="12"/>
      <c r="BT76" s="12"/>
      <c r="BU76" s="12"/>
      <c r="BV76" s="12"/>
      <c r="BW76" s="12"/>
      <c r="BZ76">
        <v>2.5</v>
      </c>
      <c r="CA76" s="12"/>
      <c r="CB76" s="12">
        <v>0.5</v>
      </c>
      <c r="CC76" s="12"/>
      <c r="CD76" s="12">
        <v>0.5</v>
      </c>
      <c r="CG76">
        <v>2.5</v>
      </c>
      <c r="CH76" s="12"/>
      <c r="CI76" s="12">
        <v>0.8</v>
      </c>
      <c r="CJ76" s="12"/>
      <c r="CK76" s="12">
        <v>0.8</v>
      </c>
      <c r="CN76">
        <v>2.5</v>
      </c>
      <c r="CO76" s="12"/>
      <c r="CP76" s="12">
        <v>1</v>
      </c>
      <c r="CQ76" s="12"/>
      <c r="CR76" s="12">
        <v>1</v>
      </c>
      <c r="CV76" s="12"/>
      <c r="CW76" s="12">
        <v>1</v>
      </c>
      <c r="CX76" s="12"/>
      <c r="CY76" s="12">
        <v>1</v>
      </c>
      <c r="DC76" s="12"/>
      <c r="DD76" s="12">
        <v>1</v>
      </c>
      <c r="DE76" s="12"/>
      <c r="DF76" s="12">
        <v>1</v>
      </c>
      <c r="DJ76" s="12"/>
      <c r="DK76" s="12"/>
      <c r="DL76" s="12"/>
      <c r="DM76" s="12"/>
    </row>
    <row r="77" spans="2:118" outlineLevel="1">
      <c r="B77" t="s">
        <v>28</v>
      </c>
      <c r="C77" t="s">
        <v>53</v>
      </c>
      <c r="E77" s="11"/>
      <c r="F77" t="s">
        <v>103</v>
      </c>
      <c r="G77" s="12">
        <v>8.3299999999999999E-2</v>
      </c>
      <c r="I77" s="11">
        <f t="shared" si="8"/>
        <v>7.5</v>
      </c>
      <c r="J77" s="13">
        <f t="shared" si="9"/>
        <v>0</v>
      </c>
      <c r="K77" s="13">
        <f t="shared" si="9"/>
        <v>0</v>
      </c>
      <c r="L77" s="11"/>
      <c r="O77" s="12"/>
      <c r="P77" s="12"/>
      <c r="Q77" s="12"/>
      <c r="R77" s="12"/>
      <c r="V77" s="12"/>
      <c r="W77" s="12"/>
      <c r="X77" s="12"/>
      <c r="Y77" s="12"/>
      <c r="AC77" s="12"/>
      <c r="AD77" s="12"/>
      <c r="AE77" s="12"/>
      <c r="AF77" s="12"/>
      <c r="AJ77" s="12"/>
      <c r="AK77" s="12"/>
      <c r="AL77" s="12"/>
      <c r="AM77" s="12"/>
      <c r="AQ77" s="12"/>
      <c r="AR77" s="12"/>
      <c r="AS77" s="12"/>
      <c r="AT77" s="12"/>
      <c r="AX77" s="12"/>
      <c r="AY77" s="12"/>
      <c r="AZ77" s="12"/>
      <c r="BA77" s="12"/>
      <c r="BE77" s="12"/>
      <c r="BF77" s="12"/>
      <c r="BG77" s="12"/>
      <c r="BH77" s="12"/>
      <c r="BM77" s="12"/>
      <c r="BN77" s="12"/>
      <c r="BO77" s="12"/>
      <c r="BP77" s="12"/>
      <c r="BT77" s="12"/>
      <c r="BU77" s="12"/>
      <c r="BV77" s="12"/>
      <c r="BW77" s="12"/>
      <c r="CA77" s="12"/>
      <c r="CB77" s="12"/>
      <c r="CC77" s="12"/>
      <c r="CD77" s="12"/>
      <c r="CG77">
        <v>2.5</v>
      </c>
      <c r="CH77" s="12"/>
      <c r="CI77" s="12">
        <v>0.5</v>
      </c>
      <c r="CJ77" s="12"/>
      <c r="CK77" s="12">
        <v>0.5</v>
      </c>
      <c r="CN77">
        <v>2.5</v>
      </c>
      <c r="CO77" s="12"/>
      <c r="CP77" s="12">
        <v>0.8</v>
      </c>
      <c r="CQ77" s="12"/>
      <c r="CR77" s="12">
        <v>0.8</v>
      </c>
      <c r="CU77">
        <v>2.5</v>
      </c>
      <c r="CV77" s="12"/>
      <c r="CW77" s="12">
        <v>1</v>
      </c>
      <c r="CX77" s="12"/>
      <c r="CY77" s="12">
        <v>1</v>
      </c>
      <c r="DC77" s="12"/>
      <c r="DD77" s="12">
        <v>1</v>
      </c>
      <c r="DE77" s="12"/>
      <c r="DF77" s="12">
        <v>1</v>
      </c>
      <c r="DJ77" s="12"/>
      <c r="DK77" s="12"/>
      <c r="DL77" s="12"/>
      <c r="DM77" s="12"/>
    </row>
    <row r="78" spans="2:118" outlineLevel="1">
      <c r="B78" t="s">
        <v>28</v>
      </c>
      <c r="C78" t="s">
        <v>53</v>
      </c>
      <c r="E78" s="11"/>
      <c r="F78" t="s">
        <v>104</v>
      </c>
      <c r="G78" s="12">
        <v>8.3299999999999999E-2</v>
      </c>
      <c r="I78" s="11">
        <f t="shared" si="8"/>
        <v>7.5</v>
      </c>
      <c r="J78" s="13">
        <f t="shared" si="9"/>
        <v>0</v>
      </c>
      <c r="K78" s="13">
        <f t="shared" si="9"/>
        <v>0</v>
      </c>
      <c r="L78" s="11"/>
      <c r="O78" s="12"/>
      <c r="P78" s="12"/>
      <c r="Q78" s="12"/>
      <c r="R78" s="12"/>
      <c r="V78" s="12"/>
      <c r="W78" s="12"/>
      <c r="X78" s="12"/>
      <c r="Y78" s="12"/>
      <c r="AC78" s="12"/>
      <c r="AD78" s="12"/>
      <c r="AE78" s="12"/>
      <c r="AF78" s="12"/>
      <c r="AJ78" s="12"/>
      <c r="AK78" s="12"/>
      <c r="AL78" s="12"/>
      <c r="AM78" s="12"/>
      <c r="AQ78" s="12"/>
      <c r="AR78" s="12"/>
      <c r="AS78" s="12"/>
      <c r="AT78" s="12"/>
      <c r="AX78" s="12"/>
      <c r="AY78" s="12"/>
      <c r="AZ78" s="12"/>
      <c r="BA78" s="12"/>
      <c r="BE78" s="12"/>
      <c r="BF78" s="12"/>
      <c r="BG78" s="12"/>
      <c r="BH78" s="12"/>
      <c r="BM78" s="12"/>
      <c r="BN78" s="12"/>
      <c r="BO78" s="12"/>
      <c r="BP78" s="12"/>
      <c r="BT78" s="12"/>
      <c r="BU78" s="12"/>
      <c r="BV78" s="12"/>
      <c r="BW78" s="12"/>
      <c r="CA78" s="12"/>
      <c r="CB78" s="12"/>
      <c r="CC78" s="12"/>
      <c r="CD78" s="12"/>
      <c r="CH78" s="12"/>
      <c r="CI78" s="12"/>
      <c r="CJ78" s="12"/>
      <c r="CK78" s="12"/>
      <c r="CN78">
        <v>2.5</v>
      </c>
      <c r="CO78" s="12"/>
      <c r="CP78" s="12">
        <v>0.5</v>
      </c>
      <c r="CQ78" s="12"/>
      <c r="CR78" s="12">
        <v>0.5</v>
      </c>
      <c r="CU78">
        <v>2.5</v>
      </c>
      <c r="CV78" s="12"/>
      <c r="CW78" s="12">
        <v>0.8</v>
      </c>
      <c r="CX78" s="12"/>
      <c r="CY78" s="12">
        <v>0.8</v>
      </c>
      <c r="DB78">
        <v>2.5</v>
      </c>
      <c r="DC78" s="12"/>
      <c r="DD78" s="12">
        <v>1</v>
      </c>
      <c r="DE78" s="12"/>
      <c r="DF78" s="12">
        <v>1</v>
      </c>
      <c r="DJ78" s="12"/>
      <c r="DK78" s="12"/>
      <c r="DL78" s="12"/>
      <c r="DM78" s="12"/>
    </row>
    <row r="80" spans="2:118">
      <c r="B80" t="s">
        <v>27</v>
      </c>
      <c r="C80" t="s">
        <v>105</v>
      </c>
      <c r="D80" s="19">
        <v>44662</v>
      </c>
      <c r="E80" s="11">
        <v>6</v>
      </c>
      <c r="G80" s="12">
        <f>+SUM(G81:G93)</f>
        <v>1.0009999999999999</v>
      </c>
      <c r="I80" s="14">
        <f>+SUM(I81:I92)</f>
        <v>90</v>
      </c>
      <c r="J80" s="13">
        <f>+SUMPRODUCT(G81:G92,J81:J92)</f>
        <v>0</v>
      </c>
      <c r="K80" s="13">
        <f>+SUMPRODUCT(G81:G92,K81:K92)</f>
        <v>0</v>
      </c>
      <c r="L80" s="11"/>
      <c r="N80" s="14">
        <v>3</v>
      </c>
      <c r="U80" s="14">
        <f>+SUM(U81:U92)</f>
        <v>5</v>
      </c>
      <c r="AB80" s="14">
        <f>+SUM(AB81:AB92)</f>
        <v>7.5</v>
      </c>
      <c r="AI80" s="14">
        <f>+SUM(AI81:AI92)</f>
        <v>7.5</v>
      </c>
      <c r="AP80" s="14">
        <f>+SUM(AP81:AP92)</f>
        <v>7.5</v>
      </c>
      <c r="AW80" s="14">
        <f>+SUM(AW81:AW92)</f>
        <v>7.5</v>
      </c>
      <c r="BD80" s="14">
        <f>+SUM(BD81:BD92)</f>
        <v>7.5</v>
      </c>
      <c r="BL80" s="14">
        <f>+SUM(BL81:BL92)</f>
        <v>7.5</v>
      </c>
      <c r="BS80" s="14">
        <f>+SUM(BS81:BS92)</f>
        <v>7.5</v>
      </c>
      <c r="BZ80" s="14">
        <f>+SUM(BZ81:BZ92)</f>
        <v>7.5</v>
      </c>
      <c r="CG80" s="14">
        <f>+SUM(CG81:CG92)</f>
        <v>7.5</v>
      </c>
      <c r="CN80" s="14">
        <f>+SUM(CN81:CN92)</f>
        <v>7.5</v>
      </c>
      <c r="CU80" s="14">
        <v>8</v>
      </c>
      <c r="DB80" s="14">
        <v>8</v>
      </c>
      <c r="DI80" s="14">
        <f>+SUM(DI81:DI92)</f>
        <v>0</v>
      </c>
    </row>
    <row r="81" spans="2:118" outlineLevel="1">
      <c r="B81" t="s">
        <v>28</v>
      </c>
      <c r="C81" t="s">
        <v>105</v>
      </c>
      <c r="E81" s="11"/>
      <c r="F81" t="s">
        <v>107</v>
      </c>
      <c r="G81" s="12">
        <v>7.6999999999999999E-2</v>
      </c>
      <c r="I81" s="11">
        <f t="shared" ref="I81:I93" si="10">+SUMIF($N$3:$ZW$3,I$3,$N81:$ZW81)</f>
        <v>7.5</v>
      </c>
      <c r="J81" s="13">
        <f t="shared" ref="J81:K93" si="11">+_xlfn.MAXIFS($N81:$ZC81,$N$3:$ZC$3,J$3)</f>
        <v>0</v>
      </c>
      <c r="K81" s="13">
        <f t="shared" si="11"/>
        <v>0</v>
      </c>
      <c r="L81" s="11"/>
      <c r="N81">
        <v>2.5</v>
      </c>
      <c r="O81" s="12"/>
      <c r="P81" s="12">
        <v>0.5</v>
      </c>
      <c r="Q81" s="12"/>
      <c r="R81" s="12">
        <v>0.5</v>
      </c>
      <c r="U81">
        <v>2.5</v>
      </c>
      <c r="V81" s="12"/>
      <c r="W81" s="12">
        <v>0.8</v>
      </c>
      <c r="X81" s="12"/>
      <c r="Y81" s="12">
        <v>0.8</v>
      </c>
      <c r="AB81">
        <v>2.5</v>
      </c>
      <c r="AC81" s="12"/>
      <c r="AD81" s="12">
        <v>1</v>
      </c>
      <c r="AE81" s="12"/>
      <c r="AF81" s="12">
        <v>1</v>
      </c>
      <c r="AJ81" s="12"/>
      <c r="AK81" s="12">
        <v>1</v>
      </c>
      <c r="AL81" s="12"/>
      <c r="AM81" s="12">
        <v>1</v>
      </c>
      <c r="AQ81" s="12"/>
      <c r="AR81" s="12">
        <v>1</v>
      </c>
      <c r="AS81" s="12"/>
      <c r="AT81" s="12">
        <v>1</v>
      </c>
      <c r="AX81" s="12"/>
      <c r="AY81" s="12">
        <v>1</v>
      </c>
      <c r="AZ81" s="12"/>
      <c r="BA81" s="12">
        <v>1</v>
      </c>
      <c r="BE81" s="12"/>
      <c r="BF81" s="12">
        <v>1</v>
      </c>
      <c r="BG81" s="12"/>
      <c r="BH81" s="12">
        <v>1</v>
      </c>
      <c r="BM81" s="12"/>
      <c r="BN81" s="12">
        <v>1</v>
      </c>
      <c r="BO81" s="12"/>
      <c r="BP81" s="12">
        <v>1</v>
      </c>
      <c r="BT81" s="12"/>
      <c r="BU81" s="12">
        <v>1</v>
      </c>
      <c r="BV81" s="12"/>
      <c r="BW81" s="12">
        <v>1</v>
      </c>
      <c r="CA81" s="12"/>
      <c r="CB81" s="12">
        <v>1</v>
      </c>
      <c r="CC81" s="12"/>
      <c r="CD81" s="12">
        <v>1</v>
      </c>
      <c r="CH81" s="12"/>
      <c r="CI81" s="12">
        <v>1</v>
      </c>
      <c r="CJ81" s="12"/>
      <c r="CK81" s="12">
        <v>1</v>
      </c>
      <c r="CO81" s="12"/>
      <c r="CP81" s="12">
        <v>1</v>
      </c>
      <c r="CQ81" s="12"/>
      <c r="CR81" s="12">
        <v>1</v>
      </c>
      <c r="CV81" s="12"/>
      <c r="CW81" s="12">
        <v>1</v>
      </c>
      <c r="CX81" s="12"/>
      <c r="CY81" s="12">
        <v>1</v>
      </c>
      <c r="DC81" s="12"/>
      <c r="DD81" s="12">
        <v>1</v>
      </c>
      <c r="DE81" s="12"/>
      <c r="DF81" s="12">
        <v>1</v>
      </c>
      <c r="DJ81" s="12"/>
      <c r="DK81" s="12"/>
      <c r="DL81" s="12"/>
      <c r="DM81" s="12"/>
      <c r="DN81" t="s">
        <v>177</v>
      </c>
    </row>
    <row r="82" spans="2:118" outlineLevel="1">
      <c r="B82" t="s">
        <v>28</v>
      </c>
      <c r="C82" t="s">
        <v>105</v>
      </c>
      <c r="E82" s="11"/>
      <c r="F82" t="s">
        <v>106</v>
      </c>
      <c r="G82" s="12">
        <v>7.6999999999999999E-2</v>
      </c>
      <c r="I82" s="11">
        <f t="shared" si="10"/>
        <v>7.5</v>
      </c>
      <c r="J82" s="13">
        <f t="shared" si="11"/>
        <v>0</v>
      </c>
      <c r="K82" s="13">
        <f t="shared" si="11"/>
        <v>0</v>
      </c>
      <c r="L82" s="11"/>
      <c r="O82" s="12"/>
      <c r="P82" s="12"/>
      <c r="Q82" s="12"/>
      <c r="R82" s="12"/>
      <c r="U82">
        <v>2.5</v>
      </c>
      <c r="V82" s="12"/>
      <c r="W82" s="12">
        <v>0.5</v>
      </c>
      <c r="X82" s="12"/>
      <c r="Y82" s="12">
        <v>0.5</v>
      </c>
      <c r="AB82">
        <v>2.5</v>
      </c>
      <c r="AC82" s="12"/>
      <c r="AD82" s="12">
        <v>0.8</v>
      </c>
      <c r="AE82" s="12"/>
      <c r="AF82" s="12">
        <v>0.8</v>
      </c>
      <c r="AI82">
        <v>2.5</v>
      </c>
      <c r="AJ82" s="12"/>
      <c r="AK82" s="12">
        <v>1</v>
      </c>
      <c r="AL82" s="12"/>
      <c r="AM82" s="12">
        <v>1</v>
      </c>
      <c r="AQ82" s="12"/>
      <c r="AR82" s="12">
        <v>1</v>
      </c>
      <c r="AS82" s="12"/>
      <c r="AT82" s="12">
        <v>1</v>
      </c>
      <c r="AX82" s="12"/>
      <c r="AY82" s="12">
        <v>1</v>
      </c>
      <c r="AZ82" s="12"/>
      <c r="BA82" s="12">
        <v>1</v>
      </c>
      <c r="BE82" s="12"/>
      <c r="BF82" s="12">
        <v>1</v>
      </c>
      <c r="BG82" s="12"/>
      <c r="BH82" s="12">
        <v>1</v>
      </c>
      <c r="BM82" s="12"/>
      <c r="BN82" s="12">
        <v>1</v>
      </c>
      <c r="BO82" s="12"/>
      <c r="BP82" s="12">
        <v>1</v>
      </c>
      <c r="BT82" s="12"/>
      <c r="BU82" s="12">
        <v>1</v>
      </c>
      <c r="BV82" s="12"/>
      <c r="BW82" s="12">
        <v>1</v>
      </c>
      <c r="CA82" s="12"/>
      <c r="CB82" s="12">
        <v>1</v>
      </c>
      <c r="CC82" s="12"/>
      <c r="CD82" s="12">
        <v>1</v>
      </c>
      <c r="CH82" s="12"/>
      <c r="CI82" s="12">
        <v>1</v>
      </c>
      <c r="CJ82" s="12"/>
      <c r="CK82" s="12">
        <v>1</v>
      </c>
      <c r="CO82" s="12"/>
      <c r="CP82" s="12">
        <v>1</v>
      </c>
      <c r="CQ82" s="12"/>
      <c r="CR82" s="12">
        <v>1</v>
      </c>
      <c r="CV82" s="12"/>
      <c r="CW82" s="12">
        <v>1</v>
      </c>
      <c r="CX82" s="12"/>
      <c r="CY82" s="12">
        <v>1</v>
      </c>
      <c r="DC82" s="12"/>
      <c r="DD82" s="12">
        <v>1</v>
      </c>
      <c r="DE82" s="12"/>
      <c r="DF82" s="12">
        <v>1</v>
      </c>
      <c r="DJ82" s="12"/>
      <c r="DK82" s="12"/>
      <c r="DL82" s="12"/>
      <c r="DM82" s="12"/>
      <c r="DN82" t="s">
        <v>4</v>
      </c>
    </row>
    <row r="83" spans="2:118" outlineLevel="1">
      <c r="B83" t="s">
        <v>28</v>
      </c>
      <c r="C83" t="s">
        <v>105</v>
      </c>
      <c r="E83" s="11"/>
      <c r="F83" t="s">
        <v>108</v>
      </c>
      <c r="G83" s="12">
        <v>7.6999999999999999E-2</v>
      </c>
      <c r="I83" s="11">
        <f t="shared" si="10"/>
        <v>7.5</v>
      </c>
      <c r="J83" s="13">
        <f t="shared" si="11"/>
        <v>0</v>
      </c>
      <c r="K83" s="13">
        <f t="shared" si="11"/>
        <v>0</v>
      </c>
      <c r="L83" s="11"/>
      <c r="O83" s="12"/>
      <c r="P83" s="12"/>
      <c r="Q83" s="12"/>
      <c r="R83" s="12"/>
      <c r="V83" s="12"/>
      <c r="W83" s="12"/>
      <c r="X83" s="12"/>
      <c r="Y83" s="12"/>
      <c r="AB83">
        <v>2.5</v>
      </c>
      <c r="AC83" s="12"/>
      <c r="AD83" s="12">
        <v>0.5</v>
      </c>
      <c r="AE83" s="12"/>
      <c r="AF83" s="12">
        <v>0.5</v>
      </c>
      <c r="AI83">
        <v>2.5</v>
      </c>
      <c r="AJ83" s="12"/>
      <c r="AK83" s="12">
        <v>0.8</v>
      </c>
      <c r="AL83" s="12"/>
      <c r="AM83" s="12">
        <v>0.8</v>
      </c>
      <c r="AP83">
        <v>2.5</v>
      </c>
      <c r="AQ83" s="12"/>
      <c r="AR83" s="12">
        <v>1</v>
      </c>
      <c r="AS83" s="12"/>
      <c r="AT83" s="12">
        <v>1</v>
      </c>
      <c r="AX83" s="12"/>
      <c r="AY83" s="12">
        <v>1</v>
      </c>
      <c r="AZ83" s="12"/>
      <c r="BA83" s="12">
        <v>1</v>
      </c>
      <c r="BE83" s="12"/>
      <c r="BF83" s="12">
        <v>1</v>
      </c>
      <c r="BG83" s="12"/>
      <c r="BH83" s="12">
        <v>1</v>
      </c>
      <c r="BM83" s="12"/>
      <c r="BN83" s="12">
        <v>1</v>
      </c>
      <c r="BO83" s="12"/>
      <c r="BP83" s="12">
        <v>1</v>
      </c>
      <c r="BT83" s="12"/>
      <c r="BU83" s="12">
        <v>1</v>
      </c>
      <c r="BV83" s="12"/>
      <c r="BW83" s="12">
        <v>1</v>
      </c>
      <c r="CA83" s="12"/>
      <c r="CB83" s="12">
        <v>1</v>
      </c>
      <c r="CC83" s="12"/>
      <c r="CD83" s="12">
        <v>1</v>
      </c>
      <c r="CH83" s="12"/>
      <c r="CI83" s="12">
        <v>1</v>
      </c>
      <c r="CJ83" s="12"/>
      <c r="CK83" s="12">
        <v>1</v>
      </c>
      <c r="CO83" s="12"/>
      <c r="CP83" s="12">
        <v>1</v>
      </c>
      <c r="CQ83" s="12"/>
      <c r="CR83" s="12">
        <v>1</v>
      </c>
      <c r="CV83" s="12"/>
      <c r="CW83" s="12">
        <v>1</v>
      </c>
      <c r="CX83" s="12"/>
      <c r="CY83" s="12">
        <v>1</v>
      </c>
      <c r="DC83" s="12"/>
      <c r="DD83" s="12">
        <v>1</v>
      </c>
      <c r="DE83" s="12"/>
      <c r="DF83" s="12">
        <v>1</v>
      </c>
      <c r="DJ83" s="12"/>
      <c r="DK83" s="12"/>
      <c r="DL83" s="12"/>
      <c r="DM83" s="12"/>
      <c r="DN83" t="s">
        <v>181</v>
      </c>
    </row>
    <row r="84" spans="2:118" outlineLevel="1">
      <c r="B84" t="s">
        <v>28</v>
      </c>
      <c r="C84" t="s">
        <v>105</v>
      </c>
      <c r="E84" s="11"/>
      <c r="F84" t="s">
        <v>109</v>
      </c>
      <c r="G84" s="12">
        <v>7.6999999999999999E-2</v>
      </c>
      <c r="I84" s="11">
        <f t="shared" si="10"/>
        <v>7.5</v>
      </c>
      <c r="J84" s="13">
        <f t="shared" si="11"/>
        <v>0</v>
      </c>
      <c r="K84" s="13">
        <f t="shared" si="11"/>
        <v>0</v>
      </c>
      <c r="L84" s="11"/>
      <c r="O84" s="12"/>
      <c r="P84" s="12"/>
      <c r="Q84" s="12"/>
      <c r="R84" s="12"/>
      <c r="V84" s="12"/>
      <c r="W84" s="12"/>
      <c r="X84" s="12"/>
      <c r="Y84" s="12"/>
      <c r="AC84" s="12"/>
      <c r="AD84" s="12"/>
      <c r="AE84" s="12"/>
      <c r="AF84" s="12"/>
      <c r="AI84">
        <v>2.5</v>
      </c>
      <c r="AJ84" s="12"/>
      <c r="AK84" s="12">
        <v>0.5</v>
      </c>
      <c r="AL84" s="12"/>
      <c r="AM84" s="12">
        <v>0.5</v>
      </c>
      <c r="AP84">
        <v>2.5</v>
      </c>
      <c r="AQ84" s="12"/>
      <c r="AR84" s="12">
        <v>0.8</v>
      </c>
      <c r="AS84" s="12"/>
      <c r="AT84" s="12">
        <v>0.8</v>
      </c>
      <c r="AW84">
        <v>2.5</v>
      </c>
      <c r="AX84" s="12"/>
      <c r="AY84" s="12">
        <v>1</v>
      </c>
      <c r="AZ84" s="12"/>
      <c r="BA84" s="12">
        <v>1</v>
      </c>
      <c r="BE84" s="12"/>
      <c r="BF84" s="12">
        <v>1</v>
      </c>
      <c r="BG84" s="12"/>
      <c r="BH84" s="12">
        <v>1</v>
      </c>
      <c r="BM84" s="12"/>
      <c r="BN84" s="12">
        <v>1</v>
      </c>
      <c r="BO84" s="12"/>
      <c r="BP84" s="12">
        <v>1</v>
      </c>
      <c r="BT84" s="12"/>
      <c r="BU84" s="12">
        <v>1</v>
      </c>
      <c r="BV84" s="12"/>
      <c r="BW84" s="12">
        <v>1</v>
      </c>
      <c r="CA84" s="12"/>
      <c r="CB84" s="12">
        <v>1</v>
      </c>
      <c r="CC84" s="12"/>
      <c r="CD84" s="12">
        <v>1</v>
      </c>
      <c r="CH84" s="12"/>
      <c r="CI84" s="12">
        <v>1</v>
      </c>
      <c r="CJ84" s="12"/>
      <c r="CK84" s="12">
        <v>1</v>
      </c>
      <c r="CO84" s="12"/>
      <c r="CP84" s="12">
        <v>1</v>
      </c>
      <c r="CQ84" s="12"/>
      <c r="CR84" s="12">
        <v>1</v>
      </c>
      <c r="CV84" s="12"/>
      <c r="CW84" s="12">
        <v>1</v>
      </c>
      <c r="CX84" s="12"/>
      <c r="CY84" s="12">
        <v>1</v>
      </c>
      <c r="DC84" s="12"/>
      <c r="DD84" s="12">
        <v>1</v>
      </c>
      <c r="DE84" s="12"/>
      <c r="DF84" s="12">
        <v>1</v>
      </c>
      <c r="DJ84" s="12"/>
      <c r="DK84" s="12"/>
      <c r="DL84" s="12"/>
      <c r="DM84" s="12"/>
    </row>
    <row r="85" spans="2:118" outlineLevel="1">
      <c r="B85" t="s">
        <v>28</v>
      </c>
      <c r="C85" t="s">
        <v>105</v>
      </c>
      <c r="E85" s="11"/>
      <c r="F85" t="s">
        <v>110</v>
      </c>
      <c r="G85" s="12">
        <v>7.6999999999999999E-2</v>
      </c>
      <c r="I85" s="11">
        <f t="shared" si="10"/>
        <v>7.5</v>
      </c>
      <c r="J85" s="13">
        <f t="shared" si="11"/>
        <v>0</v>
      </c>
      <c r="K85" s="13">
        <f t="shared" si="11"/>
        <v>0</v>
      </c>
      <c r="L85" s="11"/>
      <c r="O85" s="12"/>
      <c r="P85" s="12"/>
      <c r="Q85" s="12"/>
      <c r="R85" s="12"/>
      <c r="V85" s="12"/>
      <c r="W85" s="12"/>
      <c r="X85" s="12"/>
      <c r="Y85" s="12"/>
      <c r="AC85" s="12"/>
      <c r="AD85" s="12"/>
      <c r="AE85" s="12"/>
      <c r="AF85" s="12"/>
      <c r="AJ85" s="12"/>
      <c r="AK85" s="12"/>
      <c r="AL85" s="12"/>
      <c r="AM85" s="12"/>
      <c r="AP85">
        <v>2.5</v>
      </c>
      <c r="AQ85" s="12"/>
      <c r="AR85" s="12">
        <v>0.5</v>
      </c>
      <c r="AS85" s="12"/>
      <c r="AT85" s="12">
        <v>0.5</v>
      </c>
      <c r="AW85">
        <v>2.5</v>
      </c>
      <c r="AX85" s="12"/>
      <c r="AY85" s="12">
        <v>0.8</v>
      </c>
      <c r="AZ85" s="12"/>
      <c r="BA85" s="12">
        <v>0.8</v>
      </c>
      <c r="BD85">
        <v>2.5</v>
      </c>
      <c r="BE85" s="12"/>
      <c r="BF85" s="12">
        <v>1</v>
      </c>
      <c r="BG85" s="12"/>
      <c r="BH85" s="12">
        <v>1</v>
      </c>
      <c r="BM85" s="12"/>
      <c r="BN85" s="12">
        <v>1</v>
      </c>
      <c r="BO85" s="12"/>
      <c r="BP85" s="12">
        <v>1</v>
      </c>
      <c r="BT85" s="12"/>
      <c r="BU85" s="12">
        <v>1</v>
      </c>
      <c r="BV85" s="12"/>
      <c r="BW85" s="12">
        <v>1</v>
      </c>
      <c r="CA85" s="12"/>
      <c r="CB85" s="12">
        <v>1</v>
      </c>
      <c r="CC85" s="12"/>
      <c r="CD85" s="12">
        <v>1</v>
      </c>
      <c r="CH85" s="12"/>
      <c r="CI85" s="12">
        <v>1</v>
      </c>
      <c r="CJ85" s="12"/>
      <c r="CK85" s="12">
        <v>1</v>
      </c>
      <c r="CO85" s="12"/>
      <c r="CP85" s="12">
        <v>1</v>
      </c>
      <c r="CQ85" s="12"/>
      <c r="CR85" s="12">
        <v>1</v>
      </c>
      <c r="CV85" s="12"/>
      <c r="CW85" s="12">
        <v>1</v>
      </c>
      <c r="CX85" s="12"/>
      <c r="CY85" s="12">
        <v>1</v>
      </c>
      <c r="DC85" s="12"/>
      <c r="DD85" s="12">
        <v>1</v>
      </c>
      <c r="DE85" s="12"/>
      <c r="DF85" s="12">
        <v>1</v>
      </c>
      <c r="DJ85" s="12"/>
      <c r="DK85" s="12"/>
      <c r="DL85" s="12"/>
      <c r="DM85" s="12"/>
    </row>
    <row r="86" spans="2:118" outlineLevel="1">
      <c r="B86" t="s">
        <v>28</v>
      </c>
      <c r="C86" t="s">
        <v>105</v>
      </c>
      <c r="E86" s="11"/>
      <c r="F86" t="s">
        <v>111</v>
      </c>
      <c r="G86" s="12">
        <v>7.6999999999999999E-2</v>
      </c>
      <c r="I86" s="11">
        <f t="shared" si="10"/>
        <v>7.5</v>
      </c>
      <c r="J86" s="13">
        <f t="shared" si="11"/>
        <v>0</v>
      </c>
      <c r="K86" s="13">
        <f t="shared" si="11"/>
        <v>0</v>
      </c>
      <c r="L86" s="11"/>
      <c r="O86" s="12"/>
      <c r="P86" s="12"/>
      <c r="Q86" s="12"/>
      <c r="R86" s="12"/>
      <c r="V86" s="12"/>
      <c r="W86" s="12"/>
      <c r="X86" s="12"/>
      <c r="Y86" s="12"/>
      <c r="AC86" s="12"/>
      <c r="AD86" s="12"/>
      <c r="AE86" s="12"/>
      <c r="AF86" s="12"/>
      <c r="AJ86" s="12"/>
      <c r="AK86" s="12"/>
      <c r="AL86" s="12"/>
      <c r="AM86" s="12"/>
      <c r="AQ86" s="12"/>
      <c r="AR86" s="12"/>
      <c r="AS86" s="12"/>
      <c r="AT86" s="12"/>
      <c r="AW86">
        <v>2.5</v>
      </c>
      <c r="AX86" s="12"/>
      <c r="AY86" s="12">
        <v>0.5</v>
      </c>
      <c r="AZ86" s="12"/>
      <c r="BA86" s="12">
        <v>0.5</v>
      </c>
      <c r="BD86">
        <v>2.5</v>
      </c>
      <c r="BE86" s="12"/>
      <c r="BF86" s="12">
        <v>0.8</v>
      </c>
      <c r="BG86" s="12"/>
      <c r="BH86" s="12">
        <v>0.8</v>
      </c>
      <c r="BL86">
        <v>2.5</v>
      </c>
      <c r="BM86" s="12"/>
      <c r="BN86" s="12">
        <v>1</v>
      </c>
      <c r="BO86" s="12"/>
      <c r="BP86" s="12">
        <v>1</v>
      </c>
      <c r="BT86" s="12"/>
      <c r="BU86" s="12">
        <v>1</v>
      </c>
      <c r="BV86" s="12"/>
      <c r="BW86" s="12">
        <v>1</v>
      </c>
      <c r="CA86" s="12"/>
      <c r="CB86" s="12">
        <v>1</v>
      </c>
      <c r="CC86" s="12"/>
      <c r="CD86" s="12">
        <v>1</v>
      </c>
      <c r="CH86" s="12"/>
      <c r="CI86" s="12">
        <v>1</v>
      </c>
      <c r="CJ86" s="12"/>
      <c r="CK86" s="12">
        <v>1</v>
      </c>
      <c r="CO86" s="12"/>
      <c r="CP86" s="12">
        <v>1</v>
      </c>
      <c r="CQ86" s="12"/>
      <c r="CR86" s="12">
        <v>1</v>
      </c>
      <c r="CV86" s="12"/>
      <c r="CW86" s="12">
        <v>1</v>
      </c>
      <c r="CX86" s="12"/>
      <c r="CY86" s="12">
        <v>1</v>
      </c>
      <c r="DC86" s="12"/>
      <c r="DD86" s="12">
        <v>1</v>
      </c>
      <c r="DE86" s="12"/>
      <c r="DF86" s="12">
        <v>1</v>
      </c>
      <c r="DJ86" s="12"/>
      <c r="DK86" s="12"/>
      <c r="DL86" s="12"/>
      <c r="DM86" s="12"/>
    </row>
    <row r="87" spans="2:118" outlineLevel="1">
      <c r="B87" t="s">
        <v>28</v>
      </c>
      <c r="C87" t="s">
        <v>105</v>
      </c>
      <c r="E87" s="11"/>
      <c r="F87" t="s">
        <v>112</v>
      </c>
      <c r="G87" s="12">
        <v>7.6999999999999999E-2</v>
      </c>
      <c r="I87" s="11">
        <f t="shared" si="10"/>
        <v>7.5</v>
      </c>
      <c r="J87" s="13">
        <f t="shared" si="11"/>
        <v>0</v>
      </c>
      <c r="K87" s="13">
        <f t="shared" si="11"/>
        <v>0</v>
      </c>
      <c r="L87" s="11"/>
      <c r="O87" s="12"/>
      <c r="P87" s="12"/>
      <c r="Q87" s="12"/>
      <c r="R87" s="12"/>
      <c r="V87" s="12"/>
      <c r="W87" s="12"/>
      <c r="X87" s="12"/>
      <c r="Y87" s="12"/>
      <c r="AC87" s="12"/>
      <c r="AD87" s="12"/>
      <c r="AE87" s="12"/>
      <c r="AF87" s="12"/>
      <c r="AJ87" s="12"/>
      <c r="AK87" s="12"/>
      <c r="AL87" s="12"/>
      <c r="AM87" s="12"/>
      <c r="AQ87" s="12"/>
      <c r="AR87" s="12"/>
      <c r="AS87" s="12"/>
      <c r="AT87" s="12"/>
      <c r="AX87" s="12"/>
      <c r="AY87" s="12"/>
      <c r="AZ87" s="12"/>
      <c r="BA87" s="12"/>
      <c r="BD87">
        <v>2.5</v>
      </c>
      <c r="BE87" s="12"/>
      <c r="BF87" s="12">
        <v>0.5</v>
      </c>
      <c r="BG87" s="12"/>
      <c r="BH87" s="12">
        <v>0.5</v>
      </c>
      <c r="BL87">
        <v>2.5</v>
      </c>
      <c r="BM87" s="12"/>
      <c r="BN87" s="12">
        <v>0.8</v>
      </c>
      <c r="BO87" s="12"/>
      <c r="BP87" s="12">
        <v>0.8</v>
      </c>
      <c r="BS87">
        <v>2.5</v>
      </c>
      <c r="BT87" s="12"/>
      <c r="BU87" s="12">
        <v>1</v>
      </c>
      <c r="BV87" s="12"/>
      <c r="BW87" s="12">
        <v>1</v>
      </c>
      <c r="CA87" s="12"/>
      <c r="CB87" s="12">
        <v>1</v>
      </c>
      <c r="CC87" s="12"/>
      <c r="CD87" s="12">
        <v>1</v>
      </c>
      <c r="CH87" s="12"/>
      <c r="CI87" s="12">
        <v>1</v>
      </c>
      <c r="CJ87" s="12"/>
      <c r="CK87" s="12">
        <v>1</v>
      </c>
      <c r="CO87" s="12"/>
      <c r="CP87" s="12">
        <v>1</v>
      </c>
      <c r="CQ87" s="12"/>
      <c r="CR87" s="12">
        <v>1</v>
      </c>
      <c r="CV87" s="12"/>
      <c r="CW87" s="12">
        <v>1</v>
      </c>
      <c r="CX87" s="12"/>
      <c r="CY87" s="12">
        <v>1</v>
      </c>
      <c r="DC87" s="12"/>
      <c r="DD87" s="12">
        <v>1</v>
      </c>
      <c r="DE87" s="12"/>
      <c r="DF87" s="12">
        <v>1</v>
      </c>
      <c r="DJ87" s="12"/>
      <c r="DK87" s="12"/>
      <c r="DL87" s="12"/>
      <c r="DM87" s="12"/>
    </row>
    <row r="88" spans="2:118" outlineLevel="1">
      <c r="B88" t="s">
        <v>28</v>
      </c>
      <c r="C88" t="s">
        <v>105</v>
      </c>
      <c r="E88" s="11"/>
      <c r="F88" t="s">
        <v>113</v>
      </c>
      <c r="G88" s="12">
        <v>7.6999999999999999E-2</v>
      </c>
      <c r="I88" s="11">
        <f t="shared" si="10"/>
        <v>7.5</v>
      </c>
      <c r="J88" s="13">
        <f t="shared" si="11"/>
        <v>0</v>
      </c>
      <c r="K88" s="13">
        <f t="shared" si="11"/>
        <v>0</v>
      </c>
      <c r="L88" s="11"/>
      <c r="O88" s="12"/>
      <c r="P88" s="12"/>
      <c r="Q88" s="12"/>
      <c r="R88" s="12"/>
      <c r="V88" s="12"/>
      <c r="W88" s="12"/>
      <c r="X88" s="12"/>
      <c r="Y88" s="12"/>
      <c r="AC88" s="12"/>
      <c r="AD88" s="12"/>
      <c r="AE88" s="12"/>
      <c r="AF88" s="12"/>
      <c r="AJ88" s="12"/>
      <c r="AK88" s="12"/>
      <c r="AL88" s="12"/>
      <c r="AM88" s="12"/>
      <c r="AQ88" s="12"/>
      <c r="AR88" s="12"/>
      <c r="AS88" s="12"/>
      <c r="AT88" s="12"/>
      <c r="AX88" s="12"/>
      <c r="AY88" s="12"/>
      <c r="AZ88" s="12"/>
      <c r="BA88" s="12"/>
      <c r="BE88" s="12"/>
      <c r="BF88" s="12"/>
      <c r="BG88" s="12"/>
      <c r="BH88" s="12"/>
      <c r="BL88">
        <v>2.5</v>
      </c>
      <c r="BM88" s="12"/>
      <c r="BN88" s="12">
        <v>0.5</v>
      </c>
      <c r="BO88" s="12"/>
      <c r="BP88" s="12">
        <v>0.5</v>
      </c>
      <c r="BS88">
        <v>2.5</v>
      </c>
      <c r="BT88" s="12"/>
      <c r="BU88" s="12">
        <v>0.8</v>
      </c>
      <c r="BV88" s="12"/>
      <c r="BW88" s="12">
        <v>0.8</v>
      </c>
      <c r="BZ88">
        <v>2.5</v>
      </c>
      <c r="CA88" s="12"/>
      <c r="CB88" s="12">
        <v>1</v>
      </c>
      <c r="CC88" s="12"/>
      <c r="CD88" s="12">
        <v>1</v>
      </c>
      <c r="CH88" s="12"/>
      <c r="CI88" s="12">
        <v>1</v>
      </c>
      <c r="CJ88" s="12"/>
      <c r="CK88" s="12">
        <v>1</v>
      </c>
      <c r="CO88" s="12"/>
      <c r="CP88" s="12">
        <v>1</v>
      </c>
      <c r="CQ88" s="12"/>
      <c r="CR88" s="12">
        <v>1</v>
      </c>
      <c r="CV88" s="12"/>
      <c r="CW88" s="12">
        <v>1</v>
      </c>
      <c r="CX88" s="12"/>
      <c r="CY88" s="12">
        <v>1</v>
      </c>
      <c r="DC88" s="12"/>
      <c r="DD88" s="12">
        <v>1</v>
      </c>
      <c r="DE88" s="12"/>
      <c r="DF88" s="12">
        <v>1</v>
      </c>
      <c r="DJ88" s="12"/>
      <c r="DK88" s="12"/>
      <c r="DL88" s="12"/>
      <c r="DM88" s="12"/>
    </row>
    <row r="89" spans="2:118" outlineLevel="1">
      <c r="B89" t="s">
        <v>28</v>
      </c>
      <c r="C89" t="s">
        <v>105</v>
      </c>
      <c r="E89" s="11"/>
      <c r="F89" t="s">
        <v>114</v>
      </c>
      <c r="G89" s="12">
        <v>7.6999999999999999E-2</v>
      </c>
      <c r="I89" s="11">
        <f t="shared" si="10"/>
        <v>7.5</v>
      </c>
      <c r="J89" s="13">
        <f t="shared" si="11"/>
        <v>0</v>
      </c>
      <c r="K89" s="13">
        <f t="shared" si="11"/>
        <v>0</v>
      </c>
      <c r="L89" s="11"/>
      <c r="O89" s="12"/>
      <c r="P89" s="12"/>
      <c r="Q89" s="12"/>
      <c r="R89" s="12"/>
      <c r="V89" s="12"/>
      <c r="W89" s="12"/>
      <c r="X89" s="12"/>
      <c r="Y89" s="12"/>
      <c r="AC89" s="12"/>
      <c r="AD89" s="12"/>
      <c r="AE89" s="12"/>
      <c r="AF89" s="12"/>
      <c r="AJ89" s="12"/>
      <c r="AK89" s="12"/>
      <c r="AL89" s="12"/>
      <c r="AM89" s="12"/>
      <c r="AQ89" s="12"/>
      <c r="AR89" s="12"/>
      <c r="AS89" s="12"/>
      <c r="AT89" s="12"/>
      <c r="AX89" s="12"/>
      <c r="AY89" s="12"/>
      <c r="AZ89" s="12"/>
      <c r="BA89" s="12"/>
      <c r="BE89" s="12"/>
      <c r="BF89" s="12"/>
      <c r="BG89" s="12"/>
      <c r="BH89" s="12"/>
      <c r="BM89" s="12"/>
      <c r="BN89" s="12"/>
      <c r="BO89" s="12"/>
      <c r="BP89" s="12"/>
      <c r="BS89">
        <v>2.5</v>
      </c>
      <c r="BT89" s="12"/>
      <c r="BU89" s="12">
        <v>0.5</v>
      </c>
      <c r="BV89" s="12"/>
      <c r="BW89" s="12">
        <v>0.5</v>
      </c>
      <c r="BZ89">
        <v>2.5</v>
      </c>
      <c r="CA89" s="12"/>
      <c r="CB89" s="12">
        <v>0.8</v>
      </c>
      <c r="CC89" s="12"/>
      <c r="CD89" s="12">
        <v>0.8</v>
      </c>
      <c r="CG89">
        <v>2.5</v>
      </c>
      <c r="CH89" s="12"/>
      <c r="CI89" s="12">
        <v>1</v>
      </c>
      <c r="CJ89" s="12"/>
      <c r="CK89" s="12">
        <v>1</v>
      </c>
      <c r="CO89" s="12"/>
      <c r="CP89" s="12">
        <v>1</v>
      </c>
      <c r="CQ89" s="12"/>
      <c r="CR89" s="12">
        <v>1</v>
      </c>
      <c r="CV89" s="12"/>
      <c r="CW89" s="12">
        <v>1</v>
      </c>
      <c r="CX89" s="12"/>
      <c r="CY89" s="12">
        <v>1</v>
      </c>
      <c r="DC89" s="12"/>
      <c r="DD89" s="12">
        <v>1</v>
      </c>
      <c r="DE89" s="12"/>
      <c r="DF89" s="12">
        <v>1</v>
      </c>
      <c r="DJ89" s="12"/>
      <c r="DK89" s="12"/>
      <c r="DL89" s="12"/>
      <c r="DM89" s="12"/>
    </row>
    <row r="90" spans="2:118" outlineLevel="1">
      <c r="B90" t="s">
        <v>28</v>
      </c>
      <c r="C90" t="s">
        <v>105</v>
      </c>
      <c r="E90" s="11"/>
      <c r="F90" t="s">
        <v>115</v>
      </c>
      <c r="G90" s="12">
        <v>7.6999999999999999E-2</v>
      </c>
      <c r="I90" s="11">
        <f t="shared" si="10"/>
        <v>7.5</v>
      </c>
      <c r="J90" s="13">
        <f t="shared" si="11"/>
        <v>0</v>
      </c>
      <c r="K90" s="13">
        <f t="shared" si="11"/>
        <v>0</v>
      </c>
      <c r="L90" s="11"/>
      <c r="O90" s="12"/>
      <c r="P90" s="12"/>
      <c r="Q90" s="12"/>
      <c r="R90" s="12"/>
      <c r="V90" s="12"/>
      <c r="W90" s="12"/>
      <c r="X90" s="12"/>
      <c r="Y90" s="12"/>
      <c r="AC90" s="12"/>
      <c r="AD90" s="12"/>
      <c r="AE90" s="12"/>
      <c r="AF90" s="12"/>
      <c r="AJ90" s="12"/>
      <c r="AK90" s="12"/>
      <c r="AL90" s="12"/>
      <c r="AM90" s="12"/>
      <c r="AQ90" s="12"/>
      <c r="AR90" s="12"/>
      <c r="AS90" s="12"/>
      <c r="AT90" s="12"/>
      <c r="AX90" s="12"/>
      <c r="AY90" s="12"/>
      <c r="AZ90" s="12"/>
      <c r="BA90" s="12"/>
      <c r="BE90" s="12"/>
      <c r="BF90" s="12"/>
      <c r="BG90" s="12"/>
      <c r="BH90" s="12"/>
      <c r="BM90" s="12"/>
      <c r="BN90" s="12"/>
      <c r="BO90" s="12"/>
      <c r="BP90" s="12"/>
      <c r="BT90" s="12"/>
      <c r="BU90" s="12"/>
      <c r="BV90" s="12"/>
      <c r="BW90" s="12"/>
      <c r="BZ90">
        <v>2.5</v>
      </c>
      <c r="CA90" s="12"/>
      <c r="CB90" s="12">
        <v>0.5</v>
      </c>
      <c r="CC90" s="12"/>
      <c r="CD90" s="12">
        <v>0.5</v>
      </c>
      <c r="CG90">
        <v>2.5</v>
      </c>
      <c r="CH90" s="12"/>
      <c r="CI90" s="12">
        <v>0.8</v>
      </c>
      <c r="CJ90" s="12"/>
      <c r="CK90" s="12">
        <v>0.8</v>
      </c>
      <c r="CN90">
        <v>2.5</v>
      </c>
      <c r="CO90" s="12"/>
      <c r="CP90" s="12">
        <v>1</v>
      </c>
      <c r="CQ90" s="12"/>
      <c r="CR90" s="12">
        <v>1</v>
      </c>
      <c r="CV90" s="12"/>
      <c r="CW90" s="12">
        <v>1</v>
      </c>
      <c r="CX90" s="12"/>
      <c r="CY90" s="12">
        <v>1</v>
      </c>
      <c r="DC90" s="12"/>
      <c r="DD90" s="12">
        <v>1</v>
      </c>
      <c r="DE90" s="12"/>
      <c r="DF90" s="12">
        <v>1</v>
      </c>
      <c r="DJ90" s="12"/>
      <c r="DK90" s="12"/>
      <c r="DL90" s="12"/>
      <c r="DM90" s="12"/>
    </row>
    <row r="91" spans="2:118" outlineLevel="1">
      <c r="B91" t="s">
        <v>28</v>
      </c>
      <c r="C91" t="s">
        <v>105</v>
      </c>
      <c r="E91" s="11"/>
      <c r="F91" t="s">
        <v>116</v>
      </c>
      <c r="G91" s="12">
        <v>7.6999999999999999E-2</v>
      </c>
      <c r="I91" s="11">
        <f t="shared" si="10"/>
        <v>7.5</v>
      </c>
      <c r="J91" s="13">
        <f t="shared" si="11"/>
        <v>0</v>
      </c>
      <c r="K91" s="13">
        <f t="shared" si="11"/>
        <v>0</v>
      </c>
      <c r="L91" s="11"/>
      <c r="O91" s="12"/>
      <c r="P91" s="12"/>
      <c r="Q91" s="12"/>
      <c r="R91" s="12"/>
      <c r="V91" s="12"/>
      <c r="W91" s="12"/>
      <c r="X91" s="12"/>
      <c r="Y91" s="12"/>
      <c r="AC91" s="12"/>
      <c r="AD91" s="12"/>
      <c r="AE91" s="12"/>
      <c r="AF91" s="12"/>
      <c r="AJ91" s="12"/>
      <c r="AK91" s="12"/>
      <c r="AL91" s="12"/>
      <c r="AM91" s="12"/>
      <c r="AQ91" s="12"/>
      <c r="AR91" s="12"/>
      <c r="AS91" s="12"/>
      <c r="AT91" s="12"/>
      <c r="AX91" s="12"/>
      <c r="AY91" s="12"/>
      <c r="AZ91" s="12"/>
      <c r="BA91" s="12"/>
      <c r="BE91" s="12"/>
      <c r="BF91" s="12"/>
      <c r="BG91" s="12"/>
      <c r="BH91" s="12"/>
      <c r="BM91" s="12"/>
      <c r="BN91" s="12"/>
      <c r="BO91" s="12"/>
      <c r="BP91" s="12"/>
      <c r="BT91" s="12"/>
      <c r="BU91" s="12"/>
      <c r="BV91" s="12"/>
      <c r="BW91" s="12"/>
      <c r="CA91" s="12"/>
      <c r="CB91" s="12"/>
      <c r="CC91" s="12"/>
      <c r="CD91" s="12"/>
      <c r="CG91">
        <v>2.5</v>
      </c>
      <c r="CH91" s="12"/>
      <c r="CI91" s="12">
        <v>0.5</v>
      </c>
      <c r="CJ91" s="12"/>
      <c r="CK91" s="12">
        <v>0.5</v>
      </c>
      <c r="CN91">
        <v>2.5</v>
      </c>
      <c r="CO91" s="12"/>
      <c r="CP91" s="12">
        <v>0.8</v>
      </c>
      <c r="CQ91" s="12"/>
      <c r="CR91" s="12">
        <v>0.8</v>
      </c>
      <c r="CU91">
        <v>2.5</v>
      </c>
      <c r="CV91" s="12"/>
      <c r="CW91" s="12">
        <v>1</v>
      </c>
      <c r="CX91" s="12"/>
      <c r="CY91" s="12">
        <v>1</v>
      </c>
      <c r="DC91" s="12"/>
      <c r="DD91" s="12">
        <v>1</v>
      </c>
      <c r="DE91" s="12"/>
      <c r="DF91" s="12">
        <v>1</v>
      </c>
      <c r="DJ91" s="12"/>
      <c r="DK91" s="12"/>
      <c r="DL91" s="12"/>
      <c r="DM91" s="12"/>
    </row>
    <row r="92" spans="2:118" outlineLevel="1">
      <c r="B92" t="s">
        <v>28</v>
      </c>
      <c r="C92" t="s">
        <v>105</v>
      </c>
      <c r="E92" s="11"/>
      <c r="F92" t="s">
        <v>117</v>
      </c>
      <c r="G92" s="12">
        <v>7.6999999999999999E-2</v>
      </c>
      <c r="I92" s="11">
        <f t="shared" si="10"/>
        <v>7.5</v>
      </c>
      <c r="J92" s="13">
        <f t="shared" si="11"/>
        <v>0</v>
      </c>
      <c r="K92" s="13">
        <f t="shared" si="11"/>
        <v>0</v>
      </c>
      <c r="L92" s="11"/>
      <c r="O92" s="12"/>
      <c r="P92" s="12"/>
      <c r="Q92" s="12"/>
      <c r="R92" s="12"/>
      <c r="V92" s="12"/>
      <c r="W92" s="12"/>
      <c r="X92" s="12"/>
      <c r="Y92" s="12"/>
      <c r="AC92" s="12"/>
      <c r="AD92" s="12"/>
      <c r="AE92" s="12"/>
      <c r="AF92" s="12"/>
      <c r="AJ92" s="12"/>
      <c r="AK92" s="12"/>
      <c r="AL92" s="12"/>
      <c r="AM92" s="12"/>
      <c r="AQ92" s="12"/>
      <c r="AR92" s="12"/>
      <c r="AS92" s="12"/>
      <c r="AT92" s="12"/>
      <c r="AX92" s="12"/>
      <c r="AY92" s="12"/>
      <c r="AZ92" s="12"/>
      <c r="BA92" s="12"/>
      <c r="BE92" s="12"/>
      <c r="BF92" s="12"/>
      <c r="BG92" s="12"/>
      <c r="BH92" s="12"/>
      <c r="BM92" s="12"/>
      <c r="BN92" s="12"/>
      <c r="BO92" s="12"/>
      <c r="BP92" s="12"/>
      <c r="BT92" s="12"/>
      <c r="BU92" s="12"/>
      <c r="BV92" s="12"/>
      <c r="BW92" s="12"/>
      <c r="CA92" s="12"/>
      <c r="CB92" s="12"/>
      <c r="CC92" s="12"/>
      <c r="CD92" s="12"/>
      <c r="CH92" s="12"/>
      <c r="CI92" s="12"/>
      <c r="CJ92" s="12"/>
      <c r="CK92" s="12"/>
      <c r="CN92">
        <v>2.5</v>
      </c>
      <c r="CO92" s="12"/>
      <c r="CP92" s="12">
        <v>0.5</v>
      </c>
      <c r="CQ92" s="12"/>
      <c r="CR92" s="12">
        <v>0.5</v>
      </c>
      <c r="CU92">
        <v>2.5</v>
      </c>
      <c r="CV92" s="12"/>
      <c r="CW92" s="12">
        <v>0.8</v>
      </c>
      <c r="CX92" s="12"/>
      <c r="CY92" s="12">
        <v>0.8</v>
      </c>
      <c r="DB92">
        <v>2.5</v>
      </c>
      <c r="DC92" s="12"/>
      <c r="DD92" s="12">
        <v>1</v>
      </c>
      <c r="DE92" s="12"/>
      <c r="DF92" s="12">
        <v>1</v>
      </c>
      <c r="DJ92" s="12"/>
      <c r="DK92" s="12"/>
      <c r="DL92" s="12"/>
      <c r="DM92" s="12"/>
    </row>
    <row r="93" spans="2:118" outlineLevel="1">
      <c r="B93" t="s">
        <v>28</v>
      </c>
      <c r="C93" t="s">
        <v>105</v>
      </c>
      <c r="E93" s="11"/>
      <c r="F93" t="s">
        <v>118</v>
      </c>
      <c r="G93" s="12">
        <v>7.6999999999999999E-2</v>
      </c>
      <c r="I93" s="11">
        <f t="shared" si="10"/>
        <v>7.5</v>
      </c>
      <c r="J93" s="13">
        <f t="shared" si="11"/>
        <v>0</v>
      </c>
      <c r="K93" s="13">
        <f t="shared" si="11"/>
        <v>0</v>
      </c>
      <c r="L93" s="11"/>
      <c r="O93" s="12"/>
      <c r="P93" s="12"/>
      <c r="Q93" s="12"/>
      <c r="R93" s="12"/>
      <c r="V93" s="12"/>
      <c r="W93" s="12"/>
      <c r="X93" s="12"/>
      <c r="Y93" s="12"/>
      <c r="AC93" s="12"/>
      <c r="AD93" s="12"/>
      <c r="AE93" s="12"/>
      <c r="AF93" s="12"/>
      <c r="AJ93" s="12"/>
      <c r="AK93" s="12"/>
      <c r="AL93" s="12"/>
      <c r="AM93" s="12"/>
      <c r="AQ93" s="12"/>
      <c r="AR93" s="12"/>
      <c r="AS93" s="12"/>
      <c r="AT93" s="12"/>
      <c r="AX93" s="12"/>
      <c r="AY93" s="12"/>
      <c r="AZ93" s="12"/>
      <c r="BA93" s="12"/>
      <c r="BE93" s="12"/>
      <c r="BF93" s="12"/>
      <c r="BG93" s="12"/>
      <c r="BH93" s="12"/>
      <c r="BM93" s="12"/>
      <c r="BN93" s="12"/>
      <c r="BO93" s="12"/>
      <c r="BP93" s="12"/>
      <c r="BT93" s="12"/>
      <c r="BU93" s="12"/>
      <c r="BV93" s="12"/>
      <c r="BW93" s="12"/>
      <c r="CA93" s="12"/>
      <c r="CB93" s="12"/>
      <c r="CC93" s="12"/>
      <c r="CD93" s="12"/>
      <c r="CH93" s="12"/>
      <c r="CI93" s="12"/>
      <c r="CJ93" s="12"/>
      <c r="CK93" s="12"/>
      <c r="CO93" s="12"/>
      <c r="CP93" s="12"/>
      <c r="CQ93" s="12"/>
      <c r="CR93" s="12"/>
      <c r="CU93">
        <v>2.5</v>
      </c>
      <c r="CV93" s="12"/>
      <c r="CW93" s="12">
        <v>0.5</v>
      </c>
      <c r="CX93" s="12"/>
      <c r="CY93" s="12">
        <v>0.5</v>
      </c>
      <c r="DB93">
        <v>5</v>
      </c>
      <c r="DC93" s="12"/>
      <c r="DD93" s="12">
        <v>1</v>
      </c>
      <c r="DE93" s="12"/>
      <c r="DF93" s="12">
        <v>1</v>
      </c>
      <c r="DJ93" s="12"/>
      <c r="DK93" s="12"/>
      <c r="DL93" s="12"/>
      <c r="DM93" s="12"/>
    </row>
  </sheetData>
  <mergeCells count="16">
    <mergeCell ref="CU2:CZ2"/>
    <mergeCell ref="DB2:DG2"/>
    <mergeCell ref="DI2:DN2"/>
    <mergeCell ref="BL2:BQ2"/>
    <mergeCell ref="BS2:BX2"/>
    <mergeCell ref="BZ2:CE2"/>
    <mergeCell ref="CG2:CL2"/>
    <mergeCell ref="CN2:CS2"/>
    <mergeCell ref="I2:L2"/>
    <mergeCell ref="N2:S2"/>
    <mergeCell ref="BD2:BI2"/>
    <mergeCell ref="U2:Z2"/>
    <mergeCell ref="AB2:AG2"/>
    <mergeCell ref="AI2:AN2"/>
    <mergeCell ref="AP2:AU2"/>
    <mergeCell ref="AW2:BB2"/>
  </mergeCells>
  <conditionalFormatting sqref="J5:K16">
    <cfRule type="colorScale" priority="2554">
      <colorScale>
        <cfvo type="percent" val="0"/>
        <cfvo type="percent" val="100"/>
        <color rgb="FFFF231B"/>
        <color rgb="FF10FF07"/>
      </colorScale>
    </cfRule>
  </conditionalFormatting>
  <conditionalFormatting sqref="O20:O24 Q20:Q24 O5:O16 AJ36:AJ42 AL36:AL42 AX36:AX42 AZ36:AZ42 Q36:Q42 O36:O42 BG36:BG42 X36:X42 V36:V42 AE36:AE42 AC36:AC42 AS36:AS42 AQ36:AQ42 BE36:BE42 O48:O57 Q48:Q57 AQ48:AQ57 AS48:AS57 BE48:BE57 BG48:BG57 V48:V57 X48:X57 AC48:AC57 AE48:AE57 AJ48:AJ57 AL48:AL57 AX48:AX57 AZ48:AZ57 BE44 AQ44 AS44 AC44 AE44 V44 X44 BG44 O44 Q44 AZ44 AX44 AL44 AJ44">
    <cfRule type="expression" dxfId="844" priority="2552">
      <formula>OR(IF(O5&lt;P5,TRUE),IF(AND(P5="",O5&lt;&gt;""),TRUE))</formula>
    </cfRule>
    <cfRule type="expression" dxfId="843" priority="2553">
      <formula>IF(O5&gt;=P5,IF(O5="",FALSE,TRUE))</formula>
    </cfRule>
  </conditionalFormatting>
  <conditionalFormatting sqref="Q5:Q16">
    <cfRule type="expression" dxfId="842" priority="2550">
      <formula>OR(IF(Q5&lt;R5,TRUE),IF(AND(R5="",Q5&lt;&gt;""),TRUE))</formula>
    </cfRule>
    <cfRule type="expression" dxfId="841" priority="2551">
      <formula>IF(Q5&gt;=R5,IF(Q5="",FALSE,TRUE))</formula>
    </cfRule>
  </conditionalFormatting>
  <conditionalFormatting sqref="AQ20:AQ24 AS20:AS24 AQ5:AQ16">
    <cfRule type="expression" dxfId="840" priority="2419">
      <formula>OR(IF(AQ5&lt;AR5,TRUE),IF(AND(AR5="",AQ5&lt;&gt;""),TRUE))</formula>
    </cfRule>
    <cfRule type="expression" dxfId="839" priority="2420">
      <formula>IF(AQ5&gt;=AR5,IF(AQ5="",FALSE,TRUE))</formula>
    </cfRule>
  </conditionalFormatting>
  <conditionalFormatting sqref="AS5:AS16">
    <cfRule type="expression" dxfId="838" priority="2417">
      <formula>OR(IF(AS5&lt;AT5,TRUE),IF(AND(AT5="",AS5&lt;&gt;""),TRUE))</formula>
    </cfRule>
    <cfRule type="expression" dxfId="837" priority="2418">
      <formula>IF(AS5&gt;=AT5,IF(AS5="",FALSE,TRUE))</formula>
    </cfRule>
  </conditionalFormatting>
  <conditionalFormatting sqref="J20:K25">
    <cfRule type="colorScale" priority="2555">
      <colorScale>
        <cfvo type="percent" val="0"/>
        <cfvo type="percent" val="100"/>
        <color rgb="FFFF231B"/>
        <color rgb="FF10FF07"/>
      </colorScale>
    </cfRule>
  </conditionalFormatting>
  <conditionalFormatting sqref="O34:O35">
    <cfRule type="expression" dxfId="836" priority="2493">
      <formula>OR(IF(O34&lt;P34,TRUE),IF(AND(P34="",O34&lt;&gt;""),TRUE))</formula>
    </cfRule>
    <cfRule type="expression" dxfId="835" priority="2494">
      <formula>IF(O34&gt;=P34,IF(O34="",FALSE,TRUE))</formula>
    </cfRule>
  </conditionalFormatting>
  <conditionalFormatting sqref="Q34:Q35">
    <cfRule type="expression" dxfId="834" priority="2491">
      <formula>OR(IF(Q34&lt;R34,TRUE),IF(AND(R34="",Q34&lt;&gt;""),TRUE))</formula>
    </cfRule>
    <cfRule type="expression" dxfId="833" priority="2492">
      <formula>IF(Q34&gt;=R34,IF(Q34="",FALSE,TRUE))</formula>
    </cfRule>
  </conditionalFormatting>
  <conditionalFormatting sqref="AZ25">
    <cfRule type="expression" dxfId="832" priority="2393">
      <formula>OR(IF(AZ25&lt;BA25,TRUE),IF(AND(BA25="",AZ25&lt;&gt;""),TRUE))</formula>
    </cfRule>
    <cfRule type="expression" dxfId="831" priority="2394">
      <formula>IF(AZ25&gt;=BA25,IF(AZ25="",FALSE,TRUE))</formula>
    </cfRule>
  </conditionalFormatting>
  <conditionalFormatting sqref="BE20:BE24 BG20:BG24 BE5:BE16">
    <cfRule type="expression" dxfId="830" priority="2387">
      <formula>OR(IF(BE5&lt;BF5,TRUE),IF(AND(BF5="",BE5&lt;&gt;""),TRUE))</formula>
    </cfRule>
    <cfRule type="expression" dxfId="829" priority="2388">
      <formula>IF(BE5&gt;=BF5,IF(BE5="",FALSE,TRUE))</formula>
    </cfRule>
  </conditionalFormatting>
  <conditionalFormatting sqref="BG5:BG16">
    <cfRule type="expression" dxfId="828" priority="2385">
      <formula>OR(IF(BG5&lt;BH5,TRUE),IF(AND(BH5="",BG5&lt;&gt;""),TRUE))</formula>
    </cfRule>
    <cfRule type="expression" dxfId="827" priority="2386">
      <formula>IF(BG5&gt;=BH5,IF(BG5="",FALSE,TRUE))</formula>
    </cfRule>
  </conditionalFormatting>
  <conditionalFormatting sqref="BE34:BE35">
    <cfRule type="expression" dxfId="826" priority="2383">
      <formula>OR(IF(BE34&lt;BF34,TRUE),IF(AND(BF34="",BE34&lt;&gt;""),TRUE))</formula>
    </cfRule>
    <cfRule type="expression" dxfId="825" priority="2384">
      <formula>IF(BE34&gt;=BF34,IF(BE34="",FALSE,TRUE))</formula>
    </cfRule>
  </conditionalFormatting>
  <conditionalFormatting sqref="O25">
    <cfRule type="expression" dxfId="824" priority="2475">
      <formula>OR(IF(O25&lt;P25,TRUE),IF(AND(P25="",O25&lt;&gt;""),TRUE))</formula>
    </cfRule>
    <cfRule type="expression" dxfId="823" priority="2476">
      <formula>IF(O25&gt;=P25,IF(O25="",FALSE,TRUE))</formula>
    </cfRule>
  </conditionalFormatting>
  <conditionalFormatting sqref="Q25">
    <cfRule type="expression" dxfId="822" priority="2473">
      <formula>OR(IF(Q25&lt;R25,TRUE),IF(AND(R25="",Q25&lt;&gt;""),TRUE))</formula>
    </cfRule>
    <cfRule type="expression" dxfId="821" priority="2474">
      <formula>IF(Q25&gt;=R25,IF(Q25="",FALSE,TRUE))</formula>
    </cfRule>
  </conditionalFormatting>
  <conditionalFormatting sqref="V20:V24 X20:X24 V5:V16">
    <cfRule type="expression" dxfId="820" priority="2467">
      <formula>OR(IF(V5&lt;W5,TRUE),IF(AND(W5="",V5&lt;&gt;""),TRUE))</formula>
    </cfRule>
    <cfRule type="expression" dxfId="819" priority="2468">
      <formula>IF(V5&gt;=W5,IF(V5="",FALSE,TRUE))</formula>
    </cfRule>
  </conditionalFormatting>
  <conditionalFormatting sqref="X5:X16">
    <cfRule type="expression" dxfId="818" priority="2465">
      <formula>OR(IF(X5&lt;Y5,TRUE),IF(AND(Y5="",X5&lt;&gt;""),TRUE))</formula>
    </cfRule>
    <cfRule type="expression" dxfId="817" priority="2466">
      <formula>IF(X5&gt;=Y5,IF(X5="",FALSE,TRUE))</formula>
    </cfRule>
  </conditionalFormatting>
  <conditionalFormatting sqref="V34:V35">
    <cfRule type="expression" dxfId="816" priority="2463">
      <formula>OR(IF(V34&lt;W34,TRUE),IF(AND(W34="",V34&lt;&gt;""),TRUE))</formula>
    </cfRule>
    <cfRule type="expression" dxfId="815" priority="2464">
      <formula>IF(V34&gt;=W34,IF(V34="",FALSE,TRUE))</formula>
    </cfRule>
  </conditionalFormatting>
  <conditionalFormatting sqref="X34:X35">
    <cfRule type="expression" dxfId="814" priority="2461">
      <formula>OR(IF(X34&lt;Y34,TRUE),IF(AND(Y34="",X34&lt;&gt;""),TRUE))</formula>
    </cfRule>
    <cfRule type="expression" dxfId="813" priority="2462">
      <formula>IF(X34&gt;=Y34,IF(X34="",FALSE,TRUE))</formula>
    </cfRule>
  </conditionalFormatting>
  <conditionalFormatting sqref="V25">
    <cfRule type="expression" dxfId="812" priority="2459">
      <formula>OR(IF(V25&lt;W25,TRUE),IF(AND(W25="",V25&lt;&gt;""),TRUE))</formula>
    </cfRule>
    <cfRule type="expression" dxfId="811" priority="2460">
      <formula>IF(V25&gt;=W25,IF(V25="",FALSE,TRUE))</formula>
    </cfRule>
  </conditionalFormatting>
  <conditionalFormatting sqref="X25">
    <cfRule type="expression" dxfId="810" priority="2457">
      <formula>OR(IF(X25&lt;Y25,TRUE),IF(AND(Y25="",X25&lt;&gt;""),TRUE))</formula>
    </cfRule>
    <cfRule type="expression" dxfId="809" priority="2458">
      <formula>IF(X25&gt;=Y25,IF(X25="",FALSE,TRUE))</formula>
    </cfRule>
  </conditionalFormatting>
  <conditionalFormatting sqref="AC20:AC24 AE20:AE24 AC5:AC16">
    <cfRule type="expression" dxfId="808" priority="2451">
      <formula>OR(IF(AC5&lt;AD5,TRUE),IF(AND(AD5="",AC5&lt;&gt;""),TRUE))</formula>
    </cfRule>
    <cfRule type="expression" dxfId="807" priority="2452">
      <formula>IF(AC5&gt;=AD5,IF(AC5="",FALSE,TRUE))</formula>
    </cfRule>
  </conditionalFormatting>
  <conditionalFormatting sqref="AE5:AE16">
    <cfRule type="expression" dxfId="806" priority="2449">
      <formula>OR(IF(AE5&lt;AF5,TRUE),IF(AND(AF5="",AE5&lt;&gt;""),TRUE))</formula>
    </cfRule>
    <cfRule type="expression" dxfId="805" priority="2450">
      <formula>IF(AE5&gt;=AF5,IF(AE5="",FALSE,TRUE))</formula>
    </cfRule>
  </conditionalFormatting>
  <conditionalFormatting sqref="AC34:AC35">
    <cfRule type="expression" dxfId="804" priority="2447">
      <formula>OR(IF(AC34&lt;AD34,TRUE),IF(AND(AD34="",AC34&lt;&gt;""),TRUE))</formula>
    </cfRule>
    <cfRule type="expression" dxfId="803" priority="2448">
      <formula>IF(AC34&gt;=AD34,IF(AC34="",FALSE,TRUE))</formula>
    </cfRule>
  </conditionalFormatting>
  <conditionalFormatting sqref="AE34:AE35">
    <cfRule type="expression" dxfId="802" priority="2445">
      <formula>OR(IF(AE34&lt;AF34,TRUE),IF(AND(AF34="",AE34&lt;&gt;""),TRUE))</formula>
    </cfRule>
    <cfRule type="expression" dxfId="801" priority="2446">
      <formula>IF(AE34&gt;=AF34,IF(AE34="",FALSE,TRUE))</formula>
    </cfRule>
  </conditionalFormatting>
  <conditionalFormatting sqref="AC25">
    <cfRule type="expression" dxfId="800" priority="2443">
      <formula>OR(IF(AC25&lt;AD25,TRUE),IF(AND(AD25="",AC25&lt;&gt;""),TRUE))</formula>
    </cfRule>
    <cfRule type="expression" dxfId="799" priority="2444">
      <formula>IF(AC25&gt;=AD25,IF(AC25="",FALSE,TRUE))</formula>
    </cfRule>
  </conditionalFormatting>
  <conditionalFormatting sqref="AE25">
    <cfRule type="expression" dxfId="798" priority="2441">
      <formula>OR(IF(AE25&lt;AF25,TRUE),IF(AND(AF25="",AE25&lt;&gt;""),TRUE))</formula>
    </cfRule>
    <cfRule type="expression" dxfId="797" priority="2442">
      <formula>IF(AE25&gt;=AF25,IF(AE25="",FALSE,TRUE))</formula>
    </cfRule>
  </conditionalFormatting>
  <conditionalFormatting sqref="AJ20:AJ24 AL20:AL24 AJ5:AJ16">
    <cfRule type="expression" dxfId="796" priority="2435">
      <formula>OR(IF(AJ5&lt;AK5,TRUE),IF(AND(AK5="",AJ5&lt;&gt;""),TRUE))</formula>
    </cfRule>
    <cfRule type="expression" dxfId="795" priority="2436">
      <formula>IF(AJ5&gt;=AK5,IF(AJ5="",FALSE,TRUE))</formula>
    </cfRule>
  </conditionalFormatting>
  <conditionalFormatting sqref="AL5:AL16">
    <cfRule type="expression" dxfId="794" priority="2433">
      <formula>OR(IF(AL5&lt;AM5,TRUE),IF(AND(AM5="",AL5&lt;&gt;""),TRUE))</formula>
    </cfRule>
    <cfRule type="expression" dxfId="793" priority="2434">
      <formula>IF(AL5&gt;=AM5,IF(AL5="",FALSE,TRUE))</formula>
    </cfRule>
  </conditionalFormatting>
  <conditionalFormatting sqref="AJ34:AJ35">
    <cfRule type="expression" dxfId="792" priority="2431">
      <formula>OR(IF(AJ34&lt;AK34,TRUE),IF(AND(AK34="",AJ34&lt;&gt;""),TRUE))</formula>
    </cfRule>
    <cfRule type="expression" dxfId="791" priority="2432">
      <formula>IF(AJ34&gt;=AK34,IF(AJ34="",FALSE,TRUE))</formula>
    </cfRule>
  </conditionalFormatting>
  <conditionalFormatting sqref="AL34:AL35">
    <cfRule type="expression" dxfId="790" priority="2429">
      <formula>OR(IF(AL34&lt;AM34,TRUE),IF(AND(AM34="",AL34&lt;&gt;""),TRUE))</formula>
    </cfRule>
    <cfRule type="expression" dxfId="789" priority="2430">
      <formula>IF(AL34&gt;=AM34,IF(AL34="",FALSE,TRUE))</formula>
    </cfRule>
  </conditionalFormatting>
  <conditionalFormatting sqref="AJ25">
    <cfRule type="expression" dxfId="788" priority="2427">
      <formula>OR(IF(AJ25&lt;AK25,TRUE),IF(AND(AK25="",AJ25&lt;&gt;""),TRUE))</formula>
    </cfRule>
    <cfRule type="expression" dxfId="787" priority="2428">
      <formula>IF(AJ25&gt;=AK25,IF(AJ25="",FALSE,TRUE))</formula>
    </cfRule>
  </conditionalFormatting>
  <conditionalFormatting sqref="AL25">
    <cfRule type="expression" dxfId="786" priority="2425">
      <formula>OR(IF(AL25&lt;AM25,TRUE),IF(AND(AM25="",AL25&lt;&gt;""),TRUE))</formula>
    </cfRule>
    <cfRule type="expression" dxfId="785" priority="2426">
      <formula>IF(AL25&gt;=AM25,IF(AL25="",FALSE,TRUE))</formula>
    </cfRule>
  </conditionalFormatting>
  <conditionalFormatting sqref="AQ34:AQ35">
    <cfRule type="expression" dxfId="784" priority="2415">
      <formula>OR(IF(AQ34&lt;AR34,TRUE),IF(AND(AR34="",AQ34&lt;&gt;""),TRUE))</formula>
    </cfRule>
    <cfRule type="expression" dxfId="783" priority="2416">
      <formula>IF(AQ34&gt;=AR34,IF(AQ34="",FALSE,TRUE))</formula>
    </cfRule>
  </conditionalFormatting>
  <conditionalFormatting sqref="AS34:AS35">
    <cfRule type="expression" dxfId="782" priority="2413">
      <formula>OR(IF(AS34&lt;AT34,TRUE),IF(AND(AT34="",AS34&lt;&gt;""),TRUE))</formula>
    </cfRule>
    <cfRule type="expression" dxfId="781" priority="2414">
      <formula>IF(AS34&gt;=AT34,IF(AS34="",FALSE,TRUE))</formula>
    </cfRule>
  </conditionalFormatting>
  <conditionalFormatting sqref="AQ25">
    <cfRule type="expression" dxfId="780" priority="2411">
      <formula>OR(IF(AQ25&lt;AR25,TRUE),IF(AND(AR25="",AQ25&lt;&gt;""),TRUE))</formula>
    </cfRule>
    <cfRule type="expression" dxfId="779" priority="2412">
      <formula>IF(AQ25&gt;=AR25,IF(AQ25="",FALSE,TRUE))</formula>
    </cfRule>
  </conditionalFormatting>
  <conditionalFormatting sqref="AS25">
    <cfRule type="expression" dxfId="778" priority="2409">
      <formula>OR(IF(AS25&lt;AT25,TRUE),IF(AND(AT25="",AS25&lt;&gt;""),TRUE))</formula>
    </cfRule>
    <cfRule type="expression" dxfId="777" priority="2410">
      <formula>IF(AS25&gt;=AT25,IF(AS25="",FALSE,TRUE))</formula>
    </cfRule>
  </conditionalFormatting>
  <conditionalFormatting sqref="AX20:AX24 AZ20:AZ24 AX5:AX16">
    <cfRule type="expression" dxfId="776" priority="2403">
      <formula>OR(IF(AX5&lt;AY5,TRUE),IF(AND(AY5="",AX5&lt;&gt;""),TRUE))</formula>
    </cfRule>
    <cfRule type="expression" dxfId="775" priority="2404">
      <formula>IF(AX5&gt;=AY5,IF(AX5="",FALSE,TRUE))</formula>
    </cfRule>
  </conditionalFormatting>
  <conditionalFormatting sqref="AZ5:AZ16">
    <cfRule type="expression" dxfId="774" priority="2401">
      <formula>OR(IF(AZ5&lt;BA5,TRUE),IF(AND(BA5="",AZ5&lt;&gt;""),TRUE))</formula>
    </cfRule>
    <cfRule type="expression" dxfId="773" priority="2402">
      <formula>IF(AZ5&gt;=BA5,IF(AZ5="",FALSE,TRUE))</formula>
    </cfRule>
  </conditionalFormatting>
  <conditionalFormatting sqref="AX34:AX35">
    <cfRule type="expression" dxfId="772" priority="2399">
      <formula>OR(IF(AX34&lt;AY34,TRUE),IF(AND(AY34="",AX34&lt;&gt;""),TRUE))</formula>
    </cfRule>
    <cfRule type="expression" dxfId="771" priority="2400">
      <formula>IF(AX34&gt;=AY34,IF(AX34="",FALSE,TRUE))</formula>
    </cfRule>
  </conditionalFormatting>
  <conditionalFormatting sqref="AZ34:AZ35">
    <cfRule type="expression" dxfId="770" priority="2397">
      <formula>OR(IF(AZ34&lt;BA34,TRUE),IF(AND(BA34="",AZ34&lt;&gt;""),TRUE))</formula>
    </cfRule>
    <cfRule type="expression" dxfId="769" priority="2398">
      <formula>IF(AZ34&gt;=BA34,IF(AZ34="",FALSE,TRUE))</formula>
    </cfRule>
  </conditionalFormatting>
  <conditionalFormatting sqref="AX25">
    <cfRule type="expression" dxfId="768" priority="2395">
      <formula>OR(IF(AX25&lt;AY25,TRUE),IF(AND(AY25="",AX25&lt;&gt;""),TRUE))</formula>
    </cfRule>
    <cfRule type="expression" dxfId="767" priority="2396">
      <formula>IF(AX25&gt;=AY25,IF(AX25="",FALSE,TRUE))</formula>
    </cfRule>
  </conditionalFormatting>
  <conditionalFormatting sqref="BG34:BG35">
    <cfRule type="expression" dxfId="766" priority="2381">
      <formula>OR(IF(BG34&lt;BH34,TRUE),IF(AND(BH34="",BG34&lt;&gt;""),TRUE))</formula>
    </cfRule>
    <cfRule type="expression" dxfId="765" priority="2382">
      <formula>IF(BG34&gt;=BH34,IF(BG34="",FALSE,TRUE))</formula>
    </cfRule>
  </conditionalFormatting>
  <conditionalFormatting sqref="BE25">
    <cfRule type="expression" dxfId="764" priority="2379">
      <formula>OR(IF(BE25&lt;BF25,TRUE),IF(AND(BF25="",BE25&lt;&gt;""),TRUE))</formula>
    </cfRule>
    <cfRule type="expression" dxfId="763" priority="2380">
      <formula>IF(BE25&gt;=BF25,IF(BE25="",FALSE,TRUE))</formula>
    </cfRule>
  </conditionalFormatting>
  <conditionalFormatting sqref="BG25">
    <cfRule type="expression" dxfId="762" priority="2377">
      <formula>OR(IF(BG25&lt;BH25,TRUE),IF(AND(BH25="",BG25&lt;&gt;""),TRUE))</formula>
    </cfRule>
    <cfRule type="expression" dxfId="761" priority="2378">
      <formula>IF(BG25&gt;=BH25,IF(BG25="",FALSE,TRUE))</formula>
    </cfRule>
  </conditionalFormatting>
  <conditionalFormatting sqref="J66:K77">
    <cfRule type="colorScale" priority="2343">
      <colorScale>
        <cfvo type="percent" val="0"/>
        <cfvo type="percent" val="100"/>
        <color rgb="FFFF231B"/>
        <color rgb="FF10FF07"/>
      </colorScale>
    </cfRule>
  </conditionalFormatting>
  <conditionalFormatting sqref="O66:O77">
    <cfRule type="expression" dxfId="760" priority="2341">
      <formula>OR(IF(O66&lt;P66,TRUE),IF(AND(P66="",O66&lt;&gt;""),TRUE))</formula>
    </cfRule>
    <cfRule type="expression" dxfId="759" priority="2342">
      <formula>IF(O66&gt;=P66,IF(O66="",FALSE,TRUE))</formula>
    </cfRule>
  </conditionalFormatting>
  <conditionalFormatting sqref="Q66:Q77">
    <cfRule type="expression" dxfId="758" priority="2339">
      <formula>OR(IF(Q66&lt;R66,TRUE),IF(AND(R66="",Q66&lt;&gt;""),TRUE))</formula>
    </cfRule>
    <cfRule type="expression" dxfId="757" priority="2340">
      <formula>IF(Q66&gt;=R66,IF(Q66="",FALSE,TRUE))</formula>
    </cfRule>
  </conditionalFormatting>
  <conditionalFormatting sqref="AQ66:AQ77">
    <cfRule type="expression" dxfId="756" priority="2325">
      <formula>OR(IF(AQ66&lt;AR66,TRUE),IF(AND(AR66="",AQ66&lt;&gt;""),TRUE))</formula>
    </cfRule>
    <cfRule type="expression" dxfId="755" priority="2326">
      <formula>IF(AQ66&gt;=AR66,IF(AQ66="",FALSE,TRUE))</formula>
    </cfRule>
  </conditionalFormatting>
  <conditionalFormatting sqref="AS66:AS77">
    <cfRule type="expression" dxfId="754" priority="2323">
      <formula>OR(IF(AS66&lt;AT66,TRUE),IF(AND(AT66="",AS66&lt;&gt;""),TRUE))</formula>
    </cfRule>
    <cfRule type="expression" dxfId="753" priority="2324">
      <formula>IF(AS66&gt;=AT66,IF(AS66="",FALSE,TRUE))</formula>
    </cfRule>
  </conditionalFormatting>
  <conditionalFormatting sqref="BE66:BE77">
    <cfRule type="expression" dxfId="752" priority="2317">
      <formula>OR(IF(BE66&lt;BF66,TRUE),IF(AND(BF66="",BE66&lt;&gt;""),TRUE))</formula>
    </cfRule>
    <cfRule type="expression" dxfId="751" priority="2318">
      <formula>IF(BE66&gt;=BF66,IF(BE66="",FALSE,TRUE))</formula>
    </cfRule>
  </conditionalFormatting>
  <conditionalFormatting sqref="BG66:BG77">
    <cfRule type="expression" dxfId="750" priority="2315">
      <formula>OR(IF(BG66&lt;BH66,TRUE),IF(AND(BH66="",BG66&lt;&gt;""),TRUE))</formula>
    </cfRule>
    <cfRule type="expression" dxfId="749" priority="2316">
      <formula>IF(BG66&gt;=BH66,IF(BG66="",FALSE,TRUE))</formula>
    </cfRule>
  </conditionalFormatting>
  <conditionalFormatting sqref="V66:V77">
    <cfRule type="expression" dxfId="748" priority="2337">
      <formula>OR(IF(V66&lt;W66,TRUE),IF(AND(W66="",V66&lt;&gt;""),TRUE))</formula>
    </cfRule>
    <cfRule type="expression" dxfId="747" priority="2338">
      <formula>IF(V66&gt;=W66,IF(V66="",FALSE,TRUE))</formula>
    </cfRule>
  </conditionalFormatting>
  <conditionalFormatting sqref="X66:X77">
    <cfRule type="expression" dxfId="746" priority="2335">
      <formula>OR(IF(X66&lt;Y66,TRUE),IF(AND(Y66="",X66&lt;&gt;""),TRUE))</formula>
    </cfRule>
    <cfRule type="expression" dxfId="745" priority="2336">
      <formula>IF(X66&gt;=Y66,IF(X66="",FALSE,TRUE))</formula>
    </cfRule>
  </conditionalFormatting>
  <conditionalFormatting sqref="AC66:AC77">
    <cfRule type="expression" dxfId="744" priority="2333">
      <formula>OR(IF(AC66&lt;AD66,TRUE),IF(AND(AD66="",AC66&lt;&gt;""),TRUE))</formula>
    </cfRule>
    <cfRule type="expression" dxfId="743" priority="2334">
      <formula>IF(AC66&gt;=AD66,IF(AC66="",FALSE,TRUE))</formula>
    </cfRule>
  </conditionalFormatting>
  <conditionalFormatting sqref="AE66:AE77">
    <cfRule type="expression" dxfId="742" priority="2331">
      <formula>OR(IF(AE66&lt;AF66,TRUE),IF(AND(AF66="",AE66&lt;&gt;""),TRUE))</formula>
    </cfRule>
    <cfRule type="expression" dxfId="741" priority="2332">
      <formula>IF(AE66&gt;=AF66,IF(AE66="",FALSE,TRUE))</formula>
    </cfRule>
  </conditionalFormatting>
  <conditionalFormatting sqref="AJ66:AJ77">
    <cfRule type="expression" dxfId="740" priority="2329">
      <formula>OR(IF(AJ66&lt;AK66,TRUE),IF(AND(AK66="",AJ66&lt;&gt;""),TRUE))</formula>
    </cfRule>
    <cfRule type="expression" dxfId="739" priority="2330">
      <formula>IF(AJ66&gt;=AK66,IF(AJ66="",FALSE,TRUE))</formula>
    </cfRule>
  </conditionalFormatting>
  <conditionalFormatting sqref="AL66:AL77">
    <cfRule type="expression" dxfId="738" priority="2327">
      <formula>OR(IF(AL66&lt;AM66,TRUE),IF(AND(AM66="",AL66&lt;&gt;""),TRUE))</formula>
    </cfRule>
    <cfRule type="expression" dxfId="737" priority="2328">
      <formula>IF(AL66&gt;=AM66,IF(AL66="",FALSE,TRUE))</formula>
    </cfRule>
  </conditionalFormatting>
  <conditionalFormatting sqref="AX66:AX77">
    <cfRule type="expression" dxfId="736" priority="2321">
      <formula>OR(IF(AX66&lt;AY66,TRUE),IF(AND(AY66="",AX66&lt;&gt;""),TRUE))</formula>
    </cfRule>
    <cfRule type="expression" dxfId="735" priority="2322">
      <formula>IF(AX66&gt;=AY66,IF(AX66="",FALSE,TRUE))</formula>
    </cfRule>
  </conditionalFormatting>
  <conditionalFormatting sqref="AZ66:AZ77">
    <cfRule type="expression" dxfId="734" priority="2319">
      <formula>OR(IF(AZ66&lt;BA66,TRUE),IF(AND(BA66="",AZ66&lt;&gt;""),TRUE))</formula>
    </cfRule>
    <cfRule type="expression" dxfId="733" priority="2320">
      <formula>IF(AZ66&gt;=BA66,IF(AZ66="",FALSE,TRUE))</formula>
    </cfRule>
  </conditionalFormatting>
  <conditionalFormatting sqref="J81:K92">
    <cfRule type="colorScale" priority="2314">
      <colorScale>
        <cfvo type="percent" val="0"/>
        <cfvo type="percent" val="100"/>
        <color rgb="FFFF231B"/>
        <color rgb="FF10FF07"/>
      </colorScale>
    </cfRule>
  </conditionalFormatting>
  <conditionalFormatting sqref="O81:O92">
    <cfRule type="expression" dxfId="732" priority="2312">
      <formula>OR(IF(O81&lt;P81,TRUE),IF(AND(P81="",O81&lt;&gt;""),TRUE))</formula>
    </cfRule>
    <cfRule type="expression" dxfId="731" priority="2313">
      <formula>IF(O81&gt;=P81,IF(O81="",FALSE,TRUE))</formula>
    </cfRule>
  </conditionalFormatting>
  <conditionalFormatting sqref="Q81:Q92">
    <cfRule type="expression" dxfId="730" priority="2310">
      <formula>OR(IF(Q81&lt;R81,TRUE),IF(AND(R81="",Q81&lt;&gt;""),TRUE))</formula>
    </cfRule>
    <cfRule type="expression" dxfId="729" priority="2311">
      <formula>IF(Q81&gt;=R81,IF(Q81="",FALSE,TRUE))</formula>
    </cfRule>
  </conditionalFormatting>
  <conditionalFormatting sqref="AQ81:AQ92">
    <cfRule type="expression" dxfId="728" priority="2296">
      <formula>OR(IF(AQ81&lt;AR81,TRUE),IF(AND(AR81="",AQ81&lt;&gt;""),TRUE))</formula>
    </cfRule>
    <cfRule type="expression" dxfId="727" priority="2297">
      <formula>IF(AQ81&gt;=AR81,IF(AQ81="",FALSE,TRUE))</formula>
    </cfRule>
  </conditionalFormatting>
  <conditionalFormatting sqref="AS81:AS92">
    <cfRule type="expression" dxfId="726" priority="2294">
      <formula>OR(IF(AS81&lt;AT81,TRUE),IF(AND(AT81="",AS81&lt;&gt;""),TRUE))</formula>
    </cfRule>
    <cfRule type="expression" dxfId="725" priority="2295">
      <formula>IF(AS81&gt;=AT81,IF(AS81="",FALSE,TRUE))</formula>
    </cfRule>
  </conditionalFormatting>
  <conditionalFormatting sqref="BE81:BE92">
    <cfRule type="expression" dxfId="724" priority="2288">
      <formula>OR(IF(BE81&lt;BF81,TRUE),IF(AND(BF81="",BE81&lt;&gt;""),TRUE))</formula>
    </cfRule>
    <cfRule type="expression" dxfId="723" priority="2289">
      <formula>IF(BE81&gt;=BF81,IF(BE81="",FALSE,TRUE))</formula>
    </cfRule>
  </conditionalFormatting>
  <conditionalFormatting sqref="BG81:BG92">
    <cfRule type="expression" dxfId="722" priority="2286">
      <formula>OR(IF(BG81&lt;BH81,TRUE),IF(AND(BH81="",BG81&lt;&gt;""),TRUE))</formula>
    </cfRule>
    <cfRule type="expression" dxfId="721" priority="2287">
      <formula>IF(BG81&gt;=BH81,IF(BG81="",FALSE,TRUE))</formula>
    </cfRule>
  </conditionalFormatting>
  <conditionalFormatting sqref="V81:V92">
    <cfRule type="expression" dxfId="720" priority="2308">
      <formula>OR(IF(V81&lt;W81,TRUE),IF(AND(W81="",V81&lt;&gt;""),TRUE))</formula>
    </cfRule>
    <cfRule type="expression" dxfId="719" priority="2309">
      <formula>IF(V81&gt;=W81,IF(V81="",FALSE,TRUE))</formula>
    </cfRule>
  </conditionalFormatting>
  <conditionalFormatting sqref="X81:X92">
    <cfRule type="expression" dxfId="718" priority="2306">
      <formula>OR(IF(X81&lt;Y81,TRUE),IF(AND(Y81="",X81&lt;&gt;""),TRUE))</formula>
    </cfRule>
    <cfRule type="expression" dxfId="717" priority="2307">
      <formula>IF(X81&gt;=Y81,IF(X81="",FALSE,TRUE))</formula>
    </cfRule>
  </conditionalFormatting>
  <conditionalFormatting sqref="AC81:AC92">
    <cfRule type="expression" dxfId="716" priority="2304">
      <formula>OR(IF(AC81&lt;AD81,TRUE),IF(AND(AD81="",AC81&lt;&gt;""),TRUE))</formula>
    </cfRule>
    <cfRule type="expression" dxfId="715" priority="2305">
      <formula>IF(AC81&gt;=AD81,IF(AC81="",FALSE,TRUE))</formula>
    </cfRule>
  </conditionalFormatting>
  <conditionalFormatting sqref="AE81:AE92">
    <cfRule type="expression" dxfId="714" priority="2302">
      <formula>OR(IF(AE81&lt;AF81,TRUE),IF(AND(AF81="",AE81&lt;&gt;""),TRUE))</formula>
    </cfRule>
    <cfRule type="expression" dxfId="713" priority="2303">
      <formula>IF(AE81&gt;=AF81,IF(AE81="",FALSE,TRUE))</formula>
    </cfRule>
  </conditionalFormatting>
  <conditionalFormatting sqref="AJ81:AJ92">
    <cfRule type="expression" dxfId="712" priority="2300">
      <formula>OR(IF(AJ81&lt;AK81,TRUE),IF(AND(AK81="",AJ81&lt;&gt;""),TRUE))</formula>
    </cfRule>
    <cfRule type="expression" dxfId="711" priority="2301">
      <formula>IF(AJ81&gt;=AK81,IF(AJ81="",FALSE,TRUE))</formula>
    </cfRule>
  </conditionalFormatting>
  <conditionalFormatting sqref="AL81:AL92">
    <cfRule type="expression" dxfId="710" priority="2298">
      <formula>OR(IF(AL81&lt;AM81,TRUE),IF(AND(AM81="",AL81&lt;&gt;""),TRUE))</formula>
    </cfRule>
    <cfRule type="expression" dxfId="709" priority="2299">
      <formula>IF(AL81&gt;=AM81,IF(AL81="",FALSE,TRUE))</formula>
    </cfRule>
  </conditionalFormatting>
  <conditionalFormatting sqref="AX81:AX92">
    <cfRule type="expression" dxfId="708" priority="2292">
      <formula>OR(IF(AX81&lt;AY81,TRUE),IF(AND(AY81="",AX81&lt;&gt;""),TRUE))</formula>
    </cfRule>
    <cfRule type="expression" dxfId="707" priority="2293">
      <formula>IF(AX81&gt;=AY81,IF(AX81="",FALSE,TRUE))</formula>
    </cfRule>
  </conditionalFormatting>
  <conditionalFormatting sqref="AZ81:AZ92">
    <cfRule type="expression" dxfId="706" priority="2290">
      <formula>OR(IF(AZ81&lt;BA81,TRUE),IF(AND(BA81="",AZ81&lt;&gt;""),TRUE))</formula>
    </cfRule>
    <cfRule type="expression" dxfId="705" priority="2291">
      <formula>IF(AZ81&gt;=BA81,IF(AZ81="",FALSE,TRUE))</formula>
    </cfRule>
  </conditionalFormatting>
  <conditionalFormatting sqref="O26 Q26">
    <cfRule type="expression" dxfId="704" priority="1558">
      <formula>OR(IF(O26&lt;P26,TRUE),IF(AND(P26="",O26&lt;&gt;""),TRUE))</formula>
    </cfRule>
    <cfRule type="expression" dxfId="703" priority="1559">
      <formula>IF(O26&gt;=P26,IF(O26="",FALSE,TRUE))</formula>
    </cfRule>
  </conditionalFormatting>
  <conditionalFormatting sqref="AQ26 AS26">
    <cfRule type="expression" dxfId="702" priority="1550">
      <formula>OR(IF(AQ26&lt;AR26,TRUE),IF(AND(AR26="",AQ26&lt;&gt;""),TRUE))</formula>
    </cfRule>
    <cfRule type="expression" dxfId="701" priority="1551">
      <formula>IF(AQ26&gt;=AR26,IF(AQ26="",FALSE,TRUE))</formula>
    </cfRule>
  </conditionalFormatting>
  <conditionalFormatting sqref="J26:K26">
    <cfRule type="colorScale" priority="1560">
      <colorScale>
        <cfvo type="percent" val="0"/>
        <cfvo type="percent" val="100"/>
        <color rgb="FFFF231B"/>
        <color rgb="FF10FF07"/>
      </colorScale>
    </cfRule>
  </conditionalFormatting>
  <conditionalFormatting sqref="BE26 BG26">
    <cfRule type="expression" dxfId="700" priority="1546">
      <formula>OR(IF(BE26&lt;BF26,TRUE),IF(AND(BF26="",BE26&lt;&gt;""),TRUE))</formula>
    </cfRule>
    <cfRule type="expression" dxfId="699" priority="1547">
      <formula>IF(BE26&gt;=BF26,IF(BE26="",FALSE,TRUE))</formula>
    </cfRule>
  </conditionalFormatting>
  <conditionalFormatting sqref="V26 X26">
    <cfRule type="expression" dxfId="698" priority="1556">
      <formula>OR(IF(V26&lt;W26,TRUE),IF(AND(W26="",V26&lt;&gt;""),TRUE))</formula>
    </cfRule>
    <cfRule type="expression" dxfId="697" priority="1557">
      <formula>IF(V26&gt;=W26,IF(V26="",FALSE,TRUE))</formula>
    </cfRule>
  </conditionalFormatting>
  <conditionalFormatting sqref="AC26 AE26">
    <cfRule type="expression" dxfId="696" priority="1554">
      <formula>OR(IF(AC26&lt;AD26,TRUE),IF(AND(AD26="",AC26&lt;&gt;""),TRUE))</formula>
    </cfRule>
    <cfRule type="expression" dxfId="695" priority="1555">
      <formula>IF(AC26&gt;=AD26,IF(AC26="",FALSE,TRUE))</formula>
    </cfRule>
  </conditionalFormatting>
  <conditionalFormatting sqref="AJ26 AL26">
    <cfRule type="expression" dxfId="694" priority="1552">
      <formula>OR(IF(AJ26&lt;AK26,TRUE),IF(AND(AK26="",AJ26&lt;&gt;""),TRUE))</formula>
    </cfRule>
    <cfRule type="expression" dxfId="693" priority="1553">
      <formula>IF(AJ26&gt;=AK26,IF(AJ26="",FALSE,TRUE))</formula>
    </cfRule>
  </conditionalFormatting>
  <conditionalFormatting sqref="AX26 AZ26">
    <cfRule type="expression" dxfId="692" priority="1548">
      <formula>OR(IF(AX26&lt;AY26,TRUE),IF(AND(AY26="",AX26&lt;&gt;""),TRUE))</formula>
    </cfRule>
    <cfRule type="expression" dxfId="691" priority="1549">
      <formula>IF(AX26&gt;=AY26,IF(AX26="",FALSE,TRUE))</formula>
    </cfRule>
  </conditionalFormatting>
  <conditionalFormatting sqref="O27 Q27">
    <cfRule type="expression" dxfId="690" priority="1543">
      <formula>OR(IF(O27&lt;P27,TRUE),IF(AND(P27="",O27&lt;&gt;""),TRUE))</formula>
    </cfRule>
    <cfRule type="expression" dxfId="689" priority="1544">
      <formula>IF(O27&gt;=P27,IF(O27="",FALSE,TRUE))</formula>
    </cfRule>
  </conditionalFormatting>
  <conditionalFormatting sqref="AQ27 AS27">
    <cfRule type="expression" dxfId="688" priority="1535">
      <formula>OR(IF(AQ27&lt;AR27,TRUE),IF(AND(AR27="",AQ27&lt;&gt;""),TRUE))</formula>
    </cfRule>
    <cfRule type="expression" dxfId="687" priority="1536">
      <formula>IF(AQ27&gt;=AR27,IF(AQ27="",FALSE,TRUE))</formula>
    </cfRule>
  </conditionalFormatting>
  <conditionalFormatting sqref="J27:K27">
    <cfRule type="colorScale" priority="1545">
      <colorScale>
        <cfvo type="percent" val="0"/>
        <cfvo type="percent" val="100"/>
        <color rgb="FFFF231B"/>
        <color rgb="FF10FF07"/>
      </colorScale>
    </cfRule>
  </conditionalFormatting>
  <conditionalFormatting sqref="BE27 BG27">
    <cfRule type="expression" dxfId="686" priority="1531">
      <formula>OR(IF(BE27&lt;BF27,TRUE),IF(AND(BF27="",BE27&lt;&gt;""),TRUE))</formula>
    </cfRule>
    <cfRule type="expression" dxfId="685" priority="1532">
      <formula>IF(BE27&gt;=BF27,IF(BE27="",FALSE,TRUE))</formula>
    </cfRule>
  </conditionalFormatting>
  <conditionalFormatting sqref="V27 X27">
    <cfRule type="expression" dxfId="684" priority="1541">
      <formula>OR(IF(V27&lt;W27,TRUE),IF(AND(W27="",V27&lt;&gt;""),TRUE))</formula>
    </cfRule>
    <cfRule type="expression" dxfId="683" priority="1542">
      <formula>IF(V27&gt;=W27,IF(V27="",FALSE,TRUE))</formula>
    </cfRule>
  </conditionalFormatting>
  <conditionalFormatting sqref="AC27 AE27">
    <cfRule type="expression" dxfId="682" priority="1539">
      <formula>OR(IF(AC27&lt;AD27,TRUE),IF(AND(AD27="",AC27&lt;&gt;""),TRUE))</formula>
    </cfRule>
    <cfRule type="expression" dxfId="681" priority="1540">
      <formula>IF(AC27&gt;=AD27,IF(AC27="",FALSE,TRUE))</formula>
    </cfRule>
  </conditionalFormatting>
  <conditionalFormatting sqref="AJ27 AL27">
    <cfRule type="expression" dxfId="680" priority="1537">
      <formula>OR(IF(AJ27&lt;AK27,TRUE),IF(AND(AK27="",AJ27&lt;&gt;""),TRUE))</formula>
    </cfRule>
    <cfRule type="expression" dxfId="679" priority="1538">
      <formula>IF(AJ27&gt;=AK27,IF(AJ27="",FALSE,TRUE))</formula>
    </cfRule>
  </conditionalFormatting>
  <conditionalFormatting sqref="AX27 AZ27">
    <cfRule type="expression" dxfId="678" priority="1533">
      <formula>OR(IF(AX27&lt;AY27,TRUE),IF(AND(AY27="",AX27&lt;&gt;""),TRUE))</formula>
    </cfRule>
    <cfRule type="expression" dxfId="677" priority="1534">
      <formula>IF(AX27&gt;=AY27,IF(AX27="",FALSE,TRUE))</formula>
    </cfRule>
  </conditionalFormatting>
  <conditionalFormatting sqref="O28 Q28">
    <cfRule type="expression" dxfId="676" priority="1528">
      <formula>OR(IF(O28&lt;P28,TRUE),IF(AND(P28="",O28&lt;&gt;""),TRUE))</formula>
    </cfRule>
    <cfRule type="expression" dxfId="675" priority="1529">
      <formula>IF(O28&gt;=P28,IF(O28="",FALSE,TRUE))</formula>
    </cfRule>
  </conditionalFormatting>
  <conditionalFormatting sqref="AQ28 AS28">
    <cfRule type="expression" dxfId="674" priority="1520">
      <formula>OR(IF(AQ28&lt;AR28,TRUE),IF(AND(AR28="",AQ28&lt;&gt;""),TRUE))</formula>
    </cfRule>
    <cfRule type="expression" dxfId="673" priority="1521">
      <formula>IF(AQ28&gt;=AR28,IF(AQ28="",FALSE,TRUE))</formula>
    </cfRule>
  </conditionalFormatting>
  <conditionalFormatting sqref="J28:K28">
    <cfRule type="colorScale" priority="1530">
      <colorScale>
        <cfvo type="percent" val="0"/>
        <cfvo type="percent" val="100"/>
        <color rgb="FFFF231B"/>
        <color rgb="FF10FF07"/>
      </colorScale>
    </cfRule>
  </conditionalFormatting>
  <conditionalFormatting sqref="BE28 BG28">
    <cfRule type="expression" dxfId="672" priority="1516">
      <formula>OR(IF(BE28&lt;BF28,TRUE),IF(AND(BF28="",BE28&lt;&gt;""),TRUE))</formula>
    </cfRule>
    <cfRule type="expression" dxfId="671" priority="1517">
      <formula>IF(BE28&gt;=BF28,IF(BE28="",FALSE,TRUE))</formula>
    </cfRule>
  </conditionalFormatting>
  <conditionalFormatting sqref="V28 X28">
    <cfRule type="expression" dxfId="670" priority="1526">
      <formula>OR(IF(V28&lt;W28,TRUE),IF(AND(W28="",V28&lt;&gt;""),TRUE))</formula>
    </cfRule>
    <cfRule type="expression" dxfId="669" priority="1527">
      <formula>IF(V28&gt;=W28,IF(V28="",FALSE,TRUE))</formula>
    </cfRule>
  </conditionalFormatting>
  <conditionalFormatting sqref="AC28 AE28">
    <cfRule type="expression" dxfId="668" priority="1524">
      <formula>OR(IF(AC28&lt;AD28,TRUE),IF(AND(AD28="",AC28&lt;&gt;""),TRUE))</formula>
    </cfRule>
    <cfRule type="expression" dxfId="667" priority="1525">
      <formula>IF(AC28&gt;=AD28,IF(AC28="",FALSE,TRUE))</formula>
    </cfRule>
  </conditionalFormatting>
  <conditionalFormatting sqref="AJ28 AL28">
    <cfRule type="expression" dxfId="666" priority="1522">
      <formula>OR(IF(AJ28&lt;AK28,TRUE),IF(AND(AK28="",AJ28&lt;&gt;""),TRUE))</formula>
    </cfRule>
    <cfRule type="expression" dxfId="665" priority="1523">
      <formula>IF(AJ28&gt;=AK28,IF(AJ28="",FALSE,TRUE))</formula>
    </cfRule>
  </conditionalFormatting>
  <conditionalFormatting sqref="AX28 AZ28">
    <cfRule type="expression" dxfId="664" priority="1518">
      <formula>OR(IF(AX28&lt;AY28,TRUE),IF(AND(AY28="",AX28&lt;&gt;""),TRUE))</formula>
    </cfRule>
    <cfRule type="expression" dxfId="663" priority="1519">
      <formula>IF(AX28&gt;=AY28,IF(AX28="",FALSE,TRUE))</formula>
    </cfRule>
  </conditionalFormatting>
  <conditionalFormatting sqref="O29 Q29">
    <cfRule type="expression" dxfId="662" priority="1513">
      <formula>OR(IF(O29&lt;P29,TRUE),IF(AND(P29="",O29&lt;&gt;""),TRUE))</formula>
    </cfRule>
    <cfRule type="expression" dxfId="661" priority="1514">
      <formula>IF(O29&gt;=P29,IF(O29="",FALSE,TRUE))</formula>
    </cfRule>
  </conditionalFormatting>
  <conditionalFormatting sqref="AQ29 AS29">
    <cfRule type="expression" dxfId="660" priority="1505">
      <formula>OR(IF(AQ29&lt;AR29,TRUE),IF(AND(AR29="",AQ29&lt;&gt;""),TRUE))</formula>
    </cfRule>
    <cfRule type="expression" dxfId="659" priority="1506">
      <formula>IF(AQ29&gt;=AR29,IF(AQ29="",FALSE,TRUE))</formula>
    </cfRule>
  </conditionalFormatting>
  <conditionalFormatting sqref="J29:K29">
    <cfRule type="colorScale" priority="1515">
      <colorScale>
        <cfvo type="percent" val="0"/>
        <cfvo type="percent" val="100"/>
        <color rgb="FFFF231B"/>
        <color rgb="FF10FF07"/>
      </colorScale>
    </cfRule>
  </conditionalFormatting>
  <conditionalFormatting sqref="BE29 BG29">
    <cfRule type="expression" dxfId="658" priority="1501">
      <formula>OR(IF(BE29&lt;BF29,TRUE),IF(AND(BF29="",BE29&lt;&gt;""),TRUE))</formula>
    </cfRule>
    <cfRule type="expression" dxfId="657" priority="1502">
      <formula>IF(BE29&gt;=BF29,IF(BE29="",FALSE,TRUE))</formula>
    </cfRule>
  </conditionalFormatting>
  <conditionalFormatting sqref="V29 X29">
    <cfRule type="expression" dxfId="656" priority="1511">
      <formula>OR(IF(V29&lt;W29,TRUE),IF(AND(W29="",V29&lt;&gt;""),TRUE))</formula>
    </cfRule>
    <cfRule type="expression" dxfId="655" priority="1512">
      <formula>IF(V29&gt;=W29,IF(V29="",FALSE,TRUE))</formula>
    </cfRule>
  </conditionalFormatting>
  <conditionalFormatting sqref="AC29 AE29">
    <cfRule type="expression" dxfId="654" priority="1509">
      <formula>OR(IF(AC29&lt;AD29,TRUE),IF(AND(AD29="",AC29&lt;&gt;""),TRUE))</formula>
    </cfRule>
    <cfRule type="expression" dxfId="653" priority="1510">
      <formula>IF(AC29&gt;=AD29,IF(AC29="",FALSE,TRUE))</formula>
    </cfRule>
  </conditionalFormatting>
  <conditionalFormatting sqref="AJ29 AL29">
    <cfRule type="expression" dxfId="652" priority="1507">
      <formula>OR(IF(AJ29&lt;AK29,TRUE),IF(AND(AK29="",AJ29&lt;&gt;""),TRUE))</formula>
    </cfRule>
    <cfRule type="expression" dxfId="651" priority="1508">
      <formula>IF(AJ29&gt;=AK29,IF(AJ29="",FALSE,TRUE))</formula>
    </cfRule>
  </conditionalFormatting>
  <conditionalFormatting sqref="AX29 AZ29">
    <cfRule type="expression" dxfId="650" priority="1503">
      <formula>OR(IF(AX29&lt;AY29,TRUE),IF(AND(AY29="",AX29&lt;&gt;""),TRUE))</formula>
    </cfRule>
    <cfRule type="expression" dxfId="649" priority="1504">
      <formula>IF(AX29&gt;=AY29,IF(AX29="",FALSE,TRUE))</formula>
    </cfRule>
  </conditionalFormatting>
  <conditionalFormatting sqref="O30 Q30">
    <cfRule type="expression" dxfId="648" priority="1498">
      <formula>OR(IF(O30&lt;P30,TRUE),IF(AND(P30="",O30&lt;&gt;""),TRUE))</formula>
    </cfRule>
    <cfRule type="expression" dxfId="647" priority="1499">
      <formula>IF(O30&gt;=P30,IF(O30="",FALSE,TRUE))</formula>
    </cfRule>
  </conditionalFormatting>
  <conditionalFormatting sqref="AQ30 AS30">
    <cfRule type="expression" dxfId="646" priority="1490">
      <formula>OR(IF(AQ30&lt;AR30,TRUE),IF(AND(AR30="",AQ30&lt;&gt;""),TRUE))</formula>
    </cfRule>
    <cfRule type="expression" dxfId="645" priority="1491">
      <formula>IF(AQ30&gt;=AR30,IF(AQ30="",FALSE,TRUE))</formula>
    </cfRule>
  </conditionalFormatting>
  <conditionalFormatting sqref="J30:K30">
    <cfRule type="colorScale" priority="1500">
      <colorScale>
        <cfvo type="percent" val="0"/>
        <cfvo type="percent" val="100"/>
        <color rgb="FFFF231B"/>
        <color rgb="FF10FF07"/>
      </colorScale>
    </cfRule>
  </conditionalFormatting>
  <conditionalFormatting sqref="BE30 BG30">
    <cfRule type="expression" dxfId="644" priority="1486">
      <formula>OR(IF(BE30&lt;BF30,TRUE),IF(AND(BF30="",BE30&lt;&gt;""),TRUE))</formula>
    </cfRule>
    <cfRule type="expression" dxfId="643" priority="1487">
      <formula>IF(BE30&gt;=BF30,IF(BE30="",FALSE,TRUE))</formula>
    </cfRule>
  </conditionalFormatting>
  <conditionalFormatting sqref="V30 X30">
    <cfRule type="expression" dxfId="642" priority="1496">
      <formula>OR(IF(V30&lt;W30,TRUE),IF(AND(W30="",V30&lt;&gt;""),TRUE))</formula>
    </cfRule>
    <cfRule type="expression" dxfId="641" priority="1497">
      <formula>IF(V30&gt;=W30,IF(V30="",FALSE,TRUE))</formula>
    </cfRule>
  </conditionalFormatting>
  <conditionalFormatting sqref="AC30 AE30">
    <cfRule type="expression" dxfId="640" priority="1494">
      <formula>OR(IF(AC30&lt;AD30,TRUE),IF(AND(AD30="",AC30&lt;&gt;""),TRUE))</formula>
    </cfRule>
    <cfRule type="expression" dxfId="639" priority="1495">
      <formula>IF(AC30&gt;=AD30,IF(AC30="",FALSE,TRUE))</formula>
    </cfRule>
  </conditionalFormatting>
  <conditionalFormatting sqref="AJ30 AL30">
    <cfRule type="expression" dxfId="638" priority="1492">
      <formula>OR(IF(AJ30&lt;AK30,TRUE),IF(AND(AK30="",AJ30&lt;&gt;""),TRUE))</formula>
    </cfRule>
    <cfRule type="expression" dxfId="637" priority="1493">
      <formula>IF(AJ30&gt;=AK30,IF(AJ30="",FALSE,TRUE))</formula>
    </cfRule>
  </conditionalFormatting>
  <conditionalFormatting sqref="AX30 AZ30">
    <cfRule type="expression" dxfId="636" priority="1488">
      <formula>OR(IF(AX30&lt;AY30,TRUE),IF(AND(AY30="",AX30&lt;&gt;""),TRUE))</formula>
    </cfRule>
    <cfRule type="expression" dxfId="635" priority="1489">
      <formula>IF(AX30&gt;=AY30,IF(AX30="",FALSE,TRUE))</formula>
    </cfRule>
  </conditionalFormatting>
  <conditionalFormatting sqref="O31 Q31">
    <cfRule type="expression" dxfId="634" priority="1483">
      <formula>OR(IF(O31&lt;P31,TRUE),IF(AND(P31="",O31&lt;&gt;""),TRUE))</formula>
    </cfRule>
    <cfRule type="expression" dxfId="633" priority="1484">
      <formula>IF(O31&gt;=P31,IF(O31="",FALSE,TRUE))</formula>
    </cfRule>
  </conditionalFormatting>
  <conditionalFormatting sqref="AQ31 AS31">
    <cfRule type="expression" dxfId="632" priority="1475">
      <formula>OR(IF(AQ31&lt;AR31,TRUE),IF(AND(AR31="",AQ31&lt;&gt;""),TRUE))</formula>
    </cfRule>
    <cfRule type="expression" dxfId="631" priority="1476">
      <formula>IF(AQ31&gt;=AR31,IF(AQ31="",FALSE,TRUE))</formula>
    </cfRule>
  </conditionalFormatting>
  <conditionalFormatting sqref="J31:K31">
    <cfRule type="colorScale" priority="1485">
      <colorScale>
        <cfvo type="percent" val="0"/>
        <cfvo type="percent" val="100"/>
        <color rgb="FFFF231B"/>
        <color rgb="FF10FF07"/>
      </colorScale>
    </cfRule>
  </conditionalFormatting>
  <conditionalFormatting sqref="BE31 BG31">
    <cfRule type="expression" dxfId="630" priority="1471">
      <formula>OR(IF(BE31&lt;BF31,TRUE),IF(AND(BF31="",BE31&lt;&gt;""),TRUE))</formula>
    </cfRule>
    <cfRule type="expression" dxfId="629" priority="1472">
      <formula>IF(BE31&gt;=BF31,IF(BE31="",FALSE,TRUE))</formula>
    </cfRule>
  </conditionalFormatting>
  <conditionalFormatting sqref="V31 X31">
    <cfRule type="expression" dxfId="628" priority="1481">
      <formula>OR(IF(V31&lt;W31,TRUE),IF(AND(W31="",V31&lt;&gt;""),TRUE))</formula>
    </cfRule>
    <cfRule type="expression" dxfId="627" priority="1482">
      <formula>IF(V31&gt;=W31,IF(V31="",FALSE,TRUE))</formula>
    </cfRule>
  </conditionalFormatting>
  <conditionalFormatting sqref="AC31 AE31">
    <cfRule type="expression" dxfId="626" priority="1479">
      <formula>OR(IF(AC31&lt;AD31,TRUE),IF(AND(AD31="",AC31&lt;&gt;""),TRUE))</formula>
    </cfRule>
    <cfRule type="expression" dxfId="625" priority="1480">
      <formula>IF(AC31&gt;=AD31,IF(AC31="",FALSE,TRUE))</formula>
    </cfRule>
  </conditionalFormatting>
  <conditionalFormatting sqref="AJ31 AL31">
    <cfRule type="expression" dxfId="624" priority="1477">
      <formula>OR(IF(AJ31&lt;AK31,TRUE),IF(AND(AK31="",AJ31&lt;&gt;""),TRUE))</formula>
    </cfRule>
    <cfRule type="expression" dxfId="623" priority="1478">
      <formula>IF(AJ31&gt;=AK31,IF(AJ31="",FALSE,TRUE))</formula>
    </cfRule>
  </conditionalFormatting>
  <conditionalFormatting sqref="AX31 AZ31">
    <cfRule type="expression" dxfId="622" priority="1473">
      <formula>OR(IF(AX31&lt;AY31,TRUE),IF(AND(AY31="",AX31&lt;&gt;""),TRUE))</formula>
    </cfRule>
    <cfRule type="expression" dxfId="621" priority="1474">
      <formula>IF(AX31&gt;=AY31,IF(AX31="",FALSE,TRUE))</formula>
    </cfRule>
  </conditionalFormatting>
  <conditionalFormatting sqref="J34:K42 J44:K44">
    <cfRule type="colorScale" priority="2589">
      <colorScale>
        <cfvo type="percent" val="0"/>
        <cfvo type="percent" val="100"/>
        <color rgb="FFFF231B"/>
        <color rgb="FF10FF07"/>
      </colorScale>
    </cfRule>
  </conditionalFormatting>
  <conditionalFormatting sqref="J48:K57">
    <cfRule type="colorScale" priority="2619">
      <colorScale>
        <cfvo type="percent" val="0"/>
        <cfvo type="percent" val="100"/>
        <color rgb="FFFF231B"/>
        <color rgb="FF10FF07"/>
      </colorScale>
    </cfRule>
  </conditionalFormatting>
  <conditionalFormatting sqref="J78:K78">
    <cfRule type="colorScale" priority="1470">
      <colorScale>
        <cfvo type="percent" val="0"/>
        <cfvo type="percent" val="100"/>
        <color rgb="FFFF231B"/>
        <color rgb="FF10FF07"/>
      </colorScale>
    </cfRule>
  </conditionalFormatting>
  <conditionalFormatting sqref="O78">
    <cfRule type="expression" dxfId="620" priority="1468">
      <formula>OR(IF(O78&lt;P78,TRUE),IF(AND(P78="",O78&lt;&gt;""),TRUE))</formula>
    </cfRule>
    <cfRule type="expression" dxfId="619" priority="1469">
      <formula>IF(O78&gt;=P78,IF(O78="",FALSE,TRUE))</formula>
    </cfRule>
  </conditionalFormatting>
  <conditionalFormatting sqref="Q78">
    <cfRule type="expression" dxfId="618" priority="1466">
      <formula>OR(IF(Q78&lt;R78,TRUE),IF(AND(R78="",Q78&lt;&gt;""),TRUE))</formula>
    </cfRule>
    <cfRule type="expression" dxfId="617" priority="1467">
      <formula>IF(Q78&gt;=R78,IF(Q78="",FALSE,TRUE))</formula>
    </cfRule>
  </conditionalFormatting>
  <conditionalFormatting sqref="AQ78">
    <cfRule type="expression" dxfId="616" priority="1452">
      <formula>OR(IF(AQ78&lt;AR78,TRUE),IF(AND(AR78="",AQ78&lt;&gt;""),TRUE))</formula>
    </cfRule>
    <cfRule type="expression" dxfId="615" priority="1453">
      <formula>IF(AQ78&gt;=AR78,IF(AQ78="",FALSE,TRUE))</formula>
    </cfRule>
  </conditionalFormatting>
  <conditionalFormatting sqref="AS78">
    <cfRule type="expression" dxfId="614" priority="1450">
      <formula>OR(IF(AS78&lt;AT78,TRUE),IF(AND(AT78="",AS78&lt;&gt;""),TRUE))</formula>
    </cfRule>
    <cfRule type="expression" dxfId="613" priority="1451">
      <formula>IF(AS78&gt;=AT78,IF(AS78="",FALSE,TRUE))</formula>
    </cfRule>
  </conditionalFormatting>
  <conditionalFormatting sqref="BE78">
    <cfRule type="expression" dxfId="612" priority="1444">
      <formula>OR(IF(BE78&lt;BF78,TRUE),IF(AND(BF78="",BE78&lt;&gt;""),TRUE))</formula>
    </cfRule>
    <cfRule type="expression" dxfId="611" priority="1445">
      <formula>IF(BE78&gt;=BF78,IF(BE78="",FALSE,TRUE))</formula>
    </cfRule>
  </conditionalFormatting>
  <conditionalFormatting sqref="BG78">
    <cfRule type="expression" dxfId="610" priority="1442">
      <formula>OR(IF(BG78&lt;BH78,TRUE),IF(AND(BH78="",BG78&lt;&gt;""),TRUE))</formula>
    </cfRule>
    <cfRule type="expression" dxfId="609" priority="1443">
      <formula>IF(BG78&gt;=BH78,IF(BG78="",FALSE,TRUE))</formula>
    </cfRule>
  </conditionalFormatting>
  <conditionalFormatting sqref="V78">
    <cfRule type="expression" dxfId="608" priority="1464">
      <formula>OR(IF(V78&lt;W78,TRUE),IF(AND(W78="",V78&lt;&gt;""),TRUE))</formula>
    </cfRule>
    <cfRule type="expression" dxfId="607" priority="1465">
      <formula>IF(V78&gt;=W78,IF(V78="",FALSE,TRUE))</formula>
    </cfRule>
  </conditionalFormatting>
  <conditionalFormatting sqref="X78">
    <cfRule type="expression" dxfId="606" priority="1462">
      <formula>OR(IF(X78&lt;Y78,TRUE),IF(AND(Y78="",X78&lt;&gt;""),TRUE))</formula>
    </cfRule>
    <cfRule type="expression" dxfId="605" priority="1463">
      <formula>IF(X78&gt;=Y78,IF(X78="",FALSE,TRUE))</formula>
    </cfRule>
  </conditionalFormatting>
  <conditionalFormatting sqref="AC78">
    <cfRule type="expression" dxfId="604" priority="1460">
      <formula>OR(IF(AC78&lt;AD78,TRUE),IF(AND(AD78="",AC78&lt;&gt;""),TRUE))</formula>
    </cfRule>
    <cfRule type="expression" dxfId="603" priority="1461">
      <formula>IF(AC78&gt;=AD78,IF(AC78="",FALSE,TRUE))</formula>
    </cfRule>
  </conditionalFormatting>
  <conditionalFormatting sqref="AE78">
    <cfRule type="expression" dxfId="602" priority="1458">
      <formula>OR(IF(AE78&lt;AF78,TRUE),IF(AND(AF78="",AE78&lt;&gt;""),TRUE))</formula>
    </cfRule>
    <cfRule type="expression" dxfId="601" priority="1459">
      <formula>IF(AE78&gt;=AF78,IF(AE78="",FALSE,TRUE))</formula>
    </cfRule>
  </conditionalFormatting>
  <conditionalFormatting sqref="AJ78">
    <cfRule type="expression" dxfId="600" priority="1456">
      <formula>OR(IF(AJ78&lt;AK78,TRUE),IF(AND(AK78="",AJ78&lt;&gt;""),TRUE))</formula>
    </cfRule>
    <cfRule type="expression" dxfId="599" priority="1457">
      <formula>IF(AJ78&gt;=AK78,IF(AJ78="",FALSE,TRUE))</formula>
    </cfRule>
  </conditionalFormatting>
  <conditionalFormatting sqref="AL78">
    <cfRule type="expression" dxfId="598" priority="1454">
      <formula>OR(IF(AL78&lt;AM78,TRUE),IF(AND(AM78="",AL78&lt;&gt;""),TRUE))</formula>
    </cfRule>
    <cfRule type="expression" dxfId="597" priority="1455">
      <formula>IF(AL78&gt;=AM78,IF(AL78="",FALSE,TRUE))</formula>
    </cfRule>
  </conditionalFormatting>
  <conditionalFormatting sqref="AX78">
    <cfRule type="expression" dxfId="596" priority="1448">
      <formula>OR(IF(AX78&lt;AY78,TRUE),IF(AND(AY78="",AX78&lt;&gt;""),TRUE))</formula>
    </cfRule>
    <cfRule type="expression" dxfId="595" priority="1449">
      <formula>IF(AX78&gt;=AY78,IF(AX78="",FALSE,TRUE))</formula>
    </cfRule>
  </conditionalFormatting>
  <conditionalFormatting sqref="AZ78">
    <cfRule type="expression" dxfId="594" priority="1446">
      <formula>OR(IF(AZ78&lt;BA78,TRUE),IF(AND(BA78="",AZ78&lt;&gt;""),TRUE))</formula>
    </cfRule>
    <cfRule type="expression" dxfId="593" priority="1447">
      <formula>IF(AZ78&gt;=BA78,IF(AZ78="",FALSE,TRUE))</formula>
    </cfRule>
  </conditionalFormatting>
  <conditionalFormatting sqref="O93">
    <cfRule type="expression" dxfId="592" priority="1352">
      <formula>OR(IF(O93&lt;P93,TRUE),IF(AND(P93="",O93&lt;&gt;""),TRUE))</formula>
    </cfRule>
    <cfRule type="expression" dxfId="591" priority="1353">
      <formula>IF(O93&gt;=P93,IF(O93="",FALSE,TRUE))</formula>
    </cfRule>
  </conditionalFormatting>
  <conditionalFormatting sqref="Q93">
    <cfRule type="expression" dxfId="590" priority="1350">
      <formula>OR(IF(Q93&lt;R93,TRUE),IF(AND(R93="",Q93&lt;&gt;""),TRUE))</formula>
    </cfRule>
    <cfRule type="expression" dxfId="589" priority="1351">
      <formula>IF(Q93&gt;=R93,IF(Q93="",FALSE,TRUE))</formula>
    </cfRule>
  </conditionalFormatting>
  <conditionalFormatting sqref="AQ93">
    <cfRule type="expression" dxfId="588" priority="1336">
      <formula>OR(IF(AQ93&lt;AR93,TRUE),IF(AND(AR93="",AQ93&lt;&gt;""),TRUE))</formula>
    </cfRule>
    <cfRule type="expression" dxfId="587" priority="1337">
      <formula>IF(AQ93&gt;=AR93,IF(AQ93="",FALSE,TRUE))</formula>
    </cfRule>
  </conditionalFormatting>
  <conditionalFormatting sqref="AS93">
    <cfRule type="expression" dxfId="586" priority="1334">
      <formula>OR(IF(AS93&lt;AT93,TRUE),IF(AND(AT93="",AS93&lt;&gt;""),TRUE))</formula>
    </cfRule>
    <cfRule type="expression" dxfId="585" priority="1335">
      <formula>IF(AS93&gt;=AT93,IF(AS93="",FALSE,TRUE))</formula>
    </cfRule>
  </conditionalFormatting>
  <conditionalFormatting sqref="BE93">
    <cfRule type="expression" dxfId="584" priority="1328">
      <formula>OR(IF(BE93&lt;BF93,TRUE),IF(AND(BF93="",BE93&lt;&gt;""),TRUE))</formula>
    </cfRule>
    <cfRule type="expression" dxfId="583" priority="1329">
      <formula>IF(BE93&gt;=BF93,IF(BE93="",FALSE,TRUE))</formula>
    </cfRule>
  </conditionalFormatting>
  <conditionalFormatting sqref="BG93">
    <cfRule type="expression" dxfId="582" priority="1326">
      <formula>OR(IF(BG93&lt;BH93,TRUE),IF(AND(BH93="",BG93&lt;&gt;""),TRUE))</formula>
    </cfRule>
    <cfRule type="expression" dxfId="581" priority="1327">
      <formula>IF(BG93&gt;=BH93,IF(BG93="",FALSE,TRUE))</formula>
    </cfRule>
  </conditionalFormatting>
  <conditionalFormatting sqref="V93">
    <cfRule type="expression" dxfId="580" priority="1348">
      <formula>OR(IF(V93&lt;W93,TRUE),IF(AND(W93="",V93&lt;&gt;""),TRUE))</formula>
    </cfRule>
    <cfRule type="expression" dxfId="579" priority="1349">
      <formula>IF(V93&gt;=W93,IF(V93="",FALSE,TRUE))</formula>
    </cfRule>
  </conditionalFormatting>
  <conditionalFormatting sqref="X93">
    <cfRule type="expression" dxfId="578" priority="1346">
      <formula>OR(IF(X93&lt;Y93,TRUE),IF(AND(Y93="",X93&lt;&gt;""),TRUE))</formula>
    </cfRule>
    <cfRule type="expression" dxfId="577" priority="1347">
      <formula>IF(X93&gt;=Y93,IF(X93="",FALSE,TRUE))</formula>
    </cfRule>
  </conditionalFormatting>
  <conditionalFormatting sqref="AC93">
    <cfRule type="expression" dxfId="576" priority="1344">
      <formula>OR(IF(AC93&lt;AD93,TRUE),IF(AND(AD93="",AC93&lt;&gt;""),TRUE))</formula>
    </cfRule>
    <cfRule type="expression" dxfId="575" priority="1345">
      <formula>IF(AC93&gt;=AD93,IF(AC93="",FALSE,TRUE))</formula>
    </cfRule>
  </conditionalFormatting>
  <conditionalFormatting sqref="AE93">
    <cfRule type="expression" dxfId="574" priority="1342">
      <formula>OR(IF(AE93&lt;AF93,TRUE),IF(AND(AF93="",AE93&lt;&gt;""),TRUE))</formula>
    </cfRule>
    <cfRule type="expression" dxfId="573" priority="1343">
      <formula>IF(AE93&gt;=AF93,IF(AE93="",FALSE,TRUE))</formula>
    </cfRule>
  </conditionalFormatting>
  <conditionalFormatting sqref="AJ93">
    <cfRule type="expression" dxfId="572" priority="1340">
      <formula>OR(IF(AJ93&lt;AK93,TRUE),IF(AND(AK93="",AJ93&lt;&gt;""),TRUE))</formula>
    </cfRule>
    <cfRule type="expression" dxfId="571" priority="1341">
      <formula>IF(AJ93&gt;=AK93,IF(AJ93="",FALSE,TRUE))</formula>
    </cfRule>
  </conditionalFormatting>
  <conditionalFormatting sqref="AL93">
    <cfRule type="expression" dxfId="570" priority="1338">
      <formula>OR(IF(AL93&lt;AM93,TRUE),IF(AND(AM93="",AL93&lt;&gt;""),TRUE))</formula>
    </cfRule>
    <cfRule type="expression" dxfId="569" priority="1339">
      <formula>IF(AL93&gt;=AM93,IF(AL93="",FALSE,TRUE))</formula>
    </cfRule>
  </conditionalFormatting>
  <conditionalFormatting sqref="AX93">
    <cfRule type="expression" dxfId="568" priority="1332">
      <formula>OR(IF(AX93&lt;AY93,TRUE),IF(AND(AY93="",AX93&lt;&gt;""),TRUE))</formula>
    </cfRule>
    <cfRule type="expression" dxfId="567" priority="1333">
      <formula>IF(AX93&gt;=AY93,IF(AX93="",FALSE,TRUE))</formula>
    </cfRule>
  </conditionalFormatting>
  <conditionalFormatting sqref="AZ93">
    <cfRule type="expression" dxfId="566" priority="1330">
      <formula>OR(IF(AZ93&lt;BA93,TRUE),IF(AND(BA93="",AZ93&lt;&gt;""),TRUE))</formula>
    </cfRule>
    <cfRule type="expression" dxfId="565" priority="1331">
      <formula>IF(AZ93&gt;=BA93,IF(AZ93="",FALSE,TRUE))</formula>
    </cfRule>
  </conditionalFormatting>
  <conditionalFormatting sqref="J93:K93">
    <cfRule type="colorScale" priority="1354">
      <colorScale>
        <cfvo type="percent" val="0"/>
        <cfvo type="percent" val="100"/>
        <color rgb="FFFF231B"/>
        <color rgb="FF10FF07"/>
      </colorScale>
    </cfRule>
  </conditionalFormatting>
  <conditionalFormatting sqref="J17:K17">
    <cfRule type="colorScale" priority="1325">
      <colorScale>
        <cfvo type="percent" val="0"/>
        <cfvo type="percent" val="100"/>
        <color rgb="FFFF231B"/>
        <color rgb="FF10FF07"/>
      </colorScale>
    </cfRule>
  </conditionalFormatting>
  <conditionalFormatting sqref="O17">
    <cfRule type="expression" dxfId="564" priority="1323">
      <formula>OR(IF(O17&lt;P17,TRUE),IF(AND(P17="",O17&lt;&gt;""),TRUE))</formula>
    </cfRule>
    <cfRule type="expression" dxfId="563" priority="1324">
      <formula>IF(O17&gt;=P17,IF(O17="",FALSE,TRUE))</formula>
    </cfRule>
  </conditionalFormatting>
  <conditionalFormatting sqref="Q17">
    <cfRule type="expression" dxfId="562" priority="1321">
      <formula>OR(IF(Q17&lt;R17,TRUE),IF(AND(R17="",Q17&lt;&gt;""),TRUE))</formula>
    </cfRule>
    <cfRule type="expression" dxfId="561" priority="1322">
      <formula>IF(Q17&gt;=R17,IF(Q17="",FALSE,TRUE))</formula>
    </cfRule>
  </conditionalFormatting>
  <conditionalFormatting sqref="AQ17">
    <cfRule type="expression" dxfId="560" priority="1307">
      <formula>OR(IF(AQ17&lt;AR17,TRUE),IF(AND(AR17="",AQ17&lt;&gt;""),TRUE))</formula>
    </cfRule>
    <cfRule type="expression" dxfId="559" priority="1308">
      <formula>IF(AQ17&gt;=AR17,IF(AQ17="",FALSE,TRUE))</formula>
    </cfRule>
  </conditionalFormatting>
  <conditionalFormatting sqref="AS17">
    <cfRule type="expression" dxfId="558" priority="1305">
      <formula>OR(IF(AS17&lt;AT17,TRUE),IF(AND(AT17="",AS17&lt;&gt;""),TRUE))</formula>
    </cfRule>
    <cfRule type="expression" dxfId="557" priority="1306">
      <formula>IF(AS17&gt;=AT17,IF(AS17="",FALSE,TRUE))</formula>
    </cfRule>
  </conditionalFormatting>
  <conditionalFormatting sqref="BE17">
    <cfRule type="expression" dxfId="556" priority="1299">
      <formula>OR(IF(BE17&lt;BF17,TRUE),IF(AND(BF17="",BE17&lt;&gt;""),TRUE))</formula>
    </cfRule>
    <cfRule type="expression" dxfId="555" priority="1300">
      <formula>IF(BE17&gt;=BF17,IF(BE17="",FALSE,TRUE))</formula>
    </cfRule>
  </conditionalFormatting>
  <conditionalFormatting sqref="BG17">
    <cfRule type="expression" dxfId="554" priority="1297">
      <formula>OR(IF(BG17&lt;BH17,TRUE),IF(AND(BH17="",BG17&lt;&gt;""),TRUE))</formula>
    </cfRule>
    <cfRule type="expression" dxfId="553" priority="1298">
      <formula>IF(BG17&gt;=BH17,IF(BG17="",FALSE,TRUE))</formula>
    </cfRule>
  </conditionalFormatting>
  <conditionalFormatting sqref="V17">
    <cfRule type="expression" dxfId="552" priority="1319">
      <formula>OR(IF(V17&lt;W17,TRUE),IF(AND(W17="",V17&lt;&gt;""),TRUE))</formula>
    </cfRule>
    <cfRule type="expression" dxfId="551" priority="1320">
      <formula>IF(V17&gt;=W17,IF(V17="",FALSE,TRUE))</formula>
    </cfRule>
  </conditionalFormatting>
  <conditionalFormatting sqref="X17">
    <cfRule type="expression" dxfId="550" priority="1317">
      <formula>OR(IF(X17&lt;Y17,TRUE),IF(AND(Y17="",X17&lt;&gt;""),TRUE))</formula>
    </cfRule>
    <cfRule type="expression" dxfId="549" priority="1318">
      <formula>IF(X17&gt;=Y17,IF(X17="",FALSE,TRUE))</formula>
    </cfRule>
  </conditionalFormatting>
  <conditionalFormatting sqref="AC17">
    <cfRule type="expression" dxfId="548" priority="1315">
      <formula>OR(IF(AC17&lt;AD17,TRUE),IF(AND(AD17="",AC17&lt;&gt;""),TRUE))</formula>
    </cfRule>
    <cfRule type="expression" dxfId="547" priority="1316">
      <formula>IF(AC17&gt;=AD17,IF(AC17="",FALSE,TRUE))</formula>
    </cfRule>
  </conditionalFormatting>
  <conditionalFormatting sqref="AE17">
    <cfRule type="expression" dxfId="546" priority="1313">
      <formula>OR(IF(AE17&lt;AF17,TRUE),IF(AND(AF17="",AE17&lt;&gt;""),TRUE))</formula>
    </cfRule>
    <cfRule type="expression" dxfId="545" priority="1314">
      <formula>IF(AE17&gt;=AF17,IF(AE17="",FALSE,TRUE))</formula>
    </cfRule>
  </conditionalFormatting>
  <conditionalFormatting sqref="AJ17">
    <cfRule type="expression" dxfId="544" priority="1311">
      <formula>OR(IF(AJ17&lt;AK17,TRUE),IF(AND(AK17="",AJ17&lt;&gt;""),TRUE))</formula>
    </cfRule>
    <cfRule type="expression" dxfId="543" priority="1312">
      <formula>IF(AJ17&gt;=AK17,IF(AJ17="",FALSE,TRUE))</formula>
    </cfRule>
  </conditionalFormatting>
  <conditionalFormatting sqref="AL17">
    <cfRule type="expression" dxfId="542" priority="1309">
      <formula>OR(IF(AL17&lt;AM17,TRUE),IF(AND(AM17="",AL17&lt;&gt;""),TRUE))</formula>
    </cfRule>
    <cfRule type="expression" dxfId="541" priority="1310">
      <formula>IF(AL17&gt;=AM17,IF(AL17="",FALSE,TRUE))</formula>
    </cfRule>
  </conditionalFormatting>
  <conditionalFormatting sqref="AX17">
    <cfRule type="expression" dxfId="540" priority="1303">
      <formula>OR(IF(AX17&lt;AY17,TRUE),IF(AND(AY17="",AX17&lt;&gt;""),TRUE))</formula>
    </cfRule>
    <cfRule type="expression" dxfId="539" priority="1304">
      <formula>IF(AX17&gt;=AY17,IF(AX17="",FALSE,TRUE))</formula>
    </cfRule>
  </conditionalFormatting>
  <conditionalFormatting sqref="AZ17">
    <cfRule type="expression" dxfId="538" priority="1301">
      <formula>OR(IF(AZ17&lt;BA17,TRUE),IF(AND(BA17="",AZ17&lt;&gt;""),TRUE))</formula>
    </cfRule>
    <cfRule type="expression" dxfId="537" priority="1302">
      <formula>IF(AZ17&gt;=BA17,IF(AZ17="",FALSE,TRUE))</formula>
    </cfRule>
  </conditionalFormatting>
  <conditionalFormatting sqref="BO36:BO42 BM36:BM42 BM48:BM57 BO48:BO57 BM44 BO44">
    <cfRule type="expression" dxfId="536" priority="1295">
      <formula>OR(IF(BM36&lt;BN36,TRUE),IF(AND(BN36="",BM36&lt;&gt;""),TRUE))</formula>
    </cfRule>
    <cfRule type="expression" dxfId="535" priority="1296">
      <formula>IF(BM36&gt;=BN36,IF(BM36="",FALSE,TRUE))</formula>
    </cfRule>
  </conditionalFormatting>
  <conditionalFormatting sqref="BM20:BM24 BO20:BO24 BM5:BM16">
    <cfRule type="expression" dxfId="534" priority="1293">
      <formula>OR(IF(BM5&lt;BN5,TRUE),IF(AND(BN5="",BM5&lt;&gt;""),TRUE))</formula>
    </cfRule>
    <cfRule type="expression" dxfId="533" priority="1294">
      <formula>IF(BM5&gt;=BN5,IF(BM5="",FALSE,TRUE))</formula>
    </cfRule>
  </conditionalFormatting>
  <conditionalFormatting sqref="BO5:BO16">
    <cfRule type="expression" dxfId="532" priority="1291">
      <formula>OR(IF(BO5&lt;BP5,TRUE),IF(AND(BP5="",BO5&lt;&gt;""),TRUE))</formula>
    </cfRule>
    <cfRule type="expression" dxfId="531" priority="1292">
      <formula>IF(BO5&gt;=BP5,IF(BO5="",FALSE,TRUE))</formula>
    </cfRule>
  </conditionalFormatting>
  <conditionalFormatting sqref="BM34:BM35">
    <cfRule type="expression" dxfId="530" priority="1289">
      <formula>OR(IF(BM34&lt;BN34,TRUE),IF(AND(BN34="",BM34&lt;&gt;""),TRUE))</formula>
    </cfRule>
    <cfRule type="expression" dxfId="529" priority="1290">
      <formula>IF(BM34&gt;=BN34,IF(BM34="",FALSE,TRUE))</formula>
    </cfRule>
  </conditionalFormatting>
  <conditionalFormatting sqref="BO34:BO35">
    <cfRule type="expression" dxfId="528" priority="1287">
      <formula>OR(IF(BO34&lt;BP34,TRUE),IF(AND(BP34="",BO34&lt;&gt;""),TRUE))</formula>
    </cfRule>
    <cfRule type="expression" dxfId="527" priority="1288">
      <formula>IF(BO34&gt;=BP34,IF(BO34="",FALSE,TRUE))</formula>
    </cfRule>
  </conditionalFormatting>
  <conditionalFormatting sqref="BM25">
    <cfRule type="expression" dxfId="526" priority="1285">
      <formula>OR(IF(BM25&lt;BN25,TRUE),IF(AND(BN25="",BM25&lt;&gt;""),TRUE))</formula>
    </cfRule>
    <cfRule type="expression" dxfId="525" priority="1286">
      <formula>IF(BM25&gt;=BN25,IF(BM25="",FALSE,TRUE))</formula>
    </cfRule>
  </conditionalFormatting>
  <conditionalFormatting sqref="BO25">
    <cfRule type="expression" dxfId="524" priority="1283">
      <formula>OR(IF(BO25&lt;BP25,TRUE),IF(AND(BP25="",BO25&lt;&gt;""),TRUE))</formula>
    </cfRule>
    <cfRule type="expression" dxfId="523" priority="1284">
      <formula>IF(BO25&gt;=BP25,IF(BO25="",FALSE,TRUE))</formula>
    </cfRule>
  </conditionalFormatting>
  <conditionalFormatting sqref="BM66:BM77">
    <cfRule type="expression" dxfId="522" priority="1281">
      <formula>OR(IF(BM66&lt;BN66,TRUE),IF(AND(BN66="",BM66&lt;&gt;""),TRUE))</formula>
    </cfRule>
    <cfRule type="expression" dxfId="521" priority="1282">
      <formula>IF(BM66&gt;=BN66,IF(BM66="",FALSE,TRUE))</formula>
    </cfRule>
  </conditionalFormatting>
  <conditionalFormatting sqref="BO66:BO77">
    <cfRule type="expression" dxfId="520" priority="1279">
      <formula>OR(IF(BO66&lt;BP66,TRUE),IF(AND(BP66="",BO66&lt;&gt;""),TRUE))</formula>
    </cfRule>
    <cfRule type="expression" dxfId="519" priority="1280">
      <formula>IF(BO66&gt;=BP66,IF(BO66="",FALSE,TRUE))</formula>
    </cfRule>
  </conditionalFormatting>
  <conditionalFormatting sqref="BM81:BM92">
    <cfRule type="expression" dxfId="518" priority="1277">
      <formula>OR(IF(BM81&lt;BN81,TRUE),IF(AND(BN81="",BM81&lt;&gt;""),TRUE))</formula>
    </cfRule>
    <cfRule type="expression" dxfId="517" priority="1278">
      <formula>IF(BM81&gt;=BN81,IF(BM81="",FALSE,TRUE))</formula>
    </cfRule>
  </conditionalFormatting>
  <conditionalFormatting sqref="BO81:BO92">
    <cfRule type="expression" dxfId="516" priority="1275">
      <formula>OR(IF(BO81&lt;BP81,TRUE),IF(AND(BP81="",BO81&lt;&gt;""),TRUE))</formula>
    </cfRule>
    <cfRule type="expression" dxfId="515" priority="1276">
      <formula>IF(BO81&gt;=BP81,IF(BO81="",FALSE,TRUE))</formula>
    </cfRule>
  </conditionalFormatting>
  <conditionalFormatting sqref="BM26 BO26">
    <cfRule type="expression" dxfId="514" priority="1177">
      <formula>OR(IF(BM26&lt;BN26,TRUE),IF(AND(BN26="",BM26&lt;&gt;""),TRUE))</formula>
    </cfRule>
    <cfRule type="expression" dxfId="513" priority="1178">
      <formula>IF(BM26&gt;=BN26,IF(BM26="",FALSE,TRUE))</formula>
    </cfRule>
  </conditionalFormatting>
  <conditionalFormatting sqref="BM27 BO27">
    <cfRule type="expression" dxfId="512" priority="1175">
      <formula>OR(IF(BM27&lt;BN27,TRUE),IF(AND(BN27="",BM27&lt;&gt;""),TRUE))</formula>
    </cfRule>
    <cfRule type="expression" dxfId="511" priority="1176">
      <formula>IF(BM27&gt;=BN27,IF(BM27="",FALSE,TRUE))</formula>
    </cfRule>
  </conditionalFormatting>
  <conditionalFormatting sqref="BM28 BO28">
    <cfRule type="expression" dxfId="510" priority="1173">
      <formula>OR(IF(BM28&lt;BN28,TRUE),IF(AND(BN28="",BM28&lt;&gt;""),TRUE))</formula>
    </cfRule>
    <cfRule type="expression" dxfId="509" priority="1174">
      <formula>IF(BM28&gt;=BN28,IF(BM28="",FALSE,TRUE))</formula>
    </cfRule>
  </conditionalFormatting>
  <conditionalFormatting sqref="BM29 BO29">
    <cfRule type="expression" dxfId="508" priority="1171">
      <formula>OR(IF(BM29&lt;BN29,TRUE),IF(AND(BN29="",BM29&lt;&gt;""),TRUE))</formula>
    </cfRule>
    <cfRule type="expression" dxfId="507" priority="1172">
      <formula>IF(BM29&gt;=BN29,IF(BM29="",FALSE,TRUE))</formula>
    </cfRule>
  </conditionalFormatting>
  <conditionalFormatting sqref="BM30 BO30">
    <cfRule type="expression" dxfId="506" priority="1169">
      <formula>OR(IF(BM30&lt;BN30,TRUE),IF(AND(BN30="",BM30&lt;&gt;""),TRUE))</formula>
    </cfRule>
    <cfRule type="expression" dxfId="505" priority="1170">
      <formula>IF(BM30&gt;=BN30,IF(BM30="",FALSE,TRUE))</formula>
    </cfRule>
  </conditionalFormatting>
  <conditionalFormatting sqref="BM31 BO31">
    <cfRule type="expression" dxfId="504" priority="1167">
      <formula>OR(IF(BM31&lt;BN31,TRUE),IF(AND(BN31="",BM31&lt;&gt;""),TRUE))</formula>
    </cfRule>
    <cfRule type="expression" dxfId="503" priority="1168">
      <formula>IF(BM31&gt;=BN31,IF(BM31="",FALSE,TRUE))</formula>
    </cfRule>
  </conditionalFormatting>
  <conditionalFormatting sqref="BM78">
    <cfRule type="expression" dxfId="502" priority="1165">
      <formula>OR(IF(BM78&lt;BN78,TRUE),IF(AND(BN78="",BM78&lt;&gt;""),TRUE))</formula>
    </cfRule>
    <cfRule type="expression" dxfId="501" priority="1166">
      <formula>IF(BM78&gt;=BN78,IF(BM78="",FALSE,TRUE))</formula>
    </cfRule>
  </conditionalFormatting>
  <conditionalFormatting sqref="BO78">
    <cfRule type="expression" dxfId="500" priority="1163">
      <formula>OR(IF(BO78&lt;BP78,TRUE),IF(AND(BP78="",BO78&lt;&gt;""),TRUE))</formula>
    </cfRule>
    <cfRule type="expression" dxfId="499" priority="1164">
      <formula>IF(BO78&gt;=BP78,IF(BO78="",FALSE,TRUE))</formula>
    </cfRule>
  </conditionalFormatting>
  <conditionalFormatting sqref="BM93">
    <cfRule type="expression" dxfId="498" priority="1161">
      <formula>OR(IF(BM93&lt;BN93,TRUE),IF(AND(BN93="",BM93&lt;&gt;""),TRUE))</formula>
    </cfRule>
    <cfRule type="expression" dxfId="497" priority="1162">
      <formula>IF(BM93&gt;=BN93,IF(BM93="",FALSE,TRUE))</formula>
    </cfRule>
  </conditionalFormatting>
  <conditionalFormatting sqref="BO93">
    <cfRule type="expression" dxfId="496" priority="1159">
      <formula>OR(IF(BO93&lt;BP93,TRUE),IF(AND(BP93="",BO93&lt;&gt;""),TRUE))</formula>
    </cfRule>
    <cfRule type="expression" dxfId="495" priority="1160">
      <formula>IF(BO93&gt;=BP93,IF(BO93="",FALSE,TRUE))</formula>
    </cfRule>
  </conditionalFormatting>
  <conditionalFormatting sqref="BM17">
    <cfRule type="expression" dxfId="494" priority="1157">
      <formula>OR(IF(BM17&lt;BN17,TRUE),IF(AND(BN17="",BM17&lt;&gt;""),TRUE))</formula>
    </cfRule>
    <cfRule type="expression" dxfId="493" priority="1158">
      <formula>IF(BM17&gt;=BN17,IF(BM17="",FALSE,TRUE))</formula>
    </cfRule>
  </conditionalFormatting>
  <conditionalFormatting sqref="BO17">
    <cfRule type="expression" dxfId="492" priority="1155">
      <formula>OR(IF(BO17&lt;BP17,TRUE),IF(AND(BP17="",BO17&lt;&gt;""),TRUE))</formula>
    </cfRule>
    <cfRule type="expression" dxfId="491" priority="1156">
      <formula>IF(BO17&gt;=BP17,IF(BO17="",FALSE,TRUE))</formula>
    </cfRule>
  </conditionalFormatting>
  <conditionalFormatting sqref="BV36:BV42 BT36:BT42 BT48:BT57 BV48:BV57 BT44 BV44">
    <cfRule type="expression" dxfId="490" priority="1153">
      <formula>OR(IF(BT36&lt;BU36,TRUE),IF(AND(BU36="",BT36&lt;&gt;""),TRUE))</formula>
    </cfRule>
    <cfRule type="expression" dxfId="489" priority="1154">
      <formula>IF(BT36&gt;=BU36,IF(BT36="",FALSE,TRUE))</formula>
    </cfRule>
  </conditionalFormatting>
  <conditionalFormatting sqref="BT20:BT24 BV20:BV24 BT5:BT16">
    <cfRule type="expression" dxfId="488" priority="1151">
      <formula>OR(IF(BT5&lt;BU5,TRUE),IF(AND(BU5="",BT5&lt;&gt;""),TRUE))</formula>
    </cfRule>
    <cfRule type="expression" dxfId="487" priority="1152">
      <formula>IF(BT5&gt;=BU5,IF(BT5="",FALSE,TRUE))</formula>
    </cfRule>
  </conditionalFormatting>
  <conditionalFormatting sqref="BV5:BV16">
    <cfRule type="expression" dxfId="486" priority="1149">
      <formula>OR(IF(BV5&lt;BW5,TRUE),IF(AND(BW5="",BV5&lt;&gt;""),TRUE))</formula>
    </cfRule>
    <cfRule type="expression" dxfId="485" priority="1150">
      <formula>IF(BV5&gt;=BW5,IF(BV5="",FALSE,TRUE))</formula>
    </cfRule>
  </conditionalFormatting>
  <conditionalFormatting sqref="BT34:BT35">
    <cfRule type="expression" dxfId="484" priority="1147">
      <formula>OR(IF(BT34&lt;BU34,TRUE),IF(AND(BU34="",BT34&lt;&gt;""),TRUE))</formula>
    </cfRule>
    <cfRule type="expression" dxfId="483" priority="1148">
      <formula>IF(BT34&gt;=BU34,IF(BT34="",FALSE,TRUE))</formula>
    </cfRule>
  </conditionalFormatting>
  <conditionalFormatting sqref="BV34:BV35">
    <cfRule type="expression" dxfId="482" priority="1145">
      <formula>OR(IF(BV34&lt;BW34,TRUE),IF(AND(BW34="",BV34&lt;&gt;""),TRUE))</formula>
    </cfRule>
    <cfRule type="expression" dxfId="481" priority="1146">
      <formula>IF(BV34&gt;=BW34,IF(BV34="",FALSE,TRUE))</formula>
    </cfRule>
  </conditionalFormatting>
  <conditionalFormatting sqref="BT25">
    <cfRule type="expression" dxfId="480" priority="1143">
      <formula>OR(IF(BT25&lt;BU25,TRUE),IF(AND(BU25="",BT25&lt;&gt;""),TRUE))</formula>
    </cfRule>
    <cfRule type="expression" dxfId="479" priority="1144">
      <formula>IF(BT25&gt;=BU25,IF(BT25="",FALSE,TRUE))</formula>
    </cfRule>
  </conditionalFormatting>
  <conditionalFormatting sqref="BV25">
    <cfRule type="expression" dxfId="478" priority="1141">
      <formula>OR(IF(BV25&lt;BW25,TRUE),IF(AND(BW25="",BV25&lt;&gt;""),TRUE))</formula>
    </cfRule>
    <cfRule type="expression" dxfId="477" priority="1142">
      <formula>IF(BV25&gt;=BW25,IF(BV25="",FALSE,TRUE))</formula>
    </cfRule>
  </conditionalFormatting>
  <conditionalFormatting sqref="BT66:BT77">
    <cfRule type="expression" dxfId="476" priority="1139">
      <formula>OR(IF(BT66&lt;BU66,TRUE),IF(AND(BU66="",BT66&lt;&gt;""),TRUE))</formula>
    </cfRule>
    <cfRule type="expression" dxfId="475" priority="1140">
      <formula>IF(BT66&gt;=BU66,IF(BT66="",FALSE,TRUE))</formula>
    </cfRule>
  </conditionalFormatting>
  <conditionalFormatting sqref="BV66:BV77">
    <cfRule type="expression" dxfId="474" priority="1137">
      <formula>OR(IF(BV66&lt;BW66,TRUE),IF(AND(BW66="",BV66&lt;&gt;""),TRUE))</formula>
    </cfRule>
    <cfRule type="expression" dxfId="473" priority="1138">
      <formula>IF(BV66&gt;=BW66,IF(BV66="",FALSE,TRUE))</formula>
    </cfRule>
  </conditionalFormatting>
  <conditionalFormatting sqref="BT81:BT92">
    <cfRule type="expression" dxfId="472" priority="1135">
      <formula>OR(IF(BT81&lt;BU81,TRUE),IF(AND(BU81="",BT81&lt;&gt;""),TRUE))</formula>
    </cfRule>
    <cfRule type="expression" dxfId="471" priority="1136">
      <formula>IF(BT81&gt;=BU81,IF(BT81="",FALSE,TRUE))</formula>
    </cfRule>
  </conditionalFormatting>
  <conditionalFormatting sqref="BV81:BV92">
    <cfRule type="expression" dxfId="470" priority="1133">
      <formula>OR(IF(BV81&lt;BW81,TRUE),IF(AND(BW81="",BV81&lt;&gt;""),TRUE))</formula>
    </cfRule>
    <cfRule type="expression" dxfId="469" priority="1134">
      <formula>IF(BV81&gt;=BW81,IF(BV81="",FALSE,TRUE))</formula>
    </cfRule>
  </conditionalFormatting>
  <conditionalFormatting sqref="BT26 BV26">
    <cfRule type="expression" dxfId="468" priority="1035">
      <formula>OR(IF(BT26&lt;BU26,TRUE),IF(AND(BU26="",BT26&lt;&gt;""),TRUE))</formula>
    </cfRule>
    <cfRule type="expression" dxfId="467" priority="1036">
      <formula>IF(BT26&gt;=BU26,IF(BT26="",FALSE,TRUE))</formula>
    </cfRule>
  </conditionalFormatting>
  <conditionalFormatting sqref="BT27 BV27">
    <cfRule type="expression" dxfId="466" priority="1033">
      <formula>OR(IF(BT27&lt;BU27,TRUE),IF(AND(BU27="",BT27&lt;&gt;""),TRUE))</formula>
    </cfRule>
    <cfRule type="expression" dxfId="465" priority="1034">
      <formula>IF(BT27&gt;=BU27,IF(BT27="",FALSE,TRUE))</formula>
    </cfRule>
  </conditionalFormatting>
  <conditionalFormatting sqref="BT28 BV28">
    <cfRule type="expression" dxfId="464" priority="1031">
      <formula>OR(IF(BT28&lt;BU28,TRUE),IF(AND(BU28="",BT28&lt;&gt;""),TRUE))</formula>
    </cfRule>
    <cfRule type="expression" dxfId="463" priority="1032">
      <formula>IF(BT28&gt;=BU28,IF(BT28="",FALSE,TRUE))</formula>
    </cfRule>
  </conditionalFormatting>
  <conditionalFormatting sqref="BT29 BV29">
    <cfRule type="expression" dxfId="462" priority="1029">
      <formula>OR(IF(BT29&lt;BU29,TRUE),IF(AND(BU29="",BT29&lt;&gt;""),TRUE))</formula>
    </cfRule>
    <cfRule type="expression" dxfId="461" priority="1030">
      <formula>IF(BT29&gt;=BU29,IF(BT29="",FALSE,TRUE))</formula>
    </cfRule>
  </conditionalFormatting>
  <conditionalFormatting sqref="BT30 BV30">
    <cfRule type="expression" dxfId="460" priority="1027">
      <formula>OR(IF(BT30&lt;BU30,TRUE),IF(AND(BU30="",BT30&lt;&gt;""),TRUE))</formula>
    </cfRule>
    <cfRule type="expression" dxfId="459" priority="1028">
      <formula>IF(BT30&gt;=BU30,IF(BT30="",FALSE,TRUE))</formula>
    </cfRule>
  </conditionalFormatting>
  <conditionalFormatting sqref="BT31 BV31">
    <cfRule type="expression" dxfId="458" priority="1025">
      <formula>OR(IF(BT31&lt;BU31,TRUE),IF(AND(BU31="",BT31&lt;&gt;""),TRUE))</formula>
    </cfRule>
    <cfRule type="expression" dxfId="457" priority="1026">
      <formula>IF(BT31&gt;=BU31,IF(BT31="",FALSE,TRUE))</formula>
    </cfRule>
  </conditionalFormatting>
  <conditionalFormatting sqref="BT78">
    <cfRule type="expression" dxfId="456" priority="1023">
      <formula>OR(IF(BT78&lt;BU78,TRUE),IF(AND(BU78="",BT78&lt;&gt;""),TRUE))</formula>
    </cfRule>
    <cfRule type="expression" dxfId="455" priority="1024">
      <formula>IF(BT78&gt;=BU78,IF(BT78="",FALSE,TRUE))</formula>
    </cfRule>
  </conditionalFormatting>
  <conditionalFormatting sqref="BV78">
    <cfRule type="expression" dxfId="454" priority="1021">
      <formula>OR(IF(BV78&lt;BW78,TRUE),IF(AND(BW78="",BV78&lt;&gt;""),TRUE))</formula>
    </cfRule>
    <cfRule type="expression" dxfId="453" priority="1022">
      <formula>IF(BV78&gt;=BW78,IF(BV78="",FALSE,TRUE))</formula>
    </cfRule>
  </conditionalFormatting>
  <conditionalFormatting sqref="BT93">
    <cfRule type="expression" dxfId="452" priority="1019">
      <formula>OR(IF(BT93&lt;BU93,TRUE),IF(AND(BU93="",BT93&lt;&gt;""),TRUE))</formula>
    </cfRule>
    <cfRule type="expression" dxfId="451" priority="1020">
      <formula>IF(BT93&gt;=BU93,IF(BT93="",FALSE,TRUE))</formula>
    </cfRule>
  </conditionalFormatting>
  <conditionalFormatting sqref="BV93">
    <cfRule type="expression" dxfId="450" priority="1017">
      <formula>OR(IF(BV93&lt;BW93,TRUE),IF(AND(BW93="",BV93&lt;&gt;""),TRUE))</formula>
    </cfRule>
    <cfRule type="expression" dxfId="449" priority="1018">
      <formula>IF(BV93&gt;=BW93,IF(BV93="",FALSE,TRUE))</formula>
    </cfRule>
  </conditionalFormatting>
  <conditionalFormatting sqref="BT17">
    <cfRule type="expression" dxfId="448" priority="1015">
      <formula>OR(IF(BT17&lt;BU17,TRUE),IF(AND(BU17="",BT17&lt;&gt;""),TRUE))</formula>
    </cfRule>
    <cfRule type="expression" dxfId="447" priority="1016">
      <formula>IF(BT17&gt;=BU17,IF(BT17="",FALSE,TRUE))</formula>
    </cfRule>
  </conditionalFormatting>
  <conditionalFormatting sqref="BV17">
    <cfRule type="expression" dxfId="446" priority="1013">
      <formula>OR(IF(BV17&lt;BW17,TRUE),IF(AND(BW17="",BV17&lt;&gt;""),TRUE))</formula>
    </cfRule>
    <cfRule type="expression" dxfId="445" priority="1014">
      <formula>IF(BV17&gt;=BW17,IF(BV17="",FALSE,TRUE))</formula>
    </cfRule>
  </conditionalFormatting>
  <conditionalFormatting sqref="CC36:CC42 CA36:CA42 CA48:CA57 CC48:CC57 CA44 CC44">
    <cfRule type="expression" dxfId="444" priority="1011">
      <formula>OR(IF(CA36&lt;CB36,TRUE),IF(AND(CB36="",CA36&lt;&gt;""),TRUE))</formula>
    </cfRule>
    <cfRule type="expression" dxfId="443" priority="1012">
      <formula>IF(CA36&gt;=CB36,IF(CA36="",FALSE,TRUE))</formula>
    </cfRule>
  </conditionalFormatting>
  <conditionalFormatting sqref="CA20:CA24 CC20:CC24 CA5:CA16">
    <cfRule type="expression" dxfId="442" priority="1009">
      <formula>OR(IF(CA5&lt;CB5,TRUE),IF(AND(CB5="",CA5&lt;&gt;""),TRUE))</formula>
    </cfRule>
    <cfRule type="expression" dxfId="441" priority="1010">
      <formula>IF(CA5&gt;=CB5,IF(CA5="",FALSE,TRUE))</formula>
    </cfRule>
  </conditionalFormatting>
  <conditionalFormatting sqref="CC5:CC16">
    <cfRule type="expression" dxfId="440" priority="1007">
      <formula>OR(IF(CC5&lt;CD5,TRUE),IF(AND(CD5="",CC5&lt;&gt;""),TRUE))</formula>
    </cfRule>
    <cfRule type="expression" dxfId="439" priority="1008">
      <formula>IF(CC5&gt;=CD5,IF(CC5="",FALSE,TRUE))</formula>
    </cfRule>
  </conditionalFormatting>
  <conditionalFormatting sqref="CA34:CA35">
    <cfRule type="expression" dxfId="438" priority="1005">
      <formula>OR(IF(CA34&lt;CB34,TRUE),IF(AND(CB34="",CA34&lt;&gt;""),TRUE))</formula>
    </cfRule>
    <cfRule type="expression" dxfId="437" priority="1006">
      <formula>IF(CA34&gt;=CB34,IF(CA34="",FALSE,TRUE))</formula>
    </cfRule>
  </conditionalFormatting>
  <conditionalFormatting sqref="CC34:CC35">
    <cfRule type="expression" dxfId="436" priority="1003">
      <formula>OR(IF(CC34&lt;CD34,TRUE),IF(AND(CD34="",CC34&lt;&gt;""),TRUE))</formula>
    </cfRule>
    <cfRule type="expression" dxfId="435" priority="1004">
      <formula>IF(CC34&gt;=CD34,IF(CC34="",FALSE,TRUE))</formula>
    </cfRule>
  </conditionalFormatting>
  <conditionalFormatting sqref="CA25">
    <cfRule type="expression" dxfId="434" priority="1001">
      <formula>OR(IF(CA25&lt;CB25,TRUE),IF(AND(CB25="",CA25&lt;&gt;""),TRUE))</formula>
    </cfRule>
    <cfRule type="expression" dxfId="433" priority="1002">
      <formula>IF(CA25&gt;=CB25,IF(CA25="",FALSE,TRUE))</formula>
    </cfRule>
  </conditionalFormatting>
  <conditionalFormatting sqref="CC25">
    <cfRule type="expression" dxfId="432" priority="999">
      <formula>OR(IF(CC25&lt;CD25,TRUE),IF(AND(CD25="",CC25&lt;&gt;""),TRUE))</formula>
    </cfRule>
    <cfRule type="expression" dxfId="431" priority="1000">
      <formula>IF(CC25&gt;=CD25,IF(CC25="",FALSE,TRUE))</formula>
    </cfRule>
  </conditionalFormatting>
  <conditionalFormatting sqref="CA66:CA77">
    <cfRule type="expression" dxfId="430" priority="997">
      <formula>OR(IF(CA66&lt;CB66,TRUE),IF(AND(CB66="",CA66&lt;&gt;""),TRUE))</formula>
    </cfRule>
    <cfRule type="expression" dxfId="429" priority="998">
      <formula>IF(CA66&gt;=CB66,IF(CA66="",FALSE,TRUE))</formula>
    </cfRule>
  </conditionalFormatting>
  <conditionalFormatting sqref="CC66:CC77">
    <cfRule type="expression" dxfId="428" priority="995">
      <formula>OR(IF(CC66&lt;CD66,TRUE),IF(AND(CD66="",CC66&lt;&gt;""),TRUE))</formula>
    </cfRule>
    <cfRule type="expression" dxfId="427" priority="996">
      <formula>IF(CC66&gt;=CD66,IF(CC66="",FALSE,TRUE))</formula>
    </cfRule>
  </conditionalFormatting>
  <conditionalFormatting sqref="CA81:CA92">
    <cfRule type="expression" dxfId="426" priority="993">
      <formula>OR(IF(CA81&lt;CB81,TRUE),IF(AND(CB81="",CA81&lt;&gt;""),TRUE))</formula>
    </cfRule>
    <cfRule type="expression" dxfId="425" priority="994">
      <formula>IF(CA81&gt;=CB81,IF(CA81="",FALSE,TRUE))</formula>
    </cfRule>
  </conditionalFormatting>
  <conditionalFormatting sqref="CC81:CC92">
    <cfRule type="expression" dxfId="424" priority="991">
      <formula>OR(IF(CC81&lt;CD81,TRUE),IF(AND(CD81="",CC81&lt;&gt;""),TRUE))</formula>
    </cfRule>
    <cfRule type="expression" dxfId="423" priority="992">
      <formula>IF(CC81&gt;=CD81,IF(CC81="",FALSE,TRUE))</formula>
    </cfRule>
  </conditionalFormatting>
  <conditionalFormatting sqref="CA26 CC26">
    <cfRule type="expression" dxfId="422" priority="893">
      <formula>OR(IF(CA26&lt;CB26,TRUE),IF(AND(CB26="",CA26&lt;&gt;""),TRUE))</formula>
    </cfRule>
    <cfRule type="expression" dxfId="421" priority="894">
      <formula>IF(CA26&gt;=CB26,IF(CA26="",FALSE,TRUE))</formula>
    </cfRule>
  </conditionalFormatting>
  <conditionalFormatting sqref="CA27 CC27">
    <cfRule type="expression" dxfId="420" priority="891">
      <formula>OR(IF(CA27&lt;CB27,TRUE),IF(AND(CB27="",CA27&lt;&gt;""),TRUE))</formula>
    </cfRule>
    <cfRule type="expression" dxfId="419" priority="892">
      <formula>IF(CA27&gt;=CB27,IF(CA27="",FALSE,TRUE))</formula>
    </cfRule>
  </conditionalFormatting>
  <conditionalFormatting sqref="CA28 CC28">
    <cfRule type="expression" dxfId="418" priority="889">
      <formula>OR(IF(CA28&lt;CB28,TRUE),IF(AND(CB28="",CA28&lt;&gt;""),TRUE))</formula>
    </cfRule>
    <cfRule type="expression" dxfId="417" priority="890">
      <formula>IF(CA28&gt;=CB28,IF(CA28="",FALSE,TRUE))</formula>
    </cfRule>
  </conditionalFormatting>
  <conditionalFormatting sqref="CA29 CC29">
    <cfRule type="expression" dxfId="416" priority="887">
      <formula>OR(IF(CA29&lt;CB29,TRUE),IF(AND(CB29="",CA29&lt;&gt;""),TRUE))</formula>
    </cfRule>
    <cfRule type="expression" dxfId="415" priority="888">
      <formula>IF(CA29&gt;=CB29,IF(CA29="",FALSE,TRUE))</formula>
    </cfRule>
  </conditionalFormatting>
  <conditionalFormatting sqref="CA30 CC30">
    <cfRule type="expression" dxfId="414" priority="885">
      <formula>OR(IF(CA30&lt;CB30,TRUE),IF(AND(CB30="",CA30&lt;&gt;""),TRUE))</formula>
    </cfRule>
    <cfRule type="expression" dxfId="413" priority="886">
      <formula>IF(CA30&gt;=CB30,IF(CA30="",FALSE,TRUE))</formula>
    </cfRule>
  </conditionalFormatting>
  <conditionalFormatting sqref="CA31 CC31">
    <cfRule type="expression" dxfId="412" priority="883">
      <formula>OR(IF(CA31&lt;CB31,TRUE),IF(AND(CB31="",CA31&lt;&gt;""),TRUE))</formula>
    </cfRule>
    <cfRule type="expression" dxfId="411" priority="884">
      <formula>IF(CA31&gt;=CB31,IF(CA31="",FALSE,TRUE))</formula>
    </cfRule>
  </conditionalFormatting>
  <conditionalFormatting sqref="CA78">
    <cfRule type="expression" dxfId="410" priority="881">
      <formula>OR(IF(CA78&lt;CB78,TRUE),IF(AND(CB78="",CA78&lt;&gt;""),TRUE))</formula>
    </cfRule>
    <cfRule type="expression" dxfId="409" priority="882">
      <formula>IF(CA78&gt;=CB78,IF(CA78="",FALSE,TRUE))</formula>
    </cfRule>
  </conditionalFormatting>
  <conditionalFormatting sqref="CC78">
    <cfRule type="expression" dxfId="408" priority="879">
      <formula>OR(IF(CC78&lt;CD78,TRUE),IF(AND(CD78="",CC78&lt;&gt;""),TRUE))</formula>
    </cfRule>
    <cfRule type="expression" dxfId="407" priority="880">
      <formula>IF(CC78&gt;=CD78,IF(CC78="",FALSE,TRUE))</formula>
    </cfRule>
  </conditionalFormatting>
  <conditionalFormatting sqref="CA93">
    <cfRule type="expression" dxfId="406" priority="877">
      <formula>OR(IF(CA93&lt;CB93,TRUE),IF(AND(CB93="",CA93&lt;&gt;""),TRUE))</formula>
    </cfRule>
    <cfRule type="expression" dxfId="405" priority="878">
      <formula>IF(CA93&gt;=CB93,IF(CA93="",FALSE,TRUE))</formula>
    </cfRule>
  </conditionalFormatting>
  <conditionalFormatting sqref="CC93">
    <cfRule type="expression" dxfId="404" priority="875">
      <formula>OR(IF(CC93&lt;CD93,TRUE),IF(AND(CD93="",CC93&lt;&gt;""),TRUE))</formula>
    </cfRule>
    <cfRule type="expression" dxfId="403" priority="876">
      <formula>IF(CC93&gt;=CD93,IF(CC93="",FALSE,TRUE))</formula>
    </cfRule>
  </conditionalFormatting>
  <conditionalFormatting sqref="CA17">
    <cfRule type="expression" dxfId="402" priority="873">
      <formula>OR(IF(CA17&lt;CB17,TRUE),IF(AND(CB17="",CA17&lt;&gt;""),TRUE))</formula>
    </cfRule>
    <cfRule type="expression" dxfId="401" priority="874">
      <formula>IF(CA17&gt;=CB17,IF(CA17="",FALSE,TRUE))</formula>
    </cfRule>
  </conditionalFormatting>
  <conditionalFormatting sqref="CC17">
    <cfRule type="expression" dxfId="400" priority="871">
      <formula>OR(IF(CC17&lt;CD17,TRUE),IF(AND(CD17="",CC17&lt;&gt;""),TRUE))</formula>
    </cfRule>
    <cfRule type="expression" dxfId="399" priority="872">
      <formula>IF(CC17&gt;=CD17,IF(CC17="",FALSE,TRUE))</formula>
    </cfRule>
  </conditionalFormatting>
  <conditionalFormatting sqref="CJ36:CJ42 CH36:CH42 CH48:CH57 CJ48:CJ57 CH44 CJ44">
    <cfRule type="expression" dxfId="398" priority="869">
      <formula>OR(IF(CH36&lt;CI36,TRUE),IF(AND(CI36="",CH36&lt;&gt;""),TRUE))</formula>
    </cfRule>
    <cfRule type="expression" dxfId="397" priority="870">
      <formula>IF(CH36&gt;=CI36,IF(CH36="",FALSE,TRUE))</formula>
    </cfRule>
  </conditionalFormatting>
  <conditionalFormatting sqref="CH20:CH24 CJ20:CJ24 CH5:CH16">
    <cfRule type="expression" dxfId="396" priority="867">
      <formula>OR(IF(CH5&lt;CI5,TRUE),IF(AND(CI5="",CH5&lt;&gt;""),TRUE))</formula>
    </cfRule>
    <cfRule type="expression" dxfId="395" priority="868">
      <formula>IF(CH5&gt;=CI5,IF(CH5="",FALSE,TRUE))</formula>
    </cfRule>
  </conditionalFormatting>
  <conditionalFormatting sqref="CJ5:CJ16">
    <cfRule type="expression" dxfId="394" priority="865">
      <formula>OR(IF(CJ5&lt;CK5,TRUE),IF(AND(CK5="",CJ5&lt;&gt;""),TRUE))</formula>
    </cfRule>
    <cfRule type="expression" dxfId="393" priority="866">
      <formula>IF(CJ5&gt;=CK5,IF(CJ5="",FALSE,TRUE))</formula>
    </cfRule>
  </conditionalFormatting>
  <conditionalFormatting sqref="CH34:CH35">
    <cfRule type="expression" dxfId="392" priority="863">
      <formula>OR(IF(CH34&lt;CI34,TRUE),IF(AND(CI34="",CH34&lt;&gt;""),TRUE))</formula>
    </cfRule>
    <cfRule type="expression" dxfId="391" priority="864">
      <formula>IF(CH34&gt;=CI34,IF(CH34="",FALSE,TRUE))</formula>
    </cfRule>
  </conditionalFormatting>
  <conditionalFormatting sqref="CJ34:CJ35">
    <cfRule type="expression" dxfId="390" priority="861">
      <formula>OR(IF(CJ34&lt;CK34,TRUE),IF(AND(CK34="",CJ34&lt;&gt;""),TRUE))</formula>
    </cfRule>
    <cfRule type="expression" dxfId="389" priority="862">
      <formula>IF(CJ34&gt;=CK34,IF(CJ34="",FALSE,TRUE))</formula>
    </cfRule>
  </conditionalFormatting>
  <conditionalFormatting sqref="CH25">
    <cfRule type="expression" dxfId="388" priority="859">
      <formula>OR(IF(CH25&lt;CI25,TRUE),IF(AND(CI25="",CH25&lt;&gt;""),TRUE))</formula>
    </cfRule>
    <cfRule type="expression" dxfId="387" priority="860">
      <formula>IF(CH25&gt;=CI25,IF(CH25="",FALSE,TRUE))</formula>
    </cfRule>
  </conditionalFormatting>
  <conditionalFormatting sqref="CJ25">
    <cfRule type="expression" dxfId="386" priority="857">
      <formula>OR(IF(CJ25&lt;CK25,TRUE),IF(AND(CK25="",CJ25&lt;&gt;""),TRUE))</formula>
    </cfRule>
    <cfRule type="expression" dxfId="385" priority="858">
      <formula>IF(CJ25&gt;=CK25,IF(CJ25="",FALSE,TRUE))</formula>
    </cfRule>
  </conditionalFormatting>
  <conditionalFormatting sqref="CH66:CH77">
    <cfRule type="expression" dxfId="384" priority="855">
      <formula>OR(IF(CH66&lt;CI66,TRUE),IF(AND(CI66="",CH66&lt;&gt;""),TRUE))</formula>
    </cfRule>
    <cfRule type="expression" dxfId="383" priority="856">
      <formula>IF(CH66&gt;=CI66,IF(CH66="",FALSE,TRUE))</formula>
    </cfRule>
  </conditionalFormatting>
  <conditionalFormatting sqref="CJ66:CJ77">
    <cfRule type="expression" dxfId="382" priority="853">
      <formula>OR(IF(CJ66&lt;CK66,TRUE),IF(AND(CK66="",CJ66&lt;&gt;""),TRUE))</formula>
    </cfRule>
    <cfRule type="expression" dxfId="381" priority="854">
      <formula>IF(CJ66&gt;=CK66,IF(CJ66="",FALSE,TRUE))</formula>
    </cfRule>
  </conditionalFormatting>
  <conditionalFormatting sqref="CH81:CH92">
    <cfRule type="expression" dxfId="380" priority="851">
      <formula>OR(IF(CH81&lt;CI81,TRUE),IF(AND(CI81="",CH81&lt;&gt;""),TRUE))</formula>
    </cfRule>
    <cfRule type="expression" dxfId="379" priority="852">
      <formula>IF(CH81&gt;=CI81,IF(CH81="",FALSE,TRUE))</formula>
    </cfRule>
  </conditionalFormatting>
  <conditionalFormatting sqref="CJ81:CJ92">
    <cfRule type="expression" dxfId="378" priority="849">
      <formula>OR(IF(CJ81&lt;CK81,TRUE),IF(AND(CK81="",CJ81&lt;&gt;""),TRUE))</formula>
    </cfRule>
    <cfRule type="expression" dxfId="377" priority="850">
      <formula>IF(CJ81&gt;=CK81,IF(CJ81="",FALSE,TRUE))</formula>
    </cfRule>
  </conditionalFormatting>
  <conditionalFormatting sqref="CH26 CJ26">
    <cfRule type="expression" dxfId="376" priority="751">
      <formula>OR(IF(CH26&lt;CI26,TRUE),IF(AND(CI26="",CH26&lt;&gt;""),TRUE))</formula>
    </cfRule>
    <cfRule type="expression" dxfId="375" priority="752">
      <formula>IF(CH26&gt;=CI26,IF(CH26="",FALSE,TRUE))</formula>
    </cfRule>
  </conditionalFormatting>
  <conditionalFormatting sqref="CH27 CJ27">
    <cfRule type="expression" dxfId="374" priority="749">
      <formula>OR(IF(CH27&lt;CI27,TRUE),IF(AND(CI27="",CH27&lt;&gt;""),TRUE))</formula>
    </cfRule>
    <cfRule type="expression" dxfId="373" priority="750">
      <formula>IF(CH27&gt;=CI27,IF(CH27="",FALSE,TRUE))</formula>
    </cfRule>
  </conditionalFormatting>
  <conditionalFormatting sqref="CH28 CJ28">
    <cfRule type="expression" dxfId="372" priority="747">
      <formula>OR(IF(CH28&lt;CI28,TRUE),IF(AND(CI28="",CH28&lt;&gt;""),TRUE))</formula>
    </cfRule>
    <cfRule type="expression" dxfId="371" priority="748">
      <formula>IF(CH28&gt;=CI28,IF(CH28="",FALSE,TRUE))</formula>
    </cfRule>
  </conditionalFormatting>
  <conditionalFormatting sqref="CH29 CJ29">
    <cfRule type="expression" dxfId="370" priority="745">
      <formula>OR(IF(CH29&lt;CI29,TRUE),IF(AND(CI29="",CH29&lt;&gt;""),TRUE))</formula>
    </cfRule>
    <cfRule type="expression" dxfId="369" priority="746">
      <formula>IF(CH29&gt;=CI29,IF(CH29="",FALSE,TRUE))</formula>
    </cfRule>
  </conditionalFormatting>
  <conditionalFormatting sqref="CH30 CJ30">
    <cfRule type="expression" dxfId="368" priority="743">
      <formula>OR(IF(CH30&lt;CI30,TRUE),IF(AND(CI30="",CH30&lt;&gt;""),TRUE))</formula>
    </cfRule>
    <cfRule type="expression" dxfId="367" priority="744">
      <formula>IF(CH30&gt;=CI30,IF(CH30="",FALSE,TRUE))</formula>
    </cfRule>
  </conditionalFormatting>
  <conditionalFormatting sqref="CH31 CJ31">
    <cfRule type="expression" dxfId="366" priority="741">
      <formula>OR(IF(CH31&lt;CI31,TRUE),IF(AND(CI31="",CH31&lt;&gt;""),TRUE))</formula>
    </cfRule>
    <cfRule type="expression" dxfId="365" priority="742">
      <formula>IF(CH31&gt;=CI31,IF(CH31="",FALSE,TRUE))</formula>
    </cfRule>
  </conditionalFormatting>
  <conditionalFormatting sqref="CH78">
    <cfRule type="expression" dxfId="364" priority="739">
      <formula>OR(IF(CH78&lt;CI78,TRUE),IF(AND(CI78="",CH78&lt;&gt;""),TRUE))</formula>
    </cfRule>
    <cfRule type="expression" dxfId="363" priority="740">
      <formula>IF(CH78&gt;=CI78,IF(CH78="",FALSE,TRUE))</formula>
    </cfRule>
  </conditionalFormatting>
  <conditionalFormatting sqref="CJ78">
    <cfRule type="expression" dxfId="362" priority="737">
      <formula>OR(IF(CJ78&lt;CK78,TRUE),IF(AND(CK78="",CJ78&lt;&gt;""),TRUE))</formula>
    </cfRule>
    <cfRule type="expression" dxfId="361" priority="738">
      <formula>IF(CJ78&gt;=CK78,IF(CJ78="",FALSE,TRUE))</formula>
    </cfRule>
  </conditionalFormatting>
  <conditionalFormatting sqref="CH93">
    <cfRule type="expression" dxfId="360" priority="735">
      <formula>OR(IF(CH93&lt;CI93,TRUE),IF(AND(CI93="",CH93&lt;&gt;""),TRUE))</formula>
    </cfRule>
    <cfRule type="expression" dxfId="359" priority="736">
      <formula>IF(CH93&gt;=CI93,IF(CH93="",FALSE,TRUE))</formula>
    </cfRule>
  </conditionalFormatting>
  <conditionalFormatting sqref="CJ93">
    <cfRule type="expression" dxfId="358" priority="733">
      <formula>OR(IF(CJ93&lt;CK93,TRUE),IF(AND(CK93="",CJ93&lt;&gt;""),TRUE))</formula>
    </cfRule>
    <cfRule type="expression" dxfId="357" priority="734">
      <formula>IF(CJ93&gt;=CK93,IF(CJ93="",FALSE,TRUE))</formula>
    </cfRule>
  </conditionalFormatting>
  <conditionalFormatting sqref="CH17">
    <cfRule type="expression" dxfId="356" priority="731">
      <formula>OR(IF(CH17&lt;CI17,TRUE),IF(AND(CI17="",CH17&lt;&gt;""),TRUE))</formula>
    </cfRule>
    <cfRule type="expression" dxfId="355" priority="732">
      <formula>IF(CH17&gt;=CI17,IF(CH17="",FALSE,TRUE))</formula>
    </cfRule>
  </conditionalFormatting>
  <conditionalFormatting sqref="CJ17">
    <cfRule type="expression" dxfId="354" priority="729">
      <formula>OR(IF(CJ17&lt;CK17,TRUE),IF(AND(CK17="",CJ17&lt;&gt;""),TRUE))</formula>
    </cfRule>
    <cfRule type="expression" dxfId="353" priority="730">
      <formula>IF(CJ17&gt;=CK17,IF(CJ17="",FALSE,TRUE))</formula>
    </cfRule>
  </conditionalFormatting>
  <conditionalFormatting sqref="CQ36:CQ42 CO36:CO42 CO48:CO57 CQ48:CQ57 CO44 CQ44">
    <cfRule type="expression" dxfId="352" priority="727">
      <formula>OR(IF(CO36&lt;CP36,TRUE),IF(AND(CP36="",CO36&lt;&gt;""),TRUE))</formula>
    </cfRule>
    <cfRule type="expression" dxfId="351" priority="728">
      <formula>IF(CO36&gt;=CP36,IF(CO36="",FALSE,TRUE))</formula>
    </cfRule>
  </conditionalFormatting>
  <conditionalFormatting sqref="CO20:CO24 CQ20:CQ24 CO5:CO16">
    <cfRule type="expression" dxfId="350" priority="725">
      <formula>OR(IF(CO5&lt;CP5,TRUE),IF(AND(CP5="",CO5&lt;&gt;""),TRUE))</formula>
    </cfRule>
    <cfRule type="expression" dxfId="349" priority="726">
      <formula>IF(CO5&gt;=CP5,IF(CO5="",FALSE,TRUE))</formula>
    </cfRule>
  </conditionalFormatting>
  <conditionalFormatting sqref="CQ5:CQ16">
    <cfRule type="expression" dxfId="348" priority="723">
      <formula>OR(IF(CQ5&lt;CR5,TRUE),IF(AND(CR5="",CQ5&lt;&gt;""),TRUE))</formula>
    </cfRule>
    <cfRule type="expression" dxfId="347" priority="724">
      <formula>IF(CQ5&gt;=CR5,IF(CQ5="",FALSE,TRUE))</formula>
    </cfRule>
  </conditionalFormatting>
  <conditionalFormatting sqref="CO34:CO35">
    <cfRule type="expression" dxfId="346" priority="721">
      <formula>OR(IF(CO34&lt;CP34,TRUE),IF(AND(CP34="",CO34&lt;&gt;""),TRUE))</formula>
    </cfRule>
    <cfRule type="expression" dxfId="345" priority="722">
      <formula>IF(CO34&gt;=CP34,IF(CO34="",FALSE,TRUE))</formula>
    </cfRule>
  </conditionalFormatting>
  <conditionalFormatting sqref="CQ34:CQ35">
    <cfRule type="expression" dxfId="344" priority="719">
      <formula>OR(IF(CQ34&lt;CR34,TRUE),IF(AND(CR34="",CQ34&lt;&gt;""),TRUE))</formula>
    </cfRule>
    <cfRule type="expression" dxfId="343" priority="720">
      <formula>IF(CQ34&gt;=CR34,IF(CQ34="",FALSE,TRUE))</formula>
    </cfRule>
  </conditionalFormatting>
  <conditionalFormatting sqref="CO25">
    <cfRule type="expression" dxfId="342" priority="717">
      <formula>OR(IF(CO25&lt;CP25,TRUE),IF(AND(CP25="",CO25&lt;&gt;""),TRUE))</formula>
    </cfRule>
    <cfRule type="expression" dxfId="341" priority="718">
      <formula>IF(CO25&gt;=CP25,IF(CO25="",FALSE,TRUE))</formula>
    </cfRule>
  </conditionalFormatting>
  <conditionalFormatting sqref="CQ25">
    <cfRule type="expression" dxfId="340" priority="715">
      <formula>OR(IF(CQ25&lt;CR25,TRUE),IF(AND(CR25="",CQ25&lt;&gt;""),TRUE))</formula>
    </cfRule>
    <cfRule type="expression" dxfId="339" priority="716">
      <formula>IF(CQ25&gt;=CR25,IF(CQ25="",FALSE,TRUE))</formula>
    </cfRule>
  </conditionalFormatting>
  <conditionalFormatting sqref="CO66:CO77">
    <cfRule type="expression" dxfId="338" priority="713">
      <formula>OR(IF(CO66&lt;CP66,TRUE),IF(AND(CP66="",CO66&lt;&gt;""),TRUE))</formula>
    </cfRule>
    <cfRule type="expression" dxfId="337" priority="714">
      <formula>IF(CO66&gt;=CP66,IF(CO66="",FALSE,TRUE))</formula>
    </cfRule>
  </conditionalFormatting>
  <conditionalFormatting sqref="CQ66:CQ77">
    <cfRule type="expression" dxfId="336" priority="711">
      <formula>OR(IF(CQ66&lt;CR66,TRUE),IF(AND(CR66="",CQ66&lt;&gt;""),TRUE))</formula>
    </cfRule>
    <cfRule type="expression" dxfId="335" priority="712">
      <formula>IF(CQ66&gt;=CR66,IF(CQ66="",FALSE,TRUE))</formula>
    </cfRule>
  </conditionalFormatting>
  <conditionalFormatting sqref="CO81:CO92">
    <cfRule type="expression" dxfId="334" priority="709">
      <formula>OR(IF(CO81&lt;CP81,TRUE),IF(AND(CP81="",CO81&lt;&gt;""),TRUE))</formula>
    </cfRule>
    <cfRule type="expression" dxfId="333" priority="710">
      <formula>IF(CO81&gt;=CP81,IF(CO81="",FALSE,TRUE))</formula>
    </cfRule>
  </conditionalFormatting>
  <conditionalFormatting sqref="CQ81:CQ92">
    <cfRule type="expression" dxfId="332" priority="707">
      <formula>OR(IF(CQ81&lt;CR81,TRUE),IF(AND(CR81="",CQ81&lt;&gt;""),TRUE))</formula>
    </cfRule>
    <cfRule type="expression" dxfId="331" priority="708">
      <formula>IF(CQ81&gt;=CR81,IF(CQ81="",FALSE,TRUE))</formula>
    </cfRule>
  </conditionalFormatting>
  <conditionalFormatting sqref="CO26 CQ26">
    <cfRule type="expression" dxfId="330" priority="609">
      <formula>OR(IF(CO26&lt;CP26,TRUE),IF(AND(CP26="",CO26&lt;&gt;""),TRUE))</formula>
    </cfRule>
    <cfRule type="expression" dxfId="329" priority="610">
      <formula>IF(CO26&gt;=CP26,IF(CO26="",FALSE,TRUE))</formula>
    </cfRule>
  </conditionalFormatting>
  <conditionalFormatting sqref="CO27 CQ27">
    <cfRule type="expression" dxfId="328" priority="607">
      <formula>OR(IF(CO27&lt;CP27,TRUE),IF(AND(CP27="",CO27&lt;&gt;""),TRUE))</formula>
    </cfRule>
    <cfRule type="expression" dxfId="327" priority="608">
      <formula>IF(CO27&gt;=CP27,IF(CO27="",FALSE,TRUE))</formula>
    </cfRule>
  </conditionalFormatting>
  <conditionalFormatting sqref="CO28 CQ28">
    <cfRule type="expression" dxfId="326" priority="605">
      <formula>OR(IF(CO28&lt;CP28,TRUE),IF(AND(CP28="",CO28&lt;&gt;""),TRUE))</formula>
    </cfRule>
    <cfRule type="expression" dxfId="325" priority="606">
      <formula>IF(CO28&gt;=CP28,IF(CO28="",FALSE,TRUE))</formula>
    </cfRule>
  </conditionalFormatting>
  <conditionalFormatting sqref="CO29 CQ29">
    <cfRule type="expression" dxfId="324" priority="603">
      <formula>OR(IF(CO29&lt;CP29,TRUE),IF(AND(CP29="",CO29&lt;&gt;""),TRUE))</formula>
    </cfRule>
    <cfRule type="expression" dxfId="323" priority="604">
      <formula>IF(CO29&gt;=CP29,IF(CO29="",FALSE,TRUE))</formula>
    </cfRule>
  </conditionalFormatting>
  <conditionalFormatting sqref="CO30 CQ30">
    <cfRule type="expression" dxfId="322" priority="601">
      <formula>OR(IF(CO30&lt;CP30,TRUE),IF(AND(CP30="",CO30&lt;&gt;""),TRUE))</formula>
    </cfRule>
    <cfRule type="expression" dxfId="321" priority="602">
      <formula>IF(CO30&gt;=CP30,IF(CO30="",FALSE,TRUE))</formula>
    </cfRule>
  </conditionalFormatting>
  <conditionalFormatting sqref="CO31 CQ31">
    <cfRule type="expression" dxfId="320" priority="599">
      <formula>OR(IF(CO31&lt;CP31,TRUE),IF(AND(CP31="",CO31&lt;&gt;""),TRUE))</formula>
    </cfRule>
    <cfRule type="expression" dxfId="319" priority="600">
      <formula>IF(CO31&gt;=CP31,IF(CO31="",FALSE,TRUE))</formula>
    </cfRule>
  </conditionalFormatting>
  <conditionalFormatting sqref="CO78">
    <cfRule type="expression" dxfId="318" priority="597">
      <formula>OR(IF(CO78&lt;CP78,TRUE),IF(AND(CP78="",CO78&lt;&gt;""),TRUE))</formula>
    </cfRule>
    <cfRule type="expression" dxfId="317" priority="598">
      <formula>IF(CO78&gt;=CP78,IF(CO78="",FALSE,TRUE))</formula>
    </cfRule>
  </conditionalFormatting>
  <conditionalFormatting sqref="CQ78">
    <cfRule type="expression" dxfId="316" priority="595">
      <formula>OR(IF(CQ78&lt;CR78,TRUE),IF(AND(CR78="",CQ78&lt;&gt;""),TRUE))</formula>
    </cfRule>
    <cfRule type="expression" dxfId="315" priority="596">
      <formula>IF(CQ78&gt;=CR78,IF(CQ78="",FALSE,TRUE))</formula>
    </cfRule>
  </conditionalFormatting>
  <conditionalFormatting sqref="CO93">
    <cfRule type="expression" dxfId="314" priority="593">
      <formula>OR(IF(CO93&lt;CP93,TRUE),IF(AND(CP93="",CO93&lt;&gt;""),TRUE))</formula>
    </cfRule>
    <cfRule type="expression" dxfId="313" priority="594">
      <formula>IF(CO93&gt;=CP93,IF(CO93="",FALSE,TRUE))</formula>
    </cfRule>
  </conditionalFormatting>
  <conditionalFormatting sqref="CQ93">
    <cfRule type="expression" dxfId="312" priority="591">
      <formula>OR(IF(CQ93&lt;CR93,TRUE),IF(AND(CR93="",CQ93&lt;&gt;""),TRUE))</formula>
    </cfRule>
    <cfRule type="expression" dxfId="311" priority="592">
      <formula>IF(CQ93&gt;=CR93,IF(CQ93="",FALSE,TRUE))</formula>
    </cfRule>
  </conditionalFormatting>
  <conditionalFormatting sqref="CO17">
    <cfRule type="expression" dxfId="310" priority="589">
      <formula>OR(IF(CO17&lt;CP17,TRUE),IF(AND(CP17="",CO17&lt;&gt;""),TRUE))</formula>
    </cfRule>
    <cfRule type="expression" dxfId="309" priority="590">
      <formula>IF(CO17&gt;=CP17,IF(CO17="",FALSE,TRUE))</formula>
    </cfRule>
  </conditionalFormatting>
  <conditionalFormatting sqref="CQ17">
    <cfRule type="expression" dxfId="308" priority="587">
      <formula>OR(IF(CQ17&lt;CR17,TRUE),IF(AND(CR17="",CQ17&lt;&gt;""),TRUE))</formula>
    </cfRule>
    <cfRule type="expression" dxfId="307" priority="588">
      <formula>IF(CQ17&gt;=CR17,IF(CQ17="",FALSE,TRUE))</formula>
    </cfRule>
  </conditionalFormatting>
  <conditionalFormatting sqref="CX36:CX42 CV36:CV42 CV48:CV57 CX48:CX57 CV44 CX44">
    <cfRule type="expression" dxfId="306" priority="585">
      <formula>OR(IF(CV36&lt;CW36,TRUE),IF(AND(CW36="",CV36&lt;&gt;""),TRUE))</formula>
    </cfRule>
    <cfRule type="expression" dxfId="305" priority="586">
      <formula>IF(CV36&gt;=CW36,IF(CV36="",FALSE,TRUE))</formula>
    </cfRule>
  </conditionalFormatting>
  <conditionalFormatting sqref="CV20:CV24 CX20:CX24 CV5:CV16">
    <cfRule type="expression" dxfId="304" priority="583">
      <formula>OR(IF(CV5&lt;CW5,TRUE),IF(AND(CW5="",CV5&lt;&gt;""),TRUE))</formula>
    </cfRule>
    <cfRule type="expression" dxfId="303" priority="584">
      <formula>IF(CV5&gt;=CW5,IF(CV5="",FALSE,TRUE))</formula>
    </cfRule>
  </conditionalFormatting>
  <conditionalFormatting sqref="CX5:CX16">
    <cfRule type="expression" dxfId="302" priority="581">
      <formula>OR(IF(CX5&lt;CY5,TRUE),IF(AND(CY5="",CX5&lt;&gt;""),TRUE))</formula>
    </cfRule>
    <cfRule type="expression" dxfId="301" priority="582">
      <formula>IF(CX5&gt;=CY5,IF(CX5="",FALSE,TRUE))</formula>
    </cfRule>
  </conditionalFormatting>
  <conditionalFormatting sqref="CV34:CV35">
    <cfRule type="expression" dxfId="300" priority="579">
      <formula>OR(IF(CV34&lt;CW34,TRUE),IF(AND(CW34="",CV34&lt;&gt;""),TRUE))</formula>
    </cfRule>
    <cfRule type="expression" dxfId="299" priority="580">
      <formula>IF(CV34&gt;=CW34,IF(CV34="",FALSE,TRUE))</formula>
    </cfRule>
  </conditionalFormatting>
  <conditionalFormatting sqref="CX34:CX35">
    <cfRule type="expression" dxfId="298" priority="577">
      <formula>OR(IF(CX34&lt;CY34,TRUE),IF(AND(CY34="",CX34&lt;&gt;""),TRUE))</formula>
    </cfRule>
    <cfRule type="expression" dxfId="297" priority="578">
      <formula>IF(CX34&gt;=CY34,IF(CX34="",FALSE,TRUE))</formula>
    </cfRule>
  </conditionalFormatting>
  <conditionalFormatting sqref="CV25">
    <cfRule type="expression" dxfId="296" priority="575">
      <formula>OR(IF(CV25&lt;CW25,TRUE),IF(AND(CW25="",CV25&lt;&gt;""),TRUE))</formula>
    </cfRule>
    <cfRule type="expression" dxfId="295" priority="576">
      <formula>IF(CV25&gt;=CW25,IF(CV25="",FALSE,TRUE))</formula>
    </cfRule>
  </conditionalFormatting>
  <conditionalFormatting sqref="CX25">
    <cfRule type="expression" dxfId="294" priority="573">
      <formula>OR(IF(CX25&lt;CY25,TRUE),IF(AND(CY25="",CX25&lt;&gt;""),TRUE))</formula>
    </cfRule>
    <cfRule type="expression" dxfId="293" priority="574">
      <formula>IF(CX25&gt;=CY25,IF(CX25="",FALSE,TRUE))</formula>
    </cfRule>
  </conditionalFormatting>
  <conditionalFormatting sqref="CV66:CV77">
    <cfRule type="expression" dxfId="292" priority="571">
      <formula>OR(IF(CV66&lt;CW66,TRUE),IF(AND(CW66="",CV66&lt;&gt;""),TRUE))</formula>
    </cfRule>
    <cfRule type="expression" dxfId="291" priority="572">
      <formula>IF(CV66&gt;=CW66,IF(CV66="",FALSE,TRUE))</formula>
    </cfRule>
  </conditionalFormatting>
  <conditionalFormatting sqref="CX66:CX77">
    <cfRule type="expression" dxfId="290" priority="569">
      <formula>OR(IF(CX66&lt;CY66,TRUE),IF(AND(CY66="",CX66&lt;&gt;""),TRUE))</formula>
    </cfRule>
    <cfRule type="expression" dxfId="289" priority="570">
      <formula>IF(CX66&gt;=CY66,IF(CX66="",FALSE,TRUE))</formula>
    </cfRule>
  </conditionalFormatting>
  <conditionalFormatting sqref="CV81:CV92">
    <cfRule type="expression" dxfId="288" priority="567">
      <formula>OR(IF(CV81&lt;CW81,TRUE),IF(AND(CW81="",CV81&lt;&gt;""),TRUE))</formula>
    </cfRule>
    <cfRule type="expression" dxfId="287" priority="568">
      <formula>IF(CV81&gt;=CW81,IF(CV81="",FALSE,TRUE))</formula>
    </cfRule>
  </conditionalFormatting>
  <conditionalFormatting sqref="CX81:CX92">
    <cfRule type="expression" dxfId="286" priority="565">
      <formula>OR(IF(CX81&lt;CY81,TRUE),IF(AND(CY81="",CX81&lt;&gt;""),TRUE))</formula>
    </cfRule>
    <cfRule type="expression" dxfId="285" priority="566">
      <formula>IF(CX81&gt;=CY81,IF(CX81="",FALSE,TRUE))</formula>
    </cfRule>
  </conditionalFormatting>
  <conditionalFormatting sqref="CV26 CX26">
    <cfRule type="expression" dxfId="284" priority="467">
      <formula>OR(IF(CV26&lt;CW26,TRUE),IF(AND(CW26="",CV26&lt;&gt;""),TRUE))</formula>
    </cfRule>
    <cfRule type="expression" dxfId="283" priority="468">
      <formula>IF(CV26&gt;=CW26,IF(CV26="",FALSE,TRUE))</formula>
    </cfRule>
  </conditionalFormatting>
  <conditionalFormatting sqref="CV27 CX27">
    <cfRule type="expression" dxfId="282" priority="465">
      <formula>OR(IF(CV27&lt;CW27,TRUE),IF(AND(CW27="",CV27&lt;&gt;""),TRUE))</formula>
    </cfRule>
    <cfRule type="expression" dxfId="281" priority="466">
      <formula>IF(CV27&gt;=CW27,IF(CV27="",FALSE,TRUE))</formula>
    </cfRule>
  </conditionalFormatting>
  <conditionalFormatting sqref="CV28 CX28">
    <cfRule type="expression" dxfId="280" priority="463">
      <formula>OR(IF(CV28&lt;CW28,TRUE),IF(AND(CW28="",CV28&lt;&gt;""),TRUE))</formula>
    </cfRule>
    <cfRule type="expression" dxfId="279" priority="464">
      <formula>IF(CV28&gt;=CW28,IF(CV28="",FALSE,TRUE))</formula>
    </cfRule>
  </conditionalFormatting>
  <conditionalFormatting sqref="CV29 CX29">
    <cfRule type="expression" dxfId="278" priority="461">
      <formula>OR(IF(CV29&lt;CW29,TRUE),IF(AND(CW29="",CV29&lt;&gt;""),TRUE))</formula>
    </cfRule>
    <cfRule type="expression" dxfId="277" priority="462">
      <formula>IF(CV29&gt;=CW29,IF(CV29="",FALSE,TRUE))</formula>
    </cfRule>
  </conditionalFormatting>
  <conditionalFormatting sqref="CV30 CX30">
    <cfRule type="expression" dxfId="276" priority="459">
      <formula>OR(IF(CV30&lt;CW30,TRUE),IF(AND(CW30="",CV30&lt;&gt;""),TRUE))</formula>
    </cfRule>
    <cfRule type="expression" dxfId="275" priority="460">
      <formula>IF(CV30&gt;=CW30,IF(CV30="",FALSE,TRUE))</formula>
    </cfRule>
  </conditionalFormatting>
  <conditionalFormatting sqref="CV31 CX31">
    <cfRule type="expression" dxfId="274" priority="457">
      <formula>OR(IF(CV31&lt;CW31,TRUE),IF(AND(CW31="",CV31&lt;&gt;""),TRUE))</formula>
    </cfRule>
    <cfRule type="expression" dxfId="273" priority="458">
      <formula>IF(CV31&gt;=CW31,IF(CV31="",FALSE,TRUE))</formula>
    </cfRule>
  </conditionalFormatting>
  <conditionalFormatting sqref="CV78">
    <cfRule type="expression" dxfId="272" priority="455">
      <formula>OR(IF(CV78&lt;CW78,TRUE),IF(AND(CW78="",CV78&lt;&gt;""),TRUE))</formula>
    </cfRule>
    <cfRule type="expression" dxfId="271" priority="456">
      <formula>IF(CV78&gt;=CW78,IF(CV78="",FALSE,TRUE))</formula>
    </cfRule>
  </conditionalFormatting>
  <conditionalFormatting sqref="CX78">
    <cfRule type="expression" dxfId="270" priority="453">
      <formula>OR(IF(CX78&lt;CY78,TRUE),IF(AND(CY78="",CX78&lt;&gt;""),TRUE))</formula>
    </cfRule>
    <cfRule type="expression" dxfId="269" priority="454">
      <formula>IF(CX78&gt;=CY78,IF(CX78="",FALSE,TRUE))</formula>
    </cfRule>
  </conditionalFormatting>
  <conditionalFormatting sqref="CV93">
    <cfRule type="expression" dxfId="268" priority="451">
      <formula>OR(IF(CV93&lt;CW93,TRUE),IF(AND(CW93="",CV93&lt;&gt;""),TRUE))</formula>
    </cfRule>
    <cfRule type="expression" dxfId="267" priority="452">
      <formula>IF(CV93&gt;=CW93,IF(CV93="",FALSE,TRUE))</formula>
    </cfRule>
  </conditionalFormatting>
  <conditionalFormatting sqref="CX93">
    <cfRule type="expression" dxfId="266" priority="449">
      <formula>OR(IF(CX93&lt;CY93,TRUE),IF(AND(CY93="",CX93&lt;&gt;""),TRUE))</formula>
    </cfRule>
    <cfRule type="expression" dxfId="265" priority="450">
      <formula>IF(CX93&gt;=CY93,IF(CX93="",FALSE,TRUE))</formula>
    </cfRule>
  </conditionalFormatting>
  <conditionalFormatting sqref="CV17">
    <cfRule type="expression" dxfId="264" priority="447">
      <formula>OR(IF(CV17&lt;CW17,TRUE),IF(AND(CW17="",CV17&lt;&gt;""),TRUE))</formula>
    </cfRule>
    <cfRule type="expression" dxfId="263" priority="448">
      <formula>IF(CV17&gt;=CW17,IF(CV17="",FALSE,TRUE))</formula>
    </cfRule>
  </conditionalFormatting>
  <conditionalFormatting sqref="CX17">
    <cfRule type="expression" dxfId="262" priority="445">
      <formula>OR(IF(CX17&lt;CY17,TRUE),IF(AND(CY17="",CX17&lt;&gt;""),TRUE))</formula>
    </cfRule>
    <cfRule type="expression" dxfId="261" priority="446">
      <formula>IF(CX17&gt;=CY17,IF(CX17="",FALSE,TRUE))</formula>
    </cfRule>
  </conditionalFormatting>
  <conditionalFormatting sqref="DE36:DE42 DC36:DC42 DC48:DC57 DE48:DE57 DC44 DE44">
    <cfRule type="expression" dxfId="260" priority="443">
      <formula>OR(IF(DC36&lt;DD36,TRUE),IF(AND(DD36="",DC36&lt;&gt;""),TRUE))</formula>
    </cfRule>
    <cfRule type="expression" dxfId="259" priority="444">
      <formula>IF(DC36&gt;=DD36,IF(DC36="",FALSE,TRUE))</formula>
    </cfRule>
  </conditionalFormatting>
  <conditionalFormatting sqref="DC20:DC24 DE20:DE24 DC5:DC16">
    <cfRule type="expression" dxfId="258" priority="441">
      <formula>OR(IF(DC5&lt;DD5,TRUE),IF(AND(DD5="",DC5&lt;&gt;""),TRUE))</formula>
    </cfRule>
    <cfRule type="expression" dxfId="257" priority="442">
      <formula>IF(DC5&gt;=DD5,IF(DC5="",FALSE,TRUE))</formula>
    </cfRule>
  </conditionalFormatting>
  <conditionalFormatting sqref="DE5:DE16">
    <cfRule type="expression" dxfId="256" priority="439">
      <formula>OR(IF(DE5&lt;DF5,TRUE),IF(AND(DF5="",DE5&lt;&gt;""),TRUE))</formula>
    </cfRule>
    <cfRule type="expression" dxfId="255" priority="440">
      <formula>IF(DE5&gt;=DF5,IF(DE5="",FALSE,TRUE))</formula>
    </cfRule>
  </conditionalFormatting>
  <conditionalFormatting sqref="DC34:DC35">
    <cfRule type="expression" dxfId="254" priority="437">
      <formula>OR(IF(DC34&lt;DD34,TRUE),IF(AND(DD34="",DC34&lt;&gt;""),TRUE))</formula>
    </cfRule>
    <cfRule type="expression" dxfId="253" priority="438">
      <formula>IF(DC34&gt;=DD34,IF(DC34="",FALSE,TRUE))</formula>
    </cfRule>
  </conditionalFormatting>
  <conditionalFormatting sqref="DE34:DE35">
    <cfRule type="expression" dxfId="252" priority="435">
      <formula>OR(IF(DE34&lt;DF34,TRUE),IF(AND(DF34="",DE34&lt;&gt;""),TRUE))</formula>
    </cfRule>
    <cfRule type="expression" dxfId="251" priority="436">
      <formula>IF(DE34&gt;=DF34,IF(DE34="",FALSE,TRUE))</formula>
    </cfRule>
  </conditionalFormatting>
  <conditionalFormatting sqref="DC25">
    <cfRule type="expression" dxfId="250" priority="433">
      <formula>OR(IF(DC25&lt;DD25,TRUE),IF(AND(DD25="",DC25&lt;&gt;""),TRUE))</formula>
    </cfRule>
    <cfRule type="expression" dxfId="249" priority="434">
      <formula>IF(DC25&gt;=DD25,IF(DC25="",FALSE,TRUE))</formula>
    </cfRule>
  </conditionalFormatting>
  <conditionalFormatting sqref="DE25">
    <cfRule type="expression" dxfId="248" priority="431">
      <formula>OR(IF(DE25&lt;DF25,TRUE),IF(AND(DF25="",DE25&lt;&gt;""),TRUE))</formula>
    </cfRule>
    <cfRule type="expression" dxfId="247" priority="432">
      <formula>IF(DE25&gt;=DF25,IF(DE25="",FALSE,TRUE))</formula>
    </cfRule>
  </conditionalFormatting>
  <conditionalFormatting sqref="DC66:DC77">
    <cfRule type="expression" dxfId="246" priority="429">
      <formula>OR(IF(DC66&lt;DD66,TRUE),IF(AND(DD66="",DC66&lt;&gt;""),TRUE))</formula>
    </cfRule>
    <cfRule type="expression" dxfId="245" priority="430">
      <formula>IF(DC66&gt;=DD66,IF(DC66="",FALSE,TRUE))</formula>
    </cfRule>
  </conditionalFormatting>
  <conditionalFormatting sqref="DE66:DE77">
    <cfRule type="expression" dxfId="244" priority="427">
      <formula>OR(IF(DE66&lt;DF66,TRUE),IF(AND(DF66="",DE66&lt;&gt;""),TRUE))</formula>
    </cfRule>
    <cfRule type="expression" dxfId="243" priority="428">
      <formula>IF(DE66&gt;=DF66,IF(DE66="",FALSE,TRUE))</formula>
    </cfRule>
  </conditionalFormatting>
  <conditionalFormatting sqref="DC81:DC92">
    <cfRule type="expression" dxfId="242" priority="425">
      <formula>OR(IF(DC81&lt;DD81,TRUE),IF(AND(DD81="",DC81&lt;&gt;""),TRUE))</formula>
    </cfRule>
    <cfRule type="expression" dxfId="241" priority="426">
      <formula>IF(DC81&gt;=DD81,IF(DC81="",FALSE,TRUE))</formula>
    </cfRule>
  </conditionalFormatting>
  <conditionalFormatting sqref="DE81:DE92">
    <cfRule type="expression" dxfId="240" priority="423">
      <formula>OR(IF(DE81&lt;DF81,TRUE),IF(AND(DF81="",DE81&lt;&gt;""),TRUE))</formula>
    </cfRule>
    <cfRule type="expression" dxfId="239" priority="424">
      <formula>IF(DE81&gt;=DF81,IF(DE81="",FALSE,TRUE))</formula>
    </cfRule>
  </conditionalFormatting>
  <conditionalFormatting sqref="DC26 DE26">
    <cfRule type="expression" dxfId="238" priority="325">
      <formula>OR(IF(DC26&lt;DD26,TRUE),IF(AND(DD26="",DC26&lt;&gt;""),TRUE))</formula>
    </cfRule>
    <cfRule type="expression" dxfId="237" priority="326">
      <formula>IF(DC26&gt;=DD26,IF(DC26="",FALSE,TRUE))</formula>
    </cfRule>
  </conditionalFormatting>
  <conditionalFormatting sqref="DC27 DE27">
    <cfRule type="expression" dxfId="236" priority="323">
      <formula>OR(IF(DC27&lt;DD27,TRUE),IF(AND(DD27="",DC27&lt;&gt;""),TRUE))</formula>
    </cfRule>
    <cfRule type="expression" dxfId="235" priority="324">
      <formula>IF(DC27&gt;=DD27,IF(DC27="",FALSE,TRUE))</formula>
    </cfRule>
  </conditionalFormatting>
  <conditionalFormatting sqref="DC28 DE28">
    <cfRule type="expression" dxfId="234" priority="321">
      <formula>OR(IF(DC28&lt;DD28,TRUE),IF(AND(DD28="",DC28&lt;&gt;""),TRUE))</formula>
    </cfRule>
    <cfRule type="expression" dxfId="233" priority="322">
      <formula>IF(DC28&gt;=DD28,IF(DC28="",FALSE,TRUE))</formula>
    </cfRule>
  </conditionalFormatting>
  <conditionalFormatting sqref="DC29 DE29">
    <cfRule type="expression" dxfId="232" priority="319">
      <formula>OR(IF(DC29&lt;DD29,TRUE),IF(AND(DD29="",DC29&lt;&gt;""),TRUE))</formula>
    </cfRule>
    <cfRule type="expression" dxfId="231" priority="320">
      <formula>IF(DC29&gt;=DD29,IF(DC29="",FALSE,TRUE))</formula>
    </cfRule>
  </conditionalFormatting>
  <conditionalFormatting sqref="DC30 DE30">
    <cfRule type="expression" dxfId="230" priority="317">
      <formula>OR(IF(DC30&lt;DD30,TRUE),IF(AND(DD30="",DC30&lt;&gt;""),TRUE))</formula>
    </cfRule>
    <cfRule type="expression" dxfId="229" priority="318">
      <formula>IF(DC30&gt;=DD30,IF(DC30="",FALSE,TRUE))</formula>
    </cfRule>
  </conditionalFormatting>
  <conditionalFormatting sqref="DC31 DE31">
    <cfRule type="expression" dxfId="228" priority="315">
      <formula>OR(IF(DC31&lt;DD31,TRUE),IF(AND(DD31="",DC31&lt;&gt;""),TRUE))</formula>
    </cfRule>
    <cfRule type="expression" dxfId="227" priority="316">
      <formula>IF(DC31&gt;=DD31,IF(DC31="",FALSE,TRUE))</formula>
    </cfRule>
  </conditionalFormatting>
  <conditionalFormatting sqref="DC78">
    <cfRule type="expression" dxfId="226" priority="313">
      <formula>OR(IF(DC78&lt;DD78,TRUE),IF(AND(DD78="",DC78&lt;&gt;""),TRUE))</formula>
    </cfRule>
    <cfRule type="expression" dxfId="225" priority="314">
      <formula>IF(DC78&gt;=DD78,IF(DC78="",FALSE,TRUE))</formula>
    </cfRule>
  </conditionalFormatting>
  <conditionalFormatting sqref="DE78">
    <cfRule type="expression" dxfId="224" priority="311">
      <formula>OR(IF(DE78&lt;DF78,TRUE),IF(AND(DF78="",DE78&lt;&gt;""),TRUE))</formula>
    </cfRule>
    <cfRule type="expression" dxfId="223" priority="312">
      <formula>IF(DE78&gt;=DF78,IF(DE78="",FALSE,TRUE))</formula>
    </cfRule>
  </conditionalFormatting>
  <conditionalFormatting sqref="DC93">
    <cfRule type="expression" dxfId="222" priority="309">
      <formula>OR(IF(DC93&lt;DD93,TRUE),IF(AND(DD93="",DC93&lt;&gt;""),TRUE))</formula>
    </cfRule>
    <cfRule type="expression" dxfId="221" priority="310">
      <formula>IF(DC93&gt;=DD93,IF(DC93="",FALSE,TRUE))</formula>
    </cfRule>
  </conditionalFormatting>
  <conditionalFormatting sqref="DE93">
    <cfRule type="expression" dxfId="220" priority="307">
      <formula>OR(IF(DE93&lt;DF93,TRUE),IF(AND(DF93="",DE93&lt;&gt;""),TRUE))</formula>
    </cfRule>
    <cfRule type="expression" dxfId="219" priority="308">
      <formula>IF(DE93&gt;=DF93,IF(DE93="",FALSE,TRUE))</formula>
    </cfRule>
  </conditionalFormatting>
  <conditionalFormatting sqref="DC17">
    <cfRule type="expression" dxfId="218" priority="305">
      <formula>OR(IF(DC17&lt;DD17,TRUE),IF(AND(DD17="",DC17&lt;&gt;""),TRUE))</formula>
    </cfRule>
    <cfRule type="expression" dxfId="217" priority="306">
      <formula>IF(DC17&gt;=DD17,IF(DC17="",FALSE,TRUE))</formula>
    </cfRule>
  </conditionalFormatting>
  <conditionalFormatting sqref="DE17">
    <cfRule type="expression" dxfId="216" priority="303">
      <formula>OR(IF(DE17&lt;DF17,TRUE),IF(AND(DF17="",DE17&lt;&gt;""),TRUE))</formula>
    </cfRule>
    <cfRule type="expression" dxfId="215" priority="304">
      <formula>IF(DE17&gt;=DF17,IF(DE17="",FALSE,TRUE))</formula>
    </cfRule>
  </conditionalFormatting>
  <conditionalFormatting sqref="DL36:DL42 DJ36:DJ42 DJ48:DJ57 DL48:DL57 DJ44 DL44">
    <cfRule type="expression" dxfId="214" priority="301">
      <formula>OR(IF(DJ36&lt;DK36,TRUE),IF(AND(DK36="",DJ36&lt;&gt;""),TRUE))</formula>
    </cfRule>
    <cfRule type="expression" dxfId="213" priority="302">
      <formula>IF(DJ36&gt;=DK36,IF(DJ36="",FALSE,TRUE))</formula>
    </cfRule>
  </conditionalFormatting>
  <conditionalFormatting sqref="DJ20:DJ24 DL20:DL24 DJ5:DJ16">
    <cfRule type="expression" dxfId="212" priority="299">
      <formula>OR(IF(DJ5&lt;DK5,TRUE),IF(AND(DK5="",DJ5&lt;&gt;""),TRUE))</formula>
    </cfRule>
    <cfRule type="expression" dxfId="211" priority="300">
      <formula>IF(DJ5&gt;=DK5,IF(DJ5="",FALSE,TRUE))</formula>
    </cfRule>
  </conditionalFormatting>
  <conditionalFormatting sqref="DL5:DL16">
    <cfRule type="expression" dxfId="210" priority="297">
      <formula>OR(IF(DL5&lt;DM5,TRUE),IF(AND(DM5="",DL5&lt;&gt;""),TRUE))</formula>
    </cfRule>
    <cfRule type="expression" dxfId="209" priority="298">
      <formula>IF(DL5&gt;=DM5,IF(DL5="",FALSE,TRUE))</formula>
    </cfRule>
  </conditionalFormatting>
  <conditionalFormatting sqref="DJ34:DJ35">
    <cfRule type="expression" dxfId="208" priority="295">
      <formula>OR(IF(DJ34&lt;DK34,TRUE),IF(AND(DK34="",DJ34&lt;&gt;""),TRUE))</formula>
    </cfRule>
    <cfRule type="expression" dxfId="207" priority="296">
      <formula>IF(DJ34&gt;=DK34,IF(DJ34="",FALSE,TRUE))</formula>
    </cfRule>
  </conditionalFormatting>
  <conditionalFormatting sqref="DL34:DL35">
    <cfRule type="expression" dxfId="206" priority="293">
      <formula>OR(IF(DL34&lt;DM34,TRUE),IF(AND(DM34="",DL34&lt;&gt;""),TRUE))</formula>
    </cfRule>
    <cfRule type="expression" dxfId="205" priority="294">
      <formula>IF(DL34&gt;=DM34,IF(DL34="",FALSE,TRUE))</formula>
    </cfRule>
  </conditionalFormatting>
  <conditionalFormatting sqref="DJ25">
    <cfRule type="expression" dxfId="204" priority="291">
      <formula>OR(IF(DJ25&lt;DK25,TRUE),IF(AND(DK25="",DJ25&lt;&gt;""),TRUE))</formula>
    </cfRule>
    <cfRule type="expression" dxfId="203" priority="292">
      <formula>IF(DJ25&gt;=DK25,IF(DJ25="",FALSE,TRUE))</formula>
    </cfRule>
  </conditionalFormatting>
  <conditionalFormatting sqref="DL25">
    <cfRule type="expression" dxfId="202" priority="289">
      <formula>OR(IF(DL25&lt;DM25,TRUE),IF(AND(DM25="",DL25&lt;&gt;""),TRUE))</formula>
    </cfRule>
    <cfRule type="expression" dxfId="201" priority="290">
      <formula>IF(DL25&gt;=DM25,IF(DL25="",FALSE,TRUE))</formula>
    </cfRule>
  </conditionalFormatting>
  <conditionalFormatting sqref="DJ66:DJ77">
    <cfRule type="expression" dxfId="200" priority="287">
      <formula>OR(IF(DJ66&lt;DK66,TRUE),IF(AND(DK66="",DJ66&lt;&gt;""),TRUE))</formula>
    </cfRule>
    <cfRule type="expression" dxfId="199" priority="288">
      <formula>IF(DJ66&gt;=DK66,IF(DJ66="",FALSE,TRUE))</formula>
    </cfRule>
  </conditionalFormatting>
  <conditionalFormatting sqref="DL66:DL77">
    <cfRule type="expression" dxfId="198" priority="285">
      <formula>OR(IF(DL66&lt;DM66,TRUE),IF(AND(DM66="",DL66&lt;&gt;""),TRUE))</formula>
    </cfRule>
    <cfRule type="expression" dxfId="197" priority="286">
      <formula>IF(DL66&gt;=DM66,IF(DL66="",FALSE,TRUE))</formula>
    </cfRule>
  </conditionalFormatting>
  <conditionalFormatting sqref="DJ81:DJ92">
    <cfRule type="expression" dxfId="196" priority="283">
      <formula>OR(IF(DJ81&lt;DK81,TRUE),IF(AND(DK81="",DJ81&lt;&gt;""),TRUE))</formula>
    </cfRule>
    <cfRule type="expression" dxfId="195" priority="284">
      <formula>IF(DJ81&gt;=DK81,IF(DJ81="",FALSE,TRUE))</formula>
    </cfRule>
  </conditionalFormatting>
  <conditionalFormatting sqref="DL81:DL92">
    <cfRule type="expression" dxfId="194" priority="281">
      <formula>OR(IF(DL81&lt;DM81,TRUE),IF(AND(DM81="",DL81&lt;&gt;""),TRUE))</formula>
    </cfRule>
    <cfRule type="expression" dxfId="193" priority="282">
      <formula>IF(DL81&gt;=DM81,IF(DL81="",FALSE,TRUE))</formula>
    </cfRule>
  </conditionalFormatting>
  <conditionalFormatting sqref="DJ26 DL26">
    <cfRule type="expression" dxfId="192" priority="183">
      <formula>OR(IF(DJ26&lt;DK26,TRUE),IF(AND(DK26="",DJ26&lt;&gt;""),TRUE))</formula>
    </cfRule>
    <cfRule type="expression" dxfId="191" priority="184">
      <formula>IF(DJ26&gt;=DK26,IF(DJ26="",FALSE,TRUE))</formula>
    </cfRule>
  </conditionalFormatting>
  <conditionalFormatting sqref="DJ27 DL27">
    <cfRule type="expression" dxfId="190" priority="181">
      <formula>OR(IF(DJ27&lt;DK27,TRUE),IF(AND(DK27="",DJ27&lt;&gt;""),TRUE))</formula>
    </cfRule>
    <cfRule type="expression" dxfId="189" priority="182">
      <formula>IF(DJ27&gt;=DK27,IF(DJ27="",FALSE,TRUE))</formula>
    </cfRule>
  </conditionalFormatting>
  <conditionalFormatting sqref="DJ28 DL28">
    <cfRule type="expression" dxfId="188" priority="179">
      <formula>OR(IF(DJ28&lt;DK28,TRUE),IF(AND(DK28="",DJ28&lt;&gt;""),TRUE))</formula>
    </cfRule>
    <cfRule type="expression" dxfId="187" priority="180">
      <formula>IF(DJ28&gt;=DK28,IF(DJ28="",FALSE,TRUE))</formula>
    </cfRule>
  </conditionalFormatting>
  <conditionalFormatting sqref="DJ29 DL29">
    <cfRule type="expression" dxfId="186" priority="177">
      <formula>OR(IF(DJ29&lt;DK29,TRUE),IF(AND(DK29="",DJ29&lt;&gt;""),TRUE))</formula>
    </cfRule>
    <cfRule type="expression" dxfId="185" priority="178">
      <formula>IF(DJ29&gt;=DK29,IF(DJ29="",FALSE,TRUE))</formula>
    </cfRule>
  </conditionalFormatting>
  <conditionalFormatting sqref="DJ30 DL30">
    <cfRule type="expression" dxfId="184" priority="175">
      <formula>OR(IF(DJ30&lt;DK30,TRUE),IF(AND(DK30="",DJ30&lt;&gt;""),TRUE))</formula>
    </cfRule>
    <cfRule type="expression" dxfId="183" priority="176">
      <formula>IF(DJ30&gt;=DK30,IF(DJ30="",FALSE,TRUE))</formula>
    </cfRule>
  </conditionalFormatting>
  <conditionalFormatting sqref="DJ31 DL31">
    <cfRule type="expression" dxfId="182" priority="173">
      <formula>OR(IF(DJ31&lt;DK31,TRUE),IF(AND(DK31="",DJ31&lt;&gt;""),TRUE))</formula>
    </cfRule>
    <cfRule type="expression" dxfId="181" priority="174">
      <formula>IF(DJ31&gt;=DK31,IF(DJ31="",FALSE,TRUE))</formula>
    </cfRule>
  </conditionalFormatting>
  <conditionalFormatting sqref="DJ78">
    <cfRule type="expression" dxfId="180" priority="171">
      <formula>OR(IF(DJ78&lt;DK78,TRUE),IF(AND(DK78="",DJ78&lt;&gt;""),TRUE))</formula>
    </cfRule>
    <cfRule type="expression" dxfId="179" priority="172">
      <formula>IF(DJ78&gt;=DK78,IF(DJ78="",FALSE,TRUE))</formula>
    </cfRule>
  </conditionalFormatting>
  <conditionalFormatting sqref="DL78">
    <cfRule type="expression" dxfId="178" priority="169">
      <formula>OR(IF(DL78&lt;DM78,TRUE),IF(AND(DM78="",DL78&lt;&gt;""),TRUE))</formula>
    </cfRule>
    <cfRule type="expression" dxfId="177" priority="170">
      <formula>IF(DL78&gt;=DM78,IF(DL78="",FALSE,TRUE))</formula>
    </cfRule>
  </conditionalFormatting>
  <conditionalFormatting sqref="DJ93">
    <cfRule type="expression" dxfId="176" priority="167">
      <formula>OR(IF(DJ93&lt;DK93,TRUE),IF(AND(DK93="",DJ93&lt;&gt;""),TRUE))</formula>
    </cfRule>
    <cfRule type="expression" dxfId="175" priority="168">
      <formula>IF(DJ93&gt;=DK93,IF(DJ93="",FALSE,TRUE))</formula>
    </cfRule>
  </conditionalFormatting>
  <conditionalFormatting sqref="DL93">
    <cfRule type="expression" dxfId="174" priority="165">
      <formula>OR(IF(DL93&lt;DM93,TRUE),IF(AND(DM93="",DL93&lt;&gt;""),TRUE))</formula>
    </cfRule>
    <cfRule type="expression" dxfId="173" priority="166">
      <formula>IF(DL93&gt;=DM93,IF(DL93="",FALSE,TRUE))</formula>
    </cfRule>
  </conditionalFormatting>
  <conditionalFormatting sqref="DJ17">
    <cfRule type="expression" dxfId="172" priority="163">
      <formula>OR(IF(DJ17&lt;DK17,TRUE),IF(AND(DK17="",DJ17&lt;&gt;""),TRUE))</formula>
    </cfRule>
    <cfRule type="expression" dxfId="171" priority="164">
      <formula>IF(DJ17&gt;=DK17,IF(DJ17="",FALSE,TRUE))</formula>
    </cfRule>
  </conditionalFormatting>
  <conditionalFormatting sqref="DL17">
    <cfRule type="expression" dxfId="170" priority="161">
      <formula>OR(IF(DL17&lt;DM17,TRUE),IF(AND(DM17="",DL17&lt;&gt;""),TRUE))</formula>
    </cfRule>
    <cfRule type="expression" dxfId="169" priority="162">
      <formula>IF(DL17&gt;=DM17,IF(DL17="",FALSE,TRUE))</formula>
    </cfRule>
  </conditionalFormatting>
  <conditionalFormatting sqref="BE43 AQ43 AS43 AC43 AE43 V43 X43 BG43 O43 Q43 AZ43 AX43 AL43 AJ43">
    <cfRule type="expression" dxfId="168" priority="158">
      <formula>OR(IF(O43&lt;P43,TRUE),IF(AND(P43="",O43&lt;&gt;""),TRUE))</formula>
    </cfRule>
    <cfRule type="expression" dxfId="167" priority="159">
      <formula>IF(O43&gt;=P43,IF(O43="",FALSE,TRUE))</formula>
    </cfRule>
  </conditionalFormatting>
  <conditionalFormatting sqref="J43:K43">
    <cfRule type="colorScale" priority="160">
      <colorScale>
        <cfvo type="percent" val="0"/>
        <cfvo type="percent" val="100"/>
        <color rgb="FFFF231B"/>
        <color rgb="FF10FF07"/>
      </colorScale>
    </cfRule>
  </conditionalFormatting>
  <conditionalFormatting sqref="BM43 BO43">
    <cfRule type="expression" dxfId="166" priority="156">
      <formula>OR(IF(BM43&lt;BN43,TRUE),IF(AND(BN43="",BM43&lt;&gt;""),TRUE))</formula>
    </cfRule>
    <cfRule type="expression" dxfId="165" priority="157">
      <formula>IF(BM43&gt;=BN43,IF(BM43="",FALSE,TRUE))</formula>
    </cfRule>
  </conditionalFormatting>
  <conditionalFormatting sqref="BT43 BV43">
    <cfRule type="expression" dxfId="164" priority="154">
      <formula>OR(IF(BT43&lt;BU43,TRUE),IF(AND(BU43="",BT43&lt;&gt;""),TRUE))</formula>
    </cfRule>
    <cfRule type="expression" dxfId="163" priority="155">
      <formula>IF(BT43&gt;=BU43,IF(BT43="",FALSE,TRUE))</formula>
    </cfRule>
  </conditionalFormatting>
  <conditionalFormatting sqref="CA43 CC43">
    <cfRule type="expression" dxfId="162" priority="152">
      <formula>OR(IF(CA43&lt;CB43,TRUE),IF(AND(CB43="",CA43&lt;&gt;""),TRUE))</formula>
    </cfRule>
    <cfRule type="expression" dxfId="161" priority="153">
      <formula>IF(CA43&gt;=CB43,IF(CA43="",FALSE,TRUE))</formula>
    </cfRule>
  </conditionalFormatting>
  <conditionalFormatting sqref="CH43 CJ43">
    <cfRule type="expression" dxfId="160" priority="150">
      <formula>OR(IF(CH43&lt;CI43,TRUE),IF(AND(CI43="",CH43&lt;&gt;""),TRUE))</formula>
    </cfRule>
    <cfRule type="expression" dxfId="159" priority="151">
      <formula>IF(CH43&gt;=CI43,IF(CH43="",FALSE,TRUE))</formula>
    </cfRule>
  </conditionalFormatting>
  <conditionalFormatting sqref="CO43 CQ43">
    <cfRule type="expression" dxfId="158" priority="148">
      <formula>OR(IF(CO43&lt;CP43,TRUE),IF(AND(CP43="",CO43&lt;&gt;""),TRUE))</formula>
    </cfRule>
    <cfRule type="expression" dxfId="157" priority="149">
      <formula>IF(CO43&gt;=CP43,IF(CO43="",FALSE,TRUE))</formula>
    </cfRule>
  </conditionalFormatting>
  <conditionalFormatting sqref="CV43 CX43">
    <cfRule type="expression" dxfId="156" priority="146">
      <formula>OR(IF(CV43&lt;CW43,TRUE),IF(AND(CW43="",CV43&lt;&gt;""),TRUE))</formula>
    </cfRule>
    <cfRule type="expression" dxfId="155" priority="147">
      <formula>IF(CV43&gt;=CW43,IF(CV43="",FALSE,TRUE))</formula>
    </cfRule>
  </conditionalFormatting>
  <conditionalFormatting sqref="DC43 DE43">
    <cfRule type="expression" dxfId="154" priority="144">
      <formula>OR(IF(DC43&lt;DD43,TRUE),IF(AND(DD43="",DC43&lt;&gt;""),TRUE))</formula>
    </cfRule>
    <cfRule type="expression" dxfId="153" priority="145">
      <formula>IF(DC43&gt;=DD43,IF(DC43="",FALSE,TRUE))</formula>
    </cfRule>
  </conditionalFormatting>
  <conditionalFormatting sqref="DJ43 DL43">
    <cfRule type="expression" dxfId="152" priority="142">
      <formula>OR(IF(DJ43&lt;DK43,TRUE),IF(AND(DK43="",DJ43&lt;&gt;""),TRUE))</formula>
    </cfRule>
    <cfRule type="expression" dxfId="151" priority="143">
      <formula>IF(DJ43&gt;=DK43,IF(DJ43="",FALSE,TRUE))</formula>
    </cfRule>
  </conditionalFormatting>
  <conditionalFormatting sqref="BE45 AQ45 AS45 AC45 AE45 V45 X45 BG45 O45 Q45 AZ45 AX45 AL45 AJ45">
    <cfRule type="expression" dxfId="150" priority="139">
      <formula>OR(IF(O45&lt;P45,TRUE),IF(AND(P45="",O45&lt;&gt;""),TRUE))</formula>
    </cfRule>
    <cfRule type="expression" dxfId="149" priority="140">
      <formula>IF(O45&gt;=P45,IF(O45="",FALSE,TRUE))</formula>
    </cfRule>
  </conditionalFormatting>
  <conditionalFormatting sqref="J45:K45">
    <cfRule type="colorScale" priority="141">
      <colorScale>
        <cfvo type="percent" val="0"/>
        <cfvo type="percent" val="100"/>
        <color rgb="FFFF231B"/>
        <color rgb="FF10FF07"/>
      </colorScale>
    </cfRule>
  </conditionalFormatting>
  <conditionalFormatting sqref="BM45 BO45">
    <cfRule type="expression" dxfId="148" priority="137">
      <formula>OR(IF(BM45&lt;BN45,TRUE),IF(AND(BN45="",BM45&lt;&gt;""),TRUE))</formula>
    </cfRule>
    <cfRule type="expression" dxfId="147" priority="138">
      <formula>IF(BM45&gt;=BN45,IF(BM45="",FALSE,TRUE))</formula>
    </cfRule>
  </conditionalFormatting>
  <conditionalFormatting sqref="BT45 BV45">
    <cfRule type="expression" dxfId="146" priority="135">
      <formula>OR(IF(BT45&lt;BU45,TRUE),IF(AND(BU45="",BT45&lt;&gt;""),TRUE))</formula>
    </cfRule>
    <cfRule type="expression" dxfId="145" priority="136">
      <formula>IF(BT45&gt;=BU45,IF(BT45="",FALSE,TRUE))</formula>
    </cfRule>
  </conditionalFormatting>
  <conditionalFormatting sqref="CA45 CC45">
    <cfRule type="expression" dxfId="144" priority="133">
      <formula>OR(IF(CA45&lt;CB45,TRUE),IF(AND(CB45="",CA45&lt;&gt;""),TRUE))</formula>
    </cfRule>
    <cfRule type="expression" dxfId="143" priority="134">
      <formula>IF(CA45&gt;=CB45,IF(CA45="",FALSE,TRUE))</formula>
    </cfRule>
  </conditionalFormatting>
  <conditionalFormatting sqref="CH45 CJ45">
    <cfRule type="expression" dxfId="142" priority="131">
      <formula>OR(IF(CH45&lt;CI45,TRUE),IF(AND(CI45="",CH45&lt;&gt;""),TRUE))</formula>
    </cfRule>
    <cfRule type="expression" dxfId="141" priority="132">
      <formula>IF(CH45&gt;=CI45,IF(CH45="",FALSE,TRUE))</formula>
    </cfRule>
  </conditionalFormatting>
  <conditionalFormatting sqref="CO45 CQ45">
    <cfRule type="expression" dxfId="140" priority="129">
      <formula>OR(IF(CO45&lt;CP45,TRUE),IF(AND(CP45="",CO45&lt;&gt;""),TRUE))</formula>
    </cfRule>
    <cfRule type="expression" dxfId="139" priority="130">
      <formula>IF(CO45&gt;=CP45,IF(CO45="",FALSE,TRUE))</formula>
    </cfRule>
  </conditionalFormatting>
  <conditionalFormatting sqref="CV45 CX45">
    <cfRule type="expression" dxfId="138" priority="127">
      <formula>OR(IF(CV45&lt;CW45,TRUE),IF(AND(CW45="",CV45&lt;&gt;""),TRUE))</formula>
    </cfRule>
    <cfRule type="expression" dxfId="137" priority="128">
      <formula>IF(CV45&gt;=CW45,IF(CV45="",FALSE,TRUE))</formula>
    </cfRule>
  </conditionalFormatting>
  <conditionalFormatting sqref="DC45 DE45">
    <cfRule type="expression" dxfId="136" priority="125">
      <formula>OR(IF(DC45&lt;DD45,TRUE),IF(AND(DD45="",DC45&lt;&gt;""),TRUE))</formula>
    </cfRule>
    <cfRule type="expression" dxfId="135" priority="126">
      <formula>IF(DC45&gt;=DD45,IF(DC45="",FALSE,TRUE))</formula>
    </cfRule>
  </conditionalFormatting>
  <conditionalFormatting sqref="DJ45 DL45">
    <cfRule type="expression" dxfId="134" priority="123">
      <formula>OR(IF(DJ45&lt;DK45,TRUE),IF(AND(DK45="",DJ45&lt;&gt;""),TRUE))</formula>
    </cfRule>
    <cfRule type="expression" dxfId="133" priority="124">
      <formula>IF(DJ45&gt;=DK45,IF(DJ45="",FALSE,TRUE))</formula>
    </cfRule>
  </conditionalFormatting>
  <conditionalFormatting sqref="O58 Q58 AQ58 AS58 BE58 BG58 V58 X58 AC58 AE58 AJ58 AL58 AX58 AZ58">
    <cfRule type="expression" dxfId="132" priority="120">
      <formula>OR(IF(O58&lt;P58,TRUE),IF(AND(P58="",O58&lt;&gt;""),TRUE))</formula>
    </cfRule>
    <cfRule type="expression" dxfId="131" priority="121">
      <formula>IF(O58&gt;=P58,IF(O58="",FALSE,TRUE))</formula>
    </cfRule>
  </conditionalFormatting>
  <conditionalFormatting sqref="J58:K58">
    <cfRule type="colorScale" priority="122">
      <colorScale>
        <cfvo type="percent" val="0"/>
        <cfvo type="percent" val="100"/>
        <color rgb="FFFF231B"/>
        <color rgb="FF10FF07"/>
      </colorScale>
    </cfRule>
  </conditionalFormatting>
  <conditionalFormatting sqref="BM58 BO58">
    <cfRule type="expression" dxfId="130" priority="118">
      <formula>OR(IF(BM58&lt;BN58,TRUE),IF(AND(BN58="",BM58&lt;&gt;""),TRUE))</formula>
    </cfRule>
    <cfRule type="expression" dxfId="129" priority="119">
      <formula>IF(BM58&gt;=BN58,IF(BM58="",FALSE,TRUE))</formula>
    </cfRule>
  </conditionalFormatting>
  <conditionalFormatting sqref="BT58 BV58">
    <cfRule type="expression" dxfId="128" priority="116">
      <formula>OR(IF(BT58&lt;BU58,TRUE),IF(AND(BU58="",BT58&lt;&gt;""),TRUE))</formula>
    </cfRule>
    <cfRule type="expression" dxfId="127" priority="117">
      <formula>IF(BT58&gt;=BU58,IF(BT58="",FALSE,TRUE))</formula>
    </cfRule>
  </conditionalFormatting>
  <conditionalFormatting sqref="CA58 CC58">
    <cfRule type="expression" dxfId="126" priority="114">
      <formula>OR(IF(CA58&lt;CB58,TRUE),IF(AND(CB58="",CA58&lt;&gt;""),TRUE))</formula>
    </cfRule>
    <cfRule type="expression" dxfId="125" priority="115">
      <formula>IF(CA58&gt;=CB58,IF(CA58="",FALSE,TRUE))</formula>
    </cfRule>
  </conditionalFormatting>
  <conditionalFormatting sqref="CH58 CJ58">
    <cfRule type="expression" dxfId="124" priority="112">
      <formula>OR(IF(CH58&lt;CI58,TRUE),IF(AND(CI58="",CH58&lt;&gt;""),TRUE))</formula>
    </cfRule>
    <cfRule type="expression" dxfId="123" priority="113">
      <formula>IF(CH58&gt;=CI58,IF(CH58="",FALSE,TRUE))</formula>
    </cfRule>
  </conditionalFormatting>
  <conditionalFormatting sqref="CO58 CQ58">
    <cfRule type="expression" dxfId="122" priority="110">
      <formula>OR(IF(CO58&lt;CP58,TRUE),IF(AND(CP58="",CO58&lt;&gt;""),TRUE))</formula>
    </cfRule>
    <cfRule type="expression" dxfId="121" priority="111">
      <formula>IF(CO58&gt;=CP58,IF(CO58="",FALSE,TRUE))</formula>
    </cfRule>
  </conditionalFormatting>
  <conditionalFormatting sqref="CV58 CX58">
    <cfRule type="expression" dxfId="120" priority="108">
      <formula>OR(IF(CV58&lt;CW58,TRUE),IF(AND(CW58="",CV58&lt;&gt;""),TRUE))</formula>
    </cfRule>
    <cfRule type="expression" dxfId="119" priority="109">
      <formula>IF(CV58&gt;=CW58,IF(CV58="",FALSE,TRUE))</formula>
    </cfRule>
  </conditionalFormatting>
  <conditionalFormatting sqref="DC58 DE58">
    <cfRule type="expression" dxfId="118" priority="106">
      <formula>OR(IF(DC58&lt;DD58,TRUE),IF(AND(DD58="",DC58&lt;&gt;""),TRUE))</formula>
    </cfRule>
    <cfRule type="expression" dxfId="117" priority="107">
      <formula>IF(DC58&gt;=DD58,IF(DC58="",FALSE,TRUE))</formula>
    </cfRule>
  </conditionalFormatting>
  <conditionalFormatting sqref="DJ58 DL58">
    <cfRule type="expression" dxfId="116" priority="104">
      <formula>OR(IF(DJ58&lt;DK58,TRUE),IF(AND(DK58="",DJ58&lt;&gt;""),TRUE))</formula>
    </cfRule>
    <cfRule type="expression" dxfId="115" priority="105">
      <formula>IF(DJ58&gt;=DK58,IF(DJ58="",FALSE,TRUE))</formula>
    </cfRule>
  </conditionalFormatting>
  <conditionalFormatting sqref="O59 Q59 AQ59 AS59 BE59 BG59 V59 X59 AC59 AE59 AJ59 AL59 AX59 AZ59">
    <cfRule type="expression" dxfId="114" priority="101">
      <formula>OR(IF(O59&lt;P59,TRUE),IF(AND(P59="",O59&lt;&gt;""),TRUE))</formula>
    </cfRule>
    <cfRule type="expression" dxfId="113" priority="102">
      <formula>IF(O59&gt;=P59,IF(O59="",FALSE,TRUE))</formula>
    </cfRule>
  </conditionalFormatting>
  <conditionalFormatting sqref="J59:K59">
    <cfRule type="colorScale" priority="103">
      <colorScale>
        <cfvo type="percent" val="0"/>
        <cfvo type="percent" val="100"/>
        <color rgb="FFFF231B"/>
        <color rgb="FF10FF07"/>
      </colorScale>
    </cfRule>
  </conditionalFormatting>
  <conditionalFormatting sqref="BM59 BO59">
    <cfRule type="expression" dxfId="112" priority="99">
      <formula>OR(IF(BM59&lt;BN59,TRUE),IF(AND(BN59="",BM59&lt;&gt;""),TRUE))</formula>
    </cfRule>
    <cfRule type="expression" dxfId="111" priority="100">
      <formula>IF(BM59&gt;=BN59,IF(BM59="",FALSE,TRUE))</formula>
    </cfRule>
  </conditionalFormatting>
  <conditionalFormatting sqref="BT59 BV59">
    <cfRule type="expression" dxfId="110" priority="97">
      <formula>OR(IF(BT59&lt;BU59,TRUE),IF(AND(BU59="",BT59&lt;&gt;""),TRUE))</formula>
    </cfRule>
    <cfRule type="expression" dxfId="109" priority="98">
      <formula>IF(BT59&gt;=BU59,IF(BT59="",FALSE,TRUE))</formula>
    </cfRule>
  </conditionalFormatting>
  <conditionalFormatting sqref="CA59 CC59">
    <cfRule type="expression" dxfId="108" priority="95">
      <formula>OR(IF(CA59&lt;CB59,TRUE),IF(AND(CB59="",CA59&lt;&gt;""),TRUE))</formula>
    </cfRule>
    <cfRule type="expression" dxfId="107" priority="96">
      <formula>IF(CA59&gt;=CB59,IF(CA59="",FALSE,TRUE))</formula>
    </cfRule>
  </conditionalFormatting>
  <conditionalFormatting sqref="CH59 CJ59">
    <cfRule type="expression" dxfId="106" priority="93">
      <formula>OR(IF(CH59&lt;CI59,TRUE),IF(AND(CI59="",CH59&lt;&gt;""),TRUE))</formula>
    </cfRule>
    <cfRule type="expression" dxfId="105" priority="94">
      <formula>IF(CH59&gt;=CI59,IF(CH59="",FALSE,TRUE))</formula>
    </cfRule>
  </conditionalFormatting>
  <conditionalFormatting sqref="CO59 CQ59">
    <cfRule type="expression" dxfId="104" priority="91">
      <formula>OR(IF(CO59&lt;CP59,TRUE),IF(AND(CP59="",CO59&lt;&gt;""),TRUE))</formula>
    </cfRule>
    <cfRule type="expression" dxfId="103" priority="92">
      <formula>IF(CO59&gt;=CP59,IF(CO59="",FALSE,TRUE))</formula>
    </cfRule>
  </conditionalFormatting>
  <conditionalFormatting sqref="CV59 CX59">
    <cfRule type="expression" dxfId="102" priority="89">
      <formula>OR(IF(CV59&lt;CW59,TRUE),IF(AND(CW59="",CV59&lt;&gt;""),TRUE))</formula>
    </cfRule>
    <cfRule type="expression" dxfId="101" priority="90">
      <formula>IF(CV59&gt;=CW59,IF(CV59="",FALSE,TRUE))</formula>
    </cfRule>
  </conditionalFormatting>
  <conditionalFormatting sqref="DC59 DE59">
    <cfRule type="expression" dxfId="100" priority="87">
      <formula>OR(IF(DC59&lt;DD59,TRUE),IF(AND(DD59="",DC59&lt;&gt;""),TRUE))</formula>
    </cfRule>
    <cfRule type="expression" dxfId="99" priority="88">
      <formula>IF(DC59&gt;=DD59,IF(DC59="",FALSE,TRUE))</formula>
    </cfRule>
  </conditionalFormatting>
  <conditionalFormatting sqref="DJ59 DL59">
    <cfRule type="expression" dxfId="98" priority="85">
      <formula>OR(IF(DJ59&lt;DK59,TRUE),IF(AND(DK59="",DJ59&lt;&gt;""),TRUE))</formula>
    </cfRule>
    <cfRule type="expression" dxfId="97" priority="86">
      <formula>IF(DJ59&gt;=DK59,IF(DJ59="",FALSE,TRUE))</formula>
    </cfRule>
  </conditionalFormatting>
  <conditionalFormatting sqref="O60 Q60 AQ60 AS60 BE60 BG60 V60 X60 AC60 AE60 AJ60 AL60 AX60 AZ60">
    <cfRule type="expression" dxfId="96" priority="82">
      <formula>OR(IF(O60&lt;P60,TRUE),IF(AND(P60="",O60&lt;&gt;""),TRUE))</formula>
    </cfRule>
    <cfRule type="expression" dxfId="95" priority="83">
      <formula>IF(O60&gt;=P60,IF(O60="",FALSE,TRUE))</formula>
    </cfRule>
  </conditionalFormatting>
  <conditionalFormatting sqref="J60:K60">
    <cfRule type="colorScale" priority="84">
      <colorScale>
        <cfvo type="percent" val="0"/>
        <cfvo type="percent" val="100"/>
        <color rgb="FFFF231B"/>
        <color rgb="FF10FF07"/>
      </colorScale>
    </cfRule>
  </conditionalFormatting>
  <conditionalFormatting sqref="BM60 BO60">
    <cfRule type="expression" dxfId="94" priority="80">
      <formula>OR(IF(BM60&lt;BN60,TRUE),IF(AND(BN60="",BM60&lt;&gt;""),TRUE))</formula>
    </cfRule>
    <cfRule type="expression" dxfId="93" priority="81">
      <formula>IF(BM60&gt;=BN60,IF(BM60="",FALSE,TRUE))</formula>
    </cfRule>
  </conditionalFormatting>
  <conditionalFormatting sqref="BT60 BV60">
    <cfRule type="expression" dxfId="92" priority="78">
      <formula>OR(IF(BT60&lt;BU60,TRUE),IF(AND(BU60="",BT60&lt;&gt;""),TRUE))</formula>
    </cfRule>
    <cfRule type="expression" dxfId="91" priority="79">
      <formula>IF(BT60&gt;=BU60,IF(BT60="",FALSE,TRUE))</formula>
    </cfRule>
  </conditionalFormatting>
  <conditionalFormatting sqref="CA60 CC60">
    <cfRule type="expression" dxfId="90" priority="76">
      <formula>OR(IF(CA60&lt;CB60,TRUE),IF(AND(CB60="",CA60&lt;&gt;""),TRUE))</formula>
    </cfRule>
    <cfRule type="expression" dxfId="89" priority="77">
      <formula>IF(CA60&gt;=CB60,IF(CA60="",FALSE,TRUE))</formula>
    </cfRule>
  </conditionalFormatting>
  <conditionalFormatting sqref="CH60 CJ60">
    <cfRule type="expression" dxfId="88" priority="74">
      <formula>OR(IF(CH60&lt;CI60,TRUE),IF(AND(CI60="",CH60&lt;&gt;""),TRUE))</formula>
    </cfRule>
    <cfRule type="expression" dxfId="87" priority="75">
      <formula>IF(CH60&gt;=CI60,IF(CH60="",FALSE,TRUE))</formula>
    </cfRule>
  </conditionalFormatting>
  <conditionalFormatting sqref="CO60 CQ60">
    <cfRule type="expression" dxfId="86" priority="72">
      <formula>OR(IF(CO60&lt;CP60,TRUE),IF(AND(CP60="",CO60&lt;&gt;""),TRUE))</formula>
    </cfRule>
    <cfRule type="expression" dxfId="85" priority="73">
      <formula>IF(CO60&gt;=CP60,IF(CO60="",FALSE,TRUE))</formula>
    </cfRule>
  </conditionalFormatting>
  <conditionalFormatting sqref="CV60 CX60">
    <cfRule type="expression" dxfId="84" priority="70">
      <formula>OR(IF(CV60&lt;CW60,TRUE),IF(AND(CW60="",CV60&lt;&gt;""),TRUE))</formula>
    </cfRule>
    <cfRule type="expression" dxfId="83" priority="71">
      <formula>IF(CV60&gt;=CW60,IF(CV60="",FALSE,TRUE))</formula>
    </cfRule>
  </conditionalFormatting>
  <conditionalFormatting sqref="DC60 DE60">
    <cfRule type="expression" dxfId="82" priority="68">
      <formula>OR(IF(DC60&lt;DD60,TRUE),IF(AND(DD60="",DC60&lt;&gt;""),TRUE))</formula>
    </cfRule>
    <cfRule type="expression" dxfId="81" priority="69">
      <formula>IF(DC60&gt;=DD60,IF(DC60="",FALSE,TRUE))</formula>
    </cfRule>
  </conditionalFormatting>
  <conditionalFormatting sqref="DJ60 DL60">
    <cfRule type="expression" dxfId="80" priority="66">
      <formula>OR(IF(DJ60&lt;DK60,TRUE),IF(AND(DK60="",DJ60&lt;&gt;""),TRUE))</formula>
    </cfRule>
    <cfRule type="expression" dxfId="79" priority="67">
      <formula>IF(DJ60&gt;=DK60,IF(DJ60="",FALSE,TRUE))</formula>
    </cfRule>
  </conditionalFormatting>
  <conditionalFormatting sqref="O61 Q61 AQ61 AS61 BE61 BG61 V61 X61 AC61 AE61 AJ61 AL61 AX61 AZ61">
    <cfRule type="expression" dxfId="78" priority="63">
      <formula>OR(IF(O61&lt;P61,TRUE),IF(AND(P61="",O61&lt;&gt;""),TRUE))</formula>
    </cfRule>
    <cfRule type="expression" dxfId="77" priority="64">
      <formula>IF(O61&gt;=P61,IF(O61="",FALSE,TRUE))</formula>
    </cfRule>
  </conditionalFormatting>
  <conditionalFormatting sqref="J61:K61">
    <cfRule type="colorScale" priority="65">
      <colorScale>
        <cfvo type="percent" val="0"/>
        <cfvo type="percent" val="100"/>
        <color rgb="FFFF231B"/>
        <color rgb="FF10FF07"/>
      </colorScale>
    </cfRule>
  </conditionalFormatting>
  <conditionalFormatting sqref="BM61 BO61">
    <cfRule type="expression" dxfId="76" priority="61">
      <formula>OR(IF(BM61&lt;BN61,TRUE),IF(AND(BN61="",BM61&lt;&gt;""),TRUE))</formula>
    </cfRule>
    <cfRule type="expression" dxfId="75" priority="62">
      <formula>IF(BM61&gt;=BN61,IF(BM61="",FALSE,TRUE))</formula>
    </cfRule>
  </conditionalFormatting>
  <conditionalFormatting sqref="BT61 BV61">
    <cfRule type="expression" dxfId="74" priority="59">
      <formula>OR(IF(BT61&lt;BU61,TRUE),IF(AND(BU61="",BT61&lt;&gt;""),TRUE))</formula>
    </cfRule>
    <cfRule type="expression" dxfId="73" priority="60">
      <formula>IF(BT61&gt;=BU61,IF(BT61="",FALSE,TRUE))</formula>
    </cfRule>
  </conditionalFormatting>
  <conditionalFormatting sqref="CA61 CC61">
    <cfRule type="expression" dxfId="72" priority="57">
      <formula>OR(IF(CA61&lt;CB61,TRUE),IF(AND(CB61="",CA61&lt;&gt;""),TRUE))</formula>
    </cfRule>
    <cfRule type="expression" dxfId="71" priority="58">
      <formula>IF(CA61&gt;=CB61,IF(CA61="",FALSE,TRUE))</formula>
    </cfRule>
  </conditionalFormatting>
  <conditionalFormatting sqref="CH61 CJ61">
    <cfRule type="expression" dxfId="70" priority="55">
      <formula>OR(IF(CH61&lt;CI61,TRUE),IF(AND(CI61="",CH61&lt;&gt;""),TRUE))</formula>
    </cfRule>
    <cfRule type="expression" dxfId="69" priority="56">
      <formula>IF(CH61&gt;=CI61,IF(CH61="",FALSE,TRUE))</formula>
    </cfRule>
  </conditionalFormatting>
  <conditionalFormatting sqref="CO61 CQ61">
    <cfRule type="expression" dxfId="68" priority="53">
      <formula>OR(IF(CO61&lt;CP61,TRUE),IF(AND(CP61="",CO61&lt;&gt;""),TRUE))</formula>
    </cfRule>
    <cfRule type="expression" dxfId="67" priority="54">
      <formula>IF(CO61&gt;=CP61,IF(CO61="",FALSE,TRUE))</formula>
    </cfRule>
  </conditionalFormatting>
  <conditionalFormatting sqref="CV61 CX61">
    <cfRule type="expression" dxfId="66" priority="51">
      <formula>OR(IF(CV61&lt;CW61,TRUE),IF(AND(CW61="",CV61&lt;&gt;""),TRUE))</formula>
    </cfRule>
    <cfRule type="expression" dxfId="65" priority="52">
      <formula>IF(CV61&gt;=CW61,IF(CV61="",FALSE,TRUE))</formula>
    </cfRule>
  </conditionalFormatting>
  <conditionalFormatting sqref="DC61 DE61">
    <cfRule type="expression" dxfId="64" priority="49">
      <formula>OR(IF(DC61&lt;DD61,TRUE),IF(AND(DD61="",DC61&lt;&gt;""),TRUE))</formula>
    </cfRule>
    <cfRule type="expression" dxfId="63" priority="50">
      <formula>IF(DC61&gt;=DD61,IF(DC61="",FALSE,TRUE))</formula>
    </cfRule>
  </conditionalFormatting>
  <conditionalFormatting sqref="DJ61 DL61">
    <cfRule type="expression" dxfId="62" priority="47">
      <formula>OR(IF(DJ61&lt;DK61,TRUE),IF(AND(DK61="",DJ61&lt;&gt;""),TRUE))</formula>
    </cfRule>
    <cfRule type="expression" dxfId="61" priority="48">
      <formula>IF(DJ61&gt;=DK61,IF(DJ61="",FALSE,TRUE))</formula>
    </cfRule>
  </conditionalFormatting>
  <conditionalFormatting sqref="O62 Q62 AQ62 AS62 BE62 BG62 V62 X62 AC62 AE62 AJ62 AL62 AX62 AZ62">
    <cfRule type="expression" dxfId="60" priority="44">
      <formula>OR(IF(O62&lt;P62,TRUE),IF(AND(P62="",O62&lt;&gt;""),TRUE))</formula>
    </cfRule>
    <cfRule type="expression" dxfId="59" priority="45">
      <formula>IF(O62&gt;=P62,IF(O62="",FALSE,TRUE))</formula>
    </cfRule>
  </conditionalFormatting>
  <conditionalFormatting sqref="J62:K62">
    <cfRule type="colorScale" priority="46">
      <colorScale>
        <cfvo type="percent" val="0"/>
        <cfvo type="percent" val="100"/>
        <color rgb="FFFF231B"/>
        <color rgb="FF10FF07"/>
      </colorScale>
    </cfRule>
  </conditionalFormatting>
  <conditionalFormatting sqref="BM62 BO62">
    <cfRule type="expression" dxfId="58" priority="42">
      <formula>OR(IF(BM62&lt;BN62,TRUE),IF(AND(BN62="",BM62&lt;&gt;""),TRUE))</formula>
    </cfRule>
    <cfRule type="expression" dxfId="57" priority="43">
      <formula>IF(BM62&gt;=BN62,IF(BM62="",FALSE,TRUE))</formula>
    </cfRule>
  </conditionalFormatting>
  <conditionalFormatting sqref="BT62 BV62">
    <cfRule type="expression" dxfId="56" priority="40">
      <formula>OR(IF(BT62&lt;BU62,TRUE),IF(AND(BU62="",BT62&lt;&gt;""),TRUE))</formula>
    </cfRule>
    <cfRule type="expression" dxfId="55" priority="41">
      <formula>IF(BT62&gt;=BU62,IF(BT62="",FALSE,TRUE))</formula>
    </cfRule>
  </conditionalFormatting>
  <conditionalFormatting sqref="CA62 CC62">
    <cfRule type="expression" dxfId="54" priority="38">
      <formula>OR(IF(CA62&lt;CB62,TRUE),IF(AND(CB62="",CA62&lt;&gt;""),TRUE))</formula>
    </cfRule>
    <cfRule type="expression" dxfId="53" priority="39">
      <formula>IF(CA62&gt;=CB62,IF(CA62="",FALSE,TRUE))</formula>
    </cfRule>
  </conditionalFormatting>
  <conditionalFormatting sqref="CH62 CJ62">
    <cfRule type="expression" dxfId="52" priority="36">
      <formula>OR(IF(CH62&lt;CI62,TRUE),IF(AND(CI62="",CH62&lt;&gt;""),TRUE))</formula>
    </cfRule>
    <cfRule type="expression" dxfId="51" priority="37">
      <formula>IF(CH62&gt;=CI62,IF(CH62="",FALSE,TRUE))</formula>
    </cfRule>
  </conditionalFormatting>
  <conditionalFormatting sqref="CO62 CQ62">
    <cfRule type="expression" dxfId="50" priority="34">
      <formula>OR(IF(CO62&lt;CP62,TRUE),IF(AND(CP62="",CO62&lt;&gt;""),TRUE))</formula>
    </cfRule>
    <cfRule type="expression" dxfId="49" priority="35">
      <formula>IF(CO62&gt;=CP62,IF(CO62="",FALSE,TRUE))</formula>
    </cfRule>
  </conditionalFormatting>
  <conditionalFormatting sqref="CV62 CX62">
    <cfRule type="expression" dxfId="48" priority="32">
      <formula>OR(IF(CV62&lt;CW62,TRUE),IF(AND(CW62="",CV62&lt;&gt;""),TRUE))</formula>
    </cfRule>
    <cfRule type="expression" dxfId="47" priority="33">
      <formula>IF(CV62&gt;=CW62,IF(CV62="",FALSE,TRUE))</formula>
    </cfRule>
  </conditionalFormatting>
  <conditionalFormatting sqref="DC62 DE62">
    <cfRule type="expression" dxfId="46" priority="30">
      <formula>OR(IF(DC62&lt;DD62,TRUE),IF(AND(DD62="",DC62&lt;&gt;""),TRUE))</formula>
    </cfRule>
    <cfRule type="expression" dxfId="45" priority="31">
      <formula>IF(DC62&gt;=DD62,IF(DC62="",FALSE,TRUE))</formula>
    </cfRule>
  </conditionalFormatting>
  <conditionalFormatting sqref="DJ62 DL62">
    <cfRule type="expression" dxfId="44" priority="28">
      <formula>OR(IF(DJ62&lt;DK62,TRUE),IF(AND(DK62="",DJ62&lt;&gt;""),TRUE))</formula>
    </cfRule>
    <cfRule type="expression" dxfId="43" priority="29">
      <formula>IF(DJ62&gt;=DK62,IF(DJ62="",FALSE,TRUE))</formula>
    </cfRule>
  </conditionalFormatting>
  <conditionalFormatting sqref="O63 Q63 AQ63 AS63 BE63 BG63 V63 X63 AC63 AE63 AJ63 AL63 AX63 AZ63">
    <cfRule type="expression" dxfId="42" priority="25">
      <formula>OR(IF(O63&lt;P63,TRUE),IF(AND(P63="",O63&lt;&gt;""),TRUE))</formula>
    </cfRule>
    <cfRule type="expression" dxfId="41" priority="26">
      <formula>IF(O63&gt;=P63,IF(O63="",FALSE,TRUE))</formula>
    </cfRule>
  </conditionalFormatting>
  <conditionalFormatting sqref="J63:K63">
    <cfRule type="colorScale" priority="27">
      <colorScale>
        <cfvo type="percent" val="0"/>
        <cfvo type="percent" val="100"/>
        <color rgb="FFFF231B"/>
        <color rgb="FF10FF07"/>
      </colorScale>
    </cfRule>
  </conditionalFormatting>
  <conditionalFormatting sqref="BM63 BO63">
    <cfRule type="expression" dxfId="40" priority="23">
      <formula>OR(IF(BM63&lt;BN63,TRUE),IF(AND(BN63="",BM63&lt;&gt;""),TRUE))</formula>
    </cfRule>
    <cfRule type="expression" dxfId="39" priority="24">
      <formula>IF(BM63&gt;=BN63,IF(BM63="",FALSE,TRUE))</formula>
    </cfRule>
  </conditionalFormatting>
  <conditionalFormatting sqref="BT63 BV63">
    <cfRule type="expression" dxfId="38" priority="21">
      <formula>OR(IF(BT63&lt;BU63,TRUE),IF(AND(BU63="",BT63&lt;&gt;""),TRUE))</formula>
    </cfRule>
    <cfRule type="expression" dxfId="37" priority="22">
      <formula>IF(BT63&gt;=BU63,IF(BT63="",FALSE,TRUE))</formula>
    </cfRule>
  </conditionalFormatting>
  <conditionalFormatting sqref="CA63 CC63">
    <cfRule type="expression" dxfId="36" priority="19">
      <formula>OR(IF(CA63&lt;CB63,TRUE),IF(AND(CB63="",CA63&lt;&gt;""),TRUE))</formula>
    </cfRule>
    <cfRule type="expression" dxfId="35" priority="20">
      <formula>IF(CA63&gt;=CB63,IF(CA63="",FALSE,TRUE))</formula>
    </cfRule>
  </conditionalFormatting>
  <conditionalFormatting sqref="CH63 CJ63">
    <cfRule type="expression" dxfId="34" priority="17">
      <formula>OR(IF(CH63&lt;CI63,TRUE),IF(AND(CI63="",CH63&lt;&gt;""),TRUE))</formula>
    </cfRule>
    <cfRule type="expression" dxfId="33" priority="18">
      <formula>IF(CH63&gt;=CI63,IF(CH63="",FALSE,TRUE))</formula>
    </cfRule>
  </conditionalFormatting>
  <conditionalFormatting sqref="CO63 CQ63">
    <cfRule type="expression" dxfId="32" priority="15">
      <formula>OR(IF(CO63&lt;CP63,TRUE),IF(AND(CP63="",CO63&lt;&gt;""),TRUE))</formula>
    </cfRule>
    <cfRule type="expression" dxfId="31" priority="16">
      <formula>IF(CO63&gt;=CP63,IF(CO63="",FALSE,TRUE))</formula>
    </cfRule>
  </conditionalFormatting>
  <conditionalFormatting sqref="CV63 CX63">
    <cfRule type="expression" dxfId="30" priority="13">
      <formula>OR(IF(CV63&lt;CW63,TRUE),IF(AND(CW63="",CV63&lt;&gt;""),TRUE))</formula>
    </cfRule>
    <cfRule type="expression" dxfId="29" priority="14">
      <formula>IF(CV63&gt;=CW63,IF(CV63="",FALSE,TRUE))</formula>
    </cfRule>
  </conditionalFormatting>
  <conditionalFormatting sqref="DC63 DE63">
    <cfRule type="expression" dxfId="28" priority="11">
      <formula>OR(IF(DC63&lt;DD63,TRUE),IF(AND(DD63="",DC63&lt;&gt;""),TRUE))</formula>
    </cfRule>
    <cfRule type="expression" dxfId="27" priority="12">
      <formula>IF(DC63&gt;=DD63,IF(DC63="",FALSE,TRUE))</formula>
    </cfRule>
  </conditionalFormatting>
  <conditionalFormatting sqref="DJ63 DL63">
    <cfRule type="expression" dxfId="26" priority="9">
      <formula>OR(IF(DJ63&lt;DK63,TRUE),IF(AND(DK63="",DJ63&lt;&gt;""),TRUE))</formula>
    </cfRule>
    <cfRule type="expression" dxfId="25" priority="10">
      <formula>IF(DJ63&gt;=DK63,IF(DJ63="",FALSE,TRUE))</formula>
    </cfRule>
  </conditionalFormatting>
  <conditionalFormatting sqref="CV18">
    <cfRule type="expression" dxfId="24" priority="7">
      <formula>OR(IF(CV18&lt;CW18,TRUE),IF(AND(CW18="",CV18&lt;&gt;""),TRUE))</formula>
    </cfRule>
    <cfRule type="expression" dxfId="23" priority="8">
      <formula>IF(CV18&gt;=CW18,IF(CV18="",FALSE,TRUE))</formula>
    </cfRule>
  </conditionalFormatting>
  <conditionalFormatting sqref="CX18">
    <cfRule type="expression" dxfId="22" priority="5">
      <formula>OR(IF(CX18&lt;CY18,TRUE),IF(AND(CY18="",CX18&lt;&gt;""),TRUE))</formula>
    </cfRule>
    <cfRule type="expression" dxfId="21" priority="6">
      <formula>IF(CX18&gt;=CY18,IF(CX18="",FALSE,TRUE))</formula>
    </cfRule>
  </conditionalFormatting>
  <conditionalFormatting sqref="DC18">
    <cfRule type="expression" dxfId="20" priority="3">
      <formula>OR(IF(DC18&lt;DD18,TRUE),IF(AND(DD18="",DC18&lt;&gt;""),TRUE))</formula>
    </cfRule>
    <cfRule type="expression" dxfId="19" priority="4">
      <formula>IF(DC18&gt;=DD18,IF(DC18="",FALSE,TRUE))</formula>
    </cfRule>
  </conditionalFormatting>
  <conditionalFormatting sqref="DE18">
    <cfRule type="expression" dxfId="18" priority="1">
      <formula>OR(IF(DE18&lt;DF18,TRUE),IF(AND(DF18="",DE18&lt;&gt;""),TRUE))</formula>
    </cfRule>
    <cfRule type="expression" dxfId="17" priority="2">
      <formula>IF(DE18&gt;=DF18,IF(DE18="",FALSE,TRUE))</formula>
    </cfRule>
  </conditionalFormatting>
  <dataValidations count="1">
    <dataValidation type="list" allowBlank="1" showInputMessage="1" showErrorMessage="1" sqref="DJ5:DM17 BM81:BP93 O81:R93 V81:Y93 AC81:AF93 AX81:BA93 AQ81:AT93 BE81:BH93 BM66:BP78 BE20:BH31 AQ20:AT31 AJ20:AM31 AC20:AF31 V20:Y31 O20:R31 BE34:BH45 BE66:BH78 AQ66:AT78 AX66:BA78 AJ66:AM78 AC66:AF78 O66:R78 BT81:BW93 BT66:BW78 BM20:BP31 CA81:CD93 CA66:CD78 BT20:BW31 CH81:CK93 CH66:CK78 CA20:CD31 CO81:CR93 CO66:CR78 CH20:CK31 CV81:CY93 CV66:CY78 CO20:CR31 AX34:BA45 AJ81:AM93 CV20:CY31 DC66:DF78 DC20:DF31 DC81:DF93 DJ81:DM93 DJ66:DM78 DJ20:DM31 DJ34:DM45 BM5:BP17 BE5:BH17 AQ5:AT17 AX5:BA17 AJ5:AM17 AC5:AF17 O5:R17 BT5:BW17 CA5:CD17 CH5:CK17 BE48:BH63 CV5:CY18 CO5:CR17 DC5:DF18 DC34:DF45 CV34:CY45 CO34:CR45 CH34:CK45 CA34:CD45 V5:Y17 BT34:BW45 BM34:BP45 O34:R45 AX20:BA31 AQ34:AT45 AJ34:AM45 AC34:AF45 V34:Y45 O48:R63 DJ48:DM63 DC48:DF63 BT48:BW63 CV48:CY63 CO48:CR63 CH48:CK63 CA48:CD63 V66:Y78 V48:Y63 AC48:AF63 AJ48:AM63 AQ48:AT63 AX48:BA63 BM48:BP63"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123"/>
  <sheetViews>
    <sheetView workbookViewId="0">
      <selection activeCell="B4" sqref="B4"/>
    </sheetView>
  </sheetViews>
  <sheetFormatPr baseColWidth="10"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43</v>
      </c>
      <c r="B1" s="17" t="s">
        <v>40</v>
      </c>
      <c r="C1" s="17" t="s">
        <v>41</v>
      </c>
      <c r="D1" s="17" t="s">
        <v>42</v>
      </c>
      <c r="E1" s="1" t="s">
        <v>44</v>
      </c>
      <c r="F1" s="1" t="s">
        <v>45</v>
      </c>
      <c r="G1" s="1" t="s">
        <v>46</v>
      </c>
      <c r="H1" s="1" t="s">
        <v>47</v>
      </c>
      <c r="I1" s="1" t="s">
        <v>48</v>
      </c>
      <c r="J1" s="1" t="s">
        <v>49</v>
      </c>
      <c r="K1" s="1" t="s">
        <v>50</v>
      </c>
    </row>
    <row r="2" spans="1:11">
      <c r="A2" s="16">
        <v>44564</v>
      </c>
      <c r="D2" s="18"/>
    </row>
    <row r="3" spans="1:11">
      <c r="A3" s="16">
        <v>44565</v>
      </c>
      <c r="B3" s="11" t="s">
        <v>175</v>
      </c>
      <c r="C3" s="11" t="s">
        <v>176</v>
      </c>
    </row>
    <row r="4" spans="1:11">
      <c r="A4" s="16">
        <v>44566</v>
      </c>
    </row>
    <row r="5" spans="1:11">
      <c r="A5" s="16">
        <v>44567</v>
      </c>
    </row>
    <row r="6" spans="1:11">
      <c r="A6" s="16">
        <v>44568</v>
      </c>
    </row>
    <row r="7" spans="1:11">
      <c r="A7" s="16">
        <v>44569</v>
      </c>
    </row>
    <row r="8" spans="1:11">
      <c r="A8" s="16">
        <v>44570</v>
      </c>
    </row>
    <row r="9" spans="1:11">
      <c r="A9" s="16">
        <v>44571</v>
      </c>
    </row>
    <row r="10" spans="1:11">
      <c r="A10" s="16">
        <v>44572</v>
      </c>
    </row>
    <row r="11" spans="1:11">
      <c r="A11" s="16">
        <v>44573</v>
      </c>
    </row>
    <row r="12" spans="1:11">
      <c r="A12" s="16">
        <v>44574</v>
      </c>
    </row>
    <row r="13" spans="1:11">
      <c r="A13" s="16">
        <v>44575</v>
      </c>
    </row>
    <row r="14" spans="1:11">
      <c r="A14" s="16">
        <v>44576</v>
      </c>
    </row>
    <row r="15" spans="1:11">
      <c r="A15" s="16">
        <v>44577</v>
      </c>
    </row>
    <row r="16" spans="1:11">
      <c r="A16" s="16">
        <v>44578</v>
      </c>
    </row>
    <row r="17" spans="1:1">
      <c r="A17" s="16">
        <v>44579</v>
      </c>
    </row>
    <row r="18" spans="1:1">
      <c r="A18" s="16">
        <v>44580</v>
      </c>
    </row>
    <row r="19" spans="1:1">
      <c r="A19" s="16">
        <v>44581</v>
      </c>
    </row>
    <row r="20" spans="1:1">
      <c r="A20" s="16">
        <v>44582</v>
      </c>
    </row>
    <row r="21" spans="1:1">
      <c r="A21" s="16">
        <v>44583</v>
      </c>
    </row>
    <row r="22" spans="1:1">
      <c r="A22" s="16">
        <v>44584</v>
      </c>
    </row>
    <row r="23" spans="1:1">
      <c r="A23" s="16">
        <v>44585</v>
      </c>
    </row>
    <row r="24" spans="1:1">
      <c r="A24" s="16">
        <v>44586</v>
      </c>
    </row>
    <row r="25" spans="1:1">
      <c r="A25" s="16">
        <v>44587</v>
      </c>
    </row>
    <row r="26" spans="1:1">
      <c r="A26" s="16">
        <v>44588</v>
      </c>
    </row>
    <row r="27" spans="1:1">
      <c r="A27" s="16">
        <v>44589</v>
      </c>
    </row>
    <row r="28" spans="1:1">
      <c r="A28" s="16">
        <v>44590</v>
      </c>
    </row>
    <row r="29" spans="1:1">
      <c r="A29" s="16">
        <v>44591</v>
      </c>
    </row>
    <row r="30" spans="1:1">
      <c r="A30" s="16">
        <v>44592</v>
      </c>
    </row>
    <row r="31" spans="1:1">
      <c r="A31" s="16">
        <v>44593</v>
      </c>
    </row>
    <row r="32" spans="1:1">
      <c r="A32" s="16">
        <v>44594</v>
      </c>
    </row>
    <row r="33" spans="1:1">
      <c r="A33" s="16">
        <v>44595</v>
      </c>
    </row>
    <row r="34" spans="1:1">
      <c r="A34" s="16">
        <v>44596</v>
      </c>
    </row>
    <row r="35" spans="1:1">
      <c r="A35" s="16">
        <v>44597</v>
      </c>
    </row>
    <row r="36" spans="1:1">
      <c r="A36" s="16">
        <v>44598</v>
      </c>
    </row>
    <row r="37" spans="1:1">
      <c r="A37" s="16">
        <v>44599</v>
      </c>
    </row>
    <row r="38" spans="1:1">
      <c r="A38" s="16">
        <v>44600</v>
      </c>
    </row>
    <row r="39" spans="1:1">
      <c r="A39" s="16">
        <v>44601</v>
      </c>
    </row>
    <row r="40" spans="1:1">
      <c r="A40" s="16">
        <v>44602</v>
      </c>
    </row>
    <row r="41" spans="1:1">
      <c r="A41" s="16">
        <v>44603</v>
      </c>
    </row>
    <row r="42" spans="1:1">
      <c r="A42" s="16">
        <v>44604</v>
      </c>
    </row>
    <row r="43" spans="1:1">
      <c r="A43" s="16">
        <v>44605</v>
      </c>
    </row>
    <row r="44" spans="1:1">
      <c r="A44" s="16">
        <v>44606</v>
      </c>
    </row>
    <row r="45" spans="1:1">
      <c r="A45" s="16">
        <v>44607</v>
      </c>
    </row>
    <row r="46" spans="1:1">
      <c r="A46" s="16">
        <v>44608</v>
      </c>
    </row>
    <row r="47" spans="1:1">
      <c r="A47" s="16">
        <v>44609</v>
      </c>
    </row>
    <row r="48" spans="1:1">
      <c r="A48" s="16">
        <v>44610</v>
      </c>
    </row>
    <row r="49" spans="1:1">
      <c r="A49" s="16">
        <v>44611</v>
      </c>
    </row>
    <row r="50" spans="1:1">
      <c r="A50" s="16">
        <v>44612</v>
      </c>
    </row>
    <row r="51" spans="1:1">
      <c r="A51" s="16">
        <v>44613</v>
      </c>
    </row>
    <row r="52" spans="1:1">
      <c r="A52" s="16">
        <v>44614</v>
      </c>
    </row>
    <row r="53" spans="1:1">
      <c r="A53" s="16">
        <v>44615</v>
      </c>
    </row>
    <row r="54" spans="1:1">
      <c r="A54" s="16">
        <v>44616</v>
      </c>
    </row>
    <row r="55" spans="1:1">
      <c r="A55" s="16">
        <v>44617</v>
      </c>
    </row>
    <row r="56" spans="1:1">
      <c r="A56" s="16">
        <v>44618</v>
      </c>
    </row>
    <row r="57" spans="1:1">
      <c r="A57" s="16">
        <v>44619</v>
      </c>
    </row>
    <row r="58" spans="1:1">
      <c r="A58" s="16">
        <v>44620</v>
      </c>
    </row>
    <row r="59" spans="1:1">
      <c r="A59" s="16">
        <v>44621</v>
      </c>
    </row>
    <row r="60" spans="1:1">
      <c r="A60" s="16">
        <v>44622</v>
      </c>
    </row>
    <row r="61" spans="1:1">
      <c r="A61" s="16">
        <v>44623</v>
      </c>
    </row>
    <row r="62" spans="1:1">
      <c r="A62" s="16">
        <v>44624</v>
      </c>
    </row>
    <row r="63" spans="1:1">
      <c r="A63" s="16">
        <v>44625</v>
      </c>
    </row>
    <row r="64" spans="1:1">
      <c r="A64" s="16">
        <v>44626</v>
      </c>
    </row>
    <row r="65" spans="1:1">
      <c r="A65" s="16">
        <v>44627</v>
      </c>
    </row>
    <row r="66" spans="1:1">
      <c r="A66" s="16">
        <v>44628</v>
      </c>
    </row>
    <row r="67" spans="1:1">
      <c r="A67" s="16">
        <v>44629</v>
      </c>
    </row>
    <row r="68" spans="1:1">
      <c r="A68" s="16">
        <v>44630</v>
      </c>
    </row>
    <row r="69" spans="1:1">
      <c r="A69" s="16">
        <v>44631</v>
      </c>
    </row>
    <row r="70" spans="1:1">
      <c r="A70" s="16">
        <v>44632</v>
      </c>
    </row>
    <row r="71" spans="1:1">
      <c r="A71" s="16">
        <v>44633</v>
      </c>
    </row>
    <row r="72" spans="1:1">
      <c r="A72" s="16">
        <v>44634</v>
      </c>
    </row>
    <row r="73" spans="1:1">
      <c r="A73" s="16">
        <v>44635</v>
      </c>
    </row>
    <row r="74" spans="1:1">
      <c r="A74" s="16">
        <v>44636</v>
      </c>
    </row>
    <row r="75" spans="1:1">
      <c r="A75" s="16">
        <v>44637</v>
      </c>
    </row>
    <row r="76" spans="1:1">
      <c r="A76" s="16">
        <v>44638</v>
      </c>
    </row>
    <row r="77" spans="1:1">
      <c r="A77" s="16">
        <v>44639</v>
      </c>
    </row>
    <row r="78" spans="1:1">
      <c r="A78" s="16">
        <v>44640</v>
      </c>
    </row>
    <row r="79" spans="1:1">
      <c r="A79" s="16">
        <v>44641</v>
      </c>
    </row>
    <row r="80" spans="1:1">
      <c r="A80" s="16">
        <v>44642</v>
      </c>
    </row>
    <row r="81" spans="1:1">
      <c r="A81" s="16">
        <v>44643</v>
      </c>
    </row>
    <row r="82" spans="1:1">
      <c r="A82" s="16">
        <v>44644</v>
      </c>
    </row>
    <row r="83" spans="1:1">
      <c r="A83" s="16">
        <v>44645</v>
      </c>
    </row>
    <row r="84" spans="1:1">
      <c r="A84" s="16">
        <v>44646</v>
      </c>
    </row>
    <row r="85" spans="1:1">
      <c r="A85" s="16">
        <v>44647</v>
      </c>
    </row>
    <row r="86" spans="1:1">
      <c r="A86" s="16">
        <v>44648</v>
      </c>
    </row>
    <row r="87" spans="1:1">
      <c r="A87" s="16">
        <v>44649</v>
      </c>
    </row>
    <row r="88" spans="1:1">
      <c r="A88" s="16">
        <v>44650</v>
      </c>
    </row>
    <row r="89" spans="1:1">
      <c r="A89" s="16">
        <v>44651</v>
      </c>
    </row>
    <row r="90" spans="1:1">
      <c r="A90" s="16">
        <v>44652</v>
      </c>
    </row>
    <row r="91" spans="1:1">
      <c r="A91" s="16">
        <v>44653</v>
      </c>
    </row>
    <row r="92" spans="1:1">
      <c r="A92" s="16">
        <v>44654</v>
      </c>
    </row>
    <row r="93" spans="1:1">
      <c r="A93" s="16">
        <v>44655</v>
      </c>
    </row>
    <row r="94" spans="1:1">
      <c r="A94" s="16">
        <v>44656</v>
      </c>
    </row>
    <row r="95" spans="1:1">
      <c r="A95" s="16">
        <v>44657</v>
      </c>
    </row>
    <row r="96" spans="1:1">
      <c r="A96" s="16">
        <v>44658</v>
      </c>
    </row>
    <row r="97" spans="1:1">
      <c r="A97" s="16">
        <v>44659</v>
      </c>
    </row>
    <row r="98" spans="1:1">
      <c r="A98" s="16">
        <v>44660</v>
      </c>
    </row>
    <row r="99" spans="1:1">
      <c r="A99" s="16">
        <v>44661</v>
      </c>
    </row>
    <row r="100" spans="1:1">
      <c r="A100" s="16">
        <v>44662</v>
      </c>
    </row>
    <row r="101" spans="1:1">
      <c r="A101" s="16">
        <v>44663</v>
      </c>
    </row>
    <row r="102" spans="1:1">
      <c r="A102" s="16">
        <v>44664</v>
      </c>
    </row>
    <row r="103" spans="1:1">
      <c r="A103" s="16">
        <v>44665</v>
      </c>
    </row>
    <row r="104" spans="1:1">
      <c r="A104" s="16">
        <v>44666</v>
      </c>
    </row>
    <row r="105" spans="1:1">
      <c r="A105" s="16">
        <v>44667</v>
      </c>
    </row>
    <row r="106" spans="1:1">
      <c r="A106" s="16">
        <v>44668</v>
      </c>
    </row>
    <row r="107" spans="1:1">
      <c r="A107" s="16">
        <v>44669</v>
      </c>
    </row>
    <row r="108" spans="1:1">
      <c r="A108" s="16">
        <v>44670</v>
      </c>
    </row>
    <row r="109" spans="1:1">
      <c r="A109" s="16">
        <v>44671</v>
      </c>
    </row>
    <row r="110" spans="1:1">
      <c r="A110" s="16">
        <v>44672</v>
      </c>
    </row>
    <row r="111" spans="1:1">
      <c r="A111" s="16">
        <v>44673</v>
      </c>
    </row>
    <row r="112" spans="1:1">
      <c r="A112" s="16">
        <v>44674</v>
      </c>
    </row>
    <row r="113" spans="1:1">
      <c r="A113" s="16">
        <v>44675</v>
      </c>
    </row>
    <row r="114" spans="1:1">
      <c r="A114" s="16">
        <v>44676</v>
      </c>
    </row>
    <row r="115" spans="1:1">
      <c r="A115" s="16">
        <v>44677</v>
      </c>
    </row>
    <row r="116" spans="1:1">
      <c r="A116" s="16">
        <v>44678</v>
      </c>
    </row>
    <row r="117" spans="1:1">
      <c r="A117" s="16">
        <v>44679</v>
      </c>
    </row>
    <row r="118" spans="1:1">
      <c r="A118" s="16">
        <v>44680</v>
      </c>
    </row>
    <row r="119" spans="1:1">
      <c r="A119" s="16">
        <v>44681</v>
      </c>
    </row>
    <row r="120" spans="1:1">
      <c r="A120" s="16">
        <v>44682</v>
      </c>
    </row>
    <row r="121" spans="1:1">
      <c r="A121" s="16">
        <v>44683</v>
      </c>
    </row>
    <row r="122" spans="1:1">
      <c r="A122" s="16">
        <v>44684</v>
      </c>
    </row>
    <row r="123" spans="1:1">
      <c r="A123" s="16">
        <v>44685</v>
      </c>
    </row>
  </sheetData>
  <conditionalFormatting sqref="B2:C123">
    <cfRule type="cellIs" dxfId="16" priority="29" operator="equal">
      <formula>"Ja"</formula>
    </cfRule>
    <cfRule type="cellIs" dxfId="15" priority="30" operator="equal">
      <formula>"Nein"</formula>
    </cfRule>
  </conditionalFormatting>
  <conditionalFormatting sqref="D2">
    <cfRule type="cellIs" dxfId="14" priority="21" operator="equal">
      <formula>1</formula>
    </cfRule>
    <cfRule type="cellIs" dxfId="13" priority="22" operator="equal">
      <formula>0.8</formula>
    </cfRule>
    <cfRule type="cellIs" dxfId="12" priority="23" operator="equal">
      <formula>0.6</formula>
    </cfRule>
    <cfRule type="cellIs" dxfId="11" priority="24" operator="equal">
      <formula>0.4</formula>
    </cfRule>
    <cfRule type="cellIs" dxfId="10" priority="25" operator="equal">
      <formula>0.2</formula>
    </cfRule>
    <cfRule type="cellIs" dxfId="9" priority="26" operator="equal">
      <formula>0</formula>
    </cfRule>
  </conditionalFormatting>
  <conditionalFormatting sqref="B2:C123">
    <cfRule type="cellIs" dxfId="8" priority="19" operator="equal">
      <formula>"Ja"</formula>
    </cfRule>
  </conditionalFormatting>
  <conditionalFormatting sqref="B91:C123">
    <cfRule type="cellIs" dxfId="7" priority="2" operator="equal">
      <formula>"Ja"</formula>
    </cfRule>
    <cfRule type="cellIs" dxfId="6" priority="3" operator="equal">
      <formula>"Nein"</formula>
    </cfRule>
  </conditionalFormatting>
  <conditionalFormatting sqref="B91:C123">
    <cfRule type="cellIs" dxfId="5" priority="1" operator="equal">
      <formula>"Ja"</formula>
    </cfRule>
  </conditionalFormatting>
  <dataValidations count="2">
    <dataValidation type="list" allowBlank="1" showInputMessage="1" showErrorMessage="1" sqref="D2" xr:uid="{B2E161F3-3A4E-9042-B62A-806000DA1055}">
      <formula1>"100%,80%,60%,40%,20%,0%"</formula1>
    </dataValidation>
    <dataValidation type="list" allowBlank="1" showInputMessage="1" showErrorMessage="1" sqref="B2:C123" xr:uid="{7FDD2772-70A7-4C43-8D43-0112E4DB6845}">
      <formula1>"Ja,Nein"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4" zoomScale="117" workbookViewId="0">
      <selection activeCell="H22" sqref="H22"/>
    </sheetView>
  </sheetViews>
  <sheetFormatPr baseColWidth="10" defaultColWidth="10.625" defaultRowHeight="15.75"/>
  <cols>
    <col min="3" max="3" width="17.5" customWidth="1"/>
    <col min="4" max="4" width="14" customWidth="1"/>
    <col min="6" max="6" width="15.625" customWidth="1"/>
  </cols>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c r="C10" t="s">
        <v>148</v>
      </c>
    </row>
    <row r="11" spans="1:8">
      <c r="A11" s="10">
        <v>0.29166666666666702</v>
      </c>
      <c r="C11" t="s">
        <v>149</v>
      </c>
      <c r="D11" t="s">
        <v>148</v>
      </c>
    </row>
    <row r="12" spans="1:8">
      <c r="A12" s="10">
        <v>0.3125</v>
      </c>
      <c r="C12" t="s">
        <v>154</v>
      </c>
      <c r="D12" t="s">
        <v>149</v>
      </c>
    </row>
    <row r="13" spans="1:8">
      <c r="A13" s="10">
        <v>0.33333333333333398</v>
      </c>
      <c r="C13" s="23" t="s">
        <v>160</v>
      </c>
    </row>
    <row r="14" spans="1:8">
      <c r="A14" s="10">
        <v>0.35416666666666702</v>
      </c>
      <c r="C14" s="21"/>
      <c r="D14" t="s">
        <v>154</v>
      </c>
    </row>
    <row r="15" spans="1:8">
      <c r="A15" s="10">
        <v>0.375</v>
      </c>
      <c r="C15" s="21"/>
      <c r="D15" s="21" t="s">
        <v>39</v>
      </c>
      <c r="F15" t="s">
        <v>164</v>
      </c>
    </row>
    <row r="16" spans="1:8">
      <c r="A16" s="10">
        <v>0.39583333333333398</v>
      </c>
      <c r="C16" s="21"/>
      <c r="D16" s="21" t="s">
        <v>163</v>
      </c>
    </row>
    <row r="17" spans="1:6">
      <c r="A17" s="10">
        <v>0.41666666666666702</v>
      </c>
      <c r="C17" s="21"/>
      <c r="D17" s="25"/>
      <c r="F17" s="21" t="s">
        <v>165</v>
      </c>
    </row>
    <row r="18" spans="1:6">
      <c r="A18" s="10">
        <v>0.4375</v>
      </c>
      <c r="C18" s="21"/>
      <c r="D18" s="25"/>
      <c r="F18" s="25"/>
    </row>
    <row r="19" spans="1:6">
      <c r="A19" s="10">
        <v>0.45833333333333398</v>
      </c>
      <c r="C19" s="21"/>
      <c r="D19" s="25"/>
      <c r="F19" s="25"/>
    </row>
    <row r="20" spans="1:6">
      <c r="A20" s="10">
        <v>0.47916666666666702</v>
      </c>
      <c r="C20" s="21"/>
      <c r="D20" s="25"/>
      <c r="F20" s="25"/>
    </row>
    <row r="21" spans="1:6">
      <c r="A21" s="10">
        <v>0.5</v>
      </c>
      <c r="C21" s="24"/>
      <c r="D21" s="25"/>
      <c r="F21" s="25"/>
    </row>
    <row r="22" spans="1:6">
      <c r="A22" s="10">
        <v>0.52083333333333404</v>
      </c>
      <c r="C22" s="22" t="s">
        <v>155</v>
      </c>
      <c r="F22" s="25"/>
    </row>
    <row r="23" spans="1:6">
      <c r="A23" s="10">
        <v>0.54166666666666696</v>
      </c>
      <c r="C23" t="s">
        <v>156</v>
      </c>
      <c r="F23" s="25"/>
    </row>
    <row r="24" spans="1:6">
      <c r="A24" s="10">
        <v>0.5625</v>
      </c>
      <c r="C24" s="21" t="s">
        <v>161</v>
      </c>
      <c r="F24" t="s">
        <v>166</v>
      </c>
    </row>
    <row r="25" spans="1:6">
      <c r="A25" s="10">
        <v>0.58333333333333404</v>
      </c>
      <c r="C25" s="21"/>
      <c r="D25" s="28" t="s">
        <v>39</v>
      </c>
    </row>
    <row r="26" spans="1:6">
      <c r="A26" s="10">
        <v>0.60416666666666696</v>
      </c>
      <c r="C26" s="25"/>
      <c r="D26" s="28" t="s">
        <v>159</v>
      </c>
    </row>
    <row r="27" spans="1:6">
      <c r="A27" s="10">
        <v>0.625000000000001</v>
      </c>
      <c r="C27" s="25"/>
      <c r="D27" s="28"/>
    </row>
    <row r="28" spans="1:6">
      <c r="A28" s="10">
        <v>0.64583333333333404</v>
      </c>
      <c r="C28" s="25"/>
      <c r="D28" s="28"/>
    </row>
    <row r="29" spans="1:6">
      <c r="A29" s="10">
        <v>0.66666666666666696</v>
      </c>
      <c r="C29" s="25"/>
      <c r="D29" s="28"/>
    </row>
    <row r="30" spans="1:6">
      <c r="A30" s="10">
        <v>0.687500000000001</v>
      </c>
      <c r="C30" s="25"/>
      <c r="D30" t="s">
        <v>162</v>
      </c>
    </row>
    <row r="31" spans="1:6">
      <c r="A31" s="10">
        <v>0.70833333333333404</v>
      </c>
      <c r="C31" s="25"/>
    </row>
    <row r="32" spans="1:6">
      <c r="A32" s="10">
        <v>0.72916666666666696</v>
      </c>
      <c r="C32" s="25"/>
    </row>
    <row r="33" spans="1:3">
      <c r="A33" s="10">
        <v>0.750000000000001</v>
      </c>
      <c r="B33" s="22"/>
      <c r="C33" s="27" t="s">
        <v>153</v>
      </c>
    </row>
    <row r="34" spans="1:3">
      <c r="A34" s="10">
        <v>0.77083333333333404</v>
      </c>
      <c r="C34" t="s">
        <v>150</v>
      </c>
    </row>
    <row r="35" spans="1:3">
      <c r="A35" s="10">
        <v>0.79166666666666696</v>
      </c>
    </row>
    <row r="36" spans="1:3">
      <c r="A36" s="10">
        <v>0.812500000000001</v>
      </c>
      <c r="C36" s="9"/>
    </row>
    <row r="37" spans="1:3">
      <c r="A37" s="10">
        <v>0.83333333333333404</v>
      </c>
      <c r="C37" s="9" t="s">
        <v>157</v>
      </c>
    </row>
    <row r="38" spans="1:3">
      <c r="A38" s="10">
        <v>0.85416666666666696</v>
      </c>
      <c r="C38" s="26" t="s">
        <v>151</v>
      </c>
    </row>
    <row r="39" spans="1:3">
      <c r="A39" s="10">
        <v>0.875000000000001</v>
      </c>
      <c r="C39" s="26"/>
    </row>
    <row r="40" spans="1:3">
      <c r="A40" s="10">
        <v>0.89583333333333404</v>
      </c>
      <c r="C40" s="26"/>
    </row>
    <row r="41" spans="1:3">
      <c r="A41" s="10">
        <v>0.91666666666666696</v>
      </c>
      <c r="C41" s="26"/>
    </row>
    <row r="42" spans="1:3">
      <c r="A42" s="10">
        <v>0.937500000000001</v>
      </c>
      <c r="C42" t="s">
        <v>158</v>
      </c>
    </row>
    <row r="43" spans="1:3">
      <c r="A43" s="10">
        <v>0.95833333333333404</v>
      </c>
      <c r="C43" t="s">
        <v>152</v>
      </c>
    </row>
    <row r="44" spans="1:3">
      <c r="A44" s="10">
        <v>0.97916666666666696</v>
      </c>
    </row>
    <row r="45" spans="1:3">
      <c r="A45" s="10">
        <v>1</v>
      </c>
    </row>
    <row r="46" spans="1:3">
      <c r="A46" s="10">
        <v>1.0208333333333299</v>
      </c>
    </row>
    <row r="47" spans="1:3">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B10" sqref="B10"/>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c r="B10" t="s">
        <v>148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D2A08-794B-4401-BC02-A4054CE40BC2}">
  <dimension ref="A1:H47"/>
  <sheetViews>
    <sheetView workbookViewId="0">
      <selection activeCell="J29" sqref="J29"/>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A0D69-16C6-44AB-A207-8D14083E6248}">
  <dimension ref="A1:H47"/>
  <sheetViews>
    <sheetView workbookViewId="0">
      <selection activeCell="K30" sqref="K30"/>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67BDD-2542-403C-9FE5-B75DBF02B6EF}">
  <dimension ref="A1:H47"/>
  <sheetViews>
    <sheetView workbookViewId="0">
      <selection activeCell="L30" sqref="L30"/>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8799C-3D90-49CD-8B02-3B842245D647}">
  <dimension ref="A1:H47"/>
  <sheetViews>
    <sheetView workbookViewId="0">
      <selection activeCell="M30" sqref="M30"/>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E3D33-7C8F-489E-861B-EEDDEB66B65F}">
  <dimension ref="A1:H47"/>
  <sheetViews>
    <sheetView workbookViewId="0">
      <selection activeCell="M28" sqref="M28"/>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C72ED-A4AF-4409-83A1-64C23D23555C}">
  <dimension ref="A1:H47"/>
  <sheetViews>
    <sheetView workbookViewId="0">
      <selection sqref="A1:H47"/>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D0144-B91C-4466-B791-F8EA264A4661}">
  <dimension ref="A1:H47"/>
  <sheetViews>
    <sheetView workbookViewId="0">
      <selection sqref="A1:H47"/>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FA8C8-73BD-457F-968A-6943942D06E9}">
  <dimension ref="A1:H47"/>
  <sheetViews>
    <sheetView workbookViewId="0">
      <selection sqref="A1:H47"/>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FB9D6-F453-4A32-9C5B-AF9BBE1DE86D}">
  <dimension ref="A1:H47"/>
  <sheetViews>
    <sheetView workbookViewId="0">
      <selection sqref="A1:H47"/>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36710-3375-4DDA-8336-55B506BF321C}">
  <dimension ref="A1:H47"/>
  <sheetViews>
    <sheetView workbookViewId="0">
      <selection sqref="A1:H47"/>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F0C48-C5D5-43EA-BD5F-E57FAF312E04}">
  <dimension ref="A1:H47"/>
  <sheetViews>
    <sheetView workbookViewId="0">
      <selection sqref="A1:H47"/>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938B6-09E9-47C9-984E-8787116C07F1}">
  <dimension ref="A1:H47"/>
  <sheetViews>
    <sheetView topLeftCell="A22" workbookViewId="0">
      <selection sqref="A1:H47"/>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DDCB0-B196-45F3-83B1-49D7AD98FCB3}">
  <dimension ref="A1:H47"/>
  <sheetViews>
    <sheetView workbookViewId="0">
      <selection sqref="A1:H47"/>
    </sheetView>
  </sheetViews>
  <sheetFormatPr baseColWidth="10"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18</vt:i4>
      </vt:variant>
    </vt:vector>
  </HeadingPairs>
  <TitlesOfParts>
    <vt:vector size="18" baseType="lpstr">
      <vt:lpstr>Anleitung</vt:lpstr>
      <vt:lpstr>Semesterplan</vt:lpstr>
      <vt:lpstr>COMMITTMENT</vt:lpstr>
      <vt:lpstr>Wochenplan KW 1</vt:lpstr>
      <vt:lpstr>Wochenplan KW 2</vt:lpstr>
      <vt:lpstr>Wochenplan KW 3</vt:lpstr>
      <vt:lpstr>Wochenplan KW 4</vt:lpstr>
      <vt:lpstr>Wochenplan KW 5</vt:lpstr>
      <vt:lpstr>Wochenplan KW 6</vt:lpstr>
      <vt:lpstr>Wochenplan KW 7</vt:lpstr>
      <vt:lpstr>Wochenplan KW 8</vt:lpstr>
      <vt:lpstr>Wochenplan KW 9</vt:lpstr>
      <vt:lpstr>Wochenplan KW 10</vt:lpstr>
      <vt:lpstr>Wochenplan KW 11</vt:lpstr>
      <vt:lpstr>Wochenplan KW 12</vt:lpstr>
      <vt:lpstr>Wochenplan KW 13</vt:lpstr>
      <vt:lpstr>Wochenplan KW 14</vt:lpstr>
      <vt:lpstr>Wochenplan KW 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Admin</cp:lastModifiedBy>
  <dcterms:created xsi:type="dcterms:W3CDTF">2020-04-19T13:33:28Z</dcterms:created>
  <dcterms:modified xsi:type="dcterms:W3CDTF">2022-01-05T12:18:11Z</dcterms:modified>
</cp:coreProperties>
</file>