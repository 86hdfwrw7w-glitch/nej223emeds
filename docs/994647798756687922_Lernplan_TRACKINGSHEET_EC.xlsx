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carlos nico carolina\Documents\Carlos\Bewerbungen Praktika\"/>
    </mc:Choice>
  </mc:AlternateContent>
  <xr:revisionPtr revIDLastSave="0" documentId="13_ncr:1_{DCF5D109-C13F-4D80-BDF4-AEF545A830C8}" xr6:coauthVersionLast="47" xr6:coauthVersionMax="47" xr10:uidLastSave="{00000000-0000-0000-0000-000000000000}"/>
  <bookViews>
    <workbookView xWindow="-108" yWindow="-108" windowWidth="23256" windowHeight="12456" activeTab="3" xr2:uid="{50F29292-BE80-0C47-A0D2-DD086CB3D310}"/>
  </bookViews>
  <sheets>
    <sheet name="Anleitung" sheetId="2" r:id="rId1"/>
    <sheet name="Semesterplan" sheetId="7" r:id="rId2"/>
    <sheet name="Semesterplan SoSe 22" sheetId="10" r:id="rId3"/>
    <sheet name="Semesterferien" sheetId="11" r:id="rId4"/>
    <sheet name="COMMITTMENT" sheetId="9" r:id="rId5"/>
    <sheet name="Wochenplan KW 19" sheetId="3" r:id="rId6"/>
    <sheet name="Wochenplan KW 20" sheetId="8"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1" i="11" l="1"/>
  <c r="K13" i="11" a="1"/>
  <c r="K13" i="11" s="1"/>
  <c r="J13" i="11" a="1"/>
  <c r="J13" i="11" s="1"/>
  <c r="I13" i="11"/>
  <c r="K12" i="11" a="1"/>
  <c r="K12" i="11" s="1"/>
  <c r="J12" i="11" a="1"/>
  <c r="J12" i="11" s="1"/>
  <c r="I12" i="11"/>
  <c r="J5" i="11" a="1"/>
  <c r="J5" i="11" s="1"/>
  <c r="L5" i="11"/>
  <c r="G4" i="11"/>
  <c r="K9" i="11" a="1"/>
  <c r="K9" i="11" s="1"/>
  <c r="J9" i="11" a="1"/>
  <c r="J9" i="11" s="1"/>
  <c r="K8" i="11" a="1"/>
  <c r="K8" i="11" s="1"/>
  <c r="J8" i="11" a="1"/>
  <c r="J8" i="11" s="1"/>
  <c r="K7" i="11" a="1"/>
  <c r="K7" i="11" s="1"/>
  <c r="J7" i="11" a="1"/>
  <c r="J7" i="11" s="1"/>
  <c r="K6" i="11" a="1"/>
  <c r="K6" i="11" s="1"/>
  <c r="J6" i="11" a="1"/>
  <c r="J6" i="11" s="1"/>
  <c r="K5" i="11" a="1"/>
  <c r="K5" i="11" s="1"/>
  <c r="I18" i="11"/>
  <c r="J18" i="11" a="1"/>
  <c r="J18" i="11" s="1"/>
  <c r="K18" i="11" a="1"/>
  <c r="K18" i="11" s="1"/>
  <c r="I17" i="11"/>
  <c r="I25" i="11"/>
  <c r="J25" i="11" a="1"/>
  <c r="J25" i="11" s="1"/>
  <c r="K25" i="11" a="1"/>
  <c r="K25" i="11" s="1"/>
  <c r="I20" i="11"/>
  <c r="J20" i="11" a="1"/>
  <c r="J20" i="11" s="1"/>
  <c r="K20" i="11" a="1"/>
  <c r="K20" i="11" s="1"/>
  <c r="J17" i="11" a="1"/>
  <c r="J17" i="11" s="1"/>
  <c r="K17" i="11" a="1"/>
  <c r="K17" i="11" s="1"/>
  <c r="I16" i="11"/>
  <c r="J16" i="11" a="1"/>
  <c r="J16" i="11" s="1"/>
  <c r="K16" i="11" a="1"/>
  <c r="K16" i="11" s="1"/>
  <c r="G15" i="11"/>
  <c r="I19" i="11"/>
  <c r="J19" i="11" a="1"/>
  <c r="J19" i="11" s="1"/>
  <c r="K19" i="11" a="1"/>
  <c r="K19" i="11" s="1"/>
  <c r="I21" i="11"/>
  <c r="J21" i="11" a="1"/>
  <c r="J21" i="11" s="1"/>
  <c r="K21" i="11" a="1"/>
  <c r="K21" i="11" s="1"/>
  <c r="I22" i="11"/>
  <c r="J22" i="11" a="1"/>
  <c r="J22" i="11" s="1"/>
  <c r="K22" i="11" a="1"/>
  <c r="K22" i="11" s="1"/>
  <c r="I23" i="11"/>
  <c r="J23" i="11" a="1"/>
  <c r="J23" i="11" s="1"/>
  <c r="K23" i="11" a="1"/>
  <c r="K23" i="11" s="1"/>
  <c r="I24" i="11"/>
  <c r="J24" i="11" a="1"/>
  <c r="J24" i="11" s="1"/>
  <c r="K24" i="11" a="1"/>
  <c r="K24" i="11" s="1"/>
  <c r="K15" i="11" a="1"/>
  <c r="K15" i="11" s="1"/>
  <c r="J15" i="11" a="1"/>
  <c r="J15" i="11" s="1"/>
  <c r="I15" i="11"/>
  <c r="K17" i="10" a="1"/>
  <c r="K17" i="10" s="1"/>
  <c r="J17" i="10" a="1"/>
  <c r="J17" i="10" s="1"/>
  <c r="I17" i="10"/>
  <c r="I4" i="10"/>
  <c r="G13" i="10"/>
  <c r="G7" i="10"/>
  <c r="G4" i="10"/>
  <c r="K16" i="10"/>
  <c r="K16" i="10" a="1"/>
  <c r="J16" i="10"/>
  <c r="J16" i="10" a="1"/>
  <c r="I16" i="10"/>
  <c r="K15" i="10"/>
  <c r="K15" i="10" a="1"/>
  <c r="J15" i="10" a="1"/>
  <c r="J15" i="10" s="1"/>
  <c r="I15" i="10"/>
  <c r="K14" i="10"/>
  <c r="K14" i="10" a="1"/>
  <c r="J14" i="10"/>
  <c r="J14" i="10" a="1"/>
  <c r="I14" i="10"/>
  <c r="K13" i="10" a="1"/>
  <c r="K13" i="10" s="1"/>
  <c r="J13" i="10"/>
  <c r="J13" i="10" a="1"/>
  <c r="I13" i="10"/>
  <c r="K11" i="10" a="1"/>
  <c r="K11" i="10" s="1"/>
  <c r="J11" i="10" a="1"/>
  <c r="J11" i="10" s="1"/>
  <c r="I11" i="10"/>
  <c r="K10" i="10"/>
  <c r="K10" i="10" a="1"/>
  <c r="J10" i="10"/>
  <c r="J10" i="10" a="1"/>
  <c r="I10" i="10"/>
  <c r="K9" i="10" a="1"/>
  <c r="K9" i="10" s="1"/>
  <c r="J9" i="10" a="1"/>
  <c r="J9" i="10" s="1"/>
  <c r="I9" i="10"/>
  <c r="K8" i="10"/>
  <c r="K8" i="10" a="1"/>
  <c r="J8" i="10"/>
  <c r="J8" i="10" a="1"/>
  <c r="I8" i="10"/>
  <c r="K7" i="10" a="1"/>
  <c r="K7" i="10" s="1"/>
  <c r="J7" i="10" a="1"/>
  <c r="J7" i="10" s="1"/>
  <c r="I7" i="10"/>
  <c r="K5" i="10" a="1"/>
  <c r="K5" i="10" s="1"/>
  <c r="J5" i="10" a="1"/>
  <c r="J5" i="10" s="1"/>
  <c r="I5" i="10"/>
  <c r="BD4" i="10"/>
  <c r="AW4" i="10"/>
  <c r="AP4" i="10"/>
  <c r="AI4" i="10"/>
  <c r="AB4" i="10"/>
  <c r="U4" i="10"/>
  <c r="N4" i="10"/>
  <c r="K24" i="7" a="1"/>
  <c r="K24" i="7" s="1"/>
  <c r="J24" i="7" a="1"/>
  <c r="J24" i="7" s="1"/>
  <c r="K23" i="7" a="1"/>
  <c r="K23" i="7" s="1"/>
  <c r="J23" i="7" a="1"/>
  <c r="J23" i="7" s="1"/>
  <c r="K22" i="7" a="1"/>
  <c r="K22" i="7" s="1"/>
  <c r="J22" i="7" a="1"/>
  <c r="J22" i="7" s="1"/>
  <c r="K21" i="7" a="1"/>
  <c r="K21" i="7" s="1"/>
  <c r="J21" i="7" a="1"/>
  <c r="J21" i="7" s="1"/>
  <c r="K20" i="7" a="1"/>
  <c r="K20" i="7" s="1"/>
  <c r="J20" i="7" a="1"/>
  <c r="J20" i="7" s="1"/>
  <c r="K19" i="7" a="1"/>
  <c r="K19" i="7" s="1"/>
  <c r="J19" i="7" a="1"/>
  <c r="J19" i="7" s="1"/>
  <c r="K38" i="7" a="1"/>
  <c r="K38" i="7" s="1"/>
  <c r="J38" i="7" a="1"/>
  <c r="J38" i="7" s="1"/>
  <c r="K37" i="7" a="1"/>
  <c r="K37" i="7" s="1"/>
  <c r="J37" i="7" a="1"/>
  <c r="J37" i="7" s="1"/>
  <c r="K36" i="7" a="1"/>
  <c r="K36" i="7" s="1"/>
  <c r="J36" i="7" a="1"/>
  <c r="J36" i="7" s="1"/>
  <c r="K35" i="7" a="1"/>
  <c r="K35" i="7" s="1"/>
  <c r="J35" i="7" a="1"/>
  <c r="J3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16" i="7" a="1"/>
  <c r="K16" i="7" s="1"/>
  <c r="J16" i="7" a="1"/>
  <c r="J16" i="7" s="1"/>
  <c r="K15" i="7" a="1"/>
  <c r="K15" i="7" s="1"/>
  <c r="J15" i="7" a="1"/>
  <c r="J15" i="7" s="1"/>
  <c r="K14" i="7" a="1"/>
  <c r="K14" i="7" s="1"/>
  <c r="J14" i="7" a="1"/>
  <c r="J14" i="7" s="1"/>
  <c r="K13" i="7" a="1"/>
  <c r="K13" i="7" s="1"/>
  <c r="J13" i="7" a="1"/>
  <c r="J13" i="7" s="1"/>
  <c r="K12" i="7" a="1"/>
  <c r="K12" i="7" s="1"/>
  <c r="J12" i="7" a="1"/>
  <c r="J12" i="7" s="1"/>
  <c r="K11" i="7" a="1"/>
  <c r="K11" i="7" s="1"/>
  <c r="J11" i="7" a="1"/>
  <c r="J11" i="7" s="1"/>
  <c r="K10" i="7" a="1"/>
  <c r="K10" i="7" s="1"/>
  <c r="J10" i="7" a="1"/>
  <c r="J10" i="7" s="1"/>
  <c r="K9" i="7" a="1"/>
  <c r="K9" i="7" s="1"/>
  <c r="J9" i="7" a="1"/>
  <c r="J9" i="7" s="1"/>
  <c r="K8" i="7" a="1"/>
  <c r="K8" i="7" s="1"/>
  <c r="J8" i="7" a="1"/>
  <c r="J8" i="7" s="1"/>
  <c r="K7" i="7" a="1"/>
  <c r="K7" i="7" s="1"/>
  <c r="J7" i="7" a="1"/>
  <c r="J7" i="7" s="1"/>
  <c r="K6" i="7" a="1"/>
  <c r="K6" i="7" s="1"/>
  <c r="J6" i="7" a="1"/>
  <c r="J6" i="7" s="1"/>
  <c r="K5" i="7" a="1"/>
  <c r="K5" i="7" s="1"/>
  <c r="J5" i="7" a="1"/>
  <c r="J5" i="7" s="1"/>
  <c r="AP18" i="7"/>
  <c r="AI18" i="7"/>
  <c r="AB18" i="7"/>
  <c r="U18" i="7"/>
  <c r="BD4" i="7"/>
  <c r="AW4" i="7"/>
  <c r="AP4" i="7"/>
  <c r="AI4" i="7"/>
  <c r="AB4" i="7"/>
  <c r="U4" i="7"/>
  <c r="N4" i="7"/>
  <c r="N18" i="7"/>
  <c r="G4" i="7"/>
  <c r="AP26" i="7"/>
  <c r="AI26" i="7"/>
  <c r="AB26" i="7"/>
  <c r="U26" i="7"/>
  <c r="I38" i="7"/>
  <c r="I37" i="7"/>
  <c r="I36" i="7"/>
  <c r="I35" i="7"/>
  <c r="I34" i="7"/>
  <c r="I33" i="7"/>
  <c r="I32" i="7"/>
  <c r="I31" i="7"/>
  <c r="I30" i="7"/>
  <c r="I29" i="7"/>
  <c r="I28" i="7"/>
  <c r="I27" i="7"/>
  <c r="I24" i="7"/>
  <c r="I23" i="7"/>
  <c r="I22" i="7"/>
  <c r="I21" i="7"/>
  <c r="I20" i="7"/>
  <c r="I19" i="7"/>
  <c r="I16" i="7"/>
  <c r="I6" i="7"/>
  <c r="I7" i="7"/>
  <c r="I8" i="7"/>
  <c r="I9" i="7"/>
  <c r="I10" i="7"/>
  <c r="I11" i="7"/>
  <c r="I12" i="7"/>
  <c r="I13" i="7"/>
  <c r="I14" i="7"/>
  <c r="I15" i="7"/>
  <c r="I5" i="7"/>
  <c r="N26" i="7"/>
  <c r="G26" i="7"/>
  <c r="G18" i="7"/>
  <c r="I4" i="11" l="1"/>
  <c r="K4" i="11"/>
  <c r="J4" i="11"/>
  <c r="I26" i="7"/>
  <c r="J26" i="7"/>
  <c r="K26" i="7"/>
  <c r="I18" i="7"/>
  <c r="J18" i="7"/>
  <c r="K18" i="7"/>
  <c r="K4" i="7"/>
  <c r="I4" i="7" l="1"/>
  <c r="J4" i="7"/>
  <c r="K4" i="10"/>
  <c r="J4"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tc={21F302D7-CCF2-4DC4-B5F3-678C1F064372}</author>
  </authors>
  <commentList>
    <comment ref="G7" authorId="0" shapeId="0" xr:uid="{21F302D7-CCF2-4DC4-B5F3-678C1F06437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Alternativ Timing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tc={DB55C8F9-1DCD-4D0C-B6F5-BA59F3CE410A}</author>
  </authors>
  <commentList>
    <comment ref="G15" authorId="0" shapeId="0" xr:uid="{DB55C8F9-1DCD-4D0C-B6F5-BA59F3CE410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Alternativ Timing</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<sst xmlns="http://schemas.openxmlformats.org/spreadsheetml/2006/main" count="423" uniqueCount="134">
  <si>
    <t>Semesterplan</t>
  </si>
  <si>
    <t>Fach</t>
  </si>
  <si>
    <t>Marketing</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</si>
  <si>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</si>
  <si>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</si>
  <si>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</si>
  <si>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</si>
  <si>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</si>
  <si>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</si>
  <si>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</si>
  <si>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</si>
  <si>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</si>
  <si>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</si>
  <si>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</si>
  <si>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</si>
  <si>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</si>
  <si>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</si>
  <si>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</si>
  <si>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</si>
  <si>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</si>
  <si>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</si>
  <si>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</si>
  <si>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</si>
  <si>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</si>
  <si>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</si>
  <si>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</si>
  <si>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</si>
  <si>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</si>
  <si>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</si>
  <si>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</si>
  <si>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</si>
  <si>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</si>
  <si>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2) Aktuelle Herausforderungen an das Marketing</t>
  </si>
  <si>
    <t>3) Marktforschung</t>
  </si>
  <si>
    <t>4) Marketingziele &amp; -prognosen</t>
  </si>
  <si>
    <t>5) Strategisches Marketing</t>
  </si>
  <si>
    <t>6) Konsumentenorientieres Marketing</t>
  </si>
  <si>
    <t>7) Produkt</t>
  </si>
  <si>
    <t>8) Marke</t>
  </si>
  <si>
    <t>9) Preis</t>
  </si>
  <si>
    <t>10) Kommunikation</t>
  </si>
  <si>
    <t>11) Distribution &amp; E-Commerce</t>
  </si>
  <si>
    <t>12) Implementierung &amp; Controlling</t>
  </si>
  <si>
    <t>ECTS</t>
  </si>
  <si>
    <t>Anteil an Klausur</t>
  </si>
  <si>
    <t>Ziel</t>
  </si>
  <si>
    <t>(Übersicht-Zelle muss angepasst werden)</t>
  </si>
  <si>
    <t>KW 19</t>
  </si>
  <si>
    <t>KW 20</t>
  </si>
  <si>
    <t>KW 21</t>
  </si>
  <si>
    <t>KW 22</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</si>
  <si>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</si>
  <si>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</si>
  <si>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</si>
  <si>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</si>
  <si>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Finanzen 1</t>
  </si>
  <si>
    <t>2) Der perfekte Markt</t>
  </si>
  <si>
    <t>3) Marktevaulierung</t>
  </si>
  <si>
    <t>4) CAPM</t>
  </si>
  <si>
    <t>5) Firmenbewertung</t>
  </si>
  <si>
    <t>6) DCF</t>
  </si>
  <si>
    <t>Mikroökonomie</t>
  </si>
  <si>
    <t>KW 23</t>
  </si>
  <si>
    <t>KW 24</t>
  </si>
  <si>
    <t>KW 25</t>
  </si>
  <si>
    <t>Lerneinheiten durchgezogen</t>
  </si>
  <si>
    <t>Tagesplan erstellt</t>
  </si>
  <si>
    <t>Konzentrationslevel</t>
  </si>
  <si>
    <t>Datum</t>
  </si>
  <si>
    <t>Kcal</t>
  </si>
  <si>
    <t>Fette</t>
  </si>
  <si>
    <t>Eiweiss</t>
  </si>
  <si>
    <t>Kohlenhydrate</t>
  </si>
  <si>
    <t>Gewicht</t>
  </si>
  <si>
    <t>Sonstiges Gefühl</t>
  </si>
  <si>
    <t>Optimierungen</t>
  </si>
  <si>
    <t>Bachelorarbeit</t>
  </si>
  <si>
    <t>Betriebswirtschaftliche Steuerlehre</t>
  </si>
  <si>
    <t>25.06.</t>
  </si>
  <si>
    <t>Tbd</t>
  </si>
  <si>
    <t>TOEFL</t>
  </si>
  <si>
    <t>Master</t>
  </si>
  <si>
    <t>tbd</t>
  </si>
  <si>
    <t>Reading</t>
  </si>
  <si>
    <t xml:space="preserve">Listening </t>
  </si>
  <si>
    <t>Speaking</t>
  </si>
  <si>
    <t>Writing</t>
  </si>
  <si>
    <t>Finanzwissenschaft</t>
  </si>
  <si>
    <t>Wahlfach</t>
  </si>
  <si>
    <t>Ökonomische Gründe für das Versagen von Märkten</t>
  </si>
  <si>
    <t>Externalitäten, Besteuerung und Regulierung</t>
  </si>
  <si>
    <t>Private und öffentliche Bereitstellung von Kollektivgütern</t>
  </si>
  <si>
    <t>Die Bedeutung von Informationsasymmetrien</t>
  </si>
  <si>
    <t>zusätzliches Material</t>
  </si>
  <si>
    <t xml:space="preserve">Reading </t>
  </si>
  <si>
    <t xml:space="preserve">Speaking </t>
  </si>
  <si>
    <t xml:space="preserve">Writing </t>
  </si>
  <si>
    <t>Übungstest 1</t>
  </si>
  <si>
    <t>Übungstest 2</t>
  </si>
  <si>
    <t>Übungstest 3</t>
  </si>
  <si>
    <t>Übungstest 4</t>
  </si>
  <si>
    <t>Authentic TOEFL iBT Practice Test 1</t>
  </si>
  <si>
    <t>Authentic TOEFL iBT Practice Test 2</t>
  </si>
  <si>
    <t>Authentic TOEFL iBT Practice Test 3</t>
  </si>
  <si>
    <t>Authentic TOEFL iBT Practice Test 4</t>
  </si>
  <si>
    <t>TOEFL iBT complete Practice Test V31</t>
  </si>
  <si>
    <t>Übungstest 5</t>
  </si>
  <si>
    <t>Skript</t>
  </si>
  <si>
    <t>Übung</t>
  </si>
  <si>
    <t>Listening</t>
  </si>
  <si>
    <t>Annahmen</t>
  </si>
  <si>
    <t>KW 27</t>
  </si>
  <si>
    <t>KW 28</t>
  </si>
  <si>
    <t>KW 29</t>
  </si>
  <si>
    <t>KW 30</t>
  </si>
  <si>
    <t>KW 31</t>
  </si>
  <si>
    <t>KW 32</t>
  </si>
  <si>
    <t>KW 33</t>
  </si>
  <si>
    <t>KW 34</t>
  </si>
  <si>
    <t>KW 35</t>
  </si>
  <si>
    <t>KW 36</t>
  </si>
  <si>
    <t>KW 37</t>
  </si>
  <si>
    <t>Interviewvorbereitung</t>
  </si>
  <si>
    <t xml:space="preserve">Praktikum </t>
  </si>
  <si>
    <t>EC IB Fragen</t>
  </si>
  <si>
    <t>400 Questions</t>
  </si>
  <si>
    <t>Selbstpräsentation</t>
  </si>
  <si>
    <t>Power Point</t>
  </si>
  <si>
    <t>Excel / Valuation</t>
  </si>
  <si>
    <t>Executive Summaries erstellen</t>
  </si>
  <si>
    <t>CCA / CTA</t>
  </si>
  <si>
    <t xml:space="preserve">GMAT </t>
  </si>
  <si>
    <t xml:space="preserve">Manhattan Prep </t>
  </si>
  <si>
    <t>GMAT: The Official Guide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</si>
</sst>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7">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8"/>
      <name val="Calibri"/>
      <family val="2"/>
      <scheme val="minor"/>
    </font>
    <font>
      <sz val="12"/>
      <color theme="1"/>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DFF05"/>
        <bgColor indexed="64"/>
      </patternFill>
    </fill>
  </fills>
  <borders count="1">
    <border>
      <left/>
      <right/>
      <top/>
      <bottom/>
      <diagonal/>
    </border>
  </borders>
  <cellStyleXfs count="2">
    <xf numFmtId="0" fontId="0" fillId="0" borderId="0"/>
    <xf numFmtId="9" fontId="6" fillId="0" borderId="0" applyFont="0" applyFill="0" applyBorder="0" applyAlignment="0" applyProtection="0"/>
  </cellStyleXfs>
  <cellXfs count="28">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xf numFmtId="0" fontId="1" fillId="2" borderId="0" xfId="0" applyFont="1" applyFill="1" applyAlignment="1">
      <alignment horizontal="center"/>
    </xf>
    <xf numFmtId="0" fontId="0" fillId="0" borderId="0" xfId="0" applyAlignment="1">
      <alignment horizontal="left" vertical="center"/>
    </xf>
    <xf numFmtId="0" fontId="1" fillId="2" borderId="0" xfId="0" applyFont="1" applyFill="1" applyAlignment="1">
      <alignment horizontal="center"/>
    </xf>
    <xf numFmtId="0" fontId="1" fillId="0" borderId="0" xfId="0" applyFont="1" applyFill="1"/>
    <xf numFmtId="0" fontId="1" fillId="0" borderId="0" xfId="0" applyFont="1" applyFill="1" applyAlignment="1">
      <alignment horizontal="center"/>
    </xf>
    <xf numFmtId="0" fontId="0" fillId="0" borderId="0" xfId="0" applyFont="1" applyFill="1"/>
    <xf numFmtId="165" fontId="0" fillId="0" borderId="0" xfId="0" applyNumberFormat="1"/>
    <xf numFmtId="165" fontId="6" fillId="0" borderId="0" xfId="1" applyNumberFormat="1" applyFont="1" applyFill="1" applyAlignment="1">
      <alignment horizontal="right"/>
    </xf>
  </cellXfs>
  <cellStyles count="2">
    <cellStyle name="Prozent" xfId="1" builtinId="5"/>
    <cellStyle name="Standard" xfId="0" builtinId="0"/>
  </cellStyles>
  <dxfs count="251">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Ther, Carlos" id="{4A419A50-1118-4DB7-ABD1-5CA74B166957}" userId="S::cther@acxit.com::42422ded-1b19-4458-a76b-24ec674f5438"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250">
  <autoFilter ref="A1:K46" xr:uid="{6E266E34-2786-2747-BCE7-51B74867A564}"/>
  <tableColumns count="11">
    <tableColumn id="1" xr3:uid="{95FD92F7-3DC8-704D-A103-A7EDDAB255AB}" name="Datum" dataDxfId="249"/>
    <tableColumn id="2" xr3:uid="{F464D510-8166-E740-A343-FB84BDEF877F}" name="Lerneinheiten durchgezogen" dataDxfId="248"/>
    <tableColumn id="3" xr3:uid="{75F52B08-1A00-0848-BBE6-1EDF7B31B1AD}" name="Tagesplan erstellt" dataDxfId="247"/>
    <tableColumn id="4" xr3:uid="{E6B18D89-E799-AD48-9DAA-37AEE1D29011}" name="Konzentrationslevel" dataDxfId="246"/>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7" dT="2022-04-19T10:28:53.74" personId="{4A419A50-1118-4DB7-ABD1-5CA74B166957}" id="{21F302D7-CCF2-4DC4-B5F3-678C1F064372}">
    <text>Alternativ Timing</text>
  </threadedComment>
</ThreadedComments>
</file>

<file path=xl/threadedComments/threadedComment2.xml><?xml version="1.0" encoding="utf-8"?>
<ThreadedComments xmlns="http://schemas.microsoft.com/office/spreadsheetml/2018/threadedcomments" xmlns:x="http://schemas.openxmlformats.org/spreadsheetml/2006/main">
  <threadedComment ref="G15" dT="2022-04-19T10:28:53.74" personId="{4A419A50-1118-4DB7-ABD1-5CA74B166957}" id="{DB55C8F9-1DCD-4D0C-B6F5-BA59F3CE410A}">
    <text>Alternativ Timing</text>
  </threadedComment>
</ThreadedComment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topLeftCell="A22" workbookViewId="0">
      <selection activeCell="B29" sqref="B29"/>
    </sheetView>
  </sheetViews>
  <sheetFormatPr baseColWidth="10" defaultColWidth="10.59765625" defaultRowHeight="15.6"/>
  <cols>
    <col min="2" max="2" width="161" customWidth="1"/>
    <col min="3" max="3" width="10.8984375" style="2"/>
  </cols>
  <sheetData>
    <row r="4" spans="2:2" ht="21">
      <c r="B4" s="4" t="s">
        <v>17</v>
      </c>
    </row>
    <row r="6" spans="2:2">
      <c r="B6" s="3" t="s">
        <v>14</v>
      </c>
    </row>
    <row r="7" spans="2:2" ht="46.8">
      <c r="B7" s="1" t="s">
        <v>15</v>
      </c>
    </row>
    <row r="9" spans="2:2">
      <c r="B9" s="3" t="s">
        <v>16</v>
      </c>
    </row>
    <row r="10" spans="2:2" ht="62.4">
      <c r="B10" s="1" t="s">
        <v>52</v>
      </c>
    </row>
    <row r="12" spans="2:2">
      <c r="B12" s="3" t="s">
        <v>18</v>
      </c>
    </row>
    <row r="13" spans="2:2" ht="140.4">
      <c r="B13" s="1" t="s">
        <v>19</v>
      </c>
    </row>
    <row r="15" spans="2:2">
      <c r="B15" s="3" t="s">
        <v>20</v>
      </c>
    </row>
    <row r="16" spans="2:2" ht="109.2">
      <c r="B16" s="1" t="s">
        <v>21</v>
      </c>
    </row>
    <row r="17" spans="2:2">
      <c r="B17" s="1"/>
    </row>
    <row r="18" spans="2:2">
      <c r="B18" s="3" t="s">
        <v>51</v>
      </c>
    </row>
    <row r="19" spans="2:2" ht="140.4">
      <c r="B19" s="1" t="s">
        <v>53</v>
      </c>
    </row>
    <row r="21" spans="2:2">
      <c r="B21" s="3" t="s">
        <v>22</v>
      </c>
    </row>
    <row r="22" spans="2:2" ht="124.8">
      <c r="B22" s="1" t="s">
        <v>54</v>
      </c>
    </row>
    <row r="24" spans="2:2">
      <c r="B24" s="3" t="s">
        <v>23</v>
      </c>
    </row>
    <row r="25" spans="2:2" ht="124.8">
      <c r="B25" s="1" t="s">
        <v>24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BI38"/>
  <sheetViews>
    <sheetView showGridLines="0" topLeftCell="L1" zoomScale="125" zoomScaleNormal="83" workbookViewId="0">
      <selection activeCell="N5" sqref="N5:S6"/>
    </sheetView>
  </sheetViews>
  <sheetFormatPr baseColWidth="10" defaultColWidth="8.8984375" defaultRowHeight="15.6" outlineLevelRow="1"/>
  <cols>
    <col min="3" max="3" width="9.5" bestFit="1" customWidth="1"/>
    <col min="4" max="4" width="13" bestFit="1" customWidth="1"/>
    <col min="5" max="5" width="4.8984375" bestFit="1" customWidth="1"/>
    <col min="6" max="6" width="41.09765625" bestFit="1" customWidth="1"/>
    <col min="7" max="7" width="15.5" bestFit="1" customWidth="1"/>
    <col min="8" max="8" width="2.5" customWidth="1"/>
    <col min="10" max="10" width="12.5" bestFit="1" customWidth="1"/>
    <col min="11" max="11" width="14.8984375" bestFit="1" customWidth="1"/>
    <col min="12" max="12" width="12.59765625" bestFit="1" customWidth="1"/>
    <col min="13" max="13" width="2.5" customWidth="1"/>
    <col min="15" max="15" width="12.5" bestFit="1" customWidth="1"/>
    <col min="16" max="16" width="6.3984375" customWidth="1"/>
    <col min="17" max="17" width="14.8984375" bestFit="1" customWidth="1"/>
    <col min="18" max="18" width="6" customWidth="1"/>
    <col min="19" max="19" width="12.59765625" bestFit="1" customWidth="1"/>
    <col min="20" max="20" width="2.5" customWidth="1"/>
    <col min="22" max="22" width="12.5" bestFit="1" customWidth="1"/>
    <col min="23" max="23" width="6.3984375" customWidth="1"/>
    <col min="24" max="24" width="14.8984375" bestFit="1" customWidth="1"/>
    <col min="25" max="25" width="6" customWidth="1"/>
    <col min="26" max="26" width="12.59765625" bestFit="1" customWidth="1"/>
    <col min="27" max="27" width="2.5" customWidth="1"/>
    <col min="29" max="29" width="12.5" bestFit="1" customWidth="1"/>
    <col min="30" max="30" width="6.3984375" customWidth="1"/>
    <col min="31" max="31" width="14.8984375" bestFit="1" customWidth="1"/>
    <col min="32" max="32" width="6" customWidth="1"/>
    <col min="33" max="33" width="12.59765625" bestFit="1" customWidth="1"/>
    <col min="34" max="34" width="2.5" customWidth="1"/>
    <col min="36" max="36" width="12.5" bestFit="1" customWidth="1"/>
    <col min="37" max="37" width="6.3984375" customWidth="1"/>
    <col min="38" max="38" width="14.8984375" bestFit="1" customWidth="1"/>
    <col min="39" max="39" width="6" customWidth="1"/>
    <col min="40" max="40" width="12.59765625" bestFit="1" customWidth="1"/>
    <col min="41" max="41" width="2.5" customWidth="1"/>
    <col min="43" max="43" width="12.5" bestFit="1" customWidth="1"/>
    <col min="44" max="44" width="6.3984375" customWidth="1"/>
    <col min="45" max="45" width="14.8984375" bestFit="1" customWidth="1"/>
    <col min="46" max="46" width="6" customWidth="1"/>
    <col min="47" max="47" width="12.59765625" bestFit="1" customWidth="1"/>
    <col min="48" max="48" width="2.5" customWidth="1"/>
    <col min="50" max="50" width="12.5" bestFit="1" customWidth="1"/>
    <col min="51" max="51" width="6.3984375" customWidth="1"/>
    <col min="52" max="52" width="14.8984375" bestFit="1" customWidth="1"/>
    <col min="53" max="53" width="6" customWidth="1"/>
    <col min="54" max="54" width="12.59765625" bestFit="1" customWidth="1"/>
    <col min="55" max="55" width="2.5" customWidth="1"/>
    <col min="57" max="57" width="12.5" bestFit="1" customWidth="1"/>
    <col min="58" max="58" width="6.3984375" customWidth="1"/>
    <col min="59" max="59" width="14.8984375" bestFit="1" customWidth="1"/>
    <col min="60" max="60" width="6" customWidth="1"/>
    <col min="61" max="61" width="12.59765625" bestFit="1" customWidth="1"/>
    <col min="62" max="62" width="2.5" customWidth="1"/>
  </cols>
  <sheetData>
    <row r="1" spans="2:61" ht="33.6">
      <c r="B1" s="5" t="s">
        <v>0</v>
      </c>
      <c r="D1" s="5"/>
      <c r="G1" s="15" t="s">
        <v>46</v>
      </c>
      <c r="I1" s="15" t="s">
        <v>46</v>
      </c>
      <c r="J1" s="15" t="s">
        <v>46</v>
      </c>
      <c r="K1" s="15" t="s">
        <v>46</v>
      </c>
    </row>
    <row r="2" spans="2:61">
      <c r="I2" s="22" t="s">
        <v>28</v>
      </c>
      <c r="J2" s="22"/>
      <c r="K2" s="22"/>
      <c r="L2" s="22"/>
      <c r="N2" s="22" t="s">
        <v>47</v>
      </c>
      <c r="O2" s="22"/>
      <c r="P2" s="22"/>
      <c r="Q2" s="22"/>
      <c r="R2" s="22"/>
      <c r="S2" s="22"/>
      <c r="U2" s="22" t="s">
        <v>48</v>
      </c>
      <c r="V2" s="22"/>
      <c r="W2" s="22"/>
      <c r="X2" s="22"/>
      <c r="Y2" s="22"/>
      <c r="Z2" s="22"/>
      <c r="AB2" s="22" t="s">
        <v>49</v>
      </c>
      <c r="AC2" s="22"/>
      <c r="AD2" s="22"/>
      <c r="AE2" s="22"/>
      <c r="AF2" s="22"/>
      <c r="AG2" s="22"/>
      <c r="AI2" s="22" t="s">
        <v>50</v>
      </c>
      <c r="AJ2" s="22"/>
      <c r="AK2" s="22"/>
      <c r="AL2" s="22"/>
      <c r="AM2" s="22"/>
      <c r="AN2" s="22"/>
      <c r="AP2" s="22" t="s">
        <v>62</v>
      </c>
      <c r="AQ2" s="22"/>
      <c r="AR2" s="22"/>
      <c r="AS2" s="22"/>
      <c r="AT2" s="22"/>
      <c r="AU2" s="22"/>
      <c r="AW2" s="22" t="s">
        <v>63</v>
      </c>
      <c r="AX2" s="22"/>
      <c r="AY2" s="22"/>
      <c r="AZ2" s="22"/>
      <c r="BA2" s="22"/>
      <c r="BB2" s="22"/>
      <c r="BD2" s="22" t="s">
        <v>64</v>
      </c>
      <c r="BE2" s="22"/>
      <c r="BF2" s="22"/>
      <c r="BG2" s="22"/>
      <c r="BH2" s="22"/>
      <c r="BI2" s="22"/>
    </row>
    <row r="3" spans="2:61">
      <c r="B3" s="6" t="s">
        <v>27</v>
      </c>
      <c r="C3" s="6" t="s">
        <v>1</v>
      </c>
      <c r="D3" s="6" t="s">
        <v>25</v>
      </c>
      <c r="E3" s="7" t="s">
        <v>43</v>
      </c>
      <c r="F3" s="6" t="s">
        <v>30</v>
      </c>
      <c r="G3" s="6" t="s">
        <v>44</v>
      </c>
      <c r="I3" s="7" t="s">
        <v>12</v>
      </c>
      <c r="J3" s="7" t="s">
        <v>3</v>
      </c>
      <c r="K3" s="7" t="s">
        <v>4</v>
      </c>
      <c r="L3" s="7"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row>
    <row r="4" spans="2:61">
      <c r="B4" t="s">
        <v>28</v>
      </c>
      <c r="C4" t="s">
        <v>2</v>
      </c>
      <c r="E4" s="11">
        <v>6</v>
      </c>
      <c r="G4" s="12">
        <f>+SUM(G5:G16)</f>
        <v>0.99999999999999989</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row>
    <row r="5" spans="2:61" outlineLevel="1">
      <c r="B5" t="s">
        <v>29</v>
      </c>
      <c r="C5" t="s">
        <v>2</v>
      </c>
      <c r="E5" s="11"/>
      <c r="F5" t="s">
        <v>31</v>
      </c>
      <c r="G5" s="12">
        <v>0.1</v>
      </c>
      <c r="I5" s="11">
        <f>+SUMIF($N$3:$ZZ$3,I$3,$N5:$ZZ5)</f>
        <v>0</v>
      </c>
      <c r="J5" s="13" cm="1">
        <f t="array" ref="J5">MAX(IF($N$3:$EH$3=$J$3,N5:EH5))</f>
        <v>0</v>
      </c>
      <c r="K5" s="13" cm="1">
        <f t="array" ref="K5">MAX(IF($N$3:$EH$3=$J$3,N5:EH5))</f>
        <v>0</v>
      </c>
      <c r="L5" s="11"/>
      <c r="O5" s="12"/>
      <c r="P5" s="12"/>
      <c r="Q5" s="12"/>
      <c r="R5" s="12"/>
      <c r="V5" s="12"/>
      <c r="W5" s="12"/>
      <c r="X5" s="12"/>
      <c r="Y5" s="12"/>
      <c r="AC5" s="12"/>
      <c r="AD5" s="12"/>
      <c r="AE5" s="12"/>
      <c r="AF5" s="12"/>
      <c r="AJ5" s="12"/>
      <c r="AK5" s="12"/>
      <c r="AL5" s="12"/>
      <c r="AM5" s="12"/>
      <c r="AQ5" s="12"/>
      <c r="AR5" s="12">
        <v>1</v>
      </c>
      <c r="AS5" s="12"/>
      <c r="AT5" s="12">
        <v>1</v>
      </c>
      <c r="AX5" s="12"/>
      <c r="AY5" s="12"/>
      <c r="AZ5" s="12"/>
      <c r="BA5" s="12"/>
      <c r="BE5" s="12"/>
      <c r="BF5" s="12"/>
      <c r="BG5" s="12"/>
      <c r="BH5" s="12"/>
    </row>
    <row r="6" spans="2:61" outlineLevel="1">
      <c r="B6" t="s">
        <v>29</v>
      </c>
      <c r="C6" t="s">
        <v>2</v>
      </c>
      <c r="E6" s="11"/>
      <c r="F6" t="s">
        <v>32</v>
      </c>
      <c r="G6" s="12">
        <v>0.05</v>
      </c>
      <c r="I6" s="11">
        <f t="shared" ref="I6:I15" si="0">+SUMIF($N$3:$ZZ$3,I$3,$N6:$ZZ6)</f>
        <v>0</v>
      </c>
      <c r="J6" s="13" cm="1">
        <f t="array" ref="J6">MAX(IF($N$3:$EH$3=$J$3,N6:EH6))</f>
        <v>0</v>
      </c>
      <c r="K6" s="13" cm="1">
        <f t="array" ref="K6">MAX(IF($N$3:$EH$3=$J$3,N6:EH6))</f>
        <v>0</v>
      </c>
      <c r="L6" s="11"/>
      <c r="O6" s="12"/>
      <c r="P6" s="12"/>
      <c r="Q6" s="12"/>
      <c r="R6" s="12"/>
      <c r="V6" s="12"/>
      <c r="W6" s="12"/>
      <c r="X6" s="12"/>
      <c r="Y6" s="12"/>
      <c r="AC6" s="12"/>
      <c r="AD6" s="12"/>
      <c r="AE6" s="12"/>
      <c r="AF6" s="12"/>
      <c r="AJ6" s="12"/>
      <c r="AK6" s="12"/>
      <c r="AL6" s="12"/>
      <c r="AM6" s="12"/>
      <c r="AQ6" s="12"/>
      <c r="AR6" s="12">
        <v>1</v>
      </c>
      <c r="AS6" s="12"/>
      <c r="AT6" s="12">
        <v>1</v>
      </c>
      <c r="AX6" s="12"/>
      <c r="AY6" s="12"/>
      <c r="AZ6" s="12"/>
      <c r="BA6" s="12"/>
      <c r="BE6" s="12"/>
      <c r="BF6" s="12"/>
      <c r="BG6" s="12"/>
      <c r="BH6" s="12"/>
    </row>
    <row r="7" spans="2:61" outlineLevel="1">
      <c r="B7" t="s">
        <v>29</v>
      </c>
      <c r="C7" t="s">
        <v>2</v>
      </c>
      <c r="E7" s="11"/>
      <c r="F7" t="s">
        <v>33</v>
      </c>
      <c r="G7" s="12">
        <v>0.05</v>
      </c>
      <c r="I7" s="11">
        <f t="shared" si="0"/>
        <v>0</v>
      </c>
      <c r="J7" s="13" cm="1">
        <f t="array" ref="J7">MAX(IF($N$3:$EH$3=$J$3,N7:EH7))</f>
        <v>0</v>
      </c>
      <c r="K7" s="13" cm="1">
        <f t="array" ref="K7">MAX(IF($N$3:$EH$3=$J$3,N7:EH7))</f>
        <v>0</v>
      </c>
      <c r="L7" s="11"/>
      <c r="O7" s="12"/>
      <c r="P7" s="12"/>
      <c r="Q7" s="12"/>
      <c r="R7" s="12"/>
      <c r="V7" s="12"/>
      <c r="W7" s="12"/>
      <c r="X7" s="12"/>
      <c r="Y7" s="12"/>
      <c r="AC7" s="12"/>
      <c r="AD7" s="12"/>
      <c r="AE7" s="12"/>
      <c r="AF7" s="12"/>
      <c r="AJ7" s="12"/>
      <c r="AK7" s="12"/>
      <c r="AL7" s="12"/>
      <c r="AM7" s="12"/>
      <c r="AQ7" s="12"/>
      <c r="AR7" s="12">
        <v>1</v>
      </c>
      <c r="AS7" s="12"/>
      <c r="AT7" s="12">
        <v>1</v>
      </c>
      <c r="AX7" s="12"/>
      <c r="AY7" s="12"/>
      <c r="AZ7" s="12"/>
      <c r="BA7" s="12"/>
      <c r="BE7" s="12"/>
      <c r="BF7" s="12"/>
      <c r="BG7" s="12"/>
      <c r="BH7" s="12"/>
    </row>
    <row r="8" spans="2:61" outlineLevel="1">
      <c r="B8" t="s">
        <v>29</v>
      </c>
      <c r="C8" t="s">
        <v>2</v>
      </c>
      <c r="E8" s="11"/>
      <c r="F8" t="s">
        <v>34</v>
      </c>
      <c r="G8" s="12">
        <v>0.05</v>
      </c>
      <c r="I8" s="11">
        <f t="shared" si="0"/>
        <v>0</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Q8" s="12"/>
      <c r="AR8" s="12">
        <v>1</v>
      </c>
      <c r="AS8" s="12"/>
      <c r="AT8" s="12">
        <v>1</v>
      </c>
      <c r="AX8" s="12"/>
      <c r="AY8" s="12"/>
      <c r="AZ8" s="12"/>
      <c r="BA8" s="12"/>
      <c r="BE8" s="12"/>
      <c r="BF8" s="12"/>
      <c r="BG8" s="12"/>
      <c r="BH8" s="12"/>
    </row>
    <row r="9" spans="2:61" outlineLevel="1">
      <c r="B9" t="s">
        <v>29</v>
      </c>
      <c r="C9" t="s">
        <v>2</v>
      </c>
      <c r="E9" s="11"/>
      <c r="F9" t="s">
        <v>35</v>
      </c>
      <c r="G9" s="12">
        <v>0.05</v>
      </c>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row>
    <row r="10" spans="2:61" outlineLevel="1">
      <c r="B10" t="s">
        <v>29</v>
      </c>
      <c r="C10" t="s">
        <v>2</v>
      </c>
      <c r="E10" s="11"/>
      <c r="F10" t="s">
        <v>36</v>
      </c>
      <c r="G10" s="12">
        <v>0.1</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row>
    <row r="11" spans="2:61" outlineLevel="1">
      <c r="B11" t="s">
        <v>29</v>
      </c>
      <c r="C11" t="s">
        <v>2</v>
      </c>
      <c r="E11" s="11"/>
      <c r="F11" t="s">
        <v>37</v>
      </c>
      <c r="G11" s="12">
        <v>0.1</v>
      </c>
      <c r="I11" s="11">
        <f t="shared" si="0"/>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row>
    <row r="12" spans="2:61" outlineLevel="1">
      <c r="B12" t="s">
        <v>29</v>
      </c>
      <c r="C12" t="s">
        <v>2</v>
      </c>
      <c r="E12" s="11"/>
      <c r="F12" t="s">
        <v>38</v>
      </c>
      <c r="G12" s="12">
        <v>0.1</v>
      </c>
      <c r="I12" s="11">
        <f t="shared" si="0"/>
        <v>0</v>
      </c>
      <c r="J12" s="13" cm="1">
        <f t="array" ref="J12">MAX(IF($N$3:$EH$3=$J$3,N12:EH12))</f>
        <v>0</v>
      </c>
      <c r="K12" s="13" cm="1">
        <f t="array" ref="K12">MAX(IF($N$3:$EH$3=$J$3,N12:EH12))</f>
        <v>0</v>
      </c>
      <c r="L12" s="11"/>
      <c r="O12" s="12"/>
      <c r="P12" s="12"/>
      <c r="Q12" s="12"/>
      <c r="R12" s="12"/>
      <c r="V12" s="12"/>
      <c r="W12" s="12"/>
      <c r="X12" s="12"/>
      <c r="Y12" s="12"/>
      <c r="AC12" s="12"/>
      <c r="AD12" s="12"/>
      <c r="AE12" s="12"/>
      <c r="AF12" s="12"/>
      <c r="AJ12" s="12"/>
      <c r="AK12" s="12"/>
      <c r="AL12" s="12"/>
      <c r="AM12" s="12"/>
      <c r="AQ12" s="12"/>
      <c r="AR12" s="12">
        <v>1</v>
      </c>
      <c r="AS12" s="12"/>
      <c r="AT12" s="12">
        <v>1</v>
      </c>
      <c r="AX12" s="12"/>
      <c r="AY12" s="12"/>
      <c r="AZ12" s="12"/>
      <c r="BA12" s="12"/>
      <c r="BE12" s="12"/>
      <c r="BF12" s="12"/>
      <c r="BG12" s="12"/>
      <c r="BH12" s="12"/>
    </row>
    <row r="13" spans="2:61" outlineLevel="1">
      <c r="B13" t="s">
        <v>29</v>
      </c>
      <c r="C13" t="s">
        <v>2</v>
      </c>
      <c r="E13" s="11"/>
      <c r="F13" t="s">
        <v>39</v>
      </c>
      <c r="G13" s="12">
        <v>0.1</v>
      </c>
      <c r="I13" s="11">
        <f t="shared" si="0"/>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row>
    <row r="14" spans="2:61" outlineLevel="1">
      <c r="B14" t="s">
        <v>29</v>
      </c>
      <c r="C14" t="s">
        <v>2</v>
      </c>
      <c r="E14" s="11"/>
      <c r="F14" t="s">
        <v>40</v>
      </c>
      <c r="G14" s="12">
        <v>0.1</v>
      </c>
      <c r="I14" s="11">
        <f t="shared" si="0"/>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row>
    <row r="15" spans="2:61" outlineLevel="1">
      <c r="B15" t="s">
        <v>29</v>
      </c>
      <c r="C15" t="s">
        <v>2</v>
      </c>
      <c r="E15" s="11"/>
      <c r="F15" t="s">
        <v>41</v>
      </c>
      <c r="G15" s="12">
        <v>0.1</v>
      </c>
      <c r="I15" s="11">
        <f t="shared" si="0"/>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row>
    <row r="16" spans="2:61" outlineLevel="1">
      <c r="B16" t="s">
        <v>29</v>
      </c>
      <c r="C16" t="s">
        <v>2</v>
      </c>
      <c r="E16" s="11"/>
      <c r="F16" t="s">
        <v>42</v>
      </c>
      <c r="G16" s="12">
        <v>0.1</v>
      </c>
      <c r="I16" s="11">
        <f>+SUMIF($N$3:$ZZ$3,I$3,$N16:$ZZ16)</f>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row>
    <row r="17" spans="2:60">
      <c r="O17" s="9"/>
      <c r="V17" s="9"/>
      <c r="AC17" s="9"/>
      <c r="AJ17" s="9"/>
      <c r="AQ17" s="9"/>
      <c r="AX17" s="9"/>
      <c r="BE17" s="9"/>
    </row>
    <row r="18" spans="2:60">
      <c r="B18" t="s">
        <v>28</v>
      </c>
      <c r="C18" t="s">
        <v>55</v>
      </c>
      <c r="E18" s="11">
        <v>6</v>
      </c>
      <c r="G18" s="12">
        <f>+SUM(G19:G24)</f>
        <v>1</v>
      </c>
      <c r="I18" s="14">
        <f>+SUM(I19:I24)</f>
        <v>0</v>
      </c>
      <c r="J18" s="13">
        <f>+SUMPRODUCT(G19:G24,J19:J24)</f>
        <v>0</v>
      </c>
      <c r="K18" s="13">
        <f>+SUMPRODUCT(G19:G24,K19:K24)</f>
        <v>0</v>
      </c>
      <c r="L18" s="11"/>
      <c r="N18" s="14">
        <f>+SUM(N19:N24)</f>
        <v>0</v>
      </c>
      <c r="U18" s="14">
        <f>+SUM(U19:U24)</f>
        <v>0</v>
      </c>
      <c r="AB18" s="14">
        <f>+SUM(AB19:AB24)</f>
        <v>0</v>
      </c>
      <c r="AI18" s="14">
        <f>+SUM(AI19:AI24)</f>
        <v>0</v>
      </c>
      <c r="AP18" s="14">
        <f>+SUM(AP19:AP24)</f>
        <v>0</v>
      </c>
    </row>
    <row r="19" spans="2:60" outlineLevel="1">
      <c r="B19" t="s">
        <v>29</v>
      </c>
      <c r="C19" t="s">
        <v>55</v>
      </c>
      <c r="E19" s="11"/>
      <c r="F19" t="s">
        <v>31</v>
      </c>
      <c r="G19" s="12">
        <v>0.1</v>
      </c>
      <c r="I19" s="11">
        <f t="shared" ref="I19:I24" si="1">+SUMIF($N$3:$ZZ$3,I$3,$N19:$ZZ19)</f>
        <v>0</v>
      </c>
      <c r="J19" s="13" cm="1">
        <f t="array" ref="J19">MAX(IF($N$3:$EH$3=$J$3,N19:EH19))</f>
        <v>0</v>
      </c>
      <c r="K19" s="13" cm="1">
        <f t="array" ref="K19">MAX(IF($N$3:$EH$3=$J$3,N19:EH19))</f>
        <v>0</v>
      </c>
      <c r="L19" s="11"/>
      <c r="O19" s="12"/>
      <c r="P19" s="12"/>
      <c r="Q19" s="12"/>
      <c r="R19" s="12"/>
      <c r="V19" s="12"/>
      <c r="W19" s="12"/>
      <c r="X19" s="12"/>
      <c r="Y19" s="12"/>
      <c r="AC19" s="12"/>
      <c r="AD19" s="12"/>
      <c r="AE19" s="12"/>
      <c r="AF19" s="12"/>
      <c r="AJ19" s="12"/>
      <c r="AK19" s="12"/>
      <c r="AL19" s="12"/>
      <c r="AM19" s="12"/>
      <c r="AQ19" s="12"/>
      <c r="AR19" s="12">
        <v>1</v>
      </c>
      <c r="AS19" s="12"/>
      <c r="AT19" s="12">
        <v>1</v>
      </c>
      <c r="AX19" s="12"/>
      <c r="AY19" s="12"/>
      <c r="AZ19" s="12"/>
      <c r="BA19" s="12"/>
      <c r="BE19" s="12"/>
      <c r="BF19" s="12"/>
      <c r="BG19" s="12"/>
      <c r="BH19" s="12"/>
    </row>
    <row r="20" spans="2:60" outlineLevel="1">
      <c r="B20" t="s">
        <v>29</v>
      </c>
      <c r="C20" t="s">
        <v>55</v>
      </c>
      <c r="E20" s="11"/>
      <c r="F20" t="s">
        <v>56</v>
      </c>
      <c r="G20" s="12">
        <v>0.2</v>
      </c>
      <c r="I20" s="11">
        <f t="shared" si="1"/>
        <v>0</v>
      </c>
      <c r="J20" s="13" cm="1">
        <f t="array" ref="J20">MAX(IF($N$3:$EH$3=$J$3,N20:EH20))</f>
        <v>0</v>
      </c>
      <c r="K20" s="13" cm="1">
        <f t="array" ref="K20">MAX(IF($N$3:$EH$3=$J$3,N20:EH20))</f>
        <v>0</v>
      </c>
      <c r="L20" s="11"/>
      <c r="O20" s="12"/>
      <c r="P20" s="12"/>
      <c r="Q20" s="12"/>
      <c r="R20" s="12"/>
      <c r="V20" s="12"/>
      <c r="W20" s="12"/>
      <c r="X20" s="12"/>
      <c r="Y20" s="12"/>
      <c r="AC20" s="12"/>
      <c r="AD20" s="12"/>
      <c r="AE20" s="12"/>
      <c r="AF20" s="12"/>
      <c r="AJ20" s="12"/>
      <c r="AK20" s="12"/>
      <c r="AL20" s="12"/>
      <c r="AM20" s="12"/>
      <c r="AQ20" s="12"/>
      <c r="AR20" s="12">
        <v>1</v>
      </c>
      <c r="AS20" s="12"/>
      <c r="AT20" s="12">
        <v>1</v>
      </c>
      <c r="AX20" s="12"/>
      <c r="AY20" s="12"/>
      <c r="AZ20" s="12"/>
      <c r="BA20" s="12"/>
      <c r="BE20" s="12"/>
      <c r="BF20" s="12"/>
      <c r="BG20" s="12"/>
      <c r="BH20" s="12"/>
    </row>
    <row r="21" spans="2:60" outlineLevel="1">
      <c r="B21" t="s">
        <v>29</v>
      </c>
      <c r="C21" t="s">
        <v>55</v>
      </c>
      <c r="E21" s="11"/>
      <c r="F21" t="s">
        <v>57</v>
      </c>
      <c r="G21" s="12">
        <v>0.15</v>
      </c>
      <c r="I21" s="11">
        <f t="shared" si="1"/>
        <v>0</v>
      </c>
      <c r="J21" s="13" cm="1">
        <f t="array" ref="J21">MAX(IF($N$3:$EH$3=$J$3,N21:EH21))</f>
        <v>0</v>
      </c>
      <c r="K21" s="13" cm="1">
        <f t="array" ref="K21">MAX(IF($N$3:$EH$3=$J$3,N21:EH21))</f>
        <v>0</v>
      </c>
      <c r="L21" s="11"/>
      <c r="O21" s="12"/>
      <c r="P21" s="12"/>
      <c r="Q21" s="12"/>
      <c r="R21" s="12"/>
      <c r="V21" s="12"/>
      <c r="W21" s="12"/>
      <c r="X21" s="12"/>
      <c r="Y21" s="12"/>
      <c r="AC21" s="12"/>
      <c r="AD21" s="12"/>
      <c r="AE21" s="12"/>
      <c r="AF21" s="12"/>
      <c r="AJ21" s="12"/>
      <c r="AK21" s="12"/>
      <c r="AL21" s="12"/>
      <c r="AM21" s="12"/>
      <c r="AQ21" s="12"/>
      <c r="AR21" s="12">
        <v>1</v>
      </c>
      <c r="AS21" s="12"/>
      <c r="AT21" s="12">
        <v>1</v>
      </c>
      <c r="AX21" s="12"/>
      <c r="AY21" s="12"/>
      <c r="AZ21" s="12"/>
      <c r="BA21" s="12"/>
      <c r="BE21" s="12"/>
      <c r="BF21" s="12"/>
      <c r="BG21" s="12"/>
      <c r="BH21" s="12"/>
    </row>
    <row r="22" spans="2:60" outlineLevel="1">
      <c r="B22" t="s">
        <v>29</v>
      </c>
      <c r="C22" t="s">
        <v>55</v>
      </c>
      <c r="E22" s="11"/>
      <c r="F22" t="s">
        <v>58</v>
      </c>
      <c r="G22" s="12">
        <v>0.15</v>
      </c>
      <c r="I22" s="11">
        <f t="shared" si="1"/>
        <v>0</v>
      </c>
      <c r="J22" s="13" cm="1">
        <f t="array" ref="J22">MAX(IF($N$3:$EH$3=$J$3,N22:EH22))</f>
        <v>0</v>
      </c>
      <c r="K22" s="13" cm="1">
        <f t="array" ref="K22">MAX(IF($N$3:$EH$3=$J$3,N22:EH22))</f>
        <v>0</v>
      </c>
      <c r="L22" s="11"/>
      <c r="O22" s="12"/>
      <c r="P22" s="12"/>
      <c r="Q22" s="12"/>
      <c r="R22" s="12"/>
      <c r="V22" s="12"/>
      <c r="W22" s="12"/>
      <c r="X22" s="12"/>
      <c r="Y22" s="12"/>
      <c r="AC22" s="12"/>
      <c r="AD22" s="12"/>
      <c r="AE22" s="12"/>
      <c r="AF22" s="12"/>
      <c r="AJ22" s="12"/>
      <c r="AK22" s="12"/>
      <c r="AL22" s="12"/>
      <c r="AM22" s="12"/>
      <c r="AQ22" s="12"/>
      <c r="AR22" s="12">
        <v>1</v>
      </c>
      <c r="AS22" s="12"/>
      <c r="AT22" s="12">
        <v>1</v>
      </c>
      <c r="AX22" s="12"/>
      <c r="AY22" s="12"/>
      <c r="AZ22" s="12"/>
      <c r="BA22" s="12"/>
      <c r="BE22" s="12"/>
      <c r="BF22" s="12"/>
      <c r="BG22" s="12"/>
      <c r="BH22" s="12"/>
    </row>
    <row r="23" spans="2:60" outlineLevel="1">
      <c r="B23" t="s">
        <v>29</v>
      </c>
      <c r="C23" t="s">
        <v>55</v>
      </c>
      <c r="E23" s="11"/>
      <c r="F23" t="s">
        <v>59</v>
      </c>
      <c r="G23" s="12">
        <v>0.2</v>
      </c>
      <c r="I23" s="11">
        <f t="shared" si="1"/>
        <v>0</v>
      </c>
      <c r="J23" s="13" cm="1">
        <f t="array" ref="J23">MAX(IF($N$3:$EH$3=$J$3,N23:EH23))</f>
        <v>0</v>
      </c>
      <c r="K23" s="13" cm="1">
        <f t="array" ref="K23">MAX(IF($N$3:$EH$3=$J$3,N23:EH23))</f>
        <v>0</v>
      </c>
      <c r="L23" s="11"/>
      <c r="O23" s="12"/>
      <c r="P23" s="12"/>
      <c r="Q23" s="12"/>
      <c r="R23" s="12"/>
      <c r="V23" s="12"/>
      <c r="W23" s="12"/>
      <c r="X23" s="12"/>
      <c r="Y23" s="12"/>
      <c r="AC23" s="12"/>
      <c r="AD23" s="12"/>
      <c r="AE23" s="12"/>
      <c r="AF23" s="12"/>
      <c r="AJ23" s="12"/>
      <c r="AK23" s="12"/>
      <c r="AL23" s="12"/>
      <c r="AM23" s="12"/>
      <c r="AQ23" s="12"/>
      <c r="AR23" s="12">
        <v>1</v>
      </c>
      <c r="AS23" s="12"/>
      <c r="AT23" s="12">
        <v>1</v>
      </c>
      <c r="AX23" s="12"/>
      <c r="AY23" s="12"/>
      <c r="AZ23" s="12"/>
      <c r="BA23" s="12"/>
      <c r="BE23" s="12"/>
      <c r="BF23" s="12"/>
      <c r="BG23" s="12"/>
      <c r="BH23" s="12"/>
    </row>
    <row r="24" spans="2:60" outlineLevel="1">
      <c r="B24" t="s">
        <v>29</v>
      </c>
      <c r="C24" t="s">
        <v>55</v>
      </c>
      <c r="E24" s="11"/>
      <c r="F24" t="s">
        <v>60</v>
      </c>
      <c r="G24" s="12">
        <v>0.2</v>
      </c>
      <c r="I24" s="11">
        <f t="shared" si="1"/>
        <v>0</v>
      </c>
      <c r="J24" s="13" cm="1">
        <f t="array" ref="J24">MAX(IF($N$3:$EH$3=$J$3,N24:EH24))</f>
        <v>0</v>
      </c>
      <c r="K24" s="13" cm="1">
        <f t="array" ref="K24">MAX(IF($N$3:$EH$3=$J$3,N24:EH24))</f>
        <v>0</v>
      </c>
      <c r="L24" s="11"/>
      <c r="O24" s="12"/>
      <c r="P24" s="12"/>
      <c r="Q24" s="12"/>
      <c r="R24" s="12"/>
      <c r="V24" s="12"/>
      <c r="W24" s="12"/>
      <c r="X24" s="12"/>
      <c r="Y24" s="12"/>
      <c r="AC24" s="12"/>
      <c r="AD24" s="12"/>
      <c r="AE24" s="12"/>
      <c r="AF24" s="12"/>
      <c r="AJ24" s="12"/>
      <c r="AK24" s="12"/>
      <c r="AL24" s="12"/>
      <c r="AM24" s="12"/>
      <c r="AQ24" s="12"/>
      <c r="AR24" s="12">
        <v>1</v>
      </c>
      <c r="AS24" s="12"/>
      <c r="AT24" s="12">
        <v>1</v>
      </c>
      <c r="AX24" s="12"/>
      <c r="AY24" s="12"/>
      <c r="AZ24" s="12"/>
      <c r="BA24" s="12"/>
      <c r="BE24" s="12"/>
      <c r="BF24" s="12"/>
      <c r="BG24" s="12"/>
      <c r="BH24" s="12"/>
    </row>
    <row r="26" spans="2:60">
      <c r="B26" t="s">
        <v>28</v>
      </c>
      <c r="C26" t="s">
        <v>61</v>
      </c>
      <c r="E26" s="11">
        <v>12</v>
      </c>
      <c r="G26" s="12">
        <f>+SUM(G27:G38)</f>
        <v>0.99999999999999989</v>
      </c>
      <c r="I26" s="14">
        <f>+SUM(I27:I38)</f>
        <v>46</v>
      </c>
      <c r="J26" s="13">
        <f>+SUMPRODUCT(G27:G38,J27:J38)</f>
        <v>0.14000000000000001</v>
      </c>
      <c r="K26" s="13">
        <f>+SUMPRODUCT(G27:G38,K27:K38)</f>
        <v>0.14000000000000001</v>
      </c>
      <c r="L26" s="11"/>
      <c r="N26" s="14">
        <f>+SUM(N27:N38)</f>
        <v>20</v>
      </c>
      <c r="U26" s="14">
        <f>+SUM(U27:U38)</f>
        <v>2</v>
      </c>
      <c r="AB26" s="14">
        <f>+SUM(AB27:AB38)</f>
        <v>4</v>
      </c>
      <c r="AI26" s="14">
        <f>+SUM(AI27:AI38)</f>
        <v>0</v>
      </c>
      <c r="AP26" s="14">
        <f>+SUM(AP27:AP38)</f>
        <v>20</v>
      </c>
    </row>
    <row r="27" spans="2:60" outlineLevel="1">
      <c r="B27" t="s">
        <v>29</v>
      </c>
      <c r="C27" t="s">
        <v>2</v>
      </c>
      <c r="E27" s="11"/>
      <c r="F27" t="s">
        <v>31</v>
      </c>
      <c r="G27" s="12">
        <v>0.1</v>
      </c>
      <c r="I27" s="11">
        <f t="shared" ref="I27:I38" si="2">+SUMIF($N$3:$ZZ$3,I$3,$N27:$ZZ27)</f>
        <v>16</v>
      </c>
      <c r="J27" s="13" cm="1">
        <f t="array" ref="J27">MAX(IF($N$3:$EH$3=$J$3,N27:EH27))</f>
        <v>0.7</v>
      </c>
      <c r="K27" s="13" cm="1">
        <f t="array" ref="K27">MAX(IF($N$3:$EH$3=$J$3,N27:EH27))</f>
        <v>0.7</v>
      </c>
      <c r="L27" s="11"/>
      <c r="N27">
        <v>10</v>
      </c>
      <c r="O27" s="12">
        <v>0.7</v>
      </c>
      <c r="P27" s="12">
        <v>0.8</v>
      </c>
      <c r="Q27" s="12">
        <v>0.5</v>
      </c>
      <c r="R27" s="12">
        <v>0.8</v>
      </c>
      <c r="U27">
        <v>2</v>
      </c>
      <c r="V27" s="12"/>
      <c r="W27" s="12">
        <v>0.8</v>
      </c>
      <c r="X27" s="12"/>
      <c r="Y27" s="12">
        <v>0.8</v>
      </c>
      <c r="AB27">
        <v>4</v>
      </c>
      <c r="AC27" s="12"/>
      <c r="AD27" s="12">
        <v>1</v>
      </c>
      <c r="AE27" s="12"/>
      <c r="AF27" s="12">
        <v>1</v>
      </c>
      <c r="AJ27" s="12"/>
      <c r="AK27" s="12">
        <v>1</v>
      </c>
      <c r="AL27" s="12"/>
      <c r="AM27" s="12">
        <v>1</v>
      </c>
      <c r="AP27">
        <v>0</v>
      </c>
      <c r="AQ27" s="12"/>
      <c r="AR27" s="12">
        <v>1</v>
      </c>
      <c r="AS27" s="12"/>
      <c r="AT27" s="12">
        <v>1</v>
      </c>
      <c r="AX27" s="12"/>
      <c r="AY27" s="12"/>
      <c r="AZ27" s="12"/>
      <c r="BA27" s="12"/>
      <c r="BE27" s="12"/>
      <c r="BF27" s="12"/>
      <c r="BG27" s="12"/>
      <c r="BH27" s="12"/>
    </row>
    <row r="28" spans="2:60" outlineLevel="1">
      <c r="B28" t="s">
        <v>29</v>
      </c>
      <c r="C28" t="s">
        <v>2</v>
      </c>
      <c r="E28" s="11"/>
      <c r="F28" t="s">
        <v>32</v>
      </c>
      <c r="G28" s="12">
        <v>0.05</v>
      </c>
      <c r="I28" s="11">
        <f t="shared" si="2"/>
        <v>3</v>
      </c>
      <c r="J28" s="13" cm="1">
        <f t="array" ref="J28">MAX(IF($N$3:$EH$3=$J$3,N28:EH28))</f>
        <v>0.5</v>
      </c>
      <c r="K28" s="13" cm="1">
        <f t="array" ref="K28">MAX(IF($N$3:$EH$3=$J$3,N28:EH28))</f>
        <v>0.5</v>
      </c>
      <c r="L28" s="11"/>
      <c r="N28">
        <v>3</v>
      </c>
      <c r="O28" s="12">
        <v>0.5</v>
      </c>
      <c r="P28" s="12">
        <v>0.5</v>
      </c>
      <c r="Q28" s="12">
        <v>0.5</v>
      </c>
      <c r="R28" s="12">
        <v>0.5</v>
      </c>
      <c r="V28" s="12"/>
      <c r="W28" s="12">
        <v>0.8</v>
      </c>
      <c r="X28" s="12"/>
      <c r="Y28" s="12">
        <v>0.8</v>
      </c>
      <c r="AC28" s="12"/>
      <c r="AD28" s="12">
        <v>1</v>
      </c>
      <c r="AE28" s="12"/>
      <c r="AF28" s="12">
        <v>1</v>
      </c>
      <c r="AJ28" s="12"/>
      <c r="AK28" s="12">
        <v>1</v>
      </c>
      <c r="AL28" s="12"/>
      <c r="AM28" s="12">
        <v>1</v>
      </c>
      <c r="AP28">
        <v>0</v>
      </c>
      <c r="AQ28" s="12"/>
      <c r="AR28" s="12">
        <v>1</v>
      </c>
      <c r="AS28" s="12"/>
      <c r="AT28" s="12">
        <v>1</v>
      </c>
      <c r="AX28" s="12"/>
      <c r="AY28" s="12"/>
      <c r="AZ28" s="12"/>
      <c r="BA28" s="12"/>
      <c r="BE28" s="12"/>
      <c r="BF28" s="12"/>
      <c r="BG28" s="12"/>
      <c r="BH28" s="12"/>
    </row>
    <row r="29" spans="2:60" outlineLevel="1">
      <c r="B29" t="s">
        <v>29</v>
      </c>
      <c r="C29" t="s">
        <v>2</v>
      </c>
      <c r="E29" s="11"/>
      <c r="F29" t="s">
        <v>33</v>
      </c>
      <c r="G29" s="12">
        <v>0.05</v>
      </c>
      <c r="I29" s="11">
        <f t="shared" si="2"/>
        <v>2</v>
      </c>
      <c r="J29" s="13" cm="1">
        <f t="array" ref="J29">MAX(IF($N$3:$EH$3=$J$3,N29:EH29))</f>
        <v>0.3</v>
      </c>
      <c r="K29" s="13" cm="1">
        <f t="array" ref="K29">MAX(IF($N$3:$EH$3=$J$3,N29:EH29))</f>
        <v>0.3</v>
      </c>
      <c r="L29" s="11"/>
      <c r="N29">
        <v>2</v>
      </c>
      <c r="O29" s="12">
        <v>0.3</v>
      </c>
      <c r="P29" s="12">
        <v>0.3</v>
      </c>
      <c r="Q29" s="12">
        <v>0.3</v>
      </c>
      <c r="R29" s="12">
        <v>0.3</v>
      </c>
      <c r="V29" s="12"/>
      <c r="W29" s="12">
        <v>0.5</v>
      </c>
      <c r="X29" s="12"/>
      <c r="Y29" s="12">
        <v>0.5</v>
      </c>
      <c r="AC29" s="12"/>
      <c r="AD29" s="12">
        <v>0.8</v>
      </c>
      <c r="AE29" s="12"/>
      <c r="AF29" s="12">
        <v>0.8</v>
      </c>
      <c r="AJ29" s="12"/>
      <c r="AK29" s="12">
        <v>1</v>
      </c>
      <c r="AL29" s="12"/>
      <c r="AM29" s="12">
        <v>1</v>
      </c>
      <c r="AP29">
        <v>0</v>
      </c>
      <c r="AQ29" s="12"/>
      <c r="AR29" s="12">
        <v>1</v>
      </c>
      <c r="AS29" s="12"/>
      <c r="AT29" s="12">
        <v>1</v>
      </c>
      <c r="AX29" s="12"/>
      <c r="AY29" s="12"/>
      <c r="AZ29" s="12"/>
      <c r="BA29" s="12"/>
      <c r="BE29" s="12"/>
      <c r="BF29" s="12"/>
      <c r="BG29" s="12"/>
      <c r="BH29" s="12"/>
    </row>
    <row r="30" spans="2:60" outlineLevel="1">
      <c r="B30" t="s">
        <v>29</v>
      </c>
      <c r="C30" t="s">
        <v>2</v>
      </c>
      <c r="E30" s="11"/>
      <c r="F30" t="s">
        <v>34</v>
      </c>
      <c r="G30" s="12">
        <v>0.05</v>
      </c>
      <c r="I30" s="11">
        <f t="shared" si="2"/>
        <v>2</v>
      </c>
      <c r="J30" s="13" cm="1">
        <f t="array" ref="J30">MAX(IF($N$3:$EH$3=$J$3,N30:EH30))</f>
        <v>0.3</v>
      </c>
      <c r="K30" s="13" cm="1">
        <f t="array" ref="K30">MAX(IF($N$3:$EH$3=$J$3,N30:EH30))</f>
        <v>0.3</v>
      </c>
      <c r="L30" s="11"/>
      <c r="N30">
        <v>2</v>
      </c>
      <c r="O30" s="12">
        <v>0.3</v>
      </c>
      <c r="P30" s="12">
        <v>0.3</v>
      </c>
      <c r="Q30" s="12">
        <v>0.2</v>
      </c>
      <c r="R30" s="12">
        <v>0.3</v>
      </c>
      <c r="V30" s="12"/>
      <c r="W30" s="12">
        <v>0.5</v>
      </c>
      <c r="X30" s="12"/>
      <c r="Y30" s="12">
        <v>0.5</v>
      </c>
      <c r="AC30" s="12"/>
      <c r="AD30" s="12">
        <v>0.8</v>
      </c>
      <c r="AE30" s="12"/>
      <c r="AF30" s="12">
        <v>0.8</v>
      </c>
      <c r="AJ30" s="12"/>
      <c r="AK30" s="12">
        <v>1</v>
      </c>
      <c r="AL30" s="12"/>
      <c r="AM30" s="12">
        <v>1</v>
      </c>
      <c r="AP30">
        <v>0</v>
      </c>
      <c r="AQ30" s="12"/>
      <c r="AR30" s="12">
        <v>1</v>
      </c>
      <c r="AS30" s="12"/>
      <c r="AT30" s="12">
        <v>1</v>
      </c>
      <c r="AX30" s="12"/>
      <c r="AY30" s="12"/>
      <c r="AZ30" s="12"/>
      <c r="BA30" s="12"/>
      <c r="BE30" s="12"/>
      <c r="BF30" s="12"/>
      <c r="BG30" s="12"/>
      <c r="BH30" s="12"/>
    </row>
    <row r="31" spans="2:60" outlineLevel="1">
      <c r="B31" t="s">
        <v>29</v>
      </c>
      <c r="C31" t="s">
        <v>2</v>
      </c>
      <c r="E31" s="11"/>
      <c r="F31" t="s">
        <v>35</v>
      </c>
      <c r="G31" s="12">
        <v>0.05</v>
      </c>
      <c r="I31" s="11">
        <f t="shared" si="2"/>
        <v>3</v>
      </c>
      <c r="J31" s="13" cm="1">
        <f t="array" ref="J31">MAX(IF($N$3:$EH$3=$J$3,N31:EH31))</f>
        <v>0.3</v>
      </c>
      <c r="K31" s="13" cm="1">
        <f t="array" ref="K31">MAX(IF($N$3:$EH$3=$J$3,N31:EH31))</f>
        <v>0.3</v>
      </c>
      <c r="L31" s="11"/>
      <c r="N31">
        <v>3</v>
      </c>
      <c r="O31" s="12">
        <v>0.3</v>
      </c>
      <c r="P31" s="12">
        <v>0.3</v>
      </c>
      <c r="Q31" s="12"/>
      <c r="R31" s="12">
        <v>0.3</v>
      </c>
      <c r="V31" s="12"/>
      <c r="W31" s="12">
        <v>0.5</v>
      </c>
      <c r="X31" s="12"/>
      <c r="Y31" s="12">
        <v>0.5</v>
      </c>
      <c r="AC31" s="12"/>
      <c r="AD31" s="12">
        <v>0.8</v>
      </c>
      <c r="AE31" s="12"/>
      <c r="AF31" s="12">
        <v>0.8</v>
      </c>
      <c r="AJ31" s="12"/>
      <c r="AK31" s="12">
        <v>1</v>
      </c>
      <c r="AL31" s="12"/>
      <c r="AM31" s="12">
        <v>1</v>
      </c>
      <c r="AP31">
        <v>0</v>
      </c>
      <c r="AQ31" s="12"/>
      <c r="AR31" s="12">
        <v>1</v>
      </c>
      <c r="AS31" s="12"/>
      <c r="AT31" s="12">
        <v>1</v>
      </c>
      <c r="AX31" s="12"/>
      <c r="AY31" s="12"/>
      <c r="AZ31" s="12"/>
      <c r="BA31" s="12"/>
      <c r="BE31" s="12"/>
      <c r="BF31" s="12"/>
      <c r="BG31" s="12"/>
      <c r="BH31" s="12"/>
    </row>
    <row r="32" spans="2:60" outlineLevel="1">
      <c r="B32" t="s">
        <v>29</v>
      </c>
      <c r="C32" t="s">
        <v>2</v>
      </c>
      <c r="E32" s="11"/>
      <c r="F32" t="s">
        <v>36</v>
      </c>
      <c r="G32" s="12">
        <v>0.1</v>
      </c>
      <c r="I32" s="11">
        <f t="shared" si="2"/>
        <v>2</v>
      </c>
      <c r="J32" s="13" cm="1">
        <f t="array" ref="J32">MAX(IF($N$3:$EH$3=$J$3,N32:EH32))</f>
        <v>0</v>
      </c>
      <c r="K32" s="13" cm="1">
        <f t="array" ref="K32">MAX(IF($N$3:$EH$3=$J$3,N32:EH32))</f>
        <v>0</v>
      </c>
      <c r="L32" s="11"/>
      <c r="O32" s="12"/>
      <c r="P32" s="12"/>
      <c r="Q32" s="12"/>
      <c r="R32" s="12"/>
      <c r="V32" s="12"/>
      <c r="W32" s="12">
        <v>0.3</v>
      </c>
      <c r="X32" s="12"/>
      <c r="Y32" s="12">
        <v>0.3</v>
      </c>
      <c r="AC32" s="12"/>
      <c r="AD32" s="12">
        <v>0.5</v>
      </c>
      <c r="AE32" s="12"/>
      <c r="AF32" s="12">
        <v>0.5</v>
      </c>
      <c r="AJ32" s="12"/>
      <c r="AK32" s="12">
        <v>0.8</v>
      </c>
      <c r="AL32" s="12"/>
      <c r="AM32" s="12">
        <v>0.8</v>
      </c>
      <c r="AP32">
        <v>2</v>
      </c>
      <c r="AQ32" s="12"/>
      <c r="AR32" s="12">
        <v>1</v>
      </c>
      <c r="AS32" s="12"/>
      <c r="AT32" s="12">
        <v>1</v>
      </c>
      <c r="AX32" s="12"/>
      <c r="AY32" s="12"/>
      <c r="AZ32" s="12"/>
      <c r="BA32" s="12"/>
      <c r="BE32" s="12"/>
      <c r="BF32" s="12"/>
      <c r="BG32" s="12"/>
      <c r="BH32" s="12"/>
    </row>
    <row r="33" spans="2:60" outlineLevel="1">
      <c r="B33" t="s">
        <v>29</v>
      </c>
      <c r="C33" t="s">
        <v>2</v>
      </c>
      <c r="E33" s="11"/>
      <c r="F33" t="s">
        <v>37</v>
      </c>
      <c r="G33" s="12">
        <v>0.1</v>
      </c>
      <c r="I33" s="11">
        <f t="shared" si="2"/>
        <v>2</v>
      </c>
      <c r="J33" s="13" cm="1">
        <f t="array" ref="J33">MAX(IF($N$3:$EH$3=$J$3,N33:EH33))</f>
        <v>0</v>
      </c>
      <c r="K33" s="13" cm="1">
        <f t="array" ref="K33">MAX(IF($N$3:$EH$3=$J$3,N33:EH33))</f>
        <v>0</v>
      </c>
      <c r="L33" s="11"/>
      <c r="O33" s="12"/>
      <c r="P33" s="12"/>
      <c r="Q33" s="12"/>
      <c r="R33" s="12"/>
      <c r="V33" s="12"/>
      <c r="W33" s="12">
        <v>0.3</v>
      </c>
      <c r="X33" s="12"/>
      <c r="Y33" s="12">
        <v>0.3</v>
      </c>
      <c r="AC33" s="12"/>
      <c r="AD33" s="12">
        <v>0.5</v>
      </c>
      <c r="AE33" s="12"/>
      <c r="AF33" s="12">
        <v>0.5</v>
      </c>
      <c r="AJ33" s="12"/>
      <c r="AK33" s="12">
        <v>0.8</v>
      </c>
      <c r="AL33" s="12"/>
      <c r="AM33" s="12">
        <v>0.8</v>
      </c>
      <c r="AP33">
        <v>2</v>
      </c>
      <c r="AQ33" s="12"/>
      <c r="AR33" s="12">
        <v>1</v>
      </c>
      <c r="AS33" s="12"/>
      <c r="AT33" s="12">
        <v>1</v>
      </c>
      <c r="AX33" s="12"/>
      <c r="AY33" s="12"/>
      <c r="AZ33" s="12"/>
      <c r="BA33" s="12"/>
      <c r="BE33" s="12"/>
      <c r="BF33" s="12"/>
      <c r="BG33" s="12"/>
      <c r="BH33" s="12"/>
    </row>
    <row r="34" spans="2:60" outlineLevel="1">
      <c r="B34" t="s">
        <v>29</v>
      </c>
      <c r="C34" t="s">
        <v>2</v>
      </c>
      <c r="E34" s="11"/>
      <c r="F34" t="s">
        <v>38</v>
      </c>
      <c r="G34" s="12">
        <v>0.1</v>
      </c>
      <c r="I34" s="11">
        <f t="shared" si="2"/>
        <v>2</v>
      </c>
      <c r="J34" s="13" cm="1">
        <f t="array" ref="J34">MAX(IF($N$3:$EH$3=$J$3,N34:EH34))</f>
        <v>0</v>
      </c>
      <c r="K34" s="13" cm="1">
        <f t="array" ref="K34">MAX(IF($N$3:$EH$3=$J$3,N34:EH34))</f>
        <v>0</v>
      </c>
      <c r="L34" s="11"/>
      <c r="O34" s="12"/>
      <c r="P34" s="12"/>
      <c r="Q34" s="12"/>
      <c r="R34" s="12"/>
      <c r="V34" s="12"/>
      <c r="W34" s="12"/>
      <c r="X34" s="12"/>
      <c r="Y34" s="12"/>
      <c r="AC34" s="12"/>
      <c r="AD34" s="12">
        <v>0.5</v>
      </c>
      <c r="AE34" s="12"/>
      <c r="AF34" s="12">
        <v>0.5</v>
      </c>
      <c r="AJ34" s="12"/>
      <c r="AK34" s="12">
        <v>0.8</v>
      </c>
      <c r="AL34" s="12"/>
      <c r="AM34" s="12">
        <v>0.8</v>
      </c>
      <c r="AP34">
        <v>2</v>
      </c>
      <c r="AQ34" s="12"/>
      <c r="AR34" s="12">
        <v>1</v>
      </c>
      <c r="AS34" s="12"/>
      <c r="AT34" s="12">
        <v>1</v>
      </c>
      <c r="AX34" s="12"/>
      <c r="AY34" s="12"/>
      <c r="AZ34" s="12"/>
      <c r="BA34" s="12"/>
      <c r="BE34" s="12"/>
      <c r="BF34" s="12"/>
      <c r="BG34" s="12"/>
      <c r="BH34" s="12"/>
    </row>
    <row r="35" spans="2:60" outlineLevel="1">
      <c r="B35" t="s">
        <v>29</v>
      </c>
      <c r="C35" t="s">
        <v>2</v>
      </c>
      <c r="E35" s="11"/>
      <c r="F35" t="s">
        <v>39</v>
      </c>
      <c r="G35" s="12">
        <v>0.1</v>
      </c>
      <c r="I35" s="11">
        <f t="shared" si="2"/>
        <v>2</v>
      </c>
      <c r="J35" s="13" cm="1">
        <f t="array" ref="J35">MAX(IF($N$3:$EH$3=$J$3,N35:EH35))</f>
        <v>0</v>
      </c>
      <c r="K35" s="13" cm="1">
        <f t="array" ref="K35">MAX(IF($N$3:$EH$3=$J$3,N35:EH35))</f>
        <v>0</v>
      </c>
      <c r="L35" s="11"/>
      <c r="O35" s="12"/>
      <c r="P35" s="12"/>
      <c r="Q35" s="12"/>
      <c r="R35" s="12"/>
      <c r="V35" s="12"/>
      <c r="W35" s="12"/>
      <c r="X35" s="12"/>
      <c r="Y35" s="12"/>
      <c r="AC35" s="12"/>
      <c r="AD35" s="12">
        <v>0.5</v>
      </c>
      <c r="AE35" s="12"/>
      <c r="AF35" s="12">
        <v>0.5</v>
      </c>
      <c r="AJ35" s="12"/>
      <c r="AK35" s="12">
        <v>0.8</v>
      </c>
      <c r="AL35" s="12"/>
      <c r="AM35" s="12">
        <v>0.8</v>
      </c>
      <c r="AP35">
        <v>2</v>
      </c>
      <c r="AQ35" s="12"/>
      <c r="AR35" s="12">
        <v>1</v>
      </c>
      <c r="AS35" s="12"/>
      <c r="AT35" s="12">
        <v>1</v>
      </c>
      <c r="AX35" s="12"/>
      <c r="AY35" s="12"/>
      <c r="AZ35" s="12"/>
      <c r="BA35" s="12"/>
      <c r="BE35" s="12"/>
      <c r="BF35" s="12"/>
      <c r="BG35" s="12"/>
      <c r="BH35" s="12"/>
    </row>
    <row r="36" spans="2:60" outlineLevel="1">
      <c r="B36" t="s">
        <v>29</v>
      </c>
      <c r="C36" t="s">
        <v>2</v>
      </c>
      <c r="E36" s="11"/>
      <c r="F36" t="s">
        <v>40</v>
      </c>
      <c r="G36" s="12">
        <v>0.1</v>
      </c>
      <c r="I36" s="11">
        <f t="shared" si="2"/>
        <v>4</v>
      </c>
      <c r="J36" s="13" cm="1">
        <f t="array" ref="J36">MAX(IF($N$3:$EH$3=$J$3,N36:EH36))</f>
        <v>0</v>
      </c>
      <c r="K36" s="13" cm="1">
        <f t="array" ref="K36">MAX(IF($N$3:$EH$3=$J$3,N36:EH36))</f>
        <v>0</v>
      </c>
      <c r="L36" s="11"/>
      <c r="O36" s="12"/>
      <c r="P36" s="12"/>
      <c r="Q36" s="12"/>
      <c r="R36" s="12"/>
      <c r="V36" s="12"/>
      <c r="W36" s="12"/>
      <c r="X36" s="12"/>
      <c r="Y36" s="12"/>
      <c r="AC36" s="12"/>
      <c r="AD36" s="12">
        <v>0.3</v>
      </c>
      <c r="AE36" s="12"/>
      <c r="AF36" s="12">
        <v>0.3</v>
      </c>
      <c r="AJ36" s="12"/>
      <c r="AK36" s="12">
        <v>0.5</v>
      </c>
      <c r="AL36" s="12"/>
      <c r="AM36" s="12">
        <v>0.5</v>
      </c>
      <c r="AP36">
        <v>4</v>
      </c>
      <c r="AQ36" s="12"/>
      <c r="AR36" s="12">
        <v>1</v>
      </c>
      <c r="AS36" s="12"/>
      <c r="AT36" s="12">
        <v>1</v>
      </c>
      <c r="AX36" s="12"/>
      <c r="AY36" s="12"/>
      <c r="AZ36" s="12"/>
      <c r="BA36" s="12"/>
      <c r="BE36" s="12"/>
      <c r="BF36" s="12"/>
      <c r="BG36" s="12"/>
      <c r="BH36" s="12"/>
    </row>
    <row r="37" spans="2:60" outlineLevel="1">
      <c r="B37" t="s">
        <v>29</v>
      </c>
      <c r="C37" t="s">
        <v>2</v>
      </c>
      <c r="E37" s="11"/>
      <c r="F37" t="s">
        <v>41</v>
      </c>
      <c r="G37" s="12">
        <v>0.1</v>
      </c>
      <c r="I37" s="11">
        <f t="shared" si="2"/>
        <v>4</v>
      </c>
      <c r="J37" s="13" cm="1">
        <f t="array" ref="J37">MAX(IF($N$3:$EH$3=$J$3,N37:EH37))</f>
        <v>0</v>
      </c>
      <c r="K37" s="13" cm="1">
        <f t="array" ref="K37">MAX(IF($N$3:$EH$3=$J$3,N37:EH37))</f>
        <v>0</v>
      </c>
      <c r="L37" s="11"/>
      <c r="O37" s="12"/>
      <c r="P37" s="12"/>
      <c r="Q37" s="12"/>
      <c r="R37" s="12"/>
      <c r="V37" s="12"/>
      <c r="W37" s="12"/>
      <c r="X37" s="12"/>
      <c r="Y37" s="12"/>
      <c r="AC37" s="12"/>
      <c r="AD37" s="12"/>
      <c r="AE37" s="12"/>
      <c r="AF37" s="12"/>
      <c r="AJ37" s="12"/>
      <c r="AK37" s="12">
        <v>0.5</v>
      </c>
      <c r="AL37" s="12"/>
      <c r="AM37" s="12">
        <v>0.5</v>
      </c>
      <c r="AP37">
        <v>4</v>
      </c>
      <c r="AQ37" s="12"/>
      <c r="AR37" s="12">
        <v>1</v>
      </c>
      <c r="AS37" s="12"/>
      <c r="AT37" s="12">
        <v>1</v>
      </c>
      <c r="AX37" s="12"/>
      <c r="AY37" s="12"/>
      <c r="AZ37" s="12"/>
      <c r="BA37" s="12"/>
      <c r="BE37" s="12"/>
      <c r="BF37" s="12"/>
      <c r="BG37" s="12"/>
      <c r="BH37" s="12"/>
    </row>
    <row r="38" spans="2:60" outlineLevel="1">
      <c r="B38" t="s">
        <v>29</v>
      </c>
      <c r="C38" t="s">
        <v>2</v>
      </c>
      <c r="E38" s="11"/>
      <c r="F38" t="s">
        <v>42</v>
      </c>
      <c r="G38" s="12">
        <v>0.1</v>
      </c>
      <c r="I38" s="11">
        <f t="shared" si="2"/>
        <v>4</v>
      </c>
      <c r="J38" s="13" cm="1">
        <f t="array" ref="J38">MAX(IF($N$3:$EH$3=$J$3,N38:EH38))</f>
        <v>0</v>
      </c>
      <c r="K38" s="13" cm="1">
        <f t="array" ref="K38">MAX(IF($N$3:$EH$3=$J$3,N38:EH38))</f>
        <v>0</v>
      </c>
      <c r="L38" s="11"/>
      <c r="O38" s="12"/>
      <c r="P38" s="12"/>
      <c r="Q38" s="12"/>
      <c r="R38" s="12"/>
      <c r="V38" s="12"/>
      <c r="W38" s="12"/>
      <c r="X38" s="12"/>
      <c r="Y38" s="12"/>
      <c r="AC38" s="12"/>
      <c r="AD38" s="12"/>
      <c r="AE38" s="12"/>
      <c r="AF38" s="12"/>
      <c r="AJ38" s="12"/>
      <c r="AK38" s="12">
        <v>0.5</v>
      </c>
      <c r="AL38" s="12"/>
      <c r="AM38" s="12">
        <v>0.5</v>
      </c>
      <c r="AP38">
        <v>4</v>
      </c>
      <c r="AQ38" s="12"/>
      <c r="AR38" s="12">
        <v>1</v>
      </c>
      <c r="AS38" s="12"/>
      <c r="AT38" s="12">
        <v>1</v>
      </c>
      <c r="AX38" s="12"/>
      <c r="AY38" s="12"/>
      <c r="AZ38" s="12"/>
      <c r="BA38" s="12"/>
      <c r="BE38" s="12"/>
      <c r="BF38" s="12"/>
      <c r="BG38" s="12"/>
      <c r="BH38" s="12"/>
    </row>
  </sheetData>
  <mergeCells count="8">
    <mergeCell ref="I2:L2"/>
    <mergeCell ref="N2:S2"/>
    <mergeCell ref="BD2:BI2"/>
    <mergeCell ref="U2:Z2"/>
    <mergeCell ref="AB2:AG2"/>
    <mergeCell ref="AI2:AN2"/>
    <mergeCell ref="AP2:AU2"/>
    <mergeCell ref="AW2:BB2"/>
  </mergeCells>
  <conditionalFormatting sqref="J6:K16">
    <cfRule type="colorScale" priority="190">
      <colorScale>
        <cfvo type="percent" val="0"/>
        <cfvo type="percent" val="100"/>
        <color rgb="FFFF231B"/>
        <color rgb="FF10FF07"/>
      </colorScale>
    </cfRule>
  </conditionalFormatting>
  <conditionalFormatting sqref="O19:O23 Q19:Q23 O5:O16">
    <cfRule type="expression" dxfId="245" priority="188">
      <formula>OR(IF(O5&lt;P5,TRUE),IF(AND(P5="",O5&lt;&gt;""),TRUE))</formula>
    </cfRule>
    <cfRule type="expression" dxfId="244" priority="189">
      <formula>IF(O5&gt;=P5,IF(O5="",FALSE,TRUE))</formula>
    </cfRule>
  </conditionalFormatting>
  <conditionalFormatting sqref="Q5:Q16">
    <cfRule type="expression" dxfId="243" priority="186">
      <formula>OR(IF(Q5&lt;R5,TRUE),IF(AND(R5="",Q5&lt;&gt;""),TRUE))</formula>
    </cfRule>
    <cfRule type="expression" dxfId="242" priority="187">
      <formula>IF(Q5&gt;=R5,IF(Q5="",FALSE,TRUE))</formula>
    </cfRule>
  </conditionalFormatting>
  <conditionalFormatting sqref="AJ29:AJ38">
    <cfRule type="expression" dxfId="241" priority="59">
      <formula>OR(IF(AJ29&lt;AK29,TRUE),IF(AND(AK29="",AJ29&lt;&gt;""),TRUE))</formula>
    </cfRule>
    <cfRule type="expression" dxfId="240" priority="60">
      <formula>IF(AJ29&gt;=AK29,IF(AJ29="",FALSE,TRUE))</formula>
    </cfRule>
  </conditionalFormatting>
  <conditionalFormatting sqref="AL29:AL38">
    <cfRule type="expression" dxfId="239" priority="57">
      <formula>OR(IF(AL29&lt;AM29,TRUE),IF(AND(AM29="",AL29&lt;&gt;""),TRUE))</formula>
    </cfRule>
    <cfRule type="expression" dxfId="238" priority="58">
      <formula>IF(AL29&gt;=AM29,IF(AL29="",FALSE,TRUE))</formula>
    </cfRule>
  </conditionalFormatting>
  <conditionalFormatting sqref="AQ19:AQ23 AS19:AS23 AQ5:AQ16">
    <cfRule type="expression" dxfId="237" priority="55">
      <formula>OR(IF(AQ5&lt;AR5,TRUE),IF(AND(AR5="",AQ5&lt;&gt;""),TRUE))</formula>
    </cfRule>
    <cfRule type="expression" dxfId="236" priority="56">
      <formula>IF(AQ5&gt;=AR5,IF(AQ5="",FALSE,TRUE))</formula>
    </cfRule>
  </conditionalFormatting>
  <conditionalFormatting sqref="AS5:AS16">
    <cfRule type="expression" dxfId="235" priority="53">
      <formula>OR(IF(AS5&lt;AT5,TRUE),IF(AND(AT5="",AS5&lt;&gt;""),TRUE))</formula>
    </cfRule>
    <cfRule type="expression" dxfId="234" priority="54">
      <formula>IF(AS5&gt;=AT5,IF(AS5="",FALSE,TRUE))</formula>
    </cfRule>
  </conditionalFormatting>
  <conditionalFormatting sqref="O27:O28">
    <cfRule type="expression" dxfId="233" priority="129">
      <formula>OR(IF(O27&lt;P27,TRUE),IF(AND(P27="",O27&lt;&gt;""),TRUE))</formula>
    </cfRule>
    <cfRule type="expression" dxfId="232" priority="130">
      <formula>IF(O27&gt;=P27,IF(O27="",FALSE,TRUE))</formula>
    </cfRule>
  </conditionalFormatting>
  <conditionalFormatting sqref="Q27:Q28">
    <cfRule type="expression" dxfId="231" priority="127">
      <formula>OR(IF(Q27&lt;R27,TRUE),IF(AND(R27="",Q27&lt;&gt;""),TRUE))</formula>
    </cfRule>
    <cfRule type="expression" dxfId="230" priority="128">
      <formula>IF(Q27&gt;=R27,IF(Q27="",FALSE,TRUE))</formula>
    </cfRule>
  </conditionalFormatting>
  <conditionalFormatting sqref="AZ24">
    <cfRule type="expression" dxfId="229" priority="29">
      <formula>OR(IF(AZ24&lt;BA24,TRUE),IF(AND(BA24="",AZ24&lt;&gt;""),TRUE))</formula>
    </cfRule>
    <cfRule type="expression" dxfId="228" priority="30">
      <formula>IF(AZ24&gt;=BA24,IF(AZ24="",FALSE,TRUE))</formula>
    </cfRule>
  </conditionalFormatting>
  <conditionalFormatting sqref="AX29:AX38">
    <cfRule type="expression" dxfId="227" priority="27">
      <formula>OR(IF(AX29&lt;AY29,TRUE),IF(AND(AY29="",AX29&lt;&gt;""),TRUE))</formula>
    </cfRule>
    <cfRule type="expression" dxfId="226" priority="28">
      <formula>IF(AX29&gt;=AY29,IF(AX29="",FALSE,TRUE))</formula>
    </cfRule>
  </conditionalFormatting>
  <conditionalFormatting sqref="AZ29:AZ38">
    <cfRule type="expression" dxfId="225" priority="25">
      <formula>OR(IF(AZ29&lt;BA29,TRUE),IF(AND(BA29="",AZ29&lt;&gt;""),TRUE))</formula>
    </cfRule>
    <cfRule type="expression" dxfId="224" priority="26">
      <formula>IF(AZ29&gt;=BA29,IF(AZ29="",FALSE,TRUE))</formula>
    </cfRule>
  </conditionalFormatting>
  <conditionalFormatting sqref="BE19:BE23 BG19:BG23 BE5:BE16">
    <cfRule type="expression" dxfId="223" priority="23">
      <formula>OR(IF(BE5&lt;BF5,TRUE),IF(AND(BF5="",BE5&lt;&gt;""),TRUE))</formula>
    </cfRule>
    <cfRule type="expression" dxfId="222" priority="24">
      <formula>IF(BE5&gt;=BF5,IF(BE5="",FALSE,TRUE))</formula>
    </cfRule>
  </conditionalFormatting>
  <conditionalFormatting sqref="BG5:BG16">
    <cfRule type="expression" dxfId="221" priority="21">
      <formula>OR(IF(BG5&lt;BH5,TRUE),IF(AND(BH5="",BG5&lt;&gt;""),TRUE))</formula>
    </cfRule>
    <cfRule type="expression" dxfId="220" priority="22">
      <formula>IF(BG5&gt;=BH5,IF(BG5="",FALSE,TRUE))</formula>
    </cfRule>
  </conditionalFormatting>
  <conditionalFormatting sqref="BE27:BE28">
    <cfRule type="expression" dxfId="219" priority="19">
      <formula>OR(IF(BE27&lt;BF27,TRUE),IF(AND(BF27="",BE27&lt;&gt;""),TRUE))</formula>
    </cfRule>
    <cfRule type="expression" dxfId="218" priority="20">
      <formula>IF(BE27&gt;=BF27,IF(BE27="",FALSE,TRUE))</formula>
    </cfRule>
  </conditionalFormatting>
  <conditionalFormatting sqref="Q29:Q38">
    <cfRule type="expression" dxfId="217" priority="105">
      <formula>OR(IF(Q29&lt;R29,TRUE),IF(AND(R29="",Q29&lt;&gt;""),TRUE))</formula>
    </cfRule>
    <cfRule type="expression" dxfId="216" priority="106">
      <formula>IF(Q29&gt;=R29,IF(Q29="",FALSE,TRUE))</formula>
    </cfRule>
  </conditionalFormatting>
  <conditionalFormatting sqref="O24">
    <cfRule type="expression" dxfId="215" priority="111">
      <formula>OR(IF(O24&lt;P24,TRUE),IF(AND(P24="",O24&lt;&gt;""),TRUE))</formula>
    </cfRule>
    <cfRule type="expression" dxfId="214" priority="112">
      <formula>IF(O24&gt;=P24,IF(O24="",FALSE,TRUE))</formula>
    </cfRule>
  </conditionalFormatting>
  <conditionalFormatting sqref="Q24">
    <cfRule type="expression" dxfId="213" priority="109">
      <formula>OR(IF(Q24&lt;R24,TRUE),IF(AND(R24="",Q24&lt;&gt;""),TRUE))</formula>
    </cfRule>
    <cfRule type="expression" dxfId="212" priority="110">
      <formula>IF(Q24&gt;=R24,IF(Q24="",FALSE,TRUE))</formula>
    </cfRule>
  </conditionalFormatting>
  <conditionalFormatting sqref="O29:O38">
    <cfRule type="expression" dxfId="211" priority="107">
      <formula>OR(IF(O29&lt;P29,TRUE),IF(AND(P29="",O29&lt;&gt;""),TRUE))</formula>
    </cfRule>
    <cfRule type="expression" dxfId="210" priority="108">
      <formula>IF(O29&gt;=P29,IF(O29="",FALSE,TRUE))</formula>
    </cfRule>
  </conditionalFormatting>
  <conditionalFormatting sqref="BG29:BG38">
    <cfRule type="expression" dxfId="209" priority="9">
      <formula>OR(IF(BG29&lt;BH29,TRUE),IF(AND(BH29="",BG29&lt;&gt;""),TRUE))</formula>
    </cfRule>
    <cfRule type="expression" dxfId="208" priority="10">
      <formula>IF(BG29&gt;=BH29,IF(BG29="",FALSE,TRUE))</formula>
    </cfRule>
  </conditionalFormatting>
  <conditionalFormatting sqref="V19:V23 X19:X23 V5:V16">
    <cfRule type="expression" dxfId="207" priority="103">
      <formula>OR(IF(V5&lt;W5,TRUE),IF(AND(W5="",V5&lt;&gt;""),TRUE))</formula>
    </cfRule>
    <cfRule type="expression" dxfId="206" priority="104">
      <formula>IF(V5&gt;=W5,IF(V5="",FALSE,TRUE))</formula>
    </cfRule>
  </conditionalFormatting>
  <conditionalFormatting sqref="X5:X16">
    <cfRule type="expression" dxfId="205" priority="101">
      <formula>OR(IF(X5&lt;Y5,TRUE),IF(AND(Y5="",X5&lt;&gt;""),TRUE))</formula>
    </cfRule>
    <cfRule type="expression" dxfId="204" priority="102">
      <formula>IF(X5&gt;=Y5,IF(X5="",FALSE,TRUE))</formula>
    </cfRule>
  </conditionalFormatting>
  <conditionalFormatting sqref="V27:V28">
    <cfRule type="expression" dxfId="203" priority="99">
      <formula>OR(IF(V27&lt;W27,TRUE),IF(AND(W27="",V27&lt;&gt;""),TRUE))</formula>
    </cfRule>
    <cfRule type="expression" dxfId="202" priority="100">
      <formula>IF(V27&gt;=W27,IF(V27="",FALSE,TRUE))</formula>
    </cfRule>
  </conditionalFormatting>
  <conditionalFormatting sqref="X27:X28">
    <cfRule type="expression" dxfId="201" priority="97">
      <formula>OR(IF(X27&lt;Y27,TRUE),IF(AND(Y27="",X27&lt;&gt;""),TRUE))</formula>
    </cfRule>
    <cfRule type="expression" dxfId="200" priority="98">
      <formula>IF(X27&gt;=Y27,IF(X27="",FALSE,TRUE))</formula>
    </cfRule>
  </conditionalFormatting>
  <conditionalFormatting sqref="X29:X38">
    <cfRule type="expression" dxfId="199" priority="89">
      <formula>OR(IF(X29&lt;Y29,TRUE),IF(AND(Y29="",X29&lt;&gt;""),TRUE))</formula>
    </cfRule>
    <cfRule type="expression" dxfId="198" priority="90">
      <formula>IF(X29&gt;=Y29,IF(X29="",FALSE,TRUE))</formula>
    </cfRule>
  </conditionalFormatting>
  <conditionalFormatting sqref="V24">
    <cfRule type="expression" dxfId="197" priority="95">
      <formula>OR(IF(V24&lt;W24,TRUE),IF(AND(W24="",V24&lt;&gt;""),TRUE))</formula>
    </cfRule>
    <cfRule type="expression" dxfId="196" priority="96">
      <formula>IF(V24&gt;=W24,IF(V24="",FALSE,TRUE))</formula>
    </cfRule>
  </conditionalFormatting>
  <conditionalFormatting sqref="X24">
    <cfRule type="expression" dxfId="195" priority="93">
      <formula>OR(IF(X24&lt;Y24,TRUE),IF(AND(Y24="",X24&lt;&gt;""),TRUE))</formula>
    </cfRule>
    <cfRule type="expression" dxfId="194" priority="94">
      <formula>IF(X24&gt;=Y24,IF(X24="",FALSE,TRUE))</formula>
    </cfRule>
  </conditionalFormatting>
  <conditionalFormatting sqref="V29:V38">
    <cfRule type="expression" dxfId="193" priority="91">
      <formula>OR(IF(V29&lt;W29,TRUE),IF(AND(W29="",V29&lt;&gt;""),TRUE))</formula>
    </cfRule>
    <cfRule type="expression" dxfId="192" priority="92">
      <formula>IF(V29&gt;=W29,IF(V29="",FALSE,TRUE))</formula>
    </cfRule>
  </conditionalFormatting>
  <conditionalFormatting sqref="AC19:AC23 AE19:AE23 AC5:AC16">
    <cfRule type="expression" dxfId="191" priority="87">
      <formula>OR(IF(AC5&lt;AD5,TRUE),IF(AND(AD5="",AC5&lt;&gt;""),TRUE))</formula>
    </cfRule>
    <cfRule type="expression" dxfId="190" priority="88">
      <formula>IF(AC5&gt;=AD5,IF(AC5="",FALSE,TRUE))</formula>
    </cfRule>
  </conditionalFormatting>
  <conditionalFormatting sqref="AE5:AE16">
    <cfRule type="expression" dxfId="189" priority="85">
      <formula>OR(IF(AE5&lt;AF5,TRUE),IF(AND(AF5="",AE5&lt;&gt;""),TRUE))</formula>
    </cfRule>
    <cfRule type="expression" dxfId="188" priority="86">
      <formula>IF(AE5&gt;=AF5,IF(AE5="",FALSE,TRUE))</formula>
    </cfRule>
  </conditionalFormatting>
  <conditionalFormatting sqref="AC27:AC28">
    <cfRule type="expression" dxfId="187" priority="83">
      <formula>OR(IF(AC27&lt;AD27,TRUE),IF(AND(AD27="",AC27&lt;&gt;""),TRUE))</formula>
    </cfRule>
    <cfRule type="expression" dxfId="186" priority="84">
      <formula>IF(AC27&gt;=AD27,IF(AC27="",FALSE,TRUE))</formula>
    </cfRule>
  </conditionalFormatting>
  <conditionalFormatting sqref="AE27:AE28">
    <cfRule type="expression" dxfId="185" priority="81">
      <formula>OR(IF(AE27&lt;AF27,TRUE),IF(AND(AF27="",AE27&lt;&gt;""),TRUE))</formula>
    </cfRule>
    <cfRule type="expression" dxfId="184" priority="82">
      <formula>IF(AE27&gt;=AF27,IF(AE27="",FALSE,TRUE))</formula>
    </cfRule>
  </conditionalFormatting>
  <conditionalFormatting sqref="AE29:AE38">
    <cfRule type="expression" dxfId="183" priority="73">
      <formula>OR(IF(AE29&lt;AF29,TRUE),IF(AND(AF29="",AE29&lt;&gt;""),TRUE))</formula>
    </cfRule>
    <cfRule type="expression" dxfId="182" priority="74">
      <formula>IF(AE29&gt;=AF29,IF(AE29="",FALSE,TRUE))</formula>
    </cfRule>
  </conditionalFormatting>
  <conditionalFormatting sqref="AC24">
    <cfRule type="expression" dxfId="181" priority="79">
      <formula>OR(IF(AC24&lt;AD24,TRUE),IF(AND(AD24="",AC24&lt;&gt;""),TRUE))</formula>
    </cfRule>
    <cfRule type="expression" dxfId="180" priority="80">
      <formula>IF(AC24&gt;=AD24,IF(AC24="",FALSE,TRUE))</formula>
    </cfRule>
  </conditionalFormatting>
  <conditionalFormatting sqref="AE24">
    <cfRule type="expression" dxfId="179" priority="77">
      <formula>OR(IF(AE24&lt;AF24,TRUE),IF(AND(AF24="",AE24&lt;&gt;""),TRUE))</formula>
    </cfRule>
    <cfRule type="expression" dxfId="178" priority="78">
      <formula>IF(AE24&gt;=AF24,IF(AE24="",FALSE,TRUE))</formula>
    </cfRule>
  </conditionalFormatting>
  <conditionalFormatting sqref="AC29:AC38">
    <cfRule type="expression" dxfId="177" priority="75">
      <formula>OR(IF(AC29&lt;AD29,TRUE),IF(AND(AD29="",AC29&lt;&gt;""),TRUE))</formula>
    </cfRule>
    <cfRule type="expression" dxfId="176" priority="76">
      <formula>IF(AC29&gt;=AD29,IF(AC29="",FALSE,TRUE))</formula>
    </cfRule>
  </conditionalFormatting>
  <conditionalFormatting sqref="AJ19:AJ23 AL19:AL23 AJ5:AJ16">
    <cfRule type="expression" dxfId="175" priority="71">
      <formula>OR(IF(AJ5&lt;AK5,TRUE),IF(AND(AK5="",AJ5&lt;&gt;""),TRUE))</formula>
    </cfRule>
    <cfRule type="expression" dxfId="174" priority="72">
      <formula>IF(AJ5&gt;=AK5,IF(AJ5="",FALSE,TRUE))</formula>
    </cfRule>
  </conditionalFormatting>
  <conditionalFormatting sqref="AL5:AL16">
    <cfRule type="expression" dxfId="173" priority="69">
      <formula>OR(IF(AL5&lt;AM5,TRUE),IF(AND(AM5="",AL5&lt;&gt;""),TRUE))</formula>
    </cfRule>
    <cfRule type="expression" dxfId="172" priority="70">
      <formula>IF(AL5&gt;=AM5,IF(AL5="",FALSE,TRUE))</formula>
    </cfRule>
  </conditionalFormatting>
  <conditionalFormatting sqref="AJ27:AJ28">
    <cfRule type="expression" dxfId="171" priority="67">
      <formula>OR(IF(AJ27&lt;AK27,TRUE),IF(AND(AK27="",AJ27&lt;&gt;""),TRUE))</formula>
    </cfRule>
    <cfRule type="expression" dxfId="170" priority="68">
      <formula>IF(AJ27&gt;=AK27,IF(AJ27="",FALSE,TRUE))</formula>
    </cfRule>
  </conditionalFormatting>
  <conditionalFormatting sqref="AL27:AL28">
    <cfRule type="expression" dxfId="169" priority="65">
      <formula>OR(IF(AL27&lt;AM27,TRUE),IF(AND(AM27="",AL27&lt;&gt;""),TRUE))</formula>
    </cfRule>
    <cfRule type="expression" dxfId="168" priority="66">
      <formula>IF(AL27&gt;=AM27,IF(AL27="",FALSE,TRUE))</formula>
    </cfRule>
  </conditionalFormatting>
  <conditionalFormatting sqref="AJ24">
    <cfRule type="expression" dxfId="167" priority="63">
      <formula>OR(IF(AJ24&lt;AK24,TRUE),IF(AND(AK24="",AJ24&lt;&gt;""),TRUE))</formula>
    </cfRule>
    <cfRule type="expression" dxfId="166" priority="64">
      <formula>IF(AJ24&gt;=AK24,IF(AJ24="",FALSE,TRUE))</formula>
    </cfRule>
  </conditionalFormatting>
  <conditionalFormatting sqref="AL24">
    <cfRule type="expression" dxfId="165" priority="61">
      <formula>OR(IF(AL24&lt;AM24,TRUE),IF(AND(AM24="",AL24&lt;&gt;""),TRUE))</formula>
    </cfRule>
    <cfRule type="expression" dxfId="164" priority="62">
      <formula>IF(AL24&gt;=AM24,IF(AL24="",FALSE,TRUE))</formula>
    </cfRule>
  </conditionalFormatting>
  <conditionalFormatting sqref="AQ27:AQ28">
    <cfRule type="expression" dxfId="163" priority="51">
      <formula>OR(IF(AQ27&lt;AR27,TRUE),IF(AND(AR27="",AQ27&lt;&gt;""),TRUE))</formula>
    </cfRule>
    <cfRule type="expression" dxfId="162" priority="52">
      <formula>IF(AQ27&gt;=AR27,IF(AQ27="",FALSE,TRUE))</formula>
    </cfRule>
  </conditionalFormatting>
  <conditionalFormatting sqref="AS27:AS28">
    <cfRule type="expression" dxfId="161" priority="49">
      <formula>OR(IF(AS27&lt;AT27,TRUE),IF(AND(AT27="",AS27&lt;&gt;""),TRUE))</formula>
    </cfRule>
    <cfRule type="expression" dxfId="160" priority="50">
      <formula>IF(AS27&gt;=AT27,IF(AS27="",FALSE,TRUE))</formula>
    </cfRule>
  </conditionalFormatting>
  <conditionalFormatting sqref="AS29:AS38">
    <cfRule type="expression" dxfId="159" priority="41">
      <formula>OR(IF(AS29&lt;AT29,TRUE),IF(AND(AT29="",AS29&lt;&gt;""),TRUE))</formula>
    </cfRule>
    <cfRule type="expression" dxfId="158" priority="42">
      <formula>IF(AS29&gt;=AT29,IF(AS29="",FALSE,TRUE))</formula>
    </cfRule>
  </conditionalFormatting>
  <conditionalFormatting sqref="AQ24">
    <cfRule type="expression" dxfId="157" priority="47">
      <formula>OR(IF(AQ24&lt;AR24,TRUE),IF(AND(AR24="",AQ24&lt;&gt;""),TRUE))</formula>
    </cfRule>
    <cfRule type="expression" dxfId="156" priority="48">
      <formula>IF(AQ24&gt;=AR24,IF(AQ24="",FALSE,TRUE))</formula>
    </cfRule>
  </conditionalFormatting>
  <conditionalFormatting sqref="AS24">
    <cfRule type="expression" dxfId="155" priority="45">
      <formula>OR(IF(AS24&lt;AT24,TRUE),IF(AND(AT24="",AS24&lt;&gt;""),TRUE))</formula>
    </cfRule>
    <cfRule type="expression" dxfId="154" priority="46">
      <formula>IF(AS24&gt;=AT24,IF(AS24="",FALSE,TRUE))</formula>
    </cfRule>
  </conditionalFormatting>
  <conditionalFormatting sqref="AQ29:AQ38">
    <cfRule type="expression" dxfId="153" priority="43">
      <formula>OR(IF(AQ29&lt;AR29,TRUE),IF(AND(AR29="",AQ29&lt;&gt;""),TRUE))</formula>
    </cfRule>
    <cfRule type="expression" dxfId="152" priority="44">
      <formula>IF(AQ29&gt;=AR29,IF(AQ29="",FALSE,TRUE))</formula>
    </cfRule>
  </conditionalFormatting>
  <conditionalFormatting sqref="AX19:AX23 AZ19:AZ23 AX5:AX16">
    <cfRule type="expression" dxfId="151" priority="39">
      <formula>OR(IF(AX5&lt;AY5,TRUE),IF(AND(AY5="",AX5&lt;&gt;""),TRUE))</formula>
    </cfRule>
    <cfRule type="expression" dxfId="150" priority="40">
      <formula>IF(AX5&gt;=AY5,IF(AX5="",FALSE,TRUE))</formula>
    </cfRule>
  </conditionalFormatting>
  <conditionalFormatting sqref="AZ5:AZ16">
    <cfRule type="expression" dxfId="149" priority="37">
      <formula>OR(IF(AZ5&lt;BA5,TRUE),IF(AND(BA5="",AZ5&lt;&gt;""),TRUE))</formula>
    </cfRule>
    <cfRule type="expression" dxfId="148" priority="38">
      <formula>IF(AZ5&gt;=BA5,IF(AZ5="",FALSE,TRUE))</formula>
    </cfRule>
  </conditionalFormatting>
  <conditionalFormatting sqref="AX27:AX28">
    <cfRule type="expression" dxfId="147" priority="35">
      <formula>OR(IF(AX27&lt;AY27,TRUE),IF(AND(AY27="",AX27&lt;&gt;""),TRUE))</formula>
    </cfRule>
    <cfRule type="expression" dxfId="146" priority="36">
      <formula>IF(AX27&gt;=AY27,IF(AX27="",FALSE,TRUE))</formula>
    </cfRule>
  </conditionalFormatting>
  <conditionalFormatting sqref="AZ27:AZ28">
    <cfRule type="expression" dxfId="145" priority="33">
      <formula>OR(IF(AZ27&lt;BA27,TRUE),IF(AND(BA27="",AZ27&lt;&gt;""),TRUE))</formula>
    </cfRule>
    <cfRule type="expression" dxfId="144" priority="34">
      <formula>IF(AZ27&gt;=BA27,IF(AZ27="",FALSE,TRUE))</formula>
    </cfRule>
  </conditionalFormatting>
  <conditionalFormatting sqref="AX24">
    <cfRule type="expression" dxfId="143" priority="31">
      <formula>OR(IF(AX24&lt;AY24,TRUE),IF(AND(AY24="",AX24&lt;&gt;""),TRUE))</formula>
    </cfRule>
    <cfRule type="expression" dxfId="142" priority="32">
      <formula>IF(AX24&gt;=AY24,IF(AX24="",FALSE,TRUE))</formula>
    </cfRule>
  </conditionalFormatting>
  <conditionalFormatting sqref="BG27:BG28">
    <cfRule type="expression" dxfId="141" priority="17">
      <formula>OR(IF(BG27&lt;BH27,TRUE),IF(AND(BH27="",BG27&lt;&gt;""),TRUE))</formula>
    </cfRule>
    <cfRule type="expression" dxfId="140" priority="18">
      <formula>IF(BG27&gt;=BH27,IF(BG27="",FALSE,TRUE))</formula>
    </cfRule>
  </conditionalFormatting>
  <conditionalFormatting sqref="BE24">
    <cfRule type="expression" dxfId="139" priority="15">
      <formula>OR(IF(BE24&lt;BF24,TRUE),IF(AND(BF24="",BE24&lt;&gt;""),TRUE))</formula>
    </cfRule>
    <cfRule type="expression" dxfId="138" priority="16">
      <formula>IF(BE24&gt;=BF24,IF(BE24="",FALSE,TRUE))</formula>
    </cfRule>
  </conditionalFormatting>
  <conditionalFormatting sqref="BG24">
    <cfRule type="expression" dxfId="137" priority="13">
      <formula>OR(IF(BG24&lt;BH24,TRUE),IF(AND(BH24="",BG24&lt;&gt;""),TRUE))</formula>
    </cfRule>
    <cfRule type="expression" dxfId="136" priority="14">
      <formula>IF(BG24&gt;=BH24,IF(BG24="",FALSE,TRUE))</formula>
    </cfRule>
  </conditionalFormatting>
  <conditionalFormatting sqref="BE29:BE38">
    <cfRule type="expression" dxfId="135" priority="11">
      <formula>OR(IF(BE29&lt;BF29,TRUE),IF(AND(BF29="",BE29&lt;&gt;""),TRUE))</formula>
    </cfRule>
    <cfRule type="expression" dxfId="134" priority="12">
      <formula>IF(BE29&gt;=BF29,IF(BE29="",FALSE,TRUE))</formula>
    </cfRule>
  </conditionalFormatting>
  <conditionalFormatting sqref="J5:J16">
    <cfRule type="colorScale" priority="8">
      <colorScale>
        <cfvo type="percent" val="0"/>
        <cfvo type="percent" val="100"/>
        <color rgb="FFFF231B"/>
        <color rgb="FF10FF07"/>
      </colorScale>
    </cfRule>
  </conditionalFormatting>
  <conditionalFormatting sqref="K5:K16">
    <cfRule type="colorScale" priority="7">
      <colorScale>
        <cfvo type="percent" val="0"/>
        <cfvo type="percent" val="100"/>
        <color rgb="FFFF231B"/>
        <color rgb="FF10FF07"/>
      </colorScale>
    </cfRule>
  </conditionalFormatting>
  <conditionalFormatting sqref="J28:K38">
    <cfRule type="colorScale" priority="6">
      <colorScale>
        <cfvo type="percent" val="0"/>
        <cfvo type="percent" val="100"/>
        <color rgb="FFFF231B"/>
        <color rgb="FF10FF07"/>
      </colorScale>
    </cfRule>
  </conditionalFormatting>
  <conditionalFormatting sqref="J27:J38">
    <cfRule type="colorScale" priority="5">
      <colorScale>
        <cfvo type="percent" val="0"/>
        <cfvo type="percent" val="100"/>
        <color rgb="FFFF231B"/>
        <color rgb="FF10FF07"/>
      </colorScale>
    </cfRule>
  </conditionalFormatting>
  <conditionalFormatting sqref="K27:K38">
    <cfRule type="colorScale" priority="4">
      <colorScale>
        <cfvo type="percent" val="0"/>
        <cfvo type="percent" val="100"/>
        <color rgb="FFFF231B"/>
        <color rgb="FF10FF07"/>
      </colorScale>
    </cfRule>
  </conditionalFormatting>
  <conditionalFormatting sqref="J20:K24">
    <cfRule type="colorScale" priority="3">
      <colorScale>
        <cfvo type="percent" val="0"/>
        <cfvo type="percent" val="100"/>
        <color rgb="FFFF231B"/>
        <color rgb="FF10FF07"/>
      </colorScale>
    </cfRule>
  </conditionalFormatting>
  <conditionalFormatting sqref="J19:J24">
    <cfRule type="colorScale" priority="2">
      <colorScale>
        <cfvo type="percent" val="0"/>
        <cfvo type="percent" val="100"/>
        <color rgb="FFFF231B"/>
        <color rgb="FF10FF07"/>
      </colorScale>
    </cfRule>
  </conditionalFormatting>
  <conditionalFormatting sqref="K19:K24">
    <cfRule type="colorScale" priority="1">
      <colorScale>
        <cfvo type="percent" val="0"/>
        <cfvo type="percent" val="100"/>
        <color rgb="FFFF231B"/>
        <color rgb="FF10FF07"/>
      </colorScale>
    </cfRule>
  </conditionalFormatting>
  <dataValidations count="1">
    <dataValidation type="list" allowBlank="1" showInputMessage="1" showErrorMessage="1" sqref="O19:R24 O5:R16 V27:Y38 V19:Y24 V5:Y16 AC27:AF38 AC19:AF24 AC5:AF16 AJ27:AM38 AJ19:AM24 AJ5:AM16 AQ27:AT38 AQ5:AT16 BE27:BH38 AQ19:AT24 AX19:BA24 AX5:BA16 AX27:BA38 BE19:BH24 BE5:BH16 O27:R38"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12DCB-99EA-418D-AA77-81E26FDA7FAA}">
  <dimension ref="B1:BI38"/>
  <sheetViews>
    <sheetView showGridLines="0" topLeftCell="D1" zoomScale="125" zoomScaleNormal="83" workbookViewId="0">
      <selection activeCell="E16" sqref="E16"/>
    </sheetView>
  </sheetViews>
  <sheetFormatPr baseColWidth="10" defaultColWidth="8.8984375" defaultRowHeight="15.6" outlineLevelRow="1"/>
  <cols>
    <col min="2" max="2" width="27.19921875" bestFit="1" customWidth="1"/>
    <col min="3" max="3" width="30.69921875" bestFit="1" customWidth="1"/>
    <col min="4" max="4" width="13" bestFit="1" customWidth="1"/>
    <col min="5" max="5" width="4.8984375" bestFit="1" customWidth="1"/>
    <col min="6" max="6" width="48.8984375" customWidth="1"/>
    <col min="7" max="7" width="15.5" bestFit="1" customWidth="1"/>
    <col min="8" max="8" width="2.5" customWidth="1"/>
    <col min="10" max="10" width="12.5" bestFit="1" customWidth="1"/>
    <col min="11" max="11" width="14.8984375" bestFit="1" customWidth="1"/>
    <col min="12" max="12" width="12.59765625" bestFit="1" customWidth="1"/>
    <col min="13" max="13" width="2.5" customWidth="1"/>
    <col min="15" max="15" width="12.5" bestFit="1" customWidth="1"/>
    <col min="16" max="16" width="6.3984375" customWidth="1"/>
    <col min="17" max="17" width="14.8984375" bestFit="1" customWidth="1"/>
    <col min="18" max="18" width="6" customWidth="1"/>
    <col min="19" max="19" width="12.59765625" bestFit="1" customWidth="1"/>
    <col min="20" max="20" width="2.5" customWidth="1"/>
    <col min="22" max="22" width="12.5" bestFit="1" customWidth="1"/>
    <col min="23" max="23" width="6.3984375" customWidth="1"/>
    <col min="24" max="24" width="14.8984375" bestFit="1" customWidth="1"/>
    <col min="25" max="25" width="6" customWidth="1"/>
    <col min="26" max="26" width="12.59765625" bestFit="1" customWidth="1"/>
    <col min="27" max="27" width="2.5" customWidth="1"/>
    <col min="29" max="29" width="12.5" bestFit="1" customWidth="1"/>
    <col min="30" max="30" width="6.3984375" customWidth="1"/>
    <col min="31" max="31" width="14.8984375" bestFit="1" customWidth="1"/>
    <col min="32" max="32" width="6" customWidth="1"/>
    <col min="33" max="33" width="12.59765625" bestFit="1" customWidth="1"/>
    <col min="34" max="34" width="2.5" customWidth="1"/>
    <col min="36" max="36" width="12.5" bestFit="1" customWidth="1"/>
    <col min="37" max="37" width="6.3984375" customWidth="1"/>
    <col min="38" max="38" width="14.8984375" bestFit="1" customWidth="1"/>
    <col min="39" max="39" width="6" customWidth="1"/>
    <col min="40" max="40" width="12.59765625" bestFit="1" customWidth="1"/>
    <col min="41" max="41" width="2.5" customWidth="1"/>
    <col min="43" max="43" width="12.5" bestFit="1" customWidth="1"/>
    <col min="44" max="44" width="6.3984375" customWidth="1"/>
    <col min="45" max="45" width="14.8984375" bestFit="1" customWidth="1"/>
    <col min="46" max="46" width="6" customWidth="1"/>
    <col min="47" max="47" width="12.59765625" bestFit="1" customWidth="1"/>
    <col min="48" max="48" width="2.5" customWidth="1"/>
    <col min="50" max="50" width="12.5" bestFit="1" customWidth="1"/>
    <col min="51" max="51" width="6.3984375" customWidth="1"/>
    <col min="52" max="52" width="14.8984375" bestFit="1" customWidth="1"/>
    <col min="53" max="53" width="6" customWidth="1"/>
    <col min="54" max="54" width="12.59765625" bestFit="1" customWidth="1"/>
    <col min="55" max="55" width="2.5" customWidth="1"/>
    <col min="57" max="57" width="12.5" bestFit="1" customWidth="1"/>
    <col min="58" max="58" width="6.3984375" customWidth="1"/>
    <col min="59" max="59" width="14.8984375" bestFit="1" customWidth="1"/>
    <col min="60" max="60" width="6" customWidth="1"/>
    <col min="61" max="61" width="12.59765625" bestFit="1" customWidth="1"/>
    <col min="62" max="62" width="2.5" customWidth="1"/>
  </cols>
  <sheetData>
    <row r="1" spans="2:61" ht="33.6">
      <c r="B1" s="5" t="s">
        <v>0</v>
      </c>
      <c r="D1" s="5"/>
      <c r="G1" s="15" t="s">
        <v>46</v>
      </c>
      <c r="I1" s="15" t="s">
        <v>46</v>
      </c>
      <c r="J1" s="15" t="s">
        <v>46</v>
      </c>
      <c r="K1" s="15" t="s">
        <v>46</v>
      </c>
    </row>
    <row r="2" spans="2:61">
      <c r="I2" s="22" t="s">
        <v>28</v>
      </c>
      <c r="J2" s="22"/>
      <c r="K2" s="22"/>
      <c r="L2" s="22"/>
      <c r="N2" s="22" t="s">
        <v>47</v>
      </c>
      <c r="O2" s="22"/>
      <c r="P2" s="22"/>
      <c r="Q2" s="22"/>
      <c r="R2" s="22"/>
      <c r="S2" s="22"/>
      <c r="U2" s="22" t="s">
        <v>48</v>
      </c>
      <c r="V2" s="22"/>
      <c r="W2" s="22"/>
      <c r="X2" s="22"/>
      <c r="Y2" s="22"/>
      <c r="Z2" s="22"/>
      <c r="AB2" s="22" t="s">
        <v>49</v>
      </c>
      <c r="AC2" s="22"/>
      <c r="AD2" s="22"/>
      <c r="AE2" s="22"/>
      <c r="AF2" s="22"/>
      <c r="AG2" s="22"/>
      <c r="AI2" s="22" t="s">
        <v>50</v>
      </c>
      <c r="AJ2" s="22"/>
      <c r="AK2" s="22"/>
      <c r="AL2" s="22"/>
      <c r="AM2" s="22"/>
      <c r="AN2" s="22"/>
      <c r="AP2" s="22" t="s">
        <v>62</v>
      </c>
      <c r="AQ2" s="22"/>
      <c r="AR2" s="22"/>
      <c r="AS2" s="22"/>
      <c r="AT2" s="22"/>
      <c r="AU2" s="22"/>
      <c r="AW2" s="22" t="s">
        <v>63</v>
      </c>
      <c r="AX2" s="22"/>
      <c r="AY2" s="22"/>
      <c r="AZ2" s="22"/>
      <c r="BA2" s="22"/>
      <c r="BB2" s="22"/>
      <c r="BD2" s="22" t="s">
        <v>64</v>
      </c>
      <c r="BE2" s="22"/>
      <c r="BF2" s="22"/>
      <c r="BG2" s="22"/>
      <c r="BH2" s="22"/>
      <c r="BI2" s="22"/>
    </row>
    <row r="3" spans="2:61">
      <c r="B3" s="6" t="s">
        <v>27</v>
      </c>
      <c r="C3" s="6" t="s">
        <v>1</v>
      </c>
      <c r="D3" s="6" t="s">
        <v>25</v>
      </c>
      <c r="E3" s="19" t="s">
        <v>43</v>
      </c>
      <c r="F3" s="6" t="s">
        <v>30</v>
      </c>
      <c r="G3" s="6" t="s">
        <v>44</v>
      </c>
      <c r="I3" s="19" t="s">
        <v>12</v>
      </c>
      <c r="J3" s="19" t="s">
        <v>3</v>
      </c>
      <c r="K3" s="19" t="s">
        <v>4</v>
      </c>
      <c r="L3" s="19"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row>
    <row r="4" spans="2:61">
      <c r="B4" t="s">
        <v>76</v>
      </c>
      <c r="C4" t="s">
        <v>77</v>
      </c>
      <c r="D4" t="s">
        <v>78</v>
      </c>
      <c r="E4" s="11">
        <v>12</v>
      </c>
      <c r="G4" s="12">
        <f>SUM(G5)</f>
        <v>1</v>
      </c>
      <c r="I4" s="14">
        <f>+SUM(I5:I16)</f>
        <v>0</v>
      </c>
      <c r="J4" s="13">
        <f>+SUMPRODUCT(G5:G16,J5:J16)</f>
        <v>0</v>
      </c>
      <c r="K4" s="13">
        <f>+SUMPRODUCT(G5:G16,K5:K16)</f>
        <v>0</v>
      </c>
      <c r="L4" s="11"/>
      <c r="N4" s="14">
        <f>+SUM(N5:N16)</f>
        <v>0</v>
      </c>
      <c r="U4" s="14">
        <f>+SUM(U5:U16)</f>
        <v>0</v>
      </c>
      <c r="AB4" s="14">
        <f>+SUM(AB5:AB16)</f>
        <v>0</v>
      </c>
      <c r="AI4" s="14">
        <f>+SUM(AI5:AI16)</f>
        <v>0</v>
      </c>
      <c r="AP4" s="14">
        <f>+SUM(AP5:AP16)</f>
        <v>0</v>
      </c>
      <c r="AW4" s="14">
        <f>+SUM(AW5:AW16)</f>
        <v>0</v>
      </c>
      <c r="BD4" s="14">
        <f>+SUM(BD5:BD16)</f>
        <v>0</v>
      </c>
    </row>
    <row r="5" spans="2:61" outlineLevel="1">
      <c r="B5" t="s">
        <v>29</v>
      </c>
      <c r="E5" s="11"/>
      <c r="F5" t="s">
        <v>79</v>
      </c>
      <c r="G5" s="12">
        <v>1</v>
      </c>
      <c r="I5" s="11">
        <f>+SUMIF($N$3:$ZZ$3,I$3,$N5:$ZZ5)</f>
        <v>0</v>
      </c>
      <c r="J5" s="13" cm="1">
        <f t="array" ref="J5">MAX(IF($N$3:$EH$3=$J$3,N5:EH5))</f>
        <v>0</v>
      </c>
      <c r="K5" s="13" cm="1">
        <f t="array" ref="K5">MAX(IF($N$3:$EH$3=$J$3,N5:EH5))</f>
        <v>0</v>
      </c>
      <c r="L5" s="11"/>
      <c r="O5" s="12"/>
      <c r="P5" s="12"/>
      <c r="Q5" s="12"/>
      <c r="R5" s="12"/>
      <c r="V5" s="12"/>
      <c r="W5" s="12"/>
      <c r="X5" s="12"/>
      <c r="Y5" s="12"/>
      <c r="AC5" s="12"/>
      <c r="AD5" s="12"/>
      <c r="AE5" s="12"/>
      <c r="AF5" s="12"/>
      <c r="AJ5" s="12"/>
      <c r="AK5" s="12"/>
      <c r="AL5" s="12"/>
      <c r="AM5" s="12"/>
      <c r="AQ5" s="12"/>
      <c r="AR5" s="12">
        <v>1</v>
      </c>
      <c r="AS5" s="12"/>
      <c r="AT5" s="12">
        <v>1</v>
      </c>
      <c r="AX5" s="12"/>
      <c r="AY5" s="12"/>
      <c r="AZ5" s="12"/>
      <c r="BA5" s="12"/>
      <c r="BE5" s="12"/>
      <c r="BF5" s="12"/>
      <c r="BG5" s="12"/>
      <c r="BH5" s="12"/>
    </row>
    <row r="6" spans="2:61" outlineLevel="1">
      <c r="E6" s="11"/>
      <c r="G6" s="12"/>
      <c r="I6" s="11"/>
      <c r="J6" s="13"/>
      <c r="K6" s="13"/>
      <c r="L6" s="11"/>
      <c r="O6" s="12"/>
      <c r="P6" s="12"/>
      <c r="Q6" s="12"/>
      <c r="R6" s="12"/>
      <c r="V6" s="12"/>
      <c r="W6" s="12"/>
      <c r="X6" s="12"/>
      <c r="Y6" s="12"/>
      <c r="AC6" s="12"/>
      <c r="AD6" s="12"/>
      <c r="AE6" s="12"/>
      <c r="AF6" s="12"/>
      <c r="AJ6" s="12"/>
      <c r="AK6" s="12"/>
      <c r="AL6" s="12"/>
      <c r="AM6" s="12"/>
      <c r="AQ6" s="12"/>
      <c r="AR6" s="12"/>
      <c r="AS6" s="12"/>
      <c r="AT6" s="12"/>
      <c r="AX6" s="12"/>
      <c r="AY6" s="12"/>
      <c r="AZ6" s="12"/>
      <c r="BA6" s="12"/>
      <c r="BE6" s="12"/>
      <c r="BF6" s="12"/>
      <c r="BG6" s="12"/>
      <c r="BH6" s="12"/>
    </row>
    <row r="7" spans="2:61" outlineLevel="1">
      <c r="B7" t="s">
        <v>80</v>
      </c>
      <c r="C7" t="s">
        <v>81</v>
      </c>
      <c r="D7" t="s">
        <v>82</v>
      </c>
      <c r="E7" s="11">
        <v>6</v>
      </c>
      <c r="G7" s="12">
        <f>SUM(G8:G11)</f>
        <v>1</v>
      </c>
      <c r="I7" s="11">
        <f t="shared" ref="I7:I15" si="0">+SUMIF($N$3:$ZZ$3,I$3,$N7:$ZZ7)</f>
        <v>0</v>
      </c>
      <c r="J7" s="13" cm="1">
        <f t="array" ref="J7">MAX(IF($N$3:$EH$3=$J$3,N7:EH7))</f>
        <v>0</v>
      </c>
      <c r="K7" s="13" cm="1">
        <f t="array" ref="K7">MAX(IF($N$3:$EH$3=$J$3,N7:EH7))</f>
        <v>0</v>
      </c>
      <c r="L7" s="11"/>
      <c r="O7" s="12"/>
      <c r="P7" s="12"/>
      <c r="Q7" s="12"/>
      <c r="R7" s="12"/>
      <c r="V7" s="12"/>
      <c r="W7" s="12"/>
      <c r="X7" s="12"/>
      <c r="Y7" s="12"/>
      <c r="AC7" s="12"/>
      <c r="AD7" s="12"/>
      <c r="AE7" s="12"/>
      <c r="AF7" s="12"/>
      <c r="AJ7" s="12"/>
      <c r="AK7" s="12"/>
      <c r="AL7" s="12"/>
      <c r="AM7" s="12"/>
      <c r="AQ7" s="12"/>
      <c r="AR7" s="12">
        <v>1</v>
      </c>
      <c r="AS7" s="12"/>
      <c r="AT7" s="12">
        <v>1</v>
      </c>
      <c r="AX7" s="12"/>
      <c r="AY7" s="12"/>
      <c r="AZ7" s="12"/>
      <c r="BA7" s="12"/>
      <c r="BE7" s="12"/>
      <c r="BF7" s="12"/>
      <c r="BG7" s="12"/>
      <c r="BH7" s="12"/>
    </row>
    <row r="8" spans="2:61" outlineLevel="1">
      <c r="B8" t="s">
        <v>29</v>
      </c>
      <c r="E8" s="11"/>
      <c r="F8" t="s">
        <v>83</v>
      </c>
      <c r="G8" s="12">
        <v>0.25</v>
      </c>
      <c r="I8" s="11">
        <f t="shared" si="0"/>
        <v>0</v>
      </c>
      <c r="J8" s="13" cm="1">
        <f t="array" ref="J8">MAX(IF($N$3:$EH$3=$J$3,N8:EH8))</f>
        <v>0</v>
      </c>
      <c r="K8" s="13" cm="1">
        <f t="array" ref="K8">MAX(IF($N$3:$EH$3=$J$3,N8:EH8))</f>
        <v>0</v>
      </c>
      <c r="L8" s="11"/>
      <c r="O8" s="12"/>
      <c r="P8" s="12"/>
      <c r="Q8" s="12"/>
      <c r="R8" s="12"/>
      <c r="V8" s="12"/>
      <c r="W8" s="12"/>
      <c r="X8" s="12"/>
      <c r="Y8" s="12"/>
      <c r="AC8" s="12"/>
      <c r="AD8" s="12"/>
      <c r="AE8" s="12"/>
      <c r="AF8" s="12"/>
      <c r="AJ8" s="12"/>
      <c r="AK8" s="12"/>
      <c r="AL8" s="12"/>
      <c r="AM8" s="12"/>
      <c r="AQ8" s="12"/>
      <c r="AR8" s="12">
        <v>1</v>
      </c>
      <c r="AS8" s="12"/>
      <c r="AT8" s="12">
        <v>1</v>
      </c>
      <c r="AX8" s="12"/>
      <c r="AY8" s="12"/>
      <c r="AZ8" s="12"/>
      <c r="BA8" s="12"/>
      <c r="BE8" s="12"/>
      <c r="BF8" s="12"/>
      <c r="BG8" s="12"/>
      <c r="BH8" s="12"/>
    </row>
    <row r="9" spans="2:61" outlineLevel="1">
      <c r="B9" t="s">
        <v>29</v>
      </c>
      <c r="E9" s="11"/>
      <c r="F9" t="s">
        <v>84</v>
      </c>
      <c r="G9" s="12">
        <v>0.25</v>
      </c>
      <c r="I9" s="11">
        <f t="shared" si="0"/>
        <v>0</v>
      </c>
      <c r="J9" s="13" cm="1">
        <f t="array" ref="J9">MAX(IF($N$3:$EH$3=$J$3,N9:EH9))</f>
        <v>0</v>
      </c>
      <c r="K9" s="13" cm="1">
        <f t="array" ref="K9">MAX(IF($N$3:$EH$3=$J$3,N9:EH9))</f>
        <v>0</v>
      </c>
      <c r="L9" s="11"/>
      <c r="O9" s="12"/>
      <c r="P9" s="12"/>
      <c r="Q9" s="12"/>
      <c r="R9" s="12"/>
      <c r="V9" s="12"/>
      <c r="W9" s="12"/>
      <c r="X9" s="12"/>
      <c r="Y9" s="12"/>
      <c r="AC9" s="12"/>
      <c r="AD9" s="12"/>
      <c r="AE9" s="12"/>
      <c r="AF9" s="12"/>
      <c r="AJ9" s="12"/>
      <c r="AK9" s="12"/>
      <c r="AL9" s="12"/>
      <c r="AM9" s="12"/>
      <c r="AQ9" s="12"/>
      <c r="AR9" s="12">
        <v>1</v>
      </c>
      <c r="AS9" s="12"/>
      <c r="AT9" s="12">
        <v>1</v>
      </c>
      <c r="AX9" s="12"/>
      <c r="AY9" s="12"/>
      <c r="AZ9" s="12"/>
      <c r="BA9" s="12"/>
      <c r="BE9" s="12"/>
      <c r="BF9" s="12"/>
      <c r="BG9" s="12"/>
      <c r="BH9" s="12"/>
    </row>
    <row r="10" spans="2:61" outlineLevel="1">
      <c r="B10" t="s">
        <v>29</v>
      </c>
      <c r="E10" s="11"/>
      <c r="F10" t="s">
        <v>85</v>
      </c>
      <c r="G10" s="12">
        <v>0.25</v>
      </c>
      <c r="I10" s="11">
        <f t="shared" si="0"/>
        <v>0</v>
      </c>
      <c r="J10" s="13" cm="1">
        <f t="array" ref="J10">MAX(IF($N$3:$EH$3=$J$3,N10:EH10))</f>
        <v>0</v>
      </c>
      <c r="K10" s="13" cm="1">
        <f t="array" ref="K10">MAX(IF($N$3:$EH$3=$J$3,N10:EH10))</f>
        <v>0</v>
      </c>
      <c r="L10" s="11"/>
      <c r="O10" s="12"/>
      <c r="P10" s="12"/>
      <c r="Q10" s="12"/>
      <c r="R10" s="12"/>
      <c r="V10" s="12"/>
      <c r="W10" s="12"/>
      <c r="X10" s="12"/>
      <c r="Y10" s="12"/>
      <c r="AC10" s="12"/>
      <c r="AD10" s="12"/>
      <c r="AE10" s="12"/>
      <c r="AF10" s="12"/>
      <c r="AJ10" s="12"/>
      <c r="AK10" s="12"/>
      <c r="AL10" s="12"/>
      <c r="AM10" s="12"/>
      <c r="AQ10" s="12"/>
      <c r="AR10" s="12">
        <v>1</v>
      </c>
      <c r="AS10" s="12"/>
      <c r="AT10" s="12">
        <v>1</v>
      </c>
      <c r="AX10" s="12"/>
      <c r="AY10" s="12"/>
      <c r="AZ10" s="12"/>
      <c r="BA10" s="12"/>
      <c r="BE10" s="12"/>
      <c r="BF10" s="12"/>
      <c r="BG10" s="12"/>
      <c r="BH10" s="12"/>
    </row>
    <row r="11" spans="2:61" outlineLevel="1">
      <c r="B11" t="s">
        <v>29</v>
      </c>
      <c r="E11" s="11"/>
      <c r="F11" t="s">
        <v>86</v>
      </c>
      <c r="G11" s="12">
        <v>0.25</v>
      </c>
      <c r="I11" s="11">
        <f t="shared" si="0"/>
        <v>0</v>
      </c>
      <c r="J11" s="13" cm="1">
        <f t="array" ref="J11">MAX(IF($N$3:$EH$3=$J$3,N11:EH11))</f>
        <v>0</v>
      </c>
      <c r="K11" s="13" cm="1">
        <f t="array" ref="K11">MAX(IF($N$3:$EH$3=$J$3,N11:EH11))</f>
        <v>0</v>
      </c>
      <c r="L11" s="11"/>
      <c r="O11" s="12"/>
      <c r="P11" s="12"/>
      <c r="Q11" s="12"/>
      <c r="R11" s="12"/>
      <c r="V11" s="12"/>
      <c r="W11" s="12"/>
      <c r="X11" s="12"/>
      <c r="Y11" s="12"/>
      <c r="AC11" s="12"/>
      <c r="AD11" s="12"/>
      <c r="AE11" s="12"/>
      <c r="AF11" s="12"/>
      <c r="AJ11" s="12"/>
      <c r="AK11" s="12"/>
      <c r="AL11" s="12"/>
      <c r="AM11" s="12"/>
      <c r="AQ11" s="12"/>
      <c r="AR11" s="12">
        <v>1</v>
      </c>
      <c r="AS11" s="12"/>
      <c r="AT11" s="12">
        <v>1</v>
      </c>
      <c r="AX11" s="12"/>
      <c r="AY11" s="12"/>
      <c r="AZ11" s="12"/>
      <c r="BA11" s="12"/>
      <c r="BE11" s="12"/>
      <c r="BF11" s="12"/>
      <c r="BG11" s="12"/>
      <c r="BH11" s="12"/>
    </row>
    <row r="12" spans="2:61" outlineLevel="1">
      <c r="E12" s="11"/>
      <c r="G12" s="12"/>
      <c r="I12" s="11"/>
      <c r="J12" s="13"/>
      <c r="K12" s="13"/>
      <c r="L12" s="11"/>
      <c r="O12" s="12"/>
      <c r="P12" s="12"/>
      <c r="Q12" s="12"/>
      <c r="R12" s="12"/>
      <c r="V12" s="12"/>
      <c r="W12" s="12"/>
      <c r="X12" s="12"/>
      <c r="Y12" s="12"/>
      <c r="AC12" s="12"/>
      <c r="AD12" s="12"/>
      <c r="AE12" s="12"/>
      <c r="AF12" s="12"/>
      <c r="AJ12" s="12"/>
      <c r="AK12" s="12"/>
      <c r="AL12" s="12"/>
      <c r="AM12" s="12"/>
      <c r="AQ12" s="12"/>
      <c r="AR12" s="12"/>
      <c r="AS12" s="12"/>
      <c r="AT12" s="12"/>
      <c r="AX12" s="12"/>
      <c r="AY12" s="12"/>
      <c r="AZ12" s="12"/>
      <c r="BA12" s="12"/>
      <c r="BE12" s="12"/>
      <c r="BF12" s="12"/>
      <c r="BG12" s="12"/>
      <c r="BH12" s="12"/>
    </row>
    <row r="13" spans="2:61" outlineLevel="1">
      <c r="B13" t="s">
        <v>87</v>
      </c>
      <c r="C13" t="s">
        <v>88</v>
      </c>
      <c r="D13" t="s">
        <v>82</v>
      </c>
      <c r="E13" s="11">
        <v>6</v>
      </c>
      <c r="G13" s="12">
        <f>SUM(G14:G17)</f>
        <v>1</v>
      </c>
      <c r="I13" s="11">
        <f t="shared" si="0"/>
        <v>0</v>
      </c>
      <c r="J13" s="13" cm="1">
        <f t="array" ref="J13">MAX(IF($N$3:$EH$3=$J$3,N13:EH13))</f>
        <v>0</v>
      </c>
      <c r="K13" s="13" cm="1">
        <f t="array" ref="K13">MAX(IF($N$3:$EH$3=$J$3,N13:EH13))</f>
        <v>0</v>
      </c>
      <c r="L13" s="11"/>
      <c r="O13" s="12"/>
      <c r="P13" s="12"/>
      <c r="Q13" s="12"/>
      <c r="R13" s="12"/>
      <c r="V13" s="12"/>
      <c r="W13" s="12"/>
      <c r="X13" s="12"/>
      <c r="Y13" s="12"/>
      <c r="AC13" s="12"/>
      <c r="AD13" s="12"/>
      <c r="AE13" s="12"/>
      <c r="AF13" s="12"/>
      <c r="AJ13" s="12"/>
      <c r="AK13" s="12"/>
      <c r="AL13" s="12"/>
      <c r="AM13" s="12"/>
      <c r="AQ13" s="12"/>
      <c r="AR13" s="12">
        <v>1</v>
      </c>
      <c r="AS13" s="12"/>
      <c r="AT13" s="12">
        <v>1</v>
      </c>
      <c r="AX13" s="12"/>
      <c r="AY13" s="12"/>
      <c r="AZ13" s="12"/>
      <c r="BA13" s="12"/>
      <c r="BE13" s="12"/>
      <c r="BF13" s="12"/>
      <c r="BG13" s="12"/>
      <c r="BH13" s="12"/>
    </row>
    <row r="14" spans="2:61" outlineLevel="1">
      <c r="E14" s="11"/>
      <c r="F14" s="21" t="s">
        <v>89</v>
      </c>
      <c r="G14" s="12">
        <v>0.25</v>
      </c>
      <c r="I14" s="11">
        <f t="shared" si="0"/>
        <v>0</v>
      </c>
      <c r="J14" s="13" cm="1">
        <f t="array" ref="J14">MAX(IF($N$3:$EH$3=$J$3,N14:EH14))</f>
        <v>0</v>
      </c>
      <c r="K14" s="13" cm="1">
        <f t="array" ref="K14">MAX(IF($N$3:$EH$3=$J$3,N14:EH14))</f>
        <v>0</v>
      </c>
      <c r="L14" s="11"/>
      <c r="O14" s="12"/>
      <c r="P14" s="12"/>
      <c r="Q14" s="12"/>
      <c r="R14" s="12"/>
      <c r="V14" s="12"/>
      <c r="W14" s="12"/>
      <c r="X14" s="12"/>
      <c r="Y14" s="12"/>
      <c r="AC14" s="12"/>
      <c r="AD14" s="12"/>
      <c r="AE14" s="12"/>
      <c r="AF14" s="12"/>
      <c r="AJ14" s="12"/>
      <c r="AK14" s="12"/>
      <c r="AL14" s="12"/>
      <c r="AM14" s="12"/>
      <c r="AQ14" s="12"/>
      <c r="AR14" s="12">
        <v>1</v>
      </c>
      <c r="AS14" s="12"/>
      <c r="AT14" s="12">
        <v>1</v>
      </c>
      <c r="AX14" s="12"/>
      <c r="AY14" s="12"/>
      <c r="AZ14" s="12"/>
      <c r="BA14" s="12"/>
      <c r="BE14" s="12"/>
      <c r="BF14" s="12"/>
      <c r="BG14" s="12"/>
      <c r="BH14" s="12"/>
    </row>
    <row r="15" spans="2:61" outlineLevel="1">
      <c r="E15" s="11"/>
      <c r="F15" s="21" t="s">
        <v>90</v>
      </c>
      <c r="G15" s="12">
        <v>0.25</v>
      </c>
      <c r="I15" s="11">
        <f t="shared" si="0"/>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row>
    <row r="16" spans="2:61" outlineLevel="1">
      <c r="E16" s="11"/>
      <c r="F16" s="21" t="s">
        <v>91</v>
      </c>
      <c r="G16" s="12">
        <v>0.25</v>
      </c>
      <c r="I16" s="11">
        <f>+SUMIF($N$3:$ZZ$3,I$3,$N16:$ZZ16)</f>
        <v>0</v>
      </c>
      <c r="J16" s="13" cm="1">
        <f t="array" ref="J16">MAX(IF($N$3:$EH$3=$J$3,N16:EH16))</f>
        <v>0</v>
      </c>
      <c r="K16" s="13" cm="1">
        <f t="array" ref="K16">MAX(IF($N$3:$EH$3=$J$3,N16:EH16))</f>
        <v>0</v>
      </c>
      <c r="L16" s="11"/>
      <c r="O16" s="12"/>
      <c r="P16" s="12"/>
      <c r="Q16" s="12"/>
      <c r="R16" s="12"/>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row>
    <row r="17" spans="5:60">
      <c r="F17" s="21" t="s">
        <v>92</v>
      </c>
      <c r="G17" s="12">
        <v>0.25</v>
      </c>
      <c r="I17" s="11">
        <f>+SUMIF($N$3:$ZZ$3,I$3,$N17:$ZZ17)</f>
        <v>0</v>
      </c>
      <c r="J17" s="13" cm="1">
        <f t="array" ref="J17">MAX(IF($N$3:$EH$3=$J$3,N17:EH17))</f>
        <v>0</v>
      </c>
      <c r="K17" s="13" cm="1">
        <f t="array" ref="K17">MAX(IF($N$3:$EH$3=$J$3,N17:EH17))</f>
        <v>0</v>
      </c>
      <c r="O17" s="9"/>
      <c r="V17" s="9"/>
      <c r="AC17" s="9"/>
      <c r="AJ17" s="9"/>
      <c r="AQ17" s="9"/>
      <c r="AX17" s="9"/>
      <c r="BE17" s="9"/>
    </row>
    <row r="18" spans="5:60">
      <c r="E18" s="11"/>
      <c r="G18" s="12"/>
      <c r="I18" s="14"/>
      <c r="J18" s="13"/>
      <c r="K18" s="13"/>
      <c r="L18" s="11"/>
      <c r="N18" s="14"/>
      <c r="U18" s="14"/>
      <c r="AB18" s="14"/>
      <c r="AI18" s="14"/>
      <c r="AP18" s="14"/>
    </row>
    <row r="19" spans="5:60" outlineLevel="1">
      <c r="E19" s="11"/>
      <c r="G19" s="12"/>
      <c r="I19" s="11"/>
      <c r="J19" s="13"/>
      <c r="K19" s="13"/>
      <c r="L19" s="11"/>
      <c r="O19" s="12"/>
      <c r="P19" s="12"/>
      <c r="Q19" s="12"/>
      <c r="R19" s="12"/>
      <c r="V19" s="12"/>
      <c r="W19" s="12"/>
      <c r="X19" s="12"/>
      <c r="Y19" s="12"/>
      <c r="AC19" s="12"/>
      <c r="AD19" s="12"/>
      <c r="AE19" s="12"/>
      <c r="AF19" s="12"/>
      <c r="AJ19" s="12"/>
      <c r="AK19" s="12"/>
      <c r="AL19" s="12"/>
      <c r="AM19" s="12"/>
      <c r="AQ19" s="12"/>
      <c r="AR19" s="12"/>
      <c r="AS19" s="12"/>
      <c r="AT19" s="12"/>
      <c r="AX19" s="12"/>
      <c r="AY19" s="12"/>
      <c r="AZ19" s="12"/>
      <c r="BA19" s="12"/>
      <c r="BE19" s="12"/>
      <c r="BF19" s="12"/>
      <c r="BG19" s="12"/>
      <c r="BH19" s="12"/>
    </row>
    <row r="20" spans="5:60" outlineLevel="1">
      <c r="E20" s="11"/>
      <c r="G20" s="12"/>
      <c r="I20" s="11"/>
      <c r="J20" s="13"/>
      <c r="K20" s="13"/>
      <c r="L20" s="11"/>
      <c r="O20" s="12"/>
      <c r="P20" s="12"/>
      <c r="Q20" s="12"/>
      <c r="R20" s="12"/>
      <c r="V20" s="12"/>
      <c r="W20" s="12"/>
      <c r="X20" s="12"/>
      <c r="Y20" s="12"/>
      <c r="AC20" s="12"/>
      <c r="AD20" s="12"/>
      <c r="AE20" s="12"/>
      <c r="AF20" s="12"/>
      <c r="AJ20" s="12"/>
      <c r="AK20" s="12"/>
      <c r="AL20" s="12"/>
      <c r="AM20" s="12"/>
      <c r="AQ20" s="12"/>
      <c r="AR20" s="12"/>
      <c r="AS20" s="12"/>
      <c r="AT20" s="12"/>
      <c r="AX20" s="12"/>
      <c r="AY20" s="12"/>
      <c r="AZ20" s="12"/>
      <c r="BA20" s="12"/>
      <c r="BE20" s="12"/>
      <c r="BF20" s="12"/>
      <c r="BG20" s="12"/>
      <c r="BH20" s="12"/>
    </row>
    <row r="21" spans="5:60" outlineLevel="1">
      <c r="E21" s="11"/>
      <c r="G21" s="12"/>
      <c r="I21" s="11"/>
      <c r="J21" s="13"/>
      <c r="K21" s="13"/>
      <c r="L21" s="11"/>
      <c r="O21" s="12"/>
      <c r="P21" s="12"/>
      <c r="Q21" s="12"/>
      <c r="R21" s="12"/>
      <c r="V21" s="12"/>
      <c r="W21" s="12"/>
      <c r="X21" s="12"/>
      <c r="Y21" s="12"/>
      <c r="AC21" s="12"/>
      <c r="AD21" s="12"/>
      <c r="AE21" s="12"/>
      <c r="AF21" s="12"/>
      <c r="AJ21" s="12"/>
      <c r="AK21" s="12"/>
      <c r="AL21" s="12"/>
      <c r="AM21" s="12"/>
      <c r="AQ21" s="12"/>
      <c r="AR21" s="12"/>
      <c r="AS21" s="12"/>
      <c r="AT21" s="12"/>
      <c r="AX21" s="12"/>
      <c r="AY21" s="12"/>
      <c r="AZ21" s="12"/>
      <c r="BA21" s="12"/>
      <c r="BE21" s="12"/>
      <c r="BF21" s="12"/>
      <c r="BG21" s="12"/>
      <c r="BH21" s="12"/>
    </row>
    <row r="22" spans="5:60" outlineLevel="1">
      <c r="E22" s="11"/>
      <c r="G22" s="12"/>
      <c r="I22" s="11"/>
      <c r="J22" s="13"/>
      <c r="K22" s="13"/>
      <c r="L22" s="11"/>
      <c r="O22" s="12"/>
      <c r="P22" s="12"/>
      <c r="Q22" s="12"/>
      <c r="R22" s="12"/>
      <c r="V22" s="12"/>
      <c r="W22" s="12"/>
      <c r="X22" s="12"/>
      <c r="Y22" s="12"/>
      <c r="AC22" s="12"/>
      <c r="AD22" s="12"/>
      <c r="AE22" s="12"/>
      <c r="AF22" s="12"/>
      <c r="AJ22" s="12"/>
      <c r="AK22" s="12"/>
      <c r="AL22" s="12"/>
      <c r="AM22" s="12"/>
      <c r="AQ22" s="12"/>
      <c r="AR22" s="12"/>
      <c r="AS22" s="12"/>
      <c r="AT22" s="12"/>
      <c r="AX22" s="12"/>
      <c r="AY22" s="12"/>
      <c r="AZ22" s="12"/>
      <c r="BA22" s="12"/>
      <c r="BE22" s="12"/>
      <c r="BF22" s="12"/>
      <c r="BG22" s="12"/>
      <c r="BH22" s="12"/>
    </row>
    <row r="23" spans="5:60" outlineLevel="1">
      <c r="E23" s="11"/>
      <c r="G23" s="12"/>
      <c r="I23" s="11"/>
      <c r="J23" s="13"/>
      <c r="K23" s="13"/>
      <c r="L23" s="11"/>
      <c r="O23" s="12"/>
      <c r="P23" s="12"/>
      <c r="Q23" s="12"/>
      <c r="R23" s="12"/>
      <c r="V23" s="12"/>
      <c r="W23" s="12"/>
      <c r="X23" s="12"/>
      <c r="Y23" s="12"/>
      <c r="AC23" s="12"/>
      <c r="AD23" s="12"/>
      <c r="AE23" s="12"/>
      <c r="AF23" s="12"/>
      <c r="AJ23" s="12"/>
      <c r="AK23" s="12"/>
      <c r="AL23" s="12"/>
      <c r="AM23" s="12"/>
      <c r="AQ23" s="12"/>
      <c r="AR23" s="12"/>
      <c r="AS23" s="12"/>
      <c r="AT23" s="12"/>
      <c r="AX23" s="12"/>
      <c r="AY23" s="12"/>
      <c r="AZ23" s="12"/>
      <c r="BA23" s="12"/>
      <c r="BE23" s="12"/>
      <c r="BF23" s="12"/>
      <c r="BG23" s="12"/>
      <c r="BH23" s="12"/>
    </row>
    <row r="24" spans="5:60" outlineLevel="1">
      <c r="E24" s="11"/>
      <c r="G24" s="12"/>
      <c r="I24" s="11"/>
      <c r="J24" s="13"/>
      <c r="K24" s="13"/>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E24" s="12"/>
      <c r="BF24" s="12"/>
      <c r="BG24" s="12"/>
      <c r="BH24" s="12"/>
    </row>
    <row r="26" spans="5:60">
      <c r="E26" s="11"/>
      <c r="G26" s="12"/>
      <c r="I26" s="14"/>
      <c r="J26" s="13"/>
      <c r="K26" s="13"/>
      <c r="L26" s="11"/>
      <c r="N26" s="14"/>
      <c r="U26" s="14"/>
      <c r="AB26" s="14"/>
      <c r="AI26" s="14"/>
      <c r="AP26" s="14"/>
    </row>
    <row r="27" spans="5:60" outlineLevel="1">
      <c r="E27" s="11"/>
      <c r="G27" s="12"/>
      <c r="I27" s="11"/>
      <c r="J27" s="13"/>
      <c r="K27" s="13"/>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row>
    <row r="28" spans="5:60" outlineLevel="1">
      <c r="E28" s="11"/>
      <c r="G28" s="12"/>
      <c r="I28" s="11"/>
      <c r="J28" s="13"/>
      <c r="K28" s="13"/>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row>
    <row r="29" spans="5:60" outlineLevel="1">
      <c r="E29" s="11"/>
      <c r="G29" s="12"/>
      <c r="I29" s="11"/>
      <c r="J29" s="13"/>
      <c r="K29" s="13"/>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row>
    <row r="30" spans="5:60" outlineLevel="1">
      <c r="E30" s="11"/>
      <c r="G30" s="12"/>
      <c r="I30" s="11"/>
      <c r="J30" s="13"/>
      <c r="K30" s="13"/>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row>
    <row r="31" spans="5:60" outlineLevel="1">
      <c r="E31" s="11"/>
      <c r="G31" s="12"/>
      <c r="I31" s="11"/>
      <c r="J31" s="13"/>
      <c r="K31" s="13"/>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row>
    <row r="32" spans="5:60" outlineLevel="1">
      <c r="E32" s="11"/>
      <c r="G32" s="12"/>
      <c r="I32" s="11"/>
      <c r="J32" s="13"/>
      <c r="K32" s="13"/>
      <c r="L32" s="11"/>
      <c r="O32" s="12"/>
      <c r="P32" s="12"/>
      <c r="Q32" s="12"/>
      <c r="R32" s="12"/>
      <c r="V32" s="12"/>
      <c r="W32" s="12"/>
      <c r="X32" s="12"/>
      <c r="Y32" s="12"/>
      <c r="AC32" s="12"/>
      <c r="AD32" s="12"/>
      <c r="AE32" s="12"/>
      <c r="AF32" s="12"/>
      <c r="AJ32" s="12"/>
      <c r="AK32" s="12"/>
      <c r="AL32" s="12"/>
      <c r="AM32" s="12"/>
      <c r="AQ32" s="12"/>
      <c r="AR32" s="12"/>
      <c r="AS32" s="12"/>
      <c r="AT32" s="12"/>
      <c r="AX32" s="12"/>
      <c r="AY32" s="12"/>
      <c r="AZ32" s="12"/>
      <c r="BA32" s="12"/>
      <c r="BE32" s="12"/>
      <c r="BF32" s="12"/>
      <c r="BG32" s="12"/>
      <c r="BH32" s="12"/>
    </row>
    <row r="33" spans="5:60" outlineLevel="1">
      <c r="E33" s="11"/>
      <c r="G33" s="12"/>
      <c r="I33" s="11"/>
      <c r="J33" s="13"/>
      <c r="K33" s="13"/>
      <c r="L33" s="11"/>
      <c r="O33" s="12"/>
      <c r="P33" s="12"/>
      <c r="Q33" s="12"/>
      <c r="R33" s="12"/>
      <c r="V33" s="12"/>
      <c r="W33" s="12"/>
      <c r="X33" s="12"/>
      <c r="Y33" s="12"/>
      <c r="AC33" s="12"/>
      <c r="AD33" s="12"/>
      <c r="AE33" s="12"/>
      <c r="AF33" s="12"/>
      <c r="AJ33" s="12"/>
      <c r="AK33" s="12"/>
      <c r="AL33" s="12"/>
      <c r="AM33" s="12"/>
      <c r="AQ33" s="12"/>
      <c r="AR33" s="12"/>
      <c r="AS33" s="12"/>
      <c r="AT33" s="12"/>
      <c r="AX33" s="12"/>
      <c r="AY33" s="12"/>
      <c r="AZ33" s="12"/>
      <c r="BA33" s="12"/>
      <c r="BE33" s="12"/>
      <c r="BF33" s="12"/>
      <c r="BG33" s="12"/>
      <c r="BH33" s="12"/>
    </row>
    <row r="34" spans="5:60" outlineLevel="1">
      <c r="E34" s="11"/>
      <c r="G34" s="12"/>
      <c r="I34" s="11"/>
      <c r="J34" s="13"/>
      <c r="K34" s="13"/>
      <c r="L34" s="11"/>
      <c r="O34" s="12"/>
      <c r="P34" s="12"/>
      <c r="Q34" s="12"/>
      <c r="R34" s="12"/>
      <c r="V34" s="12"/>
      <c r="W34" s="12"/>
      <c r="X34" s="12"/>
      <c r="Y34" s="12"/>
      <c r="AC34" s="12"/>
      <c r="AD34" s="12"/>
      <c r="AE34" s="12"/>
      <c r="AF34" s="12"/>
      <c r="AJ34" s="12"/>
      <c r="AK34" s="12"/>
      <c r="AL34" s="12"/>
      <c r="AM34" s="12"/>
      <c r="AQ34" s="12"/>
      <c r="AR34" s="12"/>
      <c r="AS34" s="12"/>
      <c r="AT34" s="12"/>
      <c r="AX34" s="12"/>
      <c r="AY34" s="12"/>
      <c r="AZ34" s="12"/>
      <c r="BA34" s="12"/>
      <c r="BE34" s="12"/>
      <c r="BF34" s="12"/>
      <c r="BG34" s="12"/>
      <c r="BH34" s="12"/>
    </row>
    <row r="35" spans="5:60" outlineLevel="1">
      <c r="E35" s="11"/>
      <c r="G35" s="12"/>
      <c r="I35" s="11"/>
      <c r="J35" s="13"/>
      <c r="K35" s="13"/>
      <c r="L35" s="11"/>
      <c r="O35" s="12"/>
      <c r="P35" s="12"/>
      <c r="Q35" s="12"/>
      <c r="R35" s="12"/>
      <c r="V35" s="12"/>
      <c r="W35" s="12"/>
      <c r="X35" s="12"/>
      <c r="Y35" s="12"/>
      <c r="AC35" s="12"/>
      <c r="AD35" s="12"/>
      <c r="AE35" s="12"/>
      <c r="AF35" s="12"/>
      <c r="AJ35" s="12"/>
      <c r="AK35" s="12"/>
      <c r="AL35" s="12"/>
      <c r="AM35" s="12"/>
      <c r="AQ35" s="12"/>
      <c r="AR35" s="12"/>
      <c r="AS35" s="12"/>
      <c r="AT35" s="12"/>
      <c r="AX35" s="12"/>
      <c r="AY35" s="12"/>
      <c r="AZ35" s="12"/>
      <c r="BA35" s="12"/>
      <c r="BE35" s="12"/>
      <c r="BF35" s="12"/>
      <c r="BG35" s="12"/>
      <c r="BH35" s="12"/>
    </row>
    <row r="36" spans="5:60" outlineLevel="1">
      <c r="E36" s="11"/>
      <c r="G36" s="12"/>
      <c r="I36" s="11"/>
      <c r="J36" s="13"/>
      <c r="K36" s="13"/>
      <c r="L36" s="11"/>
      <c r="O36" s="12"/>
      <c r="P36" s="12"/>
      <c r="Q36" s="12"/>
      <c r="R36" s="12"/>
      <c r="V36" s="12"/>
      <c r="W36" s="12"/>
      <c r="X36" s="12"/>
      <c r="Y36" s="12"/>
      <c r="AC36" s="12"/>
      <c r="AD36" s="12"/>
      <c r="AE36" s="12"/>
      <c r="AF36" s="12"/>
      <c r="AJ36" s="12"/>
      <c r="AK36" s="12"/>
      <c r="AL36" s="12"/>
      <c r="AM36" s="12"/>
      <c r="AQ36" s="12"/>
      <c r="AR36" s="12"/>
      <c r="AS36" s="12"/>
      <c r="AT36" s="12"/>
      <c r="AX36" s="12"/>
      <c r="AY36" s="12"/>
      <c r="AZ36" s="12"/>
      <c r="BA36" s="12"/>
      <c r="BE36" s="12"/>
      <c r="BF36" s="12"/>
      <c r="BG36" s="12"/>
      <c r="BH36" s="12"/>
    </row>
    <row r="37" spans="5:60" outlineLevel="1">
      <c r="E37" s="11"/>
      <c r="G37" s="12"/>
      <c r="I37" s="11"/>
      <c r="J37" s="13"/>
      <c r="K37" s="13"/>
      <c r="L37" s="11"/>
      <c r="O37" s="12"/>
      <c r="P37" s="12"/>
      <c r="Q37" s="12"/>
      <c r="R37" s="12"/>
      <c r="V37" s="12"/>
      <c r="W37" s="12"/>
      <c r="X37" s="12"/>
      <c r="Y37" s="12"/>
      <c r="AC37" s="12"/>
      <c r="AD37" s="12"/>
      <c r="AE37" s="12"/>
      <c r="AF37" s="12"/>
      <c r="AJ37" s="12"/>
      <c r="AK37" s="12"/>
      <c r="AL37" s="12"/>
      <c r="AM37" s="12"/>
      <c r="AQ37" s="12"/>
      <c r="AR37" s="12"/>
      <c r="AS37" s="12"/>
      <c r="AT37" s="12"/>
      <c r="AX37" s="12"/>
      <c r="AY37" s="12"/>
      <c r="AZ37" s="12"/>
      <c r="BA37" s="12"/>
      <c r="BE37" s="12"/>
      <c r="BF37" s="12"/>
      <c r="BG37" s="12"/>
      <c r="BH37" s="12"/>
    </row>
    <row r="38" spans="5:60" outlineLevel="1">
      <c r="E38" s="11"/>
      <c r="G38" s="12"/>
      <c r="I38" s="11"/>
      <c r="J38" s="13"/>
      <c r="K38" s="13"/>
      <c r="L38" s="11"/>
      <c r="O38" s="12"/>
      <c r="P38" s="12"/>
      <c r="Q38" s="12"/>
      <c r="R38" s="12"/>
      <c r="V38" s="12"/>
      <c r="W38" s="12"/>
      <c r="X38" s="12"/>
      <c r="Y38" s="12"/>
      <c r="AC38" s="12"/>
      <c r="AD38" s="12"/>
      <c r="AE38" s="12"/>
      <c r="AF38" s="12"/>
      <c r="AJ38" s="12"/>
      <c r="AK38" s="12"/>
      <c r="AL38" s="12"/>
      <c r="AM38" s="12"/>
      <c r="AQ38" s="12"/>
      <c r="AR38" s="12"/>
      <c r="AS38" s="12"/>
      <c r="AT38" s="12"/>
      <c r="AX38" s="12"/>
      <c r="AY38" s="12"/>
      <c r="AZ38" s="12"/>
      <c r="BA38" s="12"/>
      <c r="BE38" s="12"/>
      <c r="BF38" s="12"/>
      <c r="BG38" s="12"/>
      <c r="BH38" s="12"/>
    </row>
  </sheetData>
  <mergeCells count="8">
    <mergeCell ref="AW2:BB2"/>
    <mergeCell ref="BD2:BI2"/>
    <mergeCell ref="I2:L2"/>
    <mergeCell ref="N2:S2"/>
    <mergeCell ref="U2:Z2"/>
    <mergeCell ref="AB2:AG2"/>
    <mergeCell ref="AI2:AN2"/>
    <mergeCell ref="AP2:AU2"/>
  </mergeCells>
  <conditionalFormatting sqref="J6:K16">
    <cfRule type="colorScale" priority="122">
      <colorScale>
        <cfvo type="percent" val="0"/>
        <cfvo type="percent" val="100"/>
        <color rgb="FFFF231B"/>
        <color rgb="FF10FF07"/>
      </colorScale>
    </cfRule>
  </conditionalFormatting>
  <conditionalFormatting sqref="O19:O23 Q19:Q23 O5:O16">
    <cfRule type="expression" dxfId="133" priority="120">
      <formula>OR(IF(O5&lt;P5,TRUE),IF(AND(P5="",O5&lt;&gt;""),TRUE))</formula>
    </cfRule>
    <cfRule type="expression" dxfId="132" priority="121">
      <formula>IF(O5&gt;=P5,IF(O5="",FALSE,TRUE))</formula>
    </cfRule>
  </conditionalFormatting>
  <conditionalFormatting sqref="Q5:Q16">
    <cfRule type="expression" dxfId="131" priority="118">
      <formula>OR(IF(Q5&lt;R5,TRUE),IF(AND(R5="",Q5&lt;&gt;""),TRUE))</formula>
    </cfRule>
    <cfRule type="expression" dxfId="130" priority="119">
      <formula>IF(Q5&gt;=R5,IF(Q5="",FALSE,TRUE))</formula>
    </cfRule>
  </conditionalFormatting>
  <conditionalFormatting sqref="AJ29:AJ38">
    <cfRule type="expression" dxfId="129" priority="60">
      <formula>OR(IF(AJ29&lt;AK29,TRUE),IF(AND(AK29="",AJ29&lt;&gt;""),TRUE))</formula>
    </cfRule>
    <cfRule type="expression" dxfId="128" priority="61">
      <formula>IF(AJ29&gt;=AK29,IF(AJ29="",FALSE,TRUE))</formula>
    </cfRule>
  </conditionalFormatting>
  <conditionalFormatting sqref="AL29:AL38">
    <cfRule type="expression" dxfId="127" priority="58">
      <formula>OR(IF(AL29&lt;AM29,TRUE),IF(AND(AM29="",AL29&lt;&gt;""),TRUE))</formula>
    </cfRule>
    <cfRule type="expression" dxfId="126" priority="59">
      <formula>IF(AL29&gt;=AM29,IF(AL29="",FALSE,TRUE))</formula>
    </cfRule>
  </conditionalFormatting>
  <conditionalFormatting sqref="AQ19:AQ23 AS19:AS23 AQ5:AQ16">
    <cfRule type="expression" dxfId="125" priority="56">
      <formula>OR(IF(AQ5&lt;AR5,TRUE),IF(AND(AR5="",AQ5&lt;&gt;""),TRUE))</formula>
    </cfRule>
    <cfRule type="expression" dxfId="124" priority="57">
      <formula>IF(AQ5&gt;=AR5,IF(AQ5="",FALSE,TRUE))</formula>
    </cfRule>
  </conditionalFormatting>
  <conditionalFormatting sqref="AS5:AS16">
    <cfRule type="expression" dxfId="123" priority="54">
      <formula>OR(IF(AS5&lt;AT5,TRUE),IF(AND(AT5="",AS5&lt;&gt;""),TRUE))</formula>
    </cfRule>
    <cfRule type="expression" dxfId="122" priority="55">
      <formula>IF(AS5&gt;=AT5,IF(AS5="",FALSE,TRUE))</formula>
    </cfRule>
  </conditionalFormatting>
  <conditionalFormatting sqref="O27:O28">
    <cfRule type="expression" dxfId="121" priority="116">
      <formula>OR(IF(O27&lt;P27,TRUE),IF(AND(P27="",O27&lt;&gt;""),TRUE))</formula>
    </cfRule>
    <cfRule type="expression" dxfId="120" priority="117">
      <formula>IF(O27&gt;=P27,IF(O27="",FALSE,TRUE))</formula>
    </cfRule>
  </conditionalFormatting>
  <conditionalFormatting sqref="Q27:Q28">
    <cfRule type="expression" dxfId="119" priority="114">
      <formula>OR(IF(Q27&lt;R27,TRUE),IF(AND(R27="",Q27&lt;&gt;""),TRUE))</formula>
    </cfRule>
    <cfRule type="expression" dxfId="118" priority="115">
      <formula>IF(Q27&gt;=R27,IF(Q27="",FALSE,TRUE))</formula>
    </cfRule>
  </conditionalFormatting>
  <conditionalFormatting sqref="AZ24">
    <cfRule type="expression" dxfId="117" priority="30">
      <formula>OR(IF(AZ24&lt;BA24,TRUE),IF(AND(BA24="",AZ24&lt;&gt;""),TRUE))</formula>
    </cfRule>
    <cfRule type="expression" dxfId="116" priority="31">
      <formula>IF(AZ24&gt;=BA24,IF(AZ24="",FALSE,TRUE))</formula>
    </cfRule>
  </conditionalFormatting>
  <conditionalFormatting sqref="AX29:AX38">
    <cfRule type="expression" dxfId="115" priority="28">
      <formula>OR(IF(AX29&lt;AY29,TRUE),IF(AND(AY29="",AX29&lt;&gt;""),TRUE))</formula>
    </cfRule>
    <cfRule type="expression" dxfId="114" priority="29">
      <formula>IF(AX29&gt;=AY29,IF(AX29="",FALSE,TRUE))</formula>
    </cfRule>
  </conditionalFormatting>
  <conditionalFormatting sqref="AZ29:AZ38">
    <cfRule type="expression" dxfId="113" priority="26">
      <formula>OR(IF(AZ29&lt;BA29,TRUE),IF(AND(BA29="",AZ29&lt;&gt;""),TRUE))</formula>
    </cfRule>
    <cfRule type="expression" dxfId="112" priority="27">
      <formula>IF(AZ29&gt;=BA29,IF(AZ29="",FALSE,TRUE))</formula>
    </cfRule>
  </conditionalFormatting>
  <conditionalFormatting sqref="BE19:BE23 BG19:BG23 BE5:BE16">
    <cfRule type="expression" dxfId="111" priority="24">
      <formula>OR(IF(BE5&lt;BF5,TRUE),IF(AND(BF5="",BE5&lt;&gt;""),TRUE))</formula>
    </cfRule>
    <cfRule type="expression" dxfId="110" priority="25">
      <formula>IF(BE5&gt;=BF5,IF(BE5="",FALSE,TRUE))</formula>
    </cfRule>
  </conditionalFormatting>
  <conditionalFormatting sqref="BG5:BG16">
    <cfRule type="expression" dxfId="109" priority="22">
      <formula>OR(IF(BG5&lt;BH5,TRUE),IF(AND(BH5="",BG5&lt;&gt;""),TRUE))</formula>
    </cfRule>
    <cfRule type="expression" dxfId="108" priority="23">
      <formula>IF(BG5&gt;=BH5,IF(BG5="",FALSE,TRUE))</formula>
    </cfRule>
  </conditionalFormatting>
  <conditionalFormatting sqref="BE27:BE28">
    <cfRule type="expression" dxfId="107" priority="20">
      <formula>OR(IF(BE27&lt;BF27,TRUE),IF(AND(BF27="",BE27&lt;&gt;""),TRUE))</formula>
    </cfRule>
    <cfRule type="expression" dxfId="106" priority="21">
      <formula>IF(BE27&gt;=BF27,IF(BE27="",FALSE,TRUE))</formula>
    </cfRule>
  </conditionalFormatting>
  <conditionalFormatting sqref="Q29:Q38">
    <cfRule type="expression" dxfId="105" priority="106">
      <formula>OR(IF(Q29&lt;R29,TRUE),IF(AND(R29="",Q29&lt;&gt;""),TRUE))</formula>
    </cfRule>
    <cfRule type="expression" dxfId="104" priority="107">
      <formula>IF(Q29&gt;=R29,IF(Q29="",FALSE,TRUE))</formula>
    </cfRule>
  </conditionalFormatting>
  <conditionalFormatting sqref="O24">
    <cfRule type="expression" dxfId="103" priority="112">
      <formula>OR(IF(O24&lt;P24,TRUE),IF(AND(P24="",O24&lt;&gt;""),TRUE))</formula>
    </cfRule>
    <cfRule type="expression" dxfId="102" priority="113">
      <formula>IF(O24&gt;=P24,IF(O24="",FALSE,TRUE))</formula>
    </cfRule>
  </conditionalFormatting>
  <conditionalFormatting sqref="Q24">
    <cfRule type="expression" dxfId="101" priority="110">
      <formula>OR(IF(Q24&lt;R24,TRUE),IF(AND(R24="",Q24&lt;&gt;""),TRUE))</formula>
    </cfRule>
    <cfRule type="expression" dxfId="100" priority="111">
      <formula>IF(Q24&gt;=R24,IF(Q24="",FALSE,TRUE))</formula>
    </cfRule>
  </conditionalFormatting>
  <conditionalFormatting sqref="O29:O38">
    <cfRule type="expression" dxfId="99" priority="108">
      <formula>OR(IF(O29&lt;P29,TRUE),IF(AND(P29="",O29&lt;&gt;""),TRUE))</formula>
    </cfRule>
    <cfRule type="expression" dxfId="98" priority="109">
      <formula>IF(O29&gt;=P29,IF(O29="",FALSE,TRUE))</formula>
    </cfRule>
  </conditionalFormatting>
  <conditionalFormatting sqref="BG29:BG38">
    <cfRule type="expression" dxfId="97" priority="10">
      <formula>OR(IF(BG29&lt;BH29,TRUE),IF(AND(BH29="",BG29&lt;&gt;""),TRUE))</formula>
    </cfRule>
    <cfRule type="expression" dxfId="96" priority="11">
      <formula>IF(BG29&gt;=BH29,IF(BG29="",FALSE,TRUE))</formula>
    </cfRule>
  </conditionalFormatting>
  <conditionalFormatting sqref="V19:V23 X19:X23 V5:V16">
    <cfRule type="expression" dxfId="95" priority="104">
      <formula>OR(IF(V5&lt;W5,TRUE),IF(AND(W5="",V5&lt;&gt;""),TRUE))</formula>
    </cfRule>
    <cfRule type="expression" dxfId="94" priority="105">
      <formula>IF(V5&gt;=W5,IF(V5="",FALSE,TRUE))</formula>
    </cfRule>
  </conditionalFormatting>
  <conditionalFormatting sqref="X5:X16">
    <cfRule type="expression" dxfId="93" priority="102">
      <formula>OR(IF(X5&lt;Y5,TRUE),IF(AND(Y5="",X5&lt;&gt;""),TRUE))</formula>
    </cfRule>
    <cfRule type="expression" dxfId="92" priority="103">
      <formula>IF(X5&gt;=Y5,IF(X5="",FALSE,TRUE))</formula>
    </cfRule>
  </conditionalFormatting>
  <conditionalFormatting sqref="V27:V28">
    <cfRule type="expression" dxfId="91" priority="100">
      <formula>OR(IF(V27&lt;W27,TRUE),IF(AND(W27="",V27&lt;&gt;""),TRUE))</formula>
    </cfRule>
    <cfRule type="expression" dxfId="90" priority="101">
      <formula>IF(V27&gt;=W27,IF(V27="",FALSE,TRUE))</formula>
    </cfRule>
  </conditionalFormatting>
  <conditionalFormatting sqref="X27:X28">
    <cfRule type="expression" dxfId="89" priority="98">
      <formula>OR(IF(X27&lt;Y27,TRUE),IF(AND(Y27="",X27&lt;&gt;""),TRUE))</formula>
    </cfRule>
    <cfRule type="expression" dxfId="88" priority="99">
      <formula>IF(X27&gt;=Y27,IF(X27="",FALSE,TRUE))</formula>
    </cfRule>
  </conditionalFormatting>
  <conditionalFormatting sqref="X29:X38">
    <cfRule type="expression" dxfId="87" priority="90">
      <formula>OR(IF(X29&lt;Y29,TRUE),IF(AND(Y29="",X29&lt;&gt;""),TRUE))</formula>
    </cfRule>
    <cfRule type="expression" dxfId="86" priority="91">
      <formula>IF(X29&gt;=Y29,IF(X29="",FALSE,TRUE))</formula>
    </cfRule>
  </conditionalFormatting>
  <conditionalFormatting sqref="V24">
    <cfRule type="expression" dxfId="85" priority="96">
      <formula>OR(IF(V24&lt;W24,TRUE),IF(AND(W24="",V24&lt;&gt;""),TRUE))</formula>
    </cfRule>
    <cfRule type="expression" dxfId="84" priority="97">
      <formula>IF(V24&gt;=W24,IF(V24="",FALSE,TRUE))</formula>
    </cfRule>
  </conditionalFormatting>
  <conditionalFormatting sqref="X24">
    <cfRule type="expression" dxfId="83" priority="94">
      <formula>OR(IF(X24&lt;Y24,TRUE),IF(AND(Y24="",X24&lt;&gt;""),TRUE))</formula>
    </cfRule>
    <cfRule type="expression" dxfId="82" priority="95">
      <formula>IF(X24&gt;=Y24,IF(X24="",FALSE,TRUE))</formula>
    </cfRule>
  </conditionalFormatting>
  <conditionalFormatting sqref="V29:V38">
    <cfRule type="expression" dxfId="81" priority="92">
      <formula>OR(IF(V29&lt;W29,TRUE),IF(AND(W29="",V29&lt;&gt;""),TRUE))</formula>
    </cfRule>
    <cfRule type="expression" dxfId="80" priority="93">
      <formula>IF(V29&gt;=W29,IF(V29="",FALSE,TRUE))</formula>
    </cfRule>
  </conditionalFormatting>
  <conditionalFormatting sqref="AC19:AC23 AE19:AE23 AC5:AC16">
    <cfRule type="expression" dxfId="79" priority="88">
      <formula>OR(IF(AC5&lt;AD5,TRUE),IF(AND(AD5="",AC5&lt;&gt;""),TRUE))</formula>
    </cfRule>
    <cfRule type="expression" dxfId="78" priority="89">
      <formula>IF(AC5&gt;=AD5,IF(AC5="",FALSE,TRUE))</formula>
    </cfRule>
  </conditionalFormatting>
  <conditionalFormatting sqref="AE5:AE16">
    <cfRule type="expression" dxfId="77" priority="86">
      <formula>OR(IF(AE5&lt;AF5,TRUE),IF(AND(AF5="",AE5&lt;&gt;""),TRUE))</formula>
    </cfRule>
    <cfRule type="expression" dxfId="76" priority="87">
      <formula>IF(AE5&gt;=AF5,IF(AE5="",FALSE,TRUE))</formula>
    </cfRule>
  </conditionalFormatting>
  <conditionalFormatting sqref="AC27:AC28">
    <cfRule type="expression" dxfId="75" priority="84">
      <formula>OR(IF(AC27&lt;AD27,TRUE),IF(AND(AD27="",AC27&lt;&gt;""),TRUE))</formula>
    </cfRule>
    <cfRule type="expression" dxfId="74" priority="85">
      <formula>IF(AC27&gt;=AD27,IF(AC27="",FALSE,TRUE))</formula>
    </cfRule>
  </conditionalFormatting>
  <conditionalFormatting sqref="AE27:AE28">
    <cfRule type="expression" dxfId="73" priority="82">
      <formula>OR(IF(AE27&lt;AF27,TRUE),IF(AND(AF27="",AE27&lt;&gt;""),TRUE))</formula>
    </cfRule>
    <cfRule type="expression" dxfId="72" priority="83">
      <formula>IF(AE27&gt;=AF27,IF(AE27="",FALSE,TRUE))</formula>
    </cfRule>
  </conditionalFormatting>
  <conditionalFormatting sqref="AE29:AE38">
    <cfRule type="expression" dxfId="71" priority="74">
      <formula>OR(IF(AE29&lt;AF29,TRUE),IF(AND(AF29="",AE29&lt;&gt;""),TRUE))</formula>
    </cfRule>
    <cfRule type="expression" dxfId="70" priority="75">
      <formula>IF(AE29&gt;=AF29,IF(AE29="",FALSE,TRUE))</formula>
    </cfRule>
  </conditionalFormatting>
  <conditionalFormatting sqref="AC24">
    <cfRule type="expression" dxfId="69" priority="80">
      <formula>OR(IF(AC24&lt;AD24,TRUE),IF(AND(AD24="",AC24&lt;&gt;""),TRUE))</formula>
    </cfRule>
    <cfRule type="expression" dxfId="68" priority="81">
      <formula>IF(AC24&gt;=AD24,IF(AC24="",FALSE,TRUE))</formula>
    </cfRule>
  </conditionalFormatting>
  <conditionalFormatting sqref="AE24">
    <cfRule type="expression" dxfId="67" priority="78">
      <formula>OR(IF(AE24&lt;AF24,TRUE),IF(AND(AF24="",AE24&lt;&gt;""),TRUE))</formula>
    </cfRule>
    <cfRule type="expression" dxfId="66" priority="79">
      <formula>IF(AE24&gt;=AF24,IF(AE24="",FALSE,TRUE))</formula>
    </cfRule>
  </conditionalFormatting>
  <conditionalFormatting sqref="AC29:AC38">
    <cfRule type="expression" dxfId="65" priority="76">
      <formula>OR(IF(AC29&lt;AD29,TRUE),IF(AND(AD29="",AC29&lt;&gt;""),TRUE))</formula>
    </cfRule>
    <cfRule type="expression" dxfId="64" priority="77">
      <formula>IF(AC29&gt;=AD29,IF(AC29="",FALSE,TRUE))</formula>
    </cfRule>
  </conditionalFormatting>
  <conditionalFormatting sqref="AJ19:AJ23 AL19:AL23 AJ5:AJ16">
    <cfRule type="expression" dxfId="63" priority="72">
      <formula>OR(IF(AJ5&lt;AK5,TRUE),IF(AND(AK5="",AJ5&lt;&gt;""),TRUE))</formula>
    </cfRule>
    <cfRule type="expression" dxfId="62" priority="73">
      <formula>IF(AJ5&gt;=AK5,IF(AJ5="",FALSE,TRUE))</formula>
    </cfRule>
  </conditionalFormatting>
  <conditionalFormatting sqref="AL5:AL16">
    <cfRule type="expression" dxfId="61" priority="70">
      <formula>OR(IF(AL5&lt;AM5,TRUE),IF(AND(AM5="",AL5&lt;&gt;""),TRUE))</formula>
    </cfRule>
    <cfRule type="expression" dxfId="60" priority="71">
      <formula>IF(AL5&gt;=AM5,IF(AL5="",FALSE,TRUE))</formula>
    </cfRule>
  </conditionalFormatting>
  <conditionalFormatting sqref="AJ27:AJ28">
    <cfRule type="expression" dxfId="59" priority="68">
      <formula>OR(IF(AJ27&lt;AK27,TRUE),IF(AND(AK27="",AJ27&lt;&gt;""),TRUE))</formula>
    </cfRule>
    <cfRule type="expression" dxfId="58" priority="69">
      <formula>IF(AJ27&gt;=AK27,IF(AJ27="",FALSE,TRUE))</formula>
    </cfRule>
  </conditionalFormatting>
  <conditionalFormatting sqref="AL27:AL28">
    <cfRule type="expression" dxfId="57" priority="66">
      <formula>OR(IF(AL27&lt;AM27,TRUE),IF(AND(AM27="",AL27&lt;&gt;""),TRUE))</formula>
    </cfRule>
    <cfRule type="expression" dxfId="56" priority="67">
      <formula>IF(AL27&gt;=AM27,IF(AL27="",FALSE,TRUE))</formula>
    </cfRule>
  </conditionalFormatting>
  <conditionalFormatting sqref="AJ24">
    <cfRule type="expression" dxfId="55" priority="64">
      <formula>OR(IF(AJ24&lt;AK24,TRUE),IF(AND(AK24="",AJ24&lt;&gt;""),TRUE))</formula>
    </cfRule>
    <cfRule type="expression" dxfId="54" priority="65">
      <formula>IF(AJ24&gt;=AK24,IF(AJ24="",FALSE,TRUE))</formula>
    </cfRule>
  </conditionalFormatting>
  <conditionalFormatting sqref="AL24">
    <cfRule type="expression" dxfId="53" priority="62">
      <formula>OR(IF(AL24&lt;AM24,TRUE),IF(AND(AM24="",AL24&lt;&gt;""),TRUE))</formula>
    </cfRule>
    <cfRule type="expression" dxfId="52" priority="63">
      <formula>IF(AL24&gt;=AM24,IF(AL24="",FALSE,TRUE))</formula>
    </cfRule>
  </conditionalFormatting>
  <conditionalFormatting sqref="AQ27:AQ28">
    <cfRule type="expression" dxfId="51" priority="52">
      <formula>OR(IF(AQ27&lt;AR27,TRUE),IF(AND(AR27="",AQ27&lt;&gt;""),TRUE))</formula>
    </cfRule>
    <cfRule type="expression" dxfId="50" priority="53">
      <formula>IF(AQ27&gt;=AR27,IF(AQ27="",FALSE,TRUE))</formula>
    </cfRule>
  </conditionalFormatting>
  <conditionalFormatting sqref="AS27:AS28">
    <cfRule type="expression" dxfId="49" priority="50">
      <formula>OR(IF(AS27&lt;AT27,TRUE),IF(AND(AT27="",AS27&lt;&gt;""),TRUE))</formula>
    </cfRule>
    <cfRule type="expression" dxfId="48" priority="51">
      <formula>IF(AS27&gt;=AT27,IF(AS27="",FALSE,TRUE))</formula>
    </cfRule>
  </conditionalFormatting>
  <conditionalFormatting sqref="AS29:AS38">
    <cfRule type="expression" dxfId="47" priority="42">
      <formula>OR(IF(AS29&lt;AT29,TRUE),IF(AND(AT29="",AS29&lt;&gt;""),TRUE))</formula>
    </cfRule>
    <cfRule type="expression" dxfId="46" priority="43">
      <formula>IF(AS29&gt;=AT29,IF(AS29="",FALSE,TRUE))</formula>
    </cfRule>
  </conditionalFormatting>
  <conditionalFormatting sqref="AQ24">
    <cfRule type="expression" dxfId="45" priority="48">
      <formula>OR(IF(AQ24&lt;AR24,TRUE),IF(AND(AR24="",AQ24&lt;&gt;""),TRUE))</formula>
    </cfRule>
    <cfRule type="expression" dxfId="44" priority="49">
      <formula>IF(AQ24&gt;=AR24,IF(AQ24="",FALSE,TRUE))</formula>
    </cfRule>
  </conditionalFormatting>
  <conditionalFormatting sqref="AS24">
    <cfRule type="expression" dxfId="43" priority="46">
      <formula>OR(IF(AS24&lt;AT24,TRUE),IF(AND(AT24="",AS24&lt;&gt;""),TRUE))</formula>
    </cfRule>
    <cfRule type="expression" dxfId="42" priority="47">
      <formula>IF(AS24&gt;=AT24,IF(AS24="",FALSE,TRUE))</formula>
    </cfRule>
  </conditionalFormatting>
  <conditionalFormatting sqref="AQ29:AQ38">
    <cfRule type="expression" dxfId="41" priority="44">
      <formula>OR(IF(AQ29&lt;AR29,TRUE),IF(AND(AR29="",AQ29&lt;&gt;""),TRUE))</formula>
    </cfRule>
    <cfRule type="expression" dxfId="40" priority="45">
      <formula>IF(AQ29&gt;=AR29,IF(AQ29="",FALSE,TRUE))</formula>
    </cfRule>
  </conditionalFormatting>
  <conditionalFormatting sqref="AX19:AX23 AZ19:AZ23 AX5:AX16">
    <cfRule type="expression" dxfId="39" priority="40">
      <formula>OR(IF(AX5&lt;AY5,TRUE),IF(AND(AY5="",AX5&lt;&gt;""),TRUE))</formula>
    </cfRule>
    <cfRule type="expression" dxfId="38" priority="41">
      <formula>IF(AX5&gt;=AY5,IF(AX5="",FALSE,TRUE))</formula>
    </cfRule>
  </conditionalFormatting>
  <conditionalFormatting sqref="AZ5:AZ16">
    <cfRule type="expression" dxfId="37" priority="38">
      <formula>OR(IF(AZ5&lt;BA5,TRUE),IF(AND(BA5="",AZ5&lt;&gt;""),TRUE))</formula>
    </cfRule>
    <cfRule type="expression" dxfId="36" priority="39">
      <formula>IF(AZ5&gt;=BA5,IF(AZ5="",FALSE,TRUE))</formula>
    </cfRule>
  </conditionalFormatting>
  <conditionalFormatting sqref="AX27:AX28">
    <cfRule type="expression" dxfId="35" priority="36">
      <formula>OR(IF(AX27&lt;AY27,TRUE),IF(AND(AY27="",AX27&lt;&gt;""),TRUE))</formula>
    </cfRule>
    <cfRule type="expression" dxfId="34" priority="37">
      <formula>IF(AX27&gt;=AY27,IF(AX27="",FALSE,TRUE))</formula>
    </cfRule>
  </conditionalFormatting>
  <conditionalFormatting sqref="AZ27:AZ28">
    <cfRule type="expression" dxfId="33" priority="34">
      <formula>OR(IF(AZ27&lt;BA27,TRUE),IF(AND(BA27="",AZ27&lt;&gt;""),TRUE))</formula>
    </cfRule>
    <cfRule type="expression" dxfId="32" priority="35">
      <formula>IF(AZ27&gt;=BA27,IF(AZ27="",FALSE,TRUE))</formula>
    </cfRule>
  </conditionalFormatting>
  <conditionalFormatting sqref="AX24">
    <cfRule type="expression" dxfId="31" priority="32">
      <formula>OR(IF(AX24&lt;AY24,TRUE),IF(AND(AY24="",AX24&lt;&gt;""),TRUE))</formula>
    </cfRule>
    <cfRule type="expression" dxfId="30" priority="33">
      <formula>IF(AX24&gt;=AY24,IF(AX24="",FALSE,TRUE))</formula>
    </cfRule>
  </conditionalFormatting>
  <conditionalFormatting sqref="BG27:BG28">
    <cfRule type="expression" dxfId="29" priority="18">
      <formula>OR(IF(BG27&lt;BH27,TRUE),IF(AND(BH27="",BG27&lt;&gt;""),TRUE))</formula>
    </cfRule>
    <cfRule type="expression" dxfId="28" priority="19">
      <formula>IF(BG27&gt;=BH27,IF(BG27="",FALSE,TRUE))</formula>
    </cfRule>
  </conditionalFormatting>
  <conditionalFormatting sqref="BE24">
    <cfRule type="expression" dxfId="27" priority="16">
      <formula>OR(IF(BE24&lt;BF24,TRUE),IF(AND(BF24="",BE24&lt;&gt;""),TRUE))</formula>
    </cfRule>
    <cfRule type="expression" dxfId="26" priority="17">
      <formula>IF(BE24&gt;=BF24,IF(BE24="",FALSE,TRUE))</formula>
    </cfRule>
  </conditionalFormatting>
  <conditionalFormatting sqref="BG24">
    <cfRule type="expression" dxfId="25" priority="14">
      <formula>OR(IF(BG24&lt;BH24,TRUE),IF(AND(BH24="",BG24&lt;&gt;""),TRUE))</formula>
    </cfRule>
    <cfRule type="expression" dxfId="24" priority="15">
      <formula>IF(BG24&gt;=BH24,IF(BG24="",FALSE,TRUE))</formula>
    </cfRule>
  </conditionalFormatting>
  <conditionalFormatting sqref="BE29:BE38">
    <cfRule type="expression" dxfId="23" priority="12">
      <formula>OR(IF(BE29&lt;BF29,TRUE),IF(AND(BF29="",BE29&lt;&gt;""),TRUE))</formula>
    </cfRule>
    <cfRule type="expression" dxfId="22" priority="13">
      <formula>IF(BE29&gt;=BF29,IF(BE29="",FALSE,TRUE))</formula>
    </cfRule>
  </conditionalFormatting>
  <conditionalFormatting sqref="J5:J17">
    <cfRule type="colorScale" priority="9">
      <colorScale>
        <cfvo type="percent" val="0"/>
        <cfvo type="percent" val="100"/>
        <color rgb="FFFF231B"/>
        <color rgb="FF10FF07"/>
      </colorScale>
    </cfRule>
  </conditionalFormatting>
  <conditionalFormatting sqref="K5:K17">
    <cfRule type="colorScale" priority="8">
      <colorScale>
        <cfvo type="percent" val="0"/>
        <cfvo type="percent" val="100"/>
        <color rgb="FFFF231B"/>
        <color rgb="FF10FF07"/>
      </colorScale>
    </cfRule>
  </conditionalFormatting>
  <conditionalFormatting sqref="J28:K38">
    <cfRule type="colorScale" priority="7">
      <colorScale>
        <cfvo type="percent" val="0"/>
        <cfvo type="percent" val="100"/>
        <color rgb="FFFF231B"/>
        <color rgb="FF10FF07"/>
      </colorScale>
    </cfRule>
  </conditionalFormatting>
  <conditionalFormatting sqref="J27:J38">
    <cfRule type="colorScale" priority="6">
      <colorScale>
        <cfvo type="percent" val="0"/>
        <cfvo type="percent" val="100"/>
        <color rgb="FFFF231B"/>
        <color rgb="FF10FF07"/>
      </colorScale>
    </cfRule>
  </conditionalFormatting>
  <conditionalFormatting sqref="K27:K38">
    <cfRule type="colorScale" priority="5">
      <colorScale>
        <cfvo type="percent" val="0"/>
        <cfvo type="percent" val="100"/>
        <color rgb="FFFF231B"/>
        <color rgb="FF10FF07"/>
      </colorScale>
    </cfRule>
  </conditionalFormatting>
  <conditionalFormatting sqref="J20:K24">
    <cfRule type="colorScale" priority="4">
      <colorScale>
        <cfvo type="percent" val="0"/>
        <cfvo type="percent" val="100"/>
        <color rgb="FFFF231B"/>
        <color rgb="FF10FF07"/>
      </colorScale>
    </cfRule>
  </conditionalFormatting>
  <conditionalFormatting sqref="J19:J24">
    <cfRule type="colorScale" priority="3">
      <colorScale>
        <cfvo type="percent" val="0"/>
        <cfvo type="percent" val="100"/>
        <color rgb="FFFF231B"/>
        <color rgb="FF10FF07"/>
      </colorScale>
    </cfRule>
  </conditionalFormatting>
  <conditionalFormatting sqref="K19:K24">
    <cfRule type="colorScale" priority="2">
      <colorScale>
        <cfvo type="percent" val="0"/>
        <cfvo type="percent" val="100"/>
        <color rgb="FFFF231B"/>
        <color rgb="FF10FF07"/>
      </colorScale>
    </cfRule>
  </conditionalFormatting>
  <conditionalFormatting sqref="J17:K17">
    <cfRule type="colorScale" priority="1">
      <colorScale>
        <cfvo type="percent" val="0"/>
        <cfvo type="percent" val="100"/>
        <color rgb="FFFF231B"/>
        <color rgb="FF10FF07"/>
      </colorScale>
    </cfRule>
  </conditionalFormatting>
  <dataValidations count="1">
    <dataValidation type="list" allowBlank="1" showInputMessage="1" showErrorMessage="1" sqref="O19:R24 O5:R16 V27:Y38 V19:Y24 V5:Y16 AC27:AF38 AC19:AF24 AC5:AF16 AJ27:AM38 AJ19:AM24 AJ5:AM16 AQ27:AT38 AQ5:AT16 BE27:BH38 AQ19:AT24 AX19:BA24 AX5:BA16 AX27:BA38 BE19:BH24 BE5:BH16 O27:R38" xr:uid="{337F1AF6-AF25-476F-858C-6F78D996DF80}">
      <formula1>"10%,20%,30%,40%,50%,60%,70%,80%,90%,100%"</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2A2C1-BC64-4E88-A84F-935DCDF7A135}">
  <dimension ref="B1:CK31"/>
  <sheetViews>
    <sheetView showGridLines="0" tabSelected="1" zoomScaleNormal="100" workbookViewId="0">
      <selection activeCell="G6" sqref="G6"/>
    </sheetView>
  </sheetViews>
  <sheetFormatPr baseColWidth="10" defaultColWidth="8.8984375" defaultRowHeight="15.6" outlineLevelRow="1"/>
  <cols>
    <col min="2" max="2" width="27.19921875" bestFit="1" customWidth="1"/>
    <col min="3" max="3" width="30.69921875" bestFit="1" customWidth="1"/>
    <col min="4" max="4" width="13" bestFit="1" customWidth="1"/>
    <col min="5" max="5" width="4.8984375" bestFit="1" customWidth="1"/>
    <col min="6" max="6" width="48.8984375" customWidth="1"/>
    <col min="7" max="7" width="15.5" bestFit="1" customWidth="1"/>
    <col min="8" max="8" width="2.5" customWidth="1"/>
    <col min="10" max="10" width="12.5" bestFit="1" customWidth="1"/>
    <col min="11" max="11" width="14.8984375" bestFit="1" customWidth="1"/>
    <col min="12" max="12" width="12.59765625" bestFit="1" customWidth="1"/>
    <col min="13" max="13" width="2.5" customWidth="1"/>
    <col min="15" max="15" width="12.5" bestFit="1" customWidth="1"/>
    <col min="16" max="16" width="6.3984375" customWidth="1"/>
    <col min="17" max="17" width="14.8984375" bestFit="1" customWidth="1"/>
    <col min="18" max="18" width="6" customWidth="1"/>
    <col min="19" max="19" width="12.59765625" bestFit="1" customWidth="1"/>
    <col min="20" max="20" width="2.5" customWidth="1"/>
    <col min="22" max="22" width="12.5" bestFit="1" customWidth="1"/>
    <col min="23" max="23" width="6.3984375" customWidth="1"/>
    <col min="24" max="24" width="14.8984375" bestFit="1" customWidth="1"/>
    <col min="25" max="25" width="6" customWidth="1"/>
    <col min="26" max="26" width="12.59765625" bestFit="1" customWidth="1"/>
    <col min="27" max="27" width="2.5" customWidth="1"/>
    <col min="29" max="29" width="12.5" bestFit="1" customWidth="1"/>
    <col min="30" max="30" width="6.3984375" customWidth="1"/>
    <col min="31" max="31" width="14.8984375" bestFit="1" customWidth="1"/>
    <col min="32" max="32" width="6" customWidth="1"/>
    <col min="33" max="33" width="12.59765625" bestFit="1" customWidth="1"/>
    <col min="34" max="34" width="2.5" customWidth="1"/>
    <col min="36" max="36" width="12.5" bestFit="1" customWidth="1"/>
    <col min="37" max="37" width="6.3984375" customWidth="1"/>
    <col min="38" max="38" width="14.8984375" bestFit="1" customWidth="1"/>
    <col min="39" max="39" width="6" customWidth="1"/>
    <col min="40" max="40" width="12.59765625" bestFit="1" customWidth="1"/>
    <col min="41" max="41" width="2.5" customWidth="1"/>
    <col min="43" max="43" width="12.5" bestFit="1" customWidth="1"/>
    <col min="44" max="44" width="6.3984375" customWidth="1"/>
    <col min="45" max="45" width="14.8984375" bestFit="1" customWidth="1"/>
    <col min="46" max="46" width="6" customWidth="1"/>
    <col min="47" max="47" width="12.59765625" bestFit="1" customWidth="1"/>
    <col min="48" max="48" width="2.5" customWidth="1"/>
    <col min="50" max="50" width="12.5" bestFit="1" customWidth="1"/>
    <col min="51" max="51" width="6.3984375" customWidth="1"/>
    <col min="52" max="52" width="14.8984375" bestFit="1" customWidth="1"/>
    <col min="53" max="53" width="6" customWidth="1"/>
    <col min="54" max="54" width="12.59765625" bestFit="1" customWidth="1"/>
    <col min="55" max="55" width="2.5" customWidth="1"/>
    <col min="57" max="57" width="12.5" bestFit="1" customWidth="1"/>
    <col min="58" max="58" width="6.3984375" customWidth="1"/>
    <col min="59" max="59" width="14.8984375" bestFit="1" customWidth="1"/>
    <col min="60" max="60" width="6" customWidth="1"/>
    <col min="61" max="61" width="12.59765625" bestFit="1" customWidth="1"/>
    <col min="62" max="62" width="2.5" customWidth="1"/>
    <col min="64" max="64" width="12.5" bestFit="1" customWidth="1"/>
    <col min="65" max="65" width="6.3984375" customWidth="1"/>
    <col min="66" max="66" width="14.8984375" bestFit="1" customWidth="1"/>
    <col min="67" max="67" width="6" customWidth="1"/>
    <col min="68" max="68" width="12.59765625" bestFit="1" customWidth="1"/>
    <col min="71" max="71" width="12.5" bestFit="1" customWidth="1"/>
    <col min="72" max="72" width="6.3984375" customWidth="1"/>
    <col min="73" max="73" width="14.8984375" bestFit="1" customWidth="1"/>
    <col min="74" max="74" width="6" customWidth="1"/>
    <col min="75" max="75" width="12.59765625" bestFit="1" customWidth="1"/>
    <col min="78" max="78" width="12.5" bestFit="1" customWidth="1"/>
    <col min="79" max="79" width="6.3984375" customWidth="1"/>
    <col min="80" max="80" width="14.8984375" bestFit="1" customWidth="1"/>
    <col min="81" max="81" width="6" customWidth="1"/>
    <col min="82" max="82" width="12.59765625" bestFit="1" customWidth="1"/>
  </cols>
  <sheetData>
    <row r="1" spans="2:89" ht="33.6">
      <c r="B1" s="5" t="s">
        <v>0</v>
      </c>
      <c r="D1" s="5"/>
      <c r="G1" s="15" t="s">
        <v>46</v>
      </c>
      <c r="I1" s="15" t="s">
        <v>46</v>
      </c>
      <c r="J1" s="15" t="s">
        <v>46</v>
      </c>
      <c r="K1" s="15" t="s">
        <v>46</v>
      </c>
    </row>
    <row r="2" spans="2:89">
      <c r="I2" s="22" t="s">
        <v>28</v>
      </c>
      <c r="J2" s="22"/>
      <c r="K2" s="22"/>
      <c r="L2" s="22"/>
      <c r="N2" s="22" t="s">
        <v>111</v>
      </c>
      <c r="O2" s="22"/>
      <c r="P2" s="22"/>
      <c r="Q2" s="22"/>
      <c r="R2" s="22"/>
      <c r="S2" s="22"/>
      <c r="U2" s="22" t="s">
        <v>112</v>
      </c>
      <c r="V2" s="22"/>
      <c r="W2" s="22"/>
      <c r="X2" s="22"/>
      <c r="Y2" s="22"/>
      <c r="Z2" s="22"/>
      <c r="AB2" s="22" t="s">
        <v>113</v>
      </c>
      <c r="AC2" s="22"/>
      <c r="AD2" s="22"/>
      <c r="AE2" s="22"/>
      <c r="AF2" s="22"/>
      <c r="AG2" s="22"/>
      <c r="AI2" s="22" t="s">
        <v>114</v>
      </c>
      <c r="AJ2" s="22"/>
      <c r="AK2" s="22"/>
      <c r="AL2" s="22"/>
      <c r="AM2" s="22"/>
      <c r="AN2" s="22"/>
      <c r="AP2" s="22" t="s">
        <v>115</v>
      </c>
      <c r="AQ2" s="22"/>
      <c r="AR2" s="22"/>
      <c r="AS2" s="22"/>
      <c r="AT2" s="22"/>
      <c r="AU2" s="22"/>
      <c r="AW2" s="22" t="s">
        <v>116</v>
      </c>
      <c r="AX2" s="22"/>
      <c r="AY2" s="22"/>
      <c r="AZ2" s="22"/>
      <c r="BA2" s="22"/>
      <c r="BB2" s="22"/>
      <c r="BD2" s="22" t="s">
        <v>117</v>
      </c>
      <c r="BE2" s="22"/>
      <c r="BF2" s="22"/>
      <c r="BG2" s="22"/>
      <c r="BH2" s="22"/>
      <c r="BI2" s="22"/>
      <c r="BK2" s="22" t="s">
        <v>118</v>
      </c>
      <c r="BL2" s="22"/>
      <c r="BM2" s="22"/>
      <c r="BN2" s="22"/>
      <c r="BO2" s="22"/>
      <c r="BP2" s="22"/>
      <c r="BR2" s="22" t="s">
        <v>119</v>
      </c>
      <c r="BS2" s="22"/>
      <c r="BT2" s="22"/>
      <c r="BU2" s="22"/>
      <c r="BV2" s="22"/>
      <c r="BW2" s="22"/>
      <c r="BY2" s="22" t="s">
        <v>120</v>
      </c>
      <c r="BZ2" s="22"/>
      <c r="CA2" s="22"/>
      <c r="CB2" s="22"/>
      <c r="CC2" s="22"/>
      <c r="CD2" s="22"/>
      <c r="CF2" s="22" t="s">
        <v>121</v>
      </c>
      <c r="CG2" s="22"/>
      <c r="CH2" s="22"/>
      <c r="CI2" s="22"/>
      <c r="CJ2" s="22"/>
      <c r="CK2" s="22"/>
    </row>
    <row r="3" spans="2:89">
      <c r="B3" s="6" t="s">
        <v>27</v>
      </c>
      <c r="C3" s="6" t="s">
        <v>1</v>
      </c>
      <c r="D3" s="6" t="s">
        <v>25</v>
      </c>
      <c r="E3" s="20" t="s">
        <v>43</v>
      </c>
      <c r="F3" s="6" t="s">
        <v>30</v>
      </c>
      <c r="G3" s="6" t="s">
        <v>44</v>
      </c>
      <c r="I3" s="20" t="s">
        <v>12</v>
      </c>
      <c r="J3" s="20" t="s">
        <v>3</v>
      </c>
      <c r="K3" s="20" t="s">
        <v>4</v>
      </c>
      <c r="L3" s="20" t="s">
        <v>13</v>
      </c>
      <c r="N3" s="6" t="s">
        <v>12</v>
      </c>
      <c r="O3" s="6" t="s">
        <v>3</v>
      </c>
      <c r="P3" s="6" t="s">
        <v>45</v>
      </c>
      <c r="Q3" s="6" t="s">
        <v>4</v>
      </c>
      <c r="R3" s="6" t="s">
        <v>45</v>
      </c>
      <c r="S3" s="6" t="s">
        <v>13</v>
      </c>
      <c r="U3" s="6" t="s">
        <v>12</v>
      </c>
      <c r="V3" s="6" t="s">
        <v>3</v>
      </c>
      <c r="W3" s="6" t="s">
        <v>45</v>
      </c>
      <c r="X3" s="6" t="s">
        <v>4</v>
      </c>
      <c r="Y3" s="6" t="s">
        <v>45</v>
      </c>
      <c r="Z3" s="6" t="s">
        <v>13</v>
      </c>
      <c r="AB3" s="6" t="s">
        <v>12</v>
      </c>
      <c r="AC3" s="6" t="s">
        <v>3</v>
      </c>
      <c r="AD3" s="6" t="s">
        <v>45</v>
      </c>
      <c r="AE3" s="6" t="s">
        <v>4</v>
      </c>
      <c r="AF3" s="6" t="s">
        <v>45</v>
      </c>
      <c r="AG3" s="6" t="s">
        <v>13</v>
      </c>
      <c r="AI3" s="6" t="s">
        <v>12</v>
      </c>
      <c r="AJ3" s="6" t="s">
        <v>3</v>
      </c>
      <c r="AK3" s="6" t="s">
        <v>45</v>
      </c>
      <c r="AL3" s="6" t="s">
        <v>4</v>
      </c>
      <c r="AM3" s="6" t="s">
        <v>45</v>
      </c>
      <c r="AN3" s="6" t="s">
        <v>13</v>
      </c>
      <c r="AP3" s="6" t="s">
        <v>12</v>
      </c>
      <c r="AQ3" s="6" t="s">
        <v>3</v>
      </c>
      <c r="AR3" s="6" t="s">
        <v>45</v>
      </c>
      <c r="AS3" s="6" t="s">
        <v>4</v>
      </c>
      <c r="AT3" s="6" t="s">
        <v>45</v>
      </c>
      <c r="AU3" s="6" t="s">
        <v>13</v>
      </c>
      <c r="AW3" s="6" t="s">
        <v>12</v>
      </c>
      <c r="AX3" s="6" t="s">
        <v>3</v>
      </c>
      <c r="AY3" s="6" t="s">
        <v>45</v>
      </c>
      <c r="AZ3" s="6" t="s">
        <v>4</v>
      </c>
      <c r="BA3" s="6" t="s">
        <v>45</v>
      </c>
      <c r="BB3" s="6" t="s">
        <v>13</v>
      </c>
      <c r="BD3" s="6" t="s">
        <v>12</v>
      </c>
      <c r="BE3" s="6" t="s">
        <v>3</v>
      </c>
      <c r="BF3" s="6" t="s">
        <v>45</v>
      </c>
      <c r="BG3" s="6" t="s">
        <v>4</v>
      </c>
      <c r="BH3" s="6" t="s">
        <v>45</v>
      </c>
      <c r="BI3" s="6" t="s">
        <v>13</v>
      </c>
      <c r="BK3" s="6" t="s">
        <v>12</v>
      </c>
      <c r="BL3" s="6" t="s">
        <v>3</v>
      </c>
      <c r="BM3" s="6" t="s">
        <v>45</v>
      </c>
      <c r="BN3" s="6" t="s">
        <v>4</v>
      </c>
      <c r="BO3" s="6" t="s">
        <v>45</v>
      </c>
      <c r="BP3" s="6" t="s">
        <v>13</v>
      </c>
      <c r="BR3" s="6" t="s">
        <v>12</v>
      </c>
      <c r="BS3" s="6" t="s">
        <v>3</v>
      </c>
      <c r="BT3" s="6" t="s">
        <v>45</v>
      </c>
      <c r="BU3" s="6" t="s">
        <v>4</v>
      </c>
      <c r="BV3" s="6" t="s">
        <v>45</v>
      </c>
      <c r="BW3" s="6" t="s">
        <v>13</v>
      </c>
      <c r="BY3" s="6" t="s">
        <v>12</v>
      </c>
      <c r="BZ3" s="6" t="s">
        <v>3</v>
      </c>
      <c r="CA3" s="6" t="s">
        <v>45</v>
      </c>
      <c r="CB3" s="6" t="s">
        <v>4</v>
      </c>
      <c r="CC3" s="6" t="s">
        <v>45</v>
      </c>
      <c r="CD3" s="6" t="s">
        <v>13</v>
      </c>
      <c r="CF3" s="6" t="s">
        <v>12</v>
      </c>
      <c r="CG3" s="6" t="s">
        <v>3</v>
      </c>
      <c r="CH3" s="6" t="s">
        <v>45</v>
      </c>
      <c r="CI3" s="6" t="s">
        <v>4</v>
      </c>
      <c r="CJ3" s="6" t="s">
        <v>45</v>
      </c>
      <c r="CK3" s="6" t="s">
        <v>13</v>
      </c>
    </row>
    <row r="4" spans="2:89" s="9" customFormat="1">
      <c r="B4" s="23" t="s">
        <v>122</v>
      </c>
      <c r="C4" s="23" t="s">
        <v>123</v>
      </c>
      <c r="D4" s="23" t="s">
        <v>82</v>
      </c>
      <c r="E4" s="24"/>
      <c r="F4" s="23"/>
      <c r="G4" s="12">
        <f>SUM(G5:G9)</f>
        <v>1</v>
      </c>
      <c r="H4"/>
      <c r="I4" s="14">
        <f>+SUM(I5:I13)</f>
        <v>531</v>
      </c>
      <c r="J4" s="13">
        <f>+SUMPRODUCT(G5:G13,J5:J13)</f>
        <v>0</v>
      </c>
      <c r="K4" s="13">
        <f>+SUMPRODUCT(G5:G13,K5:K13)</f>
        <v>0</v>
      </c>
      <c r="L4" s="24"/>
      <c r="N4" s="23"/>
      <c r="O4" s="23"/>
      <c r="P4" s="23"/>
      <c r="Q4" s="23"/>
      <c r="R4" s="23"/>
      <c r="S4" s="23"/>
      <c r="U4" s="23"/>
      <c r="V4" s="23"/>
      <c r="W4" s="23"/>
      <c r="X4" s="23"/>
      <c r="Y4" s="23"/>
      <c r="Z4" s="23"/>
      <c r="AB4" s="23"/>
      <c r="AC4" s="23"/>
      <c r="AD4" s="23"/>
      <c r="AE4" s="23"/>
      <c r="AF4" s="23"/>
      <c r="AG4" s="23"/>
      <c r="AI4" s="23"/>
      <c r="AJ4" s="23"/>
      <c r="AK4" s="23"/>
      <c r="AL4" s="23"/>
      <c r="AM4" s="23"/>
      <c r="AN4" s="23"/>
      <c r="AP4" s="23"/>
      <c r="AQ4" s="23"/>
      <c r="AR4" s="23"/>
      <c r="AS4" s="23"/>
      <c r="AT4" s="23"/>
      <c r="AU4" s="23"/>
      <c r="AW4" s="23"/>
      <c r="AX4" s="23"/>
      <c r="AY4" s="23"/>
      <c r="AZ4" s="23"/>
      <c r="BA4" s="23"/>
      <c r="BB4" s="23"/>
      <c r="BD4" s="23"/>
      <c r="BE4" s="23"/>
      <c r="BF4" s="23"/>
      <c r="BG4" s="23"/>
      <c r="BH4" s="23"/>
      <c r="BI4" s="23"/>
      <c r="BK4" s="23"/>
      <c r="BL4" s="23"/>
      <c r="BM4" s="23"/>
      <c r="BN4" s="23"/>
      <c r="BO4" s="23"/>
      <c r="BP4" s="23"/>
      <c r="BR4" s="23"/>
      <c r="BS4" s="23"/>
      <c r="BT4" s="23"/>
      <c r="BU4" s="23"/>
      <c r="BV4" s="23"/>
      <c r="BW4" s="23"/>
      <c r="BY4" s="23"/>
      <c r="BZ4" s="23"/>
      <c r="CA4" s="23"/>
      <c r="CB4" s="23"/>
      <c r="CC4" s="23"/>
      <c r="CD4" s="23"/>
      <c r="CF4" s="23"/>
      <c r="CG4" s="23"/>
      <c r="CH4" s="23"/>
      <c r="CI4" s="23"/>
      <c r="CJ4" s="23"/>
      <c r="CK4" s="23"/>
    </row>
    <row r="5" spans="2:89" s="9" customFormat="1">
      <c r="B5" s="25" t="s">
        <v>124</v>
      </c>
      <c r="C5" s="23"/>
      <c r="D5" s="23"/>
      <c r="E5" s="24"/>
      <c r="F5" s="23"/>
      <c r="G5" s="27">
        <v>0.2</v>
      </c>
      <c r="H5"/>
      <c r="I5" s="11">
        <v>61</v>
      </c>
      <c r="J5" s="13" cm="1">
        <f t="array" ref="J5">MAX(IF($N$3:$EH$3=$J$3,N5:EH5))</f>
        <v>0</v>
      </c>
      <c r="K5" s="13" cm="1">
        <f t="array" ref="K5">MAX(IF($N$3:$EH$3=$J$3,N5:EH5))</f>
        <v>0</v>
      </c>
      <c r="L5" s="24">
        <f>24*3</f>
        <v>72</v>
      </c>
      <c r="N5"/>
      <c r="O5" s="12"/>
      <c r="P5" s="12"/>
      <c r="Q5" s="12"/>
      <c r="R5" s="12"/>
      <c r="S5"/>
      <c r="U5" s="23"/>
      <c r="V5" s="23"/>
      <c r="W5" s="23"/>
      <c r="X5" s="23"/>
      <c r="Y5" s="23"/>
      <c r="Z5" s="23"/>
      <c r="AB5" s="23"/>
      <c r="AC5" s="23"/>
      <c r="AD5" s="23"/>
      <c r="AE5" s="23"/>
      <c r="AF5" s="23"/>
      <c r="AG5" s="23"/>
      <c r="AI5" s="23"/>
      <c r="AJ5" s="23"/>
      <c r="AK5" s="23"/>
      <c r="AL5" s="23"/>
      <c r="AM5" s="23"/>
      <c r="AN5" s="23"/>
      <c r="AP5" s="23"/>
      <c r="AQ5" s="23"/>
      <c r="AR5" s="23"/>
      <c r="AS5" s="23"/>
      <c r="AT5" s="23"/>
      <c r="AU5" s="23"/>
      <c r="AW5" s="23"/>
      <c r="AX5" s="23"/>
      <c r="AY5" s="23"/>
      <c r="AZ5" s="23"/>
      <c r="BA5" s="23"/>
      <c r="BB5" s="23"/>
      <c r="BD5" s="23"/>
      <c r="BE5" s="23"/>
      <c r="BF5" s="23"/>
      <c r="BG5" s="23"/>
      <c r="BH5" s="23"/>
      <c r="BI5" s="23"/>
      <c r="BK5" s="23"/>
      <c r="BL5" s="23"/>
      <c r="BM5" s="23"/>
      <c r="BN5" s="23"/>
      <c r="BO5" s="23"/>
      <c r="BP5" s="23"/>
      <c r="BR5" s="23"/>
      <c r="BS5" s="23"/>
      <c r="BT5" s="23"/>
      <c r="BU5" s="23"/>
      <c r="BV5" s="23"/>
      <c r="BW5" s="23"/>
      <c r="BY5" s="23"/>
      <c r="BZ5" s="23"/>
      <c r="CA5" s="23"/>
      <c r="CB5" s="23"/>
      <c r="CC5" s="23"/>
      <c r="CD5" s="23"/>
      <c r="CF5" s="23"/>
      <c r="CG5" s="23"/>
      <c r="CH5" s="23"/>
      <c r="CI5" s="23"/>
      <c r="CJ5" s="23"/>
      <c r="CK5" s="23"/>
    </row>
    <row r="6" spans="2:89" s="9" customFormat="1">
      <c r="B6" s="25" t="s">
        <v>125</v>
      </c>
      <c r="C6" s="23"/>
      <c r="D6" s="23"/>
      <c r="E6" s="24"/>
      <c r="F6" s="23"/>
      <c r="G6" s="27">
        <v>0.2</v>
      </c>
      <c r="H6"/>
      <c r="I6" s="11">
        <v>400</v>
      </c>
      <c r="J6" s="13" cm="1">
        <f t="array" ref="J6">MAX(IF($N$3:$EH$3=$J$3,N6:EH6))</f>
        <v>0</v>
      </c>
      <c r="K6" s="13" cm="1">
        <f t="array" ref="K6">MAX(IF($N$3:$EH$3=$J$3,N6:EH6))</f>
        <v>0</v>
      </c>
      <c r="L6" s="24"/>
      <c r="N6"/>
      <c r="O6" s="12"/>
      <c r="P6" s="12"/>
      <c r="Q6" s="12"/>
      <c r="R6" s="12"/>
      <c r="S6"/>
      <c r="U6" s="23"/>
      <c r="V6" s="23"/>
      <c r="W6" s="23"/>
      <c r="X6" s="23"/>
      <c r="Y6" s="23"/>
      <c r="Z6" s="23"/>
      <c r="AB6" s="23"/>
      <c r="AC6" s="23"/>
      <c r="AD6" s="23"/>
      <c r="AE6" s="23"/>
      <c r="AF6" s="23"/>
      <c r="AG6" s="23"/>
      <c r="AI6" s="23"/>
      <c r="AJ6" s="23"/>
      <c r="AK6" s="23"/>
      <c r="AL6" s="23"/>
      <c r="AM6" s="23"/>
      <c r="AN6" s="23"/>
      <c r="AP6" s="23"/>
      <c r="AQ6" s="23"/>
      <c r="AR6" s="23"/>
      <c r="AS6" s="23"/>
      <c r="AT6" s="23"/>
      <c r="AU6" s="23"/>
      <c r="AW6" s="23"/>
      <c r="AX6" s="23"/>
      <c r="AY6" s="23"/>
      <c r="AZ6" s="23"/>
      <c r="BA6" s="23"/>
      <c r="BB6" s="23"/>
      <c r="BD6" s="23"/>
      <c r="BE6" s="23"/>
      <c r="BF6" s="23"/>
      <c r="BG6" s="23"/>
      <c r="BH6" s="23"/>
      <c r="BI6" s="23"/>
      <c r="BK6" s="23"/>
      <c r="BL6" s="23"/>
      <c r="BM6" s="23"/>
      <c r="BN6" s="23"/>
      <c r="BO6" s="23"/>
      <c r="BP6" s="23"/>
      <c r="BR6" s="23"/>
      <c r="BS6" s="23"/>
      <c r="BT6" s="23"/>
      <c r="BU6" s="23"/>
      <c r="BV6" s="23"/>
      <c r="BW6" s="23"/>
      <c r="BY6" s="23"/>
      <c r="BZ6" s="23"/>
      <c r="CA6" s="23"/>
      <c r="CB6" s="23"/>
      <c r="CC6" s="23"/>
      <c r="CD6" s="23"/>
      <c r="CF6" s="23"/>
      <c r="CG6" s="23"/>
      <c r="CH6" s="23"/>
      <c r="CI6" s="23"/>
      <c r="CJ6" s="23"/>
      <c r="CK6" s="23"/>
    </row>
    <row r="7" spans="2:89" s="9" customFormat="1">
      <c r="B7" s="25" t="s">
        <v>126</v>
      </c>
      <c r="C7" s="23"/>
      <c r="D7" s="23"/>
      <c r="E7" s="24"/>
      <c r="F7" s="23"/>
      <c r="G7" s="27">
        <v>0.2</v>
      </c>
      <c r="H7"/>
      <c r="I7" s="11">
        <v>10</v>
      </c>
      <c r="J7" s="13" cm="1">
        <f t="array" ref="J7">MAX(IF($N$3:$EH$3=$J$3,N7:EH7))</f>
        <v>0</v>
      </c>
      <c r="K7" s="13" cm="1">
        <f t="array" ref="K7">MAX(IF($N$3:$EH$3=$J$3,N7:EH7))</f>
        <v>0</v>
      </c>
      <c r="L7" s="24"/>
      <c r="N7"/>
      <c r="O7" s="12"/>
      <c r="P7" s="12"/>
      <c r="Q7" s="12"/>
      <c r="R7" s="12"/>
      <c r="S7"/>
      <c r="U7" s="23"/>
      <c r="V7" s="23"/>
      <c r="W7" s="23"/>
      <c r="X7" s="23"/>
      <c r="Y7" s="23"/>
      <c r="Z7" s="23"/>
      <c r="AB7" s="23"/>
      <c r="AC7" s="23"/>
      <c r="AD7" s="23"/>
      <c r="AE7" s="23"/>
      <c r="AF7" s="23"/>
      <c r="AG7" s="23"/>
      <c r="AI7" s="23"/>
      <c r="AJ7" s="23"/>
      <c r="AK7" s="23"/>
      <c r="AL7" s="23"/>
      <c r="AM7" s="23"/>
      <c r="AN7" s="23"/>
      <c r="AP7" s="23"/>
      <c r="AQ7" s="23"/>
      <c r="AR7" s="23"/>
      <c r="AS7" s="23"/>
      <c r="AT7" s="23"/>
      <c r="AU7" s="23"/>
      <c r="AW7" s="23"/>
      <c r="AX7" s="23"/>
      <c r="AY7" s="23"/>
      <c r="AZ7" s="23"/>
      <c r="BA7" s="23"/>
      <c r="BB7" s="23"/>
      <c r="BD7" s="23"/>
      <c r="BE7" s="23"/>
      <c r="BF7" s="23"/>
      <c r="BG7" s="23"/>
      <c r="BH7" s="23"/>
      <c r="BI7" s="23"/>
      <c r="BK7" s="23"/>
      <c r="BL7" s="23"/>
      <c r="BM7" s="23"/>
      <c r="BN7" s="23"/>
      <c r="BO7" s="23"/>
      <c r="BP7" s="23"/>
      <c r="BR7" s="23"/>
      <c r="BS7" s="23"/>
      <c r="BT7" s="23"/>
      <c r="BU7" s="23"/>
      <c r="BV7" s="23"/>
      <c r="BW7" s="23"/>
      <c r="BY7" s="23"/>
      <c r="BZ7" s="23"/>
      <c r="CA7" s="23"/>
      <c r="CB7" s="23"/>
      <c r="CC7" s="23"/>
      <c r="CD7" s="23"/>
      <c r="CF7" s="23"/>
      <c r="CG7" s="23"/>
      <c r="CH7" s="23"/>
      <c r="CI7" s="23"/>
      <c r="CJ7" s="23"/>
      <c r="CK7" s="23"/>
    </row>
    <row r="8" spans="2:89" s="9" customFormat="1">
      <c r="B8" s="25" t="s">
        <v>127</v>
      </c>
      <c r="C8" s="23"/>
      <c r="D8" s="23"/>
      <c r="E8" s="24"/>
      <c r="F8" s="23" t="s">
        <v>129</v>
      </c>
      <c r="G8" s="27">
        <v>0.2</v>
      </c>
      <c r="H8"/>
      <c r="I8" s="11">
        <v>30</v>
      </c>
      <c r="J8" s="13" cm="1">
        <f t="array" ref="J8">MAX(IF($N$3:$EH$3=$J$3,N8:EH8))</f>
        <v>0</v>
      </c>
      <c r="K8" s="13" cm="1">
        <f t="array" ref="K8">MAX(IF($N$3:$EH$3=$J$3,N8:EH8))</f>
        <v>0</v>
      </c>
      <c r="L8" s="24"/>
      <c r="N8"/>
      <c r="O8" s="12"/>
      <c r="P8" s="12"/>
      <c r="Q8" s="12"/>
      <c r="R8" s="12"/>
      <c r="S8"/>
      <c r="U8" s="23"/>
      <c r="V8" s="23"/>
      <c r="W8" s="23"/>
      <c r="X8" s="23"/>
      <c r="Y8" s="23"/>
      <c r="Z8" s="23"/>
      <c r="AB8" s="23"/>
      <c r="AC8" s="23"/>
      <c r="AD8" s="23"/>
      <c r="AE8" s="23"/>
      <c r="AF8" s="23"/>
      <c r="AG8" s="23"/>
      <c r="AI8" s="23"/>
      <c r="AJ8" s="23"/>
      <c r="AK8" s="23"/>
      <c r="AL8" s="23"/>
      <c r="AM8" s="23"/>
      <c r="AN8" s="23"/>
      <c r="AP8" s="23"/>
      <c r="AQ8" s="23"/>
      <c r="AR8" s="23"/>
      <c r="AS8" s="23"/>
      <c r="AT8" s="23"/>
      <c r="AU8" s="23"/>
      <c r="AW8" s="23"/>
      <c r="AX8" s="23"/>
      <c r="AY8" s="23"/>
      <c r="AZ8" s="23"/>
      <c r="BA8" s="23"/>
      <c r="BB8" s="23"/>
      <c r="BD8" s="23"/>
      <c r="BE8" s="23"/>
      <c r="BF8" s="23"/>
      <c r="BG8" s="23"/>
      <c r="BH8" s="23"/>
      <c r="BI8" s="23"/>
      <c r="BK8" s="23"/>
      <c r="BL8" s="23"/>
      <c r="BM8" s="23"/>
      <c r="BN8" s="23"/>
      <c r="BO8" s="23"/>
      <c r="BP8" s="23"/>
      <c r="BR8" s="23"/>
      <c r="BS8" s="23"/>
      <c r="BT8" s="23"/>
      <c r="BU8" s="23"/>
      <c r="BV8" s="23"/>
      <c r="BW8" s="23"/>
      <c r="BY8" s="23"/>
      <c r="BZ8" s="23"/>
      <c r="CA8" s="23"/>
      <c r="CB8" s="23"/>
      <c r="CC8" s="23"/>
      <c r="CD8" s="23"/>
      <c r="CF8" s="23"/>
      <c r="CG8" s="23"/>
      <c r="CH8" s="23"/>
      <c r="CI8" s="23"/>
      <c r="CJ8" s="23"/>
      <c r="CK8" s="23"/>
    </row>
    <row r="9" spans="2:89" s="9" customFormat="1">
      <c r="B9" s="25" t="s">
        <v>128</v>
      </c>
      <c r="C9" s="23"/>
      <c r="D9" s="23"/>
      <c r="E9" s="24"/>
      <c r="F9" s="23" t="s">
        <v>130</v>
      </c>
      <c r="G9" s="26">
        <v>0.2</v>
      </c>
      <c r="H9"/>
      <c r="I9" s="11">
        <v>30</v>
      </c>
      <c r="J9" s="13" cm="1">
        <f t="array" ref="J9">MAX(IF($N$3:$EH$3=$J$3,N9:EH9))</f>
        <v>0</v>
      </c>
      <c r="K9" s="13" cm="1">
        <f t="array" ref="K9">MAX(IF($N$3:$EH$3=$J$3,N9:EH9))</f>
        <v>0</v>
      </c>
      <c r="L9" s="24"/>
      <c r="N9"/>
      <c r="O9" s="12"/>
      <c r="P9" s="12"/>
      <c r="Q9" s="12"/>
      <c r="R9" s="12"/>
      <c r="S9"/>
      <c r="U9" s="23"/>
      <c r="V9" s="23"/>
      <c r="W9" s="23"/>
      <c r="X9" s="23"/>
      <c r="Y9" s="23"/>
      <c r="Z9" s="23"/>
      <c r="AB9" s="23"/>
      <c r="AC9" s="23"/>
      <c r="AD9" s="23"/>
      <c r="AE9" s="23"/>
      <c r="AF9" s="23"/>
      <c r="AG9" s="23"/>
      <c r="AI9" s="23"/>
      <c r="AJ9" s="23"/>
      <c r="AK9" s="23"/>
      <c r="AL9" s="23"/>
      <c r="AM9" s="23"/>
      <c r="AN9" s="23"/>
      <c r="AP9" s="23"/>
      <c r="AQ9" s="23"/>
      <c r="AR9" s="23"/>
      <c r="AS9" s="23"/>
      <c r="AT9" s="23"/>
      <c r="AU9" s="23"/>
      <c r="AW9" s="23"/>
      <c r="AX9" s="23"/>
      <c r="AY9" s="23"/>
      <c r="AZ9" s="23"/>
      <c r="BA9" s="23"/>
      <c r="BB9" s="23"/>
      <c r="BD9" s="23"/>
      <c r="BE9" s="23"/>
      <c r="BF9" s="23"/>
      <c r="BG9" s="23"/>
      <c r="BH9" s="23"/>
      <c r="BI9" s="23"/>
      <c r="BK9" s="23"/>
      <c r="BL9" s="23"/>
      <c r="BM9" s="23"/>
      <c r="BN9" s="23"/>
      <c r="BO9" s="23"/>
      <c r="BP9" s="23"/>
      <c r="BR9" s="23"/>
      <c r="BS9" s="23"/>
      <c r="BT9" s="23"/>
      <c r="BU9" s="23"/>
      <c r="BV9" s="23"/>
      <c r="BW9" s="23"/>
      <c r="BY9" s="23"/>
      <c r="BZ9" s="23"/>
      <c r="CA9" s="23"/>
      <c r="CB9" s="23"/>
      <c r="CC9" s="23"/>
      <c r="CD9" s="23"/>
      <c r="CF9" s="23"/>
      <c r="CG9" s="23"/>
      <c r="CH9" s="23"/>
      <c r="CI9" s="23"/>
      <c r="CJ9" s="23"/>
      <c r="CK9" s="23"/>
    </row>
    <row r="10" spans="2:89" s="9" customFormat="1">
      <c r="B10" s="25"/>
      <c r="C10" s="23"/>
      <c r="D10" s="23"/>
      <c r="E10" s="24"/>
      <c r="F10" s="23"/>
      <c r="G10" s="12"/>
      <c r="H10"/>
      <c r="I10" s="11"/>
      <c r="J10" s="13"/>
      <c r="K10" s="13"/>
      <c r="L10" s="24"/>
      <c r="N10" s="23"/>
      <c r="O10" s="23"/>
      <c r="P10" s="23"/>
      <c r="Q10" s="23"/>
      <c r="R10" s="23"/>
      <c r="S10" s="23"/>
      <c r="U10" s="23"/>
      <c r="V10" s="23"/>
      <c r="W10" s="23"/>
      <c r="X10" s="23"/>
      <c r="Y10" s="23"/>
      <c r="Z10" s="23"/>
      <c r="AB10" s="23"/>
      <c r="AC10" s="23"/>
      <c r="AD10" s="23"/>
      <c r="AE10" s="23"/>
      <c r="AF10" s="23"/>
      <c r="AG10" s="23"/>
      <c r="AI10" s="23"/>
      <c r="AJ10" s="23"/>
      <c r="AK10" s="23"/>
      <c r="AL10" s="23"/>
      <c r="AM10" s="23"/>
      <c r="AN10" s="23"/>
      <c r="AP10" s="23"/>
      <c r="AQ10" s="23"/>
      <c r="AR10" s="23"/>
      <c r="AS10" s="23"/>
      <c r="AT10" s="23"/>
      <c r="AU10" s="23"/>
      <c r="AW10" s="23"/>
      <c r="AX10" s="23"/>
      <c r="AY10" s="23"/>
      <c r="AZ10" s="23"/>
      <c r="BA10" s="23"/>
      <c r="BB10" s="23"/>
      <c r="BD10" s="23"/>
      <c r="BE10" s="23"/>
      <c r="BF10" s="23"/>
      <c r="BG10" s="23"/>
      <c r="BH10" s="23"/>
      <c r="BI10" s="23"/>
      <c r="BK10" s="23"/>
      <c r="BL10" s="23"/>
      <c r="BM10" s="23"/>
      <c r="BN10" s="23"/>
      <c r="BO10" s="23"/>
      <c r="BP10" s="23"/>
      <c r="BR10" s="23"/>
      <c r="BS10" s="23"/>
      <c r="BT10" s="23"/>
      <c r="BU10" s="23"/>
      <c r="BV10" s="23"/>
      <c r="BW10" s="23"/>
      <c r="BY10" s="23"/>
      <c r="BZ10" s="23"/>
      <c r="CA10" s="23"/>
      <c r="CB10" s="23"/>
      <c r="CC10" s="23"/>
      <c r="CD10" s="23"/>
      <c r="CF10" s="23"/>
      <c r="CG10" s="23"/>
      <c r="CH10" s="23"/>
      <c r="CI10" s="23"/>
      <c r="CJ10" s="23"/>
      <c r="CK10" s="23"/>
    </row>
    <row r="11" spans="2:89" s="9" customFormat="1">
      <c r="B11" s="23" t="s">
        <v>131</v>
      </c>
      <c r="C11" s="23" t="s">
        <v>81</v>
      </c>
      <c r="D11" s="23"/>
      <c r="E11" s="24"/>
      <c r="F11" s="23"/>
      <c r="G11" s="12">
        <f>SUM(G12:G13)</f>
        <v>1</v>
      </c>
      <c r="I11" s="24"/>
      <c r="J11" s="24"/>
      <c r="K11" s="24"/>
      <c r="L11" s="24"/>
      <c r="N11" s="23"/>
      <c r="O11" s="23"/>
      <c r="P11" s="23"/>
      <c r="Q11" s="23"/>
      <c r="R11" s="23"/>
      <c r="S11" s="23"/>
      <c r="U11" s="23"/>
      <c r="V11" s="23"/>
      <c r="W11" s="23"/>
      <c r="X11" s="23"/>
      <c r="Y11" s="23"/>
      <c r="Z11" s="23"/>
      <c r="AB11" s="23"/>
      <c r="AC11" s="23"/>
      <c r="AD11" s="23"/>
      <c r="AE11" s="23"/>
      <c r="AF11" s="23"/>
      <c r="AG11" s="23"/>
      <c r="AI11" s="23"/>
      <c r="AJ11" s="23"/>
      <c r="AK11" s="23"/>
      <c r="AL11" s="23"/>
      <c r="AM11" s="23"/>
      <c r="AN11" s="23"/>
      <c r="AP11" s="23"/>
      <c r="AQ11" s="23"/>
      <c r="AR11" s="23"/>
      <c r="AS11" s="23"/>
      <c r="AT11" s="23"/>
      <c r="AU11" s="23"/>
      <c r="AW11" s="23"/>
      <c r="AX11" s="23"/>
      <c r="AY11" s="23"/>
      <c r="AZ11" s="23"/>
      <c r="BA11" s="23"/>
      <c r="BB11" s="23"/>
      <c r="BD11" s="23"/>
      <c r="BE11" s="23"/>
      <c r="BF11" s="23"/>
      <c r="BG11" s="23"/>
      <c r="BH11" s="23"/>
      <c r="BI11" s="23"/>
      <c r="BK11" s="23"/>
      <c r="BL11" s="23"/>
      <c r="BM11" s="23"/>
      <c r="BN11" s="23"/>
      <c r="BO11" s="23"/>
      <c r="BP11" s="23"/>
      <c r="BR11" s="23"/>
      <c r="BS11" s="23"/>
      <c r="BT11" s="23"/>
      <c r="BU11" s="23"/>
      <c r="BV11" s="23"/>
      <c r="BW11" s="23"/>
      <c r="BY11" s="23"/>
      <c r="BZ11" s="23"/>
      <c r="CA11" s="23"/>
      <c r="CB11" s="23"/>
      <c r="CC11" s="23"/>
      <c r="CD11" s="23"/>
      <c r="CF11" s="23"/>
      <c r="CG11" s="23"/>
      <c r="CH11" s="23"/>
      <c r="CI11" s="23"/>
      <c r="CJ11" s="23"/>
      <c r="CK11" s="23"/>
    </row>
    <row r="12" spans="2:89" s="9" customFormat="1">
      <c r="B12" s="25" t="s">
        <v>132</v>
      </c>
      <c r="C12" s="23"/>
      <c r="D12" s="23"/>
      <c r="E12" s="24"/>
      <c r="F12" s="23"/>
      <c r="G12" s="27">
        <v>0.5</v>
      </c>
      <c r="H12"/>
      <c r="I12" s="11">
        <f t="shared" ref="I12:I13" si="0">+SUMIF($N$3:$ZZ$3,I$3,$N12:$ZZ12)</f>
        <v>0</v>
      </c>
      <c r="J12" s="13" cm="1">
        <f t="array" ref="J12">MAX(IF($N$3:$EH$3=$J$3,N12:EH12))</f>
        <v>0</v>
      </c>
      <c r="K12" s="13" cm="1">
        <f t="array" ref="K12">MAX(IF($N$3:$EH$3=$J$3,N12:EH12))</f>
        <v>0</v>
      </c>
      <c r="L12" s="24"/>
      <c r="N12"/>
      <c r="O12" s="12"/>
      <c r="P12" s="12"/>
      <c r="Q12" s="12"/>
      <c r="R12" s="12"/>
      <c r="S12"/>
      <c r="U12" s="23"/>
      <c r="V12" s="23"/>
      <c r="W12" s="23"/>
      <c r="X12" s="23"/>
      <c r="Y12" s="23"/>
      <c r="Z12" s="23"/>
      <c r="AB12" s="23"/>
      <c r="AC12" s="23"/>
      <c r="AD12" s="23"/>
      <c r="AE12" s="23"/>
      <c r="AF12" s="23"/>
      <c r="AG12" s="23"/>
      <c r="AI12" s="23"/>
      <c r="AJ12" s="23"/>
      <c r="AK12" s="23"/>
      <c r="AL12" s="23"/>
      <c r="AM12" s="23"/>
      <c r="AN12" s="23"/>
      <c r="AP12" s="23"/>
      <c r="AQ12" s="23"/>
      <c r="AR12" s="23"/>
      <c r="AS12" s="23"/>
      <c r="AT12" s="23"/>
      <c r="AU12" s="23"/>
      <c r="AW12" s="23"/>
      <c r="AX12" s="23"/>
      <c r="AY12" s="23"/>
      <c r="AZ12" s="23"/>
      <c r="BA12" s="23"/>
      <c r="BB12" s="23"/>
      <c r="BD12" s="23"/>
      <c r="BE12" s="23"/>
      <c r="BF12" s="23"/>
      <c r="BG12" s="23"/>
      <c r="BH12" s="23"/>
      <c r="BI12" s="23"/>
      <c r="BK12" s="23"/>
      <c r="BL12" s="23"/>
      <c r="BM12" s="23"/>
      <c r="BN12" s="23"/>
      <c r="BO12" s="23"/>
      <c r="BP12" s="23"/>
      <c r="BR12" s="23"/>
      <c r="BS12" s="23"/>
      <c r="BT12" s="23"/>
      <c r="BU12" s="23"/>
      <c r="BV12" s="23"/>
      <c r="BW12" s="23"/>
      <c r="BY12" s="23"/>
      <c r="BZ12" s="23"/>
      <c r="CA12" s="23"/>
      <c r="CB12" s="23"/>
      <c r="CC12" s="23"/>
      <c r="CD12" s="23"/>
      <c r="CF12" s="23"/>
      <c r="CG12" s="23"/>
      <c r="CH12" s="23"/>
      <c r="CI12" s="23"/>
      <c r="CJ12" s="23"/>
      <c r="CK12" s="23"/>
    </row>
    <row r="13" spans="2:89" s="9" customFormat="1">
      <c r="B13" s="25" t="s">
        <v>133</v>
      </c>
      <c r="C13" s="23"/>
      <c r="D13" s="23"/>
      <c r="E13" s="24"/>
      <c r="F13" s="23"/>
      <c r="G13" s="26">
        <v>0.5</v>
      </c>
      <c r="H13"/>
      <c r="I13" s="11">
        <f t="shared" si="0"/>
        <v>0</v>
      </c>
      <c r="J13" s="13" cm="1">
        <f t="array" ref="J13">MAX(IF($N$3:$EH$3=$J$3,N13:EH13))</f>
        <v>0</v>
      </c>
      <c r="K13" s="13" cm="1">
        <f t="array" ref="K13">MAX(IF($N$3:$EH$3=$J$3,N13:EH13))</f>
        <v>0</v>
      </c>
      <c r="L13" s="24"/>
      <c r="N13"/>
      <c r="O13" s="12"/>
      <c r="P13" s="12"/>
      <c r="Q13" s="12"/>
      <c r="R13" s="12"/>
      <c r="S13"/>
      <c r="U13" s="23"/>
      <c r="V13" s="23"/>
      <c r="W13" s="23"/>
      <c r="X13" s="23"/>
      <c r="Y13" s="23"/>
      <c r="Z13" s="23"/>
      <c r="AB13" s="23"/>
      <c r="AC13" s="23"/>
      <c r="AD13" s="23"/>
      <c r="AE13" s="23"/>
      <c r="AF13" s="23"/>
      <c r="AG13" s="23"/>
      <c r="AI13" s="23"/>
      <c r="AJ13" s="23"/>
      <c r="AK13" s="23"/>
      <c r="AL13" s="23"/>
      <c r="AM13" s="23"/>
      <c r="AN13" s="23"/>
      <c r="AP13" s="23"/>
      <c r="AQ13" s="23"/>
      <c r="AR13" s="23"/>
      <c r="AS13" s="23"/>
      <c r="AT13" s="23"/>
      <c r="AU13" s="23"/>
      <c r="AW13" s="23"/>
      <c r="AX13" s="23"/>
      <c r="AY13" s="23"/>
      <c r="AZ13" s="23"/>
      <c r="BA13" s="23"/>
      <c r="BB13" s="23"/>
      <c r="BD13" s="23"/>
      <c r="BE13" s="23"/>
      <c r="BF13" s="23"/>
      <c r="BG13" s="23"/>
      <c r="BH13" s="23"/>
      <c r="BI13" s="23"/>
      <c r="BK13" s="23"/>
      <c r="BL13" s="23"/>
      <c r="BM13" s="23"/>
      <c r="BN13" s="23"/>
      <c r="BO13" s="23"/>
      <c r="BP13" s="23"/>
      <c r="BR13" s="23"/>
      <c r="BS13" s="23"/>
      <c r="BT13" s="23"/>
      <c r="BU13" s="23"/>
      <c r="BV13" s="23"/>
      <c r="BW13" s="23"/>
      <c r="BY13" s="23"/>
      <c r="BZ13" s="23"/>
      <c r="CA13" s="23"/>
      <c r="CB13" s="23"/>
      <c r="CC13" s="23"/>
      <c r="CD13" s="23"/>
      <c r="CF13" s="23"/>
      <c r="CG13" s="23"/>
      <c r="CH13" s="23"/>
      <c r="CI13" s="23"/>
      <c r="CJ13" s="23"/>
      <c r="CK13" s="23"/>
    </row>
    <row r="14" spans="2:89" s="9" customFormat="1">
      <c r="B14" s="23"/>
      <c r="C14" s="23"/>
      <c r="D14" s="23"/>
      <c r="E14" s="24"/>
      <c r="F14" s="23"/>
      <c r="G14" s="23"/>
      <c r="I14" s="24"/>
      <c r="J14" s="24"/>
      <c r="K14" s="24"/>
      <c r="L14" s="24"/>
      <c r="N14" s="23"/>
      <c r="O14" s="23"/>
      <c r="P14" s="23"/>
      <c r="Q14" s="23"/>
      <c r="R14" s="23"/>
      <c r="S14" s="23"/>
      <c r="U14" s="23"/>
      <c r="V14" s="23"/>
      <c r="W14" s="23"/>
      <c r="X14" s="23"/>
      <c r="Y14" s="23"/>
      <c r="Z14" s="23"/>
      <c r="AB14" s="23"/>
      <c r="AC14" s="23"/>
      <c r="AD14" s="23"/>
      <c r="AE14" s="23"/>
      <c r="AF14" s="23"/>
      <c r="AG14" s="23"/>
      <c r="AI14" s="23"/>
      <c r="AJ14" s="23"/>
      <c r="AK14" s="23"/>
      <c r="AL14" s="23"/>
      <c r="AM14" s="23"/>
      <c r="AN14" s="23"/>
      <c r="AP14" s="23"/>
      <c r="AQ14" s="23"/>
      <c r="AR14" s="23"/>
      <c r="AS14" s="23"/>
      <c r="AT14" s="23"/>
      <c r="AU14" s="23"/>
      <c r="AW14" s="23"/>
      <c r="AX14" s="23"/>
      <c r="AY14" s="23"/>
      <c r="AZ14" s="23"/>
      <c r="BA14" s="23"/>
      <c r="BB14" s="23"/>
      <c r="BD14" s="23"/>
      <c r="BE14" s="23"/>
      <c r="BF14" s="23"/>
      <c r="BG14" s="23"/>
      <c r="BH14" s="23"/>
      <c r="BI14" s="23"/>
      <c r="BK14" s="23"/>
      <c r="BL14" s="23"/>
      <c r="BM14" s="23"/>
      <c r="BN14" s="23"/>
      <c r="BO14" s="23"/>
      <c r="BP14" s="23"/>
      <c r="BR14" s="23"/>
      <c r="BS14" s="23"/>
      <c r="BT14" s="23"/>
      <c r="BU14" s="23"/>
      <c r="BV14" s="23"/>
      <c r="BW14" s="23"/>
      <c r="BY14" s="23"/>
      <c r="BZ14" s="23"/>
      <c r="CA14" s="23"/>
      <c r="CB14" s="23"/>
      <c r="CC14" s="23"/>
      <c r="CD14" s="23"/>
      <c r="CF14" s="23"/>
      <c r="CG14" s="23"/>
      <c r="CH14" s="23"/>
      <c r="CI14" s="23"/>
      <c r="CJ14" s="23"/>
      <c r="CK14" s="23"/>
    </row>
    <row r="15" spans="2:89" outlineLevel="1">
      <c r="B15" s="3" t="s">
        <v>80</v>
      </c>
      <c r="C15" s="3" t="s">
        <v>81</v>
      </c>
      <c r="D15" t="s">
        <v>82</v>
      </c>
      <c r="E15" s="11"/>
      <c r="G15" s="12">
        <f>SUM(G16:G25)</f>
        <v>1</v>
      </c>
      <c r="I15" s="11">
        <f t="shared" ref="I15:I25" si="1">+SUMIF($N$3:$ZZ$3,I$3,$N15:$ZZ15)</f>
        <v>0</v>
      </c>
      <c r="J15" s="13" cm="1">
        <f t="array" ref="J15">MAX(IF($N$3:$EH$3=$J$3,N15:EH15))</f>
        <v>0</v>
      </c>
      <c r="K15" s="13" cm="1">
        <f t="array" ref="K15">MAX(IF($N$3:$EH$3=$J$3,N15:EH15))</f>
        <v>0</v>
      </c>
      <c r="L15" s="11"/>
      <c r="O15" s="12"/>
      <c r="P15" s="12"/>
      <c r="Q15" s="12"/>
      <c r="R15" s="12"/>
      <c r="V15" s="12"/>
      <c r="W15" s="12"/>
      <c r="X15" s="12"/>
      <c r="Y15" s="12"/>
      <c r="AC15" s="12"/>
      <c r="AD15" s="12"/>
      <c r="AE15" s="12"/>
      <c r="AF15" s="12"/>
      <c r="AJ15" s="12"/>
      <c r="AK15" s="12"/>
      <c r="AL15" s="12"/>
      <c r="AM15" s="12"/>
      <c r="AQ15" s="12"/>
      <c r="AR15" s="12">
        <v>1</v>
      </c>
      <c r="AS15" s="12"/>
      <c r="AT15" s="12">
        <v>1</v>
      </c>
      <c r="AX15" s="12"/>
      <c r="AY15" s="12"/>
      <c r="AZ15" s="12"/>
      <c r="BA15" s="12"/>
      <c r="BE15" s="12"/>
      <c r="BF15" s="12"/>
      <c r="BG15" s="12"/>
      <c r="BH15" s="12"/>
      <c r="BL15" s="12"/>
      <c r="BM15" s="12"/>
      <c r="BN15" s="12"/>
      <c r="BO15" s="12"/>
      <c r="BS15" s="12"/>
      <c r="BT15" s="12"/>
      <c r="BU15" s="12"/>
      <c r="BV15" s="12"/>
      <c r="BZ15" s="12"/>
      <c r="CA15" s="12"/>
      <c r="CB15" s="12"/>
      <c r="CC15" s="12"/>
      <c r="CG15" s="12"/>
      <c r="CH15" s="12"/>
      <c r="CI15" s="12"/>
      <c r="CJ15" s="12"/>
    </row>
    <row r="16" spans="2:89" outlineLevel="1">
      <c r="B16" t="s">
        <v>94</v>
      </c>
      <c r="E16" s="11"/>
      <c r="F16" t="s">
        <v>108</v>
      </c>
      <c r="G16" s="12">
        <v>0.05</v>
      </c>
      <c r="I16" s="11">
        <f t="shared" si="1"/>
        <v>6</v>
      </c>
      <c r="J16" s="13" cm="1">
        <f t="array" ref="J16">MAX(IF($N$3:$EH$3=$J$3,N16:EH16))</f>
        <v>0.5</v>
      </c>
      <c r="K16" s="13" cm="1">
        <f t="array" ref="K16">MAX(IF($N$3:$EH$3=$J$3,N16:EH16))</f>
        <v>0.5</v>
      </c>
      <c r="L16" s="11"/>
      <c r="N16">
        <v>6</v>
      </c>
      <c r="O16" s="12">
        <v>0.5</v>
      </c>
      <c r="P16" s="12">
        <v>0.5</v>
      </c>
      <c r="Q16" s="12">
        <v>0.5</v>
      </c>
      <c r="R16" s="12">
        <v>0.5</v>
      </c>
      <c r="S16" t="s">
        <v>110</v>
      </c>
      <c r="V16" s="12"/>
      <c r="W16" s="12"/>
      <c r="X16" s="12"/>
      <c r="Y16" s="12"/>
      <c r="AC16" s="12"/>
      <c r="AD16" s="12"/>
      <c r="AE16" s="12"/>
      <c r="AF16" s="12"/>
      <c r="AJ16" s="12"/>
      <c r="AK16" s="12"/>
      <c r="AL16" s="12"/>
      <c r="AM16" s="12"/>
      <c r="AQ16" s="12"/>
      <c r="AR16" s="12">
        <v>1</v>
      </c>
      <c r="AS16" s="12"/>
      <c r="AT16" s="12">
        <v>1</v>
      </c>
      <c r="AX16" s="12"/>
      <c r="AY16" s="12"/>
      <c r="AZ16" s="12"/>
      <c r="BA16" s="12"/>
      <c r="BE16" s="12"/>
      <c r="BF16" s="12"/>
      <c r="BG16" s="12"/>
      <c r="BH16" s="12"/>
      <c r="BL16" s="12"/>
      <c r="BM16" s="12"/>
      <c r="BN16" s="12"/>
      <c r="BO16" s="12"/>
      <c r="BS16" s="12"/>
      <c r="BT16" s="12"/>
      <c r="BU16" s="12"/>
      <c r="BV16" s="12"/>
      <c r="BZ16" s="12"/>
      <c r="CA16" s="12"/>
      <c r="CB16" s="12"/>
      <c r="CC16" s="12"/>
      <c r="CG16" s="12"/>
      <c r="CH16" s="12"/>
      <c r="CI16" s="12"/>
      <c r="CJ16" s="12"/>
    </row>
    <row r="17" spans="2:88" outlineLevel="1">
      <c r="B17" t="s">
        <v>109</v>
      </c>
      <c r="E17" s="11"/>
      <c r="F17" t="s">
        <v>108</v>
      </c>
      <c r="G17" s="12">
        <v>0.05</v>
      </c>
      <c r="I17" s="11">
        <f>+SUMIF($N$3:$ZZ$3,I$3,$N17:$ZZ17)</f>
        <v>2</v>
      </c>
      <c r="J17" s="13" cm="1">
        <f t="array" ref="J17">MAX(IF($N$3:$EH$3=$J$3,N17:EH17))</f>
        <v>0.5</v>
      </c>
      <c r="K17" s="13" cm="1">
        <f t="array" ref="K17">MAX(IF($N$3:$EH$3=$J$3,N17:EH17))</f>
        <v>0.5</v>
      </c>
      <c r="L17" s="11"/>
      <c r="N17">
        <v>2</v>
      </c>
      <c r="O17" s="12">
        <v>0.5</v>
      </c>
      <c r="P17" s="12">
        <v>0.5</v>
      </c>
      <c r="Q17" s="12">
        <v>0.5</v>
      </c>
      <c r="R17" s="12">
        <v>0.5</v>
      </c>
      <c r="S17" t="s">
        <v>110</v>
      </c>
      <c r="V17" s="12"/>
      <c r="W17" s="12"/>
      <c r="X17" s="12"/>
      <c r="Y17" s="12"/>
      <c r="AC17" s="12"/>
      <c r="AD17" s="12"/>
      <c r="AE17" s="12"/>
      <c r="AF17" s="12"/>
      <c r="AJ17" s="12"/>
      <c r="AK17" s="12"/>
      <c r="AL17" s="12"/>
      <c r="AM17" s="12"/>
      <c r="AQ17" s="12"/>
      <c r="AR17" s="12"/>
      <c r="AS17" s="12"/>
      <c r="AT17" s="12"/>
      <c r="AX17" s="12"/>
      <c r="AY17" s="12"/>
      <c r="AZ17" s="12"/>
      <c r="BA17" s="12"/>
      <c r="BE17" s="12"/>
      <c r="BF17" s="12"/>
      <c r="BG17" s="12"/>
      <c r="BH17" s="12"/>
      <c r="BL17" s="12"/>
      <c r="BM17" s="12"/>
      <c r="BN17" s="12"/>
      <c r="BO17" s="12"/>
      <c r="BS17" s="12"/>
      <c r="BT17" s="12"/>
      <c r="BU17" s="12"/>
      <c r="BV17" s="12"/>
      <c r="BZ17" s="12"/>
      <c r="CA17" s="12"/>
      <c r="CB17" s="12"/>
      <c r="CC17" s="12"/>
      <c r="CG17" s="12"/>
      <c r="CH17" s="12"/>
      <c r="CI17" s="12"/>
      <c r="CJ17" s="12"/>
    </row>
    <row r="18" spans="2:88" outlineLevel="1">
      <c r="B18" t="s">
        <v>95</v>
      </c>
      <c r="E18" s="11"/>
      <c r="F18" t="s">
        <v>107</v>
      </c>
      <c r="G18" s="12">
        <v>0.05</v>
      </c>
      <c r="I18" s="11">
        <f>+SUMIF($N$3:$ZZ$3,I$3,$N18:$ZZ18)</f>
        <v>2</v>
      </c>
      <c r="J18" s="13" cm="1">
        <f t="array" ref="J18">MAX(IF($N$3:$EH$3=$J$3,N18:EH18))</f>
        <v>0</v>
      </c>
      <c r="K18" s="13" cm="1">
        <f t="array" ref="K18">MAX(IF($N$3:$EH$3=$J$3,N18:EH18))</f>
        <v>0</v>
      </c>
      <c r="L18" s="11"/>
      <c r="O18" s="12"/>
      <c r="P18" s="12"/>
      <c r="Q18" s="12"/>
      <c r="R18" s="12"/>
      <c r="U18">
        <v>2</v>
      </c>
      <c r="V18" s="12"/>
      <c r="W18" s="12">
        <v>0.5</v>
      </c>
      <c r="X18" s="12"/>
      <c r="Y18" s="12">
        <v>0.5</v>
      </c>
      <c r="AC18" s="12"/>
      <c r="AD18" s="12"/>
      <c r="AE18" s="12"/>
      <c r="AF18" s="12"/>
      <c r="AJ18" s="12"/>
      <c r="AK18" s="12"/>
      <c r="AL18" s="12"/>
      <c r="AM18" s="12"/>
      <c r="AQ18" s="12"/>
      <c r="AR18" s="12"/>
      <c r="AS18" s="12"/>
      <c r="AT18" s="12"/>
      <c r="AX18" s="12"/>
      <c r="AY18" s="12"/>
      <c r="AZ18" s="12"/>
      <c r="BA18" s="12"/>
      <c r="BE18" s="12"/>
      <c r="BF18" s="12"/>
      <c r="BG18" s="12"/>
      <c r="BH18" s="12"/>
      <c r="BL18" s="12"/>
      <c r="BM18" s="12"/>
      <c r="BN18" s="12"/>
      <c r="BO18" s="12"/>
      <c r="BS18" s="12"/>
      <c r="BT18" s="12"/>
      <c r="BU18" s="12"/>
      <c r="BV18" s="12"/>
      <c r="BZ18" s="12"/>
      <c r="CA18" s="12"/>
      <c r="CB18" s="12"/>
      <c r="CC18" s="12"/>
      <c r="CG18" s="12"/>
      <c r="CH18" s="12"/>
      <c r="CI18" s="12"/>
      <c r="CJ18" s="12"/>
    </row>
    <row r="19" spans="2:88" outlineLevel="1">
      <c r="B19" t="s">
        <v>95</v>
      </c>
      <c r="F19" t="s">
        <v>93</v>
      </c>
      <c r="G19" s="12">
        <v>0.05</v>
      </c>
      <c r="I19" s="11">
        <f t="shared" si="1"/>
        <v>6</v>
      </c>
      <c r="J19" s="13" cm="1">
        <f t="array" ref="J19">MAX(IF($N$3:$EH$3=$J$3,N19:EH19))</f>
        <v>0</v>
      </c>
      <c r="K19" s="13" cm="1">
        <f t="array" ref="K19">MAX(IF($N$3:$EH$3=$J$3,N19:EH19))</f>
        <v>0</v>
      </c>
      <c r="O19" s="12"/>
      <c r="P19" s="12"/>
      <c r="Q19" s="12"/>
      <c r="R19" s="12"/>
      <c r="U19">
        <v>6</v>
      </c>
      <c r="V19" s="12"/>
      <c r="W19" s="12">
        <v>0.5</v>
      </c>
      <c r="X19" s="12"/>
      <c r="Y19" s="12">
        <v>0.5</v>
      </c>
      <c r="AC19" s="12"/>
      <c r="AD19" s="12"/>
      <c r="AE19" s="12"/>
      <c r="AF19" s="12"/>
      <c r="AJ19" s="12"/>
      <c r="AK19" s="12"/>
      <c r="AL19" s="12"/>
      <c r="AM19" s="12"/>
      <c r="AQ19" s="12"/>
      <c r="AR19" s="12">
        <v>1</v>
      </c>
      <c r="AS19" s="12"/>
      <c r="AT19" s="12">
        <v>1</v>
      </c>
      <c r="AX19" s="12"/>
      <c r="AY19" s="12"/>
      <c r="AZ19" s="12"/>
      <c r="BA19" s="12"/>
      <c r="BE19" s="12"/>
      <c r="BF19" s="12"/>
      <c r="BG19" s="12"/>
      <c r="BH19" s="12"/>
      <c r="BL19" s="12"/>
      <c r="BM19" s="12"/>
      <c r="BN19" s="12"/>
      <c r="BO19" s="12"/>
      <c r="BS19" s="12"/>
      <c r="BT19" s="12"/>
      <c r="BU19" s="12"/>
      <c r="BV19" s="12"/>
      <c r="BZ19" s="12"/>
      <c r="CA19" s="12"/>
      <c r="CB19" s="12"/>
      <c r="CC19" s="12"/>
      <c r="CG19" s="12"/>
      <c r="CH19" s="12"/>
      <c r="CI19" s="12"/>
      <c r="CJ19" s="12"/>
    </row>
    <row r="20" spans="2:88" outlineLevel="1">
      <c r="B20" t="s">
        <v>96</v>
      </c>
      <c r="F20" t="s">
        <v>107</v>
      </c>
      <c r="G20" s="12">
        <v>0.05</v>
      </c>
      <c r="I20" s="11">
        <f t="shared" si="1"/>
        <v>2</v>
      </c>
      <c r="J20" s="13" cm="1">
        <f t="array" ref="J20">MAX(IF($N$3:$EH$3=$J$3,N20:EH20))</f>
        <v>0</v>
      </c>
      <c r="K20" s="13" cm="1">
        <f t="array" ref="K20">MAX(IF($N$3:$EH$3=$J$3,N20:EH20))</f>
        <v>0</v>
      </c>
      <c r="O20" s="12"/>
      <c r="P20" s="12"/>
      <c r="Q20" s="12"/>
      <c r="R20" s="12"/>
      <c r="U20">
        <v>2</v>
      </c>
      <c r="V20" s="12"/>
      <c r="W20" s="12">
        <v>1</v>
      </c>
      <c r="X20" s="12"/>
      <c r="Y20" s="12">
        <v>1</v>
      </c>
      <c r="AC20" s="12"/>
      <c r="AD20" s="12"/>
      <c r="AE20" s="12"/>
      <c r="AF20" s="12"/>
      <c r="AJ20" s="12"/>
      <c r="AK20" s="12"/>
      <c r="AL20" s="12"/>
      <c r="AM20" s="12"/>
      <c r="AQ20" s="12"/>
      <c r="AR20" s="12"/>
      <c r="AS20" s="12"/>
      <c r="AT20" s="12"/>
      <c r="AX20" s="12"/>
      <c r="AY20" s="12"/>
      <c r="AZ20" s="12"/>
      <c r="BA20" s="12"/>
      <c r="BE20" s="12"/>
      <c r="BF20" s="12"/>
      <c r="BG20" s="12"/>
      <c r="BH20" s="12"/>
      <c r="BL20" s="12"/>
      <c r="BM20" s="12"/>
      <c r="BN20" s="12"/>
      <c r="BO20" s="12"/>
      <c r="BS20" s="12"/>
      <c r="BT20" s="12"/>
      <c r="BU20" s="12"/>
      <c r="BV20" s="12"/>
      <c r="BZ20" s="12"/>
      <c r="CA20" s="12"/>
      <c r="CB20" s="12"/>
      <c r="CC20" s="12"/>
      <c r="CG20" s="12"/>
      <c r="CH20" s="12"/>
      <c r="CI20" s="12"/>
      <c r="CJ20" s="12"/>
    </row>
    <row r="21" spans="2:88" outlineLevel="1">
      <c r="B21" t="s">
        <v>101</v>
      </c>
      <c r="F21" t="s">
        <v>97</v>
      </c>
      <c r="G21" s="12">
        <v>0.15</v>
      </c>
      <c r="I21" s="11">
        <f t="shared" si="1"/>
        <v>4</v>
      </c>
      <c r="J21" s="13" cm="1">
        <f t="array" ref="J21">MAX(IF($N$3:$EH$3=$J$3,N21:EH21))</f>
        <v>0</v>
      </c>
      <c r="K21" s="13" cm="1">
        <f t="array" ref="K21">MAX(IF($N$3:$EH$3=$J$3,N21:EH21))</f>
        <v>0</v>
      </c>
      <c r="O21" s="12"/>
      <c r="P21" s="12"/>
      <c r="Q21" s="12"/>
      <c r="R21" s="12"/>
      <c r="V21" s="12"/>
      <c r="W21" s="12"/>
      <c r="X21" s="12"/>
      <c r="Y21" s="12"/>
      <c r="AB21">
        <v>4</v>
      </c>
      <c r="AC21" s="12"/>
      <c r="AD21" s="12">
        <v>0.5</v>
      </c>
      <c r="AE21" s="12"/>
      <c r="AF21" s="12">
        <v>0.5</v>
      </c>
      <c r="AJ21" s="12"/>
      <c r="AK21" s="12"/>
      <c r="AL21" s="12"/>
      <c r="AM21" s="12"/>
      <c r="AQ21" s="12"/>
      <c r="AR21" s="12">
        <v>1</v>
      </c>
      <c r="AS21" s="12"/>
      <c r="AT21" s="12">
        <v>1</v>
      </c>
      <c r="AX21" s="12"/>
      <c r="AY21" s="12"/>
      <c r="AZ21" s="12"/>
      <c r="BA21" s="12"/>
      <c r="BE21" s="12"/>
      <c r="BF21" s="12"/>
      <c r="BG21" s="12"/>
      <c r="BH21" s="12"/>
      <c r="BL21" s="12"/>
      <c r="BM21" s="12"/>
      <c r="BN21" s="12"/>
      <c r="BO21" s="12"/>
      <c r="BS21" s="12"/>
      <c r="BT21" s="12"/>
      <c r="BU21" s="12"/>
      <c r="BV21" s="12"/>
      <c r="BZ21" s="12"/>
      <c r="CA21" s="12"/>
      <c r="CB21" s="12"/>
      <c r="CC21" s="12"/>
      <c r="CG21" s="12"/>
      <c r="CH21" s="12"/>
      <c r="CI21" s="12"/>
      <c r="CJ21" s="12"/>
    </row>
    <row r="22" spans="2:88">
      <c r="B22" t="s">
        <v>102</v>
      </c>
      <c r="F22" t="s">
        <v>98</v>
      </c>
      <c r="G22" s="12">
        <v>0.15</v>
      </c>
      <c r="I22" s="11">
        <f t="shared" si="1"/>
        <v>4</v>
      </c>
      <c r="J22" s="13" cm="1">
        <f t="array" ref="J22">MAX(IF($N$3:$EH$3=$J$3,N22:EH22))</f>
        <v>0</v>
      </c>
      <c r="K22" s="13" cm="1">
        <f t="array" ref="K22">MAX(IF($N$3:$EH$3=$J$3,N22:EH22))</f>
        <v>0</v>
      </c>
      <c r="O22" s="9"/>
      <c r="V22" s="9"/>
      <c r="AB22">
        <v>4</v>
      </c>
      <c r="AC22" s="12"/>
      <c r="AD22" s="12">
        <v>0.5</v>
      </c>
      <c r="AE22" s="12"/>
      <c r="AF22" s="12">
        <v>0.5</v>
      </c>
      <c r="AJ22" s="12"/>
      <c r="AK22" s="12"/>
      <c r="AL22" s="12"/>
      <c r="AM22" s="12"/>
      <c r="AQ22" s="9"/>
      <c r="AX22" s="9"/>
      <c r="BE22" s="9"/>
      <c r="BL22" s="9"/>
      <c r="BS22" s="9"/>
      <c r="BZ22" s="9"/>
      <c r="CG22" s="9"/>
    </row>
    <row r="23" spans="2:88">
      <c r="B23" t="s">
        <v>103</v>
      </c>
      <c r="E23" s="11"/>
      <c r="F23" t="s">
        <v>99</v>
      </c>
      <c r="G23" s="12">
        <v>0.15</v>
      </c>
      <c r="I23" s="11">
        <f t="shared" si="1"/>
        <v>4</v>
      </c>
      <c r="J23" s="13" cm="1">
        <f t="array" ref="J23">MAX(IF($N$3:$EH$3=$J$3,N23:EH23))</f>
        <v>0</v>
      </c>
      <c r="K23" s="13" cm="1">
        <f t="array" ref="K23">MAX(IF($N$3:$EH$3=$J$3,N23:EH23))</f>
        <v>0</v>
      </c>
      <c r="L23" s="11"/>
      <c r="N23" s="14"/>
      <c r="U23" s="14"/>
      <c r="AB23" s="14"/>
      <c r="AI23">
        <v>4</v>
      </c>
      <c r="AJ23" s="12"/>
      <c r="AK23" s="12">
        <v>0.5</v>
      </c>
      <c r="AL23" s="12"/>
      <c r="AM23" s="12">
        <v>0.5</v>
      </c>
      <c r="AP23" s="14"/>
    </row>
    <row r="24" spans="2:88" outlineLevel="1">
      <c r="B24" t="s">
        <v>104</v>
      </c>
      <c r="E24" s="11"/>
      <c r="F24" t="s">
        <v>100</v>
      </c>
      <c r="G24" s="12">
        <v>0.15</v>
      </c>
      <c r="I24" s="11">
        <f t="shared" si="1"/>
        <v>4</v>
      </c>
      <c r="J24" s="13" cm="1">
        <f t="array" ref="J24">MAX(IF($N$3:$EH$3=$J$3,N24:EH24))</f>
        <v>0</v>
      </c>
      <c r="K24" s="13" cm="1">
        <f t="array" ref="K24">MAX(IF($N$3:$EH$3=$J$3,N24:EH24))</f>
        <v>0</v>
      </c>
      <c r="L24" s="11"/>
      <c r="O24" s="12"/>
      <c r="P24" s="12"/>
      <c r="Q24" s="12"/>
      <c r="R24" s="12"/>
      <c r="V24" s="12"/>
      <c r="W24" s="12"/>
      <c r="X24" s="12"/>
      <c r="Y24" s="12"/>
      <c r="AC24" s="12"/>
      <c r="AD24" s="12"/>
      <c r="AE24" s="12"/>
      <c r="AF24" s="12"/>
      <c r="AI24">
        <v>4</v>
      </c>
      <c r="AJ24" s="12"/>
      <c r="AK24" s="12">
        <v>0.5</v>
      </c>
      <c r="AL24" s="12"/>
      <c r="AM24" s="12">
        <v>0.5</v>
      </c>
      <c r="AQ24" s="12"/>
      <c r="AR24" s="12"/>
      <c r="AS24" s="12"/>
      <c r="AT24" s="12"/>
      <c r="AX24" s="12"/>
      <c r="AY24" s="12"/>
      <c r="AZ24" s="12"/>
      <c r="BA24" s="12"/>
      <c r="BE24" s="12"/>
      <c r="BF24" s="12"/>
      <c r="BG24" s="12"/>
      <c r="BH24" s="12"/>
      <c r="BL24" s="12"/>
      <c r="BM24" s="12"/>
      <c r="BN24" s="12"/>
      <c r="BO24" s="12"/>
      <c r="BS24" s="12"/>
      <c r="BT24" s="12"/>
      <c r="BU24" s="12"/>
      <c r="BV24" s="12"/>
      <c r="BZ24" s="12"/>
      <c r="CA24" s="12"/>
      <c r="CB24" s="12"/>
      <c r="CC24" s="12"/>
      <c r="CG24" s="12"/>
      <c r="CH24" s="12"/>
      <c r="CI24" s="12"/>
      <c r="CJ24" s="12"/>
    </row>
    <row r="25" spans="2:88" outlineLevel="1">
      <c r="B25" t="s">
        <v>105</v>
      </c>
      <c r="E25" s="11"/>
      <c r="F25" t="s">
        <v>106</v>
      </c>
      <c r="G25" s="12">
        <v>0.15</v>
      </c>
      <c r="I25" s="11">
        <f t="shared" si="1"/>
        <v>0</v>
      </c>
      <c r="J25" s="13" cm="1">
        <f t="array" ref="J25">MAX(IF($N$3:$EH$3=$J$3,N25:EH25))</f>
        <v>0</v>
      </c>
      <c r="K25" s="13" cm="1">
        <f t="array" ref="K25">MAX(IF($N$3:$EH$3=$J$3,N25:EH25))</f>
        <v>0</v>
      </c>
      <c r="L25" s="11"/>
      <c r="O25" s="12"/>
      <c r="P25" s="12"/>
      <c r="Q25" s="12"/>
      <c r="R25" s="12"/>
      <c r="V25" s="12"/>
      <c r="W25" s="12"/>
      <c r="X25" s="12"/>
      <c r="Y25" s="12"/>
      <c r="AC25" s="12"/>
      <c r="AD25" s="12"/>
      <c r="AE25" s="12"/>
      <c r="AF25" s="12"/>
      <c r="AJ25" s="12"/>
      <c r="AK25" s="12"/>
      <c r="AL25" s="12"/>
      <c r="AM25" s="12"/>
      <c r="AQ25" s="12"/>
      <c r="AR25" s="12"/>
      <c r="AS25" s="12"/>
      <c r="AT25" s="12"/>
      <c r="AX25" s="12"/>
      <c r="AY25" s="12"/>
      <c r="AZ25" s="12"/>
      <c r="BA25" s="12"/>
      <c r="BE25" s="12"/>
      <c r="BF25" s="12"/>
      <c r="BG25" s="12"/>
      <c r="BH25" s="12"/>
      <c r="BL25" s="12"/>
      <c r="BM25" s="12"/>
      <c r="BN25" s="12"/>
      <c r="BO25" s="12"/>
      <c r="BS25" s="12"/>
      <c r="BT25" s="12"/>
      <c r="BU25" s="12"/>
      <c r="BV25" s="12"/>
      <c r="BZ25" s="12"/>
      <c r="CA25" s="12"/>
      <c r="CB25" s="12"/>
      <c r="CC25" s="12"/>
      <c r="CG25" s="12"/>
      <c r="CH25" s="12"/>
      <c r="CI25" s="12"/>
      <c r="CJ25" s="12"/>
    </row>
    <row r="26" spans="2:88" ht="16.2" customHeight="1" outlineLevel="1">
      <c r="E26" s="11"/>
      <c r="G26" s="12"/>
      <c r="I26" s="11"/>
      <c r="J26" s="13"/>
      <c r="K26" s="13"/>
      <c r="L26" s="11"/>
      <c r="O26" s="12"/>
      <c r="P26" s="12"/>
      <c r="Q26" s="12"/>
      <c r="R26" s="12"/>
      <c r="V26" s="12"/>
      <c r="W26" s="12"/>
      <c r="X26" s="12"/>
      <c r="Y26" s="12"/>
      <c r="AC26" s="12"/>
      <c r="AD26" s="12"/>
      <c r="AE26" s="12"/>
      <c r="AF26" s="12"/>
      <c r="AJ26" s="12"/>
      <c r="AK26" s="12"/>
      <c r="AL26" s="12"/>
      <c r="AM26" s="12"/>
      <c r="AQ26" s="12"/>
      <c r="AR26" s="12"/>
      <c r="AS26" s="12"/>
      <c r="AT26" s="12"/>
      <c r="AX26" s="12"/>
      <c r="AY26" s="12"/>
      <c r="AZ26" s="12"/>
      <c r="BA26" s="12"/>
      <c r="BE26" s="12"/>
      <c r="BF26" s="12"/>
      <c r="BG26" s="12"/>
      <c r="BH26" s="12"/>
      <c r="BL26" s="12"/>
      <c r="BM26" s="12"/>
      <c r="BN26" s="12"/>
      <c r="BO26" s="12"/>
      <c r="BS26" s="12"/>
      <c r="BT26" s="12"/>
      <c r="BU26" s="12"/>
      <c r="BV26" s="12"/>
      <c r="BZ26" s="12"/>
      <c r="CA26" s="12"/>
      <c r="CB26" s="12"/>
      <c r="CC26" s="12"/>
      <c r="CG26" s="12"/>
      <c r="CH26" s="12"/>
      <c r="CI26" s="12"/>
      <c r="CJ26" s="12"/>
    </row>
    <row r="27" spans="2:88" outlineLevel="1">
      <c r="E27" s="11"/>
      <c r="G27" s="12"/>
      <c r="I27" s="11"/>
      <c r="J27" s="13"/>
      <c r="K27" s="13"/>
      <c r="L27" s="11"/>
      <c r="O27" s="12"/>
      <c r="P27" s="12"/>
      <c r="Q27" s="12"/>
      <c r="R27" s="12"/>
      <c r="V27" s="12"/>
      <c r="W27" s="12"/>
      <c r="X27" s="12"/>
      <c r="Y27" s="12"/>
      <c r="AC27" s="12"/>
      <c r="AD27" s="12"/>
      <c r="AE27" s="12"/>
      <c r="AF27" s="12"/>
      <c r="AJ27" s="12"/>
      <c r="AK27" s="12"/>
      <c r="AL27" s="12"/>
      <c r="AM27" s="12"/>
      <c r="AQ27" s="12"/>
      <c r="AR27" s="12"/>
      <c r="AS27" s="12"/>
      <c r="AT27" s="12"/>
      <c r="AX27" s="12"/>
      <c r="AY27" s="12"/>
      <c r="AZ27" s="12"/>
      <c r="BA27" s="12"/>
      <c r="BE27" s="12"/>
      <c r="BF27" s="12"/>
      <c r="BG27" s="12"/>
      <c r="BH27" s="12"/>
      <c r="BL27" s="12"/>
      <c r="BM27" s="12"/>
      <c r="BN27" s="12"/>
      <c r="BO27" s="12"/>
      <c r="BS27" s="12"/>
      <c r="BT27" s="12"/>
      <c r="BU27" s="12"/>
      <c r="BV27" s="12"/>
      <c r="BZ27" s="12"/>
      <c r="CA27" s="12"/>
      <c r="CB27" s="12"/>
      <c r="CC27" s="12"/>
      <c r="CG27" s="12"/>
      <c r="CH27" s="12"/>
      <c r="CI27" s="12"/>
      <c r="CJ27" s="12"/>
    </row>
    <row r="28" spans="2:88" outlineLevel="1">
      <c r="E28" s="11"/>
      <c r="G28" s="12"/>
      <c r="I28" s="11"/>
      <c r="J28" s="13"/>
      <c r="K28" s="13"/>
      <c r="L28" s="11"/>
      <c r="O28" s="12"/>
      <c r="P28" s="12"/>
      <c r="Q28" s="12"/>
      <c r="R28" s="12"/>
      <c r="V28" s="12"/>
      <c r="W28" s="12"/>
      <c r="X28" s="12"/>
      <c r="Y28" s="12"/>
      <c r="AC28" s="12"/>
      <c r="AD28" s="12"/>
      <c r="AE28" s="12"/>
      <c r="AF28" s="12"/>
      <c r="AJ28" s="12"/>
      <c r="AK28" s="12"/>
      <c r="AL28" s="12"/>
      <c r="AM28" s="12"/>
      <c r="AQ28" s="12"/>
      <c r="AR28" s="12"/>
      <c r="AS28" s="12"/>
      <c r="AT28" s="12"/>
      <c r="AX28" s="12"/>
      <c r="AY28" s="12"/>
      <c r="AZ28" s="12"/>
      <c r="BA28" s="12"/>
      <c r="BE28" s="12"/>
      <c r="BF28" s="12"/>
      <c r="BG28" s="12"/>
      <c r="BH28" s="12"/>
      <c r="BL28" s="12"/>
      <c r="BM28" s="12"/>
      <c r="BN28" s="12"/>
      <c r="BO28" s="12"/>
      <c r="BS28" s="12"/>
      <c r="BT28" s="12"/>
      <c r="BU28" s="12"/>
      <c r="BV28" s="12"/>
      <c r="BZ28" s="12"/>
      <c r="CA28" s="12"/>
      <c r="CB28" s="12"/>
      <c r="CC28" s="12"/>
      <c r="CG28" s="12"/>
      <c r="CH28" s="12"/>
      <c r="CI28" s="12"/>
      <c r="CJ28" s="12"/>
    </row>
    <row r="29" spans="2:88" outlineLevel="1">
      <c r="E29" s="11"/>
      <c r="G29" s="12"/>
      <c r="I29" s="11"/>
      <c r="J29" s="13"/>
      <c r="K29" s="13"/>
      <c r="L29" s="11"/>
      <c r="O29" s="12"/>
      <c r="P29" s="12"/>
      <c r="Q29" s="12"/>
      <c r="R29" s="12"/>
      <c r="V29" s="12"/>
      <c r="W29" s="12"/>
      <c r="X29" s="12"/>
      <c r="Y29" s="12"/>
      <c r="AC29" s="12"/>
      <c r="AD29" s="12"/>
      <c r="AE29" s="12"/>
      <c r="AF29" s="12"/>
      <c r="AJ29" s="12"/>
      <c r="AK29" s="12"/>
      <c r="AL29" s="12"/>
      <c r="AM29" s="12"/>
      <c r="AQ29" s="12"/>
      <c r="AR29" s="12"/>
      <c r="AS29" s="12"/>
      <c r="AT29" s="12"/>
      <c r="AX29" s="12"/>
      <c r="AY29" s="12"/>
      <c r="AZ29" s="12"/>
      <c r="BA29" s="12"/>
      <c r="BE29" s="12"/>
      <c r="BF29" s="12"/>
      <c r="BG29" s="12"/>
      <c r="BH29" s="12"/>
      <c r="BL29" s="12"/>
      <c r="BM29" s="12"/>
      <c r="BN29" s="12"/>
      <c r="BO29" s="12"/>
      <c r="BS29" s="12"/>
      <c r="BT29" s="12"/>
      <c r="BU29" s="12"/>
      <c r="BV29" s="12"/>
      <c r="BZ29" s="12"/>
      <c r="CA29" s="12"/>
      <c r="CB29" s="12"/>
      <c r="CC29" s="12"/>
      <c r="CG29" s="12"/>
      <c r="CH29" s="12"/>
      <c r="CI29" s="12"/>
      <c r="CJ29" s="12"/>
    </row>
    <row r="30" spans="2:88" outlineLevel="1">
      <c r="E30" s="11"/>
      <c r="G30" s="12"/>
      <c r="I30" s="11"/>
      <c r="J30" s="13"/>
      <c r="K30" s="13"/>
      <c r="L30" s="11"/>
      <c r="O30" s="12"/>
      <c r="P30" s="12"/>
      <c r="Q30" s="12"/>
      <c r="R30" s="12"/>
      <c r="V30" s="12"/>
      <c r="W30" s="12"/>
      <c r="X30" s="12"/>
      <c r="Y30" s="12"/>
      <c r="AC30" s="12"/>
      <c r="AD30" s="12"/>
      <c r="AE30" s="12"/>
      <c r="AF30" s="12"/>
      <c r="AJ30" s="12"/>
      <c r="AK30" s="12"/>
      <c r="AL30" s="12"/>
      <c r="AM30" s="12"/>
      <c r="AQ30" s="12"/>
      <c r="AR30" s="12"/>
      <c r="AS30" s="12"/>
      <c r="AT30" s="12"/>
      <c r="AX30" s="12"/>
      <c r="AY30" s="12"/>
      <c r="AZ30" s="12"/>
      <c r="BA30" s="12"/>
      <c r="BE30" s="12"/>
      <c r="BF30" s="12"/>
      <c r="BG30" s="12"/>
      <c r="BH30" s="12"/>
      <c r="BL30" s="12"/>
      <c r="BM30" s="12"/>
      <c r="BN30" s="12"/>
      <c r="BO30" s="12"/>
      <c r="BS30" s="12"/>
      <c r="BT30" s="12"/>
      <c r="BU30" s="12"/>
      <c r="BV30" s="12"/>
      <c r="BZ30" s="12"/>
      <c r="CA30" s="12"/>
      <c r="CB30" s="12"/>
      <c r="CC30" s="12"/>
      <c r="CG30" s="12"/>
      <c r="CH30" s="12"/>
      <c r="CI30" s="12"/>
      <c r="CJ30" s="12"/>
    </row>
    <row r="31" spans="2:88" outlineLevel="1">
      <c r="E31" s="11"/>
      <c r="G31" s="12"/>
      <c r="I31" s="11"/>
      <c r="J31" s="13"/>
      <c r="K31" s="13"/>
      <c r="L31" s="11"/>
      <c r="O31" s="12"/>
      <c r="P31" s="12"/>
      <c r="Q31" s="12"/>
      <c r="R31" s="12"/>
      <c r="V31" s="12"/>
      <c r="W31" s="12"/>
      <c r="X31" s="12"/>
      <c r="Y31" s="12"/>
      <c r="AC31" s="12"/>
      <c r="AD31" s="12"/>
      <c r="AE31" s="12"/>
      <c r="AF31" s="12"/>
      <c r="AJ31" s="12"/>
      <c r="AK31" s="12"/>
      <c r="AL31" s="12"/>
      <c r="AM31" s="12"/>
      <c r="AQ31" s="12"/>
      <c r="AR31" s="12"/>
      <c r="AS31" s="12"/>
      <c r="AT31" s="12"/>
      <c r="AX31" s="12"/>
      <c r="AY31" s="12"/>
      <c r="AZ31" s="12"/>
      <c r="BA31" s="12"/>
      <c r="BE31" s="12"/>
      <c r="BF31" s="12"/>
      <c r="BG31" s="12"/>
      <c r="BH31" s="12"/>
      <c r="BL31" s="12"/>
      <c r="BM31" s="12"/>
      <c r="BN31" s="12"/>
      <c r="BO31" s="12"/>
      <c r="BS31" s="12"/>
      <c r="BT31" s="12"/>
      <c r="BU31" s="12"/>
      <c r="BV31" s="12"/>
      <c r="BZ31" s="12"/>
      <c r="CA31" s="12"/>
      <c r="CB31" s="12"/>
      <c r="CC31" s="12"/>
      <c r="CG31" s="12"/>
      <c r="CH31" s="12"/>
      <c r="CI31" s="12"/>
      <c r="CJ31" s="12"/>
    </row>
  </sheetData>
  <mergeCells count="12">
    <mergeCell ref="AP2:AU2"/>
    <mergeCell ref="CF2:CK2"/>
    <mergeCell ref="I2:L2"/>
    <mergeCell ref="N2:S2"/>
    <mergeCell ref="U2:Z2"/>
    <mergeCell ref="AB2:AG2"/>
    <mergeCell ref="AI2:AN2"/>
    <mergeCell ref="AW2:BB2"/>
    <mergeCell ref="BD2:BI2"/>
    <mergeCell ref="BK2:BP2"/>
    <mergeCell ref="BR2:BW2"/>
    <mergeCell ref="BY2:CD2"/>
  </mergeCells>
  <phoneticPr fontId="5" type="noConversion"/>
  <conditionalFormatting sqref="O15:O21 Q15:Q21 AQ15:AQ21 AS15:AS21 BE15:BE21 BG15:BG21 V15:V21 X15:X21 AX15:AX21 AZ15:AZ21 AC15:AC22 AE15:AE22 BL15:BL21 BN15:BN21 BS15:BS21 BU15:BU21 BZ15:BZ21 CB15:CB21 CG15:CG21 CI15:CI21 Q24:Q31 O24:O31 BG24:BG31 X24:X31 V24:V31 AE24:AE31 AC24:AC31 AJ15:AJ31 AL15:AL31 AS24:AS31 AQ24:AQ31 AX24:AX31 AZ24:AZ31 BE24:BE31 BN24:BN31 BL24:BL31 BU24:BU31 BS24:BS31 CB24:CB31 BZ24:BZ31 CI24:CI31 CG24:CG31 O5:O6 Q5:Q6">
    <cfRule type="expression" dxfId="21" priority="210">
      <formula>OR(IF(O5&lt;P5,TRUE),IF(AND(P5="",O5&lt;&gt;""),TRUE))</formula>
    </cfRule>
    <cfRule type="expression" dxfId="20" priority="211">
      <formula>IF(O5&gt;=P5,IF(O5="",FALSE,TRUE))</formula>
    </cfRule>
  </conditionalFormatting>
  <conditionalFormatting sqref="J10:K10">
    <cfRule type="colorScale" priority="24">
      <colorScale>
        <cfvo type="percent" val="0"/>
        <cfvo type="percent" val="100"/>
        <color rgb="FFFF231B"/>
        <color rgb="FF10FF07"/>
      </colorScale>
    </cfRule>
  </conditionalFormatting>
  <conditionalFormatting sqref="J10">
    <cfRule type="colorScale" priority="25">
      <colorScale>
        <cfvo type="percent" val="0"/>
        <cfvo type="percent" val="100"/>
        <color rgb="FFFF231B"/>
        <color rgb="FF10FF07"/>
      </colorScale>
    </cfRule>
  </conditionalFormatting>
  <conditionalFormatting sqref="K10">
    <cfRule type="colorScale" priority="26">
      <colorScale>
        <cfvo type="percent" val="0"/>
        <cfvo type="percent" val="100"/>
        <color rgb="FFFF231B"/>
        <color rgb="FF10FF07"/>
      </colorScale>
    </cfRule>
  </conditionalFormatting>
  <conditionalFormatting sqref="J5">
    <cfRule type="colorScale" priority="20">
      <colorScale>
        <cfvo type="percent" val="0"/>
        <cfvo type="percent" val="100"/>
        <color rgb="FFFF231B"/>
        <color rgb="FF10FF07"/>
      </colorScale>
    </cfRule>
  </conditionalFormatting>
  <conditionalFormatting sqref="J26:K26">
    <cfRule type="colorScale" priority="346">
      <colorScale>
        <cfvo type="percent" val="0"/>
        <cfvo type="percent" val="100"/>
        <color rgb="FFFF231B"/>
        <color rgb="FF10FF07"/>
      </colorScale>
    </cfRule>
  </conditionalFormatting>
  <conditionalFormatting sqref="J26">
    <cfRule type="colorScale" priority="347">
      <colorScale>
        <cfvo type="percent" val="0"/>
        <cfvo type="percent" val="100"/>
        <color rgb="FFFF231B"/>
        <color rgb="FF10FF07"/>
      </colorScale>
    </cfRule>
  </conditionalFormatting>
  <conditionalFormatting sqref="K26">
    <cfRule type="colorScale" priority="348">
      <colorScale>
        <cfvo type="percent" val="0"/>
        <cfvo type="percent" val="100"/>
        <color rgb="FFFF231B"/>
        <color rgb="FF10FF07"/>
      </colorScale>
    </cfRule>
  </conditionalFormatting>
  <conditionalFormatting sqref="J15:K25">
    <cfRule type="colorScale" priority="349">
      <colorScale>
        <cfvo type="percent" val="0"/>
        <cfvo type="percent" val="100"/>
        <color rgb="FFFF231B"/>
        <color rgb="FF10FF07"/>
      </colorScale>
    </cfRule>
  </conditionalFormatting>
  <conditionalFormatting sqref="J15:J25">
    <cfRule type="colorScale" priority="350">
      <colorScale>
        <cfvo type="percent" val="0"/>
        <cfvo type="percent" val="100"/>
        <color rgb="FFFF231B"/>
        <color rgb="FF10FF07"/>
      </colorScale>
    </cfRule>
  </conditionalFormatting>
  <conditionalFormatting sqref="K15:K25">
    <cfRule type="colorScale" priority="351">
      <colorScale>
        <cfvo type="percent" val="0"/>
        <cfvo type="percent" val="100"/>
        <color rgb="FFFF231B"/>
        <color rgb="FF10FF07"/>
      </colorScale>
    </cfRule>
  </conditionalFormatting>
  <conditionalFormatting sqref="J27:K31">
    <cfRule type="colorScale" priority="352">
      <colorScale>
        <cfvo type="percent" val="0"/>
        <cfvo type="percent" val="100"/>
        <color rgb="FFFF231B"/>
        <color rgb="FF10FF07"/>
      </colorScale>
    </cfRule>
  </conditionalFormatting>
  <conditionalFormatting sqref="J27:J31">
    <cfRule type="colorScale" priority="353">
      <colorScale>
        <cfvo type="percent" val="0"/>
        <cfvo type="percent" val="100"/>
        <color rgb="FFFF231B"/>
        <color rgb="FF10FF07"/>
      </colorScale>
    </cfRule>
  </conditionalFormatting>
  <conditionalFormatting sqref="K27:K31">
    <cfRule type="colorScale" priority="354">
      <colorScale>
        <cfvo type="percent" val="0"/>
        <cfvo type="percent" val="100"/>
        <color rgb="FFFF231B"/>
        <color rgb="FF10FF07"/>
      </colorScale>
    </cfRule>
  </conditionalFormatting>
  <conditionalFormatting sqref="J12:K13">
    <cfRule type="colorScale" priority="19">
      <colorScale>
        <cfvo type="percent" val="0"/>
        <cfvo type="percent" val="100"/>
        <color rgb="FFFF231B"/>
        <color rgb="FF10FF07"/>
      </colorScale>
    </cfRule>
  </conditionalFormatting>
  <conditionalFormatting sqref="J12:J13">
    <cfRule type="colorScale" priority="18">
      <colorScale>
        <cfvo type="percent" val="0"/>
        <cfvo type="percent" val="100"/>
        <color rgb="FFFF231B"/>
        <color rgb="FF10FF07"/>
      </colorScale>
    </cfRule>
  </conditionalFormatting>
  <conditionalFormatting sqref="K12:K13">
    <cfRule type="colorScale" priority="17">
      <colorScale>
        <cfvo type="percent" val="0"/>
        <cfvo type="percent" val="100"/>
        <color rgb="FFFF231B"/>
        <color rgb="FF10FF07"/>
      </colorScale>
    </cfRule>
  </conditionalFormatting>
  <conditionalFormatting sqref="O7:O9">
    <cfRule type="expression" dxfId="19" priority="7">
      <formula>OR(IF(O7&lt;P7,TRUE),IF(AND(P7="",O7&lt;&gt;""),TRUE))</formula>
    </cfRule>
    <cfRule type="expression" dxfId="18" priority="8">
      <formula>IF(O7&gt;=P7,IF(O7="",FALSE,TRUE))</formula>
    </cfRule>
  </conditionalFormatting>
  <conditionalFormatting sqref="Q7:Q9">
    <cfRule type="expression" dxfId="17" priority="5">
      <formula>OR(IF(Q7&lt;R7,TRUE),IF(AND(R7="",Q7&lt;&gt;""),TRUE))</formula>
    </cfRule>
    <cfRule type="expression" dxfId="16" priority="6">
      <formula>IF(Q7&gt;=R7,IF(Q7="",FALSE,TRUE))</formula>
    </cfRule>
  </conditionalFormatting>
  <conditionalFormatting sqref="O12:O13">
    <cfRule type="expression" dxfId="15" priority="3">
      <formula>OR(IF(O12&lt;P12,TRUE),IF(AND(P12="",O12&lt;&gt;""),TRUE))</formula>
    </cfRule>
    <cfRule type="expression" dxfId="14" priority="4">
      <formula>IF(O12&gt;=P12,IF(O12="",FALSE,TRUE))</formula>
    </cfRule>
  </conditionalFormatting>
  <conditionalFormatting sqref="Q12:Q13">
    <cfRule type="expression" dxfId="13" priority="1">
      <formula>OR(IF(Q12&lt;R12,TRUE),IF(AND(R12="",Q12&lt;&gt;""),TRUE))</formula>
    </cfRule>
    <cfRule type="expression" dxfId="12" priority="2">
      <formula>IF(Q12&gt;=R12,IF(Q12="",FALSE,TRUE))</formula>
    </cfRule>
  </conditionalFormatting>
  <conditionalFormatting sqref="J6:K9">
    <cfRule type="colorScale" priority="363">
      <colorScale>
        <cfvo type="percent" val="0"/>
        <cfvo type="percent" val="100"/>
        <color rgb="FFFF231B"/>
        <color rgb="FF10FF07"/>
      </colorScale>
    </cfRule>
  </conditionalFormatting>
  <conditionalFormatting sqref="J5:J9">
    <cfRule type="colorScale" priority="365">
      <colorScale>
        <cfvo type="percent" val="0"/>
        <cfvo type="percent" val="100"/>
        <color rgb="FFFF231B"/>
        <color rgb="FF10FF07"/>
      </colorScale>
    </cfRule>
  </conditionalFormatting>
  <conditionalFormatting sqref="K5:K9">
    <cfRule type="colorScale" priority="367">
      <colorScale>
        <cfvo type="percent" val="0"/>
        <cfvo type="percent" val="100"/>
        <color rgb="FFFF231B"/>
        <color rgb="FF10FF07"/>
      </colorScale>
    </cfRule>
  </conditionalFormatting>
  <dataValidations count="1">
    <dataValidation type="list" allowBlank="1" showInputMessage="1" showErrorMessage="1" sqref="CG15:CJ21 BS15:BV21 BL15:BO21 O15:R21 V15:Y21 AC15:AF22 AQ15:AT21 AX15:BA21 BE15:BH21 BZ15:CC21 CG24:CJ31 BZ24:CC31 BS24:BV31 BL24:BO31 O24:R31 AX24:BA31 BE24:BH31 AQ24:AT31 AJ15:AM31 AC24:AF31 V24:Y31 O12:R13 O5:R9" xr:uid="{4D29C2D0-593C-4F1F-93C8-9AC22E485843}">
      <formula1>"10%,20%,30%,40%,50%,60%,70%,80%,90%,100%"</formula1>
    </dataValidation>
  </dataValidations>
  <pageMargins left="0.7" right="0.7" top="0.75" bottom="0.75" header="0.3" footer="0.3"/>
  <pageSetup paperSize="9" orientation="portrait" horizontalDpi="200" verticalDpi="2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59765625" defaultRowHeight="15.6"/>
  <cols>
    <col min="1" max="1" width="16.8984375" style="11" customWidth="1"/>
    <col min="2" max="2" width="19.09765625" style="11" customWidth="1"/>
    <col min="3" max="3" width="18.09765625" style="11" customWidth="1"/>
    <col min="4" max="4" width="19.5" style="11" customWidth="1"/>
    <col min="8" max="8" width="15.09765625" customWidth="1"/>
    <col min="10" max="10" width="42" customWidth="1"/>
    <col min="11" max="11" width="28.5" customWidth="1"/>
  </cols>
  <sheetData>
    <row r="1" spans="1:11" ht="31.2">
      <c r="A1" s="11" t="s">
        <v>68</v>
      </c>
      <c r="B1" s="17" t="s">
        <v>65</v>
      </c>
      <c r="C1" s="17" t="s">
        <v>66</v>
      </c>
      <c r="D1" s="17" t="s">
        <v>67</v>
      </c>
      <c r="E1" s="1" t="s">
        <v>69</v>
      </c>
      <c r="F1" s="1" t="s">
        <v>70</v>
      </c>
      <c r="G1" s="1" t="s">
        <v>71</v>
      </c>
      <c r="H1" s="1" t="s">
        <v>72</v>
      </c>
      <c r="I1" s="1" t="s">
        <v>73</v>
      </c>
      <c r="J1" s="1" t="s">
        <v>74</v>
      </c>
      <c r="K1" s="1" t="s">
        <v>75</v>
      </c>
    </row>
    <row r="2" spans="1:11">
      <c r="A2" s="16">
        <v>44118</v>
      </c>
      <c r="D2" s="18">
        <v>1</v>
      </c>
    </row>
    <row r="3" spans="1:11">
      <c r="A3" s="16">
        <v>44119</v>
      </c>
    </row>
    <row r="4" spans="1:11">
      <c r="A4" s="16">
        <v>44120</v>
      </c>
    </row>
    <row r="5" spans="1:11">
      <c r="A5" s="16">
        <v>44121</v>
      </c>
    </row>
    <row r="6" spans="1:11">
      <c r="A6" s="16">
        <v>44122</v>
      </c>
    </row>
    <row r="7" spans="1:11">
      <c r="A7" s="16">
        <v>44123</v>
      </c>
    </row>
    <row r="8" spans="1:11">
      <c r="A8" s="16">
        <v>44124</v>
      </c>
    </row>
    <row r="9" spans="1:11">
      <c r="A9" s="16">
        <v>44125</v>
      </c>
    </row>
    <row r="10" spans="1:11">
      <c r="A10" s="16">
        <v>44126</v>
      </c>
    </row>
    <row r="11" spans="1:11">
      <c r="A11" s="16">
        <v>44127</v>
      </c>
    </row>
    <row r="12" spans="1:11">
      <c r="A12" s="16">
        <v>44128</v>
      </c>
    </row>
    <row r="13" spans="1:11">
      <c r="A13" s="16">
        <v>44129</v>
      </c>
    </row>
    <row r="14" spans="1:11">
      <c r="A14" s="16">
        <v>44130</v>
      </c>
    </row>
    <row r="15" spans="1:11">
      <c r="A15" s="16">
        <v>44131</v>
      </c>
    </row>
    <row r="16" spans="1:11">
      <c r="A16" s="16">
        <v>44132</v>
      </c>
    </row>
    <row r="17" spans="1:1">
      <c r="A17" s="16">
        <v>44133</v>
      </c>
    </row>
    <row r="18" spans="1:1">
      <c r="A18" s="16">
        <v>44134</v>
      </c>
    </row>
    <row r="19" spans="1:1">
      <c r="A19" s="16">
        <v>44135</v>
      </c>
    </row>
    <row r="20" spans="1:1">
      <c r="A20" s="16">
        <v>44136</v>
      </c>
    </row>
    <row r="21" spans="1:1">
      <c r="A21" s="16">
        <v>44137</v>
      </c>
    </row>
    <row r="22" spans="1:1">
      <c r="A22" s="16">
        <v>44138</v>
      </c>
    </row>
    <row r="23" spans="1:1">
      <c r="A23" s="16">
        <v>44139</v>
      </c>
    </row>
    <row r="24" spans="1:1">
      <c r="A24" s="16">
        <v>44140</v>
      </c>
    </row>
    <row r="25" spans="1:1">
      <c r="A25" s="16">
        <v>44141</v>
      </c>
    </row>
    <row r="26" spans="1:1">
      <c r="A26" s="16">
        <v>44142</v>
      </c>
    </row>
    <row r="27" spans="1:1">
      <c r="A27" s="16">
        <v>44143</v>
      </c>
    </row>
    <row r="28" spans="1:1">
      <c r="A28" s="16">
        <v>44144</v>
      </c>
    </row>
    <row r="29" spans="1:1">
      <c r="A29" s="16">
        <v>44145</v>
      </c>
    </row>
    <row r="30" spans="1:1">
      <c r="A30" s="16">
        <v>44146</v>
      </c>
    </row>
    <row r="31" spans="1:1">
      <c r="A31" s="16">
        <v>44147</v>
      </c>
    </row>
    <row r="32" spans="1:1">
      <c r="A32" s="16">
        <v>44148</v>
      </c>
    </row>
    <row r="33" spans="1:1">
      <c r="A33" s="16">
        <v>44149</v>
      </c>
    </row>
    <row r="34" spans="1:1">
      <c r="A34" s="16">
        <v>44150</v>
      </c>
    </row>
    <row r="35" spans="1:1">
      <c r="A35" s="16">
        <v>44151</v>
      </c>
    </row>
    <row r="36" spans="1:1">
      <c r="A36" s="16">
        <v>44152</v>
      </c>
    </row>
    <row r="37" spans="1:1">
      <c r="A37" s="16">
        <v>44153</v>
      </c>
    </row>
    <row r="38" spans="1:1">
      <c r="A38" s="16">
        <v>44154</v>
      </c>
    </row>
    <row r="39" spans="1:1">
      <c r="A39" s="16">
        <v>44155</v>
      </c>
    </row>
    <row r="40" spans="1:1">
      <c r="A40" s="16">
        <v>44156</v>
      </c>
    </row>
    <row r="41" spans="1:1">
      <c r="A41" s="16">
        <v>44157</v>
      </c>
    </row>
    <row r="42" spans="1:1">
      <c r="A42" s="16">
        <v>44158</v>
      </c>
    </row>
    <row r="43" spans="1:1">
      <c r="A43" s="16">
        <v>44159</v>
      </c>
    </row>
    <row r="44" spans="1:1">
      <c r="A44" s="16">
        <v>44160</v>
      </c>
    </row>
    <row r="45" spans="1:1">
      <c r="A45" s="16">
        <v>44161</v>
      </c>
    </row>
    <row r="46" spans="1:1">
      <c r="A46" s="16">
        <v>44162</v>
      </c>
    </row>
  </sheetData>
  <conditionalFormatting sqref="B2:B46">
    <cfRule type="cellIs" dxfId="11" priority="14" operator="equal">
      <formula>"Ja"</formula>
    </cfRule>
    <cfRule type="cellIs" dxfId="10" priority="15" operator="equal">
      <formula>"Nein"</formula>
    </cfRule>
  </conditionalFormatting>
  <conditionalFormatting sqref="D2">
    <cfRule type="cellIs" dxfId="9" priority="6" operator="equal">
      <formula>1</formula>
    </cfRule>
    <cfRule type="cellIs" dxfId="8" priority="7" operator="equal">
      <formula>0.8</formula>
    </cfRule>
    <cfRule type="cellIs" dxfId="7" priority="8" operator="equal">
      <formula>0.6</formula>
    </cfRule>
    <cfRule type="cellIs" dxfId="6" priority="9" operator="equal">
      <formula>0.4</formula>
    </cfRule>
    <cfRule type="cellIs" dxfId="5" priority="10" operator="equal">
      <formula>0.2</formula>
    </cfRule>
    <cfRule type="cellIs" dxfId="4" priority="11" operator="equal">
      <formula>0</formula>
    </cfRule>
  </conditionalFormatting>
  <conditionalFormatting sqref="B2:B46">
    <cfRule type="cellIs" dxfId="3" priority="4" operator="equal">
      <formula>"Ja"</formula>
    </cfRule>
  </conditionalFormatting>
  <conditionalFormatting sqref="C2:C46">
    <cfRule type="cellIs" dxfId="2" priority="2" operator="equal">
      <formula>"Ja"</formula>
    </cfRule>
    <cfRule type="cellIs" dxfId="1" priority="3" operator="equal">
      <formula>"Nein"</formula>
    </cfRule>
  </conditionalFormatting>
  <conditionalFormatting sqref="C2:C46">
    <cfRule type="cellIs" dxfId="0"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D19" sqref="D19"/>
    </sheetView>
  </sheetViews>
  <sheetFormatPr baseColWidth="10" defaultColWidth="10.5976562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59765625" defaultRowHeight="15.6"/>
  <sheetData>
    <row r="1" spans="1:8" ht="24.6">
      <c r="B1" s="8" t="s">
        <v>26</v>
      </c>
    </row>
    <row r="4" spans="1:8">
      <c r="B4" s="3" t="s">
        <v>5</v>
      </c>
      <c r="C4" s="3" t="s">
        <v>6</v>
      </c>
      <c r="D4" s="3" t="s">
        <v>7</v>
      </c>
      <c r="E4" s="3" t="s">
        <v>8</v>
      </c>
      <c r="F4" s="3" t="s">
        <v>11</v>
      </c>
      <c r="G4" s="3" t="s">
        <v>9</v>
      </c>
      <c r="H4" s="3" t="s">
        <v>10</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Anleitung</vt:lpstr>
      <vt:lpstr>Semesterplan</vt:lpstr>
      <vt:lpstr>Semesterplan SoSe 22</vt:lpstr>
      <vt:lpstr>Semesterferien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carlos nico carolina</cp:lastModifiedBy>
  <dcterms:created xsi:type="dcterms:W3CDTF">2020-04-19T13:33:28Z</dcterms:created>
  <dcterms:modified xsi:type="dcterms:W3CDTF">2022-07-07T16:48:43Z</dcterms:modified>
</cp:coreProperties>
</file>