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leme\Downloads\"/>
    </mc:Choice>
  </mc:AlternateContent>
  <xr:revisionPtr revIDLastSave="0" documentId="8_{B7743E05-2C84-4B97-B09D-1FFA14CAD6D4}" xr6:coauthVersionLast="47" xr6:coauthVersionMax="47" xr10:uidLastSave="{00000000-0000-0000-0000-000000000000}"/>
  <bookViews>
    <workbookView xWindow="-120" yWindow="-120" windowWidth="29040" windowHeight="164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D4" i="7" l="1"/>
  <c r="C11" i="10"/>
  <c r="K63" i="7" a="1"/>
  <c r="K63" i="7" s="1"/>
  <c r="J63" i="7" a="1"/>
  <c r="J63" i="7" s="1"/>
  <c r="I63" i="7"/>
  <c r="K62" i="7" a="1"/>
  <c r="K62" i="7" s="1"/>
  <c r="J62" i="7" a="1"/>
  <c r="J62" i="7" s="1"/>
  <c r="I62" i="7"/>
  <c r="K61" i="7" a="1"/>
  <c r="K61" i="7" s="1"/>
  <c r="J61" i="7" a="1"/>
  <c r="J61" i="7" s="1"/>
  <c r="I61" i="7"/>
  <c r="K60" i="7" a="1"/>
  <c r="K60" i="7" s="1"/>
  <c r="J60" i="7" a="1"/>
  <c r="J60" i="7" s="1"/>
  <c r="I60" i="7"/>
  <c r="DO4" i="7"/>
  <c r="DH4" i="7"/>
  <c r="K51" i="7" a="1"/>
  <c r="K51" i="7" s="1"/>
  <c r="J51" i="7" a="1"/>
  <c r="J51" i="7" s="1"/>
  <c r="I51" i="7"/>
  <c r="I13" i="7"/>
  <c r="K37" i="7" a="1"/>
  <c r="K37" i="7" s="1"/>
  <c r="J37" i="7" a="1"/>
  <c r="J37" i="7" s="1"/>
  <c r="I37" i="7"/>
  <c r="K36" i="7" a="1"/>
  <c r="K36" i="7" s="1"/>
  <c r="J36" i="7" a="1"/>
  <c r="J36" i="7" s="1"/>
  <c r="I36" i="7"/>
  <c r="K34" i="7" a="1"/>
  <c r="K34" i="7" s="1"/>
  <c r="J34" i="7" a="1"/>
  <c r="J34" i="7" s="1"/>
  <c r="I34" i="7"/>
  <c r="K35" i="7" a="1"/>
  <c r="K35" i="7" s="1"/>
  <c r="J35" i="7" a="1"/>
  <c r="J35" i="7" s="1"/>
  <c r="I35" i="7"/>
  <c r="K33" i="7" a="1"/>
  <c r="K33" i="7" s="1"/>
  <c r="J33" i="7" a="1"/>
  <c r="J33" i="7" s="1"/>
  <c r="I33" i="7"/>
  <c r="K32" i="7" a="1"/>
  <c r="K32" i="7" s="1"/>
  <c r="J32" i="7" a="1"/>
  <c r="J32" i="7" s="1"/>
  <c r="I32" i="7"/>
  <c r="K31" i="7" a="1"/>
  <c r="K31" i="7" s="1"/>
  <c r="J31" i="7" a="1"/>
  <c r="J31" i="7" s="1"/>
  <c r="I31" i="7"/>
  <c r="K30" i="7" a="1"/>
  <c r="K30" i="7" s="1"/>
  <c r="J30" i="7" a="1"/>
  <c r="J30" i="7" s="1"/>
  <c r="I30" i="7"/>
  <c r="K29" i="7" a="1"/>
  <c r="K29" i="7" s="1"/>
  <c r="J29" i="7" a="1"/>
  <c r="J29" i="7" s="1"/>
  <c r="I29" i="7"/>
  <c r="K28" i="7" a="1"/>
  <c r="K28" i="7" s="1"/>
  <c r="J28" i="7" a="1"/>
  <c r="J28" i="7" s="1"/>
  <c r="I28" i="7"/>
  <c r="K27" i="7" a="1"/>
  <c r="K27" i="7" s="1"/>
  <c r="J27" i="7" a="1"/>
  <c r="J27" i="7" s="1"/>
  <c r="I27" i="7"/>
  <c r="K26" i="7" a="1"/>
  <c r="K26" i="7" s="1"/>
  <c r="J26" i="7" a="1"/>
  <c r="J26" i="7" s="1"/>
  <c r="I26" i="7"/>
  <c r="K25" i="7" a="1"/>
  <c r="K25" i="7" s="1"/>
  <c r="J25" i="7" a="1"/>
  <c r="J25" i="7" s="1"/>
  <c r="I25" i="7"/>
  <c r="K24" i="7" a="1"/>
  <c r="K24" i="7" s="1"/>
  <c r="J24" i="7" a="1"/>
  <c r="J24" i="7" s="1"/>
  <c r="I24" i="7"/>
  <c r="K23" i="7" a="1"/>
  <c r="K23" i="7" s="1"/>
  <c r="J23" i="7" a="1"/>
  <c r="J23" i="7" s="1"/>
  <c r="I23" i="7"/>
  <c r="K22" i="7" a="1"/>
  <c r="K22" i="7" s="1"/>
  <c r="J22" i="7" a="1"/>
  <c r="J22" i="7" s="1"/>
  <c r="I22" i="7"/>
  <c r="K14" i="7" a="1"/>
  <c r="K14" i="7" s="1"/>
  <c r="J14" i="7" a="1"/>
  <c r="J14" i="7" s="1"/>
  <c r="I14" i="7"/>
  <c r="K13" i="7" a="1"/>
  <c r="K13" i="7" s="1"/>
  <c r="J13" i="7" a="1"/>
  <c r="J13" i="7" s="1"/>
  <c r="K12" i="7" a="1"/>
  <c r="K12" i="7" s="1"/>
  <c r="J12" i="7" a="1"/>
  <c r="J12" i="7" s="1"/>
  <c r="I12" i="7"/>
  <c r="K11" i="7" a="1"/>
  <c r="K11" i="7" s="1"/>
  <c r="J11" i="7" a="1"/>
  <c r="J11" i="7" s="1"/>
  <c r="I11" i="7"/>
  <c r="K10" i="7" a="1"/>
  <c r="K10" i="7" s="1"/>
  <c r="J10" i="7" a="1"/>
  <c r="J10" i="7" s="1"/>
  <c r="I10" i="7"/>
  <c r="K9" i="7" a="1"/>
  <c r="K9" i="7" s="1"/>
  <c r="J9" i="7" a="1"/>
  <c r="J9" i="7" s="1"/>
  <c r="I9" i="7"/>
  <c r="DA4" i="7" l="1"/>
  <c r="CT4" i="7"/>
  <c r="CM4" i="7"/>
  <c r="CF4" i="7"/>
  <c r="BY4" i="7"/>
  <c r="BR4" i="7"/>
  <c r="K21" i="7" a="1"/>
  <c r="K21" i="7" s="1"/>
  <c r="J21" i="7" a="1"/>
  <c r="J21" i="7" s="1"/>
  <c r="I21" i="7"/>
  <c r="K20" i="7" a="1"/>
  <c r="K20" i="7" s="1"/>
  <c r="J20" i="7" a="1"/>
  <c r="J20" i="7" s="1"/>
  <c r="I20" i="7"/>
  <c r="K64" i="7" a="1"/>
  <c r="K64" i="7" s="1"/>
  <c r="J64" i="7" a="1"/>
  <c r="J64" i="7" s="1"/>
  <c r="I64"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AP53" i="7"/>
  <c r="AI53" i="7"/>
  <c r="AB53" i="7"/>
  <c r="U53" i="7"/>
  <c r="N53" i="7"/>
  <c r="G53" i="7"/>
  <c r="BK4" i="7"/>
  <c r="C12" i="10"/>
  <c r="K38" i="7" a="1"/>
  <c r="K38" i="7" s="1"/>
  <c r="J38" i="7" a="1"/>
  <c r="J38" i="7" s="1"/>
  <c r="K19" i="7" a="1"/>
  <c r="K19" i="7" s="1"/>
  <c r="J19" i="7" a="1"/>
  <c r="J19" i="7" s="1"/>
  <c r="K50" i="7" a="1"/>
  <c r="K50" i="7" s="1"/>
  <c r="J50" i="7" a="1"/>
  <c r="J50" i="7" s="1"/>
  <c r="K49" i="7" a="1"/>
  <c r="K49" i="7" s="1"/>
  <c r="J49" i="7" a="1"/>
  <c r="J49" i="7" s="1"/>
  <c r="K48" i="7" a="1"/>
  <c r="K48" i="7" s="1"/>
  <c r="J48" i="7" a="1"/>
  <c r="J48" i="7" s="1"/>
  <c r="K47" i="7" a="1"/>
  <c r="K47" i="7" s="1"/>
  <c r="J47" i="7" a="1"/>
  <c r="J47" i="7" s="1"/>
  <c r="K46" i="7" a="1"/>
  <c r="K46" i="7" s="1"/>
  <c r="J46" i="7" a="1"/>
  <c r="J46" i="7" s="1"/>
  <c r="K45" i="7" a="1"/>
  <c r="K45" i="7" s="1"/>
  <c r="J45" i="7" a="1"/>
  <c r="J45" i="7" s="1"/>
  <c r="K44" i="7" a="1"/>
  <c r="K44" i="7" s="1"/>
  <c r="J44" i="7" a="1"/>
  <c r="J44" i="7" s="1"/>
  <c r="K43" i="7" a="1"/>
  <c r="K43" i="7" s="1"/>
  <c r="J43" i="7" a="1"/>
  <c r="J43" i="7" s="1"/>
  <c r="K42" i="7" a="1"/>
  <c r="K42" i="7" s="1"/>
  <c r="J42" i="7" a="1"/>
  <c r="J42" i="7" s="1"/>
  <c r="K41" i="7" a="1"/>
  <c r="K41" i="7" s="1"/>
  <c r="J41" i="7" a="1"/>
  <c r="J41" i="7" s="1"/>
  <c r="K16" i="7" a="1"/>
  <c r="K16" i="7" s="1"/>
  <c r="J16" i="7" a="1"/>
  <c r="J16" i="7" s="1"/>
  <c r="K15" i="7" a="1"/>
  <c r="K15" i="7" s="1"/>
  <c r="J15" i="7" a="1"/>
  <c r="J15" i="7" s="1"/>
  <c r="K8" i="7" a="1"/>
  <c r="K8" i="7" s="1"/>
  <c r="J8" i="7" a="1"/>
  <c r="J8" i="7" s="1"/>
  <c r="K7" i="7" a="1"/>
  <c r="K7" i="7" s="1"/>
  <c r="J7" i="7" a="1"/>
  <c r="J7" i="7" s="1"/>
  <c r="K6" i="7" a="1"/>
  <c r="K6" i="7" s="1"/>
  <c r="J6" i="7" a="1"/>
  <c r="J6" i="7" s="1"/>
  <c r="K5" i="7" a="1"/>
  <c r="K5" i="7" s="1"/>
  <c r="J5" i="7" a="1"/>
  <c r="J5" i="7" s="1"/>
  <c r="AP18" i="7"/>
  <c r="AI18" i="7"/>
  <c r="AB18" i="7"/>
  <c r="U18" i="7"/>
  <c r="AW4" i="7"/>
  <c r="AP4" i="7"/>
  <c r="AI4" i="7"/>
  <c r="AB4" i="7"/>
  <c r="U4" i="7"/>
  <c r="N4" i="7"/>
  <c r="N18" i="7"/>
  <c r="G4" i="7"/>
  <c r="AP40" i="7"/>
  <c r="AI40" i="7"/>
  <c r="AB40" i="7"/>
  <c r="U40" i="7"/>
  <c r="I50" i="7"/>
  <c r="I49" i="7"/>
  <c r="I48" i="7"/>
  <c r="I47" i="7"/>
  <c r="I46" i="7"/>
  <c r="I45" i="7"/>
  <c r="I44" i="7"/>
  <c r="I43" i="7"/>
  <c r="I42" i="7"/>
  <c r="I41" i="7"/>
  <c r="I38" i="7"/>
  <c r="I19" i="7"/>
  <c r="I6" i="7"/>
  <c r="I7" i="7"/>
  <c r="I8" i="7"/>
  <c r="I15" i="7"/>
  <c r="I16" i="7"/>
  <c r="I5" i="7"/>
  <c r="N40" i="7"/>
  <c r="G40" i="7"/>
  <c r="G18" i="7"/>
  <c r="I4" i="7" l="1"/>
  <c r="I53" i="7"/>
  <c r="K53" i="7"/>
  <c r="J53" i="7"/>
  <c r="I40" i="7"/>
  <c r="J40" i="7"/>
  <c r="K40" i="7"/>
  <c r="I18" i="7"/>
  <c r="J18" i="7"/>
  <c r="K18" i="7"/>
  <c r="K4" i="7"/>
  <c r="J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<sst xmlns="http://schemas.openxmlformats.org/spreadsheetml/2006/main" count="422" uniqueCount="171">
  <si>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</si>
  <si>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</si>
  <si>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</si>
  <si>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</si>
  <si>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</si>
  <si>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</si>
  <si>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</si>
  <si>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</si>
  <si>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</si>
  <si>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</si>
  <si>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</si>
  <si>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</si>
  <si>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</si>
  <si>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</si>
  <si>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</si>
  <si>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</si>
  <si>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</si>
  <si>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</si>
  <si>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</si>
  <si>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</si>
  <si>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</si>
  <si>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</si>
  <si>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</si>
  <si>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</si>
  <si>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</si>
  <si>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</si>
  <si>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</si>
  <si>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</si>
  <si>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</si>
  <si>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</si>
  <si>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</si>
  <si>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</si>
  <si>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</si>
  <si>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</si>
  <si>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</si>
  <si>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</si>
  <si>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</si>
  <si>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</si>
  <si>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</si>
  <si>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</si>
  <si>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</si>
  <si>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</si>
  <si>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</si>
  <si>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</si>
  <si>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</si>
  <si>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</si>
  <si>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</si>
  <si>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</si>
  <si>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</si>
  <si>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</si>
  <si>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</si>
  <si>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</si>
  <si>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</si>
  <si>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</si>
  <si>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</si>
  <si>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</si>
  <si>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</si>
  <si>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</si>
  <si>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</si>
  <si>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</si>
  <si>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</si>
  <si>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</si>
  <si>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</si>
  <si>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</si>
  <si>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</si>
  <si>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</si>
  <si>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</si>
  <si>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</si>
  <si>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</si>
  <si>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</si>
  <si>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</si>
  <si>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</si>
  <si>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</si>
  <si>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</si>
  <si>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</si>
  <si>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</si>
  <si>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</si>
  <si>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</si>
  <si>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</si>
  <si>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</si>
  <si>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</si>
  <si>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</si>
  <si>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</si>
  <si>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</si>
  <si>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</si>
  <si>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</si>
  <si>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</si>
  <si>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</si>
  <si>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2) Ethik in der Vergangenheit</t>
  </si>
  <si>
    <t>E-VWL</t>
  </si>
  <si>
    <t>xx.02.2026</t>
  </si>
  <si>
    <t>1) Einleitung</t>
  </si>
  <si>
    <t>2) Partialmarkt</t>
  </si>
  <si>
    <t>3) Angebot</t>
  </si>
  <si>
    <t>4) Nachfrage</t>
  </si>
  <si>
    <t>5) Arbeitsangebot-Sparen</t>
  </si>
  <si>
    <t>6) Effizienz-Marktversagen</t>
  </si>
  <si>
    <t>7) Intermezzo</t>
  </si>
  <si>
    <t>8) Volkswirtschaftliches Rechnungswesen</t>
  </si>
  <si>
    <t>9) Arbeitsmarkt und Produktion</t>
  </si>
  <si>
    <t>11) Geld, Preis und Wechselkurse</t>
  </si>
  <si>
    <t>10) Finanzmarkt</t>
  </si>
  <si>
    <t>12) Konjunktur</t>
  </si>
  <si>
    <t>Mathematik</t>
  </si>
  <si>
    <t>1) Grundlagen</t>
  </si>
  <si>
    <t>3) Eigenschaften von Funktionen</t>
  </si>
  <si>
    <t>4) Differentiation</t>
  </si>
  <si>
    <t>5) Anwendung einer Differentialgleichung</t>
  </si>
  <si>
    <t>6) Univariate Optimierung</t>
  </si>
  <si>
    <t>7) Integration</t>
  </si>
  <si>
    <t>8) Funktion mehrerer Variablen</t>
  </si>
  <si>
    <t>9) Komparative Statik</t>
  </si>
  <si>
    <t>10) Multivariate Optimierung</t>
  </si>
  <si>
    <t xml:space="preserve">11) Optimierung unter Nebenbedingungen </t>
  </si>
  <si>
    <t xml:space="preserve">12) Einführung </t>
  </si>
  <si>
    <t>13) Vektoren</t>
  </si>
  <si>
    <t>14) Matrizen</t>
  </si>
  <si>
    <t>16) Unterbestimmmte LGS</t>
  </si>
  <si>
    <t>15) Lineare Gleichungssysteme (LGS)</t>
  </si>
  <si>
    <t>17) Matirxinversion</t>
  </si>
  <si>
    <t>18) Determinanten</t>
  </si>
  <si>
    <t>19) Extremwertprobleme mit mehreren Variablen</t>
  </si>
  <si>
    <t>20) Lineare Programmierung</t>
  </si>
  <si>
    <t>Programmieren</t>
  </si>
  <si>
    <t xml:space="preserve">2) Key Concepts of Phythons </t>
  </si>
  <si>
    <t>3) Control structures, Functions Libraries</t>
  </si>
  <si>
    <t>5) Git, Pandas</t>
  </si>
  <si>
    <t>1) Introduction Programming Languages, Tools for Code Development</t>
  </si>
  <si>
    <t>7) Exercise: Climate Change Part 1</t>
  </si>
  <si>
    <t>6) Matplotlib and Seaborn</t>
  </si>
  <si>
    <t>8) Numpy</t>
  </si>
  <si>
    <t>9) Exercise: Climate Change Part 2</t>
  </si>
  <si>
    <t>10) Markdown Crisp Cycle</t>
  </si>
  <si>
    <t>11) Exercise: Climate Change Part 3</t>
  </si>
  <si>
    <t>12) Machine Learning and ChatGPT</t>
  </si>
  <si>
    <t>KW 46</t>
  </si>
  <si>
    <t>KW 47</t>
  </si>
  <si>
    <t>KW 48</t>
  </si>
  <si>
    <t>KW 49</t>
  </si>
  <si>
    <t>KW 50</t>
  </si>
  <si>
    <t>KW 51</t>
  </si>
  <si>
    <t>KW 52</t>
  </si>
  <si>
    <t>KW 1</t>
  </si>
  <si>
    <t>KW 2</t>
  </si>
  <si>
    <t>KW 3</t>
  </si>
  <si>
    <t>KW 4</t>
  </si>
  <si>
    <t>KW 5 Klausurenvorbereitung</t>
  </si>
  <si>
    <t>KW 6</t>
  </si>
  <si>
    <t>E-VWL Klausur</t>
  </si>
  <si>
    <t>Prgrammieren Klausur</t>
  </si>
  <si>
    <t>Mathe &amp; Marketing Klausur</t>
  </si>
  <si>
    <t>3) Marke</t>
  </si>
  <si>
    <t>4) Preis</t>
  </si>
  <si>
    <t>5) Kommunikation</t>
  </si>
  <si>
    <t>6) Distribution &amp; E-Commerce</t>
  </si>
  <si>
    <t>7) Distribution &amp; E-Commerce</t>
  </si>
  <si>
    <t>8) Distribution &amp; E-Commerce</t>
  </si>
  <si>
    <t>9) Distribution &amp; E-Commerce</t>
  </si>
  <si>
    <t>10) Distribution &amp; E-Commerce</t>
  </si>
  <si>
    <t>11) Implementierung &amp; Controlling</t>
  </si>
  <si>
    <t>Management</t>
  </si>
  <si>
    <t>5,4 LvL</t>
  </si>
  <si>
    <t>3,2 LvL</t>
  </si>
  <si>
    <t>3  Lvl</t>
  </si>
  <si>
    <t>5 LvL</t>
  </si>
  <si>
    <t>4 LvL</t>
  </si>
  <si>
    <t>3 LvL</t>
  </si>
  <si>
    <t>6 LvL</t>
  </si>
  <si>
    <t>5LvL</t>
  </si>
  <si>
    <t>2) Funktionen einer Variablen</t>
  </si>
  <si>
    <t>2 LvL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</si>
</sst>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143">
    <dxf>
      <fill>
        <patternFill>
          <bgColor rgb="FFFF0000"/>
        </patternFill>
      </fill>
    </dxf>
    <dxf>
      <fill>
        <patternFill>
          <bgColor rgb="FF10FF07"/>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42">
  <autoFilter ref="A1:K46" xr:uid="{6E266E34-2786-2747-BCE7-51B74867A564}"/>
  <tableColumns count="11">
    <tableColumn id="1" xr3:uid="{95FD92F7-3DC8-704D-A103-A7EDDAB255AB}" name="Datum" dataDxfId="141"/>
    <tableColumn id="2" xr3:uid="{F464D510-8166-E740-A343-FB84BDEF877F}" name="Lerneinheiten durchgezogen" dataDxfId="140"/>
    <tableColumn id="3" xr3:uid="{75F52B08-1A00-0848-BBE6-1EDF7B31B1AD}" name="Tagesplan erstellt" dataDxfId="139"/>
    <tableColumn id="4" xr3:uid="{E6B18D89-E799-AD48-9DAA-37AEE1D29011}" name="Konzentrationslevel" dataDxfId="13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0" sqref="C10"/>
    </sheetView>
  </sheetViews>
  <sheetFormatPr baseColWidth="10" defaultRowHeight="15.75"/>
  <cols>
    <col min="1" max="1" width="11.875" customWidth="1"/>
    <col min="2" max="2" width="62.625" customWidth="1"/>
  </cols>
  <sheetData>
    <row r="2" spans="1:4">
      <c r="C2" s="18" t="s">
        <v>72</v>
      </c>
    </row>
    <row r="3" spans="1:4">
      <c r="C3" s="17" t="s">
        <v>57</v>
      </c>
    </row>
    <row r="4" spans="1:4">
      <c r="C4" s="16" t="s">
        <v>71</v>
      </c>
    </row>
    <row r="5" spans="1:4">
      <c r="A5" s="2" t="s">
        <v>54</v>
      </c>
      <c r="B5" s="2" t="s">
        <v>55</v>
      </c>
      <c r="C5" s="2" t="s">
        <v>56</v>
      </c>
      <c r="D5" s="2" t="s">
        <v>58</v>
      </c>
    </row>
    <row r="6" spans="1:4">
      <c r="A6" t="s">
        <v>50</v>
      </c>
      <c r="B6" s="18" t="s">
        <v>53</v>
      </c>
      <c r="D6" t="s">
        <v>87</v>
      </c>
    </row>
    <row r="7" spans="1:4">
      <c r="A7" t="s">
        <v>61</v>
      </c>
      <c r="B7" t="s">
        <v>62</v>
      </c>
      <c r="C7" s="16">
        <v>55</v>
      </c>
    </row>
    <row r="8" spans="1:4">
      <c r="A8" t="s">
        <v>52</v>
      </c>
      <c r="B8" s="18" t="s">
        <v>51</v>
      </c>
      <c r="D8" t="s">
        <v>75</v>
      </c>
    </row>
    <row r="9" spans="1:4">
      <c r="A9" t="s">
        <v>60</v>
      </c>
      <c r="B9" s="18" t="s">
        <v>73</v>
      </c>
      <c r="D9" t="s">
        <v>76</v>
      </c>
    </row>
    <row r="10" spans="1:4">
      <c r="A10" t="s">
        <v>64</v>
      </c>
      <c r="B10" t="s">
        <v>63</v>
      </c>
      <c r="C10" s="16">
        <v>10.5</v>
      </c>
      <c r="D10" t="s">
        <v>59</v>
      </c>
    </row>
    <row r="11" spans="1:4">
      <c r="A11" t="s">
        <v>65</v>
      </c>
      <c r="B11" t="s">
        <v>67</v>
      </c>
      <c r="C11" s="16">
        <f>42*3</f>
        <v>126</v>
      </c>
      <c r="D11" t="s">
        <v>66</v>
      </c>
    </row>
    <row r="12" spans="1:4">
      <c r="A12" t="s">
        <v>69</v>
      </c>
      <c r="B12" t="s">
        <v>68</v>
      </c>
      <c r="C12" s="17">
        <f>C11/C10</f>
        <v>12</v>
      </c>
    </row>
    <row r="13" spans="1:4">
      <c r="A13" t="s">
        <v>74</v>
      </c>
      <c r="B13" t="s">
        <v>70</v>
      </c>
      <c r="D13" t="s">
        <v>77</v>
      </c>
    </row>
    <row r="14" spans="1:4">
      <c r="A14" t="s">
        <v>78</v>
      </c>
      <c r="B14" t="s">
        <v>79</v>
      </c>
      <c r="D14" t="s">
        <v>80</v>
      </c>
    </row>
    <row r="15" spans="1:4">
      <c r="A15" t="s">
        <v>81</v>
      </c>
      <c r="B15" s="18" t="s">
        <v>82</v>
      </c>
    </row>
    <row r="16" spans="1:4">
      <c r="A16" t="s">
        <v>85</v>
      </c>
      <c r="B16" s="18" t="s">
        <v>83</v>
      </c>
    </row>
    <row r="17" spans="1: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66"/>
  <sheetViews>
    <sheetView showGridLines="0" tabSelected="1" topLeftCell="A2" zoomScale="75" zoomScaleNormal="83" workbookViewId="0">
      <pane xSplit="12" topLeftCell="M1" activePane="topRight" state="frozen"/>
      <selection pane="topRight" activeCell="AT16" sqref="AT16"/>
    </sheetView>
  </sheetViews>
  <sheetFormatPr baseColWidth="10" defaultColWidth="8.875" defaultRowHeight="15.75" outlineLevelRow="1"/>
  <cols>
    <col min="3" max="3" width="1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s>
  <sheetData>
    <row r="1" spans="2:124" ht="33.75">
      <c r="B1" s="4" t="s">
        <v>0</v>
      </c>
      <c r="D1" s="4"/>
      <c r="G1" s="13" t="s">
        <v>34</v>
      </c>
      <c r="I1" s="13" t="s">
        <v>34</v>
      </c>
      <c r="J1" s="13" t="s">
        <v>34</v>
      </c>
      <c r="K1" s="13" t="s">
        <v>34</v>
      </c>
    </row>
    <row r="2" spans="2:124">
      <c r="I2" s="20" t="s">
        <v>27</v>
      </c>
      <c r="J2" s="20"/>
      <c r="K2" s="20"/>
      <c r="L2" s="20"/>
      <c r="N2" s="20" t="s">
        <v>135</v>
      </c>
      <c r="O2" s="20"/>
      <c r="P2" s="20"/>
      <c r="Q2" s="20"/>
      <c r="R2" s="20"/>
      <c r="S2" s="20"/>
      <c r="U2" s="20" t="s">
        <v>136</v>
      </c>
      <c r="V2" s="20"/>
      <c r="W2" s="20"/>
      <c r="X2" s="20"/>
      <c r="Y2" s="20"/>
      <c r="Z2" s="20"/>
      <c r="AB2" s="20" t="s">
        <v>137</v>
      </c>
      <c r="AC2" s="20"/>
      <c r="AD2" s="20"/>
      <c r="AE2" s="20"/>
      <c r="AF2" s="20"/>
      <c r="AG2" s="20"/>
      <c r="AI2" s="20" t="s">
        <v>138</v>
      </c>
      <c r="AJ2" s="20"/>
      <c r="AK2" s="20"/>
      <c r="AL2" s="20"/>
      <c r="AM2" s="20"/>
      <c r="AN2" s="20"/>
      <c r="AP2" s="20" t="s">
        <v>139</v>
      </c>
      <c r="AQ2" s="20"/>
      <c r="AR2" s="20"/>
      <c r="AS2" s="20"/>
      <c r="AT2" s="20"/>
      <c r="AU2" s="20"/>
      <c r="AW2" s="20" t="s">
        <v>140</v>
      </c>
      <c r="AX2" s="20"/>
      <c r="AY2" s="20"/>
      <c r="AZ2" s="20"/>
      <c r="BA2" s="20"/>
      <c r="BB2" s="20"/>
      <c r="BD2" s="20" t="s">
        <v>141</v>
      </c>
      <c r="BE2" s="20"/>
      <c r="BF2" s="20"/>
      <c r="BG2" s="20"/>
      <c r="BH2" s="20"/>
      <c r="BI2" s="20"/>
      <c r="BK2" s="20" t="s">
        <v>142</v>
      </c>
      <c r="BL2" s="20"/>
      <c r="BM2" s="20"/>
      <c r="BN2" s="20"/>
      <c r="BO2" s="20"/>
      <c r="BP2" s="20"/>
      <c r="BR2" s="20" t="s">
        <v>143</v>
      </c>
      <c r="BS2" s="20"/>
      <c r="BT2" s="20"/>
      <c r="BU2" s="20"/>
      <c r="BV2" s="20"/>
      <c r="BW2" s="20"/>
      <c r="BY2" s="20" t="s">
        <v>144</v>
      </c>
      <c r="BZ2" s="20"/>
      <c r="CA2" s="20"/>
      <c r="CB2" s="20"/>
      <c r="CC2" s="20"/>
      <c r="CD2" s="20"/>
      <c r="CF2" s="20" t="s">
        <v>145</v>
      </c>
      <c r="CG2" s="20"/>
      <c r="CH2" s="20"/>
      <c r="CI2" s="20"/>
      <c r="CJ2" s="20"/>
      <c r="CK2" s="20"/>
      <c r="CM2" s="20" t="s">
        <v>146</v>
      </c>
      <c r="CN2" s="20"/>
      <c r="CO2" s="20"/>
      <c r="CP2" s="20"/>
      <c r="CQ2" s="20"/>
      <c r="CR2" s="20"/>
      <c r="CT2" s="20" t="s">
        <v>147</v>
      </c>
      <c r="CU2" s="20"/>
      <c r="CV2" s="20"/>
      <c r="CW2" s="20"/>
      <c r="CX2" s="20"/>
      <c r="CY2" s="20"/>
      <c r="DA2" s="20" t="s">
        <v>148</v>
      </c>
      <c r="DB2" s="20"/>
      <c r="DC2" s="20"/>
      <c r="DD2" s="20"/>
      <c r="DE2" s="20"/>
      <c r="DF2" s="20"/>
      <c r="DH2" s="20" t="s">
        <v>149</v>
      </c>
      <c r="DI2" s="20"/>
      <c r="DJ2" s="20"/>
      <c r="DK2" s="20"/>
      <c r="DL2" s="20"/>
      <c r="DM2" s="20"/>
      <c r="DO2" s="20" t="s">
        <v>150</v>
      </c>
      <c r="DP2" s="20"/>
      <c r="DQ2" s="20"/>
      <c r="DR2" s="20"/>
      <c r="DS2" s="20"/>
      <c r="DT2" s="20"/>
    </row>
    <row r="3" spans="2:124">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row>
    <row r="4" spans="2:124">
      <c r="B4" t="s">
        <v>27</v>
      </c>
      <c r="C4" t="s">
        <v>89</v>
      </c>
      <c r="D4" s="19" t="s">
        <v>90</v>
      </c>
      <c r="E4" s="9">
        <v>9</v>
      </c>
      <c r="G4" s="10">
        <f>+SUM(G5:G16)</f>
        <v>0.7</v>
      </c>
      <c r="I4" s="12">
        <f>+SUM(I5:I16)</f>
        <v>0</v>
      </c>
      <c r="J4" s="11">
        <f>+SUMPRODUCT(G5:G16,J5:J16)</f>
        <v>0</v>
      </c>
      <c r="K4" s="11">
        <f>+SUMPRODUCT(G5:G16,K5:K16)</f>
        <v>0</v>
      </c>
      <c r="L4" s="9" t="s">
        <v>162</v>
      </c>
      <c r="N4" s="12">
        <f>+SUM(N5:N16)</f>
        <v>0</v>
      </c>
      <c r="S4" t="s">
        <v>165</v>
      </c>
      <c r="U4" s="12">
        <f>+SUM(U5:U16)</f>
        <v>0</v>
      </c>
      <c r="Z4" t="s">
        <v>166</v>
      </c>
      <c r="AB4" s="12">
        <f>+SUM(AB5:AB16)</f>
        <v>0</v>
      </c>
      <c r="AG4" t="s">
        <v>165</v>
      </c>
      <c r="AI4" s="12">
        <f>+SUM(AI5:AI16)</f>
        <v>0</v>
      </c>
      <c r="AP4" s="12">
        <f>+SUM(AP5:AP16)</f>
        <v>0</v>
      </c>
      <c r="AU4" t="s">
        <v>166</v>
      </c>
      <c r="AW4" s="12">
        <f>+SUM(AW5:AW16)</f>
        <v>0</v>
      </c>
      <c r="BB4" t="s">
        <v>166</v>
      </c>
      <c r="BD4" s="12">
        <f>+SUM(BD5:BD16)</f>
        <v>0</v>
      </c>
      <c r="BI4" t="s">
        <v>166</v>
      </c>
      <c r="BK4" s="12">
        <f>+SUM(BK5:BK16)</f>
        <v>0</v>
      </c>
      <c r="BP4" t="s">
        <v>165</v>
      </c>
      <c r="BR4" s="12">
        <f>+SUM(BR5:BR16)</f>
        <v>0</v>
      </c>
      <c r="BW4" t="s">
        <v>166</v>
      </c>
      <c r="BY4" s="12">
        <f>+SUM(BY5:BY16)</f>
        <v>0</v>
      </c>
      <c r="CD4" t="s">
        <v>163</v>
      </c>
      <c r="CF4" s="12">
        <f>+SUM(CF5:CF16)</f>
        <v>0</v>
      </c>
      <c r="CM4" s="12">
        <f>+SUM(CM5:CM16)</f>
        <v>0</v>
      </c>
      <c r="CT4" s="12">
        <f>+SUM(CT5:CT16)</f>
        <v>0</v>
      </c>
      <c r="DA4" s="12">
        <f>+SUM(DA5:DA16)</f>
        <v>0</v>
      </c>
      <c r="DH4" s="12">
        <f>+SUM(DH5:DH16)</f>
        <v>0</v>
      </c>
      <c r="DO4" s="12">
        <f>+SUM(DO5:DO16)</f>
        <v>0</v>
      </c>
    </row>
    <row r="5" spans="2:124" outlineLevel="1">
      <c r="B5" t="s">
        <v>28</v>
      </c>
      <c r="C5" t="s">
        <v>89</v>
      </c>
      <c r="E5" s="9"/>
      <c r="F5" t="s">
        <v>91</v>
      </c>
      <c r="G5" s="10">
        <v>0.1</v>
      </c>
      <c r="I5" s="9">
        <f t="shared" ref="I5:I16" si="0">+SUMIF($N$3:$ZR$3,I$3,$N5:$ZR5)</f>
        <v>0</v>
      </c>
      <c r="J5" s="11" cm="1">
        <f t="array" ref="J5">MAX(IF($N$3:$DZ$3=$J$3,N5:DZ5))</f>
        <v>0</v>
      </c>
      <c r="K5" s="11" cm="1">
        <f t="array" ref="K5">MAX(IF($N$3:$DZ$3=$J$3,N5:DZ5))</f>
        <v>0</v>
      </c>
      <c r="L5" s="9"/>
      <c r="O5" s="10"/>
      <c r="P5" s="10">
        <v>0.5</v>
      </c>
      <c r="Q5" s="10"/>
      <c r="R5" s="10">
        <v>0.5</v>
      </c>
      <c r="V5" s="10"/>
      <c r="W5" s="10">
        <v>0.8</v>
      </c>
      <c r="X5" s="10"/>
      <c r="Y5" s="10">
        <v>0.8</v>
      </c>
      <c r="AC5" s="10"/>
      <c r="AD5" s="10">
        <v>0.8</v>
      </c>
      <c r="AE5" s="10"/>
      <c r="AF5" s="10">
        <v>0.8</v>
      </c>
      <c r="AJ5" s="10"/>
      <c r="AK5" s="10">
        <v>0.8</v>
      </c>
      <c r="AL5" s="10"/>
      <c r="AM5" s="10">
        <v>0.8</v>
      </c>
      <c r="AQ5" s="10"/>
      <c r="AR5" s="10">
        <v>0.8</v>
      </c>
      <c r="AS5" s="10"/>
      <c r="AT5" s="10">
        <v>0.8</v>
      </c>
      <c r="AX5" s="10"/>
      <c r="AY5" s="10">
        <v>1</v>
      </c>
      <c r="AZ5" s="10"/>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c r="CP5" s="10"/>
      <c r="CQ5" s="10"/>
      <c r="CU5" s="10"/>
      <c r="CV5" s="10"/>
      <c r="CW5" s="10"/>
      <c r="CX5" s="10"/>
      <c r="DB5" s="10"/>
      <c r="DC5" s="10"/>
      <c r="DD5" s="10"/>
      <c r="DE5" s="10"/>
      <c r="DI5" s="10"/>
      <c r="DJ5" s="10"/>
      <c r="DK5" s="10"/>
      <c r="DL5" s="10"/>
      <c r="DP5" s="10"/>
      <c r="DQ5" s="10"/>
      <c r="DR5" s="10"/>
      <c r="DS5" s="10"/>
    </row>
    <row r="6" spans="2:124" outlineLevel="1">
      <c r="B6" t="s">
        <v>28</v>
      </c>
      <c r="C6" t="s">
        <v>89</v>
      </c>
      <c r="E6" s="9"/>
      <c r="F6" t="s">
        <v>92</v>
      </c>
      <c r="G6" s="10">
        <v>0.05</v>
      </c>
      <c r="I6" s="9">
        <f t="shared" si="0"/>
        <v>0</v>
      </c>
      <c r="J6" s="11" cm="1">
        <f t="array" ref="J6">MAX(IF($N$3:$DZ$3=$J$3,N6:DZ6))</f>
        <v>0</v>
      </c>
      <c r="K6" s="11" cm="1">
        <f t="array" ref="K6">MAX(IF($N$3:$DZ$3=$J$3,N6:DZ6))</f>
        <v>0</v>
      </c>
      <c r="L6" s="9"/>
      <c r="O6" s="10"/>
      <c r="P6" s="10">
        <v>0.5</v>
      </c>
      <c r="Q6" s="10"/>
      <c r="R6" s="10">
        <v>0.5</v>
      </c>
      <c r="V6" s="10"/>
      <c r="W6" s="10">
        <v>0.5</v>
      </c>
      <c r="X6" s="10"/>
      <c r="Y6" s="10">
        <v>0.5</v>
      </c>
      <c r="AC6" s="10"/>
      <c r="AD6" s="10">
        <v>0.8</v>
      </c>
      <c r="AE6" s="10"/>
      <c r="AF6" s="10">
        <v>0.8</v>
      </c>
      <c r="AJ6" s="10"/>
      <c r="AK6" s="10">
        <v>0.8</v>
      </c>
      <c r="AL6" s="10"/>
      <c r="AM6" s="10">
        <v>0.8</v>
      </c>
      <c r="AQ6" s="10"/>
      <c r="AR6" s="10">
        <v>0.8</v>
      </c>
      <c r="AS6" s="10"/>
      <c r="AT6" s="10">
        <v>0.8</v>
      </c>
      <c r="AX6" s="10"/>
      <c r="AY6" s="10">
        <v>0.8</v>
      </c>
      <c r="AZ6" s="10"/>
      <c r="BA6" s="10">
        <v>0.8</v>
      </c>
      <c r="BE6" s="10"/>
      <c r="BF6" s="10">
        <v>1</v>
      </c>
      <c r="BG6" s="10"/>
      <c r="BH6" s="10">
        <v>1</v>
      </c>
      <c r="BL6" s="10"/>
      <c r="BM6" s="10">
        <v>1</v>
      </c>
      <c r="BN6" s="10"/>
      <c r="BO6" s="10">
        <v>1</v>
      </c>
      <c r="BS6" s="10"/>
      <c r="BT6" s="10">
        <v>1</v>
      </c>
      <c r="BU6" s="10"/>
      <c r="BV6" s="10">
        <v>1</v>
      </c>
      <c r="BZ6" s="10"/>
      <c r="CA6" s="10">
        <v>1</v>
      </c>
      <c r="CB6" s="10"/>
      <c r="CC6" s="10">
        <v>1</v>
      </c>
      <c r="CG6" s="10"/>
      <c r="CH6" s="10">
        <v>1</v>
      </c>
      <c r="CI6" s="10"/>
      <c r="CJ6" s="10">
        <v>1</v>
      </c>
      <c r="CN6" s="10"/>
      <c r="CO6" s="10"/>
      <c r="CP6" s="10"/>
      <c r="CQ6" s="10"/>
      <c r="CU6" s="10"/>
      <c r="CV6" s="10"/>
      <c r="CW6" s="10"/>
      <c r="CX6" s="10"/>
      <c r="DB6" s="10"/>
      <c r="DC6" s="10"/>
      <c r="DD6" s="10"/>
      <c r="DE6" s="10"/>
      <c r="DI6" s="10"/>
      <c r="DJ6" s="10"/>
      <c r="DK6" s="10"/>
      <c r="DL6" s="10"/>
      <c r="DP6" s="10"/>
      <c r="DQ6" s="10"/>
      <c r="DR6" s="10"/>
      <c r="DS6" s="10"/>
    </row>
    <row r="7" spans="2:124" outlineLevel="1">
      <c r="B7" t="s">
        <v>28</v>
      </c>
      <c r="C7" t="s">
        <v>89</v>
      </c>
      <c r="E7" s="9"/>
      <c r="F7" t="s">
        <v>93</v>
      </c>
      <c r="G7" s="10">
        <v>0.05</v>
      </c>
      <c r="I7" s="9">
        <f t="shared" si="0"/>
        <v>0</v>
      </c>
      <c r="J7" s="11" cm="1">
        <f t="array" ref="J7">MAX(IF($N$3:$DZ$3=$J$3,N7:DZ7))</f>
        <v>0</v>
      </c>
      <c r="K7" s="11" cm="1">
        <f t="array" ref="K7">MAX(IF($N$3:$DZ$3=$J$3,N7:DZ7))</f>
        <v>0</v>
      </c>
      <c r="L7" s="9"/>
      <c r="O7" s="10"/>
      <c r="P7" s="10">
        <v>0.5</v>
      </c>
      <c r="Q7" s="10"/>
      <c r="R7" s="10">
        <v>0.5</v>
      </c>
      <c r="V7" s="10"/>
      <c r="W7" s="10">
        <v>0.5</v>
      </c>
      <c r="X7" s="10"/>
      <c r="Y7" s="10">
        <v>0.5</v>
      </c>
      <c r="AC7" s="10"/>
      <c r="AD7" s="10">
        <v>0.8</v>
      </c>
      <c r="AE7" s="10"/>
      <c r="AF7" s="10">
        <v>0.8</v>
      </c>
      <c r="AJ7" s="10"/>
      <c r="AK7" s="10">
        <v>0.8</v>
      </c>
      <c r="AL7" s="10"/>
      <c r="AM7" s="10">
        <v>0.8</v>
      </c>
      <c r="AQ7" s="10"/>
      <c r="AR7" s="10">
        <v>0.8</v>
      </c>
      <c r="AS7" s="10"/>
      <c r="AT7" s="10">
        <v>0.8</v>
      </c>
      <c r="AX7" s="10"/>
      <c r="AY7" s="10">
        <v>0.8</v>
      </c>
      <c r="AZ7" s="10"/>
      <c r="BA7" s="10">
        <v>0.8</v>
      </c>
      <c r="BE7" s="10"/>
      <c r="BF7" s="10">
        <v>0.8</v>
      </c>
      <c r="BG7" s="10"/>
      <c r="BH7" s="10">
        <v>0.8</v>
      </c>
      <c r="BL7" s="10"/>
      <c r="BM7" s="10">
        <v>1</v>
      </c>
      <c r="BN7" s="10"/>
      <c r="BO7" s="10">
        <v>1</v>
      </c>
      <c r="BS7" s="10"/>
      <c r="BT7" s="10">
        <v>1</v>
      </c>
      <c r="BU7" s="10"/>
      <c r="BV7" s="10">
        <v>1</v>
      </c>
      <c r="BZ7" s="10"/>
      <c r="CA7" s="10">
        <v>1</v>
      </c>
      <c r="CB7" s="10"/>
      <c r="CC7" s="10">
        <v>1</v>
      </c>
      <c r="CG7" s="10"/>
      <c r="CH7" s="10">
        <v>1</v>
      </c>
      <c r="CI7" s="10"/>
      <c r="CJ7" s="10">
        <v>1</v>
      </c>
      <c r="CN7" s="10"/>
      <c r="CO7" s="10"/>
      <c r="CP7" s="10"/>
      <c r="CQ7" s="10"/>
      <c r="CU7" s="10"/>
      <c r="CV7" s="10"/>
      <c r="CW7" s="10"/>
      <c r="CX7" s="10"/>
      <c r="DB7" s="10"/>
      <c r="DC7" s="10"/>
      <c r="DD7" s="10"/>
      <c r="DE7" s="10"/>
      <c r="DI7" s="10"/>
      <c r="DJ7" s="10"/>
      <c r="DK7" s="10"/>
      <c r="DL7" s="10"/>
      <c r="DP7" s="10"/>
      <c r="DQ7" s="10"/>
      <c r="DR7" s="10"/>
      <c r="DS7" s="10"/>
    </row>
    <row r="8" spans="2:124" outlineLevel="1">
      <c r="B8" t="s">
        <v>28</v>
      </c>
      <c r="C8" t="s">
        <v>89</v>
      </c>
      <c r="E8" s="9"/>
      <c r="F8" t="s">
        <v>94</v>
      </c>
      <c r="G8" s="10">
        <v>0.05</v>
      </c>
      <c r="I8" s="9">
        <f t="shared" si="0"/>
        <v>0</v>
      </c>
      <c r="J8" s="11" cm="1">
        <f t="array" ref="J8">MAX(IF($N$3:$DZ$3=$J$3,N8:DZ8))</f>
        <v>0</v>
      </c>
      <c r="K8" s="11" cm="1">
        <f t="array" ref="K8">MAX(IF($N$3:$DZ$3=$J$3,N8:DZ8))</f>
        <v>0</v>
      </c>
      <c r="L8" s="9"/>
      <c r="O8" s="10"/>
      <c r="P8" s="10">
        <v>0.5</v>
      </c>
      <c r="Q8" s="10"/>
      <c r="R8" s="10">
        <v>0.5</v>
      </c>
      <c r="V8" s="10"/>
      <c r="W8" s="10">
        <v>0.5</v>
      </c>
      <c r="X8" s="10"/>
      <c r="Y8" s="10">
        <v>0.5</v>
      </c>
      <c r="AC8" s="10"/>
      <c r="AD8" s="10">
        <v>0.5</v>
      </c>
      <c r="AE8" s="10"/>
      <c r="AF8" s="10">
        <v>0.5</v>
      </c>
      <c r="AJ8" s="10"/>
      <c r="AK8" s="10">
        <v>0.8</v>
      </c>
      <c r="AL8" s="10"/>
      <c r="AM8" s="10">
        <v>0.8</v>
      </c>
      <c r="AQ8" s="10"/>
      <c r="AR8" s="10">
        <v>0.8</v>
      </c>
      <c r="AS8" s="10"/>
      <c r="AT8" s="10">
        <v>0.8</v>
      </c>
      <c r="AX8" s="10"/>
      <c r="AY8" s="10">
        <v>0.8</v>
      </c>
      <c r="AZ8" s="10"/>
      <c r="BA8" s="10">
        <v>0.8</v>
      </c>
      <c r="BE8" s="10"/>
      <c r="BF8" s="10">
        <v>0.8</v>
      </c>
      <c r="BG8" s="10"/>
      <c r="BH8" s="10">
        <v>0.8</v>
      </c>
      <c r="BL8" s="10"/>
      <c r="BM8" s="10">
        <v>1</v>
      </c>
      <c r="BN8" s="10"/>
      <c r="BO8" s="10">
        <v>1</v>
      </c>
      <c r="BS8" s="10"/>
      <c r="BT8" s="10">
        <v>1</v>
      </c>
      <c r="BU8" s="10"/>
      <c r="BV8" s="10">
        <v>1</v>
      </c>
      <c r="BZ8" s="10"/>
      <c r="CA8" s="10">
        <v>1</v>
      </c>
      <c r="CB8" s="10"/>
      <c r="CC8" s="10">
        <v>1</v>
      </c>
      <c r="CG8" s="10"/>
      <c r="CH8" s="10">
        <v>1</v>
      </c>
      <c r="CI8" s="10"/>
      <c r="CJ8" s="10">
        <v>1</v>
      </c>
      <c r="CN8" s="10"/>
      <c r="CO8" s="10"/>
      <c r="CP8" s="10"/>
      <c r="CQ8" s="10"/>
      <c r="CU8" s="10"/>
      <c r="CV8" s="10"/>
      <c r="CW8" s="10"/>
      <c r="CX8" s="10"/>
      <c r="DB8" s="10"/>
      <c r="DC8" s="10"/>
      <c r="DD8" s="10"/>
      <c r="DE8" s="10"/>
      <c r="DI8" s="10"/>
      <c r="DJ8" s="10"/>
      <c r="DK8" s="10"/>
      <c r="DL8" s="10"/>
      <c r="DP8" s="10"/>
      <c r="DQ8" s="10"/>
      <c r="DR8" s="10"/>
      <c r="DS8" s="10"/>
    </row>
    <row r="9" spans="2:124" outlineLevel="1">
      <c r="B9" t="s">
        <v>28</v>
      </c>
      <c r="C9" t="s">
        <v>89</v>
      </c>
      <c r="E9" s="9"/>
      <c r="F9" t="s">
        <v>95</v>
      </c>
      <c r="G9" s="10">
        <v>0.05</v>
      </c>
      <c r="I9" s="9">
        <f t="shared" si="0"/>
        <v>0</v>
      </c>
      <c r="J9" s="11" cm="1">
        <f t="array" ref="J9">MAX(IF($N$3:$DZ$3=$J$3,N9:DZ9))</f>
        <v>0</v>
      </c>
      <c r="K9" s="11" cm="1">
        <f t="array" ref="K9">MAX(IF($N$3:$DZ$3=$J$3,N9:DZ9))</f>
        <v>0</v>
      </c>
      <c r="L9" s="9"/>
      <c r="O9" s="10"/>
      <c r="P9" s="10"/>
      <c r="Q9" s="10"/>
      <c r="R9" s="10"/>
      <c r="V9" s="10"/>
      <c r="W9" s="10">
        <v>0.5</v>
      </c>
      <c r="X9" s="10"/>
      <c r="Y9" s="10">
        <v>0.5</v>
      </c>
      <c r="AC9" s="10"/>
      <c r="AD9" s="10">
        <v>0.5</v>
      </c>
      <c r="AE9" s="10"/>
      <c r="AF9" s="10">
        <v>0.5</v>
      </c>
      <c r="AJ9" s="10"/>
      <c r="AK9" s="10">
        <v>0.5</v>
      </c>
      <c r="AL9" s="10"/>
      <c r="AM9" s="10">
        <v>0.5</v>
      </c>
      <c r="AQ9" s="10"/>
      <c r="AR9" s="10">
        <v>0.8</v>
      </c>
      <c r="AS9" s="10"/>
      <c r="AT9" s="10">
        <v>0.8</v>
      </c>
      <c r="AX9" s="10"/>
      <c r="AY9" s="10">
        <v>0.8</v>
      </c>
      <c r="AZ9" s="10"/>
      <c r="BA9" s="10">
        <v>0.8</v>
      </c>
      <c r="BE9" s="10"/>
      <c r="BF9" s="10">
        <v>0.8</v>
      </c>
      <c r="BG9" s="10"/>
      <c r="BH9" s="10">
        <v>0.8</v>
      </c>
      <c r="BL9" s="10"/>
      <c r="BM9" s="10">
        <v>0.8</v>
      </c>
      <c r="BN9" s="10"/>
      <c r="BO9" s="10">
        <v>0.8</v>
      </c>
      <c r="BS9" s="10"/>
      <c r="BT9" s="10">
        <v>1</v>
      </c>
      <c r="BU9" s="10"/>
      <c r="BV9" s="10">
        <v>1</v>
      </c>
      <c r="BZ9" s="10"/>
      <c r="CA9" s="10">
        <v>1</v>
      </c>
      <c r="CB9" s="10"/>
      <c r="CC9" s="10">
        <v>1</v>
      </c>
      <c r="CG9" s="10"/>
      <c r="CH9" s="10">
        <v>1</v>
      </c>
      <c r="CI9" s="10"/>
      <c r="CJ9" s="10">
        <v>1</v>
      </c>
      <c r="CN9" s="10"/>
      <c r="CO9" s="10"/>
      <c r="CP9" s="10"/>
      <c r="CQ9" s="10"/>
      <c r="CU9" s="10"/>
      <c r="CV9" s="10"/>
      <c r="CW9" s="10"/>
      <c r="CX9" s="10"/>
      <c r="DB9" s="10"/>
      <c r="DC9" s="10"/>
      <c r="DD9" s="10"/>
      <c r="DE9" s="10"/>
      <c r="DI9" s="10"/>
      <c r="DJ9" s="10"/>
      <c r="DK9" s="10"/>
      <c r="DL9" s="10"/>
      <c r="DP9" s="10"/>
      <c r="DQ9" s="10"/>
      <c r="DR9" s="10"/>
      <c r="DS9" s="10"/>
    </row>
    <row r="10" spans="2:124" outlineLevel="1">
      <c r="B10" t="s">
        <v>28</v>
      </c>
      <c r="C10" t="s">
        <v>89</v>
      </c>
      <c r="E10" s="9"/>
      <c r="F10" t="s">
        <v>96</v>
      </c>
      <c r="G10" s="10">
        <v>0.05</v>
      </c>
      <c r="I10" s="9">
        <f t="shared" si="0"/>
        <v>0</v>
      </c>
      <c r="J10" s="11" cm="1">
        <f t="array" ref="J10">MAX(IF($N$3:$DZ$3=$J$3,N10:DZ10))</f>
        <v>0</v>
      </c>
      <c r="K10" s="11" cm="1">
        <f t="array" ref="K10">MAX(IF($N$3:$DZ$3=$J$3,N10:DZ10))</f>
        <v>0</v>
      </c>
      <c r="L10" s="9"/>
      <c r="O10" s="10"/>
      <c r="P10" s="10"/>
      <c r="Q10" s="10"/>
      <c r="R10" s="10"/>
      <c r="V10" s="10"/>
      <c r="W10" s="10">
        <v>0.5</v>
      </c>
      <c r="X10" s="10"/>
      <c r="Y10" s="10">
        <v>0.5</v>
      </c>
      <c r="AC10" s="10"/>
      <c r="AD10" s="10">
        <v>0.5</v>
      </c>
      <c r="AE10" s="10"/>
      <c r="AF10" s="10">
        <v>0.5</v>
      </c>
      <c r="AJ10" s="10"/>
      <c r="AK10" s="10">
        <v>0.5</v>
      </c>
      <c r="AL10" s="10"/>
      <c r="AM10" s="10">
        <v>0.5</v>
      </c>
      <c r="AQ10" s="10"/>
      <c r="AR10" s="10">
        <v>0.8</v>
      </c>
      <c r="AS10" s="10"/>
      <c r="AT10" s="10">
        <v>0.8</v>
      </c>
      <c r="AX10" s="10"/>
      <c r="AY10" s="10">
        <v>0.8</v>
      </c>
      <c r="AZ10" s="10"/>
      <c r="BA10" s="10">
        <v>0.8</v>
      </c>
      <c r="BE10" s="10"/>
      <c r="BF10" s="10">
        <v>0.8</v>
      </c>
      <c r="BG10" s="10"/>
      <c r="BH10" s="10">
        <v>0.8</v>
      </c>
      <c r="BL10" s="10"/>
      <c r="BM10" s="10">
        <v>0.8</v>
      </c>
      <c r="BN10" s="10"/>
      <c r="BO10" s="10">
        <v>0.8</v>
      </c>
      <c r="BS10" s="10"/>
      <c r="BT10" s="10">
        <v>1</v>
      </c>
      <c r="BU10" s="10"/>
      <c r="BV10" s="10">
        <v>1</v>
      </c>
      <c r="BZ10" s="10"/>
      <c r="CA10" s="10">
        <v>1</v>
      </c>
      <c r="CB10" s="10"/>
      <c r="CC10" s="10">
        <v>1</v>
      </c>
      <c r="CG10" s="10"/>
      <c r="CH10" s="10">
        <v>1</v>
      </c>
      <c r="CI10" s="10"/>
      <c r="CJ10" s="10">
        <v>1</v>
      </c>
      <c r="CN10" s="10"/>
      <c r="CO10" s="10"/>
      <c r="CP10" s="10"/>
      <c r="CQ10" s="10"/>
      <c r="CU10" s="10"/>
      <c r="CV10" s="10"/>
      <c r="CW10" s="10"/>
      <c r="CX10" s="10"/>
      <c r="DB10" s="10"/>
      <c r="DC10" s="10"/>
      <c r="DD10" s="10"/>
      <c r="DE10" s="10"/>
      <c r="DI10" s="10"/>
      <c r="DJ10" s="10"/>
      <c r="DK10" s="10"/>
      <c r="DL10" s="10"/>
      <c r="DP10" s="10"/>
      <c r="DQ10" s="10"/>
      <c r="DR10" s="10"/>
      <c r="DS10" s="10"/>
    </row>
    <row r="11" spans="2:124" outlineLevel="1">
      <c r="B11" t="s">
        <v>28</v>
      </c>
      <c r="C11" t="s">
        <v>89</v>
      </c>
      <c r="E11" s="9"/>
      <c r="F11" t="s">
        <v>97</v>
      </c>
      <c r="G11" s="10">
        <v>0.05</v>
      </c>
      <c r="I11" s="9">
        <f t="shared" si="0"/>
        <v>0</v>
      </c>
      <c r="J11" s="11" cm="1">
        <f t="array" ref="J11">MAX(IF($N$3:$DZ$3=$J$3,N11:DZ11))</f>
        <v>0</v>
      </c>
      <c r="K11" s="11" cm="1">
        <f t="array" ref="K11">MAX(IF($N$3:$DZ$3=$J$3,N11:DZ11))</f>
        <v>0</v>
      </c>
      <c r="L11" s="9"/>
      <c r="O11" s="10"/>
      <c r="P11" s="10"/>
      <c r="Q11" s="10"/>
      <c r="R11" s="10"/>
      <c r="V11" s="10"/>
      <c r="W11" s="10"/>
      <c r="X11" s="10"/>
      <c r="Y11" s="10"/>
      <c r="AC11" s="10"/>
      <c r="AD11" s="10">
        <v>0.5</v>
      </c>
      <c r="AE11" s="10"/>
      <c r="AF11" s="10">
        <v>0.5</v>
      </c>
      <c r="AJ11" s="10"/>
      <c r="AK11" s="10">
        <v>0.5</v>
      </c>
      <c r="AL11" s="10"/>
      <c r="AM11" s="10">
        <v>0.5</v>
      </c>
      <c r="AQ11" s="10"/>
      <c r="AR11" s="10">
        <v>0.5</v>
      </c>
      <c r="AS11" s="10"/>
      <c r="AT11" s="10">
        <v>0.5</v>
      </c>
      <c r="AX11" s="10"/>
      <c r="AY11" s="10">
        <v>0.8</v>
      </c>
      <c r="AZ11" s="10"/>
      <c r="BA11" s="10">
        <v>0.8</v>
      </c>
      <c r="BE11" s="10"/>
      <c r="BF11" s="10">
        <v>0.8</v>
      </c>
      <c r="BG11" s="10"/>
      <c r="BH11" s="10">
        <v>0.8</v>
      </c>
      <c r="BL11" s="10"/>
      <c r="BM11" s="10">
        <v>0.8</v>
      </c>
      <c r="BN11" s="10"/>
      <c r="BO11" s="10">
        <v>0.8</v>
      </c>
      <c r="BS11" s="10"/>
      <c r="BT11" s="10">
        <v>0.8</v>
      </c>
      <c r="BU11" s="10"/>
      <c r="BV11" s="10">
        <v>0.8</v>
      </c>
      <c r="BZ11" s="10"/>
      <c r="CA11" s="10">
        <v>1</v>
      </c>
      <c r="CB11" s="10"/>
      <c r="CC11" s="10">
        <v>1</v>
      </c>
      <c r="CG11" s="10"/>
      <c r="CH11" s="10">
        <v>1</v>
      </c>
      <c r="CI11" s="10"/>
      <c r="CJ11" s="10">
        <v>1</v>
      </c>
      <c r="CN11" s="10"/>
      <c r="CO11" s="10"/>
      <c r="CP11" s="10"/>
      <c r="CQ11" s="10"/>
      <c r="CU11" s="10"/>
      <c r="CV11" s="10"/>
      <c r="CW11" s="10"/>
      <c r="CX11" s="10"/>
      <c r="DB11" s="10"/>
      <c r="DC11" s="10"/>
      <c r="DD11" s="10"/>
      <c r="DE11" s="10"/>
      <c r="DI11" s="10"/>
      <c r="DJ11" s="10"/>
      <c r="DK11" s="10"/>
      <c r="DL11" s="10"/>
      <c r="DP11" s="10"/>
      <c r="DQ11" s="10"/>
      <c r="DR11" s="10"/>
      <c r="DS11" s="10"/>
    </row>
    <row r="12" spans="2:124" outlineLevel="1">
      <c r="B12" t="s">
        <v>28</v>
      </c>
      <c r="C12" t="s">
        <v>89</v>
      </c>
      <c r="E12" s="9"/>
      <c r="F12" t="s">
        <v>98</v>
      </c>
      <c r="G12" s="10">
        <v>0.05</v>
      </c>
      <c r="I12" s="9">
        <f t="shared" si="0"/>
        <v>0</v>
      </c>
      <c r="J12" s="11" cm="1">
        <f t="array" ref="J12">MAX(IF($N$3:$DZ$3=$J$3,N12:DZ12))</f>
        <v>0</v>
      </c>
      <c r="K12" s="11" cm="1">
        <f t="array" ref="K12">MAX(IF($N$3:$DZ$3=$J$3,N12:DZ12))</f>
        <v>0</v>
      </c>
      <c r="L12" s="9"/>
      <c r="O12" s="10"/>
      <c r="P12" s="10"/>
      <c r="Q12" s="10"/>
      <c r="R12" s="10"/>
      <c r="V12" s="10"/>
      <c r="W12" s="10"/>
      <c r="X12" s="10"/>
      <c r="Y12" s="10"/>
      <c r="AC12" s="10"/>
      <c r="AD12" s="10"/>
      <c r="AE12" s="10"/>
      <c r="AF12" s="10"/>
      <c r="AJ12" s="10"/>
      <c r="AK12" s="10">
        <v>0.5</v>
      </c>
      <c r="AL12" s="10"/>
      <c r="AM12" s="10">
        <v>0.5</v>
      </c>
      <c r="AQ12" s="10"/>
      <c r="AR12" s="10">
        <v>0.5</v>
      </c>
      <c r="AS12" s="10"/>
      <c r="AT12" s="10">
        <v>0.5</v>
      </c>
      <c r="AX12" s="10"/>
      <c r="AY12" s="10">
        <v>0.5</v>
      </c>
      <c r="AZ12" s="10"/>
      <c r="BA12" s="10">
        <v>0.5</v>
      </c>
      <c r="BE12" s="10"/>
      <c r="BF12" s="10">
        <v>0.8</v>
      </c>
      <c r="BG12" s="10"/>
      <c r="BH12" s="10">
        <v>0.8</v>
      </c>
      <c r="BL12" s="10"/>
      <c r="BM12" s="10">
        <v>0.8</v>
      </c>
      <c r="BN12" s="10"/>
      <c r="BO12" s="10">
        <v>0.8</v>
      </c>
      <c r="BS12" s="10"/>
      <c r="BT12" s="10">
        <v>0.8</v>
      </c>
      <c r="BU12" s="10"/>
      <c r="BV12" s="10">
        <v>0.8</v>
      </c>
      <c r="BZ12" s="10"/>
      <c r="CA12" s="10">
        <v>1</v>
      </c>
      <c r="CB12" s="10"/>
      <c r="CC12" s="10">
        <v>1</v>
      </c>
      <c r="CG12" s="10"/>
      <c r="CH12" s="10">
        <v>1</v>
      </c>
      <c r="CI12" s="10"/>
      <c r="CJ12" s="10">
        <v>1</v>
      </c>
      <c r="CN12" s="10"/>
      <c r="CO12" s="10"/>
      <c r="CP12" s="10"/>
      <c r="CQ12" s="10"/>
      <c r="CU12" s="10"/>
      <c r="CV12" s="10"/>
      <c r="CW12" s="10"/>
      <c r="CX12" s="10"/>
      <c r="DB12" s="10"/>
      <c r="DC12" s="10"/>
      <c r="DD12" s="10"/>
      <c r="DE12" s="10"/>
      <c r="DI12" s="10"/>
      <c r="DJ12" s="10"/>
      <c r="DK12" s="10"/>
      <c r="DL12" s="10"/>
      <c r="DP12" s="10"/>
      <c r="DQ12" s="10"/>
      <c r="DR12" s="10"/>
      <c r="DS12" s="10"/>
    </row>
    <row r="13" spans="2:124" outlineLevel="1">
      <c r="B13" t="s">
        <v>28</v>
      </c>
      <c r="C13" t="s">
        <v>89</v>
      </c>
      <c r="E13" s="9"/>
      <c r="F13" t="s">
        <v>99</v>
      </c>
      <c r="G13" s="10">
        <v>0.05</v>
      </c>
      <c r="I13" s="9">
        <f t="shared" si="0"/>
        <v>0</v>
      </c>
      <c r="J13" s="11" cm="1">
        <f t="array" ref="J13">MAX(IF($N$3:$DZ$3=$J$3,N13:DZ13))</f>
        <v>0</v>
      </c>
      <c r="K13" s="11" cm="1">
        <f t="array" ref="K13">MAX(IF($N$3:$DZ$3=$J$3,N13:DZ13))</f>
        <v>0</v>
      </c>
      <c r="L13" s="9"/>
      <c r="O13" s="10"/>
      <c r="P13" s="10"/>
      <c r="Q13" s="10"/>
      <c r="R13" s="10"/>
      <c r="V13" s="10"/>
      <c r="W13" s="10"/>
      <c r="X13" s="10"/>
      <c r="Y13" s="10"/>
      <c r="AC13" s="10"/>
      <c r="AD13" s="10"/>
      <c r="AE13" s="10"/>
      <c r="AF13" s="10"/>
      <c r="AJ13" s="10"/>
      <c r="AK13" s="10">
        <v>0.5</v>
      </c>
      <c r="AL13" s="10"/>
      <c r="AM13" s="10">
        <v>0.5</v>
      </c>
      <c r="AQ13" s="10"/>
      <c r="AR13" s="10">
        <v>0.5</v>
      </c>
      <c r="AS13" s="10"/>
      <c r="AT13" s="10">
        <v>0.5</v>
      </c>
      <c r="AX13" s="10"/>
      <c r="AY13" s="10">
        <v>0.5</v>
      </c>
      <c r="AZ13" s="10"/>
      <c r="BA13" s="10">
        <v>0.5</v>
      </c>
      <c r="BE13" s="10"/>
      <c r="BF13" s="10">
        <v>0.8</v>
      </c>
      <c r="BG13" s="10"/>
      <c r="BH13" s="10">
        <v>0.8</v>
      </c>
      <c r="BL13" s="10"/>
      <c r="BM13" s="10">
        <v>0.8</v>
      </c>
      <c r="BN13" s="10"/>
      <c r="BO13" s="10">
        <v>0.8</v>
      </c>
      <c r="BS13" s="10"/>
      <c r="BT13" s="10">
        <v>0.8</v>
      </c>
      <c r="BU13" s="10"/>
      <c r="BV13" s="10">
        <v>0.8</v>
      </c>
      <c r="BZ13" s="10"/>
      <c r="CA13" s="10">
        <v>1</v>
      </c>
      <c r="CB13" s="10"/>
      <c r="CC13" s="10">
        <v>1</v>
      </c>
      <c r="CG13" s="10"/>
      <c r="CH13" s="10">
        <v>1</v>
      </c>
      <c r="CI13" s="10"/>
      <c r="CJ13" s="10">
        <v>1</v>
      </c>
      <c r="CN13" s="10"/>
      <c r="CO13" s="10"/>
      <c r="CP13" s="10"/>
      <c r="CQ13" s="10"/>
      <c r="CU13" s="10"/>
      <c r="CV13" s="10"/>
      <c r="CW13" s="10"/>
      <c r="CX13" s="10"/>
      <c r="DB13" s="10"/>
      <c r="DC13" s="10"/>
      <c r="DD13" s="10"/>
      <c r="DE13" s="10"/>
      <c r="DI13" s="10"/>
      <c r="DJ13" s="10"/>
      <c r="DK13" s="10"/>
      <c r="DL13" s="10"/>
      <c r="DP13" s="10"/>
      <c r="DQ13" s="10"/>
      <c r="DR13" s="10"/>
      <c r="DS13" s="10"/>
    </row>
    <row r="14" spans="2:124" outlineLevel="1">
      <c r="B14" t="s">
        <v>28</v>
      </c>
      <c r="C14" t="s">
        <v>89</v>
      </c>
      <c r="E14" s="9"/>
      <c r="F14" t="s">
        <v>101</v>
      </c>
      <c r="G14" s="10">
        <v>0.05</v>
      </c>
      <c r="I14" s="9">
        <f t="shared" si="0"/>
        <v>0</v>
      </c>
      <c r="J14" s="11" cm="1">
        <f t="array" ref="J14">MAX(IF($N$3:$DZ$3=$J$3,N14:DZ14))</f>
        <v>0</v>
      </c>
      <c r="K14" s="11" cm="1">
        <f t="array" ref="K14">MAX(IF($N$3:$DZ$3=$J$3,N14:DZ14))</f>
        <v>0</v>
      </c>
      <c r="L14" s="9"/>
      <c r="O14" s="10"/>
      <c r="P14" s="10"/>
      <c r="Q14" s="10"/>
      <c r="R14" s="10"/>
      <c r="V14" s="10"/>
      <c r="W14" s="10"/>
      <c r="X14" s="10"/>
      <c r="Y14" s="10"/>
      <c r="AC14" s="10"/>
      <c r="AD14" s="10"/>
      <c r="AE14" s="10"/>
      <c r="AF14" s="10"/>
      <c r="AJ14" s="10"/>
      <c r="AK14" s="10">
        <v>0.5</v>
      </c>
      <c r="AL14" s="10"/>
      <c r="AM14" s="10">
        <v>0.5</v>
      </c>
      <c r="AQ14" s="10"/>
      <c r="AR14" s="10">
        <v>0.5</v>
      </c>
      <c r="AS14" s="10"/>
      <c r="AT14" s="10">
        <v>0.5</v>
      </c>
      <c r="AX14" s="10"/>
      <c r="AY14" s="10">
        <v>0.5</v>
      </c>
      <c r="AZ14" s="10"/>
      <c r="BA14" s="10">
        <v>0.5</v>
      </c>
      <c r="BE14" s="10"/>
      <c r="BF14" s="10">
        <v>0.5</v>
      </c>
      <c r="BG14" s="10"/>
      <c r="BH14" s="10">
        <v>0.5</v>
      </c>
      <c r="BL14" s="10"/>
      <c r="BM14" s="10">
        <v>0.8</v>
      </c>
      <c r="BN14" s="10"/>
      <c r="BO14" s="10">
        <v>0.8</v>
      </c>
      <c r="BS14" s="10"/>
      <c r="BT14" s="10">
        <v>0.8</v>
      </c>
      <c r="BU14" s="10"/>
      <c r="BV14" s="10">
        <v>0.8</v>
      </c>
      <c r="BZ14" s="10"/>
      <c r="CA14" s="10">
        <v>0.8</v>
      </c>
      <c r="CB14" s="10"/>
      <c r="CC14" s="10">
        <v>0.8</v>
      </c>
      <c r="CG14" s="10"/>
      <c r="CH14" s="10">
        <v>1</v>
      </c>
      <c r="CI14" s="10"/>
      <c r="CJ14" s="10">
        <v>1</v>
      </c>
      <c r="CN14" s="10"/>
      <c r="CO14" s="10"/>
      <c r="CP14" s="10"/>
      <c r="CQ14" s="10"/>
      <c r="CU14" s="10"/>
      <c r="CV14" s="10"/>
      <c r="CW14" s="10"/>
      <c r="CX14" s="10"/>
      <c r="DB14" s="10"/>
      <c r="DC14" s="10"/>
      <c r="DD14" s="10"/>
      <c r="DE14" s="10"/>
      <c r="DI14" s="10"/>
      <c r="DJ14" s="10"/>
      <c r="DK14" s="10"/>
      <c r="DL14" s="10"/>
      <c r="DP14" s="10"/>
      <c r="DQ14" s="10"/>
      <c r="DR14" s="10"/>
      <c r="DS14" s="10"/>
    </row>
    <row r="15" spans="2:124" outlineLevel="1">
      <c r="B15" t="s">
        <v>28</v>
      </c>
      <c r="C15" t="s">
        <v>89</v>
      </c>
      <c r="E15" s="9"/>
      <c r="F15" t="s">
        <v>100</v>
      </c>
      <c r="G15" s="10">
        <v>0.05</v>
      </c>
      <c r="I15" s="9">
        <f t="shared" si="0"/>
        <v>0</v>
      </c>
      <c r="J15" s="11" cm="1">
        <f t="array" ref="J15">MAX(IF($N$3:$DZ$3=$J$3,N15:DZ15))</f>
        <v>0</v>
      </c>
      <c r="K15" s="11" cm="1">
        <f t="array" ref="K15">MAX(IF($N$3:$DZ$3=$J$3,N15:DZ15))</f>
        <v>0</v>
      </c>
      <c r="L15" s="9"/>
      <c r="O15" s="10"/>
      <c r="P15" s="10"/>
      <c r="Q15" s="10"/>
      <c r="R15" s="10"/>
      <c r="V15" s="10"/>
      <c r="W15" s="10"/>
      <c r="X15" s="10"/>
      <c r="Y15" s="10"/>
      <c r="AC15" s="10"/>
      <c r="AD15" s="10"/>
      <c r="AE15" s="10"/>
      <c r="AF15" s="10"/>
      <c r="AJ15" s="10"/>
      <c r="AK15" s="10"/>
      <c r="AL15" s="10"/>
      <c r="AM15" s="10"/>
      <c r="AQ15" s="10"/>
      <c r="AR15" s="10">
        <v>0.5</v>
      </c>
      <c r="AS15" s="10"/>
      <c r="AT15" s="10">
        <v>0.5</v>
      </c>
      <c r="AX15" s="10"/>
      <c r="AY15" s="10">
        <v>0.5</v>
      </c>
      <c r="AZ15" s="10"/>
      <c r="BA15" s="10">
        <v>0.5</v>
      </c>
      <c r="BE15" s="10"/>
      <c r="BF15" s="10">
        <v>0.5</v>
      </c>
      <c r="BG15" s="10"/>
      <c r="BH15" s="10">
        <v>0.5</v>
      </c>
      <c r="BL15" s="10"/>
      <c r="BM15" s="10">
        <v>0.5</v>
      </c>
      <c r="BN15" s="10"/>
      <c r="BO15" s="10">
        <v>0.5</v>
      </c>
      <c r="BS15" s="10"/>
      <c r="BT15" s="10">
        <v>0.8</v>
      </c>
      <c r="BU15" s="10"/>
      <c r="BV15" s="10">
        <v>0.8</v>
      </c>
      <c r="BZ15" s="10"/>
      <c r="CA15" s="10">
        <v>0.8</v>
      </c>
      <c r="CB15" s="10"/>
      <c r="CC15" s="10">
        <v>0.8</v>
      </c>
      <c r="CG15" s="10"/>
      <c r="CH15" s="10">
        <v>1</v>
      </c>
      <c r="CI15" s="10"/>
      <c r="CJ15" s="10">
        <v>1</v>
      </c>
      <c r="CN15" s="10"/>
      <c r="CO15" s="10"/>
      <c r="CP15" s="10"/>
      <c r="CQ15" s="10"/>
      <c r="CU15" s="10"/>
      <c r="CV15" s="10"/>
      <c r="CW15" s="10"/>
      <c r="CX15" s="10"/>
      <c r="DB15" s="10"/>
      <c r="DC15" s="10"/>
      <c r="DD15" s="10"/>
      <c r="DE15" s="10"/>
      <c r="DI15" s="10"/>
      <c r="DJ15" s="10"/>
      <c r="DK15" s="10"/>
      <c r="DL15" s="10"/>
      <c r="DP15" s="10"/>
      <c r="DQ15" s="10"/>
      <c r="DR15" s="10"/>
      <c r="DS15" s="10"/>
    </row>
    <row r="16" spans="2:124" outlineLevel="1">
      <c r="B16" t="s">
        <v>28</v>
      </c>
      <c r="C16" t="s">
        <v>89</v>
      </c>
      <c r="E16" s="9"/>
      <c r="F16" t="s">
        <v>102</v>
      </c>
      <c r="G16" s="10">
        <v>0.1</v>
      </c>
      <c r="I16" s="9">
        <f t="shared" si="0"/>
        <v>0</v>
      </c>
      <c r="J16" s="11" cm="1">
        <f t="array" ref="J16">MAX(IF($N$3:$DZ$3=$J$3,N16:DZ16))</f>
        <v>0</v>
      </c>
      <c r="K16" s="11" cm="1">
        <f t="array" ref="K16">MAX(IF($N$3:$DZ$3=$J$3,N16:DZ16))</f>
        <v>0</v>
      </c>
      <c r="L16" s="9"/>
      <c r="O16" s="10"/>
      <c r="P16" s="10"/>
      <c r="Q16" s="10"/>
      <c r="R16" s="10"/>
      <c r="V16" s="10"/>
      <c r="W16" s="10"/>
      <c r="X16" s="10"/>
      <c r="Y16" s="10"/>
      <c r="AC16" s="10"/>
      <c r="AD16" s="10"/>
      <c r="AE16" s="10"/>
      <c r="AF16" s="10"/>
      <c r="AJ16" s="10"/>
      <c r="AK16" s="10"/>
      <c r="AL16" s="10"/>
      <c r="AM16" s="10"/>
      <c r="AQ16" s="10"/>
      <c r="AS16" s="10"/>
      <c r="AX16" s="10"/>
      <c r="AY16" s="10">
        <v>0.5</v>
      </c>
      <c r="AZ16" s="10"/>
      <c r="BA16" s="10">
        <v>0.5</v>
      </c>
      <c r="BE16" s="10"/>
      <c r="BF16" s="10">
        <v>0.5</v>
      </c>
      <c r="BG16" s="10"/>
      <c r="BH16" s="10">
        <v>0.5</v>
      </c>
      <c r="BL16" s="10"/>
      <c r="BM16" s="10">
        <v>0.5</v>
      </c>
      <c r="BN16" s="10"/>
      <c r="BO16" s="10">
        <v>0.5</v>
      </c>
      <c r="BS16" s="10"/>
      <c r="BT16" s="10">
        <v>0.8</v>
      </c>
      <c r="BU16" s="10"/>
      <c r="BV16" s="10">
        <v>0.8</v>
      </c>
      <c r="BZ16" s="10"/>
      <c r="CA16" s="10">
        <v>0.8</v>
      </c>
      <c r="CB16" s="10"/>
      <c r="CC16" s="10">
        <v>0.8</v>
      </c>
      <c r="CG16" s="10"/>
      <c r="CH16" s="10">
        <v>1</v>
      </c>
      <c r="CI16" s="10"/>
      <c r="CJ16" s="10">
        <v>1</v>
      </c>
      <c r="CN16" s="10"/>
      <c r="CO16" s="10"/>
      <c r="CP16" s="10"/>
      <c r="CQ16" s="10"/>
      <c r="CU16" s="10"/>
      <c r="CV16" s="10"/>
      <c r="CW16" s="10"/>
      <c r="CX16" s="10"/>
      <c r="DB16" s="10"/>
      <c r="DC16" s="10"/>
      <c r="DD16" s="10"/>
      <c r="DE16" s="10"/>
      <c r="DI16" s="10"/>
      <c r="DJ16" s="10"/>
      <c r="DK16" s="10"/>
      <c r="DL16" s="10"/>
      <c r="DP16" s="10"/>
      <c r="DQ16" s="10"/>
      <c r="DR16" s="10"/>
      <c r="DS16" s="10"/>
    </row>
    <row r="18" spans="2:123">
      <c r="B18" t="s">
        <v>27</v>
      </c>
      <c r="C18" t="s">
        <v>103</v>
      </c>
      <c r="D18" s="19" t="s">
        <v>90</v>
      </c>
      <c r="E18" s="9">
        <v>9</v>
      </c>
      <c r="G18" s="10">
        <f>+SUM(G19:G38)</f>
        <v>2.3000000000000007</v>
      </c>
      <c r="I18" s="12">
        <f>+SUM(I19:I38)</f>
        <v>0</v>
      </c>
      <c r="J18" s="11">
        <f>+SUMPRODUCT(G19:G38,J19:J38)</f>
        <v>0</v>
      </c>
      <c r="K18" s="11">
        <f>+SUMPRODUCT(G19:G38,K19:K38)</f>
        <v>0</v>
      </c>
      <c r="L18" s="9" t="s">
        <v>161</v>
      </c>
      <c r="N18" s="12">
        <f>+SUM(N19:N38)</f>
        <v>0</v>
      </c>
      <c r="S18" t="s">
        <v>167</v>
      </c>
      <c r="U18" s="12">
        <f>+SUM(U19:U38)</f>
        <v>0</v>
      </c>
      <c r="Z18" t="s">
        <v>167</v>
      </c>
      <c r="AB18" s="12">
        <f>+SUM(AB19:AB38)</f>
        <v>0</v>
      </c>
      <c r="AG18" t="s">
        <v>164</v>
      </c>
      <c r="AI18" s="12">
        <f>+SUM(AI19:AI38)</f>
        <v>0</v>
      </c>
      <c r="AN18" t="s">
        <v>164</v>
      </c>
      <c r="AP18" s="12">
        <f>+SUM(AP19:AP38)</f>
        <v>0</v>
      </c>
      <c r="AU18" t="s">
        <v>168</v>
      </c>
      <c r="BB18" t="s">
        <v>167</v>
      </c>
      <c r="BI18" t="s">
        <v>167</v>
      </c>
      <c r="BP18" t="s">
        <v>164</v>
      </c>
      <c r="BW18" t="s">
        <v>164</v>
      </c>
      <c r="CD18" t="s">
        <v>164</v>
      </c>
    </row>
    <row r="19" spans="2:123" outlineLevel="1">
      <c r="B19" t="s">
        <v>28</v>
      </c>
      <c r="C19" t="s">
        <v>103</v>
      </c>
      <c r="E19" s="9"/>
      <c r="F19" t="s">
        <v>104</v>
      </c>
      <c r="G19" s="10">
        <v>0.1</v>
      </c>
      <c r="I19" s="9">
        <f t="shared" ref="I19:I38" si="1">+SUMIF($N$3:$ZR$3,I$3,$N19:$ZR19)</f>
        <v>0</v>
      </c>
      <c r="J19" s="11" cm="1">
        <f t="array" ref="J19">MAX(IF($N$3:$DZ$3=$J$3,N19:DZ19))</f>
        <v>0</v>
      </c>
      <c r="K19" s="11" cm="1">
        <f t="array" ref="K19">MAX(IF($N$3:$DZ$3=$J$3,N19:DZ19))</f>
        <v>0</v>
      </c>
      <c r="L19" s="9"/>
      <c r="O19" s="10"/>
      <c r="P19" s="10">
        <v>0.8</v>
      </c>
      <c r="Q19" s="10"/>
      <c r="R19" s="10">
        <v>0.5</v>
      </c>
      <c r="V19" s="10"/>
      <c r="W19" s="10">
        <v>0.8</v>
      </c>
      <c r="X19" s="10"/>
      <c r="Y19" s="10">
        <v>0.8</v>
      </c>
      <c r="AC19" s="10"/>
      <c r="AD19" s="10">
        <v>0.8</v>
      </c>
      <c r="AE19" s="10"/>
      <c r="AF19" s="10">
        <v>0.8</v>
      </c>
      <c r="AJ19" s="10"/>
      <c r="AK19" s="10">
        <v>0.8</v>
      </c>
      <c r="AL19" s="10"/>
      <c r="AM19" s="10">
        <v>0.8</v>
      </c>
      <c r="AQ19" s="10"/>
      <c r="AR19" s="10">
        <v>0.8</v>
      </c>
      <c r="AS19" s="10"/>
      <c r="AT19" s="10">
        <v>0.8</v>
      </c>
      <c r="AX19" s="10"/>
      <c r="AY19" s="10">
        <v>1</v>
      </c>
      <c r="AZ19" s="10"/>
      <c r="BA19" s="10">
        <v>1</v>
      </c>
      <c r="BE19" s="10"/>
      <c r="BF19" s="10">
        <v>1</v>
      </c>
      <c r="BG19" s="10"/>
      <c r="BH19" s="10">
        <v>1</v>
      </c>
      <c r="BL19" s="10"/>
      <c r="BM19" s="10">
        <v>1</v>
      </c>
      <c r="BN19" s="10"/>
      <c r="BO19" s="10">
        <v>1</v>
      </c>
      <c r="BS19" s="10"/>
      <c r="BT19" s="10">
        <v>1</v>
      </c>
      <c r="BU19" s="10"/>
      <c r="BV19" s="10">
        <v>1</v>
      </c>
      <c r="BZ19" s="10"/>
      <c r="CA19" s="10">
        <v>1</v>
      </c>
      <c r="CB19" s="10"/>
      <c r="CC19" s="10">
        <v>1</v>
      </c>
      <c r="CG19" s="10"/>
      <c r="CH19" s="10">
        <v>1</v>
      </c>
      <c r="CI19" s="10"/>
      <c r="CJ19" s="10">
        <v>1</v>
      </c>
      <c r="CN19" s="10"/>
      <c r="CO19" s="10"/>
      <c r="CP19" s="10"/>
      <c r="CQ19" s="10"/>
      <c r="CU19" s="10"/>
      <c r="CV19" s="10"/>
      <c r="CW19" s="10"/>
      <c r="CX19" s="10"/>
      <c r="DB19" s="10"/>
      <c r="DC19" s="10"/>
      <c r="DD19" s="10"/>
      <c r="DE19" s="10"/>
      <c r="DI19" s="10"/>
      <c r="DJ19" s="10"/>
      <c r="DK19" s="10"/>
      <c r="DL19" s="10"/>
      <c r="DP19" s="10"/>
      <c r="DQ19" s="10"/>
      <c r="DR19" s="10"/>
      <c r="DS19" s="10"/>
    </row>
    <row r="20" spans="2:123" outlineLevel="1">
      <c r="B20" t="s">
        <v>28</v>
      </c>
      <c r="C20" t="s">
        <v>103</v>
      </c>
      <c r="E20" s="9"/>
      <c r="F20" t="s">
        <v>169</v>
      </c>
      <c r="G20" s="10">
        <v>0.2</v>
      </c>
      <c r="I20" s="9">
        <f t="shared" si="1"/>
        <v>0</v>
      </c>
      <c r="J20" s="11" cm="1">
        <f t="array" ref="J20">MAX(IF($N$3:$DZ$3=$J$3,N20:DZ20))</f>
        <v>0</v>
      </c>
      <c r="K20" s="11" cm="1">
        <f t="array" ref="K20">MAX(IF($N$3:$DZ$3=$J$3,N20:DZ20))</f>
        <v>0</v>
      </c>
      <c r="L20" s="9"/>
      <c r="O20" s="10"/>
      <c r="P20" s="10">
        <v>0.5</v>
      </c>
      <c r="Q20" s="10"/>
      <c r="R20" s="10">
        <v>0.5</v>
      </c>
      <c r="V20" s="10"/>
      <c r="W20" s="10">
        <v>0.8</v>
      </c>
      <c r="X20" s="10"/>
      <c r="Y20" s="10">
        <v>0.8</v>
      </c>
      <c r="AC20" s="10"/>
      <c r="AD20" s="10">
        <v>0.8</v>
      </c>
      <c r="AE20" s="10"/>
      <c r="AF20" s="10">
        <v>0.8</v>
      </c>
      <c r="AJ20" s="10"/>
      <c r="AK20" s="10">
        <v>0.8</v>
      </c>
      <c r="AL20" s="10"/>
      <c r="AM20" s="10">
        <v>0.8</v>
      </c>
      <c r="AQ20" s="10"/>
      <c r="AR20" s="10">
        <v>0.8</v>
      </c>
      <c r="AS20" s="10"/>
      <c r="AT20" s="10">
        <v>0.8</v>
      </c>
      <c r="AX20" s="10"/>
      <c r="AY20" s="10">
        <v>0.8</v>
      </c>
      <c r="AZ20" s="10"/>
      <c r="BA20" s="10">
        <v>0.8</v>
      </c>
      <c r="BE20" s="10"/>
      <c r="BF20" s="10">
        <v>1</v>
      </c>
      <c r="BG20" s="10"/>
      <c r="BH20" s="10">
        <v>1</v>
      </c>
      <c r="BL20" s="10"/>
      <c r="BM20" s="10">
        <v>1</v>
      </c>
      <c r="BN20" s="10"/>
      <c r="BO20" s="10">
        <v>1</v>
      </c>
      <c r="BS20" s="10"/>
      <c r="BT20" s="10">
        <v>1</v>
      </c>
      <c r="BU20" s="10"/>
      <c r="BV20" s="10">
        <v>1</v>
      </c>
      <c r="BZ20" s="10"/>
      <c r="CA20" s="10">
        <v>1</v>
      </c>
      <c r="CB20" s="10"/>
      <c r="CC20" s="10">
        <v>1</v>
      </c>
      <c r="CG20" s="10"/>
      <c r="CH20" s="10">
        <v>1</v>
      </c>
      <c r="CI20" s="10"/>
      <c r="CJ20" s="10">
        <v>1</v>
      </c>
      <c r="CN20" s="10"/>
      <c r="CO20" s="10"/>
      <c r="CP20" s="10"/>
      <c r="CQ20" s="10"/>
      <c r="CU20" s="10"/>
      <c r="CV20" s="10"/>
      <c r="CW20" s="10"/>
      <c r="CX20" s="10"/>
      <c r="DB20" s="10"/>
      <c r="DC20" s="10"/>
      <c r="DD20" s="10"/>
      <c r="DE20" s="10"/>
      <c r="DI20" s="10"/>
      <c r="DJ20" s="10"/>
      <c r="DK20" s="10"/>
      <c r="DL20" s="10"/>
      <c r="DP20" s="10"/>
      <c r="DQ20" s="10"/>
      <c r="DR20" s="10"/>
      <c r="DS20" s="10"/>
    </row>
    <row r="21" spans="2:123" outlineLevel="1">
      <c r="B21" t="s">
        <v>28</v>
      </c>
      <c r="C21" t="s">
        <v>103</v>
      </c>
      <c r="E21" s="9"/>
      <c r="F21" t="s">
        <v>105</v>
      </c>
      <c r="G21" s="10">
        <v>0.2</v>
      </c>
      <c r="I21" s="9">
        <f t="shared" si="1"/>
        <v>0</v>
      </c>
      <c r="J21" s="11" cm="1">
        <f t="array" ref="J21">MAX(IF($N$3:$DZ$3=$J$3,N21:DZ21))</f>
        <v>0</v>
      </c>
      <c r="K21" s="11" cm="1">
        <f t="array" ref="K21">MAX(IF($N$3:$DZ$3=$J$3,N21:DZ21))</f>
        <v>0</v>
      </c>
      <c r="L21" s="9"/>
      <c r="O21" s="10"/>
      <c r="P21" s="10">
        <v>0.5</v>
      </c>
      <c r="Q21" s="10"/>
      <c r="R21" s="10">
        <v>0.5</v>
      </c>
      <c r="V21" s="10"/>
      <c r="W21" s="10">
        <v>0.5</v>
      </c>
      <c r="X21" s="10"/>
      <c r="Y21" s="10">
        <v>0.5</v>
      </c>
      <c r="AC21" s="10"/>
      <c r="AD21" s="10">
        <v>0.8</v>
      </c>
      <c r="AE21" s="10"/>
      <c r="AF21" s="10">
        <v>0.8</v>
      </c>
      <c r="AJ21" s="10"/>
      <c r="AK21" s="10">
        <v>0.8</v>
      </c>
      <c r="AL21" s="10"/>
      <c r="AM21" s="10">
        <v>0.8</v>
      </c>
      <c r="AQ21" s="10"/>
      <c r="AR21" s="10">
        <v>0.8</v>
      </c>
      <c r="AS21" s="10"/>
      <c r="AT21" s="10">
        <v>0.8</v>
      </c>
      <c r="AX21" s="10"/>
      <c r="AY21" s="10">
        <v>0.8</v>
      </c>
      <c r="AZ21" s="10"/>
      <c r="BA21" s="10">
        <v>0.8</v>
      </c>
      <c r="BE21" s="10"/>
      <c r="BF21" s="10">
        <v>1</v>
      </c>
      <c r="BG21" s="10"/>
      <c r="BH21" s="10">
        <v>1</v>
      </c>
      <c r="BL21" s="10"/>
      <c r="BM21" s="10">
        <v>1</v>
      </c>
      <c r="BN21" s="10"/>
      <c r="BO21" s="10">
        <v>1</v>
      </c>
      <c r="BS21" s="10"/>
      <c r="BT21" s="10">
        <v>1</v>
      </c>
      <c r="BU21" s="10"/>
      <c r="BV21" s="10">
        <v>1</v>
      </c>
      <c r="BZ21" s="10"/>
      <c r="CA21" s="10">
        <v>1</v>
      </c>
      <c r="CB21" s="10"/>
      <c r="CC21" s="10">
        <v>1</v>
      </c>
      <c r="CG21" s="10"/>
      <c r="CH21" s="10">
        <v>1</v>
      </c>
      <c r="CI21" s="10"/>
      <c r="CJ21" s="10">
        <v>1</v>
      </c>
      <c r="CN21" s="10"/>
      <c r="CO21" s="10"/>
      <c r="CP21" s="10"/>
      <c r="CQ21" s="10"/>
      <c r="CU21" s="10"/>
      <c r="CV21" s="10"/>
      <c r="CW21" s="10"/>
      <c r="CX21" s="10"/>
      <c r="DB21" s="10"/>
      <c r="DC21" s="10"/>
      <c r="DD21" s="10"/>
      <c r="DE21" s="10"/>
      <c r="DI21" s="10"/>
      <c r="DJ21" s="10"/>
      <c r="DK21" s="10"/>
      <c r="DL21" s="10"/>
      <c r="DP21" s="10"/>
      <c r="DQ21" s="10"/>
      <c r="DR21" s="10"/>
      <c r="DS21" s="10"/>
    </row>
    <row r="22" spans="2:123" outlineLevel="1">
      <c r="B22" t="s">
        <v>28</v>
      </c>
      <c r="C22" t="s">
        <v>103</v>
      </c>
      <c r="E22" s="9"/>
      <c r="F22" t="s">
        <v>106</v>
      </c>
      <c r="G22" s="10">
        <v>0.1</v>
      </c>
      <c r="I22" s="9">
        <f t="shared" si="1"/>
        <v>0</v>
      </c>
      <c r="J22" s="11" cm="1">
        <f t="array" ref="J22">MAX(IF($N$3:$DZ$3=$J$3,N22:DZ22))</f>
        <v>0</v>
      </c>
      <c r="K22" s="11" cm="1">
        <f t="array" ref="K22">MAX(IF($N$3:$DZ$3=$J$3,N22:DZ22))</f>
        <v>0</v>
      </c>
      <c r="L22" s="9"/>
      <c r="O22" s="10"/>
      <c r="P22" s="10">
        <v>0.5</v>
      </c>
      <c r="Q22" s="10"/>
      <c r="R22" s="10">
        <v>0.5</v>
      </c>
      <c r="V22" s="10"/>
      <c r="W22" s="10">
        <v>0.5</v>
      </c>
      <c r="X22" s="10"/>
      <c r="Y22" s="10">
        <v>0.5</v>
      </c>
      <c r="AC22" s="10"/>
      <c r="AD22" s="10">
        <v>0.8</v>
      </c>
      <c r="AE22" s="10"/>
      <c r="AF22" s="10">
        <v>0.8</v>
      </c>
      <c r="AJ22" s="10"/>
      <c r="AK22" s="10">
        <v>0.8</v>
      </c>
      <c r="AL22" s="10"/>
      <c r="AM22" s="10">
        <v>0.8</v>
      </c>
      <c r="AQ22" s="10"/>
      <c r="AR22" s="10">
        <v>0.8</v>
      </c>
      <c r="AS22" s="10"/>
      <c r="AT22" s="10">
        <v>0.8</v>
      </c>
      <c r="AX22" s="10"/>
      <c r="AY22" s="10">
        <v>0.8</v>
      </c>
      <c r="AZ22" s="10"/>
      <c r="BA22" s="10">
        <v>0.8</v>
      </c>
      <c r="BE22" s="10"/>
      <c r="BF22" s="10">
        <v>1</v>
      </c>
      <c r="BG22" s="10"/>
      <c r="BH22" s="10">
        <v>1</v>
      </c>
      <c r="BL22" s="10"/>
      <c r="BM22" s="10">
        <v>1</v>
      </c>
      <c r="BN22" s="10"/>
      <c r="BO22" s="10">
        <v>1</v>
      </c>
      <c r="BS22" s="10"/>
      <c r="BT22" s="10">
        <v>1</v>
      </c>
      <c r="BU22" s="10"/>
      <c r="BV22" s="10">
        <v>1</v>
      </c>
      <c r="BZ22" s="10"/>
      <c r="CA22" s="10">
        <v>1</v>
      </c>
      <c r="CB22" s="10"/>
      <c r="CC22" s="10">
        <v>1</v>
      </c>
      <c r="CG22" s="10"/>
      <c r="CH22" s="10">
        <v>1</v>
      </c>
      <c r="CI22" s="10"/>
      <c r="CJ22" s="10">
        <v>1</v>
      </c>
      <c r="CN22" s="10"/>
      <c r="CO22" s="10"/>
      <c r="CP22" s="10"/>
      <c r="CQ22" s="10"/>
      <c r="CU22" s="10"/>
      <c r="CV22" s="10"/>
      <c r="CW22" s="10"/>
      <c r="CX22" s="10"/>
      <c r="DB22" s="10"/>
      <c r="DC22" s="10"/>
      <c r="DD22" s="10"/>
      <c r="DE22" s="10"/>
      <c r="DI22" s="10"/>
      <c r="DJ22" s="10"/>
      <c r="DK22" s="10"/>
      <c r="DL22" s="10"/>
      <c r="DP22" s="10"/>
      <c r="DQ22" s="10"/>
      <c r="DR22" s="10"/>
      <c r="DS22" s="10"/>
    </row>
    <row r="23" spans="2:123" outlineLevel="1">
      <c r="B23" t="s">
        <v>28</v>
      </c>
      <c r="C23" t="s">
        <v>103</v>
      </c>
      <c r="E23" s="9"/>
      <c r="F23" t="s">
        <v>107</v>
      </c>
      <c r="G23" s="10">
        <v>0.1</v>
      </c>
      <c r="I23" s="9">
        <f t="shared" si="1"/>
        <v>0</v>
      </c>
      <c r="J23" s="11" cm="1">
        <f t="array" ref="J23">MAX(IF($N$3:$DZ$3=$J$3,N23:DZ23))</f>
        <v>0</v>
      </c>
      <c r="K23" s="11" cm="1">
        <f t="array" ref="K23">MAX(IF($N$3:$DZ$3=$J$3,N23:DZ23))</f>
        <v>0</v>
      </c>
      <c r="L23" s="9"/>
      <c r="O23" s="10"/>
      <c r="P23" s="10">
        <v>0.5</v>
      </c>
      <c r="Q23" s="10"/>
      <c r="R23" s="10">
        <v>0.5</v>
      </c>
      <c r="V23" s="10"/>
      <c r="W23" s="10">
        <v>0.5</v>
      </c>
      <c r="X23" s="10"/>
      <c r="Y23" s="10">
        <v>0.5</v>
      </c>
      <c r="AC23" s="10"/>
      <c r="AD23" s="10">
        <v>0.5</v>
      </c>
      <c r="AE23" s="10"/>
      <c r="AF23" s="10">
        <v>0.5</v>
      </c>
      <c r="AJ23" s="10"/>
      <c r="AK23" s="10">
        <v>0.8</v>
      </c>
      <c r="AL23" s="10"/>
      <c r="AM23" s="10">
        <v>0.8</v>
      </c>
      <c r="AQ23" s="10"/>
      <c r="AR23" s="10">
        <v>0.8</v>
      </c>
      <c r="AS23" s="10"/>
      <c r="AT23" s="10">
        <v>0.8</v>
      </c>
      <c r="AX23" s="10"/>
      <c r="AY23" s="10">
        <v>0.8</v>
      </c>
      <c r="AZ23" s="10"/>
      <c r="BA23" s="10">
        <v>0.8</v>
      </c>
      <c r="BE23" s="10"/>
      <c r="BF23" s="10">
        <v>0.8</v>
      </c>
      <c r="BG23" s="10"/>
      <c r="BH23" s="10">
        <v>0.8</v>
      </c>
      <c r="BL23" s="10"/>
      <c r="BM23" s="10">
        <v>1</v>
      </c>
      <c r="BN23" s="10"/>
      <c r="BO23" s="10">
        <v>1</v>
      </c>
      <c r="BS23" s="10"/>
      <c r="BT23" s="10">
        <v>1</v>
      </c>
      <c r="BU23" s="10"/>
      <c r="BV23" s="10">
        <v>1</v>
      </c>
      <c r="BZ23" s="10"/>
      <c r="CA23" s="10">
        <v>1</v>
      </c>
      <c r="CB23" s="10"/>
      <c r="CC23" s="10">
        <v>1</v>
      </c>
      <c r="CG23" s="10"/>
      <c r="CH23" s="10">
        <v>1</v>
      </c>
      <c r="CI23" s="10"/>
      <c r="CJ23" s="10">
        <v>1</v>
      </c>
      <c r="CN23" s="10"/>
      <c r="CO23" s="10"/>
      <c r="CP23" s="10"/>
      <c r="CQ23" s="10"/>
      <c r="CU23" s="10"/>
      <c r="CV23" s="10"/>
      <c r="CW23" s="10"/>
      <c r="CX23" s="10"/>
      <c r="DB23" s="10"/>
      <c r="DC23" s="10"/>
      <c r="DD23" s="10"/>
      <c r="DE23" s="10"/>
      <c r="DI23" s="10"/>
      <c r="DJ23" s="10"/>
      <c r="DK23" s="10"/>
      <c r="DL23" s="10"/>
      <c r="DP23" s="10"/>
      <c r="DQ23" s="10"/>
      <c r="DR23" s="10"/>
      <c r="DS23" s="10"/>
    </row>
    <row r="24" spans="2:123" outlineLevel="1">
      <c r="B24" t="s">
        <v>28</v>
      </c>
      <c r="C24" t="s">
        <v>103</v>
      </c>
      <c r="E24" s="9"/>
      <c r="F24" t="s">
        <v>108</v>
      </c>
      <c r="G24" s="10">
        <v>0.1</v>
      </c>
      <c r="I24" s="9">
        <f t="shared" si="1"/>
        <v>0</v>
      </c>
      <c r="J24" s="11" cm="1">
        <f t="array" ref="J24">MAX(IF($N$3:$DZ$3=$J$3,N24:DZ24))</f>
        <v>0</v>
      </c>
      <c r="K24" s="11" cm="1">
        <f t="array" ref="K24">MAX(IF($N$3:$DZ$3=$J$3,N24:DZ24))</f>
        <v>0</v>
      </c>
      <c r="L24" s="9"/>
      <c r="O24" s="10"/>
      <c r="P24" s="10">
        <v>0.5</v>
      </c>
      <c r="Q24" s="10"/>
      <c r="R24" s="10">
        <v>0.5</v>
      </c>
      <c r="V24" s="10"/>
      <c r="W24" s="10">
        <v>0.5</v>
      </c>
      <c r="X24" s="10"/>
      <c r="Y24" s="10">
        <v>0.5</v>
      </c>
      <c r="AC24" s="10"/>
      <c r="AD24" s="10">
        <v>0.5</v>
      </c>
      <c r="AE24" s="10"/>
      <c r="AF24" s="10">
        <v>0.5</v>
      </c>
      <c r="AJ24" s="10"/>
      <c r="AK24" s="10">
        <v>0.8</v>
      </c>
      <c r="AL24" s="10"/>
      <c r="AM24" s="10">
        <v>0.8</v>
      </c>
      <c r="AQ24" s="10"/>
      <c r="AR24" s="10">
        <v>0.8</v>
      </c>
      <c r="AS24" s="10"/>
      <c r="AT24" s="10">
        <v>0.8</v>
      </c>
      <c r="AX24" s="10"/>
      <c r="AY24" s="10">
        <v>0.8</v>
      </c>
      <c r="AZ24" s="10"/>
      <c r="BA24" s="10">
        <v>0.8</v>
      </c>
      <c r="BE24" s="10"/>
      <c r="BF24" s="10">
        <v>0.8</v>
      </c>
      <c r="BG24" s="10"/>
      <c r="BH24" s="10">
        <v>0.8</v>
      </c>
      <c r="BL24" s="10"/>
      <c r="BM24" s="10">
        <v>1</v>
      </c>
      <c r="BN24" s="10"/>
      <c r="BO24" s="10">
        <v>1</v>
      </c>
      <c r="BS24" s="10"/>
      <c r="BT24" s="10">
        <v>1</v>
      </c>
      <c r="BU24" s="10"/>
      <c r="BV24" s="10">
        <v>1</v>
      </c>
      <c r="BZ24" s="10"/>
      <c r="CA24" s="10">
        <v>1</v>
      </c>
      <c r="CB24" s="10"/>
      <c r="CC24" s="10">
        <v>1</v>
      </c>
      <c r="CG24" s="10"/>
      <c r="CH24" s="10">
        <v>1</v>
      </c>
      <c r="CI24" s="10"/>
      <c r="CJ24" s="10">
        <v>1</v>
      </c>
      <c r="CN24" s="10"/>
      <c r="CO24" s="10"/>
      <c r="CP24" s="10"/>
      <c r="CQ24" s="10"/>
      <c r="CU24" s="10"/>
      <c r="CV24" s="10"/>
      <c r="CW24" s="10"/>
      <c r="CX24" s="10"/>
      <c r="DB24" s="10"/>
      <c r="DC24" s="10"/>
      <c r="DD24" s="10"/>
      <c r="DE24" s="10"/>
      <c r="DI24" s="10"/>
      <c r="DJ24" s="10"/>
      <c r="DK24" s="10"/>
      <c r="DL24" s="10"/>
      <c r="DP24" s="10"/>
      <c r="DQ24" s="10"/>
      <c r="DR24" s="10"/>
      <c r="DS24" s="10"/>
    </row>
    <row r="25" spans="2:123" outlineLevel="1">
      <c r="B25" t="s">
        <v>28</v>
      </c>
      <c r="C25" t="s">
        <v>103</v>
      </c>
      <c r="E25" s="9"/>
      <c r="F25" t="s">
        <v>109</v>
      </c>
      <c r="G25" s="10">
        <v>0.1</v>
      </c>
      <c r="I25" s="9">
        <f t="shared" si="1"/>
        <v>0</v>
      </c>
      <c r="J25" s="11" cm="1">
        <f t="array" ref="J25">MAX(IF($N$3:$DZ$3=$J$3,N25:DZ25))</f>
        <v>0</v>
      </c>
      <c r="K25" s="11" cm="1">
        <f t="array" ref="K25">MAX(IF($N$3:$DZ$3=$J$3,N25:DZ25))</f>
        <v>0</v>
      </c>
      <c r="L25" s="9"/>
      <c r="O25" s="10"/>
      <c r="P25" s="10"/>
      <c r="Q25" s="10"/>
      <c r="R25" s="10"/>
      <c r="V25" s="10"/>
      <c r="W25" s="10">
        <v>0.5</v>
      </c>
      <c r="X25" s="10"/>
      <c r="Y25" s="10">
        <v>0.5</v>
      </c>
      <c r="AC25" s="10"/>
      <c r="AD25" s="10">
        <v>0.5</v>
      </c>
      <c r="AE25" s="10"/>
      <c r="AF25" s="10">
        <v>0.5</v>
      </c>
      <c r="AJ25" s="10"/>
      <c r="AK25" s="10">
        <v>0.8</v>
      </c>
      <c r="AL25" s="10"/>
      <c r="AM25" s="10">
        <v>0.8</v>
      </c>
      <c r="AQ25" s="10"/>
      <c r="AR25" s="10">
        <v>0.8</v>
      </c>
      <c r="AS25" s="10"/>
      <c r="AT25" s="10">
        <v>0.8</v>
      </c>
      <c r="AX25" s="10"/>
      <c r="AY25" s="10">
        <v>0.8</v>
      </c>
      <c r="AZ25" s="10"/>
      <c r="BA25" s="10">
        <v>0.8</v>
      </c>
      <c r="BE25" s="10"/>
      <c r="BF25" s="10">
        <v>0.8</v>
      </c>
      <c r="BG25" s="10"/>
      <c r="BH25" s="10">
        <v>0.8</v>
      </c>
      <c r="BL25" s="10"/>
      <c r="BM25" s="10">
        <v>1</v>
      </c>
      <c r="BN25" s="10"/>
      <c r="BO25" s="10">
        <v>1</v>
      </c>
      <c r="BS25" s="10"/>
      <c r="BT25" s="10">
        <v>1</v>
      </c>
      <c r="BU25" s="10"/>
      <c r="BV25" s="10">
        <v>1</v>
      </c>
      <c r="BZ25" s="10"/>
      <c r="CA25" s="10">
        <v>1</v>
      </c>
      <c r="CB25" s="10"/>
      <c r="CC25" s="10">
        <v>1</v>
      </c>
      <c r="CG25" s="10"/>
      <c r="CH25" s="10">
        <v>1</v>
      </c>
      <c r="CI25" s="10"/>
      <c r="CJ25" s="10">
        <v>1</v>
      </c>
      <c r="CN25" s="10"/>
      <c r="CO25" s="10"/>
      <c r="CP25" s="10"/>
      <c r="CQ25" s="10"/>
      <c r="CU25" s="10"/>
      <c r="CV25" s="10"/>
      <c r="CW25" s="10"/>
      <c r="CX25" s="10"/>
      <c r="DB25" s="10"/>
      <c r="DC25" s="10"/>
      <c r="DD25" s="10"/>
      <c r="DE25" s="10"/>
      <c r="DI25" s="10"/>
      <c r="DJ25" s="10"/>
      <c r="DK25" s="10"/>
      <c r="DL25" s="10"/>
      <c r="DP25" s="10"/>
      <c r="DQ25" s="10"/>
      <c r="DR25" s="10"/>
      <c r="DS25" s="10"/>
    </row>
    <row r="26" spans="2:123" outlineLevel="1">
      <c r="B26" t="s">
        <v>28</v>
      </c>
      <c r="C26" t="s">
        <v>103</v>
      </c>
      <c r="E26" s="9"/>
      <c r="F26" t="s">
        <v>110</v>
      </c>
      <c r="G26" s="10">
        <v>0.1</v>
      </c>
      <c r="I26" s="9">
        <f t="shared" si="1"/>
        <v>0</v>
      </c>
      <c r="J26" s="11" cm="1">
        <f t="array" ref="J26">MAX(IF($N$3:$DZ$3=$J$3,N26:DZ26))</f>
        <v>0</v>
      </c>
      <c r="K26" s="11" cm="1">
        <f t="array" ref="K26">MAX(IF($N$3:$DZ$3=$J$3,N26:DZ26))</f>
        <v>0</v>
      </c>
      <c r="L26" s="9"/>
      <c r="O26" s="10"/>
      <c r="P26" s="10"/>
      <c r="Q26" s="10"/>
      <c r="R26" s="10"/>
      <c r="V26" s="10"/>
      <c r="W26" s="10">
        <v>0.5</v>
      </c>
      <c r="X26" s="10"/>
      <c r="Y26" s="10">
        <v>0.5</v>
      </c>
      <c r="AC26" s="10"/>
      <c r="AD26" s="10">
        <v>0.5</v>
      </c>
      <c r="AE26" s="10"/>
      <c r="AF26" s="10">
        <v>0.5</v>
      </c>
      <c r="AJ26" s="10"/>
      <c r="AK26" s="10">
        <v>0.5</v>
      </c>
      <c r="AL26" s="10"/>
      <c r="AM26" s="10">
        <v>0.5</v>
      </c>
      <c r="AQ26" s="10"/>
      <c r="AR26" s="10">
        <v>0.8</v>
      </c>
      <c r="AS26" s="10"/>
      <c r="AT26" s="10">
        <v>0.8</v>
      </c>
      <c r="AX26" s="10"/>
      <c r="AY26" s="10">
        <v>0.8</v>
      </c>
      <c r="AZ26" s="10"/>
      <c r="BA26" s="10">
        <v>0.8</v>
      </c>
      <c r="BE26" s="10"/>
      <c r="BF26" s="10">
        <v>0.8</v>
      </c>
      <c r="BG26" s="10"/>
      <c r="BH26" s="10">
        <v>0.8</v>
      </c>
      <c r="BL26" s="10"/>
      <c r="BM26" s="10">
        <v>1</v>
      </c>
      <c r="BN26" s="10"/>
      <c r="BO26" s="10">
        <v>1</v>
      </c>
      <c r="BS26" s="10"/>
      <c r="BT26" s="10">
        <v>1</v>
      </c>
      <c r="BU26" s="10"/>
      <c r="BV26" s="10">
        <v>1</v>
      </c>
      <c r="BZ26" s="10"/>
      <c r="CA26" s="10">
        <v>1</v>
      </c>
      <c r="CB26" s="10"/>
      <c r="CC26" s="10">
        <v>1</v>
      </c>
      <c r="CG26" s="10"/>
      <c r="CH26" s="10">
        <v>1</v>
      </c>
      <c r="CI26" s="10"/>
      <c r="CJ26" s="10">
        <v>1</v>
      </c>
      <c r="CN26" s="10"/>
      <c r="CO26" s="10"/>
      <c r="CP26" s="10"/>
      <c r="CQ26" s="10"/>
      <c r="CU26" s="10"/>
      <c r="CV26" s="10"/>
      <c r="CW26" s="10"/>
      <c r="CX26" s="10"/>
      <c r="DB26" s="10"/>
      <c r="DC26" s="10"/>
      <c r="DD26" s="10"/>
      <c r="DE26" s="10"/>
      <c r="DI26" s="10"/>
      <c r="DJ26" s="10"/>
      <c r="DK26" s="10"/>
      <c r="DL26" s="10"/>
      <c r="DP26" s="10"/>
      <c r="DQ26" s="10"/>
      <c r="DR26" s="10"/>
      <c r="DS26" s="10"/>
    </row>
    <row r="27" spans="2:123" outlineLevel="1">
      <c r="B27" t="s">
        <v>28</v>
      </c>
      <c r="C27" t="s">
        <v>103</v>
      </c>
      <c r="E27" s="9"/>
      <c r="F27" t="s">
        <v>111</v>
      </c>
      <c r="G27" s="10">
        <v>0.1</v>
      </c>
      <c r="I27" s="9">
        <f t="shared" si="1"/>
        <v>0</v>
      </c>
      <c r="J27" s="11" cm="1">
        <f t="array" ref="J27">MAX(IF($N$3:$DZ$3=$J$3,N27:DZ27))</f>
        <v>0</v>
      </c>
      <c r="K27" s="11" cm="1">
        <f t="array" ref="K27">MAX(IF($N$3:$DZ$3=$J$3,N27:DZ27))</f>
        <v>0</v>
      </c>
      <c r="L27" s="9"/>
      <c r="O27" s="10"/>
      <c r="P27" s="10"/>
      <c r="Q27" s="10"/>
      <c r="R27" s="10"/>
      <c r="V27" s="10"/>
      <c r="W27" s="10">
        <v>0.5</v>
      </c>
      <c r="X27" s="10"/>
      <c r="Y27" s="10">
        <v>0.5</v>
      </c>
      <c r="AC27" s="10"/>
      <c r="AD27" s="10">
        <v>0.5</v>
      </c>
      <c r="AE27" s="10"/>
      <c r="AF27" s="10">
        <v>0.5</v>
      </c>
      <c r="AJ27" s="10"/>
      <c r="AK27" s="10">
        <v>0.5</v>
      </c>
      <c r="AL27" s="10"/>
      <c r="AM27" s="10">
        <v>0.5</v>
      </c>
      <c r="AQ27" s="10"/>
      <c r="AR27" s="10">
        <v>0.8</v>
      </c>
      <c r="AS27" s="10"/>
      <c r="AT27" s="10">
        <v>0.8</v>
      </c>
      <c r="AX27" s="10"/>
      <c r="AY27" s="10">
        <v>0.8</v>
      </c>
      <c r="AZ27" s="10"/>
      <c r="BA27" s="10">
        <v>0.8</v>
      </c>
      <c r="BE27" s="10"/>
      <c r="BF27" s="10">
        <v>0.8</v>
      </c>
      <c r="BG27" s="10"/>
      <c r="BH27" s="10">
        <v>0.8</v>
      </c>
      <c r="BL27" s="10"/>
      <c r="BM27" s="10">
        <v>0.8</v>
      </c>
      <c r="BN27" s="10"/>
      <c r="BO27" s="10">
        <v>0.8</v>
      </c>
      <c r="BS27" s="10"/>
      <c r="BT27" s="10">
        <v>1</v>
      </c>
      <c r="BU27" s="10"/>
      <c r="BV27" s="10">
        <v>1</v>
      </c>
      <c r="BZ27" s="10"/>
      <c r="CA27" s="10">
        <v>1</v>
      </c>
      <c r="CB27" s="10"/>
      <c r="CC27" s="10">
        <v>1</v>
      </c>
      <c r="CG27" s="10"/>
      <c r="CH27" s="10">
        <v>1</v>
      </c>
      <c r="CI27" s="10"/>
      <c r="CJ27" s="10">
        <v>1</v>
      </c>
      <c r="CN27" s="10"/>
      <c r="CO27" s="10"/>
      <c r="CP27" s="10"/>
      <c r="CQ27" s="10"/>
      <c r="CU27" s="10"/>
      <c r="CV27" s="10"/>
      <c r="CW27" s="10"/>
      <c r="CX27" s="10"/>
      <c r="DB27" s="10"/>
      <c r="DC27" s="10"/>
      <c r="DD27" s="10"/>
      <c r="DE27" s="10"/>
      <c r="DI27" s="10"/>
      <c r="DJ27" s="10"/>
      <c r="DK27" s="10"/>
      <c r="DL27" s="10"/>
      <c r="DP27" s="10"/>
      <c r="DQ27" s="10"/>
      <c r="DR27" s="10"/>
      <c r="DS27" s="10"/>
    </row>
    <row r="28" spans="2:123" outlineLevel="1">
      <c r="B28" t="s">
        <v>28</v>
      </c>
      <c r="C28" t="s">
        <v>103</v>
      </c>
      <c r="E28" s="9"/>
      <c r="F28" t="s">
        <v>112</v>
      </c>
      <c r="G28" s="10">
        <v>0.1</v>
      </c>
      <c r="I28" s="9">
        <f t="shared" si="1"/>
        <v>0</v>
      </c>
      <c r="J28" s="11" cm="1">
        <f t="array" ref="J28">MAX(IF($N$3:$DZ$3=$J$3,N28:DZ28))</f>
        <v>0</v>
      </c>
      <c r="K28" s="11" cm="1">
        <f t="array" ref="K28">MAX(IF($N$3:$DZ$3=$J$3,N28:DZ28))</f>
        <v>0</v>
      </c>
      <c r="L28" s="9"/>
      <c r="O28" s="10"/>
      <c r="P28" s="10"/>
      <c r="Q28" s="10"/>
      <c r="R28" s="10"/>
      <c r="V28" s="10"/>
      <c r="W28" s="10">
        <v>0.5</v>
      </c>
      <c r="X28" s="10"/>
      <c r="Y28" s="10">
        <v>0.5</v>
      </c>
      <c r="AC28" s="10"/>
      <c r="AD28" s="10">
        <v>0.5</v>
      </c>
      <c r="AE28" s="10"/>
      <c r="AF28" s="10">
        <v>0.5</v>
      </c>
      <c r="AJ28" s="10"/>
      <c r="AK28" s="10">
        <v>0.5</v>
      </c>
      <c r="AL28" s="10"/>
      <c r="AM28" s="10">
        <v>0.5</v>
      </c>
      <c r="AQ28" s="10"/>
      <c r="AR28" s="10">
        <v>0.8</v>
      </c>
      <c r="AS28" s="10"/>
      <c r="AT28" s="10">
        <v>0.8</v>
      </c>
      <c r="AX28" s="10"/>
      <c r="AY28" s="10">
        <v>0.8</v>
      </c>
      <c r="AZ28" s="10"/>
      <c r="BA28" s="10">
        <v>0.8</v>
      </c>
      <c r="BE28" s="10"/>
      <c r="BF28" s="10">
        <v>0.8</v>
      </c>
      <c r="BG28" s="10"/>
      <c r="BH28" s="10">
        <v>0.8</v>
      </c>
      <c r="BL28" s="10"/>
      <c r="BM28" s="10">
        <v>0.8</v>
      </c>
      <c r="BN28" s="10"/>
      <c r="BO28" s="10">
        <v>0.8</v>
      </c>
      <c r="BS28" s="10"/>
      <c r="BT28" s="10">
        <v>1</v>
      </c>
      <c r="BU28" s="10"/>
      <c r="BV28" s="10">
        <v>1</v>
      </c>
      <c r="BZ28" s="10"/>
      <c r="CA28" s="10">
        <v>1</v>
      </c>
      <c r="CB28" s="10"/>
      <c r="CC28" s="10">
        <v>1</v>
      </c>
      <c r="CG28" s="10"/>
      <c r="CH28" s="10">
        <v>1</v>
      </c>
      <c r="CI28" s="10"/>
      <c r="CJ28" s="10">
        <v>1</v>
      </c>
      <c r="CN28" s="10"/>
      <c r="CO28" s="10"/>
      <c r="CP28" s="10"/>
      <c r="CQ28" s="10"/>
      <c r="CU28" s="10"/>
      <c r="CV28" s="10"/>
      <c r="CW28" s="10"/>
      <c r="CX28" s="10"/>
      <c r="DB28" s="10"/>
      <c r="DC28" s="10"/>
      <c r="DD28" s="10"/>
      <c r="DE28" s="10"/>
      <c r="DI28" s="10"/>
      <c r="DJ28" s="10"/>
      <c r="DK28" s="10"/>
      <c r="DL28" s="10"/>
      <c r="DP28" s="10"/>
      <c r="DQ28" s="10"/>
      <c r="DR28" s="10"/>
      <c r="DS28" s="10"/>
    </row>
    <row r="29" spans="2:123" outlineLevel="1">
      <c r="B29" t="s">
        <v>28</v>
      </c>
      <c r="C29" t="s">
        <v>103</v>
      </c>
      <c r="E29" s="9"/>
      <c r="F29" t="s">
        <v>113</v>
      </c>
      <c r="G29" s="10">
        <v>0.1</v>
      </c>
      <c r="I29" s="9">
        <f t="shared" si="1"/>
        <v>0</v>
      </c>
      <c r="J29" s="11" cm="1">
        <f t="array" ref="J29">MAX(IF($N$3:$DZ$3=$J$3,N29:DZ29))</f>
        <v>0</v>
      </c>
      <c r="K29" s="11" cm="1">
        <f t="array" ref="K29">MAX(IF($N$3:$DZ$3=$J$3,N29:DZ29))</f>
        <v>0</v>
      </c>
      <c r="L29" s="9"/>
      <c r="O29" s="10"/>
      <c r="P29" s="10"/>
      <c r="Q29" s="10"/>
      <c r="R29" s="10"/>
      <c r="V29" s="10"/>
      <c r="W29" s="10"/>
      <c r="X29" s="10"/>
      <c r="Y29" s="10"/>
      <c r="AC29" s="10"/>
      <c r="AD29" s="10">
        <v>0.5</v>
      </c>
      <c r="AE29" s="10"/>
      <c r="AF29" s="10">
        <v>0.5</v>
      </c>
      <c r="AJ29" s="10"/>
      <c r="AK29" s="10">
        <v>0.5</v>
      </c>
      <c r="AL29" s="10"/>
      <c r="AM29" s="10">
        <v>0.5</v>
      </c>
      <c r="AQ29" s="10"/>
      <c r="AR29" s="10">
        <v>0.5</v>
      </c>
      <c r="AS29" s="10"/>
      <c r="AT29" s="10">
        <v>0.5</v>
      </c>
      <c r="AX29" s="10"/>
      <c r="AY29" s="10">
        <v>0.8</v>
      </c>
      <c r="AZ29" s="10"/>
      <c r="BA29" s="10">
        <v>0.8</v>
      </c>
      <c r="BE29" s="10"/>
      <c r="BF29" s="10">
        <v>0.8</v>
      </c>
      <c r="BG29" s="10"/>
      <c r="BH29" s="10">
        <v>0.8</v>
      </c>
      <c r="BL29" s="10"/>
      <c r="BM29" s="10">
        <v>0.8</v>
      </c>
      <c r="BN29" s="10"/>
      <c r="BO29" s="10">
        <v>0.8</v>
      </c>
      <c r="BS29" s="10"/>
      <c r="BT29" s="10">
        <v>0.8</v>
      </c>
      <c r="BU29" s="10"/>
      <c r="BV29" s="10">
        <v>0.8</v>
      </c>
      <c r="BZ29" s="10"/>
      <c r="CA29" s="10">
        <v>1</v>
      </c>
      <c r="CB29" s="10"/>
      <c r="CC29" s="10">
        <v>1</v>
      </c>
      <c r="CG29" s="10"/>
      <c r="CH29" s="10">
        <v>1</v>
      </c>
      <c r="CI29" s="10"/>
      <c r="CJ29" s="10">
        <v>1</v>
      </c>
      <c r="CN29" s="10"/>
      <c r="CO29" s="10"/>
      <c r="CP29" s="10"/>
      <c r="CQ29" s="10"/>
      <c r="CU29" s="10"/>
      <c r="CV29" s="10"/>
      <c r="CW29" s="10"/>
      <c r="CX29" s="10"/>
      <c r="DB29" s="10"/>
      <c r="DC29" s="10"/>
      <c r="DD29" s="10"/>
      <c r="DE29" s="10"/>
      <c r="DI29" s="10"/>
      <c r="DJ29" s="10"/>
      <c r="DK29" s="10"/>
      <c r="DL29" s="10"/>
      <c r="DP29" s="10"/>
      <c r="DQ29" s="10"/>
      <c r="DR29" s="10"/>
      <c r="DS29" s="10"/>
    </row>
    <row r="30" spans="2:123" outlineLevel="1">
      <c r="B30" t="s">
        <v>28</v>
      </c>
      <c r="C30" t="s">
        <v>103</v>
      </c>
      <c r="E30" s="9"/>
      <c r="F30" t="s">
        <v>114</v>
      </c>
      <c r="G30" s="10">
        <v>0.1</v>
      </c>
      <c r="I30" s="9">
        <f t="shared" si="1"/>
        <v>0</v>
      </c>
      <c r="J30" s="11" cm="1">
        <f t="array" ref="J30">MAX(IF($N$3:$DZ$3=$J$3,N30:DZ30))</f>
        <v>0</v>
      </c>
      <c r="K30" s="11" cm="1">
        <f t="array" ref="K30">MAX(IF($N$3:$DZ$3=$J$3,N30:DZ30))</f>
        <v>0</v>
      </c>
      <c r="L30" s="9"/>
      <c r="O30" s="10"/>
      <c r="P30" s="10"/>
      <c r="Q30" s="10"/>
      <c r="R30" s="10"/>
      <c r="V30" s="10"/>
      <c r="W30" s="10"/>
      <c r="X30" s="10"/>
      <c r="Y30" s="10"/>
      <c r="AC30" s="10"/>
      <c r="AD30" s="10">
        <v>0.5</v>
      </c>
      <c r="AE30" s="10"/>
      <c r="AF30" s="10">
        <v>0.5</v>
      </c>
      <c r="AJ30" s="10"/>
      <c r="AK30" s="10">
        <v>0.5</v>
      </c>
      <c r="AL30" s="10"/>
      <c r="AM30" s="10">
        <v>0.5</v>
      </c>
      <c r="AQ30" s="10"/>
      <c r="AR30" s="10">
        <v>0.5</v>
      </c>
      <c r="AS30" s="10"/>
      <c r="AT30" s="10">
        <v>0.5</v>
      </c>
      <c r="AX30" s="10"/>
      <c r="AY30" s="10">
        <v>0.8</v>
      </c>
      <c r="AZ30" s="10"/>
      <c r="BA30" s="10">
        <v>0.8</v>
      </c>
      <c r="BE30" s="10"/>
      <c r="BF30" s="10">
        <v>0.8</v>
      </c>
      <c r="BG30" s="10"/>
      <c r="BH30" s="10">
        <v>0.8</v>
      </c>
      <c r="BL30" s="10"/>
      <c r="BM30" s="10">
        <v>0.8</v>
      </c>
      <c r="BN30" s="10"/>
      <c r="BO30" s="10">
        <v>0.8</v>
      </c>
      <c r="BS30" s="10"/>
      <c r="BT30" s="10">
        <v>0.8</v>
      </c>
      <c r="BU30" s="10"/>
      <c r="BV30" s="10">
        <v>0.8</v>
      </c>
      <c r="BZ30" s="10"/>
      <c r="CA30" s="10">
        <v>1</v>
      </c>
      <c r="CB30" s="10"/>
      <c r="CC30" s="10">
        <v>1</v>
      </c>
      <c r="CG30" s="10"/>
      <c r="CH30" s="10">
        <v>1</v>
      </c>
      <c r="CI30" s="10"/>
      <c r="CJ30" s="10">
        <v>1</v>
      </c>
      <c r="CN30" s="10"/>
      <c r="CO30" s="10"/>
      <c r="CP30" s="10"/>
      <c r="CQ30" s="10"/>
      <c r="CU30" s="10"/>
      <c r="CV30" s="10"/>
      <c r="CW30" s="10"/>
      <c r="CX30" s="10"/>
      <c r="DB30" s="10"/>
      <c r="DC30" s="10"/>
      <c r="DD30" s="10"/>
      <c r="DE30" s="10"/>
      <c r="DI30" s="10"/>
      <c r="DJ30" s="10"/>
      <c r="DK30" s="10"/>
      <c r="DL30" s="10"/>
      <c r="DP30" s="10"/>
      <c r="DQ30" s="10"/>
      <c r="DR30" s="10"/>
      <c r="DS30" s="10"/>
    </row>
    <row r="31" spans="2:123" outlineLevel="1">
      <c r="B31" t="s">
        <v>28</v>
      </c>
      <c r="C31" t="s">
        <v>103</v>
      </c>
      <c r="E31" s="9"/>
      <c r="F31" t="s">
        <v>115</v>
      </c>
      <c r="G31" s="10">
        <v>0.1</v>
      </c>
      <c r="I31" s="9">
        <f t="shared" si="1"/>
        <v>0</v>
      </c>
      <c r="J31" s="11" cm="1">
        <f t="array" ref="J31">MAX(IF($N$3:$DZ$3=$J$3,N31:DZ31))</f>
        <v>0</v>
      </c>
      <c r="K31" s="11" cm="1">
        <f t="array" ref="K31">MAX(IF($N$3:$DZ$3=$J$3,N31:DZ31))</f>
        <v>0</v>
      </c>
      <c r="L31" s="9"/>
      <c r="O31" s="10"/>
      <c r="P31" s="10"/>
      <c r="Q31" s="10"/>
      <c r="R31" s="10"/>
      <c r="V31" s="10"/>
      <c r="W31" s="10"/>
      <c r="X31" s="10"/>
      <c r="Y31" s="10"/>
      <c r="AC31" s="10"/>
      <c r="AD31" s="10">
        <v>0.5</v>
      </c>
      <c r="AE31" s="10"/>
      <c r="AF31" s="10">
        <v>0.5</v>
      </c>
      <c r="AJ31" s="10"/>
      <c r="AK31" s="10">
        <v>0.5</v>
      </c>
      <c r="AL31" s="10"/>
      <c r="AM31" s="10">
        <v>0.5</v>
      </c>
      <c r="AQ31" s="10"/>
      <c r="AR31" s="10">
        <v>0.5</v>
      </c>
      <c r="AS31" s="10"/>
      <c r="AT31" s="10">
        <v>0.5</v>
      </c>
      <c r="AX31" s="10"/>
      <c r="AY31" s="10">
        <v>0.5</v>
      </c>
      <c r="AZ31" s="10"/>
      <c r="BA31" s="10">
        <v>0.5</v>
      </c>
      <c r="BE31" s="10"/>
      <c r="BF31" s="10">
        <v>0.8</v>
      </c>
      <c r="BG31" s="10"/>
      <c r="BH31" s="10">
        <v>0.8</v>
      </c>
      <c r="BL31" s="10"/>
      <c r="BM31" s="10">
        <v>0.8</v>
      </c>
      <c r="BN31" s="10"/>
      <c r="BO31" s="10">
        <v>0.8</v>
      </c>
      <c r="BS31" s="10"/>
      <c r="BT31" s="10">
        <v>0.8</v>
      </c>
      <c r="BU31" s="10"/>
      <c r="BV31" s="10">
        <v>0.8</v>
      </c>
      <c r="BZ31" s="10"/>
      <c r="CA31" s="10">
        <v>1</v>
      </c>
      <c r="CB31" s="10"/>
      <c r="CC31" s="10">
        <v>1</v>
      </c>
      <c r="CG31" s="10"/>
      <c r="CH31" s="10">
        <v>1</v>
      </c>
      <c r="CI31" s="10"/>
      <c r="CJ31" s="10">
        <v>1</v>
      </c>
      <c r="CN31" s="10"/>
      <c r="CO31" s="10"/>
      <c r="CP31" s="10"/>
      <c r="CQ31" s="10"/>
      <c r="CU31" s="10"/>
      <c r="CV31" s="10"/>
      <c r="CW31" s="10"/>
      <c r="CX31" s="10"/>
      <c r="DB31" s="10"/>
      <c r="DC31" s="10"/>
      <c r="DD31" s="10"/>
      <c r="DE31" s="10"/>
      <c r="DI31" s="10"/>
      <c r="DJ31" s="10"/>
      <c r="DK31" s="10"/>
      <c r="DL31" s="10"/>
      <c r="DP31" s="10"/>
      <c r="DQ31" s="10"/>
      <c r="DR31" s="10"/>
      <c r="DS31" s="10"/>
    </row>
    <row r="32" spans="2:123" outlineLevel="1">
      <c r="B32" t="s">
        <v>28</v>
      </c>
      <c r="C32" t="s">
        <v>103</v>
      </c>
      <c r="E32" s="9"/>
      <c r="F32" t="s">
        <v>116</v>
      </c>
      <c r="G32" s="10">
        <v>0.1</v>
      </c>
      <c r="I32" s="9">
        <f t="shared" si="1"/>
        <v>0</v>
      </c>
      <c r="J32" s="11" cm="1">
        <f t="array" ref="J32">MAX(IF($N$3:$DZ$3=$J$3,N32:DZ32))</f>
        <v>0</v>
      </c>
      <c r="K32" s="11" cm="1">
        <f t="array" ref="K32">MAX(IF($N$3:$DZ$3=$J$3,N32:DZ32))</f>
        <v>0</v>
      </c>
      <c r="L32" s="9"/>
      <c r="O32" s="10"/>
      <c r="P32" s="10"/>
      <c r="Q32" s="10"/>
      <c r="R32" s="10"/>
      <c r="V32" s="10"/>
      <c r="W32" s="10"/>
      <c r="X32" s="10"/>
      <c r="Y32" s="10"/>
      <c r="AC32" s="10"/>
      <c r="AD32" s="10">
        <v>0.5</v>
      </c>
      <c r="AE32" s="10"/>
      <c r="AF32" s="10">
        <v>0.5</v>
      </c>
      <c r="AJ32" s="10"/>
      <c r="AK32" s="10">
        <v>0.5</v>
      </c>
      <c r="AL32" s="10"/>
      <c r="AM32" s="10">
        <v>0.5</v>
      </c>
      <c r="AQ32" s="10"/>
      <c r="AR32" s="10">
        <v>0.5</v>
      </c>
      <c r="AS32" s="10"/>
      <c r="AT32" s="10">
        <v>0.5</v>
      </c>
      <c r="AX32" s="10"/>
      <c r="AY32" s="10">
        <v>0.5</v>
      </c>
      <c r="AZ32" s="10"/>
      <c r="BA32" s="10">
        <v>0.5</v>
      </c>
      <c r="BE32" s="10"/>
      <c r="BF32" s="10">
        <v>0.8</v>
      </c>
      <c r="BG32" s="10"/>
      <c r="BH32" s="10">
        <v>0.8</v>
      </c>
      <c r="BL32" s="10"/>
      <c r="BM32" s="10">
        <v>0.8</v>
      </c>
      <c r="BN32" s="10"/>
      <c r="BO32" s="10">
        <v>0.8</v>
      </c>
      <c r="BS32" s="10"/>
      <c r="BT32" s="10">
        <v>0.8</v>
      </c>
      <c r="BU32" s="10"/>
      <c r="BV32" s="10">
        <v>0.8</v>
      </c>
      <c r="BZ32" s="10"/>
      <c r="CA32" s="10">
        <v>1</v>
      </c>
      <c r="CB32" s="10"/>
      <c r="CC32" s="10">
        <v>1</v>
      </c>
      <c r="CG32" s="10"/>
      <c r="CH32" s="10">
        <v>1</v>
      </c>
      <c r="CI32" s="10"/>
      <c r="CJ32" s="10">
        <v>1</v>
      </c>
      <c r="CN32" s="10"/>
      <c r="CO32" s="10"/>
      <c r="CP32" s="10"/>
      <c r="CQ32" s="10"/>
      <c r="CU32" s="10"/>
      <c r="CV32" s="10"/>
      <c r="CW32" s="10"/>
      <c r="CX32" s="10"/>
      <c r="DB32" s="10"/>
      <c r="DC32" s="10"/>
      <c r="DD32" s="10"/>
      <c r="DE32" s="10"/>
      <c r="DI32" s="10"/>
      <c r="DJ32" s="10"/>
      <c r="DK32" s="10"/>
      <c r="DL32" s="10"/>
      <c r="DP32" s="10"/>
      <c r="DQ32" s="10"/>
      <c r="DR32" s="10"/>
      <c r="DS32" s="10"/>
    </row>
    <row r="33" spans="2:123" outlineLevel="1">
      <c r="B33" t="s">
        <v>28</v>
      </c>
      <c r="C33" t="s">
        <v>103</v>
      </c>
      <c r="E33" s="9"/>
      <c r="F33" t="s">
        <v>118</v>
      </c>
      <c r="G33" s="10">
        <v>0.1</v>
      </c>
      <c r="I33" s="9">
        <f t="shared" si="1"/>
        <v>0</v>
      </c>
      <c r="J33" s="11" cm="1">
        <f t="array" ref="J33">MAX(IF($N$3:$DZ$3=$J$3,N33:DZ33))</f>
        <v>0</v>
      </c>
      <c r="K33" s="11" cm="1">
        <f t="array" ref="K33">MAX(IF($N$3:$DZ$3=$J$3,N33:DZ33))</f>
        <v>0</v>
      </c>
      <c r="L33" s="9"/>
      <c r="O33" s="10"/>
      <c r="P33" s="10"/>
      <c r="Q33" s="10"/>
      <c r="R33" s="10"/>
      <c r="V33" s="10"/>
      <c r="W33" s="10"/>
      <c r="X33" s="10"/>
      <c r="Y33" s="10"/>
      <c r="AC33" s="10"/>
      <c r="AD33" s="10"/>
      <c r="AE33" s="10"/>
      <c r="AF33" s="10"/>
      <c r="AJ33" s="10"/>
      <c r="AK33" s="10">
        <v>0.5</v>
      </c>
      <c r="AL33" s="10"/>
      <c r="AM33" s="10">
        <v>0.5</v>
      </c>
      <c r="AQ33" s="10"/>
      <c r="AR33" s="10">
        <v>0.5</v>
      </c>
      <c r="AS33" s="10"/>
      <c r="AT33" s="10">
        <v>0.5</v>
      </c>
      <c r="AX33" s="10"/>
      <c r="AY33" s="10">
        <v>0.5</v>
      </c>
      <c r="AZ33" s="10"/>
      <c r="BA33" s="10">
        <v>0.5</v>
      </c>
      <c r="BE33" s="10"/>
      <c r="BF33" s="10">
        <v>0.8</v>
      </c>
      <c r="BG33" s="10"/>
      <c r="BH33" s="10">
        <v>0.8</v>
      </c>
      <c r="BL33" s="10"/>
      <c r="BM33" s="10">
        <v>0.8</v>
      </c>
      <c r="BN33" s="10"/>
      <c r="BO33" s="10">
        <v>0.8</v>
      </c>
      <c r="BS33" s="10"/>
      <c r="BT33" s="10">
        <v>0.8</v>
      </c>
      <c r="BU33" s="10"/>
      <c r="BV33" s="10">
        <v>0.8</v>
      </c>
      <c r="BZ33" s="10"/>
      <c r="CA33" s="10">
        <v>1</v>
      </c>
      <c r="CB33" s="10"/>
      <c r="CC33" s="10">
        <v>1</v>
      </c>
      <c r="CG33" s="10"/>
      <c r="CH33" s="10">
        <v>1</v>
      </c>
      <c r="CI33" s="10"/>
      <c r="CJ33" s="10">
        <v>1</v>
      </c>
      <c r="CN33" s="10"/>
      <c r="CO33" s="10"/>
      <c r="CP33" s="10"/>
      <c r="CQ33" s="10"/>
      <c r="CU33" s="10"/>
      <c r="CV33" s="10"/>
      <c r="CW33" s="10"/>
      <c r="CX33" s="10"/>
      <c r="DB33" s="10"/>
      <c r="DC33" s="10"/>
      <c r="DD33" s="10"/>
      <c r="DE33" s="10"/>
      <c r="DI33" s="10"/>
      <c r="DJ33" s="10"/>
      <c r="DK33" s="10"/>
      <c r="DL33" s="10"/>
      <c r="DP33" s="10"/>
      <c r="DQ33" s="10"/>
      <c r="DR33" s="10"/>
      <c r="DS33" s="10"/>
    </row>
    <row r="34" spans="2:123" outlineLevel="1">
      <c r="B34" t="s">
        <v>28</v>
      </c>
      <c r="C34" t="s">
        <v>103</v>
      </c>
      <c r="E34" s="9"/>
      <c r="F34" t="s">
        <v>117</v>
      </c>
      <c r="G34" s="10">
        <v>0.1</v>
      </c>
      <c r="I34" s="9">
        <f t="shared" si="1"/>
        <v>0</v>
      </c>
      <c r="J34" s="11" cm="1">
        <f t="array" ref="J34">MAX(IF($N$3:$DZ$3=$J$3,N34:DZ34))</f>
        <v>0</v>
      </c>
      <c r="K34" s="11" cm="1">
        <f t="array" ref="K34">MAX(IF($N$3:$DZ$3=$J$3,N34:DZ34))</f>
        <v>0</v>
      </c>
      <c r="L34" s="9"/>
      <c r="O34" s="10"/>
      <c r="P34" s="10"/>
      <c r="Q34" s="10"/>
      <c r="R34" s="10"/>
      <c r="V34" s="10"/>
      <c r="W34" s="10"/>
      <c r="X34" s="10"/>
      <c r="Y34" s="10"/>
      <c r="AC34" s="10"/>
      <c r="AD34" s="10"/>
      <c r="AE34" s="10"/>
      <c r="AF34" s="10"/>
      <c r="AJ34" s="10"/>
      <c r="AK34" s="10">
        <v>0.5</v>
      </c>
      <c r="AL34" s="10"/>
      <c r="AM34" s="10">
        <v>0.5</v>
      </c>
      <c r="AQ34" s="10"/>
      <c r="AR34" s="10">
        <v>0.5</v>
      </c>
      <c r="AS34" s="10"/>
      <c r="AT34" s="10">
        <v>0.5</v>
      </c>
      <c r="AX34" s="10"/>
      <c r="AY34" s="10">
        <v>0.5</v>
      </c>
      <c r="AZ34" s="10"/>
      <c r="BA34" s="10">
        <v>0.5</v>
      </c>
      <c r="BE34" s="10"/>
      <c r="BF34" s="10">
        <v>0.5</v>
      </c>
      <c r="BG34" s="10"/>
      <c r="BH34" s="10">
        <v>0.5</v>
      </c>
      <c r="BL34" s="10"/>
      <c r="BM34" s="10">
        <v>0.8</v>
      </c>
      <c r="BN34" s="10"/>
      <c r="BO34" s="10">
        <v>0.8</v>
      </c>
      <c r="BS34" s="10"/>
      <c r="BT34" s="10">
        <v>0.8</v>
      </c>
      <c r="BU34" s="10"/>
      <c r="BV34" s="10">
        <v>0.8</v>
      </c>
      <c r="BZ34" s="10"/>
      <c r="CA34" s="10">
        <v>0.8</v>
      </c>
      <c r="CB34" s="10"/>
      <c r="CC34" s="10">
        <v>0.8</v>
      </c>
      <c r="CG34" s="10"/>
      <c r="CH34" s="10">
        <v>1</v>
      </c>
      <c r="CI34" s="10"/>
      <c r="CJ34" s="10">
        <v>1</v>
      </c>
      <c r="CN34" s="10"/>
      <c r="CO34" s="10"/>
      <c r="CP34" s="10"/>
      <c r="CQ34" s="10"/>
      <c r="CU34" s="10"/>
      <c r="CV34" s="10"/>
      <c r="CW34" s="10"/>
      <c r="CX34" s="10"/>
      <c r="DB34" s="10"/>
      <c r="DC34" s="10"/>
      <c r="DD34" s="10"/>
      <c r="DE34" s="10"/>
      <c r="DI34" s="10"/>
      <c r="DJ34" s="10"/>
      <c r="DK34" s="10"/>
      <c r="DL34" s="10"/>
      <c r="DP34" s="10"/>
      <c r="DQ34" s="10"/>
      <c r="DR34" s="10"/>
      <c r="DS34" s="10"/>
    </row>
    <row r="35" spans="2:123" outlineLevel="1">
      <c r="B35" t="s">
        <v>28</v>
      </c>
      <c r="C35" t="s">
        <v>103</v>
      </c>
      <c r="E35" s="9"/>
      <c r="F35" t="s">
        <v>119</v>
      </c>
      <c r="G35" s="10">
        <v>0.1</v>
      </c>
      <c r="I35" s="9">
        <f t="shared" si="1"/>
        <v>0</v>
      </c>
      <c r="J35" s="11" cm="1">
        <f t="array" ref="J35">MAX(IF($N$3:$DZ$3=$J$3,N35:DZ35))</f>
        <v>0</v>
      </c>
      <c r="K35" s="11" cm="1">
        <f t="array" ref="K35">MAX(IF($N$3:$DZ$3=$J$3,N35:DZ35))</f>
        <v>0</v>
      </c>
      <c r="L35" s="9"/>
      <c r="O35" s="10"/>
      <c r="P35" s="10"/>
      <c r="Q35" s="10"/>
      <c r="R35" s="10"/>
      <c r="V35" s="10"/>
      <c r="W35" s="10"/>
      <c r="X35" s="10"/>
      <c r="Y35" s="10"/>
      <c r="AC35" s="10"/>
      <c r="AD35" s="10"/>
      <c r="AE35" s="10"/>
      <c r="AF35" s="10"/>
      <c r="AJ35" s="10"/>
      <c r="AK35" s="10"/>
      <c r="AL35" s="10"/>
      <c r="AM35" s="10"/>
      <c r="AQ35" s="10"/>
      <c r="AR35" s="10">
        <v>0.5</v>
      </c>
      <c r="AS35" s="10"/>
      <c r="AT35" s="10">
        <v>0.5</v>
      </c>
      <c r="AX35" s="10"/>
      <c r="AY35" s="10">
        <v>0.5</v>
      </c>
      <c r="AZ35" s="10"/>
      <c r="BA35" s="10">
        <v>0.5</v>
      </c>
      <c r="BE35" s="10"/>
      <c r="BF35" s="10">
        <v>0.5</v>
      </c>
      <c r="BG35" s="10"/>
      <c r="BH35" s="10">
        <v>0.5</v>
      </c>
      <c r="BL35" s="10"/>
      <c r="BM35" s="10">
        <v>0.8</v>
      </c>
      <c r="BN35" s="10"/>
      <c r="BO35" s="10">
        <v>0.8</v>
      </c>
      <c r="BS35" s="10"/>
      <c r="BT35" s="10">
        <v>0.8</v>
      </c>
      <c r="BU35" s="10"/>
      <c r="BV35" s="10">
        <v>0.8</v>
      </c>
      <c r="BZ35" s="10"/>
      <c r="CA35" s="10">
        <v>0.8</v>
      </c>
      <c r="CB35" s="10"/>
      <c r="CC35" s="10">
        <v>0.8</v>
      </c>
      <c r="CG35" s="10"/>
      <c r="CH35" s="10">
        <v>1</v>
      </c>
      <c r="CI35" s="10"/>
      <c r="CJ35" s="10">
        <v>1</v>
      </c>
      <c r="CN35" s="10"/>
      <c r="CO35" s="10"/>
      <c r="CP35" s="10"/>
      <c r="CQ35" s="10"/>
      <c r="CU35" s="10"/>
      <c r="CV35" s="10"/>
      <c r="CW35" s="10"/>
      <c r="CX35" s="10"/>
      <c r="DB35" s="10"/>
      <c r="DC35" s="10"/>
      <c r="DD35" s="10"/>
      <c r="DE35" s="10"/>
      <c r="DI35" s="10"/>
      <c r="DJ35" s="10"/>
      <c r="DK35" s="10"/>
      <c r="DL35" s="10"/>
      <c r="DP35" s="10"/>
      <c r="DQ35" s="10"/>
      <c r="DR35" s="10"/>
      <c r="DS35" s="10"/>
    </row>
    <row r="36" spans="2:123" outlineLevel="1">
      <c r="B36" t="s">
        <v>28</v>
      </c>
      <c r="C36" t="s">
        <v>103</v>
      </c>
      <c r="E36" s="9"/>
      <c r="F36" t="s">
        <v>120</v>
      </c>
      <c r="G36" s="10">
        <v>0.1</v>
      </c>
      <c r="I36" s="9">
        <f t="shared" si="1"/>
        <v>0</v>
      </c>
      <c r="J36" s="11" cm="1">
        <f t="array" ref="J36">MAX(IF($N$3:$DZ$3=$J$3,N36:DZ36))</f>
        <v>0</v>
      </c>
      <c r="K36" s="11" cm="1">
        <f t="array" ref="K36">MAX(IF($N$3:$DZ$3=$J$3,N36:DZ36))</f>
        <v>0</v>
      </c>
      <c r="L36" s="9"/>
      <c r="O36" s="10"/>
      <c r="P36" s="10"/>
      <c r="Q36" s="10"/>
      <c r="R36" s="10"/>
      <c r="V36" s="10"/>
      <c r="W36" s="10"/>
      <c r="X36" s="10"/>
      <c r="Y36" s="10"/>
      <c r="AC36" s="10"/>
      <c r="AD36" s="10"/>
      <c r="AE36" s="10"/>
      <c r="AF36" s="10"/>
      <c r="AJ36" s="10"/>
      <c r="AK36" s="10"/>
      <c r="AL36" s="10"/>
      <c r="AM36" s="10"/>
      <c r="AQ36" s="10"/>
      <c r="AR36" s="10">
        <v>0.5</v>
      </c>
      <c r="AS36" s="10"/>
      <c r="AT36" s="10">
        <v>0.5</v>
      </c>
      <c r="AX36" s="10"/>
      <c r="AY36" s="10">
        <v>0.5</v>
      </c>
      <c r="AZ36" s="10"/>
      <c r="BA36" s="10">
        <v>0.5</v>
      </c>
      <c r="BE36" s="10"/>
      <c r="BF36" s="10">
        <v>0.5</v>
      </c>
      <c r="BG36" s="10"/>
      <c r="BH36" s="10">
        <v>0.5</v>
      </c>
      <c r="BL36" s="10"/>
      <c r="BM36" s="10">
        <v>0.5</v>
      </c>
      <c r="BN36" s="10"/>
      <c r="BO36" s="10">
        <v>0.5</v>
      </c>
      <c r="BS36" s="10"/>
      <c r="BT36" s="10">
        <v>0.8</v>
      </c>
      <c r="BU36" s="10"/>
      <c r="BV36" s="10">
        <v>0.8</v>
      </c>
      <c r="BZ36" s="10"/>
      <c r="CA36" s="10">
        <v>0.8</v>
      </c>
      <c r="CB36" s="10"/>
      <c r="CC36" s="10">
        <v>0.8</v>
      </c>
      <c r="CG36" s="10"/>
      <c r="CH36" s="10">
        <v>1</v>
      </c>
      <c r="CI36" s="10"/>
      <c r="CJ36" s="10">
        <v>1</v>
      </c>
      <c r="CN36" s="10"/>
      <c r="CO36" s="10"/>
      <c r="CP36" s="10"/>
      <c r="CQ36" s="10"/>
      <c r="CU36" s="10"/>
      <c r="CV36" s="10"/>
      <c r="CW36" s="10"/>
      <c r="CX36" s="10"/>
      <c r="DB36" s="10"/>
      <c r="DC36" s="10"/>
      <c r="DD36" s="10"/>
      <c r="DE36" s="10"/>
      <c r="DI36" s="10"/>
      <c r="DJ36" s="10"/>
      <c r="DK36" s="10"/>
      <c r="DL36" s="10"/>
      <c r="DP36" s="10"/>
      <c r="DQ36" s="10"/>
      <c r="DR36" s="10"/>
      <c r="DS36" s="10"/>
    </row>
    <row r="37" spans="2:123" outlineLevel="1">
      <c r="B37" t="s">
        <v>28</v>
      </c>
      <c r="C37" t="s">
        <v>103</v>
      </c>
      <c r="E37" s="9"/>
      <c r="F37" t="s">
        <v>121</v>
      </c>
      <c r="G37" s="10">
        <v>0.1</v>
      </c>
      <c r="I37" s="9">
        <f t="shared" si="1"/>
        <v>0</v>
      </c>
      <c r="J37" s="11" cm="1">
        <f t="array" ref="J37">MAX(IF($N$3:$DZ$3=$J$3,N37:DZ37))</f>
        <v>0</v>
      </c>
      <c r="K37" s="11" cm="1">
        <f t="array" ref="K37">MAX(IF($N$3:$DZ$3=$J$3,N37:DZ37))</f>
        <v>0</v>
      </c>
      <c r="L37" s="9"/>
      <c r="O37" s="10"/>
      <c r="P37" s="10"/>
      <c r="Q37" s="10"/>
      <c r="R37" s="10"/>
      <c r="V37" s="10"/>
      <c r="W37" s="10"/>
      <c r="X37" s="10"/>
      <c r="Y37" s="10"/>
      <c r="AC37" s="10"/>
      <c r="AD37" s="10"/>
      <c r="AE37" s="10"/>
      <c r="AF37" s="10"/>
      <c r="AJ37" s="10"/>
      <c r="AK37" s="10"/>
      <c r="AL37" s="10"/>
      <c r="AM37" s="10"/>
      <c r="AQ37" s="10"/>
      <c r="AR37" s="10"/>
      <c r="AS37" s="10"/>
      <c r="AT37" s="10"/>
      <c r="AX37" s="10"/>
      <c r="AY37" s="10">
        <v>0.5</v>
      </c>
      <c r="AZ37" s="10"/>
      <c r="BA37" s="10">
        <v>0.5</v>
      </c>
      <c r="BE37" s="10"/>
      <c r="BF37" s="10">
        <v>0.5</v>
      </c>
      <c r="BG37" s="10"/>
      <c r="BH37" s="10">
        <v>0.5</v>
      </c>
      <c r="BL37" s="10"/>
      <c r="BM37" s="10">
        <v>0.5</v>
      </c>
      <c r="BN37" s="10"/>
      <c r="BO37" s="10">
        <v>0.5</v>
      </c>
      <c r="BS37" s="10"/>
      <c r="BT37" s="10">
        <v>0.8</v>
      </c>
      <c r="BU37" s="10"/>
      <c r="BV37" s="10">
        <v>0.8</v>
      </c>
      <c r="BZ37" s="10"/>
      <c r="CA37" s="10">
        <v>0.8</v>
      </c>
      <c r="CB37" s="10"/>
      <c r="CC37" s="10">
        <v>0.8</v>
      </c>
      <c r="CG37" s="10"/>
      <c r="CH37" s="10">
        <v>1</v>
      </c>
      <c r="CI37" s="10"/>
      <c r="CJ37" s="10">
        <v>1</v>
      </c>
      <c r="CN37" s="10"/>
      <c r="CO37" s="10"/>
      <c r="CP37" s="10"/>
      <c r="CQ37" s="10"/>
      <c r="CU37" s="10"/>
      <c r="CV37" s="10"/>
      <c r="CW37" s="10"/>
      <c r="CX37" s="10"/>
      <c r="DB37" s="10"/>
      <c r="DC37" s="10"/>
      <c r="DD37" s="10"/>
      <c r="DE37" s="10"/>
      <c r="DI37" s="10"/>
      <c r="DJ37" s="10"/>
      <c r="DK37" s="10"/>
      <c r="DL37" s="10"/>
      <c r="DP37" s="10"/>
      <c r="DQ37" s="10"/>
      <c r="DR37" s="10"/>
      <c r="DS37" s="10"/>
    </row>
    <row r="38" spans="2:123" outlineLevel="1">
      <c r="B38" t="s">
        <v>28</v>
      </c>
      <c r="C38" t="s">
        <v>103</v>
      </c>
      <c r="E38" s="9"/>
      <c r="F38" t="s">
        <v>122</v>
      </c>
      <c r="G38" s="10">
        <v>0.2</v>
      </c>
      <c r="I38" s="9">
        <f t="shared" si="1"/>
        <v>0</v>
      </c>
      <c r="J38" s="11" cm="1">
        <f t="array" ref="J38">MAX(IF($N$3:$DZ$3=$J$3,N38:DZ38))</f>
        <v>0</v>
      </c>
      <c r="K38" s="11" cm="1">
        <f t="array" ref="K38">MAX(IF($N$3:$DZ$3=$J$3,N38:DZ38))</f>
        <v>0</v>
      </c>
      <c r="L38" s="9"/>
      <c r="O38" s="10"/>
      <c r="P38" s="10"/>
      <c r="Q38" s="10"/>
      <c r="R38" s="10"/>
      <c r="V38" s="10"/>
      <c r="W38" s="10"/>
      <c r="X38" s="10"/>
      <c r="Y38" s="10"/>
      <c r="AC38" s="10"/>
      <c r="AD38" s="10"/>
      <c r="AE38" s="10"/>
      <c r="AF38" s="10"/>
      <c r="AJ38" s="10"/>
      <c r="AK38" s="10"/>
      <c r="AL38" s="10"/>
      <c r="AM38" s="10"/>
      <c r="AQ38" s="10"/>
      <c r="AR38" s="10"/>
      <c r="AS38" s="10"/>
      <c r="AT38" s="10"/>
      <c r="AX38" s="10"/>
      <c r="AY38" s="10">
        <v>0.5</v>
      </c>
      <c r="AZ38" s="10"/>
      <c r="BA38" s="10">
        <v>0.5</v>
      </c>
      <c r="BE38" s="10"/>
      <c r="BF38" s="10">
        <v>0.5</v>
      </c>
      <c r="BG38" s="10"/>
      <c r="BH38" s="10">
        <v>0.5</v>
      </c>
      <c r="BL38" s="10"/>
      <c r="BM38" s="10">
        <v>0.5</v>
      </c>
      <c r="BN38" s="10"/>
      <c r="BO38" s="10">
        <v>0.5</v>
      </c>
      <c r="BS38" s="10"/>
      <c r="BT38" s="10">
        <v>0.8</v>
      </c>
      <c r="BU38" s="10"/>
      <c r="BV38" s="10">
        <v>0.8</v>
      </c>
      <c r="BZ38" s="10"/>
      <c r="CA38" s="10">
        <v>0.8</v>
      </c>
      <c r="CB38" s="10"/>
      <c r="CC38" s="10">
        <v>0.8</v>
      </c>
      <c r="CG38" s="10"/>
      <c r="CH38" s="10">
        <v>1</v>
      </c>
      <c r="CI38" s="10"/>
      <c r="CJ38" s="10">
        <v>1</v>
      </c>
      <c r="CN38" s="10"/>
      <c r="CO38" s="10"/>
      <c r="CP38" s="10"/>
      <c r="CQ38" s="10"/>
      <c r="CU38" s="10"/>
      <c r="CV38" s="10"/>
      <c r="CW38" s="10"/>
      <c r="CX38" s="10"/>
      <c r="DB38" s="10"/>
      <c r="DC38" s="10"/>
      <c r="DD38" s="10"/>
      <c r="DE38" s="10"/>
      <c r="DI38" s="10"/>
      <c r="DJ38" s="10"/>
      <c r="DK38" s="10"/>
      <c r="DL38" s="10"/>
      <c r="DP38" s="10"/>
      <c r="DQ38" s="10"/>
      <c r="DR38" s="10"/>
      <c r="DS38" s="10"/>
    </row>
    <row r="40" spans="2:123">
      <c r="B40" t="s">
        <v>27</v>
      </c>
      <c r="C40" t="s">
        <v>123</v>
      </c>
      <c r="D40" s="19" t="s">
        <v>90</v>
      </c>
      <c r="E40" s="9">
        <v>6</v>
      </c>
      <c r="G40" s="10">
        <f>+SUM(G41:G51)</f>
        <v>0.94999999999999984</v>
      </c>
      <c r="I40" s="12">
        <f>+SUM(I41:I51)</f>
        <v>0</v>
      </c>
      <c r="J40" s="11">
        <f>+SUMPRODUCT(G41:G51,J41:J51)</f>
        <v>0</v>
      </c>
      <c r="K40" s="11">
        <f>+SUMPRODUCT(G41:G51,K41:K51)</f>
        <v>0</v>
      </c>
      <c r="L40" s="9">
        <v>3.2</v>
      </c>
      <c r="N40" s="12">
        <f>+SUM(N41:N51)</f>
        <v>0</v>
      </c>
      <c r="S40" t="s">
        <v>170</v>
      </c>
      <c r="U40" s="12">
        <f>+SUM(U41:U51)</f>
        <v>0</v>
      </c>
      <c r="Z40" t="s">
        <v>166</v>
      </c>
      <c r="AB40" s="12">
        <f>+SUM(AB41:AB51)</f>
        <v>0</v>
      </c>
      <c r="AG40" t="s">
        <v>166</v>
      </c>
      <c r="AI40" s="12">
        <f>+SUM(AI41:AI51)</f>
        <v>0</v>
      </c>
      <c r="AN40" t="s">
        <v>165</v>
      </c>
      <c r="AP40" s="12">
        <f>+SUM(AP41:AP51)</f>
        <v>0</v>
      </c>
      <c r="BB40" t="s">
        <v>166</v>
      </c>
      <c r="BI40" t="s">
        <v>166</v>
      </c>
      <c r="BP40" t="s">
        <v>166</v>
      </c>
      <c r="BW40" t="s">
        <v>165</v>
      </c>
      <c r="CD40" t="s">
        <v>166</v>
      </c>
    </row>
    <row r="41" spans="2:123" outlineLevel="1">
      <c r="B41" t="s">
        <v>28</v>
      </c>
      <c r="C41" t="s">
        <v>123</v>
      </c>
      <c r="E41" s="9"/>
      <c r="F41" t="s">
        <v>127</v>
      </c>
      <c r="G41" s="10">
        <v>0.1</v>
      </c>
      <c r="I41" s="9">
        <f t="shared" ref="I41:I51" si="2">+SUMIF($N$3:$ZR$3,I$3,$N41:$ZR41)</f>
        <v>0</v>
      </c>
      <c r="J41" s="11" cm="1">
        <f t="array" ref="J41">MAX(IF($N$3:$DZ$3=$J$3,N41:DZ41))</f>
        <v>0</v>
      </c>
      <c r="K41" s="11" cm="1">
        <f t="array" ref="K41">MAX(IF($N$3:$DZ$3=$J$3,N41:DZ41))</f>
        <v>0</v>
      </c>
      <c r="L41" s="9"/>
      <c r="O41" s="10"/>
      <c r="P41" s="10">
        <v>0.5</v>
      </c>
      <c r="Q41" s="10"/>
      <c r="R41" s="10">
        <v>0.5</v>
      </c>
      <c r="V41" s="10"/>
      <c r="W41" s="10">
        <v>0.5</v>
      </c>
      <c r="X41" s="10"/>
      <c r="Y41" s="10">
        <v>0.5</v>
      </c>
      <c r="AC41" s="10"/>
      <c r="AD41" s="10">
        <v>0.8</v>
      </c>
      <c r="AE41" s="10"/>
      <c r="AF41" s="10">
        <v>0.8</v>
      </c>
      <c r="AJ41" s="10"/>
      <c r="AK41" s="10">
        <v>0.8</v>
      </c>
      <c r="AL41" s="10"/>
      <c r="AM41" s="10">
        <v>0.8</v>
      </c>
      <c r="AQ41" s="10"/>
      <c r="AR41" s="10">
        <v>0.8</v>
      </c>
      <c r="AS41" s="10"/>
      <c r="AT41" s="10">
        <v>0.8</v>
      </c>
      <c r="AX41" s="10"/>
      <c r="AY41" s="10">
        <v>0.8</v>
      </c>
      <c r="AZ41" s="10"/>
      <c r="BA41" s="10">
        <v>0.8</v>
      </c>
      <c r="BE41" s="10"/>
      <c r="BF41" s="10">
        <v>1</v>
      </c>
      <c r="BG41" s="10"/>
      <c r="BH41" s="10">
        <v>1</v>
      </c>
      <c r="BL41" s="10"/>
      <c r="BM41" s="10">
        <v>1</v>
      </c>
      <c r="BN41" s="10"/>
      <c r="BO41" s="10">
        <v>1</v>
      </c>
      <c r="BS41" s="10"/>
      <c r="BT41" s="10">
        <v>1</v>
      </c>
      <c r="BU41" s="10"/>
      <c r="BV41" s="10">
        <v>1</v>
      </c>
      <c r="BZ41" s="10"/>
      <c r="CA41" s="10">
        <v>1</v>
      </c>
      <c r="CB41" s="10"/>
      <c r="CC41" s="10">
        <v>1</v>
      </c>
      <c r="CG41" s="10"/>
      <c r="CH41" s="10">
        <v>1</v>
      </c>
      <c r="CI41" s="10"/>
      <c r="CJ41" s="10">
        <v>1</v>
      </c>
      <c r="CN41" s="10"/>
      <c r="CO41" s="10"/>
      <c r="CP41" s="10"/>
      <c r="CQ41" s="10"/>
      <c r="CU41" s="10"/>
      <c r="CV41" s="10"/>
      <c r="CW41" s="10"/>
      <c r="CX41" s="10"/>
      <c r="DB41" s="10"/>
      <c r="DC41" s="10"/>
      <c r="DD41" s="10"/>
      <c r="DE41" s="10"/>
      <c r="DI41" s="10"/>
      <c r="DJ41" s="10"/>
      <c r="DK41" s="10"/>
      <c r="DL41" s="10"/>
      <c r="DP41" s="10"/>
      <c r="DQ41" s="10"/>
      <c r="DR41" s="10"/>
      <c r="DS41" s="10"/>
    </row>
    <row r="42" spans="2:123" outlineLevel="1">
      <c r="B42" t="s">
        <v>28</v>
      </c>
      <c r="C42" t="s">
        <v>123</v>
      </c>
      <c r="E42" s="9"/>
      <c r="F42" t="s">
        <v>124</v>
      </c>
      <c r="G42" s="10">
        <v>0.05</v>
      </c>
      <c r="I42" s="9">
        <f t="shared" si="2"/>
        <v>0</v>
      </c>
      <c r="J42" s="11" cm="1">
        <f t="array" ref="J42">MAX(IF($N$3:$DZ$3=$J$3,N42:DZ42))</f>
        <v>0</v>
      </c>
      <c r="K42" s="11" cm="1">
        <f t="array" ref="K42">MAX(IF($N$3:$DZ$3=$J$3,N42:DZ42))</f>
        <v>0</v>
      </c>
      <c r="L42" s="9"/>
      <c r="O42" s="10"/>
      <c r="P42" s="10">
        <v>0.5</v>
      </c>
      <c r="Q42" s="10"/>
      <c r="R42" s="10">
        <v>0.5</v>
      </c>
      <c r="V42" s="10"/>
      <c r="W42" s="10">
        <v>0.5</v>
      </c>
      <c r="X42" s="10"/>
      <c r="Y42" s="10">
        <v>0.5</v>
      </c>
      <c r="AC42" s="10"/>
      <c r="AD42" s="10">
        <v>0.5</v>
      </c>
      <c r="AE42" s="10"/>
      <c r="AF42" s="10">
        <v>0.5</v>
      </c>
      <c r="AJ42" s="10"/>
      <c r="AK42" s="10">
        <v>0.8</v>
      </c>
      <c r="AL42" s="10"/>
      <c r="AM42" s="10">
        <v>0.8</v>
      </c>
      <c r="AQ42" s="10"/>
      <c r="AR42" s="10">
        <v>0.8</v>
      </c>
      <c r="AS42" s="10"/>
      <c r="AT42" s="10">
        <v>0.8</v>
      </c>
      <c r="AX42" s="10"/>
      <c r="AY42" s="10">
        <v>0.8</v>
      </c>
      <c r="AZ42" s="10"/>
      <c r="BA42" s="10">
        <v>0.8</v>
      </c>
      <c r="BE42" s="10"/>
      <c r="BF42" s="10">
        <v>1</v>
      </c>
      <c r="BG42" s="10"/>
      <c r="BH42" s="10">
        <v>1</v>
      </c>
      <c r="BL42" s="10"/>
      <c r="BM42" s="10">
        <v>1</v>
      </c>
      <c r="BN42" s="10"/>
      <c r="BO42" s="10">
        <v>1</v>
      </c>
      <c r="BS42" s="10"/>
      <c r="BT42" s="10">
        <v>1</v>
      </c>
      <c r="BU42" s="10"/>
      <c r="BV42" s="10">
        <v>1</v>
      </c>
      <c r="BZ42" s="10"/>
      <c r="CA42" s="10">
        <v>1</v>
      </c>
      <c r="CB42" s="10"/>
      <c r="CC42" s="10">
        <v>1</v>
      </c>
      <c r="CG42" s="10"/>
      <c r="CH42" s="10">
        <v>1</v>
      </c>
      <c r="CI42" s="10"/>
      <c r="CJ42" s="10">
        <v>1</v>
      </c>
      <c r="CN42" s="10"/>
      <c r="CO42" s="10"/>
      <c r="CP42" s="10"/>
      <c r="CQ42" s="10"/>
      <c r="CU42" s="10"/>
      <c r="CV42" s="10"/>
      <c r="CW42" s="10"/>
      <c r="CX42" s="10"/>
      <c r="DB42" s="10"/>
      <c r="DC42" s="10"/>
      <c r="DD42" s="10"/>
      <c r="DE42" s="10"/>
      <c r="DI42" s="10"/>
      <c r="DJ42" s="10"/>
      <c r="DK42" s="10"/>
      <c r="DL42" s="10"/>
      <c r="DP42" s="10"/>
      <c r="DQ42" s="10"/>
      <c r="DR42" s="10"/>
      <c r="DS42" s="10"/>
    </row>
    <row r="43" spans="2:123" outlineLevel="1">
      <c r="B43" t="s">
        <v>28</v>
      </c>
      <c r="C43" t="s">
        <v>123</v>
      </c>
      <c r="E43" s="9"/>
      <c r="F43" t="s">
        <v>125</v>
      </c>
      <c r="G43" s="10">
        <v>0.05</v>
      </c>
      <c r="I43" s="9">
        <f t="shared" si="2"/>
        <v>0</v>
      </c>
      <c r="J43" s="11" cm="1">
        <f t="array" ref="J43">MAX(IF($N$3:$DZ$3=$J$3,N43:DZ43))</f>
        <v>0</v>
      </c>
      <c r="K43" s="11" cm="1">
        <f t="array" ref="K43">MAX(IF($N$3:$DZ$3=$J$3,N43:DZ43))</f>
        <v>0</v>
      </c>
      <c r="L43" s="9"/>
      <c r="O43" s="10"/>
      <c r="P43" s="10"/>
      <c r="Q43" s="10"/>
      <c r="R43" s="10"/>
      <c r="V43" s="10"/>
      <c r="W43" s="10">
        <v>0.5</v>
      </c>
      <c r="X43" s="10"/>
      <c r="Y43" s="10">
        <v>0.5</v>
      </c>
      <c r="AC43" s="10"/>
      <c r="AD43" s="10">
        <v>0.5</v>
      </c>
      <c r="AE43" s="10"/>
      <c r="AF43" s="10">
        <v>0.5</v>
      </c>
      <c r="AJ43" s="10"/>
      <c r="AK43" s="10">
        <v>0.5</v>
      </c>
      <c r="AL43" s="10"/>
      <c r="AM43" s="10">
        <v>0.5</v>
      </c>
      <c r="AQ43" s="10"/>
      <c r="AR43" s="10">
        <v>0.8</v>
      </c>
      <c r="AS43" s="10"/>
      <c r="AT43" s="10">
        <v>0.8</v>
      </c>
      <c r="AX43" s="10"/>
      <c r="AY43" s="10">
        <v>0.8</v>
      </c>
      <c r="AZ43" s="10"/>
      <c r="BA43" s="10">
        <v>0.8</v>
      </c>
      <c r="BE43" s="10"/>
      <c r="BF43" s="10">
        <v>0.8</v>
      </c>
      <c r="BG43" s="10"/>
      <c r="BH43" s="10">
        <v>0.8</v>
      </c>
      <c r="BL43" s="10"/>
      <c r="BM43" s="10">
        <v>1</v>
      </c>
      <c r="BN43" s="10"/>
      <c r="BO43" s="10">
        <v>1</v>
      </c>
      <c r="BS43" s="10"/>
      <c r="BT43" s="10">
        <v>1</v>
      </c>
      <c r="BU43" s="10"/>
      <c r="BV43" s="10">
        <v>1</v>
      </c>
      <c r="BZ43" s="10"/>
      <c r="CA43" s="10">
        <v>1</v>
      </c>
      <c r="CB43" s="10"/>
      <c r="CC43" s="10">
        <v>1</v>
      </c>
      <c r="CG43" s="10"/>
      <c r="CH43" s="10">
        <v>1</v>
      </c>
      <c r="CI43" s="10"/>
      <c r="CJ43" s="10">
        <v>1</v>
      </c>
      <c r="CN43" s="10"/>
      <c r="CO43" s="10"/>
      <c r="CP43" s="10"/>
      <c r="CQ43" s="10"/>
      <c r="CU43" s="10"/>
      <c r="CV43" s="10"/>
      <c r="CW43" s="10"/>
      <c r="CX43" s="10"/>
      <c r="DB43" s="10"/>
      <c r="DC43" s="10"/>
      <c r="DD43" s="10"/>
      <c r="DE43" s="10"/>
      <c r="DI43" s="10"/>
      <c r="DJ43" s="10"/>
      <c r="DK43" s="10"/>
      <c r="DL43" s="10"/>
      <c r="DP43" s="10"/>
      <c r="DQ43" s="10"/>
      <c r="DR43" s="10"/>
      <c r="DS43" s="10"/>
    </row>
    <row r="44" spans="2:123" outlineLevel="1">
      <c r="B44" t="s">
        <v>28</v>
      </c>
      <c r="C44" t="s">
        <v>123</v>
      </c>
      <c r="E44" s="9"/>
      <c r="F44" t="s">
        <v>126</v>
      </c>
      <c r="G44" s="10">
        <v>0.05</v>
      </c>
      <c r="I44" s="9">
        <f t="shared" si="2"/>
        <v>0</v>
      </c>
      <c r="J44" s="11" cm="1">
        <f t="array" ref="J44">MAX(IF($N$3:$DZ$3=$J$3,N44:DZ44))</f>
        <v>0</v>
      </c>
      <c r="K44" s="11" cm="1">
        <f t="array" ref="K44">MAX(IF($N$3:$DZ$3=$J$3,N44:DZ44))</f>
        <v>0</v>
      </c>
      <c r="L44" s="9"/>
      <c r="O44" s="10"/>
      <c r="P44" s="10"/>
      <c r="Q44" s="10"/>
      <c r="R44" s="10"/>
      <c r="V44" s="10"/>
      <c r="W44" s="10">
        <v>0.5</v>
      </c>
      <c r="X44" s="10"/>
      <c r="Y44" s="10">
        <v>0.5</v>
      </c>
      <c r="AC44" s="10"/>
      <c r="AD44" s="10">
        <v>0.5</v>
      </c>
      <c r="AE44" s="10"/>
      <c r="AF44" s="10">
        <v>0.5</v>
      </c>
      <c r="AJ44" s="10"/>
      <c r="AK44" s="10">
        <v>0.5</v>
      </c>
      <c r="AL44" s="10"/>
      <c r="AM44" s="10">
        <v>0.5</v>
      </c>
      <c r="AQ44" s="10"/>
      <c r="AR44" s="10">
        <v>0.8</v>
      </c>
      <c r="AS44" s="10"/>
      <c r="AT44" s="10">
        <v>0.8</v>
      </c>
      <c r="AX44" s="10"/>
      <c r="AY44" s="10">
        <v>0.8</v>
      </c>
      <c r="AZ44" s="10"/>
      <c r="BA44" s="10">
        <v>0.8</v>
      </c>
      <c r="BE44" s="10"/>
      <c r="BF44" s="10">
        <v>0.8</v>
      </c>
      <c r="BG44" s="10"/>
      <c r="BH44" s="10">
        <v>0.8</v>
      </c>
      <c r="BL44" s="10"/>
      <c r="BM44" s="10">
        <v>0.8</v>
      </c>
      <c r="BN44" s="10"/>
      <c r="BO44" s="10">
        <v>0.8</v>
      </c>
      <c r="BS44" s="10"/>
      <c r="BT44" s="10">
        <v>1</v>
      </c>
      <c r="BU44" s="10"/>
      <c r="BV44" s="10">
        <v>1</v>
      </c>
      <c r="BZ44" s="10"/>
      <c r="CA44" s="10">
        <v>1</v>
      </c>
      <c r="CB44" s="10"/>
      <c r="CC44" s="10">
        <v>1</v>
      </c>
      <c r="CG44" s="10"/>
      <c r="CH44" s="10">
        <v>1</v>
      </c>
      <c r="CI44" s="10"/>
      <c r="CJ44" s="10">
        <v>1</v>
      </c>
      <c r="CN44" s="10"/>
      <c r="CO44" s="10"/>
      <c r="CP44" s="10"/>
      <c r="CQ44" s="10"/>
      <c r="CU44" s="10"/>
      <c r="CV44" s="10"/>
      <c r="CW44" s="10"/>
      <c r="CX44" s="10"/>
      <c r="DB44" s="10"/>
      <c r="DC44" s="10"/>
      <c r="DD44" s="10"/>
      <c r="DE44" s="10"/>
      <c r="DI44" s="10"/>
      <c r="DJ44" s="10"/>
      <c r="DK44" s="10"/>
      <c r="DL44" s="10"/>
      <c r="DP44" s="10"/>
      <c r="DQ44" s="10"/>
      <c r="DR44" s="10"/>
      <c r="DS44" s="10"/>
    </row>
    <row r="45" spans="2:123" outlineLevel="1">
      <c r="B45" t="s">
        <v>28</v>
      </c>
      <c r="C45" t="s">
        <v>123</v>
      </c>
      <c r="E45" s="9"/>
      <c r="F45" t="s">
        <v>129</v>
      </c>
      <c r="G45" s="10">
        <v>0.1</v>
      </c>
      <c r="I45" s="9">
        <f t="shared" si="2"/>
        <v>0</v>
      </c>
      <c r="J45" s="11" cm="1">
        <f t="array" ref="J45">MAX(IF($N$3:$DZ$3=$J$3,N45:DZ45))</f>
        <v>0</v>
      </c>
      <c r="K45" s="11" cm="1">
        <f t="array" ref="K45">MAX(IF($N$3:$DZ$3=$J$3,N45:DZ45))</f>
        <v>0</v>
      </c>
      <c r="L45" s="9"/>
      <c r="O45" s="10"/>
      <c r="P45" s="10"/>
      <c r="Q45" s="10"/>
      <c r="R45" s="10"/>
      <c r="V45" s="10"/>
      <c r="W45" s="10"/>
      <c r="X45" s="10"/>
      <c r="Y45" s="10"/>
      <c r="AC45" s="10"/>
      <c r="AD45" s="10">
        <v>0.5</v>
      </c>
      <c r="AE45" s="10"/>
      <c r="AF45" s="10">
        <v>0.5</v>
      </c>
      <c r="AJ45" s="10"/>
      <c r="AK45" s="10">
        <v>0.5</v>
      </c>
      <c r="AL45" s="10"/>
      <c r="AM45" s="10">
        <v>0.5</v>
      </c>
      <c r="AQ45" s="10"/>
      <c r="AR45" s="10">
        <v>0.5</v>
      </c>
      <c r="AS45" s="10"/>
      <c r="AT45" s="10">
        <v>0.5</v>
      </c>
      <c r="AX45" s="10"/>
      <c r="AY45" s="10">
        <v>0.8</v>
      </c>
      <c r="AZ45" s="10"/>
      <c r="BA45" s="10">
        <v>0.8</v>
      </c>
      <c r="BE45" s="10"/>
      <c r="BF45" s="10">
        <v>0.8</v>
      </c>
      <c r="BG45" s="10"/>
      <c r="BH45" s="10">
        <v>0.8</v>
      </c>
      <c r="BL45" s="10"/>
      <c r="BM45" s="10">
        <v>0.8</v>
      </c>
      <c r="BN45" s="10"/>
      <c r="BO45" s="10">
        <v>0.8</v>
      </c>
      <c r="BS45" s="10"/>
      <c r="BT45" s="10">
        <v>0.8</v>
      </c>
      <c r="BU45" s="10"/>
      <c r="BV45" s="10">
        <v>0.8</v>
      </c>
      <c r="BZ45" s="10"/>
      <c r="CA45" s="10">
        <v>1</v>
      </c>
      <c r="CB45" s="10"/>
      <c r="CC45" s="10">
        <v>1</v>
      </c>
      <c r="CG45" s="10"/>
      <c r="CH45" s="10">
        <v>1</v>
      </c>
      <c r="CI45" s="10"/>
      <c r="CJ45" s="10">
        <v>1</v>
      </c>
      <c r="CN45" s="10"/>
      <c r="CO45" s="10"/>
      <c r="CP45" s="10"/>
      <c r="CQ45" s="10"/>
      <c r="CU45" s="10"/>
      <c r="CV45" s="10"/>
      <c r="CW45" s="10"/>
      <c r="CX45" s="10"/>
      <c r="DB45" s="10"/>
      <c r="DC45" s="10"/>
      <c r="DD45" s="10"/>
      <c r="DE45" s="10"/>
      <c r="DI45" s="10"/>
      <c r="DJ45" s="10"/>
      <c r="DK45" s="10"/>
      <c r="DL45" s="10"/>
      <c r="DP45" s="10"/>
      <c r="DQ45" s="10"/>
      <c r="DR45" s="10"/>
      <c r="DS45" s="10"/>
    </row>
    <row r="46" spans="2:123" outlineLevel="1">
      <c r="B46" t="s">
        <v>28</v>
      </c>
      <c r="C46" t="s">
        <v>123</v>
      </c>
      <c r="E46" s="9"/>
      <c r="F46" t="s">
        <v>128</v>
      </c>
      <c r="G46" s="10">
        <v>0.1</v>
      </c>
      <c r="I46" s="9">
        <f t="shared" si="2"/>
        <v>0</v>
      </c>
      <c r="J46" s="11" cm="1">
        <f t="array" ref="J46">MAX(IF($N$3:$DZ$3=$J$3,N46:DZ46))</f>
        <v>0</v>
      </c>
      <c r="K46" s="11" cm="1">
        <f t="array" ref="K46">MAX(IF($N$3:$DZ$3=$J$3,N46:DZ46))</f>
        <v>0</v>
      </c>
      <c r="L46" s="9"/>
      <c r="O46" s="10"/>
      <c r="P46" s="10"/>
      <c r="Q46" s="10"/>
      <c r="R46" s="10"/>
      <c r="V46" s="10"/>
      <c r="W46" s="10"/>
      <c r="X46" s="10"/>
      <c r="Y46" s="10"/>
      <c r="AC46" s="10"/>
      <c r="AD46" s="10">
        <v>0.5</v>
      </c>
      <c r="AE46" s="10"/>
      <c r="AF46" s="10">
        <v>0.5</v>
      </c>
      <c r="AJ46" s="10"/>
      <c r="AK46" s="10">
        <v>0.5</v>
      </c>
      <c r="AL46" s="10"/>
      <c r="AM46" s="10">
        <v>0.5</v>
      </c>
      <c r="AQ46" s="10"/>
      <c r="AR46" s="10">
        <v>0.5</v>
      </c>
      <c r="AS46" s="10"/>
      <c r="AT46" s="10">
        <v>0.5</v>
      </c>
      <c r="AX46" s="10"/>
      <c r="AY46" s="10">
        <v>0.8</v>
      </c>
      <c r="AZ46" s="10"/>
      <c r="BA46" s="10">
        <v>0.8</v>
      </c>
      <c r="BE46" s="10"/>
      <c r="BF46" s="10">
        <v>0.8</v>
      </c>
      <c r="BG46" s="10"/>
      <c r="BH46" s="10">
        <v>0.8</v>
      </c>
      <c r="BL46" s="10"/>
      <c r="BM46" s="10">
        <v>0.8</v>
      </c>
      <c r="BN46" s="10"/>
      <c r="BO46" s="10">
        <v>0.8</v>
      </c>
      <c r="BS46" s="10"/>
      <c r="BT46" s="10">
        <v>0.8</v>
      </c>
      <c r="BU46" s="10"/>
      <c r="BV46" s="10">
        <v>0.8</v>
      </c>
      <c r="BZ46" s="10"/>
      <c r="CA46" s="10">
        <v>1</v>
      </c>
      <c r="CB46" s="10"/>
      <c r="CC46" s="10">
        <v>1</v>
      </c>
      <c r="CG46" s="10"/>
      <c r="CH46" s="10">
        <v>1</v>
      </c>
      <c r="CI46" s="10"/>
      <c r="CJ46" s="10">
        <v>1</v>
      </c>
      <c r="CN46" s="10"/>
      <c r="CO46" s="10"/>
      <c r="CP46" s="10"/>
      <c r="CQ46" s="10"/>
      <c r="CU46" s="10"/>
      <c r="CV46" s="10"/>
      <c r="CW46" s="10"/>
      <c r="CX46" s="10"/>
      <c r="DB46" s="10"/>
      <c r="DC46" s="10"/>
      <c r="DD46" s="10"/>
      <c r="DE46" s="10"/>
      <c r="DI46" s="10"/>
      <c r="DJ46" s="10"/>
      <c r="DK46" s="10"/>
      <c r="DL46" s="10"/>
      <c r="DP46" s="10"/>
      <c r="DQ46" s="10"/>
      <c r="DR46" s="10"/>
      <c r="DS46" s="10"/>
    </row>
    <row r="47" spans="2:123" outlineLevel="1">
      <c r="B47" t="s">
        <v>28</v>
      </c>
      <c r="C47" t="s">
        <v>123</v>
      </c>
      <c r="E47" s="9"/>
      <c r="F47" t="s">
        <v>130</v>
      </c>
      <c r="G47" s="10">
        <v>0.1</v>
      </c>
      <c r="I47" s="9">
        <f t="shared" si="2"/>
        <v>0</v>
      </c>
      <c r="J47" s="11" cm="1">
        <f t="array" ref="J47">MAX(IF($N$3:$DZ$3=$J$3,N47:DZ47))</f>
        <v>0</v>
      </c>
      <c r="K47" s="11" cm="1">
        <f t="array" ref="K47">MAX(IF($N$3:$DZ$3=$J$3,N47:DZ47))</f>
        <v>0</v>
      </c>
      <c r="L47" s="9"/>
      <c r="O47" s="10"/>
      <c r="P47" s="10"/>
      <c r="Q47" s="10"/>
      <c r="R47" s="10"/>
      <c r="V47" s="10"/>
      <c r="W47" s="10"/>
      <c r="X47" s="10"/>
      <c r="Y47" s="10"/>
      <c r="AC47" s="10"/>
      <c r="AD47" s="10"/>
      <c r="AE47" s="10"/>
      <c r="AF47" s="10"/>
      <c r="AJ47" s="10"/>
      <c r="AK47" s="10">
        <v>0.5</v>
      </c>
      <c r="AL47" s="10"/>
      <c r="AM47" s="10">
        <v>0.5</v>
      </c>
      <c r="AQ47" s="10"/>
      <c r="AR47" s="10">
        <v>0.5</v>
      </c>
      <c r="AS47" s="10"/>
      <c r="AT47" s="10">
        <v>0.5</v>
      </c>
      <c r="AX47" s="10"/>
      <c r="AY47" s="10">
        <v>0.5</v>
      </c>
      <c r="AZ47" s="10"/>
      <c r="BA47" s="10">
        <v>0.5</v>
      </c>
      <c r="BE47" s="10"/>
      <c r="BF47" s="10">
        <v>0.8</v>
      </c>
      <c r="BG47" s="10"/>
      <c r="BH47" s="10">
        <v>0.8</v>
      </c>
      <c r="BL47" s="10"/>
      <c r="BM47" s="10">
        <v>0.8</v>
      </c>
      <c r="BN47" s="10"/>
      <c r="BO47" s="10">
        <v>0.8</v>
      </c>
      <c r="BS47" s="10"/>
      <c r="BT47" s="10">
        <v>0.8</v>
      </c>
      <c r="BU47" s="10"/>
      <c r="BV47" s="10">
        <v>0.8</v>
      </c>
      <c r="BZ47" s="10"/>
      <c r="CA47" s="10">
        <v>1</v>
      </c>
      <c r="CB47" s="10"/>
      <c r="CC47" s="10">
        <v>1</v>
      </c>
      <c r="CG47" s="10"/>
      <c r="CH47" s="10">
        <v>1</v>
      </c>
      <c r="CI47" s="10"/>
      <c r="CJ47" s="10">
        <v>1</v>
      </c>
      <c r="CN47" s="10"/>
      <c r="CO47" s="10"/>
      <c r="CP47" s="10"/>
      <c r="CQ47" s="10"/>
      <c r="CU47" s="10"/>
      <c r="CV47" s="10"/>
      <c r="CW47" s="10"/>
      <c r="CX47" s="10"/>
      <c r="DB47" s="10"/>
      <c r="DC47" s="10"/>
      <c r="DD47" s="10"/>
      <c r="DE47" s="10"/>
      <c r="DI47" s="10"/>
      <c r="DJ47" s="10"/>
      <c r="DK47" s="10"/>
      <c r="DL47" s="10"/>
      <c r="DP47" s="10"/>
      <c r="DQ47" s="10"/>
      <c r="DR47" s="10"/>
      <c r="DS47" s="10"/>
    </row>
    <row r="48" spans="2:123" outlineLevel="1">
      <c r="B48" t="s">
        <v>28</v>
      </c>
      <c r="C48" t="s">
        <v>123</v>
      </c>
      <c r="E48" s="9"/>
      <c r="F48" t="s">
        <v>131</v>
      </c>
      <c r="G48" s="10">
        <v>0.1</v>
      </c>
      <c r="I48" s="9">
        <f t="shared" si="2"/>
        <v>0</v>
      </c>
      <c r="J48" s="11" cm="1">
        <f t="array" ref="J48">MAX(IF($N$3:$DZ$3=$J$3,N48:DZ48))</f>
        <v>0</v>
      </c>
      <c r="K48" s="11" cm="1">
        <f t="array" ref="K48">MAX(IF($N$3:$DZ$3=$J$3,N48:DZ48))</f>
        <v>0</v>
      </c>
      <c r="L48" s="9"/>
      <c r="O48" s="10"/>
      <c r="P48" s="10"/>
      <c r="Q48" s="10"/>
      <c r="R48" s="10"/>
      <c r="V48" s="10"/>
      <c r="W48" s="10"/>
      <c r="X48" s="10"/>
      <c r="Y48" s="10"/>
      <c r="AC48" s="10"/>
      <c r="AD48" s="10"/>
      <c r="AE48" s="10"/>
      <c r="AF48" s="10"/>
      <c r="AJ48" s="10"/>
      <c r="AK48" s="10">
        <v>0.5</v>
      </c>
      <c r="AL48" s="10"/>
      <c r="AM48" s="10">
        <v>0.5</v>
      </c>
      <c r="AQ48" s="10"/>
      <c r="AR48" s="10">
        <v>0.5</v>
      </c>
      <c r="AS48" s="10"/>
      <c r="AT48" s="10">
        <v>0.5</v>
      </c>
      <c r="AX48" s="10"/>
      <c r="AY48" s="10">
        <v>0.5</v>
      </c>
      <c r="AZ48" s="10"/>
      <c r="BA48" s="10">
        <v>0.5</v>
      </c>
      <c r="BE48" s="10"/>
      <c r="BF48" s="10">
        <v>0.5</v>
      </c>
      <c r="BG48" s="10"/>
      <c r="BH48" s="10">
        <v>0.5</v>
      </c>
      <c r="BL48" s="10"/>
      <c r="BM48" s="10">
        <v>0.8</v>
      </c>
      <c r="BN48" s="10"/>
      <c r="BO48" s="10">
        <v>0.8</v>
      </c>
      <c r="BS48" s="10"/>
      <c r="BT48" s="10">
        <v>0.8</v>
      </c>
      <c r="BU48" s="10"/>
      <c r="BV48" s="10">
        <v>0.8</v>
      </c>
      <c r="BZ48" s="10"/>
      <c r="CA48" s="10">
        <v>1</v>
      </c>
      <c r="CB48" s="10"/>
      <c r="CC48" s="10">
        <v>1</v>
      </c>
      <c r="CG48" s="10"/>
      <c r="CH48" s="10">
        <v>1</v>
      </c>
      <c r="CI48" s="10"/>
      <c r="CJ48" s="10">
        <v>1</v>
      </c>
      <c r="CN48" s="10"/>
      <c r="CO48" s="10"/>
      <c r="CP48" s="10"/>
      <c r="CQ48" s="10"/>
      <c r="CU48" s="10"/>
      <c r="CV48" s="10"/>
      <c r="CW48" s="10"/>
      <c r="CX48" s="10"/>
      <c r="DB48" s="10"/>
      <c r="DC48" s="10"/>
      <c r="DD48" s="10"/>
      <c r="DE48" s="10"/>
      <c r="DI48" s="10"/>
      <c r="DJ48" s="10"/>
      <c r="DK48" s="10"/>
      <c r="DL48" s="10"/>
      <c r="DP48" s="10"/>
      <c r="DQ48" s="10"/>
      <c r="DR48" s="10"/>
      <c r="DS48" s="10"/>
    </row>
    <row r="49" spans="2:123" outlineLevel="1">
      <c r="B49" t="s">
        <v>28</v>
      </c>
      <c r="C49" t="s">
        <v>123</v>
      </c>
      <c r="E49" s="9"/>
      <c r="F49" t="s">
        <v>132</v>
      </c>
      <c r="G49" s="10">
        <v>0.1</v>
      </c>
      <c r="I49" s="9">
        <f t="shared" si="2"/>
        <v>0</v>
      </c>
      <c r="J49" s="11" cm="1">
        <f t="array" ref="J49">MAX(IF($N$3:$DZ$3=$J$3,N49:DZ49))</f>
        <v>0</v>
      </c>
      <c r="K49" s="11" cm="1">
        <f t="array" ref="K49">MAX(IF($N$3:$DZ$3=$J$3,N49:DZ49))</f>
        <v>0</v>
      </c>
      <c r="L49" s="9"/>
      <c r="O49" s="10"/>
      <c r="P49" s="10"/>
      <c r="Q49" s="10"/>
      <c r="R49" s="10"/>
      <c r="V49" s="10"/>
      <c r="W49" s="10"/>
      <c r="X49" s="10"/>
      <c r="Y49" s="10"/>
      <c r="AC49" s="10"/>
      <c r="AD49" s="10"/>
      <c r="AE49" s="10"/>
      <c r="AF49" s="10"/>
      <c r="AJ49" s="10"/>
      <c r="AK49" s="10"/>
      <c r="AL49" s="10"/>
      <c r="AM49" s="10"/>
      <c r="AQ49" s="10"/>
      <c r="AR49" s="10">
        <v>0.5</v>
      </c>
      <c r="AS49" s="10"/>
      <c r="AT49" s="10">
        <v>0.5</v>
      </c>
      <c r="AX49" s="10"/>
      <c r="AY49" s="10">
        <v>0.5</v>
      </c>
      <c r="AZ49" s="10"/>
      <c r="BA49" s="10">
        <v>0.5</v>
      </c>
      <c r="BE49" s="10"/>
      <c r="BF49" s="10">
        <v>0.5</v>
      </c>
      <c r="BG49" s="10"/>
      <c r="BH49" s="10">
        <v>0.5</v>
      </c>
      <c r="BL49" s="10"/>
      <c r="BM49" s="10">
        <v>0.8</v>
      </c>
      <c r="BN49" s="10"/>
      <c r="BO49" s="10">
        <v>0.8</v>
      </c>
      <c r="BS49" s="10"/>
      <c r="BT49" s="10">
        <v>0.8</v>
      </c>
      <c r="BU49" s="10"/>
      <c r="BV49" s="10">
        <v>0.8</v>
      </c>
      <c r="BZ49" s="10"/>
      <c r="CA49" s="10">
        <v>0.8</v>
      </c>
      <c r="CB49" s="10"/>
      <c r="CC49" s="10">
        <v>0.8</v>
      </c>
      <c r="CG49" s="10"/>
      <c r="CH49" s="10">
        <v>1</v>
      </c>
      <c r="CI49" s="10"/>
      <c r="CJ49" s="10">
        <v>1</v>
      </c>
      <c r="CN49" s="10"/>
      <c r="CO49" s="10"/>
      <c r="CP49" s="10"/>
      <c r="CQ49" s="10"/>
      <c r="CU49" s="10"/>
      <c r="CV49" s="10"/>
      <c r="CW49" s="10"/>
      <c r="CX49" s="10"/>
      <c r="DB49" s="10"/>
      <c r="DC49" s="10"/>
      <c r="DD49" s="10"/>
      <c r="DE49" s="10"/>
      <c r="DI49" s="10"/>
      <c r="DJ49" s="10"/>
      <c r="DK49" s="10"/>
      <c r="DL49" s="10"/>
      <c r="DP49" s="10"/>
      <c r="DQ49" s="10"/>
      <c r="DR49" s="10"/>
      <c r="DS49" s="10"/>
    </row>
    <row r="50" spans="2:123" outlineLevel="1">
      <c r="B50" t="s">
        <v>28</v>
      </c>
      <c r="C50" t="s">
        <v>123</v>
      </c>
      <c r="E50" s="9"/>
      <c r="F50" t="s">
        <v>133</v>
      </c>
      <c r="G50" s="10">
        <v>0.1</v>
      </c>
      <c r="I50" s="9">
        <f t="shared" si="2"/>
        <v>0</v>
      </c>
      <c r="J50" s="11" cm="1">
        <f t="array" ref="J50">MAX(IF($N$3:$DZ$3=$J$3,N50:DZ50))</f>
        <v>0</v>
      </c>
      <c r="K50" s="11" cm="1">
        <f t="array" ref="K50">MAX(IF($N$3:$DZ$3=$J$3,N50:DZ50))</f>
        <v>0</v>
      </c>
      <c r="L50" s="9"/>
      <c r="O50" s="10"/>
      <c r="P50" s="10"/>
      <c r="Q50" s="10"/>
      <c r="R50" s="10"/>
      <c r="V50" s="10"/>
      <c r="W50" s="10"/>
      <c r="X50" s="10"/>
      <c r="Y50" s="10"/>
      <c r="AC50" s="10"/>
      <c r="AD50" s="10"/>
      <c r="AE50" s="10"/>
      <c r="AF50" s="10"/>
      <c r="AJ50" s="10"/>
      <c r="AK50" s="10"/>
      <c r="AL50" s="10"/>
      <c r="AM50" s="10"/>
      <c r="AQ50" s="10"/>
      <c r="AR50" s="10">
        <v>0.5</v>
      </c>
      <c r="AS50" s="10"/>
      <c r="AT50" s="10">
        <v>0.5</v>
      </c>
      <c r="AX50" s="10"/>
      <c r="AY50" s="10">
        <v>0.5</v>
      </c>
      <c r="AZ50" s="10"/>
      <c r="BA50" s="10">
        <v>0.5</v>
      </c>
      <c r="BE50" s="10"/>
      <c r="BF50" s="10">
        <v>0.5</v>
      </c>
      <c r="BG50" s="10"/>
      <c r="BH50" s="10">
        <v>0.5</v>
      </c>
      <c r="BL50" s="10"/>
      <c r="BM50" s="10">
        <v>0.5</v>
      </c>
      <c r="BN50" s="10"/>
      <c r="BO50" s="10">
        <v>0.5</v>
      </c>
      <c r="BS50" s="10"/>
      <c r="BT50" s="10">
        <v>0.8</v>
      </c>
      <c r="BU50" s="10"/>
      <c r="BV50" s="10">
        <v>0.8</v>
      </c>
      <c r="BZ50" s="10"/>
      <c r="CA50" s="10">
        <v>0.8</v>
      </c>
      <c r="CB50" s="10"/>
      <c r="CC50" s="10">
        <v>0.8</v>
      </c>
      <c r="CG50" s="10"/>
      <c r="CH50" s="10">
        <v>1</v>
      </c>
      <c r="CI50" s="10"/>
      <c r="CJ50" s="10">
        <v>1</v>
      </c>
      <c r="CN50" s="10"/>
      <c r="CO50" s="10"/>
      <c r="CP50" s="10"/>
      <c r="CQ50" s="10"/>
      <c r="CU50" s="10"/>
      <c r="CV50" s="10"/>
      <c r="CW50" s="10"/>
      <c r="CX50" s="10"/>
      <c r="DB50" s="10"/>
      <c r="DC50" s="10"/>
      <c r="DD50" s="10"/>
      <c r="DE50" s="10"/>
      <c r="DI50" s="10"/>
      <c r="DJ50" s="10"/>
      <c r="DK50" s="10"/>
      <c r="DL50" s="10"/>
      <c r="DP50" s="10"/>
      <c r="DQ50" s="10"/>
      <c r="DR50" s="10"/>
      <c r="DS50" s="10"/>
    </row>
    <row r="51" spans="2:123" outlineLevel="1">
      <c r="B51" t="s">
        <v>28</v>
      </c>
      <c r="C51" t="s">
        <v>123</v>
      </c>
      <c r="E51" s="9"/>
      <c r="F51" t="s">
        <v>134</v>
      </c>
      <c r="G51" s="10">
        <v>0.1</v>
      </c>
      <c r="I51" s="9">
        <f t="shared" si="2"/>
        <v>0</v>
      </c>
      <c r="J51" s="11" cm="1">
        <f t="array" ref="J51">MAX(IF($N$3:$DZ$3=$J$3,N51:DZ51))</f>
        <v>0</v>
      </c>
      <c r="K51" s="11" cm="1">
        <f t="array" ref="K51">MAX(IF($N$3:$DZ$3=$J$3,N51:DZ51))</f>
        <v>0</v>
      </c>
      <c r="L51" s="9"/>
      <c r="O51" s="10"/>
      <c r="P51" s="10"/>
      <c r="Q51" s="10"/>
      <c r="R51" s="10"/>
      <c r="V51" s="10"/>
      <c r="W51" s="10"/>
      <c r="X51" s="10"/>
      <c r="Y51" s="10"/>
      <c r="AC51" s="10"/>
      <c r="AD51" s="10"/>
      <c r="AE51" s="10"/>
      <c r="AF51" s="10"/>
      <c r="AJ51" s="10"/>
      <c r="AK51" s="10"/>
      <c r="AL51" s="10"/>
      <c r="AM51" s="10"/>
      <c r="AQ51" s="10"/>
      <c r="AS51" s="10"/>
      <c r="AX51" s="10"/>
      <c r="AY51" s="10">
        <v>0.5</v>
      </c>
      <c r="AZ51" s="10"/>
      <c r="BA51" s="10">
        <v>0.5</v>
      </c>
      <c r="BE51" s="10"/>
      <c r="BF51" s="10">
        <v>0.5</v>
      </c>
      <c r="BG51" s="10"/>
      <c r="BH51" s="10">
        <v>0.5</v>
      </c>
      <c r="BL51" s="10"/>
      <c r="BM51" s="10">
        <v>0.5</v>
      </c>
      <c r="BN51" s="10"/>
      <c r="BO51" s="10">
        <v>0.5</v>
      </c>
      <c r="BS51" s="10"/>
      <c r="BT51" s="10">
        <v>0.8</v>
      </c>
      <c r="BU51" s="10"/>
      <c r="BV51" s="10">
        <v>0.8</v>
      </c>
      <c r="BZ51" s="10"/>
      <c r="CA51" s="10">
        <v>0.8</v>
      </c>
      <c r="CB51" s="10"/>
      <c r="CC51" s="10">
        <v>0.8</v>
      </c>
      <c r="CG51" s="10"/>
      <c r="CH51" s="10">
        <v>1</v>
      </c>
      <c r="CI51" s="10"/>
      <c r="CJ51" s="10">
        <v>1</v>
      </c>
      <c r="CN51" s="10"/>
      <c r="CO51" s="10"/>
      <c r="CP51" s="10"/>
      <c r="CQ51" s="10"/>
      <c r="CU51" s="10"/>
      <c r="CV51" s="10"/>
      <c r="CW51" s="10"/>
      <c r="CX51" s="10"/>
      <c r="DB51" s="10"/>
      <c r="DC51" s="10"/>
      <c r="DD51" s="10"/>
      <c r="DE51" s="10"/>
      <c r="DI51" s="10"/>
      <c r="DJ51" s="10"/>
      <c r="DK51" s="10"/>
      <c r="DL51" s="10"/>
      <c r="DP51" s="10"/>
      <c r="DQ51" s="10"/>
      <c r="DR51" s="10"/>
      <c r="DS51" s="10"/>
    </row>
    <row r="53" spans="2:123">
      <c r="B53" t="s">
        <v>27</v>
      </c>
      <c r="C53" t="s">
        <v>160</v>
      </c>
      <c r="D53" s="19" t="s">
        <v>90</v>
      </c>
      <c r="E53" s="9">
        <v>6</v>
      </c>
      <c r="G53" s="10">
        <f>+SUM(G54:G64)</f>
        <v>1.0499999999999998</v>
      </c>
      <c r="I53" s="12">
        <f>+SUM(I54:I64)</f>
        <v>0</v>
      </c>
      <c r="J53" s="11">
        <f>+SUMPRODUCT(G54:G64,J54:J64)</f>
        <v>0</v>
      </c>
      <c r="K53" s="11">
        <f>+SUMPRODUCT(G54:G64,K54:K64)</f>
        <v>0</v>
      </c>
      <c r="L53" s="9">
        <v>3.2</v>
      </c>
      <c r="N53" s="12">
        <f>+SUM(N54:N64)</f>
        <v>0</v>
      </c>
      <c r="S53" t="s">
        <v>170</v>
      </c>
      <c r="U53" s="12">
        <f>+SUM(U54:U64)</f>
        <v>0</v>
      </c>
      <c r="Z53" t="s">
        <v>166</v>
      </c>
      <c r="AB53" s="12">
        <f>+SUM(AB54:AB64)</f>
        <v>0</v>
      </c>
      <c r="AG53" t="s">
        <v>166</v>
      </c>
      <c r="AI53" s="12">
        <f>+SUM(AI54:AI64)</f>
        <v>0</v>
      </c>
      <c r="AN53" t="s">
        <v>166</v>
      </c>
      <c r="AP53" s="12">
        <f>+SUM(AP54:AP64)</f>
        <v>0</v>
      </c>
      <c r="AU53" t="s">
        <v>165</v>
      </c>
      <c r="BB53" t="s">
        <v>166</v>
      </c>
      <c r="BI53" t="s">
        <v>166</v>
      </c>
      <c r="BP53" t="s">
        <v>166</v>
      </c>
      <c r="BW53" t="s">
        <v>166</v>
      </c>
      <c r="CD53" t="s">
        <v>165</v>
      </c>
    </row>
    <row r="54" spans="2:123" outlineLevel="1">
      <c r="B54" t="s">
        <v>28</v>
      </c>
      <c r="C54" t="s">
        <v>160</v>
      </c>
      <c r="E54" s="9"/>
      <c r="F54" t="s">
        <v>30</v>
      </c>
      <c r="G54" s="10">
        <v>0.1</v>
      </c>
      <c r="I54" s="9">
        <f t="shared" ref="I54:I64" si="3">+SUMIF($N$3:$ZR$3,I$3,$N54:$ZR54)</f>
        <v>0</v>
      </c>
      <c r="J54" s="11" cm="1">
        <f t="array" ref="J54">MAX(IF($N$3:$DZ$3=$J$3,N54:DZ54))</f>
        <v>0</v>
      </c>
      <c r="K54" s="11" cm="1">
        <f t="array" ref="K54">MAX(IF($N$3:$DZ$3=$J$3,N54:DZ54))</f>
        <v>0</v>
      </c>
      <c r="L54" s="9"/>
      <c r="O54" s="10"/>
      <c r="P54" s="10">
        <v>0.5</v>
      </c>
      <c r="Q54" s="10"/>
      <c r="R54" s="10">
        <v>0.5</v>
      </c>
      <c r="V54" s="10"/>
      <c r="W54" s="10">
        <v>0.5</v>
      </c>
      <c r="X54" s="10"/>
      <c r="Y54" s="10">
        <v>0.5</v>
      </c>
      <c r="AC54" s="10"/>
      <c r="AD54" s="10">
        <v>0.8</v>
      </c>
      <c r="AE54" s="10"/>
      <c r="AF54" s="10">
        <v>0.8</v>
      </c>
      <c r="AJ54" s="10"/>
      <c r="AK54" s="10">
        <v>0.8</v>
      </c>
      <c r="AL54" s="10"/>
      <c r="AM54" s="10">
        <v>0.8</v>
      </c>
      <c r="AQ54" s="10"/>
      <c r="AR54" s="10">
        <v>0.8</v>
      </c>
      <c r="AS54" s="10"/>
      <c r="AT54" s="10">
        <v>0.8</v>
      </c>
      <c r="AX54" s="10"/>
      <c r="AY54" s="10">
        <v>0.8</v>
      </c>
      <c r="AZ54" s="10"/>
      <c r="BA54" s="10">
        <v>0.8</v>
      </c>
      <c r="BE54" s="10"/>
      <c r="BF54" s="10">
        <v>1</v>
      </c>
      <c r="BG54" s="10"/>
      <c r="BH54" s="10">
        <v>1</v>
      </c>
      <c r="BL54" s="10"/>
      <c r="BM54" s="10">
        <v>1</v>
      </c>
      <c r="BN54" s="10"/>
      <c r="BO54" s="10">
        <v>1</v>
      </c>
      <c r="BS54" s="10"/>
      <c r="BT54" s="10">
        <v>1</v>
      </c>
      <c r="BU54" s="10"/>
      <c r="BV54" s="10">
        <v>1</v>
      </c>
      <c r="BZ54" s="10"/>
      <c r="CA54" s="10">
        <v>1</v>
      </c>
      <c r="CB54" s="10"/>
      <c r="CC54" s="10">
        <v>1</v>
      </c>
      <c r="CG54" s="10"/>
      <c r="CH54" s="10">
        <v>1</v>
      </c>
      <c r="CI54" s="10"/>
      <c r="CJ54" s="10">
        <v>1</v>
      </c>
      <c r="CN54" s="10"/>
      <c r="CO54" s="10"/>
      <c r="CP54" s="10"/>
      <c r="CQ54" s="10"/>
      <c r="CU54" s="10"/>
      <c r="CV54" s="10"/>
      <c r="CW54" s="10"/>
      <c r="CX54" s="10"/>
      <c r="DB54" s="10"/>
      <c r="DC54" s="10"/>
      <c r="DD54" s="10"/>
      <c r="DE54" s="10"/>
      <c r="DI54" s="10"/>
      <c r="DJ54" s="10"/>
      <c r="DK54" s="10"/>
      <c r="DL54" s="10"/>
      <c r="DP54" s="10"/>
      <c r="DQ54" s="10"/>
      <c r="DR54" s="10"/>
      <c r="DS54" s="10"/>
    </row>
    <row r="55" spans="2:123" outlineLevel="1">
      <c r="B55" t="s">
        <v>28</v>
      </c>
      <c r="C55" t="s">
        <v>160</v>
      </c>
      <c r="E55" s="9"/>
      <c r="F55" t="s">
        <v>88</v>
      </c>
      <c r="G55" s="10">
        <v>0.05</v>
      </c>
      <c r="I55" s="9">
        <f t="shared" si="3"/>
        <v>0</v>
      </c>
      <c r="J55" s="11" cm="1">
        <f t="array" ref="J55">MAX(IF($N$3:$DZ$3=$J$3,N55:DZ55))</f>
        <v>0</v>
      </c>
      <c r="K55" s="11" cm="1">
        <f t="array" ref="K55">MAX(IF($N$3:$DZ$3=$J$3,N55:DZ55))</f>
        <v>0</v>
      </c>
      <c r="L55" s="9"/>
      <c r="O55" s="10"/>
      <c r="P55" s="10">
        <v>0.5</v>
      </c>
      <c r="Q55" s="10"/>
      <c r="R55" s="10">
        <v>0.5</v>
      </c>
      <c r="V55" s="10"/>
      <c r="W55" s="10">
        <v>0.5</v>
      </c>
      <c r="X55" s="10"/>
      <c r="Y55" s="10">
        <v>0.5</v>
      </c>
      <c r="AC55" s="10"/>
      <c r="AD55" s="10">
        <v>0.8</v>
      </c>
      <c r="AE55" s="10"/>
      <c r="AF55" s="10">
        <v>0.8</v>
      </c>
      <c r="AJ55" s="10"/>
      <c r="AK55" s="10">
        <v>0.8</v>
      </c>
      <c r="AL55" s="10"/>
      <c r="AM55" s="10">
        <v>0.8</v>
      </c>
      <c r="AQ55" s="10"/>
      <c r="AR55" s="10">
        <v>0.8</v>
      </c>
      <c r="AS55" s="10"/>
      <c r="AT55" s="10">
        <v>0.8</v>
      </c>
      <c r="AX55" s="10"/>
      <c r="AY55" s="10">
        <v>0.8</v>
      </c>
      <c r="AZ55" s="10"/>
      <c r="BA55" s="10">
        <v>0.8</v>
      </c>
      <c r="BE55" s="10"/>
      <c r="BF55" s="10">
        <v>1</v>
      </c>
      <c r="BG55" s="10"/>
      <c r="BH55" s="10">
        <v>1</v>
      </c>
      <c r="BL55" s="10"/>
      <c r="BM55" s="10">
        <v>1</v>
      </c>
      <c r="BN55" s="10"/>
      <c r="BO55" s="10">
        <v>1</v>
      </c>
      <c r="BS55" s="10"/>
      <c r="BT55" s="10">
        <v>1</v>
      </c>
      <c r="BU55" s="10"/>
      <c r="BV55" s="10">
        <v>1</v>
      </c>
      <c r="BZ55" s="10"/>
      <c r="CA55" s="10">
        <v>1</v>
      </c>
      <c r="CB55" s="10"/>
      <c r="CC55" s="10">
        <v>1</v>
      </c>
      <c r="CG55" s="10"/>
      <c r="CH55" s="10">
        <v>1</v>
      </c>
      <c r="CI55" s="10"/>
      <c r="CJ55" s="10">
        <v>1</v>
      </c>
      <c r="CN55" s="10"/>
      <c r="CO55" s="10"/>
      <c r="CP55" s="10"/>
      <c r="CQ55" s="10"/>
      <c r="CU55" s="10"/>
      <c r="CV55" s="10"/>
      <c r="CW55" s="10"/>
      <c r="CX55" s="10"/>
      <c r="DB55" s="10"/>
      <c r="DC55" s="10"/>
      <c r="DD55" s="10"/>
      <c r="DE55" s="10"/>
      <c r="DI55" s="10"/>
      <c r="DJ55" s="10"/>
      <c r="DK55" s="10"/>
      <c r="DL55" s="10"/>
      <c r="DP55" s="10"/>
      <c r="DQ55" s="10"/>
      <c r="DR55" s="10"/>
      <c r="DS55" s="10"/>
    </row>
    <row r="56" spans="2:123" outlineLevel="1">
      <c r="B56" t="s">
        <v>28</v>
      </c>
      <c r="C56" t="s">
        <v>160</v>
      </c>
      <c r="E56" s="9"/>
      <c r="F56" t="s">
        <v>151</v>
      </c>
      <c r="G56" s="10">
        <v>0.1</v>
      </c>
      <c r="I56" s="9">
        <f t="shared" si="3"/>
        <v>0</v>
      </c>
      <c r="J56" s="11" cm="1">
        <f t="array" ref="J56">MAX(IF($N$3:$DZ$3=$J$3,N56:DZ56))</f>
        <v>0</v>
      </c>
      <c r="K56" s="11" cm="1">
        <f t="array" ref="K56">MAX(IF($N$3:$DZ$3=$J$3,N56:DZ56))</f>
        <v>0</v>
      </c>
      <c r="L56" s="9"/>
      <c r="O56" s="10"/>
      <c r="P56" s="10"/>
      <c r="Q56" s="10"/>
      <c r="R56" s="10"/>
      <c r="V56" s="10"/>
      <c r="W56" s="10">
        <v>0.5</v>
      </c>
      <c r="X56" s="10"/>
      <c r="Y56" s="10">
        <v>0.5</v>
      </c>
      <c r="AC56" s="10"/>
      <c r="AD56" s="10">
        <v>0.5</v>
      </c>
      <c r="AE56" s="10"/>
      <c r="AF56" s="10">
        <v>0.5</v>
      </c>
      <c r="AJ56" s="10"/>
      <c r="AK56" s="10">
        <v>0.8</v>
      </c>
      <c r="AL56" s="10"/>
      <c r="AM56" s="10">
        <v>0.8</v>
      </c>
      <c r="AQ56" s="10"/>
      <c r="AR56" s="10">
        <v>0.8</v>
      </c>
      <c r="AS56" s="10"/>
      <c r="AT56" s="10">
        <v>0.8</v>
      </c>
      <c r="AX56" s="10"/>
      <c r="AY56" s="10">
        <v>0.8</v>
      </c>
      <c r="AZ56" s="10"/>
      <c r="BA56" s="10">
        <v>0.8</v>
      </c>
      <c r="BE56" s="10"/>
      <c r="BF56" s="10">
        <v>0.8</v>
      </c>
      <c r="BG56" s="10"/>
      <c r="BH56" s="10">
        <v>0.8</v>
      </c>
      <c r="BL56" s="10"/>
      <c r="BM56" s="10">
        <v>1</v>
      </c>
      <c r="BN56" s="10"/>
      <c r="BO56" s="10">
        <v>1</v>
      </c>
      <c r="BS56" s="10"/>
      <c r="BT56" s="10">
        <v>1</v>
      </c>
      <c r="BU56" s="10"/>
      <c r="BV56" s="10">
        <v>1</v>
      </c>
      <c r="BZ56" s="10"/>
      <c r="CA56" s="10">
        <v>1</v>
      </c>
      <c r="CB56" s="10"/>
      <c r="CC56" s="10">
        <v>1</v>
      </c>
      <c r="CG56" s="10"/>
      <c r="CH56" s="10">
        <v>1</v>
      </c>
      <c r="CI56" s="10"/>
      <c r="CJ56" s="10">
        <v>1</v>
      </c>
      <c r="CN56" s="10"/>
      <c r="CO56" s="10"/>
      <c r="CP56" s="10"/>
      <c r="CQ56" s="10"/>
      <c r="CU56" s="10"/>
      <c r="CV56" s="10"/>
      <c r="CW56" s="10"/>
      <c r="CX56" s="10"/>
      <c r="DB56" s="10"/>
      <c r="DC56" s="10"/>
      <c r="DD56" s="10"/>
      <c r="DE56" s="10"/>
      <c r="DI56" s="10"/>
      <c r="DJ56" s="10"/>
      <c r="DK56" s="10"/>
      <c r="DL56" s="10"/>
      <c r="DP56" s="10"/>
      <c r="DQ56" s="10"/>
      <c r="DR56" s="10"/>
      <c r="DS56" s="10"/>
    </row>
    <row r="57" spans="2:123" outlineLevel="1">
      <c r="B57" t="s">
        <v>28</v>
      </c>
      <c r="C57" t="s">
        <v>160</v>
      </c>
      <c r="E57" s="9"/>
      <c r="F57" t="s">
        <v>152</v>
      </c>
      <c r="G57" s="10">
        <v>0.1</v>
      </c>
      <c r="I57" s="9">
        <f t="shared" si="3"/>
        <v>0</v>
      </c>
      <c r="J57" s="11" cm="1">
        <f t="array" ref="J57">MAX(IF($N$3:$DZ$3=$J$3,N57:DZ57))</f>
        <v>0</v>
      </c>
      <c r="K57" s="11" cm="1">
        <f t="array" ref="K57">MAX(IF($N$3:$DZ$3=$J$3,N57:DZ57))</f>
        <v>0</v>
      </c>
      <c r="L57" s="9"/>
      <c r="O57" s="10"/>
      <c r="P57" s="10"/>
      <c r="Q57" s="10"/>
      <c r="R57" s="10"/>
      <c r="V57" s="10"/>
      <c r="W57" s="10">
        <v>0.5</v>
      </c>
      <c r="X57" s="10"/>
      <c r="Y57" s="10">
        <v>0.5</v>
      </c>
      <c r="AC57" s="10"/>
      <c r="AD57" s="10">
        <v>0.5</v>
      </c>
      <c r="AE57" s="10"/>
      <c r="AF57" s="10">
        <v>0.5</v>
      </c>
      <c r="AJ57" s="10"/>
      <c r="AK57" s="10">
        <v>0.5</v>
      </c>
      <c r="AL57" s="10"/>
      <c r="AM57" s="10">
        <v>0.5</v>
      </c>
      <c r="AQ57" s="10"/>
      <c r="AR57" s="10">
        <v>0.8</v>
      </c>
      <c r="AS57" s="10"/>
      <c r="AT57" s="10">
        <v>0.8</v>
      </c>
      <c r="AX57" s="10"/>
      <c r="AY57" s="10">
        <v>0.8</v>
      </c>
      <c r="AZ57" s="10"/>
      <c r="BA57" s="10">
        <v>0.8</v>
      </c>
      <c r="BE57" s="10"/>
      <c r="BF57" s="10">
        <v>0.8</v>
      </c>
      <c r="BG57" s="10"/>
      <c r="BH57" s="10">
        <v>0.8</v>
      </c>
      <c r="BL57" s="10"/>
      <c r="BM57" s="10">
        <v>0.8</v>
      </c>
      <c r="BN57" s="10"/>
      <c r="BO57" s="10">
        <v>0.8</v>
      </c>
      <c r="BS57" s="10"/>
      <c r="BT57" s="10">
        <v>1</v>
      </c>
      <c r="BU57" s="10"/>
      <c r="BV57" s="10">
        <v>1</v>
      </c>
      <c r="BZ57" s="10"/>
      <c r="CA57" s="10">
        <v>1</v>
      </c>
      <c r="CB57" s="10"/>
      <c r="CC57" s="10">
        <v>1</v>
      </c>
      <c r="CG57" s="10"/>
      <c r="CH57" s="10">
        <v>1</v>
      </c>
      <c r="CI57" s="10"/>
      <c r="CJ57" s="10">
        <v>1</v>
      </c>
      <c r="CN57" s="10"/>
      <c r="CO57" s="10"/>
      <c r="CP57" s="10"/>
      <c r="CQ57" s="10"/>
      <c r="CU57" s="10"/>
      <c r="CV57" s="10"/>
      <c r="CW57" s="10"/>
      <c r="CX57" s="10"/>
      <c r="DB57" s="10"/>
      <c r="DC57" s="10"/>
      <c r="DD57" s="10"/>
      <c r="DE57" s="10"/>
      <c r="DI57" s="10"/>
      <c r="DJ57" s="10"/>
      <c r="DK57" s="10"/>
      <c r="DL57" s="10"/>
      <c r="DP57" s="10"/>
      <c r="DQ57" s="10"/>
      <c r="DR57" s="10"/>
      <c r="DS57" s="10"/>
    </row>
    <row r="58" spans="2:123" outlineLevel="1">
      <c r="B58" t="s">
        <v>28</v>
      </c>
      <c r="C58" t="s">
        <v>160</v>
      </c>
      <c r="E58" s="9"/>
      <c r="F58" t="s">
        <v>153</v>
      </c>
      <c r="G58" s="10">
        <v>0.1</v>
      </c>
      <c r="I58" s="9">
        <f t="shared" si="3"/>
        <v>0</v>
      </c>
      <c r="J58" s="11" cm="1">
        <f t="array" ref="J58">MAX(IF($N$3:$DZ$3=$J$3,N58:DZ58))</f>
        <v>0</v>
      </c>
      <c r="K58" s="11" cm="1">
        <f t="array" ref="K58">MAX(IF($N$3:$DZ$3=$J$3,N58:DZ58))</f>
        <v>0</v>
      </c>
      <c r="L58" s="9"/>
      <c r="O58" s="10"/>
      <c r="P58" s="10"/>
      <c r="Q58" s="10"/>
      <c r="R58" s="10"/>
      <c r="V58" s="10"/>
      <c r="W58" s="10"/>
      <c r="X58" s="10"/>
      <c r="Y58" s="10"/>
      <c r="AC58" s="10"/>
      <c r="AD58" s="10">
        <v>0.5</v>
      </c>
      <c r="AE58" s="10"/>
      <c r="AF58" s="10">
        <v>0.5</v>
      </c>
      <c r="AJ58" s="10"/>
      <c r="AK58" s="10">
        <v>0.5</v>
      </c>
      <c r="AL58" s="10"/>
      <c r="AM58" s="10">
        <v>0.5</v>
      </c>
      <c r="AQ58" s="10"/>
      <c r="AR58" s="10">
        <v>0.5</v>
      </c>
      <c r="AS58" s="10"/>
      <c r="AT58" s="10">
        <v>0.5</v>
      </c>
      <c r="AX58" s="10"/>
      <c r="AY58" s="10">
        <v>0.8</v>
      </c>
      <c r="AZ58" s="10"/>
      <c r="BA58" s="10">
        <v>0.8</v>
      </c>
      <c r="BE58" s="10"/>
      <c r="BF58" s="10">
        <v>0.8</v>
      </c>
      <c r="BG58" s="10"/>
      <c r="BH58" s="10">
        <v>0.8</v>
      </c>
      <c r="BL58" s="10"/>
      <c r="BM58" s="10">
        <v>0.8</v>
      </c>
      <c r="BN58" s="10"/>
      <c r="BO58" s="10">
        <v>0.8</v>
      </c>
      <c r="BS58" s="10"/>
      <c r="BT58" s="10">
        <v>0.8</v>
      </c>
      <c r="BU58" s="10"/>
      <c r="BV58" s="10">
        <v>0.8</v>
      </c>
      <c r="BZ58" s="10"/>
      <c r="CA58" s="10">
        <v>1</v>
      </c>
      <c r="CB58" s="10"/>
      <c r="CC58" s="10">
        <v>1</v>
      </c>
      <c r="CG58" s="10"/>
      <c r="CH58" s="10">
        <v>1</v>
      </c>
      <c r="CI58" s="10"/>
      <c r="CJ58" s="10">
        <v>1</v>
      </c>
      <c r="CN58" s="10"/>
      <c r="CO58" s="10"/>
      <c r="CP58" s="10"/>
      <c r="CQ58" s="10"/>
      <c r="CU58" s="10"/>
      <c r="CV58" s="10"/>
      <c r="CW58" s="10"/>
      <c r="CX58" s="10"/>
      <c r="DB58" s="10"/>
      <c r="DC58" s="10"/>
      <c r="DD58" s="10"/>
      <c r="DE58" s="10"/>
      <c r="DI58" s="10"/>
      <c r="DJ58" s="10"/>
      <c r="DK58" s="10"/>
      <c r="DL58" s="10"/>
      <c r="DP58" s="10"/>
      <c r="DQ58" s="10"/>
      <c r="DR58" s="10"/>
      <c r="DS58" s="10"/>
    </row>
    <row r="59" spans="2:123" outlineLevel="1">
      <c r="B59" t="s">
        <v>28</v>
      </c>
      <c r="C59" t="s">
        <v>160</v>
      </c>
      <c r="E59" s="9"/>
      <c r="F59" t="s">
        <v>154</v>
      </c>
      <c r="G59" s="10">
        <v>0.1</v>
      </c>
      <c r="I59" s="9">
        <f t="shared" si="3"/>
        <v>0</v>
      </c>
      <c r="J59" s="11" cm="1">
        <f t="array" ref="J59">MAX(IF($N$3:$DZ$3=$J$3,N59:DZ59))</f>
        <v>0</v>
      </c>
      <c r="K59" s="11" cm="1">
        <f t="array" ref="K59">MAX(IF($N$3:$DZ$3=$J$3,N59:DZ59))</f>
        <v>0</v>
      </c>
      <c r="L59" s="9"/>
      <c r="O59" s="10"/>
      <c r="P59" s="10"/>
      <c r="Q59" s="10"/>
      <c r="R59" s="10"/>
      <c r="V59" s="10"/>
      <c r="W59" s="10"/>
      <c r="X59" s="10"/>
      <c r="Y59" s="10"/>
      <c r="AC59" s="10"/>
      <c r="AD59" s="10"/>
      <c r="AE59" s="10"/>
      <c r="AF59" s="10"/>
      <c r="AJ59" s="10"/>
      <c r="AK59" s="10">
        <v>0.5</v>
      </c>
      <c r="AL59" s="10"/>
      <c r="AM59" s="10">
        <v>0.5</v>
      </c>
      <c r="AQ59" s="10"/>
      <c r="AR59" s="10">
        <v>0.5</v>
      </c>
      <c r="AS59" s="10"/>
      <c r="AT59" s="10">
        <v>0.5</v>
      </c>
      <c r="AX59" s="10"/>
      <c r="AY59" s="10">
        <v>0.8</v>
      </c>
      <c r="AZ59" s="10"/>
      <c r="BA59" s="10">
        <v>0.8</v>
      </c>
      <c r="BE59" s="10"/>
      <c r="BF59" s="10">
        <v>0.8</v>
      </c>
      <c r="BG59" s="10"/>
      <c r="BH59" s="10">
        <v>0.8</v>
      </c>
      <c r="BL59" s="10"/>
      <c r="BM59" s="10">
        <v>0.8</v>
      </c>
      <c r="BN59" s="10"/>
      <c r="BO59" s="10">
        <v>0.8</v>
      </c>
      <c r="BS59" s="10"/>
      <c r="BT59" s="10">
        <v>0.8</v>
      </c>
      <c r="BU59" s="10"/>
      <c r="BV59" s="10">
        <v>0.8</v>
      </c>
      <c r="BZ59" s="10"/>
      <c r="CA59" s="10">
        <v>1</v>
      </c>
      <c r="CB59" s="10"/>
      <c r="CC59" s="10">
        <v>1</v>
      </c>
      <c r="CG59" s="10"/>
      <c r="CH59" s="10">
        <v>1</v>
      </c>
      <c r="CI59" s="10"/>
      <c r="CJ59" s="10">
        <v>1</v>
      </c>
      <c r="CN59" s="10"/>
      <c r="CO59" s="10"/>
      <c r="CP59" s="10"/>
      <c r="CQ59" s="10"/>
      <c r="CU59" s="10"/>
      <c r="CV59" s="10"/>
      <c r="CW59" s="10"/>
      <c r="CX59" s="10"/>
      <c r="DB59" s="10"/>
      <c r="DC59" s="10"/>
      <c r="DD59" s="10"/>
      <c r="DE59" s="10"/>
      <c r="DI59" s="10"/>
      <c r="DJ59" s="10"/>
      <c r="DK59" s="10"/>
      <c r="DL59" s="10"/>
      <c r="DP59" s="10"/>
      <c r="DQ59" s="10"/>
      <c r="DR59" s="10"/>
      <c r="DS59" s="10"/>
    </row>
    <row r="60" spans="2:123" outlineLevel="1">
      <c r="B60" t="s">
        <v>28</v>
      </c>
      <c r="C60" t="s">
        <v>160</v>
      </c>
      <c r="E60" s="9"/>
      <c r="F60" t="s">
        <v>155</v>
      </c>
      <c r="G60" s="10">
        <v>0.1</v>
      </c>
      <c r="I60" s="9">
        <f t="shared" si="3"/>
        <v>0</v>
      </c>
      <c r="J60" s="11" cm="1">
        <f t="array" ref="J60">MAX(IF($N$3:$DZ$3=$J$3,N60:DZ60))</f>
        <v>0</v>
      </c>
      <c r="K60" s="11" cm="1">
        <f t="array" ref="K60">MAX(IF($N$3:$DZ$3=$J$3,N60:DZ60))</f>
        <v>0</v>
      </c>
      <c r="L60" s="9"/>
      <c r="O60" s="10"/>
      <c r="P60" s="10"/>
      <c r="Q60" s="10"/>
      <c r="R60" s="10"/>
      <c r="V60" s="10"/>
      <c r="W60" s="10"/>
      <c r="X60" s="10"/>
      <c r="Y60" s="10"/>
      <c r="AC60" s="10"/>
      <c r="AD60" s="10"/>
      <c r="AE60" s="10"/>
      <c r="AF60" s="10"/>
      <c r="AJ60" s="10"/>
      <c r="AK60" s="10">
        <v>0.5</v>
      </c>
      <c r="AL60" s="10"/>
      <c r="AM60" s="10">
        <v>0.5</v>
      </c>
      <c r="AQ60" s="10"/>
      <c r="AR60" s="10">
        <v>0.5</v>
      </c>
      <c r="AS60" s="10"/>
      <c r="AT60" s="10">
        <v>0.5</v>
      </c>
      <c r="AX60" s="10"/>
      <c r="AY60" s="10">
        <v>0.5</v>
      </c>
      <c r="AZ60" s="10"/>
      <c r="BA60" s="10">
        <v>0.5</v>
      </c>
      <c r="BE60" s="10"/>
      <c r="BF60" s="10">
        <v>0.8</v>
      </c>
      <c r="BG60" s="10"/>
      <c r="BH60" s="10">
        <v>0.8</v>
      </c>
      <c r="BL60" s="10"/>
      <c r="BM60" s="10">
        <v>0.8</v>
      </c>
      <c r="BN60" s="10"/>
      <c r="BO60" s="10">
        <v>0.8</v>
      </c>
      <c r="BS60" s="10"/>
      <c r="BT60" s="10">
        <v>0.8</v>
      </c>
      <c r="BU60" s="10"/>
      <c r="BV60" s="10">
        <v>0.8</v>
      </c>
      <c r="BZ60" s="10"/>
      <c r="CA60" s="10">
        <v>1</v>
      </c>
      <c r="CB60" s="10"/>
      <c r="CC60" s="10">
        <v>1</v>
      </c>
      <c r="CG60" s="10"/>
      <c r="CH60" s="10">
        <v>1</v>
      </c>
      <c r="CI60" s="10"/>
      <c r="CJ60" s="10">
        <v>1</v>
      </c>
      <c r="CN60" s="10"/>
      <c r="CO60" s="10"/>
      <c r="CP60" s="10"/>
      <c r="CQ60" s="10"/>
      <c r="CU60" s="10"/>
      <c r="CV60" s="10"/>
      <c r="CW60" s="10"/>
      <c r="CX60" s="10"/>
      <c r="DB60" s="10"/>
      <c r="DC60" s="10"/>
      <c r="DD60" s="10"/>
      <c r="DE60" s="10"/>
      <c r="DI60" s="10"/>
      <c r="DJ60" s="10"/>
      <c r="DK60" s="10"/>
      <c r="DL60" s="10"/>
      <c r="DP60" s="10"/>
      <c r="DQ60" s="10"/>
      <c r="DR60" s="10"/>
      <c r="DS60" s="10"/>
    </row>
    <row r="61" spans="2:123" outlineLevel="1">
      <c r="B61" t="s">
        <v>28</v>
      </c>
      <c r="C61" t="s">
        <v>160</v>
      </c>
      <c r="E61" s="9"/>
      <c r="F61" t="s">
        <v>156</v>
      </c>
      <c r="G61" s="10">
        <v>0.1</v>
      </c>
      <c r="I61" s="9">
        <f t="shared" si="3"/>
        <v>0</v>
      </c>
      <c r="J61" s="11" cm="1">
        <f t="array" ref="J61">MAX(IF($N$3:$DZ$3=$J$3,N61:DZ61))</f>
        <v>0</v>
      </c>
      <c r="K61" s="11" cm="1">
        <f t="array" ref="K61">MAX(IF($N$3:$DZ$3=$J$3,N61:DZ61))</f>
        <v>0</v>
      </c>
      <c r="L61" s="9"/>
      <c r="O61" s="10"/>
      <c r="P61" s="10"/>
      <c r="Q61" s="10"/>
      <c r="R61" s="10"/>
      <c r="V61" s="10"/>
      <c r="W61" s="10"/>
      <c r="X61" s="10"/>
      <c r="Y61" s="10"/>
      <c r="AC61" s="10"/>
      <c r="AD61" s="10"/>
      <c r="AE61" s="10"/>
      <c r="AF61" s="10"/>
      <c r="AJ61" s="10"/>
      <c r="AK61" s="10"/>
      <c r="AL61" s="10"/>
      <c r="AM61" s="10"/>
      <c r="AQ61" s="10"/>
      <c r="AR61" s="10">
        <v>0.5</v>
      </c>
      <c r="AS61" s="10"/>
      <c r="AT61" s="10">
        <v>0.5</v>
      </c>
      <c r="AX61" s="10"/>
      <c r="AY61" s="10">
        <v>0.5</v>
      </c>
      <c r="AZ61" s="10"/>
      <c r="BA61" s="10">
        <v>0.5</v>
      </c>
      <c r="BE61" s="10"/>
      <c r="BF61" s="10">
        <v>0.5</v>
      </c>
      <c r="BG61" s="10"/>
      <c r="BH61" s="10">
        <v>0.5</v>
      </c>
      <c r="BL61" s="10"/>
      <c r="BM61" s="10">
        <v>0.8</v>
      </c>
      <c r="BN61" s="10"/>
      <c r="BO61" s="10">
        <v>0.8</v>
      </c>
      <c r="BS61" s="10"/>
      <c r="BT61" s="10">
        <v>0.8</v>
      </c>
      <c r="BU61" s="10"/>
      <c r="BV61" s="10">
        <v>0.8</v>
      </c>
      <c r="BZ61" s="10"/>
      <c r="CA61" s="10">
        <v>0.8</v>
      </c>
      <c r="CB61" s="10"/>
      <c r="CC61" s="10">
        <v>0.8</v>
      </c>
      <c r="CG61" s="10"/>
      <c r="CH61" s="10">
        <v>1</v>
      </c>
      <c r="CI61" s="10"/>
      <c r="CJ61" s="10">
        <v>1</v>
      </c>
      <c r="CN61" s="10"/>
      <c r="CO61" s="10"/>
      <c r="CP61" s="10"/>
      <c r="CQ61" s="10"/>
      <c r="CU61" s="10"/>
      <c r="CV61" s="10"/>
      <c r="CW61" s="10"/>
      <c r="CX61" s="10"/>
      <c r="DB61" s="10"/>
      <c r="DC61" s="10"/>
      <c r="DD61" s="10"/>
      <c r="DE61" s="10"/>
      <c r="DI61" s="10"/>
      <c r="DJ61" s="10"/>
      <c r="DK61" s="10"/>
      <c r="DL61" s="10"/>
      <c r="DP61" s="10"/>
      <c r="DQ61" s="10"/>
      <c r="DR61" s="10"/>
      <c r="DS61" s="10"/>
    </row>
    <row r="62" spans="2:123" outlineLevel="1">
      <c r="B62" t="s">
        <v>28</v>
      </c>
      <c r="C62" t="s">
        <v>160</v>
      </c>
      <c r="E62" s="9"/>
      <c r="F62" t="s">
        <v>157</v>
      </c>
      <c r="G62" s="10">
        <v>0.1</v>
      </c>
      <c r="I62" s="9">
        <f t="shared" si="3"/>
        <v>0</v>
      </c>
      <c r="J62" s="11" cm="1">
        <f t="array" ref="J62">MAX(IF($N$3:$DZ$3=$J$3,N62:DZ62))</f>
        <v>0</v>
      </c>
      <c r="K62" s="11" cm="1">
        <f t="array" ref="K62">MAX(IF($N$3:$DZ$3=$J$3,N62:DZ62))</f>
        <v>0</v>
      </c>
      <c r="L62" s="9"/>
      <c r="O62" s="10"/>
      <c r="P62" s="10"/>
      <c r="Q62" s="10"/>
      <c r="R62" s="10"/>
      <c r="V62" s="10"/>
      <c r="W62" s="10"/>
      <c r="X62" s="10"/>
      <c r="Y62" s="10"/>
      <c r="AC62" s="10"/>
      <c r="AD62" s="10"/>
      <c r="AE62" s="10"/>
      <c r="AF62" s="10"/>
      <c r="AJ62" s="10"/>
      <c r="AK62" s="10"/>
      <c r="AL62" s="10"/>
      <c r="AM62" s="10"/>
      <c r="AQ62" s="10"/>
      <c r="AR62" s="10">
        <v>0.5</v>
      </c>
      <c r="AS62" s="10"/>
      <c r="AT62" s="10">
        <v>0.5</v>
      </c>
      <c r="AX62" s="10"/>
      <c r="AY62" s="10">
        <v>0.5</v>
      </c>
      <c r="AZ62" s="10"/>
      <c r="BA62" s="10">
        <v>0.5</v>
      </c>
      <c r="BE62" s="10"/>
      <c r="BF62" s="10">
        <v>0.5</v>
      </c>
      <c r="BG62" s="10"/>
      <c r="BH62" s="10">
        <v>0.5</v>
      </c>
      <c r="BL62" s="10"/>
      <c r="BM62" s="10">
        <v>0.8</v>
      </c>
      <c r="BN62" s="10"/>
      <c r="BO62" s="10">
        <v>0.8</v>
      </c>
      <c r="BS62" s="10"/>
      <c r="BT62" s="10">
        <v>0.8</v>
      </c>
      <c r="BU62" s="10"/>
      <c r="BV62" s="10">
        <v>0.8</v>
      </c>
      <c r="BZ62" s="10"/>
      <c r="CA62" s="10">
        <v>0.8</v>
      </c>
      <c r="CB62" s="10"/>
      <c r="CC62" s="10">
        <v>0.8</v>
      </c>
      <c r="CG62" s="10"/>
      <c r="CH62" s="10">
        <v>1</v>
      </c>
      <c r="CI62" s="10"/>
      <c r="CJ62" s="10">
        <v>1</v>
      </c>
      <c r="CN62" s="10"/>
      <c r="CO62" s="10"/>
      <c r="CP62" s="10"/>
      <c r="CQ62" s="10"/>
      <c r="CU62" s="10"/>
      <c r="CV62" s="10"/>
      <c r="CW62" s="10"/>
      <c r="CX62" s="10"/>
      <c r="DB62" s="10"/>
      <c r="DC62" s="10"/>
      <c r="DD62" s="10"/>
      <c r="DE62" s="10"/>
      <c r="DI62" s="10"/>
      <c r="DJ62" s="10"/>
      <c r="DK62" s="10"/>
      <c r="DL62" s="10"/>
      <c r="DP62" s="10"/>
      <c r="DQ62" s="10"/>
      <c r="DR62" s="10"/>
      <c r="DS62" s="10"/>
    </row>
    <row r="63" spans="2:123" outlineLevel="1">
      <c r="B63" t="s">
        <v>28</v>
      </c>
      <c r="C63" t="s">
        <v>160</v>
      </c>
      <c r="E63" s="9"/>
      <c r="F63" t="s">
        <v>158</v>
      </c>
      <c r="G63" s="10">
        <v>0.1</v>
      </c>
      <c r="I63" s="9">
        <f t="shared" si="3"/>
        <v>0</v>
      </c>
      <c r="J63" s="11" cm="1">
        <f t="array" ref="J63">MAX(IF($N$3:$DZ$3=$J$3,N63:DZ63))</f>
        <v>0</v>
      </c>
      <c r="K63" s="11" cm="1">
        <f t="array" ref="K63">MAX(IF($N$3:$DZ$3=$J$3,N63:DZ63))</f>
        <v>0</v>
      </c>
      <c r="L63" s="9"/>
      <c r="O63" s="10"/>
      <c r="P63" s="10"/>
      <c r="Q63" s="10"/>
      <c r="R63" s="10"/>
      <c r="V63" s="10"/>
      <c r="W63" s="10"/>
      <c r="X63" s="10"/>
      <c r="Y63" s="10"/>
      <c r="AC63" s="10"/>
      <c r="AD63" s="10"/>
      <c r="AE63" s="10"/>
      <c r="AF63" s="10"/>
      <c r="AJ63" s="10"/>
      <c r="AK63" s="10"/>
      <c r="AL63" s="10"/>
      <c r="AM63" s="10"/>
      <c r="AQ63" s="10"/>
      <c r="AR63" s="10"/>
      <c r="AS63" s="10"/>
      <c r="AT63" s="10"/>
      <c r="AX63" s="10"/>
      <c r="AY63" s="10">
        <v>0.5</v>
      </c>
      <c r="AZ63" s="10"/>
      <c r="BA63" s="10">
        <v>0.5</v>
      </c>
      <c r="BE63" s="10"/>
      <c r="BF63" s="10">
        <v>0.5</v>
      </c>
      <c r="BG63" s="10"/>
      <c r="BH63" s="10">
        <v>0.5</v>
      </c>
      <c r="BL63" s="10"/>
      <c r="BM63" s="10">
        <v>0.5</v>
      </c>
      <c r="BN63" s="10"/>
      <c r="BO63" s="10">
        <v>0.5</v>
      </c>
      <c r="BS63" s="10"/>
      <c r="BT63" s="10">
        <v>0.8</v>
      </c>
      <c r="BU63" s="10"/>
      <c r="BV63" s="10">
        <v>0.8</v>
      </c>
      <c r="BZ63" s="10"/>
      <c r="CA63" s="10">
        <v>0.8</v>
      </c>
      <c r="CB63" s="10"/>
      <c r="CC63" s="10">
        <v>0.8</v>
      </c>
      <c r="CG63" s="10"/>
      <c r="CH63" s="10">
        <v>1</v>
      </c>
      <c r="CI63" s="10"/>
      <c r="CJ63" s="10">
        <v>1</v>
      </c>
      <c r="CN63" s="10"/>
      <c r="CO63" s="10"/>
      <c r="CP63" s="10"/>
      <c r="CQ63" s="10"/>
      <c r="CU63" s="10"/>
      <c r="CV63" s="10"/>
      <c r="CW63" s="10"/>
      <c r="CX63" s="10"/>
      <c r="DB63" s="10"/>
      <c r="DC63" s="10"/>
      <c r="DD63" s="10"/>
      <c r="DE63" s="10"/>
      <c r="DI63" s="10"/>
      <c r="DJ63" s="10"/>
      <c r="DK63" s="10"/>
      <c r="DL63" s="10"/>
      <c r="DP63" s="10"/>
      <c r="DQ63" s="10"/>
      <c r="DR63" s="10"/>
      <c r="DS63" s="10"/>
    </row>
    <row r="64" spans="2:123" outlineLevel="1">
      <c r="B64" t="s">
        <v>28</v>
      </c>
      <c r="C64" t="s">
        <v>160</v>
      </c>
      <c r="E64" s="9"/>
      <c r="F64" t="s">
        <v>159</v>
      </c>
      <c r="G64" s="10">
        <v>0.1</v>
      </c>
      <c r="I64" s="9">
        <f t="shared" si="3"/>
        <v>0</v>
      </c>
      <c r="J64" s="11" cm="1">
        <f t="array" ref="J64">MAX(IF($N$3:$DZ$3=$J$3,N64:DZ64))</f>
        <v>0</v>
      </c>
      <c r="K64" s="11" cm="1">
        <f t="array" ref="K64">MAX(IF($N$3:$DZ$3=$J$3,N64:DZ64))</f>
        <v>0</v>
      </c>
      <c r="L64" s="9"/>
      <c r="O64" s="10"/>
      <c r="P64" s="10"/>
      <c r="Q64" s="10"/>
      <c r="R64" s="10"/>
      <c r="V64" s="10"/>
      <c r="W64" s="10"/>
      <c r="X64" s="10"/>
      <c r="Y64" s="10"/>
      <c r="AC64" s="10"/>
      <c r="AD64" s="10"/>
      <c r="AE64" s="10"/>
      <c r="AF64" s="10"/>
      <c r="AJ64" s="10"/>
      <c r="AK64" s="10"/>
      <c r="AL64" s="10"/>
      <c r="AM64" s="10"/>
      <c r="AQ64" s="10"/>
      <c r="AR64" s="10"/>
      <c r="AS64" s="10"/>
      <c r="AT64" s="10"/>
      <c r="AX64" s="10"/>
      <c r="AY64" s="10">
        <v>0.5</v>
      </c>
      <c r="AZ64" s="10"/>
      <c r="BA64" s="10">
        <v>0.5</v>
      </c>
      <c r="BE64" s="10"/>
      <c r="BF64" s="10">
        <v>0.5</v>
      </c>
      <c r="BG64" s="10"/>
      <c r="BH64" s="10">
        <v>0.5</v>
      </c>
      <c r="BL64" s="10"/>
      <c r="BM64" s="10">
        <v>0.5</v>
      </c>
      <c r="BN64" s="10"/>
      <c r="BO64" s="10">
        <v>0.5</v>
      </c>
      <c r="BS64" s="10"/>
      <c r="BT64" s="10">
        <v>0.8</v>
      </c>
      <c r="BU64" s="10"/>
      <c r="BV64" s="10">
        <v>0.8</v>
      </c>
      <c r="BZ64" s="10"/>
      <c r="CA64" s="10">
        <v>0.8</v>
      </c>
      <c r="CB64" s="10"/>
      <c r="CC64" s="10">
        <v>0.8</v>
      </c>
      <c r="CG64" s="10"/>
      <c r="CH64" s="10">
        <v>1</v>
      </c>
      <c r="CI64" s="10"/>
      <c r="CJ64" s="10">
        <v>1</v>
      </c>
      <c r="CN64" s="10"/>
      <c r="CO64" s="10"/>
      <c r="CP64" s="10"/>
      <c r="CQ64" s="10"/>
      <c r="CU64" s="10"/>
      <c r="CV64" s="10"/>
      <c r="CW64" s="10"/>
      <c r="CX64" s="10"/>
      <c r="DB64" s="10"/>
      <c r="DC64" s="10"/>
      <c r="DD64" s="10"/>
      <c r="DE64" s="10"/>
      <c r="DI64" s="10"/>
      <c r="DJ64" s="10"/>
      <c r="DK64" s="10"/>
      <c r="DL64" s="10"/>
      <c r="DP64" s="10"/>
      <c r="DQ64" s="10"/>
      <c r="DR64" s="10"/>
      <c r="DS64" s="10"/>
    </row>
    <row r="66" spans="39:39">
      <c r="AM66" s="10"/>
    </row>
  </sheetData>
  <mergeCells count="17">
    <mergeCell ref="CF2:CK2"/>
    <mergeCell ref="CM2:CR2"/>
    <mergeCell ref="DH2:DM2"/>
    <mergeCell ref="DO2:DT2"/>
    <mergeCell ref="I2:L2"/>
    <mergeCell ref="N2:S2"/>
    <mergeCell ref="BD2:BI2"/>
    <mergeCell ref="U2:Z2"/>
    <mergeCell ref="AB2:AG2"/>
    <mergeCell ref="AI2:AN2"/>
    <mergeCell ref="AP2:AU2"/>
    <mergeCell ref="AW2:BB2"/>
    <mergeCell ref="CT2:CY2"/>
    <mergeCell ref="DA2:DF2"/>
    <mergeCell ref="BK2:BP2"/>
    <mergeCell ref="BR2:BW2"/>
    <mergeCell ref="BY2:CD2"/>
  </mergeCells>
  <conditionalFormatting sqref="J5:J16">
    <cfRule type="colorScale" priority="656">
      <colorScale>
        <cfvo type="percent" val="0"/>
        <cfvo type="percent" val="100"/>
        <color rgb="FFFF231B"/>
        <color rgb="FF10FF07"/>
      </colorScale>
    </cfRule>
  </conditionalFormatting>
  <conditionalFormatting sqref="J20">
    <cfRule type="colorScale" priority="204">
      <colorScale>
        <cfvo type="percent" val="0"/>
        <cfvo type="percent" val="100"/>
        <color rgb="FFFF231B"/>
        <color rgb="FF10FF07"/>
      </colorScale>
    </cfRule>
  </conditionalFormatting>
  <conditionalFormatting sqref="J21">
    <cfRule type="colorScale" priority="185">
      <colorScale>
        <cfvo type="percent" val="0"/>
        <cfvo type="percent" val="100"/>
        <color rgb="FFFF231B"/>
        <color rgb="FF10FF07"/>
      </colorScale>
    </cfRule>
  </conditionalFormatting>
  <conditionalFormatting sqref="J22">
    <cfRule type="colorScale" priority="56">
      <colorScale>
        <cfvo type="percent" val="0"/>
        <cfvo type="percent" val="100"/>
        <color rgb="FFFF231B"/>
        <color rgb="FF10FF07"/>
      </colorScale>
    </cfRule>
  </conditionalFormatting>
  <conditionalFormatting sqref="J23">
    <cfRule type="colorScale" priority="54">
      <colorScale>
        <cfvo type="percent" val="0"/>
        <cfvo type="percent" val="100"/>
        <color rgb="FFFF231B"/>
        <color rgb="FF10FF07"/>
      </colorScale>
    </cfRule>
  </conditionalFormatting>
  <conditionalFormatting sqref="J24">
    <cfRule type="colorScale" priority="52">
      <colorScale>
        <cfvo type="percent" val="0"/>
        <cfvo type="percent" val="100"/>
        <color rgb="FFFF231B"/>
        <color rgb="FF10FF07"/>
      </colorScale>
    </cfRule>
  </conditionalFormatting>
  <conditionalFormatting sqref="J25">
    <cfRule type="colorScale" priority="50">
      <colorScale>
        <cfvo type="percent" val="0"/>
        <cfvo type="percent" val="100"/>
        <color rgb="FFFF231B"/>
        <color rgb="FF10FF07"/>
      </colorScale>
    </cfRule>
  </conditionalFormatting>
  <conditionalFormatting sqref="J26">
    <cfRule type="colorScale" priority="48">
      <colorScale>
        <cfvo type="percent" val="0"/>
        <cfvo type="percent" val="100"/>
        <color rgb="FFFF231B"/>
        <color rgb="FF10FF07"/>
      </colorScale>
    </cfRule>
  </conditionalFormatting>
  <conditionalFormatting sqref="J27">
    <cfRule type="colorScale" priority="46">
      <colorScale>
        <cfvo type="percent" val="0"/>
        <cfvo type="percent" val="100"/>
        <color rgb="FFFF231B"/>
        <color rgb="FF10FF07"/>
      </colorScale>
    </cfRule>
  </conditionalFormatting>
  <conditionalFormatting sqref="J28">
    <cfRule type="colorScale" priority="44">
      <colorScale>
        <cfvo type="percent" val="0"/>
        <cfvo type="percent" val="100"/>
        <color rgb="FFFF231B"/>
        <color rgb="FF10FF07"/>
      </colorScale>
    </cfRule>
  </conditionalFormatting>
  <conditionalFormatting sqref="J29:J38 J19">
    <cfRule type="colorScale" priority="438">
      <colorScale>
        <cfvo type="percent" val="0"/>
        <cfvo type="percent" val="100"/>
        <color rgb="FFFF231B"/>
        <color rgb="FF10FF07"/>
      </colorScale>
    </cfRule>
  </conditionalFormatting>
  <conditionalFormatting sqref="J41:J51">
    <cfRule type="colorScale" priority="752">
      <colorScale>
        <cfvo type="percent" val="0"/>
        <cfvo type="percent" val="100"/>
        <color rgb="FFFF231B"/>
        <color rgb="FF10FF07"/>
      </colorScale>
    </cfRule>
  </conditionalFormatting>
  <conditionalFormatting sqref="J54:J64">
    <cfRule type="colorScale" priority="749">
      <colorScale>
        <cfvo type="percent" val="0"/>
        <cfvo type="percent" val="100"/>
        <color rgb="FFFF231B"/>
        <color rgb="FF10FF07"/>
      </colorScale>
    </cfRule>
  </conditionalFormatting>
  <conditionalFormatting sqref="J6:K16">
    <cfRule type="colorScale" priority="627">
      <colorScale>
        <cfvo type="percent" val="0"/>
        <cfvo type="percent" val="100"/>
        <color rgb="FFFF231B"/>
        <color rgb="FF10FF07"/>
      </colorScale>
    </cfRule>
  </conditionalFormatting>
  <conditionalFormatting sqref="J20:K20">
    <cfRule type="colorScale" priority="205">
      <colorScale>
        <cfvo type="percent" val="0"/>
        <cfvo type="percent" val="100"/>
        <color rgb="FFFF231B"/>
        <color rgb="FF10FF07"/>
      </colorScale>
    </cfRule>
  </conditionalFormatting>
  <conditionalFormatting sqref="J21:K21">
    <cfRule type="colorScale" priority="186">
      <colorScale>
        <cfvo type="percent" val="0"/>
        <cfvo type="percent" val="100"/>
        <color rgb="FFFF231B"/>
        <color rgb="FF10FF07"/>
      </colorScale>
    </cfRule>
  </conditionalFormatting>
  <conditionalFormatting sqref="J38:K38">
    <cfRule type="colorScale" priority="439">
      <colorScale>
        <cfvo type="percent" val="0"/>
        <cfvo type="percent" val="100"/>
        <color rgb="FFFF231B"/>
        <color rgb="FF10FF07"/>
      </colorScale>
    </cfRule>
  </conditionalFormatting>
  <conditionalFormatting sqref="J42:K51">
    <cfRule type="colorScale" priority="753">
      <colorScale>
        <cfvo type="percent" val="0"/>
        <cfvo type="percent" val="100"/>
        <color rgb="FFFF231B"/>
        <color rgb="FF10FF07"/>
      </colorScale>
    </cfRule>
  </conditionalFormatting>
  <conditionalFormatting sqref="J55:K64">
    <cfRule type="colorScale" priority="747">
      <colorScale>
        <cfvo type="percent" val="0"/>
        <cfvo type="percent" val="100"/>
        <color rgb="FFFF231B"/>
        <color rgb="FF10FF07"/>
      </colorScale>
    </cfRule>
  </conditionalFormatting>
  <conditionalFormatting sqref="K5:K16">
    <cfRule type="colorScale" priority="657">
      <colorScale>
        <cfvo type="percent" val="0"/>
        <cfvo type="percent" val="100"/>
        <color rgb="FFFF231B"/>
        <color rgb="FF10FF07"/>
      </colorScale>
    </cfRule>
  </conditionalFormatting>
  <conditionalFormatting sqref="K20">
    <cfRule type="colorScale" priority="203">
      <colorScale>
        <cfvo type="percent" val="0"/>
        <cfvo type="percent" val="100"/>
        <color rgb="FFFF231B"/>
        <color rgb="FF10FF07"/>
      </colorScale>
    </cfRule>
  </conditionalFormatting>
  <conditionalFormatting sqref="K21">
    <cfRule type="colorScale" priority="184">
      <colorScale>
        <cfvo type="percent" val="0"/>
        <cfvo type="percent" val="100"/>
        <color rgb="FFFF231B"/>
        <color rgb="FF10FF07"/>
      </colorScale>
    </cfRule>
  </conditionalFormatting>
  <conditionalFormatting sqref="K22">
    <cfRule type="colorScale" priority="55">
      <colorScale>
        <cfvo type="percent" val="0"/>
        <cfvo type="percent" val="100"/>
        <color rgb="FFFF231B"/>
        <color rgb="FF10FF07"/>
      </colorScale>
    </cfRule>
  </conditionalFormatting>
  <conditionalFormatting sqref="K23">
    <cfRule type="colorScale" priority="53">
      <colorScale>
        <cfvo type="percent" val="0"/>
        <cfvo type="percent" val="100"/>
        <color rgb="FFFF231B"/>
        <color rgb="FF10FF07"/>
      </colorScale>
    </cfRule>
  </conditionalFormatting>
  <conditionalFormatting sqref="K24">
    <cfRule type="colorScale" priority="51">
      <colorScale>
        <cfvo type="percent" val="0"/>
        <cfvo type="percent" val="100"/>
        <color rgb="FFFF231B"/>
        <color rgb="FF10FF07"/>
      </colorScale>
    </cfRule>
  </conditionalFormatting>
  <conditionalFormatting sqref="K25">
    <cfRule type="colorScale" priority="49">
      <colorScale>
        <cfvo type="percent" val="0"/>
        <cfvo type="percent" val="100"/>
        <color rgb="FFFF231B"/>
        <color rgb="FF10FF07"/>
      </colorScale>
    </cfRule>
  </conditionalFormatting>
  <conditionalFormatting sqref="K26">
    <cfRule type="colorScale" priority="47">
      <colorScale>
        <cfvo type="percent" val="0"/>
        <cfvo type="percent" val="100"/>
        <color rgb="FFFF231B"/>
        <color rgb="FF10FF07"/>
      </colorScale>
    </cfRule>
  </conditionalFormatting>
  <conditionalFormatting sqref="K27">
    <cfRule type="colorScale" priority="45">
      <colorScale>
        <cfvo type="percent" val="0"/>
        <cfvo type="percent" val="100"/>
        <color rgb="FFFF231B"/>
        <color rgb="FF10FF07"/>
      </colorScale>
    </cfRule>
  </conditionalFormatting>
  <conditionalFormatting sqref="K28">
    <cfRule type="colorScale" priority="43">
      <colorScale>
        <cfvo type="percent" val="0"/>
        <cfvo type="percent" val="100"/>
        <color rgb="FFFF231B"/>
        <color rgb="FF10FF07"/>
      </colorScale>
    </cfRule>
  </conditionalFormatting>
  <conditionalFormatting sqref="K29:K38 K19">
    <cfRule type="colorScale" priority="437">
      <colorScale>
        <cfvo type="percent" val="0"/>
        <cfvo type="percent" val="100"/>
        <color rgb="FFFF231B"/>
        <color rgb="FF10FF07"/>
      </colorScale>
    </cfRule>
  </conditionalFormatting>
  <conditionalFormatting sqref="K41:K51">
    <cfRule type="colorScale" priority="754">
      <colorScale>
        <cfvo type="percent" val="0"/>
        <cfvo type="percent" val="100"/>
        <color rgb="FFFF231B"/>
        <color rgb="FF10FF07"/>
      </colorScale>
    </cfRule>
  </conditionalFormatting>
  <conditionalFormatting sqref="K54:K64">
    <cfRule type="colorScale" priority="751">
      <colorScale>
        <cfvo type="percent" val="0"/>
        <cfvo type="percent" val="100"/>
        <color rgb="FFFF231B"/>
        <color rgb="FF10FF07"/>
      </colorScale>
    </cfRule>
  </conditionalFormatting>
  <conditionalFormatting sqref="O5:O16 Q5:Q16 V5:V16 X5:X16 AC5:AC16 AE5:AE16 AJ5:AJ16 AL5:AL16 AQ5:AQ16 AS5:AS16 AX5:AX16 AZ5:AZ16 BE5:BE16 BG5:BG16 BL5:BL16 BN5:BN16 O41:O51 Q41:Q51 V41:V51 X41:X51 AC41:AC51 AE41:AE51 AJ41:AJ51 AL41:AL51 AQ41:AQ51 AS41:AS51 AX41:AX51 AZ41:AZ51 BE41:BE51 BG41:BG51 BL41:BL51 BN41:BN51 BS41:BS51 BU41:BU51 BZ41:BZ51 CB41:CB51 CN41:CN51 CP41:CP51 CU41:CU51 CW41:CW51 DB41:DB51 DD41:DD51 AL54:AL64">
    <cfRule type="expression" dxfId="137" priority="625">
      <formula>IF(O5&gt;=P5,IF(O5="",FALSE,TRUE))</formula>
    </cfRule>
    <cfRule type="expression" dxfId="136" priority="624">
      <formula>OR(IF(O5&lt;P5,TRUE),IF(AND(P5="",O5&lt;&gt;""),TRUE))</formula>
    </cfRule>
  </conditionalFormatting>
  <conditionalFormatting sqref="O19:O38">
    <cfRule type="expression" dxfId="135" priority="4">
      <formula>IF(O19&gt;=P19,IF(O19="",FALSE,TRUE))</formula>
    </cfRule>
    <cfRule type="expression" dxfId="134" priority="3">
      <formula>OR(IF(O19&lt;P19,TRUE),IF(AND(P19="",O19&lt;&gt;""),TRUE))</formula>
    </cfRule>
  </conditionalFormatting>
  <conditionalFormatting sqref="O54:O64">
    <cfRule type="expression" dxfId="133" priority="353">
      <formula>IF(O54&gt;=P54,IF(O54="",FALSE,TRUE))</formula>
    </cfRule>
    <cfRule type="expression" dxfId="132" priority="352">
      <formula>OR(IF(O54&lt;P54,TRUE),IF(AND(P54="",O54&lt;&gt;""),TRUE))</formula>
    </cfRule>
  </conditionalFormatting>
  <conditionalFormatting sqref="Q19:Q38">
    <cfRule type="expression" dxfId="131" priority="199">
      <formula>OR(IF(Q19&lt;R19,TRUE),IF(AND(R19="",Q19&lt;&gt;""),TRUE))</formula>
    </cfRule>
    <cfRule type="expression" dxfId="130" priority="200">
      <formula>IF(Q19&gt;=R19,IF(Q19="",FALSE,TRUE))</formula>
    </cfRule>
  </conditionalFormatting>
  <conditionalFormatting sqref="Q54:Q64">
    <cfRule type="expression" dxfId="129" priority="350">
      <formula>OR(IF(Q54&lt;R54,TRUE),IF(AND(R54="",Q54&lt;&gt;""),TRUE))</formula>
    </cfRule>
    <cfRule type="expression" dxfId="128" priority="351">
      <formula>IF(Q54&gt;=R54,IF(Q54="",FALSE,TRUE))</formula>
    </cfRule>
  </conditionalFormatting>
  <conditionalFormatting sqref="V19:V38 X19:X38">
    <cfRule type="expression" dxfId="127" priority="197">
      <formula>OR(IF(V19&lt;W19,TRUE),IF(AND(W19="",V19&lt;&gt;""),TRUE))</formula>
    </cfRule>
    <cfRule type="expression" dxfId="126" priority="198">
      <formula>IF(V19&gt;=W19,IF(V19="",FALSE,TRUE))</formula>
    </cfRule>
  </conditionalFormatting>
  <conditionalFormatting sqref="V54:V64">
    <cfRule type="expression" dxfId="125" priority="345">
      <formula>IF(V54&gt;=W54,IF(V54="",FALSE,TRUE))</formula>
    </cfRule>
    <cfRule type="expression" dxfId="124" priority="344">
      <formula>OR(IF(V54&lt;W54,TRUE),IF(AND(W54="",V54&lt;&gt;""),TRUE))</formula>
    </cfRule>
  </conditionalFormatting>
  <conditionalFormatting sqref="X54:X64">
    <cfRule type="expression" dxfId="123" priority="343">
      <formula>IF(X54&gt;=Y54,IF(X54="",FALSE,TRUE))</formula>
    </cfRule>
    <cfRule type="expression" dxfId="122" priority="342">
      <formula>OR(IF(X54&lt;Y54,TRUE),IF(AND(Y54="",X54&lt;&gt;""),TRUE))</formula>
    </cfRule>
  </conditionalFormatting>
  <conditionalFormatting sqref="AC19:AC38 AE19:AE38">
    <cfRule type="expression" dxfId="121" priority="195">
      <formula>OR(IF(AC19&lt;AD19,TRUE),IF(AND(AD19="",AC19&lt;&gt;""),TRUE))</formula>
    </cfRule>
    <cfRule type="expression" dxfId="120" priority="196">
      <formula>IF(AC19&gt;=AD19,IF(AC19="",FALSE,TRUE))</formula>
    </cfRule>
  </conditionalFormatting>
  <conditionalFormatting sqref="AC54:AC64">
    <cfRule type="expression" dxfId="119" priority="336">
      <formula>OR(IF(AC54&lt;AD54,TRUE),IF(AND(AD54="",AC54&lt;&gt;""),TRUE))</formula>
    </cfRule>
    <cfRule type="expression" dxfId="118" priority="337">
      <formula>IF(AC54&gt;=AD54,IF(AC54="",FALSE,TRUE))</formula>
    </cfRule>
  </conditionalFormatting>
  <conditionalFormatting sqref="AE54:AE64">
    <cfRule type="expression" dxfId="117" priority="334">
      <formula>OR(IF(AE54&lt;AF54,TRUE),IF(AND(AF54="",AE54&lt;&gt;""),TRUE))</formula>
    </cfRule>
    <cfRule type="expression" dxfId="116" priority="335">
      <formula>IF(AE54&gt;=AF54,IF(AE54="",FALSE,TRUE))</formula>
    </cfRule>
  </conditionalFormatting>
  <conditionalFormatting sqref="AJ19:AJ38 AL19:AL38">
    <cfRule type="expression" dxfId="115" priority="193">
      <formula>OR(IF(AJ19&lt;AK19,TRUE),IF(AND(AK19="",AJ19&lt;&gt;""),TRUE))</formula>
    </cfRule>
    <cfRule type="expression" dxfId="114" priority="194">
      <formula>IF(AJ19&gt;=AK19,IF(AJ19="",FALSE,TRUE))</formula>
    </cfRule>
  </conditionalFormatting>
  <conditionalFormatting sqref="AJ54:AJ64">
    <cfRule type="expression" dxfId="113" priority="329">
      <formula>IF(AJ54&gt;=AK54,IF(AJ54="",FALSE,TRUE))</formula>
    </cfRule>
    <cfRule type="expression" dxfId="112" priority="328">
      <formula>OR(IF(AJ54&lt;AK54,TRUE),IF(AND(AK54="",AJ54&lt;&gt;""),TRUE))</formula>
    </cfRule>
  </conditionalFormatting>
  <conditionalFormatting sqref="AQ19:AQ38 AS19:AS38">
    <cfRule type="expression" dxfId="109" priority="191">
      <formula>OR(IF(AQ19&lt;AR19,TRUE),IF(AND(AR19="",AQ19&lt;&gt;""),TRUE))</formula>
    </cfRule>
    <cfRule type="expression" dxfId="108" priority="192">
      <formula>IF(AQ19&gt;=AR19,IF(AQ19="",FALSE,TRUE))</formula>
    </cfRule>
  </conditionalFormatting>
  <conditionalFormatting sqref="AQ54:AQ64">
    <cfRule type="expression" dxfId="107" priority="321">
      <formula>IF(AQ54&gt;=AR54,IF(AQ54="",FALSE,TRUE))</formula>
    </cfRule>
    <cfRule type="expression" dxfId="106" priority="320">
      <formula>OR(IF(AQ54&lt;AR54,TRUE),IF(AND(AR54="",AQ54&lt;&gt;""),TRUE))</formula>
    </cfRule>
  </conditionalFormatting>
  <conditionalFormatting sqref="AS54:AS64">
    <cfRule type="expression" dxfId="105" priority="319">
      <formula>IF(AS54&gt;=AT54,IF(AS54="",FALSE,TRUE))</formula>
    </cfRule>
    <cfRule type="expression" dxfId="104" priority="318">
      <formula>OR(IF(AS54&lt;AT54,TRUE),IF(AND(AT54="",AS54&lt;&gt;""),TRUE))</formula>
    </cfRule>
  </conditionalFormatting>
  <conditionalFormatting sqref="AX19:AX38 AZ19:AZ38">
    <cfRule type="expression" dxfId="103" priority="189">
      <formula>OR(IF(AX19&lt;AY19,TRUE),IF(AND(AY19="",AX19&lt;&gt;""),TRUE))</formula>
    </cfRule>
    <cfRule type="expression" dxfId="102" priority="190">
      <formula>IF(AX19&gt;=AY19,IF(AX19="",FALSE,TRUE))</formula>
    </cfRule>
  </conditionalFormatting>
  <conditionalFormatting sqref="AX54:AX64">
    <cfRule type="expression" dxfId="101" priority="313">
      <formula>IF(AX54&gt;=AY54,IF(AX54="",FALSE,TRUE))</formula>
    </cfRule>
    <cfRule type="expression" dxfId="100" priority="312">
      <formula>OR(IF(AX54&lt;AY54,TRUE),IF(AND(AY54="",AX54&lt;&gt;""),TRUE))</formula>
    </cfRule>
  </conditionalFormatting>
  <conditionalFormatting sqref="AZ54:AZ64">
    <cfRule type="expression" dxfId="99" priority="311">
      <formula>IF(AZ54&gt;=BA54,IF(AZ54="",FALSE,TRUE))</formula>
    </cfRule>
    <cfRule type="expression" dxfId="98" priority="310">
      <formula>OR(IF(AZ54&lt;BA54,TRUE),IF(AND(BA54="",AZ54&lt;&gt;""),TRUE))</formula>
    </cfRule>
  </conditionalFormatting>
  <conditionalFormatting sqref="BE19:BE38 BG19:BG38">
    <cfRule type="expression" dxfId="97" priority="5">
      <formula>OR(IF(BE19&lt;BF19,TRUE),IF(AND(BF19="",BE19&lt;&gt;""),TRUE))</formula>
    </cfRule>
    <cfRule type="expression" dxfId="96" priority="6">
      <formula>IF(BE19&gt;=BF19,IF(BE19="",FALSE,TRUE))</formula>
    </cfRule>
  </conditionalFormatting>
  <conditionalFormatting sqref="BE54:BE64">
    <cfRule type="expression" dxfId="95" priority="9">
      <formula>OR(IF(BE54&lt;BF54,TRUE),IF(AND(BF54="",BE54&lt;&gt;""),TRUE))</formula>
    </cfRule>
    <cfRule type="expression" dxfId="94" priority="10">
      <formula>IF(BE54&gt;=BF54,IF(BE54="",FALSE,TRUE))</formula>
    </cfRule>
  </conditionalFormatting>
  <conditionalFormatting sqref="BG54:BG64">
    <cfRule type="expression" dxfId="93" priority="7">
      <formula>OR(IF(BG54&lt;BH54,TRUE),IF(AND(BH54="",BG54&lt;&gt;""),TRUE))</formula>
    </cfRule>
    <cfRule type="expression" dxfId="92" priority="8">
      <formula>IF(BG54&gt;=BH54,IF(BG54="",FALSE,TRUE))</formula>
    </cfRule>
  </conditionalFormatting>
  <conditionalFormatting sqref="BL19:BL38 BN19:BN38">
    <cfRule type="expression" dxfId="91" priority="182">
      <formula>OR(IF(BL19&lt;BM19,TRUE),IF(AND(BM19="",BL19&lt;&gt;""),TRUE))</formula>
    </cfRule>
    <cfRule type="expression" dxfId="90" priority="183">
      <formula>IF(BL19&gt;=BM19,IF(BL19="",FALSE,TRUE))</formula>
    </cfRule>
  </conditionalFormatting>
  <conditionalFormatting sqref="BL54:BL64">
    <cfRule type="expression" dxfId="89" priority="293">
      <formula>OR(IF(BL54&lt;BM54,TRUE),IF(AND(BM54="",BL54&lt;&gt;""),TRUE))</formula>
    </cfRule>
    <cfRule type="expression" dxfId="88" priority="294">
      <formula>IF(BL54&gt;=BM54,IF(BL54="",FALSE,TRUE))</formula>
    </cfRule>
  </conditionalFormatting>
  <conditionalFormatting sqref="BN54:BN64">
    <cfRule type="expression" dxfId="87" priority="292">
      <formula>IF(BN54&gt;=BO54,IF(BN54="",FALSE,TRUE))</formula>
    </cfRule>
    <cfRule type="expression" dxfId="86" priority="291">
      <formula>OR(IF(BN54&lt;BO54,TRUE),IF(AND(BO54="",BN54&lt;&gt;""),TRUE))</formula>
    </cfRule>
  </conditionalFormatting>
  <conditionalFormatting sqref="BS5:BS16 BU5:BU16">
    <cfRule type="expression" dxfId="85" priority="180">
      <formula>OR(IF(BS5&lt;BT5,TRUE),IF(AND(BT5="",BS5&lt;&gt;""),TRUE))</formula>
    </cfRule>
    <cfRule type="expression" dxfId="84" priority="181">
      <formula>IF(BS5&gt;=BT5,IF(BS5="",FALSE,TRUE))</formula>
    </cfRule>
  </conditionalFormatting>
  <conditionalFormatting sqref="BS19:BS38 BU19:BU38">
    <cfRule type="expression" dxfId="83" priority="163">
      <formula>IF(BS19&gt;=BT19,IF(BS19="",FALSE,TRUE))</formula>
    </cfRule>
    <cfRule type="expression" dxfId="82" priority="162">
      <formula>OR(IF(BS19&lt;BT19,TRUE),IF(AND(BT19="",BS19&lt;&gt;""),TRUE))</formula>
    </cfRule>
  </conditionalFormatting>
  <conditionalFormatting sqref="BS54:BS64">
    <cfRule type="expression" dxfId="81" priority="168">
      <formula>OR(IF(BS54&lt;BT54,TRUE),IF(AND(BT54="",BS54&lt;&gt;""),TRUE))</formula>
    </cfRule>
    <cfRule type="expression" dxfId="80" priority="169">
      <formula>IF(BS54&gt;=BT54,IF(BS54="",FALSE,TRUE))</formula>
    </cfRule>
  </conditionalFormatting>
  <conditionalFormatting sqref="BU54:BU64">
    <cfRule type="expression" dxfId="79" priority="166">
      <formula>OR(IF(BU54&lt;BV54,TRUE),IF(AND(BV54="",BU54&lt;&gt;""),TRUE))</formula>
    </cfRule>
    <cfRule type="expression" dxfId="78" priority="167">
      <formula>IF(BU54&gt;=BV54,IF(BU54="",FALSE,TRUE))</formula>
    </cfRule>
  </conditionalFormatting>
  <conditionalFormatting sqref="BZ5:BZ16">
    <cfRule type="expression" dxfId="77" priority="160">
      <formula>OR(IF(BZ5&lt;CA5,TRUE),IF(AND(CA5="",BZ5&lt;&gt;""),TRUE))</formula>
    </cfRule>
    <cfRule type="expression" dxfId="76" priority="161">
      <formula>IF(BZ5&gt;=CA5,IF(BZ5="",FALSE,TRUE))</formula>
    </cfRule>
  </conditionalFormatting>
  <conditionalFormatting sqref="BZ19:BZ38 CB19:CB38">
    <cfRule type="expression" dxfId="75" priority="143">
      <formula>IF(BZ19&gt;=CA19,IF(BZ19="",FALSE,TRUE))</formula>
    </cfRule>
    <cfRule type="expression" dxfId="74" priority="142">
      <formula>OR(IF(BZ19&lt;CA19,TRUE),IF(AND(CA19="",BZ19&lt;&gt;""),TRUE))</formula>
    </cfRule>
  </conditionalFormatting>
  <conditionalFormatting sqref="BZ54:BZ64">
    <cfRule type="expression" dxfId="73" priority="148">
      <formula>OR(IF(BZ54&lt;CA54,TRUE),IF(AND(CA54="",BZ54&lt;&gt;""),TRUE))</formula>
    </cfRule>
    <cfRule type="expression" dxfId="72" priority="149">
      <formula>IF(BZ54&gt;=CA54,IF(BZ54="",FALSE,TRUE))</formula>
    </cfRule>
  </conditionalFormatting>
  <conditionalFormatting sqref="CB5:CB16">
    <cfRule type="expression" dxfId="71" priority="61">
      <formula>IF(CB5&gt;=CC5,IF(CB5="",FALSE,TRUE))</formula>
    </cfRule>
    <cfRule type="expression" dxfId="70" priority="60">
      <formula>OR(IF(CB5&lt;CC5,TRUE),IF(AND(CC5="",CB5&lt;&gt;""),TRUE))</formula>
    </cfRule>
  </conditionalFormatting>
  <conditionalFormatting sqref="CB54:CB64">
    <cfRule type="expression" dxfId="69" priority="146">
      <formula>OR(IF(CB54&lt;CC54,TRUE),IF(AND(CC54="",CB54&lt;&gt;""),TRUE))</formula>
    </cfRule>
    <cfRule type="expression" dxfId="68" priority="147">
      <formula>IF(CB54&gt;=CC54,IF(CB54="",FALSE,TRUE))</formula>
    </cfRule>
  </conditionalFormatting>
  <conditionalFormatting sqref="CG5:CG16 CI5:CI16">
    <cfRule type="expression" dxfId="67" priority="141">
      <formula>IF(CG5&gt;=CH5,IF(CG5="",FALSE,TRUE))</formula>
    </cfRule>
    <cfRule type="expression" dxfId="66" priority="140">
      <formula>OR(IF(CG5&lt;CH5,TRUE),IF(AND(CH5="",CG5&lt;&gt;""),TRUE))</formula>
    </cfRule>
  </conditionalFormatting>
  <conditionalFormatting sqref="CG19:CG38 CI19:CI38">
    <cfRule type="expression" dxfId="65" priority="123">
      <formula>IF(CG19&gt;=CH19,IF(CG19="",FALSE,TRUE))</formula>
    </cfRule>
    <cfRule type="expression" dxfId="64" priority="122">
      <formula>OR(IF(CG19&lt;CH19,TRUE),IF(AND(CH19="",CG19&lt;&gt;""),TRUE))</formula>
    </cfRule>
  </conditionalFormatting>
  <conditionalFormatting sqref="CG41:CG51 CI41:CI51">
    <cfRule type="expression" dxfId="63" priority="11">
      <formula>OR(IF(CG41&lt;CH41,TRUE),IF(AND(CH41="",CG41&lt;&gt;""),TRUE))</formula>
    </cfRule>
    <cfRule type="expression" dxfId="62" priority="12">
      <formula>IF(CG41&gt;=CH41,IF(CG41="",FALSE,TRUE))</formula>
    </cfRule>
  </conditionalFormatting>
  <conditionalFormatting sqref="CG54:CG64">
    <cfRule type="expression" dxfId="61" priority="128">
      <formula>OR(IF(CG54&lt;CH54,TRUE),IF(AND(CH54="",CG54&lt;&gt;""),TRUE))</formula>
    </cfRule>
    <cfRule type="expression" dxfId="60" priority="129">
      <formula>IF(CG54&gt;=CH54,IF(CG54="",FALSE,TRUE))</formula>
    </cfRule>
  </conditionalFormatting>
  <conditionalFormatting sqref="CI54:CI64">
    <cfRule type="expression" dxfId="59" priority="127">
      <formula>IF(CI54&gt;=CJ54,IF(CI54="",FALSE,TRUE))</formula>
    </cfRule>
    <cfRule type="expression" dxfId="58" priority="126">
      <formula>OR(IF(CI54&lt;CJ54,TRUE),IF(AND(CJ54="",CI54&lt;&gt;""),TRUE))</formula>
    </cfRule>
  </conditionalFormatting>
  <conditionalFormatting sqref="CN5:CN16 CP5:CP16">
    <cfRule type="expression" dxfId="57" priority="121">
      <formula>IF(CN5&gt;=CO5,IF(CN5="",FALSE,TRUE))</formula>
    </cfRule>
    <cfRule type="expression" dxfId="56" priority="120">
      <formula>OR(IF(CN5&lt;CO5,TRUE),IF(AND(CO5="",CN5&lt;&gt;""),TRUE))</formula>
    </cfRule>
  </conditionalFormatting>
  <conditionalFormatting sqref="CN19:CN38 CP19:CP38">
    <cfRule type="expression" dxfId="55" priority="103">
      <formula>IF(CN19&gt;=CO19,IF(CN19="",FALSE,TRUE))</formula>
    </cfRule>
    <cfRule type="expression" dxfId="54" priority="102">
      <formula>OR(IF(CN19&lt;CO19,TRUE),IF(AND(CO19="",CN19&lt;&gt;""),TRUE))</formula>
    </cfRule>
  </conditionalFormatting>
  <conditionalFormatting sqref="CN54:CN64">
    <cfRule type="expression" dxfId="53" priority="109">
      <formula>IF(CN54&gt;=CO54,IF(CN54="",FALSE,TRUE))</formula>
    </cfRule>
    <cfRule type="expression" dxfId="52" priority="108">
      <formula>OR(IF(CN54&lt;CO54,TRUE),IF(AND(CO54="",CN54&lt;&gt;""),TRUE))</formula>
    </cfRule>
  </conditionalFormatting>
  <conditionalFormatting sqref="CP54:CP64">
    <cfRule type="expression" dxfId="51" priority="107">
      <formula>IF(CP54&gt;=CQ54,IF(CP54="",FALSE,TRUE))</formula>
    </cfRule>
    <cfRule type="expression" dxfId="50" priority="106">
      <formula>OR(IF(CP54&lt;CQ54,TRUE),IF(AND(CQ54="",CP54&lt;&gt;""),TRUE))</formula>
    </cfRule>
  </conditionalFormatting>
  <conditionalFormatting sqref="CU5:CU16 CW5:CW16">
    <cfRule type="expression" dxfId="49" priority="101">
      <formula>IF(CU5&gt;=CV5,IF(CU5="",FALSE,TRUE))</formula>
    </cfRule>
    <cfRule type="expression" dxfId="48" priority="100">
      <formula>OR(IF(CU5&lt;CV5,TRUE),IF(AND(CV5="",CU5&lt;&gt;""),TRUE))</formula>
    </cfRule>
  </conditionalFormatting>
  <conditionalFormatting sqref="CU19:CU38 CW19:CW38">
    <cfRule type="expression" dxfId="47" priority="82">
      <formula>OR(IF(CU19&lt;CV19,TRUE),IF(AND(CV19="",CU19&lt;&gt;""),TRUE))</formula>
    </cfRule>
    <cfRule type="expression" dxfId="46" priority="83">
      <formula>IF(CU19&gt;=CV19,IF(CU19="",FALSE,TRUE))</formula>
    </cfRule>
  </conditionalFormatting>
  <conditionalFormatting sqref="CU54:CU64">
    <cfRule type="expression" dxfId="45" priority="89">
      <formula>IF(CU54&gt;=CV54,IF(CU54="",FALSE,TRUE))</formula>
    </cfRule>
    <cfRule type="expression" dxfId="44" priority="88">
      <formula>OR(IF(CU54&lt;CV54,TRUE),IF(AND(CV54="",CU54&lt;&gt;""),TRUE))</formula>
    </cfRule>
  </conditionalFormatting>
  <conditionalFormatting sqref="CW54:CW64">
    <cfRule type="expression" dxfId="43" priority="87">
      <formula>IF(CW54&gt;=CX54,IF(CW54="",FALSE,TRUE))</formula>
    </cfRule>
    <cfRule type="expression" dxfId="42" priority="86">
      <formula>OR(IF(CW54&lt;CX54,TRUE),IF(AND(CX54="",CW54&lt;&gt;""),TRUE))</formula>
    </cfRule>
  </conditionalFormatting>
  <conditionalFormatting sqref="DB5:DB16 DD5:DD16">
    <cfRule type="expression" dxfId="41" priority="80">
      <formula>OR(IF(DB5&lt;DC5,TRUE),IF(AND(DC5="",DB5&lt;&gt;""),TRUE))</formula>
    </cfRule>
    <cfRule type="expression" dxfId="40" priority="81">
      <formula>IF(DB5&gt;=DC5,IF(DB5="",FALSE,TRUE))</formula>
    </cfRule>
  </conditionalFormatting>
  <conditionalFormatting sqref="DB19:DB38 DD19:DD38">
    <cfRule type="expression" dxfId="39" priority="62">
      <formula>OR(IF(DB19&lt;DC19,TRUE),IF(AND(DC19="",DB19&lt;&gt;""),TRUE))</formula>
    </cfRule>
    <cfRule type="expression" dxfId="38" priority="63">
      <formula>IF(DB19&gt;=DC19,IF(DB19="",FALSE,TRUE))</formula>
    </cfRule>
  </conditionalFormatting>
  <conditionalFormatting sqref="DB54:DB64">
    <cfRule type="expression" dxfId="37" priority="69">
      <formula>IF(DB54&gt;=DC54,IF(DB54="",FALSE,TRUE))</formula>
    </cfRule>
    <cfRule type="expression" dxfId="36" priority="68">
      <formula>OR(IF(DB54&lt;DC54,TRUE),IF(AND(DC54="",DB54&lt;&gt;""),TRUE))</formula>
    </cfRule>
  </conditionalFormatting>
  <conditionalFormatting sqref="DD54:DD64">
    <cfRule type="expression" dxfId="35" priority="67">
      <formula>IF(DD54&gt;=DE54,IF(DD54="",FALSE,TRUE))</formula>
    </cfRule>
    <cfRule type="expression" dxfId="34" priority="66">
      <formula>OR(IF(DD54&lt;DE54,TRUE),IF(AND(DE54="",DD54&lt;&gt;""),TRUE))</formula>
    </cfRule>
  </conditionalFormatting>
  <conditionalFormatting sqref="DI5:DI16 DK5:DK16">
    <cfRule type="expression" dxfId="33" priority="39">
      <formula>OR(IF(DI5&lt;DJ5,TRUE),IF(AND(DJ5="",DI5&lt;&gt;""),TRUE))</formula>
    </cfRule>
    <cfRule type="expression" dxfId="32" priority="40">
      <formula>IF(DI5&gt;=DJ5,IF(DI5="",FALSE,TRUE))</formula>
    </cfRule>
  </conditionalFormatting>
  <conditionalFormatting sqref="DI19:DI38 DK19:DK38">
    <cfRule type="expression" dxfId="31" priority="33">
      <formula>OR(IF(DI19&lt;DJ19,TRUE),IF(AND(DJ19="",DI19&lt;&gt;""),TRUE))</formula>
    </cfRule>
    <cfRule type="expression" dxfId="30" priority="34">
      <formula>IF(DI19&gt;=DJ19,IF(DI19="",FALSE,TRUE))</formula>
    </cfRule>
  </conditionalFormatting>
  <conditionalFormatting sqref="DI41:DI51 DK41:DK51">
    <cfRule type="expression" dxfId="29" priority="42">
      <formula>IF(DI41&gt;=DJ41,IF(DI41="",FALSE,TRUE))</formula>
    </cfRule>
    <cfRule type="expression" dxfId="28" priority="41">
      <formula>OR(IF(DI41&lt;DJ41,TRUE),IF(AND(DJ41="",DI41&lt;&gt;""),TRUE))</formula>
    </cfRule>
  </conditionalFormatting>
  <conditionalFormatting sqref="DI54:DI64">
    <cfRule type="expression" dxfId="27" priority="38">
      <formula>IF(DI54&gt;=DJ54,IF(DI54="",FALSE,TRUE))</formula>
    </cfRule>
    <cfRule type="expression" dxfId="26" priority="37">
      <formula>OR(IF(DI54&lt;DJ54,TRUE),IF(AND(DJ54="",DI54&lt;&gt;""),TRUE))</formula>
    </cfRule>
  </conditionalFormatting>
  <conditionalFormatting sqref="DK54:DK64">
    <cfRule type="expression" dxfId="25" priority="35">
      <formula>OR(IF(DK54&lt;DL54,TRUE),IF(AND(DL54="",DK54&lt;&gt;""),TRUE))</formula>
    </cfRule>
    <cfRule type="expression" dxfId="24" priority="36">
      <formula>IF(DK54&gt;=DL54,IF(DK54="",FALSE,TRUE))</formula>
    </cfRule>
  </conditionalFormatting>
  <conditionalFormatting sqref="DP5:DP16 DR5:DR16">
    <cfRule type="expression" dxfId="23" priority="30">
      <formula>IF(DP5&gt;=DQ5,IF(DP5="",FALSE,TRUE))</formula>
    </cfRule>
    <cfRule type="expression" dxfId="22" priority="29">
      <formula>OR(IF(DP5&lt;DQ5,TRUE),IF(AND(DQ5="",DP5&lt;&gt;""),TRUE))</formula>
    </cfRule>
  </conditionalFormatting>
  <conditionalFormatting sqref="DP19:DP38 DR19:DR38">
    <cfRule type="expression" dxfId="21" priority="24">
      <formula>IF(DP19&gt;=DQ19,IF(DP19="",FALSE,TRUE))</formula>
    </cfRule>
    <cfRule type="expression" dxfId="20" priority="23">
      <formula>OR(IF(DP19&lt;DQ19,TRUE),IF(AND(DQ19="",DP19&lt;&gt;""),TRUE))</formula>
    </cfRule>
  </conditionalFormatting>
  <conditionalFormatting sqref="DP41:DP51 DR41:DR51">
    <cfRule type="expression" dxfId="19" priority="31">
      <formula>OR(IF(DP41&lt;DQ41,TRUE),IF(AND(DQ41="",DP41&lt;&gt;""),TRUE))</formula>
    </cfRule>
    <cfRule type="expression" dxfId="18" priority="32">
      <formula>IF(DP41&gt;=DQ41,IF(DP41="",FALSE,TRUE))</formula>
    </cfRule>
  </conditionalFormatting>
  <conditionalFormatting sqref="DP54:DP64">
    <cfRule type="expression" dxfId="17" priority="27">
      <formula>OR(IF(DP54&lt;DQ54,TRUE),IF(AND(DQ54="",DP54&lt;&gt;""),TRUE))</formula>
    </cfRule>
    <cfRule type="expression" dxfId="16" priority="28">
      <formula>IF(DP54&gt;=DQ54,IF(DP54="",FALSE,TRUE))</formula>
    </cfRule>
  </conditionalFormatting>
  <conditionalFormatting sqref="DR54:DR64">
    <cfRule type="expression" dxfId="15" priority="25">
      <formula>OR(IF(DR54&lt;DS54,TRUE),IF(AND(DS54="",DR54&lt;&gt;""),TRUE))</formula>
    </cfRule>
    <cfRule type="expression" dxfId="14" priority="26">
      <formula>IF(DR54&gt;=DS54,IF(DR54="",FALSE,TRUE))</formula>
    </cfRule>
  </conditionalFormatting>
  <dataValidations count="1">
    <dataValidation type="list" allowBlank="1" showInputMessage="1" showErrorMessage="1" sqref="CG41:CJ51 DB5:DE16 AC5:AF16 AJ5:AM16 AR5:AR15 O19:R38 BE5:BH16 AC19:AF38 AJ19:AM38 BS5:BV16 AX5:BA16 BL41:BO51 CG5:CJ16 CN5:CQ16 CU5:CX16 AQ19:AT38 AX19:BA38 BE19:BH38 AC41:AF51 V19:Y38 DB54:DE64 AJ54:AM64 O41:R51 CG19:CJ38 CN19:CQ38 CU19:CX38 BL5:BO16 DB19:DE38 DB41:DE51 CU41:CX51 CN41:CQ51 DI54:DL64 BZ19:CC38 BZ41:CC51 V41:Y51 AC54:AF64 AJ41:AM51 V54:Y64 BE41:BH51 BS41:BV51 BZ5:CC16 DI5:DL16 DI19:DL38 DI41:DL51 DP41:DS51 DP5:DS16 DP19:DS38 BS19:BV38 BL54:BO64 DP54:DS64 BE54:BH64 AX41:BA51 BZ54:CC64 O54:R64 CG54:CJ64 CN54:CQ64 CU54:CX64 BS54:BV64 V5:Y16 BL19:BO38 AM66 AQ54:AT64 AR41:AR50 AX54:BA64 AT41:AT50 AQ41:AQ51 AS41:AS51 AT5:AT15 AQ5:AQ16 AS5:AS16 O5:R1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25" defaultRowHeight="15.75"/>
  <cols>
    <col min="2" max="2" width="161" customWidth="1"/>
    <col min="3" max="3" width="10.875"/>
  </cols>
  <sheetData>
    <row r="4" spans="2:2" ht="21">
      <c r="B4" s="3" t="s">
        <v>16</v>
      </c>
    </row>
    <row r="6" spans="2:2">
      <c r="B6" s="2" t="s">
        <v>13</v>
      </c>
    </row>
    <row r="7" spans="2:2" ht="47.25">
      <c r="B7" s="1" t="s">
        <v>14</v>
      </c>
    </row>
    <row r="9" spans="2:2">
      <c r="B9" s="2" t="s">
        <v>15</v>
      </c>
    </row>
    <row r="10" spans="2:2" ht="63">
      <c r="B10" s="1" t="s">
        <v>36</v>
      </c>
    </row>
    <row r="12" spans="2:2">
      <c r="B12" s="2" t="s">
        <v>17</v>
      </c>
    </row>
    <row r="13" spans="2:2" ht="126">
      <c r="B13" s="1" t="s">
        <v>18</v>
      </c>
    </row>
    <row r="15" spans="2:2">
      <c r="B15" s="2" t="s">
        <v>19</v>
      </c>
    </row>
    <row r="16" spans="2:2" ht="110.25">
      <c r="B16" s="1" t="s">
        <v>20</v>
      </c>
    </row>
    <row r="17" spans="2:2">
      <c r="B17" s="1"/>
    </row>
    <row r="18" spans="2:2">
      <c r="B18" s="2" t="s">
        <v>35</v>
      </c>
    </row>
    <row r="19" spans="2:2" ht="141.75">
      <c r="B19" s="1" t="s">
        <v>37</v>
      </c>
    </row>
    <row r="21" spans="2:2">
      <c r="B21" s="2" t="s">
        <v>21</v>
      </c>
    </row>
    <row r="22" spans="2:2" ht="110.25">
      <c r="B22" s="1" t="s">
        <v>38</v>
      </c>
    </row>
    <row r="24" spans="2:2">
      <c r="B24" s="2"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25" defaultRowHeight="15.75"/>
  <cols>
    <col min="1" max="1" width="16.875" style="9" customWidth="1"/>
    <col min="2" max="2" width="19.125" style="9" customWidth="1"/>
    <col min="3" max="3" width="18.125" style="9" customWidth="1"/>
    <col min="4" max="4" width="19.5" style="9" customWidth="1"/>
    <col min="8" max="8" width="15.125" customWidth="1"/>
    <col min="10" max="10" width="42" customWidth="1"/>
    <col min="11" max="11" width="28.5" customWidth="1"/>
  </cols>
  <sheetData>
    <row r="1" spans="1:11" ht="31.5">
      <c r="A1" s="9" t="s">
        <v>42</v>
      </c>
      <c r="B1" s="15" t="s">
        <v>39</v>
      </c>
      <c r="C1" s="15" t="s">
        <v>40</v>
      </c>
      <c r="D1" s="15" t="s">
        <v>41</v>
      </c>
      <c r="E1" s="1" t="s">
        <v>43</v>
      </c>
      <c r="F1" s="1" t="s">
        <v>44</v>
      </c>
      <c r="G1" s="1" t="s">
        <v>45</v>
      </c>
      <c r="H1" s="1" t="s">
        <v>46</v>
      </c>
      <c r="I1" s="1" t="s">
        <v>47</v>
      </c>
      <c r="J1" s="1" t="s">
        <v>48</v>
      </c>
      <c r="K1" s="1" t="s">
        <v>49</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3" priority="4" operator="equal">
      <formula>"Ja"</formula>
    </cfRule>
    <cfRule type="cellIs" dxfId="12" priority="14" operator="equal">
      <formula>"Ja"</formula>
    </cfRule>
    <cfRule type="cellIs" dxfId="11" priority="15" operator="equal">
      <formula>"Nein"</formula>
    </cfRule>
  </conditionalFormatting>
  <conditionalFormatting sqref="C2:C46">
    <cfRule type="cellIs" dxfId="10" priority="1" operator="equal">
      <formula>"Ja"</formula>
    </cfRule>
    <cfRule type="cellIs" dxfId="9" priority="2" operator="equal">
      <formula>"Ja"</formula>
    </cfRule>
    <cfRule type="cellIs" dxfId="8" priority="3" operator="equal">
      <formula>"Nein"</formula>
    </cfRule>
  </conditionalFormatting>
  <conditionalFormatting sqref="D2">
    <cfRule type="cellIs" dxfId="7" priority="6" operator="equal">
      <formula>1</formula>
    </cfRule>
    <cfRule type="cellIs" dxfId="6" priority="7" operator="equal">
      <formula>0.8</formula>
    </cfRule>
    <cfRule type="cellIs" dxfId="5" priority="8" operator="equal">
      <formula>0.6</formula>
    </cfRule>
    <cfRule type="cellIs" dxfId="4" priority="9" operator="equal">
      <formula>0.4</formula>
    </cfRule>
    <cfRule type="cellIs" dxfId="3" priority="10" operator="equal">
      <formula>0.2</formula>
    </cfRule>
    <cfRule type="cellIs" dxfId="2"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Clemens Heuer</cp:lastModifiedBy>
  <dcterms:created xsi:type="dcterms:W3CDTF">2020-04-19T13:33:28Z</dcterms:created>
  <dcterms:modified xsi:type="dcterms:W3CDTF">2025-11-02T09:07:47Z</dcterms:modified>
</cp:coreProperties>
</file>